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원가계산서" sheetId="1" state="visible" r:id="rId3"/>
    <sheet name="내역서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<sst xmlns="http://schemas.openxmlformats.org/spreadsheetml/2006/main" count="199" uniqueCount="167">
  <si>
    <t xml:space="preserve">원가계산서</t>
  </si>
  <si>
    <t xml:space="preserve">비            목</t>
  </si>
  <si>
    <t xml:space="preserve">구분</t>
  </si>
  <si>
    <t xml:space="preserve">금    액</t>
  </si>
  <si>
    <t xml:space="preserve">요율</t>
  </si>
  <si>
    <t xml:space="preserve">산   출   근   거</t>
  </si>
  <si>
    <t xml:space="preserve">순</t>
  </si>
  <si>
    <t xml:space="preserve">재</t>
  </si>
  <si>
    <t xml:space="preserve">직 접 재 료 비</t>
  </si>
  <si>
    <t xml:space="preserve">1</t>
  </si>
  <si>
    <t xml:space="preserve">간 접 재 료 비</t>
  </si>
  <si>
    <t xml:space="preserve">2</t>
  </si>
  <si>
    <r>
      <rPr>
        <sz val="11"/>
        <color theme="1"/>
        <rFont val="Noto Sans CJK SC"/>
        <family val="2"/>
      </rPr>
      <t xml:space="preserve">작업설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Noto Sans CJK SC"/>
        <family val="2"/>
      </rPr>
      <t xml:space="preserve">부산물등</t>
    </r>
    <r>
      <rPr>
        <sz val="11"/>
        <color theme="1"/>
        <rFont val="Calibri"/>
        <family val="2"/>
        <charset val="1"/>
      </rPr>
      <t xml:space="preserve">(△)</t>
    </r>
  </si>
  <si>
    <t xml:space="preserve">3</t>
  </si>
  <si>
    <t xml:space="preserve">소          계</t>
  </si>
  <si>
    <t xml:space="preserve">A</t>
  </si>
  <si>
    <t xml:space="preserve">(1 + 2 + 3)</t>
  </si>
  <si>
    <t xml:space="preserve">노</t>
  </si>
  <si>
    <t xml:space="preserve">직 접 노 무 비</t>
  </si>
  <si>
    <t xml:space="preserve">4</t>
  </si>
  <si>
    <t xml:space="preserve">간 접 노 무 비</t>
  </si>
  <si>
    <t xml:space="preserve">5</t>
  </si>
  <si>
    <t xml:space="preserve">14.6%</t>
  </si>
  <si>
    <t xml:space="preserve">4 × 0.146</t>
  </si>
  <si>
    <t xml:space="preserve">B</t>
  </si>
  <si>
    <t xml:space="preserve">(4 + 5)</t>
  </si>
  <si>
    <t xml:space="preserve">경</t>
  </si>
  <si>
    <t xml:space="preserve">산 출 경 비</t>
  </si>
  <si>
    <t xml:space="preserve">6</t>
  </si>
  <si>
    <t xml:space="preserve">산 재 보 험 료</t>
  </si>
  <si>
    <t xml:space="preserve">7</t>
  </si>
  <si>
    <t xml:space="preserve">3.56%</t>
  </si>
  <si>
    <t xml:space="preserve">B × 0.0356</t>
  </si>
  <si>
    <t xml:space="preserve">고 용 보 험 료</t>
  </si>
  <si>
    <t xml:space="preserve">8</t>
  </si>
  <si>
    <t xml:space="preserve">1.01%</t>
  </si>
  <si>
    <t xml:space="preserve">B × 0.0101</t>
  </si>
  <si>
    <t xml:space="preserve">건 강 보 험 료</t>
  </si>
  <si>
    <t xml:space="preserve">9</t>
  </si>
  <si>
    <t xml:space="preserve">3.545%</t>
  </si>
  <si>
    <t xml:space="preserve">4 × 0.03545</t>
  </si>
  <si>
    <t xml:space="preserve">연 금 보 험 료</t>
  </si>
  <si>
    <t xml:space="preserve">10</t>
  </si>
  <si>
    <t xml:space="preserve">4.5%</t>
  </si>
  <si>
    <t xml:space="preserve">4 × 0.045</t>
  </si>
  <si>
    <t xml:space="preserve">노인장기요양보험료</t>
  </si>
  <si>
    <t xml:space="preserve">11</t>
  </si>
  <si>
    <t xml:space="preserve">12.95%</t>
  </si>
  <si>
    <t xml:space="preserve">9 × 0.1295</t>
  </si>
  <si>
    <t xml:space="preserve">퇴직공제부금비</t>
  </si>
  <si>
    <t xml:space="preserve">12</t>
  </si>
  <si>
    <t xml:space="preserve">2.3%</t>
  </si>
  <si>
    <t xml:space="preserve">4 × 0.023</t>
  </si>
  <si>
    <t xml:space="preserve">산업안전보건관리비</t>
  </si>
  <si>
    <t xml:space="preserve">13</t>
  </si>
  <si>
    <t xml:space="preserve">1.97%</t>
  </si>
  <si>
    <t xml:space="preserve">(A + 4) × 0.0197</t>
  </si>
  <si>
    <t xml:space="preserve">환 경 보 전 비</t>
  </si>
  <si>
    <t xml:space="preserve">14</t>
  </si>
  <si>
    <t xml:space="preserve">0.8%</t>
  </si>
  <si>
    <t xml:space="preserve">(A + 4 + 6) × 0.008</t>
  </si>
  <si>
    <t xml:space="preserve">하도급대금지급보증수수료</t>
  </si>
  <si>
    <t xml:space="preserve">15</t>
  </si>
  <si>
    <t xml:space="preserve">0.08%</t>
  </si>
  <si>
    <t xml:space="preserve">(A + 4 + 6) × 0.0008</t>
  </si>
  <si>
    <t xml:space="preserve">기 타 경 비</t>
  </si>
  <si>
    <t xml:space="preserve">16</t>
  </si>
  <si>
    <t xml:space="preserve">5.53%</t>
  </si>
  <si>
    <t xml:space="preserve">(A + B) × 0.0553</t>
  </si>
  <si>
    <t xml:space="preserve">C</t>
  </si>
  <si>
    <t xml:space="preserve">(6 : 16)</t>
  </si>
  <si>
    <t xml:space="preserve">순 공 사 원 가</t>
  </si>
  <si>
    <t xml:space="preserve">D</t>
  </si>
  <si>
    <t xml:space="preserve">(A + B + C)</t>
  </si>
  <si>
    <t xml:space="preserve">일 반 관 리 비</t>
  </si>
  <si>
    <t xml:space="preserve">E</t>
  </si>
  <si>
    <t xml:space="preserve">5.5%</t>
  </si>
  <si>
    <t xml:space="preserve">D × 0.055</t>
  </si>
  <si>
    <t xml:space="preserve">이          윤</t>
  </si>
  <si>
    <t xml:space="preserve">F</t>
  </si>
  <si>
    <t xml:space="preserve">11.35%</t>
  </si>
  <si>
    <t xml:space="preserve">(B + C + E) × 0.1135</t>
  </si>
  <si>
    <t xml:space="preserve">총    원    가</t>
  </si>
  <si>
    <t xml:space="preserve">G</t>
  </si>
  <si>
    <t xml:space="preserve">(D + E + F)</t>
  </si>
  <si>
    <t xml:space="preserve">부 가 가 치 세</t>
  </si>
  <si>
    <t xml:space="preserve">H</t>
  </si>
  <si>
    <t xml:space="preserve">10%</t>
  </si>
  <si>
    <t xml:space="preserve">G × 0.1</t>
  </si>
  <si>
    <t xml:space="preserve">도    급    액</t>
  </si>
  <si>
    <t xml:space="preserve">I</t>
  </si>
  <si>
    <t xml:space="preserve">(G + H)</t>
  </si>
  <si>
    <t xml:space="preserve">내역서</t>
  </si>
  <si>
    <t xml:space="preserve">공종</t>
  </si>
  <si>
    <t xml:space="preserve">품    명</t>
  </si>
  <si>
    <t xml:space="preserve">규   격</t>
  </si>
  <si>
    <t xml:space="preserve">수 량</t>
  </si>
  <si>
    <t xml:space="preserve">단위</t>
  </si>
  <si>
    <t xml:space="preserve">합    계</t>
  </si>
  <si>
    <t xml:space="preserve">재료비</t>
  </si>
  <si>
    <t xml:space="preserve">노무비</t>
  </si>
  <si>
    <t xml:space="preserve">경    비</t>
  </si>
  <si>
    <t xml:space="preserve">비    고</t>
  </si>
  <si>
    <t xml:space="preserve">단  가</t>
  </si>
  <si>
    <t xml:space="preserve">금   액</t>
  </si>
  <si>
    <t xml:space="preserve">●</t>
  </si>
  <si>
    <t xml:space="preserve">가상 지구 도로 및 배수시설 정비공사</t>
  </si>
  <si>
    <t xml:space="preserve">1.</t>
  </si>
  <si>
    <t xml:space="preserve">토    공</t>
  </si>
  <si>
    <t xml:space="preserve">터파기</t>
  </si>
  <si>
    <r>
      <rPr>
        <sz val="11"/>
        <color theme="1"/>
        <rFont val="Noto Sans CJK SC"/>
        <family val="2"/>
      </rPr>
      <t xml:space="preserve">토사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백호 </t>
    </r>
    <r>
      <rPr>
        <sz val="11"/>
        <color theme="1"/>
        <rFont val="Calibri"/>
        <family val="2"/>
        <charset val="1"/>
      </rPr>
      <t xml:space="preserve">0.7</t>
    </r>
    <r>
      <rPr>
        <sz val="11"/>
        <color theme="1"/>
        <rFont val="Noto Sans CJK SC"/>
        <family val="2"/>
      </rPr>
      <t xml:space="preserve">㎥</t>
    </r>
  </si>
  <si>
    <t xml:space="preserve">㎥</t>
  </si>
  <si>
    <t xml:space="preserve">되메우기 및 다짐</t>
  </si>
  <si>
    <t xml:space="preserve">콤팩터</t>
  </si>
  <si>
    <t xml:space="preserve">잔토처리</t>
  </si>
  <si>
    <r>
      <rPr>
        <sz val="11"/>
        <color theme="1"/>
        <rFont val="Noto Sans CJK SC"/>
        <family val="2"/>
      </rPr>
      <t xml:space="preserve">덤프 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톤</t>
    </r>
    <r>
      <rPr>
        <sz val="11"/>
        <color theme="1"/>
        <rFont val="Calibri"/>
        <family val="2"/>
        <charset val="1"/>
      </rPr>
      <t xml:space="preserve">, L=8km</t>
    </r>
  </si>
  <si>
    <t xml:space="preserve">노상 다짐</t>
  </si>
  <si>
    <r>
      <rPr>
        <sz val="11"/>
        <color theme="1"/>
        <rFont val="Noto Sans CJK SC"/>
        <family val="2"/>
      </rPr>
      <t xml:space="preserve">진동롤러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톤</t>
    </r>
  </si>
  <si>
    <t xml:space="preserve">㎡</t>
  </si>
  <si>
    <t xml:space="preserve">2.</t>
  </si>
  <si>
    <t xml:space="preserve">철근콘크리트공</t>
  </si>
  <si>
    <t xml:space="preserve">2.1</t>
  </si>
  <si>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형 옹벽 </t>
    </r>
    <r>
      <rPr>
        <sz val="11"/>
        <color theme="1"/>
        <rFont val="Calibri"/>
        <family val="2"/>
        <charset val="1"/>
      </rPr>
      <t xml:space="preserve">(H=2.0m)</t>
    </r>
  </si>
  <si>
    <t xml:space="preserve">기초 잡석 깔기</t>
  </si>
  <si>
    <t xml:space="preserve">다짐 포함</t>
  </si>
  <si>
    <t xml:space="preserve">버림 콘크리트</t>
  </si>
  <si>
    <r>
      <rPr>
        <sz val="11"/>
        <color theme="1"/>
        <rFont val="Calibri"/>
        <family val="2"/>
        <charset val="1"/>
      </rPr>
      <t xml:space="preserve">18-18-80, </t>
    </r>
    <r>
      <rPr>
        <sz val="11"/>
        <color theme="1"/>
        <rFont val="Noto Sans CJK SC"/>
        <family val="2"/>
      </rPr>
      <t xml:space="preserve">인력</t>
    </r>
  </si>
  <si>
    <t xml:space="preserve">레미콘 타설</t>
  </si>
  <si>
    <r>
      <rPr>
        <sz val="11"/>
        <color theme="1"/>
        <rFont val="Calibri"/>
        <family val="2"/>
        <charset val="1"/>
      </rPr>
      <t xml:space="preserve">25-24-15, </t>
    </r>
    <r>
      <rPr>
        <sz val="11"/>
        <color theme="1"/>
        <rFont val="Noto Sans CJK SC"/>
        <family val="2"/>
      </rPr>
      <t xml:space="preserve">펌프카</t>
    </r>
  </si>
  <si>
    <t xml:space="preserve">거푸집</t>
  </si>
  <si>
    <r>
      <rPr>
        <sz val="11"/>
        <color theme="1"/>
        <rFont val="Noto Sans CJK SC"/>
        <family val="2"/>
      </rPr>
      <t xml:space="preserve">합판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회</t>
    </r>
    <r>
      <rPr>
        <sz val="11"/>
        <color theme="1"/>
        <rFont val="Calibri"/>
        <family val="2"/>
        <charset val="1"/>
      </rPr>
      <t xml:space="preserve">, 0~7m</t>
    </r>
  </si>
  <si>
    <t xml:space="preserve">철근 가공 조립</t>
  </si>
  <si>
    <r>
      <rPr>
        <sz val="11"/>
        <color theme="1"/>
        <rFont val="Noto Sans CJK SC"/>
        <family val="2"/>
      </rPr>
      <t xml:space="preserve">보통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현장</t>
    </r>
  </si>
  <si>
    <t xml:space="preserve">ton</t>
  </si>
  <si>
    <t xml:space="preserve">이형철근</t>
  </si>
  <si>
    <t xml:space="preserve">SD400 D16</t>
  </si>
  <si>
    <t xml:space="preserve">비계</t>
  </si>
  <si>
    <t xml:space="preserve">강관 쌍줄</t>
  </si>
  <si>
    <t xml:space="preserve">2.2</t>
  </si>
  <si>
    <r>
      <rPr>
        <sz val="11"/>
        <color theme="1"/>
        <rFont val="Noto Sans CJK SC"/>
        <family val="2"/>
      </rPr>
      <t xml:space="preserve">암거 </t>
    </r>
    <r>
      <rPr>
        <sz val="11"/>
        <color theme="1"/>
        <rFont val="Calibri"/>
        <family val="2"/>
        <charset val="1"/>
      </rPr>
      <t xml:space="preserve">(B1.5×H1.5)</t>
    </r>
  </si>
  <si>
    <r>
      <rPr>
        <sz val="11"/>
        <color theme="1"/>
        <rFont val="Noto Sans CJK SC"/>
        <family val="2"/>
      </rPr>
      <t xml:space="preserve">합판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회</t>
    </r>
  </si>
  <si>
    <r>
      <rPr>
        <sz val="11"/>
        <color theme="1"/>
        <rFont val="Noto Sans CJK SC"/>
        <family val="2"/>
      </rPr>
      <t xml:space="preserve">복잡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현장</t>
    </r>
  </si>
  <si>
    <t xml:space="preserve">SD400 D13</t>
  </si>
  <si>
    <t xml:space="preserve">지수판</t>
  </si>
  <si>
    <r>
      <rPr>
        <sz val="11"/>
        <color theme="1"/>
        <rFont val="Calibri"/>
        <family val="2"/>
        <charset val="1"/>
      </rPr>
      <t xml:space="preserve">PVC, </t>
    </r>
    <r>
      <rPr>
        <sz val="11"/>
        <color theme="1"/>
        <rFont val="Noto Sans CJK SC"/>
        <family val="2"/>
      </rPr>
      <t xml:space="preserve">폭 </t>
    </r>
    <r>
      <rPr>
        <sz val="11"/>
        <color theme="1"/>
        <rFont val="Calibri"/>
        <family val="2"/>
        <charset val="1"/>
      </rPr>
      <t xml:space="preserve">200mm</t>
    </r>
  </si>
  <si>
    <t xml:space="preserve">m</t>
  </si>
  <si>
    <t xml:space="preserve">3.</t>
  </si>
  <si>
    <t xml:space="preserve">포    장    공</t>
  </si>
  <si>
    <t xml:space="preserve">보조기층 포설 및 다짐</t>
  </si>
  <si>
    <t xml:space="preserve">T=20cm</t>
  </si>
  <si>
    <t xml:space="preserve">프라임 코팅</t>
  </si>
  <si>
    <t xml:space="preserve">RS(C)-3</t>
  </si>
  <si>
    <t xml:space="preserve">아스콘 기층 포설</t>
  </si>
  <si>
    <t xml:space="preserve">T=7cm</t>
  </si>
  <si>
    <t xml:space="preserve">택 코팅</t>
  </si>
  <si>
    <t xml:space="preserve">RS(C)-4</t>
  </si>
  <si>
    <t xml:space="preserve">아스콘 표층 포설</t>
  </si>
  <si>
    <t xml:space="preserve">T=5cm</t>
  </si>
  <si>
    <t xml:space="preserve">차선 도색</t>
  </si>
  <si>
    <r>
      <rPr>
        <sz val="11"/>
        <color theme="1"/>
        <rFont val="Noto Sans CJK SC"/>
        <family val="2"/>
      </rPr>
      <t xml:space="preserve">용융식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백색 실선</t>
    </r>
  </si>
  <si>
    <t xml:space="preserve">4.</t>
  </si>
  <si>
    <t xml:space="preserve">부    대    공</t>
  </si>
  <si>
    <t xml:space="preserve">안전펜스 설치 및 철거</t>
  </si>
  <si>
    <t xml:space="preserve">H=1.8m</t>
  </si>
  <si>
    <t xml:space="preserve">물푸기</t>
  </si>
  <si>
    <r>
      <rPr>
        <sz val="11"/>
        <color theme="1"/>
        <rFont val="Noto Sans CJK SC"/>
        <family val="2"/>
      </rPr>
      <t xml:space="preserve">수중펌프 </t>
    </r>
    <r>
      <rPr>
        <sz val="11"/>
        <color theme="1"/>
        <rFont val="Calibri"/>
        <family val="2"/>
        <charset val="1"/>
      </rPr>
      <t xml:space="preserve">4"</t>
    </r>
  </si>
  <si>
    <t xml:space="preserve">일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</si>
</sst>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</row>
    <row r="3" customFormat="false" ht="15" hidden="false" customHeight="false" outlineLevel="0" collapsed="false">
      <c r="B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customFormat="false" ht="15" hidden="false" customHeight="false" outlineLevel="0" collapsed="false">
      <c r="B4" s="1" t="s">
        <v>6</v>
      </c>
      <c r="C4" s="1" t="s">
        <v>7</v>
      </c>
      <c r="D4" s="1" t="s">
        <v>8</v>
      </c>
      <c r="E4" s="0" t="s">
        <v>9</v>
      </c>
      <c r="F4" s="0" t="n">
        <f aca="false">내역서!J5</f>
        <v>105220900</v>
      </c>
    </row>
    <row r="5" customFormat="false" ht="15" hidden="false" customHeight="false" outlineLevel="0" collapsed="false">
      <c r="D5" s="1" t="s">
        <v>10</v>
      </c>
      <c r="E5" s="0" t="s">
        <v>11</v>
      </c>
      <c r="F5" s="0" t="n">
        <v>0</v>
      </c>
    </row>
    <row r="6" customFormat="false" ht="17.15" hidden="false" customHeight="false" outlineLevel="0" collapsed="false">
      <c r="D6" s="1" t="s">
        <v>12</v>
      </c>
      <c r="E6" s="0" t="s">
        <v>13</v>
      </c>
      <c r="F6" s="0" t="n">
        <v>0</v>
      </c>
    </row>
    <row r="7" customFormat="false" ht="15" hidden="false" customHeight="false" outlineLevel="0" collapsed="false">
      <c r="D7" s="1" t="s">
        <v>14</v>
      </c>
      <c r="E7" s="0" t="s">
        <v>15</v>
      </c>
      <c r="F7" s="0" t="n">
        <f aca="false">F4+F5+F6</f>
        <v>105220900</v>
      </c>
      <c r="H7" s="0" t="s">
        <v>16</v>
      </c>
    </row>
    <row r="8" customFormat="false" ht="15" hidden="false" customHeight="false" outlineLevel="0" collapsed="false">
      <c r="C8" s="1" t="s">
        <v>17</v>
      </c>
      <c r="D8" s="1" t="s">
        <v>18</v>
      </c>
      <c r="E8" s="0" t="s">
        <v>19</v>
      </c>
      <c r="F8" s="0" t="n">
        <f aca="false">내역서!L5</f>
        <v>63969200</v>
      </c>
    </row>
    <row r="9" customFormat="false" ht="15" hidden="false" customHeight="false" outlineLevel="0" collapsed="false">
      <c r="D9" s="1" t="s">
        <v>20</v>
      </c>
      <c r="E9" s="0" t="s">
        <v>21</v>
      </c>
      <c r="F9" s="0" t="n">
        <f aca="false">TRUNC(F8*0.146,0)</f>
        <v>9339503</v>
      </c>
      <c r="G9" s="0" t="s">
        <v>22</v>
      </c>
      <c r="H9" s="0" t="s">
        <v>23</v>
      </c>
    </row>
    <row r="10" customFormat="false" ht="15" hidden="false" customHeight="false" outlineLevel="0" collapsed="false">
      <c r="D10" s="1" t="s">
        <v>14</v>
      </c>
      <c r="E10" s="0" t="s">
        <v>24</v>
      </c>
      <c r="F10" s="0" t="n">
        <f aca="false">F8+F9</f>
        <v>73308703</v>
      </c>
      <c r="H10" s="0" t="s">
        <v>25</v>
      </c>
    </row>
    <row r="11" customFormat="false" ht="15" hidden="false" customHeight="false" outlineLevel="0" collapsed="false">
      <c r="C11" s="1" t="s">
        <v>26</v>
      </c>
      <c r="D11" s="1" t="s">
        <v>27</v>
      </c>
      <c r="E11" s="0" t="s">
        <v>28</v>
      </c>
      <c r="F11" s="0" t="n">
        <f aca="false">내역서!N5</f>
        <v>17695900</v>
      </c>
    </row>
    <row r="12" customFormat="false" ht="15" hidden="false" customHeight="false" outlineLevel="0" collapsed="false">
      <c r="D12" s="1" t="s">
        <v>29</v>
      </c>
      <c r="E12" s="0" t="s">
        <v>30</v>
      </c>
      <c r="F12" s="0" t="n">
        <f aca="false">TRUNC(F10*0.0356,0)</f>
        <v>2609789</v>
      </c>
      <c r="G12" s="0" t="s">
        <v>31</v>
      </c>
      <c r="H12" s="0" t="s">
        <v>32</v>
      </c>
    </row>
    <row r="13" customFormat="false" ht="15" hidden="false" customHeight="false" outlineLevel="0" collapsed="false">
      <c r="D13" s="1" t="s">
        <v>33</v>
      </c>
      <c r="E13" s="0" t="s">
        <v>34</v>
      </c>
      <c r="F13" s="0" t="n">
        <f aca="false">TRUNC(F10*0.0101,0)</f>
        <v>740417</v>
      </c>
      <c r="G13" s="0" t="s">
        <v>35</v>
      </c>
      <c r="H13" s="0" t="s">
        <v>36</v>
      </c>
    </row>
    <row r="14" customFormat="false" ht="15" hidden="false" customHeight="false" outlineLevel="0" collapsed="false">
      <c r="D14" s="1" t="s">
        <v>37</v>
      </c>
      <c r="E14" s="0" t="s">
        <v>38</v>
      </c>
      <c r="F14" s="0" t="n">
        <f aca="false">TRUNC(F8*0.03545,0)</f>
        <v>2267708</v>
      </c>
      <c r="G14" s="0" t="s">
        <v>39</v>
      </c>
      <c r="H14" s="0" t="s">
        <v>40</v>
      </c>
    </row>
    <row r="15" customFormat="false" ht="15" hidden="false" customHeight="false" outlineLevel="0" collapsed="false">
      <c r="D15" s="1" t="s">
        <v>41</v>
      </c>
      <c r="E15" s="0" t="s">
        <v>42</v>
      </c>
      <c r="F15" s="0" t="n">
        <f aca="false">TRUNC(F8*0.045,0)</f>
        <v>2878614</v>
      </c>
      <c r="G15" s="0" t="s">
        <v>43</v>
      </c>
      <c r="H15" s="0" t="s">
        <v>44</v>
      </c>
    </row>
    <row r="16" customFormat="false" ht="15" hidden="false" customHeight="false" outlineLevel="0" collapsed="false">
      <c r="D16" s="1" t="s">
        <v>45</v>
      </c>
      <c r="E16" s="0" t="s">
        <v>46</v>
      </c>
      <c r="F16" s="0" t="n">
        <f aca="false">TRUNC(F14*0.1295,0)</f>
        <v>293668</v>
      </c>
      <c r="G16" s="0" t="s">
        <v>47</v>
      </c>
      <c r="H16" s="0" t="s">
        <v>48</v>
      </c>
    </row>
    <row r="17" customFormat="false" ht="15" hidden="false" customHeight="false" outlineLevel="0" collapsed="false">
      <c r="D17" s="1" t="s">
        <v>49</v>
      </c>
      <c r="E17" s="0" t="s">
        <v>50</v>
      </c>
      <c r="F17" s="0" t="n">
        <f aca="false">TRUNC(F8*0.023,0)</f>
        <v>1471291</v>
      </c>
      <c r="G17" s="0" t="s">
        <v>51</v>
      </c>
      <c r="H17" s="0" t="s">
        <v>52</v>
      </c>
    </row>
    <row r="18" customFormat="false" ht="15" hidden="false" customHeight="false" outlineLevel="0" collapsed="false">
      <c r="D18" s="1" t="s">
        <v>53</v>
      </c>
      <c r="E18" s="0" t="s">
        <v>54</v>
      </c>
      <c r="F18" s="0" t="n">
        <f aca="false">TRUNC((F7+F8)*0.0197,0)</f>
        <v>3333044</v>
      </c>
      <c r="G18" s="0" t="s">
        <v>55</v>
      </c>
      <c r="H18" s="0" t="s">
        <v>56</v>
      </c>
    </row>
    <row r="19" customFormat="false" ht="15" hidden="false" customHeight="false" outlineLevel="0" collapsed="false">
      <c r="D19" s="1" t="s">
        <v>57</v>
      </c>
      <c r="E19" s="0" t="s">
        <v>58</v>
      </c>
      <c r="F19" s="0" t="n">
        <f aca="false">TRUNC((F7+F8+F11)*0.008,0)</f>
        <v>1495088</v>
      </c>
      <c r="G19" s="0" t="s">
        <v>59</v>
      </c>
      <c r="H19" s="0" t="s">
        <v>60</v>
      </c>
    </row>
    <row r="20" customFormat="false" ht="15" hidden="false" customHeight="false" outlineLevel="0" collapsed="false">
      <c r="D20" s="1" t="s">
        <v>61</v>
      </c>
      <c r="E20" s="0" t="s">
        <v>62</v>
      </c>
      <c r="F20" s="0" t="n">
        <f aca="false">TRUNC((F7+F8+F11)*0.0008,0)</f>
        <v>149508</v>
      </c>
      <c r="G20" s="0" t="s">
        <v>63</v>
      </c>
      <c r="H20" s="0" t="s">
        <v>64</v>
      </c>
    </row>
    <row r="21" customFormat="false" ht="15" hidden="false" customHeight="false" outlineLevel="0" collapsed="false">
      <c r="D21" s="1" t="s">
        <v>65</v>
      </c>
      <c r="E21" s="0" t="s">
        <v>66</v>
      </c>
      <c r="F21" s="0" t="n">
        <f aca="false">TRUNC((F7+F10)*0.0553,0)</f>
        <v>9872687</v>
      </c>
      <c r="G21" s="0" t="s">
        <v>67</v>
      </c>
      <c r="H21" s="0" t="s">
        <v>68</v>
      </c>
    </row>
    <row r="22" customFormat="false" ht="15" hidden="false" customHeight="false" outlineLevel="0" collapsed="false">
      <c r="D22" s="1" t="s">
        <v>14</v>
      </c>
      <c r="E22" s="0" t="s">
        <v>69</v>
      </c>
      <c r="F22" s="0" t="n">
        <f aca="false">SUM(F11:F21)</f>
        <v>42807714</v>
      </c>
      <c r="H22" s="0" t="s">
        <v>70</v>
      </c>
    </row>
    <row r="23" customFormat="false" ht="15" hidden="false" customHeight="false" outlineLevel="0" collapsed="false">
      <c r="B23" s="1" t="s">
        <v>71</v>
      </c>
      <c r="E23" s="0" t="s">
        <v>72</v>
      </c>
      <c r="F23" s="0" t="n">
        <f aca="false">F7+F10+F22</f>
        <v>221337317</v>
      </c>
      <c r="H23" s="0" t="s">
        <v>73</v>
      </c>
    </row>
    <row r="24" customFormat="false" ht="15" hidden="false" customHeight="false" outlineLevel="0" collapsed="false">
      <c r="B24" s="1" t="s">
        <v>74</v>
      </c>
      <c r="E24" s="0" t="s">
        <v>75</v>
      </c>
      <c r="F24" s="0" t="n">
        <f aca="false">TRUNC(F23*0.055,0)</f>
        <v>12173552</v>
      </c>
      <c r="G24" s="0" t="s">
        <v>76</v>
      </c>
      <c r="H24" s="0" t="s">
        <v>77</v>
      </c>
    </row>
    <row r="25" customFormat="false" ht="15" hidden="false" customHeight="false" outlineLevel="0" collapsed="false">
      <c r="B25" s="1" t="s">
        <v>78</v>
      </c>
      <c r="E25" s="0" t="s">
        <v>79</v>
      </c>
      <c r="F25" s="0" t="n">
        <f aca="false">TRUNC((F10+F22+F24)*0.1135,0)</f>
        <v>14560911</v>
      </c>
      <c r="G25" s="0" t="s">
        <v>80</v>
      </c>
      <c r="H25" s="0" t="s">
        <v>81</v>
      </c>
    </row>
    <row r="26" customFormat="false" ht="15" hidden="false" customHeight="false" outlineLevel="0" collapsed="false">
      <c r="B26" s="1" t="s">
        <v>82</v>
      </c>
      <c r="E26" s="0" t="s">
        <v>83</v>
      </c>
      <c r="F26" s="0" t="n">
        <f aca="false">F23+F24+F25</f>
        <v>248071780</v>
      </c>
      <c r="H26" s="0" t="s">
        <v>84</v>
      </c>
    </row>
    <row r="27" customFormat="false" ht="15" hidden="false" customHeight="false" outlineLevel="0" collapsed="false">
      <c r="B27" s="1" t="s">
        <v>85</v>
      </c>
      <c r="E27" s="0" t="s">
        <v>86</v>
      </c>
      <c r="F27" s="0" t="n">
        <f aca="false">TRUNC(F26*0.1,0)</f>
        <v>24807178</v>
      </c>
      <c r="G27" s="0" t="s">
        <v>87</v>
      </c>
      <c r="H27" s="0" t="s">
        <v>88</v>
      </c>
    </row>
    <row r="28" customFormat="false" ht="15" hidden="false" customHeight="false" outlineLevel="0" collapsed="false">
      <c r="B28" s="1" t="s">
        <v>89</v>
      </c>
      <c r="E28" s="0" t="s">
        <v>90</v>
      </c>
      <c r="F28" s="0" t="n">
        <f aca="false">F26+F27</f>
        <v>272878958</v>
      </c>
      <c r="H28" s="0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B1" s="1" t="s">
        <v>92</v>
      </c>
    </row>
    <row r="3" customFormat="false" ht="15" hidden="false" customHeight="false" outlineLevel="0" collapsed="false">
      <c r="B3" s="1" t="s">
        <v>93</v>
      </c>
      <c r="C3" s="1" t="s">
        <v>94</v>
      </c>
      <c r="D3" s="1" t="s">
        <v>95</v>
      </c>
      <c r="E3" s="1" t="s">
        <v>96</v>
      </c>
      <c r="F3" s="1" t="s">
        <v>97</v>
      </c>
      <c r="G3" s="1" t="s">
        <v>98</v>
      </c>
      <c r="I3" s="1" t="s">
        <v>99</v>
      </c>
      <c r="K3" s="1" t="s">
        <v>100</v>
      </c>
      <c r="M3" s="1" t="s">
        <v>101</v>
      </c>
      <c r="O3" s="1" t="s">
        <v>102</v>
      </c>
    </row>
    <row r="4" customFormat="false" ht="15" hidden="false" customHeight="false" outlineLevel="0" collapsed="false">
      <c r="G4" s="1" t="s">
        <v>103</v>
      </c>
      <c r="H4" s="1" t="s">
        <v>104</v>
      </c>
      <c r="I4" s="1" t="s">
        <v>103</v>
      </c>
      <c r="J4" s="1" t="s">
        <v>104</v>
      </c>
      <c r="K4" s="1" t="s">
        <v>103</v>
      </c>
      <c r="L4" s="1" t="s">
        <v>104</v>
      </c>
      <c r="M4" s="1" t="s">
        <v>103</v>
      </c>
      <c r="N4" s="1" t="s">
        <v>104</v>
      </c>
    </row>
    <row r="5" customFormat="false" ht="15" hidden="false" customHeight="false" outlineLevel="0" collapsed="false">
      <c r="B5" s="0" t="s">
        <v>105</v>
      </c>
      <c r="C5" s="1" t="s">
        <v>106</v>
      </c>
      <c r="H5" s="0" t="n">
        <f aca="false">SUM(H7,H8,H9,H10,H13,H14,H15,H16,H17,H18,H19,H21,H22,H23,H24,H25,H27,H28,H29,H30,H31,H32,H34,H35)</f>
        <v>186886000</v>
      </c>
      <c r="J5" s="0" t="n">
        <f aca="false">SUM(J7,J8,J9,J10,J13,J14,J15,J16,J17,J18,J19,J21,J22,J23,J24,J25,J27,J28,J29,J30,J31,J32,J34,J35)</f>
        <v>105220900</v>
      </c>
      <c r="L5" s="0" t="n">
        <f aca="false">SUM(L7,L8,L9,L10,L13,L14,L15,L16,L17,L18,L19,L21,L22,L23,L24,L25,L27,L28,L29,L30,L31,L32,L34,L35)</f>
        <v>63969200</v>
      </c>
      <c r="N5" s="0" t="n">
        <f aca="false">SUM(N7,N8,N9,N10,N13,N14,N15,N16,N17,N18,N19,N21,N22,N23,N24,N25,N27,N28,N29,N30,N31,N32,N34,N35)</f>
        <v>17695900</v>
      </c>
    </row>
    <row r="6" customFormat="false" ht="15" hidden="false" customHeight="false" outlineLevel="0" collapsed="false">
      <c r="B6" s="0" t="s">
        <v>107</v>
      </c>
      <c r="C6" s="1" t="s">
        <v>108</v>
      </c>
      <c r="H6" s="0" t="n">
        <f aca="false">H7+H8+H9+H10</f>
        <v>9010000</v>
      </c>
      <c r="J6" s="0" t="n">
        <f aca="false">J7+J8+J9+J10</f>
        <v>0</v>
      </c>
      <c r="L6" s="0" t="n">
        <f aca="false">L7+L8+L9+L10</f>
        <v>3438400</v>
      </c>
      <c r="N6" s="0" t="n">
        <f aca="false">N7+N8+N9+N10</f>
        <v>5571600</v>
      </c>
    </row>
    <row r="7" customFormat="false" ht="17.15" hidden="false" customHeight="false" outlineLevel="0" collapsed="false">
      <c r="C7" s="1" t="s">
        <v>109</v>
      </c>
      <c r="D7" s="1" t="s">
        <v>110</v>
      </c>
      <c r="E7" s="0" t="n">
        <v>1250</v>
      </c>
      <c r="F7" s="1" t="s">
        <v>111</v>
      </c>
      <c r="G7" s="0" t="n">
        <f aca="false">I7+K7+M7</f>
        <v>2750</v>
      </c>
      <c r="H7" s="0" t="n">
        <f aca="false">J7+L7+N7</f>
        <v>3437500</v>
      </c>
      <c r="K7" s="0" t="n">
        <v>1120</v>
      </c>
      <c r="L7" s="0" t="n">
        <f t="shared" ref="L7:L8" si="0">TRUNC(E7*K7,0)</f>
        <v>1400000</v>
      </c>
      <c r="M7" s="0" t="n">
        <v>1630</v>
      </c>
      <c r="N7" s="0" t="n">
        <f aca="false">TRUNC(E7*M7,0)</f>
        <v>2037500</v>
      </c>
    </row>
    <row r="8" customFormat="false" ht="15" hidden="false" customHeight="false" outlineLevel="0" collapsed="false">
      <c r="C8" s="1" t="s">
        <v>112</v>
      </c>
      <c r="D8" s="1" t="s">
        <v>113</v>
      </c>
      <c r="E8" s="0" t="n">
        <v>980</v>
      </c>
      <c r="F8" s="1" t="s">
        <v>111</v>
      </c>
      <c r="G8" s="0" t="n">
        <f aca="false">I8+K8+M8</f>
        <v>2300</v>
      </c>
      <c r="H8" s="0" t="n">
        <f aca="false">J8+L8+N8</f>
        <v>2254000</v>
      </c>
      <c r="K8" s="0" t="n">
        <v>1480</v>
      </c>
      <c r="L8" s="0" t="n">
        <f t="shared" si="0"/>
        <v>1450400</v>
      </c>
      <c r="M8" s="0" t="n">
        <v>820</v>
      </c>
      <c r="N8" s="0" t="n">
        <f aca="false">TRUNC(E8*M8,0)</f>
        <v>803600</v>
      </c>
    </row>
    <row r="9" customFormat="false" ht="17.15" hidden="false" customHeight="false" outlineLevel="0" collapsed="false">
      <c r="C9" s="1" t="s">
        <v>114</v>
      </c>
      <c r="D9" s="1" t="s">
        <v>115</v>
      </c>
      <c r="E9" s="0" t="n">
        <v>270</v>
      </c>
      <c r="F9" s="1" t="s">
        <v>111</v>
      </c>
      <c r="G9" s="0" t="n">
        <f aca="false">I9+K9+M9</f>
        <v>6950</v>
      </c>
      <c r="H9" s="0" t="n">
        <f aca="false">J9+L9+N9</f>
        <v>1876500</v>
      </c>
      <c r="M9" s="0" t="n">
        <v>6950</v>
      </c>
      <c r="N9" s="0" t="n">
        <f aca="false">TRUNC(E9*M9,0)</f>
        <v>1876500</v>
      </c>
    </row>
    <row r="10" customFormat="false" ht="17.15" hidden="false" customHeight="false" outlineLevel="0" collapsed="false">
      <c r="C10" s="1" t="s">
        <v>116</v>
      </c>
      <c r="D10" s="1" t="s">
        <v>117</v>
      </c>
      <c r="E10" s="0" t="n">
        <v>1400</v>
      </c>
      <c r="F10" s="1" t="s">
        <v>118</v>
      </c>
      <c r="G10" s="0" t="n">
        <f aca="false">I10+K10+M10</f>
        <v>1030</v>
      </c>
      <c r="H10" s="0" t="n">
        <f aca="false">J10+L10+N10</f>
        <v>1442000</v>
      </c>
      <c r="K10" s="0" t="n">
        <v>420</v>
      </c>
      <c r="L10" s="0" t="n">
        <f aca="false">TRUNC(E10*K10,0)</f>
        <v>588000</v>
      </c>
      <c r="M10" s="0" t="n">
        <v>610</v>
      </c>
      <c r="N10" s="0" t="n">
        <f aca="false">TRUNC(E10*M10,0)</f>
        <v>854000</v>
      </c>
    </row>
    <row r="11" customFormat="false" ht="15" hidden="false" customHeight="false" outlineLevel="0" collapsed="false">
      <c r="B11" s="0" t="s">
        <v>119</v>
      </c>
      <c r="C11" s="1" t="s">
        <v>120</v>
      </c>
      <c r="H11" s="0" t="n">
        <f aca="false">SUM(H13,H14,H15,H16,H17,H18,H19,H21,H22,H23,H24,H25)</f>
        <v>107028100</v>
      </c>
      <c r="J11" s="0" t="n">
        <f aca="false">SUM(J13,J14,J15,J16,J17,J18,J19,J21,J22,J23,J24,J25)</f>
        <v>54790900</v>
      </c>
      <c r="L11" s="0" t="n">
        <f aca="false">SUM(L13,L14,L15,L16,L17,L18,L19,L21,L22,L23,L24,L25)</f>
        <v>50322600</v>
      </c>
      <c r="N11" s="0" t="n">
        <f aca="false">SUM(N13,N14,N15,N16,N17,N18,N19,N21,N22,N23,N24,N25)</f>
        <v>1914600</v>
      </c>
    </row>
    <row r="12" customFormat="false" ht="17.15" hidden="false" customHeight="false" outlineLevel="0" collapsed="false">
      <c r="B12" s="0" t="s">
        <v>121</v>
      </c>
      <c r="C12" s="0" t="s">
        <v>122</v>
      </c>
      <c r="H12" s="0" t="n">
        <f aca="false">H13+H14+H15+H16+H17+H18+H19</f>
        <v>77097520</v>
      </c>
      <c r="J12" s="0" t="n">
        <f aca="false">J13+J14+J15+J16+J17+J18+J19</f>
        <v>39388400</v>
      </c>
      <c r="L12" s="0" t="n">
        <f aca="false">L13+L14+L15+L16+L17+L18+L19</f>
        <v>36247000</v>
      </c>
      <c r="N12" s="0" t="n">
        <f aca="false">N13+N14+N15+N16+N17+N18+N19</f>
        <v>1462120</v>
      </c>
    </row>
    <row r="13" customFormat="false" ht="15" hidden="false" customHeight="false" outlineLevel="0" collapsed="false">
      <c r="C13" s="1" t="s">
        <v>123</v>
      </c>
      <c r="D13" s="1" t="s">
        <v>124</v>
      </c>
      <c r="E13" s="0" t="n">
        <v>48</v>
      </c>
      <c r="F13" s="1" t="s">
        <v>111</v>
      </c>
      <c r="G13" s="0" t="n">
        <f aca="false">I13+K13+M13</f>
        <v>43800</v>
      </c>
      <c r="H13" s="0" t="n">
        <f aca="false">J13+L13+N13</f>
        <v>2102400</v>
      </c>
      <c r="I13" s="0" t="n">
        <v>21500</v>
      </c>
      <c r="J13" s="0" t="n">
        <f aca="false">TRUNC(E13*I13,0)</f>
        <v>1032000</v>
      </c>
      <c r="K13" s="0" t="n">
        <v>18400</v>
      </c>
      <c r="L13" s="0" t="n">
        <f t="shared" ref="L13:L17" si="1">TRUNC(E13*K13,0)</f>
        <v>883200</v>
      </c>
      <c r="M13" s="0" t="n">
        <v>3900</v>
      </c>
      <c r="N13" s="0" t="n">
        <f aca="false">TRUNC(E13*M13,0)</f>
        <v>187200</v>
      </c>
    </row>
    <row r="14" customFormat="false" ht="17.15" hidden="false" customHeight="false" outlineLevel="0" collapsed="false">
      <c r="C14" s="1" t="s">
        <v>125</v>
      </c>
      <c r="D14" s="0" t="s">
        <v>126</v>
      </c>
      <c r="E14" s="0" t="n">
        <v>24</v>
      </c>
      <c r="F14" s="1" t="s">
        <v>111</v>
      </c>
      <c r="G14" s="0" t="n">
        <f aca="false">I14+K14+M14</f>
        <v>113100</v>
      </c>
      <c r="H14" s="0" t="n">
        <f aca="false">J14+L14+N14</f>
        <v>2714400</v>
      </c>
      <c r="I14" s="0" t="n">
        <v>79800</v>
      </c>
      <c r="J14" s="0" t="n">
        <f aca="false">TRUNC(E14*I14,0)</f>
        <v>1915200</v>
      </c>
      <c r="K14" s="0" t="n">
        <v>31200</v>
      </c>
      <c r="L14" s="0" t="n">
        <f t="shared" si="1"/>
        <v>748800</v>
      </c>
      <c r="M14" s="0" t="n">
        <v>2100</v>
      </c>
      <c r="N14" s="0" t="n">
        <f aca="false">TRUNC(E14*M14,0)</f>
        <v>50400</v>
      </c>
    </row>
    <row r="15" customFormat="false" ht="17.15" hidden="false" customHeight="false" outlineLevel="0" collapsed="false">
      <c r="C15" s="1" t="s">
        <v>127</v>
      </c>
      <c r="D15" s="0" t="s">
        <v>128</v>
      </c>
      <c r="E15" s="0" t="n">
        <v>186</v>
      </c>
      <c r="F15" s="1" t="s">
        <v>111</v>
      </c>
      <c r="G15" s="0" t="n">
        <f aca="false">I15+K15+M15</f>
        <v>112900</v>
      </c>
      <c r="H15" s="0" t="n">
        <f aca="false">J15+L15+N15</f>
        <v>20999400</v>
      </c>
      <c r="I15" s="0" t="n">
        <v>89300</v>
      </c>
      <c r="J15" s="0" t="n">
        <f aca="false">TRUNC(E15*I15,0)</f>
        <v>16609800</v>
      </c>
      <c r="K15" s="0" t="n">
        <v>18900</v>
      </c>
      <c r="L15" s="0" t="n">
        <f t="shared" si="1"/>
        <v>3515400</v>
      </c>
      <c r="M15" s="0" t="n">
        <v>4700</v>
      </c>
      <c r="N15" s="0" t="n">
        <f aca="false">TRUNC(E15*M15,0)</f>
        <v>874200</v>
      </c>
    </row>
    <row r="16" customFormat="false" ht="17.15" hidden="false" customHeight="false" outlineLevel="0" collapsed="false">
      <c r="C16" s="1" t="s">
        <v>129</v>
      </c>
      <c r="D16" s="1" t="s">
        <v>130</v>
      </c>
      <c r="E16" s="0" t="n">
        <v>940</v>
      </c>
      <c r="F16" s="1" t="s">
        <v>118</v>
      </c>
      <c r="G16" s="0" t="n">
        <f aca="false">I16+K16+M16</f>
        <v>28700</v>
      </c>
      <c r="H16" s="0" t="n">
        <f aca="false">J16+L16+N16</f>
        <v>26978000</v>
      </c>
      <c r="I16" s="0" t="n">
        <v>5900</v>
      </c>
      <c r="J16" s="0" t="n">
        <f aca="false">TRUNC(E16*I16,0)</f>
        <v>5546000</v>
      </c>
      <c r="K16" s="0" t="n">
        <v>22800</v>
      </c>
      <c r="L16" s="0" t="n">
        <f t="shared" si="1"/>
        <v>21432000</v>
      </c>
    </row>
    <row r="17" customFormat="false" ht="17.15" hidden="false" customHeight="false" outlineLevel="0" collapsed="false">
      <c r="C17" s="1" t="s">
        <v>131</v>
      </c>
      <c r="D17" s="1" t="s">
        <v>132</v>
      </c>
      <c r="E17" s="0" t="n">
        <v>14.8</v>
      </c>
      <c r="F17" s="0" t="s">
        <v>133</v>
      </c>
      <c r="G17" s="0" t="n">
        <f aca="false">I17+K17+M17</f>
        <v>550400</v>
      </c>
      <c r="H17" s="0" t="n">
        <f aca="false">J17+L17+N17</f>
        <v>8145920</v>
      </c>
      <c r="K17" s="0" t="n">
        <v>532000</v>
      </c>
      <c r="L17" s="0" t="n">
        <f t="shared" si="1"/>
        <v>7873600</v>
      </c>
      <c r="M17" s="0" t="n">
        <v>18400</v>
      </c>
      <c r="N17" s="0" t="n">
        <f aca="false">TRUNC(E17*M17,0)</f>
        <v>272320</v>
      </c>
    </row>
    <row r="18" customFormat="false" ht="15" hidden="false" customHeight="false" outlineLevel="0" collapsed="false">
      <c r="C18" s="1" t="s">
        <v>134</v>
      </c>
      <c r="D18" s="0" t="s">
        <v>135</v>
      </c>
      <c r="E18" s="0" t="n">
        <v>15.3</v>
      </c>
      <c r="F18" s="0" t="s">
        <v>133</v>
      </c>
      <c r="G18" s="0" t="n">
        <f aca="false">I18+K18+M18</f>
        <v>898000</v>
      </c>
      <c r="H18" s="0" t="n">
        <f aca="false">J18+L18+N18</f>
        <v>13739400</v>
      </c>
      <c r="I18" s="0" t="n">
        <v>898000</v>
      </c>
      <c r="J18" s="0" t="n">
        <f aca="false">TRUNC(E18*I18,0)</f>
        <v>13739400</v>
      </c>
    </row>
    <row r="19" customFormat="false" ht="15" hidden="false" customHeight="false" outlineLevel="0" collapsed="false">
      <c r="C19" s="1" t="s">
        <v>136</v>
      </c>
      <c r="D19" s="1" t="s">
        <v>137</v>
      </c>
      <c r="E19" s="0" t="n">
        <v>260</v>
      </c>
      <c r="F19" s="1" t="s">
        <v>118</v>
      </c>
      <c r="G19" s="0" t="n">
        <f aca="false">I19+K19+M19</f>
        <v>9300</v>
      </c>
      <c r="H19" s="0" t="n">
        <f aca="false">J19+L19+N19</f>
        <v>2418000</v>
      </c>
      <c r="I19" s="0" t="n">
        <v>2100</v>
      </c>
      <c r="J19" s="0" t="n">
        <f aca="false">TRUNC(E19*I19,0)</f>
        <v>546000</v>
      </c>
      <c r="K19" s="0" t="n">
        <v>6900</v>
      </c>
      <c r="L19" s="0" t="n">
        <f aca="false">TRUNC(E19*K19,0)</f>
        <v>1794000</v>
      </c>
      <c r="M19" s="0" t="n">
        <v>300</v>
      </c>
      <c r="N19" s="0" t="n">
        <f aca="false">TRUNC(E19*M19,0)</f>
        <v>78000</v>
      </c>
    </row>
    <row r="20" customFormat="false" ht="17.15" hidden="false" customHeight="false" outlineLevel="0" collapsed="false">
      <c r="B20" s="0" t="s">
        <v>138</v>
      </c>
      <c r="C20" s="1" t="s">
        <v>139</v>
      </c>
      <c r="H20" s="0" t="n">
        <f aca="false">H21+H22+H23+H24+H25</f>
        <v>29930580</v>
      </c>
      <c r="J20" s="0" t="n">
        <f aca="false">J21+J22+J23+J24+J25</f>
        <v>15402500</v>
      </c>
      <c r="L20" s="0" t="n">
        <f aca="false">L21+L22+L23+L24+L25</f>
        <v>14075600</v>
      </c>
      <c r="N20" s="0" t="n">
        <f aca="false">N21+N22+N23+N24+N25</f>
        <v>452480</v>
      </c>
    </row>
    <row r="21" customFormat="false" ht="17.15" hidden="false" customHeight="false" outlineLevel="0" collapsed="false">
      <c r="C21" s="1" t="s">
        <v>127</v>
      </c>
      <c r="D21" s="0" t="s">
        <v>128</v>
      </c>
      <c r="E21" s="0" t="n">
        <v>72</v>
      </c>
      <c r="F21" s="1" t="s">
        <v>111</v>
      </c>
      <c r="G21" s="0" t="n">
        <f aca="false">I21+K21+M21</f>
        <v>112900</v>
      </c>
      <c r="H21" s="0" t="n">
        <f aca="false">J21+L21+N21</f>
        <v>8128800</v>
      </c>
      <c r="I21" s="0" t="n">
        <v>89300</v>
      </c>
      <c r="J21" s="0" t="n">
        <f aca="false">TRUNC(E21*I21,0)</f>
        <v>6429600</v>
      </c>
      <c r="K21" s="0" t="n">
        <v>18900</v>
      </c>
      <c r="L21" s="0" t="n">
        <f t="shared" ref="L21:L23" si="2">TRUNC(E21*K21,0)</f>
        <v>1360800</v>
      </c>
      <c r="M21" s="0" t="n">
        <v>4700</v>
      </c>
      <c r="N21" s="0" t="n">
        <f aca="false">TRUNC(E21*M21,0)</f>
        <v>338400</v>
      </c>
    </row>
    <row r="22" customFormat="false" ht="17.15" hidden="false" customHeight="false" outlineLevel="0" collapsed="false">
      <c r="C22" s="1" t="s">
        <v>129</v>
      </c>
      <c r="D22" s="1" t="s">
        <v>140</v>
      </c>
      <c r="E22" s="0" t="n">
        <v>410</v>
      </c>
      <c r="F22" s="1" t="s">
        <v>118</v>
      </c>
      <c r="G22" s="0" t="n">
        <f aca="false">I22+K22+M22</f>
        <v>28400</v>
      </c>
      <c r="H22" s="0" t="n">
        <f aca="false">J22+L22+N22</f>
        <v>11644000</v>
      </c>
      <c r="I22" s="0" t="n">
        <v>6800</v>
      </c>
      <c r="J22" s="0" t="n">
        <f aca="false">TRUNC(E22*I22,0)</f>
        <v>2788000</v>
      </c>
      <c r="K22" s="0" t="n">
        <v>21600</v>
      </c>
      <c r="L22" s="0" t="n">
        <f t="shared" si="2"/>
        <v>8856000</v>
      </c>
    </row>
    <row r="23" customFormat="false" ht="17.15" hidden="false" customHeight="false" outlineLevel="0" collapsed="false">
      <c r="C23" s="1" t="s">
        <v>131</v>
      </c>
      <c r="D23" s="1" t="s">
        <v>141</v>
      </c>
      <c r="E23" s="0" t="n">
        <v>6.2</v>
      </c>
      <c r="F23" s="0" t="s">
        <v>133</v>
      </c>
      <c r="G23" s="0" t="n">
        <f aca="false">I23+K23+M23</f>
        <v>616400</v>
      </c>
      <c r="H23" s="0" t="n">
        <f aca="false">J23+L23+N23</f>
        <v>3821680</v>
      </c>
      <c r="K23" s="0" t="n">
        <v>598000</v>
      </c>
      <c r="L23" s="0" t="n">
        <f t="shared" si="2"/>
        <v>3707600</v>
      </c>
      <c r="M23" s="0" t="n">
        <v>18400</v>
      </c>
      <c r="N23" s="0" t="n">
        <f aca="false">TRUNC(E23*M23,0)</f>
        <v>114080</v>
      </c>
    </row>
    <row r="24" customFormat="false" ht="15" hidden="false" customHeight="false" outlineLevel="0" collapsed="false">
      <c r="C24" s="1" t="s">
        <v>134</v>
      </c>
      <c r="D24" s="0" t="s">
        <v>142</v>
      </c>
      <c r="E24" s="0" t="n">
        <v>6.5</v>
      </c>
      <c r="F24" s="0" t="s">
        <v>133</v>
      </c>
      <c r="G24" s="0" t="n">
        <f aca="false">I24+K24+M24</f>
        <v>905000</v>
      </c>
      <c r="H24" s="0" t="n">
        <f aca="false">J24+L24+N24</f>
        <v>5882500</v>
      </c>
      <c r="I24" s="0" t="n">
        <v>905000</v>
      </c>
      <c r="J24" s="0" t="n">
        <f aca="false">TRUNC(E24*I24,0)</f>
        <v>5882500</v>
      </c>
    </row>
    <row r="25" customFormat="false" ht="17.15" hidden="false" customHeight="false" outlineLevel="0" collapsed="false">
      <c r="C25" s="1" t="s">
        <v>143</v>
      </c>
      <c r="D25" s="0" t="s">
        <v>144</v>
      </c>
      <c r="E25" s="0" t="n">
        <v>36</v>
      </c>
      <c r="F25" s="0" t="s">
        <v>145</v>
      </c>
      <c r="G25" s="0" t="n">
        <f aca="false">I25+K25+M25</f>
        <v>12600</v>
      </c>
      <c r="H25" s="0" t="n">
        <f aca="false">J25+L25+N25</f>
        <v>453600</v>
      </c>
      <c r="I25" s="0" t="n">
        <v>8400</v>
      </c>
      <c r="J25" s="0" t="n">
        <f aca="false">TRUNC(E25*I25,0)</f>
        <v>302400</v>
      </c>
      <c r="K25" s="0" t="n">
        <v>4200</v>
      </c>
      <c r="L25" s="0" t="n">
        <f aca="false">TRUNC(E25*K25,0)</f>
        <v>151200</v>
      </c>
    </row>
    <row r="26" customFormat="false" ht="15" hidden="false" customHeight="false" outlineLevel="0" collapsed="false">
      <c r="B26" s="0" t="s">
        <v>146</v>
      </c>
      <c r="C26" s="1" t="s">
        <v>147</v>
      </c>
      <c r="H26" s="0" t="n">
        <f aca="false">H27+H28+H29+H30+H31+H32</f>
        <v>64732900</v>
      </c>
      <c r="J26" s="0" t="n">
        <f aca="false">J27+J28+J29+J30+J31+J32</f>
        <v>48198000</v>
      </c>
      <c r="L26" s="0" t="n">
        <f aca="false">L27+L28+L29+L30+L31+L32</f>
        <v>7494200</v>
      </c>
      <c r="N26" s="0" t="n">
        <f aca="false">N27+N28+N29+N30+N31+N32</f>
        <v>9040700</v>
      </c>
    </row>
    <row r="27" customFormat="false" ht="15" hidden="false" customHeight="false" outlineLevel="0" collapsed="false">
      <c r="C27" s="1" t="s">
        <v>148</v>
      </c>
      <c r="D27" s="0" t="s">
        <v>149</v>
      </c>
      <c r="E27" s="0" t="n">
        <v>2100</v>
      </c>
      <c r="F27" s="1" t="s">
        <v>118</v>
      </c>
      <c r="G27" s="0" t="n">
        <f aca="false">I27+K27+M27</f>
        <v>6050</v>
      </c>
      <c r="H27" s="0" t="n">
        <f aca="false">J27+L27+N27</f>
        <v>12705000</v>
      </c>
      <c r="I27" s="0" t="n">
        <v>3850</v>
      </c>
      <c r="J27" s="0" t="n">
        <f aca="false">TRUNC(E27*I27,0)</f>
        <v>8085000</v>
      </c>
      <c r="K27" s="0" t="n">
        <v>940</v>
      </c>
      <c r="L27" s="0" t="n">
        <f t="shared" ref="L27:L32" si="3">TRUNC(E27*K27,0)</f>
        <v>1974000</v>
      </c>
      <c r="M27" s="0" t="n">
        <v>1260</v>
      </c>
      <c r="N27" s="0" t="n">
        <f aca="false">TRUNC(E27*M27,0)</f>
        <v>2646000</v>
      </c>
    </row>
    <row r="28" customFormat="false" ht="15" hidden="false" customHeight="false" outlineLevel="0" collapsed="false">
      <c r="C28" s="1" t="s">
        <v>150</v>
      </c>
      <c r="D28" s="0" t="s">
        <v>151</v>
      </c>
      <c r="E28" s="0" t="n">
        <v>2100</v>
      </c>
      <c r="F28" s="1" t="s">
        <v>118</v>
      </c>
      <c r="G28" s="0" t="n">
        <f aca="false">I28+K28+M28</f>
        <v>995</v>
      </c>
      <c r="H28" s="0" t="n">
        <f aca="false">J28+L28+N28</f>
        <v>2089500</v>
      </c>
      <c r="I28" s="0" t="n">
        <v>780</v>
      </c>
      <c r="J28" s="0" t="n">
        <f aca="false">TRUNC(E28*I28,0)</f>
        <v>1638000</v>
      </c>
      <c r="K28" s="0" t="n">
        <v>120</v>
      </c>
      <c r="L28" s="0" t="n">
        <f t="shared" si="3"/>
        <v>252000</v>
      </c>
      <c r="M28" s="0" t="n">
        <v>95</v>
      </c>
      <c r="N28" s="0" t="n">
        <f aca="false">TRUNC(E28*M28,0)</f>
        <v>199500</v>
      </c>
    </row>
    <row r="29" customFormat="false" ht="15" hidden="false" customHeight="false" outlineLevel="0" collapsed="false">
      <c r="C29" s="1" t="s">
        <v>152</v>
      </c>
      <c r="D29" s="0" t="s">
        <v>153</v>
      </c>
      <c r="E29" s="0" t="n">
        <v>2100</v>
      </c>
      <c r="F29" s="1" t="s">
        <v>118</v>
      </c>
      <c r="G29" s="0" t="n">
        <f aca="false">I29+K29+M29</f>
        <v>12070</v>
      </c>
      <c r="H29" s="0" t="n">
        <f aca="false">J29+L29+N29</f>
        <v>25347000</v>
      </c>
      <c r="I29" s="0" t="n">
        <v>9600</v>
      </c>
      <c r="J29" s="0" t="n">
        <f aca="false">TRUNC(E29*I29,0)</f>
        <v>20160000</v>
      </c>
      <c r="K29" s="0" t="n">
        <v>1050</v>
      </c>
      <c r="L29" s="0" t="n">
        <f t="shared" si="3"/>
        <v>2205000</v>
      </c>
      <c r="M29" s="0" t="n">
        <v>1420</v>
      </c>
      <c r="N29" s="0" t="n">
        <f aca="false">TRUNC(E29*M29,0)</f>
        <v>2982000</v>
      </c>
    </row>
    <row r="30" customFormat="false" ht="15" hidden="false" customHeight="false" outlineLevel="0" collapsed="false">
      <c r="C30" s="1" t="s">
        <v>154</v>
      </c>
      <c r="D30" s="0" t="s">
        <v>155</v>
      </c>
      <c r="E30" s="0" t="n">
        <v>2100</v>
      </c>
      <c r="F30" s="1" t="s">
        <v>118</v>
      </c>
      <c r="G30" s="0" t="n">
        <f aca="false">I30+K30+M30</f>
        <v>600</v>
      </c>
      <c r="H30" s="0" t="n">
        <f aca="false">J30+L30+N30</f>
        <v>1260000</v>
      </c>
      <c r="I30" s="0" t="n">
        <v>410</v>
      </c>
      <c r="J30" s="0" t="n">
        <f aca="false">TRUNC(E30*I30,0)</f>
        <v>861000</v>
      </c>
      <c r="K30" s="0" t="n">
        <v>110</v>
      </c>
      <c r="L30" s="0" t="n">
        <f t="shared" si="3"/>
        <v>231000</v>
      </c>
      <c r="M30" s="0" t="n">
        <v>80</v>
      </c>
      <c r="N30" s="0" t="n">
        <f aca="false">TRUNC(E30*M30,0)</f>
        <v>168000</v>
      </c>
    </row>
    <row r="31" customFormat="false" ht="15" hidden="false" customHeight="false" outlineLevel="0" collapsed="false">
      <c r="C31" s="1" t="s">
        <v>156</v>
      </c>
      <c r="D31" s="0" t="s">
        <v>157</v>
      </c>
      <c r="E31" s="0" t="n">
        <v>2100</v>
      </c>
      <c r="F31" s="1" t="s">
        <v>118</v>
      </c>
      <c r="G31" s="0" t="n">
        <f aca="false">I31+K31+M31</f>
        <v>10330</v>
      </c>
      <c r="H31" s="0" t="n">
        <f aca="false">J31+L31+N31</f>
        <v>21693000</v>
      </c>
      <c r="I31" s="0" t="n">
        <v>7900</v>
      </c>
      <c r="J31" s="0" t="n">
        <f aca="false">TRUNC(E31*I31,0)</f>
        <v>16590000</v>
      </c>
      <c r="K31" s="0" t="n">
        <v>1050</v>
      </c>
      <c r="L31" s="0" t="n">
        <f t="shared" si="3"/>
        <v>2205000</v>
      </c>
      <c r="M31" s="0" t="n">
        <v>1380</v>
      </c>
      <c r="N31" s="0" t="n">
        <f aca="false">TRUNC(E31*M31,0)</f>
        <v>2898000</v>
      </c>
    </row>
    <row r="32" customFormat="false" ht="17.15" hidden="false" customHeight="false" outlineLevel="0" collapsed="false">
      <c r="C32" s="1" t="s">
        <v>158</v>
      </c>
      <c r="D32" s="1" t="s">
        <v>159</v>
      </c>
      <c r="E32" s="0" t="n">
        <v>640</v>
      </c>
      <c r="F32" s="0" t="s">
        <v>145</v>
      </c>
      <c r="G32" s="0" t="n">
        <f aca="false">I32+K32+M32</f>
        <v>2560</v>
      </c>
      <c r="H32" s="0" t="n">
        <f aca="false">J32+L32+N32</f>
        <v>1638400</v>
      </c>
      <c r="I32" s="0" t="n">
        <v>1350</v>
      </c>
      <c r="J32" s="0" t="n">
        <f aca="false">TRUNC(E32*I32,0)</f>
        <v>864000</v>
      </c>
      <c r="K32" s="0" t="n">
        <v>980</v>
      </c>
      <c r="L32" s="0" t="n">
        <f t="shared" si="3"/>
        <v>627200</v>
      </c>
      <c r="M32" s="0" t="n">
        <v>230</v>
      </c>
      <c r="N32" s="0" t="n">
        <f aca="false">TRUNC(E32*M32,0)</f>
        <v>147200</v>
      </c>
    </row>
    <row r="33" customFormat="false" ht="15" hidden="false" customHeight="false" outlineLevel="0" collapsed="false">
      <c r="B33" s="0" t="s">
        <v>160</v>
      </c>
      <c r="C33" s="1" t="s">
        <v>161</v>
      </c>
      <c r="H33" s="0" t="n">
        <f aca="false">H34+H35</f>
        <v>6115000</v>
      </c>
      <c r="J33" s="0" t="n">
        <f aca="false">J34+J35</f>
        <v>2232000</v>
      </c>
      <c r="L33" s="0" t="n">
        <f aca="false">L34+L35</f>
        <v>2714000</v>
      </c>
      <c r="N33" s="0" t="n">
        <f aca="false">N34+N35</f>
        <v>1169000</v>
      </c>
    </row>
    <row r="34" customFormat="false" ht="15" hidden="false" customHeight="false" outlineLevel="0" collapsed="false">
      <c r="C34" s="1" t="s">
        <v>162</v>
      </c>
      <c r="D34" s="0" t="s">
        <v>163</v>
      </c>
      <c r="E34" s="0" t="n">
        <v>360</v>
      </c>
      <c r="F34" s="0" t="s">
        <v>145</v>
      </c>
      <c r="G34" s="0" t="n">
        <f aca="false">I34+K34+M34</f>
        <v>11500</v>
      </c>
      <c r="H34" s="0" t="n">
        <f aca="false">J34+L34+N34</f>
        <v>4140000</v>
      </c>
      <c r="I34" s="0" t="n">
        <v>6200</v>
      </c>
      <c r="J34" s="0" t="n">
        <f aca="false">TRUNC(E34*I34,0)</f>
        <v>2232000</v>
      </c>
      <c r="K34" s="0" t="n">
        <v>4900</v>
      </c>
      <c r="L34" s="0" t="n">
        <f t="shared" ref="L34:L35" si="4">TRUNC(E34*K34,0)</f>
        <v>1764000</v>
      </c>
      <c r="M34" s="0" t="n">
        <v>400</v>
      </c>
      <c r="N34" s="0" t="n">
        <f aca="false">TRUNC(E34*M34,0)</f>
        <v>144000</v>
      </c>
    </row>
    <row r="35" customFormat="false" ht="17.15" hidden="false" customHeight="false" outlineLevel="0" collapsed="false">
      <c r="C35" s="1" t="s">
        <v>164</v>
      </c>
      <c r="D35" s="1" t="s">
        <v>165</v>
      </c>
      <c r="E35" s="0" t="n">
        <v>25</v>
      </c>
      <c r="F35" s="1" t="s">
        <v>166</v>
      </c>
      <c r="G35" s="0" t="n">
        <f aca="false">I35+K35+M35</f>
        <v>79000</v>
      </c>
      <c r="H35" s="0" t="n">
        <f aca="false">J35+L35+N35</f>
        <v>1975000</v>
      </c>
      <c r="K35" s="0" t="n">
        <v>38000</v>
      </c>
      <c r="L35" s="0" t="n">
        <f t="shared" si="4"/>
        <v>950000</v>
      </c>
      <c r="M35" s="0" t="n">
        <v>41000</v>
      </c>
      <c r="N35" s="0" t="n">
        <f aca="false">TRUNC(E35*M35,0)</f>
        <v>1025000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2026-10-19T13:42:38Z</dcterms:created>
  <dc:creator>openpyxl</dc:creator>
  <dc:description/>
  <dc:language>en-US</dc:language>
  <cp:lastModifiedBy/>
  <dcterms:modified xsi:type="dcterms:W3CDTF">2026-10-19T13:42:38Z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