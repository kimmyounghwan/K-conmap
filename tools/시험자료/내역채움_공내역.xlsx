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내역서" sheetId="2" state="visible" r:id="rId2"/>
    <sheet xmlns:r="http://schemas.openxmlformats.org/officeDocument/2006/relationships" name="일위대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공내역서 (시험용 — 실제 공사 아님)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1. 철근콘크리트공사 (가상)</t>
        </is>
      </c>
    </row>
    <row r="3">
      <c r="A3" t="inlineStr">
        <is>
          <t>품      명</t>
        </is>
      </c>
      <c r="B3" t="inlineStr">
        <is>
          <t>규      격</t>
        </is>
      </c>
      <c r="C3" t="inlineStr">
        <is>
          <t>단위</t>
        </is>
      </c>
      <c r="D3" t="inlineStr">
        <is>
          <t>수량</t>
        </is>
      </c>
      <c r="E3" t="inlineStr">
        <is>
          <t>재  료  비</t>
        </is>
      </c>
      <c r="G3" t="inlineStr">
        <is>
          <t>노  무  비</t>
        </is>
      </c>
      <c r="I3" t="inlineStr">
        <is>
          <t>합      계</t>
        </is>
      </c>
    </row>
    <row r="4">
      <c r="E4" t="inlineStr">
        <is>
          <t>단  가</t>
        </is>
      </c>
      <c r="F4" t="inlineStr">
        <is>
          <t>금  액</t>
        </is>
      </c>
      <c r="G4" t="inlineStr">
        <is>
          <t>단  가</t>
        </is>
      </c>
      <c r="H4" t="inlineStr">
        <is>
          <t>금  액</t>
        </is>
      </c>
      <c r="I4" t="inlineStr">
        <is>
          <t>단  가</t>
        </is>
      </c>
      <c r="J4" t="inlineStr">
        <is>
          <t>금  액</t>
        </is>
      </c>
    </row>
    <row r="5">
      <c r="A5" s="2" t="inlineStr">
        <is>
          <t>레미콘</t>
        </is>
      </c>
      <c r="B5" s="2" t="inlineStr">
        <is>
          <t>25-24-150</t>
        </is>
      </c>
      <c r="C5" s="2" t="inlineStr">
        <is>
          <t>M3</t>
        </is>
      </c>
      <c r="D5" s="3" t="n"/>
      <c r="E5" s="2" t="n">
        <v>72000</v>
      </c>
      <c r="F5" s="2">
        <f>ROUND(D5*E5,0)</f>
        <v/>
      </c>
      <c r="G5" s="2" t="n">
        <v>0</v>
      </c>
      <c r="H5" s="2">
        <f>ROUND(D5*G5,0)</f>
        <v/>
      </c>
      <c r="I5" s="2">
        <f>E5+G5</f>
        <v/>
      </c>
      <c r="J5" s="2">
        <f>F5+H5</f>
        <v/>
      </c>
    </row>
    <row r="6">
      <c r="A6" s="2" t="inlineStr">
        <is>
          <t>레미콘</t>
        </is>
      </c>
      <c r="B6" s="2" t="inlineStr">
        <is>
          <t>25-30-15</t>
        </is>
      </c>
      <c r="C6" s="2" t="inlineStr">
        <is>
          <t>M3</t>
        </is>
      </c>
      <c r="D6" s="3" t="n"/>
      <c r="E6" s="2" t="n">
        <v>76000</v>
      </c>
      <c r="F6" s="2">
        <f>ROUND(D6*E6,0)</f>
        <v/>
      </c>
      <c r="G6" s="2" t="n">
        <v>0</v>
      </c>
      <c r="H6" s="2">
        <f>ROUND(D6*G6,0)</f>
        <v/>
      </c>
      <c r="I6" s="2">
        <f>E6+G6</f>
        <v/>
      </c>
      <c r="J6" s="2">
        <f>F6+H6</f>
        <v/>
      </c>
    </row>
    <row r="7">
      <c r="A7" s="2" t="inlineStr">
        <is>
          <t>레미콘 펌프차 타설</t>
        </is>
      </c>
      <c r="B7" s="2" t="inlineStr">
        <is>
          <t>슬럼프 15cm</t>
        </is>
      </c>
      <c r="C7" s="2" t="inlineStr">
        <is>
          <t>M3</t>
        </is>
      </c>
      <c r="D7" s="3" t="n"/>
      <c r="E7" s="2" t="n">
        <v>0</v>
      </c>
      <c r="F7" s="2">
        <f>ROUND(D7*E7,0)</f>
        <v/>
      </c>
      <c r="G7" s="2" t="n">
        <v>9000</v>
      </c>
      <c r="H7" s="2">
        <f>ROUND(D7*G7,0)</f>
        <v/>
      </c>
      <c r="I7" s="2">
        <f>E7+G7</f>
        <v/>
      </c>
      <c r="J7" s="2">
        <f>F7+H7</f>
        <v/>
      </c>
    </row>
    <row r="8">
      <c r="A8" s="2" t="inlineStr">
        <is>
          <t>철근</t>
        </is>
      </c>
      <c r="B8" s="2" t="inlineStr">
        <is>
          <t>SD400 HD10</t>
        </is>
      </c>
      <c r="C8" s="2" t="inlineStr">
        <is>
          <t>TON</t>
        </is>
      </c>
      <c r="D8" s="3" t="n"/>
      <c r="E8" s="2" t="n">
        <v>820000</v>
      </c>
      <c r="F8" s="2">
        <f>ROUND(D8*E8,0)</f>
        <v/>
      </c>
      <c r="G8" s="2" t="n">
        <v>0</v>
      </c>
      <c r="H8" s="2">
        <f>ROUND(D8*G8,0)</f>
        <v/>
      </c>
      <c r="I8" s="2">
        <f>E8+G8</f>
        <v/>
      </c>
      <c r="J8" s="2">
        <f>F8+H8</f>
        <v/>
      </c>
    </row>
    <row r="9">
      <c r="A9" s="2" t="inlineStr">
        <is>
          <t>철근</t>
        </is>
      </c>
      <c r="B9" s="2" t="inlineStr">
        <is>
          <t>HD13</t>
        </is>
      </c>
      <c r="C9" s="2" t="inlineStr">
        <is>
          <t>TON</t>
        </is>
      </c>
      <c r="D9" s="3" t="n"/>
      <c r="E9" s="2" t="n">
        <v>815000</v>
      </c>
      <c r="F9" s="2">
        <f>ROUND(D9*E9,0)</f>
        <v/>
      </c>
      <c r="G9" s="2" t="n">
        <v>0</v>
      </c>
      <c r="H9" s="2">
        <f>ROUND(D9*G9,0)</f>
        <v/>
      </c>
      <c r="I9" s="2">
        <f>E9+G9</f>
        <v/>
      </c>
      <c r="J9" s="2">
        <f>F9+H9</f>
        <v/>
      </c>
    </row>
    <row r="10">
      <c r="A10" s="2" t="inlineStr">
        <is>
          <t>철근</t>
        </is>
      </c>
      <c r="B10" s="2" t="inlineStr">
        <is>
          <t>HD19</t>
        </is>
      </c>
      <c r="C10" s="2" t="inlineStr">
        <is>
          <t>TON</t>
        </is>
      </c>
      <c r="D10" s="3" t="n">
        <v>1.5</v>
      </c>
      <c r="E10" s="2" t="n">
        <v>810000</v>
      </c>
      <c r="F10" s="2">
        <f>ROUND(D10*E10,0)</f>
        <v/>
      </c>
      <c r="G10" s="2" t="n">
        <v>0</v>
      </c>
      <c r="H10" s="2">
        <f>ROUND(D10*G10,0)</f>
        <v/>
      </c>
      <c r="I10" s="2">
        <f>E10+G10</f>
        <v/>
      </c>
      <c r="J10" s="2">
        <f>F10+H10</f>
        <v/>
      </c>
    </row>
    <row r="11">
      <c r="A11" s="2" t="inlineStr">
        <is>
          <t>철근</t>
        </is>
      </c>
      <c r="B11" s="2" t="inlineStr">
        <is>
          <t>SHD22</t>
        </is>
      </c>
      <c r="C11" s="2" t="inlineStr">
        <is>
          <t>TON</t>
        </is>
      </c>
      <c r="D11" s="3" t="n"/>
      <c r="E11" s="2" t="n">
        <v>830000</v>
      </c>
      <c r="F11" s="2">
        <f>ROUND(D11*E11,0)</f>
        <v/>
      </c>
      <c r="G11" s="2" t="n">
        <v>0</v>
      </c>
      <c r="H11" s="2">
        <f>ROUND(D11*G11,0)</f>
        <v/>
      </c>
      <c r="I11" s="2">
        <f>E11+G11</f>
        <v/>
      </c>
      <c r="J11" s="2">
        <f>F11+H11</f>
        <v/>
      </c>
    </row>
    <row r="12">
      <c r="A12" s="2" t="inlineStr">
        <is>
          <t>철근</t>
        </is>
      </c>
      <c r="B12" s="2" t="inlineStr">
        <is>
          <t>HD25</t>
        </is>
      </c>
      <c r="C12" s="2" t="inlineStr">
        <is>
          <t>TON</t>
        </is>
      </c>
      <c r="D12" s="3" t="n"/>
      <c r="E12" s="2" t="n">
        <v>830000</v>
      </c>
      <c r="F12" s="2">
        <f>ROUND(D12*E12,0)</f>
        <v/>
      </c>
      <c r="G12" s="2" t="n">
        <v>0</v>
      </c>
      <c r="H12" s="2">
        <f>ROUND(D12*G12,0)</f>
        <v/>
      </c>
      <c r="I12" s="2">
        <f>E12+G12</f>
        <v/>
      </c>
      <c r="J12" s="2">
        <f>F12+H12</f>
        <v/>
      </c>
    </row>
    <row r="13">
      <c r="A13" s="2" t="inlineStr">
        <is>
          <t>철근가공조립</t>
        </is>
      </c>
      <c r="B13" s="2" t="inlineStr">
        <is>
          <t>공장가공 및 현장조립</t>
        </is>
      </c>
      <c r="C13" s="2" t="inlineStr">
        <is>
          <t>TON</t>
        </is>
      </c>
      <c r="D13" s="3" t="n"/>
      <c r="E13" s="2" t="n">
        <v>0</v>
      </c>
      <c r="F13" s="2">
        <f>ROUND(D13*E13,0)</f>
        <v/>
      </c>
      <c r="G13" s="2" t="n">
        <v>450000</v>
      </c>
      <c r="H13" s="2">
        <f>ROUND(D13*G13,0)</f>
        <v/>
      </c>
      <c r="I13" s="2">
        <f>E13+G13</f>
        <v/>
      </c>
      <c r="J13" s="2">
        <f>F13+H13</f>
        <v/>
      </c>
    </row>
    <row r="14">
      <c r="A14" s="2" t="inlineStr">
        <is>
          <t>합판거푸집</t>
        </is>
      </c>
      <c r="B14" s="2" t="inlineStr">
        <is>
          <t>3회</t>
        </is>
      </c>
      <c r="C14" s="2" t="inlineStr">
        <is>
          <t>M2</t>
        </is>
      </c>
      <c r="D14" s="3" t="n"/>
      <c r="E14" s="2" t="n">
        <v>9000</v>
      </c>
      <c r="F14" s="2">
        <f>ROUND(D14*E14,0)</f>
        <v/>
      </c>
      <c r="G14" s="2" t="n">
        <v>21000</v>
      </c>
      <c r="H14" s="2">
        <f>ROUND(D14*G14,0)</f>
        <v/>
      </c>
      <c r="I14" s="2">
        <f>E14+G14</f>
        <v/>
      </c>
      <c r="J14" s="2">
        <f>F14+H14</f>
        <v/>
      </c>
    </row>
    <row r="15">
      <c r="A15" s="2" t="inlineStr">
        <is>
          <t>먹매김</t>
        </is>
      </c>
      <c r="B15" s="2" t="inlineStr">
        <is>
          <t>구조</t>
        </is>
      </c>
      <c r="C15" s="2" t="inlineStr">
        <is>
          <t>M2</t>
        </is>
      </c>
      <c r="D15" s="3" t="n">
        <v>99</v>
      </c>
      <c r="E15" s="2" t="n">
        <v>0</v>
      </c>
      <c r="F15" s="2">
        <f>ROUND(D15*E15,0)</f>
        <v/>
      </c>
      <c r="G15" s="2" t="n">
        <v>1200</v>
      </c>
      <c r="H15" s="2">
        <f>ROUND(D15*G15,0)</f>
        <v/>
      </c>
      <c r="I15" s="2">
        <f>E15+G15</f>
        <v/>
      </c>
      <c r="J15" s="2">
        <f>F15+H15</f>
        <v/>
      </c>
    </row>
    <row r="16">
      <c r="A16" s="2" t="inlineStr">
        <is>
          <t>방수턱 거푸집</t>
        </is>
      </c>
      <c r="B16" s="2" t="inlineStr"/>
      <c r="C16" s="2" t="inlineStr">
        <is>
          <t>M2</t>
        </is>
      </c>
      <c r="D16" s="3" t="n"/>
      <c r="E16" s="2" t="n">
        <v>5000</v>
      </c>
      <c r="F16" s="2">
        <f>ROUND(D16*E16,0)</f>
        <v/>
      </c>
      <c r="G16" s="2" t="n">
        <v>15000</v>
      </c>
      <c r="H16" s="2">
        <f>ROUND(D16*G16,0)</f>
        <v/>
      </c>
      <c r="I16" s="2">
        <f>E16+G16</f>
        <v/>
      </c>
      <c r="J16" s="2">
        <f>F16+H16</f>
        <v/>
      </c>
    </row>
    <row r="17">
      <c r="A17" s="2" t="inlineStr">
        <is>
          <t>콘크리트 양생</t>
        </is>
      </c>
      <c r="B17" s="2" t="inlineStr"/>
      <c r="C17" s="2" t="inlineStr">
        <is>
          <t>M3</t>
        </is>
      </c>
      <c r="D17" s="3">
        <f>D5</f>
        <v/>
      </c>
      <c r="E17" s="2" t="n">
        <v>0</v>
      </c>
      <c r="F17" s="2">
        <f>ROUND(D17*E17,0)</f>
        <v/>
      </c>
      <c r="G17" s="2" t="n">
        <v>800</v>
      </c>
      <c r="H17" s="2">
        <f>ROUND(D17*G17,0)</f>
        <v/>
      </c>
      <c r="I17" s="2">
        <f>E17+G17</f>
        <v/>
      </c>
      <c r="J17" s="2">
        <f>F17+H17</f>
        <v/>
      </c>
    </row>
    <row r="18">
      <c r="A18" t="inlineStr">
        <is>
          <t>합      계</t>
        </is>
      </c>
      <c r="J18">
        <f>SUM(J5:J17)</f>
        <v/>
      </c>
    </row>
  </sheetData>
  <mergeCells count="3">
    <mergeCell ref="G3:H3"/>
    <mergeCell ref="E3:F3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품명</t>
        </is>
      </c>
      <c r="B1" t="inlineStr">
        <is>
          <t>규격</t>
        </is>
      </c>
      <c r="C1" t="inlineStr">
        <is>
          <t>단위</t>
        </is>
      </c>
      <c r="D1" t="inlineStr">
        <is>
          <t>수량</t>
        </is>
      </c>
    </row>
    <row r="2">
      <c r="A2" t="inlineStr">
        <is>
          <t>레미콘</t>
        </is>
      </c>
      <c r="B2" t="inlineStr">
        <is>
          <t>25-24-150</t>
        </is>
      </c>
      <c r="C2" t="inlineStr">
        <is>
          <t>M3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2026-09-28T11:06:34Z</dcterms:created>
  <dcterms:modified xmlns:dcterms="http://purl.org/dc/terms/" xmlns:xsi="http://www.w3.org/2001/XMLSchema-instance" xsi:type="dcterms:W3CDTF">2026-09-28T11:06:34Z</dcterms:modified>
</cp:coreProperties>
</file>