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원가계산서" sheetId="1" state="visible" r:id="rId1"/>
    <sheet xmlns:r="http://schemas.openxmlformats.org/officeDocument/2006/relationships" name="내역서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비 목</t>
        </is>
      </c>
      <c r="B1" t="inlineStr">
        <is>
          <t>금 액</t>
        </is>
      </c>
      <c r="C1" t="inlineStr">
        <is>
          <t>A값</t>
        </is>
      </c>
    </row>
    <row r="2">
      <c r="A2" t="inlineStr">
        <is>
          <t>직접재료비</t>
        </is>
      </c>
      <c r="B2">
        <f>SUMIF(내역서!$N$3:$N$8,"사급",내역서!$G$3:$G$8)</f>
        <v/>
      </c>
      <c r="C2" t="inlineStr">
        <is>
          <t>O</t>
        </is>
      </c>
    </row>
    <row r="3">
      <c r="A3" t="inlineStr">
        <is>
          <t>관급자재비</t>
        </is>
      </c>
      <c r="B3">
        <f>SUMIF(내역서!$N$3:$N$8,"관급",내역서!$G$3:$G$8)</f>
        <v/>
      </c>
    </row>
    <row r="4">
      <c r="A4" t="inlineStr">
        <is>
          <t>직접노무비</t>
        </is>
      </c>
      <c r="B4">
        <f>내역서!I9</f>
        <v/>
      </c>
      <c r="C4" t="inlineStr">
        <is>
          <t>O</t>
        </is>
      </c>
    </row>
    <row r="5">
      <c r="A5" t="inlineStr">
        <is>
          <t>간접노무비</t>
        </is>
      </c>
      <c r="B5">
        <f>ROUNDDOWN(B4*0.146,0)</f>
        <v/>
      </c>
    </row>
    <row r="6">
      <c r="A6" t="inlineStr">
        <is>
          <t>직접경비</t>
        </is>
      </c>
      <c r="B6">
        <f>내역서!K9</f>
        <v/>
      </c>
      <c r="C6" t="inlineStr">
        <is>
          <t>O</t>
        </is>
      </c>
    </row>
    <row r="7">
      <c r="A7" t="inlineStr">
        <is>
          <t>산재보험료</t>
        </is>
      </c>
      <c r="B7">
        <f>ROUNDDOWN((B4+B5)*0.0356,0)</f>
        <v/>
      </c>
      <c r="C7" t="inlineStr">
        <is>
          <t>O</t>
        </is>
      </c>
    </row>
    <row r="8">
      <c r="A8" t="inlineStr">
        <is>
          <t>일반관리비</t>
        </is>
      </c>
      <c r="B8">
        <f>ROUNDDOWN((B2+B4+B5+B6+B7)*0.06,0)</f>
        <v/>
      </c>
    </row>
    <row r="9">
      <c r="A9" t="inlineStr">
        <is>
          <t>이윤</t>
        </is>
      </c>
      <c r="B9">
        <f>ROUNDDOWN((B4+B5+B6+B7+B8)*0.15,0)</f>
        <v/>
      </c>
    </row>
    <row r="10">
      <c r="A10" t="inlineStr">
        <is>
          <t>A값</t>
        </is>
      </c>
      <c r="B10">
        <f>SUMIF($C$2:$C$9,"O",$B$2:$B$9)</f>
        <v/>
      </c>
    </row>
    <row r="11">
      <c r="A11" t="inlineStr">
        <is>
          <t>도급액</t>
        </is>
      </c>
      <c r="B11">
        <f>ROUNDDOWN((B2+B4+B5+B6+B7+B8+B9)*1.1,0)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공종</t>
        </is>
      </c>
      <c r="B1" t="inlineStr">
        <is>
          <t>품명</t>
        </is>
      </c>
      <c r="C1" t="inlineStr">
        <is>
          <t>규격</t>
        </is>
      </c>
      <c r="D1" t="inlineStr">
        <is>
          <t>단위</t>
        </is>
      </c>
      <c r="E1" t="inlineStr">
        <is>
          <t>수량</t>
        </is>
      </c>
      <c r="F1" t="inlineStr">
        <is>
          <t>재료비</t>
        </is>
      </c>
      <c r="H1" t="inlineStr">
        <is>
          <t>노무비</t>
        </is>
      </c>
      <c r="J1" t="inlineStr">
        <is>
          <t>경비</t>
        </is>
      </c>
      <c r="L1" t="inlineStr">
        <is>
          <t>합계</t>
        </is>
      </c>
      <c r="M1" t="inlineStr">
        <is>
          <t>비고</t>
        </is>
      </c>
      <c r="N1" t="inlineStr">
        <is>
          <t>구분</t>
        </is>
      </c>
    </row>
    <row r="2">
      <c r="F2" t="inlineStr">
        <is>
          <t>단 가</t>
        </is>
      </c>
      <c r="G2" t="inlineStr">
        <is>
          <t>금 액</t>
        </is>
      </c>
      <c r="H2" t="inlineStr">
        <is>
          <t>단 가</t>
        </is>
      </c>
      <c r="I2" t="inlineStr">
        <is>
          <t>금 액</t>
        </is>
      </c>
      <c r="J2" t="inlineStr">
        <is>
          <t>단 가</t>
        </is>
      </c>
      <c r="K2" t="inlineStr">
        <is>
          <t>금 액</t>
        </is>
      </c>
      <c r="L2" t="inlineStr">
        <is>
          <t>금 액</t>
        </is>
      </c>
    </row>
    <row r="3">
      <c r="A3" t="inlineStr">
        <is>
          <t>1. 토공</t>
        </is>
      </c>
      <c r="B3" t="inlineStr">
        <is>
          <t>터파기</t>
        </is>
      </c>
      <c r="C3" t="inlineStr">
        <is>
          <t>백호 0.7</t>
        </is>
      </c>
      <c r="D3" t="inlineStr">
        <is>
          <t>㎥</t>
        </is>
      </c>
      <c r="E3" t="n">
        <v>120</v>
      </c>
      <c r="F3" t="n">
        <v>0</v>
      </c>
      <c r="G3">
        <f>ROUNDDOWN(E3*F3,0)</f>
        <v/>
      </c>
      <c r="H3" t="n">
        <v>9100</v>
      </c>
      <c r="I3">
        <f>ROUNDDOWN(E3*H3,0)</f>
        <v/>
      </c>
      <c r="J3" t="n">
        <v>1800</v>
      </c>
      <c r="K3">
        <f>ROUNDDOWN(E3*J3,0)</f>
        <v/>
      </c>
      <c r="L3">
        <f>G3+I3+K3</f>
        <v/>
      </c>
      <c r="N3" t="inlineStr">
        <is>
          <t>사급</t>
        </is>
      </c>
    </row>
    <row r="4">
      <c r="A4" t="inlineStr">
        <is>
          <t>1. 토공</t>
        </is>
      </c>
      <c r="B4" t="inlineStr">
        <is>
          <t>되메우기</t>
        </is>
      </c>
      <c r="C4" t="inlineStr">
        <is>
          <t>다짐</t>
        </is>
      </c>
      <c r="D4" t="inlineStr">
        <is>
          <t>㎥</t>
        </is>
      </c>
      <c r="E4" t="n">
        <v>80</v>
      </c>
      <c r="F4" t="n">
        <v>0</v>
      </c>
      <c r="G4">
        <f>ROUNDDOWN(E4*F4,0)</f>
        <v/>
      </c>
      <c r="H4" t="n">
        <v>6200</v>
      </c>
      <c r="I4">
        <f>ROUNDDOWN(E4*H4,0)</f>
        <v/>
      </c>
      <c r="J4" t="n">
        <v>900</v>
      </c>
      <c r="K4">
        <f>ROUNDDOWN(E4*J4,0)</f>
        <v/>
      </c>
      <c r="L4">
        <f>G4+I4+K4</f>
        <v/>
      </c>
      <c r="N4" t="inlineStr">
        <is>
          <t>사급</t>
        </is>
      </c>
    </row>
    <row r="5">
      <c r="A5" t="inlineStr">
        <is>
          <t>2. 관로</t>
        </is>
      </c>
      <c r="B5" t="inlineStr">
        <is>
          <t>흄관</t>
        </is>
      </c>
      <c r="C5" t="inlineStr">
        <is>
          <t>D600</t>
        </is>
      </c>
      <c r="D5" t="inlineStr">
        <is>
          <t>m</t>
        </is>
      </c>
      <c r="E5" t="n">
        <v>40</v>
      </c>
      <c r="F5" t="n">
        <v>52000</v>
      </c>
      <c r="G5">
        <f>ROUNDDOWN(E5*F5,0)</f>
        <v/>
      </c>
      <c r="H5" t="n">
        <v>18000</v>
      </c>
      <c r="I5">
        <f>ROUNDDOWN(E5*H5,0)</f>
        <v/>
      </c>
      <c r="J5" t="n">
        <v>2500</v>
      </c>
      <c r="K5">
        <f>ROUNDDOWN(E5*J5,0)</f>
        <v/>
      </c>
      <c r="L5">
        <f>G5+I5+K5</f>
        <v/>
      </c>
      <c r="N5" t="inlineStr">
        <is>
          <t>관급</t>
        </is>
      </c>
    </row>
    <row r="6">
      <c r="A6" t="inlineStr">
        <is>
          <t>2. 관로</t>
        </is>
      </c>
      <c r="B6" t="inlineStr">
        <is>
          <t>맨홀</t>
        </is>
      </c>
      <c r="C6" t="inlineStr">
        <is>
          <t>1호</t>
        </is>
      </c>
      <c r="D6" t="inlineStr">
        <is>
          <t>개</t>
        </is>
      </c>
      <c r="E6" t="n">
        <v>3</v>
      </c>
      <c r="F6" t="n">
        <v>410000</v>
      </c>
      <c r="G6">
        <f>ROUNDDOWN(E6*F6,0)</f>
        <v/>
      </c>
      <c r="H6" t="n">
        <v>160000</v>
      </c>
      <c r="I6">
        <f>ROUNDDOWN(E6*H6,0)</f>
        <v/>
      </c>
      <c r="J6" t="n">
        <v>12000</v>
      </c>
      <c r="K6">
        <f>ROUNDDOWN(E6*J6,0)</f>
        <v/>
      </c>
      <c r="L6">
        <f>G6+I6+K6</f>
        <v/>
      </c>
      <c r="N6" t="inlineStr">
        <is>
          <t>사급</t>
        </is>
      </c>
    </row>
    <row r="7">
      <c r="A7" t="inlineStr">
        <is>
          <t>3. 기타</t>
        </is>
      </c>
      <c r="B7" t="inlineStr">
        <is>
          <t>공구손료</t>
        </is>
      </c>
      <c r="C7" t="inlineStr">
        <is>
          <t>노무비의 3%</t>
        </is>
      </c>
      <c r="D7" t="inlineStr">
        <is>
          <t>식</t>
        </is>
      </c>
      <c r="E7" t="n">
        <v>1</v>
      </c>
      <c r="F7" t="n">
        <v>0</v>
      </c>
      <c r="G7">
        <f>ROUNDDOWN(E7*F7,0)</f>
        <v/>
      </c>
      <c r="H7" t="n">
        <v>0</v>
      </c>
      <c r="I7">
        <f>ROUNDDOWN(E7*H7,0)</f>
        <v/>
      </c>
      <c r="J7">
        <f>ROUNDDOWN(SUM(I3:I6)*0.03,0)</f>
        <v/>
      </c>
      <c r="K7">
        <f>ROUNDDOWN(E7*J7,0)</f>
        <v/>
      </c>
      <c r="L7">
        <f>G7+I7+K7</f>
        <v/>
      </c>
      <c r="N7" t="inlineStr">
        <is>
          <t>사급</t>
        </is>
      </c>
    </row>
    <row r="8">
      <c r="A8" t="inlineStr">
        <is>
          <t>3. 기타</t>
        </is>
      </c>
      <c r="B8" t="inlineStr">
        <is>
          <t>조달수수료</t>
        </is>
      </c>
      <c r="C8" t="inlineStr">
        <is>
          <t>관급의 0.54%</t>
        </is>
      </c>
      <c r="D8" t="inlineStr">
        <is>
          <t>%</t>
        </is>
      </c>
      <c r="E8" t="n">
        <v>0.54</v>
      </c>
      <c r="F8">
        <f>IF($E8=0,0,ROUNDDOWN((SUM(G3:G5)+G6)*0.0054/$E8,0))</f>
        <v/>
      </c>
      <c r="G8">
        <f>ROUNDDOWN(E8*F8,0)</f>
        <v/>
      </c>
      <c r="H8" t="n">
        <v>0</v>
      </c>
      <c r="I8">
        <f>ROUNDDOWN(E8*H8,0)</f>
        <v/>
      </c>
      <c r="J8" t="n">
        <v>0</v>
      </c>
      <c r="K8">
        <f>ROUNDDOWN(E8*J8,0)</f>
        <v/>
      </c>
      <c r="L8">
        <f>G8+I8+K8</f>
        <v/>
      </c>
      <c r="N8" t="inlineStr">
        <is>
          <t>사급</t>
        </is>
      </c>
    </row>
    <row r="9">
      <c r="B9" t="inlineStr">
        <is>
          <t>합 계</t>
        </is>
      </c>
      <c r="G9">
        <f>SUM(G3:G8)</f>
        <v/>
      </c>
      <c r="I9">
        <f>SUM(I3:I8)</f>
        <v/>
      </c>
      <c r="K9">
        <f>SUM(K3:K8)</f>
        <v/>
      </c>
      <c r="L9">
        <f>SUM(L3:L8)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2026-10-19T15:20:43Z</dcterms:created>
  <dcterms:modified xmlns:dcterms="http://purl.org/dc/terms/" xmlns:xsi="http://www.w3.org/2001/XMLSchema-instance" xsi:type="dcterms:W3CDTF">2026-10-19T15:22:39Z</dcterms:modified>
</cp:coreProperties>
</file>