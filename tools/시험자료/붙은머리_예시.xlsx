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공종별 내역서" sheetId="1" state="visible" r:id="rId3"/>
    <sheet name="원가계산서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<sst xmlns="http://schemas.openxmlformats.org/spreadsheetml/2006/main" count="41" uniqueCount="36">
  <si>
    <t xml:space="preserve">가상 실험실 배관 공사 — 공종별 설계내역서</t>
  </si>
  <si>
    <t xml:space="preserve">No</t>
  </si>
  <si>
    <t xml:space="preserve">대공종</t>
  </si>
  <si>
    <t xml:space="preserve">세부공종</t>
  </si>
  <si>
    <t xml:space="preserve">적용장비</t>
  </si>
  <si>
    <t xml:space="preserve">품명</t>
  </si>
  <si>
    <t xml:space="preserve">규격</t>
  </si>
  <si>
    <t xml:space="preserve">단위</t>
  </si>
  <si>
    <t xml:space="preserve">수량</t>
  </si>
  <si>
    <t xml:space="preserve">재료단가</t>
  </si>
  <si>
    <t xml:space="preserve">재료금액</t>
  </si>
  <si>
    <t xml:space="preserve">노무단가</t>
  </si>
  <si>
    <t xml:space="preserve">노무금액</t>
  </si>
  <si>
    <t xml:space="preserve">경비금액</t>
  </si>
  <si>
    <t xml:space="preserve">직접공사비</t>
  </si>
  <si>
    <t xml:space="preserve">가스</t>
  </si>
  <si>
    <r>
      <rPr>
        <sz val="11"/>
        <color theme="1"/>
        <rFont val="Noto Sans CJK SC"/>
        <family val="2"/>
      </rPr>
      <t xml:space="preserve">가상 배관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</si>
  <si>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장비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</si>
  <si>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가상 관 </t>
    </r>
    <r>
      <rPr>
        <sz val="11"/>
        <color theme="1"/>
        <rFont val="Calibri"/>
        <family val="2"/>
        <charset val="1"/>
      </rPr>
      <t xml:space="preserve">A</t>
    </r>
  </si>
  <si>
    <t xml:space="preserve">1/4"</t>
  </si>
  <si>
    <t xml:space="preserve">M</t>
  </si>
  <si>
    <r>
      <rPr>
        <sz val="11"/>
        <color theme="1"/>
        <rFont val="Noto Sans CJK SC"/>
        <family val="2"/>
      </rPr>
      <t xml:space="preserve">가상 밸브 </t>
    </r>
    <r>
      <rPr>
        <sz val="11"/>
        <color theme="1"/>
        <rFont val="Calibri"/>
        <family val="2"/>
        <charset val="1"/>
      </rPr>
      <t xml:space="preserve">B</t>
    </r>
  </si>
  <si>
    <t xml:space="preserve">EA</t>
  </si>
  <si>
    <t xml:space="preserve">배기</t>
  </si>
  <si>
    <t xml:space="preserve">가상 덕트</t>
  </si>
  <si>
    <r>
      <rPr>
        <sz val="11"/>
        <color theme="1"/>
        <rFont val="Noto Sans CJK SC"/>
        <family val="2"/>
      </rPr>
      <t xml:space="preserve">장비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</si>
  <si>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Noto Sans CJK SC"/>
        <family val="2"/>
      </rPr>
      <t xml:space="preserve">가상 덕트 </t>
    </r>
    <r>
      <rPr>
        <sz val="11"/>
        <color theme="1"/>
        <rFont val="Calibri"/>
        <family val="2"/>
        <charset val="1"/>
      </rPr>
      <t xml:space="preserve">C</t>
    </r>
  </si>
  <si>
    <t xml:space="preserve">200mm</t>
  </si>
  <si>
    <t xml:space="preserve">시험</t>
  </si>
  <si>
    <t xml:space="preserve">가상 시험</t>
  </si>
  <si>
    <t xml:space="preserve">가상 기밀시험</t>
  </si>
  <si>
    <t xml:space="preserve">식</t>
  </si>
  <si>
    <t xml:space="preserve">비목</t>
  </si>
  <si>
    <t xml:space="preserve">금액</t>
  </si>
  <si>
    <t xml:space="preserve">직접재료비</t>
  </si>
  <si>
    <t xml:space="preserve">직접노무비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</si>
</sst>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customFormat="false" ht="17.15" hidden="false" customHeight="false" outlineLevel="0" collapsed="false">
      <c r="A4" s="0" t="n">
        <v>1</v>
      </c>
      <c r="B4" s="1" t="s">
        <v>15</v>
      </c>
      <c r="C4" s="1" t="s">
        <v>16</v>
      </c>
      <c r="D4" s="1" t="s">
        <v>17</v>
      </c>
      <c r="E4" s="1" t="s">
        <v>18</v>
      </c>
      <c r="F4" s="0" t="s">
        <v>19</v>
      </c>
      <c r="G4" s="0" t="s">
        <v>20</v>
      </c>
      <c r="H4" s="0" t="n">
        <v>24</v>
      </c>
      <c r="I4" s="0" t="n">
        <v>6540</v>
      </c>
      <c r="J4" s="0" t="n">
        <f aca="false">H4*I4</f>
        <v>156960</v>
      </c>
      <c r="K4" s="0" t="n">
        <v>0</v>
      </c>
      <c r="L4" s="0" t="n">
        <f aca="false">H4*K4</f>
        <v>0</v>
      </c>
      <c r="M4" s="0" t="n">
        <v>0</v>
      </c>
      <c r="N4" s="0" t="n">
        <f aca="false">J4+L4+M4</f>
        <v>156960</v>
      </c>
    </row>
    <row r="5" customFormat="false" ht="17.15" hidden="false" customHeight="false" outlineLevel="0" collapsed="false">
      <c r="A5" s="0" t="n">
        <v>2</v>
      </c>
      <c r="B5" s="1" t="s">
        <v>15</v>
      </c>
      <c r="C5" s="1" t="s">
        <v>16</v>
      </c>
      <c r="D5" s="1" t="s">
        <v>17</v>
      </c>
      <c r="E5" s="1" t="s">
        <v>21</v>
      </c>
      <c r="F5" s="0" t="s">
        <v>19</v>
      </c>
      <c r="G5" s="0" t="s">
        <v>22</v>
      </c>
      <c r="H5" s="0" t="n">
        <v>3</v>
      </c>
      <c r="I5" s="0" t="n">
        <v>53291</v>
      </c>
      <c r="J5" s="0" t="n">
        <f aca="false">H5*I5</f>
        <v>159873</v>
      </c>
      <c r="K5" s="0" t="n">
        <v>1200</v>
      </c>
      <c r="L5" s="0" t="n">
        <f aca="false">H5*K5</f>
        <v>3600</v>
      </c>
      <c r="M5" s="0" t="n">
        <v>0</v>
      </c>
      <c r="N5" s="0" t="n">
        <f aca="false">J5+L5+M5</f>
        <v>163473</v>
      </c>
    </row>
    <row r="6" customFormat="false" ht="17.15" hidden="false" customHeight="false" outlineLevel="0" collapsed="false">
      <c r="A6" s="0" t="n">
        <v>3</v>
      </c>
      <c r="B6" s="1" t="s">
        <v>23</v>
      </c>
      <c r="C6" s="1" t="s">
        <v>24</v>
      </c>
      <c r="D6" s="1" t="s">
        <v>25</v>
      </c>
      <c r="E6" s="1" t="s">
        <v>26</v>
      </c>
      <c r="F6" s="0" t="s">
        <v>27</v>
      </c>
      <c r="G6" s="0" t="s">
        <v>20</v>
      </c>
      <c r="H6" s="0" t="n">
        <v>12.5</v>
      </c>
      <c r="I6" s="0" t="n">
        <v>18333</v>
      </c>
      <c r="J6" s="0" t="n">
        <f aca="false">H6*I6</f>
        <v>229162.5</v>
      </c>
      <c r="K6" s="0" t="n">
        <v>4567</v>
      </c>
      <c r="L6" s="0" t="n">
        <f aca="false">H6*K6</f>
        <v>57087.5</v>
      </c>
      <c r="M6" s="0" t="n">
        <v>1000</v>
      </c>
      <c r="N6" s="0" t="n">
        <f aca="false">J6+L6+M6</f>
        <v>287250</v>
      </c>
    </row>
    <row r="7" customFormat="false" ht="15" hidden="false" customHeight="false" outlineLevel="0" collapsed="false">
      <c r="A7" s="0" t="n">
        <v>4</v>
      </c>
      <c r="B7" s="1" t="s">
        <v>28</v>
      </c>
      <c r="C7" s="1" t="s">
        <v>29</v>
      </c>
      <c r="E7" s="1" t="s">
        <v>30</v>
      </c>
      <c r="G7" s="1" t="s">
        <v>31</v>
      </c>
      <c r="H7" s="0" t="n">
        <v>1</v>
      </c>
      <c r="I7" s="0" t="n">
        <v>0</v>
      </c>
      <c r="J7" s="0" t="n">
        <f aca="false">H7*I7</f>
        <v>0</v>
      </c>
      <c r="K7" s="0" t="n">
        <v>350000</v>
      </c>
      <c r="L7" s="0" t="n">
        <f aca="false">H7*K7</f>
        <v>350000</v>
      </c>
      <c r="M7" s="0" t="n">
        <v>25000</v>
      </c>
      <c r="N7" s="0" t="n">
        <f aca="false">J7+L7+M7</f>
        <v>375000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32</v>
      </c>
      <c r="B1" s="1" t="s">
        <v>33</v>
      </c>
    </row>
    <row r="2" customFormat="false" ht="15" hidden="false" customHeight="false" outlineLevel="0" collapsed="false">
      <c r="A2" s="1" t="s">
        <v>34</v>
      </c>
      <c r="B2" s="0" t="n">
        <f aca="false">SUM('공종별 내역서'!J4:J7)</f>
        <v>545995.5</v>
      </c>
    </row>
    <row r="3" customFormat="false" ht="15" hidden="false" customHeight="false" outlineLevel="0" collapsed="false">
      <c r="A3" s="1" t="s">
        <v>35</v>
      </c>
      <c r="B3" s="0" t="n">
        <f aca="false">SUM('공종별 내역서'!L4:L7)</f>
        <v>410687.5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2026-10-22T14:30:14Z</dcterms:created>
  <dc:creator>openpyxl</dc:creator>
  <dc:description/>
  <dc:language>en-US</dc:language>
  <cp:lastModifiedBy/>
  <dcterms:modified xsi:type="dcterms:W3CDTF">2026-10-22T14:30:14Z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