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내역서" sheetId="1" state="visible" r:id="rId1"/>
    <sheet xmlns:r="http://schemas.openxmlformats.org/officeDocument/2006/relationships" name="일위대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7" customWidth="1" min="4" max="4"/>
    <col width="12" customWidth="1" min="5" max="5"/>
    <col width="12" customWidth="1" min="6" max="6"/>
    <col width="14" customWidth="1" min="7" max="7"/>
    <col width="16" customWidth="1" min="8" max="8"/>
  </cols>
  <sheetData>
    <row r="1">
      <c r="A1" s="1" t="inlineStr">
        <is>
          <t>가상 공사 내역서 (예시 — 실제 공사가 아닙니다 · K-건설맵)</t>
        </is>
      </c>
    </row>
    <row r="3">
      <c r="A3" s="2" t="inlineStr">
        <is>
          <t>번호</t>
        </is>
      </c>
      <c r="B3" s="2" t="inlineStr">
        <is>
          <t>품명</t>
        </is>
      </c>
      <c r="C3" s="2" t="inlineStr">
        <is>
          <t>규격</t>
        </is>
      </c>
      <c r="D3" s="2" t="inlineStr">
        <is>
          <t>단위</t>
        </is>
      </c>
      <c r="E3" s="2" t="inlineStr">
        <is>
          <t>수량</t>
        </is>
      </c>
      <c r="F3" s="2" t="inlineStr">
        <is>
          <t>단가</t>
        </is>
      </c>
      <c r="G3" s="2" t="inlineStr">
        <is>
          <t>금액</t>
        </is>
      </c>
      <c r="H3" s="2" t="inlineStr">
        <is>
          <t>비고</t>
        </is>
      </c>
    </row>
    <row r="4">
      <c r="A4" s="3" t="n">
        <v>1</v>
      </c>
      <c r="B4" s="3" t="inlineStr">
        <is>
          <t>이형철근</t>
        </is>
      </c>
      <c r="C4" s="3" t="inlineStr">
        <is>
          <t>SD400 D13</t>
        </is>
      </c>
      <c r="D4" s="3" t="inlineStr">
        <is>
          <t>ton</t>
        </is>
      </c>
      <c r="E4" s="4" t="n">
        <v>0.049</v>
      </c>
      <c r="F4" s="5" t="n">
        <v>950000</v>
      </c>
      <c r="G4" s="5">
        <f>ROUND(E4*F4,0)</f>
        <v/>
      </c>
      <c r="H4" s="3" t="inlineStr"/>
    </row>
    <row r="5">
      <c r="A5" s="3" t="n">
        <v>2</v>
      </c>
      <c r="B5" s="3" t="inlineStr">
        <is>
          <t>이형철근</t>
        </is>
      </c>
      <c r="C5" s="3" t="inlineStr">
        <is>
          <t>SD400 D16</t>
        </is>
      </c>
      <c r="D5" s="3" t="inlineStr">
        <is>
          <t>ton</t>
        </is>
      </c>
      <c r="E5" s="4" t="n">
        <v>0.075</v>
      </c>
      <c r="F5" s="5" t="n">
        <v>940000</v>
      </c>
      <c r="G5" s="5">
        <f>ROUND(E5*F5,0)</f>
        <v/>
      </c>
      <c r="H5" s="3" t="inlineStr"/>
    </row>
    <row r="6">
      <c r="A6" s="3" t="n">
        <v>3</v>
      </c>
      <c r="B6" s="3" t="inlineStr">
        <is>
          <t>이형철근</t>
        </is>
      </c>
      <c r="C6" s="3" t="inlineStr">
        <is>
          <t>SD400 D22</t>
        </is>
      </c>
      <c r="D6" s="3" t="inlineStr">
        <is>
          <t>ton</t>
        </is>
      </c>
      <c r="E6" s="4" t="n">
        <v>0.077</v>
      </c>
      <c r="F6" s="5" t="n">
        <v>930000</v>
      </c>
      <c r="G6" s="5">
        <f>ROUND(E6*F6,0)</f>
        <v/>
      </c>
      <c r="H6" s="3" t="inlineStr"/>
    </row>
    <row r="7">
      <c r="A7" s="3" t="n">
        <v>4</v>
      </c>
      <c r="B7" s="3" t="inlineStr">
        <is>
          <t>레미콘</t>
        </is>
      </c>
      <c r="C7" s="3" t="inlineStr">
        <is>
          <t>25-24-150</t>
        </is>
      </c>
      <c r="D7" s="3" t="inlineStr">
        <is>
          <t>m3</t>
        </is>
      </c>
      <c r="E7" s="4" t="n">
        <v>18.4</v>
      </c>
      <c r="F7" s="5" t="n">
        <v>98000</v>
      </c>
      <c r="G7" s="5">
        <f>ROUND(E7*F7,0)</f>
        <v/>
      </c>
      <c r="H7" s="3" t="inlineStr"/>
    </row>
    <row r="8">
      <c r="A8" s="3" t="n">
        <v>5</v>
      </c>
      <c r="B8" s="3" t="inlineStr">
        <is>
          <t>합판거푸집</t>
        </is>
      </c>
      <c r="C8" s="3" t="inlineStr">
        <is>
          <t>3회</t>
        </is>
      </c>
      <c r="D8" s="3" t="inlineStr">
        <is>
          <t>m2</t>
        </is>
      </c>
      <c r="E8" s="4" t="n">
        <v>60</v>
      </c>
      <c r="F8" s="5" t="n">
        <v>21000</v>
      </c>
      <c r="G8" s="5">
        <f>ROUND(E8*F8,0)</f>
        <v/>
      </c>
      <c r="H8" s="3" t="inlineStr"/>
    </row>
    <row r="9">
      <c r="A9" s="3" t="n">
        <v>6</v>
      </c>
      <c r="B9" s="3" t="inlineStr">
        <is>
          <t>기초잡석</t>
        </is>
      </c>
      <c r="C9" s="3" t="inlineStr"/>
      <c r="D9" s="3" t="inlineStr">
        <is>
          <t>m3</t>
        </is>
      </c>
      <c r="E9" s="4" t="n">
        <v>6.2</v>
      </c>
      <c r="F9" s="5" t="n">
        <v>35000</v>
      </c>
      <c r="G9" s="5">
        <f>ROUND(E9*F9,0)</f>
        <v/>
      </c>
      <c r="H9" s="3" t="inlineStr"/>
    </row>
    <row r="10">
      <c r="A10" s="3" t="n">
        <v>7</v>
      </c>
      <c r="B10" s="3" t="inlineStr">
        <is>
          <t>PE 이중벽관</t>
        </is>
      </c>
      <c r="C10" s="3" t="inlineStr">
        <is>
          <t>D300</t>
        </is>
      </c>
      <c r="D10" s="3" t="inlineStr">
        <is>
          <t>m</t>
        </is>
      </c>
      <c r="E10" s="4" t="n">
        <v>64.5</v>
      </c>
      <c r="F10" s="5" t="n">
        <v>42000</v>
      </c>
      <c r="G10" s="5">
        <f>ROUND(E10*F10,0)</f>
        <v/>
      </c>
      <c r="H10" s="3" t="inlineStr"/>
    </row>
    <row r="11">
      <c r="A11" s="3" t="n">
        <v>8</v>
      </c>
      <c r="B11" s="3" t="inlineStr">
        <is>
          <t>토사 깎기</t>
        </is>
      </c>
      <c r="C11" s="3" t="inlineStr"/>
      <c r="D11" s="3" t="inlineStr">
        <is>
          <t>m3</t>
        </is>
      </c>
      <c r="E11" s="4" t="n">
        <v>589</v>
      </c>
      <c r="F11" s="5" t="n">
        <v>3500</v>
      </c>
      <c r="G11" s="5">
        <f>ROUND(E11*F11,0)</f>
        <v/>
      </c>
      <c r="H11" s="3" t="inlineStr"/>
    </row>
    <row r="12">
      <c r="A12" s="3" t="n">
        <v>9</v>
      </c>
      <c r="B12" s="3" t="inlineStr">
        <is>
          <t>리핑암 깎기</t>
        </is>
      </c>
      <c r="C12" s="3" t="inlineStr"/>
      <c r="D12" s="3" t="inlineStr">
        <is>
          <t>m3</t>
        </is>
      </c>
      <c r="E12" s="4" t="n">
        <v>110</v>
      </c>
      <c r="F12" s="5" t="n">
        <v>12000</v>
      </c>
      <c r="G12" s="5">
        <f>ROUND(E12*F12,0)</f>
        <v/>
      </c>
      <c r="H12" s="3" t="inlineStr"/>
    </row>
    <row r="13">
      <c r="A13" s="3" t="n">
        <v>10</v>
      </c>
      <c r="B13" s="3" t="inlineStr">
        <is>
          <t>발파암 깎기</t>
        </is>
      </c>
      <c r="C13" s="3" t="inlineStr"/>
      <c r="D13" s="3" t="inlineStr">
        <is>
          <t>m3</t>
        </is>
      </c>
      <c r="E13" s="4" t="n">
        <v>16</v>
      </c>
      <c r="F13" s="5" t="n">
        <v>25000</v>
      </c>
      <c r="G13" s="5">
        <f>ROUND(E13*F13,0)</f>
        <v/>
      </c>
      <c r="H13" s="3" t="inlineStr"/>
    </row>
    <row r="14">
      <c r="A14" s="3" t="n">
        <v>11</v>
      </c>
      <c r="B14" s="3" t="inlineStr">
        <is>
          <t>노체 쌓기</t>
        </is>
      </c>
      <c r="C14" s="3" t="inlineStr"/>
      <c r="D14" s="3" t="inlineStr">
        <is>
          <t>m3</t>
        </is>
      </c>
      <c r="E14" s="4" t="n">
        <v>572</v>
      </c>
      <c r="F14" s="5" t="n">
        <v>2800</v>
      </c>
      <c r="G14" s="5">
        <f>ROUND(E14*F14,0)</f>
        <v/>
      </c>
      <c r="H14" s="3" t="inlineStr"/>
    </row>
    <row r="15">
      <c r="A15" s="3" t="n">
        <v>12</v>
      </c>
      <c r="B15" s="3" t="inlineStr">
        <is>
          <t>노상 쌓기</t>
        </is>
      </c>
      <c r="C15" s="3" t="inlineStr"/>
      <c r="D15" s="3" t="inlineStr">
        <is>
          <t>m3</t>
        </is>
      </c>
      <c r="E15" s="4" t="n">
        <v>150</v>
      </c>
      <c r="F15" s="5" t="n">
        <v>3100</v>
      </c>
      <c r="G15" s="5">
        <f>ROUND(E15*F15,0)</f>
        <v/>
      </c>
      <c r="H15" s="3" t="inlineStr"/>
    </row>
    <row r="16">
      <c r="A16" s="3" t="n">
        <v>13</v>
      </c>
      <c r="B16" s="3" t="inlineStr">
        <is>
          <t>표토제거</t>
        </is>
      </c>
      <c r="C16" s="3" t="inlineStr"/>
      <c r="D16" s="3" t="inlineStr">
        <is>
          <t>m3</t>
        </is>
      </c>
      <c r="E16" s="4" t="n">
        <v>239</v>
      </c>
      <c r="F16" s="5" t="n">
        <v>1900</v>
      </c>
      <c r="G16" s="5">
        <f>ROUND(E16*F16,0)</f>
        <v/>
      </c>
      <c r="H16" s="3" t="inlineStr"/>
    </row>
    <row r="17">
      <c r="A17" s="3" t="n">
        <v>14</v>
      </c>
      <c r="B17" s="3" t="inlineStr">
        <is>
          <t>떼붙임</t>
        </is>
      </c>
      <c r="C17" s="3" t="inlineStr"/>
      <c r="D17" s="3" t="inlineStr">
        <is>
          <t>m2</t>
        </is>
      </c>
      <c r="E17" s="4" t="n">
        <v>636</v>
      </c>
      <c r="F17" s="5" t="n">
        <v>4200</v>
      </c>
      <c r="G17" s="5">
        <f>ROUND(E17*F17,0)</f>
        <v/>
      </c>
      <c r="H17" s="3" t="inlineStr"/>
    </row>
    <row r="18">
      <c r="A18" s="3" t="n">
        <v>15</v>
      </c>
      <c r="B18" s="3" t="inlineStr">
        <is>
          <t>L형 측구</t>
        </is>
      </c>
      <c r="C18" s="3" t="inlineStr"/>
      <c r="D18" s="3" t="inlineStr">
        <is>
          <t>m</t>
        </is>
      </c>
      <c r="E18" s="4" t="n">
        <v>150</v>
      </c>
      <c r="F18" s="5" t="n">
        <v>38000</v>
      </c>
      <c r="G18" s="5">
        <f>ROUND(E18*F18,0)</f>
        <v/>
      </c>
      <c r="H18" s="3" t="inlineStr"/>
    </row>
    <row r="19">
      <c r="A19" s="3" t="n">
        <v>16</v>
      </c>
      <c r="B19" s="3" t="inlineStr">
        <is>
          <t>빗물받이</t>
        </is>
      </c>
      <c r="C19" s="3" t="inlineStr"/>
      <c r="D19" s="3" t="inlineStr">
        <is>
          <t>개소</t>
        </is>
      </c>
      <c r="E19" s="4" t="n">
        <v>4</v>
      </c>
      <c r="F19" s="5" t="n">
        <v>450000</v>
      </c>
      <c r="G19" s="5">
        <f>ROUND(E19*F19,0)</f>
        <v/>
      </c>
      <c r="H19" s="3" t="inlineStr"/>
    </row>
    <row r="20">
      <c r="A20" s="3" t="n">
        <v>17</v>
      </c>
      <c r="B20" s="3" t="inlineStr">
        <is>
          <t>가로등 설치</t>
        </is>
      </c>
      <c r="C20" s="3" t="inlineStr"/>
      <c r="D20" s="3" t="inlineStr">
        <is>
          <t>개</t>
        </is>
      </c>
      <c r="E20" s="4" t="n">
        <v>4</v>
      </c>
      <c r="F20" s="5" t="n">
        <v>1850000</v>
      </c>
      <c r="G20" s="5">
        <f>ROUND(E20*F20,0)</f>
        <v/>
      </c>
      <c r="H20" s="3" t="inlineStr"/>
    </row>
    <row r="21">
      <c r="A21" s="3" t="n">
        <v>18</v>
      </c>
      <c r="B21" s="3" t="inlineStr">
        <is>
          <t>교통안전표지판</t>
        </is>
      </c>
      <c r="C21" s="3" t="inlineStr"/>
      <c r="D21" s="3" t="inlineStr">
        <is>
          <t>개</t>
        </is>
      </c>
      <c r="E21" s="4" t="n">
        <v>2</v>
      </c>
      <c r="F21" s="5" t="n">
        <v>320000</v>
      </c>
      <c r="G21" s="5">
        <f>ROUND(E21*F21,0)</f>
        <v/>
      </c>
      <c r="H21" s="3" t="inlineStr"/>
    </row>
    <row r="22">
      <c r="A22" s="3" t="n">
        <v>19</v>
      </c>
      <c r="B22" s="3" t="inlineStr">
        <is>
          <t>바닥 마감(F1) 비닐타일</t>
        </is>
      </c>
      <c r="C22" s="3" t="inlineStr"/>
      <c r="D22" s="3" t="inlineStr">
        <is>
          <t>m2</t>
        </is>
      </c>
      <c r="E22" s="4" t="n">
        <v>78</v>
      </c>
      <c r="F22" s="5" t="n">
        <v>18000</v>
      </c>
      <c r="G22" s="5">
        <f>ROUND(E22*F22,0)</f>
        <v/>
      </c>
      <c r="H22" s="3" t="inlineStr"/>
    </row>
    <row r="23">
      <c r="A23" s="3" t="n">
        <v>20</v>
      </c>
      <c r="B23" s="3" t="inlineStr">
        <is>
          <t>벽 마감(W1) 수성페인트</t>
        </is>
      </c>
      <c r="C23" s="3" t="inlineStr"/>
      <c r="D23" s="3" t="inlineStr">
        <is>
          <t>m2</t>
        </is>
      </c>
      <c r="E23" s="4" t="n">
        <v>130</v>
      </c>
      <c r="F23" s="5" t="n">
        <v>9000</v>
      </c>
      <c r="G23" s="5">
        <f>ROUND(E23*F23,0)</f>
        <v/>
      </c>
      <c r="H23" s="3" t="inlineStr"/>
    </row>
    <row r="24">
      <c r="A24" s="3" t="n">
        <v>21</v>
      </c>
      <c r="B24" s="3" t="inlineStr">
        <is>
          <t>천장 마감(C1) 텍스</t>
        </is>
      </c>
      <c r="C24" s="3" t="inlineStr"/>
      <c r="D24" s="3" t="inlineStr">
        <is>
          <t>m2</t>
        </is>
      </c>
      <c r="E24" s="4" t="n">
        <v>78</v>
      </c>
      <c r="F24" s="5" t="n">
        <v>21000</v>
      </c>
      <c r="G24" s="5">
        <f>ROUND(E24*F24,0)</f>
        <v/>
      </c>
      <c r="H24" s="3" t="inlineStr"/>
    </row>
    <row r="25">
      <c r="A25" s="3" t="n">
        <v>22</v>
      </c>
      <c r="B25" s="3" t="inlineStr">
        <is>
          <t>걸레받이(B1)</t>
        </is>
      </c>
      <c r="C25" s="3" t="inlineStr"/>
      <c r="D25" s="3" t="inlineStr">
        <is>
          <t>m</t>
        </is>
      </c>
      <c r="E25" s="4" t="n">
        <v>48.2</v>
      </c>
      <c r="F25" s="5" t="n">
        <v>6500</v>
      </c>
      <c r="G25" s="5">
        <f>ROUND(E25*F25,0)</f>
        <v/>
      </c>
      <c r="H25" s="3" t="inlineStr"/>
    </row>
    <row r="26">
      <c r="A26" s="3" t="n">
        <v>23</v>
      </c>
      <c r="B26" s="3" t="inlineStr">
        <is>
          <t>창호 AW1 알루미늄창</t>
        </is>
      </c>
      <c r="C26" s="3" t="inlineStr">
        <is>
          <t>1800×1500</t>
        </is>
      </c>
      <c r="D26" s="3" t="inlineStr">
        <is>
          <t>개소</t>
        </is>
      </c>
      <c r="E26" s="4" t="n">
        <v>3</v>
      </c>
      <c r="F26" s="5" t="n">
        <v>620000</v>
      </c>
      <c r="G26" s="5">
        <f>ROUND(E26*F26,0)</f>
        <v/>
      </c>
      <c r="H26" s="3" t="inlineStr"/>
    </row>
    <row r="27">
      <c r="A27" s="3" t="n">
        <v>24</v>
      </c>
      <c r="B27" s="3" t="inlineStr">
        <is>
          <t>창호 WD1 목재문</t>
        </is>
      </c>
      <c r="C27" s="3" t="inlineStr">
        <is>
          <t>900×2100</t>
        </is>
      </c>
      <c r="D27" s="3" t="inlineStr">
        <is>
          <t>개소</t>
        </is>
      </c>
      <c r="E27" s="4" t="n">
        <v>2</v>
      </c>
      <c r="F27" s="5" t="n">
        <v>380000</v>
      </c>
      <c r="G27" s="5">
        <f>ROUND(E27*F27,0)</f>
        <v/>
      </c>
      <c r="H27" s="3" t="inlineStr"/>
    </row>
    <row r="28">
      <c r="B28" s="6" t="inlineStr">
        <is>
          <t>합계</t>
        </is>
      </c>
      <c r="G28" s="7">
        <f>SUM(G4:G27)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일위대가 (예시 — 대조에서는 처음에 꺼 둡니다)</t>
        </is>
      </c>
    </row>
    <row r="3">
      <c r="A3" t="inlineStr">
        <is>
          <t>호표</t>
        </is>
      </c>
      <c r="B3" t="inlineStr">
        <is>
          <t>품명</t>
        </is>
      </c>
      <c r="C3" t="inlineStr">
        <is>
          <t>규격</t>
        </is>
      </c>
      <c r="D3" t="inlineStr">
        <is>
          <t>단위</t>
        </is>
      </c>
      <c r="E3" t="inlineStr">
        <is>
          <t>수량</t>
        </is>
      </c>
      <c r="F3" t="inlineStr">
        <is>
          <t>단가</t>
        </is>
      </c>
    </row>
    <row r="4">
      <c r="A4" t="n">
        <v>1</v>
      </c>
      <c r="B4" t="inlineStr">
        <is>
          <t>보통인부</t>
        </is>
      </c>
      <c r="C4" t="inlineStr"/>
      <c r="D4" t="inlineStr">
        <is>
          <t>인</t>
        </is>
      </c>
      <c r="E4" t="n">
        <v>0.12</v>
      </c>
      <c r="F4" t="n">
        <v>169000</v>
      </c>
    </row>
    <row r="5">
      <c r="A5" t="n">
        <v>2</v>
      </c>
      <c r="B5" t="inlineStr">
        <is>
          <t>특별인부</t>
        </is>
      </c>
      <c r="C5" t="inlineStr"/>
      <c r="D5" t="inlineStr">
        <is>
          <t>인</t>
        </is>
      </c>
      <c r="E5" t="n">
        <v>0.05</v>
      </c>
      <c r="F5" t="n">
        <v>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2026-09-27T00:24:15Z</dcterms:created>
  <dcterms:modified xmlns:dcterms="http://purl.org/dc/terms/" xmlns:xsi="http://www.w3.org/2001/XMLSchema-instance" xsi:type="dcterms:W3CDTF">2026-09-27T00:24:15Z</dcterms:modified>
</cp:coreProperties>
</file>