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내역서" sheetId="1" r:id="rId1"/>
  </sheets>
  <definedNames>
    <definedName name="_xlnm.Print_Titles" localSheetId="0">'내역서'!$3:$4</definedName>
  </definedNames>
  <calcPr calcId="0" fullCalcOnLoad="1"/>
</workbook>
</file>

<file path=xl/styles.xml><?xml version="1.0" encoding="utf-8"?>
<styleSheet xmlns="http://schemas.openxmlformats.org/spreadsheetml/2006/main">
  <numFmts count="10">
    <numFmt numFmtId="180" formatCode="#,##0"/>
    <numFmt numFmtId="181" formatCode="#,##0"/>
    <numFmt numFmtId="182" formatCode="#,##0.0"/>
    <numFmt numFmtId="183" formatCode="#,##0.00"/>
    <numFmt numFmtId="184" formatCode="#,##0.000"/>
    <numFmt numFmtId="185" formatCode="#,##0.0000"/>
    <numFmt numFmtId="186" formatCode="0.00%"/>
    <numFmt numFmtId="187" formatCode="0.0%"/>
    <numFmt numFmtId="188" formatCode="0.000%"/>
    <numFmt numFmtId="189" formatCode="0.0000%"/>
  </numFmts>
  <fonts count="8">
    <font>
      <sz val="10"/>
      <name val="맑은 고딕"/>
    </font>
    <font>
      <b/>
      <sz val="10"/>
      <name val="맑은 고딕"/>
    </font>
    <font>
      <sz val="10"/>
      <color rgb="FFC00000"/>
      <name val="맑은 고딕"/>
    </font>
    <font>
      <b/>
      <sz val="10"/>
      <color rgb="FFC00000"/>
      <name val="맑은 고딕"/>
    </font>
    <font>
      <sz val="10"/>
      <color rgb="FF1F4E9E"/>
      <name val="맑은 고딕"/>
    </font>
    <font>
      <b/>
      <sz val="15"/>
      <name val="맑은 고딕"/>
    </font>
    <font>
      <sz val="9"/>
      <color rgb="FF7F7F7F"/>
      <name val="맑은 고딕"/>
    </font>
    <font>
      <b/>
      <sz val="10"/>
      <color rgb="FF1F4E9E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hair">
        <color rgb="FFBFBFBF"/>
      </bottom>
      <diagonal/>
    </border>
    <border>
      <left style="thin">
        <color rgb="FFA6A6A6"/>
      </left>
      <right style="thin">
        <color rgb="FFA6A6A6"/>
      </right>
      <top style="hair">
        <color rgb="FFBFBFBF"/>
      </top>
      <bottom style="thin">
        <color rgb="FFA6A6A6"/>
      </bottom>
      <diagonal/>
    </border>
  </borders>
  <cellStyleXfs count="1">
    <xf numFmtId="0" fontId="0" fillId="0" borderId="0"/>
  </cellStyleXfs>
  <cellXfs count="241">
    <xf numFmtId="0" fontId="0" fillId="0" borderId="0" xfId="0" applyFont="1" applyFill="1" applyBorder="1" applyAlignment="1">
      <alignment vertical="center" wrapText="0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0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0"/>
    </xf>
    <xf numFmtId="0" fontId="0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0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 wrapText="0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 indent="1"/>
    </xf>
    <xf numFmtId="0" fontId="0" fillId="4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vertical="center" wrapText="0"/>
    </xf>
    <xf numFmtId="0" fontId="1" fillId="3" borderId="1" xfId="0" applyFont="1" applyFill="1" applyBorder="1" applyAlignment="1">
      <alignment vertical="center" wrapText="0"/>
    </xf>
    <xf numFmtId="0" fontId="2" fillId="0" borderId="1" xfId="0" applyFont="1" applyFill="1" applyBorder="1" applyAlignment="1">
      <alignment vertical="center" wrapText="0"/>
    </xf>
    <xf numFmtId="0" fontId="3" fillId="3" borderId="1" xfId="0" applyFont="1" applyFill="1" applyBorder="1" applyAlignment="1">
      <alignment vertical="center" wrapText="0"/>
    </xf>
    <xf numFmtId="0" fontId="4" fillId="0" borderId="1" xfId="0" applyFont="1" applyFill="1" applyBorder="1" applyAlignment="1">
      <alignment vertical="center" wrapText="0"/>
    </xf>
    <xf numFmtId="0" fontId="6" fillId="0" borderId="1" xfId="0" applyFont="1" applyFill="1" applyBorder="1" applyAlignment="1">
      <alignment vertical="center" wrapText="0"/>
    </xf>
    <xf numFmtId="180" fontId="0" fillId="0" borderId="1" xfId="0" applyNumberFormat="1" applyFont="1" applyFill="1" applyBorder="1" applyAlignment="1">
      <alignment vertical="center"/>
    </xf>
    <xf numFmtId="180" fontId="1" fillId="3" borderId="1" xfId="0" applyNumberFormat="1" applyFont="1" applyFill="1" applyBorder="1" applyAlignment="1">
      <alignment vertical="center"/>
    </xf>
    <xf numFmtId="180" fontId="2" fillId="0" borderId="1" xfId="0" applyNumberFormat="1" applyFont="1" applyFill="1" applyBorder="1" applyAlignment="1">
      <alignment vertical="center"/>
    </xf>
    <xf numFmtId="180" fontId="3" fillId="3" borderId="1" xfId="0" applyNumberFormat="1" applyFont="1" applyFill="1" applyBorder="1" applyAlignment="1">
      <alignment vertical="center"/>
    </xf>
    <xf numFmtId="180" fontId="4" fillId="0" borderId="1" xfId="0" applyNumberFormat="1" applyFont="1" applyFill="1" applyBorder="1" applyAlignment="1">
      <alignment vertical="center"/>
    </xf>
    <xf numFmtId="180" fontId="7" fillId="3" borderId="1" xfId="0" applyNumberFormat="1" applyFont="1" applyFill="1" applyBorder="1" applyAlignment="1">
      <alignment vertical="center"/>
    </xf>
    <xf numFmtId="180" fontId="0" fillId="4" borderId="1" xfId="0" applyNumberFormat="1" applyFont="1" applyFill="1" applyBorder="1" applyAlignment="1">
      <alignment vertical="center"/>
    </xf>
    <xf numFmtId="181" fontId="0" fillId="0" borderId="1" xfId="0" applyNumberFormat="1" applyFont="1" applyFill="1" applyBorder="1" applyAlignment="1">
      <alignment vertical="center"/>
    </xf>
    <xf numFmtId="181" fontId="1" fillId="3" borderId="1" xfId="0" applyNumberFormat="1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vertical="center"/>
    </xf>
    <xf numFmtId="181" fontId="3" fillId="3" borderId="1" xfId="0" applyNumberFormat="1" applyFont="1" applyFill="1" applyBorder="1" applyAlignment="1">
      <alignment vertical="center"/>
    </xf>
    <xf numFmtId="181" fontId="4" fillId="0" borderId="1" xfId="0" applyNumberFormat="1" applyFont="1" applyFill="1" applyBorder="1" applyAlignment="1">
      <alignment vertical="center"/>
    </xf>
    <xf numFmtId="181" fontId="7" fillId="3" borderId="1" xfId="0" applyNumberFormat="1" applyFont="1" applyFill="1" applyBorder="1" applyAlignment="1">
      <alignment vertical="center"/>
    </xf>
    <xf numFmtId="181" fontId="0" fillId="4" borderId="1" xfId="0" applyNumberFormat="1" applyFont="1" applyFill="1" applyBorder="1" applyAlignment="1">
      <alignment vertical="center"/>
    </xf>
    <xf numFmtId="182" fontId="0" fillId="0" borderId="1" xfId="0" applyNumberFormat="1" applyFont="1" applyFill="1" applyBorder="1" applyAlignment="1">
      <alignment vertical="center"/>
    </xf>
    <xf numFmtId="182" fontId="1" fillId="3" borderId="1" xfId="0" applyNumberFormat="1" applyFont="1" applyFill="1" applyBorder="1" applyAlignment="1">
      <alignment vertical="center"/>
    </xf>
    <xf numFmtId="182" fontId="2" fillId="0" borderId="1" xfId="0" applyNumberFormat="1" applyFont="1" applyFill="1" applyBorder="1" applyAlignment="1">
      <alignment vertical="center"/>
    </xf>
    <xf numFmtId="182" fontId="3" fillId="3" borderId="1" xfId="0" applyNumberFormat="1" applyFont="1" applyFill="1" applyBorder="1" applyAlignment="1">
      <alignment vertical="center"/>
    </xf>
    <xf numFmtId="182" fontId="4" fillId="0" borderId="1" xfId="0" applyNumberFormat="1" applyFont="1" applyFill="1" applyBorder="1" applyAlignment="1">
      <alignment vertical="center"/>
    </xf>
    <xf numFmtId="182" fontId="7" fillId="3" borderId="1" xfId="0" applyNumberFormat="1" applyFont="1" applyFill="1" applyBorder="1" applyAlignment="1">
      <alignment vertical="center"/>
    </xf>
    <xf numFmtId="182" fontId="0" fillId="4" borderId="1" xfId="0" applyNumberFormat="1" applyFont="1" applyFill="1" applyBorder="1" applyAlignment="1">
      <alignment vertical="center"/>
    </xf>
    <xf numFmtId="183" fontId="0" fillId="0" borderId="1" xfId="0" applyNumberFormat="1" applyFont="1" applyFill="1" applyBorder="1" applyAlignment="1">
      <alignment vertical="center"/>
    </xf>
    <xf numFmtId="183" fontId="1" fillId="3" borderId="1" xfId="0" applyNumberFormat="1" applyFont="1" applyFill="1" applyBorder="1" applyAlignment="1">
      <alignment vertical="center"/>
    </xf>
    <xf numFmtId="183" fontId="2" fillId="0" borderId="1" xfId="0" applyNumberFormat="1" applyFont="1" applyFill="1" applyBorder="1" applyAlignment="1">
      <alignment vertical="center"/>
    </xf>
    <xf numFmtId="183" fontId="3" fillId="3" borderId="1" xfId="0" applyNumberFormat="1" applyFont="1" applyFill="1" applyBorder="1" applyAlignment="1">
      <alignment vertical="center"/>
    </xf>
    <xf numFmtId="183" fontId="4" fillId="0" borderId="1" xfId="0" applyNumberFormat="1" applyFont="1" applyFill="1" applyBorder="1" applyAlignment="1">
      <alignment vertical="center"/>
    </xf>
    <xf numFmtId="183" fontId="7" fillId="3" borderId="1" xfId="0" applyNumberFormat="1" applyFont="1" applyFill="1" applyBorder="1" applyAlignment="1">
      <alignment vertical="center"/>
    </xf>
    <xf numFmtId="183" fontId="0" fillId="4" borderId="1" xfId="0" applyNumberFormat="1" applyFont="1" applyFill="1" applyBorder="1" applyAlignment="1">
      <alignment vertical="center"/>
    </xf>
    <xf numFmtId="184" fontId="0" fillId="0" borderId="1" xfId="0" applyNumberFormat="1" applyFont="1" applyFill="1" applyBorder="1" applyAlignment="1">
      <alignment vertical="center"/>
    </xf>
    <xf numFmtId="184" fontId="1" fillId="3" borderId="1" xfId="0" applyNumberFormat="1" applyFont="1" applyFill="1" applyBorder="1" applyAlignment="1">
      <alignment vertical="center"/>
    </xf>
    <xf numFmtId="184" fontId="2" fillId="0" borderId="1" xfId="0" applyNumberFormat="1" applyFont="1" applyFill="1" applyBorder="1" applyAlignment="1">
      <alignment vertical="center"/>
    </xf>
    <xf numFmtId="184" fontId="3" fillId="3" borderId="1" xfId="0" applyNumberFormat="1" applyFont="1" applyFill="1" applyBorder="1" applyAlignment="1">
      <alignment vertical="center"/>
    </xf>
    <xf numFmtId="184" fontId="4" fillId="0" borderId="1" xfId="0" applyNumberFormat="1" applyFont="1" applyFill="1" applyBorder="1" applyAlignment="1">
      <alignment vertical="center"/>
    </xf>
    <xf numFmtId="184" fontId="7" fillId="3" borderId="1" xfId="0" applyNumberFormat="1" applyFont="1" applyFill="1" applyBorder="1" applyAlignment="1">
      <alignment vertical="center"/>
    </xf>
    <xf numFmtId="184" fontId="0" fillId="4" borderId="1" xfId="0" applyNumberFormat="1" applyFont="1" applyFill="1" applyBorder="1" applyAlignment="1">
      <alignment vertical="center"/>
    </xf>
    <xf numFmtId="185" fontId="0" fillId="0" borderId="1" xfId="0" applyNumberFormat="1" applyFont="1" applyFill="1" applyBorder="1" applyAlignment="1">
      <alignment vertical="center"/>
    </xf>
    <xf numFmtId="185" fontId="1" fillId="3" borderId="1" xfId="0" applyNumberFormat="1" applyFont="1" applyFill="1" applyBorder="1" applyAlignment="1">
      <alignment vertical="center"/>
    </xf>
    <xf numFmtId="185" fontId="2" fillId="0" borderId="1" xfId="0" applyNumberFormat="1" applyFont="1" applyFill="1" applyBorder="1" applyAlignment="1">
      <alignment vertical="center"/>
    </xf>
    <xf numFmtId="185" fontId="3" fillId="3" borderId="1" xfId="0" applyNumberFormat="1" applyFont="1" applyFill="1" applyBorder="1" applyAlignment="1">
      <alignment vertical="center"/>
    </xf>
    <xf numFmtId="185" fontId="4" fillId="0" borderId="1" xfId="0" applyNumberFormat="1" applyFont="1" applyFill="1" applyBorder="1" applyAlignment="1">
      <alignment vertical="center"/>
    </xf>
    <xf numFmtId="185" fontId="7" fillId="3" borderId="1" xfId="0" applyNumberFormat="1" applyFont="1" applyFill="1" applyBorder="1" applyAlignment="1">
      <alignment vertical="center"/>
    </xf>
    <xf numFmtId="185" fontId="0" fillId="4" borderId="1" xfId="0" applyNumberFormat="1" applyFont="1" applyFill="1" applyBorder="1" applyAlignment="1">
      <alignment vertical="center"/>
    </xf>
    <xf numFmtId="186" fontId="0" fillId="0" borderId="1" xfId="0" applyNumberFormat="1" applyFont="1" applyFill="1" applyBorder="1" applyAlignment="1">
      <alignment vertical="center"/>
    </xf>
    <xf numFmtId="186" fontId="1" fillId="3" borderId="1" xfId="0" applyNumberFormat="1" applyFont="1" applyFill="1" applyBorder="1" applyAlignment="1">
      <alignment vertical="center"/>
    </xf>
    <xf numFmtId="186" fontId="2" fillId="0" borderId="1" xfId="0" applyNumberFormat="1" applyFont="1" applyFill="1" applyBorder="1" applyAlignment="1">
      <alignment vertical="center"/>
    </xf>
    <xf numFmtId="186" fontId="3" fillId="3" borderId="1" xfId="0" applyNumberFormat="1" applyFont="1" applyFill="1" applyBorder="1" applyAlignment="1">
      <alignment vertical="center"/>
    </xf>
    <xf numFmtId="186" fontId="4" fillId="0" borderId="1" xfId="0" applyNumberFormat="1" applyFont="1" applyFill="1" applyBorder="1" applyAlignment="1">
      <alignment vertical="center"/>
    </xf>
    <xf numFmtId="186" fontId="7" fillId="3" borderId="1" xfId="0" applyNumberFormat="1" applyFont="1" applyFill="1" applyBorder="1" applyAlignment="1">
      <alignment vertical="center"/>
    </xf>
    <xf numFmtId="186" fontId="0" fillId="4" borderId="1" xfId="0" applyNumberFormat="1" applyFont="1" applyFill="1" applyBorder="1" applyAlignment="1">
      <alignment vertical="center"/>
    </xf>
    <xf numFmtId="187" fontId="0" fillId="0" borderId="1" xfId="0" applyNumberFormat="1" applyFont="1" applyFill="1" applyBorder="1" applyAlignment="1">
      <alignment vertical="center"/>
    </xf>
    <xf numFmtId="187" fontId="1" fillId="3" borderId="1" xfId="0" applyNumberFormat="1" applyFont="1" applyFill="1" applyBorder="1" applyAlignment="1">
      <alignment vertical="center"/>
    </xf>
    <xf numFmtId="187" fontId="2" fillId="0" borderId="1" xfId="0" applyNumberFormat="1" applyFont="1" applyFill="1" applyBorder="1" applyAlignment="1">
      <alignment vertical="center"/>
    </xf>
    <xf numFmtId="187" fontId="3" fillId="3" borderId="1" xfId="0" applyNumberFormat="1" applyFont="1" applyFill="1" applyBorder="1" applyAlignment="1">
      <alignment vertical="center"/>
    </xf>
    <xf numFmtId="187" fontId="4" fillId="0" borderId="1" xfId="0" applyNumberFormat="1" applyFont="1" applyFill="1" applyBorder="1" applyAlignment="1">
      <alignment vertical="center"/>
    </xf>
    <xf numFmtId="187" fontId="7" fillId="3" borderId="1" xfId="0" applyNumberFormat="1" applyFont="1" applyFill="1" applyBorder="1" applyAlignment="1">
      <alignment vertical="center"/>
    </xf>
    <xf numFmtId="187" fontId="0" fillId="4" borderId="1" xfId="0" applyNumberFormat="1" applyFont="1" applyFill="1" applyBorder="1" applyAlignment="1">
      <alignment vertical="center"/>
    </xf>
    <xf numFmtId="188" fontId="0" fillId="0" borderId="1" xfId="0" applyNumberFormat="1" applyFont="1" applyFill="1" applyBorder="1" applyAlignment="1">
      <alignment vertical="center"/>
    </xf>
    <xf numFmtId="188" fontId="1" fillId="3" borderId="1" xfId="0" applyNumberFormat="1" applyFont="1" applyFill="1" applyBorder="1" applyAlignment="1">
      <alignment vertical="center"/>
    </xf>
    <xf numFmtId="188" fontId="2" fillId="0" borderId="1" xfId="0" applyNumberFormat="1" applyFont="1" applyFill="1" applyBorder="1" applyAlignment="1">
      <alignment vertical="center"/>
    </xf>
    <xf numFmtId="188" fontId="3" fillId="3" borderId="1" xfId="0" applyNumberFormat="1" applyFont="1" applyFill="1" applyBorder="1" applyAlignment="1">
      <alignment vertical="center"/>
    </xf>
    <xf numFmtId="188" fontId="4" fillId="0" borderId="1" xfId="0" applyNumberFormat="1" applyFont="1" applyFill="1" applyBorder="1" applyAlignment="1">
      <alignment vertical="center"/>
    </xf>
    <xf numFmtId="188" fontId="7" fillId="3" borderId="1" xfId="0" applyNumberFormat="1" applyFont="1" applyFill="1" applyBorder="1" applyAlignment="1">
      <alignment vertical="center"/>
    </xf>
    <xf numFmtId="188" fontId="0" fillId="4" borderId="1" xfId="0" applyNumberFormat="1" applyFont="1" applyFill="1" applyBorder="1" applyAlignment="1">
      <alignment vertical="center"/>
    </xf>
    <xf numFmtId="189" fontId="0" fillId="0" borderId="1" xfId="0" applyNumberFormat="1" applyFont="1" applyFill="1" applyBorder="1" applyAlignment="1">
      <alignment vertical="center"/>
    </xf>
    <xf numFmtId="189" fontId="1" fillId="3" borderId="1" xfId="0" applyNumberFormat="1" applyFont="1" applyFill="1" applyBorder="1" applyAlignment="1">
      <alignment vertical="center"/>
    </xf>
    <xf numFmtId="189" fontId="2" fillId="0" borderId="1" xfId="0" applyNumberFormat="1" applyFont="1" applyFill="1" applyBorder="1" applyAlignment="1">
      <alignment vertical="center"/>
    </xf>
    <xf numFmtId="189" fontId="3" fillId="3" borderId="1" xfId="0" applyNumberFormat="1" applyFont="1" applyFill="1" applyBorder="1" applyAlignment="1">
      <alignment vertical="center"/>
    </xf>
    <xf numFmtId="189" fontId="4" fillId="0" borderId="1" xfId="0" applyNumberFormat="1" applyFont="1" applyFill="1" applyBorder="1" applyAlignment="1">
      <alignment vertical="center"/>
    </xf>
    <xf numFmtId="189" fontId="7" fillId="3" borderId="1" xfId="0" applyNumberFormat="1" applyFont="1" applyFill="1" applyBorder="1" applyAlignment="1">
      <alignment vertical="center"/>
    </xf>
    <xf numFmtId="189" fontId="0" fillId="4" borderId="1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0"/>
    </xf>
    <xf numFmtId="0" fontId="1" fillId="3" borderId="2" xfId="0" applyFont="1" applyFill="1" applyBorder="1" applyAlignment="1">
      <alignment vertical="center" wrapText="0"/>
    </xf>
    <xf numFmtId="0" fontId="2" fillId="0" borderId="2" xfId="0" applyFont="1" applyFill="1" applyBorder="1" applyAlignment="1">
      <alignment vertical="center" wrapText="0"/>
    </xf>
    <xf numFmtId="0" fontId="3" fillId="3" borderId="2" xfId="0" applyFont="1" applyFill="1" applyBorder="1" applyAlignment="1">
      <alignment vertical="center" wrapText="0"/>
    </xf>
    <xf numFmtId="0" fontId="4" fillId="0" borderId="2" xfId="0" applyFont="1" applyFill="1" applyBorder="1" applyAlignment="1">
      <alignment vertical="center" wrapText="0"/>
    </xf>
    <xf numFmtId="0" fontId="6" fillId="0" borderId="2" xfId="0" applyFont="1" applyFill="1" applyBorder="1" applyAlignment="1">
      <alignment vertical="center" wrapText="0"/>
    </xf>
    <xf numFmtId="180" fontId="0" fillId="0" borderId="2" xfId="0" applyNumberFormat="1" applyFont="1" applyFill="1" applyBorder="1" applyAlignment="1">
      <alignment vertical="center"/>
    </xf>
    <xf numFmtId="180" fontId="1" fillId="3" borderId="2" xfId="0" applyNumberFormat="1" applyFont="1" applyFill="1" applyBorder="1" applyAlignment="1">
      <alignment vertical="center"/>
    </xf>
    <xf numFmtId="180" fontId="2" fillId="0" borderId="2" xfId="0" applyNumberFormat="1" applyFont="1" applyFill="1" applyBorder="1" applyAlignment="1">
      <alignment vertical="center"/>
    </xf>
    <xf numFmtId="180" fontId="3" fillId="3" borderId="2" xfId="0" applyNumberFormat="1" applyFont="1" applyFill="1" applyBorder="1" applyAlignment="1">
      <alignment vertical="center"/>
    </xf>
    <xf numFmtId="180" fontId="4" fillId="0" borderId="2" xfId="0" applyNumberFormat="1" applyFont="1" applyFill="1" applyBorder="1" applyAlignment="1">
      <alignment vertical="center"/>
    </xf>
    <xf numFmtId="180" fontId="7" fillId="3" borderId="2" xfId="0" applyNumberFormat="1" applyFont="1" applyFill="1" applyBorder="1" applyAlignment="1">
      <alignment vertical="center"/>
    </xf>
    <xf numFmtId="180" fontId="0" fillId="4" borderId="2" xfId="0" applyNumberFormat="1" applyFont="1" applyFill="1" applyBorder="1" applyAlignment="1">
      <alignment vertical="center"/>
    </xf>
    <xf numFmtId="181" fontId="0" fillId="0" borderId="2" xfId="0" applyNumberFormat="1" applyFont="1" applyFill="1" applyBorder="1" applyAlignment="1">
      <alignment vertical="center"/>
    </xf>
    <xf numFmtId="181" fontId="1" fillId="3" borderId="2" xfId="0" applyNumberFormat="1" applyFont="1" applyFill="1" applyBorder="1" applyAlignment="1">
      <alignment vertical="center"/>
    </xf>
    <xf numFmtId="181" fontId="2" fillId="0" borderId="2" xfId="0" applyNumberFormat="1" applyFont="1" applyFill="1" applyBorder="1" applyAlignment="1">
      <alignment vertical="center"/>
    </xf>
    <xf numFmtId="181" fontId="3" fillId="3" borderId="2" xfId="0" applyNumberFormat="1" applyFont="1" applyFill="1" applyBorder="1" applyAlignment="1">
      <alignment vertical="center"/>
    </xf>
    <xf numFmtId="181" fontId="4" fillId="0" borderId="2" xfId="0" applyNumberFormat="1" applyFont="1" applyFill="1" applyBorder="1" applyAlignment="1">
      <alignment vertical="center"/>
    </xf>
    <xf numFmtId="181" fontId="7" fillId="3" borderId="2" xfId="0" applyNumberFormat="1" applyFont="1" applyFill="1" applyBorder="1" applyAlignment="1">
      <alignment vertical="center"/>
    </xf>
    <xf numFmtId="181" fontId="0" fillId="4" borderId="2" xfId="0" applyNumberFormat="1" applyFont="1" applyFill="1" applyBorder="1" applyAlignment="1">
      <alignment vertical="center"/>
    </xf>
    <xf numFmtId="182" fontId="0" fillId="0" borderId="2" xfId="0" applyNumberFormat="1" applyFont="1" applyFill="1" applyBorder="1" applyAlignment="1">
      <alignment vertical="center"/>
    </xf>
    <xf numFmtId="182" fontId="1" fillId="3" borderId="2" xfId="0" applyNumberFormat="1" applyFont="1" applyFill="1" applyBorder="1" applyAlignment="1">
      <alignment vertical="center"/>
    </xf>
    <xf numFmtId="182" fontId="2" fillId="0" borderId="2" xfId="0" applyNumberFormat="1" applyFont="1" applyFill="1" applyBorder="1" applyAlignment="1">
      <alignment vertical="center"/>
    </xf>
    <xf numFmtId="182" fontId="3" fillId="3" borderId="2" xfId="0" applyNumberFormat="1" applyFont="1" applyFill="1" applyBorder="1" applyAlignment="1">
      <alignment vertical="center"/>
    </xf>
    <xf numFmtId="182" fontId="4" fillId="0" borderId="2" xfId="0" applyNumberFormat="1" applyFont="1" applyFill="1" applyBorder="1" applyAlignment="1">
      <alignment vertical="center"/>
    </xf>
    <xf numFmtId="182" fontId="7" fillId="3" borderId="2" xfId="0" applyNumberFormat="1" applyFont="1" applyFill="1" applyBorder="1" applyAlignment="1">
      <alignment vertical="center"/>
    </xf>
    <xf numFmtId="182" fontId="0" fillId="4" borderId="2" xfId="0" applyNumberFormat="1" applyFont="1" applyFill="1" applyBorder="1" applyAlignment="1">
      <alignment vertical="center"/>
    </xf>
    <xf numFmtId="183" fontId="0" fillId="0" borderId="2" xfId="0" applyNumberFormat="1" applyFont="1" applyFill="1" applyBorder="1" applyAlignment="1">
      <alignment vertical="center"/>
    </xf>
    <xf numFmtId="183" fontId="1" fillId="3" borderId="2" xfId="0" applyNumberFormat="1" applyFont="1" applyFill="1" applyBorder="1" applyAlignment="1">
      <alignment vertical="center"/>
    </xf>
    <xf numFmtId="183" fontId="2" fillId="0" borderId="2" xfId="0" applyNumberFormat="1" applyFont="1" applyFill="1" applyBorder="1" applyAlignment="1">
      <alignment vertical="center"/>
    </xf>
    <xf numFmtId="183" fontId="3" fillId="3" borderId="2" xfId="0" applyNumberFormat="1" applyFont="1" applyFill="1" applyBorder="1" applyAlignment="1">
      <alignment vertical="center"/>
    </xf>
    <xf numFmtId="183" fontId="4" fillId="0" borderId="2" xfId="0" applyNumberFormat="1" applyFont="1" applyFill="1" applyBorder="1" applyAlignment="1">
      <alignment vertical="center"/>
    </xf>
    <xf numFmtId="183" fontId="7" fillId="3" borderId="2" xfId="0" applyNumberFormat="1" applyFont="1" applyFill="1" applyBorder="1" applyAlignment="1">
      <alignment vertical="center"/>
    </xf>
    <xf numFmtId="183" fontId="0" fillId="4" borderId="2" xfId="0" applyNumberFormat="1" applyFont="1" applyFill="1" applyBorder="1" applyAlignment="1">
      <alignment vertical="center"/>
    </xf>
    <xf numFmtId="184" fontId="0" fillId="0" borderId="2" xfId="0" applyNumberFormat="1" applyFont="1" applyFill="1" applyBorder="1" applyAlignment="1">
      <alignment vertical="center"/>
    </xf>
    <xf numFmtId="184" fontId="1" fillId="3" borderId="2" xfId="0" applyNumberFormat="1" applyFont="1" applyFill="1" applyBorder="1" applyAlignment="1">
      <alignment vertical="center"/>
    </xf>
    <xf numFmtId="184" fontId="2" fillId="0" borderId="2" xfId="0" applyNumberFormat="1" applyFont="1" applyFill="1" applyBorder="1" applyAlignment="1">
      <alignment vertical="center"/>
    </xf>
    <xf numFmtId="184" fontId="3" fillId="3" borderId="2" xfId="0" applyNumberFormat="1" applyFont="1" applyFill="1" applyBorder="1" applyAlignment="1">
      <alignment vertical="center"/>
    </xf>
    <xf numFmtId="184" fontId="4" fillId="0" borderId="2" xfId="0" applyNumberFormat="1" applyFont="1" applyFill="1" applyBorder="1" applyAlignment="1">
      <alignment vertical="center"/>
    </xf>
    <xf numFmtId="184" fontId="7" fillId="3" borderId="2" xfId="0" applyNumberFormat="1" applyFont="1" applyFill="1" applyBorder="1" applyAlignment="1">
      <alignment vertical="center"/>
    </xf>
    <xf numFmtId="184" fontId="0" fillId="4" borderId="2" xfId="0" applyNumberFormat="1" applyFont="1" applyFill="1" applyBorder="1" applyAlignment="1">
      <alignment vertical="center"/>
    </xf>
    <xf numFmtId="185" fontId="0" fillId="0" borderId="2" xfId="0" applyNumberFormat="1" applyFont="1" applyFill="1" applyBorder="1" applyAlignment="1">
      <alignment vertical="center"/>
    </xf>
    <xf numFmtId="185" fontId="1" fillId="3" borderId="2" xfId="0" applyNumberFormat="1" applyFont="1" applyFill="1" applyBorder="1" applyAlignment="1">
      <alignment vertical="center"/>
    </xf>
    <xf numFmtId="185" fontId="2" fillId="0" borderId="2" xfId="0" applyNumberFormat="1" applyFont="1" applyFill="1" applyBorder="1" applyAlignment="1">
      <alignment vertical="center"/>
    </xf>
    <xf numFmtId="185" fontId="3" fillId="3" borderId="2" xfId="0" applyNumberFormat="1" applyFont="1" applyFill="1" applyBorder="1" applyAlignment="1">
      <alignment vertical="center"/>
    </xf>
    <xf numFmtId="185" fontId="4" fillId="0" borderId="2" xfId="0" applyNumberFormat="1" applyFont="1" applyFill="1" applyBorder="1" applyAlignment="1">
      <alignment vertical="center"/>
    </xf>
    <xf numFmtId="185" fontId="7" fillId="3" borderId="2" xfId="0" applyNumberFormat="1" applyFont="1" applyFill="1" applyBorder="1" applyAlignment="1">
      <alignment vertical="center"/>
    </xf>
    <xf numFmtId="185" fontId="0" fillId="4" borderId="2" xfId="0" applyNumberFormat="1" applyFont="1" applyFill="1" applyBorder="1" applyAlignment="1">
      <alignment vertical="center"/>
    </xf>
    <xf numFmtId="186" fontId="0" fillId="0" borderId="2" xfId="0" applyNumberFormat="1" applyFont="1" applyFill="1" applyBorder="1" applyAlignment="1">
      <alignment vertical="center"/>
    </xf>
    <xf numFmtId="186" fontId="1" fillId="3" borderId="2" xfId="0" applyNumberFormat="1" applyFont="1" applyFill="1" applyBorder="1" applyAlignment="1">
      <alignment vertical="center"/>
    </xf>
    <xf numFmtId="186" fontId="2" fillId="0" borderId="2" xfId="0" applyNumberFormat="1" applyFont="1" applyFill="1" applyBorder="1" applyAlignment="1">
      <alignment vertical="center"/>
    </xf>
    <xf numFmtId="186" fontId="3" fillId="3" borderId="2" xfId="0" applyNumberFormat="1" applyFont="1" applyFill="1" applyBorder="1" applyAlignment="1">
      <alignment vertical="center"/>
    </xf>
    <xf numFmtId="186" fontId="4" fillId="0" borderId="2" xfId="0" applyNumberFormat="1" applyFont="1" applyFill="1" applyBorder="1" applyAlignment="1">
      <alignment vertical="center"/>
    </xf>
    <xf numFmtId="186" fontId="7" fillId="3" borderId="2" xfId="0" applyNumberFormat="1" applyFont="1" applyFill="1" applyBorder="1" applyAlignment="1">
      <alignment vertical="center"/>
    </xf>
    <xf numFmtId="186" fontId="0" fillId="4" borderId="2" xfId="0" applyNumberFormat="1" applyFont="1" applyFill="1" applyBorder="1" applyAlignment="1">
      <alignment vertical="center"/>
    </xf>
    <xf numFmtId="187" fontId="0" fillId="0" borderId="2" xfId="0" applyNumberFormat="1" applyFont="1" applyFill="1" applyBorder="1" applyAlignment="1">
      <alignment vertical="center"/>
    </xf>
    <xf numFmtId="187" fontId="1" fillId="3" borderId="2" xfId="0" applyNumberFormat="1" applyFont="1" applyFill="1" applyBorder="1" applyAlignment="1">
      <alignment vertical="center"/>
    </xf>
    <xf numFmtId="187" fontId="2" fillId="0" borderId="2" xfId="0" applyNumberFormat="1" applyFont="1" applyFill="1" applyBorder="1" applyAlignment="1">
      <alignment vertical="center"/>
    </xf>
    <xf numFmtId="187" fontId="3" fillId="3" borderId="2" xfId="0" applyNumberFormat="1" applyFont="1" applyFill="1" applyBorder="1" applyAlignment="1">
      <alignment vertical="center"/>
    </xf>
    <xf numFmtId="187" fontId="4" fillId="0" borderId="2" xfId="0" applyNumberFormat="1" applyFont="1" applyFill="1" applyBorder="1" applyAlignment="1">
      <alignment vertical="center"/>
    </xf>
    <xf numFmtId="187" fontId="7" fillId="3" borderId="2" xfId="0" applyNumberFormat="1" applyFont="1" applyFill="1" applyBorder="1" applyAlignment="1">
      <alignment vertical="center"/>
    </xf>
    <xf numFmtId="187" fontId="0" fillId="4" borderId="2" xfId="0" applyNumberFormat="1" applyFont="1" applyFill="1" applyBorder="1" applyAlignment="1">
      <alignment vertical="center"/>
    </xf>
    <xf numFmtId="188" fontId="0" fillId="0" borderId="2" xfId="0" applyNumberFormat="1" applyFont="1" applyFill="1" applyBorder="1" applyAlignment="1">
      <alignment vertical="center"/>
    </xf>
    <xf numFmtId="188" fontId="1" fillId="3" borderId="2" xfId="0" applyNumberFormat="1" applyFont="1" applyFill="1" applyBorder="1" applyAlignment="1">
      <alignment vertical="center"/>
    </xf>
    <xf numFmtId="188" fontId="2" fillId="0" borderId="2" xfId="0" applyNumberFormat="1" applyFont="1" applyFill="1" applyBorder="1" applyAlignment="1">
      <alignment vertical="center"/>
    </xf>
    <xf numFmtId="188" fontId="3" fillId="3" borderId="2" xfId="0" applyNumberFormat="1" applyFont="1" applyFill="1" applyBorder="1" applyAlignment="1">
      <alignment vertical="center"/>
    </xf>
    <xf numFmtId="188" fontId="4" fillId="0" borderId="2" xfId="0" applyNumberFormat="1" applyFont="1" applyFill="1" applyBorder="1" applyAlignment="1">
      <alignment vertical="center"/>
    </xf>
    <xf numFmtId="188" fontId="7" fillId="3" borderId="2" xfId="0" applyNumberFormat="1" applyFont="1" applyFill="1" applyBorder="1" applyAlignment="1">
      <alignment vertical="center"/>
    </xf>
    <xf numFmtId="188" fontId="0" fillId="4" borderId="2" xfId="0" applyNumberFormat="1" applyFont="1" applyFill="1" applyBorder="1" applyAlignment="1">
      <alignment vertical="center"/>
    </xf>
    <xf numFmtId="189" fontId="0" fillId="0" borderId="2" xfId="0" applyNumberFormat="1" applyFont="1" applyFill="1" applyBorder="1" applyAlignment="1">
      <alignment vertical="center"/>
    </xf>
    <xf numFmtId="189" fontId="1" fillId="3" borderId="2" xfId="0" applyNumberFormat="1" applyFont="1" applyFill="1" applyBorder="1" applyAlignment="1">
      <alignment vertical="center"/>
    </xf>
    <xf numFmtId="189" fontId="2" fillId="0" borderId="2" xfId="0" applyNumberFormat="1" applyFont="1" applyFill="1" applyBorder="1" applyAlignment="1">
      <alignment vertical="center"/>
    </xf>
    <xf numFmtId="189" fontId="3" fillId="3" borderId="2" xfId="0" applyNumberFormat="1" applyFont="1" applyFill="1" applyBorder="1" applyAlignment="1">
      <alignment vertical="center"/>
    </xf>
    <xf numFmtId="189" fontId="4" fillId="0" borderId="2" xfId="0" applyNumberFormat="1" applyFont="1" applyFill="1" applyBorder="1" applyAlignment="1">
      <alignment vertical="center"/>
    </xf>
    <xf numFmtId="189" fontId="7" fillId="3" borderId="2" xfId="0" applyNumberFormat="1" applyFont="1" applyFill="1" applyBorder="1" applyAlignment="1">
      <alignment vertical="center"/>
    </xf>
    <xf numFmtId="189" fontId="0" fillId="4" borderId="2" xfId="0" applyNumberFormat="1" applyFont="1" applyFill="1" applyBorder="1" applyAlignment="1">
      <alignment vertical="center"/>
    </xf>
    <xf numFmtId="0" fontId="0" fillId="0" borderId="3" xfId="0" applyFont="1" applyFill="1" applyBorder="1" applyAlignment="1">
      <alignment vertical="center" wrapText="0"/>
    </xf>
    <xf numFmtId="0" fontId="1" fillId="3" borderId="3" xfId="0" applyFont="1" applyFill="1" applyBorder="1" applyAlignment="1">
      <alignment vertical="center" wrapText="0"/>
    </xf>
    <xf numFmtId="0" fontId="2" fillId="0" borderId="3" xfId="0" applyFont="1" applyFill="1" applyBorder="1" applyAlignment="1">
      <alignment vertical="center" wrapText="0"/>
    </xf>
    <xf numFmtId="0" fontId="3" fillId="3" borderId="3" xfId="0" applyFont="1" applyFill="1" applyBorder="1" applyAlignment="1">
      <alignment vertical="center" wrapText="0"/>
    </xf>
    <xf numFmtId="0" fontId="4" fillId="0" borderId="3" xfId="0" applyFont="1" applyFill="1" applyBorder="1" applyAlignment="1">
      <alignment vertical="center" wrapText="0"/>
    </xf>
    <xf numFmtId="0" fontId="6" fillId="0" borderId="3" xfId="0" applyFont="1" applyFill="1" applyBorder="1" applyAlignment="1">
      <alignment vertical="center" wrapText="0"/>
    </xf>
    <xf numFmtId="180" fontId="0" fillId="0" borderId="3" xfId="0" applyNumberFormat="1" applyFont="1" applyFill="1" applyBorder="1" applyAlignment="1">
      <alignment vertical="center"/>
    </xf>
    <xf numFmtId="180" fontId="1" fillId="3" borderId="3" xfId="0" applyNumberFormat="1" applyFont="1" applyFill="1" applyBorder="1" applyAlignment="1">
      <alignment vertical="center"/>
    </xf>
    <xf numFmtId="180" fontId="2" fillId="0" borderId="3" xfId="0" applyNumberFormat="1" applyFont="1" applyFill="1" applyBorder="1" applyAlignment="1">
      <alignment vertical="center"/>
    </xf>
    <xf numFmtId="180" fontId="3" fillId="3" borderId="3" xfId="0" applyNumberFormat="1" applyFont="1" applyFill="1" applyBorder="1" applyAlignment="1">
      <alignment vertical="center"/>
    </xf>
    <xf numFmtId="180" fontId="4" fillId="0" borderId="3" xfId="0" applyNumberFormat="1" applyFont="1" applyFill="1" applyBorder="1" applyAlignment="1">
      <alignment vertical="center"/>
    </xf>
    <xf numFmtId="180" fontId="7" fillId="3" borderId="3" xfId="0" applyNumberFormat="1" applyFont="1" applyFill="1" applyBorder="1" applyAlignment="1">
      <alignment vertical="center"/>
    </xf>
    <xf numFmtId="180" fontId="0" fillId="4" borderId="3" xfId="0" applyNumberFormat="1" applyFont="1" applyFill="1" applyBorder="1" applyAlignment="1">
      <alignment vertical="center"/>
    </xf>
    <xf numFmtId="181" fontId="0" fillId="0" borderId="3" xfId="0" applyNumberFormat="1" applyFont="1" applyFill="1" applyBorder="1" applyAlignment="1">
      <alignment vertical="center"/>
    </xf>
    <xf numFmtId="181" fontId="1" fillId="3" borderId="3" xfId="0" applyNumberFormat="1" applyFont="1" applyFill="1" applyBorder="1" applyAlignment="1">
      <alignment vertical="center"/>
    </xf>
    <xf numFmtId="181" fontId="2" fillId="0" borderId="3" xfId="0" applyNumberFormat="1" applyFont="1" applyFill="1" applyBorder="1" applyAlignment="1">
      <alignment vertical="center"/>
    </xf>
    <xf numFmtId="181" fontId="3" fillId="3" borderId="3" xfId="0" applyNumberFormat="1" applyFont="1" applyFill="1" applyBorder="1" applyAlignment="1">
      <alignment vertical="center"/>
    </xf>
    <xf numFmtId="181" fontId="4" fillId="0" borderId="3" xfId="0" applyNumberFormat="1" applyFont="1" applyFill="1" applyBorder="1" applyAlignment="1">
      <alignment vertical="center"/>
    </xf>
    <xf numFmtId="181" fontId="7" fillId="3" borderId="3" xfId="0" applyNumberFormat="1" applyFont="1" applyFill="1" applyBorder="1" applyAlignment="1">
      <alignment vertical="center"/>
    </xf>
    <xf numFmtId="181" fontId="0" fillId="4" borderId="3" xfId="0" applyNumberFormat="1" applyFont="1" applyFill="1" applyBorder="1" applyAlignment="1">
      <alignment vertical="center"/>
    </xf>
    <xf numFmtId="182" fontId="0" fillId="0" borderId="3" xfId="0" applyNumberFormat="1" applyFont="1" applyFill="1" applyBorder="1" applyAlignment="1">
      <alignment vertical="center"/>
    </xf>
    <xf numFmtId="182" fontId="1" fillId="3" borderId="3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vertical="center"/>
    </xf>
    <xf numFmtId="182" fontId="3" fillId="3" borderId="3" xfId="0" applyNumberFormat="1" applyFont="1" applyFill="1" applyBorder="1" applyAlignment="1">
      <alignment vertical="center"/>
    </xf>
    <xf numFmtId="182" fontId="4" fillId="0" borderId="3" xfId="0" applyNumberFormat="1" applyFont="1" applyFill="1" applyBorder="1" applyAlignment="1">
      <alignment vertical="center"/>
    </xf>
    <xf numFmtId="182" fontId="7" fillId="3" borderId="3" xfId="0" applyNumberFormat="1" applyFont="1" applyFill="1" applyBorder="1" applyAlignment="1">
      <alignment vertical="center"/>
    </xf>
    <xf numFmtId="182" fontId="0" fillId="4" borderId="3" xfId="0" applyNumberFormat="1" applyFont="1" applyFill="1" applyBorder="1" applyAlignment="1">
      <alignment vertical="center"/>
    </xf>
    <xf numFmtId="183" fontId="0" fillId="0" borderId="3" xfId="0" applyNumberFormat="1" applyFont="1" applyFill="1" applyBorder="1" applyAlignment="1">
      <alignment vertical="center"/>
    </xf>
    <xf numFmtId="183" fontId="1" fillId="3" borderId="3" xfId="0" applyNumberFormat="1" applyFont="1" applyFill="1" applyBorder="1" applyAlignment="1">
      <alignment vertical="center"/>
    </xf>
    <xf numFmtId="183" fontId="2" fillId="0" borderId="3" xfId="0" applyNumberFormat="1" applyFont="1" applyFill="1" applyBorder="1" applyAlignment="1">
      <alignment vertical="center"/>
    </xf>
    <xf numFmtId="183" fontId="3" fillId="3" borderId="3" xfId="0" applyNumberFormat="1" applyFont="1" applyFill="1" applyBorder="1" applyAlignment="1">
      <alignment vertical="center"/>
    </xf>
    <xf numFmtId="183" fontId="4" fillId="0" borderId="3" xfId="0" applyNumberFormat="1" applyFont="1" applyFill="1" applyBorder="1" applyAlignment="1">
      <alignment vertical="center"/>
    </xf>
    <xf numFmtId="183" fontId="7" fillId="3" borderId="3" xfId="0" applyNumberFormat="1" applyFont="1" applyFill="1" applyBorder="1" applyAlignment="1">
      <alignment vertical="center"/>
    </xf>
    <xf numFmtId="183" fontId="0" fillId="4" borderId="3" xfId="0" applyNumberFormat="1" applyFont="1" applyFill="1" applyBorder="1" applyAlignment="1">
      <alignment vertical="center"/>
    </xf>
    <xf numFmtId="184" fontId="0" fillId="0" borderId="3" xfId="0" applyNumberFormat="1" applyFont="1" applyFill="1" applyBorder="1" applyAlignment="1">
      <alignment vertical="center"/>
    </xf>
    <xf numFmtId="184" fontId="1" fillId="3" borderId="3" xfId="0" applyNumberFormat="1" applyFont="1" applyFill="1" applyBorder="1" applyAlignment="1">
      <alignment vertical="center"/>
    </xf>
    <xf numFmtId="184" fontId="2" fillId="0" borderId="3" xfId="0" applyNumberFormat="1" applyFont="1" applyFill="1" applyBorder="1" applyAlignment="1">
      <alignment vertical="center"/>
    </xf>
    <xf numFmtId="184" fontId="3" fillId="3" borderId="3" xfId="0" applyNumberFormat="1" applyFont="1" applyFill="1" applyBorder="1" applyAlignment="1">
      <alignment vertical="center"/>
    </xf>
    <xf numFmtId="184" fontId="4" fillId="0" borderId="3" xfId="0" applyNumberFormat="1" applyFont="1" applyFill="1" applyBorder="1" applyAlignment="1">
      <alignment vertical="center"/>
    </xf>
    <xf numFmtId="184" fontId="7" fillId="3" borderId="3" xfId="0" applyNumberFormat="1" applyFont="1" applyFill="1" applyBorder="1" applyAlignment="1">
      <alignment vertical="center"/>
    </xf>
    <xf numFmtId="184" fontId="0" fillId="4" borderId="3" xfId="0" applyNumberFormat="1" applyFont="1" applyFill="1" applyBorder="1" applyAlignment="1">
      <alignment vertical="center"/>
    </xf>
    <xf numFmtId="185" fontId="0" fillId="0" borderId="3" xfId="0" applyNumberFormat="1" applyFont="1" applyFill="1" applyBorder="1" applyAlignment="1">
      <alignment vertical="center"/>
    </xf>
    <xf numFmtId="185" fontId="1" fillId="3" borderId="3" xfId="0" applyNumberFormat="1" applyFont="1" applyFill="1" applyBorder="1" applyAlignment="1">
      <alignment vertical="center"/>
    </xf>
    <xf numFmtId="185" fontId="2" fillId="0" borderId="3" xfId="0" applyNumberFormat="1" applyFont="1" applyFill="1" applyBorder="1" applyAlignment="1">
      <alignment vertical="center"/>
    </xf>
    <xf numFmtId="185" fontId="3" fillId="3" borderId="3" xfId="0" applyNumberFormat="1" applyFont="1" applyFill="1" applyBorder="1" applyAlignment="1">
      <alignment vertical="center"/>
    </xf>
    <xf numFmtId="185" fontId="4" fillId="0" borderId="3" xfId="0" applyNumberFormat="1" applyFont="1" applyFill="1" applyBorder="1" applyAlignment="1">
      <alignment vertical="center"/>
    </xf>
    <xf numFmtId="185" fontId="7" fillId="3" borderId="3" xfId="0" applyNumberFormat="1" applyFont="1" applyFill="1" applyBorder="1" applyAlignment="1">
      <alignment vertical="center"/>
    </xf>
    <xf numFmtId="185" fontId="0" fillId="4" borderId="3" xfId="0" applyNumberFormat="1" applyFont="1" applyFill="1" applyBorder="1" applyAlignment="1">
      <alignment vertical="center"/>
    </xf>
    <xf numFmtId="186" fontId="0" fillId="0" borderId="3" xfId="0" applyNumberFormat="1" applyFont="1" applyFill="1" applyBorder="1" applyAlignment="1">
      <alignment vertical="center"/>
    </xf>
    <xf numFmtId="186" fontId="1" fillId="3" borderId="3" xfId="0" applyNumberFormat="1" applyFont="1" applyFill="1" applyBorder="1" applyAlignment="1">
      <alignment vertical="center"/>
    </xf>
    <xf numFmtId="186" fontId="2" fillId="0" borderId="3" xfId="0" applyNumberFormat="1" applyFont="1" applyFill="1" applyBorder="1" applyAlignment="1">
      <alignment vertical="center"/>
    </xf>
    <xf numFmtId="186" fontId="3" fillId="3" borderId="3" xfId="0" applyNumberFormat="1" applyFont="1" applyFill="1" applyBorder="1" applyAlignment="1">
      <alignment vertical="center"/>
    </xf>
    <xf numFmtId="186" fontId="4" fillId="0" borderId="3" xfId="0" applyNumberFormat="1" applyFont="1" applyFill="1" applyBorder="1" applyAlignment="1">
      <alignment vertical="center"/>
    </xf>
    <xf numFmtId="186" fontId="7" fillId="3" borderId="3" xfId="0" applyNumberFormat="1" applyFont="1" applyFill="1" applyBorder="1" applyAlignment="1">
      <alignment vertical="center"/>
    </xf>
    <xf numFmtId="186" fontId="0" fillId="4" borderId="3" xfId="0" applyNumberFormat="1" applyFont="1" applyFill="1" applyBorder="1" applyAlignment="1">
      <alignment vertical="center"/>
    </xf>
    <xf numFmtId="187" fontId="0" fillId="0" borderId="3" xfId="0" applyNumberFormat="1" applyFont="1" applyFill="1" applyBorder="1" applyAlignment="1">
      <alignment vertical="center"/>
    </xf>
    <xf numFmtId="187" fontId="1" fillId="3" borderId="3" xfId="0" applyNumberFormat="1" applyFont="1" applyFill="1" applyBorder="1" applyAlignment="1">
      <alignment vertical="center"/>
    </xf>
    <xf numFmtId="187" fontId="2" fillId="0" borderId="3" xfId="0" applyNumberFormat="1" applyFont="1" applyFill="1" applyBorder="1" applyAlignment="1">
      <alignment vertical="center"/>
    </xf>
    <xf numFmtId="187" fontId="3" fillId="3" borderId="3" xfId="0" applyNumberFormat="1" applyFont="1" applyFill="1" applyBorder="1" applyAlignment="1">
      <alignment vertical="center"/>
    </xf>
    <xf numFmtId="187" fontId="4" fillId="0" borderId="3" xfId="0" applyNumberFormat="1" applyFont="1" applyFill="1" applyBorder="1" applyAlignment="1">
      <alignment vertical="center"/>
    </xf>
    <xf numFmtId="187" fontId="7" fillId="3" borderId="3" xfId="0" applyNumberFormat="1" applyFont="1" applyFill="1" applyBorder="1" applyAlignment="1">
      <alignment vertical="center"/>
    </xf>
    <xf numFmtId="187" fontId="0" fillId="4" borderId="3" xfId="0" applyNumberFormat="1" applyFont="1" applyFill="1" applyBorder="1" applyAlignment="1">
      <alignment vertical="center"/>
    </xf>
    <xf numFmtId="188" fontId="0" fillId="0" borderId="3" xfId="0" applyNumberFormat="1" applyFont="1" applyFill="1" applyBorder="1" applyAlignment="1">
      <alignment vertical="center"/>
    </xf>
    <xf numFmtId="188" fontId="1" fillId="3" borderId="3" xfId="0" applyNumberFormat="1" applyFont="1" applyFill="1" applyBorder="1" applyAlignment="1">
      <alignment vertical="center"/>
    </xf>
    <xf numFmtId="188" fontId="2" fillId="0" borderId="3" xfId="0" applyNumberFormat="1" applyFont="1" applyFill="1" applyBorder="1" applyAlignment="1">
      <alignment vertical="center"/>
    </xf>
    <xf numFmtId="188" fontId="3" fillId="3" borderId="3" xfId="0" applyNumberFormat="1" applyFont="1" applyFill="1" applyBorder="1" applyAlignment="1">
      <alignment vertical="center"/>
    </xf>
    <xf numFmtId="188" fontId="4" fillId="0" borderId="3" xfId="0" applyNumberFormat="1" applyFont="1" applyFill="1" applyBorder="1" applyAlignment="1">
      <alignment vertical="center"/>
    </xf>
    <xf numFmtId="188" fontId="7" fillId="3" borderId="3" xfId="0" applyNumberFormat="1" applyFont="1" applyFill="1" applyBorder="1" applyAlignment="1">
      <alignment vertical="center"/>
    </xf>
    <xf numFmtId="188" fontId="0" fillId="4" borderId="3" xfId="0" applyNumberFormat="1" applyFont="1" applyFill="1" applyBorder="1" applyAlignment="1">
      <alignment vertical="center"/>
    </xf>
    <xf numFmtId="189" fontId="0" fillId="0" borderId="3" xfId="0" applyNumberFormat="1" applyFont="1" applyFill="1" applyBorder="1" applyAlignment="1">
      <alignment vertical="center"/>
    </xf>
    <xf numFmtId="189" fontId="1" fillId="3" borderId="3" xfId="0" applyNumberFormat="1" applyFont="1" applyFill="1" applyBorder="1" applyAlignment="1">
      <alignment vertical="center"/>
    </xf>
    <xf numFmtId="189" fontId="2" fillId="0" borderId="3" xfId="0" applyNumberFormat="1" applyFont="1" applyFill="1" applyBorder="1" applyAlignment="1">
      <alignment vertical="center"/>
    </xf>
    <xf numFmtId="189" fontId="3" fillId="3" borderId="3" xfId="0" applyNumberFormat="1" applyFont="1" applyFill="1" applyBorder="1" applyAlignment="1">
      <alignment vertical="center"/>
    </xf>
    <xf numFmtId="189" fontId="4" fillId="0" borderId="3" xfId="0" applyNumberFormat="1" applyFont="1" applyFill="1" applyBorder="1" applyAlignment="1">
      <alignment vertical="center"/>
    </xf>
    <xf numFmtId="189" fontId="7" fillId="3" borderId="3" xfId="0" applyNumberFormat="1" applyFont="1" applyFill="1" applyBorder="1" applyAlignment="1">
      <alignment vertical="center"/>
    </xf>
    <xf numFmtId="189" fontId="0" fillId="4" borderId="3" xfId="0" applyNumberFormat="1" applyFont="1" applyFill="1" applyBorder="1" applyAlignment="1">
      <alignment vertical="center"/>
    </xf>
  </cellXfs>
  <cellStyles count="1">
    <cellStyle name="표준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90">
      <pane xSplit="2" ySplit="4" topLeftCell="C5" activePane="bottomRight" state="frozen"/>
    </sheetView>
  </sheetViews>
  <sheetFormatPr defaultRowHeight="16.5"/>
  <cols>
    <col min="1" max="1" width="6" customWidth="1"/>
    <col min="2" max="2" width="30" customWidth="1"/>
    <col min="3" max="3" width="22" customWidth="1"/>
    <col min="4" max="4" width="11" customWidth="1"/>
    <col min="5" max="5" width="6" customWidth="1"/>
    <col min="6" max="6" width="11" customWidth="1"/>
    <col min="7" max="7" width="14" customWidth="1"/>
    <col min="8" max="8" width="11" customWidth="1"/>
    <col min="9" max="9" width="14" customWidth="1"/>
    <col min="10" max="10" width="11" customWidth="1"/>
    <col min="11" max="11" width="14" customWidth="1"/>
    <col min="12" max="12" width="11" customWidth="1"/>
    <col min="13" max="13" width="14" customWidth="1"/>
    <col min="14" max="14" width="16" customWidth="1"/>
    <col min="15" max="15" width="8" customWidth="1" hidden="1"/>
  </cols>
  <sheetData>
    <row r="1" ht="26" customHeight="1">
      <c r="A1" s="1" t="inlineStr">
        <is>
          <t xml:space="preserve">내 역 서</t>
        </is>
      </c>
    </row>
    <row r="2">
      <c r="A2" s="2" t="inlineStr">
        <is>
          <t xml:space="preserve">가상 예시 — 실제 현장이 아닙니다 (K-건설맵 적산컨맵 골조 모델 «🧪 예시» 와 짝)</t>
        </is>
      </c>
    </row>
    <row r="3" ht="20" customHeight="1">
      <c r="A3" s="3" t="inlineStr">
        <is>
          <t xml:space="preserve">공종</t>
        </is>
      </c>
      <c r="B3" s="3" t="inlineStr">
        <is>
          <t xml:space="preserve">품    명</t>
        </is>
      </c>
      <c r="C3" s="3" t="inlineStr">
        <is>
          <t xml:space="preserve">규    격</t>
        </is>
      </c>
      <c r="D3" s="3" t="inlineStr">
        <is>
          <t xml:space="preserve">수 량</t>
        </is>
      </c>
      <c r="E3" s="3" t="inlineStr">
        <is>
          <t xml:space="preserve">단위</t>
        </is>
      </c>
      <c r="F3" s="3" t="inlineStr">
        <is>
          <t xml:space="preserve">재료비</t>
        </is>
      </c>
      <c r="G3" s="3"/>
      <c r="H3" s="3" t="inlineStr">
        <is>
          <t xml:space="preserve">노무비</t>
        </is>
      </c>
      <c r="I3" s="3"/>
      <c r="J3" s="3" t="inlineStr">
        <is>
          <t xml:space="preserve">경비</t>
        </is>
      </c>
      <c r="K3" s="3"/>
      <c r="L3" s="3" t="inlineStr">
        <is>
          <t xml:space="preserve">합    계</t>
        </is>
      </c>
      <c r="M3" s="3"/>
      <c r="N3" s="3" t="inlineStr">
        <is>
          <t xml:space="preserve">비    고</t>
        </is>
      </c>
      <c r="O3" s="3" t="inlineStr">
        <is>
          <t xml:space="preserve">(셈 표)</t>
        </is>
      </c>
    </row>
    <row r="4" ht="20" customHeight="1">
      <c r="A4" s="3"/>
      <c r="B4" s="3"/>
      <c r="C4" s="3"/>
      <c r="D4" s="3"/>
      <c r="E4" s="3"/>
      <c r="F4" s="3" t="inlineStr">
        <is>
          <t xml:space="preserve">단 가</t>
        </is>
      </c>
      <c r="G4" s="3" t="inlineStr">
        <is>
          <t xml:space="preserve">금 액</t>
        </is>
      </c>
      <c r="H4" s="3" t="inlineStr">
        <is>
          <t xml:space="preserve">단 가</t>
        </is>
      </c>
      <c r="I4" s="3" t="inlineStr">
        <is>
          <t xml:space="preserve">금 액</t>
        </is>
      </c>
      <c r="J4" s="3" t="inlineStr">
        <is>
          <t xml:space="preserve">단 가</t>
        </is>
      </c>
      <c r="K4" s="3" t="inlineStr">
        <is>
          <t xml:space="preserve">금 액</t>
        </is>
      </c>
      <c r="L4" s="3" t="inlineStr">
        <is>
          <t xml:space="preserve">단 가</t>
        </is>
      </c>
      <c r="M4" s="3" t="inlineStr">
        <is>
          <t xml:space="preserve">금 액</t>
        </is>
      </c>
      <c r="N4" s="3"/>
      <c r="O4" s="3"/>
    </row>
    <row r="5">
      <c r="A5" s="6"/>
      <c r="B5" s="14" t="inlineStr">
        <is>
          <t xml:space="preserve">순 공 사 비</t>
        </is>
      </c>
      <c r="C5" s="13"/>
      <c r="D5" s="13"/>
      <c r="E5" s="13"/>
      <c r="F5" s="13"/>
      <c r="G5" s="20">
        <f>SUMIF($O$6:$O$25,"S0",G6:G25)</f>
        <v>49523280</v>
      </c>
      <c r="H5" s="13"/>
      <c r="I5" s="20">
        <f>SUMIF($O$6:$O$25,"S0",I6:I25)</f>
        <v>45743680</v>
      </c>
      <c r="J5" s="13"/>
      <c r="K5" s="20">
        <f>SUMIF($O$6:$O$25,"S0",K6:K25)</f>
        <v>1241500</v>
      </c>
      <c r="L5" s="13"/>
      <c r="M5" s="20">
        <f>SUMIF($O$6:$O$25,"S0",M6:M25)</f>
        <v>96508460</v>
      </c>
      <c r="N5" s="13"/>
      <c r="O5" s="2" t="inlineStr">
        <is>
          <t xml:space="preserve">계0</t>
        </is>
      </c>
    </row>
    <row r="6">
      <c r="A6" s="7" t="inlineStr">
        <is>
          <t xml:space="preserve">1</t>
        </is>
      </c>
      <c r="B6" s="14" t="inlineStr">
        <is>
          <t xml:space="preserve">철근콘크리트공사</t>
        </is>
      </c>
      <c r="C6" s="13"/>
      <c r="D6" s="13"/>
      <c r="E6" s="13"/>
      <c r="F6" s="13"/>
      <c r="G6" s="20">
        <f>SUMIF($O$7:$O$21,"S0",G7:G21)</f>
        <v>48523280</v>
      </c>
      <c r="H6" s="13"/>
      <c r="I6" s="20">
        <f>SUMIF($O$7:$O$21,"S0",I7:I21)</f>
        <v>42443680</v>
      </c>
      <c r="J6" s="13"/>
      <c r="K6" s="20">
        <f>SUMIF($O$7:$O$21,"S0",K7:K21)</f>
        <v>1241500</v>
      </c>
      <c r="L6" s="13"/>
      <c r="M6" s="20">
        <f>SUMIF($O$7:$O$21,"S0",M7:M21)</f>
        <v>92208460</v>
      </c>
      <c r="N6" s="13"/>
      <c r="O6" s="2" t="inlineStr">
        <is>
          <t xml:space="preserve">계0</t>
        </is>
      </c>
    </row>
    <row r="7">
      <c r="A7" s="5"/>
      <c r="B7" s="13" t="inlineStr">
        <is>
          <t xml:space="preserve">    레미콘</t>
        </is>
      </c>
      <c r="C7" s="13" t="inlineStr">
        <is>
          <t xml:space="preserve">25-24-15</t>
        </is>
      </c>
      <c r="D7" s="26">
        <v>230</v>
      </c>
      <c r="E7" s="5" t="inlineStr">
        <is>
          <t xml:space="preserve">M3</t>
        </is>
      </c>
      <c r="F7" s="26">
        <v>95000</v>
      </c>
      <c r="G7" s="19">
        <f>TRUNC(D7*F7)</f>
        <v>21850000</v>
      </c>
      <c r="H7" s="26">
        <v>0</v>
      </c>
      <c r="I7" s="19">
        <f>TRUNC(D7*H7)</f>
        <v>0</v>
      </c>
      <c r="J7" s="26">
        <v>0</v>
      </c>
      <c r="K7" s="19">
        <f>TRUNC(D7*J7)</f>
        <v>0</v>
      </c>
      <c r="L7" s="26">
        <f>H7+F7+J7</f>
        <v>95000</v>
      </c>
      <c r="M7" s="19">
        <f>I7+G7+K7</f>
        <v>21850000</v>
      </c>
      <c r="N7" s="13"/>
      <c r="O7" s="2" t="inlineStr">
        <is>
          <t xml:space="preserve">S0</t>
        </is>
      </c>
    </row>
    <row r="8">
      <c r="A8" s="5"/>
      <c r="B8" s="13" t="inlineStr">
        <is>
          <t xml:space="preserve">    레미콘 펌프차 타설</t>
        </is>
      </c>
      <c r="C8" s="13" t="inlineStr">
        <is>
          <t xml:space="preserve">slump 15cm</t>
        </is>
      </c>
      <c r="D8" s="26">
        <v>228</v>
      </c>
      <c r="E8" s="5" t="inlineStr">
        <is>
          <t xml:space="preserve">M3</t>
        </is>
      </c>
      <c r="F8" s="26">
        <v>0</v>
      </c>
      <c r="G8" s="19">
        <f>TRUNC(D8*F8)</f>
        <v>0</v>
      </c>
      <c r="H8" s="26">
        <v>14000</v>
      </c>
      <c r="I8" s="19">
        <f>TRUNC(D8*H8)</f>
        <v>3192000</v>
      </c>
      <c r="J8" s="26">
        <v>3000</v>
      </c>
      <c r="K8" s="19">
        <f>TRUNC(D8*J8)</f>
        <v>684000</v>
      </c>
      <c r="L8" s="26">
        <f>H8+F8+J8</f>
        <v>17000</v>
      </c>
      <c r="M8" s="19">
        <f>I8+G8+K8</f>
        <v>3876000</v>
      </c>
      <c r="N8" s="13"/>
      <c r="O8" s="2" t="inlineStr">
        <is>
          <t xml:space="preserve">S0</t>
        </is>
      </c>
    </row>
    <row r="9">
      <c r="A9" s="5"/>
      <c r="B9" s="13" t="inlineStr">
        <is>
          <t xml:space="preserve">    철근</t>
        </is>
      </c>
      <c r="C9" s="13" t="inlineStr">
        <is>
          <t xml:space="preserve">HD10</t>
        </is>
      </c>
      <c r="D9" s="33">
        <v>8.2</v>
      </c>
      <c r="E9" s="5" t="inlineStr">
        <is>
          <t xml:space="preserve">TON</t>
        </is>
      </c>
      <c r="F9" s="26">
        <v>900000</v>
      </c>
      <c r="G9" s="19">
        <f>TRUNC(D9*F9)</f>
        <v>7380000</v>
      </c>
      <c r="H9" s="26">
        <v>0</v>
      </c>
      <c r="I9" s="19">
        <f>TRUNC(D9*H9)</f>
        <v>0</v>
      </c>
      <c r="J9" s="26">
        <v>0</v>
      </c>
      <c r="K9" s="19">
        <f>TRUNC(D9*J9)</f>
        <v>0</v>
      </c>
      <c r="L9" s="26">
        <f>H9+F9+J9</f>
        <v>900000</v>
      </c>
      <c r="M9" s="19">
        <f>I9+G9+K9</f>
        <v>7380000</v>
      </c>
      <c r="N9" s="13"/>
      <c r="O9" s="2" t="inlineStr">
        <is>
          <t xml:space="preserve">S0</t>
        </is>
      </c>
    </row>
    <row r="10">
      <c r="A10" s="5"/>
      <c r="B10" s="13" t="inlineStr">
        <is>
          <t xml:space="preserve">    철근</t>
        </is>
      </c>
      <c r="C10" s="13" t="inlineStr">
        <is>
          <t xml:space="preserve">HD13</t>
        </is>
      </c>
      <c r="D10" s="40">
        <v>0.95</v>
      </c>
      <c r="E10" s="5" t="inlineStr">
        <is>
          <t xml:space="preserve">TON</t>
        </is>
      </c>
      <c r="F10" s="26">
        <v>900000</v>
      </c>
      <c r="G10" s="19">
        <f>TRUNC(D10*F10)</f>
        <v>855000</v>
      </c>
      <c r="H10" s="26">
        <v>0</v>
      </c>
      <c r="I10" s="19">
        <f>TRUNC(D10*H10)</f>
        <v>0</v>
      </c>
      <c r="J10" s="26">
        <v>0</v>
      </c>
      <c r="K10" s="19">
        <f>TRUNC(D10*J10)</f>
        <v>0</v>
      </c>
      <c r="L10" s="26">
        <f>H10+F10+J10</f>
        <v>900000</v>
      </c>
      <c r="M10" s="19">
        <f>I10+G10+K10</f>
        <v>855000</v>
      </c>
      <c r="N10" s="13"/>
      <c r="O10" s="2" t="inlineStr">
        <is>
          <t xml:space="preserve">S0</t>
        </is>
      </c>
    </row>
    <row r="11">
      <c r="A11" s="5"/>
      <c r="B11" s="13" t="inlineStr">
        <is>
          <t xml:space="preserve">    철근</t>
        </is>
      </c>
      <c r="C11" s="13" t="inlineStr">
        <is>
          <t xml:space="preserve">HD16</t>
        </is>
      </c>
      <c r="D11" s="40">
        <v>0.05</v>
      </c>
      <c r="E11" s="5" t="inlineStr">
        <is>
          <t xml:space="preserve">TON</t>
        </is>
      </c>
      <c r="F11" s="26">
        <v>900000</v>
      </c>
      <c r="G11" s="19">
        <f>TRUNC(D11*F11)</f>
        <v>45000</v>
      </c>
      <c r="H11" s="26">
        <v>0</v>
      </c>
      <c r="I11" s="19">
        <f>TRUNC(D11*H11)</f>
        <v>0</v>
      </c>
      <c r="J11" s="26">
        <v>0</v>
      </c>
      <c r="K11" s="19">
        <f>TRUNC(D11*J11)</f>
        <v>0</v>
      </c>
      <c r="L11" s="26">
        <f>H11+F11+J11</f>
        <v>900000</v>
      </c>
      <c r="M11" s="19">
        <f>I11+G11+K11</f>
        <v>45000</v>
      </c>
      <c r="N11" s="13"/>
      <c r="O11" s="2" t="inlineStr">
        <is>
          <t xml:space="preserve">S0</t>
        </is>
      </c>
    </row>
    <row r="12">
      <c r="A12" s="5"/>
      <c r="B12" s="13" t="inlineStr">
        <is>
          <t xml:space="preserve">    철근</t>
        </is>
      </c>
      <c r="C12" s="13" t="inlineStr">
        <is>
          <t xml:space="preserve">HD19</t>
        </is>
      </c>
      <c r="D12" s="33">
        <v>2.1</v>
      </c>
      <c r="E12" s="5" t="inlineStr">
        <is>
          <t xml:space="preserve">TON</t>
        </is>
      </c>
      <c r="F12" s="26">
        <v>890000</v>
      </c>
      <c r="G12" s="19">
        <f>TRUNC(D12*F12)</f>
        <v>1869000</v>
      </c>
      <c r="H12" s="26">
        <v>0</v>
      </c>
      <c r="I12" s="19">
        <f>TRUNC(D12*H12)</f>
        <v>0</v>
      </c>
      <c r="J12" s="26">
        <v>0</v>
      </c>
      <c r="K12" s="19">
        <f>TRUNC(D12*J12)</f>
        <v>0</v>
      </c>
      <c r="L12" s="26">
        <f>H12+F12+J12</f>
        <v>890000</v>
      </c>
      <c r="M12" s="19">
        <f>I12+G12+K12</f>
        <v>1869000</v>
      </c>
      <c r="N12" s="13"/>
      <c r="O12" s="2" t="inlineStr">
        <is>
          <t xml:space="preserve">S0</t>
        </is>
      </c>
    </row>
    <row r="13">
      <c r="A13" s="5"/>
      <c r="B13" s="13" t="inlineStr">
        <is>
          <t xml:space="preserve">    철근</t>
        </is>
      </c>
      <c r="C13" s="13" t="inlineStr">
        <is>
          <t xml:space="preserve">HD22</t>
        </is>
      </c>
      <c r="D13" s="33">
        <v>11.5</v>
      </c>
      <c r="E13" s="5" t="inlineStr">
        <is>
          <t xml:space="preserve">TON</t>
        </is>
      </c>
      <c r="F13" s="26">
        <v>890000</v>
      </c>
      <c r="G13" s="19">
        <f>TRUNC(D13*F13)</f>
        <v>10235000</v>
      </c>
      <c r="H13" s="26">
        <v>0</v>
      </c>
      <c r="I13" s="19">
        <f>TRUNC(D13*H13)</f>
        <v>0</v>
      </c>
      <c r="J13" s="26">
        <v>0</v>
      </c>
      <c r="K13" s="19">
        <f>TRUNC(D13*J13)</f>
        <v>0</v>
      </c>
      <c r="L13" s="26">
        <f>H13+F13+J13</f>
        <v>890000</v>
      </c>
      <c r="M13" s="19">
        <f>I13+G13+K13</f>
        <v>10235000</v>
      </c>
      <c r="N13" s="13"/>
      <c r="O13" s="2" t="inlineStr">
        <is>
          <t xml:space="preserve">S0</t>
        </is>
      </c>
    </row>
    <row r="14">
      <c r="A14" s="5"/>
      <c r="B14" s="13" t="inlineStr">
        <is>
          <t xml:space="preserve">    철근가공조립</t>
        </is>
      </c>
      <c r="C14" s="13" t="inlineStr">
        <is>
          <t xml:space="preserve">현장가공 및 조립</t>
        </is>
      </c>
      <c r="D14" s="33">
        <v>22.3</v>
      </c>
      <c r="E14" s="5" t="inlineStr">
        <is>
          <t xml:space="preserve">TON</t>
        </is>
      </c>
      <c r="F14" s="26">
        <v>0</v>
      </c>
      <c r="G14" s="19">
        <f>TRUNC(D14*F14)</f>
        <v>0</v>
      </c>
      <c r="H14" s="26">
        <v>520000</v>
      </c>
      <c r="I14" s="19">
        <f>TRUNC(D14*H14)</f>
        <v>11596000</v>
      </c>
      <c r="J14" s="26">
        <v>25000</v>
      </c>
      <c r="K14" s="19">
        <f>TRUNC(D14*J14)</f>
        <v>557500</v>
      </c>
      <c r="L14" s="26">
        <f>H14+F14+J14</f>
        <v>545000</v>
      </c>
      <c r="M14" s="19">
        <f>I14+G14+K14</f>
        <v>12153500</v>
      </c>
      <c r="N14" s="13"/>
      <c r="O14" s="2" t="inlineStr">
        <is>
          <t xml:space="preserve">S0</t>
        </is>
      </c>
    </row>
    <row r="15">
      <c r="A15" s="5"/>
      <c r="B15" s="13" t="inlineStr">
        <is>
          <t xml:space="preserve">    합판거푸집</t>
        </is>
      </c>
      <c r="C15" s="13" t="inlineStr">
        <is>
          <t xml:space="preserve">슬라브</t>
        </is>
      </c>
      <c r="D15" s="26">
        <v>540</v>
      </c>
      <c r="E15" s="5" t="inlineStr">
        <is>
          <t xml:space="preserve">M2</t>
        </is>
      </c>
      <c r="F15" s="26">
        <v>6500</v>
      </c>
      <c r="G15" s="19">
        <f>TRUNC(D15*F15)</f>
        <v>3510000</v>
      </c>
      <c r="H15" s="26">
        <v>24000</v>
      </c>
      <c r="I15" s="19">
        <f>TRUNC(D15*H15)</f>
        <v>12960000</v>
      </c>
      <c r="J15" s="26">
        <v>0</v>
      </c>
      <c r="K15" s="19">
        <f>TRUNC(D15*J15)</f>
        <v>0</v>
      </c>
      <c r="L15" s="26">
        <f>H15+F15+J15</f>
        <v>30500</v>
      </c>
      <c r="M15" s="19">
        <f>I15+G15+K15</f>
        <v>16470000</v>
      </c>
      <c r="N15" s="13"/>
      <c r="O15" s="2" t="inlineStr">
        <is>
          <t xml:space="preserve">S0</t>
        </is>
      </c>
    </row>
    <row r="16">
      <c r="A16" s="5"/>
      <c r="B16" s="13" t="inlineStr">
        <is>
          <t xml:space="preserve">    유로폼</t>
        </is>
      </c>
      <c r="C16" s="13" t="inlineStr">
        <is>
          <t xml:space="preserve">벽</t>
        </is>
      </c>
      <c r="D16" s="26">
        <v>75</v>
      </c>
      <c r="E16" s="5" t="inlineStr">
        <is>
          <t xml:space="preserve">M2</t>
        </is>
      </c>
      <c r="F16" s="26">
        <v>3500</v>
      </c>
      <c r="G16" s="19">
        <f>TRUNC(D16*F16)</f>
        <v>262500</v>
      </c>
      <c r="H16" s="26">
        <v>21000</v>
      </c>
      <c r="I16" s="19">
        <f>TRUNC(D16*H16)</f>
        <v>1575000</v>
      </c>
      <c r="J16" s="26">
        <v>0</v>
      </c>
      <c r="K16" s="19">
        <f>TRUNC(D16*J16)</f>
        <v>0</v>
      </c>
      <c r="L16" s="26">
        <f>H16+F16+J16</f>
        <v>24500</v>
      </c>
      <c r="M16" s="19">
        <f>I16+G16+K16</f>
        <v>1837500</v>
      </c>
      <c r="N16" s="13"/>
      <c r="O16" s="2" t="inlineStr">
        <is>
          <t xml:space="preserve">S0</t>
        </is>
      </c>
    </row>
    <row r="17">
      <c r="A17" s="5"/>
      <c r="B17" s="13" t="inlineStr">
        <is>
          <t xml:space="preserve">    유로폼</t>
        </is>
      </c>
      <c r="C17" s="13" t="inlineStr">
        <is>
          <t xml:space="preserve">기둥</t>
        </is>
      </c>
      <c r="D17" s="40">
        <v>199.08</v>
      </c>
      <c r="E17" s="5" t="inlineStr">
        <is>
          <t xml:space="preserve">M2</t>
        </is>
      </c>
      <c r="F17" s="26">
        <v>3500</v>
      </c>
      <c r="G17" s="19">
        <f>TRUNC(D17*F17)</f>
        <v>696780</v>
      </c>
      <c r="H17" s="26">
        <v>21000</v>
      </c>
      <c r="I17" s="19">
        <f>TRUNC(D17*H17)</f>
        <v>4180680</v>
      </c>
      <c r="J17" s="26">
        <v>0</v>
      </c>
      <c r="K17" s="19">
        <f>TRUNC(D17*J17)</f>
        <v>0</v>
      </c>
      <c r="L17" s="26">
        <f>H17+F17+J17</f>
        <v>24500</v>
      </c>
      <c r="M17" s="19">
        <f>I17+G17+K17</f>
        <v>4877460</v>
      </c>
      <c r="N17" s="13"/>
      <c r="O17" s="2" t="inlineStr">
        <is>
          <t xml:space="preserve">S0</t>
        </is>
      </c>
    </row>
    <row r="18">
      <c r="A18" s="5"/>
      <c r="B18" s="13" t="inlineStr">
        <is>
          <t xml:space="preserve">    유로폼</t>
        </is>
      </c>
      <c r="C18" s="13" t="inlineStr">
        <is>
          <t xml:space="preserve">보</t>
        </is>
      </c>
      <c r="D18" s="26">
        <v>260</v>
      </c>
      <c r="E18" s="5" t="inlineStr">
        <is>
          <t xml:space="preserve">M2</t>
        </is>
      </c>
      <c r="F18" s="26">
        <v>3500</v>
      </c>
      <c r="G18" s="19">
        <f>TRUNC(D18*F18)</f>
        <v>910000</v>
      </c>
      <c r="H18" s="26">
        <v>22000</v>
      </c>
      <c r="I18" s="19">
        <f>TRUNC(D18*H18)</f>
        <v>5720000</v>
      </c>
      <c r="J18" s="26">
        <v>0</v>
      </c>
      <c r="K18" s="19">
        <f>TRUNC(D18*J18)</f>
        <v>0</v>
      </c>
      <c r="L18" s="26">
        <f>H18+F18+J18</f>
        <v>25500</v>
      </c>
      <c r="M18" s="19">
        <f>I18+G18+K18</f>
        <v>6630000</v>
      </c>
      <c r="N18" s="13"/>
      <c r="O18" s="2" t="inlineStr">
        <is>
          <t xml:space="preserve">S0</t>
        </is>
      </c>
    </row>
    <row r="19">
      <c r="A19" s="5"/>
      <c r="B19" s="13" t="inlineStr">
        <is>
          <t xml:space="preserve">    합판거푸집</t>
        </is>
      </c>
      <c r="C19" s="13" t="inlineStr">
        <is>
          <t xml:space="preserve">기초</t>
        </is>
      </c>
      <c r="D19" s="26">
        <v>90</v>
      </c>
      <c r="E19" s="5" t="inlineStr">
        <is>
          <t xml:space="preserve">M2</t>
        </is>
      </c>
      <c r="F19" s="26">
        <v>6500</v>
      </c>
      <c r="G19" s="19">
        <f>TRUNC(D19*F19)</f>
        <v>585000</v>
      </c>
      <c r="H19" s="26">
        <v>20000</v>
      </c>
      <c r="I19" s="19">
        <f>TRUNC(D19*H19)</f>
        <v>1800000</v>
      </c>
      <c r="J19" s="26">
        <v>0</v>
      </c>
      <c r="K19" s="19">
        <f>TRUNC(D19*J19)</f>
        <v>0</v>
      </c>
      <c r="L19" s="26">
        <f>H19+F19+J19</f>
        <v>26500</v>
      </c>
      <c r="M19" s="19">
        <f>I19+G19+K19</f>
        <v>2385000</v>
      </c>
      <c r="N19" s="13"/>
      <c r="O19" s="2" t="inlineStr">
        <is>
          <t xml:space="preserve">S0</t>
        </is>
      </c>
    </row>
    <row r="20">
      <c r="A20" s="5"/>
      <c r="B20" s="13" t="inlineStr">
        <is>
          <t xml:space="preserve">    합판거푸집</t>
        </is>
      </c>
      <c r="C20" s="13" t="inlineStr">
        <is>
          <t xml:space="preserve">계단</t>
        </is>
      </c>
      <c r="D20" s="26">
        <v>30</v>
      </c>
      <c r="E20" s="5" t="inlineStr">
        <is>
          <t xml:space="preserve">M2</t>
        </is>
      </c>
      <c r="F20" s="26">
        <v>6500</v>
      </c>
      <c r="G20" s="19">
        <f>TRUNC(D20*F20)</f>
        <v>195000</v>
      </c>
      <c r="H20" s="26">
        <v>30000</v>
      </c>
      <c r="I20" s="19">
        <f>TRUNC(D20*H20)</f>
        <v>900000</v>
      </c>
      <c r="J20" s="26">
        <v>0</v>
      </c>
      <c r="K20" s="19">
        <f>TRUNC(D20*J20)</f>
        <v>0</v>
      </c>
      <c r="L20" s="26">
        <f>H20+F20+J20</f>
        <v>36500</v>
      </c>
      <c r="M20" s="19">
        <f>I20+G20+K20</f>
        <v>1095000</v>
      </c>
      <c r="N20" s="13"/>
      <c r="O20" s="2" t="inlineStr">
        <is>
          <t xml:space="preserve">S0</t>
        </is>
      </c>
    </row>
    <row r="21">
      <c r="A21" s="5"/>
      <c r="B21" s="13" t="inlineStr">
        <is>
          <t xml:space="preserve">    방수턱 거푸집</t>
        </is>
      </c>
      <c r="C21" s="13"/>
      <c r="D21" s="26">
        <v>20</v>
      </c>
      <c r="E21" s="5" t="inlineStr">
        <is>
          <t xml:space="preserve">M2</t>
        </is>
      </c>
      <c r="F21" s="26">
        <v>6500</v>
      </c>
      <c r="G21" s="19">
        <f>TRUNC(D21*F21)</f>
        <v>130000</v>
      </c>
      <c r="H21" s="26">
        <v>26000</v>
      </c>
      <c r="I21" s="19">
        <f>TRUNC(D21*H21)</f>
        <v>520000</v>
      </c>
      <c r="J21" s="26">
        <v>0</v>
      </c>
      <c r="K21" s="19">
        <f>TRUNC(D21*J21)</f>
        <v>0</v>
      </c>
      <c r="L21" s="26">
        <f>H21+F21+J21</f>
        <v>32500</v>
      </c>
      <c r="M21" s="19">
        <f>I21+G21+K21</f>
        <v>650000</v>
      </c>
      <c r="N21" s="13"/>
      <c r="O21" s="2" t="inlineStr">
        <is>
          <t xml:space="preserve">S0</t>
        </is>
      </c>
    </row>
    <row r="22">
      <c r="A22" s="7" t="inlineStr">
        <is>
          <t xml:space="preserve">2</t>
        </is>
      </c>
      <c r="B22" s="14" t="inlineStr">
        <is>
          <t xml:space="preserve">조적공사</t>
        </is>
      </c>
      <c r="C22" s="13"/>
      <c r="D22" s="13"/>
      <c r="E22" s="13"/>
      <c r="F22" s="13"/>
      <c r="G22" s="20">
        <f>SUMIF($O$23:$O$23,"S0",G23:G23)</f>
        <v>400000</v>
      </c>
      <c r="H22" s="13"/>
      <c r="I22" s="20">
        <f>SUMIF($O$23:$O$23,"S0",I23:I23)</f>
        <v>600000</v>
      </c>
      <c r="J22" s="13"/>
      <c r="K22" s="20">
        <f>SUMIF($O$23:$O$23,"S0",K23:K23)</f>
        <v>0</v>
      </c>
      <c r="L22" s="13"/>
      <c r="M22" s="20">
        <f>SUMIF($O$23:$O$23,"S0",M23:M23)</f>
        <v>1000000</v>
      </c>
      <c r="N22" s="13"/>
      <c r="O22" s="2" t="inlineStr">
        <is>
          <t xml:space="preserve">계0</t>
        </is>
      </c>
    </row>
    <row r="23">
      <c r="A23" s="5"/>
      <c r="B23" s="13" t="inlineStr">
        <is>
          <t xml:space="preserve">    시멘트벽돌</t>
        </is>
      </c>
      <c r="C23" s="13" t="inlineStr">
        <is>
          <t xml:space="preserve">190×90×57</t>
        </is>
      </c>
      <c r="D23" s="26">
        <v>5000</v>
      </c>
      <c r="E23" s="5" t="inlineStr">
        <is>
          <t xml:space="preserve">매</t>
        </is>
      </c>
      <c r="F23" s="26">
        <v>80</v>
      </c>
      <c r="G23" s="19">
        <f>TRUNC(D23*F23)</f>
        <v>400000</v>
      </c>
      <c r="H23" s="26">
        <v>120</v>
      </c>
      <c r="I23" s="19">
        <f>TRUNC(D23*H23)</f>
        <v>600000</v>
      </c>
      <c r="J23" s="26">
        <v>0</v>
      </c>
      <c r="K23" s="19">
        <f>TRUNC(D23*J23)</f>
        <v>0</v>
      </c>
      <c r="L23" s="26">
        <f>H23+F23+J23</f>
        <v>200</v>
      </c>
      <c r="M23" s="19">
        <f>I23+G23+K23</f>
        <v>1000000</v>
      </c>
      <c r="N23" s="13"/>
      <c r="O23" s="2" t="inlineStr">
        <is>
          <t xml:space="preserve">S0</t>
        </is>
      </c>
    </row>
    <row r="24">
      <c r="A24" s="7" t="inlineStr">
        <is>
          <t xml:space="preserve">3</t>
        </is>
      </c>
      <c r="B24" s="14" t="inlineStr">
        <is>
          <t xml:space="preserve">미장공사</t>
        </is>
      </c>
      <c r="C24" s="13"/>
      <c r="D24" s="13"/>
      <c r="E24" s="13"/>
      <c r="F24" s="13"/>
      <c r="G24" s="20">
        <f>SUMIF($O$25:$O$25,"S0",G25:G25)</f>
        <v>600000</v>
      </c>
      <c r="H24" s="13"/>
      <c r="I24" s="20">
        <f>SUMIF($O$25:$O$25,"S0",I25:I25)</f>
        <v>2700000</v>
      </c>
      <c r="J24" s="13"/>
      <c r="K24" s="20">
        <f>SUMIF($O$25:$O$25,"S0",K25:K25)</f>
        <v>0</v>
      </c>
      <c r="L24" s="13"/>
      <c r="M24" s="20">
        <f>SUMIF($O$25:$O$25,"S0",M25:M25)</f>
        <v>3300000</v>
      </c>
      <c r="N24" s="13"/>
      <c r="O24" s="2" t="inlineStr">
        <is>
          <t xml:space="preserve">계0</t>
        </is>
      </c>
    </row>
    <row r="25">
      <c r="A25" s="5"/>
      <c r="B25" s="13" t="inlineStr">
        <is>
          <t xml:space="preserve">    모르타르바름</t>
        </is>
      </c>
      <c r="C25" s="13" t="inlineStr">
        <is>
          <t xml:space="preserve">벽</t>
        </is>
      </c>
      <c r="D25" s="26">
        <v>300</v>
      </c>
      <c r="E25" s="5" t="inlineStr">
        <is>
          <t xml:space="preserve">M2</t>
        </is>
      </c>
      <c r="F25" s="26">
        <v>2000</v>
      </c>
      <c r="G25" s="19">
        <f>TRUNC(D25*F25)</f>
        <v>600000</v>
      </c>
      <c r="H25" s="26">
        <v>9000</v>
      </c>
      <c r="I25" s="19">
        <f>TRUNC(D25*H25)</f>
        <v>2700000</v>
      </c>
      <c r="J25" s="26">
        <v>0</v>
      </c>
      <c r="K25" s="19">
        <f>TRUNC(D25*J25)</f>
        <v>0</v>
      </c>
      <c r="L25" s="26">
        <f>H25+F25+J25</f>
        <v>11000</v>
      </c>
      <c r="M25" s="19">
        <f>I25+G25+K25</f>
        <v>3300000</v>
      </c>
      <c r="N25" s="13"/>
      <c r="O25" s="2" t="inlineStr">
        <is>
          <t xml:space="preserve">S0</t>
        </is>
      </c>
    </row>
  </sheetData>
  <mergeCells count="12">
    <mergeCell ref="A1:O1"/>
    <mergeCell ref="A3:A4"/>
    <mergeCell ref="B3:B4"/>
    <mergeCell ref="C3:C4"/>
    <mergeCell ref="D3:D4"/>
    <mergeCell ref="E3:E4"/>
    <mergeCell ref="F3:G3"/>
    <mergeCell ref="H3:I3"/>
    <mergeCell ref="J3:K3"/>
    <mergeCell ref="L3:M3"/>
    <mergeCell ref="N3:N4"/>
    <mergeCell ref="O3:O4"/>
  </mergeCells>
  <printOptions horizontalCentered="1"/>
  <pageMargins left="0.4" right="0.4" top="0.6" bottom="0.6" header="0.3" footer="0.3"/>
  <pageSetup paperSize="9" orientation="landscape" fitToWidth="1" fitToHeight="0"/>
  <headerFooter>
    <oddFooter>&amp;C&amp;P / &amp;N</oddFooter>
  </headerFooter>
</worksheet>
</file>