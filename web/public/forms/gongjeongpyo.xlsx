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공정표(총괄)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'공사공정표(총괄)'!$A$1:$AO$42</definedName>
    <definedName name="_xlnm.Print_Area" localSheetId="1">'작성 예시'!$A$1:$AO$42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&quot;년&quot; m&quot;월&quot; d&quot;일&quot;"/>
    <numFmt numFmtId="165" formatCode="#,##0&quot;일&quot;;;&quot;&quot;"/>
    <numFmt numFmtId="166" formatCode="yy&quot;.&quot;m;;&quot;&quot;"/>
    <numFmt numFmtId="167" formatCode="yyyy-mm-dd"/>
    <numFmt numFmtId="168" formatCode="#,##0.##;;&quot;&quot;"/>
    <numFmt numFmtId="169" formatCode="yyyy. m. d."/>
    <numFmt numFmtId="170" formatCode="#,##0;;&quot;&quot;"/>
    <numFmt numFmtId="171" formatCode="0.0%;;&quot;&quot;"/>
  </numFmts>
  <fonts count="16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8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"/>
    </font>
    <font>
      <name val="맑은 고딕"/>
      <b val="1"/>
      <color rgb="001F2937"/>
      <sz val="9"/>
    </font>
    <font>
      <name val="맑은 고딕"/>
      <b val="1"/>
      <color rgb="001F2937"/>
      <sz val="8"/>
    </font>
    <font>
      <name val="맑은 고딕"/>
      <color rgb="001F2937"/>
      <sz val="7"/>
    </font>
    <font>
      <name val="맑은 고딕"/>
      <color rgb="00000000"/>
      <sz val="9"/>
    </font>
    <font>
      <name val="맑은 고딕"/>
      <b val="1"/>
      <color rgb="00000000"/>
      <sz val="9.5"/>
    </font>
    <font>
      <name val="맑은 고딕"/>
      <color rgb="00000000"/>
      <sz val="8.5"/>
    </font>
    <font>
      <name val="맑은 고딕"/>
      <color rgb="00000000"/>
      <sz val="9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6" fontId="7" fillId="4" borderId="1" applyAlignment="1" pivotButton="0" quotePrefix="0" xfId="0">
      <alignment horizontal="center" vertical="center" shrinkToFi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  <xf numFmtId="168" fontId="11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169" fontId="11" fillId="0" borderId="1" applyAlignment="1" pivotButton="0" quotePrefix="0" xfId="0">
      <alignment horizontal="center" vertical="center" shrinkToFit="1"/>
    </xf>
    <xf numFmtId="170" fontId="11" fillId="0" borderId="1" applyAlignment="1" pivotButton="0" quotePrefix="0" xfId="0">
      <alignment horizontal="right" vertical="center" shrinkToFit="1"/>
    </xf>
    <xf numFmtId="0" fontId="1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171" fontId="7" fillId="3" borderId="1" applyAlignment="1" pivotButton="0" quotePrefix="0" xfId="0">
      <alignment horizontal="center" vertical="center" shrinkToFit="1"/>
    </xf>
    <xf numFmtId="0" fontId="2" fillId="0" borderId="0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2">
    <dxf>
      <fill>
        <patternFill patternType="solid">
          <fgColor rgb="002F5597"/>
          <bgColor rgb="002F5597"/>
        </patternFill>
      </fill>
    </dxf>
    <dxf>
      <numFmt numFmtId="300" formatCode="#,##0;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R46"/>
  <sheetViews>
    <sheetView showGridLines="0" zoomScale="100" workbookViewId="0">
      <selection activeCell="A1" sqref="A1"/>
    </sheetView>
  </sheetViews>
  <sheetFormatPr baseColWidth="8" defaultRowHeight="15"/>
  <cols>
    <col width="4.5" customWidth="1" min="1" max="1"/>
    <col width="22" customWidth="1" min="2" max="2"/>
    <col width="7.5" customWidth="1" min="3" max="3"/>
    <col width="5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9" customWidth="1" min="41" max="41"/>
    <col width="10.5" customWidth="1" min="42" max="42"/>
    <col width="10.5" customWidth="1" min="43" max="43"/>
    <col width="13" customWidth="1" min="44" max="44"/>
  </cols>
  <sheetData>
    <row r="1" ht="20" customHeight="1">
      <c r="A1" s="1" t="inlineStr">
        <is>
          <t xml:space="preserve">  K-건설맵  |  k-conmap.com  건설 서식</t>
        </is>
      </c>
      <c r="Q1" s="2" t="inlineStr">
        <is>
          <t xml:space="preserve">← 이 1행을 지우고 쓰셔도 됩니다  </t>
        </is>
      </c>
    </row>
    <row r="2" ht="34" customHeight="1">
      <c r="A2" s="3" t="inlineStr">
        <is>
          <t>공 사 공 정 표  (총 괄)</t>
        </is>
      </c>
    </row>
    <row r="3" ht="24" customHeight="1">
      <c r="A3" s="4" t="inlineStr">
        <is>
          <t>공  사  명</t>
        </is>
      </c>
      <c r="B3" s="5" t="n"/>
      <c r="C3" s="6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4" t="inlineStr">
        <is>
          <t>착 공 일</t>
        </is>
      </c>
      <c r="Q3" s="5" t="n"/>
      <c r="R3" s="5" t="n"/>
      <c r="S3" s="5" t="n"/>
      <c r="T3" s="7" t="n"/>
      <c r="U3" s="5" t="n"/>
      <c r="V3" s="5" t="n"/>
      <c r="W3" s="5" t="n"/>
      <c r="X3" s="5" t="n"/>
      <c r="Y3" s="5" t="n"/>
      <c r="Z3" s="5" t="n"/>
      <c r="AA3" s="5" t="n"/>
      <c r="AB3" s="4" t="inlineStr">
        <is>
          <t>준 공 일</t>
        </is>
      </c>
      <c r="AC3" s="5" t="n"/>
      <c r="AD3" s="5" t="n"/>
      <c r="AE3" s="5" t="n"/>
      <c r="AF3" s="7" t="n"/>
      <c r="AG3" s="5" t="n"/>
      <c r="AH3" s="5" t="n"/>
      <c r="AI3" s="5" t="n"/>
      <c r="AJ3" s="5" t="n"/>
      <c r="AK3" s="5" t="n"/>
      <c r="AL3" s="5" t="n"/>
      <c r="AM3" s="5" t="n"/>
      <c r="AN3" s="8">
        <f>IF(OR(N(T3)=0,N(AF3)=0),"",AF3-T3+1)</f>
        <v/>
      </c>
      <c r="AO3" s="5" t="n"/>
    </row>
    <row r="4" ht="4" customHeight="1"/>
    <row r="5" ht="20" customHeight="1">
      <c r="A5" s="9" t="inlineStr">
        <is>
          <t>공        종</t>
        </is>
      </c>
      <c r="B5" s="5" t="n"/>
      <c r="C5" s="9" t="inlineStr">
        <is>
          <t>수 량</t>
        </is>
      </c>
      <c r="D5" s="9" t="inlineStr">
        <is>
          <t>단위</t>
        </is>
      </c>
      <c r="E5" s="10">
        <f>IF(N(T3)=0,"",EDATE(DATE(YEAR(T3),MONTH(T3),1),0))</f>
        <v/>
      </c>
      <c r="F5" s="5" t="n"/>
      <c r="G5" s="10">
        <f>IF(N(T3)=0,"",EDATE(DATE(YEAR(T3),MONTH(T3),1),1))</f>
        <v/>
      </c>
      <c r="H5" s="5" t="n"/>
      <c r="I5" s="10">
        <f>IF(N(T3)=0,"",EDATE(DATE(YEAR(T3),MONTH(T3),1),2))</f>
        <v/>
      </c>
      <c r="J5" s="5" t="n"/>
      <c r="K5" s="10">
        <f>IF(N(T3)=0,"",EDATE(DATE(YEAR(T3),MONTH(T3),1),3))</f>
        <v/>
      </c>
      <c r="L5" s="5" t="n"/>
      <c r="M5" s="10">
        <f>IF(N(T3)=0,"",EDATE(DATE(YEAR(T3),MONTH(T3),1),4))</f>
        <v/>
      </c>
      <c r="N5" s="5" t="n"/>
      <c r="O5" s="10">
        <f>IF(N(T3)=0,"",EDATE(DATE(YEAR(T3),MONTH(T3),1),5))</f>
        <v/>
      </c>
      <c r="P5" s="5" t="n"/>
      <c r="Q5" s="10">
        <f>IF(N(T3)=0,"",EDATE(DATE(YEAR(T3),MONTH(T3),1),6))</f>
        <v/>
      </c>
      <c r="R5" s="5" t="n"/>
      <c r="S5" s="10">
        <f>IF(N(T3)=0,"",EDATE(DATE(YEAR(T3),MONTH(T3),1),7))</f>
        <v/>
      </c>
      <c r="T5" s="5" t="n"/>
      <c r="U5" s="10">
        <f>IF(N(T3)=0,"",EDATE(DATE(YEAR(T3),MONTH(T3),1),8))</f>
        <v/>
      </c>
      <c r="V5" s="5" t="n"/>
      <c r="W5" s="10">
        <f>IF(N(T3)=0,"",EDATE(DATE(YEAR(T3),MONTH(T3),1),9))</f>
        <v/>
      </c>
      <c r="X5" s="5" t="n"/>
      <c r="Y5" s="10">
        <f>IF(N(T3)=0,"",EDATE(DATE(YEAR(T3),MONTH(T3),1),10))</f>
        <v/>
      </c>
      <c r="Z5" s="5" t="n"/>
      <c r="AA5" s="10">
        <f>IF(N(T3)=0,"",EDATE(DATE(YEAR(T3),MONTH(T3),1),11))</f>
        <v/>
      </c>
      <c r="AB5" s="5" t="n"/>
      <c r="AC5" s="10">
        <f>IF(N(T3)=0,"",EDATE(DATE(YEAR(T3),MONTH(T3),1),12))</f>
        <v/>
      </c>
      <c r="AD5" s="5" t="n"/>
      <c r="AE5" s="10">
        <f>IF(N(T3)=0,"",EDATE(DATE(YEAR(T3),MONTH(T3),1),13))</f>
        <v/>
      </c>
      <c r="AF5" s="5" t="n"/>
      <c r="AG5" s="10">
        <f>IF(N(T3)=0,"",EDATE(DATE(YEAR(T3),MONTH(T3),1),14))</f>
        <v/>
      </c>
      <c r="AH5" s="5" t="n"/>
      <c r="AI5" s="10">
        <f>IF(N(T3)=0,"",EDATE(DATE(YEAR(T3),MONTH(T3),1),15))</f>
        <v/>
      </c>
      <c r="AJ5" s="5" t="n"/>
      <c r="AK5" s="10">
        <f>IF(N(T3)=0,"",EDATE(DATE(YEAR(T3),MONTH(T3),1),16))</f>
        <v/>
      </c>
      <c r="AL5" s="5" t="n"/>
      <c r="AM5" s="10">
        <f>IF(N(T3)=0,"",EDATE(DATE(YEAR(T3),MONTH(T3),1),17))</f>
        <v/>
      </c>
      <c r="AN5" s="5" t="n"/>
      <c r="AO5" s="9" t="inlineStr">
        <is>
          <t>비  고</t>
        </is>
      </c>
      <c r="AP5" s="9" t="inlineStr">
        <is>
          <t>착수일</t>
        </is>
      </c>
      <c r="AQ5" s="9" t="inlineStr">
        <is>
          <t>완료일</t>
        </is>
      </c>
      <c r="AR5" s="11" t="inlineStr">
        <is>
          <t>금액(가중치)</t>
        </is>
      </c>
    </row>
    <row r="6" ht="16" customHeight="1">
      <c r="A6" s="5" t="n"/>
      <c r="B6" s="5" t="n"/>
      <c r="C6" s="5" t="n"/>
      <c r="D6" s="5" t="n"/>
      <c r="E6" s="12" t="inlineStr">
        <is>
          <t>상</t>
        </is>
      </c>
      <c r="F6" s="12" t="inlineStr">
        <is>
          <t>하</t>
        </is>
      </c>
      <c r="G6" s="12" t="inlineStr">
        <is>
          <t>상</t>
        </is>
      </c>
      <c r="H6" s="12" t="inlineStr">
        <is>
          <t>하</t>
        </is>
      </c>
      <c r="I6" s="12" t="inlineStr">
        <is>
          <t>상</t>
        </is>
      </c>
      <c r="J6" s="12" t="inlineStr">
        <is>
          <t>하</t>
        </is>
      </c>
      <c r="K6" s="12" t="inlineStr">
        <is>
          <t>상</t>
        </is>
      </c>
      <c r="L6" s="12" t="inlineStr">
        <is>
          <t>하</t>
        </is>
      </c>
      <c r="M6" s="12" t="inlineStr">
        <is>
          <t>상</t>
        </is>
      </c>
      <c r="N6" s="12" t="inlineStr">
        <is>
          <t>하</t>
        </is>
      </c>
      <c r="O6" s="12" t="inlineStr">
        <is>
          <t>상</t>
        </is>
      </c>
      <c r="P6" s="12" t="inlineStr">
        <is>
          <t>하</t>
        </is>
      </c>
      <c r="Q6" s="12" t="inlineStr">
        <is>
          <t>상</t>
        </is>
      </c>
      <c r="R6" s="12" t="inlineStr">
        <is>
          <t>하</t>
        </is>
      </c>
      <c r="S6" s="12" t="inlineStr">
        <is>
          <t>상</t>
        </is>
      </c>
      <c r="T6" s="12" t="inlineStr">
        <is>
          <t>하</t>
        </is>
      </c>
      <c r="U6" s="12" t="inlineStr">
        <is>
          <t>상</t>
        </is>
      </c>
      <c r="V6" s="12" t="inlineStr">
        <is>
          <t>하</t>
        </is>
      </c>
      <c r="W6" s="12" t="inlineStr">
        <is>
          <t>상</t>
        </is>
      </c>
      <c r="X6" s="12" t="inlineStr">
        <is>
          <t>하</t>
        </is>
      </c>
      <c r="Y6" s="12" t="inlineStr">
        <is>
          <t>상</t>
        </is>
      </c>
      <c r="Z6" s="12" t="inlineStr">
        <is>
          <t>하</t>
        </is>
      </c>
      <c r="AA6" s="12" t="inlineStr">
        <is>
          <t>상</t>
        </is>
      </c>
      <c r="AB6" s="12" t="inlineStr">
        <is>
          <t>하</t>
        </is>
      </c>
      <c r="AC6" s="12" t="inlineStr">
        <is>
          <t>상</t>
        </is>
      </c>
      <c r="AD6" s="12" t="inlineStr">
        <is>
          <t>하</t>
        </is>
      </c>
      <c r="AE6" s="12" t="inlineStr">
        <is>
          <t>상</t>
        </is>
      </c>
      <c r="AF6" s="12" t="inlineStr">
        <is>
          <t>하</t>
        </is>
      </c>
      <c r="AG6" s="12" t="inlineStr">
        <is>
          <t>상</t>
        </is>
      </c>
      <c r="AH6" s="12" t="inlineStr">
        <is>
          <t>하</t>
        </is>
      </c>
      <c r="AI6" s="12" t="inlineStr">
        <is>
          <t>상</t>
        </is>
      </c>
      <c r="AJ6" s="12" t="inlineStr">
        <is>
          <t>하</t>
        </is>
      </c>
      <c r="AK6" s="12" t="inlineStr">
        <is>
          <t>상</t>
        </is>
      </c>
      <c r="AL6" s="12" t="inlineStr">
        <is>
          <t>하</t>
        </is>
      </c>
      <c r="AM6" s="12" t="inlineStr">
        <is>
          <t>상</t>
        </is>
      </c>
      <c r="AN6" s="12" t="inlineStr">
        <is>
          <t>하</t>
        </is>
      </c>
      <c r="AO6" s="5" t="n"/>
      <c r="AP6" s="5" t="n"/>
      <c r="AQ6" s="5" t="n"/>
      <c r="AR6" s="5" t="n"/>
    </row>
    <row r="7" hidden="1" ht="12" customHeight="1">
      <c r="E7" s="13">
        <f>IF(N(T3)=0,"",EDATE(DATE(YEAR(T3),MONTH(T3),1),0))</f>
        <v/>
      </c>
      <c r="F7" s="13">
        <f>IF(N(T3)=0,"",EDATE(DATE(YEAR(T3),MONTH(T3),1),0)+15)</f>
        <v/>
      </c>
      <c r="G7" s="13">
        <f>IF(N(T3)=0,"",EDATE(DATE(YEAR(T3),MONTH(T3),1),1))</f>
        <v/>
      </c>
      <c r="H7" s="13">
        <f>IF(N(T3)=0,"",EDATE(DATE(YEAR(T3),MONTH(T3),1),1)+15)</f>
        <v/>
      </c>
      <c r="I7" s="13">
        <f>IF(N(T3)=0,"",EDATE(DATE(YEAR(T3),MONTH(T3),1),2))</f>
        <v/>
      </c>
      <c r="J7" s="13">
        <f>IF(N(T3)=0,"",EDATE(DATE(YEAR(T3),MONTH(T3),1),2)+15)</f>
        <v/>
      </c>
      <c r="K7" s="13">
        <f>IF(N(T3)=0,"",EDATE(DATE(YEAR(T3),MONTH(T3),1),3))</f>
        <v/>
      </c>
      <c r="L7" s="13">
        <f>IF(N(T3)=0,"",EDATE(DATE(YEAR(T3),MONTH(T3),1),3)+15)</f>
        <v/>
      </c>
      <c r="M7" s="13">
        <f>IF(N(T3)=0,"",EDATE(DATE(YEAR(T3),MONTH(T3),1),4))</f>
        <v/>
      </c>
      <c r="N7" s="13">
        <f>IF(N(T3)=0,"",EDATE(DATE(YEAR(T3),MONTH(T3),1),4)+15)</f>
        <v/>
      </c>
      <c r="O7" s="13">
        <f>IF(N(T3)=0,"",EDATE(DATE(YEAR(T3),MONTH(T3),1),5))</f>
        <v/>
      </c>
      <c r="P7" s="13">
        <f>IF(N(T3)=0,"",EDATE(DATE(YEAR(T3),MONTH(T3),1),5)+15)</f>
        <v/>
      </c>
      <c r="Q7" s="13">
        <f>IF(N(T3)=0,"",EDATE(DATE(YEAR(T3),MONTH(T3),1),6))</f>
        <v/>
      </c>
      <c r="R7" s="13">
        <f>IF(N(T3)=0,"",EDATE(DATE(YEAR(T3),MONTH(T3),1),6)+15)</f>
        <v/>
      </c>
      <c r="S7" s="13">
        <f>IF(N(T3)=0,"",EDATE(DATE(YEAR(T3),MONTH(T3),1),7))</f>
        <v/>
      </c>
      <c r="T7" s="13">
        <f>IF(N(T3)=0,"",EDATE(DATE(YEAR(T3),MONTH(T3),1),7)+15)</f>
        <v/>
      </c>
      <c r="U7" s="13">
        <f>IF(N(T3)=0,"",EDATE(DATE(YEAR(T3),MONTH(T3),1),8))</f>
        <v/>
      </c>
      <c r="V7" s="13">
        <f>IF(N(T3)=0,"",EDATE(DATE(YEAR(T3),MONTH(T3),1),8)+15)</f>
        <v/>
      </c>
      <c r="W7" s="13">
        <f>IF(N(T3)=0,"",EDATE(DATE(YEAR(T3),MONTH(T3),1),9))</f>
        <v/>
      </c>
      <c r="X7" s="13">
        <f>IF(N(T3)=0,"",EDATE(DATE(YEAR(T3),MONTH(T3),1),9)+15)</f>
        <v/>
      </c>
      <c r="Y7" s="13">
        <f>IF(N(T3)=0,"",EDATE(DATE(YEAR(T3),MONTH(T3),1),10))</f>
        <v/>
      </c>
      <c r="Z7" s="13">
        <f>IF(N(T3)=0,"",EDATE(DATE(YEAR(T3),MONTH(T3),1),10)+15)</f>
        <v/>
      </c>
      <c r="AA7" s="13">
        <f>IF(N(T3)=0,"",EDATE(DATE(YEAR(T3),MONTH(T3),1),11))</f>
        <v/>
      </c>
      <c r="AB7" s="13">
        <f>IF(N(T3)=0,"",EDATE(DATE(YEAR(T3),MONTH(T3),1),11)+15)</f>
        <v/>
      </c>
      <c r="AC7" s="13">
        <f>IF(N(T3)=0,"",EDATE(DATE(YEAR(T3),MONTH(T3),1),12))</f>
        <v/>
      </c>
      <c r="AD7" s="13">
        <f>IF(N(T3)=0,"",EDATE(DATE(YEAR(T3),MONTH(T3),1),12)+15)</f>
        <v/>
      </c>
      <c r="AE7" s="13">
        <f>IF(N(T3)=0,"",EDATE(DATE(YEAR(T3),MONTH(T3),1),13))</f>
        <v/>
      </c>
      <c r="AF7" s="13">
        <f>IF(N(T3)=0,"",EDATE(DATE(YEAR(T3),MONTH(T3),1),13)+15)</f>
        <v/>
      </c>
      <c r="AG7" s="13">
        <f>IF(N(T3)=0,"",EDATE(DATE(YEAR(T3),MONTH(T3),1),14))</f>
        <v/>
      </c>
      <c r="AH7" s="13">
        <f>IF(N(T3)=0,"",EDATE(DATE(YEAR(T3),MONTH(T3),1),14)+15)</f>
        <v/>
      </c>
      <c r="AI7" s="13">
        <f>IF(N(T3)=0,"",EDATE(DATE(YEAR(T3),MONTH(T3),1),15))</f>
        <v/>
      </c>
      <c r="AJ7" s="13">
        <f>IF(N(T3)=0,"",EDATE(DATE(YEAR(T3),MONTH(T3),1),15)+15)</f>
        <v/>
      </c>
      <c r="AK7" s="13">
        <f>IF(N(T3)=0,"",EDATE(DATE(YEAR(T3),MONTH(T3),1),16))</f>
        <v/>
      </c>
      <c r="AL7" s="13">
        <f>IF(N(T3)=0,"",EDATE(DATE(YEAR(T3),MONTH(T3),1),16)+15)</f>
        <v/>
      </c>
      <c r="AM7" s="13">
        <f>IF(N(T3)=0,"",EDATE(DATE(YEAR(T3),MONTH(T3),1),17))</f>
        <v/>
      </c>
      <c r="AN7" s="13">
        <f>IF(N(T3)=0,"",EDATE(DATE(YEAR(T3),MONTH(T3),1),17)+15)</f>
        <v/>
      </c>
    </row>
    <row r="8" hidden="1" ht="12" customHeight="1">
      <c r="E8" s="13">
        <f>IF(N(T3)=0,"",EDATE(DATE(YEAR(T3),MONTH(T3),1),0)+14)</f>
        <v/>
      </c>
      <c r="F8" s="13">
        <f>IF(N(T3)=0,"",EDATE(DATE(YEAR(T3),MONTH(T3),1),1)-1)</f>
        <v/>
      </c>
      <c r="G8" s="13">
        <f>IF(N(T3)=0,"",EDATE(DATE(YEAR(T3),MONTH(T3),1),1)+14)</f>
        <v/>
      </c>
      <c r="H8" s="13">
        <f>IF(N(T3)=0,"",EDATE(DATE(YEAR(T3),MONTH(T3),1),2)-1)</f>
        <v/>
      </c>
      <c r="I8" s="13">
        <f>IF(N(T3)=0,"",EDATE(DATE(YEAR(T3),MONTH(T3),1),2)+14)</f>
        <v/>
      </c>
      <c r="J8" s="13">
        <f>IF(N(T3)=0,"",EDATE(DATE(YEAR(T3),MONTH(T3),1),3)-1)</f>
        <v/>
      </c>
      <c r="K8" s="13">
        <f>IF(N(T3)=0,"",EDATE(DATE(YEAR(T3),MONTH(T3),1),3)+14)</f>
        <v/>
      </c>
      <c r="L8" s="13">
        <f>IF(N(T3)=0,"",EDATE(DATE(YEAR(T3),MONTH(T3),1),4)-1)</f>
        <v/>
      </c>
      <c r="M8" s="13">
        <f>IF(N(T3)=0,"",EDATE(DATE(YEAR(T3),MONTH(T3),1),4)+14)</f>
        <v/>
      </c>
      <c r="N8" s="13">
        <f>IF(N(T3)=0,"",EDATE(DATE(YEAR(T3),MONTH(T3),1),5)-1)</f>
        <v/>
      </c>
      <c r="O8" s="13">
        <f>IF(N(T3)=0,"",EDATE(DATE(YEAR(T3),MONTH(T3),1),5)+14)</f>
        <v/>
      </c>
      <c r="P8" s="13">
        <f>IF(N(T3)=0,"",EDATE(DATE(YEAR(T3),MONTH(T3),1),6)-1)</f>
        <v/>
      </c>
      <c r="Q8" s="13">
        <f>IF(N(T3)=0,"",EDATE(DATE(YEAR(T3),MONTH(T3),1),6)+14)</f>
        <v/>
      </c>
      <c r="R8" s="13">
        <f>IF(N(T3)=0,"",EDATE(DATE(YEAR(T3),MONTH(T3),1),7)-1)</f>
        <v/>
      </c>
      <c r="S8" s="13">
        <f>IF(N(T3)=0,"",EDATE(DATE(YEAR(T3),MONTH(T3),1),7)+14)</f>
        <v/>
      </c>
      <c r="T8" s="13">
        <f>IF(N(T3)=0,"",EDATE(DATE(YEAR(T3),MONTH(T3),1),8)-1)</f>
        <v/>
      </c>
      <c r="U8" s="13">
        <f>IF(N(T3)=0,"",EDATE(DATE(YEAR(T3),MONTH(T3),1),8)+14)</f>
        <v/>
      </c>
      <c r="V8" s="13">
        <f>IF(N(T3)=0,"",EDATE(DATE(YEAR(T3),MONTH(T3),1),9)-1)</f>
        <v/>
      </c>
      <c r="W8" s="13">
        <f>IF(N(T3)=0,"",EDATE(DATE(YEAR(T3),MONTH(T3),1),9)+14)</f>
        <v/>
      </c>
      <c r="X8" s="13">
        <f>IF(N(T3)=0,"",EDATE(DATE(YEAR(T3),MONTH(T3),1),10)-1)</f>
        <v/>
      </c>
      <c r="Y8" s="13">
        <f>IF(N(T3)=0,"",EDATE(DATE(YEAR(T3),MONTH(T3),1),10)+14)</f>
        <v/>
      </c>
      <c r="Z8" s="13">
        <f>IF(N(T3)=0,"",EDATE(DATE(YEAR(T3),MONTH(T3),1),11)-1)</f>
        <v/>
      </c>
      <c r="AA8" s="13">
        <f>IF(N(T3)=0,"",EDATE(DATE(YEAR(T3),MONTH(T3),1),11)+14)</f>
        <v/>
      </c>
      <c r="AB8" s="13">
        <f>IF(N(T3)=0,"",EDATE(DATE(YEAR(T3),MONTH(T3),1),12)-1)</f>
        <v/>
      </c>
      <c r="AC8" s="13">
        <f>IF(N(T3)=0,"",EDATE(DATE(YEAR(T3),MONTH(T3),1),12)+14)</f>
        <v/>
      </c>
      <c r="AD8" s="13">
        <f>IF(N(T3)=0,"",EDATE(DATE(YEAR(T3),MONTH(T3),1),13)-1)</f>
        <v/>
      </c>
      <c r="AE8" s="13">
        <f>IF(N(T3)=0,"",EDATE(DATE(YEAR(T3),MONTH(T3),1),13)+14)</f>
        <v/>
      </c>
      <c r="AF8" s="13">
        <f>IF(N(T3)=0,"",EDATE(DATE(YEAR(T3),MONTH(T3),1),14)-1)</f>
        <v/>
      </c>
      <c r="AG8" s="13">
        <f>IF(N(T3)=0,"",EDATE(DATE(YEAR(T3),MONTH(T3),1),14)+14)</f>
        <v/>
      </c>
      <c r="AH8" s="13">
        <f>IF(N(T3)=0,"",EDATE(DATE(YEAR(T3),MONTH(T3),1),15)-1)</f>
        <v/>
      </c>
      <c r="AI8" s="13">
        <f>IF(N(T3)=0,"",EDATE(DATE(YEAR(T3),MONTH(T3),1),15)+14)</f>
        <v/>
      </c>
      <c r="AJ8" s="13">
        <f>IF(N(T3)=0,"",EDATE(DATE(YEAR(T3),MONTH(T3),1),16)-1)</f>
        <v/>
      </c>
      <c r="AK8" s="13">
        <f>IF(N(T3)=0,"",EDATE(DATE(YEAR(T3),MONTH(T3),1),16)+14)</f>
        <v/>
      </c>
      <c r="AL8" s="13">
        <f>IF(N(T3)=0,"",EDATE(DATE(YEAR(T3),MONTH(T3),1),17)-1)</f>
        <v/>
      </c>
      <c r="AM8" s="13">
        <f>IF(N(T3)=0,"",EDATE(DATE(YEAR(T3),MONTH(T3),1),17)+14)</f>
        <v/>
      </c>
      <c r="AN8" s="13">
        <f>IF(N(T3)=0,"",EDATE(DATE(YEAR(T3),MONTH(T3),1),18)-1)</f>
        <v/>
      </c>
    </row>
    <row r="9" ht="17" customHeight="1">
      <c r="A9" s="14" t="n"/>
      <c r="B9" s="15" t="n"/>
      <c r="C9" s="16" t="n"/>
      <c r="D9" s="14" t="n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  <c r="AA9" s="17" t="inlineStr"/>
      <c r="AB9" s="17" t="inlineStr"/>
      <c r="AC9" s="17" t="inlineStr"/>
      <c r="AD9" s="17" t="inlineStr"/>
      <c r="AE9" s="17" t="inlineStr"/>
      <c r="AF9" s="17" t="inlineStr"/>
      <c r="AG9" s="17" t="inlineStr"/>
      <c r="AH9" s="17" t="inlineStr"/>
      <c r="AI9" s="17" t="inlineStr"/>
      <c r="AJ9" s="17" t="inlineStr"/>
      <c r="AK9" s="17" t="inlineStr"/>
      <c r="AL9" s="17" t="inlineStr"/>
      <c r="AM9" s="17" t="inlineStr"/>
      <c r="AN9" s="17" t="inlineStr"/>
      <c r="AO9" s="18" t="n"/>
      <c r="AP9" s="19" t="n"/>
      <c r="AQ9" s="19" t="n"/>
      <c r="AR9" s="20" t="n"/>
    </row>
    <row r="10" ht="17" customHeight="1">
      <c r="A10" s="14" t="n"/>
      <c r="B10" s="21" t="n"/>
      <c r="C10" s="16" t="n"/>
      <c r="D10" s="14" t="n"/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  <c r="AA10" s="17" t="inlineStr"/>
      <c r="AB10" s="17" t="inlineStr"/>
      <c r="AC10" s="17" t="inlineStr"/>
      <c r="AD10" s="17" t="inlineStr"/>
      <c r="AE10" s="17" t="inlineStr"/>
      <c r="AF10" s="17" t="inlineStr"/>
      <c r="AG10" s="17" t="inlineStr"/>
      <c r="AH10" s="17" t="inlineStr"/>
      <c r="AI10" s="17" t="inlineStr"/>
      <c r="AJ10" s="17" t="inlineStr"/>
      <c r="AK10" s="17" t="inlineStr"/>
      <c r="AL10" s="17" t="inlineStr"/>
      <c r="AM10" s="17" t="inlineStr"/>
      <c r="AN10" s="17" t="inlineStr"/>
      <c r="AO10" s="18" t="n"/>
      <c r="AP10" s="19" t="n"/>
      <c r="AQ10" s="19" t="n"/>
      <c r="AR10" s="20" t="n"/>
    </row>
    <row r="11" ht="17" customHeight="1">
      <c r="A11" s="14" t="n"/>
      <c r="B11" s="15" t="n"/>
      <c r="C11" s="16" t="n"/>
      <c r="D11" s="14" t="n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  <c r="AA11" s="17" t="inlineStr"/>
      <c r="AB11" s="17" t="inlineStr"/>
      <c r="AC11" s="17" t="inlineStr"/>
      <c r="AD11" s="17" t="inlineStr"/>
      <c r="AE11" s="17" t="inlineStr"/>
      <c r="AF11" s="17" t="inlineStr"/>
      <c r="AG11" s="17" t="inlineStr"/>
      <c r="AH11" s="17" t="inlineStr"/>
      <c r="AI11" s="17" t="inlineStr"/>
      <c r="AJ11" s="17" t="inlineStr"/>
      <c r="AK11" s="17" t="inlineStr"/>
      <c r="AL11" s="17" t="inlineStr"/>
      <c r="AM11" s="17" t="inlineStr"/>
      <c r="AN11" s="17" t="inlineStr"/>
      <c r="AO11" s="18" t="n"/>
      <c r="AP11" s="19" t="n"/>
      <c r="AQ11" s="19" t="n"/>
      <c r="AR11" s="20" t="n"/>
    </row>
    <row r="12" ht="17" customHeight="1">
      <c r="A12" s="14" t="n"/>
      <c r="B12" s="21" t="n"/>
      <c r="C12" s="16" t="n"/>
      <c r="D12" s="14" t="n"/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  <c r="AA12" s="17" t="inlineStr"/>
      <c r="AB12" s="17" t="inlineStr"/>
      <c r="AC12" s="17" t="inlineStr"/>
      <c r="AD12" s="17" t="inlineStr"/>
      <c r="AE12" s="17" t="inlineStr"/>
      <c r="AF12" s="17" t="inlineStr"/>
      <c r="AG12" s="17" t="inlineStr"/>
      <c r="AH12" s="17" t="inlineStr"/>
      <c r="AI12" s="17" t="inlineStr"/>
      <c r="AJ12" s="17" t="inlineStr"/>
      <c r="AK12" s="17" t="inlineStr"/>
      <c r="AL12" s="17" t="inlineStr"/>
      <c r="AM12" s="17" t="inlineStr"/>
      <c r="AN12" s="17" t="inlineStr"/>
      <c r="AO12" s="18" t="n"/>
      <c r="AP12" s="19" t="n"/>
      <c r="AQ12" s="19" t="n"/>
      <c r="AR12" s="20" t="n"/>
    </row>
    <row r="13" ht="17" customHeight="1">
      <c r="A13" s="14" t="n"/>
      <c r="B13" s="21" t="n"/>
      <c r="C13" s="16" t="n"/>
      <c r="D13" s="14" t="n"/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7" t="inlineStr"/>
      <c r="AH13" s="17" t="inlineStr"/>
      <c r="AI13" s="17" t="inlineStr"/>
      <c r="AJ13" s="17" t="inlineStr"/>
      <c r="AK13" s="17" t="inlineStr"/>
      <c r="AL13" s="17" t="inlineStr"/>
      <c r="AM13" s="17" t="inlineStr"/>
      <c r="AN13" s="17" t="inlineStr"/>
      <c r="AO13" s="18" t="n"/>
      <c r="AP13" s="19" t="n"/>
      <c r="AQ13" s="19" t="n"/>
      <c r="AR13" s="20" t="n"/>
    </row>
    <row r="14" ht="17" customHeight="1">
      <c r="A14" s="14" t="n"/>
      <c r="B14" s="15" t="n"/>
      <c r="C14" s="16" t="n"/>
      <c r="D14" s="14" t="n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  <c r="AA14" s="17" t="inlineStr"/>
      <c r="AB14" s="17" t="inlineStr"/>
      <c r="AC14" s="17" t="inlineStr"/>
      <c r="AD14" s="17" t="inlineStr"/>
      <c r="AE14" s="17" t="inlineStr"/>
      <c r="AF14" s="17" t="inlineStr"/>
      <c r="AG14" s="17" t="inlineStr"/>
      <c r="AH14" s="17" t="inlineStr"/>
      <c r="AI14" s="17" t="inlineStr"/>
      <c r="AJ14" s="17" t="inlineStr"/>
      <c r="AK14" s="17" t="inlineStr"/>
      <c r="AL14" s="17" t="inlineStr"/>
      <c r="AM14" s="17" t="inlineStr"/>
      <c r="AN14" s="17" t="inlineStr"/>
      <c r="AO14" s="18" t="n"/>
      <c r="AP14" s="19" t="n"/>
      <c r="AQ14" s="19" t="n"/>
      <c r="AR14" s="20" t="n"/>
    </row>
    <row r="15" ht="17" customHeight="1">
      <c r="A15" s="14" t="n"/>
      <c r="B15" s="21" t="n"/>
      <c r="C15" s="16" t="n"/>
      <c r="D15" s="14" t="n"/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  <c r="Z15" s="17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7" t="inlineStr"/>
      <c r="AH15" s="17" t="inlineStr"/>
      <c r="AI15" s="17" t="inlineStr"/>
      <c r="AJ15" s="17" t="inlineStr"/>
      <c r="AK15" s="17" t="inlineStr"/>
      <c r="AL15" s="17" t="inlineStr"/>
      <c r="AM15" s="17" t="inlineStr"/>
      <c r="AN15" s="17" t="inlineStr"/>
      <c r="AO15" s="18" t="n"/>
      <c r="AP15" s="19" t="n"/>
      <c r="AQ15" s="19" t="n"/>
      <c r="AR15" s="20" t="n"/>
    </row>
    <row r="16" ht="17" customHeight="1">
      <c r="A16" s="14" t="n"/>
      <c r="B16" s="21" t="n"/>
      <c r="C16" s="16" t="n"/>
      <c r="D16" s="14" t="n"/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  <c r="Z16" s="17" t="inlineStr"/>
      <c r="AA16" s="17" t="inlineStr"/>
      <c r="AB16" s="17" t="inlineStr"/>
      <c r="AC16" s="17" t="inlineStr"/>
      <c r="AD16" s="17" t="inlineStr"/>
      <c r="AE16" s="17" t="inlineStr"/>
      <c r="AF16" s="17" t="inlineStr"/>
      <c r="AG16" s="17" t="inlineStr"/>
      <c r="AH16" s="17" t="inlineStr"/>
      <c r="AI16" s="17" t="inlineStr"/>
      <c r="AJ16" s="17" t="inlineStr"/>
      <c r="AK16" s="17" t="inlineStr"/>
      <c r="AL16" s="17" t="inlineStr"/>
      <c r="AM16" s="17" t="inlineStr"/>
      <c r="AN16" s="17" t="inlineStr"/>
      <c r="AO16" s="18" t="n"/>
      <c r="AP16" s="19" t="n"/>
      <c r="AQ16" s="19" t="n"/>
      <c r="AR16" s="20" t="n"/>
    </row>
    <row r="17" ht="17" customHeight="1">
      <c r="A17" s="14" t="n"/>
      <c r="B17" s="15" t="n"/>
      <c r="C17" s="16" t="n"/>
      <c r="D17" s="14" t="n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  <c r="L17" s="17" t="inlineStr"/>
      <c r="M17" s="17" t="inlineStr"/>
      <c r="N17" s="17" t="inlineStr"/>
      <c r="O17" s="17" t="inlineStr"/>
      <c r="P17" s="17" t="inlineStr"/>
      <c r="Q17" s="17" t="inlineStr"/>
      <c r="R17" s="17" t="inlineStr"/>
      <c r="S17" s="17" t="inlineStr"/>
      <c r="T17" s="17" t="inlineStr"/>
      <c r="U17" s="17" t="inlineStr"/>
      <c r="V17" s="17" t="inlineStr"/>
      <c r="W17" s="17" t="inlineStr"/>
      <c r="X17" s="17" t="inlineStr"/>
      <c r="Y17" s="17" t="inlineStr"/>
      <c r="Z17" s="17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7" t="inlineStr"/>
      <c r="AH17" s="17" t="inlineStr"/>
      <c r="AI17" s="17" t="inlineStr"/>
      <c r="AJ17" s="17" t="inlineStr"/>
      <c r="AK17" s="17" t="inlineStr"/>
      <c r="AL17" s="17" t="inlineStr"/>
      <c r="AM17" s="17" t="inlineStr"/>
      <c r="AN17" s="17" t="inlineStr"/>
      <c r="AO17" s="18" t="n"/>
      <c r="AP17" s="19" t="n"/>
      <c r="AQ17" s="19" t="n"/>
      <c r="AR17" s="20" t="n"/>
    </row>
    <row r="18" ht="17" customHeight="1">
      <c r="A18" s="14" t="n"/>
      <c r="B18" s="21" t="n"/>
      <c r="C18" s="16" t="n"/>
      <c r="D18" s="14" t="n"/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  <c r="L18" s="17" t="inlineStr"/>
      <c r="M18" s="17" t="inlineStr"/>
      <c r="N18" s="17" t="inlineStr"/>
      <c r="O18" s="17" t="inlineStr"/>
      <c r="P18" s="17" t="inlineStr"/>
      <c r="Q18" s="17" t="inlineStr"/>
      <c r="R18" s="17" t="inlineStr"/>
      <c r="S18" s="17" t="inlineStr"/>
      <c r="T18" s="17" t="inlineStr"/>
      <c r="U18" s="17" t="inlineStr"/>
      <c r="V18" s="17" t="inlineStr"/>
      <c r="W18" s="17" t="inlineStr"/>
      <c r="X18" s="17" t="inlineStr"/>
      <c r="Y18" s="17" t="inlineStr"/>
      <c r="Z18" s="17" t="inlineStr"/>
      <c r="AA18" s="17" t="inlineStr"/>
      <c r="AB18" s="17" t="inlineStr"/>
      <c r="AC18" s="17" t="inlineStr"/>
      <c r="AD18" s="17" t="inlineStr"/>
      <c r="AE18" s="17" t="inlineStr"/>
      <c r="AF18" s="17" t="inlineStr"/>
      <c r="AG18" s="17" t="inlineStr"/>
      <c r="AH18" s="17" t="inlineStr"/>
      <c r="AI18" s="17" t="inlineStr"/>
      <c r="AJ18" s="17" t="inlineStr"/>
      <c r="AK18" s="17" t="inlineStr"/>
      <c r="AL18" s="17" t="inlineStr"/>
      <c r="AM18" s="17" t="inlineStr"/>
      <c r="AN18" s="17" t="inlineStr"/>
      <c r="AO18" s="18" t="n"/>
      <c r="AP18" s="19" t="n"/>
      <c r="AQ18" s="19" t="n"/>
      <c r="AR18" s="20" t="n"/>
    </row>
    <row r="19" ht="17" customHeight="1">
      <c r="A19" s="14" t="n"/>
      <c r="B19" s="21" t="n"/>
      <c r="C19" s="16" t="n"/>
      <c r="D19" s="14" t="n"/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  <c r="L19" s="17" t="inlineStr"/>
      <c r="M19" s="17" t="inlineStr"/>
      <c r="N19" s="17" t="inlineStr"/>
      <c r="O19" s="17" t="inlineStr"/>
      <c r="P19" s="17" t="inlineStr"/>
      <c r="Q19" s="17" t="inlineStr"/>
      <c r="R19" s="17" t="inlineStr"/>
      <c r="S19" s="17" t="inlineStr"/>
      <c r="T19" s="17" t="inlineStr"/>
      <c r="U19" s="17" t="inlineStr"/>
      <c r="V19" s="17" t="inlineStr"/>
      <c r="W19" s="17" t="inlineStr"/>
      <c r="X19" s="17" t="inlineStr"/>
      <c r="Y19" s="17" t="inlineStr"/>
      <c r="Z19" s="17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7" t="inlineStr"/>
      <c r="AH19" s="17" t="inlineStr"/>
      <c r="AI19" s="17" t="inlineStr"/>
      <c r="AJ19" s="17" t="inlineStr"/>
      <c r="AK19" s="17" t="inlineStr"/>
      <c r="AL19" s="17" t="inlineStr"/>
      <c r="AM19" s="17" t="inlineStr"/>
      <c r="AN19" s="17" t="inlineStr"/>
      <c r="AO19" s="18" t="n"/>
      <c r="AP19" s="19" t="n"/>
      <c r="AQ19" s="19" t="n"/>
      <c r="AR19" s="20" t="n"/>
    </row>
    <row r="20" ht="17" customHeight="1">
      <c r="A20" s="14" t="n"/>
      <c r="B20" s="21" t="n"/>
      <c r="C20" s="16" t="n"/>
      <c r="D20" s="14" t="n"/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7" t="inlineStr"/>
      <c r="O20" s="17" t="inlineStr"/>
      <c r="P20" s="17" t="inlineStr"/>
      <c r="Q20" s="17" t="inlineStr"/>
      <c r="R20" s="17" t="inlineStr"/>
      <c r="S20" s="17" t="inlineStr"/>
      <c r="T20" s="17" t="inlineStr"/>
      <c r="U20" s="17" t="inlineStr"/>
      <c r="V20" s="17" t="inlineStr"/>
      <c r="W20" s="17" t="inlineStr"/>
      <c r="X20" s="17" t="inlineStr"/>
      <c r="Y20" s="17" t="inlineStr"/>
      <c r="Z20" s="17" t="inlineStr"/>
      <c r="AA20" s="17" t="inlineStr"/>
      <c r="AB20" s="17" t="inlineStr"/>
      <c r="AC20" s="17" t="inlineStr"/>
      <c r="AD20" s="17" t="inlineStr"/>
      <c r="AE20" s="17" t="inlineStr"/>
      <c r="AF20" s="17" t="inlineStr"/>
      <c r="AG20" s="17" t="inlineStr"/>
      <c r="AH20" s="17" t="inlineStr"/>
      <c r="AI20" s="17" t="inlineStr"/>
      <c r="AJ20" s="17" t="inlineStr"/>
      <c r="AK20" s="17" t="inlineStr"/>
      <c r="AL20" s="17" t="inlineStr"/>
      <c r="AM20" s="17" t="inlineStr"/>
      <c r="AN20" s="17" t="inlineStr"/>
      <c r="AO20" s="18" t="n"/>
      <c r="AP20" s="19" t="n"/>
      <c r="AQ20" s="19" t="n"/>
      <c r="AR20" s="20" t="n"/>
    </row>
    <row r="21" ht="17" customHeight="1">
      <c r="A21" s="14" t="n"/>
      <c r="B21" s="15" t="n"/>
      <c r="C21" s="16" t="n"/>
      <c r="D21" s="14" t="n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7" t="inlineStr"/>
      <c r="O21" s="17" t="inlineStr"/>
      <c r="P21" s="17" t="inlineStr"/>
      <c r="Q21" s="17" t="inlineStr"/>
      <c r="R21" s="17" t="inlineStr"/>
      <c r="S21" s="17" t="inlineStr"/>
      <c r="T21" s="17" t="inlineStr"/>
      <c r="U21" s="17" t="inlineStr"/>
      <c r="V21" s="17" t="inlineStr"/>
      <c r="W21" s="17" t="inlineStr"/>
      <c r="X21" s="17" t="inlineStr"/>
      <c r="Y21" s="17" t="inlineStr"/>
      <c r="Z21" s="17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7" t="inlineStr"/>
      <c r="AH21" s="17" t="inlineStr"/>
      <c r="AI21" s="17" t="inlineStr"/>
      <c r="AJ21" s="17" t="inlineStr"/>
      <c r="AK21" s="17" t="inlineStr"/>
      <c r="AL21" s="17" t="inlineStr"/>
      <c r="AM21" s="17" t="inlineStr"/>
      <c r="AN21" s="17" t="inlineStr"/>
      <c r="AO21" s="18" t="n"/>
      <c r="AP21" s="19" t="n"/>
      <c r="AQ21" s="19" t="n"/>
      <c r="AR21" s="20" t="n"/>
    </row>
    <row r="22" ht="17" customHeight="1">
      <c r="A22" s="14" t="n"/>
      <c r="B22" s="21" t="n"/>
      <c r="C22" s="16" t="n"/>
      <c r="D22" s="14" t="n"/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7" t="inlineStr"/>
      <c r="O22" s="17" t="inlineStr"/>
      <c r="P22" s="17" t="inlineStr"/>
      <c r="Q22" s="17" t="inlineStr"/>
      <c r="R22" s="17" t="inlineStr"/>
      <c r="S22" s="17" t="inlineStr"/>
      <c r="T22" s="17" t="inlineStr"/>
      <c r="U22" s="17" t="inlineStr"/>
      <c r="V22" s="17" t="inlineStr"/>
      <c r="W22" s="17" t="inlineStr"/>
      <c r="X22" s="17" t="inlineStr"/>
      <c r="Y22" s="17" t="inlineStr"/>
      <c r="Z22" s="17" t="inlineStr"/>
      <c r="AA22" s="17" t="inlineStr"/>
      <c r="AB22" s="17" t="inlineStr"/>
      <c r="AC22" s="17" t="inlineStr"/>
      <c r="AD22" s="17" t="inlineStr"/>
      <c r="AE22" s="17" t="inlineStr"/>
      <c r="AF22" s="17" t="inlineStr"/>
      <c r="AG22" s="17" t="inlineStr"/>
      <c r="AH22" s="17" t="inlineStr"/>
      <c r="AI22" s="17" t="inlineStr"/>
      <c r="AJ22" s="17" t="inlineStr"/>
      <c r="AK22" s="17" t="inlineStr"/>
      <c r="AL22" s="17" t="inlineStr"/>
      <c r="AM22" s="17" t="inlineStr"/>
      <c r="AN22" s="17" t="inlineStr"/>
      <c r="AO22" s="18" t="n"/>
      <c r="AP22" s="19" t="n"/>
      <c r="AQ22" s="19" t="n"/>
      <c r="AR22" s="20" t="n"/>
    </row>
    <row r="23" ht="17" customHeight="1">
      <c r="A23" s="14" t="n"/>
      <c r="B23" s="15" t="n"/>
      <c r="C23" s="16" t="n"/>
      <c r="D23" s="14" t="n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7" t="inlineStr"/>
      <c r="O23" s="17" t="inlineStr"/>
      <c r="P23" s="17" t="inlineStr"/>
      <c r="Q23" s="17" t="inlineStr"/>
      <c r="R23" s="17" t="inlineStr"/>
      <c r="S23" s="17" t="inlineStr"/>
      <c r="T23" s="17" t="inlineStr"/>
      <c r="U23" s="17" t="inlineStr"/>
      <c r="V23" s="17" t="inlineStr"/>
      <c r="W23" s="17" t="inlineStr"/>
      <c r="X23" s="17" t="inlineStr"/>
      <c r="Y23" s="17" t="inlineStr"/>
      <c r="Z23" s="17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7" t="inlineStr"/>
      <c r="AH23" s="17" t="inlineStr"/>
      <c r="AI23" s="17" t="inlineStr"/>
      <c r="AJ23" s="17" t="inlineStr"/>
      <c r="AK23" s="17" t="inlineStr"/>
      <c r="AL23" s="17" t="inlineStr"/>
      <c r="AM23" s="17" t="inlineStr"/>
      <c r="AN23" s="17" t="inlineStr"/>
      <c r="AO23" s="18" t="n"/>
      <c r="AP23" s="19" t="n"/>
      <c r="AQ23" s="19" t="n"/>
      <c r="AR23" s="20" t="n"/>
    </row>
    <row r="24" ht="17" customHeight="1">
      <c r="A24" s="14" t="n"/>
      <c r="B24" s="21" t="n"/>
      <c r="C24" s="16" t="n"/>
      <c r="D24" s="14" t="n"/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s="17" t="inlineStr"/>
      <c r="U24" s="17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s="17" t="inlineStr"/>
      <c r="AE24" s="17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s="17" t="inlineStr"/>
      <c r="AO24" s="18" t="n"/>
      <c r="AP24" s="19" t="n"/>
      <c r="AQ24" s="19" t="n"/>
      <c r="AR24" s="20" t="n"/>
    </row>
    <row r="25" ht="17" customHeight="1">
      <c r="A25" s="14" t="n"/>
      <c r="B25" s="21" t="n"/>
      <c r="C25" s="16" t="n"/>
      <c r="D25" s="14" t="n"/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s="17" t="inlineStr"/>
      <c r="U25" s="17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s="17" t="inlineStr"/>
      <c r="AO25" s="18" t="n"/>
      <c r="AP25" s="19" t="n"/>
      <c r="AQ25" s="19" t="n"/>
      <c r="AR25" s="20" t="n"/>
    </row>
    <row r="26" ht="17" customHeight="1">
      <c r="A26" s="14" t="n"/>
      <c r="B26" s="21" t="n"/>
      <c r="C26" s="16" t="n"/>
      <c r="D26" s="14" t="n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s="17" t="inlineStr"/>
      <c r="U26" s="17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s="17" t="inlineStr"/>
      <c r="AE26" s="17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s="17" t="inlineStr"/>
      <c r="AO26" s="18" t="n"/>
      <c r="AP26" s="19" t="n"/>
      <c r="AQ26" s="19" t="n"/>
      <c r="AR26" s="20" t="n"/>
    </row>
    <row r="27" ht="17" customHeight="1">
      <c r="A27" s="14" t="n"/>
      <c r="B27" s="21" t="n"/>
      <c r="C27" s="16" t="n"/>
      <c r="D27" s="14" t="n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s="17" t="inlineStr"/>
      <c r="U27" s="17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s="17" t="inlineStr"/>
      <c r="AO27" s="18" t="n"/>
      <c r="AP27" s="19" t="n"/>
      <c r="AQ27" s="19" t="n"/>
      <c r="AR27" s="20" t="n"/>
    </row>
    <row r="28" ht="17" customHeight="1">
      <c r="A28" s="14" t="n"/>
      <c r="B28" s="21" t="n"/>
      <c r="C28" s="16" t="n"/>
      <c r="D28" s="14" t="n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  <c r="M28" s="17" t="inlineStr"/>
      <c r="N28" s="17" t="inlineStr"/>
      <c r="O28" s="17" t="inlineStr"/>
      <c r="P28" s="17" t="inlineStr"/>
      <c r="Q28" s="17" t="inlineStr"/>
      <c r="R28" s="17" t="inlineStr"/>
      <c r="S28" s="17" t="inlineStr"/>
      <c r="T28" s="17" t="inlineStr"/>
      <c r="U28" s="17" t="inlineStr"/>
      <c r="V28" s="17" t="inlineStr"/>
      <c r="W28" s="17" t="inlineStr"/>
      <c r="X28" s="17" t="inlineStr"/>
      <c r="Y28" s="17" t="inlineStr"/>
      <c r="Z28" s="17" t="inlineStr"/>
      <c r="AA28" s="17" t="inlineStr"/>
      <c r="AB28" s="17" t="inlineStr"/>
      <c r="AC28" s="17" t="inlineStr"/>
      <c r="AD28" s="17" t="inlineStr"/>
      <c r="AE28" s="17" t="inlineStr"/>
      <c r="AF28" s="17" t="inlineStr"/>
      <c r="AG28" s="17" t="inlineStr"/>
      <c r="AH28" s="17" t="inlineStr"/>
      <c r="AI28" s="17" t="inlineStr"/>
      <c r="AJ28" s="17" t="inlineStr"/>
      <c r="AK28" s="17" t="inlineStr"/>
      <c r="AL28" s="17" t="inlineStr"/>
      <c r="AM28" s="17" t="inlineStr"/>
      <c r="AN28" s="17" t="inlineStr"/>
      <c r="AO28" s="18" t="n"/>
      <c r="AP28" s="19" t="n"/>
      <c r="AQ28" s="19" t="n"/>
      <c r="AR28" s="20" t="n"/>
    </row>
    <row r="29" ht="17" customHeight="1">
      <c r="A29" s="14" t="n"/>
      <c r="B29" s="21" t="n"/>
      <c r="C29" s="16" t="n"/>
      <c r="D29" s="14" t="n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/>
      <c r="O29" s="17" t="inlineStr"/>
      <c r="P29" s="17" t="inlineStr"/>
      <c r="Q29" s="17" t="inlineStr"/>
      <c r="R29" s="17" t="inlineStr"/>
      <c r="S29" s="17" t="inlineStr"/>
      <c r="T29" s="17" t="inlineStr"/>
      <c r="U29" s="17" t="inlineStr"/>
      <c r="V29" s="17" t="inlineStr"/>
      <c r="W29" s="17" t="inlineStr"/>
      <c r="X29" s="17" t="inlineStr"/>
      <c r="Y29" s="17" t="inlineStr"/>
      <c r="Z29" s="17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7" t="inlineStr"/>
      <c r="AH29" s="17" t="inlineStr"/>
      <c r="AI29" s="17" t="inlineStr"/>
      <c r="AJ29" s="17" t="inlineStr"/>
      <c r="AK29" s="17" t="inlineStr"/>
      <c r="AL29" s="17" t="inlineStr"/>
      <c r="AM29" s="17" t="inlineStr"/>
      <c r="AN29" s="17" t="inlineStr"/>
      <c r="AO29" s="18" t="n"/>
      <c r="AP29" s="19" t="n"/>
      <c r="AQ29" s="19" t="n"/>
      <c r="AR29" s="20" t="n"/>
    </row>
    <row r="30" ht="17" customHeight="1">
      <c r="A30" s="14" t="n"/>
      <c r="B30" s="21" t="n"/>
      <c r="C30" s="16" t="n"/>
      <c r="D30" s="14" t="n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  <c r="M30" s="17" t="inlineStr"/>
      <c r="N30" s="17" t="inlineStr"/>
      <c r="O30" s="17" t="inlineStr"/>
      <c r="P30" s="17" t="inlineStr"/>
      <c r="Q30" s="17" t="inlineStr"/>
      <c r="R30" s="17" t="inlineStr"/>
      <c r="S30" s="17" t="inlineStr"/>
      <c r="T30" s="17" t="inlineStr"/>
      <c r="U30" s="17" t="inlineStr"/>
      <c r="V30" s="17" t="inlineStr"/>
      <c r="W30" s="17" t="inlineStr"/>
      <c r="X30" s="17" t="inlineStr"/>
      <c r="Y30" s="17" t="inlineStr"/>
      <c r="Z30" s="17" t="inlineStr"/>
      <c r="AA30" s="17" t="inlineStr"/>
      <c r="AB30" s="17" t="inlineStr"/>
      <c r="AC30" s="17" t="inlineStr"/>
      <c r="AD30" s="17" t="inlineStr"/>
      <c r="AE30" s="17" t="inlineStr"/>
      <c r="AF30" s="17" t="inlineStr"/>
      <c r="AG30" s="17" t="inlineStr"/>
      <c r="AH30" s="17" t="inlineStr"/>
      <c r="AI30" s="17" t="inlineStr"/>
      <c r="AJ30" s="17" t="inlineStr"/>
      <c r="AK30" s="17" t="inlineStr"/>
      <c r="AL30" s="17" t="inlineStr"/>
      <c r="AM30" s="17" t="inlineStr"/>
      <c r="AN30" s="17" t="inlineStr"/>
      <c r="AO30" s="18" t="n"/>
      <c r="AP30" s="19" t="n"/>
      <c r="AQ30" s="19" t="n"/>
      <c r="AR30" s="20" t="n"/>
    </row>
    <row r="31" ht="17" customHeight="1">
      <c r="A31" s="14" t="n"/>
      <c r="B31" s="21" t="n"/>
      <c r="C31" s="16" t="n"/>
      <c r="D31" s="14" t="n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  <c r="M31" s="17" t="inlineStr"/>
      <c r="N31" s="17" t="inlineStr"/>
      <c r="O31" s="17" t="inlineStr"/>
      <c r="P31" s="17" t="inlineStr"/>
      <c r="Q31" s="17" t="inlineStr"/>
      <c r="R31" s="17" t="inlineStr"/>
      <c r="S31" s="17" t="inlineStr"/>
      <c r="T31" s="17" t="inlineStr"/>
      <c r="U31" s="17" t="inlineStr"/>
      <c r="V31" s="17" t="inlineStr"/>
      <c r="W31" s="17" t="inlineStr"/>
      <c r="X31" s="17" t="inlineStr"/>
      <c r="Y31" s="17" t="inlineStr"/>
      <c r="Z31" s="17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7" t="inlineStr"/>
      <c r="AH31" s="17" t="inlineStr"/>
      <c r="AI31" s="17" t="inlineStr"/>
      <c r="AJ31" s="17" t="inlineStr"/>
      <c r="AK31" s="17" t="inlineStr"/>
      <c r="AL31" s="17" t="inlineStr"/>
      <c r="AM31" s="17" t="inlineStr"/>
      <c r="AN31" s="17" t="inlineStr"/>
      <c r="AO31" s="18" t="n"/>
      <c r="AP31" s="19" t="n"/>
      <c r="AQ31" s="19" t="n"/>
      <c r="AR31" s="20" t="n"/>
    </row>
    <row r="32" ht="17" customHeight="1">
      <c r="A32" s="14" t="n"/>
      <c r="B32" s="21" t="n"/>
      <c r="C32" s="16" t="n"/>
      <c r="D32" s="14" t="n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  <c r="M32" s="17" t="inlineStr"/>
      <c r="N32" s="17" t="inlineStr"/>
      <c r="O32" s="17" t="inlineStr"/>
      <c r="P32" s="17" t="inlineStr"/>
      <c r="Q32" s="17" t="inlineStr"/>
      <c r="R32" s="17" t="inlineStr"/>
      <c r="S32" s="17" t="inlineStr"/>
      <c r="T32" s="17" t="inlineStr"/>
      <c r="U32" s="17" t="inlineStr"/>
      <c r="V32" s="17" t="inlineStr"/>
      <c r="W32" s="17" t="inlineStr"/>
      <c r="X32" s="17" t="inlineStr"/>
      <c r="Y32" s="17" t="inlineStr"/>
      <c r="Z32" s="17" t="inlineStr"/>
      <c r="AA32" s="17" t="inlineStr"/>
      <c r="AB32" s="17" t="inlineStr"/>
      <c r="AC32" s="17" t="inlineStr"/>
      <c r="AD32" s="17" t="inlineStr"/>
      <c r="AE32" s="17" t="inlineStr"/>
      <c r="AF32" s="17" t="inlineStr"/>
      <c r="AG32" s="17" t="inlineStr"/>
      <c r="AH32" s="17" t="inlineStr"/>
      <c r="AI32" s="17" t="inlineStr"/>
      <c r="AJ32" s="17" t="inlineStr"/>
      <c r="AK32" s="17" t="inlineStr"/>
      <c r="AL32" s="17" t="inlineStr"/>
      <c r="AM32" s="17" t="inlineStr"/>
      <c r="AN32" s="17" t="inlineStr"/>
      <c r="AO32" s="18" t="n"/>
      <c r="AP32" s="19" t="n"/>
      <c r="AQ32" s="19" t="n"/>
      <c r="AR32" s="20" t="n"/>
    </row>
    <row r="33" ht="17" customHeight="1">
      <c r="A33" s="14" t="n"/>
      <c r="B33" s="21" t="n"/>
      <c r="C33" s="16" t="n"/>
      <c r="D33" s="14" t="n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  <c r="M33" s="17" t="inlineStr"/>
      <c r="N33" s="17" t="inlineStr"/>
      <c r="O33" s="17" t="inlineStr"/>
      <c r="P33" s="17" t="inlineStr"/>
      <c r="Q33" s="17" t="inlineStr"/>
      <c r="R33" s="17" t="inlineStr"/>
      <c r="S33" s="17" t="inlineStr"/>
      <c r="T33" s="17" t="inlineStr"/>
      <c r="U33" s="17" t="inlineStr"/>
      <c r="V33" s="17" t="inlineStr"/>
      <c r="W33" s="17" t="inlineStr"/>
      <c r="X33" s="17" t="inlineStr"/>
      <c r="Y33" s="17" t="inlineStr"/>
      <c r="Z33" s="17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7" t="inlineStr"/>
      <c r="AH33" s="17" t="inlineStr"/>
      <c r="AI33" s="17" t="inlineStr"/>
      <c r="AJ33" s="17" t="inlineStr"/>
      <c r="AK33" s="17" t="inlineStr"/>
      <c r="AL33" s="17" t="inlineStr"/>
      <c r="AM33" s="17" t="inlineStr"/>
      <c r="AN33" s="17" t="inlineStr"/>
      <c r="AO33" s="18" t="n"/>
      <c r="AP33" s="19" t="n"/>
      <c r="AQ33" s="19" t="n"/>
      <c r="AR33" s="20" t="n"/>
    </row>
    <row r="34" ht="17" customHeight="1">
      <c r="A34" s="14" t="n"/>
      <c r="B34" s="21" t="n"/>
      <c r="C34" s="16" t="n"/>
      <c r="D34" s="14" t="n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s="17" t="inlineStr"/>
      <c r="U34" s="17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s="17" t="inlineStr"/>
      <c r="AE34" s="17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s="17" t="inlineStr"/>
      <c r="AO34" s="18" t="n"/>
      <c r="AP34" s="19" t="n"/>
      <c r="AQ34" s="19" t="n"/>
      <c r="AR34" s="20" t="n"/>
    </row>
    <row r="35" ht="17" customHeight="1">
      <c r="A35" s="14" t="n"/>
      <c r="B35" s="21" t="n"/>
      <c r="C35" s="16" t="n"/>
      <c r="D35" s="14" t="n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s="17" t="inlineStr"/>
      <c r="U35" s="17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s="17" t="inlineStr"/>
      <c r="AO35" s="18" t="n"/>
      <c r="AP35" s="19" t="n"/>
      <c r="AQ35" s="19" t="n"/>
      <c r="AR35" s="20" t="n"/>
    </row>
    <row r="36" ht="17" customHeight="1">
      <c r="A36" s="14" t="n"/>
      <c r="B36" s="21" t="n"/>
      <c r="C36" s="16" t="n"/>
      <c r="D36" s="14" t="n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  <c r="M36" s="17" t="inlineStr"/>
      <c r="N36" s="17" t="inlineStr"/>
      <c r="O36" s="17" t="inlineStr"/>
      <c r="P36" s="17" t="inlineStr"/>
      <c r="Q36" s="17" t="inlineStr"/>
      <c r="R36" s="17" t="inlineStr"/>
      <c r="S36" s="17" t="inlineStr"/>
      <c r="T36" s="17" t="inlineStr"/>
      <c r="U36" s="17" t="inlineStr"/>
      <c r="V36" s="17" t="inlineStr"/>
      <c r="W36" s="17" t="inlineStr"/>
      <c r="X36" s="17" t="inlineStr"/>
      <c r="Y36" s="17" t="inlineStr"/>
      <c r="Z36" s="17" t="inlineStr"/>
      <c r="AA36" s="17" t="inlineStr"/>
      <c r="AB36" s="17" t="inlineStr"/>
      <c r="AC36" s="17" t="inlineStr"/>
      <c r="AD36" s="17" t="inlineStr"/>
      <c r="AE36" s="17" t="inlineStr"/>
      <c r="AF36" s="17" t="inlineStr"/>
      <c r="AG36" s="17" t="inlineStr"/>
      <c r="AH36" s="17" t="inlineStr"/>
      <c r="AI36" s="17" t="inlineStr"/>
      <c r="AJ36" s="17" t="inlineStr"/>
      <c r="AK36" s="17" t="inlineStr"/>
      <c r="AL36" s="17" t="inlineStr"/>
      <c r="AM36" s="17" t="inlineStr"/>
      <c r="AN36" s="17" t="inlineStr"/>
      <c r="AO36" s="18" t="n"/>
      <c r="AP36" s="19" t="n"/>
      <c r="AQ36" s="19" t="n"/>
      <c r="AR36" s="20" t="n"/>
    </row>
    <row r="37" ht="17" customHeight="1">
      <c r="A37" s="14" t="n"/>
      <c r="B37" s="21" t="n"/>
      <c r="C37" s="16" t="n"/>
      <c r="D37" s="14" t="n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  <c r="M37" s="17" t="inlineStr"/>
      <c r="N37" s="17" t="inlineStr"/>
      <c r="O37" s="17" t="inlineStr"/>
      <c r="P37" s="17" t="inlineStr"/>
      <c r="Q37" s="17" t="inlineStr"/>
      <c r="R37" s="17" t="inlineStr"/>
      <c r="S37" s="17" t="inlineStr"/>
      <c r="T37" s="17" t="inlineStr"/>
      <c r="U37" s="17" t="inlineStr"/>
      <c r="V37" s="17" t="inlineStr"/>
      <c r="W37" s="17" t="inlineStr"/>
      <c r="X37" s="17" t="inlineStr"/>
      <c r="Y37" s="17" t="inlineStr"/>
      <c r="Z37" s="17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7" t="inlineStr"/>
      <c r="AH37" s="17" t="inlineStr"/>
      <c r="AI37" s="17" t="inlineStr"/>
      <c r="AJ37" s="17" t="inlineStr"/>
      <c r="AK37" s="17" t="inlineStr"/>
      <c r="AL37" s="17" t="inlineStr"/>
      <c r="AM37" s="17" t="inlineStr"/>
      <c r="AN37" s="17" t="inlineStr"/>
      <c r="AO37" s="18" t="n"/>
      <c r="AP37" s="19" t="n"/>
      <c r="AQ37" s="19" t="n"/>
      <c r="AR37" s="20" t="n"/>
    </row>
    <row r="38" ht="17" customHeight="1">
      <c r="A38" s="14" t="n"/>
      <c r="B38" s="21" t="n"/>
      <c r="C38" s="16" t="n"/>
      <c r="D38" s="14" t="n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  <c r="M38" s="17" t="inlineStr"/>
      <c r="N38" s="17" t="inlineStr"/>
      <c r="O38" s="17" t="inlineStr"/>
      <c r="P38" s="17" t="inlineStr"/>
      <c r="Q38" s="17" t="inlineStr"/>
      <c r="R38" s="17" t="inlineStr"/>
      <c r="S38" s="17" t="inlineStr"/>
      <c r="T38" s="17" t="inlineStr"/>
      <c r="U38" s="17" t="inlineStr"/>
      <c r="V38" s="17" t="inlineStr"/>
      <c r="W38" s="17" t="inlineStr"/>
      <c r="X38" s="17" t="inlineStr"/>
      <c r="Y38" s="17" t="inlineStr"/>
      <c r="Z38" s="17" t="inlineStr"/>
      <c r="AA38" s="17" t="inlineStr"/>
      <c r="AB38" s="17" t="inlineStr"/>
      <c r="AC38" s="17" t="inlineStr"/>
      <c r="AD38" s="17" t="inlineStr"/>
      <c r="AE38" s="17" t="inlineStr"/>
      <c r="AF38" s="17" t="inlineStr"/>
      <c r="AG38" s="17" t="inlineStr"/>
      <c r="AH38" s="17" t="inlineStr"/>
      <c r="AI38" s="17" t="inlineStr"/>
      <c r="AJ38" s="17" t="inlineStr"/>
      <c r="AK38" s="17" t="inlineStr"/>
      <c r="AL38" s="17" t="inlineStr"/>
      <c r="AM38" s="17" t="inlineStr"/>
      <c r="AN38" s="17" t="inlineStr"/>
      <c r="AO38" s="18" t="n"/>
      <c r="AP38" s="19" t="n"/>
      <c r="AQ38" s="19" t="n"/>
      <c r="AR38" s="20" t="n"/>
    </row>
    <row r="39" ht="17" customHeight="1">
      <c r="A39" s="14" t="n"/>
      <c r="B39" s="21" t="n"/>
      <c r="C39" s="16" t="n"/>
      <c r="D39" s="14" t="n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  <c r="M39" s="17" t="inlineStr"/>
      <c r="N39" s="17" t="inlineStr"/>
      <c r="O39" s="17" t="inlineStr"/>
      <c r="P39" s="17" t="inlineStr"/>
      <c r="Q39" s="17" t="inlineStr"/>
      <c r="R39" s="17" t="inlineStr"/>
      <c r="S39" s="17" t="inlineStr"/>
      <c r="T39" s="17" t="inlineStr"/>
      <c r="U39" s="17" t="inlineStr"/>
      <c r="V39" s="17" t="inlineStr"/>
      <c r="W39" s="17" t="inlineStr"/>
      <c r="X39" s="17" t="inlineStr"/>
      <c r="Y39" s="17" t="inlineStr"/>
      <c r="Z39" s="17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7" t="inlineStr"/>
      <c r="AH39" s="17" t="inlineStr"/>
      <c r="AI39" s="17" t="inlineStr"/>
      <c r="AJ39" s="17" t="inlineStr"/>
      <c r="AK39" s="17" t="inlineStr"/>
      <c r="AL39" s="17" t="inlineStr"/>
      <c r="AM39" s="17" t="inlineStr"/>
      <c r="AN39" s="17" t="inlineStr"/>
      <c r="AO39" s="18" t="n"/>
      <c r="AP39" s="19" t="n"/>
      <c r="AQ39" s="19" t="n"/>
      <c r="AR39" s="20" t="n"/>
    </row>
    <row r="40" ht="17" customHeight="1">
      <c r="A40" s="14" t="n"/>
      <c r="B40" s="21" t="n"/>
      <c r="C40" s="16" t="n"/>
      <c r="D40" s="14" t="n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  <c r="M40" s="17" t="inlineStr"/>
      <c r="N40" s="17" t="inlineStr"/>
      <c r="O40" s="17" t="inlineStr"/>
      <c r="P40" s="17" t="inlineStr"/>
      <c r="Q40" s="17" t="inlineStr"/>
      <c r="R40" s="17" t="inlineStr"/>
      <c r="S40" s="17" t="inlineStr"/>
      <c r="T40" s="17" t="inlineStr"/>
      <c r="U40" s="17" t="inlineStr"/>
      <c r="V40" s="17" t="inlineStr"/>
      <c r="W40" s="17" t="inlineStr"/>
      <c r="X40" s="17" t="inlineStr"/>
      <c r="Y40" s="17" t="inlineStr"/>
      <c r="Z40" s="17" t="inlineStr"/>
      <c r="AA40" s="17" t="inlineStr"/>
      <c r="AB40" s="17" t="inlineStr"/>
      <c r="AC40" s="17" t="inlineStr"/>
      <c r="AD40" s="17" t="inlineStr"/>
      <c r="AE40" s="17" t="inlineStr"/>
      <c r="AF40" s="17" t="inlineStr"/>
      <c r="AG40" s="17" t="inlineStr"/>
      <c r="AH40" s="17" t="inlineStr"/>
      <c r="AI40" s="17" t="inlineStr"/>
      <c r="AJ40" s="17" t="inlineStr"/>
      <c r="AK40" s="17" t="inlineStr"/>
      <c r="AL40" s="17" t="inlineStr"/>
      <c r="AM40" s="17" t="inlineStr"/>
      <c r="AN40" s="17" t="inlineStr"/>
      <c r="AO40" s="18" t="n"/>
      <c r="AP40" s="19" t="n"/>
      <c r="AQ40" s="19" t="n"/>
      <c r="AR40" s="20" t="n"/>
    </row>
    <row r="41" ht="20" customHeight="1">
      <c r="A41" s="22" t="inlineStr">
        <is>
          <t>누계 계획 공정률</t>
        </is>
      </c>
      <c r="B41" s="5" t="n"/>
      <c r="C41" s="5" t="n"/>
      <c r="D41" s="5" t="n"/>
      <c r="E41" s="23">
        <f>IF(OR(N(T3)=0,SUM($AR$9:$AR$40)=0),"",IF(AND(N(AF3)&gt;0,E7&gt;AF3),"",SUMPRODUCT($AR$9:$AR$40*($AP$9:$AP$40&gt;0)*($AQ$9:$AQ$40&gt;=$AP$9:$AP$40)*(((($AQ$9:$AQ$40&lt;=F8)*$AQ$9:$AQ$40+($AQ$9:$AQ$40&gt;F8)*F8)-$AP$9:$AP$40+1)&gt;0)*((($AQ$9:$AQ$40&lt;=F8)*$AQ$9:$AQ$40+($AQ$9:$AQ$40&gt;F8)*F8)-$AP$9:$AP$40+1)/(($AQ$9:$AQ$40-$AP$9:$AP$40+1)*(($AQ$9:$AQ$40-$AP$9:$AP$40+1)&gt;0)+(($AQ$9:$AQ$40-$AP$9:$AP$40+1)&lt;=0)))/SUM($AR$9:$AR$40)))</f>
        <v/>
      </c>
      <c r="F41" s="5" t="n"/>
      <c r="G41" s="23">
        <f>IF(OR(N(T3)=0,SUM($AR$9:$AR$40)=0),"",IF(AND(N(AF3)&gt;0,G7&gt;AF3),"",SUMPRODUCT($AR$9:$AR$40*($AP$9:$AP$40&gt;0)*($AQ$9:$AQ$40&gt;=$AP$9:$AP$40)*(((($AQ$9:$AQ$40&lt;=H8)*$AQ$9:$AQ$40+($AQ$9:$AQ$40&gt;H8)*H8)-$AP$9:$AP$40+1)&gt;0)*((($AQ$9:$AQ$40&lt;=H8)*$AQ$9:$AQ$40+($AQ$9:$AQ$40&gt;H8)*H8)-$AP$9:$AP$40+1)/(($AQ$9:$AQ$40-$AP$9:$AP$40+1)*(($AQ$9:$AQ$40-$AP$9:$AP$40+1)&gt;0)+(($AQ$9:$AQ$40-$AP$9:$AP$40+1)&lt;=0)))/SUM($AR$9:$AR$40)))</f>
        <v/>
      </c>
      <c r="H41" s="5" t="n"/>
      <c r="I41" s="23">
        <f>IF(OR(N(T3)=0,SUM($AR$9:$AR$40)=0),"",IF(AND(N(AF3)&gt;0,I7&gt;AF3),"",SUMPRODUCT($AR$9:$AR$40*($AP$9:$AP$40&gt;0)*($AQ$9:$AQ$40&gt;=$AP$9:$AP$40)*(((($AQ$9:$AQ$40&lt;=J8)*$AQ$9:$AQ$40+($AQ$9:$AQ$40&gt;J8)*J8)-$AP$9:$AP$40+1)&gt;0)*((($AQ$9:$AQ$40&lt;=J8)*$AQ$9:$AQ$40+($AQ$9:$AQ$40&gt;J8)*J8)-$AP$9:$AP$40+1)/(($AQ$9:$AQ$40-$AP$9:$AP$40+1)*(($AQ$9:$AQ$40-$AP$9:$AP$40+1)&gt;0)+(($AQ$9:$AQ$40-$AP$9:$AP$40+1)&lt;=0)))/SUM($AR$9:$AR$40)))</f>
        <v/>
      </c>
      <c r="J41" s="5" t="n"/>
      <c r="K41" s="23">
        <f>IF(OR(N(T3)=0,SUM($AR$9:$AR$40)=0),"",IF(AND(N(AF3)&gt;0,K7&gt;AF3),"",SUMPRODUCT($AR$9:$AR$40*($AP$9:$AP$40&gt;0)*($AQ$9:$AQ$40&gt;=$AP$9:$AP$40)*(((($AQ$9:$AQ$40&lt;=L8)*$AQ$9:$AQ$40+($AQ$9:$AQ$40&gt;L8)*L8)-$AP$9:$AP$40+1)&gt;0)*((($AQ$9:$AQ$40&lt;=L8)*$AQ$9:$AQ$40+($AQ$9:$AQ$40&gt;L8)*L8)-$AP$9:$AP$40+1)/(($AQ$9:$AQ$40-$AP$9:$AP$40+1)*(($AQ$9:$AQ$40-$AP$9:$AP$40+1)&gt;0)+(($AQ$9:$AQ$40-$AP$9:$AP$40+1)&lt;=0)))/SUM($AR$9:$AR$40)))</f>
        <v/>
      </c>
      <c r="L41" s="5" t="n"/>
      <c r="M41" s="23">
        <f>IF(OR(N(T3)=0,SUM($AR$9:$AR$40)=0),"",IF(AND(N(AF3)&gt;0,M7&gt;AF3),"",SUMPRODUCT($AR$9:$AR$40*($AP$9:$AP$40&gt;0)*($AQ$9:$AQ$40&gt;=$AP$9:$AP$40)*(((($AQ$9:$AQ$40&lt;=N8)*$AQ$9:$AQ$40+($AQ$9:$AQ$40&gt;N8)*N8)-$AP$9:$AP$40+1)&gt;0)*((($AQ$9:$AQ$40&lt;=N8)*$AQ$9:$AQ$40+($AQ$9:$AQ$40&gt;N8)*N8)-$AP$9:$AP$40+1)/(($AQ$9:$AQ$40-$AP$9:$AP$40+1)*(($AQ$9:$AQ$40-$AP$9:$AP$40+1)&gt;0)+(($AQ$9:$AQ$40-$AP$9:$AP$40+1)&lt;=0)))/SUM($AR$9:$AR$40)))</f>
        <v/>
      </c>
      <c r="N41" s="5" t="n"/>
      <c r="O41" s="23">
        <f>IF(OR(N(T3)=0,SUM($AR$9:$AR$40)=0),"",IF(AND(N(AF3)&gt;0,O7&gt;AF3),"",SUMPRODUCT($AR$9:$AR$40*($AP$9:$AP$40&gt;0)*($AQ$9:$AQ$40&gt;=$AP$9:$AP$40)*(((($AQ$9:$AQ$40&lt;=P8)*$AQ$9:$AQ$40+($AQ$9:$AQ$40&gt;P8)*P8)-$AP$9:$AP$40+1)&gt;0)*((($AQ$9:$AQ$40&lt;=P8)*$AQ$9:$AQ$40+($AQ$9:$AQ$40&gt;P8)*P8)-$AP$9:$AP$40+1)/(($AQ$9:$AQ$40-$AP$9:$AP$40+1)*(($AQ$9:$AQ$40-$AP$9:$AP$40+1)&gt;0)+(($AQ$9:$AQ$40-$AP$9:$AP$40+1)&lt;=0)))/SUM($AR$9:$AR$40)))</f>
        <v/>
      </c>
      <c r="P41" s="5" t="n"/>
      <c r="Q41" s="23">
        <f>IF(OR(N(T3)=0,SUM($AR$9:$AR$40)=0),"",IF(AND(N(AF3)&gt;0,Q7&gt;AF3),"",SUMPRODUCT($AR$9:$AR$40*($AP$9:$AP$40&gt;0)*($AQ$9:$AQ$40&gt;=$AP$9:$AP$40)*(((($AQ$9:$AQ$40&lt;=R8)*$AQ$9:$AQ$40+($AQ$9:$AQ$40&gt;R8)*R8)-$AP$9:$AP$40+1)&gt;0)*((($AQ$9:$AQ$40&lt;=R8)*$AQ$9:$AQ$40+($AQ$9:$AQ$40&gt;R8)*R8)-$AP$9:$AP$40+1)/(($AQ$9:$AQ$40-$AP$9:$AP$40+1)*(($AQ$9:$AQ$40-$AP$9:$AP$40+1)&gt;0)+(($AQ$9:$AQ$40-$AP$9:$AP$40+1)&lt;=0)))/SUM($AR$9:$AR$40)))</f>
        <v/>
      </c>
      <c r="R41" s="5" t="n"/>
      <c r="S41" s="23">
        <f>IF(OR(N(T3)=0,SUM($AR$9:$AR$40)=0),"",IF(AND(N(AF3)&gt;0,S7&gt;AF3),"",SUMPRODUCT($AR$9:$AR$40*($AP$9:$AP$40&gt;0)*($AQ$9:$AQ$40&gt;=$AP$9:$AP$40)*(((($AQ$9:$AQ$40&lt;=T8)*$AQ$9:$AQ$40+($AQ$9:$AQ$40&gt;T8)*T8)-$AP$9:$AP$40+1)&gt;0)*((($AQ$9:$AQ$40&lt;=T8)*$AQ$9:$AQ$40+($AQ$9:$AQ$40&gt;T8)*T8)-$AP$9:$AP$40+1)/(($AQ$9:$AQ$40-$AP$9:$AP$40+1)*(($AQ$9:$AQ$40-$AP$9:$AP$40+1)&gt;0)+(($AQ$9:$AQ$40-$AP$9:$AP$40+1)&lt;=0)))/SUM($AR$9:$AR$40)))</f>
        <v/>
      </c>
      <c r="T41" s="5" t="n"/>
      <c r="U41" s="23">
        <f>IF(OR(N(T3)=0,SUM($AR$9:$AR$40)=0),"",IF(AND(N(AF3)&gt;0,U7&gt;AF3),"",SUMPRODUCT($AR$9:$AR$40*($AP$9:$AP$40&gt;0)*($AQ$9:$AQ$40&gt;=$AP$9:$AP$40)*(((($AQ$9:$AQ$40&lt;=V8)*$AQ$9:$AQ$40+($AQ$9:$AQ$40&gt;V8)*V8)-$AP$9:$AP$40+1)&gt;0)*((($AQ$9:$AQ$40&lt;=V8)*$AQ$9:$AQ$40+($AQ$9:$AQ$40&gt;V8)*V8)-$AP$9:$AP$40+1)/(($AQ$9:$AQ$40-$AP$9:$AP$40+1)*(($AQ$9:$AQ$40-$AP$9:$AP$40+1)&gt;0)+(($AQ$9:$AQ$40-$AP$9:$AP$40+1)&lt;=0)))/SUM($AR$9:$AR$40)))</f>
        <v/>
      </c>
      <c r="V41" s="5" t="n"/>
      <c r="W41" s="23">
        <f>IF(OR(N(T3)=0,SUM($AR$9:$AR$40)=0),"",IF(AND(N(AF3)&gt;0,W7&gt;AF3),"",SUMPRODUCT($AR$9:$AR$40*($AP$9:$AP$40&gt;0)*($AQ$9:$AQ$40&gt;=$AP$9:$AP$40)*(((($AQ$9:$AQ$40&lt;=X8)*$AQ$9:$AQ$40+($AQ$9:$AQ$40&gt;X8)*X8)-$AP$9:$AP$40+1)&gt;0)*((($AQ$9:$AQ$40&lt;=X8)*$AQ$9:$AQ$40+($AQ$9:$AQ$40&gt;X8)*X8)-$AP$9:$AP$40+1)/(($AQ$9:$AQ$40-$AP$9:$AP$40+1)*(($AQ$9:$AQ$40-$AP$9:$AP$40+1)&gt;0)+(($AQ$9:$AQ$40-$AP$9:$AP$40+1)&lt;=0)))/SUM($AR$9:$AR$40)))</f>
        <v/>
      </c>
      <c r="X41" s="5" t="n"/>
      <c r="Y41" s="23">
        <f>IF(OR(N(T3)=0,SUM($AR$9:$AR$40)=0),"",IF(AND(N(AF3)&gt;0,Y7&gt;AF3),"",SUMPRODUCT($AR$9:$AR$40*($AP$9:$AP$40&gt;0)*($AQ$9:$AQ$40&gt;=$AP$9:$AP$40)*(((($AQ$9:$AQ$40&lt;=Z8)*$AQ$9:$AQ$40+($AQ$9:$AQ$40&gt;Z8)*Z8)-$AP$9:$AP$40+1)&gt;0)*((($AQ$9:$AQ$40&lt;=Z8)*$AQ$9:$AQ$40+($AQ$9:$AQ$40&gt;Z8)*Z8)-$AP$9:$AP$40+1)/(($AQ$9:$AQ$40-$AP$9:$AP$40+1)*(($AQ$9:$AQ$40-$AP$9:$AP$40+1)&gt;0)+(($AQ$9:$AQ$40-$AP$9:$AP$40+1)&lt;=0)))/SUM($AR$9:$AR$40)))</f>
        <v/>
      </c>
      <c r="Z41" s="5" t="n"/>
      <c r="AA41" s="23">
        <f>IF(OR(N(T3)=0,SUM($AR$9:$AR$40)=0),"",IF(AND(N(AF3)&gt;0,AA7&gt;AF3),"",SUMPRODUCT($AR$9:$AR$40*($AP$9:$AP$40&gt;0)*($AQ$9:$AQ$40&gt;=$AP$9:$AP$40)*(((($AQ$9:$AQ$40&lt;=AB8)*$AQ$9:$AQ$40+($AQ$9:$AQ$40&gt;AB8)*AB8)-$AP$9:$AP$40+1)&gt;0)*((($AQ$9:$AQ$40&lt;=AB8)*$AQ$9:$AQ$40+($AQ$9:$AQ$40&gt;AB8)*AB8)-$AP$9:$AP$40+1)/(($AQ$9:$AQ$40-$AP$9:$AP$40+1)*(($AQ$9:$AQ$40-$AP$9:$AP$40+1)&gt;0)+(($AQ$9:$AQ$40-$AP$9:$AP$40+1)&lt;=0)))/SUM($AR$9:$AR$40)))</f>
        <v/>
      </c>
      <c r="AB41" s="5" t="n"/>
      <c r="AC41" s="23">
        <f>IF(OR(N(T3)=0,SUM($AR$9:$AR$40)=0),"",IF(AND(N(AF3)&gt;0,AC7&gt;AF3),"",SUMPRODUCT($AR$9:$AR$40*($AP$9:$AP$40&gt;0)*($AQ$9:$AQ$40&gt;=$AP$9:$AP$40)*(((($AQ$9:$AQ$40&lt;=AD8)*$AQ$9:$AQ$40+($AQ$9:$AQ$40&gt;AD8)*AD8)-$AP$9:$AP$40+1)&gt;0)*((($AQ$9:$AQ$40&lt;=AD8)*$AQ$9:$AQ$40+($AQ$9:$AQ$40&gt;AD8)*AD8)-$AP$9:$AP$40+1)/(($AQ$9:$AQ$40-$AP$9:$AP$40+1)*(($AQ$9:$AQ$40-$AP$9:$AP$40+1)&gt;0)+(($AQ$9:$AQ$40-$AP$9:$AP$40+1)&lt;=0)))/SUM($AR$9:$AR$40)))</f>
        <v/>
      </c>
      <c r="AD41" s="5" t="n"/>
      <c r="AE41" s="23">
        <f>IF(OR(N(T3)=0,SUM($AR$9:$AR$40)=0),"",IF(AND(N(AF3)&gt;0,AE7&gt;AF3),"",SUMPRODUCT($AR$9:$AR$40*($AP$9:$AP$40&gt;0)*($AQ$9:$AQ$40&gt;=$AP$9:$AP$40)*(((($AQ$9:$AQ$40&lt;=AF8)*$AQ$9:$AQ$40+($AQ$9:$AQ$40&gt;AF8)*AF8)-$AP$9:$AP$40+1)&gt;0)*((($AQ$9:$AQ$40&lt;=AF8)*$AQ$9:$AQ$40+($AQ$9:$AQ$40&gt;AF8)*AF8)-$AP$9:$AP$40+1)/(($AQ$9:$AQ$40-$AP$9:$AP$40+1)*(($AQ$9:$AQ$40-$AP$9:$AP$40+1)&gt;0)+(($AQ$9:$AQ$40-$AP$9:$AP$40+1)&lt;=0)))/SUM($AR$9:$AR$40)))</f>
        <v/>
      </c>
      <c r="AF41" s="5" t="n"/>
      <c r="AG41" s="23">
        <f>IF(OR(N(T3)=0,SUM($AR$9:$AR$40)=0),"",IF(AND(N(AF3)&gt;0,AG7&gt;AF3),"",SUMPRODUCT($AR$9:$AR$40*($AP$9:$AP$40&gt;0)*($AQ$9:$AQ$40&gt;=$AP$9:$AP$40)*(((($AQ$9:$AQ$40&lt;=AH8)*$AQ$9:$AQ$40+($AQ$9:$AQ$40&gt;AH8)*AH8)-$AP$9:$AP$40+1)&gt;0)*((($AQ$9:$AQ$40&lt;=AH8)*$AQ$9:$AQ$40+($AQ$9:$AQ$40&gt;AH8)*AH8)-$AP$9:$AP$40+1)/(($AQ$9:$AQ$40-$AP$9:$AP$40+1)*(($AQ$9:$AQ$40-$AP$9:$AP$40+1)&gt;0)+(($AQ$9:$AQ$40-$AP$9:$AP$40+1)&lt;=0)))/SUM($AR$9:$AR$40)))</f>
        <v/>
      </c>
      <c r="AH41" s="5" t="n"/>
      <c r="AI41" s="23">
        <f>IF(OR(N(T3)=0,SUM($AR$9:$AR$40)=0),"",IF(AND(N(AF3)&gt;0,AI7&gt;AF3),"",SUMPRODUCT($AR$9:$AR$40*($AP$9:$AP$40&gt;0)*($AQ$9:$AQ$40&gt;=$AP$9:$AP$40)*(((($AQ$9:$AQ$40&lt;=AJ8)*$AQ$9:$AQ$40+($AQ$9:$AQ$40&gt;AJ8)*AJ8)-$AP$9:$AP$40+1)&gt;0)*((($AQ$9:$AQ$40&lt;=AJ8)*$AQ$9:$AQ$40+($AQ$9:$AQ$40&gt;AJ8)*AJ8)-$AP$9:$AP$40+1)/(($AQ$9:$AQ$40-$AP$9:$AP$40+1)*(($AQ$9:$AQ$40-$AP$9:$AP$40+1)&gt;0)+(($AQ$9:$AQ$40-$AP$9:$AP$40+1)&lt;=0)))/SUM($AR$9:$AR$40)))</f>
        <v/>
      </c>
      <c r="AJ41" s="5" t="n"/>
      <c r="AK41" s="23">
        <f>IF(OR(N(T3)=0,SUM($AR$9:$AR$40)=0),"",IF(AND(N(AF3)&gt;0,AK7&gt;AF3),"",SUMPRODUCT($AR$9:$AR$40*($AP$9:$AP$40&gt;0)*($AQ$9:$AQ$40&gt;=$AP$9:$AP$40)*(((($AQ$9:$AQ$40&lt;=AL8)*$AQ$9:$AQ$40+($AQ$9:$AQ$40&gt;AL8)*AL8)-$AP$9:$AP$40+1)&gt;0)*((($AQ$9:$AQ$40&lt;=AL8)*$AQ$9:$AQ$40+($AQ$9:$AQ$40&gt;AL8)*AL8)-$AP$9:$AP$40+1)/(($AQ$9:$AQ$40-$AP$9:$AP$40+1)*(($AQ$9:$AQ$40-$AP$9:$AP$40+1)&gt;0)+(($AQ$9:$AQ$40-$AP$9:$AP$40+1)&lt;=0)))/SUM($AR$9:$AR$40)))</f>
        <v/>
      </c>
      <c r="AL41" s="5" t="n"/>
      <c r="AM41" s="23">
        <f>IF(OR(N(T3)=0,SUM($AR$9:$AR$40)=0),"",IF(AND(N(AF3)&gt;0,AM7&gt;AF3),"",SUMPRODUCT($AR$9:$AR$40*($AP$9:$AP$40&gt;0)*($AQ$9:$AQ$40&gt;=$AP$9:$AP$40)*(((($AQ$9:$AQ$40&lt;=AN8)*$AQ$9:$AQ$40+($AQ$9:$AQ$40&gt;AN8)*AN8)-$AP$9:$AP$40+1)&gt;0)*((($AQ$9:$AQ$40&lt;=AN8)*$AQ$9:$AQ$40+($AQ$9:$AQ$40&gt;AN8)*AN8)-$AP$9:$AP$40+1)/(($AQ$9:$AQ$40-$AP$9:$AP$40+1)*(($AQ$9:$AQ$40-$AP$9:$AP$40+1)&gt;0)+(($AQ$9:$AQ$40-$AP$9:$AP$40+1)&lt;=0)))/SUM($AR$9:$AR$40)))</f>
        <v/>
      </c>
      <c r="AN41" s="5" t="n"/>
      <c r="AO41" s="22" t="inlineStr"/>
    </row>
    <row r="42" ht="20" customHeight="1">
      <c r="A42" s="22" t="inlineStr">
        <is>
          <t>월간 계획 공정률</t>
        </is>
      </c>
      <c r="B42" s="5" t="n"/>
      <c r="C42" s="5" t="n"/>
      <c r="D42" s="5" t="n"/>
      <c r="E42" s="23">
        <f>IF(E41="","",E41-0)</f>
        <v/>
      </c>
      <c r="F42" s="5" t="n"/>
      <c r="G42" s="23">
        <f>IF(G41="","",G41-N(E41))</f>
        <v/>
      </c>
      <c r="H42" s="5" t="n"/>
      <c r="I42" s="23">
        <f>IF(I41="","",I41-N(G41))</f>
        <v/>
      </c>
      <c r="J42" s="5" t="n"/>
      <c r="K42" s="23">
        <f>IF(K41="","",K41-N(I41))</f>
        <v/>
      </c>
      <c r="L42" s="5" t="n"/>
      <c r="M42" s="23">
        <f>IF(M41="","",M41-N(K41))</f>
        <v/>
      </c>
      <c r="N42" s="5" t="n"/>
      <c r="O42" s="23">
        <f>IF(O41="","",O41-N(M41))</f>
        <v/>
      </c>
      <c r="P42" s="5" t="n"/>
      <c r="Q42" s="23">
        <f>IF(Q41="","",Q41-N(O41))</f>
        <v/>
      </c>
      <c r="R42" s="5" t="n"/>
      <c r="S42" s="23">
        <f>IF(S41="","",S41-N(Q41))</f>
        <v/>
      </c>
      <c r="T42" s="5" t="n"/>
      <c r="U42" s="23">
        <f>IF(U41="","",U41-N(S41))</f>
        <v/>
      </c>
      <c r="V42" s="5" t="n"/>
      <c r="W42" s="23">
        <f>IF(W41="","",W41-N(U41))</f>
        <v/>
      </c>
      <c r="X42" s="5" t="n"/>
      <c r="Y42" s="23">
        <f>IF(Y41="","",Y41-N(W41))</f>
        <v/>
      </c>
      <c r="Z42" s="5" t="n"/>
      <c r="AA42" s="23">
        <f>IF(AA41="","",AA41-N(Y41))</f>
        <v/>
      </c>
      <c r="AB42" s="5" t="n"/>
      <c r="AC42" s="23">
        <f>IF(AC41="","",AC41-N(AA41))</f>
        <v/>
      </c>
      <c r="AD42" s="5" t="n"/>
      <c r="AE42" s="23">
        <f>IF(AE41="","",AE41-N(AC41))</f>
        <v/>
      </c>
      <c r="AF42" s="5" t="n"/>
      <c r="AG42" s="23">
        <f>IF(AG41="","",AG41-N(AE41))</f>
        <v/>
      </c>
      <c r="AH42" s="5" t="n"/>
      <c r="AI42" s="23">
        <f>IF(AI41="","",AI41-N(AG41))</f>
        <v/>
      </c>
      <c r="AJ42" s="5" t="n"/>
      <c r="AK42" s="23">
        <f>IF(AK41="","",AK41-N(AI41))</f>
        <v/>
      </c>
      <c r="AL42" s="5" t="n"/>
      <c r="AM42" s="23">
        <f>IF(AM41="","",AM41-N(AK41))</f>
        <v/>
      </c>
      <c r="AN42" s="5" t="n"/>
      <c r="AO42" s="22" t="inlineStr"/>
    </row>
    <row r="44" ht="19.5" customHeight="1">
      <c r="A44" s="24" t="inlineStr">
        <is>
          <t>① 착공일을 적으면 월·상하순 눈금이 채워집니다(18개월). ② 공종마다 오른쪽 착수일·완료일을 적으면 막대가 그려집니다.</t>
        </is>
      </c>
    </row>
    <row r="45" ht="19.5" customHeight="1">
      <c r="A45" s="24" t="inlineStr">
        <is>
          <t>③ 금액(가중치)을 적으면 맨 아래 누계·월간 계획 공정률이 나옵니다. 오른쪽 세 칸(착수·완료·금액)은 인쇄되지 않습니다.</t>
        </is>
      </c>
    </row>
    <row r="46" ht="19.5" customHeight="1">
      <c r="A46" s="24" t="inlineStr">
        <is>
          <t>공종 줄이 모자라면 중간에 줄을 끼워 넣으세요(막대·공정률 범위가 따라 늘어납니다).</t>
        </is>
      </c>
    </row>
  </sheetData>
  <mergeCells count="76">
    <mergeCell ref="Q1:AO1"/>
    <mergeCell ref="T3:AA3"/>
    <mergeCell ref="AF3:AM3"/>
    <mergeCell ref="Y42:Z42"/>
    <mergeCell ref="AK42:AL42"/>
    <mergeCell ref="AN3:AO3"/>
    <mergeCell ref="AP5:AP6"/>
    <mergeCell ref="AM42:AN42"/>
    <mergeCell ref="A44:AO44"/>
    <mergeCell ref="G42:H42"/>
    <mergeCell ref="P3:S3"/>
    <mergeCell ref="E5:F5"/>
    <mergeCell ref="A5:B6"/>
    <mergeCell ref="K5:L5"/>
    <mergeCell ref="AE41:AF41"/>
    <mergeCell ref="M5:N5"/>
    <mergeCell ref="AG41:AH41"/>
    <mergeCell ref="E42:F42"/>
    <mergeCell ref="Q42:R42"/>
    <mergeCell ref="S42:T42"/>
    <mergeCell ref="W5:X5"/>
    <mergeCell ref="A42:D42"/>
    <mergeCell ref="AO5:AO6"/>
    <mergeCell ref="AB3:AE3"/>
    <mergeCell ref="O5:P5"/>
    <mergeCell ref="AQ5:AQ6"/>
    <mergeCell ref="Q5:R5"/>
    <mergeCell ref="I41:J41"/>
    <mergeCell ref="A45:AO45"/>
    <mergeCell ref="Y5:Z5"/>
    <mergeCell ref="C3:O3"/>
    <mergeCell ref="AA5:AB5"/>
    <mergeCell ref="K41:L41"/>
    <mergeCell ref="AE42:AF42"/>
    <mergeCell ref="AC5:AD5"/>
    <mergeCell ref="O41:P41"/>
    <mergeCell ref="U41:V41"/>
    <mergeCell ref="AK5:AL5"/>
    <mergeCell ref="W41:X41"/>
    <mergeCell ref="A3:B3"/>
    <mergeCell ref="AM5:AN5"/>
    <mergeCell ref="AC41:AD41"/>
    <mergeCell ref="AI41:AJ41"/>
    <mergeCell ref="AC42:AD42"/>
    <mergeCell ref="AR5:AR6"/>
    <mergeCell ref="A1:P1"/>
    <mergeCell ref="I42:J42"/>
    <mergeCell ref="K42:L42"/>
    <mergeCell ref="G5:H5"/>
    <mergeCell ref="AA41:AB41"/>
    <mergeCell ref="AK41:AL41"/>
    <mergeCell ref="I5:J5"/>
    <mergeCell ref="M42:N42"/>
    <mergeCell ref="A41:D41"/>
    <mergeCell ref="O42:P42"/>
    <mergeCell ref="M41:N41"/>
    <mergeCell ref="U42:V42"/>
    <mergeCell ref="W42:X42"/>
    <mergeCell ref="A46:AO46"/>
    <mergeCell ref="D5:D6"/>
    <mergeCell ref="A2:AO2"/>
    <mergeCell ref="S5:T5"/>
    <mergeCell ref="E41:F41"/>
    <mergeCell ref="U5:V5"/>
    <mergeCell ref="G41:H41"/>
    <mergeCell ref="AA42:AB42"/>
    <mergeCell ref="AG42:AH42"/>
    <mergeCell ref="Y41:Z41"/>
    <mergeCell ref="AI42:AJ42"/>
    <mergeCell ref="AE5:AF5"/>
    <mergeCell ref="Q41:R41"/>
    <mergeCell ref="AG5:AH5"/>
    <mergeCell ref="S41:T41"/>
    <mergeCell ref="AI5:AJ5"/>
    <mergeCell ref="AM41:AN41"/>
    <mergeCell ref="C5:C6"/>
  </mergeCells>
  <conditionalFormatting sqref="E9:AN40">
    <cfRule type="expression" priority="1" dxfId="0">
      <formula>AND(N($AP9)&gt;0,N($AQ9)&gt;=N($AP9),$AP9&lt;=E$8,$AQ9&gt;=E$7)</formula>
    </cfRule>
  </conditionalFormatting>
  <conditionalFormatting sqref="C9:C40">
    <cfRule type="expression" priority="2" dxfId="1">
      <formula>AND(ISNUMBER(C9),MOD(C9,1)=0)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AR44"/>
  <sheetViews>
    <sheetView showGridLines="0" zoomScale="100" workbookViewId="0">
      <selection activeCell="A1" sqref="A1"/>
    </sheetView>
  </sheetViews>
  <sheetFormatPr baseColWidth="8" defaultRowHeight="15"/>
  <cols>
    <col width="4.5" customWidth="1" min="1" max="1"/>
    <col width="22" customWidth="1" min="2" max="2"/>
    <col width="7.5" customWidth="1" min="3" max="3"/>
    <col width="5" customWidth="1" min="4" max="4"/>
    <col width="2.3" customWidth="1" min="5" max="5"/>
    <col width="2.3" customWidth="1" min="6" max="6"/>
    <col width="2.3" customWidth="1" min="7" max="7"/>
    <col width="2.3" customWidth="1" min="8" max="8"/>
    <col width="2.3" customWidth="1" min="9" max="9"/>
    <col width="2.3" customWidth="1" min="10" max="10"/>
    <col width="2.3" customWidth="1" min="11" max="11"/>
    <col width="2.3" customWidth="1" min="12" max="12"/>
    <col width="2.3" customWidth="1" min="13" max="13"/>
    <col width="2.3" customWidth="1" min="14" max="14"/>
    <col width="2.3" customWidth="1" min="15" max="15"/>
    <col width="2.3" customWidth="1" min="16" max="16"/>
    <col width="2.3" customWidth="1" min="17" max="17"/>
    <col width="2.3" customWidth="1" min="18" max="18"/>
    <col width="2.3" customWidth="1" min="19" max="19"/>
    <col width="2.3" customWidth="1" min="20" max="20"/>
    <col width="2.3" customWidth="1" min="21" max="21"/>
    <col width="2.3" customWidth="1" min="22" max="22"/>
    <col width="2.3" customWidth="1" min="23" max="23"/>
    <col width="2.3" customWidth="1" min="24" max="24"/>
    <col width="2.3" customWidth="1" min="25" max="25"/>
    <col width="2.3" customWidth="1" min="26" max="26"/>
    <col width="2.3" customWidth="1" min="27" max="27"/>
    <col width="2.3" customWidth="1" min="28" max="28"/>
    <col width="2.3" customWidth="1" min="29" max="29"/>
    <col width="2.3" customWidth="1" min="30" max="30"/>
    <col width="2.3" customWidth="1" min="31" max="31"/>
    <col width="2.3" customWidth="1" min="32" max="32"/>
    <col width="2.3" customWidth="1" min="33" max="33"/>
    <col width="2.3" customWidth="1" min="34" max="34"/>
    <col width="2.3" customWidth="1" min="35" max="35"/>
    <col width="2.3" customWidth="1" min="36" max="36"/>
    <col width="2.3" customWidth="1" min="37" max="37"/>
    <col width="2.3" customWidth="1" min="38" max="38"/>
    <col width="2.3" customWidth="1" min="39" max="39"/>
    <col width="2.3" customWidth="1" min="40" max="40"/>
    <col width="9" customWidth="1" min="41" max="41"/>
    <col width="10.5" customWidth="1" min="42" max="42"/>
    <col width="10.5" customWidth="1" min="43" max="43"/>
    <col width="13" customWidth="1" min="44" max="44"/>
  </cols>
  <sheetData>
    <row r="1" ht="20" customHeight="1">
      <c r="A1" s="1" t="inlineStr">
        <is>
          <t xml:space="preserve">  K-건설맵  |  k-conmap.com  건설 서식</t>
        </is>
      </c>
      <c r="Q1" s="25" t="inlineStr">
        <is>
          <t xml:space="preserve">작성 예시 (가상의 현장)  </t>
        </is>
      </c>
    </row>
    <row r="2" ht="34" customHeight="1">
      <c r="A2" s="3" t="inlineStr">
        <is>
          <t>공 사 공 정 표  (총 괄)</t>
        </is>
      </c>
    </row>
    <row r="3" ht="24" customHeight="1">
      <c r="A3" s="4" t="inlineStr">
        <is>
          <t>공  사  명</t>
        </is>
      </c>
      <c r="B3" s="5" t="n"/>
      <c r="C3" s="6" t="inlineStr">
        <is>
          <t>가나지구 배수로 정비공사</t>
        </is>
      </c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4" t="inlineStr">
        <is>
          <t>착 공 일</t>
        </is>
      </c>
      <c r="Q3" s="5" t="n"/>
      <c r="R3" s="5" t="n"/>
      <c r="S3" s="5" t="n"/>
      <c r="T3" s="7" t="n">
        <v>46090</v>
      </c>
      <c r="U3" s="5" t="n"/>
      <c r="V3" s="5" t="n"/>
      <c r="W3" s="5" t="n"/>
      <c r="X3" s="5" t="n"/>
      <c r="Y3" s="5" t="n"/>
      <c r="Z3" s="5" t="n"/>
      <c r="AA3" s="5" t="n"/>
      <c r="AB3" s="4" t="inlineStr">
        <is>
          <t>준 공 일</t>
        </is>
      </c>
      <c r="AC3" s="5" t="n"/>
      <c r="AD3" s="5" t="n"/>
      <c r="AE3" s="5" t="n"/>
      <c r="AF3" s="7" t="n">
        <v>46387</v>
      </c>
      <c r="AG3" s="5" t="n"/>
      <c r="AH3" s="5" t="n"/>
      <c r="AI3" s="5" t="n"/>
      <c r="AJ3" s="5" t="n"/>
      <c r="AK3" s="5" t="n"/>
      <c r="AL3" s="5" t="n"/>
      <c r="AM3" s="5" t="n"/>
      <c r="AN3" s="8">
        <f>IF(OR(N(T3)=0,N(AF3)=0),"",AF3-T3+1)</f>
        <v/>
      </c>
      <c r="AO3" s="5" t="n"/>
    </row>
    <row r="4" ht="4" customHeight="1"/>
    <row r="5" ht="20" customHeight="1">
      <c r="A5" s="9" t="inlineStr">
        <is>
          <t>공        종</t>
        </is>
      </c>
      <c r="B5" s="5" t="n"/>
      <c r="C5" s="9" t="inlineStr">
        <is>
          <t>수 량</t>
        </is>
      </c>
      <c r="D5" s="9" t="inlineStr">
        <is>
          <t>단위</t>
        </is>
      </c>
      <c r="E5" s="10">
        <f>IF(N(T3)=0,"",EDATE(DATE(YEAR(T3),MONTH(T3),1),0))</f>
        <v/>
      </c>
      <c r="F5" s="5" t="n"/>
      <c r="G5" s="10">
        <f>IF(N(T3)=0,"",EDATE(DATE(YEAR(T3),MONTH(T3),1),1))</f>
        <v/>
      </c>
      <c r="H5" s="5" t="n"/>
      <c r="I5" s="10">
        <f>IF(N(T3)=0,"",EDATE(DATE(YEAR(T3),MONTH(T3),1),2))</f>
        <v/>
      </c>
      <c r="J5" s="5" t="n"/>
      <c r="K5" s="10">
        <f>IF(N(T3)=0,"",EDATE(DATE(YEAR(T3),MONTH(T3),1),3))</f>
        <v/>
      </c>
      <c r="L5" s="5" t="n"/>
      <c r="M5" s="10">
        <f>IF(N(T3)=0,"",EDATE(DATE(YEAR(T3),MONTH(T3),1),4))</f>
        <v/>
      </c>
      <c r="N5" s="5" t="n"/>
      <c r="O5" s="10">
        <f>IF(N(T3)=0,"",EDATE(DATE(YEAR(T3),MONTH(T3),1),5))</f>
        <v/>
      </c>
      <c r="P5" s="5" t="n"/>
      <c r="Q5" s="10">
        <f>IF(N(T3)=0,"",EDATE(DATE(YEAR(T3),MONTH(T3),1),6))</f>
        <v/>
      </c>
      <c r="R5" s="5" t="n"/>
      <c r="S5" s="10">
        <f>IF(N(T3)=0,"",EDATE(DATE(YEAR(T3),MONTH(T3),1),7))</f>
        <v/>
      </c>
      <c r="T5" s="5" t="n"/>
      <c r="U5" s="10">
        <f>IF(N(T3)=0,"",EDATE(DATE(YEAR(T3),MONTH(T3),1),8))</f>
        <v/>
      </c>
      <c r="V5" s="5" t="n"/>
      <c r="W5" s="10">
        <f>IF(N(T3)=0,"",EDATE(DATE(YEAR(T3),MONTH(T3),1),9))</f>
        <v/>
      </c>
      <c r="X5" s="5" t="n"/>
      <c r="Y5" s="10">
        <f>IF(N(T3)=0,"",EDATE(DATE(YEAR(T3),MONTH(T3),1),10))</f>
        <v/>
      </c>
      <c r="Z5" s="5" t="n"/>
      <c r="AA5" s="10">
        <f>IF(N(T3)=0,"",EDATE(DATE(YEAR(T3),MONTH(T3),1),11))</f>
        <v/>
      </c>
      <c r="AB5" s="5" t="n"/>
      <c r="AC5" s="10">
        <f>IF(N(T3)=0,"",EDATE(DATE(YEAR(T3),MONTH(T3),1),12))</f>
        <v/>
      </c>
      <c r="AD5" s="5" t="n"/>
      <c r="AE5" s="10">
        <f>IF(N(T3)=0,"",EDATE(DATE(YEAR(T3),MONTH(T3),1),13))</f>
        <v/>
      </c>
      <c r="AF5" s="5" t="n"/>
      <c r="AG5" s="10">
        <f>IF(N(T3)=0,"",EDATE(DATE(YEAR(T3),MONTH(T3),1),14))</f>
        <v/>
      </c>
      <c r="AH5" s="5" t="n"/>
      <c r="AI5" s="10">
        <f>IF(N(T3)=0,"",EDATE(DATE(YEAR(T3),MONTH(T3),1),15))</f>
        <v/>
      </c>
      <c r="AJ5" s="5" t="n"/>
      <c r="AK5" s="10">
        <f>IF(N(T3)=0,"",EDATE(DATE(YEAR(T3),MONTH(T3),1),16))</f>
        <v/>
      </c>
      <c r="AL5" s="5" t="n"/>
      <c r="AM5" s="10">
        <f>IF(N(T3)=0,"",EDATE(DATE(YEAR(T3),MONTH(T3),1),17))</f>
        <v/>
      </c>
      <c r="AN5" s="5" t="n"/>
      <c r="AO5" s="9" t="inlineStr">
        <is>
          <t>비  고</t>
        </is>
      </c>
      <c r="AP5" s="9" t="inlineStr">
        <is>
          <t>착수일</t>
        </is>
      </c>
      <c r="AQ5" s="9" t="inlineStr">
        <is>
          <t>완료일</t>
        </is>
      </c>
      <c r="AR5" s="11" t="inlineStr">
        <is>
          <t>금액(가중치)</t>
        </is>
      </c>
    </row>
    <row r="6" ht="16" customHeight="1">
      <c r="A6" s="5" t="n"/>
      <c r="B6" s="5" t="n"/>
      <c r="C6" s="5" t="n"/>
      <c r="D6" s="5" t="n"/>
      <c r="E6" s="12" t="inlineStr">
        <is>
          <t>상</t>
        </is>
      </c>
      <c r="F6" s="12" t="inlineStr">
        <is>
          <t>하</t>
        </is>
      </c>
      <c r="G6" s="12" t="inlineStr">
        <is>
          <t>상</t>
        </is>
      </c>
      <c r="H6" s="12" t="inlineStr">
        <is>
          <t>하</t>
        </is>
      </c>
      <c r="I6" s="12" t="inlineStr">
        <is>
          <t>상</t>
        </is>
      </c>
      <c r="J6" s="12" t="inlineStr">
        <is>
          <t>하</t>
        </is>
      </c>
      <c r="K6" s="12" t="inlineStr">
        <is>
          <t>상</t>
        </is>
      </c>
      <c r="L6" s="12" t="inlineStr">
        <is>
          <t>하</t>
        </is>
      </c>
      <c r="M6" s="12" t="inlineStr">
        <is>
          <t>상</t>
        </is>
      </c>
      <c r="N6" s="12" t="inlineStr">
        <is>
          <t>하</t>
        </is>
      </c>
      <c r="O6" s="12" t="inlineStr">
        <is>
          <t>상</t>
        </is>
      </c>
      <c r="P6" s="12" t="inlineStr">
        <is>
          <t>하</t>
        </is>
      </c>
      <c r="Q6" s="12" t="inlineStr">
        <is>
          <t>상</t>
        </is>
      </c>
      <c r="R6" s="12" t="inlineStr">
        <is>
          <t>하</t>
        </is>
      </c>
      <c r="S6" s="12" t="inlineStr">
        <is>
          <t>상</t>
        </is>
      </c>
      <c r="T6" s="12" t="inlineStr">
        <is>
          <t>하</t>
        </is>
      </c>
      <c r="U6" s="12" t="inlineStr">
        <is>
          <t>상</t>
        </is>
      </c>
      <c r="V6" s="12" t="inlineStr">
        <is>
          <t>하</t>
        </is>
      </c>
      <c r="W6" s="12" t="inlineStr">
        <is>
          <t>상</t>
        </is>
      </c>
      <c r="X6" s="12" t="inlineStr">
        <is>
          <t>하</t>
        </is>
      </c>
      <c r="Y6" s="12" t="inlineStr">
        <is>
          <t>상</t>
        </is>
      </c>
      <c r="Z6" s="12" t="inlineStr">
        <is>
          <t>하</t>
        </is>
      </c>
      <c r="AA6" s="12" t="inlineStr">
        <is>
          <t>상</t>
        </is>
      </c>
      <c r="AB6" s="12" t="inlineStr">
        <is>
          <t>하</t>
        </is>
      </c>
      <c r="AC6" s="12" t="inlineStr">
        <is>
          <t>상</t>
        </is>
      </c>
      <c r="AD6" s="12" t="inlineStr">
        <is>
          <t>하</t>
        </is>
      </c>
      <c r="AE6" s="12" t="inlineStr">
        <is>
          <t>상</t>
        </is>
      </c>
      <c r="AF6" s="12" t="inlineStr">
        <is>
          <t>하</t>
        </is>
      </c>
      <c r="AG6" s="12" t="inlineStr">
        <is>
          <t>상</t>
        </is>
      </c>
      <c r="AH6" s="12" t="inlineStr">
        <is>
          <t>하</t>
        </is>
      </c>
      <c r="AI6" s="12" t="inlineStr">
        <is>
          <t>상</t>
        </is>
      </c>
      <c r="AJ6" s="12" t="inlineStr">
        <is>
          <t>하</t>
        </is>
      </c>
      <c r="AK6" s="12" t="inlineStr">
        <is>
          <t>상</t>
        </is>
      </c>
      <c r="AL6" s="12" t="inlineStr">
        <is>
          <t>하</t>
        </is>
      </c>
      <c r="AM6" s="12" t="inlineStr">
        <is>
          <t>상</t>
        </is>
      </c>
      <c r="AN6" s="12" t="inlineStr">
        <is>
          <t>하</t>
        </is>
      </c>
      <c r="AO6" s="5" t="n"/>
      <c r="AP6" s="5" t="n"/>
      <c r="AQ6" s="5" t="n"/>
      <c r="AR6" s="5" t="n"/>
    </row>
    <row r="7" hidden="1" ht="12" customHeight="1">
      <c r="E7" s="13">
        <f>IF(N(T3)=0,"",EDATE(DATE(YEAR(T3),MONTH(T3),1),0))</f>
        <v/>
      </c>
      <c r="F7" s="13">
        <f>IF(N(T3)=0,"",EDATE(DATE(YEAR(T3),MONTH(T3),1),0)+15)</f>
        <v/>
      </c>
      <c r="G7" s="13">
        <f>IF(N(T3)=0,"",EDATE(DATE(YEAR(T3),MONTH(T3),1),1))</f>
        <v/>
      </c>
      <c r="H7" s="13">
        <f>IF(N(T3)=0,"",EDATE(DATE(YEAR(T3),MONTH(T3),1),1)+15)</f>
        <v/>
      </c>
      <c r="I7" s="13">
        <f>IF(N(T3)=0,"",EDATE(DATE(YEAR(T3),MONTH(T3),1),2))</f>
        <v/>
      </c>
      <c r="J7" s="13">
        <f>IF(N(T3)=0,"",EDATE(DATE(YEAR(T3),MONTH(T3),1),2)+15)</f>
        <v/>
      </c>
      <c r="K7" s="13">
        <f>IF(N(T3)=0,"",EDATE(DATE(YEAR(T3),MONTH(T3),1),3))</f>
        <v/>
      </c>
      <c r="L7" s="13">
        <f>IF(N(T3)=0,"",EDATE(DATE(YEAR(T3),MONTH(T3),1),3)+15)</f>
        <v/>
      </c>
      <c r="M7" s="13">
        <f>IF(N(T3)=0,"",EDATE(DATE(YEAR(T3),MONTH(T3),1),4))</f>
        <v/>
      </c>
      <c r="N7" s="13">
        <f>IF(N(T3)=0,"",EDATE(DATE(YEAR(T3),MONTH(T3),1),4)+15)</f>
        <v/>
      </c>
      <c r="O7" s="13">
        <f>IF(N(T3)=0,"",EDATE(DATE(YEAR(T3),MONTH(T3),1),5))</f>
        <v/>
      </c>
      <c r="P7" s="13">
        <f>IF(N(T3)=0,"",EDATE(DATE(YEAR(T3),MONTH(T3),1),5)+15)</f>
        <v/>
      </c>
      <c r="Q7" s="13">
        <f>IF(N(T3)=0,"",EDATE(DATE(YEAR(T3),MONTH(T3),1),6))</f>
        <v/>
      </c>
      <c r="R7" s="13">
        <f>IF(N(T3)=0,"",EDATE(DATE(YEAR(T3),MONTH(T3),1),6)+15)</f>
        <v/>
      </c>
      <c r="S7" s="13">
        <f>IF(N(T3)=0,"",EDATE(DATE(YEAR(T3),MONTH(T3),1),7))</f>
        <v/>
      </c>
      <c r="T7" s="13">
        <f>IF(N(T3)=0,"",EDATE(DATE(YEAR(T3),MONTH(T3),1),7)+15)</f>
        <v/>
      </c>
      <c r="U7" s="13">
        <f>IF(N(T3)=0,"",EDATE(DATE(YEAR(T3),MONTH(T3),1),8))</f>
        <v/>
      </c>
      <c r="V7" s="13">
        <f>IF(N(T3)=0,"",EDATE(DATE(YEAR(T3),MONTH(T3),1),8)+15)</f>
        <v/>
      </c>
      <c r="W7" s="13">
        <f>IF(N(T3)=0,"",EDATE(DATE(YEAR(T3),MONTH(T3),1),9))</f>
        <v/>
      </c>
      <c r="X7" s="13">
        <f>IF(N(T3)=0,"",EDATE(DATE(YEAR(T3),MONTH(T3),1),9)+15)</f>
        <v/>
      </c>
      <c r="Y7" s="13">
        <f>IF(N(T3)=0,"",EDATE(DATE(YEAR(T3),MONTH(T3),1),10))</f>
        <v/>
      </c>
      <c r="Z7" s="13">
        <f>IF(N(T3)=0,"",EDATE(DATE(YEAR(T3),MONTH(T3),1),10)+15)</f>
        <v/>
      </c>
      <c r="AA7" s="13">
        <f>IF(N(T3)=0,"",EDATE(DATE(YEAR(T3),MONTH(T3),1),11))</f>
        <v/>
      </c>
      <c r="AB7" s="13">
        <f>IF(N(T3)=0,"",EDATE(DATE(YEAR(T3),MONTH(T3),1),11)+15)</f>
        <v/>
      </c>
      <c r="AC7" s="13">
        <f>IF(N(T3)=0,"",EDATE(DATE(YEAR(T3),MONTH(T3),1),12))</f>
        <v/>
      </c>
      <c r="AD7" s="13">
        <f>IF(N(T3)=0,"",EDATE(DATE(YEAR(T3),MONTH(T3),1),12)+15)</f>
        <v/>
      </c>
      <c r="AE7" s="13">
        <f>IF(N(T3)=0,"",EDATE(DATE(YEAR(T3),MONTH(T3),1),13))</f>
        <v/>
      </c>
      <c r="AF7" s="13">
        <f>IF(N(T3)=0,"",EDATE(DATE(YEAR(T3),MONTH(T3),1),13)+15)</f>
        <v/>
      </c>
      <c r="AG7" s="13">
        <f>IF(N(T3)=0,"",EDATE(DATE(YEAR(T3),MONTH(T3),1),14))</f>
        <v/>
      </c>
      <c r="AH7" s="13">
        <f>IF(N(T3)=0,"",EDATE(DATE(YEAR(T3),MONTH(T3),1),14)+15)</f>
        <v/>
      </c>
      <c r="AI7" s="13">
        <f>IF(N(T3)=0,"",EDATE(DATE(YEAR(T3),MONTH(T3),1),15))</f>
        <v/>
      </c>
      <c r="AJ7" s="13">
        <f>IF(N(T3)=0,"",EDATE(DATE(YEAR(T3),MONTH(T3),1),15)+15)</f>
        <v/>
      </c>
      <c r="AK7" s="13">
        <f>IF(N(T3)=0,"",EDATE(DATE(YEAR(T3),MONTH(T3),1),16))</f>
        <v/>
      </c>
      <c r="AL7" s="13">
        <f>IF(N(T3)=0,"",EDATE(DATE(YEAR(T3),MONTH(T3),1),16)+15)</f>
        <v/>
      </c>
      <c r="AM7" s="13">
        <f>IF(N(T3)=0,"",EDATE(DATE(YEAR(T3),MONTH(T3),1),17))</f>
        <v/>
      </c>
      <c r="AN7" s="13">
        <f>IF(N(T3)=0,"",EDATE(DATE(YEAR(T3),MONTH(T3),1),17)+15)</f>
        <v/>
      </c>
    </row>
    <row r="8" hidden="1" ht="12" customHeight="1">
      <c r="E8" s="13">
        <f>IF(N(T3)=0,"",EDATE(DATE(YEAR(T3),MONTH(T3),1),0)+14)</f>
        <v/>
      </c>
      <c r="F8" s="13">
        <f>IF(N(T3)=0,"",EDATE(DATE(YEAR(T3),MONTH(T3),1),1)-1)</f>
        <v/>
      </c>
      <c r="G8" s="13">
        <f>IF(N(T3)=0,"",EDATE(DATE(YEAR(T3),MONTH(T3),1),1)+14)</f>
        <v/>
      </c>
      <c r="H8" s="13">
        <f>IF(N(T3)=0,"",EDATE(DATE(YEAR(T3),MONTH(T3),1),2)-1)</f>
        <v/>
      </c>
      <c r="I8" s="13">
        <f>IF(N(T3)=0,"",EDATE(DATE(YEAR(T3),MONTH(T3),1),2)+14)</f>
        <v/>
      </c>
      <c r="J8" s="13">
        <f>IF(N(T3)=0,"",EDATE(DATE(YEAR(T3),MONTH(T3),1),3)-1)</f>
        <v/>
      </c>
      <c r="K8" s="13">
        <f>IF(N(T3)=0,"",EDATE(DATE(YEAR(T3),MONTH(T3),1),3)+14)</f>
        <v/>
      </c>
      <c r="L8" s="13">
        <f>IF(N(T3)=0,"",EDATE(DATE(YEAR(T3),MONTH(T3),1),4)-1)</f>
        <v/>
      </c>
      <c r="M8" s="13">
        <f>IF(N(T3)=0,"",EDATE(DATE(YEAR(T3),MONTH(T3),1),4)+14)</f>
        <v/>
      </c>
      <c r="N8" s="13">
        <f>IF(N(T3)=0,"",EDATE(DATE(YEAR(T3),MONTH(T3),1),5)-1)</f>
        <v/>
      </c>
      <c r="O8" s="13">
        <f>IF(N(T3)=0,"",EDATE(DATE(YEAR(T3),MONTH(T3),1),5)+14)</f>
        <v/>
      </c>
      <c r="P8" s="13">
        <f>IF(N(T3)=0,"",EDATE(DATE(YEAR(T3),MONTH(T3),1),6)-1)</f>
        <v/>
      </c>
      <c r="Q8" s="13">
        <f>IF(N(T3)=0,"",EDATE(DATE(YEAR(T3),MONTH(T3),1),6)+14)</f>
        <v/>
      </c>
      <c r="R8" s="13">
        <f>IF(N(T3)=0,"",EDATE(DATE(YEAR(T3),MONTH(T3),1),7)-1)</f>
        <v/>
      </c>
      <c r="S8" s="13">
        <f>IF(N(T3)=0,"",EDATE(DATE(YEAR(T3),MONTH(T3),1),7)+14)</f>
        <v/>
      </c>
      <c r="T8" s="13">
        <f>IF(N(T3)=0,"",EDATE(DATE(YEAR(T3),MONTH(T3),1),8)-1)</f>
        <v/>
      </c>
      <c r="U8" s="13">
        <f>IF(N(T3)=0,"",EDATE(DATE(YEAR(T3),MONTH(T3),1),8)+14)</f>
        <v/>
      </c>
      <c r="V8" s="13">
        <f>IF(N(T3)=0,"",EDATE(DATE(YEAR(T3),MONTH(T3),1),9)-1)</f>
        <v/>
      </c>
      <c r="W8" s="13">
        <f>IF(N(T3)=0,"",EDATE(DATE(YEAR(T3),MONTH(T3),1),9)+14)</f>
        <v/>
      </c>
      <c r="X8" s="13">
        <f>IF(N(T3)=0,"",EDATE(DATE(YEAR(T3),MONTH(T3),1),10)-1)</f>
        <v/>
      </c>
      <c r="Y8" s="13">
        <f>IF(N(T3)=0,"",EDATE(DATE(YEAR(T3),MONTH(T3),1),10)+14)</f>
        <v/>
      </c>
      <c r="Z8" s="13">
        <f>IF(N(T3)=0,"",EDATE(DATE(YEAR(T3),MONTH(T3),1),11)-1)</f>
        <v/>
      </c>
      <c r="AA8" s="13">
        <f>IF(N(T3)=0,"",EDATE(DATE(YEAR(T3),MONTH(T3),1),11)+14)</f>
        <v/>
      </c>
      <c r="AB8" s="13">
        <f>IF(N(T3)=0,"",EDATE(DATE(YEAR(T3),MONTH(T3),1),12)-1)</f>
        <v/>
      </c>
      <c r="AC8" s="13">
        <f>IF(N(T3)=0,"",EDATE(DATE(YEAR(T3),MONTH(T3),1),12)+14)</f>
        <v/>
      </c>
      <c r="AD8" s="13">
        <f>IF(N(T3)=0,"",EDATE(DATE(YEAR(T3),MONTH(T3),1),13)-1)</f>
        <v/>
      </c>
      <c r="AE8" s="13">
        <f>IF(N(T3)=0,"",EDATE(DATE(YEAR(T3),MONTH(T3),1),13)+14)</f>
        <v/>
      </c>
      <c r="AF8" s="13">
        <f>IF(N(T3)=0,"",EDATE(DATE(YEAR(T3),MONTH(T3),1),14)-1)</f>
        <v/>
      </c>
      <c r="AG8" s="13">
        <f>IF(N(T3)=0,"",EDATE(DATE(YEAR(T3),MONTH(T3),1),14)+14)</f>
        <v/>
      </c>
      <c r="AH8" s="13">
        <f>IF(N(T3)=0,"",EDATE(DATE(YEAR(T3),MONTH(T3),1),15)-1)</f>
        <v/>
      </c>
      <c r="AI8" s="13">
        <f>IF(N(T3)=0,"",EDATE(DATE(YEAR(T3),MONTH(T3),1),15)+14)</f>
        <v/>
      </c>
      <c r="AJ8" s="13">
        <f>IF(N(T3)=0,"",EDATE(DATE(YEAR(T3),MONTH(T3),1),16)-1)</f>
        <v/>
      </c>
      <c r="AK8" s="13">
        <f>IF(N(T3)=0,"",EDATE(DATE(YEAR(T3),MONTH(T3),1),16)+14)</f>
        <v/>
      </c>
      <c r="AL8" s="13">
        <f>IF(N(T3)=0,"",EDATE(DATE(YEAR(T3),MONTH(T3),1),17)-1)</f>
        <v/>
      </c>
      <c r="AM8" s="13">
        <f>IF(N(T3)=0,"",EDATE(DATE(YEAR(T3),MONTH(T3),1),17)+14)</f>
        <v/>
      </c>
      <c r="AN8" s="13">
        <f>IF(N(T3)=0,"",EDATE(DATE(YEAR(T3),MONTH(T3),1),18)-1)</f>
        <v/>
      </c>
    </row>
    <row r="9" ht="17" customHeight="1">
      <c r="A9" s="14" t="inlineStr">
        <is>
          <t>1.</t>
        </is>
      </c>
      <c r="B9" s="15" t="inlineStr">
        <is>
          <t>가설공사</t>
        </is>
      </c>
      <c r="C9" s="16" t="n"/>
      <c r="D9" s="14" t="n"/>
      <c r="E9" s="17" t="inlineStr"/>
      <c r="F9" s="17" t="inlineStr"/>
      <c r="G9" s="17" t="inlineStr"/>
      <c r="H9" s="17" t="inlineStr"/>
      <c r="I9" s="17" t="inlineStr"/>
      <c r="J9" s="17" t="inlineStr"/>
      <c r="K9" s="17" t="inlineStr"/>
      <c r="L9" s="17" t="inlineStr"/>
      <c r="M9" s="17" t="inlineStr"/>
      <c r="N9" s="17" t="inlineStr"/>
      <c r="O9" s="17" t="inlineStr"/>
      <c r="P9" s="17" t="inlineStr"/>
      <c r="Q9" s="17" t="inlineStr"/>
      <c r="R9" s="17" t="inlineStr"/>
      <c r="S9" s="17" t="inlineStr"/>
      <c r="T9" s="17" t="inlineStr"/>
      <c r="U9" s="17" t="inlineStr"/>
      <c r="V9" s="17" t="inlineStr"/>
      <c r="W9" s="17" t="inlineStr"/>
      <c r="X9" s="17" t="inlineStr"/>
      <c r="Y9" s="17" t="inlineStr"/>
      <c r="Z9" s="17" t="inlineStr"/>
      <c r="AA9" s="17" t="inlineStr"/>
      <c r="AB9" s="17" t="inlineStr"/>
      <c r="AC9" s="17" t="inlineStr"/>
      <c r="AD9" s="17" t="inlineStr"/>
      <c r="AE9" s="17" t="inlineStr"/>
      <c r="AF9" s="17" t="inlineStr"/>
      <c r="AG9" s="17" t="inlineStr"/>
      <c r="AH9" s="17" t="inlineStr"/>
      <c r="AI9" s="17" t="inlineStr"/>
      <c r="AJ9" s="17" t="inlineStr"/>
      <c r="AK9" s="17" t="inlineStr"/>
      <c r="AL9" s="17" t="inlineStr"/>
      <c r="AM9" s="17" t="inlineStr"/>
      <c r="AN9" s="17" t="inlineStr"/>
      <c r="AO9" s="18" t="n"/>
      <c r="AP9" s="19" t="n"/>
      <c r="AQ9" s="19" t="n"/>
      <c r="AR9" s="20" t="n"/>
    </row>
    <row r="10" ht="17" customHeight="1">
      <c r="A10" s="14" t="n"/>
      <c r="B10" s="21" t="inlineStr">
        <is>
          <t>공통가설·안전시설</t>
        </is>
      </c>
      <c r="C10" s="16" t="n">
        <v>1</v>
      </c>
      <c r="D10" s="14" t="inlineStr">
        <is>
          <t>식</t>
        </is>
      </c>
      <c r="E10" s="17" t="inlineStr"/>
      <c r="F10" s="17" t="inlineStr"/>
      <c r="G10" s="17" t="inlineStr"/>
      <c r="H10" s="17" t="inlineStr"/>
      <c r="I10" s="17" t="inlineStr"/>
      <c r="J10" s="17" t="inlineStr"/>
      <c r="K10" s="17" t="inlineStr"/>
      <c r="L10" s="17" t="inlineStr"/>
      <c r="M10" s="17" t="inlineStr"/>
      <c r="N10" s="17" t="inlineStr"/>
      <c r="O10" s="17" t="inlineStr"/>
      <c r="P10" s="17" t="inlineStr"/>
      <c r="Q10" s="17" t="inlineStr"/>
      <c r="R10" s="17" t="inlineStr"/>
      <c r="S10" s="17" t="inlineStr"/>
      <c r="T10" s="17" t="inlineStr"/>
      <c r="U10" s="17" t="inlineStr"/>
      <c r="V10" s="17" t="inlineStr"/>
      <c r="W10" s="17" t="inlineStr"/>
      <c r="X10" s="17" t="inlineStr"/>
      <c r="Y10" s="17" t="inlineStr"/>
      <c r="Z10" s="17" t="inlineStr"/>
      <c r="AA10" s="17" t="inlineStr"/>
      <c r="AB10" s="17" t="inlineStr"/>
      <c r="AC10" s="17" t="inlineStr"/>
      <c r="AD10" s="17" t="inlineStr"/>
      <c r="AE10" s="17" t="inlineStr"/>
      <c r="AF10" s="17" t="inlineStr"/>
      <c r="AG10" s="17" t="inlineStr"/>
      <c r="AH10" s="17" t="inlineStr"/>
      <c r="AI10" s="17" t="inlineStr"/>
      <c r="AJ10" s="17" t="inlineStr"/>
      <c r="AK10" s="17" t="inlineStr"/>
      <c r="AL10" s="17" t="inlineStr"/>
      <c r="AM10" s="17" t="inlineStr"/>
      <c r="AN10" s="17" t="inlineStr"/>
      <c r="AO10" s="18" t="n"/>
      <c r="AP10" s="19" t="n">
        <v>46090</v>
      </c>
      <c r="AQ10" s="19" t="n">
        <v>46387</v>
      </c>
      <c r="AR10" s="20" t="n">
        <v>18000000</v>
      </c>
    </row>
    <row r="11" ht="17" customHeight="1">
      <c r="A11" s="14" t="inlineStr">
        <is>
          <t>2.</t>
        </is>
      </c>
      <c r="B11" s="15" t="inlineStr">
        <is>
          <t>토공</t>
        </is>
      </c>
      <c r="C11" s="16" t="n"/>
      <c r="D11" s="14" t="n"/>
      <c r="E11" s="17" t="inlineStr"/>
      <c r="F11" s="17" t="inlineStr"/>
      <c r="G11" s="17" t="inlineStr"/>
      <c r="H11" s="17" t="inlineStr"/>
      <c r="I11" s="17" t="inlineStr"/>
      <c r="J11" s="17" t="inlineStr"/>
      <c r="K11" s="17" t="inlineStr"/>
      <c r="L11" s="17" t="inlineStr"/>
      <c r="M11" s="17" t="inlineStr"/>
      <c r="N11" s="17" t="inlineStr"/>
      <c r="O11" s="17" t="inlineStr"/>
      <c r="P11" s="17" t="inlineStr"/>
      <c r="Q11" s="17" t="inlineStr"/>
      <c r="R11" s="17" t="inlineStr"/>
      <c r="S11" s="17" t="inlineStr"/>
      <c r="T11" s="17" t="inlineStr"/>
      <c r="U11" s="17" t="inlineStr"/>
      <c r="V11" s="17" t="inlineStr"/>
      <c r="W11" s="17" t="inlineStr"/>
      <c r="X11" s="17" t="inlineStr"/>
      <c r="Y11" s="17" t="inlineStr"/>
      <c r="Z11" s="17" t="inlineStr"/>
      <c r="AA11" s="17" t="inlineStr"/>
      <c r="AB11" s="17" t="inlineStr"/>
      <c r="AC11" s="17" t="inlineStr"/>
      <c r="AD11" s="17" t="inlineStr"/>
      <c r="AE11" s="17" t="inlineStr"/>
      <c r="AF11" s="17" t="inlineStr"/>
      <c r="AG11" s="17" t="inlineStr"/>
      <c r="AH11" s="17" t="inlineStr"/>
      <c r="AI11" s="17" t="inlineStr"/>
      <c r="AJ11" s="17" t="inlineStr"/>
      <c r="AK11" s="17" t="inlineStr"/>
      <c r="AL11" s="17" t="inlineStr"/>
      <c r="AM11" s="17" t="inlineStr"/>
      <c r="AN11" s="17" t="inlineStr"/>
      <c r="AO11" s="18" t="n"/>
      <c r="AP11" s="19" t="n"/>
      <c r="AQ11" s="19" t="n"/>
      <c r="AR11" s="20" t="n"/>
    </row>
    <row r="12" ht="17" customHeight="1">
      <c r="A12" s="14" t="n"/>
      <c r="B12" s="21" t="inlineStr">
        <is>
          <t>터파기</t>
        </is>
      </c>
      <c r="C12" s="16" t="n">
        <v>3450</v>
      </c>
      <c r="D12" s="14" t="inlineStr">
        <is>
          <t>㎥</t>
        </is>
      </c>
      <c r="E12" s="17" t="inlineStr"/>
      <c r="F12" s="17" t="inlineStr"/>
      <c r="G12" s="17" t="inlineStr"/>
      <c r="H12" s="17" t="inlineStr"/>
      <c r="I12" s="17" t="inlineStr"/>
      <c r="J12" s="17" t="inlineStr"/>
      <c r="K12" s="17" t="inlineStr"/>
      <c r="L12" s="17" t="inlineStr"/>
      <c r="M12" s="17" t="inlineStr"/>
      <c r="N12" s="17" t="inlineStr"/>
      <c r="O12" s="17" t="inlineStr"/>
      <c r="P12" s="17" t="inlineStr"/>
      <c r="Q12" s="17" t="inlineStr"/>
      <c r="R12" s="17" t="inlineStr"/>
      <c r="S12" s="17" t="inlineStr"/>
      <c r="T12" s="17" t="inlineStr"/>
      <c r="U12" s="17" t="inlineStr"/>
      <c r="V12" s="17" t="inlineStr"/>
      <c r="W12" s="17" t="inlineStr"/>
      <c r="X12" s="17" t="inlineStr"/>
      <c r="Y12" s="17" t="inlineStr"/>
      <c r="Z12" s="17" t="inlineStr"/>
      <c r="AA12" s="17" t="inlineStr"/>
      <c r="AB12" s="17" t="inlineStr"/>
      <c r="AC12" s="17" t="inlineStr"/>
      <c r="AD12" s="17" t="inlineStr"/>
      <c r="AE12" s="17" t="inlineStr"/>
      <c r="AF12" s="17" t="inlineStr"/>
      <c r="AG12" s="17" t="inlineStr"/>
      <c r="AH12" s="17" t="inlineStr"/>
      <c r="AI12" s="17" t="inlineStr"/>
      <c r="AJ12" s="17" t="inlineStr"/>
      <c r="AK12" s="17" t="inlineStr"/>
      <c r="AL12" s="17" t="inlineStr"/>
      <c r="AM12" s="17" t="inlineStr"/>
      <c r="AN12" s="17" t="inlineStr"/>
      <c r="AO12" s="18" t="n"/>
      <c r="AP12" s="19" t="n">
        <v>46097</v>
      </c>
      <c r="AQ12" s="19" t="n">
        <v>46173</v>
      </c>
      <c r="AR12" s="20" t="n">
        <v>42000000</v>
      </c>
    </row>
    <row r="13" ht="17" customHeight="1">
      <c r="A13" s="14" t="n"/>
      <c r="B13" s="21" t="inlineStr">
        <is>
          <t>되메우기</t>
        </is>
      </c>
      <c r="C13" s="16" t="n">
        <v>2980</v>
      </c>
      <c r="D13" s="14" t="inlineStr">
        <is>
          <t>㎥</t>
        </is>
      </c>
      <c r="E13" s="17" t="inlineStr"/>
      <c r="F13" s="17" t="inlineStr"/>
      <c r="G13" s="17" t="inlineStr"/>
      <c r="H13" s="17" t="inlineStr"/>
      <c r="I13" s="17" t="inlineStr"/>
      <c r="J13" s="17" t="inlineStr"/>
      <c r="K13" s="17" t="inlineStr"/>
      <c r="L13" s="17" t="inlineStr"/>
      <c r="M13" s="17" t="inlineStr"/>
      <c r="N13" s="17" t="inlineStr"/>
      <c r="O13" s="17" t="inlineStr"/>
      <c r="P13" s="17" t="inlineStr"/>
      <c r="Q13" s="17" t="inlineStr"/>
      <c r="R13" s="17" t="inlineStr"/>
      <c r="S13" s="17" t="inlineStr"/>
      <c r="T13" s="17" t="inlineStr"/>
      <c r="U13" s="17" t="inlineStr"/>
      <c r="V13" s="17" t="inlineStr"/>
      <c r="W13" s="17" t="inlineStr"/>
      <c r="X13" s="17" t="inlineStr"/>
      <c r="Y13" s="17" t="inlineStr"/>
      <c r="Z13" s="17" t="inlineStr"/>
      <c r="AA13" s="17" t="inlineStr"/>
      <c r="AB13" s="17" t="inlineStr"/>
      <c r="AC13" s="17" t="inlineStr"/>
      <c r="AD13" s="17" t="inlineStr"/>
      <c r="AE13" s="17" t="inlineStr"/>
      <c r="AF13" s="17" t="inlineStr"/>
      <c r="AG13" s="17" t="inlineStr"/>
      <c r="AH13" s="17" t="inlineStr"/>
      <c r="AI13" s="17" t="inlineStr"/>
      <c r="AJ13" s="17" t="inlineStr"/>
      <c r="AK13" s="17" t="inlineStr"/>
      <c r="AL13" s="17" t="inlineStr"/>
      <c r="AM13" s="17" t="inlineStr"/>
      <c r="AN13" s="17" t="inlineStr"/>
      <c r="AO13" s="18" t="n"/>
      <c r="AP13" s="19" t="n">
        <v>46127</v>
      </c>
      <c r="AQ13" s="19" t="n">
        <v>46218</v>
      </c>
      <c r="AR13" s="20" t="n">
        <v>21000000</v>
      </c>
    </row>
    <row r="14" ht="17" customHeight="1">
      <c r="A14" s="14" t="inlineStr">
        <is>
          <t>3.</t>
        </is>
      </c>
      <c r="B14" s="15" t="inlineStr">
        <is>
          <t>배수공</t>
        </is>
      </c>
      <c r="C14" s="16" t="n"/>
      <c r="D14" s="14" t="n"/>
      <c r="E14" s="17" t="inlineStr"/>
      <c r="F14" s="17" t="inlineStr"/>
      <c r="G14" s="17" t="inlineStr"/>
      <c r="H14" s="17" t="inlineStr"/>
      <c r="I14" s="17" t="inlineStr"/>
      <c r="J14" s="17" t="inlineStr"/>
      <c r="K14" s="17" t="inlineStr"/>
      <c r="L14" s="17" t="inlineStr"/>
      <c r="M14" s="17" t="inlineStr"/>
      <c r="N14" s="17" t="inlineStr"/>
      <c r="O14" s="17" t="inlineStr"/>
      <c r="P14" s="17" t="inlineStr"/>
      <c r="Q14" s="17" t="inlineStr"/>
      <c r="R14" s="17" t="inlineStr"/>
      <c r="S14" s="17" t="inlineStr"/>
      <c r="T14" s="17" t="inlineStr"/>
      <c r="U14" s="17" t="inlineStr"/>
      <c r="V14" s="17" t="inlineStr"/>
      <c r="W14" s="17" t="inlineStr"/>
      <c r="X14" s="17" t="inlineStr"/>
      <c r="Y14" s="17" t="inlineStr"/>
      <c r="Z14" s="17" t="inlineStr"/>
      <c r="AA14" s="17" t="inlineStr"/>
      <c r="AB14" s="17" t="inlineStr"/>
      <c r="AC14" s="17" t="inlineStr"/>
      <c r="AD14" s="17" t="inlineStr"/>
      <c r="AE14" s="17" t="inlineStr"/>
      <c r="AF14" s="17" t="inlineStr"/>
      <c r="AG14" s="17" t="inlineStr"/>
      <c r="AH14" s="17" t="inlineStr"/>
      <c r="AI14" s="17" t="inlineStr"/>
      <c r="AJ14" s="17" t="inlineStr"/>
      <c r="AK14" s="17" t="inlineStr"/>
      <c r="AL14" s="17" t="inlineStr"/>
      <c r="AM14" s="17" t="inlineStr"/>
      <c r="AN14" s="17" t="inlineStr"/>
      <c r="AO14" s="18" t="n"/>
      <c r="AP14" s="19" t="n"/>
      <c r="AQ14" s="19" t="n"/>
      <c r="AR14" s="20" t="n"/>
    </row>
    <row r="15" ht="17" customHeight="1">
      <c r="A15" s="14" t="n"/>
      <c r="B15" s="21" t="inlineStr">
        <is>
          <t>PE 이중벽관 D600 부설</t>
        </is>
      </c>
      <c r="C15" s="16" t="n">
        <v>862</v>
      </c>
      <c r="D15" s="14" t="inlineStr">
        <is>
          <t>m</t>
        </is>
      </c>
      <c r="E15" s="17" t="inlineStr"/>
      <c r="F15" s="17" t="inlineStr"/>
      <c r="G15" s="17" t="inlineStr"/>
      <c r="H15" s="17" t="inlineStr"/>
      <c r="I15" s="17" t="inlineStr"/>
      <c r="J15" s="17" t="inlineStr"/>
      <c r="K15" s="17" t="inlineStr"/>
      <c r="L15" s="17" t="inlineStr"/>
      <c r="M15" s="17" t="inlineStr"/>
      <c r="N15" s="17" t="inlineStr"/>
      <c r="O15" s="17" t="inlineStr"/>
      <c r="P15" s="17" t="inlineStr"/>
      <c r="Q15" s="17" t="inlineStr"/>
      <c r="R15" s="17" t="inlineStr"/>
      <c r="S15" s="17" t="inlineStr"/>
      <c r="T15" s="17" t="inlineStr"/>
      <c r="U15" s="17" t="inlineStr"/>
      <c r="V15" s="17" t="inlineStr"/>
      <c r="W15" s="17" t="inlineStr"/>
      <c r="X15" s="17" t="inlineStr"/>
      <c r="Y15" s="17" t="inlineStr"/>
      <c r="Z15" s="17" t="inlineStr"/>
      <c r="AA15" s="17" t="inlineStr"/>
      <c r="AB15" s="17" t="inlineStr"/>
      <c r="AC15" s="17" t="inlineStr"/>
      <c r="AD15" s="17" t="inlineStr"/>
      <c r="AE15" s="17" t="inlineStr"/>
      <c r="AF15" s="17" t="inlineStr"/>
      <c r="AG15" s="17" t="inlineStr"/>
      <c r="AH15" s="17" t="inlineStr"/>
      <c r="AI15" s="17" t="inlineStr"/>
      <c r="AJ15" s="17" t="inlineStr"/>
      <c r="AK15" s="17" t="inlineStr"/>
      <c r="AL15" s="17" t="inlineStr"/>
      <c r="AM15" s="17" t="inlineStr"/>
      <c r="AN15" s="17" t="inlineStr"/>
      <c r="AO15" s="18" t="n"/>
      <c r="AP15" s="19" t="n">
        <v>46113</v>
      </c>
      <c r="AQ15" s="19" t="n">
        <v>46203</v>
      </c>
      <c r="AR15" s="20" t="n">
        <v>185000000</v>
      </c>
    </row>
    <row r="16" ht="17" customHeight="1">
      <c r="A16" s="14" t="n"/>
      <c r="B16" s="21" t="inlineStr">
        <is>
          <t>집수정 설치</t>
        </is>
      </c>
      <c r="C16" s="16" t="n">
        <v>3</v>
      </c>
      <c r="D16" s="14" t="inlineStr">
        <is>
          <t>개소</t>
        </is>
      </c>
      <c r="E16" s="17" t="inlineStr"/>
      <c r="F16" s="17" t="inlineStr"/>
      <c r="G16" s="17" t="inlineStr"/>
      <c r="H16" s="17" t="inlineStr"/>
      <c r="I16" s="17" t="inlineStr"/>
      <c r="J16" s="17" t="inlineStr"/>
      <c r="K16" s="17" t="inlineStr"/>
      <c r="L16" s="17" t="inlineStr"/>
      <c r="M16" s="17" t="inlineStr"/>
      <c r="N16" s="17" t="inlineStr"/>
      <c r="O16" s="17" t="inlineStr"/>
      <c r="P16" s="17" t="inlineStr"/>
      <c r="Q16" s="17" t="inlineStr"/>
      <c r="R16" s="17" t="inlineStr"/>
      <c r="S16" s="17" t="inlineStr"/>
      <c r="T16" s="17" t="inlineStr"/>
      <c r="U16" s="17" t="inlineStr"/>
      <c r="V16" s="17" t="inlineStr"/>
      <c r="W16" s="17" t="inlineStr"/>
      <c r="X16" s="17" t="inlineStr"/>
      <c r="Y16" s="17" t="inlineStr"/>
      <c r="Z16" s="17" t="inlineStr"/>
      <c r="AA16" s="17" t="inlineStr"/>
      <c r="AB16" s="17" t="inlineStr"/>
      <c r="AC16" s="17" t="inlineStr"/>
      <c r="AD16" s="17" t="inlineStr"/>
      <c r="AE16" s="17" t="inlineStr"/>
      <c r="AF16" s="17" t="inlineStr"/>
      <c r="AG16" s="17" t="inlineStr"/>
      <c r="AH16" s="17" t="inlineStr"/>
      <c r="AI16" s="17" t="inlineStr"/>
      <c r="AJ16" s="17" t="inlineStr"/>
      <c r="AK16" s="17" t="inlineStr"/>
      <c r="AL16" s="17" t="inlineStr"/>
      <c r="AM16" s="17" t="inlineStr"/>
      <c r="AN16" s="17" t="inlineStr"/>
      <c r="AO16" s="18" t="n"/>
      <c r="AP16" s="19" t="n">
        <v>46143</v>
      </c>
      <c r="AQ16" s="19" t="n">
        <v>46188</v>
      </c>
      <c r="AR16" s="20" t="n">
        <v>12000000</v>
      </c>
    </row>
    <row r="17" ht="17" customHeight="1">
      <c r="A17" s="14" t="inlineStr">
        <is>
          <t>4.</t>
        </is>
      </c>
      <c r="B17" s="15" t="inlineStr">
        <is>
          <t>구조물공</t>
        </is>
      </c>
      <c r="C17" s="16" t="n"/>
      <c r="D17" s="14" t="n"/>
      <c r="E17" s="17" t="inlineStr"/>
      <c r="F17" s="17" t="inlineStr"/>
      <c r="G17" s="17" t="inlineStr"/>
      <c r="H17" s="17" t="inlineStr"/>
      <c r="I17" s="17" t="inlineStr"/>
      <c r="J17" s="17" t="inlineStr"/>
      <c r="K17" s="17" t="inlineStr"/>
      <c r="L17" s="17" t="inlineStr"/>
      <c r="M17" s="17" t="inlineStr"/>
      <c r="N17" s="17" t="inlineStr"/>
      <c r="O17" s="17" t="inlineStr"/>
      <c r="P17" s="17" t="inlineStr"/>
      <c r="Q17" s="17" t="inlineStr"/>
      <c r="R17" s="17" t="inlineStr"/>
      <c r="S17" s="17" t="inlineStr"/>
      <c r="T17" s="17" t="inlineStr"/>
      <c r="U17" s="17" t="inlineStr"/>
      <c r="V17" s="17" t="inlineStr"/>
      <c r="W17" s="17" t="inlineStr"/>
      <c r="X17" s="17" t="inlineStr"/>
      <c r="Y17" s="17" t="inlineStr"/>
      <c r="Z17" s="17" t="inlineStr"/>
      <c r="AA17" s="17" t="inlineStr"/>
      <c r="AB17" s="17" t="inlineStr"/>
      <c r="AC17" s="17" t="inlineStr"/>
      <c r="AD17" s="17" t="inlineStr"/>
      <c r="AE17" s="17" t="inlineStr"/>
      <c r="AF17" s="17" t="inlineStr"/>
      <c r="AG17" s="17" t="inlineStr"/>
      <c r="AH17" s="17" t="inlineStr"/>
      <c r="AI17" s="17" t="inlineStr"/>
      <c r="AJ17" s="17" t="inlineStr"/>
      <c r="AK17" s="17" t="inlineStr"/>
      <c r="AL17" s="17" t="inlineStr"/>
      <c r="AM17" s="17" t="inlineStr"/>
      <c r="AN17" s="17" t="inlineStr"/>
      <c r="AO17" s="18" t="n"/>
      <c r="AP17" s="19" t="n"/>
      <c r="AQ17" s="19" t="n"/>
      <c r="AR17" s="20" t="n"/>
    </row>
    <row r="18" ht="17" customHeight="1">
      <c r="A18" s="14" t="n"/>
      <c r="B18" s="21" t="inlineStr">
        <is>
          <t>암거 기초</t>
        </is>
      </c>
      <c r="C18" s="16" t="n">
        <v>1</v>
      </c>
      <c r="D18" s="14" t="inlineStr">
        <is>
          <t>식</t>
        </is>
      </c>
      <c r="E18" s="17" t="inlineStr"/>
      <c r="F18" s="17" t="inlineStr"/>
      <c r="G18" s="17" t="inlineStr"/>
      <c r="H18" s="17" t="inlineStr"/>
      <c r="I18" s="17" t="inlineStr"/>
      <c r="J18" s="17" t="inlineStr"/>
      <c r="K18" s="17" t="inlineStr"/>
      <c r="L18" s="17" t="inlineStr"/>
      <c r="M18" s="17" t="inlineStr"/>
      <c r="N18" s="17" t="inlineStr"/>
      <c r="O18" s="17" t="inlineStr"/>
      <c r="P18" s="17" t="inlineStr"/>
      <c r="Q18" s="17" t="inlineStr"/>
      <c r="R18" s="17" t="inlineStr"/>
      <c r="S18" s="17" t="inlineStr"/>
      <c r="T18" s="17" t="inlineStr"/>
      <c r="U18" s="17" t="inlineStr"/>
      <c r="V18" s="17" t="inlineStr"/>
      <c r="W18" s="17" t="inlineStr"/>
      <c r="X18" s="17" t="inlineStr"/>
      <c r="Y18" s="17" t="inlineStr"/>
      <c r="Z18" s="17" t="inlineStr"/>
      <c r="AA18" s="17" t="inlineStr"/>
      <c r="AB18" s="17" t="inlineStr"/>
      <c r="AC18" s="17" t="inlineStr"/>
      <c r="AD18" s="17" t="inlineStr"/>
      <c r="AE18" s="17" t="inlineStr"/>
      <c r="AF18" s="17" t="inlineStr"/>
      <c r="AG18" s="17" t="inlineStr"/>
      <c r="AH18" s="17" t="inlineStr"/>
      <c r="AI18" s="17" t="inlineStr"/>
      <c r="AJ18" s="17" t="inlineStr"/>
      <c r="AK18" s="17" t="inlineStr"/>
      <c r="AL18" s="17" t="inlineStr"/>
      <c r="AM18" s="17" t="inlineStr"/>
      <c r="AN18" s="17" t="inlineStr"/>
      <c r="AO18" s="18" t="n"/>
      <c r="AP18" s="19" t="n">
        <v>46174</v>
      </c>
      <c r="AQ18" s="19" t="n">
        <v>46203</v>
      </c>
      <c r="AR18" s="20" t="n">
        <v>36000000</v>
      </c>
    </row>
    <row r="19" ht="17" customHeight="1">
      <c r="A19" s="14" t="n"/>
      <c r="B19" s="21" t="inlineStr">
        <is>
          <t>암거 본체(철근·콘크리트)</t>
        </is>
      </c>
      <c r="C19" s="16" t="n">
        <v>1</v>
      </c>
      <c r="D19" s="14" t="inlineStr">
        <is>
          <t>식</t>
        </is>
      </c>
      <c r="E19" s="17" t="inlineStr"/>
      <c r="F19" s="17" t="inlineStr"/>
      <c r="G19" s="17" t="inlineStr"/>
      <c r="H19" s="17" t="inlineStr"/>
      <c r="I19" s="17" t="inlineStr"/>
      <c r="J19" s="17" t="inlineStr"/>
      <c r="K19" s="17" t="inlineStr"/>
      <c r="L19" s="17" t="inlineStr"/>
      <c r="M19" s="17" t="inlineStr"/>
      <c r="N19" s="17" t="inlineStr"/>
      <c r="O19" s="17" t="inlineStr"/>
      <c r="P19" s="17" t="inlineStr"/>
      <c r="Q19" s="17" t="inlineStr"/>
      <c r="R19" s="17" t="inlineStr"/>
      <c r="S19" s="17" t="inlineStr"/>
      <c r="T19" s="17" t="inlineStr"/>
      <c r="U19" s="17" t="inlineStr"/>
      <c r="V19" s="17" t="inlineStr"/>
      <c r="W19" s="17" t="inlineStr"/>
      <c r="X19" s="17" t="inlineStr"/>
      <c r="Y19" s="17" t="inlineStr"/>
      <c r="Z19" s="17" t="inlineStr"/>
      <c r="AA19" s="17" t="inlineStr"/>
      <c r="AB19" s="17" t="inlineStr"/>
      <c r="AC19" s="17" t="inlineStr"/>
      <c r="AD19" s="17" t="inlineStr"/>
      <c r="AE19" s="17" t="inlineStr"/>
      <c r="AF19" s="17" t="inlineStr"/>
      <c r="AG19" s="17" t="inlineStr"/>
      <c r="AH19" s="17" t="inlineStr"/>
      <c r="AI19" s="17" t="inlineStr"/>
      <c r="AJ19" s="17" t="inlineStr"/>
      <c r="AK19" s="17" t="inlineStr"/>
      <c r="AL19" s="17" t="inlineStr"/>
      <c r="AM19" s="17" t="inlineStr"/>
      <c r="AN19" s="17" t="inlineStr"/>
      <c r="AO19" s="18" t="n"/>
      <c r="AP19" s="19" t="n">
        <v>46204</v>
      </c>
      <c r="AQ19" s="19" t="n">
        <v>46280</v>
      </c>
      <c r="AR19" s="20" t="n">
        <v>168000000</v>
      </c>
    </row>
    <row r="20" ht="17" customHeight="1">
      <c r="A20" s="14" t="n"/>
      <c r="B20" s="21" t="inlineStr">
        <is>
          <t>암거 뒤채움</t>
        </is>
      </c>
      <c r="C20" s="16" t="n">
        <v>1</v>
      </c>
      <c r="D20" s="14" t="inlineStr">
        <is>
          <t>식</t>
        </is>
      </c>
      <c r="E20" s="17" t="inlineStr"/>
      <c r="F20" s="17" t="inlineStr"/>
      <c r="G20" s="17" t="inlineStr"/>
      <c r="H20" s="17" t="inlineStr"/>
      <c r="I20" s="17" t="inlineStr"/>
      <c r="J20" s="17" t="inlineStr"/>
      <c r="K20" s="17" t="inlineStr"/>
      <c r="L20" s="17" t="inlineStr"/>
      <c r="M20" s="17" t="inlineStr"/>
      <c r="N20" s="17" t="inlineStr"/>
      <c r="O20" s="17" t="inlineStr"/>
      <c r="P20" s="17" t="inlineStr"/>
      <c r="Q20" s="17" t="inlineStr"/>
      <c r="R20" s="17" t="inlineStr"/>
      <c r="S20" s="17" t="inlineStr"/>
      <c r="T20" s="17" t="inlineStr"/>
      <c r="U20" s="17" t="inlineStr"/>
      <c r="V20" s="17" t="inlineStr"/>
      <c r="W20" s="17" t="inlineStr"/>
      <c r="X20" s="17" t="inlineStr"/>
      <c r="Y20" s="17" t="inlineStr"/>
      <c r="Z20" s="17" t="inlineStr"/>
      <c r="AA20" s="17" t="inlineStr"/>
      <c r="AB20" s="17" t="inlineStr"/>
      <c r="AC20" s="17" t="inlineStr"/>
      <c r="AD20" s="17" t="inlineStr"/>
      <c r="AE20" s="17" t="inlineStr"/>
      <c r="AF20" s="17" t="inlineStr"/>
      <c r="AG20" s="17" t="inlineStr"/>
      <c r="AH20" s="17" t="inlineStr"/>
      <c r="AI20" s="17" t="inlineStr"/>
      <c r="AJ20" s="17" t="inlineStr"/>
      <c r="AK20" s="17" t="inlineStr"/>
      <c r="AL20" s="17" t="inlineStr"/>
      <c r="AM20" s="17" t="inlineStr"/>
      <c r="AN20" s="17" t="inlineStr"/>
      <c r="AO20" s="18" t="n"/>
      <c r="AP20" s="19" t="n">
        <v>46281</v>
      </c>
      <c r="AQ20" s="19" t="n">
        <v>46305</v>
      </c>
      <c r="AR20" s="20" t="n">
        <v>14000000</v>
      </c>
    </row>
    <row r="21" ht="17" customHeight="1">
      <c r="A21" s="14" t="inlineStr">
        <is>
          <t>5.</t>
        </is>
      </c>
      <c r="B21" s="15" t="inlineStr">
        <is>
          <t>포장공</t>
        </is>
      </c>
      <c r="C21" s="16" t="n"/>
      <c r="D21" s="14" t="n"/>
      <c r="E21" s="17" t="inlineStr"/>
      <c r="F21" s="17" t="inlineStr"/>
      <c r="G21" s="17" t="inlineStr"/>
      <c r="H21" s="17" t="inlineStr"/>
      <c r="I21" s="17" t="inlineStr"/>
      <c r="J21" s="17" t="inlineStr"/>
      <c r="K21" s="17" t="inlineStr"/>
      <c r="L21" s="17" t="inlineStr"/>
      <c r="M21" s="17" t="inlineStr"/>
      <c r="N21" s="17" t="inlineStr"/>
      <c r="O21" s="17" t="inlineStr"/>
      <c r="P21" s="17" t="inlineStr"/>
      <c r="Q21" s="17" t="inlineStr"/>
      <c r="R21" s="17" t="inlineStr"/>
      <c r="S21" s="17" t="inlineStr"/>
      <c r="T21" s="17" t="inlineStr"/>
      <c r="U21" s="17" t="inlineStr"/>
      <c r="V21" s="17" t="inlineStr"/>
      <c r="W21" s="17" t="inlineStr"/>
      <c r="X21" s="17" t="inlineStr"/>
      <c r="Y21" s="17" t="inlineStr"/>
      <c r="Z21" s="17" t="inlineStr"/>
      <c r="AA21" s="17" t="inlineStr"/>
      <c r="AB21" s="17" t="inlineStr"/>
      <c r="AC21" s="17" t="inlineStr"/>
      <c r="AD21" s="17" t="inlineStr"/>
      <c r="AE21" s="17" t="inlineStr"/>
      <c r="AF21" s="17" t="inlineStr"/>
      <c r="AG21" s="17" t="inlineStr"/>
      <c r="AH21" s="17" t="inlineStr"/>
      <c r="AI21" s="17" t="inlineStr"/>
      <c r="AJ21" s="17" t="inlineStr"/>
      <c r="AK21" s="17" t="inlineStr"/>
      <c r="AL21" s="17" t="inlineStr"/>
      <c r="AM21" s="17" t="inlineStr"/>
      <c r="AN21" s="17" t="inlineStr"/>
      <c r="AO21" s="18" t="n"/>
      <c r="AP21" s="19" t="n"/>
      <c r="AQ21" s="19" t="n"/>
      <c r="AR21" s="20" t="n"/>
    </row>
    <row r="22" ht="17" customHeight="1">
      <c r="A22" s="14" t="n"/>
      <c r="B22" s="21" t="inlineStr">
        <is>
          <t>아스팔트 재포장</t>
        </is>
      </c>
      <c r="C22" s="16" t="n">
        <v>6020</v>
      </c>
      <c r="D22" s="14" t="inlineStr">
        <is>
          <t>㎡</t>
        </is>
      </c>
      <c r="E22" s="17" t="inlineStr"/>
      <c r="F22" s="17" t="inlineStr"/>
      <c r="G22" s="17" t="inlineStr"/>
      <c r="H22" s="17" t="inlineStr"/>
      <c r="I22" s="17" t="inlineStr"/>
      <c r="J22" s="17" t="inlineStr"/>
      <c r="K22" s="17" t="inlineStr"/>
      <c r="L22" s="17" t="inlineStr"/>
      <c r="M22" s="17" t="inlineStr"/>
      <c r="N22" s="17" t="inlineStr"/>
      <c r="O22" s="17" t="inlineStr"/>
      <c r="P22" s="17" t="inlineStr"/>
      <c r="Q22" s="17" t="inlineStr"/>
      <c r="R22" s="17" t="inlineStr"/>
      <c r="S22" s="17" t="inlineStr"/>
      <c r="T22" s="17" t="inlineStr"/>
      <c r="U22" s="17" t="inlineStr"/>
      <c r="V22" s="17" t="inlineStr"/>
      <c r="W22" s="17" t="inlineStr"/>
      <c r="X22" s="17" t="inlineStr"/>
      <c r="Y22" s="17" t="inlineStr"/>
      <c r="Z22" s="17" t="inlineStr"/>
      <c r="AA22" s="17" t="inlineStr"/>
      <c r="AB22" s="17" t="inlineStr"/>
      <c r="AC22" s="17" t="inlineStr"/>
      <c r="AD22" s="17" t="inlineStr"/>
      <c r="AE22" s="17" t="inlineStr"/>
      <c r="AF22" s="17" t="inlineStr"/>
      <c r="AG22" s="17" t="inlineStr"/>
      <c r="AH22" s="17" t="inlineStr"/>
      <c r="AI22" s="17" t="inlineStr"/>
      <c r="AJ22" s="17" t="inlineStr"/>
      <c r="AK22" s="17" t="inlineStr"/>
      <c r="AL22" s="17" t="inlineStr"/>
      <c r="AM22" s="17" t="inlineStr"/>
      <c r="AN22" s="17" t="inlineStr"/>
      <c r="AO22" s="18" t="n"/>
      <c r="AP22" s="19" t="n">
        <v>46296</v>
      </c>
      <c r="AQ22" s="19" t="n">
        <v>46341</v>
      </c>
      <c r="AR22" s="20" t="n">
        <v>96000000</v>
      </c>
    </row>
    <row r="23" ht="17" customHeight="1">
      <c r="A23" s="14" t="inlineStr">
        <is>
          <t>6.</t>
        </is>
      </c>
      <c r="B23" s="15" t="inlineStr">
        <is>
          <t>부대공</t>
        </is>
      </c>
      <c r="C23" s="16" t="n"/>
      <c r="D23" s="14" t="n"/>
      <c r="E23" s="17" t="inlineStr"/>
      <c r="F23" s="17" t="inlineStr"/>
      <c r="G23" s="17" t="inlineStr"/>
      <c r="H23" s="17" t="inlineStr"/>
      <c r="I23" s="17" t="inlineStr"/>
      <c r="J23" s="17" t="inlineStr"/>
      <c r="K23" s="17" t="inlineStr"/>
      <c r="L23" s="17" t="inlineStr"/>
      <c r="M23" s="17" t="inlineStr"/>
      <c r="N23" s="17" t="inlineStr"/>
      <c r="O23" s="17" t="inlineStr"/>
      <c r="P23" s="17" t="inlineStr"/>
      <c r="Q23" s="17" t="inlineStr"/>
      <c r="R23" s="17" t="inlineStr"/>
      <c r="S23" s="17" t="inlineStr"/>
      <c r="T23" s="17" t="inlineStr"/>
      <c r="U23" s="17" t="inlineStr"/>
      <c r="V23" s="17" t="inlineStr"/>
      <c r="W23" s="17" t="inlineStr"/>
      <c r="X23" s="17" t="inlineStr"/>
      <c r="Y23" s="17" t="inlineStr"/>
      <c r="Z23" s="17" t="inlineStr"/>
      <c r="AA23" s="17" t="inlineStr"/>
      <c r="AB23" s="17" t="inlineStr"/>
      <c r="AC23" s="17" t="inlineStr"/>
      <c r="AD23" s="17" t="inlineStr"/>
      <c r="AE23" s="17" t="inlineStr"/>
      <c r="AF23" s="17" t="inlineStr"/>
      <c r="AG23" s="17" t="inlineStr"/>
      <c r="AH23" s="17" t="inlineStr"/>
      <c r="AI23" s="17" t="inlineStr"/>
      <c r="AJ23" s="17" t="inlineStr"/>
      <c r="AK23" s="17" t="inlineStr"/>
      <c r="AL23" s="17" t="inlineStr"/>
      <c r="AM23" s="17" t="inlineStr"/>
      <c r="AN23" s="17" t="inlineStr"/>
      <c r="AO23" s="18" t="n"/>
      <c r="AP23" s="19" t="n"/>
      <c r="AQ23" s="19" t="n"/>
      <c r="AR23" s="20" t="n"/>
    </row>
    <row r="24" ht="17" customHeight="1">
      <c r="A24" s="14" t="n"/>
      <c r="B24" s="21" t="inlineStr">
        <is>
          <t>교통처리·안전관리</t>
        </is>
      </c>
      <c r="C24" s="16" t="n">
        <v>1</v>
      </c>
      <c r="D24" s="14" t="inlineStr">
        <is>
          <t>식</t>
        </is>
      </c>
      <c r="E24" s="17" t="inlineStr"/>
      <c r="F24" s="17" t="inlineStr"/>
      <c r="G24" s="17" t="inlineStr"/>
      <c r="H24" s="17" t="inlineStr"/>
      <c r="I24" s="17" t="inlineStr"/>
      <c r="J24" s="17" t="inlineStr"/>
      <c r="K24" s="17" t="inlineStr"/>
      <c r="L24" s="17" t="inlineStr"/>
      <c r="M24" s="17" t="inlineStr"/>
      <c r="N24" s="17" t="inlineStr"/>
      <c r="O24" s="17" t="inlineStr"/>
      <c r="P24" s="17" t="inlineStr"/>
      <c r="Q24" s="17" t="inlineStr"/>
      <c r="R24" s="17" t="inlineStr"/>
      <c r="S24" s="17" t="inlineStr"/>
      <c r="T24" s="17" t="inlineStr"/>
      <c r="U24" s="17" t="inlineStr"/>
      <c r="V24" s="17" t="inlineStr"/>
      <c r="W24" s="17" t="inlineStr"/>
      <c r="X24" s="17" t="inlineStr"/>
      <c r="Y24" s="17" t="inlineStr"/>
      <c r="Z24" s="17" t="inlineStr"/>
      <c r="AA24" s="17" t="inlineStr"/>
      <c r="AB24" s="17" t="inlineStr"/>
      <c r="AC24" s="17" t="inlineStr"/>
      <c r="AD24" s="17" t="inlineStr"/>
      <c r="AE24" s="17" t="inlineStr"/>
      <c r="AF24" s="17" t="inlineStr"/>
      <c r="AG24" s="17" t="inlineStr"/>
      <c r="AH24" s="17" t="inlineStr"/>
      <c r="AI24" s="17" t="inlineStr"/>
      <c r="AJ24" s="17" t="inlineStr"/>
      <c r="AK24" s="17" t="inlineStr"/>
      <c r="AL24" s="17" t="inlineStr"/>
      <c r="AM24" s="17" t="inlineStr"/>
      <c r="AN24" s="17" t="inlineStr"/>
      <c r="AO24" s="18" t="n"/>
      <c r="AP24" s="19" t="n">
        <v>46090</v>
      </c>
      <c r="AQ24" s="19" t="n">
        <v>46387</v>
      </c>
      <c r="AR24" s="20" t="n">
        <v>22000000</v>
      </c>
    </row>
    <row r="25" ht="17" customHeight="1">
      <c r="A25" s="14" t="n"/>
      <c r="B25" s="21" t="inlineStr">
        <is>
          <t>준공 청소·정리</t>
        </is>
      </c>
      <c r="C25" s="16" t="n">
        <v>1</v>
      </c>
      <c r="D25" s="14" t="inlineStr">
        <is>
          <t>식</t>
        </is>
      </c>
      <c r="E25" s="17" t="inlineStr"/>
      <c r="F25" s="17" t="inlineStr"/>
      <c r="G25" s="17" t="inlineStr"/>
      <c r="H25" s="17" t="inlineStr"/>
      <c r="I25" s="17" t="inlineStr"/>
      <c r="J25" s="17" t="inlineStr"/>
      <c r="K25" s="17" t="inlineStr"/>
      <c r="L25" s="17" t="inlineStr"/>
      <c r="M25" s="17" t="inlineStr"/>
      <c r="N25" s="17" t="inlineStr"/>
      <c r="O25" s="17" t="inlineStr"/>
      <c r="P25" s="17" t="inlineStr"/>
      <c r="Q25" s="17" t="inlineStr"/>
      <c r="R25" s="17" t="inlineStr"/>
      <c r="S25" s="17" t="inlineStr"/>
      <c r="T25" s="17" t="inlineStr"/>
      <c r="U25" s="17" t="inlineStr"/>
      <c r="V25" s="17" t="inlineStr"/>
      <c r="W25" s="17" t="inlineStr"/>
      <c r="X25" s="17" t="inlineStr"/>
      <c r="Y25" s="17" t="inlineStr"/>
      <c r="Z25" s="17" t="inlineStr"/>
      <c r="AA25" s="17" t="inlineStr"/>
      <c r="AB25" s="17" t="inlineStr"/>
      <c r="AC25" s="17" t="inlineStr"/>
      <c r="AD25" s="17" t="inlineStr"/>
      <c r="AE25" s="17" t="inlineStr"/>
      <c r="AF25" s="17" t="inlineStr"/>
      <c r="AG25" s="17" t="inlineStr"/>
      <c r="AH25" s="17" t="inlineStr"/>
      <c r="AI25" s="17" t="inlineStr"/>
      <c r="AJ25" s="17" t="inlineStr"/>
      <c r="AK25" s="17" t="inlineStr"/>
      <c r="AL25" s="17" t="inlineStr"/>
      <c r="AM25" s="17" t="inlineStr"/>
      <c r="AN25" s="17" t="inlineStr"/>
      <c r="AO25" s="18" t="n"/>
      <c r="AP25" s="19" t="n">
        <v>46357</v>
      </c>
      <c r="AQ25" s="19" t="n">
        <v>46387</v>
      </c>
      <c r="AR25" s="20" t="n">
        <v>5000000</v>
      </c>
    </row>
    <row r="26" ht="17" customHeight="1">
      <c r="A26" s="14" t="n"/>
      <c r="B26" s="21" t="n"/>
      <c r="C26" s="16" t="n"/>
      <c r="D26" s="14" t="n"/>
      <c r="E26" s="17" t="inlineStr"/>
      <c r="F26" s="17" t="inlineStr"/>
      <c r="G26" s="17" t="inlineStr"/>
      <c r="H26" s="17" t="inlineStr"/>
      <c r="I26" s="17" t="inlineStr"/>
      <c r="J26" s="17" t="inlineStr"/>
      <c r="K26" s="17" t="inlineStr"/>
      <c r="L26" s="17" t="inlineStr"/>
      <c r="M26" s="17" t="inlineStr"/>
      <c r="N26" s="17" t="inlineStr"/>
      <c r="O26" s="17" t="inlineStr"/>
      <c r="P26" s="17" t="inlineStr"/>
      <c r="Q26" s="17" t="inlineStr"/>
      <c r="R26" s="17" t="inlineStr"/>
      <c r="S26" s="17" t="inlineStr"/>
      <c r="T26" s="17" t="inlineStr"/>
      <c r="U26" s="17" t="inlineStr"/>
      <c r="V26" s="17" t="inlineStr"/>
      <c r="W26" s="17" t="inlineStr"/>
      <c r="X26" s="17" t="inlineStr"/>
      <c r="Y26" s="17" t="inlineStr"/>
      <c r="Z26" s="17" t="inlineStr"/>
      <c r="AA26" s="17" t="inlineStr"/>
      <c r="AB26" s="17" t="inlineStr"/>
      <c r="AC26" s="17" t="inlineStr"/>
      <c r="AD26" s="17" t="inlineStr"/>
      <c r="AE26" s="17" t="inlineStr"/>
      <c r="AF26" s="17" t="inlineStr"/>
      <c r="AG26" s="17" t="inlineStr"/>
      <c r="AH26" s="17" t="inlineStr"/>
      <c r="AI26" s="17" t="inlineStr"/>
      <c r="AJ26" s="17" t="inlineStr"/>
      <c r="AK26" s="17" t="inlineStr"/>
      <c r="AL26" s="17" t="inlineStr"/>
      <c r="AM26" s="17" t="inlineStr"/>
      <c r="AN26" s="17" t="inlineStr"/>
      <c r="AO26" s="18" t="n"/>
      <c r="AP26" s="19" t="n"/>
      <c r="AQ26" s="19" t="n"/>
      <c r="AR26" s="20" t="n"/>
    </row>
    <row r="27" ht="17" customHeight="1">
      <c r="A27" s="14" t="n"/>
      <c r="B27" s="21" t="n"/>
      <c r="C27" s="16" t="n"/>
      <c r="D27" s="14" t="n"/>
      <c r="E27" s="17" t="inlineStr"/>
      <c r="F27" s="17" t="inlineStr"/>
      <c r="G27" s="17" t="inlineStr"/>
      <c r="H27" s="17" t="inlineStr"/>
      <c r="I27" s="17" t="inlineStr"/>
      <c r="J27" s="17" t="inlineStr"/>
      <c r="K27" s="17" t="inlineStr"/>
      <c r="L27" s="17" t="inlineStr"/>
      <c r="M27" s="17" t="inlineStr"/>
      <c r="N27" s="17" t="inlineStr"/>
      <c r="O27" s="17" t="inlineStr"/>
      <c r="P27" s="17" t="inlineStr"/>
      <c r="Q27" s="17" t="inlineStr"/>
      <c r="R27" s="17" t="inlineStr"/>
      <c r="S27" s="17" t="inlineStr"/>
      <c r="T27" s="17" t="inlineStr"/>
      <c r="U27" s="17" t="inlineStr"/>
      <c r="V27" s="17" t="inlineStr"/>
      <c r="W27" s="17" t="inlineStr"/>
      <c r="X27" s="17" t="inlineStr"/>
      <c r="Y27" s="17" t="inlineStr"/>
      <c r="Z27" s="17" t="inlineStr"/>
      <c r="AA27" s="17" t="inlineStr"/>
      <c r="AB27" s="17" t="inlineStr"/>
      <c r="AC27" s="17" t="inlineStr"/>
      <c r="AD27" s="17" t="inlineStr"/>
      <c r="AE27" s="17" t="inlineStr"/>
      <c r="AF27" s="17" t="inlineStr"/>
      <c r="AG27" s="17" t="inlineStr"/>
      <c r="AH27" s="17" t="inlineStr"/>
      <c r="AI27" s="17" t="inlineStr"/>
      <c r="AJ27" s="17" t="inlineStr"/>
      <c r="AK27" s="17" t="inlineStr"/>
      <c r="AL27" s="17" t="inlineStr"/>
      <c r="AM27" s="17" t="inlineStr"/>
      <c r="AN27" s="17" t="inlineStr"/>
      <c r="AO27" s="18" t="n"/>
      <c r="AP27" s="19" t="n"/>
      <c r="AQ27" s="19" t="n"/>
      <c r="AR27" s="20" t="n"/>
    </row>
    <row r="28" ht="17" customHeight="1">
      <c r="A28" s="14" t="n"/>
      <c r="B28" s="21" t="n"/>
      <c r="C28" s="16" t="n"/>
      <c r="D28" s="14" t="n"/>
      <c r="E28" s="17" t="inlineStr"/>
      <c r="F28" s="17" t="inlineStr"/>
      <c r="G28" s="17" t="inlineStr"/>
      <c r="H28" s="17" t="inlineStr"/>
      <c r="I28" s="17" t="inlineStr"/>
      <c r="J28" s="17" t="inlineStr"/>
      <c r="K28" s="17" t="inlineStr"/>
      <c r="L28" s="17" t="inlineStr"/>
      <c r="M28" s="17" t="inlineStr"/>
      <c r="N28" s="17" t="inlineStr"/>
      <c r="O28" s="17" t="inlineStr"/>
      <c r="P28" s="17" t="inlineStr"/>
      <c r="Q28" s="17" t="inlineStr"/>
      <c r="R28" s="17" t="inlineStr"/>
      <c r="S28" s="17" t="inlineStr"/>
      <c r="T28" s="17" t="inlineStr"/>
      <c r="U28" s="17" t="inlineStr"/>
      <c r="V28" s="17" t="inlineStr"/>
      <c r="W28" s="17" t="inlineStr"/>
      <c r="X28" s="17" t="inlineStr"/>
      <c r="Y28" s="17" t="inlineStr"/>
      <c r="Z28" s="17" t="inlineStr"/>
      <c r="AA28" s="17" t="inlineStr"/>
      <c r="AB28" s="17" t="inlineStr"/>
      <c r="AC28" s="17" t="inlineStr"/>
      <c r="AD28" s="17" t="inlineStr"/>
      <c r="AE28" s="17" t="inlineStr"/>
      <c r="AF28" s="17" t="inlineStr"/>
      <c r="AG28" s="17" t="inlineStr"/>
      <c r="AH28" s="17" t="inlineStr"/>
      <c r="AI28" s="17" t="inlineStr"/>
      <c r="AJ28" s="17" t="inlineStr"/>
      <c r="AK28" s="17" t="inlineStr"/>
      <c r="AL28" s="17" t="inlineStr"/>
      <c r="AM28" s="17" t="inlineStr"/>
      <c r="AN28" s="17" t="inlineStr"/>
      <c r="AO28" s="18" t="n"/>
      <c r="AP28" s="19" t="n"/>
      <c r="AQ28" s="19" t="n"/>
      <c r="AR28" s="20" t="n"/>
    </row>
    <row r="29" ht="17" customHeight="1">
      <c r="A29" s="14" t="n"/>
      <c r="B29" s="21" t="n"/>
      <c r="C29" s="16" t="n"/>
      <c r="D29" s="14" t="n"/>
      <c r="E29" s="17" t="inlineStr"/>
      <c r="F29" s="17" t="inlineStr"/>
      <c r="G29" s="17" t="inlineStr"/>
      <c r="H29" s="17" t="inlineStr"/>
      <c r="I29" s="17" t="inlineStr"/>
      <c r="J29" s="17" t="inlineStr"/>
      <c r="K29" s="17" t="inlineStr"/>
      <c r="L29" s="17" t="inlineStr"/>
      <c r="M29" s="17" t="inlineStr"/>
      <c r="N29" s="17" t="inlineStr"/>
      <c r="O29" s="17" t="inlineStr"/>
      <c r="P29" s="17" t="inlineStr"/>
      <c r="Q29" s="17" t="inlineStr"/>
      <c r="R29" s="17" t="inlineStr"/>
      <c r="S29" s="17" t="inlineStr"/>
      <c r="T29" s="17" t="inlineStr"/>
      <c r="U29" s="17" t="inlineStr"/>
      <c r="V29" s="17" t="inlineStr"/>
      <c r="W29" s="17" t="inlineStr"/>
      <c r="X29" s="17" t="inlineStr"/>
      <c r="Y29" s="17" t="inlineStr"/>
      <c r="Z29" s="17" t="inlineStr"/>
      <c r="AA29" s="17" t="inlineStr"/>
      <c r="AB29" s="17" t="inlineStr"/>
      <c r="AC29" s="17" t="inlineStr"/>
      <c r="AD29" s="17" t="inlineStr"/>
      <c r="AE29" s="17" t="inlineStr"/>
      <c r="AF29" s="17" t="inlineStr"/>
      <c r="AG29" s="17" t="inlineStr"/>
      <c r="AH29" s="17" t="inlineStr"/>
      <c r="AI29" s="17" t="inlineStr"/>
      <c r="AJ29" s="17" t="inlineStr"/>
      <c r="AK29" s="17" t="inlineStr"/>
      <c r="AL29" s="17" t="inlineStr"/>
      <c r="AM29" s="17" t="inlineStr"/>
      <c r="AN29" s="17" t="inlineStr"/>
      <c r="AO29" s="18" t="n"/>
      <c r="AP29" s="19" t="n"/>
      <c r="AQ29" s="19" t="n"/>
      <c r="AR29" s="20" t="n"/>
    </row>
    <row r="30" ht="17" customHeight="1">
      <c r="A30" s="14" t="n"/>
      <c r="B30" s="21" t="n"/>
      <c r="C30" s="16" t="n"/>
      <c r="D30" s="14" t="n"/>
      <c r="E30" s="17" t="inlineStr"/>
      <c r="F30" s="17" t="inlineStr"/>
      <c r="G30" s="17" t="inlineStr"/>
      <c r="H30" s="17" t="inlineStr"/>
      <c r="I30" s="17" t="inlineStr"/>
      <c r="J30" s="17" t="inlineStr"/>
      <c r="K30" s="17" t="inlineStr"/>
      <c r="L30" s="17" t="inlineStr"/>
      <c r="M30" s="17" t="inlineStr"/>
      <c r="N30" s="17" t="inlineStr"/>
      <c r="O30" s="17" t="inlineStr"/>
      <c r="P30" s="17" t="inlineStr"/>
      <c r="Q30" s="17" t="inlineStr"/>
      <c r="R30" s="17" t="inlineStr"/>
      <c r="S30" s="17" t="inlineStr"/>
      <c r="T30" s="17" t="inlineStr"/>
      <c r="U30" s="17" t="inlineStr"/>
      <c r="V30" s="17" t="inlineStr"/>
      <c r="W30" s="17" t="inlineStr"/>
      <c r="X30" s="17" t="inlineStr"/>
      <c r="Y30" s="17" t="inlineStr"/>
      <c r="Z30" s="17" t="inlineStr"/>
      <c r="AA30" s="17" t="inlineStr"/>
      <c r="AB30" s="17" t="inlineStr"/>
      <c r="AC30" s="17" t="inlineStr"/>
      <c r="AD30" s="17" t="inlineStr"/>
      <c r="AE30" s="17" t="inlineStr"/>
      <c r="AF30" s="17" t="inlineStr"/>
      <c r="AG30" s="17" t="inlineStr"/>
      <c r="AH30" s="17" t="inlineStr"/>
      <c r="AI30" s="17" t="inlineStr"/>
      <c r="AJ30" s="17" t="inlineStr"/>
      <c r="AK30" s="17" t="inlineStr"/>
      <c r="AL30" s="17" t="inlineStr"/>
      <c r="AM30" s="17" t="inlineStr"/>
      <c r="AN30" s="17" t="inlineStr"/>
      <c r="AO30" s="18" t="n"/>
      <c r="AP30" s="19" t="n"/>
      <c r="AQ30" s="19" t="n"/>
      <c r="AR30" s="20" t="n"/>
    </row>
    <row r="31" ht="17" customHeight="1">
      <c r="A31" s="14" t="n"/>
      <c r="B31" s="21" t="n"/>
      <c r="C31" s="16" t="n"/>
      <c r="D31" s="14" t="n"/>
      <c r="E31" s="17" t="inlineStr"/>
      <c r="F31" s="17" t="inlineStr"/>
      <c r="G31" s="17" t="inlineStr"/>
      <c r="H31" s="17" t="inlineStr"/>
      <c r="I31" s="17" t="inlineStr"/>
      <c r="J31" s="17" t="inlineStr"/>
      <c r="K31" s="17" t="inlineStr"/>
      <c r="L31" s="17" t="inlineStr"/>
      <c r="M31" s="17" t="inlineStr"/>
      <c r="N31" s="17" t="inlineStr"/>
      <c r="O31" s="17" t="inlineStr"/>
      <c r="P31" s="17" t="inlineStr"/>
      <c r="Q31" s="17" t="inlineStr"/>
      <c r="R31" s="17" t="inlineStr"/>
      <c r="S31" s="17" t="inlineStr"/>
      <c r="T31" s="17" t="inlineStr"/>
      <c r="U31" s="17" t="inlineStr"/>
      <c r="V31" s="17" t="inlineStr"/>
      <c r="W31" s="17" t="inlineStr"/>
      <c r="X31" s="17" t="inlineStr"/>
      <c r="Y31" s="17" t="inlineStr"/>
      <c r="Z31" s="17" t="inlineStr"/>
      <c r="AA31" s="17" t="inlineStr"/>
      <c r="AB31" s="17" t="inlineStr"/>
      <c r="AC31" s="17" t="inlineStr"/>
      <c r="AD31" s="17" t="inlineStr"/>
      <c r="AE31" s="17" t="inlineStr"/>
      <c r="AF31" s="17" t="inlineStr"/>
      <c r="AG31" s="17" t="inlineStr"/>
      <c r="AH31" s="17" t="inlineStr"/>
      <c r="AI31" s="17" t="inlineStr"/>
      <c r="AJ31" s="17" t="inlineStr"/>
      <c r="AK31" s="17" t="inlineStr"/>
      <c r="AL31" s="17" t="inlineStr"/>
      <c r="AM31" s="17" t="inlineStr"/>
      <c r="AN31" s="17" t="inlineStr"/>
      <c r="AO31" s="18" t="n"/>
      <c r="AP31" s="19" t="n"/>
      <c r="AQ31" s="19" t="n"/>
      <c r="AR31" s="20" t="n"/>
    </row>
    <row r="32" ht="17" customHeight="1">
      <c r="A32" s="14" t="n"/>
      <c r="B32" s="21" t="n"/>
      <c r="C32" s="16" t="n"/>
      <c r="D32" s="14" t="n"/>
      <c r="E32" s="17" t="inlineStr"/>
      <c r="F32" s="17" t="inlineStr"/>
      <c r="G32" s="17" t="inlineStr"/>
      <c r="H32" s="17" t="inlineStr"/>
      <c r="I32" s="17" t="inlineStr"/>
      <c r="J32" s="17" t="inlineStr"/>
      <c r="K32" s="17" t="inlineStr"/>
      <c r="L32" s="17" t="inlineStr"/>
      <c r="M32" s="17" t="inlineStr"/>
      <c r="N32" s="17" t="inlineStr"/>
      <c r="O32" s="17" t="inlineStr"/>
      <c r="P32" s="17" t="inlineStr"/>
      <c r="Q32" s="17" t="inlineStr"/>
      <c r="R32" s="17" t="inlineStr"/>
      <c r="S32" s="17" t="inlineStr"/>
      <c r="T32" s="17" t="inlineStr"/>
      <c r="U32" s="17" t="inlineStr"/>
      <c r="V32" s="17" t="inlineStr"/>
      <c r="W32" s="17" t="inlineStr"/>
      <c r="X32" s="17" t="inlineStr"/>
      <c r="Y32" s="17" t="inlineStr"/>
      <c r="Z32" s="17" t="inlineStr"/>
      <c r="AA32" s="17" t="inlineStr"/>
      <c r="AB32" s="17" t="inlineStr"/>
      <c r="AC32" s="17" t="inlineStr"/>
      <c r="AD32" s="17" t="inlineStr"/>
      <c r="AE32" s="17" t="inlineStr"/>
      <c r="AF32" s="17" t="inlineStr"/>
      <c r="AG32" s="17" t="inlineStr"/>
      <c r="AH32" s="17" t="inlineStr"/>
      <c r="AI32" s="17" t="inlineStr"/>
      <c r="AJ32" s="17" t="inlineStr"/>
      <c r="AK32" s="17" t="inlineStr"/>
      <c r="AL32" s="17" t="inlineStr"/>
      <c r="AM32" s="17" t="inlineStr"/>
      <c r="AN32" s="17" t="inlineStr"/>
      <c r="AO32" s="18" t="n"/>
      <c r="AP32" s="19" t="n"/>
      <c r="AQ32" s="19" t="n"/>
      <c r="AR32" s="20" t="n"/>
    </row>
    <row r="33" ht="17" customHeight="1">
      <c r="A33" s="14" t="n"/>
      <c r="B33" s="21" t="n"/>
      <c r="C33" s="16" t="n"/>
      <c r="D33" s="14" t="n"/>
      <c r="E33" s="17" t="inlineStr"/>
      <c r="F33" s="17" t="inlineStr"/>
      <c r="G33" s="17" t="inlineStr"/>
      <c r="H33" s="17" t="inlineStr"/>
      <c r="I33" s="17" t="inlineStr"/>
      <c r="J33" s="17" t="inlineStr"/>
      <c r="K33" s="17" t="inlineStr"/>
      <c r="L33" s="17" t="inlineStr"/>
      <c r="M33" s="17" t="inlineStr"/>
      <c r="N33" s="17" t="inlineStr"/>
      <c r="O33" s="17" t="inlineStr"/>
      <c r="P33" s="17" t="inlineStr"/>
      <c r="Q33" s="17" t="inlineStr"/>
      <c r="R33" s="17" t="inlineStr"/>
      <c r="S33" s="17" t="inlineStr"/>
      <c r="T33" s="17" t="inlineStr"/>
      <c r="U33" s="17" t="inlineStr"/>
      <c r="V33" s="17" t="inlineStr"/>
      <c r="W33" s="17" t="inlineStr"/>
      <c r="X33" s="17" t="inlineStr"/>
      <c r="Y33" s="17" t="inlineStr"/>
      <c r="Z33" s="17" t="inlineStr"/>
      <c r="AA33" s="17" t="inlineStr"/>
      <c r="AB33" s="17" t="inlineStr"/>
      <c r="AC33" s="17" t="inlineStr"/>
      <c r="AD33" s="17" t="inlineStr"/>
      <c r="AE33" s="17" t="inlineStr"/>
      <c r="AF33" s="17" t="inlineStr"/>
      <c r="AG33" s="17" t="inlineStr"/>
      <c r="AH33" s="17" t="inlineStr"/>
      <c r="AI33" s="17" t="inlineStr"/>
      <c r="AJ33" s="17" t="inlineStr"/>
      <c r="AK33" s="17" t="inlineStr"/>
      <c r="AL33" s="17" t="inlineStr"/>
      <c r="AM33" s="17" t="inlineStr"/>
      <c r="AN33" s="17" t="inlineStr"/>
      <c r="AO33" s="18" t="n"/>
      <c r="AP33" s="19" t="n"/>
      <c r="AQ33" s="19" t="n"/>
      <c r="AR33" s="20" t="n"/>
    </row>
    <row r="34" ht="17" customHeight="1">
      <c r="A34" s="14" t="n"/>
      <c r="B34" s="21" t="n"/>
      <c r="C34" s="16" t="n"/>
      <c r="D34" s="14" t="n"/>
      <c r="E34" s="17" t="inlineStr"/>
      <c r="F34" s="17" t="inlineStr"/>
      <c r="G34" s="17" t="inlineStr"/>
      <c r="H34" s="17" t="inlineStr"/>
      <c r="I34" s="17" t="inlineStr"/>
      <c r="J34" s="17" t="inlineStr"/>
      <c r="K34" s="17" t="inlineStr"/>
      <c r="L34" s="17" t="inlineStr"/>
      <c r="M34" s="17" t="inlineStr"/>
      <c r="N34" s="17" t="inlineStr"/>
      <c r="O34" s="17" t="inlineStr"/>
      <c r="P34" s="17" t="inlineStr"/>
      <c r="Q34" s="17" t="inlineStr"/>
      <c r="R34" s="17" t="inlineStr"/>
      <c r="S34" s="17" t="inlineStr"/>
      <c r="T34" s="17" t="inlineStr"/>
      <c r="U34" s="17" t="inlineStr"/>
      <c r="V34" s="17" t="inlineStr"/>
      <c r="W34" s="17" t="inlineStr"/>
      <c r="X34" s="17" t="inlineStr"/>
      <c r="Y34" s="17" t="inlineStr"/>
      <c r="Z34" s="17" t="inlineStr"/>
      <c r="AA34" s="17" t="inlineStr"/>
      <c r="AB34" s="17" t="inlineStr"/>
      <c r="AC34" s="17" t="inlineStr"/>
      <c r="AD34" s="17" t="inlineStr"/>
      <c r="AE34" s="17" t="inlineStr"/>
      <c r="AF34" s="17" t="inlineStr"/>
      <c r="AG34" s="17" t="inlineStr"/>
      <c r="AH34" s="17" t="inlineStr"/>
      <c r="AI34" s="17" t="inlineStr"/>
      <c r="AJ34" s="17" t="inlineStr"/>
      <c r="AK34" s="17" t="inlineStr"/>
      <c r="AL34" s="17" t="inlineStr"/>
      <c r="AM34" s="17" t="inlineStr"/>
      <c r="AN34" s="17" t="inlineStr"/>
      <c r="AO34" s="18" t="n"/>
      <c r="AP34" s="19" t="n"/>
      <c r="AQ34" s="19" t="n"/>
      <c r="AR34" s="20" t="n"/>
    </row>
    <row r="35" ht="17" customHeight="1">
      <c r="A35" s="14" t="n"/>
      <c r="B35" s="21" t="n"/>
      <c r="C35" s="16" t="n"/>
      <c r="D35" s="14" t="n"/>
      <c r="E35" s="17" t="inlineStr"/>
      <c r="F35" s="17" t="inlineStr"/>
      <c r="G35" s="17" t="inlineStr"/>
      <c r="H35" s="17" t="inlineStr"/>
      <c r="I35" s="17" t="inlineStr"/>
      <c r="J35" s="17" t="inlineStr"/>
      <c r="K35" s="17" t="inlineStr"/>
      <c r="L35" s="17" t="inlineStr"/>
      <c r="M35" s="17" t="inlineStr"/>
      <c r="N35" s="17" t="inlineStr"/>
      <c r="O35" s="17" t="inlineStr"/>
      <c r="P35" s="17" t="inlineStr"/>
      <c r="Q35" s="17" t="inlineStr"/>
      <c r="R35" s="17" t="inlineStr"/>
      <c r="S35" s="17" t="inlineStr"/>
      <c r="T35" s="17" t="inlineStr"/>
      <c r="U35" s="17" t="inlineStr"/>
      <c r="V35" s="17" t="inlineStr"/>
      <c r="W35" s="17" t="inlineStr"/>
      <c r="X35" s="17" t="inlineStr"/>
      <c r="Y35" s="17" t="inlineStr"/>
      <c r="Z35" s="17" t="inlineStr"/>
      <c r="AA35" s="17" t="inlineStr"/>
      <c r="AB35" s="17" t="inlineStr"/>
      <c r="AC35" s="17" t="inlineStr"/>
      <c r="AD35" s="17" t="inlineStr"/>
      <c r="AE35" s="17" t="inlineStr"/>
      <c r="AF35" s="17" t="inlineStr"/>
      <c r="AG35" s="17" t="inlineStr"/>
      <c r="AH35" s="17" t="inlineStr"/>
      <c r="AI35" s="17" t="inlineStr"/>
      <c r="AJ35" s="17" t="inlineStr"/>
      <c r="AK35" s="17" t="inlineStr"/>
      <c r="AL35" s="17" t="inlineStr"/>
      <c r="AM35" s="17" t="inlineStr"/>
      <c r="AN35" s="17" t="inlineStr"/>
      <c r="AO35" s="18" t="n"/>
      <c r="AP35" s="19" t="n"/>
      <c r="AQ35" s="19" t="n"/>
      <c r="AR35" s="20" t="n"/>
    </row>
    <row r="36" ht="17" customHeight="1">
      <c r="A36" s="14" t="n"/>
      <c r="B36" s="21" t="n"/>
      <c r="C36" s="16" t="n"/>
      <c r="D36" s="14" t="n"/>
      <c r="E36" s="17" t="inlineStr"/>
      <c r="F36" s="17" t="inlineStr"/>
      <c r="G36" s="17" t="inlineStr"/>
      <c r="H36" s="17" t="inlineStr"/>
      <c r="I36" s="17" t="inlineStr"/>
      <c r="J36" s="17" t="inlineStr"/>
      <c r="K36" s="17" t="inlineStr"/>
      <c r="L36" s="17" t="inlineStr"/>
      <c r="M36" s="17" t="inlineStr"/>
      <c r="N36" s="17" t="inlineStr"/>
      <c r="O36" s="17" t="inlineStr"/>
      <c r="P36" s="17" t="inlineStr"/>
      <c r="Q36" s="17" t="inlineStr"/>
      <c r="R36" s="17" t="inlineStr"/>
      <c r="S36" s="17" t="inlineStr"/>
      <c r="T36" s="17" t="inlineStr"/>
      <c r="U36" s="17" t="inlineStr"/>
      <c r="V36" s="17" t="inlineStr"/>
      <c r="W36" s="17" t="inlineStr"/>
      <c r="X36" s="17" t="inlineStr"/>
      <c r="Y36" s="17" t="inlineStr"/>
      <c r="Z36" s="17" t="inlineStr"/>
      <c r="AA36" s="17" t="inlineStr"/>
      <c r="AB36" s="17" t="inlineStr"/>
      <c r="AC36" s="17" t="inlineStr"/>
      <c r="AD36" s="17" t="inlineStr"/>
      <c r="AE36" s="17" t="inlineStr"/>
      <c r="AF36" s="17" t="inlineStr"/>
      <c r="AG36" s="17" t="inlineStr"/>
      <c r="AH36" s="17" t="inlineStr"/>
      <c r="AI36" s="17" t="inlineStr"/>
      <c r="AJ36" s="17" t="inlineStr"/>
      <c r="AK36" s="17" t="inlineStr"/>
      <c r="AL36" s="17" t="inlineStr"/>
      <c r="AM36" s="17" t="inlineStr"/>
      <c r="AN36" s="17" t="inlineStr"/>
      <c r="AO36" s="18" t="n"/>
      <c r="AP36" s="19" t="n"/>
      <c r="AQ36" s="19" t="n"/>
      <c r="AR36" s="20" t="n"/>
    </row>
    <row r="37" ht="17" customHeight="1">
      <c r="A37" s="14" t="n"/>
      <c r="B37" s="21" t="n"/>
      <c r="C37" s="16" t="n"/>
      <c r="D37" s="14" t="n"/>
      <c r="E37" s="17" t="inlineStr"/>
      <c r="F37" s="17" t="inlineStr"/>
      <c r="G37" s="17" t="inlineStr"/>
      <c r="H37" s="17" t="inlineStr"/>
      <c r="I37" s="17" t="inlineStr"/>
      <c r="J37" s="17" t="inlineStr"/>
      <c r="K37" s="17" t="inlineStr"/>
      <c r="L37" s="17" t="inlineStr"/>
      <c r="M37" s="17" t="inlineStr"/>
      <c r="N37" s="17" t="inlineStr"/>
      <c r="O37" s="17" t="inlineStr"/>
      <c r="P37" s="17" t="inlineStr"/>
      <c r="Q37" s="17" t="inlineStr"/>
      <c r="R37" s="17" t="inlineStr"/>
      <c r="S37" s="17" t="inlineStr"/>
      <c r="T37" s="17" t="inlineStr"/>
      <c r="U37" s="17" t="inlineStr"/>
      <c r="V37" s="17" t="inlineStr"/>
      <c r="W37" s="17" t="inlineStr"/>
      <c r="X37" s="17" t="inlineStr"/>
      <c r="Y37" s="17" t="inlineStr"/>
      <c r="Z37" s="17" t="inlineStr"/>
      <c r="AA37" s="17" t="inlineStr"/>
      <c r="AB37" s="17" t="inlineStr"/>
      <c r="AC37" s="17" t="inlineStr"/>
      <c r="AD37" s="17" t="inlineStr"/>
      <c r="AE37" s="17" t="inlineStr"/>
      <c r="AF37" s="17" t="inlineStr"/>
      <c r="AG37" s="17" t="inlineStr"/>
      <c r="AH37" s="17" t="inlineStr"/>
      <c r="AI37" s="17" t="inlineStr"/>
      <c r="AJ37" s="17" t="inlineStr"/>
      <c r="AK37" s="17" t="inlineStr"/>
      <c r="AL37" s="17" t="inlineStr"/>
      <c r="AM37" s="17" t="inlineStr"/>
      <c r="AN37" s="17" t="inlineStr"/>
      <c r="AO37" s="18" t="n"/>
      <c r="AP37" s="19" t="n"/>
      <c r="AQ37" s="19" t="n"/>
      <c r="AR37" s="20" t="n"/>
    </row>
    <row r="38" ht="17" customHeight="1">
      <c r="A38" s="14" t="n"/>
      <c r="B38" s="21" t="n"/>
      <c r="C38" s="16" t="n"/>
      <c r="D38" s="14" t="n"/>
      <c r="E38" s="17" t="inlineStr"/>
      <c r="F38" s="17" t="inlineStr"/>
      <c r="G38" s="17" t="inlineStr"/>
      <c r="H38" s="17" t="inlineStr"/>
      <c r="I38" s="17" t="inlineStr"/>
      <c r="J38" s="17" t="inlineStr"/>
      <c r="K38" s="17" t="inlineStr"/>
      <c r="L38" s="17" t="inlineStr"/>
      <c r="M38" s="17" t="inlineStr"/>
      <c r="N38" s="17" t="inlineStr"/>
      <c r="O38" s="17" t="inlineStr"/>
      <c r="P38" s="17" t="inlineStr"/>
      <c r="Q38" s="17" t="inlineStr"/>
      <c r="R38" s="17" t="inlineStr"/>
      <c r="S38" s="17" t="inlineStr"/>
      <c r="T38" s="17" t="inlineStr"/>
      <c r="U38" s="17" t="inlineStr"/>
      <c r="V38" s="17" t="inlineStr"/>
      <c r="W38" s="17" t="inlineStr"/>
      <c r="X38" s="17" t="inlineStr"/>
      <c r="Y38" s="17" t="inlineStr"/>
      <c r="Z38" s="17" t="inlineStr"/>
      <c r="AA38" s="17" t="inlineStr"/>
      <c r="AB38" s="17" t="inlineStr"/>
      <c r="AC38" s="17" t="inlineStr"/>
      <c r="AD38" s="17" t="inlineStr"/>
      <c r="AE38" s="17" t="inlineStr"/>
      <c r="AF38" s="17" t="inlineStr"/>
      <c r="AG38" s="17" t="inlineStr"/>
      <c r="AH38" s="17" t="inlineStr"/>
      <c r="AI38" s="17" t="inlineStr"/>
      <c r="AJ38" s="17" t="inlineStr"/>
      <c r="AK38" s="17" t="inlineStr"/>
      <c r="AL38" s="17" t="inlineStr"/>
      <c r="AM38" s="17" t="inlineStr"/>
      <c r="AN38" s="17" t="inlineStr"/>
      <c r="AO38" s="18" t="n"/>
      <c r="AP38" s="19" t="n"/>
      <c r="AQ38" s="19" t="n"/>
      <c r="AR38" s="20" t="n"/>
    </row>
    <row r="39" ht="17" customHeight="1">
      <c r="A39" s="14" t="n"/>
      <c r="B39" s="21" t="n"/>
      <c r="C39" s="16" t="n"/>
      <c r="D39" s="14" t="n"/>
      <c r="E39" s="17" t="inlineStr"/>
      <c r="F39" s="17" t="inlineStr"/>
      <c r="G39" s="17" t="inlineStr"/>
      <c r="H39" s="17" t="inlineStr"/>
      <c r="I39" s="17" t="inlineStr"/>
      <c r="J39" s="17" t="inlineStr"/>
      <c r="K39" s="17" t="inlineStr"/>
      <c r="L39" s="17" t="inlineStr"/>
      <c r="M39" s="17" t="inlineStr"/>
      <c r="N39" s="17" t="inlineStr"/>
      <c r="O39" s="17" t="inlineStr"/>
      <c r="P39" s="17" t="inlineStr"/>
      <c r="Q39" s="17" t="inlineStr"/>
      <c r="R39" s="17" t="inlineStr"/>
      <c r="S39" s="17" t="inlineStr"/>
      <c r="T39" s="17" t="inlineStr"/>
      <c r="U39" s="17" t="inlineStr"/>
      <c r="V39" s="17" t="inlineStr"/>
      <c r="W39" s="17" t="inlineStr"/>
      <c r="X39" s="17" t="inlineStr"/>
      <c r="Y39" s="17" t="inlineStr"/>
      <c r="Z39" s="17" t="inlineStr"/>
      <c r="AA39" s="17" t="inlineStr"/>
      <c r="AB39" s="17" t="inlineStr"/>
      <c r="AC39" s="17" t="inlineStr"/>
      <c r="AD39" s="17" t="inlineStr"/>
      <c r="AE39" s="17" t="inlineStr"/>
      <c r="AF39" s="17" t="inlineStr"/>
      <c r="AG39" s="17" t="inlineStr"/>
      <c r="AH39" s="17" t="inlineStr"/>
      <c r="AI39" s="17" t="inlineStr"/>
      <c r="AJ39" s="17" t="inlineStr"/>
      <c r="AK39" s="17" t="inlineStr"/>
      <c r="AL39" s="17" t="inlineStr"/>
      <c r="AM39" s="17" t="inlineStr"/>
      <c r="AN39" s="17" t="inlineStr"/>
      <c r="AO39" s="18" t="n"/>
      <c r="AP39" s="19" t="n"/>
      <c r="AQ39" s="19" t="n"/>
      <c r="AR39" s="20" t="n"/>
    </row>
    <row r="40" ht="17" customHeight="1">
      <c r="A40" s="14" t="n"/>
      <c r="B40" s="21" t="n"/>
      <c r="C40" s="16" t="n"/>
      <c r="D40" s="14" t="n"/>
      <c r="E40" s="17" t="inlineStr"/>
      <c r="F40" s="17" t="inlineStr"/>
      <c r="G40" s="17" t="inlineStr"/>
      <c r="H40" s="17" t="inlineStr"/>
      <c r="I40" s="17" t="inlineStr"/>
      <c r="J40" s="17" t="inlineStr"/>
      <c r="K40" s="17" t="inlineStr"/>
      <c r="L40" s="17" t="inlineStr"/>
      <c r="M40" s="17" t="inlineStr"/>
      <c r="N40" s="17" t="inlineStr"/>
      <c r="O40" s="17" t="inlineStr"/>
      <c r="P40" s="17" t="inlineStr"/>
      <c r="Q40" s="17" t="inlineStr"/>
      <c r="R40" s="17" t="inlineStr"/>
      <c r="S40" s="17" t="inlineStr"/>
      <c r="T40" s="17" t="inlineStr"/>
      <c r="U40" s="17" t="inlineStr"/>
      <c r="V40" s="17" t="inlineStr"/>
      <c r="W40" s="17" t="inlineStr"/>
      <c r="X40" s="17" t="inlineStr"/>
      <c r="Y40" s="17" t="inlineStr"/>
      <c r="Z40" s="17" t="inlineStr"/>
      <c r="AA40" s="17" t="inlineStr"/>
      <c r="AB40" s="17" t="inlineStr"/>
      <c r="AC40" s="17" t="inlineStr"/>
      <c r="AD40" s="17" t="inlineStr"/>
      <c r="AE40" s="17" t="inlineStr"/>
      <c r="AF40" s="17" t="inlineStr"/>
      <c r="AG40" s="17" t="inlineStr"/>
      <c r="AH40" s="17" t="inlineStr"/>
      <c r="AI40" s="17" t="inlineStr"/>
      <c r="AJ40" s="17" t="inlineStr"/>
      <c r="AK40" s="17" t="inlineStr"/>
      <c r="AL40" s="17" t="inlineStr"/>
      <c r="AM40" s="17" t="inlineStr"/>
      <c r="AN40" s="17" t="inlineStr"/>
      <c r="AO40" s="18" t="n"/>
      <c r="AP40" s="19" t="n"/>
      <c r="AQ40" s="19" t="n"/>
      <c r="AR40" s="20" t="n"/>
    </row>
    <row r="41" ht="20" customHeight="1">
      <c r="A41" s="22" t="inlineStr">
        <is>
          <t>누계 계획 공정률</t>
        </is>
      </c>
      <c r="B41" s="5" t="n"/>
      <c r="C41" s="5" t="n"/>
      <c r="D41" s="5" t="n"/>
      <c r="E41" s="23">
        <f>IF(OR(N(T3)=0,SUM($AR$9:$AR$40)=0),"",IF(AND(N(AF3)&gt;0,E7&gt;AF3),"",SUMPRODUCT($AR$9:$AR$40*($AP$9:$AP$40&gt;0)*($AQ$9:$AQ$40&gt;=$AP$9:$AP$40)*(((($AQ$9:$AQ$40&lt;=F8)*$AQ$9:$AQ$40+($AQ$9:$AQ$40&gt;F8)*F8)-$AP$9:$AP$40+1)&gt;0)*((($AQ$9:$AQ$40&lt;=F8)*$AQ$9:$AQ$40+($AQ$9:$AQ$40&gt;F8)*F8)-$AP$9:$AP$40+1)/(($AQ$9:$AQ$40-$AP$9:$AP$40+1)*(($AQ$9:$AQ$40-$AP$9:$AP$40+1)&gt;0)+(($AQ$9:$AQ$40-$AP$9:$AP$40+1)&lt;=0)))/SUM($AR$9:$AR$40)))</f>
        <v/>
      </c>
      <c r="F41" s="5" t="n"/>
      <c r="G41" s="23">
        <f>IF(OR(N(T3)=0,SUM($AR$9:$AR$40)=0),"",IF(AND(N(AF3)&gt;0,G7&gt;AF3),"",SUMPRODUCT($AR$9:$AR$40*($AP$9:$AP$40&gt;0)*($AQ$9:$AQ$40&gt;=$AP$9:$AP$40)*(((($AQ$9:$AQ$40&lt;=H8)*$AQ$9:$AQ$40+($AQ$9:$AQ$40&gt;H8)*H8)-$AP$9:$AP$40+1)&gt;0)*((($AQ$9:$AQ$40&lt;=H8)*$AQ$9:$AQ$40+($AQ$9:$AQ$40&gt;H8)*H8)-$AP$9:$AP$40+1)/(($AQ$9:$AQ$40-$AP$9:$AP$40+1)*(($AQ$9:$AQ$40-$AP$9:$AP$40+1)&gt;0)+(($AQ$9:$AQ$40-$AP$9:$AP$40+1)&lt;=0)))/SUM($AR$9:$AR$40)))</f>
        <v/>
      </c>
      <c r="H41" s="5" t="n"/>
      <c r="I41" s="23">
        <f>IF(OR(N(T3)=0,SUM($AR$9:$AR$40)=0),"",IF(AND(N(AF3)&gt;0,I7&gt;AF3),"",SUMPRODUCT($AR$9:$AR$40*($AP$9:$AP$40&gt;0)*($AQ$9:$AQ$40&gt;=$AP$9:$AP$40)*(((($AQ$9:$AQ$40&lt;=J8)*$AQ$9:$AQ$40+($AQ$9:$AQ$40&gt;J8)*J8)-$AP$9:$AP$40+1)&gt;0)*((($AQ$9:$AQ$40&lt;=J8)*$AQ$9:$AQ$40+($AQ$9:$AQ$40&gt;J8)*J8)-$AP$9:$AP$40+1)/(($AQ$9:$AQ$40-$AP$9:$AP$40+1)*(($AQ$9:$AQ$40-$AP$9:$AP$40+1)&gt;0)+(($AQ$9:$AQ$40-$AP$9:$AP$40+1)&lt;=0)))/SUM($AR$9:$AR$40)))</f>
        <v/>
      </c>
      <c r="J41" s="5" t="n"/>
      <c r="K41" s="23">
        <f>IF(OR(N(T3)=0,SUM($AR$9:$AR$40)=0),"",IF(AND(N(AF3)&gt;0,K7&gt;AF3),"",SUMPRODUCT($AR$9:$AR$40*($AP$9:$AP$40&gt;0)*($AQ$9:$AQ$40&gt;=$AP$9:$AP$40)*(((($AQ$9:$AQ$40&lt;=L8)*$AQ$9:$AQ$40+($AQ$9:$AQ$40&gt;L8)*L8)-$AP$9:$AP$40+1)&gt;0)*((($AQ$9:$AQ$40&lt;=L8)*$AQ$9:$AQ$40+($AQ$9:$AQ$40&gt;L8)*L8)-$AP$9:$AP$40+1)/(($AQ$9:$AQ$40-$AP$9:$AP$40+1)*(($AQ$9:$AQ$40-$AP$9:$AP$40+1)&gt;0)+(($AQ$9:$AQ$40-$AP$9:$AP$40+1)&lt;=0)))/SUM($AR$9:$AR$40)))</f>
        <v/>
      </c>
      <c r="L41" s="5" t="n"/>
      <c r="M41" s="23">
        <f>IF(OR(N(T3)=0,SUM($AR$9:$AR$40)=0),"",IF(AND(N(AF3)&gt;0,M7&gt;AF3),"",SUMPRODUCT($AR$9:$AR$40*($AP$9:$AP$40&gt;0)*($AQ$9:$AQ$40&gt;=$AP$9:$AP$40)*(((($AQ$9:$AQ$40&lt;=N8)*$AQ$9:$AQ$40+($AQ$9:$AQ$40&gt;N8)*N8)-$AP$9:$AP$40+1)&gt;0)*((($AQ$9:$AQ$40&lt;=N8)*$AQ$9:$AQ$40+($AQ$9:$AQ$40&gt;N8)*N8)-$AP$9:$AP$40+1)/(($AQ$9:$AQ$40-$AP$9:$AP$40+1)*(($AQ$9:$AQ$40-$AP$9:$AP$40+1)&gt;0)+(($AQ$9:$AQ$40-$AP$9:$AP$40+1)&lt;=0)))/SUM($AR$9:$AR$40)))</f>
        <v/>
      </c>
      <c r="N41" s="5" t="n"/>
      <c r="O41" s="23">
        <f>IF(OR(N(T3)=0,SUM($AR$9:$AR$40)=0),"",IF(AND(N(AF3)&gt;0,O7&gt;AF3),"",SUMPRODUCT($AR$9:$AR$40*($AP$9:$AP$40&gt;0)*($AQ$9:$AQ$40&gt;=$AP$9:$AP$40)*(((($AQ$9:$AQ$40&lt;=P8)*$AQ$9:$AQ$40+($AQ$9:$AQ$40&gt;P8)*P8)-$AP$9:$AP$40+1)&gt;0)*((($AQ$9:$AQ$40&lt;=P8)*$AQ$9:$AQ$40+($AQ$9:$AQ$40&gt;P8)*P8)-$AP$9:$AP$40+1)/(($AQ$9:$AQ$40-$AP$9:$AP$40+1)*(($AQ$9:$AQ$40-$AP$9:$AP$40+1)&gt;0)+(($AQ$9:$AQ$40-$AP$9:$AP$40+1)&lt;=0)))/SUM($AR$9:$AR$40)))</f>
        <v/>
      </c>
      <c r="P41" s="5" t="n"/>
      <c r="Q41" s="23">
        <f>IF(OR(N(T3)=0,SUM($AR$9:$AR$40)=0),"",IF(AND(N(AF3)&gt;0,Q7&gt;AF3),"",SUMPRODUCT($AR$9:$AR$40*($AP$9:$AP$40&gt;0)*($AQ$9:$AQ$40&gt;=$AP$9:$AP$40)*(((($AQ$9:$AQ$40&lt;=R8)*$AQ$9:$AQ$40+($AQ$9:$AQ$40&gt;R8)*R8)-$AP$9:$AP$40+1)&gt;0)*((($AQ$9:$AQ$40&lt;=R8)*$AQ$9:$AQ$40+($AQ$9:$AQ$40&gt;R8)*R8)-$AP$9:$AP$40+1)/(($AQ$9:$AQ$40-$AP$9:$AP$40+1)*(($AQ$9:$AQ$40-$AP$9:$AP$40+1)&gt;0)+(($AQ$9:$AQ$40-$AP$9:$AP$40+1)&lt;=0)))/SUM($AR$9:$AR$40)))</f>
        <v/>
      </c>
      <c r="R41" s="5" t="n"/>
      <c r="S41" s="23">
        <f>IF(OR(N(T3)=0,SUM($AR$9:$AR$40)=0),"",IF(AND(N(AF3)&gt;0,S7&gt;AF3),"",SUMPRODUCT($AR$9:$AR$40*($AP$9:$AP$40&gt;0)*($AQ$9:$AQ$40&gt;=$AP$9:$AP$40)*(((($AQ$9:$AQ$40&lt;=T8)*$AQ$9:$AQ$40+($AQ$9:$AQ$40&gt;T8)*T8)-$AP$9:$AP$40+1)&gt;0)*((($AQ$9:$AQ$40&lt;=T8)*$AQ$9:$AQ$40+($AQ$9:$AQ$40&gt;T8)*T8)-$AP$9:$AP$40+1)/(($AQ$9:$AQ$40-$AP$9:$AP$40+1)*(($AQ$9:$AQ$40-$AP$9:$AP$40+1)&gt;0)+(($AQ$9:$AQ$40-$AP$9:$AP$40+1)&lt;=0)))/SUM($AR$9:$AR$40)))</f>
        <v/>
      </c>
      <c r="T41" s="5" t="n"/>
      <c r="U41" s="23">
        <f>IF(OR(N(T3)=0,SUM($AR$9:$AR$40)=0),"",IF(AND(N(AF3)&gt;0,U7&gt;AF3),"",SUMPRODUCT($AR$9:$AR$40*($AP$9:$AP$40&gt;0)*($AQ$9:$AQ$40&gt;=$AP$9:$AP$40)*(((($AQ$9:$AQ$40&lt;=V8)*$AQ$9:$AQ$40+($AQ$9:$AQ$40&gt;V8)*V8)-$AP$9:$AP$40+1)&gt;0)*((($AQ$9:$AQ$40&lt;=V8)*$AQ$9:$AQ$40+($AQ$9:$AQ$40&gt;V8)*V8)-$AP$9:$AP$40+1)/(($AQ$9:$AQ$40-$AP$9:$AP$40+1)*(($AQ$9:$AQ$40-$AP$9:$AP$40+1)&gt;0)+(($AQ$9:$AQ$40-$AP$9:$AP$40+1)&lt;=0)))/SUM($AR$9:$AR$40)))</f>
        <v/>
      </c>
      <c r="V41" s="5" t="n"/>
      <c r="W41" s="23">
        <f>IF(OR(N(T3)=0,SUM($AR$9:$AR$40)=0),"",IF(AND(N(AF3)&gt;0,W7&gt;AF3),"",SUMPRODUCT($AR$9:$AR$40*($AP$9:$AP$40&gt;0)*($AQ$9:$AQ$40&gt;=$AP$9:$AP$40)*(((($AQ$9:$AQ$40&lt;=X8)*$AQ$9:$AQ$40+($AQ$9:$AQ$40&gt;X8)*X8)-$AP$9:$AP$40+1)&gt;0)*((($AQ$9:$AQ$40&lt;=X8)*$AQ$9:$AQ$40+($AQ$9:$AQ$40&gt;X8)*X8)-$AP$9:$AP$40+1)/(($AQ$9:$AQ$40-$AP$9:$AP$40+1)*(($AQ$9:$AQ$40-$AP$9:$AP$40+1)&gt;0)+(($AQ$9:$AQ$40-$AP$9:$AP$40+1)&lt;=0)))/SUM($AR$9:$AR$40)))</f>
        <v/>
      </c>
      <c r="X41" s="5" t="n"/>
      <c r="Y41" s="23">
        <f>IF(OR(N(T3)=0,SUM($AR$9:$AR$40)=0),"",IF(AND(N(AF3)&gt;0,Y7&gt;AF3),"",SUMPRODUCT($AR$9:$AR$40*($AP$9:$AP$40&gt;0)*($AQ$9:$AQ$40&gt;=$AP$9:$AP$40)*(((($AQ$9:$AQ$40&lt;=Z8)*$AQ$9:$AQ$40+($AQ$9:$AQ$40&gt;Z8)*Z8)-$AP$9:$AP$40+1)&gt;0)*((($AQ$9:$AQ$40&lt;=Z8)*$AQ$9:$AQ$40+($AQ$9:$AQ$40&gt;Z8)*Z8)-$AP$9:$AP$40+1)/(($AQ$9:$AQ$40-$AP$9:$AP$40+1)*(($AQ$9:$AQ$40-$AP$9:$AP$40+1)&gt;0)+(($AQ$9:$AQ$40-$AP$9:$AP$40+1)&lt;=0)))/SUM($AR$9:$AR$40)))</f>
        <v/>
      </c>
      <c r="Z41" s="5" t="n"/>
      <c r="AA41" s="23">
        <f>IF(OR(N(T3)=0,SUM($AR$9:$AR$40)=0),"",IF(AND(N(AF3)&gt;0,AA7&gt;AF3),"",SUMPRODUCT($AR$9:$AR$40*($AP$9:$AP$40&gt;0)*($AQ$9:$AQ$40&gt;=$AP$9:$AP$40)*(((($AQ$9:$AQ$40&lt;=AB8)*$AQ$9:$AQ$40+($AQ$9:$AQ$40&gt;AB8)*AB8)-$AP$9:$AP$40+1)&gt;0)*((($AQ$9:$AQ$40&lt;=AB8)*$AQ$9:$AQ$40+($AQ$9:$AQ$40&gt;AB8)*AB8)-$AP$9:$AP$40+1)/(($AQ$9:$AQ$40-$AP$9:$AP$40+1)*(($AQ$9:$AQ$40-$AP$9:$AP$40+1)&gt;0)+(($AQ$9:$AQ$40-$AP$9:$AP$40+1)&lt;=0)))/SUM($AR$9:$AR$40)))</f>
        <v/>
      </c>
      <c r="AB41" s="5" t="n"/>
      <c r="AC41" s="23">
        <f>IF(OR(N(T3)=0,SUM($AR$9:$AR$40)=0),"",IF(AND(N(AF3)&gt;0,AC7&gt;AF3),"",SUMPRODUCT($AR$9:$AR$40*($AP$9:$AP$40&gt;0)*($AQ$9:$AQ$40&gt;=$AP$9:$AP$40)*(((($AQ$9:$AQ$40&lt;=AD8)*$AQ$9:$AQ$40+($AQ$9:$AQ$40&gt;AD8)*AD8)-$AP$9:$AP$40+1)&gt;0)*((($AQ$9:$AQ$40&lt;=AD8)*$AQ$9:$AQ$40+($AQ$9:$AQ$40&gt;AD8)*AD8)-$AP$9:$AP$40+1)/(($AQ$9:$AQ$40-$AP$9:$AP$40+1)*(($AQ$9:$AQ$40-$AP$9:$AP$40+1)&gt;0)+(($AQ$9:$AQ$40-$AP$9:$AP$40+1)&lt;=0)))/SUM($AR$9:$AR$40)))</f>
        <v/>
      </c>
      <c r="AD41" s="5" t="n"/>
      <c r="AE41" s="23">
        <f>IF(OR(N(T3)=0,SUM($AR$9:$AR$40)=0),"",IF(AND(N(AF3)&gt;0,AE7&gt;AF3),"",SUMPRODUCT($AR$9:$AR$40*($AP$9:$AP$40&gt;0)*($AQ$9:$AQ$40&gt;=$AP$9:$AP$40)*(((($AQ$9:$AQ$40&lt;=AF8)*$AQ$9:$AQ$40+($AQ$9:$AQ$40&gt;AF8)*AF8)-$AP$9:$AP$40+1)&gt;0)*((($AQ$9:$AQ$40&lt;=AF8)*$AQ$9:$AQ$40+($AQ$9:$AQ$40&gt;AF8)*AF8)-$AP$9:$AP$40+1)/(($AQ$9:$AQ$40-$AP$9:$AP$40+1)*(($AQ$9:$AQ$40-$AP$9:$AP$40+1)&gt;0)+(($AQ$9:$AQ$40-$AP$9:$AP$40+1)&lt;=0)))/SUM($AR$9:$AR$40)))</f>
        <v/>
      </c>
      <c r="AF41" s="5" t="n"/>
      <c r="AG41" s="23">
        <f>IF(OR(N(T3)=0,SUM($AR$9:$AR$40)=0),"",IF(AND(N(AF3)&gt;0,AG7&gt;AF3),"",SUMPRODUCT($AR$9:$AR$40*($AP$9:$AP$40&gt;0)*($AQ$9:$AQ$40&gt;=$AP$9:$AP$40)*(((($AQ$9:$AQ$40&lt;=AH8)*$AQ$9:$AQ$40+($AQ$9:$AQ$40&gt;AH8)*AH8)-$AP$9:$AP$40+1)&gt;0)*((($AQ$9:$AQ$40&lt;=AH8)*$AQ$9:$AQ$40+($AQ$9:$AQ$40&gt;AH8)*AH8)-$AP$9:$AP$40+1)/(($AQ$9:$AQ$40-$AP$9:$AP$40+1)*(($AQ$9:$AQ$40-$AP$9:$AP$40+1)&gt;0)+(($AQ$9:$AQ$40-$AP$9:$AP$40+1)&lt;=0)))/SUM($AR$9:$AR$40)))</f>
        <v/>
      </c>
      <c r="AH41" s="5" t="n"/>
      <c r="AI41" s="23">
        <f>IF(OR(N(T3)=0,SUM($AR$9:$AR$40)=0),"",IF(AND(N(AF3)&gt;0,AI7&gt;AF3),"",SUMPRODUCT($AR$9:$AR$40*($AP$9:$AP$40&gt;0)*($AQ$9:$AQ$40&gt;=$AP$9:$AP$40)*(((($AQ$9:$AQ$40&lt;=AJ8)*$AQ$9:$AQ$40+($AQ$9:$AQ$40&gt;AJ8)*AJ8)-$AP$9:$AP$40+1)&gt;0)*((($AQ$9:$AQ$40&lt;=AJ8)*$AQ$9:$AQ$40+($AQ$9:$AQ$40&gt;AJ8)*AJ8)-$AP$9:$AP$40+1)/(($AQ$9:$AQ$40-$AP$9:$AP$40+1)*(($AQ$9:$AQ$40-$AP$9:$AP$40+1)&gt;0)+(($AQ$9:$AQ$40-$AP$9:$AP$40+1)&lt;=0)))/SUM($AR$9:$AR$40)))</f>
        <v/>
      </c>
      <c r="AJ41" s="5" t="n"/>
      <c r="AK41" s="23">
        <f>IF(OR(N(T3)=0,SUM($AR$9:$AR$40)=0),"",IF(AND(N(AF3)&gt;0,AK7&gt;AF3),"",SUMPRODUCT($AR$9:$AR$40*($AP$9:$AP$40&gt;0)*($AQ$9:$AQ$40&gt;=$AP$9:$AP$40)*(((($AQ$9:$AQ$40&lt;=AL8)*$AQ$9:$AQ$40+($AQ$9:$AQ$40&gt;AL8)*AL8)-$AP$9:$AP$40+1)&gt;0)*((($AQ$9:$AQ$40&lt;=AL8)*$AQ$9:$AQ$40+($AQ$9:$AQ$40&gt;AL8)*AL8)-$AP$9:$AP$40+1)/(($AQ$9:$AQ$40-$AP$9:$AP$40+1)*(($AQ$9:$AQ$40-$AP$9:$AP$40+1)&gt;0)+(($AQ$9:$AQ$40-$AP$9:$AP$40+1)&lt;=0)))/SUM($AR$9:$AR$40)))</f>
        <v/>
      </c>
      <c r="AL41" s="5" t="n"/>
      <c r="AM41" s="23">
        <f>IF(OR(N(T3)=0,SUM($AR$9:$AR$40)=0),"",IF(AND(N(AF3)&gt;0,AM7&gt;AF3),"",SUMPRODUCT($AR$9:$AR$40*($AP$9:$AP$40&gt;0)*($AQ$9:$AQ$40&gt;=$AP$9:$AP$40)*(((($AQ$9:$AQ$40&lt;=AN8)*$AQ$9:$AQ$40+($AQ$9:$AQ$40&gt;AN8)*AN8)-$AP$9:$AP$40+1)&gt;0)*((($AQ$9:$AQ$40&lt;=AN8)*$AQ$9:$AQ$40+($AQ$9:$AQ$40&gt;AN8)*AN8)-$AP$9:$AP$40+1)/(($AQ$9:$AQ$40-$AP$9:$AP$40+1)*(($AQ$9:$AQ$40-$AP$9:$AP$40+1)&gt;0)+(($AQ$9:$AQ$40-$AP$9:$AP$40+1)&lt;=0)))/SUM($AR$9:$AR$40)))</f>
        <v/>
      </c>
      <c r="AN41" s="5" t="n"/>
      <c r="AO41" s="22" t="inlineStr"/>
    </row>
    <row r="42" ht="20" customHeight="1">
      <c r="A42" s="22" t="inlineStr">
        <is>
          <t>월간 계획 공정률</t>
        </is>
      </c>
      <c r="B42" s="5" t="n"/>
      <c r="C42" s="5" t="n"/>
      <c r="D42" s="5" t="n"/>
      <c r="E42" s="23">
        <f>IF(E41="","",E41-0)</f>
        <v/>
      </c>
      <c r="F42" s="5" t="n"/>
      <c r="G42" s="23">
        <f>IF(G41="","",G41-N(E41))</f>
        <v/>
      </c>
      <c r="H42" s="5" t="n"/>
      <c r="I42" s="23">
        <f>IF(I41="","",I41-N(G41))</f>
        <v/>
      </c>
      <c r="J42" s="5" t="n"/>
      <c r="K42" s="23">
        <f>IF(K41="","",K41-N(I41))</f>
        <v/>
      </c>
      <c r="L42" s="5" t="n"/>
      <c r="M42" s="23">
        <f>IF(M41="","",M41-N(K41))</f>
        <v/>
      </c>
      <c r="N42" s="5" t="n"/>
      <c r="O42" s="23">
        <f>IF(O41="","",O41-N(M41))</f>
        <v/>
      </c>
      <c r="P42" s="5" t="n"/>
      <c r="Q42" s="23">
        <f>IF(Q41="","",Q41-N(O41))</f>
        <v/>
      </c>
      <c r="R42" s="5" t="n"/>
      <c r="S42" s="23">
        <f>IF(S41="","",S41-N(Q41))</f>
        <v/>
      </c>
      <c r="T42" s="5" t="n"/>
      <c r="U42" s="23">
        <f>IF(U41="","",U41-N(S41))</f>
        <v/>
      </c>
      <c r="V42" s="5" t="n"/>
      <c r="W42" s="23">
        <f>IF(W41="","",W41-N(U41))</f>
        <v/>
      </c>
      <c r="X42" s="5" t="n"/>
      <c r="Y42" s="23">
        <f>IF(Y41="","",Y41-N(W41))</f>
        <v/>
      </c>
      <c r="Z42" s="5" t="n"/>
      <c r="AA42" s="23">
        <f>IF(AA41="","",AA41-N(Y41))</f>
        <v/>
      </c>
      <c r="AB42" s="5" t="n"/>
      <c r="AC42" s="23">
        <f>IF(AC41="","",AC41-N(AA41))</f>
        <v/>
      </c>
      <c r="AD42" s="5" t="n"/>
      <c r="AE42" s="23">
        <f>IF(AE41="","",AE41-N(AC41))</f>
        <v/>
      </c>
      <c r="AF42" s="5" t="n"/>
      <c r="AG42" s="23">
        <f>IF(AG41="","",AG41-N(AE41))</f>
        <v/>
      </c>
      <c r="AH42" s="5" t="n"/>
      <c r="AI42" s="23">
        <f>IF(AI41="","",AI41-N(AG41))</f>
        <v/>
      </c>
      <c r="AJ42" s="5" t="n"/>
      <c r="AK42" s="23">
        <f>IF(AK41="","",AK41-N(AI41))</f>
        <v/>
      </c>
      <c r="AL42" s="5" t="n"/>
      <c r="AM42" s="23">
        <f>IF(AM41="","",AM41-N(AK41))</f>
        <v/>
      </c>
      <c r="AN42" s="5" t="n"/>
      <c r="AO42" s="22" t="inlineStr"/>
    </row>
    <row r="44" ht="19.5" customHeight="1">
      <c r="A44" s="24" t="inlineStr">
        <is>
          <t>이 시트는 작성 예시입니다(가상의 공사 · 금액 · 날짜). 실제로는 앞 시트에 적으세요.</t>
        </is>
      </c>
    </row>
  </sheetData>
  <mergeCells count="74">
    <mergeCell ref="Q1:AO1"/>
    <mergeCell ref="T3:AA3"/>
    <mergeCell ref="AF3:AM3"/>
    <mergeCell ref="Y42:Z42"/>
    <mergeCell ref="AK42:AL42"/>
    <mergeCell ref="AN3:AO3"/>
    <mergeCell ref="AP5:AP6"/>
    <mergeCell ref="AM42:AN42"/>
    <mergeCell ref="A44:AO44"/>
    <mergeCell ref="G42:H42"/>
    <mergeCell ref="P3:S3"/>
    <mergeCell ref="E5:F5"/>
    <mergeCell ref="A5:B6"/>
    <mergeCell ref="K5:L5"/>
    <mergeCell ref="AE41:AF41"/>
    <mergeCell ref="M5:N5"/>
    <mergeCell ref="AG41:AH41"/>
    <mergeCell ref="E42:F42"/>
    <mergeCell ref="Q42:R42"/>
    <mergeCell ref="S42:T42"/>
    <mergeCell ref="W5:X5"/>
    <mergeCell ref="A42:D42"/>
    <mergeCell ref="AO5:AO6"/>
    <mergeCell ref="AB3:AE3"/>
    <mergeCell ref="O5:P5"/>
    <mergeCell ref="AQ5:AQ6"/>
    <mergeCell ref="Q5:R5"/>
    <mergeCell ref="I41:J41"/>
    <mergeCell ref="Y5:Z5"/>
    <mergeCell ref="C3:O3"/>
    <mergeCell ref="AA5:AB5"/>
    <mergeCell ref="K41:L41"/>
    <mergeCell ref="AE42:AF42"/>
    <mergeCell ref="AC5:AD5"/>
    <mergeCell ref="O41:P41"/>
    <mergeCell ref="U41:V41"/>
    <mergeCell ref="AK5:AL5"/>
    <mergeCell ref="W41:X41"/>
    <mergeCell ref="A3:B3"/>
    <mergeCell ref="AM5:AN5"/>
    <mergeCell ref="AC41:AD41"/>
    <mergeCell ref="AI41:AJ41"/>
    <mergeCell ref="AC42:AD42"/>
    <mergeCell ref="AR5:AR6"/>
    <mergeCell ref="A1:P1"/>
    <mergeCell ref="I42:J42"/>
    <mergeCell ref="K42:L42"/>
    <mergeCell ref="G5:H5"/>
    <mergeCell ref="AA41:AB41"/>
    <mergeCell ref="AK41:AL41"/>
    <mergeCell ref="I5:J5"/>
    <mergeCell ref="M42:N42"/>
    <mergeCell ref="A41:D41"/>
    <mergeCell ref="O42:P42"/>
    <mergeCell ref="M41:N41"/>
    <mergeCell ref="U42:V42"/>
    <mergeCell ref="W42:X42"/>
    <mergeCell ref="D5:D6"/>
    <mergeCell ref="A2:AO2"/>
    <mergeCell ref="S5:T5"/>
    <mergeCell ref="E41:F41"/>
    <mergeCell ref="U5:V5"/>
    <mergeCell ref="G41:H41"/>
    <mergeCell ref="AA42:AB42"/>
    <mergeCell ref="AG42:AH42"/>
    <mergeCell ref="Y41:Z41"/>
    <mergeCell ref="AI42:AJ42"/>
    <mergeCell ref="AE5:AF5"/>
    <mergeCell ref="Q41:R41"/>
    <mergeCell ref="AG5:AH5"/>
    <mergeCell ref="S41:T41"/>
    <mergeCell ref="AI5:AJ5"/>
    <mergeCell ref="AM41:AN41"/>
    <mergeCell ref="C5:C6"/>
  </mergeCells>
  <conditionalFormatting sqref="E9:AN40">
    <cfRule type="expression" priority="1" dxfId="0">
      <formula>AND(N($AP9)&gt;0,N($AQ9)&gt;=N($AP9),$AP9&lt;=E$8,$AQ9&gt;=E$7)</formula>
    </cfRule>
  </conditionalFormatting>
  <conditionalFormatting sqref="C9:C40">
    <cfRule type="expression" priority="2" dxfId="1">
      <formula>AND(ISNUMBER(C9),MOD(C9,1)=0)</formula>
    </cfRule>
  </conditionalFormatting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공사예정공정표</dc:title>
  <dcterms:created xmlns:dcterms="http://purl.org/dc/terms/" xmlns:xsi="http://www.w3.org/2001/XMLSchema-instance" xsi:type="dcterms:W3CDTF">2026-10-17T01:02:25Z</dcterms:created>
  <dcterms:modified xmlns:dcterms="http://purl.org/dc/terms/" xmlns:xsi="http://www.w3.org/2001/XMLSchema-instance" xsi:type="dcterms:W3CDTF">2026-10-17T01:02:26Z</dcterms:modified>
</cp:coreProperties>
</file>