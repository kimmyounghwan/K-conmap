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구매계약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 구매계약서'!$A$1:$X$66</definedName>
    <definedName name="_xlnm.Print_Area" localSheetId="1">'작성 예시'!$A$1:$X$66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#,##0&quot;원 (부가세 포함)&quot;;;&quot;&quot;"/>
    <numFmt numFmtId="166" formatCode="0.0##%"/>
    <numFmt numFmtId="167" formatCode="#,##0;[Red]-#,##0;&quot;&quot;"/>
    <numFmt numFmtId="168" formatCode="#,##0.###;[Red]-#,##0.###;&quot;&quot;"/>
    <numFmt numFmtId="169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b val="1"/>
      <color rgb="001F2937"/>
      <sz val="10.5"/>
    </font>
    <font>
      <name val="맑은 고딕"/>
      <color rgb="001F2937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FFF1B8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166" fontId="5" fillId="4" borderId="1" applyAlignment="1" pivotButton="0" quotePrefix="0" xfId="0">
      <alignment horizontal="center" vertical="center" shrinkToFit="1"/>
    </xf>
    <xf numFmtId="167" fontId="6" fillId="3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0" fontId="4" fillId="6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구 매 계 약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납품 장소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납품 기한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계약금액</t>
        </is>
      </c>
      <c r="B8" s="5" t="n"/>
      <c r="C8" s="5" t="n"/>
      <c r="D8" s="5" t="n"/>
      <c r="E8" s="5" t="n"/>
      <c r="F8" s="5" t="n"/>
      <c r="G8" s="8">
        <f>IF(SUM(S15:S19)=0,"",SUM(S15:S19)+K9)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부가가치세</t>
        </is>
      </c>
      <c r="B9" s="5" t="n"/>
      <c r="C9" s="5" t="n"/>
      <c r="D9" s="5" t="n"/>
      <c r="E9" s="5" t="n"/>
      <c r="F9" s="5" t="n"/>
      <c r="G9" s="9" t="n">
        <v>0.1</v>
      </c>
      <c r="H9" s="5" t="n"/>
      <c r="I9" s="5" t="n"/>
      <c r="J9" s="5" t="n"/>
      <c r="K9" s="10">
        <f>IF(SUM(S15:S19)=0,"",INT(ROUND(SUM(S15:S19)*G9,6)))</f>
        <v/>
      </c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운반비 부담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하차비 부담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대금 지급기한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11" t="inlineStr">
        <is>
          <t>품명</t>
        </is>
      </c>
      <c r="B14" s="5" t="n"/>
      <c r="C14" s="5" t="n"/>
      <c r="D14" s="5" t="n"/>
      <c r="E14" s="5" t="n"/>
      <c r="F14" s="5" t="n"/>
      <c r="G14" s="11" t="inlineStr">
        <is>
          <t>규격</t>
        </is>
      </c>
      <c r="H14" s="5" t="n"/>
      <c r="I14" s="5" t="n"/>
      <c r="J14" s="5" t="n"/>
      <c r="K14" s="5" t="n"/>
      <c r="L14" s="11" t="inlineStr">
        <is>
          <t>단위</t>
        </is>
      </c>
      <c r="M14" s="5" t="n"/>
      <c r="N14" s="11" t="inlineStr">
        <is>
          <t>수량</t>
        </is>
      </c>
      <c r="O14" s="5" t="n"/>
      <c r="P14" s="11" t="inlineStr">
        <is>
          <t>단가</t>
        </is>
      </c>
      <c r="Q14" s="5" t="n"/>
      <c r="R14" s="5" t="n"/>
      <c r="S14" s="11" t="inlineStr">
        <is>
          <t>금액</t>
        </is>
      </c>
      <c r="T14" s="5" t="n"/>
      <c r="U14" s="5" t="n"/>
      <c r="V14" s="11" t="inlineStr">
        <is>
          <t>비고</t>
        </is>
      </c>
      <c r="W14" s="5" t="n"/>
      <c r="X14" s="5" t="n"/>
    </row>
    <row r="15" ht="22" customHeight="1">
      <c r="A15" s="12" t="n"/>
      <c r="B15" s="5" t="n"/>
      <c r="C15" s="5" t="n"/>
      <c r="D15" s="5" t="n"/>
      <c r="E15" s="5" t="n"/>
      <c r="F15" s="5" t="n"/>
      <c r="G15" s="13" t="n"/>
      <c r="H15" s="5" t="n"/>
      <c r="I15" s="5" t="n"/>
      <c r="J15" s="5" t="n"/>
      <c r="K15" s="5" t="n"/>
      <c r="L15" s="13" t="n"/>
      <c r="M15" s="5" t="n"/>
      <c r="N15" s="14" t="n"/>
      <c r="O15" s="5" t="n"/>
      <c r="P15" s="15" t="n"/>
      <c r="Q15" s="5" t="n"/>
      <c r="R15" s="5" t="n"/>
      <c r="S15" s="10">
        <f>IF(OR(N15="",P15=""),"",INT(ROUND(N15*P15,6)))</f>
        <v/>
      </c>
      <c r="T15" s="5" t="n"/>
      <c r="U15" s="5" t="n"/>
      <c r="V15" s="13" t="n"/>
      <c r="W15" s="5" t="n"/>
      <c r="X15" s="5" t="n"/>
    </row>
    <row r="16" ht="22" customHeight="1">
      <c r="A16" s="12" t="n"/>
      <c r="B16" s="5" t="n"/>
      <c r="C16" s="5" t="n"/>
      <c r="D16" s="5" t="n"/>
      <c r="E16" s="5" t="n"/>
      <c r="F16" s="5" t="n"/>
      <c r="G16" s="13" t="n"/>
      <c r="H16" s="5" t="n"/>
      <c r="I16" s="5" t="n"/>
      <c r="J16" s="5" t="n"/>
      <c r="K16" s="5" t="n"/>
      <c r="L16" s="13" t="n"/>
      <c r="M16" s="5" t="n"/>
      <c r="N16" s="14" t="n"/>
      <c r="O16" s="5" t="n"/>
      <c r="P16" s="15" t="n"/>
      <c r="Q16" s="5" t="n"/>
      <c r="R16" s="5" t="n"/>
      <c r="S16" s="10">
        <f>IF(OR(N16="",P16=""),"",INT(ROUND(N16*P16,6)))</f>
        <v/>
      </c>
      <c r="T16" s="5" t="n"/>
      <c r="U16" s="5" t="n"/>
      <c r="V16" s="13" t="n"/>
      <c r="W16" s="5" t="n"/>
      <c r="X16" s="5" t="n"/>
    </row>
    <row r="17" ht="22" customHeight="1">
      <c r="A17" s="12" t="n"/>
      <c r="B17" s="5" t="n"/>
      <c r="C17" s="5" t="n"/>
      <c r="D17" s="5" t="n"/>
      <c r="E17" s="5" t="n"/>
      <c r="F17" s="5" t="n"/>
      <c r="G17" s="13" t="n"/>
      <c r="H17" s="5" t="n"/>
      <c r="I17" s="5" t="n"/>
      <c r="J17" s="5" t="n"/>
      <c r="K17" s="5" t="n"/>
      <c r="L17" s="13" t="n"/>
      <c r="M17" s="5" t="n"/>
      <c r="N17" s="14" t="n"/>
      <c r="O17" s="5" t="n"/>
      <c r="P17" s="15" t="n"/>
      <c r="Q17" s="5" t="n"/>
      <c r="R17" s="5" t="n"/>
      <c r="S17" s="10">
        <f>IF(OR(N17="",P17=""),"",INT(ROUND(N17*P17,6)))</f>
        <v/>
      </c>
      <c r="T17" s="5" t="n"/>
      <c r="U17" s="5" t="n"/>
      <c r="V17" s="13" t="n"/>
      <c r="W17" s="5" t="n"/>
      <c r="X17" s="5" t="n"/>
    </row>
    <row r="18" ht="22" customHeight="1">
      <c r="A18" s="12" t="n"/>
      <c r="B18" s="5" t="n"/>
      <c r="C18" s="5" t="n"/>
      <c r="D18" s="5" t="n"/>
      <c r="E18" s="5" t="n"/>
      <c r="F18" s="5" t="n"/>
      <c r="G18" s="13" t="n"/>
      <c r="H18" s="5" t="n"/>
      <c r="I18" s="5" t="n"/>
      <c r="J18" s="5" t="n"/>
      <c r="K18" s="5" t="n"/>
      <c r="L18" s="13" t="n"/>
      <c r="M18" s="5" t="n"/>
      <c r="N18" s="14" t="n"/>
      <c r="O18" s="5" t="n"/>
      <c r="P18" s="15" t="n"/>
      <c r="Q18" s="5" t="n"/>
      <c r="R18" s="5" t="n"/>
      <c r="S18" s="10">
        <f>IF(OR(N18="",P18=""),"",INT(ROUND(N18*P18,6)))</f>
        <v/>
      </c>
      <c r="T18" s="5" t="n"/>
      <c r="U18" s="5" t="n"/>
      <c r="V18" s="13" t="n"/>
      <c r="W18" s="5" t="n"/>
      <c r="X18" s="5" t="n"/>
    </row>
    <row r="19" ht="22" customHeight="1">
      <c r="A19" s="12" t="n"/>
      <c r="B19" s="5" t="n"/>
      <c r="C19" s="5" t="n"/>
      <c r="D19" s="5" t="n"/>
      <c r="E19" s="5" t="n"/>
      <c r="F19" s="5" t="n"/>
      <c r="G19" s="13" t="n"/>
      <c r="H19" s="5" t="n"/>
      <c r="I19" s="5" t="n"/>
      <c r="J19" s="5" t="n"/>
      <c r="K19" s="5" t="n"/>
      <c r="L19" s="13" t="n"/>
      <c r="M19" s="5" t="n"/>
      <c r="N19" s="14" t="n"/>
      <c r="O19" s="5" t="n"/>
      <c r="P19" s="15" t="n"/>
      <c r="Q19" s="5" t="n"/>
      <c r="R19" s="5" t="n"/>
      <c r="S19" s="10">
        <f>IF(OR(N19="",P19=""),"",INT(ROUND(N19*P19,6)))</f>
        <v/>
      </c>
      <c r="T19" s="5" t="n"/>
      <c r="U19" s="5" t="n"/>
      <c r="V19" s="13" t="n"/>
      <c r="W19" s="5" t="n"/>
      <c r="X19" s="5" t="n"/>
    </row>
    <row r="20" ht="22" customHeight="1">
      <c r="A20" s="16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17">
        <f>SUM(S15:S19)</f>
        <v/>
      </c>
      <c r="T20" s="5" t="n"/>
      <c r="U20" s="5" t="n"/>
      <c r="V20" s="16" t="inlineStr"/>
      <c r="W20" s="5" t="n"/>
      <c r="X20" s="5" t="n"/>
    </row>
    <row r="21" ht="6" customHeight="1"/>
    <row r="22" ht="34" customHeight="1">
      <c r="A22" s="18" t="inlineStr">
        <is>
          <t>매수인(이하 「갑」)과 매도인(이하 「을」)은 위 자재의 매매에 관하여 다음과 같이 계약을 체결한다.</t>
        </is>
      </c>
    </row>
    <row r="23" ht="6" customHeight="1"/>
    <row r="24" ht="20" customHeight="1">
      <c r="A24" s="19" t="inlineStr">
        <is>
          <t>제1조 (목적물)</t>
        </is>
      </c>
    </row>
    <row r="25" ht="43.5" customHeight="1">
      <c r="A25" s="20" t="inlineStr">
        <is>
          <t>을은 위 표의 자재를 갑이 지정한 장소에 납품하고, 갑은 그 대금을 지급한다.</t>
        </is>
      </c>
    </row>
    <row r="26" ht="4" customHeight="1"/>
    <row r="27" ht="20" customHeight="1">
      <c r="A27" s="19" t="inlineStr">
        <is>
          <t>제2조 (납품)</t>
        </is>
      </c>
    </row>
    <row r="28" ht="43.5" customHeight="1">
      <c r="A28" s="20" t="inlineStr">
        <is>
          <t>을은 납품 기한까지 자재를 납품한다. 부득이한 사유로 납품이 늦어질 때에는 미리 갑에게 알리고 협의한다.</t>
        </is>
      </c>
    </row>
    <row r="29" ht="4" customHeight="1"/>
    <row r="30" ht="20" customHeight="1">
      <c r="A30" s="19" t="inlineStr">
        <is>
          <t>제3조 (검수)</t>
        </is>
      </c>
    </row>
    <row r="31" ht="43.5" customHeight="1">
      <c r="A31" s="20" t="inlineStr">
        <is>
          <t>갑은 납품 즉시 수량과 규격을 검수한다. 불합격품은 을의 부담으로 반품 또는 교체한다.</t>
        </is>
      </c>
    </row>
    <row r="32" ht="4" customHeight="1"/>
    <row r="33" ht="20" customHeight="1">
      <c r="A33" s="19" t="inlineStr">
        <is>
          <t>제4조 (대금의 지급)</t>
        </is>
      </c>
    </row>
    <row r="34" ht="29" customHeight="1">
      <c r="A34" s="20" t="inlineStr">
        <is>
          <t>갑은 검수에 합격한 자재에 대하여 위 지급기한 안에 대금을 지급한다.</t>
        </is>
      </c>
    </row>
    <row r="35" ht="4" customHeight="1"/>
    <row r="36" ht="7.785714285714286" customHeight="1"/>
    <row r="37" ht="7.785714285714286" customHeight="1"/>
    <row r="38" ht="7.785714285714286" customHeight="1"/>
    <row r="39" ht="7.785714285714286" customHeight="1"/>
    <row r="40" ht="7.785714285714286" customHeight="1"/>
    <row r="41" ht="7.785714285714286" customHeight="1"/>
    <row r="42" ht="7.785714285714286" customHeight="1"/>
    <row r="43" ht="20" customHeight="1">
      <c r="A43" s="19" t="inlineStr">
        <is>
          <t>제5조 (품질 보증)</t>
        </is>
      </c>
    </row>
    <row r="44" ht="43.5" customHeight="1">
      <c r="A44" s="20" t="inlineStr">
        <is>
          <t>을은 납품한 자재가 계약된 규격과 관계 기준에 맞음을 보증하고, 요구가 있으면 시험성적서를 제출한다.</t>
        </is>
      </c>
    </row>
    <row r="45" ht="4" customHeight="1"/>
    <row r="46" ht="20" customHeight="1">
      <c r="A46" s="19" t="inlineStr">
        <is>
          <t>제6조 (위험 부담)</t>
        </is>
      </c>
    </row>
    <row r="47" ht="43.5" customHeight="1">
      <c r="A47" s="20" t="inlineStr">
        <is>
          <t>납품 완료 및 검수 합격 전까지 자재의 멸실·훼손 위험은 을이 부담한다.</t>
        </is>
      </c>
    </row>
    <row r="48" ht="4" customHeight="1"/>
    <row r="49" ht="20" customHeight="1">
      <c r="A49" s="19" t="inlineStr">
        <is>
          <t>제7조 (지체)</t>
        </is>
      </c>
    </row>
    <row r="50" ht="43.5" customHeight="1">
      <c r="A50" s="20" t="inlineStr">
        <is>
          <t>을의 책임으로 납품이 늦어져 공사에 지장을 준 때에는 그 손해를 배상한다.</t>
        </is>
      </c>
    </row>
    <row r="51" ht="4" customHeight="1"/>
    <row r="52" ht="20" customHeight="1">
      <c r="A52" s="19" t="inlineStr">
        <is>
          <t>제8조 (분쟁의 해결)</t>
        </is>
      </c>
    </row>
    <row r="53" ht="43.5" customHeight="1">
      <c r="A53" s="20" t="inlineStr">
        <is>
          <t>분쟁은 협의로 해결하되, 협의가 되지 아니한 때에는 관할 법원의 판결에 따른다.</t>
        </is>
      </c>
    </row>
    <row r="54" ht="4" customHeight="1"/>
    <row r="55" ht="6" customHeight="1"/>
    <row r="56" ht="24" customHeight="1">
      <c r="A56" s="11" t="inlineStr">
        <is>
          <t>구분</t>
        </is>
      </c>
      <c r="B56" s="5" t="n"/>
      <c r="C56" s="11" t="inlineStr">
        <is>
          <t>상호(성명)</t>
        </is>
      </c>
      <c r="D56" s="5" t="n"/>
      <c r="E56" s="5" t="n"/>
      <c r="F56" s="5" t="n"/>
      <c r="G56" s="5" t="n"/>
      <c r="H56" s="11" t="inlineStr">
        <is>
          <t>사업자등록번호</t>
        </is>
      </c>
      <c r="I56" s="5" t="n"/>
      <c r="J56" s="5" t="n"/>
      <c r="K56" s="5" t="n"/>
      <c r="L56" s="11" t="inlineStr">
        <is>
          <t>대표자</t>
        </is>
      </c>
      <c r="M56" s="5" t="n"/>
      <c r="N56" s="5" t="n"/>
      <c r="O56" s="11" t="inlineStr">
        <is>
          <t>주소</t>
        </is>
      </c>
      <c r="P56" s="5" t="n"/>
      <c r="Q56" s="5" t="n"/>
      <c r="R56" s="5" t="n"/>
      <c r="S56" s="5" t="n"/>
      <c r="T56" s="5" t="n"/>
      <c r="U56" s="5" t="n"/>
      <c r="V56" s="11" t="inlineStr">
        <is>
          <t>연락처</t>
        </is>
      </c>
      <c r="W56" s="5" t="n"/>
      <c r="X56" s="5" t="n"/>
    </row>
    <row r="57" ht="22" customHeight="1">
      <c r="A57" s="13" t="inlineStr">
        <is>
          <t>갑</t>
        </is>
      </c>
      <c r="B57" s="5" t="n"/>
      <c r="C57" s="13" t="n"/>
      <c r="D57" s="5" t="n"/>
      <c r="E57" s="5" t="n"/>
      <c r="F57" s="5" t="n"/>
      <c r="G57" s="5" t="n"/>
      <c r="H57" s="13" t="n"/>
      <c r="I57" s="5" t="n"/>
      <c r="J57" s="5" t="n"/>
      <c r="K57" s="5" t="n"/>
      <c r="L57" s="13" t="n"/>
      <c r="M57" s="5" t="n"/>
      <c r="N57" s="5" t="n"/>
      <c r="O57" s="12" t="n"/>
      <c r="P57" s="5" t="n"/>
      <c r="Q57" s="5" t="n"/>
      <c r="R57" s="5" t="n"/>
      <c r="S57" s="5" t="n"/>
      <c r="T57" s="5" t="n"/>
      <c r="U57" s="5" t="n"/>
      <c r="V57" s="13" t="n"/>
      <c r="W57" s="5" t="n"/>
      <c r="X57" s="5" t="n"/>
    </row>
    <row r="58" ht="22" customHeight="1">
      <c r="A58" s="13" t="inlineStr">
        <is>
          <t>을</t>
        </is>
      </c>
      <c r="B58" s="5" t="n"/>
      <c r="C58" s="13" t="n"/>
      <c r="D58" s="5" t="n"/>
      <c r="E58" s="5" t="n"/>
      <c r="F58" s="5" t="n"/>
      <c r="G58" s="5" t="n"/>
      <c r="H58" s="13" t="n"/>
      <c r="I58" s="5" t="n"/>
      <c r="J58" s="5" t="n"/>
      <c r="K58" s="5" t="n"/>
      <c r="L58" s="13" t="n"/>
      <c r="M58" s="5" t="n"/>
      <c r="N58" s="5" t="n"/>
      <c r="O58" s="12" t="n"/>
      <c r="P58" s="5" t="n"/>
      <c r="Q58" s="5" t="n"/>
      <c r="R58" s="5" t="n"/>
      <c r="S58" s="5" t="n"/>
      <c r="T58" s="5" t="n"/>
      <c r="U58" s="5" t="n"/>
      <c r="V58" s="13" t="n"/>
      <c r="W58" s="5" t="n"/>
      <c r="X58" s="5" t="n"/>
    </row>
    <row r="59" ht="6" customHeight="1"/>
    <row r="60" ht="34" customHeight="1">
      <c r="A60" s="18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61" ht="6" customHeight="1"/>
    <row r="62" ht="10" customHeight="1"/>
    <row r="63" ht="26" customHeight="1">
      <c r="A63" s="21" t="inlineStr">
        <is>
          <t xml:space="preserve">          년        월        일</t>
        </is>
      </c>
    </row>
    <row r="64" ht="24" customHeight="1">
      <c r="A64" s="22" t="inlineStr"/>
      <c r="K64" s="23" t="inlineStr">
        <is>
          <t>갑 (매수인)</t>
        </is>
      </c>
      <c r="Q64" s="24" t="n"/>
      <c r="U64" s="25" t="inlineStr">
        <is>
          <t>(서명 또는 인)</t>
        </is>
      </c>
    </row>
    <row r="65" ht="24" customHeight="1">
      <c r="A65" s="22" t="inlineStr"/>
      <c r="K65" s="23" t="inlineStr">
        <is>
          <t>을 (매도인)</t>
        </is>
      </c>
      <c r="Q65" s="24" t="n"/>
      <c r="U65" s="25" t="inlineStr">
        <is>
          <t>(서명 또는 인)</t>
        </is>
      </c>
    </row>
    <row r="66" ht="6" customHeight="1"/>
    <row r="68" ht="34" customHeight="1">
      <c r="A68" s="26" t="inlineStr">
        <is>
          <t>노란 칸 = 요율·기준값(발주기관 기준으로 고쳐 씀) · 옅은 하늘색 칸 = 자동 계산(지우지 마세요) · 뒤 시트에 «작성 예시» 가 있습니다.</t>
        </is>
      </c>
    </row>
    <row r="69" ht="19.5" customHeight="1">
      <c r="A69" s="26" t="inlineStr">
        <is>
          <t>발주기관이 정한 서식이 있으면 그 서식을 쓰세요. 이 줄과 1행은 지워도 됩니다.</t>
        </is>
      </c>
    </row>
  </sheetData>
  <mergeCells count="112">
    <mergeCell ref="L17:M17"/>
    <mergeCell ref="S14:U14"/>
    <mergeCell ref="O58:U58"/>
    <mergeCell ref="A69:X69"/>
    <mergeCell ref="C58:G58"/>
    <mergeCell ref="G10:X10"/>
    <mergeCell ref="P17:R17"/>
    <mergeCell ref="L19:M19"/>
    <mergeCell ref="L58:N58"/>
    <mergeCell ref="A3:X3"/>
    <mergeCell ref="S15:U15"/>
    <mergeCell ref="P19:R19"/>
    <mergeCell ref="A5:F5"/>
    <mergeCell ref="A56:B56"/>
    <mergeCell ref="L14:M14"/>
    <mergeCell ref="N14:O14"/>
    <mergeCell ref="U65:X65"/>
    <mergeCell ref="G15:K15"/>
    <mergeCell ref="K65:P65"/>
    <mergeCell ref="P14:R14"/>
    <mergeCell ref="Q64:T64"/>
    <mergeCell ref="A31:X31"/>
    <mergeCell ref="A15:F15"/>
    <mergeCell ref="G12:X12"/>
    <mergeCell ref="V14:X14"/>
    <mergeCell ref="N15:O15"/>
    <mergeCell ref="A24:X24"/>
    <mergeCell ref="G16:K16"/>
    <mergeCell ref="A60:X60"/>
    <mergeCell ref="C57:G57"/>
    <mergeCell ref="S17:U17"/>
    <mergeCell ref="A7:F7"/>
    <mergeCell ref="A16:F16"/>
    <mergeCell ref="O56:U56"/>
    <mergeCell ref="G7:X7"/>
    <mergeCell ref="L16:M16"/>
    <mergeCell ref="N16:O16"/>
    <mergeCell ref="A25:X25"/>
    <mergeCell ref="A18:F18"/>
    <mergeCell ref="K9:X9"/>
    <mergeCell ref="P16:R16"/>
    <mergeCell ref="A50:X50"/>
    <mergeCell ref="O57:U57"/>
    <mergeCell ref="P18:R18"/>
    <mergeCell ref="A47:X47"/>
    <mergeCell ref="A22:X22"/>
    <mergeCell ref="V57:X57"/>
    <mergeCell ref="H56:K56"/>
    <mergeCell ref="A9:F9"/>
    <mergeCell ref="A28:X28"/>
    <mergeCell ref="G14:K14"/>
    <mergeCell ref="V17:X17"/>
    <mergeCell ref="A44:X44"/>
    <mergeCell ref="S16:U16"/>
    <mergeCell ref="A11:F11"/>
    <mergeCell ref="A30:X30"/>
    <mergeCell ref="V58:X58"/>
    <mergeCell ref="G11:X11"/>
    <mergeCell ref="S18:U18"/>
    <mergeCell ref="K64:P64"/>
    <mergeCell ref="V20:X20"/>
    <mergeCell ref="Q65:T65"/>
    <mergeCell ref="V15:X15"/>
    <mergeCell ref="G17:K17"/>
    <mergeCell ref="A27:X27"/>
    <mergeCell ref="G9:J9"/>
    <mergeCell ref="A8:F8"/>
    <mergeCell ref="L18:M18"/>
    <mergeCell ref="A33:X33"/>
    <mergeCell ref="N18:O18"/>
    <mergeCell ref="A17:F17"/>
    <mergeCell ref="G19:K19"/>
    <mergeCell ref="A64:J64"/>
    <mergeCell ref="L56:N56"/>
    <mergeCell ref="S20:U20"/>
    <mergeCell ref="V16:X16"/>
    <mergeCell ref="N17:O17"/>
    <mergeCell ref="A10:F10"/>
    <mergeCell ref="A53:X53"/>
    <mergeCell ref="H58:K58"/>
    <mergeCell ref="A19:F19"/>
    <mergeCell ref="A57:B57"/>
    <mergeCell ref="A68:X68"/>
    <mergeCell ref="V18:X18"/>
    <mergeCell ref="N19:O19"/>
    <mergeCell ref="L57:N57"/>
    <mergeCell ref="H57:K57"/>
    <mergeCell ref="V19:X19"/>
    <mergeCell ref="U64:X64"/>
    <mergeCell ref="G6:X6"/>
    <mergeCell ref="A12:F12"/>
    <mergeCell ref="A46:X46"/>
    <mergeCell ref="S19:U19"/>
    <mergeCell ref="A14:F14"/>
    <mergeCell ref="G5:X5"/>
    <mergeCell ref="L15:M15"/>
    <mergeCell ref="G18:K18"/>
    <mergeCell ref="C56:G56"/>
    <mergeCell ref="A20:R20"/>
    <mergeCell ref="P15:R15"/>
    <mergeCell ref="A43:X43"/>
    <mergeCell ref="A52:X52"/>
    <mergeCell ref="V56:X56"/>
    <mergeCell ref="A63:X63"/>
    <mergeCell ref="A65:J65"/>
    <mergeCell ref="A34:X34"/>
    <mergeCell ref="A1:L1"/>
    <mergeCell ref="A6:F6"/>
    <mergeCell ref="A49:X49"/>
    <mergeCell ref="M1:X1"/>
    <mergeCell ref="A58:B58"/>
    <mergeCell ref="G8:X8"/>
  </mergeCells>
  <conditionalFormatting sqref="N15:N19">
    <cfRule type="expression" priority="1" dxfId="0">
      <formula>AND(ISNUMBER(N15),MOD(N15,1)=0)</formula>
    </cfRule>
  </conditionalFormatting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6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구 매 계 약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납품 장소</t>
        </is>
      </c>
      <c r="B6" s="5" t="n"/>
      <c r="C6" s="5" t="n"/>
      <c r="D6" s="5" t="n"/>
      <c r="E6" s="5" t="n"/>
      <c r="F6" s="5" t="n"/>
      <c r="G6" s="6" t="inlineStr">
        <is>
          <t>가나시 다라동 123-4 현장 야적장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납품 기한</t>
        </is>
      </c>
      <c r="B7" s="5" t="n"/>
      <c r="C7" s="5" t="n"/>
      <c r="D7" s="5" t="n"/>
      <c r="E7" s="5" t="n"/>
      <c r="F7" s="5" t="n"/>
      <c r="G7" s="7" t="n">
        <v>46310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계약금액</t>
        </is>
      </c>
      <c r="B8" s="5" t="n"/>
      <c r="C8" s="5" t="n"/>
      <c r="D8" s="5" t="n"/>
      <c r="E8" s="5" t="n"/>
      <c r="F8" s="5" t="n"/>
      <c r="G8" s="8">
        <f>IF(SUM(S15:S19)=0,"",SUM(S15:S19)+K9)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부가가치세</t>
        </is>
      </c>
      <c r="B9" s="5" t="n"/>
      <c r="C9" s="5" t="n"/>
      <c r="D9" s="5" t="n"/>
      <c r="E9" s="5" t="n"/>
      <c r="F9" s="5" t="n"/>
      <c r="G9" s="9" t="n">
        <v>0.1</v>
      </c>
      <c r="H9" s="5" t="n"/>
      <c r="I9" s="5" t="n"/>
      <c r="J9" s="5" t="n"/>
      <c r="K9" s="10">
        <f>IF(SUM(S15:S19)=0,"",INT(ROUND(SUM(S15:S19)*G9,6)))</f>
        <v/>
      </c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운반비 부담</t>
        </is>
      </c>
      <c r="B10" s="5" t="n"/>
      <c r="C10" s="5" t="n"/>
      <c r="D10" s="5" t="n"/>
      <c r="E10" s="5" t="n"/>
      <c r="F10" s="5" t="n"/>
      <c r="G10" s="6" t="inlineStr">
        <is>
          <t>매도인(을)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하차비 부담</t>
        </is>
      </c>
      <c r="B11" s="5" t="n"/>
      <c r="C11" s="5" t="n"/>
      <c r="D11" s="5" t="n"/>
      <c r="E11" s="5" t="n"/>
      <c r="F11" s="5" t="n"/>
      <c r="G11" s="6" t="inlineStr">
        <is>
          <t>매수인(갑) — 현장 장비로 하차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대금 지급기한</t>
        </is>
      </c>
      <c r="B12" s="5" t="n"/>
      <c r="C12" s="5" t="n"/>
      <c r="D12" s="5" t="n"/>
      <c r="E12" s="5" t="n"/>
      <c r="F12" s="5" t="n"/>
      <c r="G12" s="6" t="inlineStr">
        <is>
          <t>납품·검수 후 30일 안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11" t="inlineStr">
        <is>
          <t>품명</t>
        </is>
      </c>
      <c r="B14" s="5" t="n"/>
      <c r="C14" s="5" t="n"/>
      <c r="D14" s="5" t="n"/>
      <c r="E14" s="5" t="n"/>
      <c r="F14" s="5" t="n"/>
      <c r="G14" s="11" t="inlineStr">
        <is>
          <t>규격</t>
        </is>
      </c>
      <c r="H14" s="5" t="n"/>
      <c r="I14" s="5" t="n"/>
      <c r="J14" s="5" t="n"/>
      <c r="K14" s="5" t="n"/>
      <c r="L14" s="11" t="inlineStr">
        <is>
          <t>단위</t>
        </is>
      </c>
      <c r="M14" s="5" t="n"/>
      <c r="N14" s="11" t="inlineStr">
        <is>
          <t>수량</t>
        </is>
      </c>
      <c r="O14" s="5" t="n"/>
      <c r="P14" s="11" t="inlineStr">
        <is>
          <t>단가</t>
        </is>
      </c>
      <c r="Q14" s="5" t="n"/>
      <c r="R14" s="5" t="n"/>
      <c r="S14" s="11" t="inlineStr">
        <is>
          <t>금액</t>
        </is>
      </c>
      <c r="T14" s="5" t="n"/>
      <c r="U14" s="5" t="n"/>
      <c r="V14" s="11" t="inlineStr">
        <is>
          <t>비고</t>
        </is>
      </c>
      <c r="W14" s="5" t="n"/>
      <c r="X14" s="5" t="n"/>
    </row>
    <row r="15" ht="22" customHeight="1">
      <c r="A15" s="12" t="inlineStr">
        <is>
          <t>PE 이중벽관</t>
        </is>
      </c>
      <c r="B15" s="5" t="n"/>
      <c r="C15" s="5" t="n"/>
      <c r="D15" s="5" t="n"/>
      <c r="E15" s="5" t="n"/>
      <c r="F15" s="5" t="n"/>
      <c r="G15" s="13" t="inlineStr">
        <is>
          <t>D600, L=6m</t>
        </is>
      </c>
      <c r="H15" s="5" t="n"/>
      <c r="I15" s="5" t="n"/>
      <c r="J15" s="5" t="n"/>
      <c r="K15" s="5" t="n"/>
      <c r="L15" s="13" t="inlineStr">
        <is>
          <t>m</t>
        </is>
      </c>
      <c r="M15" s="5" t="n"/>
      <c r="N15" s="14" t="n">
        <v>250</v>
      </c>
      <c r="O15" s="5" t="n"/>
      <c r="P15" s="15" t="n">
        <v>98500</v>
      </c>
      <c r="Q15" s="5" t="n"/>
      <c r="R15" s="5" t="n"/>
      <c r="S15" s="10">
        <f>IF(OR(N15="",P15=""),"",INT(ROUND(N15*P15,6)))</f>
        <v/>
      </c>
      <c r="T15" s="5" t="n"/>
      <c r="U15" s="5" t="n"/>
      <c r="V15" s="13" t="n"/>
      <c r="W15" s="5" t="n"/>
      <c r="X15" s="5" t="n"/>
    </row>
    <row r="16" ht="22" customHeight="1">
      <c r="A16" s="12" t="inlineStr">
        <is>
          <t>고무링</t>
        </is>
      </c>
      <c r="B16" s="5" t="n"/>
      <c r="C16" s="5" t="n"/>
      <c r="D16" s="5" t="n"/>
      <c r="E16" s="5" t="n"/>
      <c r="F16" s="5" t="n"/>
      <c r="G16" s="13" t="inlineStr">
        <is>
          <t>D600</t>
        </is>
      </c>
      <c r="H16" s="5" t="n"/>
      <c r="I16" s="5" t="n"/>
      <c r="J16" s="5" t="n"/>
      <c r="K16" s="5" t="n"/>
      <c r="L16" s="13" t="inlineStr">
        <is>
          <t>개</t>
        </is>
      </c>
      <c r="M16" s="5" t="n"/>
      <c r="N16" s="14" t="n">
        <v>42</v>
      </c>
      <c r="O16" s="5" t="n"/>
      <c r="P16" s="15" t="n">
        <v>12300</v>
      </c>
      <c r="Q16" s="5" t="n"/>
      <c r="R16" s="5" t="n"/>
      <c r="S16" s="10">
        <f>IF(OR(N16="",P16=""),"",INT(ROUND(N16*P16,6)))</f>
        <v/>
      </c>
      <c r="T16" s="5" t="n"/>
      <c r="U16" s="5" t="n"/>
      <c r="V16" s="13" t="n"/>
      <c r="W16" s="5" t="n"/>
      <c r="X16" s="5" t="n"/>
    </row>
    <row r="17" ht="22" customHeight="1">
      <c r="A17" s="12" t="n"/>
      <c r="B17" s="5" t="n"/>
      <c r="C17" s="5" t="n"/>
      <c r="D17" s="5" t="n"/>
      <c r="E17" s="5" t="n"/>
      <c r="F17" s="5" t="n"/>
      <c r="G17" s="13" t="n"/>
      <c r="H17" s="5" t="n"/>
      <c r="I17" s="5" t="n"/>
      <c r="J17" s="5" t="n"/>
      <c r="K17" s="5" t="n"/>
      <c r="L17" s="13" t="n"/>
      <c r="M17" s="5" t="n"/>
      <c r="N17" s="14" t="n"/>
      <c r="O17" s="5" t="n"/>
      <c r="P17" s="15" t="n"/>
      <c r="Q17" s="5" t="n"/>
      <c r="R17" s="5" t="n"/>
      <c r="S17" s="10">
        <f>IF(OR(N17="",P17=""),"",INT(ROUND(N17*P17,6)))</f>
        <v/>
      </c>
      <c r="T17" s="5" t="n"/>
      <c r="U17" s="5" t="n"/>
      <c r="V17" s="13" t="n"/>
      <c r="W17" s="5" t="n"/>
      <c r="X17" s="5" t="n"/>
    </row>
    <row r="18" ht="22" customHeight="1">
      <c r="A18" s="12" t="n"/>
      <c r="B18" s="5" t="n"/>
      <c r="C18" s="5" t="n"/>
      <c r="D18" s="5" t="n"/>
      <c r="E18" s="5" t="n"/>
      <c r="F18" s="5" t="n"/>
      <c r="G18" s="13" t="n"/>
      <c r="H18" s="5" t="n"/>
      <c r="I18" s="5" t="n"/>
      <c r="J18" s="5" t="n"/>
      <c r="K18" s="5" t="n"/>
      <c r="L18" s="13" t="n"/>
      <c r="M18" s="5" t="n"/>
      <c r="N18" s="14" t="n"/>
      <c r="O18" s="5" t="n"/>
      <c r="P18" s="15" t="n"/>
      <c r="Q18" s="5" t="n"/>
      <c r="R18" s="5" t="n"/>
      <c r="S18" s="10">
        <f>IF(OR(N18="",P18=""),"",INT(ROUND(N18*P18,6)))</f>
        <v/>
      </c>
      <c r="T18" s="5" t="n"/>
      <c r="U18" s="5" t="n"/>
      <c r="V18" s="13" t="n"/>
      <c r="W18" s="5" t="n"/>
      <c r="X18" s="5" t="n"/>
    </row>
    <row r="19" ht="22" customHeight="1">
      <c r="A19" s="12" t="n"/>
      <c r="B19" s="5" t="n"/>
      <c r="C19" s="5" t="n"/>
      <c r="D19" s="5" t="n"/>
      <c r="E19" s="5" t="n"/>
      <c r="F19" s="5" t="n"/>
      <c r="G19" s="13" t="n"/>
      <c r="H19" s="5" t="n"/>
      <c r="I19" s="5" t="n"/>
      <c r="J19" s="5" t="n"/>
      <c r="K19" s="5" t="n"/>
      <c r="L19" s="13" t="n"/>
      <c r="M19" s="5" t="n"/>
      <c r="N19" s="14" t="n"/>
      <c r="O19" s="5" t="n"/>
      <c r="P19" s="15" t="n"/>
      <c r="Q19" s="5" t="n"/>
      <c r="R19" s="5" t="n"/>
      <c r="S19" s="10">
        <f>IF(OR(N19="",P19=""),"",INT(ROUND(N19*P19,6)))</f>
        <v/>
      </c>
      <c r="T19" s="5" t="n"/>
      <c r="U19" s="5" t="n"/>
      <c r="V19" s="13" t="n"/>
      <c r="W19" s="5" t="n"/>
      <c r="X19" s="5" t="n"/>
    </row>
    <row r="20" ht="22" customHeight="1">
      <c r="A20" s="16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17">
        <f>SUM(S15:S19)</f>
        <v/>
      </c>
      <c r="T20" s="5" t="n"/>
      <c r="U20" s="5" t="n"/>
      <c r="V20" s="16" t="inlineStr"/>
      <c r="W20" s="5" t="n"/>
      <c r="X20" s="5" t="n"/>
    </row>
    <row r="21" ht="6" customHeight="1"/>
    <row r="22" ht="34" customHeight="1">
      <c r="A22" s="18" t="inlineStr">
        <is>
          <t>매수인(이하 「갑」)과 매도인(이하 「을」)은 위 자재의 매매에 관하여 다음과 같이 계약을 체결한다.</t>
        </is>
      </c>
    </row>
    <row r="23" ht="6" customHeight="1"/>
    <row r="24" ht="20" customHeight="1">
      <c r="A24" s="19" t="inlineStr">
        <is>
          <t>제1조 (목적물)</t>
        </is>
      </c>
    </row>
    <row r="25" ht="43.5" customHeight="1">
      <c r="A25" s="20" t="inlineStr">
        <is>
          <t>을은 위 표의 자재를 갑이 지정한 장소에 납품하고, 갑은 그 대금을 지급한다.</t>
        </is>
      </c>
    </row>
    <row r="26" ht="4" customHeight="1"/>
    <row r="27" ht="20" customHeight="1">
      <c r="A27" s="19" t="inlineStr">
        <is>
          <t>제2조 (납품)</t>
        </is>
      </c>
    </row>
    <row r="28" ht="43.5" customHeight="1">
      <c r="A28" s="20" t="inlineStr">
        <is>
          <t>을은 납품 기한까지 자재를 납품한다. 부득이한 사유로 납품이 늦어질 때에는 미리 갑에게 알리고 협의한다.</t>
        </is>
      </c>
    </row>
    <row r="29" ht="4" customHeight="1"/>
    <row r="30" ht="20" customHeight="1">
      <c r="A30" s="19" t="inlineStr">
        <is>
          <t>제3조 (검수)</t>
        </is>
      </c>
    </row>
    <row r="31" ht="43.5" customHeight="1">
      <c r="A31" s="20" t="inlineStr">
        <is>
          <t>갑은 납품 즉시 수량과 규격을 검수한다. 불합격품은 을의 부담으로 반품 또는 교체한다.</t>
        </is>
      </c>
    </row>
    <row r="32" ht="4" customHeight="1"/>
    <row r="33" ht="20" customHeight="1">
      <c r="A33" s="19" t="inlineStr">
        <is>
          <t>제4조 (대금의 지급)</t>
        </is>
      </c>
    </row>
    <row r="34" ht="29" customHeight="1">
      <c r="A34" s="20" t="inlineStr">
        <is>
          <t>갑은 검수에 합격한 자재에 대하여 위 지급기한 안에 대금을 지급한다.</t>
        </is>
      </c>
    </row>
    <row r="35" ht="4" customHeight="1"/>
    <row r="36" ht="7.785714285714286" customHeight="1"/>
    <row r="37" ht="7.785714285714286" customHeight="1"/>
    <row r="38" ht="7.785714285714286" customHeight="1"/>
    <row r="39" ht="7.785714285714286" customHeight="1"/>
    <row r="40" ht="7.785714285714286" customHeight="1"/>
    <row r="41" ht="7.785714285714286" customHeight="1"/>
    <row r="42" ht="7.785714285714286" customHeight="1"/>
    <row r="43" ht="20" customHeight="1">
      <c r="A43" s="19" t="inlineStr">
        <is>
          <t>제5조 (품질 보증)</t>
        </is>
      </c>
    </row>
    <row r="44" ht="43.5" customHeight="1">
      <c r="A44" s="20" t="inlineStr">
        <is>
          <t>을은 납품한 자재가 계약된 규격과 관계 기준에 맞음을 보증하고, 요구가 있으면 시험성적서를 제출한다.</t>
        </is>
      </c>
    </row>
    <row r="45" ht="4" customHeight="1"/>
    <row r="46" ht="20" customHeight="1">
      <c r="A46" s="19" t="inlineStr">
        <is>
          <t>제6조 (위험 부담)</t>
        </is>
      </c>
    </row>
    <row r="47" ht="43.5" customHeight="1">
      <c r="A47" s="20" t="inlineStr">
        <is>
          <t>납품 완료 및 검수 합격 전까지 자재의 멸실·훼손 위험은 을이 부담한다.</t>
        </is>
      </c>
    </row>
    <row r="48" ht="4" customHeight="1"/>
    <row r="49" ht="20" customHeight="1">
      <c r="A49" s="19" t="inlineStr">
        <is>
          <t>제7조 (지체)</t>
        </is>
      </c>
    </row>
    <row r="50" ht="43.5" customHeight="1">
      <c r="A50" s="20" t="inlineStr">
        <is>
          <t>을의 책임으로 납품이 늦어져 공사에 지장을 준 때에는 그 손해를 배상한다.</t>
        </is>
      </c>
    </row>
    <row r="51" ht="4" customHeight="1"/>
    <row r="52" ht="20" customHeight="1">
      <c r="A52" s="19" t="inlineStr">
        <is>
          <t>제8조 (분쟁의 해결)</t>
        </is>
      </c>
    </row>
    <row r="53" ht="43.5" customHeight="1">
      <c r="A53" s="20" t="inlineStr">
        <is>
          <t>분쟁은 협의로 해결하되, 협의가 되지 아니한 때에는 관할 법원의 판결에 따른다.</t>
        </is>
      </c>
    </row>
    <row r="54" ht="4" customHeight="1"/>
    <row r="55" ht="6" customHeight="1"/>
    <row r="56" ht="24" customHeight="1">
      <c r="A56" s="11" t="inlineStr">
        <is>
          <t>구분</t>
        </is>
      </c>
      <c r="B56" s="5" t="n"/>
      <c r="C56" s="11" t="inlineStr">
        <is>
          <t>상호(성명)</t>
        </is>
      </c>
      <c r="D56" s="5" t="n"/>
      <c r="E56" s="5" t="n"/>
      <c r="F56" s="5" t="n"/>
      <c r="G56" s="5" t="n"/>
      <c r="H56" s="11" t="inlineStr">
        <is>
          <t>사업자등록번호</t>
        </is>
      </c>
      <c r="I56" s="5" t="n"/>
      <c r="J56" s="5" t="n"/>
      <c r="K56" s="5" t="n"/>
      <c r="L56" s="11" t="inlineStr">
        <is>
          <t>대표자</t>
        </is>
      </c>
      <c r="M56" s="5" t="n"/>
      <c r="N56" s="5" t="n"/>
      <c r="O56" s="11" t="inlineStr">
        <is>
          <t>주소</t>
        </is>
      </c>
      <c r="P56" s="5" t="n"/>
      <c r="Q56" s="5" t="n"/>
      <c r="R56" s="5" t="n"/>
      <c r="S56" s="5" t="n"/>
      <c r="T56" s="5" t="n"/>
      <c r="U56" s="5" t="n"/>
      <c r="V56" s="11" t="inlineStr">
        <is>
          <t>연락처</t>
        </is>
      </c>
      <c r="W56" s="5" t="n"/>
      <c r="X56" s="5" t="n"/>
    </row>
    <row r="57" ht="32" customHeight="1">
      <c r="A57" s="13" t="inlineStr">
        <is>
          <t>갑</t>
        </is>
      </c>
      <c r="B57" s="5" t="n"/>
      <c r="C57" s="13" t="inlineStr">
        <is>
          <t>예시건설(주)</t>
        </is>
      </c>
      <c r="D57" s="5" t="n"/>
      <c r="E57" s="5" t="n"/>
      <c r="F57" s="5" t="n"/>
      <c r="G57" s="5" t="n"/>
      <c r="H57" s="13" t="inlineStr">
        <is>
          <t>000-00-00000</t>
        </is>
      </c>
      <c r="I57" s="5" t="n"/>
      <c r="J57" s="5" t="n"/>
      <c r="K57" s="5" t="n"/>
      <c r="L57" s="13" t="inlineStr">
        <is>
          <t>홍길동</t>
        </is>
      </c>
      <c r="M57" s="5" t="n"/>
      <c r="N57" s="5" t="n"/>
      <c r="O57" s="12" t="inlineStr">
        <is>
          <t>가나시 마바로 45, 2층</t>
        </is>
      </c>
      <c r="P57" s="5" t="n"/>
      <c r="Q57" s="5" t="n"/>
      <c r="R57" s="5" t="n"/>
      <c r="S57" s="5" t="n"/>
      <c r="T57" s="5" t="n"/>
      <c r="U57" s="5" t="n"/>
      <c r="V57" s="13" t="inlineStr">
        <is>
          <t>000-000-0000</t>
        </is>
      </c>
      <c r="W57" s="5" t="n"/>
      <c r="X57" s="5" t="n"/>
    </row>
    <row r="58" ht="32" customHeight="1">
      <c r="A58" s="13" t="inlineStr">
        <is>
          <t>을</t>
        </is>
      </c>
      <c r="B58" s="5" t="n"/>
      <c r="C58" s="13" t="inlineStr">
        <is>
          <t>예시관산업(주)</t>
        </is>
      </c>
      <c r="D58" s="5" t="n"/>
      <c r="E58" s="5" t="n"/>
      <c r="F58" s="5" t="n"/>
      <c r="G58" s="5" t="n"/>
      <c r="H58" s="13" t="inlineStr">
        <is>
          <t>000-00-00000</t>
        </is>
      </c>
      <c r="I58" s="5" t="n"/>
      <c r="J58" s="5" t="n"/>
      <c r="K58" s="5" t="n"/>
      <c r="L58" s="13" t="inlineStr">
        <is>
          <t>관대표</t>
        </is>
      </c>
      <c r="M58" s="5" t="n"/>
      <c r="N58" s="5" t="n"/>
      <c r="O58" s="12" t="inlineStr">
        <is>
          <t>가나시 산단로 21</t>
        </is>
      </c>
      <c r="P58" s="5" t="n"/>
      <c r="Q58" s="5" t="n"/>
      <c r="R58" s="5" t="n"/>
      <c r="S58" s="5" t="n"/>
      <c r="T58" s="5" t="n"/>
      <c r="U58" s="5" t="n"/>
      <c r="V58" s="13" t="inlineStr">
        <is>
          <t>000-000-0000</t>
        </is>
      </c>
      <c r="W58" s="5" t="n"/>
      <c r="X58" s="5" t="n"/>
    </row>
    <row r="59" ht="6" customHeight="1"/>
    <row r="60" ht="34" customHeight="1">
      <c r="A60" s="18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61" ht="6" customHeight="1"/>
    <row r="62" ht="10" customHeight="1"/>
    <row r="63" ht="26" customHeight="1">
      <c r="A63" s="21" t="n">
        <v>46294</v>
      </c>
    </row>
    <row r="64" ht="24" customHeight="1">
      <c r="A64" s="22" t="inlineStr"/>
      <c r="K64" s="23" t="inlineStr">
        <is>
          <t>갑 (매수인)</t>
        </is>
      </c>
      <c r="Q64" s="24" t="inlineStr">
        <is>
          <t>홍길동</t>
        </is>
      </c>
      <c r="U64" s="25" t="inlineStr">
        <is>
          <t>(서명 또는 인)</t>
        </is>
      </c>
    </row>
    <row r="65" ht="24" customHeight="1">
      <c r="A65" s="22" t="inlineStr"/>
      <c r="K65" s="23" t="inlineStr">
        <is>
          <t>을 (매도인)</t>
        </is>
      </c>
      <c r="Q65" s="24" t="inlineStr">
        <is>
          <t>관대표</t>
        </is>
      </c>
      <c r="U65" s="25" t="inlineStr">
        <is>
          <t>(서명 또는 인)</t>
        </is>
      </c>
    </row>
    <row r="66" ht="6" customHeight="1"/>
    <row r="68" ht="19.5" customHeight="1">
      <c r="A68" s="26" t="inlineStr">
        <is>
          <t>이 시트는 작성 예시입니다(가상의 현장 · 이름 · 금액). 실제로는 앞 시트에 적으세요.</t>
        </is>
      </c>
    </row>
  </sheetData>
  <mergeCells count="111">
    <mergeCell ref="L17:M17"/>
    <mergeCell ref="S14:U14"/>
    <mergeCell ref="O58:U58"/>
    <mergeCell ref="C58:G58"/>
    <mergeCell ref="G10:X10"/>
    <mergeCell ref="P17:R17"/>
    <mergeCell ref="L19:M19"/>
    <mergeCell ref="L58:N58"/>
    <mergeCell ref="A3:X3"/>
    <mergeCell ref="S15:U15"/>
    <mergeCell ref="P19:R19"/>
    <mergeCell ref="A5:F5"/>
    <mergeCell ref="A56:B56"/>
    <mergeCell ref="L14:M14"/>
    <mergeCell ref="N14:O14"/>
    <mergeCell ref="U65:X65"/>
    <mergeCell ref="G15:K15"/>
    <mergeCell ref="K65:P65"/>
    <mergeCell ref="P14:R14"/>
    <mergeCell ref="Q64:T64"/>
    <mergeCell ref="A31:X31"/>
    <mergeCell ref="A15:F15"/>
    <mergeCell ref="G12:X12"/>
    <mergeCell ref="V14:X14"/>
    <mergeCell ref="N15:O15"/>
    <mergeCell ref="A24:X24"/>
    <mergeCell ref="G16:K16"/>
    <mergeCell ref="A60:X60"/>
    <mergeCell ref="C57:G57"/>
    <mergeCell ref="S17:U17"/>
    <mergeCell ref="A7:F7"/>
    <mergeCell ref="A16:F16"/>
    <mergeCell ref="O56:U56"/>
    <mergeCell ref="G7:X7"/>
    <mergeCell ref="L16:M16"/>
    <mergeCell ref="N16:O16"/>
    <mergeCell ref="A25:X25"/>
    <mergeCell ref="A18:F18"/>
    <mergeCell ref="K9:X9"/>
    <mergeCell ref="P16:R16"/>
    <mergeCell ref="A50:X50"/>
    <mergeCell ref="O57:U57"/>
    <mergeCell ref="P18:R18"/>
    <mergeCell ref="A47:X47"/>
    <mergeCell ref="A22:X22"/>
    <mergeCell ref="V57:X57"/>
    <mergeCell ref="H56:K56"/>
    <mergeCell ref="A9:F9"/>
    <mergeCell ref="A28:X28"/>
    <mergeCell ref="G14:K14"/>
    <mergeCell ref="V17:X17"/>
    <mergeCell ref="A44:X44"/>
    <mergeCell ref="S16:U16"/>
    <mergeCell ref="A11:F11"/>
    <mergeCell ref="A30:X30"/>
    <mergeCell ref="V58:X58"/>
    <mergeCell ref="G11:X11"/>
    <mergeCell ref="S18:U18"/>
    <mergeCell ref="K64:P64"/>
    <mergeCell ref="V20:X20"/>
    <mergeCell ref="Q65:T65"/>
    <mergeCell ref="V15:X15"/>
    <mergeCell ref="G17:K17"/>
    <mergeCell ref="A27:X27"/>
    <mergeCell ref="G9:J9"/>
    <mergeCell ref="A8:F8"/>
    <mergeCell ref="L18:M18"/>
    <mergeCell ref="A33:X33"/>
    <mergeCell ref="N18:O18"/>
    <mergeCell ref="A17:F17"/>
    <mergeCell ref="G19:K19"/>
    <mergeCell ref="A64:J64"/>
    <mergeCell ref="L56:N56"/>
    <mergeCell ref="S20:U20"/>
    <mergeCell ref="V16:X16"/>
    <mergeCell ref="N17:O17"/>
    <mergeCell ref="A10:F10"/>
    <mergeCell ref="A53:X53"/>
    <mergeCell ref="H58:K58"/>
    <mergeCell ref="A19:F19"/>
    <mergeCell ref="A57:B57"/>
    <mergeCell ref="A68:X68"/>
    <mergeCell ref="V18:X18"/>
    <mergeCell ref="N19:O19"/>
    <mergeCell ref="L57:N57"/>
    <mergeCell ref="H57:K57"/>
    <mergeCell ref="V19:X19"/>
    <mergeCell ref="U64:X64"/>
    <mergeCell ref="G6:X6"/>
    <mergeCell ref="A12:F12"/>
    <mergeCell ref="A46:X46"/>
    <mergeCell ref="S19:U19"/>
    <mergeCell ref="A14:F14"/>
    <mergeCell ref="G5:X5"/>
    <mergeCell ref="L15:M15"/>
    <mergeCell ref="G18:K18"/>
    <mergeCell ref="C56:G56"/>
    <mergeCell ref="A20:R20"/>
    <mergeCell ref="P15:R15"/>
    <mergeCell ref="A43:X43"/>
    <mergeCell ref="A52:X52"/>
    <mergeCell ref="V56:X56"/>
    <mergeCell ref="A63:X63"/>
    <mergeCell ref="A65:J65"/>
    <mergeCell ref="A34:X34"/>
    <mergeCell ref="A1:L1"/>
    <mergeCell ref="A6:F6"/>
    <mergeCell ref="A49:X49"/>
    <mergeCell ref="M1:X1"/>
    <mergeCell ref="A58:B58"/>
    <mergeCell ref="G8:X8"/>
  </mergeCells>
  <conditionalFormatting sqref="N15:N19">
    <cfRule type="expression" priority="1" dxfId="0">
      <formula>AND(ISNUMBER(N15),MOD(N15,1)=0)</formula>
    </cfRule>
  </conditionalFormatting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구매계약서</dc:title>
  <dcterms:created xmlns:dcterms="http://purl.org/dc/terms/" xmlns:xsi="http://www.w3.org/2001/XMLSchema-instance" xsi:type="dcterms:W3CDTF">2026-10-17T01:03:11Z</dcterms:created>
  <dcterms:modified xmlns:dcterms="http://purl.org/dc/terms/" xmlns:xsi="http://www.w3.org/2001/XMLSchema-instance" xsi:type="dcterms:W3CDTF">2026-10-17T01:03:11Z</dcterms:modified>
</cp:coreProperties>
</file>