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원가계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'공사원가계산서'!$A$1:$G$49</definedName>
    <definedName name="_xlnm.Print_Area" localSheetId="1">'작성 예시'!$A$1:$G$49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. m. d."/>
    <numFmt numFmtId="165" formatCode="[DBNum4][$-412]&quot;일금 &quot;General&quot;원정&quot;;;&quot;&quot;"/>
    <numFmt numFmtId="166" formatCode="&quot;(₩&quot;#,##0&quot;)&quot;;;&quot;&quot;"/>
    <numFmt numFmtId="167" formatCode="#,##0;[Red]-#,##0;&quot;&quot;"/>
    <numFmt numFmtId="168" formatCode="&quot;기초 &quot;#,##0;;&quot;&quot;"/>
    <numFmt numFmtId="169" formatCode="0.0##%"/>
    <numFmt numFmtId="170" formatCode="#,##0&quot;원&quot;"/>
    <numFmt numFmtId="171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shrinkToFit="1"/>
    </xf>
    <xf numFmtId="165" fontId="6" fillId="3" borderId="1" applyAlignment="1" pivotButton="0" quotePrefix="0" xfId="0">
      <alignment horizontal="left" vertical="center" wrapText="1"/>
    </xf>
    <xf numFmtId="166" fontId="6" fillId="3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textRotation="255" wrapText="1"/>
    </xf>
    <xf numFmtId="0" fontId="6" fillId="0" borderId="1" applyAlignment="1" pivotButton="0" quotePrefix="0" xfId="0">
      <alignment horizontal="left" vertical="center" wrapText="1" indent="1"/>
    </xf>
    <xf numFmtId="167" fontId="5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right" vertical="center" shrinkToFit="1"/>
    </xf>
    <xf numFmtId="169" fontId="5" fillId="6" borderId="1" applyAlignment="1" pivotButton="0" quotePrefix="0" xfId="0">
      <alignment horizontal="center" vertical="center" shrinkToFit="1"/>
    </xf>
    <xf numFmtId="168" fontId="8" fillId="6" borderId="1" applyAlignment="1" pivotButton="0" quotePrefix="0" xfId="0">
      <alignment horizontal="right" vertical="center" shrinkToFit="1"/>
    </xf>
    <xf numFmtId="167" fontId="4" fillId="3" borderId="1" applyAlignment="1" pivotButton="0" quotePrefix="0" xfId="0">
      <alignment horizontal="right" vertical="center" shrinkToFit="1"/>
    </xf>
    <xf numFmtId="170" fontId="5" fillId="6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distributed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4"/>
  <sheetViews>
    <sheetView showGridLines="0" zoomScale="100" workbookViewId="0">
      <selection activeCell="A1" sqref="A1"/>
    </sheetView>
  </sheetViews>
  <sheetFormatPr baseColWidth="8" defaultRowHeight="15"/>
  <cols>
    <col width="3.4" customWidth="1" min="1" max="1"/>
    <col width="3.4" customWidth="1" min="2" max="2"/>
    <col width="24" customWidth="1" min="3" max="3"/>
    <col width="16" customWidth="1" min="4" max="4"/>
    <col width="31" customWidth="1" min="5" max="5"/>
    <col width="9" customWidth="1" min="6" max="6"/>
    <col width="13" customWidth="1" min="7" max="7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공 사 원 가 계 산 서</t>
        </is>
      </c>
    </row>
    <row r="4" ht="4" customHeight="1"/>
    <row r="5" ht="22" customHeight="1">
      <c r="A5" s="4" t="inlineStr">
        <is>
          <t>공 사 명</t>
        </is>
      </c>
      <c r="B5" s="5" t="n"/>
      <c r="C5" s="5" t="n"/>
      <c r="D5" s="6" t="n"/>
      <c r="E5" s="5" t="n"/>
      <c r="F5" s="5" t="n"/>
      <c r="G5" s="5" t="n"/>
    </row>
    <row r="6" ht="22" customHeight="1">
      <c r="A6" s="4" t="inlineStr">
        <is>
          <t>발 주 기 관</t>
        </is>
      </c>
      <c r="B6" s="5" t="n"/>
      <c r="C6" s="5" t="n"/>
      <c r="D6" s="6" t="n"/>
      <c r="E6" s="5" t="n"/>
      <c r="F6" s="4" t="inlineStr">
        <is>
          <t>작성일</t>
        </is>
      </c>
      <c r="G6" s="7" t="n"/>
    </row>
    <row r="7" ht="22" customHeight="1">
      <c r="A7" s="4" t="inlineStr">
        <is>
          <t>도 급 액</t>
        </is>
      </c>
      <c r="B7" s="5" t="n"/>
      <c r="C7" s="5" t="n"/>
      <c r="D7" s="8">
        <f>D43</f>
        <v/>
      </c>
      <c r="E7" s="5" t="n"/>
      <c r="F7" s="9">
        <f>D43</f>
        <v/>
      </c>
      <c r="G7" s="5" t="n"/>
    </row>
    <row r="8" ht="6" customHeight="1"/>
    <row r="9" ht="22" customHeight="1">
      <c r="A9" s="10" t="inlineStr">
        <is>
          <t>구 분</t>
        </is>
      </c>
      <c r="B9" s="5" t="n"/>
      <c r="C9" s="10" t="inlineStr">
        <is>
          <t>비    목</t>
        </is>
      </c>
      <c r="D9" s="10" t="inlineStr">
        <is>
          <t>금    액</t>
        </is>
      </c>
      <c r="E9" s="10" t="inlineStr">
        <is>
          <t>산 출 근 거</t>
        </is>
      </c>
      <c r="F9" s="10" t="inlineStr">
        <is>
          <t>요 율</t>
        </is>
      </c>
      <c r="G9" s="10" t="inlineStr">
        <is>
          <t>비 고</t>
        </is>
      </c>
    </row>
    <row r="10" ht="19.5" customHeight="1">
      <c r="A10" s="11" t="inlineStr">
        <is>
          <t>순 공 사 원 가</t>
        </is>
      </c>
      <c r="B10" s="11" t="inlineStr">
        <is>
          <t>재료비</t>
        </is>
      </c>
      <c r="C10" s="12" t="inlineStr">
        <is>
          <t>직접재료비</t>
        </is>
      </c>
      <c r="D10" s="13" t="n"/>
      <c r="E10" s="14" t="inlineStr">
        <is>
          <t>재료비 집계표(내역서)</t>
        </is>
      </c>
      <c r="F10" s="15" t="inlineStr"/>
      <c r="G10" s="16" t="inlineStr"/>
    </row>
    <row r="11" ht="19.5" customHeight="1">
      <c r="A11" s="5" t="n"/>
      <c r="B11" s="5" t="n"/>
      <c r="C11" s="12" t="inlineStr">
        <is>
          <t>간접재료비</t>
        </is>
      </c>
      <c r="D11" s="13" t="n"/>
      <c r="E11" s="14" t="inlineStr">
        <is>
          <t>소모·보조 재료</t>
        </is>
      </c>
      <c r="F11" s="15" t="inlineStr"/>
      <c r="G11" s="16" t="inlineStr"/>
    </row>
    <row r="12" ht="19.5" customHeight="1">
      <c r="A12" s="5" t="n"/>
      <c r="B12" s="5" t="n"/>
      <c r="C12" s="12" t="inlineStr">
        <is>
          <t>작업설·부산물 등(△)</t>
        </is>
      </c>
      <c r="D12" s="13" t="n"/>
      <c r="E12" s="14" t="inlineStr">
        <is>
          <t>되파는 고철 등 — 빼는 금액을 양수로</t>
        </is>
      </c>
      <c r="F12" s="15" t="inlineStr"/>
      <c r="G12" s="16" t="inlineStr"/>
    </row>
    <row r="13" ht="19.5" customHeight="1">
      <c r="A13" s="5" t="n"/>
      <c r="B13" s="5" t="n"/>
      <c r="C13" s="17" t="inlineStr">
        <is>
          <t>소    계</t>
        </is>
      </c>
      <c r="D13" s="18">
        <f>D10+D11-D12</f>
        <v/>
      </c>
      <c r="E13" s="14" t="inlineStr">
        <is>
          <t>직접 + 간접 − 작업설</t>
        </is>
      </c>
      <c r="F13" s="15" t="inlineStr"/>
      <c r="G13" s="16" t="inlineStr"/>
    </row>
    <row r="14" ht="19.5" customHeight="1">
      <c r="A14" s="5" t="n"/>
      <c r="B14" s="11" t="inlineStr">
        <is>
          <t>노무비</t>
        </is>
      </c>
      <c r="C14" s="12" t="inlineStr">
        <is>
          <t>직접노무비</t>
        </is>
      </c>
      <c r="D14" s="13" t="n"/>
      <c r="E14" s="14" t="inlineStr">
        <is>
          <t>노무비 집계표(내역서)</t>
        </is>
      </c>
      <c r="F14" s="15" t="inlineStr"/>
      <c r="G14" s="16" t="inlineStr"/>
    </row>
    <row r="15" ht="19.5" customHeight="1">
      <c r="A15" s="5" t="n"/>
      <c r="B15" s="5" t="n"/>
      <c r="C15" s="12" t="inlineStr">
        <is>
          <t>간접노무비</t>
        </is>
      </c>
      <c r="D15" s="18">
        <f>INT(ROUND(D14*F15,6))</f>
        <v/>
      </c>
      <c r="E15" s="14" t="inlineStr">
        <is>
          <t>직접노무비 × 율</t>
        </is>
      </c>
      <c r="F15" s="19" t="n"/>
      <c r="G15" s="16" t="inlineStr"/>
    </row>
    <row r="16" ht="19.5" customHeight="1">
      <c r="A16" s="5" t="n"/>
      <c r="B16" s="5" t="n"/>
      <c r="C16" s="17" t="inlineStr">
        <is>
          <t>소    계</t>
        </is>
      </c>
      <c r="D16" s="18">
        <f>D14+D15</f>
        <v/>
      </c>
      <c r="E16" s="14" t="inlineStr">
        <is>
          <t>직접노무비 + 간접노무비</t>
        </is>
      </c>
      <c r="F16" s="15" t="inlineStr"/>
      <c r="G16" s="16" t="inlineStr"/>
    </row>
    <row r="17" ht="19.5" customHeight="1">
      <c r="A17" s="5" t="n"/>
      <c r="B17" s="11" t="inlineStr">
        <is>
          <t>경  비</t>
        </is>
      </c>
      <c r="C17" s="12" t="inlineStr">
        <is>
          <t>기계경비</t>
        </is>
      </c>
      <c r="D17" s="13" t="n"/>
      <c r="E17" s="14" t="inlineStr">
        <is>
          <t>장비 사용료 집계(내역서)</t>
        </is>
      </c>
      <c r="F17" s="15" t="inlineStr"/>
      <c r="G17" s="16" t="inlineStr"/>
    </row>
    <row r="18" ht="19.5" customHeight="1">
      <c r="A18" s="5" t="n"/>
      <c r="B18" s="5" t="n"/>
      <c r="C18" s="12" t="inlineStr">
        <is>
          <t>산재보험료</t>
        </is>
      </c>
      <c r="D18" s="18">
        <f>INT(ROUND(D16*F18,6))</f>
        <v/>
      </c>
      <c r="E18" s="14" t="inlineStr">
        <is>
          <t>노무비 × 율</t>
        </is>
      </c>
      <c r="F18" s="19" t="n">
        <v>0.0356</v>
      </c>
      <c r="G18" s="14" t="inlineStr">
        <is>
          <t>2026년 요율</t>
        </is>
      </c>
    </row>
    <row r="19" ht="19.5" customHeight="1">
      <c r="A19" s="5" t="n"/>
      <c r="B19" s="5" t="n"/>
      <c r="C19" s="12" t="inlineStr">
        <is>
          <t>고용보험료</t>
        </is>
      </c>
      <c r="D19" s="18">
        <f>INT(ROUND(D16*F19,6))</f>
        <v/>
      </c>
      <c r="E19" s="14" t="inlineStr">
        <is>
          <t>노무비 × 율</t>
        </is>
      </c>
      <c r="F19" s="19" t="n">
        <v>0.0101</v>
      </c>
      <c r="G19" s="14" t="inlineStr">
        <is>
          <t>2026년 요율</t>
        </is>
      </c>
    </row>
    <row r="20" ht="19.5" customHeight="1">
      <c r="A20" s="5" t="n"/>
      <c r="B20" s="5" t="n"/>
      <c r="C20" s="12" t="inlineStr">
        <is>
          <t>국민건강보험료</t>
        </is>
      </c>
      <c r="D20" s="18">
        <f>INT(ROUND(D14*F20,6))</f>
        <v/>
      </c>
      <c r="E20" s="14" t="inlineStr">
        <is>
          <t>직접노무비 × 율</t>
        </is>
      </c>
      <c r="F20" s="19" t="n">
        <v>0.03595</v>
      </c>
      <c r="G20" s="14" t="inlineStr">
        <is>
          <t>2026년 요율</t>
        </is>
      </c>
    </row>
    <row r="21" ht="19.5" customHeight="1">
      <c r="A21" s="5" t="n"/>
      <c r="B21" s="5" t="n"/>
      <c r="C21" s="12" t="inlineStr">
        <is>
          <t>국민연금보험료</t>
        </is>
      </c>
      <c r="D21" s="18">
        <f>INT(ROUND(D14*F21,6))</f>
        <v/>
      </c>
      <c r="E21" s="14" t="inlineStr">
        <is>
          <t>직접노무비 × 율</t>
        </is>
      </c>
      <c r="F21" s="19" t="n">
        <v>0.0475</v>
      </c>
      <c r="G21" s="14" t="inlineStr">
        <is>
          <t>2026년 요율</t>
        </is>
      </c>
    </row>
    <row r="22" ht="19.5" customHeight="1">
      <c r="A22" s="5" t="n"/>
      <c r="B22" s="5" t="n"/>
      <c r="C22" s="12" t="inlineStr">
        <is>
          <t>노인장기요양보험료</t>
        </is>
      </c>
      <c r="D22" s="18">
        <f>INT(ROUND(D20*F22,6))</f>
        <v/>
      </c>
      <c r="E22" s="14" t="inlineStr">
        <is>
          <t>건강보험료 × 율</t>
        </is>
      </c>
      <c r="F22" s="19" t="n">
        <v>0.1314</v>
      </c>
      <c r="G22" s="14" t="inlineStr">
        <is>
          <t>2026년 요율</t>
        </is>
      </c>
    </row>
    <row r="23" ht="19.5" customHeight="1">
      <c r="A23" s="5" t="n"/>
      <c r="B23" s="5" t="n"/>
      <c r="C23" s="12" t="inlineStr">
        <is>
          <t>퇴직공제부금</t>
        </is>
      </c>
      <c r="D23" s="18">
        <f>INT(ROUND(D14*F23,6))</f>
        <v/>
      </c>
      <c r="E23" s="14" t="inlineStr">
        <is>
          <t>직접노무비 × 율 (대상 공사만)</t>
        </is>
      </c>
      <c r="F23" s="19" t="n"/>
      <c r="G23" s="16" t="inlineStr"/>
    </row>
    <row r="24" ht="41.97499999999999" customHeight="1">
      <c r="A24" s="5" t="n"/>
      <c r="B24" s="5" t="n"/>
      <c r="C24" s="12" t="inlineStr">
        <is>
          <t>산업안전보건관리비</t>
        </is>
      </c>
      <c r="D24" s="18">
        <f>INT(ROUND(MIN((D13+D14+D44/1.1)*F24+G24,((D13+D14)*F24+G24)*1.2),6))</f>
        <v/>
      </c>
      <c r="E24" s="14" t="inlineStr">
        <is>
          <t>(재료비+직접노무비+도급자설치 관급÷1.1)×율+기초액(비고 칸) — 관급 뺀 값의 1.2배 한도</t>
        </is>
      </c>
      <c r="F24" s="19" t="n"/>
      <c r="G24" s="20" t="n"/>
    </row>
    <row r="25" ht="29.65" customHeight="1">
      <c r="A25" s="5" t="n"/>
      <c r="B25" s="5" t="n"/>
      <c r="C25" s="12" t="inlineStr">
        <is>
          <t>안전관리비</t>
        </is>
      </c>
      <c r="D25" s="13" t="n"/>
      <c r="E25" s="14" t="inlineStr">
        <is>
          <t>건설기술진흥법 — 대상 공사면 산출해 적기</t>
        </is>
      </c>
      <c r="F25" s="15" t="inlineStr"/>
      <c r="G25" s="16" t="inlineStr"/>
    </row>
    <row r="26" ht="19.5" customHeight="1">
      <c r="A26" s="5" t="n"/>
      <c r="B26" s="5" t="n"/>
      <c r="C26" s="12" t="inlineStr">
        <is>
          <t>품질관리비</t>
        </is>
      </c>
      <c r="D26" s="13" t="n"/>
      <c r="E26" s="14" t="inlineStr">
        <is>
          <t>품질시험·관리비 산출해 적기</t>
        </is>
      </c>
      <c r="F26" s="15" t="inlineStr"/>
      <c r="G26" s="16" t="inlineStr"/>
    </row>
    <row r="27" ht="29.65" customHeight="1">
      <c r="A27" s="5" t="n"/>
      <c r="B27" s="5" t="n"/>
      <c r="C27" s="12" t="inlineStr">
        <is>
          <t>환경보전비</t>
        </is>
      </c>
      <c r="D27" s="18">
        <f>INT(ROUND((D13+D14+D17)*F27,6))</f>
        <v/>
      </c>
      <c r="E27" s="14" t="inlineStr">
        <is>
          <t>직접공사비(재료비+직접노무비+기계경비) × 율</t>
        </is>
      </c>
      <c r="F27" s="19" t="n"/>
      <c r="G27" s="16" t="inlineStr"/>
    </row>
    <row r="28" ht="19.5" customHeight="1">
      <c r="A28" s="5" t="n"/>
      <c r="B28" s="5" t="n"/>
      <c r="C28" s="12" t="inlineStr">
        <is>
          <t>기타경비</t>
        </is>
      </c>
      <c r="D28" s="18">
        <f>INT(ROUND((D13+D16)*F28,6))</f>
        <v/>
      </c>
      <c r="E28" s="14" t="inlineStr">
        <is>
          <t>(재료비 + 노무비) × 율</t>
        </is>
      </c>
      <c r="F28" s="19" t="n"/>
      <c r="G28" s="16" t="inlineStr"/>
    </row>
    <row r="29" ht="34" customHeight="1">
      <c r="A29" s="5" t="n"/>
      <c r="B29" s="5" t="n"/>
      <c r="C29" s="12" t="inlineStr">
        <is>
          <t>하도급대금 지급보증서 발급수수료</t>
        </is>
      </c>
      <c r="D29" s="18">
        <f>INT(ROUND((D13+D14+D17)*F29,6))</f>
        <v/>
      </c>
      <c r="E29" s="14" t="inlineStr">
        <is>
          <t>직접공사비 × 율</t>
        </is>
      </c>
      <c r="F29" s="19" t="n"/>
      <c r="G29" s="16" t="inlineStr"/>
    </row>
    <row r="30" ht="34" customHeight="1">
      <c r="A30" s="5" t="n"/>
      <c r="B30" s="5" t="n"/>
      <c r="C30" s="12" t="inlineStr">
        <is>
          <t>건설기계대여대금 지급보증서 발급수수료</t>
        </is>
      </c>
      <c r="D30" s="18">
        <f>INT(ROUND((D13+D14+D17)*F30,6))</f>
        <v/>
      </c>
      <c r="E30" s="14" t="inlineStr">
        <is>
          <t>직접공사비 × 율</t>
        </is>
      </c>
      <c r="F30" s="19" t="n"/>
      <c r="G30" s="16" t="inlineStr"/>
    </row>
    <row r="31" ht="19.5" customHeight="1">
      <c r="A31" s="5" t="n"/>
      <c r="B31" s="5" t="n"/>
      <c r="C31" s="12" t="inlineStr">
        <is>
          <t>임금채권부담금</t>
        </is>
      </c>
      <c r="D31" s="18">
        <f>INT(ROUND(D16*F31,6))</f>
        <v/>
      </c>
      <c r="E31" s="14" t="inlineStr">
        <is>
          <t>노무비 × 율</t>
        </is>
      </c>
      <c r="F31" s="19" t="n">
        <v>0.0009</v>
      </c>
      <c r="G31" s="14" t="inlineStr">
        <is>
          <t>2026년 요율</t>
        </is>
      </c>
    </row>
    <row r="32" ht="19.5" customHeight="1">
      <c r="A32" s="5" t="n"/>
      <c r="B32" s="5" t="n"/>
      <c r="C32" s="12" t="inlineStr">
        <is>
          <t>석면피해구제분담금</t>
        </is>
      </c>
      <c r="D32" s="18">
        <f>INT(ROUND(D16*F32,6))</f>
        <v/>
      </c>
      <c r="E32" s="14" t="inlineStr">
        <is>
          <t>노무비 × 율</t>
        </is>
      </c>
      <c r="F32" s="19" t="n">
        <v>6e-05</v>
      </c>
      <c r="G32" s="14" t="inlineStr">
        <is>
          <t>2026년 요율</t>
        </is>
      </c>
    </row>
    <row r="33" ht="29.65" customHeight="1">
      <c r="A33" s="5" t="n"/>
      <c r="B33" s="5" t="n"/>
      <c r="C33" s="12" t="inlineStr">
        <is>
          <t>그 밖의 경비</t>
        </is>
      </c>
      <c r="D33" s="13" t="n"/>
      <c r="E33" s="14" t="inlineStr">
        <is>
          <t>공사이행보증·지급수수료 등 산출해 적기</t>
        </is>
      </c>
      <c r="F33" s="15" t="inlineStr"/>
      <c r="G33" s="16" t="inlineStr"/>
    </row>
    <row r="34" ht="19.5" customHeight="1">
      <c r="A34" s="5" t="n"/>
      <c r="B34" s="5" t="n"/>
      <c r="C34" s="17" t="inlineStr">
        <is>
          <t>소    계</t>
        </is>
      </c>
      <c r="D34" s="18">
        <f>SUM(D17:D33)</f>
        <v/>
      </c>
      <c r="E34" s="14" t="inlineStr">
        <is>
          <t>경비 합계</t>
        </is>
      </c>
      <c r="F34" s="15" t="inlineStr"/>
      <c r="G34" s="16" t="inlineStr"/>
    </row>
    <row r="35" ht="19.5" customHeight="1">
      <c r="A35" s="17" t="inlineStr">
        <is>
          <t>순공사원가 (계)</t>
        </is>
      </c>
      <c r="B35" s="5" t="n"/>
      <c r="C35" s="5" t="n"/>
      <c r="D35" s="21">
        <f>D13+D16+D34</f>
        <v/>
      </c>
      <c r="E35" s="14" t="inlineStr">
        <is>
          <t>재료비 + 노무비 + 경비</t>
        </is>
      </c>
      <c r="F35" s="15" t="inlineStr"/>
      <c r="G35" s="14" t="inlineStr"/>
    </row>
    <row r="36" ht="19.5" customHeight="1">
      <c r="A36" s="4" t="inlineStr">
        <is>
          <t>일 반 관 리 비</t>
        </is>
      </c>
      <c r="B36" s="5" t="n"/>
      <c r="C36" s="5" t="n"/>
      <c r="D36" s="18">
        <f>INT(ROUND(D35*F36,6))</f>
        <v/>
      </c>
      <c r="E36" s="14" t="inlineStr">
        <is>
          <t>순공사원가 × 율</t>
        </is>
      </c>
      <c r="F36" s="19" t="n"/>
      <c r="G36" s="14" t="inlineStr"/>
    </row>
    <row r="37" ht="19.5" customHeight="1">
      <c r="A37" s="4" t="inlineStr">
        <is>
          <t>이          윤</t>
        </is>
      </c>
      <c r="B37" s="5" t="n"/>
      <c r="C37" s="5" t="n"/>
      <c r="D37" s="18">
        <f>INT(ROUND((D16+D34+D36)*F37,6))</f>
        <v/>
      </c>
      <c r="E37" s="14" t="inlineStr">
        <is>
          <t>(노무비 + 경비 + 일반관리비) × 율</t>
        </is>
      </c>
      <c r="F37" s="19" t="n"/>
      <c r="G37" s="14" t="inlineStr"/>
    </row>
    <row r="38" ht="29.65" customHeight="1">
      <c r="A38" s="4" t="inlineStr">
        <is>
          <t>사 급 자 재 비</t>
        </is>
      </c>
      <c r="B38" s="5" t="n"/>
      <c r="C38" s="5" t="n"/>
      <c r="D38" s="13" t="n"/>
      <c r="E38" s="14" t="inlineStr">
        <is>
          <t>일반관리비·이윤을 붙이지 않는 자재(해당 시)</t>
        </is>
      </c>
      <c r="F38" s="15" t="inlineStr"/>
      <c r="G38" s="14" t="inlineStr"/>
    </row>
    <row r="39" ht="29.65" customHeight="1">
      <c r="A39" s="17" t="inlineStr">
        <is>
          <t>총원가 (공급가액)</t>
        </is>
      </c>
      <c r="B39" s="5" t="n"/>
      <c r="C39" s="5" t="n"/>
      <c r="D39" s="21">
        <f>D35+D36+D37+D38</f>
        <v/>
      </c>
      <c r="E39" s="14" t="inlineStr">
        <is>
          <t>순공사원가 + 일반관리비 + 이윤 + 사급자재</t>
        </is>
      </c>
      <c r="F39" s="15" t="inlineStr"/>
      <c r="G39" s="14" t="inlineStr"/>
    </row>
    <row r="40" ht="29.65" customHeight="1">
      <c r="A40" s="4" t="inlineStr">
        <is>
          <t>공사손해보험료</t>
        </is>
      </c>
      <c r="B40" s="5" t="n"/>
      <c r="C40" s="5" t="n"/>
      <c r="D40" s="13" t="n"/>
      <c r="E40" s="14" t="inlineStr">
        <is>
          <t>보험·공제 요율로 산출해 적기(해당 시)</t>
        </is>
      </c>
      <c r="F40" s="15" t="inlineStr"/>
      <c r="G40" s="14" t="inlineStr"/>
    </row>
    <row r="41" ht="19.5" customHeight="1">
      <c r="A41" s="4" t="inlineStr">
        <is>
          <t>부 가 가 치 세</t>
        </is>
      </c>
      <c r="B41" s="5" t="n"/>
      <c r="C41" s="5" t="n"/>
      <c r="D41" s="18">
        <f>INT(ROUND((D39+D40)*F41,6))</f>
        <v/>
      </c>
      <c r="E41" s="14" t="inlineStr">
        <is>
          <t>(총원가 + 공사손해보험료) × 율</t>
        </is>
      </c>
      <c r="F41" s="19" t="n">
        <v>0.1</v>
      </c>
      <c r="G41" s="14" t="inlineStr"/>
    </row>
    <row r="42" ht="19.5" customHeight="1">
      <c r="A42" s="4" t="inlineStr">
        <is>
          <t>폐 기 물 처 리 비</t>
        </is>
      </c>
      <c r="B42" s="5" t="n"/>
      <c r="C42" s="5" t="n"/>
      <c r="D42" s="13" t="n"/>
      <c r="E42" s="14" t="inlineStr">
        <is>
          <t>별도 계상(부가세 포함) — 해당 시</t>
        </is>
      </c>
      <c r="F42" s="15" t="inlineStr"/>
      <c r="G42" s="14" t="inlineStr"/>
    </row>
    <row r="43" ht="29.65" customHeight="1">
      <c r="A43" s="17" t="inlineStr">
        <is>
          <t>도   급   액</t>
        </is>
      </c>
      <c r="B43" s="5" t="n"/>
      <c r="C43" s="5" t="n"/>
      <c r="D43" s="21">
        <f>IF(F43&gt;0,INT(ROUND((D39+D40+D41+D42)/F43,6))*F43,D39+D40+D41+D42)</f>
        <v/>
      </c>
      <c r="E43" s="14" t="inlineStr">
        <is>
          <t>총원가+손해보험료+부가세+폐기물 — 요율 칸의 단위 아래 버림</t>
        </is>
      </c>
      <c r="F43" s="22" t="n">
        <v>1000</v>
      </c>
      <c r="G43" s="14" t="inlineStr">
        <is>
          <t>1이면 안 버림</t>
        </is>
      </c>
    </row>
    <row r="44" ht="29.65" customHeight="1">
      <c r="A44" s="4" t="inlineStr">
        <is>
          <t>관급자재비(도급자 설치)</t>
        </is>
      </c>
      <c r="B44" s="5" t="n"/>
      <c r="C44" s="5" t="n"/>
      <c r="D44" s="13" t="n"/>
      <c r="E44" s="14" t="inlineStr">
        <is>
          <t>발주기관이 주고 시공사가 설치(부가세 포함)</t>
        </is>
      </c>
      <c r="F44" s="15" t="inlineStr"/>
      <c r="G44" s="14" t="inlineStr"/>
    </row>
    <row r="45" ht="19.5" customHeight="1">
      <c r="A45" s="4" t="inlineStr">
        <is>
          <t>관급자재비(발주자 설치)</t>
        </is>
      </c>
      <c r="B45" s="5" t="n"/>
      <c r="C45" s="5" t="n"/>
      <c r="D45" s="13" t="n"/>
      <c r="E45" s="14" t="inlineStr">
        <is>
          <t>발주기관이 사서 직접 설치</t>
        </is>
      </c>
      <c r="F45" s="15" t="inlineStr"/>
      <c r="G45" s="14" t="inlineStr"/>
    </row>
    <row r="46" ht="19.5" customHeight="1">
      <c r="A46" s="17" t="inlineStr">
        <is>
          <t>총   공   사   비</t>
        </is>
      </c>
      <c r="B46" s="5" t="n"/>
      <c r="C46" s="5" t="n"/>
      <c r="D46" s="21">
        <f>D43+D44+D45</f>
        <v/>
      </c>
      <c r="E46" s="14" t="inlineStr">
        <is>
          <t>도급액 + 관급자재비</t>
        </is>
      </c>
      <c r="F46" s="15" t="inlineStr"/>
      <c r="G46" s="14" t="inlineStr"/>
    </row>
    <row r="47" ht="10" customHeight="1"/>
    <row r="48" ht="24" customHeight="1">
      <c r="A48" s="23" t="inlineStr"/>
      <c r="E48" s="24" t="inlineStr">
        <is>
          <t>작 성 자</t>
        </is>
      </c>
      <c r="F48" s="25" t="n"/>
      <c r="G48" s="26" t="inlineStr">
        <is>
          <t>(인)</t>
        </is>
      </c>
    </row>
    <row r="49" ht="24" customHeight="1">
      <c r="A49" s="23" t="inlineStr"/>
      <c r="E49" s="24" t="inlineStr">
        <is>
          <t>현장대리인</t>
        </is>
      </c>
      <c r="F49" s="25" t="n"/>
      <c r="G49" s="26" t="inlineStr">
        <is>
          <t>(인)</t>
        </is>
      </c>
    </row>
    <row r="51" ht="34" customHeight="1">
      <c r="A51" s="27" t="inlineStr">
        <is>
          <t>노란 칸 = 요율·기준값입니다. 발주기관(설계서) 기준을 확인해 고쳐 쓰세요. «2026년 요율» 은 전국 공통 법정 요율입니다.</t>
        </is>
      </c>
    </row>
    <row r="52" ht="19.5" customHeight="1">
      <c r="A52" s="27" t="inlineStr">
        <is>
          <t>하늘색 칸 = 자동 계산 칸입니다(지우지 마세요). 각 비목은 원 미만 버림입니다.</t>
        </is>
      </c>
    </row>
    <row r="53" ht="34" customHeight="1">
      <c r="A53" s="27" t="inlineStr">
        <is>
          <t>산업안전보건관리비 요율·기초액은 공사 종류와 대상액 구간에 따라 다릅니다 — k-conmap.com 산안비 계산기로 확인하세요.</t>
        </is>
      </c>
    </row>
    <row r="54" ht="19.5" customHeight="1">
      <c r="A54" s="27" t="inlineStr">
        <is>
          <t>발주기관이 정한 서식이 있으면 그 서식을 쓰세요. 이 줄과 1행은 인쇄되지 않거나 지워도 됩니다.</t>
        </is>
      </c>
    </row>
  </sheetData>
  <mergeCells count="33">
    <mergeCell ref="A41:C41"/>
    <mergeCell ref="A37:C37"/>
    <mergeCell ref="A46:C46"/>
    <mergeCell ref="A53:G53"/>
    <mergeCell ref="A1:E1"/>
    <mergeCell ref="A52:G52"/>
    <mergeCell ref="D5:G5"/>
    <mergeCell ref="A10:A34"/>
    <mergeCell ref="F7:G7"/>
    <mergeCell ref="D6:E6"/>
    <mergeCell ref="A42:C42"/>
    <mergeCell ref="A5:C5"/>
    <mergeCell ref="A48:D48"/>
    <mergeCell ref="A49:D49"/>
    <mergeCell ref="A35:C35"/>
    <mergeCell ref="A43:C43"/>
    <mergeCell ref="A38:C38"/>
    <mergeCell ref="B10:B13"/>
    <mergeCell ref="A51:G51"/>
    <mergeCell ref="D7:E7"/>
    <mergeCell ref="A44:C44"/>
    <mergeCell ref="A40:C40"/>
    <mergeCell ref="A54:G54"/>
    <mergeCell ref="A39:C39"/>
    <mergeCell ref="A36:C36"/>
    <mergeCell ref="A45:C45"/>
    <mergeCell ref="A3:G3"/>
    <mergeCell ref="A6:C6"/>
    <mergeCell ref="B17:B34"/>
    <mergeCell ref="B14:B16"/>
    <mergeCell ref="A9:B9"/>
    <mergeCell ref="A7:C7"/>
    <mergeCell ref="F1:G1"/>
  </mergeCells>
  <printOptions horizontalCentered="1"/>
  <pageMargins left="0.45" right="0.3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51"/>
  <sheetViews>
    <sheetView showGridLines="0" zoomScale="100" workbookViewId="0">
      <selection activeCell="A1" sqref="A1"/>
    </sheetView>
  </sheetViews>
  <sheetFormatPr baseColWidth="8" defaultRowHeight="15"/>
  <cols>
    <col width="3.4" customWidth="1" min="1" max="1"/>
    <col width="3.4" customWidth="1" min="2" max="2"/>
    <col width="24" customWidth="1" min="3" max="3"/>
    <col width="16" customWidth="1" min="4" max="4"/>
    <col width="31" customWidth="1" min="5" max="5"/>
    <col width="9" customWidth="1" min="6" max="6"/>
    <col width="13" customWidth="1" min="7" max="7"/>
  </cols>
  <sheetData>
    <row r="1" ht="20" customHeight="1">
      <c r="A1" s="1" t="inlineStr">
        <is>
          <t xml:space="preserve">  K-건설맵  |  k-conmap.com  건설 서식</t>
        </is>
      </c>
      <c r="F1" s="28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공 사 원 가 계 산 서</t>
        </is>
      </c>
    </row>
    <row r="4" ht="4" customHeight="1"/>
    <row r="5" ht="22" customHeight="1">
      <c r="A5" s="4" t="inlineStr">
        <is>
          <t>공 사 명</t>
        </is>
      </c>
      <c r="B5" s="5" t="n"/>
      <c r="C5" s="5" t="n"/>
      <c r="D5" s="6" t="inlineStr">
        <is>
          <t>가나지구 배수로 정비공사</t>
        </is>
      </c>
      <c r="E5" s="5" t="n"/>
      <c r="F5" s="5" t="n"/>
      <c r="G5" s="5" t="n"/>
    </row>
    <row r="6" ht="22" customHeight="1">
      <c r="A6" s="4" t="inlineStr">
        <is>
          <t>발 주 기 관</t>
        </is>
      </c>
      <c r="B6" s="5" t="n"/>
      <c r="C6" s="5" t="n"/>
      <c r="D6" s="6" t="inlineStr">
        <is>
          <t>가나시 건설과</t>
        </is>
      </c>
      <c r="E6" s="5" t="n"/>
      <c r="F6" s="4" t="inlineStr">
        <is>
          <t>작성일</t>
        </is>
      </c>
      <c r="G6" s="7" t="n">
        <v>46294</v>
      </c>
    </row>
    <row r="7" ht="22" customHeight="1">
      <c r="A7" s="4" t="inlineStr">
        <is>
          <t>도 급 액</t>
        </is>
      </c>
      <c r="B7" s="5" t="n"/>
      <c r="C7" s="5" t="n"/>
      <c r="D7" s="8">
        <f>D43</f>
        <v/>
      </c>
      <c r="E7" s="5" t="n"/>
      <c r="F7" s="9">
        <f>D43</f>
        <v/>
      </c>
      <c r="G7" s="5" t="n"/>
    </row>
    <row r="8" ht="6" customHeight="1"/>
    <row r="9" ht="22" customHeight="1">
      <c r="A9" s="10" t="inlineStr">
        <is>
          <t>구 분</t>
        </is>
      </c>
      <c r="B9" s="5" t="n"/>
      <c r="C9" s="10" t="inlineStr">
        <is>
          <t>비    목</t>
        </is>
      </c>
      <c r="D9" s="10" t="inlineStr">
        <is>
          <t>금    액</t>
        </is>
      </c>
      <c r="E9" s="10" t="inlineStr">
        <is>
          <t>산 출 근 거</t>
        </is>
      </c>
      <c r="F9" s="10" t="inlineStr">
        <is>
          <t>요 율</t>
        </is>
      </c>
      <c r="G9" s="10" t="inlineStr">
        <is>
          <t>비 고</t>
        </is>
      </c>
    </row>
    <row r="10" ht="19.5" customHeight="1">
      <c r="A10" s="11" t="inlineStr">
        <is>
          <t>순 공 사 원 가</t>
        </is>
      </c>
      <c r="B10" s="11" t="inlineStr">
        <is>
          <t>재료비</t>
        </is>
      </c>
      <c r="C10" s="12" t="inlineStr">
        <is>
          <t>직접재료비</t>
        </is>
      </c>
      <c r="D10" s="13" t="n">
        <v>312456700</v>
      </c>
      <c r="E10" s="14" t="inlineStr">
        <is>
          <t>재료비 집계표(내역서)</t>
        </is>
      </c>
      <c r="F10" s="15" t="inlineStr"/>
      <c r="G10" s="16" t="inlineStr"/>
    </row>
    <row r="11" ht="19.5" customHeight="1">
      <c r="A11" s="5" t="n"/>
      <c r="B11" s="5" t="n"/>
      <c r="C11" s="12" t="inlineStr">
        <is>
          <t>간접재료비</t>
        </is>
      </c>
      <c r="D11" s="13" t="n">
        <v>4870000</v>
      </c>
      <c r="E11" s="14" t="inlineStr">
        <is>
          <t>소모·보조 재료</t>
        </is>
      </c>
      <c r="F11" s="15" t="inlineStr"/>
      <c r="G11" s="16" t="inlineStr"/>
    </row>
    <row r="12" ht="19.5" customHeight="1">
      <c r="A12" s="5" t="n"/>
      <c r="B12" s="5" t="n"/>
      <c r="C12" s="12" t="inlineStr">
        <is>
          <t>작업설·부산물 등(△)</t>
        </is>
      </c>
      <c r="D12" s="13" t="n">
        <v>1250000</v>
      </c>
      <c r="E12" s="14" t="inlineStr">
        <is>
          <t>되파는 고철 등 — 빼는 금액을 양수로</t>
        </is>
      </c>
      <c r="F12" s="15" t="inlineStr"/>
      <c r="G12" s="16" t="inlineStr"/>
    </row>
    <row r="13" ht="19.5" customHeight="1">
      <c r="A13" s="5" t="n"/>
      <c r="B13" s="5" t="n"/>
      <c r="C13" s="17" t="inlineStr">
        <is>
          <t>소    계</t>
        </is>
      </c>
      <c r="D13" s="18">
        <f>D10+D11-D12</f>
        <v/>
      </c>
      <c r="E13" s="14" t="inlineStr">
        <is>
          <t>직접 + 간접 − 작업설</t>
        </is>
      </c>
      <c r="F13" s="15" t="inlineStr"/>
      <c r="G13" s="16" t="inlineStr"/>
    </row>
    <row r="14" ht="19.5" customHeight="1">
      <c r="A14" s="5" t="n"/>
      <c r="B14" s="11" t="inlineStr">
        <is>
          <t>노무비</t>
        </is>
      </c>
      <c r="C14" s="12" t="inlineStr">
        <is>
          <t>직접노무비</t>
        </is>
      </c>
      <c r="D14" s="13" t="n">
        <v>268345000</v>
      </c>
      <c r="E14" s="14" t="inlineStr">
        <is>
          <t>노무비 집계표(내역서)</t>
        </is>
      </c>
      <c r="F14" s="15" t="inlineStr"/>
      <c r="G14" s="16" t="inlineStr"/>
    </row>
    <row r="15" ht="19.5" customHeight="1">
      <c r="A15" s="5" t="n"/>
      <c r="B15" s="5" t="n"/>
      <c r="C15" s="12" t="inlineStr">
        <is>
          <t>간접노무비</t>
        </is>
      </c>
      <c r="D15" s="18">
        <f>INT(ROUND(D14*F15,6))</f>
        <v/>
      </c>
      <c r="E15" s="14" t="inlineStr">
        <is>
          <t>직접노무비 × 율</t>
        </is>
      </c>
      <c r="F15" s="19" t="n">
        <v>0.145</v>
      </c>
      <c r="G15" s="16" t="inlineStr"/>
    </row>
    <row r="16" ht="19.5" customHeight="1">
      <c r="A16" s="5" t="n"/>
      <c r="B16" s="5" t="n"/>
      <c r="C16" s="17" t="inlineStr">
        <is>
          <t>소    계</t>
        </is>
      </c>
      <c r="D16" s="18">
        <f>D14+D15</f>
        <v/>
      </c>
      <c r="E16" s="14" t="inlineStr">
        <is>
          <t>직접노무비 + 간접노무비</t>
        </is>
      </c>
      <c r="F16" s="15" t="inlineStr"/>
      <c r="G16" s="16" t="inlineStr"/>
    </row>
    <row r="17" ht="19.5" customHeight="1">
      <c r="A17" s="5" t="n"/>
      <c r="B17" s="11" t="inlineStr">
        <is>
          <t>경  비</t>
        </is>
      </c>
      <c r="C17" s="12" t="inlineStr">
        <is>
          <t>기계경비</t>
        </is>
      </c>
      <c r="D17" s="13" t="n">
        <v>86720000</v>
      </c>
      <c r="E17" s="14" t="inlineStr">
        <is>
          <t>장비 사용료 집계(내역서)</t>
        </is>
      </c>
      <c r="F17" s="15" t="inlineStr"/>
      <c r="G17" s="16" t="inlineStr"/>
    </row>
    <row r="18" ht="19.5" customHeight="1">
      <c r="A18" s="5" t="n"/>
      <c r="B18" s="5" t="n"/>
      <c r="C18" s="12" t="inlineStr">
        <is>
          <t>산재보험료</t>
        </is>
      </c>
      <c r="D18" s="18">
        <f>INT(ROUND(D16*F18,6))</f>
        <v/>
      </c>
      <c r="E18" s="14" t="inlineStr">
        <is>
          <t>노무비 × 율</t>
        </is>
      </c>
      <c r="F18" s="19" t="n">
        <v>0.0356</v>
      </c>
      <c r="G18" s="14" t="inlineStr">
        <is>
          <t>2026년 요율</t>
        </is>
      </c>
    </row>
    <row r="19" ht="19.5" customHeight="1">
      <c r="A19" s="5" t="n"/>
      <c r="B19" s="5" t="n"/>
      <c r="C19" s="12" t="inlineStr">
        <is>
          <t>고용보험료</t>
        </is>
      </c>
      <c r="D19" s="18">
        <f>INT(ROUND(D16*F19,6))</f>
        <v/>
      </c>
      <c r="E19" s="14" t="inlineStr">
        <is>
          <t>노무비 × 율</t>
        </is>
      </c>
      <c r="F19" s="19" t="n">
        <v>0.0101</v>
      </c>
      <c r="G19" s="14" t="inlineStr">
        <is>
          <t>2026년 요율</t>
        </is>
      </c>
    </row>
    <row r="20" ht="19.5" customHeight="1">
      <c r="A20" s="5" t="n"/>
      <c r="B20" s="5" t="n"/>
      <c r="C20" s="12" t="inlineStr">
        <is>
          <t>국민건강보험료</t>
        </is>
      </c>
      <c r="D20" s="18">
        <f>INT(ROUND(D14*F20,6))</f>
        <v/>
      </c>
      <c r="E20" s="14" t="inlineStr">
        <is>
          <t>직접노무비 × 율</t>
        </is>
      </c>
      <c r="F20" s="19" t="n">
        <v>0.03595</v>
      </c>
      <c r="G20" s="14" t="inlineStr">
        <is>
          <t>2026년 요율</t>
        </is>
      </c>
    </row>
    <row r="21" ht="19.5" customHeight="1">
      <c r="A21" s="5" t="n"/>
      <c r="B21" s="5" t="n"/>
      <c r="C21" s="12" t="inlineStr">
        <is>
          <t>국민연금보험료</t>
        </is>
      </c>
      <c r="D21" s="18">
        <f>INT(ROUND(D14*F21,6))</f>
        <v/>
      </c>
      <c r="E21" s="14" t="inlineStr">
        <is>
          <t>직접노무비 × 율</t>
        </is>
      </c>
      <c r="F21" s="19" t="n">
        <v>0.0475</v>
      </c>
      <c r="G21" s="14" t="inlineStr">
        <is>
          <t>2026년 요율</t>
        </is>
      </c>
    </row>
    <row r="22" ht="19.5" customHeight="1">
      <c r="A22" s="5" t="n"/>
      <c r="B22" s="5" t="n"/>
      <c r="C22" s="12" t="inlineStr">
        <is>
          <t>노인장기요양보험료</t>
        </is>
      </c>
      <c r="D22" s="18">
        <f>INT(ROUND(D20*F22,6))</f>
        <v/>
      </c>
      <c r="E22" s="14" t="inlineStr">
        <is>
          <t>건강보험료 × 율</t>
        </is>
      </c>
      <c r="F22" s="19" t="n">
        <v>0.1314</v>
      </c>
      <c r="G22" s="14" t="inlineStr">
        <is>
          <t>2026년 요율</t>
        </is>
      </c>
    </row>
    <row r="23" ht="19.5" customHeight="1">
      <c r="A23" s="5" t="n"/>
      <c r="B23" s="5" t="n"/>
      <c r="C23" s="12" t="inlineStr">
        <is>
          <t>퇴직공제부금</t>
        </is>
      </c>
      <c r="D23" s="18">
        <f>INT(ROUND(D14*F23,6))</f>
        <v/>
      </c>
      <c r="E23" s="14" t="inlineStr">
        <is>
          <t>직접노무비 × 율 (대상 공사만)</t>
        </is>
      </c>
      <c r="F23" s="19" t="n">
        <v>0.023</v>
      </c>
      <c r="G23" s="16" t="inlineStr"/>
    </row>
    <row r="24" ht="41.97499999999999" customHeight="1">
      <c r="A24" s="5" t="n"/>
      <c r="B24" s="5" t="n"/>
      <c r="C24" s="12" t="inlineStr">
        <is>
          <t>산업안전보건관리비</t>
        </is>
      </c>
      <c r="D24" s="18">
        <f>INT(ROUND(MIN((D13+D14+D44/1.1)*F24+G24,((D13+D14)*F24+G24)*1.2),6))</f>
        <v/>
      </c>
      <c r="E24" s="14" t="inlineStr">
        <is>
          <t>(재료비+직접노무비+도급자설치 관급÷1.1)×율+기초액(비고 칸) — 관급 뺀 값의 1.2배 한도</t>
        </is>
      </c>
      <c r="F24" s="19" t="n">
        <v>0.0253</v>
      </c>
      <c r="G24" s="20" t="n">
        <v>3300000</v>
      </c>
    </row>
    <row r="25" ht="29.65" customHeight="1">
      <c r="A25" s="5" t="n"/>
      <c r="B25" s="5" t="n"/>
      <c r="C25" s="12" t="inlineStr">
        <is>
          <t>안전관리비</t>
        </is>
      </c>
      <c r="D25" s="13" t="n">
        <v>5200000</v>
      </c>
      <c r="E25" s="14" t="inlineStr">
        <is>
          <t>건설기술진흥법 — 대상 공사면 산출해 적기</t>
        </is>
      </c>
      <c r="F25" s="15" t="inlineStr"/>
      <c r="G25" s="16" t="inlineStr"/>
    </row>
    <row r="26" ht="19.5" customHeight="1">
      <c r="A26" s="5" t="n"/>
      <c r="B26" s="5" t="n"/>
      <c r="C26" s="12" t="inlineStr">
        <is>
          <t>품질관리비</t>
        </is>
      </c>
      <c r="D26" s="13" t="n">
        <v>3150000</v>
      </c>
      <c r="E26" s="14" t="inlineStr">
        <is>
          <t>품질시험·관리비 산출해 적기</t>
        </is>
      </c>
      <c r="F26" s="15" t="inlineStr"/>
      <c r="G26" s="16" t="inlineStr"/>
    </row>
    <row r="27" ht="29.65" customHeight="1">
      <c r="A27" s="5" t="n"/>
      <c r="B27" s="5" t="n"/>
      <c r="C27" s="12" t="inlineStr">
        <is>
          <t>환경보전비</t>
        </is>
      </c>
      <c r="D27" s="18">
        <f>INT(ROUND((D13+D14+D17)*F27,6))</f>
        <v/>
      </c>
      <c r="E27" s="14" t="inlineStr">
        <is>
          <t>직접공사비(재료비+직접노무비+기계경비) × 율</t>
        </is>
      </c>
      <c r="F27" s="19" t="n">
        <v>0.005</v>
      </c>
      <c r="G27" s="16" t="inlineStr"/>
    </row>
    <row r="28" ht="19.5" customHeight="1">
      <c r="A28" s="5" t="n"/>
      <c r="B28" s="5" t="n"/>
      <c r="C28" s="12" t="inlineStr">
        <is>
          <t>기타경비</t>
        </is>
      </c>
      <c r="D28" s="18">
        <f>INT(ROUND((D13+D16)*F28,6))</f>
        <v/>
      </c>
      <c r="E28" s="14" t="inlineStr">
        <is>
          <t>(재료비 + 노무비) × 율</t>
        </is>
      </c>
      <c r="F28" s="19" t="n">
        <v>0.055</v>
      </c>
      <c r="G28" s="16" t="inlineStr"/>
    </row>
    <row r="29" ht="34" customHeight="1">
      <c r="A29" s="5" t="n"/>
      <c r="B29" s="5" t="n"/>
      <c r="C29" s="12" t="inlineStr">
        <is>
          <t>하도급대금 지급보증서 발급수수료</t>
        </is>
      </c>
      <c r="D29" s="18">
        <f>INT(ROUND((D13+D14+D17)*F29,6))</f>
        <v/>
      </c>
      <c r="E29" s="14" t="inlineStr">
        <is>
          <t>직접공사비 × 율</t>
        </is>
      </c>
      <c r="F29" s="19" t="n">
        <v>0.00081</v>
      </c>
      <c r="G29" s="16" t="inlineStr"/>
    </row>
    <row r="30" ht="34" customHeight="1">
      <c r="A30" s="5" t="n"/>
      <c r="B30" s="5" t="n"/>
      <c r="C30" s="12" t="inlineStr">
        <is>
          <t>건설기계대여대금 지급보증서 발급수수료</t>
        </is>
      </c>
      <c r="D30" s="18">
        <f>INT(ROUND((D13+D14+D17)*F30,6))</f>
        <v/>
      </c>
      <c r="E30" s="14" t="inlineStr">
        <is>
          <t>직접공사비 × 율</t>
        </is>
      </c>
      <c r="F30" s="19" t="n">
        <v>0.00076</v>
      </c>
      <c r="G30" s="16" t="inlineStr"/>
    </row>
    <row r="31" ht="19.5" customHeight="1">
      <c r="A31" s="5" t="n"/>
      <c r="B31" s="5" t="n"/>
      <c r="C31" s="12" t="inlineStr">
        <is>
          <t>임금채권부담금</t>
        </is>
      </c>
      <c r="D31" s="18">
        <f>INT(ROUND(D16*F31,6))</f>
        <v/>
      </c>
      <c r="E31" s="14" t="inlineStr">
        <is>
          <t>노무비 × 율</t>
        </is>
      </c>
      <c r="F31" s="19" t="n">
        <v>0.0009</v>
      </c>
      <c r="G31" s="14" t="inlineStr">
        <is>
          <t>2026년 요율</t>
        </is>
      </c>
    </row>
    <row r="32" ht="19.5" customHeight="1">
      <c r="A32" s="5" t="n"/>
      <c r="B32" s="5" t="n"/>
      <c r="C32" s="12" t="inlineStr">
        <is>
          <t>석면피해구제분담금</t>
        </is>
      </c>
      <c r="D32" s="18">
        <f>INT(ROUND(D16*F32,6))</f>
        <v/>
      </c>
      <c r="E32" s="14" t="inlineStr">
        <is>
          <t>노무비 × 율</t>
        </is>
      </c>
      <c r="F32" s="19" t="n">
        <v>6e-05</v>
      </c>
      <c r="G32" s="14" t="inlineStr">
        <is>
          <t>2026년 요율</t>
        </is>
      </c>
    </row>
    <row r="33" ht="29.65" customHeight="1">
      <c r="A33" s="5" t="n"/>
      <c r="B33" s="5" t="n"/>
      <c r="C33" s="12" t="inlineStr">
        <is>
          <t>그 밖의 경비</t>
        </is>
      </c>
      <c r="D33" s="13" t="n">
        <v>2000000</v>
      </c>
      <c r="E33" s="14" t="inlineStr">
        <is>
          <t>공사이행보증·지급수수료 등 산출해 적기</t>
        </is>
      </c>
      <c r="F33" s="15" t="inlineStr"/>
      <c r="G33" s="16" t="inlineStr"/>
    </row>
    <row r="34" ht="19.5" customHeight="1">
      <c r="A34" s="5" t="n"/>
      <c r="B34" s="5" t="n"/>
      <c r="C34" s="17" t="inlineStr">
        <is>
          <t>소    계</t>
        </is>
      </c>
      <c r="D34" s="18">
        <f>SUM(D17:D33)</f>
        <v/>
      </c>
      <c r="E34" s="14" t="inlineStr">
        <is>
          <t>경비 합계</t>
        </is>
      </c>
      <c r="F34" s="15" t="inlineStr"/>
      <c r="G34" s="16" t="inlineStr"/>
    </row>
    <row r="35" ht="19.5" customHeight="1">
      <c r="A35" s="17" t="inlineStr">
        <is>
          <t>순공사원가 (계)</t>
        </is>
      </c>
      <c r="B35" s="5" t="n"/>
      <c r="C35" s="5" t="n"/>
      <c r="D35" s="21">
        <f>D13+D16+D34</f>
        <v/>
      </c>
      <c r="E35" s="14" t="inlineStr">
        <is>
          <t>재료비 + 노무비 + 경비</t>
        </is>
      </c>
      <c r="F35" s="15" t="inlineStr"/>
      <c r="G35" s="14" t="inlineStr"/>
    </row>
    <row r="36" ht="19.5" customHeight="1">
      <c r="A36" s="4" t="inlineStr">
        <is>
          <t>일 반 관 리 비</t>
        </is>
      </c>
      <c r="B36" s="5" t="n"/>
      <c r="C36" s="5" t="n"/>
      <c r="D36" s="18">
        <f>INT(ROUND(D35*F36,6))</f>
        <v/>
      </c>
      <c r="E36" s="14" t="inlineStr">
        <is>
          <t>순공사원가 × 율</t>
        </is>
      </c>
      <c r="F36" s="19" t="n">
        <v>0.065</v>
      </c>
      <c r="G36" s="14" t="inlineStr"/>
    </row>
    <row r="37" ht="19.5" customHeight="1">
      <c r="A37" s="4" t="inlineStr">
        <is>
          <t>이          윤</t>
        </is>
      </c>
      <c r="B37" s="5" t="n"/>
      <c r="C37" s="5" t="n"/>
      <c r="D37" s="18">
        <f>INT(ROUND((D16+D34+D36)*F37,6))</f>
        <v/>
      </c>
      <c r="E37" s="14" t="inlineStr">
        <is>
          <t>(노무비 + 경비 + 일반관리비) × 율</t>
        </is>
      </c>
      <c r="F37" s="19" t="n">
        <v>0.15</v>
      </c>
      <c r="G37" s="14" t="inlineStr"/>
    </row>
    <row r="38" ht="29.65" customHeight="1">
      <c r="A38" s="4" t="inlineStr">
        <is>
          <t>사 급 자 재 비</t>
        </is>
      </c>
      <c r="B38" s="5" t="n"/>
      <c r="C38" s="5" t="n"/>
      <c r="D38" s="13" t="n"/>
      <c r="E38" s="14" t="inlineStr">
        <is>
          <t>일반관리비·이윤을 붙이지 않는 자재(해당 시)</t>
        </is>
      </c>
      <c r="F38" s="15" t="inlineStr"/>
      <c r="G38" s="14" t="inlineStr"/>
    </row>
    <row r="39" ht="29.65" customHeight="1">
      <c r="A39" s="17" t="inlineStr">
        <is>
          <t>총원가 (공급가액)</t>
        </is>
      </c>
      <c r="B39" s="5" t="n"/>
      <c r="C39" s="5" t="n"/>
      <c r="D39" s="21">
        <f>D35+D36+D37+D38</f>
        <v/>
      </c>
      <c r="E39" s="14" t="inlineStr">
        <is>
          <t>순공사원가 + 일반관리비 + 이윤 + 사급자재</t>
        </is>
      </c>
      <c r="F39" s="15" t="inlineStr"/>
      <c r="G39" s="14" t="inlineStr"/>
    </row>
    <row r="40" ht="29.65" customHeight="1">
      <c r="A40" s="4" t="inlineStr">
        <is>
          <t>공사손해보험료</t>
        </is>
      </c>
      <c r="B40" s="5" t="n"/>
      <c r="C40" s="5" t="n"/>
      <c r="D40" s="13" t="n">
        <v>1450000</v>
      </c>
      <c r="E40" s="14" t="inlineStr">
        <is>
          <t>보험·공제 요율로 산출해 적기(해당 시)</t>
        </is>
      </c>
      <c r="F40" s="15" t="inlineStr"/>
      <c r="G40" s="14" t="inlineStr"/>
    </row>
    <row r="41" ht="19.5" customHeight="1">
      <c r="A41" s="4" t="inlineStr">
        <is>
          <t>부 가 가 치 세</t>
        </is>
      </c>
      <c r="B41" s="5" t="n"/>
      <c r="C41" s="5" t="n"/>
      <c r="D41" s="18">
        <f>INT(ROUND((D39+D40)*F41,6))</f>
        <v/>
      </c>
      <c r="E41" s="14" t="inlineStr">
        <is>
          <t>(총원가 + 공사손해보험료) × 율</t>
        </is>
      </c>
      <c r="F41" s="19" t="n">
        <v>0.1</v>
      </c>
      <c r="G41" s="14" t="inlineStr"/>
    </row>
    <row r="42" ht="19.5" customHeight="1">
      <c r="A42" s="4" t="inlineStr">
        <is>
          <t>폐 기 물 처 리 비</t>
        </is>
      </c>
      <c r="B42" s="5" t="n"/>
      <c r="C42" s="5" t="n"/>
      <c r="D42" s="13" t="n">
        <v>12870000</v>
      </c>
      <c r="E42" s="14" t="inlineStr">
        <is>
          <t>별도 계상(부가세 포함) — 해당 시</t>
        </is>
      </c>
      <c r="F42" s="15" t="inlineStr"/>
      <c r="G42" s="14" t="inlineStr"/>
    </row>
    <row r="43" ht="29.65" customHeight="1">
      <c r="A43" s="17" t="inlineStr">
        <is>
          <t>도   급   액</t>
        </is>
      </c>
      <c r="B43" s="5" t="n"/>
      <c r="C43" s="5" t="n"/>
      <c r="D43" s="21">
        <f>IF(F43&gt;0,INT(ROUND((D39+D40+D41+D42)/F43,6))*F43,D39+D40+D41+D42)</f>
        <v/>
      </c>
      <c r="E43" s="14" t="inlineStr">
        <is>
          <t>총원가+손해보험료+부가세+폐기물 — 요율 칸의 단위 아래 버림</t>
        </is>
      </c>
      <c r="F43" s="22" t="n">
        <v>1000</v>
      </c>
      <c r="G43" s="14" t="inlineStr">
        <is>
          <t>1이면 안 버림</t>
        </is>
      </c>
    </row>
    <row r="44" ht="29.65" customHeight="1">
      <c r="A44" s="4" t="inlineStr">
        <is>
          <t>관급자재비(도급자 설치)</t>
        </is>
      </c>
      <c r="B44" s="5" t="n"/>
      <c r="C44" s="5" t="n"/>
      <c r="D44" s="13" t="n">
        <v>45600000</v>
      </c>
      <c r="E44" s="14" t="inlineStr">
        <is>
          <t>발주기관이 주고 시공사가 설치(부가세 포함)</t>
        </is>
      </c>
      <c r="F44" s="15" t="inlineStr"/>
      <c r="G44" s="14" t="inlineStr"/>
    </row>
    <row r="45" ht="19.5" customHeight="1">
      <c r="A45" s="4" t="inlineStr">
        <is>
          <t>관급자재비(발주자 설치)</t>
        </is>
      </c>
      <c r="B45" s="5" t="n"/>
      <c r="C45" s="5" t="n"/>
      <c r="D45" s="13" t="n"/>
      <c r="E45" s="14" t="inlineStr">
        <is>
          <t>발주기관이 사서 직접 설치</t>
        </is>
      </c>
      <c r="F45" s="15" t="inlineStr"/>
      <c r="G45" s="14" t="inlineStr"/>
    </row>
    <row r="46" ht="19.5" customHeight="1">
      <c r="A46" s="17" t="inlineStr">
        <is>
          <t>총   공   사   비</t>
        </is>
      </c>
      <c r="B46" s="5" t="n"/>
      <c r="C46" s="5" t="n"/>
      <c r="D46" s="21">
        <f>D43+D44+D45</f>
        <v/>
      </c>
      <c r="E46" s="14" t="inlineStr">
        <is>
          <t>도급액 + 관급자재비</t>
        </is>
      </c>
      <c r="F46" s="15" t="inlineStr"/>
      <c r="G46" s="14" t="inlineStr"/>
    </row>
    <row r="47" ht="10" customHeight="1"/>
    <row r="48" ht="24" customHeight="1">
      <c r="A48" s="23" t="inlineStr"/>
      <c r="E48" s="24" t="inlineStr">
        <is>
          <t>작 성 자</t>
        </is>
      </c>
      <c r="F48" s="25" t="inlineStr">
        <is>
          <t>김철수</t>
        </is>
      </c>
      <c r="G48" s="26" t="inlineStr">
        <is>
          <t>(인)</t>
        </is>
      </c>
    </row>
    <row r="49" ht="24" customHeight="1">
      <c r="A49" s="23" t="inlineStr"/>
      <c r="E49" s="24" t="inlineStr">
        <is>
          <t>현장대리인</t>
        </is>
      </c>
      <c r="F49" s="25" t="inlineStr">
        <is>
          <t>이영희</t>
        </is>
      </c>
      <c r="G49" s="26" t="inlineStr">
        <is>
          <t>(인)</t>
        </is>
      </c>
    </row>
    <row r="51" ht="19.5" customHeight="1">
      <c r="A51" s="27" t="inlineStr">
        <is>
          <t>이 시트는 작성 예시입니다(가상의 공사). 실제로는 앞 시트에 적으세요.</t>
        </is>
      </c>
    </row>
  </sheetData>
  <mergeCells count="30">
    <mergeCell ref="A41:C41"/>
    <mergeCell ref="A37:C37"/>
    <mergeCell ref="A46:C46"/>
    <mergeCell ref="A1:E1"/>
    <mergeCell ref="D5:G5"/>
    <mergeCell ref="A10:A34"/>
    <mergeCell ref="F7:G7"/>
    <mergeCell ref="D6:E6"/>
    <mergeCell ref="A42:C42"/>
    <mergeCell ref="A5:C5"/>
    <mergeCell ref="A48:D48"/>
    <mergeCell ref="A49:D49"/>
    <mergeCell ref="A35:C35"/>
    <mergeCell ref="A43:C43"/>
    <mergeCell ref="A38:C38"/>
    <mergeCell ref="B10:B13"/>
    <mergeCell ref="A51:G51"/>
    <mergeCell ref="D7:E7"/>
    <mergeCell ref="A44:C44"/>
    <mergeCell ref="A40:C40"/>
    <mergeCell ref="A39:C39"/>
    <mergeCell ref="A36:C36"/>
    <mergeCell ref="A45:C45"/>
    <mergeCell ref="A3:G3"/>
    <mergeCell ref="A6:C6"/>
    <mergeCell ref="B17:B34"/>
    <mergeCell ref="B14:B16"/>
    <mergeCell ref="A9:B9"/>
    <mergeCell ref="A7:C7"/>
    <mergeCell ref="F1:G1"/>
  </mergeCells>
  <printOptions horizontalCentered="1"/>
  <pageMargins left="0.45" right="0.3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공사원가계산서</dc:title>
  <dcterms:created xmlns:dcterms="http://purl.org/dc/terms/" xmlns:xsi="http://www.w3.org/2001/XMLSchema-instance" xsi:type="dcterms:W3CDTF">2026-10-17T01:07:56Z</dcterms:created>
  <dcterms:modified xmlns:dcterms="http://purl.org/dc/terms/" xmlns:xsi="http://www.w3.org/2001/XMLSchema-instance" xsi:type="dcterms:W3CDTF">2026-10-17T01:07:56Z</dcterms:modified>
</cp:coreProperties>
</file>