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  <sheet xmlns:r="http://schemas.openxmlformats.org/officeDocument/2006/relationships" name="증감대비표" sheetId="2" state="visible" r:id="rId2"/>
    <sheet xmlns:r="http://schemas.openxmlformats.org/officeDocument/2006/relationships" name="공종별집계" sheetId="3" state="visible" r:id="rId3"/>
    <sheet xmlns:r="http://schemas.openxmlformats.org/officeDocument/2006/relationships" name="내역서" sheetId="4" state="visible" r:id="rId4"/>
    <sheet xmlns:r="http://schemas.openxmlformats.org/officeDocument/2006/relationships" name="일위대가" sheetId="5" state="visible" r:id="rId5"/>
    <sheet xmlns:r="http://schemas.openxmlformats.org/officeDocument/2006/relationships" name="단가마스터" sheetId="6" state="visible" r:id="rId6"/>
    <sheet xmlns:r="http://schemas.openxmlformats.org/officeDocument/2006/relationships" name="수량산출서" sheetId="7" state="visible" r:id="rId7"/>
    <sheet xmlns:r="http://schemas.openxmlformats.org/officeDocument/2006/relationships" name="제출서식" sheetId="8" state="visible" r:id="rId8"/>
    <sheet xmlns:r="http://schemas.openxmlformats.org/officeDocument/2006/relationships" name="검증시트" sheetId="9" state="visible" r:id="rId9"/>
    <sheet xmlns:r="http://schemas.openxmlformats.org/officeDocument/2006/relationships" name="설정" sheetId="10" state="visible" r:id="rId10"/>
    <sheet xmlns:r="http://schemas.openxmlformats.org/officeDocument/2006/relationships" name="사용법" sheetId="11" state="visible" r:id="rId11"/>
  </sheets>
  <definedNames>
    <definedName name="_xlnm.Print_Area" localSheetId="7">'제출서식'!$A$1:$F$26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#,##0.###"/>
  </numFmts>
  <fonts count="20">
    <font>
      <name val="Calibri"/>
      <family val="2"/>
      <color theme="1"/>
      <sz val="11"/>
      <scheme val="minor"/>
    </font>
    <font>
      <color rgb="00808080"/>
      <sz val="9"/>
    </font>
    <font>
      <b val="1"/>
      <color rgb="001F4E79"/>
      <sz val="14"/>
    </font>
    <font>
      <b val="1"/>
      <color rgb="001F4E79"/>
      <sz val="11"/>
    </font>
    <font>
      <b val="1"/>
      <sz val="10"/>
    </font>
    <font>
      <sz val="10"/>
    </font>
    <font>
      <color rgb="00606060"/>
      <sz val="9"/>
    </font>
    <font>
      <b val="1"/>
      <color rgb="00FFFFFF"/>
      <sz val="10"/>
    </font>
    <font>
      <i val="1"/>
      <color rgb="00A6A6A6"/>
      <sz val="10"/>
    </font>
    <font>
      <b val="1"/>
      <color rgb="00548235"/>
      <sz val="10"/>
    </font>
    <font>
      <b val="1"/>
      <color rgb="00FFFFFF"/>
      <sz val="9"/>
    </font>
    <font>
      <b val="1"/>
      <sz val="11"/>
    </font>
    <font>
      <b val="1"/>
      <color rgb="001F4E79"/>
      <sz val="10"/>
    </font>
    <font>
      <b val="1"/>
      <color rgb="001F4E79"/>
      <sz val="12"/>
    </font>
    <font>
      <b val="1"/>
      <sz val="13"/>
    </font>
    <font>
      <b val="1"/>
      <color rgb="00C00000"/>
      <sz val="10"/>
    </font>
    <font>
      <sz val="11"/>
    </font>
    <font>
      <b val="1"/>
      <color rgb="001F4E79"/>
      <sz val="13"/>
    </font>
    <font>
      <color rgb="00808080"/>
      <sz val="10"/>
    </font>
    <font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4" fillId="2" borderId="1" applyAlignment="1" pivotButton="0" quotePrefix="0" xfId="0">
      <alignment horizontal="center"/>
    </xf>
    <xf numFmtId="0" fontId="4" fillId="2" borderId="1" pivotButton="0" quotePrefix="0" xfId="0"/>
    <xf numFmtId="3" fontId="4" fillId="2" borderId="1" pivotButton="0" quotePrefix="0" xfId="0"/>
    <xf numFmtId="164" fontId="0" fillId="0" borderId="1" pivotButton="0" quotePrefix="0" xfId="0"/>
    <xf numFmtId="0" fontId="3" fillId="9" borderId="1" applyAlignment="1" pivotButton="0" quotePrefix="0" xfId="0">
      <alignment horizontal="center"/>
    </xf>
    <xf numFmtId="0" fontId="3" fillId="9" borderId="1" pivotButton="0" quotePrefix="0" xfId="0"/>
    <xf numFmtId="3" fontId="3" fillId="9" borderId="1" pivotButton="0" quotePrefix="0" xfId="0"/>
    <xf numFmtId="0" fontId="6" fillId="0" borderId="0" applyAlignment="1" pivotButton="0" quotePrefix="0" xfId="0">
      <alignment horizontal="left" vertical="top" wrapText="1"/>
    </xf>
    <xf numFmtId="0" fontId="5" fillId="3" borderId="1" pivotButton="0" quotePrefix="0" xfId="0"/>
    <xf numFmtId="166" fontId="5" fillId="3" borderId="1" pivotButton="0" quotePrefix="0" xfId="0"/>
    <xf numFmtId="3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3" fontId="5" fillId="4" borderId="1" pivotButton="0" quotePrefix="0" xfId="0"/>
    <xf numFmtId="3" fontId="5" fillId="9" borderId="1" pivotButton="0" quotePrefix="0" xfId="0"/>
    <xf numFmtId="0" fontId="6" fillId="3" borderId="1" pivotButton="0" quotePrefix="0" xfId="0"/>
    <xf numFmtId="0" fontId="11" fillId="2" borderId="1" pivotButton="0" quotePrefix="0" xfId="0"/>
    <xf numFmtId="3" fontId="11" fillId="2" borderId="1" pivotButton="0" quotePrefix="0" xfId="0"/>
    <xf numFmtId="0" fontId="11" fillId="9" borderId="1" pivotButton="0" quotePrefix="0" xfId="0"/>
    <xf numFmtId="3" fontId="13" fillId="9" borderId="1" pivotButton="0" quotePrefix="0" xfId="0"/>
    <xf numFmtId="0" fontId="5" fillId="4" borderId="1" pivotButton="0" quotePrefix="0" xfId="0"/>
    <xf numFmtId="2" fontId="5" fillId="3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6" fontId="5" fillId="4" borderId="1" pivotButton="0" quotePrefix="0" xfId="0"/>
    <xf numFmtId="0" fontId="9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11" fillId="3" borderId="1" applyAlignment="1" pivotButton="0" quotePrefix="0" xfId="0">
      <alignment horizontal="center" vertical="center"/>
    </xf>
    <xf numFmtId="0" fontId="16" fillId="0" borderId="1" pivotButton="0" quotePrefix="0" xfId="0"/>
    <xf numFmtId="3" fontId="16" fillId="0" borderId="1" pivotButton="0" quotePrefix="0" xfId="0"/>
    <xf numFmtId="0" fontId="11" fillId="9" borderId="1" applyAlignment="1" pivotButton="0" quotePrefix="0" xfId="0">
      <alignment horizontal="center" vertical="center"/>
    </xf>
    <xf numFmtId="3" fontId="17" fillId="9" borderId="1" pivotButton="0" quotePrefix="0" xfId="0"/>
    <xf numFmtId="0" fontId="0" fillId="9" borderId="1" pivotButton="0" quotePrefix="0" xfId="0"/>
    <xf numFmtId="0" fontId="16" fillId="4" borderId="1" applyAlignment="1" pivotButton="0" quotePrefix="0" xfId="0">
      <alignment vertical="top" wrapText="1"/>
    </xf>
    <xf numFmtId="0" fontId="16" fillId="0" borderId="0" pivotButton="0" quotePrefix="0" xfId="0"/>
    <xf numFmtId="0" fontId="11" fillId="0" borderId="0" pivotButton="0" quotePrefix="0" xfId="0"/>
    <xf numFmtId="0" fontId="18" fillId="0" borderId="0" pivotButton="0" quotePrefix="0" xfId="0"/>
    <xf numFmtId="0" fontId="5" fillId="0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1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/>
    </xf>
    <xf numFmtId="2" fontId="5" fillId="3" borderId="1" applyAlignment="1" pivotButton="0" quotePrefix="0" xfId="0">
      <alignment vertical="center"/>
    </xf>
    <xf numFmtId="0" fontId="15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164" fontId="5" fillId="4" borderId="1" pivotButton="0" quotePrefix="0" xfId="0"/>
    <xf numFmtId="165" fontId="5" fillId="3" borderId="1" pivotButton="0" quotePrefix="0" xfId="0"/>
    <xf numFmtId="0" fontId="3" fillId="2" borderId="1" pivotButton="0" quotePrefix="0" xfId="0"/>
    <xf numFmtId="0" fontId="5" fillId="0" borderId="1" applyAlignment="1" pivotButton="0" quotePrefix="0" xfId="0">
      <alignment vertical="center" wrapText="1"/>
    </xf>
    <xf numFmtId="0" fontId="5" fillId="9" borderId="1" pivotButton="0" quotePrefix="0" xfId="0"/>
    <xf numFmtId="0" fontId="19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30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공 사 원 가 계 산 서</t>
        </is>
      </c>
    </row>
    <row r="3" ht="30" customHeight="1">
      <c r="A3" s="3" t="inlineStr">
        <is>
          <t>구분</t>
        </is>
      </c>
      <c r="B3" s="3" t="inlineStr">
        <is>
          <t>비            목</t>
        </is>
      </c>
      <c r="C3" s="3" t="inlineStr">
        <is>
          <t>요율(%)</t>
        </is>
      </c>
      <c r="D3" s="3" t="inlineStr">
        <is>
          <t>산  출  근  거</t>
        </is>
      </c>
      <c r="E3" s="3" t="inlineStr">
        <is>
          <t>당 초</t>
        </is>
      </c>
      <c r="F3" s="3" t="inlineStr">
        <is>
          <t>변경 후</t>
        </is>
      </c>
      <c r="G3" s="3" t="inlineStr">
        <is>
          <t>증 감</t>
        </is>
      </c>
    </row>
    <row r="4">
      <c r="A4" s="4" t="inlineStr">
        <is>
          <t>1</t>
        </is>
      </c>
      <c r="B4" s="5" t="inlineStr">
        <is>
          <t>직 접 재 료 비</t>
        </is>
      </c>
      <c r="C4" s="6" t="n"/>
      <c r="D4" s="7" t="inlineStr">
        <is>
          <t>당초 Σ(수량 × 재료비단가) · 변경 = 당초 + 증감대비표(제65조)</t>
        </is>
      </c>
      <c r="E4" s="8">
        <f>SUMPRODUCT(N(내역서!$F$4:$F$203),N(내역서!$G$4:$G$203))</f>
        <v/>
      </c>
      <c r="F4" s="8">
        <f>E4+SUM(증감대비표!$U$4:$U$203)</f>
        <v/>
      </c>
      <c r="G4" s="8">
        <f>F4-E4</f>
        <v/>
      </c>
    </row>
    <row r="5">
      <c r="A5" s="4" t="inlineStr">
        <is>
          <t>2</t>
        </is>
      </c>
      <c r="B5" s="5" t="inlineStr">
        <is>
          <t>간 접 재 료 비</t>
        </is>
      </c>
      <c r="C5" s="6" t="n"/>
      <c r="D5" s="7" t="inlineStr">
        <is>
          <t>사람이 넣습니다</t>
        </is>
      </c>
      <c r="E5" s="9" t="n">
        <v>0</v>
      </c>
      <c r="F5" s="9" t="n">
        <v>0</v>
      </c>
      <c r="G5" s="8">
        <f>F5-E5</f>
        <v/>
      </c>
    </row>
    <row r="6">
      <c r="A6" s="4" t="inlineStr">
        <is>
          <t>3</t>
        </is>
      </c>
      <c r="B6" s="5" t="inlineStr">
        <is>
          <t>작업설·부산물 등(△)</t>
        </is>
      </c>
      <c r="C6" s="6" t="n"/>
      <c r="D6" s="7" t="inlineStr">
        <is>
          <t>사람이 넣습니다 (빼는 값이면 음수)</t>
        </is>
      </c>
      <c r="E6" s="9" t="n">
        <v>0</v>
      </c>
      <c r="F6" s="9" t="n">
        <v>0</v>
      </c>
      <c r="G6" s="8">
        <f>F6-E6</f>
        <v/>
      </c>
    </row>
    <row r="7">
      <c r="A7" s="10" t="inlineStr">
        <is>
          <t>A</t>
        </is>
      </c>
      <c r="B7" s="11" t="inlineStr">
        <is>
          <t>[ 재 료 비 ] 소 계</t>
        </is>
      </c>
      <c r="C7" s="11" t="n"/>
      <c r="D7" s="11" t="inlineStr">
        <is>
          <t>( 1 + 2 + 3 )</t>
        </is>
      </c>
      <c r="E7" s="12">
        <f>E4+E5+E6</f>
        <v/>
      </c>
      <c r="F7" s="12">
        <f>F4+F5+F6</f>
        <v/>
      </c>
      <c r="G7" s="12">
        <f>F7-E7</f>
        <v/>
      </c>
    </row>
    <row r="8">
      <c r="A8" s="4" t="inlineStr">
        <is>
          <t>4</t>
        </is>
      </c>
      <c r="B8" s="5" t="inlineStr">
        <is>
          <t>직 접 노 무 비</t>
        </is>
      </c>
      <c r="C8" s="6" t="n"/>
      <c r="D8" s="7" t="inlineStr">
        <is>
          <t>당초 Σ(수량 × 노무비단가) · 변경 = 당초 + 증감대비표(제65조)</t>
        </is>
      </c>
      <c r="E8" s="8">
        <f>SUMPRODUCT(N(내역서!$F$4:$F$203),N(내역서!$H$4:$H$203))</f>
        <v/>
      </c>
      <c r="F8" s="8">
        <f>E8+SUM(증감대비표!$V$4:$V$203)</f>
        <v/>
      </c>
      <c r="G8" s="8">
        <f>F8-E8</f>
        <v/>
      </c>
    </row>
    <row r="9">
      <c r="A9" s="4" t="inlineStr">
        <is>
          <t>5</t>
        </is>
      </c>
      <c r="B9" s="5" t="inlineStr">
        <is>
          <t>간 접 노 무 비</t>
        </is>
      </c>
      <c r="C9" s="13">
        <f>'설정'!C19</f>
        <v/>
      </c>
      <c r="D9" s="7" t="inlineStr">
        <is>
          <t>4 × 요율</t>
        </is>
      </c>
      <c r="E9" s="8">
        <f>ROUND(E8*'설정'!$C$19/100,0)</f>
        <v/>
      </c>
      <c r="F9" s="8">
        <f>ROUND(F8*'설정'!$C$19/100,0)</f>
        <v/>
      </c>
      <c r="G9" s="8">
        <f>F9-E9</f>
        <v/>
      </c>
    </row>
    <row r="10">
      <c r="A10" s="10" t="inlineStr">
        <is>
          <t>B</t>
        </is>
      </c>
      <c r="B10" s="11" t="inlineStr">
        <is>
          <t>[ 노 무 비 ] 소 계</t>
        </is>
      </c>
      <c r="C10" s="11" t="n"/>
      <c r="D10" s="11" t="inlineStr">
        <is>
          <t>( 4 + 5 )</t>
        </is>
      </c>
      <c r="E10" s="12">
        <f>E8+E9</f>
        <v/>
      </c>
      <c r="F10" s="12">
        <f>F8+F9</f>
        <v/>
      </c>
      <c r="G10" s="12">
        <f>F10-E10</f>
        <v/>
      </c>
    </row>
    <row r="11">
      <c r="A11" s="4" t="inlineStr">
        <is>
          <t>6</t>
        </is>
      </c>
      <c r="B11" s="5" t="inlineStr">
        <is>
          <t>산 출 경 비</t>
        </is>
      </c>
      <c r="C11" s="6" t="n"/>
      <c r="D11" s="7" t="inlineStr">
        <is>
          <t>당초 Σ(수량 × 경비단가) · 변경 = 당초 + 증감대비표(제65조)</t>
        </is>
      </c>
      <c r="E11" s="8">
        <f>SUMPRODUCT(N(내역서!$F$4:$F$203),N(내역서!$I$4:$I$203))</f>
        <v/>
      </c>
      <c r="F11" s="8">
        <f>E11+SUM(증감대비표!$W$4:$W$203)</f>
        <v/>
      </c>
      <c r="G11" s="8">
        <f>F11-E11</f>
        <v/>
      </c>
    </row>
    <row r="12">
      <c r="A12" s="4" t="inlineStr">
        <is>
          <t>7</t>
        </is>
      </c>
      <c r="B12" s="5" t="inlineStr">
        <is>
          <t>산 재 보 험 료</t>
        </is>
      </c>
      <c r="C12" s="13">
        <f>'설정'!C20</f>
        <v/>
      </c>
      <c r="D12" s="7" t="inlineStr">
        <is>
          <t>B × 요율</t>
        </is>
      </c>
      <c r="E12" s="8">
        <f>ROUND(E10*'설정'!$C$20/100,0)</f>
        <v/>
      </c>
      <c r="F12" s="8">
        <f>ROUND(F10*'설정'!$C$20/100,0)</f>
        <v/>
      </c>
      <c r="G12" s="8">
        <f>F12-E12</f>
        <v/>
      </c>
    </row>
    <row r="13">
      <c r="A13" s="4" t="inlineStr">
        <is>
          <t>8</t>
        </is>
      </c>
      <c r="B13" s="5" t="inlineStr">
        <is>
          <t>고 용 보 험 료</t>
        </is>
      </c>
      <c r="C13" s="13">
        <f>'설정'!C21</f>
        <v/>
      </c>
      <c r="D13" s="7" t="inlineStr">
        <is>
          <t>B × 요율</t>
        </is>
      </c>
      <c r="E13" s="8">
        <f>ROUND(E10*'설정'!$C$21/100,0)</f>
        <v/>
      </c>
      <c r="F13" s="8">
        <f>ROUND(F10*'설정'!$C$21/100,0)</f>
        <v/>
      </c>
      <c r="G13" s="8">
        <f>F13-E13</f>
        <v/>
      </c>
    </row>
    <row r="14">
      <c r="A14" s="4" t="inlineStr">
        <is>
          <t>9</t>
        </is>
      </c>
      <c r="B14" s="5" t="inlineStr">
        <is>
          <t>건 강 보 험 료</t>
        </is>
      </c>
      <c r="C14" s="13">
        <f>'설정'!C22</f>
        <v/>
      </c>
      <c r="D14" s="7" t="inlineStr">
        <is>
          <t>4 × 요율</t>
        </is>
      </c>
      <c r="E14" s="8">
        <f>ROUND(E8*'설정'!$C$22/100,0)</f>
        <v/>
      </c>
      <c r="F14" s="8">
        <f>ROUND(F8*'설정'!$C$22/100,0)</f>
        <v/>
      </c>
      <c r="G14" s="8">
        <f>F14-E14</f>
        <v/>
      </c>
    </row>
    <row r="15">
      <c r="A15" s="4" t="inlineStr">
        <is>
          <t>10</t>
        </is>
      </c>
      <c r="B15" s="5" t="inlineStr">
        <is>
          <t>연 금 보 험 료</t>
        </is>
      </c>
      <c r="C15" s="13">
        <f>'설정'!C23</f>
        <v/>
      </c>
      <c r="D15" s="7" t="inlineStr">
        <is>
          <t>4 × 요율</t>
        </is>
      </c>
      <c r="E15" s="8">
        <f>ROUND(E8*'설정'!$C$23/100,0)</f>
        <v/>
      </c>
      <c r="F15" s="8">
        <f>ROUND(F8*'설정'!$C$23/100,0)</f>
        <v/>
      </c>
      <c r="G15" s="8">
        <f>F15-E15</f>
        <v/>
      </c>
    </row>
    <row r="16">
      <c r="A16" s="4" t="inlineStr">
        <is>
          <t>11</t>
        </is>
      </c>
      <c r="B16" s="5" t="inlineStr">
        <is>
          <t>노인장기요양보험료</t>
        </is>
      </c>
      <c r="C16" s="13">
        <f>'설정'!C24</f>
        <v/>
      </c>
      <c r="D16" s="7" t="inlineStr">
        <is>
          <t>9 × 요율</t>
        </is>
      </c>
      <c r="E16" s="8">
        <f>ROUND(E14*'설정'!$C$24/100,0)</f>
        <v/>
      </c>
      <c r="F16" s="8">
        <f>ROUND(F14*'설정'!$C$24/100,0)</f>
        <v/>
      </c>
      <c r="G16" s="8">
        <f>F16-E16</f>
        <v/>
      </c>
    </row>
    <row r="17">
      <c r="A17" s="4" t="inlineStr">
        <is>
          <t>12</t>
        </is>
      </c>
      <c r="B17" s="5" t="inlineStr">
        <is>
          <t>퇴 직 공 제 부 금 비</t>
        </is>
      </c>
      <c r="C17" s="13">
        <f>'설정'!C25</f>
        <v/>
      </c>
      <c r="D17" s="7" t="inlineStr">
        <is>
          <t>4 × 요율</t>
        </is>
      </c>
      <c r="E17" s="8">
        <f>ROUND(E8*'설정'!$C$25/100,0)</f>
        <v/>
      </c>
      <c r="F17" s="8">
        <f>ROUND(F8*'설정'!$C$25/100,0)</f>
        <v/>
      </c>
      <c r="G17" s="8">
        <f>F17-E17</f>
        <v/>
      </c>
    </row>
    <row r="18">
      <c r="A18" s="4" t="inlineStr">
        <is>
          <t>13</t>
        </is>
      </c>
      <c r="B18" s="5" t="inlineStr">
        <is>
          <t>건설기계대여금지급보증서발급액</t>
        </is>
      </c>
      <c r="C18" s="13">
        <f>'설정'!C26</f>
        <v/>
      </c>
      <c r="D18" s="7" t="inlineStr">
        <is>
          <t>( A + 4 + 6 ) × 요율</t>
        </is>
      </c>
      <c r="E18" s="8">
        <f>ROUND((E7+E8+E11)*'설정'!$C$26/100,0)</f>
        <v/>
      </c>
      <c r="F18" s="8">
        <f>ROUND((F7+F8+F11)*'설정'!$C$26/100,0)</f>
        <v/>
      </c>
      <c r="G18" s="8">
        <f>F18-E18</f>
        <v/>
      </c>
    </row>
    <row r="19">
      <c r="A19" s="4" t="inlineStr">
        <is>
          <t>14</t>
        </is>
      </c>
      <c r="B19" s="5" t="inlineStr">
        <is>
          <t>산 업 안 전 보건관리비</t>
        </is>
      </c>
      <c r="C19" s="13">
        <f>'설정'!C27</f>
        <v/>
      </c>
      <c r="D19" s="7" t="inlineStr">
        <is>
          <t>( ( A + 4 ) + K ÷ 1.1 ) × 요율</t>
        </is>
      </c>
      <c r="E19" s="8">
        <f>ROUND(((E7+E8)+E34/1.1)*'설정'!$C$27/100,0)</f>
        <v/>
      </c>
      <c r="F19" s="8">
        <f>ROUND(((F7+F8)+F34/1.1)*'설정'!$C$27/100,0)</f>
        <v/>
      </c>
      <c r="G19" s="8">
        <f>F19-E19</f>
        <v/>
      </c>
    </row>
    <row r="20">
      <c r="A20" s="4" t="inlineStr">
        <is>
          <t>15</t>
        </is>
      </c>
      <c r="B20" s="5" t="inlineStr">
        <is>
          <t>환 경 보 전 비</t>
        </is>
      </c>
      <c r="C20" s="13">
        <f>'설정'!C28</f>
        <v/>
      </c>
      <c r="D20" s="7" t="inlineStr">
        <is>
          <t>( A + 4 + 6 ) × 요율</t>
        </is>
      </c>
      <c r="E20" s="8">
        <f>ROUND((E7+E8+E11)*'설정'!$C$28/100,0)</f>
        <v/>
      </c>
      <c r="F20" s="8">
        <f>ROUND((F7+F8+F11)*'설정'!$C$28/100,0)</f>
        <v/>
      </c>
      <c r="G20" s="8">
        <f>F20-E20</f>
        <v/>
      </c>
    </row>
    <row r="21">
      <c r="A21" s="4" t="inlineStr">
        <is>
          <t>16</t>
        </is>
      </c>
      <c r="B21" s="5" t="inlineStr">
        <is>
          <t>공 사 이 행 보증수수료</t>
        </is>
      </c>
      <c r="C21" s="6" t="n"/>
      <c r="D21" s="7" t="inlineStr">
        <is>
          <t>사람이 넣습니다</t>
        </is>
      </c>
      <c r="E21" s="9" t="n">
        <v>0</v>
      </c>
      <c r="F21" s="9" t="n">
        <v>0</v>
      </c>
      <c r="G21" s="8">
        <f>F21-E21</f>
        <v/>
      </c>
    </row>
    <row r="22">
      <c r="A22" s="4" t="inlineStr">
        <is>
          <t>17</t>
        </is>
      </c>
      <c r="B22" s="5" t="inlineStr">
        <is>
          <t>하도급대금지급보증수수료</t>
        </is>
      </c>
      <c r="C22" s="13">
        <f>'설정'!C29</f>
        <v/>
      </c>
      <c r="D22" s="7" t="inlineStr">
        <is>
          <t>( A + 4 + 6 ) × 요율</t>
        </is>
      </c>
      <c r="E22" s="8">
        <f>ROUND((E7+E8+E11)*'설정'!$C$29/100,0)</f>
        <v/>
      </c>
      <c r="F22" s="8">
        <f>ROUND((F7+F8+F11)*'설정'!$C$29/100,0)</f>
        <v/>
      </c>
      <c r="G22" s="8">
        <f>F22-E22</f>
        <v/>
      </c>
    </row>
    <row r="23">
      <c r="A23" s="4" t="inlineStr">
        <is>
          <t>18</t>
        </is>
      </c>
      <c r="B23" s="5" t="inlineStr">
        <is>
          <t>석 면 분 담 금</t>
        </is>
      </c>
      <c r="C23" s="13">
        <f>'설정'!C30</f>
        <v/>
      </c>
      <c r="D23" s="7" t="inlineStr">
        <is>
          <t>B × 요율</t>
        </is>
      </c>
      <c r="E23" s="8">
        <f>ROUND(E10*'설정'!$C$30/100,0)</f>
        <v/>
      </c>
      <c r="F23" s="8">
        <f>ROUND(F10*'설정'!$C$30/100,0)</f>
        <v/>
      </c>
      <c r="G23" s="8">
        <f>F23-E23</f>
        <v/>
      </c>
    </row>
    <row r="24">
      <c r="A24" s="4" t="inlineStr">
        <is>
          <t>19</t>
        </is>
      </c>
      <c r="B24" s="5" t="inlineStr">
        <is>
          <t>임 금 채 권 부 담 금</t>
        </is>
      </c>
      <c r="C24" s="13">
        <f>'설정'!C31</f>
        <v/>
      </c>
      <c r="D24" s="7" t="inlineStr">
        <is>
          <t>B × 요율</t>
        </is>
      </c>
      <c r="E24" s="8">
        <f>ROUND(E10*'설정'!$C$31/100,0)</f>
        <v/>
      </c>
      <c r="F24" s="8">
        <f>ROUND(F10*'설정'!$C$31/100,0)</f>
        <v/>
      </c>
      <c r="G24" s="8">
        <f>F24-E24</f>
        <v/>
      </c>
    </row>
    <row r="25">
      <c r="A25" s="4" t="inlineStr">
        <is>
          <t>20</t>
        </is>
      </c>
      <c r="B25" s="5" t="inlineStr">
        <is>
          <t>기 타 경 비</t>
        </is>
      </c>
      <c r="C25" s="13">
        <f>'설정'!C32</f>
        <v/>
      </c>
      <c r="D25" s="7" t="inlineStr">
        <is>
          <t>( A + B ) × 요율</t>
        </is>
      </c>
      <c r="E25" s="8">
        <f>ROUND((E7+E10)*'설정'!$C$32/100,0)</f>
        <v/>
      </c>
      <c r="F25" s="8">
        <f>ROUND((F7+F10)*'설정'!$C$32/100,0)</f>
        <v/>
      </c>
      <c r="G25" s="8">
        <f>F25-E25</f>
        <v/>
      </c>
    </row>
    <row r="26">
      <c r="A26" s="10" t="inlineStr">
        <is>
          <t>C</t>
        </is>
      </c>
      <c r="B26" s="11" t="inlineStr">
        <is>
          <t>[ 경 비 ] 소 계</t>
        </is>
      </c>
      <c r="C26" s="11" t="n"/>
      <c r="D26" s="11" t="inlineStr">
        <is>
          <t>( 6 ~ 20 )</t>
        </is>
      </c>
      <c r="E26" s="12">
        <f>SUM(E11:E25)</f>
        <v/>
      </c>
      <c r="F26" s="12">
        <f>SUM(F11:F25)</f>
        <v/>
      </c>
      <c r="G26" s="12">
        <f>F26-E26</f>
        <v/>
      </c>
    </row>
    <row r="27">
      <c r="A27" s="10" t="inlineStr">
        <is>
          <t>D</t>
        </is>
      </c>
      <c r="B27" s="11" t="inlineStr">
        <is>
          <t>순 공 사 원 가</t>
        </is>
      </c>
      <c r="C27" s="11" t="n"/>
      <c r="D27" s="11" t="inlineStr">
        <is>
          <t>( A + B + C )</t>
        </is>
      </c>
      <c r="E27" s="12">
        <f>E7+E10+E26</f>
        <v/>
      </c>
      <c r="F27" s="12">
        <f>F7+F10+F26</f>
        <v/>
      </c>
      <c r="G27" s="12">
        <f>F27-E27</f>
        <v/>
      </c>
    </row>
    <row r="28">
      <c r="A28" s="4" t="inlineStr">
        <is>
          <t>E</t>
        </is>
      </c>
      <c r="B28" s="5" t="inlineStr">
        <is>
          <t>일 반 관 리 비</t>
        </is>
      </c>
      <c r="C28" s="13">
        <f>'설정'!C33</f>
        <v/>
      </c>
      <c r="D28" s="7" t="inlineStr">
        <is>
          <t>D × 요율</t>
        </is>
      </c>
      <c r="E28" s="8">
        <f>ROUND(E27*'설정'!$C$33/100,0)</f>
        <v/>
      </c>
      <c r="F28" s="8">
        <f>ROUND(F27*'설정'!$C$33/100,0)</f>
        <v/>
      </c>
      <c r="G28" s="8">
        <f>F28-E28</f>
        <v/>
      </c>
    </row>
    <row r="29">
      <c r="A29" s="4" t="inlineStr">
        <is>
          <t>F</t>
        </is>
      </c>
      <c r="B29" s="5" t="inlineStr">
        <is>
          <t>이            윤</t>
        </is>
      </c>
      <c r="C29" s="13">
        <f>'설정'!C34</f>
        <v/>
      </c>
      <c r="D29" s="7" t="inlineStr">
        <is>
          <t>( B + C + E ) × 요율 — 재료비는 넣지 않습니다</t>
        </is>
      </c>
      <c r="E29" s="8">
        <f>ROUND((E10+E26+E28)*'설정'!$C$34/100,0)</f>
        <v/>
      </c>
      <c r="F29" s="8">
        <f>ROUND((F10+F26+F28)*'설정'!$C$34/100,0)</f>
        <v/>
      </c>
      <c r="G29" s="8">
        <f>F29-E29</f>
        <v/>
      </c>
    </row>
    <row r="30">
      <c r="A30" s="4" t="inlineStr">
        <is>
          <t>G</t>
        </is>
      </c>
      <c r="B30" s="5" t="inlineStr">
        <is>
          <t>폐 기 물 처 리 비</t>
        </is>
      </c>
      <c r="C30" s="6" t="n"/>
      <c r="D30" s="7" t="inlineStr">
        <is>
          <t>사람이 넣습니다</t>
        </is>
      </c>
      <c r="E30" s="9" t="n">
        <v>0</v>
      </c>
      <c r="F30" s="9" t="n">
        <v>0</v>
      </c>
      <c r="G30" s="8">
        <f>F30-E30</f>
        <v/>
      </c>
    </row>
    <row r="31">
      <c r="A31" s="10" t="inlineStr">
        <is>
          <t>H</t>
        </is>
      </c>
      <c r="B31" s="11" t="inlineStr">
        <is>
          <t>총        원        가</t>
        </is>
      </c>
      <c r="C31" s="11" t="n"/>
      <c r="D31" s="11" t="inlineStr">
        <is>
          <t>( D + E + F + G )</t>
        </is>
      </c>
      <c r="E31" s="12">
        <f>E27+E28+E29+E30</f>
        <v/>
      </c>
      <c r="F31" s="12">
        <f>F27+F28+F29+F30</f>
        <v/>
      </c>
      <c r="G31" s="12">
        <f>F31-E31</f>
        <v/>
      </c>
    </row>
    <row r="32">
      <c r="A32" s="4" t="inlineStr">
        <is>
          <t>I</t>
        </is>
      </c>
      <c r="B32" s="5" t="inlineStr">
        <is>
          <t>부 가 가 치 세</t>
        </is>
      </c>
      <c r="C32" s="13">
        <f>'설정'!C35</f>
        <v/>
      </c>
      <c r="D32" s="7" t="inlineStr">
        <is>
          <t>H × 요율</t>
        </is>
      </c>
      <c r="E32" s="8">
        <f>ROUND(E31*'설정'!$C$35/100,0)</f>
        <v/>
      </c>
      <c r="F32" s="8">
        <f>ROUND(F31*'설정'!$C$35/100,0)</f>
        <v/>
      </c>
      <c r="G32" s="8">
        <f>F32-E32</f>
        <v/>
      </c>
    </row>
    <row r="33">
      <c r="A33" s="10" t="inlineStr">
        <is>
          <t>J</t>
        </is>
      </c>
      <c r="B33" s="11" t="inlineStr">
        <is>
          <t>도        급        액</t>
        </is>
      </c>
      <c r="C33" s="11" t="n"/>
      <c r="D33" s="11" t="inlineStr">
        <is>
          <t>( H + I )</t>
        </is>
      </c>
      <c r="E33" s="12">
        <f>E31+E32</f>
        <v/>
      </c>
      <c r="F33" s="12">
        <f>F31+F32</f>
        <v/>
      </c>
      <c r="G33" s="12">
        <f>F33-E33</f>
        <v/>
      </c>
    </row>
    <row r="34">
      <c r="A34" s="4" t="inlineStr">
        <is>
          <t>K</t>
        </is>
      </c>
      <c r="B34" s="5" t="inlineStr">
        <is>
          <t>관 급 자 재 대</t>
        </is>
      </c>
      <c r="C34" s="6" t="n"/>
      <c r="D34" s="7" t="inlineStr">
        <is>
          <t>사람이 넣습니다</t>
        </is>
      </c>
      <c r="E34" s="9" t="n">
        <v>0</v>
      </c>
      <c r="F34" s="9" t="n">
        <v>0</v>
      </c>
      <c r="G34" s="8">
        <f>F34-E34</f>
        <v/>
      </c>
    </row>
    <row r="35">
      <c r="A35" s="14" t="inlineStr">
        <is>
          <t>L</t>
        </is>
      </c>
      <c r="B35" s="15" t="inlineStr">
        <is>
          <t>총   공   사   비</t>
        </is>
      </c>
      <c r="C35" s="15" t="n"/>
      <c r="D35" s="15" t="inlineStr">
        <is>
          <t>( J + K )</t>
        </is>
      </c>
      <c r="E35" s="16">
        <f>E33+E34</f>
        <v/>
      </c>
      <c r="F35" s="16">
        <f>F33+F34</f>
        <v/>
      </c>
      <c r="G35" s="16">
        <f>F35-E35</f>
        <v/>
      </c>
    </row>
    <row r="37">
      <c r="A37" s="17" t="inlineStr">
        <is>
          <t>조달청 설계내역서 110장을 열어 줄 차례·요율·산출근거를 세어 그대로 맞춘 것입니다. 노랑 칸만 사람이 넣습니다(간접재료비·작업설·공사이행보증·폐기물·관급자재대). ⚠️ 요율은 해마다·공사 규모마다 바뀝니다 — «설정» 시트에 발주처 설계서의 요율을 넣고 쓰십시오. 이윤은 (B+C+E)에만 곱합니다 — 재료비(A)는 넣지 않습니다. 산업안전보건관리비는 관급자재대(K)를 1.1로 나눠 더한 값에 곱합니다. «변경 후» 직접비는 당초 + 증감대비표의 제65조 증감(증가 = 계약단가 · 신규 = 당시단가 × 낙찰률)입니다 — 증감 열의 «도급액» 증감이 곧 계약금액 조정액입니다(제비율 · 부가세 포함).</t>
        </is>
      </c>
    </row>
  </sheetData>
  <mergeCells count="3">
    <mergeCell ref="A2:G2"/>
    <mergeCell ref="A1:G1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4" customWidth="1" min="4" max="4"/>
    <col width="7" customWidth="1" min="5" max="5"/>
    <col width="11" customWidth="1" min="6" max="6"/>
    <col width="12" customWidth="1" min="7" max="7"/>
    <col width="14" customWidth="1" min="8" max="8"/>
    <col width="11" customWidth="1" min="9" max="9"/>
    <col width="12" customWidth="1" min="10" max="10"/>
    <col width="11" customWidth="1" min="11" max="11"/>
    <col width="9" customWidth="1" min="12" max="12"/>
    <col width="9" customWidth="1" min="13" max="13"/>
    <col width="13" customWidth="1" min="14" max="14"/>
    <col width="13" customWidth="1" min="15" max="15"/>
    <col width="15" customWidth="1" min="16" max="16"/>
    <col width="34" customWidth="1" min="17" max="17"/>
    <col width="12" customWidth="1" min="18" max="18"/>
    <col width="12" customWidth="1" min="19" max="19"/>
    <col width="12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증 감 대 비 표</t>
        </is>
      </c>
    </row>
    <row r="3" ht="30" customHeight="1">
      <c r="A3" s="3" t="inlineStr">
        <is>
          <t>번호</t>
        </is>
      </c>
      <c r="B3" s="3" t="inlineStr">
        <is>
          <t>공종코드</t>
        </is>
      </c>
      <c r="C3" s="3" t="inlineStr">
        <is>
          <t>품 명</t>
        </is>
      </c>
      <c r="D3" s="3" t="inlineStr">
        <is>
          <t>규 격</t>
        </is>
      </c>
      <c r="E3" s="3" t="inlineStr">
        <is>
          <t>단위</t>
        </is>
      </c>
      <c r="F3" s="3" t="inlineStr">
        <is>
          <t>당초수량</t>
        </is>
      </c>
      <c r="G3" s="3" t="inlineStr">
        <is>
          <t>계약단가</t>
        </is>
      </c>
      <c r="H3" s="3" t="inlineStr">
        <is>
          <t>당초금액</t>
        </is>
      </c>
      <c r="I3" s="3" t="inlineStr">
        <is>
          <t>변경수량</t>
        </is>
      </c>
      <c r="J3" s="3" t="inlineStr">
        <is>
          <t>당시단가</t>
        </is>
      </c>
      <c r="K3" s="3" t="inlineStr">
        <is>
          <t>증감수량</t>
        </is>
      </c>
      <c r="L3" s="3" t="inlineStr">
        <is>
          <t>구분</t>
        </is>
      </c>
      <c r="M3" s="3" t="inlineStr">
        <is>
          <t>협의(Y)</t>
        </is>
      </c>
      <c r="N3" s="3" t="inlineStr">
        <is>
          <t>예정가격단가</t>
        </is>
      </c>
      <c r="O3" s="3" t="inlineStr">
        <is>
          <t>적용단가</t>
        </is>
      </c>
      <c r="P3" s="3" t="inlineStr">
        <is>
          <t>증감금액</t>
        </is>
      </c>
      <c r="Q3" s="3" t="inlineStr">
        <is>
          <t>단가 근거</t>
        </is>
      </c>
      <c r="R3" s="3" t="inlineStr">
        <is>
          <t>적용 재료비</t>
        </is>
      </c>
      <c r="S3" s="3" t="inlineStr">
        <is>
          <t>적용 노무비</t>
        </is>
      </c>
      <c r="T3" s="3" t="inlineStr">
        <is>
          <t>적용 경비</t>
        </is>
      </c>
      <c r="U3" s="3" t="inlineStr">
        <is>
          <t>증감 재료비</t>
        </is>
      </c>
      <c r="V3" s="3" t="inlineStr">
        <is>
          <t>증감 노무비</t>
        </is>
      </c>
      <c r="W3" s="3" t="inlineStr">
        <is>
          <t>증감 경비</t>
        </is>
      </c>
    </row>
    <row r="4">
      <c r="A4" s="18">
        <f>IF($B4="","",ROW()-4+1)</f>
        <v/>
      </c>
      <c r="B4" s="18">
        <f>내역서!$B4</f>
        <v/>
      </c>
      <c r="C4" s="18">
        <f>IF($B4="","",내역서!$C4)</f>
        <v/>
      </c>
      <c r="D4" s="18">
        <f>IF($B4="","",내역서!$D4)</f>
        <v/>
      </c>
      <c r="E4" s="18">
        <f>IF($B4="","",내역서!$E4)</f>
        <v/>
      </c>
      <c r="F4" s="19">
        <f>IF($B4="","",N(내역서!$F4))</f>
        <v/>
      </c>
      <c r="G4" s="20">
        <f>IF($B4="","",N(내역서!$J4))</f>
        <v/>
      </c>
      <c r="H4" s="20">
        <f>IF($B4="","",N(내역서!$K4))</f>
        <v/>
      </c>
      <c r="I4" s="19">
        <f>IF($B4="","",N(내역서!$N4))</f>
        <v/>
      </c>
      <c r="J4" s="20">
        <f>IF($B4="","",N(내역서!$R4))</f>
        <v/>
      </c>
      <c r="K4" s="19">
        <f>IF($B4="","",N($I4)-N($F4))</f>
        <v/>
      </c>
      <c r="L4" s="21">
        <f>IF($B4="","",IF(N(내역서!$F4)=0,"신규",IF($K4&lt;0,"감소",IF($K4&gt;0,"증가","-"))))</f>
        <v/>
      </c>
      <c r="M4" s="22" t="n"/>
      <c r="N4" s="23" t="n"/>
      <c r="O4" s="24">
        <f>IF($B4="","",IF($L4="감소",$G4,IF($L4="증가",IF($M4="Y",ROUND(($J4+$J4*('설정'!$C$15/100))/2,0),IF(AND($N4&lt;&gt;"",$G4&gt;$N4),$N4,$G4)),IF($L4="신규",IF($M4="Y",ROUND(($J4+$J4*('설정'!$C$15/100))/2,0),ROUND($J4*('설정'!$C$15/100),0)),0))))</f>
        <v/>
      </c>
      <c r="P4" s="24">
        <f>IF($B4="","",ROUND(N($K4)*N($O4),0))</f>
        <v/>
      </c>
      <c r="Q4" s="25">
        <f>IF($B4="","",IF($L4="감소","감소분 → 계약단가",IF(AND($M4="Y",OR($L4="증가",$L4="신규")),"발주기관 요구 → 협의 (불성립 시 (당시단가+당시단가×낙찰률)÷2)",IF($L4="증가",IF(AND($N4&lt;&gt;"",$G4&gt;$N4),"증가분 → 계약단가&gt;예정가격단가 이므로 예정가격단가","증가분 → 계약단가 (낙찰률을 곱하지 않습니다)"),IF($L4="신규","신규비목 → 당시단가 × 낙찰률","")))))</f>
        <v/>
      </c>
      <c r="R4" s="20">
        <f>IF($B4="","",IF(N($O4)=0,0,IF(OR($L4="감소",AND($L4="증가",$M4&lt;&gt;"Y")),IF(N($G4)=0,0,ROUND(N(내역서!$G4)*$O4/$G4,0)),IF(N($J4)=0,0,ROUND(N(내역서!$O4)*$O4/$J4,0)))))</f>
        <v/>
      </c>
      <c r="S4" s="20">
        <f>IF($B4="","",IF(N($O4)=0,0,IF(OR($L4="감소",AND($L4="증가",$M4&lt;&gt;"Y")),IF(N($G4)=0,0,ROUND(N(내역서!$H4)*$O4/$G4,0)),IF(N($J4)=0,0,ROUND(N(내역서!$P4)*$O4/$J4,0)))))</f>
        <v/>
      </c>
      <c r="T4" s="20">
        <f>IF($B4="","",N($O4)-N($R4)-N($S4))</f>
        <v/>
      </c>
      <c r="U4" s="20">
        <f>IF($B4="","",ROUND(N($K4)*N($R4),0))</f>
        <v/>
      </c>
      <c r="V4" s="20">
        <f>IF($B4="","",ROUND(N($K4)*N($S4),0))</f>
        <v/>
      </c>
      <c r="W4" s="20">
        <f>IF($B4="","",N($P4)-N($U4)-N($V4))</f>
        <v/>
      </c>
    </row>
    <row r="5">
      <c r="A5" s="18">
        <f>IF($B5="","",ROW()-4+1)</f>
        <v/>
      </c>
      <c r="B5" s="18">
        <f>내역서!$B5</f>
        <v/>
      </c>
      <c r="C5" s="18">
        <f>IF($B5="","",내역서!$C5)</f>
        <v/>
      </c>
      <c r="D5" s="18">
        <f>IF($B5="","",내역서!$D5)</f>
        <v/>
      </c>
      <c r="E5" s="18">
        <f>IF($B5="","",내역서!$E5)</f>
        <v/>
      </c>
      <c r="F5" s="19">
        <f>IF($B5="","",N(내역서!$F5))</f>
        <v/>
      </c>
      <c r="G5" s="20">
        <f>IF($B5="","",N(내역서!$J5))</f>
        <v/>
      </c>
      <c r="H5" s="20">
        <f>IF($B5="","",N(내역서!$K5))</f>
        <v/>
      </c>
      <c r="I5" s="19">
        <f>IF($B5="","",N(내역서!$N5))</f>
        <v/>
      </c>
      <c r="J5" s="20">
        <f>IF($B5="","",N(내역서!$R5))</f>
        <v/>
      </c>
      <c r="K5" s="19">
        <f>IF($B5="","",N($I5)-N($F5))</f>
        <v/>
      </c>
      <c r="L5" s="21">
        <f>IF($B5="","",IF(N(내역서!$F5)=0,"신규",IF($K5&lt;0,"감소",IF($K5&gt;0,"증가","-"))))</f>
        <v/>
      </c>
      <c r="M5" s="22" t="n"/>
      <c r="N5" s="23" t="n"/>
      <c r="O5" s="24">
        <f>IF($B5="","",IF($L5="감소",$G5,IF($L5="증가",IF($M5="Y",ROUND(($J5+$J5*('설정'!$C$15/100))/2,0),IF(AND($N5&lt;&gt;"",$G5&gt;$N5),$N5,$G5)),IF($L5="신규",IF($M5="Y",ROUND(($J5+$J5*('설정'!$C$15/100))/2,0),ROUND($J5*('설정'!$C$15/100),0)),0))))</f>
        <v/>
      </c>
      <c r="P5" s="24">
        <f>IF($B5="","",ROUND(N($K5)*N($O5),0))</f>
        <v/>
      </c>
      <c r="Q5" s="25">
        <f>IF($B5="","",IF($L5="감소","감소분 → 계약단가",IF(AND($M5="Y",OR($L5="증가",$L5="신규")),"발주기관 요구 → 협의 (불성립 시 (당시단가+당시단가×낙찰률)÷2)",IF($L5="증가",IF(AND($N5&lt;&gt;"",$G5&gt;$N5),"증가분 → 계약단가&gt;예정가격단가 이므로 예정가격단가","증가분 → 계약단가 (낙찰률을 곱하지 않습니다)"),IF($L5="신규","신규비목 → 당시단가 × 낙찰률","")))))</f>
        <v/>
      </c>
      <c r="R5" s="20">
        <f>IF($B5="","",IF(N($O5)=0,0,IF(OR($L5="감소",AND($L5="증가",$M5&lt;&gt;"Y")),IF(N($G5)=0,0,ROUND(N(내역서!$G5)*$O5/$G5,0)),IF(N($J5)=0,0,ROUND(N(내역서!$O5)*$O5/$J5,0)))))</f>
        <v/>
      </c>
      <c r="S5" s="20">
        <f>IF($B5="","",IF(N($O5)=0,0,IF(OR($L5="감소",AND($L5="증가",$M5&lt;&gt;"Y")),IF(N($G5)=0,0,ROUND(N(내역서!$H5)*$O5/$G5,0)),IF(N($J5)=0,0,ROUND(N(내역서!$P5)*$O5/$J5,0)))))</f>
        <v/>
      </c>
      <c r="T5" s="20">
        <f>IF($B5="","",N($O5)-N($R5)-N($S5))</f>
        <v/>
      </c>
      <c r="U5" s="20">
        <f>IF($B5="","",ROUND(N($K5)*N($R5),0))</f>
        <v/>
      </c>
      <c r="V5" s="20">
        <f>IF($B5="","",ROUND(N($K5)*N($S5),0))</f>
        <v/>
      </c>
      <c r="W5" s="20">
        <f>IF($B5="","",N($P5)-N($U5)-N($V5))</f>
        <v/>
      </c>
    </row>
    <row r="6">
      <c r="A6" s="18">
        <f>IF($B6="","",ROW()-4+1)</f>
        <v/>
      </c>
      <c r="B6" s="18">
        <f>내역서!$B6</f>
        <v/>
      </c>
      <c r="C6" s="18">
        <f>IF($B6="","",내역서!$C6)</f>
        <v/>
      </c>
      <c r="D6" s="18">
        <f>IF($B6="","",내역서!$D6)</f>
        <v/>
      </c>
      <c r="E6" s="18">
        <f>IF($B6="","",내역서!$E6)</f>
        <v/>
      </c>
      <c r="F6" s="19">
        <f>IF($B6="","",N(내역서!$F6))</f>
        <v/>
      </c>
      <c r="G6" s="20">
        <f>IF($B6="","",N(내역서!$J6))</f>
        <v/>
      </c>
      <c r="H6" s="20">
        <f>IF($B6="","",N(내역서!$K6))</f>
        <v/>
      </c>
      <c r="I6" s="19">
        <f>IF($B6="","",N(내역서!$N6))</f>
        <v/>
      </c>
      <c r="J6" s="20">
        <f>IF($B6="","",N(내역서!$R6))</f>
        <v/>
      </c>
      <c r="K6" s="19">
        <f>IF($B6="","",N($I6)-N($F6))</f>
        <v/>
      </c>
      <c r="L6" s="21">
        <f>IF($B6="","",IF(N(내역서!$F6)=0,"신규",IF($K6&lt;0,"감소",IF($K6&gt;0,"증가","-"))))</f>
        <v/>
      </c>
      <c r="M6" s="22" t="n"/>
      <c r="N6" s="23" t="n"/>
      <c r="O6" s="24">
        <f>IF($B6="","",IF($L6="감소",$G6,IF($L6="증가",IF($M6="Y",ROUND(($J6+$J6*('설정'!$C$15/100))/2,0),IF(AND($N6&lt;&gt;"",$G6&gt;$N6),$N6,$G6)),IF($L6="신규",IF($M6="Y",ROUND(($J6+$J6*('설정'!$C$15/100))/2,0),ROUND($J6*('설정'!$C$15/100),0)),0))))</f>
        <v/>
      </c>
      <c r="P6" s="24">
        <f>IF($B6="","",ROUND(N($K6)*N($O6),0))</f>
        <v/>
      </c>
      <c r="Q6" s="25">
        <f>IF($B6="","",IF($L6="감소","감소분 → 계약단가",IF(AND($M6="Y",OR($L6="증가",$L6="신규")),"발주기관 요구 → 협의 (불성립 시 (당시단가+당시단가×낙찰률)÷2)",IF($L6="증가",IF(AND($N6&lt;&gt;"",$G6&gt;$N6),"증가분 → 계약단가&gt;예정가격단가 이므로 예정가격단가","증가분 → 계약단가 (낙찰률을 곱하지 않습니다)"),IF($L6="신규","신규비목 → 당시단가 × 낙찰률","")))))</f>
        <v/>
      </c>
      <c r="R6" s="20">
        <f>IF($B6="","",IF(N($O6)=0,0,IF(OR($L6="감소",AND($L6="증가",$M6&lt;&gt;"Y")),IF(N($G6)=0,0,ROUND(N(내역서!$G6)*$O6/$G6,0)),IF(N($J6)=0,0,ROUND(N(내역서!$O6)*$O6/$J6,0)))))</f>
        <v/>
      </c>
      <c r="S6" s="20">
        <f>IF($B6="","",IF(N($O6)=0,0,IF(OR($L6="감소",AND($L6="증가",$M6&lt;&gt;"Y")),IF(N($G6)=0,0,ROUND(N(내역서!$H6)*$O6/$G6,0)),IF(N($J6)=0,0,ROUND(N(내역서!$P6)*$O6/$J6,0)))))</f>
        <v/>
      </c>
      <c r="T6" s="20">
        <f>IF($B6="","",N($O6)-N($R6)-N($S6))</f>
        <v/>
      </c>
      <c r="U6" s="20">
        <f>IF($B6="","",ROUND(N($K6)*N($R6),0))</f>
        <v/>
      </c>
      <c r="V6" s="20">
        <f>IF($B6="","",ROUND(N($K6)*N($S6),0))</f>
        <v/>
      </c>
      <c r="W6" s="20">
        <f>IF($B6="","",N($P6)-N($U6)-N($V6))</f>
        <v/>
      </c>
    </row>
    <row r="7">
      <c r="A7" s="18">
        <f>IF($B7="","",ROW()-4+1)</f>
        <v/>
      </c>
      <c r="B7" s="18">
        <f>내역서!$B7</f>
        <v/>
      </c>
      <c r="C7" s="18">
        <f>IF($B7="","",내역서!$C7)</f>
        <v/>
      </c>
      <c r="D7" s="18">
        <f>IF($B7="","",내역서!$D7)</f>
        <v/>
      </c>
      <c r="E7" s="18">
        <f>IF($B7="","",내역서!$E7)</f>
        <v/>
      </c>
      <c r="F7" s="19">
        <f>IF($B7="","",N(내역서!$F7))</f>
        <v/>
      </c>
      <c r="G7" s="20">
        <f>IF($B7="","",N(내역서!$J7))</f>
        <v/>
      </c>
      <c r="H7" s="20">
        <f>IF($B7="","",N(내역서!$K7))</f>
        <v/>
      </c>
      <c r="I7" s="19">
        <f>IF($B7="","",N(내역서!$N7))</f>
        <v/>
      </c>
      <c r="J7" s="20">
        <f>IF($B7="","",N(내역서!$R7))</f>
        <v/>
      </c>
      <c r="K7" s="19">
        <f>IF($B7="","",N($I7)-N($F7))</f>
        <v/>
      </c>
      <c r="L7" s="21">
        <f>IF($B7="","",IF(N(내역서!$F7)=0,"신규",IF($K7&lt;0,"감소",IF($K7&gt;0,"증가","-"))))</f>
        <v/>
      </c>
      <c r="M7" s="22" t="n"/>
      <c r="N7" s="23" t="n"/>
      <c r="O7" s="24">
        <f>IF($B7="","",IF($L7="감소",$G7,IF($L7="증가",IF($M7="Y",ROUND(($J7+$J7*('설정'!$C$15/100))/2,0),IF(AND($N7&lt;&gt;"",$G7&gt;$N7),$N7,$G7)),IF($L7="신규",IF($M7="Y",ROUND(($J7+$J7*('설정'!$C$15/100))/2,0),ROUND($J7*('설정'!$C$15/100),0)),0))))</f>
        <v/>
      </c>
      <c r="P7" s="24">
        <f>IF($B7="","",ROUND(N($K7)*N($O7),0))</f>
        <v/>
      </c>
      <c r="Q7" s="25">
        <f>IF($B7="","",IF($L7="감소","감소분 → 계약단가",IF(AND($M7="Y",OR($L7="증가",$L7="신규")),"발주기관 요구 → 협의 (불성립 시 (당시단가+당시단가×낙찰률)÷2)",IF($L7="증가",IF(AND($N7&lt;&gt;"",$G7&gt;$N7),"증가분 → 계약단가&gt;예정가격단가 이므로 예정가격단가","증가분 → 계약단가 (낙찰률을 곱하지 않습니다)"),IF($L7="신규","신규비목 → 당시단가 × 낙찰률","")))))</f>
        <v/>
      </c>
      <c r="R7" s="20">
        <f>IF($B7="","",IF(N($O7)=0,0,IF(OR($L7="감소",AND($L7="증가",$M7&lt;&gt;"Y")),IF(N($G7)=0,0,ROUND(N(내역서!$G7)*$O7/$G7,0)),IF(N($J7)=0,0,ROUND(N(내역서!$O7)*$O7/$J7,0)))))</f>
        <v/>
      </c>
      <c r="S7" s="20">
        <f>IF($B7="","",IF(N($O7)=0,0,IF(OR($L7="감소",AND($L7="증가",$M7&lt;&gt;"Y")),IF(N($G7)=0,0,ROUND(N(내역서!$H7)*$O7/$G7,0)),IF(N($J7)=0,0,ROUND(N(내역서!$P7)*$O7/$J7,0)))))</f>
        <v/>
      </c>
      <c r="T7" s="20">
        <f>IF($B7="","",N($O7)-N($R7)-N($S7))</f>
        <v/>
      </c>
      <c r="U7" s="20">
        <f>IF($B7="","",ROUND(N($K7)*N($R7),0))</f>
        <v/>
      </c>
      <c r="V7" s="20">
        <f>IF($B7="","",ROUND(N($K7)*N($S7),0))</f>
        <v/>
      </c>
      <c r="W7" s="20">
        <f>IF($B7="","",N($P7)-N($U7)-N($V7))</f>
        <v/>
      </c>
    </row>
    <row r="8">
      <c r="A8" s="18">
        <f>IF($B8="","",ROW()-4+1)</f>
        <v/>
      </c>
      <c r="B8" s="18">
        <f>내역서!$B8</f>
        <v/>
      </c>
      <c r="C8" s="18">
        <f>IF($B8="","",내역서!$C8)</f>
        <v/>
      </c>
      <c r="D8" s="18">
        <f>IF($B8="","",내역서!$D8)</f>
        <v/>
      </c>
      <c r="E8" s="18">
        <f>IF($B8="","",내역서!$E8)</f>
        <v/>
      </c>
      <c r="F8" s="19">
        <f>IF($B8="","",N(내역서!$F8))</f>
        <v/>
      </c>
      <c r="G8" s="20">
        <f>IF($B8="","",N(내역서!$J8))</f>
        <v/>
      </c>
      <c r="H8" s="20">
        <f>IF($B8="","",N(내역서!$K8))</f>
        <v/>
      </c>
      <c r="I8" s="19">
        <f>IF($B8="","",N(내역서!$N8))</f>
        <v/>
      </c>
      <c r="J8" s="20">
        <f>IF($B8="","",N(내역서!$R8))</f>
        <v/>
      </c>
      <c r="K8" s="19">
        <f>IF($B8="","",N($I8)-N($F8))</f>
        <v/>
      </c>
      <c r="L8" s="21">
        <f>IF($B8="","",IF(N(내역서!$F8)=0,"신규",IF($K8&lt;0,"감소",IF($K8&gt;0,"증가","-"))))</f>
        <v/>
      </c>
      <c r="M8" s="22" t="n"/>
      <c r="N8" s="23" t="n"/>
      <c r="O8" s="24">
        <f>IF($B8="","",IF($L8="감소",$G8,IF($L8="증가",IF($M8="Y",ROUND(($J8+$J8*('설정'!$C$15/100))/2,0),IF(AND($N8&lt;&gt;"",$G8&gt;$N8),$N8,$G8)),IF($L8="신규",IF($M8="Y",ROUND(($J8+$J8*('설정'!$C$15/100))/2,0),ROUND($J8*('설정'!$C$15/100),0)),0))))</f>
        <v/>
      </c>
      <c r="P8" s="24">
        <f>IF($B8="","",ROUND(N($K8)*N($O8),0))</f>
        <v/>
      </c>
      <c r="Q8" s="25">
        <f>IF($B8="","",IF($L8="감소","감소분 → 계약단가",IF(AND($M8="Y",OR($L8="증가",$L8="신규")),"발주기관 요구 → 협의 (불성립 시 (당시단가+당시단가×낙찰률)÷2)",IF($L8="증가",IF(AND($N8&lt;&gt;"",$G8&gt;$N8),"증가분 → 계약단가&gt;예정가격단가 이므로 예정가격단가","증가분 → 계약단가 (낙찰률을 곱하지 않습니다)"),IF($L8="신규","신규비목 → 당시단가 × 낙찰률","")))))</f>
        <v/>
      </c>
      <c r="R8" s="20">
        <f>IF($B8="","",IF(N($O8)=0,0,IF(OR($L8="감소",AND($L8="증가",$M8&lt;&gt;"Y")),IF(N($G8)=0,0,ROUND(N(내역서!$G8)*$O8/$G8,0)),IF(N($J8)=0,0,ROUND(N(내역서!$O8)*$O8/$J8,0)))))</f>
        <v/>
      </c>
      <c r="S8" s="20">
        <f>IF($B8="","",IF(N($O8)=0,0,IF(OR($L8="감소",AND($L8="증가",$M8&lt;&gt;"Y")),IF(N($G8)=0,0,ROUND(N(내역서!$H8)*$O8/$G8,0)),IF(N($J8)=0,0,ROUND(N(내역서!$P8)*$O8/$J8,0)))))</f>
        <v/>
      </c>
      <c r="T8" s="20">
        <f>IF($B8="","",N($O8)-N($R8)-N($S8))</f>
        <v/>
      </c>
      <c r="U8" s="20">
        <f>IF($B8="","",ROUND(N($K8)*N($R8),0))</f>
        <v/>
      </c>
      <c r="V8" s="20">
        <f>IF($B8="","",ROUND(N($K8)*N($S8),0))</f>
        <v/>
      </c>
      <c r="W8" s="20">
        <f>IF($B8="","",N($P8)-N($U8)-N($V8))</f>
        <v/>
      </c>
    </row>
    <row r="9">
      <c r="A9" s="18">
        <f>IF($B9="","",ROW()-4+1)</f>
        <v/>
      </c>
      <c r="B9" s="18">
        <f>내역서!$B9</f>
        <v/>
      </c>
      <c r="C9" s="18">
        <f>IF($B9="","",내역서!$C9)</f>
        <v/>
      </c>
      <c r="D9" s="18">
        <f>IF($B9="","",내역서!$D9)</f>
        <v/>
      </c>
      <c r="E9" s="18">
        <f>IF($B9="","",내역서!$E9)</f>
        <v/>
      </c>
      <c r="F9" s="19">
        <f>IF($B9="","",N(내역서!$F9))</f>
        <v/>
      </c>
      <c r="G9" s="20">
        <f>IF($B9="","",N(내역서!$J9))</f>
        <v/>
      </c>
      <c r="H9" s="20">
        <f>IF($B9="","",N(내역서!$K9))</f>
        <v/>
      </c>
      <c r="I9" s="19">
        <f>IF($B9="","",N(내역서!$N9))</f>
        <v/>
      </c>
      <c r="J9" s="20">
        <f>IF($B9="","",N(내역서!$R9))</f>
        <v/>
      </c>
      <c r="K9" s="19">
        <f>IF($B9="","",N($I9)-N($F9))</f>
        <v/>
      </c>
      <c r="L9" s="21">
        <f>IF($B9="","",IF(N(내역서!$F9)=0,"신규",IF($K9&lt;0,"감소",IF($K9&gt;0,"증가","-"))))</f>
        <v/>
      </c>
      <c r="M9" s="22" t="n"/>
      <c r="N9" s="23" t="n"/>
      <c r="O9" s="24">
        <f>IF($B9="","",IF($L9="감소",$G9,IF($L9="증가",IF($M9="Y",ROUND(($J9+$J9*('설정'!$C$15/100))/2,0),IF(AND($N9&lt;&gt;"",$G9&gt;$N9),$N9,$G9)),IF($L9="신규",IF($M9="Y",ROUND(($J9+$J9*('설정'!$C$15/100))/2,0),ROUND($J9*('설정'!$C$15/100),0)),0))))</f>
        <v/>
      </c>
      <c r="P9" s="24">
        <f>IF($B9="","",ROUND(N($K9)*N($O9),0))</f>
        <v/>
      </c>
      <c r="Q9" s="25">
        <f>IF($B9="","",IF($L9="감소","감소분 → 계약단가",IF(AND($M9="Y",OR($L9="증가",$L9="신규")),"발주기관 요구 → 협의 (불성립 시 (당시단가+당시단가×낙찰률)÷2)",IF($L9="증가",IF(AND($N9&lt;&gt;"",$G9&gt;$N9),"증가분 → 계약단가&gt;예정가격단가 이므로 예정가격단가","증가분 → 계약단가 (낙찰률을 곱하지 않습니다)"),IF($L9="신규","신규비목 → 당시단가 × 낙찰률","")))))</f>
        <v/>
      </c>
      <c r="R9" s="20">
        <f>IF($B9="","",IF(N($O9)=0,0,IF(OR($L9="감소",AND($L9="증가",$M9&lt;&gt;"Y")),IF(N($G9)=0,0,ROUND(N(내역서!$G9)*$O9/$G9,0)),IF(N($J9)=0,0,ROUND(N(내역서!$O9)*$O9/$J9,0)))))</f>
        <v/>
      </c>
      <c r="S9" s="20">
        <f>IF($B9="","",IF(N($O9)=0,0,IF(OR($L9="감소",AND($L9="증가",$M9&lt;&gt;"Y")),IF(N($G9)=0,0,ROUND(N(내역서!$H9)*$O9/$G9,0)),IF(N($J9)=0,0,ROUND(N(내역서!$P9)*$O9/$J9,0)))))</f>
        <v/>
      </c>
      <c r="T9" s="20">
        <f>IF($B9="","",N($O9)-N($R9)-N($S9))</f>
        <v/>
      </c>
      <c r="U9" s="20">
        <f>IF($B9="","",ROUND(N($K9)*N($R9),0))</f>
        <v/>
      </c>
      <c r="V9" s="20">
        <f>IF($B9="","",ROUND(N($K9)*N($S9),0))</f>
        <v/>
      </c>
      <c r="W9" s="20">
        <f>IF($B9="","",N($P9)-N($U9)-N($V9))</f>
        <v/>
      </c>
    </row>
    <row r="10">
      <c r="A10" s="18">
        <f>IF($B10="","",ROW()-4+1)</f>
        <v/>
      </c>
      <c r="B10" s="18">
        <f>내역서!$B10</f>
        <v/>
      </c>
      <c r="C10" s="18">
        <f>IF($B10="","",내역서!$C10)</f>
        <v/>
      </c>
      <c r="D10" s="18">
        <f>IF($B10="","",내역서!$D10)</f>
        <v/>
      </c>
      <c r="E10" s="18">
        <f>IF($B10="","",내역서!$E10)</f>
        <v/>
      </c>
      <c r="F10" s="19">
        <f>IF($B10="","",N(내역서!$F10))</f>
        <v/>
      </c>
      <c r="G10" s="20">
        <f>IF($B10="","",N(내역서!$J10))</f>
        <v/>
      </c>
      <c r="H10" s="20">
        <f>IF($B10="","",N(내역서!$K10))</f>
        <v/>
      </c>
      <c r="I10" s="19">
        <f>IF($B10="","",N(내역서!$N10))</f>
        <v/>
      </c>
      <c r="J10" s="20">
        <f>IF($B10="","",N(내역서!$R10))</f>
        <v/>
      </c>
      <c r="K10" s="19">
        <f>IF($B10="","",N($I10)-N($F10))</f>
        <v/>
      </c>
      <c r="L10" s="21">
        <f>IF($B10="","",IF(N(내역서!$F10)=0,"신규",IF($K10&lt;0,"감소",IF($K10&gt;0,"증가","-"))))</f>
        <v/>
      </c>
      <c r="M10" s="22" t="n"/>
      <c r="N10" s="23" t="n"/>
      <c r="O10" s="24">
        <f>IF($B10="","",IF($L10="감소",$G10,IF($L10="증가",IF($M10="Y",ROUND(($J10+$J10*('설정'!$C$15/100))/2,0),IF(AND($N10&lt;&gt;"",$G10&gt;$N10),$N10,$G10)),IF($L10="신규",IF($M10="Y",ROUND(($J10+$J10*('설정'!$C$15/100))/2,0),ROUND($J10*('설정'!$C$15/100),0)),0))))</f>
        <v/>
      </c>
      <c r="P10" s="24">
        <f>IF($B10="","",ROUND(N($K10)*N($O10),0))</f>
        <v/>
      </c>
      <c r="Q10" s="25">
        <f>IF($B10="","",IF($L10="감소","감소분 → 계약단가",IF(AND($M10="Y",OR($L10="증가",$L10="신규")),"발주기관 요구 → 협의 (불성립 시 (당시단가+당시단가×낙찰률)÷2)",IF($L10="증가",IF(AND($N10&lt;&gt;"",$G10&gt;$N10),"증가분 → 계약단가&gt;예정가격단가 이므로 예정가격단가","증가분 → 계약단가 (낙찰률을 곱하지 않습니다)"),IF($L10="신규","신규비목 → 당시단가 × 낙찰률","")))))</f>
        <v/>
      </c>
      <c r="R10" s="20">
        <f>IF($B10="","",IF(N($O10)=0,0,IF(OR($L10="감소",AND($L10="증가",$M10&lt;&gt;"Y")),IF(N($G10)=0,0,ROUND(N(내역서!$G10)*$O10/$G10,0)),IF(N($J10)=0,0,ROUND(N(내역서!$O10)*$O10/$J10,0)))))</f>
        <v/>
      </c>
      <c r="S10" s="20">
        <f>IF($B10="","",IF(N($O10)=0,0,IF(OR($L10="감소",AND($L10="증가",$M10&lt;&gt;"Y")),IF(N($G10)=0,0,ROUND(N(내역서!$H10)*$O10/$G10,0)),IF(N($J10)=0,0,ROUND(N(내역서!$P10)*$O10/$J10,0)))))</f>
        <v/>
      </c>
      <c r="T10" s="20">
        <f>IF($B10="","",N($O10)-N($R10)-N($S10))</f>
        <v/>
      </c>
      <c r="U10" s="20">
        <f>IF($B10="","",ROUND(N($K10)*N($R10),0))</f>
        <v/>
      </c>
      <c r="V10" s="20">
        <f>IF($B10="","",ROUND(N($K10)*N($S10),0))</f>
        <v/>
      </c>
      <c r="W10" s="20">
        <f>IF($B10="","",N($P10)-N($U10)-N($V10))</f>
        <v/>
      </c>
    </row>
    <row r="11">
      <c r="A11" s="18">
        <f>IF($B11="","",ROW()-4+1)</f>
        <v/>
      </c>
      <c r="B11" s="18">
        <f>내역서!$B11</f>
        <v/>
      </c>
      <c r="C11" s="18">
        <f>IF($B11="","",내역서!$C11)</f>
        <v/>
      </c>
      <c r="D11" s="18">
        <f>IF($B11="","",내역서!$D11)</f>
        <v/>
      </c>
      <c r="E11" s="18">
        <f>IF($B11="","",내역서!$E11)</f>
        <v/>
      </c>
      <c r="F11" s="19">
        <f>IF($B11="","",N(내역서!$F11))</f>
        <v/>
      </c>
      <c r="G11" s="20">
        <f>IF($B11="","",N(내역서!$J11))</f>
        <v/>
      </c>
      <c r="H11" s="20">
        <f>IF($B11="","",N(내역서!$K11))</f>
        <v/>
      </c>
      <c r="I11" s="19">
        <f>IF($B11="","",N(내역서!$N11))</f>
        <v/>
      </c>
      <c r="J11" s="20">
        <f>IF($B11="","",N(내역서!$R11))</f>
        <v/>
      </c>
      <c r="K11" s="19">
        <f>IF($B11="","",N($I11)-N($F11))</f>
        <v/>
      </c>
      <c r="L11" s="21">
        <f>IF($B11="","",IF(N(내역서!$F11)=0,"신규",IF($K11&lt;0,"감소",IF($K11&gt;0,"증가","-"))))</f>
        <v/>
      </c>
      <c r="M11" s="22" t="n"/>
      <c r="N11" s="23" t="n"/>
      <c r="O11" s="24">
        <f>IF($B11="","",IF($L11="감소",$G11,IF($L11="증가",IF($M11="Y",ROUND(($J11+$J11*('설정'!$C$15/100))/2,0),IF(AND($N11&lt;&gt;"",$G11&gt;$N11),$N11,$G11)),IF($L11="신규",IF($M11="Y",ROUND(($J11+$J11*('설정'!$C$15/100))/2,0),ROUND($J11*('설정'!$C$15/100),0)),0))))</f>
        <v/>
      </c>
      <c r="P11" s="24">
        <f>IF($B11="","",ROUND(N($K11)*N($O11),0))</f>
        <v/>
      </c>
      <c r="Q11" s="25">
        <f>IF($B11="","",IF($L11="감소","감소분 → 계약단가",IF(AND($M11="Y",OR($L11="증가",$L11="신규")),"발주기관 요구 → 협의 (불성립 시 (당시단가+당시단가×낙찰률)÷2)",IF($L11="증가",IF(AND($N11&lt;&gt;"",$G11&gt;$N11),"증가분 → 계약단가&gt;예정가격단가 이므로 예정가격단가","증가분 → 계약단가 (낙찰률을 곱하지 않습니다)"),IF($L11="신규","신규비목 → 당시단가 × 낙찰률","")))))</f>
        <v/>
      </c>
      <c r="R11" s="20">
        <f>IF($B11="","",IF(N($O11)=0,0,IF(OR($L11="감소",AND($L11="증가",$M11&lt;&gt;"Y")),IF(N($G11)=0,0,ROUND(N(내역서!$G11)*$O11/$G11,0)),IF(N($J11)=0,0,ROUND(N(내역서!$O11)*$O11/$J11,0)))))</f>
        <v/>
      </c>
      <c r="S11" s="20">
        <f>IF($B11="","",IF(N($O11)=0,0,IF(OR($L11="감소",AND($L11="증가",$M11&lt;&gt;"Y")),IF(N($G11)=0,0,ROUND(N(내역서!$H11)*$O11/$G11,0)),IF(N($J11)=0,0,ROUND(N(내역서!$P11)*$O11/$J11,0)))))</f>
        <v/>
      </c>
      <c r="T11" s="20">
        <f>IF($B11="","",N($O11)-N($R11)-N($S11))</f>
        <v/>
      </c>
      <c r="U11" s="20">
        <f>IF($B11="","",ROUND(N($K11)*N($R11),0))</f>
        <v/>
      </c>
      <c r="V11" s="20">
        <f>IF($B11="","",ROUND(N($K11)*N($S11),0))</f>
        <v/>
      </c>
      <c r="W11" s="20">
        <f>IF($B11="","",N($P11)-N($U11)-N($V11))</f>
        <v/>
      </c>
    </row>
    <row r="12">
      <c r="A12" s="18">
        <f>IF($B12="","",ROW()-4+1)</f>
        <v/>
      </c>
      <c r="B12" s="18">
        <f>내역서!$B12</f>
        <v/>
      </c>
      <c r="C12" s="18">
        <f>IF($B12="","",내역서!$C12)</f>
        <v/>
      </c>
      <c r="D12" s="18">
        <f>IF($B12="","",내역서!$D12)</f>
        <v/>
      </c>
      <c r="E12" s="18">
        <f>IF($B12="","",내역서!$E12)</f>
        <v/>
      </c>
      <c r="F12" s="19">
        <f>IF($B12="","",N(내역서!$F12))</f>
        <v/>
      </c>
      <c r="G12" s="20">
        <f>IF($B12="","",N(내역서!$J12))</f>
        <v/>
      </c>
      <c r="H12" s="20">
        <f>IF($B12="","",N(내역서!$K12))</f>
        <v/>
      </c>
      <c r="I12" s="19">
        <f>IF($B12="","",N(내역서!$N12))</f>
        <v/>
      </c>
      <c r="J12" s="20">
        <f>IF($B12="","",N(내역서!$R12))</f>
        <v/>
      </c>
      <c r="K12" s="19">
        <f>IF($B12="","",N($I12)-N($F12))</f>
        <v/>
      </c>
      <c r="L12" s="21">
        <f>IF($B12="","",IF(N(내역서!$F12)=0,"신규",IF($K12&lt;0,"감소",IF($K12&gt;0,"증가","-"))))</f>
        <v/>
      </c>
      <c r="M12" s="22" t="n"/>
      <c r="N12" s="23" t="n"/>
      <c r="O12" s="24">
        <f>IF($B12="","",IF($L12="감소",$G12,IF($L12="증가",IF($M12="Y",ROUND(($J12+$J12*('설정'!$C$15/100))/2,0),IF(AND($N12&lt;&gt;"",$G12&gt;$N12),$N12,$G12)),IF($L12="신규",IF($M12="Y",ROUND(($J12+$J12*('설정'!$C$15/100))/2,0),ROUND($J12*('설정'!$C$15/100),0)),0))))</f>
        <v/>
      </c>
      <c r="P12" s="24">
        <f>IF($B12="","",ROUND(N($K12)*N($O12),0))</f>
        <v/>
      </c>
      <c r="Q12" s="25">
        <f>IF($B12="","",IF($L12="감소","감소분 → 계약단가",IF(AND($M12="Y",OR($L12="증가",$L12="신규")),"발주기관 요구 → 협의 (불성립 시 (당시단가+당시단가×낙찰률)÷2)",IF($L12="증가",IF(AND($N12&lt;&gt;"",$G12&gt;$N12),"증가분 → 계약단가&gt;예정가격단가 이므로 예정가격단가","증가분 → 계약단가 (낙찰률을 곱하지 않습니다)"),IF($L12="신규","신규비목 → 당시단가 × 낙찰률","")))))</f>
        <v/>
      </c>
      <c r="R12" s="20">
        <f>IF($B12="","",IF(N($O12)=0,0,IF(OR($L12="감소",AND($L12="증가",$M12&lt;&gt;"Y")),IF(N($G12)=0,0,ROUND(N(내역서!$G12)*$O12/$G12,0)),IF(N($J12)=0,0,ROUND(N(내역서!$O12)*$O12/$J12,0)))))</f>
        <v/>
      </c>
      <c r="S12" s="20">
        <f>IF($B12="","",IF(N($O12)=0,0,IF(OR($L12="감소",AND($L12="증가",$M12&lt;&gt;"Y")),IF(N($G12)=0,0,ROUND(N(내역서!$H12)*$O12/$G12,0)),IF(N($J12)=0,0,ROUND(N(내역서!$P12)*$O12/$J12,0)))))</f>
        <v/>
      </c>
      <c r="T12" s="20">
        <f>IF($B12="","",N($O12)-N($R12)-N($S12))</f>
        <v/>
      </c>
      <c r="U12" s="20">
        <f>IF($B12="","",ROUND(N($K12)*N($R12),0))</f>
        <v/>
      </c>
      <c r="V12" s="20">
        <f>IF($B12="","",ROUND(N($K12)*N($S12),0))</f>
        <v/>
      </c>
      <c r="W12" s="20">
        <f>IF($B12="","",N($P12)-N($U12)-N($V12))</f>
        <v/>
      </c>
    </row>
    <row r="13">
      <c r="A13" s="18">
        <f>IF($B13="","",ROW()-4+1)</f>
        <v/>
      </c>
      <c r="B13" s="18">
        <f>내역서!$B13</f>
        <v/>
      </c>
      <c r="C13" s="18">
        <f>IF($B13="","",내역서!$C13)</f>
        <v/>
      </c>
      <c r="D13" s="18">
        <f>IF($B13="","",내역서!$D13)</f>
        <v/>
      </c>
      <c r="E13" s="18">
        <f>IF($B13="","",내역서!$E13)</f>
        <v/>
      </c>
      <c r="F13" s="19">
        <f>IF($B13="","",N(내역서!$F13))</f>
        <v/>
      </c>
      <c r="G13" s="20">
        <f>IF($B13="","",N(내역서!$J13))</f>
        <v/>
      </c>
      <c r="H13" s="20">
        <f>IF($B13="","",N(내역서!$K13))</f>
        <v/>
      </c>
      <c r="I13" s="19">
        <f>IF($B13="","",N(내역서!$N13))</f>
        <v/>
      </c>
      <c r="J13" s="20">
        <f>IF($B13="","",N(내역서!$R13))</f>
        <v/>
      </c>
      <c r="K13" s="19">
        <f>IF($B13="","",N($I13)-N($F13))</f>
        <v/>
      </c>
      <c r="L13" s="21">
        <f>IF($B13="","",IF(N(내역서!$F13)=0,"신규",IF($K13&lt;0,"감소",IF($K13&gt;0,"증가","-"))))</f>
        <v/>
      </c>
      <c r="M13" s="22" t="n"/>
      <c r="N13" s="23" t="n"/>
      <c r="O13" s="24">
        <f>IF($B13="","",IF($L13="감소",$G13,IF($L13="증가",IF($M13="Y",ROUND(($J13+$J13*('설정'!$C$15/100))/2,0),IF(AND($N13&lt;&gt;"",$G13&gt;$N13),$N13,$G13)),IF($L13="신규",IF($M13="Y",ROUND(($J13+$J13*('설정'!$C$15/100))/2,0),ROUND($J13*('설정'!$C$15/100),0)),0))))</f>
        <v/>
      </c>
      <c r="P13" s="24">
        <f>IF($B13="","",ROUND(N($K13)*N($O13),0))</f>
        <v/>
      </c>
      <c r="Q13" s="25">
        <f>IF($B13="","",IF($L13="감소","감소분 → 계약단가",IF(AND($M13="Y",OR($L13="증가",$L13="신규")),"발주기관 요구 → 협의 (불성립 시 (당시단가+당시단가×낙찰률)÷2)",IF($L13="증가",IF(AND($N13&lt;&gt;"",$G13&gt;$N13),"증가분 → 계약단가&gt;예정가격단가 이므로 예정가격단가","증가분 → 계약단가 (낙찰률을 곱하지 않습니다)"),IF($L13="신규","신규비목 → 당시단가 × 낙찰률","")))))</f>
        <v/>
      </c>
      <c r="R13" s="20">
        <f>IF($B13="","",IF(N($O13)=0,0,IF(OR($L13="감소",AND($L13="증가",$M13&lt;&gt;"Y")),IF(N($G13)=0,0,ROUND(N(내역서!$G13)*$O13/$G13,0)),IF(N($J13)=0,0,ROUND(N(내역서!$O13)*$O13/$J13,0)))))</f>
        <v/>
      </c>
      <c r="S13" s="20">
        <f>IF($B13="","",IF(N($O13)=0,0,IF(OR($L13="감소",AND($L13="증가",$M13&lt;&gt;"Y")),IF(N($G13)=0,0,ROUND(N(내역서!$H13)*$O13/$G13,0)),IF(N($J13)=0,0,ROUND(N(내역서!$P13)*$O13/$J13,0)))))</f>
        <v/>
      </c>
      <c r="T13" s="20">
        <f>IF($B13="","",N($O13)-N($R13)-N($S13))</f>
        <v/>
      </c>
      <c r="U13" s="20">
        <f>IF($B13="","",ROUND(N($K13)*N($R13),0))</f>
        <v/>
      </c>
      <c r="V13" s="20">
        <f>IF($B13="","",ROUND(N($K13)*N($S13),0))</f>
        <v/>
      </c>
      <c r="W13" s="20">
        <f>IF($B13="","",N($P13)-N($U13)-N($V13))</f>
        <v/>
      </c>
    </row>
    <row r="14">
      <c r="A14" s="18">
        <f>IF($B14="","",ROW()-4+1)</f>
        <v/>
      </c>
      <c r="B14" s="18">
        <f>내역서!$B14</f>
        <v/>
      </c>
      <c r="C14" s="18">
        <f>IF($B14="","",내역서!$C14)</f>
        <v/>
      </c>
      <c r="D14" s="18">
        <f>IF($B14="","",내역서!$D14)</f>
        <v/>
      </c>
      <c r="E14" s="18">
        <f>IF($B14="","",내역서!$E14)</f>
        <v/>
      </c>
      <c r="F14" s="19">
        <f>IF($B14="","",N(내역서!$F14))</f>
        <v/>
      </c>
      <c r="G14" s="20">
        <f>IF($B14="","",N(내역서!$J14))</f>
        <v/>
      </c>
      <c r="H14" s="20">
        <f>IF($B14="","",N(내역서!$K14))</f>
        <v/>
      </c>
      <c r="I14" s="19">
        <f>IF($B14="","",N(내역서!$N14))</f>
        <v/>
      </c>
      <c r="J14" s="20">
        <f>IF($B14="","",N(내역서!$R14))</f>
        <v/>
      </c>
      <c r="K14" s="19">
        <f>IF($B14="","",N($I14)-N($F14))</f>
        <v/>
      </c>
      <c r="L14" s="21">
        <f>IF($B14="","",IF(N(내역서!$F14)=0,"신규",IF($K14&lt;0,"감소",IF($K14&gt;0,"증가","-"))))</f>
        <v/>
      </c>
      <c r="M14" s="22" t="n"/>
      <c r="N14" s="23" t="n"/>
      <c r="O14" s="24">
        <f>IF($B14="","",IF($L14="감소",$G14,IF($L14="증가",IF($M14="Y",ROUND(($J14+$J14*('설정'!$C$15/100))/2,0),IF(AND($N14&lt;&gt;"",$G14&gt;$N14),$N14,$G14)),IF($L14="신규",IF($M14="Y",ROUND(($J14+$J14*('설정'!$C$15/100))/2,0),ROUND($J14*('설정'!$C$15/100),0)),0))))</f>
        <v/>
      </c>
      <c r="P14" s="24">
        <f>IF($B14="","",ROUND(N($K14)*N($O14),0))</f>
        <v/>
      </c>
      <c r="Q14" s="25">
        <f>IF($B14="","",IF($L14="감소","감소분 → 계약단가",IF(AND($M14="Y",OR($L14="증가",$L14="신규")),"발주기관 요구 → 협의 (불성립 시 (당시단가+당시단가×낙찰률)÷2)",IF($L14="증가",IF(AND($N14&lt;&gt;"",$G14&gt;$N14),"증가분 → 계약단가&gt;예정가격단가 이므로 예정가격단가","증가분 → 계약단가 (낙찰률을 곱하지 않습니다)"),IF($L14="신규","신규비목 → 당시단가 × 낙찰률","")))))</f>
        <v/>
      </c>
      <c r="R14" s="20">
        <f>IF($B14="","",IF(N($O14)=0,0,IF(OR($L14="감소",AND($L14="증가",$M14&lt;&gt;"Y")),IF(N($G14)=0,0,ROUND(N(내역서!$G14)*$O14/$G14,0)),IF(N($J14)=0,0,ROUND(N(내역서!$O14)*$O14/$J14,0)))))</f>
        <v/>
      </c>
      <c r="S14" s="20">
        <f>IF($B14="","",IF(N($O14)=0,0,IF(OR($L14="감소",AND($L14="증가",$M14&lt;&gt;"Y")),IF(N($G14)=0,0,ROUND(N(내역서!$H14)*$O14/$G14,0)),IF(N($J14)=0,0,ROUND(N(내역서!$P14)*$O14/$J14,0)))))</f>
        <v/>
      </c>
      <c r="T14" s="20">
        <f>IF($B14="","",N($O14)-N($R14)-N($S14))</f>
        <v/>
      </c>
      <c r="U14" s="20">
        <f>IF($B14="","",ROUND(N($K14)*N($R14),0))</f>
        <v/>
      </c>
      <c r="V14" s="20">
        <f>IF($B14="","",ROUND(N($K14)*N($S14),0))</f>
        <v/>
      </c>
      <c r="W14" s="20">
        <f>IF($B14="","",N($P14)-N($U14)-N($V14))</f>
        <v/>
      </c>
    </row>
    <row r="15">
      <c r="A15" s="18">
        <f>IF($B15="","",ROW()-4+1)</f>
        <v/>
      </c>
      <c r="B15" s="18">
        <f>내역서!$B15</f>
        <v/>
      </c>
      <c r="C15" s="18">
        <f>IF($B15="","",내역서!$C15)</f>
        <v/>
      </c>
      <c r="D15" s="18">
        <f>IF($B15="","",내역서!$D15)</f>
        <v/>
      </c>
      <c r="E15" s="18">
        <f>IF($B15="","",내역서!$E15)</f>
        <v/>
      </c>
      <c r="F15" s="19">
        <f>IF($B15="","",N(내역서!$F15))</f>
        <v/>
      </c>
      <c r="G15" s="20">
        <f>IF($B15="","",N(내역서!$J15))</f>
        <v/>
      </c>
      <c r="H15" s="20">
        <f>IF($B15="","",N(내역서!$K15))</f>
        <v/>
      </c>
      <c r="I15" s="19">
        <f>IF($B15="","",N(내역서!$N15))</f>
        <v/>
      </c>
      <c r="J15" s="20">
        <f>IF($B15="","",N(내역서!$R15))</f>
        <v/>
      </c>
      <c r="K15" s="19">
        <f>IF($B15="","",N($I15)-N($F15))</f>
        <v/>
      </c>
      <c r="L15" s="21">
        <f>IF($B15="","",IF(N(내역서!$F15)=0,"신규",IF($K15&lt;0,"감소",IF($K15&gt;0,"증가","-"))))</f>
        <v/>
      </c>
      <c r="M15" s="22" t="n"/>
      <c r="N15" s="23" t="n"/>
      <c r="O15" s="24">
        <f>IF($B15="","",IF($L15="감소",$G15,IF($L15="증가",IF($M15="Y",ROUND(($J15+$J15*('설정'!$C$15/100))/2,0),IF(AND($N15&lt;&gt;"",$G15&gt;$N15),$N15,$G15)),IF($L15="신규",IF($M15="Y",ROUND(($J15+$J15*('설정'!$C$15/100))/2,0),ROUND($J15*('설정'!$C$15/100),0)),0))))</f>
        <v/>
      </c>
      <c r="P15" s="24">
        <f>IF($B15="","",ROUND(N($K15)*N($O15),0))</f>
        <v/>
      </c>
      <c r="Q15" s="25">
        <f>IF($B15="","",IF($L15="감소","감소분 → 계약단가",IF(AND($M15="Y",OR($L15="증가",$L15="신규")),"발주기관 요구 → 협의 (불성립 시 (당시단가+당시단가×낙찰률)÷2)",IF($L15="증가",IF(AND($N15&lt;&gt;"",$G15&gt;$N15),"증가분 → 계약단가&gt;예정가격단가 이므로 예정가격단가","증가분 → 계약단가 (낙찰률을 곱하지 않습니다)"),IF($L15="신규","신규비목 → 당시단가 × 낙찰률","")))))</f>
        <v/>
      </c>
      <c r="R15" s="20">
        <f>IF($B15="","",IF(N($O15)=0,0,IF(OR($L15="감소",AND($L15="증가",$M15&lt;&gt;"Y")),IF(N($G15)=0,0,ROUND(N(내역서!$G15)*$O15/$G15,0)),IF(N($J15)=0,0,ROUND(N(내역서!$O15)*$O15/$J15,0)))))</f>
        <v/>
      </c>
      <c r="S15" s="20">
        <f>IF($B15="","",IF(N($O15)=0,0,IF(OR($L15="감소",AND($L15="증가",$M15&lt;&gt;"Y")),IF(N($G15)=0,0,ROUND(N(내역서!$H15)*$O15/$G15,0)),IF(N($J15)=0,0,ROUND(N(내역서!$P15)*$O15/$J15,0)))))</f>
        <v/>
      </c>
      <c r="T15" s="20">
        <f>IF($B15="","",N($O15)-N($R15)-N($S15))</f>
        <v/>
      </c>
      <c r="U15" s="20">
        <f>IF($B15="","",ROUND(N($K15)*N($R15),0))</f>
        <v/>
      </c>
      <c r="V15" s="20">
        <f>IF($B15="","",ROUND(N($K15)*N($S15),0))</f>
        <v/>
      </c>
      <c r="W15" s="20">
        <f>IF($B15="","",N($P15)-N($U15)-N($V15))</f>
        <v/>
      </c>
    </row>
    <row r="16">
      <c r="A16" s="18">
        <f>IF($B16="","",ROW()-4+1)</f>
        <v/>
      </c>
      <c r="B16" s="18">
        <f>내역서!$B16</f>
        <v/>
      </c>
      <c r="C16" s="18">
        <f>IF($B16="","",내역서!$C16)</f>
        <v/>
      </c>
      <c r="D16" s="18">
        <f>IF($B16="","",내역서!$D16)</f>
        <v/>
      </c>
      <c r="E16" s="18">
        <f>IF($B16="","",내역서!$E16)</f>
        <v/>
      </c>
      <c r="F16" s="19">
        <f>IF($B16="","",N(내역서!$F16))</f>
        <v/>
      </c>
      <c r="G16" s="20">
        <f>IF($B16="","",N(내역서!$J16))</f>
        <v/>
      </c>
      <c r="H16" s="20">
        <f>IF($B16="","",N(내역서!$K16))</f>
        <v/>
      </c>
      <c r="I16" s="19">
        <f>IF($B16="","",N(내역서!$N16))</f>
        <v/>
      </c>
      <c r="J16" s="20">
        <f>IF($B16="","",N(내역서!$R16))</f>
        <v/>
      </c>
      <c r="K16" s="19">
        <f>IF($B16="","",N($I16)-N($F16))</f>
        <v/>
      </c>
      <c r="L16" s="21">
        <f>IF($B16="","",IF(N(내역서!$F16)=0,"신규",IF($K16&lt;0,"감소",IF($K16&gt;0,"증가","-"))))</f>
        <v/>
      </c>
      <c r="M16" s="22" t="n"/>
      <c r="N16" s="23" t="n"/>
      <c r="O16" s="24">
        <f>IF($B16="","",IF($L16="감소",$G16,IF($L16="증가",IF($M16="Y",ROUND(($J16+$J16*('설정'!$C$15/100))/2,0),IF(AND($N16&lt;&gt;"",$G16&gt;$N16),$N16,$G16)),IF($L16="신규",IF($M16="Y",ROUND(($J16+$J16*('설정'!$C$15/100))/2,0),ROUND($J16*('설정'!$C$15/100),0)),0))))</f>
        <v/>
      </c>
      <c r="P16" s="24">
        <f>IF($B16="","",ROUND(N($K16)*N($O16),0))</f>
        <v/>
      </c>
      <c r="Q16" s="25">
        <f>IF($B16="","",IF($L16="감소","감소분 → 계약단가",IF(AND($M16="Y",OR($L16="증가",$L16="신규")),"발주기관 요구 → 협의 (불성립 시 (당시단가+당시단가×낙찰률)÷2)",IF($L16="증가",IF(AND($N16&lt;&gt;"",$G16&gt;$N16),"증가분 → 계약단가&gt;예정가격단가 이므로 예정가격단가","증가분 → 계약단가 (낙찰률을 곱하지 않습니다)"),IF($L16="신규","신규비목 → 당시단가 × 낙찰률","")))))</f>
        <v/>
      </c>
      <c r="R16" s="20">
        <f>IF($B16="","",IF(N($O16)=0,0,IF(OR($L16="감소",AND($L16="증가",$M16&lt;&gt;"Y")),IF(N($G16)=0,0,ROUND(N(내역서!$G16)*$O16/$G16,0)),IF(N($J16)=0,0,ROUND(N(내역서!$O16)*$O16/$J16,0)))))</f>
        <v/>
      </c>
      <c r="S16" s="20">
        <f>IF($B16="","",IF(N($O16)=0,0,IF(OR($L16="감소",AND($L16="증가",$M16&lt;&gt;"Y")),IF(N($G16)=0,0,ROUND(N(내역서!$H16)*$O16/$G16,0)),IF(N($J16)=0,0,ROUND(N(내역서!$P16)*$O16/$J16,0)))))</f>
        <v/>
      </c>
      <c r="T16" s="20">
        <f>IF($B16="","",N($O16)-N($R16)-N($S16))</f>
        <v/>
      </c>
      <c r="U16" s="20">
        <f>IF($B16="","",ROUND(N($K16)*N($R16),0))</f>
        <v/>
      </c>
      <c r="V16" s="20">
        <f>IF($B16="","",ROUND(N($K16)*N($S16),0))</f>
        <v/>
      </c>
      <c r="W16" s="20">
        <f>IF($B16="","",N($P16)-N($U16)-N($V16))</f>
        <v/>
      </c>
    </row>
    <row r="17">
      <c r="A17" s="18">
        <f>IF($B17="","",ROW()-4+1)</f>
        <v/>
      </c>
      <c r="B17" s="18">
        <f>내역서!$B17</f>
        <v/>
      </c>
      <c r="C17" s="18">
        <f>IF($B17="","",내역서!$C17)</f>
        <v/>
      </c>
      <c r="D17" s="18">
        <f>IF($B17="","",내역서!$D17)</f>
        <v/>
      </c>
      <c r="E17" s="18">
        <f>IF($B17="","",내역서!$E17)</f>
        <v/>
      </c>
      <c r="F17" s="19">
        <f>IF($B17="","",N(내역서!$F17))</f>
        <v/>
      </c>
      <c r="G17" s="20">
        <f>IF($B17="","",N(내역서!$J17))</f>
        <v/>
      </c>
      <c r="H17" s="20">
        <f>IF($B17="","",N(내역서!$K17))</f>
        <v/>
      </c>
      <c r="I17" s="19">
        <f>IF($B17="","",N(내역서!$N17))</f>
        <v/>
      </c>
      <c r="J17" s="20">
        <f>IF($B17="","",N(내역서!$R17))</f>
        <v/>
      </c>
      <c r="K17" s="19">
        <f>IF($B17="","",N($I17)-N($F17))</f>
        <v/>
      </c>
      <c r="L17" s="21">
        <f>IF($B17="","",IF(N(내역서!$F17)=0,"신규",IF($K17&lt;0,"감소",IF($K17&gt;0,"증가","-"))))</f>
        <v/>
      </c>
      <c r="M17" s="22" t="n"/>
      <c r="N17" s="23" t="n"/>
      <c r="O17" s="24">
        <f>IF($B17="","",IF($L17="감소",$G17,IF($L17="증가",IF($M17="Y",ROUND(($J17+$J17*('설정'!$C$15/100))/2,0),IF(AND($N17&lt;&gt;"",$G17&gt;$N17),$N17,$G17)),IF($L17="신규",IF($M17="Y",ROUND(($J17+$J17*('설정'!$C$15/100))/2,0),ROUND($J17*('설정'!$C$15/100),0)),0))))</f>
        <v/>
      </c>
      <c r="P17" s="24">
        <f>IF($B17="","",ROUND(N($K17)*N($O17),0))</f>
        <v/>
      </c>
      <c r="Q17" s="25">
        <f>IF($B17="","",IF($L17="감소","감소분 → 계약단가",IF(AND($M17="Y",OR($L17="증가",$L17="신규")),"발주기관 요구 → 협의 (불성립 시 (당시단가+당시단가×낙찰률)÷2)",IF($L17="증가",IF(AND($N17&lt;&gt;"",$G17&gt;$N17),"증가분 → 계약단가&gt;예정가격단가 이므로 예정가격단가","증가분 → 계약단가 (낙찰률을 곱하지 않습니다)"),IF($L17="신규","신규비목 → 당시단가 × 낙찰률","")))))</f>
        <v/>
      </c>
      <c r="R17" s="20">
        <f>IF($B17="","",IF(N($O17)=0,0,IF(OR($L17="감소",AND($L17="증가",$M17&lt;&gt;"Y")),IF(N($G17)=0,0,ROUND(N(내역서!$G17)*$O17/$G17,0)),IF(N($J17)=0,0,ROUND(N(내역서!$O17)*$O17/$J17,0)))))</f>
        <v/>
      </c>
      <c r="S17" s="20">
        <f>IF($B17="","",IF(N($O17)=0,0,IF(OR($L17="감소",AND($L17="증가",$M17&lt;&gt;"Y")),IF(N($G17)=0,0,ROUND(N(내역서!$H17)*$O17/$G17,0)),IF(N($J17)=0,0,ROUND(N(내역서!$P17)*$O17/$J17,0)))))</f>
        <v/>
      </c>
      <c r="T17" s="20">
        <f>IF($B17="","",N($O17)-N($R17)-N($S17))</f>
        <v/>
      </c>
      <c r="U17" s="20">
        <f>IF($B17="","",ROUND(N($K17)*N($R17),0))</f>
        <v/>
      </c>
      <c r="V17" s="20">
        <f>IF($B17="","",ROUND(N($K17)*N($S17),0))</f>
        <v/>
      </c>
      <c r="W17" s="20">
        <f>IF($B17="","",N($P17)-N($U17)-N($V17))</f>
        <v/>
      </c>
    </row>
    <row r="18">
      <c r="A18" s="18">
        <f>IF($B18="","",ROW()-4+1)</f>
        <v/>
      </c>
      <c r="B18" s="18">
        <f>내역서!$B18</f>
        <v/>
      </c>
      <c r="C18" s="18">
        <f>IF($B18="","",내역서!$C18)</f>
        <v/>
      </c>
      <c r="D18" s="18">
        <f>IF($B18="","",내역서!$D18)</f>
        <v/>
      </c>
      <c r="E18" s="18">
        <f>IF($B18="","",내역서!$E18)</f>
        <v/>
      </c>
      <c r="F18" s="19">
        <f>IF($B18="","",N(내역서!$F18))</f>
        <v/>
      </c>
      <c r="G18" s="20">
        <f>IF($B18="","",N(내역서!$J18))</f>
        <v/>
      </c>
      <c r="H18" s="20">
        <f>IF($B18="","",N(내역서!$K18))</f>
        <v/>
      </c>
      <c r="I18" s="19">
        <f>IF($B18="","",N(내역서!$N18))</f>
        <v/>
      </c>
      <c r="J18" s="20">
        <f>IF($B18="","",N(내역서!$R18))</f>
        <v/>
      </c>
      <c r="K18" s="19">
        <f>IF($B18="","",N($I18)-N($F18))</f>
        <v/>
      </c>
      <c r="L18" s="21">
        <f>IF($B18="","",IF(N(내역서!$F18)=0,"신규",IF($K18&lt;0,"감소",IF($K18&gt;0,"증가","-"))))</f>
        <v/>
      </c>
      <c r="M18" s="22" t="n"/>
      <c r="N18" s="23" t="n"/>
      <c r="O18" s="24">
        <f>IF($B18="","",IF($L18="감소",$G18,IF($L18="증가",IF($M18="Y",ROUND(($J18+$J18*('설정'!$C$15/100))/2,0),IF(AND($N18&lt;&gt;"",$G18&gt;$N18),$N18,$G18)),IF($L18="신규",IF($M18="Y",ROUND(($J18+$J18*('설정'!$C$15/100))/2,0),ROUND($J18*('설정'!$C$15/100),0)),0))))</f>
        <v/>
      </c>
      <c r="P18" s="24">
        <f>IF($B18="","",ROUND(N($K18)*N($O18),0))</f>
        <v/>
      </c>
      <c r="Q18" s="25">
        <f>IF($B18="","",IF($L18="감소","감소분 → 계약단가",IF(AND($M18="Y",OR($L18="증가",$L18="신규")),"발주기관 요구 → 협의 (불성립 시 (당시단가+당시단가×낙찰률)÷2)",IF($L18="증가",IF(AND($N18&lt;&gt;"",$G18&gt;$N18),"증가분 → 계약단가&gt;예정가격단가 이므로 예정가격단가","증가분 → 계약단가 (낙찰률을 곱하지 않습니다)"),IF($L18="신규","신규비목 → 당시단가 × 낙찰률","")))))</f>
        <v/>
      </c>
      <c r="R18" s="20">
        <f>IF($B18="","",IF(N($O18)=0,0,IF(OR($L18="감소",AND($L18="증가",$M18&lt;&gt;"Y")),IF(N($G18)=0,0,ROUND(N(내역서!$G18)*$O18/$G18,0)),IF(N($J18)=0,0,ROUND(N(내역서!$O18)*$O18/$J18,0)))))</f>
        <v/>
      </c>
      <c r="S18" s="20">
        <f>IF($B18="","",IF(N($O18)=0,0,IF(OR($L18="감소",AND($L18="증가",$M18&lt;&gt;"Y")),IF(N($G18)=0,0,ROUND(N(내역서!$H18)*$O18/$G18,0)),IF(N($J18)=0,0,ROUND(N(내역서!$P18)*$O18/$J18,0)))))</f>
        <v/>
      </c>
      <c r="T18" s="20">
        <f>IF($B18="","",N($O18)-N($R18)-N($S18))</f>
        <v/>
      </c>
      <c r="U18" s="20">
        <f>IF($B18="","",ROUND(N($K18)*N($R18),0))</f>
        <v/>
      </c>
      <c r="V18" s="20">
        <f>IF($B18="","",ROUND(N($K18)*N($S18),0))</f>
        <v/>
      </c>
      <c r="W18" s="20">
        <f>IF($B18="","",N($P18)-N($U18)-N($V18))</f>
        <v/>
      </c>
    </row>
    <row r="19">
      <c r="A19" s="18">
        <f>IF($B19="","",ROW()-4+1)</f>
        <v/>
      </c>
      <c r="B19" s="18">
        <f>내역서!$B19</f>
        <v/>
      </c>
      <c r="C19" s="18">
        <f>IF($B19="","",내역서!$C19)</f>
        <v/>
      </c>
      <c r="D19" s="18">
        <f>IF($B19="","",내역서!$D19)</f>
        <v/>
      </c>
      <c r="E19" s="18">
        <f>IF($B19="","",내역서!$E19)</f>
        <v/>
      </c>
      <c r="F19" s="19">
        <f>IF($B19="","",N(내역서!$F19))</f>
        <v/>
      </c>
      <c r="G19" s="20">
        <f>IF($B19="","",N(내역서!$J19))</f>
        <v/>
      </c>
      <c r="H19" s="20">
        <f>IF($B19="","",N(내역서!$K19))</f>
        <v/>
      </c>
      <c r="I19" s="19">
        <f>IF($B19="","",N(내역서!$N19))</f>
        <v/>
      </c>
      <c r="J19" s="20">
        <f>IF($B19="","",N(내역서!$R19))</f>
        <v/>
      </c>
      <c r="K19" s="19">
        <f>IF($B19="","",N($I19)-N($F19))</f>
        <v/>
      </c>
      <c r="L19" s="21">
        <f>IF($B19="","",IF(N(내역서!$F19)=0,"신규",IF($K19&lt;0,"감소",IF($K19&gt;0,"증가","-"))))</f>
        <v/>
      </c>
      <c r="M19" s="22" t="n"/>
      <c r="N19" s="23" t="n"/>
      <c r="O19" s="24">
        <f>IF($B19="","",IF($L19="감소",$G19,IF($L19="증가",IF($M19="Y",ROUND(($J19+$J19*('설정'!$C$15/100))/2,0),IF(AND($N19&lt;&gt;"",$G19&gt;$N19),$N19,$G19)),IF($L19="신규",IF($M19="Y",ROUND(($J19+$J19*('설정'!$C$15/100))/2,0),ROUND($J19*('설정'!$C$15/100),0)),0))))</f>
        <v/>
      </c>
      <c r="P19" s="24">
        <f>IF($B19="","",ROUND(N($K19)*N($O19),0))</f>
        <v/>
      </c>
      <c r="Q19" s="25">
        <f>IF($B19="","",IF($L19="감소","감소분 → 계약단가",IF(AND($M19="Y",OR($L19="증가",$L19="신규")),"발주기관 요구 → 협의 (불성립 시 (당시단가+당시단가×낙찰률)÷2)",IF($L19="증가",IF(AND($N19&lt;&gt;"",$G19&gt;$N19),"증가분 → 계약단가&gt;예정가격단가 이므로 예정가격단가","증가분 → 계약단가 (낙찰률을 곱하지 않습니다)"),IF($L19="신규","신규비목 → 당시단가 × 낙찰률","")))))</f>
        <v/>
      </c>
      <c r="R19" s="20">
        <f>IF($B19="","",IF(N($O19)=0,0,IF(OR($L19="감소",AND($L19="증가",$M19&lt;&gt;"Y")),IF(N($G19)=0,0,ROUND(N(내역서!$G19)*$O19/$G19,0)),IF(N($J19)=0,0,ROUND(N(내역서!$O19)*$O19/$J19,0)))))</f>
        <v/>
      </c>
      <c r="S19" s="20">
        <f>IF($B19="","",IF(N($O19)=0,0,IF(OR($L19="감소",AND($L19="증가",$M19&lt;&gt;"Y")),IF(N($G19)=0,0,ROUND(N(내역서!$H19)*$O19/$G19,0)),IF(N($J19)=0,0,ROUND(N(내역서!$P19)*$O19/$J19,0)))))</f>
        <v/>
      </c>
      <c r="T19" s="20">
        <f>IF($B19="","",N($O19)-N($R19)-N($S19))</f>
        <v/>
      </c>
      <c r="U19" s="20">
        <f>IF($B19="","",ROUND(N($K19)*N($R19),0))</f>
        <v/>
      </c>
      <c r="V19" s="20">
        <f>IF($B19="","",ROUND(N($K19)*N($S19),0))</f>
        <v/>
      </c>
      <c r="W19" s="20">
        <f>IF($B19="","",N($P19)-N($U19)-N($V19))</f>
        <v/>
      </c>
    </row>
    <row r="20">
      <c r="A20" s="18">
        <f>IF($B20="","",ROW()-4+1)</f>
        <v/>
      </c>
      <c r="B20" s="18">
        <f>내역서!$B20</f>
        <v/>
      </c>
      <c r="C20" s="18">
        <f>IF($B20="","",내역서!$C20)</f>
        <v/>
      </c>
      <c r="D20" s="18">
        <f>IF($B20="","",내역서!$D20)</f>
        <v/>
      </c>
      <c r="E20" s="18">
        <f>IF($B20="","",내역서!$E20)</f>
        <v/>
      </c>
      <c r="F20" s="19">
        <f>IF($B20="","",N(내역서!$F20))</f>
        <v/>
      </c>
      <c r="G20" s="20">
        <f>IF($B20="","",N(내역서!$J20))</f>
        <v/>
      </c>
      <c r="H20" s="20">
        <f>IF($B20="","",N(내역서!$K20))</f>
        <v/>
      </c>
      <c r="I20" s="19">
        <f>IF($B20="","",N(내역서!$N20))</f>
        <v/>
      </c>
      <c r="J20" s="20">
        <f>IF($B20="","",N(내역서!$R20))</f>
        <v/>
      </c>
      <c r="K20" s="19">
        <f>IF($B20="","",N($I20)-N($F20))</f>
        <v/>
      </c>
      <c r="L20" s="21">
        <f>IF($B20="","",IF(N(내역서!$F20)=0,"신규",IF($K20&lt;0,"감소",IF($K20&gt;0,"증가","-"))))</f>
        <v/>
      </c>
      <c r="M20" s="22" t="n"/>
      <c r="N20" s="23" t="n"/>
      <c r="O20" s="24">
        <f>IF($B20="","",IF($L20="감소",$G20,IF($L20="증가",IF($M20="Y",ROUND(($J20+$J20*('설정'!$C$15/100))/2,0),IF(AND($N20&lt;&gt;"",$G20&gt;$N20),$N20,$G20)),IF($L20="신규",IF($M20="Y",ROUND(($J20+$J20*('설정'!$C$15/100))/2,0),ROUND($J20*('설정'!$C$15/100),0)),0))))</f>
        <v/>
      </c>
      <c r="P20" s="24">
        <f>IF($B20="","",ROUND(N($K20)*N($O20),0))</f>
        <v/>
      </c>
      <c r="Q20" s="25">
        <f>IF($B20="","",IF($L20="감소","감소분 → 계약단가",IF(AND($M20="Y",OR($L20="증가",$L20="신규")),"발주기관 요구 → 협의 (불성립 시 (당시단가+당시단가×낙찰률)÷2)",IF($L20="증가",IF(AND($N20&lt;&gt;"",$G20&gt;$N20),"증가분 → 계약단가&gt;예정가격단가 이므로 예정가격단가","증가분 → 계약단가 (낙찰률을 곱하지 않습니다)"),IF($L20="신규","신규비목 → 당시단가 × 낙찰률","")))))</f>
        <v/>
      </c>
      <c r="R20" s="20">
        <f>IF($B20="","",IF(N($O20)=0,0,IF(OR($L20="감소",AND($L20="증가",$M20&lt;&gt;"Y")),IF(N($G20)=0,0,ROUND(N(내역서!$G20)*$O20/$G20,0)),IF(N($J20)=0,0,ROUND(N(내역서!$O20)*$O20/$J20,0)))))</f>
        <v/>
      </c>
      <c r="S20" s="20">
        <f>IF($B20="","",IF(N($O20)=0,0,IF(OR($L20="감소",AND($L20="증가",$M20&lt;&gt;"Y")),IF(N($G20)=0,0,ROUND(N(내역서!$H20)*$O20/$G20,0)),IF(N($J20)=0,0,ROUND(N(내역서!$P20)*$O20/$J20,0)))))</f>
        <v/>
      </c>
      <c r="T20" s="20">
        <f>IF($B20="","",N($O20)-N($R20)-N($S20))</f>
        <v/>
      </c>
      <c r="U20" s="20">
        <f>IF($B20="","",ROUND(N($K20)*N($R20),0))</f>
        <v/>
      </c>
      <c r="V20" s="20">
        <f>IF($B20="","",ROUND(N($K20)*N($S20),0))</f>
        <v/>
      </c>
      <c r="W20" s="20">
        <f>IF($B20="","",N($P20)-N($U20)-N($V20))</f>
        <v/>
      </c>
    </row>
    <row r="21">
      <c r="A21" s="18">
        <f>IF($B21="","",ROW()-4+1)</f>
        <v/>
      </c>
      <c r="B21" s="18">
        <f>내역서!$B21</f>
        <v/>
      </c>
      <c r="C21" s="18">
        <f>IF($B21="","",내역서!$C21)</f>
        <v/>
      </c>
      <c r="D21" s="18">
        <f>IF($B21="","",내역서!$D21)</f>
        <v/>
      </c>
      <c r="E21" s="18">
        <f>IF($B21="","",내역서!$E21)</f>
        <v/>
      </c>
      <c r="F21" s="19">
        <f>IF($B21="","",N(내역서!$F21))</f>
        <v/>
      </c>
      <c r="G21" s="20">
        <f>IF($B21="","",N(내역서!$J21))</f>
        <v/>
      </c>
      <c r="H21" s="20">
        <f>IF($B21="","",N(내역서!$K21))</f>
        <v/>
      </c>
      <c r="I21" s="19">
        <f>IF($B21="","",N(내역서!$N21))</f>
        <v/>
      </c>
      <c r="J21" s="20">
        <f>IF($B21="","",N(내역서!$R21))</f>
        <v/>
      </c>
      <c r="K21" s="19">
        <f>IF($B21="","",N($I21)-N($F21))</f>
        <v/>
      </c>
      <c r="L21" s="21">
        <f>IF($B21="","",IF(N(내역서!$F21)=0,"신규",IF($K21&lt;0,"감소",IF($K21&gt;0,"증가","-"))))</f>
        <v/>
      </c>
      <c r="M21" s="22" t="n"/>
      <c r="N21" s="23" t="n"/>
      <c r="O21" s="24">
        <f>IF($B21="","",IF($L21="감소",$G21,IF($L21="증가",IF($M21="Y",ROUND(($J21+$J21*('설정'!$C$15/100))/2,0),IF(AND($N21&lt;&gt;"",$G21&gt;$N21),$N21,$G21)),IF($L21="신규",IF($M21="Y",ROUND(($J21+$J21*('설정'!$C$15/100))/2,0),ROUND($J21*('설정'!$C$15/100),0)),0))))</f>
        <v/>
      </c>
      <c r="P21" s="24">
        <f>IF($B21="","",ROUND(N($K21)*N($O21),0))</f>
        <v/>
      </c>
      <c r="Q21" s="25">
        <f>IF($B21="","",IF($L21="감소","감소분 → 계약단가",IF(AND($M21="Y",OR($L21="증가",$L21="신규")),"발주기관 요구 → 협의 (불성립 시 (당시단가+당시단가×낙찰률)÷2)",IF($L21="증가",IF(AND($N21&lt;&gt;"",$G21&gt;$N21),"증가분 → 계약단가&gt;예정가격단가 이므로 예정가격단가","증가분 → 계약단가 (낙찰률을 곱하지 않습니다)"),IF($L21="신규","신규비목 → 당시단가 × 낙찰률","")))))</f>
        <v/>
      </c>
      <c r="R21" s="20">
        <f>IF($B21="","",IF(N($O21)=0,0,IF(OR($L21="감소",AND($L21="증가",$M21&lt;&gt;"Y")),IF(N($G21)=0,0,ROUND(N(내역서!$G21)*$O21/$G21,0)),IF(N($J21)=0,0,ROUND(N(내역서!$O21)*$O21/$J21,0)))))</f>
        <v/>
      </c>
      <c r="S21" s="20">
        <f>IF($B21="","",IF(N($O21)=0,0,IF(OR($L21="감소",AND($L21="증가",$M21&lt;&gt;"Y")),IF(N($G21)=0,0,ROUND(N(내역서!$H21)*$O21/$G21,0)),IF(N($J21)=0,0,ROUND(N(내역서!$P21)*$O21/$J21,0)))))</f>
        <v/>
      </c>
      <c r="T21" s="20">
        <f>IF($B21="","",N($O21)-N($R21)-N($S21))</f>
        <v/>
      </c>
      <c r="U21" s="20">
        <f>IF($B21="","",ROUND(N($K21)*N($R21),0))</f>
        <v/>
      </c>
      <c r="V21" s="20">
        <f>IF($B21="","",ROUND(N($K21)*N($S21),0))</f>
        <v/>
      </c>
      <c r="W21" s="20">
        <f>IF($B21="","",N($P21)-N($U21)-N($V21))</f>
        <v/>
      </c>
    </row>
    <row r="22">
      <c r="A22" s="18">
        <f>IF($B22="","",ROW()-4+1)</f>
        <v/>
      </c>
      <c r="B22" s="18">
        <f>내역서!$B22</f>
        <v/>
      </c>
      <c r="C22" s="18">
        <f>IF($B22="","",내역서!$C22)</f>
        <v/>
      </c>
      <c r="D22" s="18">
        <f>IF($B22="","",내역서!$D22)</f>
        <v/>
      </c>
      <c r="E22" s="18">
        <f>IF($B22="","",내역서!$E22)</f>
        <v/>
      </c>
      <c r="F22" s="19">
        <f>IF($B22="","",N(내역서!$F22))</f>
        <v/>
      </c>
      <c r="G22" s="20">
        <f>IF($B22="","",N(내역서!$J22))</f>
        <v/>
      </c>
      <c r="H22" s="20">
        <f>IF($B22="","",N(내역서!$K22))</f>
        <v/>
      </c>
      <c r="I22" s="19">
        <f>IF($B22="","",N(내역서!$N22))</f>
        <v/>
      </c>
      <c r="J22" s="20">
        <f>IF($B22="","",N(내역서!$R22))</f>
        <v/>
      </c>
      <c r="K22" s="19">
        <f>IF($B22="","",N($I22)-N($F22))</f>
        <v/>
      </c>
      <c r="L22" s="21">
        <f>IF($B22="","",IF(N(내역서!$F22)=0,"신규",IF($K22&lt;0,"감소",IF($K22&gt;0,"증가","-"))))</f>
        <v/>
      </c>
      <c r="M22" s="22" t="n"/>
      <c r="N22" s="23" t="n"/>
      <c r="O22" s="24">
        <f>IF($B22="","",IF($L22="감소",$G22,IF($L22="증가",IF($M22="Y",ROUND(($J22+$J22*('설정'!$C$15/100))/2,0),IF(AND($N22&lt;&gt;"",$G22&gt;$N22),$N22,$G22)),IF($L22="신규",IF($M22="Y",ROUND(($J22+$J22*('설정'!$C$15/100))/2,0),ROUND($J22*('설정'!$C$15/100),0)),0))))</f>
        <v/>
      </c>
      <c r="P22" s="24">
        <f>IF($B22="","",ROUND(N($K22)*N($O22),0))</f>
        <v/>
      </c>
      <c r="Q22" s="25">
        <f>IF($B22="","",IF($L22="감소","감소분 → 계약단가",IF(AND($M22="Y",OR($L22="증가",$L22="신규")),"발주기관 요구 → 협의 (불성립 시 (당시단가+당시단가×낙찰률)÷2)",IF($L22="증가",IF(AND($N22&lt;&gt;"",$G22&gt;$N22),"증가분 → 계약단가&gt;예정가격단가 이므로 예정가격단가","증가분 → 계약단가 (낙찰률을 곱하지 않습니다)"),IF($L22="신규","신규비목 → 당시단가 × 낙찰률","")))))</f>
        <v/>
      </c>
      <c r="R22" s="20">
        <f>IF($B22="","",IF(N($O22)=0,0,IF(OR($L22="감소",AND($L22="증가",$M22&lt;&gt;"Y")),IF(N($G22)=0,0,ROUND(N(내역서!$G22)*$O22/$G22,0)),IF(N($J22)=0,0,ROUND(N(내역서!$O22)*$O22/$J22,0)))))</f>
        <v/>
      </c>
      <c r="S22" s="20">
        <f>IF($B22="","",IF(N($O22)=0,0,IF(OR($L22="감소",AND($L22="증가",$M22&lt;&gt;"Y")),IF(N($G22)=0,0,ROUND(N(내역서!$H22)*$O22/$G22,0)),IF(N($J22)=0,0,ROUND(N(내역서!$P22)*$O22/$J22,0)))))</f>
        <v/>
      </c>
      <c r="T22" s="20">
        <f>IF($B22="","",N($O22)-N($R22)-N($S22))</f>
        <v/>
      </c>
      <c r="U22" s="20">
        <f>IF($B22="","",ROUND(N($K22)*N($R22),0))</f>
        <v/>
      </c>
      <c r="V22" s="20">
        <f>IF($B22="","",ROUND(N($K22)*N($S22),0))</f>
        <v/>
      </c>
      <c r="W22" s="20">
        <f>IF($B22="","",N($P22)-N($U22)-N($V22))</f>
        <v/>
      </c>
    </row>
    <row r="23">
      <c r="A23" s="18">
        <f>IF($B23="","",ROW()-4+1)</f>
        <v/>
      </c>
      <c r="B23" s="18">
        <f>내역서!$B23</f>
        <v/>
      </c>
      <c r="C23" s="18">
        <f>IF($B23="","",내역서!$C23)</f>
        <v/>
      </c>
      <c r="D23" s="18">
        <f>IF($B23="","",내역서!$D23)</f>
        <v/>
      </c>
      <c r="E23" s="18">
        <f>IF($B23="","",내역서!$E23)</f>
        <v/>
      </c>
      <c r="F23" s="19">
        <f>IF($B23="","",N(내역서!$F23))</f>
        <v/>
      </c>
      <c r="G23" s="20">
        <f>IF($B23="","",N(내역서!$J23))</f>
        <v/>
      </c>
      <c r="H23" s="20">
        <f>IF($B23="","",N(내역서!$K23))</f>
        <v/>
      </c>
      <c r="I23" s="19">
        <f>IF($B23="","",N(내역서!$N23))</f>
        <v/>
      </c>
      <c r="J23" s="20">
        <f>IF($B23="","",N(내역서!$R23))</f>
        <v/>
      </c>
      <c r="K23" s="19">
        <f>IF($B23="","",N($I23)-N($F23))</f>
        <v/>
      </c>
      <c r="L23" s="21">
        <f>IF($B23="","",IF(N(내역서!$F23)=0,"신규",IF($K23&lt;0,"감소",IF($K23&gt;0,"증가","-"))))</f>
        <v/>
      </c>
      <c r="M23" s="22" t="n"/>
      <c r="N23" s="23" t="n"/>
      <c r="O23" s="24">
        <f>IF($B23="","",IF($L23="감소",$G23,IF($L23="증가",IF($M23="Y",ROUND(($J23+$J23*('설정'!$C$15/100))/2,0),IF(AND($N23&lt;&gt;"",$G23&gt;$N23),$N23,$G23)),IF($L23="신규",IF($M23="Y",ROUND(($J23+$J23*('설정'!$C$15/100))/2,0),ROUND($J23*('설정'!$C$15/100),0)),0))))</f>
        <v/>
      </c>
      <c r="P23" s="24">
        <f>IF($B23="","",ROUND(N($K23)*N($O23),0))</f>
        <v/>
      </c>
      <c r="Q23" s="25">
        <f>IF($B23="","",IF($L23="감소","감소분 → 계약단가",IF(AND($M23="Y",OR($L23="증가",$L23="신규")),"발주기관 요구 → 협의 (불성립 시 (당시단가+당시단가×낙찰률)÷2)",IF($L23="증가",IF(AND($N23&lt;&gt;"",$G23&gt;$N23),"증가분 → 계약단가&gt;예정가격단가 이므로 예정가격단가","증가분 → 계약단가 (낙찰률을 곱하지 않습니다)"),IF($L23="신규","신규비목 → 당시단가 × 낙찰률","")))))</f>
        <v/>
      </c>
      <c r="R23" s="20">
        <f>IF($B23="","",IF(N($O23)=0,0,IF(OR($L23="감소",AND($L23="증가",$M23&lt;&gt;"Y")),IF(N($G23)=0,0,ROUND(N(내역서!$G23)*$O23/$G23,0)),IF(N($J23)=0,0,ROUND(N(내역서!$O23)*$O23/$J23,0)))))</f>
        <v/>
      </c>
      <c r="S23" s="20">
        <f>IF($B23="","",IF(N($O23)=0,0,IF(OR($L23="감소",AND($L23="증가",$M23&lt;&gt;"Y")),IF(N($G23)=0,0,ROUND(N(내역서!$H23)*$O23/$G23,0)),IF(N($J23)=0,0,ROUND(N(내역서!$P23)*$O23/$J23,0)))))</f>
        <v/>
      </c>
      <c r="T23" s="20">
        <f>IF($B23="","",N($O23)-N($R23)-N($S23))</f>
        <v/>
      </c>
      <c r="U23" s="20">
        <f>IF($B23="","",ROUND(N($K23)*N($R23),0))</f>
        <v/>
      </c>
      <c r="V23" s="20">
        <f>IF($B23="","",ROUND(N($K23)*N($S23),0))</f>
        <v/>
      </c>
      <c r="W23" s="20">
        <f>IF($B23="","",N($P23)-N($U23)-N($V23))</f>
        <v/>
      </c>
    </row>
    <row r="24">
      <c r="A24" s="18">
        <f>IF($B24="","",ROW()-4+1)</f>
        <v/>
      </c>
      <c r="B24" s="18">
        <f>내역서!$B24</f>
        <v/>
      </c>
      <c r="C24" s="18">
        <f>IF($B24="","",내역서!$C24)</f>
        <v/>
      </c>
      <c r="D24" s="18">
        <f>IF($B24="","",내역서!$D24)</f>
        <v/>
      </c>
      <c r="E24" s="18">
        <f>IF($B24="","",내역서!$E24)</f>
        <v/>
      </c>
      <c r="F24" s="19">
        <f>IF($B24="","",N(내역서!$F24))</f>
        <v/>
      </c>
      <c r="G24" s="20">
        <f>IF($B24="","",N(내역서!$J24))</f>
        <v/>
      </c>
      <c r="H24" s="20">
        <f>IF($B24="","",N(내역서!$K24))</f>
        <v/>
      </c>
      <c r="I24" s="19">
        <f>IF($B24="","",N(내역서!$N24))</f>
        <v/>
      </c>
      <c r="J24" s="20">
        <f>IF($B24="","",N(내역서!$R24))</f>
        <v/>
      </c>
      <c r="K24" s="19">
        <f>IF($B24="","",N($I24)-N($F24))</f>
        <v/>
      </c>
      <c r="L24" s="21">
        <f>IF($B24="","",IF(N(내역서!$F24)=0,"신규",IF($K24&lt;0,"감소",IF($K24&gt;0,"증가","-"))))</f>
        <v/>
      </c>
      <c r="M24" s="22" t="n"/>
      <c r="N24" s="23" t="n"/>
      <c r="O24" s="24">
        <f>IF($B24="","",IF($L24="감소",$G24,IF($L24="증가",IF($M24="Y",ROUND(($J24+$J24*('설정'!$C$15/100))/2,0),IF(AND($N24&lt;&gt;"",$G24&gt;$N24),$N24,$G24)),IF($L24="신규",IF($M24="Y",ROUND(($J24+$J24*('설정'!$C$15/100))/2,0),ROUND($J24*('설정'!$C$15/100),0)),0))))</f>
        <v/>
      </c>
      <c r="P24" s="24">
        <f>IF($B24="","",ROUND(N($K24)*N($O24),0))</f>
        <v/>
      </c>
      <c r="Q24" s="25">
        <f>IF($B24="","",IF($L24="감소","감소분 → 계약단가",IF(AND($M24="Y",OR($L24="증가",$L24="신규")),"발주기관 요구 → 협의 (불성립 시 (당시단가+당시단가×낙찰률)÷2)",IF($L24="증가",IF(AND($N24&lt;&gt;"",$G24&gt;$N24),"증가분 → 계약단가&gt;예정가격단가 이므로 예정가격단가","증가분 → 계약단가 (낙찰률을 곱하지 않습니다)"),IF($L24="신규","신규비목 → 당시단가 × 낙찰률","")))))</f>
        <v/>
      </c>
      <c r="R24" s="20">
        <f>IF($B24="","",IF(N($O24)=0,0,IF(OR($L24="감소",AND($L24="증가",$M24&lt;&gt;"Y")),IF(N($G24)=0,0,ROUND(N(내역서!$G24)*$O24/$G24,0)),IF(N($J24)=0,0,ROUND(N(내역서!$O24)*$O24/$J24,0)))))</f>
        <v/>
      </c>
      <c r="S24" s="20">
        <f>IF($B24="","",IF(N($O24)=0,0,IF(OR($L24="감소",AND($L24="증가",$M24&lt;&gt;"Y")),IF(N($G24)=0,0,ROUND(N(내역서!$H24)*$O24/$G24,0)),IF(N($J24)=0,0,ROUND(N(내역서!$P24)*$O24/$J24,0)))))</f>
        <v/>
      </c>
      <c r="T24" s="20">
        <f>IF($B24="","",N($O24)-N($R24)-N($S24))</f>
        <v/>
      </c>
      <c r="U24" s="20">
        <f>IF($B24="","",ROUND(N($K24)*N($R24),0))</f>
        <v/>
      </c>
      <c r="V24" s="20">
        <f>IF($B24="","",ROUND(N($K24)*N($S24),0))</f>
        <v/>
      </c>
      <c r="W24" s="20">
        <f>IF($B24="","",N($P24)-N($U24)-N($V24))</f>
        <v/>
      </c>
    </row>
    <row r="25">
      <c r="A25" s="18">
        <f>IF($B25="","",ROW()-4+1)</f>
        <v/>
      </c>
      <c r="B25" s="18">
        <f>내역서!$B25</f>
        <v/>
      </c>
      <c r="C25" s="18">
        <f>IF($B25="","",내역서!$C25)</f>
        <v/>
      </c>
      <c r="D25" s="18">
        <f>IF($B25="","",내역서!$D25)</f>
        <v/>
      </c>
      <c r="E25" s="18">
        <f>IF($B25="","",내역서!$E25)</f>
        <v/>
      </c>
      <c r="F25" s="19">
        <f>IF($B25="","",N(내역서!$F25))</f>
        <v/>
      </c>
      <c r="G25" s="20">
        <f>IF($B25="","",N(내역서!$J25))</f>
        <v/>
      </c>
      <c r="H25" s="20">
        <f>IF($B25="","",N(내역서!$K25))</f>
        <v/>
      </c>
      <c r="I25" s="19">
        <f>IF($B25="","",N(내역서!$N25))</f>
        <v/>
      </c>
      <c r="J25" s="20">
        <f>IF($B25="","",N(내역서!$R25))</f>
        <v/>
      </c>
      <c r="K25" s="19">
        <f>IF($B25="","",N($I25)-N($F25))</f>
        <v/>
      </c>
      <c r="L25" s="21">
        <f>IF($B25="","",IF(N(내역서!$F25)=0,"신규",IF($K25&lt;0,"감소",IF($K25&gt;0,"증가","-"))))</f>
        <v/>
      </c>
      <c r="M25" s="22" t="n"/>
      <c r="N25" s="23" t="n"/>
      <c r="O25" s="24">
        <f>IF($B25="","",IF($L25="감소",$G25,IF($L25="증가",IF($M25="Y",ROUND(($J25+$J25*('설정'!$C$15/100))/2,0),IF(AND($N25&lt;&gt;"",$G25&gt;$N25),$N25,$G25)),IF($L25="신규",IF($M25="Y",ROUND(($J25+$J25*('설정'!$C$15/100))/2,0),ROUND($J25*('설정'!$C$15/100),0)),0))))</f>
        <v/>
      </c>
      <c r="P25" s="24">
        <f>IF($B25="","",ROUND(N($K25)*N($O25),0))</f>
        <v/>
      </c>
      <c r="Q25" s="25">
        <f>IF($B25="","",IF($L25="감소","감소분 → 계약단가",IF(AND($M25="Y",OR($L25="증가",$L25="신규")),"발주기관 요구 → 협의 (불성립 시 (당시단가+당시단가×낙찰률)÷2)",IF($L25="증가",IF(AND($N25&lt;&gt;"",$G25&gt;$N25),"증가분 → 계약단가&gt;예정가격단가 이므로 예정가격단가","증가분 → 계약단가 (낙찰률을 곱하지 않습니다)"),IF($L25="신규","신규비목 → 당시단가 × 낙찰률","")))))</f>
        <v/>
      </c>
      <c r="R25" s="20">
        <f>IF($B25="","",IF(N($O25)=0,0,IF(OR($L25="감소",AND($L25="증가",$M25&lt;&gt;"Y")),IF(N($G25)=0,0,ROUND(N(내역서!$G25)*$O25/$G25,0)),IF(N($J25)=0,0,ROUND(N(내역서!$O25)*$O25/$J25,0)))))</f>
        <v/>
      </c>
      <c r="S25" s="20">
        <f>IF($B25="","",IF(N($O25)=0,0,IF(OR($L25="감소",AND($L25="증가",$M25&lt;&gt;"Y")),IF(N($G25)=0,0,ROUND(N(내역서!$H25)*$O25/$G25,0)),IF(N($J25)=0,0,ROUND(N(내역서!$P25)*$O25/$J25,0)))))</f>
        <v/>
      </c>
      <c r="T25" s="20">
        <f>IF($B25="","",N($O25)-N($R25)-N($S25))</f>
        <v/>
      </c>
      <c r="U25" s="20">
        <f>IF($B25="","",ROUND(N($K25)*N($R25),0))</f>
        <v/>
      </c>
      <c r="V25" s="20">
        <f>IF($B25="","",ROUND(N($K25)*N($S25),0))</f>
        <v/>
      </c>
      <c r="W25" s="20">
        <f>IF($B25="","",N($P25)-N($U25)-N($V25))</f>
        <v/>
      </c>
    </row>
    <row r="26">
      <c r="A26" s="18">
        <f>IF($B26="","",ROW()-4+1)</f>
        <v/>
      </c>
      <c r="B26" s="18">
        <f>내역서!$B26</f>
        <v/>
      </c>
      <c r="C26" s="18">
        <f>IF($B26="","",내역서!$C26)</f>
        <v/>
      </c>
      <c r="D26" s="18">
        <f>IF($B26="","",내역서!$D26)</f>
        <v/>
      </c>
      <c r="E26" s="18">
        <f>IF($B26="","",내역서!$E26)</f>
        <v/>
      </c>
      <c r="F26" s="19">
        <f>IF($B26="","",N(내역서!$F26))</f>
        <v/>
      </c>
      <c r="G26" s="20">
        <f>IF($B26="","",N(내역서!$J26))</f>
        <v/>
      </c>
      <c r="H26" s="20">
        <f>IF($B26="","",N(내역서!$K26))</f>
        <v/>
      </c>
      <c r="I26" s="19">
        <f>IF($B26="","",N(내역서!$N26))</f>
        <v/>
      </c>
      <c r="J26" s="20">
        <f>IF($B26="","",N(내역서!$R26))</f>
        <v/>
      </c>
      <c r="K26" s="19">
        <f>IF($B26="","",N($I26)-N($F26))</f>
        <v/>
      </c>
      <c r="L26" s="21">
        <f>IF($B26="","",IF(N(내역서!$F26)=0,"신규",IF($K26&lt;0,"감소",IF($K26&gt;0,"증가","-"))))</f>
        <v/>
      </c>
      <c r="M26" s="22" t="n"/>
      <c r="N26" s="23" t="n"/>
      <c r="O26" s="24">
        <f>IF($B26="","",IF($L26="감소",$G26,IF($L26="증가",IF($M26="Y",ROUND(($J26+$J26*('설정'!$C$15/100))/2,0),IF(AND($N26&lt;&gt;"",$G26&gt;$N26),$N26,$G26)),IF($L26="신규",IF($M26="Y",ROUND(($J26+$J26*('설정'!$C$15/100))/2,0),ROUND($J26*('설정'!$C$15/100),0)),0))))</f>
        <v/>
      </c>
      <c r="P26" s="24">
        <f>IF($B26="","",ROUND(N($K26)*N($O26),0))</f>
        <v/>
      </c>
      <c r="Q26" s="25">
        <f>IF($B26="","",IF($L26="감소","감소분 → 계약단가",IF(AND($M26="Y",OR($L26="증가",$L26="신규")),"발주기관 요구 → 협의 (불성립 시 (당시단가+당시단가×낙찰률)÷2)",IF($L26="증가",IF(AND($N26&lt;&gt;"",$G26&gt;$N26),"증가분 → 계약단가&gt;예정가격단가 이므로 예정가격단가","증가분 → 계약단가 (낙찰률을 곱하지 않습니다)"),IF($L26="신규","신규비목 → 당시단가 × 낙찰률","")))))</f>
        <v/>
      </c>
      <c r="R26" s="20">
        <f>IF($B26="","",IF(N($O26)=0,0,IF(OR($L26="감소",AND($L26="증가",$M26&lt;&gt;"Y")),IF(N($G26)=0,0,ROUND(N(내역서!$G26)*$O26/$G26,0)),IF(N($J26)=0,0,ROUND(N(내역서!$O26)*$O26/$J26,0)))))</f>
        <v/>
      </c>
      <c r="S26" s="20">
        <f>IF($B26="","",IF(N($O26)=0,0,IF(OR($L26="감소",AND($L26="증가",$M26&lt;&gt;"Y")),IF(N($G26)=0,0,ROUND(N(내역서!$H26)*$O26/$G26,0)),IF(N($J26)=0,0,ROUND(N(내역서!$P26)*$O26/$J26,0)))))</f>
        <v/>
      </c>
      <c r="T26" s="20">
        <f>IF($B26="","",N($O26)-N($R26)-N($S26))</f>
        <v/>
      </c>
      <c r="U26" s="20">
        <f>IF($B26="","",ROUND(N($K26)*N($R26),0))</f>
        <v/>
      </c>
      <c r="V26" s="20">
        <f>IF($B26="","",ROUND(N($K26)*N($S26),0))</f>
        <v/>
      </c>
      <c r="W26" s="20">
        <f>IF($B26="","",N($P26)-N($U26)-N($V26))</f>
        <v/>
      </c>
    </row>
    <row r="27">
      <c r="A27" s="18">
        <f>IF($B27="","",ROW()-4+1)</f>
        <v/>
      </c>
      <c r="B27" s="18">
        <f>내역서!$B27</f>
        <v/>
      </c>
      <c r="C27" s="18">
        <f>IF($B27="","",내역서!$C27)</f>
        <v/>
      </c>
      <c r="D27" s="18">
        <f>IF($B27="","",내역서!$D27)</f>
        <v/>
      </c>
      <c r="E27" s="18">
        <f>IF($B27="","",내역서!$E27)</f>
        <v/>
      </c>
      <c r="F27" s="19">
        <f>IF($B27="","",N(내역서!$F27))</f>
        <v/>
      </c>
      <c r="G27" s="20">
        <f>IF($B27="","",N(내역서!$J27))</f>
        <v/>
      </c>
      <c r="H27" s="20">
        <f>IF($B27="","",N(내역서!$K27))</f>
        <v/>
      </c>
      <c r="I27" s="19">
        <f>IF($B27="","",N(내역서!$N27))</f>
        <v/>
      </c>
      <c r="J27" s="20">
        <f>IF($B27="","",N(내역서!$R27))</f>
        <v/>
      </c>
      <c r="K27" s="19">
        <f>IF($B27="","",N($I27)-N($F27))</f>
        <v/>
      </c>
      <c r="L27" s="21">
        <f>IF($B27="","",IF(N(내역서!$F27)=0,"신규",IF($K27&lt;0,"감소",IF($K27&gt;0,"증가","-"))))</f>
        <v/>
      </c>
      <c r="M27" s="22" t="n"/>
      <c r="N27" s="23" t="n"/>
      <c r="O27" s="24">
        <f>IF($B27="","",IF($L27="감소",$G27,IF($L27="증가",IF($M27="Y",ROUND(($J27+$J27*('설정'!$C$15/100))/2,0),IF(AND($N27&lt;&gt;"",$G27&gt;$N27),$N27,$G27)),IF($L27="신규",IF($M27="Y",ROUND(($J27+$J27*('설정'!$C$15/100))/2,0),ROUND($J27*('설정'!$C$15/100),0)),0))))</f>
        <v/>
      </c>
      <c r="P27" s="24">
        <f>IF($B27="","",ROUND(N($K27)*N($O27),0))</f>
        <v/>
      </c>
      <c r="Q27" s="25">
        <f>IF($B27="","",IF($L27="감소","감소분 → 계약단가",IF(AND($M27="Y",OR($L27="증가",$L27="신규")),"발주기관 요구 → 협의 (불성립 시 (당시단가+당시단가×낙찰률)÷2)",IF($L27="증가",IF(AND($N27&lt;&gt;"",$G27&gt;$N27),"증가분 → 계약단가&gt;예정가격단가 이므로 예정가격단가","증가분 → 계약단가 (낙찰률을 곱하지 않습니다)"),IF($L27="신규","신규비목 → 당시단가 × 낙찰률","")))))</f>
        <v/>
      </c>
      <c r="R27" s="20">
        <f>IF($B27="","",IF(N($O27)=0,0,IF(OR($L27="감소",AND($L27="증가",$M27&lt;&gt;"Y")),IF(N($G27)=0,0,ROUND(N(내역서!$G27)*$O27/$G27,0)),IF(N($J27)=0,0,ROUND(N(내역서!$O27)*$O27/$J27,0)))))</f>
        <v/>
      </c>
      <c r="S27" s="20">
        <f>IF($B27="","",IF(N($O27)=0,0,IF(OR($L27="감소",AND($L27="증가",$M27&lt;&gt;"Y")),IF(N($G27)=0,0,ROUND(N(내역서!$H27)*$O27/$G27,0)),IF(N($J27)=0,0,ROUND(N(내역서!$P27)*$O27/$J27,0)))))</f>
        <v/>
      </c>
      <c r="T27" s="20">
        <f>IF($B27="","",N($O27)-N($R27)-N($S27))</f>
        <v/>
      </c>
      <c r="U27" s="20">
        <f>IF($B27="","",ROUND(N($K27)*N($R27),0))</f>
        <v/>
      </c>
      <c r="V27" s="20">
        <f>IF($B27="","",ROUND(N($K27)*N($S27),0))</f>
        <v/>
      </c>
      <c r="W27" s="20">
        <f>IF($B27="","",N($P27)-N($U27)-N($V27))</f>
        <v/>
      </c>
    </row>
    <row r="28">
      <c r="A28" s="18">
        <f>IF($B28="","",ROW()-4+1)</f>
        <v/>
      </c>
      <c r="B28" s="18">
        <f>내역서!$B28</f>
        <v/>
      </c>
      <c r="C28" s="18">
        <f>IF($B28="","",내역서!$C28)</f>
        <v/>
      </c>
      <c r="D28" s="18">
        <f>IF($B28="","",내역서!$D28)</f>
        <v/>
      </c>
      <c r="E28" s="18">
        <f>IF($B28="","",내역서!$E28)</f>
        <v/>
      </c>
      <c r="F28" s="19">
        <f>IF($B28="","",N(내역서!$F28))</f>
        <v/>
      </c>
      <c r="G28" s="20">
        <f>IF($B28="","",N(내역서!$J28))</f>
        <v/>
      </c>
      <c r="H28" s="20">
        <f>IF($B28="","",N(내역서!$K28))</f>
        <v/>
      </c>
      <c r="I28" s="19">
        <f>IF($B28="","",N(내역서!$N28))</f>
        <v/>
      </c>
      <c r="J28" s="20">
        <f>IF($B28="","",N(내역서!$R28))</f>
        <v/>
      </c>
      <c r="K28" s="19">
        <f>IF($B28="","",N($I28)-N($F28))</f>
        <v/>
      </c>
      <c r="L28" s="21">
        <f>IF($B28="","",IF(N(내역서!$F28)=0,"신규",IF($K28&lt;0,"감소",IF($K28&gt;0,"증가","-"))))</f>
        <v/>
      </c>
      <c r="M28" s="22" t="n"/>
      <c r="N28" s="23" t="n"/>
      <c r="O28" s="24">
        <f>IF($B28="","",IF($L28="감소",$G28,IF($L28="증가",IF($M28="Y",ROUND(($J28+$J28*('설정'!$C$15/100))/2,0),IF(AND($N28&lt;&gt;"",$G28&gt;$N28),$N28,$G28)),IF($L28="신규",IF($M28="Y",ROUND(($J28+$J28*('설정'!$C$15/100))/2,0),ROUND($J28*('설정'!$C$15/100),0)),0))))</f>
        <v/>
      </c>
      <c r="P28" s="24">
        <f>IF($B28="","",ROUND(N($K28)*N($O28),0))</f>
        <v/>
      </c>
      <c r="Q28" s="25">
        <f>IF($B28="","",IF($L28="감소","감소분 → 계약단가",IF(AND($M28="Y",OR($L28="증가",$L28="신규")),"발주기관 요구 → 협의 (불성립 시 (당시단가+당시단가×낙찰률)÷2)",IF($L28="증가",IF(AND($N28&lt;&gt;"",$G28&gt;$N28),"증가분 → 계약단가&gt;예정가격단가 이므로 예정가격단가","증가분 → 계약단가 (낙찰률을 곱하지 않습니다)"),IF($L28="신규","신규비목 → 당시단가 × 낙찰률","")))))</f>
        <v/>
      </c>
      <c r="R28" s="20">
        <f>IF($B28="","",IF(N($O28)=0,0,IF(OR($L28="감소",AND($L28="증가",$M28&lt;&gt;"Y")),IF(N($G28)=0,0,ROUND(N(내역서!$G28)*$O28/$G28,0)),IF(N($J28)=0,0,ROUND(N(내역서!$O28)*$O28/$J28,0)))))</f>
        <v/>
      </c>
      <c r="S28" s="20">
        <f>IF($B28="","",IF(N($O28)=0,0,IF(OR($L28="감소",AND($L28="증가",$M28&lt;&gt;"Y")),IF(N($G28)=0,0,ROUND(N(내역서!$H28)*$O28/$G28,0)),IF(N($J28)=0,0,ROUND(N(내역서!$P28)*$O28/$J28,0)))))</f>
        <v/>
      </c>
      <c r="T28" s="20">
        <f>IF($B28="","",N($O28)-N($R28)-N($S28))</f>
        <v/>
      </c>
      <c r="U28" s="20">
        <f>IF($B28="","",ROUND(N($K28)*N($R28),0))</f>
        <v/>
      </c>
      <c r="V28" s="20">
        <f>IF($B28="","",ROUND(N($K28)*N($S28),0))</f>
        <v/>
      </c>
      <c r="W28" s="20">
        <f>IF($B28="","",N($P28)-N($U28)-N($V28))</f>
        <v/>
      </c>
    </row>
    <row r="29">
      <c r="A29" s="18">
        <f>IF($B29="","",ROW()-4+1)</f>
        <v/>
      </c>
      <c r="B29" s="18">
        <f>내역서!$B29</f>
        <v/>
      </c>
      <c r="C29" s="18">
        <f>IF($B29="","",내역서!$C29)</f>
        <v/>
      </c>
      <c r="D29" s="18">
        <f>IF($B29="","",내역서!$D29)</f>
        <v/>
      </c>
      <c r="E29" s="18">
        <f>IF($B29="","",내역서!$E29)</f>
        <v/>
      </c>
      <c r="F29" s="19">
        <f>IF($B29="","",N(내역서!$F29))</f>
        <v/>
      </c>
      <c r="G29" s="20">
        <f>IF($B29="","",N(내역서!$J29))</f>
        <v/>
      </c>
      <c r="H29" s="20">
        <f>IF($B29="","",N(내역서!$K29))</f>
        <v/>
      </c>
      <c r="I29" s="19">
        <f>IF($B29="","",N(내역서!$N29))</f>
        <v/>
      </c>
      <c r="J29" s="20">
        <f>IF($B29="","",N(내역서!$R29))</f>
        <v/>
      </c>
      <c r="K29" s="19">
        <f>IF($B29="","",N($I29)-N($F29))</f>
        <v/>
      </c>
      <c r="L29" s="21">
        <f>IF($B29="","",IF(N(내역서!$F29)=0,"신규",IF($K29&lt;0,"감소",IF($K29&gt;0,"증가","-"))))</f>
        <v/>
      </c>
      <c r="M29" s="22" t="n"/>
      <c r="N29" s="23" t="n"/>
      <c r="O29" s="24">
        <f>IF($B29="","",IF($L29="감소",$G29,IF($L29="증가",IF($M29="Y",ROUND(($J29+$J29*('설정'!$C$15/100))/2,0),IF(AND($N29&lt;&gt;"",$G29&gt;$N29),$N29,$G29)),IF($L29="신규",IF($M29="Y",ROUND(($J29+$J29*('설정'!$C$15/100))/2,0),ROUND($J29*('설정'!$C$15/100),0)),0))))</f>
        <v/>
      </c>
      <c r="P29" s="24">
        <f>IF($B29="","",ROUND(N($K29)*N($O29),0))</f>
        <v/>
      </c>
      <c r="Q29" s="25">
        <f>IF($B29="","",IF($L29="감소","감소분 → 계약단가",IF(AND($M29="Y",OR($L29="증가",$L29="신규")),"발주기관 요구 → 협의 (불성립 시 (당시단가+당시단가×낙찰률)÷2)",IF($L29="증가",IF(AND($N29&lt;&gt;"",$G29&gt;$N29),"증가분 → 계약단가&gt;예정가격단가 이므로 예정가격단가","증가분 → 계약단가 (낙찰률을 곱하지 않습니다)"),IF($L29="신규","신규비목 → 당시단가 × 낙찰률","")))))</f>
        <v/>
      </c>
      <c r="R29" s="20">
        <f>IF($B29="","",IF(N($O29)=0,0,IF(OR($L29="감소",AND($L29="증가",$M29&lt;&gt;"Y")),IF(N($G29)=0,0,ROUND(N(내역서!$G29)*$O29/$G29,0)),IF(N($J29)=0,0,ROUND(N(내역서!$O29)*$O29/$J29,0)))))</f>
        <v/>
      </c>
      <c r="S29" s="20">
        <f>IF($B29="","",IF(N($O29)=0,0,IF(OR($L29="감소",AND($L29="증가",$M29&lt;&gt;"Y")),IF(N($G29)=0,0,ROUND(N(내역서!$H29)*$O29/$G29,0)),IF(N($J29)=0,0,ROUND(N(내역서!$P29)*$O29/$J29,0)))))</f>
        <v/>
      </c>
      <c r="T29" s="20">
        <f>IF($B29="","",N($O29)-N($R29)-N($S29))</f>
        <v/>
      </c>
      <c r="U29" s="20">
        <f>IF($B29="","",ROUND(N($K29)*N($R29),0))</f>
        <v/>
      </c>
      <c r="V29" s="20">
        <f>IF($B29="","",ROUND(N($K29)*N($S29),0))</f>
        <v/>
      </c>
      <c r="W29" s="20">
        <f>IF($B29="","",N($P29)-N($U29)-N($V29))</f>
        <v/>
      </c>
    </row>
    <row r="30">
      <c r="A30" s="18">
        <f>IF($B30="","",ROW()-4+1)</f>
        <v/>
      </c>
      <c r="B30" s="18">
        <f>내역서!$B30</f>
        <v/>
      </c>
      <c r="C30" s="18">
        <f>IF($B30="","",내역서!$C30)</f>
        <v/>
      </c>
      <c r="D30" s="18">
        <f>IF($B30="","",내역서!$D30)</f>
        <v/>
      </c>
      <c r="E30" s="18">
        <f>IF($B30="","",내역서!$E30)</f>
        <v/>
      </c>
      <c r="F30" s="19">
        <f>IF($B30="","",N(내역서!$F30))</f>
        <v/>
      </c>
      <c r="G30" s="20">
        <f>IF($B30="","",N(내역서!$J30))</f>
        <v/>
      </c>
      <c r="H30" s="20">
        <f>IF($B30="","",N(내역서!$K30))</f>
        <v/>
      </c>
      <c r="I30" s="19">
        <f>IF($B30="","",N(내역서!$N30))</f>
        <v/>
      </c>
      <c r="J30" s="20">
        <f>IF($B30="","",N(내역서!$R30))</f>
        <v/>
      </c>
      <c r="K30" s="19">
        <f>IF($B30="","",N($I30)-N($F30))</f>
        <v/>
      </c>
      <c r="L30" s="21">
        <f>IF($B30="","",IF(N(내역서!$F30)=0,"신규",IF($K30&lt;0,"감소",IF($K30&gt;0,"증가","-"))))</f>
        <v/>
      </c>
      <c r="M30" s="22" t="n"/>
      <c r="N30" s="23" t="n"/>
      <c r="O30" s="24">
        <f>IF($B30="","",IF($L30="감소",$G30,IF($L30="증가",IF($M30="Y",ROUND(($J30+$J30*('설정'!$C$15/100))/2,0),IF(AND($N30&lt;&gt;"",$G30&gt;$N30),$N30,$G30)),IF($L30="신규",IF($M30="Y",ROUND(($J30+$J30*('설정'!$C$15/100))/2,0),ROUND($J30*('설정'!$C$15/100),0)),0))))</f>
        <v/>
      </c>
      <c r="P30" s="24">
        <f>IF($B30="","",ROUND(N($K30)*N($O30),0))</f>
        <v/>
      </c>
      <c r="Q30" s="25">
        <f>IF($B30="","",IF($L30="감소","감소분 → 계약단가",IF(AND($M30="Y",OR($L30="증가",$L30="신규")),"발주기관 요구 → 협의 (불성립 시 (당시단가+당시단가×낙찰률)÷2)",IF($L30="증가",IF(AND($N30&lt;&gt;"",$G30&gt;$N30),"증가분 → 계약단가&gt;예정가격단가 이므로 예정가격단가","증가분 → 계약단가 (낙찰률을 곱하지 않습니다)"),IF($L30="신규","신규비목 → 당시단가 × 낙찰률","")))))</f>
        <v/>
      </c>
      <c r="R30" s="20">
        <f>IF($B30="","",IF(N($O30)=0,0,IF(OR($L30="감소",AND($L30="증가",$M30&lt;&gt;"Y")),IF(N($G30)=0,0,ROUND(N(내역서!$G30)*$O30/$G30,0)),IF(N($J30)=0,0,ROUND(N(내역서!$O30)*$O30/$J30,0)))))</f>
        <v/>
      </c>
      <c r="S30" s="20">
        <f>IF($B30="","",IF(N($O30)=0,0,IF(OR($L30="감소",AND($L30="증가",$M30&lt;&gt;"Y")),IF(N($G30)=0,0,ROUND(N(내역서!$H30)*$O30/$G30,0)),IF(N($J30)=0,0,ROUND(N(내역서!$P30)*$O30/$J30,0)))))</f>
        <v/>
      </c>
      <c r="T30" s="20">
        <f>IF($B30="","",N($O30)-N($R30)-N($S30))</f>
        <v/>
      </c>
      <c r="U30" s="20">
        <f>IF($B30="","",ROUND(N($K30)*N($R30),0))</f>
        <v/>
      </c>
      <c r="V30" s="20">
        <f>IF($B30="","",ROUND(N($K30)*N($S30),0))</f>
        <v/>
      </c>
      <c r="W30" s="20">
        <f>IF($B30="","",N($P30)-N($U30)-N($V30))</f>
        <v/>
      </c>
    </row>
    <row r="31">
      <c r="A31" s="18">
        <f>IF($B31="","",ROW()-4+1)</f>
        <v/>
      </c>
      <c r="B31" s="18">
        <f>내역서!$B31</f>
        <v/>
      </c>
      <c r="C31" s="18">
        <f>IF($B31="","",내역서!$C31)</f>
        <v/>
      </c>
      <c r="D31" s="18">
        <f>IF($B31="","",내역서!$D31)</f>
        <v/>
      </c>
      <c r="E31" s="18">
        <f>IF($B31="","",내역서!$E31)</f>
        <v/>
      </c>
      <c r="F31" s="19">
        <f>IF($B31="","",N(내역서!$F31))</f>
        <v/>
      </c>
      <c r="G31" s="20">
        <f>IF($B31="","",N(내역서!$J31))</f>
        <v/>
      </c>
      <c r="H31" s="20">
        <f>IF($B31="","",N(내역서!$K31))</f>
        <v/>
      </c>
      <c r="I31" s="19">
        <f>IF($B31="","",N(내역서!$N31))</f>
        <v/>
      </c>
      <c r="J31" s="20">
        <f>IF($B31="","",N(내역서!$R31))</f>
        <v/>
      </c>
      <c r="K31" s="19">
        <f>IF($B31="","",N($I31)-N($F31))</f>
        <v/>
      </c>
      <c r="L31" s="21">
        <f>IF($B31="","",IF(N(내역서!$F31)=0,"신규",IF($K31&lt;0,"감소",IF($K31&gt;0,"증가","-"))))</f>
        <v/>
      </c>
      <c r="M31" s="22" t="n"/>
      <c r="N31" s="23" t="n"/>
      <c r="O31" s="24">
        <f>IF($B31="","",IF($L31="감소",$G31,IF($L31="증가",IF($M31="Y",ROUND(($J31+$J31*('설정'!$C$15/100))/2,0),IF(AND($N31&lt;&gt;"",$G31&gt;$N31),$N31,$G31)),IF($L31="신규",IF($M31="Y",ROUND(($J31+$J31*('설정'!$C$15/100))/2,0),ROUND($J31*('설정'!$C$15/100),0)),0))))</f>
        <v/>
      </c>
      <c r="P31" s="24">
        <f>IF($B31="","",ROUND(N($K31)*N($O31),0))</f>
        <v/>
      </c>
      <c r="Q31" s="25">
        <f>IF($B31="","",IF($L31="감소","감소분 → 계약단가",IF(AND($M31="Y",OR($L31="증가",$L31="신규")),"발주기관 요구 → 협의 (불성립 시 (당시단가+당시단가×낙찰률)÷2)",IF($L31="증가",IF(AND($N31&lt;&gt;"",$G31&gt;$N31),"증가분 → 계약단가&gt;예정가격단가 이므로 예정가격단가","증가분 → 계약단가 (낙찰률을 곱하지 않습니다)"),IF($L31="신규","신규비목 → 당시단가 × 낙찰률","")))))</f>
        <v/>
      </c>
      <c r="R31" s="20">
        <f>IF($B31="","",IF(N($O31)=0,0,IF(OR($L31="감소",AND($L31="증가",$M31&lt;&gt;"Y")),IF(N($G31)=0,0,ROUND(N(내역서!$G31)*$O31/$G31,0)),IF(N($J31)=0,0,ROUND(N(내역서!$O31)*$O31/$J31,0)))))</f>
        <v/>
      </c>
      <c r="S31" s="20">
        <f>IF($B31="","",IF(N($O31)=0,0,IF(OR($L31="감소",AND($L31="증가",$M31&lt;&gt;"Y")),IF(N($G31)=0,0,ROUND(N(내역서!$H31)*$O31/$G31,0)),IF(N($J31)=0,0,ROUND(N(내역서!$P31)*$O31/$J31,0)))))</f>
        <v/>
      </c>
      <c r="T31" s="20">
        <f>IF($B31="","",N($O31)-N($R31)-N($S31))</f>
        <v/>
      </c>
      <c r="U31" s="20">
        <f>IF($B31="","",ROUND(N($K31)*N($R31),0))</f>
        <v/>
      </c>
      <c r="V31" s="20">
        <f>IF($B31="","",ROUND(N($K31)*N($S31),0))</f>
        <v/>
      </c>
      <c r="W31" s="20">
        <f>IF($B31="","",N($P31)-N($U31)-N($V31))</f>
        <v/>
      </c>
    </row>
    <row r="32">
      <c r="A32" s="18">
        <f>IF($B32="","",ROW()-4+1)</f>
        <v/>
      </c>
      <c r="B32" s="18">
        <f>내역서!$B32</f>
        <v/>
      </c>
      <c r="C32" s="18">
        <f>IF($B32="","",내역서!$C32)</f>
        <v/>
      </c>
      <c r="D32" s="18">
        <f>IF($B32="","",내역서!$D32)</f>
        <v/>
      </c>
      <c r="E32" s="18">
        <f>IF($B32="","",내역서!$E32)</f>
        <v/>
      </c>
      <c r="F32" s="19">
        <f>IF($B32="","",N(내역서!$F32))</f>
        <v/>
      </c>
      <c r="G32" s="20">
        <f>IF($B32="","",N(내역서!$J32))</f>
        <v/>
      </c>
      <c r="H32" s="20">
        <f>IF($B32="","",N(내역서!$K32))</f>
        <v/>
      </c>
      <c r="I32" s="19">
        <f>IF($B32="","",N(내역서!$N32))</f>
        <v/>
      </c>
      <c r="J32" s="20">
        <f>IF($B32="","",N(내역서!$R32))</f>
        <v/>
      </c>
      <c r="K32" s="19">
        <f>IF($B32="","",N($I32)-N($F32))</f>
        <v/>
      </c>
      <c r="L32" s="21">
        <f>IF($B32="","",IF(N(내역서!$F32)=0,"신규",IF($K32&lt;0,"감소",IF($K32&gt;0,"증가","-"))))</f>
        <v/>
      </c>
      <c r="M32" s="22" t="n"/>
      <c r="N32" s="23" t="n"/>
      <c r="O32" s="24">
        <f>IF($B32="","",IF($L32="감소",$G32,IF($L32="증가",IF($M32="Y",ROUND(($J32+$J32*('설정'!$C$15/100))/2,0),IF(AND($N32&lt;&gt;"",$G32&gt;$N32),$N32,$G32)),IF($L32="신규",IF($M32="Y",ROUND(($J32+$J32*('설정'!$C$15/100))/2,0),ROUND($J32*('설정'!$C$15/100),0)),0))))</f>
        <v/>
      </c>
      <c r="P32" s="24">
        <f>IF($B32="","",ROUND(N($K32)*N($O32),0))</f>
        <v/>
      </c>
      <c r="Q32" s="25">
        <f>IF($B32="","",IF($L32="감소","감소분 → 계약단가",IF(AND($M32="Y",OR($L32="증가",$L32="신규")),"발주기관 요구 → 협의 (불성립 시 (당시단가+당시단가×낙찰률)÷2)",IF($L32="증가",IF(AND($N32&lt;&gt;"",$G32&gt;$N32),"증가분 → 계약단가&gt;예정가격단가 이므로 예정가격단가","증가분 → 계약단가 (낙찰률을 곱하지 않습니다)"),IF($L32="신규","신규비목 → 당시단가 × 낙찰률","")))))</f>
        <v/>
      </c>
      <c r="R32" s="20">
        <f>IF($B32="","",IF(N($O32)=0,0,IF(OR($L32="감소",AND($L32="증가",$M32&lt;&gt;"Y")),IF(N($G32)=0,0,ROUND(N(내역서!$G32)*$O32/$G32,0)),IF(N($J32)=0,0,ROUND(N(내역서!$O32)*$O32/$J32,0)))))</f>
        <v/>
      </c>
      <c r="S32" s="20">
        <f>IF($B32="","",IF(N($O32)=0,0,IF(OR($L32="감소",AND($L32="증가",$M32&lt;&gt;"Y")),IF(N($G32)=0,0,ROUND(N(내역서!$H32)*$O32/$G32,0)),IF(N($J32)=0,0,ROUND(N(내역서!$P32)*$O32/$J32,0)))))</f>
        <v/>
      </c>
      <c r="T32" s="20">
        <f>IF($B32="","",N($O32)-N($R32)-N($S32))</f>
        <v/>
      </c>
      <c r="U32" s="20">
        <f>IF($B32="","",ROUND(N($K32)*N($R32),0))</f>
        <v/>
      </c>
      <c r="V32" s="20">
        <f>IF($B32="","",ROUND(N($K32)*N($S32),0))</f>
        <v/>
      </c>
      <c r="W32" s="20">
        <f>IF($B32="","",N($P32)-N($U32)-N($V32))</f>
        <v/>
      </c>
    </row>
    <row r="33">
      <c r="A33" s="18">
        <f>IF($B33="","",ROW()-4+1)</f>
        <v/>
      </c>
      <c r="B33" s="18">
        <f>내역서!$B33</f>
        <v/>
      </c>
      <c r="C33" s="18">
        <f>IF($B33="","",내역서!$C33)</f>
        <v/>
      </c>
      <c r="D33" s="18">
        <f>IF($B33="","",내역서!$D33)</f>
        <v/>
      </c>
      <c r="E33" s="18">
        <f>IF($B33="","",내역서!$E33)</f>
        <v/>
      </c>
      <c r="F33" s="19">
        <f>IF($B33="","",N(내역서!$F33))</f>
        <v/>
      </c>
      <c r="G33" s="20">
        <f>IF($B33="","",N(내역서!$J33))</f>
        <v/>
      </c>
      <c r="H33" s="20">
        <f>IF($B33="","",N(내역서!$K33))</f>
        <v/>
      </c>
      <c r="I33" s="19">
        <f>IF($B33="","",N(내역서!$N33))</f>
        <v/>
      </c>
      <c r="J33" s="20">
        <f>IF($B33="","",N(내역서!$R33))</f>
        <v/>
      </c>
      <c r="K33" s="19">
        <f>IF($B33="","",N($I33)-N($F33))</f>
        <v/>
      </c>
      <c r="L33" s="21">
        <f>IF($B33="","",IF(N(내역서!$F33)=0,"신규",IF($K33&lt;0,"감소",IF($K33&gt;0,"증가","-"))))</f>
        <v/>
      </c>
      <c r="M33" s="22" t="n"/>
      <c r="N33" s="23" t="n"/>
      <c r="O33" s="24">
        <f>IF($B33="","",IF($L33="감소",$G33,IF($L33="증가",IF($M33="Y",ROUND(($J33+$J33*('설정'!$C$15/100))/2,0),IF(AND($N33&lt;&gt;"",$G33&gt;$N33),$N33,$G33)),IF($L33="신규",IF($M33="Y",ROUND(($J33+$J33*('설정'!$C$15/100))/2,0),ROUND($J33*('설정'!$C$15/100),0)),0))))</f>
        <v/>
      </c>
      <c r="P33" s="24">
        <f>IF($B33="","",ROUND(N($K33)*N($O33),0))</f>
        <v/>
      </c>
      <c r="Q33" s="25">
        <f>IF($B33="","",IF($L33="감소","감소분 → 계약단가",IF(AND($M33="Y",OR($L33="증가",$L33="신규")),"발주기관 요구 → 협의 (불성립 시 (당시단가+당시단가×낙찰률)÷2)",IF($L33="증가",IF(AND($N33&lt;&gt;"",$G33&gt;$N33),"증가분 → 계약단가&gt;예정가격단가 이므로 예정가격단가","증가분 → 계약단가 (낙찰률을 곱하지 않습니다)"),IF($L33="신규","신규비목 → 당시단가 × 낙찰률","")))))</f>
        <v/>
      </c>
      <c r="R33" s="20">
        <f>IF($B33="","",IF(N($O33)=0,0,IF(OR($L33="감소",AND($L33="증가",$M33&lt;&gt;"Y")),IF(N($G33)=0,0,ROUND(N(내역서!$G33)*$O33/$G33,0)),IF(N($J33)=0,0,ROUND(N(내역서!$O33)*$O33/$J33,0)))))</f>
        <v/>
      </c>
      <c r="S33" s="20">
        <f>IF($B33="","",IF(N($O33)=0,0,IF(OR($L33="감소",AND($L33="증가",$M33&lt;&gt;"Y")),IF(N($G33)=0,0,ROUND(N(내역서!$H33)*$O33/$G33,0)),IF(N($J33)=0,0,ROUND(N(내역서!$P33)*$O33/$J33,0)))))</f>
        <v/>
      </c>
      <c r="T33" s="20">
        <f>IF($B33="","",N($O33)-N($R33)-N($S33))</f>
        <v/>
      </c>
      <c r="U33" s="20">
        <f>IF($B33="","",ROUND(N($K33)*N($R33),0))</f>
        <v/>
      </c>
      <c r="V33" s="20">
        <f>IF($B33="","",ROUND(N($K33)*N($S33),0))</f>
        <v/>
      </c>
      <c r="W33" s="20">
        <f>IF($B33="","",N($P33)-N($U33)-N($V33))</f>
        <v/>
      </c>
    </row>
    <row r="34">
      <c r="A34" s="18">
        <f>IF($B34="","",ROW()-4+1)</f>
        <v/>
      </c>
      <c r="B34" s="18">
        <f>내역서!$B34</f>
        <v/>
      </c>
      <c r="C34" s="18">
        <f>IF($B34="","",내역서!$C34)</f>
        <v/>
      </c>
      <c r="D34" s="18">
        <f>IF($B34="","",내역서!$D34)</f>
        <v/>
      </c>
      <c r="E34" s="18">
        <f>IF($B34="","",내역서!$E34)</f>
        <v/>
      </c>
      <c r="F34" s="19">
        <f>IF($B34="","",N(내역서!$F34))</f>
        <v/>
      </c>
      <c r="G34" s="20">
        <f>IF($B34="","",N(내역서!$J34))</f>
        <v/>
      </c>
      <c r="H34" s="20">
        <f>IF($B34="","",N(내역서!$K34))</f>
        <v/>
      </c>
      <c r="I34" s="19">
        <f>IF($B34="","",N(내역서!$N34))</f>
        <v/>
      </c>
      <c r="J34" s="20">
        <f>IF($B34="","",N(내역서!$R34))</f>
        <v/>
      </c>
      <c r="K34" s="19">
        <f>IF($B34="","",N($I34)-N($F34))</f>
        <v/>
      </c>
      <c r="L34" s="21">
        <f>IF($B34="","",IF(N(내역서!$F34)=0,"신규",IF($K34&lt;0,"감소",IF($K34&gt;0,"증가","-"))))</f>
        <v/>
      </c>
      <c r="M34" s="22" t="n"/>
      <c r="N34" s="23" t="n"/>
      <c r="O34" s="24">
        <f>IF($B34="","",IF($L34="감소",$G34,IF($L34="증가",IF($M34="Y",ROUND(($J34+$J34*('설정'!$C$15/100))/2,0),IF(AND($N34&lt;&gt;"",$G34&gt;$N34),$N34,$G34)),IF($L34="신규",IF($M34="Y",ROUND(($J34+$J34*('설정'!$C$15/100))/2,0),ROUND($J34*('설정'!$C$15/100),0)),0))))</f>
        <v/>
      </c>
      <c r="P34" s="24">
        <f>IF($B34="","",ROUND(N($K34)*N($O34),0))</f>
        <v/>
      </c>
      <c r="Q34" s="25">
        <f>IF($B34="","",IF($L34="감소","감소분 → 계약단가",IF(AND($M34="Y",OR($L34="증가",$L34="신규")),"발주기관 요구 → 협의 (불성립 시 (당시단가+당시단가×낙찰률)÷2)",IF($L34="증가",IF(AND($N34&lt;&gt;"",$G34&gt;$N34),"증가분 → 계약단가&gt;예정가격단가 이므로 예정가격단가","증가분 → 계약단가 (낙찰률을 곱하지 않습니다)"),IF($L34="신규","신규비목 → 당시단가 × 낙찰률","")))))</f>
        <v/>
      </c>
      <c r="R34" s="20">
        <f>IF($B34="","",IF(N($O34)=0,0,IF(OR($L34="감소",AND($L34="증가",$M34&lt;&gt;"Y")),IF(N($G34)=0,0,ROUND(N(내역서!$G34)*$O34/$G34,0)),IF(N($J34)=0,0,ROUND(N(내역서!$O34)*$O34/$J34,0)))))</f>
        <v/>
      </c>
      <c r="S34" s="20">
        <f>IF($B34="","",IF(N($O34)=0,0,IF(OR($L34="감소",AND($L34="증가",$M34&lt;&gt;"Y")),IF(N($G34)=0,0,ROUND(N(내역서!$H34)*$O34/$G34,0)),IF(N($J34)=0,0,ROUND(N(내역서!$P34)*$O34/$J34,0)))))</f>
        <v/>
      </c>
      <c r="T34" s="20">
        <f>IF($B34="","",N($O34)-N($R34)-N($S34))</f>
        <v/>
      </c>
      <c r="U34" s="20">
        <f>IF($B34="","",ROUND(N($K34)*N($R34),0))</f>
        <v/>
      </c>
      <c r="V34" s="20">
        <f>IF($B34="","",ROUND(N($K34)*N($S34),0))</f>
        <v/>
      </c>
      <c r="W34" s="20">
        <f>IF($B34="","",N($P34)-N($U34)-N($V34))</f>
        <v/>
      </c>
    </row>
    <row r="35">
      <c r="A35" s="18">
        <f>IF($B35="","",ROW()-4+1)</f>
        <v/>
      </c>
      <c r="B35" s="18">
        <f>내역서!$B35</f>
        <v/>
      </c>
      <c r="C35" s="18">
        <f>IF($B35="","",내역서!$C35)</f>
        <v/>
      </c>
      <c r="D35" s="18">
        <f>IF($B35="","",내역서!$D35)</f>
        <v/>
      </c>
      <c r="E35" s="18">
        <f>IF($B35="","",내역서!$E35)</f>
        <v/>
      </c>
      <c r="F35" s="19">
        <f>IF($B35="","",N(내역서!$F35))</f>
        <v/>
      </c>
      <c r="G35" s="20">
        <f>IF($B35="","",N(내역서!$J35))</f>
        <v/>
      </c>
      <c r="H35" s="20">
        <f>IF($B35="","",N(내역서!$K35))</f>
        <v/>
      </c>
      <c r="I35" s="19">
        <f>IF($B35="","",N(내역서!$N35))</f>
        <v/>
      </c>
      <c r="J35" s="20">
        <f>IF($B35="","",N(내역서!$R35))</f>
        <v/>
      </c>
      <c r="K35" s="19">
        <f>IF($B35="","",N($I35)-N($F35))</f>
        <v/>
      </c>
      <c r="L35" s="21">
        <f>IF($B35="","",IF(N(내역서!$F35)=0,"신규",IF($K35&lt;0,"감소",IF($K35&gt;0,"증가","-"))))</f>
        <v/>
      </c>
      <c r="M35" s="22" t="n"/>
      <c r="N35" s="23" t="n"/>
      <c r="O35" s="24">
        <f>IF($B35="","",IF($L35="감소",$G35,IF($L35="증가",IF($M35="Y",ROUND(($J35+$J35*('설정'!$C$15/100))/2,0),IF(AND($N35&lt;&gt;"",$G35&gt;$N35),$N35,$G35)),IF($L35="신규",IF($M35="Y",ROUND(($J35+$J35*('설정'!$C$15/100))/2,0),ROUND($J35*('설정'!$C$15/100),0)),0))))</f>
        <v/>
      </c>
      <c r="P35" s="24">
        <f>IF($B35="","",ROUND(N($K35)*N($O35),0))</f>
        <v/>
      </c>
      <c r="Q35" s="25">
        <f>IF($B35="","",IF($L35="감소","감소분 → 계약단가",IF(AND($M35="Y",OR($L35="증가",$L35="신규")),"발주기관 요구 → 협의 (불성립 시 (당시단가+당시단가×낙찰률)÷2)",IF($L35="증가",IF(AND($N35&lt;&gt;"",$G35&gt;$N35),"증가분 → 계약단가&gt;예정가격단가 이므로 예정가격단가","증가분 → 계약단가 (낙찰률을 곱하지 않습니다)"),IF($L35="신규","신규비목 → 당시단가 × 낙찰률","")))))</f>
        <v/>
      </c>
      <c r="R35" s="20">
        <f>IF($B35="","",IF(N($O35)=0,0,IF(OR($L35="감소",AND($L35="증가",$M35&lt;&gt;"Y")),IF(N($G35)=0,0,ROUND(N(내역서!$G35)*$O35/$G35,0)),IF(N($J35)=0,0,ROUND(N(내역서!$O35)*$O35/$J35,0)))))</f>
        <v/>
      </c>
      <c r="S35" s="20">
        <f>IF($B35="","",IF(N($O35)=0,0,IF(OR($L35="감소",AND($L35="증가",$M35&lt;&gt;"Y")),IF(N($G35)=0,0,ROUND(N(내역서!$H35)*$O35/$G35,0)),IF(N($J35)=0,0,ROUND(N(내역서!$P35)*$O35/$J35,0)))))</f>
        <v/>
      </c>
      <c r="T35" s="20">
        <f>IF($B35="","",N($O35)-N($R35)-N($S35))</f>
        <v/>
      </c>
      <c r="U35" s="20">
        <f>IF($B35="","",ROUND(N($K35)*N($R35),0))</f>
        <v/>
      </c>
      <c r="V35" s="20">
        <f>IF($B35="","",ROUND(N($K35)*N($S35),0))</f>
        <v/>
      </c>
      <c r="W35" s="20">
        <f>IF($B35="","",N($P35)-N($U35)-N($V35))</f>
        <v/>
      </c>
    </row>
    <row r="36">
      <c r="A36" s="18">
        <f>IF($B36="","",ROW()-4+1)</f>
        <v/>
      </c>
      <c r="B36" s="18">
        <f>내역서!$B36</f>
        <v/>
      </c>
      <c r="C36" s="18">
        <f>IF($B36="","",내역서!$C36)</f>
        <v/>
      </c>
      <c r="D36" s="18">
        <f>IF($B36="","",내역서!$D36)</f>
        <v/>
      </c>
      <c r="E36" s="18">
        <f>IF($B36="","",내역서!$E36)</f>
        <v/>
      </c>
      <c r="F36" s="19">
        <f>IF($B36="","",N(내역서!$F36))</f>
        <v/>
      </c>
      <c r="G36" s="20">
        <f>IF($B36="","",N(내역서!$J36))</f>
        <v/>
      </c>
      <c r="H36" s="20">
        <f>IF($B36="","",N(내역서!$K36))</f>
        <v/>
      </c>
      <c r="I36" s="19">
        <f>IF($B36="","",N(내역서!$N36))</f>
        <v/>
      </c>
      <c r="J36" s="20">
        <f>IF($B36="","",N(내역서!$R36))</f>
        <v/>
      </c>
      <c r="K36" s="19">
        <f>IF($B36="","",N($I36)-N($F36))</f>
        <v/>
      </c>
      <c r="L36" s="21">
        <f>IF($B36="","",IF(N(내역서!$F36)=0,"신규",IF($K36&lt;0,"감소",IF($K36&gt;0,"증가","-"))))</f>
        <v/>
      </c>
      <c r="M36" s="22" t="n"/>
      <c r="N36" s="23" t="n"/>
      <c r="O36" s="24">
        <f>IF($B36="","",IF($L36="감소",$G36,IF($L36="증가",IF($M36="Y",ROUND(($J36+$J36*('설정'!$C$15/100))/2,0),IF(AND($N36&lt;&gt;"",$G36&gt;$N36),$N36,$G36)),IF($L36="신규",IF($M36="Y",ROUND(($J36+$J36*('설정'!$C$15/100))/2,0),ROUND($J36*('설정'!$C$15/100),0)),0))))</f>
        <v/>
      </c>
      <c r="P36" s="24">
        <f>IF($B36="","",ROUND(N($K36)*N($O36),0))</f>
        <v/>
      </c>
      <c r="Q36" s="25">
        <f>IF($B36="","",IF($L36="감소","감소분 → 계약단가",IF(AND($M36="Y",OR($L36="증가",$L36="신규")),"발주기관 요구 → 협의 (불성립 시 (당시단가+당시단가×낙찰률)÷2)",IF($L36="증가",IF(AND($N36&lt;&gt;"",$G36&gt;$N36),"증가분 → 계약단가&gt;예정가격단가 이므로 예정가격단가","증가분 → 계약단가 (낙찰률을 곱하지 않습니다)"),IF($L36="신규","신규비목 → 당시단가 × 낙찰률","")))))</f>
        <v/>
      </c>
      <c r="R36" s="20">
        <f>IF($B36="","",IF(N($O36)=0,0,IF(OR($L36="감소",AND($L36="증가",$M36&lt;&gt;"Y")),IF(N($G36)=0,0,ROUND(N(내역서!$G36)*$O36/$G36,0)),IF(N($J36)=0,0,ROUND(N(내역서!$O36)*$O36/$J36,0)))))</f>
        <v/>
      </c>
      <c r="S36" s="20">
        <f>IF($B36="","",IF(N($O36)=0,0,IF(OR($L36="감소",AND($L36="증가",$M36&lt;&gt;"Y")),IF(N($G36)=0,0,ROUND(N(내역서!$H36)*$O36/$G36,0)),IF(N($J36)=0,0,ROUND(N(내역서!$P36)*$O36/$J36,0)))))</f>
        <v/>
      </c>
      <c r="T36" s="20">
        <f>IF($B36="","",N($O36)-N($R36)-N($S36))</f>
        <v/>
      </c>
      <c r="U36" s="20">
        <f>IF($B36="","",ROUND(N($K36)*N($R36),0))</f>
        <v/>
      </c>
      <c r="V36" s="20">
        <f>IF($B36="","",ROUND(N($K36)*N($S36),0))</f>
        <v/>
      </c>
      <c r="W36" s="20">
        <f>IF($B36="","",N($P36)-N($U36)-N($V36))</f>
        <v/>
      </c>
    </row>
    <row r="37">
      <c r="A37" s="18">
        <f>IF($B37="","",ROW()-4+1)</f>
        <v/>
      </c>
      <c r="B37" s="18">
        <f>내역서!$B37</f>
        <v/>
      </c>
      <c r="C37" s="18">
        <f>IF($B37="","",내역서!$C37)</f>
        <v/>
      </c>
      <c r="D37" s="18">
        <f>IF($B37="","",내역서!$D37)</f>
        <v/>
      </c>
      <c r="E37" s="18">
        <f>IF($B37="","",내역서!$E37)</f>
        <v/>
      </c>
      <c r="F37" s="19">
        <f>IF($B37="","",N(내역서!$F37))</f>
        <v/>
      </c>
      <c r="G37" s="20">
        <f>IF($B37="","",N(내역서!$J37))</f>
        <v/>
      </c>
      <c r="H37" s="20">
        <f>IF($B37="","",N(내역서!$K37))</f>
        <v/>
      </c>
      <c r="I37" s="19">
        <f>IF($B37="","",N(내역서!$N37))</f>
        <v/>
      </c>
      <c r="J37" s="20">
        <f>IF($B37="","",N(내역서!$R37))</f>
        <v/>
      </c>
      <c r="K37" s="19">
        <f>IF($B37="","",N($I37)-N($F37))</f>
        <v/>
      </c>
      <c r="L37" s="21">
        <f>IF($B37="","",IF(N(내역서!$F37)=0,"신규",IF($K37&lt;0,"감소",IF($K37&gt;0,"증가","-"))))</f>
        <v/>
      </c>
      <c r="M37" s="22" t="n"/>
      <c r="N37" s="23" t="n"/>
      <c r="O37" s="24">
        <f>IF($B37="","",IF($L37="감소",$G37,IF($L37="증가",IF($M37="Y",ROUND(($J37+$J37*('설정'!$C$15/100))/2,0),IF(AND($N37&lt;&gt;"",$G37&gt;$N37),$N37,$G37)),IF($L37="신규",IF($M37="Y",ROUND(($J37+$J37*('설정'!$C$15/100))/2,0),ROUND($J37*('설정'!$C$15/100),0)),0))))</f>
        <v/>
      </c>
      <c r="P37" s="24">
        <f>IF($B37="","",ROUND(N($K37)*N($O37),0))</f>
        <v/>
      </c>
      <c r="Q37" s="25">
        <f>IF($B37="","",IF($L37="감소","감소분 → 계약단가",IF(AND($M37="Y",OR($L37="증가",$L37="신규")),"발주기관 요구 → 협의 (불성립 시 (당시단가+당시단가×낙찰률)÷2)",IF($L37="증가",IF(AND($N37&lt;&gt;"",$G37&gt;$N37),"증가분 → 계약단가&gt;예정가격단가 이므로 예정가격단가","증가분 → 계약단가 (낙찰률을 곱하지 않습니다)"),IF($L37="신규","신규비목 → 당시단가 × 낙찰률","")))))</f>
        <v/>
      </c>
      <c r="R37" s="20">
        <f>IF($B37="","",IF(N($O37)=0,0,IF(OR($L37="감소",AND($L37="증가",$M37&lt;&gt;"Y")),IF(N($G37)=0,0,ROUND(N(내역서!$G37)*$O37/$G37,0)),IF(N($J37)=0,0,ROUND(N(내역서!$O37)*$O37/$J37,0)))))</f>
        <v/>
      </c>
      <c r="S37" s="20">
        <f>IF($B37="","",IF(N($O37)=0,0,IF(OR($L37="감소",AND($L37="증가",$M37&lt;&gt;"Y")),IF(N($G37)=0,0,ROUND(N(내역서!$H37)*$O37/$G37,0)),IF(N($J37)=0,0,ROUND(N(내역서!$P37)*$O37/$J37,0)))))</f>
        <v/>
      </c>
      <c r="T37" s="20">
        <f>IF($B37="","",N($O37)-N($R37)-N($S37))</f>
        <v/>
      </c>
      <c r="U37" s="20">
        <f>IF($B37="","",ROUND(N($K37)*N($R37),0))</f>
        <v/>
      </c>
      <c r="V37" s="20">
        <f>IF($B37="","",ROUND(N($K37)*N($S37),0))</f>
        <v/>
      </c>
      <c r="W37" s="20">
        <f>IF($B37="","",N($P37)-N($U37)-N($V37))</f>
        <v/>
      </c>
    </row>
    <row r="38">
      <c r="A38" s="18">
        <f>IF($B38="","",ROW()-4+1)</f>
        <v/>
      </c>
      <c r="B38" s="18">
        <f>내역서!$B38</f>
        <v/>
      </c>
      <c r="C38" s="18">
        <f>IF($B38="","",내역서!$C38)</f>
        <v/>
      </c>
      <c r="D38" s="18">
        <f>IF($B38="","",내역서!$D38)</f>
        <v/>
      </c>
      <c r="E38" s="18">
        <f>IF($B38="","",내역서!$E38)</f>
        <v/>
      </c>
      <c r="F38" s="19">
        <f>IF($B38="","",N(내역서!$F38))</f>
        <v/>
      </c>
      <c r="G38" s="20">
        <f>IF($B38="","",N(내역서!$J38))</f>
        <v/>
      </c>
      <c r="H38" s="20">
        <f>IF($B38="","",N(내역서!$K38))</f>
        <v/>
      </c>
      <c r="I38" s="19">
        <f>IF($B38="","",N(내역서!$N38))</f>
        <v/>
      </c>
      <c r="J38" s="20">
        <f>IF($B38="","",N(내역서!$R38))</f>
        <v/>
      </c>
      <c r="K38" s="19">
        <f>IF($B38="","",N($I38)-N($F38))</f>
        <v/>
      </c>
      <c r="L38" s="21">
        <f>IF($B38="","",IF(N(내역서!$F38)=0,"신규",IF($K38&lt;0,"감소",IF($K38&gt;0,"증가","-"))))</f>
        <v/>
      </c>
      <c r="M38" s="22" t="n"/>
      <c r="N38" s="23" t="n"/>
      <c r="O38" s="24">
        <f>IF($B38="","",IF($L38="감소",$G38,IF($L38="증가",IF($M38="Y",ROUND(($J38+$J38*('설정'!$C$15/100))/2,0),IF(AND($N38&lt;&gt;"",$G38&gt;$N38),$N38,$G38)),IF($L38="신규",IF($M38="Y",ROUND(($J38+$J38*('설정'!$C$15/100))/2,0),ROUND($J38*('설정'!$C$15/100),0)),0))))</f>
        <v/>
      </c>
      <c r="P38" s="24">
        <f>IF($B38="","",ROUND(N($K38)*N($O38),0))</f>
        <v/>
      </c>
      <c r="Q38" s="25">
        <f>IF($B38="","",IF($L38="감소","감소분 → 계약단가",IF(AND($M38="Y",OR($L38="증가",$L38="신규")),"발주기관 요구 → 협의 (불성립 시 (당시단가+당시단가×낙찰률)÷2)",IF($L38="증가",IF(AND($N38&lt;&gt;"",$G38&gt;$N38),"증가분 → 계약단가&gt;예정가격단가 이므로 예정가격단가","증가분 → 계약단가 (낙찰률을 곱하지 않습니다)"),IF($L38="신규","신규비목 → 당시단가 × 낙찰률","")))))</f>
        <v/>
      </c>
      <c r="R38" s="20">
        <f>IF($B38="","",IF(N($O38)=0,0,IF(OR($L38="감소",AND($L38="증가",$M38&lt;&gt;"Y")),IF(N($G38)=0,0,ROUND(N(내역서!$G38)*$O38/$G38,0)),IF(N($J38)=0,0,ROUND(N(내역서!$O38)*$O38/$J38,0)))))</f>
        <v/>
      </c>
      <c r="S38" s="20">
        <f>IF($B38="","",IF(N($O38)=0,0,IF(OR($L38="감소",AND($L38="증가",$M38&lt;&gt;"Y")),IF(N($G38)=0,0,ROUND(N(내역서!$H38)*$O38/$G38,0)),IF(N($J38)=0,0,ROUND(N(내역서!$P38)*$O38/$J38,0)))))</f>
        <v/>
      </c>
      <c r="T38" s="20">
        <f>IF($B38="","",N($O38)-N($R38)-N($S38))</f>
        <v/>
      </c>
      <c r="U38" s="20">
        <f>IF($B38="","",ROUND(N($K38)*N($R38),0))</f>
        <v/>
      </c>
      <c r="V38" s="20">
        <f>IF($B38="","",ROUND(N($K38)*N($S38),0))</f>
        <v/>
      </c>
      <c r="W38" s="20">
        <f>IF($B38="","",N($P38)-N($U38)-N($V38))</f>
        <v/>
      </c>
    </row>
    <row r="39">
      <c r="A39" s="18">
        <f>IF($B39="","",ROW()-4+1)</f>
        <v/>
      </c>
      <c r="B39" s="18">
        <f>내역서!$B39</f>
        <v/>
      </c>
      <c r="C39" s="18">
        <f>IF($B39="","",내역서!$C39)</f>
        <v/>
      </c>
      <c r="D39" s="18">
        <f>IF($B39="","",내역서!$D39)</f>
        <v/>
      </c>
      <c r="E39" s="18">
        <f>IF($B39="","",내역서!$E39)</f>
        <v/>
      </c>
      <c r="F39" s="19">
        <f>IF($B39="","",N(내역서!$F39))</f>
        <v/>
      </c>
      <c r="G39" s="20">
        <f>IF($B39="","",N(내역서!$J39))</f>
        <v/>
      </c>
      <c r="H39" s="20">
        <f>IF($B39="","",N(내역서!$K39))</f>
        <v/>
      </c>
      <c r="I39" s="19">
        <f>IF($B39="","",N(내역서!$N39))</f>
        <v/>
      </c>
      <c r="J39" s="20">
        <f>IF($B39="","",N(내역서!$R39))</f>
        <v/>
      </c>
      <c r="K39" s="19">
        <f>IF($B39="","",N($I39)-N($F39))</f>
        <v/>
      </c>
      <c r="L39" s="21">
        <f>IF($B39="","",IF(N(내역서!$F39)=0,"신규",IF($K39&lt;0,"감소",IF($K39&gt;0,"증가","-"))))</f>
        <v/>
      </c>
      <c r="M39" s="22" t="n"/>
      <c r="N39" s="23" t="n"/>
      <c r="O39" s="24">
        <f>IF($B39="","",IF($L39="감소",$G39,IF($L39="증가",IF($M39="Y",ROUND(($J39+$J39*('설정'!$C$15/100))/2,0),IF(AND($N39&lt;&gt;"",$G39&gt;$N39),$N39,$G39)),IF($L39="신규",IF($M39="Y",ROUND(($J39+$J39*('설정'!$C$15/100))/2,0),ROUND($J39*('설정'!$C$15/100),0)),0))))</f>
        <v/>
      </c>
      <c r="P39" s="24">
        <f>IF($B39="","",ROUND(N($K39)*N($O39),0))</f>
        <v/>
      </c>
      <c r="Q39" s="25">
        <f>IF($B39="","",IF($L39="감소","감소분 → 계약단가",IF(AND($M39="Y",OR($L39="증가",$L39="신규")),"발주기관 요구 → 협의 (불성립 시 (당시단가+당시단가×낙찰률)÷2)",IF($L39="증가",IF(AND($N39&lt;&gt;"",$G39&gt;$N39),"증가분 → 계약단가&gt;예정가격단가 이므로 예정가격단가","증가분 → 계약단가 (낙찰률을 곱하지 않습니다)"),IF($L39="신규","신규비목 → 당시단가 × 낙찰률","")))))</f>
        <v/>
      </c>
      <c r="R39" s="20">
        <f>IF($B39="","",IF(N($O39)=0,0,IF(OR($L39="감소",AND($L39="증가",$M39&lt;&gt;"Y")),IF(N($G39)=0,0,ROUND(N(내역서!$G39)*$O39/$G39,0)),IF(N($J39)=0,0,ROUND(N(내역서!$O39)*$O39/$J39,0)))))</f>
        <v/>
      </c>
      <c r="S39" s="20">
        <f>IF($B39="","",IF(N($O39)=0,0,IF(OR($L39="감소",AND($L39="증가",$M39&lt;&gt;"Y")),IF(N($G39)=0,0,ROUND(N(내역서!$H39)*$O39/$G39,0)),IF(N($J39)=0,0,ROUND(N(내역서!$P39)*$O39/$J39,0)))))</f>
        <v/>
      </c>
      <c r="T39" s="20">
        <f>IF($B39="","",N($O39)-N($R39)-N($S39))</f>
        <v/>
      </c>
      <c r="U39" s="20">
        <f>IF($B39="","",ROUND(N($K39)*N($R39),0))</f>
        <v/>
      </c>
      <c r="V39" s="20">
        <f>IF($B39="","",ROUND(N($K39)*N($S39),0))</f>
        <v/>
      </c>
      <c r="W39" s="20">
        <f>IF($B39="","",N($P39)-N($U39)-N($V39))</f>
        <v/>
      </c>
    </row>
    <row r="40">
      <c r="A40" s="18">
        <f>IF($B40="","",ROW()-4+1)</f>
        <v/>
      </c>
      <c r="B40" s="18">
        <f>내역서!$B40</f>
        <v/>
      </c>
      <c r="C40" s="18">
        <f>IF($B40="","",내역서!$C40)</f>
        <v/>
      </c>
      <c r="D40" s="18">
        <f>IF($B40="","",내역서!$D40)</f>
        <v/>
      </c>
      <c r="E40" s="18">
        <f>IF($B40="","",내역서!$E40)</f>
        <v/>
      </c>
      <c r="F40" s="19">
        <f>IF($B40="","",N(내역서!$F40))</f>
        <v/>
      </c>
      <c r="G40" s="20">
        <f>IF($B40="","",N(내역서!$J40))</f>
        <v/>
      </c>
      <c r="H40" s="20">
        <f>IF($B40="","",N(내역서!$K40))</f>
        <v/>
      </c>
      <c r="I40" s="19">
        <f>IF($B40="","",N(내역서!$N40))</f>
        <v/>
      </c>
      <c r="J40" s="20">
        <f>IF($B40="","",N(내역서!$R40))</f>
        <v/>
      </c>
      <c r="K40" s="19">
        <f>IF($B40="","",N($I40)-N($F40))</f>
        <v/>
      </c>
      <c r="L40" s="21">
        <f>IF($B40="","",IF(N(내역서!$F40)=0,"신규",IF($K40&lt;0,"감소",IF($K40&gt;0,"증가","-"))))</f>
        <v/>
      </c>
      <c r="M40" s="22" t="n"/>
      <c r="N40" s="23" t="n"/>
      <c r="O40" s="24">
        <f>IF($B40="","",IF($L40="감소",$G40,IF($L40="증가",IF($M40="Y",ROUND(($J40+$J40*('설정'!$C$15/100))/2,0),IF(AND($N40&lt;&gt;"",$G40&gt;$N40),$N40,$G40)),IF($L40="신규",IF($M40="Y",ROUND(($J40+$J40*('설정'!$C$15/100))/2,0),ROUND($J40*('설정'!$C$15/100),0)),0))))</f>
        <v/>
      </c>
      <c r="P40" s="24">
        <f>IF($B40="","",ROUND(N($K40)*N($O40),0))</f>
        <v/>
      </c>
      <c r="Q40" s="25">
        <f>IF($B40="","",IF($L40="감소","감소분 → 계약단가",IF(AND($M40="Y",OR($L40="증가",$L40="신규")),"발주기관 요구 → 협의 (불성립 시 (당시단가+당시단가×낙찰률)÷2)",IF($L40="증가",IF(AND($N40&lt;&gt;"",$G40&gt;$N40),"증가분 → 계약단가&gt;예정가격단가 이므로 예정가격단가","증가분 → 계약단가 (낙찰률을 곱하지 않습니다)"),IF($L40="신규","신규비목 → 당시단가 × 낙찰률","")))))</f>
        <v/>
      </c>
      <c r="R40" s="20">
        <f>IF($B40="","",IF(N($O40)=0,0,IF(OR($L40="감소",AND($L40="증가",$M40&lt;&gt;"Y")),IF(N($G40)=0,0,ROUND(N(내역서!$G40)*$O40/$G40,0)),IF(N($J40)=0,0,ROUND(N(내역서!$O40)*$O40/$J40,0)))))</f>
        <v/>
      </c>
      <c r="S40" s="20">
        <f>IF($B40="","",IF(N($O40)=0,0,IF(OR($L40="감소",AND($L40="증가",$M40&lt;&gt;"Y")),IF(N($G40)=0,0,ROUND(N(내역서!$H40)*$O40/$G40,0)),IF(N($J40)=0,0,ROUND(N(내역서!$P40)*$O40/$J40,0)))))</f>
        <v/>
      </c>
      <c r="T40" s="20">
        <f>IF($B40="","",N($O40)-N($R40)-N($S40))</f>
        <v/>
      </c>
      <c r="U40" s="20">
        <f>IF($B40="","",ROUND(N($K40)*N($R40),0))</f>
        <v/>
      </c>
      <c r="V40" s="20">
        <f>IF($B40="","",ROUND(N($K40)*N($S40),0))</f>
        <v/>
      </c>
      <c r="W40" s="20">
        <f>IF($B40="","",N($P40)-N($U40)-N($V40))</f>
        <v/>
      </c>
    </row>
    <row r="41">
      <c r="A41" s="18">
        <f>IF($B41="","",ROW()-4+1)</f>
        <v/>
      </c>
      <c r="B41" s="18">
        <f>내역서!$B41</f>
        <v/>
      </c>
      <c r="C41" s="18">
        <f>IF($B41="","",내역서!$C41)</f>
        <v/>
      </c>
      <c r="D41" s="18">
        <f>IF($B41="","",내역서!$D41)</f>
        <v/>
      </c>
      <c r="E41" s="18">
        <f>IF($B41="","",내역서!$E41)</f>
        <v/>
      </c>
      <c r="F41" s="19">
        <f>IF($B41="","",N(내역서!$F41))</f>
        <v/>
      </c>
      <c r="G41" s="20">
        <f>IF($B41="","",N(내역서!$J41))</f>
        <v/>
      </c>
      <c r="H41" s="20">
        <f>IF($B41="","",N(내역서!$K41))</f>
        <v/>
      </c>
      <c r="I41" s="19">
        <f>IF($B41="","",N(내역서!$N41))</f>
        <v/>
      </c>
      <c r="J41" s="20">
        <f>IF($B41="","",N(내역서!$R41))</f>
        <v/>
      </c>
      <c r="K41" s="19">
        <f>IF($B41="","",N($I41)-N($F41))</f>
        <v/>
      </c>
      <c r="L41" s="21">
        <f>IF($B41="","",IF(N(내역서!$F41)=0,"신규",IF($K41&lt;0,"감소",IF($K41&gt;0,"증가","-"))))</f>
        <v/>
      </c>
      <c r="M41" s="22" t="n"/>
      <c r="N41" s="23" t="n"/>
      <c r="O41" s="24">
        <f>IF($B41="","",IF($L41="감소",$G41,IF($L41="증가",IF($M41="Y",ROUND(($J41+$J41*('설정'!$C$15/100))/2,0),IF(AND($N41&lt;&gt;"",$G41&gt;$N41),$N41,$G41)),IF($L41="신규",IF($M41="Y",ROUND(($J41+$J41*('설정'!$C$15/100))/2,0),ROUND($J41*('설정'!$C$15/100),0)),0))))</f>
        <v/>
      </c>
      <c r="P41" s="24">
        <f>IF($B41="","",ROUND(N($K41)*N($O41),0))</f>
        <v/>
      </c>
      <c r="Q41" s="25">
        <f>IF($B41="","",IF($L41="감소","감소분 → 계약단가",IF(AND($M41="Y",OR($L41="증가",$L41="신규")),"발주기관 요구 → 협의 (불성립 시 (당시단가+당시단가×낙찰률)÷2)",IF($L41="증가",IF(AND($N41&lt;&gt;"",$G41&gt;$N41),"증가분 → 계약단가&gt;예정가격단가 이므로 예정가격단가","증가분 → 계약단가 (낙찰률을 곱하지 않습니다)"),IF($L41="신규","신규비목 → 당시단가 × 낙찰률","")))))</f>
        <v/>
      </c>
      <c r="R41" s="20">
        <f>IF($B41="","",IF(N($O41)=0,0,IF(OR($L41="감소",AND($L41="증가",$M41&lt;&gt;"Y")),IF(N($G41)=0,0,ROUND(N(내역서!$G41)*$O41/$G41,0)),IF(N($J41)=0,0,ROUND(N(내역서!$O41)*$O41/$J41,0)))))</f>
        <v/>
      </c>
      <c r="S41" s="20">
        <f>IF($B41="","",IF(N($O41)=0,0,IF(OR($L41="감소",AND($L41="증가",$M41&lt;&gt;"Y")),IF(N($G41)=0,0,ROUND(N(내역서!$H41)*$O41/$G41,0)),IF(N($J41)=0,0,ROUND(N(내역서!$P41)*$O41/$J41,0)))))</f>
        <v/>
      </c>
      <c r="T41" s="20">
        <f>IF($B41="","",N($O41)-N($R41)-N($S41))</f>
        <v/>
      </c>
      <c r="U41" s="20">
        <f>IF($B41="","",ROUND(N($K41)*N($R41),0))</f>
        <v/>
      </c>
      <c r="V41" s="20">
        <f>IF($B41="","",ROUND(N($K41)*N($S41),0))</f>
        <v/>
      </c>
      <c r="W41" s="20">
        <f>IF($B41="","",N($P41)-N($U41)-N($V41))</f>
        <v/>
      </c>
    </row>
    <row r="42">
      <c r="A42" s="18">
        <f>IF($B42="","",ROW()-4+1)</f>
        <v/>
      </c>
      <c r="B42" s="18">
        <f>내역서!$B42</f>
        <v/>
      </c>
      <c r="C42" s="18">
        <f>IF($B42="","",내역서!$C42)</f>
        <v/>
      </c>
      <c r="D42" s="18">
        <f>IF($B42="","",내역서!$D42)</f>
        <v/>
      </c>
      <c r="E42" s="18">
        <f>IF($B42="","",내역서!$E42)</f>
        <v/>
      </c>
      <c r="F42" s="19">
        <f>IF($B42="","",N(내역서!$F42))</f>
        <v/>
      </c>
      <c r="G42" s="20">
        <f>IF($B42="","",N(내역서!$J42))</f>
        <v/>
      </c>
      <c r="H42" s="20">
        <f>IF($B42="","",N(내역서!$K42))</f>
        <v/>
      </c>
      <c r="I42" s="19">
        <f>IF($B42="","",N(내역서!$N42))</f>
        <v/>
      </c>
      <c r="J42" s="20">
        <f>IF($B42="","",N(내역서!$R42))</f>
        <v/>
      </c>
      <c r="K42" s="19">
        <f>IF($B42="","",N($I42)-N($F42))</f>
        <v/>
      </c>
      <c r="L42" s="21">
        <f>IF($B42="","",IF(N(내역서!$F42)=0,"신규",IF($K42&lt;0,"감소",IF($K42&gt;0,"증가","-"))))</f>
        <v/>
      </c>
      <c r="M42" s="22" t="n"/>
      <c r="N42" s="23" t="n"/>
      <c r="O42" s="24">
        <f>IF($B42="","",IF($L42="감소",$G42,IF($L42="증가",IF($M42="Y",ROUND(($J42+$J42*('설정'!$C$15/100))/2,0),IF(AND($N42&lt;&gt;"",$G42&gt;$N42),$N42,$G42)),IF($L42="신규",IF($M42="Y",ROUND(($J42+$J42*('설정'!$C$15/100))/2,0),ROUND($J42*('설정'!$C$15/100),0)),0))))</f>
        <v/>
      </c>
      <c r="P42" s="24">
        <f>IF($B42="","",ROUND(N($K42)*N($O42),0))</f>
        <v/>
      </c>
      <c r="Q42" s="25">
        <f>IF($B42="","",IF($L42="감소","감소분 → 계약단가",IF(AND($M42="Y",OR($L42="증가",$L42="신규")),"발주기관 요구 → 협의 (불성립 시 (당시단가+당시단가×낙찰률)÷2)",IF($L42="증가",IF(AND($N42&lt;&gt;"",$G42&gt;$N42),"증가분 → 계약단가&gt;예정가격단가 이므로 예정가격단가","증가분 → 계약단가 (낙찰률을 곱하지 않습니다)"),IF($L42="신규","신규비목 → 당시단가 × 낙찰률","")))))</f>
        <v/>
      </c>
      <c r="R42" s="20">
        <f>IF($B42="","",IF(N($O42)=0,0,IF(OR($L42="감소",AND($L42="증가",$M42&lt;&gt;"Y")),IF(N($G42)=0,0,ROUND(N(내역서!$G42)*$O42/$G42,0)),IF(N($J42)=0,0,ROUND(N(내역서!$O42)*$O42/$J42,0)))))</f>
        <v/>
      </c>
      <c r="S42" s="20">
        <f>IF($B42="","",IF(N($O42)=0,0,IF(OR($L42="감소",AND($L42="증가",$M42&lt;&gt;"Y")),IF(N($G42)=0,0,ROUND(N(내역서!$H42)*$O42/$G42,0)),IF(N($J42)=0,0,ROUND(N(내역서!$P42)*$O42/$J42,0)))))</f>
        <v/>
      </c>
      <c r="T42" s="20">
        <f>IF($B42="","",N($O42)-N($R42)-N($S42))</f>
        <v/>
      </c>
      <c r="U42" s="20">
        <f>IF($B42="","",ROUND(N($K42)*N($R42),0))</f>
        <v/>
      </c>
      <c r="V42" s="20">
        <f>IF($B42="","",ROUND(N($K42)*N($S42),0))</f>
        <v/>
      </c>
      <c r="W42" s="20">
        <f>IF($B42="","",N($P42)-N($U42)-N($V42))</f>
        <v/>
      </c>
    </row>
    <row r="43">
      <c r="A43" s="18">
        <f>IF($B43="","",ROW()-4+1)</f>
        <v/>
      </c>
      <c r="B43" s="18">
        <f>내역서!$B43</f>
        <v/>
      </c>
      <c r="C43" s="18">
        <f>IF($B43="","",내역서!$C43)</f>
        <v/>
      </c>
      <c r="D43" s="18">
        <f>IF($B43="","",내역서!$D43)</f>
        <v/>
      </c>
      <c r="E43" s="18">
        <f>IF($B43="","",내역서!$E43)</f>
        <v/>
      </c>
      <c r="F43" s="19">
        <f>IF($B43="","",N(내역서!$F43))</f>
        <v/>
      </c>
      <c r="G43" s="20">
        <f>IF($B43="","",N(내역서!$J43))</f>
        <v/>
      </c>
      <c r="H43" s="20">
        <f>IF($B43="","",N(내역서!$K43))</f>
        <v/>
      </c>
      <c r="I43" s="19">
        <f>IF($B43="","",N(내역서!$N43))</f>
        <v/>
      </c>
      <c r="J43" s="20">
        <f>IF($B43="","",N(내역서!$R43))</f>
        <v/>
      </c>
      <c r="K43" s="19">
        <f>IF($B43="","",N($I43)-N($F43))</f>
        <v/>
      </c>
      <c r="L43" s="21">
        <f>IF($B43="","",IF(N(내역서!$F43)=0,"신규",IF($K43&lt;0,"감소",IF($K43&gt;0,"증가","-"))))</f>
        <v/>
      </c>
      <c r="M43" s="22" t="n"/>
      <c r="N43" s="23" t="n"/>
      <c r="O43" s="24">
        <f>IF($B43="","",IF($L43="감소",$G43,IF($L43="증가",IF($M43="Y",ROUND(($J43+$J43*('설정'!$C$15/100))/2,0),IF(AND($N43&lt;&gt;"",$G43&gt;$N43),$N43,$G43)),IF($L43="신규",IF($M43="Y",ROUND(($J43+$J43*('설정'!$C$15/100))/2,0),ROUND($J43*('설정'!$C$15/100),0)),0))))</f>
        <v/>
      </c>
      <c r="P43" s="24">
        <f>IF($B43="","",ROUND(N($K43)*N($O43),0))</f>
        <v/>
      </c>
      <c r="Q43" s="25">
        <f>IF($B43="","",IF($L43="감소","감소분 → 계약단가",IF(AND($M43="Y",OR($L43="증가",$L43="신규")),"발주기관 요구 → 협의 (불성립 시 (당시단가+당시단가×낙찰률)÷2)",IF($L43="증가",IF(AND($N43&lt;&gt;"",$G43&gt;$N43),"증가분 → 계약단가&gt;예정가격단가 이므로 예정가격단가","증가분 → 계약단가 (낙찰률을 곱하지 않습니다)"),IF($L43="신규","신규비목 → 당시단가 × 낙찰률","")))))</f>
        <v/>
      </c>
      <c r="R43" s="20">
        <f>IF($B43="","",IF(N($O43)=0,0,IF(OR($L43="감소",AND($L43="증가",$M43&lt;&gt;"Y")),IF(N($G43)=0,0,ROUND(N(내역서!$G43)*$O43/$G43,0)),IF(N($J43)=0,0,ROUND(N(내역서!$O43)*$O43/$J43,0)))))</f>
        <v/>
      </c>
      <c r="S43" s="20">
        <f>IF($B43="","",IF(N($O43)=0,0,IF(OR($L43="감소",AND($L43="증가",$M43&lt;&gt;"Y")),IF(N($G43)=0,0,ROUND(N(내역서!$H43)*$O43/$G43,0)),IF(N($J43)=0,0,ROUND(N(내역서!$P43)*$O43/$J43,0)))))</f>
        <v/>
      </c>
      <c r="T43" s="20">
        <f>IF($B43="","",N($O43)-N($R43)-N($S43))</f>
        <v/>
      </c>
      <c r="U43" s="20">
        <f>IF($B43="","",ROUND(N($K43)*N($R43),0))</f>
        <v/>
      </c>
      <c r="V43" s="20">
        <f>IF($B43="","",ROUND(N($K43)*N($S43),0))</f>
        <v/>
      </c>
      <c r="W43" s="20">
        <f>IF($B43="","",N($P43)-N($U43)-N($V43))</f>
        <v/>
      </c>
    </row>
    <row r="44">
      <c r="A44" s="18">
        <f>IF($B44="","",ROW()-4+1)</f>
        <v/>
      </c>
      <c r="B44" s="18">
        <f>내역서!$B44</f>
        <v/>
      </c>
      <c r="C44" s="18">
        <f>IF($B44="","",내역서!$C44)</f>
        <v/>
      </c>
      <c r="D44" s="18">
        <f>IF($B44="","",내역서!$D44)</f>
        <v/>
      </c>
      <c r="E44" s="18">
        <f>IF($B44="","",내역서!$E44)</f>
        <v/>
      </c>
      <c r="F44" s="19">
        <f>IF($B44="","",N(내역서!$F44))</f>
        <v/>
      </c>
      <c r="G44" s="20">
        <f>IF($B44="","",N(내역서!$J44))</f>
        <v/>
      </c>
      <c r="H44" s="20">
        <f>IF($B44="","",N(내역서!$K44))</f>
        <v/>
      </c>
      <c r="I44" s="19">
        <f>IF($B44="","",N(내역서!$N44))</f>
        <v/>
      </c>
      <c r="J44" s="20">
        <f>IF($B44="","",N(내역서!$R44))</f>
        <v/>
      </c>
      <c r="K44" s="19">
        <f>IF($B44="","",N($I44)-N($F44))</f>
        <v/>
      </c>
      <c r="L44" s="21">
        <f>IF($B44="","",IF(N(내역서!$F44)=0,"신규",IF($K44&lt;0,"감소",IF($K44&gt;0,"증가","-"))))</f>
        <v/>
      </c>
      <c r="M44" s="22" t="n"/>
      <c r="N44" s="23" t="n"/>
      <c r="O44" s="24">
        <f>IF($B44="","",IF($L44="감소",$G44,IF($L44="증가",IF($M44="Y",ROUND(($J44+$J44*('설정'!$C$15/100))/2,0),IF(AND($N44&lt;&gt;"",$G44&gt;$N44),$N44,$G44)),IF($L44="신규",IF($M44="Y",ROUND(($J44+$J44*('설정'!$C$15/100))/2,0),ROUND($J44*('설정'!$C$15/100),0)),0))))</f>
        <v/>
      </c>
      <c r="P44" s="24">
        <f>IF($B44="","",ROUND(N($K44)*N($O44),0))</f>
        <v/>
      </c>
      <c r="Q44" s="25">
        <f>IF($B44="","",IF($L44="감소","감소분 → 계약단가",IF(AND($M44="Y",OR($L44="증가",$L44="신규")),"발주기관 요구 → 협의 (불성립 시 (당시단가+당시단가×낙찰률)÷2)",IF($L44="증가",IF(AND($N44&lt;&gt;"",$G44&gt;$N44),"증가분 → 계약단가&gt;예정가격단가 이므로 예정가격단가","증가분 → 계약단가 (낙찰률을 곱하지 않습니다)"),IF($L44="신규","신규비목 → 당시단가 × 낙찰률","")))))</f>
        <v/>
      </c>
      <c r="R44" s="20">
        <f>IF($B44="","",IF(N($O44)=0,0,IF(OR($L44="감소",AND($L44="증가",$M44&lt;&gt;"Y")),IF(N($G44)=0,0,ROUND(N(내역서!$G44)*$O44/$G44,0)),IF(N($J44)=0,0,ROUND(N(내역서!$O44)*$O44/$J44,0)))))</f>
        <v/>
      </c>
      <c r="S44" s="20">
        <f>IF($B44="","",IF(N($O44)=0,0,IF(OR($L44="감소",AND($L44="증가",$M44&lt;&gt;"Y")),IF(N($G44)=0,0,ROUND(N(내역서!$H44)*$O44/$G44,0)),IF(N($J44)=0,0,ROUND(N(내역서!$P44)*$O44/$J44,0)))))</f>
        <v/>
      </c>
      <c r="T44" s="20">
        <f>IF($B44="","",N($O44)-N($R44)-N($S44))</f>
        <v/>
      </c>
      <c r="U44" s="20">
        <f>IF($B44="","",ROUND(N($K44)*N($R44),0))</f>
        <v/>
      </c>
      <c r="V44" s="20">
        <f>IF($B44="","",ROUND(N($K44)*N($S44),0))</f>
        <v/>
      </c>
      <c r="W44" s="20">
        <f>IF($B44="","",N($P44)-N($U44)-N($V44))</f>
        <v/>
      </c>
    </row>
    <row r="45">
      <c r="A45" s="18">
        <f>IF($B45="","",ROW()-4+1)</f>
        <v/>
      </c>
      <c r="B45" s="18">
        <f>내역서!$B45</f>
        <v/>
      </c>
      <c r="C45" s="18">
        <f>IF($B45="","",내역서!$C45)</f>
        <v/>
      </c>
      <c r="D45" s="18">
        <f>IF($B45="","",내역서!$D45)</f>
        <v/>
      </c>
      <c r="E45" s="18">
        <f>IF($B45="","",내역서!$E45)</f>
        <v/>
      </c>
      <c r="F45" s="19">
        <f>IF($B45="","",N(내역서!$F45))</f>
        <v/>
      </c>
      <c r="G45" s="20">
        <f>IF($B45="","",N(내역서!$J45))</f>
        <v/>
      </c>
      <c r="H45" s="20">
        <f>IF($B45="","",N(내역서!$K45))</f>
        <v/>
      </c>
      <c r="I45" s="19">
        <f>IF($B45="","",N(내역서!$N45))</f>
        <v/>
      </c>
      <c r="J45" s="20">
        <f>IF($B45="","",N(내역서!$R45))</f>
        <v/>
      </c>
      <c r="K45" s="19">
        <f>IF($B45="","",N($I45)-N($F45))</f>
        <v/>
      </c>
      <c r="L45" s="21">
        <f>IF($B45="","",IF(N(내역서!$F45)=0,"신규",IF($K45&lt;0,"감소",IF($K45&gt;0,"증가","-"))))</f>
        <v/>
      </c>
      <c r="M45" s="22" t="n"/>
      <c r="N45" s="23" t="n"/>
      <c r="O45" s="24">
        <f>IF($B45="","",IF($L45="감소",$G45,IF($L45="증가",IF($M45="Y",ROUND(($J45+$J45*('설정'!$C$15/100))/2,0),IF(AND($N45&lt;&gt;"",$G45&gt;$N45),$N45,$G45)),IF($L45="신규",IF($M45="Y",ROUND(($J45+$J45*('설정'!$C$15/100))/2,0),ROUND($J45*('설정'!$C$15/100),0)),0))))</f>
        <v/>
      </c>
      <c r="P45" s="24">
        <f>IF($B45="","",ROUND(N($K45)*N($O45),0))</f>
        <v/>
      </c>
      <c r="Q45" s="25">
        <f>IF($B45="","",IF($L45="감소","감소분 → 계약단가",IF(AND($M45="Y",OR($L45="증가",$L45="신규")),"발주기관 요구 → 협의 (불성립 시 (당시단가+당시단가×낙찰률)÷2)",IF($L45="증가",IF(AND($N45&lt;&gt;"",$G45&gt;$N45),"증가분 → 계약단가&gt;예정가격단가 이므로 예정가격단가","증가분 → 계약단가 (낙찰률을 곱하지 않습니다)"),IF($L45="신규","신규비목 → 당시단가 × 낙찰률","")))))</f>
        <v/>
      </c>
      <c r="R45" s="20">
        <f>IF($B45="","",IF(N($O45)=0,0,IF(OR($L45="감소",AND($L45="증가",$M45&lt;&gt;"Y")),IF(N($G45)=0,0,ROUND(N(내역서!$G45)*$O45/$G45,0)),IF(N($J45)=0,0,ROUND(N(내역서!$O45)*$O45/$J45,0)))))</f>
        <v/>
      </c>
      <c r="S45" s="20">
        <f>IF($B45="","",IF(N($O45)=0,0,IF(OR($L45="감소",AND($L45="증가",$M45&lt;&gt;"Y")),IF(N($G45)=0,0,ROUND(N(내역서!$H45)*$O45/$G45,0)),IF(N($J45)=0,0,ROUND(N(내역서!$P45)*$O45/$J45,0)))))</f>
        <v/>
      </c>
      <c r="T45" s="20">
        <f>IF($B45="","",N($O45)-N($R45)-N($S45))</f>
        <v/>
      </c>
      <c r="U45" s="20">
        <f>IF($B45="","",ROUND(N($K45)*N($R45),0))</f>
        <v/>
      </c>
      <c r="V45" s="20">
        <f>IF($B45="","",ROUND(N($K45)*N($S45),0))</f>
        <v/>
      </c>
      <c r="W45" s="20">
        <f>IF($B45="","",N($P45)-N($U45)-N($V45))</f>
        <v/>
      </c>
    </row>
    <row r="46">
      <c r="A46" s="18">
        <f>IF($B46="","",ROW()-4+1)</f>
        <v/>
      </c>
      <c r="B46" s="18">
        <f>내역서!$B46</f>
        <v/>
      </c>
      <c r="C46" s="18">
        <f>IF($B46="","",내역서!$C46)</f>
        <v/>
      </c>
      <c r="D46" s="18">
        <f>IF($B46="","",내역서!$D46)</f>
        <v/>
      </c>
      <c r="E46" s="18">
        <f>IF($B46="","",내역서!$E46)</f>
        <v/>
      </c>
      <c r="F46" s="19">
        <f>IF($B46="","",N(내역서!$F46))</f>
        <v/>
      </c>
      <c r="G46" s="20">
        <f>IF($B46="","",N(내역서!$J46))</f>
        <v/>
      </c>
      <c r="H46" s="20">
        <f>IF($B46="","",N(내역서!$K46))</f>
        <v/>
      </c>
      <c r="I46" s="19">
        <f>IF($B46="","",N(내역서!$N46))</f>
        <v/>
      </c>
      <c r="J46" s="20">
        <f>IF($B46="","",N(내역서!$R46))</f>
        <v/>
      </c>
      <c r="K46" s="19">
        <f>IF($B46="","",N($I46)-N($F46))</f>
        <v/>
      </c>
      <c r="L46" s="21">
        <f>IF($B46="","",IF(N(내역서!$F46)=0,"신규",IF($K46&lt;0,"감소",IF($K46&gt;0,"증가","-"))))</f>
        <v/>
      </c>
      <c r="M46" s="22" t="n"/>
      <c r="N46" s="23" t="n"/>
      <c r="O46" s="24">
        <f>IF($B46="","",IF($L46="감소",$G46,IF($L46="증가",IF($M46="Y",ROUND(($J46+$J46*('설정'!$C$15/100))/2,0),IF(AND($N46&lt;&gt;"",$G46&gt;$N46),$N46,$G46)),IF($L46="신규",IF($M46="Y",ROUND(($J46+$J46*('설정'!$C$15/100))/2,0),ROUND($J46*('설정'!$C$15/100),0)),0))))</f>
        <v/>
      </c>
      <c r="P46" s="24">
        <f>IF($B46="","",ROUND(N($K46)*N($O46),0))</f>
        <v/>
      </c>
      <c r="Q46" s="25">
        <f>IF($B46="","",IF($L46="감소","감소분 → 계약단가",IF(AND($M46="Y",OR($L46="증가",$L46="신규")),"발주기관 요구 → 협의 (불성립 시 (당시단가+당시단가×낙찰률)÷2)",IF($L46="증가",IF(AND($N46&lt;&gt;"",$G46&gt;$N46),"증가분 → 계약단가&gt;예정가격단가 이므로 예정가격단가","증가분 → 계약단가 (낙찰률을 곱하지 않습니다)"),IF($L46="신규","신규비목 → 당시단가 × 낙찰률","")))))</f>
        <v/>
      </c>
      <c r="R46" s="20">
        <f>IF($B46="","",IF(N($O46)=0,0,IF(OR($L46="감소",AND($L46="증가",$M46&lt;&gt;"Y")),IF(N($G46)=0,0,ROUND(N(내역서!$G46)*$O46/$G46,0)),IF(N($J46)=0,0,ROUND(N(내역서!$O46)*$O46/$J46,0)))))</f>
        <v/>
      </c>
      <c r="S46" s="20">
        <f>IF($B46="","",IF(N($O46)=0,0,IF(OR($L46="감소",AND($L46="증가",$M46&lt;&gt;"Y")),IF(N($G46)=0,0,ROUND(N(내역서!$H46)*$O46/$G46,0)),IF(N($J46)=0,0,ROUND(N(내역서!$P46)*$O46/$J46,0)))))</f>
        <v/>
      </c>
      <c r="T46" s="20">
        <f>IF($B46="","",N($O46)-N($R46)-N($S46))</f>
        <v/>
      </c>
      <c r="U46" s="20">
        <f>IF($B46="","",ROUND(N($K46)*N($R46),0))</f>
        <v/>
      </c>
      <c r="V46" s="20">
        <f>IF($B46="","",ROUND(N($K46)*N($S46),0))</f>
        <v/>
      </c>
      <c r="W46" s="20">
        <f>IF($B46="","",N($P46)-N($U46)-N($V46))</f>
        <v/>
      </c>
    </row>
    <row r="47">
      <c r="A47" s="18">
        <f>IF($B47="","",ROW()-4+1)</f>
        <v/>
      </c>
      <c r="B47" s="18">
        <f>내역서!$B47</f>
        <v/>
      </c>
      <c r="C47" s="18">
        <f>IF($B47="","",내역서!$C47)</f>
        <v/>
      </c>
      <c r="D47" s="18">
        <f>IF($B47="","",내역서!$D47)</f>
        <v/>
      </c>
      <c r="E47" s="18">
        <f>IF($B47="","",내역서!$E47)</f>
        <v/>
      </c>
      <c r="F47" s="19">
        <f>IF($B47="","",N(내역서!$F47))</f>
        <v/>
      </c>
      <c r="G47" s="20">
        <f>IF($B47="","",N(내역서!$J47))</f>
        <v/>
      </c>
      <c r="H47" s="20">
        <f>IF($B47="","",N(내역서!$K47))</f>
        <v/>
      </c>
      <c r="I47" s="19">
        <f>IF($B47="","",N(내역서!$N47))</f>
        <v/>
      </c>
      <c r="J47" s="20">
        <f>IF($B47="","",N(내역서!$R47))</f>
        <v/>
      </c>
      <c r="K47" s="19">
        <f>IF($B47="","",N($I47)-N($F47))</f>
        <v/>
      </c>
      <c r="L47" s="21">
        <f>IF($B47="","",IF(N(내역서!$F47)=0,"신규",IF($K47&lt;0,"감소",IF($K47&gt;0,"증가","-"))))</f>
        <v/>
      </c>
      <c r="M47" s="22" t="n"/>
      <c r="N47" s="23" t="n"/>
      <c r="O47" s="24">
        <f>IF($B47="","",IF($L47="감소",$G47,IF($L47="증가",IF($M47="Y",ROUND(($J47+$J47*('설정'!$C$15/100))/2,0),IF(AND($N47&lt;&gt;"",$G47&gt;$N47),$N47,$G47)),IF($L47="신규",IF($M47="Y",ROUND(($J47+$J47*('설정'!$C$15/100))/2,0),ROUND($J47*('설정'!$C$15/100),0)),0))))</f>
        <v/>
      </c>
      <c r="P47" s="24">
        <f>IF($B47="","",ROUND(N($K47)*N($O47),0))</f>
        <v/>
      </c>
      <c r="Q47" s="25">
        <f>IF($B47="","",IF($L47="감소","감소분 → 계약단가",IF(AND($M47="Y",OR($L47="증가",$L47="신규")),"발주기관 요구 → 협의 (불성립 시 (당시단가+당시단가×낙찰률)÷2)",IF($L47="증가",IF(AND($N47&lt;&gt;"",$G47&gt;$N47),"증가분 → 계약단가&gt;예정가격단가 이므로 예정가격단가","증가분 → 계약단가 (낙찰률을 곱하지 않습니다)"),IF($L47="신규","신규비목 → 당시단가 × 낙찰률","")))))</f>
        <v/>
      </c>
      <c r="R47" s="20">
        <f>IF($B47="","",IF(N($O47)=0,0,IF(OR($L47="감소",AND($L47="증가",$M47&lt;&gt;"Y")),IF(N($G47)=0,0,ROUND(N(내역서!$G47)*$O47/$G47,0)),IF(N($J47)=0,0,ROUND(N(내역서!$O47)*$O47/$J47,0)))))</f>
        <v/>
      </c>
      <c r="S47" s="20">
        <f>IF($B47="","",IF(N($O47)=0,0,IF(OR($L47="감소",AND($L47="증가",$M47&lt;&gt;"Y")),IF(N($G47)=0,0,ROUND(N(내역서!$H47)*$O47/$G47,0)),IF(N($J47)=0,0,ROUND(N(내역서!$P47)*$O47/$J47,0)))))</f>
        <v/>
      </c>
      <c r="T47" s="20">
        <f>IF($B47="","",N($O47)-N($R47)-N($S47))</f>
        <v/>
      </c>
      <c r="U47" s="20">
        <f>IF($B47="","",ROUND(N($K47)*N($R47),0))</f>
        <v/>
      </c>
      <c r="V47" s="20">
        <f>IF($B47="","",ROUND(N($K47)*N($S47),0))</f>
        <v/>
      </c>
      <c r="W47" s="20">
        <f>IF($B47="","",N($P47)-N($U47)-N($V47))</f>
        <v/>
      </c>
    </row>
    <row r="48">
      <c r="A48" s="18">
        <f>IF($B48="","",ROW()-4+1)</f>
        <v/>
      </c>
      <c r="B48" s="18">
        <f>내역서!$B48</f>
        <v/>
      </c>
      <c r="C48" s="18">
        <f>IF($B48="","",내역서!$C48)</f>
        <v/>
      </c>
      <c r="D48" s="18">
        <f>IF($B48="","",내역서!$D48)</f>
        <v/>
      </c>
      <c r="E48" s="18">
        <f>IF($B48="","",내역서!$E48)</f>
        <v/>
      </c>
      <c r="F48" s="19">
        <f>IF($B48="","",N(내역서!$F48))</f>
        <v/>
      </c>
      <c r="G48" s="20">
        <f>IF($B48="","",N(내역서!$J48))</f>
        <v/>
      </c>
      <c r="H48" s="20">
        <f>IF($B48="","",N(내역서!$K48))</f>
        <v/>
      </c>
      <c r="I48" s="19">
        <f>IF($B48="","",N(내역서!$N48))</f>
        <v/>
      </c>
      <c r="J48" s="20">
        <f>IF($B48="","",N(내역서!$R48))</f>
        <v/>
      </c>
      <c r="K48" s="19">
        <f>IF($B48="","",N($I48)-N($F48))</f>
        <v/>
      </c>
      <c r="L48" s="21">
        <f>IF($B48="","",IF(N(내역서!$F48)=0,"신규",IF($K48&lt;0,"감소",IF($K48&gt;0,"증가","-"))))</f>
        <v/>
      </c>
      <c r="M48" s="22" t="n"/>
      <c r="N48" s="23" t="n"/>
      <c r="O48" s="24">
        <f>IF($B48="","",IF($L48="감소",$G48,IF($L48="증가",IF($M48="Y",ROUND(($J48+$J48*('설정'!$C$15/100))/2,0),IF(AND($N48&lt;&gt;"",$G48&gt;$N48),$N48,$G48)),IF($L48="신규",IF($M48="Y",ROUND(($J48+$J48*('설정'!$C$15/100))/2,0),ROUND($J48*('설정'!$C$15/100),0)),0))))</f>
        <v/>
      </c>
      <c r="P48" s="24">
        <f>IF($B48="","",ROUND(N($K48)*N($O48),0))</f>
        <v/>
      </c>
      <c r="Q48" s="25">
        <f>IF($B48="","",IF($L48="감소","감소분 → 계약단가",IF(AND($M48="Y",OR($L48="증가",$L48="신규")),"발주기관 요구 → 협의 (불성립 시 (당시단가+당시단가×낙찰률)÷2)",IF($L48="증가",IF(AND($N48&lt;&gt;"",$G48&gt;$N48),"증가분 → 계약단가&gt;예정가격단가 이므로 예정가격단가","증가분 → 계약단가 (낙찰률을 곱하지 않습니다)"),IF($L48="신규","신규비목 → 당시단가 × 낙찰률","")))))</f>
        <v/>
      </c>
      <c r="R48" s="20">
        <f>IF($B48="","",IF(N($O48)=0,0,IF(OR($L48="감소",AND($L48="증가",$M48&lt;&gt;"Y")),IF(N($G48)=0,0,ROUND(N(내역서!$G48)*$O48/$G48,0)),IF(N($J48)=0,0,ROUND(N(내역서!$O48)*$O48/$J48,0)))))</f>
        <v/>
      </c>
      <c r="S48" s="20">
        <f>IF($B48="","",IF(N($O48)=0,0,IF(OR($L48="감소",AND($L48="증가",$M48&lt;&gt;"Y")),IF(N($G48)=0,0,ROUND(N(내역서!$H48)*$O48/$G48,0)),IF(N($J48)=0,0,ROUND(N(내역서!$P48)*$O48/$J48,0)))))</f>
        <v/>
      </c>
      <c r="T48" s="20">
        <f>IF($B48="","",N($O48)-N($R48)-N($S48))</f>
        <v/>
      </c>
      <c r="U48" s="20">
        <f>IF($B48="","",ROUND(N($K48)*N($R48),0))</f>
        <v/>
      </c>
      <c r="V48" s="20">
        <f>IF($B48="","",ROUND(N($K48)*N($S48),0))</f>
        <v/>
      </c>
      <c r="W48" s="20">
        <f>IF($B48="","",N($P48)-N($U48)-N($V48))</f>
        <v/>
      </c>
    </row>
    <row r="49">
      <c r="A49" s="18">
        <f>IF($B49="","",ROW()-4+1)</f>
        <v/>
      </c>
      <c r="B49" s="18">
        <f>내역서!$B49</f>
        <v/>
      </c>
      <c r="C49" s="18">
        <f>IF($B49="","",내역서!$C49)</f>
        <v/>
      </c>
      <c r="D49" s="18">
        <f>IF($B49="","",내역서!$D49)</f>
        <v/>
      </c>
      <c r="E49" s="18">
        <f>IF($B49="","",내역서!$E49)</f>
        <v/>
      </c>
      <c r="F49" s="19">
        <f>IF($B49="","",N(내역서!$F49))</f>
        <v/>
      </c>
      <c r="G49" s="20">
        <f>IF($B49="","",N(내역서!$J49))</f>
        <v/>
      </c>
      <c r="H49" s="20">
        <f>IF($B49="","",N(내역서!$K49))</f>
        <v/>
      </c>
      <c r="I49" s="19">
        <f>IF($B49="","",N(내역서!$N49))</f>
        <v/>
      </c>
      <c r="J49" s="20">
        <f>IF($B49="","",N(내역서!$R49))</f>
        <v/>
      </c>
      <c r="K49" s="19">
        <f>IF($B49="","",N($I49)-N($F49))</f>
        <v/>
      </c>
      <c r="L49" s="21">
        <f>IF($B49="","",IF(N(내역서!$F49)=0,"신규",IF($K49&lt;0,"감소",IF($K49&gt;0,"증가","-"))))</f>
        <v/>
      </c>
      <c r="M49" s="22" t="n"/>
      <c r="N49" s="23" t="n"/>
      <c r="O49" s="24">
        <f>IF($B49="","",IF($L49="감소",$G49,IF($L49="증가",IF($M49="Y",ROUND(($J49+$J49*('설정'!$C$15/100))/2,0),IF(AND($N49&lt;&gt;"",$G49&gt;$N49),$N49,$G49)),IF($L49="신규",IF($M49="Y",ROUND(($J49+$J49*('설정'!$C$15/100))/2,0),ROUND($J49*('설정'!$C$15/100),0)),0))))</f>
        <v/>
      </c>
      <c r="P49" s="24">
        <f>IF($B49="","",ROUND(N($K49)*N($O49),0))</f>
        <v/>
      </c>
      <c r="Q49" s="25">
        <f>IF($B49="","",IF($L49="감소","감소분 → 계약단가",IF(AND($M49="Y",OR($L49="증가",$L49="신규")),"발주기관 요구 → 협의 (불성립 시 (당시단가+당시단가×낙찰률)÷2)",IF($L49="증가",IF(AND($N49&lt;&gt;"",$G49&gt;$N49),"증가분 → 계약단가&gt;예정가격단가 이므로 예정가격단가","증가분 → 계약단가 (낙찰률을 곱하지 않습니다)"),IF($L49="신규","신규비목 → 당시단가 × 낙찰률","")))))</f>
        <v/>
      </c>
      <c r="R49" s="20">
        <f>IF($B49="","",IF(N($O49)=0,0,IF(OR($L49="감소",AND($L49="증가",$M49&lt;&gt;"Y")),IF(N($G49)=0,0,ROUND(N(내역서!$G49)*$O49/$G49,0)),IF(N($J49)=0,0,ROUND(N(내역서!$O49)*$O49/$J49,0)))))</f>
        <v/>
      </c>
      <c r="S49" s="20">
        <f>IF($B49="","",IF(N($O49)=0,0,IF(OR($L49="감소",AND($L49="증가",$M49&lt;&gt;"Y")),IF(N($G49)=0,0,ROUND(N(내역서!$H49)*$O49/$G49,0)),IF(N($J49)=0,0,ROUND(N(내역서!$P49)*$O49/$J49,0)))))</f>
        <v/>
      </c>
      <c r="T49" s="20">
        <f>IF($B49="","",N($O49)-N($R49)-N($S49))</f>
        <v/>
      </c>
      <c r="U49" s="20">
        <f>IF($B49="","",ROUND(N($K49)*N($R49),0))</f>
        <v/>
      </c>
      <c r="V49" s="20">
        <f>IF($B49="","",ROUND(N($K49)*N($S49),0))</f>
        <v/>
      </c>
      <c r="W49" s="20">
        <f>IF($B49="","",N($P49)-N($U49)-N($V49))</f>
        <v/>
      </c>
    </row>
    <row r="50">
      <c r="A50" s="18">
        <f>IF($B50="","",ROW()-4+1)</f>
        <v/>
      </c>
      <c r="B50" s="18">
        <f>내역서!$B50</f>
        <v/>
      </c>
      <c r="C50" s="18">
        <f>IF($B50="","",내역서!$C50)</f>
        <v/>
      </c>
      <c r="D50" s="18">
        <f>IF($B50="","",내역서!$D50)</f>
        <v/>
      </c>
      <c r="E50" s="18">
        <f>IF($B50="","",내역서!$E50)</f>
        <v/>
      </c>
      <c r="F50" s="19">
        <f>IF($B50="","",N(내역서!$F50))</f>
        <v/>
      </c>
      <c r="G50" s="20">
        <f>IF($B50="","",N(내역서!$J50))</f>
        <v/>
      </c>
      <c r="H50" s="20">
        <f>IF($B50="","",N(내역서!$K50))</f>
        <v/>
      </c>
      <c r="I50" s="19">
        <f>IF($B50="","",N(내역서!$N50))</f>
        <v/>
      </c>
      <c r="J50" s="20">
        <f>IF($B50="","",N(내역서!$R50))</f>
        <v/>
      </c>
      <c r="K50" s="19">
        <f>IF($B50="","",N($I50)-N($F50))</f>
        <v/>
      </c>
      <c r="L50" s="21">
        <f>IF($B50="","",IF(N(내역서!$F50)=0,"신규",IF($K50&lt;0,"감소",IF($K50&gt;0,"증가","-"))))</f>
        <v/>
      </c>
      <c r="M50" s="22" t="n"/>
      <c r="N50" s="23" t="n"/>
      <c r="O50" s="24">
        <f>IF($B50="","",IF($L50="감소",$G50,IF($L50="증가",IF($M50="Y",ROUND(($J50+$J50*('설정'!$C$15/100))/2,0),IF(AND($N50&lt;&gt;"",$G50&gt;$N50),$N50,$G50)),IF($L50="신규",IF($M50="Y",ROUND(($J50+$J50*('설정'!$C$15/100))/2,0),ROUND($J50*('설정'!$C$15/100),0)),0))))</f>
        <v/>
      </c>
      <c r="P50" s="24">
        <f>IF($B50="","",ROUND(N($K50)*N($O50),0))</f>
        <v/>
      </c>
      <c r="Q50" s="25">
        <f>IF($B50="","",IF($L50="감소","감소분 → 계약단가",IF(AND($M50="Y",OR($L50="증가",$L50="신규")),"발주기관 요구 → 협의 (불성립 시 (당시단가+당시단가×낙찰률)÷2)",IF($L50="증가",IF(AND($N50&lt;&gt;"",$G50&gt;$N50),"증가분 → 계약단가&gt;예정가격단가 이므로 예정가격단가","증가분 → 계약단가 (낙찰률을 곱하지 않습니다)"),IF($L50="신규","신규비목 → 당시단가 × 낙찰률","")))))</f>
        <v/>
      </c>
      <c r="R50" s="20">
        <f>IF($B50="","",IF(N($O50)=0,0,IF(OR($L50="감소",AND($L50="증가",$M50&lt;&gt;"Y")),IF(N($G50)=0,0,ROUND(N(내역서!$G50)*$O50/$G50,0)),IF(N($J50)=0,0,ROUND(N(내역서!$O50)*$O50/$J50,0)))))</f>
        <v/>
      </c>
      <c r="S50" s="20">
        <f>IF($B50="","",IF(N($O50)=0,0,IF(OR($L50="감소",AND($L50="증가",$M50&lt;&gt;"Y")),IF(N($G50)=0,0,ROUND(N(내역서!$H50)*$O50/$G50,0)),IF(N($J50)=0,0,ROUND(N(내역서!$P50)*$O50/$J50,0)))))</f>
        <v/>
      </c>
      <c r="T50" s="20">
        <f>IF($B50="","",N($O50)-N($R50)-N($S50))</f>
        <v/>
      </c>
      <c r="U50" s="20">
        <f>IF($B50="","",ROUND(N($K50)*N($R50),0))</f>
        <v/>
      </c>
      <c r="V50" s="20">
        <f>IF($B50="","",ROUND(N($K50)*N($S50),0))</f>
        <v/>
      </c>
      <c r="W50" s="20">
        <f>IF($B50="","",N($P50)-N($U50)-N($V50))</f>
        <v/>
      </c>
    </row>
    <row r="51">
      <c r="A51" s="18">
        <f>IF($B51="","",ROW()-4+1)</f>
        <v/>
      </c>
      <c r="B51" s="18">
        <f>내역서!$B51</f>
        <v/>
      </c>
      <c r="C51" s="18">
        <f>IF($B51="","",내역서!$C51)</f>
        <v/>
      </c>
      <c r="D51" s="18">
        <f>IF($B51="","",내역서!$D51)</f>
        <v/>
      </c>
      <c r="E51" s="18">
        <f>IF($B51="","",내역서!$E51)</f>
        <v/>
      </c>
      <c r="F51" s="19">
        <f>IF($B51="","",N(내역서!$F51))</f>
        <v/>
      </c>
      <c r="G51" s="20">
        <f>IF($B51="","",N(내역서!$J51))</f>
        <v/>
      </c>
      <c r="H51" s="20">
        <f>IF($B51="","",N(내역서!$K51))</f>
        <v/>
      </c>
      <c r="I51" s="19">
        <f>IF($B51="","",N(내역서!$N51))</f>
        <v/>
      </c>
      <c r="J51" s="20">
        <f>IF($B51="","",N(내역서!$R51))</f>
        <v/>
      </c>
      <c r="K51" s="19">
        <f>IF($B51="","",N($I51)-N($F51))</f>
        <v/>
      </c>
      <c r="L51" s="21">
        <f>IF($B51="","",IF(N(내역서!$F51)=0,"신규",IF($K51&lt;0,"감소",IF($K51&gt;0,"증가","-"))))</f>
        <v/>
      </c>
      <c r="M51" s="22" t="n"/>
      <c r="N51" s="23" t="n"/>
      <c r="O51" s="24">
        <f>IF($B51="","",IF($L51="감소",$G51,IF($L51="증가",IF($M51="Y",ROUND(($J51+$J51*('설정'!$C$15/100))/2,0),IF(AND($N51&lt;&gt;"",$G51&gt;$N51),$N51,$G51)),IF($L51="신규",IF($M51="Y",ROUND(($J51+$J51*('설정'!$C$15/100))/2,0),ROUND($J51*('설정'!$C$15/100),0)),0))))</f>
        <v/>
      </c>
      <c r="P51" s="24">
        <f>IF($B51="","",ROUND(N($K51)*N($O51),0))</f>
        <v/>
      </c>
      <c r="Q51" s="25">
        <f>IF($B51="","",IF($L51="감소","감소분 → 계약단가",IF(AND($M51="Y",OR($L51="증가",$L51="신규")),"발주기관 요구 → 협의 (불성립 시 (당시단가+당시단가×낙찰률)÷2)",IF($L51="증가",IF(AND($N51&lt;&gt;"",$G51&gt;$N51),"증가분 → 계약단가&gt;예정가격단가 이므로 예정가격단가","증가분 → 계약단가 (낙찰률을 곱하지 않습니다)"),IF($L51="신규","신규비목 → 당시단가 × 낙찰률","")))))</f>
        <v/>
      </c>
      <c r="R51" s="20">
        <f>IF($B51="","",IF(N($O51)=0,0,IF(OR($L51="감소",AND($L51="증가",$M51&lt;&gt;"Y")),IF(N($G51)=0,0,ROUND(N(내역서!$G51)*$O51/$G51,0)),IF(N($J51)=0,0,ROUND(N(내역서!$O51)*$O51/$J51,0)))))</f>
        <v/>
      </c>
      <c r="S51" s="20">
        <f>IF($B51="","",IF(N($O51)=0,0,IF(OR($L51="감소",AND($L51="증가",$M51&lt;&gt;"Y")),IF(N($G51)=0,0,ROUND(N(내역서!$H51)*$O51/$G51,0)),IF(N($J51)=0,0,ROUND(N(내역서!$P51)*$O51/$J51,0)))))</f>
        <v/>
      </c>
      <c r="T51" s="20">
        <f>IF($B51="","",N($O51)-N($R51)-N($S51))</f>
        <v/>
      </c>
      <c r="U51" s="20">
        <f>IF($B51="","",ROUND(N($K51)*N($R51),0))</f>
        <v/>
      </c>
      <c r="V51" s="20">
        <f>IF($B51="","",ROUND(N($K51)*N($S51),0))</f>
        <v/>
      </c>
      <c r="W51" s="20">
        <f>IF($B51="","",N($P51)-N($U51)-N($V51))</f>
        <v/>
      </c>
    </row>
    <row r="52">
      <c r="A52" s="18">
        <f>IF($B52="","",ROW()-4+1)</f>
        <v/>
      </c>
      <c r="B52" s="18">
        <f>내역서!$B52</f>
        <v/>
      </c>
      <c r="C52" s="18">
        <f>IF($B52="","",내역서!$C52)</f>
        <v/>
      </c>
      <c r="D52" s="18">
        <f>IF($B52="","",내역서!$D52)</f>
        <v/>
      </c>
      <c r="E52" s="18">
        <f>IF($B52="","",내역서!$E52)</f>
        <v/>
      </c>
      <c r="F52" s="19">
        <f>IF($B52="","",N(내역서!$F52))</f>
        <v/>
      </c>
      <c r="G52" s="20">
        <f>IF($B52="","",N(내역서!$J52))</f>
        <v/>
      </c>
      <c r="H52" s="20">
        <f>IF($B52="","",N(내역서!$K52))</f>
        <v/>
      </c>
      <c r="I52" s="19">
        <f>IF($B52="","",N(내역서!$N52))</f>
        <v/>
      </c>
      <c r="J52" s="20">
        <f>IF($B52="","",N(내역서!$R52))</f>
        <v/>
      </c>
      <c r="K52" s="19">
        <f>IF($B52="","",N($I52)-N($F52))</f>
        <v/>
      </c>
      <c r="L52" s="21">
        <f>IF($B52="","",IF(N(내역서!$F52)=0,"신규",IF($K52&lt;0,"감소",IF($K52&gt;0,"증가","-"))))</f>
        <v/>
      </c>
      <c r="M52" s="22" t="n"/>
      <c r="N52" s="23" t="n"/>
      <c r="O52" s="24">
        <f>IF($B52="","",IF($L52="감소",$G52,IF($L52="증가",IF($M52="Y",ROUND(($J52+$J52*('설정'!$C$15/100))/2,0),IF(AND($N52&lt;&gt;"",$G52&gt;$N52),$N52,$G52)),IF($L52="신규",IF($M52="Y",ROUND(($J52+$J52*('설정'!$C$15/100))/2,0),ROUND($J52*('설정'!$C$15/100),0)),0))))</f>
        <v/>
      </c>
      <c r="P52" s="24">
        <f>IF($B52="","",ROUND(N($K52)*N($O52),0))</f>
        <v/>
      </c>
      <c r="Q52" s="25">
        <f>IF($B52="","",IF($L52="감소","감소분 → 계약단가",IF(AND($M52="Y",OR($L52="증가",$L52="신규")),"발주기관 요구 → 협의 (불성립 시 (당시단가+당시단가×낙찰률)÷2)",IF($L52="증가",IF(AND($N52&lt;&gt;"",$G52&gt;$N52),"증가분 → 계약단가&gt;예정가격단가 이므로 예정가격단가","증가분 → 계약단가 (낙찰률을 곱하지 않습니다)"),IF($L52="신규","신규비목 → 당시단가 × 낙찰률","")))))</f>
        <v/>
      </c>
      <c r="R52" s="20">
        <f>IF($B52="","",IF(N($O52)=0,0,IF(OR($L52="감소",AND($L52="증가",$M52&lt;&gt;"Y")),IF(N($G52)=0,0,ROUND(N(내역서!$G52)*$O52/$G52,0)),IF(N($J52)=0,0,ROUND(N(내역서!$O52)*$O52/$J52,0)))))</f>
        <v/>
      </c>
      <c r="S52" s="20">
        <f>IF($B52="","",IF(N($O52)=0,0,IF(OR($L52="감소",AND($L52="증가",$M52&lt;&gt;"Y")),IF(N($G52)=0,0,ROUND(N(내역서!$H52)*$O52/$G52,0)),IF(N($J52)=0,0,ROUND(N(내역서!$P52)*$O52/$J52,0)))))</f>
        <v/>
      </c>
      <c r="T52" s="20">
        <f>IF($B52="","",N($O52)-N($R52)-N($S52))</f>
        <v/>
      </c>
      <c r="U52" s="20">
        <f>IF($B52="","",ROUND(N($K52)*N($R52),0))</f>
        <v/>
      </c>
      <c r="V52" s="20">
        <f>IF($B52="","",ROUND(N($K52)*N($S52),0))</f>
        <v/>
      </c>
      <c r="W52" s="20">
        <f>IF($B52="","",N($P52)-N($U52)-N($V52))</f>
        <v/>
      </c>
    </row>
    <row r="53">
      <c r="A53" s="18">
        <f>IF($B53="","",ROW()-4+1)</f>
        <v/>
      </c>
      <c r="B53" s="18">
        <f>내역서!$B53</f>
        <v/>
      </c>
      <c r="C53" s="18">
        <f>IF($B53="","",내역서!$C53)</f>
        <v/>
      </c>
      <c r="D53" s="18">
        <f>IF($B53="","",내역서!$D53)</f>
        <v/>
      </c>
      <c r="E53" s="18">
        <f>IF($B53="","",내역서!$E53)</f>
        <v/>
      </c>
      <c r="F53" s="19">
        <f>IF($B53="","",N(내역서!$F53))</f>
        <v/>
      </c>
      <c r="G53" s="20">
        <f>IF($B53="","",N(내역서!$J53))</f>
        <v/>
      </c>
      <c r="H53" s="20">
        <f>IF($B53="","",N(내역서!$K53))</f>
        <v/>
      </c>
      <c r="I53" s="19">
        <f>IF($B53="","",N(내역서!$N53))</f>
        <v/>
      </c>
      <c r="J53" s="20">
        <f>IF($B53="","",N(내역서!$R53))</f>
        <v/>
      </c>
      <c r="K53" s="19">
        <f>IF($B53="","",N($I53)-N($F53))</f>
        <v/>
      </c>
      <c r="L53" s="21">
        <f>IF($B53="","",IF(N(내역서!$F53)=0,"신규",IF($K53&lt;0,"감소",IF($K53&gt;0,"증가","-"))))</f>
        <v/>
      </c>
      <c r="M53" s="22" t="n"/>
      <c r="N53" s="23" t="n"/>
      <c r="O53" s="24">
        <f>IF($B53="","",IF($L53="감소",$G53,IF($L53="증가",IF($M53="Y",ROUND(($J53+$J53*('설정'!$C$15/100))/2,0),IF(AND($N53&lt;&gt;"",$G53&gt;$N53),$N53,$G53)),IF($L53="신규",IF($M53="Y",ROUND(($J53+$J53*('설정'!$C$15/100))/2,0),ROUND($J53*('설정'!$C$15/100),0)),0))))</f>
        <v/>
      </c>
      <c r="P53" s="24">
        <f>IF($B53="","",ROUND(N($K53)*N($O53),0))</f>
        <v/>
      </c>
      <c r="Q53" s="25">
        <f>IF($B53="","",IF($L53="감소","감소분 → 계약단가",IF(AND($M53="Y",OR($L53="증가",$L53="신규")),"발주기관 요구 → 협의 (불성립 시 (당시단가+당시단가×낙찰률)÷2)",IF($L53="증가",IF(AND($N53&lt;&gt;"",$G53&gt;$N53),"증가분 → 계약단가&gt;예정가격단가 이므로 예정가격단가","증가분 → 계약단가 (낙찰률을 곱하지 않습니다)"),IF($L53="신규","신규비목 → 당시단가 × 낙찰률","")))))</f>
        <v/>
      </c>
      <c r="R53" s="20">
        <f>IF($B53="","",IF(N($O53)=0,0,IF(OR($L53="감소",AND($L53="증가",$M53&lt;&gt;"Y")),IF(N($G53)=0,0,ROUND(N(내역서!$G53)*$O53/$G53,0)),IF(N($J53)=0,0,ROUND(N(내역서!$O53)*$O53/$J53,0)))))</f>
        <v/>
      </c>
      <c r="S53" s="20">
        <f>IF($B53="","",IF(N($O53)=0,0,IF(OR($L53="감소",AND($L53="증가",$M53&lt;&gt;"Y")),IF(N($G53)=0,0,ROUND(N(내역서!$H53)*$O53/$G53,0)),IF(N($J53)=0,0,ROUND(N(내역서!$P53)*$O53/$J53,0)))))</f>
        <v/>
      </c>
      <c r="T53" s="20">
        <f>IF($B53="","",N($O53)-N($R53)-N($S53))</f>
        <v/>
      </c>
      <c r="U53" s="20">
        <f>IF($B53="","",ROUND(N($K53)*N($R53),0))</f>
        <v/>
      </c>
      <c r="V53" s="20">
        <f>IF($B53="","",ROUND(N($K53)*N($S53),0))</f>
        <v/>
      </c>
      <c r="W53" s="20">
        <f>IF($B53="","",N($P53)-N($U53)-N($V53))</f>
        <v/>
      </c>
    </row>
    <row r="54">
      <c r="A54" s="18">
        <f>IF($B54="","",ROW()-4+1)</f>
        <v/>
      </c>
      <c r="B54" s="18">
        <f>내역서!$B54</f>
        <v/>
      </c>
      <c r="C54" s="18">
        <f>IF($B54="","",내역서!$C54)</f>
        <v/>
      </c>
      <c r="D54" s="18">
        <f>IF($B54="","",내역서!$D54)</f>
        <v/>
      </c>
      <c r="E54" s="18">
        <f>IF($B54="","",내역서!$E54)</f>
        <v/>
      </c>
      <c r="F54" s="19">
        <f>IF($B54="","",N(내역서!$F54))</f>
        <v/>
      </c>
      <c r="G54" s="20">
        <f>IF($B54="","",N(내역서!$J54))</f>
        <v/>
      </c>
      <c r="H54" s="20">
        <f>IF($B54="","",N(내역서!$K54))</f>
        <v/>
      </c>
      <c r="I54" s="19">
        <f>IF($B54="","",N(내역서!$N54))</f>
        <v/>
      </c>
      <c r="J54" s="20">
        <f>IF($B54="","",N(내역서!$R54))</f>
        <v/>
      </c>
      <c r="K54" s="19">
        <f>IF($B54="","",N($I54)-N($F54))</f>
        <v/>
      </c>
      <c r="L54" s="21">
        <f>IF($B54="","",IF(N(내역서!$F54)=0,"신규",IF($K54&lt;0,"감소",IF($K54&gt;0,"증가","-"))))</f>
        <v/>
      </c>
      <c r="M54" s="22" t="n"/>
      <c r="N54" s="23" t="n"/>
      <c r="O54" s="24">
        <f>IF($B54="","",IF($L54="감소",$G54,IF($L54="증가",IF($M54="Y",ROUND(($J54+$J54*('설정'!$C$15/100))/2,0),IF(AND($N54&lt;&gt;"",$G54&gt;$N54),$N54,$G54)),IF($L54="신규",IF($M54="Y",ROUND(($J54+$J54*('설정'!$C$15/100))/2,0),ROUND($J54*('설정'!$C$15/100),0)),0))))</f>
        <v/>
      </c>
      <c r="P54" s="24">
        <f>IF($B54="","",ROUND(N($K54)*N($O54),0))</f>
        <v/>
      </c>
      <c r="Q54" s="25">
        <f>IF($B54="","",IF($L54="감소","감소분 → 계약단가",IF(AND($M54="Y",OR($L54="증가",$L54="신규")),"발주기관 요구 → 협의 (불성립 시 (당시단가+당시단가×낙찰률)÷2)",IF($L54="증가",IF(AND($N54&lt;&gt;"",$G54&gt;$N54),"증가분 → 계약단가&gt;예정가격단가 이므로 예정가격단가","증가분 → 계약단가 (낙찰률을 곱하지 않습니다)"),IF($L54="신규","신규비목 → 당시단가 × 낙찰률","")))))</f>
        <v/>
      </c>
      <c r="R54" s="20">
        <f>IF($B54="","",IF(N($O54)=0,0,IF(OR($L54="감소",AND($L54="증가",$M54&lt;&gt;"Y")),IF(N($G54)=0,0,ROUND(N(내역서!$G54)*$O54/$G54,0)),IF(N($J54)=0,0,ROUND(N(내역서!$O54)*$O54/$J54,0)))))</f>
        <v/>
      </c>
      <c r="S54" s="20">
        <f>IF($B54="","",IF(N($O54)=0,0,IF(OR($L54="감소",AND($L54="증가",$M54&lt;&gt;"Y")),IF(N($G54)=0,0,ROUND(N(내역서!$H54)*$O54/$G54,0)),IF(N($J54)=0,0,ROUND(N(내역서!$P54)*$O54/$J54,0)))))</f>
        <v/>
      </c>
      <c r="T54" s="20">
        <f>IF($B54="","",N($O54)-N($R54)-N($S54))</f>
        <v/>
      </c>
      <c r="U54" s="20">
        <f>IF($B54="","",ROUND(N($K54)*N($R54),0))</f>
        <v/>
      </c>
      <c r="V54" s="20">
        <f>IF($B54="","",ROUND(N($K54)*N($S54),0))</f>
        <v/>
      </c>
      <c r="W54" s="20">
        <f>IF($B54="","",N($P54)-N($U54)-N($V54))</f>
        <v/>
      </c>
    </row>
    <row r="55">
      <c r="A55" s="18">
        <f>IF($B55="","",ROW()-4+1)</f>
        <v/>
      </c>
      <c r="B55" s="18">
        <f>내역서!$B55</f>
        <v/>
      </c>
      <c r="C55" s="18">
        <f>IF($B55="","",내역서!$C55)</f>
        <v/>
      </c>
      <c r="D55" s="18">
        <f>IF($B55="","",내역서!$D55)</f>
        <v/>
      </c>
      <c r="E55" s="18">
        <f>IF($B55="","",내역서!$E55)</f>
        <v/>
      </c>
      <c r="F55" s="19">
        <f>IF($B55="","",N(내역서!$F55))</f>
        <v/>
      </c>
      <c r="G55" s="20">
        <f>IF($B55="","",N(내역서!$J55))</f>
        <v/>
      </c>
      <c r="H55" s="20">
        <f>IF($B55="","",N(내역서!$K55))</f>
        <v/>
      </c>
      <c r="I55" s="19">
        <f>IF($B55="","",N(내역서!$N55))</f>
        <v/>
      </c>
      <c r="J55" s="20">
        <f>IF($B55="","",N(내역서!$R55))</f>
        <v/>
      </c>
      <c r="K55" s="19">
        <f>IF($B55="","",N($I55)-N($F55))</f>
        <v/>
      </c>
      <c r="L55" s="21">
        <f>IF($B55="","",IF(N(내역서!$F55)=0,"신규",IF($K55&lt;0,"감소",IF($K55&gt;0,"증가","-"))))</f>
        <v/>
      </c>
      <c r="M55" s="22" t="n"/>
      <c r="N55" s="23" t="n"/>
      <c r="O55" s="24">
        <f>IF($B55="","",IF($L55="감소",$G55,IF($L55="증가",IF($M55="Y",ROUND(($J55+$J55*('설정'!$C$15/100))/2,0),IF(AND($N55&lt;&gt;"",$G55&gt;$N55),$N55,$G55)),IF($L55="신규",IF($M55="Y",ROUND(($J55+$J55*('설정'!$C$15/100))/2,0),ROUND($J55*('설정'!$C$15/100),0)),0))))</f>
        <v/>
      </c>
      <c r="P55" s="24">
        <f>IF($B55="","",ROUND(N($K55)*N($O55),0))</f>
        <v/>
      </c>
      <c r="Q55" s="25">
        <f>IF($B55="","",IF($L55="감소","감소분 → 계약단가",IF(AND($M55="Y",OR($L55="증가",$L55="신규")),"발주기관 요구 → 협의 (불성립 시 (당시단가+당시단가×낙찰률)÷2)",IF($L55="증가",IF(AND($N55&lt;&gt;"",$G55&gt;$N55),"증가분 → 계약단가&gt;예정가격단가 이므로 예정가격단가","증가분 → 계약단가 (낙찰률을 곱하지 않습니다)"),IF($L55="신규","신규비목 → 당시단가 × 낙찰률","")))))</f>
        <v/>
      </c>
      <c r="R55" s="20">
        <f>IF($B55="","",IF(N($O55)=0,0,IF(OR($L55="감소",AND($L55="증가",$M55&lt;&gt;"Y")),IF(N($G55)=0,0,ROUND(N(내역서!$G55)*$O55/$G55,0)),IF(N($J55)=0,0,ROUND(N(내역서!$O55)*$O55/$J55,0)))))</f>
        <v/>
      </c>
      <c r="S55" s="20">
        <f>IF($B55="","",IF(N($O55)=0,0,IF(OR($L55="감소",AND($L55="증가",$M55&lt;&gt;"Y")),IF(N($G55)=0,0,ROUND(N(내역서!$H55)*$O55/$G55,0)),IF(N($J55)=0,0,ROUND(N(내역서!$P55)*$O55/$J55,0)))))</f>
        <v/>
      </c>
      <c r="T55" s="20">
        <f>IF($B55="","",N($O55)-N($R55)-N($S55))</f>
        <v/>
      </c>
      <c r="U55" s="20">
        <f>IF($B55="","",ROUND(N($K55)*N($R55),0))</f>
        <v/>
      </c>
      <c r="V55" s="20">
        <f>IF($B55="","",ROUND(N($K55)*N($S55),0))</f>
        <v/>
      </c>
      <c r="W55" s="20">
        <f>IF($B55="","",N($P55)-N($U55)-N($V55))</f>
        <v/>
      </c>
    </row>
    <row r="56">
      <c r="A56" s="18">
        <f>IF($B56="","",ROW()-4+1)</f>
        <v/>
      </c>
      <c r="B56" s="18">
        <f>내역서!$B56</f>
        <v/>
      </c>
      <c r="C56" s="18">
        <f>IF($B56="","",내역서!$C56)</f>
        <v/>
      </c>
      <c r="D56" s="18">
        <f>IF($B56="","",내역서!$D56)</f>
        <v/>
      </c>
      <c r="E56" s="18">
        <f>IF($B56="","",내역서!$E56)</f>
        <v/>
      </c>
      <c r="F56" s="19">
        <f>IF($B56="","",N(내역서!$F56))</f>
        <v/>
      </c>
      <c r="G56" s="20">
        <f>IF($B56="","",N(내역서!$J56))</f>
        <v/>
      </c>
      <c r="H56" s="20">
        <f>IF($B56="","",N(내역서!$K56))</f>
        <v/>
      </c>
      <c r="I56" s="19">
        <f>IF($B56="","",N(내역서!$N56))</f>
        <v/>
      </c>
      <c r="J56" s="20">
        <f>IF($B56="","",N(내역서!$R56))</f>
        <v/>
      </c>
      <c r="K56" s="19">
        <f>IF($B56="","",N($I56)-N($F56))</f>
        <v/>
      </c>
      <c r="L56" s="21">
        <f>IF($B56="","",IF(N(내역서!$F56)=0,"신규",IF($K56&lt;0,"감소",IF($K56&gt;0,"증가","-"))))</f>
        <v/>
      </c>
      <c r="M56" s="22" t="n"/>
      <c r="N56" s="23" t="n"/>
      <c r="O56" s="24">
        <f>IF($B56="","",IF($L56="감소",$G56,IF($L56="증가",IF($M56="Y",ROUND(($J56+$J56*('설정'!$C$15/100))/2,0),IF(AND($N56&lt;&gt;"",$G56&gt;$N56),$N56,$G56)),IF($L56="신규",IF($M56="Y",ROUND(($J56+$J56*('설정'!$C$15/100))/2,0),ROUND($J56*('설정'!$C$15/100),0)),0))))</f>
        <v/>
      </c>
      <c r="P56" s="24">
        <f>IF($B56="","",ROUND(N($K56)*N($O56),0))</f>
        <v/>
      </c>
      <c r="Q56" s="25">
        <f>IF($B56="","",IF($L56="감소","감소분 → 계약단가",IF(AND($M56="Y",OR($L56="증가",$L56="신규")),"발주기관 요구 → 협의 (불성립 시 (당시단가+당시단가×낙찰률)÷2)",IF($L56="증가",IF(AND($N56&lt;&gt;"",$G56&gt;$N56),"증가분 → 계약단가&gt;예정가격단가 이므로 예정가격단가","증가분 → 계약단가 (낙찰률을 곱하지 않습니다)"),IF($L56="신규","신규비목 → 당시단가 × 낙찰률","")))))</f>
        <v/>
      </c>
      <c r="R56" s="20">
        <f>IF($B56="","",IF(N($O56)=0,0,IF(OR($L56="감소",AND($L56="증가",$M56&lt;&gt;"Y")),IF(N($G56)=0,0,ROUND(N(내역서!$G56)*$O56/$G56,0)),IF(N($J56)=0,0,ROUND(N(내역서!$O56)*$O56/$J56,0)))))</f>
        <v/>
      </c>
      <c r="S56" s="20">
        <f>IF($B56="","",IF(N($O56)=0,0,IF(OR($L56="감소",AND($L56="증가",$M56&lt;&gt;"Y")),IF(N($G56)=0,0,ROUND(N(내역서!$H56)*$O56/$G56,0)),IF(N($J56)=0,0,ROUND(N(내역서!$P56)*$O56/$J56,0)))))</f>
        <v/>
      </c>
      <c r="T56" s="20">
        <f>IF($B56="","",N($O56)-N($R56)-N($S56))</f>
        <v/>
      </c>
      <c r="U56" s="20">
        <f>IF($B56="","",ROUND(N($K56)*N($R56),0))</f>
        <v/>
      </c>
      <c r="V56" s="20">
        <f>IF($B56="","",ROUND(N($K56)*N($S56),0))</f>
        <v/>
      </c>
      <c r="W56" s="20">
        <f>IF($B56="","",N($P56)-N($U56)-N($V56))</f>
        <v/>
      </c>
    </row>
    <row r="57">
      <c r="A57" s="18">
        <f>IF($B57="","",ROW()-4+1)</f>
        <v/>
      </c>
      <c r="B57" s="18">
        <f>내역서!$B57</f>
        <v/>
      </c>
      <c r="C57" s="18">
        <f>IF($B57="","",내역서!$C57)</f>
        <v/>
      </c>
      <c r="D57" s="18">
        <f>IF($B57="","",내역서!$D57)</f>
        <v/>
      </c>
      <c r="E57" s="18">
        <f>IF($B57="","",내역서!$E57)</f>
        <v/>
      </c>
      <c r="F57" s="19">
        <f>IF($B57="","",N(내역서!$F57))</f>
        <v/>
      </c>
      <c r="G57" s="20">
        <f>IF($B57="","",N(내역서!$J57))</f>
        <v/>
      </c>
      <c r="H57" s="20">
        <f>IF($B57="","",N(내역서!$K57))</f>
        <v/>
      </c>
      <c r="I57" s="19">
        <f>IF($B57="","",N(내역서!$N57))</f>
        <v/>
      </c>
      <c r="J57" s="20">
        <f>IF($B57="","",N(내역서!$R57))</f>
        <v/>
      </c>
      <c r="K57" s="19">
        <f>IF($B57="","",N($I57)-N($F57))</f>
        <v/>
      </c>
      <c r="L57" s="21">
        <f>IF($B57="","",IF(N(내역서!$F57)=0,"신규",IF($K57&lt;0,"감소",IF($K57&gt;0,"증가","-"))))</f>
        <v/>
      </c>
      <c r="M57" s="22" t="n"/>
      <c r="N57" s="23" t="n"/>
      <c r="O57" s="24">
        <f>IF($B57="","",IF($L57="감소",$G57,IF($L57="증가",IF($M57="Y",ROUND(($J57+$J57*('설정'!$C$15/100))/2,0),IF(AND($N57&lt;&gt;"",$G57&gt;$N57),$N57,$G57)),IF($L57="신규",IF($M57="Y",ROUND(($J57+$J57*('설정'!$C$15/100))/2,0),ROUND($J57*('설정'!$C$15/100),0)),0))))</f>
        <v/>
      </c>
      <c r="P57" s="24">
        <f>IF($B57="","",ROUND(N($K57)*N($O57),0))</f>
        <v/>
      </c>
      <c r="Q57" s="25">
        <f>IF($B57="","",IF($L57="감소","감소분 → 계약단가",IF(AND($M57="Y",OR($L57="증가",$L57="신규")),"발주기관 요구 → 협의 (불성립 시 (당시단가+당시단가×낙찰률)÷2)",IF($L57="증가",IF(AND($N57&lt;&gt;"",$G57&gt;$N57),"증가분 → 계약단가&gt;예정가격단가 이므로 예정가격단가","증가분 → 계약단가 (낙찰률을 곱하지 않습니다)"),IF($L57="신규","신규비목 → 당시단가 × 낙찰률","")))))</f>
        <v/>
      </c>
      <c r="R57" s="20">
        <f>IF($B57="","",IF(N($O57)=0,0,IF(OR($L57="감소",AND($L57="증가",$M57&lt;&gt;"Y")),IF(N($G57)=0,0,ROUND(N(내역서!$G57)*$O57/$G57,0)),IF(N($J57)=0,0,ROUND(N(내역서!$O57)*$O57/$J57,0)))))</f>
        <v/>
      </c>
      <c r="S57" s="20">
        <f>IF($B57="","",IF(N($O57)=0,0,IF(OR($L57="감소",AND($L57="증가",$M57&lt;&gt;"Y")),IF(N($G57)=0,0,ROUND(N(내역서!$H57)*$O57/$G57,0)),IF(N($J57)=0,0,ROUND(N(내역서!$P57)*$O57/$J57,0)))))</f>
        <v/>
      </c>
      <c r="T57" s="20">
        <f>IF($B57="","",N($O57)-N($R57)-N($S57))</f>
        <v/>
      </c>
      <c r="U57" s="20">
        <f>IF($B57="","",ROUND(N($K57)*N($R57),0))</f>
        <v/>
      </c>
      <c r="V57" s="20">
        <f>IF($B57="","",ROUND(N($K57)*N($S57),0))</f>
        <v/>
      </c>
      <c r="W57" s="20">
        <f>IF($B57="","",N($P57)-N($U57)-N($V57))</f>
        <v/>
      </c>
    </row>
    <row r="58">
      <c r="A58" s="18">
        <f>IF($B58="","",ROW()-4+1)</f>
        <v/>
      </c>
      <c r="B58" s="18">
        <f>내역서!$B58</f>
        <v/>
      </c>
      <c r="C58" s="18">
        <f>IF($B58="","",내역서!$C58)</f>
        <v/>
      </c>
      <c r="D58" s="18">
        <f>IF($B58="","",내역서!$D58)</f>
        <v/>
      </c>
      <c r="E58" s="18">
        <f>IF($B58="","",내역서!$E58)</f>
        <v/>
      </c>
      <c r="F58" s="19">
        <f>IF($B58="","",N(내역서!$F58))</f>
        <v/>
      </c>
      <c r="G58" s="20">
        <f>IF($B58="","",N(내역서!$J58))</f>
        <v/>
      </c>
      <c r="H58" s="20">
        <f>IF($B58="","",N(내역서!$K58))</f>
        <v/>
      </c>
      <c r="I58" s="19">
        <f>IF($B58="","",N(내역서!$N58))</f>
        <v/>
      </c>
      <c r="J58" s="20">
        <f>IF($B58="","",N(내역서!$R58))</f>
        <v/>
      </c>
      <c r="K58" s="19">
        <f>IF($B58="","",N($I58)-N($F58))</f>
        <v/>
      </c>
      <c r="L58" s="21">
        <f>IF($B58="","",IF(N(내역서!$F58)=0,"신규",IF($K58&lt;0,"감소",IF($K58&gt;0,"증가","-"))))</f>
        <v/>
      </c>
      <c r="M58" s="22" t="n"/>
      <c r="N58" s="23" t="n"/>
      <c r="O58" s="24">
        <f>IF($B58="","",IF($L58="감소",$G58,IF($L58="증가",IF($M58="Y",ROUND(($J58+$J58*('설정'!$C$15/100))/2,0),IF(AND($N58&lt;&gt;"",$G58&gt;$N58),$N58,$G58)),IF($L58="신규",IF($M58="Y",ROUND(($J58+$J58*('설정'!$C$15/100))/2,0),ROUND($J58*('설정'!$C$15/100),0)),0))))</f>
        <v/>
      </c>
      <c r="P58" s="24">
        <f>IF($B58="","",ROUND(N($K58)*N($O58),0))</f>
        <v/>
      </c>
      <c r="Q58" s="25">
        <f>IF($B58="","",IF($L58="감소","감소분 → 계약단가",IF(AND($M58="Y",OR($L58="증가",$L58="신규")),"발주기관 요구 → 협의 (불성립 시 (당시단가+당시단가×낙찰률)÷2)",IF($L58="증가",IF(AND($N58&lt;&gt;"",$G58&gt;$N58),"증가분 → 계약단가&gt;예정가격단가 이므로 예정가격단가","증가분 → 계약단가 (낙찰률을 곱하지 않습니다)"),IF($L58="신규","신규비목 → 당시단가 × 낙찰률","")))))</f>
        <v/>
      </c>
      <c r="R58" s="20">
        <f>IF($B58="","",IF(N($O58)=0,0,IF(OR($L58="감소",AND($L58="증가",$M58&lt;&gt;"Y")),IF(N($G58)=0,0,ROUND(N(내역서!$G58)*$O58/$G58,0)),IF(N($J58)=0,0,ROUND(N(내역서!$O58)*$O58/$J58,0)))))</f>
        <v/>
      </c>
      <c r="S58" s="20">
        <f>IF($B58="","",IF(N($O58)=0,0,IF(OR($L58="감소",AND($L58="증가",$M58&lt;&gt;"Y")),IF(N($G58)=0,0,ROUND(N(내역서!$H58)*$O58/$G58,0)),IF(N($J58)=0,0,ROUND(N(내역서!$P58)*$O58/$J58,0)))))</f>
        <v/>
      </c>
      <c r="T58" s="20">
        <f>IF($B58="","",N($O58)-N($R58)-N($S58))</f>
        <v/>
      </c>
      <c r="U58" s="20">
        <f>IF($B58="","",ROUND(N($K58)*N($R58),0))</f>
        <v/>
      </c>
      <c r="V58" s="20">
        <f>IF($B58="","",ROUND(N($K58)*N($S58),0))</f>
        <v/>
      </c>
      <c r="W58" s="20">
        <f>IF($B58="","",N($P58)-N($U58)-N($V58))</f>
        <v/>
      </c>
    </row>
    <row r="59">
      <c r="A59" s="18">
        <f>IF($B59="","",ROW()-4+1)</f>
        <v/>
      </c>
      <c r="B59" s="18">
        <f>내역서!$B59</f>
        <v/>
      </c>
      <c r="C59" s="18">
        <f>IF($B59="","",내역서!$C59)</f>
        <v/>
      </c>
      <c r="D59" s="18">
        <f>IF($B59="","",내역서!$D59)</f>
        <v/>
      </c>
      <c r="E59" s="18">
        <f>IF($B59="","",내역서!$E59)</f>
        <v/>
      </c>
      <c r="F59" s="19">
        <f>IF($B59="","",N(내역서!$F59))</f>
        <v/>
      </c>
      <c r="G59" s="20">
        <f>IF($B59="","",N(내역서!$J59))</f>
        <v/>
      </c>
      <c r="H59" s="20">
        <f>IF($B59="","",N(내역서!$K59))</f>
        <v/>
      </c>
      <c r="I59" s="19">
        <f>IF($B59="","",N(내역서!$N59))</f>
        <v/>
      </c>
      <c r="J59" s="20">
        <f>IF($B59="","",N(내역서!$R59))</f>
        <v/>
      </c>
      <c r="K59" s="19">
        <f>IF($B59="","",N($I59)-N($F59))</f>
        <v/>
      </c>
      <c r="L59" s="21">
        <f>IF($B59="","",IF(N(내역서!$F59)=0,"신규",IF($K59&lt;0,"감소",IF($K59&gt;0,"증가","-"))))</f>
        <v/>
      </c>
      <c r="M59" s="22" t="n"/>
      <c r="N59" s="23" t="n"/>
      <c r="O59" s="24">
        <f>IF($B59="","",IF($L59="감소",$G59,IF($L59="증가",IF($M59="Y",ROUND(($J59+$J59*('설정'!$C$15/100))/2,0),IF(AND($N59&lt;&gt;"",$G59&gt;$N59),$N59,$G59)),IF($L59="신규",IF($M59="Y",ROUND(($J59+$J59*('설정'!$C$15/100))/2,0),ROUND($J59*('설정'!$C$15/100),0)),0))))</f>
        <v/>
      </c>
      <c r="P59" s="24">
        <f>IF($B59="","",ROUND(N($K59)*N($O59),0))</f>
        <v/>
      </c>
      <c r="Q59" s="25">
        <f>IF($B59="","",IF($L59="감소","감소분 → 계약단가",IF(AND($M59="Y",OR($L59="증가",$L59="신규")),"발주기관 요구 → 협의 (불성립 시 (당시단가+당시단가×낙찰률)÷2)",IF($L59="증가",IF(AND($N59&lt;&gt;"",$G59&gt;$N59),"증가분 → 계약단가&gt;예정가격단가 이므로 예정가격단가","증가분 → 계약단가 (낙찰률을 곱하지 않습니다)"),IF($L59="신규","신규비목 → 당시단가 × 낙찰률","")))))</f>
        <v/>
      </c>
      <c r="R59" s="20">
        <f>IF($B59="","",IF(N($O59)=0,0,IF(OR($L59="감소",AND($L59="증가",$M59&lt;&gt;"Y")),IF(N($G59)=0,0,ROUND(N(내역서!$G59)*$O59/$G59,0)),IF(N($J59)=0,0,ROUND(N(내역서!$O59)*$O59/$J59,0)))))</f>
        <v/>
      </c>
      <c r="S59" s="20">
        <f>IF($B59="","",IF(N($O59)=0,0,IF(OR($L59="감소",AND($L59="증가",$M59&lt;&gt;"Y")),IF(N($G59)=0,0,ROUND(N(내역서!$H59)*$O59/$G59,0)),IF(N($J59)=0,0,ROUND(N(내역서!$P59)*$O59/$J59,0)))))</f>
        <v/>
      </c>
      <c r="T59" s="20">
        <f>IF($B59="","",N($O59)-N($R59)-N($S59))</f>
        <v/>
      </c>
      <c r="U59" s="20">
        <f>IF($B59="","",ROUND(N($K59)*N($R59),0))</f>
        <v/>
      </c>
      <c r="V59" s="20">
        <f>IF($B59="","",ROUND(N($K59)*N($S59),0))</f>
        <v/>
      </c>
      <c r="W59" s="20">
        <f>IF($B59="","",N($P59)-N($U59)-N($V59))</f>
        <v/>
      </c>
    </row>
    <row r="60">
      <c r="A60" s="18">
        <f>IF($B60="","",ROW()-4+1)</f>
        <v/>
      </c>
      <c r="B60" s="18">
        <f>내역서!$B60</f>
        <v/>
      </c>
      <c r="C60" s="18">
        <f>IF($B60="","",내역서!$C60)</f>
        <v/>
      </c>
      <c r="D60" s="18">
        <f>IF($B60="","",내역서!$D60)</f>
        <v/>
      </c>
      <c r="E60" s="18">
        <f>IF($B60="","",내역서!$E60)</f>
        <v/>
      </c>
      <c r="F60" s="19">
        <f>IF($B60="","",N(내역서!$F60))</f>
        <v/>
      </c>
      <c r="G60" s="20">
        <f>IF($B60="","",N(내역서!$J60))</f>
        <v/>
      </c>
      <c r="H60" s="20">
        <f>IF($B60="","",N(내역서!$K60))</f>
        <v/>
      </c>
      <c r="I60" s="19">
        <f>IF($B60="","",N(내역서!$N60))</f>
        <v/>
      </c>
      <c r="J60" s="20">
        <f>IF($B60="","",N(내역서!$R60))</f>
        <v/>
      </c>
      <c r="K60" s="19">
        <f>IF($B60="","",N($I60)-N($F60))</f>
        <v/>
      </c>
      <c r="L60" s="21">
        <f>IF($B60="","",IF(N(내역서!$F60)=0,"신규",IF($K60&lt;0,"감소",IF($K60&gt;0,"증가","-"))))</f>
        <v/>
      </c>
      <c r="M60" s="22" t="n"/>
      <c r="N60" s="23" t="n"/>
      <c r="O60" s="24">
        <f>IF($B60="","",IF($L60="감소",$G60,IF($L60="증가",IF($M60="Y",ROUND(($J60+$J60*('설정'!$C$15/100))/2,0),IF(AND($N60&lt;&gt;"",$G60&gt;$N60),$N60,$G60)),IF($L60="신규",IF($M60="Y",ROUND(($J60+$J60*('설정'!$C$15/100))/2,0),ROUND($J60*('설정'!$C$15/100),0)),0))))</f>
        <v/>
      </c>
      <c r="P60" s="24">
        <f>IF($B60="","",ROUND(N($K60)*N($O60),0))</f>
        <v/>
      </c>
      <c r="Q60" s="25">
        <f>IF($B60="","",IF($L60="감소","감소분 → 계약단가",IF(AND($M60="Y",OR($L60="증가",$L60="신규")),"발주기관 요구 → 협의 (불성립 시 (당시단가+당시단가×낙찰률)÷2)",IF($L60="증가",IF(AND($N60&lt;&gt;"",$G60&gt;$N60),"증가분 → 계약단가&gt;예정가격단가 이므로 예정가격단가","증가분 → 계약단가 (낙찰률을 곱하지 않습니다)"),IF($L60="신규","신규비목 → 당시단가 × 낙찰률","")))))</f>
        <v/>
      </c>
      <c r="R60" s="20">
        <f>IF($B60="","",IF(N($O60)=0,0,IF(OR($L60="감소",AND($L60="증가",$M60&lt;&gt;"Y")),IF(N($G60)=0,0,ROUND(N(내역서!$G60)*$O60/$G60,0)),IF(N($J60)=0,0,ROUND(N(내역서!$O60)*$O60/$J60,0)))))</f>
        <v/>
      </c>
      <c r="S60" s="20">
        <f>IF($B60="","",IF(N($O60)=0,0,IF(OR($L60="감소",AND($L60="증가",$M60&lt;&gt;"Y")),IF(N($G60)=0,0,ROUND(N(내역서!$H60)*$O60/$G60,0)),IF(N($J60)=0,0,ROUND(N(내역서!$P60)*$O60/$J60,0)))))</f>
        <v/>
      </c>
      <c r="T60" s="20">
        <f>IF($B60="","",N($O60)-N($R60)-N($S60))</f>
        <v/>
      </c>
      <c r="U60" s="20">
        <f>IF($B60="","",ROUND(N($K60)*N($R60),0))</f>
        <v/>
      </c>
      <c r="V60" s="20">
        <f>IF($B60="","",ROUND(N($K60)*N($S60),0))</f>
        <v/>
      </c>
      <c r="W60" s="20">
        <f>IF($B60="","",N($P60)-N($U60)-N($V60))</f>
        <v/>
      </c>
    </row>
    <row r="61">
      <c r="A61" s="18">
        <f>IF($B61="","",ROW()-4+1)</f>
        <v/>
      </c>
      <c r="B61" s="18">
        <f>내역서!$B61</f>
        <v/>
      </c>
      <c r="C61" s="18">
        <f>IF($B61="","",내역서!$C61)</f>
        <v/>
      </c>
      <c r="D61" s="18">
        <f>IF($B61="","",내역서!$D61)</f>
        <v/>
      </c>
      <c r="E61" s="18">
        <f>IF($B61="","",내역서!$E61)</f>
        <v/>
      </c>
      <c r="F61" s="19">
        <f>IF($B61="","",N(내역서!$F61))</f>
        <v/>
      </c>
      <c r="G61" s="20">
        <f>IF($B61="","",N(내역서!$J61))</f>
        <v/>
      </c>
      <c r="H61" s="20">
        <f>IF($B61="","",N(내역서!$K61))</f>
        <v/>
      </c>
      <c r="I61" s="19">
        <f>IF($B61="","",N(내역서!$N61))</f>
        <v/>
      </c>
      <c r="J61" s="20">
        <f>IF($B61="","",N(내역서!$R61))</f>
        <v/>
      </c>
      <c r="K61" s="19">
        <f>IF($B61="","",N($I61)-N($F61))</f>
        <v/>
      </c>
      <c r="L61" s="21">
        <f>IF($B61="","",IF(N(내역서!$F61)=0,"신규",IF($K61&lt;0,"감소",IF($K61&gt;0,"증가","-"))))</f>
        <v/>
      </c>
      <c r="M61" s="22" t="n"/>
      <c r="N61" s="23" t="n"/>
      <c r="O61" s="24">
        <f>IF($B61="","",IF($L61="감소",$G61,IF($L61="증가",IF($M61="Y",ROUND(($J61+$J61*('설정'!$C$15/100))/2,0),IF(AND($N61&lt;&gt;"",$G61&gt;$N61),$N61,$G61)),IF($L61="신규",IF($M61="Y",ROUND(($J61+$J61*('설정'!$C$15/100))/2,0),ROUND($J61*('설정'!$C$15/100),0)),0))))</f>
        <v/>
      </c>
      <c r="P61" s="24">
        <f>IF($B61="","",ROUND(N($K61)*N($O61),0))</f>
        <v/>
      </c>
      <c r="Q61" s="25">
        <f>IF($B61="","",IF($L61="감소","감소분 → 계약단가",IF(AND($M61="Y",OR($L61="증가",$L61="신규")),"발주기관 요구 → 협의 (불성립 시 (당시단가+당시단가×낙찰률)÷2)",IF($L61="증가",IF(AND($N61&lt;&gt;"",$G61&gt;$N61),"증가분 → 계약단가&gt;예정가격단가 이므로 예정가격단가","증가분 → 계약단가 (낙찰률을 곱하지 않습니다)"),IF($L61="신규","신규비목 → 당시단가 × 낙찰률","")))))</f>
        <v/>
      </c>
      <c r="R61" s="20">
        <f>IF($B61="","",IF(N($O61)=0,0,IF(OR($L61="감소",AND($L61="증가",$M61&lt;&gt;"Y")),IF(N($G61)=0,0,ROUND(N(내역서!$G61)*$O61/$G61,0)),IF(N($J61)=0,0,ROUND(N(내역서!$O61)*$O61/$J61,0)))))</f>
        <v/>
      </c>
      <c r="S61" s="20">
        <f>IF($B61="","",IF(N($O61)=0,0,IF(OR($L61="감소",AND($L61="증가",$M61&lt;&gt;"Y")),IF(N($G61)=0,0,ROUND(N(내역서!$H61)*$O61/$G61,0)),IF(N($J61)=0,0,ROUND(N(내역서!$P61)*$O61/$J61,0)))))</f>
        <v/>
      </c>
      <c r="T61" s="20">
        <f>IF($B61="","",N($O61)-N($R61)-N($S61))</f>
        <v/>
      </c>
      <c r="U61" s="20">
        <f>IF($B61="","",ROUND(N($K61)*N($R61),0))</f>
        <v/>
      </c>
      <c r="V61" s="20">
        <f>IF($B61="","",ROUND(N($K61)*N($S61),0))</f>
        <v/>
      </c>
      <c r="W61" s="20">
        <f>IF($B61="","",N($P61)-N($U61)-N($V61))</f>
        <v/>
      </c>
    </row>
    <row r="62">
      <c r="A62" s="18">
        <f>IF($B62="","",ROW()-4+1)</f>
        <v/>
      </c>
      <c r="B62" s="18">
        <f>내역서!$B62</f>
        <v/>
      </c>
      <c r="C62" s="18">
        <f>IF($B62="","",내역서!$C62)</f>
        <v/>
      </c>
      <c r="D62" s="18">
        <f>IF($B62="","",내역서!$D62)</f>
        <v/>
      </c>
      <c r="E62" s="18">
        <f>IF($B62="","",내역서!$E62)</f>
        <v/>
      </c>
      <c r="F62" s="19">
        <f>IF($B62="","",N(내역서!$F62))</f>
        <v/>
      </c>
      <c r="G62" s="20">
        <f>IF($B62="","",N(내역서!$J62))</f>
        <v/>
      </c>
      <c r="H62" s="20">
        <f>IF($B62="","",N(내역서!$K62))</f>
        <v/>
      </c>
      <c r="I62" s="19">
        <f>IF($B62="","",N(내역서!$N62))</f>
        <v/>
      </c>
      <c r="J62" s="20">
        <f>IF($B62="","",N(내역서!$R62))</f>
        <v/>
      </c>
      <c r="K62" s="19">
        <f>IF($B62="","",N($I62)-N($F62))</f>
        <v/>
      </c>
      <c r="L62" s="21">
        <f>IF($B62="","",IF(N(내역서!$F62)=0,"신규",IF($K62&lt;0,"감소",IF($K62&gt;0,"증가","-"))))</f>
        <v/>
      </c>
      <c r="M62" s="22" t="n"/>
      <c r="N62" s="23" t="n"/>
      <c r="O62" s="24">
        <f>IF($B62="","",IF($L62="감소",$G62,IF($L62="증가",IF($M62="Y",ROUND(($J62+$J62*('설정'!$C$15/100))/2,0),IF(AND($N62&lt;&gt;"",$G62&gt;$N62),$N62,$G62)),IF($L62="신규",IF($M62="Y",ROUND(($J62+$J62*('설정'!$C$15/100))/2,0),ROUND($J62*('설정'!$C$15/100),0)),0))))</f>
        <v/>
      </c>
      <c r="P62" s="24">
        <f>IF($B62="","",ROUND(N($K62)*N($O62),0))</f>
        <v/>
      </c>
      <c r="Q62" s="25">
        <f>IF($B62="","",IF($L62="감소","감소분 → 계약단가",IF(AND($M62="Y",OR($L62="증가",$L62="신규")),"발주기관 요구 → 협의 (불성립 시 (당시단가+당시단가×낙찰률)÷2)",IF($L62="증가",IF(AND($N62&lt;&gt;"",$G62&gt;$N62),"증가분 → 계약단가&gt;예정가격단가 이므로 예정가격단가","증가분 → 계약단가 (낙찰률을 곱하지 않습니다)"),IF($L62="신규","신규비목 → 당시단가 × 낙찰률","")))))</f>
        <v/>
      </c>
      <c r="R62" s="20">
        <f>IF($B62="","",IF(N($O62)=0,0,IF(OR($L62="감소",AND($L62="증가",$M62&lt;&gt;"Y")),IF(N($G62)=0,0,ROUND(N(내역서!$G62)*$O62/$G62,0)),IF(N($J62)=0,0,ROUND(N(내역서!$O62)*$O62/$J62,0)))))</f>
        <v/>
      </c>
      <c r="S62" s="20">
        <f>IF($B62="","",IF(N($O62)=0,0,IF(OR($L62="감소",AND($L62="증가",$M62&lt;&gt;"Y")),IF(N($G62)=0,0,ROUND(N(내역서!$H62)*$O62/$G62,0)),IF(N($J62)=0,0,ROUND(N(내역서!$P62)*$O62/$J62,0)))))</f>
        <v/>
      </c>
      <c r="T62" s="20">
        <f>IF($B62="","",N($O62)-N($R62)-N($S62))</f>
        <v/>
      </c>
      <c r="U62" s="20">
        <f>IF($B62="","",ROUND(N($K62)*N($R62),0))</f>
        <v/>
      </c>
      <c r="V62" s="20">
        <f>IF($B62="","",ROUND(N($K62)*N($S62),0))</f>
        <v/>
      </c>
      <c r="W62" s="20">
        <f>IF($B62="","",N($P62)-N($U62)-N($V62))</f>
        <v/>
      </c>
    </row>
    <row r="63">
      <c r="A63" s="18">
        <f>IF($B63="","",ROW()-4+1)</f>
        <v/>
      </c>
      <c r="B63" s="18">
        <f>내역서!$B63</f>
        <v/>
      </c>
      <c r="C63" s="18">
        <f>IF($B63="","",내역서!$C63)</f>
        <v/>
      </c>
      <c r="D63" s="18">
        <f>IF($B63="","",내역서!$D63)</f>
        <v/>
      </c>
      <c r="E63" s="18">
        <f>IF($B63="","",내역서!$E63)</f>
        <v/>
      </c>
      <c r="F63" s="19">
        <f>IF($B63="","",N(내역서!$F63))</f>
        <v/>
      </c>
      <c r="G63" s="20">
        <f>IF($B63="","",N(내역서!$J63))</f>
        <v/>
      </c>
      <c r="H63" s="20">
        <f>IF($B63="","",N(내역서!$K63))</f>
        <v/>
      </c>
      <c r="I63" s="19">
        <f>IF($B63="","",N(내역서!$N63))</f>
        <v/>
      </c>
      <c r="J63" s="20">
        <f>IF($B63="","",N(내역서!$R63))</f>
        <v/>
      </c>
      <c r="K63" s="19">
        <f>IF($B63="","",N($I63)-N($F63))</f>
        <v/>
      </c>
      <c r="L63" s="21">
        <f>IF($B63="","",IF(N(내역서!$F63)=0,"신규",IF($K63&lt;0,"감소",IF($K63&gt;0,"증가","-"))))</f>
        <v/>
      </c>
      <c r="M63" s="22" t="n"/>
      <c r="N63" s="23" t="n"/>
      <c r="O63" s="24">
        <f>IF($B63="","",IF($L63="감소",$G63,IF($L63="증가",IF($M63="Y",ROUND(($J63+$J63*('설정'!$C$15/100))/2,0),IF(AND($N63&lt;&gt;"",$G63&gt;$N63),$N63,$G63)),IF($L63="신규",IF($M63="Y",ROUND(($J63+$J63*('설정'!$C$15/100))/2,0),ROUND($J63*('설정'!$C$15/100),0)),0))))</f>
        <v/>
      </c>
      <c r="P63" s="24">
        <f>IF($B63="","",ROUND(N($K63)*N($O63),0))</f>
        <v/>
      </c>
      <c r="Q63" s="25">
        <f>IF($B63="","",IF($L63="감소","감소분 → 계약단가",IF(AND($M63="Y",OR($L63="증가",$L63="신규")),"발주기관 요구 → 협의 (불성립 시 (당시단가+당시단가×낙찰률)÷2)",IF($L63="증가",IF(AND($N63&lt;&gt;"",$G63&gt;$N63),"증가분 → 계약단가&gt;예정가격단가 이므로 예정가격단가","증가분 → 계약단가 (낙찰률을 곱하지 않습니다)"),IF($L63="신규","신규비목 → 당시단가 × 낙찰률","")))))</f>
        <v/>
      </c>
      <c r="R63" s="20">
        <f>IF($B63="","",IF(N($O63)=0,0,IF(OR($L63="감소",AND($L63="증가",$M63&lt;&gt;"Y")),IF(N($G63)=0,0,ROUND(N(내역서!$G63)*$O63/$G63,0)),IF(N($J63)=0,0,ROUND(N(내역서!$O63)*$O63/$J63,0)))))</f>
        <v/>
      </c>
      <c r="S63" s="20">
        <f>IF($B63="","",IF(N($O63)=0,0,IF(OR($L63="감소",AND($L63="증가",$M63&lt;&gt;"Y")),IF(N($G63)=0,0,ROUND(N(내역서!$H63)*$O63/$G63,0)),IF(N($J63)=0,0,ROUND(N(내역서!$P63)*$O63/$J63,0)))))</f>
        <v/>
      </c>
      <c r="T63" s="20">
        <f>IF($B63="","",N($O63)-N($R63)-N($S63))</f>
        <v/>
      </c>
      <c r="U63" s="20">
        <f>IF($B63="","",ROUND(N($K63)*N($R63),0))</f>
        <v/>
      </c>
      <c r="V63" s="20">
        <f>IF($B63="","",ROUND(N($K63)*N($S63),0))</f>
        <v/>
      </c>
      <c r="W63" s="20">
        <f>IF($B63="","",N($P63)-N($U63)-N($V63))</f>
        <v/>
      </c>
    </row>
    <row r="64">
      <c r="A64" s="18">
        <f>IF($B64="","",ROW()-4+1)</f>
        <v/>
      </c>
      <c r="B64" s="18">
        <f>내역서!$B64</f>
        <v/>
      </c>
      <c r="C64" s="18">
        <f>IF($B64="","",내역서!$C64)</f>
        <v/>
      </c>
      <c r="D64" s="18">
        <f>IF($B64="","",내역서!$D64)</f>
        <v/>
      </c>
      <c r="E64" s="18">
        <f>IF($B64="","",내역서!$E64)</f>
        <v/>
      </c>
      <c r="F64" s="19">
        <f>IF($B64="","",N(내역서!$F64))</f>
        <v/>
      </c>
      <c r="G64" s="20">
        <f>IF($B64="","",N(내역서!$J64))</f>
        <v/>
      </c>
      <c r="H64" s="20">
        <f>IF($B64="","",N(내역서!$K64))</f>
        <v/>
      </c>
      <c r="I64" s="19">
        <f>IF($B64="","",N(내역서!$N64))</f>
        <v/>
      </c>
      <c r="J64" s="20">
        <f>IF($B64="","",N(내역서!$R64))</f>
        <v/>
      </c>
      <c r="K64" s="19">
        <f>IF($B64="","",N($I64)-N($F64))</f>
        <v/>
      </c>
      <c r="L64" s="21">
        <f>IF($B64="","",IF(N(내역서!$F64)=0,"신규",IF($K64&lt;0,"감소",IF($K64&gt;0,"증가","-"))))</f>
        <v/>
      </c>
      <c r="M64" s="22" t="n"/>
      <c r="N64" s="23" t="n"/>
      <c r="O64" s="24">
        <f>IF($B64="","",IF($L64="감소",$G64,IF($L64="증가",IF($M64="Y",ROUND(($J64+$J64*('설정'!$C$15/100))/2,0),IF(AND($N64&lt;&gt;"",$G64&gt;$N64),$N64,$G64)),IF($L64="신규",IF($M64="Y",ROUND(($J64+$J64*('설정'!$C$15/100))/2,0),ROUND($J64*('설정'!$C$15/100),0)),0))))</f>
        <v/>
      </c>
      <c r="P64" s="24">
        <f>IF($B64="","",ROUND(N($K64)*N($O64),0))</f>
        <v/>
      </c>
      <c r="Q64" s="25">
        <f>IF($B64="","",IF($L64="감소","감소분 → 계약단가",IF(AND($M64="Y",OR($L64="증가",$L64="신규")),"발주기관 요구 → 협의 (불성립 시 (당시단가+당시단가×낙찰률)÷2)",IF($L64="증가",IF(AND($N64&lt;&gt;"",$G64&gt;$N64),"증가분 → 계약단가&gt;예정가격단가 이므로 예정가격단가","증가분 → 계약단가 (낙찰률을 곱하지 않습니다)"),IF($L64="신규","신규비목 → 당시단가 × 낙찰률","")))))</f>
        <v/>
      </c>
      <c r="R64" s="20">
        <f>IF($B64="","",IF(N($O64)=0,0,IF(OR($L64="감소",AND($L64="증가",$M64&lt;&gt;"Y")),IF(N($G64)=0,0,ROUND(N(내역서!$G64)*$O64/$G64,0)),IF(N($J64)=0,0,ROUND(N(내역서!$O64)*$O64/$J64,0)))))</f>
        <v/>
      </c>
      <c r="S64" s="20">
        <f>IF($B64="","",IF(N($O64)=0,0,IF(OR($L64="감소",AND($L64="증가",$M64&lt;&gt;"Y")),IF(N($G64)=0,0,ROUND(N(내역서!$H64)*$O64/$G64,0)),IF(N($J64)=0,0,ROUND(N(내역서!$P64)*$O64/$J64,0)))))</f>
        <v/>
      </c>
      <c r="T64" s="20">
        <f>IF($B64="","",N($O64)-N($R64)-N($S64))</f>
        <v/>
      </c>
      <c r="U64" s="20">
        <f>IF($B64="","",ROUND(N($K64)*N($R64),0))</f>
        <v/>
      </c>
      <c r="V64" s="20">
        <f>IF($B64="","",ROUND(N($K64)*N($S64),0))</f>
        <v/>
      </c>
      <c r="W64" s="20">
        <f>IF($B64="","",N($P64)-N($U64)-N($V64))</f>
        <v/>
      </c>
    </row>
    <row r="65">
      <c r="A65" s="18">
        <f>IF($B65="","",ROW()-4+1)</f>
        <v/>
      </c>
      <c r="B65" s="18">
        <f>내역서!$B65</f>
        <v/>
      </c>
      <c r="C65" s="18">
        <f>IF($B65="","",내역서!$C65)</f>
        <v/>
      </c>
      <c r="D65" s="18">
        <f>IF($B65="","",내역서!$D65)</f>
        <v/>
      </c>
      <c r="E65" s="18">
        <f>IF($B65="","",내역서!$E65)</f>
        <v/>
      </c>
      <c r="F65" s="19">
        <f>IF($B65="","",N(내역서!$F65))</f>
        <v/>
      </c>
      <c r="G65" s="20">
        <f>IF($B65="","",N(내역서!$J65))</f>
        <v/>
      </c>
      <c r="H65" s="20">
        <f>IF($B65="","",N(내역서!$K65))</f>
        <v/>
      </c>
      <c r="I65" s="19">
        <f>IF($B65="","",N(내역서!$N65))</f>
        <v/>
      </c>
      <c r="J65" s="20">
        <f>IF($B65="","",N(내역서!$R65))</f>
        <v/>
      </c>
      <c r="K65" s="19">
        <f>IF($B65="","",N($I65)-N($F65))</f>
        <v/>
      </c>
      <c r="L65" s="21">
        <f>IF($B65="","",IF(N(내역서!$F65)=0,"신규",IF($K65&lt;0,"감소",IF($K65&gt;0,"증가","-"))))</f>
        <v/>
      </c>
      <c r="M65" s="22" t="n"/>
      <c r="N65" s="23" t="n"/>
      <c r="O65" s="24">
        <f>IF($B65="","",IF($L65="감소",$G65,IF($L65="증가",IF($M65="Y",ROUND(($J65+$J65*('설정'!$C$15/100))/2,0),IF(AND($N65&lt;&gt;"",$G65&gt;$N65),$N65,$G65)),IF($L65="신규",IF($M65="Y",ROUND(($J65+$J65*('설정'!$C$15/100))/2,0),ROUND($J65*('설정'!$C$15/100),0)),0))))</f>
        <v/>
      </c>
      <c r="P65" s="24">
        <f>IF($B65="","",ROUND(N($K65)*N($O65),0))</f>
        <v/>
      </c>
      <c r="Q65" s="25">
        <f>IF($B65="","",IF($L65="감소","감소분 → 계약단가",IF(AND($M65="Y",OR($L65="증가",$L65="신규")),"발주기관 요구 → 협의 (불성립 시 (당시단가+당시단가×낙찰률)÷2)",IF($L65="증가",IF(AND($N65&lt;&gt;"",$G65&gt;$N65),"증가분 → 계약단가&gt;예정가격단가 이므로 예정가격단가","증가분 → 계약단가 (낙찰률을 곱하지 않습니다)"),IF($L65="신규","신규비목 → 당시단가 × 낙찰률","")))))</f>
        <v/>
      </c>
      <c r="R65" s="20">
        <f>IF($B65="","",IF(N($O65)=0,0,IF(OR($L65="감소",AND($L65="증가",$M65&lt;&gt;"Y")),IF(N($G65)=0,0,ROUND(N(내역서!$G65)*$O65/$G65,0)),IF(N($J65)=0,0,ROUND(N(내역서!$O65)*$O65/$J65,0)))))</f>
        <v/>
      </c>
      <c r="S65" s="20">
        <f>IF($B65="","",IF(N($O65)=0,0,IF(OR($L65="감소",AND($L65="증가",$M65&lt;&gt;"Y")),IF(N($G65)=0,0,ROUND(N(내역서!$H65)*$O65/$G65,0)),IF(N($J65)=0,0,ROUND(N(내역서!$P65)*$O65/$J65,0)))))</f>
        <v/>
      </c>
      <c r="T65" s="20">
        <f>IF($B65="","",N($O65)-N($R65)-N($S65))</f>
        <v/>
      </c>
      <c r="U65" s="20">
        <f>IF($B65="","",ROUND(N($K65)*N($R65),0))</f>
        <v/>
      </c>
      <c r="V65" s="20">
        <f>IF($B65="","",ROUND(N($K65)*N($S65),0))</f>
        <v/>
      </c>
      <c r="W65" s="20">
        <f>IF($B65="","",N($P65)-N($U65)-N($V65))</f>
        <v/>
      </c>
    </row>
    <row r="66">
      <c r="A66" s="18">
        <f>IF($B66="","",ROW()-4+1)</f>
        <v/>
      </c>
      <c r="B66" s="18">
        <f>내역서!$B66</f>
        <v/>
      </c>
      <c r="C66" s="18">
        <f>IF($B66="","",내역서!$C66)</f>
        <v/>
      </c>
      <c r="D66" s="18">
        <f>IF($B66="","",내역서!$D66)</f>
        <v/>
      </c>
      <c r="E66" s="18">
        <f>IF($B66="","",내역서!$E66)</f>
        <v/>
      </c>
      <c r="F66" s="19">
        <f>IF($B66="","",N(내역서!$F66))</f>
        <v/>
      </c>
      <c r="G66" s="20">
        <f>IF($B66="","",N(내역서!$J66))</f>
        <v/>
      </c>
      <c r="H66" s="20">
        <f>IF($B66="","",N(내역서!$K66))</f>
        <v/>
      </c>
      <c r="I66" s="19">
        <f>IF($B66="","",N(내역서!$N66))</f>
        <v/>
      </c>
      <c r="J66" s="20">
        <f>IF($B66="","",N(내역서!$R66))</f>
        <v/>
      </c>
      <c r="K66" s="19">
        <f>IF($B66="","",N($I66)-N($F66))</f>
        <v/>
      </c>
      <c r="L66" s="21">
        <f>IF($B66="","",IF(N(내역서!$F66)=0,"신규",IF($K66&lt;0,"감소",IF($K66&gt;0,"증가","-"))))</f>
        <v/>
      </c>
      <c r="M66" s="22" t="n"/>
      <c r="N66" s="23" t="n"/>
      <c r="O66" s="24">
        <f>IF($B66="","",IF($L66="감소",$G66,IF($L66="증가",IF($M66="Y",ROUND(($J66+$J66*('설정'!$C$15/100))/2,0),IF(AND($N66&lt;&gt;"",$G66&gt;$N66),$N66,$G66)),IF($L66="신규",IF($M66="Y",ROUND(($J66+$J66*('설정'!$C$15/100))/2,0),ROUND($J66*('설정'!$C$15/100),0)),0))))</f>
        <v/>
      </c>
      <c r="P66" s="24">
        <f>IF($B66="","",ROUND(N($K66)*N($O66),0))</f>
        <v/>
      </c>
      <c r="Q66" s="25">
        <f>IF($B66="","",IF($L66="감소","감소분 → 계약단가",IF(AND($M66="Y",OR($L66="증가",$L66="신규")),"발주기관 요구 → 협의 (불성립 시 (당시단가+당시단가×낙찰률)÷2)",IF($L66="증가",IF(AND($N66&lt;&gt;"",$G66&gt;$N66),"증가분 → 계약단가&gt;예정가격단가 이므로 예정가격단가","증가분 → 계약단가 (낙찰률을 곱하지 않습니다)"),IF($L66="신규","신규비목 → 당시단가 × 낙찰률","")))))</f>
        <v/>
      </c>
      <c r="R66" s="20">
        <f>IF($B66="","",IF(N($O66)=0,0,IF(OR($L66="감소",AND($L66="증가",$M66&lt;&gt;"Y")),IF(N($G66)=0,0,ROUND(N(내역서!$G66)*$O66/$G66,0)),IF(N($J66)=0,0,ROUND(N(내역서!$O66)*$O66/$J66,0)))))</f>
        <v/>
      </c>
      <c r="S66" s="20">
        <f>IF($B66="","",IF(N($O66)=0,0,IF(OR($L66="감소",AND($L66="증가",$M66&lt;&gt;"Y")),IF(N($G66)=0,0,ROUND(N(내역서!$H66)*$O66/$G66,0)),IF(N($J66)=0,0,ROUND(N(내역서!$P66)*$O66/$J66,0)))))</f>
        <v/>
      </c>
      <c r="T66" s="20">
        <f>IF($B66="","",N($O66)-N($R66)-N($S66))</f>
        <v/>
      </c>
      <c r="U66" s="20">
        <f>IF($B66="","",ROUND(N($K66)*N($R66),0))</f>
        <v/>
      </c>
      <c r="V66" s="20">
        <f>IF($B66="","",ROUND(N($K66)*N($S66),0))</f>
        <v/>
      </c>
      <c r="W66" s="20">
        <f>IF($B66="","",N($P66)-N($U66)-N($V66))</f>
        <v/>
      </c>
    </row>
    <row r="67">
      <c r="A67" s="18">
        <f>IF($B67="","",ROW()-4+1)</f>
        <v/>
      </c>
      <c r="B67" s="18">
        <f>내역서!$B67</f>
        <v/>
      </c>
      <c r="C67" s="18">
        <f>IF($B67="","",내역서!$C67)</f>
        <v/>
      </c>
      <c r="D67" s="18">
        <f>IF($B67="","",내역서!$D67)</f>
        <v/>
      </c>
      <c r="E67" s="18">
        <f>IF($B67="","",내역서!$E67)</f>
        <v/>
      </c>
      <c r="F67" s="19">
        <f>IF($B67="","",N(내역서!$F67))</f>
        <v/>
      </c>
      <c r="G67" s="20">
        <f>IF($B67="","",N(내역서!$J67))</f>
        <v/>
      </c>
      <c r="H67" s="20">
        <f>IF($B67="","",N(내역서!$K67))</f>
        <v/>
      </c>
      <c r="I67" s="19">
        <f>IF($B67="","",N(내역서!$N67))</f>
        <v/>
      </c>
      <c r="J67" s="20">
        <f>IF($B67="","",N(내역서!$R67))</f>
        <v/>
      </c>
      <c r="K67" s="19">
        <f>IF($B67="","",N($I67)-N($F67))</f>
        <v/>
      </c>
      <c r="L67" s="21">
        <f>IF($B67="","",IF(N(내역서!$F67)=0,"신규",IF($K67&lt;0,"감소",IF($K67&gt;0,"증가","-"))))</f>
        <v/>
      </c>
      <c r="M67" s="22" t="n"/>
      <c r="N67" s="23" t="n"/>
      <c r="O67" s="24">
        <f>IF($B67="","",IF($L67="감소",$G67,IF($L67="증가",IF($M67="Y",ROUND(($J67+$J67*('설정'!$C$15/100))/2,0),IF(AND($N67&lt;&gt;"",$G67&gt;$N67),$N67,$G67)),IF($L67="신규",IF($M67="Y",ROUND(($J67+$J67*('설정'!$C$15/100))/2,0),ROUND($J67*('설정'!$C$15/100),0)),0))))</f>
        <v/>
      </c>
      <c r="P67" s="24">
        <f>IF($B67="","",ROUND(N($K67)*N($O67),0))</f>
        <v/>
      </c>
      <c r="Q67" s="25">
        <f>IF($B67="","",IF($L67="감소","감소분 → 계약단가",IF(AND($M67="Y",OR($L67="증가",$L67="신규")),"발주기관 요구 → 협의 (불성립 시 (당시단가+당시단가×낙찰률)÷2)",IF($L67="증가",IF(AND($N67&lt;&gt;"",$G67&gt;$N67),"증가분 → 계약단가&gt;예정가격단가 이므로 예정가격단가","증가분 → 계약단가 (낙찰률을 곱하지 않습니다)"),IF($L67="신규","신규비목 → 당시단가 × 낙찰률","")))))</f>
        <v/>
      </c>
      <c r="R67" s="20">
        <f>IF($B67="","",IF(N($O67)=0,0,IF(OR($L67="감소",AND($L67="증가",$M67&lt;&gt;"Y")),IF(N($G67)=0,0,ROUND(N(내역서!$G67)*$O67/$G67,0)),IF(N($J67)=0,0,ROUND(N(내역서!$O67)*$O67/$J67,0)))))</f>
        <v/>
      </c>
      <c r="S67" s="20">
        <f>IF($B67="","",IF(N($O67)=0,0,IF(OR($L67="감소",AND($L67="증가",$M67&lt;&gt;"Y")),IF(N($G67)=0,0,ROUND(N(내역서!$H67)*$O67/$G67,0)),IF(N($J67)=0,0,ROUND(N(내역서!$P67)*$O67/$J67,0)))))</f>
        <v/>
      </c>
      <c r="T67" s="20">
        <f>IF($B67="","",N($O67)-N($R67)-N($S67))</f>
        <v/>
      </c>
      <c r="U67" s="20">
        <f>IF($B67="","",ROUND(N($K67)*N($R67),0))</f>
        <v/>
      </c>
      <c r="V67" s="20">
        <f>IF($B67="","",ROUND(N($K67)*N($S67),0))</f>
        <v/>
      </c>
      <c r="W67" s="20">
        <f>IF($B67="","",N($P67)-N($U67)-N($V67))</f>
        <v/>
      </c>
    </row>
    <row r="68">
      <c r="A68" s="18">
        <f>IF($B68="","",ROW()-4+1)</f>
        <v/>
      </c>
      <c r="B68" s="18">
        <f>내역서!$B68</f>
        <v/>
      </c>
      <c r="C68" s="18">
        <f>IF($B68="","",내역서!$C68)</f>
        <v/>
      </c>
      <c r="D68" s="18">
        <f>IF($B68="","",내역서!$D68)</f>
        <v/>
      </c>
      <c r="E68" s="18">
        <f>IF($B68="","",내역서!$E68)</f>
        <v/>
      </c>
      <c r="F68" s="19">
        <f>IF($B68="","",N(내역서!$F68))</f>
        <v/>
      </c>
      <c r="G68" s="20">
        <f>IF($B68="","",N(내역서!$J68))</f>
        <v/>
      </c>
      <c r="H68" s="20">
        <f>IF($B68="","",N(내역서!$K68))</f>
        <v/>
      </c>
      <c r="I68" s="19">
        <f>IF($B68="","",N(내역서!$N68))</f>
        <v/>
      </c>
      <c r="J68" s="20">
        <f>IF($B68="","",N(내역서!$R68))</f>
        <v/>
      </c>
      <c r="K68" s="19">
        <f>IF($B68="","",N($I68)-N($F68))</f>
        <v/>
      </c>
      <c r="L68" s="21">
        <f>IF($B68="","",IF(N(내역서!$F68)=0,"신규",IF($K68&lt;0,"감소",IF($K68&gt;0,"증가","-"))))</f>
        <v/>
      </c>
      <c r="M68" s="22" t="n"/>
      <c r="N68" s="23" t="n"/>
      <c r="O68" s="24">
        <f>IF($B68="","",IF($L68="감소",$G68,IF($L68="증가",IF($M68="Y",ROUND(($J68+$J68*('설정'!$C$15/100))/2,0),IF(AND($N68&lt;&gt;"",$G68&gt;$N68),$N68,$G68)),IF($L68="신규",IF($M68="Y",ROUND(($J68+$J68*('설정'!$C$15/100))/2,0),ROUND($J68*('설정'!$C$15/100),0)),0))))</f>
        <v/>
      </c>
      <c r="P68" s="24">
        <f>IF($B68="","",ROUND(N($K68)*N($O68),0))</f>
        <v/>
      </c>
      <c r="Q68" s="25">
        <f>IF($B68="","",IF($L68="감소","감소분 → 계약단가",IF(AND($M68="Y",OR($L68="증가",$L68="신규")),"발주기관 요구 → 협의 (불성립 시 (당시단가+당시단가×낙찰률)÷2)",IF($L68="증가",IF(AND($N68&lt;&gt;"",$G68&gt;$N68),"증가분 → 계약단가&gt;예정가격단가 이므로 예정가격단가","증가분 → 계약단가 (낙찰률을 곱하지 않습니다)"),IF($L68="신규","신규비목 → 당시단가 × 낙찰률","")))))</f>
        <v/>
      </c>
      <c r="R68" s="20">
        <f>IF($B68="","",IF(N($O68)=0,0,IF(OR($L68="감소",AND($L68="증가",$M68&lt;&gt;"Y")),IF(N($G68)=0,0,ROUND(N(내역서!$G68)*$O68/$G68,0)),IF(N($J68)=0,0,ROUND(N(내역서!$O68)*$O68/$J68,0)))))</f>
        <v/>
      </c>
      <c r="S68" s="20">
        <f>IF($B68="","",IF(N($O68)=0,0,IF(OR($L68="감소",AND($L68="증가",$M68&lt;&gt;"Y")),IF(N($G68)=0,0,ROUND(N(내역서!$H68)*$O68/$G68,0)),IF(N($J68)=0,0,ROUND(N(내역서!$P68)*$O68/$J68,0)))))</f>
        <v/>
      </c>
      <c r="T68" s="20">
        <f>IF($B68="","",N($O68)-N($R68)-N($S68))</f>
        <v/>
      </c>
      <c r="U68" s="20">
        <f>IF($B68="","",ROUND(N($K68)*N($R68),0))</f>
        <v/>
      </c>
      <c r="V68" s="20">
        <f>IF($B68="","",ROUND(N($K68)*N($S68),0))</f>
        <v/>
      </c>
      <c r="W68" s="20">
        <f>IF($B68="","",N($P68)-N($U68)-N($V68))</f>
        <v/>
      </c>
    </row>
    <row r="69">
      <c r="A69" s="18">
        <f>IF($B69="","",ROW()-4+1)</f>
        <v/>
      </c>
      <c r="B69" s="18">
        <f>내역서!$B69</f>
        <v/>
      </c>
      <c r="C69" s="18">
        <f>IF($B69="","",내역서!$C69)</f>
        <v/>
      </c>
      <c r="D69" s="18">
        <f>IF($B69="","",내역서!$D69)</f>
        <v/>
      </c>
      <c r="E69" s="18">
        <f>IF($B69="","",내역서!$E69)</f>
        <v/>
      </c>
      <c r="F69" s="19">
        <f>IF($B69="","",N(내역서!$F69))</f>
        <v/>
      </c>
      <c r="G69" s="20">
        <f>IF($B69="","",N(내역서!$J69))</f>
        <v/>
      </c>
      <c r="H69" s="20">
        <f>IF($B69="","",N(내역서!$K69))</f>
        <v/>
      </c>
      <c r="I69" s="19">
        <f>IF($B69="","",N(내역서!$N69))</f>
        <v/>
      </c>
      <c r="J69" s="20">
        <f>IF($B69="","",N(내역서!$R69))</f>
        <v/>
      </c>
      <c r="K69" s="19">
        <f>IF($B69="","",N($I69)-N($F69))</f>
        <v/>
      </c>
      <c r="L69" s="21">
        <f>IF($B69="","",IF(N(내역서!$F69)=0,"신규",IF($K69&lt;0,"감소",IF($K69&gt;0,"증가","-"))))</f>
        <v/>
      </c>
      <c r="M69" s="22" t="n"/>
      <c r="N69" s="23" t="n"/>
      <c r="O69" s="24">
        <f>IF($B69="","",IF($L69="감소",$G69,IF($L69="증가",IF($M69="Y",ROUND(($J69+$J69*('설정'!$C$15/100))/2,0),IF(AND($N69&lt;&gt;"",$G69&gt;$N69),$N69,$G69)),IF($L69="신규",IF($M69="Y",ROUND(($J69+$J69*('설정'!$C$15/100))/2,0),ROUND($J69*('설정'!$C$15/100),0)),0))))</f>
        <v/>
      </c>
      <c r="P69" s="24">
        <f>IF($B69="","",ROUND(N($K69)*N($O69),0))</f>
        <v/>
      </c>
      <c r="Q69" s="25">
        <f>IF($B69="","",IF($L69="감소","감소분 → 계약단가",IF(AND($M69="Y",OR($L69="증가",$L69="신규")),"발주기관 요구 → 협의 (불성립 시 (당시단가+당시단가×낙찰률)÷2)",IF($L69="증가",IF(AND($N69&lt;&gt;"",$G69&gt;$N69),"증가분 → 계약단가&gt;예정가격단가 이므로 예정가격단가","증가분 → 계약단가 (낙찰률을 곱하지 않습니다)"),IF($L69="신규","신규비목 → 당시단가 × 낙찰률","")))))</f>
        <v/>
      </c>
      <c r="R69" s="20">
        <f>IF($B69="","",IF(N($O69)=0,0,IF(OR($L69="감소",AND($L69="증가",$M69&lt;&gt;"Y")),IF(N($G69)=0,0,ROUND(N(내역서!$G69)*$O69/$G69,0)),IF(N($J69)=0,0,ROUND(N(내역서!$O69)*$O69/$J69,0)))))</f>
        <v/>
      </c>
      <c r="S69" s="20">
        <f>IF($B69="","",IF(N($O69)=0,0,IF(OR($L69="감소",AND($L69="증가",$M69&lt;&gt;"Y")),IF(N($G69)=0,0,ROUND(N(내역서!$H69)*$O69/$G69,0)),IF(N($J69)=0,0,ROUND(N(내역서!$P69)*$O69/$J69,0)))))</f>
        <v/>
      </c>
      <c r="T69" s="20">
        <f>IF($B69="","",N($O69)-N($R69)-N($S69))</f>
        <v/>
      </c>
      <c r="U69" s="20">
        <f>IF($B69="","",ROUND(N($K69)*N($R69),0))</f>
        <v/>
      </c>
      <c r="V69" s="20">
        <f>IF($B69="","",ROUND(N($K69)*N($S69),0))</f>
        <v/>
      </c>
      <c r="W69" s="20">
        <f>IF($B69="","",N($P69)-N($U69)-N($V69))</f>
        <v/>
      </c>
    </row>
    <row r="70">
      <c r="A70" s="18">
        <f>IF($B70="","",ROW()-4+1)</f>
        <v/>
      </c>
      <c r="B70" s="18">
        <f>내역서!$B70</f>
        <v/>
      </c>
      <c r="C70" s="18">
        <f>IF($B70="","",내역서!$C70)</f>
        <v/>
      </c>
      <c r="D70" s="18">
        <f>IF($B70="","",내역서!$D70)</f>
        <v/>
      </c>
      <c r="E70" s="18">
        <f>IF($B70="","",내역서!$E70)</f>
        <v/>
      </c>
      <c r="F70" s="19">
        <f>IF($B70="","",N(내역서!$F70))</f>
        <v/>
      </c>
      <c r="G70" s="20">
        <f>IF($B70="","",N(내역서!$J70))</f>
        <v/>
      </c>
      <c r="H70" s="20">
        <f>IF($B70="","",N(내역서!$K70))</f>
        <v/>
      </c>
      <c r="I70" s="19">
        <f>IF($B70="","",N(내역서!$N70))</f>
        <v/>
      </c>
      <c r="J70" s="20">
        <f>IF($B70="","",N(내역서!$R70))</f>
        <v/>
      </c>
      <c r="K70" s="19">
        <f>IF($B70="","",N($I70)-N($F70))</f>
        <v/>
      </c>
      <c r="L70" s="21">
        <f>IF($B70="","",IF(N(내역서!$F70)=0,"신규",IF($K70&lt;0,"감소",IF($K70&gt;0,"증가","-"))))</f>
        <v/>
      </c>
      <c r="M70" s="22" t="n"/>
      <c r="N70" s="23" t="n"/>
      <c r="O70" s="24">
        <f>IF($B70="","",IF($L70="감소",$G70,IF($L70="증가",IF($M70="Y",ROUND(($J70+$J70*('설정'!$C$15/100))/2,0),IF(AND($N70&lt;&gt;"",$G70&gt;$N70),$N70,$G70)),IF($L70="신규",IF($M70="Y",ROUND(($J70+$J70*('설정'!$C$15/100))/2,0),ROUND($J70*('설정'!$C$15/100),0)),0))))</f>
        <v/>
      </c>
      <c r="P70" s="24">
        <f>IF($B70="","",ROUND(N($K70)*N($O70),0))</f>
        <v/>
      </c>
      <c r="Q70" s="25">
        <f>IF($B70="","",IF($L70="감소","감소분 → 계약단가",IF(AND($M70="Y",OR($L70="증가",$L70="신규")),"발주기관 요구 → 협의 (불성립 시 (당시단가+당시단가×낙찰률)÷2)",IF($L70="증가",IF(AND($N70&lt;&gt;"",$G70&gt;$N70),"증가분 → 계약단가&gt;예정가격단가 이므로 예정가격단가","증가분 → 계약단가 (낙찰률을 곱하지 않습니다)"),IF($L70="신규","신규비목 → 당시단가 × 낙찰률","")))))</f>
        <v/>
      </c>
      <c r="R70" s="20">
        <f>IF($B70="","",IF(N($O70)=0,0,IF(OR($L70="감소",AND($L70="증가",$M70&lt;&gt;"Y")),IF(N($G70)=0,0,ROUND(N(내역서!$G70)*$O70/$G70,0)),IF(N($J70)=0,0,ROUND(N(내역서!$O70)*$O70/$J70,0)))))</f>
        <v/>
      </c>
      <c r="S70" s="20">
        <f>IF($B70="","",IF(N($O70)=0,0,IF(OR($L70="감소",AND($L70="증가",$M70&lt;&gt;"Y")),IF(N($G70)=0,0,ROUND(N(내역서!$H70)*$O70/$G70,0)),IF(N($J70)=0,0,ROUND(N(내역서!$P70)*$O70/$J70,0)))))</f>
        <v/>
      </c>
      <c r="T70" s="20">
        <f>IF($B70="","",N($O70)-N($R70)-N($S70))</f>
        <v/>
      </c>
      <c r="U70" s="20">
        <f>IF($B70="","",ROUND(N($K70)*N($R70),0))</f>
        <v/>
      </c>
      <c r="V70" s="20">
        <f>IF($B70="","",ROUND(N($K70)*N($S70),0))</f>
        <v/>
      </c>
      <c r="W70" s="20">
        <f>IF($B70="","",N($P70)-N($U70)-N($V70))</f>
        <v/>
      </c>
    </row>
    <row r="71">
      <c r="A71" s="18">
        <f>IF($B71="","",ROW()-4+1)</f>
        <v/>
      </c>
      <c r="B71" s="18">
        <f>내역서!$B71</f>
        <v/>
      </c>
      <c r="C71" s="18">
        <f>IF($B71="","",내역서!$C71)</f>
        <v/>
      </c>
      <c r="D71" s="18">
        <f>IF($B71="","",내역서!$D71)</f>
        <v/>
      </c>
      <c r="E71" s="18">
        <f>IF($B71="","",내역서!$E71)</f>
        <v/>
      </c>
      <c r="F71" s="19">
        <f>IF($B71="","",N(내역서!$F71))</f>
        <v/>
      </c>
      <c r="G71" s="20">
        <f>IF($B71="","",N(내역서!$J71))</f>
        <v/>
      </c>
      <c r="H71" s="20">
        <f>IF($B71="","",N(내역서!$K71))</f>
        <v/>
      </c>
      <c r="I71" s="19">
        <f>IF($B71="","",N(내역서!$N71))</f>
        <v/>
      </c>
      <c r="J71" s="20">
        <f>IF($B71="","",N(내역서!$R71))</f>
        <v/>
      </c>
      <c r="K71" s="19">
        <f>IF($B71="","",N($I71)-N($F71))</f>
        <v/>
      </c>
      <c r="L71" s="21">
        <f>IF($B71="","",IF(N(내역서!$F71)=0,"신규",IF($K71&lt;0,"감소",IF($K71&gt;0,"증가","-"))))</f>
        <v/>
      </c>
      <c r="M71" s="22" t="n"/>
      <c r="N71" s="23" t="n"/>
      <c r="O71" s="24">
        <f>IF($B71="","",IF($L71="감소",$G71,IF($L71="증가",IF($M71="Y",ROUND(($J71+$J71*('설정'!$C$15/100))/2,0),IF(AND($N71&lt;&gt;"",$G71&gt;$N71),$N71,$G71)),IF($L71="신규",IF($M71="Y",ROUND(($J71+$J71*('설정'!$C$15/100))/2,0),ROUND($J71*('설정'!$C$15/100),0)),0))))</f>
        <v/>
      </c>
      <c r="P71" s="24">
        <f>IF($B71="","",ROUND(N($K71)*N($O71),0))</f>
        <v/>
      </c>
      <c r="Q71" s="25">
        <f>IF($B71="","",IF($L71="감소","감소분 → 계약단가",IF(AND($M71="Y",OR($L71="증가",$L71="신규")),"발주기관 요구 → 협의 (불성립 시 (당시단가+당시단가×낙찰률)÷2)",IF($L71="증가",IF(AND($N71&lt;&gt;"",$G71&gt;$N71),"증가분 → 계약단가&gt;예정가격단가 이므로 예정가격단가","증가분 → 계약단가 (낙찰률을 곱하지 않습니다)"),IF($L71="신규","신규비목 → 당시단가 × 낙찰률","")))))</f>
        <v/>
      </c>
      <c r="R71" s="20">
        <f>IF($B71="","",IF(N($O71)=0,0,IF(OR($L71="감소",AND($L71="증가",$M71&lt;&gt;"Y")),IF(N($G71)=0,0,ROUND(N(내역서!$G71)*$O71/$G71,0)),IF(N($J71)=0,0,ROUND(N(내역서!$O71)*$O71/$J71,0)))))</f>
        <v/>
      </c>
      <c r="S71" s="20">
        <f>IF($B71="","",IF(N($O71)=0,0,IF(OR($L71="감소",AND($L71="증가",$M71&lt;&gt;"Y")),IF(N($G71)=0,0,ROUND(N(내역서!$H71)*$O71/$G71,0)),IF(N($J71)=0,0,ROUND(N(내역서!$P71)*$O71/$J71,0)))))</f>
        <v/>
      </c>
      <c r="T71" s="20">
        <f>IF($B71="","",N($O71)-N($R71)-N($S71))</f>
        <v/>
      </c>
      <c r="U71" s="20">
        <f>IF($B71="","",ROUND(N($K71)*N($R71),0))</f>
        <v/>
      </c>
      <c r="V71" s="20">
        <f>IF($B71="","",ROUND(N($K71)*N($S71),0))</f>
        <v/>
      </c>
      <c r="W71" s="20">
        <f>IF($B71="","",N($P71)-N($U71)-N($V71))</f>
        <v/>
      </c>
    </row>
    <row r="72">
      <c r="A72" s="18">
        <f>IF($B72="","",ROW()-4+1)</f>
        <v/>
      </c>
      <c r="B72" s="18">
        <f>내역서!$B72</f>
        <v/>
      </c>
      <c r="C72" s="18">
        <f>IF($B72="","",내역서!$C72)</f>
        <v/>
      </c>
      <c r="D72" s="18">
        <f>IF($B72="","",내역서!$D72)</f>
        <v/>
      </c>
      <c r="E72" s="18">
        <f>IF($B72="","",내역서!$E72)</f>
        <v/>
      </c>
      <c r="F72" s="19">
        <f>IF($B72="","",N(내역서!$F72))</f>
        <v/>
      </c>
      <c r="G72" s="20">
        <f>IF($B72="","",N(내역서!$J72))</f>
        <v/>
      </c>
      <c r="H72" s="20">
        <f>IF($B72="","",N(내역서!$K72))</f>
        <v/>
      </c>
      <c r="I72" s="19">
        <f>IF($B72="","",N(내역서!$N72))</f>
        <v/>
      </c>
      <c r="J72" s="20">
        <f>IF($B72="","",N(내역서!$R72))</f>
        <v/>
      </c>
      <c r="K72" s="19">
        <f>IF($B72="","",N($I72)-N($F72))</f>
        <v/>
      </c>
      <c r="L72" s="21">
        <f>IF($B72="","",IF(N(내역서!$F72)=0,"신규",IF($K72&lt;0,"감소",IF($K72&gt;0,"증가","-"))))</f>
        <v/>
      </c>
      <c r="M72" s="22" t="n"/>
      <c r="N72" s="23" t="n"/>
      <c r="O72" s="24">
        <f>IF($B72="","",IF($L72="감소",$G72,IF($L72="증가",IF($M72="Y",ROUND(($J72+$J72*('설정'!$C$15/100))/2,0),IF(AND($N72&lt;&gt;"",$G72&gt;$N72),$N72,$G72)),IF($L72="신규",IF($M72="Y",ROUND(($J72+$J72*('설정'!$C$15/100))/2,0),ROUND($J72*('설정'!$C$15/100),0)),0))))</f>
        <v/>
      </c>
      <c r="P72" s="24">
        <f>IF($B72="","",ROUND(N($K72)*N($O72),0))</f>
        <v/>
      </c>
      <c r="Q72" s="25">
        <f>IF($B72="","",IF($L72="감소","감소분 → 계약단가",IF(AND($M72="Y",OR($L72="증가",$L72="신규")),"발주기관 요구 → 협의 (불성립 시 (당시단가+당시단가×낙찰률)÷2)",IF($L72="증가",IF(AND($N72&lt;&gt;"",$G72&gt;$N72),"증가분 → 계약단가&gt;예정가격단가 이므로 예정가격단가","증가분 → 계약단가 (낙찰률을 곱하지 않습니다)"),IF($L72="신규","신규비목 → 당시단가 × 낙찰률","")))))</f>
        <v/>
      </c>
      <c r="R72" s="20">
        <f>IF($B72="","",IF(N($O72)=0,0,IF(OR($L72="감소",AND($L72="증가",$M72&lt;&gt;"Y")),IF(N($G72)=0,0,ROUND(N(내역서!$G72)*$O72/$G72,0)),IF(N($J72)=0,0,ROUND(N(내역서!$O72)*$O72/$J72,0)))))</f>
        <v/>
      </c>
      <c r="S72" s="20">
        <f>IF($B72="","",IF(N($O72)=0,0,IF(OR($L72="감소",AND($L72="증가",$M72&lt;&gt;"Y")),IF(N($G72)=0,0,ROUND(N(내역서!$H72)*$O72/$G72,0)),IF(N($J72)=0,0,ROUND(N(내역서!$P72)*$O72/$J72,0)))))</f>
        <v/>
      </c>
      <c r="T72" s="20">
        <f>IF($B72="","",N($O72)-N($R72)-N($S72))</f>
        <v/>
      </c>
      <c r="U72" s="20">
        <f>IF($B72="","",ROUND(N($K72)*N($R72),0))</f>
        <v/>
      </c>
      <c r="V72" s="20">
        <f>IF($B72="","",ROUND(N($K72)*N($S72),0))</f>
        <v/>
      </c>
      <c r="W72" s="20">
        <f>IF($B72="","",N($P72)-N($U72)-N($V72))</f>
        <v/>
      </c>
    </row>
    <row r="73">
      <c r="A73" s="18">
        <f>IF($B73="","",ROW()-4+1)</f>
        <v/>
      </c>
      <c r="B73" s="18">
        <f>내역서!$B73</f>
        <v/>
      </c>
      <c r="C73" s="18">
        <f>IF($B73="","",내역서!$C73)</f>
        <v/>
      </c>
      <c r="D73" s="18">
        <f>IF($B73="","",내역서!$D73)</f>
        <v/>
      </c>
      <c r="E73" s="18">
        <f>IF($B73="","",내역서!$E73)</f>
        <v/>
      </c>
      <c r="F73" s="19">
        <f>IF($B73="","",N(내역서!$F73))</f>
        <v/>
      </c>
      <c r="G73" s="20">
        <f>IF($B73="","",N(내역서!$J73))</f>
        <v/>
      </c>
      <c r="H73" s="20">
        <f>IF($B73="","",N(내역서!$K73))</f>
        <v/>
      </c>
      <c r="I73" s="19">
        <f>IF($B73="","",N(내역서!$N73))</f>
        <v/>
      </c>
      <c r="J73" s="20">
        <f>IF($B73="","",N(내역서!$R73))</f>
        <v/>
      </c>
      <c r="K73" s="19">
        <f>IF($B73="","",N($I73)-N($F73))</f>
        <v/>
      </c>
      <c r="L73" s="21">
        <f>IF($B73="","",IF(N(내역서!$F73)=0,"신규",IF($K73&lt;0,"감소",IF($K73&gt;0,"증가","-"))))</f>
        <v/>
      </c>
      <c r="M73" s="22" t="n"/>
      <c r="N73" s="23" t="n"/>
      <c r="O73" s="24">
        <f>IF($B73="","",IF($L73="감소",$G73,IF($L73="증가",IF($M73="Y",ROUND(($J73+$J73*('설정'!$C$15/100))/2,0),IF(AND($N73&lt;&gt;"",$G73&gt;$N73),$N73,$G73)),IF($L73="신규",IF($M73="Y",ROUND(($J73+$J73*('설정'!$C$15/100))/2,0),ROUND($J73*('설정'!$C$15/100),0)),0))))</f>
        <v/>
      </c>
      <c r="P73" s="24">
        <f>IF($B73="","",ROUND(N($K73)*N($O73),0))</f>
        <v/>
      </c>
      <c r="Q73" s="25">
        <f>IF($B73="","",IF($L73="감소","감소분 → 계약단가",IF(AND($M73="Y",OR($L73="증가",$L73="신규")),"발주기관 요구 → 협의 (불성립 시 (당시단가+당시단가×낙찰률)÷2)",IF($L73="증가",IF(AND($N73&lt;&gt;"",$G73&gt;$N73),"증가분 → 계약단가&gt;예정가격단가 이므로 예정가격단가","증가분 → 계약단가 (낙찰률을 곱하지 않습니다)"),IF($L73="신규","신규비목 → 당시단가 × 낙찰률","")))))</f>
        <v/>
      </c>
      <c r="R73" s="20">
        <f>IF($B73="","",IF(N($O73)=0,0,IF(OR($L73="감소",AND($L73="증가",$M73&lt;&gt;"Y")),IF(N($G73)=0,0,ROUND(N(내역서!$G73)*$O73/$G73,0)),IF(N($J73)=0,0,ROUND(N(내역서!$O73)*$O73/$J73,0)))))</f>
        <v/>
      </c>
      <c r="S73" s="20">
        <f>IF($B73="","",IF(N($O73)=0,0,IF(OR($L73="감소",AND($L73="증가",$M73&lt;&gt;"Y")),IF(N($G73)=0,0,ROUND(N(내역서!$H73)*$O73/$G73,0)),IF(N($J73)=0,0,ROUND(N(내역서!$P73)*$O73/$J73,0)))))</f>
        <v/>
      </c>
      <c r="T73" s="20">
        <f>IF($B73="","",N($O73)-N($R73)-N($S73))</f>
        <v/>
      </c>
      <c r="U73" s="20">
        <f>IF($B73="","",ROUND(N($K73)*N($R73),0))</f>
        <v/>
      </c>
      <c r="V73" s="20">
        <f>IF($B73="","",ROUND(N($K73)*N($S73),0))</f>
        <v/>
      </c>
      <c r="W73" s="20">
        <f>IF($B73="","",N($P73)-N($U73)-N($V73))</f>
        <v/>
      </c>
    </row>
    <row r="74">
      <c r="A74" s="18">
        <f>IF($B74="","",ROW()-4+1)</f>
        <v/>
      </c>
      <c r="B74" s="18">
        <f>내역서!$B74</f>
        <v/>
      </c>
      <c r="C74" s="18">
        <f>IF($B74="","",내역서!$C74)</f>
        <v/>
      </c>
      <c r="D74" s="18">
        <f>IF($B74="","",내역서!$D74)</f>
        <v/>
      </c>
      <c r="E74" s="18">
        <f>IF($B74="","",내역서!$E74)</f>
        <v/>
      </c>
      <c r="F74" s="19">
        <f>IF($B74="","",N(내역서!$F74))</f>
        <v/>
      </c>
      <c r="G74" s="20">
        <f>IF($B74="","",N(내역서!$J74))</f>
        <v/>
      </c>
      <c r="H74" s="20">
        <f>IF($B74="","",N(내역서!$K74))</f>
        <v/>
      </c>
      <c r="I74" s="19">
        <f>IF($B74="","",N(내역서!$N74))</f>
        <v/>
      </c>
      <c r="J74" s="20">
        <f>IF($B74="","",N(내역서!$R74))</f>
        <v/>
      </c>
      <c r="K74" s="19">
        <f>IF($B74="","",N($I74)-N($F74))</f>
        <v/>
      </c>
      <c r="L74" s="21">
        <f>IF($B74="","",IF(N(내역서!$F74)=0,"신규",IF($K74&lt;0,"감소",IF($K74&gt;0,"증가","-"))))</f>
        <v/>
      </c>
      <c r="M74" s="22" t="n"/>
      <c r="N74" s="23" t="n"/>
      <c r="O74" s="24">
        <f>IF($B74="","",IF($L74="감소",$G74,IF($L74="증가",IF($M74="Y",ROUND(($J74+$J74*('설정'!$C$15/100))/2,0),IF(AND($N74&lt;&gt;"",$G74&gt;$N74),$N74,$G74)),IF($L74="신규",IF($M74="Y",ROUND(($J74+$J74*('설정'!$C$15/100))/2,0),ROUND($J74*('설정'!$C$15/100),0)),0))))</f>
        <v/>
      </c>
      <c r="P74" s="24">
        <f>IF($B74="","",ROUND(N($K74)*N($O74),0))</f>
        <v/>
      </c>
      <c r="Q74" s="25">
        <f>IF($B74="","",IF($L74="감소","감소분 → 계약단가",IF(AND($M74="Y",OR($L74="증가",$L74="신규")),"발주기관 요구 → 협의 (불성립 시 (당시단가+당시단가×낙찰률)÷2)",IF($L74="증가",IF(AND($N74&lt;&gt;"",$G74&gt;$N74),"증가분 → 계약단가&gt;예정가격단가 이므로 예정가격단가","증가분 → 계약단가 (낙찰률을 곱하지 않습니다)"),IF($L74="신규","신규비목 → 당시단가 × 낙찰률","")))))</f>
        <v/>
      </c>
      <c r="R74" s="20">
        <f>IF($B74="","",IF(N($O74)=0,0,IF(OR($L74="감소",AND($L74="증가",$M74&lt;&gt;"Y")),IF(N($G74)=0,0,ROUND(N(내역서!$G74)*$O74/$G74,0)),IF(N($J74)=0,0,ROUND(N(내역서!$O74)*$O74/$J74,0)))))</f>
        <v/>
      </c>
      <c r="S74" s="20">
        <f>IF($B74="","",IF(N($O74)=0,0,IF(OR($L74="감소",AND($L74="증가",$M74&lt;&gt;"Y")),IF(N($G74)=0,0,ROUND(N(내역서!$H74)*$O74/$G74,0)),IF(N($J74)=0,0,ROUND(N(내역서!$P74)*$O74/$J74,0)))))</f>
        <v/>
      </c>
      <c r="T74" s="20">
        <f>IF($B74="","",N($O74)-N($R74)-N($S74))</f>
        <v/>
      </c>
      <c r="U74" s="20">
        <f>IF($B74="","",ROUND(N($K74)*N($R74),0))</f>
        <v/>
      </c>
      <c r="V74" s="20">
        <f>IF($B74="","",ROUND(N($K74)*N($S74),0))</f>
        <v/>
      </c>
      <c r="W74" s="20">
        <f>IF($B74="","",N($P74)-N($U74)-N($V74))</f>
        <v/>
      </c>
    </row>
    <row r="75">
      <c r="A75" s="18">
        <f>IF($B75="","",ROW()-4+1)</f>
        <v/>
      </c>
      <c r="B75" s="18">
        <f>내역서!$B75</f>
        <v/>
      </c>
      <c r="C75" s="18">
        <f>IF($B75="","",내역서!$C75)</f>
        <v/>
      </c>
      <c r="D75" s="18">
        <f>IF($B75="","",내역서!$D75)</f>
        <v/>
      </c>
      <c r="E75" s="18">
        <f>IF($B75="","",내역서!$E75)</f>
        <v/>
      </c>
      <c r="F75" s="19">
        <f>IF($B75="","",N(내역서!$F75))</f>
        <v/>
      </c>
      <c r="G75" s="20">
        <f>IF($B75="","",N(내역서!$J75))</f>
        <v/>
      </c>
      <c r="H75" s="20">
        <f>IF($B75="","",N(내역서!$K75))</f>
        <v/>
      </c>
      <c r="I75" s="19">
        <f>IF($B75="","",N(내역서!$N75))</f>
        <v/>
      </c>
      <c r="J75" s="20">
        <f>IF($B75="","",N(내역서!$R75))</f>
        <v/>
      </c>
      <c r="K75" s="19">
        <f>IF($B75="","",N($I75)-N($F75))</f>
        <v/>
      </c>
      <c r="L75" s="21">
        <f>IF($B75="","",IF(N(내역서!$F75)=0,"신규",IF($K75&lt;0,"감소",IF($K75&gt;0,"증가","-"))))</f>
        <v/>
      </c>
      <c r="M75" s="22" t="n"/>
      <c r="N75" s="23" t="n"/>
      <c r="O75" s="24">
        <f>IF($B75="","",IF($L75="감소",$G75,IF($L75="증가",IF($M75="Y",ROUND(($J75+$J75*('설정'!$C$15/100))/2,0),IF(AND($N75&lt;&gt;"",$G75&gt;$N75),$N75,$G75)),IF($L75="신규",IF($M75="Y",ROUND(($J75+$J75*('설정'!$C$15/100))/2,0),ROUND($J75*('설정'!$C$15/100),0)),0))))</f>
        <v/>
      </c>
      <c r="P75" s="24">
        <f>IF($B75="","",ROUND(N($K75)*N($O75),0))</f>
        <v/>
      </c>
      <c r="Q75" s="25">
        <f>IF($B75="","",IF($L75="감소","감소분 → 계약단가",IF(AND($M75="Y",OR($L75="증가",$L75="신규")),"발주기관 요구 → 협의 (불성립 시 (당시단가+당시단가×낙찰률)÷2)",IF($L75="증가",IF(AND($N75&lt;&gt;"",$G75&gt;$N75),"증가분 → 계약단가&gt;예정가격단가 이므로 예정가격단가","증가분 → 계약단가 (낙찰률을 곱하지 않습니다)"),IF($L75="신규","신규비목 → 당시단가 × 낙찰률","")))))</f>
        <v/>
      </c>
      <c r="R75" s="20">
        <f>IF($B75="","",IF(N($O75)=0,0,IF(OR($L75="감소",AND($L75="증가",$M75&lt;&gt;"Y")),IF(N($G75)=0,0,ROUND(N(내역서!$G75)*$O75/$G75,0)),IF(N($J75)=0,0,ROUND(N(내역서!$O75)*$O75/$J75,0)))))</f>
        <v/>
      </c>
      <c r="S75" s="20">
        <f>IF($B75="","",IF(N($O75)=0,0,IF(OR($L75="감소",AND($L75="증가",$M75&lt;&gt;"Y")),IF(N($G75)=0,0,ROUND(N(내역서!$H75)*$O75/$G75,0)),IF(N($J75)=0,0,ROUND(N(내역서!$P75)*$O75/$J75,0)))))</f>
        <v/>
      </c>
      <c r="T75" s="20">
        <f>IF($B75="","",N($O75)-N($R75)-N($S75))</f>
        <v/>
      </c>
      <c r="U75" s="20">
        <f>IF($B75="","",ROUND(N($K75)*N($R75),0))</f>
        <v/>
      </c>
      <c r="V75" s="20">
        <f>IF($B75="","",ROUND(N($K75)*N($S75),0))</f>
        <v/>
      </c>
      <c r="W75" s="20">
        <f>IF($B75="","",N($P75)-N($U75)-N($V75))</f>
        <v/>
      </c>
    </row>
    <row r="76">
      <c r="A76" s="18">
        <f>IF($B76="","",ROW()-4+1)</f>
        <v/>
      </c>
      <c r="B76" s="18">
        <f>내역서!$B76</f>
        <v/>
      </c>
      <c r="C76" s="18">
        <f>IF($B76="","",내역서!$C76)</f>
        <v/>
      </c>
      <c r="D76" s="18">
        <f>IF($B76="","",내역서!$D76)</f>
        <v/>
      </c>
      <c r="E76" s="18">
        <f>IF($B76="","",내역서!$E76)</f>
        <v/>
      </c>
      <c r="F76" s="19">
        <f>IF($B76="","",N(내역서!$F76))</f>
        <v/>
      </c>
      <c r="G76" s="20">
        <f>IF($B76="","",N(내역서!$J76))</f>
        <v/>
      </c>
      <c r="H76" s="20">
        <f>IF($B76="","",N(내역서!$K76))</f>
        <v/>
      </c>
      <c r="I76" s="19">
        <f>IF($B76="","",N(내역서!$N76))</f>
        <v/>
      </c>
      <c r="J76" s="20">
        <f>IF($B76="","",N(내역서!$R76))</f>
        <v/>
      </c>
      <c r="K76" s="19">
        <f>IF($B76="","",N($I76)-N($F76))</f>
        <v/>
      </c>
      <c r="L76" s="21">
        <f>IF($B76="","",IF(N(내역서!$F76)=0,"신규",IF($K76&lt;0,"감소",IF($K76&gt;0,"증가","-"))))</f>
        <v/>
      </c>
      <c r="M76" s="22" t="n"/>
      <c r="N76" s="23" t="n"/>
      <c r="O76" s="24">
        <f>IF($B76="","",IF($L76="감소",$G76,IF($L76="증가",IF($M76="Y",ROUND(($J76+$J76*('설정'!$C$15/100))/2,0),IF(AND($N76&lt;&gt;"",$G76&gt;$N76),$N76,$G76)),IF($L76="신규",IF($M76="Y",ROUND(($J76+$J76*('설정'!$C$15/100))/2,0),ROUND($J76*('설정'!$C$15/100),0)),0))))</f>
        <v/>
      </c>
      <c r="P76" s="24">
        <f>IF($B76="","",ROUND(N($K76)*N($O76),0))</f>
        <v/>
      </c>
      <c r="Q76" s="25">
        <f>IF($B76="","",IF($L76="감소","감소분 → 계약단가",IF(AND($M76="Y",OR($L76="증가",$L76="신규")),"발주기관 요구 → 협의 (불성립 시 (당시단가+당시단가×낙찰률)÷2)",IF($L76="증가",IF(AND($N76&lt;&gt;"",$G76&gt;$N76),"증가분 → 계약단가&gt;예정가격단가 이므로 예정가격단가","증가분 → 계약단가 (낙찰률을 곱하지 않습니다)"),IF($L76="신규","신규비목 → 당시단가 × 낙찰률","")))))</f>
        <v/>
      </c>
      <c r="R76" s="20">
        <f>IF($B76="","",IF(N($O76)=0,0,IF(OR($L76="감소",AND($L76="증가",$M76&lt;&gt;"Y")),IF(N($G76)=0,0,ROUND(N(내역서!$G76)*$O76/$G76,0)),IF(N($J76)=0,0,ROUND(N(내역서!$O76)*$O76/$J76,0)))))</f>
        <v/>
      </c>
      <c r="S76" s="20">
        <f>IF($B76="","",IF(N($O76)=0,0,IF(OR($L76="감소",AND($L76="증가",$M76&lt;&gt;"Y")),IF(N($G76)=0,0,ROUND(N(내역서!$H76)*$O76/$G76,0)),IF(N($J76)=0,0,ROUND(N(내역서!$P76)*$O76/$J76,0)))))</f>
        <v/>
      </c>
      <c r="T76" s="20">
        <f>IF($B76="","",N($O76)-N($R76)-N($S76))</f>
        <v/>
      </c>
      <c r="U76" s="20">
        <f>IF($B76="","",ROUND(N($K76)*N($R76),0))</f>
        <v/>
      </c>
      <c r="V76" s="20">
        <f>IF($B76="","",ROUND(N($K76)*N($S76),0))</f>
        <v/>
      </c>
      <c r="W76" s="20">
        <f>IF($B76="","",N($P76)-N($U76)-N($V76))</f>
        <v/>
      </c>
    </row>
    <row r="77">
      <c r="A77" s="18">
        <f>IF($B77="","",ROW()-4+1)</f>
        <v/>
      </c>
      <c r="B77" s="18">
        <f>내역서!$B77</f>
        <v/>
      </c>
      <c r="C77" s="18">
        <f>IF($B77="","",내역서!$C77)</f>
        <v/>
      </c>
      <c r="D77" s="18">
        <f>IF($B77="","",내역서!$D77)</f>
        <v/>
      </c>
      <c r="E77" s="18">
        <f>IF($B77="","",내역서!$E77)</f>
        <v/>
      </c>
      <c r="F77" s="19">
        <f>IF($B77="","",N(내역서!$F77))</f>
        <v/>
      </c>
      <c r="G77" s="20">
        <f>IF($B77="","",N(내역서!$J77))</f>
        <v/>
      </c>
      <c r="H77" s="20">
        <f>IF($B77="","",N(내역서!$K77))</f>
        <v/>
      </c>
      <c r="I77" s="19">
        <f>IF($B77="","",N(내역서!$N77))</f>
        <v/>
      </c>
      <c r="J77" s="20">
        <f>IF($B77="","",N(내역서!$R77))</f>
        <v/>
      </c>
      <c r="K77" s="19">
        <f>IF($B77="","",N($I77)-N($F77))</f>
        <v/>
      </c>
      <c r="L77" s="21">
        <f>IF($B77="","",IF(N(내역서!$F77)=0,"신규",IF($K77&lt;0,"감소",IF($K77&gt;0,"증가","-"))))</f>
        <v/>
      </c>
      <c r="M77" s="22" t="n"/>
      <c r="N77" s="23" t="n"/>
      <c r="O77" s="24">
        <f>IF($B77="","",IF($L77="감소",$G77,IF($L77="증가",IF($M77="Y",ROUND(($J77+$J77*('설정'!$C$15/100))/2,0),IF(AND($N77&lt;&gt;"",$G77&gt;$N77),$N77,$G77)),IF($L77="신규",IF($M77="Y",ROUND(($J77+$J77*('설정'!$C$15/100))/2,0),ROUND($J77*('설정'!$C$15/100),0)),0))))</f>
        <v/>
      </c>
      <c r="P77" s="24">
        <f>IF($B77="","",ROUND(N($K77)*N($O77),0))</f>
        <v/>
      </c>
      <c r="Q77" s="25">
        <f>IF($B77="","",IF($L77="감소","감소분 → 계약단가",IF(AND($M77="Y",OR($L77="증가",$L77="신규")),"발주기관 요구 → 협의 (불성립 시 (당시단가+당시단가×낙찰률)÷2)",IF($L77="증가",IF(AND($N77&lt;&gt;"",$G77&gt;$N77),"증가분 → 계약단가&gt;예정가격단가 이므로 예정가격단가","증가분 → 계약단가 (낙찰률을 곱하지 않습니다)"),IF($L77="신규","신규비목 → 당시단가 × 낙찰률","")))))</f>
        <v/>
      </c>
      <c r="R77" s="20">
        <f>IF($B77="","",IF(N($O77)=0,0,IF(OR($L77="감소",AND($L77="증가",$M77&lt;&gt;"Y")),IF(N($G77)=0,0,ROUND(N(내역서!$G77)*$O77/$G77,0)),IF(N($J77)=0,0,ROUND(N(내역서!$O77)*$O77/$J77,0)))))</f>
        <v/>
      </c>
      <c r="S77" s="20">
        <f>IF($B77="","",IF(N($O77)=0,0,IF(OR($L77="감소",AND($L77="증가",$M77&lt;&gt;"Y")),IF(N($G77)=0,0,ROUND(N(내역서!$H77)*$O77/$G77,0)),IF(N($J77)=0,0,ROUND(N(내역서!$P77)*$O77/$J77,0)))))</f>
        <v/>
      </c>
      <c r="T77" s="20">
        <f>IF($B77="","",N($O77)-N($R77)-N($S77))</f>
        <v/>
      </c>
      <c r="U77" s="20">
        <f>IF($B77="","",ROUND(N($K77)*N($R77),0))</f>
        <v/>
      </c>
      <c r="V77" s="20">
        <f>IF($B77="","",ROUND(N($K77)*N($S77),0))</f>
        <v/>
      </c>
      <c r="W77" s="20">
        <f>IF($B77="","",N($P77)-N($U77)-N($V77))</f>
        <v/>
      </c>
    </row>
    <row r="78">
      <c r="A78" s="18">
        <f>IF($B78="","",ROW()-4+1)</f>
        <v/>
      </c>
      <c r="B78" s="18">
        <f>내역서!$B78</f>
        <v/>
      </c>
      <c r="C78" s="18">
        <f>IF($B78="","",내역서!$C78)</f>
        <v/>
      </c>
      <c r="D78" s="18">
        <f>IF($B78="","",내역서!$D78)</f>
        <v/>
      </c>
      <c r="E78" s="18">
        <f>IF($B78="","",내역서!$E78)</f>
        <v/>
      </c>
      <c r="F78" s="19">
        <f>IF($B78="","",N(내역서!$F78))</f>
        <v/>
      </c>
      <c r="G78" s="20">
        <f>IF($B78="","",N(내역서!$J78))</f>
        <v/>
      </c>
      <c r="H78" s="20">
        <f>IF($B78="","",N(내역서!$K78))</f>
        <v/>
      </c>
      <c r="I78" s="19">
        <f>IF($B78="","",N(내역서!$N78))</f>
        <v/>
      </c>
      <c r="J78" s="20">
        <f>IF($B78="","",N(내역서!$R78))</f>
        <v/>
      </c>
      <c r="K78" s="19">
        <f>IF($B78="","",N($I78)-N($F78))</f>
        <v/>
      </c>
      <c r="L78" s="21">
        <f>IF($B78="","",IF(N(내역서!$F78)=0,"신규",IF($K78&lt;0,"감소",IF($K78&gt;0,"증가","-"))))</f>
        <v/>
      </c>
      <c r="M78" s="22" t="n"/>
      <c r="N78" s="23" t="n"/>
      <c r="O78" s="24">
        <f>IF($B78="","",IF($L78="감소",$G78,IF($L78="증가",IF($M78="Y",ROUND(($J78+$J78*('설정'!$C$15/100))/2,0),IF(AND($N78&lt;&gt;"",$G78&gt;$N78),$N78,$G78)),IF($L78="신규",IF($M78="Y",ROUND(($J78+$J78*('설정'!$C$15/100))/2,0),ROUND($J78*('설정'!$C$15/100),0)),0))))</f>
        <v/>
      </c>
      <c r="P78" s="24">
        <f>IF($B78="","",ROUND(N($K78)*N($O78),0))</f>
        <v/>
      </c>
      <c r="Q78" s="25">
        <f>IF($B78="","",IF($L78="감소","감소분 → 계약단가",IF(AND($M78="Y",OR($L78="증가",$L78="신규")),"발주기관 요구 → 협의 (불성립 시 (당시단가+당시단가×낙찰률)÷2)",IF($L78="증가",IF(AND($N78&lt;&gt;"",$G78&gt;$N78),"증가분 → 계약단가&gt;예정가격단가 이므로 예정가격단가","증가분 → 계약단가 (낙찰률을 곱하지 않습니다)"),IF($L78="신규","신규비목 → 당시단가 × 낙찰률","")))))</f>
        <v/>
      </c>
      <c r="R78" s="20">
        <f>IF($B78="","",IF(N($O78)=0,0,IF(OR($L78="감소",AND($L78="증가",$M78&lt;&gt;"Y")),IF(N($G78)=0,0,ROUND(N(내역서!$G78)*$O78/$G78,0)),IF(N($J78)=0,0,ROUND(N(내역서!$O78)*$O78/$J78,0)))))</f>
        <v/>
      </c>
      <c r="S78" s="20">
        <f>IF($B78="","",IF(N($O78)=0,0,IF(OR($L78="감소",AND($L78="증가",$M78&lt;&gt;"Y")),IF(N($G78)=0,0,ROUND(N(내역서!$H78)*$O78/$G78,0)),IF(N($J78)=0,0,ROUND(N(내역서!$P78)*$O78/$J78,0)))))</f>
        <v/>
      </c>
      <c r="T78" s="20">
        <f>IF($B78="","",N($O78)-N($R78)-N($S78))</f>
        <v/>
      </c>
      <c r="U78" s="20">
        <f>IF($B78="","",ROUND(N($K78)*N($R78),0))</f>
        <v/>
      </c>
      <c r="V78" s="20">
        <f>IF($B78="","",ROUND(N($K78)*N($S78),0))</f>
        <v/>
      </c>
      <c r="W78" s="20">
        <f>IF($B78="","",N($P78)-N($U78)-N($V78))</f>
        <v/>
      </c>
    </row>
    <row r="79">
      <c r="A79" s="18">
        <f>IF($B79="","",ROW()-4+1)</f>
        <v/>
      </c>
      <c r="B79" s="18">
        <f>내역서!$B79</f>
        <v/>
      </c>
      <c r="C79" s="18">
        <f>IF($B79="","",내역서!$C79)</f>
        <v/>
      </c>
      <c r="D79" s="18">
        <f>IF($B79="","",내역서!$D79)</f>
        <v/>
      </c>
      <c r="E79" s="18">
        <f>IF($B79="","",내역서!$E79)</f>
        <v/>
      </c>
      <c r="F79" s="19">
        <f>IF($B79="","",N(내역서!$F79))</f>
        <v/>
      </c>
      <c r="G79" s="20">
        <f>IF($B79="","",N(내역서!$J79))</f>
        <v/>
      </c>
      <c r="H79" s="20">
        <f>IF($B79="","",N(내역서!$K79))</f>
        <v/>
      </c>
      <c r="I79" s="19">
        <f>IF($B79="","",N(내역서!$N79))</f>
        <v/>
      </c>
      <c r="J79" s="20">
        <f>IF($B79="","",N(내역서!$R79))</f>
        <v/>
      </c>
      <c r="K79" s="19">
        <f>IF($B79="","",N($I79)-N($F79))</f>
        <v/>
      </c>
      <c r="L79" s="21">
        <f>IF($B79="","",IF(N(내역서!$F79)=0,"신규",IF($K79&lt;0,"감소",IF($K79&gt;0,"증가","-"))))</f>
        <v/>
      </c>
      <c r="M79" s="22" t="n"/>
      <c r="N79" s="23" t="n"/>
      <c r="O79" s="24">
        <f>IF($B79="","",IF($L79="감소",$G79,IF($L79="증가",IF($M79="Y",ROUND(($J79+$J79*('설정'!$C$15/100))/2,0),IF(AND($N79&lt;&gt;"",$G79&gt;$N79),$N79,$G79)),IF($L79="신규",IF($M79="Y",ROUND(($J79+$J79*('설정'!$C$15/100))/2,0),ROUND($J79*('설정'!$C$15/100),0)),0))))</f>
        <v/>
      </c>
      <c r="P79" s="24">
        <f>IF($B79="","",ROUND(N($K79)*N($O79),0))</f>
        <v/>
      </c>
      <c r="Q79" s="25">
        <f>IF($B79="","",IF($L79="감소","감소분 → 계약단가",IF(AND($M79="Y",OR($L79="증가",$L79="신규")),"발주기관 요구 → 협의 (불성립 시 (당시단가+당시단가×낙찰률)÷2)",IF($L79="증가",IF(AND($N79&lt;&gt;"",$G79&gt;$N79),"증가분 → 계약단가&gt;예정가격단가 이므로 예정가격단가","증가분 → 계약단가 (낙찰률을 곱하지 않습니다)"),IF($L79="신규","신규비목 → 당시단가 × 낙찰률","")))))</f>
        <v/>
      </c>
      <c r="R79" s="20">
        <f>IF($B79="","",IF(N($O79)=0,0,IF(OR($L79="감소",AND($L79="증가",$M79&lt;&gt;"Y")),IF(N($G79)=0,0,ROUND(N(내역서!$G79)*$O79/$G79,0)),IF(N($J79)=0,0,ROUND(N(내역서!$O79)*$O79/$J79,0)))))</f>
        <v/>
      </c>
      <c r="S79" s="20">
        <f>IF($B79="","",IF(N($O79)=0,0,IF(OR($L79="감소",AND($L79="증가",$M79&lt;&gt;"Y")),IF(N($G79)=0,0,ROUND(N(내역서!$H79)*$O79/$G79,0)),IF(N($J79)=0,0,ROUND(N(내역서!$P79)*$O79/$J79,0)))))</f>
        <v/>
      </c>
      <c r="T79" s="20">
        <f>IF($B79="","",N($O79)-N($R79)-N($S79))</f>
        <v/>
      </c>
      <c r="U79" s="20">
        <f>IF($B79="","",ROUND(N($K79)*N($R79),0))</f>
        <v/>
      </c>
      <c r="V79" s="20">
        <f>IF($B79="","",ROUND(N($K79)*N($S79),0))</f>
        <v/>
      </c>
      <c r="W79" s="20">
        <f>IF($B79="","",N($P79)-N($U79)-N($V79))</f>
        <v/>
      </c>
    </row>
    <row r="80">
      <c r="A80" s="18">
        <f>IF($B80="","",ROW()-4+1)</f>
        <v/>
      </c>
      <c r="B80" s="18">
        <f>내역서!$B80</f>
        <v/>
      </c>
      <c r="C80" s="18">
        <f>IF($B80="","",내역서!$C80)</f>
        <v/>
      </c>
      <c r="D80" s="18">
        <f>IF($B80="","",내역서!$D80)</f>
        <v/>
      </c>
      <c r="E80" s="18">
        <f>IF($B80="","",내역서!$E80)</f>
        <v/>
      </c>
      <c r="F80" s="19">
        <f>IF($B80="","",N(내역서!$F80))</f>
        <v/>
      </c>
      <c r="G80" s="20">
        <f>IF($B80="","",N(내역서!$J80))</f>
        <v/>
      </c>
      <c r="H80" s="20">
        <f>IF($B80="","",N(내역서!$K80))</f>
        <v/>
      </c>
      <c r="I80" s="19">
        <f>IF($B80="","",N(내역서!$N80))</f>
        <v/>
      </c>
      <c r="J80" s="20">
        <f>IF($B80="","",N(내역서!$R80))</f>
        <v/>
      </c>
      <c r="K80" s="19">
        <f>IF($B80="","",N($I80)-N($F80))</f>
        <v/>
      </c>
      <c r="L80" s="21">
        <f>IF($B80="","",IF(N(내역서!$F80)=0,"신규",IF($K80&lt;0,"감소",IF($K80&gt;0,"증가","-"))))</f>
        <v/>
      </c>
      <c r="M80" s="22" t="n"/>
      <c r="N80" s="23" t="n"/>
      <c r="O80" s="24">
        <f>IF($B80="","",IF($L80="감소",$G80,IF($L80="증가",IF($M80="Y",ROUND(($J80+$J80*('설정'!$C$15/100))/2,0),IF(AND($N80&lt;&gt;"",$G80&gt;$N80),$N80,$G80)),IF($L80="신규",IF($M80="Y",ROUND(($J80+$J80*('설정'!$C$15/100))/2,0),ROUND($J80*('설정'!$C$15/100),0)),0))))</f>
        <v/>
      </c>
      <c r="P80" s="24">
        <f>IF($B80="","",ROUND(N($K80)*N($O80),0))</f>
        <v/>
      </c>
      <c r="Q80" s="25">
        <f>IF($B80="","",IF($L80="감소","감소분 → 계약단가",IF(AND($M80="Y",OR($L80="증가",$L80="신규")),"발주기관 요구 → 협의 (불성립 시 (당시단가+당시단가×낙찰률)÷2)",IF($L80="증가",IF(AND($N80&lt;&gt;"",$G80&gt;$N80),"증가분 → 계약단가&gt;예정가격단가 이므로 예정가격단가","증가분 → 계약단가 (낙찰률을 곱하지 않습니다)"),IF($L80="신규","신규비목 → 당시단가 × 낙찰률","")))))</f>
        <v/>
      </c>
      <c r="R80" s="20">
        <f>IF($B80="","",IF(N($O80)=0,0,IF(OR($L80="감소",AND($L80="증가",$M80&lt;&gt;"Y")),IF(N($G80)=0,0,ROUND(N(내역서!$G80)*$O80/$G80,0)),IF(N($J80)=0,0,ROUND(N(내역서!$O80)*$O80/$J80,0)))))</f>
        <v/>
      </c>
      <c r="S80" s="20">
        <f>IF($B80="","",IF(N($O80)=0,0,IF(OR($L80="감소",AND($L80="증가",$M80&lt;&gt;"Y")),IF(N($G80)=0,0,ROUND(N(내역서!$H80)*$O80/$G80,0)),IF(N($J80)=0,0,ROUND(N(내역서!$P80)*$O80/$J80,0)))))</f>
        <v/>
      </c>
      <c r="T80" s="20">
        <f>IF($B80="","",N($O80)-N($R80)-N($S80))</f>
        <v/>
      </c>
      <c r="U80" s="20">
        <f>IF($B80="","",ROUND(N($K80)*N($R80),0))</f>
        <v/>
      </c>
      <c r="V80" s="20">
        <f>IF($B80="","",ROUND(N($K80)*N($S80),0))</f>
        <v/>
      </c>
      <c r="W80" s="20">
        <f>IF($B80="","",N($P80)-N($U80)-N($V80))</f>
        <v/>
      </c>
    </row>
    <row r="81">
      <c r="A81" s="18">
        <f>IF($B81="","",ROW()-4+1)</f>
        <v/>
      </c>
      <c r="B81" s="18">
        <f>내역서!$B81</f>
        <v/>
      </c>
      <c r="C81" s="18">
        <f>IF($B81="","",내역서!$C81)</f>
        <v/>
      </c>
      <c r="D81" s="18">
        <f>IF($B81="","",내역서!$D81)</f>
        <v/>
      </c>
      <c r="E81" s="18">
        <f>IF($B81="","",내역서!$E81)</f>
        <v/>
      </c>
      <c r="F81" s="19">
        <f>IF($B81="","",N(내역서!$F81))</f>
        <v/>
      </c>
      <c r="G81" s="20">
        <f>IF($B81="","",N(내역서!$J81))</f>
        <v/>
      </c>
      <c r="H81" s="20">
        <f>IF($B81="","",N(내역서!$K81))</f>
        <v/>
      </c>
      <c r="I81" s="19">
        <f>IF($B81="","",N(내역서!$N81))</f>
        <v/>
      </c>
      <c r="J81" s="20">
        <f>IF($B81="","",N(내역서!$R81))</f>
        <v/>
      </c>
      <c r="K81" s="19">
        <f>IF($B81="","",N($I81)-N($F81))</f>
        <v/>
      </c>
      <c r="L81" s="21">
        <f>IF($B81="","",IF(N(내역서!$F81)=0,"신규",IF($K81&lt;0,"감소",IF($K81&gt;0,"증가","-"))))</f>
        <v/>
      </c>
      <c r="M81" s="22" t="n"/>
      <c r="N81" s="23" t="n"/>
      <c r="O81" s="24">
        <f>IF($B81="","",IF($L81="감소",$G81,IF($L81="증가",IF($M81="Y",ROUND(($J81+$J81*('설정'!$C$15/100))/2,0),IF(AND($N81&lt;&gt;"",$G81&gt;$N81),$N81,$G81)),IF($L81="신규",IF($M81="Y",ROUND(($J81+$J81*('설정'!$C$15/100))/2,0),ROUND($J81*('설정'!$C$15/100),0)),0))))</f>
        <v/>
      </c>
      <c r="P81" s="24">
        <f>IF($B81="","",ROUND(N($K81)*N($O81),0))</f>
        <v/>
      </c>
      <c r="Q81" s="25">
        <f>IF($B81="","",IF($L81="감소","감소분 → 계약단가",IF(AND($M81="Y",OR($L81="증가",$L81="신규")),"발주기관 요구 → 협의 (불성립 시 (당시단가+당시단가×낙찰률)÷2)",IF($L81="증가",IF(AND($N81&lt;&gt;"",$G81&gt;$N81),"증가분 → 계약단가&gt;예정가격단가 이므로 예정가격단가","증가분 → 계약단가 (낙찰률을 곱하지 않습니다)"),IF($L81="신규","신규비목 → 당시단가 × 낙찰률","")))))</f>
        <v/>
      </c>
      <c r="R81" s="20">
        <f>IF($B81="","",IF(N($O81)=0,0,IF(OR($L81="감소",AND($L81="증가",$M81&lt;&gt;"Y")),IF(N($G81)=0,0,ROUND(N(내역서!$G81)*$O81/$G81,0)),IF(N($J81)=0,0,ROUND(N(내역서!$O81)*$O81/$J81,0)))))</f>
        <v/>
      </c>
      <c r="S81" s="20">
        <f>IF($B81="","",IF(N($O81)=0,0,IF(OR($L81="감소",AND($L81="증가",$M81&lt;&gt;"Y")),IF(N($G81)=0,0,ROUND(N(내역서!$H81)*$O81/$G81,0)),IF(N($J81)=0,0,ROUND(N(내역서!$P81)*$O81/$J81,0)))))</f>
        <v/>
      </c>
      <c r="T81" s="20">
        <f>IF($B81="","",N($O81)-N($R81)-N($S81))</f>
        <v/>
      </c>
      <c r="U81" s="20">
        <f>IF($B81="","",ROUND(N($K81)*N($R81),0))</f>
        <v/>
      </c>
      <c r="V81" s="20">
        <f>IF($B81="","",ROUND(N($K81)*N($S81),0))</f>
        <v/>
      </c>
      <c r="W81" s="20">
        <f>IF($B81="","",N($P81)-N($U81)-N($V81))</f>
        <v/>
      </c>
    </row>
    <row r="82">
      <c r="A82" s="18">
        <f>IF($B82="","",ROW()-4+1)</f>
        <v/>
      </c>
      <c r="B82" s="18">
        <f>내역서!$B82</f>
        <v/>
      </c>
      <c r="C82" s="18">
        <f>IF($B82="","",내역서!$C82)</f>
        <v/>
      </c>
      <c r="D82" s="18">
        <f>IF($B82="","",내역서!$D82)</f>
        <v/>
      </c>
      <c r="E82" s="18">
        <f>IF($B82="","",내역서!$E82)</f>
        <v/>
      </c>
      <c r="F82" s="19">
        <f>IF($B82="","",N(내역서!$F82))</f>
        <v/>
      </c>
      <c r="G82" s="20">
        <f>IF($B82="","",N(내역서!$J82))</f>
        <v/>
      </c>
      <c r="H82" s="20">
        <f>IF($B82="","",N(내역서!$K82))</f>
        <v/>
      </c>
      <c r="I82" s="19">
        <f>IF($B82="","",N(내역서!$N82))</f>
        <v/>
      </c>
      <c r="J82" s="20">
        <f>IF($B82="","",N(내역서!$R82))</f>
        <v/>
      </c>
      <c r="K82" s="19">
        <f>IF($B82="","",N($I82)-N($F82))</f>
        <v/>
      </c>
      <c r="L82" s="21">
        <f>IF($B82="","",IF(N(내역서!$F82)=0,"신규",IF($K82&lt;0,"감소",IF($K82&gt;0,"증가","-"))))</f>
        <v/>
      </c>
      <c r="M82" s="22" t="n"/>
      <c r="N82" s="23" t="n"/>
      <c r="O82" s="24">
        <f>IF($B82="","",IF($L82="감소",$G82,IF($L82="증가",IF($M82="Y",ROUND(($J82+$J82*('설정'!$C$15/100))/2,0),IF(AND($N82&lt;&gt;"",$G82&gt;$N82),$N82,$G82)),IF($L82="신규",IF($M82="Y",ROUND(($J82+$J82*('설정'!$C$15/100))/2,0),ROUND($J82*('설정'!$C$15/100),0)),0))))</f>
        <v/>
      </c>
      <c r="P82" s="24">
        <f>IF($B82="","",ROUND(N($K82)*N($O82),0))</f>
        <v/>
      </c>
      <c r="Q82" s="25">
        <f>IF($B82="","",IF($L82="감소","감소분 → 계약단가",IF(AND($M82="Y",OR($L82="증가",$L82="신규")),"발주기관 요구 → 협의 (불성립 시 (당시단가+당시단가×낙찰률)÷2)",IF($L82="증가",IF(AND($N82&lt;&gt;"",$G82&gt;$N82),"증가분 → 계약단가&gt;예정가격단가 이므로 예정가격단가","증가분 → 계약단가 (낙찰률을 곱하지 않습니다)"),IF($L82="신규","신규비목 → 당시단가 × 낙찰률","")))))</f>
        <v/>
      </c>
      <c r="R82" s="20">
        <f>IF($B82="","",IF(N($O82)=0,0,IF(OR($L82="감소",AND($L82="증가",$M82&lt;&gt;"Y")),IF(N($G82)=0,0,ROUND(N(내역서!$G82)*$O82/$G82,0)),IF(N($J82)=0,0,ROUND(N(내역서!$O82)*$O82/$J82,0)))))</f>
        <v/>
      </c>
      <c r="S82" s="20">
        <f>IF($B82="","",IF(N($O82)=0,0,IF(OR($L82="감소",AND($L82="증가",$M82&lt;&gt;"Y")),IF(N($G82)=0,0,ROUND(N(내역서!$H82)*$O82/$G82,0)),IF(N($J82)=0,0,ROUND(N(내역서!$P82)*$O82/$J82,0)))))</f>
        <v/>
      </c>
      <c r="T82" s="20">
        <f>IF($B82="","",N($O82)-N($R82)-N($S82))</f>
        <v/>
      </c>
      <c r="U82" s="20">
        <f>IF($B82="","",ROUND(N($K82)*N($R82),0))</f>
        <v/>
      </c>
      <c r="V82" s="20">
        <f>IF($B82="","",ROUND(N($K82)*N($S82),0))</f>
        <v/>
      </c>
      <c r="W82" s="20">
        <f>IF($B82="","",N($P82)-N($U82)-N($V82))</f>
        <v/>
      </c>
    </row>
    <row r="83">
      <c r="A83" s="18">
        <f>IF($B83="","",ROW()-4+1)</f>
        <v/>
      </c>
      <c r="B83" s="18">
        <f>내역서!$B83</f>
        <v/>
      </c>
      <c r="C83" s="18">
        <f>IF($B83="","",내역서!$C83)</f>
        <v/>
      </c>
      <c r="D83" s="18">
        <f>IF($B83="","",내역서!$D83)</f>
        <v/>
      </c>
      <c r="E83" s="18">
        <f>IF($B83="","",내역서!$E83)</f>
        <v/>
      </c>
      <c r="F83" s="19">
        <f>IF($B83="","",N(내역서!$F83))</f>
        <v/>
      </c>
      <c r="G83" s="20">
        <f>IF($B83="","",N(내역서!$J83))</f>
        <v/>
      </c>
      <c r="H83" s="20">
        <f>IF($B83="","",N(내역서!$K83))</f>
        <v/>
      </c>
      <c r="I83" s="19">
        <f>IF($B83="","",N(내역서!$N83))</f>
        <v/>
      </c>
      <c r="J83" s="20">
        <f>IF($B83="","",N(내역서!$R83))</f>
        <v/>
      </c>
      <c r="K83" s="19">
        <f>IF($B83="","",N($I83)-N($F83))</f>
        <v/>
      </c>
      <c r="L83" s="21">
        <f>IF($B83="","",IF(N(내역서!$F83)=0,"신규",IF($K83&lt;0,"감소",IF($K83&gt;0,"증가","-"))))</f>
        <v/>
      </c>
      <c r="M83" s="22" t="n"/>
      <c r="N83" s="23" t="n"/>
      <c r="O83" s="24">
        <f>IF($B83="","",IF($L83="감소",$G83,IF($L83="증가",IF($M83="Y",ROUND(($J83+$J83*('설정'!$C$15/100))/2,0),IF(AND($N83&lt;&gt;"",$G83&gt;$N83),$N83,$G83)),IF($L83="신규",IF($M83="Y",ROUND(($J83+$J83*('설정'!$C$15/100))/2,0),ROUND($J83*('설정'!$C$15/100),0)),0))))</f>
        <v/>
      </c>
      <c r="P83" s="24">
        <f>IF($B83="","",ROUND(N($K83)*N($O83),0))</f>
        <v/>
      </c>
      <c r="Q83" s="25">
        <f>IF($B83="","",IF($L83="감소","감소분 → 계약단가",IF(AND($M83="Y",OR($L83="증가",$L83="신규")),"발주기관 요구 → 협의 (불성립 시 (당시단가+당시단가×낙찰률)÷2)",IF($L83="증가",IF(AND($N83&lt;&gt;"",$G83&gt;$N83),"증가분 → 계약단가&gt;예정가격단가 이므로 예정가격단가","증가분 → 계약단가 (낙찰률을 곱하지 않습니다)"),IF($L83="신규","신규비목 → 당시단가 × 낙찰률","")))))</f>
        <v/>
      </c>
      <c r="R83" s="20">
        <f>IF($B83="","",IF(N($O83)=0,0,IF(OR($L83="감소",AND($L83="증가",$M83&lt;&gt;"Y")),IF(N($G83)=0,0,ROUND(N(내역서!$G83)*$O83/$G83,0)),IF(N($J83)=0,0,ROUND(N(내역서!$O83)*$O83/$J83,0)))))</f>
        <v/>
      </c>
      <c r="S83" s="20">
        <f>IF($B83="","",IF(N($O83)=0,0,IF(OR($L83="감소",AND($L83="증가",$M83&lt;&gt;"Y")),IF(N($G83)=0,0,ROUND(N(내역서!$H83)*$O83/$G83,0)),IF(N($J83)=0,0,ROUND(N(내역서!$P83)*$O83/$J83,0)))))</f>
        <v/>
      </c>
      <c r="T83" s="20">
        <f>IF($B83="","",N($O83)-N($R83)-N($S83))</f>
        <v/>
      </c>
      <c r="U83" s="20">
        <f>IF($B83="","",ROUND(N($K83)*N($R83),0))</f>
        <v/>
      </c>
      <c r="V83" s="20">
        <f>IF($B83="","",ROUND(N($K83)*N($S83),0))</f>
        <v/>
      </c>
      <c r="W83" s="20">
        <f>IF($B83="","",N($P83)-N($U83)-N($V83))</f>
        <v/>
      </c>
    </row>
    <row r="84">
      <c r="A84" s="18">
        <f>IF($B84="","",ROW()-4+1)</f>
        <v/>
      </c>
      <c r="B84" s="18">
        <f>내역서!$B84</f>
        <v/>
      </c>
      <c r="C84" s="18">
        <f>IF($B84="","",내역서!$C84)</f>
        <v/>
      </c>
      <c r="D84" s="18">
        <f>IF($B84="","",내역서!$D84)</f>
        <v/>
      </c>
      <c r="E84" s="18">
        <f>IF($B84="","",내역서!$E84)</f>
        <v/>
      </c>
      <c r="F84" s="19">
        <f>IF($B84="","",N(내역서!$F84))</f>
        <v/>
      </c>
      <c r="G84" s="20">
        <f>IF($B84="","",N(내역서!$J84))</f>
        <v/>
      </c>
      <c r="H84" s="20">
        <f>IF($B84="","",N(내역서!$K84))</f>
        <v/>
      </c>
      <c r="I84" s="19">
        <f>IF($B84="","",N(내역서!$N84))</f>
        <v/>
      </c>
      <c r="J84" s="20">
        <f>IF($B84="","",N(내역서!$R84))</f>
        <v/>
      </c>
      <c r="K84" s="19">
        <f>IF($B84="","",N($I84)-N($F84))</f>
        <v/>
      </c>
      <c r="L84" s="21">
        <f>IF($B84="","",IF(N(내역서!$F84)=0,"신규",IF($K84&lt;0,"감소",IF($K84&gt;0,"증가","-"))))</f>
        <v/>
      </c>
      <c r="M84" s="22" t="n"/>
      <c r="N84" s="23" t="n"/>
      <c r="O84" s="24">
        <f>IF($B84="","",IF($L84="감소",$G84,IF($L84="증가",IF($M84="Y",ROUND(($J84+$J84*('설정'!$C$15/100))/2,0),IF(AND($N84&lt;&gt;"",$G84&gt;$N84),$N84,$G84)),IF($L84="신규",IF($M84="Y",ROUND(($J84+$J84*('설정'!$C$15/100))/2,0),ROUND($J84*('설정'!$C$15/100),0)),0))))</f>
        <v/>
      </c>
      <c r="P84" s="24">
        <f>IF($B84="","",ROUND(N($K84)*N($O84),0))</f>
        <v/>
      </c>
      <c r="Q84" s="25">
        <f>IF($B84="","",IF($L84="감소","감소분 → 계약단가",IF(AND($M84="Y",OR($L84="증가",$L84="신규")),"발주기관 요구 → 협의 (불성립 시 (당시단가+당시단가×낙찰률)÷2)",IF($L84="증가",IF(AND($N84&lt;&gt;"",$G84&gt;$N84),"증가분 → 계약단가&gt;예정가격단가 이므로 예정가격단가","증가분 → 계약단가 (낙찰률을 곱하지 않습니다)"),IF($L84="신규","신규비목 → 당시단가 × 낙찰률","")))))</f>
        <v/>
      </c>
      <c r="R84" s="20">
        <f>IF($B84="","",IF(N($O84)=0,0,IF(OR($L84="감소",AND($L84="증가",$M84&lt;&gt;"Y")),IF(N($G84)=0,0,ROUND(N(내역서!$G84)*$O84/$G84,0)),IF(N($J84)=0,0,ROUND(N(내역서!$O84)*$O84/$J84,0)))))</f>
        <v/>
      </c>
      <c r="S84" s="20">
        <f>IF($B84="","",IF(N($O84)=0,0,IF(OR($L84="감소",AND($L84="증가",$M84&lt;&gt;"Y")),IF(N($G84)=0,0,ROUND(N(내역서!$H84)*$O84/$G84,0)),IF(N($J84)=0,0,ROUND(N(내역서!$P84)*$O84/$J84,0)))))</f>
        <v/>
      </c>
      <c r="T84" s="20">
        <f>IF($B84="","",N($O84)-N($R84)-N($S84))</f>
        <v/>
      </c>
      <c r="U84" s="20">
        <f>IF($B84="","",ROUND(N($K84)*N($R84),0))</f>
        <v/>
      </c>
      <c r="V84" s="20">
        <f>IF($B84="","",ROUND(N($K84)*N($S84),0))</f>
        <v/>
      </c>
      <c r="W84" s="20">
        <f>IF($B84="","",N($P84)-N($U84)-N($V84))</f>
        <v/>
      </c>
    </row>
    <row r="85">
      <c r="A85" s="18">
        <f>IF($B85="","",ROW()-4+1)</f>
        <v/>
      </c>
      <c r="B85" s="18">
        <f>내역서!$B85</f>
        <v/>
      </c>
      <c r="C85" s="18">
        <f>IF($B85="","",내역서!$C85)</f>
        <v/>
      </c>
      <c r="D85" s="18">
        <f>IF($B85="","",내역서!$D85)</f>
        <v/>
      </c>
      <c r="E85" s="18">
        <f>IF($B85="","",내역서!$E85)</f>
        <v/>
      </c>
      <c r="F85" s="19">
        <f>IF($B85="","",N(내역서!$F85))</f>
        <v/>
      </c>
      <c r="G85" s="20">
        <f>IF($B85="","",N(내역서!$J85))</f>
        <v/>
      </c>
      <c r="H85" s="20">
        <f>IF($B85="","",N(내역서!$K85))</f>
        <v/>
      </c>
      <c r="I85" s="19">
        <f>IF($B85="","",N(내역서!$N85))</f>
        <v/>
      </c>
      <c r="J85" s="20">
        <f>IF($B85="","",N(내역서!$R85))</f>
        <v/>
      </c>
      <c r="K85" s="19">
        <f>IF($B85="","",N($I85)-N($F85))</f>
        <v/>
      </c>
      <c r="L85" s="21">
        <f>IF($B85="","",IF(N(내역서!$F85)=0,"신규",IF($K85&lt;0,"감소",IF($K85&gt;0,"증가","-"))))</f>
        <v/>
      </c>
      <c r="M85" s="22" t="n"/>
      <c r="N85" s="23" t="n"/>
      <c r="O85" s="24">
        <f>IF($B85="","",IF($L85="감소",$G85,IF($L85="증가",IF($M85="Y",ROUND(($J85+$J85*('설정'!$C$15/100))/2,0),IF(AND($N85&lt;&gt;"",$G85&gt;$N85),$N85,$G85)),IF($L85="신규",IF($M85="Y",ROUND(($J85+$J85*('설정'!$C$15/100))/2,0),ROUND($J85*('설정'!$C$15/100),0)),0))))</f>
        <v/>
      </c>
      <c r="P85" s="24">
        <f>IF($B85="","",ROUND(N($K85)*N($O85),0))</f>
        <v/>
      </c>
      <c r="Q85" s="25">
        <f>IF($B85="","",IF($L85="감소","감소분 → 계약단가",IF(AND($M85="Y",OR($L85="증가",$L85="신규")),"발주기관 요구 → 협의 (불성립 시 (당시단가+당시단가×낙찰률)÷2)",IF($L85="증가",IF(AND($N85&lt;&gt;"",$G85&gt;$N85),"증가분 → 계약단가&gt;예정가격단가 이므로 예정가격단가","증가분 → 계약단가 (낙찰률을 곱하지 않습니다)"),IF($L85="신규","신규비목 → 당시단가 × 낙찰률","")))))</f>
        <v/>
      </c>
      <c r="R85" s="20">
        <f>IF($B85="","",IF(N($O85)=0,0,IF(OR($L85="감소",AND($L85="증가",$M85&lt;&gt;"Y")),IF(N($G85)=0,0,ROUND(N(내역서!$G85)*$O85/$G85,0)),IF(N($J85)=0,0,ROUND(N(내역서!$O85)*$O85/$J85,0)))))</f>
        <v/>
      </c>
      <c r="S85" s="20">
        <f>IF($B85="","",IF(N($O85)=0,0,IF(OR($L85="감소",AND($L85="증가",$M85&lt;&gt;"Y")),IF(N($G85)=0,0,ROUND(N(내역서!$H85)*$O85/$G85,0)),IF(N($J85)=0,0,ROUND(N(내역서!$P85)*$O85/$J85,0)))))</f>
        <v/>
      </c>
      <c r="T85" s="20">
        <f>IF($B85="","",N($O85)-N($R85)-N($S85))</f>
        <v/>
      </c>
      <c r="U85" s="20">
        <f>IF($B85="","",ROUND(N($K85)*N($R85),0))</f>
        <v/>
      </c>
      <c r="V85" s="20">
        <f>IF($B85="","",ROUND(N($K85)*N($S85),0))</f>
        <v/>
      </c>
      <c r="W85" s="20">
        <f>IF($B85="","",N($P85)-N($U85)-N($V85))</f>
        <v/>
      </c>
    </row>
    <row r="86">
      <c r="A86" s="18">
        <f>IF($B86="","",ROW()-4+1)</f>
        <v/>
      </c>
      <c r="B86" s="18">
        <f>내역서!$B86</f>
        <v/>
      </c>
      <c r="C86" s="18">
        <f>IF($B86="","",내역서!$C86)</f>
        <v/>
      </c>
      <c r="D86" s="18">
        <f>IF($B86="","",내역서!$D86)</f>
        <v/>
      </c>
      <c r="E86" s="18">
        <f>IF($B86="","",내역서!$E86)</f>
        <v/>
      </c>
      <c r="F86" s="19">
        <f>IF($B86="","",N(내역서!$F86))</f>
        <v/>
      </c>
      <c r="G86" s="20">
        <f>IF($B86="","",N(내역서!$J86))</f>
        <v/>
      </c>
      <c r="H86" s="20">
        <f>IF($B86="","",N(내역서!$K86))</f>
        <v/>
      </c>
      <c r="I86" s="19">
        <f>IF($B86="","",N(내역서!$N86))</f>
        <v/>
      </c>
      <c r="J86" s="20">
        <f>IF($B86="","",N(내역서!$R86))</f>
        <v/>
      </c>
      <c r="K86" s="19">
        <f>IF($B86="","",N($I86)-N($F86))</f>
        <v/>
      </c>
      <c r="L86" s="21">
        <f>IF($B86="","",IF(N(내역서!$F86)=0,"신규",IF($K86&lt;0,"감소",IF($K86&gt;0,"증가","-"))))</f>
        <v/>
      </c>
      <c r="M86" s="22" t="n"/>
      <c r="N86" s="23" t="n"/>
      <c r="O86" s="24">
        <f>IF($B86="","",IF($L86="감소",$G86,IF($L86="증가",IF($M86="Y",ROUND(($J86+$J86*('설정'!$C$15/100))/2,0),IF(AND($N86&lt;&gt;"",$G86&gt;$N86),$N86,$G86)),IF($L86="신규",IF($M86="Y",ROUND(($J86+$J86*('설정'!$C$15/100))/2,0),ROUND($J86*('설정'!$C$15/100),0)),0))))</f>
        <v/>
      </c>
      <c r="P86" s="24">
        <f>IF($B86="","",ROUND(N($K86)*N($O86),0))</f>
        <v/>
      </c>
      <c r="Q86" s="25">
        <f>IF($B86="","",IF($L86="감소","감소분 → 계약단가",IF(AND($M86="Y",OR($L86="증가",$L86="신규")),"발주기관 요구 → 협의 (불성립 시 (당시단가+당시단가×낙찰률)÷2)",IF($L86="증가",IF(AND($N86&lt;&gt;"",$G86&gt;$N86),"증가분 → 계약단가&gt;예정가격단가 이므로 예정가격단가","증가분 → 계약단가 (낙찰률을 곱하지 않습니다)"),IF($L86="신규","신규비목 → 당시단가 × 낙찰률","")))))</f>
        <v/>
      </c>
      <c r="R86" s="20">
        <f>IF($B86="","",IF(N($O86)=0,0,IF(OR($L86="감소",AND($L86="증가",$M86&lt;&gt;"Y")),IF(N($G86)=0,0,ROUND(N(내역서!$G86)*$O86/$G86,0)),IF(N($J86)=0,0,ROUND(N(내역서!$O86)*$O86/$J86,0)))))</f>
        <v/>
      </c>
      <c r="S86" s="20">
        <f>IF($B86="","",IF(N($O86)=0,0,IF(OR($L86="감소",AND($L86="증가",$M86&lt;&gt;"Y")),IF(N($G86)=0,0,ROUND(N(내역서!$H86)*$O86/$G86,0)),IF(N($J86)=0,0,ROUND(N(내역서!$P86)*$O86/$J86,0)))))</f>
        <v/>
      </c>
      <c r="T86" s="20">
        <f>IF($B86="","",N($O86)-N($R86)-N($S86))</f>
        <v/>
      </c>
      <c r="U86" s="20">
        <f>IF($B86="","",ROUND(N($K86)*N($R86),0))</f>
        <v/>
      </c>
      <c r="V86" s="20">
        <f>IF($B86="","",ROUND(N($K86)*N($S86),0))</f>
        <v/>
      </c>
      <c r="W86" s="20">
        <f>IF($B86="","",N($P86)-N($U86)-N($V86))</f>
        <v/>
      </c>
    </row>
    <row r="87">
      <c r="A87" s="18">
        <f>IF($B87="","",ROW()-4+1)</f>
        <v/>
      </c>
      <c r="B87" s="18">
        <f>내역서!$B87</f>
        <v/>
      </c>
      <c r="C87" s="18">
        <f>IF($B87="","",내역서!$C87)</f>
        <v/>
      </c>
      <c r="D87" s="18">
        <f>IF($B87="","",내역서!$D87)</f>
        <v/>
      </c>
      <c r="E87" s="18">
        <f>IF($B87="","",내역서!$E87)</f>
        <v/>
      </c>
      <c r="F87" s="19">
        <f>IF($B87="","",N(내역서!$F87))</f>
        <v/>
      </c>
      <c r="G87" s="20">
        <f>IF($B87="","",N(내역서!$J87))</f>
        <v/>
      </c>
      <c r="H87" s="20">
        <f>IF($B87="","",N(내역서!$K87))</f>
        <v/>
      </c>
      <c r="I87" s="19">
        <f>IF($B87="","",N(내역서!$N87))</f>
        <v/>
      </c>
      <c r="J87" s="20">
        <f>IF($B87="","",N(내역서!$R87))</f>
        <v/>
      </c>
      <c r="K87" s="19">
        <f>IF($B87="","",N($I87)-N($F87))</f>
        <v/>
      </c>
      <c r="L87" s="21">
        <f>IF($B87="","",IF(N(내역서!$F87)=0,"신규",IF($K87&lt;0,"감소",IF($K87&gt;0,"증가","-"))))</f>
        <v/>
      </c>
      <c r="M87" s="22" t="n"/>
      <c r="N87" s="23" t="n"/>
      <c r="O87" s="24">
        <f>IF($B87="","",IF($L87="감소",$G87,IF($L87="증가",IF($M87="Y",ROUND(($J87+$J87*('설정'!$C$15/100))/2,0),IF(AND($N87&lt;&gt;"",$G87&gt;$N87),$N87,$G87)),IF($L87="신규",IF($M87="Y",ROUND(($J87+$J87*('설정'!$C$15/100))/2,0),ROUND($J87*('설정'!$C$15/100),0)),0))))</f>
        <v/>
      </c>
      <c r="P87" s="24">
        <f>IF($B87="","",ROUND(N($K87)*N($O87),0))</f>
        <v/>
      </c>
      <c r="Q87" s="25">
        <f>IF($B87="","",IF($L87="감소","감소분 → 계약단가",IF(AND($M87="Y",OR($L87="증가",$L87="신규")),"발주기관 요구 → 협의 (불성립 시 (당시단가+당시단가×낙찰률)÷2)",IF($L87="증가",IF(AND($N87&lt;&gt;"",$G87&gt;$N87),"증가분 → 계약단가&gt;예정가격단가 이므로 예정가격단가","증가분 → 계약단가 (낙찰률을 곱하지 않습니다)"),IF($L87="신규","신규비목 → 당시단가 × 낙찰률","")))))</f>
        <v/>
      </c>
      <c r="R87" s="20">
        <f>IF($B87="","",IF(N($O87)=0,0,IF(OR($L87="감소",AND($L87="증가",$M87&lt;&gt;"Y")),IF(N($G87)=0,0,ROUND(N(내역서!$G87)*$O87/$G87,0)),IF(N($J87)=0,0,ROUND(N(내역서!$O87)*$O87/$J87,0)))))</f>
        <v/>
      </c>
      <c r="S87" s="20">
        <f>IF($B87="","",IF(N($O87)=0,0,IF(OR($L87="감소",AND($L87="증가",$M87&lt;&gt;"Y")),IF(N($G87)=0,0,ROUND(N(내역서!$H87)*$O87/$G87,0)),IF(N($J87)=0,0,ROUND(N(내역서!$P87)*$O87/$J87,0)))))</f>
        <v/>
      </c>
      <c r="T87" s="20">
        <f>IF($B87="","",N($O87)-N($R87)-N($S87))</f>
        <v/>
      </c>
      <c r="U87" s="20">
        <f>IF($B87="","",ROUND(N($K87)*N($R87),0))</f>
        <v/>
      </c>
      <c r="V87" s="20">
        <f>IF($B87="","",ROUND(N($K87)*N($S87),0))</f>
        <v/>
      </c>
      <c r="W87" s="20">
        <f>IF($B87="","",N($P87)-N($U87)-N($V87))</f>
        <v/>
      </c>
    </row>
    <row r="88">
      <c r="A88" s="18">
        <f>IF($B88="","",ROW()-4+1)</f>
        <v/>
      </c>
      <c r="B88" s="18">
        <f>내역서!$B88</f>
        <v/>
      </c>
      <c r="C88" s="18">
        <f>IF($B88="","",내역서!$C88)</f>
        <v/>
      </c>
      <c r="D88" s="18">
        <f>IF($B88="","",내역서!$D88)</f>
        <v/>
      </c>
      <c r="E88" s="18">
        <f>IF($B88="","",내역서!$E88)</f>
        <v/>
      </c>
      <c r="F88" s="19">
        <f>IF($B88="","",N(내역서!$F88))</f>
        <v/>
      </c>
      <c r="G88" s="20">
        <f>IF($B88="","",N(내역서!$J88))</f>
        <v/>
      </c>
      <c r="H88" s="20">
        <f>IF($B88="","",N(내역서!$K88))</f>
        <v/>
      </c>
      <c r="I88" s="19">
        <f>IF($B88="","",N(내역서!$N88))</f>
        <v/>
      </c>
      <c r="J88" s="20">
        <f>IF($B88="","",N(내역서!$R88))</f>
        <v/>
      </c>
      <c r="K88" s="19">
        <f>IF($B88="","",N($I88)-N($F88))</f>
        <v/>
      </c>
      <c r="L88" s="21">
        <f>IF($B88="","",IF(N(내역서!$F88)=0,"신규",IF($K88&lt;0,"감소",IF($K88&gt;0,"증가","-"))))</f>
        <v/>
      </c>
      <c r="M88" s="22" t="n"/>
      <c r="N88" s="23" t="n"/>
      <c r="O88" s="24">
        <f>IF($B88="","",IF($L88="감소",$G88,IF($L88="증가",IF($M88="Y",ROUND(($J88+$J88*('설정'!$C$15/100))/2,0),IF(AND($N88&lt;&gt;"",$G88&gt;$N88),$N88,$G88)),IF($L88="신규",IF($M88="Y",ROUND(($J88+$J88*('설정'!$C$15/100))/2,0),ROUND($J88*('설정'!$C$15/100),0)),0))))</f>
        <v/>
      </c>
      <c r="P88" s="24">
        <f>IF($B88="","",ROUND(N($K88)*N($O88),0))</f>
        <v/>
      </c>
      <c r="Q88" s="25">
        <f>IF($B88="","",IF($L88="감소","감소분 → 계약단가",IF(AND($M88="Y",OR($L88="증가",$L88="신규")),"발주기관 요구 → 협의 (불성립 시 (당시단가+당시단가×낙찰률)÷2)",IF($L88="증가",IF(AND($N88&lt;&gt;"",$G88&gt;$N88),"증가분 → 계약단가&gt;예정가격단가 이므로 예정가격단가","증가분 → 계약단가 (낙찰률을 곱하지 않습니다)"),IF($L88="신규","신규비목 → 당시단가 × 낙찰률","")))))</f>
        <v/>
      </c>
      <c r="R88" s="20">
        <f>IF($B88="","",IF(N($O88)=0,0,IF(OR($L88="감소",AND($L88="증가",$M88&lt;&gt;"Y")),IF(N($G88)=0,0,ROUND(N(내역서!$G88)*$O88/$G88,0)),IF(N($J88)=0,0,ROUND(N(내역서!$O88)*$O88/$J88,0)))))</f>
        <v/>
      </c>
      <c r="S88" s="20">
        <f>IF($B88="","",IF(N($O88)=0,0,IF(OR($L88="감소",AND($L88="증가",$M88&lt;&gt;"Y")),IF(N($G88)=0,0,ROUND(N(내역서!$H88)*$O88/$G88,0)),IF(N($J88)=0,0,ROUND(N(내역서!$P88)*$O88/$J88,0)))))</f>
        <v/>
      </c>
      <c r="T88" s="20">
        <f>IF($B88="","",N($O88)-N($R88)-N($S88))</f>
        <v/>
      </c>
      <c r="U88" s="20">
        <f>IF($B88="","",ROUND(N($K88)*N($R88),0))</f>
        <v/>
      </c>
      <c r="V88" s="20">
        <f>IF($B88="","",ROUND(N($K88)*N($S88),0))</f>
        <v/>
      </c>
      <c r="W88" s="20">
        <f>IF($B88="","",N($P88)-N($U88)-N($V88))</f>
        <v/>
      </c>
    </row>
    <row r="89">
      <c r="A89" s="18">
        <f>IF($B89="","",ROW()-4+1)</f>
        <v/>
      </c>
      <c r="B89" s="18">
        <f>내역서!$B89</f>
        <v/>
      </c>
      <c r="C89" s="18">
        <f>IF($B89="","",내역서!$C89)</f>
        <v/>
      </c>
      <c r="D89" s="18">
        <f>IF($B89="","",내역서!$D89)</f>
        <v/>
      </c>
      <c r="E89" s="18">
        <f>IF($B89="","",내역서!$E89)</f>
        <v/>
      </c>
      <c r="F89" s="19">
        <f>IF($B89="","",N(내역서!$F89))</f>
        <v/>
      </c>
      <c r="G89" s="20">
        <f>IF($B89="","",N(내역서!$J89))</f>
        <v/>
      </c>
      <c r="H89" s="20">
        <f>IF($B89="","",N(내역서!$K89))</f>
        <v/>
      </c>
      <c r="I89" s="19">
        <f>IF($B89="","",N(내역서!$N89))</f>
        <v/>
      </c>
      <c r="J89" s="20">
        <f>IF($B89="","",N(내역서!$R89))</f>
        <v/>
      </c>
      <c r="K89" s="19">
        <f>IF($B89="","",N($I89)-N($F89))</f>
        <v/>
      </c>
      <c r="L89" s="21">
        <f>IF($B89="","",IF(N(내역서!$F89)=0,"신규",IF($K89&lt;0,"감소",IF($K89&gt;0,"증가","-"))))</f>
        <v/>
      </c>
      <c r="M89" s="22" t="n"/>
      <c r="N89" s="23" t="n"/>
      <c r="O89" s="24">
        <f>IF($B89="","",IF($L89="감소",$G89,IF($L89="증가",IF($M89="Y",ROUND(($J89+$J89*('설정'!$C$15/100))/2,0),IF(AND($N89&lt;&gt;"",$G89&gt;$N89),$N89,$G89)),IF($L89="신규",IF($M89="Y",ROUND(($J89+$J89*('설정'!$C$15/100))/2,0),ROUND($J89*('설정'!$C$15/100),0)),0))))</f>
        <v/>
      </c>
      <c r="P89" s="24">
        <f>IF($B89="","",ROUND(N($K89)*N($O89),0))</f>
        <v/>
      </c>
      <c r="Q89" s="25">
        <f>IF($B89="","",IF($L89="감소","감소분 → 계약단가",IF(AND($M89="Y",OR($L89="증가",$L89="신규")),"발주기관 요구 → 협의 (불성립 시 (당시단가+당시단가×낙찰률)÷2)",IF($L89="증가",IF(AND($N89&lt;&gt;"",$G89&gt;$N89),"증가분 → 계약단가&gt;예정가격단가 이므로 예정가격단가","증가분 → 계약단가 (낙찰률을 곱하지 않습니다)"),IF($L89="신규","신규비목 → 당시단가 × 낙찰률","")))))</f>
        <v/>
      </c>
      <c r="R89" s="20">
        <f>IF($B89="","",IF(N($O89)=0,0,IF(OR($L89="감소",AND($L89="증가",$M89&lt;&gt;"Y")),IF(N($G89)=0,0,ROUND(N(내역서!$G89)*$O89/$G89,0)),IF(N($J89)=0,0,ROUND(N(내역서!$O89)*$O89/$J89,0)))))</f>
        <v/>
      </c>
      <c r="S89" s="20">
        <f>IF($B89="","",IF(N($O89)=0,0,IF(OR($L89="감소",AND($L89="증가",$M89&lt;&gt;"Y")),IF(N($G89)=0,0,ROUND(N(내역서!$H89)*$O89/$G89,0)),IF(N($J89)=0,0,ROUND(N(내역서!$P89)*$O89/$J89,0)))))</f>
        <v/>
      </c>
      <c r="T89" s="20">
        <f>IF($B89="","",N($O89)-N($R89)-N($S89))</f>
        <v/>
      </c>
      <c r="U89" s="20">
        <f>IF($B89="","",ROUND(N($K89)*N($R89),0))</f>
        <v/>
      </c>
      <c r="V89" s="20">
        <f>IF($B89="","",ROUND(N($K89)*N($S89),0))</f>
        <v/>
      </c>
      <c r="W89" s="20">
        <f>IF($B89="","",N($P89)-N($U89)-N($V89))</f>
        <v/>
      </c>
    </row>
    <row r="90">
      <c r="A90" s="18">
        <f>IF($B90="","",ROW()-4+1)</f>
        <v/>
      </c>
      <c r="B90" s="18">
        <f>내역서!$B90</f>
        <v/>
      </c>
      <c r="C90" s="18">
        <f>IF($B90="","",내역서!$C90)</f>
        <v/>
      </c>
      <c r="D90" s="18">
        <f>IF($B90="","",내역서!$D90)</f>
        <v/>
      </c>
      <c r="E90" s="18">
        <f>IF($B90="","",내역서!$E90)</f>
        <v/>
      </c>
      <c r="F90" s="19">
        <f>IF($B90="","",N(내역서!$F90))</f>
        <v/>
      </c>
      <c r="G90" s="20">
        <f>IF($B90="","",N(내역서!$J90))</f>
        <v/>
      </c>
      <c r="H90" s="20">
        <f>IF($B90="","",N(내역서!$K90))</f>
        <v/>
      </c>
      <c r="I90" s="19">
        <f>IF($B90="","",N(내역서!$N90))</f>
        <v/>
      </c>
      <c r="J90" s="20">
        <f>IF($B90="","",N(내역서!$R90))</f>
        <v/>
      </c>
      <c r="K90" s="19">
        <f>IF($B90="","",N($I90)-N($F90))</f>
        <v/>
      </c>
      <c r="L90" s="21">
        <f>IF($B90="","",IF(N(내역서!$F90)=0,"신규",IF($K90&lt;0,"감소",IF($K90&gt;0,"증가","-"))))</f>
        <v/>
      </c>
      <c r="M90" s="22" t="n"/>
      <c r="N90" s="23" t="n"/>
      <c r="O90" s="24">
        <f>IF($B90="","",IF($L90="감소",$G90,IF($L90="증가",IF($M90="Y",ROUND(($J90+$J90*('설정'!$C$15/100))/2,0),IF(AND($N90&lt;&gt;"",$G90&gt;$N90),$N90,$G90)),IF($L90="신규",IF($M90="Y",ROUND(($J90+$J90*('설정'!$C$15/100))/2,0),ROUND($J90*('설정'!$C$15/100),0)),0))))</f>
        <v/>
      </c>
      <c r="P90" s="24">
        <f>IF($B90="","",ROUND(N($K90)*N($O90),0))</f>
        <v/>
      </c>
      <c r="Q90" s="25">
        <f>IF($B90="","",IF($L90="감소","감소분 → 계약단가",IF(AND($M90="Y",OR($L90="증가",$L90="신규")),"발주기관 요구 → 협의 (불성립 시 (당시단가+당시단가×낙찰률)÷2)",IF($L90="증가",IF(AND($N90&lt;&gt;"",$G90&gt;$N90),"증가분 → 계약단가&gt;예정가격단가 이므로 예정가격단가","증가분 → 계약단가 (낙찰률을 곱하지 않습니다)"),IF($L90="신규","신규비목 → 당시단가 × 낙찰률","")))))</f>
        <v/>
      </c>
      <c r="R90" s="20">
        <f>IF($B90="","",IF(N($O90)=0,0,IF(OR($L90="감소",AND($L90="증가",$M90&lt;&gt;"Y")),IF(N($G90)=0,0,ROUND(N(내역서!$G90)*$O90/$G90,0)),IF(N($J90)=0,0,ROUND(N(내역서!$O90)*$O90/$J90,0)))))</f>
        <v/>
      </c>
      <c r="S90" s="20">
        <f>IF($B90="","",IF(N($O90)=0,0,IF(OR($L90="감소",AND($L90="증가",$M90&lt;&gt;"Y")),IF(N($G90)=0,0,ROUND(N(내역서!$H90)*$O90/$G90,0)),IF(N($J90)=0,0,ROUND(N(내역서!$P90)*$O90/$J90,0)))))</f>
        <v/>
      </c>
      <c r="T90" s="20">
        <f>IF($B90="","",N($O90)-N($R90)-N($S90))</f>
        <v/>
      </c>
      <c r="U90" s="20">
        <f>IF($B90="","",ROUND(N($K90)*N($R90),0))</f>
        <v/>
      </c>
      <c r="V90" s="20">
        <f>IF($B90="","",ROUND(N($K90)*N($S90),0))</f>
        <v/>
      </c>
      <c r="W90" s="20">
        <f>IF($B90="","",N($P90)-N($U90)-N($V90))</f>
        <v/>
      </c>
    </row>
    <row r="91">
      <c r="A91" s="18">
        <f>IF($B91="","",ROW()-4+1)</f>
        <v/>
      </c>
      <c r="B91" s="18">
        <f>내역서!$B91</f>
        <v/>
      </c>
      <c r="C91" s="18">
        <f>IF($B91="","",내역서!$C91)</f>
        <v/>
      </c>
      <c r="D91" s="18">
        <f>IF($B91="","",내역서!$D91)</f>
        <v/>
      </c>
      <c r="E91" s="18">
        <f>IF($B91="","",내역서!$E91)</f>
        <v/>
      </c>
      <c r="F91" s="19">
        <f>IF($B91="","",N(내역서!$F91))</f>
        <v/>
      </c>
      <c r="G91" s="20">
        <f>IF($B91="","",N(내역서!$J91))</f>
        <v/>
      </c>
      <c r="H91" s="20">
        <f>IF($B91="","",N(내역서!$K91))</f>
        <v/>
      </c>
      <c r="I91" s="19">
        <f>IF($B91="","",N(내역서!$N91))</f>
        <v/>
      </c>
      <c r="J91" s="20">
        <f>IF($B91="","",N(내역서!$R91))</f>
        <v/>
      </c>
      <c r="K91" s="19">
        <f>IF($B91="","",N($I91)-N($F91))</f>
        <v/>
      </c>
      <c r="L91" s="21">
        <f>IF($B91="","",IF(N(내역서!$F91)=0,"신규",IF($K91&lt;0,"감소",IF($K91&gt;0,"증가","-"))))</f>
        <v/>
      </c>
      <c r="M91" s="22" t="n"/>
      <c r="N91" s="23" t="n"/>
      <c r="O91" s="24">
        <f>IF($B91="","",IF($L91="감소",$G91,IF($L91="증가",IF($M91="Y",ROUND(($J91+$J91*('설정'!$C$15/100))/2,0),IF(AND($N91&lt;&gt;"",$G91&gt;$N91),$N91,$G91)),IF($L91="신규",IF($M91="Y",ROUND(($J91+$J91*('설정'!$C$15/100))/2,0),ROUND($J91*('설정'!$C$15/100),0)),0))))</f>
        <v/>
      </c>
      <c r="P91" s="24">
        <f>IF($B91="","",ROUND(N($K91)*N($O91),0))</f>
        <v/>
      </c>
      <c r="Q91" s="25">
        <f>IF($B91="","",IF($L91="감소","감소분 → 계약단가",IF(AND($M91="Y",OR($L91="증가",$L91="신규")),"발주기관 요구 → 협의 (불성립 시 (당시단가+당시단가×낙찰률)÷2)",IF($L91="증가",IF(AND($N91&lt;&gt;"",$G91&gt;$N91),"증가분 → 계약단가&gt;예정가격단가 이므로 예정가격단가","증가분 → 계약단가 (낙찰률을 곱하지 않습니다)"),IF($L91="신규","신규비목 → 당시단가 × 낙찰률","")))))</f>
        <v/>
      </c>
      <c r="R91" s="20">
        <f>IF($B91="","",IF(N($O91)=0,0,IF(OR($L91="감소",AND($L91="증가",$M91&lt;&gt;"Y")),IF(N($G91)=0,0,ROUND(N(내역서!$G91)*$O91/$G91,0)),IF(N($J91)=0,0,ROUND(N(내역서!$O91)*$O91/$J91,0)))))</f>
        <v/>
      </c>
      <c r="S91" s="20">
        <f>IF($B91="","",IF(N($O91)=0,0,IF(OR($L91="감소",AND($L91="증가",$M91&lt;&gt;"Y")),IF(N($G91)=0,0,ROUND(N(내역서!$H91)*$O91/$G91,0)),IF(N($J91)=0,0,ROUND(N(내역서!$P91)*$O91/$J91,0)))))</f>
        <v/>
      </c>
      <c r="T91" s="20">
        <f>IF($B91="","",N($O91)-N($R91)-N($S91))</f>
        <v/>
      </c>
      <c r="U91" s="20">
        <f>IF($B91="","",ROUND(N($K91)*N($R91),0))</f>
        <v/>
      </c>
      <c r="V91" s="20">
        <f>IF($B91="","",ROUND(N($K91)*N($S91),0))</f>
        <v/>
      </c>
      <c r="W91" s="20">
        <f>IF($B91="","",N($P91)-N($U91)-N($V91))</f>
        <v/>
      </c>
    </row>
    <row r="92">
      <c r="A92" s="18">
        <f>IF($B92="","",ROW()-4+1)</f>
        <v/>
      </c>
      <c r="B92" s="18">
        <f>내역서!$B92</f>
        <v/>
      </c>
      <c r="C92" s="18">
        <f>IF($B92="","",내역서!$C92)</f>
        <v/>
      </c>
      <c r="D92" s="18">
        <f>IF($B92="","",내역서!$D92)</f>
        <v/>
      </c>
      <c r="E92" s="18">
        <f>IF($B92="","",내역서!$E92)</f>
        <v/>
      </c>
      <c r="F92" s="19">
        <f>IF($B92="","",N(내역서!$F92))</f>
        <v/>
      </c>
      <c r="G92" s="20">
        <f>IF($B92="","",N(내역서!$J92))</f>
        <v/>
      </c>
      <c r="H92" s="20">
        <f>IF($B92="","",N(내역서!$K92))</f>
        <v/>
      </c>
      <c r="I92" s="19">
        <f>IF($B92="","",N(내역서!$N92))</f>
        <v/>
      </c>
      <c r="J92" s="20">
        <f>IF($B92="","",N(내역서!$R92))</f>
        <v/>
      </c>
      <c r="K92" s="19">
        <f>IF($B92="","",N($I92)-N($F92))</f>
        <v/>
      </c>
      <c r="L92" s="21">
        <f>IF($B92="","",IF(N(내역서!$F92)=0,"신규",IF($K92&lt;0,"감소",IF($K92&gt;0,"증가","-"))))</f>
        <v/>
      </c>
      <c r="M92" s="22" t="n"/>
      <c r="N92" s="23" t="n"/>
      <c r="O92" s="24">
        <f>IF($B92="","",IF($L92="감소",$G92,IF($L92="증가",IF($M92="Y",ROUND(($J92+$J92*('설정'!$C$15/100))/2,0),IF(AND($N92&lt;&gt;"",$G92&gt;$N92),$N92,$G92)),IF($L92="신규",IF($M92="Y",ROUND(($J92+$J92*('설정'!$C$15/100))/2,0),ROUND($J92*('설정'!$C$15/100),0)),0))))</f>
        <v/>
      </c>
      <c r="P92" s="24">
        <f>IF($B92="","",ROUND(N($K92)*N($O92),0))</f>
        <v/>
      </c>
      <c r="Q92" s="25">
        <f>IF($B92="","",IF($L92="감소","감소분 → 계약단가",IF(AND($M92="Y",OR($L92="증가",$L92="신규")),"발주기관 요구 → 협의 (불성립 시 (당시단가+당시단가×낙찰률)÷2)",IF($L92="증가",IF(AND($N92&lt;&gt;"",$G92&gt;$N92),"증가분 → 계약단가&gt;예정가격단가 이므로 예정가격단가","증가분 → 계약단가 (낙찰률을 곱하지 않습니다)"),IF($L92="신규","신규비목 → 당시단가 × 낙찰률","")))))</f>
        <v/>
      </c>
      <c r="R92" s="20">
        <f>IF($B92="","",IF(N($O92)=0,0,IF(OR($L92="감소",AND($L92="증가",$M92&lt;&gt;"Y")),IF(N($G92)=0,0,ROUND(N(내역서!$G92)*$O92/$G92,0)),IF(N($J92)=0,0,ROUND(N(내역서!$O92)*$O92/$J92,0)))))</f>
        <v/>
      </c>
      <c r="S92" s="20">
        <f>IF($B92="","",IF(N($O92)=0,0,IF(OR($L92="감소",AND($L92="증가",$M92&lt;&gt;"Y")),IF(N($G92)=0,0,ROUND(N(내역서!$H92)*$O92/$G92,0)),IF(N($J92)=0,0,ROUND(N(내역서!$P92)*$O92/$J92,0)))))</f>
        <v/>
      </c>
      <c r="T92" s="20">
        <f>IF($B92="","",N($O92)-N($R92)-N($S92))</f>
        <v/>
      </c>
      <c r="U92" s="20">
        <f>IF($B92="","",ROUND(N($K92)*N($R92),0))</f>
        <v/>
      </c>
      <c r="V92" s="20">
        <f>IF($B92="","",ROUND(N($K92)*N($S92),0))</f>
        <v/>
      </c>
      <c r="W92" s="20">
        <f>IF($B92="","",N($P92)-N($U92)-N($V92))</f>
        <v/>
      </c>
    </row>
    <row r="93">
      <c r="A93" s="18">
        <f>IF($B93="","",ROW()-4+1)</f>
        <v/>
      </c>
      <c r="B93" s="18">
        <f>내역서!$B93</f>
        <v/>
      </c>
      <c r="C93" s="18">
        <f>IF($B93="","",내역서!$C93)</f>
        <v/>
      </c>
      <c r="D93" s="18">
        <f>IF($B93="","",내역서!$D93)</f>
        <v/>
      </c>
      <c r="E93" s="18">
        <f>IF($B93="","",내역서!$E93)</f>
        <v/>
      </c>
      <c r="F93" s="19">
        <f>IF($B93="","",N(내역서!$F93))</f>
        <v/>
      </c>
      <c r="G93" s="20">
        <f>IF($B93="","",N(내역서!$J93))</f>
        <v/>
      </c>
      <c r="H93" s="20">
        <f>IF($B93="","",N(내역서!$K93))</f>
        <v/>
      </c>
      <c r="I93" s="19">
        <f>IF($B93="","",N(내역서!$N93))</f>
        <v/>
      </c>
      <c r="J93" s="20">
        <f>IF($B93="","",N(내역서!$R93))</f>
        <v/>
      </c>
      <c r="K93" s="19">
        <f>IF($B93="","",N($I93)-N($F93))</f>
        <v/>
      </c>
      <c r="L93" s="21">
        <f>IF($B93="","",IF(N(내역서!$F93)=0,"신규",IF($K93&lt;0,"감소",IF($K93&gt;0,"증가","-"))))</f>
        <v/>
      </c>
      <c r="M93" s="22" t="n"/>
      <c r="N93" s="23" t="n"/>
      <c r="O93" s="24">
        <f>IF($B93="","",IF($L93="감소",$G93,IF($L93="증가",IF($M93="Y",ROUND(($J93+$J93*('설정'!$C$15/100))/2,0),IF(AND($N93&lt;&gt;"",$G93&gt;$N93),$N93,$G93)),IF($L93="신규",IF($M93="Y",ROUND(($J93+$J93*('설정'!$C$15/100))/2,0),ROUND($J93*('설정'!$C$15/100),0)),0))))</f>
        <v/>
      </c>
      <c r="P93" s="24">
        <f>IF($B93="","",ROUND(N($K93)*N($O93),0))</f>
        <v/>
      </c>
      <c r="Q93" s="25">
        <f>IF($B93="","",IF($L93="감소","감소분 → 계약단가",IF(AND($M93="Y",OR($L93="증가",$L93="신규")),"발주기관 요구 → 협의 (불성립 시 (당시단가+당시단가×낙찰률)÷2)",IF($L93="증가",IF(AND($N93&lt;&gt;"",$G93&gt;$N93),"증가분 → 계약단가&gt;예정가격단가 이므로 예정가격단가","증가분 → 계약단가 (낙찰률을 곱하지 않습니다)"),IF($L93="신규","신규비목 → 당시단가 × 낙찰률","")))))</f>
        <v/>
      </c>
      <c r="R93" s="20">
        <f>IF($B93="","",IF(N($O93)=0,0,IF(OR($L93="감소",AND($L93="증가",$M93&lt;&gt;"Y")),IF(N($G93)=0,0,ROUND(N(내역서!$G93)*$O93/$G93,0)),IF(N($J93)=0,0,ROUND(N(내역서!$O93)*$O93/$J93,0)))))</f>
        <v/>
      </c>
      <c r="S93" s="20">
        <f>IF($B93="","",IF(N($O93)=0,0,IF(OR($L93="감소",AND($L93="증가",$M93&lt;&gt;"Y")),IF(N($G93)=0,0,ROUND(N(내역서!$H93)*$O93/$G93,0)),IF(N($J93)=0,0,ROUND(N(내역서!$P93)*$O93/$J93,0)))))</f>
        <v/>
      </c>
      <c r="T93" s="20">
        <f>IF($B93="","",N($O93)-N($R93)-N($S93))</f>
        <v/>
      </c>
      <c r="U93" s="20">
        <f>IF($B93="","",ROUND(N($K93)*N($R93),0))</f>
        <v/>
      </c>
      <c r="V93" s="20">
        <f>IF($B93="","",ROUND(N($K93)*N($S93),0))</f>
        <v/>
      </c>
      <c r="W93" s="20">
        <f>IF($B93="","",N($P93)-N($U93)-N($V93))</f>
        <v/>
      </c>
    </row>
    <row r="94">
      <c r="A94" s="18">
        <f>IF($B94="","",ROW()-4+1)</f>
        <v/>
      </c>
      <c r="B94" s="18">
        <f>내역서!$B94</f>
        <v/>
      </c>
      <c r="C94" s="18">
        <f>IF($B94="","",내역서!$C94)</f>
        <v/>
      </c>
      <c r="D94" s="18">
        <f>IF($B94="","",내역서!$D94)</f>
        <v/>
      </c>
      <c r="E94" s="18">
        <f>IF($B94="","",내역서!$E94)</f>
        <v/>
      </c>
      <c r="F94" s="19">
        <f>IF($B94="","",N(내역서!$F94))</f>
        <v/>
      </c>
      <c r="G94" s="20">
        <f>IF($B94="","",N(내역서!$J94))</f>
        <v/>
      </c>
      <c r="H94" s="20">
        <f>IF($B94="","",N(내역서!$K94))</f>
        <v/>
      </c>
      <c r="I94" s="19">
        <f>IF($B94="","",N(내역서!$N94))</f>
        <v/>
      </c>
      <c r="J94" s="20">
        <f>IF($B94="","",N(내역서!$R94))</f>
        <v/>
      </c>
      <c r="K94" s="19">
        <f>IF($B94="","",N($I94)-N($F94))</f>
        <v/>
      </c>
      <c r="L94" s="21">
        <f>IF($B94="","",IF(N(내역서!$F94)=0,"신규",IF($K94&lt;0,"감소",IF($K94&gt;0,"증가","-"))))</f>
        <v/>
      </c>
      <c r="M94" s="22" t="n"/>
      <c r="N94" s="23" t="n"/>
      <c r="O94" s="24">
        <f>IF($B94="","",IF($L94="감소",$G94,IF($L94="증가",IF($M94="Y",ROUND(($J94+$J94*('설정'!$C$15/100))/2,0),IF(AND($N94&lt;&gt;"",$G94&gt;$N94),$N94,$G94)),IF($L94="신규",IF($M94="Y",ROUND(($J94+$J94*('설정'!$C$15/100))/2,0),ROUND($J94*('설정'!$C$15/100),0)),0))))</f>
        <v/>
      </c>
      <c r="P94" s="24">
        <f>IF($B94="","",ROUND(N($K94)*N($O94),0))</f>
        <v/>
      </c>
      <c r="Q94" s="25">
        <f>IF($B94="","",IF($L94="감소","감소분 → 계약단가",IF(AND($M94="Y",OR($L94="증가",$L94="신규")),"발주기관 요구 → 협의 (불성립 시 (당시단가+당시단가×낙찰률)÷2)",IF($L94="증가",IF(AND($N94&lt;&gt;"",$G94&gt;$N94),"증가분 → 계약단가&gt;예정가격단가 이므로 예정가격단가","증가분 → 계약단가 (낙찰률을 곱하지 않습니다)"),IF($L94="신규","신규비목 → 당시단가 × 낙찰률","")))))</f>
        <v/>
      </c>
      <c r="R94" s="20">
        <f>IF($B94="","",IF(N($O94)=0,0,IF(OR($L94="감소",AND($L94="증가",$M94&lt;&gt;"Y")),IF(N($G94)=0,0,ROUND(N(내역서!$G94)*$O94/$G94,0)),IF(N($J94)=0,0,ROUND(N(내역서!$O94)*$O94/$J94,0)))))</f>
        <v/>
      </c>
      <c r="S94" s="20">
        <f>IF($B94="","",IF(N($O94)=0,0,IF(OR($L94="감소",AND($L94="증가",$M94&lt;&gt;"Y")),IF(N($G94)=0,0,ROUND(N(내역서!$H94)*$O94/$G94,0)),IF(N($J94)=0,0,ROUND(N(내역서!$P94)*$O94/$J94,0)))))</f>
        <v/>
      </c>
      <c r="T94" s="20">
        <f>IF($B94="","",N($O94)-N($R94)-N($S94))</f>
        <v/>
      </c>
      <c r="U94" s="20">
        <f>IF($B94="","",ROUND(N($K94)*N($R94),0))</f>
        <v/>
      </c>
      <c r="V94" s="20">
        <f>IF($B94="","",ROUND(N($K94)*N($S94),0))</f>
        <v/>
      </c>
      <c r="W94" s="20">
        <f>IF($B94="","",N($P94)-N($U94)-N($V94))</f>
        <v/>
      </c>
    </row>
    <row r="95">
      <c r="A95" s="18">
        <f>IF($B95="","",ROW()-4+1)</f>
        <v/>
      </c>
      <c r="B95" s="18">
        <f>내역서!$B95</f>
        <v/>
      </c>
      <c r="C95" s="18">
        <f>IF($B95="","",내역서!$C95)</f>
        <v/>
      </c>
      <c r="D95" s="18">
        <f>IF($B95="","",내역서!$D95)</f>
        <v/>
      </c>
      <c r="E95" s="18">
        <f>IF($B95="","",내역서!$E95)</f>
        <v/>
      </c>
      <c r="F95" s="19">
        <f>IF($B95="","",N(내역서!$F95))</f>
        <v/>
      </c>
      <c r="G95" s="20">
        <f>IF($B95="","",N(내역서!$J95))</f>
        <v/>
      </c>
      <c r="H95" s="20">
        <f>IF($B95="","",N(내역서!$K95))</f>
        <v/>
      </c>
      <c r="I95" s="19">
        <f>IF($B95="","",N(내역서!$N95))</f>
        <v/>
      </c>
      <c r="J95" s="20">
        <f>IF($B95="","",N(내역서!$R95))</f>
        <v/>
      </c>
      <c r="K95" s="19">
        <f>IF($B95="","",N($I95)-N($F95))</f>
        <v/>
      </c>
      <c r="L95" s="21">
        <f>IF($B95="","",IF(N(내역서!$F95)=0,"신규",IF($K95&lt;0,"감소",IF($K95&gt;0,"증가","-"))))</f>
        <v/>
      </c>
      <c r="M95" s="22" t="n"/>
      <c r="N95" s="23" t="n"/>
      <c r="O95" s="24">
        <f>IF($B95="","",IF($L95="감소",$G95,IF($L95="증가",IF($M95="Y",ROUND(($J95+$J95*('설정'!$C$15/100))/2,0),IF(AND($N95&lt;&gt;"",$G95&gt;$N95),$N95,$G95)),IF($L95="신규",IF($M95="Y",ROUND(($J95+$J95*('설정'!$C$15/100))/2,0),ROUND($J95*('설정'!$C$15/100),0)),0))))</f>
        <v/>
      </c>
      <c r="P95" s="24">
        <f>IF($B95="","",ROUND(N($K95)*N($O95),0))</f>
        <v/>
      </c>
      <c r="Q95" s="25">
        <f>IF($B95="","",IF($L95="감소","감소분 → 계약단가",IF(AND($M95="Y",OR($L95="증가",$L95="신규")),"발주기관 요구 → 협의 (불성립 시 (당시단가+당시단가×낙찰률)÷2)",IF($L95="증가",IF(AND($N95&lt;&gt;"",$G95&gt;$N95),"증가분 → 계약단가&gt;예정가격단가 이므로 예정가격단가","증가분 → 계약단가 (낙찰률을 곱하지 않습니다)"),IF($L95="신규","신규비목 → 당시단가 × 낙찰률","")))))</f>
        <v/>
      </c>
      <c r="R95" s="20">
        <f>IF($B95="","",IF(N($O95)=0,0,IF(OR($L95="감소",AND($L95="증가",$M95&lt;&gt;"Y")),IF(N($G95)=0,0,ROUND(N(내역서!$G95)*$O95/$G95,0)),IF(N($J95)=0,0,ROUND(N(내역서!$O95)*$O95/$J95,0)))))</f>
        <v/>
      </c>
      <c r="S95" s="20">
        <f>IF($B95="","",IF(N($O95)=0,0,IF(OR($L95="감소",AND($L95="증가",$M95&lt;&gt;"Y")),IF(N($G95)=0,0,ROUND(N(내역서!$H95)*$O95/$G95,0)),IF(N($J95)=0,0,ROUND(N(내역서!$P95)*$O95/$J95,0)))))</f>
        <v/>
      </c>
      <c r="T95" s="20">
        <f>IF($B95="","",N($O95)-N($R95)-N($S95))</f>
        <v/>
      </c>
      <c r="U95" s="20">
        <f>IF($B95="","",ROUND(N($K95)*N($R95),0))</f>
        <v/>
      </c>
      <c r="V95" s="20">
        <f>IF($B95="","",ROUND(N($K95)*N($S95),0))</f>
        <v/>
      </c>
      <c r="W95" s="20">
        <f>IF($B95="","",N($P95)-N($U95)-N($V95))</f>
        <v/>
      </c>
    </row>
    <row r="96">
      <c r="A96" s="18">
        <f>IF($B96="","",ROW()-4+1)</f>
        <v/>
      </c>
      <c r="B96" s="18">
        <f>내역서!$B96</f>
        <v/>
      </c>
      <c r="C96" s="18">
        <f>IF($B96="","",내역서!$C96)</f>
        <v/>
      </c>
      <c r="D96" s="18">
        <f>IF($B96="","",내역서!$D96)</f>
        <v/>
      </c>
      <c r="E96" s="18">
        <f>IF($B96="","",내역서!$E96)</f>
        <v/>
      </c>
      <c r="F96" s="19">
        <f>IF($B96="","",N(내역서!$F96))</f>
        <v/>
      </c>
      <c r="G96" s="20">
        <f>IF($B96="","",N(내역서!$J96))</f>
        <v/>
      </c>
      <c r="H96" s="20">
        <f>IF($B96="","",N(내역서!$K96))</f>
        <v/>
      </c>
      <c r="I96" s="19">
        <f>IF($B96="","",N(내역서!$N96))</f>
        <v/>
      </c>
      <c r="J96" s="20">
        <f>IF($B96="","",N(내역서!$R96))</f>
        <v/>
      </c>
      <c r="K96" s="19">
        <f>IF($B96="","",N($I96)-N($F96))</f>
        <v/>
      </c>
      <c r="L96" s="21">
        <f>IF($B96="","",IF(N(내역서!$F96)=0,"신규",IF($K96&lt;0,"감소",IF($K96&gt;0,"증가","-"))))</f>
        <v/>
      </c>
      <c r="M96" s="22" t="n"/>
      <c r="N96" s="23" t="n"/>
      <c r="O96" s="24">
        <f>IF($B96="","",IF($L96="감소",$G96,IF($L96="증가",IF($M96="Y",ROUND(($J96+$J96*('설정'!$C$15/100))/2,0),IF(AND($N96&lt;&gt;"",$G96&gt;$N96),$N96,$G96)),IF($L96="신규",IF($M96="Y",ROUND(($J96+$J96*('설정'!$C$15/100))/2,0),ROUND($J96*('설정'!$C$15/100),0)),0))))</f>
        <v/>
      </c>
      <c r="P96" s="24">
        <f>IF($B96="","",ROUND(N($K96)*N($O96),0))</f>
        <v/>
      </c>
      <c r="Q96" s="25">
        <f>IF($B96="","",IF($L96="감소","감소분 → 계약단가",IF(AND($M96="Y",OR($L96="증가",$L96="신규")),"발주기관 요구 → 협의 (불성립 시 (당시단가+당시단가×낙찰률)÷2)",IF($L96="증가",IF(AND($N96&lt;&gt;"",$G96&gt;$N96),"증가분 → 계약단가&gt;예정가격단가 이므로 예정가격단가","증가분 → 계약단가 (낙찰률을 곱하지 않습니다)"),IF($L96="신규","신규비목 → 당시단가 × 낙찰률","")))))</f>
        <v/>
      </c>
      <c r="R96" s="20">
        <f>IF($B96="","",IF(N($O96)=0,0,IF(OR($L96="감소",AND($L96="증가",$M96&lt;&gt;"Y")),IF(N($G96)=0,0,ROUND(N(내역서!$G96)*$O96/$G96,0)),IF(N($J96)=0,0,ROUND(N(내역서!$O96)*$O96/$J96,0)))))</f>
        <v/>
      </c>
      <c r="S96" s="20">
        <f>IF($B96="","",IF(N($O96)=0,0,IF(OR($L96="감소",AND($L96="증가",$M96&lt;&gt;"Y")),IF(N($G96)=0,0,ROUND(N(내역서!$H96)*$O96/$G96,0)),IF(N($J96)=0,0,ROUND(N(내역서!$P96)*$O96/$J96,0)))))</f>
        <v/>
      </c>
      <c r="T96" s="20">
        <f>IF($B96="","",N($O96)-N($R96)-N($S96))</f>
        <v/>
      </c>
      <c r="U96" s="20">
        <f>IF($B96="","",ROUND(N($K96)*N($R96),0))</f>
        <v/>
      </c>
      <c r="V96" s="20">
        <f>IF($B96="","",ROUND(N($K96)*N($S96),0))</f>
        <v/>
      </c>
      <c r="W96" s="20">
        <f>IF($B96="","",N($P96)-N($U96)-N($V96))</f>
        <v/>
      </c>
    </row>
    <row r="97">
      <c r="A97" s="18">
        <f>IF($B97="","",ROW()-4+1)</f>
        <v/>
      </c>
      <c r="B97" s="18">
        <f>내역서!$B97</f>
        <v/>
      </c>
      <c r="C97" s="18">
        <f>IF($B97="","",내역서!$C97)</f>
        <v/>
      </c>
      <c r="D97" s="18">
        <f>IF($B97="","",내역서!$D97)</f>
        <v/>
      </c>
      <c r="E97" s="18">
        <f>IF($B97="","",내역서!$E97)</f>
        <v/>
      </c>
      <c r="F97" s="19">
        <f>IF($B97="","",N(내역서!$F97))</f>
        <v/>
      </c>
      <c r="G97" s="20">
        <f>IF($B97="","",N(내역서!$J97))</f>
        <v/>
      </c>
      <c r="H97" s="20">
        <f>IF($B97="","",N(내역서!$K97))</f>
        <v/>
      </c>
      <c r="I97" s="19">
        <f>IF($B97="","",N(내역서!$N97))</f>
        <v/>
      </c>
      <c r="J97" s="20">
        <f>IF($B97="","",N(내역서!$R97))</f>
        <v/>
      </c>
      <c r="K97" s="19">
        <f>IF($B97="","",N($I97)-N($F97))</f>
        <v/>
      </c>
      <c r="L97" s="21">
        <f>IF($B97="","",IF(N(내역서!$F97)=0,"신규",IF($K97&lt;0,"감소",IF($K97&gt;0,"증가","-"))))</f>
        <v/>
      </c>
      <c r="M97" s="22" t="n"/>
      <c r="N97" s="23" t="n"/>
      <c r="O97" s="24">
        <f>IF($B97="","",IF($L97="감소",$G97,IF($L97="증가",IF($M97="Y",ROUND(($J97+$J97*('설정'!$C$15/100))/2,0),IF(AND($N97&lt;&gt;"",$G97&gt;$N97),$N97,$G97)),IF($L97="신규",IF($M97="Y",ROUND(($J97+$J97*('설정'!$C$15/100))/2,0),ROUND($J97*('설정'!$C$15/100),0)),0))))</f>
        <v/>
      </c>
      <c r="P97" s="24">
        <f>IF($B97="","",ROUND(N($K97)*N($O97),0))</f>
        <v/>
      </c>
      <c r="Q97" s="25">
        <f>IF($B97="","",IF($L97="감소","감소분 → 계약단가",IF(AND($M97="Y",OR($L97="증가",$L97="신규")),"발주기관 요구 → 협의 (불성립 시 (당시단가+당시단가×낙찰률)÷2)",IF($L97="증가",IF(AND($N97&lt;&gt;"",$G97&gt;$N97),"증가분 → 계약단가&gt;예정가격단가 이므로 예정가격단가","증가분 → 계약단가 (낙찰률을 곱하지 않습니다)"),IF($L97="신규","신규비목 → 당시단가 × 낙찰률","")))))</f>
        <v/>
      </c>
      <c r="R97" s="20">
        <f>IF($B97="","",IF(N($O97)=0,0,IF(OR($L97="감소",AND($L97="증가",$M97&lt;&gt;"Y")),IF(N($G97)=0,0,ROUND(N(내역서!$G97)*$O97/$G97,0)),IF(N($J97)=0,0,ROUND(N(내역서!$O97)*$O97/$J97,0)))))</f>
        <v/>
      </c>
      <c r="S97" s="20">
        <f>IF($B97="","",IF(N($O97)=0,0,IF(OR($L97="감소",AND($L97="증가",$M97&lt;&gt;"Y")),IF(N($G97)=0,0,ROUND(N(내역서!$H97)*$O97/$G97,0)),IF(N($J97)=0,0,ROUND(N(내역서!$P97)*$O97/$J97,0)))))</f>
        <v/>
      </c>
      <c r="T97" s="20">
        <f>IF($B97="","",N($O97)-N($R97)-N($S97))</f>
        <v/>
      </c>
      <c r="U97" s="20">
        <f>IF($B97="","",ROUND(N($K97)*N($R97),0))</f>
        <v/>
      </c>
      <c r="V97" s="20">
        <f>IF($B97="","",ROUND(N($K97)*N($S97),0))</f>
        <v/>
      </c>
      <c r="W97" s="20">
        <f>IF($B97="","",N($P97)-N($U97)-N($V97))</f>
        <v/>
      </c>
    </row>
    <row r="98">
      <c r="A98" s="18">
        <f>IF($B98="","",ROW()-4+1)</f>
        <v/>
      </c>
      <c r="B98" s="18">
        <f>내역서!$B98</f>
        <v/>
      </c>
      <c r="C98" s="18">
        <f>IF($B98="","",내역서!$C98)</f>
        <v/>
      </c>
      <c r="D98" s="18">
        <f>IF($B98="","",내역서!$D98)</f>
        <v/>
      </c>
      <c r="E98" s="18">
        <f>IF($B98="","",내역서!$E98)</f>
        <v/>
      </c>
      <c r="F98" s="19">
        <f>IF($B98="","",N(내역서!$F98))</f>
        <v/>
      </c>
      <c r="G98" s="20">
        <f>IF($B98="","",N(내역서!$J98))</f>
        <v/>
      </c>
      <c r="H98" s="20">
        <f>IF($B98="","",N(내역서!$K98))</f>
        <v/>
      </c>
      <c r="I98" s="19">
        <f>IF($B98="","",N(내역서!$N98))</f>
        <v/>
      </c>
      <c r="J98" s="20">
        <f>IF($B98="","",N(내역서!$R98))</f>
        <v/>
      </c>
      <c r="K98" s="19">
        <f>IF($B98="","",N($I98)-N($F98))</f>
        <v/>
      </c>
      <c r="L98" s="21">
        <f>IF($B98="","",IF(N(내역서!$F98)=0,"신규",IF($K98&lt;0,"감소",IF($K98&gt;0,"증가","-"))))</f>
        <v/>
      </c>
      <c r="M98" s="22" t="n"/>
      <c r="N98" s="23" t="n"/>
      <c r="O98" s="24">
        <f>IF($B98="","",IF($L98="감소",$G98,IF($L98="증가",IF($M98="Y",ROUND(($J98+$J98*('설정'!$C$15/100))/2,0),IF(AND($N98&lt;&gt;"",$G98&gt;$N98),$N98,$G98)),IF($L98="신규",IF($M98="Y",ROUND(($J98+$J98*('설정'!$C$15/100))/2,0),ROUND($J98*('설정'!$C$15/100),0)),0))))</f>
        <v/>
      </c>
      <c r="P98" s="24">
        <f>IF($B98="","",ROUND(N($K98)*N($O98),0))</f>
        <v/>
      </c>
      <c r="Q98" s="25">
        <f>IF($B98="","",IF($L98="감소","감소분 → 계약단가",IF(AND($M98="Y",OR($L98="증가",$L98="신규")),"발주기관 요구 → 협의 (불성립 시 (당시단가+당시단가×낙찰률)÷2)",IF($L98="증가",IF(AND($N98&lt;&gt;"",$G98&gt;$N98),"증가분 → 계약단가&gt;예정가격단가 이므로 예정가격단가","증가분 → 계약단가 (낙찰률을 곱하지 않습니다)"),IF($L98="신규","신규비목 → 당시단가 × 낙찰률","")))))</f>
        <v/>
      </c>
      <c r="R98" s="20">
        <f>IF($B98="","",IF(N($O98)=0,0,IF(OR($L98="감소",AND($L98="증가",$M98&lt;&gt;"Y")),IF(N($G98)=0,0,ROUND(N(내역서!$G98)*$O98/$G98,0)),IF(N($J98)=0,0,ROUND(N(내역서!$O98)*$O98/$J98,0)))))</f>
        <v/>
      </c>
      <c r="S98" s="20">
        <f>IF($B98="","",IF(N($O98)=0,0,IF(OR($L98="감소",AND($L98="증가",$M98&lt;&gt;"Y")),IF(N($G98)=0,0,ROUND(N(내역서!$H98)*$O98/$G98,0)),IF(N($J98)=0,0,ROUND(N(내역서!$P98)*$O98/$J98,0)))))</f>
        <v/>
      </c>
      <c r="T98" s="20">
        <f>IF($B98="","",N($O98)-N($R98)-N($S98))</f>
        <v/>
      </c>
      <c r="U98" s="20">
        <f>IF($B98="","",ROUND(N($K98)*N($R98),0))</f>
        <v/>
      </c>
      <c r="V98" s="20">
        <f>IF($B98="","",ROUND(N($K98)*N($S98),0))</f>
        <v/>
      </c>
      <c r="W98" s="20">
        <f>IF($B98="","",N($P98)-N($U98)-N($V98))</f>
        <v/>
      </c>
    </row>
    <row r="99">
      <c r="A99" s="18">
        <f>IF($B99="","",ROW()-4+1)</f>
        <v/>
      </c>
      <c r="B99" s="18">
        <f>내역서!$B99</f>
        <v/>
      </c>
      <c r="C99" s="18">
        <f>IF($B99="","",내역서!$C99)</f>
        <v/>
      </c>
      <c r="D99" s="18">
        <f>IF($B99="","",내역서!$D99)</f>
        <v/>
      </c>
      <c r="E99" s="18">
        <f>IF($B99="","",내역서!$E99)</f>
        <v/>
      </c>
      <c r="F99" s="19">
        <f>IF($B99="","",N(내역서!$F99))</f>
        <v/>
      </c>
      <c r="G99" s="20">
        <f>IF($B99="","",N(내역서!$J99))</f>
        <v/>
      </c>
      <c r="H99" s="20">
        <f>IF($B99="","",N(내역서!$K99))</f>
        <v/>
      </c>
      <c r="I99" s="19">
        <f>IF($B99="","",N(내역서!$N99))</f>
        <v/>
      </c>
      <c r="J99" s="20">
        <f>IF($B99="","",N(내역서!$R99))</f>
        <v/>
      </c>
      <c r="K99" s="19">
        <f>IF($B99="","",N($I99)-N($F99))</f>
        <v/>
      </c>
      <c r="L99" s="21">
        <f>IF($B99="","",IF(N(내역서!$F99)=0,"신규",IF($K99&lt;0,"감소",IF($K99&gt;0,"증가","-"))))</f>
        <v/>
      </c>
      <c r="M99" s="22" t="n"/>
      <c r="N99" s="23" t="n"/>
      <c r="O99" s="24">
        <f>IF($B99="","",IF($L99="감소",$G99,IF($L99="증가",IF($M99="Y",ROUND(($J99+$J99*('설정'!$C$15/100))/2,0),IF(AND($N99&lt;&gt;"",$G99&gt;$N99),$N99,$G99)),IF($L99="신규",IF($M99="Y",ROUND(($J99+$J99*('설정'!$C$15/100))/2,0),ROUND($J99*('설정'!$C$15/100),0)),0))))</f>
        <v/>
      </c>
      <c r="P99" s="24">
        <f>IF($B99="","",ROUND(N($K99)*N($O99),0))</f>
        <v/>
      </c>
      <c r="Q99" s="25">
        <f>IF($B99="","",IF($L99="감소","감소분 → 계약단가",IF(AND($M99="Y",OR($L99="증가",$L99="신규")),"발주기관 요구 → 협의 (불성립 시 (당시단가+당시단가×낙찰률)÷2)",IF($L99="증가",IF(AND($N99&lt;&gt;"",$G99&gt;$N99),"증가분 → 계약단가&gt;예정가격단가 이므로 예정가격단가","증가분 → 계약단가 (낙찰률을 곱하지 않습니다)"),IF($L99="신규","신규비목 → 당시단가 × 낙찰률","")))))</f>
        <v/>
      </c>
      <c r="R99" s="20">
        <f>IF($B99="","",IF(N($O99)=0,0,IF(OR($L99="감소",AND($L99="증가",$M99&lt;&gt;"Y")),IF(N($G99)=0,0,ROUND(N(내역서!$G99)*$O99/$G99,0)),IF(N($J99)=0,0,ROUND(N(내역서!$O99)*$O99/$J99,0)))))</f>
        <v/>
      </c>
      <c r="S99" s="20">
        <f>IF($B99="","",IF(N($O99)=0,0,IF(OR($L99="감소",AND($L99="증가",$M99&lt;&gt;"Y")),IF(N($G99)=0,0,ROUND(N(내역서!$H99)*$O99/$G99,0)),IF(N($J99)=0,0,ROUND(N(내역서!$P99)*$O99/$J99,0)))))</f>
        <v/>
      </c>
      <c r="T99" s="20">
        <f>IF($B99="","",N($O99)-N($R99)-N($S99))</f>
        <v/>
      </c>
      <c r="U99" s="20">
        <f>IF($B99="","",ROUND(N($K99)*N($R99),0))</f>
        <v/>
      </c>
      <c r="V99" s="20">
        <f>IF($B99="","",ROUND(N($K99)*N($S99),0))</f>
        <v/>
      </c>
      <c r="W99" s="20">
        <f>IF($B99="","",N($P99)-N($U99)-N($V99))</f>
        <v/>
      </c>
    </row>
    <row r="100">
      <c r="A100" s="18">
        <f>IF($B100="","",ROW()-4+1)</f>
        <v/>
      </c>
      <c r="B100" s="18">
        <f>내역서!$B100</f>
        <v/>
      </c>
      <c r="C100" s="18">
        <f>IF($B100="","",내역서!$C100)</f>
        <v/>
      </c>
      <c r="D100" s="18">
        <f>IF($B100="","",내역서!$D100)</f>
        <v/>
      </c>
      <c r="E100" s="18">
        <f>IF($B100="","",내역서!$E100)</f>
        <v/>
      </c>
      <c r="F100" s="19">
        <f>IF($B100="","",N(내역서!$F100))</f>
        <v/>
      </c>
      <c r="G100" s="20">
        <f>IF($B100="","",N(내역서!$J100))</f>
        <v/>
      </c>
      <c r="H100" s="20">
        <f>IF($B100="","",N(내역서!$K100))</f>
        <v/>
      </c>
      <c r="I100" s="19">
        <f>IF($B100="","",N(내역서!$N100))</f>
        <v/>
      </c>
      <c r="J100" s="20">
        <f>IF($B100="","",N(내역서!$R100))</f>
        <v/>
      </c>
      <c r="K100" s="19">
        <f>IF($B100="","",N($I100)-N($F100))</f>
        <v/>
      </c>
      <c r="L100" s="21">
        <f>IF($B100="","",IF(N(내역서!$F100)=0,"신규",IF($K100&lt;0,"감소",IF($K100&gt;0,"증가","-"))))</f>
        <v/>
      </c>
      <c r="M100" s="22" t="n"/>
      <c r="N100" s="23" t="n"/>
      <c r="O100" s="24">
        <f>IF($B100="","",IF($L100="감소",$G100,IF($L100="증가",IF($M100="Y",ROUND(($J100+$J100*('설정'!$C$15/100))/2,0),IF(AND($N100&lt;&gt;"",$G100&gt;$N100),$N100,$G100)),IF($L100="신규",IF($M100="Y",ROUND(($J100+$J100*('설정'!$C$15/100))/2,0),ROUND($J100*('설정'!$C$15/100),0)),0))))</f>
        <v/>
      </c>
      <c r="P100" s="24">
        <f>IF($B100="","",ROUND(N($K100)*N($O100),0))</f>
        <v/>
      </c>
      <c r="Q100" s="25">
        <f>IF($B100="","",IF($L100="감소","감소분 → 계약단가",IF(AND($M100="Y",OR($L100="증가",$L100="신규")),"발주기관 요구 → 협의 (불성립 시 (당시단가+당시단가×낙찰률)÷2)",IF($L100="증가",IF(AND($N100&lt;&gt;"",$G100&gt;$N100),"증가분 → 계약단가&gt;예정가격단가 이므로 예정가격단가","증가분 → 계약단가 (낙찰률을 곱하지 않습니다)"),IF($L100="신규","신규비목 → 당시단가 × 낙찰률","")))))</f>
        <v/>
      </c>
      <c r="R100" s="20">
        <f>IF($B100="","",IF(N($O100)=0,0,IF(OR($L100="감소",AND($L100="증가",$M100&lt;&gt;"Y")),IF(N($G100)=0,0,ROUND(N(내역서!$G100)*$O100/$G100,0)),IF(N($J100)=0,0,ROUND(N(내역서!$O100)*$O100/$J100,0)))))</f>
        <v/>
      </c>
      <c r="S100" s="20">
        <f>IF($B100="","",IF(N($O100)=0,0,IF(OR($L100="감소",AND($L100="증가",$M100&lt;&gt;"Y")),IF(N($G100)=0,0,ROUND(N(내역서!$H100)*$O100/$G100,0)),IF(N($J100)=0,0,ROUND(N(내역서!$P100)*$O100/$J100,0)))))</f>
        <v/>
      </c>
      <c r="T100" s="20">
        <f>IF($B100="","",N($O100)-N($R100)-N($S100))</f>
        <v/>
      </c>
      <c r="U100" s="20">
        <f>IF($B100="","",ROUND(N($K100)*N($R100),0))</f>
        <v/>
      </c>
      <c r="V100" s="20">
        <f>IF($B100="","",ROUND(N($K100)*N($S100),0))</f>
        <v/>
      </c>
      <c r="W100" s="20">
        <f>IF($B100="","",N($P100)-N($U100)-N($V100))</f>
        <v/>
      </c>
    </row>
    <row r="101">
      <c r="A101" s="18">
        <f>IF($B101="","",ROW()-4+1)</f>
        <v/>
      </c>
      <c r="B101" s="18">
        <f>내역서!$B101</f>
        <v/>
      </c>
      <c r="C101" s="18">
        <f>IF($B101="","",내역서!$C101)</f>
        <v/>
      </c>
      <c r="D101" s="18">
        <f>IF($B101="","",내역서!$D101)</f>
        <v/>
      </c>
      <c r="E101" s="18">
        <f>IF($B101="","",내역서!$E101)</f>
        <v/>
      </c>
      <c r="F101" s="19">
        <f>IF($B101="","",N(내역서!$F101))</f>
        <v/>
      </c>
      <c r="G101" s="20">
        <f>IF($B101="","",N(내역서!$J101))</f>
        <v/>
      </c>
      <c r="H101" s="20">
        <f>IF($B101="","",N(내역서!$K101))</f>
        <v/>
      </c>
      <c r="I101" s="19">
        <f>IF($B101="","",N(내역서!$N101))</f>
        <v/>
      </c>
      <c r="J101" s="20">
        <f>IF($B101="","",N(내역서!$R101))</f>
        <v/>
      </c>
      <c r="K101" s="19">
        <f>IF($B101="","",N($I101)-N($F101))</f>
        <v/>
      </c>
      <c r="L101" s="21">
        <f>IF($B101="","",IF(N(내역서!$F101)=0,"신규",IF($K101&lt;0,"감소",IF($K101&gt;0,"증가","-"))))</f>
        <v/>
      </c>
      <c r="M101" s="22" t="n"/>
      <c r="N101" s="23" t="n"/>
      <c r="O101" s="24">
        <f>IF($B101="","",IF($L101="감소",$G101,IF($L101="증가",IF($M101="Y",ROUND(($J101+$J101*('설정'!$C$15/100))/2,0),IF(AND($N101&lt;&gt;"",$G101&gt;$N101),$N101,$G101)),IF($L101="신규",IF($M101="Y",ROUND(($J101+$J101*('설정'!$C$15/100))/2,0),ROUND($J101*('설정'!$C$15/100),0)),0))))</f>
        <v/>
      </c>
      <c r="P101" s="24">
        <f>IF($B101="","",ROUND(N($K101)*N($O101),0))</f>
        <v/>
      </c>
      <c r="Q101" s="25">
        <f>IF($B101="","",IF($L101="감소","감소분 → 계약단가",IF(AND($M101="Y",OR($L101="증가",$L101="신규")),"발주기관 요구 → 협의 (불성립 시 (당시단가+당시단가×낙찰률)÷2)",IF($L101="증가",IF(AND($N101&lt;&gt;"",$G101&gt;$N101),"증가분 → 계약단가&gt;예정가격단가 이므로 예정가격단가","증가분 → 계약단가 (낙찰률을 곱하지 않습니다)"),IF($L101="신규","신규비목 → 당시단가 × 낙찰률","")))))</f>
        <v/>
      </c>
      <c r="R101" s="20">
        <f>IF($B101="","",IF(N($O101)=0,0,IF(OR($L101="감소",AND($L101="증가",$M101&lt;&gt;"Y")),IF(N($G101)=0,0,ROUND(N(내역서!$G101)*$O101/$G101,0)),IF(N($J101)=0,0,ROUND(N(내역서!$O101)*$O101/$J101,0)))))</f>
        <v/>
      </c>
      <c r="S101" s="20">
        <f>IF($B101="","",IF(N($O101)=0,0,IF(OR($L101="감소",AND($L101="증가",$M101&lt;&gt;"Y")),IF(N($G101)=0,0,ROUND(N(내역서!$H101)*$O101/$G101,0)),IF(N($J101)=0,0,ROUND(N(내역서!$P101)*$O101/$J101,0)))))</f>
        <v/>
      </c>
      <c r="T101" s="20">
        <f>IF($B101="","",N($O101)-N($R101)-N($S101))</f>
        <v/>
      </c>
      <c r="U101" s="20">
        <f>IF($B101="","",ROUND(N($K101)*N($R101),0))</f>
        <v/>
      </c>
      <c r="V101" s="20">
        <f>IF($B101="","",ROUND(N($K101)*N($S101),0))</f>
        <v/>
      </c>
      <c r="W101" s="20">
        <f>IF($B101="","",N($P101)-N($U101)-N($V101))</f>
        <v/>
      </c>
    </row>
    <row r="102">
      <c r="A102" s="18">
        <f>IF($B102="","",ROW()-4+1)</f>
        <v/>
      </c>
      <c r="B102" s="18">
        <f>내역서!$B102</f>
        <v/>
      </c>
      <c r="C102" s="18">
        <f>IF($B102="","",내역서!$C102)</f>
        <v/>
      </c>
      <c r="D102" s="18">
        <f>IF($B102="","",내역서!$D102)</f>
        <v/>
      </c>
      <c r="E102" s="18">
        <f>IF($B102="","",내역서!$E102)</f>
        <v/>
      </c>
      <c r="F102" s="19">
        <f>IF($B102="","",N(내역서!$F102))</f>
        <v/>
      </c>
      <c r="G102" s="20">
        <f>IF($B102="","",N(내역서!$J102))</f>
        <v/>
      </c>
      <c r="H102" s="20">
        <f>IF($B102="","",N(내역서!$K102))</f>
        <v/>
      </c>
      <c r="I102" s="19">
        <f>IF($B102="","",N(내역서!$N102))</f>
        <v/>
      </c>
      <c r="J102" s="20">
        <f>IF($B102="","",N(내역서!$R102))</f>
        <v/>
      </c>
      <c r="K102" s="19">
        <f>IF($B102="","",N($I102)-N($F102))</f>
        <v/>
      </c>
      <c r="L102" s="21">
        <f>IF($B102="","",IF(N(내역서!$F102)=0,"신규",IF($K102&lt;0,"감소",IF($K102&gt;0,"증가","-"))))</f>
        <v/>
      </c>
      <c r="M102" s="22" t="n"/>
      <c r="N102" s="23" t="n"/>
      <c r="O102" s="24">
        <f>IF($B102="","",IF($L102="감소",$G102,IF($L102="증가",IF($M102="Y",ROUND(($J102+$J102*('설정'!$C$15/100))/2,0),IF(AND($N102&lt;&gt;"",$G102&gt;$N102),$N102,$G102)),IF($L102="신규",IF($M102="Y",ROUND(($J102+$J102*('설정'!$C$15/100))/2,0),ROUND($J102*('설정'!$C$15/100),0)),0))))</f>
        <v/>
      </c>
      <c r="P102" s="24">
        <f>IF($B102="","",ROUND(N($K102)*N($O102),0))</f>
        <v/>
      </c>
      <c r="Q102" s="25">
        <f>IF($B102="","",IF($L102="감소","감소분 → 계약단가",IF(AND($M102="Y",OR($L102="증가",$L102="신규")),"발주기관 요구 → 협의 (불성립 시 (당시단가+당시단가×낙찰률)÷2)",IF($L102="증가",IF(AND($N102&lt;&gt;"",$G102&gt;$N102),"증가분 → 계약단가&gt;예정가격단가 이므로 예정가격단가","증가분 → 계약단가 (낙찰률을 곱하지 않습니다)"),IF($L102="신규","신규비목 → 당시단가 × 낙찰률","")))))</f>
        <v/>
      </c>
      <c r="R102" s="20">
        <f>IF($B102="","",IF(N($O102)=0,0,IF(OR($L102="감소",AND($L102="증가",$M102&lt;&gt;"Y")),IF(N($G102)=0,0,ROUND(N(내역서!$G102)*$O102/$G102,0)),IF(N($J102)=0,0,ROUND(N(내역서!$O102)*$O102/$J102,0)))))</f>
        <v/>
      </c>
      <c r="S102" s="20">
        <f>IF($B102="","",IF(N($O102)=0,0,IF(OR($L102="감소",AND($L102="증가",$M102&lt;&gt;"Y")),IF(N($G102)=0,0,ROUND(N(내역서!$H102)*$O102/$G102,0)),IF(N($J102)=0,0,ROUND(N(내역서!$P102)*$O102/$J102,0)))))</f>
        <v/>
      </c>
      <c r="T102" s="20">
        <f>IF($B102="","",N($O102)-N($R102)-N($S102))</f>
        <v/>
      </c>
      <c r="U102" s="20">
        <f>IF($B102="","",ROUND(N($K102)*N($R102),0))</f>
        <v/>
      </c>
      <c r="V102" s="20">
        <f>IF($B102="","",ROUND(N($K102)*N($S102),0))</f>
        <v/>
      </c>
      <c r="W102" s="20">
        <f>IF($B102="","",N($P102)-N($U102)-N($V102))</f>
        <v/>
      </c>
    </row>
    <row r="103">
      <c r="A103" s="18">
        <f>IF($B103="","",ROW()-4+1)</f>
        <v/>
      </c>
      <c r="B103" s="18">
        <f>내역서!$B103</f>
        <v/>
      </c>
      <c r="C103" s="18">
        <f>IF($B103="","",내역서!$C103)</f>
        <v/>
      </c>
      <c r="D103" s="18">
        <f>IF($B103="","",내역서!$D103)</f>
        <v/>
      </c>
      <c r="E103" s="18">
        <f>IF($B103="","",내역서!$E103)</f>
        <v/>
      </c>
      <c r="F103" s="19">
        <f>IF($B103="","",N(내역서!$F103))</f>
        <v/>
      </c>
      <c r="G103" s="20">
        <f>IF($B103="","",N(내역서!$J103))</f>
        <v/>
      </c>
      <c r="H103" s="20">
        <f>IF($B103="","",N(내역서!$K103))</f>
        <v/>
      </c>
      <c r="I103" s="19">
        <f>IF($B103="","",N(내역서!$N103))</f>
        <v/>
      </c>
      <c r="J103" s="20">
        <f>IF($B103="","",N(내역서!$R103))</f>
        <v/>
      </c>
      <c r="K103" s="19">
        <f>IF($B103="","",N($I103)-N($F103))</f>
        <v/>
      </c>
      <c r="L103" s="21">
        <f>IF($B103="","",IF(N(내역서!$F103)=0,"신규",IF($K103&lt;0,"감소",IF($K103&gt;0,"증가","-"))))</f>
        <v/>
      </c>
      <c r="M103" s="22" t="n"/>
      <c r="N103" s="23" t="n"/>
      <c r="O103" s="24">
        <f>IF($B103="","",IF($L103="감소",$G103,IF($L103="증가",IF($M103="Y",ROUND(($J103+$J103*('설정'!$C$15/100))/2,0),IF(AND($N103&lt;&gt;"",$G103&gt;$N103),$N103,$G103)),IF($L103="신규",IF($M103="Y",ROUND(($J103+$J103*('설정'!$C$15/100))/2,0),ROUND($J103*('설정'!$C$15/100),0)),0))))</f>
        <v/>
      </c>
      <c r="P103" s="24">
        <f>IF($B103="","",ROUND(N($K103)*N($O103),0))</f>
        <v/>
      </c>
      <c r="Q103" s="25">
        <f>IF($B103="","",IF($L103="감소","감소분 → 계약단가",IF(AND($M103="Y",OR($L103="증가",$L103="신규")),"발주기관 요구 → 협의 (불성립 시 (당시단가+당시단가×낙찰률)÷2)",IF($L103="증가",IF(AND($N103&lt;&gt;"",$G103&gt;$N103),"증가분 → 계약단가&gt;예정가격단가 이므로 예정가격단가","증가분 → 계약단가 (낙찰률을 곱하지 않습니다)"),IF($L103="신규","신규비목 → 당시단가 × 낙찰률","")))))</f>
        <v/>
      </c>
      <c r="R103" s="20">
        <f>IF($B103="","",IF(N($O103)=0,0,IF(OR($L103="감소",AND($L103="증가",$M103&lt;&gt;"Y")),IF(N($G103)=0,0,ROUND(N(내역서!$G103)*$O103/$G103,0)),IF(N($J103)=0,0,ROUND(N(내역서!$O103)*$O103/$J103,0)))))</f>
        <v/>
      </c>
      <c r="S103" s="20">
        <f>IF($B103="","",IF(N($O103)=0,0,IF(OR($L103="감소",AND($L103="증가",$M103&lt;&gt;"Y")),IF(N($G103)=0,0,ROUND(N(내역서!$H103)*$O103/$G103,0)),IF(N($J103)=0,0,ROUND(N(내역서!$P103)*$O103/$J103,0)))))</f>
        <v/>
      </c>
      <c r="T103" s="20">
        <f>IF($B103="","",N($O103)-N($R103)-N($S103))</f>
        <v/>
      </c>
      <c r="U103" s="20">
        <f>IF($B103="","",ROUND(N($K103)*N($R103),0))</f>
        <v/>
      </c>
      <c r="V103" s="20">
        <f>IF($B103="","",ROUND(N($K103)*N($S103),0))</f>
        <v/>
      </c>
      <c r="W103" s="20">
        <f>IF($B103="","",N($P103)-N($U103)-N($V103))</f>
        <v/>
      </c>
    </row>
    <row r="104">
      <c r="A104" s="18">
        <f>IF($B104="","",ROW()-4+1)</f>
        <v/>
      </c>
      <c r="B104" s="18">
        <f>내역서!$B104</f>
        <v/>
      </c>
      <c r="C104" s="18">
        <f>IF($B104="","",내역서!$C104)</f>
        <v/>
      </c>
      <c r="D104" s="18">
        <f>IF($B104="","",내역서!$D104)</f>
        <v/>
      </c>
      <c r="E104" s="18">
        <f>IF($B104="","",내역서!$E104)</f>
        <v/>
      </c>
      <c r="F104" s="19">
        <f>IF($B104="","",N(내역서!$F104))</f>
        <v/>
      </c>
      <c r="G104" s="20">
        <f>IF($B104="","",N(내역서!$J104))</f>
        <v/>
      </c>
      <c r="H104" s="20">
        <f>IF($B104="","",N(내역서!$K104))</f>
        <v/>
      </c>
      <c r="I104" s="19">
        <f>IF($B104="","",N(내역서!$N104))</f>
        <v/>
      </c>
      <c r="J104" s="20">
        <f>IF($B104="","",N(내역서!$R104))</f>
        <v/>
      </c>
      <c r="K104" s="19">
        <f>IF($B104="","",N($I104)-N($F104))</f>
        <v/>
      </c>
      <c r="L104" s="21">
        <f>IF($B104="","",IF(N(내역서!$F104)=0,"신규",IF($K104&lt;0,"감소",IF($K104&gt;0,"증가","-"))))</f>
        <v/>
      </c>
      <c r="M104" s="22" t="n"/>
      <c r="N104" s="23" t="n"/>
      <c r="O104" s="24">
        <f>IF($B104="","",IF($L104="감소",$G104,IF($L104="증가",IF($M104="Y",ROUND(($J104+$J104*('설정'!$C$15/100))/2,0),IF(AND($N104&lt;&gt;"",$G104&gt;$N104),$N104,$G104)),IF($L104="신규",IF($M104="Y",ROUND(($J104+$J104*('설정'!$C$15/100))/2,0),ROUND($J104*('설정'!$C$15/100),0)),0))))</f>
        <v/>
      </c>
      <c r="P104" s="24">
        <f>IF($B104="","",ROUND(N($K104)*N($O104),0))</f>
        <v/>
      </c>
      <c r="Q104" s="25">
        <f>IF($B104="","",IF($L104="감소","감소분 → 계약단가",IF(AND($M104="Y",OR($L104="증가",$L104="신규")),"발주기관 요구 → 협의 (불성립 시 (당시단가+당시단가×낙찰률)÷2)",IF($L104="증가",IF(AND($N104&lt;&gt;"",$G104&gt;$N104),"증가분 → 계약단가&gt;예정가격단가 이므로 예정가격단가","증가분 → 계약단가 (낙찰률을 곱하지 않습니다)"),IF($L104="신규","신규비목 → 당시단가 × 낙찰률","")))))</f>
        <v/>
      </c>
      <c r="R104" s="20">
        <f>IF($B104="","",IF(N($O104)=0,0,IF(OR($L104="감소",AND($L104="증가",$M104&lt;&gt;"Y")),IF(N($G104)=0,0,ROUND(N(내역서!$G104)*$O104/$G104,0)),IF(N($J104)=0,0,ROUND(N(내역서!$O104)*$O104/$J104,0)))))</f>
        <v/>
      </c>
      <c r="S104" s="20">
        <f>IF($B104="","",IF(N($O104)=0,0,IF(OR($L104="감소",AND($L104="증가",$M104&lt;&gt;"Y")),IF(N($G104)=0,0,ROUND(N(내역서!$H104)*$O104/$G104,0)),IF(N($J104)=0,0,ROUND(N(내역서!$P104)*$O104/$J104,0)))))</f>
        <v/>
      </c>
      <c r="T104" s="20">
        <f>IF($B104="","",N($O104)-N($R104)-N($S104))</f>
        <v/>
      </c>
      <c r="U104" s="20">
        <f>IF($B104="","",ROUND(N($K104)*N($R104),0))</f>
        <v/>
      </c>
      <c r="V104" s="20">
        <f>IF($B104="","",ROUND(N($K104)*N($S104),0))</f>
        <v/>
      </c>
      <c r="W104" s="20">
        <f>IF($B104="","",N($P104)-N($U104)-N($V104))</f>
        <v/>
      </c>
    </row>
    <row r="105">
      <c r="A105" s="18">
        <f>IF($B105="","",ROW()-4+1)</f>
        <v/>
      </c>
      <c r="B105" s="18">
        <f>내역서!$B105</f>
        <v/>
      </c>
      <c r="C105" s="18">
        <f>IF($B105="","",내역서!$C105)</f>
        <v/>
      </c>
      <c r="D105" s="18">
        <f>IF($B105="","",내역서!$D105)</f>
        <v/>
      </c>
      <c r="E105" s="18">
        <f>IF($B105="","",내역서!$E105)</f>
        <v/>
      </c>
      <c r="F105" s="19">
        <f>IF($B105="","",N(내역서!$F105))</f>
        <v/>
      </c>
      <c r="G105" s="20">
        <f>IF($B105="","",N(내역서!$J105))</f>
        <v/>
      </c>
      <c r="H105" s="20">
        <f>IF($B105="","",N(내역서!$K105))</f>
        <v/>
      </c>
      <c r="I105" s="19">
        <f>IF($B105="","",N(내역서!$N105))</f>
        <v/>
      </c>
      <c r="J105" s="20">
        <f>IF($B105="","",N(내역서!$R105))</f>
        <v/>
      </c>
      <c r="K105" s="19">
        <f>IF($B105="","",N($I105)-N($F105))</f>
        <v/>
      </c>
      <c r="L105" s="21">
        <f>IF($B105="","",IF(N(내역서!$F105)=0,"신규",IF($K105&lt;0,"감소",IF($K105&gt;0,"증가","-"))))</f>
        <v/>
      </c>
      <c r="M105" s="22" t="n"/>
      <c r="N105" s="23" t="n"/>
      <c r="O105" s="24">
        <f>IF($B105="","",IF($L105="감소",$G105,IF($L105="증가",IF($M105="Y",ROUND(($J105+$J105*('설정'!$C$15/100))/2,0),IF(AND($N105&lt;&gt;"",$G105&gt;$N105),$N105,$G105)),IF($L105="신규",IF($M105="Y",ROUND(($J105+$J105*('설정'!$C$15/100))/2,0),ROUND($J105*('설정'!$C$15/100),0)),0))))</f>
        <v/>
      </c>
      <c r="P105" s="24">
        <f>IF($B105="","",ROUND(N($K105)*N($O105),0))</f>
        <v/>
      </c>
      <c r="Q105" s="25">
        <f>IF($B105="","",IF($L105="감소","감소분 → 계약단가",IF(AND($M105="Y",OR($L105="증가",$L105="신규")),"발주기관 요구 → 협의 (불성립 시 (당시단가+당시단가×낙찰률)÷2)",IF($L105="증가",IF(AND($N105&lt;&gt;"",$G105&gt;$N105),"증가분 → 계약단가&gt;예정가격단가 이므로 예정가격단가","증가분 → 계약단가 (낙찰률을 곱하지 않습니다)"),IF($L105="신규","신규비목 → 당시단가 × 낙찰률","")))))</f>
        <v/>
      </c>
      <c r="R105" s="20">
        <f>IF($B105="","",IF(N($O105)=0,0,IF(OR($L105="감소",AND($L105="증가",$M105&lt;&gt;"Y")),IF(N($G105)=0,0,ROUND(N(내역서!$G105)*$O105/$G105,0)),IF(N($J105)=0,0,ROUND(N(내역서!$O105)*$O105/$J105,0)))))</f>
        <v/>
      </c>
      <c r="S105" s="20">
        <f>IF($B105="","",IF(N($O105)=0,0,IF(OR($L105="감소",AND($L105="증가",$M105&lt;&gt;"Y")),IF(N($G105)=0,0,ROUND(N(내역서!$H105)*$O105/$G105,0)),IF(N($J105)=0,0,ROUND(N(내역서!$P105)*$O105/$J105,0)))))</f>
        <v/>
      </c>
      <c r="T105" s="20">
        <f>IF($B105="","",N($O105)-N($R105)-N($S105))</f>
        <v/>
      </c>
      <c r="U105" s="20">
        <f>IF($B105="","",ROUND(N($K105)*N($R105),0))</f>
        <v/>
      </c>
      <c r="V105" s="20">
        <f>IF($B105="","",ROUND(N($K105)*N($S105),0))</f>
        <v/>
      </c>
      <c r="W105" s="20">
        <f>IF($B105="","",N($P105)-N($U105)-N($V105))</f>
        <v/>
      </c>
    </row>
    <row r="106">
      <c r="A106" s="18">
        <f>IF($B106="","",ROW()-4+1)</f>
        <v/>
      </c>
      <c r="B106" s="18">
        <f>내역서!$B106</f>
        <v/>
      </c>
      <c r="C106" s="18">
        <f>IF($B106="","",내역서!$C106)</f>
        <v/>
      </c>
      <c r="D106" s="18">
        <f>IF($B106="","",내역서!$D106)</f>
        <v/>
      </c>
      <c r="E106" s="18">
        <f>IF($B106="","",내역서!$E106)</f>
        <v/>
      </c>
      <c r="F106" s="19">
        <f>IF($B106="","",N(내역서!$F106))</f>
        <v/>
      </c>
      <c r="G106" s="20">
        <f>IF($B106="","",N(내역서!$J106))</f>
        <v/>
      </c>
      <c r="H106" s="20">
        <f>IF($B106="","",N(내역서!$K106))</f>
        <v/>
      </c>
      <c r="I106" s="19">
        <f>IF($B106="","",N(내역서!$N106))</f>
        <v/>
      </c>
      <c r="J106" s="20">
        <f>IF($B106="","",N(내역서!$R106))</f>
        <v/>
      </c>
      <c r="K106" s="19">
        <f>IF($B106="","",N($I106)-N($F106))</f>
        <v/>
      </c>
      <c r="L106" s="21">
        <f>IF($B106="","",IF(N(내역서!$F106)=0,"신규",IF($K106&lt;0,"감소",IF($K106&gt;0,"증가","-"))))</f>
        <v/>
      </c>
      <c r="M106" s="22" t="n"/>
      <c r="N106" s="23" t="n"/>
      <c r="O106" s="24">
        <f>IF($B106="","",IF($L106="감소",$G106,IF($L106="증가",IF($M106="Y",ROUND(($J106+$J106*('설정'!$C$15/100))/2,0),IF(AND($N106&lt;&gt;"",$G106&gt;$N106),$N106,$G106)),IF($L106="신규",IF($M106="Y",ROUND(($J106+$J106*('설정'!$C$15/100))/2,0),ROUND($J106*('설정'!$C$15/100),0)),0))))</f>
        <v/>
      </c>
      <c r="P106" s="24">
        <f>IF($B106="","",ROUND(N($K106)*N($O106),0))</f>
        <v/>
      </c>
      <c r="Q106" s="25">
        <f>IF($B106="","",IF($L106="감소","감소분 → 계약단가",IF(AND($M106="Y",OR($L106="증가",$L106="신규")),"발주기관 요구 → 협의 (불성립 시 (당시단가+당시단가×낙찰률)÷2)",IF($L106="증가",IF(AND($N106&lt;&gt;"",$G106&gt;$N106),"증가분 → 계약단가&gt;예정가격단가 이므로 예정가격단가","증가분 → 계약단가 (낙찰률을 곱하지 않습니다)"),IF($L106="신규","신규비목 → 당시단가 × 낙찰률","")))))</f>
        <v/>
      </c>
      <c r="R106" s="20">
        <f>IF($B106="","",IF(N($O106)=0,0,IF(OR($L106="감소",AND($L106="증가",$M106&lt;&gt;"Y")),IF(N($G106)=0,0,ROUND(N(내역서!$G106)*$O106/$G106,0)),IF(N($J106)=0,0,ROUND(N(내역서!$O106)*$O106/$J106,0)))))</f>
        <v/>
      </c>
      <c r="S106" s="20">
        <f>IF($B106="","",IF(N($O106)=0,0,IF(OR($L106="감소",AND($L106="증가",$M106&lt;&gt;"Y")),IF(N($G106)=0,0,ROUND(N(내역서!$H106)*$O106/$G106,0)),IF(N($J106)=0,0,ROUND(N(내역서!$P106)*$O106/$J106,0)))))</f>
        <v/>
      </c>
      <c r="T106" s="20">
        <f>IF($B106="","",N($O106)-N($R106)-N($S106))</f>
        <v/>
      </c>
      <c r="U106" s="20">
        <f>IF($B106="","",ROUND(N($K106)*N($R106),0))</f>
        <v/>
      </c>
      <c r="V106" s="20">
        <f>IF($B106="","",ROUND(N($K106)*N($S106),0))</f>
        <v/>
      </c>
      <c r="W106" s="20">
        <f>IF($B106="","",N($P106)-N($U106)-N($V106))</f>
        <v/>
      </c>
    </row>
    <row r="107">
      <c r="A107" s="18">
        <f>IF($B107="","",ROW()-4+1)</f>
        <v/>
      </c>
      <c r="B107" s="18">
        <f>내역서!$B107</f>
        <v/>
      </c>
      <c r="C107" s="18">
        <f>IF($B107="","",내역서!$C107)</f>
        <v/>
      </c>
      <c r="D107" s="18">
        <f>IF($B107="","",내역서!$D107)</f>
        <v/>
      </c>
      <c r="E107" s="18">
        <f>IF($B107="","",내역서!$E107)</f>
        <v/>
      </c>
      <c r="F107" s="19">
        <f>IF($B107="","",N(내역서!$F107))</f>
        <v/>
      </c>
      <c r="G107" s="20">
        <f>IF($B107="","",N(내역서!$J107))</f>
        <v/>
      </c>
      <c r="H107" s="20">
        <f>IF($B107="","",N(내역서!$K107))</f>
        <v/>
      </c>
      <c r="I107" s="19">
        <f>IF($B107="","",N(내역서!$N107))</f>
        <v/>
      </c>
      <c r="J107" s="20">
        <f>IF($B107="","",N(내역서!$R107))</f>
        <v/>
      </c>
      <c r="K107" s="19">
        <f>IF($B107="","",N($I107)-N($F107))</f>
        <v/>
      </c>
      <c r="L107" s="21">
        <f>IF($B107="","",IF(N(내역서!$F107)=0,"신규",IF($K107&lt;0,"감소",IF($K107&gt;0,"증가","-"))))</f>
        <v/>
      </c>
      <c r="M107" s="22" t="n"/>
      <c r="N107" s="23" t="n"/>
      <c r="O107" s="24">
        <f>IF($B107="","",IF($L107="감소",$G107,IF($L107="증가",IF($M107="Y",ROUND(($J107+$J107*('설정'!$C$15/100))/2,0),IF(AND($N107&lt;&gt;"",$G107&gt;$N107),$N107,$G107)),IF($L107="신규",IF($M107="Y",ROUND(($J107+$J107*('설정'!$C$15/100))/2,0),ROUND($J107*('설정'!$C$15/100),0)),0))))</f>
        <v/>
      </c>
      <c r="P107" s="24">
        <f>IF($B107="","",ROUND(N($K107)*N($O107),0))</f>
        <v/>
      </c>
      <c r="Q107" s="25">
        <f>IF($B107="","",IF($L107="감소","감소분 → 계약단가",IF(AND($M107="Y",OR($L107="증가",$L107="신규")),"발주기관 요구 → 협의 (불성립 시 (당시단가+당시단가×낙찰률)÷2)",IF($L107="증가",IF(AND($N107&lt;&gt;"",$G107&gt;$N107),"증가분 → 계약단가&gt;예정가격단가 이므로 예정가격단가","증가분 → 계약단가 (낙찰률을 곱하지 않습니다)"),IF($L107="신규","신규비목 → 당시단가 × 낙찰률","")))))</f>
        <v/>
      </c>
      <c r="R107" s="20">
        <f>IF($B107="","",IF(N($O107)=0,0,IF(OR($L107="감소",AND($L107="증가",$M107&lt;&gt;"Y")),IF(N($G107)=0,0,ROUND(N(내역서!$G107)*$O107/$G107,0)),IF(N($J107)=0,0,ROUND(N(내역서!$O107)*$O107/$J107,0)))))</f>
        <v/>
      </c>
      <c r="S107" s="20">
        <f>IF($B107="","",IF(N($O107)=0,0,IF(OR($L107="감소",AND($L107="증가",$M107&lt;&gt;"Y")),IF(N($G107)=0,0,ROUND(N(내역서!$H107)*$O107/$G107,0)),IF(N($J107)=0,0,ROUND(N(내역서!$P107)*$O107/$J107,0)))))</f>
        <v/>
      </c>
      <c r="T107" s="20">
        <f>IF($B107="","",N($O107)-N($R107)-N($S107))</f>
        <v/>
      </c>
      <c r="U107" s="20">
        <f>IF($B107="","",ROUND(N($K107)*N($R107),0))</f>
        <v/>
      </c>
      <c r="V107" s="20">
        <f>IF($B107="","",ROUND(N($K107)*N($S107),0))</f>
        <v/>
      </c>
      <c r="W107" s="20">
        <f>IF($B107="","",N($P107)-N($U107)-N($V107))</f>
        <v/>
      </c>
    </row>
    <row r="108">
      <c r="A108" s="18">
        <f>IF($B108="","",ROW()-4+1)</f>
        <v/>
      </c>
      <c r="B108" s="18">
        <f>내역서!$B108</f>
        <v/>
      </c>
      <c r="C108" s="18">
        <f>IF($B108="","",내역서!$C108)</f>
        <v/>
      </c>
      <c r="D108" s="18">
        <f>IF($B108="","",내역서!$D108)</f>
        <v/>
      </c>
      <c r="E108" s="18">
        <f>IF($B108="","",내역서!$E108)</f>
        <v/>
      </c>
      <c r="F108" s="19">
        <f>IF($B108="","",N(내역서!$F108))</f>
        <v/>
      </c>
      <c r="G108" s="20">
        <f>IF($B108="","",N(내역서!$J108))</f>
        <v/>
      </c>
      <c r="H108" s="20">
        <f>IF($B108="","",N(내역서!$K108))</f>
        <v/>
      </c>
      <c r="I108" s="19">
        <f>IF($B108="","",N(내역서!$N108))</f>
        <v/>
      </c>
      <c r="J108" s="20">
        <f>IF($B108="","",N(내역서!$R108))</f>
        <v/>
      </c>
      <c r="K108" s="19">
        <f>IF($B108="","",N($I108)-N($F108))</f>
        <v/>
      </c>
      <c r="L108" s="21">
        <f>IF($B108="","",IF(N(내역서!$F108)=0,"신규",IF($K108&lt;0,"감소",IF($K108&gt;0,"증가","-"))))</f>
        <v/>
      </c>
      <c r="M108" s="22" t="n"/>
      <c r="N108" s="23" t="n"/>
      <c r="O108" s="24">
        <f>IF($B108="","",IF($L108="감소",$G108,IF($L108="증가",IF($M108="Y",ROUND(($J108+$J108*('설정'!$C$15/100))/2,0),IF(AND($N108&lt;&gt;"",$G108&gt;$N108),$N108,$G108)),IF($L108="신규",IF($M108="Y",ROUND(($J108+$J108*('설정'!$C$15/100))/2,0),ROUND($J108*('설정'!$C$15/100),0)),0))))</f>
        <v/>
      </c>
      <c r="P108" s="24">
        <f>IF($B108="","",ROUND(N($K108)*N($O108),0))</f>
        <v/>
      </c>
      <c r="Q108" s="25">
        <f>IF($B108="","",IF($L108="감소","감소분 → 계약단가",IF(AND($M108="Y",OR($L108="증가",$L108="신규")),"발주기관 요구 → 협의 (불성립 시 (당시단가+당시단가×낙찰률)÷2)",IF($L108="증가",IF(AND($N108&lt;&gt;"",$G108&gt;$N108),"증가분 → 계약단가&gt;예정가격단가 이므로 예정가격단가","증가분 → 계약단가 (낙찰률을 곱하지 않습니다)"),IF($L108="신규","신규비목 → 당시단가 × 낙찰률","")))))</f>
        <v/>
      </c>
      <c r="R108" s="20">
        <f>IF($B108="","",IF(N($O108)=0,0,IF(OR($L108="감소",AND($L108="증가",$M108&lt;&gt;"Y")),IF(N($G108)=0,0,ROUND(N(내역서!$G108)*$O108/$G108,0)),IF(N($J108)=0,0,ROUND(N(내역서!$O108)*$O108/$J108,0)))))</f>
        <v/>
      </c>
      <c r="S108" s="20">
        <f>IF($B108="","",IF(N($O108)=0,0,IF(OR($L108="감소",AND($L108="증가",$M108&lt;&gt;"Y")),IF(N($G108)=0,0,ROUND(N(내역서!$H108)*$O108/$G108,0)),IF(N($J108)=0,0,ROUND(N(내역서!$P108)*$O108/$J108,0)))))</f>
        <v/>
      </c>
      <c r="T108" s="20">
        <f>IF($B108="","",N($O108)-N($R108)-N($S108))</f>
        <v/>
      </c>
      <c r="U108" s="20">
        <f>IF($B108="","",ROUND(N($K108)*N($R108),0))</f>
        <v/>
      </c>
      <c r="V108" s="20">
        <f>IF($B108="","",ROUND(N($K108)*N($S108),0))</f>
        <v/>
      </c>
      <c r="W108" s="20">
        <f>IF($B108="","",N($P108)-N($U108)-N($V108))</f>
        <v/>
      </c>
    </row>
    <row r="109">
      <c r="A109" s="18">
        <f>IF($B109="","",ROW()-4+1)</f>
        <v/>
      </c>
      <c r="B109" s="18">
        <f>내역서!$B109</f>
        <v/>
      </c>
      <c r="C109" s="18">
        <f>IF($B109="","",내역서!$C109)</f>
        <v/>
      </c>
      <c r="D109" s="18">
        <f>IF($B109="","",내역서!$D109)</f>
        <v/>
      </c>
      <c r="E109" s="18">
        <f>IF($B109="","",내역서!$E109)</f>
        <v/>
      </c>
      <c r="F109" s="19">
        <f>IF($B109="","",N(내역서!$F109))</f>
        <v/>
      </c>
      <c r="G109" s="20">
        <f>IF($B109="","",N(내역서!$J109))</f>
        <v/>
      </c>
      <c r="H109" s="20">
        <f>IF($B109="","",N(내역서!$K109))</f>
        <v/>
      </c>
      <c r="I109" s="19">
        <f>IF($B109="","",N(내역서!$N109))</f>
        <v/>
      </c>
      <c r="J109" s="20">
        <f>IF($B109="","",N(내역서!$R109))</f>
        <v/>
      </c>
      <c r="K109" s="19">
        <f>IF($B109="","",N($I109)-N($F109))</f>
        <v/>
      </c>
      <c r="L109" s="21">
        <f>IF($B109="","",IF(N(내역서!$F109)=0,"신규",IF($K109&lt;0,"감소",IF($K109&gt;0,"증가","-"))))</f>
        <v/>
      </c>
      <c r="M109" s="22" t="n"/>
      <c r="N109" s="23" t="n"/>
      <c r="O109" s="24">
        <f>IF($B109="","",IF($L109="감소",$G109,IF($L109="증가",IF($M109="Y",ROUND(($J109+$J109*('설정'!$C$15/100))/2,0),IF(AND($N109&lt;&gt;"",$G109&gt;$N109),$N109,$G109)),IF($L109="신규",IF($M109="Y",ROUND(($J109+$J109*('설정'!$C$15/100))/2,0),ROUND($J109*('설정'!$C$15/100),0)),0))))</f>
        <v/>
      </c>
      <c r="P109" s="24">
        <f>IF($B109="","",ROUND(N($K109)*N($O109),0))</f>
        <v/>
      </c>
      <c r="Q109" s="25">
        <f>IF($B109="","",IF($L109="감소","감소분 → 계약단가",IF(AND($M109="Y",OR($L109="증가",$L109="신규")),"발주기관 요구 → 협의 (불성립 시 (당시단가+당시단가×낙찰률)÷2)",IF($L109="증가",IF(AND($N109&lt;&gt;"",$G109&gt;$N109),"증가분 → 계약단가&gt;예정가격단가 이므로 예정가격단가","증가분 → 계약단가 (낙찰률을 곱하지 않습니다)"),IF($L109="신규","신규비목 → 당시단가 × 낙찰률","")))))</f>
        <v/>
      </c>
      <c r="R109" s="20">
        <f>IF($B109="","",IF(N($O109)=0,0,IF(OR($L109="감소",AND($L109="증가",$M109&lt;&gt;"Y")),IF(N($G109)=0,0,ROUND(N(내역서!$G109)*$O109/$G109,0)),IF(N($J109)=0,0,ROUND(N(내역서!$O109)*$O109/$J109,0)))))</f>
        <v/>
      </c>
      <c r="S109" s="20">
        <f>IF($B109="","",IF(N($O109)=0,0,IF(OR($L109="감소",AND($L109="증가",$M109&lt;&gt;"Y")),IF(N($G109)=0,0,ROUND(N(내역서!$H109)*$O109/$G109,0)),IF(N($J109)=0,0,ROUND(N(내역서!$P109)*$O109/$J109,0)))))</f>
        <v/>
      </c>
      <c r="T109" s="20">
        <f>IF($B109="","",N($O109)-N($R109)-N($S109))</f>
        <v/>
      </c>
      <c r="U109" s="20">
        <f>IF($B109="","",ROUND(N($K109)*N($R109),0))</f>
        <v/>
      </c>
      <c r="V109" s="20">
        <f>IF($B109="","",ROUND(N($K109)*N($S109),0))</f>
        <v/>
      </c>
      <c r="W109" s="20">
        <f>IF($B109="","",N($P109)-N($U109)-N($V109))</f>
        <v/>
      </c>
    </row>
    <row r="110">
      <c r="A110" s="18">
        <f>IF($B110="","",ROW()-4+1)</f>
        <v/>
      </c>
      <c r="B110" s="18">
        <f>내역서!$B110</f>
        <v/>
      </c>
      <c r="C110" s="18">
        <f>IF($B110="","",내역서!$C110)</f>
        <v/>
      </c>
      <c r="D110" s="18">
        <f>IF($B110="","",내역서!$D110)</f>
        <v/>
      </c>
      <c r="E110" s="18">
        <f>IF($B110="","",내역서!$E110)</f>
        <v/>
      </c>
      <c r="F110" s="19">
        <f>IF($B110="","",N(내역서!$F110))</f>
        <v/>
      </c>
      <c r="G110" s="20">
        <f>IF($B110="","",N(내역서!$J110))</f>
        <v/>
      </c>
      <c r="H110" s="20">
        <f>IF($B110="","",N(내역서!$K110))</f>
        <v/>
      </c>
      <c r="I110" s="19">
        <f>IF($B110="","",N(내역서!$N110))</f>
        <v/>
      </c>
      <c r="J110" s="20">
        <f>IF($B110="","",N(내역서!$R110))</f>
        <v/>
      </c>
      <c r="K110" s="19">
        <f>IF($B110="","",N($I110)-N($F110))</f>
        <v/>
      </c>
      <c r="L110" s="21">
        <f>IF($B110="","",IF(N(내역서!$F110)=0,"신규",IF($K110&lt;0,"감소",IF($K110&gt;0,"증가","-"))))</f>
        <v/>
      </c>
      <c r="M110" s="22" t="n"/>
      <c r="N110" s="23" t="n"/>
      <c r="O110" s="24">
        <f>IF($B110="","",IF($L110="감소",$G110,IF($L110="증가",IF($M110="Y",ROUND(($J110+$J110*('설정'!$C$15/100))/2,0),IF(AND($N110&lt;&gt;"",$G110&gt;$N110),$N110,$G110)),IF($L110="신규",IF($M110="Y",ROUND(($J110+$J110*('설정'!$C$15/100))/2,0),ROUND($J110*('설정'!$C$15/100),0)),0))))</f>
        <v/>
      </c>
      <c r="P110" s="24">
        <f>IF($B110="","",ROUND(N($K110)*N($O110),0))</f>
        <v/>
      </c>
      <c r="Q110" s="25">
        <f>IF($B110="","",IF($L110="감소","감소분 → 계약단가",IF(AND($M110="Y",OR($L110="증가",$L110="신규")),"발주기관 요구 → 협의 (불성립 시 (당시단가+당시단가×낙찰률)÷2)",IF($L110="증가",IF(AND($N110&lt;&gt;"",$G110&gt;$N110),"증가분 → 계약단가&gt;예정가격단가 이므로 예정가격단가","증가분 → 계약단가 (낙찰률을 곱하지 않습니다)"),IF($L110="신규","신규비목 → 당시단가 × 낙찰률","")))))</f>
        <v/>
      </c>
      <c r="R110" s="20">
        <f>IF($B110="","",IF(N($O110)=0,0,IF(OR($L110="감소",AND($L110="증가",$M110&lt;&gt;"Y")),IF(N($G110)=0,0,ROUND(N(내역서!$G110)*$O110/$G110,0)),IF(N($J110)=0,0,ROUND(N(내역서!$O110)*$O110/$J110,0)))))</f>
        <v/>
      </c>
      <c r="S110" s="20">
        <f>IF($B110="","",IF(N($O110)=0,0,IF(OR($L110="감소",AND($L110="증가",$M110&lt;&gt;"Y")),IF(N($G110)=0,0,ROUND(N(내역서!$H110)*$O110/$G110,0)),IF(N($J110)=0,0,ROUND(N(내역서!$P110)*$O110/$J110,0)))))</f>
        <v/>
      </c>
      <c r="T110" s="20">
        <f>IF($B110="","",N($O110)-N($R110)-N($S110))</f>
        <v/>
      </c>
      <c r="U110" s="20">
        <f>IF($B110="","",ROUND(N($K110)*N($R110),0))</f>
        <v/>
      </c>
      <c r="V110" s="20">
        <f>IF($B110="","",ROUND(N($K110)*N($S110),0))</f>
        <v/>
      </c>
      <c r="W110" s="20">
        <f>IF($B110="","",N($P110)-N($U110)-N($V110))</f>
        <v/>
      </c>
    </row>
    <row r="111">
      <c r="A111" s="18">
        <f>IF($B111="","",ROW()-4+1)</f>
        <v/>
      </c>
      <c r="B111" s="18">
        <f>내역서!$B111</f>
        <v/>
      </c>
      <c r="C111" s="18">
        <f>IF($B111="","",내역서!$C111)</f>
        <v/>
      </c>
      <c r="D111" s="18">
        <f>IF($B111="","",내역서!$D111)</f>
        <v/>
      </c>
      <c r="E111" s="18">
        <f>IF($B111="","",내역서!$E111)</f>
        <v/>
      </c>
      <c r="F111" s="19">
        <f>IF($B111="","",N(내역서!$F111))</f>
        <v/>
      </c>
      <c r="G111" s="20">
        <f>IF($B111="","",N(내역서!$J111))</f>
        <v/>
      </c>
      <c r="H111" s="20">
        <f>IF($B111="","",N(내역서!$K111))</f>
        <v/>
      </c>
      <c r="I111" s="19">
        <f>IF($B111="","",N(내역서!$N111))</f>
        <v/>
      </c>
      <c r="J111" s="20">
        <f>IF($B111="","",N(내역서!$R111))</f>
        <v/>
      </c>
      <c r="K111" s="19">
        <f>IF($B111="","",N($I111)-N($F111))</f>
        <v/>
      </c>
      <c r="L111" s="21">
        <f>IF($B111="","",IF(N(내역서!$F111)=0,"신규",IF($K111&lt;0,"감소",IF($K111&gt;0,"증가","-"))))</f>
        <v/>
      </c>
      <c r="M111" s="22" t="n"/>
      <c r="N111" s="23" t="n"/>
      <c r="O111" s="24">
        <f>IF($B111="","",IF($L111="감소",$G111,IF($L111="증가",IF($M111="Y",ROUND(($J111+$J111*('설정'!$C$15/100))/2,0),IF(AND($N111&lt;&gt;"",$G111&gt;$N111),$N111,$G111)),IF($L111="신규",IF($M111="Y",ROUND(($J111+$J111*('설정'!$C$15/100))/2,0),ROUND($J111*('설정'!$C$15/100),0)),0))))</f>
        <v/>
      </c>
      <c r="P111" s="24">
        <f>IF($B111="","",ROUND(N($K111)*N($O111),0))</f>
        <v/>
      </c>
      <c r="Q111" s="25">
        <f>IF($B111="","",IF($L111="감소","감소분 → 계약단가",IF(AND($M111="Y",OR($L111="증가",$L111="신규")),"발주기관 요구 → 협의 (불성립 시 (당시단가+당시단가×낙찰률)÷2)",IF($L111="증가",IF(AND($N111&lt;&gt;"",$G111&gt;$N111),"증가분 → 계약단가&gt;예정가격단가 이므로 예정가격단가","증가분 → 계약단가 (낙찰률을 곱하지 않습니다)"),IF($L111="신규","신규비목 → 당시단가 × 낙찰률","")))))</f>
        <v/>
      </c>
      <c r="R111" s="20">
        <f>IF($B111="","",IF(N($O111)=0,0,IF(OR($L111="감소",AND($L111="증가",$M111&lt;&gt;"Y")),IF(N($G111)=0,0,ROUND(N(내역서!$G111)*$O111/$G111,0)),IF(N($J111)=0,0,ROUND(N(내역서!$O111)*$O111/$J111,0)))))</f>
        <v/>
      </c>
      <c r="S111" s="20">
        <f>IF($B111="","",IF(N($O111)=0,0,IF(OR($L111="감소",AND($L111="증가",$M111&lt;&gt;"Y")),IF(N($G111)=0,0,ROUND(N(내역서!$H111)*$O111/$G111,0)),IF(N($J111)=0,0,ROUND(N(내역서!$P111)*$O111/$J111,0)))))</f>
        <v/>
      </c>
      <c r="T111" s="20">
        <f>IF($B111="","",N($O111)-N($R111)-N($S111))</f>
        <v/>
      </c>
      <c r="U111" s="20">
        <f>IF($B111="","",ROUND(N($K111)*N($R111),0))</f>
        <v/>
      </c>
      <c r="V111" s="20">
        <f>IF($B111="","",ROUND(N($K111)*N($S111),0))</f>
        <v/>
      </c>
      <c r="W111" s="20">
        <f>IF($B111="","",N($P111)-N($U111)-N($V111))</f>
        <v/>
      </c>
    </row>
    <row r="112">
      <c r="A112" s="18">
        <f>IF($B112="","",ROW()-4+1)</f>
        <v/>
      </c>
      <c r="B112" s="18">
        <f>내역서!$B112</f>
        <v/>
      </c>
      <c r="C112" s="18">
        <f>IF($B112="","",내역서!$C112)</f>
        <v/>
      </c>
      <c r="D112" s="18">
        <f>IF($B112="","",내역서!$D112)</f>
        <v/>
      </c>
      <c r="E112" s="18">
        <f>IF($B112="","",내역서!$E112)</f>
        <v/>
      </c>
      <c r="F112" s="19">
        <f>IF($B112="","",N(내역서!$F112))</f>
        <v/>
      </c>
      <c r="G112" s="20">
        <f>IF($B112="","",N(내역서!$J112))</f>
        <v/>
      </c>
      <c r="H112" s="20">
        <f>IF($B112="","",N(내역서!$K112))</f>
        <v/>
      </c>
      <c r="I112" s="19">
        <f>IF($B112="","",N(내역서!$N112))</f>
        <v/>
      </c>
      <c r="J112" s="20">
        <f>IF($B112="","",N(내역서!$R112))</f>
        <v/>
      </c>
      <c r="K112" s="19">
        <f>IF($B112="","",N($I112)-N($F112))</f>
        <v/>
      </c>
      <c r="L112" s="21">
        <f>IF($B112="","",IF(N(내역서!$F112)=0,"신규",IF($K112&lt;0,"감소",IF($K112&gt;0,"증가","-"))))</f>
        <v/>
      </c>
      <c r="M112" s="22" t="n"/>
      <c r="N112" s="23" t="n"/>
      <c r="O112" s="24">
        <f>IF($B112="","",IF($L112="감소",$G112,IF($L112="증가",IF($M112="Y",ROUND(($J112+$J112*('설정'!$C$15/100))/2,0),IF(AND($N112&lt;&gt;"",$G112&gt;$N112),$N112,$G112)),IF($L112="신규",IF($M112="Y",ROUND(($J112+$J112*('설정'!$C$15/100))/2,0),ROUND($J112*('설정'!$C$15/100),0)),0))))</f>
        <v/>
      </c>
      <c r="P112" s="24">
        <f>IF($B112="","",ROUND(N($K112)*N($O112),0))</f>
        <v/>
      </c>
      <c r="Q112" s="25">
        <f>IF($B112="","",IF($L112="감소","감소분 → 계약단가",IF(AND($M112="Y",OR($L112="증가",$L112="신규")),"발주기관 요구 → 협의 (불성립 시 (당시단가+당시단가×낙찰률)÷2)",IF($L112="증가",IF(AND($N112&lt;&gt;"",$G112&gt;$N112),"증가분 → 계약단가&gt;예정가격단가 이므로 예정가격단가","증가분 → 계약단가 (낙찰률을 곱하지 않습니다)"),IF($L112="신규","신규비목 → 당시단가 × 낙찰률","")))))</f>
        <v/>
      </c>
      <c r="R112" s="20">
        <f>IF($B112="","",IF(N($O112)=0,0,IF(OR($L112="감소",AND($L112="증가",$M112&lt;&gt;"Y")),IF(N($G112)=0,0,ROUND(N(내역서!$G112)*$O112/$G112,0)),IF(N($J112)=0,0,ROUND(N(내역서!$O112)*$O112/$J112,0)))))</f>
        <v/>
      </c>
      <c r="S112" s="20">
        <f>IF($B112="","",IF(N($O112)=0,0,IF(OR($L112="감소",AND($L112="증가",$M112&lt;&gt;"Y")),IF(N($G112)=0,0,ROUND(N(내역서!$H112)*$O112/$G112,0)),IF(N($J112)=0,0,ROUND(N(내역서!$P112)*$O112/$J112,0)))))</f>
        <v/>
      </c>
      <c r="T112" s="20">
        <f>IF($B112="","",N($O112)-N($R112)-N($S112))</f>
        <v/>
      </c>
      <c r="U112" s="20">
        <f>IF($B112="","",ROUND(N($K112)*N($R112),0))</f>
        <v/>
      </c>
      <c r="V112" s="20">
        <f>IF($B112="","",ROUND(N($K112)*N($S112),0))</f>
        <v/>
      </c>
      <c r="W112" s="20">
        <f>IF($B112="","",N($P112)-N($U112)-N($V112))</f>
        <v/>
      </c>
    </row>
    <row r="113">
      <c r="A113" s="18">
        <f>IF($B113="","",ROW()-4+1)</f>
        <v/>
      </c>
      <c r="B113" s="18">
        <f>내역서!$B113</f>
        <v/>
      </c>
      <c r="C113" s="18">
        <f>IF($B113="","",내역서!$C113)</f>
        <v/>
      </c>
      <c r="D113" s="18">
        <f>IF($B113="","",내역서!$D113)</f>
        <v/>
      </c>
      <c r="E113" s="18">
        <f>IF($B113="","",내역서!$E113)</f>
        <v/>
      </c>
      <c r="F113" s="19">
        <f>IF($B113="","",N(내역서!$F113))</f>
        <v/>
      </c>
      <c r="G113" s="20">
        <f>IF($B113="","",N(내역서!$J113))</f>
        <v/>
      </c>
      <c r="H113" s="20">
        <f>IF($B113="","",N(내역서!$K113))</f>
        <v/>
      </c>
      <c r="I113" s="19">
        <f>IF($B113="","",N(내역서!$N113))</f>
        <v/>
      </c>
      <c r="J113" s="20">
        <f>IF($B113="","",N(내역서!$R113))</f>
        <v/>
      </c>
      <c r="K113" s="19">
        <f>IF($B113="","",N($I113)-N($F113))</f>
        <v/>
      </c>
      <c r="L113" s="21">
        <f>IF($B113="","",IF(N(내역서!$F113)=0,"신규",IF($K113&lt;0,"감소",IF($K113&gt;0,"증가","-"))))</f>
        <v/>
      </c>
      <c r="M113" s="22" t="n"/>
      <c r="N113" s="23" t="n"/>
      <c r="O113" s="24">
        <f>IF($B113="","",IF($L113="감소",$G113,IF($L113="증가",IF($M113="Y",ROUND(($J113+$J113*('설정'!$C$15/100))/2,0),IF(AND($N113&lt;&gt;"",$G113&gt;$N113),$N113,$G113)),IF($L113="신규",IF($M113="Y",ROUND(($J113+$J113*('설정'!$C$15/100))/2,0),ROUND($J113*('설정'!$C$15/100),0)),0))))</f>
        <v/>
      </c>
      <c r="P113" s="24">
        <f>IF($B113="","",ROUND(N($K113)*N($O113),0))</f>
        <v/>
      </c>
      <c r="Q113" s="25">
        <f>IF($B113="","",IF($L113="감소","감소분 → 계약단가",IF(AND($M113="Y",OR($L113="증가",$L113="신규")),"발주기관 요구 → 협의 (불성립 시 (당시단가+당시단가×낙찰률)÷2)",IF($L113="증가",IF(AND($N113&lt;&gt;"",$G113&gt;$N113),"증가분 → 계약단가&gt;예정가격단가 이므로 예정가격단가","증가분 → 계약단가 (낙찰률을 곱하지 않습니다)"),IF($L113="신규","신규비목 → 당시단가 × 낙찰률","")))))</f>
        <v/>
      </c>
      <c r="R113" s="20">
        <f>IF($B113="","",IF(N($O113)=0,0,IF(OR($L113="감소",AND($L113="증가",$M113&lt;&gt;"Y")),IF(N($G113)=0,0,ROUND(N(내역서!$G113)*$O113/$G113,0)),IF(N($J113)=0,0,ROUND(N(내역서!$O113)*$O113/$J113,0)))))</f>
        <v/>
      </c>
      <c r="S113" s="20">
        <f>IF($B113="","",IF(N($O113)=0,0,IF(OR($L113="감소",AND($L113="증가",$M113&lt;&gt;"Y")),IF(N($G113)=0,0,ROUND(N(내역서!$H113)*$O113/$G113,0)),IF(N($J113)=0,0,ROUND(N(내역서!$P113)*$O113/$J113,0)))))</f>
        <v/>
      </c>
      <c r="T113" s="20">
        <f>IF($B113="","",N($O113)-N($R113)-N($S113))</f>
        <v/>
      </c>
      <c r="U113" s="20">
        <f>IF($B113="","",ROUND(N($K113)*N($R113),0))</f>
        <v/>
      </c>
      <c r="V113" s="20">
        <f>IF($B113="","",ROUND(N($K113)*N($S113),0))</f>
        <v/>
      </c>
      <c r="W113" s="20">
        <f>IF($B113="","",N($P113)-N($U113)-N($V113))</f>
        <v/>
      </c>
    </row>
    <row r="114">
      <c r="A114" s="18">
        <f>IF($B114="","",ROW()-4+1)</f>
        <v/>
      </c>
      <c r="B114" s="18">
        <f>내역서!$B114</f>
        <v/>
      </c>
      <c r="C114" s="18">
        <f>IF($B114="","",내역서!$C114)</f>
        <v/>
      </c>
      <c r="D114" s="18">
        <f>IF($B114="","",내역서!$D114)</f>
        <v/>
      </c>
      <c r="E114" s="18">
        <f>IF($B114="","",내역서!$E114)</f>
        <v/>
      </c>
      <c r="F114" s="19">
        <f>IF($B114="","",N(내역서!$F114))</f>
        <v/>
      </c>
      <c r="G114" s="20">
        <f>IF($B114="","",N(내역서!$J114))</f>
        <v/>
      </c>
      <c r="H114" s="20">
        <f>IF($B114="","",N(내역서!$K114))</f>
        <v/>
      </c>
      <c r="I114" s="19">
        <f>IF($B114="","",N(내역서!$N114))</f>
        <v/>
      </c>
      <c r="J114" s="20">
        <f>IF($B114="","",N(내역서!$R114))</f>
        <v/>
      </c>
      <c r="K114" s="19">
        <f>IF($B114="","",N($I114)-N($F114))</f>
        <v/>
      </c>
      <c r="L114" s="21">
        <f>IF($B114="","",IF(N(내역서!$F114)=0,"신규",IF($K114&lt;0,"감소",IF($K114&gt;0,"증가","-"))))</f>
        <v/>
      </c>
      <c r="M114" s="22" t="n"/>
      <c r="N114" s="23" t="n"/>
      <c r="O114" s="24">
        <f>IF($B114="","",IF($L114="감소",$G114,IF($L114="증가",IF($M114="Y",ROUND(($J114+$J114*('설정'!$C$15/100))/2,0),IF(AND($N114&lt;&gt;"",$G114&gt;$N114),$N114,$G114)),IF($L114="신규",IF($M114="Y",ROUND(($J114+$J114*('설정'!$C$15/100))/2,0),ROUND($J114*('설정'!$C$15/100),0)),0))))</f>
        <v/>
      </c>
      <c r="P114" s="24">
        <f>IF($B114="","",ROUND(N($K114)*N($O114),0))</f>
        <v/>
      </c>
      <c r="Q114" s="25">
        <f>IF($B114="","",IF($L114="감소","감소분 → 계약단가",IF(AND($M114="Y",OR($L114="증가",$L114="신규")),"발주기관 요구 → 협의 (불성립 시 (당시단가+당시단가×낙찰률)÷2)",IF($L114="증가",IF(AND($N114&lt;&gt;"",$G114&gt;$N114),"증가분 → 계약단가&gt;예정가격단가 이므로 예정가격단가","증가분 → 계약단가 (낙찰률을 곱하지 않습니다)"),IF($L114="신규","신규비목 → 당시단가 × 낙찰률","")))))</f>
        <v/>
      </c>
      <c r="R114" s="20">
        <f>IF($B114="","",IF(N($O114)=0,0,IF(OR($L114="감소",AND($L114="증가",$M114&lt;&gt;"Y")),IF(N($G114)=0,0,ROUND(N(내역서!$G114)*$O114/$G114,0)),IF(N($J114)=0,0,ROUND(N(내역서!$O114)*$O114/$J114,0)))))</f>
        <v/>
      </c>
      <c r="S114" s="20">
        <f>IF($B114="","",IF(N($O114)=0,0,IF(OR($L114="감소",AND($L114="증가",$M114&lt;&gt;"Y")),IF(N($G114)=0,0,ROUND(N(내역서!$H114)*$O114/$G114,0)),IF(N($J114)=0,0,ROUND(N(내역서!$P114)*$O114/$J114,0)))))</f>
        <v/>
      </c>
      <c r="T114" s="20">
        <f>IF($B114="","",N($O114)-N($R114)-N($S114))</f>
        <v/>
      </c>
      <c r="U114" s="20">
        <f>IF($B114="","",ROUND(N($K114)*N($R114),0))</f>
        <v/>
      </c>
      <c r="V114" s="20">
        <f>IF($B114="","",ROUND(N($K114)*N($S114),0))</f>
        <v/>
      </c>
      <c r="W114" s="20">
        <f>IF($B114="","",N($P114)-N($U114)-N($V114))</f>
        <v/>
      </c>
    </row>
    <row r="115">
      <c r="A115" s="18">
        <f>IF($B115="","",ROW()-4+1)</f>
        <v/>
      </c>
      <c r="B115" s="18">
        <f>내역서!$B115</f>
        <v/>
      </c>
      <c r="C115" s="18">
        <f>IF($B115="","",내역서!$C115)</f>
        <v/>
      </c>
      <c r="D115" s="18">
        <f>IF($B115="","",내역서!$D115)</f>
        <v/>
      </c>
      <c r="E115" s="18">
        <f>IF($B115="","",내역서!$E115)</f>
        <v/>
      </c>
      <c r="F115" s="19">
        <f>IF($B115="","",N(내역서!$F115))</f>
        <v/>
      </c>
      <c r="G115" s="20">
        <f>IF($B115="","",N(내역서!$J115))</f>
        <v/>
      </c>
      <c r="H115" s="20">
        <f>IF($B115="","",N(내역서!$K115))</f>
        <v/>
      </c>
      <c r="I115" s="19">
        <f>IF($B115="","",N(내역서!$N115))</f>
        <v/>
      </c>
      <c r="J115" s="20">
        <f>IF($B115="","",N(내역서!$R115))</f>
        <v/>
      </c>
      <c r="K115" s="19">
        <f>IF($B115="","",N($I115)-N($F115))</f>
        <v/>
      </c>
      <c r="L115" s="21">
        <f>IF($B115="","",IF(N(내역서!$F115)=0,"신규",IF($K115&lt;0,"감소",IF($K115&gt;0,"증가","-"))))</f>
        <v/>
      </c>
      <c r="M115" s="22" t="n"/>
      <c r="N115" s="23" t="n"/>
      <c r="O115" s="24">
        <f>IF($B115="","",IF($L115="감소",$G115,IF($L115="증가",IF($M115="Y",ROUND(($J115+$J115*('설정'!$C$15/100))/2,0),IF(AND($N115&lt;&gt;"",$G115&gt;$N115),$N115,$G115)),IF($L115="신규",IF($M115="Y",ROUND(($J115+$J115*('설정'!$C$15/100))/2,0),ROUND($J115*('설정'!$C$15/100),0)),0))))</f>
        <v/>
      </c>
      <c r="P115" s="24">
        <f>IF($B115="","",ROUND(N($K115)*N($O115),0))</f>
        <v/>
      </c>
      <c r="Q115" s="25">
        <f>IF($B115="","",IF($L115="감소","감소분 → 계약단가",IF(AND($M115="Y",OR($L115="증가",$L115="신규")),"발주기관 요구 → 협의 (불성립 시 (당시단가+당시단가×낙찰률)÷2)",IF($L115="증가",IF(AND($N115&lt;&gt;"",$G115&gt;$N115),"증가분 → 계약단가&gt;예정가격단가 이므로 예정가격단가","증가분 → 계약단가 (낙찰률을 곱하지 않습니다)"),IF($L115="신규","신규비목 → 당시단가 × 낙찰률","")))))</f>
        <v/>
      </c>
      <c r="R115" s="20">
        <f>IF($B115="","",IF(N($O115)=0,0,IF(OR($L115="감소",AND($L115="증가",$M115&lt;&gt;"Y")),IF(N($G115)=0,0,ROUND(N(내역서!$G115)*$O115/$G115,0)),IF(N($J115)=0,0,ROUND(N(내역서!$O115)*$O115/$J115,0)))))</f>
        <v/>
      </c>
      <c r="S115" s="20">
        <f>IF($B115="","",IF(N($O115)=0,0,IF(OR($L115="감소",AND($L115="증가",$M115&lt;&gt;"Y")),IF(N($G115)=0,0,ROUND(N(내역서!$H115)*$O115/$G115,0)),IF(N($J115)=0,0,ROUND(N(내역서!$P115)*$O115/$J115,0)))))</f>
        <v/>
      </c>
      <c r="T115" s="20">
        <f>IF($B115="","",N($O115)-N($R115)-N($S115))</f>
        <v/>
      </c>
      <c r="U115" s="20">
        <f>IF($B115="","",ROUND(N($K115)*N($R115),0))</f>
        <v/>
      </c>
      <c r="V115" s="20">
        <f>IF($B115="","",ROUND(N($K115)*N($S115),0))</f>
        <v/>
      </c>
      <c r="W115" s="20">
        <f>IF($B115="","",N($P115)-N($U115)-N($V115))</f>
        <v/>
      </c>
    </row>
    <row r="116">
      <c r="A116" s="18">
        <f>IF($B116="","",ROW()-4+1)</f>
        <v/>
      </c>
      <c r="B116" s="18">
        <f>내역서!$B116</f>
        <v/>
      </c>
      <c r="C116" s="18">
        <f>IF($B116="","",내역서!$C116)</f>
        <v/>
      </c>
      <c r="D116" s="18">
        <f>IF($B116="","",내역서!$D116)</f>
        <v/>
      </c>
      <c r="E116" s="18">
        <f>IF($B116="","",내역서!$E116)</f>
        <v/>
      </c>
      <c r="F116" s="19">
        <f>IF($B116="","",N(내역서!$F116))</f>
        <v/>
      </c>
      <c r="G116" s="20">
        <f>IF($B116="","",N(내역서!$J116))</f>
        <v/>
      </c>
      <c r="H116" s="20">
        <f>IF($B116="","",N(내역서!$K116))</f>
        <v/>
      </c>
      <c r="I116" s="19">
        <f>IF($B116="","",N(내역서!$N116))</f>
        <v/>
      </c>
      <c r="J116" s="20">
        <f>IF($B116="","",N(내역서!$R116))</f>
        <v/>
      </c>
      <c r="K116" s="19">
        <f>IF($B116="","",N($I116)-N($F116))</f>
        <v/>
      </c>
      <c r="L116" s="21">
        <f>IF($B116="","",IF(N(내역서!$F116)=0,"신규",IF($K116&lt;0,"감소",IF($K116&gt;0,"증가","-"))))</f>
        <v/>
      </c>
      <c r="M116" s="22" t="n"/>
      <c r="N116" s="23" t="n"/>
      <c r="O116" s="24">
        <f>IF($B116="","",IF($L116="감소",$G116,IF($L116="증가",IF($M116="Y",ROUND(($J116+$J116*('설정'!$C$15/100))/2,0),IF(AND($N116&lt;&gt;"",$G116&gt;$N116),$N116,$G116)),IF($L116="신규",IF($M116="Y",ROUND(($J116+$J116*('설정'!$C$15/100))/2,0),ROUND($J116*('설정'!$C$15/100),0)),0))))</f>
        <v/>
      </c>
      <c r="P116" s="24">
        <f>IF($B116="","",ROUND(N($K116)*N($O116),0))</f>
        <v/>
      </c>
      <c r="Q116" s="25">
        <f>IF($B116="","",IF($L116="감소","감소분 → 계약단가",IF(AND($M116="Y",OR($L116="증가",$L116="신규")),"발주기관 요구 → 협의 (불성립 시 (당시단가+당시단가×낙찰률)÷2)",IF($L116="증가",IF(AND($N116&lt;&gt;"",$G116&gt;$N116),"증가분 → 계약단가&gt;예정가격단가 이므로 예정가격단가","증가분 → 계약단가 (낙찰률을 곱하지 않습니다)"),IF($L116="신규","신규비목 → 당시단가 × 낙찰률","")))))</f>
        <v/>
      </c>
      <c r="R116" s="20">
        <f>IF($B116="","",IF(N($O116)=0,0,IF(OR($L116="감소",AND($L116="증가",$M116&lt;&gt;"Y")),IF(N($G116)=0,0,ROUND(N(내역서!$G116)*$O116/$G116,0)),IF(N($J116)=0,0,ROUND(N(내역서!$O116)*$O116/$J116,0)))))</f>
        <v/>
      </c>
      <c r="S116" s="20">
        <f>IF($B116="","",IF(N($O116)=0,0,IF(OR($L116="감소",AND($L116="증가",$M116&lt;&gt;"Y")),IF(N($G116)=0,0,ROUND(N(내역서!$H116)*$O116/$G116,0)),IF(N($J116)=0,0,ROUND(N(내역서!$P116)*$O116/$J116,0)))))</f>
        <v/>
      </c>
      <c r="T116" s="20">
        <f>IF($B116="","",N($O116)-N($R116)-N($S116))</f>
        <v/>
      </c>
      <c r="U116" s="20">
        <f>IF($B116="","",ROUND(N($K116)*N($R116),0))</f>
        <v/>
      </c>
      <c r="V116" s="20">
        <f>IF($B116="","",ROUND(N($K116)*N($S116),0))</f>
        <v/>
      </c>
      <c r="W116" s="20">
        <f>IF($B116="","",N($P116)-N($U116)-N($V116))</f>
        <v/>
      </c>
    </row>
    <row r="117">
      <c r="A117" s="18">
        <f>IF($B117="","",ROW()-4+1)</f>
        <v/>
      </c>
      <c r="B117" s="18">
        <f>내역서!$B117</f>
        <v/>
      </c>
      <c r="C117" s="18">
        <f>IF($B117="","",내역서!$C117)</f>
        <v/>
      </c>
      <c r="D117" s="18">
        <f>IF($B117="","",내역서!$D117)</f>
        <v/>
      </c>
      <c r="E117" s="18">
        <f>IF($B117="","",내역서!$E117)</f>
        <v/>
      </c>
      <c r="F117" s="19">
        <f>IF($B117="","",N(내역서!$F117))</f>
        <v/>
      </c>
      <c r="G117" s="20">
        <f>IF($B117="","",N(내역서!$J117))</f>
        <v/>
      </c>
      <c r="H117" s="20">
        <f>IF($B117="","",N(내역서!$K117))</f>
        <v/>
      </c>
      <c r="I117" s="19">
        <f>IF($B117="","",N(내역서!$N117))</f>
        <v/>
      </c>
      <c r="J117" s="20">
        <f>IF($B117="","",N(내역서!$R117))</f>
        <v/>
      </c>
      <c r="K117" s="19">
        <f>IF($B117="","",N($I117)-N($F117))</f>
        <v/>
      </c>
      <c r="L117" s="21">
        <f>IF($B117="","",IF(N(내역서!$F117)=0,"신규",IF($K117&lt;0,"감소",IF($K117&gt;0,"증가","-"))))</f>
        <v/>
      </c>
      <c r="M117" s="22" t="n"/>
      <c r="N117" s="23" t="n"/>
      <c r="O117" s="24">
        <f>IF($B117="","",IF($L117="감소",$G117,IF($L117="증가",IF($M117="Y",ROUND(($J117+$J117*('설정'!$C$15/100))/2,0),IF(AND($N117&lt;&gt;"",$G117&gt;$N117),$N117,$G117)),IF($L117="신규",IF($M117="Y",ROUND(($J117+$J117*('설정'!$C$15/100))/2,0),ROUND($J117*('설정'!$C$15/100),0)),0))))</f>
        <v/>
      </c>
      <c r="P117" s="24">
        <f>IF($B117="","",ROUND(N($K117)*N($O117),0))</f>
        <v/>
      </c>
      <c r="Q117" s="25">
        <f>IF($B117="","",IF($L117="감소","감소분 → 계약단가",IF(AND($M117="Y",OR($L117="증가",$L117="신규")),"발주기관 요구 → 협의 (불성립 시 (당시단가+당시단가×낙찰률)÷2)",IF($L117="증가",IF(AND($N117&lt;&gt;"",$G117&gt;$N117),"증가분 → 계약단가&gt;예정가격단가 이므로 예정가격단가","증가분 → 계약단가 (낙찰률을 곱하지 않습니다)"),IF($L117="신규","신규비목 → 당시단가 × 낙찰률","")))))</f>
        <v/>
      </c>
      <c r="R117" s="20">
        <f>IF($B117="","",IF(N($O117)=0,0,IF(OR($L117="감소",AND($L117="증가",$M117&lt;&gt;"Y")),IF(N($G117)=0,0,ROUND(N(내역서!$G117)*$O117/$G117,0)),IF(N($J117)=0,0,ROUND(N(내역서!$O117)*$O117/$J117,0)))))</f>
        <v/>
      </c>
      <c r="S117" s="20">
        <f>IF($B117="","",IF(N($O117)=0,0,IF(OR($L117="감소",AND($L117="증가",$M117&lt;&gt;"Y")),IF(N($G117)=0,0,ROUND(N(내역서!$H117)*$O117/$G117,0)),IF(N($J117)=0,0,ROUND(N(내역서!$P117)*$O117/$J117,0)))))</f>
        <v/>
      </c>
      <c r="T117" s="20">
        <f>IF($B117="","",N($O117)-N($R117)-N($S117))</f>
        <v/>
      </c>
      <c r="U117" s="20">
        <f>IF($B117="","",ROUND(N($K117)*N($R117),0))</f>
        <v/>
      </c>
      <c r="V117" s="20">
        <f>IF($B117="","",ROUND(N($K117)*N($S117),0))</f>
        <v/>
      </c>
      <c r="W117" s="20">
        <f>IF($B117="","",N($P117)-N($U117)-N($V117))</f>
        <v/>
      </c>
    </row>
    <row r="118">
      <c r="A118" s="18">
        <f>IF($B118="","",ROW()-4+1)</f>
        <v/>
      </c>
      <c r="B118" s="18">
        <f>내역서!$B118</f>
        <v/>
      </c>
      <c r="C118" s="18">
        <f>IF($B118="","",내역서!$C118)</f>
        <v/>
      </c>
      <c r="D118" s="18">
        <f>IF($B118="","",내역서!$D118)</f>
        <v/>
      </c>
      <c r="E118" s="18">
        <f>IF($B118="","",내역서!$E118)</f>
        <v/>
      </c>
      <c r="F118" s="19">
        <f>IF($B118="","",N(내역서!$F118))</f>
        <v/>
      </c>
      <c r="G118" s="20">
        <f>IF($B118="","",N(내역서!$J118))</f>
        <v/>
      </c>
      <c r="H118" s="20">
        <f>IF($B118="","",N(내역서!$K118))</f>
        <v/>
      </c>
      <c r="I118" s="19">
        <f>IF($B118="","",N(내역서!$N118))</f>
        <v/>
      </c>
      <c r="J118" s="20">
        <f>IF($B118="","",N(내역서!$R118))</f>
        <v/>
      </c>
      <c r="K118" s="19">
        <f>IF($B118="","",N($I118)-N($F118))</f>
        <v/>
      </c>
      <c r="L118" s="21">
        <f>IF($B118="","",IF(N(내역서!$F118)=0,"신규",IF($K118&lt;0,"감소",IF($K118&gt;0,"증가","-"))))</f>
        <v/>
      </c>
      <c r="M118" s="22" t="n"/>
      <c r="N118" s="23" t="n"/>
      <c r="O118" s="24">
        <f>IF($B118="","",IF($L118="감소",$G118,IF($L118="증가",IF($M118="Y",ROUND(($J118+$J118*('설정'!$C$15/100))/2,0),IF(AND($N118&lt;&gt;"",$G118&gt;$N118),$N118,$G118)),IF($L118="신규",IF($M118="Y",ROUND(($J118+$J118*('설정'!$C$15/100))/2,0),ROUND($J118*('설정'!$C$15/100),0)),0))))</f>
        <v/>
      </c>
      <c r="P118" s="24">
        <f>IF($B118="","",ROUND(N($K118)*N($O118),0))</f>
        <v/>
      </c>
      <c r="Q118" s="25">
        <f>IF($B118="","",IF($L118="감소","감소분 → 계약단가",IF(AND($M118="Y",OR($L118="증가",$L118="신규")),"발주기관 요구 → 협의 (불성립 시 (당시단가+당시단가×낙찰률)÷2)",IF($L118="증가",IF(AND($N118&lt;&gt;"",$G118&gt;$N118),"증가분 → 계약단가&gt;예정가격단가 이므로 예정가격단가","증가분 → 계약단가 (낙찰률을 곱하지 않습니다)"),IF($L118="신규","신규비목 → 당시단가 × 낙찰률","")))))</f>
        <v/>
      </c>
      <c r="R118" s="20">
        <f>IF($B118="","",IF(N($O118)=0,0,IF(OR($L118="감소",AND($L118="증가",$M118&lt;&gt;"Y")),IF(N($G118)=0,0,ROUND(N(내역서!$G118)*$O118/$G118,0)),IF(N($J118)=0,0,ROUND(N(내역서!$O118)*$O118/$J118,0)))))</f>
        <v/>
      </c>
      <c r="S118" s="20">
        <f>IF($B118="","",IF(N($O118)=0,0,IF(OR($L118="감소",AND($L118="증가",$M118&lt;&gt;"Y")),IF(N($G118)=0,0,ROUND(N(내역서!$H118)*$O118/$G118,0)),IF(N($J118)=0,0,ROUND(N(내역서!$P118)*$O118/$J118,0)))))</f>
        <v/>
      </c>
      <c r="T118" s="20">
        <f>IF($B118="","",N($O118)-N($R118)-N($S118))</f>
        <v/>
      </c>
      <c r="U118" s="20">
        <f>IF($B118="","",ROUND(N($K118)*N($R118),0))</f>
        <v/>
      </c>
      <c r="V118" s="20">
        <f>IF($B118="","",ROUND(N($K118)*N($S118),0))</f>
        <v/>
      </c>
      <c r="W118" s="20">
        <f>IF($B118="","",N($P118)-N($U118)-N($V118))</f>
        <v/>
      </c>
    </row>
    <row r="119">
      <c r="A119" s="18">
        <f>IF($B119="","",ROW()-4+1)</f>
        <v/>
      </c>
      <c r="B119" s="18">
        <f>내역서!$B119</f>
        <v/>
      </c>
      <c r="C119" s="18">
        <f>IF($B119="","",내역서!$C119)</f>
        <v/>
      </c>
      <c r="D119" s="18">
        <f>IF($B119="","",내역서!$D119)</f>
        <v/>
      </c>
      <c r="E119" s="18">
        <f>IF($B119="","",내역서!$E119)</f>
        <v/>
      </c>
      <c r="F119" s="19">
        <f>IF($B119="","",N(내역서!$F119))</f>
        <v/>
      </c>
      <c r="G119" s="20">
        <f>IF($B119="","",N(내역서!$J119))</f>
        <v/>
      </c>
      <c r="H119" s="20">
        <f>IF($B119="","",N(내역서!$K119))</f>
        <v/>
      </c>
      <c r="I119" s="19">
        <f>IF($B119="","",N(내역서!$N119))</f>
        <v/>
      </c>
      <c r="J119" s="20">
        <f>IF($B119="","",N(내역서!$R119))</f>
        <v/>
      </c>
      <c r="K119" s="19">
        <f>IF($B119="","",N($I119)-N($F119))</f>
        <v/>
      </c>
      <c r="L119" s="21">
        <f>IF($B119="","",IF(N(내역서!$F119)=0,"신규",IF($K119&lt;0,"감소",IF($K119&gt;0,"증가","-"))))</f>
        <v/>
      </c>
      <c r="M119" s="22" t="n"/>
      <c r="N119" s="23" t="n"/>
      <c r="O119" s="24">
        <f>IF($B119="","",IF($L119="감소",$G119,IF($L119="증가",IF($M119="Y",ROUND(($J119+$J119*('설정'!$C$15/100))/2,0),IF(AND($N119&lt;&gt;"",$G119&gt;$N119),$N119,$G119)),IF($L119="신규",IF($M119="Y",ROUND(($J119+$J119*('설정'!$C$15/100))/2,0),ROUND($J119*('설정'!$C$15/100),0)),0))))</f>
        <v/>
      </c>
      <c r="P119" s="24">
        <f>IF($B119="","",ROUND(N($K119)*N($O119),0))</f>
        <v/>
      </c>
      <c r="Q119" s="25">
        <f>IF($B119="","",IF($L119="감소","감소분 → 계약단가",IF(AND($M119="Y",OR($L119="증가",$L119="신규")),"발주기관 요구 → 협의 (불성립 시 (당시단가+당시단가×낙찰률)÷2)",IF($L119="증가",IF(AND($N119&lt;&gt;"",$G119&gt;$N119),"증가분 → 계약단가&gt;예정가격단가 이므로 예정가격단가","증가분 → 계약단가 (낙찰률을 곱하지 않습니다)"),IF($L119="신규","신규비목 → 당시단가 × 낙찰률","")))))</f>
        <v/>
      </c>
      <c r="R119" s="20">
        <f>IF($B119="","",IF(N($O119)=0,0,IF(OR($L119="감소",AND($L119="증가",$M119&lt;&gt;"Y")),IF(N($G119)=0,0,ROUND(N(내역서!$G119)*$O119/$G119,0)),IF(N($J119)=0,0,ROUND(N(내역서!$O119)*$O119/$J119,0)))))</f>
        <v/>
      </c>
      <c r="S119" s="20">
        <f>IF($B119="","",IF(N($O119)=0,0,IF(OR($L119="감소",AND($L119="증가",$M119&lt;&gt;"Y")),IF(N($G119)=0,0,ROUND(N(내역서!$H119)*$O119/$G119,0)),IF(N($J119)=0,0,ROUND(N(내역서!$P119)*$O119/$J119,0)))))</f>
        <v/>
      </c>
      <c r="T119" s="20">
        <f>IF($B119="","",N($O119)-N($R119)-N($S119))</f>
        <v/>
      </c>
      <c r="U119" s="20">
        <f>IF($B119="","",ROUND(N($K119)*N($R119),0))</f>
        <v/>
      </c>
      <c r="V119" s="20">
        <f>IF($B119="","",ROUND(N($K119)*N($S119),0))</f>
        <v/>
      </c>
      <c r="W119" s="20">
        <f>IF($B119="","",N($P119)-N($U119)-N($V119))</f>
        <v/>
      </c>
    </row>
    <row r="120">
      <c r="A120" s="18">
        <f>IF($B120="","",ROW()-4+1)</f>
        <v/>
      </c>
      <c r="B120" s="18">
        <f>내역서!$B120</f>
        <v/>
      </c>
      <c r="C120" s="18">
        <f>IF($B120="","",내역서!$C120)</f>
        <v/>
      </c>
      <c r="D120" s="18">
        <f>IF($B120="","",내역서!$D120)</f>
        <v/>
      </c>
      <c r="E120" s="18">
        <f>IF($B120="","",내역서!$E120)</f>
        <v/>
      </c>
      <c r="F120" s="19">
        <f>IF($B120="","",N(내역서!$F120))</f>
        <v/>
      </c>
      <c r="G120" s="20">
        <f>IF($B120="","",N(내역서!$J120))</f>
        <v/>
      </c>
      <c r="H120" s="20">
        <f>IF($B120="","",N(내역서!$K120))</f>
        <v/>
      </c>
      <c r="I120" s="19">
        <f>IF($B120="","",N(내역서!$N120))</f>
        <v/>
      </c>
      <c r="J120" s="20">
        <f>IF($B120="","",N(내역서!$R120))</f>
        <v/>
      </c>
      <c r="K120" s="19">
        <f>IF($B120="","",N($I120)-N($F120))</f>
        <v/>
      </c>
      <c r="L120" s="21">
        <f>IF($B120="","",IF(N(내역서!$F120)=0,"신규",IF($K120&lt;0,"감소",IF($K120&gt;0,"증가","-"))))</f>
        <v/>
      </c>
      <c r="M120" s="22" t="n"/>
      <c r="N120" s="23" t="n"/>
      <c r="O120" s="24">
        <f>IF($B120="","",IF($L120="감소",$G120,IF($L120="증가",IF($M120="Y",ROUND(($J120+$J120*('설정'!$C$15/100))/2,0),IF(AND($N120&lt;&gt;"",$G120&gt;$N120),$N120,$G120)),IF($L120="신규",IF($M120="Y",ROUND(($J120+$J120*('설정'!$C$15/100))/2,0),ROUND($J120*('설정'!$C$15/100),0)),0))))</f>
        <v/>
      </c>
      <c r="P120" s="24">
        <f>IF($B120="","",ROUND(N($K120)*N($O120),0))</f>
        <v/>
      </c>
      <c r="Q120" s="25">
        <f>IF($B120="","",IF($L120="감소","감소분 → 계약단가",IF(AND($M120="Y",OR($L120="증가",$L120="신규")),"발주기관 요구 → 협의 (불성립 시 (당시단가+당시단가×낙찰률)÷2)",IF($L120="증가",IF(AND($N120&lt;&gt;"",$G120&gt;$N120),"증가분 → 계약단가&gt;예정가격단가 이므로 예정가격단가","증가분 → 계약단가 (낙찰률을 곱하지 않습니다)"),IF($L120="신규","신규비목 → 당시단가 × 낙찰률","")))))</f>
        <v/>
      </c>
      <c r="R120" s="20">
        <f>IF($B120="","",IF(N($O120)=0,0,IF(OR($L120="감소",AND($L120="증가",$M120&lt;&gt;"Y")),IF(N($G120)=0,0,ROUND(N(내역서!$G120)*$O120/$G120,0)),IF(N($J120)=0,0,ROUND(N(내역서!$O120)*$O120/$J120,0)))))</f>
        <v/>
      </c>
      <c r="S120" s="20">
        <f>IF($B120="","",IF(N($O120)=0,0,IF(OR($L120="감소",AND($L120="증가",$M120&lt;&gt;"Y")),IF(N($G120)=0,0,ROUND(N(내역서!$H120)*$O120/$G120,0)),IF(N($J120)=0,0,ROUND(N(내역서!$P120)*$O120/$J120,0)))))</f>
        <v/>
      </c>
      <c r="T120" s="20">
        <f>IF($B120="","",N($O120)-N($R120)-N($S120))</f>
        <v/>
      </c>
      <c r="U120" s="20">
        <f>IF($B120="","",ROUND(N($K120)*N($R120),0))</f>
        <v/>
      </c>
      <c r="V120" s="20">
        <f>IF($B120="","",ROUND(N($K120)*N($S120),0))</f>
        <v/>
      </c>
      <c r="W120" s="20">
        <f>IF($B120="","",N($P120)-N($U120)-N($V120))</f>
        <v/>
      </c>
    </row>
    <row r="121">
      <c r="A121" s="18">
        <f>IF($B121="","",ROW()-4+1)</f>
        <v/>
      </c>
      <c r="B121" s="18">
        <f>내역서!$B121</f>
        <v/>
      </c>
      <c r="C121" s="18">
        <f>IF($B121="","",내역서!$C121)</f>
        <v/>
      </c>
      <c r="D121" s="18">
        <f>IF($B121="","",내역서!$D121)</f>
        <v/>
      </c>
      <c r="E121" s="18">
        <f>IF($B121="","",내역서!$E121)</f>
        <v/>
      </c>
      <c r="F121" s="19">
        <f>IF($B121="","",N(내역서!$F121))</f>
        <v/>
      </c>
      <c r="G121" s="20">
        <f>IF($B121="","",N(내역서!$J121))</f>
        <v/>
      </c>
      <c r="H121" s="20">
        <f>IF($B121="","",N(내역서!$K121))</f>
        <v/>
      </c>
      <c r="I121" s="19">
        <f>IF($B121="","",N(내역서!$N121))</f>
        <v/>
      </c>
      <c r="J121" s="20">
        <f>IF($B121="","",N(내역서!$R121))</f>
        <v/>
      </c>
      <c r="K121" s="19">
        <f>IF($B121="","",N($I121)-N($F121))</f>
        <v/>
      </c>
      <c r="L121" s="21">
        <f>IF($B121="","",IF(N(내역서!$F121)=0,"신규",IF($K121&lt;0,"감소",IF($K121&gt;0,"증가","-"))))</f>
        <v/>
      </c>
      <c r="M121" s="22" t="n"/>
      <c r="N121" s="23" t="n"/>
      <c r="O121" s="24">
        <f>IF($B121="","",IF($L121="감소",$G121,IF($L121="증가",IF($M121="Y",ROUND(($J121+$J121*('설정'!$C$15/100))/2,0),IF(AND($N121&lt;&gt;"",$G121&gt;$N121),$N121,$G121)),IF($L121="신규",IF($M121="Y",ROUND(($J121+$J121*('설정'!$C$15/100))/2,0),ROUND($J121*('설정'!$C$15/100),0)),0))))</f>
        <v/>
      </c>
      <c r="P121" s="24">
        <f>IF($B121="","",ROUND(N($K121)*N($O121),0))</f>
        <v/>
      </c>
      <c r="Q121" s="25">
        <f>IF($B121="","",IF($L121="감소","감소분 → 계약단가",IF(AND($M121="Y",OR($L121="증가",$L121="신규")),"발주기관 요구 → 협의 (불성립 시 (당시단가+당시단가×낙찰률)÷2)",IF($L121="증가",IF(AND($N121&lt;&gt;"",$G121&gt;$N121),"증가분 → 계약단가&gt;예정가격단가 이므로 예정가격단가","증가분 → 계약단가 (낙찰률을 곱하지 않습니다)"),IF($L121="신규","신규비목 → 당시단가 × 낙찰률","")))))</f>
        <v/>
      </c>
      <c r="R121" s="20">
        <f>IF($B121="","",IF(N($O121)=0,0,IF(OR($L121="감소",AND($L121="증가",$M121&lt;&gt;"Y")),IF(N($G121)=0,0,ROUND(N(내역서!$G121)*$O121/$G121,0)),IF(N($J121)=0,0,ROUND(N(내역서!$O121)*$O121/$J121,0)))))</f>
        <v/>
      </c>
      <c r="S121" s="20">
        <f>IF($B121="","",IF(N($O121)=0,0,IF(OR($L121="감소",AND($L121="증가",$M121&lt;&gt;"Y")),IF(N($G121)=0,0,ROUND(N(내역서!$H121)*$O121/$G121,0)),IF(N($J121)=0,0,ROUND(N(내역서!$P121)*$O121/$J121,0)))))</f>
        <v/>
      </c>
      <c r="T121" s="20">
        <f>IF($B121="","",N($O121)-N($R121)-N($S121))</f>
        <v/>
      </c>
      <c r="U121" s="20">
        <f>IF($B121="","",ROUND(N($K121)*N($R121),0))</f>
        <v/>
      </c>
      <c r="V121" s="20">
        <f>IF($B121="","",ROUND(N($K121)*N($S121),0))</f>
        <v/>
      </c>
      <c r="W121" s="20">
        <f>IF($B121="","",N($P121)-N($U121)-N($V121))</f>
        <v/>
      </c>
    </row>
    <row r="122">
      <c r="A122" s="18">
        <f>IF($B122="","",ROW()-4+1)</f>
        <v/>
      </c>
      <c r="B122" s="18">
        <f>내역서!$B122</f>
        <v/>
      </c>
      <c r="C122" s="18">
        <f>IF($B122="","",내역서!$C122)</f>
        <v/>
      </c>
      <c r="D122" s="18">
        <f>IF($B122="","",내역서!$D122)</f>
        <v/>
      </c>
      <c r="E122" s="18">
        <f>IF($B122="","",내역서!$E122)</f>
        <v/>
      </c>
      <c r="F122" s="19">
        <f>IF($B122="","",N(내역서!$F122))</f>
        <v/>
      </c>
      <c r="G122" s="20">
        <f>IF($B122="","",N(내역서!$J122))</f>
        <v/>
      </c>
      <c r="H122" s="20">
        <f>IF($B122="","",N(내역서!$K122))</f>
        <v/>
      </c>
      <c r="I122" s="19">
        <f>IF($B122="","",N(내역서!$N122))</f>
        <v/>
      </c>
      <c r="J122" s="20">
        <f>IF($B122="","",N(내역서!$R122))</f>
        <v/>
      </c>
      <c r="K122" s="19">
        <f>IF($B122="","",N($I122)-N($F122))</f>
        <v/>
      </c>
      <c r="L122" s="21">
        <f>IF($B122="","",IF(N(내역서!$F122)=0,"신규",IF($K122&lt;0,"감소",IF($K122&gt;0,"증가","-"))))</f>
        <v/>
      </c>
      <c r="M122" s="22" t="n"/>
      <c r="N122" s="23" t="n"/>
      <c r="O122" s="24">
        <f>IF($B122="","",IF($L122="감소",$G122,IF($L122="증가",IF($M122="Y",ROUND(($J122+$J122*('설정'!$C$15/100))/2,0),IF(AND($N122&lt;&gt;"",$G122&gt;$N122),$N122,$G122)),IF($L122="신규",IF($M122="Y",ROUND(($J122+$J122*('설정'!$C$15/100))/2,0),ROUND($J122*('설정'!$C$15/100),0)),0))))</f>
        <v/>
      </c>
      <c r="P122" s="24">
        <f>IF($B122="","",ROUND(N($K122)*N($O122),0))</f>
        <v/>
      </c>
      <c r="Q122" s="25">
        <f>IF($B122="","",IF($L122="감소","감소분 → 계약단가",IF(AND($M122="Y",OR($L122="증가",$L122="신규")),"발주기관 요구 → 협의 (불성립 시 (당시단가+당시단가×낙찰률)÷2)",IF($L122="증가",IF(AND($N122&lt;&gt;"",$G122&gt;$N122),"증가분 → 계약단가&gt;예정가격단가 이므로 예정가격단가","증가분 → 계약단가 (낙찰률을 곱하지 않습니다)"),IF($L122="신규","신규비목 → 당시단가 × 낙찰률","")))))</f>
        <v/>
      </c>
      <c r="R122" s="20">
        <f>IF($B122="","",IF(N($O122)=0,0,IF(OR($L122="감소",AND($L122="증가",$M122&lt;&gt;"Y")),IF(N($G122)=0,0,ROUND(N(내역서!$G122)*$O122/$G122,0)),IF(N($J122)=0,0,ROUND(N(내역서!$O122)*$O122/$J122,0)))))</f>
        <v/>
      </c>
      <c r="S122" s="20">
        <f>IF($B122="","",IF(N($O122)=0,0,IF(OR($L122="감소",AND($L122="증가",$M122&lt;&gt;"Y")),IF(N($G122)=0,0,ROUND(N(내역서!$H122)*$O122/$G122,0)),IF(N($J122)=0,0,ROUND(N(내역서!$P122)*$O122/$J122,0)))))</f>
        <v/>
      </c>
      <c r="T122" s="20">
        <f>IF($B122="","",N($O122)-N($R122)-N($S122))</f>
        <v/>
      </c>
      <c r="U122" s="20">
        <f>IF($B122="","",ROUND(N($K122)*N($R122),0))</f>
        <v/>
      </c>
      <c r="V122" s="20">
        <f>IF($B122="","",ROUND(N($K122)*N($S122),0))</f>
        <v/>
      </c>
      <c r="W122" s="20">
        <f>IF($B122="","",N($P122)-N($U122)-N($V122))</f>
        <v/>
      </c>
    </row>
    <row r="123">
      <c r="A123" s="18">
        <f>IF($B123="","",ROW()-4+1)</f>
        <v/>
      </c>
      <c r="B123" s="18">
        <f>내역서!$B123</f>
        <v/>
      </c>
      <c r="C123" s="18">
        <f>IF($B123="","",내역서!$C123)</f>
        <v/>
      </c>
      <c r="D123" s="18">
        <f>IF($B123="","",내역서!$D123)</f>
        <v/>
      </c>
      <c r="E123" s="18">
        <f>IF($B123="","",내역서!$E123)</f>
        <v/>
      </c>
      <c r="F123" s="19">
        <f>IF($B123="","",N(내역서!$F123))</f>
        <v/>
      </c>
      <c r="G123" s="20">
        <f>IF($B123="","",N(내역서!$J123))</f>
        <v/>
      </c>
      <c r="H123" s="20">
        <f>IF($B123="","",N(내역서!$K123))</f>
        <v/>
      </c>
      <c r="I123" s="19">
        <f>IF($B123="","",N(내역서!$N123))</f>
        <v/>
      </c>
      <c r="J123" s="20">
        <f>IF($B123="","",N(내역서!$R123))</f>
        <v/>
      </c>
      <c r="K123" s="19">
        <f>IF($B123="","",N($I123)-N($F123))</f>
        <v/>
      </c>
      <c r="L123" s="21">
        <f>IF($B123="","",IF(N(내역서!$F123)=0,"신규",IF($K123&lt;0,"감소",IF($K123&gt;0,"증가","-"))))</f>
        <v/>
      </c>
      <c r="M123" s="22" t="n"/>
      <c r="N123" s="23" t="n"/>
      <c r="O123" s="24">
        <f>IF($B123="","",IF($L123="감소",$G123,IF($L123="증가",IF($M123="Y",ROUND(($J123+$J123*('설정'!$C$15/100))/2,0),IF(AND($N123&lt;&gt;"",$G123&gt;$N123),$N123,$G123)),IF($L123="신규",IF($M123="Y",ROUND(($J123+$J123*('설정'!$C$15/100))/2,0),ROUND($J123*('설정'!$C$15/100),0)),0))))</f>
        <v/>
      </c>
      <c r="P123" s="24">
        <f>IF($B123="","",ROUND(N($K123)*N($O123),0))</f>
        <v/>
      </c>
      <c r="Q123" s="25">
        <f>IF($B123="","",IF($L123="감소","감소분 → 계약단가",IF(AND($M123="Y",OR($L123="증가",$L123="신규")),"발주기관 요구 → 협의 (불성립 시 (당시단가+당시단가×낙찰률)÷2)",IF($L123="증가",IF(AND($N123&lt;&gt;"",$G123&gt;$N123),"증가분 → 계약단가&gt;예정가격단가 이므로 예정가격단가","증가분 → 계약단가 (낙찰률을 곱하지 않습니다)"),IF($L123="신규","신규비목 → 당시단가 × 낙찰률","")))))</f>
        <v/>
      </c>
      <c r="R123" s="20">
        <f>IF($B123="","",IF(N($O123)=0,0,IF(OR($L123="감소",AND($L123="증가",$M123&lt;&gt;"Y")),IF(N($G123)=0,0,ROUND(N(내역서!$G123)*$O123/$G123,0)),IF(N($J123)=0,0,ROUND(N(내역서!$O123)*$O123/$J123,0)))))</f>
        <v/>
      </c>
      <c r="S123" s="20">
        <f>IF($B123="","",IF(N($O123)=0,0,IF(OR($L123="감소",AND($L123="증가",$M123&lt;&gt;"Y")),IF(N($G123)=0,0,ROUND(N(내역서!$H123)*$O123/$G123,0)),IF(N($J123)=0,0,ROUND(N(내역서!$P123)*$O123/$J123,0)))))</f>
        <v/>
      </c>
      <c r="T123" s="20">
        <f>IF($B123="","",N($O123)-N($R123)-N($S123))</f>
        <v/>
      </c>
      <c r="U123" s="20">
        <f>IF($B123="","",ROUND(N($K123)*N($R123),0))</f>
        <v/>
      </c>
      <c r="V123" s="20">
        <f>IF($B123="","",ROUND(N($K123)*N($S123),0))</f>
        <v/>
      </c>
      <c r="W123" s="20">
        <f>IF($B123="","",N($P123)-N($U123)-N($V123))</f>
        <v/>
      </c>
    </row>
    <row r="124">
      <c r="A124" s="18">
        <f>IF($B124="","",ROW()-4+1)</f>
        <v/>
      </c>
      <c r="B124" s="18">
        <f>내역서!$B124</f>
        <v/>
      </c>
      <c r="C124" s="18">
        <f>IF($B124="","",내역서!$C124)</f>
        <v/>
      </c>
      <c r="D124" s="18">
        <f>IF($B124="","",내역서!$D124)</f>
        <v/>
      </c>
      <c r="E124" s="18">
        <f>IF($B124="","",내역서!$E124)</f>
        <v/>
      </c>
      <c r="F124" s="19">
        <f>IF($B124="","",N(내역서!$F124))</f>
        <v/>
      </c>
      <c r="G124" s="20">
        <f>IF($B124="","",N(내역서!$J124))</f>
        <v/>
      </c>
      <c r="H124" s="20">
        <f>IF($B124="","",N(내역서!$K124))</f>
        <v/>
      </c>
      <c r="I124" s="19">
        <f>IF($B124="","",N(내역서!$N124))</f>
        <v/>
      </c>
      <c r="J124" s="20">
        <f>IF($B124="","",N(내역서!$R124))</f>
        <v/>
      </c>
      <c r="K124" s="19">
        <f>IF($B124="","",N($I124)-N($F124))</f>
        <v/>
      </c>
      <c r="L124" s="21">
        <f>IF($B124="","",IF(N(내역서!$F124)=0,"신규",IF($K124&lt;0,"감소",IF($K124&gt;0,"증가","-"))))</f>
        <v/>
      </c>
      <c r="M124" s="22" t="n"/>
      <c r="N124" s="23" t="n"/>
      <c r="O124" s="24">
        <f>IF($B124="","",IF($L124="감소",$G124,IF($L124="증가",IF($M124="Y",ROUND(($J124+$J124*('설정'!$C$15/100))/2,0),IF(AND($N124&lt;&gt;"",$G124&gt;$N124),$N124,$G124)),IF($L124="신규",IF($M124="Y",ROUND(($J124+$J124*('설정'!$C$15/100))/2,0),ROUND($J124*('설정'!$C$15/100),0)),0))))</f>
        <v/>
      </c>
      <c r="P124" s="24">
        <f>IF($B124="","",ROUND(N($K124)*N($O124),0))</f>
        <v/>
      </c>
      <c r="Q124" s="25">
        <f>IF($B124="","",IF($L124="감소","감소분 → 계약단가",IF(AND($M124="Y",OR($L124="증가",$L124="신규")),"발주기관 요구 → 협의 (불성립 시 (당시단가+당시단가×낙찰률)÷2)",IF($L124="증가",IF(AND($N124&lt;&gt;"",$G124&gt;$N124),"증가분 → 계약단가&gt;예정가격단가 이므로 예정가격단가","증가분 → 계약단가 (낙찰률을 곱하지 않습니다)"),IF($L124="신규","신규비목 → 당시단가 × 낙찰률","")))))</f>
        <v/>
      </c>
      <c r="R124" s="20">
        <f>IF($B124="","",IF(N($O124)=0,0,IF(OR($L124="감소",AND($L124="증가",$M124&lt;&gt;"Y")),IF(N($G124)=0,0,ROUND(N(내역서!$G124)*$O124/$G124,0)),IF(N($J124)=0,0,ROUND(N(내역서!$O124)*$O124/$J124,0)))))</f>
        <v/>
      </c>
      <c r="S124" s="20">
        <f>IF($B124="","",IF(N($O124)=0,0,IF(OR($L124="감소",AND($L124="증가",$M124&lt;&gt;"Y")),IF(N($G124)=0,0,ROUND(N(내역서!$H124)*$O124/$G124,0)),IF(N($J124)=0,0,ROUND(N(내역서!$P124)*$O124/$J124,0)))))</f>
        <v/>
      </c>
      <c r="T124" s="20">
        <f>IF($B124="","",N($O124)-N($R124)-N($S124))</f>
        <v/>
      </c>
      <c r="U124" s="20">
        <f>IF($B124="","",ROUND(N($K124)*N($R124),0))</f>
        <v/>
      </c>
      <c r="V124" s="20">
        <f>IF($B124="","",ROUND(N($K124)*N($S124),0))</f>
        <v/>
      </c>
      <c r="W124" s="20">
        <f>IF($B124="","",N($P124)-N($U124)-N($V124))</f>
        <v/>
      </c>
    </row>
    <row r="125">
      <c r="A125" s="18">
        <f>IF($B125="","",ROW()-4+1)</f>
        <v/>
      </c>
      <c r="B125" s="18">
        <f>내역서!$B125</f>
        <v/>
      </c>
      <c r="C125" s="18">
        <f>IF($B125="","",내역서!$C125)</f>
        <v/>
      </c>
      <c r="D125" s="18">
        <f>IF($B125="","",내역서!$D125)</f>
        <v/>
      </c>
      <c r="E125" s="18">
        <f>IF($B125="","",내역서!$E125)</f>
        <v/>
      </c>
      <c r="F125" s="19">
        <f>IF($B125="","",N(내역서!$F125))</f>
        <v/>
      </c>
      <c r="G125" s="20">
        <f>IF($B125="","",N(내역서!$J125))</f>
        <v/>
      </c>
      <c r="H125" s="20">
        <f>IF($B125="","",N(내역서!$K125))</f>
        <v/>
      </c>
      <c r="I125" s="19">
        <f>IF($B125="","",N(내역서!$N125))</f>
        <v/>
      </c>
      <c r="J125" s="20">
        <f>IF($B125="","",N(내역서!$R125))</f>
        <v/>
      </c>
      <c r="K125" s="19">
        <f>IF($B125="","",N($I125)-N($F125))</f>
        <v/>
      </c>
      <c r="L125" s="21">
        <f>IF($B125="","",IF(N(내역서!$F125)=0,"신규",IF($K125&lt;0,"감소",IF($K125&gt;0,"증가","-"))))</f>
        <v/>
      </c>
      <c r="M125" s="22" t="n"/>
      <c r="N125" s="23" t="n"/>
      <c r="O125" s="24">
        <f>IF($B125="","",IF($L125="감소",$G125,IF($L125="증가",IF($M125="Y",ROUND(($J125+$J125*('설정'!$C$15/100))/2,0),IF(AND($N125&lt;&gt;"",$G125&gt;$N125),$N125,$G125)),IF($L125="신규",IF($M125="Y",ROUND(($J125+$J125*('설정'!$C$15/100))/2,0),ROUND($J125*('설정'!$C$15/100),0)),0))))</f>
        <v/>
      </c>
      <c r="P125" s="24">
        <f>IF($B125="","",ROUND(N($K125)*N($O125),0))</f>
        <v/>
      </c>
      <c r="Q125" s="25">
        <f>IF($B125="","",IF($L125="감소","감소분 → 계약단가",IF(AND($M125="Y",OR($L125="증가",$L125="신규")),"발주기관 요구 → 협의 (불성립 시 (당시단가+당시단가×낙찰률)÷2)",IF($L125="증가",IF(AND($N125&lt;&gt;"",$G125&gt;$N125),"증가분 → 계약단가&gt;예정가격단가 이므로 예정가격단가","증가분 → 계약단가 (낙찰률을 곱하지 않습니다)"),IF($L125="신규","신규비목 → 당시단가 × 낙찰률","")))))</f>
        <v/>
      </c>
      <c r="R125" s="20">
        <f>IF($B125="","",IF(N($O125)=0,0,IF(OR($L125="감소",AND($L125="증가",$M125&lt;&gt;"Y")),IF(N($G125)=0,0,ROUND(N(내역서!$G125)*$O125/$G125,0)),IF(N($J125)=0,0,ROUND(N(내역서!$O125)*$O125/$J125,0)))))</f>
        <v/>
      </c>
      <c r="S125" s="20">
        <f>IF($B125="","",IF(N($O125)=0,0,IF(OR($L125="감소",AND($L125="증가",$M125&lt;&gt;"Y")),IF(N($G125)=0,0,ROUND(N(내역서!$H125)*$O125/$G125,0)),IF(N($J125)=0,0,ROUND(N(내역서!$P125)*$O125/$J125,0)))))</f>
        <v/>
      </c>
      <c r="T125" s="20">
        <f>IF($B125="","",N($O125)-N($R125)-N($S125))</f>
        <v/>
      </c>
      <c r="U125" s="20">
        <f>IF($B125="","",ROUND(N($K125)*N($R125),0))</f>
        <v/>
      </c>
      <c r="V125" s="20">
        <f>IF($B125="","",ROUND(N($K125)*N($S125),0))</f>
        <v/>
      </c>
      <c r="W125" s="20">
        <f>IF($B125="","",N($P125)-N($U125)-N($V125))</f>
        <v/>
      </c>
    </row>
    <row r="126">
      <c r="A126" s="18">
        <f>IF($B126="","",ROW()-4+1)</f>
        <v/>
      </c>
      <c r="B126" s="18">
        <f>내역서!$B126</f>
        <v/>
      </c>
      <c r="C126" s="18">
        <f>IF($B126="","",내역서!$C126)</f>
        <v/>
      </c>
      <c r="D126" s="18">
        <f>IF($B126="","",내역서!$D126)</f>
        <v/>
      </c>
      <c r="E126" s="18">
        <f>IF($B126="","",내역서!$E126)</f>
        <v/>
      </c>
      <c r="F126" s="19">
        <f>IF($B126="","",N(내역서!$F126))</f>
        <v/>
      </c>
      <c r="G126" s="20">
        <f>IF($B126="","",N(내역서!$J126))</f>
        <v/>
      </c>
      <c r="H126" s="20">
        <f>IF($B126="","",N(내역서!$K126))</f>
        <v/>
      </c>
      <c r="I126" s="19">
        <f>IF($B126="","",N(내역서!$N126))</f>
        <v/>
      </c>
      <c r="J126" s="20">
        <f>IF($B126="","",N(내역서!$R126))</f>
        <v/>
      </c>
      <c r="K126" s="19">
        <f>IF($B126="","",N($I126)-N($F126))</f>
        <v/>
      </c>
      <c r="L126" s="21">
        <f>IF($B126="","",IF(N(내역서!$F126)=0,"신규",IF($K126&lt;0,"감소",IF($K126&gt;0,"증가","-"))))</f>
        <v/>
      </c>
      <c r="M126" s="22" t="n"/>
      <c r="N126" s="23" t="n"/>
      <c r="O126" s="24">
        <f>IF($B126="","",IF($L126="감소",$G126,IF($L126="증가",IF($M126="Y",ROUND(($J126+$J126*('설정'!$C$15/100))/2,0),IF(AND($N126&lt;&gt;"",$G126&gt;$N126),$N126,$G126)),IF($L126="신규",IF($M126="Y",ROUND(($J126+$J126*('설정'!$C$15/100))/2,0),ROUND($J126*('설정'!$C$15/100),0)),0))))</f>
        <v/>
      </c>
      <c r="P126" s="24">
        <f>IF($B126="","",ROUND(N($K126)*N($O126),0))</f>
        <v/>
      </c>
      <c r="Q126" s="25">
        <f>IF($B126="","",IF($L126="감소","감소분 → 계약단가",IF(AND($M126="Y",OR($L126="증가",$L126="신규")),"발주기관 요구 → 협의 (불성립 시 (당시단가+당시단가×낙찰률)÷2)",IF($L126="증가",IF(AND($N126&lt;&gt;"",$G126&gt;$N126),"증가분 → 계약단가&gt;예정가격단가 이므로 예정가격단가","증가분 → 계약단가 (낙찰률을 곱하지 않습니다)"),IF($L126="신규","신규비목 → 당시단가 × 낙찰률","")))))</f>
        <v/>
      </c>
      <c r="R126" s="20">
        <f>IF($B126="","",IF(N($O126)=0,0,IF(OR($L126="감소",AND($L126="증가",$M126&lt;&gt;"Y")),IF(N($G126)=0,0,ROUND(N(내역서!$G126)*$O126/$G126,0)),IF(N($J126)=0,0,ROUND(N(내역서!$O126)*$O126/$J126,0)))))</f>
        <v/>
      </c>
      <c r="S126" s="20">
        <f>IF($B126="","",IF(N($O126)=0,0,IF(OR($L126="감소",AND($L126="증가",$M126&lt;&gt;"Y")),IF(N($G126)=0,0,ROUND(N(내역서!$H126)*$O126/$G126,0)),IF(N($J126)=0,0,ROUND(N(내역서!$P126)*$O126/$J126,0)))))</f>
        <v/>
      </c>
      <c r="T126" s="20">
        <f>IF($B126="","",N($O126)-N($R126)-N($S126))</f>
        <v/>
      </c>
      <c r="U126" s="20">
        <f>IF($B126="","",ROUND(N($K126)*N($R126),0))</f>
        <v/>
      </c>
      <c r="V126" s="20">
        <f>IF($B126="","",ROUND(N($K126)*N($S126),0))</f>
        <v/>
      </c>
      <c r="W126" s="20">
        <f>IF($B126="","",N($P126)-N($U126)-N($V126))</f>
        <v/>
      </c>
    </row>
    <row r="127">
      <c r="A127" s="18">
        <f>IF($B127="","",ROW()-4+1)</f>
        <v/>
      </c>
      <c r="B127" s="18">
        <f>내역서!$B127</f>
        <v/>
      </c>
      <c r="C127" s="18">
        <f>IF($B127="","",내역서!$C127)</f>
        <v/>
      </c>
      <c r="D127" s="18">
        <f>IF($B127="","",내역서!$D127)</f>
        <v/>
      </c>
      <c r="E127" s="18">
        <f>IF($B127="","",내역서!$E127)</f>
        <v/>
      </c>
      <c r="F127" s="19">
        <f>IF($B127="","",N(내역서!$F127))</f>
        <v/>
      </c>
      <c r="G127" s="20">
        <f>IF($B127="","",N(내역서!$J127))</f>
        <v/>
      </c>
      <c r="H127" s="20">
        <f>IF($B127="","",N(내역서!$K127))</f>
        <v/>
      </c>
      <c r="I127" s="19">
        <f>IF($B127="","",N(내역서!$N127))</f>
        <v/>
      </c>
      <c r="J127" s="20">
        <f>IF($B127="","",N(내역서!$R127))</f>
        <v/>
      </c>
      <c r="K127" s="19">
        <f>IF($B127="","",N($I127)-N($F127))</f>
        <v/>
      </c>
      <c r="L127" s="21">
        <f>IF($B127="","",IF(N(내역서!$F127)=0,"신규",IF($K127&lt;0,"감소",IF($K127&gt;0,"증가","-"))))</f>
        <v/>
      </c>
      <c r="M127" s="22" t="n"/>
      <c r="N127" s="23" t="n"/>
      <c r="O127" s="24">
        <f>IF($B127="","",IF($L127="감소",$G127,IF($L127="증가",IF($M127="Y",ROUND(($J127+$J127*('설정'!$C$15/100))/2,0),IF(AND($N127&lt;&gt;"",$G127&gt;$N127),$N127,$G127)),IF($L127="신규",IF($M127="Y",ROUND(($J127+$J127*('설정'!$C$15/100))/2,0),ROUND($J127*('설정'!$C$15/100),0)),0))))</f>
        <v/>
      </c>
      <c r="P127" s="24">
        <f>IF($B127="","",ROUND(N($K127)*N($O127),0))</f>
        <v/>
      </c>
      <c r="Q127" s="25">
        <f>IF($B127="","",IF($L127="감소","감소분 → 계약단가",IF(AND($M127="Y",OR($L127="증가",$L127="신규")),"발주기관 요구 → 협의 (불성립 시 (당시단가+당시단가×낙찰률)÷2)",IF($L127="증가",IF(AND($N127&lt;&gt;"",$G127&gt;$N127),"증가분 → 계약단가&gt;예정가격단가 이므로 예정가격단가","증가분 → 계약단가 (낙찰률을 곱하지 않습니다)"),IF($L127="신규","신규비목 → 당시단가 × 낙찰률","")))))</f>
        <v/>
      </c>
      <c r="R127" s="20">
        <f>IF($B127="","",IF(N($O127)=0,0,IF(OR($L127="감소",AND($L127="증가",$M127&lt;&gt;"Y")),IF(N($G127)=0,0,ROUND(N(내역서!$G127)*$O127/$G127,0)),IF(N($J127)=0,0,ROUND(N(내역서!$O127)*$O127/$J127,0)))))</f>
        <v/>
      </c>
      <c r="S127" s="20">
        <f>IF($B127="","",IF(N($O127)=0,0,IF(OR($L127="감소",AND($L127="증가",$M127&lt;&gt;"Y")),IF(N($G127)=0,0,ROUND(N(내역서!$H127)*$O127/$G127,0)),IF(N($J127)=0,0,ROUND(N(내역서!$P127)*$O127/$J127,0)))))</f>
        <v/>
      </c>
      <c r="T127" s="20">
        <f>IF($B127="","",N($O127)-N($R127)-N($S127))</f>
        <v/>
      </c>
      <c r="U127" s="20">
        <f>IF($B127="","",ROUND(N($K127)*N($R127),0))</f>
        <v/>
      </c>
      <c r="V127" s="20">
        <f>IF($B127="","",ROUND(N($K127)*N($S127),0))</f>
        <v/>
      </c>
      <c r="W127" s="20">
        <f>IF($B127="","",N($P127)-N($U127)-N($V127))</f>
        <v/>
      </c>
    </row>
    <row r="128">
      <c r="A128" s="18">
        <f>IF($B128="","",ROW()-4+1)</f>
        <v/>
      </c>
      <c r="B128" s="18">
        <f>내역서!$B128</f>
        <v/>
      </c>
      <c r="C128" s="18">
        <f>IF($B128="","",내역서!$C128)</f>
        <v/>
      </c>
      <c r="D128" s="18">
        <f>IF($B128="","",내역서!$D128)</f>
        <v/>
      </c>
      <c r="E128" s="18">
        <f>IF($B128="","",내역서!$E128)</f>
        <v/>
      </c>
      <c r="F128" s="19">
        <f>IF($B128="","",N(내역서!$F128))</f>
        <v/>
      </c>
      <c r="G128" s="20">
        <f>IF($B128="","",N(내역서!$J128))</f>
        <v/>
      </c>
      <c r="H128" s="20">
        <f>IF($B128="","",N(내역서!$K128))</f>
        <v/>
      </c>
      <c r="I128" s="19">
        <f>IF($B128="","",N(내역서!$N128))</f>
        <v/>
      </c>
      <c r="J128" s="20">
        <f>IF($B128="","",N(내역서!$R128))</f>
        <v/>
      </c>
      <c r="K128" s="19">
        <f>IF($B128="","",N($I128)-N($F128))</f>
        <v/>
      </c>
      <c r="L128" s="21">
        <f>IF($B128="","",IF(N(내역서!$F128)=0,"신규",IF($K128&lt;0,"감소",IF($K128&gt;0,"증가","-"))))</f>
        <v/>
      </c>
      <c r="M128" s="22" t="n"/>
      <c r="N128" s="23" t="n"/>
      <c r="O128" s="24">
        <f>IF($B128="","",IF($L128="감소",$G128,IF($L128="증가",IF($M128="Y",ROUND(($J128+$J128*('설정'!$C$15/100))/2,0),IF(AND($N128&lt;&gt;"",$G128&gt;$N128),$N128,$G128)),IF($L128="신규",IF($M128="Y",ROUND(($J128+$J128*('설정'!$C$15/100))/2,0),ROUND($J128*('설정'!$C$15/100),0)),0))))</f>
        <v/>
      </c>
      <c r="P128" s="24">
        <f>IF($B128="","",ROUND(N($K128)*N($O128),0))</f>
        <v/>
      </c>
      <c r="Q128" s="25">
        <f>IF($B128="","",IF($L128="감소","감소분 → 계약단가",IF(AND($M128="Y",OR($L128="증가",$L128="신규")),"발주기관 요구 → 협의 (불성립 시 (당시단가+당시단가×낙찰률)÷2)",IF($L128="증가",IF(AND($N128&lt;&gt;"",$G128&gt;$N128),"증가분 → 계약단가&gt;예정가격단가 이므로 예정가격단가","증가분 → 계약단가 (낙찰률을 곱하지 않습니다)"),IF($L128="신규","신규비목 → 당시단가 × 낙찰률","")))))</f>
        <v/>
      </c>
      <c r="R128" s="20">
        <f>IF($B128="","",IF(N($O128)=0,0,IF(OR($L128="감소",AND($L128="증가",$M128&lt;&gt;"Y")),IF(N($G128)=0,0,ROUND(N(내역서!$G128)*$O128/$G128,0)),IF(N($J128)=0,0,ROUND(N(내역서!$O128)*$O128/$J128,0)))))</f>
        <v/>
      </c>
      <c r="S128" s="20">
        <f>IF($B128="","",IF(N($O128)=0,0,IF(OR($L128="감소",AND($L128="증가",$M128&lt;&gt;"Y")),IF(N($G128)=0,0,ROUND(N(내역서!$H128)*$O128/$G128,0)),IF(N($J128)=0,0,ROUND(N(내역서!$P128)*$O128/$J128,0)))))</f>
        <v/>
      </c>
      <c r="T128" s="20">
        <f>IF($B128="","",N($O128)-N($R128)-N($S128))</f>
        <v/>
      </c>
      <c r="U128" s="20">
        <f>IF($B128="","",ROUND(N($K128)*N($R128),0))</f>
        <v/>
      </c>
      <c r="V128" s="20">
        <f>IF($B128="","",ROUND(N($K128)*N($S128),0))</f>
        <v/>
      </c>
      <c r="W128" s="20">
        <f>IF($B128="","",N($P128)-N($U128)-N($V128))</f>
        <v/>
      </c>
    </row>
    <row r="129">
      <c r="A129" s="18">
        <f>IF($B129="","",ROW()-4+1)</f>
        <v/>
      </c>
      <c r="B129" s="18">
        <f>내역서!$B129</f>
        <v/>
      </c>
      <c r="C129" s="18">
        <f>IF($B129="","",내역서!$C129)</f>
        <v/>
      </c>
      <c r="D129" s="18">
        <f>IF($B129="","",내역서!$D129)</f>
        <v/>
      </c>
      <c r="E129" s="18">
        <f>IF($B129="","",내역서!$E129)</f>
        <v/>
      </c>
      <c r="F129" s="19">
        <f>IF($B129="","",N(내역서!$F129))</f>
        <v/>
      </c>
      <c r="G129" s="20">
        <f>IF($B129="","",N(내역서!$J129))</f>
        <v/>
      </c>
      <c r="H129" s="20">
        <f>IF($B129="","",N(내역서!$K129))</f>
        <v/>
      </c>
      <c r="I129" s="19">
        <f>IF($B129="","",N(내역서!$N129))</f>
        <v/>
      </c>
      <c r="J129" s="20">
        <f>IF($B129="","",N(내역서!$R129))</f>
        <v/>
      </c>
      <c r="K129" s="19">
        <f>IF($B129="","",N($I129)-N($F129))</f>
        <v/>
      </c>
      <c r="L129" s="21">
        <f>IF($B129="","",IF(N(내역서!$F129)=0,"신규",IF($K129&lt;0,"감소",IF($K129&gt;0,"증가","-"))))</f>
        <v/>
      </c>
      <c r="M129" s="22" t="n"/>
      <c r="N129" s="23" t="n"/>
      <c r="O129" s="24">
        <f>IF($B129="","",IF($L129="감소",$G129,IF($L129="증가",IF($M129="Y",ROUND(($J129+$J129*('설정'!$C$15/100))/2,0),IF(AND($N129&lt;&gt;"",$G129&gt;$N129),$N129,$G129)),IF($L129="신규",IF($M129="Y",ROUND(($J129+$J129*('설정'!$C$15/100))/2,0),ROUND($J129*('설정'!$C$15/100),0)),0))))</f>
        <v/>
      </c>
      <c r="P129" s="24">
        <f>IF($B129="","",ROUND(N($K129)*N($O129),0))</f>
        <v/>
      </c>
      <c r="Q129" s="25">
        <f>IF($B129="","",IF($L129="감소","감소분 → 계약단가",IF(AND($M129="Y",OR($L129="증가",$L129="신규")),"발주기관 요구 → 협의 (불성립 시 (당시단가+당시단가×낙찰률)÷2)",IF($L129="증가",IF(AND($N129&lt;&gt;"",$G129&gt;$N129),"증가분 → 계약단가&gt;예정가격단가 이므로 예정가격단가","증가분 → 계약단가 (낙찰률을 곱하지 않습니다)"),IF($L129="신규","신규비목 → 당시단가 × 낙찰률","")))))</f>
        <v/>
      </c>
      <c r="R129" s="20">
        <f>IF($B129="","",IF(N($O129)=0,0,IF(OR($L129="감소",AND($L129="증가",$M129&lt;&gt;"Y")),IF(N($G129)=0,0,ROUND(N(내역서!$G129)*$O129/$G129,0)),IF(N($J129)=0,0,ROUND(N(내역서!$O129)*$O129/$J129,0)))))</f>
        <v/>
      </c>
      <c r="S129" s="20">
        <f>IF($B129="","",IF(N($O129)=0,0,IF(OR($L129="감소",AND($L129="증가",$M129&lt;&gt;"Y")),IF(N($G129)=0,0,ROUND(N(내역서!$H129)*$O129/$G129,0)),IF(N($J129)=0,0,ROUND(N(내역서!$P129)*$O129/$J129,0)))))</f>
        <v/>
      </c>
      <c r="T129" s="20">
        <f>IF($B129="","",N($O129)-N($R129)-N($S129))</f>
        <v/>
      </c>
      <c r="U129" s="20">
        <f>IF($B129="","",ROUND(N($K129)*N($R129),0))</f>
        <v/>
      </c>
      <c r="V129" s="20">
        <f>IF($B129="","",ROUND(N($K129)*N($S129),0))</f>
        <v/>
      </c>
      <c r="W129" s="20">
        <f>IF($B129="","",N($P129)-N($U129)-N($V129))</f>
        <v/>
      </c>
    </row>
    <row r="130">
      <c r="A130" s="18">
        <f>IF($B130="","",ROW()-4+1)</f>
        <v/>
      </c>
      <c r="B130" s="18">
        <f>내역서!$B130</f>
        <v/>
      </c>
      <c r="C130" s="18">
        <f>IF($B130="","",내역서!$C130)</f>
        <v/>
      </c>
      <c r="D130" s="18">
        <f>IF($B130="","",내역서!$D130)</f>
        <v/>
      </c>
      <c r="E130" s="18">
        <f>IF($B130="","",내역서!$E130)</f>
        <v/>
      </c>
      <c r="F130" s="19">
        <f>IF($B130="","",N(내역서!$F130))</f>
        <v/>
      </c>
      <c r="G130" s="20">
        <f>IF($B130="","",N(내역서!$J130))</f>
        <v/>
      </c>
      <c r="H130" s="20">
        <f>IF($B130="","",N(내역서!$K130))</f>
        <v/>
      </c>
      <c r="I130" s="19">
        <f>IF($B130="","",N(내역서!$N130))</f>
        <v/>
      </c>
      <c r="J130" s="20">
        <f>IF($B130="","",N(내역서!$R130))</f>
        <v/>
      </c>
      <c r="K130" s="19">
        <f>IF($B130="","",N($I130)-N($F130))</f>
        <v/>
      </c>
      <c r="L130" s="21">
        <f>IF($B130="","",IF(N(내역서!$F130)=0,"신규",IF($K130&lt;0,"감소",IF($K130&gt;0,"증가","-"))))</f>
        <v/>
      </c>
      <c r="M130" s="22" t="n"/>
      <c r="N130" s="23" t="n"/>
      <c r="O130" s="24">
        <f>IF($B130="","",IF($L130="감소",$G130,IF($L130="증가",IF($M130="Y",ROUND(($J130+$J130*('설정'!$C$15/100))/2,0),IF(AND($N130&lt;&gt;"",$G130&gt;$N130),$N130,$G130)),IF($L130="신규",IF($M130="Y",ROUND(($J130+$J130*('설정'!$C$15/100))/2,0),ROUND($J130*('설정'!$C$15/100),0)),0))))</f>
        <v/>
      </c>
      <c r="P130" s="24">
        <f>IF($B130="","",ROUND(N($K130)*N($O130),0))</f>
        <v/>
      </c>
      <c r="Q130" s="25">
        <f>IF($B130="","",IF($L130="감소","감소분 → 계약단가",IF(AND($M130="Y",OR($L130="증가",$L130="신규")),"발주기관 요구 → 협의 (불성립 시 (당시단가+당시단가×낙찰률)÷2)",IF($L130="증가",IF(AND($N130&lt;&gt;"",$G130&gt;$N130),"증가분 → 계약단가&gt;예정가격단가 이므로 예정가격단가","증가분 → 계약단가 (낙찰률을 곱하지 않습니다)"),IF($L130="신규","신규비목 → 당시단가 × 낙찰률","")))))</f>
        <v/>
      </c>
      <c r="R130" s="20">
        <f>IF($B130="","",IF(N($O130)=0,0,IF(OR($L130="감소",AND($L130="증가",$M130&lt;&gt;"Y")),IF(N($G130)=0,0,ROUND(N(내역서!$G130)*$O130/$G130,0)),IF(N($J130)=0,0,ROUND(N(내역서!$O130)*$O130/$J130,0)))))</f>
        <v/>
      </c>
      <c r="S130" s="20">
        <f>IF($B130="","",IF(N($O130)=0,0,IF(OR($L130="감소",AND($L130="증가",$M130&lt;&gt;"Y")),IF(N($G130)=0,0,ROUND(N(내역서!$H130)*$O130/$G130,0)),IF(N($J130)=0,0,ROUND(N(내역서!$P130)*$O130/$J130,0)))))</f>
        <v/>
      </c>
      <c r="T130" s="20">
        <f>IF($B130="","",N($O130)-N($R130)-N($S130))</f>
        <v/>
      </c>
      <c r="U130" s="20">
        <f>IF($B130="","",ROUND(N($K130)*N($R130),0))</f>
        <v/>
      </c>
      <c r="V130" s="20">
        <f>IF($B130="","",ROUND(N($K130)*N($S130),0))</f>
        <v/>
      </c>
      <c r="W130" s="20">
        <f>IF($B130="","",N($P130)-N($U130)-N($V130))</f>
        <v/>
      </c>
    </row>
    <row r="131">
      <c r="A131" s="18">
        <f>IF($B131="","",ROW()-4+1)</f>
        <v/>
      </c>
      <c r="B131" s="18">
        <f>내역서!$B131</f>
        <v/>
      </c>
      <c r="C131" s="18">
        <f>IF($B131="","",내역서!$C131)</f>
        <v/>
      </c>
      <c r="D131" s="18">
        <f>IF($B131="","",내역서!$D131)</f>
        <v/>
      </c>
      <c r="E131" s="18">
        <f>IF($B131="","",내역서!$E131)</f>
        <v/>
      </c>
      <c r="F131" s="19">
        <f>IF($B131="","",N(내역서!$F131))</f>
        <v/>
      </c>
      <c r="G131" s="20">
        <f>IF($B131="","",N(내역서!$J131))</f>
        <v/>
      </c>
      <c r="H131" s="20">
        <f>IF($B131="","",N(내역서!$K131))</f>
        <v/>
      </c>
      <c r="I131" s="19">
        <f>IF($B131="","",N(내역서!$N131))</f>
        <v/>
      </c>
      <c r="J131" s="20">
        <f>IF($B131="","",N(내역서!$R131))</f>
        <v/>
      </c>
      <c r="K131" s="19">
        <f>IF($B131="","",N($I131)-N($F131))</f>
        <v/>
      </c>
      <c r="L131" s="21">
        <f>IF($B131="","",IF(N(내역서!$F131)=0,"신규",IF($K131&lt;0,"감소",IF($K131&gt;0,"증가","-"))))</f>
        <v/>
      </c>
      <c r="M131" s="22" t="n"/>
      <c r="N131" s="23" t="n"/>
      <c r="O131" s="24">
        <f>IF($B131="","",IF($L131="감소",$G131,IF($L131="증가",IF($M131="Y",ROUND(($J131+$J131*('설정'!$C$15/100))/2,0),IF(AND($N131&lt;&gt;"",$G131&gt;$N131),$N131,$G131)),IF($L131="신규",IF($M131="Y",ROUND(($J131+$J131*('설정'!$C$15/100))/2,0),ROUND($J131*('설정'!$C$15/100),0)),0))))</f>
        <v/>
      </c>
      <c r="P131" s="24">
        <f>IF($B131="","",ROUND(N($K131)*N($O131),0))</f>
        <v/>
      </c>
      <c r="Q131" s="25">
        <f>IF($B131="","",IF($L131="감소","감소분 → 계약단가",IF(AND($M131="Y",OR($L131="증가",$L131="신규")),"발주기관 요구 → 협의 (불성립 시 (당시단가+당시단가×낙찰률)÷2)",IF($L131="증가",IF(AND($N131&lt;&gt;"",$G131&gt;$N131),"증가분 → 계약단가&gt;예정가격단가 이므로 예정가격단가","증가분 → 계약단가 (낙찰률을 곱하지 않습니다)"),IF($L131="신규","신규비목 → 당시단가 × 낙찰률","")))))</f>
        <v/>
      </c>
      <c r="R131" s="20">
        <f>IF($B131="","",IF(N($O131)=0,0,IF(OR($L131="감소",AND($L131="증가",$M131&lt;&gt;"Y")),IF(N($G131)=0,0,ROUND(N(내역서!$G131)*$O131/$G131,0)),IF(N($J131)=0,0,ROUND(N(내역서!$O131)*$O131/$J131,0)))))</f>
        <v/>
      </c>
      <c r="S131" s="20">
        <f>IF($B131="","",IF(N($O131)=0,0,IF(OR($L131="감소",AND($L131="증가",$M131&lt;&gt;"Y")),IF(N($G131)=0,0,ROUND(N(내역서!$H131)*$O131/$G131,0)),IF(N($J131)=0,0,ROUND(N(내역서!$P131)*$O131/$J131,0)))))</f>
        <v/>
      </c>
      <c r="T131" s="20">
        <f>IF($B131="","",N($O131)-N($R131)-N($S131))</f>
        <v/>
      </c>
      <c r="U131" s="20">
        <f>IF($B131="","",ROUND(N($K131)*N($R131),0))</f>
        <v/>
      </c>
      <c r="V131" s="20">
        <f>IF($B131="","",ROUND(N($K131)*N($S131),0))</f>
        <v/>
      </c>
      <c r="W131" s="20">
        <f>IF($B131="","",N($P131)-N($U131)-N($V131))</f>
        <v/>
      </c>
    </row>
    <row r="132">
      <c r="A132" s="18">
        <f>IF($B132="","",ROW()-4+1)</f>
        <v/>
      </c>
      <c r="B132" s="18">
        <f>내역서!$B132</f>
        <v/>
      </c>
      <c r="C132" s="18">
        <f>IF($B132="","",내역서!$C132)</f>
        <v/>
      </c>
      <c r="D132" s="18">
        <f>IF($B132="","",내역서!$D132)</f>
        <v/>
      </c>
      <c r="E132" s="18">
        <f>IF($B132="","",내역서!$E132)</f>
        <v/>
      </c>
      <c r="F132" s="19">
        <f>IF($B132="","",N(내역서!$F132))</f>
        <v/>
      </c>
      <c r="G132" s="20">
        <f>IF($B132="","",N(내역서!$J132))</f>
        <v/>
      </c>
      <c r="H132" s="20">
        <f>IF($B132="","",N(내역서!$K132))</f>
        <v/>
      </c>
      <c r="I132" s="19">
        <f>IF($B132="","",N(내역서!$N132))</f>
        <v/>
      </c>
      <c r="J132" s="20">
        <f>IF($B132="","",N(내역서!$R132))</f>
        <v/>
      </c>
      <c r="K132" s="19">
        <f>IF($B132="","",N($I132)-N($F132))</f>
        <v/>
      </c>
      <c r="L132" s="21">
        <f>IF($B132="","",IF(N(내역서!$F132)=0,"신규",IF($K132&lt;0,"감소",IF($K132&gt;0,"증가","-"))))</f>
        <v/>
      </c>
      <c r="M132" s="22" t="n"/>
      <c r="N132" s="23" t="n"/>
      <c r="O132" s="24">
        <f>IF($B132="","",IF($L132="감소",$G132,IF($L132="증가",IF($M132="Y",ROUND(($J132+$J132*('설정'!$C$15/100))/2,0),IF(AND($N132&lt;&gt;"",$G132&gt;$N132),$N132,$G132)),IF($L132="신규",IF($M132="Y",ROUND(($J132+$J132*('설정'!$C$15/100))/2,0),ROUND($J132*('설정'!$C$15/100),0)),0))))</f>
        <v/>
      </c>
      <c r="P132" s="24">
        <f>IF($B132="","",ROUND(N($K132)*N($O132),0))</f>
        <v/>
      </c>
      <c r="Q132" s="25">
        <f>IF($B132="","",IF($L132="감소","감소분 → 계약단가",IF(AND($M132="Y",OR($L132="증가",$L132="신규")),"발주기관 요구 → 협의 (불성립 시 (당시단가+당시단가×낙찰률)÷2)",IF($L132="증가",IF(AND($N132&lt;&gt;"",$G132&gt;$N132),"증가분 → 계약단가&gt;예정가격단가 이므로 예정가격단가","증가분 → 계약단가 (낙찰률을 곱하지 않습니다)"),IF($L132="신규","신규비목 → 당시단가 × 낙찰률","")))))</f>
        <v/>
      </c>
      <c r="R132" s="20">
        <f>IF($B132="","",IF(N($O132)=0,0,IF(OR($L132="감소",AND($L132="증가",$M132&lt;&gt;"Y")),IF(N($G132)=0,0,ROUND(N(내역서!$G132)*$O132/$G132,0)),IF(N($J132)=0,0,ROUND(N(내역서!$O132)*$O132/$J132,0)))))</f>
        <v/>
      </c>
      <c r="S132" s="20">
        <f>IF($B132="","",IF(N($O132)=0,0,IF(OR($L132="감소",AND($L132="증가",$M132&lt;&gt;"Y")),IF(N($G132)=0,0,ROUND(N(내역서!$H132)*$O132/$G132,0)),IF(N($J132)=0,0,ROUND(N(내역서!$P132)*$O132/$J132,0)))))</f>
        <v/>
      </c>
      <c r="T132" s="20">
        <f>IF($B132="","",N($O132)-N($R132)-N($S132))</f>
        <v/>
      </c>
      <c r="U132" s="20">
        <f>IF($B132="","",ROUND(N($K132)*N($R132),0))</f>
        <v/>
      </c>
      <c r="V132" s="20">
        <f>IF($B132="","",ROUND(N($K132)*N($S132),0))</f>
        <v/>
      </c>
      <c r="W132" s="20">
        <f>IF($B132="","",N($P132)-N($U132)-N($V132))</f>
        <v/>
      </c>
    </row>
    <row r="133">
      <c r="A133" s="18">
        <f>IF($B133="","",ROW()-4+1)</f>
        <v/>
      </c>
      <c r="B133" s="18">
        <f>내역서!$B133</f>
        <v/>
      </c>
      <c r="C133" s="18">
        <f>IF($B133="","",내역서!$C133)</f>
        <v/>
      </c>
      <c r="D133" s="18">
        <f>IF($B133="","",내역서!$D133)</f>
        <v/>
      </c>
      <c r="E133" s="18">
        <f>IF($B133="","",내역서!$E133)</f>
        <v/>
      </c>
      <c r="F133" s="19">
        <f>IF($B133="","",N(내역서!$F133))</f>
        <v/>
      </c>
      <c r="G133" s="20">
        <f>IF($B133="","",N(내역서!$J133))</f>
        <v/>
      </c>
      <c r="H133" s="20">
        <f>IF($B133="","",N(내역서!$K133))</f>
        <v/>
      </c>
      <c r="I133" s="19">
        <f>IF($B133="","",N(내역서!$N133))</f>
        <v/>
      </c>
      <c r="J133" s="20">
        <f>IF($B133="","",N(내역서!$R133))</f>
        <v/>
      </c>
      <c r="K133" s="19">
        <f>IF($B133="","",N($I133)-N($F133))</f>
        <v/>
      </c>
      <c r="L133" s="21">
        <f>IF($B133="","",IF(N(내역서!$F133)=0,"신규",IF($K133&lt;0,"감소",IF($K133&gt;0,"증가","-"))))</f>
        <v/>
      </c>
      <c r="M133" s="22" t="n"/>
      <c r="N133" s="23" t="n"/>
      <c r="O133" s="24">
        <f>IF($B133="","",IF($L133="감소",$G133,IF($L133="증가",IF($M133="Y",ROUND(($J133+$J133*('설정'!$C$15/100))/2,0),IF(AND($N133&lt;&gt;"",$G133&gt;$N133),$N133,$G133)),IF($L133="신규",IF($M133="Y",ROUND(($J133+$J133*('설정'!$C$15/100))/2,0),ROUND($J133*('설정'!$C$15/100),0)),0))))</f>
        <v/>
      </c>
      <c r="P133" s="24">
        <f>IF($B133="","",ROUND(N($K133)*N($O133),0))</f>
        <v/>
      </c>
      <c r="Q133" s="25">
        <f>IF($B133="","",IF($L133="감소","감소분 → 계약단가",IF(AND($M133="Y",OR($L133="증가",$L133="신규")),"발주기관 요구 → 협의 (불성립 시 (당시단가+당시단가×낙찰률)÷2)",IF($L133="증가",IF(AND($N133&lt;&gt;"",$G133&gt;$N133),"증가분 → 계약단가&gt;예정가격단가 이므로 예정가격단가","증가분 → 계약단가 (낙찰률을 곱하지 않습니다)"),IF($L133="신규","신규비목 → 당시단가 × 낙찰률","")))))</f>
        <v/>
      </c>
      <c r="R133" s="20">
        <f>IF($B133="","",IF(N($O133)=0,0,IF(OR($L133="감소",AND($L133="증가",$M133&lt;&gt;"Y")),IF(N($G133)=0,0,ROUND(N(내역서!$G133)*$O133/$G133,0)),IF(N($J133)=0,0,ROUND(N(내역서!$O133)*$O133/$J133,0)))))</f>
        <v/>
      </c>
      <c r="S133" s="20">
        <f>IF($B133="","",IF(N($O133)=0,0,IF(OR($L133="감소",AND($L133="증가",$M133&lt;&gt;"Y")),IF(N($G133)=0,0,ROUND(N(내역서!$H133)*$O133/$G133,0)),IF(N($J133)=0,0,ROUND(N(내역서!$P133)*$O133/$J133,0)))))</f>
        <v/>
      </c>
      <c r="T133" s="20">
        <f>IF($B133="","",N($O133)-N($R133)-N($S133))</f>
        <v/>
      </c>
      <c r="U133" s="20">
        <f>IF($B133="","",ROUND(N($K133)*N($R133),0))</f>
        <v/>
      </c>
      <c r="V133" s="20">
        <f>IF($B133="","",ROUND(N($K133)*N($S133),0))</f>
        <v/>
      </c>
      <c r="W133" s="20">
        <f>IF($B133="","",N($P133)-N($U133)-N($V133))</f>
        <v/>
      </c>
    </row>
    <row r="134">
      <c r="A134" s="18">
        <f>IF($B134="","",ROW()-4+1)</f>
        <v/>
      </c>
      <c r="B134" s="18">
        <f>내역서!$B134</f>
        <v/>
      </c>
      <c r="C134" s="18">
        <f>IF($B134="","",내역서!$C134)</f>
        <v/>
      </c>
      <c r="D134" s="18">
        <f>IF($B134="","",내역서!$D134)</f>
        <v/>
      </c>
      <c r="E134" s="18">
        <f>IF($B134="","",내역서!$E134)</f>
        <v/>
      </c>
      <c r="F134" s="19">
        <f>IF($B134="","",N(내역서!$F134))</f>
        <v/>
      </c>
      <c r="G134" s="20">
        <f>IF($B134="","",N(내역서!$J134))</f>
        <v/>
      </c>
      <c r="H134" s="20">
        <f>IF($B134="","",N(내역서!$K134))</f>
        <v/>
      </c>
      <c r="I134" s="19">
        <f>IF($B134="","",N(내역서!$N134))</f>
        <v/>
      </c>
      <c r="J134" s="20">
        <f>IF($B134="","",N(내역서!$R134))</f>
        <v/>
      </c>
      <c r="K134" s="19">
        <f>IF($B134="","",N($I134)-N($F134))</f>
        <v/>
      </c>
      <c r="L134" s="21">
        <f>IF($B134="","",IF(N(내역서!$F134)=0,"신규",IF($K134&lt;0,"감소",IF($K134&gt;0,"증가","-"))))</f>
        <v/>
      </c>
      <c r="M134" s="22" t="n"/>
      <c r="N134" s="23" t="n"/>
      <c r="O134" s="24">
        <f>IF($B134="","",IF($L134="감소",$G134,IF($L134="증가",IF($M134="Y",ROUND(($J134+$J134*('설정'!$C$15/100))/2,0),IF(AND($N134&lt;&gt;"",$G134&gt;$N134),$N134,$G134)),IF($L134="신규",IF($M134="Y",ROUND(($J134+$J134*('설정'!$C$15/100))/2,0),ROUND($J134*('설정'!$C$15/100),0)),0))))</f>
        <v/>
      </c>
      <c r="P134" s="24">
        <f>IF($B134="","",ROUND(N($K134)*N($O134),0))</f>
        <v/>
      </c>
      <c r="Q134" s="25">
        <f>IF($B134="","",IF($L134="감소","감소분 → 계약단가",IF(AND($M134="Y",OR($L134="증가",$L134="신규")),"발주기관 요구 → 협의 (불성립 시 (당시단가+당시단가×낙찰률)÷2)",IF($L134="증가",IF(AND($N134&lt;&gt;"",$G134&gt;$N134),"증가분 → 계약단가&gt;예정가격단가 이므로 예정가격단가","증가분 → 계약단가 (낙찰률을 곱하지 않습니다)"),IF($L134="신규","신규비목 → 당시단가 × 낙찰률","")))))</f>
        <v/>
      </c>
      <c r="R134" s="20">
        <f>IF($B134="","",IF(N($O134)=0,0,IF(OR($L134="감소",AND($L134="증가",$M134&lt;&gt;"Y")),IF(N($G134)=0,0,ROUND(N(내역서!$G134)*$O134/$G134,0)),IF(N($J134)=0,0,ROUND(N(내역서!$O134)*$O134/$J134,0)))))</f>
        <v/>
      </c>
      <c r="S134" s="20">
        <f>IF($B134="","",IF(N($O134)=0,0,IF(OR($L134="감소",AND($L134="증가",$M134&lt;&gt;"Y")),IF(N($G134)=0,0,ROUND(N(내역서!$H134)*$O134/$G134,0)),IF(N($J134)=0,0,ROUND(N(내역서!$P134)*$O134/$J134,0)))))</f>
        <v/>
      </c>
      <c r="T134" s="20">
        <f>IF($B134="","",N($O134)-N($R134)-N($S134))</f>
        <v/>
      </c>
      <c r="U134" s="20">
        <f>IF($B134="","",ROUND(N($K134)*N($R134),0))</f>
        <v/>
      </c>
      <c r="V134" s="20">
        <f>IF($B134="","",ROUND(N($K134)*N($S134),0))</f>
        <v/>
      </c>
      <c r="W134" s="20">
        <f>IF($B134="","",N($P134)-N($U134)-N($V134))</f>
        <v/>
      </c>
    </row>
    <row r="135">
      <c r="A135" s="18">
        <f>IF($B135="","",ROW()-4+1)</f>
        <v/>
      </c>
      <c r="B135" s="18">
        <f>내역서!$B135</f>
        <v/>
      </c>
      <c r="C135" s="18">
        <f>IF($B135="","",내역서!$C135)</f>
        <v/>
      </c>
      <c r="D135" s="18">
        <f>IF($B135="","",내역서!$D135)</f>
        <v/>
      </c>
      <c r="E135" s="18">
        <f>IF($B135="","",내역서!$E135)</f>
        <v/>
      </c>
      <c r="F135" s="19">
        <f>IF($B135="","",N(내역서!$F135))</f>
        <v/>
      </c>
      <c r="G135" s="20">
        <f>IF($B135="","",N(내역서!$J135))</f>
        <v/>
      </c>
      <c r="H135" s="20">
        <f>IF($B135="","",N(내역서!$K135))</f>
        <v/>
      </c>
      <c r="I135" s="19">
        <f>IF($B135="","",N(내역서!$N135))</f>
        <v/>
      </c>
      <c r="J135" s="20">
        <f>IF($B135="","",N(내역서!$R135))</f>
        <v/>
      </c>
      <c r="K135" s="19">
        <f>IF($B135="","",N($I135)-N($F135))</f>
        <v/>
      </c>
      <c r="L135" s="21">
        <f>IF($B135="","",IF(N(내역서!$F135)=0,"신규",IF($K135&lt;0,"감소",IF($K135&gt;0,"증가","-"))))</f>
        <v/>
      </c>
      <c r="M135" s="22" t="n"/>
      <c r="N135" s="23" t="n"/>
      <c r="O135" s="24">
        <f>IF($B135="","",IF($L135="감소",$G135,IF($L135="증가",IF($M135="Y",ROUND(($J135+$J135*('설정'!$C$15/100))/2,0),IF(AND($N135&lt;&gt;"",$G135&gt;$N135),$N135,$G135)),IF($L135="신규",IF($M135="Y",ROUND(($J135+$J135*('설정'!$C$15/100))/2,0),ROUND($J135*('설정'!$C$15/100),0)),0))))</f>
        <v/>
      </c>
      <c r="P135" s="24">
        <f>IF($B135="","",ROUND(N($K135)*N($O135),0))</f>
        <v/>
      </c>
      <c r="Q135" s="25">
        <f>IF($B135="","",IF($L135="감소","감소분 → 계약단가",IF(AND($M135="Y",OR($L135="증가",$L135="신규")),"발주기관 요구 → 협의 (불성립 시 (당시단가+당시단가×낙찰률)÷2)",IF($L135="증가",IF(AND($N135&lt;&gt;"",$G135&gt;$N135),"증가분 → 계약단가&gt;예정가격단가 이므로 예정가격단가","증가분 → 계약단가 (낙찰률을 곱하지 않습니다)"),IF($L135="신규","신규비목 → 당시단가 × 낙찰률","")))))</f>
        <v/>
      </c>
      <c r="R135" s="20">
        <f>IF($B135="","",IF(N($O135)=0,0,IF(OR($L135="감소",AND($L135="증가",$M135&lt;&gt;"Y")),IF(N($G135)=0,0,ROUND(N(내역서!$G135)*$O135/$G135,0)),IF(N($J135)=0,0,ROUND(N(내역서!$O135)*$O135/$J135,0)))))</f>
        <v/>
      </c>
      <c r="S135" s="20">
        <f>IF($B135="","",IF(N($O135)=0,0,IF(OR($L135="감소",AND($L135="증가",$M135&lt;&gt;"Y")),IF(N($G135)=0,0,ROUND(N(내역서!$H135)*$O135/$G135,0)),IF(N($J135)=0,0,ROUND(N(내역서!$P135)*$O135/$J135,0)))))</f>
        <v/>
      </c>
      <c r="T135" s="20">
        <f>IF($B135="","",N($O135)-N($R135)-N($S135))</f>
        <v/>
      </c>
      <c r="U135" s="20">
        <f>IF($B135="","",ROUND(N($K135)*N($R135),0))</f>
        <v/>
      </c>
      <c r="V135" s="20">
        <f>IF($B135="","",ROUND(N($K135)*N($S135),0))</f>
        <v/>
      </c>
      <c r="W135" s="20">
        <f>IF($B135="","",N($P135)-N($U135)-N($V135))</f>
        <v/>
      </c>
    </row>
    <row r="136">
      <c r="A136" s="18">
        <f>IF($B136="","",ROW()-4+1)</f>
        <v/>
      </c>
      <c r="B136" s="18">
        <f>내역서!$B136</f>
        <v/>
      </c>
      <c r="C136" s="18">
        <f>IF($B136="","",내역서!$C136)</f>
        <v/>
      </c>
      <c r="D136" s="18">
        <f>IF($B136="","",내역서!$D136)</f>
        <v/>
      </c>
      <c r="E136" s="18">
        <f>IF($B136="","",내역서!$E136)</f>
        <v/>
      </c>
      <c r="F136" s="19">
        <f>IF($B136="","",N(내역서!$F136))</f>
        <v/>
      </c>
      <c r="G136" s="20">
        <f>IF($B136="","",N(내역서!$J136))</f>
        <v/>
      </c>
      <c r="H136" s="20">
        <f>IF($B136="","",N(내역서!$K136))</f>
        <v/>
      </c>
      <c r="I136" s="19">
        <f>IF($B136="","",N(내역서!$N136))</f>
        <v/>
      </c>
      <c r="J136" s="20">
        <f>IF($B136="","",N(내역서!$R136))</f>
        <v/>
      </c>
      <c r="K136" s="19">
        <f>IF($B136="","",N($I136)-N($F136))</f>
        <v/>
      </c>
      <c r="L136" s="21">
        <f>IF($B136="","",IF(N(내역서!$F136)=0,"신규",IF($K136&lt;0,"감소",IF($K136&gt;0,"증가","-"))))</f>
        <v/>
      </c>
      <c r="M136" s="22" t="n"/>
      <c r="N136" s="23" t="n"/>
      <c r="O136" s="24">
        <f>IF($B136="","",IF($L136="감소",$G136,IF($L136="증가",IF($M136="Y",ROUND(($J136+$J136*('설정'!$C$15/100))/2,0),IF(AND($N136&lt;&gt;"",$G136&gt;$N136),$N136,$G136)),IF($L136="신규",IF($M136="Y",ROUND(($J136+$J136*('설정'!$C$15/100))/2,0),ROUND($J136*('설정'!$C$15/100),0)),0))))</f>
        <v/>
      </c>
      <c r="P136" s="24">
        <f>IF($B136="","",ROUND(N($K136)*N($O136),0))</f>
        <v/>
      </c>
      <c r="Q136" s="25">
        <f>IF($B136="","",IF($L136="감소","감소분 → 계약단가",IF(AND($M136="Y",OR($L136="증가",$L136="신규")),"발주기관 요구 → 협의 (불성립 시 (당시단가+당시단가×낙찰률)÷2)",IF($L136="증가",IF(AND($N136&lt;&gt;"",$G136&gt;$N136),"증가분 → 계약단가&gt;예정가격단가 이므로 예정가격단가","증가분 → 계약단가 (낙찰률을 곱하지 않습니다)"),IF($L136="신규","신규비목 → 당시단가 × 낙찰률","")))))</f>
        <v/>
      </c>
      <c r="R136" s="20">
        <f>IF($B136="","",IF(N($O136)=0,0,IF(OR($L136="감소",AND($L136="증가",$M136&lt;&gt;"Y")),IF(N($G136)=0,0,ROUND(N(내역서!$G136)*$O136/$G136,0)),IF(N($J136)=0,0,ROUND(N(내역서!$O136)*$O136/$J136,0)))))</f>
        <v/>
      </c>
      <c r="S136" s="20">
        <f>IF($B136="","",IF(N($O136)=0,0,IF(OR($L136="감소",AND($L136="증가",$M136&lt;&gt;"Y")),IF(N($G136)=0,0,ROUND(N(내역서!$H136)*$O136/$G136,0)),IF(N($J136)=0,0,ROUND(N(내역서!$P136)*$O136/$J136,0)))))</f>
        <v/>
      </c>
      <c r="T136" s="20">
        <f>IF($B136="","",N($O136)-N($R136)-N($S136))</f>
        <v/>
      </c>
      <c r="U136" s="20">
        <f>IF($B136="","",ROUND(N($K136)*N($R136),0))</f>
        <v/>
      </c>
      <c r="V136" s="20">
        <f>IF($B136="","",ROUND(N($K136)*N($S136),0))</f>
        <v/>
      </c>
      <c r="W136" s="20">
        <f>IF($B136="","",N($P136)-N($U136)-N($V136))</f>
        <v/>
      </c>
    </row>
    <row r="137">
      <c r="A137" s="18">
        <f>IF($B137="","",ROW()-4+1)</f>
        <v/>
      </c>
      <c r="B137" s="18">
        <f>내역서!$B137</f>
        <v/>
      </c>
      <c r="C137" s="18">
        <f>IF($B137="","",내역서!$C137)</f>
        <v/>
      </c>
      <c r="D137" s="18">
        <f>IF($B137="","",내역서!$D137)</f>
        <v/>
      </c>
      <c r="E137" s="18">
        <f>IF($B137="","",내역서!$E137)</f>
        <v/>
      </c>
      <c r="F137" s="19">
        <f>IF($B137="","",N(내역서!$F137))</f>
        <v/>
      </c>
      <c r="G137" s="20">
        <f>IF($B137="","",N(내역서!$J137))</f>
        <v/>
      </c>
      <c r="H137" s="20">
        <f>IF($B137="","",N(내역서!$K137))</f>
        <v/>
      </c>
      <c r="I137" s="19">
        <f>IF($B137="","",N(내역서!$N137))</f>
        <v/>
      </c>
      <c r="J137" s="20">
        <f>IF($B137="","",N(내역서!$R137))</f>
        <v/>
      </c>
      <c r="K137" s="19">
        <f>IF($B137="","",N($I137)-N($F137))</f>
        <v/>
      </c>
      <c r="L137" s="21">
        <f>IF($B137="","",IF(N(내역서!$F137)=0,"신규",IF($K137&lt;0,"감소",IF($K137&gt;0,"증가","-"))))</f>
        <v/>
      </c>
      <c r="M137" s="22" t="n"/>
      <c r="N137" s="23" t="n"/>
      <c r="O137" s="24">
        <f>IF($B137="","",IF($L137="감소",$G137,IF($L137="증가",IF($M137="Y",ROUND(($J137+$J137*('설정'!$C$15/100))/2,0),IF(AND($N137&lt;&gt;"",$G137&gt;$N137),$N137,$G137)),IF($L137="신규",IF($M137="Y",ROUND(($J137+$J137*('설정'!$C$15/100))/2,0),ROUND($J137*('설정'!$C$15/100),0)),0))))</f>
        <v/>
      </c>
      <c r="P137" s="24">
        <f>IF($B137="","",ROUND(N($K137)*N($O137),0))</f>
        <v/>
      </c>
      <c r="Q137" s="25">
        <f>IF($B137="","",IF($L137="감소","감소분 → 계약단가",IF(AND($M137="Y",OR($L137="증가",$L137="신규")),"발주기관 요구 → 협의 (불성립 시 (당시단가+당시단가×낙찰률)÷2)",IF($L137="증가",IF(AND($N137&lt;&gt;"",$G137&gt;$N137),"증가분 → 계약단가&gt;예정가격단가 이므로 예정가격단가","증가분 → 계약단가 (낙찰률을 곱하지 않습니다)"),IF($L137="신규","신규비목 → 당시단가 × 낙찰률","")))))</f>
        <v/>
      </c>
      <c r="R137" s="20">
        <f>IF($B137="","",IF(N($O137)=0,0,IF(OR($L137="감소",AND($L137="증가",$M137&lt;&gt;"Y")),IF(N($G137)=0,0,ROUND(N(내역서!$G137)*$O137/$G137,0)),IF(N($J137)=0,0,ROUND(N(내역서!$O137)*$O137/$J137,0)))))</f>
        <v/>
      </c>
      <c r="S137" s="20">
        <f>IF($B137="","",IF(N($O137)=0,0,IF(OR($L137="감소",AND($L137="증가",$M137&lt;&gt;"Y")),IF(N($G137)=0,0,ROUND(N(내역서!$H137)*$O137/$G137,0)),IF(N($J137)=0,0,ROUND(N(내역서!$P137)*$O137/$J137,0)))))</f>
        <v/>
      </c>
      <c r="T137" s="20">
        <f>IF($B137="","",N($O137)-N($R137)-N($S137))</f>
        <v/>
      </c>
      <c r="U137" s="20">
        <f>IF($B137="","",ROUND(N($K137)*N($R137),0))</f>
        <v/>
      </c>
      <c r="V137" s="20">
        <f>IF($B137="","",ROUND(N($K137)*N($S137),0))</f>
        <v/>
      </c>
      <c r="W137" s="20">
        <f>IF($B137="","",N($P137)-N($U137)-N($V137))</f>
        <v/>
      </c>
    </row>
    <row r="138">
      <c r="A138" s="18">
        <f>IF($B138="","",ROW()-4+1)</f>
        <v/>
      </c>
      <c r="B138" s="18">
        <f>내역서!$B138</f>
        <v/>
      </c>
      <c r="C138" s="18">
        <f>IF($B138="","",내역서!$C138)</f>
        <v/>
      </c>
      <c r="D138" s="18">
        <f>IF($B138="","",내역서!$D138)</f>
        <v/>
      </c>
      <c r="E138" s="18">
        <f>IF($B138="","",내역서!$E138)</f>
        <v/>
      </c>
      <c r="F138" s="19">
        <f>IF($B138="","",N(내역서!$F138))</f>
        <v/>
      </c>
      <c r="G138" s="20">
        <f>IF($B138="","",N(내역서!$J138))</f>
        <v/>
      </c>
      <c r="H138" s="20">
        <f>IF($B138="","",N(내역서!$K138))</f>
        <v/>
      </c>
      <c r="I138" s="19">
        <f>IF($B138="","",N(내역서!$N138))</f>
        <v/>
      </c>
      <c r="J138" s="20">
        <f>IF($B138="","",N(내역서!$R138))</f>
        <v/>
      </c>
      <c r="K138" s="19">
        <f>IF($B138="","",N($I138)-N($F138))</f>
        <v/>
      </c>
      <c r="L138" s="21">
        <f>IF($B138="","",IF(N(내역서!$F138)=0,"신규",IF($K138&lt;0,"감소",IF($K138&gt;0,"증가","-"))))</f>
        <v/>
      </c>
      <c r="M138" s="22" t="n"/>
      <c r="N138" s="23" t="n"/>
      <c r="O138" s="24">
        <f>IF($B138="","",IF($L138="감소",$G138,IF($L138="증가",IF($M138="Y",ROUND(($J138+$J138*('설정'!$C$15/100))/2,0),IF(AND($N138&lt;&gt;"",$G138&gt;$N138),$N138,$G138)),IF($L138="신규",IF($M138="Y",ROUND(($J138+$J138*('설정'!$C$15/100))/2,0),ROUND($J138*('설정'!$C$15/100),0)),0))))</f>
        <v/>
      </c>
      <c r="P138" s="24">
        <f>IF($B138="","",ROUND(N($K138)*N($O138),0))</f>
        <v/>
      </c>
      <c r="Q138" s="25">
        <f>IF($B138="","",IF($L138="감소","감소분 → 계약단가",IF(AND($M138="Y",OR($L138="증가",$L138="신규")),"발주기관 요구 → 협의 (불성립 시 (당시단가+당시단가×낙찰률)÷2)",IF($L138="증가",IF(AND($N138&lt;&gt;"",$G138&gt;$N138),"증가분 → 계약단가&gt;예정가격단가 이므로 예정가격단가","증가분 → 계약단가 (낙찰률을 곱하지 않습니다)"),IF($L138="신규","신규비목 → 당시단가 × 낙찰률","")))))</f>
        <v/>
      </c>
      <c r="R138" s="20">
        <f>IF($B138="","",IF(N($O138)=0,0,IF(OR($L138="감소",AND($L138="증가",$M138&lt;&gt;"Y")),IF(N($G138)=0,0,ROUND(N(내역서!$G138)*$O138/$G138,0)),IF(N($J138)=0,0,ROUND(N(내역서!$O138)*$O138/$J138,0)))))</f>
        <v/>
      </c>
      <c r="S138" s="20">
        <f>IF($B138="","",IF(N($O138)=0,0,IF(OR($L138="감소",AND($L138="증가",$M138&lt;&gt;"Y")),IF(N($G138)=0,0,ROUND(N(내역서!$H138)*$O138/$G138,0)),IF(N($J138)=0,0,ROUND(N(내역서!$P138)*$O138/$J138,0)))))</f>
        <v/>
      </c>
      <c r="T138" s="20">
        <f>IF($B138="","",N($O138)-N($R138)-N($S138))</f>
        <v/>
      </c>
      <c r="U138" s="20">
        <f>IF($B138="","",ROUND(N($K138)*N($R138),0))</f>
        <v/>
      </c>
      <c r="V138" s="20">
        <f>IF($B138="","",ROUND(N($K138)*N($S138),0))</f>
        <v/>
      </c>
      <c r="W138" s="20">
        <f>IF($B138="","",N($P138)-N($U138)-N($V138))</f>
        <v/>
      </c>
    </row>
    <row r="139">
      <c r="A139" s="18">
        <f>IF($B139="","",ROW()-4+1)</f>
        <v/>
      </c>
      <c r="B139" s="18">
        <f>내역서!$B139</f>
        <v/>
      </c>
      <c r="C139" s="18">
        <f>IF($B139="","",내역서!$C139)</f>
        <v/>
      </c>
      <c r="D139" s="18">
        <f>IF($B139="","",내역서!$D139)</f>
        <v/>
      </c>
      <c r="E139" s="18">
        <f>IF($B139="","",내역서!$E139)</f>
        <v/>
      </c>
      <c r="F139" s="19">
        <f>IF($B139="","",N(내역서!$F139))</f>
        <v/>
      </c>
      <c r="G139" s="20">
        <f>IF($B139="","",N(내역서!$J139))</f>
        <v/>
      </c>
      <c r="H139" s="20">
        <f>IF($B139="","",N(내역서!$K139))</f>
        <v/>
      </c>
      <c r="I139" s="19">
        <f>IF($B139="","",N(내역서!$N139))</f>
        <v/>
      </c>
      <c r="J139" s="20">
        <f>IF($B139="","",N(내역서!$R139))</f>
        <v/>
      </c>
      <c r="K139" s="19">
        <f>IF($B139="","",N($I139)-N($F139))</f>
        <v/>
      </c>
      <c r="L139" s="21">
        <f>IF($B139="","",IF(N(내역서!$F139)=0,"신규",IF($K139&lt;0,"감소",IF($K139&gt;0,"증가","-"))))</f>
        <v/>
      </c>
      <c r="M139" s="22" t="n"/>
      <c r="N139" s="23" t="n"/>
      <c r="O139" s="24">
        <f>IF($B139="","",IF($L139="감소",$G139,IF($L139="증가",IF($M139="Y",ROUND(($J139+$J139*('설정'!$C$15/100))/2,0),IF(AND($N139&lt;&gt;"",$G139&gt;$N139),$N139,$G139)),IF($L139="신규",IF($M139="Y",ROUND(($J139+$J139*('설정'!$C$15/100))/2,0),ROUND($J139*('설정'!$C$15/100),0)),0))))</f>
        <v/>
      </c>
      <c r="P139" s="24">
        <f>IF($B139="","",ROUND(N($K139)*N($O139),0))</f>
        <v/>
      </c>
      <c r="Q139" s="25">
        <f>IF($B139="","",IF($L139="감소","감소분 → 계약단가",IF(AND($M139="Y",OR($L139="증가",$L139="신규")),"발주기관 요구 → 협의 (불성립 시 (당시단가+당시단가×낙찰률)÷2)",IF($L139="증가",IF(AND($N139&lt;&gt;"",$G139&gt;$N139),"증가분 → 계약단가&gt;예정가격단가 이므로 예정가격단가","증가분 → 계약단가 (낙찰률을 곱하지 않습니다)"),IF($L139="신규","신규비목 → 당시단가 × 낙찰률","")))))</f>
        <v/>
      </c>
      <c r="R139" s="20">
        <f>IF($B139="","",IF(N($O139)=0,0,IF(OR($L139="감소",AND($L139="증가",$M139&lt;&gt;"Y")),IF(N($G139)=0,0,ROUND(N(내역서!$G139)*$O139/$G139,0)),IF(N($J139)=0,0,ROUND(N(내역서!$O139)*$O139/$J139,0)))))</f>
        <v/>
      </c>
      <c r="S139" s="20">
        <f>IF($B139="","",IF(N($O139)=0,0,IF(OR($L139="감소",AND($L139="증가",$M139&lt;&gt;"Y")),IF(N($G139)=0,0,ROUND(N(내역서!$H139)*$O139/$G139,0)),IF(N($J139)=0,0,ROUND(N(내역서!$P139)*$O139/$J139,0)))))</f>
        <v/>
      </c>
      <c r="T139" s="20">
        <f>IF($B139="","",N($O139)-N($R139)-N($S139))</f>
        <v/>
      </c>
      <c r="U139" s="20">
        <f>IF($B139="","",ROUND(N($K139)*N($R139),0))</f>
        <v/>
      </c>
      <c r="V139" s="20">
        <f>IF($B139="","",ROUND(N($K139)*N($S139),0))</f>
        <v/>
      </c>
      <c r="W139" s="20">
        <f>IF($B139="","",N($P139)-N($U139)-N($V139))</f>
        <v/>
      </c>
    </row>
    <row r="140">
      <c r="A140" s="18">
        <f>IF($B140="","",ROW()-4+1)</f>
        <v/>
      </c>
      <c r="B140" s="18">
        <f>내역서!$B140</f>
        <v/>
      </c>
      <c r="C140" s="18">
        <f>IF($B140="","",내역서!$C140)</f>
        <v/>
      </c>
      <c r="D140" s="18">
        <f>IF($B140="","",내역서!$D140)</f>
        <v/>
      </c>
      <c r="E140" s="18">
        <f>IF($B140="","",내역서!$E140)</f>
        <v/>
      </c>
      <c r="F140" s="19">
        <f>IF($B140="","",N(내역서!$F140))</f>
        <v/>
      </c>
      <c r="G140" s="20">
        <f>IF($B140="","",N(내역서!$J140))</f>
        <v/>
      </c>
      <c r="H140" s="20">
        <f>IF($B140="","",N(내역서!$K140))</f>
        <v/>
      </c>
      <c r="I140" s="19">
        <f>IF($B140="","",N(내역서!$N140))</f>
        <v/>
      </c>
      <c r="J140" s="20">
        <f>IF($B140="","",N(내역서!$R140))</f>
        <v/>
      </c>
      <c r="K140" s="19">
        <f>IF($B140="","",N($I140)-N($F140))</f>
        <v/>
      </c>
      <c r="L140" s="21">
        <f>IF($B140="","",IF(N(내역서!$F140)=0,"신규",IF($K140&lt;0,"감소",IF($K140&gt;0,"증가","-"))))</f>
        <v/>
      </c>
      <c r="M140" s="22" t="n"/>
      <c r="N140" s="23" t="n"/>
      <c r="O140" s="24">
        <f>IF($B140="","",IF($L140="감소",$G140,IF($L140="증가",IF($M140="Y",ROUND(($J140+$J140*('설정'!$C$15/100))/2,0),IF(AND($N140&lt;&gt;"",$G140&gt;$N140),$N140,$G140)),IF($L140="신규",IF($M140="Y",ROUND(($J140+$J140*('설정'!$C$15/100))/2,0),ROUND($J140*('설정'!$C$15/100),0)),0))))</f>
        <v/>
      </c>
      <c r="P140" s="24">
        <f>IF($B140="","",ROUND(N($K140)*N($O140),0))</f>
        <v/>
      </c>
      <c r="Q140" s="25">
        <f>IF($B140="","",IF($L140="감소","감소분 → 계약단가",IF(AND($M140="Y",OR($L140="증가",$L140="신규")),"발주기관 요구 → 협의 (불성립 시 (당시단가+당시단가×낙찰률)÷2)",IF($L140="증가",IF(AND($N140&lt;&gt;"",$G140&gt;$N140),"증가분 → 계약단가&gt;예정가격단가 이므로 예정가격단가","증가분 → 계약단가 (낙찰률을 곱하지 않습니다)"),IF($L140="신규","신규비목 → 당시단가 × 낙찰률","")))))</f>
        <v/>
      </c>
      <c r="R140" s="20">
        <f>IF($B140="","",IF(N($O140)=0,0,IF(OR($L140="감소",AND($L140="증가",$M140&lt;&gt;"Y")),IF(N($G140)=0,0,ROUND(N(내역서!$G140)*$O140/$G140,0)),IF(N($J140)=0,0,ROUND(N(내역서!$O140)*$O140/$J140,0)))))</f>
        <v/>
      </c>
      <c r="S140" s="20">
        <f>IF($B140="","",IF(N($O140)=0,0,IF(OR($L140="감소",AND($L140="증가",$M140&lt;&gt;"Y")),IF(N($G140)=0,0,ROUND(N(내역서!$H140)*$O140/$G140,0)),IF(N($J140)=0,0,ROUND(N(내역서!$P140)*$O140/$J140,0)))))</f>
        <v/>
      </c>
      <c r="T140" s="20">
        <f>IF($B140="","",N($O140)-N($R140)-N($S140))</f>
        <v/>
      </c>
      <c r="U140" s="20">
        <f>IF($B140="","",ROUND(N($K140)*N($R140),0))</f>
        <v/>
      </c>
      <c r="V140" s="20">
        <f>IF($B140="","",ROUND(N($K140)*N($S140),0))</f>
        <v/>
      </c>
      <c r="W140" s="20">
        <f>IF($B140="","",N($P140)-N($U140)-N($V140))</f>
        <v/>
      </c>
    </row>
    <row r="141">
      <c r="A141" s="18">
        <f>IF($B141="","",ROW()-4+1)</f>
        <v/>
      </c>
      <c r="B141" s="18">
        <f>내역서!$B141</f>
        <v/>
      </c>
      <c r="C141" s="18">
        <f>IF($B141="","",내역서!$C141)</f>
        <v/>
      </c>
      <c r="D141" s="18">
        <f>IF($B141="","",내역서!$D141)</f>
        <v/>
      </c>
      <c r="E141" s="18">
        <f>IF($B141="","",내역서!$E141)</f>
        <v/>
      </c>
      <c r="F141" s="19">
        <f>IF($B141="","",N(내역서!$F141))</f>
        <v/>
      </c>
      <c r="G141" s="20">
        <f>IF($B141="","",N(내역서!$J141))</f>
        <v/>
      </c>
      <c r="H141" s="20">
        <f>IF($B141="","",N(내역서!$K141))</f>
        <v/>
      </c>
      <c r="I141" s="19">
        <f>IF($B141="","",N(내역서!$N141))</f>
        <v/>
      </c>
      <c r="J141" s="20">
        <f>IF($B141="","",N(내역서!$R141))</f>
        <v/>
      </c>
      <c r="K141" s="19">
        <f>IF($B141="","",N($I141)-N($F141))</f>
        <v/>
      </c>
      <c r="L141" s="21">
        <f>IF($B141="","",IF(N(내역서!$F141)=0,"신규",IF($K141&lt;0,"감소",IF($K141&gt;0,"증가","-"))))</f>
        <v/>
      </c>
      <c r="M141" s="22" t="n"/>
      <c r="N141" s="23" t="n"/>
      <c r="O141" s="24">
        <f>IF($B141="","",IF($L141="감소",$G141,IF($L141="증가",IF($M141="Y",ROUND(($J141+$J141*('설정'!$C$15/100))/2,0),IF(AND($N141&lt;&gt;"",$G141&gt;$N141),$N141,$G141)),IF($L141="신규",IF($M141="Y",ROUND(($J141+$J141*('설정'!$C$15/100))/2,0),ROUND($J141*('설정'!$C$15/100),0)),0))))</f>
        <v/>
      </c>
      <c r="P141" s="24">
        <f>IF($B141="","",ROUND(N($K141)*N($O141),0))</f>
        <v/>
      </c>
      <c r="Q141" s="25">
        <f>IF($B141="","",IF($L141="감소","감소분 → 계약단가",IF(AND($M141="Y",OR($L141="증가",$L141="신규")),"발주기관 요구 → 협의 (불성립 시 (당시단가+당시단가×낙찰률)÷2)",IF($L141="증가",IF(AND($N141&lt;&gt;"",$G141&gt;$N141),"증가분 → 계약단가&gt;예정가격단가 이므로 예정가격단가","증가분 → 계약단가 (낙찰률을 곱하지 않습니다)"),IF($L141="신규","신규비목 → 당시단가 × 낙찰률","")))))</f>
        <v/>
      </c>
      <c r="R141" s="20">
        <f>IF($B141="","",IF(N($O141)=0,0,IF(OR($L141="감소",AND($L141="증가",$M141&lt;&gt;"Y")),IF(N($G141)=0,0,ROUND(N(내역서!$G141)*$O141/$G141,0)),IF(N($J141)=0,0,ROUND(N(내역서!$O141)*$O141/$J141,0)))))</f>
        <v/>
      </c>
      <c r="S141" s="20">
        <f>IF($B141="","",IF(N($O141)=0,0,IF(OR($L141="감소",AND($L141="증가",$M141&lt;&gt;"Y")),IF(N($G141)=0,0,ROUND(N(내역서!$H141)*$O141/$G141,0)),IF(N($J141)=0,0,ROUND(N(내역서!$P141)*$O141/$J141,0)))))</f>
        <v/>
      </c>
      <c r="T141" s="20">
        <f>IF($B141="","",N($O141)-N($R141)-N($S141))</f>
        <v/>
      </c>
      <c r="U141" s="20">
        <f>IF($B141="","",ROUND(N($K141)*N($R141),0))</f>
        <v/>
      </c>
      <c r="V141" s="20">
        <f>IF($B141="","",ROUND(N($K141)*N($S141),0))</f>
        <v/>
      </c>
      <c r="W141" s="20">
        <f>IF($B141="","",N($P141)-N($U141)-N($V141))</f>
        <v/>
      </c>
    </row>
    <row r="142">
      <c r="A142" s="18">
        <f>IF($B142="","",ROW()-4+1)</f>
        <v/>
      </c>
      <c r="B142" s="18">
        <f>내역서!$B142</f>
        <v/>
      </c>
      <c r="C142" s="18">
        <f>IF($B142="","",내역서!$C142)</f>
        <v/>
      </c>
      <c r="D142" s="18">
        <f>IF($B142="","",내역서!$D142)</f>
        <v/>
      </c>
      <c r="E142" s="18">
        <f>IF($B142="","",내역서!$E142)</f>
        <v/>
      </c>
      <c r="F142" s="19">
        <f>IF($B142="","",N(내역서!$F142))</f>
        <v/>
      </c>
      <c r="G142" s="20">
        <f>IF($B142="","",N(내역서!$J142))</f>
        <v/>
      </c>
      <c r="H142" s="20">
        <f>IF($B142="","",N(내역서!$K142))</f>
        <v/>
      </c>
      <c r="I142" s="19">
        <f>IF($B142="","",N(내역서!$N142))</f>
        <v/>
      </c>
      <c r="J142" s="20">
        <f>IF($B142="","",N(내역서!$R142))</f>
        <v/>
      </c>
      <c r="K142" s="19">
        <f>IF($B142="","",N($I142)-N($F142))</f>
        <v/>
      </c>
      <c r="L142" s="21">
        <f>IF($B142="","",IF(N(내역서!$F142)=0,"신규",IF($K142&lt;0,"감소",IF($K142&gt;0,"증가","-"))))</f>
        <v/>
      </c>
      <c r="M142" s="22" t="n"/>
      <c r="N142" s="23" t="n"/>
      <c r="O142" s="24">
        <f>IF($B142="","",IF($L142="감소",$G142,IF($L142="증가",IF($M142="Y",ROUND(($J142+$J142*('설정'!$C$15/100))/2,0),IF(AND($N142&lt;&gt;"",$G142&gt;$N142),$N142,$G142)),IF($L142="신규",IF($M142="Y",ROUND(($J142+$J142*('설정'!$C$15/100))/2,0),ROUND($J142*('설정'!$C$15/100),0)),0))))</f>
        <v/>
      </c>
      <c r="P142" s="24">
        <f>IF($B142="","",ROUND(N($K142)*N($O142),0))</f>
        <v/>
      </c>
      <c r="Q142" s="25">
        <f>IF($B142="","",IF($L142="감소","감소분 → 계약단가",IF(AND($M142="Y",OR($L142="증가",$L142="신규")),"발주기관 요구 → 협의 (불성립 시 (당시단가+당시단가×낙찰률)÷2)",IF($L142="증가",IF(AND($N142&lt;&gt;"",$G142&gt;$N142),"증가분 → 계약단가&gt;예정가격단가 이므로 예정가격단가","증가분 → 계약단가 (낙찰률을 곱하지 않습니다)"),IF($L142="신규","신규비목 → 당시단가 × 낙찰률","")))))</f>
        <v/>
      </c>
      <c r="R142" s="20">
        <f>IF($B142="","",IF(N($O142)=0,0,IF(OR($L142="감소",AND($L142="증가",$M142&lt;&gt;"Y")),IF(N($G142)=0,0,ROUND(N(내역서!$G142)*$O142/$G142,0)),IF(N($J142)=0,0,ROUND(N(내역서!$O142)*$O142/$J142,0)))))</f>
        <v/>
      </c>
      <c r="S142" s="20">
        <f>IF($B142="","",IF(N($O142)=0,0,IF(OR($L142="감소",AND($L142="증가",$M142&lt;&gt;"Y")),IF(N($G142)=0,0,ROUND(N(내역서!$H142)*$O142/$G142,0)),IF(N($J142)=0,0,ROUND(N(내역서!$P142)*$O142/$J142,0)))))</f>
        <v/>
      </c>
      <c r="T142" s="20">
        <f>IF($B142="","",N($O142)-N($R142)-N($S142))</f>
        <v/>
      </c>
      <c r="U142" s="20">
        <f>IF($B142="","",ROUND(N($K142)*N($R142),0))</f>
        <v/>
      </c>
      <c r="V142" s="20">
        <f>IF($B142="","",ROUND(N($K142)*N($S142),0))</f>
        <v/>
      </c>
      <c r="W142" s="20">
        <f>IF($B142="","",N($P142)-N($U142)-N($V142))</f>
        <v/>
      </c>
    </row>
    <row r="143">
      <c r="A143" s="18">
        <f>IF($B143="","",ROW()-4+1)</f>
        <v/>
      </c>
      <c r="B143" s="18">
        <f>내역서!$B143</f>
        <v/>
      </c>
      <c r="C143" s="18">
        <f>IF($B143="","",내역서!$C143)</f>
        <v/>
      </c>
      <c r="D143" s="18">
        <f>IF($B143="","",내역서!$D143)</f>
        <v/>
      </c>
      <c r="E143" s="18">
        <f>IF($B143="","",내역서!$E143)</f>
        <v/>
      </c>
      <c r="F143" s="19">
        <f>IF($B143="","",N(내역서!$F143))</f>
        <v/>
      </c>
      <c r="G143" s="20">
        <f>IF($B143="","",N(내역서!$J143))</f>
        <v/>
      </c>
      <c r="H143" s="20">
        <f>IF($B143="","",N(내역서!$K143))</f>
        <v/>
      </c>
      <c r="I143" s="19">
        <f>IF($B143="","",N(내역서!$N143))</f>
        <v/>
      </c>
      <c r="J143" s="20">
        <f>IF($B143="","",N(내역서!$R143))</f>
        <v/>
      </c>
      <c r="K143" s="19">
        <f>IF($B143="","",N($I143)-N($F143))</f>
        <v/>
      </c>
      <c r="L143" s="21">
        <f>IF($B143="","",IF(N(내역서!$F143)=0,"신규",IF($K143&lt;0,"감소",IF($K143&gt;0,"증가","-"))))</f>
        <v/>
      </c>
      <c r="M143" s="22" t="n"/>
      <c r="N143" s="23" t="n"/>
      <c r="O143" s="24">
        <f>IF($B143="","",IF($L143="감소",$G143,IF($L143="증가",IF($M143="Y",ROUND(($J143+$J143*('설정'!$C$15/100))/2,0),IF(AND($N143&lt;&gt;"",$G143&gt;$N143),$N143,$G143)),IF($L143="신규",IF($M143="Y",ROUND(($J143+$J143*('설정'!$C$15/100))/2,0),ROUND($J143*('설정'!$C$15/100),0)),0))))</f>
        <v/>
      </c>
      <c r="P143" s="24">
        <f>IF($B143="","",ROUND(N($K143)*N($O143),0))</f>
        <v/>
      </c>
      <c r="Q143" s="25">
        <f>IF($B143="","",IF($L143="감소","감소분 → 계약단가",IF(AND($M143="Y",OR($L143="증가",$L143="신규")),"발주기관 요구 → 협의 (불성립 시 (당시단가+당시단가×낙찰률)÷2)",IF($L143="증가",IF(AND($N143&lt;&gt;"",$G143&gt;$N143),"증가분 → 계약단가&gt;예정가격단가 이므로 예정가격단가","증가분 → 계약단가 (낙찰률을 곱하지 않습니다)"),IF($L143="신규","신규비목 → 당시단가 × 낙찰률","")))))</f>
        <v/>
      </c>
      <c r="R143" s="20">
        <f>IF($B143="","",IF(N($O143)=0,0,IF(OR($L143="감소",AND($L143="증가",$M143&lt;&gt;"Y")),IF(N($G143)=0,0,ROUND(N(내역서!$G143)*$O143/$G143,0)),IF(N($J143)=0,0,ROUND(N(내역서!$O143)*$O143/$J143,0)))))</f>
        <v/>
      </c>
      <c r="S143" s="20">
        <f>IF($B143="","",IF(N($O143)=0,0,IF(OR($L143="감소",AND($L143="증가",$M143&lt;&gt;"Y")),IF(N($G143)=0,0,ROUND(N(내역서!$H143)*$O143/$G143,0)),IF(N($J143)=0,0,ROUND(N(내역서!$P143)*$O143/$J143,0)))))</f>
        <v/>
      </c>
      <c r="T143" s="20">
        <f>IF($B143="","",N($O143)-N($R143)-N($S143))</f>
        <v/>
      </c>
      <c r="U143" s="20">
        <f>IF($B143="","",ROUND(N($K143)*N($R143),0))</f>
        <v/>
      </c>
      <c r="V143" s="20">
        <f>IF($B143="","",ROUND(N($K143)*N($S143),0))</f>
        <v/>
      </c>
      <c r="W143" s="20">
        <f>IF($B143="","",N($P143)-N($U143)-N($V143))</f>
        <v/>
      </c>
    </row>
    <row r="144">
      <c r="A144" s="18">
        <f>IF($B144="","",ROW()-4+1)</f>
        <v/>
      </c>
      <c r="B144" s="18">
        <f>내역서!$B144</f>
        <v/>
      </c>
      <c r="C144" s="18">
        <f>IF($B144="","",내역서!$C144)</f>
        <v/>
      </c>
      <c r="D144" s="18">
        <f>IF($B144="","",내역서!$D144)</f>
        <v/>
      </c>
      <c r="E144" s="18">
        <f>IF($B144="","",내역서!$E144)</f>
        <v/>
      </c>
      <c r="F144" s="19">
        <f>IF($B144="","",N(내역서!$F144))</f>
        <v/>
      </c>
      <c r="G144" s="20">
        <f>IF($B144="","",N(내역서!$J144))</f>
        <v/>
      </c>
      <c r="H144" s="20">
        <f>IF($B144="","",N(내역서!$K144))</f>
        <v/>
      </c>
      <c r="I144" s="19">
        <f>IF($B144="","",N(내역서!$N144))</f>
        <v/>
      </c>
      <c r="J144" s="20">
        <f>IF($B144="","",N(내역서!$R144))</f>
        <v/>
      </c>
      <c r="K144" s="19">
        <f>IF($B144="","",N($I144)-N($F144))</f>
        <v/>
      </c>
      <c r="L144" s="21">
        <f>IF($B144="","",IF(N(내역서!$F144)=0,"신규",IF($K144&lt;0,"감소",IF($K144&gt;0,"증가","-"))))</f>
        <v/>
      </c>
      <c r="M144" s="22" t="n"/>
      <c r="N144" s="23" t="n"/>
      <c r="O144" s="24">
        <f>IF($B144="","",IF($L144="감소",$G144,IF($L144="증가",IF($M144="Y",ROUND(($J144+$J144*('설정'!$C$15/100))/2,0),IF(AND($N144&lt;&gt;"",$G144&gt;$N144),$N144,$G144)),IF($L144="신규",IF($M144="Y",ROUND(($J144+$J144*('설정'!$C$15/100))/2,0),ROUND($J144*('설정'!$C$15/100),0)),0))))</f>
        <v/>
      </c>
      <c r="P144" s="24">
        <f>IF($B144="","",ROUND(N($K144)*N($O144),0))</f>
        <v/>
      </c>
      <c r="Q144" s="25">
        <f>IF($B144="","",IF($L144="감소","감소분 → 계약단가",IF(AND($M144="Y",OR($L144="증가",$L144="신규")),"발주기관 요구 → 협의 (불성립 시 (당시단가+당시단가×낙찰률)÷2)",IF($L144="증가",IF(AND($N144&lt;&gt;"",$G144&gt;$N144),"증가분 → 계약단가&gt;예정가격단가 이므로 예정가격단가","증가분 → 계약단가 (낙찰률을 곱하지 않습니다)"),IF($L144="신규","신규비목 → 당시단가 × 낙찰률","")))))</f>
        <v/>
      </c>
      <c r="R144" s="20">
        <f>IF($B144="","",IF(N($O144)=0,0,IF(OR($L144="감소",AND($L144="증가",$M144&lt;&gt;"Y")),IF(N($G144)=0,0,ROUND(N(내역서!$G144)*$O144/$G144,0)),IF(N($J144)=0,0,ROUND(N(내역서!$O144)*$O144/$J144,0)))))</f>
        <v/>
      </c>
      <c r="S144" s="20">
        <f>IF($B144="","",IF(N($O144)=0,0,IF(OR($L144="감소",AND($L144="증가",$M144&lt;&gt;"Y")),IF(N($G144)=0,0,ROUND(N(내역서!$H144)*$O144/$G144,0)),IF(N($J144)=0,0,ROUND(N(내역서!$P144)*$O144/$J144,0)))))</f>
        <v/>
      </c>
      <c r="T144" s="20">
        <f>IF($B144="","",N($O144)-N($R144)-N($S144))</f>
        <v/>
      </c>
      <c r="U144" s="20">
        <f>IF($B144="","",ROUND(N($K144)*N($R144),0))</f>
        <v/>
      </c>
      <c r="V144" s="20">
        <f>IF($B144="","",ROUND(N($K144)*N($S144),0))</f>
        <v/>
      </c>
      <c r="W144" s="20">
        <f>IF($B144="","",N($P144)-N($U144)-N($V144))</f>
        <v/>
      </c>
    </row>
    <row r="145">
      <c r="A145" s="18">
        <f>IF($B145="","",ROW()-4+1)</f>
        <v/>
      </c>
      <c r="B145" s="18">
        <f>내역서!$B145</f>
        <v/>
      </c>
      <c r="C145" s="18">
        <f>IF($B145="","",내역서!$C145)</f>
        <v/>
      </c>
      <c r="D145" s="18">
        <f>IF($B145="","",내역서!$D145)</f>
        <v/>
      </c>
      <c r="E145" s="18">
        <f>IF($B145="","",내역서!$E145)</f>
        <v/>
      </c>
      <c r="F145" s="19">
        <f>IF($B145="","",N(내역서!$F145))</f>
        <v/>
      </c>
      <c r="G145" s="20">
        <f>IF($B145="","",N(내역서!$J145))</f>
        <v/>
      </c>
      <c r="H145" s="20">
        <f>IF($B145="","",N(내역서!$K145))</f>
        <v/>
      </c>
      <c r="I145" s="19">
        <f>IF($B145="","",N(내역서!$N145))</f>
        <v/>
      </c>
      <c r="J145" s="20">
        <f>IF($B145="","",N(내역서!$R145))</f>
        <v/>
      </c>
      <c r="K145" s="19">
        <f>IF($B145="","",N($I145)-N($F145))</f>
        <v/>
      </c>
      <c r="L145" s="21">
        <f>IF($B145="","",IF(N(내역서!$F145)=0,"신규",IF($K145&lt;0,"감소",IF($K145&gt;0,"증가","-"))))</f>
        <v/>
      </c>
      <c r="M145" s="22" t="n"/>
      <c r="N145" s="23" t="n"/>
      <c r="O145" s="24">
        <f>IF($B145="","",IF($L145="감소",$G145,IF($L145="증가",IF($M145="Y",ROUND(($J145+$J145*('설정'!$C$15/100))/2,0),IF(AND($N145&lt;&gt;"",$G145&gt;$N145),$N145,$G145)),IF($L145="신규",IF($M145="Y",ROUND(($J145+$J145*('설정'!$C$15/100))/2,0),ROUND($J145*('설정'!$C$15/100),0)),0))))</f>
        <v/>
      </c>
      <c r="P145" s="24">
        <f>IF($B145="","",ROUND(N($K145)*N($O145),0))</f>
        <v/>
      </c>
      <c r="Q145" s="25">
        <f>IF($B145="","",IF($L145="감소","감소분 → 계약단가",IF(AND($M145="Y",OR($L145="증가",$L145="신규")),"발주기관 요구 → 협의 (불성립 시 (당시단가+당시단가×낙찰률)÷2)",IF($L145="증가",IF(AND($N145&lt;&gt;"",$G145&gt;$N145),"증가분 → 계약단가&gt;예정가격단가 이므로 예정가격단가","증가분 → 계약단가 (낙찰률을 곱하지 않습니다)"),IF($L145="신규","신규비목 → 당시단가 × 낙찰률","")))))</f>
        <v/>
      </c>
      <c r="R145" s="20">
        <f>IF($B145="","",IF(N($O145)=0,0,IF(OR($L145="감소",AND($L145="증가",$M145&lt;&gt;"Y")),IF(N($G145)=0,0,ROUND(N(내역서!$G145)*$O145/$G145,0)),IF(N($J145)=0,0,ROUND(N(내역서!$O145)*$O145/$J145,0)))))</f>
        <v/>
      </c>
      <c r="S145" s="20">
        <f>IF($B145="","",IF(N($O145)=0,0,IF(OR($L145="감소",AND($L145="증가",$M145&lt;&gt;"Y")),IF(N($G145)=0,0,ROUND(N(내역서!$H145)*$O145/$G145,0)),IF(N($J145)=0,0,ROUND(N(내역서!$P145)*$O145/$J145,0)))))</f>
        <v/>
      </c>
      <c r="T145" s="20">
        <f>IF($B145="","",N($O145)-N($R145)-N($S145))</f>
        <v/>
      </c>
      <c r="U145" s="20">
        <f>IF($B145="","",ROUND(N($K145)*N($R145),0))</f>
        <v/>
      </c>
      <c r="V145" s="20">
        <f>IF($B145="","",ROUND(N($K145)*N($S145),0))</f>
        <v/>
      </c>
      <c r="W145" s="20">
        <f>IF($B145="","",N($P145)-N($U145)-N($V145))</f>
        <v/>
      </c>
    </row>
    <row r="146">
      <c r="A146" s="18">
        <f>IF($B146="","",ROW()-4+1)</f>
        <v/>
      </c>
      <c r="B146" s="18">
        <f>내역서!$B146</f>
        <v/>
      </c>
      <c r="C146" s="18">
        <f>IF($B146="","",내역서!$C146)</f>
        <v/>
      </c>
      <c r="D146" s="18">
        <f>IF($B146="","",내역서!$D146)</f>
        <v/>
      </c>
      <c r="E146" s="18">
        <f>IF($B146="","",내역서!$E146)</f>
        <v/>
      </c>
      <c r="F146" s="19">
        <f>IF($B146="","",N(내역서!$F146))</f>
        <v/>
      </c>
      <c r="G146" s="20">
        <f>IF($B146="","",N(내역서!$J146))</f>
        <v/>
      </c>
      <c r="H146" s="20">
        <f>IF($B146="","",N(내역서!$K146))</f>
        <v/>
      </c>
      <c r="I146" s="19">
        <f>IF($B146="","",N(내역서!$N146))</f>
        <v/>
      </c>
      <c r="J146" s="20">
        <f>IF($B146="","",N(내역서!$R146))</f>
        <v/>
      </c>
      <c r="K146" s="19">
        <f>IF($B146="","",N($I146)-N($F146))</f>
        <v/>
      </c>
      <c r="L146" s="21">
        <f>IF($B146="","",IF(N(내역서!$F146)=0,"신규",IF($K146&lt;0,"감소",IF($K146&gt;0,"증가","-"))))</f>
        <v/>
      </c>
      <c r="M146" s="22" t="n"/>
      <c r="N146" s="23" t="n"/>
      <c r="O146" s="24">
        <f>IF($B146="","",IF($L146="감소",$G146,IF($L146="증가",IF($M146="Y",ROUND(($J146+$J146*('설정'!$C$15/100))/2,0),IF(AND($N146&lt;&gt;"",$G146&gt;$N146),$N146,$G146)),IF($L146="신규",IF($M146="Y",ROUND(($J146+$J146*('설정'!$C$15/100))/2,0),ROUND($J146*('설정'!$C$15/100),0)),0))))</f>
        <v/>
      </c>
      <c r="P146" s="24">
        <f>IF($B146="","",ROUND(N($K146)*N($O146),0))</f>
        <v/>
      </c>
      <c r="Q146" s="25">
        <f>IF($B146="","",IF($L146="감소","감소분 → 계약단가",IF(AND($M146="Y",OR($L146="증가",$L146="신규")),"발주기관 요구 → 협의 (불성립 시 (당시단가+당시단가×낙찰률)÷2)",IF($L146="증가",IF(AND($N146&lt;&gt;"",$G146&gt;$N146),"증가분 → 계약단가&gt;예정가격단가 이므로 예정가격단가","증가분 → 계약단가 (낙찰률을 곱하지 않습니다)"),IF($L146="신규","신규비목 → 당시단가 × 낙찰률","")))))</f>
        <v/>
      </c>
      <c r="R146" s="20">
        <f>IF($B146="","",IF(N($O146)=0,0,IF(OR($L146="감소",AND($L146="증가",$M146&lt;&gt;"Y")),IF(N($G146)=0,0,ROUND(N(내역서!$G146)*$O146/$G146,0)),IF(N($J146)=0,0,ROUND(N(내역서!$O146)*$O146/$J146,0)))))</f>
        <v/>
      </c>
      <c r="S146" s="20">
        <f>IF($B146="","",IF(N($O146)=0,0,IF(OR($L146="감소",AND($L146="증가",$M146&lt;&gt;"Y")),IF(N($G146)=0,0,ROUND(N(내역서!$H146)*$O146/$G146,0)),IF(N($J146)=0,0,ROUND(N(내역서!$P146)*$O146/$J146,0)))))</f>
        <v/>
      </c>
      <c r="T146" s="20">
        <f>IF($B146="","",N($O146)-N($R146)-N($S146))</f>
        <v/>
      </c>
      <c r="U146" s="20">
        <f>IF($B146="","",ROUND(N($K146)*N($R146),0))</f>
        <v/>
      </c>
      <c r="V146" s="20">
        <f>IF($B146="","",ROUND(N($K146)*N($S146),0))</f>
        <v/>
      </c>
      <c r="W146" s="20">
        <f>IF($B146="","",N($P146)-N($U146)-N($V146))</f>
        <v/>
      </c>
    </row>
    <row r="147">
      <c r="A147" s="18">
        <f>IF($B147="","",ROW()-4+1)</f>
        <v/>
      </c>
      <c r="B147" s="18">
        <f>내역서!$B147</f>
        <v/>
      </c>
      <c r="C147" s="18">
        <f>IF($B147="","",내역서!$C147)</f>
        <v/>
      </c>
      <c r="D147" s="18">
        <f>IF($B147="","",내역서!$D147)</f>
        <v/>
      </c>
      <c r="E147" s="18">
        <f>IF($B147="","",내역서!$E147)</f>
        <v/>
      </c>
      <c r="F147" s="19">
        <f>IF($B147="","",N(내역서!$F147))</f>
        <v/>
      </c>
      <c r="G147" s="20">
        <f>IF($B147="","",N(내역서!$J147))</f>
        <v/>
      </c>
      <c r="H147" s="20">
        <f>IF($B147="","",N(내역서!$K147))</f>
        <v/>
      </c>
      <c r="I147" s="19">
        <f>IF($B147="","",N(내역서!$N147))</f>
        <v/>
      </c>
      <c r="J147" s="20">
        <f>IF($B147="","",N(내역서!$R147))</f>
        <v/>
      </c>
      <c r="K147" s="19">
        <f>IF($B147="","",N($I147)-N($F147))</f>
        <v/>
      </c>
      <c r="L147" s="21">
        <f>IF($B147="","",IF(N(내역서!$F147)=0,"신규",IF($K147&lt;0,"감소",IF($K147&gt;0,"증가","-"))))</f>
        <v/>
      </c>
      <c r="M147" s="22" t="n"/>
      <c r="N147" s="23" t="n"/>
      <c r="O147" s="24">
        <f>IF($B147="","",IF($L147="감소",$G147,IF($L147="증가",IF($M147="Y",ROUND(($J147+$J147*('설정'!$C$15/100))/2,0),IF(AND($N147&lt;&gt;"",$G147&gt;$N147),$N147,$G147)),IF($L147="신규",IF($M147="Y",ROUND(($J147+$J147*('설정'!$C$15/100))/2,0),ROUND($J147*('설정'!$C$15/100),0)),0))))</f>
        <v/>
      </c>
      <c r="P147" s="24">
        <f>IF($B147="","",ROUND(N($K147)*N($O147),0))</f>
        <v/>
      </c>
      <c r="Q147" s="25">
        <f>IF($B147="","",IF($L147="감소","감소분 → 계약단가",IF(AND($M147="Y",OR($L147="증가",$L147="신규")),"발주기관 요구 → 협의 (불성립 시 (당시단가+당시단가×낙찰률)÷2)",IF($L147="증가",IF(AND($N147&lt;&gt;"",$G147&gt;$N147),"증가분 → 계약단가&gt;예정가격단가 이므로 예정가격단가","증가분 → 계약단가 (낙찰률을 곱하지 않습니다)"),IF($L147="신규","신규비목 → 당시단가 × 낙찰률","")))))</f>
        <v/>
      </c>
      <c r="R147" s="20">
        <f>IF($B147="","",IF(N($O147)=0,0,IF(OR($L147="감소",AND($L147="증가",$M147&lt;&gt;"Y")),IF(N($G147)=0,0,ROUND(N(내역서!$G147)*$O147/$G147,0)),IF(N($J147)=0,0,ROUND(N(내역서!$O147)*$O147/$J147,0)))))</f>
        <v/>
      </c>
      <c r="S147" s="20">
        <f>IF($B147="","",IF(N($O147)=0,0,IF(OR($L147="감소",AND($L147="증가",$M147&lt;&gt;"Y")),IF(N($G147)=0,0,ROUND(N(내역서!$H147)*$O147/$G147,0)),IF(N($J147)=0,0,ROUND(N(내역서!$P147)*$O147/$J147,0)))))</f>
        <v/>
      </c>
      <c r="T147" s="20">
        <f>IF($B147="","",N($O147)-N($R147)-N($S147))</f>
        <v/>
      </c>
      <c r="U147" s="20">
        <f>IF($B147="","",ROUND(N($K147)*N($R147),0))</f>
        <v/>
      </c>
      <c r="V147" s="20">
        <f>IF($B147="","",ROUND(N($K147)*N($S147),0))</f>
        <v/>
      </c>
      <c r="W147" s="20">
        <f>IF($B147="","",N($P147)-N($U147)-N($V147))</f>
        <v/>
      </c>
    </row>
    <row r="148">
      <c r="A148" s="18">
        <f>IF($B148="","",ROW()-4+1)</f>
        <v/>
      </c>
      <c r="B148" s="18">
        <f>내역서!$B148</f>
        <v/>
      </c>
      <c r="C148" s="18">
        <f>IF($B148="","",내역서!$C148)</f>
        <v/>
      </c>
      <c r="D148" s="18">
        <f>IF($B148="","",내역서!$D148)</f>
        <v/>
      </c>
      <c r="E148" s="18">
        <f>IF($B148="","",내역서!$E148)</f>
        <v/>
      </c>
      <c r="F148" s="19">
        <f>IF($B148="","",N(내역서!$F148))</f>
        <v/>
      </c>
      <c r="G148" s="20">
        <f>IF($B148="","",N(내역서!$J148))</f>
        <v/>
      </c>
      <c r="H148" s="20">
        <f>IF($B148="","",N(내역서!$K148))</f>
        <v/>
      </c>
      <c r="I148" s="19">
        <f>IF($B148="","",N(내역서!$N148))</f>
        <v/>
      </c>
      <c r="J148" s="20">
        <f>IF($B148="","",N(내역서!$R148))</f>
        <v/>
      </c>
      <c r="K148" s="19">
        <f>IF($B148="","",N($I148)-N($F148))</f>
        <v/>
      </c>
      <c r="L148" s="21">
        <f>IF($B148="","",IF(N(내역서!$F148)=0,"신규",IF($K148&lt;0,"감소",IF($K148&gt;0,"증가","-"))))</f>
        <v/>
      </c>
      <c r="M148" s="22" t="n"/>
      <c r="N148" s="23" t="n"/>
      <c r="O148" s="24">
        <f>IF($B148="","",IF($L148="감소",$G148,IF($L148="증가",IF($M148="Y",ROUND(($J148+$J148*('설정'!$C$15/100))/2,0),IF(AND($N148&lt;&gt;"",$G148&gt;$N148),$N148,$G148)),IF($L148="신규",IF($M148="Y",ROUND(($J148+$J148*('설정'!$C$15/100))/2,0),ROUND($J148*('설정'!$C$15/100),0)),0))))</f>
        <v/>
      </c>
      <c r="P148" s="24">
        <f>IF($B148="","",ROUND(N($K148)*N($O148),0))</f>
        <v/>
      </c>
      <c r="Q148" s="25">
        <f>IF($B148="","",IF($L148="감소","감소분 → 계약단가",IF(AND($M148="Y",OR($L148="증가",$L148="신규")),"발주기관 요구 → 협의 (불성립 시 (당시단가+당시단가×낙찰률)÷2)",IF($L148="증가",IF(AND($N148&lt;&gt;"",$G148&gt;$N148),"증가분 → 계약단가&gt;예정가격단가 이므로 예정가격단가","증가분 → 계약단가 (낙찰률을 곱하지 않습니다)"),IF($L148="신규","신규비목 → 당시단가 × 낙찰률","")))))</f>
        <v/>
      </c>
      <c r="R148" s="20">
        <f>IF($B148="","",IF(N($O148)=0,0,IF(OR($L148="감소",AND($L148="증가",$M148&lt;&gt;"Y")),IF(N($G148)=0,0,ROUND(N(내역서!$G148)*$O148/$G148,0)),IF(N($J148)=0,0,ROUND(N(내역서!$O148)*$O148/$J148,0)))))</f>
        <v/>
      </c>
      <c r="S148" s="20">
        <f>IF($B148="","",IF(N($O148)=0,0,IF(OR($L148="감소",AND($L148="증가",$M148&lt;&gt;"Y")),IF(N($G148)=0,0,ROUND(N(내역서!$H148)*$O148/$G148,0)),IF(N($J148)=0,0,ROUND(N(내역서!$P148)*$O148/$J148,0)))))</f>
        <v/>
      </c>
      <c r="T148" s="20">
        <f>IF($B148="","",N($O148)-N($R148)-N($S148))</f>
        <v/>
      </c>
      <c r="U148" s="20">
        <f>IF($B148="","",ROUND(N($K148)*N($R148),0))</f>
        <v/>
      </c>
      <c r="V148" s="20">
        <f>IF($B148="","",ROUND(N($K148)*N($S148),0))</f>
        <v/>
      </c>
      <c r="W148" s="20">
        <f>IF($B148="","",N($P148)-N($U148)-N($V148))</f>
        <v/>
      </c>
    </row>
    <row r="149">
      <c r="A149" s="18">
        <f>IF($B149="","",ROW()-4+1)</f>
        <v/>
      </c>
      <c r="B149" s="18">
        <f>내역서!$B149</f>
        <v/>
      </c>
      <c r="C149" s="18">
        <f>IF($B149="","",내역서!$C149)</f>
        <v/>
      </c>
      <c r="D149" s="18">
        <f>IF($B149="","",내역서!$D149)</f>
        <v/>
      </c>
      <c r="E149" s="18">
        <f>IF($B149="","",내역서!$E149)</f>
        <v/>
      </c>
      <c r="F149" s="19">
        <f>IF($B149="","",N(내역서!$F149))</f>
        <v/>
      </c>
      <c r="G149" s="20">
        <f>IF($B149="","",N(내역서!$J149))</f>
        <v/>
      </c>
      <c r="H149" s="20">
        <f>IF($B149="","",N(내역서!$K149))</f>
        <v/>
      </c>
      <c r="I149" s="19">
        <f>IF($B149="","",N(내역서!$N149))</f>
        <v/>
      </c>
      <c r="J149" s="20">
        <f>IF($B149="","",N(내역서!$R149))</f>
        <v/>
      </c>
      <c r="K149" s="19">
        <f>IF($B149="","",N($I149)-N($F149))</f>
        <v/>
      </c>
      <c r="L149" s="21">
        <f>IF($B149="","",IF(N(내역서!$F149)=0,"신규",IF($K149&lt;0,"감소",IF($K149&gt;0,"증가","-"))))</f>
        <v/>
      </c>
      <c r="M149" s="22" t="n"/>
      <c r="N149" s="23" t="n"/>
      <c r="O149" s="24">
        <f>IF($B149="","",IF($L149="감소",$G149,IF($L149="증가",IF($M149="Y",ROUND(($J149+$J149*('설정'!$C$15/100))/2,0),IF(AND($N149&lt;&gt;"",$G149&gt;$N149),$N149,$G149)),IF($L149="신규",IF($M149="Y",ROUND(($J149+$J149*('설정'!$C$15/100))/2,0),ROUND($J149*('설정'!$C$15/100),0)),0))))</f>
        <v/>
      </c>
      <c r="P149" s="24">
        <f>IF($B149="","",ROUND(N($K149)*N($O149),0))</f>
        <v/>
      </c>
      <c r="Q149" s="25">
        <f>IF($B149="","",IF($L149="감소","감소분 → 계약단가",IF(AND($M149="Y",OR($L149="증가",$L149="신규")),"발주기관 요구 → 협의 (불성립 시 (당시단가+당시단가×낙찰률)÷2)",IF($L149="증가",IF(AND($N149&lt;&gt;"",$G149&gt;$N149),"증가분 → 계약단가&gt;예정가격단가 이므로 예정가격단가","증가분 → 계약단가 (낙찰률을 곱하지 않습니다)"),IF($L149="신규","신규비목 → 당시단가 × 낙찰률","")))))</f>
        <v/>
      </c>
      <c r="R149" s="20">
        <f>IF($B149="","",IF(N($O149)=0,0,IF(OR($L149="감소",AND($L149="증가",$M149&lt;&gt;"Y")),IF(N($G149)=0,0,ROUND(N(내역서!$G149)*$O149/$G149,0)),IF(N($J149)=0,0,ROUND(N(내역서!$O149)*$O149/$J149,0)))))</f>
        <v/>
      </c>
      <c r="S149" s="20">
        <f>IF($B149="","",IF(N($O149)=0,0,IF(OR($L149="감소",AND($L149="증가",$M149&lt;&gt;"Y")),IF(N($G149)=0,0,ROUND(N(내역서!$H149)*$O149/$G149,0)),IF(N($J149)=0,0,ROUND(N(내역서!$P149)*$O149/$J149,0)))))</f>
        <v/>
      </c>
      <c r="T149" s="20">
        <f>IF($B149="","",N($O149)-N($R149)-N($S149))</f>
        <v/>
      </c>
      <c r="U149" s="20">
        <f>IF($B149="","",ROUND(N($K149)*N($R149),0))</f>
        <v/>
      </c>
      <c r="V149" s="20">
        <f>IF($B149="","",ROUND(N($K149)*N($S149),0))</f>
        <v/>
      </c>
      <c r="W149" s="20">
        <f>IF($B149="","",N($P149)-N($U149)-N($V149))</f>
        <v/>
      </c>
    </row>
    <row r="150">
      <c r="A150" s="18">
        <f>IF($B150="","",ROW()-4+1)</f>
        <v/>
      </c>
      <c r="B150" s="18">
        <f>내역서!$B150</f>
        <v/>
      </c>
      <c r="C150" s="18">
        <f>IF($B150="","",내역서!$C150)</f>
        <v/>
      </c>
      <c r="D150" s="18">
        <f>IF($B150="","",내역서!$D150)</f>
        <v/>
      </c>
      <c r="E150" s="18">
        <f>IF($B150="","",내역서!$E150)</f>
        <v/>
      </c>
      <c r="F150" s="19">
        <f>IF($B150="","",N(내역서!$F150))</f>
        <v/>
      </c>
      <c r="G150" s="20">
        <f>IF($B150="","",N(내역서!$J150))</f>
        <v/>
      </c>
      <c r="H150" s="20">
        <f>IF($B150="","",N(내역서!$K150))</f>
        <v/>
      </c>
      <c r="I150" s="19">
        <f>IF($B150="","",N(내역서!$N150))</f>
        <v/>
      </c>
      <c r="J150" s="20">
        <f>IF($B150="","",N(내역서!$R150))</f>
        <v/>
      </c>
      <c r="K150" s="19">
        <f>IF($B150="","",N($I150)-N($F150))</f>
        <v/>
      </c>
      <c r="L150" s="21">
        <f>IF($B150="","",IF(N(내역서!$F150)=0,"신규",IF($K150&lt;0,"감소",IF($K150&gt;0,"증가","-"))))</f>
        <v/>
      </c>
      <c r="M150" s="22" t="n"/>
      <c r="N150" s="23" t="n"/>
      <c r="O150" s="24">
        <f>IF($B150="","",IF($L150="감소",$G150,IF($L150="증가",IF($M150="Y",ROUND(($J150+$J150*('설정'!$C$15/100))/2,0),IF(AND($N150&lt;&gt;"",$G150&gt;$N150),$N150,$G150)),IF($L150="신규",IF($M150="Y",ROUND(($J150+$J150*('설정'!$C$15/100))/2,0),ROUND($J150*('설정'!$C$15/100),0)),0))))</f>
        <v/>
      </c>
      <c r="P150" s="24">
        <f>IF($B150="","",ROUND(N($K150)*N($O150),0))</f>
        <v/>
      </c>
      <c r="Q150" s="25">
        <f>IF($B150="","",IF($L150="감소","감소분 → 계약단가",IF(AND($M150="Y",OR($L150="증가",$L150="신규")),"발주기관 요구 → 협의 (불성립 시 (당시단가+당시단가×낙찰률)÷2)",IF($L150="증가",IF(AND($N150&lt;&gt;"",$G150&gt;$N150),"증가분 → 계약단가&gt;예정가격단가 이므로 예정가격단가","증가분 → 계약단가 (낙찰률을 곱하지 않습니다)"),IF($L150="신규","신규비목 → 당시단가 × 낙찰률","")))))</f>
        <v/>
      </c>
      <c r="R150" s="20">
        <f>IF($B150="","",IF(N($O150)=0,0,IF(OR($L150="감소",AND($L150="증가",$M150&lt;&gt;"Y")),IF(N($G150)=0,0,ROUND(N(내역서!$G150)*$O150/$G150,0)),IF(N($J150)=0,0,ROUND(N(내역서!$O150)*$O150/$J150,0)))))</f>
        <v/>
      </c>
      <c r="S150" s="20">
        <f>IF($B150="","",IF(N($O150)=0,0,IF(OR($L150="감소",AND($L150="증가",$M150&lt;&gt;"Y")),IF(N($G150)=0,0,ROUND(N(내역서!$H150)*$O150/$G150,0)),IF(N($J150)=0,0,ROUND(N(내역서!$P150)*$O150/$J150,0)))))</f>
        <v/>
      </c>
      <c r="T150" s="20">
        <f>IF($B150="","",N($O150)-N($R150)-N($S150))</f>
        <v/>
      </c>
      <c r="U150" s="20">
        <f>IF($B150="","",ROUND(N($K150)*N($R150),0))</f>
        <v/>
      </c>
      <c r="V150" s="20">
        <f>IF($B150="","",ROUND(N($K150)*N($S150),0))</f>
        <v/>
      </c>
      <c r="W150" s="20">
        <f>IF($B150="","",N($P150)-N($U150)-N($V150))</f>
        <v/>
      </c>
    </row>
    <row r="151">
      <c r="A151" s="18">
        <f>IF($B151="","",ROW()-4+1)</f>
        <v/>
      </c>
      <c r="B151" s="18">
        <f>내역서!$B151</f>
        <v/>
      </c>
      <c r="C151" s="18">
        <f>IF($B151="","",내역서!$C151)</f>
        <v/>
      </c>
      <c r="D151" s="18">
        <f>IF($B151="","",내역서!$D151)</f>
        <v/>
      </c>
      <c r="E151" s="18">
        <f>IF($B151="","",내역서!$E151)</f>
        <v/>
      </c>
      <c r="F151" s="19">
        <f>IF($B151="","",N(내역서!$F151))</f>
        <v/>
      </c>
      <c r="G151" s="20">
        <f>IF($B151="","",N(내역서!$J151))</f>
        <v/>
      </c>
      <c r="H151" s="20">
        <f>IF($B151="","",N(내역서!$K151))</f>
        <v/>
      </c>
      <c r="I151" s="19">
        <f>IF($B151="","",N(내역서!$N151))</f>
        <v/>
      </c>
      <c r="J151" s="20">
        <f>IF($B151="","",N(내역서!$R151))</f>
        <v/>
      </c>
      <c r="K151" s="19">
        <f>IF($B151="","",N($I151)-N($F151))</f>
        <v/>
      </c>
      <c r="L151" s="21">
        <f>IF($B151="","",IF(N(내역서!$F151)=0,"신규",IF($K151&lt;0,"감소",IF($K151&gt;0,"증가","-"))))</f>
        <v/>
      </c>
      <c r="M151" s="22" t="n"/>
      <c r="N151" s="23" t="n"/>
      <c r="O151" s="24">
        <f>IF($B151="","",IF($L151="감소",$G151,IF($L151="증가",IF($M151="Y",ROUND(($J151+$J151*('설정'!$C$15/100))/2,0),IF(AND($N151&lt;&gt;"",$G151&gt;$N151),$N151,$G151)),IF($L151="신규",IF($M151="Y",ROUND(($J151+$J151*('설정'!$C$15/100))/2,0),ROUND($J151*('설정'!$C$15/100),0)),0))))</f>
        <v/>
      </c>
      <c r="P151" s="24">
        <f>IF($B151="","",ROUND(N($K151)*N($O151),0))</f>
        <v/>
      </c>
      <c r="Q151" s="25">
        <f>IF($B151="","",IF($L151="감소","감소분 → 계약단가",IF(AND($M151="Y",OR($L151="증가",$L151="신규")),"발주기관 요구 → 협의 (불성립 시 (당시단가+당시단가×낙찰률)÷2)",IF($L151="증가",IF(AND($N151&lt;&gt;"",$G151&gt;$N151),"증가분 → 계약단가&gt;예정가격단가 이므로 예정가격단가","증가분 → 계약단가 (낙찰률을 곱하지 않습니다)"),IF($L151="신규","신규비목 → 당시단가 × 낙찰률","")))))</f>
        <v/>
      </c>
      <c r="R151" s="20">
        <f>IF($B151="","",IF(N($O151)=0,0,IF(OR($L151="감소",AND($L151="증가",$M151&lt;&gt;"Y")),IF(N($G151)=0,0,ROUND(N(내역서!$G151)*$O151/$G151,0)),IF(N($J151)=0,0,ROUND(N(내역서!$O151)*$O151/$J151,0)))))</f>
        <v/>
      </c>
      <c r="S151" s="20">
        <f>IF($B151="","",IF(N($O151)=0,0,IF(OR($L151="감소",AND($L151="증가",$M151&lt;&gt;"Y")),IF(N($G151)=0,0,ROUND(N(내역서!$H151)*$O151/$G151,0)),IF(N($J151)=0,0,ROUND(N(내역서!$P151)*$O151/$J151,0)))))</f>
        <v/>
      </c>
      <c r="T151" s="20">
        <f>IF($B151="","",N($O151)-N($R151)-N($S151))</f>
        <v/>
      </c>
      <c r="U151" s="20">
        <f>IF($B151="","",ROUND(N($K151)*N($R151),0))</f>
        <v/>
      </c>
      <c r="V151" s="20">
        <f>IF($B151="","",ROUND(N($K151)*N($S151),0))</f>
        <v/>
      </c>
      <c r="W151" s="20">
        <f>IF($B151="","",N($P151)-N($U151)-N($V151))</f>
        <v/>
      </c>
    </row>
    <row r="152">
      <c r="A152" s="18">
        <f>IF($B152="","",ROW()-4+1)</f>
        <v/>
      </c>
      <c r="B152" s="18">
        <f>내역서!$B152</f>
        <v/>
      </c>
      <c r="C152" s="18">
        <f>IF($B152="","",내역서!$C152)</f>
        <v/>
      </c>
      <c r="D152" s="18">
        <f>IF($B152="","",내역서!$D152)</f>
        <v/>
      </c>
      <c r="E152" s="18">
        <f>IF($B152="","",내역서!$E152)</f>
        <v/>
      </c>
      <c r="F152" s="19">
        <f>IF($B152="","",N(내역서!$F152))</f>
        <v/>
      </c>
      <c r="G152" s="20">
        <f>IF($B152="","",N(내역서!$J152))</f>
        <v/>
      </c>
      <c r="H152" s="20">
        <f>IF($B152="","",N(내역서!$K152))</f>
        <v/>
      </c>
      <c r="I152" s="19">
        <f>IF($B152="","",N(내역서!$N152))</f>
        <v/>
      </c>
      <c r="J152" s="20">
        <f>IF($B152="","",N(내역서!$R152))</f>
        <v/>
      </c>
      <c r="K152" s="19">
        <f>IF($B152="","",N($I152)-N($F152))</f>
        <v/>
      </c>
      <c r="L152" s="21">
        <f>IF($B152="","",IF(N(내역서!$F152)=0,"신규",IF($K152&lt;0,"감소",IF($K152&gt;0,"증가","-"))))</f>
        <v/>
      </c>
      <c r="M152" s="22" t="n"/>
      <c r="N152" s="23" t="n"/>
      <c r="O152" s="24">
        <f>IF($B152="","",IF($L152="감소",$G152,IF($L152="증가",IF($M152="Y",ROUND(($J152+$J152*('설정'!$C$15/100))/2,0),IF(AND($N152&lt;&gt;"",$G152&gt;$N152),$N152,$G152)),IF($L152="신규",IF($M152="Y",ROUND(($J152+$J152*('설정'!$C$15/100))/2,0),ROUND($J152*('설정'!$C$15/100),0)),0))))</f>
        <v/>
      </c>
      <c r="P152" s="24">
        <f>IF($B152="","",ROUND(N($K152)*N($O152),0))</f>
        <v/>
      </c>
      <c r="Q152" s="25">
        <f>IF($B152="","",IF($L152="감소","감소분 → 계약단가",IF(AND($M152="Y",OR($L152="증가",$L152="신규")),"발주기관 요구 → 협의 (불성립 시 (당시단가+당시단가×낙찰률)÷2)",IF($L152="증가",IF(AND($N152&lt;&gt;"",$G152&gt;$N152),"증가분 → 계약단가&gt;예정가격단가 이므로 예정가격단가","증가분 → 계약단가 (낙찰률을 곱하지 않습니다)"),IF($L152="신규","신규비목 → 당시단가 × 낙찰률","")))))</f>
        <v/>
      </c>
      <c r="R152" s="20">
        <f>IF($B152="","",IF(N($O152)=0,0,IF(OR($L152="감소",AND($L152="증가",$M152&lt;&gt;"Y")),IF(N($G152)=0,0,ROUND(N(내역서!$G152)*$O152/$G152,0)),IF(N($J152)=0,0,ROUND(N(내역서!$O152)*$O152/$J152,0)))))</f>
        <v/>
      </c>
      <c r="S152" s="20">
        <f>IF($B152="","",IF(N($O152)=0,0,IF(OR($L152="감소",AND($L152="증가",$M152&lt;&gt;"Y")),IF(N($G152)=0,0,ROUND(N(내역서!$H152)*$O152/$G152,0)),IF(N($J152)=0,0,ROUND(N(내역서!$P152)*$O152/$J152,0)))))</f>
        <v/>
      </c>
      <c r="T152" s="20">
        <f>IF($B152="","",N($O152)-N($R152)-N($S152))</f>
        <v/>
      </c>
      <c r="U152" s="20">
        <f>IF($B152="","",ROUND(N($K152)*N($R152),0))</f>
        <v/>
      </c>
      <c r="V152" s="20">
        <f>IF($B152="","",ROUND(N($K152)*N($S152),0))</f>
        <v/>
      </c>
      <c r="W152" s="20">
        <f>IF($B152="","",N($P152)-N($U152)-N($V152))</f>
        <v/>
      </c>
    </row>
    <row r="153">
      <c r="A153" s="18">
        <f>IF($B153="","",ROW()-4+1)</f>
        <v/>
      </c>
      <c r="B153" s="18">
        <f>내역서!$B153</f>
        <v/>
      </c>
      <c r="C153" s="18">
        <f>IF($B153="","",내역서!$C153)</f>
        <v/>
      </c>
      <c r="D153" s="18">
        <f>IF($B153="","",내역서!$D153)</f>
        <v/>
      </c>
      <c r="E153" s="18">
        <f>IF($B153="","",내역서!$E153)</f>
        <v/>
      </c>
      <c r="F153" s="19">
        <f>IF($B153="","",N(내역서!$F153))</f>
        <v/>
      </c>
      <c r="G153" s="20">
        <f>IF($B153="","",N(내역서!$J153))</f>
        <v/>
      </c>
      <c r="H153" s="20">
        <f>IF($B153="","",N(내역서!$K153))</f>
        <v/>
      </c>
      <c r="I153" s="19">
        <f>IF($B153="","",N(내역서!$N153))</f>
        <v/>
      </c>
      <c r="J153" s="20">
        <f>IF($B153="","",N(내역서!$R153))</f>
        <v/>
      </c>
      <c r="K153" s="19">
        <f>IF($B153="","",N($I153)-N($F153))</f>
        <v/>
      </c>
      <c r="L153" s="21">
        <f>IF($B153="","",IF(N(내역서!$F153)=0,"신규",IF($K153&lt;0,"감소",IF($K153&gt;0,"증가","-"))))</f>
        <v/>
      </c>
      <c r="M153" s="22" t="n"/>
      <c r="N153" s="23" t="n"/>
      <c r="O153" s="24">
        <f>IF($B153="","",IF($L153="감소",$G153,IF($L153="증가",IF($M153="Y",ROUND(($J153+$J153*('설정'!$C$15/100))/2,0),IF(AND($N153&lt;&gt;"",$G153&gt;$N153),$N153,$G153)),IF($L153="신규",IF($M153="Y",ROUND(($J153+$J153*('설정'!$C$15/100))/2,0),ROUND($J153*('설정'!$C$15/100),0)),0))))</f>
        <v/>
      </c>
      <c r="P153" s="24">
        <f>IF($B153="","",ROUND(N($K153)*N($O153),0))</f>
        <v/>
      </c>
      <c r="Q153" s="25">
        <f>IF($B153="","",IF($L153="감소","감소분 → 계약단가",IF(AND($M153="Y",OR($L153="증가",$L153="신규")),"발주기관 요구 → 협의 (불성립 시 (당시단가+당시단가×낙찰률)÷2)",IF($L153="증가",IF(AND($N153&lt;&gt;"",$G153&gt;$N153),"증가분 → 계약단가&gt;예정가격단가 이므로 예정가격단가","증가분 → 계약단가 (낙찰률을 곱하지 않습니다)"),IF($L153="신규","신규비목 → 당시단가 × 낙찰률","")))))</f>
        <v/>
      </c>
      <c r="R153" s="20">
        <f>IF($B153="","",IF(N($O153)=0,0,IF(OR($L153="감소",AND($L153="증가",$M153&lt;&gt;"Y")),IF(N($G153)=0,0,ROUND(N(내역서!$G153)*$O153/$G153,0)),IF(N($J153)=0,0,ROUND(N(내역서!$O153)*$O153/$J153,0)))))</f>
        <v/>
      </c>
      <c r="S153" s="20">
        <f>IF($B153="","",IF(N($O153)=0,0,IF(OR($L153="감소",AND($L153="증가",$M153&lt;&gt;"Y")),IF(N($G153)=0,0,ROUND(N(내역서!$H153)*$O153/$G153,0)),IF(N($J153)=0,0,ROUND(N(내역서!$P153)*$O153/$J153,0)))))</f>
        <v/>
      </c>
      <c r="T153" s="20">
        <f>IF($B153="","",N($O153)-N($R153)-N($S153))</f>
        <v/>
      </c>
      <c r="U153" s="20">
        <f>IF($B153="","",ROUND(N($K153)*N($R153),0))</f>
        <v/>
      </c>
      <c r="V153" s="20">
        <f>IF($B153="","",ROUND(N($K153)*N($S153),0))</f>
        <v/>
      </c>
      <c r="W153" s="20">
        <f>IF($B153="","",N($P153)-N($U153)-N($V153))</f>
        <v/>
      </c>
    </row>
    <row r="154">
      <c r="A154" s="18">
        <f>IF($B154="","",ROW()-4+1)</f>
        <v/>
      </c>
      <c r="B154" s="18">
        <f>내역서!$B154</f>
        <v/>
      </c>
      <c r="C154" s="18">
        <f>IF($B154="","",내역서!$C154)</f>
        <v/>
      </c>
      <c r="D154" s="18">
        <f>IF($B154="","",내역서!$D154)</f>
        <v/>
      </c>
      <c r="E154" s="18">
        <f>IF($B154="","",내역서!$E154)</f>
        <v/>
      </c>
      <c r="F154" s="19">
        <f>IF($B154="","",N(내역서!$F154))</f>
        <v/>
      </c>
      <c r="G154" s="20">
        <f>IF($B154="","",N(내역서!$J154))</f>
        <v/>
      </c>
      <c r="H154" s="20">
        <f>IF($B154="","",N(내역서!$K154))</f>
        <v/>
      </c>
      <c r="I154" s="19">
        <f>IF($B154="","",N(내역서!$N154))</f>
        <v/>
      </c>
      <c r="J154" s="20">
        <f>IF($B154="","",N(내역서!$R154))</f>
        <v/>
      </c>
      <c r="K154" s="19">
        <f>IF($B154="","",N($I154)-N($F154))</f>
        <v/>
      </c>
      <c r="L154" s="21">
        <f>IF($B154="","",IF(N(내역서!$F154)=0,"신규",IF($K154&lt;0,"감소",IF($K154&gt;0,"증가","-"))))</f>
        <v/>
      </c>
      <c r="M154" s="22" t="n"/>
      <c r="N154" s="23" t="n"/>
      <c r="O154" s="24">
        <f>IF($B154="","",IF($L154="감소",$G154,IF($L154="증가",IF($M154="Y",ROUND(($J154+$J154*('설정'!$C$15/100))/2,0),IF(AND($N154&lt;&gt;"",$G154&gt;$N154),$N154,$G154)),IF($L154="신규",IF($M154="Y",ROUND(($J154+$J154*('설정'!$C$15/100))/2,0),ROUND($J154*('설정'!$C$15/100),0)),0))))</f>
        <v/>
      </c>
      <c r="P154" s="24">
        <f>IF($B154="","",ROUND(N($K154)*N($O154),0))</f>
        <v/>
      </c>
      <c r="Q154" s="25">
        <f>IF($B154="","",IF($L154="감소","감소분 → 계약단가",IF(AND($M154="Y",OR($L154="증가",$L154="신규")),"발주기관 요구 → 협의 (불성립 시 (당시단가+당시단가×낙찰률)÷2)",IF($L154="증가",IF(AND($N154&lt;&gt;"",$G154&gt;$N154),"증가분 → 계약단가&gt;예정가격단가 이므로 예정가격단가","증가분 → 계약단가 (낙찰률을 곱하지 않습니다)"),IF($L154="신규","신규비목 → 당시단가 × 낙찰률","")))))</f>
        <v/>
      </c>
      <c r="R154" s="20">
        <f>IF($B154="","",IF(N($O154)=0,0,IF(OR($L154="감소",AND($L154="증가",$M154&lt;&gt;"Y")),IF(N($G154)=0,0,ROUND(N(내역서!$G154)*$O154/$G154,0)),IF(N($J154)=0,0,ROUND(N(내역서!$O154)*$O154/$J154,0)))))</f>
        <v/>
      </c>
      <c r="S154" s="20">
        <f>IF($B154="","",IF(N($O154)=0,0,IF(OR($L154="감소",AND($L154="증가",$M154&lt;&gt;"Y")),IF(N($G154)=0,0,ROUND(N(내역서!$H154)*$O154/$G154,0)),IF(N($J154)=0,0,ROUND(N(내역서!$P154)*$O154/$J154,0)))))</f>
        <v/>
      </c>
      <c r="T154" s="20">
        <f>IF($B154="","",N($O154)-N($R154)-N($S154))</f>
        <v/>
      </c>
      <c r="U154" s="20">
        <f>IF($B154="","",ROUND(N($K154)*N($R154),0))</f>
        <v/>
      </c>
      <c r="V154" s="20">
        <f>IF($B154="","",ROUND(N($K154)*N($S154),0))</f>
        <v/>
      </c>
      <c r="W154" s="20">
        <f>IF($B154="","",N($P154)-N($U154)-N($V154))</f>
        <v/>
      </c>
    </row>
    <row r="155">
      <c r="A155" s="18">
        <f>IF($B155="","",ROW()-4+1)</f>
        <v/>
      </c>
      <c r="B155" s="18">
        <f>내역서!$B155</f>
        <v/>
      </c>
      <c r="C155" s="18">
        <f>IF($B155="","",내역서!$C155)</f>
        <v/>
      </c>
      <c r="D155" s="18">
        <f>IF($B155="","",내역서!$D155)</f>
        <v/>
      </c>
      <c r="E155" s="18">
        <f>IF($B155="","",내역서!$E155)</f>
        <v/>
      </c>
      <c r="F155" s="19">
        <f>IF($B155="","",N(내역서!$F155))</f>
        <v/>
      </c>
      <c r="G155" s="20">
        <f>IF($B155="","",N(내역서!$J155))</f>
        <v/>
      </c>
      <c r="H155" s="20">
        <f>IF($B155="","",N(내역서!$K155))</f>
        <v/>
      </c>
      <c r="I155" s="19">
        <f>IF($B155="","",N(내역서!$N155))</f>
        <v/>
      </c>
      <c r="J155" s="20">
        <f>IF($B155="","",N(내역서!$R155))</f>
        <v/>
      </c>
      <c r="K155" s="19">
        <f>IF($B155="","",N($I155)-N($F155))</f>
        <v/>
      </c>
      <c r="L155" s="21">
        <f>IF($B155="","",IF(N(내역서!$F155)=0,"신규",IF($K155&lt;0,"감소",IF($K155&gt;0,"증가","-"))))</f>
        <v/>
      </c>
      <c r="M155" s="22" t="n"/>
      <c r="N155" s="23" t="n"/>
      <c r="O155" s="24">
        <f>IF($B155="","",IF($L155="감소",$G155,IF($L155="증가",IF($M155="Y",ROUND(($J155+$J155*('설정'!$C$15/100))/2,0),IF(AND($N155&lt;&gt;"",$G155&gt;$N155),$N155,$G155)),IF($L155="신규",IF($M155="Y",ROUND(($J155+$J155*('설정'!$C$15/100))/2,0),ROUND($J155*('설정'!$C$15/100),0)),0))))</f>
        <v/>
      </c>
      <c r="P155" s="24">
        <f>IF($B155="","",ROUND(N($K155)*N($O155),0))</f>
        <v/>
      </c>
      <c r="Q155" s="25">
        <f>IF($B155="","",IF($L155="감소","감소분 → 계약단가",IF(AND($M155="Y",OR($L155="증가",$L155="신규")),"발주기관 요구 → 협의 (불성립 시 (당시단가+당시단가×낙찰률)÷2)",IF($L155="증가",IF(AND($N155&lt;&gt;"",$G155&gt;$N155),"증가분 → 계약단가&gt;예정가격단가 이므로 예정가격단가","증가분 → 계약단가 (낙찰률을 곱하지 않습니다)"),IF($L155="신규","신규비목 → 당시단가 × 낙찰률","")))))</f>
        <v/>
      </c>
      <c r="R155" s="20">
        <f>IF($B155="","",IF(N($O155)=0,0,IF(OR($L155="감소",AND($L155="증가",$M155&lt;&gt;"Y")),IF(N($G155)=0,0,ROUND(N(내역서!$G155)*$O155/$G155,0)),IF(N($J155)=0,0,ROUND(N(내역서!$O155)*$O155/$J155,0)))))</f>
        <v/>
      </c>
      <c r="S155" s="20">
        <f>IF($B155="","",IF(N($O155)=0,0,IF(OR($L155="감소",AND($L155="증가",$M155&lt;&gt;"Y")),IF(N($G155)=0,0,ROUND(N(내역서!$H155)*$O155/$G155,0)),IF(N($J155)=0,0,ROUND(N(내역서!$P155)*$O155/$J155,0)))))</f>
        <v/>
      </c>
      <c r="T155" s="20">
        <f>IF($B155="","",N($O155)-N($R155)-N($S155))</f>
        <v/>
      </c>
      <c r="U155" s="20">
        <f>IF($B155="","",ROUND(N($K155)*N($R155),0))</f>
        <v/>
      </c>
      <c r="V155" s="20">
        <f>IF($B155="","",ROUND(N($K155)*N($S155),0))</f>
        <v/>
      </c>
      <c r="W155" s="20">
        <f>IF($B155="","",N($P155)-N($U155)-N($V155))</f>
        <v/>
      </c>
    </row>
    <row r="156">
      <c r="A156" s="18">
        <f>IF($B156="","",ROW()-4+1)</f>
        <v/>
      </c>
      <c r="B156" s="18">
        <f>내역서!$B156</f>
        <v/>
      </c>
      <c r="C156" s="18">
        <f>IF($B156="","",내역서!$C156)</f>
        <v/>
      </c>
      <c r="D156" s="18">
        <f>IF($B156="","",내역서!$D156)</f>
        <v/>
      </c>
      <c r="E156" s="18">
        <f>IF($B156="","",내역서!$E156)</f>
        <v/>
      </c>
      <c r="F156" s="19">
        <f>IF($B156="","",N(내역서!$F156))</f>
        <v/>
      </c>
      <c r="G156" s="20">
        <f>IF($B156="","",N(내역서!$J156))</f>
        <v/>
      </c>
      <c r="H156" s="20">
        <f>IF($B156="","",N(내역서!$K156))</f>
        <v/>
      </c>
      <c r="I156" s="19">
        <f>IF($B156="","",N(내역서!$N156))</f>
        <v/>
      </c>
      <c r="J156" s="20">
        <f>IF($B156="","",N(내역서!$R156))</f>
        <v/>
      </c>
      <c r="K156" s="19">
        <f>IF($B156="","",N($I156)-N($F156))</f>
        <v/>
      </c>
      <c r="L156" s="21">
        <f>IF($B156="","",IF(N(내역서!$F156)=0,"신규",IF($K156&lt;0,"감소",IF($K156&gt;0,"증가","-"))))</f>
        <v/>
      </c>
      <c r="M156" s="22" t="n"/>
      <c r="N156" s="23" t="n"/>
      <c r="O156" s="24">
        <f>IF($B156="","",IF($L156="감소",$G156,IF($L156="증가",IF($M156="Y",ROUND(($J156+$J156*('설정'!$C$15/100))/2,0),IF(AND($N156&lt;&gt;"",$G156&gt;$N156),$N156,$G156)),IF($L156="신규",IF($M156="Y",ROUND(($J156+$J156*('설정'!$C$15/100))/2,0),ROUND($J156*('설정'!$C$15/100),0)),0))))</f>
        <v/>
      </c>
      <c r="P156" s="24">
        <f>IF($B156="","",ROUND(N($K156)*N($O156),0))</f>
        <v/>
      </c>
      <c r="Q156" s="25">
        <f>IF($B156="","",IF($L156="감소","감소분 → 계약단가",IF(AND($M156="Y",OR($L156="증가",$L156="신규")),"발주기관 요구 → 협의 (불성립 시 (당시단가+당시단가×낙찰률)÷2)",IF($L156="증가",IF(AND($N156&lt;&gt;"",$G156&gt;$N156),"증가분 → 계약단가&gt;예정가격단가 이므로 예정가격단가","증가분 → 계약단가 (낙찰률을 곱하지 않습니다)"),IF($L156="신규","신규비목 → 당시단가 × 낙찰률","")))))</f>
        <v/>
      </c>
      <c r="R156" s="20">
        <f>IF($B156="","",IF(N($O156)=0,0,IF(OR($L156="감소",AND($L156="증가",$M156&lt;&gt;"Y")),IF(N($G156)=0,0,ROUND(N(내역서!$G156)*$O156/$G156,0)),IF(N($J156)=0,0,ROUND(N(내역서!$O156)*$O156/$J156,0)))))</f>
        <v/>
      </c>
      <c r="S156" s="20">
        <f>IF($B156="","",IF(N($O156)=0,0,IF(OR($L156="감소",AND($L156="증가",$M156&lt;&gt;"Y")),IF(N($G156)=0,0,ROUND(N(내역서!$H156)*$O156/$G156,0)),IF(N($J156)=0,0,ROUND(N(내역서!$P156)*$O156/$J156,0)))))</f>
        <v/>
      </c>
      <c r="T156" s="20">
        <f>IF($B156="","",N($O156)-N($R156)-N($S156))</f>
        <v/>
      </c>
      <c r="U156" s="20">
        <f>IF($B156="","",ROUND(N($K156)*N($R156),0))</f>
        <v/>
      </c>
      <c r="V156" s="20">
        <f>IF($B156="","",ROUND(N($K156)*N($S156),0))</f>
        <v/>
      </c>
      <c r="W156" s="20">
        <f>IF($B156="","",N($P156)-N($U156)-N($V156))</f>
        <v/>
      </c>
    </row>
    <row r="157">
      <c r="A157" s="18">
        <f>IF($B157="","",ROW()-4+1)</f>
        <v/>
      </c>
      <c r="B157" s="18">
        <f>내역서!$B157</f>
        <v/>
      </c>
      <c r="C157" s="18">
        <f>IF($B157="","",내역서!$C157)</f>
        <v/>
      </c>
      <c r="D157" s="18">
        <f>IF($B157="","",내역서!$D157)</f>
        <v/>
      </c>
      <c r="E157" s="18">
        <f>IF($B157="","",내역서!$E157)</f>
        <v/>
      </c>
      <c r="F157" s="19">
        <f>IF($B157="","",N(내역서!$F157))</f>
        <v/>
      </c>
      <c r="G157" s="20">
        <f>IF($B157="","",N(내역서!$J157))</f>
        <v/>
      </c>
      <c r="H157" s="20">
        <f>IF($B157="","",N(내역서!$K157))</f>
        <v/>
      </c>
      <c r="I157" s="19">
        <f>IF($B157="","",N(내역서!$N157))</f>
        <v/>
      </c>
      <c r="J157" s="20">
        <f>IF($B157="","",N(내역서!$R157))</f>
        <v/>
      </c>
      <c r="K157" s="19">
        <f>IF($B157="","",N($I157)-N($F157))</f>
        <v/>
      </c>
      <c r="L157" s="21">
        <f>IF($B157="","",IF(N(내역서!$F157)=0,"신규",IF($K157&lt;0,"감소",IF($K157&gt;0,"증가","-"))))</f>
        <v/>
      </c>
      <c r="M157" s="22" t="n"/>
      <c r="N157" s="23" t="n"/>
      <c r="O157" s="24">
        <f>IF($B157="","",IF($L157="감소",$G157,IF($L157="증가",IF($M157="Y",ROUND(($J157+$J157*('설정'!$C$15/100))/2,0),IF(AND($N157&lt;&gt;"",$G157&gt;$N157),$N157,$G157)),IF($L157="신규",IF($M157="Y",ROUND(($J157+$J157*('설정'!$C$15/100))/2,0),ROUND($J157*('설정'!$C$15/100),0)),0))))</f>
        <v/>
      </c>
      <c r="P157" s="24">
        <f>IF($B157="","",ROUND(N($K157)*N($O157),0))</f>
        <v/>
      </c>
      <c r="Q157" s="25">
        <f>IF($B157="","",IF($L157="감소","감소분 → 계약단가",IF(AND($M157="Y",OR($L157="증가",$L157="신규")),"발주기관 요구 → 협의 (불성립 시 (당시단가+당시단가×낙찰률)÷2)",IF($L157="증가",IF(AND($N157&lt;&gt;"",$G157&gt;$N157),"증가분 → 계약단가&gt;예정가격단가 이므로 예정가격단가","증가분 → 계약단가 (낙찰률을 곱하지 않습니다)"),IF($L157="신규","신규비목 → 당시단가 × 낙찰률","")))))</f>
        <v/>
      </c>
      <c r="R157" s="20">
        <f>IF($B157="","",IF(N($O157)=0,0,IF(OR($L157="감소",AND($L157="증가",$M157&lt;&gt;"Y")),IF(N($G157)=0,0,ROUND(N(내역서!$G157)*$O157/$G157,0)),IF(N($J157)=0,0,ROUND(N(내역서!$O157)*$O157/$J157,0)))))</f>
        <v/>
      </c>
      <c r="S157" s="20">
        <f>IF($B157="","",IF(N($O157)=0,0,IF(OR($L157="감소",AND($L157="증가",$M157&lt;&gt;"Y")),IF(N($G157)=0,0,ROUND(N(내역서!$H157)*$O157/$G157,0)),IF(N($J157)=0,0,ROUND(N(내역서!$P157)*$O157/$J157,0)))))</f>
        <v/>
      </c>
      <c r="T157" s="20">
        <f>IF($B157="","",N($O157)-N($R157)-N($S157))</f>
        <v/>
      </c>
      <c r="U157" s="20">
        <f>IF($B157="","",ROUND(N($K157)*N($R157),0))</f>
        <v/>
      </c>
      <c r="V157" s="20">
        <f>IF($B157="","",ROUND(N($K157)*N($S157),0))</f>
        <v/>
      </c>
      <c r="W157" s="20">
        <f>IF($B157="","",N($P157)-N($U157)-N($V157))</f>
        <v/>
      </c>
    </row>
    <row r="158">
      <c r="A158" s="18">
        <f>IF($B158="","",ROW()-4+1)</f>
        <v/>
      </c>
      <c r="B158" s="18">
        <f>내역서!$B158</f>
        <v/>
      </c>
      <c r="C158" s="18">
        <f>IF($B158="","",내역서!$C158)</f>
        <v/>
      </c>
      <c r="D158" s="18">
        <f>IF($B158="","",내역서!$D158)</f>
        <v/>
      </c>
      <c r="E158" s="18">
        <f>IF($B158="","",내역서!$E158)</f>
        <v/>
      </c>
      <c r="F158" s="19">
        <f>IF($B158="","",N(내역서!$F158))</f>
        <v/>
      </c>
      <c r="G158" s="20">
        <f>IF($B158="","",N(내역서!$J158))</f>
        <v/>
      </c>
      <c r="H158" s="20">
        <f>IF($B158="","",N(내역서!$K158))</f>
        <v/>
      </c>
      <c r="I158" s="19">
        <f>IF($B158="","",N(내역서!$N158))</f>
        <v/>
      </c>
      <c r="J158" s="20">
        <f>IF($B158="","",N(내역서!$R158))</f>
        <v/>
      </c>
      <c r="K158" s="19">
        <f>IF($B158="","",N($I158)-N($F158))</f>
        <v/>
      </c>
      <c r="L158" s="21">
        <f>IF($B158="","",IF(N(내역서!$F158)=0,"신규",IF($K158&lt;0,"감소",IF($K158&gt;0,"증가","-"))))</f>
        <v/>
      </c>
      <c r="M158" s="22" t="n"/>
      <c r="N158" s="23" t="n"/>
      <c r="O158" s="24">
        <f>IF($B158="","",IF($L158="감소",$G158,IF($L158="증가",IF($M158="Y",ROUND(($J158+$J158*('설정'!$C$15/100))/2,0),IF(AND($N158&lt;&gt;"",$G158&gt;$N158),$N158,$G158)),IF($L158="신규",IF($M158="Y",ROUND(($J158+$J158*('설정'!$C$15/100))/2,0),ROUND($J158*('설정'!$C$15/100),0)),0))))</f>
        <v/>
      </c>
      <c r="P158" s="24">
        <f>IF($B158="","",ROUND(N($K158)*N($O158),0))</f>
        <v/>
      </c>
      <c r="Q158" s="25">
        <f>IF($B158="","",IF($L158="감소","감소분 → 계약단가",IF(AND($M158="Y",OR($L158="증가",$L158="신규")),"발주기관 요구 → 협의 (불성립 시 (당시단가+당시단가×낙찰률)÷2)",IF($L158="증가",IF(AND($N158&lt;&gt;"",$G158&gt;$N158),"증가분 → 계약단가&gt;예정가격단가 이므로 예정가격단가","증가분 → 계약단가 (낙찰률을 곱하지 않습니다)"),IF($L158="신규","신규비목 → 당시단가 × 낙찰률","")))))</f>
        <v/>
      </c>
      <c r="R158" s="20">
        <f>IF($B158="","",IF(N($O158)=0,0,IF(OR($L158="감소",AND($L158="증가",$M158&lt;&gt;"Y")),IF(N($G158)=0,0,ROUND(N(내역서!$G158)*$O158/$G158,0)),IF(N($J158)=0,0,ROUND(N(내역서!$O158)*$O158/$J158,0)))))</f>
        <v/>
      </c>
      <c r="S158" s="20">
        <f>IF($B158="","",IF(N($O158)=0,0,IF(OR($L158="감소",AND($L158="증가",$M158&lt;&gt;"Y")),IF(N($G158)=0,0,ROUND(N(내역서!$H158)*$O158/$G158,0)),IF(N($J158)=0,0,ROUND(N(내역서!$P158)*$O158/$J158,0)))))</f>
        <v/>
      </c>
      <c r="T158" s="20">
        <f>IF($B158="","",N($O158)-N($R158)-N($S158))</f>
        <v/>
      </c>
      <c r="U158" s="20">
        <f>IF($B158="","",ROUND(N($K158)*N($R158),0))</f>
        <v/>
      </c>
      <c r="V158" s="20">
        <f>IF($B158="","",ROUND(N($K158)*N($S158),0))</f>
        <v/>
      </c>
      <c r="W158" s="20">
        <f>IF($B158="","",N($P158)-N($U158)-N($V158))</f>
        <v/>
      </c>
    </row>
    <row r="159">
      <c r="A159" s="18">
        <f>IF($B159="","",ROW()-4+1)</f>
        <v/>
      </c>
      <c r="B159" s="18">
        <f>내역서!$B159</f>
        <v/>
      </c>
      <c r="C159" s="18">
        <f>IF($B159="","",내역서!$C159)</f>
        <v/>
      </c>
      <c r="D159" s="18">
        <f>IF($B159="","",내역서!$D159)</f>
        <v/>
      </c>
      <c r="E159" s="18">
        <f>IF($B159="","",내역서!$E159)</f>
        <v/>
      </c>
      <c r="F159" s="19">
        <f>IF($B159="","",N(내역서!$F159))</f>
        <v/>
      </c>
      <c r="G159" s="20">
        <f>IF($B159="","",N(내역서!$J159))</f>
        <v/>
      </c>
      <c r="H159" s="20">
        <f>IF($B159="","",N(내역서!$K159))</f>
        <v/>
      </c>
      <c r="I159" s="19">
        <f>IF($B159="","",N(내역서!$N159))</f>
        <v/>
      </c>
      <c r="J159" s="20">
        <f>IF($B159="","",N(내역서!$R159))</f>
        <v/>
      </c>
      <c r="K159" s="19">
        <f>IF($B159="","",N($I159)-N($F159))</f>
        <v/>
      </c>
      <c r="L159" s="21">
        <f>IF($B159="","",IF(N(내역서!$F159)=0,"신규",IF($K159&lt;0,"감소",IF($K159&gt;0,"증가","-"))))</f>
        <v/>
      </c>
      <c r="M159" s="22" t="n"/>
      <c r="N159" s="23" t="n"/>
      <c r="O159" s="24">
        <f>IF($B159="","",IF($L159="감소",$G159,IF($L159="증가",IF($M159="Y",ROUND(($J159+$J159*('설정'!$C$15/100))/2,0),IF(AND($N159&lt;&gt;"",$G159&gt;$N159),$N159,$G159)),IF($L159="신규",IF($M159="Y",ROUND(($J159+$J159*('설정'!$C$15/100))/2,0),ROUND($J159*('설정'!$C$15/100),0)),0))))</f>
        <v/>
      </c>
      <c r="P159" s="24">
        <f>IF($B159="","",ROUND(N($K159)*N($O159),0))</f>
        <v/>
      </c>
      <c r="Q159" s="25">
        <f>IF($B159="","",IF($L159="감소","감소분 → 계약단가",IF(AND($M159="Y",OR($L159="증가",$L159="신규")),"발주기관 요구 → 협의 (불성립 시 (당시단가+당시단가×낙찰률)÷2)",IF($L159="증가",IF(AND($N159&lt;&gt;"",$G159&gt;$N159),"증가분 → 계약단가&gt;예정가격단가 이므로 예정가격단가","증가분 → 계약단가 (낙찰률을 곱하지 않습니다)"),IF($L159="신규","신규비목 → 당시단가 × 낙찰률","")))))</f>
        <v/>
      </c>
      <c r="R159" s="20">
        <f>IF($B159="","",IF(N($O159)=0,0,IF(OR($L159="감소",AND($L159="증가",$M159&lt;&gt;"Y")),IF(N($G159)=0,0,ROUND(N(내역서!$G159)*$O159/$G159,0)),IF(N($J159)=0,0,ROUND(N(내역서!$O159)*$O159/$J159,0)))))</f>
        <v/>
      </c>
      <c r="S159" s="20">
        <f>IF($B159="","",IF(N($O159)=0,0,IF(OR($L159="감소",AND($L159="증가",$M159&lt;&gt;"Y")),IF(N($G159)=0,0,ROUND(N(내역서!$H159)*$O159/$G159,0)),IF(N($J159)=0,0,ROUND(N(내역서!$P159)*$O159/$J159,0)))))</f>
        <v/>
      </c>
      <c r="T159" s="20">
        <f>IF($B159="","",N($O159)-N($R159)-N($S159))</f>
        <v/>
      </c>
      <c r="U159" s="20">
        <f>IF($B159="","",ROUND(N($K159)*N($R159),0))</f>
        <v/>
      </c>
      <c r="V159" s="20">
        <f>IF($B159="","",ROUND(N($K159)*N($S159),0))</f>
        <v/>
      </c>
      <c r="W159" s="20">
        <f>IF($B159="","",N($P159)-N($U159)-N($V159))</f>
        <v/>
      </c>
    </row>
    <row r="160">
      <c r="A160" s="18">
        <f>IF($B160="","",ROW()-4+1)</f>
        <v/>
      </c>
      <c r="B160" s="18">
        <f>내역서!$B160</f>
        <v/>
      </c>
      <c r="C160" s="18">
        <f>IF($B160="","",내역서!$C160)</f>
        <v/>
      </c>
      <c r="D160" s="18">
        <f>IF($B160="","",내역서!$D160)</f>
        <v/>
      </c>
      <c r="E160" s="18">
        <f>IF($B160="","",내역서!$E160)</f>
        <v/>
      </c>
      <c r="F160" s="19">
        <f>IF($B160="","",N(내역서!$F160))</f>
        <v/>
      </c>
      <c r="G160" s="20">
        <f>IF($B160="","",N(내역서!$J160))</f>
        <v/>
      </c>
      <c r="H160" s="20">
        <f>IF($B160="","",N(내역서!$K160))</f>
        <v/>
      </c>
      <c r="I160" s="19">
        <f>IF($B160="","",N(내역서!$N160))</f>
        <v/>
      </c>
      <c r="J160" s="20">
        <f>IF($B160="","",N(내역서!$R160))</f>
        <v/>
      </c>
      <c r="K160" s="19">
        <f>IF($B160="","",N($I160)-N($F160))</f>
        <v/>
      </c>
      <c r="L160" s="21">
        <f>IF($B160="","",IF(N(내역서!$F160)=0,"신규",IF($K160&lt;0,"감소",IF($K160&gt;0,"증가","-"))))</f>
        <v/>
      </c>
      <c r="M160" s="22" t="n"/>
      <c r="N160" s="23" t="n"/>
      <c r="O160" s="24">
        <f>IF($B160="","",IF($L160="감소",$G160,IF($L160="증가",IF($M160="Y",ROUND(($J160+$J160*('설정'!$C$15/100))/2,0),IF(AND($N160&lt;&gt;"",$G160&gt;$N160),$N160,$G160)),IF($L160="신규",IF($M160="Y",ROUND(($J160+$J160*('설정'!$C$15/100))/2,0),ROUND($J160*('설정'!$C$15/100),0)),0))))</f>
        <v/>
      </c>
      <c r="P160" s="24">
        <f>IF($B160="","",ROUND(N($K160)*N($O160),0))</f>
        <v/>
      </c>
      <c r="Q160" s="25">
        <f>IF($B160="","",IF($L160="감소","감소분 → 계약단가",IF(AND($M160="Y",OR($L160="증가",$L160="신규")),"발주기관 요구 → 협의 (불성립 시 (당시단가+당시단가×낙찰률)÷2)",IF($L160="증가",IF(AND($N160&lt;&gt;"",$G160&gt;$N160),"증가분 → 계약단가&gt;예정가격단가 이므로 예정가격단가","증가분 → 계약단가 (낙찰률을 곱하지 않습니다)"),IF($L160="신규","신규비목 → 당시단가 × 낙찰률","")))))</f>
        <v/>
      </c>
      <c r="R160" s="20">
        <f>IF($B160="","",IF(N($O160)=0,0,IF(OR($L160="감소",AND($L160="증가",$M160&lt;&gt;"Y")),IF(N($G160)=0,0,ROUND(N(내역서!$G160)*$O160/$G160,0)),IF(N($J160)=0,0,ROUND(N(내역서!$O160)*$O160/$J160,0)))))</f>
        <v/>
      </c>
      <c r="S160" s="20">
        <f>IF($B160="","",IF(N($O160)=0,0,IF(OR($L160="감소",AND($L160="증가",$M160&lt;&gt;"Y")),IF(N($G160)=0,0,ROUND(N(내역서!$H160)*$O160/$G160,0)),IF(N($J160)=0,0,ROUND(N(내역서!$P160)*$O160/$J160,0)))))</f>
        <v/>
      </c>
      <c r="T160" s="20">
        <f>IF($B160="","",N($O160)-N($R160)-N($S160))</f>
        <v/>
      </c>
      <c r="U160" s="20">
        <f>IF($B160="","",ROUND(N($K160)*N($R160),0))</f>
        <v/>
      </c>
      <c r="V160" s="20">
        <f>IF($B160="","",ROUND(N($K160)*N($S160),0))</f>
        <v/>
      </c>
      <c r="W160" s="20">
        <f>IF($B160="","",N($P160)-N($U160)-N($V160))</f>
        <v/>
      </c>
    </row>
    <row r="161">
      <c r="A161" s="18">
        <f>IF($B161="","",ROW()-4+1)</f>
        <v/>
      </c>
      <c r="B161" s="18">
        <f>내역서!$B161</f>
        <v/>
      </c>
      <c r="C161" s="18">
        <f>IF($B161="","",내역서!$C161)</f>
        <v/>
      </c>
      <c r="D161" s="18">
        <f>IF($B161="","",내역서!$D161)</f>
        <v/>
      </c>
      <c r="E161" s="18">
        <f>IF($B161="","",내역서!$E161)</f>
        <v/>
      </c>
      <c r="F161" s="19">
        <f>IF($B161="","",N(내역서!$F161))</f>
        <v/>
      </c>
      <c r="G161" s="20">
        <f>IF($B161="","",N(내역서!$J161))</f>
        <v/>
      </c>
      <c r="H161" s="20">
        <f>IF($B161="","",N(내역서!$K161))</f>
        <v/>
      </c>
      <c r="I161" s="19">
        <f>IF($B161="","",N(내역서!$N161))</f>
        <v/>
      </c>
      <c r="J161" s="20">
        <f>IF($B161="","",N(내역서!$R161))</f>
        <v/>
      </c>
      <c r="K161" s="19">
        <f>IF($B161="","",N($I161)-N($F161))</f>
        <v/>
      </c>
      <c r="L161" s="21">
        <f>IF($B161="","",IF(N(내역서!$F161)=0,"신규",IF($K161&lt;0,"감소",IF($K161&gt;0,"증가","-"))))</f>
        <v/>
      </c>
      <c r="M161" s="22" t="n"/>
      <c r="N161" s="23" t="n"/>
      <c r="O161" s="24">
        <f>IF($B161="","",IF($L161="감소",$G161,IF($L161="증가",IF($M161="Y",ROUND(($J161+$J161*('설정'!$C$15/100))/2,0),IF(AND($N161&lt;&gt;"",$G161&gt;$N161),$N161,$G161)),IF($L161="신규",IF($M161="Y",ROUND(($J161+$J161*('설정'!$C$15/100))/2,0),ROUND($J161*('설정'!$C$15/100),0)),0))))</f>
        <v/>
      </c>
      <c r="P161" s="24">
        <f>IF($B161="","",ROUND(N($K161)*N($O161),0))</f>
        <v/>
      </c>
      <c r="Q161" s="25">
        <f>IF($B161="","",IF($L161="감소","감소분 → 계약단가",IF(AND($M161="Y",OR($L161="증가",$L161="신규")),"발주기관 요구 → 협의 (불성립 시 (당시단가+당시단가×낙찰률)÷2)",IF($L161="증가",IF(AND($N161&lt;&gt;"",$G161&gt;$N161),"증가분 → 계약단가&gt;예정가격단가 이므로 예정가격단가","증가분 → 계약단가 (낙찰률을 곱하지 않습니다)"),IF($L161="신규","신규비목 → 당시단가 × 낙찰률","")))))</f>
        <v/>
      </c>
      <c r="R161" s="20">
        <f>IF($B161="","",IF(N($O161)=0,0,IF(OR($L161="감소",AND($L161="증가",$M161&lt;&gt;"Y")),IF(N($G161)=0,0,ROUND(N(내역서!$G161)*$O161/$G161,0)),IF(N($J161)=0,0,ROUND(N(내역서!$O161)*$O161/$J161,0)))))</f>
        <v/>
      </c>
      <c r="S161" s="20">
        <f>IF($B161="","",IF(N($O161)=0,0,IF(OR($L161="감소",AND($L161="증가",$M161&lt;&gt;"Y")),IF(N($G161)=0,0,ROUND(N(내역서!$H161)*$O161/$G161,0)),IF(N($J161)=0,0,ROUND(N(내역서!$P161)*$O161/$J161,0)))))</f>
        <v/>
      </c>
      <c r="T161" s="20">
        <f>IF($B161="","",N($O161)-N($R161)-N($S161))</f>
        <v/>
      </c>
      <c r="U161" s="20">
        <f>IF($B161="","",ROUND(N($K161)*N($R161),0))</f>
        <v/>
      </c>
      <c r="V161" s="20">
        <f>IF($B161="","",ROUND(N($K161)*N($S161),0))</f>
        <v/>
      </c>
      <c r="W161" s="20">
        <f>IF($B161="","",N($P161)-N($U161)-N($V161))</f>
        <v/>
      </c>
    </row>
    <row r="162">
      <c r="A162" s="18">
        <f>IF($B162="","",ROW()-4+1)</f>
        <v/>
      </c>
      <c r="B162" s="18">
        <f>내역서!$B162</f>
        <v/>
      </c>
      <c r="C162" s="18">
        <f>IF($B162="","",내역서!$C162)</f>
        <v/>
      </c>
      <c r="D162" s="18">
        <f>IF($B162="","",내역서!$D162)</f>
        <v/>
      </c>
      <c r="E162" s="18">
        <f>IF($B162="","",내역서!$E162)</f>
        <v/>
      </c>
      <c r="F162" s="19">
        <f>IF($B162="","",N(내역서!$F162))</f>
        <v/>
      </c>
      <c r="G162" s="20">
        <f>IF($B162="","",N(내역서!$J162))</f>
        <v/>
      </c>
      <c r="H162" s="20">
        <f>IF($B162="","",N(내역서!$K162))</f>
        <v/>
      </c>
      <c r="I162" s="19">
        <f>IF($B162="","",N(내역서!$N162))</f>
        <v/>
      </c>
      <c r="J162" s="20">
        <f>IF($B162="","",N(내역서!$R162))</f>
        <v/>
      </c>
      <c r="K162" s="19">
        <f>IF($B162="","",N($I162)-N($F162))</f>
        <v/>
      </c>
      <c r="L162" s="21">
        <f>IF($B162="","",IF(N(내역서!$F162)=0,"신규",IF($K162&lt;0,"감소",IF($K162&gt;0,"증가","-"))))</f>
        <v/>
      </c>
      <c r="M162" s="22" t="n"/>
      <c r="N162" s="23" t="n"/>
      <c r="O162" s="24">
        <f>IF($B162="","",IF($L162="감소",$G162,IF($L162="증가",IF($M162="Y",ROUND(($J162+$J162*('설정'!$C$15/100))/2,0),IF(AND($N162&lt;&gt;"",$G162&gt;$N162),$N162,$G162)),IF($L162="신규",IF($M162="Y",ROUND(($J162+$J162*('설정'!$C$15/100))/2,0),ROUND($J162*('설정'!$C$15/100),0)),0))))</f>
        <v/>
      </c>
      <c r="P162" s="24">
        <f>IF($B162="","",ROUND(N($K162)*N($O162),0))</f>
        <v/>
      </c>
      <c r="Q162" s="25">
        <f>IF($B162="","",IF($L162="감소","감소분 → 계약단가",IF(AND($M162="Y",OR($L162="증가",$L162="신규")),"발주기관 요구 → 협의 (불성립 시 (당시단가+당시단가×낙찰률)÷2)",IF($L162="증가",IF(AND($N162&lt;&gt;"",$G162&gt;$N162),"증가분 → 계약단가&gt;예정가격단가 이므로 예정가격단가","증가분 → 계약단가 (낙찰률을 곱하지 않습니다)"),IF($L162="신규","신규비목 → 당시단가 × 낙찰률","")))))</f>
        <v/>
      </c>
      <c r="R162" s="20">
        <f>IF($B162="","",IF(N($O162)=0,0,IF(OR($L162="감소",AND($L162="증가",$M162&lt;&gt;"Y")),IF(N($G162)=0,0,ROUND(N(내역서!$G162)*$O162/$G162,0)),IF(N($J162)=0,0,ROUND(N(내역서!$O162)*$O162/$J162,0)))))</f>
        <v/>
      </c>
      <c r="S162" s="20">
        <f>IF($B162="","",IF(N($O162)=0,0,IF(OR($L162="감소",AND($L162="증가",$M162&lt;&gt;"Y")),IF(N($G162)=0,0,ROUND(N(내역서!$H162)*$O162/$G162,0)),IF(N($J162)=0,0,ROUND(N(내역서!$P162)*$O162/$J162,0)))))</f>
        <v/>
      </c>
      <c r="T162" s="20">
        <f>IF($B162="","",N($O162)-N($R162)-N($S162))</f>
        <v/>
      </c>
      <c r="U162" s="20">
        <f>IF($B162="","",ROUND(N($K162)*N($R162),0))</f>
        <v/>
      </c>
      <c r="V162" s="20">
        <f>IF($B162="","",ROUND(N($K162)*N($S162),0))</f>
        <v/>
      </c>
      <c r="W162" s="20">
        <f>IF($B162="","",N($P162)-N($U162)-N($V162))</f>
        <v/>
      </c>
    </row>
    <row r="163">
      <c r="A163" s="18">
        <f>IF($B163="","",ROW()-4+1)</f>
        <v/>
      </c>
      <c r="B163" s="18">
        <f>내역서!$B163</f>
        <v/>
      </c>
      <c r="C163" s="18">
        <f>IF($B163="","",내역서!$C163)</f>
        <v/>
      </c>
      <c r="D163" s="18">
        <f>IF($B163="","",내역서!$D163)</f>
        <v/>
      </c>
      <c r="E163" s="18">
        <f>IF($B163="","",내역서!$E163)</f>
        <v/>
      </c>
      <c r="F163" s="19">
        <f>IF($B163="","",N(내역서!$F163))</f>
        <v/>
      </c>
      <c r="G163" s="20">
        <f>IF($B163="","",N(내역서!$J163))</f>
        <v/>
      </c>
      <c r="H163" s="20">
        <f>IF($B163="","",N(내역서!$K163))</f>
        <v/>
      </c>
      <c r="I163" s="19">
        <f>IF($B163="","",N(내역서!$N163))</f>
        <v/>
      </c>
      <c r="J163" s="20">
        <f>IF($B163="","",N(내역서!$R163))</f>
        <v/>
      </c>
      <c r="K163" s="19">
        <f>IF($B163="","",N($I163)-N($F163))</f>
        <v/>
      </c>
      <c r="L163" s="21">
        <f>IF($B163="","",IF(N(내역서!$F163)=0,"신규",IF($K163&lt;0,"감소",IF($K163&gt;0,"증가","-"))))</f>
        <v/>
      </c>
      <c r="M163" s="22" t="n"/>
      <c r="N163" s="23" t="n"/>
      <c r="O163" s="24">
        <f>IF($B163="","",IF($L163="감소",$G163,IF($L163="증가",IF($M163="Y",ROUND(($J163+$J163*('설정'!$C$15/100))/2,0),IF(AND($N163&lt;&gt;"",$G163&gt;$N163),$N163,$G163)),IF($L163="신규",IF($M163="Y",ROUND(($J163+$J163*('설정'!$C$15/100))/2,0),ROUND($J163*('설정'!$C$15/100),0)),0))))</f>
        <v/>
      </c>
      <c r="P163" s="24">
        <f>IF($B163="","",ROUND(N($K163)*N($O163),0))</f>
        <v/>
      </c>
      <c r="Q163" s="25">
        <f>IF($B163="","",IF($L163="감소","감소분 → 계약단가",IF(AND($M163="Y",OR($L163="증가",$L163="신규")),"발주기관 요구 → 협의 (불성립 시 (당시단가+당시단가×낙찰률)÷2)",IF($L163="증가",IF(AND($N163&lt;&gt;"",$G163&gt;$N163),"증가분 → 계약단가&gt;예정가격단가 이므로 예정가격단가","증가분 → 계약단가 (낙찰률을 곱하지 않습니다)"),IF($L163="신규","신규비목 → 당시단가 × 낙찰률","")))))</f>
        <v/>
      </c>
      <c r="R163" s="20">
        <f>IF($B163="","",IF(N($O163)=0,0,IF(OR($L163="감소",AND($L163="증가",$M163&lt;&gt;"Y")),IF(N($G163)=0,0,ROUND(N(내역서!$G163)*$O163/$G163,0)),IF(N($J163)=0,0,ROUND(N(내역서!$O163)*$O163/$J163,0)))))</f>
        <v/>
      </c>
      <c r="S163" s="20">
        <f>IF($B163="","",IF(N($O163)=0,0,IF(OR($L163="감소",AND($L163="증가",$M163&lt;&gt;"Y")),IF(N($G163)=0,0,ROUND(N(내역서!$H163)*$O163/$G163,0)),IF(N($J163)=0,0,ROUND(N(내역서!$P163)*$O163/$J163,0)))))</f>
        <v/>
      </c>
      <c r="T163" s="20">
        <f>IF($B163="","",N($O163)-N($R163)-N($S163))</f>
        <v/>
      </c>
      <c r="U163" s="20">
        <f>IF($B163="","",ROUND(N($K163)*N($R163),0))</f>
        <v/>
      </c>
      <c r="V163" s="20">
        <f>IF($B163="","",ROUND(N($K163)*N($S163),0))</f>
        <v/>
      </c>
      <c r="W163" s="20">
        <f>IF($B163="","",N($P163)-N($U163)-N($V163))</f>
        <v/>
      </c>
    </row>
    <row r="164">
      <c r="A164" s="18">
        <f>IF($B164="","",ROW()-4+1)</f>
        <v/>
      </c>
      <c r="B164" s="18">
        <f>내역서!$B164</f>
        <v/>
      </c>
      <c r="C164" s="18">
        <f>IF($B164="","",내역서!$C164)</f>
        <v/>
      </c>
      <c r="D164" s="18">
        <f>IF($B164="","",내역서!$D164)</f>
        <v/>
      </c>
      <c r="E164" s="18">
        <f>IF($B164="","",내역서!$E164)</f>
        <v/>
      </c>
      <c r="F164" s="19">
        <f>IF($B164="","",N(내역서!$F164))</f>
        <v/>
      </c>
      <c r="G164" s="20">
        <f>IF($B164="","",N(내역서!$J164))</f>
        <v/>
      </c>
      <c r="H164" s="20">
        <f>IF($B164="","",N(내역서!$K164))</f>
        <v/>
      </c>
      <c r="I164" s="19">
        <f>IF($B164="","",N(내역서!$N164))</f>
        <v/>
      </c>
      <c r="J164" s="20">
        <f>IF($B164="","",N(내역서!$R164))</f>
        <v/>
      </c>
      <c r="K164" s="19">
        <f>IF($B164="","",N($I164)-N($F164))</f>
        <v/>
      </c>
      <c r="L164" s="21">
        <f>IF($B164="","",IF(N(내역서!$F164)=0,"신규",IF($K164&lt;0,"감소",IF($K164&gt;0,"증가","-"))))</f>
        <v/>
      </c>
      <c r="M164" s="22" t="n"/>
      <c r="N164" s="23" t="n"/>
      <c r="O164" s="24">
        <f>IF($B164="","",IF($L164="감소",$G164,IF($L164="증가",IF($M164="Y",ROUND(($J164+$J164*('설정'!$C$15/100))/2,0),IF(AND($N164&lt;&gt;"",$G164&gt;$N164),$N164,$G164)),IF($L164="신규",IF($M164="Y",ROUND(($J164+$J164*('설정'!$C$15/100))/2,0),ROUND($J164*('설정'!$C$15/100),0)),0))))</f>
        <v/>
      </c>
      <c r="P164" s="24">
        <f>IF($B164="","",ROUND(N($K164)*N($O164),0))</f>
        <v/>
      </c>
      <c r="Q164" s="25">
        <f>IF($B164="","",IF($L164="감소","감소분 → 계약단가",IF(AND($M164="Y",OR($L164="증가",$L164="신규")),"발주기관 요구 → 협의 (불성립 시 (당시단가+당시단가×낙찰률)÷2)",IF($L164="증가",IF(AND($N164&lt;&gt;"",$G164&gt;$N164),"증가분 → 계약단가&gt;예정가격단가 이므로 예정가격단가","증가분 → 계약단가 (낙찰률을 곱하지 않습니다)"),IF($L164="신규","신규비목 → 당시단가 × 낙찰률","")))))</f>
        <v/>
      </c>
      <c r="R164" s="20">
        <f>IF($B164="","",IF(N($O164)=0,0,IF(OR($L164="감소",AND($L164="증가",$M164&lt;&gt;"Y")),IF(N($G164)=0,0,ROUND(N(내역서!$G164)*$O164/$G164,0)),IF(N($J164)=0,0,ROUND(N(내역서!$O164)*$O164/$J164,0)))))</f>
        <v/>
      </c>
      <c r="S164" s="20">
        <f>IF($B164="","",IF(N($O164)=0,0,IF(OR($L164="감소",AND($L164="증가",$M164&lt;&gt;"Y")),IF(N($G164)=0,0,ROUND(N(내역서!$H164)*$O164/$G164,0)),IF(N($J164)=0,0,ROUND(N(내역서!$P164)*$O164/$J164,0)))))</f>
        <v/>
      </c>
      <c r="T164" s="20">
        <f>IF($B164="","",N($O164)-N($R164)-N($S164))</f>
        <v/>
      </c>
      <c r="U164" s="20">
        <f>IF($B164="","",ROUND(N($K164)*N($R164),0))</f>
        <v/>
      </c>
      <c r="V164" s="20">
        <f>IF($B164="","",ROUND(N($K164)*N($S164),0))</f>
        <v/>
      </c>
      <c r="W164" s="20">
        <f>IF($B164="","",N($P164)-N($U164)-N($V164))</f>
        <v/>
      </c>
    </row>
    <row r="165">
      <c r="A165" s="18">
        <f>IF($B165="","",ROW()-4+1)</f>
        <v/>
      </c>
      <c r="B165" s="18">
        <f>내역서!$B165</f>
        <v/>
      </c>
      <c r="C165" s="18">
        <f>IF($B165="","",내역서!$C165)</f>
        <v/>
      </c>
      <c r="D165" s="18">
        <f>IF($B165="","",내역서!$D165)</f>
        <v/>
      </c>
      <c r="E165" s="18">
        <f>IF($B165="","",내역서!$E165)</f>
        <v/>
      </c>
      <c r="F165" s="19">
        <f>IF($B165="","",N(내역서!$F165))</f>
        <v/>
      </c>
      <c r="G165" s="20">
        <f>IF($B165="","",N(내역서!$J165))</f>
        <v/>
      </c>
      <c r="H165" s="20">
        <f>IF($B165="","",N(내역서!$K165))</f>
        <v/>
      </c>
      <c r="I165" s="19">
        <f>IF($B165="","",N(내역서!$N165))</f>
        <v/>
      </c>
      <c r="J165" s="20">
        <f>IF($B165="","",N(내역서!$R165))</f>
        <v/>
      </c>
      <c r="K165" s="19">
        <f>IF($B165="","",N($I165)-N($F165))</f>
        <v/>
      </c>
      <c r="L165" s="21">
        <f>IF($B165="","",IF(N(내역서!$F165)=0,"신규",IF($K165&lt;0,"감소",IF($K165&gt;0,"증가","-"))))</f>
        <v/>
      </c>
      <c r="M165" s="22" t="n"/>
      <c r="N165" s="23" t="n"/>
      <c r="O165" s="24">
        <f>IF($B165="","",IF($L165="감소",$G165,IF($L165="증가",IF($M165="Y",ROUND(($J165+$J165*('설정'!$C$15/100))/2,0),IF(AND($N165&lt;&gt;"",$G165&gt;$N165),$N165,$G165)),IF($L165="신규",IF($M165="Y",ROUND(($J165+$J165*('설정'!$C$15/100))/2,0),ROUND($J165*('설정'!$C$15/100),0)),0))))</f>
        <v/>
      </c>
      <c r="P165" s="24">
        <f>IF($B165="","",ROUND(N($K165)*N($O165),0))</f>
        <v/>
      </c>
      <c r="Q165" s="25">
        <f>IF($B165="","",IF($L165="감소","감소분 → 계약단가",IF(AND($M165="Y",OR($L165="증가",$L165="신규")),"발주기관 요구 → 협의 (불성립 시 (당시단가+당시단가×낙찰률)÷2)",IF($L165="증가",IF(AND($N165&lt;&gt;"",$G165&gt;$N165),"증가분 → 계약단가&gt;예정가격단가 이므로 예정가격단가","증가분 → 계약단가 (낙찰률을 곱하지 않습니다)"),IF($L165="신규","신규비목 → 당시단가 × 낙찰률","")))))</f>
        <v/>
      </c>
      <c r="R165" s="20">
        <f>IF($B165="","",IF(N($O165)=0,0,IF(OR($L165="감소",AND($L165="증가",$M165&lt;&gt;"Y")),IF(N($G165)=0,0,ROUND(N(내역서!$G165)*$O165/$G165,0)),IF(N($J165)=0,0,ROUND(N(내역서!$O165)*$O165/$J165,0)))))</f>
        <v/>
      </c>
      <c r="S165" s="20">
        <f>IF($B165="","",IF(N($O165)=0,0,IF(OR($L165="감소",AND($L165="증가",$M165&lt;&gt;"Y")),IF(N($G165)=0,0,ROUND(N(내역서!$H165)*$O165/$G165,0)),IF(N($J165)=0,0,ROUND(N(내역서!$P165)*$O165/$J165,0)))))</f>
        <v/>
      </c>
      <c r="T165" s="20">
        <f>IF($B165="","",N($O165)-N($R165)-N($S165))</f>
        <v/>
      </c>
      <c r="U165" s="20">
        <f>IF($B165="","",ROUND(N($K165)*N($R165),0))</f>
        <v/>
      </c>
      <c r="V165" s="20">
        <f>IF($B165="","",ROUND(N($K165)*N($S165),0))</f>
        <v/>
      </c>
      <c r="W165" s="20">
        <f>IF($B165="","",N($P165)-N($U165)-N($V165))</f>
        <v/>
      </c>
    </row>
    <row r="166">
      <c r="A166" s="18">
        <f>IF($B166="","",ROW()-4+1)</f>
        <v/>
      </c>
      <c r="B166" s="18">
        <f>내역서!$B166</f>
        <v/>
      </c>
      <c r="C166" s="18">
        <f>IF($B166="","",내역서!$C166)</f>
        <v/>
      </c>
      <c r="D166" s="18">
        <f>IF($B166="","",내역서!$D166)</f>
        <v/>
      </c>
      <c r="E166" s="18">
        <f>IF($B166="","",내역서!$E166)</f>
        <v/>
      </c>
      <c r="F166" s="19">
        <f>IF($B166="","",N(내역서!$F166))</f>
        <v/>
      </c>
      <c r="G166" s="20">
        <f>IF($B166="","",N(내역서!$J166))</f>
        <v/>
      </c>
      <c r="H166" s="20">
        <f>IF($B166="","",N(내역서!$K166))</f>
        <v/>
      </c>
      <c r="I166" s="19">
        <f>IF($B166="","",N(내역서!$N166))</f>
        <v/>
      </c>
      <c r="J166" s="20">
        <f>IF($B166="","",N(내역서!$R166))</f>
        <v/>
      </c>
      <c r="K166" s="19">
        <f>IF($B166="","",N($I166)-N($F166))</f>
        <v/>
      </c>
      <c r="L166" s="21">
        <f>IF($B166="","",IF(N(내역서!$F166)=0,"신규",IF($K166&lt;0,"감소",IF($K166&gt;0,"증가","-"))))</f>
        <v/>
      </c>
      <c r="M166" s="22" t="n"/>
      <c r="N166" s="23" t="n"/>
      <c r="O166" s="24">
        <f>IF($B166="","",IF($L166="감소",$G166,IF($L166="증가",IF($M166="Y",ROUND(($J166+$J166*('설정'!$C$15/100))/2,0),IF(AND($N166&lt;&gt;"",$G166&gt;$N166),$N166,$G166)),IF($L166="신규",IF($M166="Y",ROUND(($J166+$J166*('설정'!$C$15/100))/2,0),ROUND($J166*('설정'!$C$15/100),0)),0))))</f>
        <v/>
      </c>
      <c r="P166" s="24">
        <f>IF($B166="","",ROUND(N($K166)*N($O166),0))</f>
        <v/>
      </c>
      <c r="Q166" s="25">
        <f>IF($B166="","",IF($L166="감소","감소분 → 계약단가",IF(AND($M166="Y",OR($L166="증가",$L166="신규")),"발주기관 요구 → 협의 (불성립 시 (당시단가+당시단가×낙찰률)÷2)",IF($L166="증가",IF(AND($N166&lt;&gt;"",$G166&gt;$N166),"증가분 → 계약단가&gt;예정가격단가 이므로 예정가격단가","증가분 → 계약단가 (낙찰률을 곱하지 않습니다)"),IF($L166="신규","신규비목 → 당시단가 × 낙찰률","")))))</f>
        <v/>
      </c>
      <c r="R166" s="20">
        <f>IF($B166="","",IF(N($O166)=0,0,IF(OR($L166="감소",AND($L166="증가",$M166&lt;&gt;"Y")),IF(N($G166)=0,0,ROUND(N(내역서!$G166)*$O166/$G166,0)),IF(N($J166)=0,0,ROUND(N(내역서!$O166)*$O166/$J166,0)))))</f>
        <v/>
      </c>
      <c r="S166" s="20">
        <f>IF($B166="","",IF(N($O166)=0,0,IF(OR($L166="감소",AND($L166="증가",$M166&lt;&gt;"Y")),IF(N($G166)=0,0,ROUND(N(내역서!$H166)*$O166/$G166,0)),IF(N($J166)=0,0,ROUND(N(내역서!$P166)*$O166/$J166,0)))))</f>
        <v/>
      </c>
      <c r="T166" s="20">
        <f>IF($B166="","",N($O166)-N($R166)-N($S166))</f>
        <v/>
      </c>
      <c r="U166" s="20">
        <f>IF($B166="","",ROUND(N($K166)*N($R166),0))</f>
        <v/>
      </c>
      <c r="V166" s="20">
        <f>IF($B166="","",ROUND(N($K166)*N($S166),0))</f>
        <v/>
      </c>
      <c r="W166" s="20">
        <f>IF($B166="","",N($P166)-N($U166)-N($V166))</f>
        <v/>
      </c>
    </row>
    <row r="167">
      <c r="A167" s="18">
        <f>IF($B167="","",ROW()-4+1)</f>
        <v/>
      </c>
      <c r="B167" s="18">
        <f>내역서!$B167</f>
        <v/>
      </c>
      <c r="C167" s="18">
        <f>IF($B167="","",내역서!$C167)</f>
        <v/>
      </c>
      <c r="D167" s="18">
        <f>IF($B167="","",내역서!$D167)</f>
        <v/>
      </c>
      <c r="E167" s="18">
        <f>IF($B167="","",내역서!$E167)</f>
        <v/>
      </c>
      <c r="F167" s="19">
        <f>IF($B167="","",N(내역서!$F167))</f>
        <v/>
      </c>
      <c r="G167" s="20">
        <f>IF($B167="","",N(내역서!$J167))</f>
        <v/>
      </c>
      <c r="H167" s="20">
        <f>IF($B167="","",N(내역서!$K167))</f>
        <v/>
      </c>
      <c r="I167" s="19">
        <f>IF($B167="","",N(내역서!$N167))</f>
        <v/>
      </c>
      <c r="J167" s="20">
        <f>IF($B167="","",N(내역서!$R167))</f>
        <v/>
      </c>
      <c r="K167" s="19">
        <f>IF($B167="","",N($I167)-N($F167))</f>
        <v/>
      </c>
      <c r="L167" s="21">
        <f>IF($B167="","",IF(N(내역서!$F167)=0,"신규",IF($K167&lt;0,"감소",IF($K167&gt;0,"증가","-"))))</f>
        <v/>
      </c>
      <c r="M167" s="22" t="n"/>
      <c r="N167" s="23" t="n"/>
      <c r="O167" s="24">
        <f>IF($B167="","",IF($L167="감소",$G167,IF($L167="증가",IF($M167="Y",ROUND(($J167+$J167*('설정'!$C$15/100))/2,0),IF(AND($N167&lt;&gt;"",$G167&gt;$N167),$N167,$G167)),IF($L167="신규",IF($M167="Y",ROUND(($J167+$J167*('설정'!$C$15/100))/2,0),ROUND($J167*('설정'!$C$15/100),0)),0))))</f>
        <v/>
      </c>
      <c r="P167" s="24">
        <f>IF($B167="","",ROUND(N($K167)*N($O167),0))</f>
        <v/>
      </c>
      <c r="Q167" s="25">
        <f>IF($B167="","",IF($L167="감소","감소분 → 계약단가",IF(AND($M167="Y",OR($L167="증가",$L167="신규")),"발주기관 요구 → 협의 (불성립 시 (당시단가+당시단가×낙찰률)÷2)",IF($L167="증가",IF(AND($N167&lt;&gt;"",$G167&gt;$N167),"증가분 → 계약단가&gt;예정가격단가 이므로 예정가격단가","증가분 → 계약단가 (낙찰률을 곱하지 않습니다)"),IF($L167="신규","신규비목 → 당시단가 × 낙찰률","")))))</f>
        <v/>
      </c>
      <c r="R167" s="20">
        <f>IF($B167="","",IF(N($O167)=0,0,IF(OR($L167="감소",AND($L167="증가",$M167&lt;&gt;"Y")),IF(N($G167)=0,0,ROUND(N(내역서!$G167)*$O167/$G167,0)),IF(N($J167)=0,0,ROUND(N(내역서!$O167)*$O167/$J167,0)))))</f>
        <v/>
      </c>
      <c r="S167" s="20">
        <f>IF($B167="","",IF(N($O167)=0,0,IF(OR($L167="감소",AND($L167="증가",$M167&lt;&gt;"Y")),IF(N($G167)=0,0,ROUND(N(내역서!$H167)*$O167/$G167,0)),IF(N($J167)=0,0,ROUND(N(내역서!$P167)*$O167/$J167,0)))))</f>
        <v/>
      </c>
      <c r="T167" s="20">
        <f>IF($B167="","",N($O167)-N($R167)-N($S167))</f>
        <v/>
      </c>
      <c r="U167" s="20">
        <f>IF($B167="","",ROUND(N($K167)*N($R167),0))</f>
        <v/>
      </c>
      <c r="V167" s="20">
        <f>IF($B167="","",ROUND(N($K167)*N($S167),0))</f>
        <v/>
      </c>
      <c r="W167" s="20">
        <f>IF($B167="","",N($P167)-N($U167)-N($V167))</f>
        <v/>
      </c>
    </row>
    <row r="168">
      <c r="A168" s="18">
        <f>IF($B168="","",ROW()-4+1)</f>
        <v/>
      </c>
      <c r="B168" s="18">
        <f>내역서!$B168</f>
        <v/>
      </c>
      <c r="C168" s="18">
        <f>IF($B168="","",내역서!$C168)</f>
        <v/>
      </c>
      <c r="D168" s="18">
        <f>IF($B168="","",내역서!$D168)</f>
        <v/>
      </c>
      <c r="E168" s="18">
        <f>IF($B168="","",내역서!$E168)</f>
        <v/>
      </c>
      <c r="F168" s="19">
        <f>IF($B168="","",N(내역서!$F168))</f>
        <v/>
      </c>
      <c r="G168" s="20">
        <f>IF($B168="","",N(내역서!$J168))</f>
        <v/>
      </c>
      <c r="H168" s="20">
        <f>IF($B168="","",N(내역서!$K168))</f>
        <v/>
      </c>
      <c r="I168" s="19">
        <f>IF($B168="","",N(내역서!$N168))</f>
        <v/>
      </c>
      <c r="J168" s="20">
        <f>IF($B168="","",N(내역서!$R168))</f>
        <v/>
      </c>
      <c r="K168" s="19">
        <f>IF($B168="","",N($I168)-N($F168))</f>
        <v/>
      </c>
      <c r="L168" s="21">
        <f>IF($B168="","",IF(N(내역서!$F168)=0,"신규",IF($K168&lt;0,"감소",IF($K168&gt;0,"증가","-"))))</f>
        <v/>
      </c>
      <c r="M168" s="22" t="n"/>
      <c r="N168" s="23" t="n"/>
      <c r="O168" s="24">
        <f>IF($B168="","",IF($L168="감소",$G168,IF($L168="증가",IF($M168="Y",ROUND(($J168+$J168*('설정'!$C$15/100))/2,0),IF(AND($N168&lt;&gt;"",$G168&gt;$N168),$N168,$G168)),IF($L168="신규",IF($M168="Y",ROUND(($J168+$J168*('설정'!$C$15/100))/2,0),ROUND($J168*('설정'!$C$15/100),0)),0))))</f>
        <v/>
      </c>
      <c r="P168" s="24">
        <f>IF($B168="","",ROUND(N($K168)*N($O168),0))</f>
        <v/>
      </c>
      <c r="Q168" s="25">
        <f>IF($B168="","",IF($L168="감소","감소분 → 계약단가",IF(AND($M168="Y",OR($L168="증가",$L168="신규")),"발주기관 요구 → 협의 (불성립 시 (당시단가+당시단가×낙찰률)÷2)",IF($L168="증가",IF(AND($N168&lt;&gt;"",$G168&gt;$N168),"증가분 → 계약단가&gt;예정가격단가 이므로 예정가격단가","증가분 → 계약단가 (낙찰률을 곱하지 않습니다)"),IF($L168="신규","신규비목 → 당시단가 × 낙찰률","")))))</f>
        <v/>
      </c>
      <c r="R168" s="20">
        <f>IF($B168="","",IF(N($O168)=0,0,IF(OR($L168="감소",AND($L168="증가",$M168&lt;&gt;"Y")),IF(N($G168)=0,0,ROUND(N(내역서!$G168)*$O168/$G168,0)),IF(N($J168)=0,0,ROUND(N(내역서!$O168)*$O168/$J168,0)))))</f>
        <v/>
      </c>
      <c r="S168" s="20">
        <f>IF($B168="","",IF(N($O168)=0,0,IF(OR($L168="감소",AND($L168="증가",$M168&lt;&gt;"Y")),IF(N($G168)=0,0,ROUND(N(내역서!$H168)*$O168/$G168,0)),IF(N($J168)=0,0,ROUND(N(내역서!$P168)*$O168/$J168,0)))))</f>
        <v/>
      </c>
      <c r="T168" s="20">
        <f>IF($B168="","",N($O168)-N($R168)-N($S168))</f>
        <v/>
      </c>
      <c r="U168" s="20">
        <f>IF($B168="","",ROUND(N($K168)*N($R168),0))</f>
        <v/>
      </c>
      <c r="V168" s="20">
        <f>IF($B168="","",ROUND(N($K168)*N($S168),0))</f>
        <v/>
      </c>
      <c r="W168" s="20">
        <f>IF($B168="","",N($P168)-N($U168)-N($V168))</f>
        <v/>
      </c>
    </row>
    <row r="169">
      <c r="A169" s="18">
        <f>IF($B169="","",ROW()-4+1)</f>
        <v/>
      </c>
      <c r="B169" s="18">
        <f>내역서!$B169</f>
        <v/>
      </c>
      <c r="C169" s="18">
        <f>IF($B169="","",내역서!$C169)</f>
        <v/>
      </c>
      <c r="D169" s="18">
        <f>IF($B169="","",내역서!$D169)</f>
        <v/>
      </c>
      <c r="E169" s="18">
        <f>IF($B169="","",내역서!$E169)</f>
        <v/>
      </c>
      <c r="F169" s="19">
        <f>IF($B169="","",N(내역서!$F169))</f>
        <v/>
      </c>
      <c r="G169" s="20">
        <f>IF($B169="","",N(내역서!$J169))</f>
        <v/>
      </c>
      <c r="H169" s="20">
        <f>IF($B169="","",N(내역서!$K169))</f>
        <v/>
      </c>
      <c r="I169" s="19">
        <f>IF($B169="","",N(내역서!$N169))</f>
        <v/>
      </c>
      <c r="J169" s="20">
        <f>IF($B169="","",N(내역서!$R169))</f>
        <v/>
      </c>
      <c r="K169" s="19">
        <f>IF($B169="","",N($I169)-N($F169))</f>
        <v/>
      </c>
      <c r="L169" s="21">
        <f>IF($B169="","",IF(N(내역서!$F169)=0,"신규",IF($K169&lt;0,"감소",IF($K169&gt;0,"증가","-"))))</f>
        <v/>
      </c>
      <c r="M169" s="22" t="n"/>
      <c r="N169" s="23" t="n"/>
      <c r="O169" s="24">
        <f>IF($B169="","",IF($L169="감소",$G169,IF($L169="증가",IF($M169="Y",ROUND(($J169+$J169*('설정'!$C$15/100))/2,0),IF(AND($N169&lt;&gt;"",$G169&gt;$N169),$N169,$G169)),IF($L169="신규",IF($M169="Y",ROUND(($J169+$J169*('설정'!$C$15/100))/2,0),ROUND($J169*('설정'!$C$15/100),0)),0))))</f>
        <v/>
      </c>
      <c r="P169" s="24">
        <f>IF($B169="","",ROUND(N($K169)*N($O169),0))</f>
        <v/>
      </c>
      <c r="Q169" s="25">
        <f>IF($B169="","",IF($L169="감소","감소분 → 계약단가",IF(AND($M169="Y",OR($L169="증가",$L169="신규")),"발주기관 요구 → 협의 (불성립 시 (당시단가+당시단가×낙찰률)÷2)",IF($L169="증가",IF(AND($N169&lt;&gt;"",$G169&gt;$N169),"증가분 → 계약단가&gt;예정가격단가 이므로 예정가격단가","증가분 → 계약단가 (낙찰률을 곱하지 않습니다)"),IF($L169="신규","신규비목 → 당시단가 × 낙찰률","")))))</f>
        <v/>
      </c>
      <c r="R169" s="20">
        <f>IF($B169="","",IF(N($O169)=0,0,IF(OR($L169="감소",AND($L169="증가",$M169&lt;&gt;"Y")),IF(N($G169)=0,0,ROUND(N(내역서!$G169)*$O169/$G169,0)),IF(N($J169)=0,0,ROUND(N(내역서!$O169)*$O169/$J169,0)))))</f>
        <v/>
      </c>
      <c r="S169" s="20">
        <f>IF($B169="","",IF(N($O169)=0,0,IF(OR($L169="감소",AND($L169="증가",$M169&lt;&gt;"Y")),IF(N($G169)=0,0,ROUND(N(내역서!$H169)*$O169/$G169,0)),IF(N($J169)=0,0,ROUND(N(내역서!$P169)*$O169/$J169,0)))))</f>
        <v/>
      </c>
      <c r="T169" s="20">
        <f>IF($B169="","",N($O169)-N($R169)-N($S169))</f>
        <v/>
      </c>
      <c r="U169" s="20">
        <f>IF($B169="","",ROUND(N($K169)*N($R169),0))</f>
        <v/>
      </c>
      <c r="V169" s="20">
        <f>IF($B169="","",ROUND(N($K169)*N($S169),0))</f>
        <v/>
      </c>
      <c r="W169" s="20">
        <f>IF($B169="","",N($P169)-N($U169)-N($V169))</f>
        <v/>
      </c>
    </row>
    <row r="170">
      <c r="A170" s="18">
        <f>IF($B170="","",ROW()-4+1)</f>
        <v/>
      </c>
      <c r="B170" s="18">
        <f>내역서!$B170</f>
        <v/>
      </c>
      <c r="C170" s="18">
        <f>IF($B170="","",내역서!$C170)</f>
        <v/>
      </c>
      <c r="D170" s="18">
        <f>IF($B170="","",내역서!$D170)</f>
        <v/>
      </c>
      <c r="E170" s="18">
        <f>IF($B170="","",내역서!$E170)</f>
        <v/>
      </c>
      <c r="F170" s="19">
        <f>IF($B170="","",N(내역서!$F170))</f>
        <v/>
      </c>
      <c r="G170" s="20">
        <f>IF($B170="","",N(내역서!$J170))</f>
        <v/>
      </c>
      <c r="H170" s="20">
        <f>IF($B170="","",N(내역서!$K170))</f>
        <v/>
      </c>
      <c r="I170" s="19">
        <f>IF($B170="","",N(내역서!$N170))</f>
        <v/>
      </c>
      <c r="J170" s="20">
        <f>IF($B170="","",N(내역서!$R170))</f>
        <v/>
      </c>
      <c r="K170" s="19">
        <f>IF($B170="","",N($I170)-N($F170))</f>
        <v/>
      </c>
      <c r="L170" s="21">
        <f>IF($B170="","",IF(N(내역서!$F170)=0,"신규",IF($K170&lt;0,"감소",IF($K170&gt;0,"증가","-"))))</f>
        <v/>
      </c>
      <c r="M170" s="22" t="n"/>
      <c r="N170" s="23" t="n"/>
      <c r="O170" s="24">
        <f>IF($B170="","",IF($L170="감소",$G170,IF($L170="증가",IF($M170="Y",ROUND(($J170+$J170*('설정'!$C$15/100))/2,0),IF(AND($N170&lt;&gt;"",$G170&gt;$N170),$N170,$G170)),IF($L170="신규",IF($M170="Y",ROUND(($J170+$J170*('설정'!$C$15/100))/2,0),ROUND($J170*('설정'!$C$15/100),0)),0))))</f>
        <v/>
      </c>
      <c r="P170" s="24">
        <f>IF($B170="","",ROUND(N($K170)*N($O170),0))</f>
        <v/>
      </c>
      <c r="Q170" s="25">
        <f>IF($B170="","",IF($L170="감소","감소분 → 계약단가",IF(AND($M170="Y",OR($L170="증가",$L170="신규")),"발주기관 요구 → 협의 (불성립 시 (당시단가+당시단가×낙찰률)÷2)",IF($L170="증가",IF(AND($N170&lt;&gt;"",$G170&gt;$N170),"증가분 → 계약단가&gt;예정가격단가 이므로 예정가격단가","증가분 → 계약단가 (낙찰률을 곱하지 않습니다)"),IF($L170="신규","신규비목 → 당시단가 × 낙찰률","")))))</f>
        <v/>
      </c>
      <c r="R170" s="20">
        <f>IF($B170="","",IF(N($O170)=0,0,IF(OR($L170="감소",AND($L170="증가",$M170&lt;&gt;"Y")),IF(N($G170)=0,0,ROUND(N(내역서!$G170)*$O170/$G170,0)),IF(N($J170)=0,0,ROUND(N(내역서!$O170)*$O170/$J170,0)))))</f>
        <v/>
      </c>
      <c r="S170" s="20">
        <f>IF($B170="","",IF(N($O170)=0,0,IF(OR($L170="감소",AND($L170="증가",$M170&lt;&gt;"Y")),IF(N($G170)=0,0,ROUND(N(내역서!$H170)*$O170/$G170,0)),IF(N($J170)=0,0,ROUND(N(내역서!$P170)*$O170/$J170,0)))))</f>
        <v/>
      </c>
      <c r="T170" s="20">
        <f>IF($B170="","",N($O170)-N($R170)-N($S170))</f>
        <v/>
      </c>
      <c r="U170" s="20">
        <f>IF($B170="","",ROUND(N($K170)*N($R170),0))</f>
        <v/>
      </c>
      <c r="V170" s="20">
        <f>IF($B170="","",ROUND(N($K170)*N($S170),0))</f>
        <v/>
      </c>
      <c r="W170" s="20">
        <f>IF($B170="","",N($P170)-N($U170)-N($V170))</f>
        <v/>
      </c>
    </row>
    <row r="171">
      <c r="A171" s="18">
        <f>IF($B171="","",ROW()-4+1)</f>
        <v/>
      </c>
      <c r="B171" s="18">
        <f>내역서!$B171</f>
        <v/>
      </c>
      <c r="C171" s="18">
        <f>IF($B171="","",내역서!$C171)</f>
        <v/>
      </c>
      <c r="D171" s="18">
        <f>IF($B171="","",내역서!$D171)</f>
        <v/>
      </c>
      <c r="E171" s="18">
        <f>IF($B171="","",내역서!$E171)</f>
        <v/>
      </c>
      <c r="F171" s="19">
        <f>IF($B171="","",N(내역서!$F171))</f>
        <v/>
      </c>
      <c r="G171" s="20">
        <f>IF($B171="","",N(내역서!$J171))</f>
        <v/>
      </c>
      <c r="H171" s="20">
        <f>IF($B171="","",N(내역서!$K171))</f>
        <v/>
      </c>
      <c r="I171" s="19">
        <f>IF($B171="","",N(내역서!$N171))</f>
        <v/>
      </c>
      <c r="J171" s="20">
        <f>IF($B171="","",N(내역서!$R171))</f>
        <v/>
      </c>
      <c r="K171" s="19">
        <f>IF($B171="","",N($I171)-N($F171))</f>
        <v/>
      </c>
      <c r="L171" s="21">
        <f>IF($B171="","",IF(N(내역서!$F171)=0,"신규",IF($K171&lt;0,"감소",IF($K171&gt;0,"증가","-"))))</f>
        <v/>
      </c>
      <c r="M171" s="22" t="n"/>
      <c r="N171" s="23" t="n"/>
      <c r="O171" s="24">
        <f>IF($B171="","",IF($L171="감소",$G171,IF($L171="증가",IF($M171="Y",ROUND(($J171+$J171*('설정'!$C$15/100))/2,0),IF(AND($N171&lt;&gt;"",$G171&gt;$N171),$N171,$G171)),IF($L171="신규",IF($M171="Y",ROUND(($J171+$J171*('설정'!$C$15/100))/2,0),ROUND($J171*('설정'!$C$15/100),0)),0))))</f>
        <v/>
      </c>
      <c r="P171" s="24">
        <f>IF($B171="","",ROUND(N($K171)*N($O171),0))</f>
        <v/>
      </c>
      <c r="Q171" s="25">
        <f>IF($B171="","",IF($L171="감소","감소분 → 계약단가",IF(AND($M171="Y",OR($L171="증가",$L171="신규")),"발주기관 요구 → 협의 (불성립 시 (당시단가+당시단가×낙찰률)÷2)",IF($L171="증가",IF(AND($N171&lt;&gt;"",$G171&gt;$N171),"증가분 → 계약단가&gt;예정가격단가 이므로 예정가격단가","증가분 → 계약단가 (낙찰률을 곱하지 않습니다)"),IF($L171="신규","신규비목 → 당시단가 × 낙찰률","")))))</f>
        <v/>
      </c>
      <c r="R171" s="20">
        <f>IF($B171="","",IF(N($O171)=0,0,IF(OR($L171="감소",AND($L171="증가",$M171&lt;&gt;"Y")),IF(N($G171)=0,0,ROUND(N(내역서!$G171)*$O171/$G171,0)),IF(N($J171)=0,0,ROUND(N(내역서!$O171)*$O171/$J171,0)))))</f>
        <v/>
      </c>
      <c r="S171" s="20">
        <f>IF($B171="","",IF(N($O171)=0,0,IF(OR($L171="감소",AND($L171="증가",$M171&lt;&gt;"Y")),IF(N($G171)=0,0,ROUND(N(내역서!$H171)*$O171/$G171,0)),IF(N($J171)=0,0,ROUND(N(내역서!$P171)*$O171/$J171,0)))))</f>
        <v/>
      </c>
      <c r="T171" s="20">
        <f>IF($B171="","",N($O171)-N($R171)-N($S171))</f>
        <v/>
      </c>
      <c r="U171" s="20">
        <f>IF($B171="","",ROUND(N($K171)*N($R171),0))</f>
        <v/>
      </c>
      <c r="V171" s="20">
        <f>IF($B171="","",ROUND(N($K171)*N($S171),0))</f>
        <v/>
      </c>
      <c r="W171" s="20">
        <f>IF($B171="","",N($P171)-N($U171)-N($V171))</f>
        <v/>
      </c>
    </row>
    <row r="172">
      <c r="A172" s="18">
        <f>IF($B172="","",ROW()-4+1)</f>
        <v/>
      </c>
      <c r="B172" s="18">
        <f>내역서!$B172</f>
        <v/>
      </c>
      <c r="C172" s="18">
        <f>IF($B172="","",내역서!$C172)</f>
        <v/>
      </c>
      <c r="D172" s="18">
        <f>IF($B172="","",내역서!$D172)</f>
        <v/>
      </c>
      <c r="E172" s="18">
        <f>IF($B172="","",내역서!$E172)</f>
        <v/>
      </c>
      <c r="F172" s="19">
        <f>IF($B172="","",N(내역서!$F172))</f>
        <v/>
      </c>
      <c r="G172" s="20">
        <f>IF($B172="","",N(내역서!$J172))</f>
        <v/>
      </c>
      <c r="H172" s="20">
        <f>IF($B172="","",N(내역서!$K172))</f>
        <v/>
      </c>
      <c r="I172" s="19">
        <f>IF($B172="","",N(내역서!$N172))</f>
        <v/>
      </c>
      <c r="J172" s="20">
        <f>IF($B172="","",N(내역서!$R172))</f>
        <v/>
      </c>
      <c r="K172" s="19">
        <f>IF($B172="","",N($I172)-N($F172))</f>
        <v/>
      </c>
      <c r="L172" s="21">
        <f>IF($B172="","",IF(N(내역서!$F172)=0,"신규",IF($K172&lt;0,"감소",IF($K172&gt;0,"증가","-"))))</f>
        <v/>
      </c>
      <c r="M172" s="22" t="n"/>
      <c r="N172" s="23" t="n"/>
      <c r="O172" s="24">
        <f>IF($B172="","",IF($L172="감소",$G172,IF($L172="증가",IF($M172="Y",ROUND(($J172+$J172*('설정'!$C$15/100))/2,0),IF(AND($N172&lt;&gt;"",$G172&gt;$N172),$N172,$G172)),IF($L172="신규",IF($M172="Y",ROUND(($J172+$J172*('설정'!$C$15/100))/2,0),ROUND($J172*('설정'!$C$15/100),0)),0))))</f>
        <v/>
      </c>
      <c r="P172" s="24">
        <f>IF($B172="","",ROUND(N($K172)*N($O172),0))</f>
        <v/>
      </c>
      <c r="Q172" s="25">
        <f>IF($B172="","",IF($L172="감소","감소분 → 계약단가",IF(AND($M172="Y",OR($L172="증가",$L172="신규")),"발주기관 요구 → 협의 (불성립 시 (당시단가+당시단가×낙찰률)÷2)",IF($L172="증가",IF(AND($N172&lt;&gt;"",$G172&gt;$N172),"증가분 → 계약단가&gt;예정가격단가 이므로 예정가격단가","증가분 → 계약단가 (낙찰률을 곱하지 않습니다)"),IF($L172="신규","신규비목 → 당시단가 × 낙찰률","")))))</f>
        <v/>
      </c>
      <c r="R172" s="20">
        <f>IF($B172="","",IF(N($O172)=0,0,IF(OR($L172="감소",AND($L172="증가",$M172&lt;&gt;"Y")),IF(N($G172)=0,0,ROUND(N(내역서!$G172)*$O172/$G172,0)),IF(N($J172)=0,0,ROUND(N(내역서!$O172)*$O172/$J172,0)))))</f>
        <v/>
      </c>
      <c r="S172" s="20">
        <f>IF($B172="","",IF(N($O172)=0,0,IF(OR($L172="감소",AND($L172="증가",$M172&lt;&gt;"Y")),IF(N($G172)=0,0,ROUND(N(내역서!$H172)*$O172/$G172,0)),IF(N($J172)=0,0,ROUND(N(내역서!$P172)*$O172/$J172,0)))))</f>
        <v/>
      </c>
      <c r="T172" s="20">
        <f>IF($B172="","",N($O172)-N($R172)-N($S172))</f>
        <v/>
      </c>
      <c r="U172" s="20">
        <f>IF($B172="","",ROUND(N($K172)*N($R172),0))</f>
        <v/>
      </c>
      <c r="V172" s="20">
        <f>IF($B172="","",ROUND(N($K172)*N($S172),0))</f>
        <v/>
      </c>
      <c r="W172" s="20">
        <f>IF($B172="","",N($P172)-N($U172)-N($V172))</f>
        <v/>
      </c>
    </row>
    <row r="173">
      <c r="A173" s="18">
        <f>IF($B173="","",ROW()-4+1)</f>
        <v/>
      </c>
      <c r="B173" s="18">
        <f>내역서!$B173</f>
        <v/>
      </c>
      <c r="C173" s="18">
        <f>IF($B173="","",내역서!$C173)</f>
        <v/>
      </c>
      <c r="D173" s="18">
        <f>IF($B173="","",내역서!$D173)</f>
        <v/>
      </c>
      <c r="E173" s="18">
        <f>IF($B173="","",내역서!$E173)</f>
        <v/>
      </c>
      <c r="F173" s="19">
        <f>IF($B173="","",N(내역서!$F173))</f>
        <v/>
      </c>
      <c r="G173" s="20">
        <f>IF($B173="","",N(내역서!$J173))</f>
        <v/>
      </c>
      <c r="H173" s="20">
        <f>IF($B173="","",N(내역서!$K173))</f>
        <v/>
      </c>
      <c r="I173" s="19">
        <f>IF($B173="","",N(내역서!$N173))</f>
        <v/>
      </c>
      <c r="J173" s="20">
        <f>IF($B173="","",N(내역서!$R173))</f>
        <v/>
      </c>
      <c r="K173" s="19">
        <f>IF($B173="","",N($I173)-N($F173))</f>
        <v/>
      </c>
      <c r="L173" s="21">
        <f>IF($B173="","",IF(N(내역서!$F173)=0,"신규",IF($K173&lt;0,"감소",IF($K173&gt;0,"증가","-"))))</f>
        <v/>
      </c>
      <c r="M173" s="22" t="n"/>
      <c r="N173" s="23" t="n"/>
      <c r="O173" s="24">
        <f>IF($B173="","",IF($L173="감소",$G173,IF($L173="증가",IF($M173="Y",ROUND(($J173+$J173*('설정'!$C$15/100))/2,0),IF(AND($N173&lt;&gt;"",$G173&gt;$N173),$N173,$G173)),IF($L173="신규",IF($M173="Y",ROUND(($J173+$J173*('설정'!$C$15/100))/2,0),ROUND($J173*('설정'!$C$15/100),0)),0))))</f>
        <v/>
      </c>
      <c r="P173" s="24">
        <f>IF($B173="","",ROUND(N($K173)*N($O173),0))</f>
        <v/>
      </c>
      <c r="Q173" s="25">
        <f>IF($B173="","",IF($L173="감소","감소분 → 계약단가",IF(AND($M173="Y",OR($L173="증가",$L173="신규")),"발주기관 요구 → 협의 (불성립 시 (당시단가+당시단가×낙찰률)÷2)",IF($L173="증가",IF(AND($N173&lt;&gt;"",$G173&gt;$N173),"증가분 → 계약단가&gt;예정가격단가 이므로 예정가격단가","증가분 → 계약단가 (낙찰률을 곱하지 않습니다)"),IF($L173="신규","신규비목 → 당시단가 × 낙찰률","")))))</f>
        <v/>
      </c>
      <c r="R173" s="20">
        <f>IF($B173="","",IF(N($O173)=0,0,IF(OR($L173="감소",AND($L173="증가",$M173&lt;&gt;"Y")),IF(N($G173)=0,0,ROUND(N(내역서!$G173)*$O173/$G173,0)),IF(N($J173)=0,0,ROUND(N(내역서!$O173)*$O173/$J173,0)))))</f>
        <v/>
      </c>
      <c r="S173" s="20">
        <f>IF($B173="","",IF(N($O173)=0,0,IF(OR($L173="감소",AND($L173="증가",$M173&lt;&gt;"Y")),IF(N($G173)=0,0,ROUND(N(내역서!$H173)*$O173/$G173,0)),IF(N($J173)=0,0,ROUND(N(내역서!$P173)*$O173/$J173,0)))))</f>
        <v/>
      </c>
      <c r="T173" s="20">
        <f>IF($B173="","",N($O173)-N($R173)-N($S173))</f>
        <v/>
      </c>
      <c r="U173" s="20">
        <f>IF($B173="","",ROUND(N($K173)*N($R173),0))</f>
        <v/>
      </c>
      <c r="V173" s="20">
        <f>IF($B173="","",ROUND(N($K173)*N($S173),0))</f>
        <v/>
      </c>
      <c r="W173" s="20">
        <f>IF($B173="","",N($P173)-N($U173)-N($V173))</f>
        <v/>
      </c>
    </row>
    <row r="174">
      <c r="A174" s="18">
        <f>IF($B174="","",ROW()-4+1)</f>
        <v/>
      </c>
      <c r="B174" s="18">
        <f>내역서!$B174</f>
        <v/>
      </c>
      <c r="C174" s="18">
        <f>IF($B174="","",내역서!$C174)</f>
        <v/>
      </c>
      <c r="D174" s="18">
        <f>IF($B174="","",내역서!$D174)</f>
        <v/>
      </c>
      <c r="E174" s="18">
        <f>IF($B174="","",내역서!$E174)</f>
        <v/>
      </c>
      <c r="F174" s="19">
        <f>IF($B174="","",N(내역서!$F174))</f>
        <v/>
      </c>
      <c r="G174" s="20">
        <f>IF($B174="","",N(내역서!$J174))</f>
        <v/>
      </c>
      <c r="H174" s="20">
        <f>IF($B174="","",N(내역서!$K174))</f>
        <v/>
      </c>
      <c r="I174" s="19">
        <f>IF($B174="","",N(내역서!$N174))</f>
        <v/>
      </c>
      <c r="J174" s="20">
        <f>IF($B174="","",N(내역서!$R174))</f>
        <v/>
      </c>
      <c r="K174" s="19">
        <f>IF($B174="","",N($I174)-N($F174))</f>
        <v/>
      </c>
      <c r="L174" s="21">
        <f>IF($B174="","",IF(N(내역서!$F174)=0,"신규",IF($K174&lt;0,"감소",IF($K174&gt;0,"증가","-"))))</f>
        <v/>
      </c>
      <c r="M174" s="22" t="n"/>
      <c r="N174" s="23" t="n"/>
      <c r="O174" s="24">
        <f>IF($B174="","",IF($L174="감소",$G174,IF($L174="증가",IF($M174="Y",ROUND(($J174+$J174*('설정'!$C$15/100))/2,0),IF(AND($N174&lt;&gt;"",$G174&gt;$N174),$N174,$G174)),IF($L174="신규",IF($M174="Y",ROUND(($J174+$J174*('설정'!$C$15/100))/2,0),ROUND($J174*('설정'!$C$15/100),0)),0))))</f>
        <v/>
      </c>
      <c r="P174" s="24">
        <f>IF($B174="","",ROUND(N($K174)*N($O174),0))</f>
        <v/>
      </c>
      <c r="Q174" s="25">
        <f>IF($B174="","",IF($L174="감소","감소분 → 계약단가",IF(AND($M174="Y",OR($L174="증가",$L174="신규")),"발주기관 요구 → 협의 (불성립 시 (당시단가+당시단가×낙찰률)÷2)",IF($L174="증가",IF(AND($N174&lt;&gt;"",$G174&gt;$N174),"증가분 → 계약단가&gt;예정가격단가 이므로 예정가격단가","증가분 → 계약단가 (낙찰률을 곱하지 않습니다)"),IF($L174="신규","신규비목 → 당시단가 × 낙찰률","")))))</f>
        <v/>
      </c>
      <c r="R174" s="20">
        <f>IF($B174="","",IF(N($O174)=0,0,IF(OR($L174="감소",AND($L174="증가",$M174&lt;&gt;"Y")),IF(N($G174)=0,0,ROUND(N(내역서!$G174)*$O174/$G174,0)),IF(N($J174)=0,0,ROUND(N(내역서!$O174)*$O174/$J174,0)))))</f>
        <v/>
      </c>
      <c r="S174" s="20">
        <f>IF($B174="","",IF(N($O174)=0,0,IF(OR($L174="감소",AND($L174="증가",$M174&lt;&gt;"Y")),IF(N($G174)=0,0,ROUND(N(내역서!$H174)*$O174/$G174,0)),IF(N($J174)=0,0,ROUND(N(내역서!$P174)*$O174/$J174,0)))))</f>
        <v/>
      </c>
      <c r="T174" s="20">
        <f>IF($B174="","",N($O174)-N($R174)-N($S174))</f>
        <v/>
      </c>
      <c r="U174" s="20">
        <f>IF($B174="","",ROUND(N($K174)*N($R174),0))</f>
        <v/>
      </c>
      <c r="V174" s="20">
        <f>IF($B174="","",ROUND(N($K174)*N($S174),0))</f>
        <v/>
      </c>
      <c r="W174" s="20">
        <f>IF($B174="","",N($P174)-N($U174)-N($V174))</f>
        <v/>
      </c>
    </row>
    <row r="175">
      <c r="A175" s="18">
        <f>IF($B175="","",ROW()-4+1)</f>
        <v/>
      </c>
      <c r="B175" s="18">
        <f>내역서!$B175</f>
        <v/>
      </c>
      <c r="C175" s="18">
        <f>IF($B175="","",내역서!$C175)</f>
        <v/>
      </c>
      <c r="D175" s="18">
        <f>IF($B175="","",내역서!$D175)</f>
        <v/>
      </c>
      <c r="E175" s="18">
        <f>IF($B175="","",내역서!$E175)</f>
        <v/>
      </c>
      <c r="F175" s="19">
        <f>IF($B175="","",N(내역서!$F175))</f>
        <v/>
      </c>
      <c r="G175" s="20">
        <f>IF($B175="","",N(내역서!$J175))</f>
        <v/>
      </c>
      <c r="H175" s="20">
        <f>IF($B175="","",N(내역서!$K175))</f>
        <v/>
      </c>
      <c r="I175" s="19">
        <f>IF($B175="","",N(내역서!$N175))</f>
        <v/>
      </c>
      <c r="J175" s="20">
        <f>IF($B175="","",N(내역서!$R175))</f>
        <v/>
      </c>
      <c r="K175" s="19">
        <f>IF($B175="","",N($I175)-N($F175))</f>
        <v/>
      </c>
      <c r="L175" s="21">
        <f>IF($B175="","",IF(N(내역서!$F175)=0,"신규",IF($K175&lt;0,"감소",IF($K175&gt;0,"증가","-"))))</f>
        <v/>
      </c>
      <c r="M175" s="22" t="n"/>
      <c r="N175" s="23" t="n"/>
      <c r="O175" s="24">
        <f>IF($B175="","",IF($L175="감소",$G175,IF($L175="증가",IF($M175="Y",ROUND(($J175+$J175*('설정'!$C$15/100))/2,0),IF(AND($N175&lt;&gt;"",$G175&gt;$N175),$N175,$G175)),IF($L175="신규",IF($M175="Y",ROUND(($J175+$J175*('설정'!$C$15/100))/2,0),ROUND($J175*('설정'!$C$15/100),0)),0))))</f>
        <v/>
      </c>
      <c r="P175" s="24">
        <f>IF($B175="","",ROUND(N($K175)*N($O175),0))</f>
        <v/>
      </c>
      <c r="Q175" s="25">
        <f>IF($B175="","",IF($L175="감소","감소분 → 계약단가",IF(AND($M175="Y",OR($L175="증가",$L175="신규")),"발주기관 요구 → 협의 (불성립 시 (당시단가+당시단가×낙찰률)÷2)",IF($L175="증가",IF(AND($N175&lt;&gt;"",$G175&gt;$N175),"증가분 → 계약단가&gt;예정가격단가 이므로 예정가격단가","증가분 → 계약단가 (낙찰률을 곱하지 않습니다)"),IF($L175="신규","신규비목 → 당시단가 × 낙찰률","")))))</f>
        <v/>
      </c>
      <c r="R175" s="20">
        <f>IF($B175="","",IF(N($O175)=0,0,IF(OR($L175="감소",AND($L175="증가",$M175&lt;&gt;"Y")),IF(N($G175)=0,0,ROUND(N(내역서!$G175)*$O175/$G175,0)),IF(N($J175)=0,0,ROUND(N(내역서!$O175)*$O175/$J175,0)))))</f>
        <v/>
      </c>
      <c r="S175" s="20">
        <f>IF($B175="","",IF(N($O175)=0,0,IF(OR($L175="감소",AND($L175="증가",$M175&lt;&gt;"Y")),IF(N($G175)=0,0,ROUND(N(내역서!$H175)*$O175/$G175,0)),IF(N($J175)=0,0,ROUND(N(내역서!$P175)*$O175/$J175,0)))))</f>
        <v/>
      </c>
      <c r="T175" s="20">
        <f>IF($B175="","",N($O175)-N($R175)-N($S175))</f>
        <v/>
      </c>
      <c r="U175" s="20">
        <f>IF($B175="","",ROUND(N($K175)*N($R175),0))</f>
        <v/>
      </c>
      <c r="V175" s="20">
        <f>IF($B175="","",ROUND(N($K175)*N($S175),0))</f>
        <v/>
      </c>
      <c r="W175" s="20">
        <f>IF($B175="","",N($P175)-N($U175)-N($V175))</f>
        <v/>
      </c>
    </row>
    <row r="176">
      <c r="A176" s="18">
        <f>IF($B176="","",ROW()-4+1)</f>
        <v/>
      </c>
      <c r="B176" s="18">
        <f>내역서!$B176</f>
        <v/>
      </c>
      <c r="C176" s="18">
        <f>IF($B176="","",내역서!$C176)</f>
        <v/>
      </c>
      <c r="D176" s="18">
        <f>IF($B176="","",내역서!$D176)</f>
        <v/>
      </c>
      <c r="E176" s="18">
        <f>IF($B176="","",내역서!$E176)</f>
        <v/>
      </c>
      <c r="F176" s="19">
        <f>IF($B176="","",N(내역서!$F176))</f>
        <v/>
      </c>
      <c r="G176" s="20">
        <f>IF($B176="","",N(내역서!$J176))</f>
        <v/>
      </c>
      <c r="H176" s="20">
        <f>IF($B176="","",N(내역서!$K176))</f>
        <v/>
      </c>
      <c r="I176" s="19">
        <f>IF($B176="","",N(내역서!$N176))</f>
        <v/>
      </c>
      <c r="J176" s="20">
        <f>IF($B176="","",N(내역서!$R176))</f>
        <v/>
      </c>
      <c r="K176" s="19">
        <f>IF($B176="","",N($I176)-N($F176))</f>
        <v/>
      </c>
      <c r="L176" s="21">
        <f>IF($B176="","",IF(N(내역서!$F176)=0,"신규",IF($K176&lt;0,"감소",IF($K176&gt;0,"증가","-"))))</f>
        <v/>
      </c>
      <c r="M176" s="22" t="n"/>
      <c r="N176" s="23" t="n"/>
      <c r="O176" s="24">
        <f>IF($B176="","",IF($L176="감소",$G176,IF($L176="증가",IF($M176="Y",ROUND(($J176+$J176*('설정'!$C$15/100))/2,0),IF(AND($N176&lt;&gt;"",$G176&gt;$N176),$N176,$G176)),IF($L176="신규",IF($M176="Y",ROUND(($J176+$J176*('설정'!$C$15/100))/2,0),ROUND($J176*('설정'!$C$15/100),0)),0))))</f>
        <v/>
      </c>
      <c r="P176" s="24">
        <f>IF($B176="","",ROUND(N($K176)*N($O176),0))</f>
        <v/>
      </c>
      <c r="Q176" s="25">
        <f>IF($B176="","",IF($L176="감소","감소분 → 계약단가",IF(AND($M176="Y",OR($L176="증가",$L176="신규")),"발주기관 요구 → 협의 (불성립 시 (당시단가+당시단가×낙찰률)÷2)",IF($L176="증가",IF(AND($N176&lt;&gt;"",$G176&gt;$N176),"증가분 → 계약단가&gt;예정가격단가 이므로 예정가격단가","증가분 → 계약단가 (낙찰률을 곱하지 않습니다)"),IF($L176="신규","신규비목 → 당시단가 × 낙찰률","")))))</f>
        <v/>
      </c>
      <c r="R176" s="20">
        <f>IF($B176="","",IF(N($O176)=0,0,IF(OR($L176="감소",AND($L176="증가",$M176&lt;&gt;"Y")),IF(N($G176)=0,0,ROUND(N(내역서!$G176)*$O176/$G176,0)),IF(N($J176)=0,0,ROUND(N(내역서!$O176)*$O176/$J176,0)))))</f>
        <v/>
      </c>
      <c r="S176" s="20">
        <f>IF($B176="","",IF(N($O176)=0,0,IF(OR($L176="감소",AND($L176="증가",$M176&lt;&gt;"Y")),IF(N($G176)=0,0,ROUND(N(내역서!$H176)*$O176/$G176,0)),IF(N($J176)=0,0,ROUND(N(내역서!$P176)*$O176/$J176,0)))))</f>
        <v/>
      </c>
      <c r="T176" s="20">
        <f>IF($B176="","",N($O176)-N($R176)-N($S176))</f>
        <v/>
      </c>
      <c r="U176" s="20">
        <f>IF($B176="","",ROUND(N($K176)*N($R176),0))</f>
        <v/>
      </c>
      <c r="V176" s="20">
        <f>IF($B176="","",ROUND(N($K176)*N($S176),0))</f>
        <v/>
      </c>
      <c r="W176" s="20">
        <f>IF($B176="","",N($P176)-N($U176)-N($V176))</f>
        <v/>
      </c>
    </row>
    <row r="177">
      <c r="A177" s="18">
        <f>IF($B177="","",ROW()-4+1)</f>
        <v/>
      </c>
      <c r="B177" s="18">
        <f>내역서!$B177</f>
        <v/>
      </c>
      <c r="C177" s="18">
        <f>IF($B177="","",내역서!$C177)</f>
        <v/>
      </c>
      <c r="D177" s="18">
        <f>IF($B177="","",내역서!$D177)</f>
        <v/>
      </c>
      <c r="E177" s="18">
        <f>IF($B177="","",내역서!$E177)</f>
        <v/>
      </c>
      <c r="F177" s="19">
        <f>IF($B177="","",N(내역서!$F177))</f>
        <v/>
      </c>
      <c r="G177" s="20">
        <f>IF($B177="","",N(내역서!$J177))</f>
        <v/>
      </c>
      <c r="H177" s="20">
        <f>IF($B177="","",N(내역서!$K177))</f>
        <v/>
      </c>
      <c r="I177" s="19">
        <f>IF($B177="","",N(내역서!$N177))</f>
        <v/>
      </c>
      <c r="J177" s="20">
        <f>IF($B177="","",N(내역서!$R177))</f>
        <v/>
      </c>
      <c r="K177" s="19">
        <f>IF($B177="","",N($I177)-N($F177))</f>
        <v/>
      </c>
      <c r="L177" s="21">
        <f>IF($B177="","",IF(N(내역서!$F177)=0,"신규",IF($K177&lt;0,"감소",IF($K177&gt;0,"증가","-"))))</f>
        <v/>
      </c>
      <c r="M177" s="22" t="n"/>
      <c r="N177" s="23" t="n"/>
      <c r="O177" s="24">
        <f>IF($B177="","",IF($L177="감소",$G177,IF($L177="증가",IF($M177="Y",ROUND(($J177+$J177*('설정'!$C$15/100))/2,0),IF(AND($N177&lt;&gt;"",$G177&gt;$N177),$N177,$G177)),IF($L177="신규",IF($M177="Y",ROUND(($J177+$J177*('설정'!$C$15/100))/2,0),ROUND($J177*('설정'!$C$15/100),0)),0))))</f>
        <v/>
      </c>
      <c r="P177" s="24">
        <f>IF($B177="","",ROUND(N($K177)*N($O177),0))</f>
        <v/>
      </c>
      <c r="Q177" s="25">
        <f>IF($B177="","",IF($L177="감소","감소분 → 계약단가",IF(AND($M177="Y",OR($L177="증가",$L177="신규")),"발주기관 요구 → 협의 (불성립 시 (당시단가+당시단가×낙찰률)÷2)",IF($L177="증가",IF(AND($N177&lt;&gt;"",$G177&gt;$N177),"증가분 → 계약단가&gt;예정가격단가 이므로 예정가격단가","증가분 → 계약단가 (낙찰률을 곱하지 않습니다)"),IF($L177="신규","신규비목 → 당시단가 × 낙찰률","")))))</f>
        <v/>
      </c>
      <c r="R177" s="20">
        <f>IF($B177="","",IF(N($O177)=0,0,IF(OR($L177="감소",AND($L177="증가",$M177&lt;&gt;"Y")),IF(N($G177)=0,0,ROUND(N(내역서!$G177)*$O177/$G177,0)),IF(N($J177)=0,0,ROUND(N(내역서!$O177)*$O177/$J177,0)))))</f>
        <v/>
      </c>
      <c r="S177" s="20">
        <f>IF($B177="","",IF(N($O177)=0,0,IF(OR($L177="감소",AND($L177="증가",$M177&lt;&gt;"Y")),IF(N($G177)=0,0,ROUND(N(내역서!$H177)*$O177/$G177,0)),IF(N($J177)=0,0,ROUND(N(내역서!$P177)*$O177/$J177,0)))))</f>
        <v/>
      </c>
      <c r="T177" s="20">
        <f>IF($B177="","",N($O177)-N($R177)-N($S177))</f>
        <v/>
      </c>
      <c r="U177" s="20">
        <f>IF($B177="","",ROUND(N($K177)*N($R177),0))</f>
        <v/>
      </c>
      <c r="V177" s="20">
        <f>IF($B177="","",ROUND(N($K177)*N($S177),0))</f>
        <v/>
      </c>
      <c r="W177" s="20">
        <f>IF($B177="","",N($P177)-N($U177)-N($V177))</f>
        <v/>
      </c>
    </row>
    <row r="178">
      <c r="A178" s="18">
        <f>IF($B178="","",ROW()-4+1)</f>
        <v/>
      </c>
      <c r="B178" s="18">
        <f>내역서!$B178</f>
        <v/>
      </c>
      <c r="C178" s="18">
        <f>IF($B178="","",내역서!$C178)</f>
        <v/>
      </c>
      <c r="D178" s="18">
        <f>IF($B178="","",내역서!$D178)</f>
        <v/>
      </c>
      <c r="E178" s="18">
        <f>IF($B178="","",내역서!$E178)</f>
        <v/>
      </c>
      <c r="F178" s="19">
        <f>IF($B178="","",N(내역서!$F178))</f>
        <v/>
      </c>
      <c r="G178" s="20">
        <f>IF($B178="","",N(내역서!$J178))</f>
        <v/>
      </c>
      <c r="H178" s="20">
        <f>IF($B178="","",N(내역서!$K178))</f>
        <v/>
      </c>
      <c r="I178" s="19">
        <f>IF($B178="","",N(내역서!$N178))</f>
        <v/>
      </c>
      <c r="J178" s="20">
        <f>IF($B178="","",N(내역서!$R178))</f>
        <v/>
      </c>
      <c r="K178" s="19">
        <f>IF($B178="","",N($I178)-N($F178))</f>
        <v/>
      </c>
      <c r="L178" s="21">
        <f>IF($B178="","",IF(N(내역서!$F178)=0,"신규",IF($K178&lt;0,"감소",IF($K178&gt;0,"증가","-"))))</f>
        <v/>
      </c>
      <c r="M178" s="22" t="n"/>
      <c r="N178" s="23" t="n"/>
      <c r="O178" s="24">
        <f>IF($B178="","",IF($L178="감소",$G178,IF($L178="증가",IF($M178="Y",ROUND(($J178+$J178*('설정'!$C$15/100))/2,0),IF(AND($N178&lt;&gt;"",$G178&gt;$N178),$N178,$G178)),IF($L178="신규",IF($M178="Y",ROUND(($J178+$J178*('설정'!$C$15/100))/2,0),ROUND($J178*('설정'!$C$15/100),0)),0))))</f>
        <v/>
      </c>
      <c r="P178" s="24">
        <f>IF($B178="","",ROUND(N($K178)*N($O178),0))</f>
        <v/>
      </c>
      <c r="Q178" s="25">
        <f>IF($B178="","",IF($L178="감소","감소분 → 계약단가",IF(AND($M178="Y",OR($L178="증가",$L178="신규")),"발주기관 요구 → 협의 (불성립 시 (당시단가+당시단가×낙찰률)÷2)",IF($L178="증가",IF(AND($N178&lt;&gt;"",$G178&gt;$N178),"증가분 → 계약단가&gt;예정가격단가 이므로 예정가격단가","증가분 → 계약단가 (낙찰률을 곱하지 않습니다)"),IF($L178="신규","신규비목 → 당시단가 × 낙찰률","")))))</f>
        <v/>
      </c>
      <c r="R178" s="20">
        <f>IF($B178="","",IF(N($O178)=0,0,IF(OR($L178="감소",AND($L178="증가",$M178&lt;&gt;"Y")),IF(N($G178)=0,0,ROUND(N(내역서!$G178)*$O178/$G178,0)),IF(N($J178)=0,0,ROUND(N(내역서!$O178)*$O178/$J178,0)))))</f>
        <v/>
      </c>
      <c r="S178" s="20">
        <f>IF($B178="","",IF(N($O178)=0,0,IF(OR($L178="감소",AND($L178="증가",$M178&lt;&gt;"Y")),IF(N($G178)=0,0,ROUND(N(내역서!$H178)*$O178/$G178,0)),IF(N($J178)=0,0,ROUND(N(내역서!$P178)*$O178/$J178,0)))))</f>
        <v/>
      </c>
      <c r="T178" s="20">
        <f>IF($B178="","",N($O178)-N($R178)-N($S178))</f>
        <v/>
      </c>
      <c r="U178" s="20">
        <f>IF($B178="","",ROUND(N($K178)*N($R178),0))</f>
        <v/>
      </c>
      <c r="V178" s="20">
        <f>IF($B178="","",ROUND(N($K178)*N($S178),0))</f>
        <v/>
      </c>
      <c r="W178" s="20">
        <f>IF($B178="","",N($P178)-N($U178)-N($V178))</f>
        <v/>
      </c>
    </row>
    <row r="179">
      <c r="A179" s="18">
        <f>IF($B179="","",ROW()-4+1)</f>
        <v/>
      </c>
      <c r="B179" s="18">
        <f>내역서!$B179</f>
        <v/>
      </c>
      <c r="C179" s="18">
        <f>IF($B179="","",내역서!$C179)</f>
        <v/>
      </c>
      <c r="D179" s="18">
        <f>IF($B179="","",내역서!$D179)</f>
        <v/>
      </c>
      <c r="E179" s="18">
        <f>IF($B179="","",내역서!$E179)</f>
        <v/>
      </c>
      <c r="F179" s="19">
        <f>IF($B179="","",N(내역서!$F179))</f>
        <v/>
      </c>
      <c r="G179" s="20">
        <f>IF($B179="","",N(내역서!$J179))</f>
        <v/>
      </c>
      <c r="H179" s="20">
        <f>IF($B179="","",N(내역서!$K179))</f>
        <v/>
      </c>
      <c r="I179" s="19">
        <f>IF($B179="","",N(내역서!$N179))</f>
        <v/>
      </c>
      <c r="J179" s="20">
        <f>IF($B179="","",N(내역서!$R179))</f>
        <v/>
      </c>
      <c r="K179" s="19">
        <f>IF($B179="","",N($I179)-N($F179))</f>
        <v/>
      </c>
      <c r="L179" s="21">
        <f>IF($B179="","",IF(N(내역서!$F179)=0,"신규",IF($K179&lt;0,"감소",IF($K179&gt;0,"증가","-"))))</f>
        <v/>
      </c>
      <c r="M179" s="22" t="n"/>
      <c r="N179" s="23" t="n"/>
      <c r="O179" s="24">
        <f>IF($B179="","",IF($L179="감소",$G179,IF($L179="증가",IF($M179="Y",ROUND(($J179+$J179*('설정'!$C$15/100))/2,0),IF(AND($N179&lt;&gt;"",$G179&gt;$N179),$N179,$G179)),IF($L179="신규",IF($M179="Y",ROUND(($J179+$J179*('설정'!$C$15/100))/2,0),ROUND($J179*('설정'!$C$15/100),0)),0))))</f>
        <v/>
      </c>
      <c r="P179" s="24">
        <f>IF($B179="","",ROUND(N($K179)*N($O179),0))</f>
        <v/>
      </c>
      <c r="Q179" s="25">
        <f>IF($B179="","",IF($L179="감소","감소분 → 계약단가",IF(AND($M179="Y",OR($L179="증가",$L179="신규")),"발주기관 요구 → 협의 (불성립 시 (당시단가+당시단가×낙찰률)÷2)",IF($L179="증가",IF(AND($N179&lt;&gt;"",$G179&gt;$N179),"증가분 → 계약단가&gt;예정가격단가 이므로 예정가격단가","증가분 → 계약단가 (낙찰률을 곱하지 않습니다)"),IF($L179="신규","신규비목 → 당시단가 × 낙찰률","")))))</f>
        <v/>
      </c>
      <c r="R179" s="20">
        <f>IF($B179="","",IF(N($O179)=0,0,IF(OR($L179="감소",AND($L179="증가",$M179&lt;&gt;"Y")),IF(N($G179)=0,0,ROUND(N(내역서!$G179)*$O179/$G179,0)),IF(N($J179)=0,0,ROUND(N(내역서!$O179)*$O179/$J179,0)))))</f>
        <v/>
      </c>
      <c r="S179" s="20">
        <f>IF($B179="","",IF(N($O179)=0,0,IF(OR($L179="감소",AND($L179="증가",$M179&lt;&gt;"Y")),IF(N($G179)=0,0,ROUND(N(내역서!$H179)*$O179/$G179,0)),IF(N($J179)=0,0,ROUND(N(내역서!$P179)*$O179/$J179,0)))))</f>
        <v/>
      </c>
      <c r="T179" s="20">
        <f>IF($B179="","",N($O179)-N($R179)-N($S179))</f>
        <v/>
      </c>
      <c r="U179" s="20">
        <f>IF($B179="","",ROUND(N($K179)*N($R179),0))</f>
        <v/>
      </c>
      <c r="V179" s="20">
        <f>IF($B179="","",ROUND(N($K179)*N($S179),0))</f>
        <v/>
      </c>
      <c r="W179" s="20">
        <f>IF($B179="","",N($P179)-N($U179)-N($V179))</f>
        <v/>
      </c>
    </row>
    <row r="180">
      <c r="A180" s="18">
        <f>IF($B180="","",ROW()-4+1)</f>
        <v/>
      </c>
      <c r="B180" s="18">
        <f>내역서!$B180</f>
        <v/>
      </c>
      <c r="C180" s="18">
        <f>IF($B180="","",내역서!$C180)</f>
        <v/>
      </c>
      <c r="D180" s="18">
        <f>IF($B180="","",내역서!$D180)</f>
        <v/>
      </c>
      <c r="E180" s="18">
        <f>IF($B180="","",내역서!$E180)</f>
        <v/>
      </c>
      <c r="F180" s="19">
        <f>IF($B180="","",N(내역서!$F180))</f>
        <v/>
      </c>
      <c r="G180" s="20">
        <f>IF($B180="","",N(내역서!$J180))</f>
        <v/>
      </c>
      <c r="H180" s="20">
        <f>IF($B180="","",N(내역서!$K180))</f>
        <v/>
      </c>
      <c r="I180" s="19">
        <f>IF($B180="","",N(내역서!$N180))</f>
        <v/>
      </c>
      <c r="J180" s="20">
        <f>IF($B180="","",N(내역서!$R180))</f>
        <v/>
      </c>
      <c r="K180" s="19">
        <f>IF($B180="","",N($I180)-N($F180))</f>
        <v/>
      </c>
      <c r="L180" s="21">
        <f>IF($B180="","",IF(N(내역서!$F180)=0,"신규",IF($K180&lt;0,"감소",IF($K180&gt;0,"증가","-"))))</f>
        <v/>
      </c>
      <c r="M180" s="22" t="n"/>
      <c r="N180" s="23" t="n"/>
      <c r="O180" s="24">
        <f>IF($B180="","",IF($L180="감소",$G180,IF($L180="증가",IF($M180="Y",ROUND(($J180+$J180*('설정'!$C$15/100))/2,0),IF(AND($N180&lt;&gt;"",$G180&gt;$N180),$N180,$G180)),IF($L180="신규",IF($M180="Y",ROUND(($J180+$J180*('설정'!$C$15/100))/2,0),ROUND($J180*('설정'!$C$15/100),0)),0))))</f>
        <v/>
      </c>
      <c r="P180" s="24">
        <f>IF($B180="","",ROUND(N($K180)*N($O180),0))</f>
        <v/>
      </c>
      <c r="Q180" s="25">
        <f>IF($B180="","",IF($L180="감소","감소분 → 계약단가",IF(AND($M180="Y",OR($L180="증가",$L180="신규")),"발주기관 요구 → 협의 (불성립 시 (당시단가+당시단가×낙찰률)÷2)",IF($L180="증가",IF(AND($N180&lt;&gt;"",$G180&gt;$N180),"증가분 → 계약단가&gt;예정가격단가 이므로 예정가격단가","증가분 → 계약단가 (낙찰률을 곱하지 않습니다)"),IF($L180="신규","신규비목 → 당시단가 × 낙찰률","")))))</f>
        <v/>
      </c>
      <c r="R180" s="20">
        <f>IF($B180="","",IF(N($O180)=0,0,IF(OR($L180="감소",AND($L180="증가",$M180&lt;&gt;"Y")),IF(N($G180)=0,0,ROUND(N(내역서!$G180)*$O180/$G180,0)),IF(N($J180)=0,0,ROUND(N(내역서!$O180)*$O180/$J180,0)))))</f>
        <v/>
      </c>
      <c r="S180" s="20">
        <f>IF($B180="","",IF(N($O180)=0,0,IF(OR($L180="감소",AND($L180="증가",$M180&lt;&gt;"Y")),IF(N($G180)=0,0,ROUND(N(내역서!$H180)*$O180/$G180,0)),IF(N($J180)=0,0,ROUND(N(내역서!$P180)*$O180/$J180,0)))))</f>
        <v/>
      </c>
      <c r="T180" s="20">
        <f>IF($B180="","",N($O180)-N($R180)-N($S180))</f>
        <v/>
      </c>
      <c r="U180" s="20">
        <f>IF($B180="","",ROUND(N($K180)*N($R180),0))</f>
        <v/>
      </c>
      <c r="V180" s="20">
        <f>IF($B180="","",ROUND(N($K180)*N($S180),0))</f>
        <v/>
      </c>
      <c r="W180" s="20">
        <f>IF($B180="","",N($P180)-N($U180)-N($V180))</f>
        <v/>
      </c>
    </row>
    <row r="181">
      <c r="A181" s="18">
        <f>IF($B181="","",ROW()-4+1)</f>
        <v/>
      </c>
      <c r="B181" s="18">
        <f>내역서!$B181</f>
        <v/>
      </c>
      <c r="C181" s="18">
        <f>IF($B181="","",내역서!$C181)</f>
        <v/>
      </c>
      <c r="D181" s="18">
        <f>IF($B181="","",내역서!$D181)</f>
        <v/>
      </c>
      <c r="E181" s="18">
        <f>IF($B181="","",내역서!$E181)</f>
        <v/>
      </c>
      <c r="F181" s="19">
        <f>IF($B181="","",N(내역서!$F181))</f>
        <v/>
      </c>
      <c r="G181" s="20">
        <f>IF($B181="","",N(내역서!$J181))</f>
        <v/>
      </c>
      <c r="H181" s="20">
        <f>IF($B181="","",N(내역서!$K181))</f>
        <v/>
      </c>
      <c r="I181" s="19">
        <f>IF($B181="","",N(내역서!$N181))</f>
        <v/>
      </c>
      <c r="J181" s="20">
        <f>IF($B181="","",N(내역서!$R181))</f>
        <v/>
      </c>
      <c r="K181" s="19">
        <f>IF($B181="","",N($I181)-N($F181))</f>
        <v/>
      </c>
      <c r="L181" s="21">
        <f>IF($B181="","",IF(N(내역서!$F181)=0,"신규",IF($K181&lt;0,"감소",IF($K181&gt;0,"증가","-"))))</f>
        <v/>
      </c>
      <c r="M181" s="22" t="n"/>
      <c r="N181" s="23" t="n"/>
      <c r="O181" s="24">
        <f>IF($B181="","",IF($L181="감소",$G181,IF($L181="증가",IF($M181="Y",ROUND(($J181+$J181*('설정'!$C$15/100))/2,0),IF(AND($N181&lt;&gt;"",$G181&gt;$N181),$N181,$G181)),IF($L181="신규",IF($M181="Y",ROUND(($J181+$J181*('설정'!$C$15/100))/2,0),ROUND($J181*('설정'!$C$15/100),0)),0))))</f>
        <v/>
      </c>
      <c r="P181" s="24">
        <f>IF($B181="","",ROUND(N($K181)*N($O181),0))</f>
        <v/>
      </c>
      <c r="Q181" s="25">
        <f>IF($B181="","",IF($L181="감소","감소분 → 계약단가",IF(AND($M181="Y",OR($L181="증가",$L181="신규")),"발주기관 요구 → 협의 (불성립 시 (당시단가+당시단가×낙찰률)÷2)",IF($L181="증가",IF(AND($N181&lt;&gt;"",$G181&gt;$N181),"증가분 → 계약단가&gt;예정가격단가 이므로 예정가격단가","증가분 → 계약단가 (낙찰률을 곱하지 않습니다)"),IF($L181="신규","신규비목 → 당시단가 × 낙찰률","")))))</f>
        <v/>
      </c>
      <c r="R181" s="20">
        <f>IF($B181="","",IF(N($O181)=0,0,IF(OR($L181="감소",AND($L181="증가",$M181&lt;&gt;"Y")),IF(N($G181)=0,0,ROUND(N(내역서!$G181)*$O181/$G181,0)),IF(N($J181)=0,0,ROUND(N(내역서!$O181)*$O181/$J181,0)))))</f>
        <v/>
      </c>
      <c r="S181" s="20">
        <f>IF($B181="","",IF(N($O181)=0,0,IF(OR($L181="감소",AND($L181="증가",$M181&lt;&gt;"Y")),IF(N($G181)=0,0,ROUND(N(내역서!$H181)*$O181/$G181,0)),IF(N($J181)=0,0,ROUND(N(내역서!$P181)*$O181/$J181,0)))))</f>
        <v/>
      </c>
      <c r="T181" s="20">
        <f>IF($B181="","",N($O181)-N($R181)-N($S181))</f>
        <v/>
      </c>
      <c r="U181" s="20">
        <f>IF($B181="","",ROUND(N($K181)*N($R181),0))</f>
        <v/>
      </c>
      <c r="V181" s="20">
        <f>IF($B181="","",ROUND(N($K181)*N($S181),0))</f>
        <v/>
      </c>
      <c r="W181" s="20">
        <f>IF($B181="","",N($P181)-N($U181)-N($V181))</f>
        <v/>
      </c>
    </row>
    <row r="182">
      <c r="A182" s="18">
        <f>IF($B182="","",ROW()-4+1)</f>
        <v/>
      </c>
      <c r="B182" s="18">
        <f>내역서!$B182</f>
        <v/>
      </c>
      <c r="C182" s="18">
        <f>IF($B182="","",내역서!$C182)</f>
        <v/>
      </c>
      <c r="D182" s="18">
        <f>IF($B182="","",내역서!$D182)</f>
        <v/>
      </c>
      <c r="E182" s="18">
        <f>IF($B182="","",내역서!$E182)</f>
        <v/>
      </c>
      <c r="F182" s="19">
        <f>IF($B182="","",N(내역서!$F182))</f>
        <v/>
      </c>
      <c r="G182" s="20">
        <f>IF($B182="","",N(내역서!$J182))</f>
        <v/>
      </c>
      <c r="H182" s="20">
        <f>IF($B182="","",N(내역서!$K182))</f>
        <v/>
      </c>
      <c r="I182" s="19">
        <f>IF($B182="","",N(내역서!$N182))</f>
        <v/>
      </c>
      <c r="J182" s="20">
        <f>IF($B182="","",N(내역서!$R182))</f>
        <v/>
      </c>
      <c r="K182" s="19">
        <f>IF($B182="","",N($I182)-N($F182))</f>
        <v/>
      </c>
      <c r="L182" s="21">
        <f>IF($B182="","",IF(N(내역서!$F182)=0,"신규",IF($K182&lt;0,"감소",IF($K182&gt;0,"증가","-"))))</f>
        <v/>
      </c>
      <c r="M182" s="22" t="n"/>
      <c r="N182" s="23" t="n"/>
      <c r="O182" s="24">
        <f>IF($B182="","",IF($L182="감소",$G182,IF($L182="증가",IF($M182="Y",ROUND(($J182+$J182*('설정'!$C$15/100))/2,0),IF(AND($N182&lt;&gt;"",$G182&gt;$N182),$N182,$G182)),IF($L182="신규",IF($M182="Y",ROUND(($J182+$J182*('설정'!$C$15/100))/2,0),ROUND($J182*('설정'!$C$15/100),0)),0))))</f>
        <v/>
      </c>
      <c r="P182" s="24">
        <f>IF($B182="","",ROUND(N($K182)*N($O182),0))</f>
        <v/>
      </c>
      <c r="Q182" s="25">
        <f>IF($B182="","",IF($L182="감소","감소분 → 계약단가",IF(AND($M182="Y",OR($L182="증가",$L182="신규")),"발주기관 요구 → 협의 (불성립 시 (당시단가+당시단가×낙찰률)÷2)",IF($L182="증가",IF(AND($N182&lt;&gt;"",$G182&gt;$N182),"증가분 → 계약단가&gt;예정가격단가 이므로 예정가격단가","증가분 → 계약단가 (낙찰률을 곱하지 않습니다)"),IF($L182="신규","신규비목 → 당시단가 × 낙찰률","")))))</f>
        <v/>
      </c>
      <c r="R182" s="20">
        <f>IF($B182="","",IF(N($O182)=0,0,IF(OR($L182="감소",AND($L182="증가",$M182&lt;&gt;"Y")),IF(N($G182)=0,0,ROUND(N(내역서!$G182)*$O182/$G182,0)),IF(N($J182)=0,0,ROUND(N(내역서!$O182)*$O182/$J182,0)))))</f>
        <v/>
      </c>
      <c r="S182" s="20">
        <f>IF($B182="","",IF(N($O182)=0,0,IF(OR($L182="감소",AND($L182="증가",$M182&lt;&gt;"Y")),IF(N($G182)=0,0,ROUND(N(내역서!$H182)*$O182/$G182,0)),IF(N($J182)=0,0,ROUND(N(내역서!$P182)*$O182/$J182,0)))))</f>
        <v/>
      </c>
      <c r="T182" s="20">
        <f>IF($B182="","",N($O182)-N($R182)-N($S182))</f>
        <v/>
      </c>
      <c r="U182" s="20">
        <f>IF($B182="","",ROUND(N($K182)*N($R182),0))</f>
        <v/>
      </c>
      <c r="V182" s="20">
        <f>IF($B182="","",ROUND(N($K182)*N($S182),0))</f>
        <v/>
      </c>
      <c r="W182" s="20">
        <f>IF($B182="","",N($P182)-N($U182)-N($V182))</f>
        <v/>
      </c>
    </row>
    <row r="183">
      <c r="A183" s="18">
        <f>IF($B183="","",ROW()-4+1)</f>
        <v/>
      </c>
      <c r="B183" s="18">
        <f>내역서!$B183</f>
        <v/>
      </c>
      <c r="C183" s="18">
        <f>IF($B183="","",내역서!$C183)</f>
        <v/>
      </c>
      <c r="D183" s="18">
        <f>IF($B183="","",내역서!$D183)</f>
        <v/>
      </c>
      <c r="E183" s="18">
        <f>IF($B183="","",내역서!$E183)</f>
        <v/>
      </c>
      <c r="F183" s="19">
        <f>IF($B183="","",N(내역서!$F183))</f>
        <v/>
      </c>
      <c r="G183" s="20">
        <f>IF($B183="","",N(내역서!$J183))</f>
        <v/>
      </c>
      <c r="H183" s="20">
        <f>IF($B183="","",N(내역서!$K183))</f>
        <v/>
      </c>
      <c r="I183" s="19">
        <f>IF($B183="","",N(내역서!$N183))</f>
        <v/>
      </c>
      <c r="J183" s="20">
        <f>IF($B183="","",N(내역서!$R183))</f>
        <v/>
      </c>
      <c r="K183" s="19">
        <f>IF($B183="","",N($I183)-N($F183))</f>
        <v/>
      </c>
      <c r="L183" s="21">
        <f>IF($B183="","",IF(N(내역서!$F183)=0,"신규",IF($K183&lt;0,"감소",IF($K183&gt;0,"증가","-"))))</f>
        <v/>
      </c>
      <c r="M183" s="22" t="n"/>
      <c r="N183" s="23" t="n"/>
      <c r="O183" s="24">
        <f>IF($B183="","",IF($L183="감소",$G183,IF($L183="증가",IF($M183="Y",ROUND(($J183+$J183*('설정'!$C$15/100))/2,0),IF(AND($N183&lt;&gt;"",$G183&gt;$N183),$N183,$G183)),IF($L183="신규",IF($M183="Y",ROUND(($J183+$J183*('설정'!$C$15/100))/2,0),ROUND($J183*('설정'!$C$15/100),0)),0))))</f>
        <v/>
      </c>
      <c r="P183" s="24">
        <f>IF($B183="","",ROUND(N($K183)*N($O183),0))</f>
        <v/>
      </c>
      <c r="Q183" s="25">
        <f>IF($B183="","",IF($L183="감소","감소분 → 계약단가",IF(AND($M183="Y",OR($L183="증가",$L183="신규")),"발주기관 요구 → 협의 (불성립 시 (당시단가+당시단가×낙찰률)÷2)",IF($L183="증가",IF(AND($N183&lt;&gt;"",$G183&gt;$N183),"증가분 → 계약단가&gt;예정가격단가 이므로 예정가격단가","증가분 → 계약단가 (낙찰률을 곱하지 않습니다)"),IF($L183="신규","신규비목 → 당시단가 × 낙찰률","")))))</f>
        <v/>
      </c>
      <c r="R183" s="20">
        <f>IF($B183="","",IF(N($O183)=0,0,IF(OR($L183="감소",AND($L183="증가",$M183&lt;&gt;"Y")),IF(N($G183)=0,0,ROUND(N(내역서!$G183)*$O183/$G183,0)),IF(N($J183)=0,0,ROUND(N(내역서!$O183)*$O183/$J183,0)))))</f>
        <v/>
      </c>
      <c r="S183" s="20">
        <f>IF($B183="","",IF(N($O183)=0,0,IF(OR($L183="감소",AND($L183="증가",$M183&lt;&gt;"Y")),IF(N($G183)=0,0,ROUND(N(내역서!$H183)*$O183/$G183,0)),IF(N($J183)=0,0,ROUND(N(내역서!$P183)*$O183/$J183,0)))))</f>
        <v/>
      </c>
      <c r="T183" s="20">
        <f>IF($B183="","",N($O183)-N($R183)-N($S183))</f>
        <v/>
      </c>
      <c r="U183" s="20">
        <f>IF($B183="","",ROUND(N($K183)*N($R183),0))</f>
        <v/>
      </c>
      <c r="V183" s="20">
        <f>IF($B183="","",ROUND(N($K183)*N($S183),0))</f>
        <v/>
      </c>
      <c r="W183" s="20">
        <f>IF($B183="","",N($P183)-N($U183)-N($V183))</f>
        <v/>
      </c>
    </row>
    <row r="184">
      <c r="A184" s="18">
        <f>IF($B184="","",ROW()-4+1)</f>
        <v/>
      </c>
      <c r="B184" s="18">
        <f>내역서!$B184</f>
        <v/>
      </c>
      <c r="C184" s="18">
        <f>IF($B184="","",내역서!$C184)</f>
        <v/>
      </c>
      <c r="D184" s="18">
        <f>IF($B184="","",내역서!$D184)</f>
        <v/>
      </c>
      <c r="E184" s="18">
        <f>IF($B184="","",내역서!$E184)</f>
        <v/>
      </c>
      <c r="F184" s="19">
        <f>IF($B184="","",N(내역서!$F184))</f>
        <v/>
      </c>
      <c r="G184" s="20">
        <f>IF($B184="","",N(내역서!$J184))</f>
        <v/>
      </c>
      <c r="H184" s="20">
        <f>IF($B184="","",N(내역서!$K184))</f>
        <v/>
      </c>
      <c r="I184" s="19">
        <f>IF($B184="","",N(내역서!$N184))</f>
        <v/>
      </c>
      <c r="J184" s="20">
        <f>IF($B184="","",N(내역서!$R184))</f>
        <v/>
      </c>
      <c r="K184" s="19">
        <f>IF($B184="","",N($I184)-N($F184))</f>
        <v/>
      </c>
      <c r="L184" s="21">
        <f>IF($B184="","",IF(N(내역서!$F184)=0,"신규",IF($K184&lt;0,"감소",IF($K184&gt;0,"증가","-"))))</f>
        <v/>
      </c>
      <c r="M184" s="22" t="n"/>
      <c r="N184" s="23" t="n"/>
      <c r="O184" s="24">
        <f>IF($B184="","",IF($L184="감소",$G184,IF($L184="증가",IF($M184="Y",ROUND(($J184+$J184*('설정'!$C$15/100))/2,0),IF(AND($N184&lt;&gt;"",$G184&gt;$N184),$N184,$G184)),IF($L184="신규",IF($M184="Y",ROUND(($J184+$J184*('설정'!$C$15/100))/2,0),ROUND($J184*('설정'!$C$15/100),0)),0))))</f>
        <v/>
      </c>
      <c r="P184" s="24">
        <f>IF($B184="","",ROUND(N($K184)*N($O184),0))</f>
        <v/>
      </c>
      <c r="Q184" s="25">
        <f>IF($B184="","",IF($L184="감소","감소분 → 계약단가",IF(AND($M184="Y",OR($L184="증가",$L184="신규")),"발주기관 요구 → 협의 (불성립 시 (당시단가+당시단가×낙찰률)÷2)",IF($L184="증가",IF(AND($N184&lt;&gt;"",$G184&gt;$N184),"증가분 → 계약단가&gt;예정가격단가 이므로 예정가격단가","증가분 → 계약단가 (낙찰률을 곱하지 않습니다)"),IF($L184="신규","신규비목 → 당시단가 × 낙찰률","")))))</f>
        <v/>
      </c>
      <c r="R184" s="20">
        <f>IF($B184="","",IF(N($O184)=0,0,IF(OR($L184="감소",AND($L184="증가",$M184&lt;&gt;"Y")),IF(N($G184)=0,0,ROUND(N(내역서!$G184)*$O184/$G184,0)),IF(N($J184)=0,0,ROUND(N(내역서!$O184)*$O184/$J184,0)))))</f>
        <v/>
      </c>
      <c r="S184" s="20">
        <f>IF($B184="","",IF(N($O184)=0,0,IF(OR($L184="감소",AND($L184="증가",$M184&lt;&gt;"Y")),IF(N($G184)=0,0,ROUND(N(내역서!$H184)*$O184/$G184,0)),IF(N($J184)=0,0,ROUND(N(내역서!$P184)*$O184/$J184,0)))))</f>
        <v/>
      </c>
      <c r="T184" s="20">
        <f>IF($B184="","",N($O184)-N($R184)-N($S184))</f>
        <v/>
      </c>
      <c r="U184" s="20">
        <f>IF($B184="","",ROUND(N($K184)*N($R184),0))</f>
        <v/>
      </c>
      <c r="V184" s="20">
        <f>IF($B184="","",ROUND(N($K184)*N($S184),0))</f>
        <v/>
      </c>
      <c r="W184" s="20">
        <f>IF($B184="","",N($P184)-N($U184)-N($V184))</f>
        <v/>
      </c>
    </row>
    <row r="185">
      <c r="A185" s="18">
        <f>IF($B185="","",ROW()-4+1)</f>
        <v/>
      </c>
      <c r="B185" s="18">
        <f>내역서!$B185</f>
        <v/>
      </c>
      <c r="C185" s="18">
        <f>IF($B185="","",내역서!$C185)</f>
        <v/>
      </c>
      <c r="D185" s="18">
        <f>IF($B185="","",내역서!$D185)</f>
        <v/>
      </c>
      <c r="E185" s="18">
        <f>IF($B185="","",내역서!$E185)</f>
        <v/>
      </c>
      <c r="F185" s="19">
        <f>IF($B185="","",N(내역서!$F185))</f>
        <v/>
      </c>
      <c r="G185" s="20">
        <f>IF($B185="","",N(내역서!$J185))</f>
        <v/>
      </c>
      <c r="H185" s="20">
        <f>IF($B185="","",N(내역서!$K185))</f>
        <v/>
      </c>
      <c r="I185" s="19">
        <f>IF($B185="","",N(내역서!$N185))</f>
        <v/>
      </c>
      <c r="J185" s="20">
        <f>IF($B185="","",N(내역서!$R185))</f>
        <v/>
      </c>
      <c r="K185" s="19">
        <f>IF($B185="","",N($I185)-N($F185))</f>
        <v/>
      </c>
      <c r="L185" s="21">
        <f>IF($B185="","",IF(N(내역서!$F185)=0,"신규",IF($K185&lt;0,"감소",IF($K185&gt;0,"증가","-"))))</f>
        <v/>
      </c>
      <c r="M185" s="22" t="n"/>
      <c r="N185" s="23" t="n"/>
      <c r="O185" s="24">
        <f>IF($B185="","",IF($L185="감소",$G185,IF($L185="증가",IF($M185="Y",ROUND(($J185+$J185*('설정'!$C$15/100))/2,0),IF(AND($N185&lt;&gt;"",$G185&gt;$N185),$N185,$G185)),IF($L185="신규",IF($M185="Y",ROUND(($J185+$J185*('설정'!$C$15/100))/2,0),ROUND($J185*('설정'!$C$15/100),0)),0))))</f>
        <v/>
      </c>
      <c r="P185" s="24">
        <f>IF($B185="","",ROUND(N($K185)*N($O185),0))</f>
        <v/>
      </c>
      <c r="Q185" s="25">
        <f>IF($B185="","",IF($L185="감소","감소분 → 계약단가",IF(AND($M185="Y",OR($L185="증가",$L185="신규")),"발주기관 요구 → 협의 (불성립 시 (당시단가+당시단가×낙찰률)÷2)",IF($L185="증가",IF(AND($N185&lt;&gt;"",$G185&gt;$N185),"증가분 → 계약단가&gt;예정가격단가 이므로 예정가격단가","증가분 → 계약단가 (낙찰률을 곱하지 않습니다)"),IF($L185="신규","신규비목 → 당시단가 × 낙찰률","")))))</f>
        <v/>
      </c>
      <c r="R185" s="20">
        <f>IF($B185="","",IF(N($O185)=0,0,IF(OR($L185="감소",AND($L185="증가",$M185&lt;&gt;"Y")),IF(N($G185)=0,0,ROUND(N(내역서!$G185)*$O185/$G185,0)),IF(N($J185)=0,0,ROUND(N(내역서!$O185)*$O185/$J185,0)))))</f>
        <v/>
      </c>
      <c r="S185" s="20">
        <f>IF($B185="","",IF(N($O185)=0,0,IF(OR($L185="감소",AND($L185="증가",$M185&lt;&gt;"Y")),IF(N($G185)=0,0,ROUND(N(내역서!$H185)*$O185/$G185,0)),IF(N($J185)=0,0,ROUND(N(내역서!$P185)*$O185/$J185,0)))))</f>
        <v/>
      </c>
      <c r="T185" s="20">
        <f>IF($B185="","",N($O185)-N($R185)-N($S185))</f>
        <v/>
      </c>
      <c r="U185" s="20">
        <f>IF($B185="","",ROUND(N($K185)*N($R185),0))</f>
        <v/>
      </c>
      <c r="V185" s="20">
        <f>IF($B185="","",ROUND(N($K185)*N($S185),0))</f>
        <v/>
      </c>
      <c r="W185" s="20">
        <f>IF($B185="","",N($P185)-N($U185)-N($V185))</f>
        <v/>
      </c>
    </row>
    <row r="186">
      <c r="A186" s="18">
        <f>IF($B186="","",ROW()-4+1)</f>
        <v/>
      </c>
      <c r="B186" s="18">
        <f>내역서!$B186</f>
        <v/>
      </c>
      <c r="C186" s="18">
        <f>IF($B186="","",내역서!$C186)</f>
        <v/>
      </c>
      <c r="D186" s="18">
        <f>IF($B186="","",내역서!$D186)</f>
        <v/>
      </c>
      <c r="E186" s="18">
        <f>IF($B186="","",내역서!$E186)</f>
        <v/>
      </c>
      <c r="F186" s="19">
        <f>IF($B186="","",N(내역서!$F186))</f>
        <v/>
      </c>
      <c r="G186" s="20">
        <f>IF($B186="","",N(내역서!$J186))</f>
        <v/>
      </c>
      <c r="H186" s="20">
        <f>IF($B186="","",N(내역서!$K186))</f>
        <v/>
      </c>
      <c r="I186" s="19">
        <f>IF($B186="","",N(내역서!$N186))</f>
        <v/>
      </c>
      <c r="J186" s="20">
        <f>IF($B186="","",N(내역서!$R186))</f>
        <v/>
      </c>
      <c r="K186" s="19">
        <f>IF($B186="","",N($I186)-N($F186))</f>
        <v/>
      </c>
      <c r="L186" s="21">
        <f>IF($B186="","",IF(N(내역서!$F186)=0,"신규",IF($K186&lt;0,"감소",IF($K186&gt;0,"증가","-"))))</f>
        <v/>
      </c>
      <c r="M186" s="22" t="n"/>
      <c r="N186" s="23" t="n"/>
      <c r="O186" s="24">
        <f>IF($B186="","",IF($L186="감소",$G186,IF($L186="증가",IF($M186="Y",ROUND(($J186+$J186*('설정'!$C$15/100))/2,0),IF(AND($N186&lt;&gt;"",$G186&gt;$N186),$N186,$G186)),IF($L186="신규",IF($M186="Y",ROUND(($J186+$J186*('설정'!$C$15/100))/2,0),ROUND($J186*('설정'!$C$15/100),0)),0))))</f>
        <v/>
      </c>
      <c r="P186" s="24">
        <f>IF($B186="","",ROUND(N($K186)*N($O186),0))</f>
        <v/>
      </c>
      <c r="Q186" s="25">
        <f>IF($B186="","",IF($L186="감소","감소분 → 계약단가",IF(AND($M186="Y",OR($L186="증가",$L186="신규")),"발주기관 요구 → 협의 (불성립 시 (당시단가+당시단가×낙찰률)÷2)",IF($L186="증가",IF(AND($N186&lt;&gt;"",$G186&gt;$N186),"증가분 → 계약단가&gt;예정가격단가 이므로 예정가격단가","증가분 → 계약단가 (낙찰률을 곱하지 않습니다)"),IF($L186="신규","신규비목 → 당시단가 × 낙찰률","")))))</f>
        <v/>
      </c>
      <c r="R186" s="20">
        <f>IF($B186="","",IF(N($O186)=0,0,IF(OR($L186="감소",AND($L186="증가",$M186&lt;&gt;"Y")),IF(N($G186)=0,0,ROUND(N(내역서!$G186)*$O186/$G186,0)),IF(N($J186)=0,0,ROUND(N(내역서!$O186)*$O186/$J186,0)))))</f>
        <v/>
      </c>
      <c r="S186" s="20">
        <f>IF($B186="","",IF(N($O186)=0,0,IF(OR($L186="감소",AND($L186="증가",$M186&lt;&gt;"Y")),IF(N($G186)=0,0,ROUND(N(내역서!$H186)*$O186/$G186,0)),IF(N($J186)=0,0,ROUND(N(내역서!$P186)*$O186/$J186,0)))))</f>
        <v/>
      </c>
      <c r="T186" s="20">
        <f>IF($B186="","",N($O186)-N($R186)-N($S186))</f>
        <v/>
      </c>
      <c r="U186" s="20">
        <f>IF($B186="","",ROUND(N($K186)*N($R186),0))</f>
        <v/>
      </c>
      <c r="V186" s="20">
        <f>IF($B186="","",ROUND(N($K186)*N($S186),0))</f>
        <v/>
      </c>
      <c r="W186" s="20">
        <f>IF($B186="","",N($P186)-N($U186)-N($V186))</f>
        <v/>
      </c>
    </row>
    <row r="187">
      <c r="A187" s="18">
        <f>IF($B187="","",ROW()-4+1)</f>
        <v/>
      </c>
      <c r="B187" s="18">
        <f>내역서!$B187</f>
        <v/>
      </c>
      <c r="C187" s="18">
        <f>IF($B187="","",내역서!$C187)</f>
        <v/>
      </c>
      <c r="D187" s="18">
        <f>IF($B187="","",내역서!$D187)</f>
        <v/>
      </c>
      <c r="E187" s="18">
        <f>IF($B187="","",내역서!$E187)</f>
        <v/>
      </c>
      <c r="F187" s="19">
        <f>IF($B187="","",N(내역서!$F187))</f>
        <v/>
      </c>
      <c r="G187" s="20">
        <f>IF($B187="","",N(내역서!$J187))</f>
        <v/>
      </c>
      <c r="H187" s="20">
        <f>IF($B187="","",N(내역서!$K187))</f>
        <v/>
      </c>
      <c r="I187" s="19">
        <f>IF($B187="","",N(내역서!$N187))</f>
        <v/>
      </c>
      <c r="J187" s="20">
        <f>IF($B187="","",N(내역서!$R187))</f>
        <v/>
      </c>
      <c r="K187" s="19">
        <f>IF($B187="","",N($I187)-N($F187))</f>
        <v/>
      </c>
      <c r="L187" s="21">
        <f>IF($B187="","",IF(N(내역서!$F187)=0,"신규",IF($K187&lt;0,"감소",IF($K187&gt;0,"증가","-"))))</f>
        <v/>
      </c>
      <c r="M187" s="22" t="n"/>
      <c r="N187" s="23" t="n"/>
      <c r="O187" s="24">
        <f>IF($B187="","",IF($L187="감소",$G187,IF($L187="증가",IF($M187="Y",ROUND(($J187+$J187*('설정'!$C$15/100))/2,0),IF(AND($N187&lt;&gt;"",$G187&gt;$N187),$N187,$G187)),IF($L187="신규",IF($M187="Y",ROUND(($J187+$J187*('설정'!$C$15/100))/2,0),ROUND($J187*('설정'!$C$15/100),0)),0))))</f>
        <v/>
      </c>
      <c r="P187" s="24">
        <f>IF($B187="","",ROUND(N($K187)*N($O187),0))</f>
        <v/>
      </c>
      <c r="Q187" s="25">
        <f>IF($B187="","",IF($L187="감소","감소분 → 계약단가",IF(AND($M187="Y",OR($L187="증가",$L187="신규")),"발주기관 요구 → 협의 (불성립 시 (당시단가+당시단가×낙찰률)÷2)",IF($L187="증가",IF(AND($N187&lt;&gt;"",$G187&gt;$N187),"증가분 → 계약단가&gt;예정가격단가 이므로 예정가격단가","증가분 → 계약단가 (낙찰률을 곱하지 않습니다)"),IF($L187="신규","신규비목 → 당시단가 × 낙찰률","")))))</f>
        <v/>
      </c>
      <c r="R187" s="20">
        <f>IF($B187="","",IF(N($O187)=0,0,IF(OR($L187="감소",AND($L187="증가",$M187&lt;&gt;"Y")),IF(N($G187)=0,0,ROUND(N(내역서!$G187)*$O187/$G187,0)),IF(N($J187)=0,0,ROUND(N(내역서!$O187)*$O187/$J187,0)))))</f>
        <v/>
      </c>
      <c r="S187" s="20">
        <f>IF($B187="","",IF(N($O187)=0,0,IF(OR($L187="감소",AND($L187="증가",$M187&lt;&gt;"Y")),IF(N($G187)=0,0,ROUND(N(내역서!$H187)*$O187/$G187,0)),IF(N($J187)=0,0,ROUND(N(내역서!$P187)*$O187/$J187,0)))))</f>
        <v/>
      </c>
      <c r="T187" s="20">
        <f>IF($B187="","",N($O187)-N($R187)-N($S187))</f>
        <v/>
      </c>
      <c r="U187" s="20">
        <f>IF($B187="","",ROUND(N($K187)*N($R187),0))</f>
        <v/>
      </c>
      <c r="V187" s="20">
        <f>IF($B187="","",ROUND(N($K187)*N($S187),0))</f>
        <v/>
      </c>
      <c r="W187" s="20">
        <f>IF($B187="","",N($P187)-N($U187)-N($V187))</f>
        <v/>
      </c>
    </row>
    <row r="188">
      <c r="A188" s="18">
        <f>IF($B188="","",ROW()-4+1)</f>
        <v/>
      </c>
      <c r="B188" s="18">
        <f>내역서!$B188</f>
        <v/>
      </c>
      <c r="C188" s="18">
        <f>IF($B188="","",내역서!$C188)</f>
        <v/>
      </c>
      <c r="D188" s="18">
        <f>IF($B188="","",내역서!$D188)</f>
        <v/>
      </c>
      <c r="E188" s="18">
        <f>IF($B188="","",내역서!$E188)</f>
        <v/>
      </c>
      <c r="F188" s="19">
        <f>IF($B188="","",N(내역서!$F188))</f>
        <v/>
      </c>
      <c r="G188" s="20">
        <f>IF($B188="","",N(내역서!$J188))</f>
        <v/>
      </c>
      <c r="H188" s="20">
        <f>IF($B188="","",N(내역서!$K188))</f>
        <v/>
      </c>
      <c r="I188" s="19">
        <f>IF($B188="","",N(내역서!$N188))</f>
        <v/>
      </c>
      <c r="J188" s="20">
        <f>IF($B188="","",N(내역서!$R188))</f>
        <v/>
      </c>
      <c r="K188" s="19">
        <f>IF($B188="","",N($I188)-N($F188))</f>
        <v/>
      </c>
      <c r="L188" s="21">
        <f>IF($B188="","",IF(N(내역서!$F188)=0,"신규",IF($K188&lt;0,"감소",IF($K188&gt;0,"증가","-"))))</f>
        <v/>
      </c>
      <c r="M188" s="22" t="n"/>
      <c r="N188" s="23" t="n"/>
      <c r="O188" s="24">
        <f>IF($B188="","",IF($L188="감소",$G188,IF($L188="증가",IF($M188="Y",ROUND(($J188+$J188*('설정'!$C$15/100))/2,0),IF(AND($N188&lt;&gt;"",$G188&gt;$N188),$N188,$G188)),IF($L188="신규",IF($M188="Y",ROUND(($J188+$J188*('설정'!$C$15/100))/2,0),ROUND($J188*('설정'!$C$15/100),0)),0))))</f>
        <v/>
      </c>
      <c r="P188" s="24">
        <f>IF($B188="","",ROUND(N($K188)*N($O188),0))</f>
        <v/>
      </c>
      <c r="Q188" s="25">
        <f>IF($B188="","",IF($L188="감소","감소분 → 계약단가",IF(AND($M188="Y",OR($L188="증가",$L188="신규")),"발주기관 요구 → 협의 (불성립 시 (당시단가+당시단가×낙찰률)÷2)",IF($L188="증가",IF(AND($N188&lt;&gt;"",$G188&gt;$N188),"증가분 → 계약단가&gt;예정가격단가 이므로 예정가격단가","증가분 → 계약단가 (낙찰률을 곱하지 않습니다)"),IF($L188="신규","신규비목 → 당시단가 × 낙찰률","")))))</f>
        <v/>
      </c>
      <c r="R188" s="20">
        <f>IF($B188="","",IF(N($O188)=0,0,IF(OR($L188="감소",AND($L188="증가",$M188&lt;&gt;"Y")),IF(N($G188)=0,0,ROUND(N(내역서!$G188)*$O188/$G188,0)),IF(N($J188)=0,0,ROUND(N(내역서!$O188)*$O188/$J188,0)))))</f>
        <v/>
      </c>
      <c r="S188" s="20">
        <f>IF($B188="","",IF(N($O188)=0,0,IF(OR($L188="감소",AND($L188="증가",$M188&lt;&gt;"Y")),IF(N($G188)=0,0,ROUND(N(내역서!$H188)*$O188/$G188,0)),IF(N($J188)=0,0,ROUND(N(내역서!$P188)*$O188/$J188,0)))))</f>
        <v/>
      </c>
      <c r="T188" s="20">
        <f>IF($B188="","",N($O188)-N($R188)-N($S188))</f>
        <v/>
      </c>
      <c r="U188" s="20">
        <f>IF($B188="","",ROUND(N($K188)*N($R188),0))</f>
        <v/>
      </c>
      <c r="V188" s="20">
        <f>IF($B188="","",ROUND(N($K188)*N($S188),0))</f>
        <v/>
      </c>
      <c r="W188" s="20">
        <f>IF($B188="","",N($P188)-N($U188)-N($V188))</f>
        <v/>
      </c>
    </row>
    <row r="189">
      <c r="A189" s="18">
        <f>IF($B189="","",ROW()-4+1)</f>
        <v/>
      </c>
      <c r="B189" s="18">
        <f>내역서!$B189</f>
        <v/>
      </c>
      <c r="C189" s="18">
        <f>IF($B189="","",내역서!$C189)</f>
        <v/>
      </c>
      <c r="D189" s="18">
        <f>IF($B189="","",내역서!$D189)</f>
        <v/>
      </c>
      <c r="E189" s="18">
        <f>IF($B189="","",내역서!$E189)</f>
        <v/>
      </c>
      <c r="F189" s="19">
        <f>IF($B189="","",N(내역서!$F189))</f>
        <v/>
      </c>
      <c r="G189" s="20">
        <f>IF($B189="","",N(내역서!$J189))</f>
        <v/>
      </c>
      <c r="H189" s="20">
        <f>IF($B189="","",N(내역서!$K189))</f>
        <v/>
      </c>
      <c r="I189" s="19">
        <f>IF($B189="","",N(내역서!$N189))</f>
        <v/>
      </c>
      <c r="J189" s="20">
        <f>IF($B189="","",N(내역서!$R189))</f>
        <v/>
      </c>
      <c r="K189" s="19">
        <f>IF($B189="","",N($I189)-N($F189))</f>
        <v/>
      </c>
      <c r="L189" s="21">
        <f>IF($B189="","",IF(N(내역서!$F189)=0,"신규",IF($K189&lt;0,"감소",IF($K189&gt;0,"증가","-"))))</f>
        <v/>
      </c>
      <c r="M189" s="22" t="n"/>
      <c r="N189" s="23" t="n"/>
      <c r="O189" s="24">
        <f>IF($B189="","",IF($L189="감소",$G189,IF($L189="증가",IF($M189="Y",ROUND(($J189+$J189*('설정'!$C$15/100))/2,0),IF(AND($N189&lt;&gt;"",$G189&gt;$N189),$N189,$G189)),IF($L189="신규",IF($M189="Y",ROUND(($J189+$J189*('설정'!$C$15/100))/2,0),ROUND($J189*('설정'!$C$15/100),0)),0))))</f>
        <v/>
      </c>
      <c r="P189" s="24">
        <f>IF($B189="","",ROUND(N($K189)*N($O189),0))</f>
        <v/>
      </c>
      <c r="Q189" s="25">
        <f>IF($B189="","",IF($L189="감소","감소분 → 계약단가",IF(AND($M189="Y",OR($L189="증가",$L189="신규")),"발주기관 요구 → 협의 (불성립 시 (당시단가+당시단가×낙찰률)÷2)",IF($L189="증가",IF(AND($N189&lt;&gt;"",$G189&gt;$N189),"증가분 → 계약단가&gt;예정가격단가 이므로 예정가격단가","증가분 → 계약단가 (낙찰률을 곱하지 않습니다)"),IF($L189="신규","신규비목 → 당시단가 × 낙찰률","")))))</f>
        <v/>
      </c>
      <c r="R189" s="20">
        <f>IF($B189="","",IF(N($O189)=0,0,IF(OR($L189="감소",AND($L189="증가",$M189&lt;&gt;"Y")),IF(N($G189)=0,0,ROUND(N(내역서!$G189)*$O189/$G189,0)),IF(N($J189)=0,0,ROUND(N(내역서!$O189)*$O189/$J189,0)))))</f>
        <v/>
      </c>
      <c r="S189" s="20">
        <f>IF($B189="","",IF(N($O189)=0,0,IF(OR($L189="감소",AND($L189="증가",$M189&lt;&gt;"Y")),IF(N($G189)=0,0,ROUND(N(내역서!$H189)*$O189/$G189,0)),IF(N($J189)=0,0,ROUND(N(내역서!$P189)*$O189/$J189,0)))))</f>
        <v/>
      </c>
      <c r="T189" s="20">
        <f>IF($B189="","",N($O189)-N($R189)-N($S189))</f>
        <v/>
      </c>
      <c r="U189" s="20">
        <f>IF($B189="","",ROUND(N($K189)*N($R189),0))</f>
        <v/>
      </c>
      <c r="V189" s="20">
        <f>IF($B189="","",ROUND(N($K189)*N($S189),0))</f>
        <v/>
      </c>
      <c r="W189" s="20">
        <f>IF($B189="","",N($P189)-N($U189)-N($V189))</f>
        <v/>
      </c>
    </row>
    <row r="190">
      <c r="A190" s="18">
        <f>IF($B190="","",ROW()-4+1)</f>
        <v/>
      </c>
      <c r="B190" s="18">
        <f>내역서!$B190</f>
        <v/>
      </c>
      <c r="C190" s="18">
        <f>IF($B190="","",내역서!$C190)</f>
        <v/>
      </c>
      <c r="D190" s="18">
        <f>IF($B190="","",내역서!$D190)</f>
        <v/>
      </c>
      <c r="E190" s="18">
        <f>IF($B190="","",내역서!$E190)</f>
        <v/>
      </c>
      <c r="F190" s="19">
        <f>IF($B190="","",N(내역서!$F190))</f>
        <v/>
      </c>
      <c r="G190" s="20">
        <f>IF($B190="","",N(내역서!$J190))</f>
        <v/>
      </c>
      <c r="H190" s="20">
        <f>IF($B190="","",N(내역서!$K190))</f>
        <v/>
      </c>
      <c r="I190" s="19">
        <f>IF($B190="","",N(내역서!$N190))</f>
        <v/>
      </c>
      <c r="J190" s="20">
        <f>IF($B190="","",N(내역서!$R190))</f>
        <v/>
      </c>
      <c r="K190" s="19">
        <f>IF($B190="","",N($I190)-N($F190))</f>
        <v/>
      </c>
      <c r="L190" s="21">
        <f>IF($B190="","",IF(N(내역서!$F190)=0,"신규",IF($K190&lt;0,"감소",IF($K190&gt;0,"증가","-"))))</f>
        <v/>
      </c>
      <c r="M190" s="22" t="n"/>
      <c r="N190" s="23" t="n"/>
      <c r="O190" s="24">
        <f>IF($B190="","",IF($L190="감소",$G190,IF($L190="증가",IF($M190="Y",ROUND(($J190+$J190*('설정'!$C$15/100))/2,0),IF(AND($N190&lt;&gt;"",$G190&gt;$N190),$N190,$G190)),IF($L190="신규",IF($M190="Y",ROUND(($J190+$J190*('설정'!$C$15/100))/2,0),ROUND($J190*('설정'!$C$15/100),0)),0))))</f>
        <v/>
      </c>
      <c r="P190" s="24">
        <f>IF($B190="","",ROUND(N($K190)*N($O190),0))</f>
        <v/>
      </c>
      <c r="Q190" s="25">
        <f>IF($B190="","",IF($L190="감소","감소분 → 계약단가",IF(AND($M190="Y",OR($L190="증가",$L190="신규")),"발주기관 요구 → 협의 (불성립 시 (당시단가+당시단가×낙찰률)÷2)",IF($L190="증가",IF(AND($N190&lt;&gt;"",$G190&gt;$N190),"증가분 → 계약단가&gt;예정가격단가 이므로 예정가격단가","증가분 → 계약단가 (낙찰률을 곱하지 않습니다)"),IF($L190="신규","신규비목 → 당시단가 × 낙찰률","")))))</f>
        <v/>
      </c>
      <c r="R190" s="20">
        <f>IF($B190="","",IF(N($O190)=0,0,IF(OR($L190="감소",AND($L190="증가",$M190&lt;&gt;"Y")),IF(N($G190)=0,0,ROUND(N(내역서!$G190)*$O190/$G190,0)),IF(N($J190)=0,0,ROUND(N(내역서!$O190)*$O190/$J190,0)))))</f>
        <v/>
      </c>
      <c r="S190" s="20">
        <f>IF($B190="","",IF(N($O190)=0,0,IF(OR($L190="감소",AND($L190="증가",$M190&lt;&gt;"Y")),IF(N($G190)=0,0,ROUND(N(내역서!$H190)*$O190/$G190,0)),IF(N($J190)=0,0,ROUND(N(내역서!$P190)*$O190/$J190,0)))))</f>
        <v/>
      </c>
      <c r="T190" s="20">
        <f>IF($B190="","",N($O190)-N($R190)-N($S190))</f>
        <v/>
      </c>
      <c r="U190" s="20">
        <f>IF($B190="","",ROUND(N($K190)*N($R190),0))</f>
        <v/>
      </c>
      <c r="V190" s="20">
        <f>IF($B190="","",ROUND(N($K190)*N($S190),0))</f>
        <v/>
      </c>
      <c r="W190" s="20">
        <f>IF($B190="","",N($P190)-N($U190)-N($V190))</f>
        <v/>
      </c>
    </row>
    <row r="191">
      <c r="A191" s="18">
        <f>IF($B191="","",ROW()-4+1)</f>
        <v/>
      </c>
      <c r="B191" s="18">
        <f>내역서!$B191</f>
        <v/>
      </c>
      <c r="C191" s="18">
        <f>IF($B191="","",내역서!$C191)</f>
        <v/>
      </c>
      <c r="D191" s="18">
        <f>IF($B191="","",내역서!$D191)</f>
        <v/>
      </c>
      <c r="E191" s="18">
        <f>IF($B191="","",내역서!$E191)</f>
        <v/>
      </c>
      <c r="F191" s="19">
        <f>IF($B191="","",N(내역서!$F191))</f>
        <v/>
      </c>
      <c r="G191" s="20">
        <f>IF($B191="","",N(내역서!$J191))</f>
        <v/>
      </c>
      <c r="H191" s="20">
        <f>IF($B191="","",N(내역서!$K191))</f>
        <v/>
      </c>
      <c r="I191" s="19">
        <f>IF($B191="","",N(내역서!$N191))</f>
        <v/>
      </c>
      <c r="J191" s="20">
        <f>IF($B191="","",N(내역서!$R191))</f>
        <v/>
      </c>
      <c r="K191" s="19">
        <f>IF($B191="","",N($I191)-N($F191))</f>
        <v/>
      </c>
      <c r="L191" s="21">
        <f>IF($B191="","",IF(N(내역서!$F191)=0,"신규",IF($K191&lt;0,"감소",IF($K191&gt;0,"증가","-"))))</f>
        <v/>
      </c>
      <c r="M191" s="22" t="n"/>
      <c r="N191" s="23" t="n"/>
      <c r="O191" s="24">
        <f>IF($B191="","",IF($L191="감소",$G191,IF($L191="증가",IF($M191="Y",ROUND(($J191+$J191*('설정'!$C$15/100))/2,0),IF(AND($N191&lt;&gt;"",$G191&gt;$N191),$N191,$G191)),IF($L191="신규",IF($M191="Y",ROUND(($J191+$J191*('설정'!$C$15/100))/2,0),ROUND($J191*('설정'!$C$15/100),0)),0))))</f>
        <v/>
      </c>
      <c r="P191" s="24">
        <f>IF($B191="","",ROUND(N($K191)*N($O191),0))</f>
        <v/>
      </c>
      <c r="Q191" s="25">
        <f>IF($B191="","",IF($L191="감소","감소분 → 계약단가",IF(AND($M191="Y",OR($L191="증가",$L191="신규")),"발주기관 요구 → 협의 (불성립 시 (당시단가+당시단가×낙찰률)÷2)",IF($L191="증가",IF(AND($N191&lt;&gt;"",$G191&gt;$N191),"증가분 → 계약단가&gt;예정가격단가 이므로 예정가격단가","증가분 → 계약단가 (낙찰률을 곱하지 않습니다)"),IF($L191="신규","신규비목 → 당시단가 × 낙찰률","")))))</f>
        <v/>
      </c>
      <c r="R191" s="20">
        <f>IF($B191="","",IF(N($O191)=0,0,IF(OR($L191="감소",AND($L191="증가",$M191&lt;&gt;"Y")),IF(N($G191)=0,0,ROUND(N(내역서!$G191)*$O191/$G191,0)),IF(N($J191)=0,0,ROUND(N(내역서!$O191)*$O191/$J191,0)))))</f>
        <v/>
      </c>
      <c r="S191" s="20">
        <f>IF($B191="","",IF(N($O191)=0,0,IF(OR($L191="감소",AND($L191="증가",$M191&lt;&gt;"Y")),IF(N($G191)=0,0,ROUND(N(내역서!$H191)*$O191/$G191,0)),IF(N($J191)=0,0,ROUND(N(내역서!$P191)*$O191/$J191,0)))))</f>
        <v/>
      </c>
      <c r="T191" s="20">
        <f>IF($B191="","",N($O191)-N($R191)-N($S191))</f>
        <v/>
      </c>
      <c r="U191" s="20">
        <f>IF($B191="","",ROUND(N($K191)*N($R191),0))</f>
        <v/>
      </c>
      <c r="V191" s="20">
        <f>IF($B191="","",ROUND(N($K191)*N($S191),0))</f>
        <v/>
      </c>
      <c r="W191" s="20">
        <f>IF($B191="","",N($P191)-N($U191)-N($V191))</f>
        <v/>
      </c>
    </row>
    <row r="192">
      <c r="A192" s="18">
        <f>IF($B192="","",ROW()-4+1)</f>
        <v/>
      </c>
      <c r="B192" s="18">
        <f>내역서!$B192</f>
        <v/>
      </c>
      <c r="C192" s="18">
        <f>IF($B192="","",내역서!$C192)</f>
        <v/>
      </c>
      <c r="D192" s="18">
        <f>IF($B192="","",내역서!$D192)</f>
        <v/>
      </c>
      <c r="E192" s="18">
        <f>IF($B192="","",내역서!$E192)</f>
        <v/>
      </c>
      <c r="F192" s="19">
        <f>IF($B192="","",N(내역서!$F192))</f>
        <v/>
      </c>
      <c r="G192" s="20">
        <f>IF($B192="","",N(내역서!$J192))</f>
        <v/>
      </c>
      <c r="H192" s="20">
        <f>IF($B192="","",N(내역서!$K192))</f>
        <v/>
      </c>
      <c r="I192" s="19">
        <f>IF($B192="","",N(내역서!$N192))</f>
        <v/>
      </c>
      <c r="J192" s="20">
        <f>IF($B192="","",N(내역서!$R192))</f>
        <v/>
      </c>
      <c r="K192" s="19">
        <f>IF($B192="","",N($I192)-N($F192))</f>
        <v/>
      </c>
      <c r="L192" s="21">
        <f>IF($B192="","",IF(N(내역서!$F192)=0,"신규",IF($K192&lt;0,"감소",IF($K192&gt;0,"증가","-"))))</f>
        <v/>
      </c>
      <c r="M192" s="22" t="n"/>
      <c r="N192" s="23" t="n"/>
      <c r="O192" s="24">
        <f>IF($B192="","",IF($L192="감소",$G192,IF($L192="증가",IF($M192="Y",ROUND(($J192+$J192*('설정'!$C$15/100))/2,0),IF(AND($N192&lt;&gt;"",$G192&gt;$N192),$N192,$G192)),IF($L192="신규",IF($M192="Y",ROUND(($J192+$J192*('설정'!$C$15/100))/2,0),ROUND($J192*('설정'!$C$15/100),0)),0))))</f>
        <v/>
      </c>
      <c r="P192" s="24">
        <f>IF($B192="","",ROUND(N($K192)*N($O192),0))</f>
        <v/>
      </c>
      <c r="Q192" s="25">
        <f>IF($B192="","",IF($L192="감소","감소분 → 계약단가",IF(AND($M192="Y",OR($L192="증가",$L192="신규")),"발주기관 요구 → 협의 (불성립 시 (당시단가+당시단가×낙찰률)÷2)",IF($L192="증가",IF(AND($N192&lt;&gt;"",$G192&gt;$N192),"증가분 → 계약단가&gt;예정가격단가 이므로 예정가격단가","증가분 → 계약단가 (낙찰률을 곱하지 않습니다)"),IF($L192="신규","신규비목 → 당시단가 × 낙찰률","")))))</f>
        <v/>
      </c>
      <c r="R192" s="20">
        <f>IF($B192="","",IF(N($O192)=0,0,IF(OR($L192="감소",AND($L192="증가",$M192&lt;&gt;"Y")),IF(N($G192)=0,0,ROUND(N(내역서!$G192)*$O192/$G192,0)),IF(N($J192)=0,0,ROUND(N(내역서!$O192)*$O192/$J192,0)))))</f>
        <v/>
      </c>
      <c r="S192" s="20">
        <f>IF($B192="","",IF(N($O192)=0,0,IF(OR($L192="감소",AND($L192="증가",$M192&lt;&gt;"Y")),IF(N($G192)=0,0,ROUND(N(내역서!$H192)*$O192/$G192,0)),IF(N($J192)=0,0,ROUND(N(내역서!$P192)*$O192/$J192,0)))))</f>
        <v/>
      </c>
      <c r="T192" s="20">
        <f>IF($B192="","",N($O192)-N($R192)-N($S192))</f>
        <v/>
      </c>
      <c r="U192" s="20">
        <f>IF($B192="","",ROUND(N($K192)*N($R192),0))</f>
        <v/>
      </c>
      <c r="V192" s="20">
        <f>IF($B192="","",ROUND(N($K192)*N($S192),0))</f>
        <v/>
      </c>
      <c r="W192" s="20">
        <f>IF($B192="","",N($P192)-N($U192)-N($V192))</f>
        <v/>
      </c>
    </row>
    <row r="193">
      <c r="A193" s="18">
        <f>IF($B193="","",ROW()-4+1)</f>
        <v/>
      </c>
      <c r="B193" s="18">
        <f>내역서!$B193</f>
        <v/>
      </c>
      <c r="C193" s="18">
        <f>IF($B193="","",내역서!$C193)</f>
        <v/>
      </c>
      <c r="D193" s="18">
        <f>IF($B193="","",내역서!$D193)</f>
        <v/>
      </c>
      <c r="E193" s="18">
        <f>IF($B193="","",내역서!$E193)</f>
        <v/>
      </c>
      <c r="F193" s="19">
        <f>IF($B193="","",N(내역서!$F193))</f>
        <v/>
      </c>
      <c r="G193" s="20">
        <f>IF($B193="","",N(내역서!$J193))</f>
        <v/>
      </c>
      <c r="H193" s="20">
        <f>IF($B193="","",N(내역서!$K193))</f>
        <v/>
      </c>
      <c r="I193" s="19">
        <f>IF($B193="","",N(내역서!$N193))</f>
        <v/>
      </c>
      <c r="J193" s="20">
        <f>IF($B193="","",N(내역서!$R193))</f>
        <v/>
      </c>
      <c r="K193" s="19">
        <f>IF($B193="","",N($I193)-N($F193))</f>
        <v/>
      </c>
      <c r="L193" s="21">
        <f>IF($B193="","",IF(N(내역서!$F193)=0,"신규",IF($K193&lt;0,"감소",IF($K193&gt;0,"증가","-"))))</f>
        <v/>
      </c>
      <c r="M193" s="22" t="n"/>
      <c r="N193" s="23" t="n"/>
      <c r="O193" s="24">
        <f>IF($B193="","",IF($L193="감소",$G193,IF($L193="증가",IF($M193="Y",ROUND(($J193+$J193*('설정'!$C$15/100))/2,0),IF(AND($N193&lt;&gt;"",$G193&gt;$N193),$N193,$G193)),IF($L193="신규",IF($M193="Y",ROUND(($J193+$J193*('설정'!$C$15/100))/2,0),ROUND($J193*('설정'!$C$15/100),0)),0))))</f>
        <v/>
      </c>
      <c r="P193" s="24">
        <f>IF($B193="","",ROUND(N($K193)*N($O193),0))</f>
        <v/>
      </c>
      <c r="Q193" s="25">
        <f>IF($B193="","",IF($L193="감소","감소분 → 계약단가",IF(AND($M193="Y",OR($L193="증가",$L193="신규")),"발주기관 요구 → 협의 (불성립 시 (당시단가+당시단가×낙찰률)÷2)",IF($L193="증가",IF(AND($N193&lt;&gt;"",$G193&gt;$N193),"증가분 → 계약단가&gt;예정가격단가 이므로 예정가격단가","증가분 → 계약단가 (낙찰률을 곱하지 않습니다)"),IF($L193="신규","신규비목 → 당시단가 × 낙찰률","")))))</f>
        <v/>
      </c>
      <c r="R193" s="20">
        <f>IF($B193="","",IF(N($O193)=0,0,IF(OR($L193="감소",AND($L193="증가",$M193&lt;&gt;"Y")),IF(N($G193)=0,0,ROUND(N(내역서!$G193)*$O193/$G193,0)),IF(N($J193)=0,0,ROUND(N(내역서!$O193)*$O193/$J193,0)))))</f>
        <v/>
      </c>
      <c r="S193" s="20">
        <f>IF($B193="","",IF(N($O193)=0,0,IF(OR($L193="감소",AND($L193="증가",$M193&lt;&gt;"Y")),IF(N($G193)=0,0,ROUND(N(내역서!$H193)*$O193/$G193,0)),IF(N($J193)=0,0,ROUND(N(내역서!$P193)*$O193/$J193,0)))))</f>
        <v/>
      </c>
      <c r="T193" s="20">
        <f>IF($B193="","",N($O193)-N($R193)-N($S193))</f>
        <v/>
      </c>
      <c r="U193" s="20">
        <f>IF($B193="","",ROUND(N($K193)*N($R193),0))</f>
        <v/>
      </c>
      <c r="V193" s="20">
        <f>IF($B193="","",ROUND(N($K193)*N($S193),0))</f>
        <v/>
      </c>
      <c r="W193" s="20">
        <f>IF($B193="","",N($P193)-N($U193)-N($V193))</f>
        <v/>
      </c>
    </row>
    <row r="194">
      <c r="A194" s="18">
        <f>IF($B194="","",ROW()-4+1)</f>
        <v/>
      </c>
      <c r="B194" s="18">
        <f>내역서!$B194</f>
        <v/>
      </c>
      <c r="C194" s="18">
        <f>IF($B194="","",내역서!$C194)</f>
        <v/>
      </c>
      <c r="D194" s="18">
        <f>IF($B194="","",내역서!$D194)</f>
        <v/>
      </c>
      <c r="E194" s="18">
        <f>IF($B194="","",내역서!$E194)</f>
        <v/>
      </c>
      <c r="F194" s="19">
        <f>IF($B194="","",N(내역서!$F194))</f>
        <v/>
      </c>
      <c r="G194" s="20">
        <f>IF($B194="","",N(내역서!$J194))</f>
        <v/>
      </c>
      <c r="H194" s="20">
        <f>IF($B194="","",N(내역서!$K194))</f>
        <v/>
      </c>
      <c r="I194" s="19">
        <f>IF($B194="","",N(내역서!$N194))</f>
        <v/>
      </c>
      <c r="J194" s="20">
        <f>IF($B194="","",N(내역서!$R194))</f>
        <v/>
      </c>
      <c r="K194" s="19">
        <f>IF($B194="","",N($I194)-N($F194))</f>
        <v/>
      </c>
      <c r="L194" s="21">
        <f>IF($B194="","",IF(N(내역서!$F194)=0,"신규",IF($K194&lt;0,"감소",IF($K194&gt;0,"증가","-"))))</f>
        <v/>
      </c>
      <c r="M194" s="22" t="n"/>
      <c r="N194" s="23" t="n"/>
      <c r="O194" s="24">
        <f>IF($B194="","",IF($L194="감소",$G194,IF($L194="증가",IF($M194="Y",ROUND(($J194+$J194*('설정'!$C$15/100))/2,0),IF(AND($N194&lt;&gt;"",$G194&gt;$N194),$N194,$G194)),IF($L194="신규",IF($M194="Y",ROUND(($J194+$J194*('설정'!$C$15/100))/2,0),ROUND($J194*('설정'!$C$15/100),0)),0))))</f>
        <v/>
      </c>
      <c r="P194" s="24">
        <f>IF($B194="","",ROUND(N($K194)*N($O194),0))</f>
        <v/>
      </c>
      <c r="Q194" s="25">
        <f>IF($B194="","",IF($L194="감소","감소분 → 계약단가",IF(AND($M194="Y",OR($L194="증가",$L194="신규")),"발주기관 요구 → 협의 (불성립 시 (당시단가+당시단가×낙찰률)÷2)",IF($L194="증가",IF(AND($N194&lt;&gt;"",$G194&gt;$N194),"증가분 → 계약단가&gt;예정가격단가 이므로 예정가격단가","증가분 → 계약단가 (낙찰률을 곱하지 않습니다)"),IF($L194="신규","신규비목 → 당시단가 × 낙찰률","")))))</f>
        <v/>
      </c>
      <c r="R194" s="20">
        <f>IF($B194="","",IF(N($O194)=0,0,IF(OR($L194="감소",AND($L194="증가",$M194&lt;&gt;"Y")),IF(N($G194)=0,0,ROUND(N(내역서!$G194)*$O194/$G194,0)),IF(N($J194)=0,0,ROUND(N(내역서!$O194)*$O194/$J194,0)))))</f>
        <v/>
      </c>
      <c r="S194" s="20">
        <f>IF($B194="","",IF(N($O194)=0,0,IF(OR($L194="감소",AND($L194="증가",$M194&lt;&gt;"Y")),IF(N($G194)=0,0,ROUND(N(내역서!$H194)*$O194/$G194,0)),IF(N($J194)=0,0,ROUND(N(내역서!$P194)*$O194/$J194,0)))))</f>
        <v/>
      </c>
      <c r="T194" s="20">
        <f>IF($B194="","",N($O194)-N($R194)-N($S194))</f>
        <v/>
      </c>
      <c r="U194" s="20">
        <f>IF($B194="","",ROUND(N($K194)*N($R194),0))</f>
        <v/>
      </c>
      <c r="V194" s="20">
        <f>IF($B194="","",ROUND(N($K194)*N($S194),0))</f>
        <v/>
      </c>
      <c r="W194" s="20">
        <f>IF($B194="","",N($P194)-N($U194)-N($V194))</f>
        <v/>
      </c>
    </row>
    <row r="195">
      <c r="A195" s="18">
        <f>IF($B195="","",ROW()-4+1)</f>
        <v/>
      </c>
      <c r="B195" s="18">
        <f>내역서!$B195</f>
        <v/>
      </c>
      <c r="C195" s="18">
        <f>IF($B195="","",내역서!$C195)</f>
        <v/>
      </c>
      <c r="D195" s="18">
        <f>IF($B195="","",내역서!$D195)</f>
        <v/>
      </c>
      <c r="E195" s="18">
        <f>IF($B195="","",내역서!$E195)</f>
        <v/>
      </c>
      <c r="F195" s="19">
        <f>IF($B195="","",N(내역서!$F195))</f>
        <v/>
      </c>
      <c r="G195" s="20">
        <f>IF($B195="","",N(내역서!$J195))</f>
        <v/>
      </c>
      <c r="H195" s="20">
        <f>IF($B195="","",N(내역서!$K195))</f>
        <v/>
      </c>
      <c r="I195" s="19">
        <f>IF($B195="","",N(내역서!$N195))</f>
        <v/>
      </c>
      <c r="J195" s="20">
        <f>IF($B195="","",N(내역서!$R195))</f>
        <v/>
      </c>
      <c r="K195" s="19">
        <f>IF($B195="","",N($I195)-N($F195))</f>
        <v/>
      </c>
      <c r="L195" s="21">
        <f>IF($B195="","",IF(N(내역서!$F195)=0,"신규",IF($K195&lt;0,"감소",IF($K195&gt;0,"증가","-"))))</f>
        <v/>
      </c>
      <c r="M195" s="22" t="n"/>
      <c r="N195" s="23" t="n"/>
      <c r="O195" s="24">
        <f>IF($B195="","",IF($L195="감소",$G195,IF($L195="증가",IF($M195="Y",ROUND(($J195+$J195*('설정'!$C$15/100))/2,0),IF(AND($N195&lt;&gt;"",$G195&gt;$N195),$N195,$G195)),IF($L195="신규",IF($M195="Y",ROUND(($J195+$J195*('설정'!$C$15/100))/2,0),ROUND($J195*('설정'!$C$15/100),0)),0))))</f>
        <v/>
      </c>
      <c r="P195" s="24">
        <f>IF($B195="","",ROUND(N($K195)*N($O195),0))</f>
        <v/>
      </c>
      <c r="Q195" s="25">
        <f>IF($B195="","",IF($L195="감소","감소분 → 계약단가",IF(AND($M195="Y",OR($L195="증가",$L195="신규")),"발주기관 요구 → 협의 (불성립 시 (당시단가+당시단가×낙찰률)÷2)",IF($L195="증가",IF(AND($N195&lt;&gt;"",$G195&gt;$N195),"증가분 → 계약단가&gt;예정가격단가 이므로 예정가격단가","증가분 → 계약단가 (낙찰률을 곱하지 않습니다)"),IF($L195="신규","신규비목 → 당시단가 × 낙찰률","")))))</f>
        <v/>
      </c>
      <c r="R195" s="20">
        <f>IF($B195="","",IF(N($O195)=0,0,IF(OR($L195="감소",AND($L195="증가",$M195&lt;&gt;"Y")),IF(N($G195)=0,0,ROUND(N(내역서!$G195)*$O195/$G195,0)),IF(N($J195)=0,0,ROUND(N(내역서!$O195)*$O195/$J195,0)))))</f>
        <v/>
      </c>
      <c r="S195" s="20">
        <f>IF($B195="","",IF(N($O195)=0,0,IF(OR($L195="감소",AND($L195="증가",$M195&lt;&gt;"Y")),IF(N($G195)=0,0,ROUND(N(내역서!$H195)*$O195/$G195,0)),IF(N($J195)=0,0,ROUND(N(내역서!$P195)*$O195/$J195,0)))))</f>
        <v/>
      </c>
      <c r="T195" s="20">
        <f>IF($B195="","",N($O195)-N($R195)-N($S195))</f>
        <v/>
      </c>
      <c r="U195" s="20">
        <f>IF($B195="","",ROUND(N($K195)*N($R195),0))</f>
        <v/>
      </c>
      <c r="V195" s="20">
        <f>IF($B195="","",ROUND(N($K195)*N($S195),0))</f>
        <v/>
      </c>
      <c r="W195" s="20">
        <f>IF($B195="","",N($P195)-N($U195)-N($V195))</f>
        <v/>
      </c>
    </row>
    <row r="196">
      <c r="A196" s="18">
        <f>IF($B196="","",ROW()-4+1)</f>
        <v/>
      </c>
      <c r="B196" s="18">
        <f>내역서!$B196</f>
        <v/>
      </c>
      <c r="C196" s="18">
        <f>IF($B196="","",내역서!$C196)</f>
        <v/>
      </c>
      <c r="D196" s="18">
        <f>IF($B196="","",내역서!$D196)</f>
        <v/>
      </c>
      <c r="E196" s="18">
        <f>IF($B196="","",내역서!$E196)</f>
        <v/>
      </c>
      <c r="F196" s="19">
        <f>IF($B196="","",N(내역서!$F196))</f>
        <v/>
      </c>
      <c r="G196" s="20">
        <f>IF($B196="","",N(내역서!$J196))</f>
        <v/>
      </c>
      <c r="H196" s="20">
        <f>IF($B196="","",N(내역서!$K196))</f>
        <v/>
      </c>
      <c r="I196" s="19">
        <f>IF($B196="","",N(내역서!$N196))</f>
        <v/>
      </c>
      <c r="J196" s="20">
        <f>IF($B196="","",N(내역서!$R196))</f>
        <v/>
      </c>
      <c r="K196" s="19">
        <f>IF($B196="","",N($I196)-N($F196))</f>
        <v/>
      </c>
      <c r="L196" s="21">
        <f>IF($B196="","",IF(N(내역서!$F196)=0,"신규",IF($K196&lt;0,"감소",IF($K196&gt;0,"증가","-"))))</f>
        <v/>
      </c>
      <c r="M196" s="22" t="n"/>
      <c r="N196" s="23" t="n"/>
      <c r="O196" s="24">
        <f>IF($B196="","",IF($L196="감소",$G196,IF($L196="증가",IF($M196="Y",ROUND(($J196+$J196*('설정'!$C$15/100))/2,0),IF(AND($N196&lt;&gt;"",$G196&gt;$N196),$N196,$G196)),IF($L196="신규",IF($M196="Y",ROUND(($J196+$J196*('설정'!$C$15/100))/2,0),ROUND($J196*('설정'!$C$15/100),0)),0))))</f>
        <v/>
      </c>
      <c r="P196" s="24">
        <f>IF($B196="","",ROUND(N($K196)*N($O196),0))</f>
        <v/>
      </c>
      <c r="Q196" s="25">
        <f>IF($B196="","",IF($L196="감소","감소분 → 계약단가",IF(AND($M196="Y",OR($L196="증가",$L196="신규")),"발주기관 요구 → 협의 (불성립 시 (당시단가+당시단가×낙찰률)÷2)",IF($L196="증가",IF(AND($N196&lt;&gt;"",$G196&gt;$N196),"증가분 → 계약단가&gt;예정가격단가 이므로 예정가격단가","증가분 → 계약단가 (낙찰률을 곱하지 않습니다)"),IF($L196="신규","신규비목 → 당시단가 × 낙찰률","")))))</f>
        <v/>
      </c>
      <c r="R196" s="20">
        <f>IF($B196="","",IF(N($O196)=0,0,IF(OR($L196="감소",AND($L196="증가",$M196&lt;&gt;"Y")),IF(N($G196)=0,0,ROUND(N(내역서!$G196)*$O196/$G196,0)),IF(N($J196)=0,0,ROUND(N(내역서!$O196)*$O196/$J196,0)))))</f>
        <v/>
      </c>
      <c r="S196" s="20">
        <f>IF($B196="","",IF(N($O196)=0,0,IF(OR($L196="감소",AND($L196="증가",$M196&lt;&gt;"Y")),IF(N($G196)=0,0,ROUND(N(내역서!$H196)*$O196/$G196,0)),IF(N($J196)=0,0,ROUND(N(내역서!$P196)*$O196/$J196,0)))))</f>
        <v/>
      </c>
      <c r="T196" s="20">
        <f>IF($B196="","",N($O196)-N($R196)-N($S196))</f>
        <v/>
      </c>
      <c r="U196" s="20">
        <f>IF($B196="","",ROUND(N($K196)*N($R196),0))</f>
        <v/>
      </c>
      <c r="V196" s="20">
        <f>IF($B196="","",ROUND(N($K196)*N($S196),0))</f>
        <v/>
      </c>
      <c r="W196" s="20">
        <f>IF($B196="","",N($P196)-N($U196)-N($V196))</f>
        <v/>
      </c>
    </row>
    <row r="197">
      <c r="A197" s="18">
        <f>IF($B197="","",ROW()-4+1)</f>
        <v/>
      </c>
      <c r="B197" s="18">
        <f>내역서!$B197</f>
        <v/>
      </c>
      <c r="C197" s="18">
        <f>IF($B197="","",내역서!$C197)</f>
        <v/>
      </c>
      <c r="D197" s="18">
        <f>IF($B197="","",내역서!$D197)</f>
        <v/>
      </c>
      <c r="E197" s="18">
        <f>IF($B197="","",내역서!$E197)</f>
        <v/>
      </c>
      <c r="F197" s="19">
        <f>IF($B197="","",N(내역서!$F197))</f>
        <v/>
      </c>
      <c r="G197" s="20">
        <f>IF($B197="","",N(내역서!$J197))</f>
        <v/>
      </c>
      <c r="H197" s="20">
        <f>IF($B197="","",N(내역서!$K197))</f>
        <v/>
      </c>
      <c r="I197" s="19">
        <f>IF($B197="","",N(내역서!$N197))</f>
        <v/>
      </c>
      <c r="J197" s="20">
        <f>IF($B197="","",N(내역서!$R197))</f>
        <v/>
      </c>
      <c r="K197" s="19">
        <f>IF($B197="","",N($I197)-N($F197))</f>
        <v/>
      </c>
      <c r="L197" s="21">
        <f>IF($B197="","",IF(N(내역서!$F197)=0,"신규",IF($K197&lt;0,"감소",IF($K197&gt;0,"증가","-"))))</f>
        <v/>
      </c>
      <c r="M197" s="22" t="n"/>
      <c r="N197" s="23" t="n"/>
      <c r="O197" s="24">
        <f>IF($B197="","",IF($L197="감소",$G197,IF($L197="증가",IF($M197="Y",ROUND(($J197+$J197*('설정'!$C$15/100))/2,0),IF(AND($N197&lt;&gt;"",$G197&gt;$N197),$N197,$G197)),IF($L197="신규",IF($M197="Y",ROUND(($J197+$J197*('설정'!$C$15/100))/2,0),ROUND($J197*('설정'!$C$15/100),0)),0))))</f>
        <v/>
      </c>
      <c r="P197" s="24">
        <f>IF($B197="","",ROUND(N($K197)*N($O197),0))</f>
        <v/>
      </c>
      <c r="Q197" s="25">
        <f>IF($B197="","",IF($L197="감소","감소분 → 계약단가",IF(AND($M197="Y",OR($L197="증가",$L197="신규")),"발주기관 요구 → 협의 (불성립 시 (당시단가+당시단가×낙찰률)÷2)",IF($L197="증가",IF(AND($N197&lt;&gt;"",$G197&gt;$N197),"증가분 → 계약단가&gt;예정가격단가 이므로 예정가격단가","증가분 → 계약단가 (낙찰률을 곱하지 않습니다)"),IF($L197="신규","신규비목 → 당시단가 × 낙찰률","")))))</f>
        <v/>
      </c>
      <c r="R197" s="20">
        <f>IF($B197="","",IF(N($O197)=0,0,IF(OR($L197="감소",AND($L197="증가",$M197&lt;&gt;"Y")),IF(N($G197)=0,0,ROUND(N(내역서!$G197)*$O197/$G197,0)),IF(N($J197)=0,0,ROUND(N(내역서!$O197)*$O197/$J197,0)))))</f>
        <v/>
      </c>
      <c r="S197" s="20">
        <f>IF($B197="","",IF(N($O197)=0,0,IF(OR($L197="감소",AND($L197="증가",$M197&lt;&gt;"Y")),IF(N($G197)=0,0,ROUND(N(내역서!$H197)*$O197/$G197,0)),IF(N($J197)=0,0,ROUND(N(내역서!$P197)*$O197/$J197,0)))))</f>
        <v/>
      </c>
      <c r="T197" s="20">
        <f>IF($B197="","",N($O197)-N($R197)-N($S197))</f>
        <v/>
      </c>
      <c r="U197" s="20">
        <f>IF($B197="","",ROUND(N($K197)*N($R197),0))</f>
        <v/>
      </c>
      <c r="V197" s="20">
        <f>IF($B197="","",ROUND(N($K197)*N($S197),0))</f>
        <v/>
      </c>
      <c r="W197" s="20">
        <f>IF($B197="","",N($P197)-N($U197)-N($V197))</f>
        <v/>
      </c>
    </row>
    <row r="198">
      <c r="A198" s="18">
        <f>IF($B198="","",ROW()-4+1)</f>
        <v/>
      </c>
      <c r="B198" s="18">
        <f>내역서!$B198</f>
        <v/>
      </c>
      <c r="C198" s="18">
        <f>IF($B198="","",내역서!$C198)</f>
        <v/>
      </c>
      <c r="D198" s="18">
        <f>IF($B198="","",내역서!$D198)</f>
        <v/>
      </c>
      <c r="E198" s="18">
        <f>IF($B198="","",내역서!$E198)</f>
        <v/>
      </c>
      <c r="F198" s="19">
        <f>IF($B198="","",N(내역서!$F198))</f>
        <v/>
      </c>
      <c r="G198" s="20">
        <f>IF($B198="","",N(내역서!$J198))</f>
        <v/>
      </c>
      <c r="H198" s="20">
        <f>IF($B198="","",N(내역서!$K198))</f>
        <v/>
      </c>
      <c r="I198" s="19">
        <f>IF($B198="","",N(내역서!$N198))</f>
        <v/>
      </c>
      <c r="J198" s="20">
        <f>IF($B198="","",N(내역서!$R198))</f>
        <v/>
      </c>
      <c r="K198" s="19">
        <f>IF($B198="","",N($I198)-N($F198))</f>
        <v/>
      </c>
      <c r="L198" s="21">
        <f>IF($B198="","",IF(N(내역서!$F198)=0,"신규",IF($K198&lt;0,"감소",IF($K198&gt;0,"증가","-"))))</f>
        <v/>
      </c>
      <c r="M198" s="22" t="n"/>
      <c r="N198" s="23" t="n"/>
      <c r="O198" s="24">
        <f>IF($B198="","",IF($L198="감소",$G198,IF($L198="증가",IF($M198="Y",ROUND(($J198+$J198*('설정'!$C$15/100))/2,0),IF(AND($N198&lt;&gt;"",$G198&gt;$N198),$N198,$G198)),IF($L198="신규",IF($M198="Y",ROUND(($J198+$J198*('설정'!$C$15/100))/2,0),ROUND($J198*('설정'!$C$15/100),0)),0))))</f>
        <v/>
      </c>
      <c r="P198" s="24">
        <f>IF($B198="","",ROUND(N($K198)*N($O198),0))</f>
        <v/>
      </c>
      <c r="Q198" s="25">
        <f>IF($B198="","",IF($L198="감소","감소분 → 계약단가",IF(AND($M198="Y",OR($L198="증가",$L198="신규")),"발주기관 요구 → 협의 (불성립 시 (당시단가+당시단가×낙찰률)÷2)",IF($L198="증가",IF(AND($N198&lt;&gt;"",$G198&gt;$N198),"증가분 → 계약단가&gt;예정가격단가 이므로 예정가격단가","증가분 → 계약단가 (낙찰률을 곱하지 않습니다)"),IF($L198="신규","신규비목 → 당시단가 × 낙찰률","")))))</f>
        <v/>
      </c>
      <c r="R198" s="20">
        <f>IF($B198="","",IF(N($O198)=0,0,IF(OR($L198="감소",AND($L198="증가",$M198&lt;&gt;"Y")),IF(N($G198)=0,0,ROUND(N(내역서!$G198)*$O198/$G198,0)),IF(N($J198)=0,0,ROUND(N(내역서!$O198)*$O198/$J198,0)))))</f>
        <v/>
      </c>
      <c r="S198" s="20">
        <f>IF($B198="","",IF(N($O198)=0,0,IF(OR($L198="감소",AND($L198="증가",$M198&lt;&gt;"Y")),IF(N($G198)=0,0,ROUND(N(내역서!$H198)*$O198/$G198,0)),IF(N($J198)=0,0,ROUND(N(내역서!$P198)*$O198/$J198,0)))))</f>
        <v/>
      </c>
      <c r="T198" s="20">
        <f>IF($B198="","",N($O198)-N($R198)-N($S198))</f>
        <v/>
      </c>
      <c r="U198" s="20">
        <f>IF($B198="","",ROUND(N($K198)*N($R198),0))</f>
        <v/>
      </c>
      <c r="V198" s="20">
        <f>IF($B198="","",ROUND(N($K198)*N($S198),0))</f>
        <v/>
      </c>
      <c r="W198" s="20">
        <f>IF($B198="","",N($P198)-N($U198)-N($V198))</f>
        <v/>
      </c>
    </row>
    <row r="199">
      <c r="A199" s="18">
        <f>IF($B199="","",ROW()-4+1)</f>
        <v/>
      </c>
      <c r="B199" s="18">
        <f>내역서!$B199</f>
        <v/>
      </c>
      <c r="C199" s="18">
        <f>IF($B199="","",내역서!$C199)</f>
        <v/>
      </c>
      <c r="D199" s="18">
        <f>IF($B199="","",내역서!$D199)</f>
        <v/>
      </c>
      <c r="E199" s="18">
        <f>IF($B199="","",내역서!$E199)</f>
        <v/>
      </c>
      <c r="F199" s="19">
        <f>IF($B199="","",N(내역서!$F199))</f>
        <v/>
      </c>
      <c r="G199" s="20">
        <f>IF($B199="","",N(내역서!$J199))</f>
        <v/>
      </c>
      <c r="H199" s="20">
        <f>IF($B199="","",N(내역서!$K199))</f>
        <v/>
      </c>
      <c r="I199" s="19">
        <f>IF($B199="","",N(내역서!$N199))</f>
        <v/>
      </c>
      <c r="J199" s="20">
        <f>IF($B199="","",N(내역서!$R199))</f>
        <v/>
      </c>
      <c r="K199" s="19">
        <f>IF($B199="","",N($I199)-N($F199))</f>
        <v/>
      </c>
      <c r="L199" s="21">
        <f>IF($B199="","",IF(N(내역서!$F199)=0,"신규",IF($K199&lt;0,"감소",IF($K199&gt;0,"증가","-"))))</f>
        <v/>
      </c>
      <c r="M199" s="22" t="n"/>
      <c r="N199" s="23" t="n"/>
      <c r="O199" s="24">
        <f>IF($B199="","",IF($L199="감소",$G199,IF($L199="증가",IF($M199="Y",ROUND(($J199+$J199*('설정'!$C$15/100))/2,0),IF(AND($N199&lt;&gt;"",$G199&gt;$N199),$N199,$G199)),IF($L199="신규",IF($M199="Y",ROUND(($J199+$J199*('설정'!$C$15/100))/2,0),ROUND($J199*('설정'!$C$15/100),0)),0))))</f>
        <v/>
      </c>
      <c r="P199" s="24">
        <f>IF($B199="","",ROUND(N($K199)*N($O199),0))</f>
        <v/>
      </c>
      <c r="Q199" s="25">
        <f>IF($B199="","",IF($L199="감소","감소분 → 계약단가",IF(AND($M199="Y",OR($L199="증가",$L199="신규")),"발주기관 요구 → 협의 (불성립 시 (당시단가+당시단가×낙찰률)÷2)",IF($L199="증가",IF(AND($N199&lt;&gt;"",$G199&gt;$N199),"증가분 → 계약단가&gt;예정가격단가 이므로 예정가격단가","증가분 → 계약단가 (낙찰률을 곱하지 않습니다)"),IF($L199="신규","신규비목 → 당시단가 × 낙찰률","")))))</f>
        <v/>
      </c>
      <c r="R199" s="20">
        <f>IF($B199="","",IF(N($O199)=0,0,IF(OR($L199="감소",AND($L199="증가",$M199&lt;&gt;"Y")),IF(N($G199)=0,0,ROUND(N(내역서!$G199)*$O199/$G199,0)),IF(N($J199)=0,0,ROUND(N(내역서!$O199)*$O199/$J199,0)))))</f>
        <v/>
      </c>
      <c r="S199" s="20">
        <f>IF($B199="","",IF(N($O199)=0,0,IF(OR($L199="감소",AND($L199="증가",$M199&lt;&gt;"Y")),IF(N($G199)=0,0,ROUND(N(내역서!$H199)*$O199/$G199,0)),IF(N($J199)=0,0,ROUND(N(내역서!$P199)*$O199/$J199,0)))))</f>
        <v/>
      </c>
      <c r="T199" s="20">
        <f>IF($B199="","",N($O199)-N($R199)-N($S199))</f>
        <v/>
      </c>
      <c r="U199" s="20">
        <f>IF($B199="","",ROUND(N($K199)*N($R199),0))</f>
        <v/>
      </c>
      <c r="V199" s="20">
        <f>IF($B199="","",ROUND(N($K199)*N($S199),0))</f>
        <v/>
      </c>
      <c r="W199" s="20">
        <f>IF($B199="","",N($P199)-N($U199)-N($V199))</f>
        <v/>
      </c>
    </row>
    <row r="200">
      <c r="A200" s="18">
        <f>IF($B200="","",ROW()-4+1)</f>
        <v/>
      </c>
      <c r="B200" s="18">
        <f>내역서!$B200</f>
        <v/>
      </c>
      <c r="C200" s="18">
        <f>IF($B200="","",내역서!$C200)</f>
        <v/>
      </c>
      <c r="D200" s="18">
        <f>IF($B200="","",내역서!$D200)</f>
        <v/>
      </c>
      <c r="E200" s="18">
        <f>IF($B200="","",내역서!$E200)</f>
        <v/>
      </c>
      <c r="F200" s="19">
        <f>IF($B200="","",N(내역서!$F200))</f>
        <v/>
      </c>
      <c r="G200" s="20">
        <f>IF($B200="","",N(내역서!$J200))</f>
        <v/>
      </c>
      <c r="H200" s="20">
        <f>IF($B200="","",N(내역서!$K200))</f>
        <v/>
      </c>
      <c r="I200" s="19">
        <f>IF($B200="","",N(내역서!$N200))</f>
        <v/>
      </c>
      <c r="J200" s="20">
        <f>IF($B200="","",N(내역서!$R200))</f>
        <v/>
      </c>
      <c r="K200" s="19">
        <f>IF($B200="","",N($I200)-N($F200))</f>
        <v/>
      </c>
      <c r="L200" s="21">
        <f>IF($B200="","",IF(N(내역서!$F200)=0,"신규",IF($K200&lt;0,"감소",IF($K200&gt;0,"증가","-"))))</f>
        <v/>
      </c>
      <c r="M200" s="22" t="n"/>
      <c r="N200" s="23" t="n"/>
      <c r="O200" s="24">
        <f>IF($B200="","",IF($L200="감소",$G200,IF($L200="증가",IF($M200="Y",ROUND(($J200+$J200*('설정'!$C$15/100))/2,0),IF(AND($N200&lt;&gt;"",$G200&gt;$N200),$N200,$G200)),IF($L200="신규",IF($M200="Y",ROUND(($J200+$J200*('설정'!$C$15/100))/2,0),ROUND($J200*('설정'!$C$15/100),0)),0))))</f>
        <v/>
      </c>
      <c r="P200" s="24">
        <f>IF($B200="","",ROUND(N($K200)*N($O200),0))</f>
        <v/>
      </c>
      <c r="Q200" s="25">
        <f>IF($B200="","",IF($L200="감소","감소분 → 계약단가",IF(AND($M200="Y",OR($L200="증가",$L200="신규")),"발주기관 요구 → 협의 (불성립 시 (당시단가+당시단가×낙찰률)÷2)",IF($L200="증가",IF(AND($N200&lt;&gt;"",$G200&gt;$N200),"증가분 → 계약단가&gt;예정가격단가 이므로 예정가격단가","증가분 → 계약단가 (낙찰률을 곱하지 않습니다)"),IF($L200="신규","신규비목 → 당시단가 × 낙찰률","")))))</f>
        <v/>
      </c>
      <c r="R200" s="20">
        <f>IF($B200="","",IF(N($O200)=0,0,IF(OR($L200="감소",AND($L200="증가",$M200&lt;&gt;"Y")),IF(N($G200)=0,0,ROUND(N(내역서!$G200)*$O200/$G200,0)),IF(N($J200)=0,0,ROUND(N(내역서!$O200)*$O200/$J200,0)))))</f>
        <v/>
      </c>
      <c r="S200" s="20">
        <f>IF($B200="","",IF(N($O200)=0,0,IF(OR($L200="감소",AND($L200="증가",$M200&lt;&gt;"Y")),IF(N($G200)=0,0,ROUND(N(내역서!$H200)*$O200/$G200,0)),IF(N($J200)=0,0,ROUND(N(내역서!$P200)*$O200/$J200,0)))))</f>
        <v/>
      </c>
      <c r="T200" s="20">
        <f>IF($B200="","",N($O200)-N($R200)-N($S200))</f>
        <v/>
      </c>
      <c r="U200" s="20">
        <f>IF($B200="","",ROUND(N($K200)*N($R200),0))</f>
        <v/>
      </c>
      <c r="V200" s="20">
        <f>IF($B200="","",ROUND(N($K200)*N($S200),0))</f>
        <v/>
      </c>
      <c r="W200" s="20">
        <f>IF($B200="","",N($P200)-N($U200)-N($V200))</f>
        <v/>
      </c>
    </row>
    <row r="201">
      <c r="A201" s="18">
        <f>IF($B201="","",ROW()-4+1)</f>
        <v/>
      </c>
      <c r="B201" s="18">
        <f>내역서!$B201</f>
        <v/>
      </c>
      <c r="C201" s="18">
        <f>IF($B201="","",내역서!$C201)</f>
        <v/>
      </c>
      <c r="D201" s="18">
        <f>IF($B201="","",내역서!$D201)</f>
        <v/>
      </c>
      <c r="E201" s="18">
        <f>IF($B201="","",내역서!$E201)</f>
        <v/>
      </c>
      <c r="F201" s="19">
        <f>IF($B201="","",N(내역서!$F201))</f>
        <v/>
      </c>
      <c r="G201" s="20">
        <f>IF($B201="","",N(내역서!$J201))</f>
        <v/>
      </c>
      <c r="H201" s="20">
        <f>IF($B201="","",N(내역서!$K201))</f>
        <v/>
      </c>
      <c r="I201" s="19">
        <f>IF($B201="","",N(내역서!$N201))</f>
        <v/>
      </c>
      <c r="J201" s="20">
        <f>IF($B201="","",N(내역서!$R201))</f>
        <v/>
      </c>
      <c r="K201" s="19">
        <f>IF($B201="","",N($I201)-N($F201))</f>
        <v/>
      </c>
      <c r="L201" s="21">
        <f>IF($B201="","",IF(N(내역서!$F201)=0,"신규",IF($K201&lt;0,"감소",IF($K201&gt;0,"증가","-"))))</f>
        <v/>
      </c>
      <c r="M201" s="22" t="n"/>
      <c r="N201" s="23" t="n"/>
      <c r="O201" s="24">
        <f>IF($B201="","",IF($L201="감소",$G201,IF($L201="증가",IF($M201="Y",ROUND(($J201+$J201*('설정'!$C$15/100))/2,0),IF(AND($N201&lt;&gt;"",$G201&gt;$N201),$N201,$G201)),IF($L201="신규",IF($M201="Y",ROUND(($J201+$J201*('설정'!$C$15/100))/2,0),ROUND($J201*('설정'!$C$15/100),0)),0))))</f>
        <v/>
      </c>
      <c r="P201" s="24">
        <f>IF($B201="","",ROUND(N($K201)*N($O201),0))</f>
        <v/>
      </c>
      <c r="Q201" s="25">
        <f>IF($B201="","",IF($L201="감소","감소분 → 계약단가",IF(AND($M201="Y",OR($L201="증가",$L201="신규")),"발주기관 요구 → 협의 (불성립 시 (당시단가+당시단가×낙찰률)÷2)",IF($L201="증가",IF(AND($N201&lt;&gt;"",$G201&gt;$N201),"증가분 → 계약단가&gt;예정가격단가 이므로 예정가격단가","증가분 → 계약단가 (낙찰률을 곱하지 않습니다)"),IF($L201="신규","신규비목 → 당시단가 × 낙찰률","")))))</f>
        <v/>
      </c>
      <c r="R201" s="20">
        <f>IF($B201="","",IF(N($O201)=0,0,IF(OR($L201="감소",AND($L201="증가",$M201&lt;&gt;"Y")),IF(N($G201)=0,0,ROUND(N(내역서!$G201)*$O201/$G201,0)),IF(N($J201)=0,0,ROUND(N(내역서!$O201)*$O201/$J201,0)))))</f>
        <v/>
      </c>
      <c r="S201" s="20">
        <f>IF($B201="","",IF(N($O201)=0,0,IF(OR($L201="감소",AND($L201="증가",$M201&lt;&gt;"Y")),IF(N($G201)=0,0,ROUND(N(내역서!$H201)*$O201/$G201,0)),IF(N($J201)=0,0,ROUND(N(내역서!$P201)*$O201/$J201,0)))))</f>
        <v/>
      </c>
      <c r="T201" s="20">
        <f>IF($B201="","",N($O201)-N($R201)-N($S201))</f>
        <v/>
      </c>
      <c r="U201" s="20">
        <f>IF($B201="","",ROUND(N($K201)*N($R201),0))</f>
        <v/>
      </c>
      <c r="V201" s="20">
        <f>IF($B201="","",ROUND(N($K201)*N($S201),0))</f>
        <v/>
      </c>
      <c r="W201" s="20">
        <f>IF($B201="","",N($P201)-N($U201)-N($V201))</f>
        <v/>
      </c>
    </row>
    <row r="202">
      <c r="A202" s="18">
        <f>IF($B202="","",ROW()-4+1)</f>
        <v/>
      </c>
      <c r="B202" s="18">
        <f>내역서!$B202</f>
        <v/>
      </c>
      <c r="C202" s="18">
        <f>IF($B202="","",내역서!$C202)</f>
        <v/>
      </c>
      <c r="D202" s="18">
        <f>IF($B202="","",내역서!$D202)</f>
        <v/>
      </c>
      <c r="E202" s="18">
        <f>IF($B202="","",내역서!$E202)</f>
        <v/>
      </c>
      <c r="F202" s="19">
        <f>IF($B202="","",N(내역서!$F202))</f>
        <v/>
      </c>
      <c r="G202" s="20">
        <f>IF($B202="","",N(내역서!$J202))</f>
        <v/>
      </c>
      <c r="H202" s="20">
        <f>IF($B202="","",N(내역서!$K202))</f>
        <v/>
      </c>
      <c r="I202" s="19">
        <f>IF($B202="","",N(내역서!$N202))</f>
        <v/>
      </c>
      <c r="J202" s="20">
        <f>IF($B202="","",N(내역서!$R202))</f>
        <v/>
      </c>
      <c r="K202" s="19">
        <f>IF($B202="","",N($I202)-N($F202))</f>
        <v/>
      </c>
      <c r="L202" s="21">
        <f>IF($B202="","",IF(N(내역서!$F202)=0,"신규",IF($K202&lt;0,"감소",IF($K202&gt;0,"증가","-"))))</f>
        <v/>
      </c>
      <c r="M202" s="22" t="n"/>
      <c r="N202" s="23" t="n"/>
      <c r="O202" s="24">
        <f>IF($B202="","",IF($L202="감소",$G202,IF($L202="증가",IF($M202="Y",ROUND(($J202+$J202*('설정'!$C$15/100))/2,0),IF(AND($N202&lt;&gt;"",$G202&gt;$N202),$N202,$G202)),IF($L202="신규",IF($M202="Y",ROUND(($J202+$J202*('설정'!$C$15/100))/2,0),ROUND($J202*('설정'!$C$15/100),0)),0))))</f>
        <v/>
      </c>
      <c r="P202" s="24">
        <f>IF($B202="","",ROUND(N($K202)*N($O202),0))</f>
        <v/>
      </c>
      <c r="Q202" s="25">
        <f>IF($B202="","",IF($L202="감소","감소분 → 계약단가",IF(AND($M202="Y",OR($L202="증가",$L202="신규")),"발주기관 요구 → 협의 (불성립 시 (당시단가+당시단가×낙찰률)÷2)",IF($L202="증가",IF(AND($N202&lt;&gt;"",$G202&gt;$N202),"증가분 → 계약단가&gt;예정가격단가 이므로 예정가격단가","증가분 → 계약단가 (낙찰률을 곱하지 않습니다)"),IF($L202="신규","신규비목 → 당시단가 × 낙찰률","")))))</f>
        <v/>
      </c>
      <c r="R202" s="20">
        <f>IF($B202="","",IF(N($O202)=0,0,IF(OR($L202="감소",AND($L202="증가",$M202&lt;&gt;"Y")),IF(N($G202)=0,0,ROUND(N(내역서!$G202)*$O202/$G202,0)),IF(N($J202)=0,0,ROUND(N(내역서!$O202)*$O202/$J202,0)))))</f>
        <v/>
      </c>
      <c r="S202" s="20">
        <f>IF($B202="","",IF(N($O202)=0,0,IF(OR($L202="감소",AND($L202="증가",$M202&lt;&gt;"Y")),IF(N($G202)=0,0,ROUND(N(내역서!$H202)*$O202/$G202,0)),IF(N($J202)=0,0,ROUND(N(내역서!$P202)*$O202/$J202,0)))))</f>
        <v/>
      </c>
      <c r="T202" s="20">
        <f>IF($B202="","",N($O202)-N($R202)-N($S202))</f>
        <v/>
      </c>
      <c r="U202" s="20">
        <f>IF($B202="","",ROUND(N($K202)*N($R202),0))</f>
        <v/>
      </c>
      <c r="V202" s="20">
        <f>IF($B202="","",ROUND(N($K202)*N($S202),0))</f>
        <v/>
      </c>
      <c r="W202" s="20">
        <f>IF($B202="","",N($P202)-N($U202)-N($V202))</f>
        <v/>
      </c>
    </row>
    <row r="203">
      <c r="A203" s="18">
        <f>IF($B203="","",ROW()-4+1)</f>
        <v/>
      </c>
      <c r="B203" s="18">
        <f>내역서!$B203</f>
        <v/>
      </c>
      <c r="C203" s="18">
        <f>IF($B203="","",내역서!$C203)</f>
        <v/>
      </c>
      <c r="D203" s="18">
        <f>IF($B203="","",내역서!$D203)</f>
        <v/>
      </c>
      <c r="E203" s="18">
        <f>IF($B203="","",내역서!$E203)</f>
        <v/>
      </c>
      <c r="F203" s="19">
        <f>IF($B203="","",N(내역서!$F203))</f>
        <v/>
      </c>
      <c r="G203" s="20">
        <f>IF($B203="","",N(내역서!$J203))</f>
        <v/>
      </c>
      <c r="H203" s="20">
        <f>IF($B203="","",N(내역서!$K203))</f>
        <v/>
      </c>
      <c r="I203" s="19">
        <f>IF($B203="","",N(내역서!$N203))</f>
        <v/>
      </c>
      <c r="J203" s="20">
        <f>IF($B203="","",N(내역서!$R203))</f>
        <v/>
      </c>
      <c r="K203" s="19">
        <f>IF($B203="","",N($I203)-N($F203))</f>
        <v/>
      </c>
      <c r="L203" s="21">
        <f>IF($B203="","",IF(N(내역서!$F203)=0,"신규",IF($K203&lt;0,"감소",IF($K203&gt;0,"증가","-"))))</f>
        <v/>
      </c>
      <c r="M203" s="22" t="n"/>
      <c r="N203" s="23" t="n"/>
      <c r="O203" s="24">
        <f>IF($B203="","",IF($L203="감소",$G203,IF($L203="증가",IF($M203="Y",ROUND(($J203+$J203*('설정'!$C$15/100))/2,0),IF(AND($N203&lt;&gt;"",$G203&gt;$N203),$N203,$G203)),IF($L203="신규",IF($M203="Y",ROUND(($J203+$J203*('설정'!$C$15/100))/2,0),ROUND($J203*('설정'!$C$15/100),0)),0))))</f>
        <v/>
      </c>
      <c r="P203" s="24">
        <f>IF($B203="","",ROUND(N($K203)*N($O203),0))</f>
        <v/>
      </c>
      <c r="Q203" s="25">
        <f>IF($B203="","",IF($L203="감소","감소분 → 계약단가",IF(AND($M203="Y",OR($L203="증가",$L203="신규")),"발주기관 요구 → 협의 (불성립 시 (당시단가+당시단가×낙찰률)÷2)",IF($L203="증가",IF(AND($N203&lt;&gt;"",$G203&gt;$N203),"증가분 → 계약단가&gt;예정가격단가 이므로 예정가격단가","증가분 → 계약단가 (낙찰률을 곱하지 않습니다)"),IF($L203="신규","신규비목 → 당시단가 × 낙찰률","")))))</f>
        <v/>
      </c>
      <c r="R203" s="20">
        <f>IF($B203="","",IF(N($O203)=0,0,IF(OR($L203="감소",AND($L203="증가",$M203&lt;&gt;"Y")),IF(N($G203)=0,0,ROUND(N(내역서!$G203)*$O203/$G203,0)),IF(N($J203)=0,0,ROUND(N(내역서!$O203)*$O203/$J203,0)))))</f>
        <v/>
      </c>
      <c r="S203" s="20">
        <f>IF($B203="","",IF(N($O203)=0,0,IF(OR($L203="감소",AND($L203="증가",$M203&lt;&gt;"Y")),IF(N($G203)=0,0,ROUND(N(내역서!$H203)*$O203/$G203,0)),IF(N($J203)=0,0,ROUND(N(내역서!$P203)*$O203/$J203,0)))))</f>
        <v/>
      </c>
      <c r="T203" s="20">
        <f>IF($B203="","",N($O203)-N($R203)-N($S203))</f>
        <v/>
      </c>
      <c r="U203" s="20">
        <f>IF($B203="","",ROUND(N($K203)*N($R203),0))</f>
        <v/>
      </c>
      <c r="V203" s="20">
        <f>IF($B203="","",ROUND(N($K203)*N($S203),0))</f>
        <v/>
      </c>
      <c r="W203" s="20">
        <f>IF($B203="","",N($P203)-N($U203)-N($V203))</f>
        <v/>
      </c>
    </row>
    <row r="204">
      <c r="N204" s="26" t="inlineStr">
        <is>
          <t>증가 소계</t>
        </is>
      </c>
      <c r="P204" s="27">
        <f>SUMIF($L$4:$L$203,"증가",$P$4:$P$203)</f>
        <v/>
      </c>
    </row>
    <row r="205">
      <c r="N205" s="26" t="inlineStr">
        <is>
          <t>감소 소계</t>
        </is>
      </c>
      <c r="P205" s="27">
        <f>SUMIF($L$4:$L$203,"감소",$P$4:$P$203)</f>
        <v/>
      </c>
    </row>
    <row r="206">
      <c r="N206" s="26" t="inlineStr">
        <is>
          <t>신규 소계</t>
        </is>
      </c>
      <c r="P206" s="27">
        <f>SUMIF($L$4:$L$203,"신규",$P$4:$P$203)</f>
        <v/>
      </c>
    </row>
    <row r="207">
      <c r="N207" s="26" t="inlineStr">
        <is>
          <t>직접공사비 증감 합계</t>
        </is>
      </c>
      <c r="P207" s="27">
        <f>SUM($P$4:$P$203)</f>
        <v/>
      </c>
    </row>
    <row r="208">
      <c r="N208" s="26" t="inlineStr">
        <is>
          <t>제비율 · 일반관리비 · 이윤 · 부가세 증감</t>
        </is>
      </c>
      <c r="P208" s="27">
        <f>원가계산서!$G$33-P207</f>
        <v/>
      </c>
    </row>
    <row r="209">
      <c r="N209" s="26" t="inlineStr">
        <is>
          <t>계약금액 증감 (원가계산서 도급액)</t>
        </is>
      </c>
      <c r="P209" s="27">
        <f>원가계산서!$G$33</f>
        <v/>
      </c>
    </row>
    <row r="210">
      <c r="N210" s="28" t="inlineStr">
        <is>
          <t>변경 후 계약금액</t>
        </is>
      </c>
      <c r="P210" s="29">
        <f>'설정'!$C$13+P209</f>
        <v/>
      </c>
    </row>
    <row r="212">
      <c r="A212" s="17" t="inlineStr">
        <is>
          <t>이 표는 손으로 채우는 곳이 «협의(Y)» 와 «예정가격단가» 둘뿐입니다. 나머지는 전부 자동입니다.
· 발주기관이 요구해서 늘어난 분이면 협의 칸에 Y 를 넣으세요 — 단가가 협의식으로 바뀝니다.
· 예정가격단가는 «아는 경우에만» 적으세요. 계약단가가 그보다 높으면 예정가격단가가 적용됩니다.
· 증가분에는 낙찰률을 곱하지 않습니다. 낙찰률은 «신규 비목» 에만 곱합니다.
· R~W 열은 적용단가를 재료비 · 노무비 · 경비로 가른 것입니다 — 원가계산서 «변경 후» 가 «당초 + 이 증감» 으로 셉니다.
· 변경 후 계약금액 = 계약금액 + 원가계산서 «도급액» 증감(간접노무비 · 보험료 · 일반관리비 · 이윤 · 부가세까지 · 시행령 제65조⑥).</t>
        </is>
      </c>
    </row>
  </sheetData>
  <mergeCells count="3">
    <mergeCell ref="A212:W212"/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공 종 별 집 계</t>
        </is>
      </c>
    </row>
    <row r="3" ht="30" customHeight="1">
      <c r="A3" s="3" t="inlineStr">
        <is>
          <t>대공종 코드</t>
        </is>
      </c>
      <c r="B3" s="3" t="inlineStr">
        <is>
          <t>대공종 명</t>
        </is>
      </c>
      <c r="C3" s="3" t="inlineStr">
        <is>
          <t>당초금액</t>
        </is>
      </c>
      <c r="D3" s="3" t="inlineStr">
        <is>
          <t>증감금액</t>
        </is>
      </c>
      <c r="E3" s="3" t="inlineStr">
        <is>
          <t>변경 후 금액</t>
        </is>
      </c>
      <c r="F3" s="3" t="inlineStr">
        <is>
          <t>증감률(%)</t>
        </is>
      </c>
    </row>
    <row r="4">
      <c r="A4" s="30" t="n"/>
      <c r="B4" s="30" t="n"/>
      <c r="C4" s="20">
        <f>IF($A4="","",SUMPRODUCT((LEFT(내역서!$B$4:$B$203,LEN($A4))=$A4)*N(내역서!$K$4:$K$203)))</f>
        <v/>
      </c>
      <c r="D4" s="20">
        <f>IF($A4="","",SUMPRODUCT((LEFT(증감대비표!$B$4:$B$203,LEN($A4))=$A4)*N(증감대비표!$P$4:$P$203)))</f>
        <v/>
      </c>
      <c r="E4" s="20">
        <f>IF($A4="","",N($C4)+N($D4))</f>
        <v/>
      </c>
      <c r="F4" s="31">
        <f>IF(OR($A4="",N($C4)=0),"",ROUND($D4/$C4*100,2))</f>
        <v/>
      </c>
    </row>
    <row r="5">
      <c r="A5" s="30" t="n"/>
      <c r="B5" s="30" t="n"/>
      <c r="C5" s="20">
        <f>IF($A5="","",SUMPRODUCT((LEFT(내역서!$B$4:$B$203,LEN($A5))=$A5)*N(내역서!$K$4:$K$203)))</f>
        <v/>
      </c>
      <c r="D5" s="20">
        <f>IF($A5="","",SUMPRODUCT((LEFT(증감대비표!$B$4:$B$203,LEN($A5))=$A5)*N(증감대비표!$P$4:$P$203)))</f>
        <v/>
      </c>
      <c r="E5" s="20">
        <f>IF($A5="","",N($C5)+N($D5))</f>
        <v/>
      </c>
      <c r="F5" s="31">
        <f>IF(OR($A5="",N($C5)=0),"",ROUND($D5/$C5*100,2))</f>
        <v/>
      </c>
    </row>
    <row r="6">
      <c r="A6" s="30" t="n"/>
      <c r="B6" s="30" t="n"/>
      <c r="C6" s="20">
        <f>IF($A6="","",SUMPRODUCT((LEFT(내역서!$B$4:$B$203,LEN($A6))=$A6)*N(내역서!$K$4:$K$203)))</f>
        <v/>
      </c>
      <c r="D6" s="20">
        <f>IF($A6="","",SUMPRODUCT((LEFT(증감대비표!$B$4:$B$203,LEN($A6))=$A6)*N(증감대비표!$P$4:$P$203)))</f>
        <v/>
      </c>
      <c r="E6" s="20">
        <f>IF($A6="","",N($C6)+N($D6))</f>
        <v/>
      </c>
      <c r="F6" s="31">
        <f>IF(OR($A6="",N($C6)=0),"",ROUND($D6/$C6*100,2))</f>
        <v/>
      </c>
    </row>
    <row r="7">
      <c r="A7" s="30" t="n"/>
      <c r="B7" s="30" t="n"/>
      <c r="C7" s="20">
        <f>IF($A7="","",SUMPRODUCT((LEFT(내역서!$B$4:$B$203,LEN($A7))=$A7)*N(내역서!$K$4:$K$203)))</f>
        <v/>
      </c>
      <c r="D7" s="20">
        <f>IF($A7="","",SUMPRODUCT((LEFT(증감대비표!$B$4:$B$203,LEN($A7))=$A7)*N(증감대비표!$P$4:$P$203)))</f>
        <v/>
      </c>
      <c r="E7" s="20">
        <f>IF($A7="","",N($C7)+N($D7))</f>
        <v/>
      </c>
      <c r="F7" s="31">
        <f>IF(OR($A7="",N($C7)=0),"",ROUND($D7/$C7*100,2))</f>
        <v/>
      </c>
    </row>
    <row r="8">
      <c r="A8" s="30" t="n"/>
      <c r="B8" s="30" t="n"/>
      <c r="C8" s="20">
        <f>IF($A8="","",SUMPRODUCT((LEFT(내역서!$B$4:$B$203,LEN($A8))=$A8)*N(내역서!$K$4:$K$203)))</f>
        <v/>
      </c>
      <c r="D8" s="20">
        <f>IF($A8="","",SUMPRODUCT((LEFT(증감대비표!$B$4:$B$203,LEN($A8))=$A8)*N(증감대비표!$P$4:$P$203)))</f>
        <v/>
      </c>
      <c r="E8" s="20">
        <f>IF($A8="","",N($C8)+N($D8))</f>
        <v/>
      </c>
      <c r="F8" s="31">
        <f>IF(OR($A8="",N($C8)=0),"",ROUND($D8/$C8*100,2))</f>
        <v/>
      </c>
    </row>
    <row r="9">
      <c r="A9" s="30" t="n"/>
      <c r="B9" s="30" t="n"/>
      <c r="C9" s="20">
        <f>IF($A9="","",SUMPRODUCT((LEFT(내역서!$B$4:$B$203,LEN($A9))=$A9)*N(내역서!$K$4:$K$203)))</f>
        <v/>
      </c>
      <c r="D9" s="20">
        <f>IF($A9="","",SUMPRODUCT((LEFT(증감대비표!$B$4:$B$203,LEN($A9))=$A9)*N(증감대비표!$P$4:$P$203)))</f>
        <v/>
      </c>
      <c r="E9" s="20">
        <f>IF($A9="","",N($C9)+N($D9))</f>
        <v/>
      </c>
      <c r="F9" s="31">
        <f>IF(OR($A9="",N($C9)=0),"",ROUND($D9/$C9*100,2))</f>
        <v/>
      </c>
    </row>
    <row r="10">
      <c r="A10" s="30" t="n"/>
      <c r="B10" s="30" t="n"/>
      <c r="C10" s="20">
        <f>IF($A10="","",SUMPRODUCT((LEFT(내역서!$B$4:$B$203,LEN($A10))=$A10)*N(내역서!$K$4:$K$203)))</f>
        <v/>
      </c>
      <c r="D10" s="20">
        <f>IF($A10="","",SUMPRODUCT((LEFT(증감대비표!$B$4:$B$203,LEN($A10))=$A10)*N(증감대비표!$P$4:$P$203)))</f>
        <v/>
      </c>
      <c r="E10" s="20">
        <f>IF($A10="","",N($C10)+N($D10))</f>
        <v/>
      </c>
      <c r="F10" s="31">
        <f>IF(OR($A10="",N($C10)=0),"",ROUND($D10/$C10*100,2))</f>
        <v/>
      </c>
    </row>
    <row r="11">
      <c r="A11" s="30" t="n"/>
      <c r="B11" s="30" t="n"/>
      <c r="C11" s="20">
        <f>IF($A11="","",SUMPRODUCT((LEFT(내역서!$B$4:$B$203,LEN($A11))=$A11)*N(내역서!$K$4:$K$203)))</f>
        <v/>
      </c>
      <c r="D11" s="20">
        <f>IF($A11="","",SUMPRODUCT((LEFT(증감대비표!$B$4:$B$203,LEN($A11))=$A11)*N(증감대비표!$P$4:$P$203)))</f>
        <v/>
      </c>
      <c r="E11" s="20">
        <f>IF($A11="","",N($C11)+N($D11))</f>
        <v/>
      </c>
      <c r="F11" s="31">
        <f>IF(OR($A11="",N($C11)=0),"",ROUND($D11/$C11*100,2))</f>
        <v/>
      </c>
    </row>
    <row r="12">
      <c r="A12" s="30" t="n"/>
      <c r="B12" s="30" t="n"/>
      <c r="C12" s="20">
        <f>IF($A12="","",SUMPRODUCT((LEFT(내역서!$B$4:$B$203,LEN($A12))=$A12)*N(내역서!$K$4:$K$203)))</f>
        <v/>
      </c>
      <c r="D12" s="20">
        <f>IF($A12="","",SUMPRODUCT((LEFT(증감대비표!$B$4:$B$203,LEN($A12))=$A12)*N(증감대비표!$P$4:$P$203)))</f>
        <v/>
      </c>
      <c r="E12" s="20">
        <f>IF($A12="","",N($C12)+N($D12))</f>
        <v/>
      </c>
      <c r="F12" s="31">
        <f>IF(OR($A12="",N($C12)=0),"",ROUND($D12/$C12*100,2))</f>
        <v/>
      </c>
    </row>
    <row r="13">
      <c r="A13" s="30" t="n"/>
      <c r="B13" s="30" t="n"/>
      <c r="C13" s="20">
        <f>IF($A13="","",SUMPRODUCT((LEFT(내역서!$B$4:$B$203,LEN($A13))=$A13)*N(내역서!$K$4:$K$203)))</f>
        <v/>
      </c>
      <c r="D13" s="20">
        <f>IF($A13="","",SUMPRODUCT((LEFT(증감대비표!$B$4:$B$203,LEN($A13))=$A13)*N(증감대비표!$P$4:$P$203)))</f>
        <v/>
      </c>
      <c r="E13" s="20">
        <f>IF($A13="","",N($C13)+N($D13))</f>
        <v/>
      </c>
      <c r="F13" s="31">
        <f>IF(OR($A13="",N($C13)=0),"",ROUND($D13/$C13*100,2))</f>
        <v/>
      </c>
    </row>
    <row r="14">
      <c r="A14" s="30" t="n"/>
      <c r="B14" s="30" t="n"/>
      <c r="C14" s="20">
        <f>IF($A14="","",SUMPRODUCT((LEFT(내역서!$B$4:$B$203,LEN($A14))=$A14)*N(내역서!$K$4:$K$203)))</f>
        <v/>
      </c>
      <c r="D14" s="20">
        <f>IF($A14="","",SUMPRODUCT((LEFT(증감대비표!$B$4:$B$203,LEN($A14))=$A14)*N(증감대비표!$P$4:$P$203)))</f>
        <v/>
      </c>
      <c r="E14" s="20">
        <f>IF($A14="","",N($C14)+N($D14))</f>
        <v/>
      </c>
      <c r="F14" s="31">
        <f>IF(OR($A14="",N($C14)=0),"",ROUND($D14/$C14*100,2))</f>
        <v/>
      </c>
    </row>
    <row r="15">
      <c r="A15" s="30" t="n"/>
      <c r="B15" s="30" t="n"/>
      <c r="C15" s="20">
        <f>IF($A15="","",SUMPRODUCT((LEFT(내역서!$B$4:$B$203,LEN($A15))=$A15)*N(내역서!$K$4:$K$203)))</f>
        <v/>
      </c>
      <c r="D15" s="20">
        <f>IF($A15="","",SUMPRODUCT((LEFT(증감대비표!$B$4:$B$203,LEN($A15))=$A15)*N(증감대비표!$P$4:$P$203)))</f>
        <v/>
      </c>
      <c r="E15" s="20">
        <f>IF($A15="","",N($C15)+N($D15))</f>
        <v/>
      </c>
      <c r="F15" s="31">
        <f>IF(OR($A15="",N($C15)=0),"",ROUND($D15/$C15*100,2))</f>
        <v/>
      </c>
    </row>
    <row r="16">
      <c r="A16" s="30" t="n"/>
      <c r="B16" s="30" t="n"/>
      <c r="C16" s="20">
        <f>IF($A16="","",SUMPRODUCT((LEFT(내역서!$B$4:$B$203,LEN($A16))=$A16)*N(내역서!$K$4:$K$203)))</f>
        <v/>
      </c>
      <c r="D16" s="20">
        <f>IF($A16="","",SUMPRODUCT((LEFT(증감대비표!$B$4:$B$203,LEN($A16))=$A16)*N(증감대비표!$P$4:$P$203)))</f>
        <v/>
      </c>
      <c r="E16" s="20">
        <f>IF($A16="","",N($C16)+N($D16))</f>
        <v/>
      </c>
      <c r="F16" s="31">
        <f>IF(OR($A16="",N($C16)=0),"",ROUND($D16/$C16*100,2))</f>
        <v/>
      </c>
    </row>
    <row r="17">
      <c r="A17" s="30" t="n"/>
      <c r="B17" s="30" t="n"/>
      <c r="C17" s="20">
        <f>IF($A17="","",SUMPRODUCT((LEFT(내역서!$B$4:$B$203,LEN($A17))=$A17)*N(내역서!$K$4:$K$203)))</f>
        <v/>
      </c>
      <c r="D17" s="20">
        <f>IF($A17="","",SUMPRODUCT((LEFT(증감대비표!$B$4:$B$203,LEN($A17))=$A17)*N(증감대비표!$P$4:$P$203)))</f>
        <v/>
      </c>
      <c r="E17" s="20">
        <f>IF($A17="","",N($C17)+N($D17))</f>
        <v/>
      </c>
      <c r="F17" s="31">
        <f>IF(OR($A17="",N($C17)=0),"",ROUND($D17/$C17*100,2))</f>
        <v/>
      </c>
    </row>
    <row r="18">
      <c r="A18" s="30" t="n"/>
      <c r="B18" s="30" t="n"/>
      <c r="C18" s="20">
        <f>IF($A18="","",SUMPRODUCT((LEFT(내역서!$B$4:$B$203,LEN($A18))=$A18)*N(내역서!$K$4:$K$203)))</f>
        <v/>
      </c>
      <c r="D18" s="20">
        <f>IF($A18="","",SUMPRODUCT((LEFT(증감대비표!$B$4:$B$203,LEN($A18))=$A18)*N(증감대비표!$P$4:$P$203)))</f>
        <v/>
      </c>
      <c r="E18" s="20">
        <f>IF($A18="","",N($C18)+N($D18))</f>
        <v/>
      </c>
      <c r="F18" s="31">
        <f>IF(OR($A18="",N($C18)=0),"",ROUND($D18/$C18*100,2))</f>
        <v/>
      </c>
    </row>
    <row r="19">
      <c r="A19" s="30" t="n"/>
      <c r="B19" s="30" t="n"/>
      <c r="C19" s="20">
        <f>IF($A19="","",SUMPRODUCT((LEFT(내역서!$B$4:$B$203,LEN($A19))=$A19)*N(내역서!$K$4:$K$203)))</f>
        <v/>
      </c>
      <c r="D19" s="20">
        <f>IF($A19="","",SUMPRODUCT((LEFT(증감대비표!$B$4:$B$203,LEN($A19))=$A19)*N(증감대비표!$P$4:$P$203)))</f>
        <v/>
      </c>
      <c r="E19" s="20">
        <f>IF($A19="","",N($C19)+N($D19))</f>
        <v/>
      </c>
      <c r="F19" s="31">
        <f>IF(OR($A19="",N($C19)=0),"",ROUND($D19/$C19*100,2))</f>
        <v/>
      </c>
    </row>
    <row r="20">
      <c r="A20" s="30" t="n"/>
      <c r="B20" s="30" t="n"/>
      <c r="C20" s="20">
        <f>IF($A20="","",SUMPRODUCT((LEFT(내역서!$B$4:$B$203,LEN($A20))=$A20)*N(내역서!$K$4:$K$203)))</f>
        <v/>
      </c>
      <c r="D20" s="20">
        <f>IF($A20="","",SUMPRODUCT((LEFT(증감대비표!$B$4:$B$203,LEN($A20))=$A20)*N(증감대비표!$P$4:$P$203)))</f>
        <v/>
      </c>
      <c r="E20" s="20">
        <f>IF($A20="","",N($C20)+N($D20))</f>
        <v/>
      </c>
      <c r="F20" s="31">
        <f>IF(OR($A20="",N($C20)=0),"",ROUND($D20/$C20*100,2))</f>
        <v/>
      </c>
    </row>
    <row r="21">
      <c r="A21" s="30" t="n"/>
      <c r="B21" s="30" t="n"/>
      <c r="C21" s="20">
        <f>IF($A21="","",SUMPRODUCT((LEFT(내역서!$B$4:$B$203,LEN($A21))=$A21)*N(내역서!$K$4:$K$203)))</f>
        <v/>
      </c>
      <c r="D21" s="20">
        <f>IF($A21="","",SUMPRODUCT((LEFT(증감대비표!$B$4:$B$203,LEN($A21))=$A21)*N(증감대비표!$P$4:$P$203)))</f>
        <v/>
      </c>
      <c r="E21" s="20">
        <f>IF($A21="","",N($C21)+N($D21))</f>
        <v/>
      </c>
      <c r="F21" s="31">
        <f>IF(OR($A21="",N($C21)=0),"",ROUND($D21/$C21*100,2))</f>
        <v/>
      </c>
    </row>
    <row r="22">
      <c r="A22" s="30" t="n"/>
      <c r="B22" s="30" t="n"/>
      <c r="C22" s="20">
        <f>IF($A22="","",SUMPRODUCT((LEFT(내역서!$B$4:$B$203,LEN($A22))=$A22)*N(내역서!$K$4:$K$203)))</f>
        <v/>
      </c>
      <c r="D22" s="20">
        <f>IF($A22="","",SUMPRODUCT((LEFT(증감대비표!$B$4:$B$203,LEN($A22))=$A22)*N(증감대비표!$P$4:$P$203)))</f>
        <v/>
      </c>
      <c r="E22" s="20">
        <f>IF($A22="","",N($C22)+N($D22))</f>
        <v/>
      </c>
      <c r="F22" s="31">
        <f>IF(OR($A22="",N($C22)=0),"",ROUND($D22/$C22*100,2))</f>
        <v/>
      </c>
    </row>
    <row r="23">
      <c r="A23" s="30" t="n"/>
      <c r="B23" s="30" t="n"/>
      <c r="C23" s="20">
        <f>IF($A23="","",SUMPRODUCT((LEFT(내역서!$B$4:$B$203,LEN($A23))=$A23)*N(내역서!$K$4:$K$203)))</f>
        <v/>
      </c>
      <c r="D23" s="20">
        <f>IF($A23="","",SUMPRODUCT((LEFT(증감대비표!$B$4:$B$203,LEN($A23))=$A23)*N(증감대비표!$P$4:$P$203)))</f>
        <v/>
      </c>
      <c r="E23" s="20">
        <f>IF($A23="","",N($C23)+N($D23))</f>
        <v/>
      </c>
      <c r="F23" s="31">
        <f>IF(OR($A23="",N($C23)=0),"",ROUND($D23/$C23*100,2))</f>
        <v/>
      </c>
    </row>
    <row r="24">
      <c r="A24" s="30" t="n"/>
      <c r="B24" s="30" t="n"/>
      <c r="C24" s="20">
        <f>IF($A24="","",SUMPRODUCT((LEFT(내역서!$B$4:$B$203,LEN($A24))=$A24)*N(내역서!$K$4:$K$203)))</f>
        <v/>
      </c>
      <c r="D24" s="20">
        <f>IF($A24="","",SUMPRODUCT((LEFT(증감대비표!$B$4:$B$203,LEN($A24))=$A24)*N(증감대비표!$P$4:$P$203)))</f>
        <v/>
      </c>
      <c r="E24" s="20">
        <f>IF($A24="","",N($C24)+N($D24))</f>
        <v/>
      </c>
      <c r="F24" s="31">
        <f>IF(OR($A24="",N($C24)=0),"",ROUND($D24/$C24*100,2))</f>
        <v/>
      </c>
    </row>
    <row r="25">
      <c r="A25" s="30" t="n"/>
      <c r="B25" s="30" t="n"/>
      <c r="C25" s="20">
        <f>IF($A25="","",SUMPRODUCT((LEFT(내역서!$B$4:$B$203,LEN($A25))=$A25)*N(내역서!$K$4:$K$203)))</f>
        <v/>
      </c>
      <c r="D25" s="20">
        <f>IF($A25="","",SUMPRODUCT((LEFT(증감대비표!$B$4:$B$203,LEN($A25))=$A25)*N(증감대비표!$P$4:$P$203)))</f>
        <v/>
      </c>
      <c r="E25" s="20">
        <f>IF($A25="","",N($C25)+N($D25))</f>
        <v/>
      </c>
      <c r="F25" s="31">
        <f>IF(OR($A25="",N($C25)=0),"",ROUND($D25/$C25*100,2))</f>
        <v/>
      </c>
    </row>
    <row r="26">
      <c r="A26" s="30" t="n"/>
      <c r="B26" s="30" t="n"/>
      <c r="C26" s="20">
        <f>IF($A26="","",SUMPRODUCT((LEFT(내역서!$B$4:$B$203,LEN($A26))=$A26)*N(내역서!$K$4:$K$203)))</f>
        <v/>
      </c>
      <c r="D26" s="20">
        <f>IF($A26="","",SUMPRODUCT((LEFT(증감대비표!$B$4:$B$203,LEN($A26))=$A26)*N(증감대비표!$P$4:$P$203)))</f>
        <v/>
      </c>
      <c r="E26" s="20">
        <f>IF($A26="","",N($C26)+N($D26))</f>
        <v/>
      </c>
      <c r="F26" s="31">
        <f>IF(OR($A26="",N($C26)=0),"",ROUND($D26/$C26*100,2))</f>
        <v/>
      </c>
    </row>
    <row r="27">
      <c r="A27" s="30" t="n"/>
      <c r="B27" s="30" t="n"/>
      <c r="C27" s="20">
        <f>IF($A27="","",SUMPRODUCT((LEFT(내역서!$B$4:$B$203,LEN($A27))=$A27)*N(내역서!$K$4:$K$203)))</f>
        <v/>
      </c>
      <c r="D27" s="20">
        <f>IF($A27="","",SUMPRODUCT((LEFT(증감대비표!$B$4:$B$203,LEN($A27))=$A27)*N(증감대비표!$P$4:$P$203)))</f>
        <v/>
      </c>
      <c r="E27" s="20">
        <f>IF($A27="","",N($C27)+N($D27))</f>
        <v/>
      </c>
      <c r="F27" s="31">
        <f>IF(OR($A27="",N($C27)=0),"",ROUND($D27/$C27*100,2))</f>
        <v/>
      </c>
    </row>
    <row r="28">
      <c r="A28" s="30" t="n"/>
      <c r="B28" s="30" t="n"/>
      <c r="C28" s="20">
        <f>IF($A28="","",SUMPRODUCT((LEFT(내역서!$B$4:$B$203,LEN($A28))=$A28)*N(내역서!$K$4:$K$203)))</f>
        <v/>
      </c>
      <c r="D28" s="20">
        <f>IF($A28="","",SUMPRODUCT((LEFT(증감대비표!$B$4:$B$203,LEN($A28))=$A28)*N(증감대비표!$P$4:$P$203)))</f>
        <v/>
      </c>
      <c r="E28" s="20">
        <f>IF($A28="","",N($C28)+N($D28))</f>
        <v/>
      </c>
      <c r="F28" s="31">
        <f>IF(OR($A28="",N($C28)=0),"",ROUND($D28/$C28*100,2))</f>
        <v/>
      </c>
    </row>
    <row r="29">
      <c r="B29" s="26" t="inlineStr">
        <is>
          <t>합  계</t>
        </is>
      </c>
      <c r="C29" s="27">
        <f>SUM(C4:C28)</f>
        <v/>
      </c>
      <c r="D29" s="27">
        <f>SUM(D4:D28)</f>
        <v/>
      </c>
      <c r="E29" s="27">
        <f>SUM(E4:E28)</f>
        <v/>
      </c>
    </row>
    <row r="31">
      <c r="A31" s="17" t="inlineStr">
        <is>
          <t>대공종 코드에 «토공» 처럼 코드 앞부분을 적으면 그 글자로 시작하는 모든 줄을 묶습니다. 예: 코드가 «토공-001, 토공-002» 이면 «토공» 이라고 적으세요.</t>
        </is>
      </c>
    </row>
  </sheetData>
  <mergeCells count="3">
    <mergeCell ref="A31:F31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14" customWidth="1" min="4" max="4"/>
    <col width="6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1" customWidth="1" min="12" max="12"/>
    <col width="10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4" customWidth="1" min="19" max="19"/>
    <col width="10" customWidth="1" min="20" max="20"/>
    <col width="14" customWidth="1" min="21" max="21"/>
    <col width="14" customWidth="1" min="22" max="22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산 출 내 역 서  (당초 · 변경 · 증감)</t>
        </is>
      </c>
    </row>
    <row r="3" ht="30" customHeight="1">
      <c r="A3" s="3" t="inlineStr">
        <is>
          <t>번호</t>
        </is>
      </c>
      <c r="B3" s="3" t="inlineStr">
        <is>
          <t>공종코드</t>
        </is>
      </c>
      <c r="C3" s="3" t="inlineStr">
        <is>
          <t>품 명</t>
        </is>
      </c>
      <c r="D3" s="3" t="inlineStr">
        <is>
          <t>규 격</t>
        </is>
      </c>
      <c r="E3" s="3" t="inlineStr">
        <is>
          <t>단위</t>
        </is>
      </c>
      <c r="F3" s="32" t="inlineStr">
        <is>
          <t>당초 수량</t>
        </is>
      </c>
      <c r="G3" s="32" t="inlineStr">
        <is>
          <t>당초 재료비</t>
        </is>
      </c>
      <c r="H3" s="32" t="inlineStr">
        <is>
          <t>당초 노무비</t>
        </is>
      </c>
      <c r="I3" s="32" t="inlineStr">
        <is>
          <t>당초 경비</t>
        </is>
      </c>
      <c r="J3" s="32" t="inlineStr">
        <is>
          <t>당초 합계단가</t>
        </is>
      </c>
      <c r="K3" s="32" t="inlineStr">
        <is>
          <t>당초 금액</t>
        </is>
      </c>
      <c r="L3" s="33" t="inlineStr">
        <is>
          <t>변경 수량(산출서)</t>
        </is>
      </c>
      <c r="M3" s="33" t="inlineStr">
        <is>
          <t>변경 수량(직접)</t>
        </is>
      </c>
      <c r="N3" s="33" t="inlineStr">
        <is>
          <t>변경 적용수량</t>
        </is>
      </c>
      <c r="O3" s="33" t="inlineStr">
        <is>
          <t>변경 재료비</t>
        </is>
      </c>
      <c r="P3" s="33" t="inlineStr">
        <is>
          <t>변경 노무비</t>
        </is>
      </c>
      <c r="Q3" s="33" t="inlineStr">
        <is>
          <t>변경 경비</t>
        </is>
      </c>
      <c r="R3" s="33" t="inlineStr">
        <is>
          <t>변경 합계단가</t>
        </is>
      </c>
      <c r="S3" s="33" t="inlineStr">
        <is>
          <t>변경 금액</t>
        </is>
      </c>
      <c r="T3" s="34" t="inlineStr">
        <is>
          <t>증감 수량</t>
        </is>
      </c>
      <c r="U3" s="34" t="inlineStr">
        <is>
          <t>증감 금액</t>
        </is>
      </c>
      <c r="V3" s="3" t="inlineStr">
        <is>
          <t>비고</t>
        </is>
      </c>
    </row>
    <row r="4">
      <c r="A4" s="30" t="n"/>
      <c r="B4" s="30" t="n"/>
      <c r="C4" s="18">
        <f>IF($B4="","",IFERROR(VLOOKUP($B4,단가마스터!$A$4:$H$303,2,FALSE),IFERROR(VLOOKUP($B4,일위대가!$N$4:$T$63,2,FALSE),"⚠️단가 없음")))</f>
        <v/>
      </c>
      <c r="D4" s="18">
        <f>IF($B4="","",IFERROR(VLOOKUP($B4,단가마스터!$A$4:$H$303,3,FALSE),""))</f>
        <v/>
      </c>
      <c r="E4" s="18">
        <f>IF($B4="","",IFERROR(VLOOKUP($B4,단가마스터!$A$4:$H$303,4,FALSE),IFERROR(VLOOKUP($B4,일위대가!$N$4:$T$63,3,FALSE),"")))</f>
        <v/>
      </c>
      <c r="F4" s="35" t="n"/>
      <c r="G4" s="23" t="n"/>
      <c r="H4" s="23" t="n"/>
      <c r="I4" s="23" t="n"/>
      <c r="J4" s="20">
        <f>IF($B4="","",N($G4)+N($H4)+N($I4))</f>
        <v/>
      </c>
      <c r="K4" s="20">
        <f>IF($B4="","",ROUND(N($F4)*N($J4),0))</f>
        <v/>
      </c>
      <c r="L4" s="19">
        <f>IF($B4="","",SUMIFS(수량산출서!$H$4:$H$253,수량산출서!$A$4:$A$253,"변경",수량산출서!$B$4:$B$253,$B4))</f>
        <v/>
      </c>
      <c r="M4" s="35" t="n"/>
      <c r="N4" s="19">
        <f>IF($B4="","",IF($M4&lt;&gt;"",$M4,N($L4)))</f>
        <v/>
      </c>
      <c r="O4" s="20">
        <f>IF($B4="","",IFERROR(VLOOKUP($B4,단가마스터!$A$4:$H$303,5,FALSE),IFERROR(VLOOKUP($B4,일위대가!$N$4:$T$63,4,FALSE),0)))</f>
        <v/>
      </c>
      <c r="P4" s="20">
        <f>IF($B4="","",IFERROR(VLOOKUP($B4,단가마스터!$A$4:$H$303,6,FALSE),IFERROR(VLOOKUP($B4,일위대가!$N$4:$T$63,5,FALSE),0)))</f>
        <v/>
      </c>
      <c r="Q4" s="20">
        <f>IF($B4="","",IFERROR(VLOOKUP($B4,단가마스터!$A$4:$H$303,7,FALSE),IFERROR(VLOOKUP($B4,일위대가!$N$4:$T$63,6,FALSE),0)))</f>
        <v/>
      </c>
      <c r="R4" s="20">
        <f>IF($B4="","",N($O4)+N($P4)+N($Q4))</f>
        <v/>
      </c>
      <c r="S4" s="20">
        <f>IF($B4="","",ROUND(N($N4)*N($R4),0))</f>
        <v/>
      </c>
      <c r="T4" s="19">
        <f>IF($B4="","",N($N4)-N($F4))</f>
        <v/>
      </c>
      <c r="U4" s="20">
        <f>IF($B4="","",N($S4)-N($K4))</f>
        <v/>
      </c>
      <c r="V4" s="30" t="n"/>
    </row>
    <row r="5">
      <c r="A5" s="30" t="n"/>
      <c r="B5" s="30" t="n"/>
      <c r="C5" s="18">
        <f>IF($B5="","",IFERROR(VLOOKUP($B5,단가마스터!$A$4:$H$303,2,FALSE),IFERROR(VLOOKUP($B5,일위대가!$N$4:$T$63,2,FALSE),"⚠️단가 없음")))</f>
        <v/>
      </c>
      <c r="D5" s="18">
        <f>IF($B5="","",IFERROR(VLOOKUP($B5,단가마스터!$A$4:$H$303,3,FALSE),""))</f>
        <v/>
      </c>
      <c r="E5" s="18">
        <f>IF($B5="","",IFERROR(VLOOKUP($B5,단가마스터!$A$4:$H$303,4,FALSE),IFERROR(VLOOKUP($B5,일위대가!$N$4:$T$63,3,FALSE),"")))</f>
        <v/>
      </c>
      <c r="F5" s="35" t="n"/>
      <c r="G5" s="23" t="n"/>
      <c r="H5" s="23" t="n"/>
      <c r="I5" s="23" t="n"/>
      <c r="J5" s="20">
        <f>IF($B5="","",N($G5)+N($H5)+N($I5))</f>
        <v/>
      </c>
      <c r="K5" s="20">
        <f>IF($B5="","",ROUND(N($F5)*N($J5),0))</f>
        <v/>
      </c>
      <c r="L5" s="19">
        <f>IF($B5="","",SUMIFS(수량산출서!$H$4:$H$253,수량산출서!$A$4:$A$253,"변경",수량산출서!$B$4:$B$253,$B5))</f>
        <v/>
      </c>
      <c r="M5" s="35" t="n"/>
      <c r="N5" s="19">
        <f>IF($B5="","",IF($M5&lt;&gt;"",$M5,N($L5)))</f>
        <v/>
      </c>
      <c r="O5" s="20">
        <f>IF($B5="","",IFERROR(VLOOKUP($B5,단가마스터!$A$4:$H$303,5,FALSE),IFERROR(VLOOKUP($B5,일위대가!$N$4:$T$63,4,FALSE),0)))</f>
        <v/>
      </c>
      <c r="P5" s="20">
        <f>IF($B5="","",IFERROR(VLOOKUP($B5,단가마스터!$A$4:$H$303,6,FALSE),IFERROR(VLOOKUP($B5,일위대가!$N$4:$T$63,5,FALSE),0)))</f>
        <v/>
      </c>
      <c r="Q5" s="20">
        <f>IF($B5="","",IFERROR(VLOOKUP($B5,단가마스터!$A$4:$H$303,7,FALSE),IFERROR(VLOOKUP($B5,일위대가!$N$4:$T$63,6,FALSE),0)))</f>
        <v/>
      </c>
      <c r="R5" s="20">
        <f>IF($B5="","",N($O5)+N($P5)+N($Q5))</f>
        <v/>
      </c>
      <c r="S5" s="20">
        <f>IF($B5="","",ROUND(N($N5)*N($R5),0))</f>
        <v/>
      </c>
      <c r="T5" s="19">
        <f>IF($B5="","",N($N5)-N($F5))</f>
        <v/>
      </c>
      <c r="U5" s="20">
        <f>IF($B5="","",N($S5)-N($K5))</f>
        <v/>
      </c>
      <c r="V5" s="30" t="n"/>
    </row>
    <row r="6">
      <c r="A6" s="30" t="n"/>
      <c r="B6" s="30" t="n"/>
      <c r="C6" s="18">
        <f>IF($B6="","",IFERROR(VLOOKUP($B6,단가마스터!$A$4:$H$303,2,FALSE),IFERROR(VLOOKUP($B6,일위대가!$N$4:$T$63,2,FALSE),"⚠️단가 없음")))</f>
        <v/>
      </c>
      <c r="D6" s="18">
        <f>IF($B6="","",IFERROR(VLOOKUP($B6,단가마스터!$A$4:$H$303,3,FALSE),""))</f>
        <v/>
      </c>
      <c r="E6" s="18">
        <f>IF($B6="","",IFERROR(VLOOKUP($B6,단가마스터!$A$4:$H$303,4,FALSE),IFERROR(VLOOKUP($B6,일위대가!$N$4:$T$63,3,FALSE),"")))</f>
        <v/>
      </c>
      <c r="F6" s="35" t="n"/>
      <c r="G6" s="23" t="n"/>
      <c r="H6" s="23" t="n"/>
      <c r="I6" s="23" t="n"/>
      <c r="J6" s="20">
        <f>IF($B6="","",N($G6)+N($H6)+N($I6))</f>
        <v/>
      </c>
      <c r="K6" s="20">
        <f>IF($B6="","",ROUND(N($F6)*N($J6),0))</f>
        <v/>
      </c>
      <c r="L6" s="19">
        <f>IF($B6="","",SUMIFS(수량산출서!$H$4:$H$253,수량산출서!$A$4:$A$253,"변경",수량산출서!$B$4:$B$253,$B6))</f>
        <v/>
      </c>
      <c r="M6" s="35" t="n"/>
      <c r="N6" s="19">
        <f>IF($B6="","",IF($M6&lt;&gt;"",$M6,N($L6)))</f>
        <v/>
      </c>
      <c r="O6" s="20">
        <f>IF($B6="","",IFERROR(VLOOKUP($B6,단가마스터!$A$4:$H$303,5,FALSE),IFERROR(VLOOKUP($B6,일위대가!$N$4:$T$63,4,FALSE),0)))</f>
        <v/>
      </c>
      <c r="P6" s="20">
        <f>IF($B6="","",IFERROR(VLOOKUP($B6,단가마스터!$A$4:$H$303,6,FALSE),IFERROR(VLOOKUP($B6,일위대가!$N$4:$T$63,5,FALSE),0)))</f>
        <v/>
      </c>
      <c r="Q6" s="20">
        <f>IF($B6="","",IFERROR(VLOOKUP($B6,단가마스터!$A$4:$H$303,7,FALSE),IFERROR(VLOOKUP($B6,일위대가!$N$4:$T$63,6,FALSE),0)))</f>
        <v/>
      </c>
      <c r="R6" s="20">
        <f>IF($B6="","",N($O6)+N($P6)+N($Q6))</f>
        <v/>
      </c>
      <c r="S6" s="20">
        <f>IF($B6="","",ROUND(N($N6)*N($R6),0))</f>
        <v/>
      </c>
      <c r="T6" s="19">
        <f>IF($B6="","",N($N6)-N($F6))</f>
        <v/>
      </c>
      <c r="U6" s="20">
        <f>IF($B6="","",N($S6)-N($K6))</f>
        <v/>
      </c>
      <c r="V6" s="30" t="n"/>
    </row>
    <row r="7">
      <c r="A7" s="30" t="n"/>
      <c r="B7" s="30" t="n"/>
      <c r="C7" s="18">
        <f>IF($B7="","",IFERROR(VLOOKUP($B7,단가마스터!$A$4:$H$303,2,FALSE),IFERROR(VLOOKUP($B7,일위대가!$N$4:$T$63,2,FALSE),"⚠️단가 없음")))</f>
        <v/>
      </c>
      <c r="D7" s="18">
        <f>IF($B7="","",IFERROR(VLOOKUP($B7,단가마스터!$A$4:$H$303,3,FALSE),""))</f>
        <v/>
      </c>
      <c r="E7" s="18">
        <f>IF($B7="","",IFERROR(VLOOKUP($B7,단가마스터!$A$4:$H$303,4,FALSE),IFERROR(VLOOKUP($B7,일위대가!$N$4:$T$63,3,FALSE),"")))</f>
        <v/>
      </c>
      <c r="F7" s="35" t="n"/>
      <c r="G7" s="23" t="n"/>
      <c r="H7" s="23" t="n"/>
      <c r="I7" s="23" t="n"/>
      <c r="J7" s="20">
        <f>IF($B7="","",N($G7)+N($H7)+N($I7))</f>
        <v/>
      </c>
      <c r="K7" s="20">
        <f>IF($B7="","",ROUND(N($F7)*N($J7),0))</f>
        <v/>
      </c>
      <c r="L7" s="19">
        <f>IF($B7="","",SUMIFS(수량산출서!$H$4:$H$253,수량산출서!$A$4:$A$253,"변경",수량산출서!$B$4:$B$253,$B7))</f>
        <v/>
      </c>
      <c r="M7" s="35" t="n"/>
      <c r="N7" s="19">
        <f>IF($B7="","",IF($M7&lt;&gt;"",$M7,N($L7)))</f>
        <v/>
      </c>
      <c r="O7" s="20">
        <f>IF($B7="","",IFERROR(VLOOKUP($B7,단가마스터!$A$4:$H$303,5,FALSE),IFERROR(VLOOKUP($B7,일위대가!$N$4:$T$63,4,FALSE),0)))</f>
        <v/>
      </c>
      <c r="P7" s="20">
        <f>IF($B7="","",IFERROR(VLOOKUP($B7,단가마스터!$A$4:$H$303,6,FALSE),IFERROR(VLOOKUP($B7,일위대가!$N$4:$T$63,5,FALSE),0)))</f>
        <v/>
      </c>
      <c r="Q7" s="20">
        <f>IF($B7="","",IFERROR(VLOOKUP($B7,단가마스터!$A$4:$H$303,7,FALSE),IFERROR(VLOOKUP($B7,일위대가!$N$4:$T$63,6,FALSE),0)))</f>
        <v/>
      </c>
      <c r="R7" s="20">
        <f>IF($B7="","",N($O7)+N($P7)+N($Q7))</f>
        <v/>
      </c>
      <c r="S7" s="20">
        <f>IF($B7="","",ROUND(N($N7)*N($R7),0))</f>
        <v/>
      </c>
      <c r="T7" s="19">
        <f>IF($B7="","",N($N7)-N($F7))</f>
        <v/>
      </c>
      <c r="U7" s="20">
        <f>IF($B7="","",N($S7)-N($K7))</f>
        <v/>
      </c>
      <c r="V7" s="30" t="n"/>
    </row>
    <row r="8">
      <c r="A8" s="30" t="n"/>
      <c r="B8" s="30" t="n"/>
      <c r="C8" s="18">
        <f>IF($B8="","",IFERROR(VLOOKUP($B8,단가마스터!$A$4:$H$303,2,FALSE),IFERROR(VLOOKUP($B8,일위대가!$N$4:$T$63,2,FALSE),"⚠️단가 없음")))</f>
        <v/>
      </c>
      <c r="D8" s="18">
        <f>IF($B8="","",IFERROR(VLOOKUP($B8,단가마스터!$A$4:$H$303,3,FALSE),""))</f>
        <v/>
      </c>
      <c r="E8" s="18">
        <f>IF($B8="","",IFERROR(VLOOKUP($B8,단가마스터!$A$4:$H$303,4,FALSE),IFERROR(VLOOKUP($B8,일위대가!$N$4:$T$63,3,FALSE),"")))</f>
        <v/>
      </c>
      <c r="F8" s="35" t="n"/>
      <c r="G8" s="23" t="n"/>
      <c r="H8" s="23" t="n"/>
      <c r="I8" s="23" t="n"/>
      <c r="J8" s="20">
        <f>IF($B8="","",N($G8)+N($H8)+N($I8))</f>
        <v/>
      </c>
      <c r="K8" s="20">
        <f>IF($B8="","",ROUND(N($F8)*N($J8),0))</f>
        <v/>
      </c>
      <c r="L8" s="19">
        <f>IF($B8="","",SUMIFS(수량산출서!$H$4:$H$253,수량산출서!$A$4:$A$253,"변경",수량산출서!$B$4:$B$253,$B8))</f>
        <v/>
      </c>
      <c r="M8" s="35" t="n"/>
      <c r="N8" s="19">
        <f>IF($B8="","",IF($M8&lt;&gt;"",$M8,N($L8)))</f>
        <v/>
      </c>
      <c r="O8" s="20">
        <f>IF($B8="","",IFERROR(VLOOKUP($B8,단가마스터!$A$4:$H$303,5,FALSE),IFERROR(VLOOKUP($B8,일위대가!$N$4:$T$63,4,FALSE),0)))</f>
        <v/>
      </c>
      <c r="P8" s="20">
        <f>IF($B8="","",IFERROR(VLOOKUP($B8,단가마스터!$A$4:$H$303,6,FALSE),IFERROR(VLOOKUP($B8,일위대가!$N$4:$T$63,5,FALSE),0)))</f>
        <v/>
      </c>
      <c r="Q8" s="20">
        <f>IF($B8="","",IFERROR(VLOOKUP($B8,단가마스터!$A$4:$H$303,7,FALSE),IFERROR(VLOOKUP($B8,일위대가!$N$4:$T$63,6,FALSE),0)))</f>
        <v/>
      </c>
      <c r="R8" s="20">
        <f>IF($B8="","",N($O8)+N($P8)+N($Q8))</f>
        <v/>
      </c>
      <c r="S8" s="20">
        <f>IF($B8="","",ROUND(N($N8)*N($R8),0))</f>
        <v/>
      </c>
      <c r="T8" s="19">
        <f>IF($B8="","",N($N8)-N($F8))</f>
        <v/>
      </c>
      <c r="U8" s="20">
        <f>IF($B8="","",N($S8)-N($K8))</f>
        <v/>
      </c>
      <c r="V8" s="30" t="n"/>
    </row>
    <row r="9">
      <c r="A9" s="30" t="n"/>
      <c r="B9" s="30" t="n"/>
      <c r="C9" s="18">
        <f>IF($B9="","",IFERROR(VLOOKUP($B9,단가마스터!$A$4:$H$303,2,FALSE),IFERROR(VLOOKUP($B9,일위대가!$N$4:$T$63,2,FALSE),"⚠️단가 없음")))</f>
        <v/>
      </c>
      <c r="D9" s="18">
        <f>IF($B9="","",IFERROR(VLOOKUP($B9,단가마스터!$A$4:$H$303,3,FALSE),""))</f>
        <v/>
      </c>
      <c r="E9" s="18">
        <f>IF($B9="","",IFERROR(VLOOKUP($B9,단가마스터!$A$4:$H$303,4,FALSE),IFERROR(VLOOKUP($B9,일위대가!$N$4:$T$63,3,FALSE),"")))</f>
        <v/>
      </c>
      <c r="F9" s="35" t="n"/>
      <c r="G9" s="23" t="n"/>
      <c r="H9" s="23" t="n"/>
      <c r="I9" s="23" t="n"/>
      <c r="J9" s="20">
        <f>IF($B9="","",N($G9)+N($H9)+N($I9))</f>
        <v/>
      </c>
      <c r="K9" s="20">
        <f>IF($B9="","",ROUND(N($F9)*N($J9),0))</f>
        <v/>
      </c>
      <c r="L9" s="19">
        <f>IF($B9="","",SUMIFS(수량산출서!$H$4:$H$253,수량산출서!$A$4:$A$253,"변경",수량산출서!$B$4:$B$253,$B9))</f>
        <v/>
      </c>
      <c r="M9" s="35" t="n"/>
      <c r="N9" s="19">
        <f>IF($B9="","",IF($M9&lt;&gt;"",$M9,N($L9)))</f>
        <v/>
      </c>
      <c r="O9" s="20">
        <f>IF($B9="","",IFERROR(VLOOKUP($B9,단가마스터!$A$4:$H$303,5,FALSE),IFERROR(VLOOKUP($B9,일위대가!$N$4:$T$63,4,FALSE),0)))</f>
        <v/>
      </c>
      <c r="P9" s="20">
        <f>IF($B9="","",IFERROR(VLOOKUP($B9,단가마스터!$A$4:$H$303,6,FALSE),IFERROR(VLOOKUP($B9,일위대가!$N$4:$T$63,5,FALSE),0)))</f>
        <v/>
      </c>
      <c r="Q9" s="20">
        <f>IF($B9="","",IFERROR(VLOOKUP($B9,단가마스터!$A$4:$H$303,7,FALSE),IFERROR(VLOOKUP($B9,일위대가!$N$4:$T$63,6,FALSE),0)))</f>
        <v/>
      </c>
      <c r="R9" s="20">
        <f>IF($B9="","",N($O9)+N($P9)+N($Q9))</f>
        <v/>
      </c>
      <c r="S9" s="20">
        <f>IF($B9="","",ROUND(N($N9)*N($R9),0))</f>
        <v/>
      </c>
      <c r="T9" s="19">
        <f>IF($B9="","",N($N9)-N($F9))</f>
        <v/>
      </c>
      <c r="U9" s="20">
        <f>IF($B9="","",N($S9)-N($K9))</f>
        <v/>
      </c>
      <c r="V9" s="30" t="n"/>
    </row>
    <row r="10">
      <c r="A10" s="30" t="n"/>
      <c r="B10" s="30" t="n"/>
      <c r="C10" s="18">
        <f>IF($B10="","",IFERROR(VLOOKUP($B10,단가마스터!$A$4:$H$303,2,FALSE),IFERROR(VLOOKUP($B10,일위대가!$N$4:$T$63,2,FALSE),"⚠️단가 없음")))</f>
        <v/>
      </c>
      <c r="D10" s="18">
        <f>IF($B10="","",IFERROR(VLOOKUP($B10,단가마스터!$A$4:$H$303,3,FALSE),""))</f>
        <v/>
      </c>
      <c r="E10" s="18">
        <f>IF($B10="","",IFERROR(VLOOKUP($B10,단가마스터!$A$4:$H$303,4,FALSE),IFERROR(VLOOKUP($B10,일위대가!$N$4:$T$63,3,FALSE),"")))</f>
        <v/>
      </c>
      <c r="F10" s="35" t="n"/>
      <c r="G10" s="23" t="n"/>
      <c r="H10" s="23" t="n"/>
      <c r="I10" s="23" t="n"/>
      <c r="J10" s="20">
        <f>IF($B10="","",N($G10)+N($H10)+N($I10))</f>
        <v/>
      </c>
      <c r="K10" s="20">
        <f>IF($B10="","",ROUND(N($F10)*N($J10),0))</f>
        <v/>
      </c>
      <c r="L10" s="19">
        <f>IF($B10="","",SUMIFS(수량산출서!$H$4:$H$253,수량산출서!$A$4:$A$253,"변경",수량산출서!$B$4:$B$253,$B10))</f>
        <v/>
      </c>
      <c r="M10" s="35" t="n"/>
      <c r="N10" s="19">
        <f>IF($B10="","",IF($M10&lt;&gt;"",$M10,N($L10)))</f>
        <v/>
      </c>
      <c r="O10" s="20">
        <f>IF($B10="","",IFERROR(VLOOKUP($B10,단가마스터!$A$4:$H$303,5,FALSE),IFERROR(VLOOKUP($B10,일위대가!$N$4:$T$63,4,FALSE),0)))</f>
        <v/>
      </c>
      <c r="P10" s="20">
        <f>IF($B10="","",IFERROR(VLOOKUP($B10,단가마스터!$A$4:$H$303,6,FALSE),IFERROR(VLOOKUP($B10,일위대가!$N$4:$T$63,5,FALSE),0)))</f>
        <v/>
      </c>
      <c r="Q10" s="20">
        <f>IF($B10="","",IFERROR(VLOOKUP($B10,단가마스터!$A$4:$H$303,7,FALSE),IFERROR(VLOOKUP($B10,일위대가!$N$4:$T$63,6,FALSE),0)))</f>
        <v/>
      </c>
      <c r="R10" s="20">
        <f>IF($B10="","",N($O10)+N($P10)+N($Q10))</f>
        <v/>
      </c>
      <c r="S10" s="20">
        <f>IF($B10="","",ROUND(N($N10)*N($R10),0))</f>
        <v/>
      </c>
      <c r="T10" s="19">
        <f>IF($B10="","",N($N10)-N($F10))</f>
        <v/>
      </c>
      <c r="U10" s="20">
        <f>IF($B10="","",N($S10)-N($K10))</f>
        <v/>
      </c>
      <c r="V10" s="30" t="n"/>
    </row>
    <row r="11">
      <c r="A11" s="30" t="n"/>
      <c r="B11" s="30" t="n"/>
      <c r="C11" s="18">
        <f>IF($B11="","",IFERROR(VLOOKUP($B11,단가마스터!$A$4:$H$303,2,FALSE),IFERROR(VLOOKUP($B11,일위대가!$N$4:$T$63,2,FALSE),"⚠️단가 없음")))</f>
        <v/>
      </c>
      <c r="D11" s="18">
        <f>IF($B11="","",IFERROR(VLOOKUP($B11,단가마스터!$A$4:$H$303,3,FALSE),""))</f>
        <v/>
      </c>
      <c r="E11" s="18">
        <f>IF($B11="","",IFERROR(VLOOKUP($B11,단가마스터!$A$4:$H$303,4,FALSE),IFERROR(VLOOKUP($B11,일위대가!$N$4:$T$63,3,FALSE),"")))</f>
        <v/>
      </c>
      <c r="F11" s="35" t="n"/>
      <c r="G11" s="23" t="n"/>
      <c r="H11" s="23" t="n"/>
      <c r="I11" s="23" t="n"/>
      <c r="J11" s="20">
        <f>IF($B11="","",N($G11)+N($H11)+N($I11))</f>
        <v/>
      </c>
      <c r="K11" s="20">
        <f>IF($B11="","",ROUND(N($F11)*N($J11),0))</f>
        <v/>
      </c>
      <c r="L11" s="19">
        <f>IF($B11="","",SUMIFS(수량산출서!$H$4:$H$253,수량산출서!$A$4:$A$253,"변경",수량산출서!$B$4:$B$253,$B11))</f>
        <v/>
      </c>
      <c r="M11" s="35" t="n"/>
      <c r="N11" s="19">
        <f>IF($B11="","",IF($M11&lt;&gt;"",$M11,N($L11)))</f>
        <v/>
      </c>
      <c r="O11" s="20">
        <f>IF($B11="","",IFERROR(VLOOKUP($B11,단가마스터!$A$4:$H$303,5,FALSE),IFERROR(VLOOKUP($B11,일위대가!$N$4:$T$63,4,FALSE),0)))</f>
        <v/>
      </c>
      <c r="P11" s="20">
        <f>IF($B11="","",IFERROR(VLOOKUP($B11,단가마스터!$A$4:$H$303,6,FALSE),IFERROR(VLOOKUP($B11,일위대가!$N$4:$T$63,5,FALSE),0)))</f>
        <v/>
      </c>
      <c r="Q11" s="20">
        <f>IF($B11="","",IFERROR(VLOOKUP($B11,단가마스터!$A$4:$H$303,7,FALSE),IFERROR(VLOOKUP($B11,일위대가!$N$4:$T$63,6,FALSE),0)))</f>
        <v/>
      </c>
      <c r="R11" s="20">
        <f>IF($B11="","",N($O11)+N($P11)+N($Q11))</f>
        <v/>
      </c>
      <c r="S11" s="20">
        <f>IF($B11="","",ROUND(N($N11)*N($R11),0))</f>
        <v/>
      </c>
      <c r="T11" s="19">
        <f>IF($B11="","",N($N11)-N($F11))</f>
        <v/>
      </c>
      <c r="U11" s="20">
        <f>IF($B11="","",N($S11)-N($K11))</f>
        <v/>
      </c>
      <c r="V11" s="30" t="n"/>
    </row>
    <row r="12">
      <c r="A12" s="30" t="n"/>
      <c r="B12" s="30" t="n"/>
      <c r="C12" s="18">
        <f>IF($B12="","",IFERROR(VLOOKUP($B12,단가마스터!$A$4:$H$303,2,FALSE),IFERROR(VLOOKUP($B12,일위대가!$N$4:$T$63,2,FALSE),"⚠️단가 없음")))</f>
        <v/>
      </c>
      <c r="D12" s="18">
        <f>IF($B12="","",IFERROR(VLOOKUP($B12,단가마스터!$A$4:$H$303,3,FALSE),""))</f>
        <v/>
      </c>
      <c r="E12" s="18">
        <f>IF($B12="","",IFERROR(VLOOKUP($B12,단가마스터!$A$4:$H$303,4,FALSE),IFERROR(VLOOKUP($B12,일위대가!$N$4:$T$63,3,FALSE),"")))</f>
        <v/>
      </c>
      <c r="F12" s="35" t="n"/>
      <c r="G12" s="23" t="n"/>
      <c r="H12" s="23" t="n"/>
      <c r="I12" s="23" t="n"/>
      <c r="J12" s="20">
        <f>IF($B12="","",N($G12)+N($H12)+N($I12))</f>
        <v/>
      </c>
      <c r="K12" s="20">
        <f>IF($B12="","",ROUND(N($F12)*N($J12),0))</f>
        <v/>
      </c>
      <c r="L12" s="19">
        <f>IF($B12="","",SUMIFS(수량산출서!$H$4:$H$253,수량산출서!$A$4:$A$253,"변경",수량산출서!$B$4:$B$253,$B12))</f>
        <v/>
      </c>
      <c r="M12" s="35" t="n"/>
      <c r="N12" s="19">
        <f>IF($B12="","",IF($M12&lt;&gt;"",$M12,N($L12)))</f>
        <v/>
      </c>
      <c r="O12" s="20">
        <f>IF($B12="","",IFERROR(VLOOKUP($B12,단가마스터!$A$4:$H$303,5,FALSE),IFERROR(VLOOKUP($B12,일위대가!$N$4:$T$63,4,FALSE),0)))</f>
        <v/>
      </c>
      <c r="P12" s="20">
        <f>IF($B12="","",IFERROR(VLOOKUP($B12,단가마스터!$A$4:$H$303,6,FALSE),IFERROR(VLOOKUP($B12,일위대가!$N$4:$T$63,5,FALSE),0)))</f>
        <v/>
      </c>
      <c r="Q12" s="20">
        <f>IF($B12="","",IFERROR(VLOOKUP($B12,단가마스터!$A$4:$H$303,7,FALSE),IFERROR(VLOOKUP($B12,일위대가!$N$4:$T$63,6,FALSE),0)))</f>
        <v/>
      </c>
      <c r="R12" s="20">
        <f>IF($B12="","",N($O12)+N($P12)+N($Q12))</f>
        <v/>
      </c>
      <c r="S12" s="20">
        <f>IF($B12="","",ROUND(N($N12)*N($R12),0))</f>
        <v/>
      </c>
      <c r="T12" s="19">
        <f>IF($B12="","",N($N12)-N($F12))</f>
        <v/>
      </c>
      <c r="U12" s="20">
        <f>IF($B12="","",N($S12)-N($K12))</f>
        <v/>
      </c>
      <c r="V12" s="30" t="n"/>
    </row>
    <row r="13">
      <c r="A13" s="30" t="n"/>
      <c r="B13" s="30" t="n"/>
      <c r="C13" s="18">
        <f>IF($B13="","",IFERROR(VLOOKUP($B13,단가마스터!$A$4:$H$303,2,FALSE),IFERROR(VLOOKUP($B13,일위대가!$N$4:$T$63,2,FALSE),"⚠️단가 없음")))</f>
        <v/>
      </c>
      <c r="D13" s="18">
        <f>IF($B13="","",IFERROR(VLOOKUP($B13,단가마스터!$A$4:$H$303,3,FALSE),""))</f>
        <v/>
      </c>
      <c r="E13" s="18">
        <f>IF($B13="","",IFERROR(VLOOKUP($B13,단가마스터!$A$4:$H$303,4,FALSE),IFERROR(VLOOKUP($B13,일위대가!$N$4:$T$63,3,FALSE),"")))</f>
        <v/>
      </c>
      <c r="F13" s="35" t="n"/>
      <c r="G13" s="23" t="n"/>
      <c r="H13" s="23" t="n"/>
      <c r="I13" s="23" t="n"/>
      <c r="J13" s="20">
        <f>IF($B13="","",N($G13)+N($H13)+N($I13))</f>
        <v/>
      </c>
      <c r="K13" s="20">
        <f>IF($B13="","",ROUND(N($F13)*N($J13),0))</f>
        <v/>
      </c>
      <c r="L13" s="19">
        <f>IF($B13="","",SUMIFS(수량산출서!$H$4:$H$253,수량산출서!$A$4:$A$253,"변경",수량산출서!$B$4:$B$253,$B13))</f>
        <v/>
      </c>
      <c r="M13" s="35" t="n"/>
      <c r="N13" s="19">
        <f>IF($B13="","",IF($M13&lt;&gt;"",$M13,N($L13)))</f>
        <v/>
      </c>
      <c r="O13" s="20">
        <f>IF($B13="","",IFERROR(VLOOKUP($B13,단가마스터!$A$4:$H$303,5,FALSE),IFERROR(VLOOKUP($B13,일위대가!$N$4:$T$63,4,FALSE),0)))</f>
        <v/>
      </c>
      <c r="P13" s="20">
        <f>IF($B13="","",IFERROR(VLOOKUP($B13,단가마스터!$A$4:$H$303,6,FALSE),IFERROR(VLOOKUP($B13,일위대가!$N$4:$T$63,5,FALSE),0)))</f>
        <v/>
      </c>
      <c r="Q13" s="20">
        <f>IF($B13="","",IFERROR(VLOOKUP($B13,단가마스터!$A$4:$H$303,7,FALSE),IFERROR(VLOOKUP($B13,일위대가!$N$4:$T$63,6,FALSE),0)))</f>
        <v/>
      </c>
      <c r="R13" s="20">
        <f>IF($B13="","",N($O13)+N($P13)+N($Q13))</f>
        <v/>
      </c>
      <c r="S13" s="20">
        <f>IF($B13="","",ROUND(N($N13)*N($R13),0))</f>
        <v/>
      </c>
      <c r="T13" s="19">
        <f>IF($B13="","",N($N13)-N($F13))</f>
        <v/>
      </c>
      <c r="U13" s="20">
        <f>IF($B13="","",N($S13)-N($K13))</f>
        <v/>
      </c>
      <c r="V13" s="30" t="n"/>
    </row>
    <row r="14">
      <c r="A14" s="30" t="n"/>
      <c r="B14" s="30" t="n"/>
      <c r="C14" s="18">
        <f>IF($B14="","",IFERROR(VLOOKUP($B14,단가마스터!$A$4:$H$303,2,FALSE),IFERROR(VLOOKUP($B14,일위대가!$N$4:$T$63,2,FALSE),"⚠️단가 없음")))</f>
        <v/>
      </c>
      <c r="D14" s="18">
        <f>IF($B14="","",IFERROR(VLOOKUP($B14,단가마스터!$A$4:$H$303,3,FALSE),""))</f>
        <v/>
      </c>
      <c r="E14" s="18">
        <f>IF($B14="","",IFERROR(VLOOKUP($B14,단가마스터!$A$4:$H$303,4,FALSE),IFERROR(VLOOKUP($B14,일위대가!$N$4:$T$63,3,FALSE),"")))</f>
        <v/>
      </c>
      <c r="F14" s="35" t="n"/>
      <c r="G14" s="23" t="n"/>
      <c r="H14" s="23" t="n"/>
      <c r="I14" s="23" t="n"/>
      <c r="J14" s="20">
        <f>IF($B14="","",N($G14)+N($H14)+N($I14))</f>
        <v/>
      </c>
      <c r="K14" s="20">
        <f>IF($B14="","",ROUND(N($F14)*N($J14),0))</f>
        <v/>
      </c>
      <c r="L14" s="19">
        <f>IF($B14="","",SUMIFS(수량산출서!$H$4:$H$253,수량산출서!$A$4:$A$253,"변경",수량산출서!$B$4:$B$253,$B14))</f>
        <v/>
      </c>
      <c r="M14" s="35" t="n"/>
      <c r="N14" s="19">
        <f>IF($B14="","",IF($M14&lt;&gt;"",$M14,N($L14)))</f>
        <v/>
      </c>
      <c r="O14" s="20">
        <f>IF($B14="","",IFERROR(VLOOKUP($B14,단가마스터!$A$4:$H$303,5,FALSE),IFERROR(VLOOKUP($B14,일위대가!$N$4:$T$63,4,FALSE),0)))</f>
        <v/>
      </c>
      <c r="P14" s="20">
        <f>IF($B14="","",IFERROR(VLOOKUP($B14,단가마스터!$A$4:$H$303,6,FALSE),IFERROR(VLOOKUP($B14,일위대가!$N$4:$T$63,5,FALSE),0)))</f>
        <v/>
      </c>
      <c r="Q14" s="20">
        <f>IF($B14="","",IFERROR(VLOOKUP($B14,단가마스터!$A$4:$H$303,7,FALSE),IFERROR(VLOOKUP($B14,일위대가!$N$4:$T$63,6,FALSE),0)))</f>
        <v/>
      </c>
      <c r="R14" s="20">
        <f>IF($B14="","",N($O14)+N($P14)+N($Q14))</f>
        <v/>
      </c>
      <c r="S14" s="20">
        <f>IF($B14="","",ROUND(N($N14)*N($R14),0))</f>
        <v/>
      </c>
      <c r="T14" s="19">
        <f>IF($B14="","",N($N14)-N($F14))</f>
        <v/>
      </c>
      <c r="U14" s="20">
        <f>IF($B14="","",N($S14)-N($K14))</f>
        <v/>
      </c>
      <c r="V14" s="30" t="n"/>
    </row>
    <row r="15">
      <c r="A15" s="30" t="n"/>
      <c r="B15" s="30" t="n"/>
      <c r="C15" s="18">
        <f>IF($B15="","",IFERROR(VLOOKUP($B15,단가마스터!$A$4:$H$303,2,FALSE),IFERROR(VLOOKUP($B15,일위대가!$N$4:$T$63,2,FALSE),"⚠️단가 없음")))</f>
        <v/>
      </c>
      <c r="D15" s="18">
        <f>IF($B15="","",IFERROR(VLOOKUP($B15,단가마스터!$A$4:$H$303,3,FALSE),""))</f>
        <v/>
      </c>
      <c r="E15" s="18">
        <f>IF($B15="","",IFERROR(VLOOKUP($B15,단가마스터!$A$4:$H$303,4,FALSE),IFERROR(VLOOKUP($B15,일위대가!$N$4:$T$63,3,FALSE),"")))</f>
        <v/>
      </c>
      <c r="F15" s="35" t="n"/>
      <c r="G15" s="23" t="n"/>
      <c r="H15" s="23" t="n"/>
      <c r="I15" s="23" t="n"/>
      <c r="J15" s="20">
        <f>IF($B15="","",N($G15)+N($H15)+N($I15))</f>
        <v/>
      </c>
      <c r="K15" s="20">
        <f>IF($B15="","",ROUND(N($F15)*N($J15),0))</f>
        <v/>
      </c>
      <c r="L15" s="19">
        <f>IF($B15="","",SUMIFS(수량산출서!$H$4:$H$253,수량산출서!$A$4:$A$253,"변경",수량산출서!$B$4:$B$253,$B15))</f>
        <v/>
      </c>
      <c r="M15" s="35" t="n"/>
      <c r="N15" s="19">
        <f>IF($B15="","",IF($M15&lt;&gt;"",$M15,N($L15)))</f>
        <v/>
      </c>
      <c r="O15" s="20">
        <f>IF($B15="","",IFERROR(VLOOKUP($B15,단가마스터!$A$4:$H$303,5,FALSE),IFERROR(VLOOKUP($B15,일위대가!$N$4:$T$63,4,FALSE),0)))</f>
        <v/>
      </c>
      <c r="P15" s="20">
        <f>IF($B15="","",IFERROR(VLOOKUP($B15,단가마스터!$A$4:$H$303,6,FALSE),IFERROR(VLOOKUP($B15,일위대가!$N$4:$T$63,5,FALSE),0)))</f>
        <v/>
      </c>
      <c r="Q15" s="20">
        <f>IF($B15="","",IFERROR(VLOOKUP($B15,단가마스터!$A$4:$H$303,7,FALSE),IFERROR(VLOOKUP($B15,일위대가!$N$4:$T$63,6,FALSE),0)))</f>
        <v/>
      </c>
      <c r="R15" s="20">
        <f>IF($B15="","",N($O15)+N($P15)+N($Q15))</f>
        <v/>
      </c>
      <c r="S15" s="20">
        <f>IF($B15="","",ROUND(N($N15)*N($R15),0))</f>
        <v/>
      </c>
      <c r="T15" s="19">
        <f>IF($B15="","",N($N15)-N($F15))</f>
        <v/>
      </c>
      <c r="U15" s="20">
        <f>IF($B15="","",N($S15)-N($K15))</f>
        <v/>
      </c>
      <c r="V15" s="30" t="n"/>
    </row>
    <row r="16">
      <c r="A16" s="30" t="n"/>
      <c r="B16" s="30" t="n"/>
      <c r="C16" s="18">
        <f>IF($B16="","",IFERROR(VLOOKUP($B16,단가마스터!$A$4:$H$303,2,FALSE),IFERROR(VLOOKUP($B16,일위대가!$N$4:$T$63,2,FALSE),"⚠️단가 없음")))</f>
        <v/>
      </c>
      <c r="D16" s="18">
        <f>IF($B16="","",IFERROR(VLOOKUP($B16,단가마스터!$A$4:$H$303,3,FALSE),""))</f>
        <v/>
      </c>
      <c r="E16" s="18">
        <f>IF($B16="","",IFERROR(VLOOKUP($B16,단가마스터!$A$4:$H$303,4,FALSE),IFERROR(VLOOKUP($B16,일위대가!$N$4:$T$63,3,FALSE),"")))</f>
        <v/>
      </c>
      <c r="F16" s="35" t="n"/>
      <c r="G16" s="23" t="n"/>
      <c r="H16" s="23" t="n"/>
      <c r="I16" s="23" t="n"/>
      <c r="J16" s="20">
        <f>IF($B16="","",N($G16)+N($H16)+N($I16))</f>
        <v/>
      </c>
      <c r="K16" s="20">
        <f>IF($B16="","",ROUND(N($F16)*N($J16),0))</f>
        <v/>
      </c>
      <c r="L16" s="19">
        <f>IF($B16="","",SUMIFS(수량산출서!$H$4:$H$253,수량산출서!$A$4:$A$253,"변경",수량산출서!$B$4:$B$253,$B16))</f>
        <v/>
      </c>
      <c r="M16" s="35" t="n"/>
      <c r="N16" s="19">
        <f>IF($B16="","",IF($M16&lt;&gt;"",$M16,N($L16)))</f>
        <v/>
      </c>
      <c r="O16" s="20">
        <f>IF($B16="","",IFERROR(VLOOKUP($B16,단가마스터!$A$4:$H$303,5,FALSE),IFERROR(VLOOKUP($B16,일위대가!$N$4:$T$63,4,FALSE),0)))</f>
        <v/>
      </c>
      <c r="P16" s="20">
        <f>IF($B16="","",IFERROR(VLOOKUP($B16,단가마스터!$A$4:$H$303,6,FALSE),IFERROR(VLOOKUP($B16,일위대가!$N$4:$T$63,5,FALSE),0)))</f>
        <v/>
      </c>
      <c r="Q16" s="20">
        <f>IF($B16="","",IFERROR(VLOOKUP($B16,단가마스터!$A$4:$H$303,7,FALSE),IFERROR(VLOOKUP($B16,일위대가!$N$4:$T$63,6,FALSE),0)))</f>
        <v/>
      </c>
      <c r="R16" s="20">
        <f>IF($B16="","",N($O16)+N($P16)+N($Q16))</f>
        <v/>
      </c>
      <c r="S16" s="20">
        <f>IF($B16="","",ROUND(N($N16)*N($R16),0))</f>
        <v/>
      </c>
      <c r="T16" s="19">
        <f>IF($B16="","",N($N16)-N($F16))</f>
        <v/>
      </c>
      <c r="U16" s="20">
        <f>IF($B16="","",N($S16)-N($K16))</f>
        <v/>
      </c>
      <c r="V16" s="30" t="n"/>
    </row>
    <row r="17">
      <c r="A17" s="30" t="n"/>
      <c r="B17" s="30" t="n"/>
      <c r="C17" s="18">
        <f>IF($B17="","",IFERROR(VLOOKUP($B17,단가마스터!$A$4:$H$303,2,FALSE),IFERROR(VLOOKUP($B17,일위대가!$N$4:$T$63,2,FALSE),"⚠️단가 없음")))</f>
        <v/>
      </c>
      <c r="D17" s="18">
        <f>IF($B17="","",IFERROR(VLOOKUP($B17,단가마스터!$A$4:$H$303,3,FALSE),""))</f>
        <v/>
      </c>
      <c r="E17" s="18">
        <f>IF($B17="","",IFERROR(VLOOKUP($B17,단가마스터!$A$4:$H$303,4,FALSE),IFERROR(VLOOKUP($B17,일위대가!$N$4:$T$63,3,FALSE),"")))</f>
        <v/>
      </c>
      <c r="F17" s="35" t="n"/>
      <c r="G17" s="23" t="n"/>
      <c r="H17" s="23" t="n"/>
      <c r="I17" s="23" t="n"/>
      <c r="J17" s="20">
        <f>IF($B17="","",N($G17)+N($H17)+N($I17))</f>
        <v/>
      </c>
      <c r="K17" s="20">
        <f>IF($B17="","",ROUND(N($F17)*N($J17),0))</f>
        <v/>
      </c>
      <c r="L17" s="19">
        <f>IF($B17="","",SUMIFS(수량산출서!$H$4:$H$253,수량산출서!$A$4:$A$253,"변경",수량산출서!$B$4:$B$253,$B17))</f>
        <v/>
      </c>
      <c r="M17" s="35" t="n"/>
      <c r="N17" s="19">
        <f>IF($B17="","",IF($M17&lt;&gt;"",$M17,N($L17)))</f>
        <v/>
      </c>
      <c r="O17" s="20">
        <f>IF($B17="","",IFERROR(VLOOKUP($B17,단가마스터!$A$4:$H$303,5,FALSE),IFERROR(VLOOKUP($B17,일위대가!$N$4:$T$63,4,FALSE),0)))</f>
        <v/>
      </c>
      <c r="P17" s="20">
        <f>IF($B17="","",IFERROR(VLOOKUP($B17,단가마스터!$A$4:$H$303,6,FALSE),IFERROR(VLOOKUP($B17,일위대가!$N$4:$T$63,5,FALSE),0)))</f>
        <v/>
      </c>
      <c r="Q17" s="20">
        <f>IF($B17="","",IFERROR(VLOOKUP($B17,단가마스터!$A$4:$H$303,7,FALSE),IFERROR(VLOOKUP($B17,일위대가!$N$4:$T$63,6,FALSE),0)))</f>
        <v/>
      </c>
      <c r="R17" s="20">
        <f>IF($B17="","",N($O17)+N($P17)+N($Q17))</f>
        <v/>
      </c>
      <c r="S17" s="20">
        <f>IF($B17="","",ROUND(N($N17)*N($R17),0))</f>
        <v/>
      </c>
      <c r="T17" s="19">
        <f>IF($B17="","",N($N17)-N($F17))</f>
        <v/>
      </c>
      <c r="U17" s="20">
        <f>IF($B17="","",N($S17)-N($K17))</f>
        <v/>
      </c>
      <c r="V17" s="30" t="n"/>
    </row>
    <row r="18">
      <c r="A18" s="30" t="n"/>
      <c r="B18" s="30" t="n"/>
      <c r="C18" s="18">
        <f>IF($B18="","",IFERROR(VLOOKUP($B18,단가마스터!$A$4:$H$303,2,FALSE),IFERROR(VLOOKUP($B18,일위대가!$N$4:$T$63,2,FALSE),"⚠️단가 없음")))</f>
        <v/>
      </c>
      <c r="D18" s="18">
        <f>IF($B18="","",IFERROR(VLOOKUP($B18,단가마스터!$A$4:$H$303,3,FALSE),""))</f>
        <v/>
      </c>
      <c r="E18" s="18">
        <f>IF($B18="","",IFERROR(VLOOKUP($B18,단가마스터!$A$4:$H$303,4,FALSE),IFERROR(VLOOKUP($B18,일위대가!$N$4:$T$63,3,FALSE),"")))</f>
        <v/>
      </c>
      <c r="F18" s="35" t="n"/>
      <c r="G18" s="23" t="n"/>
      <c r="H18" s="23" t="n"/>
      <c r="I18" s="23" t="n"/>
      <c r="J18" s="20">
        <f>IF($B18="","",N($G18)+N($H18)+N($I18))</f>
        <v/>
      </c>
      <c r="K18" s="20">
        <f>IF($B18="","",ROUND(N($F18)*N($J18),0))</f>
        <v/>
      </c>
      <c r="L18" s="19">
        <f>IF($B18="","",SUMIFS(수량산출서!$H$4:$H$253,수량산출서!$A$4:$A$253,"변경",수량산출서!$B$4:$B$253,$B18))</f>
        <v/>
      </c>
      <c r="M18" s="35" t="n"/>
      <c r="N18" s="19">
        <f>IF($B18="","",IF($M18&lt;&gt;"",$M18,N($L18)))</f>
        <v/>
      </c>
      <c r="O18" s="20">
        <f>IF($B18="","",IFERROR(VLOOKUP($B18,단가마스터!$A$4:$H$303,5,FALSE),IFERROR(VLOOKUP($B18,일위대가!$N$4:$T$63,4,FALSE),0)))</f>
        <v/>
      </c>
      <c r="P18" s="20">
        <f>IF($B18="","",IFERROR(VLOOKUP($B18,단가마스터!$A$4:$H$303,6,FALSE),IFERROR(VLOOKUP($B18,일위대가!$N$4:$T$63,5,FALSE),0)))</f>
        <v/>
      </c>
      <c r="Q18" s="20">
        <f>IF($B18="","",IFERROR(VLOOKUP($B18,단가마스터!$A$4:$H$303,7,FALSE),IFERROR(VLOOKUP($B18,일위대가!$N$4:$T$63,6,FALSE),0)))</f>
        <v/>
      </c>
      <c r="R18" s="20">
        <f>IF($B18="","",N($O18)+N($P18)+N($Q18))</f>
        <v/>
      </c>
      <c r="S18" s="20">
        <f>IF($B18="","",ROUND(N($N18)*N($R18),0))</f>
        <v/>
      </c>
      <c r="T18" s="19">
        <f>IF($B18="","",N($N18)-N($F18))</f>
        <v/>
      </c>
      <c r="U18" s="20">
        <f>IF($B18="","",N($S18)-N($K18))</f>
        <v/>
      </c>
      <c r="V18" s="30" t="n"/>
    </row>
    <row r="19">
      <c r="A19" s="30" t="n"/>
      <c r="B19" s="30" t="n"/>
      <c r="C19" s="18">
        <f>IF($B19="","",IFERROR(VLOOKUP($B19,단가마스터!$A$4:$H$303,2,FALSE),IFERROR(VLOOKUP($B19,일위대가!$N$4:$T$63,2,FALSE),"⚠️단가 없음")))</f>
        <v/>
      </c>
      <c r="D19" s="18">
        <f>IF($B19="","",IFERROR(VLOOKUP($B19,단가마스터!$A$4:$H$303,3,FALSE),""))</f>
        <v/>
      </c>
      <c r="E19" s="18">
        <f>IF($B19="","",IFERROR(VLOOKUP($B19,단가마스터!$A$4:$H$303,4,FALSE),IFERROR(VLOOKUP($B19,일위대가!$N$4:$T$63,3,FALSE),"")))</f>
        <v/>
      </c>
      <c r="F19" s="35" t="n"/>
      <c r="G19" s="23" t="n"/>
      <c r="H19" s="23" t="n"/>
      <c r="I19" s="23" t="n"/>
      <c r="J19" s="20">
        <f>IF($B19="","",N($G19)+N($H19)+N($I19))</f>
        <v/>
      </c>
      <c r="K19" s="20">
        <f>IF($B19="","",ROUND(N($F19)*N($J19),0))</f>
        <v/>
      </c>
      <c r="L19" s="19">
        <f>IF($B19="","",SUMIFS(수량산출서!$H$4:$H$253,수량산출서!$A$4:$A$253,"변경",수량산출서!$B$4:$B$253,$B19))</f>
        <v/>
      </c>
      <c r="M19" s="35" t="n"/>
      <c r="N19" s="19">
        <f>IF($B19="","",IF($M19&lt;&gt;"",$M19,N($L19)))</f>
        <v/>
      </c>
      <c r="O19" s="20">
        <f>IF($B19="","",IFERROR(VLOOKUP($B19,단가마스터!$A$4:$H$303,5,FALSE),IFERROR(VLOOKUP($B19,일위대가!$N$4:$T$63,4,FALSE),0)))</f>
        <v/>
      </c>
      <c r="P19" s="20">
        <f>IF($B19="","",IFERROR(VLOOKUP($B19,단가마스터!$A$4:$H$303,6,FALSE),IFERROR(VLOOKUP($B19,일위대가!$N$4:$T$63,5,FALSE),0)))</f>
        <v/>
      </c>
      <c r="Q19" s="20">
        <f>IF($B19="","",IFERROR(VLOOKUP($B19,단가마스터!$A$4:$H$303,7,FALSE),IFERROR(VLOOKUP($B19,일위대가!$N$4:$T$63,6,FALSE),0)))</f>
        <v/>
      </c>
      <c r="R19" s="20">
        <f>IF($B19="","",N($O19)+N($P19)+N($Q19))</f>
        <v/>
      </c>
      <c r="S19" s="20">
        <f>IF($B19="","",ROUND(N($N19)*N($R19),0))</f>
        <v/>
      </c>
      <c r="T19" s="19">
        <f>IF($B19="","",N($N19)-N($F19))</f>
        <v/>
      </c>
      <c r="U19" s="20">
        <f>IF($B19="","",N($S19)-N($K19))</f>
        <v/>
      </c>
      <c r="V19" s="30" t="n"/>
    </row>
    <row r="20">
      <c r="A20" s="30" t="n"/>
      <c r="B20" s="30" t="n"/>
      <c r="C20" s="18">
        <f>IF($B20="","",IFERROR(VLOOKUP($B20,단가마스터!$A$4:$H$303,2,FALSE),IFERROR(VLOOKUP($B20,일위대가!$N$4:$T$63,2,FALSE),"⚠️단가 없음")))</f>
        <v/>
      </c>
      <c r="D20" s="18">
        <f>IF($B20="","",IFERROR(VLOOKUP($B20,단가마스터!$A$4:$H$303,3,FALSE),""))</f>
        <v/>
      </c>
      <c r="E20" s="18">
        <f>IF($B20="","",IFERROR(VLOOKUP($B20,단가마스터!$A$4:$H$303,4,FALSE),IFERROR(VLOOKUP($B20,일위대가!$N$4:$T$63,3,FALSE),"")))</f>
        <v/>
      </c>
      <c r="F20" s="35" t="n"/>
      <c r="G20" s="23" t="n"/>
      <c r="H20" s="23" t="n"/>
      <c r="I20" s="23" t="n"/>
      <c r="J20" s="20">
        <f>IF($B20="","",N($G20)+N($H20)+N($I20))</f>
        <v/>
      </c>
      <c r="K20" s="20">
        <f>IF($B20="","",ROUND(N($F20)*N($J20),0))</f>
        <v/>
      </c>
      <c r="L20" s="19">
        <f>IF($B20="","",SUMIFS(수량산출서!$H$4:$H$253,수량산출서!$A$4:$A$253,"변경",수량산출서!$B$4:$B$253,$B20))</f>
        <v/>
      </c>
      <c r="M20" s="35" t="n"/>
      <c r="N20" s="19">
        <f>IF($B20="","",IF($M20&lt;&gt;"",$M20,N($L20)))</f>
        <v/>
      </c>
      <c r="O20" s="20">
        <f>IF($B20="","",IFERROR(VLOOKUP($B20,단가마스터!$A$4:$H$303,5,FALSE),IFERROR(VLOOKUP($B20,일위대가!$N$4:$T$63,4,FALSE),0)))</f>
        <v/>
      </c>
      <c r="P20" s="20">
        <f>IF($B20="","",IFERROR(VLOOKUP($B20,단가마스터!$A$4:$H$303,6,FALSE),IFERROR(VLOOKUP($B20,일위대가!$N$4:$T$63,5,FALSE),0)))</f>
        <v/>
      </c>
      <c r="Q20" s="20">
        <f>IF($B20="","",IFERROR(VLOOKUP($B20,단가마스터!$A$4:$H$303,7,FALSE),IFERROR(VLOOKUP($B20,일위대가!$N$4:$T$63,6,FALSE),0)))</f>
        <v/>
      </c>
      <c r="R20" s="20">
        <f>IF($B20="","",N($O20)+N($P20)+N($Q20))</f>
        <v/>
      </c>
      <c r="S20" s="20">
        <f>IF($B20="","",ROUND(N($N20)*N($R20),0))</f>
        <v/>
      </c>
      <c r="T20" s="19">
        <f>IF($B20="","",N($N20)-N($F20))</f>
        <v/>
      </c>
      <c r="U20" s="20">
        <f>IF($B20="","",N($S20)-N($K20))</f>
        <v/>
      </c>
      <c r="V20" s="30" t="n"/>
    </row>
    <row r="21">
      <c r="A21" s="30" t="n"/>
      <c r="B21" s="30" t="n"/>
      <c r="C21" s="18">
        <f>IF($B21="","",IFERROR(VLOOKUP($B21,단가마스터!$A$4:$H$303,2,FALSE),IFERROR(VLOOKUP($B21,일위대가!$N$4:$T$63,2,FALSE),"⚠️단가 없음")))</f>
        <v/>
      </c>
      <c r="D21" s="18">
        <f>IF($B21="","",IFERROR(VLOOKUP($B21,단가마스터!$A$4:$H$303,3,FALSE),""))</f>
        <v/>
      </c>
      <c r="E21" s="18">
        <f>IF($B21="","",IFERROR(VLOOKUP($B21,단가마스터!$A$4:$H$303,4,FALSE),IFERROR(VLOOKUP($B21,일위대가!$N$4:$T$63,3,FALSE),"")))</f>
        <v/>
      </c>
      <c r="F21" s="35" t="n"/>
      <c r="G21" s="23" t="n"/>
      <c r="H21" s="23" t="n"/>
      <c r="I21" s="23" t="n"/>
      <c r="J21" s="20">
        <f>IF($B21="","",N($G21)+N($H21)+N($I21))</f>
        <v/>
      </c>
      <c r="K21" s="20">
        <f>IF($B21="","",ROUND(N($F21)*N($J21),0))</f>
        <v/>
      </c>
      <c r="L21" s="19">
        <f>IF($B21="","",SUMIFS(수량산출서!$H$4:$H$253,수량산출서!$A$4:$A$253,"변경",수량산출서!$B$4:$B$253,$B21))</f>
        <v/>
      </c>
      <c r="M21" s="35" t="n"/>
      <c r="N21" s="19">
        <f>IF($B21="","",IF($M21&lt;&gt;"",$M21,N($L21)))</f>
        <v/>
      </c>
      <c r="O21" s="20">
        <f>IF($B21="","",IFERROR(VLOOKUP($B21,단가마스터!$A$4:$H$303,5,FALSE),IFERROR(VLOOKUP($B21,일위대가!$N$4:$T$63,4,FALSE),0)))</f>
        <v/>
      </c>
      <c r="P21" s="20">
        <f>IF($B21="","",IFERROR(VLOOKUP($B21,단가마스터!$A$4:$H$303,6,FALSE),IFERROR(VLOOKUP($B21,일위대가!$N$4:$T$63,5,FALSE),0)))</f>
        <v/>
      </c>
      <c r="Q21" s="20">
        <f>IF($B21="","",IFERROR(VLOOKUP($B21,단가마스터!$A$4:$H$303,7,FALSE),IFERROR(VLOOKUP($B21,일위대가!$N$4:$T$63,6,FALSE),0)))</f>
        <v/>
      </c>
      <c r="R21" s="20">
        <f>IF($B21="","",N($O21)+N($P21)+N($Q21))</f>
        <v/>
      </c>
      <c r="S21" s="20">
        <f>IF($B21="","",ROUND(N($N21)*N($R21),0))</f>
        <v/>
      </c>
      <c r="T21" s="19">
        <f>IF($B21="","",N($N21)-N($F21))</f>
        <v/>
      </c>
      <c r="U21" s="20">
        <f>IF($B21="","",N($S21)-N($K21))</f>
        <v/>
      </c>
      <c r="V21" s="30" t="n"/>
    </row>
    <row r="22">
      <c r="A22" s="30" t="n"/>
      <c r="B22" s="30" t="n"/>
      <c r="C22" s="18">
        <f>IF($B22="","",IFERROR(VLOOKUP($B22,단가마스터!$A$4:$H$303,2,FALSE),IFERROR(VLOOKUP($B22,일위대가!$N$4:$T$63,2,FALSE),"⚠️단가 없음")))</f>
        <v/>
      </c>
      <c r="D22" s="18">
        <f>IF($B22="","",IFERROR(VLOOKUP($B22,단가마스터!$A$4:$H$303,3,FALSE),""))</f>
        <v/>
      </c>
      <c r="E22" s="18">
        <f>IF($B22="","",IFERROR(VLOOKUP($B22,단가마스터!$A$4:$H$303,4,FALSE),IFERROR(VLOOKUP($B22,일위대가!$N$4:$T$63,3,FALSE),"")))</f>
        <v/>
      </c>
      <c r="F22" s="35" t="n"/>
      <c r="G22" s="23" t="n"/>
      <c r="H22" s="23" t="n"/>
      <c r="I22" s="23" t="n"/>
      <c r="J22" s="20">
        <f>IF($B22="","",N($G22)+N($H22)+N($I22))</f>
        <v/>
      </c>
      <c r="K22" s="20">
        <f>IF($B22="","",ROUND(N($F22)*N($J22),0))</f>
        <v/>
      </c>
      <c r="L22" s="19">
        <f>IF($B22="","",SUMIFS(수량산출서!$H$4:$H$253,수량산출서!$A$4:$A$253,"변경",수량산출서!$B$4:$B$253,$B22))</f>
        <v/>
      </c>
      <c r="M22" s="35" t="n"/>
      <c r="N22" s="19">
        <f>IF($B22="","",IF($M22&lt;&gt;"",$M22,N($L22)))</f>
        <v/>
      </c>
      <c r="O22" s="20">
        <f>IF($B22="","",IFERROR(VLOOKUP($B22,단가마스터!$A$4:$H$303,5,FALSE),IFERROR(VLOOKUP($B22,일위대가!$N$4:$T$63,4,FALSE),0)))</f>
        <v/>
      </c>
      <c r="P22" s="20">
        <f>IF($B22="","",IFERROR(VLOOKUP($B22,단가마스터!$A$4:$H$303,6,FALSE),IFERROR(VLOOKUP($B22,일위대가!$N$4:$T$63,5,FALSE),0)))</f>
        <v/>
      </c>
      <c r="Q22" s="20">
        <f>IF($B22="","",IFERROR(VLOOKUP($B22,단가마스터!$A$4:$H$303,7,FALSE),IFERROR(VLOOKUP($B22,일위대가!$N$4:$T$63,6,FALSE),0)))</f>
        <v/>
      </c>
      <c r="R22" s="20">
        <f>IF($B22="","",N($O22)+N($P22)+N($Q22))</f>
        <v/>
      </c>
      <c r="S22" s="20">
        <f>IF($B22="","",ROUND(N($N22)*N($R22),0))</f>
        <v/>
      </c>
      <c r="T22" s="19">
        <f>IF($B22="","",N($N22)-N($F22))</f>
        <v/>
      </c>
      <c r="U22" s="20">
        <f>IF($B22="","",N($S22)-N($K22))</f>
        <v/>
      </c>
      <c r="V22" s="30" t="n"/>
    </row>
    <row r="23">
      <c r="A23" s="30" t="n"/>
      <c r="B23" s="30" t="n"/>
      <c r="C23" s="18">
        <f>IF($B23="","",IFERROR(VLOOKUP($B23,단가마스터!$A$4:$H$303,2,FALSE),IFERROR(VLOOKUP($B23,일위대가!$N$4:$T$63,2,FALSE),"⚠️단가 없음")))</f>
        <v/>
      </c>
      <c r="D23" s="18">
        <f>IF($B23="","",IFERROR(VLOOKUP($B23,단가마스터!$A$4:$H$303,3,FALSE),""))</f>
        <v/>
      </c>
      <c r="E23" s="18">
        <f>IF($B23="","",IFERROR(VLOOKUP($B23,단가마스터!$A$4:$H$303,4,FALSE),IFERROR(VLOOKUP($B23,일위대가!$N$4:$T$63,3,FALSE),"")))</f>
        <v/>
      </c>
      <c r="F23" s="35" t="n"/>
      <c r="G23" s="23" t="n"/>
      <c r="H23" s="23" t="n"/>
      <c r="I23" s="23" t="n"/>
      <c r="J23" s="20">
        <f>IF($B23="","",N($G23)+N($H23)+N($I23))</f>
        <v/>
      </c>
      <c r="K23" s="20">
        <f>IF($B23="","",ROUND(N($F23)*N($J23),0))</f>
        <v/>
      </c>
      <c r="L23" s="19">
        <f>IF($B23="","",SUMIFS(수량산출서!$H$4:$H$253,수량산출서!$A$4:$A$253,"변경",수량산출서!$B$4:$B$253,$B23))</f>
        <v/>
      </c>
      <c r="M23" s="35" t="n"/>
      <c r="N23" s="19">
        <f>IF($B23="","",IF($M23&lt;&gt;"",$M23,N($L23)))</f>
        <v/>
      </c>
      <c r="O23" s="20">
        <f>IF($B23="","",IFERROR(VLOOKUP($B23,단가마스터!$A$4:$H$303,5,FALSE),IFERROR(VLOOKUP($B23,일위대가!$N$4:$T$63,4,FALSE),0)))</f>
        <v/>
      </c>
      <c r="P23" s="20">
        <f>IF($B23="","",IFERROR(VLOOKUP($B23,단가마스터!$A$4:$H$303,6,FALSE),IFERROR(VLOOKUP($B23,일위대가!$N$4:$T$63,5,FALSE),0)))</f>
        <v/>
      </c>
      <c r="Q23" s="20">
        <f>IF($B23="","",IFERROR(VLOOKUP($B23,단가마스터!$A$4:$H$303,7,FALSE),IFERROR(VLOOKUP($B23,일위대가!$N$4:$T$63,6,FALSE),0)))</f>
        <v/>
      </c>
      <c r="R23" s="20">
        <f>IF($B23="","",N($O23)+N($P23)+N($Q23))</f>
        <v/>
      </c>
      <c r="S23" s="20">
        <f>IF($B23="","",ROUND(N($N23)*N($R23),0))</f>
        <v/>
      </c>
      <c r="T23" s="19">
        <f>IF($B23="","",N($N23)-N($F23))</f>
        <v/>
      </c>
      <c r="U23" s="20">
        <f>IF($B23="","",N($S23)-N($K23))</f>
        <v/>
      </c>
      <c r="V23" s="30" t="n"/>
    </row>
    <row r="24">
      <c r="A24" s="30" t="n"/>
      <c r="B24" s="30" t="n"/>
      <c r="C24" s="18">
        <f>IF($B24="","",IFERROR(VLOOKUP($B24,단가마스터!$A$4:$H$303,2,FALSE),IFERROR(VLOOKUP($B24,일위대가!$N$4:$T$63,2,FALSE),"⚠️단가 없음")))</f>
        <v/>
      </c>
      <c r="D24" s="18">
        <f>IF($B24="","",IFERROR(VLOOKUP($B24,단가마스터!$A$4:$H$303,3,FALSE),""))</f>
        <v/>
      </c>
      <c r="E24" s="18">
        <f>IF($B24="","",IFERROR(VLOOKUP($B24,단가마스터!$A$4:$H$303,4,FALSE),IFERROR(VLOOKUP($B24,일위대가!$N$4:$T$63,3,FALSE),"")))</f>
        <v/>
      </c>
      <c r="F24" s="35" t="n"/>
      <c r="G24" s="23" t="n"/>
      <c r="H24" s="23" t="n"/>
      <c r="I24" s="23" t="n"/>
      <c r="J24" s="20">
        <f>IF($B24="","",N($G24)+N($H24)+N($I24))</f>
        <v/>
      </c>
      <c r="K24" s="20">
        <f>IF($B24="","",ROUND(N($F24)*N($J24),0))</f>
        <v/>
      </c>
      <c r="L24" s="19">
        <f>IF($B24="","",SUMIFS(수량산출서!$H$4:$H$253,수량산출서!$A$4:$A$253,"변경",수량산출서!$B$4:$B$253,$B24))</f>
        <v/>
      </c>
      <c r="M24" s="35" t="n"/>
      <c r="N24" s="19">
        <f>IF($B24="","",IF($M24&lt;&gt;"",$M24,N($L24)))</f>
        <v/>
      </c>
      <c r="O24" s="20">
        <f>IF($B24="","",IFERROR(VLOOKUP($B24,단가마스터!$A$4:$H$303,5,FALSE),IFERROR(VLOOKUP($B24,일위대가!$N$4:$T$63,4,FALSE),0)))</f>
        <v/>
      </c>
      <c r="P24" s="20">
        <f>IF($B24="","",IFERROR(VLOOKUP($B24,단가마스터!$A$4:$H$303,6,FALSE),IFERROR(VLOOKUP($B24,일위대가!$N$4:$T$63,5,FALSE),0)))</f>
        <v/>
      </c>
      <c r="Q24" s="20">
        <f>IF($B24="","",IFERROR(VLOOKUP($B24,단가마스터!$A$4:$H$303,7,FALSE),IFERROR(VLOOKUP($B24,일위대가!$N$4:$T$63,6,FALSE),0)))</f>
        <v/>
      </c>
      <c r="R24" s="20">
        <f>IF($B24="","",N($O24)+N($P24)+N($Q24))</f>
        <v/>
      </c>
      <c r="S24" s="20">
        <f>IF($B24="","",ROUND(N($N24)*N($R24),0))</f>
        <v/>
      </c>
      <c r="T24" s="19">
        <f>IF($B24="","",N($N24)-N($F24))</f>
        <v/>
      </c>
      <c r="U24" s="20">
        <f>IF($B24="","",N($S24)-N($K24))</f>
        <v/>
      </c>
      <c r="V24" s="30" t="n"/>
    </row>
    <row r="25">
      <c r="A25" s="30" t="n"/>
      <c r="B25" s="30" t="n"/>
      <c r="C25" s="18">
        <f>IF($B25="","",IFERROR(VLOOKUP($B25,단가마스터!$A$4:$H$303,2,FALSE),IFERROR(VLOOKUP($B25,일위대가!$N$4:$T$63,2,FALSE),"⚠️단가 없음")))</f>
        <v/>
      </c>
      <c r="D25" s="18">
        <f>IF($B25="","",IFERROR(VLOOKUP($B25,단가마스터!$A$4:$H$303,3,FALSE),""))</f>
        <v/>
      </c>
      <c r="E25" s="18">
        <f>IF($B25="","",IFERROR(VLOOKUP($B25,단가마스터!$A$4:$H$303,4,FALSE),IFERROR(VLOOKUP($B25,일위대가!$N$4:$T$63,3,FALSE),"")))</f>
        <v/>
      </c>
      <c r="F25" s="35" t="n"/>
      <c r="G25" s="23" t="n"/>
      <c r="H25" s="23" t="n"/>
      <c r="I25" s="23" t="n"/>
      <c r="J25" s="20">
        <f>IF($B25="","",N($G25)+N($H25)+N($I25))</f>
        <v/>
      </c>
      <c r="K25" s="20">
        <f>IF($B25="","",ROUND(N($F25)*N($J25),0))</f>
        <v/>
      </c>
      <c r="L25" s="19">
        <f>IF($B25="","",SUMIFS(수량산출서!$H$4:$H$253,수량산출서!$A$4:$A$253,"변경",수량산출서!$B$4:$B$253,$B25))</f>
        <v/>
      </c>
      <c r="M25" s="35" t="n"/>
      <c r="N25" s="19">
        <f>IF($B25="","",IF($M25&lt;&gt;"",$M25,N($L25)))</f>
        <v/>
      </c>
      <c r="O25" s="20">
        <f>IF($B25="","",IFERROR(VLOOKUP($B25,단가마스터!$A$4:$H$303,5,FALSE),IFERROR(VLOOKUP($B25,일위대가!$N$4:$T$63,4,FALSE),0)))</f>
        <v/>
      </c>
      <c r="P25" s="20">
        <f>IF($B25="","",IFERROR(VLOOKUP($B25,단가마스터!$A$4:$H$303,6,FALSE),IFERROR(VLOOKUP($B25,일위대가!$N$4:$T$63,5,FALSE),0)))</f>
        <v/>
      </c>
      <c r="Q25" s="20">
        <f>IF($B25="","",IFERROR(VLOOKUP($B25,단가마스터!$A$4:$H$303,7,FALSE),IFERROR(VLOOKUP($B25,일위대가!$N$4:$T$63,6,FALSE),0)))</f>
        <v/>
      </c>
      <c r="R25" s="20">
        <f>IF($B25="","",N($O25)+N($P25)+N($Q25))</f>
        <v/>
      </c>
      <c r="S25" s="20">
        <f>IF($B25="","",ROUND(N($N25)*N($R25),0))</f>
        <v/>
      </c>
      <c r="T25" s="19">
        <f>IF($B25="","",N($N25)-N($F25))</f>
        <v/>
      </c>
      <c r="U25" s="20">
        <f>IF($B25="","",N($S25)-N($K25))</f>
        <v/>
      </c>
      <c r="V25" s="30" t="n"/>
    </row>
    <row r="26">
      <c r="A26" s="30" t="n"/>
      <c r="B26" s="30" t="n"/>
      <c r="C26" s="18">
        <f>IF($B26="","",IFERROR(VLOOKUP($B26,단가마스터!$A$4:$H$303,2,FALSE),IFERROR(VLOOKUP($B26,일위대가!$N$4:$T$63,2,FALSE),"⚠️단가 없음")))</f>
        <v/>
      </c>
      <c r="D26" s="18">
        <f>IF($B26="","",IFERROR(VLOOKUP($B26,단가마스터!$A$4:$H$303,3,FALSE),""))</f>
        <v/>
      </c>
      <c r="E26" s="18">
        <f>IF($B26="","",IFERROR(VLOOKUP($B26,단가마스터!$A$4:$H$303,4,FALSE),IFERROR(VLOOKUP($B26,일위대가!$N$4:$T$63,3,FALSE),"")))</f>
        <v/>
      </c>
      <c r="F26" s="35" t="n"/>
      <c r="G26" s="23" t="n"/>
      <c r="H26" s="23" t="n"/>
      <c r="I26" s="23" t="n"/>
      <c r="J26" s="20">
        <f>IF($B26="","",N($G26)+N($H26)+N($I26))</f>
        <v/>
      </c>
      <c r="K26" s="20">
        <f>IF($B26="","",ROUND(N($F26)*N($J26),0))</f>
        <v/>
      </c>
      <c r="L26" s="19">
        <f>IF($B26="","",SUMIFS(수량산출서!$H$4:$H$253,수량산출서!$A$4:$A$253,"변경",수량산출서!$B$4:$B$253,$B26))</f>
        <v/>
      </c>
      <c r="M26" s="35" t="n"/>
      <c r="N26" s="19">
        <f>IF($B26="","",IF($M26&lt;&gt;"",$M26,N($L26)))</f>
        <v/>
      </c>
      <c r="O26" s="20">
        <f>IF($B26="","",IFERROR(VLOOKUP($B26,단가마스터!$A$4:$H$303,5,FALSE),IFERROR(VLOOKUP($B26,일위대가!$N$4:$T$63,4,FALSE),0)))</f>
        <v/>
      </c>
      <c r="P26" s="20">
        <f>IF($B26="","",IFERROR(VLOOKUP($B26,단가마스터!$A$4:$H$303,6,FALSE),IFERROR(VLOOKUP($B26,일위대가!$N$4:$T$63,5,FALSE),0)))</f>
        <v/>
      </c>
      <c r="Q26" s="20">
        <f>IF($B26="","",IFERROR(VLOOKUP($B26,단가마스터!$A$4:$H$303,7,FALSE),IFERROR(VLOOKUP($B26,일위대가!$N$4:$T$63,6,FALSE),0)))</f>
        <v/>
      </c>
      <c r="R26" s="20">
        <f>IF($B26="","",N($O26)+N($P26)+N($Q26))</f>
        <v/>
      </c>
      <c r="S26" s="20">
        <f>IF($B26="","",ROUND(N($N26)*N($R26),0))</f>
        <v/>
      </c>
      <c r="T26" s="19">
        <f>IF($B26="","",N($N26)-N($F26))</f>
        <v/>
      </c>
      <c r="U26" s="20">
        <f>IF($B26="","",N($S26)-N($K26))</f>
        <v/>
      </c>
      <c r="V26" s="30" t="n"/>
    </row>
    <row r="27">
      <c r="A27" s="30" t="n"/>
      <c r="B27" s="30" t="n"/>
      <c r="C27" s="18">
        <f>IF($B27="","",IFERROR(VLOOKUP($B27,단가마스터!$A$4:$H$303,2,FALSE),IFERROR(VLOOKUP($B27,일위대가!$N$4:$T$63,2,FALSE),"⚠️단가 없음")))</f>
        <v/>
      </c>
      <c r="D27" s="18">
        <f>IF($B27="","",IFERROR(VLOOKUP($B27,단가마스터!$A$4:$H$303,3,FALSE),""))</f>
        <v/>
      </c>
      <c r="E27" s="18">
        <f>IF($B27="","",IFERROR(VLOOKUP($B27,단가마스터!$A$4:$H$303,4,FALSE),IFERROR(VLOOKUP($B27,일위대가!$N$4:$T$63,3,FALSE),"")))</f>
        <v/>
      </c>
      <c r="F27" s="35" t="n"/>
      <c r="G27" s="23" t="n"/>
      <c r="H27" s="23" t="n"/>
      <c r="I27" s="23" t="n"/>
      <c r="J27" s="20">
        <f>IF($B27="","",N($G27)+N($H27)+N($I27))</f>
        <v/>
      </c>
      <c r="K27" s="20">
        <f>IF($B27="","",ROUND(N($F27)*N($J27),0))</f>
        <v/>
      </c>
      <c r="L27" s="19">
        <f>IF($B27="","",SUMIFS(수량산출서!$H$4:$H$253,수량산출서!$A$4:$A$253,"변경",수량산출서!$B$4:$B$253,$B27))</f>
        <v/>
      </c>
      <c r="M27" s="35" t="n"/>
      <c r="N27" s="19">
        <f>IF($B27="","",IF($M27&lt;&gt;"",$M27,N($L27)))</f>
        <v/>
      </c>
      <c r="O27" s="20">
        <f>IF($B27="","",IFERROR(VLOOKUP($B27,단가마스터!$A$4:$H$303,5,FALSE),IFERROR(VLOOKUP($B27,일위대가!$N$4:$T$63,4,FALSE),0)))</f>
        <v/>
      </c>
      <c r="P27" s="20">
        <f>IF($B27="","",IFERROR(VLOOKUP($B27,단가마스터!$A$4:$H$303,6,FALSE),IFERROR(VLOOKUP($B27,일위대가!$N$4:$T$63,5,FALSE),0)))</f>
        <v/>
      </c>
      <c r="Q27" s="20">
        <f>IF($B27="","",IFERROR(VLOOKUP($B27,단가마스터!$A$4:$H$303,7,FALSE),IFERROR(VLOOKUP($B27,일위대가!$N$4:$T$63,6,FALSE),0)))</f>
        <v/>
      </c>
      <c r="R27" s="20">
        <f>IF($B27="","",N($O27)+N($P27)+N($Q27))</f>
        <v/>
      </c>
      <c r="S27" s="20">
        <f>IF($B27="","",ROUND(N($N27)*N($R27),0))</f>
        <v/>
      </c>
      <c r="T27" s="19">
        <f>IF($B27="","",N($N27)-N($F27))</f>
        <v/>
      </c>
      <c r="U27" s="20">
        <f>IF($B27="","",N($S27)-N($K27))</f>
        <v/>
      </c>
      <c r="V27" s="30" t="n"/>
    </row>
    <row r="28">
      <c r="A28" s="30" t="n"/>
      <c r="B28" s="30" t="n"/>
      <c r="C28" s="18">
        <f>IF($B28="","",IFERROR(VLOOKUP($B28,단가마스터!$A$4:$H$303,2,FALSE),IFERROR(VLOOKUP($B28,일위대가!$N$4:$T$63,2,FALSE),"⚠️단가 없음")))</f>
        <v/>
      </c>
      <c r="D28" s="18">
        <f>IF($B28="","",IFERROR(VLOOKUP($B28,단가마스터!$A$4:$H$303,3,FALSE),""))</f>
        <v/>
      </c>
      <c r="E28" s="18">
        <f>IF($B28="","",IFERROR(VLOOKUP($B28,단가마스터!$A$4:$H$303,4,FALSE),IFERROR(VLOOKUP($B28,일위대가!$N$4:$T$63,3,FALSE),"")))</f>
        <v/>
      </c>
      <c r="F28" s="35" t="n"/>
      <c r="G28" s="23" t="n"/>
      <c r="H28" s="23" t="n"/>
      <c r="I28" s="23" t="n"/>
      <c r="J28" s="20">
        <f>IF($B28="","",N($G28)+N($H28)+N($I28))</f>
        <v/>
      </c>
      <c r="K28" s="20">
        <f>IF($B28="","",ROUND(N($F28)*N($J28),0))</f>
        <v/>
      </c>
      <c r="L28" s="19">
        <f>IF($B28="","",SUMIFS(수량산출서!$H$4:$H$253,수량산출서!$A$4:$A$253,"변경",수량산출서!$B$4:$B$253,$B28))</f>
        <v/>
      </c>
      <c r="M28" s="35" t="n"/>
      <c r="N28" s="19">
        <f>IF($B28="","",IF($M28&lt;&gt;"",$M28,N($L28)))</f>
        <v/>
      </c>
      <c r="O28" s="20">
        <f>IF($B28="","",IFERROR(VLOOKUP($B28,단가마스터!$A$4:$H$303,5,FALSE),IFERROR(VLOOKUP($B28,일위대가!$N$4:$T$63,4,FALSE),0)))</f>
        <v/>
      </c>
      <c r="P28" s="20">
        <f>IF($B28="","",IFERROR(VLOOKUP($B28,단가마스터!$A$4:$H$303,6,FALSE),IFERROR(VLOOKUP($B28,일위대가!$N$4:$T$63,5,FALSE),0)))</f>
        <v/>
      </c>
      <c r="Q28" s="20">
        <f>IF($B28="","",IFERROR(VLOOKUP($B28,단가마스터!$A$4:$H$303,7,FALSE),IFERROR(VLOOKUP($B28,일위대가!$N$4:$T$63,6,FALSE),0)))</f>
        <v/>
      </c>
      <c r="R28" s="20">
        <f>IF($B28="","",N($O28)+N($P28)+N($Q28))</f>
        <v/>
      </c>
      <c r="S28" s="20">
        <f>IF($B28="","",ROUND(N($N28)*N($R28),0))</f>
        <v/>
      </c>
      <c r="T28" s="19">
        <f>IF($B28="","",N($N28)-N($F28))</f>
        <v/>
      </c>
      <c r="U28" s="20">
        <f>IF($B28="","",N($S28)-N($K28))</f>
        <v/>
      </c>
      <c r="V28" s="30" t="n"/>
    </row>
    <row r="29">
      <c r="A29" s="30" t="n"/>
      <c r="B29" s="30" t="n"/>
      <c r="C29" s="18">
        <f>IF($B29="","",IFERROR(VLOOKUP($B29,단가마스터!$A$4:$H$303,2,FALSE),IFERROR(VLOOKUP($B29,일위대가!$N$4:$T$63,2,FALSE),"⚠️단가 없음")))</f>
        <v/>
      </c>
      <c r="D29" s="18">
        <f>IF($B29="","",IFERROR(VLOOKUP($B29,단가마스터!$A$4:$H$303,3,FALSE),""))</f>
        <v/>
      </c>
      <c r="E29" s="18">
        <f>IF($B29="","",IFERROR(VLOOKUP($B29,단가마스터!$A$4:$H$303,4,FALSE),IFERROR(VLOOKUP($B29,일위대가!$N$4:$T$63,3,FALSE),"")))</f>
        <v/>
      </c>
      <c r="F29" s="35" t="n"/>
      <c r="G29" s="23" t="n"/>
      <c r="H29" s="23" t="n"/>
      <c r="I29" s="23" t="n"/>
      <c r="J29" s="20">
        <f>IF($B29="","",N($G29)+N($H29)+N($I29))</f>
        <v/>
      </c>
      <c r="K29" s="20">
        <f>IF($B29="","",ROUND(N($F29)*N($J29),0))</f>
        <v/>
      </c>
      <c r="L29" s="19">
        <f>IF($B29="","",SUMIFS(수량산출서!$H$4:$H$253,수량산출서!$A$4:$A$253,"변경",수량산출서!$B$4:$B$253,$B29))</f>
        <v/>
      </c>
      <c r="M29" s="35" t="n"/>
      <c r="N29" s="19">
        <f>IF($B29="","",IF($M29&lt;&gt;"",$M29,N($L29)))</f>
        <v/>
      </c>
      <c r="O29" s="20">
        <f>IF($B29="","",IFERROR(VLOOKUP($B29,단가마스터!$A$4:$H$303,5,FALSE),IFERROR(VLOOKUP($B29,일위대가!$N$4:$T$63,4,FALSE),0)))</f>
        <v/>
      </c>
      <c r="P29" s="20">
        <f>IF($B29="","",IFERROR(VLOOKUP($B29,단가마스터!$A$4:$H$303,6,FALSE),IFERROR(VLOOKUP($B29,일위대가!$N$4:$T$63,5,FALSE),0)))</f>
        <v/>
      </c>
      <c r="Q29" s="20">
        <f>IF($B29="","",IFERROR(VLOOKUP($B29,단가마스터!$A$4:$H$303,7,FALSE),IFERROR(VLOOKUP($B29,일위대가!$N$4:$T$63,6,FALSE),0)))</f>
        <v/>
      </c>
      <c r="R29" s="20">
        <f>IF($B29="","",N($O29)+N($P29)+N($Q29))</f>
        <v/>
      </c>
      <c r="S29" s="20">
        <f>IF($B29="","",ROUND(N($N29)*N($R29),0))</f>
        <v/>
      </c>
      <c r="T29" s="19">
        <f>IF($B29="","",N($N29)-N($F29))</f>
        <v/>
      </c>
      <c r="U29" s="20">
        <f>IF($B29="","",N($S29)-N($K29))</f>
        <v/>
      </c>
      <c r="V29" s="30" t="n"/>
    </row>
    <row r="30">
      <c r="A30" s="30" t="n"/>
      <c r="B30" s="30" t="n"/>
      <c r="C30" s="18">
        <f>IF($B30="","",IFERROR(VLOOKUP($B30,단가마스터!$A$4:$H$303,2,FALSE),IFERROR(VLOOKUP($B30,일위대가!$N$4:$T$63,2,FALSE),"⚠️단가 없음")))</f>
        <v/>
      </c>
      <c r="D30" s="18">
        <f>IF($B30="","",IFERROR(VLOOKUP($B30,단가마스터!$A$4:$H$303,3,FALSE),""))</f>
        <v/>
      </c>
      <c r="E30" s="18">
        <f>IF($B30="","",IFERROR(VLOOKUP($B30,단가마스터!$A$4:$H$303,4,FALSE),IFERROR(VLOOKUP($B30,일위대가!$N$4:$T$63,3,FALSE),"")))</f>
        <v/>
      </c>
      <c r="F30" s="35" t="n"/>
      <c r="G30" s="23" t="n"/>
      <c r="H30" s="23" t="n"/>
      <c r="I30" s="23" t="n"/>
      <c r="J30" s="20">
        <f>IF($B30="","",N($G30)+N($H30)+N($I30))</f>
        <v/>
      </c>
      <c r="K30" s="20">
        <f>IF($B30="","",ROUND(N($F30)*N($J30),0))</f>
        <v/>
      </c>
      <c r="L30" s="19">
        <f>IF($B30="","",SUMIFS(수량산출서!$H$4:$H$253,수량산출서!$A$4:$A$253,"변경",수량산출서!$B$4:$B$253,$B30))</f>
        <v/>
      </c>
      <c r="M30" s="35" t="n"/>
      <c r="N30" s="19">
        <f>IF($B30="","",IF($M30&lt;&gt;"",$M30,N($L30)))</f>
        <v/>
      </c>
      <c r="O30" s="20">
        <f>IF($B30="","",IFERROR(VLOOKUP($B30,단가마스터!$A$4:$H$303,5,FALSE),IFERROR(VLOOKUP($B30,일위대가!$N$4:$T$63,4,FALSE),0)))</f>
        <v/>
      </c>
      <c r="P30" s="20">
        <f>IF($B30="","",IFERROR(VLOOKUP($B30,단가마스터!$A$4:$H$303,6,FALSE),IFERROR(VLOOKUP($B30,일위대가!$N$4:$T$63,5,FALSE),0)))</f>
        <v/>
      </c>
      <c r="Q30" s="20">
        <f>IF($B30="","",IFERROR(VLOOKUP($B30,단가마스터!$A$4:$H$303,7,FALSE),IFERROR(VLOOKUP($B30,일위대가!$N$4:$T$63,6,FALSE),0)))</f>
        <v/>
      </c>
      <c r="R30" s="20">
        <f>IF($B30="","",N($O30)+N($P30)+N($Q30))</f>
        <v/>
      </c>
      <c r="S30" s="20">
        <f>IF($B30="","",ROUND(N($N30)*N($R30),0))</f>
        <v/>
      </c>
      <c r="T30" s="19">
        <f>IF($B30="","",N($N30)-N($F30))</f>
        <v/>
      </c>
      <c r="U30" s="20">
        <f>IF($B30="","",N($S30)-N($K30))</f>
        <v/>
      </c>
      <c r="V30" s="30" t="n"/>
    </row>
    <row r="31">
      <c r="A31" s="30" t="n"/>
      <c r="B31" s="30" t="n"/>
      <c r="C31" s="18">
        <f>IF($B31="","",IFERROR(VLOOKUP($B31,단가마스터!$A$4:$H$303,2,FALSE),IFERROR(VLOOKUP($B31,일위대가!$N$4:$T$63,2,FALSE),"⚠️단가 없음")))</f>
        <v/>
      </c>
      <c r="D31" s="18">
        <f>IF($B31="","",IFERROR(VLOOKUP($B31,단가마스터!$A$4:$H$303,3,FALSE),""))</f>
        <v/>
      </c>
      <c r="E31" s="18">
        <f>IF($B31="","",IFERROR(VLOOKUP($B31,단가마스터!$A$4:$H$303,4,FALSE),IFERROR(VLOOKUP($B31,일위대가!$N$4:$T$63,3,FALSE),"")))</f>
        <v/>
      </c>
      <c r="F31" s="35" t="n"/>
      <c r="G31" s="23" t="n"/>
      <c r="H31" s="23" t="n"/>
      <c r="I31" s="23" t="n"/>
      <c r="J31" s="20">
        <f>IF($B31="","",N($G31)+N($H31)+N($I31))</f>
        <v/>
      </c>
      <c r="K31" s="20">
        <f>IF($B31="","",ROUND(N($F31)*N($J31),0))</f>
        <v/>
      </c>
      <c r="L31" s="19">
        <f>IF($B31="","",SUMIFS(수량산출서!$H$4:$H$253,수량산출서!$A$4:$A$253,"변경",수량산출서!$B$4:$B$253,$B31))</f>
        <v/>
      </c>
      <c r="M31" s="35" t="n"/>
      <c r="N31" s="19">
        <f>IF($B31="","",IF($M31&lt;&gt;"",$M31,N($L31)))</f>
        <v/>
      </c>
      <c r="O31" s="20">
        <f>IF($B31="","",IFERROR(VLOOKUP($B31,단가마스터!$A$4:$H$303,5,FALSE),IFERROR(VLOOKUP($B31,일위대가!$N$4:$T$63,4,FALSE),0)))</f>
        <v/>
      </c>
      <c r="P31" s="20">
        <f>IF($B31="","",IFERROR(VLOOKUP($B31,단가마스터!$A$4:$H$303,6,FALSE),IFERROR(VLOOKUP($B31,일위대가!$N$4:$T$63,5,FALSE),0)))</f>
        <v/>
      </c>
      <c r="Q31" s="20">
        <f>IF($B31="","",IFERROR(VLOOKUP($B31,단가마스터!$A$4:$H$303,7,FALSE),IFERROR(VLOOKUP($B31,일위대가!$N$4:$T$63,6,FALSE),0)))</f>
        <v/>
      </c>
      <c r="R31" s="20">
        <f>IF($B31="","",N($O31)+N($P31)+N($Q31))</f>
        <v/>
      </c>
      <c r="S31" s="20">
        <f>IF($B31="","",ROUND(N($N31)*N($R31),0))</f>
        <v/>
      </c>
      <c r="T31" s="19">
        <f>IF($B31="","",N($N31)-N($F31))</f>
        <v/>
      </c>
      <c r="U31" s="20">
        <f>IF($B31="","",N($S31)-N($K31))</f>
        <v/>
      </c>
      <c r="V31" s="30" t="n"/>
    </row>
    <row r="32">
      <c r="A32" s="30" t="n"/>
      <c r="B32" s="30" t="n"/>
      <c r="C32" s="18">
        <f>IF($B32="","",IFERROR(VLOOKUP($B32,단가마스터!$A$4:$H$303,2,FALSE),IFERROR(VLOOKUP($B32,일위대가!$N$4:$T$63,2,FALSE),"⚠️단가 없음")))</f>
        <v/>
      </c>
      <c r="D32" s="18">
        <f>IF($B32="","",IFERROR(VLOOKUP($B32,단가마스터!$A$4:$H$303,3,FALSE),""))</f>
        <v/>
      </c>
      <c r="E32" s="18">
        <f>IF($B32="","",IFERROR(VLOOKUP($B32,단가마스터!$A$4:$H$303,4,FALSE),IFERROR(VLOOKUP($B32,일위대가!$N$4:$T$63,3,FALSE),"")))</f>
        <v/>
      </c>
      <c r="F32" s="35" t="n"/>
      <c r="G32" s="23" t="n"/>
      <c r="H32" s="23" t="n"/>
      <c r="I32" s="23" t="n"/>
      <c r="J32" s="20">
        <f>IF($B32="","",N($G32)+N($H32)+N($I32))</f>
        <v/>
      </c>
      <c r="K32" s="20">
        <f>IF($B32="","",ROUND(N($F32)*N($J32),0))</f>
        <v/>
      </c>
      <c r="L32" s="19">
        <f>IF($B32="","",SUMIFS(수량산출서!$H$4:$H$253,수량산출서!$A$4:$A$253,"변경",수량산출서!$B$4:$B$253,$B32))</f>
        <v/>
      </c>
      <c r="M32" s="35" t="n"/>
      <c r="N32" s="19">
        <f>IF($B32="","",IF($M32&lt;&gt;"",$M32,N($L32)))</f>
        <v/>
      </c>
      <c r="O32" s="20">
        <f>IF($B32="","",IFERROR(VLOOKUP($B32,단가마스터!$A$4:$H$303,5,FALSE),IFERROR(VLOOKUP($B32,일위대가!$N$4:$T$63,4,FALSE),0)))</f>
        <v/>
      </c>
      <c r="P32" s="20">
        <f>IF($B32="","",IFERROR(VLOOKUP($B32,단가마스터!$A$4:$H$303,6,FALSE),IFERROR(VLOOKUP($B32,일위대가!$N$4:$T$63,5,FALSE),0)))</f>
        <v/>
      </c>
      <c r="Q32" s="20">
        <f>IF($B32="","",IFERROR(VLOOKUP($B32,단가마스터!$A$4:$H$303,7,FALSE),IFERROR(VLOOKUP($B32,일위대가!$N$4:$T$63,6,FALSE),0)))</f>
        <v/>
      </c>
      <c r="R32" s="20">
        <f>IF($B32="","",N($O32)+N($P32)+N($Q32))</f>
        <v/>
      </c>
      <c r="S32" s="20">
        <f>IF($B32="","",ROUND(N($N32)*N($R32),0))</f>
        <v/>
      </c>
      <c r="T32" s="19">
        <f>IF($B32="","",N($N32)-N($F32))</f>
        <v/>
      </c>
      <c r="U32" s="20">
        <f>IF($B32="","",N($S32)-N($K32))</f>
        <v/>
      </c>
      <c r="V32" s="30" t="n"/>
    </row>
    <row r="33">
      <c r="A33" s="30" t="n"/>
      <c r="B33" s="30" t="n"/>
      <c r="C33" s="18">
        <f>IF($B33="","",IFERROR(VLOOKUP($B33,단가마스터!$A$4:$H$303,2,FALSE),IFERROR(VLOOKUP($B33,일위대가!$N$4:$T$63,2,FALSE),"⚠️단가 없음")))</f>
        <v/>
      </c>
      <c r="D33" s="18">
        <f>IF($B33="","",IFERROR(VLOOKUP($B33,단가마스터!$A$4:$H$303,3,FALSE),""))</f>
        <v/>
      </c>
      <c r="E33" s="18">
        <f>IF($B33="","",IFERROR(VLOOKUP($B33,단가마스터!$A$4:$H$303,4,FALSE),IFERROR(VLOOKUP($B33,일위대가!$N$4:$T$63,3,FALSE),"")))</f>
        <v/>
      </c>
      <c r="F33" s="35" t="n"/>
      <c r="G33" s="23" t="n"/>
      <c r="H33" s="23" t="n"/>
      <c r="I33" s="23" t="n"/>
      <c r="J33" s="20">
        <f>IF($B33="","",N($G33)+N($H33)+N($I33))</f>
        <v/>
      </c>
      <c r="K33" s="20">
        <f>IF($B33="","",ROUND(N($F33)*N($J33),0))</f>
        <v/>
      </c>
      <c r="L33" s="19">
        <f>IF($B33="","",SUMIFS(수량산출서!$H$4:$H$253,수량산출서!$A$4:$A$253,"변경",수량산출서!$B$4:$B$253,$B33))</f>
        <v/>
      </c>
      <c r="M33" s="35" t="n"/>
      <c r="N33" s="19">
        <f>IF($B33="","",IF($M33&lt;&gt;"",$M33,N($L33)))</f>
        <v/>
      </c>
      <c r="O33" s="20">
        <f>IF($B33="","",IFERROR(VLOOKUP($B33,단가마스터!$A$4:$H$303,5,FALSE),IFERROR(VLOOKUP($B33,일위대가!$N$4:$T$63,4,FALSE),0)))</f>
        <v/>
      </c>
      <c r="P33" s="20">
        <f>IF($B33="","",IFERROR(VLOOKUP($B33,단가마스터!$A$4:$H$303,6,FALSE),IFERROR(VLOOKUP($B33,일위대가!$N$4:$T$63,5,FALSE),0)))</f>
        <v/>
      </c>
      <c r="Q33" s="20">
        <f>IF($B33="","",IFERROR(VLOOKUP($B33,단가마스터!$A$4:$H$303,7,FALSE),IFERROR(VLOOKUP($B33,일위대가!$N$4:$T$63,6,FALSE),0)))</f>
        <v/>
      </c>
      <c r="R33" s="20">
        <f>IF($B33="","",N($O33)+N($P33)+N($Q33))</f>
        <v/>
      </c>
      <c r="S33" s="20">
        <f>IF($B33="","",ROUND(N($N33)*N($R33),0))</f>
        <v/>
      </c>
      <c r="T33" s="19">
        <f>IF($B33="","",N($N33)-N($F33))</f>
        <v/>
      </c>
      <c r="U33" s="20">
        <f>IF($B33="","",N($S33)-N($K33))</f>
        <v/>
      </c>
      <c r="V33" s="30" t="n"/>
    </row>
    <row r="34">
      <c r="A34" s="30" t="n"/>
      <c r="B34" s="30" t="n"/>
      <c r="C34" s="18">
        <f>IF($B34="","",IFERROR(VLOOKUP($B34,단가마스터!$A$4:$H$303,2,FALSE),IFERROR(VLOOKUP($B34,일위대가!$N$4:$T$63,2,FALSE),"⚠️단가 없음")))</f>
        <v/>
      </c>
      <c r="D34" s="18">
        <f>IF($B34="","",IFERROR(VLOOKUP($B34,단가마스터!$A$4:$H$303,3,FALSE),""))</f>
        <v/>
      </c>
      <c r="E34" s="18">
        <f>IF($B34="","",IFERROR(VLOOKUP($B34,단가마스터!$A$4:$H$303,4,FALSE),IFERROR(VLOOKUP($B34,일위대가!$N$4:$T$63,3,FALSE),"")))</f>
        <v/>
      </c>
      <c r="F34" s="35" t="n"/>
      <c r="G34" s="23" t="n"/>
      <c r="H34" s="23" t="n"/>
      <c r="I34" s="23" t="n"/>
      <c r="J34" s="20">
        <f>IF($B34="","",N($G34)+N($H34)+N($I34))</f>
        <v/>
      </c>
      <c r="K34" s="20">
        <f>IF($B34="","",ROUND(N($F34)*N($J34),0))</f>
        <v/>
      </c>
      <c r="L34" s="19">
        <f>IF($B34="","",SUMIFS(수량산출서!$H$4:$H$253,수량산출서!$A$4:$A$253,"변경",수량산출서!$B$4:$B$253,$B34))</f>
        <v/>
      </c>
      <c r="M34" s="35" t="n"/>
      <c r="N34" s="19">
        <f>IF($B34="","",IF($M34&lt;&gt;"",$M34,N($L34)))</f>
        <v/>
      </c>
      <c r="O34" s="20">
        <f>IF($B34="","",IFERROR(VLOOKUP($B34,단가마스터!$A$4:$H$303,5,FALSE),IFERROR(VLOOKUP($B34,일위대가!$N$4:$T$63,4,FALSE),0)))</f>
        <v/>
      </c>
      <c r="P34" s="20">
        <f>IF($B34="","",IFERROR(VLOOKUP($B34,단가마스터!$A$4:$H$303,6,FALSE),IFERROR(VLOOKUP($B34,일위대가!$N$4:$T$63,5,FALSE),0)))</f>
        <v/>
      </c>
      <c r="Q34" s="20">
        <f>IF($B34="","",IFERROR(VLOOKUP($B34,단가마스터!$A$4:$H$303,7,FALSE),IFERROR(VLOOKUP($B34,일위대가!$N$4:$T$63,6,FALSE),0)))</f>
        <v/>
      </c>
      <c r="R34" s="20">
        <f>IF($B34="","",N($O34)+N($P34)+N($Q34))</f>
        <v/>
      </c>
      <c r="S34" s="20">
        <f>IF($B34="","",ROUND(N($N34)*N($R34),0))</f>
        <v/>
      </c>
      <c r="T34" s="19">
        <f>IF($B34="","",N($N34)-N($F34))</f>
        <v/>
      </c>
      <c r="U34" s="20">
        <f>IF($B34="","",N($S34)-N($K34))</f>
        <v/>
      </c>
      <c r="V34" s="30" t="n"/>
    </row>
    <row r="35">
      <c r="A35" s="30" t="n"/>
      <c r="B35" s="30" t="n"/>
      <c r="C35" s="18">
        <f>IF($B35="","",IFERROR(VLOOKUP($B35,단가마스터!$A$4:$H$303,2,FALSE),IFERROR(VLOOKUP($B35,일위대가!$N$4:$T$63,2,FALSE),"⚠️단가 없음")))</f>
        <v/>
      </c>
      <c r="D35" s="18">
        <f>IF($B35="","",IFERROR(VLOOKUP($B35,단가마스터!$A$4:$H$303,3,FALSE),""))</f>
        <v/>
      </c>
      <c r="E35" s="18">
        <f>IF($B35="","",IFERROR(VLOOKUP($B35,단가마스터!$A$4:$H$303,4,FALSE),IFERROR(VLOOKUP($B35,일위대가!$N$4:$T$63,3,FALSE),"")))</f>
        <v/>
      </c>
      <c r="F35" s="35" t="n"/>
      <c r="G35" s="23" t="n"/>
      <c r="H35" s="23" t="n"/>
      <c r="I35" s="23" t="n"/>
      <c r="J35" s="20">
        <f>IF($B35="","",N($G35)+N($H35)+N($I35))</f>
        <v/>
      </c>
      <c r="K35" s="20">
        <f>IF($B35="","",ROUND(N($F35)*N($J35),0))</f>
        <v/>
      </c>
      <c r="L35" s="19">
        <f>IF($B35="","",SUMIFS(수량산출서!$H$4:$H$253,수량산출서!$A$4:$A$253,"변경",수량산출서!$B$4:$B$253,$B35))</f>
        <v/>
      </c>
      <c r="M35" s="35" t="n"/>
      <c r="N35" s="19">
        <f>IF($B35="","",IF($M35&lt;&gt;"",$M35,N($L35)))</f>
        <v/>
      </c>
      <c r="O35" s="20">
        <f>IF($B35="","",IFERROR(VLOOKUP($B35,단가마스터!$A$4:$H$303,5,FALSE),IFERROR(VLOOKUP($B35,일위대가!$N$4:$T$63,4,FALSE),0)))</f>
        <v/>
      </c>
      <c r="P35" s="20">
        <f>IF($B35="","",IFERROR(VLOOKUP($B35,단가마스터!$A$4:$H$303,6,FALSE),IFERROR(VLOOKUP($B35,일위대가!$N$4:$T$63,5,FALSE),0)))</f>
        <v/>
      </c>
      <c r="Q35" s="20">
        <f>IF($B35="","",IFERROR(VLOOKUP($B35,단가마스터!$A$4:$H$303,7,FALSE),IFERROR(VLOOKUP($B35,일위대가!$N$4:$T$63,6,FALSE),0)))</f>
        <v/>
      </c>
      <c r="R35" s="20">
        <f>IF($B35="","",N($O35)+N($P35)+N($Q35))</f>
        <v/>
      </c>
      <c r="S35" s="20">
        <f>IF($B35="","",ROUND(N($N35)*N($R35),0))</f>
        <v/>
      </c>
      <c r="T35" s="19">
        <f>IF($B35="","",N($N35)-N($F35))</f>
        <v/>
      </c>
      <c r="U35" s="20">
        <f>IF($B35="","",N($S35)-N($K35))</f>
        <v/>
      </c>
      <c r="V35" s="30" t="n"/>
    </row>
    <row r="36">
      <c r="A36" s="30" t="n"/>
      <c r="B36" s="30" t="n"/>
      <c r="C36" s="18">
        <f>IF($B36="","",IFERROR(VLOOKUP($B36,단가마스터!$A$4:$H$303,2,FALSE),IFERROR(VLOOKUP($B36,일위대가!$N$4:$T$63,2,FALSE),"⚠️단가 없음")))</f>
        <v/>
      </c>
      <c r="D36" s="18">
        <f>IF($B36="","",IFERROR(VLOOKUP($B36,단가마스터!$A$4:$H$303,3,FALSE),""))</f>
        <v/>
      </c>
      <c r="E36" s="18">
        <f>IF($B36="","",IFERROR(VLOOKUP($B36,단가마스터!$A$4:$H$303,4,FALSE),IFERROR(VLOOKUP($B36,일위대가!$N$4:$T$63,3,FALSE),"")))</f>
        <v/>
      </c>
      <c r="F36" s="35" t="n"/>
      <c r="G36" s="23" t="n"/>
      <c r="H36" s="23" t="n"/>
      <c r="I36" s="23" t="n"/>
      <c r="J36" s="20">
        <f>IF($B36="","",N($G36)+N($H36)+N($I36))</f>
        <v/>
      </c>
      <c r="K36" s="20">
        <f>IF($B36="","",ROUND(N($F36)*N($J36),0))</f>
        <v/>
      </c>
      <c r="L36" s="19">
        <f>IF($B36="","",SUMIFS(수량산출서!$H$4:$H$253,수량산출서!$A$4:$A$253,"변경",수량산출서!$B$4:$B$253,$B36))</f>
        <v/>
      </c>
      <c r="M36" s="35" t="n"/>
      <c r="N36" s="19">
        <f>IF($B36="","",IF($M36&lt;&gt;"",$M36,N($L36)))</f>
        <v/>
      </c>
      <c r="O36" s="20">
        <f>IF($B36="","",IFERROR(VLOOKUP($B36,단가마스터!$A$4:$H$303,5,FALSE),IFERROR(VLOOKUP($B36,일위대가!$N$4:$T$63,4,FALSE),0)))</f>
        <v/>
      </c>
      <c r="P36" s="20">
        <f>IF($B36="","",IFERROR(VLOOKUP($B36,단가마스터!$A$4:$H$303,6,FALSE),IFERROR(VLOOKUP($B36,일위대가!$N$4:$T$63,5,FALSE),0)))</f>
        <v/>
      </c>
      <c r="Q36" s="20">
        <f>IF($B36="","",IFERROR(VLOOKUP($B36,단가마스터!$A$4:$H$303,7,FALSE),IFERROR(VLOOKUP($B36,일위대가!$N$4:$T$63,6,FALSE),0)))</f>
        <v/>
      </c>
      <c r="R36" s="20">
        <f>IF($B36="","",N($O36)+N($P36)+N($Q36))</f>
        <v/>
      </c>
      <c r="S36" s="20">
        <f>IF($B36="","",ROUND(N($N36)*N($R36),0))</f>
        <v/>
      </c>
      <c r="T36" s="19">
        <f>IF($B36="","",N($N36)-N($F36))</f>
        <v/>
      </c>
      <c r="U36" s="20">
        <f>IF($B36="","",N($S36)-N($K36))</f>
        <v/>
      </c>
      <c r="V36" s="30" t="n"/>
    </row>
    <row r="37">
      <c r="A37" s="30" t="n"/>
      <c r="B37" s="30" t="n"/>
      <c r="C37" s="18">
        <f>IF($B37="","",IFERROR(VLOOKUP($B37,단가마스터!$A$4:$H$303,2,FALSE),IFERROR(VLOOKUP($B37,일위대가!$N$4:$T$63,2,FALSE),"⚠️단가 없음")))</f>
        <v/>
      </c>
      <c r="D37" s="18">
        <f>IF($B37="","",IFERROR(VLOOKUP($B37,단가마스터!$A$4:$H$303,3,FALSE),""))</f>
        <v/>
      </c>
      <c r="E37" s="18">
        <f>IF($B37="","",IFERROR(VLOOKUP($B37,단가마스터!$A$4:$H$303,4,FALSE),IFERROR(VLOOKUP($B37,일위대가!$N$4:$T$63,3,FALSE),"")))</f>
        <v/>
      </c>
      <c r="F37" s="35" t="n"/>
      <c r="G37" s="23" t="n"/>
      <c r="H37" s="23" t="n"/>
      <c r="I37" s="23" t="n"/>
      <c r="J37" s="20">
        <f>IF($B37="","",N($G37)+N($H37)+N($I37))</f>
        <v/>
      </c>
      <c r="K37" s="20">
        <f>IF($B37="","",ROUND(N($F37)*N($J37),0))</f>
        <v/>
      </c>
      <c r="L37" s="19">
        <f>IF($B37="","",SUMIFS(수량산출서!$H$4:$H$253,수량산출서!$A$4:$A$253,"변경",수량산출서!$B$4:$B$253,$B37))</f>
        <v/>
      </c>
      <c r="M37" s="35" t="n"/>
      <c r="N37" s="19">
        <f>IF($B37="","",IF($M37&lt;&gt;"",$M37,N($L37)))</f>
        <v/>
      </c>
      <c r="O37" s="20">
        <f>IF($B37="","",IFERROR(VLOOKUP($B37,단가마스터!$A$4:$H$303,5,FALSE),IFERROR(VLOOKUP($B37,일위대가!$N$4:$T$63,4,FALSE),0)))</f>
        <v/>
      </c>
      <c r="P37" s="20">
        <f>IF($B37="","",IFERROR(VLOOKUP($B37,단가마스터!$A$4:$H$303,6,FALSE),IFERROR(VLOOKUP($B37,일위대가!$N$4:$T$63,5,FALSE),0)))</f>
        <v/>
      </c>
      <c r="Q37" s="20">
        <f>IF($B37="","",IFERROR(VLOOKUP($B37,단가마스터!$A$4:$H$303,7,FALSE),IFERROR(VLOOKUP($B37,일위대가!$N$4:$T$63,6,FALSE),0)))</f>
        <v/>
      </c>
      <c r="R37" s="20">
        <f>IF($B37="","",N($O37)+N($P37)+N($Q37))</f>
        <v/>
      </c>
      <c r="S37" s="20">
        <f>IF($B37="","",ROUND(N($N37)*N($R37),0))</f>
        <v/>
      </c>
      <c r="T37" s="19">
        <f>IF($B37="","",N($N37)-N($F37))</f>
        <v/>
      </c>
      <c r="U37" s="20">
        <f>IF($B37="","",N($S37)-N($K37))</f>
        <v/>
      </c>
      <c r="V37" s="30" t="n"/>
    </row>
    <row r="38">
      <c r="A38" s="30" t="n"/>
      <c r="B38" s="30" t="n"/>
      <c r="C38" s="18">
        <f>IF($B38="","",IFERROR(VLOOKUP($B38,단가마스터!$A$4:$H$303,2,FALSE),IFERROR(VLOOKUP($B38,일위대가!$N$4:$T$63,2,FALSE),"⚠️단가 없음")))</f>
        <v/>
      </c>
      <c r="D38" s="18">
        <f>IF($B38="","",IFERROR(VLOOKUP($B38,단가마스터!$A$4:$H$303,3,FALSE),""))</f>
        <v/>
      </c>
      <c r="E38" s="18">
        <f>IF($B38="","",IFERROR(VLOOKUP($B38,단가마스터!$A$4:$H$303,4,FALSE),IFERROR(VLOOKUP($B38,일위대가!$N$4:$T$63,3,FALSE),"")))</f>
        <v/>
      </c>
      <c r="F38" s="35" t="n"/>
      <c r="G38" s="23" t="n"/>
      <c r="H38" s="23" t="n"/>
      <c r="I38" s="23" t="n"/>
      <c r="J38" s="20">
        <f>IF($B38="","",N($G38)+N($H38)+N($I38))</f>
        <v/>
      </c>
      <c r="K38" s="20">
        <f>IF($B38="","",ROUND(N($F38)*N($J38),0))</f>
        <v/>
      </c>
      <c r="L38" s="19">
        <f>IF($B38="","",SUMIFS(수량산출서!$H$4:$H$253,수량산출서!$A$4:$A$253,"변경",수량산출서!$B$4:$B$253,$B38))</f>
        <v/>
      </c>
      <c r="M38" s="35" t="n"/>
      <c r="N38" s="19">
        <f>IF($B38="","",IF($M38&lt;&gt;"",$M38,N($L38)))</f>
        <v/>
      </c>
      <c r="O38" s="20">
        <f>IF($B38="","",IFERROR(VLOOKUP($B38,단가마스터!$A$4:$H$303,5,FALSE),IFERROR(VLOOKUP($B38,일위대가!$N$4:$T$63,4,FALSE),0)))</f>
        <v/>
      </c>
      <c r="P38" s="20">
        <f>IF($B38="","",IFERROR(VLOOKUP($B38,단가마스터!$A$4:$H$303,6,FALSE),IFERROR(VLOOKUP($B38,일위대가!$N$4:$T$63,5,FALSE),0)))</f>
        <v/>
      </c>
      <c r="Q38" s="20">
        <f>IF($B38="","",IFERROR(VLOOKUP($B38,단가마스터!$A$4:$H$303,7,FALSE),IFERROR(VLOOKUP($B38,일위대가!$N$4:$T$63,6,FALSE),0)))</f>
        <v/>
      </c>
      <c r="R38" s="20">
        <f>IF($B38="","",N($O38)+N($P38)+N($Q38))</f>
        <v/>
      </c>
      <c r="S38" s="20">
        <f>IF($B38="","",ROUND(N($N38)*N($R38),0))</f>
        <v/>
      </c>
      <c r="T38" s="19">
        <f>IF($B38="","",N($N38)-N($F38))</f>
        <v/>
      </c>
      <c r="U38" s="20">
        <f>IF($B38="","",N($S38)-N($K38))</f>
        <v/>
      </c>
      <c r="V38" s="30" t="n"/>
    </row>
    <row r="39">
      <c r="A39" s="30" t="n"/>
      <c r="B39" s="30" t="n"/>
      <c r="C39" s="18">
        <f>IF($B39="","",IFERROR(VLOOKUP($B39,단가마스터!$A$4:$H$303,2,FALSE),IFERROR(VLOOKUP($B39,일위대가!$N$4:$T$63,2,FALSE),"⚠️단가 없음")))</f>
        <v/>
      </c>
      <c r="D39" s="18">
        <f>IF($B39="","",IFERROR(VLOOKUP($B39,단가마스터!$A$4:$H$303,3,FALSE),""))</f>
        <v/>
      </c>
      <c r="E39" s="18">
        <f>IF($B39="","",IFERROR(VLOOKUP($B39,단가마스터!$A$4:$H$303,4,FALSE),IFERROR(VLOOKUP($B39,일위대가!$N$4:$T$63,3,FALSE),"")))</f>
        <v/>
      </c>
      <c r="F39" s="35" t="n"/>
      <c r="G39" s="23" t="n"/>
      <c r="H39" s="23" t="n"/>
      <c r="I39" s="23" t="n"/>
      <c r="J39" s="20">
        <f>IF($B39="","",N($G39)+N($H39)+N($I39))</f>
        <v/>
      </c>
      <c r="K39" s="20">
        <f>IF($B39="","",ROUND(N($F39)*N($J39),0))</f>
        <v/>
      </c>
      <c r="L39" s="19">
        <f>IF($B39="","",SUMIFS(수량산출서!$H$4:$H$253,수량산출서!$A$4:$A$253,"변경",수량산출서!$B$4:$B$253,$B39))</f>
        <v/>
      </c>
      <c r="M39" s="35" t="n"/>
      <c r="N39" s="19">
        <f>IF($B39="","",IF($M39&lt;&gt;"",$M39,N($L39)))</f>
        <v/>
      </c>
      <c r="O39" s="20">
        <f>IF($B39="","",IFERROR(VLOOKUP($B39,단가마스터!$A$4:$H$303,5,FALSE),IFERROR(VLOOKUP($B39,일위대가!$N$4:$T$63,4,FALSE),0)))</f>
        <v/>
      </c>
      <c r="P39" s="20">
        <f>IF($B39="","",IFERROR(VLOOKUP($B39,단가마스터!$A$4:$H$303,6,FALSE),IFERROR(VLOOKUP($B39,일위대가!$N$4:$T$63,5,FALSE),0)))</f>
        <v/>
      </c>
      <c r="Q39" s="20">
        <f>IF($B39="","",IFERROR(VLOOKUP($B39,단가마스터!$A$4:$H$303,7,FALSE),IFERROR(VLOOKUP($B39,일위대가!$N$4:$T$63,6,FALSE),0)))</f>
        <v/>
      </c>
      <c r="R39" s="20">
        <f>IF($B39="","",N($O39)+N($P39)+N($Q39))</f>
        <v/>
      </c>
      <c r="S39" s="20">
        <f>IF($B39="","",ROUND(N($N39)*N($R39),0))</f>
        <v/>
      </c>
      <c r="T39" s="19">
        <f>IF($B39="","",N($N39)-N($F39))</f>
        <v/>
      </c>
      <c r="U39" s="20">
        <f>IF($B39="","",N($S39)-N($K39))</f>
        <v/>
      </c>
      <c r="V39" s="30" t="n"/>
    </row>
    <row r="40">
      <c r="A40" s="30" t="n"/>
      <c r="B40" s="30" t="n"/>
      <c r="C40" s="18">
        <f>IF($B40="","",IFERROR(VLOOKUP($B40,단가마스터!$A$4:$H$303,2,FALSE),IFERROR(VLOOKUP($B40,일위대가!$N$4:$T$63,2,FALSE),"⚠️단가 없음")))</f>
        <v/>
      </c>
      <c r="D40" s="18">
        <f>IF($B40="","",IFERROR(VLOOKUP($B40,단가마스터!$A$4:$H$303,3,FALSE),""))</f>
        <v/>
      </c>
      <c r="E40" s="18">
        <f>IF($B40="","",IFERROR(VLOOKUP($B40,단가마스터!$A$4:$H$303,4,FALSE),IFERROR(VLOOKUP($B40,일위대가!$N$4:$T$63,3,FALSE),"")))</f>
        <v/>
      </c>
      <c r="F40" s="35" t="n"/>
      <c r="G40" s="23" t="n"/>
      <c r="H40" s="23" t="n"/>
      <c r="I40" s="23" t="n"/>
      <c r="J40" s="20">
        <f>IF($B40="","",N($G40)+N($H40)+N($I40))</f>
        <v/>
      </c>
      <c r="K40" s="20">
        <f>IF($B40="","",ROUND(N($F40)*N($J40),0))</f>
        <v/>
      </c>
      <c r="L40" s="19">
        <f>IF($B40="","",SUMIFS(수량산출서!$H$4:$H$253,수량산출서!$A$4:$A$253,"변경",수량산출서!$B$4:$B$253,$B40))</f>
        <v/>
      </c>
      <c r="M40" s="35" t="n"/>
      <c r="N40" s="19">
        <f>IF($B40="","",IF($M40&lt;&gt;"",$M40,N($L40)))</f>
        <v/>
      </c>
      <c r="O40" s="20">
        <f>IF($B40="","",IFERROR(VLOOKUP($B40,단가마스터!$A$4:$H$303,5,FALSE),IFERROR(VLOOKUP($B40,일위대가!$N$4:$T$63,4,FALSE),0)))</f>
        <v/>
      </c>
      <c r="P40" s="20">
        <f>IF($B40="","",IFERROR(VLOOKUP($B40,단가마스터!$A$4:$H$303,6,FALSE),IFERROR(VLOOKUP($B40,일위대가!$N$4:$T$63,5,FALSE),0)))</f>
        <v/>
      </c>
      <c r="Q40" s="20">
        <f>IF($B40="","",IFERROR(VLOOKUP($B40,단가마스터!$A$4:$H$303,7,FALSE),IFERROR(VLOOKUP($B40,일위대가!$N$4:$T$63,6,FALSE),0)))</f>
        <v/>
      </c>
      <c r="R40" s="20">
        <f>IF($B40="","",N($O40)+N($P40)+N($Q40))</f>
        <v/>
      </c>
      <c r="S40" s="20">
        <f>IF($B40="","",ROUND(N($N40)*N($R40),0))</f>
        <v/>
      </c>
      <c r="T40" s="19">
        <f>IF($B40="","",N($N40)-N($F40))</f>
        <v/>
      </c>
      <c r="U40" s="20">
        <f>IF($B40="","",N($S40)-N($K40))</f>
        <v/>
      </c>
      <c r="V40" s="30" t="n"/>
    </row>
    <row r="41">
      <c r="A41" s="30" t="n"/>
      <c r="B41" s="30" t="n"/>
      <c r="C41" s="18">
        <f>IF($B41="","",IFERROR(VLOOKUP($B41,단가마스터!$A$4:$H$303,2,FALSE),IFERROR(VLOOKUP($B41,일위대가!$N$4:$T$63,2,FALSE),"⚠️단가 없음")))</f>
        <v/>
      </c>
      <c r="D41" s="18">
        <f>IF($B41="","",IFERROR(VLOOKUP($B41,단가마스터!$A$4:$H$303,3,FALSE),""))</f>
        <v/>
      </c>
      <c r="E41" s="18">
        <f>IF($B41="","",IFERROR(VLOOKUP($B41,단가마스터!$A$4:$H$303,4,FALSE),IFERROR(VLOOKUP($B41,일위대가!$N$4:$T$63,3,FALSE),"")))</f>
        <v/>
      </c>
      <c r="F41" s="35" t="n"/>
      <c r="G41" s="23" t="n"/>
      <c r="H41" s="23" t="n"/>
      <c r="I41" s="23" t="n"/>
      <c r="J41" s="20">
        <f>IF($B41="","",N($G41)+N($H41)+N($I41))</f>
        <v/>
      </c>
      <c r="K41" s="20">
        <f>IF($B41="","",ROUND(N($F41)*N($J41),0))</f>
        <v/>
      </c>
      <c r="L41" s="19">
        <f>IF($B41="","",SUMIFS(수량산출서!$H$4:$H$253,수량산출서!$A$4:$A$253,"변경",수량산출서!$B$4:$B$253,$B41))</f>
        <v/>
      </c>
      <c r="M41" s="35" t="n"/>
      <c r="N41" s="19">
        <f>IF($B41="","",IF($M41&lt;&gt;"",$M41,N($L41)))</f>
        <v/>
      </c>
      <c r="O41" s="20">
        <f>IF($B41="","",IFERROR(VLOOKUP($B41,단가마스터!$A$4:$H$303,5,FALSE),IFERROR(VLOOKUP($B41,일위대가!$N$4:$T$63,4,FALSE),0)))</f>
        <v/>
      </c>
      <c r="P41" s="20">
        <f>IF($B41="","",IFERROR(VLOOKUP($B41,단가마스터!$A$4:$H$303,6,FALSE),IFERROR(VLOOKUP($B41,일위대가!$N$4:$T$63,5,FALSE),0)))</f>
        <v/>
      </c>
      <c r="Q41" s="20">
        <f>IF($B41="","",IFERROR(VLOOKUP($B41,단가마스터!$A$4:$H$303,7,FALSE),IFERROR(VLOOKUP($B41,일위대가!$N$4:$T$63,6,FALSE),0)))</f>
        <v/>
      </c>
      <c r="R41" s="20">
        <f>IF($B41="","",N($O41)+N($P41)+N($Q41))</f>
        <v/>
      </c>
      <c r="S41" s="20">
        <f>IF($B41="","",ROUND(N($N41)*N($R41),0))</f>
        <v/>
      </c>
      <c r="T41" s="19">
        <f>IF($B41="","",N($N41)-N($F41))</f>
        <v/>
      </c>
      <c r="U41" s="20">
        <f>IF($B41="","",N($S41)-N($K41))</f>
        <v/>
      </c>
      <c r="V41" s="30" t="n"/>
    </row>
    <row r="42">
      <c r="A42" s="30" t="n"/>
      <c r="B42" s="30" t="n"/>
      <c r="C42" s="18">
        <f>IF($B42="","",IFERROR(VLOOKUP($B42,단가마스터!$A$4:$H$303,2,FALSE),IFERROR(VLOOKUP($B42,일위대가!$N$4:$T$63,2,FALSE),"⚠️단가 없음")))</f>
        <v/>
      </c>
      <c r="D42" s="18">
        <f>IF($B42="","",IFERROR(VLOOKUP($B42,단가마스터!$A$4:$H$303,3,FALSE),""))</f>
        <v/>
      </c>
      <c r="E42" s="18">
        <f>IF($B42="","",IFERROR(VLOOKUP($B42,단가마스터!$A$4:$H$303,4,FALSE),IFERROR(VLOOKUP($B42,일위대가!$N$4:$T$63,3,FALSE),"")))</f>
        <v/>
      </c>
      <c r="F42" s="35" t="n"/>
      <c r="G42" s="23" t="n"/>
      <c r="H42" s="23" t="n"/>
      <c r="I42" s="23" t="n"/>
      <c r="J42" s="20">
        <f>IF($B42="","",N($G42)+N($H42)+N($I42))</f>
        <v/>
      </c>
      <c r="K42" s="20">
        <f>IF($B42="","",ROUND(N($F42)*N($J42),0))</f>
        <v/>
      </c>
      <c r="L42" s="19">
        <f>IF($B42="","",SUMIFS(수량산출서!$H$4:$H$253,수량산출서!$A$4:$A$253,"변경",수량산출서!$B$4:$B$253,$B42))</f>
        <v/>
      </c>
      <c r="M42" s="35" t="n"/>
      <c r="N42" s="19">
        <f>IF($B42="","",IF($M42&lt;&gt;"",$M42,N($L42)))</f>
        <v/>
      </c>
      <c r="O42" s="20">
        <f>IF($B42="","",IFERROR(VLOOKUP($B42,단가마스터!$A$4:$H$303,5,FALSE),IFERROR(VLOOKUP($B42,일위대가!$N$4:$T$63,4,FALSE),0)))</f>
        <v/>
      </c>
      <c r="P42" s="20">
        <f>IF($B42="","",IFERROR(VLOOKUP($B42,단가마스터!$A$4:$H$303,6,FALSE),IFERROR(VLOOKUP($B42,일위대가!$N$4:$T$63,5,FALSE),0)))</f>
        <v/>
      </c>
      <c r="Q42" s="20">
        <f>IF($B42="","",IFERROR(VLOOKUP($B42,단가마스터!$A$4:$H$303,7,FALSE),IFERROR(VLOOKUP($B42,일위대가!$N$4:$T$63,6,FALSE),0)))</f>
        <v/>
      </c>
      <c r="R42" s="20">
        <f>IF($B42="","",N($O42)+N($P42)+N($Q42))</f>
        <v/>
      </c>
      <c r="S42" s="20">
        <f>IF($B42="","",ROUND(N($N42)*N($R42),0))</f>
        <v/>
      </c>
      <c r="T42" s="19">
        <f>IF($B42="","",N($N42)-N($F42))</f>
        <v/>
      </c>
      <c r="U42" s="20">
        <f>IF($B42="","",N($S42)-N($K42))</f>
        <v/>
      </c>
      <c r="V42" s="30" t="n"/>
    </row>
    <row r="43">
      <c r="A43" s="30" t="n"/>
      <c r="B43" s="30" t="n"/>
      <c r="C43" s="18">
        <f>IF($B43="","",IFERROR(VLOOKUP($B43,단가마스터!$A$4:$H$303,2,FALSE),IFERROR(VLOOKUP($B43,일위대가!$N$4:$T$63,2,FALSE),"⚠️단가 없음")))</f>
        <v/>
      </c>
      <c r="D43" s="18">
        <f>IF($B43="","",IFERROR(VLOOKUP($B43,단가마스터!$A$4:$H$303,3,FALSE),""))</f>
        <v/>
      </c>
      <c r="E43" s="18">
        <f>IF($B43="","",IFERROR(VLOOKUP($B43,단가마스터!$A$4:$H$303,4,FALSE),IFERROR(VLOOKUP($B43,일위대가!$N$4:$T$63,3,FALSE),"")))</f>
        <v/>
      </c>
      <c r="F43" s="35" t="n"/>
      <c r="G43" s="23" t="n"/>
      <c r="H43" s="23" t="n"/>
      <c r="I43" s="23" t="n"/>
      <c r="J43" s="20">
        <f>IF($B43="","",N($G43)+N($H43)+N($I43))</f>
        <v/>
      </c>
      <c r="K43" s="20">
        <f>IF($B43="","",ROUND(N($F43)*N($J43),0))</f>
        <v/>
      </c>
      <c r="L43" s="19">
        <f>IF($B43="","",SUMIFS(수량산출서!$H$4:$H$253,수량산출서!$A$4:$A$253,"변경",수량산출서!$B$4:$B$253,$B43))</f>
        <v/>
      </c>
      <c r="M43" s="35" t="n"/>
      <c r="N43" s="19">
        <f>IF($B43="","",IF($M43&lt;&gt;"",$M43,N($L43)))</f>
        <v/>
      </c>
      <c r="O43" s="20">
        <f>IF($B43="","",IFERROR(VLOOKUP($B43,단가마스터!$A$4:$H$303,5,FALSE),IFERROR(VLOOKUP($B43,일위대가!$N$4:$T$63,4,FALSE),0)))</f>
        <v/>
      </c>
      <c r="P43" s="20">
        <f>IF($B43="","",IFERROR(VLOOKUP($B43,단가마스터!$A$4:$H$303,6,FALSE),IFERROR(VLOOKUP($B43,일위대가!$N$4:$T$63,5,FALSE),0)))</f>
        <v/>
      </c>
      <c r="Q43" s="20">
        <f>IF($B43="","",IFERROR(VLOOKUP($B43,단가마스터!$A$4:$H$303,7,FALSE),IFERROR(VLOOKUP($B43,일위대가!$N$4:$T$63,6,FALSE),0)))</f>
        <v/>
      </c>
      <c r="R43" s="20">
        <f>IF($B43="","",N($O43)+N($P43)+N($Q43))</f>
        <v/>
      </c>
      <c r="S43" s="20">
        <f>IF($B43="","",ROUND(N($N43)*N($R43),0))</f>
        <v/>
      </c>
      <c r="T43" s="19">
        <f>IF($B43="","",N($N43)-N($F43))</f>
        <v/>
      </c>
      <c r="U43" s="20">
        <f>IF($B43="","",N($S43)-N($K43))</f>
        <v/>
      </c>
      <c r="V43" s="30" t="n"/>
    </row>
    <row r="44">
      <c r="A44" s="30" t="n"/>
      <c r="B44" s="30" t="n"/>
      <c r="C44" s="18">
        <f>IF($B44="","",IFERROR(VLOOKUP($B44,단가마스터!$A$4:$H$303,2,FALSE),IFERROR(VLOOKUP($B44,일위대가!$N$4:$T$63,2,FALSE),"⚠️단가 없음")))</f>
        <v/>
      </c>
      <c r="D44" s="18">
        <f>IF($B44="","",IFERROR(VLOOKUP($B44,단가마스터!$A$4:$H$303,3,FALSE),""))</f>
        <v/>
      </c>
      <c r="E44" s="18">
        <f>IF($B44="","",IFERROR(VLOOKUP($B44,단가마스터!$A$4:$H$303,4,FALSE),IFERROR(VLOOKUP($B44,일위대가!$N$4:$T$63,3,FALSE),"")))</f>
        <v/>
      </c>
      <c r="F44" s="35" t="n"/>
      <c r="G44" s="23" t="n"/>
      <c r="H44" s="23" t="n"/>
      <c r="I44" s="23" t="n"/>
      <c r="J44" s="20">
        <f>IF($B44="","",N($G44)+N($H44)+N($I44))</f>
        <v/>
      </c>
      <c r="K44" s="20">
        <f>IF($B44="","",ROUND(N($F44)*N($J44),0))</f>
        <v/>
      </c>
      <c r="L44" s="19">
        <f>IF($B44="","",SUMIFS(수량산출서!$H$4:$H$253,수량산출서!$A$4:$A$253,"변경",수량산출서!$B$4:$B$253,$B44))</f>
        <v/>
      </c>
      <c r="M44" s="35" t="n"/>
      <c r="N44" s="19">
        <f>IF($B44="","",IF($M44&lt;&gt;"",$M44,N($L44)))</f>
        <v/>
      </c>
      <c r="O44" s="20">
        <f>IF($B44="","",IFERROR(VLOOKUP($B44,단가마스터!$A$4:$H$303,5,FALSE),IFERROR(VLOOKUP($B44,일위대가!$N$4:$T$63,4,FALSE),0)))</f>
        <v/>
      </c>
      <c r="P44" s="20">
        <f>IF($B44="","",IFERROR(VLOOKUP($B44,단가마스터!$A$4:$H$303,6,FALSE),IFERROR(VLOOKUP($B44,일위대가!$N$4:$T$63,5,FALSE),0)))</f>
        <v/>
      </c>
      <c r="Q44" s="20">
        <f>IF($B44="","",IFERROR(VLOOKUP($B44,단가마스터!$A$4:$H$303,7,FALSE),IFERROR(VLOOKUP($B44,일위대가!$N$4:$T$63,6,FALSE),0)))</f>
        <v/>
      </c>
      <c r="R44" s="20">
        <f>IF($B44="","",N($O44)+N($P44)+N($Q44))</f>
        <v/>
      </c>
      <c r="S44" s="20">
        <f>IF($B44="","",ROUND(N($N44)*N($R44),0))</f>
        <v/>
      </c>
      <c r="T44" s="19">
        <f>IF($B44="","",N($N44)-N($F44))</f>
        <v/>
      </c>
      <c r="U44" s="20">
        <f>IF($B44="","",N($S44)-N($K44))</f>
        <v/>
      </c>
      <c r="V44" s="30" t="n"/>
    </row>
    <row r="45">
      <c r="A45" s="30" t="n"/>
      <c r="B45" s="30" t="n"/>
      <c r="C45" s="18">
        <f>IF($B45="","",IFERROR(VLOOKUP($B45,단가마스터!$A$4:$H$303,2,FALSE),IFERROR(VLOOKUP($B45,일위대가!$N$4:$T$63,2,FALSE),"⚠️단가 없음")))</f>
        <v/>
      </c>
      <c r="D45" s="18">
        <f>IF($B45="","",IFERROR(VLOOKUP($B45,단가마스터!$A$4:$H$303,3,FALSE),""))</f>
        <v/>
      </c>
      <c r="E45" s="18">
        <f>IF($B45="","",IFERROR(VLOOKUP($B45,단가마스터!$A$4:$H$303,4,FALSE),IFERROR(VLOOKUP($B45,일위대가!$N$4:$T$63,3,FALSE),"")))</f>
        <v/>
      </c>
      <c r="F45" s="35" t="n"/>
      <c r="G45" s="23" t="n"/>
      <c r="H45" s="23" t="n"/>
      <c r="I45" s="23" t="n"/>
      <c r="J45" s="20">
        <f>IF($B45="","",N($G45)+N($H45)+N($I45))</f>
        <v/>
      </c>
      <c r="K45" s="20">
        <f>IF($B45="","",ROUND(N($F45)*N($J45),0))</f>
        <v/>
      </c>
      <c r="L45" s="19">
        <f>IF($B45="","",SUMIFS(수량산출서!$H$4:$H$253,수량산출서!$A$4:$A$253,"변경",수량산출서!$B$4:$B$253,$B45))</f>
        <v/>
      </c>
      <c r="M45" s="35" t="n"/>
      <c r="N45" s="19">
        <f>IF($B45="","",IF($M45&lt;&gt;"",$M45,N($L45)))</f>
        <v/>
      </c>
      <c r="O45" s="20">
        <f>IF($B45="","",IFERROR(VLOOKUP($B45,단가마스터!$A$4:$H$303,5,FALSE),IFERROR(VLOOKUP($B45,일위대가!$N$4:$T$63,4,FALSE),0)))</f>
        <v/>
      </c>
      <c r="P45" s="20">
        <f>IF($B45="","",IFERROR(VLOOKUP($B45,단가마스터!$A$4:$H$303,6,FALSE),IFERROR(VLOOKUP($B45,일위대가!$N$4:$T$63,5,FALSE),0)))</f>
        <v/>
      </c>
      <c r="Q45" s="20">
        <f>IF($B45="","",IFERROR(VLOOKUP($B45,단가마스터!$A$4:$H$303,7,FALSE),IFERROR(VLOOKUP($B45,일위대가!$N$4:$T$63,6,FALSE),0)))</f>
        <v/>
      </c>
      <c r="R45" s="20">
        <f>IF($B45="","",N($O45)+N($P45)+N($Q45))</f>
        <v/>
      </c>
      <c r="S45" s="20">
        <f>IF($B45="","",ROUND(N($N45)*N($R45),0))</f>
        <v/>
      </c>
      <c r="T45" s="19">
        <f>IF($B45="","",N($N45)-N($F45))</f>
        <v/>
      </c>
      <c r="U45" s="20">
        <f>IF($B45="","",N($S45)-N($K45))</f>
        <v/>
      </c>
      <c r="V45" s="30" t="n"/>
    </row>
    <row r="46">
      <c r="A46" s="30" t="n"/>
      <c r="B46" s="30" t="n"/>
      <c r="C46" s="18">
        <f>IF($B46="","",IFERROR(VLOOKUP($B46,단가마스터!$A$4:$H$303,2,FALSE),IFERROR(VLOOKUP($B46,일위대가!$N$4:$T$63,2,FALSE),"⚠️단가 없음")))</f>
        <v/>
      </c>
      <c r="D46" s="18">
        <f>IF($B46="","",IFERROR(VLOOKUP($B46,단가마스터!$A$4:$H$303,3,FALSE),""))</f>
        <v/>
      </c>
      <c r="E46" s="18">
        <f>IF($B46="","",IFERROR(VLOOKUP($B46,단가마스터!$A$4:$H$303,4,FALSE),IFERROR(VLOOKUP($B46,일위대가!$N$4:$T$63,3,FALSE),"")))</f>
        <v/>
      </c>
      <c r="F46" s="35" t="n"/>
      <c r="G46" s="23" t="n"/>
      <c r="H46" s="23" t="n"/>
      <c r="I46" s="23" t="n"/>
      <c r="J46" s="20">
        <f>IF($B46="","",N($G46)+N($H46)+N($I46))</f>
        <v/>
      </c>
      <c r="K46" s="20">
        <f>IF($B46="","",ROUND(N($F46)*N($J46),0))</f>
        <v/>
      </c>
      <c r="L46" s="19">
        <f>IF($B46="","",SUMIFS(수량산출서!$H$4:$H$253,수량산출서!$A$4:$A$253,"변경",수량산출서!$B$4:$B$253,$B46))</f>
        <v/>
      </c>
      <c r="M46" s="35" t="n"/>
      <c r="N46" s="19">
        <f>IF($B46="","",IF($M46&lt;&gt;"",$M46,N($L46)))</f>
        <v/>
      </c>
      <c r="O46" s="20">
        <f>IF($B46="","",IFERROR(VLOOKUP($B46,단가마스터!$A$4:$H$303,5,FALSE),IFERROR(VLOOKUP($B46,일위대가!$N$4:$T$63,4,FALSE),0)))</f>
        <v/>
      </c>
      <c r="P46" s="20">
        <f>IF($B46="","",IFERROR(VLOOKUP($B46,단가마스터!$A$4:$H$303,6,FALSE),IFERROR(VLOOKUP($B46,일위대가!$N$4:$T$63,5,FALSE),0)))</f>
        <v/>
      </c>
      <c r="Q46" s="20">
        <f>IF($B46="","",IFERROR(VLOOKUP($B46,단가마스터!$A$4:$H$303,7,FALSE),IFERROR(VLOOKUP($B46,일위대가!$N$4:$T$63,6,FALSE),0)))</f>
        <v/>
      </c>
      <c r="R46" s="20">
        <f>IF($B46="","",N($O46)+N($P46)+N($Q46))</f>
        <v/>
      </c>
      <c r="S46" s="20">
        <f>IF($B46="","",ROUND(N($N46)*N($R46),0))</f>
        <v/>
      </c>
      <c r="T46" s="19">
        <f>IF($B46="","",N($N46)-N($F46))</f>
        <v/>
      </c>
      <c r="U46" s="20">
        <f>IF($B46="","",N($S46)-N($K46))</f>
        <v/>
      </c>
      <c r="V46" s="30" t="n"/>
    </row>
    <row r="47">
      <c r="A47" s="30" t="n"/>
      <c r="B47" s="30" t="n"/>
      <c r="C47" s="18">
        <f>IF($B47="","",IFERROR(VLOOKUP($B47,단가마스터!$A$4:$H$303,2,FALSE),IFERROR(VLOOKUP($B47,일위대가!$N$4:$T$63,2,FALSE),"⚠️단가 없음")))</f>
        <v/>
      </c>
      <c r="D47" s="18">
        <f>IF($B47="","",IFERROR(VLOOKUP($B47,단가마스터!$A$4:$H$303,3,FALSE),""))</f>
        <v/>
      </c>
      <c r="E47" s="18">
        <f>IF($B47="","",IFERROR(VLOOKUP($B47,단가마스터!$A$4:$H$303,4,FALSE),IFERROR(VLOOKUP($B47,일위대가!$N$4:$T$63,3,FALSE),"")))</f>
        <v/>
      </c>
      <c r="F47" s="35" t="n"/>
      <c r="G47" s="23" t="n"/>
      <c r="H47" s="23" t="n"/>
      <c r="I47" s="23" t="n"/>
      <c r="J47" s="20">
        <f>IF($B47="","",N($G47)+N($H47)+N($I47))</f>
        <v/>
      </c>
      <c r="K47" s="20">
        <f>IF($B47="","",ROUND(N($F47)*N($J47),0))</f>
        <v/>
      </c>
      <c r="L47" s="19">
        <f>IF($B47="","",SUMIFS(수량산출서!$H$4:$H$253,수량산출서!$A$4:$A$253,"변경",수량산출서!$B$4:$B$253,$B47))</f>
        <v/>
      </c>
      <c r="M47" s="35" t="n"/>
      <c r="N47" s="19">
        <f>IF($B47="","",IF($M47&lt;&gt;"",$M47,N($L47)))</f>
        <v/>
      </c>
      <c r="O47" s="20">
        <f>IF($B47="","",IFERROR(VLOOKUP($B47,단가마스터!$A$4:$H$303,5,FALSE),IFERROR(VLOOKUP($B47,일위대가!$N$4:$T$63,4,FALSE),0)))</f>
        <v/>
      </c>
      <c r="P47" s="20">
        <f>IF($B47="","",IFERROR(VLOOKUP($B47,단가마스터!$A$4:$H$303,6,FALSE),IFERROR(VLOOKUP($B47,일위대가!$N$4:$T$63,5,FALSE),0)))</f>
        <v/>
      </c>
      <c r="Q47" s="20">
        <f>IF($B47="","",IFERROR(VLOOKUP($B47,단가마스터!$A$4:$H$303,7,FALSE),IFERROR(VLOOKUP($B47,일위대가!$N$4:$T$63,6,FALSE),0)))</f>
        <v/>
      </c>
      <c r="R47" s="20">
        <f>IF($B47="","",N($O47)+N($P47)+N($Q47))</f>
        <v/>
      </c>
      <c r="S47" s="20">
        <f>IF($B47="","",ROUND(N($N47)*N($R47),0))</f>
        <v/>
      </c>
      <c r="T47" s="19">
        <f>IF($B47="","",N($N47)-N($F47))</f>
        <v/>
      </c>
      <c r="U47" s="20">
        <f>IF($B47="","",N($S47)-N($K47))</f>
        <v/>
      </c>
      <c r="V47" s="30" t="n"/>
    </row>
    <row r="48">
      <c r="A48" s="30" t="n"/>
      <c r="B48" s="30" t="n"/>
      <c r="C48" s="18">
        <f>IF($B48="","",IFERROR(VLOOKUP($B48,단가마스터!$A$4:$H$303,2,FALSE),IFERROR(VLOOKUP($B48,일위대가!$N$4:$T$63,2,FALSE),"⚠️단가 없음")))</f>
        <v/>
      </c>
      <c r="D48" s="18">
        <f>IF($B48="","",IFERROR(VLOOKUP($B48,단가마스터!$A$4:$H$303,3,FALSE),""))</f>
        <v/>
      </c>
      <c r="E48" s="18">
        <f>IF($B48="","",IFERROR(VLOOKUP($B48,단가마스터!$A$4:$H$303,4,FALSE),IFERROR(VLOOKUP($B48,일위대가!$N$4:$T$63,3,FALSE),"")))</f>
        <v/>
      </c>
      <c r="F48" s="35" t="n"/>
      <c r="G48" s="23" t="n"/>
      <c r="H48" s="23" t="n"/>
      <c r="I48" s="23" t="n"/>
      <c r="J48" s="20">
        <f>IF($B48="","",N($G48)+N($H48)+N($I48))</f>
        <v/>
      </c>
      <c r="K48" s="20">
        <f>IF($B48="","",ROUND(N($F48)*N($J48),0))</f>
        <v/>
      </c>
      <c r="L48" s="19">
        <f>IF($B48="","",SUMIFS(수량산출서!$H$4:$H$253,수량산출서!$A$4:$A$253,"변경",수량산출서!$B$4:$B$253,$B48))</f>
        <v/>
      </c>
      <c r="M48" s="35" t="n"/>
      <c r="N48" s="19">
        <f>IF($B48="","",IF($M48&lt;&gt;"",$M48,N($L48)))</f>
        <v/>
      </c>
      <c r="O48" s="20">
        <f>IF($B48="","",IFERROR(VLOOKUP($B48,단가마스터!$A$4:$H$303,5,FALSE),IFERROR(VLOOKUP($B48,일위대가!$N$4:$T$63,4,FALSE),0)))</f>
        <v/>
      </c>
      <c r="P48" s="20">
        <f>IF($B48="","",IFERROR(VLOOKUP($B48,단가마스터!$A$4:$H$303,6,FALSE),IFERROR(VLOOKUP($B48,일위대가!$N$4:$T$63,5,FALSE),0)))</f>
        <v/>
      </c>
      <c r="Q48" s="20">
        <f>IF($B48="","",IFERROR(VLOOKUP($B48,단가마스터!$A$4:$H$303,7,FALSE),IFERROR(VLOOKUP($B48,일위대가!$N$4:$T$63,6,FALSE),0)))</f>
        <v/>
      </c>
      <c r="R48" s="20">
        <f>IF($B48="","",N($O48)+N($P48)+N($Q48))</f>
        <v/>
      </c>
      <c r="S48" s="20">
        <f>IF($B48="","",ROUND(N($N48)*N($R48),0))</f>
        <v/>
      </c>
      <c r="T48" s="19">
        <f>IF($B48="","",N($N48)-N($F48))</f>
        <v/>
      </c>
      <c r="U48" s="20">
        <f>IF($B48="","",N($S48)-N($K48))</f>
        <v/>
      </c>
      <c r="V48" s="30" t="n"/>
    </row>
    <row r="49">
      <c r="A49" s="30" t="n"/>
      <c r="B49" s="30" t="n"/>
      <c r="C49" s="18">
        <f>IF($B49="","",IFERROR(VLOOKUP($B49,단가마스터!$A$4:$H$303,2,FALSE),IFERROR(VLOOKUP($B49,일위대가!$N$4:$T$63,2,FALSE),"⚠️단가 없음")))</f>
        <v/>
      </c>
      <c r="D49" s="18">
        <f>IF($B49="","",IFERROR(VLOOKUP($B49,단가마스터!$A$4:$H$303,3,FALSE),""))</f>
        <v/>
      </c>
      <c r="E49" s="18">
        <f>IF($B49="","",IFERROR(VLOOKUP($B49,단가마스터!$A$4:$H$303,4,FALSE),IFERROR(VLOOKUP($B49,일위대가!$N$4:$T$63,3,FALSE),"")))</f>
        <v/>
      </c>
      <c r="F49" s="35" t="n"/>
      <c r="G49" s="23" t="n"/>
      <c r="H49" s="23" t="n"/>
      <c r="I49" s="23" t="n"/>
      <c r="J49" s="20">
        <f>IF($B49="","",N($G49)+N($H49)+N($I49))</f>
        <v/>
      </c>
      <c r="K49" s="20">
        <f>IF($B49="","",ROUND(N($F49)*N($J49),0))</f>
        <v/>
      </c>
      <c r="L49" s="19">
        <f>IF($B49="","",SUMIFS(수량산출서!$H$4:$H$253,수량산출서!$A$4:$A$253,"변경",수량산출서!$B$4:$B$253,$B49))</f>
        <v/>
      </c>
      <c r="M49" s="35" t="n"/>
      <c r="N49" s="19">
        <f>IF($B49="","",IF($M49&lt;&gt;"",$M49,N($L49)))</f>
        <v/>
      </c>
      <c r="O49" s="20">
        <f>IF($B49="","",IFERROR(VLOOKUP($B49,단가마스터!$A$4:$H$303,5,FALSE),IFERROR(VLOOKUP($B49,일위대가!$N$4:$T$63,4,FALSE),0)))</f>
        <v/>
      </c>
      <c r="P49" s="20">
        <f>IF($B49="","",IFERROR(VLOOKUP($B49,단가마스터!$A$4:$H$303,6,FALSE),IFERROR(VLOOKUP($B49,일위대가!$N$4:$T$63,5,FALSE),0)))</f>
        <v/>
      </c>
      <c r="Q49" s="20">
        <f>IF($B49="","",IFERROR(VLOOKUP($B49,단가마스터!$A$4:$H$303,7,FALSE),IFERROR(VLOOKUP($B49,일위대가!$N$4:$T$63,6,FALSE),0)))</f>
        <v/>
      </c>
      <c r="R49" s="20">
        <f>IF($B49="","",N($O49)+N($P49)+N($Q49))</f>
        <v/>
      </c>
      <c r="S49" s="20">
        <f>IF($B49="","",ROUND(N($N49)*N($R49),0))</f>
        <v/>
      </c>
      <c r="T49" s="19">
        <f>IF($B49="","",N($N49)-N($F49))</f>
        <v/>
      </c>
      <c r="U49" s="20">
        <f>IF($B49="","",N($S49)-N($K49))</f>
        <v/>
      </c>
      <c r="V49" s="30" t="n"/>
    </row>
    <row r="50">
      <c r="A50" s="30" t="n"/>
      <c r="B50" s="30" t="n"/>
      <c r="C50" s="18">
        <f>IF($B50="","",IFERROR(VLOOKUP($B50,단가마스터!$A$4:$H$303,2,FALSE),IFERROR(VLOOKUP($B50,일위대가!$N$4:$T$63,2,FALSE),"⚠️단가 없음")))</f>
        <v/>
      </c>
      <c r="D50" s="18">
        <f>IF($B50="","",IFERROR(VLOOKUP($B50,단가마스터!$A$4:$H$303,3,FALSE),""))</f>
        <v/>
      </c>
      <c r="E50" s="18">
        <f>IF($B50="","",IFERROR(VLOOKUP($B50,단가마스터!$A$4:$H$303,4,FALSE),IFERROR(VLOOKUP($B50,일위대가!$N$4:$T$63,3,FALSE),"")))</f>
        <v/>
      </c>
      <c r="F50" s="35" t="n"/>
      <c r="G50" s="23" t="n"/>
      <c r="H50" s="23" t="n"/>
      <c r="I50" s="23" t="n"/>
      <c r="J50" s="20">
        <f>IF($B50="","",N($G50)+N($H50)+N($I50))</f>
        <v/>
      </c>
      <c r="K50" s="20">
        <f>IF($B50="","",ROUND(N($F50)*N($J50),0))</f>
        <v/>
      </c>
      <c r="L50" s="19">
        <f>IF($B50="","",SUMIFS(수량산출서!$H$4:$H$253,수량산출서!$A$4:$A$253,"변경",수량산출서!$B$4:$B$253,$B50))</f>
        <v/>
      </c>
      <c r="M50" s="35" t="n"/>
      <c r="N50" s="19">
        <f>IF($B50="","",IF($M50&lt;&gt;"",$M50,N($L50)))</f>
        <v/>
      </c>
      <c r="O50" s="20">
        <f>IF($B50="","",IFERROR(VLOOKUP($B50,단가마스터!$A$4:$H$303,5,FALSE),IFERROR(VLOOKUP($B50,일위대가!$N$4:$T$63,4,FALSE),0)))</f>
        <v/>
      </c>
      <c r="P50" s="20">
        <f>IF($B50="","",IFERROR(VLOOKUP($B50,단가마스터!$A$4:$H$303,6,FALSE),IFERROR(VLOOKUP($B50,일위대가!$N$4:$T$63,5,FALSE),0)))</f>
        <v/>
      </c>
      <c r="Q50" s="20">
        <f>IF($B50="","",IFERROR(VLOOKUP($B50,단가마스터!$A$4:$H$303,7,FALSE),IFERROR(VLOOKUP($B50,일위대가!$N$4:$T$63,6,FALSE),0)))</f>
        <v/>
      </c>
      <c r="R50" s="20">
        <f>IF($B50="","",N($O50)+N($P50)+N($Q50))</f>
        <v/>
      </c>
      <c r="S50" s="20">
        <f>IF($B50="","",ROUND(N($N50)*N($R50),0))</f>
        <v/>
      </c>
      <c r="T50" s="19">
        <f>IF($B50="","",N($N50)-N($F50))</f>
        <v/>
      </c>
      <c r="U50" s="20">
        <f>IF($B50="","",N($S50)-N($K50))</f>
        <v/>
      </c>
      <c r="V50" s="30" t="n"/>
    </row>
    <row r="51">
      <c r="A51" s="30" t="n"/>
      <c r="B51" s="30" t="n"/>
      <c r="C51" s="18">
        <f>IF($B51="","",IFERROR(VLOOKUP($B51,단가마스터!$A$4:$H$303,2,FALSE),IFERROR(VLOOKUP($B51,일위대가!$N$4:$T$63,2,FALSE),"⚠️단가 없음")))</f>
        <v/>
      </c>
      <c r="D51" s="18">
        <f>IF($B51="","",IFERROR(VLOOKUP($B51,단가마스터!$A$4:$H$303,3,FALSE),""))</f>
        <v/>
      </c>
      <c r="E51" s="18">
        <f>IF($B51="","",IFERROR(VLOOKUP($B51,단가마스터!$A$4:$H$303,4,FALSE),IFERROR(VLOOKUP($B51,일위대가!$N$4:$T$63,3,FALSE),"")))</f>
        <v/>
      </c>
      <c r="F51" s="35" t="n"/>
      <c r="G51" s="23" t="n"/>
      <c r="H51" s="23" t="n"/>
      <c r="I51" s="23" t="n"/>
      <c r="J51" s="20">
        <f>IF($B51="","",N($G51)+N($H51)+N($I51))</f>
        <v/>
      </c>
      <c r="K51" s="20">
        <f>IF($B51="","",ROUND(N($F51)*N($J51),0))</f>
        <v/>
      </c>
      <c r="L51" s="19">
        <f>IF($B51="","",SUMIFS(수량산출서!$H$4:$H$253,수량산출서!$A$4:$A$253,"변경",수량산출서!$B$4:$B$253,$B51))</f>
        <v/>
      </c>
      <c r="M51" s="35" t="n"/>
      <c r="N51" s="19">
        <f>IF($B51="","",IF($M51&lt;&gt;"",$M51,N($L51)))</f>
        <v/>
      </c>
      <c r="O51" s="20">
        <f>IF($B51="","",IFERROR(VLOOKUP($B51,단가마스터!$A$4:$H$303,5,FALSE),IFERROR(VLOOKUP($B51,일위대가!$N$4:$T$63,4,FALSE),0)))</f>
        <v/>
      </c>
      <c r="P51" s="20">
        <f>IF($B51="","",IFERROR(VLOOKUP($B51,단가마스터!$A$4:$H$303,6,FALSE),IFERROR(VLOOKUP($B51,일위대가!$N$4:$T$63,5,FALSE),0)))</f>
        <v/>
      </c>
      <c r="Q51" s="20">
        <f>IF($B51="","",IFERROR(VLOOKUP($B51,단가마스터!$A$4:$H$303,7,FALSE),IFERROR(VLOOKUP($B51,일위대가!$N$4:$T$63,6,FALSE),0)))</f>
        <v/>
      </c>
      <c r="R51" s="20">
        <f>IF($B51="","",N($O51)+N($P51)+N($Q51))</f>
        <v/>
      </c>
      <c r="S51" s="20">
        <f>IF($B51="","",ROUND(N($N51)*N($R51),0))</f>
        <v/>
      </c>
      <c r="T51" s="19">
        <f>IF($B51="","",N($N51)-N($F51))</f>
        <v/>
      </c>
      <c r="U51" s="20">
        <f>IF($B51="","",N($S51)-N($K51))</f>
        <v/>
      </c>
      <c r="V51" s="30" t="n"/>
    </row>
    <row r="52">
      <c r="A52" s="30" t="n"/>
      <c r="B52" s="30" t="n"/>
      <c r="C52" s="18">
        <f>IF($B52="","",IFERROR(VLOOKUP($B52,단가마스터!$A$4:$H$303,2,FALSE),IFERROR(VLOOKUP($B52,일위대가!$N$4:$T$63,2,FALSE),"⚠️단가 없음")))</f>
        <v/>
      </c>
      <c r="D52" s="18">
        <f>IF($B52="","",IFERROR(VLOOKUP($B52,단가마스터!$A$4:$H$303,3,FALSE),""))</f>
        <v/>
      </c>
      <c r="E52" s="18">
        <f>IF($B52="","",IFERROR(VLOOKUP($B52,단가마스터!$A$4:$H$303,4,FALSE),IFERROR(VLOOKUP($B52,일위대가!$N$4:$T$63,3,FALSE),"")))</f>
        <v/>
      </c>
      <c r="F52" s="35" t="n"/>
      <c r="G52" s="23" t="n"/>
      <c r="H52" s="23" t="n"/>
      <c r="I52" s="23" t="n"/>
      <c r="J52" s="20">
        <f>IF($B52="","",N($G52)+N($H52)+N($I52))</f>
        <v/>
      </c>
      <c r="K52" s="20">
        <f>IF($B52="","",ROUND(N($F52)*N($J52),0))</f>
        <v/>
      </c>
      <c r="L52" s="19">
        <f>IF($B52="","",SUMIFS(수량산출서!$H$4:$H$253,수량산출서!$A$4:$A$253,"변경",수량산출서!$B$4:$B$253,$B52))</f>
        <v/>
      </c>
      <c r="M52" s="35" t="n"/>
      <c r="N52" s="19">
        <f>IF($B52="","",IF($M52&lt;&gt;"",$M52,N($L52)))</f>
        <v/>
      </c>
      <c r="O52" s="20">
        <f>IF($B52="","",IFERROR(VLOOKUP($B52,단가마스터!$A$4:$H$303,5,FALSE),IFERROR(VLOOKUP($B52,일위대가!$N$4:$T$63,4,FALSE),0)))</f>
        <v/>
      </c>
      <c r="P52" s="20">
        <f>IF($B52="","",IFERROR(VLOOKUP($B52,단가마스터!$A$4:$H$303,6,FALSE),IFERROR(VLOOKUP($B52,일위대가!$N$4:$T$63,5,FALSE),0)))</f>
        <v/>
      </c>
      <c r="Q52" s="20">
        <f>IF($B52="","",IFERROR(VLOOKUP($B52,단가마스터!$A$4:$H$303,7,FALSE),IFERROR(VLOOKUP($B52,일위대가!$N$4:$T$63,6,FALSE),0)))</f>
        <v/>
      </c>
      <c r="R52" s="20">
        <f>IF($B52="","",N($O52)+N($P52)+N($Q52))</f>
        <v/>
      </c>
      <c r="S52" s="20">
        <f>IF($B52="","",ROUND(N($N52)*N($R52),0))</f>
        <v/>
      </c>
      <c r="T52" s="19">
        <f>IF($B52="","",N($N52)-N($F52))</f>
        <v/>
      </c>
      <c r="U52" s="20">
        <f>IF($B52="","",N($S52)-N($K52))</f>
        <v/>
      </c>
      <c r="V52" s="30" t="n"/>
    </row>
    <row r="53">
      <c r="A53" s="30" t="n"/>
      <c r="B53" s="30" t="n"/>
      <c r="C53" s="18">
        <f>IF($B53="","",IFERROR(VLOOKUP($B53,단가마스터!$A$4:$H$303,2,FALSE),IFERROR(VLOOKUP($B53,일위대가!$N$4:$T$63,2,FALSE),"⚠️단가 없음")))</f>
        <v/>
      </c>
      <c r="D53" s="18">
        <f>IF($B53="","",IFERROR(VLOOKUP($B53,단가마스터!$A$4:$H$303,3,FALSE),""))</f>
        <v/>
      </c>
      <c r="E53" s="18">
        <f>IF($B53="","",IFERROR(VLOOKUP($B53,단가마스터!$A$4:$H$303,4,FALSE),IFERROR(VLOOKUP($B53,일위대가!$N$4:$T$63,3,FALSE),"")))</f>
        <v/>
      </c>
      <c r="F53" s="35" t="n"/>
      <c r="G53" s="23" t="n"/>
      <c r="H53" s="23" t="n"/>
      <c r="I53" s="23" t="n"/>
      <c r="J53" s="20">
        <f>IF($B53="","",N($G53)+N($H53)+N($I53))</f>
        <v/>
      </c>
      <c r="K53" s="20">
        <f>IF($B53="","",ROUND(N($F53)*N($J53),0))</f>
        <v/>
      </c>
      <c r="L53" s="19">
        <f>IF($B53="","",SUMIFS(수량산출서!$H$4:$H$253,수량산출서!$A$4:$A$253,"변경",수량산출서!$B$4:$B$253,$B53))</f>
        <v/>
      </c>
      <c r="M53" s="35" t="n"/>
      <c r="N53" s="19">
        <f>IF($B53="","",IF($M53&lt;&gt;"",$M53,N($L53)))</f>
        <v/>
      </c>
      <c r="O53" s="20">
        <f>IF($B53="","",IFERROR(VLOOKUP($B53,단가마스터!$A$4:$H$303,5,FALSE),IFERROR(VLOOKUP($B53,일위대가!$N$4:$T$63,4,FALSE),0)))</f>
        <v/>
      </c>
      <c r="P53" s="20">
        <f>IF($B53="","",IFERROR(VLOOKUP($B53,단가마스터!$A$4:$H$303,6,FALSE),IFERROR(VLOOKUP($B53,일위대가!$N$4:$T$63,5,FALSE),0)))</f>
        <v/>
      </c>
      <c r="Q53" s="20">
        <f>IF($B53="","",IFERROR(VLOOKUP($B53,단가마스터!$A$4:$H$303,7,FALSE),IFERROR(VLOOKUP($B53,일위대가!$N$4:$T$63,6,FALSE),0)))</f>
        <v/>
      </c>
      <c r="R53" s="20">
        <f>IF($B53="","",N($O53)+N($P53)+N($Q53))</f>
        <v/>
      </c>
      <c r="S53" s="20">
        <f>IF($B53="","",ROUND(N($N53)*N($R53),0))</f>
        <v/>
      </c>
      <c r="T53" s="19">
        <f>IF($B53="","",N($N53)-N($F53))</f>
        <v/>
      </c>
      <c r="U53" s="20">
        <f>IF($B53="","",N($S53)-N($K53))</f>
        <v/>
      </c>
      <c r="V53" s="30" t="n"/>
    </row>
    <row r="54">
      <c r="A54" s="30" t="n"/>
      <c r="B54" s="30" t="n"/>
      <c r="C54" s="18">
        <f>IF($B54="","",IFERROR(VLOOKUP($B54,단가마스터!$A$4:$H$303,2,FALSE),IFERROR(VLOOKUP($B54,일위대가!$N$4:$T$63,2,FALSE),"⚠️단가 없음")))</f>
        <v/>
      </c>
      <c r="D54" s="18">
        <f>IF($B54="","",IFERROR(VLOOKUP($B54,단가마스터!$A$4:$H$303,3,FALSE),""))</f>
        <v/>
      </c>
      <c r="E54" s="18">
        <f>IF($B54="","",IFERROR(VLOOKUP($B54,단가마스터!$A$4:$H$303,4,FALSE),IFERROR(VLOOKUP($B54,일위대가!$N$4:$T$63,3,FALSE),"")))</f>
        <v/>
      </c>
      <c r="F54" s="35" t="n"/>
      <c r="G54" s="23" t="n"/>
      <c r="H54" s="23" t="n"/>
      <c r="I54" s="23" t="n"/>
      <c r="J54" s="20">
        <f>IF($B54="","",N($G54)+N($H54)+N($I54))</f>
        <v/>
      </c>
      <c r="K54" s="20">
        <f>IF($B54="","",ROUND(N($F54)*N($J54),0))</f>
        <v/>
      </c>
      <c r="L54" s="19">
        <f>IF($B54="","",SUMIFS(수량산출서!$H$4:$H$253,수량산출서!$A$4:$A$253,"변경",수량산출서!$B$4:$B$253,$B54))</f>
        <v/>
      </c>
      <c r="M54" s="35" t="n"/>
      <c r="N54" s="19">
        <f>IF($B54="","",IF($M54&lt;&gt;"",$M54,N($L54)))</f>
        <v/>
      </c>
      <c r="O54" s="20">
        <f>IF($B54="","",IFERROR(VLOOKUP($B54,단가마스터!$A$4:$H$303,5,FALSE),IFERROR(VLOOKUP($B54,일위대가!$N$4:$T$63,4,FALSE),0)))</f>
        <v/>
      </c>
      <c r="P54" s="20">
        <f>IF($B54="","",IFERROR(VLOOKUP($B54,단가마스터!$A$4:$H$303,6,FALSE),IFERROR(VLOOKUP($B54,일위대가!$N$4:$T$63,5,FALSE),0)))</f>
        <v/>
      </c>
      <c r="Q54" s="20">
        <f>IF($B54="","",IFERROR(VLOOKUP($B54,단가마스터!$A$4:$H$303,7,FALSE),IFERROR(VLOOKUP($B54,일위대가!$N$4:$T$63,6,FALSE),0)))</f>
        <v/>
      </c>
      <c r="R54" s="20">
        <f>IF($B54="","",N($O54)+N($P54)+N($Q54))</f>
        <v/>
      </c>
      <c r="S54" s="20">
        <f>IF($B54="","",ROUND(N($N54)*N($R54),0))</f>
        <v/>
      </c>
      <c r="T54" s="19">
        <f>IF($B54="","",N($N54)-N($F54))</f>
        <v/>
      </c>
      <c r="U54" s="20">
        <f>IF($B54="","",N($S54)-N($K54))</f>
        <v/>
      </c>
      <c r="V54" s="30" t="n"/>
    </row>
    <row r="55">
      <c r="A55" s="30" t="n"/>
      <c r="B55" s="30" t="n"/>
      <c r="C55" s="18">
        <f>IF($B55="","",IFERROR(VLOOKUP($B55,단가마스터!$A$4:$H$303,2,FALSE),IFERROR(VLOOKUP($B55,일위대가!$N$4:$T$63,2,FALSE),"⚠️단가 없음")))</f>
        <v/>
      </c>
      <c r="D55" s="18">
        <f>IF($B55="","",IFERROR(VLOOKUP($B55,단가마스터!$A$4:$H$303,3,FALSE),""))</f>
        <v/>
      </c>
      <c r="E55" s="18">
        <f>IF($B55="","",IFERROR(VLOOKUP($B55,단가마스터!$A$4:$H$303,4,FALSE),IFERROR(VLOOKUP($B55,일위대가!$N$4:$T$63,3,FALSE),"")))</f>
        <v/>
      </c>
      <c r="F55" s="35" t="n"/>
      <c r="G55" s="23" t="n"/>
      <c r="H55" s="23" t="n"/>
      <c r="I55" s="23" t="n"/>
      <c r="J55" s="20">
        <f>IF($B55="","",N($G55)+N($H55)+N($I55))</f>
        <v/>
      </c>
      <c r="K55" s="20">
        <f>IF($B55="","",ROUND(N($F55)*N($J55),0))</f>
        <v/>
      </c>
      <c r="L55" s="19">
        <f>IF($B55="","",SUMIFS(수량산출서!$H$4:$H$253,수량산출서!$A$4:$A$253,"변경",수량산출서!$B$4:$B$253,$B55))</f>
        <v/>
      </c>
      <c r="M55" s="35" t="n"/>
      <c r="N55" s="19">
        <f>IF($B55="","",IF($M55&lt;&gt;"",$M55,N($L55)))</f>
        <v/>
      </c>
      <c r="O55" s="20">
        <f>IF($B55="","",IFERROR(VLOOKUP($B55,단가마스터!$A$4:$H$303,5,FALSE),IFERROR(VLOOKUP($B55,일위대가!$N$4:$T$63,4,FALSE),0)))</f>
        <v/>
      </c>
      <c r="P55" s="20">
        <f>IF($B55="","",IFERROR(VLOOKUP($B55,단가마스터!$A$4:$H$303,6,FALSE),IFERROR(VLOOKUP($B55,일위대가!$N$4:$T$63,5,FALSE),0)))</f>
        <v/>
      </c>
      <c r="Q55" s="20">
        <f>IF($B55="","",IFERROR(VLOOKUP($B55,단가마스터!$A$4:$H$303,7,FALSE),IFERROR(VLOOKUP($B55,일위대가!$N$4:$T$63,6,FALSE),0)))</f>
        <v/>
      </c>
      <c r="R55" s="20">
        <f>IF($B55="","",N($O55)+N($P55)+N($Q55))</f>
        <v/>
      </c>
      <c r="S55" s="20">
        <f>IF($B55="","",ROUND(N($N55)*N($R55),0))</f>
        <v/>
      </c>
      <c r="T55" s="19">
        <f>IF($B55="","",N($N55)-N($F55))</f>
        <v/>
      </c>
      <c r="U55" s="20">
        <f>IF($B55="","",N($S55)-N($K55))</f>
        <v/>
      </c>
      <c r="V55" s="30" t="n"/>
    </row>
    <row r="56">
      <c r="A56" s="30" t="n"/>
      <c r="B56" s="30" t="n"/>
      <c r="C56" s="18">
        <f>IF($B56="","",IFERROR(VLOOKUP($B56,단가마스터!$A$4:$H$303,2,FALSE),IFERROR(VLOOKUP($B56,일위대가!$N$4:$T$63,2,FALSE),"⚠️단가 없음")))</f>
        <v/>
      </c>
      <c r="D56" s="18">
        <f>IF($B56="","",IFERROR(VLOOKUP($B56,단가마스터!$A$4:$H$303,3,FALSE),""))</f>
        <v/>
      </c>
      <c r="E56" s="18">
        <f>IF($B56="","",IFERROR(VLOOKUP($B56,단가마스터!$A$4:$H$303,4,FALSE),IFERROR(VLOOKUP($B56,일위대가!$N$4:$T$63,3,FALSE),"")))</f>
        <v/>
      </c>
      <c r="F56" s="35" t="n"/>
      <c r="G56" s="23" t="n"/>
      <c r="H56" s="23" t="n"/>
      <c r="I56" s="23" t="n"/>
      <c r="J56" s="20">
        <f>IF($B56="","",N($G56)+N($H56)+N($I56))</f>
        <v/>
      </c>
      <c r="K56" s="20">
        <f>IF($B56="","",ROUND(N($F56)*N($J56),0))</f>
        <v/>
      </c>
      <c r="L56" s="19">
        <f>IF($B56="","",SUMIFS(수량산출서!$H$4:$H$253,수량산출서!$A$4:$A$253,"변경",수량산출서!$B$4:$B$253,$B56))</f>
        <v/>
      </c>
      <c r="M56" s="35" t="n"/>
      <c r="N56" s="19">
        <f>IF($B56="","",IF($M56&lt;&gt;"",$M56,N($L56)))</f>
        <v/>
      </c>
      <c r="O56" s="20">
        <f>IF($B56="","",IFERROR(VLOOKUP($B56,단가마스터!$A$4:$H$303,5,FALSE),IFERROR(VLOOKUP($B56,일위대가!$N$4:$T$63,4,FALSE),0)))</f>
        <v/>
      </c>
      <c r="P56" s="20">
        <f>IF($B56="","",IFERROR(VLOOKUP($B56,단가마스터!$A$4:$H$303,6,FALSE),IFERROR(VLOOKUP($B56,일위대가!$N$4:$T$63,5,FALSE),0)))</f>
        <v/>
      </c>
      <c r="Q56" s="20">
        <f>IF($B56="","",IFERROR(VLOOKUP($B56,단가마스터!$A$4:$H$303,7,FALSE),IFERROR(VLOOKUP($B56,일위대가!$N$4:$T$63,6,FALSE),0)))</f>
        <v/>
      </c>
      <c r="R56" s="20">
        <f>IF($B56="","",N($O56)+N($P56)+N($Q56))</f>
        <v/>
      </c>
      <c r="S56" s="20">
        <f>IF($B56="","",ROUND(N($N56)*N($R56),0))</f>
        <v/>
      </c>
      <c r="T56" s="19">
        <f>IF($B56="","",N($N56)-N($F56))</f>
        <v/>
      </c>
      <c r="U56" s="20">
        <f>IF($B56="","",N($S56)-N($K56))</f>
        <v/>
      </c>
      <c r="V56" s="30" t="n"/>
    </row>
    <row r="57">
      <c r="A57" s="30" t="n"/>
      <c r="B57" s="30" t="n"/>
      <c r="C57" s="18">
        <f>IF($B57="","",IFERROR(VLOOKUP($B57,단가마스터!$A$4:$H$303,2,FALSE),IFERROR(VLOOKUP($B57,일위대가!$N$4:$T$63,2,FALSE),"⚠️단가 없음")))</f>
        <v/>
      </c>
      <c r="D57" s="18">
        <f>IF($B57="","",IFERROR(VLOOKUP($B57,단가마스터!$A$4:$H$303,3,FALSE),""))</f>
        <v/>
      </c>
      <c r="E57" s="18">
        <f>IF($B57="","",IFERROR(VLOOKUP($B57,단가마스터!$A$4:$H$303,4,FALSE),IFERROR(VLOOKUP($B57,일위대가!$N$4:$T$63,3,FALSE),"")))</f>
        <v/>
      </c>
      <c r="F57" s="35" t="n"/>
      <c r="G57" s="23" t="n"/>
      <c r="H57" s="23" t="n"/>
      <c r="I57" s="23" t="n"/>
      <c r="J57" s="20">
        <f>IF($B57="","",N($G57)+N($H57)+N($I57))</f>
        <v/>
      </c>
      <c r="K57" s="20">
        <f>IF($B57="","",ROUND(N($F57)*N($J57),0))</f>
        <v/>
      </c>
      <c r="L57" s="19">
        <f>IF($B57="","",SUMIFS(수량산출서!$H$4:$H$253,수량산출서!$A$4:$A$253,"변경",수량산출서!$B$4:$B$253,$B57))</f>
        <v/>
      </c>
      <c r="M57" s="35" t="n"/>
      <c r="N57" s="19">
        <f>IF($B57="","",IF($M57&lt;&gt;"",$M57,N($L57)))</f>
        <v/>
      </c>
      <c r="O57" s="20">
        <f>IF($B57="","",IFERROR(VLOOKUP($B57,단가마스터!$A$4:$H$303,5,FALSE),IFERROR(VLOOKUP($B57,일위대가!$N$4:$T$63,4,FALSE),0)))</f>
        <v/>
      </c>
      <c r="P57" s="20">
        <f>IF($B57="","",IFERROR(VLOOKUP($B57,단가마스터!$A$4:$H$303,6,FALSE),IFERROR(VLOOKUP($B57,일위대가!$N$4:$T$63,5,FALSE),0)))</f>
        <v/>
      </c>
      <c r="Q57" s="20">
        <f>IF($B57="","",IFERROR(VLOOKUP($B57,단가마스터!$A$4:$H$303,7,FALSE),IFERROR(VLOOKUP($B57,일위대가!$N$4:$T$63,6,FALSE),0)))</f>
        <v/>
      </c>
      <c r="R57" s="20">
        <f>IF($B57="","",N($O57)+N($P57)+N($Q57))</f>
        <v/>
      </c>
      <c r="S57" s="20">
        <f>IF($B57="","",ROUND(N($N57)*N($R57),0))</f>
        <v/>
      </c>
      <c r="T57" s="19">
        <f>IF($B57="","",N($N57)-N($F57))</f>
        <v/>
      </c>
      <c r="U57" s="20">
        <f>IF($B57="","",N($S57)-N($K57))</f>
        <v/>
      </c>
      <c r="V57" s="30" t="n"/>
    </row>
    <row r="58">
      <c r="A58" s="30" t="n"/>
      <c r="B58" s="30" t="n"/>
      <c r="C58" s="18">
        <f>IF($B58="","",IFERROR(VLOOKUP($B58,단가마스터!$A$4:$H$303,2,FALSE),IFERROR(VLOOKUP($B58,일위대가!$N$4:$T$63,2,FALSE),"⚠️단가 없음")))</f>
        <v/>
      </c>
      <c r="D58" s="18">
        <f>IF($B58="","",IFERROR(VLOOKUP($B58,단가마스터!$A$4:$H$303,3,FALSE),""))</f>
        <v/>
      </c>
      <c r="E58" s="18">
        <f>IF($B58="","",IFERROR(VLOOKUP($B58,단가마스터!$A$4:$H$303,4,FALSE),IFERROR(VLOOKUP($B58,일위대가!$N$4:$T$63,3,FALSE),"")))</f>
        <v/>
      </c>
      <c r="F58" s="35" t="n"/>
      <c r="G58" s="23" t="n"/>
      <c r="H58" s="23" t="n"/>
      <c r="I58" s="23" t="n"/>
      <c r="J58" s="20">
        <f>IF($B58="","",N($G58)+N($H58)+N($I58))</f>
        <v/>
      </c>
      <c r="K58" s="20">
        <f>IF($B58="","",ROUND(N($F58)*N($J58),0))</f>
        <v/>
      </c>
      <c r="L58" s="19">
        <f>IF($B58="","",SUMIFS(수량산출서!$H$4:$H$253,수량산출서!$A$4:$A$253,"변경",수량산출서!$B$4:$B$253,$B58))</f>
        <v/>
      </c>
      <c r="M58" s="35" t="n"/>
      <c r="N58" s="19">
        <f>IF($B58="","",IF($M58&lt;&gt;"",$M58,N($L58)))</f>
        <v/>
      </c>
      <c r="O58" s="20">
        <f>IF($B58="","",IFERROR(VLOOKUP($B58,단가마스터!$A$4:$H$303,5,FALSE),IFERROR(VLOOKUP($B58,일위대가!$N$4:$T$63,4,FALSE),0)))</f>
        <v/>
      </c>
      <c r="P58" s="20">
        <f>IF($B58="","",IFERROR(VLOOKUP($B58,단가마스터!$A$4:$H$303,6,FALSE),IFERROR(VLOOKUP($B58,일위대가!$N$4:$T$63,5,FALSE),0)))</f>
        <v/>
      </c>
      <c r="Q58" s="20">
        <f>IF($B58="","",IFERROR(VLOOKUP($B58,단가마스터!$A$4:$H$303,7,FALSE),IFERROR(VLOOKUP($B58,일위대가!$N$4:$T$63,6,FALSE),0)))</f>
        <v/>
      </c>
      <c r="R58" s="20">
        <f>IF($B58="","",N($O58)+N($P58)+N($Q58))</f>
        <v/>
      </c>
      <c r="S58" s="20">
        <f>IF($B58="","",ROUND(N($N58)*N($R58),0))</f>
        <v/>
      </c>
      <c r="T58" s="19">
        <f>IF($B58="","",N($N58)-N($F58))</f>
        <v/>
      </c>
      <c r="U58" s="20">
        <f>IF($B58="","",N($S58)-N($K58))</f>
        <v/>
      </c>
      <c r="V58" s="30" t="n"/>
    </row>
    <row r="59">
      <c r="A59" s="30" t="n"/>
      <c r="B59" s="30" t="n"/>
      <c r="C59" s="18">
        <f>IF($B59="","",IFERROR(VLOOKUP($B59,단가마스터!$A$4:$H$303,2,FALSE),IFERROR(VLOOKUP($B59,일위대가!$N$4:$T$63,2,FALSE),"⚠️단가 없음")))</f>
        <v/>
      </c>
      <c r="D59" s="18">
        <f>IF($B59="","",IFERROR(VLOOKUP($B59,단가마스터!$A$4:$H$303,3,FALSE),""))</f>
        <v/>
      </c>
      <c r="E59" s="18">
        <f>IF($B59="","",IFERROR(VLOOKUP($B59,단가마스터!$A$4:$H$303,4,FALSE),IFERROR(VLOOKUP($B59,일위대가!$N$4:$T$63,3,FALSE),"")))</f>
        <v/>
      </c>
      <c r="F59" s="35" t="n"/>
      <c r="G59" s="23" t="n"/>
      <c r="H59" s="23" t="n"/>
      <c r="I59" s="23" t="n"/>
      <c r="J59" s="20">
        <f>IF($B59="","",N($G59)+N($H59)+N($I59))</f>
        <v/>
      </c>
      <c r="K59" s="20">
        <f>IF($B59="","",ROUND(N($F59)*N($J59),0))</f>
        <v/>
      </c>
      <c r="L59" s="19">
        <f>IF($B59="","",SUMIFS(수량산출서!$H$4:$H$253,수량산출서!$A$4:$A$253,"변경",수량산출서!$B$4:$B$253,$B59))</f>
        <v/>
      </c>
      <c r="M59" s="35" t="n"/>
      <c r="N59" s="19">
        <f>IF($B59="","",IF($M59&lt;&gt;"",$M59,N($L59)))</f>
        <v/>
      </c>
      <c r="O59" s="20">
        <f>IF($B59="","",IFERROR(VLOOKUP($B59,단가마스터!$A$4:$H$303,5,FALSE),IFERROR(VLOOKUP($B59,일위대가!$N$4:$T$63,4,FALSE),0)))</f>
        <v/>
      </c>
      <c r="P59" s="20">
        <f>IF($B59="","",IFERROR(VLOOKUP($B59,단가마스터!$A$4:$H$303,6,FALSE),IFERROR(VLOOKUP($B59,일위대가!$N$4:$T$63,5,FALSE),0)))</f>
        <v/>
      </c>
      <c r="Q59" s="20">
        <f>IF($B59="","",IFERROR(VLOOKUP($B59,단가마스터!$A$4:$H$303,7,FALSE),IFERROR(VLOOKUP($B59,일위대가!$N$4:$T$63,6,FALSE),0)))</f>
        <v/>
      </c>
      <c r="R59" s="20">
        <f>IF($B59="","",N($O59)+N($P59)+N($Q59))</f>
        <v/>
      </c>
      <c r="S59" s="20">
        <f>IF($B59="","",ROUND(N($N59)*N($R59),0))</f>
        <v/>
      </c>
      <c r="T59" s="19">
        <f>IF($B59="","",N($N59)-N($F59))</f>
        <v/>
      </c>
      <c r="U59" s="20">
        <f>IF($B59="","",N($S59)-N($K59))</f>
        <v/>
      </c>
      <c r="V59" s="30" t="n"/>
    </row>
    <row r="60">
      <c r="A60" s="30" t="n"/>
      <c r="B60" s="30" t="n"/>
      <c r="C60" s="18">
        <f>IF($B60="","",IFERROR(VLOOKUP($B60,단가마스터!$A$4:$H$303,2,FALSE),IFERROR(VLOOKUP($B60,일위대가!$N$4:$T$63,2,FALSE),"⚠️단가 없음")))</f>
        <v/>
      </c>
      <c r="D60" s="18">
        <f>IF($B60="","",IFERROR(VLOOKUP($B60,단가마스터!$A$4:$H$303,3,FALSE),""))</f>
        <v/>
      </c>
      <c r="E60" s="18">
        <f>IF($B60="","",IFERROR(VLOOKUP($B60,단가마스터!$A$4:$H$303,4,FALSE),IFERROR(VLOOKUP($B60,일위대가!$N$4:$T$63,3,FALSE),"")))</f>
        <v/>
      </c>
      <c r="F60" s="35" t="n"/>
      <c r="G60" s="23" t="n"/>
      <c r="H60" s="23" t="n"/>
      <c r="I60" s="23" t="n"/>
      <c r="J60" s="20">
        <f>IF($B60="","",N($G60)+N($H60)+N($I60))</f>
        <v/>
      </c>
      <c r="K60" s="20">
        <f>IF($B60="","",ROUND(N($F60)*N($J60),0))</f>
        <v/>
      </c>
      <c r="L60" s="19">
        <f>IF($B60="","",SUMIFS(수량산출서!$H$4:$H$253,수량산출서!$A$4:$A$253,"변경",수량산출서!$B$4:$B$253,$B60))</f>
        <v/>
      </c>
      <c r="M60" s="35" t="n"/>
      <c r="N60" s="19">
        <f>IF($B60="","",IF($M60&lt;&gt;"",$M60,N($L60)))</f>
        <v/>
      </c>
      <c r="O60" s="20">
        <f>IF($B60="","",IFERROR(VLOOKUP($B60,단가마스터!$A$4:$H$303,5,FALSE),IFERROR(VLOOKUP($B60,일위대가!$N$4:$T$63,4,FALSE),0)))</f>
        <v/>
      </c>
      <c r="P60" s="20">
        <f>IF($B60="","",IFERROR(VLOOKUP($B60,단가마스터!$A$4:$H$303,6,FALSE),IFERROR(VLOOKUP($B60,일위대가!$N$4:$T$63,5,FALSE),0)))</f>
        <v/>
      </c>
      <c r="Q60" s="20">
        <f>IF($B60="","",IFERROR(VLOOKUP($B60,단가마스터!$A$4:$H$303,7,FALSE),IFERROR(VLOOKUP($B60,일위대가!$N$4:$T$63,6,FALSE),0)))</f>
        <v/>
      </c>
      <c r="R60" s="20">
        <f>IF($B60="","",N($O60)+N($P60)+N($Q60))</f>
        <v/>
      </c>
      <c r="S60" s="20">
        <f>IF($B60="","",ROUND(N($N60)*N($R60),0))</f>
        <v/>
      </c>
      <c r="T60" s="19">
        <f>IF($B60="","",N($N60)-N($F60))</f>
        <v/>
      </c>
      <c r="U60" s="20">
        <f>IF($B60="","",N($S60)-N($K60))</f>
        <v/>
      </c>
      <c r="V60" s="30" t="n"/>
    </row>
    <row r="61">
      <c r="A61" s="30" t="n"/>
      <c r="B61" s="30" t="n"/>
      <c r="C61" s="18">
        <f>IF($B61="","",IFERROR(VLOOKUP($B61,단가마스터!$A$4:$H$303,2,FALSE),IFERROR(VLOOKUP($B61,일위대가!$N$4:$T$63,2,FALSE),"⚠️단가 없음")))</f>
        <v/>
      </c>
      <c r="D61" s="18">
        <f>IF($B61="","",IFERROR(VLOOKUP($B61,단가마스터!$A$4:$H$303,3,FALSE),""))</f>
        <v/>
      </c>
      <c r="E61" s="18">
        <f>IF($B61="","",IFERROR(VLOOKUP($B61,단가마스터!$A$4:$H$303,4,FALSE),IFERROR(VLOOKUP($B61,일위대가!$N$4:$T$63,3,FALSE),"")))</f>
        <v/>
      </c>
      <c r="F61" s="35" t="n"/>
      <c r="G61" s="23" t="n"/>
      <c r="H61" s="23" t="n"/>
      <c r="I61" s="23" t="n"/>
      <c r="J61" s="20">
        <f>IF($B61="","",N($G61)+N($H61)+N($I61))</f>
        <v/>
      </c>
      <c r="K61" s="20">
        <f>IF($B61="","",ROUND(N($F61)*N($J61),0))</f>
        <v/>
      </c>
      <c r="L61" s="19">
        <f>IF($B61="","",SUMIFS(수량산출서!$H$4:$H$253,수량산출서!$A$4:$A$253,"변경",수량산출서!$B$4:$B$253,$B61))</f>
        <v/>
      </c>
      <c r="M61" s="35" t="n"/>
      <c r="N61" s="19">
        <f>IF($B61="","",IF($M61&lt;&gt;"",$M61,N($L61)))</f>
        <v/>
      </c>
      <c r="O61" s="20">
        <f>IF($B61="","",IFERROR(VLOOKUP($B61,단가마스터!$A$4:$H$303,5,FALSE),IFERROR(VLOOKUP($B61,일위대가!$N$4:$T$63,4,FALSE),0)))</f>
        <v/>
      </c>
      <c r="P61" s="20">
        <f>IF($B61="","",IFERROR(VLOOKUP($B61,단가마스터!$A$4:$H$303,6,FALSE),IFERROR(VLOOKUP($B61,일위대가!$N$4:$T$63,5,FALSE),0)))</f>
        <v/>
      </c>
      <c r="Q61" s="20">
        <f>IF($B61="","",IFERROR(VLOOKUP($B61,단가마스터!$A$4:$H$303,7,FALSE),IFERROR(VLOOKUP($B61,일위대가!$N$4:$T$63,6,FALSE),0)))</f>
        <v/>
      </c>
      <c r="R61" s="20">
        <f>IF($B61="","",N($O61)+N($P61)+N($Q61))</f>
        <v/>
      </c>
      <c r="S61" s="20">
        <f>IF($B61="","",ROUND(N($N61)*N($R61),0))</f>
        <v/>
      </c>
      <c r="T61" s="19">
        <f>IF($B61="","",N($N61)-N($F61))</f>
        <v/>
      </c>
      <c r="U61" s="20">
        <f>IF($B61="","",N($S61)-N($K61))</f>
        <v/>
      </c>
      <c r="V61" s="30" t="n"/>
    </row>
    <row r="62">
      <c r="A62" s="30" t="n"/>
      <c r="B62" s="30" t="n"/>
      <c r="C62" s="18">
        <f>IF($B62="","",IFERROR(VLOOKUP($B62,단가마스터!$A$4:$H$303,2,FALSE),IFERROR(VLOOKUP($B62,일위대가!$N$4:$T$63,2,FALSE),"⚠️단가 없음")))</f>
        <v/>
      </c>
      <c r="D62" s="18">
        <f>IF($B62="","",IFERROR(VLOOKUP($B62,단가마스터!$A$4:$H$303,3,FALSE),""))</f>
        <v/>
      </c>
      <c r="E62" s="18">
        <f>IF($B62="","",IFERROR(VLOOKUP($B62,단가마스터!$A$4:$H$303,4,FALSE),IFERROR(VLOOKUP($B62,일위대가!$N$4:$T$63,3,FALSE),"")))</f>
        <v/>
      </c>
      <c r="F62" s="35" t="n"/>
      <c r="G62" s="23" t="n"/>
      <c r="H62" s="23" t="n"/>
      <c r="I62" s="23" t="n"/>
      <c r="J62" s="20">
        <f>IF($B62="","",N($G62)+N($H62)+N($I62))</f>
        <v/>
      </c>
      <c r="K62" s="20">
        <f>IF($B62="","",ROUND(N($F62)*N($J62),0))</f>
        <v/>
      </c>
      <c r="L62" s="19">
        <f>IF($B62="","",SUMIFS(수량산출서!$H$4:$H$253,수량산출서!$A$4:$A$253,"변경",수량산출서!$B$4:$B$253,$B62))</f>
        <v/>
      </c>
      <c r="M62" s="35" t="n"/>
      <c r="N62" s="19">
        <f>IF($B62="","",IF($M62&lt;&gt;"",$M62,N($L62)))</f>
        <v/>
      </c>
      <c r="O62" s="20">
        <f>IF($B62="","",IFERROR(VLOOKUP($B62,단가마스터!$A$4:$H$303,5,FALSE),IFERROR(VLOOKUP($B62,일위대가!$N$4:$T$63,4,FALSE),0)))</f>
        <v/>
      </c>
      <c r="P62" s="20">
        <f>IF($B62="","",IFERROR(VLOOKUP($B62,단가마스터!$A$4:$H$303,6,FALSE),IFERROR(VLOOKUP($B62,일위대가!$N$4:$T$63,5,FALSE),0)))</f>
        <v/>
      </c>
      <c r="Q62" s="20">
        <f>IF($B62="","",IFERROR(VLOOKUP($B62,단가마스터!$A$4:$H$303,7,FALSE),IFERROR(VLOOKUP($B62,일위대가!$N$4:$T$63,6,FALSE),0)))</f>
        <v/>
      </c>
      <c r="R62" s="20">
        <f>IF($B62="","",N($O62)+N($P62)+N($Q62))</f>
        <v/>
      </c>
      <c r="S62" s="20">
        <f>IF($B62="","",ROUND(N($N62)*N($R62),0))</f>
        <v/>
      </c>
      <c r="T62" s="19">
        <f>IF($B62="","",N($N62)-N($F62))</f>
        <v/>
      </c>
      <c r="U62" s="20">
        <f>IF($B62="","",N($S62)-N($K62))</f>
        <v/>
      </c>
      <c r="V62" s="30" t="n"/>
    </row>
    <row r="63">
      <c r="A63" s="30" t="n"/>
      <c r="B63" s="30" t="n"/>
      <c r="C63" s="18">
        <f>IF($B63="","",IFERROR(VLOOKUP($B63,단가마스터!$A$4:$H$303,2,FALSE),IFERROR(VLOOKUP($B63,일위대가!$N$4:$T$63,2,FALSE),"⚠️단가 없음")))</f>
        <v/>
      </c>
      <c r="D63" s="18">
        <f>IF($B63="","",IFERROR(VLOOKUP($B63,단가마스터!$A$4:$H$303,3,FALSE),""))</f>
        <v/>
      </c>
      <c r="E63" s="18">
        <f>IF($B63="","",IFERROR(VLOOKUP($B63,단가마스터!$A$4:$H$303,4,FALSE),IFERROR(VLOOKUP($B63,일위대가!$N$4:$T$63,3,FALSE),"")))</f>
        <v/>
      </c>
      <c r="F63" s="35" t="n"/>
      <c r="G63" s="23" t="n"/>
      <c r="H63" s="23" t="n"/>
      <c r="I63" s="23" t="n"/>
      <c r="J63" s="20">
        <f>IF($B63="","",N($G63)+N($H63)+N($I63))</f>
        <v/>
      </c>
      <c r="K63" s="20">
        <f>IF($B63="","",ROUND(N($F63)*N($J63),0))</f>
        <v/>
      </c>
      <c r="L63" s="19">
        <f>IF($B63="","",SUMIFS(수량산출서!$H$4:$H$253,수량산출서!$A$4:$A$253,"변경",수량산출서!$B$4:$B$253,$B63))</f>
        <v/>
      </c>
      <c r="M63" s="35" t="n"/>
      <c r="N63" s="19">
        <f>IF($B63="","",IF($M63&lt;&gt;"",$M63,N($L63)))</f>
        <v/>
      </c>
      <c r="O63" s="20">
        <f>IF($B63="","",IFERROR(VLOOKUP($B63,단가마스터!$A$4:$H$303,5,FALSE),IFERROR(VLOOKUP($B63,일위대가!$N$4:$T$63,4,FALSE),0)))</f>
        <v/>
      </c>
      <c r="P63" s="20">
        <f>IF($B63="","",IFERROR(VLOOKUP($B63,단가마스터!$A$4:$H$303,6,FALSE),IFERROR(VLOOKUP($B63,일위대가!$N$4:$T$63,5,FALSE),0)))</f>
        <v/>
      </c>
      <c r="Q63" s="20">
        <f>IF($B63="","",IFERROR(VLOOKUP($B63,단가마스터!$A$4:$H$303,7,FALSE),IFERROR(VLOOKUP($B63,일위대가!$N$4:$T$63,6,FALSE),0)))</f>
        <v/>
      </c>
      <c r="R63" s="20">
        <f>IF($B63="","",N($O63)+N($P63)+N($Q63))</f>
        <v/>
      </c>
      <c r="S63" s="20">
        <f>IF($B63="","",ROUND(N($N63)*N($R63),0))</f>
        <v/>
      </c>
      <c r="T63" s="19">
        <f>IF($B63="","",N($N63)-N($F63))</f>
        <v/>
      </c>
      <c r="U63" s="20">
        <f>IF($B63="","",N($S63)-N($K63))</f>
        <v/>
      </c>
      <c r="V63" s="30" t="n"/>
    </row>
    <row r="64">
      <c r="A64" s="30" t="n"/>
      <c r="B64" s="30" t="n"/>
      <c r="C64" s="18">
        <f>IF($B64="","",IFERROR(VLOOKUP($B64,단가마스터!$A$4:$H$303,2,FALSE),IFERROR(VLOOKUP($B64,일위대가!$N$4:$T$63,2,FALSE),"⚠️단가 없음")))</f>
        <v/>
      </c>
      <c r="D64" s="18">
        <f>IF($B64="","",IFERROR(VLOOKUP($B64,단가마스터!$A$4:$H$303,3,FALSE),""))</f>
        <v/>
      </c>
      <c r="E64" s="18">
        <f>IF($B64="","",IFERROR(VLOOKUP($B64,단가마스터!$A$4:$H$303,4,FALSE),IFERROR(VLOOKUP($B64,일위대가!$N$4:$T$63,3,FALSE),"")))</f>
        <v/>
      </c>
      <c r="F64" s="35" t="n"/>
      <c r="G64" s="23" t="n"/>
      <c r="H64" s="23" t="n"/>
      <c r="I64" s="23" t="n"/>
      <c r="J64" s="20">
        <f>IF($B64="","",N($G64)+N($H64)+N($I64))</f>
        <v/>
      </c>
      <c r="K64" s="20">
        <f>IF($B64="","",ROUND(N($F64)*N($J64),0))</f>
        <v/>
      </c>
      <c r="L64" s="19">
        <f>IF($B64="","",SUMIFS(수량산출서!$H$4:$H$253,수량산출서!$A$4:$A$253,"변경",수량산출서!$B$4:$B$253,$B64))</f>
        <v/>
      </c>
      <c r="M64" s="35" t="n"/>
      <c r="N64" s="19">
        <f>IF($B64="","",IF($M64&lt;&gt;"",$M64,N($L64)))</f>
        <v/>
      </c>
      <c r="O64" s="20">
        <f>IF($B64="","",IFERROR(VLOOKUP($B64,단가마스터!$A$4:$H$303,5,FALSE),IFERROR(VLOOKUP($B64,일위대가!$N$4:$T$63,4,FALSE),0)))</f>
        <v/>
      </c>
      <c r="P64" s="20">
        <f>IF($B64="","",IFERROR(VLOOKUP($B64,단가마스터!$A$4:$H$303,6,FALSE),IFERROR(VLOOKUP($B64,일위대가!$N$4:$T$63,5,FALSE),0)))</f>
        <v/>
      </c>
      <c r="Q64" s="20">
        <f>IF($B64="","",IFERROR(VLOOKUP($B64,단가마스터!$A$4:$H$303,7,FALSE),IFERROR(VLOOKUP($B64,일위대가!$N$4:$T$63,6,FALSE),0)))</f>
        <v/>
      </c>
      <c r="R64" s="20">
        <f>IF($B64="","",N($O64)+N($P64)+N($Q64))</f>
        <v/>
      </c>
      <c r="S64" s="20">
        <f>IF($B64="","",ROUND(N($N64)*N($R64),0))</f>
        <v/>
      </c>
      <c r="T64" s="19">
        <f>IF($B64="","",N($N64)-N($F64))</f>
        <v/>
      </c>
      <c r="U64" s="20">
        <f>IF($B64="","",N($S64)-N($K64))</f>
        <v/>
      </c>
      <c r="V64" s="30" t="n"/>
    </row>
    <row r="65">
      <c r="A65" s="30" t="n"/>
      <c r="B65" s="30" t="n"/>
      <c r="C65" s="18">
        <f>IF($B65="","",IFERROR(VLOOKUP($B65,단가마스터!$A$4:$H$303,2,FALSE),IFERROR(VLOOKUP($B65,일위대가!$N$4:$T$63,2,FALSE),"⚠️단가 없음")))</f>
        <v/>
      </c>
      <c r="D65" s="18">
        <f>IF($B65="","",IFERROR(VLOOKUP($B65,단가마스터!$A$4:$H$303,3,FALSE),""))</f>
        <v/>
      </c>
      <c r="E65" s="18">
        <f>IF($B65="","",IFERROR(VLOOKUP($B65,단가마스터!$A$4:$H$303,4,FALSE),IFERROR(VLOOKUP($B65,일위대가!$N$4:$T$63,3,FALSE),"")))</f>
        <v/>
      </c>
      <c r="F65" s="35" t="n"/>
      <c r="G65" s="23" t="n"/>
      <c r="H65" s="23" t="n"/>
      <c r="I65" s="23" t="n"/>
      <c r="J65" s="20">
        <f>IF($B65="","",N($G65)+N($H65)+N($I65))</f>
        <v/>
      </c>
      <c r="K65" s="20">
        <f>IF($B65="","",ROUND(N($F65)*N($J65),0))</f>
        <v/>
      </c>
      <c r="L65" s="19">
        <f>IF($B65="","",SUMIFS(수량산출서!$H$4:$H$253,수량산출서!$A$4:$A$253,"변경",수량산출서!$B$4:$B$253,$B65))</f>
        <v/>
      </c>
      <c r="M65" s="35" t="n"/>
      <c r="N65" s="19">
        <f>IF($B65="","",IF($M65&lt;&gt;"",$M65,N($L65)))</f>
        <v/>
      </c>
      <c r="O65" s="20">
        <f>IF($B65="","",IFERROR(VLOOKUP($B65,단가마스터!$A$4:$H$303,5,FALSE),IFERROR(VLOOKUP($B65,일위대가!$N$4:$T$63,4,FALSE),0)))</f>
        <v/>
      </c>
      <c r="P65" s="20">
        <f>IF($B65="","",IFERROR(VLOOKUP($B65,단가마스터!$A$4:$H$303,6,FALSE),IFERROR(VLOOKUP($B65,일위대가!$N$4:$T$63,5,FALSE),0)))</f>
        <v/>
      </c>
      <c r="Q65" s="20">
        <f>IF($B65="","",IFERROR(VLOOKUP($B65,단가마스터!$A$4:$H$303,7,FALSE),IFERROR(VLOOKUP($B65,일위대가!$N$4:$T$63,6,FALSE),0)))</f>
        <v/>
      </c>
      <c r="R65" s="20">
        <f>IF($B65="","",N($O65)+N($P65)+N($Q65))</f>
        <v/>
      </c>
      <c r="S65" s="20">
        <f>IF($B65="","",ROUND(N($N65)*N($R65),0))</f>
        <v/>
      </c>
      <c r="T65" s="19">
        <f>IF($B65="","",N($N65)-N($F65))</f>
        <v/>
      </c>
      <c r="U65" s="20">
        <f>IF($B65="","",N($S65)-N($K65))</f>
        <v/>
      </c>
      <c r="V65" s="30" t="n"/>
    </row>
    <row r="66">
      <c r="A66" s="30" t="n"/>
      <c r="B66" s="30" t="n"/>
      <c r="C66" s="18">
        <f>IF($B66="","",IFERROR(VLOOKUP($B66,단가마스터!$A$4:$H$303,2,FALSE),IFERROR(VLOOKUP($B66,일위대가!$N$4:$T$63,2,FALSE),"⚠️단가 없음")))</f>
        <v/>
      </c>
      <c r="D66" s="18">
        <f>IF($B66="","",IFERROR(VLOOKUP($B66,단가마스터!$A$4:$H$303,3,FALSE),""))</f>
        <v/>
      </c>
      <c r="E66" s="18">
        <f>IF($B66="","",IFERROR(VLOOKUP($B66,단가마스터!$A$4:$H$303,4,FALSE),IFERROR(VLOOKUP($B66,일위대가!$N$4:$T$63,3,FALSE),"")))</f>
        <v/>
      </c>
      <c r="F66" s="35" t="n"/>
      <c r="G66" s="23" t="n"/>
      <c r="H66" s="23" t="n"/>
      <c r="I66" s="23" t="n"/>
      <c r="J66" s="20">
        <f>IF($B66="","",N($G66)+N($H66)+N($I66))</f>
        <v/>
      </c>
      <c r="K66" s="20">
        <f>IF($B66="","",ROUND(N($F66)*N($J66),0))</f>
        <v/>
      </c>
      <c r="L66" s="19">
        <f>IF($B66="","",SUMIFS(수량산출서!$H$4:$H$253,수량산출서!$A$4:$A$253,"변경",수량산출서!$B$4:$B$253,$B66))</f>
        <v/>
      </c>
      <c r="M66" s="35" t="n"/>
      <c r="N66" s="19">
        <f>IF($B66="","",IF($M66&lt;&gt;"",$M66,N($L66)))</f>
        <v/>
      </c>
      <c r="O66" s="20">
        <f>IF($B66="","",IFERROR(VLOOKUP($B66,단가마스터!$A$4:$H$303,5,FALSE),IFERROR(VLOOKUP($B66,일위대가!$N$4:$T$63,4,FALSE),0)))</f>
        <v/>
      </c>
      <c r="P66" s="20">
        <f>IF($B66="","",IFERROR(VLOOKUP($B66,단가마스터!$A$4:$H$303,6,FALSE),IFERROR(VLOOKUP($B66,일위대가!$N$4:$T$63,5,FALSE),0)))</f>
        <v/>
      </c>
      <c r="Q66" s="20">
        <f>IF($B66="","",IFERROR(VLOOKUP($B66,단가마스터!$A$4:$H$303,7,FALSE),IFERROR(VLOOKUP($B66,일위대가!$N$4:$T$63,6,FALSE),0)))</f>
        <v/>
      </c>
      <c r="R66" s="20">
        <f>IF($B66="","",N($O66)+N($P66)+N($Q66))</f>
        <v/>
      </c>
      <c r="S66" s="20">
        <f>IF($B66="","",ROUND(N($N66)*N($R66),0))</f>
        <v/>
      </c>
      <c r="T66" s="19">
        <f>IF($B66="","",N($N66)-N($F66))</f>
        <v/>
      </c>
      <c r="U66" s="20">
        <f>IF($B66="","",N($S66)-N($K66))</f>
        <v/>
      </c>
      <c r="V66" s="30" t="n"/>
    </row>
    <row r="67">
      <c r="A67" s="30" t="n"/>
      <c r="B67" s="30" t="n"/>
      <c r="C67" s="18">
        <f>IF($B67="","",IFERROR(VLOOKUP($B67,단가마스터!$A$4:$H$303,2,FALSE),IFERROR(VLOOKUP($B67,일위대가!$N$4:$T$63,2,FALSE),"⚠️단가 없음")))</f>
        <v/>
      </c>
      <c r="D67" s="18">
        <f>IF($B67="","",IFERROR(VLOOKUP($B67,단가마스터!$A$4:$H$303,3,FALSE),""))</f>
        <v/>
      </c>
      <c r="E67" s="18">
        <f>IF($B67="","",IFERROR(VLOOKUP($B67,단가마스터!$A$4:$H$303,4,FALSE),IFERROR(VLOOKUP($B67,일위대가!$N$4:$T$63,3,FALSE),"")))</f>
        <v/>
      </c>
      <c r="F67" s="35" t="n"/>
      <c r="G67" s="23" t="n"/>
      <c r="H67" s="23" t="n"/>
      <c r="I67" s="23" t="n"/>
      <c r="J67" s="20">
        <f>IF($B67="","",N($G67)+N($H67)+N($I67))</f>
        <v/>
      </c>
      <c r="K67" s="20">
        <f>IF($B67="","",ROUND(N($F67)*N($J67),0))</f>
        <v/>
      </c>
      <c r="L67" s="19">
        <f>IF($B67="","",SUMIFS(수량산출서!$H$4:$H$253,수량산출서!$A$4:$A$253,"변경",수량산출서!$B$4:$B$253,$B67))</f>
        <v/>
      </c>
      <c r="M67" s="35" t="n"/>
      <c r="N67" s="19">
        <f>IF($B67="","",IF($M67&lt;&gt;"",$M67,N($L67)))</f>
        <v/>
      </c>
      <c r="O67" s="20">
        <f>IF($B67="","",IFERROR(VLOOKUP($B67,단가마스터!$A$4:$H$303,5,FALSE),IFERROR(VLOOKUP($B67,일위대가!$N$4:$T$63,4,FALSE),0)))</f>
        <v/>
      </c>
      <c r="P67" s="20">
        <f>IF($B67="","",IFERROR(VLOOKUP($B67,단가마스터!$A$4:$H$303,6,FALSE),IFERROR(VLOOKUP($B67,일위대가!$N$4:$T$63,5,FALSE),0)))</f>
        <v/>
      </c>
      <c r="Q67" s="20">
        <f>IF($B67="","",IFERROR(VLOOKUP($B67,단가마스터!$A$4:$H$303,7,FALSE),IFERROR(VLOOKUP($B67,일위대가!$N$4:$T$63,6,FALSE),0)))</f>
        <v/>
      </c>
      <c r="R67" s="20">
        <f>IF($B67="","",N($O67)+N($P67)+N($Q67))</f>
        <v/>
      </c>
      <c r="S67" s="20">
        <f>IF($B67="","",ROUND(N($N67)*N($R67),0))</f>
        <v/>
      </c>
      <c r="T67" s="19">
        <f>IF($B67="","",N($N67)-N($F67))</f>
        <v/>
      </c>
      <c r="U67" s="20">
        <f>IF($B67="","",N($S67)-N($K67))</f>
        <v/>
      </c>
      <c r="V67" s="30" t="n"/>
    </row>
    <row r="68">
      <c r="A68" s="30" t="n"/>
      <c r="B68" s="30" t="n"/>
      <c r="C68" s="18">
        <f>IF($B68="","",IFERROR(VLOOKUP($B68,단가마스터!$A$4:$H$303,2,FALSE),IFERROR(VLOOKUP($B68,일위대가!$N$4:$T$63,2,FALSE),"⚠️단가 없음")))</f>
        <v/>
      </c>
      <c r="D68" s="18">
        <f>IF($B68="","",IFERROR(VLOOKUP($B68,단가마스터!$A$4:$H$303,3,FALSE),""))</f>
        <v/>
      </c>
      <c r="E68" s="18">
        <f>IF($B68="","",IFERROR(VLOOKUP($B68,단가마스터!$A$4:$H$303,4,FALSE),IFERROR(VLOOKUP($B68,일위대가!$N$4:$T$63,3,FALSE),"")))</f>
        <v/>
      </c>
      <c r="F68" s="35" t="n"/>
      <c r="G68" s="23" t="n"/>
      <c r="H68" s="23" t="n"/>
      <c r="I68" s="23" t="n"/>
      <c r="J68" s="20">
        <f>IF($B68="","",N($G68)+N($H68)+N($I68))</f>
        <v/>
      </c>
      <c r="K68" s="20">
        <f>IF($B68="","",ROUND(N($F68)*N($J68),0))</f>
        <v/>
      </c>
      <c r="L68" s="19">
        <f>IF($B68="","",SUMIFS(수량산출서!$H$4:$H$253,수량산출서!$A$4:$A$253,"변경",수량산출서!$B$4:$B$253,$B68))</f>
        <v/>
      </c>
      <c r="M68" s="35" t="n"/>
      <c r="N68" s="19">
        <f>IF($B68="","",IF($M68&lt;&gt;"",$M68,N($L68)))</f>
        <v/>
      </c>
      <c r="O68" s="20">
        <f>IF($B68="","",IFERROR(VLOOKUP($B68,단가마스터!$A$4:$H$303,5,FALSE),IFERROR(VLOOKUP($B68,일위대가!$N$4:$T$63,4,FALSE),0)))</f>
        <v/>
      </c>
      <c r="P68" s="20">
        <f>IF($B68="","",IFERROR(VLOOKUP($B68,단가마스터!$A$4:$H$303,6,FALSE),IFERROR(VLOOKUP($B68,일위대가!$N$4:$T$63,5,FALSE),0)))</f>
        <v/>
      </c>
      <c r="Q68" s="20">
        <f>IF($B68="","",IFERROR(VLOOKUP($B68,단가마스터!$A$4:$H$303,7,FALSE),IFERROR(VLOOKUP($B68,일위대가!$N$4:$T$63,6,FALSE),0)))</f>
        <v/>
      </c>
      <c r="R68" s="20">
        <f>IF($B68="","",N($O68)+N($P68)+N($Q68))</f>
        <v/>
      </c>
      <c r="S68" s="20">
        <f>IF($B68="","",ROUND(N($N68)*N($R68),0))</f>
        <v/>
      </c>
      <c r="T68" s="19">
        <f>IF($B68="","",N($N68)-N($F68))</f>
        <v/>
      </c>
      <c r="U68" s="20">
        <f>IF($B68="","",N($S68)-N($K68))</f>
        <v/>
      </c>
      <c r="V68" s="30" t="n"/>
    </row>
    <row r="69">
      <c r="A69" s="30" t="n"/>
      <c r="B69" s="30" t="n"/>
      <c r="C69" s="18">
        <f>IF($B69="","",IFERROR(VLOOKUP($B69,단가마스터!$A$4:$H$303,2,FALSE),IFERROR(VLOOKUP($B69,일위대가!$N$4:$T$63,2,FALSE),"⚠️단가 없음")))</f>
        <v/>
      </c>
      <c r="D69" s="18">
        <f>IF($B69="","",IFERROR(VLOOKUP($B69,단가마스터!$A$4:$H$303,3,FALSE),""))</f>
        <v/>
      </c>
      <c r="E69" s="18">
        <f>IF($B69="","",IFERROR(VLOOKUP($B69,단가마스터!$A$4:$H$303,4,FALSE),IFERROR(VLOOKUP($B69,일위대가!$N$4:$T$63,3,FALSE),"")))</f>
        <v/>
      </c>
      <c r="F69" s="35" t="n"/>
      <c r="G69" s="23" t="n"/>
      <c r="H69" s="23" t="n"/>
      <c r="I69" s="23" t="n"/>
      <c r="J69" s="20">
        <f>IF($B69="","",N($G69)+N($H69)+N($I69))</f>
        <v/>
      </c>
      <c r="K69" s="20">
        <f>IF($B69="","",ROUND(N($F69)*N($J69),0))</f>
        <v/>
      </c>
      <c r="L69" s="19">
        <f>IF($B69="","",SUMIFS(수량산출서!$H$4:$H$253,수량산출서!$A$4:$A$253,"변경",수량산출서!$B$4:$B$253,$B69))</f>
        <v/>
      </c>
      <c r="M69" s="35" t="n"/>
      <c r="N69" s="19">
        <f>IF($B69="","",IF($M69&lt;&gt;"",$M69,N($L69)))</f>
        <v/>
      </c>
      <c r="O69" s="20">
        <f>IF($B69="","",IFERROR(VLOOKUP($B69,단가마스터!$A$4:$H$303,5,FALSE),IFERROR(VLOOKUP($B69,일위대가!$N$4:$T$63,4,FALSE),0)))</f>
        <v/>
      </c>
      <c r="P69" s="20">
        <f>IF($B69="","",IFERROR(VLOOKUP($B69,단가마스터!$A$4:$H$303,6,FALSE),IFERROR(VLOOKUP($B69,일위대가!$N$4:$T$63,5,FALSE),0)))</f>
        <v/>
      </c>
      <c r="Q69" s="20">
        <f>IF($B69="","",IFERROR(VLOOKUP($B69,단가마스터!$A$4:$H$303,7,FALSE),IFERROR(VLOOKUP($B69,일위대가!$N$4:$T$63,6,FALSE),0)))</f>
        <v/>
      </c>
      <c r="R69" s="20">
        <f>IF($B69="","",N($O69)+N($P69)+N($Q69))</f>
        <v/>
      </c>
      <c r="S69" s="20">
        <f>IF($B69="","",ROUND(N($N69)*N($R69),0))</f>
        <v/>
      </c>
      <c r="T69" s="19">
        <f>IF($B69="","",N($N69)-N($F69))</f>
        <v/>
      </c>
      <c r="U69" s="20">
        <f>IF($B69="","",N($S69)-N($K69))</f>
        <v/>
      </c>
      <c r="V69" s="30" t="n"/>
    </row>
    <row r="70">
      <c r="A70" s="30" t="n"/>
      <c r="B70" s="30" t="n"/>
      <c r="C70" s="18">
        <f>IF($B70="","",IFERROR(VLOOKUP($B70,단가마스터!$A$4:$H$303,2,FALSE),IFERROR(VLOOKUP($B70,일위대가!$N$4:$T$63,2,FALSE),"⚠️단가 없음")))</f>
        <v/>
      </c>
      <c r="D70" s="18">
        <f>IF($B70="","",IFERROR(VLOOKUP($B70,단가마스터!$A$4:$H$303,3,FALSE),""))</f>
        <v/>
      </c>
      <c r="E70" s="18">
        <f>IF($B70="","",IFERROR(VLOOKUP($B70,단가마스터!$A$4:$H$303,4,FALSE),IFERROR(VLOOKUP($B70,일위대가!$N$4:$T$63,3,FALSE),"")))</f>
        <v/>
      </c>
      <c r="F70" s="35" t="n"/>
      <c r="G70" s="23" t="n"/>
      <c r="H70" s="23" t="n"/>
      <c r="I70" s="23" t="n"/>
      <c r="J70" s="20">
        <f>IF($B70="","",N($G70)+N($H70)+N($I70))</f>
        <v/>
      </c>
      <c r="K70" s="20">
        <f>IF($B70="","",ROUND(N($F70)*N($J70),0))</f>
        <v/>
      </c>
      <c r="L70" s="19">
        <f>IF($B70="","",SUMIFS(수량산출서!$H$4:$H$253,수량산출서!$A$4:$A$253,"변경",수량산출서!$B$4:$B$253,$B70))</f>
        <v/>
      </c>
      <c r="M70" s="35" t="n"/>
      <c r="N70" s="19">
        <f>IF($B70="","",IF($M70&lt;&gt;"",$M70,N($L70)))</f>
        <v/>
      </c>
      <c r="O70" s="20">
        <f>IF($B70="","",IFERROR(VLOOKUP($B70,단가마스터!$A$4:$H$303,5,FALSE),IFERROR(VLOOKUP($B70,일위대가!$N$4:$T$63,4,FALSE),0)))</f>
        <v/>
      </c>
      <c r="P70" s="20">
        <f>IF($B70="","",IFERROR(VLOOKUP($B70,단가마스터!$A$4:$H$303,6,FALSE),IFERROR(VLOOKUP($B70,일위대가!$N$4:$T$63,5,FALSE),0)))</f>
        <v/>
      </c>
      <c r="Q70" s="20">
        <f>IF($B70="","",IFERROR(VLOOKUP($B70,단가마스터!$A$4:$H$303,7,FALSE),IFERROR(VLOOKUP($B70,일위대가!$N$4:$T$63,6,FALSE),0)))</f>
        <v/>
      </c>
      <c r="R70" s="20">
        <f>IF($B70="","",N($O70)+N($P70)+N($Q70))</f>
        <v/>
      </c>
      <c r="S70" s="20">
        <f>IF($B70="","",ROUND(N($N70)*N($R70),0))</f>
        <v/>
      </c>
      <c r="T70" s="19">
        <f>IF($B70="","",N($N70)-N($F70))</f>
        <v/>
      </c>
      <c r="U70" s="20">
        <f>IF($B70="","",N($S70)-N($K70))</f>
        <v/>
      </c>
      <c r="V70" s="30" t="n"/>
    </row>
    <row r="71">
      <c r="A71" s="30" t="n"/>
      <c r="B71" s="30" t="n"/>
      <c r="C71" s="18">
        <f>IF($B71="","",IFERROR(VLOOKUP($B71,단가마스터!$A$4:$H$303,2,FALSE),IFERROR(VLOOKUP($B71,일위대가!$N$4:$T$63,2,FALSE),"⚠️단가 없음")))</f>
        <v/>
      </c>
      <c r="D71" s="18">
        <f>IF($B71="","",IFERROR(VLOOKUP($B71,단가마스터!$A$4:$H$303,3,FALSE),""))</f>
        <v/>
      </c>
      <c r="E71" s="18">
        <f>IF($B71="","",IFERROR(VLOOKUP($B71,단가마스터!$A$4:$H$303,4,FALSE),IFERROR(VLOOKUP($B71,일위대가!$N$4:$T$63,3,FALSE),"")))</f>
        <v/>
      </c>
      <c r="F71" s="35" t="n"/>
      <c r="G71" s="23" t="n"/>
      <c r="H71" s="23" t="n"/>
      <c r="I71" s="23" t="n"/>
      <c r="J71" s="20">
        <f>IF($B71="","",N($G71)+N($H71)+N($I71))</f>
        <v/>
      </c>
      <c r="K71" s="20">
        <f>IF($B71="","",ROUND(N($F71)*N($J71),0))</f>
        <v/>
      </c>
      <c r="L71" s="19">
        <f>IF($B71="","",SUMIFS(수량산출서!$H$4:$H$253,수량산출서!$A$4:$A$253,"변경",수량산출서!$B$4:$B$253,$B71))</f>
        <v/>
      </c>
      <c r="M71" s="35" t="n"/>
      <c r="N71" s="19">
        <f>IF($B71="","",IF($M71&lt;&gt;"",$M71,N($L71)))</f>
        <v/>
      </c>
      <c r="O71" s="20">
        <f>IF($B71="","",IFERROR(VLOOKUP($B71,단가마스터!$A$4:$H$303,5,FALSE),IFERROR(VLOOKUP($B71,일위대가!$N$4:$T$63,4,FALSE),0)))</f>
        <v/>
      </c>
      <c r="P71" s="20">
        <f>IF($B71="","",IFERROR(VLOOKUP($B71,단가마스터!$A$4:$H$303,6,FALSE),IFERROR(VLOOKUP($B71,일위대가!$N$4:$T$63,5,FALSE),0)))</f>
        <v/>
      </c>
      <c r="Q71" s="20">
        <f>IF($B71="","",IFERROR(VLOOKUP($B71,단가마스터!$A$4:$H$303,7,FALSE),IFERROR(VLOOKUP($B71,일위대가!$N$4:$T$63,6,FALSE),0)))</f>
        <v/>
      </c>
      <c r="R71" s="20">
        <f>IF($B71="","",N($O71)+N($P71)+N($Q71))</f>
        <v/>
      </c>
      <c r="S71" s="20">
        <f>IF($B71="","",ROUND(N($N71)*N($R71),0))</f>
        <v/>
      </c>
      <c r="T71" s="19">
        <f>IF($B71="","",N($N71)-N($F71))</f>
        <v/>
      </c>
      <c r="U71" s="20">
        <f>IF($B71="","",N($S71)-N($K71))</f>
        <v/>
      </c>
      <c r="V71" s="30" t="n"/>
    </row>
    <row r="72">
      <c r="A72" s="30" t="n"/>
      <c r="B72" s="30" t="n"/>
      <c r="C72" s="18">
        <f>IF($B72="","",IFERROR(VLOOKUP($B72,단가마스터!$A$4:$H$303,2,FALSE),IFERROR(VLOOKUP($B72,일위대가!$N$4:$T$63,2,FALSE),"⚠️단가 없음")))</f>
        <v/>
      </c>
      <c r="D72" s="18">
        <f>IF($B72="","",IFERROR(VLOOKUP($B72,단가마스터!$A$4:$H$303,3,FALSE),""))</f>
        <v/>
      </c>
      <c r="E72" s="18">
        <f>IF($B72="","",IFERROR(VLOOKUP($B72,단가마스터!$A$4:$H$303,4,FALSE),IFERROR(VLOOKUP($B72,일위대가!$N$4:$T$63,3,FALSE),"")))</f>
        <v/>
      </c>
      <c r="F72" s="35" t="n"/>
      <c r="G72" s="23" t="n"/>
      <c r="H72" s="23" t="n"/>
      <c r="I72" s="23" t="n"/>
      <c r="J72" s="20">
        <f>IF($B72="","",N($G72)+N($H72)+N($I72))</f>
        <v/>
      </c>
      <c r="K72" s="20">
        <f>IF($B72="","",ROUND(N($F72)*N($J72),0))</f>
        <v/>
      </c>
      <c r="L72" s="19">
        <f>IF($B72="","",SUMIFS(수량산출서!$H$4:$H$253,수량산출서!$A$4:$A$253,"변경",수량산출서!$B$4:$B$253,$B72))</f>
        <v/>
      </c>
      <c r="M72" s="35" t="n"/>
      <c r="N72" s="19">
        <f>IF($B72="","",IF($M72&lt;&gt;"",$M72,N($L72)))</f>
        <v/>
      </c>
      <c r="O72" s="20">
        <f>IF($B72="","",IFERROR(VLOOKUP($B72,단가마스터!$A$4:$H$303,5,FALSE),IFERROR(VLOOKUP($B72,일위대가!$N$4:$T$63,4,FALSE),0)))</f>
        <v/>
      </c>
      <c r="P72" s="20">
        <f>IF($B72="","",IFERROR(VLOOKUP($B72,단가마스터!$A$4:$H$303,6,FALSE),IFERROR(VLOOKUP($B72,일위대가!$N$4:$T$63,5,FALSE),0)))</f>
        <v/>
      </c>
      <c r="Q72" s="20">
        <f>IF($B72="","",IFERROR(VLOOKUP($B72,단가마스터!$A$4:$H$303,7,FALSE),IFERROR(VLOOKUP($B72,일위대가!$N$4:$T$63,6,FALSE),0)))</f>
        <v/>
      </c>
      <c r="R72" s="20">
        <f>IF($B72="","",N($O72)+N($P72)+N($Q72))</f>
        <v/>
      </c>
      <c r="S72" s="20">
        <f>IF($B72="","",ROUND(N($N72)*N($R72),0))</f>
        <v/>
      </c>
      <c r="T72" s="19">
        <f>IF($B72="","",N($N72)-N($F72))</f>
        <v/>
      </c>
      <c r="U72" s="20">
        <f>IF($B72="","",N($S72)-N($K72))</f>
        <v/>
      </c>
      <c r="V72" s="30" t="n"/>
    </row>
    <row r="73">
      <c r="A73" s="30" t="n"/>
      <c r="B73" s="30" t="n"/>
      <c r="C73" s="18">
        <f>IF($B73="","",IFERROR(VLOOKUP($B73,단가마스터!$A$4:$H$303,2,FALSE),IFERROR(VLOOKUP($B73,일위대가!$N$4:$T$63,2,FALSE),"⚠️단가 없음")))</f>
        <v/>
      </c>
      <c r="D73" s="18">
        <f>IF($B73="","",IFERROR(VLOOKUP($B73,단가마스터!$A$4:$H$303,3,FALSE),""))</f>
        <v/>
      </c>
      <c r="E73" s="18">
        <f>IF($B73="","",IFERROR(VLOOKUP($B73,단가마스터!$A$4:$H$303,4,FALSE),IFERROR(VLOOKUP($B73,일위대가!$N$4:$T$63,3,FALSE),"")))</f>
        <v/>
      </c>
      <c r="F73" s="35" t="n"/>
      <c r="G73" s="23" t="n"/>
      <c r="H73" s="23" t="n"/>
      <c r="I73" s="23" t="n"/>
      <c r="J73" s="20">
        <f>IF($B73="","",N($G73)+N($H73)+N($I73))</f>
        <v/>
      </c>
      <c r="K73" s="20">
        <f>IF($B73="","",ROUND(N($F73)*N($J73),0))</f>
        <v/>
      </c>
      <c r="L73" s="19">
        <f>IF($B73="","",SUMIFS(수량산출서!$H$4:$H$253,수량산출서!$A$4:$A$253,"변경",수량산출서!$B$4:$B$253,$B73))</f>
        <v/>
      </c>
      <c r="M73" s="35" t="n"/>
      <c r="N73" s="19">
        <f>IF($B73="","",IF($M73&lt;&gt;"",$M73,N($L73)))</f>
        <v/>
      </c>
      <c r="O73" s="20">
        <f>IF($B73="","",IFERROR(VLOOKUP($B73,단가마스터!$A$4:$H$303,5,FALSE),IFERROR(VLOOKUP($B73,일위대가!$N$4:$T$63,4,FALSE),0)))</f>
        <v/>
      </c>
      <c r="P73" s="20">
        <f>IF($B73="","",IFERROR(VLOOKUP($B73,단가마스터!$A$4:$H$303,6,FALSE),IFERROR(VLOOKUP($B73,일위대가!$N$4:$T$63,5,FALSE),0)))</f>
        <v/>
      </c>
      <c r="Q73" s="20">
        <f>IF($B73="","",IFERROR(VLOOKUP($B73,단가마스터!$A$4:$H$303,7,FALSE),IFERROR(VLOOKUP($B73,일위대가!$N$4:$T$63,6,FALSE),0)))</f>
        <v/>
      </c>
      <c r="R73" s="20">
        <f>IF($B73="","",N($O73)+N($P73)+N($Q73))</f>
        <v/>
      </c>
      <c r="S73" s="20">
        <f>IF($B73="","",ROUND(N($N73)*N($R73),0))</f>
        <v/>
      </c>
      <c r="T73" s="19">
        <f>IF($B73="","",N($N73)-N($F73))</f>
        <v/>
      </c>
      <c r="U73" s="20">
        <f>IF($B73="","",N($S73)-N($K73))</f>
        <v/>
      </c>
      <c r="V73" s="30" t="n"/>
    </row>
    <row r="74">
      <c r="A74" s="30" t="n"/>
      <c r="B74" s="30" t="n"/>
      <c r="C74" s="18">
        <f>IF($B74="","",IFERROR(VLOOKUP($B74,단가마스터!$A$4:$H$303,2,FALSE),IFERROR(VLOOKUP($B74,일위대가!$N$4:$T$63,2,FALSE),"⚠️단가 없음")))</f>
        <v/>
      </c>
      <c r="D74" s="18">
        <f>IF($B74="","",IFERROR(VLOOKUP($B74,단가마스터!$A$4:$H$303,3,FALSE),""))</f>
        <v/>
      </c>
      <c r="E74" s="18">
        <f>IF($B74="","",IFERROR(VLOOKUP($B74,단가마스터!$A$4:$H$303,4,FALSE),IFERROR(VLOOKUP($B74,일위대가!$N$4:$T$63,3,FALSE),"")))</f>
        <v/>
      </c>
      <c r="F74" s="35" t="n"/>
      <c r="G74" s="23" t="n"/>
      <c r="H74" s="23" t="n"/>
      <c r="I74" s="23" t="n"/>
      <c r="J74" s="20">
        <f>IF($B74="","",N($G74)+N($H74)+N($I74))</f>
        <v/>
      </c>
      <c r="K74" s="20">
        <f>IF($B74="","",ROUND(N($F74)*N($J74),0))</f>
        <v/>
      </c>
      <c r="L74" s="19">
        <f>IF($B74="","",SUMIFS(수량산출서!$H$4:$H$253,수량산출서!$A$4:$A$253,"변경",수량산출서!$B$4:$B$253,$B74))</f>
        <v/>
      </c>
      <c r="M74" s="35" t="n"/>
      <c r="N74" s="19">
        <f>IF($B74="","",IF($M74&lt;&gt;"",$M74,N($L74)))</f>
        <v/>
      </c>
      <c r="O74" s="20">
        <f>IF($B74="","",IFERROR(VLOOKUP($B74,단가마스터!$A$4:$H$303,5,FALSE),IFERROR(VLOOKUP($B74,일위대가!$N$4:$T$63,4,FALSE),0)))</f>
        <v/>
      </c>
      <c r="P74" s="20">
        <f>IF($B74="","",IFERROR(VLOOKUP($B74,단가마스터!$A$4:$H$303,6,FALSE),IFERROR(VLOOKUP($B74,일위대가!$N$4:$T$63,5,FALSE),0)))</f>
        <v/>
      </c>
      <c r="Q74" s="20">
        <f>IF($B74="","",IFERROR(VLOOKUP($B74,단가마스터!$A$4:$H$303,7,FALSE),IFERROR(VLOOKUP($B74,일위대가!$N$4:$T$63,6,FALSE),0)))</f>
        <v/>
      </c>
      <c r="R74" s="20">
        <f>IF($B74="","",N($O74)+N($P74)+N($Q74))</f>
        <v/>
      </c>
      <c r="S74" s="20">
        <f>IF($B74="","",ROUND(N($N74)*N($R74),0))</f>
        <v/>
      </c>
      <c r="T74" s="19">
        <f>IF($B74="","",N($N74)-N($F74))</f>
        <v/>
      </c>
      <c r="U74" s="20">
        <f>IF($B74="","",N($S74)-N($K74))</f>
        <v/>
      </c>
      <c r="V74" s="30" t="n"/>
    </row>
    <row r="75">
      <c r="A75" s="30" t="n"/>
      <c r="B75" s="30" t="n"/>
      <c r="C75" s="18">
        <f>IF($B75="","",IFERROR(VLOOKUP($B75,단가마스터!$A$4:$H$303,2,FALSE),IFERROR(VLOOKUP($B75,일위대가!$N$4:$T$63,2,FALSE),"⚠️단가 없음")))</f>
        <v/>
      </c>
      <c r="D75" s="18">
        <f>IF($B75="","",IFERROR(VLOOKUP($B75,단가마스터!$A$4:$H$303,3,FALSE),""))</f>
        <v/>
      </c>
      <c r="E75" s="18">
        <f>IF($B75="","",IFERROR(VLOOKUP($B75,단가마스터!$A$4:$H$303,4,FALSE),IFERROR(VLOOKUP($B75,일위대가!$N$4:$T$63,3,FALSE),"")))</f>
        <v/>
      </c>
      <c r="F75" s="35" t="n"/>
      <c r="G75" s="23" t="n"/>
      <c r="H75" s="23" t="n"/>
      <c r="I75" s="23" t="n"/>
      <c r="J75" s="20">
        <f>IF($B75="","",N($G75)+N($H75)+N($I75))</f>
        <v/>
      </c>
      <c r="K75" s="20">
        <f>IF($B75="","",ROUND(N($F75)*N($J75),0))</f>
        <v/>
      </c>
      <c r="L75" s="19">
        <f>IF($B75="","",SUMIFS(수량산출서!$H$4:$H$253,수량산출서!$A$4:$A$253,"변경",수량산출서!$B$4:$B$253,$B75))</f>
        <v/>
      </c>
      <c r="M75" s="35" t="n"/>
      <c r="N75" s="19">
        <f>IF($B75="","",IF($M75&lt;&gt;"",$M75,N($L75)))</f>
        <v/>
      </c>
      <c r="O75" s="20">
        <f>IF($B75="","",IFERROR(VLOOKUP($B75,단가마스터!$A$4:$H$303,5,FALSE),IFERROR(VLOOKUP($B75,일위대가!$N$4:$T$63,4,FALSE),0)))</f>
        <v/>
      </c>
      <c r="P75" s="20">
        <f>IF($B75="","",IFERROR(VLOOKUP($B75,단가마스터!$A$4:$H$303,6,FALSE),IFERROR(VLOOKUP($B75,일위대가!$N$4:$T$63,5,FALSE),0)))</f>
        <v/>
      </c>
      <c r="Q75" s="20">
        <f>IF($B75="","",IFERROR(VLOOKUP($B75,단가마스터!$A$4:$H$303,7,FALSE),IFERROR(VLOOKUP($B75,일위대가!$N$4:$T$63,6,FALSE),0)))</f>
        <v/>
      </c>
      <c r="R75" s="20">
        <f>IF($B75="","",N($O75)+N($P75)+N($Q75))</f>
        <v/>
      </c>
      <c r="S75" s="20">
        <f>IF($B75="","",ROUND(N($N75)*N($R75),0))</f>
        <v/>
      </c>
      <c r="T75" s="19">
        <f>IF($B75="","",N($N75)-N($F75))</f>
        <v/>
      </c>
      <c r="U75" s="20">
        <f>IF($B75="","",N($S75)-N($K75))</f>
        <v/>
      </c>
      <c r="V75" s="30" t="n"/>
    </row>
    <row r="76">
      <c r="A76" s="30" t="n"/>
      <c r="B76" s="30" t="n"/>
      <c r="C76" s="18">
        <f>IF($B76="","",IFERROR(VLOOKUP($B76,단가마스터!$A$4:$H$303,2,FALSE),IFERROR(VLOOKUP($B76,일위대가!$N$4:$T$63,2,FALSE),"⚠️단가 없음")))</f>
        <v/>
      </c>
      <c r="D76" s="18">
        <f>IF($B76="","",IFERROR(VLOOKUP($B76,단가마스터!$A$4:$H$303,3,FALSE),""))</f>
        <v/>
      </c>
      <c r="E76" s="18">
        <f>IF($B76="","",IFERROR(VLOOKUP($B76,단가마스터!$A$4:$H$303,4,FALSE),IFERROR(VLOOKUP($B76,일위대가!$N$4:$T$63,3,FALSE),"")))</f>
        <v/>
      </c>
      <c r="F76" s="35" t="n"/>
      <c r="G76" s="23" t="n"/>
      <c r="H76" s="23" t="n"/>
      <c r="I76" s="23" t="n"/>
      <c r="J76" s="20">
        <f>IF($B76="","",N($G76)+N($H76)+N($I76))</f>
        <v/>
      </c>
      <c r="K76" s="20">
        <f>IF($B76="","",ROUND(N($F76)*N($J76),0))</f>
        <v/>
      </c>
      <c r="L76" s="19">
        <f>IF($B76="","",SUMIFS(수량산출서!$H$4:$H$253,수량산출서!$A$4:$A$253,"변경",수량산출서!$B$4:$B$253,$B76))</f>
        <v/>
      </c>
      <c r="M76" s="35" t="n"/>
      <c r="N76" s="19">
        <f>IF($B76="","",IF($M76&lt;&gt;"",$M76,N($L76)))</f>
        <v/>
      </c>
      <c r="O76" s="20">
        <f>IF($B76="","",IFERROR(VLOOKUP($B76,단가마스터!$A$4:$H$303,5,FALSE),IFERROR(VLOOKUP($B76,일위대가!$N$4:$T$63,4,FALSE),0)))</f>
        <v/>
      </c>
      <c r="P76" s="20">
        <f>IF($B76="","",IFERROR(VLOOKUP($B76,단가마스터!$A$4:$H$303,6,FALSE),IFERROR(VLOOKUP($B76,일위대가!$N$4:$T$63,5,FALSE),0)))</f>
        <v/>
      </c>
      <c r="Q76" s="20">
        <f>IF($B76="","",IFERROR(VLOOKUP($B76,단가마스터!$A$4:$H$303,7,FALSE),IFERROR(VLOOKUP($B76,일위대가!$N$4:$T$63,6,FALSE),0)))</f>
        <v/>
      </c>
      <c r="R76" s="20">
        <f>IF($B76="","",N($O76)+N($P76)+N($Q76))</f>
        <v/>
      </c>
      <c r="S76" s="20">
        <f>IF($B76="","",ROUND(N($N76)*N($R76),0))</f>
        <v/>
      </c>
      <c r="T76" s="19">
        <f>IF($B76="","",N($N76)-N($F76))</f>
        <v/>
      </c>
      <c r="U76" s="20">
        <f>IF($B76="","",N($S76)-N($K76))</f>
        <v/>
      </c>
      <c r="V76" s="30" t="n"/>
    </row>
    <row r="77">
      <c r="A77" s="30" t="n"/>
      <c r="B77" s="30" t="n"/>
      <c r="C77" s="18">
        <f>IF($B77="","",IFERROR(VLOOKUP($B77,단가마스터!$A$4:$H$303,2,FALSE),IFERROR(VLOOKUP($B77,일위대가!$N$4:$T$63,2,FALSE),"⚠️단가 없음")))</f>
        <v/>
      </c>
      <c r="D77" s="18">
        <f>IF($B77="","",IFERROR(VLOOKUP($B77,단가마스터!$A$4:$H$303,3,FALSE),""))</f>
        <v/>
      </c>
      <c r="E77" s="18">
        <f>IF($B77="","",IFERROR(VLOOKUP($B77,단가마스터!$A$4:$H$303,4,FALSE),IFERROR(VLOOKUP($B77,일위대가!$N$4:$T$63,3,FALSE),"")))</f>
        <v/>
      </c>
      <c r="F77" s="35" t="n"/>
      <c r="G77" s="23" t="n"/>
      <c r="H77" s="23" t="n"/>
      <c r="I77" s="23" t="n"/>
      <c r="J77" s="20">
        <f>IF($B77="","",N($G77)+N($H77)+N($I77))</f>
        <v/>
      </c>
      <c r="K77" s="20">
        <f>IF($B77="","",ROUND(N($F77)*N($J77),0))</f>
        <v/>
      </c>
      <c r="L77" s="19">
        <f>IF($B77="","",SUMIFS(수량산출서!$H$4:$H$253,수량산출서!$A$4:$A$253,"변경",수량산출서!$B$4:$B$253,$B77))</f>
        <v/>
      </c>
      <c r="M77" s="35" t="n"/>
      <c r="N77" s="19">
        <f>IF($B77="","",IF($M77&lt;&gt;"",$M77,N($L77)))</f>
        <v/>
      </c>
      <c r="O77" s="20">
        <f>IF($B77="","",IFERROR(VLOOKUP($B77,단가마스터!$A$4:$H$303,5,FALSE),IFERROR(VLOOKUP($B77,일위대가!$N$4:$T$63,4,FALSE),0)))</f>
        <v/>
      </c>
      <c r="P77" s="20">
        <f>IF($B77="","",IFERROR(VLOOKUP($B77,단가마스터!$A$4:$H$303,6,FALSE),IFERROR(VLOOKUP($B77,일위대가!$N$4:$T$63,5,FALSE),0)))</f>
        <v/>
      </c>
      <c r="Q77" s="20">
        <f>IF($B77="","",IFERROR(VLOOKUP($B77,단가마스터!$A$4:$H$303,7,FALSE),IFERROR(VLOOKUP($B77,일위대가!$N$4:$T$63,6,FALSE),0)))</f>
        <v/>
      </c>
      <c r="R77" s="20">
        <f>IF($B77="","",N($O77)+N($P77)+N($Q77))</f>
        <v/>
      </c>
      <c r="S77" s="20">
        <f>IF($B77="","",ROUND(N($N77)*N($R77),0))</f>
        <v/>
      </c>
      <c r="T77" s="19">
        <f>IF($B77="","",N($N77)-N($F77))</f>
        <v/>
      </c>
      <c r="U77" s="20">
        <f>IF($B77="","",N($S77)-N($K77))</f>
        <v/>
      </c>
      <c r="V77" s="30" t="n"/>
    </row>
    <row r="78">
      <c r="A78" s="30" t="n"/>
      <c r="B78" s="30" t="n"/>
      <c r="C78" s="18">
        <f>IF($B78="","",IFERROR(VLOOKUP($B78,단가마스터!$A$4:$H$303,2,FALSE),IFERROR(VLOOKUP($B78,일위대가!$N$4:$T$63,2,FALSE),"⚠️단가 없음")))</f>
        <v/>
      </c>
      <c r="D78" s="18">
        <f>IF($B78="","",IFERROR(VLOOKUP($B78,단가마스터!$A$4:$H$303,3,FALSE),""))</f>
        <v/>
      </c>
      <c r="E78" s="18">
        <f>IF($B78="","",IFERROR(VLOOKUP($B78,단가마스터!$A$4:$H$303,4,FALSE),IFERROR(VLOOKUP($B78,일위대가!$N$4:$T$63,3,FALSE),"")))</f>
        <v/>
      </c>
      <c r="F78" s="35" t="n"/>
      <c r="G78" s="23" t="n"/>
      <c r="H78" s="23" t="n"/>
      <c r="I78" s="23" t="n"/>
      <c r="J78" s="20">
        <f>IF($B78="","",N($G78)+N($H78)+N($I78))</f>
        <v/>
      </c>
      <c r="K78" s="20">
        <f>IF($B78="","",ROUND(N($F78)*N($J78),0))</f>
        <v/>
      </c>
      <c r="L78" s="19">
        <f>IF($B78="","",SUMIFS(수량산출서!$H$4:$H$253,수량산출서!$A$4:$A$253,"변경",수량산출서!$B$4:$B$253,$B78))</f>
        <v/>
      </c>
      <c r="M78" s="35" t="n"/>
      <c r="N78" s="19">
        <f>IF($B78="","",IF($M78&lt;&gt;"",$M78,N($L78)))</f>
        <v/>
      </c>
      <c r="O78" s="20">
        <f>IF($B78="","",IFERROR(VLOOKUP($B78,단가마스터!$A$4:$H$303,5,FALSE),IFERROR(VLOOKUP($B78,일위대가!$N$4:$T$63,4,FALSE),0)))</f>
        <v/>
      </c>
      <c r="P78" s="20">
        <f>IF($B78="","",IFERROR(VLOOKUP($B78,단가마스터!$A$4:$H$303,6,FALSE),IFERROR(VLOOKUP($B78,일위대가!$N$4:$T$63,5,FALSE),0)))</f>
        <v/>
      </c>
      <c r="Q78" s="20">
        <f>IF($B78="","",IFERROR(VLOOKUP($B78,단가마스터!$A$4:$H$303,7,FALSE),IFERROR(VLOOKUP($B78,일위대가!$N$4:$T$63,6,FALSE),0)))</f>
        <v/>
      </c>
      <c r="R78" s="20">
        <f>IF($B78="","",N($O78)+N($P78)+N($Q78))</f>
        <v/>
      </c>
      <c r="S78" s="20">
        <f>IF($B78="","",ROUND(N($N78)*N($R78),0))</f>
        <v/>
      </c>
      <c r="T78" s="19">
        <f>IF($B78="","",N($N78)-N($F78))</f>
        <v/>
      </c>
      <c r="U78" s="20">
        <f>IF($B78="","",N($S78)-N($K78))</f>
        <v/>
      </c>
      <c r="V78" s="30" t="n"/>
    </row>
    <row r="79">
      <c r="A79" s="30" t="n"/>
      <c r="B79" s="30" t="n"/>
      <c r="C79" s="18">
        <f>IF($B79="","",IFERROR(VLOOKUP($B79,단가마스터!$A$4:$H$303,2,FALSE),IFERROR(VLOOKUP($B79,일위대가!$N$4:$T$63,2,FALSE),"⚠️단가 없음")))</f>
        <v/>
      </c>
      <c r="D79" s="18">
        <f>IF($B79="","",IFERROR(VLOOKUP($B79,단가마스터!$A$4:$H$303,3,FALSE),""))</f>
        <v/>
      </c>
      <c r="E79" s="18">
        <f>IF($B79="","",IFERROR(VLOOKUP($B79,단가마스터!$A$4:$H$303,4,FALSE),IFERROR(VLOOKUP($B79,일위대가!$N$4:$T$63,3,FALSE),"")))</f>
        <v/>
      </c>
      <c r="F79" s="35" t="n"/>
      <c r="G79" s="23" t="n"/>
      <c r="H79" s="23" t="n"/>
      <c r="I79" s="23" t="n"/>
      <c r="J79" s="20">
        <f>IF($B79="","",N($G79)+N($H79)+N($I79))</f>
        <v/>
      </c>
      <c r="K79" s="20">
        <f>IF($B79="","",ROUND(N($F79)*N($J79),0))</f>
        <v/>
      </c>
      <c r="L79" s="19">
        <f>IF($B79="","",SUMIFS(수량산출서!$H$4:$H$253,수량산출서!$A$4:$A$253,"변경",수량산출서!$B$4:$B$253,$B79))</f>
        <v/>
      </c>
      <c r="M79" s="35" t="n"/>
      <c r="N79" s="19">
        <f>IF($B79="","",IF($M79&lt;&gt;"",$M79,N($L79)))</f>
        <v/>
      </c>
      <c r="O79" s="20">
        <f>IF($B79="","",IFERROR(VLOOKUP($B79,단가마스터!$A$4:$H$303,5,FALSE),IFERROR(VLOOKUP($B79,일위대가!$N$4:$T$63,4,FALSE),0)))</f>
        <v/>
      </c>
      <c r="P79" s="20">
        <f>IF($B79="","",IFERROR(VLOOKUP($B79,단가마스터!$A$4:$H$303,6,FALSE),IFERROR(VLOOKUP($B79,일위대가!$N$4:$T$63,5,FALSE),0)))</f>
        <v/>
      </c>
      <c r="Q79" s="20">
        <f>IF($B79="","",IFERROR(VLOOKUP($B79,단가마스터!$A$4:$H$303,7,FALSE),IFERROR(VLOOKUP($B79,일위대가!$N$4:$T$63,6,FALSE),0)))</f>
        <v/>
      </c>
      <c r="R79" s="20">
        <f>IF($B79="","",N($O79)+N($P79)+N($Q79))</f>
        <v/>
      </c>
      <c r="S79" s="20">
        <f>IF($B79="","",ROUND(N($N79)*N($R79),0))</f>
        <v/>
      </c>
      <c r="T79" s="19">
        <f>IF($B79="","",N($N79)-N($F79))</f>
        <v/>
      </c>
      <c r="U79" s="20">
        <f>IF($B79="","",N($S79)-N($K79))</f>
        <v/>
      </c>
      <c r="V79" s="30" t="n"/>
    </row>
    <row r="80">
      <c r="A80" s="30" t="n"/>
      <c r="B80" s="30" t="n"/>
      <c r="C80" s="18">
        <f>IF($B80="","",IFERROR(VLOOKUP($B80,단가마스터!$A$4:$H$303,2,FALSE),IFERROR(VLOOKUP($B80,일위대가!$N$4:$T$63,2,FALSE),"⚠️단가 없음")))</f>
        <v/>
      </c>
      <c r="D80" s="18">
        <f>IF($B80="","",IFERROR(VLOOKUP($B80,단가마스터!$A$4:$H$303,3,FALSE),""))</f>
        <v/>
      </c>
      <c r="E80" s="18">
        <f>IF($B80="","",IFERROR(VLOOKUP($B80,단가마스터!$A$4:$H$303,4,FALSE),IFERROR(VLOOKUP($B80,일위대가!$N$4:$T$63,3,FALSE),"")))</f>
        <v/>
      </c>
      <c r="F80" s="35" t="n"/>
      <c r="G80" s="23" t="n"/>
      <c r="H80" s="23" t="n"/>
      <c r="I80" s="23" t="n"/>
      <c r="J80" s="20">
        <f>IF($B80="","",N($G80)+N($H80)+N($I80))</f>
        <v/>
      </c>
      <c r="K80" s="20">
        <f>IF($B80="","",ROUND(N($F80)*N($J80),0))</f>
        <v/>
      </c>
      <c r="L80" s="19">
        <f>IF($B80="","",SUMIFS(수량산출서!$H$4:$H$253,수량산출서!$A$4:$A$253,"변경",수량산출서!$B$4:$B$253,$B80))</f>
        <v/>
      </c>
      <c r="M80" s="35" t="n"/>
      <c r="N80" s="19">
        <f>IF($B80="","",IF($M80&lt;&gt;"",$M80,N($L80)))</f>
        <v/>
      </c>
      <c r="O80" s="20">
        <f>IF($B80="","",IFERROR(VLOOKUP($B80,단가마스터!$A$4:$H$303,5,FALSE),IFERROR(VLOOKUP($B80,일위대가!$N$4:$T$63,4,FALSE),0)))</f>
        <v/>
      </c>
      <c r="P80" s="20">
        <f>IF($B80="","",IFERROR(VLOOKUP($B80,단가마스터!$A$4:$H$303,6,FALSE),IFERROR(VLOOKUP($B80,일위대가!$N$4:$T$63,5,FALSE),0)))</f>
        <v/>
      </c>
      <c r="Q80" s="20">
        <f>IF($B80="","",IFERROR(VLOOKUP($B80,단가마스터!$A$4:$H$303,7,FALSE),IFERROR(VLOOKUP($B80,일위대가!$N$4:$T$63,6,FALSE),0)))</f>
        <v/>
      </c>
      <c r="R80" s="20">
        <f>IF($B80="","",N($O80)+N($P80)+N($Q80))</f>
        <v/>
      </c>
      <c r="S80" s="20">
        <f>IF($B80="","",ROUND(N($N80)*N($R80),0))</f>
        <v/>
      </c>
      <c r="T80" s="19">
        <f>IF($B80="","",N($N80)-N($F80))</f>
        <v/>
      </c>
      <c r="U80" s="20">
        <f>IF($B80="","",N($S80)-N($K80))</f>
        <v/>
      </c>
      <c r="V80" s="30" t="n"/>
    </row>
    <row r="81">
      <c r="A81" s="30" t="n"/>
      <c r="B81" s="30" t="n"/>
      <c r="C81" s="18">
        <f>IF($B81="","",IFERROR(VLOOKUP($B81,단가마스터!$A$4:$H$303,2,FALSE),IFERROR(VLOOKUP($B81,일위대가!$N$4:$T$63,2,FALSE),"⚠️단가 없음")))</f>
        <v/>
      </c>
      <c r="D81" s="18">
        <f>IF($B81="","",IFERROR(VLOOKUP($B81,단가마스터!$A$4:$H$303,3,FALSE),""))</f>
        <v/>
      </c>
      <c r="E81" s="18">
        <f>IF($B81="","",IFERROR(VLOOKUP($B81,단가마스터!$A$4:$H$303,4,FALSE),IFERROR(VLOOKUP($B81,일위대가!$N$4:$T$63,3,FALSE),"")))</f>
        <v/>
      </c>
      <c r="F81" s="35" t="n"/>
      <c r="G81" s="23" t="n"/>
      <c r="H81" s="23" t="n"/>
      <c r="I81" s="23" t="n"/>
      <c r="J81" s="20">
        <f>IF($B81="","",N($G81)+N($H81)+N($I81))</f>
        <v/>
      </c>
      <c r="K81" s="20">
        <f>IF($B81="","",ROUND(N($F81)*N($J81),0))</f>
        <v/>
      </c>
      <c r="L81" s="19">
        <f>IF($B81="","",SUMIFS(수량산출서!$H$4:$H$253,수량산출서!$A$4:$A$253,"변경",수량산출서!$B$4:$B$253,$B81))</f>
        <v/>
      </c>
      <c r="M81" s="35" t="n"/>
      <c r="N81" s="19">
        <f>IF($B81="","",IF($M81&lt;&gt;"",$M81,N($L81)))</f>
        <v/>
      </c>
      <c r="O81" s="20">
        <f>IF($B81="","",IFERROR(VLOOKUP($B81,단가마스터!$A$4:$H$303,5,FALSE),IFERROR(VLOOKUP($B81,일위대가!$N$4:$T$63,4,FALSE),0)))</f>
        <v/>
      </c>
      <c r="P81" s="20">
        <f>IF($B81="","",IFERROR(VLOOKUP($B81,단가마스터!$A$4:$H$303,6,FALSE),IFERROR(VLOOKUP($B81,일위대가!$N$4:$T$63,5,FALSE),0)))</f>
        <v/>
      </c>
      <c r="Q81" s="20">
        <f>IF($B81="","",IFERROR(VLOOKUP($B81,단가마스터!$A$4:$H$303,7,FALSE),IFERROR(VLOOKUP($B81,일위대가!$N$4:$T$63,6,FALSE),0)))</f>
        <v/>
      </c>
      <c r="R81" s="20">
        <f>IF($B81="","",N($O81)+N($P81)+N($Q81))</f>
        <v/>
      </c>
      <c r="S81" s="20">
        <f>IF($B81="","",ROUND(N($N81)*N($R81),0))</f>
        <v/>
      </c>
      <c r="T81" s="19">
        <f>IF($B81="","",N($N81)-N($F81))</f>
        <v/>
      </c>
      <c r="U81" s="20">
        <f>IF($B81="","",N($S81)-N($K81))</f>
        <v/>
      </c>
      <c r="V81" s="30" t="n"/>
    </row>
    <row r="82">
      <c r="A82" s="30" t="n"/>
      <c r="B82" s="30" t="n"/>
      <c r="C82" s="18">
        <f>IF($B82="","",IFERROR(VLOOKUP($B82,단가마스터!$A$4:$H$303,2,FALSE),IFERROR(VLOOKUP($B82,일위대가!$N$4:$T$63,2,FALSE),"⚠️단가 없음")))</f>
        <v/>
      </c>
      <c r="D82" s="18">
        <f>IF($B82="","",IFERROR(VLOOKUP($B82,단가마스터!$A$4:$H$303,3,FALSE),""))</f>
        <v/>
      </c>
      <c r="E82" s="18">
        <f>IF($B82="","",IFERROR(VLOOKUP($B82,단가마스터!$A$4:$H$303,4,FALSE),IFERROR(VLOOKUP($B82,일위대가!$N$4:$T$63,3,FALSE),"")))</f>
        <v/>
      </c>
      <c r="F82" s="35" t="n"/>
      <c r="G82" s="23" t="n"/>
      <c r="H82" s="23" t="n"/>
      <c r="I82" s="23" t="n"/>
      <c r="J82" s="20">
        <f>IF($B82="","",N($G82)+N($H82)+N($I82))</f>
        <v/>
      </c>
      <c r="K82" s="20">
        <f>IF($B82="","",ROUND(N($F82)*N($J82),0))</f>
        <v/>
      </c>
      <c r="L82" s="19">
        <f>IF($B82="","",SUMIFS(수량산출서!$H$4:$H$253,수량산출서!$A$4:$A$253,"변경",수량산출서!$B$4:$B$253,$B82))</f>
        <v/>
      </c>
      <c r="M82" s="35" t="n"/>
      <c r="N82" s="19">
        <f>IF($B82="","",IF($M82&lt;&gt;"",$M82,N($L82)))</f>
        <v/>
      </c>
      <c r="O82" s="20">
        <f>IF($B82="","",IFERROR(VLOOKUP($B82,단가마스터!$A$4:$H$303,5,FALSE),IFERROR(VLOOKUP($B82,일위대가!$N$4:$T$63,4,FALSE),0)))</f>
        <v/>
      </c>
      <c r="P82" s="20">
        <f>IF($B82="","",IFERROR(VLOOKUP($B82,단가마스터!$A$4:$H$303,6,FALSE),IFERROR(VLOOKUP($B82,일위대가!$N$4:$T$63,5,FALSE),0)))</f>
        <v/>
      </c>
      <c r="Q82" s="20">
        <f>IF($B82="","",IFERROR(VLOOKUP($B82,단가마스터!$A$4:$H$303,7,FALSE),IFERROR(VLOOKUP($B82,일위대가!$N$4:$T$63,6,FALSE),0)))</f>
        <v/>
      </c>
      <c r="R82" s="20">
        <f>IF($B82="","",N($O82)+N($P82)+N($Q82))</f>
        <v/>
      </c>
      <c r="S82" s="20">
        <f>IF($B82="","",ROUND(N($N82)*N($R82),0))</f>
        <v/>
      </c>
      <c r="T82" s="19">
        <f>IF($B82="","",N($N82)-N($F82))</f>
        <v/>
      </c>
      <c r="U82" s="20">
        <f>IF($B82="","",N($S82)-N($K82))</f>
        <v/>
      </c>
      <c r="V82" s="30" t="n"/>
    </row>
    <row r="83">
      <c r="A83" s="30" t="n"/>
      <c r="B83" s="30" t="n"/>
      <c r="C83" s="18">
        <f>IF($B83="","",IFERROR(VLOOKUP($B83,단가마스터!$A$4:$H$303,2,FALSE),IFERROR(VLOOKUP($B83,일위대가!$N$4:$T$63,2,FALSE),"⚠️단가 없음")))</f>
        <v/>
      </c>
      <c r="D83" s="18">
        <f>IF($B83="","",IFERROR(VLOOKUP($B83,단가마스터!$A$4:$H$303,3,FALSE),""))</f>
        <v/>
      </c>
      <c r="E83" s="18">
        <f>IF($B83="","",IFERROR(VLOOKUP($B83,단가마스터!$A$4:$H$303,4,FALSE),IFERROR(VLOOKUP($B83,일위대가!$N$4:$T$63,3,FALSE),"")))</f>
        <v/>
      </c>
      <c r="F83" s="35" t="n"/>
      <c r="G83" s="23" t="n"/>
      <c r="H83" s="23" t="n"/>
      <c r="I83" s="23" t="n"/>
      <c r="J83" s="20">
        <f>IF($B83="","",N($G83)+N($H83)+N($I83))</f>
        <v/>
      </c>
      <c r="K83" s="20">
        <f>IF($B83="","",ROUND(N($F83)*N($J83),0))</f>
        <v/>
      </c>
      <c r="L83" s="19">
        <f>IF($B83="","",SUMIFS(수량산출서!$H$4:$H$253,수량산출서!$A$4:$A$253,"변경",수량산출서!$B$4:$B$253,$B83))</f>
        <v/>
      </c>
      <c r="M83" s="35" t="n"/>
      <c r="N83" s="19">
        <f>IF($B83="","",IF($M83&lt;&gt;"",$M83,N($L83)))</f>
        <v/>
      </c>
      <c r="O83" s="20">
        <f>IF($B83="","",IFERROR(VLOOKUP($B83,단가마스터!$A$4:$H$303,5,FALSE),IFERROR(VLOOKUP($B83,일위대가!$N$4:$T$63,4,FALSE),0)))</f>
        <v/>
      </c>
      <c r="P83" s="20">
        <f>IF($B83="","",IFERROR(VLOOKUP($B83,단가마스터!$A$4:$H$303,6,FALSE),IFERROR(VLOOKUP($B83,일위대가!$N$4:$T$63,5,FALSE),0)))</f>
        <v/>
      </c>
      <c r="Q83" s="20">
        <f>IF($B83="","",IFERROR(VLOOKUP($B83,단가마스터!$A$4:$H$303,7,FALSE),IFERROR(VLOOKUP($B83,일위대가!$N$4:$T$63,6,FALSE),0)))</f>
        <v/>
      </c>
      <c r="R83" s="20">
        <f>IF($B83="","",N($O83)+N($P83)+N($Q83))</f>
        <v/>
      </c>
      <c r="S83" s="20">
        <f>IF($B83="","",ROUND(N($N83)*N($R83),0))</f>
        <v/>
      </c>
      <c r="T83" s="19">
        <f>IF($B83="","",N($N83)-N($F83))</f>
        <v/>
      </c>
      <c r="U83" s="20">
        <f>IF($B83="","",N($S83)-N($K83))</f>
        <v/>
      </c>
      <c r="V83" s="30" t="n"/>
    </row>
    <row r="84">
      <c r="A84" s="30" t="n"/>
      <c r="B84" s="30" t="n"/>
      <c r="C84" s="18">
        <f>IF($B84="","",IFERROR(VLOOKUP($B84,단가마스터!$A$4:$H$303,2,FALSE),IFERROR(VLOOKUP($B84,일위대가!$N$4:$T$63,2,FALSE),"⚠️단가 없음")))</f>
        <v/>
      </c>
      <c r="D84" s="18">
        <f>IF($B84="","",IFERROR(VLOOKUP($B84,단가마스터!$A$4:$H$303,3,FALSE),""))</f>
        <v/>
      </c>
      <c r="E84" s="18">
        <f>IF($B84="","",IFERROR(VLOOKUP($B84,단가마스터!$A$4:$H$303,4,FALSE),IFERROR(VLOOKUP($B84,일위대가!$N$4:$T$63,3,FALSE),"")))</f>
        <v/>
      </c>
      <c r="F84" s="35" t="n"/>
      <c r="G84" s="23" t="n"/>
      <c r="H84" s="23" t="n"/>
      <c r="I84" s="23" t="n"/>
      <c r="J84" s="20">
        <f>IF($B84="","",N($G84)+N($H84)+N($I84))</f>
        <v/>
      </c>
      <c r="K84" s="20">
        <f>IF($B84="","",ROUND(N($F84)*N($J84),0))</f>
        <v/>
      </c>
      <c r="L84" s="19">
        <f>IF($B84="","",SUMIFS(수량산출서!$H$4:$H$253,수량산출서!$A$4:$A$253,"변경",수량산출서!$B$4:$B$253,$B84))</f>
        <v/>
      </c>
      <c r="M84" s="35" t="n"/>
      <c r="N84" s="19">
        <f>IF($B84="","",IF($M84&lt;&gt;"",$M84,N($L84)))</f>
        <v/>
      </c>
      <c r="O84" s="20">
        <f>IF($B84="","",IFERROR(VLOOKUP($B84,단가마스터!$A$4:$H$303,5,FALSE),IFERROR(VLOOKUP($B84,일위대가!$N$4:$T$63,4,FALSE),0)))</f>
        <v/>
      </c>
      <c r="P84" s="20">
        <f>IF($B84="","",IFERROR(VLOOKUP($B84,단가마스터!$A$4:$H$303,6,FALSE),IFERROR(VLOOKUP($B84,일위대가!$N$4:$T$63,5,FALSE),0)))</f>
        <v/>
      </c>
      <c r="Q84" s="20">
        <f>IF($B84="","",IFERROR(VLOOKUP($B84,단가마스터!$A$4:$H$303,7,FALSE),IFERROR(VLOOKUP($B84,일위대가!$N$4:$T$63,6,FALSE),0)))</f>
        <v/>
      </c>
      <c r="R84" s="20">
        <f>IF($B84="","",N($O84)+N($P84)+N($Q84))</f>
        <v/>
      </c>
      <c r="S84" s="20">
        <f>IF($B84="","",ROUND(N($N84)*N($R84),0))</f>
        <v/>
      </c>
      <c r="T84" s="19">
        <f>IF($B84="","",N($N84)-N($F84))</f>
        <v/>
      </c>
      <c r="U84" s="20">
        <f>IF($B84="","",N($S84)-N($K84))</f>
        <v/>
      </c>
      <c r="V84" s="30" t="n"/>
    </row>
    <row r="85">
      <c r="A85" s="30" t="n"/>
      <c r="B85" s="30" t="n"/>
      <c r="C85" s="18">
        <f>IF($B85="","",IFERROR(VLOOKUP($B85,단가마스터!$A$4:$H$303,2,FALSE),IFERROR(VLOOKUP($B85,일위대가!$N$4:$T$63,2,FALSE),"⚠️단가 없음")))</f>
        <v/>
      </c>
      <c r="D85" s="18">
        <f>IF($B85="","",IFERROR(VLOOKUP($B85,단가마스터!$A$4:$H$303,3,FALSE),""))</f>
        <v/>
      </c>
      <c r="E85" s="18">
        <f>IF($B85="","",IFERROR(VLOOKUP($B85,단가마스터!$A$4:$H$303,4,FALSE),IFERROR(VLOOKUP($B85,일위대가!$N$4:$T$63,3,FALSE),"")))</f>
        <v/>
      </c>
      <c r="F85" s="35" t="n"/>
      <c r="G85" s="23" t="n"/>
      <c r="H85" s="23" t="n"/>
      <c r="I85" s="23" t="n"/>
      <c r="J85" s="20">
        <f>IF($B85="","",N($G85)+N($H85)+N($I85))</f>
        <v/>
      </c>
      <c r="K85" s="20">
        <f>IF($B85="","",ROUND(N($F85)*N($J85),0))</f>
        <v/>
      </c>
      <c r="L85" s="19">
        <f>IF($B85="","",SUMIFS(수량산출서!$H$4:$H$253,수량산출서!$A$4:$A$253,"변경",수량산출서!$B$4:$B$253,$B85))</f>
        <v/>
      </c>
      <c r="M85" s="35" t="n"/>
      <c r="N85" s="19">
        <f>IF($B85="","",IF($M85&lt;&gt;"",$M85,N($L85)))</f>
        <v/>
      </c>
      <c r="O85" s="20">
        <f>IF($B85="","",IFERROR(VLOOKUP($B85,단가마스터!$A$4:$H$303,5,FALSE),IFERROR(VLOOKUP($B85,일위대가!$N$4:$T$63,4,FALSE),0)))</f>
        <v/>
      </c>
      <c r="P85" s="20">
        <f>IF($B85="","",IFERROR(VLOOKUP($B85,단가마스터!$A$4:$H$303,6,FALSE),IFERROR(VLOOKUP($B85,일위대가!$N$4:$T$63,5,FALSE),0)))</f>
        <v/>
      </c>
      <c r="Q85" s="20">
        <f>IF($B85="","",IFERROR(VLOOKUP($B85,단가마스터!$A$4:$H$303,7,FALSE),IFERROR(VLOOKUP($B85,일위대가!$N$4:$T$63,6,FALSE),0)))</f>
        <v/>
      </c>
      <c r="R85" s="20">
        <f>IF($B85="","",N($O85)+N($P85)+N($Q85))</f>
        <v/>
      </c>
      <c r="S85" s="20">
        <f>IF($B85="","",ROUND(N($N85)*N($R85),0))</f>
        <v/>
      </c>
      <c r="T85" s="19">
        <f>IF($B85="","",N($N85)-N($F85))</f>
        <v/>
      </c>
      <c r="U85" s="20">
        <f>IF($B85="","",N($S85)-N($K85))</f>
        <v/>
      </c>
      <c r="V85" s="30" t="n"/>
    </row>
    <row r="86">
      <c r="A86" s="30" t="n"/>
      <c r="B86" s="30" t="n"/>
      <c r="C86" s="18">
        <f>IF($B86="","",IFERROR(VLOOKUP($B86,단가마스터!$A$4:$H$303,2,FALSE),IFERROR(VLOOKUP($B86,일위대가!$N$4:$T$63,2,FALSE),"⚠️단가 없음")))</f>
        <v/>
      </c>
      <c r="D86" s="18">
        <f>IF($B86="","",IFERROR(VLOOKUP($B86,단가마스터!$A$4:$H$303,3,FALSE),""))</f>
        <v/>
      </c>
      <c r="E86" s="18">
        <f>IF($B86="","",IFERROR(VLOOKUP($B86,단가마스터!$A$4:$H$303,4,FALSE),IFERROR(VLOOKUP($B86,일위대가!$N$4:$T$63,3,FALSE),"")))</f>
        <v/>
      </c>
      <c r="F86" s="35" t="n"/>
      <c r="G86" s="23" t="n"/>
      <c r="H86" s="23" t="n"/>
      <c r="I86" s="23" t="n"/>
      <c r="J86" s="20">
        <f>IF($B86="","",N($G86)+N($H86)+N($I86))</f>
        <v/>
      </c>
      <c r="K86" s="20">
        <f>IF($B86="","",ROUND(N($F86)*N($J86),0))</f>
        <v/>
      </c>
      <c r="L86" s="19">
        <f>IF($B86="","",SUMIFS(수량산출서!$H$4:$H$253,수량산출서!$A$4:$A$253,"변경",수량산출서!$B$4:$B$253,$B86))</f>
        <v/>
      </c>
      <c r="M86" s="35" t="n"/>
      <c r="N86" s="19">
        <f>IF($B86="","",IF($M86&lt;&gt;"",$M86,N($L86)))</f>
        <v/>
      </c>
      <c r="O86" s="20">
        <f>IF($B86="","",IFERROR(VLOOKUP($B86,단가마스터!$A$4:$H$303,5,FALSE),IFERROR(VLOOKUP($B86,일위대가!$N$4:$T$63,4,FALSE),0)))</f>
        <v/>
      </c>
      <c r="P86" s="20">
        <f>IF($B86="","",IFERROR(VLOOKUP($B86,단가마스터!$A$4:$H$303,6,FALSE),IFERROR(VLOOKUP($B86,일위대가!$N$4:$T$63,5,FALSE),0)))</f>
        <v/>
      </c>
      <c r="Q86" s="20">
        <f>IF($B86="","",IFERROR(VLOOKUP($B86,단가마스터!$A$4:$H$303,7,FALSE),IFERROR(VLOOKUP($B86,일위대가!$N$4:$T$63,6,FALSE),0)))</f>
        <v/>
      </c>
      <c r="R86" s="20">
        <f>IF($B86="","",N($O86)+N($P86)+N($Q86))</f>
        <v/>
      </c>
      <c r="S86" s="20">
        <f>IF($B86="","",ROUND(N($N86)*N($R86),0))</f>
        <v/>
      </c>
      <c r="T86" s="19">
        <f>IF($B86="","",N($N86)-N($F86))</f>
        <v/>
      </c>
      <c r="U86" s="20">
        <f>IF($B86="","",N($S86)-N($K86))</f>
        <v/>
      </c>
      <c r="V86" s="30" t="n"/>
    </row>
    <row r="87">
      <c r="A87" s="30" t="n"/>
      <c r="B87" s="30" t="n"/>
      <c r="C87" s="18">
        <f>IF($B87="","",IFERROR(VLOOKUP($B87,단가마스터!$A$4:$H$303,2,FALSE),IFERROR(VLOOKUP($B87,일위대가!$N$4:$T$63,2,FALSE),"⚠️단가 없음")))</f>
        <v/>
      </c>
      <c r="D87" s="18">
        <f>IF($B87="","",IFERROR(VLOOKUP($B87,단가마스터!$A$4:$H$303,3,FALSE),""))</f>
        <v/>
      </c>
      <c r="E87" s="18">
        <f>IF($B87="","",IFERROR(VLOOKUP($B87,단가마스터!$A$4:$H$303,4,FALSE),IFERROR(VLOOKUP($B87,일위대가!$N$4:$T$63,3,FALSE),"")))</f>
        <v/>
      </c>
      <c r="F87" s="35" t="n"/>
      <c r="G87" s="23" t="n"/>
      <c r="H87" s="23" t="n"/>
      <c r="I87" s="23" t="n"/>
      <c r="J87" s="20">
        <f>IF($B87="","",N($G87)+N($H87)+N($I87))</f>
        <v/>
      </c>
      <c r="K87" s="20">
        <f>IF($B87="","",ROUND(N($F87)*N($J87),0))</f>
        <v/>
      </c>
      <c r="L87" s="19">
        <f>IF($B87="","",SUMIFS(수량산출서!$H$4:$H$253,수량산출서!$A$4:$A$253,"변경",수량산출서!$B$4:$B$253,$B87))</f>
        <v/>
      </c>
      <c r="M87" s="35" t="n"/>
      <c r="N87" s="19">
        <f>IF($B87="","",IF($M87&lt;&gt;"",$M87,N($L87)))</f>
        <v/>
      </c>
      <c r="O87" s="20">
        <f>IF($B87="","",IFERROR(VLOOKUP($B87,단가마스터!$A$4:$H$303,5,FALSE),IFERROR(VLOOKUP($B87,일위대가!$N$4:$T$63,4,FALSE),0)))</f>
        <v/>
      </c>
      <c r="P87" s="20">
        <f>IF($B87="","",IFERROR(VLOOKUP($B87,단가마스터!$A$4:$H$303,6,FALSE),IFERROR(VLOOKUP($B87,일위대가!$N$4:$T$63,5,FALSE),0)))</f>
        <v/>
      </c>
      <c r="Q87" s="20">
        <f>IF($B87="","",IFERROR(VLOOKUP($B87,단가마스터!$A$4:$H$303,7,FALSE),IFERROR(VLOOKUP($B87,일위대가!$N$4:$T$63,6,FALSE),0)))</f>
        <v/>
      </c>
      <c r="R87" s="20">
        <f>IF($B87="","",N($O87)+N($P87)+N($Q87))</f>
        <v/>
      </c>
      <c r="S87" s="20">
        <f>IF($B87="","",ROUND(N($N87)*N($R87),0))</f>
        <v/>
      </c>
      <c r="T87" s="19">
        <f>IF($B87="","",N($N87)-N($F87))</f>
        <v/>
      </c>
      <c r="U87" s="20">
        <f>IF($B87="","",N($S87)-N($K87))</f>
        <v/>
      </c>
      <c r="V87" s="30" t="n"/>
    </row>
    <row r="88">
      <c r="A88" s="30" t="n"/>
      <c r="B88" s="30" t="n"/>
      <c r="C88" s="18">
        <f>IF($B88="","",IFERROR(VLOOKUP($B88,단가마스터!$A$4:$H$303,2,FALSE),IFERROR(VLOOKUP($B88,일위대가!$N$4:$T$63,2,FALSE),"⚠️단가 없음")))</f>
        <v/>
      </c>
      <c r="D88" s="18">
        <f>IF($B88="","",IFERROR(VLOOKUP($B88,단가마스터!$A$4:$H$303,3,FALSE),""))</f>
        <v/>
      </c>
      <c r="E88" s="18">
        <f>IF($B88="","",IFERROR(VLOOKUP($B88,단가마스터!$A$4:$H$303,4,FALSE),IFERROR(VLOOKUP($B88,일위대가!$N$4:$T$63,3,FALSE),"")))</f>
        <v/>
      </c>
      <c r="F88" s="35" t="n"/>
      <c r="G88" s="23" t="n"/>
      <c r="H88" s="23" t="n"/>
      <c r="I88" s="23" t="n"/>
      <c r="J88" s="20">
        <f>IF($B88="","",N($G88)+N($H88)+N($I88))</f>
        <v/>
      </c>
      <c r="K88" s="20">
        <f>IF($B88="","",ROUND(N($F88)*N($J88),0))</f>
        <v/>
      </c>
      <c r="L88" s="19">
        <f>IF($B88="","",SUMIFS(수량산출서!$H$4:$H$253,수량산출서!$A$4:$A$253,"변경",수량산출서!$B$4:$B$253,$B88))</f>
        <v/>
      </c>
      <c r="M88" s="35" t="n"/>
      <c r="N88" s="19">
        <f>IF($B88="","",IF($M88&lt;&gt;"",$M88,N($L88)))</f>
        <v/>
      </c>
      <c r="O88" s="20">
        <f>IF($B88="","",IFERROR(VLOOKUP($B88,단가마스터!$A$4:$H$303,5,FALSE),IFERROR(VLOOKUP($B88,일위대가!$N$4:$T$63,4,FALSE),0)))</f>
        <v/>
      </c>
      <c r="P88" s="20">
        <f>IF($B88="","",IFERROR(VLOOKUP($B88,단가마스터!$A$4:$H$303,6,FALSE),IFERROR(VLOOKUP($B88,일위대가!$N$4:$T$63,5,FALSE),0)))</f>
        <v/>
      </c>
      <c r="Q88" s="20">
        <f>IF($B88="","",IFERROR(VLOOKUP($B88,단가마스터!$A$4:$H$303,7,FALSE),IFERROR(VLOOKUP($B88,일위대가!$N$4:$T$63,6,FALSE),0)))</f>
        <v/>
      </c>
      <c r="R88" s="20">
        <f>IF($B88="","",N($O88)+N($P88)+N($Q88))</f>
        <v/>
      </c>
      <c r="S88" s="20">
        <f>IF($B88="","",ROUND(N($N88)*N($R88),0))</f>
        <v/>
      </c>
      <c r="T88" s="19">
        <f>IF($B88="","",N($N88)-N($F88))</f>
        <v/>
      </c>
      <c r="U88" s="20">
        <f>IF($B88="","",N($S88)-N($K88))</f>
        <v/>
      </c>
      <c r="V88" s="30" t="n"/>
    </row>
    <row r="89">
      <c r="A89" s="30" t="n"/>
      <c r="B89" s="30" t="n"/>
      <c r="C89" s="18">
        <f>IF($B89="","",IFERROR(VLOOKUP($B89,단가마스터!$A$4:$H$303,2,FALSE),IFERROR(VLOOKUP($B89,일위대가!$N$4:$T$63,2,FALSE),"⚠️단가 없음")))</f>
        <v/>
      </c>
      <c r="D89" s="18">
        <f>IF($B89="","",IFERROR(VLOOKUP($B89,단가마스터!$A$4:$H$303,3,FALSE),""))</f>
        <v/>
      </c>
      <c r="E89" s="18">
        <f>IF($B89="","",IFERROR(VLOOKUP($B89,단가마스터!$A$4:$H$303,4,FALSE),IFERROR(VLOOKUP($B89,일위대가!$N$4:$T$63,3,FALSE),"")))</f>
        <v/>
      </c>
      <c r="F89" s="35" t="n"/>
      <c r="G89" s="23" t="n"/>
      <c r="H89" s="23" t="n"/>
      <c r="I89" s="23" t="n"/>
      <c r="J89" s="20">
        <f>IF($B89="","",N($G89)+N($H89)+N($I89))</f>
        <v/>
      </c>
      <c r="K89" s="20">
        <f>IF($B89="","",ROUND(N($F89)*N($J89),0))</f>
        <v/>
      </c>
      <c r="L89" s="19">
        <f>IF($B89="","",SUMIFS(수량산출서!$H$4:$H$253,수량산출서!$A$4:$A$253,"변경",수량산출서!$B$4:$B$253,$B89))</f>
        <v/>
      </c>
      <c r="M89" s="35" t="n"/>
      <c r="N89" s="19">
        <f>IF($B89="","",IF($M89&lt;&gt;"",$M89,N($L89)))</f>
        <v/>
      </c>
      <c r="O89" s="20">
        <f>IF($B89="","",IFERROR(VLOOKUP($B89,단가마스터!$A$4:$H$303,5,FALSE),IFERROR(VLOOKUP($B89,일위대가!$N$4:$T$63,4,FALSE),0)))</f>
        <v/>
      </c>
      <c r="P89" s="20">
        <f>IF($B89="","",IFERROR(VLOOKUP($B89,단가마스터!$A$4:$H$303,6,FALSE),IFERROR(VLOOKUP($B89,일위대가!$N$4:$T$63,5,FALSE),0)))</f>
        <v/>
      </c>
      <c r="Q89" s="20">
        <f>IF($B89="","",IFERROR(VLOOKUP($B89,단가마스터!$A$4:$H$303,7,FALSE),IFERROR(VLOOKUP($B89,일위대가!$N$4:$T$63,6,FALSE),0)))</f>
        <v/>
      </c>
      <c r="R89" s="20">
        <f>IF($B89="","",N($O89)+N($P89)+N($Q89))</f>
        <v/>
      </c>
      <c r="S89" s="20">
        <f>IF($B89="","",ROUND(N($N89)*N($R89),0))</f>
        <v/>
      </c>
      <c r="T89" s="19">
        <f>IF($B89="","",N($N89)-N($F89))</f>
        <v/>
      </c>
      <c r="U89" s="20">
        <f>IF($B89="","",N($S89)-N($K89))</f>
        <v/>
      </c>
      <c r="V89" s="30" t="n"/>
    </row>
    <row r="90">
      <c r="A90" s="30" t="n"/>
      <c r="B90" s="30" t="n"/>
      <c r="C90" s="18">
        <f>IF($B90="","",IFERROR(VLOOKUP($B90,단가마스터!$A$4:$H$303,2,FALSE),IFERROR(VLOOKUP($B90,일위대가!$N$4:$T$63,2,FALSE),"⚠️단가 없음")))</f>
        <v/>
      </c>
      <c r="D90" s="18">
        <f>IF($B90="","",IFERROR(VLOOKUP($B90,단가마스터!$A$4:$H$303,3,FALSE),""))</f>
        <v/>
      </c>
      <c r="E90" s="18">
        <f>IF($B90="","",IFERROR(VLOOKUP($B90,단가마스터!$A$4:$H$303,4,FALSE),IFERROR(VLOOKUP($B90,일위대가!$N$4:$T$63,3,FALSE),"")))</f>
        <v/>
      </c>
      <c r="F90" s="35" t="n"/>
      <c r="G90" s="23" t="n"/>
      <c r="H90" s="23" t="n"/>
      <c r="I90" s="23" t="n"/>
      <c r="J90" s="20">
        <f>IF($B90="","",N($G90)+N($H90)+N($I90))</f>
        <v/>
      </c>
      <c r="K90" s="20">
        <f>IF($B90="","",ROUND(N($F90)*N($J90),0))</f>
        <v/>
      </c>
      <c r="L90" s="19">
        <f>IF($B90="","",SUMIFS(수량산출서!$H$4:$H$253,수량산출서!$A$4:$A$253,"변경",수량산출서!$B$4:$B$253,$B90))</f>
        <v/>
      </c>
      <c r="M90" s="35" t="n"/>
      <c r="N90" s="19">
        <f>IF($B90="","",IF($M90&lt;&gt;"",$M90,N($L90)))</f>
        <v/>
      </c>
      <c r="O90" s="20">
        <f>IF($B90="","",IFERROR(VLOOKUP($B90,단가마스터!$A$4:$H$303,5,FALSE),IFERROR(VLOOKUP($B90,일위대가!$N$4:$T$63,4,FALSE),0)))</f>
        <v/>
      </c>
      <c r="P90" s="20">
        <f>IF($B90="","",IFERROR(VLOOKUP($B90,단가마스터!$A$4:$H$303,6,FALSE),IFERROR(VLOOKUP($B90,일위대가!$N$4:$T$63,5,FALSE),0)))</f>
        <v/>
      </c>
      <c r="Q90" s="20">
        <f>IF($B90="","",IFERROR(VLOOKUP($B90,단가마스터!$A$4:$H$303,7,FALSE),IFERROR(VLOOKUP($B90,일위대가!$N$4:$T$63,6,FALSE),0)))</f>
        <v/>
      </c>
      <c r="R90" s="20">
        <f>IF($B90="","",N($O90)+N($P90)+N($Q90))</f>
        <v/>
      </c>
      <c r="S90" s="20">
        <f>IF($B90="","",ROUND(N($N90)*N($R90),0))</f>
        <v/>
      </c>
      <c r="T90" s="19">
        <f>IF($B90="","",N($N90)-N($F90))</f>
        <v/>
      </c>
      <c r="U90" s="20">
        <f>IF($B90="","",N($S90)-N($K90))</f>
        <v/>
      </c>
      <c r="V90" s="30" t="n"/>
    </row>
    <row r="91">
      <c r="A91" s="30" t="n"/>
      <c r="B91" s="30" t="n"/>
      <c r="C91" s="18">
        <f>IF($B91="","",IFERROR(VLOOKUP($B91,단가마스터!$A$4:$H$303,2,FALSE),IFERROR(VLOOKUP($B91,일위대가!$N$4:$T$63,2,FALSE),"⚠️단가 없음")))</f>
        <v/>
      </c>
      <c r="D91" s="18">
        <f>IF($B91="","",IFERROR(VLOOKUP($B91,단가마스터!$A$4:$H$303,3,FALSE),""))</f>
        <v/>
      </c>
      <c r="E91" s="18">
        <f>IF($B91="","",IFERROR(VLOOKUP($B91,단가마스터!$A$4:$H$303,4,FALSE),IFERROR(VLOOKUP($B91,일위대가!$N$4:$T$63,3,FALSE),"")))</f>
        <v/>
      </c>
      <c r="F91" s="35" t="n"/>
      <c r="G91" s="23" t="n"/>
      <c r="H91" s="23" t="n"/>
      <c r="I91" s="23" t="n"/>
      <c r="J91" s="20">
        <f>IF($B91="","",N($G91)+N($H91)+N($I91))</f>
        <v/>
      </c>
      <c r="K91" s="20">
        <f>IF($B91="","",ROUND(N($F91)*N($J91),0))</f>
        <v/>
      </c>
      <c r="L91" s="19">
        <f>IF($B91="","",SUMIFS(수량산출서!$H$4:$H$253,수량산출서!$A$4:$A$253,"변경",수량산출서!$B$4:$B$253,$B91))</f>
        <v/>
      </c>
      <c r="M91" s="35" t="n"/>
      <c r="N91" s="19">
        <f>IF($B91="","",IF($M91&lt;&gt;"",$M91,N($L91)))</f>
        <v/>
      </c>
      <c r="O91" s="20">
        <f>IF($B91="","",IFERROR(VLOOKUP($B91,단가마스터!$A$4:$H$303,5,FALSE),IFERROR(VLOOKUP($B91,일위대가!$N$4:$T$63,4,FALSE),0)))</f>
        <v/>
      </c>
      <c r="P91" s="20">
        <f>IF($B91="","",IFERROR(VLOOKUP($B91,단가마스터!$A$4:$H$303,6,FALSE),IFERROR(VLOOKUP($B91,일위대가!$N$4:$T$63,5,FALSE),0)))</f>
        <v/>
      </c>
      <c r="Q91" s="20">
        <f>IF($B91="","",IFERROR(VLOOKUP($B91,단가마스터!$A$4:$H$303,7,FALSE),IFERROR(VLOOKUP($B91,일위대가!$N$4:$T$63,6,FALSE),0)))</f>
        <v/>
      </c>
      <c r="R91" s="20">
        <f>IF($B91="","",N($O91)+N($P91)+N($Q91))</f>
        <v/>
      </c>
      <c r="S91" s="20">
        <f>IF($B91="","",ROUND(N($N91)*N($R91),0))</f>
        <v/>
      </c>
      <c r="T91" s="19">
        <f>IF($B91="","",N($N91)-N($F91))</f>
        <v/>
      </c>
      <c r="U91" s="20">
        <f>IF($B91="","",N($S91)-N($K91))</f>
        <v/>
      </c>
      <c r="V91" s="30" t="n"/>
    </row>
    <row r="92">
      <c r="A92" s="30" t="n"/>
      <c r="B92" s="30" t="n"/>
      <c r="C92" s="18">
        <f>IF($B92="","",IFERROR(VLOOKUP($B92,단가마스터!$A$4:$H$303,2,FALSE),IFERROR(VLOOKUP($B92,일위대가!$N$4:$T$63,2,FALSE),"⚠️단가 없음")))</f>
        <v/>
      </c>
      <c r="D92" s="18">
        <f>IF($B92="","",IFERROR(VLOOKUP($B92,단가마스터!$A$4:$H$303,3,FALSE),""))</f>
        <v/>
      </c>
      <c r="E92" s="18">
        <f>IF($B92="","",IFERROR(VLOOKUP($B92,단가마스터!$A$4:$H$303,4,FALSE),IFERROR(VLOOKUP($B92,일위대가!$N$4:$T$63,3,FALSE),"")))</f>
        <v/>
      </c>
      <c r="F92" s="35" t="n"/>
      <c r="G92" s="23" t="n"/>
      <c r="H92" s="23" t="n"/>
      <c r="I92" s="23" t="n"/>
      <c r="J92" s="20">
        <f>IF($B92="","",N($G92)+N($H92)+N($I92))</f>
        <v/>
      </c>
      <c r="K92" s="20">
        <f>IF($B92="","",ROUND(N($F92)*N($J92),0))</f>
        <v/>
      </c>
      <c r="L92" s="19">
        <f>IF($B92="","",SUMIFS(수량산출서!$H$4:$H$253,수량산출서!$A$4:$A$253,"변경",수량산출서!$B$4:$B$253,$B92))</f>
        <v/>
      </c>
      <c r="M92" s="35" t="n"/>
      <c r="N92" s="19">
        <f>IF($B92="","",IF($M92&lt;&gt;"",$M92,N($L92)))</f>
        <v/>
      </c>
      <c r="O92" s="20">
        <f>IF($B92="","",IFERROR(VLOOKUP($B92,단가마스터!$A$4:$H$303,5,FALSE),IFERROR(VLOOKUP($B92,일위대가!$N$4:$T$63,4,FALSE),0)))</f>
        <v/>
      </c>
      <c r="P92" s="20">
        <f>IF($B92="","",IFERROR(VLOOKUP($B92,단가마스터!$A$4:$H$303,6,FALSE),IFERROR(VLOOKUP($B92,일위대가!$N$4:$T$63,5,FALSE),0)))</f>
        <v/>
      </c>
      <c r="Q92" s="20">
        <f>IF($B92="","",IFERROR(VLOOKUP($B92,단가마스터!$A$4:$H$303,7,FALSE),IFERROR(VLOOKUP($B92,일위대가!$N$4:$T$63,6,FALSE),0)))</f>
        <v/>
      </c>
      <c r="R92" s="20">
        <f>IF($B92="","",N($O92)+N($P92)+N($Q92))</f>
        <v/>
      </c>
      <c r="S92" s="20">
        <f>IF($B92="","",ROUND(N($N92)*N($R92),0))</f>
        <v/>
      </c>
      <c r="T92" s="19">
        <f>IF($B92="","",N($N92)-N($F92))</f>
        <v/>
      </c>
      <c r="U92" s="20">
        <f>IF($B92="","",N($S92)-N($K92))</f>
        <v/>
      </c>
      <c r="V92" s="30" t="n"/>
    </row>
    <row r="93">
      <c r="A93" s="30" t="n"/>
      <c r="B93" s="30" t="n"/>
      <c r="C93" s="18">
        <f>IF($B93="","",IFERROR(VLOOKUP($B93,단가마스터!$A$4:$H$303,2,FALSE),IFERROR(VLOOKUP($B93,일위대가!$N$4:$T$63,2,FALSE),"⚠️단가 없음")))</f>
        <v/>
      </c>
      <c r="D93" s="18">
        <f>IF($B93="","",IFERROR(VLOOKUP($B93,단가마스터!$A$4:$H$303,3,FALSE),""))</f>
        <v/>
      </c>
      <c r="E93" s="18">
        <f>IF($B93="","",IFERROR(VLOOKUP($B93,단가마스터!$A$4:$H$303,4,FALSE),IFERROR(VLOOKUP($B93,일위대가!$N$4:$T$63,3,FALSE),"")))</f>
        <v/>
      </c>
      <c r="F93" s="35" t="n"/>
      <c r="G93" s="23" t="n"/>
      <c r="H93" s="23" t="n"/>
      <c r="I93" s="23" t="n"/>
      <c r="J93" s="20">
        <f>IF($B93="","",N($G93)+N($H93)+N($I93))</f>
        <v/>
      </c>
      <c r="K93" s="20">
        <f>IF($B93="","",ROUND(N($F93)*N($J93),0))</f>
        <v/>
      </c>
      <c r="L93" s="19">
        <f>IF($B93="","",SUMIFS(수량산출서!$H$4:$H$253,수량산출서!$A$4:$A$253,"변경",수량산출서!$B$4:$B$253,$B93))</f>
        <v/>
      </c>
      <c r="M93" s="35" t="n"/>
      <c r="N93" s="19">
        <f>IF($B93="","",IF($M93&lt;&gt;"",$M93,N($L93)))</f>
        <v/>
      </c>
      <c r="O93" s="20">
        <f>IF($B93="","",IFERROR(VLOOKUP($B93,단가마스터!$A$4:$H$303,5,FALSE),IFERROR(VLOOKUP($B93,일위대가!$N$4:$T$63,4,FALSE),0)))</f>
        <v/>
      </c>
      <c r="P93" s="20">
        <f>IF($B93="","",IFERROR(VLOOKUP($B93,단가마스터!$A$4:$H$303,6,FALSE),IFERROR(VLOOKUP($B93,일위대가!$N$4:$T$63,5,FALSE),0)))</f>
        <v/>
      </c>
      <c r="Q93" s="20">
        <f>IF($B93="","",IFERROR(VLOOKUP($B93,단가마스터!$A$4:$H$303,7,FALSE),IFERROR(VLOOKUP($B93,일위대가!$N$4:$T$63,6,FALSE),0)))</f>
        <v/>
      </c>
      <c r="R93" s="20">
        <f>IF($B93="","",N($O93)+N($P93)+N($Q93))</f>
        <v/>
      </c>
      <c r="S93" s="20">
        <f>IF($B93="","",ROUND(N($N93)*N($R93),0))</f>
        <v/>
      </c>
      <c r="T93" s="19">
        <f>IF($B93="","",N($N93)-N($F93))</f>
        <v/>
      </c>
      <c r="U93" s="20">
        <f>IF($B93="","",N($S93)-N($K93))</f>
        <v/>
      </c>
      <c r="V93" s="30" t="n"/>
    </row>
    <row r="94">
      <c r="A94" s="30" t="n"/>
      <c r="B94" s="30" t="n"/>
      <c r="C94" s="18">
        <f>IF($B94="","",IFERROR(VLOOKUP($B94,단가마스터!$A$4:$H$303,2,FALSE),IFERROR(VLOOKUP($B94,일위대가!$N$4:$T$63,2,FALSE),"⚠️단가 없음")))</f>
        <v/>
      </c>
      <c r="D94" s="18">
        <f>IF($B94="","",IFERROR(VLOOKUP($B94,단가마스터!$A$4:$H$303,3,FALSE),""))</f>
        <v/>
      </c>
      <c r="E94" s="18">
        <f>IF($B94="","",IFERROR(VLOOKUP($B94,단가마스터!$A$4:$H$303,4,FALSE),IFERROR(VLOOKUP($B94,일위대가!$N$4:$T$63,3,FALSE),"")))</f>
        <v/>
      </c>
      <c r="F94" s="35" t="n"/>
      <c r="G94" s="23" t="n"/>
      <c r="H94" s="23" t="n"/>
      <c r="I94" s="23" t="n"/>
      <c r="J94" s="20">
        <f>IF($B94="","",N($G94)+N($H94)+N($I94))</f>
        <v/>
      </c>
      <c r="K94" s="20">
        <f>IF($B94="","",ROUND(N($F94)*N($J94),0))</f>
        <v/>
      </c>
      <c r="L94" s="19">
        <f>IF($B94="","",SUMIFS(수량산출서!$H$4:$H$253,수량산출서!$A$4:$A$253,"변경",수량산출서!$B$4:$B$253,$B94))</f>
        <v/>
      </c>
      <c r="M94" s="35" t="n"/>
      <c r="N94" s="19">
        <f>IF($B94="","",IF($M94&lt;&gt;"",$M94,N($L94)))</f>
        <v/>
      </c>
      <c r="O94" s="20">
        <f>IF($B94="","",IFERROR(VLOOKUP($B94,단가마스터!$A$4:$H$303,5,FALSE),IFERROR(VLOOKUP($B94,일위대가!$N$4:$T$63,4,FALSE),0)))</f>
        <v/>
      </c>
      <c r="P94" s="20">
        <f>IF($B94="","",IFERROR(VLOOKUP($B94,단가마스터!$A$4:$H$303,6,FALSE),IFERROR(VLOOKUP($B94,일위대가!$N$4:$T$63,5,FALSE),0)))</f>
        <v/>
      </c>
      <c r="Q94" s="20">
        <f>IF($B94="","",IFERROR(VLOOKUP($B94,단가마스터!$A$4:$H$303,7,FALSE),IFERROR(VLOOKUP($B94,일위대가!$N$4:$T$63,6,FALSE),0)))</f>
        <v/>
      </c>
      <c r="R94" s="20">
        <f>IF($B94="","",N($O94)+N($P94)+N($Q94))</f>
        <v/>
      </c>
      <c r="S94" s="20">
        <f>IF($B94="","",ROUND(N($N94)*N($R94),0))</f>
        <v/>
      </c>
      <c r="T94" s="19">
        <f>IF($B94="","",N($N94)-N($F94))</f>
        <v/>
      </c>
      <c r="U94" s="20">
        <f>IF($B94="","",N($S94)-N($K94))</f>
        <v/>
      </c>
      <c r="V94" s="30" t="n"/>
    </row>
    <row r="95">
      <c r="A95" s="30" t="n"/>
      <c r="B95" s="30" t="n"/>
      <c r="C95" s="18">
        <f>IF($B95="","",IFERROR(VLOOKUP($B95,단가마스터!$A$4:$H$303,2,FALSE),IFERROR(VLOOKUP($B95,일위대가!$N$4:$T$63,2,FALSE),"⚠️단가 없음")))</f>
        <v/>
      </c>
      <c r="D95" s="18">
        <f>IF($B95="","",IFERROR(VLOOKUP($B95,단가마스터!$A$4:$H$303,3,FALSE),""))</f>
        <v/>
      </c>
      <c r="E95" s="18">
        <f>IF($B95="","",IFERROR(VLOOKUP($B95,단가마스터!$A$4:$H$303,4,FALSE),IFERROR(VLOOKUP($B95,일위대가!$N$4:$T$63,3,FALSE),"")))</f>
        <v/>
      </c>
      <c r="F95" s="35" t="n"/>
      <c r="G95" s="23" t="n"/>
      <c r="H95" s="23" t="n"/>
      <c r="I95" s="23" t="n"/>
      <c r="J95" s="20">
        <f>IF($B95="","",N($G95)+N($H95)+N($I95))</f>
        <v/>
      </c>
      <c r="K95" s="20">
        <f>IF($B95="","",ROUND(N($F95)*N($J95),0))</f>
        <v/>
      </c>
      <c r="L95" s="19">
        <f>IF($B95="","",SUMIFS(수량산출서!$H$4:$H$253,수량산출서!$A$4:$A$253,"변경",수량산출서!$B$4:$B$253,$B95))</f>
        <v/>
      </c>
      <c r="M95" s="35" t="n"/>
      <c r="N95" s="19">
        <f>IF($B95="","",IF($M95&lt;&gt;"",$M95,N($L95)))</f>
        <v/>
      </c>
      <c r="O95" s="20">
        <f>IF($B95="","",IFERROR(VLOOKUP($B95,단가마스터!$A$4:$H$303,5,FALSE),IFERROR(VLOOKUP($B95,일위대가!$N$4:$T$63,4,FALSE),0)))</f>
        <v/>
      </c>
      <c r="P95" s="20">
        <f>IF($B95="","",IFERROR(VLOOKUP($B95,단가마스터!$A$4:$H$303,6,FALSE),IFERROR(VLOOKUP($B95,일위대가!$N$4:$T$63,5,FALSE),0)))</f>
        <v/>
      </c>
      <c r="Q95" s="20">
        <f>IF($B95="","",IFERROR(VLOOKUP($B95,단가마스터!$A$4:$H$303,7,FALSE),IFERROR(VLOOKUP($B95,일위대가!$N$4:$T$63,6,FALSE),0)))</f>
        <v/>
      </c>
      <c r="R95" s="20">
        <f>IF($B95="","",N($O95)+N($P95)+N($Q95))</f>
        <v/>
      </c>
      <c r="S95" s="20">
        <f>IF($B95="","",ROUND(N($N95)*N($R95),0))</f>
        <v/>
      </c>
      <c r="T95" s="19">
        <f>IF($B95="","",N($N95)-N($F95))</f>
        <v/>
      </c>
      <c r="U95" s="20">
        <f>IF($B95="","",N($S95)-N($K95))</f>
        <v/>
      </c>
      <c r="V95" s="30" t="n"/>
    </row>
    <row r="96">
      <c r="A96" s="30" t="n"/>
      <c r="B96" s="30" t="n"/>
      <c r="C96" s="18">
        <f>IF($B96="","",IFERROR(VLOOKUP($B96,단가마스터!$A$4:$H$303,2,FALSE),IFERROR(VLOOKUP($B96,일위대가!$N$4:$T$63,2,FALSE),"⚠️단가 없음")))</f>
        <v/>
      </c>
      <c r="D96" s="18">
        <f>IF($B96="","",IFERROR(VLOOKUP($B96,단가마스터!$A$4:$H$303,3,FALSE),""))</f>
        <v/>
      </c>
      <c r="E96" s="18">
        <f>IF($B96="","",IFERROR(VLOOKUP($B96,단가마스터!$A$4:$H$303,4,FALSE),IFERROR(VLOOKUP($B96,일위대가!$N$4:$T$63,3,FALSE),"")))</f>
        <v/>
      </c>
      <c r="F96" s="35" t="n"/>
      <c r="G96" s="23" t="n"/>
      <c r="H96" s="23" t="n"/>
      <c r="I96" s="23" t="n"/>
      <c r="J96" s="20">
        <f>IF($B96="","",N($G96)+N($H96)+N($I96))</f>
        <v/>
      </c>
      <c r="K96" s="20">
        <f>IF($B96="","",ROUND(N($F96)*N($J96),0))</f>
        <v/>
      </c>
      <c r="L96" s="19">
        <f>IF($B96="","",SUMIFS(수량산출서!$H$4:$H$253,수량산출서!$A$4:$A$253,"변경",수량산출서!$B$4:$B$253,$B96))</f>
        <v/>
      </c>
      <c r="M96" s="35" t="n"/>
      <c r="N96" s="19">
        <f>IF($B96="","",IF($M96&lt;&gt;"",$M96,N($L96)))</f>
        <v/>
      </c>
      <c r="O96" s="20">
        <f>IF($B96="","",IFERROR(VLOOKUP($B96,단가마스터!$A$4:$H$303,5,FALSE),IFERROR(VLOOKUP($B96,일위대가!$N$4:$T$63,4,FALSE),0)))</f>
        <v/>
      </c>
      <c r="P96" s="20">
        <f>IF($B96="","",IFERROR(VLOOKUP($B96,단가마스터!$A$4:$H$303,6,FALSE),IFERROR(VLOOKUP($B96,일위대가!$N$4:$T$63,5,FALSE),0)))</f>
        <v/>
      </c>
      <c r="Q96" s="20">
        <f>IF($B96="","",IFERROR(VLOOKUP($B96,단가마스터!$A$4:$H$303,7,FALSE),IFERROR(VLOOKUP($B96,일위대가!$N$4:$T$63,6,FALSE),0)))</f>
        <v/>
      </c>
      <c r="R96" s="20">
        <f>IF($B96="","",N($O96)+N($P96)+N($Q96))</f>
        <v/>
      </c>
      <c r="S96" s="20">
        <f>IF($B96="","",ROUND(N($N96)*N($R96),0))</f>
        <v/>
      </c>
      <c r="T96" s="19">
        <f>IF($B96="","",N($N96)-N($F96))</f>
        <v/>
      </c>
      <c r="U96" s="20">
        <f>IF($B96="","",N($S96)-N($K96))</f>
        <v/>
      </c>
      <c r="V96" s="30" t="n"/>
    </row>
    <row r="97">
      <c r="A97" s="30" t="n"/>
      <c r="B97" s="30" t="n"/>
      <c r="C97" s="18">
        <f>IF($B97="","",IFERROR(VLOOKUP($B97,단가마스터!$A$4:$H$303,2,FALSE),IFERROR(VLOOKUP($B97,일위대가!$N$4:$T$63,2,FALSE),"⚠️단가 없음")))</f>
        <v/>
      </c>
      <c r="D97" s="18">
        <f>IF($B97="","",IFERROR(VLOOKUP($B97,단가마스터!$A$4:$H$303,3,FALSE),""))</f>
        <v/>
      </c>
      <c r="E97" s="18">
        <f>IF($B97="","",IFERROR(VLOOKUP($B97,단가마스터!$A$4:$H$303,4,FALSE),IFERROR(VLOOKUP($B97,일위대가!$N$4:$T$63,3,FALSE),"")))</f>
        <v/>
      </c>
      <c r="F97" s="35" t="n"/>
      <c r="G97" s="23" t="n"/>
      <c r="H97" s="23" t="n"/>
      <c r="I97" s="23" t="n"/>
      <c r="J97" s="20">
        <f>IF($B97="","",N($G97)+N($H97)+N($I97))</f>
        <v/>
      </c>
      <c r="K97" s="20">
        <f>IF($B97="","",ROUND(N($F97)*N($J97),0))</f>
        <v/>
      </c>
      <c r="L97" s="19">
        <f>IF($B97="","",SUMIFS(수량산출서!$H$4:$H$253,수량산출서!$A$4:$A$253,"변경",수량산출서!$B$4:$B$253,$B97))</f>
        <v/>
      </c>
      <c r="M97" s="35" t="n"/>
      <c r="N97" s="19">
        <f>IF($B97="","",IF($M97&lt;&gt;"",$M97,N($L97)))</f>
        <v/>
      </c>
      <c r="O97" s="20">
        <f>IF($B97="","",IFERROR(VLOOKUP($B97,단가마스터!$A$4:$H$303,5,FALSE),IFERROR(VLOOKUP($B97,일위대가!$N$4:$T$63,4,FALSE),0)))</f>
        <v/>
      </c>
      <c r="P97" s="20">
        <f>IF($B97="","",IFERROR(VLOOKUP($B97,단가마스터!$A$4:$H$303,6,FALSE),IFERROR(VLOOKUP($B97,일위대가!$N$4:$T$63,5,FALSE),0)))</f>
        <v/>
      </c>
      <c r="Q97" s="20">
        <f>IF($B97="","",IFERROR(VLOOKUP($B97,단가마스터!$A$4:$H$303,7,FALSE),IFERROR(VLOOKUP($B97,일위대가!$N$4:$T$63,6,FALSE),0)))</f>
        <v/>
      </c>
      <c r="R97" s="20">
        <f>IF($B97="","",N($O97)+N($P97)+N($Q97))</f>
        <v/>
      </c>
      <c r="S97" s="20">
        <f>IF($B97="","",ROUND(N($N97)*N($R97),0))</f>
        <v/>
      </c>
      <c r="T97" s="19">
        <f>IF($B97="","",N($N97)-N($F97))</f>
        <v/>
      </c>
      <c r="U97" s="20">
        <f>IF($B97="","",N($S97)-N($K97))</f>
        <v/>
      </c>
      <c r="V97" s="30" t="n"/>
    </row>
    <row r="98">
      <c r="A98" s="30" t="n"/>
      <c r="B98" s="30" t="n"/>
      <c r="C98" s="18">
        <f>IF($B98="","",IFERROR(VLOOKUP($B98,단가마스터!$A$4:$H$303,2,FALSE),IFERROR(VLOOKUP($B98,일위대가!$N$4:$T$63,2,FALSE),"⚠️단가 없음")))</f>
        <v/>
      </c>
      <c r="D98" s="18">
        <f>IF($B98="","",IFERROR(VLOOKUP($B98,단가마스터!$A$4:$H$303,3,FALSE),""))</f>
        <v/>
      </c>
      <c r="E98" s="18">
        <f>IF($B98="","",IFERROR(VLOOKUP($B98,단가마스터!$A$4:$H$303,4,FALSE),IFERROR(VLOOKUP($B98,일위대가!$N$4:$T$63,3,FALSE),"")))</f>
        <v/>
      </c>
      <c r="F98" s="35" t="n"/>
      <c r="G98" s="23" t="n"/>
      <c r="H98" s="23" t="n"/>
      <c r="I98" s="23" t="n"/>
      <c r="J98" s="20">
        <f>IF($B98="","",N($G98)+N($H98)+N($I98))</f>
        <v/>
      </c>
      <c r="K98" s="20">
        <f>IF($B98="","",ROUND(N($F98)*N($J98),0))</f>
        <v/>
      </c>
      <c r="L98" s="19">
        <f>IF($B98="","",SUMIFS(수량산출서!$H$4:$H$253,수량산출서!$A$4:$A$253,"변경",수량산출서!$B$4:$B$253,$B98))</f>
        <v/>
      </c>
      <c r="M98" s="35" t="n"/>
      <c r="N98" s="19">
        <f>IF($B98="","",IF($M98&lt;&gt;"",$M98,N($L98)))</f>
        <v/>
      </c>
      <c r="O98" s="20">
        <f>IF($B98="","",IFERROR(VLOOKUP($B98,단가마스터!$A$4:$H$303,5,FALSE),IFERROR(VLOOKUP($B98,일위대가!$N$4:$T$63,4,FALSE),0)))</f>
        <v/>
      </c>
      <c r="P98" s="20">
        <f>IF($B98="","",IFERROR(VLOOKUP($B98,단가마스터!$A$4:$H$303,6,FALSE),IFERROR(VLOOKUP($B98,일위대가!$N$4:$T$63,5,FALSE),0)))</f>
        <v/>
      </c>
      <c r="Q98" s="20">
        <f>IF($B98="","",IFERROR(VLOOKUP($B98,단가마스터!$A$4:$H$303,7,FALSE),IFERROR(VLOOKUP($B98,일위대가!$N$4:$T$63,6,FALSE),0)))</f>
        <v/>
      </c>
      <c r="R98" s="20">
        <f>IF($B98="","",N($O98)+N($P98)+N($Q98))</f>
        <v/>
      </c>
      <c r="S98" s="20">
        <f>IF($B98="","",ROUND(N($N98)*N($R98),0))</f>
        <v/>
      </c>
      <c r="T98" s="19">
        <f>IF($B98="","",N($N98)-N($F98))</f>
        <v/>
      </c>
      <c r="U98" s="20">
        <f>IF($B98="","",N($S98)-N($K98))</f>
        <v/>
      </c>
      <c r="V98" s="30" t="n"/>
    </row>
    <row r="99">
      <c r="A99" s="30" t="n"/>
      <c r="B99" s="30" t="n"/>
      <c r="C99" s="18">
        <f>IF($B99="","",IFERROR(VLOOKUP($B99,단가마스터!$A$4:$H$303,2,FALSE),IFERROR(VLOOKUP($B99,일위대가!$N$4:$T$63,2,FALSE),"⚠️단가 없음")))</f>
        <v/>
      </c>
      <c r="D99" s="18">
        <f>IF($B99="","",IFERROR(VLOOKUP($B99,단가마스터!$A$4:$H$303,3,FALSE),""))</f>
        <v/>
      </c>
      <c r="E99" s="18">
        <f>IF($B99="","",IFERROR(VLOOKUP($B99,단가마스터!$A$4:$H$303,4,FALSE),IFERROR(VLOOKUP($B99,일위대가!$N$4:$T$63,3,FALSE),"")))</f>
        <v/>
      </c>
      <c r="F99" s="35" t="n"/>
      <c r="G99" s="23" t="n"/>
      <c r="H99" s="23" t="n"/>
      <c r="I99" s="23" t="n"/>
      <c r="J99" s="20">
        <f>IF($B99="","",N($G99)+N($H99)+N($I99))</f>
        <v/>
      </c>
      <c r="K99" s="20">
        <f>IF($B99="","",ROUND(N($F99)*N($J99),0))</f>
        <v/>
      </c>
      <c r="L99" s="19">
        <f>IF($B99="","",SUMIFS(수량산출서!$H$4:$H$253,수량산출서!$A$4:$A$253,"변경",수량산출서!$B$4:$B$253,$B99))</f>
        <v/>
      </c>
      <c r="M99" s="35" t="n"/>
      <c r="N99" s="19">
        <f>IF($B99="","",IF($M99&lt;&gt;"",$M99,N($L99)))</f>
        <v/>
      </c>
      <c r="O99" s="20">
        <f>IF($B99="","",IFERROR(VLOOKUP($B99,단가마스터!$A$4:$H$303,5,FALSE),IFERROR(VLOOKUP($B99,일위대가!$N$4:$T$63,4,FALSE),0)))</f>
        <v/>
      </c>
      <c r="P99" s="20">
        <f>IF($B99="","",IFERROR(VLOOKUP($B99,단가마스터!$A$4:$H$303,6,FALSE),IFERROR(VLOOKUP($B99,일위대가!$N$4:$T$63,5,FALSE),0)))</f>
        <v/>
      </c>
      <c r="Q99" s="20">
        <f>IF($B99="","",IFERROR(VLOOKUP($B99,단가마스터!$A$4:$H$303,7,FALSE),IFERROR(VLOOKUP($B99,일위대가!$N$4:$T$63,6,FALSE),0)))</f>
        <v/>
      </c>
      <c r="R99" s="20">
        <f>IF($B99="","",N($O99)+N($P99)+N($Q99))</f>
        <v/>
      </c>
      <c r="S99" s="20">
        <f>IF($B99="","",ROUND(N($N99)*N($R99),0))</f>
        <v/>
      </c>
      <c r="T99" s="19">
        <f>IF($B99="","",N($N99)-N($F99))</f>
        <v/>
      </c>
      <c r="U99" s="20">
        <f>IF($B99="","",N($S99)-N($K99))</f>
        <v/>
      </c>
      <c r="V99" s="30" t="n"/>
    </row>
    <row r="100">
      <c r="A100" s="30" t="n"/>
      <c r="B100" s="30" t="n"/>
      <c r="C100" s="18">
        <f>IF($B100="","",IFERROR(VLOOKUP($B100,단가마스터!$A$4:$H$303,2,FALSE),IFERROR(VLOOKUP($B100,일위대가!$N$4:$T$63,2,FALSE),"⚠️단가 없음")))</f>
        <v/>
      </c>
      <c r="D100" s="18">
        <f>IF($B100="","",IFERROR(VLOOKUP($B100,단가마스터!$A$4:$H$303,3,FALSE),""))</f>
        <v/>
      </c>
      <c r="E100" s="18">
        <f>IF($B100="","",IFERROR(VLOOKUP($B100,단가마스터!$A$4:$H$303,4,FALSE),IFERROR(VLOOKUP($B100,일위대가!$N$4:$T$63,3,FALSE),"")))</f>
        <v/>
      </c>
      <c r="F100" s="35" t="n"/>
      <c r="G100" s="23" t="n"/>
      <c r="H100" s="23" t="n"/>
      <c r="I100" s="23" t="n"/>
      <c r="J100" s="20">
        <f>IF($B100="","",N($G100)+N($H100)+N($I100))</f>
        <v/>
      </c>
      <c r="K100" s="20">
        <f>IF($B100="","",ROUND(N($F100)*N($J100),0))</f>
        <v/>
      </c>
      <c r="L100" s="19">
        <f>IF($B100="","",SUMIFS(수량산출서!$H$4:$H$253,수량산출서!$A$4:$A$253,"변경",수량산출서!$B$4:$B$253,$B100))</f>
        <v/>
      </c>
      <c r="M100" s="35" t="n"/>
      <c r="N100" s="19">
        <f>IF($B100="","",IF($M100&lt;&gt;"",$M100,N($L100)))</f>
        <v/>
      </c>
      <c r="O100" s="20">
        <f>IF($B100="","",IFERROR(VLOOKUP($B100,단가마스터!$A$4:$H$303,5,FALSE),IFERROR(VLOOKUP($B100,일위대가!$N$4:$T$63,4,FALSE),0)))</f>
        <v/>
      </c>
      <c r="P100" s="20">
        <f>IF($B100="","",IFERROR(VLOOKUP($B100,단가마스터!$A$4:$H$303,6,FALSE),IFERROR(VLOOKUP($B100,일위대가!$N$4:$T$63,5,FALSE),0)))</f>
        <v/>
      </c>
      <c r="Q100" s="20">
        <f>IF($B100="","",IFERROR(VLOOKUP($B100,단가마스터!$A$4:$H$303,7,FALSE),IFERROR(VLOOKUP($B100,일위대가!$N$4:$T$63,6,FALSE),0)))</f>
        <v/>
      </c>
      <c r="R100" s="20">
        <f>IF($B100="","",N($O100)+N($P100)+N($Q100))</f>
        <v/>
      </c>
      <c r="S100" s="20">
        <f>IF($B100="","",ROUND(N($N100)*N($R100),0))</f>
        <v/>
      </c>
      <c r="T100" s="19">
        <f>IF($B100="","",N($N100)-N($F100))</f>
        <v/>
      </c>
      <c r="U100" s="20">
        <f>IF($B100="","",N($S100)-N($K100))</f>
        <v/>
      </c>
      <c r="V100" s="30" t="n"/>
    </row>
    <row r="101">
      <c r="A101" s="30" t="n"/>
      <c r="B101" s="30" t="n"/>
      <c r="C101" s="18">
        <f>IF($B101="","",IFERROR(VLOOKUP($B101,단가마스터!$A$4:$H$303,2,FALSE),IFERROR(VLOOKUP($B101,일위대가!$N$4:$T$63,2,FALSE),"⚠️단가 없음")))</f>
        <v/>
      </c>
      <c r="D101" s="18">
        <f>IF($B101="","",IFERROR(VLOOKUP($B101,단가마스터!$A$4:$H$303,3,FALSE),""))</f>
        <v/>
      </c>
      <c r="E101" s="18">
        <f>IF($B101="","",IFERROR(VLOOKUP($B101,단가마스터!$A$4:$H$303,4,FALSE),IFERROR(VLOOKUP($B101,일위대가!$N$4:$T$63,3,FALSE),"")))</f>
        <v/>
      </c>
      <c r="F101" s="35" t="n"/>
      <c r="G101" s="23" t="n"/>
      <c r="H101" s="23" t="n"/>
      <c r="I101" s="23" t="n"/>
      <c r="J101" s="20">
        <f>IF($B101="","",N($G101)+N($H101)+N($I101))</f>
        <v/>
      </c>
      <c r="K101" s="20">
        <f>IF($B101="","",ROUND(N($F101)*N($J101),0))</f>
        <v/>
      </c>
      <c r="L101" s="19">
        <f>IF($B101="","",SUMIFS(수량산출서!$H$4:$H$253,수량산출서!$A$4:$A$253,"변경",수량산출서!$B$4:$B$253,$B101))</f>
        <v/>
      </c>
      <c r="M101" s="35" t="n"/>
      <c r="N101" s="19">
        <f>IF($B101="","",IF($M101&lt;&gt;"",$M101,N($L101)))</f>
        <v/>
      </c>
      <c r="O101" s="20">
        <f>IF($B101="","",IFERROR(VLOOKUP($B101,단가마스터!$A$4:$H$303,5,FALSE),IFERROR(VLOOKUP($B101,일위대가!$N$4:$T$63,4,FALSE),0)))</f>
        <v/>
      </c>
      <c r="P101" s="20">
        <f>IF($B101="","",IFERROR(VLOOKUP($B101,단가마스터!$A$4:$H$303,6,FALSE),IFERROR(VLOOKUP($B101,일위대가!$N$4:$T$63,5,FALSE),0)))</f>
        <v/>
      </c>
      <c r="Q101" s="20">
        <f>IF($B101="","",IFERROR(VLOOKUP($B101,단가마스터!$A$4:$H$303,7,FALSE),IFERROR(VLOOKUP($B101,일위대가!$N$4:$T$63,6,FALSE),0)))</f>
        <v/>
      </c>
      <c r="R101" s="20">
        <f>IF($B101="","",N($O101)+N($P101)+N($Q101))</f>
        <v/>
      </c>
      <c r="S101" s="20">
        <f>IF($B101="","",ROUND(N($N101)*N($R101),0))</f>
        <v/>
      </c>
      <c r="T101" s="19">
        <f>IF($B101="","",N($N101)-N($F101))</f>
        <v/>
      </c>
      <c r="U101" s="20">
        <f>IF($B101="","",N($S101)-N($K101))</f>
        <v/>
      </c>
      <c r="V101" s="30" t="n"/>
    </row>
    <row r="102">
      <c r="A102" s="30" t="n"/>
      <c r="B102" s="30" t="n"/>
      <c r="C102" s="18">
        <f>IF($B102="","",IFERROR(VLOOKUP($B102,단가마스터!$A$4:$H$303,2,FALSE),IFERROR(VLOOKUP($B102,일위대가!$N$4:$T$63,2,FALSE),"⚠️단가 없음")))</f>
        <v/>
      </c>
      <c r="D102" s="18">
        <f>IF($B102="","",IFERROR(VLOOKUP($B102,단가마스터!$A$4:$H$303,3,FALSE),""))</f>
        <v/>
      </c>
      <c r="E102" s="18">
        <f>IF($B102="","",IFERROR(VLOOKUP($B102,단가마스터!$A$4:$H$303,4,FALSE),IFERROR(VLOOKUP($B102,일위대가!$N$4:$T$63,3,FALSE),"")))</f>
        <v/>
      </c>
      <c r="F102" s="35" t="n"/>
      <c r="G102" s="23" t="n"/>
      <c r="H102" s="23" t="n"/>
      <c r="I102" s="23" t="n"/>
      <c r="J102" s="20">
        <f>IF($B102="","",N($G102)+N($H102)+N($I102))</f>
        <v/>
      </c>
      <c r="K102" s="20">
        <f>IF($B102="","",ROUND(N($F102)*N($J102),0))</f>
        <v/>
      </c>
      <c r="L102" s="19">
        <f>IF($B102="","",SUMIFS(수량산출서!$H$4:$H$253,수량산출서!$A$4:$A$253,"변경",수량산출서!$B$4:$B$253,$B102))</f>
        <v/>
      </c>
      <c r="M102" s="35" t="n"/>
      <c r="N102" s="19">
        <f>IF($B102="","",IF($M102&lt;&gt;"",$M102,N($L102)))</f>
        <v/>
      </c>
      <c r="O102" s="20">
        <f>IF($B102="","",IFERROR(VLOOKUP($B102,단가마스터!$A$4:$H$303,5,FALSE),IFERROR(VLOOKUP($B102,일위대가!$N$4:$T$63,4,FALSE),0)))</f>
        <v/>
      </c>
      <c r="P102" s="20">
        <f>IF($B102="","",IFERROR(VLOOKUP($B102,단가마스터!$A$4:$H$303,6,FALSE),IFERROR(VLOOKUP($B102,일위대가!$N$4:$T$63,5,FALSE),0)))</f>
        <v/>
      </c>
      <c r="Q102" s="20">
        <f>IF($B102="","",IFERROR(VLOOKUP($B102,단가마스터!$A$4:$H$303,7,FALSE),IFERROR(VLOOKUP($B102,일위대가!$N$4:$T$63,6,FALSE),0)))</f>
        <v/>
      </c>
      <c r="R102" s="20">
        <f>IF($B102="","",N($O102)+N($P102)+N($Q102))</f>
        <v/>
      </c>
      <c r="S102" s="20">
        <f>IF($B102="","",ROUND(N($N102)*N($R102),0))</f>
        <v/>
      </c>
      <c r="T102" s="19">
        <f>IF($B102="","",N($N102)-N($F102))</f>
        <v/>
      </c>
      <c r="U102" s="20">
        <f>IF($B102="","",N($S102)-N($K102))</f>
        <v/>
      </c>
      <c r="V102" s="30" t="n"/>
    </row>
    <row r="103">
      <c r="A103" s="30" t="n"/>
      <c r="B103" s="30" t="n"/>
      <c r="C103" s="18">
        <f>IF($B103="","",IFERROR(VLOOKUP($B103,단가마스터!$A$4:$H$303,2,FALSE),IFERROR(VLOOKUP($B103,일위대가!$N$4:$T$63,2,FALSE),"⚠️단가 없음")))</f>
        <v/>
      </c>
      <c r="D103" s="18">
        <f>IF($B103="","",IFERROR(VLOOKUP($B103,단가마스터!$A$4:$H$303,3,FALSE),""))</f>
        <v/>
      </c>
      <c r="E103" s="18">
        <f>IF($B103="","",IFERROR(VLOOKUP($B103,단가마스터!$A$4:$H$303,4,FALSE),IFERROR(VLOOKUP($B103,일위대가!$N$4:$T$63,3,FALSE),"")))</f>
        <v/>
      </c>
      <c r="F103" s="35" t="n"/>
      <c r="G103" s="23" t="n"/>
      <c r="H103" s="23" t="n"/>
      <c r="I103" s="23" t="n"/>
      <c r="J103" s="20">
        <f>IF($B103="","",N($G103)+N($H103)+N($I103))</f>
        <v/>
      </c>
      <c r="K103" s="20">
        <f>IF($B103="","",ROUND(N($F103)*N($J103),0))</f>
        <v/>
      </c>
      <c r="L103" s="19">
        <f>IF($B103="","",SUMIFS(수량산출서!$H$4:$H$253,수량산출서!$A$4:$A$253,"변경",수량산출서!$B$4:$B$253,$B103))</f>
        <v/>
      </c>
      <c r="M103" s="35" t="n"/>
      <c r="N103" s="19">
        <f>IF($B103="","",IF($M103&lt;&gt;"",$M103,N($L103)))</f>
        <v/>
      </c>
      <c r="O103" s="20">
        <f>IF($B103="","",IFERROR(VLOOKUP($B103,단가마스터!$A$4:$H$303,5,FALSE),IFERROR(VLOOKUP($B103,일위대가!$N$4:$T$63,4,FALSE),0)))</f>
        <v/>
      </c>
      <c r="P103" s="20">
        <f>IF($B103="","",IFERROR(VLOOKUP($B103,단가마스터!$A$4:$H$303,6,FALSE),IFERROR(VLOOKUP($B103,일위대가!$N$4:$T$63,5,FALSE),0)))</f>
        <v/>
      </c>
      <c r="Q103" s="20">
        <f>IF($B103="","",IFERROR(VLOOKUP($B103,단가마스터!$A$4:$H$303,7,FALSE),IFERROR(VLOOKUP($B103,일위대가!$N$4:$T$63,6,FALSE),0)))</f>
        <v/>
      </c>
      <c r="R103" s="20">
        <f>IF($B103="","",N($O103)+N($P103)+N($Q103))</f>
        <v/>
      </c>
      <c r="S103" s="20">
        <f>IF($B103="","",ROUND(N($N103)*N($R103),0))</f>
        <v/>
      </c>
      <c r="T103" s="19">
        <f>IF($B103="","",N($N103)-N($F103))</f>
        <v/>
      </c>
      <c r="U103" s="20">
        <f>IF($B103="","",N($S103)-N($K103))</f>
        <v/>
      </c>
      <c r="V103" s="30" t="n"/>
    </row>
    <row r="104">
      <c r="A104" s="30" t="n"/>
      <c r="B104" s="30" t="n"/>
      <c r="C104" s="18">
        <f>IF($B104="","",IFERROR(VLOOKUP($B104,단가마스터!$A$4:$H$303,2,FALSE),IFERROR(VLOOKUP($B104,일위대가!$N$4:$T$63,2,FALSE),"⚠️단가 없음")))</f>
        <v/>
      </c>
      <c r="D104" s="18">
        <f>IF($B104="","",IFERROR(VLOOKUP($B104,단가마스터!$A$4:$H$303,3,FALSE),""))</f>
        <v/>
      </c>
      <c r="E104" s="18">
        <f>IF($B104="","",IFERROR(VLOOKUP($B104,단가마스터!$A$4:$H$303,4,FALSE),IFERROR(VLOOKUP($B104,일위대가!$N$4:$T$63,3,FALSE),"")))</f>
        <v/>
      </c>
      <c r="F104" s="35" t="n"/>
      <c r="G104" s="23" t="n"/>
      <c r="H104" s="23" t="n"/>
      <c r="I104" s="23" t="n"/>
      <c r="J104" s="20">
        <f>IF($B104="","",N($G104)+N($H104)+N($I104))</f>
        <v/>
      </c>
      <c r="K104" s="20">
        <f>IF($B104="","",ROUND(N($F104)*N($J104),0))</f>
        <v/>
      </c>
      <c r="L104" s="19">
        <f>IF($B104="","",SUMIFS(수량산출서!$H$4:$H$253,수량산출서!$A$4:$A$253,"변경",수량산출서!$B$4:$B$253,$B104))</f>
        <v/>
      </c>
      <c r="M104" s="35" t="n"/>
      <c r="N104" s="19">
        <f>IF($B104="","",IF($M104&lt;&gt;"",$M104,N($L104)))</f>
        <v/>
      </c>
      <c r="O104" s="20">
        <f>IF($B104="","",IFERROR(VLOOKUP($B104,단가마스터!$A$4:$H$303,5,FALSE),IFERROR(VLOOKUP($B104,일위대가!$N$4:$T$63,4,FALSE),0)))</f>
        <v/>
      </c>
      <c r="P104" s="20">
        <f>IF($B104="","",IFERROR(VLOOKUP($B104,단가마스터!$A$4:$H$303,6,FALSE),IFERROR(VLOOKUP($B104,일위대가!$N$4:$T$63,5,FALSE),0)))</f>
        <v/>
      </c>
      <c r="Q104" s="20">
        <f>IF($B104="","",IFERROR(VLOOKUP($B104,단가마스터!$A$4:$H$303,7,FALSE),IFERROR(VLOOKUP($B104,일위대가!$N$4:$T$63,6,FALSE),0)))</f>
        <v/>
      </c>
      <c r="R104" s="20">
        <f>IF($B104="","",N($O104)+N($P104)+N($Q104))</f>
        <v/>
      </c>
      <c r="S104" s="20">
        <f>IF($B104="","",ROUND(N($N104)*N($R104),0))</f>
        <v/>
      </c>
      <c r="T104" s="19">
        <f>IF($B104="","",N($N104)-N($F104))</f>
        <v/>
      </c>
      <c r="U104" s="20">
        <f>IF($B104="","",N($S104)-N($K104))</f>
        <v/>
      </c>
      <c r="V104" s="30" t="n"/>
    </row>
    <row r="105">
      <c r="A105" s="30" t="n"/>
      <c r="B105" s="30" t="n"/>
      <c r="C105" s="18">
        <f>IF($B105="","",IFERROR(VLOOKUP($B105,단가마스터!$A$4:$H$303,2,FALSE),IFERROR(VLOOKUP($B105,일위대가!$N$4:$T$63,2,FALSE),"⚠️단가 없음")))</f>
        <v/>
      </c>
      <c r="D105" s="18">
        <f>IF($B105="","",IFERROR(VLOOKUP($B105,단가마스터!$A$4:$H$303,3,FALSE),""))</f>
        <v/>
      </c>
      <c r="E105" s="18">
        <f>IF($B105="","",IFERROR(VLOOKUP($B105,단가마스터!$A$4:$H$303,4,FALSE),IFERROR(VLOOKUP($B105,일위대가!$N$4:$T$63,3,FALSE),"")))</f>
        <v/>
      </c>
      <c r="F105" s="35" t="n"/>
      <c r="G105" s="23" t="n"/>
      <c r="H105" s="23" t="n"/>
      <c r="I105" s="23" t="n"/>
      <c r="J105" s="20">
        <f>IF($B105="","",N($G105)+N($H105)+N($I105))</f>
        <v/>
      </c>
      <c r="K105" s="20">
        <f>IF($B105="","",ROUND(N($F105)*N($J105),0))</f>
        <v/>
      </c>
      <c r="L105" s="19">
        <f>IF($B105="","",SUMIFS(수량산출서!$H$4:$H$253,수량산출서!$A$4:$A$253,"변경",수량산출서!$B$4:$B$253,$B105))</f>
        <v/>
      </c>
      <c r="M105" s="35" t="n"/>
      <c r="N105" s="19">
        <f>IF($B105="","",IF($M105&lt;&gt;"",$M105,N($L105)))</f>
        <v/>
      </c>
      <c r="O105" s="20">
        <f>IF($B105="","",IFERROR(VLOOKUP($B105,단가마스터!$A$4:$H$303,5,FALSE),IFERROR(VLOOKUP($B105,일위대가!$N$4:$T$63,4,FALSE),0)))</f>
        <v/>
      </c>
      <c r="P105" s="20">
        <f>IF($B105="","",IFERROR(VLOOKUP($B105,단가마스터!$A$4:$H$303,6,FALSE),IFERROR(VLOOKUP($B105,일위대가!$N$4:$T$63,5,FALSE),0)))</f>
        <v/>
      </c>
      <c r="Q105" s="20">
        <f>IF($B105="","",IFERROR(VLOOKUP($B105,단가마스터!$A$4:$H$303,7,FALSE),IFERROR(VLOOKUP($B105,일위대가!$N$4:$T$63,6,FALSE),0)))</f>
        <v/>
      </c>
      <c r="R105" s="20">
        <f>IF($B105="","",N($O105)+N($P105)+N($Q105))</f>
        <v/>
      </c>
      <c r="S105" s="20">
        <f>IF($B105="","",ROUND(N($N105)*N($R105),0))</f>
        <v/>
      </c>
      <c r="T105" s="19">
        <f>IF($B105="","",N($N105)-N($F105))</f>
        <v/>
      </c>
      <c r="U105" s="20">
        <f>IF($B105="","",N($S105)-N($K105))</f>
        <v/>
      </c>
      <c r="V105" s="30" t="n"/>
    </row>
    <row r="106">
      <c r="A106" s="30" t="n"/>
      <c r="B106" s="30" t="n"/>
      <c r="C106" s="18">
        <f>IF($B106="","",IFERROR(VLOOKUP($B106,단가마스터!$A$4:$H$303,2,FALSE),IFERROR(VLOOKUP($B106,일위대가!$N$4:$T$63,2,FALSE),"⚠️단가 없음")))</f>
        <v/>
      </c>
      <c r="D106" s="18">
        <f>IF($B106="","",IFERROR(VLOOKUP($B106,단가마스터!$A$4:$H$303,3,FALSE),""))</f>
        <v/>
      </c>
      <c r="E106" s="18">
        <f>IF($B106="","",IFERROR(VLOOKUP($B106,단가마스터!$A$4:$H$303,4,FALSE),IFERROR(VLOOKUP($B106,일위대가!$N$4:$T$63,3,FALSE),"")))</f>
        <v/>
      </c>
      <c r="F106" s="35" t="n"/>
      <c r="G106" s="23" t="n"/>
      <c r="H106" s="23" t="n"/>
      <c r="I106" s="23" t="n"/>
      <c r="J106" s="20">
        <f>IF($B106="","",N($G106)+N($H106)+N($I106))</f>
        <v/>
      </c>
      <c r="K106" s="20">
        <f>IF($B106="","",ROUND(N($F106)*N($J106),0))</f>
        <v/>
      </c>
      <c r="L106" s="19">
        <f>IF($B106="","",SUMIFS(수량산출서!$H$4:$H$253,수량산출서!$A$4:$A$253,"변경",수량산출서!$B$4:$B$253,$B106))</f>
        <v/>
      </c>
      <c r="M106" s="35" t="n"/>
      <c r="N106" s="19">
        <f>IF($B106="","",IF($M106&lt;&gt;"",$M106,N($L106)))</f>
        <v/>
      </c>
      <c r="O106" s="20">
        <f>IF($B106="","",IFERROR(VLOOKUP($B106,단가마스터!$A$4:$H$303,5,FALSE),IFERROR(VLOOKUP($B106,일위대가!$N$4:$T$63,4,FALSE),0)))</f>
        <v/>
      </c>
      <c r="P106" s="20">
        <f>IF($B106="","",IFERROR(VLOOKUP($B106,단가마스터!$A$4:$H$303,6,FALSE),IFERROR(VLOOKUP($B106,일위대가!$N$4:$T$63,5,FALSE),0)))</f>
        <v/>
      </c>
      <c r="Q106" s="20">
        <f>IF($B106="","",IFERROR(VLOOKUP($B106,단가마스터!$A$4:$H$303,7,FALSE),IFERROR(VLOOKUP($B106,일위대가!$N$4:$T$63,6,FALSE),0)))</f>
        <v/>
      </c>
      <c r="R106" s="20">
        <f>IF($B106="","",N($O106)+N($P106)+N($Q106))</f>
        <v/>
      </c>
      <c r="S106" s="20">
        <f>IF($B106="","",ROUND(N($N106)*N($R106),0))</f>
        <v/>
      </c>
      <c r="T106" s="19">
        <f>IF($B106="","",N($N106)-N($F106))</f>
        <v/>
      </c>
      <c r="U106" s="20">
        <f>IF($B106="","",N($S106)-N($K106))</f>
        <v/>
      </c>
      <c r="V106" s="30" t="n"/>
    </row>
    <row r="107">
      <c r="A107" s="30" t="n"/>
      <c r="B107" s="30" t="n"/>
      <c r="C107" s="18">
        <f>IF($B107="","",IFERROR(VLOOKUP($B107,단가마스터!$A$4:$H$303,2,FALSE),IFERROR(VLOOKUP($B107,일위대가!$N$4:$T$63,2,FALSE),"⚠️단가 없음")))</f>
        <v/>
      </c>
      <c r="D107" s="18">
        <f>IF($B107="","",IFERROR(VLOOKUP($B107,단가마스터!$A$4:$H$303,3,FALSE),""))</f>
        <v/>
      </c>
      <c r="E107" s="18">
        <f>IF($B107="","",IFERROR(VLOOKUP($B107,단가마스터!$A$4:$H$303,4,FALSE),IFERROR(VLOOKUP($B107,일위대가!$N$4:$T$63,3,FALSE),"")))</f>
        <v/>
      </c>
      <c r="F107" s="35" t="n"/>
      <c r="G107" s="23" t="n"/>
      <c r="H107" s="23" t="n"/>
      <c r="I107" s="23" t="n"/>
      <c r="J107" s="20">
        <f>IF($B107="","",N($G107)+N($H107)+N($I107))</f>
        <v/>
      </c>
      <c r="K107" s="20">
        <f>IF($B107="","",ROUND(N($F107)*N($J107),0))</f>
        <v/>
      </c>
      <c r="L107" s="19">
        <f>IF($B107="","",SUMIFS(수량산출서!$H$4:$H$253,수량산출서!$A$4:$A$253,"변경",수량산출서!$B$4:$B$253,$B107))</f>
        <v/>
      </c>
      <c r="M107" s="35" t="n"/>
      <c r="N107" s="19">
        <f>IF($B107="","",IF($M107&lt;&gt;"",$M107,N($L107)))</f>
        <v/>
      </c>
      <c r="O107" s="20">
        <f>IF($B107="","",IFERROR(VLOOKUP($B107,단가마스터!$A$4:$H$303,5,FALSE),IFERROR(VLOOKUP($B107,일위대가!$N$4:$T$63,4,FALSE),0)))</f>
        <v/>
      </c>
      <c r="P107" s="20">
        <f>IF($B107="","",IFERROR(VLOOKUP($B107,단가마스터!$A$4:$H$303,6,FALSE),IFERROR(VLOOKUP($B107,일위대가!$N$4:$T$63,5,FALSE),0)))</f>
        <v/>
      </c>
      <c r="Q107" s="20">
        <f>IF($B107="","",IFERROR(VLOOKUP($B107,단가마스터!$A$4:$H$303,7,FALSE),IFERROR(VLOOKUP($B107,일위대가!$N$4:$T$63,6,FALSE),0)))</f>
        <v/>
      </c>
      <c r="R107" s="20">
        <f>IF($B107="","",N($O107)+N($P107)+N($Q107))</f>
        <v/>
      </c>
      <c r="S107" s="20">
        <f>IF($B107="","",ROUND(N($N107)*N($R107),0))</f>
        <v/>
      </c>
      <c r="T107" s="19">
        <f>IF($B107="","",N($N107)-N($F107))</f>
        <v/>
      </c>
      <c r="U107" s="20">
        <f>IF($B107="","",N($S107)-N($K107))</f>
        <v/>
      </c>
      <c r="V107" s="30" t="n"/>
    </row>
    <row r="108">
      <c r="A108" s="30" t="n"/>
      <c r="B108" s="30" t="n"/>
      <c r="C108" s="18">
        <f>IF($B108="","",IFERROR(VLOOKUP($B108,단가마스터!$A$4:$H$303,2,FALSE),IFERROR(VLOOKUP($B108,일위대가!$N$4:$T$63,2,FALSE),"⚠️단가 없음")))</f>
        <v/>
      </c>
      <c r="D108" s="18">
        <f>IF($B108="","",IFERROR(VLOOKUP($B108,단가마스터!$A$4:$H$303,3,FALSE),""))</f>
        <v/>
      </c>
      <c r="E108" s="18">
        <f>IF($B108="","",IFERROR(VLOOKUP($B108,단가마스터!$A$4:$H$303,4,FALSE),IFERROR(VLOOKUP($B108,일위대가!$N$4:$T$63,3,FALSE),"")))</f>
        <v/>
      </c>
      <c r="F108" s="35" t="n"/>
      <c r="G108" s="23" t="n"/>
      <c r="H108" s="23" t="n"/>
      <c r="I108" s="23" t="n"/>
      <c r="J108" s="20">
        <f>IF($B108="","",N($G108)+N($H108)+N($I108))</f>
        <v/>
      </c>
      <c r="K108" s="20">
        <f>IF($B108="","",ROUND(N($F108)*N($J108),0))</f>
        <v/>
      </c>
      <c r="L108" s="19">
        <f>IF($B108="","",SUMIFS(수량산출서!$H$4:$H$253,수량산출서!$A$4:$A$253,"변경",수량산출서!$B$4:$B$253,$B108))</f>
        <v/>
      </c>
      <c r="M108" s="35" t="n"/>
      <c r="N108" s="19">
        <f>IF($B108="","",IF($M108&lt;&gt;"",$M108,N($L108)))</f>
        <v/>
      </c>
      <c r="O108" s="20">
        <f>IF($B108="","",IFERROR(VLOOKUP($B108,단가마스터!$A$4:$H$303,5,FALSE),IFERROR(VLOOKUP($B108,일위대가!$N$4:$T$63,4,FALSE),0)))</f>
        <v/>
      </c>
      <c r="P108" s="20">
        <f>IF($B108="","",IFERROR(VLOOKUP($B108,단가마스터!$A$4:$H$303,6,FALSE),IFERROR(VLOOKUP($B108,일위대가!$N$4:$T$63,5,FALSE),0)))</f>
        <v/>
      </c>
      <c r="Q108" s="20">
        <f>IF($B108="","",IFERROR(VLOOKUP($B108,단가마스터!$A$4:$H$303,7,FALSE),IFERROR(VLOOKUP($B108,일위대가!$N$4:$T$63,6,FALSE),0)))</f>
        <v/>
      </c>
      <c r="R108" s="20">
        <f>IF($B108="","",N($O108)+N($P108)+N($Q108))</f>
        <v/>
      </c>
      <c r="S108" s="20">
        <f>IF($B108="","",ROUND(N($N108)*N($R108),0))</f>
        <v/>
      </c>
      <c r="T108" s="19">
        <f>IF($B108="","",N($N108)-N($F108))</f>
        <v/>
      </c>
      <c r="U108" s="20">
        <f>IF($B108="","",N($S108)-N($K108))</f>
        <v/>
      </c>
      <c r="V108" s="30" t="n"/>
    </row>
    <row r="109">
      <c r="A109" s="30" t="n"/>
      <c r="B109" s="30" t="n"/>
      <c r="C109" s="18">
        <f>IF($B109="","",IFERROR(VLOOKUP($B109,단가마스터!$A$4:$H$303,2,FALSE),IFERROR(VLOOKUP($B109,일위대가!$N$4:$T$63,2,FALSE),"⚠️단가 없음")))</f>
        <v/>
      </c>
      <c r="D109" s="18">
        <f>IF($B109="","",IFERROR(VLOOKUP($B109,단가마스터!$A$4:$H$303,3,FALSE),""))</f>
        <v/>
      </c>
      <c r="E109" s="18">
        <f>IF($B109="","",IFERROR(VLOOKUP($B109,단가마스터!$A$4:$H$303,4,FALSE),IFERROR(VLOOKUP($B109,일위대가!$N$4:$T$63,3,FALSE),"")))</f>
        <v/>
      </c>
      <c r="F109" s="35" t="n"/>
      <c r="G109" s="23" t="n"/>
      <c r="H109" s="23" t="n"/>
      <c r="I109" s="23" t="n"/>
      <c r="J109" s="20">
        <f>IF($B109="","",N($G109)+N($H109)+N($I109))</f>
        <v/>
      </c>
      <c r="K109" s="20">
        <f>IF($B109="","",ROUND(N($F109)*N($J109),0))</f>
        <v/>
      </c>
      <c r="L109" s="19">
        <f>IF($B109="","",SUMIFS(수량산출서!$H$4:$H$253,수량산출서!$A$4:$A$253,"변경",수량산출서!$B$4:$B$253,$B109))</f>
        <v/>
      </c>
      <c r="M109" s="35" t="n"/>
      <c r="N109" s="19">
        <f>IF($B109="","",IF($M109&lt;&gt;"",$M109,N($L109)))</f>
        <v/>
      </c>
      <c r="O109" s="20">
        <f>IF($B109="","",IFERROR(VLOOKUP($B109,단가마스터!$A$4:$H$303,5,FALSE),IFERROR(VLOOKUP($B109,일위대가!$N$4:$T$63,4,FALSE),0)))</f>
        <v/>
      </c>
      <c r="P109" s="20">
        <f>IF($B109="","",IFERROR(VLOOKUP($B109,단가마스터!$A$4:$H$303,6,FALSE),IFERROR(VLOOKUP($B109,일위대가!$N$4:$T$63,5,FALSE),0)))</f>
        <v/>
      </c>
      <c r="Q109" s="20">
        <f>IF($B109="","",IFERROR(VLOOKUP($B109,단가마스터!$A$4:$H$303,7,FALSE),IFERROR(VLOOKUP($B109,일위대가!$N$4:$T$63,6,FALSE),0)))</f>
        <v/>
      </c>
      <c r="R109" s="20">
        <f>IF($B109="","",N($O109)+N($P109)+N($Q109))</f>
        <v/>
      </c>
      <c r="S109" s="20">
        <f>IF($B109="","",ROUND(N($N109)*N($R109),0))</f>
        <v/>
      </c>
      <c r="T109" s="19">
        <f>IF($B109="","",N($N109)-N($F109))</f>
        <v/>
      </c>
      <c r="U109" s="20">
        <f>IF($B109="","",N($S109)-N($K109))</f>
        <v/>
      </c>
      <c r="V109" s="30" t="n"/>
    </row>
    <row r="110">
      <c r="A110" s="30" t="n"/>
      <c r="B110" s="30" t="n"/>
      <c r="C110" s="18">
        <f>IF($B110="","",IFERROR(VLOOKUP($B110,단가마스터!$A$4:$H$303,2,FALSE),IFERROR(VLOOKUP($B110,일위대가!$N$4:$T$63,2,FALSE),"⚠️단가 없음")))</f>
        <v/>
      </c>
      <c r="D110" s="18">
        <f>IF($B110="","",IFERROR(VLOOKUP($B110,단가마스터!$A$4:$H$303,3,FALSE),""))</f>
        <v/>
      </c>
      <c r="E110" s="18">
        <f>IF($B110="","",IFERROR(VLOOKUP($B110,단가마스터!$A$4:$H$303,4,FALSE),IFERROR(VLOOKUP($B110,일위대가!$N$4:$T$63,3,FALSE),"")))</f>
        <v/>
      </c>
      <c r="F110" s="35" t="n"/>
      <c r="G110" s="23" t="n"/>
      <c r="H110" s="23" t="n"/>
      <c r="I110" s="23" t="n"/>
      <c r="J110" s="20">
        <f>IF($B110="","",N($G110)+N($H110)+N($I110))</f>
        <v/>
      </c>
      <c r="K110" s="20">
        <f>IF($B110="","",ROUND(N($F110)*N($J110),0))</f>
        <v/>
      </c>
      <c r="L110" s="19">
        <f>IF($B110="","",SUMIFS(수량산출서!$H$4:$H$253,수량산출서!$A$4:$A$253,"변경",수량산출서!$B$4:$B$253,$B110))</f>
        <v/>
      </c>
      <c r="M110" s="35" t="n"/>
      <c r="N110" s="19">
        <f>IF($B110="","",IF($M110&lt;&gt;"",$M110,N($L110)))</f>
        <v/>
      </c>
      <c r="O110" s="20">
        <f>IF($B110="","",IFERROR(VLOOKUP($B110,단가마스터!$A$4:$H$303,5,FALSE),IFERROR(VLOOKUP($B110,일위대가!$N$4:$T$63,4,FALSE),0)))</f>
        <v/>
      </c>
      <c r="P110" s="20">
        <f>IF($B110="","",IFERROR(VLOOKUP($B110,단가마스터!$A$4:$H$303,6,FALSE),IFERROR(VLOOKUP($B110,일위대가!$N$4:$T$63,5,FALSE),0)))</f>
        <v/>
      </c>
      <c r="Q110" s="20">
        <f>IF($B110="","",IFERROR(VLOOKUP($B110,단가마스터!$A$4:$H$303,7,FALSE),IFERROR(VLOOKUP($B110,일위대가!$N$4:$T$63,6,FALSE),0)))</f>
        <v/>
      </c>
      <c r="R110" s="20">
        <f>IF($B110="","",N($O110)+N($P110)+N($Q110))</f>
        <v/>
      </c>
      <c r="S110" s="20">
        <f>IF($B110="","",ROUND(N($N110)*N($R110),0))</f>
        <v/>
      </c>
      <c r="T110" s="19">
        <f>IF($B110="","",N($N110)-N($F110))</f>
        <v/>
      </c>
      <c r="U110" s="20">
        <f>IF($B110="","",N($S110)-N($K110))</f>
        <v/>
      </c>
      <c r="V110" s="30" t="n"/>
    </row>
    <row r="111">
      <c r="A111" s="30" t="n"/>
      <c r="B111" s="30" t="n"/>
      <c r="C111" s="18">
        <f>IF($B111="","",IFERROR(VLOOKUP($B111,단가마스터!$A$4:$H$303,2,FALSE),IFERROR(VLOOKUP($B111,일위대가!$N$4:$T$63,2,FALSE),"⚠️단가 없음")))</f>
        <v/>
      </c>
      <c r="D111" s="18">
        <f>IF($B111="","",IFERROR(VLOOKUP($B111,단가마스터!$A$4:$H$303,3,FALSE),""))</f>
        <v/>
      </c>
      <c r="E111" s="18">
        <f>IF($B111="","",IFERROR(VLOOKUP($B111,단가마스터!$A$4:$H$303,4,FALSE),IFERROR(VLOOKUP($B111,일위대가!$N$4:$T$63,3,FALSE),"")))</f>
        <v/>
      </c>
      <c r="F111" s="35" t="n"/>
      <c r="G111" s="23" t="n"/>
      <c r="H111" s="23" t="n"/>
      <c r="I111" s="23" t="n"/>
      <c r="J111" s="20">
        <f>IF($B111="","",N($G111)+N($H111)+N($I111))</f>
        <v/>
      </c>
      <c r="K111" s="20">
        <f>IF($B111="","",ROUND(N($F111)*N($J111),0))</f>
        <v/>
      </c>
      <c r="L111" s="19">
        <f>IF($B111="","",SUMIFS(수량산출서!$H$4:$H$253,수량산출서!$A$4:$A$253,"변경",수량산출서!$B$4:$B$253,$B111))</f>
        <v/>
      </c>
      <c r="M111" s="35" t="n"/>
      <c r="N111" s="19">
        <f>IF($B111="","",IF($M111&lt;&gt;"",$M111,N($L111)))</f>
        <v/>
      </c>
      <c r="O111" s="20">
        <f>IF($B111="","",IFERROR(VLOOKUP($B111,단가마스터!$A$4:$H$303,5,FALSE),IFERROR(VLOOKUP($B111,일위대가!$N$4:$T$63,4,FALSE),0)))</f>
        <v/>
      </c>
      <c r="P111" s="20">
        <f>IF($B111="","",IFERROR(VLOOKUP($B111,단가마스터!$A$4:$H$303,6,FALSE),IFERROR(VLOOKUP($B111,일위대가!$N$4:$T$63,5,FALSE),0)))</f>
        <v/>
      </c>
      <c r="Q111" s="20">
        <f>IF($B111="","",IFERROR(VLOOKUP($B111,단가마스터!$A$4:$H$303,7,FALSE),IFERROR(VLOOKUP($B111,일위대가!$N$4:$T$63,6,FALSE),0)))</f>
        <v/>
      </c>
      <c r="R111" s="20">
        <f>IF($B111="","",N($O111)+N($P111)+N($Q111))</f>
        <v/>
      </c>
      <c r="S111" s="20">
        <f>IF($B111="","",ROUND(N($N111)*N($R111),0))</f>
        <v/>
      </c>
      <c r="T111" s="19">
        <f>IF($B111="","",N($N111)-N($F111))</f>
        <v/>
      </c>
      <c r="U111" s="20">
        <f>IF($B111="","",N($S111)-N($K111))</f>
        <v/>
      </c>
      <c r="V111" s="30" t="n"/>
    </row>
    <row r="112">
      <c r="A112" s="30" t="n"/>
      <c r="B112" s="30" t="n"/>
      <c r="C112" s="18">
        <f>IF($B112="","",IFERROR(VLOOKUP($B112,단가마스터!$A$4:$H$303,2,FALSE),IFERROR(VLOOKUP($B112,일위대가!$N$4:$T$63,2,FALSE),"⚠️단가 없음")))</f>
        <v/>
      </c>
      <c r="D112" s="18">
        <f>IF($B112="","",IFERROR(VLOOKUP($B112,단가마스터!$A$4:$H$303,3,FALSE),""))</f>
        <v/>
      </c>
      <c r="E112" s="18">
        <f>IF($B112="","",IFERROR(VLOOKUP($B112,단가마스터!$A$4:$H$303,4,FALSE),IFERROR(VLOOKUP($B112,일위대가!$N$4:$T$63,3,FALSE),"")))</f>
        <v/>
      </c>
      <c r="F112" s="35" t="n"/>
      <c r="G112" s="23" t="n"/>
      <c r="H112" s="23" t="n"/>
      <c r="I112" s="23" t="n"/>
      <c r="J112" s="20">
        <f>IF($B112="","",N($G112)+N($H112)+N($I112))</f>
        <v/>
      </c>
      <c r="K112" s="20">
        <f>IF($B112="","",ROUND(N($F112)*N($J112),0))</f>
        <v/>
      </c>
      <c r="L112" s="19">
        <f>IF($B112="","",SUMIFS(수량산출서!$H$4:$H$253,수량산출서!$A$4:$A$253,"변경",수량산출서!$B$4:$B$253,$B112))</f>
        <v/>
      </c>
      <c r="M112" s="35" t="n"/>
      <c r="N112" s="19">
        <f>IF($B112="","",IF($M112&lt;&gt;"",$M112,N($L112)))</f>
        <v/>
      </c>
      <c r="O112" s="20">
        <f>IF($B112="","",IFERROR(VLOOKUP($B112,단가마스터!$A$4:$H$303,5,FALSE),IFERROR(VLOOKUP($B112,일위대가!$N$4:$T$63,4,FALSE),0)))</f>
        <v/>
      </c>
      <c r="P112" s="20">
        <f>IF($B112="","",IFERROR(VLOOKUP($B112,단가마스터!$A$4:$H$303,6,FALSE),IFERROR(VLOOKUP($B112,일위대가!$N$4:$T$63,5,FALSE),0)))</f>
        <v/>
      </c>
      <c r="Q112" s="20">
        <f>IF($B112="","",IFERROR(VLOOKUP($B112,단가마스터!$A$4:$H$303,7,FALSE),IFERROR(VLOOKUP($B112,일위대가!$N$4:$T$63,6,FALSE),0)))</f>
        <v/>
      </c>
      <c r="R112" s="20">
        <f>IF($B112="","",N($O112)+N($P112)+N($Q112))</f>
        <v/>
      </c>
      <c r="S112" s="20">
        <f>IF($B112="","",ROUND(N($N112)*N($R112),0))</f>
        <v/>
      </c>
      <c r="T112" s="19">
        <f>IF($B112="","",N($N112)-N($F112))</f>
        <v/>
      </c>
      <c r="U112" s="20">
        <f>IF($B112="","",N($S112)-N($K112))</f>
        <v/>
      </c>
      <c r="V112" s="30" t="n"/>
    </row>
    <row r="113">
      <c r="A113" s="30" t="n"/>
      <c r="B113" s="30" t="n"/>
      <c r="C113" s="18">
        <f>IF($B113="","",IFERROR(VLOOKUP($B113,단가마스터!$A$4:$H$303,2,FALSE),IFERROR(VLOOKUP($B113,일위대가!$N$4:$T$63,2,FALSE),"⚠️단가 없음")))</f>
        <v/>
      </c>
      <c r="D113" s="18">
        <f>IF($B113="","",IFERROR(VLOOKUP($B113,단가마스터!$A$4:$H$303,3,FALSE),""))</f>
        <v/>
      </c>
      <c r="E113" s="18">
        <f>IF($B113="","",IFERROR(VLOOKUP($B113,단가마스터!$A$4:$H$303,4,FALSE),IFERROR(VLOOKUP($B113,일위대가!$N$4:$T$63,3,FALSE),"")))</f>
        <v/>
      </c>
      <c r="F113" s="35" t="n"/>
      <c r="G113" s="23" t="n"/>
      <c r="H113" s="23" t="n"/>
      <c r="I113" s="23" t="n"/>
      <c r="J113" s="20">
        <f>IF($B113="","",N($G113)+N($H113)+N($I113))</f>
        <v/>
      </c>
      <c r="K113" s="20">
        <f>IF($B113="","",ROUND(N($F113)*N($J113),0))</f>
        <v/>
      </c>
      <c r="L113" s="19">
        <f>IF($B113="","",SUMIFS(수량산출서!$H$4:$H$253,수량산출서!$A$4:$A$253,"변경",수량산출서!$B$4:$B$253,$B113))</f>
        <v/>
      </c>
      <c r="M113" s="35" t="n"/>
      <c r="N113" s="19">
        <f>IF($B113="","",IF($M113&lt;&gt;"",$M113,N($L113)))</f>
        <v/>
      </c>
      <c r="O113" s="20">
        <f>IF($B113="","",IFERROR(VLOOKUP($B113,단가마스터!$A$4:$H$303,5,FALSE),IFERROR(VLOOKUP($B113,일위대가!$N$4:$T$63,4,FALSE),0)))</f>
        <v/>
      </c>
      <c r="P113" s="20">
        <f>IF($B113="","",IFERROR(VLOOKUP($B113,단가마스터!$A$4:$H$303,6,FALSE),IFERROR(VLOOKUP($B113,일위대가!$N$4:$T$63,5,FALSE),0)))</f>
        <v/>
      </c>
      <c r="Q113" s="20">
        <f>IF($B113="","",IFERROR(VLOOKUP($B113,단가마스터!$A$4:$H$303,7,FALSE),IFERROR(VLOOKUP($B113,일위대가!$N$4:$T$63,6,FALSE),0)))</f>
        <v/>
      </c>
      <c r="R113" s="20">
        <f>IF($B113="","",N($O113)+N($P113)+N($Q113))</f>
        <v/>
      </c>
      <c r="S113" s="20">
        <f>IF($B113="","",ROUND(N($N113)*N($R113),0))</f>
        <v/>
      </c>
      <c r="T113" s="19">
        <f>IF($B113="","",N($N113)-N($F113))</f>
        <v/>
      </c>
      <c r="U113" s="20">
        <f>IF($B113="","",N($S113)-N($K113))</f>
        <v/>
      </c>
      <c r="V113" s="30" t="n"/>
    </row>
    <row r="114">
      <c r="A114" s="30" t="n"/>
      <c r="B114" s="30" t="n"/>
      <c r="C114" s="18">
        <f>IF($B114="","",IFERROR(VLOOKUP($B114,단가마스터!$A$4:$H$303,2,FALSE),IFERROR(VLOOKUP($B114,일위대가!$N$4:$T$63,2,FALSE),"⚠️단가 없음")))</f>
        <v/>
      </c>
      <c r="D114" s="18">
        <f>IF($B114="","",IFERROR(VLOOKUP($B114,단가마스터!$A$4:$H$303,3,FALSE),""))</f>
        <v/>
      </c>
      <c r="E114" s="18">
        <f>IF($B114="","",IFERROR(VLOOKUP($B114,단가마스터!$A$4:$H$303,4,FALSE),IFERROR(VLOOKUP($B114,일위대가!$N$4:$T$63,3,FALSE),"")))</f>
        <v/>
      </c>
      <c r="F114" s="35" t="n"/>
      <c r="G114" s="23" t="n"/>
      <c r="H114" s="23" t="n"/>
      <c r="I114" s="23" t="n"/>
      <c r="J114" s="20">
        <f>IF($B114="","",N($G114)+N($H114)+N($I114))</f>
        <v/>
      </c>
      <c r="K114" s="20">
        <f>IF($B114="","",ROUND(N($F114)*N($J114),0))</f>
        <v/>
      </c>
      <c r="L114" s="19">
        <f>IF($B114="","",SUMIFS(수량산출서!$H$4:$H$253,수량산출서!$A$4:$A$253,"변경",수량산출서!$B$4:$B$253,$B114))</f>
        <v/>
      </c>
      <c r="M114" s="35" t="n"/>
      <c r="N114" s="19">
        <f>IF($B114="","",IF($M114&lt;&gt;"",$M114,N($L114)))</f>
        <v/>
      </c>
      <c r="O114" s="20">
        <f>IF($B114="","",IFERROR(VLOOKUP($B114,단가마스터!$A$4:$H$303,5,FALSE),IFERROR(VLOOKUP($B114,일위대가!$N$4:$T$63,4,FALSE),0)))</f>
        <v/>
      </c>
      <c r="P114" s="20">
        <f>IF($B114="","",IFERROR(VLOOKUP($B114,단가마스터!$A$4:$H$303,6,FALSE),IFERROR(VLOOKUP($B114,일위대가!$N$4:$T$63,5,FALSE),0)))</f>
        <v/>
      </c>
      <c r="Q114" s="20">
        <f>IF($B114="","",IFERROR(VLOOKUP($B114,단가마스터!$A$4:$H$303,7,FALSE),IFERROR(VLOOKUP($B114,일위대가!$N$4:$T$63,6,FALSE),0)))</f>
        <v/>
      </c>
      <c r="R114" s="20">
        <f>IF($B114="","",N($O114)+N($P114)+N($Q114))</f>
        <v/>
      </c>
      <c r="S114" s="20">
        <f>IF($B114="","",ROUND(N($N114)*N($R114),0))</f>
        <v/>
      </c>
      <c r="T114" s="19">
        <f>IF($B114="","",N($N114)-N($F114))</f>
        <v/>
      </c>
      <c r="U114" s="20">
        <f>IF($B114="","",N($S114)-N($K114))</f>
        <v/>
      </c>
      <c r="V114" s="30" t="n"/>
    </row>
    <row r="115">
      <c r="A115" s="30" t="n"/>
      <c r="B115" s="30" t="n"/>
      <c r="C115" s="18">
        <f>IF($B115="","",IFERROR(VLOOKUP($B115,단가마스터!$A$4:$H$303,2,FALSE),IFERROR(VLOOKUP($B115,일위대가!$N$4:$T$63,2,FALSE),"⚠️단가 없음")))</f>
        <v/>
      </c>
      <c r="D115" s="18">
        <f>IF($B115="","",IFERROR(VLOOKUP($B115,단가마스터!$A$4:$H$303,3,FALSE),""))</f>
        <v/>
      </c>
      <c r="E115" s="18">
        <f>IF($B115="","",IFERROR(VLOOKUP($B115,단가마스터!$A$4:$H$303,4,FALSE),IFERROR(VLOOKUP($B115,일위대가!$N$4:$T$63,3,FALSE),"")))</f>
        <v/>
      </c>
      <c r="F115" s="35" t="n"/>
      <c r="G115" s="23" t="n"/>
      <c r="H115" s="23" t="n"/>
      <c r="I115" s="23" t="n"/>
      <c r="J115" s="20">
        <f>IF($B115="","",N($G115)+N($H115)+N($I115))</f>
        <v/>
      </c>
      <c r="K115" s="20">
        <f>IF($B115="","",ROUND(N($F115)*N($J115),0))</f>
        <v/>
      </c>
      <c r="L115" s="19">
        <f>IF($B115="","",SUMIFS(수량산출서!$H$4:$H$253,수량산출서!$A$4:$A$253,"변경",수량산출서!$B$4:$B$253,$B115))</f>
        <v/>
      </c>
      <c r="M115" s="35" t="n"/>
      <c r="N115" s="19">
        <f>IF($B115="","",IF($M115&lt;&gt;"",$M115,N($L115)))</f>
        <v/>
      </c>
      <c r="O115" s="20">
        <f>IF($B115="","",IFERROR(VLOOKUP($B115,단가마스터!$A$4:$H$303,5,FALSE),IFERROR(VLOOKUP($B115,일위대가!$N$4:$T$63,4,FALSE),0)))</f>
        <v/>
      </c>
      <c r="P115" s="20">
        <f>IF($B115="","",IFERROR(VLOOKUP($B115,단가마스터!$A$4:$H$303,6,FALSE),IFERROR(VLOOKUP($B115,일위대가!$N$4:$T$63,5,FALSE),0)))</f>
        <v/>
      </c>
      <c r="Q115" s="20">
        <f>IF($B115="","",IFERROR(VLOOKUP($B115,단가마스터!$A$4:$H$303,7,FALSE),IFERROR(VLOOKUP($B115,일위대가!$N$4:$T$63,6,FALSE),0)))</f>
        <v/>
      </c>
      <c r="R115" s="20">
        <f>IF($B115="","",N($O115)+N($P115)+N($Q115))</f>
        <v/>
      </c>
      <c r="S115" s="20">
        <f>IF($B115="","",ROUND(N($N115)*N($R115),0))</f>
        <v/>
      </c>
      <c r="T115" s="19">
        <f>IF($B115="","",N($N115)-N($F115))</f>
        <v/>
      </c>
      <c r="U115" s="20">
        <f>IF($B115="","",N($S115)-N($K115))</f>
        <v/>
      </c>
      <c r="V115" s="30" t="n"/>
    </row>
    <row r="116">
      <c r="A116" s="30" t="n"/>
      <c r="B116" s="30" t="n"/>
      <c r="C116" s="18">
        <f>IF($B116="","",IFERROR(VLOOKUP($B116,단가마스터!$A$4:$H$303,2,FALSE),IFERROR(VLOOKUP($B116,일위대가!$N$4:$T$63,2,FALSE),"⚠️단가 없음")))</f>
        <v/>
      </c>
      <c r="D116" s="18">
        <f>IF($B116="","",IFERROR(VLOOKUP($B116,단가마스터!$A$4:$H$303,3,FALSE),""))</f>
        <v/>
      </c>
      <c r="E116" s="18">
        <f>IF($B116="","",IFERROR(VLOOKUP($B116,단가마스터!$A$4:$H$303,4,FALSE),IFERROR(VLOOKUP($B116,일위대가!$N$4:$T$63,3,FALSE),"")))</f>
        <v/>
      </c>
      <c r="F116" s="35" t="n"/>
      <c r="G116" s="23" t="n"/>
      <c r="H116" s="23" t="n"/>
      <c r="I116" s="23" t="n"/>
      <c r="J116" s="20">
        <f>IF($B116="","",N($G116)+N($H116)+N($I116))</f>
        <v/>
      </c>
      <c r="K116" s="20">
        <f>IF($B116="","",ROUND(N($F116)*N($J116),0))</f>
        <v/>
      </c>
      <c r="L116" s="19">
        <f>IF($B116="","",SUMIFS(수량산출서!$H$4:$H$253,수량산출서!$A$4:$A$253,"변경",수량산출서!$B$4:$B$253,$B116))</f>
        <v/>
      </c>
      <c r="M116" s="35" t="n"/>
      <c r="N116" s="19">
        <f>IF($B116="","",IF($M116&lt;&gt;"",$M116,N($L116)))</f>
        <v/>
      </c>
      <c r="O116" s="20">
        <f>IF($B116="","",IFERROR(VLOOKUP($B116,단가마스터!$A$4:$H$303,5,FALSE),IFERROR(VLOOKUP($B116,일위대가!$N$4:$T$63,4,FALSE),0)))</f>
        <v/>
      </c>
      <c r="P116" s="20">
        <f>IF($B116="","",IFERROR(VLOOKUP($B116,단가마스터!$A$4:$H$303,6,FALSE),IFERROR(VLOOKUP($B116,일위대가!$N$4:$T$63,5,FALSE),0)))</f>
        <v/>
      </c>
      <c r="Q116" s="20">
        <f>IF($B116="","",IFERROR(VLOOKUP($B116,단가마스터!$A$4:$H$303,7,FALSE),IFERROR(VLOOKUP($B116,일위대가!$N$4:$T$63,6,FALSE),0)))</f>
        <v/>
      </c>
      <c r="R116" s="20">
        <f>IF($B116="","",N($O116)+N($P116)+N($Q116))</f>
        <v/>
      </c>
      <c r="S116" s="20">
        <f>IF($B116="","",ROUND(N($N116)*N($R116),0))</f>
        <v/>
      </c>
      <c r="T116" s="19">
        <f>IF($B116="","",N($N116)-N($F116))</f>
        <v/>
      </c>
      <c r="U116" s="20">
        <f>IF($B116="","",N($S116)-N($K116))</f>
        <v/>
      </c>
      <c r="V116" s="30" t="n"/>
    </row>
    <row r="117">
      <c r="A117" s="30" t="n"/>
      <c r="B117" s="30" t="n"/>
      <c r="C117" s="18">
        <f>IF($B117="","",IFERROR(VLOOKUP($B117,단가마스터!$A$4:$H$303,2,FALSE),IFERROR(VLOOKUP($B117,일위대가!$N$4:$T$63,2,FALSE),"⚠️단가 없음")))</f>
        <v/>
      </c>
      <c r="D117" s="18">
        <f>IF($B117="","",IFERROR(VLOOKUP($B117,단가마스터!$A$4:$H$303,3,FALSE),""))</f>
        <v/>
      </c>
      <c r="E117" s="18">
        <f>IF($B117="","",IFERROR(VLOOKUP($B117,단가마스터!$A$4:$H$303,4,FALSE),IFERROR(VLOOKUP($B117,일위대가!$N$4:$T$63,3,FALSE),"")))</f>
        <v/>
      </c>
      <c r="F117" s="35" t="n"/>
      <c r="G117" s="23" t="n"/>
      <c r="H117" s="23" t="n"/>
      <c r="I117" s="23" t="n"/>
      <c r="J117" s="20">
        <f>IF($B117="","",N($G117)+N($H117)+N($I117))</f>
        <v/>
      </c>
      <c r="K117" s="20">
        <f>IF($B117="","",ROUND(N($F117)*N($J117),0))</f>
        <v/>
      </c>
      <c r="L117" s="19">
        <f>IF($B117="","",SUMIFS(수량산출서!$H$4:$H$253,수량산출서!$A$4:$A$253,"변경",수량산출서!$B$4:$B$253,$B117))</f>
        <v/>
      </c>
      <c r="M117" s="35" t="n"/>
      <c r="N117" s="19">
        <f>IF($B117="","",IF($M117&lt;&gt;"",$M117,N($L117)))</f>
        <v/>
      </c>
      <c r="O117" s="20">
        <f>IF($B117="","",IFERROR(VLOOKUP($B117,단가마스터!$A$4:$H$303,5,FALSE),IFERROR(VLOOKUP($B117,일위대가!$N$4:$T$63,4,FALSE),0)))</f>
        <v/>
      </c>
      <c r="P117" s="20">
        <f>IF($B117="","",IFERROR(VLOOKUP($B117,단가마스터!$A$4:$H$303,6,FALSE),IFERROR(VLOOKUP($B117,일위대가!$N$4:$T$63,5,FALSE),0)))</f>
        <v/>
      </c>
      <c r="Q117" s="20">
        <f>IF($B117="","",IFERROR(VLOOKUP($B117,단가마스터!$A$4:$H$303,7,FALSE),IFERROR(VLOOKUP($B117,일위대가!$N$4:$T$63,6,FALSE),0)))</f>
        <v/>
      </c>
      <c r="R117" s="20">
        <f>IF($B117="","",N($O117)+N($P117)+N($Q117))</f>
        <v/>
      </c>
      <c r="S117" s="20">
        <f>IF($B117="","",ROUND(N($N117)*N($R117),0))</f>
        <v/>
      </c>
      <c r="T117" s="19">
        <f>IF($B117="","",N($N117)-N($F117))</f>
        <v/>
      </c>
      <c r="U117" s="20">
        <f>IF($B117="","",N($S117)-N($K117))</f>
        <v/>
      </c>
      <c r="V117" s="30" t="n"/>
    </row>
    <row r="118">
      <c r="A118" s="30" t="n"/>
      <c r="B118" s="30" t="n"/>
      <c r="C118" s="18">
        <f>IF($B118="","",IFERROR(VLOOKUP($B118,단가마스터!$A$4:$H$303,2,FALSE),IFERROR(VLOOKUP($B118,일위대가!$N$4:$T$63,2,FALSE),"⚠️단가 없음")))</f>
        <v/>
      </c>
      <c r="D118" s="18">
        <f>IF($B118="","",IFERROR(VLOOKUP($B118,단가마스터!$A$4:$H$303,3,FALSE),""))</f>
        <v/>
      </c>
      <c r="E118" s="18">
        <f>IF($B118="","",IFERROR(VLOOKUP($B118,단가마스터!$A$4:$H$303,4,FALSE),IFERROR(VLOOKUP($B118,일위대가!$N$4:$T$63,3,FALSE),"")))</f>
        <v/>
      </c>
      <c r="F118" s="35" t="n"/>
      <c r="G118" s="23" t="n"/>
      <c r="H118" s="23" t="n"/>
      <c r="I118" s="23" t="n"/>
      <c r="J118" s="20">
        <f>IF($B118="","",N($G118)+N($H118)+N($I118))</f>
        <v/>
      </c>
      <c r="K118" s="20">
        <f>IF($B118="","",ROUND(N($F118)*N($J118),0))</f>
        <v/>
      </c>
      <c r="L118" s="19">
        <f>IF($B118="","",SUMIFS(수량산출서!$H$4:$H$253,수량산출서!$A$4:$A$253,"변경",수량산출서!$B$4:$B$253,$B118))</f>
        <v/>
      </c>
      <c r="M118" s="35" t="n"/>
      <c r="N118" s="19">
        <f>IF($B118="","",IF($M118&lt;&gt;"",$M118,N($L118)))</f>
        <v/>
      </c>
      <c r="O118" s="20">
        <f>IF($B118="","",IFERROR(VLOOKUP($B118,단가마스터!$A$4:$H$303,5,FALSE),IFERROR(VLOOKUP($B118,일위대가!$N$4:$T$63,4,FALSE),0)))</f>
        <v/>
      </c>
      <c r="P118" s="20">
        <f>IF($B118="","",IFERROR(VLOOKUP($B118,단가마스터!$A$4:$H$303,6,FALSE),IFERROR(VLOOKUP($B118,일위대가!$N$4:$T$63,5,FALSE),0)))</f>
        <v/>
      </c>
      <c r="Q118" s="20">
        <f>IF($B118="","",IFERROR(VLOOKUP($B118,단가마스터!$A$4:$H$303,7,FALSE),IFERROR(VLOOKUP($B118,일위대가!$N$4:$T$63,6,FALSE),0)))</f>
        <v/>
      </c>
      <c r="R118" s="20">
        <f>IF($B118="","",N($O118)+N($P118)+N($Q118))</f>
        <v/>
      </c>
      <c r="S118" s="20">
        <f>IF($B118="","",ROUND(N($N118)*N($R118),0))</f>
        <v/>
      </c>
      <c r="T118" s="19">
        <f>IF($B118="","",N($N118)-N($F118))</f>
        <v/>
      </c>
      <c r="U118" s="20">
        <f>IF($B118="","",N($S118)-N($K118))</f>
        <v/>
      </c>
      <c r="V118" s="30" t="n"/>
    </row>
    <row r="119">
      <c r="A119" s="30" t="n"/>
      <c r="B119" s="30" t="n"/>
      <c r="C119" s="18">
        <f>IF($B119="","",IFERROR(VLOOKUP($B119,단가마스터!$A$4:$H$303,2,FALSE),IFERROR(VLOOKUP($B119,일위대가!$N$4:$T$63,2,FALSE),"⚠️단가 없음")))</f>
        <v/>
      </c>
      <c r="D119" s="18">
        <f>IF($B119="","",IFERROR(VLOOKUP($B119,단가마스터!$A$4:$H$303,3,FALSE),""))</f>
        <v/>
      </c>
      <c r="E119" s="18">
        <f>IF($B119="","",IFERROR(VLOOKUP($B119,단가마스터!$A$4:$H$303,4,FALSE),IFERROR(VLOOKUP($B119,일위대가!$N$4:$T$63,3,FALSE),"")))</f>
        <v/>
      </c>
      <c r="F119" s="35" t="n"/>
      <c r="G119" s="23" t="n"/>
      <c r="H119" s="23" t="n"/>
      <c r="I119" s="23" t="n"/>
      <c r="J119" s="20">
        <f>IF($B119="","",N($G119)+N($H119)+N($I119))</f>
        <v/>
      </c>
      <c r="K119" s="20">
        <f>IF($B119="","",ROUND(N($F119)*N($J119),0))</f>
        <v/>
      </c>
      <c r="L119" s="19">
        <f>IF($B119="","",SUMIFS(수량산출서!$H$4:$H$253,수량산출서!$A$4:$A$253,"변경",수량산출서!$B$4:$B$253,$B119))</f>
        <v/>
      </c>
      <c r="M119" s="35" t="n"/>
      <c r="N119" s="19">
        <f>IF($B119="","",IF($M119&lt;&gt;"",$M119,N($L119)))</f>
        <v/>
      </c>
      <c r="O119" s="20">
        <f>IF($B119="","",IFERROR(VLOOKUP($B119,단가마스터!$A$4:$H$303,5,FALSE),IFERROR(VLOOKUP($B119,일위대가!$N$4:$T$63,4,FALSE),0)))</f>
        <v/>
      </c>
      <c r="P119" s="20">
        <f>IF($B119="","",IFERROR(VLOOKUP($B119,단가마스터!$A$4:$H$303,6,FALSE),IFERROR(VLOOKUP($B119,일위대가!$N$4:$T$63,5,FALSE),0)))</f>
        <v/>
      </c>
      <c r="Q119" s="20">
        <f>IF($B119="","",IFERROR(VLOOKUP($B119,단가마스터!$A$4:$H$303,7,FALSE),IFERROR(VLOOKUP($B119,일위대가!$N$4:$T$63,6,FALSE),0)))</f>
        <v/>
      </c>
      <c r="R119" s="20">
        <f>IF($B119="","",N($O119)+N($P119)+N($Q119))</f>
        <v/>
      </c>
      <c r="S119" s="20">
        <f>IF($B119="","",ROUND(N($N119)*N($R119),0))</f>
        <v/>
      </c>
      <c r="T119" s="19">
        <f>IF($B119="","",N($N119)-N($F119))</f>
        <v/>
      </c>
      <c r="U119" s="20">
        <f>IF($B119="","",N($S119)-N($K119))</f>
        <v/>
      </c>
      <c r="V119" s="30" t="n"/>
    </row>
    <row r="120">
      <c r="A120" s="30" t="n"/>
      <c r="B120" s="30" t="n"/>
      <c r="C120" s="18">
        <f>IF($B120="","",IFERROR(VLOOKUP($B120,단가마스터!$A$4:$H$303,2,FALSE),IFERROR(VLOOKUP($B120,일위대가!$N$4:$T$63,2,FALSE),"⚠️단가 없음")))</f>
        <v/>
      </c>
      <c r="D120" s="18">
        <f>IF($B120="","",IFERROR(VLOOKUP($B120,단가마스터!$A$4:$H$303,3,FALSE),""))</f>
        <v/>
      </c>
      <c r="E120" s="18">
        <f>IF($B120="","",IFERROR(VLOOKUP($B120,단가마스터!$A$4:$H$303,4,FALSE),IFERROR(VLOOKUP($B120,일위대가!$N$4:$T$63,3,FALSE),"")))</f>
        <v/>
      </c>
      <c r="F120" s="35" t="n"/>
      <c r="G120" s="23" t="n"/>
      <c r="H120" s="23" t="n"/>
      <c r="I120" s="23" t="n"/>
      <c r="J120" s="20">
        <f>IF($B120="","",N($G120)+N($H120)+N($I120))</f>
        <v/>
      </c>
      <c r="K120" s="20">
        <f>IF($B120="","",ROUND(N($F120)*N($J120),0))</f>
        <v/>
      </c>
      <c r="L120" s="19">
        <f>IF($B120="","",SUMIFS(수량산출서!$H$4:$H$253,수량산출서!$A$4:$A$253,"변경",수량산출서!$B$4:$B$253,$B120))</f>
        <v/>
      </c>
      <c r="M120" s="35" t="n"/>
      <c r="N120" s="19">
        <f>IF($B120="","",IF($M120&lt;&gt;"",$M120,N($L120)))</f>
        <v/>
      </c>
      <c r="O120" s="20">
        <f>IF($B120="","",IFERROR(VLOOKUP($B120,단가마스터!$A$4:$H$303,5,FALSE),IFERROR(VLOOKUP($B120,일위대가!$N$4:$T$63,4,FALSE),0)))</f>
        <v/>
      </c>
      <c r="P120" s="20">
        <f>IF($B120="","",IFERROR(VLOOKUP($B120,단가마스터!$A$4:$H$303,6,FALSE),IFERROR(VLOOKUP($B120,일위대가!$N$4:$T$63,5,FALSE),0)))</f>
        <v/>
      </c>
      <c r="Q120" s="20">
        <f>IF($B120="","",IFERROR(VLOOKUP($B120,단가마스터!$A$4:$H$303,7,FALSE),IFERROR(VLOOKUP($B120,일위대가!$N$4:$T$63,6,FALSE),0)))</f>
        <v/>
      </c>
      <c r="R120" s="20">
        <f>IF($B120="","",N($O120)+N($P120)+N($Q120))</f>
        <v/>
      </c>
      <c r="S120" s="20">
        <f>IF($B120="","",ROUND(N($N120)*N($R120),0))</f>
        <v/>
      </c>
      <c r="T120" s="19">
        <f>IF($B120="","",N($N120)-N($F120))</f>
        <v/>
      </c>
      <c r="U120" s="20">
        <f>IF($B120="","",N($S120)-N($K120))</f>
        <v/>
      </c>
      <c r="V120" s="30" t="n"/>
    </row>
    <row r="121">
      <c r="A121" s="30" t="n"/>
      <c r="B121" s="30" t="n"/>
      <c r="C121" s="18">
        <f>IF($B121="","",IFERROR(VLOOKUP($B121,단가마스터!$A$4:$H$303,2,FALSE),IFERROR(VLOOKUP($B121,일위대가!$N$4:$T$63,2,FALSE),"⚠️단가 없음")))</f>
        <v/>
      </c>
      <c r="D121" s="18">
        <f>IF($B121="","",IFERROR(VLOOKUP($B121,단가마스터!$A$4:$H$303,3,FALSE),""))</f>
        <v/>
      </c>
      <c r="E121" s="18">
        <f>IF($B121="","",IFERROR(VLOOKUP($B121,단가마스터!$A$4:$H$303,4,FALSE),IFERROR(VLOOKUP($B121,일위대가!$N$4:$T$63,3,FALSE),"")))</f>
        <v/>
      </c>
      <c r="F121" s="35" t="n"/>
      <c r="G121" s="23" t="n"/>
      <c r="H121" s="23" t="n"/>
      <c r="I121" s="23" t="n"/>
      <c r="J121" s="20">
        <f>IF($B121="","",N($G121)+N($H121)+N($I121))</f>
        <v/>
      </c>
      <c r="K121" s="20">
        <f>IF($B121="","",ROUND(N($F121)*N($J121),0))</f>
        <v/>
      </c>
      <c r="L121" s="19">
        <f>IF($B121="","",SUMIFS(수량산출서!$H$4:$H$253,수량산출서!$A$4:$A$253,"변경",수량산출서!$B$4:$B$253,$B121))</f>
        <v/>
      </c>
      <c r="M121" s="35" t="n"/>
      <c r="N121" s="19">
        <f>IF($B121="","",IF($M121&lt;&gt;"",$M121,N($L121)))</f>
        <v/>
      </c>
      <c r="O121" s="20">
        <f>IF($B121="","",IFERROR(VLOOKUP($B121,단가마스터!$A$4:$H$303,5,FALSE),IFERROR(VLOOKUP($B121,일위대가!$N$4:$T$63,4,FALSE),0)))</f>
        <v/>
      </c>
      <c r="P121" s="20">
        <f>IF($B121="","",IFERROR(VLOOKUP($B121,단가마스터!$A$4:$H$303,6,FALSE),IFERROR(VLOOKUP($B121,일위대가!$N$4:$T$63,5,FALSE),0)))</f>
        <v/>
      </c>
      <c r="Q121" s="20">
        <f>IF($B121="","",IFERROR(VLOOKUP($B121,단가마스터!$A$4:$H$303,7,FALSE),IFERROR(VLOOKUP($B121,일위대가!$N$4:$T$63,6,FALSE),0)))</f>
        <v/>
      </c>
      <c r="R121" s="20">
        <f>IF($B121="","",N($O121)+N($P121)+N($Q121))</f>
        <v/>
      </c>
      <c r="S121" s="20">
        <f>IF($B121="","",ROUND(N($N121)*N($R121),0))</f>
        <v/>
      </c>
      <c r="T121" s="19">
        <f>IF($B121="","",N($N121)-N($F121))</f>
        <v/>
      </c>
      <c r="U121" s="20">
        <f>IF($B121="","",N($S121)-N($K121))</f>
        <v/>
      </c>
      <c r="V121" s="30" t="n"/>
    </row>
    <row r="122">
      <c r="A122" s="30" t="n"/>
      <c r="B122" s="30" t="n"/>
      <c r="C122" s="18">
        <f>IF($B122="","",IFERROR(VLOOKUP($B122,단가마스터!$A$4:$H$303,2,FALSE),IFERROR(VLOOKUP($B122,일위대가!$N$4:$T$63,2,FALSE),"⚠️단가 없음")))</f>
        <v/>
      </c>
      <c r="D122" s="18">
        <f>IF($B122="","",IFERROR(VLOOKUP($B122,단가마스터!$A$4:$H$303,3,FALSE),""))</f>
        <v/>
      </c>
      <c r="E122" s="18">
        <f>IF($B122="","",IFERROR(VLOOKUP($B122,단가마스터!$A$4:$H$303,4,FALSE),IFERROR(VLOOKUP($B122,일위대가!$N$4:$T$63,3,FALSE),"")))</f>
        <v/>
      </c>
      <c r="F122" s="35" t="n"/>
      <c r="G122" s="23" t="n"/>
      <c r="H122" s="23" t="n"/>
      <c r="I122" s="23" t="n"/>
      <c r="J122" s="20">
        <f>IF($B122="","",N($G122)+N($H122)+N($I122))</f>
        <v/>
      </c>
      <c r="K122" s="20">
        <f>IF($B122="","",ROUND(N($F122)*N($J122),0))</f>
        <v/>
      </c>
      <c r="L122" s="19">
        <f>IF($B122="","",SUMIFS(수량산출서!$H$4:$H$253,수량산출서!$A$4:$A$253,"변경",수량산출서!$B$4:$B$253,$B122))</f>
        <v/>
      </c>
      <c r="M122" s="35" t="n"/>
      <c r="N122" s="19">
        <f>IF($B122="","",IF($M122&lt;&gt;"",$M122,N($L122)))</f>
        <v/>
      </c>
      <c r="O122" s="20">
        <f>IF($B122="","",IFERROR(VLOOKUP($B122,단가마스터!$A$4:$H$303,5,FALSE),IFERROR(VLOOKUP($B122,일위대가!$N$4:$T$63,4,FALSE),0)))</f>
        <v/>
      </c>
      <c r="P122" s="20">
        <f>IF($B122="","",IFERROR(VLOOKUP($B122,단가마스터!$A$4:$H$303,6,FALSE),IFERROR(VLOOKUP($B122,일위대가!$N$4:$T$63,5,FALSE),0)))</f>
        <v/>
      </c>
      <c r="Q122" s="20">
        <f>IF($B122="","",IFERROR(VLOOKUP($B122,단가마스터!$A$4:$H$303,7,FALSE),IFERROR(VLOOKUP($B122,일위대가!$N$4:$T$63,6,FALSE),0)))</f>
        <v/>
      </c>
      <c r="R122" s="20">
        <f>IF($B122="","",N($O122)+N($P122)+N($Q122))</f>
        <v/>
      </c>
      <c r="S122" s="20">
        <f>IF($B122="","",ROUND(N($N122)*N($R122),0))</f>
        <v/>
      </c>
      <c r="T122" s="19">
        <f>IF($B122="","",N($N122)-N($F122))</f>
        <v/>
      </c>
      <c r="U122" s="20">
        <f>IF($B122="","",N($S122)-N($K122))</f>
        <v/>
      </c>
      <c r="V122" s="30" t="n"/>
    </row>
    <row r="123">
      <c r="A123" s="30" t="n"/>
      <c r="B123" s="30" t="n"/>
      <c r="C123" s="18">
        <f>IF($B123="","",IFERROR(VLOOKUP($B123,단가마스터!$A$4:$H$303,2,FALSE),IFERROR(VLOOKUP($B123,일위대가!$N$4:$T$63,2,FALSE),"⚠️단가 없음")))</f>
        <v/>
      </c>
      <c r="D123" s="18">
        <f>IF($B123="","",IFERROR(VLOOKUP($B123,단가마스터!$A$4:$H$303,3,FALSE),""))</f>
        <v/>
      </c>
      <c r="E123" s="18">
        <f>IF($B123="","",IFERROR(VLOOKUP($B123,단가마스터!$A$4:$H$303,4,FALSE),IFERROR(VLOOKUP($B123,일위대가!$N$4:$T$63,3,FALSE),"")))</f>
        <v/>
      </c>
      <c r="F123" s="35" t="n"/>
      <c r="G123" s="23" t="n"/>
      <c r="H123" s="23" t="n"/>
      <c r="I123" s="23" t="n"/>
      <c r="J123" s="20">
        <f>IF($B123="","",N($G123)+N($H123)+N($I123))</f>
        <v/>
      </c>
      <c r="K123" s="20">
        <f>IF($B123="","",ROUND(N($F123)*N($J123),0))</f>
        <v/>
      </c>
      <c r="L123" s="19">
        <f>IF($B123="","",SUMIFS(수량산출서!$H$4:$H$253,수량산출서!$A$4:$A$253,"변경",수량산출서!$B$4:$B$253,$B123))</f>
        <v/>
      </c>
      <c r="M123" s="35" t="n"/>
      <c r="N123" s="19">
        <f>IF($B123="","",IF($M123&lt;&gt;"",$M123,N($L123)))</f>
        <v/>
      </c>
      <c r="O123" s="20">
        <f>IF($B123="","",IFERROR(VLOOKUP($B123,단가마스터!$A$4:$H$303,5,FALSE),IFERROR(VLOOKUP($B123,일위대가!$N$4:$T$63,4,FALSE),0)))</f>
        <v/>
      </c>
      <c r="P123" s="20">
        <f>IF($B123="","",IFERROR(VLOOKUP($B123,단가마스터!$A$4:$H$303,6,FALSE),IFERROR(VLOOKUP($B123,일위대가!$N$4:$T$63,5,FALSE),0)))</f>
        <v/>
      </c>
      <c r="Q123" s="20">
        <f>IF($B123="","",IFERROR(VLOOKUP($B123,단가마스터!$A$4:$H$303,7,FALSE),IFERROR(VLOOKUP($B123,일위대가!$N$4:$T$63,6,FALSE),0)))</f>
        <v/>
      </c>
      <c r="R123" s="20">
        <f>IF($B123="","",N($O123)+N($P123)+N($Q123))</f>
        <v/>
      </c>
      <c r="S123" s="20">
        <f>IF($B123="","",ROUND(N($N123)*N($R123),0))</f>
        <v/>
      </c>
      <c r="T123" s="19">
        <f>IF($B123="","",N($N123)-N($F123))</f>
        <v/>
      </c>
      <c r="U123" s="20">
        <f>IF($B123="","",N($S123)-N($K123))</f>
        <v/>
      </c>
      <c r="V123" s="30" t="n"/>
    </row>
    <row r="124">
      <c r="A124" s="30" t="n"/>
      <c r="B124" s="30" t="n"/>
      <c r="C124" s="18">
        <f>IF($B124="","",IFERROR(VLOOKUP($B124,단가마스터!$A$4:$H$303,2,FALSE),IFERROR(VLOOKUP($B124,일위대가!$N$4:$T$63,2,FALSE),"⚠️단가 없음")))</f>
        <v/>
      </c>
      <c r="D124" s="18">
        <f>IF($B124="","",IFERROR(VLOOKUP($B124,단가마스터!$A$4:$H$303,3,FALSE),""))</f>
        <v/>
      </c>
      <c r="E124" s="18">
        <f>IF($B124="","",IFERROR(VLOOKUP($B124,단가마스터!$A$4:$H$303,4,FALSE),IFERROR(VLOOKUP($B124,일위대가!$N$4:$T$63,3,FALSE),"")))</f>
        <v/>
      </c>
      <c r="F124" s="35" t="n"/>
      <c r="G124" s="23" t="n"/>
      <c r="H124" s="23" t="n"/>
      <c r="I124" s="23" t="n"/>
      <c r="J124" s="20">
        <f>IF($B124="","",N($G124)+N($H124)+N($I124))</f>
        <v/>
      </c>
      <c r="K124" s="20">
        <f>IF($B124="","",ROUND(N($F124)*N($J124),0))</f>
        <v/>
      </c>
      <c r="L124" s="19">
        <f>IF($B124="","",SUMIFS(수량산출서!$H$4:$H$253,수량산출서!$A$4:$A$253,"변경",수량산출서!$B$4:$B$253,$B124))</f>
        <v/>
      </c>
      <c r="M124" s="35" t="n"/>
      <c r="N124" s="19">
        <f>IF($B124="","",IF($M124&lt;&gt;"",$M124,N($L124)))</f>
        <v/>
      </c>
      <c r="O124" s="20">
        <f>IF($B124="","",IFERROR(VLOOKUP($B124,단가마스터!$A$4:$H$303,5,FALSE),IFERROR(VLOOKUP($B124,일위대가!$N$4:$T$63,4,FALSE),0)))</f>
        <v/>
      </c>
      <c r="P124" s="20">
        <f>IF($B124="","",IFERROR(VLOOKUP($B124,단가마스터!$A$4:$H$303,6,FALSE),IFERROR(VLOOKUP($B124,일위대가!$N$4:$T$63,5,FALSE),0)))</f>
        <v/>
      </c>
      <c r="Q124" s="20">
        <f>IF($B124="","",IFERROR(VLOOKUP($B124,단가마스터!$A$4:$H$303,7,FALSE),IFERROR(VLOOKUP($B124,일위대가!$N$4:$T$63,6,FALSE),0)))</f>
        <v/>
      </c>
      <c r="R124" s="20">
        <f>IF($B124="","",N($O124)+N($P124)+N($Q124))</f>
        <v/>
      </c>
      <c r="S124" s="20">
        <f>IF($B124="","",ROUND(N($N124)*N($R124),0))</f>
        <v/>
      </c>
      <c r="T124" s="19">
        <f>IF($B124="","",N($N124)-N($F124))</f>
        <v/>
      </c>
      <c r="U124" s="20">
        <f>IF($B124="","",N($S124)-N($K124))</f>
        <v/>
      </c>
      <c r="V124" s="30" t="n"/>
    </row>
    <row r="125">
      <c r="A125" s="30" t="n"/>
      <c r="B125" s="30" t="n"/>
      <c r="C125" s="18">
        <f>IF($B125="","",IFERROR(VLOOKUP($B125,단가마스터!$A$4:$H$303,2,FALSE),IFERROR(VLOOKUP($B125,일위대가!$N$4:$T$63,2,FALSE),"⚠️단가 없음")))</f>
        <v/>
      </c>
      <c r="D125" s="18">
        <f>IF($B125="","",IFERROR(VLOOKUP($B125,단가마스터!$A$4:$H$303,3,FALSE),""))</f>
        <v/>
      </c>
      <c r="E125" s="18">
        <f>IF($B125="","",IFERROR(VLOOKUP($B125,단가마스터!$A$4:$H$303,4,FALSE),IFERROR(VLOOKUP($B125,일위대가!$N$4:$T$63,3,FALSE),"")))</f>
        <v/>
      </c>
      <c r="F125" s="35" t="n"/>
      <c r="G125" s="23" t="n"/>
      <c r="H125" s="23" t="n"/>
      <c r="I125" s="23" t="n"/>
      <c r="J125" s="20">
        <f>IF($B125="","",N($G125)+N($H125)+N($I125))</f>
        <v/>
      </c>
      <c r="K125" s="20">
        <f>IF($B125="","",ROUND(N($F125)*N($J125),0))</f>
        <v/>
      </c>
      <c r="L125" s="19">
        <f>IF($B125="","",SUMIFS(수량산출서!$H$4:$H$253,수량산출서!$A$4:$A$253,"변경",수량산출서!$B$4:$B$253,$B125))</f>
        <v/>
      </c>
      <c r="M125" s="35" t="n"/>
      <c r="N125" s="19">
        <f>IF($B125="","",IF($M125&lt;&gt;"",$M125,N($L125)))</f>
        <v/>
      </c>
      <c r="O125" s="20">
        <f>IF($B125="","",IFERROR(VLOOKUP($B125,단가마스터!$A$4:$H$303,5,FALSE),IFERROR(VLOOKUP($B125,일위대가!$N$4:$T$63,4,FALSE),0)))</f>
        <v/>
      </c>
      <c r="P125" s="20">
        <f>IF($B125="","",IFERROR(VLOOKUP($B125,단가마스터!$A$4:$H$303,6,FALSE),IFERROR(VLOOKUP($B125,일위대가!$N$4:$T$63,5,FALSE),0)))</f>
        <v/>
      </c>
      <c r="Q125" s="20">
        <f>IF($B125="","",IFERROR(VLOOKUP($B125,단가마스터!$A$4:$H$303,7,FALSE),IFERROR(VLOOKUP($B125,일위대가!$N$4:$T$63,6,FALSE),0)))</f>
        <v/>
      </c>
      <c r="R125" s="20">
        <f>IF($B125="","",N($O125)+N($P125)+N($Q125))</f>
        <v/>
      </c>
      <c r="S125" s="20">
        <f>IF($B125="","",ROUND(N($N125)*N($R125),0))</f>
        <v/>
      </c>
      <c r="T125" s="19">
        <f>IF($B125="","",N($N125)-N($F125))</f>
        <v/>
      </c>
      <c r="U125" s="20">
        <f>IF($B125="","",N($S125)-N($K125))</f>
        <v/>
      </c>
      <c r="V125" s="30" t="n"/>
    </row>
    <row r="126">
      <c r="A126" s="30" t="n"/>
      <c r="B126" s="30" t="n"/>
      <c r="C126" s="18">
        <f>IF($B126="","",IFERROR(VLOOKUP($B126,단가마스터!$A$4:$H$303,2,FALSE),IFERROR(VLOOKUP($B126,일위대가!$N$4:$T$63,2,FALSE),"⚠️단가 없음")))</f>
        <v/>
      </c>
      <c r="D126" s="18">
        <f>IF($B126="","",IFERROR(VLOOKUP($B126,단가마스터!$A$4:$H$303,3,FALSE),""))</f>
        <v/>
      </c>
      <c r="E126" s="18">
        <f>IF($B126="","",IFERROR(VLOOKUP($B126,단가마스터!$A$4:$H$303,4,FALSE),IFERROR(VLOOKUP($B126,일위대가!$N$4:$T$63,3,FALSE),"")))</f>
        <v/>
      </c>
      <c r="F126" s="35" t="n"/>
      <c r="G126" s="23" t="n"/>
      <c r="H126" s="23" t="n"/>
      <c r="I126" s="23" t="n"/>
      <c r="J126" s="20">
        <f>IF($B126="","",N($G126)+N($H126)+N($I126))</f>
        <v/>
      </c>
      <c r="K126" s="20">
        <f>IF($B126="","",ROUND(N($F126)*N($J126),0))</f>
        <v/>
      </c>
      <c r="L126" s="19">
        <f>IF($B126="","",SUMIFS(수량산출서!$H$4:$H$253,수량산출서!$A$4:$A$253,"변경",수량산출서!$B$4:$B$253,$B126))</f>
        <v/>
      </c>
      <c r="M126" s="35" t="n"/>
      <c r="N126" s="19">
        <f>IF($B126="","",IF($M126&lt;&gt;"",$M126,N($L126)))</f>
        <v/>
      </c>
      <c r="O126" s="20">
        <f>IF($B126="","",IFERROR(VLOOKUP($B126,단가마스터!$A$4:$H$303,5,FALSE),IFERROR(VLOOKUP($B126,일위대가!$N$4:$T$63,4,FALSE),0)))</f>
        <v/>
      </c>
      <c r="P126" s="20">
        <f>IF($B126="","",IFERROR(VLOOKUP($B126,단가마스터!$A$4:$H$303,6,FALSE),IFERROR(VLOOKUP($B126,일위대가!$N$4:$T$63,5,FALSE),0)))</f>
        <v/>
      </c>
      <c r="Q126" s="20">
        <f>IF($B126="","",IFERROR(VLOOKUP($B126,단가마스터!$A$4:$H$303,7,FALSE),IFERROR(VLOOKUP($B126,일위대가!$N$4:$T$63,6,FALSE),0)))</f>
        <v/>
      </c>
      <c r="R126" s="20">
        <f>IF($B126="","",N($O126)+N($P126)+N($Q126))</f>
        <v/>
      </c>
      <c r="S126" s="20">
        <f>IF($B126="","",ROUND(N($N126)*N($R126),0))</f>
        <v/>
      </c>
      <c r="T126" s="19">
        <f>IF($B126="","",N($N126)-N($F126))</f>
        <v/>
      </c>
      <c r="U126" s="20">
        <f>IF($B126="","",N($S126)-N($K126))</f>
        <v/>
      </c>
      <c r="V126" s="30" t="n"/>
    </row>
    <row r="127">
      <c r="A127" s="30" t="n"/>
      <c r="B127" s="30" t="n"/>
      <c r="C127" s="18">
        <f>IF($B127="","",IFERROR(VLOOKUP($B127,단가마스터!$A$4:$H$303,2,FALSE),IFERROR(VLOOKUP($B127,일위대가!$N$4:$T$63,2,FALSE),"⚠️단가 없음")))</f>
        <v/>
      </c>
      <c r="D127" s="18">
        <f>IF($B127="","",IFERROR(VLOOKUP($B127,단가마스터!$A$4:$H$303,3,FALSE),""))</f>
        <v/>
      </c>
      <c r="E127" s="18">
        <f>IF($B127="","",IFERROR(VLOOKUP($B127,단가마스터!$A$4:$H$303,4,FALSE),IFERROR(VLOOKUP($B127,일위대가!$N$4:$T$63,3,FALSE),"")))</f>
        <v/>
      </c>
      <c r="F127" s="35" t="n"/>
      <c r="G127" s="23" t="n"/>
      <c r="H127" s="23" t="n"/>
      <c r="I127" s="23" t="n"/>
      <c r="J127" s="20">
        <f>IF($B127="","",N($G127)+N($H127)+N($I127))</f>
        <v/>
      </c>
      <c r="K127" s="20">
        <f>IF($B127="","",ROUND(N($F127)*N($J127),0))</f>
        <v/>
      </c>
      <c r="L127" s="19">
        <f>IF($B127="","",SUMIFS(수량산출서!$H$4:$H$253,수량산출서!$A$4:$A$253,"변경",수량산출서!$B$4:$B$253,$B127))</f>
        <v/>
      </c>
      <c r="M127" s="35" t="n"/>
      <c r="N127" s="19">
        <f>IF($B127="","",IF($M127&lt;&gt;"",$M127,N($L127)))</f>
        <v/>
      </c>
      <c r="O127" s="20">
        <f>IF($B127="","",IFERROR(VLOOKUP($B127,단가마스터!$A$4:$H$303,5,FALSE),IFERROR(VLOOKUP($B127,일위대가!$N$4:$T$63,4,FALSE),0)))</f>
        <v/>
      </c>
      <c r="P127" s="20">
        <f>IF($B127="","",IFERROR(VLOOKUP($B127,단가마스터!$A$4:$H$303,6,FALSE),IFERROR(VLOOKUP($B127,일위대가!$N$4:$T$63,5,FALSE),0)))</f>
        <v/>
      </c>
      <c r="Q127" s="20">
        <f>IF($B127="","",IFERROR(VLOOKUP($B127,단가마스터!$A$4:$H$303,7,FALSE),IFERROR(VLOOKUP($B127,일위대가!$N$4:$T$63,6,FALSE),0)))</f>
        <v/>
      </c>
      <c r="R127" s="20">
        <f>IF($B127="","",N($O127)+N($P127)+N($Q127))</f>
        <v/>
      </c>
      <c r="S127" s="20">
        <f>IF($B127="","",ROUND(N($N127)*N($R127),0))</f>
        <v/>
      </c>
      <c r="T127" s="19">
        <f>IF($B127="","",N($N127)-N($F127))</f>
        <v/>
      </c>
      <c r="U127" s="20">
        <f>IF($B127="","",N($S127)-N($K127))</f>
        <v/>
      </c>
      <c r="V127" s="30" t="n"/>
    </row>
    <row r="128">
      <c r="A128" s="30" t="n"/>
      <c r="B128" s="30" t="n"/>
      <c r="C128" s="18">
        <f>IF($B128="","",IFERROR(VLOOKUP($B128,단가마스터!$A$4:$H$303,2,FALSE),IFERROR(VLOOKUP($B128,일위대가!$N$4:$T$63,2,FALSE),"⚠️단가 없음")))</f>
        <v/>
      </c>
      <c r="D128" s="18">
        <f>IF($B128="","",IFERROR(VLOOKUP($B128,단가마스터!$A$4:$H$303,3,FALSE),""))</f>
        <v/>
      </c>
      <c r="E128" s="18">
        <f>IF($B128="","",IFERROR(VLOOKUP($B128,단가마스터!$A$4:$H$303,4,FALSE),IFERROR(VLOOKUP($B128,일위대가!$N$4:$T$63,3,FALSE),"")))</f>
        <v/>
      </c>
      <c r="F128" s="35" t="n"/>
      <c r="G128" s="23" t="n"/>
      <c r="H128" s="23" t="n"/>
      <c r="I128" s="23" t="n"/>
      <c r="J128" s="20">
        <f>IF($B128="","",N($G128)+N($H128)+N($I128))</f>
        <v/>
      </c>
      <c r="K128" s="20">
        <f>IF($B128="","",ROUND(N($F128)*N($J128),0))</f>
        <v/>
      </c>
      <c r="L128" s="19">
        <f>IF($B128="","",SUMIFS(수량산출서!$H$4:$H$253,수량산출서!$A$4:$A$253,"변경",수량산출서!$B$4:$B$253,$B128))</f>
        <v/>
      </c>
      <c r="M128" s="35" t="n"/>
      <c r="N128" s="19">
        <f>IF($B128="","",IF($M128&lt;&gt;"",$M128,N($L128)))</f>
        <v/>
      </c>
      <c r="O128" s="20">
        <f>IF($B128="","",IFERROR(VLOOKUP($B128,단가마스터!$A$4:$H$303,5,FALSE),IFERROR(VLOOKUP($B128,일위대가!$N$4:$T$63,4,FALSE),0)))</f>
        <v/>
      </c>
      <c r="P128" s="20">
        <f>IF($B128="","",IFERROR(VLOOKUP($B128,단가마스터!$A$4:$H$303,6,FALSE),IFERROR(VLOOKUP($B128,일위대가!$N$4:$T$63,5,FALSE),0)))</f>
        <v/>
      </c>
      <c r="Q128" s="20">
        <f>IF($B128="","",IFERROR(VLOOKUP($B128,단가마스터!$A$4:$H$303,7,FALSE),IFERROR(VLOOKUP($B128,일위대가!$N$4:$T$63,6,FALSE),0)))</f>
        <v/>
      </c>
      <c r="R128" s="20">
        <f>IF($B128="","",N($O128)+N($P128)+N($Q128))</f>
        <v/>
      </c>
      <c r="S128" s="20">
        <f>IF($B128="","",ROUND(N($N128)*N($R128),0))</f>
        <v/>
      </c>
      <c r="T128" s="19">
        <f>IF($B128="","",N($N128)-N($F128))</f>
        <v/>
      </c>
      <c r="U128" s="20">
        <f>IF($B128="","",N($S128)-N($K128))</f>
        <v/>
      </c>
      <c r="V128" s="30" t="n"/>
    </row>
    <row r="129">
      <c r="A129" s="30" t="n"/>
      <c r="B129" s="30" t="n"/>
      <c r="C129" s="18">
        <f>IF($B129="","",IFERROR(VLOOKUP($B129,단가마스터!$A$4:$H$303,2,FALSE),IFERROR(VLOOKUP($B129,일위대가!$N$4:$T$63,2,FALSE),"⚠️단가 없음")))</f>
        <v/>
      </c>
      <c r="D129" s="18">
        <f>IF($B129="","",IFERROR(VLOOKUP($B129,단가마스터!$A$4:$H$303,3,FALSE),""))</f>
        <v/>
      </c>
      <c r="E129" s="18">
        <f>IF($B129="","",IFERROR(VLOOKUP($B129,단가마스터!$A$4:$H$303,4,FALSE),IFERROR(VLOOKUP($B129,일위대가!$N$4:$T$63,3,FALSE),"")))</f>
        <v/>
      </c>
      <c r="F129" s="35" t="n"/>
      <c r="G129" s="23" t="n"/>
      <c r="H129" s="23" t="n"/>
      <c r="I129" s="23" t="n"/>
      <c r="J129" s="20">
        <f>IF($B129="","",N($G129)+N($H129)+N($I129))</f>
        <v/>
      </c>
      <c r="K129" s="20">
        <f>IF($B129="","",ROUND(N($F129)*N($J129),0))</f>
        <v/>
      </c>
      <c r="L129" s="19">
        <f>IF($B129="","",SUMIFS(수량산출서!$H$4:$H$253,수량산출서!$A$4:$A$253,"변경",수량산출서!$B$4:$B$253,$B129))</f>
        <v/>
      </c>
      <c r="M129" s="35" t="n"/>
      <c r="N129" s="19">
        <f>IF($B129="","",IF($M129&lt;&gt;"",$M129,N($L129)))</f>
        <v/>
      </c>
      <c r="O129" s="20">
        <f>IF($B129="","",IFERROR(VLOOKUP($B129,단가마스터!$A$4:$H$303,5,FALSE),IFERROR(VLOOKUP($B129,일위대가!$N$4:$T$63,4,FALSE),0)))</f>
        <v/>
      </c>
      <c r="P129" s="20">
        <f>IF($B129="","",IFERROR(VLOOKUP($B129,단가마스터!$A$4:$H$303,6,FALSE),IFERROR(VLOOKUP($B129,일위대가!$N$4:$T$63,5,FALSE),0)))</f>
        <v/>
      </c>
      <c r="Q129" s="20">
        <f>IF($B129="","",IFERROR(VLOOKUP($B129,단가마스터!$A$4:$H$303,7,FALSE),IFERROR(VLOOKUP($B129,일위대가!$N$4:$T$63,6,FALSE),0)))</f>
        <v/>
      </c>
      <c r="R129" s="20">
        <f>IF($B129="","",N($O129)+N($P129)+N($Q129))</f>
        <v/>
      </c>
      <c r="S129" s="20">
        <f>IF($B129="","",ROUND(N($N129)*N($R129),0))</f>
        <v/>
      </c>
      <c r="T129" s="19">
        <f>IF($B129="","",N($N129)-N($F129))</f>
        <v/>
      </c>
      <c r="U129" s="20">
        <f>IF($B129="","",N($S129)-N($K129))</f>
        <v/>
      </c>
      <c r="V129" s="30" t="n"/>
    </row>
    <row r="130">
      <c r="A130" s="30" t="n"/>
      <c r="B130" s="30" t="n"/>
      <c r="C130" s="18">
        <f>IF($B130="","",IFERROR(VLOOKUP($B130,단가마스터!$A$4:$H$303,2,FALSE),IFERROR(VLOOKUP($B130,일위대가!$N$4:$T$63,2,FALSE),"⚠️단가 없음")))</f>
        <v/>
      </c>
      <c r="D130" s="18">
        <f>IF($B130="","",IFERROR(VLOOKUP($B130,단가마스터!$A$4:$H$303,3,FALSE),""))</f>
        <v/>
      </c>
      <c r="E130" s="18">
        <f>IF($B130="","",IFERROR(VLOOKUP($B130,단가마스터!$A$4:$H$303,4,FALSE),IFERROR(VLOOKUP($B130,일위대가!$N$4:$T$63,3,FALSE),"")))</f>
        <v/>
      </c>
      <c r="F130" s="35" t="n"/>
      <c r="G130" s="23" t="n"/>
      <c r="H130" s="23" t="n"/>
      <c r="I130" s="23" t="n"/>
      <c r="J130" s="20">
        <f>IF($B130="","",N($G130)+N($H130)+N($I130))</f>
        <v/>
      </c>
      <c r="K130" s="20">
        <f>IF($B130="","",ROUND(N($F130)*N($J130),0))</f>
        <v/>
      </c>
      <c r="L130" s="19">
        <f>IF($B130="","",SUMIFS(수량산출서!$H$4:$H$253,수량산출서!$A$4:$A$253,"변경",수량산출서!$B$4:$B$253,$B130))</f>
        <v/>
      </c>
      <c r="M130" s="35" t="n"/>
      <c r="N130" s="19">
        <f>IF($B130="","",IF($M130&lt;&gt;"",$M130,N($L130)))</f>
        <v/>
      </c>
      <c r="O130" s="20">
        <f>IF($B130="","",IFERROR(VLOOKUP($B130,단가마스터!$A$4:$H$303,5,FALSE),IFERROR(VLOOKUP($B130,일위대가!$N$4:$T$63,4,FALSE),0)))</f>
        <v/>
      </c>
      <c r="P130" s="20">
        <f>IF($B130="","",IFERROR(VLOOKUP($B130,단가마스터!$A$4:$H$303,6,FALSE),IFERROR(VLOOKUP($B130,일위대가!$N$4:$T$63,5,FALSE),0)))</f>
        <v/>
      </c>
      <c r="Q130" s="20">
        <f>IF($B130="","",IFERROR(VLOOKUP($B130,단가마스터!$A$4:$H$303,7,FALSE),IFERROR(VLOOKUP($B130,일위대가!$N$4:$T$63,6,FALSE),0)))</f>
        <v/>
      </c>
      <c r="R130" s="20">
        <f>IF($B130="","",N($O130)+N($P130)+N($Q130))</f>
        <v/>
      </c>
      <c r="S130" s="20">
        <f>IF($B130="","",ROUND(N($N130)*N($R130),0))</f>
        <v/>
      </c>
      <c r="T130" s="19">
        <f>IF($B130="","",N($N130)-N($F130))</f>
        <v/>
      </c>
      <c r="U130" s="20">
        <f>IF($B130="","",N($S130)-N($K130))</f>
        <v/>
      </c>
      <c r="V130" s="30" t="n"/>
    </row>
    <row r="131">
      <c r="A131" s="30" t="n"/>
      <c r="B131" s="30" t="n"/>
      <c r="C131" s="18">
        <f>IF($B131="","",IFERROR(VLOOKUP($B131,단가마스터!$A$4:$H$303,2,FALSE),IFERROR(VLOOKUP($B131,일위대가!$N$4:$T$63,2,FALSE),"⚠️단가 없음")))</f>
        <v/>
      </c>
      <c r="D131" s="18">
        <f>IF($B131="","",IFERROR(VLOOKUP($B131,단가마스터!$A$4:$H$303,3,FALSE),""))</f>
        <v/>
      </c>
      <c r="E131" s="18">
        <f>IF($B131="","",IFERROR(VLOOKUP($B131,단가마스터!$A$4:$H$303,4,FALSE),IFERROR(VLOOKUP($B131,일위대가!$N$4:$T$63,3,FALSE),"")))</f>
        <v/>
      </c>
      <c r="F131" s="35" t="n"/>
      <c r="G131" s="23" t="n"/>
      <c r="H131" s="23" t="n"/>
      <c r="I131" s="23" t="n"/>
      <c r="J131" s="20">
        <f>IF($B131="","",N($G131)+N($H131)+N($I131))</f>
        <v/>
      </c>
      <c r="K131" s="20">
        <f>IF($B131="","",ROUND(N($F131)*N($J131),0))</f>
        <v/>
      </c>
      <c r="L131" s="19">
        <f>IF($B131="","",SUMIFS(수량산출서!$H$4:$H$253,수량산출서!$A$4:$A$253,"변경",수량산출서!$B$4:$B$253,$B131))</f>
        <v/>
      </c>
      <c r="M131" s="35" t="n"/>
      <c r="N131" s="19">
        <f>IF($B131="","",IF($M131&lt;&gt;"",$M131,N($L131)))</f>
        <v/>
      </c>
      <c r="O131" s="20">
        <f>IF($B131="","",IFERROR(VLOOKUP($B131,단가마스터!$A$4:$H$303,5,FALSE),IFERROR(VLOOKUP($B131,일위대가!$N$4:$T$63,4,FALSE),0)))</f>
        <v/>
      </c>
      <c r="P131" s="20">
        <f>IF($B131="","",IFERROR(VLOOKUP($B131,단가마스터!$A$4:$H$303,6,FALSE),IFERROR(VLOOKUP($B131,일위대가!$N$4:$T$63,5,FALSE),0)))</f>
        <v/>
      </c>
      <c r="Q131" s="20">
        <f>IF($B131="","",IFERROR(VLOOKUP($B131,단가마스터!$A$4:$H$303,7,FALSE),IFERROR(VLOOKUP($B131,일위대가!$N$4:$T$63,6,FALSE),0)))</f>
        <v/>
      </c>
      <c r="R131" s="20">
        <f>IF($B131="","",N($O131)+N($P131)+N($Q131))</f>
        <v/>
      </c>
      <c r="S131" s="20">
        <f>IF($B131="","",ROUND(N($N131)*N($R131),0))</f>
        <v/>
      </c>
      <c r="T131" s="19">
        <f>IF($B131="","",N($N131)-N($F131))</f>
        <v/>
      </c>
      <c r="U131" s="20">
        <f>IF($B131="","",N($S131)-N($K131))</f>
        <v/>
      </c>
      <c r="V131" s="30" t="n"/>
    </row>
    <row r="132">
      <c r="A132" s="30" t="n"/>
      <c r="B132" s="30" t="n"/>
      <c r="C132" s="18">
        <f>IF($B132="","",IFERROR(VLOOKUP($B132,단가마스터!$A$4:$H$303,2,FALSE),IFERROR(VLOOKUP($B132,일위대가!$N$4:$T$63,2,FALSE),"⚠️단가 없음")))</f>
        <v/>
      </c>
      <c r="D132" s="18">
        <f>IF($B132="","",IFERROR(VLOOKUP($B132,단가마스터!$A$4:$H$303,3,FALSE),""))</f>
        <v/>
      </c>
      <c r="E132" s="18">
        <f>IF($B132="","",IFERROR(VLOOKUP($B132,단가마스터!$A$4:$H$303,4,FALSE),IFERROR(VLOOKUP($B132,일위대가!$N$4:$T$63,3,FALSE),"")))</f>
        <v/>
      </c>
      <c r="F132" s="35" t="n"/>
      <c r="G132" s="23" t="n"/>
      <c r="H132" s="23" t="n"/>
      <c r="I132" s="23" t="n"/>
      <c r="J132" s="20">
        <f>IF($B132="","",N($G132)+N($H132)+N($I132))</f>
        <v/>
      </c>
      <c r="K132" s="20">
        <f>IF($B132="","",ROUND(N($F132)*N($J132),0))</f>
        <v/>
      </c>
      <c r="L132" s="19">
        <f>IF($B132="","",SUMIFS(수량산출서!$H$4:$H$253,수량산출서!$A$4:$A$253,"변경",수량산출서!$B$4:$B$253,$B132))</f>
        <v/>
      </c>
      <c r="M132" s="35" t="n"/>
      <c r="N132" s="19">
        <f>IF($B132="","",IF($M132&lt;&gt;"",$M132,N($L132)))</f>
        <v/>
      </c>
      <c r="O132" s="20">
        <f>IF($B132="","",IFERROR(VLOOKUP($B132,단가마스터!$A$4:$H$303,5,FALSE),IFERROR(VLOOKUP($B132,일위대가!$N$4:$T$63,4,FALSE),0)))</f>
        <v/>
      </c>
      <c r="P132" s="20">
        <f>IF($B132="","",IFERROR(VLOOKUP($B132,단가마스터!$A$4:$H$303,6,FALSE),IFERROR(VLOOKUP($B132,일위대가!$N$4:$T$63,5,FALSE),0)))</f>
        <v/>
      </c>
      <c r="Q132" s="20">
        <f>IF($B132="","",IFERROR(VLOOKUP($B132,단가마스터!$A$4:$H$303,7,FALSE),IFERROR(VLOOKUP($B132,일위대가!$N$4:$T$63,6,FALSE),0)))</f>
        <v/>
      </c>
      <c r="R132" s="20">
        <f>IF($B132="","",N($O132)+N($P132)+N($Q132))</f>
        <v/>
      </c>
      <c r="S132" s="20">
        <f>IF($B132="","",ROUND(N($N132)*N($R132),0))</f>
        <v/>
      </c>
      <c r="T132" s="19">
        <f>IF($B132="","",N($N132)-N($F132))</f>
        <v/>
      </c>
      <c r="U132" s="20">
        <f>IF($B132="","",N($S132)-N($K132))</f>
        <v/>
      </c>
      <c r="V132" s="30" t="n"/>
    </row>
    <row r="133">
      <c r="A133" s="30" t="n"/>
      <c r="B133" s="30" t="n"/>
      <c r="C133" s="18">
        <f>IF($B133="","",IFERROR(VLOOKUP($B133,단가마스터!$A$4:$H$303,2,FALSE),IFERROR(VLOOKUP($B133,일위대가!$N$4:$T$63,2,FALSE),"⚠️단가 없음")))</f>
        <v/>
      </c>
      <c r="D133" s="18">
        <f>IF($B133="","",IFERROR(VLOOKUP($B133,단가마스터!$A$4:$H$303,3,FALSE),""))</f>
        <v/>
      </c>
      <c r="E133" s="18">
        <f>IF($B133="","",IFERROR(VLOOKUP($B133,단가마스터!$A$4:$H$303,4,FALSE),IFERROR(VLOOKUP($B133,일위대가!$N$4:$T$63,3,FALSE),"")))</f>
        <v/>
      </c>
      <c r="F133" s="35" t="n"/>
      <c r="G133" s="23" t="n"/>
      <c r="H133" s="23" t="n"/>
      <c r="I133" s="23" t="n"/>
      <c r="J133" s="20">
        <f>IF($B133="","",N($G133)+N($H133)+N($I133))</f>
        <v/>
      </c>
      <c r="K133" s="20">
        <f>IF($B133="","",ROUND(N($F133)*N($J133),0))</f>
        <v/>
      </c>
      <c r="L133" s="19">
        <f>IF($B133="","",SUMIFS(수량산출서!$H$4:$H$253,수량산출서!$A$4:$A$253,"변경",수량산출서!$B$4:$B$253,$B133))</f>
        <v/>
      </c>
      <c r="M133" s="35" t="n"/>
      <c r="N133" s="19">
        <f>IF($B133="","",IF($M133&lt;&gt;"",$M133,N($L133)))</f>
        <v/>
      </c>
      <c r="O133" s="20">
        <f>IF($B133="","",IFERROR(VLOOKUP($B133,단가마스터!$A$4:$H$303,5,FALSE),IFERROR(VLOOKUP($B133,일위대가!$N$4:$T$63,4,FALSE),0)))</f>
        <v/>
      </c>
      <c r="P133" s="20">
        <f>IF($B133="","",IFERROR(VLOOKUP($B133,단가마스터!$A$4:$H$303,6,FALSE),IFERROR(VLOOKUP($B133,일위대가!$N$4:$T$63,5,FALSE),0)))</f>
        <v/>
      </c>
      <c r="Q133" s="20">
        <f>IF($B133="","",IFERROR(VLOOKUP($B133,단가마스터!$A$4:$H$303,7,FALSE),IFERROR(VLOOKUP($B133,일위대가!$N$4:$T$63,6,FALSE),0)))</f>
        <v/>
      </c>
      <c r="R133" s="20">
        <f>IF($B133="","",N($O133)+N($P133)+N($Q133))</f>
        <v/>
      </c>
      <c r="S133" s="20">
        <f>IF($B133="","",ROUND(N($N133)*N($R133),0))</f>
        <v/>
      </c>
      <c r="T133" s="19">
        <f>IF($B133="","",N($N133)-N($F133))</f>
        <v/>
      </c>
      <c r="U133" s="20">
        <f>IF($B133="","",N($S133)-N($K133))</f>
        <v/>
      </c>
      <c r="V133" s="30" t="n"/>
    </row>
    <row r="134">
      <c r="A134" s="30" t="n"/>
      <c r="B134" s="30" t="n"/>
      <c r="C134" s="18">
        <f>IF($B134="","",IFERROR(VLOOKUP($B134,단가마스터!$A$4:$H$303,2,FALSE),IFERROR(VLOOKUP($B134,일위대가!$N$4:$T$63,2,FALSE),"⚠️단가 없음")))</f>
        <v/>
      </c>
      <c r="D134" s="18">
        <f>IF($B134="","",IFERROR(VLOOKUP($B134,단가마스터!$A$4:$H$303,3,FALSE),""))</f>
        <v/>
      </c>
      <c r="E134" s="18">
        <f>IF($B134="","",IFERROR(VLOOKUP($B134,단가마스터!$A$4:$H$303,4,FALSE),IFERROR(VLOOKUP($B134,일위대가!$N$4:$T$63,3,FALSE),"")))</f>
        <v/>
      </c>
      <c r="F134" s="35" t="n"/>
      <c r="G134" s="23" t="n"/>
      <c r="H134" s="23" t="n"/>
      <c r="I134" s="23" t="n"/>
      <c r="J134" s="20">
        <f>IF($B134="","",N($G134)+N($H134)+N($I134))</f>
        <v/>
      </c>
      <c r="K134" s="20">
        <f>IF($B134="","",ROUND(N($F134)*N($J134),0))</f>
        <v/>
      </c>
      <c r="L134" s="19">
        <f>IF($B134="","",SUMIFS(수량산출서!$H$4:$H$253,수량산출서!$A$4:$A$253,"변경",수량산출서!$B$4:$B$253,$B134))</f>
        <v/>
      </c>
      <c r="M134" s="35" t="n"/>
      <c r="N134" s="19">
        <f>IF($B134="","",IF($M134&lt;&gt;"",$M134,N($L134)))</f>
        <v/>
      </c>
      <c r="O134" s="20">
        <f>IF($B134="","",IFERROR(VLOOKUP($B134,단가마스터!$A$4:$H$303,5,FALSE),IFERROR(VLOOKUP($B134,일위대가!$N$4:$T$63,4,FALSE),0)))</f>
        <v/>
      </c>
      <c r="P134" s="20">
        <f>IF($B134="","",IFERROR(VLOOKUP($B134,단가마스터!$A$4:$H$303,6,FALSE),IFERROR(VLOOKUP($B134,일위대가!$N$4:$T$63,5,FALSE),0)))</f>
        <v/>
      </c>
      <c r="Q134" s="20">
        <f>IF($B134="","",IFERROR(VLOOKUP($B134,단가마스터!$A$4:$H$303,7,FALSE),IFERROR(VLOOKUP($B134,일위대가!$N$4:$T$63,6,FALSE),0)))</f>
        <v/>
      </c>
      <c r="R134" s="20">
        <f>IF($B134="","",N($O134)+N($P134)+N($Q134))</f>
        <v/>
      </c>
      <c r="S134" s="20">
        <f>IF($B134="","",ROUND(N($N134)*N($R134),0))</f>
        <v/>
      </c>
      <c r="T134" s="19">
        <f>IF($B134="","",N($N134)-N($F134))</f>
        <v/>
      </c>
      <c r="U134" s="20">
        <f>IF($B134="","",N($S134)-N($K134))</f>
        <v/>
      </c>
      <c r="V134" s="30" t="n"/>
    </row>
    <row r="135">
      <c r="A135" s="30" t="n"/>
      <c r="B135" s="30" t="n"/>
      <c r="C135" s="18">
        <f>IF($B135="","",IFERROR(VLOOKUP($B135,단가마스터!$A$4:$H$303,2,FALSE),IFERROR(VLOOKUP($B135,일위대가!$N$4:$T$63,2,FALSE),"⚠️단가 없음")))</f>
        <v/>
      </c>
      <c r="D135" s="18">
        <f>IF($B135="","",IFERROR(VLOOKUP($B135,단가마스터!$A$4:$H$303,3,FALSE),""))</f>
        <v/>
      </c>
      <c r="E135" s="18">
        <f>IF($B135="","",IFERROR(VLOOKUP($B135,단가마스터!$A$4:$H$303,4,FALSE),IFERROR(VLOOKUP($B135,일위대가!$N$4:$T$63,3,FALSE),"")))</f>
        <v/>
      </c>
      <c r="F135" s="35" t="n"/>
      <c r="G135" s="23" t="n"/>
      <c r="H135" s="23" t="n"/>
      <c r="I135" s="23" t="n"/>
      <c r="J135" s="20">
        <f>IF($B135="","",N($G135)+N($H135)+N($I135))</f>
        <v/>
      </c>
      <c r="K135" s="20">
        <f>IF($B135="","",ROUND(N($F135)*N($J135),0))</f>
        <v/>
      </c>
      <c r="L135" s="19">
        <f>IF($B135="","",SUMIFS(수량산출서!$H$4:$H$253,수량산출서!$A$4:$A$253,"변경",수량산출서!$B$4:$B$253,$B135))</f>
        <v/>
      </c>
      <c r="M135" s="35" t="n"/>
      <c r="N135" s="19">
        <f>IF($B135="","",IF($M135&lt;&gt;"",$M135,N($L135)))</f>
        <v/>
      </c>
      <c r="O135" s="20">
        <f>IF($B135="","",IFERROR(VLOOKUP($B135,단가마스터!$A$4:$H$303,5,FALSE),IFERROR(VLOOKUP($B135,일위대가!$N$4:$T$63,4,FALSE),0)))</f>
        <v/>
      </c>
      <c r="P135" s="20">
        <f>IF($B135="","",IFERROR(VLOOKUP($B135,단가마스터!$A$4:$H$303,6,FALSE),IFERROR(VLOOKUP($B135,일위대가!$N$4:$T$63,5,FALSE),0)))</f>
        <v/>
      </c>
      <c r="Q135" s="20">
        <f>IF($B135="","",IFERROR(VLOOKUP($B135,단가마스터!$A$4:$H$303,7,FALSE),IFERROR(VLOOKUP($B135,일위대가!$N$4:$T$63,6,FALSE),0)))</f>
        <v/>
      </c>
      <c r="R135" s="20">
        <f>IF($B135="","",N($O135)+N($P135)+N($Q135))</f>
        <v/>
      </c>
      <c r="S135" s="20">
        <f>IF($B135="","",ROUND(N($N135)*N($R135),0))</f>
        <v/>
      </c>
      <c r="T135" s="19">
        <f>IF($B135="","",N($N135)-N($F135))</f>
        <v/>
      </c>
      <c r="U135" s="20">
        <f>IF($B135="","",N($S135)-N($K135))</f>
        <v/>
      </c>
      <c r="V135" s="30" t="n"/>
    </row>
    <row r="136">
      <c r="A136" s="30" t="n"/>
      <c r="B136" s="30" t="n"/>
      <c r="C136" s="18">
        <f>IF($B136="","",IFERROR(VLOOKUP($B136,단가마스터!$A$4:$H$303,2,FALSE),IFERROR(VLOOKUP($B136,일위대가!$N$4:$T$63,2,FALSE),"⚠️단가 없음")))</f>
        <v/>
      </c>
      <c r="D136" s="18">
        <f>IF($B136="","",IFERROR(VLOOKUP($B136,단가마스터!$A$4:$H$303,3,FALSE),""))</f>
        <v/>
      </c>
      <c r="E136" s="18">
        <f>IF($B136="","",IFERROR(VLOOKUP($B136,단가마스터!$A$4:$H$303,4,FALSE),IFERROR(VLOOKUP($B136,일위대가!$N$4:$T$63,3,FALSE),"")))</f>
        <v/>
      </c>
      <c r="F136" s="35" t="n"/>
      <c r="G136" s="23" t="n"/>
      <c r="H136" s="23" t="n"/>
      <c r="I136" s="23" t="n"/>
      <c r="J136" s="20">
        <f>IF($B136="","",N($G136)+N($H136)+N($I136))</f>
        <v/>
      </c>
      <c r="K136" s="20">
        <f>IF($B136="","",ROUND(N($F136)*N($J136),0))</f>
        <v/>
      </c>
      <c r="L136" s="19">
        <f>IF($B136="","",SUMIFS(수량산출서!$H$4:$H$253,수량산출서!$A$4:$A$253,"변경",수량산출서!$B$4:$B$253,$B136))</f>
        <v/>
      </c>
      <c r="M136" s="35" t="n"/>
      <c r="N136" s="19">
        <f>IF($B136="","",IF($M136&lt;&gt;"",$M136,N($L136)))</f>
        <v/>
      </c>
      <c r="O136" s="20">
        <f>IF($B136="","",IFERROR(VLOOKUP($B136,단가마스터!$A$4:$H$303,5,FALSE),IFERROR(VLOOKUP($B136,일위대가!$N$4:$T$63,4,FALSE),0)))</f>
        <v/>
      </c>
      <c r="P136" s="20">
        <f>IF($B136="","",IFERROR(VLOOKUP($B136,단가마스터!$A$4:$H$303,6,FALSE),IFERROR(VLOOKUP($B136,일위대가!$N$4:$T$63,5,FALSE),0)))</f>
        <v/>
      </c>
      <c r="Q136" s="20">
        <f>IF($B136="","",IFERROR(VLOOKUP($B136,단가마스터!$A$4:$H$303,7,FALSE),IFERROR(VLOOKUP($B136,일위대가!$N$4:$T$63,6,FALSE),0)))</f>
        <v/>
      </c>
      <c r="R136" s="20">
        <f>IF($B136="","",N($O136)+N($P136)+N($Q136))</f>
        <v/>
      </c>
      <c r="S136" s="20">
        <f>IF($B136="","",ROUND(N($N136)*N($R136),0))</f>
        <v/>
      </c>
      <c r="T136" s="19">
        <f>IF($B136="","",N($N136)-N($F136))</f>
        <v/>
      </c>
      <c r="U136" s="20">
        <f>IF($B136="","",N($S136)-N($K136))</f>
        <v/>
      </c>
      <c r="V136" s="30" t="n"/>
    </row>
    <row r="137">
      <c r="A137" s="30" t="n"/>
      <c r="B137" s="30" t="n"/>
      <c r="C137" s="18">
        <f>IF($B137="","",IFERROR(VLOOKUP($B137,단가마스터!$A$4:$H$303,2,FALSE),IFERROR(VLOOKUP($B137,일위대가!$N$4:$T$63,2,FALSE),"⚠️단가 없음")))</f>
        <v/>
      </c>
      <c r="D137" s="18">
        <f>IF($B137="","",IFERROR(VLOOKUP($B137,단가마스터!$A$4:$H$303,3,FALSE),""))</f>
        <v/>
      </c>
      <c r="E137" s="18">
        <f>IF($B137="","",IFERROR(VLOOKUP($B137,단가마스터!$A$4:$H$303,4,FALSE),IFERROR(VLOOKUP($B137,일위대가!$N$4:$T$63,3,FALSE),"")))</f>
        <v/>
      </c>
      <c r="F137" s="35" t="n"/>
      <c r="G137" s="23" t="n"/>
      <c r="H137" s="23" t="n"/>
      <c r="I137" s="23" t="n"/>
      <c r="J137" s="20">
        <f>IF($B137="","",N($G137)+N($H137)+N($I137))</f>
        <v/>
      </c>
      <c r="K137" s="20">
        <f>IF($B137="","",ROUND(N($F137)*N($J137),0))</f>
        <v/>
      </c>
      <c r="L137" s="19">
        <f>IF($B137="","",SUMIFS(수량산출서!$H$4:$H$253,수량산출서!$A$4:$A$253,"변경",수량산출서!$B$4:$B$253,$B137))</f>
        <v/>
      </c>
      <c r="M137" s="35" t="n"/>
      <c r="N137" s="19">
        <f>IF($B137="","",IF($M137&lt;&gt;"",$M137,N($L137)))</f>
        <v/>
      </c>
      <c r="O137" s="20">
        <f>IF($B137="","",IFERROR(VLOOKUP($B137,단가마스터!$A$4:$H$303,5,FALSE),IFERROR(VLOOKUP($B137,일위대가!$N$4:$T$63,4,FALSE),0)))</f>
        <v/>
      </c>
      <c r="P137" s="20">
        <f>IF($B137="","",IFERROR(VLOOKUP($B137,단가마스터!$A$4:$H$303,6,FALSE),IFERROR(VLOOKUP($B137,일위대가!$N$4:$T$63,5,FALSE),0)))</f>
        <v/>
      </c>
      <c r="Q137" s="20">
        <f>IF($B137="","",IFERROR(VLOOKUP($B137,단가마스터!$A$4:$H$303,7,FALSE),IFERROR(VLOOKUP($B137,일위대가!$N$4:$T$63,6,FALSE),0)))</f>
        <v/>
      </c>
      <c r="R137" s="20">
        <f>IF($B137="","",N($O137)+N($P137)+N($Q137))</f>
        <v/>
      </c>
      <c r="S137" s="20">
        <f>IF($B137="","",ROUND(N($N137)*N($R137),0))</f>
        <v/>
      </c>
      <c r="T137" s="19">
        <f>IF($B137="","",N($N137)-N($F137))</f>
        <v/>
      </c>
      <c r="U137" s="20">
        <f>IF($B137="","",N($S137)-N($K137))</f>
        <v/>
      </c>
      <c r="V137" s="30" t="n"/>
    </row>
    <row r="138">
      <c r="A138" s="30" t="n"/>
      <c r="B138" s="30" t="n"/>
      <c r="C138" s="18">
        <f>IF($B138="","",IFERROR(VLOOKUP($B138,단가마스터!$A$4:$H$303,2,FALSE),IFERROR(VLOOKUP($B138,일위대가!$N$4:$T$63,2,FALSE),"⚠️단가 없음")))</f>
        <v/>
      </c>
      <c r="D138" s="18">
        <f>IF($B138="","",IFERROR(VLOOKUP($B138,단가마스터!$A$4:$H$303,3,FALSE),""))</f>
        <v/>
      </c>
      <c r="E138" s="18">
        <f>IF($B138="","",IFERROR(VLOOKUP($B138,단가마스터!$A$4:$H$303,4,FALSE),IFERROR(VLOOKUP($B138,일위대가!$N$4:$T$63,3,FALSE),"")))</f>
        <v/>
      </c>
      <c r="F138" s="35" t="n"/>
      <c r="G138" s="23" t="n"/>
      <c r="H138" s="23" t="n"/>
      <c r="I138" s="23" t="n"/>
      <c r="J138" s="20">
        <f>IF($B138="","",N($G138)+N($H138)+N($I138))</f>
        <v/>
      </c>
      <c r="K138" s="20">
        <f>IF($B138="","",ROUND(N($F138)*N($J138),0))</f>
        <v/>
      </c>
      <c r="L138" s="19">
        <f>IF($B138="","",SUMIFS(수량산출서!$H$4:$H$253,수량산출서!$A$4:$A$253,"변경",수량산출서!$B$4:$B$253,$B138))</f>
        <v/>
      </c>
      <c r="M138" s="35" t="n"/>
      <c r="N138" s="19">
        <f>IF($B138="","",IF($M138&lt;&gt;"",$M138,N($L138)))</f>
        <v/>
      </c>
      <c r="O138" s="20">
        <f>IF($B138="","",IFERROR(VLOOKUP($B138,단가마스터!$A$4:$H$303,5,FALSE),IFERROR(VLOOKUP($B138,일위대가!$N$4:$T$63,4,FALSE),0)))</f>
        <v/>
      </c>
      <c r="P138" s="20">
        <f>IF($B138="","",IFERROR(VLOOKUP($B138,단가마스터!$A$4:$H$303,6,FALSE),IFERROR(VLOOKUP($B138,일위대가!$N$4:$T$63,5,FALSE),0)))</f>
        <v/>
      </c>
      <c r="Q138" s="20">
        <f>IF($B138="","",IFERROR(VLOOKUP($B138,단가마스터!$A$4:$H$303,7,FALSE),IFERROR(VLOOKUP($B138,일위대가!$N$4:$T$63,6,FALSE),0)))</f>
        <v/>
      </c>
      <c r="R138" s="20">
        <f>IF($B138="","",N($O138)+N($P138)+N($Q138))</f>
        <v/>
      </c>
      <c r="S138" s="20">
        <f>IF($B138="","",ROUND(N($N138)*N($R138),0))</f>
        <v/>
      </c>
      <c r="T138" s="19">
        <f>IF($B138="","",N($N138)-N($F138))</f>
        <v/>
      </c>
      <c r="U138" s="20">
        <f>IF($B138="","",N($S138)-N($K138))</f>
        <v/>
      </c>
      <c r="V138" s="30" t="n"/>
    </row>
    <row r="139">
      <c r="A139" s="30" t="n"/>
      <c r="B139" s="30" t="n"/>
      <c r="C139" s="18">
        <f>IF($B139="","",IFERROR(VLOOKUP($B139,단가마스터!$A$4:$H$303,2,FALSE),IFERROR(VLOOKUP($B139,일위대가!$N$4:$T$63,2,FALSE),"⚠️단가 없음")))</f>
        <v/>
      </c>
      <c r="D139" s="18">
        <f>IF($B139="","",IFERROR(VLOOKUP($B139,단가마스터!$A$4:$H$303,3,FALSE),""))</f>
        <v/>
      </c>
      <c r="E139" s="18">
        <f>IF($B139="","",IFERROR(VLOOKUP($B139,단가마스터!$A$4:$H$303,4,FALSE),IFERROR(VLOOKUP($B139,일위대가!$N$4:$T$63,3,FALSE),"")))</f>
        <v/>
      </c>
      <c r="F139" s="35" t="n"/>
      <c r="G139" s="23" t="n"/>
      <c r="H139" s="23" t="n"/>
      <c r="I139" s="23" t="n"/>
      <c r="J139" s="20">
        <f>IF($B139="","",N($G139)+N($H139)+N($I139))</f>
        <v/>
      </c>
      <c r="K139" s="20">
        <f>IF($B139="","",ROUND(N($F139)*N($J139),0))</f>
        <v/>
      </c>
      <c r="L139" s="19">
        <f>IF($B139="","",SUMIFS(수량산출서!$H$4:$H$253,수량산출서!$A$4:$A$253,"변경",수량산출서!$B$4:$B$253,$B139))</f>
        <v/>
      </c>
      <c r="M139" s="35" t="n"/>
      <c r="N139" s="19">
        <f>IF($B139="","",IF($M139&lt;&gt;"",$M139,N($L139)))</f>
        <v/>
      </c>
      <c r="O139" s="20">
        <f>IF($B139="","",IFERROR(VLOOKUP($B139,단가마스터!$A$4:$H$303,5,FALSE),IFERROR(VLOOKUP($B139,일위대가!$N$4:$T$63,4,FALSE),0)))</f>
        <v/>
      </c>
      <c r="P139" s="20">
        <f>IF($B139="","",IFERROR(VLOOKUP($B139,단가마스터!$A$4:$H$303,6,FALSE),IFERROR(VLOOKUP($B139,일위대가!$N$4:$T$63,5,FALSE),0)))</f>
        <v/>
      </c>
      <c r="Q139" s="20">
        <f>IF($B139="","",IFERROR(VLOOKUP($B139,단가마스터!$A$4:$H$303,7,FALSE),IFERROR(VLOOKUP($B139,일위대가!$N$4:$T$63,6,FALSE),0)))</f>
        <v/>
      </c>
      <c r="R139" s="20">
        <f>IF($B139="","",N($O139)+N($P139)+N($Q139))</f>
        <v/>
      </c>
      <c r="S139" s="20">
        <f>IF($B139="","",ROUND(N($N139)*N($R139),0))</f>
        <v/>
      </c>
      <c r="T139" s="19">
        <f>IF($B139="","",N($N139)-N($F139))</f>
        <v/>
      </c>
      <c r="U139" s="20">
        <f>IF($B139="","",N($S139)-N($K139))</f>
        <v/>
      </c>
      <c r="V139" s="30" t="n"/>
    </row>
    <row r="140">
      <c r="A140" s="30" t="n"/>
      <c r="B140" s="30" t="n"/>
      <c r="C140" s="18">
        <f>IF($B140="","",IFERROR(VLOOKUP($B140,단가마스터!$A$4:$H$303,2,FALSE),IFERROR(VLOOKUP($B140,일위대가!$N$4:$T$63,2,FALSE),"⚠️단가 없음")))</f>
        <v/>
      </c>
      <c r="D140" s="18">
        <f>IF($B140="","",IFERROR(VLOOKUP($B140,단가마스터!$A$4:$H$303,3,FALSE),""))</f>
        <v/>
      </c>
      <c r="E140" s="18">
        <f>IF($B140="","",IFERROR(VLOOKUP($B140,단가마스터!$A$4:$H$303,4,FALSE),IFERROR(VLOOKUP($B140,일위대가!$N$4:$T$63,3,FALSE),"")))</f>
        <v/>
      </c>
      <c r="F140" s="35" t="n"/>
      <c r="G140" s="23" t="n"/>
      <c r="H140" s="23" t="n"/>
      <c r="I140" s="23" t="n"/>
      <c r="J140" s="20">
        <f>IF($B140="","",N($G140)+N($H140)+N($I140))</f>
        <v/>
      </c>
      <c r="K140" s="20">
        <f>IF($B140="","",ROUND(N($F140)*N($J140),0))</f>
        <v/>
      </c>
      <c r="L140" s="19">
        <f>IF($B140="","",SUMIFS(수량산출서!$H$4:$H$253,수량산출서!$A$4:$A$253,"변경",수량산출서!$B$4:$B$253,$B140))</f>
        <v/>
      </c>
      <c r="M140" s="35" t="n"/>
      <c r="N140" s="19">
        <f>IF($B140="","",IF($M140&lt;&gt;"",$M140,N($L140)))</f>
        <v/>
      </c>
      <c r="O140" s="20">
        <f>IF($B140="","",IFERROR(VLOOKUP($B140,단가마스터!$A$4:$H$303,5,FALSE),IFERROR(VLOOKUP($B140,일위대가!$N$4:$T$63,4,FALSE),0)))</f>
        <v/>
      </c>
      <c r="P140" s="20">
        <f>IF($B140="","",IFERROR(VLOOKUP($B140,단가마스터!$A$4:$H$303,6,FALSE),IFERROR(VLOOKUP($B140,일위대가!$N$4:$T$63,5,FALSE),0)))</f>
        <v/>
      </c>
      <c r="Q140" s="20">
        <f>IF($B140="","",IFERROR(VLOOKUP($B140,단가마스터!$A$4:$H$303,7,FALSE),IFERROR(VLOOKUP($B140,일위대가!$N$4:$T$63,6,FALSE),0)))</f>
        <v/>
      </c>
      <c r="R140" s="20">
        <f>IF($B140="","",N($O140)+N($P140)+N($Q140))</f>
        <v/>
      </c>
      <c r="S140" s="20">
        <f>IF($B140="","",ROUND(N($N140)*N($R140),0))</f>
        <v/>
      </c>
      <c r="T140" s="19">
        <f>IF($B140="","",N($N140)-N($F140))</f>
        <v/>
      </c>
      <c r="U140" s="20">
        <f>IF($B140="","",N($S140)-N($K140))</f>
        <v/>
      </c>
      <c r="V140" s="30" t="n"/>
    </row>
    <row r="141">
      <c r="A141" s="30" t="n"/>
      <c r="B141" s="30" t="n"/>
      <c r="C141" s="18">
        <f>IF($B141="","",IFERROR(VLOOKUP($B141,단가마스터!$A$4:$H$303,2,FALSE),IFERROR(VLOOKUP($B141,일위대가!$N$4:$T$63,2,FALSE),"⚠️단가 없음")))</f>
        <v/>
      </c>
      <c r="D141" s="18">
        <f>IF($B141="","",IFERROR(VLOOKUP($B141,단가마스터!$A$4:$H$303,3,FALSE),""))</f>
        <v/>
      </c>
      <c r="E141" s="18">
        <f>IF($B141="","",IFERROR(VLOOKUP($B141,단가마스터!$A$4:$H$303,4,FALSE),IFERROR(VLOOKUP($B141,일위대가!$N$4:$T$63,3,FALSE),"")))</f>
        <v/>
      </c>
      <c r="F141" s="35" t="n"/>
      <c r="G141" s="23" t="n"/>
      <c r="H141" s="23" t="n"/>
      <c r="I141" s="23" t="n"/>
      <c r="J141" s="20">
        <f>IF($B141="","",N($G141)+N($H141)+N($I141))</f>
        <v/>
      </c>
      <c r="K141" s="20">
        <f>IF($B141="","",ROUND(N($F141)*N($J141),0))</f>
        <v/>
      </c>
      <c r="L141" s="19">
        <f>IF($B141="","",SUMIFS(수량산출서!$H$4:$H$253,수량산출서!$A$4:$A$253,"변경",수량산출서!$B$4:$B$253,$B141))</f>
        <v/>
      </c>
      <c r="M141" s="35" t="n"/>
      <c r="N141" s="19">
        <f>IF($B141="","",IF($M141&lt;&gt;"",$M141,N($L141)))</f>
        <v/>
      </c>
      <c r="O141" s="20">
        <f>IF($B141="","",IFERROR(VLOOKUP($B141,단가마스터!$A$4:$H$303,5,FALSE),IFERROR(VLOOKUP($B141,일위대가!$N$4:$T$63,4,FALSE),0)))</f>
        <v/>
      </c>
      <c r="P141" s="20">
        <f>IF($B141="","",IFERROR(VLOOKUP($B141,단가마스터!$A$4:$H$303,6,FALSE),IFERROR(VLOOKUP($B141,일위대가!$N$4:$T$63,5,FALSE),0)))</f>
        <v/>
      </c>
      <c r="Q141" s="20">
        <f>IF($B141="","",IFERROR(VLOOKUP($B141,단가마스터!$A$4:$H$303,7,FALSE),IFERROR(VLOOKUP($B141,일위대가!$N$4:$T$63,6,FALSE),0)))</f>
        <v/>
      </c>
      <c r="R141" s="20">
        <f>IF($B141="","",N($O141)+N($P141)+N($Q141))</f>
        <v/>
      </c>
      <c r="S141" s="20">
        <f>IF($B141="","",ROUND(N($N141)*N($R141),0))</f>
        <v/>
      </c>
      <c r="T141" s="19">
        <f>IF($B141="","",N($N141)-N($F141))</f>
        <v/>
      </c>
      <c r="U141" s="20">
        <f>IF($B141="","",N($S141)-N($K141))</f>
        <v/>
      </c>
      <c r="V141" s="30" t="n"/>
    </row>
    <row r="142">
      <c r="A142" s="30" t="n"/>
      <c r="B142" s="30" t="n"/>
      <c r="C142" s="18">
        <f>IF($B142="","",IFERROR(VLOOKUP($B142,단가마스터!$A$4:$H$303,2,FALSE),IFERROR(VLOOKUP($B142,일위대가!$N$4:$T$63,2,FALSE),"⚠️단가 없음")))</f>
        <v/>
      </c>
      <c r="D142" s="18">
        <f>IF($B142="","",IFERROR(VLOOKUP($B142,단가마스터!$A$4:$H$303,3,FALSE),""))</f>
        <v/>
      </c>
      <c r="E142" s="18">
        <f>IF($B142="","",IFERROR(VLOOKUP($B142,단가마스터!$A$4:$H$303,4,FALSE),IFERROR(VLOOKUP($B142,일위대가!$N$4:$T$63,3,FALSE),"")))</f>
        <v/>
      </c>
      <c r="F142" s="35" t="n"/>
      <c r="G142" s="23" t="n"/>
      <c r="H142" s="23" t="n"/>
      <c r="I142" s="23" t="n"/>
      <c r="J142" s="20">
        <f>IF($B142="","",N($G142)+N($H142)+N($I142))</f>
        <v/>
      </c>
      <c r="K142" s="20">
        <f>IF($B142="","",ROUND(N($F142)*N($J142),0))</f>
        <v/>
      </c>
      <c r="L142" s="19">
        <f>IF($B142="","",SUMIFS(수량산출서!$H$4:$H$253,수량산출서!$A$4:$A$253,"변경",수량산출서!$B$4:$B$253,$B142))</f>
        <v/>
      </c>
      <c r="M142" s="35" t="n"/>
      <c r="N142" s="19">
        <f>IF($B142="","",IF($M142&lt;&gt;"",$M142,N($L142)))</f>
        <v/>
      </c>
      <c r="O142" s="20">
        <f>IF($B142="","",IFERROR(VLOOKUP($B142,단가마스터!$A$4:$H$303,5,FALSE),IFERROR(VLOOKUP($B142,일위대가!$N$4:$T$63,4,FALSE),0)))</f>
        <v/>
      </c>
      <c r="P142" s="20">
        <f>IF($B142="","",IFERROR(VLOOKUP($B142,단가마스터!$A$4:$H$303,6,FALSE),IFERROR(VLOOKUP($B142,일위대가!$N$4:$T$63,5,FALSE),0)))</f>
        <v/>
      </c>
      <c r="Q142" s="20">
        <f>IF($B142="","",IFERROR(VLOOKUP($B142,단가마스터!$A$4:$H$303,7,FALSE),IFERROR(VLOOKUP($B142,일위대가!$N$4:$T$63,6,FALSE),0)))</f>
        <v/>
      </c>
      <c r="R142" s="20">
        <f>IF($B142="","",N($O142)+N($P142)+N($Q142))</f>
        <v/>
      </c>
      <c r="S142" s="20">
        <f>IF($B142="","",ROUND(N($N142)*N($R142),0))</f>
        <v/>
      </c>
      <c r="T142" s="19">
        <f>IF($B142="","",N($N142)-N($F142))</f>
        <v/>
      </c>
      <c r="U142" s="20">
        <f>IF($B142="","",N($S142)-N($K142))</f>
        <v/>
      </c>
      <c r="V142" s="30" t="n"/>
    </row>
    <row r="143">
      <c r="A143" s="30" t="n"/>
      <c r="B143" s="30" t="n"/>
      <c r="C143" s="18">
        <f>IF($B143="","",IFERROR(VLOOKUP($B143,단가마스터!$A$4:$H$303,2,FALSE),IFERROR(VLOOKUP($B143,일위대가!$N$4:$T$63,2,FALSE),"⚠️단가 없음")))</f>
        <v/>
      </c>
      <c r="D143" s="18">
        <f>IF($B143="","",IFERROR(VLOOKUP($B143,단가마스터!$A$4:$H$303,3,FALSE),""))</f>
        <v/>
      </c>
      <c r="E143" s="18">
        <f>IF($B143="","",IFERROR(VLOOKUP($B143,단가마스터!$A$4:$H$303,4,FALSE),IFERROR(VLOOKUP($B143,일위대가!$N$4:$T$63,3,FALSE),"")))</f>
        <v/>
      </c>
      <c r="F143" s="35" t="n"/>
      <c r="G143" s="23" t="n"/>
      <c r="H143" s="23" t="n"/>
      <c r="I143" s="23" t="n"/>
      <c r="J143" s="20">
        <f>IF($B143="","",N($G143)+N($H143)+N($I143))</f>
        <v/>
      </c>
      <c r="K143" s="20">
        <f>IF($B143="","",ROUND(N($F143)*N($J143),0))</f>
        <v/>
      </c>
      <c r="L143" s="19">
        <f>IF($B143="","",SUMIFS(수량산출서!$H$4:$H$253,수량산출서!$A$4:$A$253,"변경",수량산출서!$B$4:$B$253,$B143))</f>
        <v/>
      </c>
      <c r="M143" s="35" t="n"/>
      <c r="N143" s="19">
        <f>IF($B143="","",IF($M143&lt;&gt;"",$M143,N($L143)))</f>
        <v/>
      </c>
      <c r="O143" s="20">
        <f>IF($B143="","",IFERROR(VLOOKUP($B143,단가마스터!$A$4:$H$303,5,FALSE),IFERROR(VLOOKUP($B143,일위대가!$N$4:$T$63,4,FALSE),0)))</f>
        <v/>
      </c>
      <c r="P143" s="20">
        <f>IF($B143="","",IFERROR(VLOOKUP($B143,단가마스터!$A$4:$H$303,6,FALSE),IFERROR(VLOOKUP($B143,일위대가!$N$4:$T$63,5,FALSE),0)))</f>
        <v/>
      </c>
      <c r="Q143" s="20">
        <f>IF($B143="","",IFERROR(VLOOKUP($B143,단가마스터!$A$4:$H$303,7,FALSE),IFERROR(VLOOKUP($B143,일위대가!$N$4:$T$63,6,FALSE),0)))</f>
        <v/>
      </c>
      <c r="R143" s="20">
        <f>IF($B143="","",N($O143)+N($P143)+N($Q143))</f>
        <v/>
      </c>
      <c r="S143" s="20">
        <f>IF($B143="","",ROUND(N($N143)*N($R143),0))</f>
        <v/>
      </c>
      <c r="T143" s="19">
        <f>IF($B143="","",N($N143)-N($F143))</f>
        <v/>
      </c>
      <c r="U143" s="20">
        <f>IF($B143="","",N($S143)-N($K143))</f>
        <v/>
      </c>
      <c r="V143" s="30" t="n"/>
    </row>
    <row r="144">
      <c r="A144" s="30" t="n"/>
      <c r="B144" s="30" t="n"/>
      <c r="C144" s="18">
        <f>IF($B144="","",IFERROR(VLOOKUP($B144,단가마스터!$A$4:$H$303,2,FALSE),IFERROR(VLOOKUP($B144,일위대가!$N$4:$T$63,2,FALSE),"⚠️단가 없음")))</f>
        <v/>
      </c>
      <c r="D144" s="18">
        <f>IF($B144="","",IFERROR(VLOOKUP($B144,단가마스터!$A$4:$H$303,3,FALSE),""))</f>
        <v/>
      </c>
      <c r="E144" s="18">
        <f>IF($B144="","",IFERROR(VLOOKUP($B144,단가마스터!$A$4:$H$303,4,FALSE),IFERROR(VLOOKUP($B144,일위대가!$N$4:$T$63,3,FALSE),"")))</f>
        <v/>
      </c>
      <c r="F144" s="35" t="n"/>
      <c r="G144" s="23" t="n"/>
      <c r="H144" s="23" t="n"/>
      <c r="I144" s="23" t="n"/>
      <c r="J144" s="20">
        <f>IF($B144="","",N($G144)+N($H144)+N($I144))</f>
        <v/>
      </c>
      <c r="K144" s="20">
        <f>IF($B144="","",ROUND(N($F144)*N($J144),0))</f>
        <v/>
      </c>
      <c r="L144" s="19">
        <f>IF($B144="","",SUMIFS(수량산출서!$H$4:$H$253,수량산출서!$A$4:$A$253,"변경",수량산출서!$B$4:$B$253,$B144))</f>
        <v/>
      </c>
      <c r="M144" s="35" t="n"/>
      <c r="N144" s="19">
        <f>IF($B144="","",IF($M144&lt;&gt;"",$M144,N($L144)))</f>
        <v/>
      </c>
      <c r="O144" s="20">
        <f>IF($B144="","",IFERROR(VLOOKUP($B144,단가마스터!$A$4:$H$303,5,FALSE),IFERROR(VLOOKUP($B144,일위대가!$N$4:$T$63,4,FALSE),0)))</f>
        <v/>
      </c>
      <c r="P144" s="20">
        <f>IF($B144="","",IFERROR(VLOOKUP($B144,단가마스터!$A$4:$H$303,6,FALSE),IFERROR(VLOOKUP($B144,일위대가!$N$4:$T$63,5,FALSE),0)))</f>
        <v/>
      </c>
      <c r="Q144" s="20">
        <f>IF($B144="","",IFERROR(VLOOKUP($B144,단가마스터!$A$4:$H$303,7,FALSE),IFERROR(VLOOKUP($B144,일위대가!$N$4:$T$63,6,FALSE),0)))</f>
        <v/>
      </c>
      <c r="R144" s="20">
        <f>IF($B144="","",N($O144)+N($P144)+N($Q144))</f>
        <v/>
      </c>
      <c r="S144" s="20">
        <f>IF($B144="","",ROUND(N($N144)*N($R144),0))</f>
        <v/>
      </c>
      <c r="T144" s="19">
        <f>IF($B144="","",N($N144)-N($F144))</f>
        <v/>
      </c>
      <c r="U144" s="20">
        <f>IF($B144="","",N($S144)-N($K144))</f>
        <v/>
      </c>
      <c r="V144" s="30" t="n"/>
    </row>
    <row r="145">
      <c r="A145" s="30" t="n"/>
      <c r="B145" s="30" t="n"/>
      <c r="C145" s="18">
        <f>IF($B145="","",IFERROR(VLOOKUP($B145,단가마스터!$A$4:$H$303,2,FALSE),IFERROR(VLOOKUP($B145,일위대가!$N$4:$T$63,2,FALSE),"⚠️단가 없음")))</f>
        <v/>
      </c>
      <c r="D145" s="18">
        <f>IF($B145="","",IFERROR(VLOOKUP($B145,단가마스터!$A$4:$H$303,3,FALSE),""))</f>
        <v/>
      </c>
      <c r="E145" s="18">
        <f>IF($B145="","",IFERROR(VLOOKUP($B145,단가마스터!$A$4:$H$303,4,FALSE),IFERROR(VLOOKUP($B145,일위대가!$N$4:$T$63,3,FALSE),"")))</f>
        <v/>
      </c>
      <c r="F145" s="35" t="n"/>
      <c r="G145" s="23" t="n"/>
      <c r="H145" s="23" t="n"/>
      <c r="I145" s="23" t="n"/>
      <c r="J145" s="20">
        <f>IF($B145="","",N($G145)+N($H145)+N($I145))</f>
        <v/>
      </c>
      <c r="K145" s="20">
        <f>IF($B145="","",ROUND(N($F145)*N($J145),0))</f>
        <v/>
      </c>
      <c r="L145" s="19">
        <f>IF($B145="","",SUMIFS(수량산출서!$H$4:$H$253,수량산출서!$A$4:$A$253,"변경",수량산출서!$B$4:$B$253,$B145))</f>
        <v/>
      </c>
      <c r="M145" s="35" t="n"/>
      <c r="N145" s="19">
        <f>IF($B145="","",IF($M145&lt;&gt;"",$M145,N($L145)))</f>
        <v/>
      </c>
      <c r="O145" s="20">
        <f>IF($B145="","",IFERROR(VLOOKUP($B145,단가마스터!$A$4:$H$303,5,FALSE),IFERROR(VLOOKUP($B145,일위대가!$N$4:$T$63,4,FALSE),0)))</f>
        <v/>
      </c>
      <c r="P145" s="20">
        <f>IF($B145="","",IFERROR(VLOOKUP($B145,단가마스터!$A$4:$H$303,6,FALSE),IFERROR(VLOOKUP($B145,일위대가!$N$4:$T$63,5,FALSE),0)))</f>
        <v/>
      </c>
      <c r="Q145" s="20">
        <f>IF($B145="","",IFERROR(VLOOKUP($B145,단가마스터!$A$4:$H$303,7,FALSE),IFERROR(VLOOKUP($B145,일위대가!$N$4:$T$63,6,FALSE),0)))</f>
        <v/>
      </c>
      <c r="R145" s="20">
        <f>IF($B145="","",N($O145)+N($P145)+N($Q145))</f>
        <v/>
      </c>
      <c r="S145" s="20">
        <f>IF($B145="","",ROUND(N($N145)*N($R145),0))</f>
        <v/>
      </c>
      <c r="T145" s="19">
        <f>IF($B145="","",N($N145)-N($F145))</f>
        <v/>
      </c>
      <c r="U145" s="20">
        <f>IF($B145="","",N($S145)-N($K145))</f>
        <v/>
      </c>
      <c r="V145" s="30" t="n"/>
    </row>
    <row r="146">
      <c r="A146" s="30" t="n"/>
      <c r="B146" s="30" t="n"/>
      <c r="C146" s="18">
        <f>IF($B146="","",IFERROR(VLOOKUP($B146,단가마스터!$A$4:$H$303,2,FALSE),IFERROR(VLOOKUP($B146,일위대가!$N$4:$T$63,2,FALSE),"⚠️단가 없음")))</f>
        <v/>
      </c>
      <c r="D146" s="18">
        <f>IF($B146="","",IFERROR(VLOOKUP($B146,단가마스터!$A$4:$H$303,3,FALSE),""))</f>
        <v/>
      </c>
      <c r="E146" s="18">
        <f>IF($B146="","",IFERROR(VLOOKUP($B146,단가마스터!$A$4:$H$303,4,FALSE),IFERROR(VLOOKUP($B146,일위대가!$N$4:$T$63,3,FALSE),"")))</f>
        <v/>
      </c>
      <c r="F146" s="35" t="n"/>
      <c r="G146" s="23" t="n"/>
      <c r="H146" s="23" t="n"/>
      <c r="I146" s="23" t="n"/>
      <c r="J146" s="20">
        <f>IF($B146="","",N($G146)+N($H146)+N($I146))</f>
        <v/>
      </c>
      <c r="K146" s="20">
        <f>IF($B146="","",ROUND(N($F146)*N($J146),0))</f>
        <v/>
      </c>
      <c r="L146" s="19">
        <f>IF($B146="","",SUMIFS(수량산출서!$H$4:$H$253,수량산출서!$A$4:$A$253,"변경",수량산출서!$B$4:$B$253,$B146))</f>
        <v/>
      </c>
      <c r="M146" s="35" t="n"/>
      <c r="N146" s="19">
        <f>IF($B146="","",IF($M146&lt;&gt;"",$M146,N($L146)))</f>
        <v/>
      </c>
      <c r="O146" s="20">
        <f>IF($B146="","",IFERROR(VLOOKUP($B146,단가마스터!$A$4:$H$303,5,FALSE),IFERROR(VLOOKUP($B146,일위대가!$N$4:$T$63,4,FALSE),0)))</f>
        <v/>
      </c>
      <c r="P146" s="20">
        <f>IF($B146="","",IFERROR(VLOOKUP($B146,단가마스터!$A$4:$H$303,6,FALSE),IFERROR(VLOOKUP($B146,일위대가!$N$4:$T$63,5,FALSE),0)))</f>
        <v/>
      </c>
      <c r="Q146" s="20">
        <f>IF($B146="","",IFERROR(VLOOKUP($B146,단가마스터!$A$4:$H$303,7,FALSE),IFERROR(VLOOKUP($B146,일위대가!$N$4:$T$63,6,FALSE),0)))</f>
        <v/>
      </c>
      <c r="R146" s="20">
        <f>IF($B146="","",N($O146)+N($P146)+N($Q146))</f>
        <v/>
      </c>
      <c r="S146" s="20">
        <f>IF($B146="","",ROUND(N($N146)*N($R146),0))</f>
        <v/>
      </c>
      <c r="T146" s="19">
        <f>IF($B146="","",N($N146)-N($F146))</f>
        <v/>
      </c>
      <c r="U146" s="20">
        <f>IF($B146="","",N($S146)-N($K146))</f>
        <v/>
      </c>
      <c r="V146" s="30" t="n"/>
    </row>
    <row r="147">
      <c r="A147" s="30" t="n"/>
      <c r="B147" s="30" t="n"/>
      <c r="C147" s="18">
        <f>IF($B147="","",IFERROR(VLOOKUP($B147,단가마스터!$A$4:$H$303,2,FALSE),IFERROR(VLOOKUP($B147,일위대가!$N$4:$T$63,2,FALSE),"⚠️단가 없음")))</f>
        <v/>
      </c>
      <c r="D147" s="18">
        <f>IF($B147="","",IFERROR(VLOOKUP($B147,단가마스터!$A$4:$H$303,3,FALSE),""))</f>
        <v/>
      </c>
      <c r="E147" s="18">
        <f>IF($B147="","",IFERROR(VLOOKUP($B147,단가마스터!$A$4:$H$303,4,FALSE),IFERROR(VLOOKUP($B147,일위대가!$N$4:$T$63,3,FALSE),"")))</f>
        <v/>
      </c>
      <c r="F147" s="35" t="n"/>
      <c r="G147" s="23" t="n"/>
      <c r="H147" s="23" t="n"/>
      <c r="I147" s="23" t="n"/>
      <c r="J147" s="20">
        <f>IF($B147="","",N($G147)+N($H147)+N($I147))</f>
        <v/>
      </c>
      <c r="K147" s="20">
        <f>IF($B147="","",ROUND(N($F147)*N($J147),0))</f>
        <v/>
      </c>
      <c r="L147" s="19">
        <f>IF($B147="","",SUMIFS(수량산출서!$H$4:$H$253,수량산출서!$A$4:$A$253,"변경",수량산출서!$B$4:$B$253,$B147))</f>
        <v/>
      </c>
      <c r="M147" s="35" t="n"/>
      <c r="N147" s="19">
        <f>IF($B147="","",IF($M147&lt;&gt;"",$M147,N($L147)))</f>
        <v/>
      </c>
      <c r="O147" s="20">
        <f>IF($B147="","",IFERROR(VLOOKUP($B147,단가마스터!$A$4:$H$303,5,FALSE),IFERROR(VLOOKUP($B147,일위대가!$N$4:$T$63,4,FALSE),0)))</f>
        <v/>
      </c>
      <c r="P147" s="20">
        <f>IF($B147="","",IFERROR(VLOOKUP($B147,단가마스터!$A$4:$H$303,6,FALSE),IFERROR(VLOOKUP($B147,일위대가!$N$4:$T$63,5,FALSE),0)))</f>
        <v/>
      </c>
      <c r="Q147" s="20">
        <f>IF($B147="","",IFERROR(VLOOKUP($B147,단가마스터!$A$4:$H$303,7,FALSE),IFERROR(VLOOKUP($B147,일위대가!$N$4:$T$63,6,FALSE),0)))</f>
        <v/>
      </c>
      <c r="R147" s="20">
        <f>IF($B147="","",N($O147)+N($P147)+N($Q147))</f>
        <v/>
      </c>
      <c r="S147" s="20">
        <f>IF($B147="","",ROUND(N($N147)*N($R147),0))</f>
        <v/>
      </c>
      <c r="T147" s="19">
        <f>IF($B147="","",N($N147)-N($F147))</f>
        <v/>
      </c>
      <c r="U147" s="20">
        <f>IF($B147="","",N($S147)-N($K147))</f>
        <v/>
      </c>
      <c r="V147" s="30" t="n"/>
    </row>
    <row r="148">
      <c r="A148" s="30" t="n"/>
      <c r="B148" s="30" t="n"/>
      <c r="C148" s="18">
        <f>IF($B148="","",IFERROR(VLOOKUP($B148,단가마스터!$A$4:$H$303,2,FALSE),IFERROR(VLOOKUP($B148,일위대가!$N$4:$T$63,2,FALSE),"⚠️단가 없음")))</f>
        <v/>
      </c>
      <c r="D148" s="18">
        <f>IF($B148="","",IFERROR(VLOOKUP($B148,단가마스터!$A$4:$H$303,3,FALSE),""))</f>
        <v/>
      </c>
      <c r="E148" s="18">
        <f>IF($B148="","",IFERROR(VLOOKUP($B148,단가마스터!$A$4:$H$303,4,FALSE),IFERROR(VLOOKUP($B148,일위대가!$N$4:$T$63,3,FALSE),"")))</f>
        <v/>
      </c>
      <c r="F148" s="35" t="n"/>
      <c r="G148" s="23" t="n"/>
      <c r="H148" s="23" t="n"/>
      <c r="I148" s="23" t="n"/>
      <c r="J148" s="20">
        <f>IF($B148="","",N($G148)+N($H148)+N($I148))</f>
        <v/>
      </c>
      <c r="K148" s="20">
        <f>IF($B148="","",ROUND(N($F148)*N($J148),0))</f>
        <v/>
      </c>
      <c r="L148" s="19">
        <f>IF($B148="","",SUMIFS(수량산출서!$H$4:$H$253,수량산출서!$A$4:$A$253,"변경",수량산출서!$B$4:$B$253,$B148))</f>
        <v/>
      </c>
      <c r="M148" s="35" t="n"/>
      <c r="N148" s="19">
        <f>IF($B148="","",IF($M148&lt;&gt;"",$M148,N($L148)))</f>
        <v/>
      </c>
      <c r="O148" s="20">
        <f>IF($B148="","",IFERROR(VLOOKUP($B148,단가마스터!$A$4:$H$303,5,FALSE),IFERROR(VLOOKUP($B148,일위대가!$N$4:$T$63,4,FALSE),0)))</f>
        <v/>
      </c>
      <c r="P148" s="20">
        <f>IF($B148="","",IFERROR(VLOOKUP($B148,단가마스터!$A$4:$H$303,6,FALSE),IFERROR(VLOOKUP($B148,일위대가!$N$4:$T$63,5,FALSE),0)))</f>
        <v/>
      </c>
      <c r="Q148" s="20">
        <f>IF($B148="","",IFERROR(VLOOKUP($B148,단가마스터!$A$4:$H$303,7,FALSE),IFERROR(VLOOKUP($B148,일위대가!$N$4:$T$63,6,FALSE),0)))</f>
        <v/>
      </c>
      <c r="R148" s="20">
        <f>IF($B148="","",N($O148)+N($P148)+N($Q148))</f>
        <v/>
      </c>
      <c r="S148" s="20">
        <f>IF($B148="","",ROUND(N($N148)*N($R148),0))</f>
        <v/>
      </c>
      <c r="T148" s="19">
        <f>IF($B148="","",N($N148)-N($F148))</f>
        <v/>
      </c>
      <c r="U148" s="20">
        <f>IF($B148="","",N($S148)-N($K148))</f>
        <v/>
      </c>
      <c r="V148" s="30" t="n"/>
    </row>
    <row r="149">
      <c r="A149" s="30" t="n"/>
      <c r="B149" s="30" t="n"/>
      <c r="C149" s="18">
        <f>IF($B149="","",IFERROR(VLOOKUP($B149,단가마스터!$A$4:$H$303,2,FALSE),IFERROR(VLOOKUP($B149,일위대가!$N$4:$T$63,2,FALSE),"⚠️단가 없음")))</f>
        <v/>
      </c>
      <c r="D149" s="18">
        <f>IF($B149="","",IFERROR(VLOOKUP($B149,단가마스터!$A$4:$H$303,3,FALSE),""))</f>
        <v/>
      </c>
      <c r="E149" s="18">
        <f>IF($B149="","",IFERROR(VLOOKUP($B149,단가마스터!$A$4:$H$303,4,FALSE),IFERROR(VLOOKUP($B149,일위대가!$N$4:$T$63,3,FALSE),"")))</f>
        <v/>
      </c>
      <c r="F149" s="35" t="n"/>
      <c r="G149" s="23" t="n"/>
      <c r="H149" s="23" t="n"/>
      <c r="I149" s="23" t="n"/>
      <c r="J149" s="20">
        <f>IF($B149="","",N($G149)+N($H149)+N($I149))</f>
        <v/>
      </c>
      <c r="K149" s="20">
        <f>IF($B149="","",ROUND(N($F149)*N($J149),0))</f>
        <v/>
      </c>
      <c r="L149" s="19">
        <f>IF($B149="","",SUMIFS(수량산출서!$H$4:$H$253,수량산출서!$A$4:$A$253,"변경",수량산출서!$B$4:$B$253,$B149))</f>
        <v/>
      </c>
      <c r="M149" s="35" t="n"/>
      <c r="N149" s="19">
        <f>IF($B149="","",IF($M149&lt;&gt;"",$M149,N($L149)))</f>
        <v/>
      </c>
      <c r="O149" s="20">
        <f>IF($B149="","",IFERROR(VLOOKUP($B149,단가마스터!$A$4:$H$303,5,FALSE),IFERROR(VLOOKUP($B149,일위대가!$N$4:$T$63,4,FALSE),0)))</f>
        <v/>
      </c>
      <c r="P149" s="20">
        <f>IF($B149="","",IFERROR(VLOOKUP($B149,단가마스터!$A$4:$H$303,6,FALSE),IFERROR(VLOOKUP($B149,일위대가!$N$4:$T$63,5,FALSE),0)))</f>
        <v/>
      </c>
      <c r="Q149" s="20">
        <f>IF($B149="","",IFERROR(VLOOKUP($B149,단가마스터!$A$4:$H$303,7,FALSE),IFERROR(VLOOKUP($B149,일위대가!$N$4:$T$63,6,FALSE),0)))</f>
        <v/>
      </c>
      <c r="R149" s="20">
        <f>IF($B149="","",N($O149)+N($P149)+N($Q149))</f>
        <v/>
      </c>
      <c r="S149" s="20">
        <f>IF($B149="","",ROUND(N($N149)*N($R149),0))</f>
        <v/>
      </c>
      <c r="T149" s="19">
        <f>IF($B149="","",N($N149)-N($F149))</f>
        <v/>
      </c>
      <c r="U149" s="20">
        <f>IF($B149="","",N($S149)-N($K149))</f>
        <v/>
      </c>
      <c r="V149" s="30" t="n"/>
    </row>
    <row r="150">
      <c r="A150" s="30" t="n"/>
      <c r="B150" s="30" t="n"/>
      <c r="C150" s="18">
        <f>IF($B150="","",IFERROR(VLOOKUP($B150,단가마스터!$A$4:$H$303,2,FALSE),IFERROR(VLOOKUP($B150,일위대가!$N$4:$T$63,2,FALSE),"⚠️단가 없음")))</f>
        <v/>
      </c>
      <c r="D150" s="18">
        <f>IF($B150="","",IFERROR(VLOOKUP($B150,단가마스터!$A$4:$H$303,3,FALSE),""))</f>
        <v/>
      </c>
      <c r="E150" s="18">
        <f>IF($B150="","",IFERROR(VLOOKUP($B150,단가마스터!$A$4:$H$303,4,FALSE),IFERROR(VLOOKUP($B150,일위대가!$N$4:$T$63,3,FALSE),"")))</f>
        <v/>
      </c>
      <c r="F150" s="35" t="n"/>
      <c r="G150" s="23" t="n"/>
      <c r="H150" s="23" t="n"/>
      <c r="I150" s="23" t="n"/>
      <c r="J150" s="20">
        <f>IF($B150="","",N($G150)+N($H150)+N($I150))</f>
        <v/>
      </c>
      <c r="K150" s="20">
        <f>IF($B150="","",ROUND(N($F150)*N($J150),0))</f>
        <v/>
      </c>
      <c r="L150" s="19">
        <f>IF($B150="","",SUMIFS(수량산출서!$H$4:$H$253,수량산출서!$A$4:$A$253,"변경",수량산출서!$B$4:$B$253,$B150))</f>
        <v/>
      </c>
      <c r="M150" s="35" t="n"/>
      <c r="N150" s="19">
        <f>IF($B150="","",IF($M150&lt;&gt;"",$M150,N($L150)))</f>
        <v/>
      </c>
      <c r="O150" s="20">
        <f>IF($B150="","",IFERROR(VLOOKUP($B150,단가마스터!$A$4:$H$303,5,FALSE),IFERROR(VLOOKUP($B150,일위대가!$N$4:$T$63,4,FALSE),0)))</f>
        <v/>
      </c>
      <c r="P150" s="20">
        <f>IF($B150="","",IFERROR(VLOOKUP($B150,단가마스터!$A$4:$H$303,6,FALSE),IFERROR(VLOOKUP($B150,일위대가!$N$4:$T$63,5,FALSE),0)))</f>
        <v/>
      </c>
      <c r="Q150" s="20">
        <f>IF($B150="","",IFERROR(VLOOKUP($B150,단가마스터!$A$4:$H$303,7,FALSE),IFERROR(VLOOKUP($B150,일위대가!$N$4:$T$63,6,FALSE),0)))</f>
        <v/>
      </c>
      <c r="R150" s="20">
        <f>IF($B150="","",N($O150)+N($P150)+N($Q150))</f>
        <v/>
      </c>
      <c r="S150" s="20">
        <f>IF($B150="","",ROUND(N($N150)*N($R150),0))</f>
        <v/>
      </c>
      <c r="T150" s="19">
        <f>IF($B150="","",N($N150)-N($F150))</f>
        <v/>
      </c>
      <c r="U150" s="20">
        <f>IF($B150="","",N($S150)-N($K150))</f>
        <v/>
      </c>
      <c r="V150" s="30" t="n"/>
    </row>
    <row r="151">
      <c r="A151" s="30" t="n"/>
      <c r="B151" s="30" t="n"/>
      <c r="C151" s="18">
        <f>IF($B151="","",IFERROR(VLOOKUP($B151,단가마스터!$A$4:$H$303,2,FALSE),IFERROR(VLOOKUP($B151,일위대가!$N$4:$T$63,2,FALSE),"⚠️단가 없음")))</f>
        <v/>
      </c>
      <c r="D151" s="18">
        <f>IF($B151="","",IFERROR(VLOOKUP($B151,단가마스터!$A$4:$H$303,3,FALSE),""))</f>
        <v/>
      </c>
      <c r="E151" s="18">
        <f>IF($B151="","",IFERROR(VLOOKUP($B151,단가마스터!$A$4:$H$303,4,FALSE),IFERROR(VLOOKUP($B151,일위대가!$N$4:$T$63,3,FALSE),"")))</f>
        <v/>
      </c>
      <c r="F151" s="35" t="n"/>
      <c r="G151" s="23" t="n"/>
      <c r="H151" s="23" t="n"/>
      <c r="I151" s="23" t="n"/>
      <c r="J151" s="20">
        <f>IF($B151="","",N($G151)+N($H151)+N($I151))</f>
        <v/>
      </c>
      <c r="K151" s="20">
        <f>IF($B151="","",ROUND(N($F151)*N($J151),0))</f>
        <v/>
      </c>
      <c r="L151" s="19">
        <f>IF($B151="","",SUMIFS(수량산출서!$H$4:$H$253,수량산출서!$A$4:$A$253,"변경",수량산출서!$B$4:$B$253,$B151))</f>
        <v/>
      </c>
      <c r="M151" s="35" t="n"/>
      <c r="N151" s="19">
        <f>IF($B151="","",IF($M151&lt;&gt;"",$M151,N($L151)))</f>
        <v/>
      </c>
      <c r="O151" s="20">
        <f>IF($B151="","",IFERROR(VLOOKUP($B151,단가마스터!$A$4:$H$303,5,FALSE),IFERROR(VLOOKUP($B151,일위대가!$N$4:$T$63,4,FALSE),0)))</f>
        <v/>
      </c>
      <c r="P151" s="20">
        <f>IF($B151="","",IFERROR(VLOOKUP($B151,단가마스터!$A$4:$H$303,6,FALSE),IFERROR(VLOOKUP($B151,일위대가!$N$4:$T$63,5,FALSE),0)))</f>
        <v/>
      </c>
      <c r="Q151" s="20">
        <f>IF($B151="","",IFERROR(VLOOKUP($B151,단가마스터!$A$4:$H$303,7,FALSE),IFERROR(VLOOKUP($B151,일위대가!$N$4:$T$63,6,FALSE),0)))</f>
        <v/>
      </c>
      <c r="R151" s="20">
        <f>IF($B151="","",N($O151)+N($P151)+N($Q151))</f>
        <v/>
      </c>
      <c r="S151" s="20">
        <f>IF($B151="","",ROUND(N($N151)*N($R151),0))</f>
        <v/>
      </c>
      <c r="T151" s="19">
        <f>IF($B151="","",N($N151)-N($F151))</f>
        <v/>
      </c>
      <c r="U151" s="20">
        <f>IF($B151="","",N($S151)-N($K151))</f>
        <v/>
      </c>
      <c r="V151" s="30" t="n"/>
    </row>
    <row r="152">
      <c r="A152" s="30" t="n"/>
      <c r="B152" s="30" t="n"/>
      <c r="C152" s="18">
        <f>IF($B152="","",IFERROR(VLOOKUP($B152,단가마스터!$A$4:$H$303,2,FALSE),IFERROR(VLOOKUP($B152,일위대가!$N$4:$T$63,2,FALSE),"⚠️단가 없음")))</f>
        <v/>
      </c>
      <c r="D152" s="18">
        <f>IF($B152="","",IFERROR(VLOOKUP($B152,단가마스터!$A$4:$H$303,3,FALSE),""))</f>
        <v/>
      </c>
      <c r="E152" s="18">
        <f>IF($B152="","",IFERROR(VLOOKUP($B152,단가마스터!$A$4:$H$303,4,FALSE),IFERROR(VLOOKUP($B152,일위대가!$N$4:$T$63,3,FALSE),"")))</f>
        <v/>
      </c>
      <c r="F152" s="35" t="n"/>
      <c r="G152" s="23" t="n"/>
      <c r="H152" s="23" t="n"/>
      <c r="I152" s="23" t="n"/>
      <c r="J152" s="20">
        <f>IF($B152="","",N($G152)+N($H152)+N($I152))</f>
        <v/>
      </c>
      <c r="K152" s="20">
        <f>IF($B152="","",ROUND(N($F152)*N($J152),0))</f>
        <v/>
      </c>
      <c r="L152" s="19">
        <f>IF($B152="","",SUMIFS(수량산출서!$H$4:$H$253,수량산출서!$A$4:$A$253,"변경",수량산출서!$B$4:$B$253,$B152))</f>
        <v/>
      </c>
      <c r="M152" s="35" t="n"/>
      <c r="N152" s="19">
        <f>IF($B152="","",IF($M152&lt;&gt;"",$M152,N($L152)))</f>
        <v/>
      </c>
      <c r="O152" s="20">
        <f>IF($B152="","",IFERROR(VLOOKUP($B152,단가마스터!$A$4:$H$303,5,FALSE),IFERROR(VLOOKUP($B152,일위대가!$N$4:$T$63,4,FALSE),0)))</f>
        <v/>
      </c>
      <c r="P152" s="20">
        <f>IF($B152="","",IFERROR(VLOOKUP($B152,단가마스터!$A$4:$H$303,6,FALSE),IFERROR(VLOOKUP($B152,일위대가!$N$4:$T$63,5,FALSE),0)))</f>
        <v/>
      </c>
      <c r="Q152" s="20">
        <f>IF($B152="","",IFERROR(VLOOKUP($B152,단가마스터!$A$4:$H$303,7,FALSE),IFERROR(VLOOKUP($B152,일위대가!$N$4:$T$63,6,FALSE),0)))</f>
        <v/>
      </c>
      <c r="R152" s="20">
        <f>IF($B152="","",N($O152)+N($P152)+N($Q152))</f>
        <v/>
      </c>
      <c r="S152" s="20">
        <f>IF($B152="","",ROUND(N($N152)*N($R152),0))</f>
        <v/>
      </c>
      <c r="T152" s="19">
        <f>IF($B152="","",N($N152)-N($F152))</f>
        <v/>
      </c>
      <c r="U152" s="20">
        <f>IF($B152="","",N($S152)-N($K152))</f>
        <v/>
      </c>
      <c r="V152" s="30" t="n"/>
    </row>
    <row r="153">
      <c r="A153" s="30" t="n"/>
      <c r="B153" s="30" t="n"/>
      <c r="C153" s="18">
        <f>IF($B153="","",IFERROR(VLOOKUP($B153,단가마스터!$A$4:$H$303,2,FALSE),IFERROR(VLOOKUP($B153,일위대가!$N$4:$T$63,2,FALSE),"⚠️단가 없음")))</f>
        <v/>
      </c>
      <c r="D153" s="18">
        <f>IF($B153="","",IFERROR(VLOOKUP($B153,단가마스터!$A$4:$H$303,3,FALSE),""))</f>
        <v/>
      </c>
      <c r="E153" s="18">
        <f>IF($B153="","",IFERROR(VLOOKUP($B153,단가마스터!$A$4:$H$303,4,FALSE),IFERROR(VLOOKUP($B153,일위대가!$N$4:$T$63,3,FALSE),"")))</f>
        <v/>
      </c>
      <c r="F153" s="35" t="n"/>
      <c r="G153" s="23" t="n"/>
      <c r="H153" s="23" t="n"/>
      <c r="I153" s="23" t="n"/>
      <c r="J153" s="20">
        <f>IF($B153="","",N($G153)+N($H153)+N($I153))</f>
        <v/>
      </c>
      <c r="K153" s="20">
        <f>IF($B153="","",ROUND(N($F153)*N($J153),0))</f>
        <v/>
      </c>
      <c r="L153" s="19">
        <f>IF($B153="","",SUMIFS(수량산출서!$H$4:$H$253,수량산출서!$A$4:$A$253,"변경",수량산출서!$B$4:$B$253,$B153))</f>
        <v/>
      </c>
      <c r="M153" s="35" t="n"/>
      <c r="N153" s="19">
        <f>IF($B153="","",IF($M153&lt;&gt;"",$M153,N($L153)))</f>
        <v/>
      </c>
      <c r="O153" s="20">
        <f>IF($B153="","",IFERROR(VLOOKUP($B153,단가마스터!$A$4:$H$303,5,FALSE),IFERROR(VLOOKUP($B153,일위대가!$N$4:$T$63,4,FALSE),0)))</f>
        <v/>
      </c>
      <c r="P153" s="20">
        <f>IF($B153="","",IFERROR(VLOOKUP($B153,단가마스터!$A$4:$H$303,6,FALSE),IFERROR(VLOOKUP($B153,일위대가!$N$4:$T$63,5,FALSE),0)))</f>
        <v/>
      </c>
      <c r="Q153" s="20">
        <f>IF($B153="","",IFERROR(VLOOKUP($B153,단가마스터!$A$4:$H$303,7,FALSE),IFERROR(VLOOKUP($B153,일위대가!$N$4:$T$63,6,FALSE),0)))</f>
        <v/>
      </c>
      <c r="R153" s="20">
        <f>IF($B153="","",N($O153)+N($P153)+N($Q153))</f>
        <v/>
      </c>
      <c r="S153" s="20">
        <f>IF($B153="","",ROUND(N($N153)*N($R153),0))</f>
        <v/>
      </c>
      <c r="T153" s="19">
        <f>IF($B153="","",N($N153)-N($F153))</f>
        <v/>
      </c>
      <c r="U153" s="20">
        <f>IF($B153="","",N($S153)-N($K153))</f>
        <v/>
      </c>
      <c r="V153" s="30" t="n"/>
    </row>
    <row r="154">
      <c r="A154" s="30" t="n"/>
      <c r="B154" s="30" t="n"/>
      <c r="C154" s="18">
        <f>IF($B154="","",IFERROR(VLOOKUP($B154,단가마스터!$A$4:$H$303,2,FALSE),IFERROR(VLOOKUP($B154,일위대가!$N$4:$T$63,2,FALSE),"⚠️단가 없음")))</f>
        <v/>
      </c>
      <c r="D154" s="18">
        <f>IF($B154="","",IFERROR(VLOOKUP($B154,단가마스터!$A$4:$H$303,3,FALSE),""))</f>
        <v/>
      </c>
      <c r="E154" s="18">
        <f>IF($B154="","",IFERROR(VLOOKUP($B154,단가마스터!$A$4:$H$303,4,FALSE),IFERROR(VLOOKUP($B154,일위대가!$N$4:$T$63,3,FALSE),"")))</f>
        <v/>
      </c>
      <c r="F154" s="35" t="n"/>
      <c r="G154" s="23" t="n"/>
      <c r="H154" s="23" t="n"/>
      <c r="I154" s="23" t="n"/>
      <c r="J154" s="20">
        <f>IF($B154="","",N($G154)+N($H154)+N($I154))</f>
        <v/>
      </c>
      <c r="K154" s="20">
        <f>IF($B154="","",ROUND(N($F154)*N($J154),0))</f>
        <v/>
      </c>
      <c r="L154" s="19">
        <f>IF($B154="","",SUMIFS(수량산출서!$H$4:$H$253,수량산출서!$A$4:$A$253,"변경",수량산출서!$B$4:$B$253,$B154))</f>
        <v/>
      </c>
      <c r="M154" s="35" t="n"/>
      <c r="N154" s="19">
        <f>IF($B154="","",IF($M154&lt;&gt;"",$M154,N($L154)))</f>
        <v/>
      </c>
      <c r="O154" s="20">
        <f>IF($B154="","",IFERROR(VLOOKUP($B154,단가마스터!$A$4:$H$303,5,FALSE),IFERROR(VLOOKUP($B154,일위대가!$N$4:$T$63,4,FALSE),0)))</f>
        <v/>
      </c>
      <c r="P154" s="20">
        <f>IF($B154="","",IFERROR(VLOOKUP($B154,단가마스터!$A$4:$H$303,6,FALSE),IFERROR(VLOOKUP($B154,일위대가!$N$4:$T$63,5,FALSE),0)))</f>
        <v/>
      </c>
      <c r="Q154" s="20">
        <f>IF($B154="","",IFERROR(VLOOKUP($B154,단가마스터!$A$4:$H$303,7,FALSE),IFERROR(VLOOKUP($B154,일위대가!$N$4:$T$63,6,FALSE),0)))</f>
        <v/>
      </c>
      <c r="R154" s="20">
        <f>IF($B154="","",N($O154)+N($P154)+N($Q154))</f>
        <v/>
      </c>
      <c r="S154" s="20">
        <f>IF($B154="","",ROUND(N($N154)*N($R154),0))</f>
        <v/>
      </c>
      <c r="T154" s="19">
        <f>IF($B154="","",N($N154)-N($F154))</f>
        <v/>
      </c>
      <c r="U154" s="20">
        <f>IF($B154="","",N($S154)-N($K154))</f>
        <v/>
      </c>
      <c r="V154" s="30" t="n"/>
    </row>
    <row r="155">
      <c r="A155" s="30" t="n"/>
      <c r="B155" s="30" t="n"/>
      <c r="C155" s="18">
        <f>IF($B155="","",IFERROR(VLOOKUP($B155,단가마스터!$A$4:$H$303,2,FALSE),IFERROR(VLOOKUP($B155,일위대가!$N$4:$T$63,2,FALSE),"⚠️단가 없음")))</f>
        <v/>
      </c>
      <c r="D155" s="18">
        <f>IF($B155="","",IFERROR(VLOOKUP($B155,단가마스터!$A$4:$H$303,3,FALSE),""))</f>
        <v/>
      </c>
      <c r="E155" s="18">
        <f>IF($B155="","",IFERROR(VLOOKUP($B155,단가마스터!$A$4:$H$303,4,FALSE),IFERROR(VLOOKUP($B155,일위대가!$N$4:$T$63,3,FALSE),"")))</f>
        <v/>
      </c>
      <c r="F155" s="35" t="n"/>
      <c r="G155" s="23" t="n"/>
      <c r="H155" s="23" t="n"/>
      <c r="I155" s="23" t="n"/>
      <c r="J155" s="20">
        <f>IF($B155="","",N($G155)+N($H155)+N($I155))</f>
        <v/>
      </c>
      <c r="K155" s="20">
        <f>IF($B155="","",ROUND(N($F155)*N($J155),0))</f>
        <v/>
      </c>
      <c r="L155" s="19">
        <f>IF($B155="","",SUMIFS(수량산출서!$H$4:$H$253,수량산출서!$A$4:$A$253,"변경",수량산출서!$B$4:$B$253,$B155))</f>
        <v/>
      </c>
      <c r="M155" s="35" t="n"/>
      <c r="N155" s="19">
        <f>IF($B155="","",IF($M155&lt;&gt;"",$M155,N($L155)))</f>
        <v/>
      </c>
      <c r="O155" s="20">
        <f>IF($B155="","",IFERROR(VLOOKUP($B155,단가마스터!$A$4:$H$303,5,FALSE),IFERROR(VLOOKUP($B155,일위대가!$N$4:$T$63,4,FALSE),0)))</f>
        <v/>
      </c>
      <c r="P155" s="20">
        <f>IF($B155="","",IFERROR(VLOOKUP($B155,단가마스터!$A$4:$H$303,6,FALSE),IFERROR(VLOOKUP($B155,일위대가!$N$4:$T$63,5,FALSE),0)))</f>
        <v/>
      </c>
      <c r="Q155" s="20">
        <f>IF($B155="","",IFERROR(VLOOKUP($B155,단가마스터!$A$4:$H$303,7,FALSE),IFERROR(VLOOKUP($B155,일위대가!$N$4:$T$63,6,FALSE),0)))</f>
        <v/>
      </c>
      <c r="R155" s="20">
        <f>IF($B155="","",N($O155)+N($P155)+N($Q155))</f>
        <v/>
      </c>
      <c r="S155" s="20">
        <f>IF($B155="","",ROUND(N($N155)*N($R155),0))</f>
        <v/>
      </c>
      <c r="T155" s="19">
        <f>IF($B155="","",N($N155)-N($F155))</f>
        <v/>
      </c>
      <c r="U155" s="20">
        <f>IF($B155="","",N($S155)-N($K155))</f>
        <v/>
      </c>
      <c r="V155" s="30" t="n"/>
    </row>
    <row r="156">
      <c r="A156" s="30" t="n"/>
      <c r="B156" s="30" t="n"/>
      <c r="C156" s="18">
        <f>IF($B156="","",IFERROR(VLOOKUP($B156,단가마스터!$A$4:$H$303,2,FALSE),IFERROR(VLOOKUP($B156,일위대가!$N$4:$T$63,2,FALSE),"⚠️단가 없음")))</f>
        <v/>
      </c>
      <c r="D156" s="18">
        <f>IF($B156="","",IFERROR(VLOOKUP($B156,단가마스터!$A$4:$H$303,3,FALSE),""))</f>
        <v/>
      </c>
      <c r="E156" s="18">
        <f>IF($B156="","",IFERROR(VLOOKUP($B156,단가마스터!$A$4:$H$303,4,FALSE),IFERROR(VLOOKUP($B156,일위대가!$N$4:$T$63,3,FALSE),"")))</f>
        <v/>
      </c>
      <c r="F156" s="35" t="n"/>
      <c r="G156" s="23" t="n"/>
      <c r="H156" s="23" t="n"/>
      <c r="I156" s="23" t="n"/>
      <c r="J156" s="20">
        <f>IF($B156="","",N($G156)+N($H156)+N($I156))</f>
        <v/>
      </c>
      <c r="K156" s="20">
        <f>IF($B156="","",ROUND(N($F156)*N($J156),0))</f>
        <v/>
      </c>
      <c r="L156" s="19">
        <f>IF($B156="","",SUMIFS(수량산출서!$H$4:$H$253,수량산출서!$A$4:$A$253,"변경",수량산출서!$B$4:$B$253,$B156))</f>
        <v/>
      </c>
      <c r="M156" s="35" t="n"/>
      <c r="N156" s="19">
        <f>IF($B156="","",IF($M156&lt;&gt;"",$M156,N($L156)))</f>
        <v/>
      </c>
      <c r="O156" s="20">
        <f>IF($B156="","",IFERROR(VLOOKUP($B156,단가마스터!$A$4:$H$303,5,FALSE),IFERROR(VLOOKUP($B156,일위대가!$N$4:$T$63,4,FALSE),0)))</f>
        <v/>
      </c>
      <c r="P156" s="20">
        <f>IF($B156="","",IFERROR(VLOOKUP($B156,단가마스터!$A$4:$H$303,6,FALSE),IFERROR(VLOOKUP($B156,일위대가!$N$4:$T$63,5,FALSE),0)))</f>
        <v/>
      </c>
      <c r="Q156" s="20">
        <f>IF($B156="","",IFERROR(VLOOKUP($B156,단가마스터!$A$4:$H$303,7,FALSE),IFERROR(VLOOKUP($B156,일위대가!$N$4:$T$63,6,FALSE),0)))</f>
        <v/>
      </c>
      <c r="R156" s="20">
        <f>IF($B156="","",N($O156)+N($P156)+N($Q156))</f>
        <v/>
      </c>
      <c r="S156" s="20">
        <f>IF($B156="","",ROUND(N($N156)*N($R156),0))</f>
        <v/>
      </c>
      <c r="T156" s="19">
        <f>IF($B156="","",N($N156)-N($F156))</f>
        <v/>
      </c>
      <c r="U156" s="20">
        <f>IF($B156="","",N($S156)-N($K156))</f>
        <v/>
      </c>
      <c r="V156" s="30" t="n"/>
    </row>
    <row r="157">
      <c r="A157" s="30" t="n"/>
      <c r="B157" s="30" t="n"/>
      <c r="C157" s="18">
        <f>IF($B157="","",IFERROR(VLOOKUP($B157,단가마스터!$A$4:$H$303,2,FALSE),IFERROR(VLOOKUP($B157,일위대가!$N$4:$T$63,2,FALSE),"⚠️단가 없음")))</f>
        <v/>
      </c>
      <c r="D157" s="18">
        <f>IF($B157="","",IFERROR(VLOOKUP($B157,단가마스터!$A$4:$H$303,3,FALSE),""))</f>
        <v/>
      </c>
      <c r="E157" s="18">
        <f>IF($B157="","",IFERROR(VLOOKUP($B157,단가마스터!$A$4:$H$303,4,FALSE),IFERROR(VLOOKUP($B157,일위대가!$N$4:$T$63,3,FALSE),"")))</f>
        <v/>
      </c>
      <c r="F157" s="35" t="n"/>
      <c r="G157" s="23" t="n"/>
      <c r="H157" s="23" t="n"/>
      <c r="I157" s="23" t="n"/>
      <c r="J157" s="20">
        <f>IF($B157="","",N($G157)+N($H157)+N($I157))</f>
        <v/>
      </c>
      <c r="K157" s="20">
        <f>IF($B157="","",ROUND(N($F157)*N($J157),0))</f>
        <v/>
      </c>
      <c r="L157" s="19">
        <f>IF($B157="","",SUMIFS(수량산출서!$H$4:$H$253,수량산출서!$A$4:$A$253,"변경",수량산출서!$B$4:$B$253,$B157))</f>
        <v/>
      </c>
      <c r="M157" s="35" t="n"/>
      <c r="N157" s="19">
        <f>IF($B157="","",IF($M157&lt;&gt;"",$M157,N($L157)))</f>
        <v/>
      </c>
      <c r="O157" s="20">
        <f>IF($B157="","",IFERROR(VLOOKUP($B157,단가마스터!$A$4:$H$303,5,FALSE),IFERROR(VLOOKUP($B157,일위대가!$N$4:$T$63,4,FALSE),0)))</f>
        <v/>
      </c>
      <c r="P157" s="20">
        <f>IF($B157="","",IFERROR(VLOOKUP($B157,단가마스터!$A$4:$H$303,6,FALSE),IFERROR(VLOOKUP($B157,일위대가!$N$4:$T$63,5,FALSE),0)))</f>
        <v/>
      </c>
      <c r="Q157" s="20">
        <f>IF($B157="","",IFERROR(VLOOKUP($B157,단가마스터!$A$4:$H$303,7,FALSE),IFERROR(VLOOKUP($B157,일위대가!$N$4:$T$63,6,FALSE),0)))</f>
        <v/>
      </c>
      <c r="R157" s="20">
        <f>IF($B157="","",N($O157)+N($P157)+N($Q157))</f>
        <v/>
      </c>
      <c r="S157" s="20">
        <f>IF($B157="","",ROUND(N($N157)*N($R157),0))</f>
        <v/>
      </c>
      <c r="T157" s="19">
        <f>IF($B157="","",N($N157)-N($F157))</f>
        <v/>
      </c>
      <c r="U157" s="20">
        <f>IF($B157="","",N($S157)-N($K157))</f>
        <v/>
      </c>
      <c r="V157" s="30" t="n"/>
    </row>
    <row r="158">
      <c r="A158" s="30" t="n"/>
      <c r="B158" s="30" t="n"/>
      <c r="C158" s="18">
        <f>IF($B158="","",IFERROR(VLOOKUP($B158,단가마스터!$A$4:$H$303,2,FALSE),IFERROR(VLOOKUP($B158,일위대가!$N$4:$T$63,2,FALSE),"⚠️단가 없음")))</f>
        <v/>
      </c>
      <c r="D158" s="18">
        <f>IF($B158="","",IFERROR(VLOOKUP($B158,단가마스터!$A$4:$H$303,3,FALSE),""))</f>
        <v/>
      </c>
      <c r="E158" s="18">
        <f>IF($B158="","",IFERROR(VLOOKUP($B158,단가마스터!$A$4:$H$303,4,FALSE),IFERROR(VLOOKUP($B158,일위대가!$N$4:$T$63,3,FALSE),"")))</f>
        <v/>
      </c>
      <c r="F158" s="35" t="n"/>
      <c r="G158" s="23" t="n"/>
      <c r="H158" s="23" t="n"/>
      <c r="I158" s="23" t="n"/>
      <c r="J158" s="20">
        <f>IF($B158="","",N($G158)+N($H158)+N($I158))</f>
        <v/>
      </c>
      <c r="K158" s="20">
        <f>IF($B158="","",ROUND(N($F158)*N($J158),0))</f>
        <v/>
      </c>
      <c r="L158" s="19">
        <f>IF($B158="","",SUMIFS(수량산출서!$H$4:$H$253,수량산출서!$A$4:$A$253,"변경",수량산출서!$B$4:$B$253,$B158))</f>
        <v/>
      </c>
      <c r="M158" s="35" t="n"/>
      <c r="N158" s="19">
        <f>IF($B158="","",IF($M158&lt;&gt;"",$M158,N($L158)))</f>
        <v/>
      </c>
      <c r="O158" s="20">
        <f>IF($B158="","",IFERROR(VLOOKUP($B158,단가마스터!$A$4:$H$303,5,FALSE),IFERROR(VLOOKUP($B158,일위대가!$N$4:$T$63,4,FALSE),0)))</f>
        <v/>
      </c>
      <c r="P158" s="20">
        <f>IF($B158="","",IFERROR(VLOOKUP($B158,단가마스터!$A$4:$H$303,6,FALSE),IFERROR(VLOOKUP($B158,일위대가!$N$4:$T$63,5,FALSE),0)))</f>
        <v/>
      </c>
      <c r="Q158" s="20">
        <f>IF($B158="","",IFERROR(VLOOKUP($B158,단가마스터!$A$4:$H$303,7,FALSE),IFERROR(VLOOKUP($B158,일위대가!$N$4:$T$63,6,FALSE),0)))</f>
        <v/>
      </c>
      <c r="R158" s="20">
        <f>IF($B158="","",N($O158)+N($P158)+N($Q158))</f>
        <v/>
      </c>
      <c r="S158" s="20">
        <f>IF($B158="","",ROUND(N($N158)*N($R158),0))</f>
        <v/>
      </c>
      <c r="T158" s="19">
        <f>IF($B158="","",N($N158)-N($F158))</f>
        <v/>
      </c>
      <c r="U158" s="20">
        <f>IF($B158="","",N($S158)-N($K158))</f>
        <v/>
      </c>
      <c r="V158" s="30" t="n"/>
    </row>
    <row r="159">
      <c r="A159" s="30" t="n"/>
      <c r="B159" s="30" t="n"/>
      <c r="C159" s="18">
        <f>IF($B159="","",IFERROR(VLOOKUP($B159,단가마스터!$A$4:$H$303,2,FALSE),IFERROR(VLOOKUP($B159,일위대가!$N$4:$T$63,2,FALSE),"⚠️단가 없음")))</f>
        <v/>
      </c>
      <c r="D159" s="18">
        <f>IF($B159="","",IFERROR(VLOOKUP($B159,단가마스터!$A$4:$H$303,3,FALSE),""))</f>
        <v/>
      </c>
      <c r="E159" s="18">
        <f>IF($B159="","",IFERROR(VLOOKUP($B159,단가마스터!$A$4:$H$303,4,FALSE),IFERROR(VLOOKUP($B159,일위대가!$N$4:$T$63,3,FALSE),"")))</f>
        <v/>
      </c>
      <c r="F159" s="35" t="n"/>
      <c r="G159" s="23" t="n"/>
      <c r="H159" s="23" t="n"/>
      <c r="I159" s="23" t="n"/>
      <c r="J159" s="20">
        <f>IF($B159="","",N($G159)+N($H159)+N($I159))</f>
        <v/>
      </c>
      <c r="K159" s="20">
        <f>IF($B159="","",ROUND(N($F159)*N($J159),0))</f>
        <v/>
      </c>
      <c r="L159" s="19">
        <f>IF($B159="","",SUMIFS(수량산출서!$H$4:$H$253,수량산출서!$A$4:$A$253,"변경",수량산출서!$B$4:$B$253,$B159))</f>
        <v/>
      </c>
      <c r="M159" s="35" t="n"/>
      <c r="N159" s="19">
        <f>IF($B159="","",IF($M159&lt;&gt;"",$M159,N($L159)))</f>
        <v/>
      </c>
      <c r="O159" s="20">
        <f>IF($B159="","",IFERROR(VLOOKUP($B159,단가마스터!$A$4:$H$303,5,FALSE),IFERROR(VLOOKUP($B159,일위대가!$N$4:$T$63,4,FALSE),0)))</f>
        <v/>
      </c>
      <c r="P159" s="20">
        <f>IF($B159="","",IFERROR(VLOOKUP($B159,단가마스터!$A$4:$H$303,6,FALSE),IFERROR(VLOOKUP($B159,일위대가!$N$4:$T$63,5,FALSE),0)))</f>
        <v/>
      </c>
      <c r="Q159" s="20">
        <f>IF($B159="","",IFERROR(VLOOKUP($B159,단가마스터!$A$4:$H$303,7,FALSE),IFERROR(VLOOKUP($B159,일위대가!$N$4:$T$63,6,FALSE),0)))</f>
        <v/>
      </c>
      <c r="R159" s="20">
        <f>IF($B159="","",N($O159)+N($P159)+N($Q159))</f>
        <v/>
      </c>
      <c r="S159" s="20">
        <f>IF($B159="","",ROUND(N($N159)*N($R159),0))</f>
        <v/>
      </c>
      <c r="T159" s="19">
        <f>IF($B159="","",N($N159)-N($F159))</f>
        <v/>
      </c>
      <c r="U159" s="20">
        <f>IF($B159="","",N($S159)-N($K159))</f>
        <v/>
      </c>
      <c r="V159" s="30" t="n"/>
    </row>
    <row r="160">
      <c r="A160" s="30" t="n"/>
      <c r="B160" s="30" t="n"/>
      <c r="C160" s="18">
        <f>IF($B160="","",IFERROR(VLOOKUP($B160,단가마스터!$A$4:$H$303,2,FALSE),IFERROR(VLOOKUP($B160,일위대가!$N$4:$T$63,2,FALSE),"⚠️단가 없음")))</f>
        <v/>
      </c>
      <c r="D160" s="18">
        <f>IF($B160="","",IFERROR(VLOOKUP($B160,단가마스터!$A$4:$H$303,3,FALSE),""))</f>
        <v/>
      </c>
      <c r="E160" s="18">
        <f>IF($B160="","",IFERROR(VLOOKUP($B160,단가마스터!$A$4:$H$303,4,FALSE),IFERROR(VLOOKUP($B160,일위대가!$N$4:$T$63,3,FALSE),"")))</f>
        <v/>
      </c>
      <c r="F160" s="35" t="n"/>
      <c r="G160" s="23" t="n"/>
      <c r="H160" s="23" t="n"/>
      <c r="I160" s="23" t="n"/>
      <c r="J160" s="20">
        <f>IF($B160="","",N($G160)+N($H160)+N($I160))</f>
        <v/>
      </c>
      <c r="K160" s="20">
        <f>IF($B160="","",ROUND(N($F160)*N($J160),0))</f>
        <v/>
      </c>
      <c r="L160" s="19">
        <f>IF($B160="","",SUMIFS(수량산출서!$H$4:$H$253,수량산출서!$A$4:$A$253,"변경",수량산출서!$B$4:$B$253,$B160))</f>
        <v/>
      </c>
      <c r="M160" s="35" t="n"/>
      <c r="N160" s="19">
        <f>IF($B160="","",IF($M160&lt;&gt;"",$M160,N($L160)))</f>
        <v/>
      </c>
      <c r="O160" s="20">
        <f>IF($B160="","",IFERROR(VLOOKUP($B160,단가마스터!$A$4:$H$303,5,FALSE),IFERROR(VLOOKUP($B160,일위대가!$N$4:$T$63,4,FALSE),0)))</f>
        <v/>
      </c>
      <c r="P160" s="20">
        <f>IF($B160="","",IFERROR(VLOOKUP($B160,단가마스터!$A$4:$H$303,6,FALSE),IFERROR(VLOOKUP($B160,일위대가!$N$4:$T$63,5,FALSE),0)))</f>
        <v/>
      </c>
      <c r="Q160" s="20">
        <f>IF($B160="","",IFERROR(VLOOKUP($B160,단가마스터!$A$4:$H$303,7,FALSE),IFERROR(VLOOKUP($B160,일위대가!$N$4:$T$63,6,FALSE),0)))</f>
        <v/>
      </c>
      <c r="R160" s="20">
        <f>IF($B160="","",N($O160)+N($P160)+N($Q160))</f>
        <v/>
      </c>
      <c r="S160" s="20">
        <f>IF($B160="","",ROUND(N($N160)*N($R160),0))</f>
        <v/>
      </c>
      <c r="T160" s="19">
        <f>IF($B160="","",N($N160)-N($F160))</f>
        <v/>
      </c>
      <c r="U160" s="20">
        <f>IF($B160="","",N($S160)-N($K160))</f>
        <v/>
      </c>
      <c r="V160" s="30" t="n"/>
    </row>
    <row r="161">
      <c r="A161" s="30" t="n"/>
      <c r="B161" s="30" t="n"/>
      <c r="C161" s="18">
        <f>IF($B161="","",IFERROR(VLOOKUP($B161,단가마스터!$A$4:$H$303,2,FALSE),IFERROR(VLOOKUP($B161,일위대가!$N$4:$T$63,2,FALSE),"⚠️단가 없음")))</f>
        <v/>
      </c>
      <c r="D161" s="18">
        <f>IF($B161="","",IFERROR(VLOOKUP($B161,단가마스터!$A$4:$H$303,3,FALSE),""))</f>
        <v/>
      </c>
      <c r="E161" s="18">
        <f>IF($B161="","",IFERROR(VLOOKUP($B161,단가마스터!$A$4:$H$303,4,FALSE),IFERROR(VLOOKUP($B161,일위대가!$N$4:$T$63,3,FALSE),"")))</f>
        <v/>
      </c>
      <c r="F161" s="35" t="n"/>
      <c r="G161" s="23" t="n"/>
      <c r="H161" s="23" t="n"/>
      <c r="I161" s="23" t="n"/>
      <c r="J161" s="20">
        <f>IF($B161="","",N($G161)+N($H161)+N($I161))</f>
        <v/>
      </c>
      <c r="K161" s="20">
        <f>IF($B161="","",ROUND(N($F161)*N($J161),0))</f>
        <v/>
      </c>
      <c r="L161" s="19">
        <f>IF($B161="","",SUMIFS(수량산출서!$H$4:$H$253,수량산출서!$A$4:$A$253,"변경",수량산출서!$B$4:$B$253,$B161))</f>
        <v/>
      </c>
      <c r="M161" s="35" t="n"/>
      <c r="N161" s="19">
        <f>IF($B161="","",IF($M161&lt;&gt;"",$M161,N($L161)))</f>
        <v/>
      </c>
      <c r="O161" s="20">
        <f>IF($B161="","",IFERROR(VLOOKUP($B161,단가마스터!$A$4:$H$303,5,FALSE),IFERROR(VLOOKUP($B161,일위대가!$N$4:$T$63,4,FALSE),0)))</f>
        <v/>
      </c>
      <c r="P161" s="20">
        <f>IF($B161="","",IFERROR(VLOOKUP($B161,단가마스터!$A$4:$H$303,6,FALSE),IFERROR(VLOOKUP($B161,일위대가!$N$4:$T$63,5,FALSE),0)))</f>
        <v/>
      </c>
      <c r="Q161" s="20">
        <f>IF($B161="","",IFERROR(VLOOKUP($B161,단가마스터!$A$4:$H$303,7,FALSE),IFERROR(VLOOKUP($B161,일위대가!$N$4:$T$63,6,FALSE),0)))</f>
        <v/>
      </c>
      <c r="R161" s="20">
        <f>IF($B161="","",N($O161)+N($P161)+N($Q161))</f>
        <v/>
      </c>
      <c r="S161" s="20">
        <f>IF($B161="","",ROUND(N($N161)*N($R161),0))</f>
        <v/>
      </c>
      <c r="T161" s="19">
        <f>IF($B161="","",N($N161)-N($F161))</f>
        <v/>
      </c>
      <c r="U161" s="20">
        <f>IF($B161="","",N($S161)-N($K161))</f>
        <v/>
      </c>
      <c r="V161" s="30" t="n"/>
    </row>
    <row r="162">
      <c r="A162" s="30" t="n"/>
      <c r="B162" s="30" t="n"/>
      <c r="C162" s="18">
        <f>IF($B162="","",IFERROR(VLOOKUP($B162,단가마스터!$A$4:$H$303,2,FALSE),IFERROR(VLOOKUP($B162,일위대가!$N$4:$T$63,2,FALSE),"⚠️단가 없음")))</f>
        <v/>
      </c>
      <c r="D162" s="18">
        <f>IF($B162="","",IFERROR(VLOOKUP($B162,단가마스터!$A$4:$H$303,3,FALSE),""))</f>
        <v/>
      </c>
      <c r="E162" s="18">
        <f>IF($B162="","",IFERROR(VLOOKUP($B162,단가마스터!$A$4:$H$303,4,FALSE),IFERROR(VLOOKUP($B162,일위대가!$N$4:$T$63,3,FALSE),"")))</f>
        <v/>
      </c>
      <c r="F162" s="35" t="n"/>
      <c r="G162" s="23" t="n"/>
      <c r="H162" s="23" t="n"/>
      <c r="I162" s="23" t="n"/>
      <c r="J162" s="20">
        <f>IF($B162="","",N($G162)+N($H162)+N($I162))</f>
        <v/>
      </c>
      <c r="K162" s="20">
        <f>IF($B162="","",ROUND(N($F162)*N($J162),0))</f>
        <v/>
      </c>
      <c r="L162" s="19">
        <f>IF($B162="","",SUMIFS(수량산출서!$H$4:$H$253,수량산출서!$A$4:$A$253,"변경",수량산출서!$B$4:$B$253,$B162))</f>
        <v/>
      </c>
      <c r="M162" s="35" t="n"/>
      <c r="N162" s="19">
        <f>IF($B162="","",IF($M162&lt;&gt;"",$M162,N($L162)))</f>
        <v/>
      </c>
      <c r="O162" s="20">
        <f>IF($B162="","",IFERROR(VLOOKUP($B162,단가마스터!$A$4:$H$303,5,FALSE),IFERROR(VLOOKUP($B162,일위대가!$N$4:$T$63,4,FALSE),0)))</f>
        <v/>
      </c>
      <c r="P162" s="20">
        <f>IF($B162="","",IFERROR(VLOOKUP($B162,단가마스터!$A$4:$H$303,6,FALSE),IFERROR(VLOOKUP($B162,일위대가!$N$4:$T$63,5,FALSE),0)))</f>
        <v/>
      </c>
      <c r="Q162" s="20">
        <f>IF($B162="","",IFERROR(VLOOKUP($B162,단가마스터!$A$4:$H$303,7,FALSE),IFERROR(VLOOKUP($B162,일위대가!$N$4:$T$63,6,FALSE),0)))</f>
        <v/>
      </c>
      <c r="R162" s="20">
        <f>IF($B162="","",N($O162)+N($P162)+N($Q162))</f>
        <v/>
      </c>
      <c r="S162" s="20">
        <f>IF($B162="","",ROUND(N($N162)*N($R162),0))</f>
        <v/>
      </c>
      <c r="T162" s="19">
        <f>IF($B162="","",N($N162)-N($F162))</f>
        <v/>
      </c>
      <c r="U162" s="20">
        <f>IF($B162="","",N($S162)-N($K162))</f>
        <v/>
      </c>
      <c r="V162" s="30" t="n"/>
    </row>
    <row r="163">
      <c r="A163" s="30" t="n"/>
      <c r="B163" s="30" t="n"/>
      <c r="C163" s="18">
        <f>IF($B163="","",IFERROR(VLOOKUP($B163,단가마스터!$A$4:$H$303,2,FALSE),IFERROR(VLOOKUP($B163,일위대가!$N$4:$T$63,2,FALSE),"⚠️단가 없음")))</f>
        <v/>
      </c>
      <c r="D163" s="18">
        <f>IF($B163="","",IFERROR(VLOOKUP($B163,단가마스터!$A$4:$H$303,3,FALSE),""))</f>
        <v/>
      </c>
      <c r="E163" s="18">
        <f>IF($B163="","",IFERROR(VLOOKUP($B163,단가마스터!$A$4:$H$303,4,FALSE),IFERROR(VLOOKUP($B163,일위대가!$N$4:$T$63,3,FALSE),"")))</f>
        <v/>
      </c>
      <c r="F163" s="35" t="n"/>
      <c r="G163" s="23" t="n"/>
      <c r="H163" s="23" t="n"/>
      <c r="I163" s="23" t="n"/>
      <c r="J163" s="20">
        <f>IF($B163="","",N($G163)+N($H163)+N($I163))</f>
        <v/>
      </c>
      <c r="K163" s="20">
        <f>IF($B163="","",ROUND(N($F163)*N($J163),0))</f>
        <v/>
      </c>
      <c r="L163" s="19">
        <f>IF($B163="","",SUMIFS(수량산출서!$H$4:$H$253,수량산출서!$A$4:$A$253,"변경",수량산출서!$B$4:$B$253,$B163))</f>
        <v/>
      </c>
      <c r="M163" s="35" t="n"/>
      <c r="N163" s="19">
        <f>IF($B163="","",IF($M163&lt;&gt;"",$M163,N($L163)))</f>
        <v/>
      </c>
      <c r="O163" s="20">
        <f>IF($B163="","",IFERROR(VLOOKUP($B163,단가마스터!$A$4:$H$303,5,FALSE),IFERROR(VLOOKUP($B163,일위대가!$N$4:$T$63,4,FALSE),0)))</f>
        <v/>
      </c>
      <c r="P163" s="20">
        <f>IF($B163="","",IFERROR(VLOOKUP($B163,단가마스터!$A$4:$H$303,6,FALSE),IFERROR(VLOOKUP($B163,일위대가!$N$4:$T$63,5,FALSE),0)))</f>
        <v/>
      </c>
      <c r="Q163" s="20">
        <f>IF($B163="","",IFERROR(VLOOKUP($B163,단가마스터!$A$4:$H$303,7,FALSE),IFERROR(VLOOKUP($B163,일위대가!$N$4:$T$63,6,FALSE),0)))</f>
        <v/>
      </c>
      <c r="R163" s="20">
        <f>IF($B163="","",N($O163)+N($P163)+N($Q163))</f>
        <v/>
      </c>
      <c r="S163" s="20">
        <f>IF($B163="","",ROUND(N($N163)*N($R163),0))</f>
        <v/>
      </c>
      <c r="T163" s="19">
        <f>IF($B163="","",N($N163)-N($F163))</f>
        <v/>
      </c>
      <c r="U163" s="20">
        <f>IF($B163="","",N($S163)-N($K163))</f>
        <v/>
      </c>
      <c r="V163" s="30" t="n"/>
    </row>
    <row r="164">
      <c r="A164" s="30" t="n"/>
      <c r="B164" s="30" t="n"/>
      <c r="C164" s="18">
        <f>IF($B164="","",IFERROR(VLOOKUP($B164,단가마스터!$A$4:$H$303,2,FALSE),IFERROR(VLOOKUP($B164,일위대가!$N$4:$T$63,2,FALSE),"⚠️단가 없음")))</f>
        <v/>
      </c>
      <c r="D164" s="18">
        <f>IF($B164="","",IFERROR(VLOOKUP($B164,단가마스터!$A$4:$H$303,3,FALSE),""))</f>
        <v/>
      </c>
      <c r="E164" s="18">
        <f>IF($B164="","",IFERROR(VLOOKUP($B164,단가마스터!$A$4:$H$303,4,FALSE),IFERROR(VLOOKUP($B164,일위대가!$N$4:$T$63,3,FALSE),"")))</f>
        <v/>
      </c>
      <c r="F164" s="35" t="n"/>
      <c r="G164" s="23" t="n"/>
      <c r="H164" s="23" t="n"/>
      <c r="I164" s="23" t="n"/>
      <c r="J164" s="20">
        <f>IF($B164="","",N($G164)+N($H164)+N($I164))</f>
        <v/>
      </c>
      <c r="K164" s="20">
        <f>IF($B164="","",ROUND(N($F164)*N($J164),0))</f>
        <v/>
      </c>
      <c r="L164" s="19">
        <f>IF($B164="","",SUMIFS(수량산출서!$H$4:$H$253,수량산출서!$A$4:$A$253,"변경",수량산출서!$B$4:$B$253,$B164))</f>
        <v/>
      </c>
      <c r="M164" s="35" t="n"/>
      <c r="N164" s="19">
        <f>IF($B164="","",IF($M164&lt;&gt;"",$M164,N($L164)))</f>
        <v/>
      </c>
      <c r="O164" s="20">
        <f>IF($B164="","",IFERROR(VLOOKUP($B164,단가마스터!$A$4:$H$303,5,FALSE),IFERROR(VLOOKUP($B164,일위대가!$N$4:$T$63,4,FALSE),0)))</f>
        <v/>
      </c>
      <c r="P164" s="20">
        <f>IF($B164="","",IFERROR(VLOOKUP($B164,단가마스터!$A$4:$H$303,6,FALSE),IFERROR(VLOOKUP($B164,일위대가!$N$4:$T$63,5,FALSE),0)))</f>
        <v/>
      </c>
      <c r="Q164" s="20">
        <f>IF($B164="","",IFERROR(VLOOKUP($B164,단가마스터!$A$4:$H$303,7,FALSE),IFERROR(VLOOKUP($B164,일위대가!$N$4:$T$63,6,FALSE),0)))</f>
        <v/>
      </c>
      <c r="R164" s="20">
        <f>IF($B164="","",N($O164)+N($P164)+N($Q164))</f>
        <v/>
      </c>
      <c r="S164" s="20">
        <f>IF($B164="","",ROUND(N($N164)*N($R164),0))</f>
        <v/>
      </c>
      <c r="T164" s="19">
        <f>IF($B164="","",N($N164)-N($F164))</f>
        <v/>
      </c>
      <c r="U164" s="20">
        <f>IF($B164="","",N($S164)-N($K164))</f>
        <v/>
      </c>
      <c r="V164" s="30" t="n"/>
    </row>
    <row r="165">
      <c r="A165" s="30" t="n"/>
      <c r="B165" s="30" t="n"/>
      <c r="C165" s="18">
        <f>IF($B165="","",IFERROR(VLOOKUP($B165,단가마스터!$A$4:$H$303,2,FALSE),IFERROR(VLOOKUP($B165,일위대가!$N$4:$T$63,2,FALSE),"⚠️단가 없음")))</f>
        <v/>
      </c>
      <c r="D165" s="18">
        <f>IF($B165="","",IFERROR(VLOOKUP($B165,단가마스터!$A$4:$H$303,3,FALSE),""))</f>
        <v/>
      </c>
      <c r="E165" s="18">
        <f>IF($B165="","",IFERROR(VLOOKUP($B165,단가마스터!$A$4:$H$303,4,FALSE),IFERROR(VLOOKUP($B165,일위대가!$N$4:$T$63,3,FALSE),"")))</f>
        <v/>
      </c>
      <c r="F165" s="35" t="n"/>
      <c r="G165" s="23" t="n"/>
      <c r="H165" s="23" t="n"/>
      <c r="I165" s="23" t="n"/>
      <c r="J165" s="20">
        <f>IF($B165="","",N($G165)+N($H165)+N($I165))</f>
        <v/>
      </c>
      <c r="K165" s="20">
        <f>IF($B165="","",ROUND(N($F165)*N($J165),0))</f>
        <v/>
      </c>
      <c r="L165" s="19">
        <f>IF($B165="","",SUMIFS(수량산출서!$H$4:$H$253,수량산출서!$A$4:$A$253,"변경",수량산출서!$B$4:$B$253,$B165))</f>
        <v/>
      </c>
      <c r="M165" s="35" t="n"/>
      <c r="N165" s="19">
        <f>IF($B165="","",IF($M165&lt;&gt;"",$M165,N($L165)))</f>
        <v/>
      </c>
      <c r="O165" s="20">
        <f>IF($B165="","",IFERROR(VLOOKUP($B165,단가마스터!$A$4:$H$303,5,FALSE),IFERROR(VLOOKUP($B165,일위대가!$N$4:$T$63,4,FALSE),0)))</f>
        <v/>
      </c>
      <c r="P165" s="20">
        <f>IF($B165="","",IFERROR(VLOOKUP($B165,단가마스터!$A$4:$H$303,6,FALSE),IFERROR(VLOOKUP($B165,일위대가!$N$4:$T$63,5,FALSE),0)))</f>
        <v/>
      </c>
      <c r="Q165" s="20">
        <f>IF($B165="","",IFERROR(VLOOKUP($B165,단가마스터!$A$4:$H$303,7,FALSE),IFERROR(VLOOKUP($B165,일위대가!$N$4:$T$63,6,FALSE),0)))</f>
        <v/>
      </c>
      <c r="R165" s="20">
        <f>IF($B165="","",N($O165)+N($P165)+N($Q165))</f>
        <v/>
      </c>
      <c r="S165" s="20">
        <f>IF($B165="","",ROUND(N($N165)*N($R165),0))</f>
        <v/>
      </c>
      <c r="T165" s="19">
        <f>IF($B165="","",N($N165)-N($F165))</f>
        <v/>
      </c>
      <c r="U165" s="20">
        <f>IF($B165="","",N($S165)-N($K165))</f>
        <v/>
      </c>
      <c r="V165" s="30" t="n"/>
    </row>
    <row r="166">
      <c r="A166" s="30" t="n"/>
      <c r="B166" s="30" t="n"/>
      <c r="C166" s="18">
        <f>IF($B166="","",IFERROR(VLOOKUP($B166,단가마스터!$A$4:$H$303,2,FALSE),IFERROR(VLOOKUP($B166,일위대가!$N$4:$T$63,2,FALSE),"⚠️단가 없음")))</f>
        <v/>
      </c>
      <c r="D166" s="18">
        <f>IF($B166="","",IFERROR(VLOOKUP($B166,단가마스터!$A$4:$H$303,3,FALSE),""))</f>
        <v/>
      </c>
      <c r="E166" s="18">
        <f>IF($B166="","",IFERROR(VLOOKUP($B166,단가마스터!$A$4:$H$303,4,FALSE),IFERROR(VLOOKUP($B166,일위대가!$N$4:$T$63,3,FALSE),"")))</f>
        <v/>
      </c>
      <c r="F166" s="35" t="n"/>
      <c r="G166" s="23" t="n"/>
      <c r="H166" s="23" t="n"/>
      <c r="I166" s="23" t="n"/>
      <c r="J166" s="20">
        <f>IF($B166="","",N($G166)+N($H166)+N($I166))</f>
        <v/>
      </c>
      <c r="K166" s="20">
        <f>IF($B166="","",ROUND(N($F166)*N($J166),0))</f>
        <v/>
      </c>
      <c r="L166" s="19">
        <f>IF($B166="","",SUMIFS(수량산출서!$H$4:$H$253,수량산출서!$A$4:$A$253,"변경",수량산출서!$B$4:$B$253,$B166))</f>
        <v/>
      </c>
      <c r="M166" s="35" t="n"/>
      <c r="N166" s="19">
        <f>IF($B166="","",IF($M166&lt;&gt;"",$M166,N($L166)))</f>
        <v/>
      </c>
      <c r="O166" s="20">
        <f>IF($B166="","",IFERROR(VLOOKUP($B166,단가마스터!$A$4:$H$303,5,FALSE),IFERROR(VLOOKUP($B166,일위대가!$N$4:$T$63,4,FALSE),0)))</f>
        <v/>
      </c>
      <c r="P166" s="20">
        <f>IF($B166="","",IFERROR(VLOOKUP($B166,단가마스터!$A$4:$H$303,6,FALSE),IFERROR(VLOOKUP($B166,일위대가!$N$4:$T$63,5,FALSE),0)))</f>
        <v/>
      </c>
      <c r="Q166" s="20">
        <f>IF($B166="","",IFERROR(VLOOKUP($B166,단가마스터!$A$4:$H$303,7,FALSE),IFERROR(VLOOKUP($B166,일위대가!$N$4:$T$63,6,FALSE),0)))</f>
        <v/>
      </c>
      <c r="R166" s="20">
        <f>IF($B166="","",N($O166)+N($P166)+N($Q166))</f>
        <v/>
      </c>
      <c r="S166" s="20">
        <f>IF($B166="","",ROUND(N($N166)*N($R166),0))</f>
        <v/>
      </c>
      <c r="T166" s="19">
        <f>IF($B166="","",N($N166)-N($F166))</f>
        <v/>
      </c>
      <c r="U166" s="20">
        <f>IF($B166="","",N($S166)-N($K166))</f>
        <v/>
      </c>
      <c r="V166" s="30" t="n"/>
    </row>
    <row r="167">
      <c r="A167" s="30" t="n"/>
      <c r="B167" s="30" t="n"/>
      <c r="C167" s="18">
        <f>IF($B167="","",IFERROR(VLOOKUP($B167,단가마스터!$A$4:$H$303,2,FALSE),IFERROR(VLOOKUP($B167,일위대가!$N$4:$T$63,2,FALSE),"⚠️단가 없음")))</f>
        <v/>
      </c>
      <c r="D167" s="18">
        <f>IF($B167="","",IFERROR(VLOOKUP($B167,단가마스터!$A$4:$H$303,3,FALSE),""))</f>
        <v/>
      </c>
      <c r="E167" s="18">
        <f>IF($B167="","",IFERROR(VLOOKUP($B167,단가마스터!$A$4:$H$303,4,FALSE),IFERROR(VLOOKUP($B167,일위대가!$N$4:$T$63,3,FALSE),"")))</f>
        <v/>
      </c>
      <c r="F167" s="35" t="n"/>
      <c r="G167" s="23" t="n"/>
      <c r="H167" s="23" t="n"/>
      <c r="I167" s="23" t="n"/>
      <c r="J167" s="20">
        <f>IF($B167="","",N($G167)+N($H167)+N($I167))</f>
        <v/>
      </c>
      <c r="K167" s="20">
        <f>IF($B167="","",ROUND(N($F167)*N($J167),0))</f>
        <v/>
      </c>
      <c r="L167" s="19">
        <f>IF($B167="","",SUMIFS(수량산출서!$H$4:$H$253,수량산출서!$A$4:$A$253,"변경",수량산출서!$B$4:$B$253,$B167))</f>
        <v/>
      </c>
      <c r="M167" s="35" t="n"/>
      <c r="N167" s="19">
        <f>IF($B167="","",IF($M167&lt;&gt;"",$M167,N($L167)))</f>
        <v/>
      </c>
      <c r="O167" s="20">
        <f>IF($B167="","",IFERROR(VLOOKUP($B167,단가마스터!$A$4:$H$303,5,FALSE),IFERROR(VLOOKUP($B167,일위대가!$N$4:$T$63,4,FALSE),0)))</f>
        <v/>
      </c>
      <c r="P167" s="20">
        <f>IF($B167="","",IFERROR(VLOOKUP($B167,단가마스터!$A$4:$H$303,6,FALSE),IFERROR(VLOOKUP($B167,일위대가!$N$4:$T$63,5,FALSE),0)))</f>
        <v/>
      </c>
      <c r="Q167" s="20">
        <f>IF($B167="","",IFERROR(VLOOKUP($B167,단가마스터!$A$4:$H$303,7,FALSE),IFERROR(VLOOKUP($B167,일위대가!$N$4:$T$63,6,FALSE),0)))</f>
        <v/>
      </c>
      <c r="R167" s="20">
        <f>IF($B167="","",N($O167)+N($P167)+N($Q167))</f>
        <v/>
      </c>
      <c r="S167" s="20">
        <f>IF($B167="","",ROUND(N($N167)*N($R167),0))</f>
        <v/>
      </c>
      <c r="T167" s="19">
        <f>IF($B167="","",N($N167)-N($F167))</f>
        <v/>
      </c>
      <c r="U167" s="20">
        <f>IF($B167="","",N($S167)-N($K167))</f>
        <v/>
      </c>
      <c r="V167" s="30" t="n"/>
    </row>
    <row r="168">
      <c r="A168" s="30" t="n"/>
      <c r="B168" s="30" t="n"/>
      <c r="C168" s="18">
        <f>IF($B168="","",IFERROR(VLOOKUP($B168,단가마스터!$A$4:$H$303,2,FALSE),IFERROR(VLOOKUP($B168,일위대가!$N$4:$T$63,2,FALSE),"⚠️단가 없음")))</f>
        <v/>
      </c>
      <c r="D168" s="18">
        <f>IF($B168="","",IFERROR(VLOOKUP($B168,단가마스터!$A$4:$H$303,3,FALSE),""))</f>
        <v/>
      </c>
      <c r="E168" s="18">
        <f>IF($B168="","",IFERROR(VLOOKUP($B168,단가마스터!$A$4:$H$303,4,FALSE),IFERROR(VLOOKUP($B168,일위대가!$N$4:$T$63,3,FALSE),"")))</f>
        <v/>
      </c>
      <c r="F168" s="35" t="n"/>
      <c r="G168" s="23" t="n"/>
      <c r="H168" s="23" t="n"/>
      <c r="I168" s="23" t="n"/>
      <c r="J168" s="20">
        <f>IF($B168="","",N($G168)+N($H168)+N($I168))</f>
        <v/>
      </c>
      <c r="K168" s="20">
        <f>IF($B168="","",ROUND(N($F168)*N($J168),0))</f>
        <v/>
      </c>
      <c r="L168" s="19">
        <f>IF($B168="","",SUMIFS(수량산출서!$H$4:$H$253,수량산출서!$A$4:$A$253,"변경",수량산출서!$B$4:$B$253,$B168))</f>
        <v/>
      </c>
      <c r="M168" s="35" t="n"/>
      <c r="N168" s="19">
        <f>IF($B168="","",IF($M168&lt;&gt;"",$M168,N($L168)))</f>
        <v/>
      </c>
      <c r="O168" s="20">
        <f>IF($B168="","",IFERROR(VLOOKUP($B168,단가마스터!$A$4:$H$303,5,FALSE),IFERROR(VLOOKUP($B168,일위대가!$N$4:$T$63,4,FALSE),0)))</f>
        <v/>
      </c>
      <c r="P168" s="20">
        <f>IF($B168="","",IFERROR(VLOOKUP($B168,단가마스터!$A$4:$H$303,6,FALSE),IFERROR(VLOOKUP($B168,일위대가!$N$4:$T$63,5,FALSE),0)))</f>
        <v/>
      </c>
      <c r="Q168" s="20">
        <f>IF($B168="","",IFERROR(VLOOKUP($B168,단가마스터!$A$4:$H$303,7,FALSE),IFERROR(VLOOKUP($B168,일위대가!$N$4:$T$63,6,FALSE),0)))</f>
        <v/>
      </c>
      <c r="R168" s="20">
        <f>IF($B168="","",N($O168)+N($P168)+N($Q168))</f>
        <v/>
      </c>
      <c r="S168" s="20">
        <f>IF($B168="","",ROUND(N($N168)*N($R168),0))</f>
        <v/>
      </c>
      <c r="T168" s="19">
        <f>IF($B168="","",N($N168)-N($F168))</f>
        <v/>
      </c>
      <c r="U168" s="20">
        <f>IF($B168="","",N($S168)-N($K168))</f>
        <v/>
      </c>
      <c r="V168" s="30" t="n"/>
    </row>
    <row r="169">
      <c r="A169" s="30" t="n"/>
      <c r="B169" s="30" t="n"/>
      <c r="C169" s="18">
        <f>IF($B169="","",IFERROR(VLOOKUP($B169,단가마스터!$A$4:$H$303,2,FALSE),IFERROR(VLOOKUP($B169,일위대가!$N$4:$T$63,2,FALSE),"⚠️단가 없음")))</f>
        <v/>
      </c>
      <c r="D169" s="18">
        <f>IF($B169="","",IFERROR(VLOOKUP($B169,단가마스터!$A$4:$H$303,3,FALSE),""))</f>
        <v/>
      </c>
      <c r="E169" s="18">
        <f>IF($B169="","",IFERROR(VLOOKUP($B169,단가마스터!$A$4:$H$303,4,FALSE),IFERROR(VLOOKUP($B169,일위대가!$N$4:$T$63,3,FALSE),"")))</f>
        <v/>
      </c>
      <c r="F169" s="35" t="n"/>
      <c r="G169" s="23" t="n"/>
      <c r="H169" s="23" t="n"/>
      <c r="I169" s="23" t="n"/>
      <c r="J169" s="20">
        <f>IF($B169="","",N($G169)+N($H169)+N($I169))</f>
        <v/>
      </c>
      <c r="K169" s="20">
        <f>IF($B169="","",ROUND(N($F169)*N($J169),0))</f>
        <v/>
      </c>
      <c r="L169" s="19">
        <f>IF($B169="","",SUMIFS(수량산출서!$H$4:$H$253,수량산출서!$A$4:$A$253,"변경",수량산출서!$B$4:$B$253,$B169))</f>
        <v/>
      </c>
      <c r="M169" s="35" t="n"/>
      <c r="N169" s="19">
        <f>IF($B169="","",IF($M169&lt;&gt;"",$M169,N($L169)))</f>
        <v/>
      </c>
      <c r="O169" s="20">
        <f>IF($B169="","",IFERROR(VLOOKUP($B169,단가마스터!$A$4:$H$303,5,FALSE),IFERROR(VLOOKUP($B169,일위대가!$N$4:$T$63,4,FALSE),0)))</f>
        <v/>
      </c>
      <c r="P169" s="20">
        <f>IF($B169="","",IFERROR(VLOOKUP($B169,단가마스터!$A$4:$H$303,6,FALSE),IFERROR(VLOOKUP($B169,일위대가!$N$4:$T$63,5,FALSE),0)))</f>
        <v/>
      </c>
      <c r="Q169" s="20">
        <f>IF($B169="","",IFERROR(VLOOKUP($B169,단가마스터!$A$4:$H$303,7,FALSE),IFERROR(VLOOKUP($B169,일위대가!$N$4:$T$63,6,FALSE),0)))</f>
        <v/>
      </c>
      <c r="R169" s="20">
        <f>IF($B169="","",N($O169)+N($P169)+N($Q169))</f>
        <v/>
      </c>
      <c r="S169" s="20">
        <f>IF($B169="","",ROUND(N($N169)*N($R169),0))</f>
        <v/>
      </c>
      <c r="T169" s="19">
        <f>IF($B169="","",N($N169)-N($F169))</f>
        <v/>
      </c>
      <c r="U169" s="20">
        <f>IF($B169="","",N($S169)-N($K169))</f>
        <v/>
      </c>
      <c r="V169" s="30" t="n"/>
    </row>
    <row r="170">
      <c r="A170" s="30" t="n"/>
      <c r="B170" s="30" t="n"/>
      <c r="C170" s="18">
        <f>IF($B170="","",IFERROR(VLOOKUP($B170,단가마스터!$A$4:$H$303,2,FALSE),IFERROR(VLOOKUP($B170,일위대가!$N$4:$T$63,2,FALSE),"⚠️단가 없음")))</f>
        <v/>
      </c>
      <c r="D170" s="18">
        <f>IF($B170="","",IFERROR(VLOOKUP($B170,단가마스터!$A$4:$H$303,3,FALSE),""))</f>
        <v/>
      </c>
      <c r="E170" s="18">
        <f>IF($B170="","",IFERROR(VLOOKUP($B170,단가마스터!$A$4:$H$303,4,FALSE),IFERROR(VLOOKUP($B170,일위대가!$N$4:$T$63,3,FALSE),"")))</f>
        <v/>
      </c>
      <c r="F170" s="35" t="n"/>
      <c r="G170" s="23" t="n"/>
      <c r="H170" s="23" t="n"/>
      <c r="I170" s="23" t="n"/>
      <c r="J170" s="20">
        <f>IF($B170="","",N($G170)+N($H170)+N($I170))</f>
        <v/>
      </c>
      <c r="K170" s="20">
        <f>IF($B170="","",ROUND(N($F170)*N($J170),0))</f>
        <v/>
      </c>
      <c r="L170" s="19">
        <f>IF($B170="","",SUMIFS(수량산출서!$H$4:$H$253,수량산출서!$A$4:$A$253,"변경",수량산출서!$B$4:$B$253,$B170))</f>
        <v/>
      </c>
      <c r="M170" s="35" t="n"/>
      <c r="N170" s="19">
        <f>IF($B170="","",IF($M170&lt;&gt;"",$M170,N($L170)))</f>
        <v/>
      </c>
      <c r="O170" s="20">
        <f>IF($B170="","",IFERROR(VLOOKUP($B170,단가마스터!$A$4:$H$303,5,FALSE),IFERROR(VLOOKUP($B170,일위대가!$N$4:$T$63,4,FALSE),0)))</f>
        <v/>
      </c>
      <c r="P170" s="20">
        <f>IF($B170="","",IFERROR(VLOOKUP($B170,단가마스터!$A$4:$H$303,6,FALSE),IFERROR(VLOOKUP($B170,일위대가!$N$4:$T$63,5,FALSE),0)))</f>
        <v/>
      </c>
      <c r="Q170" s="20">
        <f>IF($B170="","",IFERROR(VLOOKUP($B170,단가마스터!$A$4:$H$303,7,FALSE),IFERROR(VLOOKUP($B170,일위대가!$N$4:$T$63,6,FALSE),0)))</f>
        <v/>
      </c>
      <c r="R170" s="20">
        <f>IF($B170="","",N($O170)+N($P170)+N($Q170))</f>
        <v/>
      </c>
      <c r="S170" s="20">
        <f>IF($B170="","",ROUND(N($N170)*N($R170),0))</f>
        <v/>
      </c>
      <c r="T170" s="19">
        <f>IF($B170="","",N($N170)-N($F170))</f>
        <v/>
      </c>
      <c r="U170" s="20">
        <f>IF($B170="","",N($S170)-N($K170))</f>
        <v/>
      </c>
      <c r="V170" s="30" t="n"/>
    </row>
    <row r="171">
      <c r="A171" s="30" t="n"/>
      <c r="B171" s="30" t="n"/>
      <c r="C171" s="18">
        <f>IF($B171="","",IFERROR(VLOOKUP($B171,단가마스터!$A$4:$H$303,2,FALSE),IFERROR(VLOOKUP($B171,일위대가!$N$4:$T$63,2,FALSE),"⚠️단가 없음")))</f>
        <v/>
      </c>
      <c r="D171" s="18">
        <f>IF($B171="","",IFERROR(VLOOKUP($B171,단가마스터!$A$4:$H$303,3,FALSE),""))</f>
        <v/>
      </c>
      <c r="E171" s="18">
        <f>IF($B171="","",IFERROR(VLOOKUP($B171,단가마스터!$A$4:$H$303,4,FALSE),IFERROR(VLOOKUP($B171,일위대가!$N$4:$T$63,3,FALSE),"")))</f>
        <v/>
      </c>
      <c r="F171" s="35" t="n"/>
      <c r="G171" s="23" t="n"/>
      <c r="H171" s="23" t="n"/>
      <c r="I171" s="23" t="n"/>
      <c r="J171" s="20">
        <f>IF($B171="","",N($G171)+N($H171)+N($I171))</f>
        <v/>
      </c>
      <c r="K171" s="20">
        <f>IF($B171="","",ROUND(N($F171)*N($J171),0))</f>
        <v/>
      </c>
      <c r="L171" s="19">
        <f>IF($B171="","",SUMIFS(수량산출서!$H$4:$H$253,수량산출서!$A$4:$A$253,"변경",수량산출서!$B$4:$B$253,$B171))</f>
        <v/>
      </c>
      <c r="M171" s="35" t="n"/>
      <c r="N171" s="19">
        <f>IF($B171="","",IF($M171&lt;&gt;"",$M171,N($L171)))</f>
        <v/>
      </c>
      <c r="O171" s="20">
        <f>IF($B171="","",IFERROR(VLOOKUP($B171,단가마스터!$A$4:$H$303,5,FALSE),IFERROR(VLOOKUP($B171,일위대가!$N$4:$T$63,4,FALSE),0)))</f>
        <v/>
      </c>
      <c r="P171" s="20">
        <f>IF($B171="","",IFERROR(VLOOKUP($B171,단가마스터!$A$4:$H$303,6,FALSE),IFERROR(VLOOKUP($B171,일위대가!$N$4:$T$63,5,FALSE),0)))</f>
        <v/>
      </c>
      <c r="Q171" s="20">
        <f>IF($B171="","",IFERROR(VLOOKUP($B171,단가마스터!$A$4:$H$303,7,FALSE),IFERROR(VLOOKUP($B171,일위대가!$N$4:$T$63,6,FALSE),0)))</f>
        <v/>
      </c>
      <c r="R171" s="20">
        <f>IF($B171="","",N($O171)+N($P171)+N($Q171))</f>
        <v/>
      </c>
      <c r="S171" s="20">
        <f>IF($B171="","",ROUND(N($N171)*N($R171),0))</f>
        <v/>
      </c>
      <c r="T171" s="19">
        <f>IF($B171="","",N($N171)-N($F171))</f>
        <v/>
      </c>
      <c r="U171" s="20">
        <f>IF($B171="","",N($S171)-N($K171))</f>
        <v/>
      </c>
      <c r="V171" s="30" t="n"/>
    </row>
    <row r="172">
      <c r="A172" s="30" t="n"/>
      <c r="B172" s="30" t="n"/>
      <c r="C172" s="18">
        <f>IF($B172="","",IFERROR(VLOOKUP($B172,단가마스터!$A$4:$H$303,2,FALSE),IFERROR(VLOOKUP($B172,일위대가!$N$4:$T$63,2,FALSE),"⚠️단가 없음")))</f>
        <v/>
      </c>
      <c r="D172" s="18">
        <f>IF($B172="","",IFERROR(VLOOKUP($B172,단가마스터!$A$4:$H$303,3,FALSE),""))</f>
        <v/>
      </c>
      <c r="E172" s="18">
        <f>IF($B172="","",IFERROR(VLOOKUP($B172,단가마스터!$A$4:$H$303,4,FALSE),IFERROR(VLOOKUP($B172,일위대가!$N$4:$T$63,3,FALSE),"")))</f>
        <v/>
      </c>
      <c r="F172" s="35" t="n"/>
      <c r="G172" s="23" t="n"/>
      <c r="H172" s="23" t="n"/>
      <c r="I172" s="23" t="n"/>
      <c r="J172" s="20">
        <f>IF($B172="","",N($G172)+N($H172)+N($I172))</f>
        <v/>
      </c>
      <c r="K172" s="20">
        <f>IF($B172="","",ROUND(N($F172)*N($J172),0))</f>
        <v/>
      </c>
      <c r="L172" s="19">
        <f>IF($B172="","",SUMIFS(수량산출서!$H$4:$H$253,수량산출서!$A$4:$A$253,"변경",수량산출서!$B$4:$B$253,$B172))</f>
        <v/>
      </c>
      <c r="M172" s="35" t="n"/>
      <c r="N172" s="19">
        <f>IF($B172="","",IF($M172&lt;&gt;"",$M172,N($L172)))</f>
        <v/>
      </c>
      <c r="O172" s="20">
        <f>IF($B172="","",IFERROR(VLOOKUP($B172,단가마스터!$A$4:$H$303,5,FALSE),IFERROR(VLOOKUP($B172,일위대가!$N$4:$T$63,4,FALSE),0)))</f>
        <v/>
      </c>
      <c r="P172" s="20">
        <f>IF($B172="","",IFERROR(VLOOKUP($B172,단가마스터!$A$4:$H$303,6,FALSE),IFERROR(VLOOKUP($B172,일위대가!$N$4:$T$63,5,FALSE),0)))</f>
        <v/>
      </c>
      <c r="Q172" s="20">
        <f>IF($B172="","",IFERROR(VLOOKUP($B172,단가마스터!$A$4:$H$303,7,FALSE),IFERROR(VLOOKUP($B172,일위대가!$N$4:$T$63,6,FALSE),0)))</f>
        <v/>
      </c>
      <c r="R172" s="20">
        <f>IF($B172="","",N($O172)+N($P172)+N($Q172))</f>
        <v/>
      </c>
      <c r="S172" s="20">
        <f>IF($B172="","",ROUND(N($N172)*N($R172),0))</f>
        <v/>
      </c>
      <c r="T172" s="19">
        <f>IF($B172="","",N($N172)-N($F172))</f>
        <v/>
      </c>
      <c r="U172" s="20">
        <f>IF($B172="","",N($S172)-N($K172))</f>
        <v/>
      </c>
      <c r="V172" s="30" t="n"/>
    </row>
    <row r="173">
      <c r="A173" s="30" t="n"/>
      <c r="B173" s="30" t="n"/>
      <c r="C173" s="18">
        <f>IF($B173="","",IFERROR(VLOOKUP($B173,단가마스터!$A$4:$H$303,2,FALSE),IFERROR(VLOOKUP($B173,일위대가!$N$4:$T$63,2,FALSE),"⚠️단가 없음")))</f>
        <v/>
      </c>
      <c r="D173" s="18">
        <f>IF($B173="","",IFERROR(VLOOKUP($B173,단가마스터!$A$4:$H$303,3,FALSE),""))</f>
        <v/>
      </c>
      <c r="E173" s="18">
        <f>IF($B173="","",IFERROR(VLOOKUP($B173,단가마스터!$A$4:$H$303,4,FALSE),IFERROR(VLOOKUP($B173,일위대가!$N$4:$T$63,3,FALSE),"")))</f>
        <v/>
      </c>
      <c r="F173" s="35" t="n"/>
      <c r="G173" s="23" t="n"/>
      <c r="H173" s="23" t="n"/>
      <c r="I173" s="23" t="n"/>
      <c r="J173" s="20">
        <f>IF($B173="","",N($G173)+N($H173)+N($I173))</f>
        <v/>
      </c>
      <c r="K173" s="20">
        <f>IF($B173="","",ROUND(N($F173)*N($J173),0))</f>
        <v/>
      </c>
      <c r="L173" s="19">
        <f>IF($B173="","",SUMIFS(수량산출서!$H$4:$H$253,수량산출서!$A$4:$A$253,"변경",수량산출서!$B$4:$B$253,$B173))</f>
        <v/>
      </c>
      <c r="M173" s="35" t="n"/>
      <c r="N173" s="19">
        <f>IF($B173="","",IF($M173&lt;&gt;"",$M173,N($L173)))</f>
        <v/>
      </c>
      <c r="O173" s="20">
        <f>IF($B173="","",IFERROR(VLOOKUP($B173,단가마스터!$A$4:$H$303,5,FALSE),IFERROR(VLOOKUP($B173,일위대가!$N$4:$T$63,4,FALSE),0)))</f>
        <v/>
      </c>
      <c r="P173" s="20">
        <f>IF($B173="","",IFERROR(VLOOKUP($B173,단가마스터!$A$4:$H$303,6,FALSE),IFERROR(VLOOKUP($B173,일위대가!$N$4:$T$63,5,FALSE),0)))</f>
        <v/>
      </c>
      <c r="Q173" s="20">
        <f>IF($B173="","",IFERROR(VLOOKUP($B173,단가마스터!$A$4:$H$303,7,FALSE),IFERROR(VLOOKUP($B173,일위대가!$N$4:$T$63,6,FALSE),0)))</f>
        <v/>
      </c>
      <c r="R173" s="20">
        <f>IF($B173="","",N($O173)+N($P173)+N($Q173))</f>
        <v/>
      </c>
      <c r="S173" s="20">
        <f>IF($B173="","",ROUND(N($N173)*N($R173),0))</f>
        <v/>
      </c>
      <c r="T173" s="19">
        <f>IF($B173="","",N($N173)-N($F173))</f>
        <v/>
      </c>
      <c r="U173" s="20">
        <f>IF($B173="","",N($S173)-N($K173))</f>
        <v/>
      </c>
      <c r="V173" s="30" t="n"/>
    </row>
    <row r="174">
      <c r="A174" s="30" t="n"/>
      <c r="B174" s="30" t="n"/>
      <c r="C174" s="18">
        <f>IF($B174="","",IFERROR(VLOOKUP($B174,단가마스터!$A$4:$H$303,2,FALSE),IFERROR(VLOOKUP($B174,일위대가!$N$4:$T$63,2,FALSE),"⚠️단가 없음")))</f>
        <v/>
      </c>
      <c r="D174" s="18">
        <f>IF($B174="","",IFERROR(VLOOKUP($B174,단가마스터!$A$4:$H$303,3,FALSE),""))</f>
        <v/>
      </c>
      <c r="E174" s="18">
        <f>IF($B174="","",IFERROR(VLOOKUP($B174,단가마스터!$A$4:$H$303,4,FALSE),IFERROR(VLOOKUP($B174,일위대가!$N$4:$T$63,3,FALSE),"")))</f>
        <v/>
      </c>
      <c r="F174" s="35" t="n"/>
      <c r="G174" s="23" t="n"/>
      <c r="H174" s="23" t="n"/>
      <c r="I174" s="23" t="n"/>
      <c r="J174" s="20">
        <f>IF($B174="","",N($G174)+N($H174)+N($I174))</f>
        <v/>
      </c>
      <c r="K174" s="20">
        <f>IF($B174="","",ROUND(N($F174)*N($J174),0))</f>
        <v/>
      </c>
      <c r="L174" s="19">
        <f>IF($B174="","",SUMIFS(수량산출서!$H$4:$H$253,수량산출서!$A$4:$A$253,"변경",수량산출서!$B$4:$B$253,$B174))</f>
        <v/>
      </c>
      <c r="M174" s="35" t="n"/>
      <c r="N174" s="19">
        <f>IF($B174="","",IF($M174&lt;&gt;"",$M174,N($L174)))</f>
        <v/>
      </c>
      <c r="O174" s="20">
        <f>IF($B174="","",IFERROR(VLOOKUP($B174,단가마스터!$A$4:$H$303,5,FALSE),IFERROR(VLOOKUP($B174,일위대가!$N$4:$T$63,4,FALSE),0)))</f>
        <v/>
      </c>
      <c r="P174" s="20">
        <f>IF($B174="","",IFERROR(VLOOKUP($B174,단가마스터!$A$4:$H$303,6,FALSE),IFERROR(VLOOKUP($B174,일위대가!$N$4:$T$63,5,FALSE),0)))</f>
        <v/>
      </c>
      <c r="Q174" s="20">
        <f>IF($B174="","",IFERROR(VLOOKUP($B174,단가마스터!$A$4:$H$303,7,FALSE),IFERROR(VLOOKUP($B174,일위대가!$N$4:$T$63,6,FALSE),0)))</f>
        <v/>
      </c>
      <c r="R174" s="20">
        <f>IF($B174="","",N($O174)+N($P174)+N($Q174))</f>
        <v/>
      </c>
      <c r="S174" s="20">
        <f>IF($B174="","",ROUND(N($N174)*N($R174),0))</f>
        <v/>
      </c>
      <c r="T174" s="19">
        <f>IF($B174="","",N($N174)-N($F174))</f>
        <v/>
      </c>
      <c r="U174" s="20">
        <f>IF($B174="","",N($S174)-N($K174))</f>
        <v/>
      </c>
      <c r="V174" s="30" t="n"/>
    </row>
    <row r="175">
      <c r="A175" s="30" t="n"/>
      <c r="B175" s="30" t="n"/>
      <c r="C175" s="18">
        <f>IF($B175="","",IFERROR(VLOOKUP($B175,단가마스터!$A$4:$H$303,2,FALSE),IFERROR(VLOOKUP($B175,일위대가!$N$4:$T$63,2,FALSE),"⚠️단가 없음")))</f>
        <v/>
      </c>
      <c r="D175" s="18">
        <f>IF($B175="","",IFERROR(VLOOKUP($B175,단가마스터!$A$4:$H$303,3,FALSE),""))</f>
        <v/>
      </c>
      <c r="E175" s="18">
        <f>IF($B175="","",IFERROR(VLOOKUP($B175,단가마스터!$A$4:$H$303,4,FALSE),IFERROR(VLOOKUP($B175,일위대가!$N$4:$T$63,3,FALSE),"")))</f>
        <v/>
      </c>
      <c r="F175" s="35" t="n"/>
      <c r="G175" s="23" t="n"/>
      <c r="H175" s="23" t="n"/>
      <c r="I175" s="23" t="n"/>
      <c r="J175" s="20">
        <f>IF($B175="","",N($G175)+N($H175)+N($I175))</f>
        <v/>
      </c>
      <c r="K175" s="20">
        <f>IF($B175="","",ROUND(N($F175)*N($J175),0))</f>
        <v/>
      </c>
      <c r="L175" s="19">
        <f>IF($B175="","",SUMIFS(수량산출서!$H$4:$H$253,수량산출서!$A$4:$A$253,"변경",수량산출서!$B$4:$B$253,$B175))</f>
        <v/>
      </c>
      <c r="M175" s="35" t="n"/>
      <c r="N175" s="19">
        <f>IF($B175="","",IF($M175&lt;&gt;"",$M175,N($L175)))</f>
        <v/>
      </c>
      <c r="O175" s="20">
        <f>IF($B175="","",IFERROR(VLOOKUP($B175,단가마스터!$A$4:$H$303,5,FALSE),IFERROR(VLOOKUP($B175,일위대가!$N$4:$T$63,4,FALSE),0)))</f>
        <v/>
      </c>
      <c r="P175" s="20">
        <f>IF($B175="","",IFERROR(VLOOKUP($B175,단가마스터!$A$4:$H$303,6,FALSE),IFERROR(VLOOKUP($B175,일위대가!$N$4:$T$63,5,FALSE),0)))</f>
        <v/>
      </c>
      <c r="Q175" s="20">
        <f>IF($B175="","",IFERROR(VLOOKUP($B175,단가마스터!$A$4:$H$303,7,FALSE),IFERROR(VLOOKUP($B175,일위대가!$N$4:$T$63,6,FALSE),0)))</f>
        <v/>
      </c>
      <c r="R175" s="20">
        <f>IF($B175="","",N($O175)+N($P175)+N($Q175))</f>
        <v/>
      </c>
      <c r="S175" s="20">
        <f>IF($B175="","",ROUND(N($N175)*N($R175),0))</f>
        <v/>
      </c>
      <c r="T175" s="19">
        <f>IF($B175="","",N($N175)-N($F175))</f>
        <v/>
      </c>
      <c r="U175" s="20">
        <f>IF($B175="","",N($S175)-N($K175))</f>
        <v/>
      </c>
      <c r="V175" s="30" t="n"/>
    </row>
    <row r="176">
      <c r="A176" s="30" t="n"/>
      <c r="B176" s="30" t="n"/>
      <c r="C176" s="18">
        <f>IF($B176="","",IFERROR(VLOOKUP($B176,단가마스터!$A$4:$H$303,2,FALSE),IFERROR(VLOOKUP($B176,일위대가!$N$4:$T$63,2,FALSE),"⚠️단가 없음")))</f>
        <v/>
      </c>
      <c r="D176" s="18">
        <f>IF($B176="","",IFERROR(VLOOKUP($B176,단가마스터!$A$4:$H$303,3,FALSE),""))</f>
        <v/>
      </c>
      <c r="E176" s="18">
        <f>IF($B176="","",IFERROR(VLOOKUP($B176,단가마스터!$A$4:$H$303,4,FALSE),IFERROR(VLOOKUP($B176,일위대가!$N$4:$T$63,3,FALSE),"")))</f>
        <v/>
      </c>
      <c r="F176" s="35" t="n"/>
      <c r="G176" s="23" t="n"/>
      <c r="H176" s="23" t="n"/>
      <c r="I176" s="23" t="n"/>
      <c r="J176" s="20">
        <f>IF($B176="","",N($G176)+N($H176)+N($I176))</f>
        <v/>
      </c>
      <c r="K176" s="20">
        <f>IF($B176="","",ROUND(N($F176)*N($J176),0))</f>
        <v/>
      </c>
      <c r="L176" s="19">
        <f>IF($B176="","",SUMIFS(수량산출서!$H$4:$H$253,수량산출서!$A$4:$A$253,"변경",수량산출서!$B$4:$B$253,$B176))</f>
        <v/>
      </c>
      <c r="M176" s="35" t="n"/>
      <c r="N176" s="19">
        <f>IF($B176="","",IF($M176&lt;&gt;"",$M176,N($L176)))</f>
        <v/>
      </c>
      <c r="O176" s="20">
        <f>IF($B176="","",IFERROR(VLOOKUP($B176,단가마스터!$A$4:$H$303,5,FALSE),IFERROR(VLOOKUP($B176,일위대가!$N$4:$T$63,4,FALSE),0)))</f>
        <v/>
      </c>
      <c r="P176" s="20">
        <f>IF($B176="","",IFERROR(VLOOKUP($B176,단가마스터!$A$4:$H$303,6,FALSE),IFERROR(VLOOKUP($B176,일위대가!$N$4:$T$63,5,FALSE),0)))</f>
        <v/>
      </c>
      <c r="Q176" s="20">
        <f>IF($B176="","",IFERROR(VLOOKUP($B176,단가마스터!$A$4:$H$303,7,FALSE),IFERROR(VLOOKUP($B176,일위대가!$N$4:$T$63,6,FALSE),0)))</f>
        <v/>
      </c>
      <c r="R176" s="20">
        <f>IF($B176="","",N($O176)+N($P176)+N($Q176))</f>
        <v/>
      </c>
      <c r="S176" s="20">
        <f>IF($B176="","",ROUND(N($N176)*N($R176),0))</f>
        <v/>
      </c>
      <c r="T176" s="19">
        <f>IF($B176="","",N($N176)-N($F176))</f>
        <v/>
      </c>
      <c r="U176" s="20">
        <f>IF($B176="","",N($S176)-N($K176))</f>
        <v/>
      </c>
      <c r="V176" s="30" t="n"/>
    </row>
    <row r="177">
      <c r="A177" s="30" t="n"/>
      <c r="B177" s="30" t="n"/>
      <c r="C177" s="18">
        <f>IF($B177="","",IFERROR(VLOOKUP($B177,단가마스터!$A$4:$H$303,2,FALSE),IFERROR(VLOOKUP($B177,일위대가!$N$4:$T$63,2,FALSE),"⚠️단가 없음")))</f>
        <v/>
      </c>
      <c r="D177" s="18">
        <f>IF($B177="","",IFERROR(VLOOKUP($B177,단가마스터!$A$4:$H$303,3,FALSE),""))</f>
        <v/>
      </c>
      <c r="E177" s="18">
        <f>IF($B177="","",IFERROR(VLOOKUP($B177,단가마스터!$A$4:$H$303,4,FALSE),IFERROR(VLOOKUP($B177,일위대가!$N$4:$T$63,3,FALSE),"")))</f>
        <v/>
      </c>
      <c r="F177" s="35" t="n"/>
      <c r="G177" s="23" t="n"/>
      <c r="H177" s="23" t="n"/>
      <c r="I177" s="23" t="n"/>
      <c r="J177" s="20">
        <f>IF($B177="","",N($G177)+N($H177)+N($I177))</f>
        <v/>
      </c>
      <c r="K177" s="20">
        <f>IF($B177="","",ROUND(N($F177)*N($J177),0))</f>
        <v/>
      </c>
      <c r="L177" s="19">
        <f>IF($B177="","",SUMIFS(수량산출서!$H$4:$H$253,수량산출서!$A$4:$A$253,"변경",수량산출서!$B$4:$B$253,$B177))</f>
        <v/>
      </c>
      <c r="M177" s="35" t="n"/>
      <c r="N177" s="19">
        <f>IF($B177="","",IF($M177&lt;&gt;"",$M177,N($L177)))</f>
        <v/>
      </c>
      <c r="O177" s="20">
        <f>IF($B177="","",IFERROR(VLOOKUP($B177,단가마스터!$A$4:$H$303,5,FALSE),IFERROR(VLOOKUP($B177,일위대가!$N$4:$T$63,4,FALSE),0)))</f>
        <v/>
      </c>
      <c r="P177" s="20">
        <f>IF($B177="","",IFERROR(VLOOKUP($B177,단가마스터!$A$4:$H$303,6,FALSE),IFERROR(VLOOKUP($B177,일위대가!$N$4:$T$63,5,FALSE),0)))</f>
        <v/>
      </c>
      <c r="Q177" s="20">
        <f>IF($B177="","",IFERROR(VLOOKUP($B177,단가마스터!$A$4:$H$303,7,FALSE),IFERROR(VLOOKUP($B177,일위대가!$N$4:$T$63,6,FALSE),0)))</f>
        <v/>
      </c>
      <c r="R177" s="20">
        <f>IF($B177="","",N($O177)+N($P177)+N($Q177))</f>
        <v/>
      </c>
      <c r="S177" s="20">
        <f>IF($B177="","",ROUND(N($N177)*N($R177),0))</f>
        <v/>
      </c>
      <c r="T177" s="19">
        <f>IF($B177="","",N($N177)-N($F177))</f>
        <v/>
      </c>
      <c r="U177" s="20">
        <f>IF($B177="","",N($S177)-N($K177))</f>
        <v/>
      </c>
      <c r="V177" s="30" t="n"/>
    </row>
    <row r="178">
      <c r="A178" s="30" t="n"/>
      <c r="B178" s="30" t="n"/>
      <c r="C178" s="18">
        <f>IF($B178="","",IFERROR(VLOOKUP($B178,단가마스터!$A$4:$H$303,2,FALSE),IFERROR(VLOOKUP($B178,일위대가!$N$4:$T$63,2,FALSE),"⚠️단가 없음")))</f>
        <v/>
      </c>
      <c r="D178" s="18">
        <f>IF($B178="","",IFERROR(VLOOKUP($B178,단가마스터!$A$4:$H$303,3,FALSE),""))</f>
        <v/>
      </c>
      <c r="E178" s="18">
        <f>IF($B178="","",IFERROR(VLOOKUP($B178,단가마스터!$A$4:$H$303,4,FALSE),IFERROR(VLOOKUP($B178,일위대가!$N$4:$T$63,3,FALSE),"")))</f>
        <v/>
      </c>
      <c r="F178" s="35" t="n"/>
      <c r="G178" s="23" t="n"/>
      <c r="H178" s="23" t="n"/>
      <c r="I178" s="23" t="n"/>
      <c r="J178" s="20">
        <f>IF($B178="","",N($G178)+N($H178)+N($I178))</f>
        <v/>
      </c>
      <c r="K178" s="20">
        <f>IF($B178="","",ROUND(N($F178)*N($J178),0))</f>
        <v/>
      </c>
      <c r="L178" s="19">
        <f>IF($B178="","",SUMIFS(수량산출서!$H$4:$H$253,수량산출서!$A$4:$A$253,"변경",수량산출서!$B$4:$B$253,$B178))</f>
        <v/>
      </c>
      <c r="M178" s="35" t="n"/>
      <c r="N178" s="19">
        <f>IF($B178="","",IF($M178&lt;&gt;"",$M178,N($L178)))</f>
        <v/>
      </c>
      <c r="O178" s="20">
        <f>IF($B178="","",IFERROR(VLOOKUP($B178,단가마스터!$A$4:$H$303,5,FALSE),IFERROR(VLOOKUP($B178,일위대가!$N$4:$T$63,4,FALSE),0)))</f>
        <v/>
      </c>
      <c r="P178" s="20">
        <f>IF($B178="","",IFERROR(VLOOKUP($B178,단가마스터!$A$4:$H$303,6,FALSE),IFERROR(VLOOKUP($B178,일위대가!$N$4:$T$63,5,FALSE),0)))</f>
        <v/>
      </c>
      <c r="Q178" s="20">
        <f>IF($B178="","",IFERROR(VLOOKUP($B178,단가마스터!$A$4:$H$303,7,FALSE),IFERROR(VLOOKUP($B178,일위대가!$N$4:$T$63,6,FALSE),0)))</f>
        <v/>
      </c>
      <c r="R178" s="20">
        <f>IF($B178="","",N($O178)+N($P178)+N($Q178))</f>
        <v/>
      </c>
      <c r="S178" s="20">
        <f>IF($B178="","",ROUND(N($N178)*N($R178),0))</f>
        <v/>
      </c>
      <c r="T178" s="19">
        <f>IF($B178="","",N($N178)-N($F178))</f>
        <v/>
      </c>
      <c r="U178" s="20">
        <f>IF($B178="","",N($S178)-N($K178))</f>
        <v/>
      </c>
      <c r="V178" s="30" t="n"/>
    </row>
    <row r="179">
      <c r="A179" s="30" t="n"/>
      <c r="B179" s="30" t="n"/>
      <c r="C179" s="18">
        <f>IF($B179="","",IFERROR(VLOOKUP($B179,단가마스터!$A$4:$H$303,2,FALSE),IFERROR(VLOOKUP($B179,일위대가!$N$4:$T$63,2,FALSE),"⚠️단가 없음")))</f>
        <v/>
      </c>
      <c r="D179" s="18">
        <f>IF($B179="","",IFERROR(VLOOKUP($B179,단가마스터!$A$4:$H$303,3,FALSE),""))</f>
        <v/>
      </c>
      <c r="E179" s="18">
        <f>IF($B179="","",IFERROR(VLOOKUP($B179,단가마스터!$A$4:$H$303,4,FALSE),IFERROR(VLOOKUP($B179,일위대가!$N$4:$T$63,3,FALSE),"")))</f>
        <v/>
      </c>
      <c r="F179" s="35" t="n"/>
      <c r="G179" s="23" t="n"/>
      <c r="H179" s="23" t="n"/>
      <c r="I179" s="23" t="n"/>
      <c r="J179" s="20">
        <f>IF($B179="","",N($G179)+N($H179)+N($I179))</f>
        <v/>
      </c>
      <c r="K179" s="20">
        <f>IF($B179="","",ROUND(N($F179)*N($J179),0))</f>
        <v/>
      </c>
      <c r="L179" s="19">
        <f>IF($B179="","",SUMIFS(수량산출서!$H$4:$H$253,수량산출서!$A$4:$A$253,"변경",수량산출서!$B$4:$B$253,$B179))</f>
        <v/>
      </c>
      <c r="M179" s="35" t="n"/>
      <c r="N179" s="19">
        <f>IF($B179="","",IF($M179&lt;&gt;"",$M179,N($L179)))</f>
        <v/>
      </c>
      <c r="O179" s="20">
        <f>IF($B179="","",IFERROR(VLOOKUP($B179,단가마스터!$A$4:$H$303,5,FALSE),IFERROR(VLOOKUP($B179,일위대가!$N$4:$T$63,4,FALSE),0)))</f>
        <v/>
      </c>
      <c r="P179" s="20">
        <f>IF($B179="","",IFERROR(VLOOKUP($B179,단가마스터!$A$4:$H$303,6,FALSE),IFERROR(VLOOKUP($B179,일위대가!$N$4:$T$63,5,FALSE),0)))</f>
        <v/>
      </c>
      <c r="Q179" s="20">
        <f>IF($B179="","",IFERROR(VLOOKUP($B179,단가마스터!$A$4:$H$303,7,FALSE),IFERROR(VLOOKUP($B179,일위대가!$N$4:$T$63,6,FALSE),0)))</f>
        <v/>
      </c>
      <c r="R179" s="20">
        <f>IF($B179="","",N($O179)+N($P179)+N($Q179))</f>
        <v/>
      </c>
      <c r="S179" s="20">
        <f>IF($B179="","",ROUND(N($N179)*N($R179),0))</f>
        <v/>
      </c>
      <c r="T179" s="19">
        <f>IF($B179="","",N($N179)-N($F179))</f>
        <v/>
      </c>
      <c r="U179" s="20">
        <f>IF($B179="","",N($S179)-N($K179))</f>
        <v/>
      </c>
      <c r="V179" s="30" t="n"/>
    </row>
    <row r="180">
      <c r="A180" s="30" t="n"/>
      <c r="B180" s="30" t="n"/>
      <c r="C180" s="18">
        <f>IF($B180="","",IFERROR(VLOOKUP($B180,단가마스터!$A$4:$H$303,2,FALSE),IFERROR(VLOOKUP($B180,일위대가!$N$4:$T$63,2,FALSE),"⚠️단가 없음")))</f>
        <v/>
      </c>
      <c r="D180" s="18">
        <f>IF($B180="","",IFERROR(VLOOKUP($B180,단가마스터!$A$4:$H$303,3,FALSE),""))</f>
        <v/>
      </c>
      <c r="E180" s="18">
        <f>IF($B180="","",IFERROR(VLOOKUP($B180,단가마스터!$A$4:$H$303,4,FALSE),IFERROR(VLOOKUP($B180,일위대가!$N$4:$T$63,3,FALSE),"")))</f>
        <v/>
      </c>
      <c r="F180" s="35" t="n"/>
      <c r="G180" s="23" t="n"/>
      <c r="H180" s="23" t="n"/>
      <c r="I180" s="23" t="n"/>
      <c r="J180" s="20">
        <f>IF($B180="","",N($G180)+N($H180)+N($I180))</f>
        <v/>
      </c>
      <c r="K180" s="20">
        <f>IF($B180="","",ROUND(N($F180)*N($J180),0))</f>
        <v/>
      </c>
      <c r="L180" s="19">
        <f>IF($B180="","",SUMIFS(수량산출서!$H$4:$H$253,수량산출서!$A$4:$A$253,"변경",수량산출서!$B$4:$B$253,$B180))</f>
        <v/>
      </c>
      <c r="M180" s="35" t="n"/>
      <c r="N180" s="19">
        <f>IF($B180="","",IF($M180&lt;&gt;"",$M180,N($L180)))</f>
        <v/>
      </c>
      <c r="O180" s="20">
        <f>IF($B180="","",IFERROR(VLOOKUP($B180,단가마스터!$A$4:$H$303,5,FALSE),IFERROR(VLOOKUP($B180,일위대가!$N$4:$T$63,4,FALSE),0)))</f>
        <v/>
      </c>
      <c r="P180" s="20">
        <f>IF($B180="","",IFERROR(VLOOKUP($B180,단가마스터!$A$4:$H$303,6,FALSE),IFERROR(VLOOKUP($B180,일위대가!$N$4:$T$63,5,FALSE),0)))</f>
        <v/>
      </c>
      <c r="Q180" s="20">
        <f>IF($B180="","",IFERROR(VLOOKUP($B180,단가마스터!$A$4:$H$303,7,FALSE),IFERROR(VLOOKUP($B180,일위대가!$N$4:$T$63,6,FALSE),0)))</f>
        <v/>
      </c>
      <c r="R180" s="20">
        <f>IF($B180="","",N($O180)+N($P180)+N($Q180))</f>
        <v/>
      </c>
      <c r="S180" s="20">
        <f>IF($B180="","",ROUND(N($N180)*N($R180),0))</f>
        <v/>
      </c>
      <c r="T180" s="19">
        <f>IF($B180="","",N($N180)-N($F180))</f>
        <v/>
      </c>
      <c r="U180" s="20">
        <f>IF($B180="","",N($S180)-N($K180))</f>
        <v/>
      </c>
      <c r="V180" s="30" t="n"/>
    </row>
    <row r="181">
      <c r="A181" s="30" t="n"/>
      <c r="B181" s="30" t="n"/>
      <c r="C181" s="18">
        <f>IF($B181="","",IFERROR(VLOOKUP($B181,단가마스터!$A$4:$H$303,2,FALSE),IFERROR(VLOOKUP($B181,일위대가!$N$4:$T$63,2,FALSE),"⚠️단가 없음")))</f>
        <v/>
      </c>
      <c r="D181" s="18">
        <f>IF($B181="","",IFERROR(VLOOKUP($B181,단가마스터!$A$4:$H$303,3,FALSE),""))</f>
        <v/>
      </c>
      <c r="E181" s="18">
        <f>IF($B181="","",IFERROR(VLOOKUP($B181,단가마스터!$A$4:$H$303,4,FALSE),IFERROR(VLOOKUP($B181,일위대가!$N$4:$T$63,3,FALSE),"")))</f>
        <v/>
      </c>
      <c r="F181" s="35" t="n"/>
      <c r="G181" s="23" t="n"/>
      <c r="H181" s="23" t="n"/>
      <c r="I181" s="23" t="n"/>
      <c r="J181" s="20">
        <f>IF($B181="","",N($G181)+N($H181)+N($I181))</f>
        <v/>
      </c>
      <c r="K181" s="20">
        <f>IF($B181="","",ROUND(N($F181)*N($J181),0))</f>
        <v/>
      </c>
      <c r="L181" s="19">
        <f>IF($B181="","",SUMIFS(수량산출서!$H$4:$H$253,수량산출서!$A$4:$A$253,"변경",수량산출서!$B$4:$B$253,$B181))</f>
        <v/>
      </c>
      <c r="M181" s="35" t="n"/>
      <c r="N181" s="19">
        <f>IF($B181="","",IF($M181&lt;&gt;"",$M181,N($L181)))</f>
        <v/>
      </c>
      <c r="O181" s="20">
        <f>IF($B181="","",IFERROR(VLOOKUP($B181,단가마스터!$A$4:$H$303,5,FALSE),IFERROR(VLOOKUP($B181,일위대가!$N$4:$T$63,4,FALSE),0)))</f>
        <v/>
      </c>
      <c r="P181" s="20">
        <f>IF($B181="","",IFERROR(VLOOKUP($B181,단가마스터!$A$4:$H$303,6,FALSE),IFERROR(VLOOKUP($B181,일위대가!$N$4:$T$63,5,FALSE),0)))</f>
        <v/>
      </c>
      <c r="Q181" s="20">
        <f>IF($B181="","",IFERROR(VLOOKUP($B181,단가마스터!$A$4:$H$303,7,FALSE),IFERROR(VLOOKUP($B181,일위대가!$N$4:$T$63,6,FALSE),0)))</f>
        <v/>
      </c>
      <c r="R181" s="20">
        <f>IF($B181="","",N($O181)+N($P181)+N($Q181))</f>
        <v/>
      </c>
      <c r="S181" s="20">
        <f>IF($B181="","",ROUND(N($N181)*N($R181),0))</f>
        <v/>
      </c>
      <c r="T181" s="19">
        <f>IF($B181="","",N($N181)-N($F181))</f>
        <v/>
      </c>
      <c r="U181" s="20">
        <f>IF($B181="","",N($S181)-N($K181))</f>
        <v/>
      </c>
      <c r="V181" s="30" t="n"/>
    </row>
    <row r="182">
      <c r="A182" s="30" t="n"/>
      <c r="B182" s="30" t="n"/>
      <c r="C182" s="18">
        <f>IF($B182="","",IFERROR(VLOOKUP($B182,단가마스터!$A$4:$H$303,2,FALSE),IFERROR(VLOOKUP($B182,일위대가!$N$4:$T$63,2,FALSE),"⚠️단가 없음")))</f>
        <v/>
      </c>
      <c r="D182" s="18">
        <f>IF($B182="","",IFERROR(VLOOKUP($B182,단가마스터!$A$4:$H$303,3,FALSE),""))</f>
        <v/>
      </c>
      <c r="E182" s="18">
        <f>IF($B182="","",IFERROR(VLOOKUP($B182,단가마스터!$A$4:$H$303,4,FALSE),IFERROR(VLOOKUP($B182,일위대가!$N$4:$T$63,3,FALSE),"")))</f>
        <v/>
      </c>
      <c r="F182" s="35" t="n"/>
      <c r="G182" s="23" t="n"/>
      <c r="H182" s="23" t="n"/>
      <c r="I182" s="23" t="n"/>
      <c r="J182" s="20">
        <f>IF($B182="","",N($G182)+N($H182)+N($I182))</f>
        <v/>
      </c>
      <c r="K182" s="20">
        <f>IF($B182="","",ROUND(N($F182)*N($J182),0))</f>
        <v/>
      </c>
      <c r="L182" s="19">
        <f>IF($B182="","",SUMIFS(수량산출서!$H$4:$H$253,수량산출서!$A$4:$A$253,"변경",수량산출서!$B$4:$B$253,$B182))</f>
        <v/>
      </c>
      <c r="M182" s="35" t="n"/>
      <c r="N182" s="19">
        <f>IF($B182="","",IF($M182&lt;&gt;"",$M182,N($L182)))</f>
        <v/>
      </c>
      <c r="O182" s="20">
        <f>IF($B182="","",IFERROR(VLOOKUP($B182,단가마스터!$A$4:$H$303,5,FALSE),IFERROR(VLOOKUP($B182,일위대가!$N$4:$T$63,4,FALSE),0)))</f>
        <v/>
      </c>
      <c r="P182" s="20">
        <f>IF($B182="","",IFERROR(VLOOKUP($B182,단가마스터!$A$4:$H$303,6,FALSE),IFERROR(VLOOKUP($B182,일위대가!$N$4:$T$63,5,FALSE),0)))</f>
        <v/>
      </c>
      <c r="Q182" s="20">
        <f>IF($B182="","",IFERROR(VLOOKUP($B182,단가마스터!$A$4:$H$303,7,FALSE),IFERROR(VLOOKUP($B182,일위대가!$N$4:$T$63,6,FALSE),0)))</f>
        <v/>
      </c>
      <c r="R182" s="20">
        <f>IF($B182="","",N($O182)+N($P182)+N($Q182))</f>
        <v/>
      </c>
      <c r="S182" s="20">
        <f>IF($B182="","",ROUND(N($N182)*N($R182),0))</f>
        <v/>
      </c>
      <c r="T182" s="19">
        <f>IF($B182="","",N($N182)-N($F182))</f>
        <v/>
      </c>
      <c r="U182" s="20">
        <f>IF($B182="","",N($S182)-N($K182))</f>
        <v/>
      </c>
      <c r="V182" s="30" t="n"/>
    </row>
    <row r="183">
      <c r="A183" s="30" t="n"/>
      <c r="B183" s="30" t="n"/>
      <c r="C183" s="18">
        <f>IF($B183="","",IFERROR(VLOOKUP($B183,단가마스터!$A$4:$H$303,2,FALSE),IFERROR(VLOOKUP($B183,일위대가!$N$4:$T$63,2,FALSE),"⚠️단가 없음")))</f>
        <v/>
      </c>
      <c r="D183" s="18">
        <f>IF($B183="","",IFERROR(VLOOKUP($B183,단가마스터!$A$4:$H$303,3,FALSE),""))</f>
        <v/>
      </c>
      <c r="E183" s="18">
        <f>IF($B183="","",IFERROR(VLOOKUP($B183,단가마스터!$A$4:$H$303,4,FALSE),IFERROR(VLOOKUP($B183,일위대가!$N$4:$T$63,3,FALSE),"")))</f>
        <v/>
      </c>
      <c r="F183" s="35" t="n"/>
      <c r="G183" s="23" t="n"/>
      <c r="H183" s="23" t="n"/>
      <c r="I183" s="23" t="n"/>
      <c r="J183" s="20">
        <f>IF($B183="","",N($G183)+N($H183)+N($I183))</f>
        <v/>
      </c>
      <c r="K183" s="20">
        <f>IF($B183="","",ROUND(N($F183)*N($J183),0))</f>
        <v/>
      </c>
      <c r="L183" s="19">
        <f>IF($B183="","",SUMIFS(수량산출서!$H$4:$H$253,수량산출서!$A$4:$A$253,"변경",수량산출서!$B$4:$B$253,$B183))</f>
        <v/>
      </c>
      <c r="M183" s="35" t="n"/>
      <c r="N183" s="19">
        <f>IF($B183="","",IF($M183&lt;&gt;"",$M183,N($L183)))</f>
        <v/>
      </c>
      <c r="O183" s="20">
        <f>IF($B183="","",IFERROR(VLOOKUP($B183,단가마스터!$A$4:$H$303,5,FALSE),IFERROR(VLOOKUP($B183,일위대가!$N$4:$T$63,4,FALSE),0)))</f>
        <v/>
      </c>
      <c r="P183" s="20">
        <f>IF($B183="","",IFERROR(VLOOKUP($B183,단가마스터!$A$4:$H$303,6,FALSE),IFERROR(VLOOKUP($B183,일위대가!$N$4:$T$63,5,FALSE),0)))</f>
        <v/>
      </c>
      <c r="Q183" s="20">
        <f>IF($B183="","",IFERROR(VLOOKUP($B183,단가마스터!$A$4:$H$303,7,FALSE),IFERROR(VLOOKUP($B183,일위대가!$N$4:$T$63,6,FALSE),0)))</f>
        <v/>
      </c>
      <c r="R183" s="20">
        <f>IF($B183="","",N($O183)+N($P183)+N($Q183))</f>
        <v/>
      </c>
      <c r="S183" s="20">
        <f>IF($B183="","",ROUND(N($N183)*N($R183),0))</f>
        <v/>
      </c>
      <c r="T183" s="19">
        <f>IF($B183="","",N($N183)-N($F183))</f>
        <v/>
      </c>
      <c r="U183" s="20">
        <f>IF($B183="","",N($S183)-N($K183))</f>
        <v/>
      </c>
      <c r="V183" s="30" t="n"/>
    </row>
    <row r="184">
      <c r="A184" s="30" t="n"/>
      <c r="B184" s="30" t="n"/>
      <c r="C184" s="18">
        <f>IF($B184="","",IFERROR(VLOOKUP($B184,단가마스터!$A$4:$H$303,2,FALSE),IFERROR(VLOOKUP($B184,일위대가!$N$4:$T$63,2,FALSE),"⚠️단가 없음")))</f>
        <v/>
      </c>
      <c r="D184" s="18">
        <f>IF($B184="","",IFERROR(VLOOKUP($B184,단가마스터!$A$4:$H$303,3,FALSE),""))</f>
        <v/>
      </c>
      <c r="E184" s="18">
        <f>IF($B184="","",IFERROR(VLOOKUP($B184,단가마스터!$A$4:$H$303,4,FALSE),IFERROR(VLOOKUP($B184,일위대가!$N$4:$T$63,3,FALSE),"")))</f>
        <v/>
      </c>
      <c r="F184" s="35" t="n"/>
      <c r="G184" s="23" t="n"/>
      <c r="H184" s="23" t="n"/>
      <c r="I184" s="23" t="n"/>
      <c r="J184" s="20">
        <f>IF($B184="","",N($G184)+N($H184)+N($I184))</f>
        <v/>
      </c>
      <c r="K184" s="20">
        <f>IF($B184="","",ROUND(N($F184)*N($J184),0))</f>
        <v/>
      </c>
      <c r="L184" s="19">
        <f>IF($B184="","",SUMIFS(수량산출서!$H$4:$H$253,수량산출서!$A$4:$A$253,"변경",수량산출서!$B$4:$B$253,$B184))</f>
        <v/>
      </c>
      <c r="M184" s="35" t="n"/>
      <c r="N184" s="19">
        <f>IF($B184="","",IF($M184&lt;&gt;"",$M184,N($L184)))</f>
        <v/>
      </c>
      <c r="O184" s="20">
        <f>IF($B184="","",IFERROR(VLOOKUP($B184,단가마스터!$A$4:$H$303,5,FALSE),IFERROR(VLOOKUP($B184,일위대가!$N$4:$T$63,4,FALSE),0)))</f>
        <v/>
      </c>
      <c r="P184" s="20">
        <f>IF($B184="","",IFERROR(VLOOKUP($B184,단가마스터!$A$4:$H$303,6,FALSE),IFERROR(VLOOKUP($B184,일위대가!$N$4:$T$63,5,FALSE),0)))</f>
        <v/>
      </c>
      <c r="Q184" s="20">
        <f>IF($B184="","",IFERROR(VLOOKUP($B184,단가마스터!$A$4:$H$303,7,FALSE),IFERROR(VLOOKUP($B184,일위대가!$N$4:$T$63,6,FALSE),0)))</f>
        <v/>
      </c>
      <c r="R184" s="20">
        <f>IF($B184="","",N($O184)+N($P184)+N($Q184))</f>
        <v/>
      </c>
      <c r="S184" s="20">
        <f>IF($B184="","",ROUND(N($N184)*N($R184),0))</f>
        <v/>
      </c>
      <c r="T184" s="19">
        <f>IF($B184="","",N($N184)-N($F184))</f>
        <v/>
      </c>
      <c r="U184" s="20">
        <f>IF($B184="","",N($S184)-N($K184))</f>
        <v/>
      </c>
      <c r="V184" s="30" t="n"/>
    </row>
    <row r="185">
      <c r="A185" s="30" t="n"/>
      <c r="B185" s="30" t="n"/>
      <c r="C185" s="18">
        <f>IF($B185="","",IFERROR(VLOOKUP($B185,단가마스터!$A$4:$H$303,2,FALSE),IFERROR(VLOOKUP($B185,일위대가!$N$4:$T$63,2,FALSE),"⚠️단가 없음")))</f>
        <v/>
      </c>
      <c r="D185" s="18">
        <f>IF($B185="","",IFERROR(VLOOKUP($B185,단가마스터!$A$4:$H$303,3,FALSE),""))</f>
        <v/>
      </c>
      <c r="E185" s="18">
        <f>IF($B185="","",IFERROR(VLOOKUP($B185,단가마스터!$A$4:$H$303,4,FALSE),IFERROR(VLOOKUP($B185,일위대가!$N$4:$T$63,3,FALSE),"")))</f>
        <v/>
      </c>
      <c r="F185" s="35" t="n"/>
      <c r="G185" s="23" t="n"/>
      <c r="H185" s="23" t="n"/>
      <c r="I185" s="23" t="n"/>
      <c r="J185" s="20">
        <f>IF($B185="","",N($G185)+N($H185)+N($I185))</f>
        <v/>
      </c>
      <c r="K185" s="20">
        <f>IF($B185="","",ROUND(N($F185)*N($J185),0))</f>
        <v/>
      </c>
      <c r="L185" s="19">
        <f>IF($B185="","",SUMIFS(수량산출서!$H$4:$H$253,수량산출서!$A$4:$A$253,"변경",수량산출서!$B$4:$B$253,$B185))</f>
        <v/>
      </c>
      <c r="M185" s="35" t="n"/>
      <c r="N185" s="19">
        <f>IF($B185="","",IF($M185&lt;&gt;"",$M185,N($L185)))</f>
        <v/>
      </c>
      <c r="O185" s="20">
        <f>IF($B185="","",IFERROR(VLOOKUP($B185,단가마스터!$A$4:$H$303,5,FALSE),IFERROR(VLOOKUP($B185,일위대가!$N$4:$T$63,4,FALSE),0)))</f>
        <v/>
      </c>
      <c r="P185" s="20">
        <f>IF($B185="","",IFERROR(VLOOKUP($B185,단가마스터!$A$4:$H$303,6,FALSE),IFERROR(VLOOKUP($B185,일위대가!$N$4:$T$63,5,FALSE),0)))</f>
        <v/>
      </c>
      <c r="Q185" s="20">
        <f>IF($B185="","",IFERROR(VLOOKUP($B185,단가마스터!$A$4:$H$303,7,FALSE),IFERROR(VLOOKUP($B185,일위대가!$N$4:$T$63,6,FALSE),0)))</f>
        <v/>
      </c>
      <c r="R185" s="20">
        <f>IF($B185="","",N($O185)+N($P185)+N($Q185))</f>
        <v/>
      </c>
      <c r="S185" s="20">
        <f>IF($B185="","",ROUND(N($N185)*N($R185),0))</f>
        <v/>
      </c>
      <c r="T185" s="19">
        <f>IF($B185="","",N($N185)-N($F185))</f>
        <v/>
      </c>
      <c r="U185" s="20">
        <f>IF($B185="","",N($S185)-N($K185))</f>
        <v/>
      </c>
      <c r="V185" s="30" t="n"/>
    </row>
    <row r="186">
      <c r="A186" s="30" t="n"/>
      <c r="B186" s="30" t="n"/>
      <c r="C186" s="18">
        <f>IF($B186="","",IFERROR(VLOOKUP($B186,단가마스터!$A$4:$H$303,2,FALSE),IFERROR(VLOOKUP($B186,일위대가!$N$4:$T$63,2,FALSE),"⚠️단가 없음")))</f>
        <v/>
      </c>
      <c r="D186" s="18">
        <f>IF($B186="","",IFERROR(VLOOKUP($B186,단가마스터!$A$4:$H$303,3,FALSE),""))</f>
        <v/>
      </c>
      <c r="E186" s="18">
        <f>IF($B186="","",IFERROR(VLOOKUP($B186,단가마스터!$A$4:$H$303,4,FALSE),IFERROR(VLOOKUP($B186,일위대가!$N$4:$T$63,3,FALSE),"")))</f>
        <v/>
      </c>
      <c r="F186" s="35" t="n"/>
      <c r="G186" s="23" t="n"/>
      <c r="H186" s="23" t="n"/>
      <c r="I186" s="23" t="n"/>
      <c r="J186" s="20">
        <f>IF($B186="","",N($G186)+N($H186)+N($I186))</f>
        <v/>
      </c>
      <c r="K186" s="20">
        <f>IF($B186="","",ROUND(N($F186)*N($J186),0))</f>
        <v/>
      </c>
      <c r="L186" s="19">
        <f>IF($B186="","",SUMIFS(수량산출서!$H$4:$H$253,수량산출서!$A$4:$A$253,"변경",수량산출서!$B$4:$B$253,$B186))</f>
        <v/>
      </c>
      <c r="M186" s="35" t="n"/>
      <c r="N186" s="19">
        <f>IF($B186="","",IF($M186&lt;&gt;"",$M186,N($L186)))</f>
        <v/>
      </c>
      <c r="O186" s="20">
        <f>IF($B186="","",IFERROR(VLOOKUP($B186,단가마스터!$A$4:$H$303,5,FALSE),IFERROR(VLOOKUP($B186,일위대가!$N$4:$T$63,4,FALSE),0)))</f>
        <v/>
      </c>
      <c r="P186" s="20">
        <f>IF($B186="","",IFERROR(VLOOKUP($B186,단가마스터!$A$4:$H$303,6,FALSE),IFERROR(VLOOKUP($B186,일위대가!$N$4:$T$63,5,FALSE),0)))</f>
        <v/>
      </c>
      <c r="Q186" s="20">
        <f>IF($B186="","",IFERROR(VLOOKUP($B186,단가마스터!$A$4:$H$303,7,FALSE),IFERROR(VLOOKUP($B186,일위대가!$N$4:$T$63,6,FALSE),0)))</f>
        <v/>
      </c>
      <c r="R186" s="20">
        <f>IF($B186="","",N($O186)+N($P186)+N($Q186))</f>
        <v/>
      </c>
      <c r="S186" s="20">
        <f>IF($B186="","",ROUND(N($N186)*N($R186),0))</f>
        <v/>
      </c>
      <c r="T186" s="19">
        <f>IF($B186="","",N($N186)-N($F186))</f>
        <v/>
      </c>
      <c r="U186" s="20">
        <f>IF($B186="","",N($S186)-N($K186))</f>
        <v/>
      </c>
      <c r="V186" s="30" t="n"/>
    </row>
    <row r="187">
      <c r="A187" s="30" t="n"/>
      <c r="B187" s="30" t="n"/>
      <c r="C187" s="18">
        <f>IF($B187="","",IFERROR(VLOOKUP($B187,단가마스터!$A$4:$H$303,2,FALSE),IFERROR(VLOOKUP($B187,일위대가!$N$4:$T$63,2,FALSE),"⚠️단가 없음")))</f>
        <v/>
      </c>
      <c r="D187" s="18">
        <f>IF($B187="","",IFERROR(VLOOKUP($B187,단가마스터!$A$4:$H$303,3,FALSE),""))</f>
        <v/>
      </c>
      <c r="E187" s="18">
        <f>IF($B187="","",IFERROR(VLOOKUP($B187,단가마스터!$A$4:$H$303,4,FALSE),IFERROR(VLOOKUP($B187,일위대가!$N$4:$T$63,3,FALSE),"")))</f>
        <v/>
      </c>
      <c r="F187" s="35" t="n"/>
      <c r="G187" s="23" t="n"/>
      <c r="H187" s="23" t="n"/>
      <c r="I187" s="23" t="n"/>
      <c r="J187" s="20">
        <f>IF($B187="","",N($G187)+N($H187)+N($I187))</f>
        <v/>
      </c>
      <c r="K187" s="20">
        <f>IF($B187="","",ROUND(N($F187)*N($J187),0))</f>
        <v/>
      </c>
      <c r="L187" s="19">
        <f>IF($B187="","",SUMIFS(수량산출서!$H$4:$H$253,수량산출서!$A$4:$A$253,"변경",수량산출서!$B$4:$B$253,$B187))</f>
        <v/>
      </c>
      <c r="M187" s="35" t="n"/>
      <c r="N187" s="19">
        <f>IF($B187="","",IF($M187&lt;&gt;"",$M187,N($L187)))</f>
        <v/>
      </c>
      <c r="O187" s="20">
        <f>IF($B187="","",IFERROR(VLOOKUP($B187,단가마스터!$A$4:$H$303,5,FALSE),IFERROR(VLOOKUP($B187,일위대가!$N$4:$T$63,4,FALSE),0)))</f>
        <v/>
      </c>
      <c r="P187" s="20">
        <f>IF($B187="","",IFERROR(VLOOKUP($B187,단가마스터!$A$4:$H$303,6,FALSE),IFERROR(VLOOKUP($B187,일위대가!$N$4:$T$63,5,FALSE),0)))</f>
        <v/>
      </c>
      <c r="Q187" s="20">
        <f>IF($B187="","",IFERROR(VLOOKUP($B187,단가마스터!$A$4:$H$303,7,FALSE),IFERROR(VLOOKUP($B187,일위대가!$N$4:$T$63,6,FALSE),0)))</f>
        <v/>
      </c>
      <c r="R187" s="20">
        <f>IF($B187="","",N($O187)+N($P187)+N($Q187))</f>
        <v/>
      </c>
      <c r="S187" s="20">
        <f>IF($B187="","",ROUND(N($N187)*N($R187),0))</f>
        <v/>
      </c>
      <c r="T187" s="19">
        <f>IF($B187="","",N($N187)-N($F187))</f>
        <v/>
      </c>
      <c r="U187" s="20">
        <f>IF($B187="","",N($S187)-N($K187))</f>
        <v/>
      </c>
      <c r="V187" s="30" t="n"/>
    </row>
    <row r="188">
      <c r="A188" s="30" t="n"/>
      <c r="B188" s="30" t="n"/>
      <c r="C188" s="18">
        <f>IF($B188="","",IFERROR(VLOOKUP($B188,단가마스터!$A$4:$H$303,2,FALSE),IFERROR(VLOOKUP($B188,일위대가!$N$4:$T$63,2,FALSE),"⚠️단가 없음")))</f>
        <v/>
      </c>
      <c r="D188" s="18">
        <f>IF($B188="","",IFERROR(VLOOKUP($B188,단가마스터!$A$4:$H$303,3,FALSE),""))</f>
        <v/>
      </c>
      <c r="E188" s="18">
        <f>IF($B188="","",IFERROR(VLOOKUP($B188,단가마스터!$A$4:$H$303,4,FALSE),IFERROR(VLOOKUP($B188,일위대가!$N$4:$T$63,3,FALSE),"")))</f>
        <v/>
      </c>
      <c r="F188" s="35" t="n"/>
      <c r="G188" s="23" t="n"/>
      <c r="H188" s="23" t="n"/>
      <c r="I188" s="23" t="n"/>
      <c r="J188" s="20">
        <f>IF($B188="","",N($G188)+N($H188)+N($I188))</f>
        <v/>
      </c>
      <c r="K188" s="20">
        <f>IF($B188="","",ROUND(N($F188)*N($J188),0))</f>
        <v/>
      </c>
      <c r="L188" s="19">
        <f>IF($B188="","",SUMIFS(수량산출서!$H$4:$H$253,수량산출서!$A$4:$A$253,"변경",수량산출서!$B$4:$B$253,$B188))</f>
        <v/>
      </c>
      <c r="M188" s="35" t="n"/>
      <c r="N188" s="19">
        <f>IF($B188="","",IF($M188&lt;&gt;"",$M188,N($L188)))</f>
        <v/>
      </c>
      <c r="O188" s="20">
        <f>IF($B188="","",IFERROR(VLOOKUP($B188,단가마스터!$A$4:$H$303,5,FALSE),IFERROR(VLOOKUP($B188,일위대가!$N$4:$T$63,4,FALSE),0)))</f>
        <v/>
      </c>
      <c r="P188" s="20">
        <f>IF($B188="","",IFERROR(VLOOKUP($B188,단가마스터!$A$4:$H$303,6,FALSE),IFERROR(VLOOKUP($B188,일위대가!$N$4:$T$63,5,FALSE),0)))</f>
        <v/>
      </c>
      <c r="Q188" s="20">
        <f>IF($B188="","",IFERROR(VLOOKUP($B188,단가마스터!$A$4:$H$303,7,FALSE),IFERROR(VLOOKUP($B188,일위대가!$N$4:$T$63,6,FALSE),0)))</f>
        <v/>
      </c>
      <c r="R188" s="20">
        <f>IF($B188="","",N($O188)+N($P188)+N($Q188))</f>
        <v/>
      </c>
      <c r="S188" s="20">
        <f>IF($B188="","",ROUND(N($N188)*N($R188),0))</f>
        <v/>
      </c>
      <c r="T188" s="19">
        <f>IF($B188="","",N($N188)-N($F188))</f>
        <v/>
      </c>
      <c r="U188" s="20">
        <f>IF($B188="","",N($S188)-N($K188))</f>
        <v/>
      </c>
      <c r="V188" s="30" t="n"/>
    </row>
    <row r="189">
      <c r="A189" s="30" t="n"/>
      <c r="B189" s="30" t="n"/>
      <c r="C189" s="18">
        <f>IF($B189="","",IFERROR(VLOOKUP($B189,단가마스터!$A$4:$H$303,2,FALSE),IFERROR(VLOOKUP($B189,일위대가!$N$4:$T$63,2,FALSE),"⚠️단가 없음")))</f>
        <v/>
      </c>
      <c r="D189" s="18">
        <f>IF($B189="","",IFERROR(VLOOKUP($B189,단가마스터!$A$4:$H$303,3,FALSE),""))</f>
        <v/>
      </c>
      <c r="E189" s="18">
        <f>IF($B189="","",IFERROR(VLOOKUP($B189,단가마스터!$A$4:$H$303,4,FALSE),IFERROR(VLOOKUP($B189,일위대가!$N$4:$T$63,3,FALSE),"")))</f>
        <v/>
      </c>
      <c r="F189" s="35" t="n"/>
      <c r="G189" s="23" t="n"/>
      <c r="H189" s="23" t="n"/>
      <c r="I189" s="23" t="n"/>
      <c r="J189" s="20">
        <f>IF($B189="","",N($G189)+N($H189)+N($I189))</f>
        <v/>
      </c>
      <c r="K189" s="20">
        <f>IF($B189="","",ROUND(N($F189)*N($J189),0))</f>
        <v/>
      </c>
      <c r="L189" s="19">
        <f>IF($B189="","",SUMIFS(수량산출서!$H$4:$H$253,수량산출서!$A$4:$A$253,"변경",수량산출서!$B$4:$B$253,$B189))</f>
        <v/>
      </c>
      <c r="M189" s="35" t="n"/>
      <c r="N189" s="19">
        <f>IF($B189="","",IF($M189&lt;&gt;"",$M189,N($L189)))</f>
        <v/>
      </c>
      <c r="O189" s="20">
        <f>IF($B189="","",IFERROR(VLOOKUP($B189,단가마스터!$A$4:$H$303,5,FALSE),IFERROR(VLOOKUP($B189,일위대가!$N$4:$T$63,4,FALSE),0)))</f>
        <v/>
      </c>
      <c r="P189" s="20">
        <f>IF($B189="","",IFERROR(VLOOKUP($B189,단가마스터!$A$4:$H$303,6,FALSE),IFERROR(VLOOKUP($B189,일위대가!$N$4:$T$63,5,FALSE),0)))</f>
        <v/>
      </c>
      <c r="Q189" s="20">
        <f>IF($B189="","",IFERROR(VLOOKUP($B189,단가마스터!$A$4:$H$303,7,FALSE),IFERROR(VLOOKUP($B189,일위대가!$N$4:$T$63,6,FALSE),0)))</f>
        <v/>
      </c>
      <c r="R189" s="20">
        <f>IF($B189="","",N($O189)+N($P189)+N($Q189))</f>
        <v/>
      </c>
      <c r="S189" s="20">
        <f>IF($B189="","",ROUND(N($N189)*N($R189),0))</f>
        <v/>
      </c>
      <c r="T189" s="19">
        <f>IF($B189="","",N($N189)-N($F189))</f>
        <v/>
      </c>
      <c r="U189" s="20">
        <f>IF($B189="","",N($S189)-N($K189))</f>
        <v/>
      </c>
      <c r="V189" s="30" t="n"/>
    </row>
    <row r="190">
      <c r="A190" s="30" t="n"/>
      <c r="B190" s="30" t="n"/>
      <c r="C190" s="18">
        <f>IF($B190="","",IFERROR(VLOOKUP($B190,단가마스터!$A$4:$H$303,2,FALSE),IFERROR(VLOOKUP($B190,일위대가!$N$4:$T$63,2,FALSE),"⚠️단가 없음")))</f>
        <v/>
      </c>
      <c r="D190" s="18">
        <f>IF($B190="","",IFERROR(VLOOKUP($B190,단가마스터!$A$4:$H$303,3,FALSE),""))</f>
        <v/>
      </c>
      <c r="E190" s="18">
        <f>IF($B190="","",IFERROR(VLOOKUP($B190,단가마스터!$A$4:$H$303,4,FALSE),IFERROR(VLOOKUP($B190,일위대가!$N$4:$T$63,3,FALSE),"")))</f>
        <v/>
      </c>
      <c r="F190" s="35" t="n"/>
      <c r="G190" s="23" t="n"/>
      <c r="H190" s="23" t="n"/>
      <c r="I190" s="23" t="n"/>
      <c r="J190" s="20">
        <f>IF($B190="","",N($G190)+N($H190)+N($I190))</f>
        <v/>
      </c>
      <c r="K190" s="20">
        <f>IF($B190="","",ROUND(N($F190)*N($J190),0))</f>
        <v/>
      </c>
      <c r="L190" s="19">
        <f>IF($B190="","",SUMIFS(수량산출서!$H$4:$H$253,수량산출서!$A$4:$A$253,"변경",수량산출서!$B$4:$B$253,$B190))</f>
        <v/>
      </c>
      <c r="M190" s="35" t="n"/>
      <c r="N190" s="19">
        <f>IF($B190="","",IF($M190&lt;&gt;"",$M190,N($L190)))</f>
        <v/>
      </c>
      <c r="O190" s="20">
        <f>IF($B190="","",IFERROR(VLOOKUP($B190,단가마스터!$A$4:$H$303,5,FALSE),IFERROR(VLOOKUP($B190,일위대가!$N$4:$T$63,4,FALSE),0)))</f>
        <v/>
      </c>
      <c r="P190" s="20">
        <f>IF($B190="","",IFERROR(VLOOKUP($B190,단가마스터!$A$4:$H$303,6,FALSE),IFERROR(VLOOKUP($B190,일위대가!$N$4:$T$63,5,FALSE),0)))</f>
        <v/>
      </c>
      <c r="Q190" s="20">
        <f>IF($B190="","",IFERROR(VLOOKUP($B190,단가마스터!$A$4:$H$303,7,FALSE),IFERROR(VLOOKUP($B190,일위대가!$N$4:$T$63,6,FALSE),0)))</f>
        <v/>
      </c>
      <c r="R190" s="20">
        <f>IF($B190="","",N($O190)+N($P190)+N($Q190))</f>
        <v/>
      </c>
      <c r="S190" s="20">
        <f>IF($B190="","",ROUND(N($N190)*N($R190),0))</f>
        <v/>
      </c>
      <c r="T190" s="19">
        <f>IF($B190="","",N($N190)-N($F190))</f>
        <v/>
      </c>
      <c r="U190" s="20">
        <f>IF($B190="","",N($S190)-N($K190))</f>
        <v/>
      </c>
      <c r="V190" s="30" t="n"/>
    </row>
    <row r="191">
      <c r="A191" s="30" t="n"/>
      <c r="B191" s="30" t="n"/>
      <c r="C191" s="18">
        <f>IF($B191="","",IFERROR(VLOOKUP($B191,단가마스터!$A$4:$H$303,2,FALSE),IFERROR(VLOOKUP($B191,일위대가!$N$4:$T$63,2,FALSE),"⚠️단가 없음")))</f>
        <v/>
      </c>
      <c r="D191" s="18">
        <f>IF($B191="","",IFERROR(VLOOKUP($B191,단가마스터!$A$4:$H$303,3,FALSE),""))</f>
        <v/>
      </c>
      <c r="E191" s="18">
        <f>IF($B191="","",IFERROR(VLOOKUP($B191,단가마스터!$A$4:$H$303,4,FALSE),IFERROR(VLOOKUP($B191,일위대가!$N$4:$T$63,3,FALSE),"")))</f>
        <v/>
      </c>
      <c r="F191" s="35" t="n"/>
      <c r="G191" s="23" t="n"/>
      <c r="H191" s="23" t="n"/>
      <c r="I191" s="23" t="n"/>
      <c r="J191" s="20">
        <f>IF($B191="","",N($G191)+N($H191)+N($I191))</f>
        <v/>
      </c>
      <c r="K191" s="20">
        <f>IF($B191="","",ROUND(N($F191)*N($J191),0))</f>
        <v/>
      </c>
      <c r="L191" s="19">
        <f>IF($B191="","",SUMIFS(수량산출서!$H$4:$H$253,수량산출서!$A$4:$A$253,"변경",수량산출서!$B$4:$B$253,$B191))</f>
        <v/>
      </c>
      <c r="M191" s="35" t="n"/>
      <c r="N191" s="19">
        <f>IF($B191="","",IF($M191&lt;&gt;"",$M191,N($L191)))</f>
        <v/>
      </c>
      <c r="O191" s="20">
        <f>IF($B191="","",IFERROR(VLOOKUP($B191,단가마스터!$A$4:$H$303,5,FALSE),IFERROR(VLOOKUP($B191,일위대가!$N$4:$T$63,4,FALSE),0)))</f>
        <v/>
      </c>
      <c r="P191" s="20">
        <f>IF($B191="","",IFERROR(VLOOKUP($B191,단가마스터!$A$4:$H$303,6,FALSE),IFERROR(VLOOKUP($B191,일위대가!$N$4:$T$63,5,FALSE),0)))</f>
        <v/>
      </c>
      <c r="Q191" s="20">
        <f>IF($B191="","",IFERROR(VLOOKUP($B191,단가마스터!$A$4:$H$303,7,FALSE),IFERROR(VLOOKUP($B191,일위대가!$N$4:$T$63,6,FALSE),0)))</f>
        <v/>
      </c>
      <c r="R191" s="20">
        <f>IF($B191="","",N($O191)+N($P191)+N($Q191))</f>
        <v/>
      </c>
      <c r="S191" s="20">
        <f>IF($B191="","",ROUND(N($N191)*N($R191),0))</f>
        <v/>
      </c>
      <c r="T191" s="19">
        <f>IF($B191="","",N($N191)-N($F191))</f>
        <v/>
      </c>
      <c r="U191" s="20">
        <f>IF($B191="","",N($S191)-N($K191))</f>
        <v/>
      </c>
      <c r="V191" s="30" t="n"/>
    </row>
    <row r="192">
      <c r="A192" s="30" t="n"/>
      <c r="B192" s="30" t="n"/>
      <c r="C192" s="18">
        <f>IF($B192="","",IFERROR(VLOOKUP($B192,단가마스터!$A$4:$H$303,2,FALSE),IFERROR(VLOOKUP($B192,일위대가!$N$4:$T$63,2,FALSE),"⚠️단가 없음")))</f>
        <v/>
      </c>
      <c r="D192" s="18">
        <f>IF($B192="","",IFERROR(VLOOKUP($B192,단가마스터!$A$4:$H$303,3,FALSE),""))</f>
        <v/>
      </c>
      <c r="E192" s="18">
        <f>IF($B192="","",IFERROR(VLOOKUP($B192,단가마스터!$A$4:$H$303,4,FALSE),IFERROR(VLOOKUP($B192,일위대가!$N$4:$T$63,3,FALSE),"")))</f>
        <v/>
      </c>
      <c r="F192" s="35" t="n"/>
      <c r="G192" s="23" t="n"/>
      <c r="H192" s="23" t="n"/>
      <c r="I192" s="23" t="n"/>
      <c r="J192" s="20">
        <f>IF($B192="","",N($G192)+N($H192)+N($I192))</f>
        <v/>
      </c>
      <c r="K192" s="20">
        <f>IF($B192="","",ROUND(N($F192)*N($J192),0))</f>
        <v/>
      </c>
      <c r="L192" s="19">
        <f>IF($B192="","",SUMIFS(수량산출서!$H$4:$H$253,수량산출서!$A$4:$A$253,"변경",수량산출서!$B$4:$B$253,$B192))</f>
        <v/>
      </c>
      <c r="M192" s="35" t="n"/>
      <c r="N192" s="19">
        <f>IF($B192="","",IF($M192&lt;&gt;"",$M192,N($L192)))</f>
        <v/>
      </c>
      <c r="O192" s="20">
        <f>IF($B192="","",IFERROR(VLOOKUP($B192,단가마스터!$A$4:$H$303,5,FALSE),IFERROR(VLOOKUP($B192,일위대가!$N$4:$T$63,4,FALSE),0)))</f>
        <v/>
      </c>
      <c r="P192" s="20">
        <f>IF($B192="","",IFERROR(VLOOKUP($B192,단가마스터!$A$4:$H$303,6,FALSE),IFERROR(VLOOKUP($B192,일위대가!$N$4:$T$63,5,FALSE),0)))</f>
        <v/>
      </c>
      <c r="Q192" s="20">
        <f>IF($B192="","",IFERROR(VLOOKUP($B192,단가마스터!$A$4:$H$303,7,FALSE),IFERROR(VLOOKUP($B192,일위대가!$N$4:$T$63,6,FALSE),0)))</f>
        <v/>
      </c>
      <c r="R192" s="20">
        <f>IF($B192="","",N($O192)+N($P192)+N($Q192))</f>
        <v/>
      </c>
      <c r="S192" s="20">
        <f>IF($B192="","",ROUND(N($N192)*N($R192),0))</f>
        <v/>
      </c>
      <c r="T192" s="19">
        <f>IF($B192="","",N($N192)-N($F192))</f>
        <v/>
      </c>
      <c r="U192" s="20">
        <f>IF($B192="","",N($S192)-N($K192))</f>
        <v/>
      </c>
      <c r="V192" s="30" t="n"/>
    </row>
    <row r="193">
      <c r="A193" s="30" t="n"/>
      <c r="B193" s="30" t="n"/>
      <c r="C193" s="18">
        <f>IF($B193="","",IFERROR(VLOOKUP($B193,단가마스터!$A$4:$H$303,2,FALSE),IFERROR(VLOOKUP($B193,일위대가!$N$4:$T$63,2,FALSE),"⚠️단가 없음")))</f>
        <v/>
      </c>
      <c r="D193" s="18">
        <f>IF($B193="","",IFERROR(VLOOKUP($B193,단가마스터!$A$4:$H$303,3,FALSE),""))</f>
        <v/>
      </c>
      <c r="E193" s="18">
        <f>IF($B193="","",IFERROR(VLOOKUP($B193,단가마스터!$A$4:$H$303,4,FALSE),IFERROR(VLOOKUP($B193,일위대가!$N$4:$T$63,3,FALSE),"")))</f>
        <v/>
      </c>
      <c r="F193" s="35" t="n"/>
      <c r="G193" s="23" t="n"/>
      <c r="H193" s="23" t="n"/>
      <c r="I193" s="23" t="n"/>
      <c r="J193" s="20">
        <f>IF($B193="","",N($G193)+N($H193)+N($I193))</f>
        <v/>
      </c>
      <c r="K193" s="20">
        <f>IF($B193="","",ROUND(N($F193)*N($J193),0))</f>
        <v/>
      </c>
      <c r="L193" s="19">
        <f>IF($B193="","",SUMIFS(수량산출서!$H$4:$H$253,수량산출서!$A$4:$A$253,"변경",수량산출서!$B$4:$B$253,$B193))</f>
        <v/>
      </c>
      <c r="M193" s="35" t="n"/>
      <c r="N193" s="19">
        <f>IF($B193="","",IF($M193&lt;&gt;"",$M193,N($L193)))</f>
        <v/>
      </c>
      <c r="O193" s="20">
        <f>IF($B193="","",IFERROR(VLOOKUP($B193,단가마스터!$A$4:$H$303,5,FALSE),IFERROR(VLOOKUP($B193,일위대가!$N$4:$T$63,4,FALSE),0)))</f>
        <v/>
      </c>
      <c r="P193" s="20">
        <f>IF($B193="","",IFERROR(VLOOKUP($B193,단가마스터!$A$4:$H$303,6,FALSE),IFERROR(VLOOKUP($B193,일위대가!$N$4:$T$63,5,FALSE),0)))</f>
        <v/>
      </c>
      <c r="Q193" s="20">
        <f>IF($B193="","",IFERROR(VLOOKUP($B193,단가마스터!$A$4:$H$303,7,FALSE),IFERROR(VLOOKUP($B193,일위대가!$N$4:$T$63,6,FALSE),0)))</f>
        <v/>
      </c>
      <c r="R193" s="20">
        <f>IF($B193="","",N($O193)+N($P193)+N($Q193))</f>
        <v/>
      </c>
      <c r="S193" s="20">
        <f>IF($B193="","",ROUND(N($N193)*N($R193),0))</f>
        <v/>
      </c>
      <c r="T193" s="19">
        <f>IF($B193="","",N($N193)-N($F193))</f>
        <v/>
      </c>
      <c r="U193" s="20">
        <f>IF($B193="","",N($S193)-N($K193))</f>
        <v/>
      </c>
      <c r="V193" s="30" t="n"/>
    </row>
    <row r="194">
      <c r="A194" s="30" t="n"/>
      <c r="B194" s="30" t="n"/>
      <c r="C194" s="18">
        <f>IF($B194="","",IFERROR(VLOOKUP($B194,단가마스터!$A$4:$H$303,2,FALSE),IFERROR(VLOOKUP($B194,일위대가!$N$4:$T$63,2,FALSE),"⚠️단가 없음")))</f>
        <v/>
      </c>
      <c r="D194" s="18">
        <f>IF($B194="","",IFERROR(VLOOKUP($B194,단가마스터!$A$4:$H$303,3,FALSE),""))</f>
        <v/>
      </c>
      <c r="E194" s="18">
        <f>IF($B194="","",IFERROR(VLOOKUP($B194,단가마스터!$A$4:$H$303,4,FALSE),IFERROR(VLOOKUP($B194,일위대가!$N$4:$T$63,3,FALSE),"")))</f>
        <v/>
      </c>
      <c r="F194" s="35" t="n"/>
      <c r="G194" s="23" t="n"/>
      <c r="H194" s="23" t="n"/>
      <c r="I194" s="23" t="n"/>
      <c r="J194" s="20">
        <f>IF($B194="","",N($G194)+N($H194)+N($I194))</f>
        <v/>
      </c>
      <c r="K194" s="20">
        <f>IF($B194="","",ROUND(N($F194)*N($J194),0))</f>
        <v/>
      </c>
      <c r="L194" s="19">
        <f>IF($B194="","",SUMIFS(수량산출서!$H$4:$H$253,수량산출서!$A$4:$A$253,"변경",수량산출서!$B$4:$B$253,$B194))</f>
        <v/>
      </c>
      <c r="M194" s="35" t="n"/>
      <c r="N194" s="19">
        <f>IF($B194="","",IF($M194&lt;&gt;"",$M194,N($L194)))</f>
        <v/>
      </c>
      <c r="O194" s="20">
        <f>IF($B194="","",IFERROR(VLOOKUP($B194,단가마스터!$A$4:$H$303,5,FALSE),IFERROR(VLOOKUP($B194,일위대가!$N$4:$T$63,4,FALSE),0)))</f>
        <v/>
      </c>
      <c r="P194" s="20">
        <f>IF($B194="","",IFERROR(VLOOKUP($B194,단가마스터!$A$4:$H$303,6,FALSE),IFERROR(VLOOKUP($B194,일위대가!$N$4:$T$63,5,FALSE),0)))</f>
        <v/>
      </c>
      <c r="Q194" s="20">
        <f>IF($B194="","",IFERROR(VLOOKUP($B194,단가마스터!$A$4:$H$303,7,FALSE),IFERROR(VLOOKUP($B194,일위대가!$N$4:$T$63,6,FALSE),0)))</f>
        <v/>
      </c>
      <c r="R194" s="20">
        <f>IF($B194="","",N($O194)+N($P194)+N($Q194))</f>
        <v/>
      </c>
      <c r="S194" s="20">
        <f>IF($B194="","",ROUND(N($N194)*N($R194),0))</f>
        <v/>
      </c>
      <c r="T194" s="19">
        <f>IF($B194="","",N($N194)-N($F194))</f>
        <v/>
      </c>
      <c r="U194" s="20">
        <f>IF($B194="","",N($S194)-N($K194))</f>
        <v/>
      </c>
      <c r="V194" s="30" t="n"/>
    </row>
    <row r="195">
      <c r="A195" s="30" t="n"/>
      <c r="B195" s="30" t="n"/>
      <c r="C195" s="18">
        <f>IF($B195="","",IFERROR(VLOOKUP($B195,단가마스터!$A$4:$H$303,2,FALSE),IFERROR(VLOOKUP($B195,일위대가!$N$4:$T$63,2,FALSE),"⚠️단가 없음")))</f>
        <v/>
      </c>
      <c r="D195" s="18">
        <f>IF($B195="","",IFERROR(VLOOKUP($B195,단가마스터!$A$4:$H$303,3,FALSE),""))</f>
        <v/>
      </c>
      <c r="E195" s="18">
        <f>IF($B195="","",IFERROR(VLOOKUP($B195,단가마스터!$A$4:$H$303,4,FALSE),IFERROR(VLOOKUP($B195,일위대가!$N$4:$T$63,3,FALSE),"")))</f>
        <v/>
      </c>
      <c r="F195" s="35" t="n"/>
      <c r="G195" s="23" t="n"/>
      <c r="H195" s="23" t="n"/>
      <c r="I195" s="23" t="n"/>
      <c r="J195" s="20">
        <f>IF($B195="","",N($G195)+N($H195)+N($I195))</f>
        <v/>
      </c>
      <c r="K195" s="20">
        <f>IF($B195="","",ROUND(N($F195)*N($J195),0))</f>
        <v/>
      </c>
      <c r="L195" s="19">
        <f>IF($B195="","",SUMIFS(수량산출서!$H$4:$H$253,수량산출서!$A$4:$A$253,"변경",수량산출서!$B$4:$B$253,$B195))</f>
        <v/>
      </c>
      <c r="M195" s="35" t="n"/>
      <c r="N195" s="19">
        <f>IF($B195="","",IF($M195&lt;&gt;"",$M195,N($L195)))</f>
        <v/>
      </c>
      <c r="O195" s="20">
        <f>IF($B195="","",IFERROR(VLOOKUP($B195,단가마스터!$A$4:$H$303,5,FALSE),IFERROR(VLOOKUP($B195,일위대가!$N$4:$T$63,4,FALSE),0)))</f>
        <v/>
      </c>
      <c r="P195" s="20">
        <f>IF($B195="","",IFERROR(VLOOKUP($B195,단가마스터!$A$4:$H$303,6,FALSE),IFERROR(VLOOKUP($B195,일위대가!$N$4:$T$63,5,FALSE),0)))</f>
        <v/>
      </c>
      <c r="Q195" s="20">
        <f>IF($B195="","",IFERROR(VLOOKUP($B195,단가마스터!$A$4:$H$303,7,FALSE),IFERROR(VLOOKUP($B195,일위대가!$N$4:$T$63,6,FALSE),0)))</f>
        <v/>
      </c>
      <c r="R195" s="20">
        <f>IF($B195="","",N($O195)+N($P195)+N($Q195))</f>
        <v/>
      </c>
      <c r="S195" s="20">
        <f>IF($B195="","",ROUND(N($N195)*N($R195),0))</f>
        <v/>
      </c>
      <c r="T195" s="19">
        <f>IF($B195="","",N($N195)-N($F195))</f>
        <v/>
      </c>
      <c r="U195" s="20">
        <f>IF($B195="","",N($S195)-N($K195))</f>
        <v/>
      </c>
      <c r="V195" s="30" t="n"/>
    </row>
    <row r="196">
      <c r="A196" s="30" t="n"/>
      <c r="B196" s="30" t="n"/>
      <c r="C196" s="18">
        <f>IF($B196="","",IFERROR(VLOOKUP($B196,단가마스터!$A$4:$H$303,2,FALSE),IFERROR(VLOOKUP($B196,일위대가!$N$4:$T$63,2,FALSE),"⚠️단가 없음")))</f>
        <v/>
      </c>
      <c r="D196" s="18">
        <f>IF($B196="","",IFERROR(VLOOKUP($B196,단가마스터!$A$4:$H$303,3,FALSE),""))</f>
        <v/>
      </c>
      <c r="E196" s="18">
        <f>IF($B196="","",IFERROR(VLOOKUP($B196,단가마스터!$A$4:$H$303,4,FALSE),IFERROR(VLOOKUP($B196,일위대가!$N$4:$T$63,3,FALSE),"")))</f>
        <v/>
      </c>
      <c r="F196" s="35" t="n"/>
      <c r="G196" s="23" t="n"/>
      <c r="H196" s="23" t="n"/>
      <c r="I196" s="23" t="n"/>
      <c r="J196" s="20">
        <f>IF($B196="","",N($G196)+N($H196)+N($I196))</f>
        <v/>
      </c>
      <c r="K196" s="20">
        <f>IF($B196="","",ROUND(N($F196)*N($J196),0))</f>
        <v/>
      </c>
      <c r="L196" s="19">
        <f>IF($B196="","",SUMIFS(수량산출서!$H$4:$H$253,수량산출서!$A$4:$A$253,"변경",수량산출서!$B$4:$B$253,$B196))</f>
        <v/>
      </c>
      <c r="M196" s="35" t="n"/>
      <c r="N196" s="19">
        <f>IF($B196="","",IF($M196&lt;&gt;"",$M196,N($L196)))</f>
        <v/>
      </c>
      <c r="O196" s="20">
        <f>IF($B196="","",IFERROR(VLOOKUP($B196,단가마스터!$A$4:$H$303,5,FALSE),IFERROR(VLOOKUP($B196,일위대가!$N$4:$T$63,4,FALSE),0)))</f>
        <v/>
      </c>
      <c r="P196" s="20">
        <f>IF($B196="","",IFERROR(VLOOKUP($B196,단가마스터!$A$4:$H$303,6,FALSE),IFERROR(VLOOKUP($B196,일위대가!$N$4:$T$63,5,FALSE),0)))</f>
        <v/>
      </c>
      <c r="Q196" s="20">
        <f>IF($B196="","",IFERROR(VLOOKUP($B196,단가마스터!$A$4:$H$303,7,FALSE),IFERROR(VLOOKUP($B196,일위대가!$N$4:$T$63,6,FALSE),0)))</f>
        <v/>
      </c>
      <c r="R196" s="20">
        <f>IF($B196="","",N($O196)+N($P196)+N($Q196))</f>
        <v/>
      </c>
      <c r="S196" s="20">
        <f>IF($B196="","",ROUND(N($N196)*N($R196),0))</f>
        <v/>
      </c>
      <c r="T196" s="19">
        <f>IF($B196="","",N($N196)-N($F196))</f>
        <v/>
      </c>
      <c r="U196" s="20">
        <f>IF($B196="","",N($S196)-N($K196))</f>
        <v/>
      </c>
      <c r="V196" s="30" t="n"/>
    </row>
    <row r="197">
      <c r="A197" s="30" t="n"/>
      <c r="B197" s="30" t="n"/>
      <c r="C197" s="18">
        <f>IF($B197="","",IFERROR(VLOOKUP($B197,단가마스터!$A$4:$H$303,2,FALSE),IFERROR(VLOOKUP($B197,일위대가!$N$4:$T$63,2,FALSE),"⚠️단가 없음")))</f>
        <v/>
      </c>
      <c r="D197" s="18">
        <f>IF($B197="","",IFERROR(VLOOKUP($B197,단가마스터!$A$4:$H$303,3,FALSE),""))</f>
        <v/>
      </c>
      <c r="E197" s="18">
        <f>IF($B197="","",IFERROR(VLOOKUP($B197,단가마스터!$A$4:$H$303,4,FALSE),IFERROR(VLOOKUP($B197,일위대가!$N$4:$T$63,3,FALSE),"")))</f>
        <v/>
      </c>
      <c r="F197" s="35" t="n"/>
      <c r="G197" s="23" t="n"/>
      <c r="H197" s="23" t="n"/>
      <c r="I197" s="23" t="n"/>
      <c r="J197" s="20">
        <f>IF($B197="","",N($G197)+N($H197)+N($I197))</f>
        <v/>
      </c>
      <c r="K197" s="20">
        <f>IF($B197="","",ROUND(N($F197)*N($J197),0))</f>
        <v/>
      </c>
      <c r="L197" s="19">
        <f>IF($B197="","",SUMIFS(수량산출서!$H$4:$H$253,수량산출서!$A$4:$A$253,"변경",수량산출서!$B$4:$B$253,$B197))</f>
        <v/>
      </c>
      <c r="M197" s="35" t="n"/>
      <c r="N197" s="19">
        <f>IF($B197="","",IF($M197&lt;&gt;"",$M197,N($L197)))</f>
        <v/>
      </c>
      <c r="O197" s="20">
        <f>IF($B197="","",IFERROR(VLOOKUP($B197,단가마스터!$A$4:$H$303,5,FALSE),IFERROR(VLOOKUP($B197,일위대가!$N$4:$T$63,4,FALSE),0)))</f>
        <v/>
      </c>
      <c r="P197" s="20">
        <f>IF($B197="","",IFERROR(VLOOKUP($B197,단가마스터!$A$4:$H$303,6,FALSE),IFERROR(VLOOKUP($B197,일위대가!$N$4:$T$63,5,FALSE),0)))</f>
        <v/>
      </c>
      <c r="Q197" s="20">
        <f>IF($B197="","",IFERROR(VLOOKUP($B197,단가마스터!$A$4:$H$303,7,FALSE),IFERROR(VLOOKUP($B197,일위대가!$N$4:$T$63,6,FALSE),0)))</f>
        <v/>
      </c>
      <c r="R197" s="20">
        <f>IF($B197="","",N($O197)+N($P197)+N($Q197))</f>
        <v/>
      </c>
      <c r="S197" s="20">
        <f>IF($B197="","",ROUND(N($N197)*N($R197),0))</f>
        <v/>
      </c>
      <c r="T197" s="19">
        <f>IF($B197="","",N($N197)-N($F197))</f>
        <v/>
      </c>
      <c r="U197" s="20">
        <f>IF($B197="","",N($S197)-N($K197))</f>
        <v/>
      </c>
      <c r="V197" s="30" t="n"/>
    </row>
    <row r="198">
      <c r="A198" s="30" t="n"/>
      <c r="B198" s="30" t="n"/>
      <c r="C198" s="18">
        <f>IF($B198="","",IFERROR(VLOOKUP($B198,단가마스터!$A$4:$H$303,2,FALSE),IFERROR(VLOOKUP($B198,일위대가!$N$4:$T$63,2,FALSE),"⚠️단가 없음")))</f>
        <v/>
      </c>
      <c r="D198" s="18">
        <f>IF($B198="","",IFERROR(VLOOKUP($B198,단가마스터!$A$4:$H$303,3,FALSE),""))</f>
        <v/>
      </c>
      <c r="E198" s="18">
        <f>IF($B198="","",IFERROR(VLOOKUP($B198,단가마스터!$A$4:$H$303,4,FALSE),IFERROR(VLOOKUP($B198,일위대가!$N$4:$T$63,3,FALSE),"")))</f>
        <v/>
      </c>
      <c r="F198" s="35" t="n"/>
      <c r="G198" s="23" t="n"/>
      <c r="H198" s="23" t="n"/>
      <c r="I198" s="23" t="n"/>
      <c r="J198" s="20">
        <f>IF($B198="","",N($G198)+N($H198)+N($I198))</f>
        <v/>
      </c>
      <c r="K198" s="20">
        <f>IF($B198="","",ROUND(N($F198)*N($J198),0))</f>
        <v/>
      </c>
      <c r="L198" s="19">
        <f>IF($B198="","",SUMIFS(수량산출서!$H$4:$H$253,수량산출서!$A$4:$A$253,"변경",수량산출서!$B$4:$B$253,$B198))</f>
        <v/>
      </c>
      <c r="M198" s="35" t="n"/>
      <c r="N198" s="19">
        <f>IF($B198="","",IF($M198&lt;&gt;"",$M198,N($L198)))</f>
        <v/>
      </c>
      <c r="O198" s="20">
        <f>IF($B198="","",IFERROR(VLOOKUP($B198,단가마스터!$A$4:$H$303,5,FALSE),IFERROR(VLOOKUP($B198,일위대가!$N$4:$T$63,4,FALSE),0)))</f>
        <v/>
      </c>
      <c r="P198" s="20">
        <f>IF($B198="","",IFERROR(VLOOKUP($B198,단가마스터!$A$4:$H$303,6,FALSE),IFERROR(VLOOKUP($B198,일위대가!$N$4:$T$63,5,FALSE),0)))</f>
        <v/>
      </c>
      <c r="Q198" s="20">
        <f>IF($B198="","",IFERROR(VLOOKUP($B198,단가마스터!$A$4:$H$303,7,FALSE),IFERROR(VLOOKUP($B198,일위대가!$N$4:$T$63,6,FALSE),0)))</f>
        <v/>
      </c>
      <c r="R198" s="20">
        <f>IF($B198="","",N($O198)+N($P198)+N($Q198))</f>
        <v/>
      </c>
      <c r="S198" s="20">
        <f>IF($B198="","",ROUND(N($N198)*N($R198),0))</f>
        <v/>
      </c>
      <c r="T198" s="19">
        <f>IF($B198="","",N($N198)-N($F198))</f>
        <v/>
      </c>
      <c r="U198" s="20">
        <f>IF($B198="","",N($S198)-N($K198))</f>
        <v/>
      </c>
      <c r="V198" s="30" t="n"/>
    </row>
    <row r="199">
      <c r="A199" s="30" t="n"/>
      <c r="B199" s="30" t="n"/>
      <c r="C199" s="18">
        <f>IF($B199="","",IFERROR(VLOOKUP($B199,단가마스터!$A$4:$H$303,2,FALSE),IFERROR(VLOOKUP($B199,일위대가!$N$4:$T$63,2,FALSE),"⚠️단가 없음")))</f>
        <v/>
      </c>
      <c r="D199" s="18">
        <f>IF($B199="","",IFERROR(VLOOKUP($B199,단가마스터!$A$4:$H$303,3,FALSE),""))</f>
        <v/>
      </c>
      <c r="E199" s="18">
        <f>IF($B199="","",IFERROR(VLOOKUP($B199,단가마스터!$A$4:$H$303,4,FALSE),IFERROR(VLOOKUP($B199,일위대가!$N$4:$T$63,3,FALSE),"")))</f>
        <v/>
      </c>
      <c r="F199" s="35" t="n"/>
      <c r="G199" s="23" t="n"/>
      <c r="H199" s="23" t="n"/>
      <c r="I199" s="23" t="n"/>
      <c r="J199" s="20">
        <f>IF($B199="","",N($G199)+N($H199)+N($I199))</f>
        <v/>
      </c>
      <c r="K199" s="20">
        <f>IF($B199="","",ROUND(N($F199)*N($J199),0))</f>
        <v/>
      </c>
      <c r="L199" s="19">
        <f>IF($B199="","",SUMIFS(수량산출서!$H$4:$H$253,수량산출서!$A$4:$A$253,"변경",수량산출서!$B$4:$B$253,$B199))</f>
        <v/>
      </c>
      <c r="M199" s="35" t="n"/>
      <c r="N199" s="19">
        <f>IF($B199="","",IF($M199&lt;&gt;"",$M199,N($L199)))</f>
        <v/>
      </c>
      <c r="O199" s="20">
        <f>IF($B199="","",IFERROR(VLOOKUP($B199,단가마스터!$A$4:$H$303,5,FALSE),IFERROR(VLOOKUP($B199,일위대가!$N$4:$T$63,4,FALSE),0)))</f>
        <v/>
      </c>
      <c r="P199" s="20">
        <f>IF($B199="","",IFERROR(VLOOKUP($B199,단가마스터!$A$4:$H$303,6,FALSE),IFERROR(VLOOKUP($B199,일위대가!$N$4:$T$63,5,FALSE),0)))</f>
        <v/>
      </c>
      <c r="Q199" s="20">
        <f>IF($B199="","",IFERROR(VLOOKUP($B199,단가마스터!$A$4:$H$303,7,FALSE),IFERROR(VLOOKUP($B199,일위대가!$N$4:$T$63,6,FALSE),0)))</f>
        <v/>
      </c>
      <c r="R199" s="20">
        <f>IF($B199="","",N($O199)+N($P199)+N($Q199))</f>
        <v/>
      </c>
      <c r="S199" s="20">
        <f>IF($B199="","",ROUND(N($N199)*N($R199),0))</f>
        <v/>
      </c>
      <c r="T199" s="19">
        <f>IF($B199="","",N($N199)-N($F199))</f>
        <v/>
      </c>
      <c r="U199" s="20">
        <f>IF($B199="","",N($S199)-N($K199))</f>
        <v/>
      </c>
      <c r="V199" s="30" t="n"/>
    </row>
    <row r="200">
      <c r="A200" s="30" t="n"/>
      <c r="B200" s="30" t="n"/>
      <c r="C200" s="18">
        <f>IF($B200="","",IFERROR(VLOOKUP($B200,단가마스터!$A$4:$H$303,2,FALSE),IFERROR(VLOOKUP($B200,일위대가!$N$4:$T$63,2,FALSE),"⚠️단가 없음")))</f>
        <v/>
      </c>
      <c r="D200" s="18">
        <f>IF($B200="","",IFERROR(VLOOKUP($B200,단가마스터!$A$4:$H$303,3,FALSE),""))</f>
        <v/>
      </c>
      <c r="E200" s="18">
        <f>IF($B200="","",IFERROR(VLOOKUP($B200,단가마스터!$A$4:$H$303,4,FALSE),IFERROR(VLOOKUP($B200,일위대가!$N$4:$T$63,3,FALSE),"")))</f>
        <v/>
      </c>
      <c r="F200" s="35" t="n"/>
      <c r="G200" s="23" t="n"/>
      <c r="H200" s="23" t="n"/>
      <c r="I200" s="23" t="n"/>
      <c r="J200" s="20">
        <f>IF($B200="","",N($G200)+N($H200)+N($I200))</f>
        <v/>
      </c>
      <c r="K200" s="20">
        <f>IF($B200="","",ROUND(N($F200)*N($J200),0))</f>
        <v/>
      </c>
      <c r="L200" s="19">
        <f>IF($B200="","",SUMIFS(수량산출서!$H$4:$H$253,수량산출서!$A$4:$A$253,"변경",수량산출서!$B$4:$B$253,$B200))</f>
        <v/>
      </c>
      <c r="M200" s="35" t="n"/>
      <c r="N200" s="19">
        <f>IF($B200="","",IF($M200&lt;&gt;"",$M200,N($L200)))</f>
        <v/>
      </c>
      <c r="O200" s="20">
        <f>IF($B200="","",IFERROR(VLOOKUP($B200,단가마스터!$A$4:$H$303,5,FALSE),IFERROR(VLOOKUP($B200,일위대가!$N$4:$T$63,4,FALSE),0)))</f>
        <v/>
      </c>
      <c r="P200" s="20">
        <f>IF($B200="","",IFERROR(VLOOKUP($B200,단가마스터!$A$4:$H$303,6,FALSE),IFERROR(VLOOKUP($B200,일위대가!$N$4:$T$63,5,FALSE),0)))</f>
        <v/>
      </c>
      <c r="Q200" s="20">
        <f>IF($B200="","",IFERROR(VLOOKUP($B200,단가마스터!$A$4:$H$303,7,FALSE),IFERROR(VLOOKUP($B200,일위대가!$N$4:$T$63,6,FALSE),0)))</f>
        <v/>
      </c>
      <c r="R200" s="20">
        <f>IF($B200="","",N($O200)+N($P200)+N($Q200))</f>
        <v/>
      </c>
      <c r="S200" s="20">
        <f>IF($B200="","",ROUND(N($N200)*N($R200),0))</f>
        <v/>
      </c>
      <c r="T200" s="19">
        <f>IF($B200="","",N($N200)-N($F200))</f>
        <v/>
      </c>
      <c r="U200" s="20">
        <f>IF($B200="","",N($S200)-N($K200))</f>
        <v/>
      </c>
      <c r="V200" s="30" t="n"/>
    </row>
    <row r="201">
      <c r="A201" s="30" t="n"/>
      <c r="B201" s="30" t="n"/>
      <c r="C201" s="18">
        <f>IF($B201="","",IFERROR(VLOOKUP($B201,단가마스터!$A$4:$H$303,2,FALSE),IFERROR(VLOOKUP($B201,일위대가!$N$4:$T$63,2,FALSE),"⚠️단가 없음")))</f>
        <v/>
      </c>
      <c r="D201" s="18">
        <f>IF($B201="","",IFERROR(VLOOKUP($B201,단가마스터!$A$4:$H$303,3,FALSE),""))</f>
        <v/>
      </c>
      <c r="E201" s="18">
        <f>IF($B201="","",IFERROR(VLOOKUP($B201,단가마스터!$A$4:$H$303,4,FALSE),IFERROR(VLOOKUP($B201,일위대가!$N$4:$T$63,3,FALSE),"")))</f>
        <v/>
      </c>
      <c r="F201" s="35" t="n"/>
      <c r="G201" s="23" t="n"/>
      <c r="H201" s="23" t="n"/>
      <c r="I201" s="23" t="n"/>
      <c r="J201" s="20">
        <f>IF($B201="","",N($G201)+N($H201)+N($I201))</f>
        <v/>
      </c>
      <c r="K201" s="20">
        <f>IF($B201="","",ROUND(N($F201)*N($J201),0))</f>
        <v/>
      </c>
      <c r="L201" s="19">
        <f>IF($B201="","",SUMIFS(수량산출서!$H$4:$H$253,수량산출서!$A$4:$A$253,"변경",수량산출서!$B$4:$B$253,$B201))</f>
        <v/>
      </c>
      <c r="M201" s="35" t="n"/>
      <c r="N201" s="19">
        <f>IF($B201="","",IF($M201&lt;&gt;"",$M201,N($L201)))</f>
        <v/>
      </c>
      <c r="O201" s="20">
        <f>IF($B201="","",IFERROR(VLOOKUP($B201,단가마스터!$A$4:$H$303,5,FALSE),IFERROR(VLOOKUP($B201,일위대가!$N$4:$T$63,4,FALSE),0)))</f>
        <v/>
      </c>
      <c r="P201" s="20">
        <f>IF($B201="","",IFERROR(VLOOKUP($B201,단가마스터!$A$4:$H$303,6,FALSE),IFERROR(VLOOKUP($B201,일위대가!$N$4:$T$63,5,FALSE),0)))</f>
        <v/>
      </c>
      <c r="Q201" s="20">
        <f>IF($B201="","",IFERROR(VLOOKUP($B201,단가마스터!$A$4:$H$303,7,FALSE),IFERROR(VLOOKUP($B201,일위대가!$N$4:$T$63,6,FALSE),0)))</f>
        <v/>
      </c>
      <c r="R201" s="20">
        <f>IF($B201="","",N($O201)+N($P201)+N($Q201))</f>
        <v/>
      </c>
      <c r="S201" s="20">
        <f>IF($B201="","",ROUND(N($N201)*N($R201),0))</f>
        <v/>
      </c>
      <c r="T201" s="19">
        <f>IF($B201="","",N($N201)-N($F201))</f>
        <v/>
      </c>
      <c r="U201" s="20">
        <f>IF($B201="","",N($S201)-N($K201))</f>
        <v/>
      </c>
      <c r="V201" s="30" t="n"/>
    </row>
    <row r="202">
      <c r="A202" s="30" t="n"/>
      <c r="B202" s="30" t="n"/>
      <c r="C202" s="18">
        <f>IF($B202="","",IFERROR(VLOOKUP($B202,단가마스터!$A$4:$H$303,2,FALSE),IFERROR(VLOOKUP($B202,일위대가!$N$4:$T$63,2,FALSE),"⚠️단가 없음")))</f>
        <v/>
      </c>
      <c r="D202" s="18">
        <f>IF($B202="","",IFERROR(VLOOKUP($B202,단가마스터!$A$4:$H$303,3,FALSE),""))</f>
        <v/>
      </c>
      <c r="E202" s="18">
        <f>IF($B202="","",IFERROR(VLOOKUP($B202,단가마스터!$A$4:$H$303,4,FALSE),IFERROR(VLOOKUP($B202,일위대가!$N$4:$T$63,3,FALSE),"")))</f>
        <v/>
      </c>
      <c r="F202" s="35" t="n"/>
      <c r="G202" s="23" t="n"/>
      <c r="H202" s="23" t="n"/>
      <c r="I202" s="23" t="n"/>
      <c r="J202" s="20">
        <f>IF($B202="","",N($G202)+N($H202)+N($I202))</f>
        <v/>
      </c>
      <c r="K202" s="20">
        <f>IF($B202="","",ROUND(N($F202)*N($J202),0))</f>
        <v/>
      </c>
      <c r="L202" s="19">
        <f>IF($B202="","",SUMIFS(수량산출서!$H$4:$H$253,수량산출서!$A$4:$A$253,"변경",수량산출서!$B$4:$B$253,$B202))</f>
        <v/>
      </c>
      <c r="M202" s="35" t="n"/>
      <c r="N202" s="19">
        <f>IF($B202="","",IF($M202&lt;&gt;"",$M202,N($L202)))</f>
        <v/>
      </c>
      <c r="O202" s="20">
        <f>IF($B202="","",IFERROR(VLOOKUP($B202,단가마스터!$A$4:$H$303,5,FALSE),IFERROR(VLOOKUP($B202,일위대가!$N$4:$T$63,4,FALSE),0)))</f>
        <v/>
      </c>
      <c r="P202" s="20">
        <f>IF($B202="","",IFERROR(VLOOKUP($B202,단가마스터!$A$4:$H$303,6,FALSE),IFERROR(VLOOKUP($B202,일위대가!$N$4:$T$63,5,FALSE),0)))</f>
        <v/>
      </c>
      <c r="Q202" s="20">
        <f>IF($B202="","",IFERROR(VLOOKUP($B202,단가마스터!$A$4:$H$303,7,FALSE),IFERROR(VLOOKUP($B202,일위대가!$N$4:$T$63,6,FALSE),0)))</f>
        <v/>
      </c>
      <c r="R202" s="20">
        <f>IF($B202="","",N($O202)+N($P202)+N($Q202))</f>
        <v/>
      </c>
      <c r="S202" s="20">
        <f>IF($B202="","",ROUND(N($N202)*N($R202),0))</f>
        <v/>
      </c>
      <c r="T202" s="19">
        <f>IF($B202="","",N($N202)-N($F202))</f>
        <v/>
      </c>
      <c r="U202" s="20">
        <f>IF($B202="","",N($S202)-N($K202))</f>
        <v/>
      </c>
      <c r="V202" s="30" t="n"/>
    </row>
    <row r="203">
      <c r="A203" s="30" t="n"/>
      <c r="B203" s="30" t="n"/>
      <c r="C203" s="18">
        <f>IF($B203="","",IFERROR(VLOOKUP($B203,단가마스터!$A$4:$H$303,2,FALSE),IFERROR(VLOOKUP($B203,일위대가!$N$4:$T$63,2,FALSE),"⚠️단가 없음")))</f>
        <v/>
      </c>
      <c r="D203" s="18">
        <f>IF($B203="","",IFERROR(VLOOKUP($B203,단가마스터!$A$4:$H$303,3,FALSE),""))</f>
        <v/>
      </c>
      <c r="E203" s="18">
        <f>IF($B203="","",IFERROR(VLOOKUP($B203,단가마스터!$A$4:$H$303,4,FALSE),IFERROR(VLOOKUP($B203,일위대가!$N$4:$T$63,3,FALSE),"")))</f>
        <v/>
      </c>
      <c r="F203" s="35" t="n"/>
      <c r="G203" s="23" t="n"/>
      <c r="H203" s="23" t="n"/>
      <c r="I203" s="23" t="n"/>
      <c r="J203" s="20">
        <f>IF($B203="","",N($G203)+N($H203)+N($I203))</f>
        <v/>
      </c>
      <c r="K203" s="20">
        <f>IF($B203="","",ROUND(N($F203)*N($J203),0))</f>
        <v/>
      </c>
      <c r="L203" s="19">
        <f>IF($B203="","",SUMIFS(수량산출서!$H$4:$H$253,수량산출서!$A$4:$A$253,"변경",수량산출서!$B$4:$B$253,$B203))</f>
        <v/>
      </c>
      <c r="M203" s="35" t="n"/>
      <c r="N203" s="19">
        <f>IF($B203="","",IF($M203&lt;&gt;"",$M203,N($L203)))</f>
        <v/>
      </c>
      <c r="O203" s="20">
        <f>IF($B203="","",IFERROR(VLOOKUP($B203,단가마스터!$A$4:$H$303,5,FALSE),IFERROR(VLOOKUP($B203,일위대가!$N$4:$T$63,4,FALSE),0)))</f>
        <v/>
      </c>
      <c r="P203" s="20">
        <f>IF($B203="","",IFERROR(VLOOKUP($B203,단가마스터!$A$4:$H$303,6,FALSE),IFERROR(VLOOKUP($B203,일위대가!$N$4:$T$63,5,FALSE),0)))</f>
        <v/>
      </c>
      <c r="Q203" s="20">
        <f>IF($B203="","",IFERROR(VLOOKUP($B203,단가마스터!$A$4:$H$303,7,FALSE),IFERROR(VLOOKUP($B203,일위대가!$N$4:$T$63,6,FALSE),0)))</f>
        <v/>
      </c>
      <c r="R203" s="20">
        <f>IF($B203="","",N($O203)+N($P203)+N($Q203))</f>
        <v/>
      </c>
      <c r="S203" s="20">
        <f>IF($B203="","",ROUND(N($N203)*N($R203),0))</f>
        <v/>
      </c>
      <c r="T203" s="19">
        <f>IF($B203="","",N($N203)-N($F203))</f>
        <v/>
      </c>
      <c r="U203" s="20">
        <f>IF($B203="","",N($S203)-N($K203))</f>
        <v/>
      </c>
      <c r="V203" s="30" t="n"/>
    </row>
    <row r="204">
      <c r="A204" s="26" t="n"/>
      <c r="B204" s="26" t="inlineStr">
        <is>
          <t>합  계</t>
        </is>
      </c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7">
        <f>SUM(K4:K203)</f>
        <v/>
      </c>
      <c r="L204" s="26" t="n"/>
      <c r="M204" s="26" t="n"/>
      <c r="N204" s="26" t="n"/>
      <c r="O204" s="26" t="n"/>
      <c r="P204" s="26" t="n"/>
      <c r="Q204" s="26" t="n"/>
      <c r="R204" s="26" t="n"/>
      <c r="S204" s="27">
        <f>SUM(S4:S203)</f>
        <v/>
      </c>
      <c r="T204" s="26" t="n"/>
      <c r="U204" s="27">
        <f>SUM(U4:U203)</f>
        <v/>
      </c>
      <c r="V204" s="26" t="n"/>
    </row>
    <row r="206">
      <c r="A206" s="17" t="inlineStr">
        <is>
          <t>공종코드만 넣으면 품명·규격·단위가 단가마스터(없으면 일위대가)에서 따라옵니다. ⚠️ 당초 쪽 수량과 단가는 **계약 내역서에서 그대로 옮겨 적으십시오** — 계약단가는 지금 시세가 아니라 계약 당시 값입니다. 변경 쪽 단가만 단가마스터·일위대가에서 자동으로 옵니다. 변경 수량은 수량산출서에서 «변경» 으로 넣은 것이 합쳐지고, «수량(직접)» 에 적으면 그 값이 이깁니다. 당초 수량이 비어 있고 변경 수량만 있으면 **신규 비목**입니다 — 증감대비표가 그렇게 잡습니다.</t>
        </is>
      </c>
    </row>
  </sheetData>
  <mergeCells count="3">
    <mergeCell ref="A2:V2"/>
    <mergeCell ref="A1:V1"/>
    <mergeCell ref="A206:V20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7" customWidth="1" min="5" max="5"/>
    <col width="9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4" max="14"/>
    <col width="22" customWidth="1" min="15" max="15"/>
    <col width="7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일 위 대 가 표</t>
        </is>
      </c>
      <c r="N2" s="36" t="inlineStr">
        <is>
          <t>▶ 오른쪽 = 일위번호별 단가 (내역서가 여기를 봅니다)</t>
        </is>
      </c>
    </row>
    <row r="3" ht="30" customHeight="1">
      <c r="A3" s="3" t="inlineStr">
        <is>
          <t>일위번호</t>
        </is>
      </c>
      <c r="B3" s="3" t="inlineStr">
        <is>
          <t>구성코드</t>
        </is>
      </c>
      <c r="C3" s="3" t="inlineStr">
        <is>
          <t>품 명</t>
        </is>
      </c>
      <c r="D3" s="3" t="inlineStr">
        <is>
          <t>규 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재료비단가</t>
        </is>
      </c>
      <c r="H3" s="3" t="inlineStr">
        <is>
          <t>노무비단가</t>
        </is>
      </c>
      <c r="I3" s="3" t="inlineStr">
        <is>
          <t>경비단가</t>
        </is>
      </c>
      <c r="J3" s="3" t="inlineStr">
        <is>
          <t>재료비금액</t>
        </is>
      </c>
      <c r="K3" s="3" t="inlineStr">
        <is>
          <t>노무비금액</t>
        </is>
      </c>
      <c r="L3" s="3" t="inlineStr">
        <is>
          <t>경비금액</t>
        </is>
      </c>
      <c r="N3" s="37" t="inlineStr">
        <is>
          <t>일위번호</t>
        </is>
      </c>
      <c r="O3" s="37" t="inlineStr">
        <is>
          <t>일위 품명</t>
        </is>
      </c>
      <c r="P3" s="37" t="inlineStr">
        <is>
          <t>단위</t>
        </is>
      </c>
      <c r="Q3" s="37" t="inlineStr">
        <is>
          <t>재료비계</t>
        </is>
      </c>
      <c r="R3" s="37" t="inlineStr">
        <is>
          <t>노무비계</t>
        </is>
      </c>
      <c r="S3" s="37" t="inlineStr">
        <is>
          <t>경비계</t>
        </is>
      </c>
      <c r="T3" s="37" t="inlineStr">
        <is>
          <t>합계단가</t>
        </is>
      </c>
    </row>
    <row r="4">
      <c r="A4" s="30" t="n"/>
      <c r="B4" s="30" t="n"/>
      <c r="C4" s="18">
        <f>IF($B4="","",IFERROR(VLOOKUP($B4,단가마스터!$A$4:$H$303,2,FALSE),"⚠️단가마스터에 없음"))</f>
        <v/>
      </c>
      <c r="D4" s="18">
        <f>IF($B4="","",IFERROR(VLOOKUP($B4,단가마스터!$A$4:$H$303,3,FALSE),""))</f>
        <v/>
      </c>
      <c r="E4" s="18">
        <f>IF($B4="","",IFERROR(VLOOKUP($B4,단가마스터!$A$4:$H$303,4,FALSE),""))</f>
        <v/>
      </c>
      <c r="F4" s="30" t="n"/>
      <c r="G4" s="20">
        <f>IF($B4="","",IFERROR(VLOOKUP($B4,단가마스터!$A$4:$H$303,5,FALSE),0))</f>
        <v/>
      </c>
      <c r="H4" s="20">
        <f>IF($B4="","",IFERROR(VLOOKUP($B4,단가마스터!$A$4:$H$303,6,FALSE),0))</f>
        <v/>
      </c>
      <c r="I4" s="20">
        <f>IF($B4="","",IFERROR(VLOOKUP($B4,단가마스터!$A$4:$H$303,7,FALSE),0))</f>
        <v/>
      </c>
      <c r="J4" s="20">
        <f>IF($B4="","",N($F4)*N($G4))</f>
        <v/>
      </c>
      <c r="K4" s="20">
        <f>IF($B4="","",N($F4)*N($H4))</f>
        <v/>
      </c>
      <c r="L4" s="20">
        <f>IF($B4="","",N($F4)*N($I4))</f>
        <v/>
      </c>
      <c r="M4" s="5" t="n"/>
      <c r="N4" s="30" t="n"/>
      <c r="O4" s="30" t="n"/>
      <c r="P4" s="30" t="n"/>
      <c r="Q4" s="20">
        <f>IF($N4="","",SUMIF($A$4:$A$303,$N4,$J$4:$J$303))</f>
        <v/>
      </c>
      <c r="R4" s="20">
        <f>IF($N4="","",SUMIF($A$4:$A$303,$N4,$K$4:$K$303))</f>
        <v/>
      </c>
      <c r="S4" s="20">
        <f>IF($N4="","",SUMIF($A$4:$A$303,$N4,$L$4:$L$303))</f>
        <v/>
      </c>
      <c r="T4" s="20">
        <f>IF($N4="","",N(Q4)+N(R4)+N(S4))</f>
        <v/>
      </c>
    </row>
    <row r="5">
      <c r="A5" s="30" t="n"/>
      <c r="B5" s="30" t="n"/>
      <c r="C5" s="18">
        <f>IF($B5="","",IFERROR(VLOOKUP($B5,단가마스터!$A$4:$H$303,2,FALSE),"⚠️단가마스터에 없음"))</f>
        <v/>
      </c>
      <c r="D5" s="18">
        <f>IF($B5="","",IFERROR(VLOOKUP($B5,단가마스터!$A$4:$H$303,3,FALSE),""))</f>
        <v/>
      </c>
      <c r="E5" s="18">
        <f>IF($B5="","",IFERROR(VLOOKUP($B5,단가마스터!$A$4:$H$303,4,FALSE),""))</f>
        <v/>
      </c>
      <c r="F5" s="30" t="n"/>
      <c r="G5" s="20">
        <f>IF($B5="","",IFERROR(VLOOKUP($B5,단가마스터!$A$4:$H$303,5,FALSE),0))</f>
        <v/>
      </c>
      <c r="H5" s="20">
        <f>IF($B5="","",IFERROR(VLOOKUP($B5,단가마스터!$A$4:$H$303,6,FALSE),0))</f>
        <v/>
      </c>
      <c r="I5" s="20">
        <f>IF($B5="","",IFERROR(VLOOKUP($B5,단가마스터!$A$4:$H$303,7,FALSE),0))</f>
        <v/>
      </c>
      <c r="J5" s="20">
        <f>IF($B5="","",N($F5)*N($G5))</f>
        <v/>
      </c>
      <c r="K5" s="20">
        <f>IF($B5="","",N($F5)*N($H5))</f>
        <v/>
      </c>
      <c r="L5" s="20">
        <f>IF($B5="","",N($F5)*N($I5))</f>
        <v/>
      </c>
      <c r="M5" s="5" t="n"/>
      <c r="N5" s="30" t="n"/>
      <c r="O5" s="30" t="n"/>
      <c r="P5" s="30" t="n"/>
      <c r="Q5" s="20">
        <f>IF($N5="","",SUMIF($A$4:$A$303,$N5,$J$4:$J$303))</f>
        <v/>
      </c>
      <c r="R5" s="20">
        <f>IF($N5="","",SUMIF($A$4:$A$303,$N5,$K$4:$K$303))</f>
        <v/>
      </c>
      <c r="S5" s="20">
        <f>IF($N5="","",SUMIF($A$4:$A$303,$N5,$L$4:$L$303))</f>
        <v/>
      </c>
      <c r="T5" s="20">
        <f>IF($N5="","",N(Q5)+N(R5)+N(S5))</f>
        <v/>
      </c>
    </row>
    <row r="6">
      <c r="A6" s="30" t="n"/>
      <c r="B6" s="30" t="n"/>
      <c r="C6" s="18">
        <f>IF($B6="","",IFERROR(VLOOKUP($B6,단가마스터!$A$4:$H$303,2,FALSE),"⚠️단가마스터에 없음"))</f>
        <v/>
      </c>
      <c r="D6" s="18">
        <f>IF($B6="","",IFERROR(VLOOKUP($B6,단가마스터!$A$4:$H$303,3,FALSE),""))</f>
        <v/>
      </c>
      <c r="E6" s="18">
        <f>IF($B6="","",IFERROR(VLOOKUP($B6,단가마스터!$A$4:$H$303,4,FALSE),""))</f>
        <v/>
      </c>
      <c r="F6" s="30" t="n"/>
      <c r="G6" s="20">
        <f>IF($B6="","",IFERROR(VLOOKUP($B6,단가마스터!$A$4:$H$303,5,FALSE),0))</f>
        <v/>
      </c>
      <c r="H6" s="20">
        <f>IF($B6="","",IFERROR(VLOOKUP($B6,단가마스터!$A$4:$H$303,6,FALSE),0))</f>
        <v/>
      </c>
      <c r="I6" s="20">
        <f>IF($B6="","",IFERROR(VLOOKUP($B6,단가마스터!$A$4:$H$303,7,FALSE),0))</f>
        <v/>
      </c>
      <c r="J6" s="20">
        <f>IF($B6="","",N($F6)*N($G6))</f>
        <v/>
      </c>
      <c r="K6" s="20">
        <f>IF($B6="","",N($F6)*N($H6))</f>
        <v/>
      </c>
      <c r="L6" s="20">
        <f>IF($B6="","",N($F6)*N($I6))</f>
        <v/>
      </c>
      <c r="M6" s="5" t="n"/>
      <c r="N6" s="30" t="n"/>
      <c r="O6" s="30" t="n"/>
      <c r="P6" s="30" t="n"/>
      <c r="Q6" s="20">
        <f>IF($N6="","",SUMIF($A$4:$A$303,$N6,$J$4:$J$303))</f>
        <v/>
      </c>
      <c r="R6" s="20">
        <f>IF($N6="","",SUMIF($A$4:$A$303,$N6,$K$4:$K$303))</f>
        <v/>
      </c>
      <c r="S6" s="20">
        <f>IF($N6="","",SUMIF($A$4:$A$303,$N6,$L$4:$L$303))</f>
        <v/>
      </c>
      <c r="T6" s="20">
        <f>IF($N6="","",N(Q6)+N(R6)+N(S6))</f>
        <v/>
      </c>
    </row>
    <row r="7">
      <c r="A7" s="30" t="n"/>
      <c r="B7" s="30" t="n"/>
      <c r="C7" s="18">
        <f>IF($B7="","",IFERROR(VLOOKUP($B7,단가마스터!$A$4:$H$303,2,FALSE),"⚠️단가마스터에 없음"))</f>
        <v/>
      </c>
      <c r="D7" s="18">
        <f>IF($B7="","",IFERROR(VLOOKUP($B7,단가마스터!$A$4:$H$303,3,FALSE),""))</f>
        <v/>
      </c>
      <c r="E7" s="18">
        <f>IF($B7="","",IFERROR(VLOOKUP($B7,단가마스터!$A$4:$H$303,4,FALSE),""))</f>
        <v/>
      </c>
      <c r="F7" s="30" t="n"/>
      <c r="G7" s="20">
        <f>IF($B7="","",IFERROR(VLOOKUP($B7,단가마스터!$A$4:$H$303,5,FALSE),0))</f>
        <v/>
      </c>
      <c r="H7" s="20">
        <f>IF($B7="","",IFERROR(VLOOKUP($B7,단가마스터!$A$4:$H$303,6,FALSE),0))</f>
        <v/>
      </c>
      <c r="I7" s="20">
        <f>IF($B7="","",IFERROR(VLOOKUP($B7,단가마스터!$A$4:$H$303,7,FALSE),0))</f>
        <v/>
      </c>
      <c r="J7" s="20">
        <f>IF($B7="","",N($F7)*N($G7))</f>
        <v/>
      </c>
      <c r="K7" s="20">
        <f>IF($B7="","",N($F7)*N($H7))</f>
        <v/>
      </c>
      <c r="L7" s="20">
        <f>IF($B7="","",N($F7)*N($I7))</f>
        <v/>
      </c>
      <c r="M7" s="5" t="n"/>
      <c r="N7" s="30" t="n"/>
      <c r="O7" s="30" t="n"/>
      <c r="P7" s="30" t="n"/>
      <c r="Q7" s="20">
        <f>IF($N7="","",SUMIF($A$4:$A$303,$N7,$J$4:$J$303))</f>
        <v/>
      </c>
      <c r="R7" s="20">
        <f>IF($N7="","",SUMIF($A$4:$A$303,$N7,$K$4:$K$303))</f>
        <v/>
      </c>
      <c r="S7" s="20">
        <f>IF($N7="","",SUMIF($A$4:$A$303,$N7,$L$4:$L$303))</f>
        <v/>
      </c>
      <c r="T7" s="20">
        <f>IF($N7="","",N(Q7)+N(R7)+N(S7))</f>
        <v/>
      </c>
    </row>
    <row r="8">
      <c r="A8" s="30" t="n"/>
      <c r="B8" s="30" t="n"/>
      <c r="C8" s="18">
        <f>IF($B8="","",IFERROR(VLOOKUP($B8,단가마스터!$A$4:$H$303,2,FALSE),"⚠️단가마스터에 없음"))</f>
        <v/>
      </c>
      <c r="D8" s="18">
        <f>IF($B8="","",IFERROR(VLOOKUP($B8,단가마스터!$A$4:$H$303,3,FALSE),""))</f>
        <v/>
      </c>
      <c r="E8" s="18">
        <f>IF($B8="","",IFERROR(VLOOKUP($B8,단가마스터!$A$4:$H$303,4,FALSE),""))</f>
        <v/>
      </c>
      <c r="F8" s="30" t="n"/>
      <c r="G8" s="20">
        <f>IF($B8="","",IFERROR(VLOOKUP($B8,단가마스터!$A$4:$H$303,5,FALSE),0))</f>
        <v/>
      </c>
      <c r="H8" s="20">
        <f>IF($B8="","",IFERROR(VLOOKUP($B8,단가마스터!$A$4:$H$303,6,FALSE),0))</f>
        <v/>
      </c>
      <c r="I8" s="20">
        <f>IF($B8="","",IFERROR(VLOOKUP($B8,단가마스터!$A$4:$H$303,7,FALSE),0))</f>
        <v/>
      </c>
      <c r="J8" s="20">
        <f>IF($B8="","",N($F8)*N($G8))</f>
        <v/>
      </c>
      <c r="K8" s="20">
        <f>IF($B8="","",N($F8)*N($H8))</f>
        <v/>
      </c>
      <c r="L8" s="20">
        <f>IF($B8="","",N($F8)*N($I8))</f>
        <v/>
      </c>
      <c r="M8" s="5" t="n"/>
      <c r="N8" s="30" t="n"/>
      <c r="O8" s="30" t="n"/>
      <c r="P8" s="30" t="n"/>
      <c r="Q8" s="20">
        <f>IF($N8="","",SUMIF($A$4:$A$303,$N8,$J$4:$J$303))</f>
        <v/>
      </c>
      <c r="R8" s="20">
        <f>IF($N8="","",SUMIF($A$4:$A$303,$N8,$K$4:$K$303))</f>
        <v/>
      </c>
      <c r="S8" s="20">
        <f>IF($N8="","",SUMIF($A$4:$A$303,$N8,$L$4:$L$303))</f>
        <v/>
      </c>
      <c r="T8" s="20">
        <f>IF($N8="","",N(Q8)+N(R8)+N(S8))</f>
        <v/>
      </c>
    </row>
    <row r="9">
      <c r="A9" s="30" t="n"/>
      <c r="B9" s="30" t="n"/>
      <c r="C9" s="18">
        <f>IF($B9="","",IFERROR(VLOOKUP($B9,단가마스터!$A$4:$H$303,2,FALSE),"⚠️단가마스터에 없음"))</f>
        <v/>
      </c>
      <c r="D9" s="18">
        <f>IF($B9="","",IFERROR(VLOOKUP($B9,단가마스터!$A$4:$H$303,3,FALSE),""))</f>
        <v/>
      </c>
      <c r="E9" s="18">
        <f>IF($B9="","",IFERROR(VLOOKUP($B9,단가마스터!$A$4:$H$303,4,FALSE),""))</f>
        <v/>
      </c>
      <c r="F9" s="30" t="n"/>
      <c r="G9" s="20">
        <f>IF($B9="","",IFERROR(VLOOKUP($B9,단가마스터!$A$4:$H$303,5,FALSE),0))</f>
        <v/>
      </c>
      <c r="H9" s="20">
        <f>IF($B9="","",IFERROR(VLOOKUP($B9,단가마스터!$A$4:$H$303,6,FALSE),0))</f>
        <v/>
      </c>
      <c r="I9" s="20">
        <f>IF($B9="","",IFERROR(VLOOKUP($B9,단가마스터!$A$4:$H$303,7,FALSE),0))</f>
        <v/>
      </c>
      <c r="J9" s="20">
        <f>IF($B9="","",N($F9)*N($G9))</f>
        <v/>
      </c>
      <c r="K9" s="20">
        <f>IF($B9="","",N($F9)*N($H9))</f>
        <v/>
      </c>
      <c r="L9" s="20">
        <f>IF($B9="","",N($F9)*N($I9))</f>
        <v/>
      </c>
      <c r="M9" s="5" t="n"/>
      <c r="N9" s="30" t="n"/>
      <c r="O9" s="30" t="n"/>
      <c r="P9" s="30" t="n"/>
      <c r="Q9" s="20">
        <f>IF($N9="","",SUMIF($A$4:$A$303,$N9,$J$4:$J$303))</f>
        <v/>
      </c>
      <c r="R9" s="20">
        <f>IF($N9="","",SUMIF($A$4:$A$303,$N9,$K$4:$K$303))</f>
        <v/>
      </c>
      <c r="S9" s="20">
        <f>IF($N9="","",SUMIF($A$4:$A$303,$N9,$L$4:$L$303))</f>
        <v/>
      </c>
      <c r="T9" s="20">
        <f>IF($N9="","",N(Q9)+N(R9)+N(S9))</f>
        <v/>
      </c>
    </row>
    <row r="10">
      <c r="A10" s="30" t="n"/>
      <c r="B10" s="30" t="n"/>
      <c r="C10" s="18">
        <f>IF($B10="","",IFERROR(VLOOKUP($B10,단가마스터!$A$4:$H$303,2,FALSE),"⚠️단가마스터에 없음"))</f>
        <v/>
      </c>
      <c r="D10" s="18">
        <f>IF($B10="","",IFERROR(VLOOKUP($B10,단가마스터!$A$4:$H$303,3,FALSE),""))</f>
        <v/>
      </c>
      <c r="E10" s="18">
        <f>IF($B10="","",IFERROR(VLOOKUP($B10,단가마스터!$A$4:$H$303,4,FALSE),""))</f>
        <v/>
      </c>
      <c r="F10" s="30" t="n"/>
      <c r="G10" s="20">
        <f>IF($B10="","",IFERROR(VLOOKUP($B10,단가마스터!$A$4:$H$303,5,FALSE),0))</f>
        <v/>
      </c>
      <c r="H10" s="20">
        <f>IF($B10="","",IFERROR(VLOOKUP($B10,단가마스터!$A$4:$H$303,6,FALSE),0))</f>
        <v/>
      </c>
      <c r="I10" s="20">
        <f>IF($B10="","",IFERROR(VLOOKUP($B10,단가마스터!$A$4:$H$303,7,FALSE),0))</f>
        <v/>
      </c>
      <c r="J10" s="20">
        <f>IF($B10="","",N($F10)*N($G10))</f>
        <v/>
      </c>
      <c r="K10" s="20">
        <f>IF($B10="","",N($F10)*N($H10))</f>
        <v/>
      </c>
      <c r="L10" s="20">
        <f>IF($B10="","",N($F10)*N($I10))</f>
        <v/>
      </c>
      <c r="M10" s="5" t="n"/>
      <c r="N10" s="30" t="n"/>
      <c r="O10" s="30" t="n"/>
      <c r="P10" s="30" t="n"/>
      <c r="Q10" s="20">
        <f>IF($N10="","",SUMIF($A$4:$A$303,$N10,$J$4:$J$303))</f>
        <v/>
      </c>
      <c r="R10" s="20">
        <f>IF($N10="","",SUMIF($A$4:$A$303,$N10,$K$4:$K$303))</f>
        <v/>
      </c>
      <c r="S10" s="20">
        <f>IF($N10="","",SUMIF($A$4:$A$303,$N10,$L$4:$L$303))</f>
        <v/>
      </c>
      <c r="T10" s="20">
        <f>IF($N10="","",N(Q10)+N(R10)+N(S10))</f>
        <v/>
      </c>
    </row>
    <row r="11">
      <c r="A11" s="30" t="n"/>
      <c r="B11" s="30" t="n"/>
      <c r="C11" s="18">
        <f>IF($B11="","",IFERROR(VLOOKUP($B11,단가마스터!$A$4:$H$303,2,FALSE),"⚠️단가마스터에 없음"))</f>
        <v/>
      </c>
      <c r="D11" s="18">
        <f>IF($B11="","",IFERROR(VLOOKUP($B11,단가마스터!$A$4:$H$303,3,FALSE),""))</f>
        <v/>
      </c>
      <c r="E11" s="18">
        <f>IF($B11="","",IFERROR(VLOOKUP($B11,단가마스터!$A$4:$H$303,4,FALSE),""))</f>
        <v/>
      </c>
      <c r="F11" s="30" t="n"/>
      <c r="G11" s="20">
        <f>IF($B11="","",IFERROR(VLOOKUP($B11,단가마스터!$A$4:$H$303,5,FALSE),0))</f>
        <v/>
      </c>
      <c r="H11" s="20">
        <f>IF($B11="","",IFERROR(VLOOKUP($B11,단가마스터!$A$4:$H$303,6,FALSE),0))</f>
        <v/>
      </c>
      <c r="I11" s="20">
        <f>IF($B11="","",IFERROR(VLOOKUP($B11,단가마스터!$A$4:$H$303,7,FALSE),0))</f>
        <v/>
      </c>
      <c r="J11" s="20">
        <f>IF($B11="","",N($F11)*N($G11))</f>
        <v/>
      </c>
      <c r="K11" s="20">
        <f>IF($B11="","",N($F11)*N($H11))</f>
        <v/>
      </c>
      <c r="L11" s="20">
        <f>IF($B11="","",N($F11)*N($I11))</f>
        <v/>
      </c>
      <c r="M11" s="5" t="n"/>
      <c r="N11" s="30" t="n"/>
      <c r="O11" s="30" t="n"/>
      <c r="P11" s="30" t="n"/>
      <c r="Q11" s="20">
        <f>IF($N11="","",SUMIF($A$4:$A$303,$N11,$J$4:$J$303))</f>
        <v/>
      </c>
      <c r="R11" s="20">
        <f>IF($N11="","",SUMIF($A$4:$A$303,$N11,$K$4:$K$303))</f>
        <v/>
      </c>
      <c r="S11" s="20">
        <f>IF($N11="","",SUMIF($A$4:$A$303,$N11,$L$4:$L$303))</f>
        <v/>
      </c>
      <c r="T11" s="20">
        <f>IF($N11="","",N(Q11)+N(R11)+N(S11))</f>
        <v/>
      </c>
    </row>
    <row r="12">
      <c r="A12" s="30" t="n"/>
      <c r="B12" s="30" t="n"/>
      <c r="C12" s="18">
        <f>IF($B12="","",IFERROR(VLOOKUP($B12,단가마스터!$A$4:$H$303,2,FALSE),"⚠️단가마스터에 없음"))</f>
        <v/>
      </c>
      <c r="D12" s="18">
        <f>IF($B12="","",IFERROR(VLOOKUP($B12,단가마스터!$A$4:$H$303,3,FALSE),""))</f>
        <v/>
      </c>
      <c r="E12" s="18">
        <f>IF($B12="","",IFERROR(VLOOKUP($B12,단가마스터!$A$4:$H$303,4,FALSE),""))</f>
        <v/>
      </c>
      <c r="F12" s="30" t="n"/>
      <c r="G12" s="20">
        <f>IF($B12="","",IFERROR(VLOOKUP($B12,단가마스터!$A$4:$H$303,5,FALSE),0))</f>
        <v/>
      </c>
      <c r="H12" s="20">
        <f>IF($B12="","",IFERROR(VLOOKUP($B12,단가마스터!$A$4:$H$303,6,FALSE),0))</f>
        <v/>
      </c>
      <c r="I12" s="20">
        <f>IF($B12="","",IFERROR(VLOOKUP($B12,단가마스터!$A$4:$H$303,7,FALSE),0))</f>
        <v/>
      </c>
      <c r="J12" s="20">
        <f>IF($B12="","",N($F12)*N($G12))</f>
        <v/>
      </c>
      <c r="K12" s="20">
        <f>IF($B12="","",N($F12)*N($H12))</f>
        <v/>
      </c>
      <c r="L12" s="20">
        <f>IF($B12="","",N($F12)*N($I12))</f>
        <v/>
      </c>
      <c r="M12" s="5" t="n"/>
      <c r="N12" s="30" t="n"/>
      <c r="O12" s="30" t="n"/>
      <c r="P12" s="30" t="n"/>
      <c r="Q12" s="20">
        <f>IF($N12="","",SUMIF($A$4:$A$303,$N12,$J$4:$J$303))</f>
        <v/>
      </c>
      <c r="R12" s="20">
        <f>IF($N12="","",SUMIF($A$4:$A$303,$N12,$K$4:$K$303))</f>
        <v/>
      </c>
      <c r="S12" s="20">
        <f>IF($N12="","",SUMIF($A$4:$A$303,$N12,$L$4:$L$303))</f>
        <v/>
      </c>
      <c r="T12" s="20">
        <f>IF($N12="","",N(Q12)+N(R12)+N(S12))</f>
        <v/>
      </c>
    </row>
    <row r="13">
      <c r="A13" s="30" t="n"/>
      <c r="B13" s="30" t="n"/>
      <c r="C13" s="18">
        <f>IF($B13="","",IFERROR(VLOOKUP($B13,단가마스터!$A$4:$H$303,2,FALSE),"⚠️단가마스터에 없음"))</f>
        <v/>
      </c>
      <c r="D13" s="18">
        <f>IF($B13="","",IFERROR(VLOOKUP($B13,단가마스터!$A$4:$H$303,3,FALSE),""))</f>
        <v/>
      </c>
      <c r="E13" s="18">
        <f>IF($B13="","",IFERROR(VLOOKUP($B13,단가마스터!$A$4:$H$303,4,FALSE),""))</f>
        <v/>
      </c>
      <c r="F13" s="30" t="n"/>
      <c r="G13" s="20">
        <f>IF($B13="","",IFERROR(VLOOKUP($B13,단가마스터!$A$4:$H$303,5,FALSE),0))</f>
        <v/>
      </c>
      <c r="H13" s="20">
        <f>IF($B13="","",IFERROR(VLOOKUP($B13,단가마스터!$A$4:$H$303,6,FALSE),0))</f>
        <v/>
      </c>
      <c r="I13" s="20">
        <f>IF($B13="","",IFERROR(VLOOKUP($B13,단가마스터!$A$4:$H$303,7,FALSE),0))</f>
        <v/>
      </c>
      <c r="J13" s="20">
        <f>IF($B13="","",N($F13)*N($G13))</f>
        <v/>
      </c>
      <c r="K13" s="20">
        <f>IF($B13="","",N($F13)*N($H13))</f>
        <v/>
      </c>
      <c r="L13" s="20">
        <f>IF($B13="","",N($F13)*N($I13))</f>
        <v/>
      </c>
      <c r="M13" s="5" t="n"/>
      <c r="N13" s="30" t="n"/>
      <c r="O13" s="30" t="n"/>
      <c r="P13" s="30" t="n"/>
      <c r="Q13" s="20">
        <f>IF($N13="","",SUMIF($A$4:$A$303,$N13,$J$4:$J$303))</f>
        <v/>
      </c>
      <c r="R13" s="20">
        <f>IF($N13="","",SUMIF($A$4:$A$303,$N13,$K$4:$K$303))</f>
        <v/>
      </c>
      <c r="S13" s="20">
        <f>IF($N13="","",SUMIF($A$4:$A$303,$N13,$L$4:$L$303))</f>
        <v/>
      </c>
      <c r="T13" s="20">
        <f>IF($N13="","",N(Q13)+N(R13)+N(S13))</f>
        <v/>
      </c>
    </row>
    <row r="14">
      <c r="A14" s="30" t="n"/>
      <c r="B14" s="30" t="n"/>
      <c r="C14" s="18">
        <f>IF($B14="","",IFERROR(VLOOKUP($B14,단가마스터!$A$4:$H$303,2,FALSE),"⚠️단가마스터에 없음"))</f>
        <v/>
      </c>
      <c r="D14" s="18">
        <f>IF($B14="","",IFERROR(VLOOKUP($B14,단가마스터!$A$4:$H$303,3,FALSE),""))</f>
        <v/>
      </c>
      <c r="E14" s="18">
        <f>IF($B14="","",IFERROR(VLOOKUP($B14,단가마스터!$A$4:$H$303,4,FALSE),""))</f>
        <v/>
      </c>
      <c r="F14" s="30" t="n"/>
      <c r="G14" s="20">
        <f>IF($B14="","",IFERROR(VLOOKUP($B14,단가마스터!$A$4:$H$303,5,FALSE),0))</f>
        <v/>
      </c>
      <c r="H14" s="20">
        <f>IF($B14="","",IFERROR(VLOOKUP($B14,단가마스터!$A$4:$H$303,6,FALSE),0))</f>
        <v/>
      </c>
      <c r="I14" s="20">
        <f>IF($B14="","",IFERROR(VLOOKUP($B14,단가마스터!$A$4:$H$303,7,FALSE),0))</f>
        <v/>
      </c>
      <c r="J14" s="20">
        <f>IF($B14="","",N($F14)*N($G14))</f>
        <v/>
      </c>
      <c r="K14" s="20">
        <f>IF($B14="","",N($F14)*N($H14))</f>
        <v/>
      </c>
      <c r="L14" s="20">
        <f>IF($B14="","",N($F14)*N($I14))</f>
        <v/>
      </c>
      <c r="M14" s="5" t="n"/>
      <c r="N14" s="30" t="n"/>
      <c r="O14" s="30" t="n"/>
      <c r="P14" s="30" t="n"/>
      <c r="Q14" s="20">
        <f>IF($N14="","",SUMIF($A$4:$A$303,$N14,$J$4:$J$303))</f>
        <v/>
      </c>
      <c r="R14" s="20">
        <f>IF($N14="","",SUMIF($A$4:$A$303,$N14,$K$4:$K$303))</f>
        <v/>
      </c>
      <c r="S14" s="20">
        <f>IF($N14="","",SUMIF($A$4:$A$303,$N14,$L$4:$L$303))</f>
        <v/>
      </c>
      <c r="T14" s="20">
        <f>IF($N14="","",N(Q14)+N(R14)+N(S14))</f>
        <v/>
      </c>
    </row>
    <row r="15">
      <c r="A15" s="30" t="n"/>
      <c r="B15" s="30" t="n"/>
      <c r="C15" s="18">
        <f>IF($B15="","",IFERROR(VLOOKUP($B15,단가마스터!$A$4:$H$303,2,FALSE),"⚠️단가마스터에 없음"))</f>
        <v/>
      </c>
      <c r="D15" s="18">
        <f>IF($B15="","",IFERROR(VLOOKUP($B15,단가마스터!$A$4:$H$303,3,FALSE),""))</f>
        <v/>
      </c>
      <c r="E15" s="18">
        <f>IF($B15="","",IFERROR(VLOOKUP($B15,단가마스터!$A$4:$H$303,4,FALSE),""))</f>
        <v/>
      </c>
      <c r="F15" s="30" t="n"/>
      <c r="G15" s="20">
        <f>IF($B15="","",IFERROR(VLOOKUP($B15,단가마스터!$A$4:$H$303,5,FALSE),0))</f>
        <v/>
      </c>
      <c r="H15" s="20">
        <f>IF($B15="","",IFERROR(VLOOKUP($B15,단가마스터!$A$4:$H$303,6,FALSE),0))</f>
        <v/>
      </c>
      <c r="I15" s="20">
        <f>IF($B15="","",IFERROR(VLOOKUP($B15,단가마스터!$A$4:$H$303,7,FALSE),0))</f>
        <v/>
      </c>
      <c r="J15" s="20">
        <f>IF($B15="","",N($F15)*N($G15))</f>
        <v/>
      </c>
      <c r="K15" s="20">
        <f>IF($B15="","",N($F15)*N($H15))</f>
        <v/>
      </c>
      <c r="L15" s="20">
        <f>IF($B15="","",N($F15)*N($I15))</f>
        <v/>
      </c>
      <c r="M15" s="5" t="n"/>
      <c r="N15" s="30" t="n"/>
      <c r="O15" s="30" t="n"/>
      <c r="P15" s="30" t="n"/>
      <c r="Q15" s="20">
        <f>IF($N15="","",SUMIF($A$4:$A$303,$N15,$J$4:$J$303))</f>
        <v/>
      </c>
      <c r="R15" s="20">
        <f>IF($N15="","",SUMIF($A$4:$A$303,$N15,$K$4:$K$303))</f>
        <v/>
      </c>
      <c r="S15" s="20">
        <f>IF($N15="","",SUMIF($A$4:$A$303,$N15,$L$4:$L$303))</f>
        <v/>
      </c>
      <c r="T15" s="20">
        <f>IF($N15="","",N(Q15)+N(R15)+N(S15))</f>
        <v/>
      </c>
    </row>
    <row r="16">
      <c r="A16" s="30" t="n"/>
      <c r="B16" s="30" t="n"/>
      <c r="C16" s="18">
        <f>IF($B16="","",IFERROR(VLOOKUP($B16,단가마스터!$A$4:$H$303,2,FALSE),"⚠️단가마스터에 없음"))</f>
        <v/>
      </c>
      <c r="D16" s="18">
        <f>IF($B16="","",IFERROR(VLOOKUP($B16,단가마스터!$A$4:$H$303,3,FALSE),""))</f>
        <v/>
      </c>
      <c r="E16" s="18">
        <f>IF($B16="","",IFERROR(VLOOKUP($B16,단가마스터!$A$4:$H$303,4,FALSE),""))</f>
        <v/>
      </c>
      <c r="F16" s="30" t="n"/>
      <c r="G16" s="20">
        <f>IF($B16="","",IFERROR(VLOOKUP($B16,단가마스터!$A$4:$H$303,5,FALSE),0))</f>
        <v/>
      </c>
      <c r="H16" s="20">
        <f>IF($B16="","",IFERROR(VLOOKUP($B16,단가마스터!$A$4:$H$303,6,FALSE),0))</f>
        <v/>
      </c>
      <c r="I16" s="20">
        <f>IF($B16="","",IFERROR(VLOOKUP($B16,단가마스터!$A$4:$H$303,7,FALSE),0))</f>
        <v/>
      </c>
      <c r="J16" s="20">
        <f>IF($B16="","",N($F16)*N($G16))</f>
        <v/>
      </c>
      <c r="K16" s="20">
        <f>IF($B16="","",N($F16)*N($H16))</f>
        <v/>
      </c>
      <c r="L16" s="20">
        <f>IF($B16="","",N($F16)*N($I16))</f>
        <v/>
      </c>
      <c r="M16" s="5" t="n"/>
      <c r="N16" s="30" t="n"/>
      <c r="O16" s="30" t="n"/>
      <c r="P16" s="30" t="n"/>
      <c r="Q16" s="20">
        <f>IF($N16="","",SUMIF($A$4:$A$303,$N16,$J$4:$J$303))</f>
        <v/>
      </c>
      <c r="R16" s="20">
        <f>IF($N16="","",SUMIF($A$4:$A$303,$N16,$K$4:$K$303))</f>
        <v/>
      </c>
      <c r="S16" s="20">
        <f>IF($N16="","",SUMIF($A$4:$A$303,$N16,$L$4:$L$303))</f>
        <v/>
      </c>
      <c r="T16" s="20">
        <f>IF($N16="","",N(Q16)+N(R16)+N(S16))</f>
        <v/>
      </c>
    </row>
    <row r="17">
      <c r="A17" s="30" t="n"/>
      <c r="B17" s="30" t="n"/>
      <c r="C17" s="18">
        <f>IF($B17="","",IFERROR(VLOOKUP($B17,단가마스터!$A$4:$H$303,2,FALSE),"⚠️단가마스터에 없음"))</f>
        <v/>
      </c>
      <c r="D17" s="18">
        <f>IF($B17="","",IFERROR(VLOOKUP($B17,단가마스터!$A$4:$H$303,3,FALSE),""))</f>
        <v/>
      </c>
      <c r="E17" s="18">
        <f>IF($B17="","",IFERROR(VLOOKUP($B17,단가마스터!$A$4:$H$303,4,FALSE),""))</f>
        <v/>
      </c>
      <c r="F17" s="30" t="n"/>
      <c r="G17" s="20">
        <f>IF($B17="","",IFERROR(VLOOKUP($B17,단가마스터!$A$4:$H$303,5,FALSE),0))</f>
        <v/>
      </c>
      <c r="H17" s="20">
        <f>IF($B17="","",IFERROR(VLOOKUP($B17,단가마스터!$A$4:$H$303,6,FALSE),0))</f>
        <v/>
      </c>
      <c r="I17" s="20">
        <f>IF($B17="","",IFERROR(VLOOKUP($B17,단가마스터!$A$4:$H$303,7,FALSE),0))</f>
        <v/>
      </c>
      <c r="J17" s="20">
        <f>IF($B17="","",N($F17)*N($G17))</f>
        <v/>
      </c>
      <c r="K17" s="20">
        <f>IF($B17="","",N($F17)*N($H17))</f>
        <v/>
      </c>
      <c r="L17" s="20">
        <f>IF($B17="","",N($F17)*N($I17))</f>
        <v/>
      </c>
      <c r="M17" s="5" t="n"/>
      <c r="N17" s="30" t="n"/>
      <c r="O17" s="30" t="n"/>
      <c r="P17" s="30" t="n"/>
      <c r="Q17" s="20">
        <f>IF($N17="","",SUMIF($A$4:$A$303,$N17,$J$4:$J$303))</f>
        <v/>
      </c>
      <c r="R17" s="20">
        <f>IF($N17="","",SUMIF($A$4:$A$303,$N17,$K$4:$K$303))</f>
        <v/>
      </c>
      <c r="S17" s="20">
        <f>IF($N17="","",SUMIF($A$4:$A$303,$N17,$L$4:$L$303))</f>
        <v/>
      </c>
      <c r="T17" s="20">
        <f>IF($N17="","",N(Q17)+N(R17)+N(S17))</f>
        <v/>
      </c>
    </row>
    <row r="18">
      <c r="A18" s="30" t="n"/>
      <c r="B18" s="30" t="n"/>
      <c r="C18" s="18">
        <f>IF($B18="","",IFERROR(VLOOKUP($B18,단가마스터!$A$4:$H$303,2,FALSE),"⚠️단가마스터에 없음"))</f>
        <v/>
      </c>
      <c r="D18" s="18">
        <f>IF($B18="","",IFERROR(VLOOKUP($B18,단가마스터!$A$4:$H$303,3,FALSE),""))</f>
        <v/>
      </c>
      <c r="E18" s="18">
        <f>IF($B18="","",IFERROR(VLOOKUP($B18,단가마스터!$A$4:$H$303,4,FALSE),""))</f>
        <v/>
      </c>
      <c r="F18" s="30" t="n"/>
      <c r="G18" s="20">
        <f>IF($B18="","",IFERROR(VLOOKUP($B18,단가마스터!$A$4:$H$303,5,FALSE),0))</f>
        <v/>
      </c>
      <c r="H18" s="20">
        <f>IF($B18="","",IFERROR(VLOOKUP($B18,단가마스터!$A$4:$H$303,6,FALSE),0))</f>
        <v/>
      </c>
      <c r="I18" s="20">
        <f>IF($B18="","",IFERROR(VLOOKUP($B18,단가마스터!$A$4:$H$303,7,FALSE),0))</f>
        <v/>
      </c>
      <c r="J18" s="20">
        <f>IF($B18="","",N($F18)*N($G18))</f>
        <v/>
      </c>
      <c r="K18" s="20">
        <f>IF($B18="","",N($F18)*N($H18))</f>
        <v/>
      </c>
      <c r="L18" s="20">
        <f>IF($B18="","",N($F18)*N($I18))</f>
        <v/>
      </c>
      <c r="M18" s="5" t="n"/>
      <c r="N18" s="30" t="n"/>
      <c r="O18" s="30" t="n"/>
      <c r="P18" s="30" t="n"/>
      <c r="Q18" s="20">
        <f>IF($N18="","",SUMIF($A$4:$A$303,$N18,$J$4:$J$303))</f>
        <v/>
      </c>
      <c r="R18" s="20">
        <f>IF($N18="","",SUMIF($A$4:$A$303,$N18,$K$4:$K$303))</f>
        <v/>
      </c>
      <c r="S18" s="20">
        <f>IF($N18="","",SUMIF($A$4:$A$303,$N18,$L$4:$L$303))</f>
        <v/>
      </c>
      <c r="T18" s="20">
        <f>IF($N18="","",N(Q18)+N(R18)+N(S18))</f>
        <v/>
      </c>
    </row>
    <row r="19">
      <c r="A19" s="30" t="n"/>
      <c r="B19" s="30" t="n"/>
      <c r="C19" s="18">
        <f>IF($B19="","",IFERROR(VLOOKUP($B19,단가마스터!$A$4:$H$303,2,FALSE),"⚠️단가마스터에 없음"))</f>
        <v/>
      </c>
      <c r="D19" s="18">
        <f>IF($B19="","",IFERROR(VLOOKUP($B19,단가마스터!$A$4:$H$303,3,FALSE),""))</f>
        <v/>
      </c>
      <c r="E19" s="18">
        <f>IF($B19="","",IFERROR(VLOOKUP($B19,단가마스터!$A$4:$H$303,4,FALSE),""))</f>
        <v/>
      </c>
      <c r="F19" s="30" t="n"/>
      <c r="G19" s="20">
        <f>IF($B19="","",IFERROR(VLOOKUP($B19,단가마스터!$A$4:$H$303,5,FALSE),0))</f>
        <v/>
      </c>
      <c r="H19" s="20">
        <f>IF($B19="","",IFERROR(VLOOKUP($B19,단가마스터!$A$4:$H$303,6,FALSE),0))</f>
        <v/>
      </c>
      <c r="I19" s="20">
        <f>IF($B19="","",IFERROR(VLOOKUP($B19,단가마스터!$A$4:$H$303,7,FALSE),0))</f>
        <v/>
      </c>
      <c r="J19" s="20">
        <f>IF($B19="","",N($F19)*N($G19))</f>
        <v/>
      </c>
      <c r="K19" s="20">
        <f>IF($B19="","",N($F19)*N($H19))</f>
        <v/>
      </c>
      <c r="L19" s="20">
        <f>IF($B19="","",N($F19)*N($I19))</f>
        <v/>
      </c>
      <c r="M19" s="5" t="n"/>
      <c r="N19" s="30" t="n"/>
      <c r="O19" s="30" t="n"/>
      <c r="P19" s="30" t="n"/>
      <c r="Q19" s="20">
        <f>IF($N19="","",SUMIF($A$4:$A$303,$N19,$J$4:$J$303))</f>
        <v/>
      </c>
      <c r="R19" s="20">
        <f>IF($N19="","",SUMIF($A$4:$A$303,$N19,$K$4:$K$303))</f>
        <v/>
      </c>
      <c r="S19" s="20">
        <f>IF($N19="","",SUMIF($A$4:$A$303,$N19,$L$4:$L$303))</f>
        <v/>
      </c>
      <c r="T19" s="20">
        <f>IF($N19="","",N(Q19)+N(R19)+N(S19))</f>
        <v/>
      </c>
    </row>
    <row r="20">
      <c r="A20" s="30" t="n"/>
      <c r="B20" s="30" t="n"/>
      <c r="C20" s="18">
        <f>IF($B20="","",IFERROR(VLOOKUP($B20,단가마스터!$A$4:$H$303,2,FALSE),"⚠️단가마스터에 없음"))</f>
        <v/>
      </c>
      <c r="D20" s="18">
        <f>IF($B20="","",IFERROR(VLOOKUP($B20,단가마스터!$A$4:$H$303,3,FALSE),""))</f>
        <v/>
      </c>
      <c r="E20" s="18">
        <f>IF($B20="","",IFERROR(VLOOKUP($B20,단가마스터!$A$4:$H$303,4,FALSE),""))</f>
        <v/>
      </c>
      <c r="F20" s="30" t="n"/>
      <c r="G20" s="20">
        <f>IF($B20="","",IFERROR(VLOOKUP($B20,단가마스터!$A$4:$H$303,5,FALSE),0))</f>
        <v/>
      </c>
      <c r="H20" s="20">
        <f>IF($B20="","",IFERROR(VLOOKUP($B20,단가마스터!$A$4:$H$303,6,FALSE),0))</f>
        <v/>
      </c>
      <c r="I20" s="20">
        <f>IF($B20="","",IFERROR(VLOOKUP($B20,단가마스터!$A$4:$H$303,7,FALSE),0))</f>
        <v/>
      </c>
      <c r="J20" s="20">
        <f>IF($B20="","",N($F20)*N($G20))</f>
        <v/>
      </c>
      <c r="K20" s="20">
        <f>IF($B20="","",N($F20)*N($H20))</f>
        <v/>
      </c>
      <c r="L20" s="20">
        <f>IF($B20="","",N($F20)*N($I20))</f>
        <v/>
      </c>
      <c r="M20" s="5" t="n"/>
      <c r="N20" s="30" t="n"/>
      <c r="O20" s="30" t="n"/>
      <c r="P20" s="30" t="n"/>
      <c r="Q20" s="20">
        <f>IF($N20="","",SUMIF($A$4:$A$303,$N20,$J$4:$J$303))</f>
        <v/>
      </c>
      <c r="R20" s="20">
        <f>IF($N20="","",SUMIF($A$4:$A$303,$N20,$K$4:$K$303))</f>
        <v/>
      </c>
      <c r="S20" s="20">
        <f>IF($N20="","",SUMIF($A$4:$A$303,$N20,$L$4:$L$303))</f>
        <v/>
      </c>
      <c r="T20" s="20">
        <f>IF($N20="","",N(Q20)+N(R20)+N(S20))</f>
        <v/>
      </c>
    </row>
    <row r="21">
      <c r="A21" s="30" t="n"/>
      <c r="B21" s="30" t="n"/>
      <c r="C21" s="18">
        <f>IF($B21="","",IFERROR(VLOOKUP($B21,단가마스터!$A$4:$H$303,2,FALSE),"⚠️단가마스터에 없음"))</f>
        <v/>
      </c>
      <c r="D21" s="18">
        <f>IF($B21="","",IFERROR(VLOOKUP($B21,단가마스터!$A$4:$H$303,3,FALSE),""))</f>
        <v/>
      </c>
      <c r="E21" s="18">
        <f>IF($B21="","",IFERROR(VLOOKUP($B21,단가마스터!$A$4:$H$303,4,FALSE),""))</f>
        <v/>
      </c>
      <c r="F21" s="30" t="n"/>
      <c r="G21" s="20">
        <f>IF($B21="","",IFERROR(VLOOKUP($B21,단가마스터!$A$4:$H$303,5,FALSE),0))</f>
        <v/>
      </c>
      <c r="H21" s="20">
        <f>IF($B21="","",IFERROR(VLOOKUP($B21,단가마스터!$A$4:$H$303,6,FALSE),0))</f>
        <v/>
      </c>
      <c r="I21" s="20">
        <f>IF($B21="","",IFERROR(VLOOKUP($B21,단가마스터!$A$4:$H$303,7,FALSE),0))</f>
        <v/>
      </c>
      <c r="J21" s="20">
        <f>IF($B21="","",N($F21)*N($G21))</f>
        <v/>
      </c>
      <c r="K21" s="20">
        <f>IF($B21="","",N($F21)*N($H21))</f>
        <v/>
      </c>
      <c r="L21" s="20">
        <f>IF($B21="","",N($F21)*N($I21))</f>
        <v/>
      </c>
      <c r="M21" s="5" t="n"/>
      <c r="N21" s="30" t="n"/>
      <c r="O21" s="30" t="n"/>
      <c r="P21" s="30" t="n"/>
      <c r="Q21" s="20">
        <f>IF($N21="","",SUMIF($A$4:$A$303,$N21,$J$4:$J$303))</f>
        <v/>
      </c>
      <c r="R21" s="20">
        <f>IF($N21="","",SUMIF($A$4:$A$303,$N21,$K$4:$K$303))</f>
        <v/>
      </c>
      <c r="S21" s="20">
        <f>IF($N21="","",SUMIF($A$4:$A$303,$N21,$L$4:$L$303))</f>
        <v/>
      </c>
      <c r="T21" s="20">
        <f>IF($N21="","",N(Q21)+N(R21)+N(S21))</f>
        <v/>
      </c>
    </row>
    <row r="22">
      <c r="A22" s="30" t="n"/>
      <c r="B22" s="30" t="n"/>
      <c r="C22" s="18">
        <f>IF($B22="","",IFERROR(VLOOKUP($B22,단가마스터!$A$4:$H$303,2,FALSE),"⚠️단가마스터에 없음"))</f>
        <v/>
      </c>
      <c r="D22" s="18">
        <f>IF($B22="","",IFERROR(VLOOKUP($B22,단가마스터!$A$4:$H$303,3,FALSE),""))</f>
        <v/>
      </c>
      <c r="E22" s="18">
        <f>IF($B22="","",IFERROR(VLOOKUP($B22,단가마스터!$A$4:$H$303,4,FALSE),""))</f>
        <v/>
      </c>
      <c r="F22" s="30" t="n"/>
      <c r="G22" s="20">
        <f>IF($B22="","",IFERROR(VLOOKUP($B22,단가마스터!$A$4:$H$303,5,FALSE),0))</f>
        <v/>
      </c>
      <c r="H22" s="20">
        <f>IF($B22="","",IFERROR(VLOOKUP($B22,단가마스터!$A$4:$H$303,6,FALSE),0))</f>
        <v/>
      </c>
      <c r="I22" s="20">
        <f>IF($B22="","",IFERROR(VLOOKUP($B22,단가마스터!$A$4:$H$303,7,FALSE),0))</f>
        <v/>
      </c>
      <c r="J22" s="20">
        <f>IF($B22="","",N($F22)*N($G22))</f>
        <v/>
      </c>
      <c r="K22" s="20">
        <f>IF($B22="","",N($F22)*N($H22))</f>
        <v/>
      </c>
      <c r="L22" s="20">
        <f>IF($B22="","",N($F22)*N($I22))</f>
        <v/>
      </c>
      <c r="M22" s="5" t="n"/>
      <c r="N22" s="30" t="n"/>
      <c r="O22" s="30" t="n"/>
      <c r="P22" s="30" t="n"/>
      <c r="Q22" s="20">
        <f>IF($N22="","",SUMIF($A$4:$A$303,$N22,$J$4:$J$303))</f>
        <v/>
      </c>
      <c r="R22" s="20">
        <f>IF($N22="","",SUMIF($A$4:$A$303,$N22,$K$4:$K$303))</f>
        <v/>
      </c>
      <c r="S22" s="20">
        <f>IF($N22="","",SUMIF($A$4:$A$303,$N22,$L$4:$L$303))</f>
        <v/>
      </c>
      <c r="T22" s="20">
        <f>IF($N22="","",N(Q22)+N(R22)+N(S22))</f>
        <v/>
      </c>
    </row>
    <row r="23">
      <c r="A23" s="30" t="n"/>
      <c r="B23" s="30" t="n"/>
      <c r="C23" s="18">
        <f>IF($B23="","",IFERROR(VLOOKUP($B23,단가마스터!$A$4:$H$303,2,FALSE),"⚠️단가마스터에 없음"))</f>
        <v/>
      </c>
      <c r="D23" s="18">
        <f>IF($B23="","",IFERROR(VLOOKUP($B23,단가마스터!$A$4:$H$303,3,FALSE),""))</f>
        <v/>
      </c>
      <c r="E23" s="18">
        <f>IF($B23="","",IFERROR(VLOOKUP($B23,단가마스터!$A$4:$H$303,4,FALSE),""))</f>
        <v/>
      </c>
      <c r="F23" s="30" t="n"/>
      <c r="G23" s="20">
        <f>IF($B23="","",IFERROR(VLOOKUP($B23,단가마스터!$A$4:$H$303,5,FALSE),0))</f>
        <v/>
      </c>
      <c r="H23" s="20">
        <f>IF($B23="","",IFERROR(VLOOKUP($B23,단가마스터!$A$4:$H$303,6,FALSE),0))</f>
        <v/>
      </c>
      <c r="I23" s="20">
        <f>IF($B23="","",IFERROR(VLOOKUP($B23,단가마스터!$A$4:$H$303,7,FALSE),0))</f>
        <v/>
      </c>
      <c r="J23" s="20">
        <f>IF($B23="","",N($F23)*N($G23))</f>
        <v/>
      </c>
      <c r="K23" s="20">
        <f>IF($B23="","",N($F23)*N($H23))</f>
        <v/>
      </c>
      <c r="L23" s="20">
        <f>IF($B23="","",N($F23)*N($I23))</f>
        <v/>
      </c>
      <c r="M23" s="5" t="n"/>
      <c r="N23" s="30" t="n"/>
      <c r="O23" s="30" t="n"/>
      <c r="P23" s="30" t="n"/>
      <c r="Q23" s="20">
        <f>IF($N23="","",SUMIF($A$4:$A$303,$N23,$J$4:$J$303))</f>
        <v/>
      </c>
      <c r="R23" s="20">
        <f>IF($N23="","",SUMIF($A$4:$A$303,$N23,$K$4:$K$303))</f>
        <v/>
      </c>
      <c r="S23" s="20">
        <f>IF($N23="","",SUMIF($A$4:$A$303,$N23,$L$4:$L$303))</f>
        <v/>
      </c>
      <c r="T23" s="20">
        <f>IF($N23="","",N(Q23)+N(R23)+N(S23))</f>
        <v/>
      </c>
    </row>
    <row r="24">
      <c r="A24" s="30" t="n"/>
      <c r="B24" s="30" t="n"/>
      <c r="C24" s="18">
        <f>IF($B24="","",IFERROR(VLOOKUP($B24,단가마스터!$A$4:$H$303,2,FALSE),"⚠️단가마스터에 없음"))</f>
        <v/>
      </c>
      <c r="D24" s="18">
        <f>IF($B24="","",IFERROR(VLOOKUP($B24,단가마스터!$A$4:$H$303,3,FALSE),""))</f>
        <v/>
      </c>
      <c r="E24" s="18">
        <f>IF($B24="","",IFERROR(VLOOKUP($B24,단가마스터!$A$4:$H$303,4,FALSE),""))</f>
        <v/>
      </c>
      <c r="F24" s="30" t="n"/>
      <c r="G24" s="20">
        <f>IF($B24="","",IFERROR(VLOOKUP($B24,단가마스터!$A$4:$H$303,5,FALSE),0))</f>
        <v/>
      </c>
      <c r="H24" s="20">
        <f>IF($B24="","",IFERROR(VLOOKUP($B24,단가마스터!$A$4:$H$303,6,FALSE),0))</f>
        <v/>
      </c>
      <c r="I24" s="20">
        <f>IF($B24="","",IFERROR(VLOOKUP($B24,단가마스터!$A$4:$H$303,7,FALSE),0))</f>
        <v/>
      </c>
      <c r="J24" s="20">
        <f>IF($B24="","",N($F24)*N($G24))</f>
        <v/>
      </c>
      <c r="K24" s="20">
        <f>IF($B24="","",N($F24)*N($H24))</f>
        <v/>
      </c>
      <c r="L24" s="20">
        <f>IF($B24="","",N($F24)*N($I24))</f>
        <v/>
      </c>
      <c r="M24" s="5" t="n"/>
      <c r="N24" s="30" t="n"/>
      <c r="O24" s="30" t="n"/>
      <c r="P24" s="30" t="n"/>
      <c r="Q24" s="20">
        <f>IF($N24="","",SUMIF($A$4:$A$303,$N24,$J$4:$J$303))</f>
        <v/>
      </c>
      <c r="R24" s="20">
        <f>IF($N24="","",SUMIF($A$4:$A$303,$N24,$K$4:$K$303))</f>
        <v/>
      </c>
      <c r="S24" s="20">
        <f>IF($N24="","",SUMIF($A$4:$A$303,$N24,$L$4:$L$303))</f>
        <v/>
      </c>
      <c r="T24" s="20">
        <f>IF($N24="","",N(Q24)+N(R24)+N(S24))</f>
        <v/>
      </c>
    </row>
    <row r="25">
      <c r="A25" s="30" t="n"/>
      <c r="B25" s="30" t="n"/>
      <c r="C25" s="18">
        <f>IF($B25="","",IFERROR(VLOOKUP($B25,단가마스터!$A$4:$H$303,2,FALSE),"⚠️단가마스터에 없음"))</f>
        <v/>
      </c>
      <c r="D25" s="18">
        <f>IF($B25="","",IFERROR(VLOOKUP($B25,단가마스터!$A$4:$H$303,3,FALSE),""))</f>
        <v/>
      </c>
      <c r="E25" s="18">
        <f>IF($B25="","",IFERROR(VLOOKUP($B25,단가마스터!$A$4:$H$303,4,FALSE),""))</f>
        <v/>
      </c>
      <c r="F25" s="30" t="n"/>
      <c r="G25" s="20">
        <f>IF($B25="","",IFERROR(VLOOKUP($B25,단가마스터!$A$4:$H$303,5,FALSE),0))</f>
        <v/>
      </c>
      <c r="H25" s="20">
        <f>IF($B25="","",IFERROR(VLOOKUP($B25,단가마스터!$A$4:$H$303,6,FALSE),0))</f>
        <v/>
      </c>
      <c r="I25" s="20">
        <f>IF($B25="","",IFERROR(VLOOKUP($B25,단가마스터!$A$4:$H$303,7,FALSE),0))</f>
        <v/>
      </c>
      <c r="J25" s="20">
        <f>IF($B25="","",N($F25)*N($G25))</f>
        <v/>
      </c>
      <c r="K25" s="20">
        <f>IF($B25="","",N($F25)*N($H25))</f>
        <v/>
      </c>
      <c r="L25" s="20">
        <f>IF($B25="","",N($F25)*N($I25))</f>
        <v/>
      </c>
      <c r="M25" s="5" t="n"/>
      <c r="N25" s="30" t="n"/>
      <c r="O25" s="30" t="n"/>
      <c r="P25" s="30" t="n"/>
      <c r="Q25" s="20">
        <f>IF($N25="","",SUMIF($A$4:$A$303,$N25,$J$4:$J$303))</f>
        <v/>
      </c>
      <c r="R25" s="20">
        <f>IF($N25="","",SUMIF($A$4:$A$303,$N25,$K$4:$K$303))</f>
        <v/>
      </c>
      <c r="S25" s="20">
        <f>IF($N25="","",SUMIF($A$4:$A$303,$N25,$L$4:$L$303))</f>
        <v/>
      </c>
      <c r="T25" s="20">
        <f>IF($N25="","",N(Q25)+N(R25)+N(S25))</f>
        <v/>
      </c>
    </row>
    <row r="26">
      <c r="A26" s="30" t="n"/>
      <c r="B26" s="30" t="n"/>
      <c r="C26" s="18">
        <f>IF($B26="","",IFERROR(VLOOKUP($B26,단가마스터!$A$4:$H$303,2,FALSE),"⚠️단가마스터에 없음"))</f>
        <v/>
      </c>
      <c r="D26" s="18">
        <f>IF($B26="","",IFERROR(VLOOKUP($B26,단가마스터!$A$4:$H$303,3,FALSE),""))</f>
        <v/>
      </c>
      <c r="E26" s="18">
        <f>IF($B26="","",IFERROR(VLOOKUP($B26,단가마스터!$A$4:$H$303,4,FALSE),""))</f>
        <v/>
      </c>
      <c r="F26" s="30" t="n"/>
      <c r="G26" s="20">
        <f>IF($B26="","",IFERROR(VLOOKUP($B26,단가마스터!$A$4:$H$303,5,FALSE),0))</f>
        <v/>
      </c>
      <c r="H26" s="20">
        <f>IF($B26="","",IFERROR(VLOOKUP($B26,단가마스터!$A$4:$H$303,6,FALSE),0))</f>
        <v/>
      </c>
      <c r="I26" s="20">
        <f>IF($B26="","",IFERROR(VLOOKUP($B26,단가마스터!$A$4:$H$303,7,FALSE),0))</f>
        <v/>
      </c>
      <c r="J26" s="20">
        <f>IF($B26="","",N($F26)*N($G26))</f>
        <v/>
      </c>
      <c r="K26" s="20">
        <f>IF($B26="","",N($F26)*N($H26))</f>
        <v/>
      </c>
      <c r="L26" s="20">
        <f>IF($B26="","",N($F26)*N($I26))</f>
        <v/>
      </c>
      <c r="M26" s="5" t="n"/>
      <c r="N26" s="30" t="n"/>
      <c r="O26" s="30" t="n"/>
      <c r="P26" s="30" t="n"/>
      <c r="Q26" s="20">
        <f>IF($N26="","",SUMIF($A$4:$A$303,$N26,$J$4:$J$303))</f>
        <v/>
      </c>
      <c r="R26" s="20">
        <f>IF($N26="","",SUMIF($A$4:$A$303,$N26,$K$4:$K$303))</f>
        <v/>
      </c>
      <c r="S26" s="20">
        <f>IF($N26="","",SUMIF($A$4:$A$303,$N26,$L$4:$L$303))</f>
        <v/>
      </c>
      <c r="T26" s="20">
        <f>IF($N26="","",N(Q26)+N(R26)+N(S26))</f>
        <v/>
      </c>
    </row>
    <row r="27">
      <c r="A27" s="30" t="n"/>
      <c r="B27" s="30" t="n"/>
      <c r="C27" s="18">
        <f>IF($B27="","",IFERROR(VLOOKUP($B27,단가마스터!$A$4:$H$303,2,FALSE),"⚠️단가마스터에 없음"))</f>
        <v/>
      </c>
      <c r="D27" s="18">
        <f>IF($B27="","",IFERROR(VLOOKUP($B27,단가마스터!$A$4:$H$303,3,FALSE),""))</f>
        <v/>
      </c>
      <c r="E27" s="18">
        <f>IF($B27="","",IFERROR(VLOOKUP($B27,단가마스터!$A$4:$H$303,4,FALSE),""))</f>
        <v/>
      </c>
      <c r="F27" s="30" t="n"/>
      <c r="G27" s="20">
        <f>IF($B27="","",IFERROR(VLOOKUP($B27,단가마스터!$A$4:$H$303,5,FALSE),0))</f>
        <v/>
      </c>
      <c r="H27" s="20">
        <f>IF($B27="","",IFERROR(VLOOKUP($B27,단가마스터!$A$4:$H$303,6,FALSE),0))</f>
        <v/>
      </c>
      <c r="I27" s="20">
        <f>IF($B27="","",IFERROR(VLOOKUP($B27,단가마스터!$A$4:$H$303,7,FALSE),0))</f>
        <v/>
      </c>
      <c r="J27" s="20">
        <f>IF($B27="","",N($F27)*N($G27))</f>
        <v/>
      </c>
      <c r="K27" s="20">
        <f>IF($B27="","",N($F27)*N($H27))</f>
        <v/>
      </c>
      <c r="L27" s="20">
        <f>IF($B27="","",N($F27)*N($I27))</f>
        <v/>
      </c>
      <c r="M27" s="5" t="n"/>
      <c r="N27" s="30" t="n"/>
      <c r="O27" s="30" t="n"/>
      <c r="P27" s="30" t="n"/>
      <c r="Q27" s="20">
        <f>IF($N27="","",SUMIF($A$4:$A$303,$N27,$J$4:$J$303))</f>
        <v/>
      </c>
      <c r="R27" s="20">
        <f>IF($N27="","",SUMIF($A$4:$A$303,$N27,$K$4:$K$303))</f>
        <v/>
      </c>
      <c r="S27" s="20">
        <f>IF($N27="","",SUMIF($A$4:$A$303,$N27,$L$4:$L$303))</f>
        <v/>
      </c>
      <c r="T27" s="20">
        <f>IF($N27="","",N(Q27)+N(R27)+N(S27))</f>
        <v/>
      </c>
    </row>
    <row r="28">
      <c r="A28" s="30" t="n"/>
      <c r="B28" s="30" t="n"/>
      <c r="C28" s="18">
        <f>IF($B28="","",IFERROR(VLOOKUP($B28,단가마스터!$A$4:$H$303,2,FALSE),"⚠️단가마스터에 없음"))</f>
        <v/>
      </c>
      <c r="D28" s="18">
        <f>IF($B28="","",IFERROR(VLOOKUP($B28,단가마스터!$A$4:$H$303,3,FALSE),""))</f>
        <v/>
      </c>
      <c r="E28" s="18">
        <f>IF($B28="","",IFERROR(VLOOKUP($B28,단가마스터!$A$4:$H$303,4,FALSE),""))</f>
        <v/>
      </c>
      <c r="F28" s="30" t="n"/>
      <c r="G28" s="20">
        <f>IF($B28="","",IFERROR(VLOOKUP($B28,단가마스터!$A$4:$H$303,5,FALSE),0))</f>
        <v/>
      </c>
      <c r="H28" s="20">
        <f>IF($B28="","",IFERROR(VLOOKUP($B28,단가마스터!$A$4:$H$303,6,FALSE),0))</f>
        <v/>
      </c>
      <c r="I28" s="20">
        <f>IF($B28="","",IFERROR(VLOOKUP($B28,단가마스터!$A$4:$H$303,7,FALSE),0))</f>
        <v/>
      </c>
      <c r="J28" s="20">
        <f>IF($B28="","",N($F28)*N($G28))</f>
        <v/>
      </c>
      <c r="K28" s="20">
        <f>IF($B28="","",N($F28)*N($H28))</f>
        <v/>
      </c>
      <c r="L28" s="20">
        <f>IF($B28="","",N($F28)*N($I28))</f>
        <v/>
      </c>
      <c r="M28" s="5" t="n"/>
      <c r="N28" s="30" t="n"/>
      <c r="O28" s="30" t="n"/>
      <c r="P28" s="30" t="n"/>
      <c r="Q28" s="20">
        <f>IF($N28="","",SUMIF($A$4:$A$303,$N28,$J$4:$J$303))</f>
        <v/>
      </c>
      <c r="R28" s="20">
        <f>IF($N28="","",SUMIF($A$4:$A$303,$N28,$K$4:$K$303))</f>
        <v/>
      </c>
      <c r="S28" s="20">
        <f>IF($N28="","",SUMIF($A$4:$A$303,$N28,$L$4:$L$303))</f>
        <v/>
      </c>
      <c r="T28" s="20">
        <f>IF($N28="","",N(Q28)+N(R28)+N(S28))</f>
        <v/>
      </c>
    </row>
    <row r="29">
      <c r="A29" s="30" t="n"/>
      <c r="B29" s="30" t="n"/>
      <c r="C29" s="18">
        <f>IF($B29="","",IFERROR(VLOOKUP($B29,단가마스터!$A$4:$H$303,2,FALSE),"⚠️단가마스터에 없음"))</f>
        <v/>
      </c>
      <c r="D29" s="18">
        <f>IF($B29="","",IFERROR(VLOOKUP($B29,단가마스터!$A$4:$H$303,3,FALSE),""))</f>
        <v/>
      </c>
      <c r="E29" s="18">
        <f>IF($B29="","",IFERROR(VLOOKUP($B29,단가마스터!$A$4:$H$303,4,FALSE),""))</f>
        <v/>
      </c>
      <c r="F29" s="30" t="n"/>
      <c r="G29" s="20">
        <f>IF($B29="","",IFERROR(VLOOKUP($B29,단가마스터!$A$4:$H$303,5,FALSE),0))</f>
        <v/>
      </c>
      <c r="H29" s="20">
        <f>IF($B29="","",IFERROR(VLOOKUP($B29,단가마스터!$A$4:$H$303,6,FALSE),0))</f>
        <v/>
      </c>
      <c r="I29" s="20">
        <f>IF($B29="","",IFERROR(VLOOKUP($B29,단가마스터!$A$4:$H$303,7,FALSE),0))</f>
        <v/>
      </c>
      <c r="J29" s="20">
        <f>IF($B29="","",N($F29)*N($G29))</f>
        <v/>
      </c>
      <c r="K29" s="20">
        <f>IF($B29="","",N($F29)*N($H29))</f>
        <v/>
      </c>
      <c r="L29" s="20">
        <f>IF($B29="","",N($F29)*N($I29))</f>
        <v/>
      </c>
      <c r="M29" s="5" t="n"/>
      <c r="N29" s="30" t="n"/>
      <c r="O29" s="30" t="n"/>
      <c r="P29" s="30" t="n"/>
      <c r="Q29" s="20">
        <f>IF($N29="","",SUMIF($A$4:$A$303,$N29,$J$4:$J$303))</f>
        <v/>
      </c>
      <c r="R29" s="20">
        <f>IF($N29="","",SUMIF($A$4:$A$303,$N29,$K$4:$K$303))</f>
        <v/>
      </c>
      <c r="S29" s="20">
        <f>IF($N29="","",SUMIF($A$4:$A$303,$N29,$L$4:$L$303))</f>
        <v/>
      </c>
      <c r="T29" s="20">
        <f>IF($N29="","",N(Q29)+N(R29)+N(S29))</f>
        <v/>
      </c>
    </row>
    <row r="30">
      <c r="A30" s="30" t="n"/>
      <c r="B30" s="30" t="n"/>
      <c r="C30" s="18">
        <f>IF($B30="","",IFERROR(VLOOKUP($B30,단가마스터!$A$4:$H$303,2,FALSE),"⚠️단가마스터에 없음"))</f>
        <v/>
      </c>
      <c r="D30" s="18">
        <f>IF($B30="","",IFERROR(VLOOKUP($B30,단가마스터!$A$4:$H$303,3,FALSE),""))</f>
        <v/>
      </c>
      <c r="E30" s="18">
        <f>IF($B30="","",IFERROR(VLOOKUP($B30,단가마스터!$A$4:$H$303,4,FALSE),""))</f>
        <v/>
      </c>
      <c r="F30" s="30" t="n"/>
      <c r="G30" s="20">
        <f>IF($B30="","",IFERROR(VLOOKUP($B30,단가마스터!$A$4:$H$303,5,FALSE),0))</f>
        <v/>
      </c>
      <c r="H30" s="20">
        <f>IF($B30="","",IFERROR(VLOOKUP($B30,단가마스터!$A$4:$H$303,6,FALSE),0))</f>
        <v/>
      </c>
      <c r="I30" s="20">
        <f>IF($B30="","",IFERROR(VLOOKUP($B30,단가마스터!$A$4:$H$303,7,FALSE),0))</f>
        <v/>
      </c>
      <c r="J30" s="20">
        <f>IF($B30="","",N($F30)*N($G30))</f>
        <v/>
      </c>
      <c r="K30" s="20">
        <f>IF($B30="","",N($F30)*N($H30))</f>
        <v/>
      </c>
      <c r="L30" s="20">
        <f>IF($B30="","",N($F30)*N($I30))</f>
        <v/>
      </c>
      <c r="M30" s="5" t="n"/>
      <c r="N30" s="30" t="n"/>
      <c r="O30" s="30" t="n"/>
      <c r="P30" s="30" t="n"/>
      <c r="Q30" s="20">
        <f>IF($N30="","",SUMIF($A$4:$A$303,$N30,$J$4:$J$303))</f>
        <v/>
      </c>
      <c r="R30" s="20">
        <f>IF($N30="","",SUMIF($A$4:$A$303,$N30,$K$4:$K$303))</f>
        <v/>
      </c>
      <c r="S30" s="20">
        <f>IF($N30="","",SUMIF($A$4:$A$303,$N30,$L$4:$L$303))</f>
        <v/>
      </c>
      <c r="T30" s="20">
        <f>IF($N30="","",N(Q30)+N(R30)+N(S30))</f>
        <v/>
      </c>
    </row>
    <row r="31">
      <c r="A31" s="30" t="n"/>
      <c r="B31" s="30" t="n"/>
      <c r="C31" s="18">
        <f>IF($B31="","",IFERROR(VLOOKUP($B31,단가마스터!$A$4:$H$303,2,FALSE),"⚠️단가마스터에 없음"))</f>
        <v/>
      </c>
      <c r="D31" s="18">
        <f>IF($B31="","",IFERROR(VLOOKUP($B31,단가마스터!$A$4:$H$303,3,FALSE),""))</f>
        <v/>
      </c>
      <c r="E31" s="18">
        <f>IF($B31="","",IFERROR(VLOOKUP($B31,단가마스터!$A$4:$H$303,4,FALSE),""))</f>
        <v/>
      </c>
      <c r="F31" s="30" t="n"/>
      <c r="G31" s="20">
        <f>IF($B31="","",IFERROR(VLOOKUP($B31,단가마스터!$A$4:$H$303,5,FALSE),0))</f>
        <v/>
      </c>
      <c r="H31" s="20">
        <f>IF($B31="","",IFERROR(VLOOKUP($B31,단가마스터!$A$4:$H$303,6,FALSE),0))</f>
        <v/>
      </c>
      <c r="I31" s="20">
        <f>IF($B31="","",IFERROR(VLOOKUP($B31,단가마스터!$A$4:$H$303,7,FALSE),0))</f>
        <v/>
      </c>
      <c r="J31" s="20">
        <f>IF($B31="","",N($F31)*N($G31))</f>
        <v/>
      </c>
      <c r="K31" s="20">
        <f>IF($B31="","",N($F31)*N($H31))</f>
        <v/>
      </c>
      <c r="L31" s="20">
        <f>IF($B31="","",N($F31)*N($I31))</f>
        <v/>
      </c>
      <c r="M31" s="5" t="n"/>
      <c r="N31" s="30" t="n"/>
      <c r="O31" s="30" t="n"/>
      <c r="P31" s="30" t="n"/>
      <c r="Q31" s="20">
        <f>IF($N31="","",SUMIF($A$4:$A$303,$N31,$J$4:$J$303))</f>
        <v/>
      </c>
      <c r="R31" s="20">
        <f>IF($N31="","",SUMIF($A$4:$A$303,$N31,$K$4:$K$303))</f>
        <v/>
      </c>
      <c r="S31" s="20">
        <f>IF($N31="","",SUMIF($A$4:$A$303,$N31,$L$4:$L$303))</f>
        <v/>
      </c>
      <c r="T31" s="20">
        <f>IF($N31="","",N(Q31)+N(R31)+N(S31))</f>
        <v/>
      </c>
    </row>
    <row r="32">
      <c r="A32" s="30" t="n"/>
      <c r="B32" s="30" t="n"/>
      <c r="C32" s="18">
        <f>IF($B32="","",IFERROR(VLOOKUP($B32,단가마스터!$A$4:$H$303,2,FALSE),"⚠️단가마스터에 없음"))</f>
        <v/>
      </c>
      <c r="D32" s="18">
        <f>IF($B32="","",IFERROR(VLOOKUP($B32,단가마스터!$A$4:$H$303,3,FALSE),""))</f>
        <v/>
      </c>
      <c r="E32" s="18">
        <f>IF($B32="","",IFERROR(VLOOKUP($B32,단가마스터!$A$4:$H$303,4,FALSE),""))</f>
        <v/>
      </c>
      <c r="F32" s="30" t="n"/>
      <c r="G32" s="20">
        <f>IF($B32="","",IFERROR(VLOOKUP($B32,단가마스터!$A$4:$H$303,5,FALSE),0))</f>
        <v/>
      </c>
      <c r="H32" s="20">
        <f>IF($B32="","",IFERROR(VLOOKUP($B32,단가마스터!$A$4:$H$303,6,FALSE),0))</f>
        <v/>
      </c>
      <c r="I32" s="20">
        <f>IF($B32="","",IFERROR(VLOOKUP($B32,단가마스터!$A$4:$H$303,7,FALSE),0))</f>
        <v/>
      </c>
      <c r="J32" s="20">
        <f>IF($B32="","",N($F32)*N($G32))</f>
        <v/>
      </c>
      <c r="K32" s="20">
        <f>IF($B32="","",N($F32)*N($H32))</f>
        <v/>
      </c>
      <c r="L32" s="20">
        <f>IF($B32="","",N($F32)*N($I32))</f>
        <v/>
      </c>
      <c r="M32" s="5" t="n"/>
      <c r="N32" s="30" t="n"/>
      <c r="O32" s="30" t="n"/>
      <c r="P32" s="30" t="n"/>
      <c r="Q32" s="20">
        <f>IF($N32="","",SUMIF($A$4:$A$303,$N32,$J$4:$J$303))</f>
        <v/>
      </c>
      <c r="R32" s="20">
        <f>IF($N32="","",SUMIF($A$4:$A$303,$N32,$K$4:$K$303))</f>
        <v/>
      </c>
      <c r="S32" s="20">
        <f>IF($N32="","",SUMIF($A$4:$A$303,$N32,$L$4:$L$303))</f>
        <v/>
      </c>
      <c r="T32" s="20">
        <f>IF($N32="","",N(Q32)+N(R32)+N(S32))</f>
        <v/>
      </c>
    </row>
    <row r="33">
      <c r="A33" s="30" t="n"/>
      <c r="B33" s="30" t="n"/>
      <c r="C33" s="18">
        <f>IF($B33="","",IFERROR(VLOOKUP($B33,단가마스터!$A$4:$H$303,2,FALSE),"⚠️단가마스터에 없음"))</f>
        <v/>
      </c>
      <c r="D33" s="18">
        <f>IF($B33="","",IFERROR(VLOOKUP($B33,단가마스터!$A$4:$H$303,3,FALSE),""))</f>
        <v/>
      </c>
      <c r="E33" s="18">
        <f>IF($B33="","",IFERROR(VLOOKUP($B33,단가마스터!$A$4:$H$303,4,FALSE),""))</f>
        <v/>
      </c>
      <c r="F33" s="30" t="n"/>
      <c r="G33" s="20">
        <f>IF($B33="","",IFERROR(VLOOKUP($B33,단가마스터!$A$4:$H$303,5,FALSE),0))</f>
        <v/>
      </c>
      <c r="H33" s="20">
        <f>IF($B33="","",IFERROR(VLOOKUP($B33,단가마스터!$A$4:$H$303,6,FALSE),0))</f>
        <v/>
      </c>
      <c r="I33" s="20">
        <f>IF($B33="","",IFERROR(VLOOKUP($B33,단가마스터!$A$4:$H$303,7,FALSE),0))</f>
        <v/>
      </c>
      <c r="J33" s="20">
        <f>IF($B33="","",N($F33)*N($G33))</f>
        <v/>
      </c>
      <c r="K33" s="20">
        <f>IF($B33="","",N($F33)*N($H33))</f>
        <v/>
      </c>
      <c r="L33" s="20">
        <f>IF($B33="","",N($F33)*N($I33))</f>
        <v/>
      </c>
      <c r="M33" s="5" t="n"/>
      <c r="N33" s="30" t="n"/>
      <c r="O33" s="30" t="n"/>
      <c r="P33" s="30" t="n"/>
      <c r="Q33" s="20">
        <f>IF($N33="","",SUMIF($A$4:$A$303,$N33,$J$4:$J$303))</f>
        <v/>
      </c>
      <c r="R33" s="20">
        <f>IF($N33="","",SUMIF($A$4:$A$303,$N33,$K$4:$K$303))</f>
        <v/>
      </c>
      <c r="S33" s="20">
        <f>IF($N33="","",SUMIF($A$4:$A$303,$N33,$L$4:$L$303))</f>
        <v/>
      </c>
      <c r="T33" s="20">
        <f>IF($N33="","",N(Q33)+N(R33)+N(S33))</f>
        <v/>
      </c>
    </row>
    <row r="34">
      <c r="A34" s="30" t="n"/>
      <c r="B34" s="30" t="n"/>
      <c r="C34" s="18">
        <f>IF($B34="","",IFERROR(VLOOKUP($B34,단가마스터!$A$4:$H$303,2,FALSE),"⚠️단가마스터에 없음"))</f>
        <v/>
      </c>
      <c r="D34" s="18">
        <f>IF($B34="","",IFERROR(VLOOKUP($B34,단가마스터!$A$4:$H$303,3,FALSE),""))</f>
        <v/>
      </c>
      <c r="E34" s="18">
        <f>IF($B34="","",IFERROR(VLOOKUP($B34,단가마스터!$A$4:$H$303,4,FALSE),""))</f>
        <v/>
      </c>
      <c r="F34" s="30" t="n"/>
      <c r="G34" s="20">
        <f>IF($B34="","",IFERROR(VLOOKUP($B34,단가마스터!$A$4:$H$303,5,FALSE),0))</f>
        <v/>
      </c>
      <c r="H34" s="20">
        <f>IF($B34="","",IFERROR(VLOOKUP($B34,단가마스터!$A$4:$H$303,6,FALSE),0))</f>
        <v/>
      </c>
      <c r="I34" s="20">
        <f>IF($B34="","",IFERROR(VLOOKUP($B34,단가마스터!$A$4:$H$303,7,FALSE),0))</f>
        <v/>
      </c>
      <c r="J34" s="20">
        <f>IF($B34="","",N($F34)*N($G34))</f>
        <v/>
      </c>
      <c r="K34" s="20">
        <f>IF($B34="","",N($F34)*N($H34))</f>
        <v/>
      </c>
      <c r="L34" s="20">
        <f>IF($B34="","",N($F34)*N($I34))</f>
        <v/>
      </c>
      <c r="M34" s="5" t="n"/>
      <c r="N34" s="30" t="n"/>
      <c r="O34" s="30" t="n"/>
      <c r="P34" s="30" t="n"/>
      <c r="Q34" s="20">
        <f>IF($N34="","",SUMIF($A$4:$A$303,$N34,$J$4:$J$303))</f>
        <v/>
      </c>
      <c r="R34" s="20">
        <f>IF($N34="","",SUMIF($A$4:$A$303,$N34,$K$4:$K$303))</f>
        <v/>
      </c>
      <c r="S34" s="20">
        <f>IF($N34="","",SUMIF($A$4:$A$303,$N34,$L$4:$L$303))</f>
        <v/>
      </c>
      <c r="T34" s="20">
        <f>IF($N34="","",N(Q34)+N(R34)+N(S34))</f>
        <v/>
      </c>
    </row>
    <row r="35">
      <c r="A35" s="30" t="n"/>
      <c r="B35" s="30" t="n"/>
      <c r="C35" s="18">
        <f>IF($B35="","",IFERROR(VLOOKUP($B35,단가마스터!$A$4:$H$303,2,FALSE),"⚠️단가마스터에 없음"))</f>
        <v/>
      </c>
      <c r="D35" s="18">
        <f>IF($B35="","",IFERROR(VLOOKUP($B35,단가마스터!$A$4:$H$303,3,FALSE),""))</f>
        <v/>
      </c>
      <c r="E35" s="18">
        <f>IF($B35="","",IFERROR(VLOOKUP($B35,단가마스터!$A$4:$H$303,4,FALSE),""))</f>
        <v/>
      </c>
      <c r="F35" s="30" t="n"/>
      <c r="G35" s="20">
        <f>IF($B35="","",IFERROR(VLOOKUP($B35,단가마스터!$A$4:$H$303,5,FALSE),0))</f>
        <v/>
      </c>
      <c r="H35" s="20">
        <f>IF($B35="","",IFERROR(VLOOKUP($B35,단가마스터!$A$4:$H$303,6,FALSE),0))</f>
        <v/>
      </c>
      <c r="I35" s="20">
        <f>IF($B35="","",IFERROR(VLOOKUP($B35,단가마스터!$A$4:$H$303,7,FALSE),0))</f>
        <v/>
      </c>
      <c r="J35" s="20">
        <f>IF($B35="","",N($F35)*N($G35))</f>
        <v/>
      </c>
      <c r="K35" s="20">
        <f>IF($B35="","",N($F35)*N($H35))</f>
        <v/>
      </c>
      <c r="L35" s="20">
        <f>IF($B35="","",N($F35)*N($I35))</f>
        <v/>
      </c>
      <c r="M35" s="5" t="n"/>
      <c r="N35" s="30" t="n"/>
      <c r="O35" s="30" t="n"/>
      <c r="P35" s="30" t="n"/>
      <c r="Q35" s="20">
        <f>IF($N35="","",SUMIF($A$4:$A$303,$N35,$J$4:$J$303))</f>
        <v/>
      </c>
      <c r="R35" s="20">
        <f>IF($N35="","",SUMIF($A$4:$A$303,$N35,$K$4:$K$303))</f>
        <v/>
      </c>
      <c r="S35" s="20">
        <f>IF($N35="","",SUMIF($A$4:$A$303,$N35,$L$4:$L$303))</f>
        <v/>
      </c>
      <c r="T35" s="20">
        <f>IF($N35="","",N(Q35)+N(R35)+N(S35))</f>
        <v/>
      </c>
    </row>
    <row r="36">
      <c r="A36" s="30" t="n"/>
      <c r="B36" s="30" t="n"/>
      <c r="C36" s="18">
        <f>IF($B36="","",IFERROR(VLOOKUP($B36,단가마스터!$A$4:$H$303,2,FALSE),"⚠️단가마스터에 없음"))</f>
        <v/>
      </c>
      <c r="D36" s="18">
        <f>IF($B36="","",IFERROR(VLOOKUP($B36,단가마스터!$A$4:$H$303,3,FALSE),""))</f>
        <v/>
      </c>
      <c r="E36" s="18">
        <f>IF($B36="","",IFERROR(VLOOKUP($B36,단가마스터!$A$4:$H$303,4,FALSE),""))</f>
        <v/>
      </c>
      <c r="F36" s="30" t="n"/>
      <c r="G36" s="20">
        <f>IF($B36="","",IFERROR(VLOOKUP($B36,단가마스터!$A$4:$H$303,5,FALSE),0))</f>
        <v/>
      </c>
      <c r="H36" s="20">
        <f>IF($B36="","",IFERROR(VLOOKUP($B36,단가마스터!$A$4:$H$303,6,FALSE),0))</f>
        <v/>
      </c>
      <c r="I36" s="20">
        <f>IF($B36="","",IFERROR(VLOOKUP($B36,단가마스터!$A$4:$H$303,7,FALSE),0))</f>
        <v/>
      </c>
      <c r="J36" s="20">
        <f>IF($B36="","",N($F36)*N($G36))</f>
        <v/>
      </c>
      <c r="K36" s="20">
        <f>IF($B36="","",N($F36)*N($H36))</f>
        <v/>
      </c>
      <c r="L36" s="20">
        <f>IF($B36="","",N($F36)*N($I36))</f>
        <v/>
      </c>
      <c r="M36" s="5" t="n"/>
      <c r="N36" s="30" t="n"/>
      <c r="O36" s="30" t="n"/>
      <c r="P36" s="30" t="n"/>
      <c r="Q36" s="20">
        <f>IF($N36="","",SUMIF($A$4:$A$303,$N36,$J$4:$J$303))</f>
        <v/>
      </c>
      <c r="R36" s="20">
        <f>IF($N36="","",SUMIF($A$4:$A$303,$N36,$K$4:$K$303))</f>
        <v/>
      </c>
      <c r="S36" s="20">
        <f>IF($N36="","",SUMIF($A$4:$A$303,$N36,$L$4:$L$303))</f>
        <v/>
      </c>
      <c r="T36" s="20">
        <f>IF($N36="","",N(Q36)+N(R36)+N(S36))</f>
        <v/>
      </c>
    </row>
    <row r="37">
      <c r="A37" s="30" t="n"/>
      <c r="B37" s="30" t="n"/>
      <c r="C37" s="18">
        <f>IF($B37="","",IFERROR(VLOOKUP($B37,단가마스터!$A$4:$H$303,2,FALSE),"⚠️단가마스터에 없음"))</f>
        <v/>
      </c>
      <c r="D37" s="18">
        <f>IF($B37="","",IFERROR(VLOOKUP($B37,단가마스터!$A$4:$H$303,3,FALSE),""))</f>
        <v/>
      </c>
      <c r="E37" s="18">
        <f>IF($B37="","",IFERROR(VLOOKUP($B37,단가마스터!$A$4:$H$303,4,FALSE),""))</f>
        <v/>
      </c>
      <c r="F37" s="30" t="n"/>
      <c r="G37" s="20">
        <f>IF($B37="","",IFERROR(VLOOKUP($B37,단가마스터!$A$4:$H$303,5,FALSE),0))</f>
        <v/>
      </c>
      <c r="H37" s="20">
        <f>IF($B37="","",IFERROR(VLOOKUP($B37,단가마스터!$A$4:$H$303,6,FALSE),0))</f>
        <v/>
      </c>
      <c r="I37" s="20">
        <f>IF($B37="","",IFERROR(VLOOKUP($B37,단가마스터!$A$4:$H$303,7,FALSE),0))</f>
        <v/>
      </c>
      <c r="J37" s="20">
        <f>IF($B37="","",N($F37)*N($G37))</f>
        <v/>
      </c>
      <c r="K37" s="20">
        <f>IF($B37="","",N($F37)*N($H37))</f>
        <v/>
      </c>
      <c r="L37" s="20">
        <f>IF($B37="","",N($F37)*N($I37))</f>
        <v/>
      </c>
      <c r="M37" s="5" t="n"/>
      <c r="N37" s="30" t="n"/>
      <c r="O37" s="30" t="n"/>
      <c r="P37" s="30" t="n"/>
      <c r="Q37" s="20">
        <f>IF($N37="","",SUMIF($A$4:$A$303,$N37,$J$4:$J$303))</f>
        <v/>
      </c>
      <c r="R37" s="20">
        <f>IF($N37="","",SUMIF($A$4:$A$303,$N37,$K$4:$K$303))</f>
        <v/>
      </c>
      <c r="S37" s="20">
        <f>IF($N37="","",SUMIF($A$4:$A$303,$N37,$L$4:$L$303))</f>
        <v/>
      </c>
      <c r="T37" s="20">
        <f>IF($N37="","",N(Q37)+N(R37)+N(S37))</f>
        <v/>
      </c>
    </row>
    <row r="38">
      <c r="A38" s="30" t="n"/>
      <c r="B38" s="30" t="n"/>
      <c r="C38" s="18">
        <f>IF($B38="","",IFERROR(VLOOKUP($B38,단가마스터!$A$4:$H$303,2,FALSE),"⚠️단가마스터에 없음"))</f>
        <v/>
      </c>
      <c r="D38" s="18">
        <f>IF($B38="","",IFERROR(VLOOKUP($B38,단가마스터!$A$4:$H$303,3,FALSE),""))</f>
        <v/>
      </c>
      <c r="E38" s="18">
        <f>IF($B38="","",IFERROR(VLOOKUP($B38,단가마스터!$A$4:$H$303,4,FALSE),""))</f>
        <v/>
      </c>
      <c r="F38" s="30" t="n"/>
      <c r="G38" s="20">
        <f>IF($B38="","",IFERROR(VLOOKUP($B38,단가마스터!$A$4:$H$303,5,FALSE),0))</f>
        <v/>
      </c>
      <c r="H38" s="20">
        <f>IF($B38="","",IFERROR(VLOOKUP($B38,단가마스터!$A$4:$H$303,6,FALSE),0))</f>
        <v/>
      </c>
      <c r="I38" s="20">
        <f>IF($B38="","",IFERROR(VLOOKUP($B38,단가마스터!$A$4:$H$303,7,FALSE),0))</f>
        <v/>
      </c>
      <c r="J38" s="20">
        <f>IF($B38="","",N($F38)*N($G38))</f>
        <v/>
      </c>
      <c r="K38" s="20">
        <f>IF($B38="","",N($F38)*N($H38))</f>
        <v/>
      </c>
      <c r="L38" s="20">
        <f>IF($B38="","",N($F38)*N($I38))</f>
        <v/>
      </c>
      <c r="M38" s="5" t="n"/>
      <c r="N38" s="30" t="n"/>
      <c r="O38" s="30" t="n"/>
      <c r="P38" s="30" t="n"/>
      <c r="Q38" s="20">
        <f>IF($N38="","",SUMIF($A$4:$A$303,$N38,$J$4:$J$303))</f>
        <v/>
      </c>
      <c r="R38" s="20">
        <f>IF($N38="","",SUMIF($A$4:$A$303,$N38,$K$4:$K$303))</f>
        <v/>
      </c>
      <c r="S38" s="20">
        <f>IF($N38="","",SUMIF($A$4:$A$303,$N38,$L$4:$L$303))</f>
        <v/>
      </c>
      <c r="T38" s="20">
        <f>IF($N38="","",N(Q38)+N(R38)+N(S38))</f>
        <v/>
      </c>
    </row>
    <row r="39">
      <c r="A39" s="30" t="n"/>
      <c r="B39" s="30" t="n"/>
      <c r="C39" s="18">
        <f>IF($B39="","",IFERROR(VLOOKUP($B39,단가마스터!$A$4:$H$303,2,FALSE),"⚠️단가마스터에 없음"))</f>
        <v/>
      </c>
      <c r="D39" s="18">
        <f>IF($B39="","",IFERROR(VLOOKUP($B39,단가마스터!$A$4:$H$303,3,FALSE),""))</f>
        <v/>
      </c>
      <c r="E39" s="18">
        <f>IF($B39="","",IFERROR(VLOOKUP($B39,단가마스터!$A$4:$H$303,4,FALSE),""))</f>
        <v/>
      </c>
      <c r="F39" s="30" t="n"/>
      <c r="G39" s="20">
        <f>IF($B39="","",IFERROR(VLOOKUP($B39,단가마스터!$A$4:$H$303,5,FALSE),0))</f>
        <v/>
      </c>
      <c r="H39" s="20">
        <f>IF($B39="","",IFERROR(VLOOKUP($B39,단가마스터!$A$4:$H$303,6,FALSE),0))</f>
        <v/>
      </c>
      <c r="I39" s="20">
        <f>IF($B39="","",IFERROR(VLOOKUP($B39,단가마스터!$A$4:$H$303,7,FALSE),0))</f>
        <v/>
      </c>
      <c r="J39" s="20">
        <f>IF($B39="","",N($F39)*N($G39))</f>
        <v/>
      </c>
      <c r="K39" s="20">
        <f>IF($B39="","",N($F39)*N($H39))</f>
        <v/>
      </c>
      <c r="L39" s="20">
        <f>IF($B39="","",N($F39)*N($I39))</f>
        <v/>
      </c>
      <c r="M39" s="5" t="n"/>
      <c r="N39" s="30" t="n"/>
      <c r="O39" s="30" t="n"/>
      <c r="P39" s="30" t="n"/>
      <c r="Q39" s="20">
        <f>IF($N39="","",SUMIF($A$4:$A$303,$N39,$J$4:$J$303))</f>
        <v/>
      </c>
      <c r="R39" s="20">
        <f>IF($N39="","",SUMIF($A$4:$A$303,$N39,$K$4:$K$303))</f>
        <v/>
      </c>
      <c r="S39" s="20">
        <f>IF($N39="","",SUMIF($A$4:$A$303,$N39,$L$4:$L$303))</f>
        <v/>
      </c>
      <c r="T39" s="20">
        <f>IF($N39="","",N(Q39)+N(R39)+N(S39))</f>
        <v/>
      </c>
    </row>
    <row r="40">
      <c r="A40" s="30" t="n"/>
      <c r="B40" s="30" t="n"/>
      <c r="C40" s="18">
        <f>IF($B40="","",IFERROR(VLOOKUP($B40,단가마스터!$A$4:$H$303,2,FALSE),"⚠️단가마스터에 없음"))</f>
        <v/>
      </c>
      <c r="D40" s="18">
        <f>IF($B40="","",IFERROR(VLOOKUP($B40,단가마스터!$A$4:$H$303,3,FALSE),""))</f>
        <v/>
      </c>
      <c r="E40" s="18">
        <f>IF($B40="","",IFERROR(VLOOKUP($B40,단가마스터!$A$4:$H$303,4,FALSE),""))</f>
        <v/>
      </c>
      <c r="F40" s="30" t="n"/>
      <c r="G40" s="20">
        <f>IF($B40="","",IFERROR(VLOOKUP($B40,단가마스터!$A$4:$H$303,5,FALSE),0))</f>
        <v/>
      </c>
      <c r="H40" s="20">
        <f>IF($B40="","",IFERROR(VLOOKUP($B40,단가마스터!$A$4:$H$303,6,FALSE),0))</f>
        <v/>
      </c>
      <c r="I40" s="20">
        <f>IF($B40="","",IFERROR(VLOOKUP($B40,단가마스터!$A$4:$H$303,7,FALSE),0))</f>
        <v/>
      </c>
      <c r="J40" s="20">
        <f>IF($B40="","",N($F40)*N($G40))</f>
        <v/>
      </c>
      <c r="K40" s="20">
        <f>IF($B40="","",N($F40)*N($H40))</f>
        <v/>
      </c>
      <c r="L40" s="20">
        <f>IF($B40="","",N($F40)*N($I40))</f>
        <v/>
      </c>
      <c r="M40" s="5" t="n"/>
      <c r="N40" s="30" t="n"/>
      <c r="O40" s="30" t="n"/>
      <c r="P40" s="30" t="n"/>
      <c r="Q40" s="20">
        <f>IF($N40="","",SUMIF($A$4:$A$303,$N40,$J$4:$J$303))</f>
        <v/>
      </c>
      <c r="R40" s="20">
        <f>IF($N40="","",SUMIF($A$4:$A$303,$N40,$K$4:$K$303))</f>
        <v/>
      </c>
      <c r="S40" s="20">
        <f>IF($N40="","",SUMIF($A$4:$A$303,$N40,$L$4:$L$303))</f>
        <v/>
      </c>
      <c r="T40" s="20">
        <f>IF($N40="","",N(Q40)+N(R40)+N(S40))</f>
        <v/>
      </c>
    </row>
    <row r="41">
      <c r="A41" s="30" t="n"/>
      <c r="B41" s="30" t="n"/>
      <c r="C41" s="18">
        <f>IF($B41="","",IFERROR(VLOOKUP($B41,단가마스터!$A$4:$H$303,2,FALSE),"⚠️단가마스터에 없음"))</f>
        <v/>
      </c>
      <c r="D41" s="18">
        <f>IF($B41="","",IFERROR(VLOOKUP($B41,단가마스터!$A$4:$H$303,3,FALSE),""))</f>
        <v/>
      </c>
      <c r="E41" s="18">
        <f>IF($B41="","",IFERROR(VLOOKUP($B41,단가마스터!$A$4:$H$303,4,FALSE),""))</f>
        <v/>
      </c>
      <c r="F41" s="30" t="n"/>
      <c r="G41" s="20">
        <f>IF($B41="","",IFERROR(VLOOKUP($B41,단가마스터!$A$4:$H$303,5,FALSE),0))</f>
        <v/>
      </c>
      <c r="H41" s="20">
        <f>IF($B41="","",IFERROR(VLOOKUP($B41,단가마스터!$A$4:$H$303,6,FALSE),0))</f>
        <v/>
      </c>
      <c r="I41" s="20">
        <f>IF($B41="","",IFERROR(VLOOKUP($B41,단가마스터!$A$4:$H$303,7,FALSE),0))</f>
        <v/>
      </c>
      <c r="J41" s="20">
        <f>IF($B41="","",N($F41)*N($G41))</f>
        <v/>
      </c>
      <c r="K41" s="20">
        <f>IF($B41="","",N($F41)*N($H41))</f>
        <v/>
      </c>
      <c r="L41" s="20">
        <f>IF($B41="","",N($F41)*N($I41))</f>
        <v/>
      </c>
      <c r="M41" s="5" t="n"/>
      <c r="N41" s="30" t="n"/>
      <c r="O41" s="30" t="n"/>
      <c r="P41" s="30" t="n"/>
      <c r="Q41" s="20">
        <f>IF($N41="","",SUMIF($A$4:$A$303,$N41,$J$4:$J$303))</f>
        <v/>
      </c>
      <c r="R41" s="20">
        <f>IF($N41="","",SUMIF($A$4:$A$303,$N41,$K$4:$K$303))</f>
        <v/>
      </c>
      <c r="S41" s="20">
        <f>IF($N41="","",SUMIF($A$4:$A$303,$N41,$L$4:$L$303))</f>
        <v/>
      </c>
      <c r="T41" s="20">
        <f>IF($N41="","",N(Q41)+N(R41)+N(S41))</f>
        <v/>
      </c>
    </row>
    <row r="42">
      <c r="A42" s="30" t="n"/>
      <c r="B42" s="30" t="n"/>
      <c r="C42" s="18">
        <f>IF($B42="","",IFERROR(VLOOKUP($B42,단가마스터!$A$4:$H$303,2,FALSE),"⚠️단가마스터에 없음"))</f>
        <v/>
      </c>
      <c r="D42" s="18">
        <f>IF($B42="","",IFERROR(VLOOKUP($B42,단가마스터!$A$4:$H$303,3,FALSE),""))</f>
        <v/>
      </c>
      <c r="E42" s="18">
        <f>IF($B42="","",IFERROR(VLOOKUP($B42,단가마스터!$A$4:$H$303,4,FALSE),""))</f>
        <v/>
      </c>
      <c r="F42" s="30" t="n"/>
      <c r="G42" s="20">
        <f>IF($B42="","",IFERROR(VLOOKUP($B42,단가마스터!$A$4:$H$303,5,FALSE),0))</f>
        <v/>
      </c>
      <c r="H42" s="20">
        <f>IF($B42="","",IFERROR(VLOOKUP($B42,단가마스터!$A$4:$H$303,6,FALSE),0))</f>
        <v/>
      </c>
      <c r="I42" s="20">
        <f>IF($B42="","",IFERROR(VLOOKUP($B42,단가마스터!$A$4:$H$303,7,FALSE),0))</f>
        <v/>
      </c>
      <c r="J42" s="20">
        <f>IF($B42="","",N($F42)*N($G42))</f>
        <v/>
      </c>
      <c r="K42" s="20">
        <f>IF($B42="","",N($F42)*N($H42))</f>
        <v/>
      </c>
      <c r="L42" s="20">
        <f>IF($B42="","",N($F42)*N($I42))</f>
        <v/>
      </c>
      <c r="M42" s="5" t="n"/>
      <c r="N42" s="30" t="n"/>
      <c r="O42" s="30" t="n"/>
      <c r="P42" s="30" t="n"/>
      <c r="Q42" s="20">
        <f>IF($N42="","",SUMIF($A$4:$A$303,$N42,$J$4:$J$303))</f>
        <v/>
      </c>
      <c r="R42" s="20">
        <f>IF($N42="","",SUMIF($A$4:$A$303,$N42,$K$4:$K$303))</f>
        <v/>
      </c>
      <c r="S42" s="20">
        <f>IF($N42="","",SUMIF($A$4:$A$303,$N42,$L$4:$L$303))</f>
        <v/>
      </c>
      <c r="T42" s="20">
        <f>IF($N42="","",N(Q42)+N(R42)+N(S42))</f>
        <v/>
      </c>
    </row>
    <row r="43">
      <c r="A43" s="30" t="n"/>
      <c r="B43" s="30" t="n"/>
      <c r="C43" s="18">
        <f>IF($B43="","",IFERROR(VLOOKUP($B43,단가마스터!$A$4:$H$303,2,FALSE),"⚠️단가마스터에 없음"))</f>
        <v/>
      </c>
      <c r="D43" s="18">
        <f>IF($B43="","",IFERROR(VLOOKUP($B43,단가마스터!$A$4:$H$303,3,FALSE),""))</f>
        <v/>
      </c>
      <c r="E43" s="18">
        <f>IF($B43="","",IFERROR(VLOOKUP($B43,단가마스터!$A$4:$H$303,4,FALSE),""))</f>
        <v/>
      </c>
      <c r="F43" s="30" t="n"/>
      <c r="G43" s="20">
        <f>IF($B43="","",IFERROR(VLOOKUP($B43,단가마스터!$A$4:$H$303,5,FALSE),0))</f>
        <v/>
      </c>
      <c r="H43" s="20">
        <f>IF($B43="","",IFERROR(VLOOKUP($B43,단가마스터!$A$4:$H$303,6,FALSE),0))</f>
        <v/>
      </c>
      <c r="I43" s="20">
        <f>IF($B43="","",IFERROR(VLOOKUP($B43,단가마스터!$A$4:$H$303,7,FALSE),0))</f>
        <v/>
      </c>
      <c r="J43" s="20">
        <f>IF($B43="","",N($F43)*N($G43))</f>
        <v/>
      </c>
      <c r="K43" s="20">
        <f>IF($B43="","",N($F43)*N($H43))</f>
        <v/>
      </c>
      <c r="L43" s="20">
        <f>IF($B43="","",N($F43)*N($I43))</f>
        <v/>
      </c>
      <c r="M43" s="5" t="n"/>
      <c r="N43" s="30" t="n"/>
      <c r="O43" s="30" t="n"/>
      <c r="P43" s="30" t="n"/>
      <c r="Q43" s="20">
        <f>IF($N43="","",SUMIF($A$4:$A$303,$N43,$J$4:$J$303))</f>
        <v/>
      </c>
      <c r="R43" s="20">
        <f>IF($N43="","",SUMIF($A$4:$A$303,$N43,$K$4:$K$303))</f>
        <v/>
      </c>
      <c r="S43" s="20">
        <f>IF($N43="","",SUMIF($A$4:$A$303,$N43,$L$4:$L$303))</f>
        <v/>
      </c>
      <c r="T43" s="20">
        <f>IF($N43="","",N(Q43)+N(R43)+N(S43))</f>
        <v/>
      </c>
    </row>
    <row r="44">
      <c r="A44" s="30" t="n"/>
      <c r="B44" s="30" t="n"/>
      <c r="C44" s="18">
        <f>IF($B44="","",IFERROR(VLOOKUP($B44,단가마스터!$A$4:$H$303,2,FALSE),"⚠️단가마스터에 없음"))</f>
        <v/>
      </c>
      <c r="D44" s="18">
        <f>IF($B44="","",IFERROR(VLOOKUP($B44,단가마스터!$A$4:$H$303,3,FALSE),""))</f>
        <v/>
      </c>
      <c r="E44" s="18">
        <f>IF($B44="","",IFERROR(VLOOKUP($B44,단가마스터!$A$4:$H$303,4,FALSE),""))</f>
        <v/>
      </c>
      <c r="F44" s="30" t="n"/>
      <c r="G44" s="20">
        <f>IF($B44="","",IFERROR(VLOOKUP($B44,단가마스터!$A$4:$H$303,5,FALSE),0))</f>
        <v/>
      </c>
      <c r="H44" s="20">
        <f>IF($B44="","",IFERROR(VLOOKUP($B44,단가마스터!$A$4:$H$303,6,FALSE),0))</f>
        <v/>
      </c>
      <c r="I44" s="20">
        <f>IF($B44="","",IFERROR(VLOOKUP($B44,단가마스터!$A$4:$H$303,7,FALSE),0))</f>
        <v/>
      </c>
      <c r="J44" s="20">
        <f>IF($B44="","",N($F44)*N($G44))</f>
        <v/>
      </c>
      <c r="K44" s="20">
        <f>IF($B44="","",N($F44)*N($H44))</f>
        <v/>
      </c>
      <c r="L44" s="20">
        <f>IF($B44="","",N($F44)*N($I44))</f>
        <v/>
      </c>
      <c r="M44" s="5" t="n"/>
      <c r="N44" s="30" t="n"/>
      <c r="O44" s="30" t="n"/>
      <c r="P44" s="30" t="n"/>
      <c r="Q44" s="20">
        <f>IF($N44="","",SUMIF($A$4:$A$303,$N44,$J$4:$J$303))</f>
        <v/>
      </c>
      <c r="R44" s="20">
        <f>IF($N44="","",SUMIF($A$4:$A$303,$N44,$K$4:$K$303))</f>
        <v/>
      </c>
      <c r="S44" s="20">
        <f>IF($N44="","",SUMIF($A$4:$A$303,$N44,$L$4:$L$303))</f>
        <v/>
      </c>
      <c r="T44" s="20">
        <f>IF($N44="","",N(Q44)+N(R44)+N(S44))</f>
        <v/>
      </c>
    </row>
    <row r="45">
      <c r="A45" s="30" t="n"/>
      <c r="B45" s="30" t="n"/>
      <c r="C45" s="18">
        <f>IF($B45="","",IFERROR(VLOOKUP($B45,단가마스터!$A$4:$H$303,2,FALSE),"⚠️단가마스터에 없음"))</f>
        <v/>
      </c>
      <c r="D45" s="18">
        <f>IF($B45="","",IFERROR(VLOOKUP($B45,단가마스터!$A$4:$H$303,3,FALSE),""))</f>
        <v/>
      </c>
      <c r="E45" s="18">
        <f>IF($B45="","",IFERROR(VLOOKUP($B45,단가마스터!$A$4:$H$303,4,FALSE),""))</f>
        <v/>
      </c>
      <c r="F45" s="30" t="n"/>
      <c r="G45" s="20">
        <f>IF($B45="","",IFERROR(VLOOKUP($B45,단가마스터!$A$4:$H$303,5,FALSE),0))</f>
        <v/>
      </c>
      <c r="H45" s="20">
        <f>IF($B45="","",IFERROR(VLOOKUP($B45,단가마스터!$A$4:$H$303,6,FALSE),0))</f>
        <v/>
      </c>
      <c r="I45" s="20">
        <f>IF($B45="","",IFERROR(VLOOKUP($B45,단가마스터!$A$4:$H$303,7,FALSE),0))</f>
        <v/>
      </c>
      <c r="J45" s="20">
        <f>IF($B45="","",N($F45)*N($G45))</f>
        <v/>
      </c>
      <c r="K45" s="20">
        <f>IF($B45="","",N($F45)*N($H45))</f>
        <v/>
      </c>
      <c r="L45" s="20">
        <f>IF($B45="","",N($F45)*N($I45))</f>
        <v/>
      </c>
      <c r="M45" s="5" t="n"/>
      <c r="N45" s="30" t="n"/>
      <c r="O45" s="30" t="n"/>
      <c r="P45" s="30" t="n"/>
      <c r="Q45" s="20">
        <f>IF($N45="","",SUMIF($A$4:$A$303,$N45,$J$4:$J$303))</f>
        <v/>
      </c>
      <c r="R45" s="20">
        <f>IF($N45="","",SUMIF($A$4:$A$303,$N45,$K$4:$K$303))</f>
        <v/>
      </c>
      <c r="S45" s="20">
        <f>IF($N45="","",SUMIF($A$4:$A$303,$N45,$L$4:$L$303))</f>
        <v/>
      </c>
      <c r="T45" s="20">
        <f>IF($N45="","",N(Q45)+N(R45)+N(S45))</f>
        <v/>
      </c>
    </row>
    <row r="46">
      <c r="A46" s="30" t="n"/>
      <c r="B46" s="30" t="n"/>
      <c r="C46" s="18">
        <f>IF($B46="","",IFERROR(VLOOKUP($B46,단가마스터!$A$4:$H$303,2,FALSE),"⚠️단가마스터에 없음"))</f>
        <v/>
      </c>
      <c r="D46" s="18">
        <f>IF($B46="","",IFERROR(VLOOKUP($B46,단가마스터!$A$4:$H$303,3,FALSE),""))</f>
        <v/>
      </c>
      <c r="E46" s="18">
        <f>IF($B46="","",IFERROR(VLOOKUP($B46,단가마스터!$A$4:$H$303,4,FALSE),""))</f>
        <v/>
      </c>
      <c r="F46" s="30" t="n"/>
      <c r="G46" s="20">
        <f>IF($B46="","",IFERROR(VLOOKUP($B46,단가마스터!$A$4:$H$303,5,FALSE),0))</f>
        <v/>
      </c>
      <c r="H46" s="20">
        <f>IF($B46="","",IFERROR(VLOOKUP($B46,단가마스터!$A$4:$H$303,6,FALSE),0))</f>
        <v/>
      </c>
      <c r="I46" s="20">
        <f>IF($B46="","",IFERROR(VLOOKUP($B46,단가마스터!$A$4:$H$303,7,FALSE),0))</f>
        <v/>
      </c>
      <c r="J46" s="20">
        <f>IF($B46="","",N($F46)*N($G46))</f>
        <v/>
      </c>
      <c r="K46" s="20">
        <f>IF($B46="","",N($F46)*N($H46))</f>
        <v/>
      </c>
      <c r="L46" s="20">
        <f>IF($B46="","",N($F46)*N($I46))</f>
        <v/>
      </c>
      <c r="M46" s="5" t="n"/>
      <c r="N46" s="30" t="n"/>
      <c r="O46" s="30" t="n"/>
      <c r="P46" s="30" t="n"/>
      <c r="Q46" s="20">
        <f>IF($N46="","",SUMIF($A$4:$A$303,$N46,$J$4:$J$303))</f>
        <v/>
      </c>
      <c r="R46" s="20">
        <f>IF($N46="","",SUMIF($A$4:$A$303,$N46,$K$4:$K$303))</f>
        <v/>
      </c>
      <c r="S46" s="20">
        <f>IF($N46="","",SUMIF($A$4:$A$303,$N46,$L$4:$L$303))</f>
        <v/>
      </c>
      <c r="T46" s="20">
        <f>IF($N46="","",N(Q46)+N(R46)+N(S46))</f>
        <v/>
      </c>
    </row>
    <row r="47">
      <c r="A47" s="30" t="n"/>
      <c r="B47" s="30" t="n"/>
      <c r="C47" s="18">
        <f>IF($B47="","",IFERROR(VLOOKUP($B47,단가마스터!$A$4:$H$303,2,FALSE),"⚠️단가마스터에 없음"))</f>
        <v/>
      </c>
      <c r="D47" s="18">
        <f>IF($B47="","",IFERROR(VLOOKUP($B47,단가마스터!$A$4:$H$303,3,FALSE),""))</f>
        <v/>
      </c>
      <c r="E47" s="18">
        <f>IF($B47="","",IFERROR(VLOOKUP($B47,단가마스터!$A$4:$H$303,4,FALSE),""))</f>
        <v/>
      </c>
      <c r="F47" s="30" t="n"/>
      <c r="G47" s="20">
        <f>IF($B47="","",IFERROR(VLOOKUP($B47,단가마스터!$A$4:$H$303,5,FALSE),0))</f>
        <v/>
      </c>
      <c r="H47" s="20">
        <f>IF($B47="","",IFERROR(VLOOKUP($B47,단가마스터!$A$4:$H$303,6,FALSE),0))</f>
        <v/>
      </c>
      <c r="I47" s="20">
        <f>IF($B47="","",IFERROR(VLOOKUP($B47,단가마스터!$A$4:$H$303,7,FALSE),0))</f>
        <v/>
      </c>
      <c r="J47" s="20">
        <f>IF($B47="","",N($F47)*N($G47))</f>
        <v/>
      </c>
      <c r="K47" s="20">
        <f>IF($B47="","",N($F47)*N($H47))</f>
        <v/>
      </c>
      <c r="L47" s="20">
        <f>IF($B47="","",N($F47)*N($I47))</f>
        <v/>
      </c>
      <c r="M47" s="5" t="n"/>
      <c r="N47" s="30" t="n"/>
      <c r="O47" s="30" t="n"/>
      <c r="P47" s="30" t="n"/>
      <c r="Q47" s="20">
        <f>IF($N47="","",SUMIF($A$4:$A$303,$N47,$J$4:$J$303))</f>
        <v/>
      </c>
      <c r="R47" s="20">
        <f>IF($N47="","",SUMIF($A$4:$A$303,$N47,$K$4:$K$303))</f>
        <v/>
      </c>
      <c r="S47" s="20">
        <f>IF($N47="","",SUMIF($A$4:$A$303,$N47,$L$4:$L$303))</f>
        <v/>
      </c>
      <c r="T47" s="20">
        <f>IF($N47="","",N(Q47)+N(R47)+N(S47))</f>
        <v/>
      </c>
    </row>
    <row r="48">
      <c r="A48" s="30" t="n"/>
      <c r="B48" s="30" t="n"/>
      <c r="C48" s="18">
        <f>IF($B48="","",IFERROR(VLOOKUP($B48,단가마스터!$A$4:$H$303,2,FALSE),"⚠️단가마스터에 없음"))</f>
        <v/>
      </c>
      <c r="D48" s="18">
        <f>IF($B48="","",IFERROR(VLOOKUP($B48,단가마스터!$A$4:$H$303,3,FALSE),""))</f>
        <v/>
      </c>
      <c r="E48" s="18">
        <f>IF($B48="","",IFERROR(VLOOKUP($B48,단가마스터!$A$4:$H$303,4,FALSE),""))</f>
        <v/>
      </c>
      <c r="F48" s="30" t="n"/>
      <c r="G48" s="20">
        <f>IF($B48="","",IFERROR(VLOOKUP($B48,단가마스터!$A$4:$H$303,5,FALSE),0))</f>
        <v/>
      </c>
      <c r="H48" s="20">
        <f>IF($B48="","",IFERROR(VLOOKUP($B48,단가마스터!$A$4:$H$303,6,FALSE),0))</f>
        <v/>
      </c>
      <c r="I48" s="20">
        <f>IF($B48="","",IFERROR(VLOOKUP($B48,단가마스터!$A$4:$H$303,7,FALSE),0))</f>
        <v/>
      </c>
      <c r="J48" s="20">
        <f>IF($B48="","",N($F48)*N($G48))</f>
        <v/>
      </c>
      <c r="K48" s="20">
        <f>IF($B48="","",N($F48)*N($H48))</f>
        <v/>
      </c>
      <c r="L48" s="20">
        <f>IF($B48="","",N($F48)*N($I48))</f>
        <v/>
      </c>
      <c r="M48" s="5" t="n"/>
      <c r="N48" s="30" t="n"/>
      <c r="O48" s="30" t="n"/>
      <c r="P48" s="30" t="n"/>
      <c r="Q48" s="20">
        <f>IF($N48="","",SUMIF($A$4:$A$303,$N48,$J$4:$J$303))</f>
        <v/>
      </c>
      <c r="R48" s="20">
        <f>IF($N48="","",SUMIF($A$4:$A$303,$N48,$K$4:$K$303))</f>
        <v/>
      </c>
      <c r="S48" s="20">
        <f>IF($N48="","",SUMIF($A$4:$A$303,$N48,$L$4:$L$303))</f>
        <v/>
      </c>
      <c r="T48" s="20">
        <f>IF($N48="","",N(Q48)+N(R48)+N(S48))</f>
        <v/>
      </c>
    </row>
    <row r="49">
      <c r="A49" s="30" t="n"/>
      <c r="B49" s="30" t="n"/>
      <c r="C49" s="18">
        <f>IF($B49="","",IFERROR(VLOOKUP($B49,단가마스터!$A$4:$H$303,2,FALSE),"⚠️단가마스터에 없음"))</f>
        <v/>
      </c>
      <c r="D49" s="18">
        <f>IF($B49="","",IFERROR(VLOOKUP($B49,단가마스터!$A$4:$H$303,3,FALSE),""))</f>
        <v/>
      </c>
      <c r="E49" s="18">
        <f>IF($B49="","",IFERROR(VLOOKUP($B49,단가마스터!$A$4:$H$303,4,FALSE),""))</f>
        <v/>
      </c>
      <c r="F49" s="30" t="n"/>
      <c r="G49" s="20">
        <f>IF($B49="","",IFERROR(VLOOKUP($B49,단가마스터!$A$4:$H$303,5,FALSE),0))</f>
        <v/>
      </c>
      <c r="H49" s="20">
        <f>IF($B49="","",IFERROR(VLOOKUP($B49,단가마스터!$A$4:$H$303,6,FALSE),0))</f>
        <v/>
      </c>
      <c r="I49" s="20">
        <f>IF($B49="","",IFERROR(VLOOKUP($B49,단가마스터!$A$4:$H$303,7,FALSE),0))</f>
        <v/>
      </c>
      <c r="J49" s="20">
        <f>IF($B49="","",N($F49)*N($G49))</f>
        <v/>
      </c>
      <c r="K49" s="20">
        <f>IF($B49="","",N($F49)*N($H49))</f>
        <v/>
      </c>
      <c r="L49" s="20">
        <f>IF($B49="","",N($F49)*N($I49))</f>
        <v/>
      </c>
      <c r="M49" s="5" t="n"/>
      <c r="N49" s="30" t="n"/>
      <c r="O49" s="30" t="n"/>
      <c r="P49" s="30" t="n"/>
      <c r="Q49" s="20">
        <f>IF($N49="","",SUMIF($A$4:$A$303,$N49,$J$4:$J$303))</f>
        <v/>
      </c>
      <c r="R49" s="20">
        <f>IF($N49="","",SUMIF($A$4:$A$303,$N49,$K$4:$K$303))</f>
        <v/>
      </c>
      <c r="S49" s="20">
        <f>IF($N49="","",SUMIF($A$4:$A$303,$N49,$L$4:$L$303))</f>
        <v/>
      </c>
      <c r="T49" s="20">
        <f>IF($N49="","",N(Q49)+N(R49)+N(S49))</f>
        <v/>
      </c>
    </row>
    <row r="50">
      <c r="A50" s="30" t="n"/>
      <c r="B50" s="30" t="n"/>
      <c r="C50" s="18">
        <f>IF($B50="","",IFERROR(VLOOKUP($B50,단가마스터!$A$4:$H$303,2,FALSE),"⚠️단가마스터에 없음"))</f>
        <v/>
      </c>
      <c r="D50" s="18">
        <f>IF($B50="","",IFERROR(VLOOKUP($B50,단가마스터!$A$4:$H$303,3,FALSE),""))</f>
        <v/>
      </c>
      <c r="E50" s="18">
        <f>IF($B50="","",IFERROR(VLOOKUP($B50,단가마스터!$A$4:$H$303,4,FALSE),""))</f>
        <v/>
      </c>
      <c r="F50" s="30" t="n"/>
      <c r="G50" s="20">
        <f>IF($B50="","",IFERROR(VLOOKUP($B50,단가마스터!$A$4:$H$303,5,FALSE),0))</f>
        <v/>
      </c>
      <c r="H50" s="20">
        <f>IF($B50="","",IFERROR(VLOOKUP($B50,단가마스터!$A$4:$H$303,6,FALSE),0))</f>
        <v/>
      </c>
      <c r="I50" s="20">
        <f>IF($B50="","",IFERROR(VLOOKUP($B50,단가마스터!$A$4:$H$303,7,FALSE),0))</f>
        <v/>
      </c>
      <c r="J50" s="20">
        <f>IF($B50="","",N($F50)*N($G50))</f>
        <v/>
      </c>
      <c r="K50" s="20">
        <f>IF($B50="","",N($F50)*N($H50))</f>
        <v/>
      </c>
      <c r="L50" s="20">
        <f>IF($B50="","",N($F50)*N($I50))</f>
        <v/>
      </c>
      <c r="M50" s="5" t="n"/>
      <c r="N50" s="30" t="n"/>
      <c r="O50" s="30" t="n"/>
      <c r="P50" s="30" t="n"/>
      <c r="Q50" s="20">
        <f>IF($N50="","",SUMIF($A$4:$A$303,$N50,$J$4:$J$303))</f>
        <v/>
      </c>
      <c r="R50" s="20">
        <f>IF($N50="","",SUMIF($A$4:$A$303,$N50,$K$4:$K$303))</f>
        <v/>
      </c>
      <c r="S50" s="20">
        <f>IF($N50="","",SUMIF($A$4:$A$303,$N50,$L$4:$L$303))</f>
        <v/>
      </c>
      <c r="T50" s="20">
        <f>IF($N50="","",N(Q50)+N(R50)+N(S50))</f>
        <v/>
      </c>
    </row>
    <row r="51">
      <c r="A51" s="30" t="n"/>
      <c r="B51" s="30" t="n"/>
      <c r="C51" s="18">
        <f>IF($B51="","",IFERROR(VLOOKUP($B51,단가마스터!$A$4:$H$303,2,FALSE),"⚠️단가마스터에 없음"))</f>
        <v/>
      </c>
      <c r="D51" s="18">
        <f>IF($B51="","",IFERROR(VLOOKUP($B51,단가마스터!$A$4:$H$303,3,FALSE),""))</f>
        <v/>
      </c>
      <c r="E51" s="18">
        <f>IF($B51="","",IFERROR(VLOOKUP($B51,단가마스터!$A$4:$H$303,4,FALSE),""))</f>
        <v/>
      </c>
      <c r="F51" s="30" t="n"/>
      <c r="G51" s="20">
        <f>IF($B51="","",IFERROR(VLOOKUP($B51,단가마스터!$A$4:$H$303,5,FALSE),0))</f>
        <v/>
      </c>
      <c r="H51" s="20">
        <f>IF($B51="","",IFERROR(VLOOKUP($B51,단가마스터!$A$4:$H$303,6,FALSE),0))</f>
        <v/>
      </c>
      <c r="I51" s="20">
        <f>IF($B51="","",IFERROR(VLOOKUP($B51,단가마스터!$A$4:$H$303,7,FALSE),0))</f>
        <v/>
      </c>
      <c r="J51" s="20">
        <f>IF($B51="","",N($F51)*N($G51))</f>
        <v/>
      </c>
      <c r="K51" s="20">
        <f>IF($B51="","",N($F51)*N($H51))</f>
        <v/>
      </c>
      <c r="L51" s="20">
        <f>IF($B51="","",N($F51)*N($I51))</f>
        <v/>
      </c>
      <c r="M51" s="5" t="n"/>
      <c r="N51" s="30" t="n"/>
      <c r="O51" s="30" t="n"/>
      <c r="P51" s="30" t="n"/>
      <c r="Q51" s="20">
        <f>IF($N51="","",SUMIF($A$4:$A$303,$N51,$J$4:$J$303))</f>
        <v/>
      </c>
      <c r="R51" s="20">
        <f>IF($N51="","",SUMIF($A$4:$A$303,$N51,$K$4:$K$303))</f>
        <v/>
      </c>
      <c r="S51" s="20">
        <f>IF($N51="","",SUMIF($A$4:$A$303,$N51,$L$4:$L$303))</f>
        <v/>
      </c>
      <c r="T51" s="20">
        <f>IF($N51="","",N(Q51)+N(R51)+N(S51))</f>
        <v/>
      </c>
    </row>
    <row r="52">
      <c r="A52" s="30" t="n"/>
      <c r="B52" s="30" t="n"/>
      <c r="C52" s="18">
        <f>IF($B52="","",IFERROR(VLOOKUP($B52,단가마스터!$A$4:$H$303,2,FALSE),"⚠️단가마스터에 없음"))</f>
        <v/>
      </c>
      <c r="D52" s="18">
        <f>IF($B52="","",IFERROR(VLOOKUP($B52,단가마스터!$A$4:$H$303,3,FALSE),""))</f>
        <v/>
      </c>
      <c r="E52" s="18">
        <f>IF($B52="","",IFERROR(VLOOKUP($B52,단가마스터!$A$4:$H$303,4,FALSE),""))</f>
        <v/>
      </c>
      <c r="F52" s="30" t="n"/>
      <c r="G52" s="20">
        <f>IF($B52="","",IFERROR(VLOOKUP($B52,단가마스터!$A$4:$H$303,5,FALSE),0))</f>
        <v/>
      </c>
      <c r="H52" s="20">
        <f>IF($B52="","",IFERROR(VLOOKUP($B52,단가마스터!$A$4:$H$303,6,FALSE),0))</f>
        <v/>
      </c>
      <c r="I52" s="20">
        <f>IF($B52="","",IFERROR(VLOOKUP($B52,단가마스터!$A$4:$H$303,7,FALSE),0))</f>
        <v/>
      </c>
      <c r="J52" s="20">
        <f>IF($B52="","",N($F52)*N($G52))</f>
        <v/>
      </c>
      <c r="K52" s="20">
        <f>IF($B52="","",N($F52)*N($H52))</f>
        <v/>
      </c>
      <c r="L52" s="20">
        <f>IF($B52="","",N($F52)*N($I52))</f>
        <v/>
      </c>
      <c r="M52" s="5" t="n"/>
      <c r="N52" s="30" t="n"/>
      <c r="O52" s="30" t="n"/>
      <c r="P52" s="30" t="n"/>
      <c r="Q52" s="20">
        <f>IF($N52="","",SUMIF($A$4:$A$303,$N52,$J$4:$J$303))</f>
        <v/>
      </c>
      <c r="R52" s="20">
        <f>IF($N52="","",SUMIF($A$4:$A$303,$N52,$K$4:$K$303))</f>
        <v/>
      </c>
      <c r="S52" s="20">
        <f>IF($N52="","",SUMIF($A$4:$A$303,$N52,$L$4:$L$303))</f>
        <v/>
      </c>
      <c r="T52" s="20">
        <f>IF($N52="","",N(Q52)+N(R52)+N(S52))</f>
        <v/>
      </c>
    </row>
    <row r="53">
      <c r="A53" s="30" t="n"/>
      <c r="B53" s="30" t="n"/>
      <c r="C53" s="18">
        <f>IF($B53="","",IFERROR(VLOOKUP($B53,단가마스터!$A$4:$H$303,2,FALSE),"⚠️단가마스터에 없음"))</f>
        <v/>
      </c>
      <c r="D53" s="18">
        <f>IF($B53="","",IFERROR(VLOOKUP($B53,단가마스터!$A$4:$H$303,3,FALSE),""))</f>
        <v/>
      </c>
      <c r="E53" s="18">
        <f>IF($B53="","",IFERROR(VLOOKUP($B53,단가마스터!$A$4:$H$303,4,FALSE),""))</f>
        <v/>
      </c>
      <c r="F53" s="30" t="n"/>
      <c r="G53" s="20">
        <f>IF($B53="","",IFERROR(VLOOKUP($B53,단가마스터!$A$4:$H$303,5,FALSE),0))</f>
        <v/>
      </c>
      <c r="H53" s="20">
        <f>IF($B53="","",IFERROR(VLOOKUP($B53,단가마스터!$A$4:$H$303,6,FALSE),0))</f>
        <v/>
      </c>
      <c r="I53" s="20">
        <f>IF($B53="","",IFERROR(VLOOKUP($B53,단가마스터!$A$4:$H$303,7,FALSE),0))</f>
        <v/>
      </c>
      <c r="J53" s="20">
        <f>IF($B53="","",N($F53)*N($G53))</f>
        <v/>
      </c>
      <c r="K53" s="20">
        <f>IF($B53="","",N($F53)*N($H53))</f>
        <v/>
      </c>
      <c r="L53" s="20">
        <f>IF($B53="","",N($F53)*N($I53))</f>
        <v/>
      </c>
      <c r="M53" s="5" t="n"/>
      <c r="N53" s="30" t="n"/>
      <c r="O53" s="30" t="n"/>
      <c r="P53" s="30" t="n"/>
      <c r="Q53" s="20">
        <f>IF($N53="","",SUMIF($A$4:$A$303,$N53,$J$4:$J$303))</f>
        <v/>
      </c>
      <c r="R53" s="20">
        <f>IF($N53="","",SUMIF($A$4:$A$303,$N53,$K$4:$K$303))</f>
        <v/>
      </c>
      <c r="S53" s="20">
        <f>IF($N53="","",SUMIF($A$4:$A$303,$N53,$L$4:$L$303))</f>
        <v/>
      </c>
      <c r="T53" s="20">
        <f>IF($N53="","",N(Q53)+N(R53)+N(S53))</f>
        <v/>
      </c>
    </row>
    <row r="54">
      <c r="A54" s="30" t="n"/>
      <c r="B54" s="30" t="n"/>
      <c r="C54" s="18">
        <f>IF($B54="","",IFERROR(VLOOKUP($B54,단가마스터!$A$4:$H$303,2,FALSE),"⚠️단가마스터에 없음"))</f>
        <v/>
      </c>
      <c r="D54" s="18">
        <f>IF($B54="","",IFERROR(VLOOKUP($B54,단가마스터!$A$4:$H$303,3,FALSE),""))</f>
        <v/>
      </c>
      <c r="E54" s="18">
        <f>IF($B54="","",IFERROR(VLOOKUP($B54,단가마스터!$A$4:$H$303,4,FALSE),""))</f>
        <v/>
      </c>
      <c r="F54" s="30" t="n"/>
      <c r="G54" s="20">
        <f>IF($B54="","",IFERROR(VLOOKUP($B54,단가마스터!$A$4:$H$303,5,FALSE),0))</f>
        <v/>
      </c>
      <c r="H54" s="20">
        <f>IF($B54="","",IFERROR(VLOOKUP($B54,단가마스터!$A$4:$H$303,6,FALSE),0))</f>
        <v/>
      </c>
      <c r="I54" s="20">
        <f>IF($B54="","",IFERROR(VLOOKUP($B54,단가마스터!$A$4:$H$303,7,FALSE),0))</f>
        <v/>
      </c>
      <c r="J54" s="20">
        <f>IF($B54="","",N($F54)*N($G54))</f>
        <v/>
      </c>
      <c r="K54" s="20">
        <f>IF($B54="","",N($F54)*N($H54))</f>
        <v/>
      </c>
      <c r="L54" s="20">
        <f>IF($B54="","",N($F54)*N($I54))</f>
        <v/>
      </c>
      <c r="M54" s="5" t="n"/>
      <c r="N54" s="30" t="n"/>
      <c r="O54" s="30" t="n"/>
      <c r="P54" s="30" t="n"/>
      <c r="Q54" s="20">
        <f>IF($N54="","",SUMIF($A$4:$A$303,$N54,$J$4:$J$303))</f>
        <v/>
      </c>
      <c r="R54" s="20">
        <f>IF($N54="","",SUMIF($A$4:$A$303,$N54,$K$4:$K$303))</f>
        <v/>
      </c>
      <c r="S54" s="20">
        <f>IF($N54="","",SUMIF($A$4:$A$303,$N54,$L$4:$L$303))</f>
        <v/>
      </c>
      <c r="T54" s="20">
        <f>IF($N54="","",N(Q54)+N(R54)+N(S54))</f>
        <v/>
      </c>
    </row>
    <row r="55">
      <c r="A55" s="30" t="n"/>
      <c r="B55" s="30" t="n"/>
      <c r="C55" s="18">
        <f>IF($B55="","",IFERROR(VLOOKUP($B55,단가마스터!$A$4:$H$303,2,FALSE),"⚠️단가마스터에 없음"))</f>
        <v/>
      </c>
      <c r="D55" s="18">
        <f>IF($B55="","",IFERROR(VLOOKUP($B55,단가마스터!$A$4:$H$303,3,FALSE),""))</f>
        <v/>
      </c>
      <c r="E55" s="18">
        <f>IF($B55="","",IFERROR(VLOOKUP($B55,단가마스터!$A$4:$H$303,4,FALSE),""))</f>
        <v/>
      </c>
      <c r="F55" s="30" t="n"/>
      <c r="G55" s="20">
        <f>IF($B55="","",IFERROR(VLOOKUP($B55,단가마스터!$A$4:$H$303,5,FALSE),0))</f>
        <v/>
      </c>
      <c r="H55" s="20">
        <f>IF($B55="","",IFERROR(VLOOKUP($B55,단가마스터!$A$4:$H$303,6,FALSE),0))</f>
        <v/>
      </c>
      <c r="I55" s="20">
        <f>IF($B55="","",IFERROR(VLOOKUP($B55,단가마스터!$A$4:$H$303,7,FALSE),0))</f>
        <v/>
      </c>
      <c r="J55" s="20">
        <f>IF($B55="","",N($F55)*N($G55))</f>
        <v/>
      </c>
      <c r="K55" s="20">
        <f>IF($B55="","",N($F55)*N($H55))</f>
        <v/>
      </c>
      <c r="L55" s="20">
        <f>IF($B55="","",N($F55)*N($I55))</f>
        <v/>
      </c>
      <c r="M55" s="5" t="n"/>
      <c r="N55" s="30" t="n"/>
      <c r="O55" s="30" t="n"/>
      <c r="P55" s="30" t="n"/>
      <c r="Q55" s="20">
        <f>IF($N55="","",SUMIF($A$4:$A$303,$N55,$J$4:$J$303))</f>
        <v/>
      </c>
      <c r="R55" s="20">
        <f>IF($N55="","",SUMIF($A$4:$A$303,$N55,$K$4:$K$303))</f>
        <v/>
      </c>
      <c r="S55" s="20">
        <f>IF($N55="","",SUMIF($A$4:$A$303,$N55,$L$4:$L$303))</f>
        <v/>
      </c>
      <c r="T55" s="20">
        <f>IF($N55="","",N(Q55)+N(R55)+N(S55))</f>
        <v/>
      </c>
    </row>
    <row r="56">
      <c r="A56" s="30" t="n"/>
      <c r="B56" s="30" t="n"/>
      <c r="C56" s="18">
        <f>IF($B56="","",IFERROR(VLOOKUP($B56,단가마스터!$A$4:$H$303,2,FALSE),"⚠️단가마스터에 없음"))</f>
        <v/>
      </c>
      <c r="D56" s="18">
        <f>IF($B56="","",IFERROR(VLOOKUP($B56,단가마스터!$A$4:$H$303,3,FALSE),""))</f>
        <v/>
      </c>
      <c r="E56" s="18">
        <f>IF($B56="","",IFERROR(VLOOKUP($B56,단가마스터!$A$4:$H$303,4,FALSE),""))</f>
        <v/>
      </c>
      <c r="F56" s="30" t="n"/>
      <c r="G56" s="20">
        <f>IF($B56="","",IFERROR(VLOOKUP($B56,단가마스터!$A$4:$H$303,5,FALSE),0))</f>
        <v/>
      </c>
      <c r="H56" s="20">
        <f>IF($B56="","",IFERROR(VLOOKUP($B56,단가마스터!$A$4:$H$303,6,FALSE),0))</f>
        <v/>
      </c>
      <c r="I56" s="20">
        <f>IF($B56="","",IFERROR(VLOOKUP($B56,단가마스터!$A$4:$H$303,7,FALSE),0))</f>
        <v/>
      </c>
      <c r="J56" s="20">
        <f>IF($B56="","",N($F56)*N($G56))</f>
        <v/>
      </c>
      <c r="K56" s="20">
        <f>IF($B56="","",N($F56)*N($H56))</f>
        <v/>
      </c>
      <c r="L56" s="20">
        <f>IF($B56="","",N($F56)*N($I56))</f>
        <v/>
      </c>
      <c r="M56" s="5" t="n"/>
      <c r="N56" s="30" t="n"/>
      <c r="O56" s="30" t="n"/>
      <c r="P56" s="30" t="n"/>
      <c r="Q56" s="20">
        <f>IF($N56="","",SUMIF($A$4:$A$303,$N56,$J$4:$J$303))</f>
        <v/>
      </c>
      <c r="R56" s="20">
        <f>IF($N56="","",SUMIF($A$4:$A$303,$N56,$K$4:$K$303))</f>
        <v/>
      </c>
      <c r="S56" s="20">
        <f>IF($N56="","",SUMIF($A$4:$A$303,$N56,$L$4:$L$303))</f>
        <v/>
      </c>
      <c r="T56" s="20">
        <f>IF($N56="","",N(Q56)+N(R56)+N(S56))</f>
        <v/>
      </c>
    </row>
    <row r="57">
      <c r="A57" s="30" t="n"/>
      <c r="B57" s="30" t="n"/>
      <c r="C57" s="18">
        <f>IF($B57="","",IFERROR(VLOOKUP($B57,단가마스터!$A$4:$H$303,2,FALSE),"⚠️단가마스터에 없음"))</f>
        <v/>
      </c>
      <c r="D57" s="18">
        <f>IF($B57="","",IFERROR(VLOOKUP($B57,단가마스터!$A$4:$H$303,3,FALSE),""))</f>
        <v/>
      </c>
      <c r="E57" s="18">
        <f>IF($B57="","",IFERROR(VLOOKUP($B57,단가마스터!$A$4:$H$303,4,FALSE),""))</f>
        <v/>
      </c>
      <c r="F57" s="30" t="n"/>
      <c r="G57" s="20">
        <f>IF($B57="","",IFERROR(VLOOKUP($B57,단가마스터!$A$4:$H$303,5,FALSE),0))</f>
        <v/>
      </c>
      <c r="H57" s="20">
        <f>IF($B57="","",IFERROR(VLOOKUP($B57,단가마스터!$A$4:$H$303,6,FALSE),0))</f>
        <v/>
      </c>
      <c r="I57" s="20">
        <f>IF($B57="","",IFERROR(VLOOKUP($B57,단가마스터!$A$4:$H$303,7,FALSE),0))</f>
        <v/>
      </c>
      <c r="J57" s="20">
        <f>IF($B57="","",N($F57)*N($G57))</f>
        <v/>
      </c>
      <c r="K57" s="20">
        <f>IF($B57="","",N($F57)*N($H57))</f>
        <v/>
      </c>
      <c r="L57" s="20">
        <f>IF($B57="","",N($F57)*N($I57))</f>
        <v/>
      </c>
      <c r="M57" s="5" t="n"/>
      <c r="N57" s="30" t="n"/>
      <c r="O57" s="30" t="n"/>
      <c r="P57" s="30" t="n"/>
      <c r="Q57" s="20">
        <f>IF($N57="","",SUMIF($A$4:$A$303,$N57,$J$4:$J$303))</f>
        <v/>
      </c>
      <c r="R57" s="20">
        <f>IF($N57="","",SUMIF($A$4:$A$303,$N57,$K$4:$K$303))</f>
        <v/>
      </c>
      <c r="S57" s="20">
        <f>IF($N57="","",SUMIF($A$4:$A$303,$N57,$L$4:$L$303))</f>
        <v/>
      </c>
      <c r="T57" s="20">
        <f>IF($N57="","",N(Q57)+N(R57)+N(S57))</f>
        <v/>
      </c>
    </row>
    <row r="58">
      <c r="A58" s="30" t="n"/>
      <c r="B58" s="30" t="n"/>
      <c r="C58" s="18">
        <f>IF($B58="","",IFERROR(VLOOKUP($B58,단가마스터!$A$4:$H$303,2,FALSE),"⚠️단가마스터에 없음"))</f>
        <v/>
      </c>
      <c r="D58" s="18">
        <f>IF($B58="","",IFERROR(VLOOKUP($B58,단가마스터!$A$4:$H$303,3,FALSE),""))</f>
        <v/>
      </c>
      <c r="E58" s="18">
        <f>IF($B58="","",IFERROR(VLOOKUP($B58,단가마스터!$A$4:$H$303,4,FALSE),""))</f>
        <v/>
      </c>
      <c r="F58" s="30" t="n"/>
      <c r="G58" s="20">
        <f>IF($B58="","",IFERROR(VLOOKUP($B58,단가마스터!$A$4:$H$303,5,FALSE),0))</f>
        <v/>
      </c>
      <c r="H58" s="20">
        <f>IF($B58="","",IFERROR(VLOOKUP($B58,단가마스터!$A$4:$H$303,6,FALSE),0))</f>
        <v/>
      </c>
      <c r="I58" s="20">
        <f>IF($B58="","",IFERROR(VLOOKUP($B58,단가마스터!$A$4:$H$303,7,FALSE),0))</f>
        <v/>
      </c>
      <c r="J58" s="20">
        <f>IF($B58="","",N($F58)*N($G58))</f>
        <v/>
      </c>
      <c r="K58" s="20">
        <f>IF($B58="","",N($F58)*N($H58))</f>
        <v/>
      </c>
      <c r="L58" s="20">
        <f>IF($B58="","",N($F58)*N($I58))</f>
        <v/>
      </c>
      <c r="M58" s="5" t="n"/>
      <c r="N58" s="30" t="n"/>
      <c r="O58" s="30" t="n"/>
      <c r="P58" s="30" t="n"/>
      <c r="Q58" s="20">
        <f>IF($N58="","",SUMIF($A$4:$A$303,$N58,$J$4:$J$303))</f>
        <v/>
      </c>
      <c r="R58" s="20">
        <f>IF($N58="","",SUMIF($A$4:$A$303,$N58,$K$4:$K$303))</f>
        <v/>
      </c>
      <c r="S58" s="20">
        <f>IF($N58="","",SUMIF($A$4:$A$303,$N58,$L$4:$L$303))</f>
        <v/>
      </c>
      <c r="T58" s="20">
        <f>IF($N58="","",N(Q58)+N(R58)+N(S58))</f>
        <v/>
      </c>
    </row>
    <row r="59">
      <c r="A59" s="30" t="n"/>
      <c r="B59" s="30" t="n"/>
      <c r="C59" s="18">
        <f>IF($B59="","",IFERROR(VLOOKUP($B59,단가마스터!$A$4:$H$303,2,FALSE),"⚠️단가마스터에 없음"))</f>
        <v/>
      </c>
      <c r="D59" s="18">
        <f>IF($B59="","",IFERROR(VLOOKUP($B59,단가마스터!$A$4:$H$303,3,FALSE),""))</f>
        <v/>
      </c>
      <c r="E59" s="18">
        <f>IF($B59="","",IFERROR(VLOOKUP($B59,단가마스터!$A$4:$H$303,4,FALSE),""))</f>
        <v/>
      </c>
      <c r="F59" s="30" t="n"/>
      <c r="G59" s="20">
        <f>IF($B59="","",IFERROR(VLOOKUP($B59,단가마스터!$A$4:$H$303,5,FALSE),0))</f>
        <v/>
      </c>
      <c r="H59" s="20">
        <f>IF($B59="","",IFERROR(VLOOKUP($B59,단가마스터!$A$4:$H$303,6,FALSE),0))</f>
        <v/>
      </c>
      <c r="I59" s="20">
        <f>IF($B59="","",IFERROR(VLOOKUP($B59,단가마스터!$A$4:$H$303,7,FALSE),0))</f>
        <v/>
      </c>
      <c r="J59" s="20">
        <f>IF($B59="","",N($F59)*N($G59))</f>
        <v/>
      </c>
      <c r="K59" s="20">
        <f>IF($B59="","",N($F59)*N($H59))</f>
        <v/>
      </c>
      <c r="L59" s="20">
        <f>IF($B59="","",N($F59)*N($I59))</f>
        <v/>
      </c>
      <c r="M59" s="5" t="n"/>
      <c r="N59" s="30" t="n"/>
      <c r="O59" s="30" t="n"/>
      <c r="P59" s="30" t="n"/>
      <c r="Q59" s="20">
        <f>IF($N59="","",SUMIF($A$4:$A$303,$N59,$J$4:$J$303))</f>
        <v/>
      </c>
      <c r="R59" s="20">
        <f>IF($N59="","",SUMIF($A$4:$A$303,$N59,$K$4:$K$303))</f>
        <v/>
      </c>
      <c r="S59" s="20">
        <f>IF($N59="","",SUMIF($A$4:$A$303,$N59,$L$4:$L$303))</f>
        <v/>
      </c>
      <c r="T59" s="20">
        <f>IF($N59="","",N(Q59)+N(R59)+N(S59))</f>
        <v/>
      </c>
    </row>
    <row r="60">
      <c r="A60" s="30" t="n"/>
      <c r="B60" s="30" t="n"/>
      <c r="C60" s="18">
        <f>IF($B60="","",IFERROR(VLOOKUP($B60,단가마스터!$A$4:$H$303,2,FALSE),"⚠️단가마스터에 없음"))</f>
        <v/>
      </c>
      <c r="D60" s="18">
        <f>IF($B60="","",IFERROR(VLOOKUP($B60,단가마스터!$A$4:$H$303,3,FALSE),""))</f>
        <v/>
      </c>
      <c r="E60" s="18">
        <f>IF($B60="","",IFERROR(VLOOKUP($B60,단가마스터!$A$4:$H$303,4,FALSE),""))</f>
        <v/>
      </c>
      <c r="F60" s="30" t="n"/>
      <c r="G60" s="20">
        <f>IF($B60="","",IFERROR(VLOOKUP($B60,단가마스터!$A$4:$H$303,5,FALSE),0))</f>
        <v/>
      </c>
      <c r="H60" s="20">
        <f>IF($B60="","",IFERROR(VLOOKUP($B60,단가마스터!$A$4:$H$303,6,FALSE),0))</f>
        <v/>
      </c>
      <c r="I60" s="20">
        <f>IF($B60="","",IFERROR(VLOOKUP($B60,단가마스터!$A$4:$H$303,7,FALSE),0))</f>
        <v/>
      </c>
      <c r="J60" s="20">
        <f>IF($B60="","",N($F60)*N($G60))</f>
        <v/>
      </c>
      <c r="K60" s="20">
        <f>IF($B60="","",N($F60)*N($H60))</f>
        <v/>
      </c>
      <c r="L60" s="20">
        <f>IF($B60="","",N($F60)*N($I60))</f>
        <v/>
      </c>
      <c r="M60" s="5" t="n"/>
      <c r="N60" s="30" t="n"/>
      <c r="O60" s="30" t="n"/>
      <c r="P60" s="30" t="n"/>
      <c r="Q60" s="20">
        <f>IF($N60="","",SUMIF($A$4:$A$303,$N60,$J$4:$J$303))</f>
        <v/>
      </c>
      <c r="R60" s="20">
        <f>IF($N60="","",SUMIF($A$4:$A$303,$N60,$K$4:$K$303))</f>
        <v/>
      </c>
      <c r="S60" s="20">
        <f>IF($N60="","",SUMIF($A$4:$A$303,$N60,$L$4:$L$303))</f>
        <v/>
      </c>
      <c r="T60" s="20">
        <f>IF($N60="","",N(Q60)+N(R60)+N(S60))</f>
        <v/>
      </c>
    </row>
    <row r="61">
      <c r="A61" s="30" t="n"/>
      <c r="B61" s="30" t="n"/>
      <c r="C61" s="18">
        <f>IF($B61="","",IFERROR(VLOOKUP($B61,단가마스터!$A$4:$H$303,2,FALSE),"⚠️단가마스터에 없음"))</f>
        <v/>
      </c>
      <c r="D61" s="18">
        <f>IF($B61="","",IFERROR(VLOOKUP($B61,단가마스터!$A$4:$H$303,3,FALSE),""))</f>
        <v/>
      </c>
      <c r="E61" s="18">
        <f>IF($B61="","",IFERROR(VLOOKUP($B61,단가마스터!$A$4:$H$303,4,FALSE),""))</f>
        <v/>
      </c>
      <c r="F61" s="30" t="n"/>
      <c r="G61" s="20">
        <f>IF($B61="","",IFERROR(VLOOKUP($B61,단가마스터!$A$4:$H$303,5,FALSE),0))</f>
        <v/>
      </c>
      <c r="H61" s="20">
        <f>IF($B61="","",IFERROR(VLOOKUP($B61,단가마스터!$A$4:$H$303,6,FALSE),0))</f>
        <v/>
      </c>
      <c r="I61" s="20">
        <f>IF($B61="","",IFERROR(VLOOKUP($B61,단가마스터!$A$4:$H$303,7,FALSE),0))</f>
        <v/>
      </c>
      <c r="J61" s="20">
        <f>IF($B61="","",N($F61)*N($G61))</f>
        <v/>
      </c>
      <c r="K61" s="20">
        <f>IF($B61="","",N($F61)*N($H61))</f>
        <v/>
      </c>
      <c r="L61" s="20">
        <f>IF($B61="","",N($F61)*N($I61))</f>
        <v/>
      </c>
      <c r="M61" s="5" t="n"/>
      <c r="N61" s="30" t="n"/>
      <c r="O61" s="30" t="n"/>
      <c r="P61" s="30" t="n"/>
      <c r="Q61" s="20">
        <f>IF($N61="","",SUMIF($A$4:$A$303,$N61,$J$4:$J$303))</f>
        <v/>
      </c>
      <c r="R61" s="20">
        <f>IF($N61="","",SUMIF($A$4:$A$303,$N61,$K$4:$K$303))</f>
        <v/>
      </c>
      <c r="S61" s="20">
        <f>IF($N61="","",SUMIF($A$4:$A$303,$N61,$L$4:$L$303))</f>
        <v/>
      </c>
      <c r="T61" s="20">
        <f>IF($N61="","",N(Q61)+N(R61)+N(S61))</f>
        <v/>
      </c>
    </row>
    <row r="62">
      <c r="A62" s="30" t="n"/>
      <c r="B62" s="30" t="n"/>
      <c r="C62" s="18">
        <f>IF($B62="","",IFERROR(VLOOKUP($B62,단가마스터!$A$4:$H$303,2,FALSE),"⚠️단가마스터에 없음"))</f>
        <v/>
      </c>
      <c r="D62" s="18">
        <f>IF($B62="","",IFERROR(VLOOKUP($B62,단가마스터!$A$4:$H$303,3,FALSE),""))</f>
        <v/>
      </c>
      <c r="E62" s="18">
        <f>IF($B62="","",IFERROR(VLOOKUP($B62,단가마스터!$A$4:$H$303,4,FALSE),""))</f>
        <v/>
      </c>
      <c r="F62" s="30" t="n"/>
      <c r="G62" s="20">
        <f>IF($B62="","",IFERROR(VLOOKUP($B62,단가마스터!$A$4:$H$303,5,FALSE),0))</f>
        <v/>
      </c>
      <c r="H62" s="20">
        <f>IF($B62="","",IFERROR(VLOOKUP($B62,단가마스터!$A$4:$H$303,6,FALSE),0))</f>
        <v/>
      </c>
      <c r="I62" s="20">
        <f>IF($B62="","",IFERROR(VLOOKUP($B62,단가마스터!$A$4:$H$303,7,FALSE),0))</f>
        <v/>
      </c>
      <c r="J62" s="20">
        <f>IF($B62="","",N($F62)*N($G62))</f>
        <v/>
      </c>
      <c r="K62" s="20">
        <f>IF($B62="","",N($F62)*N($H62))</f>
        <v/>
      </c>
      <c r="L62" s="20">
        <f>IF($B62="","",N($F62)*N($I62))</f>
        <v/>
      </c>
      <c r="M62" s="5" t="n"/>
      <c r="N62" s="30" t="n"/>
      <c r="O62" s="30" t="n"/>
      <c r="P62" s="30" t="n"/>
      <c r="Q62" s="20">
        <f>IF($N62="","",SUMIF($A$4:$A$303,$N62,$J$4:$J$303))</f>
        <v/>
      </c>
      <c r="R62" s="20">
        <f>IF($N62="","",SUMIF($A$4:$A$303,$N62,$K$4:$K$303))</f>
        <v/>
      </c>
      <c r="S62" s="20">
        <f>IF($N62="","",SUMIF($A$4:$A$303,$N62,$L$4:$L$303))</f>
        <v/>
      </c>
      <c r="T62" s="20">
        <f>IF($N62="","",N(Q62)+N(R62)+N(S62))</f>
        <v/>
      </c>
    </row>
    <row r="63">
      <c r="A63" s="30" t="n"/>
      <c r="B63" s="30" t="n"/>
      <c r="C63" s="18">
        <f>IF($B63="","",IFERROR(VLOOKUP($B63,단가마스터!$A$4:$H$303,2,FALSE),"⚠️단가마스터에 없음"))</f>
        <v/>
      </c>
      <c r="D63" s="18">
        <f>IF($B63="","",IFERROR(VLOOKUP($B63,단가마스터!$A$4:$H$303,3,FALSE),""))</f>
        <v/>
      </c>
      <c r="E63" s="18">
        <f>IF($B63="","",IFERROR(VLOOKUP($B63,단가마스터!$A$4:$H$303,4,FALSE),""))</f>
        <v/>
      </c>
      <c r="F63" s="30" t="n"/>
      <c r="G63" s="20">
        <f>IF($B63="","",IFERROR(VLOOKUP($B63,단가마스터!$A$4:$H$303,5,FALSE),0))</f>
        <v/>
      </c>
      <c r="H63" s="20">
        <f>IF($B63="","",IFERROR(VLOOKUP($B63,단가마스터!$A$4:$H$303,6,FALSE),0))</f>
        <v/>
      </c>
      <c r="I63" s="20">
        <f>IF($B63="","",IFERROR(VLOOKUP($B63,단가마스터!$A$4:$H$303,7,FALSE),0))</f>
        <v/>
      </c>
      <c r="J63" s="20">
        <f>IF($B63="","",N($F63)*N($G63))</f>
        <v/>
      </c>
      <c r="K63" s="20">
        <f>IF($B63="","",N($F63)*N($H63))</f>
        <v/>
      </c>
      <c r="L63" s="20">
        <f>IF($B63="","",N($F63)*N($I63))</f>
        <v/>
      </c>
      <c r="M63" s="5" t="n"/>
      <c r="N63" s="30" t="n"/>
      <c r="O63" s="30" t="n"/>
      <c r="P63" s="30" t="n"/>
      <c r="Q63" s="20">
        <f>IF($N63="","",SUMIF($A$4:$A$303,$N63,$J$4:$J$303))</f>
        <v/>
      </c>
      <c r="R63" s="20">
        <f>IF($N63="","",SUMIF($A$4:$A$303,$N63,$K$4:$K$303))</f>
        <v/>
      </c>
      <c r="S63" s="20">
        <f>IF($N63="","",SUMIF($A$4:$A$303,$N63,$L$4:$L$303))</f>
        <v/>
      </c>
      <c r="T63" s="20">
        <f>IF($N63="","",N(Q63)+N(R63)+N(S63))</f>
        <v/>
      </c>
    </row>
    <row r="64">
      <c r="A64" s="30" t="n"/>
      <c r="B64" s="30" t="n"/>
      <c r="C64" s="18">
        <f>IF($B64="","",IFERROR(VLOOKUP($B64,단가마스터!$A$4:$H$303,2,FALSE),"⚠️단가마스터에 없음"))</f>
        <v/>
      </c>
      <c r="D64" s="18">
        <f>IF($B64="","",IFERROR(VLOOKUP($B64,단가마스터!$A$4:$H$303,3,FALSE),""))</f>
        <v/>
      </c>
      <c r="E64" s="18">
        <f>IF($B64="","",IFERROR(VLOOKUP($B64,단가마스터!$A$4:$H$303,4,FALSE),""))</f>
        <v/>
      </c>
      <c r="F64" s="30" t="n"/>
      <c r="G64" s="20">
        <f>IF($B64="","",IFERROR(VLOOKUP($B64,단가마스터!$A$4:$H$303,5,FALSE),0))</f>
        <v/>
      </c>
      <c r="H64" s="20">
        <f>IF($B64="","",IFERROR(VLOOKUP($B64,단가마스터!$A$4:$H$303,6,FALSE),0))</f>
        <v/>
      </c>
      <c r="I64" s="20">
        <f>IF($B64="","",IFERROR(VLOOKUP($B64,단가마스터!$A$4:$H$303,7,FALSE),0))</f>
        <v/>
      </c>
      <c r="J64" s="20">
        <f>IF($B64="","",N($F64)*N($G64))</f>
        <v/>
      </c>
      <c r="K64" s="20">
        <f>IF($B64="","",N($F64)*N($H64))</f>
        <v/>
      </c>
      <c r="L64" s="20">
        <f>IF($B64="","",N($F64)*N($I64))</f>
        <v/>
      </c>
    </row>
    <row r="65">
      <c r="A65" s="30" t="n"/>
      <c r="B65" s="30" t="n"/>
      <c r="C65" s="18">
        <f>IF($B65="","",IFERROR(VLOOKUP($B65,단가마스터!$A$4:$H$303,2,FALSE),"⚠️단가마스터에 없음"))</f>
        <v/>
      </c>
      <c r="D65" s="18">
        <f>IF($B65="","",IFERROR(VLOOKUP($B65,단가마스터!$A$4:$H$303,3,FALSE),""))</f>
        <v/>
      </c>
      <c r="E65" s="18">
        <f>IF($B65="","",IFERROR(VLOOKUP($B65,단가마스터!$A$4:$H$303,4,FALSE),""))</f>
        <v/>
      </c>
      <c r="F65" s="30" t="n"/>
      <c r="G65" s="20">
        <f>IF($B65="","",IFERROR(VLOOKUP($B65,단가마스터!$A$4:$H$303,5,FALSE),0))</f>
        <v/>
      </c>
      <c r="H65" s="20">
        <f>IF($B65="","",IFERROR(VLOOKUP($B65,단가마스터!$A$4:$H$303,6,FALSE),0))</f>
        <v/>
      </c>
      <c r="I65" s="20">
        <f>IF($B65="","",IFERROR(VLOOKUP($B65,단가마스터!$A$4:$H$303,7,FALSE),0))</f>
        <v/>
      </c>
      <c r="J65" s="20">
        <f>IF($B65="","",N($F65)*N($G65))</f>
        <v/>
      </c>
      <c r="K65" s="20">
        <f>IF($B65="","",N($F65)*N($H65))</f>
        <v/>
      </c>
      <c r="L65" s="20">
        <f>IF($B65="","",N($F65)*N($I65))</f>
        <v/>
      </c>
    </row>
    <row r="66">
      <c r="A66" s="30" t="n"/>
      <c r="B66" s="30" t="n"/>
      <c r="C66" s="18">
        <f>IF($B66="","",IFERROR(VLOOKUP($B66,단가마스터!$A$4:$H$303,2,FALSE),"⚠️단가마스터에 없음"))</f>
        <v/>
      </c>
      <c r="D66" s="18">
        <f>IF($B66="","",IFERROR(VLOOKUP($B66,단가마스터!$A$4:$H$303,3,FALSE),""))</f>
        <v/>
      </c>
      <c r="E66" s="18">
        <f>IF($B66="","",IFERROR(VLOOKUP($B66,단가마스터!$A$4:$H$303,4,FALSE),""))</f>
        <v/>
      </c>
      <c r="F66" s="30" t="n"/>
      <c r="G66" s="20">
        <f>IF($B66="","",IFERROR(VLOOKUP($B66,단가마스터!$A$4:$H$303,5,FALSE),0))</f>
        <v/>
      </c>
      <c r="H66" s="20">
        <f>IF($B66="","",IFERROR(VLOOKUP($B66,단가마스터!$A$4:$H$303,6,FALSE),0))</f>
        <v/>
      </c>
      <c r="I66" s="20">
        <f>IF($B66="","",IFERROR(VLOOKUP($B66,단가마스터!$A$4:$H$303,7,FALSE),0))</f>
        <v/>
      </c>
      <c r="J66" s="20">
        <f>IF($B66="","",N($F66)*N($G66))</f>
        <v/>
      </c>
      <c r="K66" s="20">
        <f>IF($B66="","",N($F66)*N($H66))</f>
        <v/>
      </c>
      <c r="L66" s="20">
        <f>IF($B66="","",N($F66)*N($I66))</f>
        <v/>
      </c>
    </row>
    <row r="67">
      <c r="A67" s="30" t="n"/>
      <c r="B67" s="30" t="n"/>
      <c r="C67" s="18">
        <f>IF($B67="","",IFERROR(VLOOKUP($B67,단가마스터!$A$4:$H$303,2,FALSE),"⚠️단가마스터에 없음"))</f>
        <v/>
      </c>
      <c r="D67" s="18">
        <f>IF($B67="","",IFERROR(VLOOKUP($B67,단가마스터!$A$4:$H$303,3,FALSE),""))</f>
        <v/>
      </c>
      <c r="E67" s="18">
        <f>IF($B67="","",IFERROR(VLOOKUP($B67,단가마스터!$A$4:$H$303,4,FALSE),""))</f>
        <v/>
      </c>
      <c r="F67" s="30" t="n"/>
      <c r="G67" s="20">
        <f>IF($B67="","",IFERROR(VLOOKUP($B67,단가마스터!$A$4:$H$303,5,FALSE),0))</f>
        <v/>
      </c>
      <c r="H67" s="20">
        <f>IF($B67="","",IFERROR(VLOOKUP($B67,단가마스터!$A$4:$H$303,6,FALSE),0))</f>
        <v/>
      </c>
      <c r="I67" s="20">
        <f>IF($B67="","",IFERROR(VLOOKUP($B67,단가마스터!$A$4:$H$303,7,FALSE),0))</f>
        <v/>
      </c>
      <c r="J67" s="20">
        <f>IF($B67="","",N($F67)*N($G67))</f>
        <v/>
      </c>
      <c r="K67" s="20">
        <f>IF($B67="","",N($F67)*N($H67))</f>
        <v/>
      </c>
      <c r="L67" s="20">
        <f>IF($B67="","",N($F67)*N($I67))</f>
        <v/>
      </c>
    </row>
    <row r="68">
      <c r="A68" s="30" t="n"/>
      <c r="B68" s="30" t="n"/>
      <c r="C68" s="18">
        <f>IF($B68="","",IFERROR(VLOOKUP($B68,단가마스터!$A$4:$H$303,2,FALSE),"⚠️단가마스터에 없음"))</f>
        <v/>
      </c>
      <c r="D68" s="18">
        <f>IF($B68="","",IFERROR(VLOOKUP($B68,단가마스터!$A$4:$H$303,3,FALSE),""))</f>
        <v/>
      </c>
      <c r="E68" s="18">
        <f>IF($B68="","",IFERROR(VLOOKUP($B68,단가마스터!$A$4:$H$303,4,FALSE),""))</f>
        <v/>
      </c>
      <c r="F68" s="30" t="n"/>
      <c r="G68" s="20">
        <f>IF($B68="","",IFERROR(VLOOKUP($B68,단가마스터!$A$4:$H$303,5,FALSE),0))</f>
        <v/>
      </c>
      <c r="H68" s="20">
        <f>IF($B68="","",IFERROR(VLOOKUP($B68,단가마스터!$A$4:$H$303,6,FALSE),0))</f>
        <v/>
      </c>
      <c r="I68" s="20">
        <f>IF($B68="","",IFERROR(VLOOKUP($B68,단가마스터!$A$4:$H$303,7,FALSE),0))</f>
        <v/>
      </c>
      <c r="J68" s="20">
        <f>IF($B68="","",N($F68)*N($G68))</f>
        <v/>
      </c>
      <c r="K68" s="20">
        <f>IF($B68="","",N($F68)*N($H68))</f>
        <v/>
      </c>
      <c r="L68" s="20">
        <f>IF($B68="","",N($F68)*N($I68))</f>
        <v/>
      </c>
    </row>
    <row r="69">
      <c r="A69" s="30" t="n"/>
      <c r="B69" s="30" t="n"/>
      <c r="C69" s="18">
        <f>IF($B69="","",IFERROR(VLOOKUP($B69,단가마스터!$A$4:$H$303,2,FALSE),"⚠️단가마스터에 없음"))</f>
        <v/>
      </c>
      <c r="D69" s="18">
        <f>IF($B69="","",IFERROR(VLOOKUP($B69,단가마스터!$A$4:$H$303,3,FALSE),""))</f>
        <v/>
      </c>
      <c r="E69" s="18">
        <f>IF($B69="","",IFERROR(VLOOKUP($B69,단가마스터!$A$4:$H$303,4,FALSE),""))</f>
        <v/>
      </c>
      <c r="F69" s="30" t="n"/>
      <c r="G69" s="20">
        <f>IF($B69="","",IFERROR(VLOOKUP($B69,단가마스터!$A$4:$H$303,5,FALSE),0))</f>
        <v/>
      </c>
      <c r="H69" s="20">
        <f>IF($B69="","",IFERROR(VLOOKUP($B69,단가마스터!$A$4:$H$303,6,FALSE),0))</f>
        <v/>
      </c>
      <c r="I69" s="20">
        <f>IF($B69="","",IFERROR(VLOOKUP($B69,단가마스터!$A$4:$H$303,7,FALSE),0))</f>
        <v/>
      </c>
      <c r="J69" s="20">
        <f>IF($B69="","",N($F69)*N($G69))</f>
        <v/>
      </c>
      <c r="K69" s="20">
        <f>IF($B69="","",N($F69)*N($H69))</f>
        <v/>
      </c>
      <c r="L69" s="20">
        <f>IF($B69="","",N($F69)*N($I69))</f>
        <v/>
      </c>
    </row>
    <row r="70">
      <c r="A70" s="30" t="n"/>
      <c r="B70" s="30" t="n"/>
      <c r="C70" s="18">
        <f>IF($B70="","",IFERROR(VLOOKUP($B70,단가마스터!$A$4:$H$303,2,FALSE),"⚠️단가마스터에 없음"))</f>
        <v/>
      </c>
      <c r="D70" s="18">
        <f>IF($B70="","",IFERROR(VLOOKUP($B70,단가마스터!$A$4:$H$303,3,FALSE),""))</f>
        <v/>
      </c>
      <c r="E70" s="18">
        <f>IF($B70="","",IFERROR(VLOOKUP($B70,단가마스터!$A$4:$H$303,4,FALSE),""))</f>
        <v/>
      </c>
      <c r="F70" s="30" t="n"/>
      <c r="G70" s="20">
        <f>IF($B70="","",IFERROR(VLOOKUP($B70,단가마스터!$A$4:$H$303,5,FALSE),0))</f>
        <v/>
      </c>
      <c r="H70" s="20">
        <f>IF($B70="","",IFERROR(VLOOKUP($B70,단가마스터!$A$4:$H$303,6,FALSE),0))</f>
        <v/>
      </c>
      <c r="I70" s="20">
        <f>IF($B70="","",IFERROR(VLOOKUP($B70,단가마스터!$A$4:$H$303,7,FALSE),0))</f>
        <v/>
      </c>
      <c r="J70" s="20">
        <f>IF($B70="","",N($F70)*N($G70))</f>
        <v/>
      </c>
      <c r="K70" s="20">
        <f>IF($B70="","",N($F70)*N($H70))</f>
        <v/>
      </c>
      <c r="L70" s="20">
        <f>IF($B70="","",N($F70)*N($I70))</f>
        <v/>
      </c>
    </row>
    <row r="71">
      <c r="A71" s="30" t="n"/>
      <c r="B71" s="30" t="n"/>
      <c r="C71" s="18">
        <f>IF($B71="","",IFERROR(VLOOKUP($B71,단가마스터!$A$4:$H$303,2,FALSE),"⚠️단가마스터에 없음"))</f>
        <v/>
      </c>
      <c r="D71" s="18">
        <f>IF($B71="","",IFERROR(VLOOKUP($B71,단가마스터!$A$4:$H$303,3,FALSE),""))</f>
        <v/>
      </c>
      <c r="E71" s="18">
        <f>IF($B71="","",IFERROR(VLOOKUP($B71,단가마스터!$A$4:$H$303,4,FALSE),""))</f>
        <v/>
      </c>
      <c r="F71" s="30" t="n"/>
      <c r="G71" s="20">
        <f>IF($B71="","",IFERROR(VLOOKUP($B71,단가마스터!$A$4:$H$303,5,FALSE),0))</f>
        <v/>
      </c>
      <c r="H71" s="20">
        <f>IF($B71="","",IFERROR(VLOOKUP($B71,단가마스터!$A$4:$H$303,6,FALSE),0))</f>
        <v/>
      </c>
      <c r="I71" s="20">
        <f>IF($B71="","",IFERROR(VLOOKUP($B71,단가마스터!$A$4:$H$303,7,FALSE),0))</f>
        <v/>
      </c>
      <c r="J71" s="20">
        <f>IF($B71="","",N($F71)*N($G71))</f>
        <v/>
      </c>
      <c r="K71" s="20">
        <f>IF($B71="","",N($F71)*N($H71))</f>
        <v/>
      </c>
      <c r="L71" s="20">
        <f>IF($B71="","",N($F71)*N($I71))</f>
        <v/>
      </c>
    </row>
    <row r="72">
      <c r="A72" s="30" t="n"/>
      <c r="B72" s="30" t="n"/>
      <c r="C72" s="18">
        <f>IF($B72="","",IFERROR(VLOOKUP($B72,단가마스터!$A$4:$H$303,2,FALSE),"⚠️단가마스터에 없음"))</f>
        <v/>
      </c>
      <c r="D72" s="18">
        <f>IF($B72="","",IFERROR(VLOOKUP($B72,단가마스터!$A$4:$H$303,3,FALSE),""))</f>
        <v/>
      </c>
      <c r="E72" s="18">
        <f>IF($B72="","",IFERROR(VLOOKUP($B72,단가마스터!$A$4:$H$303,4,FALSE),""))</f>
        <v/>
      </c>
      <c r="F72" s="30" t="n"/>
      <c r="G72" s="20">
        <f>IF($B72="","",IFERROR(VLOOKUP($B72,단가마스터!$A$4:$H$303,5,FALSE),0))</f>
        <v/>
      </c>
      <c r="H72" s="20">
        <f>IF($B72="","",IFERROR(VLOOKUP($B72,단가마스터!$A$4:$H$303,6,FALSE),0))</f>
        <v/>
      </c>
      <c r="I72" s="20">
        <f>IF($B72="","",IFERROR(VLOOKUP($B72,단가마스터!$A$4:$H$303,7,FALSE),0))</f>
        <v/>
      </c>
      <c r="J72" s="20">
        <f>IF($B72="","",N($F72)*N($G72))</f>
        <v/>
      </c>
      <c r="K72" s="20">
        <f>IF($B72="","",N($F72)*N($H72))</f>
        <v/>
      </c>
      <c r="L72" s="20">
        <f>IF($B72="","",N($F72)*N($I72))</f>
        <v/>
      </c>
    </row>
    <row r="73">
      <c r="A73" s="30" t="n"/>
      <c r="B73" s="30" t="n"/>
      <c r="C73" s="18">
        <f>IF($B73="","",IFERROR(VLOOKUP($B73,단가마스터!$A$4:$H$303,2,FALSE),"⚠️단가마스터에 없음"))</f>
        <v/>
      </c>
      <c r="D73" s="18">
        <f>IF($B73="","",IFERROR(VLOOKUP($B73,단가마스터!$A$4:$H$303,3,FALSE),""))</f>
        <v/>
      </c>
      <c r="E73" s="18">
        <f>IF($B73="","",IFERROR(VLOOKUP($B73,단가마스터!$A$4:$H$303,4,FALSE),""))</f>
        <v/>
      </c>
      <c r="F73" s="30" t="n"/>
      <c r="G73" s="20">
        <f>IF($B73="","",IFERROR(VLOOKUP($B73,단가마스터!$A$4:$H$303,5,FALSE),0))</f>
        <v/>
      </c>
      <c r="H73" s="20">
        <f>IF($B73="","",IFERROR(VLOOKUP($B73,단가마스터!$A$4:$H$303,6,FALSE),0))</f>
        <v/>
      </c>
      <c r="I73" s="20">
        <f>IF($B73="","",IFERROR(VLOOKUP($B73,단가마스터!$A$4:$H$303,7,FALSE),0))</f>
        <v/>
      </c>
      <c r="J73" s="20">
        <f>IF($B73="","",N($F73)*N($G73))</f>
        <v/>
      </c>
      <c r="K73" s="20">
        <f>IF($B73="","",N($F73)*N($H73))</f>
        <v/>
      </c>
      <c r="L73" s="20">
        <f>IF($B73="","",N($F73)*N($I73))</f>
        <v/>
      </c>
    </row>
    <row r="74">
      <c r="A74" s="30" t="n"/>
      <c r="B74" s="30" t="n"/>
      <c r="C74" s="18">
        <f>IF($B74="","",IFERROR(VLOOKUP($B74,단가마스터!$A$4:$H$303,2,FALSE),"⚠️단가마스터에 없음"))</f>
        <v/>
      </c>
      <c r="D74" s="18">
        <f>IF($B74="","",IFERROR(VLOOKUP($B74,단가마스터!$A$4:$H$303,3,FALSE),""))</f>
        <v/>
      </c>
      <c r="E74" s="18">
        <f>IF($B74="","",IFERROR(VLOOKUP($B74,단가마스터!$A$4:$H$303,4,FALSE),""))</f>
        <v/>
      </c>
      <c r="F74" s="30" t="n"/>
      <c r="G74" s="20">
        <f>IF($B74="","",IFERROR(VLOOKUP($B74,단가마스터!$A$4:$H$303,5,FALSE),0))</f>
        <v/>
      </c>
      <c r="H74" s="20">
        <f>IF($B74="","",IFERROR(VLOOKUP($B74,단가마스터!$A$4:$H$303,6,FALSE),0))</f>
        <v/>
      </c>
      <c r="I74" s="20">
        <f>IF($B74="","",IFERROR(VLOOKUP($B74,단가마스터!$A$4:$H$303,7,FALSE),0))</f>
        <v/>
      </c>
      <c r="J74" s="20">
        <f>IF($B74="","",N($F74)*N($G74))</f>
        <v/>
      </c>
      <c r="K74" s="20">
        <f>IF($B74="","",N($F74)*N($H74))</f>
        <v/>
      </c>
      <c r="L74" s="20">
        <f>IF($B74="","",N($F74)*N($I74))</f>
        <v/>
      </c>
    </row>
    <row r="75">
      <c r="A75" s="30" t="n"/>
      <c r="B75" s="30" t="n"/>
      <c r="C75" s="18">
        <f>IF($B75="","",IFERROR(VLOOKUP($B75,단가마스터!$A$4:$H$303,2,FALSE),"⚠️단가마스터에 없음"))</f>
        <v/>
      </c>
      <c r="D75" s="18">
        <f>IF($B75="","",IFERROR(VLOOKUP($B75,단가마스터!$A$4:$H$303,3,FALSE),""))</f>
        <v/>
      </c>
      <c r="E75" s="18">
        <f>IF($B75="","",IFERROR(VLOOKUP($B75,단가마스터!$A$4:$H$303,4,FALSE),""))</f>
        <v/>
      </c>
      <c r="F75" s="30" t="n"/>
      <c r="G75" s="20">
        <f>IF($B75="","",IFERROR(VLOOKUP($B75,단가마스터!$A$4:$H$303,5,FALSE),0))</f>
        <v/>
      </c>
      <c r="H75" s="20">
        <f>IF($B75="","",IFERROR(VLOOKUP($B75,단가마스터!$A$4:$H$303,6,FALSE),0))</f>
        <v/>
      </c>
      <c r="I75" s="20">
        <f>IF($B75="","",IFERROR(VLOOKUP($B75,단가마스터!$A$4:$H$303,7,FALSE),0))</f>
        <v/>
      </c>
      <c r="J75" s="20">
        <f>IF($B75="","",N($F75)*N($G75))</f>
        <v/>
      </c>
      <c r="K75" s="20">
        <f>IF($B75="","",N($F75)*N($H75))</f>
        <v/>
      </c>
      <c r="L75" s="20">
        <f>IF($B75="","",N($F75)*N($I75))</f>
        <v/>
      </c>
    </row>
    <row r="76">
      <c r="A76" s="30" t="n"/>
      <c r="B76" s="30" t="n"/>
      <c r="C76" s="18">
        <f>IF($B76="","",IFERROR(VLOOKUP($B76,단가마스터!$A$4:$H$303,2,FALSE),"⚠️단가마스터에 없음"))</f>
        <v/>
      </c>
      <c r="D76" s="18">
        <f>IF($B76="","",IFERROR(VLOOKUP($B76,단가마스터!$A$4:$H$303,3,FALSE),""))</f>
        <v/>
      </c>
      <c r="E76" s="18">
        <f>IF($B76="","",IFERROR(VLOOKUP($B76,단가마스터!$A$4:$H$303,4,FALSE),""))</f>
        <v/>
      </c>
      <c r="F76" s="30" t="n"/>
      <c r="G76" s="20">
        <f>IF($B76="","",IFERROR(VLOOKUP($B76,단가마스터!$A$4:$H$303,5,FALSE),0))</f>
        <v/>
      </c>
      <c r="H76" s="20">
        <f>IF($B76="","",IFERROR(VLOOKUP($B76,단가마스터!$A$4:$H$303,6,FALSE),0))</f>
        <v/>
      </c>
      <c r="I76" s="20">
        <f>IF($B76="","",IFERROR(VLOOKUP($B76,단가마스터!$A$4:$H$303,7,FALSE),0))</f>
        <v/>
      </c>
      <c r="J76" s="20">
        <f>IF($B76="","",N($F76)*N($G76))</f>
        <v/>
      </c>
      <c r="K76" s="20">
        <f>IF($B76="","",N($F76)*N($H76))</f>
        <v/>
      </c>
      <c r="L76" s="20">
        <f>IF($B76="","",N($F76)*N($I76))</f>
        <v/>
      </c>
    </row>
    <row r="77">
      <c r="A77" s="30" t="n"/>
      <c r="B77" s="30" t="n"/>
      <c r="C77" s="18">
        <f>IF($B77="","",IFERROR(VLOOKUP($B77,단가마스터!$A$4:$H$303,2,FALSE),"⚠️단가마스터에 없음"))</f>
        <v/>
      </c>
      <c r="D77" s="18">
        <f>IF($B77="","",IFERROR(VLOOKUP($B77,단가마스터!$A$4:$H$303,3,FALSE),""))</f>
        <v/>
      </c>
      <c r="E77" s="18">
        <f>IF($B77="","",IFERROR(VLOOKUP($B77,단가마스터!$A$4:$H$303,4,FALSE),""))</f>
        <v/>
      </c>
      <c r="F77" s="30" t="n"/>
      <c r="G77" s="20">
        <f>IF($B77="","",IFERROR(VLOOKUP($B77,단가마스터!$A$4:$H$303,5,FALSE),0))</f>
        <v/>
      </c>
      <c r="H77" s="20">
        <f>IF($B77="","",IFERROR(VLOOKUP($B77,단가마스터!$A$4:$H$303,6,FALSE),0))</f>
        <v/>
      </c>
      <c r="I77" s="20">
        <f>IF($B77="","",IFERROR(VLOOKUP($B77,단가마스터!$A$4:$H$303,7,FALSE),0))</f>
        <v/>
      </c>
      <c r="J77" s="20">
        <f>IF($B77="","",N($F77)*N($G77))</f>
        <v/>
      </c>
      <c r="K77" s="20">
        <f>IF($B77="","",N($F77)*N($H77))</f>
        <v/>
      </c>
      <c r="L77" s="20">
        <f>IF($B77="","",N($F77)*N($I77))</f>
        <v/>
      </c>
    </row>
    <row r="78">
      <c r="A78" s="30" t="n"/>
      <c r="B78" s="30" t="n"/>
      <c r="C78" s="18">
        <f>IF($B78="","",IFERROR(VLOOKUP($B78,단가마스터!$A$4:$H$303,2,FALSE),"⚠️단가마스터에 없음"))</f>
        <v/>
      </c>
      <c r="D78" s="18">
        <f>IF($B78="","",IFERROR(VLOOKUP($B78,단가마스터!$A$4:$H$303,3,FALSE),""))</f>
        <v/>
      </c>
      <c r="E78" s="18">
        <f>IF($B78="","",IFERROR(VLOOKUP($B78,단가마스터!$A$4:$H$303,4,FALSE),""))</f>
        <v/>
      </c>
      <c r="F78" s="30" t="n"/>
      <c r="G78" s="20">
        <f>IF($B78="","",IFERROR(VLOOKUP($B78,단가마스터!$A$4:$H$303,5,FALSE),0))</f>
        <v/>
      </c>
      <c r="H78" s="20">
        <f>IF($B78="","",IFERROR(VLOOKUP($B78,단가마스터!$A$4:$H$303,6,FALSE),0))</f>
        <v/>
      </c>
      <c r="I78" s="20">
        <f>IF($B78="","",IFERROR(VLOOKUP($B78,단가마스터!$A$4:$H$303,7,FALSE),0))</f>
        <v/>
      </c>
      <c r="J78" s="20">
        <f>IF($B78="","",N($F78)*N($G78))</f>
        <v/>
      </c>
      <c r="K78" s="20">
        <f>IF($B78="","",N($F78)*N($H78))</f>
        <v/>
      </c>
      <c r="L78" s="20">
        <f>IF($B78="","",N($F78)*N($I78))</f>
        <v/>
      </c>
    </row>
    <row r="79">
      <c r="A79" s="30" t="n"/>
      <c r="B79" s="30" t="n"/>
      <c r="C79" s="18">
        <f>IF($B79="","",IFERROR(VLOOKUP($B79,단가마스터!$A$4:$H$303,2,FALSE),"⚠️단가마스터에 없음"))</f>
        <v/>
      </c>
      <c r="D79" s="18">
        <f>IF($B79="","",IFERROR(VLOOKUP($B79,단가마스터!$A$4:$H$303,3,FALSE),""))</f>
        <v/>
      </c>
      <c r="E79" s="18">
        <f>IF($B79="","",IFERROR(VLOOKUP($B79,단가마스터!$A$4:$H$303,4,FALSE),""))</f>
        <v/>
      </c>
      <c r="F79" s="30" t="n"/>
      <c r="G79" s="20">
        <f>IF($B79="","",IFERROR(VLOOKUP($B79,단가마스터!$A$4:$H$303,5,FALSE),0))</f>
        <v/>
      </c>
      <c r="H79" s="20">
        <f>IF($B79="","",IFERROR(VLOOKUP($B79,단가마스터!$A$4:$H$303,6,FALSE),0))</f>
        <v/>
      </c>
      <c r="I79" s="20">
        <f>IF($B79="","",IFERROR(VLOOKUP($B79,단가마스터!$A$4:$H$303,7,FALSE),0))</f>
        <v/>
      </c>
      <c r="J79" s="20">
        <f>IF($B79="","",N($F79)*N($G79))</f>
        <v/>
      </c>
      <c r="K79" s="20">
        <f>IF($B79="","",N($F79)*N($H79))</f>
        <v/>
      </c>
      <c r="L79" s="20">
        <f>IF($B79="","",N($F79)*N($I79))</f>
        <v/>
      </c>
    </row>
    <row r="80">
      <c r="A80" s="30" t="n"/>
      <c r="B80" s="30" t="n"/>
      <c r="C80" s="18">
        <f>IF($B80="","",IFERROR(VLOOKUP($B80,단가마스터!$A$4:$H$303,2,FALSE),"⚠️단가마스터에 없음"))</f>
        <v/>
      </c>
      <c r="D80" s="18">
        <f>IF($B80="","",IFERROR(VLOOKUP($B80,단가마스터!$A$4:$H$303,3,FALSE),""))</f>
        <v/>
      </c>
      <c r="E80" s="18">
        <f>IF($B80="","",IFERROR(VLOOKUP($B80,단가마스터!$A$4:$H$303,4,FALSE),""))</f>
        <v/>
      </c>
      <c r="F80" s="30" t="n"/>
      <c r="G80" s="20">
        <f>IF($B80="","",IFERROR(VLOOKUP($B80,단가마스터!$A$4:$H$303,5,FALSE),0))</f>
        <v/>
      </c>
      <c r="H80" s="20">
        <f>IF($B80="","",IFERROR(VLOOKUP($B80,단가마스터!$A$4:$H$303,6,FALSE),0))</f>
        <v/>
      </c>
      <c r="I80" s="20">
        <f>IF($B80="","",IFERROR(VLOOKUP($B80,단가마스터!$A$4:$H$303,7,FALSE),0))</f>
        <v/>
      </c>
      <c r="J80" s="20">
        <f>IF($B80="","",N($F80)*N($G80))</f>
        <v/>
      </c>
      <c r="K80" s="20">
        <f>IF($B80="","",N($F80)*N($H80))</f>
        <v/>
      </c>
      <c r="L80" s="20">
        <f>IF($B80="","",N($F80)*N($I80))</f>
        <v/>
      </c>
    </row>
    <row r="81">
      <c r="A81" s="30" t="n"/>
      <c r="B81" s="30" t="n"/>
      <c r="C81" s="18">
        <f>IF($B81="","",IFERROR(VLOOKUP($B81,단가마스터!$A$4:$H$303,2,FALSE),"⚠️단가마스터에 없음"))</f>
        <v/>
      </c>
      <c r="D81" s="18">
        <f>IF($B81="","",IFERROR(VLOOKUP($B81,단가마스터!$A$4:$H$303,3,FALSE),""))</f>
        <v/>
      </c>
      <c r="E81" s="18">
        <f>IF($B81="","",IFERROR(VLOOKUP($B81,단가마스터!$A$4:$H$303,4,FALSE),""))</f>
        <v/>
      </c>
      <c r="F81" s="30" t="n"/>
      <c r="G81" s="20">
        <f>IF($B81="","",IFERROR(VLOOKUP($B81,단가마스터!$A$4:$H$303,5,FALSE),0))</f>
        <v/>
      </c>
      <c r="H81" s="20">
        <f>IF($B81="","",IFERROR(VLOOKUP($B81,단가마스터!$A$4:$H$303,6,FALSE),0))</f>
        <v/>
      </c>
      <c r="I81" s="20">
        <f>IF($B81="","",IFERROR(VLOOKUP($B81,단가마스터!$A$4:$H$303,7,FALSE),0))</f>
        <v/>
      </c>
      <c r="J81" s="20">
        <f>IF($B81="","",N($F81)*N($G81))</f>
        <v/>
      </c>
      <c r="K81" s="20">
        <f>IF($B81="","",N($F81)*N($H81))</f>
        <v/>
      </c>
      <c r="L81" s="20">
        <f>IF($B81="","",N($F81)*N($I81))</f>
        <v/>
      </c>
    </row>
    <row r="82">
      <c r="A82" s="30" t="n"/>
      <c r="B82" s="30" t="n"/>
      <c r="C82" s="18">
        <f>IF($B82="","",IFERROR(VLOOKUP($B82,단가마스터!$A$4:$H$303,2,FALSE),"⚠️단가마스터에 없음"))</f>
        <v/>
      </c>
      <c r="D82" s="18">
        <f>IF($B82="","",IFERROR(VLOOKUP($B82,단가마스터!$A$4:$H$303,3,FALSE),""))</f>
        <v/>
      </c>
      <c r="E82" s="18">
        <f>IF($B82="","",IFERROR(VLOOKUP($B82,단가마스터!$A$4:$H$303,4,FALSE),""))</f>
        <v/>
      </c>
      <c r="F82" s="30" t="n"/>
      <c r="G82" s="20">
        <f>IF($B82="","",IFERROR(VLOOKUP($B82,단가마스터!$A$4:$H$303,5,FALSE),0))</f>
        <v/>
      </c>
      <c r="H82" s="20">
        <f>IF($B82="","",IFERROR(VLOOKUP($B82,단가마스터!$A$4:$H$303,6,FALSE),0))</f>
        <v/>
      </c>
      <c r="I82" s="20">
        <f>IF($B82="","",IFERROR(VLOOKUP($B82,단가마스터!$A$4:$H$303,7,FALSE),0))</f>
        <v/>
      </c>
      <c r="J82" s="20">
        <f>IF($B82="","",N($F82)*N($G82))</f>
        <v/>
      </c>
      <c r="K82" s="20">
        <f>IF($B82="","",N($F82)*N($H82))</f>
        <v/>
      </c>
      <c r="L82" s="20">
        <f>IF($B82="","",N($F82)*N($I82))</f>
        <v/>
      </c>
    </row>
    <row r="83">
      <c r="A83" s="30" t="n"/>
      <c r="B83" s="30" t="n"/>
      <c r="C83" s="18">
        <f>IF($B83="","",IFERROR(VLOOKUP($B83,단가마스터!$A$4:$H$303,2,FALSE),"⚠️단가마스터에 없음"))</f>
        <v/>
      </c>
      <c r="D83" s="18">
        <f>IF($B83="","",IFERROR(VLOOKUP($B83,단가마스터!$A$4:$H$303,3,FALSE),""))</f>
        <v/>
      </c>
      <c r="E83" s="18">
        <f>IF($B83="","",IFERROR(VLOOKUP($B83,단가마스터!$A$4:$H$303,4,FALSE),""))</f>
        <v/>
      </c>
      <c r="F83" s="30" t="n"/>
      <c r="G83" s="20">
        <f>IF($B83="","",IFERROR(VLOOKUP($B83,단가마스터!$A$4:$H$303,5,FALSE),0))</f>
        <v/>
      </c>
      <c r="H83" s="20">
        <f>IF($B83="","",IFERROR(VLOOKUP($B83,단가마스터!$A$4:$H$303,6,FALSE),0))</f>
        <v/>
      </c>
      <c r="I83" s="20">
        <f>IF($B83="","",IFERROR(VLOOKUP($B83,단가마스터!$A$4:$H$303,7,FALSE),0))</f>
        <v/>
      </c>
      <c r="J83" s="20">
        <f>IF($B83="","",N($F83)*N($G83))</f>
        <v/>
      </c>
      <c r="K83" s="20">
        <f>IF($B83="","",N($F83)*N($H83))</f>
        <v/>
      </c>
      <c r="L83" s="20">
        <f>IF($B83="","",N($F83)*N($I83))</f>
        <v/>
      </c>
    </row>
    <row r="84">
      <c r="A84" s="30" t="n"/>
      <c r="B84" s="30" t="n"/>
      <c r="C84" s="18">
        <f>IF($B84="","",IFERROR(VLOOKUP($B84,단가마스터!$A$4:$H$303,2,FALSE),"⚠️단가마스터에 없음"))</f>
        <v/>
      </c>
      <c r="D84" s="18">
        <f>IF($B84="","",IFERROR(VLOOKUP($B84,단가마스터!$A$4:$H$303,3,FALSE),""))</f>
        <v/>
      </c>
      <c r="E84" s="18">
        <f>IF($B84="","",IFERROR(VLOOKUP($B84,단가마스터!$A$4:$H$303,4,FALSE),""))</f>
        <v/>
      </c>
      <c r="F84" s="30" t="n"/>
      <c r="G84" s="20">
        <f>IF($B84="","",IFERROR(VLOOKUP($B84,단가마스터!$A$4:$H$303,5,FALSE),0))</f>
        <v/>
      </c>
      <c r="H84" s="20">
        <f>IF($B84="","",IFERROR(VLOOKUP($B84,단가마스터!$A$4:$H$303,6,FALSE),0))</f>
        <v/>
      </c>
      <c r="I84" s="20">
        <f>IF($B84="","",IFERROR(VLOOKUP($B84,단가마스터!$A$4:$H$303,7,FALSE),0))</f>
        <v/>
      </c>
      <c r="J84" s="20">
        <f>IF($B84="","",N($F84)*N($G84))</f>
        <v/>
      </c>
      <c r="K84" s="20">
        <f>IF($B84="","",N($F84)*N($H84))</f>
        <v/>
      </c>
      <c r="L84" s="20">
        <f>IF($B84="","",N($F84)*N($I84))</f>
        <v/>
      </c>
    </row>
    <row r="85">
      <c r="A85" s="30" t="n"/>
      <c r="B85" s="30" t="n"/>
      <c r="C85" s="18">
        <f>IF($B85="","",IFERROR(VLOOKUP($B85,단가마스터!$A$4:$H$303,2,FALSE),"⚠️단가마스터에 없음"))</f>
        <v/>
      </c>
      <c r="D85" s="18">
        <f>IF($B85="","",IFERROR(VLOOKUP($B85,단가마스터!$A$4:$H$303,3,FALSE),""))</f>
        <v/>
      </c>
      <c r="E85" s="18">
        <f>IF($B85="","",IFERROR(VLOOKUP($B85,단가마스터!$A$4:$H$303,4,FALSE),""))</f>
        <v/>
      </c>
      <c r="F85" s="30" t="n"/>
      <c r="G85" s="20">
        <f>IF($B85="","",IFERROR(VLOOKUP($B85,단가마스터!$A$4:$H$303,5,FALSE),0))</f>
        <v/>
      </c>
      <c r="H85" s="20">
        <f>IF($B85="","",IFERROR(VLOOKUP($B85,단가마스터!$A$4:$H$303,6,FALSE),0))</f>
        <v/>
      </c>
      <c r="I85" s="20">
        <f>IF($B85="","",IFERROR(VLOOKUP($B85,단가마스터!$A$4:$H$303,7,FALSE),0))</f>
        <v/>
      </c>
      <c r="J85" s="20">
        <f>IF($B85="","",N($F85)*N($G85))</f>
        <v/>
      </c>
      <c r="K85" s="20">
        <f>IF($B85="","",N($F85)*N($H85))</f>
        <v/>
      </c>
      <c r="L85" s="20">
        <f>IF($B85="","",N($F85)*N($I85))</f>
        <v/>
      </c>
    </row>
    <row r="86">
      <c r="A86" s="30" t="n"/>
      <c r="B86" s="30" t="n"/>
      <c r="C86" s="18">
        <f>IF($B86="","",IFERROR(VLOOKUP($B86,단가마스터!$A$4:$H$303,2,FALSE),"⚠️단가마스터에 없음"))</f>
        <v/>
      </c>
      <c r="D86" s="18">
        <f>IF($B86="","",IFERROR(VLOOKUP($B86,단가마스터!$A$4:$H$303,3,FALSE),""))</f>
        <v/>
      </c>
      <c r="E86" s="18">
        <f>IF($B86="","",IFERROR(VLOOKUP($B86,단가마스터!$A$4:$H$303,4,FALSE),""))</f>
        <v/>
      </c>
      <c r="F86" s="30" t="n"/>
      <c r="G86" s="20">
        <f>IF($B86="","",IFERROR(VLOOKUP($B86,단가마스터!$A$4:$H$303,5,FALSE),0))</f>
        <v/>
      </c>
      <c r="H86" s="20">
        <f>IF($B86="","",IFERROR(VLOOKUP($B86,단가마스터!$A$4:$H$303,6,FALSE),0))</f>
        <v/>
      </c>
      <c r="I86" s="20">
        <f>IF($B86="","",IFERROR(VLOOKUP($B86,단가마스터!$A$4:$H$303,7,FALSE),0))</f>
        <v/>
      </c>
      <c r="J86" s="20">
        <f>IF($B86="","",N($F86)*N($G86))</f>
        <v/>
      </c>
      <c r="K86" s="20">
        <f>IF($B86="","",N($F86)*N($H86))</f>
        <v/>
      </c>
      <c r="L86" s="20">
        <f>IF($B86="","",N($F86)*N($I86))</f>
        <v/>
      </c>
    </row>
    <row r="87">
      <c r="A87" s="30" t="n"/>
      <c r="B87" s="30" t="n"/>
      <c r="C87" s="18">
        <f>IF($B87="","",IFERROR(VLOOKUP($B87,단가마스터!$A$4:$H$303,2,FALSE),"⚠️단가마스터에 없음"))</f>
        <v/>
      </c>
      <c r="D87" s="18">
        <f>IF($B87="","",IFERROR(VLOOKUP($B87,단가마스터!$A$4:$H$303,3,FALSE),""))</f>
        <v/>
      </c>
      <c r="E87" s="18">
        <f>IF($B87="","",IFERROR(VLOOKUP($B87,단가마스터!$A$4:$H$303,4,FALSE),""))</f>
        <v/>
      </c>
      <c r="F87" s="30" t="n"/>
      <c r="G87" s="20">
        <f>IF($B87="","",IFERROR(VLOOKUP($B87,단가마스터!$A$4:$H$303,5,FALSE),0))</f>
        <v/>
      </c>
      <c r="H87" s="20">
        <f>IF($B87="","",IFERROR(VLOOKUP($B87,단가마스터!$A$4:$H$303,6,FALSE),0))</f>
        <v/>
      </c>
      <c r="I87" s="20">
        <f>IF($B87="","",IFERROR(VLOOKUP($B87,단가마스터!$A$4:$H$303,7,FALSE),0))</f>
        <v/>
      </c>
      <c r="J87" s="20">
        <f>IF($B87="","",N($F87)*N($G87))</f>
        <v/>
      </c>
      <c r="K87" s="20">
        <f>IF($B87="","",N($F87)*N($H87))</f>
        <v/>
      </c>
      <c r="L87" s="20">
        <f>IF($B87="","",N($F87)*N($I87))</f>
        <v/>
      </c>
    </row>
    <row r="88">
      <c r="A88" s="30" t="n"/>
      <c r="B88" s="30" t="n"/>
      <c r="C88" s="18">
        <f>IF($B88="","",IFERROR(VLOOKUP($B88,단가마스터!$A$4:$H$303,2,FALSE),"⚠️단가마스터에 없음"))</f>
        <v/>
      </c>
      <c r="D88" s="18">
        <f>IF($B88="","",IFERROR(VLOOKUP($B88,단가마스터!$A$4:$H$303,3,FALSE),""))</f>
        <v/>
      </c>
      <c r="E88" s="18">
        <f>IF($B88="","",IFERROR(VLOOKUP($B88,단가마스터!$A$4:$H$303,4,FALSE),""))</f>
        <v/>
      </c>
      <c r="F88" s="30" t="n"/>
      <c r="G88" s="20">
        <f>IF($B88="","",IFERROR(VLOOKUP($B88,단가마스터!$A$4:$H$303,5,FALSE),0))</f>
        <v/>
      </c>
      <c r="H88" s="20">
        <f>IF($B88="","",IFERROR(VLOOKUP($B88,단가마스터!$A$4:$H$303,6,FALSE),0))</f>
        <v/>
      </c>
      <c r="I88" s="20">
        <f>IF($B88="","",IFERROR(VLOOKUP($B88,단가마스터!$A$4:$H$303,7,FALSE),0))</f>
        <v/>
      </c>
      <c r="J88" s="20">
        <f>IF($B88="","",N($F88)*N($G88))</f>
        <v/>
      </c>
      <c r="K88" s="20">
        <f>IF($B88="","",N($F88)*N($H88))</f>
        <v/>
      </c>
      <c r="L88" s="20">
        <f>IF($B88="","",N($F88)*N($I88))</f>
        <v/>
      </c>
    </row>
    <row r="89">
      <c r="A89" s="30" t="n"/>
      <c r="B89" s="30" t="n"/>
      <c r="C89" s="18">
        <f>IF($B89="","",IFERROR(VLOOKUP($B89,단가마스터!$A$4:$H$303,2,FALSE),"⚠️단가마스터에 없음"))</f>
        <v/>
      </c>
      <c r="D89" s="18">
        <f>IF($B89="","",IFERROR(VLOOKUP($B89,단가마스터!$A$4:$H$303,3,FALSE),""))</f>
        <v/>
      </c>
      <c r="E89" s="18">
        <f>IF($B89="","",IFERROR(VLOOKUP($B89,단가마스터!$A$4:$H$303,4,FALSE),""))</f>
        <v/>
      </c>
      <c r="F89" s="30" t="n"/>
      <c r="G89" s="20">
        <f>IF($B89="","",IFERROR(VLOOKUP($B89,단가마스터!$A$4:$H$303,5,FALSE),0))</f>
        <v/>
      </c>
      <c r="H89" s="20">
        <f>IF($B89="","",IFERROR(VLOOKUP($B89,단가마스터!$A$4:$H$303,6,FALSE),0))</f>
        <v/>
      </c>
      <c r="I89" s="20">
        <f>IF($B89="","",IFERROR(VLOOKUP($B89,단가마스터!$A$4:$H$303,7,FALSE),0))</f>
        <v/>
      </c>
      <c r="J89" s="20">
        <f>IF($B89="","",N($F89)*N($G89))</f>
        <v/>
      </c>
      <c r="K89" s="20">
        <f>IF($B89="","",N($F89)*N($H89))</f>
        <v/>
      </c>
      <c r="L89" s="20">
        <f>IF($B89="","",N($F89)*N($I89))</f>
        <v/>
      </c>
    </row>
    <row r="90">
      <c r="A90" s="30" t="n"/>
      <c r="B90" s="30" t="n"/>
      <c r="C90" s="18">
        <f>IF($B90="","",IFERROR(VLOOKUP($B90,단가마스터!$A$4:$H$303,2,FALSE),"⚠️단가마스터에 없음"))</f>
        <v/>
      </c>
      <c r="D90" s="18">
        <f>IF($B90="","",IFERROR(VLOOKUP($B90,단가마스터!$A$4:$H$303,3,FALSE),""))</f>
        <v/>
      </c>
      <c r="E90" s="18">
        <f>IF($B90="","",IFERROR(VLOOKUP($B90,단가마스터!$A$4:$H$303,4,FALSE),""))</f>
        <v/>
      </c>
      <c r="F90" s="30" t="n"/>
      <c r="G90" s="20">
        <f>IF($B90="","",IFERROR(VLOOKUP($B90,단가마스터!$A$4:$H$303,5,FALSE),0))</f>
        <v/>
      </c>
      <c r="H90" s="20">
        <f>IF($B90="","",IFERROR(VLOOKUP($B90,단가마스터!$A$4:$H$303,6,FALSE),0))</f>
        <v/>
      </c>
      <c r="I90" s="20">
        <f>IF($B90="","",IFERROR(VLOOKUP($B90,단가마스터!$A$4:$H$303,7,FALSE),0))</f>
        <v/>
      </c>
      <c r="J90" s="20">
        <f>IF($B90="","",N($F90)*N($G90))</f>
        <v/>
      </c>
      <c r="K90" s="20">
        <f>IF($B90="","",N($F90)*N($H90))</f>
        <v/>
      </c>
      <c r="L90" s="20">
        <f>IF($B90="","",N($F90)*N($I90))</f>
        <v/>
      </c>
    </row>
    <row r="91">
      <c r="A91" s="30" t="n"/>
      <c r="B91" s="30" t="n"/>
      <c r="C91" s="18">
        <f>IF($B91="","",IFERROR(VLOOKUP($B91,단가마스터!$A$4:$H$303,2,FALSE),"⚠️단가마스터에 없음"))</f>
        <v/>
      </c>
      <c r="D91" s="18">
        <f>IF($B91="","",IFERROR(VLOOKUP($B91,단가마스터!$A$4:$H$303,3,FALSE),""))</f>
        <v/>
      </c>
      <c r="E91" s="18">
        <f>IF($B91="","",IFERROR(VLOOKUP($B91,단가마스터!$A$4:$H$303,4,FALSE),""))</f>
        <v/>
      </c>
      <c r="F91" s="30" t="n"/>
      <c r="G91" s="20">
        <f>IF($B91="","",IFERROR(VLOOKUP($B91,단가마스터!$A$4:$H$303,5,FALSE),0))</f>
        <v/>
      </c>
      <c r="H91" s="20">
        <f>IF($B91="","",IFERROR(VLOOKUP($B91,단가마스터!$A$4:$H$303,6,FALSE),0))</f>
        <v/>
      </c>
      <c r="I91" s="20">
        <f>IF($B91="","",IFERROR(VLOOKUP($B91,단가마스터!$A$4:$H$303,7,FALSE),0))</f>
        <v/>
      </c>
      <c r="J91" s="20">
        <f>IF($B91="","",N($F91)*N($G91))</f>
        <v/>
      </c>
      <c r="K91" s="20">
        <f>IF($B91="","",N($F91)*N($H91))</f>
        <v/>
      </c>
      <c r="L91" s="20">
        <f>IF($B91="","",N($F91)*N($I91))</f>
        <v/>
      </c>
    </row>
    <row r="92">
      <c r="A92" s="30" t="n"/>
      <c r="B92" s="30" t="n"/>
      <c r="C92" s="18">
        <f>IF($B92="","",IFERROR(VLOOKUP($B92,단가마스터!$A$4:$H$303,2,FALSE),"⚠️단가마스터에 없음"))</f>
        <v/>
      </c>
      <c r="D92" s="18">
        <f>IF($B92="","",IFERROR(VLOOKUP($B92,단가마스터!$A$4:$H$303,3,FALSE),""))</f>
        <v/>
      </c>
      <c r="E92" s="18">
        <f>IF($B92="","",IFERROR(VLOOKUP($B92,단가마스터!$A$4:$H$303,4,FALSE),""))</f>
        <v/>
      </c>
      <c r="F92" s="30" t="n"/>
      <c r="G92" s="20">
        <f>IF($B92="","",IFERROR(VLOOKUP($B92,단가마스터!$A$4:$H$303,5,FALSE),0))</f>
        <v/>
      </c>
      <c r="H92" s="20">
        <f>IF($B92="","",IFERROR(VLOOKUP($B92,단가마스터!$A$4:$H$303,6,FALSE),0))</f>
        <v/>
      </c>
      <c r="I92" s="20">
        <f>IF($B92="","",IFERROR(VLOOKUP($B92,단가마스터!$A$4:$H$303,7,FALSE),0))</f>
        <v/>
      </c>
      <c r="J92" s="20">
        <f>IF($B92="","",N($F92)*N($G92))</f>
        <v/>
      </c>
      <c r="K92" s="20">
        <f>IF($B92="","",N($F92)*N($H92))</f>
        <v/>
      </c>
      <c r="L92" s="20">
        <f>IF($B92="","",N($F92)*N($I92))</f>
        <v/>
      </c>
    </row>
    <row r="93">
      <c r="A93" s="30" t="n"/>
      <c r="B93" s="30" t="n"/>
      <c r="C93" s="18">
        <f>IF($B93="","",IFERROR(VLOOKUP($B93,단가마스터!$A$4:$H$303,2,FALSE),"⚠️단가마스터에 없음"))</f>
        <v/>
      </c>
      <c r="D93" s="18">
        <f>IF($B93="","",IFERROR(VLOOKUP($B93,단가마스터!$A$4:$H$303,3,FALSE),""))</f>
        <v/>
      </c>
      <c r="E93" s="18">
        <f>IF($B93="","",IFERROR(VLOOKUP($B93,단가마스터!$A$4:$H$303,4,FALSE),""))</f>
        <v/>
      </c>
      <c r="F93" s="30" t="n"/>
      <c r="G93" s="20">
        <f>IF($B93="","",IFERROR(VLOOKUP($B93,단가마스터!$A$4:$H$303,5,FALSE),0))</f>
        <v/>
      </c>
      <c r="H93" s="20">
        <f>IF($B93="","",IFERROR(VLOOKUP($B93,단가마스터!$A$4:$H$303,6,FALSE),0))</f>
        <v/>
      </c>
      <c r="I93" s="20">
        <f>IF($B93="","",IFERROR(VLOOKUP($B93,단가마스터!$A$4:$H$303,7,FALSE),0))</f>
        <v/>
      </c>
      <c r="J93" s="20">
        <f>IF($B93="","",N($F93)*N($G93))</f>
        <v/>
      </c>
      <c r="K93" s="20">
        <f>IF($B93="","",N($F93)*N($H93))</f>
        <v/>
      </c>
      <c r="L93" s="20">
        <f>IF($B93="","",N($F93)*N($I93))</f>
        <v/>
      </c>
    </row>
    <row r="94">
      <c r="A94" s="30" t="n"/>
      <c r="B94" s="30" t="n"/>
      <c r="C94" s="18">
        <f>IF($B94="","",IFERROR(VLOOKUP($B94,단가마스터!$A$4:$H$303,2,FALSE),"⚠️단가마스터에 없음"))</f>
        <v/>
      </c>
      <c r="D94" s="18">
        <f>IF($B94="","",IFERROR(VLOOKUP($B94,단가마스터!$A$4:$H$303,3,FALSE),""))</f>
        <v/>
      </c>
      <c r="E94" s="18">
        <f>IF($B94="","",IFERROR(VLOOKUP($B94,단가마스터!$A$4:$H$303,4,FALSE),""))</f>
        <v/>
      </c>
      <c r="F94" s="30" t="n"/>
      <c r="G94" s="20">
        <f>IF($B94="","",IFERROR(VLOOKUP($B94,단가마스터!$A$4:$H$303,5,FALSE),0))</f>
        <v/>
      </c>
      <c r="H94" s="20">
        <f>IF($B94="","",IFERROR(VLOOKUP($B94,단가마스터!$A$4:$H$303,6,FALSE),0))</f>
        <v/>
      </c>
      <c r="I94" s="20">
        <f>IF($B94="","",IFERROR(VLOOKUP($B94,단가마스터!$A$4:$H$303,7,FALSE),0))</f>
        <v/>
      </c>
      <c r="J94" s="20">
        <f>IF($B94="","",N($F94)*N($G94))</f>
        <v/>
      </c>
      <c r="K94" s="20">
        <f>IF($B94="","",N($F94)*N($H94))</f>
        <v/>
      </c>
      <c r="L94" s="20">
        <f>IF($B94="","",N($F94)*N($I94))</f>
        <v/>
      </c>
    </row>
    <row r="95">
      <c r="A95" s="30" t="n"/>
      <c r="B95" s="30" t="n"/>
      <c r="C95" s="18">
        <f>IF($B95="","",IFERROR(VLOOKUP($B95,단가마스터!$A$4:$H$303,2,FALSE),"⚠️단가마스터에 없음"))</f>
        <v/>
      </c>
      <c r="D95" s="18">
        <f>IF($B95="","",IFERROR(VLOOKUP($B95,단가마스터!$A$4:$H$303,3,FALSE),""))</f>
        <v/>
      </c>
      <c r="E95" s="18">
        <f>IF($B95="","",IFERROR(VLOOKUP($B95,단가마스터!$A$4:$H$303,4,FALSE),""))</f>
        <v/>
      </c>
      <c r="F95" s="30" t="n"/>
      <c r="G95" s="20">
        <f>IF($B95="","",IFERROR(VLOOKUP($B95,단가마스터!$A$4:$H$303,5,FALSE),0))</f>
        <v/>
      </c>
      <c r="H95" s="20">
        <f>IF($B95="","",IFERROR(VLOOKUP($B95,단가마스터!$A$4:$H$303,6,FALSE),0))</f>
        <v/>
      </c>
      <c r="I95" s="20">
        <f>IF($B95="","",IFERROR(VLOOKUP($B95,단가마스터!$A$4:$H$303,7,FALSE),0))</f>
        <v/>
      </c>
      <c r="J95" s="20">
        <f>IF($B95="","",N($F95)*N($G95))</f>
        <v/>
      </c>
      <c r="K95" s="20">
        <f>IF($B95="","",N($F95)*N($H95))</f>
        <v/>
      </c>
      <c r="L95" s="20">
        <f>IF($B95="","",N($F95)*N($I95))</f>
        <v/>
      </c>
    </row>
    <row r="96">
      <c r="A96" s="30" t="n"/>
      <c r="B96" s="30" t="n"/>
      <c r="C96" s="18">
        <f>IF($B96="","",IFERROR(VLOOKUP($B96,단가마스터!$A$4:$H$303,2,FALSE),"⚠️단가마스터에 없음"))</f>
        <v/>
      </c>
      <c r="D96" s="18">
        <f>IF($B96="","",IFERROR(VLOOKUP($B96,단가마스터!$A$4:$H$303,3,FALSE),""))</f>
        <v/>
      </c>
      <c r="E96" s="18">
        <f>IF($B96="","",IFERROR(VLOOKUP($B96,단가마스터!$A$4:$H$303,4,FALSE),""))</f>
        <v/>
      </c>
      <c r="F96" s="30" t="n"/>
      <c r="G96" s="20">
        <f>IF($B96="","",IFERROR(VLOOKUP($B96,단가마스터!$A$4:$H$303,5,FALSE),0))</f>
        <v/>
      </c>
      <c r="H96" s="20">
        <f>IF($B96="","",IFERROR(VLOOKUP($B96,단가마스터!$A$4:$H$303,6,FALSE),0))</f>
        <v/>
      </c>
      <c r="I96" s="20">
        <f>IF($B96="","",IFERROR(VLOOKUP($B96,단가마스터!$A$4:$H$303,7,FALSE),0))</f>
        <v/>
      </c>
      <c r="J96" s="20">
        <f>IF($B96="","",N($F96)*N($G96))</f>
        <v/>
      </c>
      <c r="K96" s="20">
        <f>IF($B96="","",N($F96)*N($H96))</f>
        <v/>
      </c>
      <c r="L96" s="20">
        <f>IF($B96="","",N($F96)*N($I96))</f>
        <v/>
      </c>
    </row>
    <row r="97">
      <c r="A97" s="30" t="n"/>
      <c r="B97" s="30" t="n"/>
      <c r="C97" s="18">
        <f>IF($B97="","",IFERROR(VLOOKUP($B97,단가마스터!$A$4:$H$303,2,FALSE),"⚠️단가마스터에 없음"))</f>
        <v/>
      </c>
      <c r="D97" s="18">
        <f>IF($B97="","",IFERROR(VLOOKUP($B97,단가마스터!$A$4:$H$303,3,FALSE),""))</f>
        <v/>
      </c>
      <c r="E97" s="18">
        <f>IF($B97="","",IFERROR(VLOOKUP($B97,단가마스터!$A$4:$H$303,4,FALSE),""))</f>
        <v/>
      </c>
      <c r="F97" s="30" t="n"/>
      <c r="G97" s="20">
        <f>IF($B97="","",IFERROR(VLOOKUP($B97,단가마스터!$A$4:$H$303,5,FALSE),0))</f>
        <v/>
      </c>
      <c r="H97" s="20">
        <f>IF($B97="","",IFERROR(VLOOKUP($B97,단가마스터!$A$4:$H$303,6,FALSE),0))</f>
        <v/>
      </c>
      <c r="I97" s="20">
        <f>IF($B97="","",IFERROR(VLOOKUP($B97,단가마스터!$A$4:$H$303,7,FALSE),0))</f>
        <v/>
      </c>
      <c r="J97" s="20">
        <f>IF($B97="","",N($F97)*N($G97))</f>
        <v/>
      </c>
      <c r="K97" s="20">
        <f>IF($B97="","",N($F97)*N($H97))</f>
        <v/>
      </c>
      <c r="L97" s="20">
        <f>IF($B97="","",N($F97)*N($I97))</f>
        <v/>
      </c>
    </row>
    <row r="98">
      <c r="A98" s="30" t="n"/>
      <c r="B98" s="30" t="n"/>
      <c r="C98" s="18">
        <f>IF($B98="","",IFERROR(VLOOKUP($B98,단가마스터!$A$4:$H$303,2,FALSE),"⚠️단가마스터에 없음"))</f>
        <v/>
      </c>
      <c r="D98" s="18">
        <f>IF($B98="","",IFERROR(VLOOKUP($B98,단가마스터!$A$4:$H$303,3,FALSE),""))</f>
        <v/>
      </c>
      <c r="E98" s="18">
        <f>IF($B98="","",IFERROR(VLOOKUP($B98,단가마스터!$A$4:$H$303,4,FALSE),""))</f>
        <v/>
      </c>
      <c r="F98" s="30" t="n"/>
      <c r="G98" s="20">
        <f>IF($B98="","",IFERROR(VLOOKUP($B98,단가마스터!$A$4:$H$303,5,FALSE),0))</f>
        <v/>
      </c>
      <c r="H98" s="20">
        <f>IF($B98="","",IFERROR(VLOOKUP($B98,단가마스터!$A$4:$H$303,6,FALSE),0))</f>
        <v/>
      </c>
      <c r="I98" s="20">
        <f>IF($B98="","",IFERROR(VLOOKUP($B98,단가마스터!$A$4:$H$303,7,FALSE),0))</f>
        <v/>
      </c>
      <c r="J98" s="20">
        <f>IF($B98="","",N($F98)*N($G98))</f>
        <v/>
      </c>
      <c r="K98" s="20">
        <f>IF($B98="","",N($F98)*N($H98))</f>
        <v/>
      </c>
      <c r="L98" s="20">
        <f>IF($B98="","",N($F98)*N($I98))</f>
        <v/>
      </c>
    </row>
    <row r="99">
      <c r="A99" s="30" t="n"/>
      <c r="B99" s="30" t="n"/>
      <c r="C99" s="18">
        <f>IF($B99="","",IFERROR(VLOOKUP($B99,단가마스터!$A$4:$H$303,2,FALSE),"⚠️단가마스터에 없음"))</f>
        <v/>
      </c>
      <c r="D99" s="18">
        <f>IF($B99="","",IFERROR(VLOOKUP($B99,단가마스터!$A$4:$H$303,3,FALSE),""))</f>
        <v/>
      </c>
      <c r="E99" s="18">
        <f>IF($B99="","",IFERROR(VLOOKUP($B99,단가마스터!$A$4:$H$303,4,FALSE),""))</f>
        <v/>
      </c>
      <c r="F99" s="30" t="n"/>
      <c r="G99" s="20">
        <f>IF($B99="","",IFERROR(VLOOKUP($B99,단가마스터!$A$4:$H$303,5,FALSE),0))</f>
        <v/>
      </c>
      <c r="H99" s="20">
        <f>IF($B99="","",IFERROR(VLOOKUP($B99,단가마스터!$A$4:$H$303,6,FALSE),0))</f>
        <v/>
      </c>
      <c r="I99" s="20">
        <f>IF($B99="","",IFERROR(VLOOKUP($B99,단가마스터!$A$4:$H$303,7,FALSE),0))</f>
        <v/>
      </c>
      <c r="J99" s="20">
        <f>IF($B99="","",N($F99)*N($G99))</f>
        <v/>
      </c>
      <c r="K99" s="20">
        <f>IF($B99="","",N($F99)*N($H99))</f>
        <v/>
      </c>
      <c r="L99" s="20">
        <f>IF($B99="","",N($F99)*N($I99))</f>
        <v/>
      </c>
    </row>
    <row r="100">
      <c r="A100" s="30" t="n"/>
      <c r="B100" s="30" t="n"/>
      <c r="C100" s="18">
        <f>IF($B100="","",IFERROR(VLOOKUP($B100,단가마스터!$A$4:$H$303,2,FALSE),"⚠️단가마스터에 없음"))</f>
        <v/>
      </c>
      <c r="D100" s="18">
        <f>IF($B100="","",IFERROR(VLOOKUP($B100,단가마스터!$A$4:$H$303,3,FALSE),""))</f>
        <v/>
      </c>
      <c r="E100" s="18">
        <f>IF($B100="","",IFERROR(VLOOKUP($B100,단가마스터!$A$4:$H$303,4,FALSE),""))</f>
        <v/>
      </c>
      <c r="F100" s="30" t="n"/>
      <c r="G100" s="20">
        <f>IF($B100="","",IFERROR(VLOOKUP($B100,단가마스터!$A$4:$H$303,5,FALSE),0))</f>
        <v/>
      </c>
      <c r="H100" s="20">
        <f>IF($B100="","",IFERROR(VLOOKUP($B100,단가마스터!$A$4:$H$303,6,FALSE),0))</f>
        <v/>
      </c>
      <c r="I100" s="20">
        <f>IF($B100="","",IFERROR(VLOOKUP($B100,단가마스터!$A$4:$H$303,7,FALSE),0))</f>
        <v/>
      </c>
      <c r="J100" s="20">
        <f>IF($B100="","",N($F100)*N($G100))</f>
        <v/>
      </c>
      <c r="K100" s="20">
        <f>IF($B100="","",N($F100)*N($H100))</f>
        <v/>
      </c>
      <c r="L100" s="20">
        <f>IF($B100="","",N($F100)*N($I100))</f>
        <v/>
      </c>
    </row>
    <row r="101">
      <c r="A101" s="30" t="n"/>
      <c r="B101" s="30" t="n"/>
      <c r="C101" s="18">
        <f>IF($B101="","",IFERROR(VLOOKUP($B101,단가마스터!$A$4:$H$303,2,FALSE),"⚠️단가마스터에 없음"))</f>
        <v/>
      </c>
      <c r="D101" s="18">
        <f>IF($B101="","",IFERROR(VLOOKUP($B101,단가마스터!$A$4:$H$303,3,FALSE),""))</f>
        <v/>
      </c>
      <c r="E101" s="18">
        <f>IF($B101="","",IFERROR(VLOOKUP($B101,단가마스터!$A$4:$H$303,4,FALSE),""))</f>
        <v/>
      </c>
      <c r="F101" s="30" t="n"/>
      <c r="G101" s="20">
        <f>IF($B101="","",IFERROR(VLOOKUP($B101,단가마스터!$A$4:$H$303,5,FALSE),0))</f>
        <v/>
      </c>
      <c r="H101" s="20">
        <f>IF($B101="","",IFERROR(VLOOKUP($B101,단가마스터!$A$4:$H$303,6,FALSE),0))</f>
        <v/>
      </c>
      <c r="I101" s="20">
        <f>IF($B101="","",IFERROR(VLOOKUP($B101,단가마스터!$A$4:$H$303,7,FALSE),0))</f>
        <v/>
      </c>
      <c r="J101" s="20">
        <f>IF($B101="","",N($F101)*N($G101))</f>
        <v/>
      </c>
      <c r="K101" s="20">
        <f>IF($B101="","",N($F101)*N($H101))</f>
        <v/>
      </c>
      <c r="L101" s="20">
        <f>IF($B101="","",N($F101)*N($I101))</f>
        <v/>
      </c>
    </row>
    <row r="102">
      <c r="A102" s="30" t="n"/>
      <c r="B102" s="30" t="n"/>
      <c r="C102" s="18">
        <f>IF($B102="","",IFERROR(VLOOKUP($B102,단가마스터!$A$4:$H$303,2,FALSE),"⚠️단가마스터에 없음"))</f>
        <v/>
      </c>
      <c r="D102" s="18">
        <f>IF($B102="","",IFERROR(VLOOKUP($B102,단가마스터!$A$4:$H$303,3,FALSE),""))</f>
        <v/>
      </c>
      <c r="E102" s="18">
        <f>IF($B102="","",IFERROR(VLOOKUP($B102,단가마스터!$A$4:$H$303,4,FALSE),""))</f>
        <v/>
      </c>
      <c r="F102" s="30" t="n"/>
      <c r="G102" s="20">
        <f>IF($B102="","",IFERROR(VLOOKUP($B102,단가마스터!$A$4:$H$303,5,FALSE),0))</f>
        <v/>
      </c>
      <c r="H102" s="20">
        <f>IF($B102="","",IFERROR(VLOOKUP($B102,단가마스터!$A$4:$H$303,6,FALSE),0))</f>
        <v/>
      </c>
      <c r="I102" s="20">
        <f>IF($B102="","",IFERROR(VLOOKUP($B102,단가마스터!$A$4:$H$303,7,FALSE),0))</f>
        <v/>
      </c>
      <c r="J102" s="20">
        <f>IF($B102="","",N($F102)*N($G102))</f>
        <v/>
      </c>
      <c r="K102" s="20">
        <f>IF($B102="","",N($F102)*N($H102))</f>
        <v/>
      </c>
      <c r="L102" s="20">
        <f>IF($B102="","",N($F102)*N($I102))</f>
        <v/>
      </c>
    </row>
    <row r="103">
      <c r="A103" s="30" t="n"/>
      <c r="B103" s="30" t="n"/>
      <c r="C103" s="18">
        <f>IF($B103="","",IFERROR(VLOOKUP($B103,단가마스터!$A$4:$H$303,2,FALSE),"⚠️단가마스터에 없음"))</f>
        <v/>
      </c>
      <c r="D103" s="18">
        <f>IF($B103="","",IFERROR(VLOOKUP($B103,단가마스터!$A$4:$H$303,3,FALSE),""))</f>
        <v/>
      </c>
      <c r="E103" s="18">
        <f>IF($B103="","",IFERROR(VLOOKUP($B103,단가마스터!$A$4:$H$303,4,FALSE),""))</f>
        <v/>
      </c>
      <c r="F103" s="30" t="n"/>
      <c r="G103" s="20">
        <f>IF($B103="","",IFERROR(VLOOKUP($B103,단가마스터!$A$4:$H$303,5,FALSE),0))</f>
        <v/>
      </c>
      <c r="H103" s="20">
        <f>IF($B103="","",IFERROR(VLOOKUP($B103,단가마스터!$A$4:$H$303,6,FALSE),0))</f>
        <v/>
      </c>
      <c r="I103" s="20">
        <f>IF($B103="","",IFERROR(VLOOKUP($B103,단가마스터!$A$4:$H$303,7,FALSE),0))</f>
        <v/>
      </c>
      <c r="J103" s="20">
        <f>IF($B103="","",N($F103)*N($G103))</f>
        <v/>
      </c>
      <c r="K103" s="20">
        <f>IF($B103="","",N($F103)*N($H103))</f>
        <v/>
      </c>
      <c r="L103" s="20">
        <f>IF($B103="","",N($F103)*N($I103))</f>
        <v/>
      </c>
    </row>
    <row r="104">
      <c r="A104" s="30" t="n"/>
      <c r="B104" s="30" t="n"/>
      <c r="C104" s="18">
        <f>IF($B104="","",IFERROR(VLOOKUP($B104,단가마스터!$A$4:$H$303,2,FALSE),"⚠️단가마스터에 없음"))</f>
        <v/>
      </c>
      <c r="D104" s="18">
        <f>IF($B104="","",IFERROR(VLOOKUP($B104,단가마스터!$A$4:$H$303,3,FALSE),""))</f>
        <v/>
      </c>
      <c r="E104" s="18">
        <f>IF($B104="","",IFERROR(VLOOKUP($B104,단가마스터!$A$4:$H$303,4,FALSE),""))</f>
        <v/>
      </c>
      <c r="F104" s="30" t="n"/>
      <c r="G104" s="20">
        <f>IF($B104="","",IFERROR(VLOOKUP($B104,단가마스터!$A$4:$H$303,5,FALSE),0))</f>
        <v/>
      </c>
      <c r="H104" s="20">
        <f>IF($B104="","",IFERROR(VLOOKUP($B104,단가마스터!$A$4:$H$303,6,FALSE),0))</f>
        <v/>
      </c>
      <c r="I104" s="20">
        <f>IF($B104="","",IFERROR(VLOOKUP($B104,단가마스터!$A$4:$H$303,7,FALSE),0))</f>
        <v/>
      </c>
      <c r="J104" s="20">
        <f>IF($B104="","",N($F104)*N($G104))</f>
        <v/>
      </c>
      <c r="K104" s="20">
        <f>IF($B104="","",N($F104)*N($H104))</f>
        <v/>
      </c>
      <c r="L104" s="20">
        <f>IF($B104="","",N($F104)*N($I104))</f>
        <v/>
      </c>
    </row>
    <row r="105">
      <c r="A105" s="30" t="n"/>
      <c r="B105" s="30" t="n"/>
      <c r="C105" s="18">
        <f>IF($B105="","",IFERROR(VLOOKUP($B105,단가마스터!$A$4:$H$303,2,FALSE),"⚠️단가마스터에 없음"))</f>
        <v/>
      </c>
      <c r="D105" s="18">
        <f>IF($B105="","",IFERROR(VLOOKUP($B105,단가마스터!$A$4:$H$303,3,FALSE),""))</f>
        <v/>
      </c>
      <c r="E105" s="18">
        <f>IF($B105="","",IFERROR(VLOOKUP($B105,단가마스터!$A$4:$H$303,4,FALSE),""))</f>
        <v/>
      </c>
      <c r="F105" s="30" t="n"/>
      <c r="G105" s="20">
        <f>IF($B105="","",IFERROR(VLOOKUP($B105,단가마스터!$A$4:$H$303,5,FALSE),0))</f>
        <v/>
      </c>
      <c r="H105" s="20">
        <f>IF($B105="","",IFERROR(VLOOKUP($B105,단가마스터!$A$4:$H$303,6,FALSE),0))</f>
        <v/>
      </c>
      <c r="I105" s="20">
        <f>IF($B105="","",IFERROR(VLOOKUP($B105,단가마스터!$A$4:$H$303,7,FALSE),0))</f>
        <v/>
      </c>
      <c r="J105" s="20">
        <f>IF($B105="","",N($F105)*N($G105))</f>
        <v/>
      </c>
      <c r="K105" s="20">
        <f>IF($B105="","",N($F105)*N($H105))</f>
        <v/>
      </c>
      <c r="L105" s="20">
        <f>IF($B105="","",N($F105)*N($I105))</f>
        <v/>
      </c>
    </row>
    <row r="106">
      <c r="A106" s="30" t="n"/>
      <c r="B106" s="30" t="n"/>
      <c r="C106" s="18">
        <f>IF($B106="","",IFERROR(VLOOKUP($B106,단가마스터!$A$4:$H$303,2,FALSE),"⚠️단가마스터에 없음"))</f>
        <v/>
      </c>
      <c r="D106" s="18">
        <f>IF($B106="","",IFERROR(VLOOKUP($B106,단가마스터!$A$4:$H$303,3,FALSE),""))</f>
        <v/>
      </c>
      <c r="E106" s="18">
        <f>IF($B106="","",IFERROR(VLOOKUP($B106,단가마스터!$A$4:$H$303,4,FALSE),""))</f>
        <v/>
      </c>
      <c r="F106" s="30" t="n"/>
      <c r="G106" s="20">
        <f>IF($B106="","",IFERROR(VLOOKUP($B106,단가마스터!$A$4:$H$303,5,FALSE),0))</f>
        <v/>
      </c>
      <c r="H106" s="20">
        <f>IF($B106="","",IFERROR(VLOOKUP($B106,단가마스터!$A$4:$H$303,6,FALSE),0))</f>
        <v/>
      </c>
      <c r="I106" s="20">
        <f>IF($B106="","",IFERROR(VLOOKUP($B106,단가마스터!$A$4:$H$303,7,FALSE),0))</f>
        <v/>
      </c>
      <c r="J106" s="20">
        <f>IF($B106="","",N($F106)*N($G106))</f>
        <v/>
      </c>
      <c r="K106" s="20">
        <f>IF($B106="","",N($F106)*N($H106))</f>
        <v/>
      </c>
      <c r="L106" s="20">
        <f>IF($B106="","",N($F106)*N($I106))</f>
        <v/>
      </c>
    </row>
    <row r="107">
      <c r="A107" s="30" t="n"/>
      <c r="B107" s="30" t="n"/>
      <c r="C107" s="18">
        <f>IF($B107="","",IFERROR(VLOOKUP($B107,단가마스터!$A$4:$H$303,2,FALSE),"⚠️단가마스터에 없음"))</f>
        <v/>
      </c>
      <c r="D107" s="18">
        <f>IF($B107="","",IFERROR(VLOOKUP($B107,단가마스터!$A$4:$H$303,3,FALSE),""))</f>
        <v/>
      </c>
      <c r="E107" s="18">
        <f>IF($B107="","",IFERROR(VLOOKUP($B107,단가마스터!$A$4:$H$303,4,FALSE),""))</f>
        <v/>
      </c>
      <c r="F107" s="30" t="n"/>
      <c r="G107" s="20">
        <f>IF($B107="","",IFERROR(VLOOKUP($B107,단가마스터!$A$4:$H$303,5,FALSE),0))</f>
        <v/>
      </c>
      <c r="H107" s="20">
        <f>IF($B107="","",IFERROR(VLOOKUP($B107,단가마스터!$A$4:$H$303,6,FALSE),0))</f>
        <v/>
      </c>
      <c r="I107" s="20">
        <f>IF($B107="","",IFERROR(VLOOKUP($B107,단가마스터!$A$4:$H$303,7,FALSE),0))</f>
        <v/>
      </c>
      <c r="J107" s="20">
        <f>IF($B107="","",N($F107)*N($G107))</f>
        <v/>
      </c>
      <c r="K107" s="20">
        <f>IF($B107="","",N($F107)*N($H107))</f>
        <v/>
      </c>
      <c r="L107" s="20">
        <f>IF($B107="","",N($F107)*N($I107))</f>
        <v/>
      </c>
    </row>
    <row r="108">
      <c r="A108" s="30" t="n"/>
      <c r="B108" s="30" t="n"/>
      <c r="C108" s="18">
        <f>IF($B108="","",IFERROR(VLOOKUP($B108,단가마스터!$A$4:$H$303,2,FALSE),"⚠️단가마스터에 없음"))</f>
        <v/>
      </c>
      <c r="D108" s="18">
        <f>IF($B108="","",IFERROR(VLOOKUP($B108,단가마스터!$A$4:$H$303,3,FALSE),""))</f>
        <v/>
      </c>
      <c r="E108" s="18">
        <f>IF($B108="","",IFERROR(VLOOKUP($B108,단가마스터!$A$4:$H$303,4,FALSE),""))</f>
        <v/>
      </c>
      <c r="F108" s="30" t="n"/>
      <c r="G108" s="20">
        <f>IF($B108="","",IFERROR(VLOOKUP($B108,단가마스터!$A$4:$H$303,5,FALSE),0))</f>
        <v/>
      </c>
      <c r="H108" s="20">
        <f>IF($B108="","",IFERROR(VLOOKUP($B108,단가마스터!$A$4:$H$303,6,FALSE),0))</f>
        <v/>
      </c>
      <c r="I108" s="20">
        <f>IF($B108="","",IFERROR(VLOOKUP($B108,단가마스터!$A$4:$H$303,7,FALSE),0))</f>
        <v/>
      </c>
      <c r="J108" s="20">
        <f>IF($B108="","",N($F108)*N($G108))</f>
        <v/>
      </c>
      <c r="K108" s="20">
        <f>IF($B108="","",N($F108)*N($H108))</f>
        <v/>
      </c>
      <c r="L108" s="20">
        <f>IF($B108="","",N($F108)*N($I108))</f>
        <v/>
      </c>
    </row>
    <row r="109">
      <c r="A109" s="30" t="n"/>
      <c r="B109" s="30" t="n"/>
      <c r="C109" s="18">
        <f>IF($B109="","",IFERROR(VLOOKUP($B109,단가마스터!$A$4:$H$303,2,FALSE),"⚠️단가마스터에 없음"))</f>
        <v/>
      </c>
      <c r="D109" s="18">
        <f>IF($B109="","",IFERROR(VLOOKUP($B109,단가마스터!$A$4:$H$303,3,FALSE),""))</f>
        <v/>
      </c>
      <c r="E109" s="18">
        <f>IF($B109="","",IFERROR(VLOOKUP($B109,단가마스터!$A$4:$H$303,4,FALSE),""))</f>
        <v/>
      </c>
      <c r="F109" s="30" t="n"/>
      <c r="G109" s="20">
        <f>IF($B109="","",IFERROR(VLOOKUP($B109,단가마스터!$A$4:$H$303,5,FALSE),0))</f>
        <v/>
      </c>
      <c r="H109" s="20">
        <f>IF($B109="","",IFERROR(VLOOKUP($B109,단가마스터!$A$4:$H$303,6,FALSE),0))</f>
        <v/>
      </c>
      <c r="I109" s="20">
        <f>IF($B109="","",IFERROR(VLOOKUP($B109,단가마스터!$A$4:$H$303,7,FALSE),0))</f>
        <v/>
      </c>
      <c r="J109" s="20">
        <f>IF($B109="","",N($F109)*N($G109))</f>
        <v/>
      </c>
      <c r="K109" s="20">
        <f>IF($B109="","",N($F109)*N($H109))</f>
        <v/>
      </c>
      <c r="L109" s="20">
        <f>IF($B109="","",N($F109)*N($I109))</f>
        <v/>
      </c>
    </row>
    <row r="110">
      <c r="A110" s="30" t="n"/>
      <c r="B110" s="30" t="n"/>
      <c r="C110" s="18">
        <f>IF($B110="","",IFERROR(VLOOKUP($B110,단가마스터!$A$4:$H$303,2,FALSE),"⚠️단가마스터에 없음"))</f>
        <v/>
      </c>
      <c r="D110" s="18">
        <f>IF($B110="","",IFERROR(VLOOKUP($B110,단가마스터!$A$4:$H$303,3,FALSE),""))</f>
        <v/>
      </c>
      <c r="E110" s="18">
        <f>IF($B110="","",IFERROR(VLOOKUP($B110,단가마스터!$A$4:$H$303,4,FALSE),""))</f>
        <v/>
      </c>
      <c r="F110" s="30" t="n"/>
      <c r="G110" s="20">
        <f>IF($B110="","",IFERROR(VLOOKUP($B110,단가마스터!$A$4:$H$303,5,FALSE),0))</f>
        <v/>
      </c>
      <c r="H110" s="20">
        <f>IF($B110="","",IFERROR(VLOOKUP($B110,단가마스터!$A$4:$H$303,6,FALSE),0))</f>
        <v/>
      </c>
      <c r="I110" s="20">
        <f>IF($B110="","",IFERROR(VLOOKUP($B110,단가마스터!$A$4:$H$303,7,FALSE),0))</f>
        <v/>
      </c>
      <c r="J110" s="20">
        <f>IF($B110="","",N($F110)*N($G110))</f>
        <v/>
      </c>
      <c r="K110" s="20">
        <f>IF($B110="","",N($F110)*N($H110))</f>
        <v/>
      </c>
      <c r="L110" s="20">
        <f>IF($B110="","",N($F110)*N($I110))</f>
        <v/>
      </c>
    </row>
    <row r="111">
      <c r="A111" s="30" t="n"/>
      <c r="B111" s="30" t="n"/>
      <c r="C111" s="18">
        <f>IF($B111="","",IFERROR(VLOOKUP($B111,단가마스터!$A$4:$H$303,2,FALSE),"⚠️단가마스터에 없음"))</f>
        <v/>
      </c>
      <c r="D111" s="18">
        <f>IF($B111="","",IFERROR(VLOOKUP($B111,단가마스터!$A$4:$H$303,3,FALSE),""))</f>
        <v/>
      </c>
      <c r="E111" s="18">
        <f>IF($B111="","",IFERROR(VLOOKUP($B111,단가마스터!$A$4:$H$303,4,FALSE),""))</f>
        <v/>
      </c>
      <c r="F111" s="30" t="n"/>
      <c r="G111" s="20">
        <f>IF($B111="","",IFERROR(VLOOKUP($B111,단가마스터!$A$4:$H$303,5,FALSE),0))</f>
        <v/>
      </c>
      <c r="H111" s="20">
        <f>IF($B111="","",IFERROR(VLOOKUP($B111,단가마스터!$A$4:$H$303,6,FALSE),0))</f>
        <v/>
      </c>
      <c r="I111" s="20">
        <f>IF($B111="","",IFERROR(VLOOKUP($B111,단가마스터!$A$4:$H$303,7,FALSE),0))</f>
        <v/>
      </c>
      <c r="J111" s="20">
        <f>IF($B111="","",N($F111)*N($G111))</f>
        <v/>
      </c>
      <c r="K111" s="20">
        <f>IF($B111="","",N($F111)*N($H111))</f>
        <v/>
      </c>
      <c r="L111" s="20">
        <f>IF($B111="","",N($F111)*N($I111))</f>
        <v/>
      </c>
    </row>
    <row r="112">
      <c r="A112" s="30" t="n"/>
      <c r="B112" s="30" t="n"/>
      <c r="C112" s="18">
        <f>IF($B112="","",IFERROR(VLOOKUP($B112,단가마스터!$A$4:$H$303,2,FALSE),"⚠️단가마스터에 없음"))</f>
        <v/>
      </c>
      <c r="D112" s="18">
        <f>IF($B112="","",IFERROR(VLOOKUP($B112,단가마스터!$A$4:$H$303,3,FALSE),""))</f>
        <v/>
      </c>
      <c r="E112" s="18">
        <f>IF($B112="","",IFERROR(VLOOKUP($B112,단가마스터!$A$4:$H$303,4,FALSE),""))</f>
        <v/>
      </c>
      <c r="F112" s="30" t="n"/>
      <c r="G112" s="20">
        <f>IF($B112="","",IFERROR(VLOOKUP($B112,단가마스터!$A$4:$H$303,5,FALSE),0))</f>
        <v/>
      </c>
      <c r="H112" s="20">
        <f>IF($B112="","",IFERROR(VLOOKUP($B112,단가마스터!$A$4:$H$303,6,FALSE),0))</f>
        <v/>
      </c>
      <c r="I112" s="20">
        <f>IF($B112="","",IFERROR(VLOOKUP($B112,단가마스터!$A$4:$H$303,7,FALSE),0))</f>
        <v/>
      </c>
      <c r="J112" s="20">
        <f>IF($B112="","",N($F112)*N($G112))</f>
        <v/>
      </c>
      <c r="K112" s="20">
        <f>IF($B112="","",N($F112)*N($H112))</f>
        <v/>
      </c>
      <c r="L112" s="20">
        <f>IF($B112="","",N($F112)*N($I112))</f>
        <v/>
      </c>
    </row>
    <row r="113">
      <c r="A113" s="30" t="n"/>
      <c r="B113" s="30" t="n"/>
      <c r="C113" s="18">
        <f>IF($B113="","",IFERROR(VLOOKUP($B113,단가마스터!$A$4:$H$303,2,FALSE),"⚠️단가마스터에 없음"))</f>
        <v/>
      </c>
      <c r="D113" s="18">
        <f>IF($B113="","",IFERROR(VLOOKUP($B113,단가마스터!$A$4:$H$303,3,FALSE),""))</f>
        <v/>
      </c>
      <c r="E113" s="18">
        <f>IF($B113="","",IFERROR(VLOOKUP($B113,단가마스터!$A$4:$H$303,4,FALSE),""))</f>
        <v/>
      </c>
      <c r="F113" s="30" t="n"/>
      <c r="G113" s="20">
        <f>IF($B113="","",IFERROR(VLOOKUP($B113,단가마스터!$A$4:$H$303,5,FALSE),0))</f>
        <v/>
      </c>
      <c r="H113" s="20">
        <f>IF($B113="","",IFERROR(VLOOKUP($B113,단가마스터!$A$4:$H$303,6,FALSE),0))</f>
        <v/>
      </c>
      <c r="I113" s="20">
        <f>IF($B113="","",IFERROR(VLOOKUP($B113,단가마스터!$A$4:$H$303,7,FALSE),0))</f>
        <v/>
      </c>
      <c r="J113" s="20">
        <f>IF($B113="","",N($F113)*N($G113))</f>
        <v/>
      </c>
      <c r="K113" s="20">
        <f>IF($B113="","",N($F113)*N($H113))</f>
        <v/>
      </c>
      <c r="L113" s="20">
        <f>IF($B113="","",N($F113)*N($I113))</f>
        <v/>
      </c>
    </row>
    <row r="114">
      <c r="A114" s="30" t="n"/>
      <c r="B114" s="30" t="n"/>
      <c r="C114" s="18">
        <f>IF($B114="","",IFERROR(VLOOKUP($B114,단가마스터!$A$4:$H$303,2,FALSE),"⚠️단가마스터에 없음"))</f>
        <v/>
      </c>
      <c r="D114" s="18">
        <f>IF($B114="","",IFERROR(VLOOKUP($B114,단가마스터!$A$4:$H$303,3,FALSE),""))</f>
        <v/>
      </c>
      <c r="E114" s="18">
        <f>IF($B114="","",IFERROR(VLOOKUP($B114,단가마스터!$A$4:$H$303,4,FALSE),""))</f>
        <v/>
      </c>
      <c r="F114" s="30" t="n"/>
      <c r="G114" s="20">
        <f>IF($B114="","",IFERROR(VLOOKUP($B114,단가마스터!$A$4:$H$303,5,FALSE),0))</f>
        <v/>
      </c>
      <c r="H114" s="20">
        <f>IF($B114="","",IFERROR(VLOOKUP($B114,단가마스터!$A$4:$H$303,6,FALSE),0))</f>
        <v/>
      </c>
      <c r="I114" s="20">
        <f>IF($B114="","",IFERROR(VLOOKUP($B114,단가마스터!$A$4:$H$303,7,FALSE),0))</f>
        <v/>
      </c>
      <c r="J114" s="20">
        <f>IF($B114="","",N($F114)*N($G114))</f>
        <v/>
      </c>
      <c r="K114" s="20">
        <f>IF($B114="","",N($F114)*N($H114))</f>
        <v/>
      </c>
      <c r="L114" s="20">
        <f>IF($B114="","",N($F114)*N($I114))</f>
        <v/>
      </c>
    </row>
    <row r="115">
      <c r="A115" s="30" t="n"/>
      <c r="B115" s="30" t="n"/>
      <c r="C115" s="18">
        <f>IF($B115="","",IFERROR(VLOOKUP($B115,단가마스터!$A$4:$H$303,2,FALSE),"⚠️단가마스터에 없음"))</f>
        <v/>
      </c>
      <c r="D115" s="18">
        <f>IF($B115="","",IFERROR(VLOOKUP($B115,단가마스터!$A$4:$H$303,3,FALSE),""))</f>
        <v/>
      </c>
      <c r="E115" s="18">
        <f>IF($B115="","",IFERROR(VLOOKUP($B115,단가마스터!$A$4:$H$303,4,FALSE),""))</f>
        <v/>
      </c>
      <c r="F115" s="30" t="n"/>
      <c r="G115" s="20">
        <f>IF($B115="","",IFERROR(VLOOKUP($B115,단가마스터!$A$4:$H$303,5,FALSE),0))</f>
        <v/>
      </c>
      <c r="H115" s="20">
        <f>IF($B115="","",IFERROR(VLOOKUP($B115,단가마스터!$A$4:$H$303,6,FALSE),0))</f>
        <v/>
      </c>
      <c r="I115" s="20">
        <f>IF($B115="","",IFERROR(VLOOKUP($B115,단가마스터!$A$4:$H$303,7,FALSE),0))</f>
        <v/>
      </c>
      <c r="J115" s="20">
        <f>IF($B115="","",N($F115)*N($G115))</f>
        <v/>
      </c>
      <c r="K115" s="20">
        <f>IF($B115="","",N($F115)*N($H115))</f>
        <v/>
      </c>
      <c r="L115" s="20">
        <f>IF($B115="","",N($F115)*N($I115))</f>
        <v/>
      </c>
    </row>
    <row r="116">
      <c r="A116" s="30" t="n"/>
      <c r="B116" s="30" t="n"/>
      <c r="C116" s="18">
        <f>IF($B116="","",IFERROR(VLOOKUP($B116,단가마스터!$A$4:$H$303,2,FALSE),"⚠️단가마스터에 없음"))</f>
        <v/>
      </c>
      <c r="D116" s="18">
        <f>IF($B116="","",IFERROR(VLOOKUP($B116,단가마스터!$A$4:$H$303,3,FALSE),""))</f>
        <v/>
      </c>
      <c r="E116" s="18">
        <f>IF($B116="","",IFERROR(VLOOKUP($B116,단가마스터!$A$4:$H$303,4,FALSE),""))</f>
        <v/>
      </c>
      <c r="F116" s="30" t="n"/>
      <c r="G116" s="20">
        <f>IF($B116="","",IFERROR(VLOOKUP($B116,단가마스터!$A$4:$H$303,5,FALSE),0))</f>
        <v/>
      </c>
      <c r="H116" s="20">
        <f>IF($B116="","",IFERROR(VLOOKUP($B116,단가마스터!$A$4:$H$303,6,FALSE),0))</f>
        <v/>
      </c>
      <c r="I116" s="20">
        <f>IF($B116="","",IFERROR(VLOOKUP($B116,단가마스터!$A$4:$H$303,7,FALSE),0))</f>
        <v/>
      </c>
      <c r="J116" s="20">
        <f>IF($B116="","",N($F116)*N($G116))</f>
        <v/>
      </c>
      <c r="K116" s="20">
        <f>IF($B116="","",N($F116)*N($H116))</f>
        <v/>
      </c>
      <c r="L116" s="20">
        <f>IF($B116="","",N($F116)*N($I116))</f>
        <v/>
      </c>
    </row>
    <row r="117">
      <c r="A117" s="30" t="n"/>
      <c r="B117" s="30" t="n"/>
      <c r="C117" s="18">
        <f>IF($B117="","",IFERROR(VLOOKUP($B117,단가마스터!$A$4:$H$303,2,FALSE),"⚠️단가마스터에 없음"))</f>
        <v/>
      </c>
      <c r="D117" s="18">
        <f>IF($B117="","",IFERROR(VLOOKUP($B117,단가마스터!$A$4:$H$303,3,FALSE),""))</f>
        <v/>
      </c>
      <c r="E117" s="18">
        <f>IF($B117="","",IFERROR(VLOOKUP($B117,단가마스터!$A$4:$H$303,4,FALSE),""))</f>
        <v/>
      </c>
      <c r="F117" s="30" t="n"/>
      <c r="G117" s="20">
        <f>IF($B117="","",IFERROR(VLOOKUP($B117,단가마스터!$A$4:$H$303,5,FALSE),0))</f>
        <v/>
      </c>
      <c r="H117" s="20">
        <f>IF($B117="","",IFERROR(VLOOKUP($B117,단가마스터!$A$4:$H$303,6,FALSE),0))</f>
        <v/>
      </c>
      <c r="I117" s="20">
        <f>IF($B117="","",IFERROR(VLOOKUP($B117,단가마스터!$A$4:$H$303,7,FALSE),0))</f>
        <v/>
      </c>
      <c r="J117" s="20">
        <f>IF($B117="","",N($F117)*N($G117))</f>
        <v/>
      </c>
      <c r="K117" s="20">
        <f>IF($B117="","",N($F117)*N($H117))</f>
        <v/>
      </c>
      <c r="L117" s="20">
        <f>IF($B117="","",N($F117)*N($I117))</f>
        <v/>
      </c>
    </row>
    <row r="118">
      <c r="A118" s="30" t="n"/>
      <c r="B118" s="30" t="n"/>
      <c r="C118" s="18">
        <f>IF($B118="","",IFERROR(VLOOKUP($B118,단가마스터!$A$4:$H$303,2,FALSE),"⚠️단가마스터에 없음"))</f>
        <v/>
      </c>
      <c r="D118" s="18">
        <f>IF($B118="","",IFERROR(VLOOKUP($B118,단가마스터!$A$4:$H$303,3,FALSE),""))</f>
        <v/>
      </c>
      <c r="E118" s="18">
        <f>IF($B118="","",IFERROR(VLOOKUP($B118,단가마스터!$A$4:$H$303,4,FALSE),""))</f>
        <v/>
      </c>
      <c r="F118" s="30" t="n"/>
      <c r="G118" s="20">
        <f>IF($B118="","",IFERROR(VLOOKUP($B118,단가마스터!$A$4:$H$303,5,FALSE),0))</f>
        <v/>
      </c>
      <c r="H118" s="20">
        <f>IF($B118="","",IFERROR(VLOOKUP($B118,단가마스터!$A$4:$H$303,6,FALSE),0))</f>
        <v/>
      </c>
      <c r="I118" s="20">
        <f>IF($B118="","",IFERROR(VLOOKUP($B118,단가마스터!$A$4:$H$303,7,FALSE),0))</f>
        <v/>
      </c>
      <c r="J118" s="20">
        <f>IF($B118="","",N($F118)*N($G118))</f>
        <v/>
      </c>
      <c r="K118" s="20">
        <f>IF($B118="","",N($F118)*N($H118))</f>
        <v/>
      </c>
      <c r="L118" s="20">
        <f>IF($B118="","",N($F118)*N($I118))</f>
        <v/>
      </c>
    </row>
    <row r="119">
      <c r="A119" s="30" t="n"/>
      <c r="B119" s="30" t="n"/>
      <c r="C119" s="18">
        <f>IF($B119="","",IFERROR(VLOOKUP($B119,단가마스터!$A$4:$H$303,2,FALSE),"⚠️단가마스터에 없음"))</f>
        <v/>
      </c>
      <c r="D119" s="18">
        <f>IF($B119="","",IFERROR(VLOOKUP($B119,단가마스터!$A$4:$H$303,3,FALSE),""))</f>
        <v/>
      </c>
      <c r="E119" s="18">
        <f>IF($B119="","",IFERROR(VLOOKUP($B119,단가마스터!$A$4:$H$303,4,FALSE),""))</f>
        <v/>
      </c>
      <c r="F119" s="30" t="n"/>
      <c r="G119" s="20">
        <f>IF($B119="","",IFERROR(VLOOKUP($B119,단가마스터!$A$4:$H$303,5,FALSE),0))</f>
        <v/>
      </c>
      <c r="H119" s="20">
        <f>IF($B119="","",IFERROR(VLOOKUP($B119,단가마스터!$A$4:$H$303,6,FALSE),0))</f>
        <v/>
      </c>
      <c r="I119" s="20">
        <f>IF($B119="","",IFERROR(VLOOKUP($B119,단가마스터!$A$4:$H$303,7,FALSE),0))</f>
        <v/>
      </c>
      <c r="J119" s="20">
        <f>IF($B119="","",N($F119)*N($G119))</f>
        <v/>
      </c>
      <c r="K119" s="20">
        <f>IF($B119="","",N($F119)*N($H119))</f>
        <v/>
      </c>
      <c r="L119" s="20">
        <f>IF($B119="","",N($F119)*N($I119))</f>
        <v/>
      </c>
    </row>
    <row r="120">
      <c r="A120" s="30" t="n"/>
      <c r="B120" s="30" t="n"/>
      <c r="C120" s="18">
        <f>IF($B120="","",IFERROR(VLOOKUP($B120,단가마스터!$A$4:$H$303,2,FALSE),"⚠️단가마스터에 없음"))</f>
        <v/>
      </c>
      <c r="D120" s="18">
        <f>IF($B120="","",IFERROR(VLOOKUP($B120,단가마스터!$A$4:$H$303,3,FALSE),""))</f>
        <v/>
      </c>
      <c r="E120" s="18">
        <f>IF($B120="","",IFERROR(VLOOKUP($B120,단가마스터!$A$4:$H$303,4,FALSE),""))</f>
        <v/>
      </c>
      <c r="F120" s="30" t="n"/>
      <c r="G120" s="20">
        <f>IF($B120="","",IFERROR(VLOOKUP($B120,단가마스터!$A$4:$H$303,5,FALSE),0))</f>
        <v/>
      </c>
      <c r="H120" s="20">
        <f>IF($B120="","",IFERROR(VLOOKUP($B120,단가마스터!$A$4:$H$303,6,FALSE),0))</f>
        <v/>
      </c>
      <c r="I120" s="20">
        <f>IF($B120="","",IFERROR(VLOOKUP($B120,단가마스터!$A$4:$H$303,7,FALSE),0))</f>
        <v/>
      </c>
      <c r="J120" s="20">
        <f>IF($B120="","",N($F120)*N($G120))</f>
        <v/>
      </c>
      <c r="K120" s="20">
        <f>IF($B120="","",N($F120)*N($H120))</f>
        <v/>
      </c>
      <c r="L120" s="20">
        <f>IF($B120="","",N($F120)*N($I120))</f>
        <v/>
      </c>
    </row>
    <row r="121">
      <c r="A121" s="30" t="n"/>
      <c r="B121" s="30" t="n"/>
      <c r="C121" s="18">
        <f>IF($B121="","",IFERROR(VLOOKUP($B121,단가마스터!$A$4:$H$303,2,FALSE),"⚠️단가마스터에 없음"))</f>
        <v/>
      </c>
      <c r="D121" s="18">
        <f>IF($B121="","",IFERROR(VLOOKUP($B121,단가마스터!$A$4:$H$303,3,FALSE),""))</f>
        <v/>
      </c>
      <c r="E121" s="18">
        <f>IF($B121="","",IFERROR(VLOOKUP($B121,단가마스터!$A$4:$H$303,4,FALSE),""))</f>
        <v/>
      </c>
      <c r="F121" s="30" t="n"/>
      <c r="G121" s="20">
        <f>IF($B121="","",IFERROR(VLOOKUP($B121,단가마스터!$A$4:$H$303,5,FALSE),0))</f>
        <v/>
      </c>
      <c r="H121" s="20">
        <f>IF($B121="","",IFERROR(VLOOKUP($B121,단가마스터!$A$4:$H$303,6,FALSE),0))</f>
        <v/>
      </c>
      <c r="I121" s="20">
        <f>IF($B121="","",IFERROR(VLOOKUP($B121,단가마스터!$A$4:$H$303,7,FALSE),0))</f>
        <v/>
      </c>
      <c r="J121" s="20">
        <f>IF($B121="","",N($F121)*N($G121))</f>
        <v/>
      </c>
      <c r="K121" s="20">
        <f>IF($B121="","",N($F121)*N($H121))</f>
        <v/>
      </c>
      <c r="L121" s="20">
        <f>IF($B121="","",N($F121)*N($I121))</f>
        <v/>
      </c>
    </row>
    <row r="122">
      <c r="A122" s="30" t="n"/>
      <c r="B122" s="30" t="n"/>
      <c r="C122" s="18">
        <f>IF($B122="","",IFERROR(VLOOKUP($B122,단가마스터!$A$4:$H$303,2,FALSE),"⚠️단가마스터에 없음"))</f>
        <v/>
      </c>
      <c r="D122" s="18">
        <f>IF($B122="","",IFERROR(VLOOKUP($B122,단가마스터!$A$4:$H$303,3,FALSE),""))</f>
        <v/>
      </c>
      <c r="E122" s="18">
        <f>IF($B122="","",IFERROR(VLOOKUP($B122,단가마스터!$A$4:$H$303,4,FALSE),""))</f>
        <v/>
      </c>
      <c r="F122" s="30" t="n"/>
      <c r="G122" s="20">
        <f>IF($B122="","",IFERROR(VLOOKUP($B122,단가마스터!$A$4:$H$303,5,FALSE),0))</f>
        <v/>
      </c>
      <c r="H122" s="20">
        <f>IF($B122="","",IFERROR(VLOOKUP($B122,단가마스터!$A$4:$H$303,6,FALSE),0))</f>
        <v/>
      </c>
      <c r="I122" s="20">
        <f>IF($B122="","",IFERROR(VLOOKUP($B122,단가마스터!$A$4:$H$303,7,FALSE),0))</f>
        <v/>
      </c>
      <c r="J122" s="20">
        <f>IF($B122="","",N($F122)*N($G122))</f>
        <v/>
      </c>
      <c r="K122" s="20">
        <f>IF($B122="","",N($F122)*N($H122))</f>
        <v/>
      </c>
      <c r="L122" s="20">
        <f>IF($B122="","",N($F122)*N($I122))</f>
        <v/>
      </c>
    </row>
    <row r="123">
      <c r="A123" s="30" t="n"/>
      <c r="B123" s="30" t="n"/>
      <c r="C123" s="18">
        <f>IF($B123="","",IFERROR(VLOOKUP($B123,단가마스터!$A$4:$H$303,2,FALSE),"⚠️단가마스터에 없음"))</f>
        <v/>
      </c>
      <c r="D123" s="18">
        <f>IF($B123="","",IFERROR(VLOOKUP($B123,단가마스터!$A$4:$H$303,3,FALSE),""))</f>
        <v/>
      </c>
      <c r="E123" s="18">
        <f>IF($B123="","",IFERROR(VLOOKUP($B123,단가마스터!$A$4:$H$303,4,FALSE),""))</f>
        <v/>
      </c>
      <c r="F123" s="30" t="n"/>
      <c r="G123" s="20">
        <f>IF($B123="","",IFERROR(VLOOKUP($B123,단가마스터!$A$4:$H$303,5,FALSE),0))</f>
        <v/>
      </c>
      <c r="H123" s="20">
        <f>IF($B123="","",IFERROR(VLOOKUP($B123,단가마스터!$A$4:$H$303,6,FALSE),0))</f>
        <v/>
      </c>
      <c r="I123" s="20">
        <f>IF($B123="","",IFERROR(VLOOKUP($B123,단가마스터!$A$4:$H$303,7,FALSE),0))</f>
        <v/>
      </c>
      <c r="J123" s="20">
        <f>IF($B123="","",N($F123)*N($G123))</f>
        <v/>
      </c>
      <c r="K123" s="20">
        <f>IF($B123="","",N($F123)*N($H123))</f>
        <v/>
      </c>
      <c r="L123" s="20">
        <f>IF($B123="","",N($F123)*N($I123))</f>
        <v/>
      </c>
    </row>
    <row r="124">
      <c r="A124" s="30" t="n"/>
      <c r="B124" s="30" t="n"/>
      <c r="C124" s="18">
        <f>IF($B124="","",IFERROR(VLOOKUP($B124,단가마스터!$A$4:$H$303,2,FALSE),"⚠️단가마스터에 없음"))</f>
        <v/>
      </c>
      <c r="D124" s="18">
        <f>IF($B124="","",IFERROR(VLOOKUP($B124,단가마스터!$A$4:$H$303,3,FALSE),""))</f>
        <v/>
      </c>
      <c r="E124" s="18">
        <f>IF($B124="","",IFERROR(VLOOKUP($B124,단가마스터!$A$4:$H$303,4,FALSE),""))</f>
        <v/>
      </c>
      <c r="F124" s="30" t="n"/>
      <c r="G124" s="20">
        <f>IF($B124="","",IFERROR(VLOOKUP($B124,단가마스터!$A$4:$H$303,5,FALSE),0))</f>
        <v/>
      </c>
      <c r="H124" s="20">
        <f>IF($B124="","",IFERROR(VLOOKUP($B124,단가마스터!$A$4:$H$303,6,FALSE),0))</f>
        <v/>
      </c>
      <c r="I124" s="20">
        <f>IF($B124="","",IFERROR(VLOOKUP($B124,단가마스터!$A$4:$H$303,7,FALSE),0))</f>
        <v/>
      </c>
      <c r="J124" s="20">
        <f>IF($B124="","",N($F124)*N($G124))</f>
        <v/>
      </c>
      <c r="K124" s="20">
        <f>IF($B124="","",N($F124)*N($H124))</f>
        <v/>
      </c>
      <c r="L124" s="20">
        <f>IF($B124="","",N($F124)*N($I124))</f>
        <v/>
      </c>
    </row>
    <row r="125">
      <c r="A125" s="30" t="n"/>
      <c r="B125" s="30" t="n"/>
      <c r="C125" s="18">
        <f>IF($B125="","",IFERROR(VLOOKUP($B125,단가마스터!$A$4:$H$303,2,FALSE),"⚠️단가마스터에 없음"))</f>
        <v/>
      </c>
      <c r="D125" s="18">
        <f>IF($B125="","",IFERROR(VLOOKUP($B125,단가마스터!$A$4:$H$303,3,FALSE),""))</f>
        <v/>
      </c>
      <c r="E125" s="18">
        <f>IF($B125="","",IFERROR(VLOOKUP($B125,단가마스터!$A$4:$H$303,4,FALSE),""))</f>
        <v/>
      </c>
      <c r="F125" s="30" t="n"/>
      <c r="G125" s="20">
        <f>IF($B125="","",IFERROR(VLOOKUP($B125,단가마스터!$A$4:$H$303,5,FALSE),0))</f>
        <v/>
      </c>
      <c r="H125" s="20">
        <f>IF($B125="","",IFERROR(VLOOKUP($B125,단가마스터!$A$4:$H$303,6,FALSE),0))</f>
        <v/>
      </c>
      <c r="I125" s="20">
        <f>IF($B125="","",IFERROR(VLOOKUP($B125,단가마스터!$A$4:$H$303,7,FALSE),0))</f>
        <v/>
      </c>
      <c r="J125" s="20">
        <f>IF($B125="","",N($F125)*N($G125))</f>
        <v/>
      </c>
      <c r="K125" s="20">
        <f>IF($B125="","",N($F125)*N($H125))</f>
        <v/>
      </c>
      <c r="L125" s="20">
        <f>IF($B125="","",N($F125)*N($I125))</f>
        <v/>
      </c>
    </row>
    <row r="126">
      <c r="A126" s="30" t="n"/>
      <c r="B126" s="30" t="n"/>
      <c r="C126" s="18">
        <f>IF($B126="","",IFERROR(VLOOKUP($B126,단가마스터!$A$4:$H$303,2,FALSE),"⚠️단가마스터에 없음"))</f>
        <v/>
      </c>
      <c r="D126" s="18">
        <f>IF($B126="","",IFERROR(VLOOKUP($B126,단가마스터!$A$4:$H$303,3,FALSE),""))</f>
        <v/>
      </c>
      <c r="E126" s="18">
        <f>IF($B126="","",IFERROR(VLOOKUP($B126,단가마스터!$A$4:$H$303,4,FALSE),""))</f>
        <v/>
      </c>
      <c r="F126" s="30" t="n"/>
      <c r="G126" s="20">
        <f>IF($B126="","",IFERROR(VLOOKUP($B126,단가마스터!$A$4:$H$303,5,FALSE),0))</f>
        <v/>
      </c>
      <c r="H126" s="20">
        <f>IF($B126="","",IFERROR(VLOOKUP($B126,단가마스터!$A$4:$H$303,6,FALSE),0))</f>
        <v/>
      </c>
      <c r="I126" s="20">
        <f>IF($B126="","",IFERROR(VLOOKUP($B126,단가마스터!$A$4:$H$303,7,FALSE),0))</f>
        <v/>
      </c>
      <c r="J126" s="20">
        <f>IF($B126="","",N($F126)*N($G126))</f>
        <v/>
      </c>
      <c r="K126" s="20">
        <f>IF($B126="","",N($F126)*N($H126))</f>
        <v/>
      </c>
      <c r="L126" s="20">
        <f>IF($B126="","",N($F126)*N($I126))</f>
        <v/>
      </c>
    </row>
    <row r="127">
      <c r="A127" s="30" t="n"/>
      <c r="B127" s="30" t="n"/>
      <c r="C127" s="18">
        <f>IF($B127="","",IFERROR(VLOOKUP($B127,단가마스터!$A$4:$H$303,2,FALSE),"⚠️단가마스터에 없음"))</f>
        <v/>
      </c>
      <c r="D127" s="18">
        <f>IF($B127="","",IFERROR(VLOOKUP($B127,단가마스터!$A$4:$H$303,3,FALSE),""))</f>
        <v/>
      </c>
      <c r="E127" s="18">
        <f>IF($B127="","",IFERROR(VLOOKUP($B127,단가마스터!$A$4:$H$303,4,FALSE),""))</f>
        <v/>
      </c>
      <c r="F127" s="30" t="n"/>
      <c r="G127" s="20">
        <f>IF($B127="","",IFERROR(VLOOKUP($B127,단가마스터!$A$4:$H$303,5,FALSE),0))</f>
        <v/>
      </c>
      <c r="H127" s="20">
        <f>IF($B127="","",IFERROR(VLOOKUP($B127,단가마스터!$A$4:$H$303,6,FALSE),0))</f>
        <v/>
      </c>
      <c r="I127" s="20">
        <f>IF($B127="","",IFERROR(VLOOKUP($B127,단가마스터!$A$4:$H$303,7,FALSE),0))</f>
        <v/>
      </c>
      <c r="J127" s="20">
        <f>IF($B127="","",N($F127)*N($G127))</f>
        <v/>
      </c>
      <c r="K127" s="20">
        <f>IF($B127="","",N($F127)*N($H127))</f>
        <v/>
      </c>
      <c r="L127" s="20">
        <f>IF($B127="","",N($F127)*N($I127))</f>
        <v/>
      </c>
    </row>
    <row r="128">
      <c r="A128" s="30" t="n"/>
      <c r="B128" s="30" t="n"/>
      <c r="C128" s="18">
        <f>IF($B128="","",IFERROR(VLOOKUP($B128,단가마스터!$A$4:$H$303,2,FALSE),"⚠️단가마스터에 없음"))</f>
        <v/>
      </c>
      <c r="D128" s="18">
        <f>IF($B128="","",IFERROR(VLOOKUP($B128,단가마스터!$A$4:$H$303,3,FALSE),""))</f>
        <v/>
      </c>
      <c r="E128" s="18">
        <f>IF($B128="","",IFERROR(VLOOKUP($B128,단가마스터!$A$4:$H$303,4,FALSE),""))</f>
        <v/>
      </c>
      <c r="F128" s="30" t="n"/>
      <c r="G128" s="20">
        <f>IF($B128="","",IFERROR(VLOOKUP($B128,단가마스터!$A$4:$H$303,5,FALSE),0))</f>
        <v/>
      </c>
      <c r="H128" s="20">
        <f>IF($B128="","",IFERROR(VLOOKUP($B128,단가마스터!$A$4:$H$303,6,FALSE),0))</f>
        <v/>
      </c>
      <c r="I128" s="20">
        <f>IF($B128="","",IFERROR(VLOOKUP($B128,단가마스터!$A$4:$H$303,7,FALSE),0))</f>
        <v/>
      </c>
      <c r="J128" s="20">
        <f>IF($B128="","",N($F128)*N($G128))</f>
        <v/>
      </c>
      <c r="K128" s="20">
        <f>IF($B128="","",N($F128)*N($H128))</f>
        <v/>
      </c>
      <c r="L128" s="20">
        <f>IF($B128="","",N($F128)*N($I128))</f>
        <v/>
      </c>
    </row>
    <row r="129">
      <c r="A129" s="30" t="n"/>
      <c r="B129" s="30" t="n"/>
      <c r="C129" s="18">
        <f>IF($B129="","",IFERROR(VLOOKUP($B129,단가마스터!$A$4:$H$303,2,FALSE),"⚠️단가마스터에 없음"))</f>
        <v/>
      </c>
      <c r="D129" s="18">
        <f>IF($B129="","",IFERROR(VLOOKUP($B129,단가마스터!$A$4:$H$303,3,FALSE),""))</f>
        <v/>
      </c>
      <c r="E129" s="18">
        <f>IF($B129="","",IFERROR(VLOOKUP($B129,단가마스터!$A$4:$H$303,4,FALSE),""))</f>
        <v/>
      </c>
      <c r="F129" s="30" t="n"/>
      <c r="G129" s="20">
        <f>IF($B129="","",IFERROR(VLOOKUP($B129,단가마스터!$A$4:$H$303,5,FALSE),0))</f>
        <v/>
      </c>
      <c r="H129" s="20">
        <f>IF($B129="","",IFERROR(VLOOKUP($B129,단가마스터!$A$4:$H$303,6,FALSE),0))</f>
        <v/>
      </c>
      <c r="I129" s="20">
        <f>IF($B129="","",IFERROR(VLOOKUP($B129,단가마스터!$A$4:$H$303,7,FALSE),0))</f>
        <v/>
      </c>
      <c r="J129" s="20">
        <f>IF($B129="","",N($F129)*N($G129))</f>
        <v/>
      </c>
      <c r="K129" s="20">
        <f>IF($B129="","",N($F129)*N($H129))</f>
        <v/>
      </c>
      <c r="L129" s="20">
        <f>IF($B129="","",N($F129)*N($I129))</f>
        <v/>
      </c>
    </row>
    <row r="130">
      <c r="A130" s="30" t="n"/>
      <c r="B130" s="30" t="n"/>
      <c r="C130" s="18">
        <f>IF($B130="","",IFERROR(VLOOKUP($B130,단가마스터!$A$4:$H$303,2,FALSE),"⚠️단가마스터에 없음"))</f>
        <v/>
      </c>
      <c r="D130" s="18">
        <f>IF($B130="","",IFERROR(VLOOKUP($B130,단가마스터!$A$4:$H$303,3,FALSE),""))</f>
        <v/>
      </c>
      <c r="E130" s="18">
        <f>IF($B130="","",IFERROR(VLOOKUP($B130,단가마스터!$A$4:$H$303,4,FALSE),""))</f>
        <v/>
      </c>
      <c r="F130" s="30" t="n"/>
      <c r="G130" s="20">
        <f>IF($B130="","",IFERROR(VLOOKUP($B130,단가마스터!$A$4:$H$303,5,FALSE),0))</f>
        <v/>
      </c>
      <c r="H130" s="20">
        <f>IF($B130="","",IFERROR(VLOOKUP($B130,단가마스터!$A$4:$H$303,6,FALSE),0))</f>
        <v/>
      </c>
      <c r="I130" s="20">
        <f>IF($B130="","",IFERROR(VLOOKUP($B130,단가마스터!$A$4:$H$303,7,FALSE),0))</f>
        <v/>
      </c>
      <c r="J130" s="20">
        <f>IF($B130="","",N($F130)*N($G130))</f>
        <v/>
      </c>
      <c r="K130" s="20">
        <f>IF($B130="","",N($F130)*N($H130))</f>
        <v/>
      </c>
      <c r="L130" s="20">
        <f>IF($B130="","",N($F130)*N($I130))</f>
        <v/>
      </c>
    </row>
    <row r="131">
      <c r="A131" s="30" t="n"/>
      <c r="B131" s="30" t="n"/>
      <c r="C131" s="18">
        <f>IF($B131="","",IFERROR(VLOOKUP($B131,단가마스터!$A$4:$H$303,2,FALSE),"⚠️단가마스터에 없음"))</f>
        <v/>
      </c>
      <c r="D131" s="18">
        <f>IF($B131="","",IFERROR(VLOOKUP($B131,단가마스터!$A$4:$H$303,3,FALSE),""))</f>
        <v/>
      </c>
      <c r="E131" s="18">
        <f>IF($B131="","",IFERROR(VLOOKUP($B131,단가마스터!$A$4:$H$303,4,FALSE),""))</f>
        <v/>
      </c>
      <c r="F131" s="30" t="n"/>
      <c r="G131" s="20">
        <f>IF($B131="","",IFERROR(VLOOKUP($B131,단가마스터!$A$4:$H$303,5,FALSE),0))</f>
        <v/>
      </c>
      <c r="H131" s="20">
        <f>IF($B131="","",IFERROR(VLOOKUP($B131,단가마스터!$A$4:$H$303,6,FALSE),0))</f>
        <v/>
      </c>
      <c r="I131" s="20">
        <f>IF($B131="","",IFERROR(VLOOKUP($B131,단가마스터!$A$4:$H$303,7,FALSE),0))</f>
        <v/>
      </c>
      <c r="J131" s="20">
        <f>IF($B131="","",N($F131)*N($G131))</f>
        <v/>
      </c>
      <c r="K131" s="20">
        <f>IF($B131="","",N($F131)*N($H131))</f>
        <v/>
      </c>
      <c r="L131" s="20">
        <f>IF($B131="","",N($F131)*N($I131))</f>
        <v/>
      </c>
    </row>
    <row r="132">
      <c r="A132" s="30" t="n"/>
      <c r="B132" s="30" t="n"/>
      <c r="C132" s="18">
        <f>IF($B132="","",IFERROR(VLOOKUP($B132,단가마스터!$A$4:$H$303,2,FALSE),"⚠️단가마스터에 없음"))</f>
        <v/>
      </c>
      <c r="D132" s="18">
        <f>IF($B132="","",IFERROR(VLOOKUP($B132,단가마스터!$A$4:$H$303,3,FALSE),""))</f>
        <v/>
      </c>
      <c r="E132" s="18">
        <f>IF($B132="","",IFERROR(VLOOKUP($B132,단가마스터!$A$4:$H$303,4,FALSE),""))</f>
        <v/>
      </c>
      <c r="F132" s="30" t="n"/>
      <c r="G132" s="20">
        <f>IF($B132="","",IFERROR(VLOOKUP($B132,단가마스터!$A$4:$H$303,5,FALSE),0))</f>
        <v/>
      </c>
      <c r="H132" s="20">
        <f>IF($B132="","",IFERROR(VLOOKUP($B132,단가마스터!$A$4:$H$303,6,FALSE),0))</f>
        <v/>
      </c>
      <c r="I132" s="20">
        <f>IF($B132="","",IFERROR(VLOOKUP($B132,단가마스터!$A$4:$H$303,7,FALSE),0))</f>
        <v/>
      </c>
      <c r="J132" s="20">
        <f>IF($B132="","",N($F132)*N($G132))</f>
        <v/>
      </c>
      <c r="K132" s="20">
        <f>IF($B132="","",N($F132)*N($H132))</f>
        <v/>
      </c>
      <c r="L132" s="20">
        <f>IF($B132="","",N($F132)*N($I132))</f>
        <v/>
      </c>
    </row>
    <row r="133">
      <c r="A133" s="30" t="n"/>
      <c r="B133" s="30" t="n"/>
      <c r="C133" s="18">
        <f>IF($B133="","",IFERROR(VLOOKUP($B133,단가마스터!$A$4:$H$303,2,FALSE),"⚠️단가마스터에 없음"))</f>
        <v/>
      </c>
      <c r="D133" s="18">
        <f>IF($B133="","",IFERROR(VLOOKUP($B133,단가마스터!$A$4:$H$303,3,FALSE),""))</f>
        <v/>
      </c>
      <c r="E133" s="18">
        <f>IF($B133="","",IFERROR(VLOOKUP($B133,단가마스터!$A$4:$H$303,4,FALSE),""))</f>
        <v/>
      </c>
      <c r="F133" s="30" t="n"/>
      <c r="G133" s="20">
        <f>IF($B133="","",IFERROR(VLOOKUP($B133,단가마스터!$A$4:$H$303,5,FALSE),0))</f>
        <v/>
      </c>
      <c r="H133" s="20">
        <f>IF($B133="","",IFERROR(VLOOKUP($B133,단가마스터!$A$4:$H$303,6,FALSE),0))</f>
        <v/>
      </c>
      <c r="I133" s="20">
        <f>IF($B133="","",IFERROR(VLOOKUP($B133,단가마스터!$A$4:$H$303,7,FALSE),0))</f>
        <v/>
      </c>
      <c r="J133" s="20">
        <f>IF($B133="","",N($F133)*N($G133))</f>
        <v/>
      </c>
      <c r="K133" s="20">
        <f>IF($B133="","",N($F133)*N($H133))</f>
        <v/>
      </c>
      <c r="L133" s="20">
        <f>IF($B133="","",N($F133)*N($I133))</f>
        <v/>
      </c>
    </row>
    <row r="134">
      <c r="A134" s="30" t="n"/>
      <c r="B134" s="30" t="n"/>
      <c r="C134" s="18">
        <f>IF($B134="","",IFERROR(VLOOKUP($B134,단가마스터!$A$4:$H$303,2,FALSE),"⚠️단가마스터에 없음"))</f>
        <v/>
      </c>
      <c r="D134" s="18">
        <f>IF($B134="","",IFERROR(VLOOKUP($B134,단가마스터!$A$4:$H$303,3,FALSE),""))</f>
        <v/>
      </c>
      <c r="E134" s="18">
        <f>IF($B134="","",IFERROR(VLOOKUP($B134,단가마스터!$A$4:$H$303,4,FALSE),""))</f>
        <v/>
      </c>
      <c r="F134" s="30" t="n"/>
      <c r="G134" s="20">
        <f>IF($B134="","",IFERROR(VLOOKUP($B134,단가마스터!$A$4:$H$303,5,FALSE),0))</f>
        <v/>
      </c>
      <c r="H134" s="20">
        <f>IF($B134="","",IFERROR(VLOOKUP($B134,단가마스터!$A$4:$H$303,6,FALSE),0))</f>
        <v/>
      </c>
      <c r="I134" s="20">
        <f>IF($B134="","",IFERROR(VLOOKUP($B134,단가마스터!$A$4:$H$303,7,FALSE),0))</f>
        <v/>
      </c>
      <c r="J134" s="20">
        <f>IF($B134="","",N($F134)*N($G134))</f>
        <v/>
      </c>
      <c r="K134" s="20">
        <f>IF($B134="","",N($F134)*N($H134))</f>
        <v/>
      </c>
      <c r="L134" s="20">
        <f>IF($B134="","",N($F134)*N($I134))</f>
        <v/>
      </c>
    </row>
    <row r="135">
      <c r="A135" s="30" t="n"/>
      <c r="B135" s="30" t="n"/>
      <c r="C135" s="18">
        <f>IF($B135="","",IFERROR(VLOOKUP($B135,단가마스터!$A$4:$H$303,2,FALSE),"⚠️단가마스터에 없음"))</f>
        <v/>
      </c>
      <c r="D135" s="18">
        <f>IF($B135="","",IFERROR(VLOOKUP($B135,단가마스터!$A$4:$H$303,3,FALSE),""))</f>
        <v/>
      </c>
      <c r="E135" s="18">
        <f>IF($B135="","",IFERROR(VLOOKUP($B135,단가마스터!$A$4:$H$303,4,FALSE),""))</f>
        <v/>
      </c>
      <c r="F135" s="30" t="n"/>
      <c r="G135" s="20">
        <f>IF($B135="","",IFERROR(VLOOKUP($B135,단가마스터!$A$4:$H$303,5,FALSE),0))</f>
        <v/>
      </c>
      <c r="H135" s="20">
        <f>IF($B135="","",IFERROR(VLOOKUP($B135,단가마스터!$A$4:$H$303,6,FALSE),0))</f>
        <v/>
      </c>
      <c r="I135" s="20">
        <f>IF($B135="","",IFERROR(VLOOKUP($B135,단가마스터!$A$4:$H$303,7,FALSE),0))</f>
        <v/>
      </c>
      <c r="J135" s="20">
        <f>IF($B135="","",N($F135)*N($G135))</f>
        <v/>
      </c>
      <c r="K135" s="20">
        <f>IF($B135="","",N($F135)*N($H135))</f>
        <v/>
      </c>
      <c r="L135" s="20">
        <f>IF($B135="","",N($F135)*N($I135))</f>
        <v/>
      </c>
    </row>
    <row r="136">
      <c r="A136" s="30" t="n"/>
      <c r="B136" s="30" t="n"/>
      <c r="C136" s="18">
        <f>IF($B136="","",IFERROR(VLOOKUP($B136,단가마스터!$A$4:$H$303,2,FALSE),"⚠️단가마스터에 없음"))</f>
        <v/>
      </c>
      <c r="D136" s="18">
        <f>IF($B136="","",IFERROR(VLOOKUP($B136,단가마스터!$A$4:$H$303,3,FALSE),""))</f>
        <v/>
      </c>
      <c r="E136" s="18">
        <f>IF($B136="","",IFERROR(VLOOKUP($B136,단가마스터!$A$4:$H$303,4,FALSE),""))</f>
        <v/>
      </c>
      <c r="F136" s="30" t="n"/>
      <c r="G136" s="20">
        <f>IF($B136="","",IFERROR(VLOOKUP($B136,단가마스터!$A$4:$H$303,5,FALSE),0))</f>
        <v/>
      </c>
      <c r="H136" s="20">
        <f>IF($B136="","",IFERROR(VLOOKUP($B136,단가마스터!$A$4:$H$303,6,FALSE),0))</f>
        <v/>
      </c>
      <c r="I136" s="20">
        <f>IF($B136="","",IFERROR(VLOOKUP($B136,단가마스터!$A$4:$H$303,7,FALSE),0))</f>
        <v/>
      </c>
      <c r="J136" s="20">
        <f>IF($B136="","",N($F136)*N($G136))</f>
        <v/>
      </c>
      <c r="K136" s="20">
        <f>IF($B136="","",N($F136)*N($H136))</f>
        <v/>
      </c>
      <c r="L136" s="20">
        <f>IF($B136="","",N($F136)*N($I136))</f>
        <v/>
      </c>
    </row>
    <row r="137">
      <c r="A137" s="30" t="n"/>
      <c r="B137" s="30" t="n"/>
      <c r="C137" s="18">
        <f>IF($B137="","",IFERROR(VLOOKUP($B137,단가마스터!$A$4:$H$303,2,FALSE),"⚠️단가마스터에 없음"))</f>
        <v/>
      </c>
      <c r="D137" s="18">
        <f>IF($B137="","",IFERROR(VLOOKUP($B137,단가마스터!$A$4:$H$303,3,FALSE),""))</f>
        <v/>
      </c>
      <c r="E137" s="18">
        <f>IF($B137="","",IFERROR(VLOOKUP($B137,단가마스터!$A$4:$H$303,4,FALSE),""))</f>
        <v/>
      </c>
      <c r="F137" s="30" t="n"/>
      <c r="G137" s="20">
        <f>IF($B137="","",IFERROR(VLOOKUP($B137,단가마스터!$A$4:$H$303,5,FALSE),0))</f>
        <v/>
      </c>
      <c r="H137" s="20">
        <f>IF($B137="","",IFERROR(VLOOKUP($B137,단가마스터!$A$4:$H$303,6,FALSE),0))</f>
        <v/>
      </c>
      <c r="I137" s="20">
        <f>IF($B137="","",IFERROR(VLOOKUP($B137,단가마스터!$A$4:$H$303,7,FALSE),0))</f>
        <v/>
      </c>
      <c r="J137" s="20">
        <f>IF($B137="","",N($F137)*N($G137))</f>
        <v/>
      </c>
      <c r="K137" s="20">
        <f>IF($B137="","",N($F137)*N($H137))</f>
        <v/>
      </c>
      <c r="L137" s="20">
        <f>IF($B137="","",N($F137)*N($I137))</f>
        <v/>
      </c>
    </row>
    <row r="138">
      <c r="A138" s="30" t="n"/>
      <c r="B138" s="30" t="n"/>
      <c r="C138" s="18">
        <f>IF($B138="","",IFERROR(VLOOKUP($B138,단가마스터!$A$4:$H$303,2,FALSE),"⚠️단가마스터에 없음"))</f>
        <v/>
      </c>
      <c r="D138" s="18">
        <f>IF($B138="","",IFERROR(VLOOKUP($B138,단가마스터!$A$4:$H$303,3,FALSE),""))</f>
        <v/>
      </c>
      <c r="E138" s="18">
        <f>IF($B138="","",IFERROR(VLOOKUP($B138,단가마스터!$A$4:$H$303,4,FALSE),""))</f>
        <v/>
      </c>
      <c r="F138" s="30" t="n"/>
      <c r="G138" s="20">
        <f>IF($B138="","",IFERROR(VLOOKUP($B138,단가마스터!$A$4:$H$303,5,FALSE),0))</f>
        <v/>
      </c>
      <c r="H138" s="20">
        <f>IF($B138="","",IFERROR(VLOOKUP($B138,단가마스터!$A$4:$H$303,6,FALSE),0))</f>
        <v/>
      </c>
      <c r="I138" s="20">
        <f>IF($B138="","",IFERROR(VLOOKUP($B138,단가마스터!$A$4:$H$303,7,FALSE),0))</f>
        <v/>
      </c>
      <c r="J138" s="20">
        <f>IF($B138="","",N($F138)*N($G138))</f>
        <v/>
      </c>
      <c r="K138" s="20">
        <f>IF($B138="","",N($F138)*N($H138))</f>
        <v/>
      </c>
      <c r="L138" s="20">
        <f>IF($B138="","",N($F138)*N($I138))</f>
        <v/>
      </c>
    </row>
    <row r="139">
      <c r="A139" s="30" t="n"/>
      <c r="B139" s="30" t="n"/>
      <c r="C139" s="18">
        <f>IF($B139="","",IFERROR(VLOOKUP($B139,단가마스터!$A$4:$H$303,2,FALSE),"⚠️단가마스터에 없음"))</f>
        <v/>
      </c>
      <c r="D139" s="18">
        <f>IF($B139="","",IFERROR(VLOOKUP($B139,단가마스터!$A$4:$H$303,3,FALSE),""))</f>
        <v/>
      </c>
      <c r="E139" s="18">
        <f>IF($B139="","",IFERROR(VLOOKUP($B139,단가마스터!$A$4:$H$303,4,FALSE),""))</f>
        <v/>
      </c>
      <c r="F139" s="30" t="n"/>
      <c r="G139" s="20">
        <f>IF($B139="","",IFERROR(VLOOKUP($B139,단가마스터!$A$4:$H$303,5,FALSE),0))</f>
        <v/>
      </c>
      <c r="H139" s="20">
        <f>IF($B139="","",IFERROR(VLOOKUP($B139,단가마스터!$A$4:$H$303,6,FALSE),0))</f>
        <v/>
      </c>
      <c r="I139" s="20">
        <f>IF($B139="","",IFERROR(VLOOKUP($B139,단가마스터!$A$4:$H$303,7,FALSE),0))</f>
        <v/>
      </c>
      <c r="J139" s="20">
        <f>IF($B139="","",N($F139)*N($G139))</f>
        <v/>
      </c>
      <c r="K139" s="20">
        <f>IF($B139="","",N($F139)*N($H139))</f>
        <v/>
      </c>
      <c r="L139" s="20">
        <f>IF($B139="","",N($F139)*N($I139))</f>
        <v/>
      </c>
    </row>
    <row r="140">
      <c r="A140" s="30" t="n"/>
      <c r="B140" s="30" t="n"/>
      <c r="C140" s="18">
        <f>IF($B140="","",IFERROR(VLOOKUP($B140,단가마스터!$A$4:$H$303,2,FALSE),"⚠️단가마스터에 없음"))</f>
        <v/>
      </c>
      <c r="D140" s="18">
        <f>IF($B140="","",IFERROR(VLOOKUP($B140,단가마스터!$A$4:$H$303,3,FALSE),""))</f>
        <v/>
      </c>
      <c r="E140" s="18">
        <f>IF($B140="","",IFERROR(VLOOKUP($B140,단가마스터!$A$4:$H$303,4,FALSE),""))</f>
        <v/>
      </c>
      <c r="F140" s="30" t="n"/>
      <c r="G140" s="20">
        <f>IF($B140="","",IFERROR(VLOOKUP($B140,단가마스터!$A$4:$H$303,5,FALSE),0))</f>
        <v/>
      </c>
      <c r="H140" s="20">
        <f>IF($B140="","",IFERROR(VLOOKUP($B140,단가마스터!$A$4:$H$303,6,FALSE),0))</f>
        <v/>
      </c>
      <c r="I140" s="20">
        <f>IF($B140="","",IFERROR(VLOOKUP($B140,단가마스터!$A$4:$H$303,7,FALSE),0))</f>
        <v/>
      </c>
      <c r="J140" s="20">
        <f>IF($B140="","",N($F140)*N($G140))</f>
        <v/>
      </c>
      <c r="K140" s="20">
        <f>IF($B140="","",N($F140)*N($H140))</f>
        <v/>
      </c>
      <c r="L140" s="20">
        <f>IF($B140="","",N($F140)*N($I140))</f>
        <v/>
      </c>
    </row>
    <row r="141">
      <c r="A141" s="30" t="n"/>
      <c r="B141" s="30" t="n"/>
      <c r="C141" s="18">
        <f>IF($B141="","",IFERROR(VLOOKUP($B141,단가마스터!$A$4:$H$303,2,FALSE),"⚠️단가마스터에 없음"))</f>
        <v/>
      </c>
      <c r="D141" s="18">
        <f>IF($B141="","",IFERROR(VLOOKUP($B141,단가마스터!$A$4:$H$303,3,FALSE),""))</f>
        <v/>
      </c>
      <c r="E141" s="18">
        <f>IF($B141="","",IFERROR(VLOOKUP($B141,단가마스터!$A$4:$H$303,4,FALSE),""))</f>
        <v/>
      </c>
      <c r="F141" s="30" t="n"/>
      <c r="G141" s="20">
        <f>IF($B141="","",IFERROR(VLOOKUP($B141,단가마스터!$A$4:$H$303,5,FALSE),0))</f>
        <v/>
      </c>
      <c r="H141" s="20">
        <f>IF($B141="","",IFERROR(VLOOKUP($B141,단가마스터!$A$4:$H$303,6,FALSE),0))</f>
        <v/>
      </c>
      <c r="I141" s="20">
        <f>IF($B141="","",IFERROR(VLOOKUP($B141,단가마스터!$A$4:$H$303,7,FALSE),0))</f>
        <v/>
      </c>
      <c r="J141" s="20">
        <f>IF($B141="","",N($F141)*N($G141))</f>
        <v/>
      </c>
      <c r="K141" s="20">
        <f>IF($B141="","",N($F141)*N($H141))</f>
        <v/>
      </c>
      <c r="L141" s="20">
        <f>IF($B141="","",N($F141)*N($I141))</f>
        <v/>
      </c>
    </row>
    <row r="142">
      <c r="A142" s="30" t="n"/>
      <c r="B142" s="30" t="n"/>
      <c r="C142" s="18">
        <f>IF($B142="","",IFERROR(VLOOKUP($B142,단가마스터!$A$4:$H$303,2,FALSE),"⚠️단가마스터에 없음"))</f>
        <v/>
      </c>
      <c r="D142" s="18">
        <f>IF($B142="","",IFERROR(VLOOKUP($B142,단가마스터!$A$4:$H$303,3,FALSE),""))</f>
        <v/>
      </c>
      <c r="E142" s="18">
        <f>IF($B142="","",IFERROR(VLOOKUP($B142,단가마스터!$A$4:$H$303,4,FALSE),""))</f>
        <v/>
      </c>
      <c r="F142" s="30" t="n"/>
      <c r="G142" s="20">
        <f>IF($B142="","",IFERROR(VLOOKUP($B142,단가마스터!$A$4:$H$303,5,FALSE),0))</f>
        <v/>
      </c>
      <c r="H142" s="20">
        <f>IF($B142="","",IFERROR(VLOOKUP($B142,단가마스터!$A$4:$H$303,6,FALSE),0))</f>
        <v/>
      </c>
      <c r="I142" s="20">
        <f>IF($B142="","",IFERROR(VLOOKUP($B142,단가마스터!$A$4:$H$303,7,FALSE),0))</f>
        <v/>
      </c>
      <c r="J142" s="20">
        <f>IF($B142="","",N($F142)*N($G142))</f>
        <v/>
      </c>
      <c r="K142" s="20">
        <f>IF($B142="","",N($F142)*N($H142))</f>
        <v/>
      </c>
      <c r="L142" s="20">
        <f>IF($B142="","",N($F142)*N($I142))</f>
        <v/>
      </c>
    </row>
    <row r="143">
      <c r="A143" s="30" t="n"/>
      <c r="B143" s="30" t="n"/>
      <c r="C143" s="18">
        <f>IF($B143="","",IFERROR(VLOOKUP($B143,단가마스터!$A$4:$H$303,2,FALSE),"⚠️단가마스터에 없음"))</f>
        <v/>
      </c>
      <c r="D143" s="18">
        <f>IF($B143="","",IFERROR(VLOOKUP($B143,단가마스터!$A$4:$H$303,3,FALSE),""))</f>
        <v/>
      </c>
      <c r="E143" s="18">
        <f>IF($B143="","",IFERROR(VLOOKUP($B143,단가마스터!$A$4:$H$303,4,FALSE),""))</f>
        <v/>
      </c>
      <c r="F143" s="30" t="n"/>
      <c r="G143" s="20">
        <f>IF($B143="","",IFERROR(VLOOKUP($B143,단가마스터!$A$4:$H$303,5,FALSE),0))</f>
        <v/>
      </c>
      <c r="H143" s="20">
        <f>IF($B143="","",IFERROR(VLOOKUP($B143,단가마스터!$A$4:$H$303,6,FALSE),0))</f>
        <v/>
      </c>
      <c r="I143" s="20">
        <f>IF($B143="","",IFERROR(VLOOKUP($B143,단가마스터!$A$4:$H$303,7,FALSE),0))</f>
        <v/>
      </c>
      <c r="J143" s="20">
        <f>IF($B143="","",N($F143)*N($G143))</f>
        <v/>
      </c>
      <c r="K143" s="20">
        <f>IF($B143="","",N($F143)*N($H143))</f>
        <v/>
      </c>
      <c r="L143" s="20">
        <f>IF($B143="","",N($F143)*N($I143))</f>
        <v/>
      </c>
    </row>
    <row r="144">
      <c r="A144" s="30" t="n"/>
      <c r="B144" s="30" t="n"/>
      <c r="C144" s="18">
        <f>IF($B144="","",IFERROR(VLOOKUP($B144,단가마스터!$A$4:$H$303,2,FALSE),"⚠️단가마스터에 없음"))</f>
        <v/>
      </c>
      <c r="D144" s="18">
        <f>IF($B144="","",IFERROR(VLOOKUP($B144,단가마스터!$A$4:$H$303,3,FALSE),""))</f>
        <v/>
      </c>
      <c r="E144" s="18">
        <f>IF($B144="","",IFERROR(VLOOKUP($B144,단가마스터!$A$4:$H$303,4,FALSE),""))</f>
        <v/>
      </c>
      <c r="F144" s="30" t="n"/>
      <c r="G144" s="20">
        <f>IF($B144="","",IFERROR(VLOOKUP($B144,단가마스터!$A$4:$H$303,5,FALSE),0))</f>
        <v/>
      </c>
      <c r="H144" s="20">
        <f>IF($B144="","",IFERROR(VLOOKUP($B144,단가마스터!$A$4:$H$303,6,FALSE),0))</f>
        <v/>
      </c>
      <c r="I144" s="20">
        <f>IF($B144="","",IFERROR(VLOOKUP($B144,단가마스터!$A$4:$H$303,7,FALSE),0))</f>
        <v/>
      </c>
      <c r="J144" s="20">
        <f>IF($B144="","",N($F144)*N($G144))</f>
        <v/>
      </c>
      <c r="K144" s="20">
        <f>IF($B144="","",N($F144)*N($H144))</f>
        <v/>
      </c>
      <c r="L144" s="20">
        <f>IF($B144="","",N($F144)*N($I144))</f>
        <v/>
      </c>
    </row>
    <row r="145">
      <c r="A145" s="30" t="n"/>
      <c r="B145" s="30" t="n"/>
      <c r="C145" s="18">
        <f>IF($B145="","",IFERROR(VLOOKUP($B145,단가마스터!$A$4:$H$303,2,FALSE),"⚠️단가마스터에 없음"))</f>
        <v/>
      </c>
      <c r="D145" s="18">
        <f>IF($B145="","",IFERROR(VLOOKUP($B145,단가마스터!$A$4:$H$303,3,FALSE),""))</f>
        <v/>
      </c>
      <c r="E145" s="18">
        <f>IF($B145="","",IFERROR(VLOOKUP($B145,단가마스터!$A$4:$H$303,4,FALSE),""))</f>
        <v/>
      </c>
      <c r="F145" s="30" t="n"/>
      <c r="G145" s="20">
        <f>IF($B145="","",IFERROR(VLOOKUP($B145,단가마스터!$A$4:$H$303,5,FALSE),0))</f>
        <v/>
      </c>
      <c r="H145" s="20">
        <f>IF($B145="","",IFERROR(VLOOKUP($B145,단가마스터!$A$4:$H$303,6,FALSE),0))</f>
        <v/>
      </c>
      <c r="I145" s="20">
        <f>IF($B145="","",IFERROR(VLOOKUP($B145,단가마스터!$A$4:$H$303,7,FALSE),0))</f>
        <v/>
      </c>
      <c r="J145" s="20">
        <f>IF($B145="","",N($F145)*N($G145))</f>
        <v/>
      </c>
      <c r="K145" s="20">
        <f>IF($B145="","",N($F145)*N($H145))</f>
        <v/>
      </c>
      <c r="L145" s="20">
        <f>IF($B145="","",N($F145)*N($I145))</f>
        <v/>
      </c>
    </row>
    <row r="146">
      <c r="A146" s="30" t="n"/>
      <c r="B146" s="30" t="n"/>
      <c r="C146" s="18">
        <f>IF($B146="","",IFERROR(VLOOKUP($B146,단가마스터!$A$4:$H$303,2,FALSE),"⚠️단가마스터에 없음"))</f>
        <v/>
      </c>
      <c r="D146" s="18">
        <f>IF($B146="","",IFERROR(VLOOKUP($B146,단가마스터!$A$4:$H$303,3,FALSE),""))</f>
        <v/>
      </c>
      <c r="E146" s="18">
        <f>IF($B146="","",IFERROR(VLOOKUP($B146,단가마스터!$A$4:$H$303,4,FALSE),""))</f>
        <v/>
      </c>
      <c r="F146" s="30" t="n"/>
      <c r="G146" s="20">
        <f>IF($B146="","",IFERROR(VLOOKUP($B146,단가마스터!$A$4:$H$303,5,FALSE),0))</f>
        <v/>
      </c>
      <c r="H146" s="20">
        <f>IF($B146="","",IFERROR(VLOOKUP($B146,단가마스터!$A$4:$H$303,6,FALSE),0))</f>
        <v/>
      </c>
      <c r="I146" s="20">
        <f>IF($B146="","",IFERROR(VLOOKUP($B146,단가마스터!$A$4:$H$303,7,FALSE),0))</f>
        <v/>
      </c>
      <c r="J146" s="20">
        <f>IF($B146="","",N($F146)*N($G146))</f>
        <v/>
      </c>
      <c r="K146" s="20">
        <f>IF($B146="","",N($F146)*N($H146))</f>
        <v/>
      </c>
      <c r="L146" s="20">
        <f>IF($B146="","",N($F146)*N($I146))</f>
        <v/>
      </c>
    </row>
    <row r="147">
      <c r="A147" s="30" t="n"/>
      <c r="B147" s="30" t="n"/>
      <c r="C147" s="18">
        <f>IF($B147="","",IFERROR(VLOOKUP($B147,단가마스터!$A$4:$H$303,2,FALSE),"⚠️단가마스터에 없음"))</f>
        <v/>
      </c>
      <c r="D147" s="18">
        <f>IF($B147="","",IFERROR(VLOOKUP($B147,단가마스터!$A$4:$H$303,3,FALSE),""))</f>
        <v/>
      </c>
      <c r="E147" s="18">
        <f>IF($B147="","",IFERROR(VLOOKUP($B147,단가마스터!$A$4:$H$303,4,FALSE),""))</f>
        <v/>
      </c>
      <c r="F147" s="30" t="n"/>
      <c r="G147" s="20">
        <f>IF($B147="","",IFERROR(VLOOKUP($B147,단가마스터!$A$4:$H$303,5,FALSE),0))</f>
        <v/>
      </c>
      <c r="H147" s="20">
        <f>IF($B147="","",IFERROR(VLOOKUP($B147,단가마스터!$A$4:$H$303,6,FALSE),0))</f>
        <v/>
      </c>
      <c r="I147" s="20">
        <f>IF($B147="","",IFERROR(VLOOKUP($B147,단가마스터!$A$4:$H$303,7,FALSE),0))</f>
        <v/>
      </c>
      <c r="J147" s="20">
        <f>IF($B147="","",N($F147)*N($G147))</f>
        <v/>
      </c>
      <c r="K147" s="20">
        <f>IF($B147="","",N($F147)*N($H147))</f>
        <v/>
      </c>
      <c r="L147" s="20">
        <f>IF($B147="","",N($F147)*N($I147))</f>
        <v/>
      </c>
    </row>
    <row r="148">
      <c r="A148" s="30" t="n"/>
      <c r="B148" s="30" t="n"/>
      <c r="C148" s="18">
        <f>IF($B148="","",IFERROR(VLOOKUP($B148,단가마스터!$A$4:$H$303,2,FALSE),"⚠️단가마스터에 없음"))</f>
        <v/>
      </c>
      <c r="D148" s="18">
        <f>IF($B148="","",IFERROR(VLOOKUP($B148,단가마스터!$A$4:$H$303,3,FALSE),""))</f>
        <v/>
      </c>
      <c r="E148" s="18">
        <f>IF($B148="","",IFERROR(VLOOKUP($B148,단가마스터!$A$4:$H$303,4,FALSE),""))</f>
        <v/>
      </c>
      <c r="F148" s="30" t="n"/>
      <c r="G148" s="20">
        <f>IF($B148="","",IFERROR(VLOOKUP($B148,단가마스터!$A$4:$H$303,5,FALSE),0))</f>
        <v/>
      </c>
      <c r="H148" s="20">
        <f>IF($B148="","",IFERROR(VLOOKUP($B148,단가마스터!$A$4:$H$303,6,FALSE),0))</f>
        <v/>
      </c>
      <c r="I148" s="20">
        <f>IF($B148="","",IFERROR(VLOOKUP($B148,단가마스터!$A$4:$H$303,7,FALSE),0))</f>
        <v/>
      </c>
      <c r="J148" s="20">
        <f>IF($B148="","",N($F148)*N($G148))</f>
        <v/>
      </c>
      <c r="K148" s="20">
        <f>IF($B148="","",N($F148)*N($H148))</f>
        <v/>
      </c>
      <c r="L148" s="20">
        <f>IF($B148="","",N($F148)*N($I148))</f>
        <v/>
      </c>
    </row>
    <row r="149">
      <c r="A149" s="30" t="n"/>
      <c r="B149" s="30" t="n"/>
      <c r="C149" s="18">
        <f>IF($B149="","",IFERROR(VLOOKUP($B149,단가마스터!$A$4:$H$303,2,FALSE),"⚠️단가마스터에 없음"))</f>
        <v/>
      </c>
      <c r="D149" s="18">
        <f>IF($B149="","",IFERROR(VLOOKUP($B149,단가마스터!$A$4:$H$303,3,FALSE),""))</f>
        <v/>
      </c>
      <c r="E149" s="18">
        <f>IF($B149="","",IFERROR(VLOOKUP($B149,단가마스터!$A$4:$H$303,4,FALSE),""))</f>
        <v/>
      </c>
      <c r="F149" s="30" t="n"/>
      <c r="G149" s="20">
        <f>IF($B149="","",IFERROR(VLOOKUP($B149,단가마스터!$A$4:$H$303,5,FALSE),0))</f>
        <v/>
      </c>
      <c r="H149" s="20">
        <f>IF($B149="","",IFERROR(VLOOKUP($B149,단가마스터!$A$4:$H$303,6,FALSE),0))</f>
        <v/>
      </c>
      <c r="I149" s="20">
        <f>IF($B149="","",IFERROR(VLOOKUP($B149,단가마스터!$A$4:$H$303,7,FALSE),0))</f>
        <v/>
      </c>
      <c r="J149" s="20">
        <f>IF($B149="","",N($F149)*N($G149))</f>
        <v/>
      </c>
      <c r="K149" s="20">
        <f>IF($B149="","",N($F149)*N($H149))</f>
        <v/>
      </c>
      <c r="L149" s="20">
        <f>IF($B149="","",N($F149)*N($I149))</f>
        <v/>
      </c>
    </row>
    <row r="150">
      <c r="A150" s="30" t="n"/>
      <c r="B150" s="30" t="n"/>
      <c r="C150" s="18">
        <f>IF($B150="","",IFERROR(VLOOKUP($B150,단가마스터!$A$4:$H$303,2,FALSE),"⚠️단가마스터에 없음"))</f>
        <v/>
      </c>
      <c r="D150" s="18">
        <f>IF($B150="","",IFERROR(VLOOKUP($B150,단가마스터!$A$4:$H$303,3,FALSE),""))</f>
        <v/>
      </c>
      <c r="E150" s="18">
        <f>IF($B150="","",IFERROR(VLOOKUP($B150,단가마스터!$A$4:$H$303,4,FALSE),""))</f>
        <v/>
      </c>
      <c r="F150" s="30" t="n"/>
      <c r="G150" s="20">
        <f>IF($B150="","",IFERROR(VLOOKUP($B150,단가마스터!$A$4:$H$303,5,FALSE),0))</f>
        <v/>
      </c>
      <c r="H150" s="20">
        <f>IF($B150="","",IFERROR(VLOOKUP($B150,단가마스터!$A$4:$H$303,6,FALSE),0))</f>
        <v/>
      </c>
      <c r="I150" s="20">
        <f>IF($B150="","",IFERROR(VLOOKUP($B150,단가마스터!$A$4:$H$303,7,FALSE),0))</f>
        <v/>
      </c>
      <c r="J150" s="20">
        <f>IF($B150="","",N($F150)*N($G150))</f>
        <v/>
      </c>
      <c r="K150" s="20">
        <f>IF($B150="","",N($F150)*N($H150))</f>
        <v/>
      </c>
      <c r="L150" s="20">
        <f>IF($B150="","",N($F150)*N($I150))</f>
        <v/>
      </c>
    </row>
    <row r="151">
      <c r="A151" s="30" t="n"/>
      <c r="B151" s="30" t="n"/>
      <c r="C151" s="18">
        <f>IF($B151="","",IFERROR(VLOOKUP($B151,단가마스터!$A$4:$H$303,2,FALSE),"⚠️단가마스터에 없음"))</f>
        <v/>
      </c>
      <c r="D151" s="18">
        <f>IF($B151="","",IFERROR(VLOOKUP($B151,단가마스터!$A$4:$H$303,3,FALSE),""))</f>
        <v/>
      </c>
      <c r="E151" s="18">
        <f>IF($B151="","",IFERROR(VLOOKUP($B151,단가마스터!$A$4:$H$303,4,FALSE),""))</f>
        <v/>
      </c>
      <c r="F151" s="30" t="n"/>
      <c r="G151" s="20">
        <f>IF($B151="","",IFERROR(VLOOKUP($B151,단가마스터!$A$4:$H$303,5,FALSE),0))</f>
        <v/>
      </c>
      <c r="H151" s="20">
        <f>IF($B151="","",IFERROR(VLOOKUP($B151,단가마스터!$A$4:$H$303,6,FALSE),0))</f>
        <v/>
      </c>
      <c r="I151" s="20">
        <f>IF($B151="","",IFERROR(VLOOKUP($B151,단가마스터!$A$4:$H$303,7,FALSE),0))</f>
        <v/>
      </c>
      <c r="J151" s="20">
        <f>IF($B151="","",N($F151)*N($G151))</f>
        <v/>
      </c>
      <c r="K151" s="20">
        <f>IF($B151="","",N($F151)*N($H151))</f>
        <v/>
      </c>
      <c r="L151" s="20">
        <f>IF($B151="","",N($F151)*N($I151))</f>
        <v/>
      </c>
    </row>
    <row r="152">
      <c r="A152" s="30" t="n"/>
      <c r="B152" s="30" t="n"/>
      <c r="C152" s="18">
        <f>IF($B152="","",IFERROR(VLOOKUP($B152,단가마스터!$A$4:$H$303,2,FALSE),"⚠️단가마스터에 없음"))</f>
        <v/>
      </c>
      <c r="D152" s="18">
        <f>IF($B152="","",IFERROR(VLOOKUP($B152,단가마스터!$A$4:$H$303,3,FALSE),""))</f>
        <v/>
      </c>
      <c r="E152" s="18">
        <f>IF($B152="","",IFERROR(VLOOKUP($B152,단가마스터!$A$4:$H$303,4,FALSE),""))</f>
        <v/>
      </c>
      <c r="F152" s="30" t="n"/>
      <c r="G152" s="20">
        <f>IF($B152="","",IFERROR(VLOOKUP($B152,단가마스터!$A$4:$H$303,5,FALSE),0))</f>
        <v/>
      </c>
      <c r="H152" s="20">
        <f>IF($B152="","",IFERROR(VLOOKUP($B152,단가마스터!$A$4:$H$303,6,FALSE),0))</f>
        <v/>
      </c>
      <c r="I152" s="20">
        <f>IF($B152="","",IFERROR(VLOOKUP($B152,단가마스터!$A$4:$H$303,7,FALSE),0))</f>
        <v/>
      </c>
      <c r="J152" s="20">
        <f>IF($B152="","",N($F152)*N($G152))</f>
        <v/>
      </c>
      <c r="K152" s="20">
        <f>IF($B152="","",N($F152)*N($H152))</f>
        <v/>
      </c>
      <c r="L152" s="20">
        <f>IF($B152="","",N($F152)*N($I152))</f>
        <v/>
      </c>
    </row>
    <row r="153">
      <c r="A153" s="30" t="n"/>
      <c r="B153" s="30" t="n"/>
      <c r="C153" s="18">
        <f>IF($B153="","",IFERROR(VLOOKUP($B153,단가마스터!$A$4:$H$303,2,FALSE),"⚠️단가마스터에 없음"))</f>
        <v/>
      </c>
      <c r="D153" s="18">
        <f>IF($B153="","",IFERROR(VLOOKUP($B153,단가마스터!$A$4:$H$303,3,FALSE),""))</f>
        <v/>
      </c>
      <c r="E153" s="18">
        <f>IF($B153="","",IFERROR(VLOOKUP($B153,단가마스터!$A$4:$H$303,4,FALSE),""))</f>
        <v/>
      </c>
      <c r="F153" s="30" t="n"/>
      <c r="G153" s="20">
        <f>IF($B153="","",IFERROR(VLOOKUP($B153,단가마스터!$A$4:$H$303,5,FALSE),0))</f>
        <v/>
      </c>
      <c r="H153" s="20">
        <f>IF($B153="","",IFERROR(VLOOKUP($B153,단가마스터!$A$4:$H$303,6,FALSE),0))</f>
        <v/>
      </c>
      <c r="I153" s="20">
        <f>IF($B153="","",IFERROR(VLOOKUP($B153,단가마스터!$A$4:$H$303,7,FALSE),0))</f>
        <v/>
      </c>
      <c r="J153" s="20">
        <f>IF($B153="","",N($F153)*N($G153))</f>
        <v/>
      </c>
      <c r="K153" s="20">
        <f>IF($B153="","",N($F153)*N($H153))</f>
        <v/>
      </c>
      <c r="L153" s="20">
        <f>IF($B153="","",N($F153)*N($I153))</f>
        <v/>
      </c>
    </row>
    <row r="154">
      <c r="A154" s="30" t="n"/>
      <c r="B154" s="30" t="n"/>
      <c r="C154" s="18">
        <f>IF($B154="","",IFERROR(VLOOKUP($B154,단가마스터!$A$4:$H$303,2,FALSE),"⚠️단가마스터에 없음"))</f>
        <v/>
      </c>
      <c r="D154" s="18">
        <f>IF($B154="","",IFERROR(VLOOKUP($B154,단가마스터!$A$4:$H$303,3,FALSE),""))</f>
        <v/>
      </c>
      <c r="E154" s="18">
        <f>IF($B154="","",IFERROR(VLOOKUP($B154,단가마스터!$A$4:$H$303,4,FALSE),""))</f>
        <v/>
      </c>
      <c r="F154" s="30" t="n"/>
      <c r="G154" s="20">
        <f>IF($B154="","",IFERROR(VLOOKUP($B154,단가마스터!$A$4:$H$303,5,FALSE),0))</f>
        <v/>
      </c>
      <c r="H154" s="20">
        <f>IF($B154="","",IFERROR(VLOOKUP($B154,단가마스터!$A$4:$H$303,6,FALSE),0))</f>
        <v/>
      </c>
      <c r="I154" s="20">
        <f>IF($B154="","",IFERROR(VLOOKUP($B154,단가마스터!$A$4:$H$303,7,FALSE),0))</f>
        <v/>
      </c>
      <c r="J154" s="20">
        <f>IF($B154="","",N($F154)*N($G154))</f>
        <v/>
      </c>
      <c r="K154" s="20">
        <f>IF($B154="","",N($F154)*N($H154))</f>
        <v/>
      </c>
      <c r="L154" s="20">
        <f>IF($B154="","",N($F154)*N($I154))</f>
        <v/>
      </c>
    </row>
    <row r="155">
      <c r="A155" s="30" t="n"/>
      <c r="B155" s="30" t="n"/>
      <c r="C155" s="18">
        <f>IF($B155="","",IFERROR(VLOOKUP($B155,단가마스터!$A$4:$H$303,2,FALSE),"⚠️단가마스터에 없음"))</f>
        <v/>
      </c>
      <c r="D155" s="18">
        <f>IF($B155="","",IFERROR(VLOOKUP($B155,단가마스터!$A$4:$H$303,3,FALSE),""))</f>
        <v/>
      </c>
      <c r="E155" s="18">
        <f>IF($B155="","",IFERROR(VLOOKUP($B155,단가마스터!$A$4:$H$303,4,FALSE),""))</f>
        <v/>
      </c>
      <c r="F155" s="30" t="n"/>
      <c r="G155" s="20">
        <f>IF($B155="","",IFERROR(VLOOKUP($B155,단가마스터!$A$4:$H$303,5,FALSE),0))</f>
        <v/>
      </c>
      <c r="H155" s="20">
        <f>IF($B155="","",IFERROR(VLOOKUP($B155,단가마스터!$A$4:$H$303,6,FALSE),0))</f>
        <v/>
      </c>
      <c r="I155" s="20">
        <f>IF($B155="","",IFERROR(VLOOKUP($B155,단가마스터!$A$4:$H$303,7,FALSE),0))</f>
        <v/>
      </c>
      <c r="J155" s="20">
        <f>IF($B155="","",N($F155)*N($G155))</f>
        <v/>
      </c>
      <c r="K155" s="20">
        <f>IF($B155="","",N($F155)*N($H155))</f>
        <v/>
      </c>
      <c r="L155" s="20">
        <f>IF($B155="","",N($F155)*N($I155))</f>
        <v/>
      </c>
    </row>
    <row r="156">
      <c r="A156" s="30" t="n"/>
      <c r="B156" s="30" t="n"/>
      <c r="C156" s="18">
        <f>IF($B156="","",IFERROR(VLOOKUP($B156,단가마스터!$A$4:$H$303,2,FALSE),"⚠️단가마스터에 없음"))</f>
        <v/>
      </c>
      <c r="D156" s="18">
        <f>IF($B156="","",IFERROR(VLOOKUP($B156,단가마스터!$A$4:$H$303,3,FALSE),""))</f>
        <v/>
      </c>
      <c r="E156" s="18">
        <f>IF($B156="","",IFERROR(VLOOKUP($B156,단가마스터!$A$4:$H$303,4,FALSE),""))</f>
        <v/>
      </c>
      <c r="F156" s="30" t="n"/>
      <c r="G156" s="20">
        <f>IF($B156="","",IFERROR(VLOOKUP($B156,단가마스터!$A$4:$H$303,5,FALSE),0))</f>
        <v/>
      </c>
      <c r="H156" s="20">
        <f>IF($B156="","",IFERROR(VLOOKUP($B156,단가마스터!$A$4:$H$303,6,FALSE),0))</f>
        <v/>
      </c>
      <c r="I156" s="20">
        <f>IF($B156="","",IFERROR(VLOOKUP($B156,단가마스터!$A$4:$H$303,7,FALSE),0))</f>
        <v/>
      </c>
      <c r="J156" s="20">
        <f>IF($B156="","",N($F156)*N($G156))</f>
        <v/>
      </c>
      <c r="K156" s="20">
        <f>IF($B156="","",N($F156)*N($H156))</f>
        <v/>
      </c>
      <c r="L156" s="20">
        <f>IF($B156="","",N($F156)*N($I156))</f>
        <v/>
      </c>
    </row>
    <row r="157">
      <c r="A157" s="30" t="n"/>
      <c r="B157" s="30" t="n"/>
      <c r="C157" s="18">
        <f>IF($B157="","",IFERROR(VLOOKUP($B157,단가마스터!$A$4:$H$303,2,FALSE),"⚠️단가마스터에 없음"))</f>
        <v/>
      </c>
      <c r="D157" s="18">
        <f>IF($B157="","",IFERROR(VLOOKUP($B157,단가마스터!$A$4:$H$303,3,FALSE),""))</f>
        <v/>
      </c>
      <c r="E157" s="18">
        <f>IF($B157="","",IFERROR(VLOOKUP($B157,단가마스터!$A$4:$H$303,4,FALSE),""))</f>
        <v/>
      </c>
      <c r="F157" s="30" t="n"/>
      <c r="G157" s="20">
        <f>IF($B157="","",IFERROR(VLOOKUP($B157,단가마스터!$A$4:$H$303,5,FALSE),0))</f>
        <v/>
      </c>
      <c r="H157" s="20">
        <f>IF($B157="","",IFERROR(VLOOKUP($B157,단가마스터!$A$4:$H$303,6,FALSE),0))</f>
        <v/>
      </c>
      <c r="I157" s="20">
        <f>IF($B157="","",IFERROR(VLOOKUP($B157,단가마스터!$A$4:$H$303,7,FALSE),0))</f>
        <v/>
      </c>
      <c r="J157" s="20">
        <f>IF($B157="","",N($F157)*N($G157))</f>
        <v/>
      </c>
      <c r="K157" s="20">
        <f>IF($B157="","",N($F157)*N($H157))</f>
        <v/>
      </c>
      <c r="L157" s="20">
        <f>IF($B157="","",N($F157)*N($I157))</f>
        <v/>
      </c>
    </row>
    <row r="158">
      <c r="A158" s="30" t="n"/>
      <c r="B158" s="30" t="n"/>
      <c r="C158" s="18">
        <f>IF($B158="","",IFERROR(VLOOKUP($B158,단가마스터!$A$4:$H$303,2,FALSE),"⚠️단가마스터에 없음"))</f>
        <v/>
      </c>
      <c r="D158" s="18">
        <f>IF($B158="","",IFERROR(VLOOKUP($B158,단가마스터!$A$4:$H$303,3,FALSE),""))</f>
        <v/>
      </c>
      <c r="E158" s="18">
        <f>IF($B158="","",IFERROR(VLOOKUP($B158,단가마스터!$A$4:$H$303,4,FALSE),""))</f>
        <v/>
      </c>
      <c r="F158" s="30" t="n"/>
      <c r="G158" s="20">
        <f>IF($B158="","",IFERROR(VLOOKUP($B158,단가마스터!$A$4:$H$303,5,FALSE),0))</f>
        <v/>
      </c>
      <c r="H158" s="20">
        <f>IF($B158="","",IFERROR(VLOOKUP($B158,단가마스터!$A$4:$H$303,6,FALSE),0))</f>
        <v/>
      </c>
      <c r="I158" s="20">
        <f>IF($B158="","",IFERROR(VLOOKUP($B158,단가마스터!$A$4:$H$303,7,FALSE),0))</f>
        <v/>
      </c>
      <c r="J158" s="20">
        <f>IF($B158="","",N($F158)*N($G158))</f>
        <v/>
      </c>
      <c r="K158" s="20">
        <f>IF($B158="","",N($F158)*N($H158))</f>
        <v/>
      </c>
      <c r="L158" s="20">
        <f>IF($B158="","",N($F158)*N($I158))</f>
        <v/>
      </c>
    </row>
    <row r="159">
      <c r="A159" s="30" t="n"/>
      <c r="B159" s="30" t="n"/>
      <c r="C159" s="18">
        <f>IF($B159="","",IFERROR(VLOOKUP($B159,단가마스터!$A$4:$H$303,2,FALSE),"⚠️단가마스터에 없음"))</f>
        <v/>
      </c>
      <c r="D159" s="18">
        <f>IF($B159="","",IFERROR(VLOOKUP($B159,단가마스터!$A$4:$H$303,3,FALSE),""))</f>
        <v/>
      </c>
      <c r="E159" s="18">
        <f>IF($B159="","",IFERROR(VLOOKUP($B159,단가마스터!$A$4:$H$303,4,FALSE),""))</f>
        <v/>
      </c>
      <c r="F159" s="30" t="n"/>
      <c r="G159" s="20">
        <f>IF($B159="","",IFERROR(VLOOKUP($B159,단가마스터!$A$4:$H$303,5,FALSE),0))</f>
        <v/>
      </c>
      <c r="H159" s="20">
        <f>IF($B159="","",IFERROR(VLOOKUP($B159,단가마스터!$A$4:$H$303,6,FALSE),0))</f>
        <v/>
      </c>
      <c r="I159" s="20">
        <f>IF($B159="","",IFERROR(VLOOKUP($B159,단가마스터!$A$4:$H$303,7,FALSE),0))</f>
        <v/>
      </c>
      <c r="J159" s="20">
        <f>IF($B159="","",N($F159)*N($G159))</f>
        <v/>
      </c>
      <c r="K159" s="20">
        <f>IF($B159="","",N($F159)*N($H159))</f>
        <v/>
      </c>
      <c r="L159" s="20">
        <f>IF($B159="","",N($F159)*N($I159))</f>
        <v/>
      </c>
    </row>
    <row r="160">
      <c r="A160" s="30" t="n"/>
      <c r="B160" s="30" t="n"/>
      <c r="C160" s="18">
        <f>IF($B160="","",IFERROR(VLOOKUP($B160,단가마스터!$A$4:$H$303,2,FALSE),"⚠️단가마스터에 없음"))</f>
        <v/>
      </c>
      <c r="D160" s="18">
        <f>IF($B160="","",IFERROR(VLOOKUP($B160,단가마스터!$A$4:$H$303,3,FALSE),""))</f>
        <v/>
      </c>
      <c r="E160" s="18">
        <f>IF($B160="","",IFERROR(VLOOKUP($B160,단가마스터!$A$4:$H$303,4,FALSE),""))</f>
        <v/>
      </c>
      <c r="F160" s="30" t="n"/>
      <c r="G160" s="20">
        <f>IF($B160="","",IFERROR(VLOOKUP($B160,단가마스터!$A$4:$H$303,5,FALSE),0))</f>
        <v/>
      </c>
      <c r="H160" s="20">
        <f>IF($B160="","",IFERROR(VLOOKUP($B160,단가마스터!$A$4:$H$303,6,FALSE),0))</f>
        <v/>
      </c>
      <c r="I160" s="20">
        <f>IF($B160="","",IFERROR(VLOOKUP($B160,단가마스터!$A$4:$H$303,7,FALSE),0))</f>
        <v/>
      </c>
      <c r="J160" s="20">
        <f>IF($B160="","",N($F160)*N($G160))</f>
        <v/>
      </c>
      <c r="K160" s="20">
        <f>IF($B160="","",N($F160)*N($H160))</f>
        <v/>
      </c>
      <c r="L160" s="20">
        <f>IF($B160="","",N($F160)*N($I160))</f>
        <v/>
      </c>
    </row>
    <row r="161">
      <c r="A161" s="30" t="n"/>
      <c r="B161" s="30" t="n"/>
      <c r="C161" s="18">
        <f>IF($B161="","",IFERROR(VLOOKUP($B161,단가마스터!$A$4:$H$303,2,FALSE),"⚠️단가마스터에 없음"))</f>
        <v/>
      </c>
      <c r="D161" s="18">
        <f>IF($B161="","",IFERROR(VLOOKUP($B161,단가마스터!$A$4:$H$303,3,FALSE),""))</f>
        <v/>
      </c>
      <c r="E161" s="18">
        <f>IF($B161="","",IFERROR(VLOOKUP($B161,단가마스터!$A$4:$H$303,4,FALSE),""))</f>
        <v/>
      </c>
      <c r="F161" s="30" t="n"/>
      <c r="G161" s="20">
        <f>IF($B161="","",IFERROR(VLOOKUP($B161,단가마스터!$A$4:$H$303,5,FALSE),0))</f>
        <v/>
      </c>
      <c r="H161" s="20">
        <f>IF($B161="","",IFERROR(VLOOKUP($B161,단가마스터!$A$4:$H$303,6,FALSE),0))</f>
        <v/>
      </c>
      <c r="I161" s="20">
        <f>IF($B161="","",IFERROR(VLOOKUP($B161,단가마스터!$A$4:$H$303,7,FALSE),0))</f>
        <v/>
      </c>
      <c r="J161" s="20">
        <f>IF($B161="","",N($F161)*N($G161))</f>
        <v/>
      </c>
      <c r="K161" s="20">
        <f>IF($B161="","",N($F161)*N($H161))</f>
        <v/>
      </c>
      <c r="L161" s="20">
        <f>IF($B161="","",N($F161)*N($I161))</f>
        <v/>
      </c>
    </row>
    <row r="162">
      <c r="A162" s="30" t="n"/>
      <c r="B162" s="30" t="n"/>
      <c r="C162" s="18">
        <f>IF($B162="","",IFERROR(VLOOKUP($B162,단가마스터!$A$4:$H$303,2,FALSE),"⚠️단가마스터에 없음"))</f>
        <v/>
      </c>
      <c r="D162" s="18">
        <f>IF($B162="","",IFERROR(VLOOKUP($B162,단가마스터!$A$4:$H$303,3,FALSE),""))</f>
        <v/>
      </c>
      <c r="E162" s="18">
        <f>IF($B162="","",IFERROR(VLOOKUP($B162,단가마스터!$A$4:$H$303,4,FALSE),""))</f>
        <v/>
      </c>
      <c r="F162" s="30" t="n"/>
      <c r="G162" s="20">
        <f>IF($B162="","",IFERROR(VLOOKUP($B162,단가마스터!$A$4:$H$303,5,FALSE),0))</f>
        <v/>
      </c>
      <c r="H162" s="20">
        <f>IF($B162="","",IFERROR(VLOOKUP($B162,단가마스터!$A$4:$H$303,6,FALSE),0))</f>
        <v/>
      </c>
      <c r="I162" s="20">
        <f>IF($B162="","",IFERROR(VLOOKUP($B162,단가마스터!$A$4:$H$303,7,FALSE),0))</f>
        <v/>
      </c>
      <c r="J162" s="20">
        <f>IF($B162="","",N($F162)*N($G162))</f>
        <v/>
      </c>
      <c r="K162" s="20">
        <f>IF($B162="","",N($F162)*N($H162))</f>
        <v/>
      </c>
      <c r="L162" s="20">
        <f>IF($B162="","",N($F162)*N($I162))</f>
        <v/>
      </c>
    </row>
    <row r="163">
      <c r="A163" s="30" t="n"/>
      <c r="B163" s="30" t="n"/>
      <c r="C163" s="18">
        <f>IF($B163="","",IFERROR(VLOOKUP($B163,단가마스터!$A$4:$H$303,2,FALSE),"⚠️단가마스터에 없음"))</f>
        <v/>
      </c>
      <c r="D163" s="18">
        <f>IF($B163="","",IFERROR(VLOOKUP($B163,단가마스터!$A$4:$H$303,3,FALSE),""))</f>
        <v/>
      </c>
      <c r="E163" s="18">
        <f>IF($B163="","",IFERROR(VLOOKUP($B163,단가마스터!$A$4:$H$303,4,FALSE),""))</f>
        <v/>
      </c>
      <c r="F163" s="30" t="n"/>
      <c r="G163" s="20">
        <f>IF($B163="","",IFERROR(VLOOKUP($B163,단가마스터!$A$4:$H$303,5,FALSE),0))</f>
        <v/>
      </c>
      <c r="H163" s="20">
        <f>IF($B163="","",IFERROR(VLOOKUP($B163,단가마스터!$A$4:$H$303,6,FALSE),0))</f>
        <v/>
      </c>
      <c r="I163" s="20">
        <f>IF($B163="","",IFERROR(VLOOKUP($B163,단가마스터!$A$4:$H$303,7,FALSE),0))</f>
        <v/>
      </c>
      <c r="J163" s="20">
        <f>IF($B163="","",N($F163)*N($G163))</f>
        <v/>
      </c>
      <c r="K163" s="20">
        <f>IF($B163="","",N($F163)*N($H163))</f>
        <v/>
      </c>
      <c r="L163" s="20">
        <f>IF($B163="","",N($F163)*N($I163))</f>
        <v/>
      </c>
    </row>
    <row r="164">
      <c r="A164" s="30" t="n"/>
      <c r="B164" s="30" t="n"/>
      <c r="C164" s="18">
        <f>IF($B164="","",IFERROR(VLOOKUP($B164,단가마스터!$A$4:$H$303,2,FALSE),"⚠️단가마스터에 없음"))</f>
        <v/>
      </c>
      <c r="D164" s="18">
        <f>IF($B164="","",IFERROR(VLOOKUP($B164,단가마스터!$A$4:$H$303,3,FALSE),""))</f>
        <v/>
      </c>
      <c r="E164" s="18">
        <f>IF($B164="","",IFERROR(VLOOKUP($B164,단가마스터!$A$4:$H$303,4,FALSE),""))</f>
        <v/>
      </c>
      <c r="F164" s="30" t="n"/>
      <c r="G164" s="20">
        <f>IF($B164="","",IFERROR(VLOOKUP($B164,단가마스터!$A$4:$H$303,5,FALSE),0))</f>
        <v/>
      </c>
      <c r="H164" s="20">
        <f>IF($B164="","",IFERROR(VLOOKUP($B164,단가마스터!$A$4:$H$303,6,FALSE),0))</f>
        <v/>
      </c>
      <c r="I164" s="20">
        <f>IF($B164="","",IFERROR(VLOOKUP($B164,단가마스터!$A$4:$H$303,7,FALSE),0))</f>
        <v/>
      </c>
      <c r="J164" s="20">
        <f>IF($B164="","",N($F164)*N($G164))</f>
        <v/>
      </c>
      <c r="K164" s="20">
        <f>IF($B164="","",N($F164)*N($H164))</f>
        <v/>
      </c>
      <c r="L164" s="20">
        <f>IF($B164="","",N($F164)*N($I164))</f>
        <v/>
      </c>
    </row>
    <row r="165">
      <c r="A165" s="30" t="n"/>
      <c r="B165" s="30" t="n"/>
      <c r="C165" s="18">
        <f>IF($B165="","",IFERROR(VLOOKUP($B165,단가마스터!$A$4:$H$303,2,FALSE),"⚠️단가마스터에 없음"))</f>
        <v/>
      </c>
      <c r="D165" s="18">
        <f>IF($B165="","",IFERROR(VLOOKUP($B165,단가마스터!$A$4:$H$303,3,FALSE),""))</f>
        <v/>
      </c>
      <c r="E165" s="18">
        <f>IF($B165="","",IFERROR(VLOOKUP($B165,단가마스터!$A$4:$H$303,4,FALSE),""))</f>
        <v/>
      </c>
      <c r="F165" s="30" t="n"/>
      <c r="G165" s="20">
        <f>IF($B165="","",IFERROR(VLOOKUP($B165,단가마스터!$A$4:$H$303,5,FALSE),0))</f>
        <v/>
      </c>
      <c r="H165" s="20">
        <f>IF($B165="","",IFERROR(VLOOKUP($B165,단가마스터!$A$4:$H$303,6,FALSE),0))</f>
        <v/>
      </c>
      <c r="I165" s="20">
        <f>IF($B165="","",IFERROR(VLOOKUP($B165,단가마스터!$A$4:$H$303,7,FALSE),0))</f>
        <v/>
      </c>
      <c r="J165" s="20">
        <f>IF($B165="","",N($F165)*N($G165))</f>
        <v/>
      </c>
      <c r="K165" s="20">
        <f>IF($B165="","",N($F165)*N($H165))</f>
        <v/>
      </c>
      <c r="L165" s="20">
        <f>IF($B165="","",N($F165)*N($I165))</f>
        <v/>
      </c>
    </row>
    <row r="166">
      <c r="A166" s="30" t="n"/>
      <c r="B166" s="30" t="n"/>
      <c r="C166" s="18">
        <f>IF($B166="","",IFERROR(VLOOKUP($B166,단가마스터!$A$4:$H$303,2,FALSE),"⚠️단가마스터에 없음"))</f>
        <v/>
      </c>
      <c r="D166" s="18">
        <f>IF($B166="","",IFERROR(VLOOKUP($B166,단가마스터!$A$4:$H$303,3,FALSE),""))</f>
        <v/>
      </c>
      <c r="E166" s="18">
        <f>IF($B166="","",IFERROR(VLOOKUP($B166,단가마스터!$A$4:$H$303,4,FALSE),""))</f>
        <v/>
      </c>
      <c r="F166" s="30" t="n"/>
      <c r="G166" s="20">
        <f>IF($B166="","",IFERROR(VLOOKUP($B166,단가마스터!$A$4:$H$303,5,FALSE),0))</f>
        <v/>
      </c>
      <c r="H166" s="20">
        <f>IF($B166="","",IFERROR(VLOOKUP($B166,단가마스터!$A$4:$H$303,6,FALSE),0))</f>
        <v/>
      </c>
      <c r="I166" s="20">
        <f>IF($B166="","",IFERROR(VLOOKUP($B166,단가마스터!$A$4:$H$303,7,FALSE),0))</f>
        <v/>
      </c>
      <c r="J166" s="20">
        <f>IF($B166="","",N($F166)*N($G166))</f>
        <v/>
      </c>
      <c r="K166" s="20">
        <f>IF($B166="","",N($F166)*N($H166))</f>
        <v/>
      </c>
      <c r="L166" s="20">
        <f>IF($B166="","",N($F166)*N($I166))</f>
        <v/>
      </c>
    </row>
    <row r="167">
      <c r="A167" s="30" t="n"/>
      <c r="B167" s="30" t="n"/>
      <c r="C167" s="18">
        <f>IF($B167="","",IFERROR(VLOOKUP($B167,단가마스터!$A$4:$H$303,2,FALSE),"⚠️단가마스터에 없음"))</f>
        <v/>
      </c>
      <c r="D167" s="18">
        <f>IF($B167="","",IFERROR(VLOOKUP($B167,단가마스터!$A$4:$H$303,3,FALSE),""))</f>
        <v/>
      </c>
      <c r="E167" s="18">
        <f>IF($B167="","",IFERROR(VLOOKUP($B167,단가마스터!$A$4:$H$303,4,FALSE),""))</f>
        <v/>
      </c>
      <c r="F167" s="30" t="n"/>
      <c r="G167" s="20">
        <f>IF($B167="","",IFERROR(VLOOKUP($B167,단가마스터!$A$4:$H$303,5,FALSE),0))</f>
        <v/>
      </c>
      <c r="H167" s="20">
        <f>IF($B167="","",IFERROR(VLOOKUP($B167,단가마스터!$A$4:$H$303,6,FALSE),0))</f>
        <v/>
      </c>
      <c r="I167" s="20">
        <f>IF($B167="","",IFERROR(VLOOKUP($B167,단가마스터!$A$4:$H$303,7,FALSE),0))</f>
        <v/>
      </c>
      <c r="J167" s="20">
        <f>IF($B167="","",N($F167)*N($G167))</f>
        <v/>
      </c>
      <c r="K167" s="20">
        <f>IF($B167="","",N($F167)*N($H167))</f>
        <v/>
      </c>
      <c r="L167" s="20">
        <f>IF($B167="","",N($F167)*N($I167))</f>
        <v/>
      </c>
    </row>
    <row r="168">
      <c r="A168" s="30" t="n"/>
      <c r="B168" s="30" t="n"/>
      <c r="C168" s="18">
        <f>IF($B168="","",IFERROR(VLOOKUP($B168,단가마스터!$A$4:$H$303,2,FALSE),"⚠️단가마스터에 없음"))</f>
        <v/>
      </c>
      <c r="D168" s="18">
        <f>IF($B168="","",IFERROR(VLOOKUP($B168,단가마스터!$A$4:$H$303,3,FALSE),""))</f>
        <v/>
      </c>
      <c r="E168" s="18">
        <f>IF($B168="","",IFERROR(VLOOKUP($B168,단가마스터!$A$4:$H$303,4,FALSE),""))</f>
        <v/>
      </c>
      <c r="F168" s="30" t="n"/>
      <c r="G168" s="20">
        <f>IF($B168="","",IFERROR(VLOOKUP($B168,단가마스터!$A$4:$H$303,5,FALSE),0))</f>
        <v/>
      </c>
      <c r="H168" s="20">
        <f>IF($B168="","",IFERROR(VLOOKUP($B168,단가마스터!$A$4:$H$303,6,FALSE),0))</f>
        <v/>
      </c>
      <c r="I168" s="20">
        <f>IF($B168="","",IFERROR(VLOOKUP($B168,단가마스터!$A$4:$H$303,7,FALSE),0))</f>
        <v/>
      </c>
      <c r="J168" s="20">
        <f>IF($B168="","",N($F168)*N($G168))</f>
        <v/>
      </c>
      <c r="K168" s="20">
        <f>IF($B168="","",N($F168)*N($H168))</f>
        <v/>
      </c>
      <c r="L168" s="20">
        <f>IF($B168="","",N($F168)*N($I168))</f>
        <v/>
      </c>
    </row>
    <row r="169">
      <c r="A169" s="30" t="n"/>
      <c r="B169" s="30" t="n"/>
      <c r="C169" s="18">
        <f>IF($B169="","",IFERROR(VLOOKUP($B169,단가마스터!$A$4:$H$303,2,FALSE),"⚠️단가마스터에 없음"))</f>
        <v/>
      </c>
      <c r="D169" s="18">
        <f>IF($B169="","",IFERROR(VLOOKUP($B169,단가마스터!$A$4:$H$303,3,FALSE),""))</f>
        <v/>
      </c>
      <c r="E169" s="18">
        <f>IF($B169="","",IFERROR(VLOOKUP($B169,단가마스터!$A$4:$H$303,4,FALSE),""))</f>
        <v/>
      </c>
      <c r="F169" s="30" t="n"/>
      <c r="G169" s="20">
        <f>IF($B169="","",IFERROR(VLOOKUP($B169,단가마스터!$A$4:$H$303,5,FALSE),0))</f>
        <v/>
      </c>
      <c r="H169" s="20">
        <f>IF($B169="","",IFERROR(VLOOKUP($B169,단가마스터!$A$4:$H$303,6,FALSE),0))</f>
        <v/>
      </c>
      <c r="I169" s="20">
        <f>IF($B169="","",IFERROR(VLOOKUP($B169,단가마스터!$A$4:$H$303,7,FALSE),0))</f>
        <v/>
      </c>
      <c r="J169" s="20">
        <f>IF($B169="","",N($F169)*N($G169))</f>
        <v/>
      </c>
      <c r="K169" s="20">
        <f>IF($B169="","",N($F169)*N($H169))</f>
        <v/>
      </c>
      <c r="L169" s="20">
        <f>IF($B169="","",N($F169)*N($I169))</f>
        <v/>
      </c>
    </row>
    <row r="170">
      <c r="A170" s="30" t="n"/>
      <c r="B170" s="30" t="n"/>
      <c r="C170" s="18">
        <f>IF($B170="","",IFERROR(VLOOKUP($B170,단가마스터!$A$4:$H$303,2,FALSE),"⚠️단가마스터에 없음"))</f>
        <v/>
      </c>
      <c r="D170" s="18">
        <f>IF($B170="","",IFERROR(VLOOKUP($B170,단가마스터!$A$4:$H$303,3,FALSE),""))</f>
        <v/>
      </c>
      <c r="E170" s="18">
        <f>IF($B170="","",IFERROR(VLOOKUP($B170,단가마스터!$A$4:$H$303,4,FALSE),""))</f>
        <v/>
      </c>
      <c r="F170" s="30" t="n"/>
      <c r="G170" s="20">
        <f>IF($B170="","",IFERROR(VLOOKUP($B170,단가마스터!$A$4:$H$303,5,FALSE),0))</f>
        <v/>
      </c>
      <c r="H170" s="20">
        <f>IF($B170="","",IFERROR(VLOOKUP($B170,단가마스터!$A$4:$H$303,6,FALSE),0))</f>
        <v/>
      </c>
      <c r="I170" s="20">
        <f>IF($B170="","",IFERROR(VLOOKUP($B170,단가마스터!$A$4:$H$303,7,FALSE),0))</f>
        <v/>
      </c>
      <c r="J170" s="20">
        <f>IF($B170="","",N($F170)*N($G170))</f>
        <v/>
      </c>
      <c r="K170" s="20">
        <f>IF($B170="","",N($F170)*N($H170))</f>
        <v/>
      </c>
      <c r="L170" s="20">
        <f>IF($B170="","",N($F170)*N($I170))</f>
        <v/>
      </c>
    </row>
    <row r="171">
      <c r="A171" s="30" t="n"/>
      <c r="B171" s="30" t="n"/>
      <c r="C171" s="18">
        <f>IF($B171="","",IFERROR(VLOOKUP($B171,단가마스터!$A$4:$H$303,2,FALSE),"⚠️단가마스터에 없음"))</f>
        <v/>
      </c>
      <c r="D171" s="18">
        <f>IF($B171="","",IFERROR(VLOOKUP($B171,단가마스터!$A$4:$H$303,3,FALSE),""))</f>
        <v/>
      </c>
      <c r="E171" s="18">
        <f>IF($B171="","",IFERROR(VLOOKUP($B171,단가마스터!$A$4:$H$303,4,FALSE),""))</f>
        <v/>
      </c>
      <c r="F171" s="30" t="n"/>
      <c r="G171" s="20">
        <f>IF($B171="","",IFERROR(VLOOKUP($B171,단가마스터!$A$4:$H$303,5,FALSE),0))</f>
        <v/>
      </c>
      <c r="H171" s="20">
        <f>IF($B171="","",IFERROR(VLOOKUP($B171,단가마스터!$A$4:$H$303,6,FALSE),0))</f>
        <v/>
      </c>
      <c r="I171" s="20">
        <f>IF($B171="","",IFERROR(VLOOKUP($B171,단가마스터!$A$4:$H$303,7,FALSE),0))</f>
        <v/>
      </c>
      <c r="J171" s="20">
        <f>IF($B171="","",N($F171)*N($G171))</f>
        <v/>
      </c>
      <c r="K171" s="20">
        <f>IF($B171="","",N($F171)*N($H171))</f>
        <v/>
      </c>
      <c r="L171" s="20">
        <f>IF($B171="","",N($F171)*N($I171))</f>
        <v/>
      </c>
    </row>
    <row r="172">
      <c r="A172" s="30" t="n"/>
      <c r="B172" s="30" t="n"/>
      <c r="C172" s="18">
        <f>IF($B172="","",IFERROR(VLOOKUP($B172,단가마스터!$A$4:$H$303,2,FALSE),"⚠️단가마스터에 없음"))</f>
        <v/>
      </c>
      <c r="D172" s="18">
        <f>IF($B172="","",IFERROR(VLOOKUP($B172,단가마스터!$A$4:$H$303,3,FALSE),""))</f>
        <v/>
      </c>
      <c r="E172" s="18">
        <f>IF($B172="","",IFERROR(VLOOKUP($B172,단가마스터!$A$4:$H$303,4,FALSE),""))</f>
        <v/>
      </c>
      <c r="F172" s="30" t="n"/>
      <c r="G172" s="20">
        <f>IF($B172="","",IFERROR(VLOOKUP($B172,단가마스터!$A$4:$H$303,5,FALSE),0))</f>
        <v/>
      </c>
      <c r="H172" s="20">
        <f>IF($B172="","",IFERROR(VLOOKUP($B172,단가마스터!$A$4:$H$303,6,FALSE),0))</f>
        <v/>
      </c>
      <c r="I172" s="20">
        <f>IF($B172="","",IFERROR(VLOOKUP($B172,단가마스터!$A$4:$H$303,7,FALSE),0))</f>
        <v/>
      </c>
      <c r="J172" s="20">
        <f>IF($B172="","",N($F172)*N($G172))</f>
        <v/>
      </c>
      <c r="K172" s="20">
        <f>IF($B172="","",N($F172)*N($H172))</f>
        <v/>
      </c>
      <c r="L172" s="20">
        <f>IF($B172="","",N($F172)*N($I172))</f>
        <v/>
      </c>
    </row>
    <row r="173">
      <c r="A173" s="30" t="n"/>
      <c r="B173" s="30" t="n"/>
      <c r="C173" s="18">
        <f>IF($B173="","",IFERROR(VLOOKUP($B173,단가마스터!$A$4:$H$303,2,FALSE),"⚠️단가마스터에 없음"))</f>
        <v/>
      </c>
      <c r="D173" s="18">
        <f>IF($B173="","",IFERROR(VLOOKUP($B173,단가마스터!$A$4:$H$303,3,FALSE),""))</f>
        <v/>
      </c>
      <c r="E173" s="18">
        <f>IF($B173="","",IFERROR(VLOOKUP($B173,단가마스터!$A$4:$H$303,4,FALSE),""))</f>
        <v/>
      </c>
      <c r="F173" s="30" t="n"/>
      <c r="G173" s="20">
        <f>IF($B173="","",IFERROR(VLOOKUP($B173,단가마스터!$A$4:$H$303,5,FALSE),0))</f>
        <v/>
      </c>
      <c r="H173" s="20">
        <f>IF($B173="","",IFERROR(VLOOKUP($B173,단가마스터!$A$4:$H$303,6,FALSE),0))</f>
        <v/>
      </c>
      <c r="I173" s="20">
        <f>IF($B173="","",IFERROR(VLOOKUP($B173,단가마스터!$A$4:$H$303,7,FALSE),0))</f>
        <v/>
      </c>
      <c r="J173" s="20">
        <f>IF($B173="","",N($F173)*N($G173))</f>
        <v/>
      </c>
      <c r="K173" s="20">
        <f>IF($B173="","",N($F173)*N($H173))</f>
        <v/>
      </c>
      <c r="L173" s="20">
        <f>IF($B173="","",N($F173)*N($I173))</f>
        <v/>
      </c>
    </row>
    <row r="174">
      <c r="A174" s="30" t="n"/>
      <c r="B174" s="30" t="n"/>
      <c r="C174" s="18">
        <f>IF($B174="","",IFERROR(VLOOKUP($B174,단가마스터!$A$4:$H$303,2,FALSE),"⚠️단가마스터에 없음"))</f>
        <v/>
      </c>
      <c r="D174" s="18">
        <f>IF($B174="","",IFERROR(VLOOKUP($B174,단가마스터!$A$4:$H$303,3,FALSE),""))</f>
        <v/>
      </c>
      <c r="E174" s="18">
        <f>IF($B174="","",IFERROR(VLOOKUP($B174,단가마스터!$A$4:$H$303,4,FALSE),""))</f>
        <v/>
      </c>
      <c r="F174" s="30" t="n"/>
      <c r="G174" s="20">
        <f>IF($B174="","",IFERROR(VLOOKUP($B174,단가마스터!$A$4:$H$303,5,FALSE),0))</f>
        <v/>
      </c>
      <c r="H174" s="20">
        <f>IF($B174="","",IFERROR(VLOOKUP($B174,단가마스터!$A$4:$H$303,6,FALSE),0))</f>
        <v/>
      </c>
      <c r="I174" s="20">
        <f>IF($B174="","",IFERROR(VLOOKUP($B174,단가마스터!$A$4:$H$303,7,FALSE),0))</f>
        <v/>
      </c>
      <c r="J174" s="20">
        <f>IF($B174="","",N($F174)*N($G174))</f>
        <v/>
      </c>
      <c r="K174" s="20">
        <f>IF($B174="","",N($F174)*N($H174))</f>
        <v/>
      </c>
      <c r="L174" s="20">
        <f>IF($B174="","",N($F174)*N($I174))</f>
        <v/>
      </c>
    </row>
    <row r="175">
      <c r="A175" s="30" t="n"/>
      <c r="B175" s="30" t="n"/>
      <c r="C175" s="18">
        <f>IF($B175="","",IFERROR(VLOOKUP($B175,단가마스터!$A$4:$H$303,2,FALSE),"⚠️단가마스터에 없음"))</f>
        <v/>
      </c>
      <c r="D175" s="18">
        <f>IF($B175="","",IFERROR(VLOOKUP($B175,단가마스터!$A$4:$H$303,3,FALSE),""))</f>
        <v/>
      </c>
      <c r="E175" s="18">
        <f>IF($B175="","",IFERROR(VLOOKUP($B175,단가마스터!$A$4:$H$303,4,FALSE),""))</f>
        <v/>
      </c>
      <c r="F175" s="30" t="n"/>
      <c r="G175" s="20">
        <f>IF($B175="","",IFERROR(VLOOKUP($B175,단가마스터!$A$4:$H$303,5,FALSE),0))</f>
        <v/>
      </c>
      <c r="H175" s="20">
        <f>IF($B175="","",IFERROR(VLOOKUP($B175,단가마스터!$A$4:$H$303,6,FALSE),0))</f>
        <v/>
      </c>
      <c r="I175" s="20">
        <f>IF($B175="","",IFERROR(VLOOKUP($B175,단가마스터!$A$4:$H$303,7,FALSE),0))</f>
        <v/>
      </c>
      <c r="J175" s="20">
        <f>IF($B175="","",N($F175)*N($G175))</f>
        <v/>
      </c>
      <c r="K175" s="20">
        <f>IF($B175="","",N($F175)*N($H175))</f>
        <v/>
      </c>
      <c r="L175" s="20">
        <f>IF($B175="","",N($F175)*N($I175))</f>
        <v/>
      </c>
    </row>
    <row r="176">
      <c r="A176" s="30" t="n"/>
      <c r="B176" s="30" t="n"/>
      <c r="C176" s="18">
        <f>IF($B176="","",IFERROR(VLOOKUP($B176,단가마스터!$A$4:$H$303,2,FALSE),"⚠️단가마스터에 없음"))</f>
        <v/>
      </c>
      <c r="D176" s="18">
        <f>IF($B176="","",IFERROR(VLOOKUP($B176,단가마스터!$A$4:$H$303,3,FALSE),""))</f>
        <v/>
      </c>
      <c r="E176" s="18">
        <f>IF($B176="","",IFERROR(VLOOKUP($B176,단가마스터!$A$4:$H$303,4,FALSE),""))</f>
        <v/>
      </c>
      <c r="F176" s="30" t="n"/>
      <c r="G176" s="20">
        <f>IF($B176="","",IFERROR(VLOOKUP($B176,단가마스터!$A$4:$H$303,5,FALSE),0))</f>
        <v/>
      </c>
      <c r="H176" s="20">
        <f>IF($B176="","",IFERROR(VLOOKUP($B176,단가마스터!$A$4:$H$303,6,FALSE),0))</f>
        <v/>
      </c>
      <c r="I176" s="20">
        <f>IF($B176="","",IFERROR(VLOOKUP($B176,단가마스터!$A$4:$H$303,7,FALSE),0))</f>
        <v/>
      </c>
      <c r="J176" s="20">
        <f>IF($B176="","",N($F176)*N($G176))</f>
        <v/>
      </c>
      <c r="K176" s="20">
        <f>IF($B176="","",N($F176)*N($H176))</f>
        <v/>
      </c>
      <c r="L176" s="20">
        <f>IF($B176="","",N($F176)*N($I176))</f>
        <v/>
      </c>
    </row>
    <row r="177">
      <c r="A177" s="30" t="n"/>
      <c r="B177" s="30" t="n"/>
      <c r="C177" s="18">
        <f>IF($B177="","",IFERROR(VLOOKUP($B177,단가마스터!$A$4:$H$303,2,FALSE),"⚠️단가마스터에 없음"))</f>
        <v/>
      </c>
      <c r="D177" s="18">
        <f>IF($B177="","",IFERROR(VLOOKUP($B177,단가마스터!$A$4:$H$303,3,FALSE),""))</f>
        <v/>
      </c>
      <c r="E177" s="18">
        <f>IF($B177="","",IFERROR(VLOOKUP($B177,단가마스터!$A$4:$H$303,4,FALSE),""))</f>
        <v/>
      </c>
      <c r="F177" s="30" t="n"/>
      <c r="G177" s="20">
        <f>IF($B177="","",IFERROR(VLOOKUP($B177,단가마스터!$A$4:$H$303,5,FALSE),0))</f>
        <v/>
      </c>
      <c r="H177" s="20">
        <f>IF($B177="","",IFERROR(VLOOKUP($B177,단가마스터!$A$4:$H$303,6,FALSE),0))</f>
        <v/>
      </c>
      <c r="I177" s="20">
        <f>IF($B177="","",IFERROR(VLOOKUP($B177,단가마스터!$A$4:$H$303,7,FALSE),0))</f>
        <v/>
      </c>
      <c r="J177" s="20">
        <f>IF($B177="","",N($F177)*N($G177))</f>
        <v/>
      </c>
      <c r="K177" s="20">
        <f>IF($B177="","",N($F177)*N($H177))</f>
        <v/>
      </c>
      <c r="L177" s="20">
        <f>IF($B177="","",N($F177)*N($I177))</f>
        <v/>
      </c>
    </row>
    <row r="178">
      <c r="A178" s="30" t="n"/>
      <c r="B178" s="30" t="n"/>
      <c r="C178" s="18">
        <f>IF($B178="","",IFERROR(VLOOKUP($B178,단가마스터!$A$4:$H$303,2,FALSE),"⚠️단가마스터에 없음"))</f>
        <v/>
      </c>
      <c r="D178" s="18">
        <f>IF($B178="","",IFERROR(VLOOKUP($B178,단가마스터!$A$4:$H$303,3,FALSE),""))</f>
        <v/>
      </c>
      <c r="E178" s="18">
        <f>IF($B178="","",IFERROR(VLOOKUP($B178,단가마스터!$A$4:$H$303,4,FALSE),""))</f>
        <v/>
      </c>
      <c r="F178" s="30" t="n"/>
      <c r="G178" s="20">
        <f>IF($B178="","",IFERROR(VLOOKUP($B178,단가마스터!$A$4:$H$303,5,FALSE),0))</f>
        <v/>
      </c>
      <c r="H178" s="20">
        <f>IF($B178="","",IFERROR(VLOOKUP($B178,단가마스터!$A$4:$H$303,6,FALSE),0))</f>
        <v/>
      </c>
      <c r="I178" s="20">
        <f>IF($B178="","",IFERROR(VLOOKUP($B178,단가마스터!$A$4:$H$303,7,FALSE),0))</f>
        <v/>
      </c>
      <c r="J178" s="20">
        <f>IF($B178="","",N($F178)*N($G178))</f>
        <v/>
      </c>
      <c r="K178" s="20">
        <f>IF($B178="","",N($F178)*N($H178))</f>
        <v/>
      </c>
      <c r="L178" s="20">
        <f>IF($B178="","",N($F178)*N($I178))</f>
        <v/>
      </c>
    </row>
    <row r="179">
      <c r="A179" s="30" t="n"/>
      <c r="B179" s="30" t="n"/>
      <c r="C179" s="18">
        <f>IF($B179="","",IFERROR(VLOOKUP($B179,단가마스터!$A$4:$H$303,2,FALSE),"⚠️단가마스터에 없음"))</f>
        <v/>
      </c>
      <c r="D179" s="18">
        <f>IF($B179="","",IFERROR(VLOOKUP($B179,단가마스터!$A$4:$H$303,3,FALSE),""))</f>
        <v/>
      </c>
      <c r="E179" s="18">
        <f>IF($B179="","",IFERROR(VLOOKUP($B179,단가마스터!$A$4:$H$303,4,FALSE),""))</f>
        <v/>
      </c>
      <c r="F179" s="30" t="n"/>
      <c r="G179" s="20">
        <f>IF($B179="","",IFERROR(VLOOKUP($B179,단가마스터!$A$4:$H$303,5,FALSE),0))</f>
        <v/>
      </c>
      <c r="H179" s="20">
        <f>IF($B179="","",IFERROR(VLOOKUP($B179,단가마스터!$A$4:$H$303,6,FALSE),0))</f>
        <v/>
      </c>
      <c r="I179" s="20">
        <f>IF($B179="","",IFERROR(VLOOKUP($B179,단가마스터!$A$4:$H$303,7,FALSE),0))</f>
        <v/>
      </c>
      <c r="J179" s="20">
        <f>IF($B179="","",N($F179)*N($G179))</f>
        <v/>
      </c>
      <c r="K179" s="20">
        <f>IF($B179="","",N($F179)*N($H179))</f>
        <v/>
      </c>
      <c r="L179" s="20">
        <f>IF($B179="","",N($F179)*N($I179))</f>
        <v/>
      </c>
    </row>
    <row r="180">
      <c r="A180" s="30" t="n"/>
      <c r="B180" s="30" t="n"/>
      <c r="C180" s="18">
        <f>IF($B180="","",IFERROR(VLOOKUP($B180,단가마스터!$A$4:$H$303,2,FALSE),"⚠️단가마스터에 없음"))</f>
        <v/>
      </c>
      <c r="D180" s="18">
        <f>IF($B180="","",IFERROR(VLOOKUP($B180,단가마스터!$A$4:$H$303,3,FALSE),""))</f>
        <v/>
      </c>
      <c r="E180" s="18">
        <f>IF($B180="","",IFERROR(VLOOKUP($B180,단가마스터!$A$4:$H$303,4,FALSE),""))</f>
        <v/>
      </c>
      <c r="F180" s="30" t="n"/>
      <c r="G180" s="20">
        <f>IF($B180="","",IFERROR(VLOOKUP($B180,단가마스터!$A$4:$H$303,5,FALSE),0))</f>
        <v/>
      </c>
      <c r="H180" s="20">
        <f>IF($B180="","",IFERROR(VLOOKUP($B180,단가마스터!$A$4:$H$303,6,FALSE),0))</f>
        <v/>
      </c>
      <c r="I180" s="20">
        <f>IF($B180="","",IFERROR(VLOOKUP($B180,단가마스터!$A$4:$H$303,7,FALSE),0))</f>
        <v/>
      </c>
      <c r="J180" s="20">
        <f>IF($B180="","",N($F180)*N($G180))</f>
        <v/>
      </c>
      <c r="K180" s="20">
        <f>IF($B180="","",N($F180)*N($H180))</f>
        <v/>
      </c>
      <c r="L180" s="20">
        <f>IF($B180="","",N($F180)*N($I180))</f>
        <v/>
      </c>
    </row>
    <row r="181">
      <c r="A181" s="30" t="n"/>
      <c r="B181" s="30" t="n"/>
      <c r="C181" s="18">
        <f>IF($B181="","",IFERROR(VLOOKUP($B181,단가마스터!$A$4:$H$303,2,FALSE),"⚠️단가마스터에 없음"))</f>
        <v/>
      </c>
      <c r="D181" s="18">
        <f>IF($B181="","",IFERROR(VLOOKUP($B181,단가마스터!$A$4:$H$303,3,FALSE),""))</f>
        <v/>
      </c>
      <c r="E181" s="18">
        <f>IF($B181="","",IFERROR(VLOOKUP($B181,단가마스터!$A$4:$H$303,4,FALSE),""))</f>
        <v/>
      </c>
      <c r="F181" s="30" t="n"/>
      <c r="G181" s="20">
        <f>IF($B181="","",IFERROR(VLOOKUP($B181,단가마스터!$A$4:$H$303,5,FALSE),0))</f>
        <v/>
      </c>
      <c r="H181" s="20">
        <f>IF($B181="","",IFERROR(VLOOKUP($B181,단가마스터!$A$4:$H$303,6,FALSE),0))</f>
        <v/>
      </c>
      <c r="I181" s="20">
        <f>IF($B181="","",IFERROR(VLOOKUP($B181,단가마스터!$A$4:$H$303,7,FALSE),0))</f>
        <v/>
      </c>
      <c r="J181" s="20">
        <f>IF($B181="","",N($F181)*N($G181))</f>
        <v/>
      </c>
      <c r="K181" s="20">
        <f>IF($B181="","",N($F181)*N($H181))</f>
        <v/>
      </c>
      <c r="L181" s="20">
        <f>IF($B181="","",N($F181)*N($I181))</f>
        <v/>
      </c>
    </row>
    <row r="182">
      <c r="A182" s="30" t="n"/>
      <c r="B182" s="30" t="n"/>
      <c r="C182" s="18">
        <f>IF($B182="","",IFERROR(VLOOKUP($B182,단가마스터!$A$4:$H$303,2,FALSE),"⚠️단가마스터에 없음"))</f>
        <v/>
      </c>
      <c r="D182" s="18">
        <f>IF($B182="","",IFERROR(VLOOKUP($B182,단가마스터!$A$4:$H$303,3,FALSE),""))</f>
        <v/>
      </c>
      <c r="E182" s="18">
        <f>IF($B182="","",IFERROR(VLOOKUP($B182,단가마스터!$A$4:$H$303,4,FALSE),""))</f>
        <v/>
      </c>
      <c r="F182" s="30" t="n"/>
      <c r="G182" s="20">
        <f>IF($B182="","",IFERROR(VLOOKUP($B182,단가마스터!$A$4:$H$303,5,FALSE),0))</f>
        <v/>
      </c>
      <c r="H182" s="20">
        <f>IF($B182="","",IFERROR(VLOOKUP($B182,단가마스터!$A$4:$H$303,6,FALSE),0))</f>
        <v/>
      </c>
      <c r="I182" s="20">
        <f>IF($B182="","",IFERROR(VLOOKUP($B182,단가마스터!$A$4:$H$303,7,FALSE),0))</f>
        <v/>
      </c>
      <c r="J182" s="20">
        <f>IF($B182="","",N($F182)*N($G182))</f>
        <v/>
      </c>
      <c r="K182" s="20">
        <f>IF($B182="","",N($F182)*N($H182))</f>
        <v/>
      </c>
      <c r="L182" s="20">
        <f>IF($B182="","",N($F182)*N($I182))</f>
        <v/>
      </c>
    </row>
    <row r="183">
      <c r="A183" s="30" t="n"/>
      <c r="B183" s="30" t="n"/>
      <c r="C183" s="18">
        <f>IF($B183="","",IFERROR(VLOOKUP($B183,단가마스터!$A$4:$H$303,2,FALSE),"⚠️단가마스터에 없음"))</f>
        <v/>
      </c>
      <c r="D183" s="18">
        <f>IF($B183="","",IFERROR(VLOOKUP($B183,단가마스터!$A$4:$H$303,3,FALSE),""))</f>
        <v/>
      </c>
      <c r="E183" s="18">
        <f>IF($B183="","",IFERROR(VLOOKUP($B183,단가마스터!$A$4:$H$303,4,FALSE),""))</f>
        <v/>
      </c>
      <c r="F183" s="30" t="n"/>
      <c r="G183" s="20">
        <f>IF($B183="","",IFERROR(VLOOKUP($B183,단가마스터!$A$4:$H$303,5,FALSE),0))</f>
        <v/>
      </c>
      <c r="H183" s="20">
        <f>IF($B183="","",IFERROR(VLOOKUP($B183,단가마스터!$A$4:$H$303,6,FALSE),0))</f>
        <v/>
      </c>
      <c r="I183" s="20">
        <f>IF($B183="","",IFERROR(VLOOKUP($B183,단가마스터!$A$4:$H$303,7,FALSE),0))</f>
        <v/>
      </c>
      <c r="J183" s="20">
        <f>IF($B183="","",N($F183)*N($G183))</f>
        <v/>
      </c>
      <c r="K183" s="20">
        <f>IF($B183="","",N($F183)*N($H183))</f>
        <v/>
      </c>
      <c r="L183" s="20">
        <f>IF($B183="","",N($F183)*N($I183))</f>
        <v/>
      </c>
    </row>
    <row r="184">
      <c r="A184" s="30" t="n"/>
      <c r="B184" s="30" t="n"/>
      <c r="C184" s="18">
        <f>IF($B184="","",IFERROR(VLOOKUP($B184,단가마스터!$A$4:$H$303,2,FALSE),"⚠️단가마스터에 없음"))</f>
        <v/>
      </c>
      <c r="D184" s="18">
        <f>IF($B184="","",IFERROR(VLOOKUP($B184,단가마스터!$A$4:$H$303,3,FALSE),""))</f>
        <v/>
      </c>
      <c r="E184" s="18">
        <f>IF($B184="","",IFERROR(VLOOKUP($B184,단가마스터!$A$4:$H$303,4,FALSE),""))</f>
        <v/>
      </c>
      <c r="F184" s="30" t="n"/>
      <c r="G184" s="20">
        <f>IF($B184="","",IFERROR(VLOOKUP($B184,단가마스터!$A$4:$H$303,5,FALSE),0))</f>
        <v/>
      </c>
      <c r="H184" s="20">
        <f>IF($B184="","",IFERROR(VLOOKUP($B184,단가마스터!$A$4:$H$303,6,FALSE),0))</f>
        <v/>
      </c>
      <c r="I184" s="20">
        <f>IF($B184="","",IFERROR(VLOOKUP($B184,단가마스터!$A$4:$H$303,7,FALSE),0))</f>
        <v/>
      </c>
      <c r="J184" s="20">
        <f>IF($B184="","",N($F184)*N($G184))</f>
        <v/>
      </c>
      <c r="K184" s="20">
        <f>IF($B184="","",N($F184)*N($H184))</f>
        <v/>
      </c>
      <c r="L184" s="20">
        <f>IF($B184="","",N($F184)*N($I184))</f>
        <v/>
      </c>
    </row>
    <row r="185">
      <c r="A185" s="30" t="n"/>
      <c r="B185" s="30" t="n"/>
      <c r="C185" s="18">
        <f>IF($B185="","",IFERROR(VLOOKUP($B185,단가마스터!$A$4:$H$303,2,FALSE),"⚠️단가마스터에 없음"))</f>
        <v/>
      </c>
      <c r="D185" s="18">
        <f>IF($B185="","",IFERROR(VLOOKUP($B185,단가마스터!$A$4:$H$303,3,FALSE),""))</f>
        <v/>
      </c>
      <c r="E185" s="18">
        <f>IF($B185="","",IFERROR(VLOOKUP($B185,단가마스터!$A$4:$H$303,4,FALSE),""))</f>
        <v/>
      </c>
      <c r="F185" s="30" t="n"/>
      <c r="G185" s="20">
        <f>IF($B185="","",IFERROR(VLOOKUP($B185,단가마스터!$A$4:$H$303,5,FALSE),0))</f>
        <v/>
      </c>
      <c r="H185" s="20">
        <f>IF($B185="","",IFERROR(VLOOKUP($B185,단가마스터!$A$4:$H$303,6,FALSE),0))</f>
        <v/>
      </c>
      <c r="I185" s="20">
        <f>IF($B185="","",IFERROR(VLOOKUP($B185,단가마스터!$A$4:$H$303,7,FALSE),0))</f>
        <v/>
      </c>
      <c r="J185" s="20">
        <f>IF($B185="","",N($F185)*N($G185))</f>
        <v/>
      </c>
      <c r="K185" s="20">
        <f>IF($B185="","",N($F185)*N($H185))</f>
        <v/>
      </c>
      <c r="L185" s="20">
        <f>IF($B185="","",N($F185)*N($I185))</f>
        <v/>
      </c>
    </row>
    <row r="186">
      <c r="A186" s="30" t="n"/>
      <c r="B186" s="30" t="n"/>
      <c r="C186" s="18">
        <f>IF($B186="","",IFERROR(VLOOKUP($B186,단가마스터!$A$4:$H$303,2,FALSE),"⚠️단가마스터에 없음"))</f>
        <v/>
      </c>
      <c r="D186" s="18">
        <f>IF($B186="","",IFERROR(VLOOKUP($B186,단가마스터!$A$4:$H$303,3,FALSE),""))</f>
        <v/>
      </c>
      <c r="E186" s="18">
        <f>IF($B186="","",IFERROR(VLOOKUP($B186,단가마스터!$A$4:$H$303,4,FALSE),""))</f>
        <v/>
      </c>
      <c r="F186" s="30" t="n"/>
      <c r="G186" s="20">
        <f>IF($B186="","",IFERROR(VLOOKUP($B186,단가마스터!$A$4:$H$303,5,FALSE),0))</f>
        <v/>
      </c>
      <c r="H186" s="20">
        <f>IF($B186="","",IFERROR(VLOOKUP($B186,단가마스터!$A$4:$H$303,6,FALSE),0))</f>
        <v/>
      </c>
      <c r="I186" s="20">
        <f>IF($B186="","",IFERROR(VLOOKUP($B186,단가마스터!$A$4:$H$303,7,FALSE),0))</f>
        <v/>
      </c>
      <c r="J186" s="20">
        <f>IF($B186="","",N($F186)*N($G186))</f>
        <v/>
      </c>
      <c r="K186" s="20">
        <f>IF($B186="","",N($F186)*N($H186))</f>
        <v/>
      </c>
      <c r="L186" s="20">
        <f>IF($B186="","",N($F186)*N($I186))</f>
        <v/>
      </c>
    </row>
    <row r="187">
      <c r="A187" s="30" t="n"/>
      <c r="B187" s="30" t="n"/>
      <c r="C187" s="18">
        <f>IF($B187="","",IFERROR(VLOOKUP($B187,단가마스터!$A$4:$H$303,2,FALSE),"⚠️단가마스터에 없음"))</f>
        <v/>
      </c>
      <c r="D187" s="18">
        <f>IF($B187="","",IFERROR(VLOOKUP($B187,단가마스터!$A$4:$H$303,3,FALSE),""))</f>
        <v/>
      </c>
      <c r="E187" s="18">
        <f>IF($B187="","",IFERROR(VLOOKUP($B187,단가마스터!$A$4:$H$303,4,FALSE),""))</f>
        <v/>
      </c>
      <c r="F187" s="30" t="n"/>
      <c r="G187" s="20">
        <f>IF($B187="","",IFERROR(VLOOKUP($B187,단가마스터!$A$4:$H$303,5,FALSE),0))</f>
        <v/>
      </c>
      <c r="H187" s="20">
        <f>IF($B187="","",IFERROR(VLOOKUP($B187,단가마스터!$A$4:$H$303,6,FALSE),0))</f>
        <v/>
      </c>
      <c r="I187" s="20">
        <f>IF($B187="","",IFERROR(VLOOKUP($B187,단가마스터!$A$4:$H$303,7,FALSE),0))</f>
        <v/>
      </c>
      <c r="J187" s="20">
        <f>IF($B187="","",N($F187)*N($G187))</f>
        <v/>
      </c>
      <c r="K187" s="20">
        <f>IF($B187="","",N($F187)*N($H187))</f>
        <v/>
      </c>
      <c r="L187" s="20">
        <f>IF($B187="","",N($F187)*N($I187))</f>
        <v/>
      </c>
    </row>
    <row r="188">
      <c r="A188" s="30" t="n"/>
      <c r="B188" s="30" t="n"/>
      <c r="C188" s="18">
        <f>IF($B188="","",IFERROR(VLOOKUP($B188,단가마스터!$A$4:$H$303,2,FALSE),"⚠️단가마스터에 없음"))</f>
        <v/>
      </c>
      <c r="D188" s="18">
        <f>IF($B188="","",IFERROR(VLOOKUP($B188,단가마스터!$A$4:$H$303,3,FALSE),""))</f>
        <v/>
      </c>
      <c r="E188" s="18">
        <f>IF($B188="","",IFERROR(VLOOKUP($B188,단가마스터!$A$4:$H$303,4,FALSE),""))</f>
        <v/>
      </c>
      <c r="F188" s="30" t="n"/>
      <c r="G188" s="20">
        <f>IF($B188="","",IFERROR(VLOOKUP($B188,단가마스터!$A$4:$H$303,5,FALSE),0))</f>
        <v/>
      </c>
      <c r="H188" s="20">
        <f>IF($B188="","",IFERROR(VLOOKUP($B188,단가마스터!$A$4:$H$303,6,FALSE),0))</f>
        <v/>
      </c>
      <c r="I188" s="20">
        <f>IF($B188="","",IFERROR(VLOOKUP($B188,단가마스터!$A$4:$H$303,7,FALSE),0))</f>
        <v/>
      </c>
      <c r="J188" s="20">
        <f>IF($B188="","",N($F188)*N($G188))</f>
        <v/>
      </c>
      <c r="K188" s="20">
        <f>IF($B188="","",N($F188)*N($H188))</f>
        <v/>
      </c>
      <c r="L188" s="20">
        <f>IF($B188="","",N($F188)*N($I188))</f>
        <v/>
      </c>
    </row>
    <row r="189">
      <c r="A189" s="30" t="n"/>
      <c r="B189" s="30" t="n"/>
      <c r="C189" s="18">
        <f>IF($B189="","",IFERROR(VLOOKUP($B189,단가마스터!$A$4:$H$303,2,FALSE),"⚠️단가마스터에 없음"))</f>
        <v/>
      </c>
      <c r="D189" s="18">
        <f>IF($B189="","",IFERROR(VLOOKUP($B189,단가마스터!$A$4:$H$303,3,FALSE),""))</f>
        <v/>
      </c>
      <c r="E189" s="18">
        <f>IF($B189="","",IFERROR(VLOOKUP($B189,단가마스터!$A$4:$H$303,4,FALSE),""))</f>
        <v/>
      </c>
      <c r="F189" s="30" t="n"/>
      <c r="G189" s="20">
        <f>IF($B189="","",IFERROR(VLOOKUP($B189,단가마스터!$A$4:$H$303,5,FALSE),0))</f>
        <v/>
      </c>
      <c r="H189" s="20">
        <f>IF($B189="","",IFERROR(VLOOKUP($B189,단가마스터!$A$4:$H$303,6,FALSE),0))</f>
        <v/>
      </c>
      <c r="I189" s="20">
        <f>IF($B189="","",IFERROR(VLOOKUP($B189,단가마스터!$A$4:$H$303,7,FALSE),0))</f>
        <v/>
      </c>
      <c r="J189" s="20">
        <f>IF($B189="","",N($F189)*N($G189))</f>
        <v/>
      </c>
      <c r="K189" s="20">
        <f>IF($B189="","",N($F189)*N($H189))</f>
        <v/>
      </c>
      <c r="L189" s="20">
        <f>IF($B189="","",N($F189)*N($I189))</f>
        <v/>
      </c>
    </row>
    <row r="190">
      <c r="A190" s="30" t="n"/>
      <c r="B190" s="30" t="n"/>
      <c r="C190" s="18">
        <f>IF($B190="","",IFERROR(VLOOKUP($B190,단가마스터!$A$4:$H$303,2,FALSE),"⚠️단가마스터에 없음"))</f>
        <v/>
      </c>
      <c r="D190" s="18">
        <f>IF($B190="","",IFERROR(VLOOKUP($B190,단가마스터!$A$4:$H$303,3,FALSE),""))</f>
        <v/>
      </c>
      <c r="E190" s="18">
        <f>IF($B190="","",IFERROR(VLOOKUP($B190,단가마스터!$A$4:$H$303,4,FALSE),""))</f>
        <v/>
      </c>
      <c r="F190" s="30" t="n"/>
      <c r="G190" s="20">
        <f>IF($B190="","",IFERROR(VLOOKUP($B190,단가마스터!$A$4:$H$303,5,FALSE),0))</f>
        <v/>
      </c>
      <c r="H190" s="20">
        <f>IF($B190="","",IFERROR(VLOOKUP($B190,단가마스터!$A$4:$H$303,6,FALSE),0))</f>
        <v/>
      </c>
      <c r="I190" s="20">
        <f>IF($B190="","",IFERROR(VLOOKUP($B190,단가마스터!$A$4:$H$303,7,FALSE),0))</f>
        <v/>
      </c>
      <c r="J190" s="20">
        <f>IF($B190="","",N($F190)*N($G190))</f>
        <v/>
      </c>
      <c r="K190" s="20">
        <f>IF($B190="","",N($F190)*N($H190))</f>
        <v/>
      </c>
      <c r="L190" s="20">
        <f>IF($B190="","",N($F190)*N($I190))</f>
        <v/>
      </c>
    </row>
    <row r="191">
      <c r="A191" s="30" t="n"/>
      <c r="B191" s="30" t="n"/>
      <c r="C191" s="18">
        <f>IF($B191="","",IFERROR(VLOOKUP($B191,단가마스터!$A$4:$H$303,2,FALSE),"⚠️단가마스터에 없음"))</f>
        <v/>
      </c>
      <c r="D191" s="18">
        <f>IF($B191="","",IFERROR(VLOOKUP($B191,단가마스터!$A$4:$H$303,3,FALSE),""))</f>
        <v/>
      </c>
      <c r="E191" s="18">
        <f>IF($B191="","",IFERROR(VLOOKUP($B191,단가마스터!$A$4:$H$303,4,FALSE),""))</f>
        <v/>
      </c>
      <c r="F191" s="30" t="n"/>
      <c r="G191" s="20">
        <f>IF($B191="","",IFERROR(VLOOKUP($B191,단가마스터!$A$4:$H$303,5,FALSE),0))</f>
        <v/>
      </c>
      <c r="H191" s="20">
        <f>IF($B191="","",IFERROR(VLOOKUP($B191,단가마스터!$A$4:$H$303,6,FALSE),0))</f>
        <v/>
      </c>
      <c r="I191" s="20">
        <f>IF($B191="","",IFERROR(VLOOKUP($B191,단가마스터!$A$4:$H$303,7,FALSE),0))</f>
        <v/>
      </c>
      <c r="J191" s="20">
        <f>IF($B191="","",N($F191)*N($G191))</f>
        <v/>
      </c>
      <c r="K191" s="20">
        <f>IF($B191="","",N($F191)*N($H191))</f>
        <v/>
      </c>
      <c r="L191" s="20">
        <f>IF($B191="","",N($F191)*N($I191))</f>
        <v/>
      </c>
    </row>
    <row r="192">
      <c r="A192" s="30" t="n"/>
      <c r="B192" s="30" t="n"/>
      <c r="C192" s="18">
        <f>IF($B192="","",IFERROR(VLOOKUP($B192,단가마스터!$A$4:$H$303,2,FALSE),"⚠️단가마스터에 없음"))</f>
        <v/>
      </c>
      <c r="D192" s="18">
        <f>IF($B192="","",IFERROR(VLOOKUP($B192,단가마스터!$A$4:$H$303,3,FALSE),""))</f>
        <v/>
      </c>
      <c r="E192" s="18">
        <f>IF($B192="","",IFERROR(VLOOKUP($B192,단가마스터!$A$4:$H$303,4,FALSE),""))</f>
        <v/>
      </c>
      <c r="F192" s="30" t="n"/>
      <c r="G192" s="20">
        <f>IF($B192="","",IFERROR(VLOOKUP($B192,단가마스터!$A$4:$H$303,5,FALSE),0))</f>
        <v/>
      </c>
      <c r="H192" s="20">
        <f>IF($B192="","",IFERROR(VLOOKUP($B192,단가마스터!$A$4:$H$303,6,FALSE),0))</f>
        <v/>
      </c>
      <c r="I192" s="20">
        <f>IF($B192="","",IFERROR(VLOOKUP($B192,단가마스터!$A$4:$H$303,7,FALSE),0))</f>
        <v/>
      </c>
      <c r="J192" s="20">
        <f>IF($B192="","",N($F192)*N($G192))</f>
        <v/>
      </c>
      <c r="K192" s="20">
        <f>IF($B192="","",N($F192)*N($H192))</f>
        <v/>
      </c>
      <c r="L192" s="20">
        <f>IF($B192="","",N($F192)*N($I192))</f>
        <v/>
      </c>
    </row>
    <row r="193">
      <c r="A193" s="30" t="n"/>
      <c r="B193" s="30" t="n"/>
      <c r="C193" s="18">
        <f>IF($B193="","",IFERROR(VLOOKUP($B193,단가마스터!$A$4:$H$303,2,FALSE),"⚠️단가마스터에 없음"))</f>
        <v/>
      </c>
      <c r="D193" s="18">
        <f>IF($B193="","",IFERROR(VLOOKUP($B193,단가마스터!$A$4:$H$303,3,FALSE),""))</f>
        <v/>
      </c>
      <c r="E193" s="18">
        <f>IF($B193="","",IFERROR(VLOOKUP($B193,단가마스터!$A$4:$H$303,4,FALSE),""))</f>
        <v/>
      </c>
      <c r="F193" s="30" t="n"/>
      <c r="G193" s="20">
        <f>IF($B193="","",IFERROR(VLOOKUP($B193,단가마스터!$A$4:$H$303,5,FALSE),0))</f>
        <v/>
      </c>
      <c r="H193" s="20">
        <f>IF($B193="","",IFERROR(VLOOKUP($B193,단가마스터!$A$4:$H$303,6,FALSE),0))</f>
        <v/>
      </c>
      <c r="I193" s="20">
        <f>IF($B193="","",IFERROR(VLOOKUP($B193,단가마스터!$A$4:$H$303,7,FALSE),0))</f>
        <v/>
      </c>
      <c r="J193" s="20">
        <f>IF($B193="","",N($F193)*N($G193))</f>
        <v/>
      </c>
      <c r="K193" s="20">
        <f>IF($B193="","",N($F193)*N($H193))</f>
        <v/>
      </c>
      <c r="L193" s="20">
        <f>IF($B193="","",N($F193)*N($I193))</f>
        <v/>
      </c>
    </row>
    <row r="194">
      <c r="A194" s="30" t="n"/>
      <c r="B194" s="30" t="n"/>
      <c r="C194" s="18">
        <f>IF($B194="","",IFERROR(VLOOKUP($B194,단가마스터!$A$4:$H$303,2,FALSE),"⚠️단가마스터에 없음"))</f>
        <v/>
      </c>
      <c r="D194" s="18">
        <f>IF($B194="","",IFERROR(VLOOKUP($B194,단가마스터!$A$4:$H$303,3,FALSE),""))</f>
        <v/>
      </c>
      <c r="E194" s="18">
        <f>IF($B194="","",IFERROR(VLOOKUP($B194,단가마스터!$A$4:$H$303,4,FALSE),""))</f>
        <v/>
      </c>
      <c r="F194" s="30" t="n"/>
      <c r="G194" s="20">
        <f>IF($B194="","",IFERROR(VLOOKUP($B194,단가마스터!$A$4:$H$303,5,FALSE),0))</f>
        <v/>
      </c>
      <c r="H194" s="20">
        <f>IF($B194="","",IFERROR(VLOOKUP($B194,단가마스터!$A$4:$H$303,6,FALSE),0))</f>
        <v/>
      </c>
      <c r="I194" s="20">
        <f>IF($B194="","",IFERROR(VLOOKUP($B194,단가마스터!$A$4:$H$303,7,FALSE),0))</f>
        <v/>
      </c>
      <c r="J194" s="20">
        <f>IF($B194="","",N($F194)*N($G194))</f>
        <v/>
      </c>
      <c r="K194" s="20">
        <f>IF($B194="","",N($F194)*N($H194))</f>
        <v/>
      </c>
      <c r="L194" s="20">
        <f>IF($B194="","",N($F194)*N($I194))</f>
        <v/>
      </c>
    </row>
    <row r="195">
      <c r="A195" s="30" t="n"/>
      <c r="B195" s="30" t="n"/>
      <c r="C195" s="18">
        <f>IF($B195="","",IFERROR(VLOOKUP($B195,단가마스터!$A$4:$H$303,2,FALSE),"⚠️단가마스터에 없음"))</f>
        <v/>
      </c>
      <c r="D195" s="18">
        <f>IF($B195="","",IFERROR(VLOOKUP($B195,단가마스터!$A$4:$H$303,3,FALSE),""))</f>
        <v/>
      </c>
      <c r="E195" s="18">
        <f>IF($B195="","",IFERROR(VLOOKUP($B195,단가마스터!$A$4:$H$303,4,FALSE),""))</f>
        <v/>
      </c>
      <c r="F195" s="30" t="n"/>
      <c r="G195" s="20">
        <f>IF($B195="","",IFERROR(VLOOKUP($B195,단가마스터!$A$4:$H$303,5,FALSE),0))</f>
        <v/>
      </c>
      <c r="H195" s="20">
        <f>IF($B195="","",IFERROR(VLOOKUP($B195,단가마스터!$A$4:$H$303,6,FALSE),0))</f>
        <v/>
      </c>
      <c r="I195" s="20">
        <f>IF($B195="","",IFERROR(VLOOKUP($B195,단가마스터!$A$4:$H$303,7,FALSE),0))</f>
        <v/>
      </c>
      <c r="J195" s="20">
        <f>IF($B195="","",N($F195)*N($G195))</f>
        <v/>
      </c>
      <c r="K195" s="20">
        <f>IF($B195="","",N($F195)*N($H195))</f>
        <v/>
      </c>
      <c r="L195" s="20">
        <f>IF($B195="","",N($F195)*N($I195))</f>
        <v/>
      </c>
    </row>
    <row r="196">
      <c r="A196" s="30" t="n"/>
      <c r="B196" s="30" t="n"/>
      <c r="C196" s="18">
        <f>IF($B196="","",IFERROR(VLOOKUP($B196,단가마스터!$A$4:$H$303,2,FALSE),"⚠️단가마스터에 없음"))</f>
        <v/>
      </c>
      <c r="D196" s="18">
        <f>IF($B196="","",IFERROR(VLOOKUP($B196,단가마스터!$A$4:$H$303,3,FALSE),""))</f>
        <v/>
      </c>
      <c r="E196" s="18">
        <f>IF($B196="","",IFERROR(VLOOKUP($B196,단가마스터!$A$4:$H$303,4,FALSE),""))</f>
        <v/>
      </c>
      <c r="F196" s="30" t="n"/>
      <c r="G196" s="20">
        <f>IF($B196="","",IFERROR(VLOOKUP($B196,단가마스터!$A$4:$H$303,5,FALSE),0))</f>
        <v/>
      </c>
      <c r="H196" s="20">
        <f>IF($B196="","",IFERROR(VLOOKUP($B196,단가마스터!$A$4:$H$303,6,FALSE),0))</f>
        <v/>
      </c>
      <c r="I196" s="20">
        <f>IF($B196="","",IFERROR(VLOOKUP($B196,단가마스터!$A$4:$H$303,7,FALSE),0))</f>
        <v/>
      </c>
      <c r="J196" s="20">
        <f>IF($B196="","",N($F196)*N($G196))</f>
        <v/>
      </c>
      <c r="K196" s="20">
        <f>IF($B196="","",N($F196)*N($H196))</f>
        <v/>
      </c>
      <c r="L196" s="20">
        <f>IF($B196="","",N($F196)*N($I196))</f>
        <v/>
      </c>
    </row>
    <row r="197">
      <c r="A197" s="30" t="n"/>
      <c r="B197" s="30" t="n"/>
      <c r="C197" s="18">
        <f>IF($B197="","",IFERROR(VLOOKUP($B197,단가마스터!$A$4:$H$303,2,FALSE),"⚠️단가마스터에 없음"))</f>
        <v/>
      </c>
      <c r="D197" s="18">
        <f>IF($B197="","",IFERROR(VLOOKUP($B197,단가마스터!$A$4:$H$303,3,FALSE),""))</f>
        <v/>
      </c>
      <c r="E197" s="18">
        <f>IF($B197="","",IFERROR(VLOOKUP($B197,단가마스터!$A$4:$H$303,4,FALSE),""))</f>
        <v/>
      </c>
      <c r="F197" s="30" t="n"/>
      <c r="G197" s="20">
        <f>IF($B197="","",IFERROR(VLOOKUP($B197,단가마스터!$A$4:$H$303,5,FALSE),0))</f>
        <v/>
      </c>
      <c r="H197" s="20">
        <f>IF($B197="","",IFERROR(VLOOKUP($B197,단가마스터!$A$4:$H$303,6,FALSE),0))</f>
        <v/>
      </c>
      <c r="I197" s="20">
        <f>IF($B197="","",IFERROR(VLOOKUP($B197,단가마스터!$A$4:$H$303,7,FALSE),0))</f>
        <v/>
      </c>
      <c r="J197" s="20">
        <f>IF($B197="","",N($F197)*N($G197))</f>
        <v/>
      </c>
      <c r="K197" s="20">
        <f>IF($B197="","",N($F197)*N($H197))</f>
        <v/>
      </c>
      <c r="L197" s="20">
        <f>IF($B197="","",N($F197)*N($I197))</f>
        <v/>
      </c>
    </row>
    <row r="198">
      <c r="A198" s="30" t="n"/>
      <c r="B198" s="30" t="n"/>
      <c r="C198" s="18">
        <f>IF($B198="","",IFERROR(VLOOKUP($B198,단가마스터!$A$4:$H$303,2,FALSE),"⚠️단가마스터에 없음"))</f>
        <v/>
      </c>
      <c r="D198" s="18">
        <f>IF($B198="","",IFERROR(VLOOKUP($B198,단가마스터!$A$4:$H$303,3,FALSE),""))</f>
        <v/>
      </c>
      <c r="E198" s="18">
        <f>IF($B198="","",IFERROR(VLOOKUP($B198,단가마스터!$A$4:$H$303,4,FALSE),""))</f>
        <v/>
      </c>
      <c r="F198" s="30" t="n"/>
      <c r="G198" s="20">
        <f>IF($B198="","",IFERROR(VLOOKUP($B198,단가마스터!$A$4:$H$303,5,FALSE),0))</f>
        <v/>
      </c>
      <c r="H198" s="20">
        <f>IF($B198="","",IFERROR(VLOOKUP($B198,단가마스터!$A$4:$H$303,6,FALSE),0))</f>
        <v/>
      </c>
      <c r="I198" s="20">
        <f>IF($B198="","",IFERROR(VLOOKUP($B198,단가마스터!$A$4:$H$303,7,FALSE),0))</f>
        <v/>
      </c>
      <c r="J198" s="20">
        <f>IF($B198="","",N($F198)*N($G198))</f>
        <v/>
      </c>
      <c r="K198" s="20">
        <f>IF($B198="","",N($F198)*N($H198))</f>
        <v/>
      </c>
      <c r="L198" s="20">
        <f>IF($B198="","",N($F198)*N($I198))</f>
        <v/>
      </c>
    </row>
    <row r="199">
      <c r="A199" s="30" t="n"/>
      <c r="B199" s="30" t="n"/>
      <c r="C199" s="18">
        <f>IF($B199="","",IFERROR(VLOOKUP($B199,단가마스터!$A$4:$H$303,2,FALSE),"⚠️단가마스터에 없음"))</f>
        <v/>
      </c>
      <c r="D199" s="18">
        <f>IF($B199="","",IFERROR(VLOOKUP($B199,단가마스터!$A$4:$H$303,3,FALSE),""))</f>
        <v/>
      </c>
      <c r="E199" s="18">
        <f>IF($B199="","",IFERROR(VLOOKUP($B199,단가마스터!$A$4:$H$303,4,FALSE),""))</f>
        <v/>
      </c>
      <c r="F199" s="30" t="n"/>
      <c r="G199" s="20">
        <f>IF($B199="","",IFERROR(VLOOKUP($B199,단가마스터!$A$4:$H$303,5,FALSE),0))</f>
        <v/>
      </c>
      <c r="H199" s="20">
        <f>IF($B199="","",IFERROR(VLOOKUP($B199,단가마스터!$A$4:$H$303,6,FALSE),0))</f>
        <v/>
      </c>
      <c r="I199" s="20">
        <f>IF($B199="","",IFERROR(VLOOKUP($B199,단가마스터!$A$4:$H$303,7,FALSE),0))</f>
        <v/>
      </c>
      <c r="J199" s="20">
        <f>IF($B199="","",N($F199)*N($G199))</f>
        <v/>
      </c>
      <c r="K199" s="20">
        <f>IF($B199="","",N($F199)*N($H199))</f>
        <v/>
      </c>
      <c r="L199" s="20">
        <f>IF($B199="","",N($F199)*N($I199))</f>
        <v/>
      </c>
    </row>
    <row r="200">
      <c r="A200" s="30" t="n"/>
      <c r="B200" s="30" t="n"/>
      <c r="C200" s="18">
        <f>IF($B200="","",IFERROR(VLOOKUP($B200,단가마스터!$A$4:$H$303,2,FALSE),"⚠️단가마스터에 없음"))</f>
        <v/>
      </c>
      <c r="D200" s="18">
        <f>IF($B200="","",IFERROR(VLOOKUP($B200,단가마스터!$A$4:$H$303,3,FALSE),""))</f>
        <v/>
      </c>
      <c r="E200" s="18">
        <f>IF($B200="","",IFERROR(VLOOKUP($B200,단가마스터!$A$4:$H$303,4,FALSE),""))</f>
        <v/>
      </c>
      <c r="F200" s="30" t="n"/>
      <c r="G200" s="20">
        <f>IF($B200="","",IFERROR(VLOOKUP($B200,단가마스터!$A$4:$H$303,5,FALSE),0))</f>
        <v/>
      </c>
      <c r="H200" s="20">
        <f>IF($B200="","",IFERROR(VLOOKUP($B200,단가마스터!$A$4:$H$303,6,FALSE),0))</f>
        <v/>
      </c>
      <c r="I200" s="20">
        <f>IF($B200="","",IFERROR(VLOOKUP($B200,단가마스터!$A$4:$H$303,7,FALSE),0))</f>
        <v/>
      </c>
      <c r="J200" s="20">
        <f>IF($B200="","",N($F200)*N($G200))</f>
        <v/>
      </c>
      <c r="K200" s="20">
        <f>IF($B200="","",N($F200)*N($H200))</f>
        <v/>
      </c>
      <c r="L200" s="20">
        <f>IF($B200="","",N($F200)*N($I200))</f>
        <v/>
      </c>
    </row>
    <row r="201">
      <c r="A201" s="30" t="n"/>
      <c r="B201" s="30" t="n"/>
      <c r="C201" s="18">
        <f>IF($B201="","",IFERROR(VLOOKUP($B201,단가마스터!$A$4:$H$303,2,FALSE),"⚠️단가마스터에 없음"))</f>
        <v/>
      </c>
      <c r="D201" s="18">
        <f>IF($B201="","",IFERROR(VLOOKUP($B201,단가마스터!$A$4:$H$303,3,FALSE),""))</f>
        <v/>
      </c>
      <c r="E201" s="18">
        <f>IF($B201="","",IFERROR(VLOOKUP($B201,단가마스터!$A$4:$H$303,4,FALSE),""))</f>
        <v/>
      </c>
      <c r="F201" s="30" t="n"/>
      <c r="G201" s="20">
        <f>IF($B201="","",IFERROR(VLOOKUP($B201,단가마스터!$A$4:$H$303,5,FALSE),0))</f>
        <v/>
      </c>
      <c r="H201" s="20">
        <f>IF($B201="","",IFERROR(VLOOKUP($B201,단가마스터!$A$4:$H$303,6,FALSE),0))</f>
        <v/>
      </c>
      <c r="I201" s="20">
        <f>IF($B201="","",IFERROR(VLOOKUP($B201,단가마스터!$A$4:$H$303,7,FALSE),0))</f>
        <v/>
      </c>
      <c r="J201" s="20">
        <f>IF($B201="","",N($F201)*N($G201))</f>
        <v/>
      </c>
      <c r="K201" s="20">
        <f>IF($B201="","",N($F201)*N($H201))</f>
        <v/>
      </c>
      <c r="L201" s="20">
        <f>IF($B201="","",N($F201)*N($I201))</f>
        <v/>
      </c>
    </row>
    <row r="202">
      <c r="A202" s="30" t="n"/>
      <c r="B202" s="30" t="n"/>
      <c r="C202" s="18">
        <f>IF($B202="","",IFERROR(VLOOKUP($B202,단가마스터!$A$4:$H$303,2,FALSE),"⚠️단가마스터에 없음"))</f>
        <v/>
      </c>
      <c r="D202" s="18">
        <f>IF($B202="","",IFERROR(VLOOKUP($B202,단가마스터!$A$4:$H$303,3,FALSE),""))</f>
        <v/>
      </c>
      <c r="E202" s="18">
        <f>IF($B202="","",IFERROR(VLOOKUP($B202,단가마스터!$A$4:$H$303,4,FALSE),""))</f>
        <v/>
      </c>
      <c r="F202" s="30" t="n"/>
      <c r="G202" s="20">
        <f>IF($B202="","",IFERROR(VLOOKUP($B202,단가마스터!$A$4:$H$303,5,FALSE),0))</f>
        <v/>
      </c>
      <c r="H202" s="20">
        <f>IF($B202="","",IFERROR(VLOOKUP($B202,단가마스터!$A$4:$H$303,6,FALSE),0))</f>
        <v/>
      </c>
      <c r="I202" s="20">
        <f>IF($B202="","",IFERROR(VLOOKUP($B202,단가마스터!$A$4:$H$303,7,FALSE),0))</f>
        <v/>
      </c>
      <c r="J202" s="20">
        <f>IF($B202="","",N($F202)*N($G202))</f>
        <v/>
      </c>
      <c r="K202" s="20">
        <f>IF($B202="","",N($F202)*N($H202))</f>
        <v/>
      </c>
      <c r="L202" s="20">
        <f>IF($B202="","",N($F202)*N($I202))</f>
        <v/>
      </c>
    </row>
    <row r="203">
      <c r="A203" s="30" t="n"/>
      <c r="B203" s="30" t="n"/>
      <c r="C203" s="18">
        <f>IF($B203="","",IFERROR(VLOOKUP($B203,단가마스터!$A$4:$H$303,2,FALSE),"⚠️단가마스터에 없음"))</f>
        <v/>
      </c>
      <c r="D203" s="18">
        <f>IF($B203="","",IFERROR(VLOOKUP($B203,단가마스터!$A$4:$H$303,3,FALSE),""))</f>
        <v/>
      </c>
      <c r="E203" s="18">
        <f>IF($B203="","",IFERROR(VLOOKUP($B203,단가마스터!$A$4:$H$303,4,FALSE),""))</f>
        <v/>
      </c>
      <c r="F203" s="30" t="n"/>
      <c r="G203" s="20">
        <f>IF($B203="","",IFERROR(VLOOKUP($B203,단가마스터!$A$4:$H$303,5,FALSE),0))</f>
        <v/>
      </c>
      <c r="H203" s="20">
        <f>IF($B203="","",IFERROR(VLOOKUP($B203,단가마스터!$A$4:$H$303,6,FALSE),0))</f>
        <v/>
      </c>
      <c r="I203" s="20">
        <f>IF($B203="","",IFERROR(VLOOKUP($B203,단가마스터!$A$4:$H$303,7,FALSE),0))</f>
        <v/>
      </c>
      <c r="J203" s="20">
        <f>IF($B203="","",N($F203)*N($G203))</f>
        <v/>
      </c>
      <c r="K203" s="20">
        <f>IF($B203="","",N($F203)*N($H203))</f>
        <v/>
      </c>
      <c r="L203" s="20">
        <f>IF($B203="","",N($F203)*N($I203))</f>
        <v/>
      </c>
    </row>
    <row r="204">
      <c r="A204" s="30" t="n"/>
      <c r="B204" s="30" t="n"/>
      <c r="C204" s="18">
        <f>IF($B204="","",IFERROR(VLOOKUP($B204,단가마스터!$A$4:$H$303,2,FALSE),"⚠️단가마스터에 없음"))</f>
        <v/>
      </c>
      <c r="D204" s="18">
        <f>IF($B204="","",IFERROR(VLOOKUP($B204,단가마스터!$A$4:$H$303,3,FALSE),""))</f>
        <v/>
      </c>
      <c r="E204" s="18">
        <f>IF($B204="","",IFERROR(VLOOKUP($B204,단가마스터!$A$4:$H$303,4,FALSE),""))</f>
        <v/>
      </c>
      <c r="F204" s="30" t="n"/>
      <c r="G204" s="20">
        <f>IF($B204="","",IFERROR(VLOOKUP($B204,단가마스터!$A$4:$H$303,5,FALSE),0))</f>
        <v/>
      </c>
      <c r="H204" s="20">
        <f>IF($B204="","",IFERROR(VLOOKUP($B204,단가마스터!$A$4:$H$303,6,FALSE),0))</f>
        <v/>
      </c>
      <c r="I204" s="20">
        <f>IF($B204="","",IFERROR(VLOOKUP($B204,단가마스터!$A$4:$H$303,7,FALSE),0))</f>
        <v/>
      </c>
      <c r="J204" s="20">
        <f>IF($B204="","",N($F204)*N($G204))</f>
        <v/>
      </c>
      <c r="K204" s="20">
        <f>IF($B204="","",N($F204)*N($H204))</f>
        <v/>
      </c>
      <c r="L204" s="20">
        <f>IF($B204="","",N($F204)*N($I204))</f>
        <v/>
      </c>
    </row>
    <row r="205">
      <c r="A205" s="30" t="n"/>
      <c r="B205" s="30" t="n"/>
      <c r="C205" s="18">
        <f>IF($B205="","",IFERROR(VLOOKUP($B205,단가마스터!$A$4:$H$303,2,FALSE),"⚠️단가마스터에 없음"))</f>
        <v/>
      </c>
      <c r="D205" s="18">
        <f>IF($B205="","",IFERROR(VLOOKUP($B205,단가마스터!$A$4:$H$303,3,FALSE),""))</f>
        <v/>
      </c>
      <c r="E205" s="18">
        <f>IF($B205="","",IFERROR(VLOOKUP($B205,단가마스터!$A$4:$H$303,4,FALSE),""))</f>
        <v/>
      </c>
      <c r="F205" s="30" t="n"/>
      <c r="G205" s="20">
        <f>IF($B205="","",IFERROR(VLOOKUP($B205,단가마스터!$A$4:$H$303,5,FALSE),0))</f>
        <v/>
      </c>
      <c r="H205" s="20">
        <f>IF($B205="","",IFERROR(VLOOKUP($B205,단가마스터!$A$4:$H$303,6,FALSE),0))</f>
        <v/>
      </c>
      <c r="I205" s="20">
        <f>IF($B205="","",IFERROR(VLOOKUP($B205,단가마스터!$A$4:$H$303,7,FALSE),0))</f>
        <v/>
      </c>
      <c r="J205" s="20">
        <f>IF($B205="","",N($F205)*N($G205))</f>
        <v/>
      </c>
      <c r="K205" s="20">
        <f>IF($B205="","",N($F205)*N($H205))</f>
        <v/>
      </c>
      <c r="L205" s="20">
        <f>IF($B205="","",N($F205)*N($I205))</f>
        <v/>
      </c>
    </row>
    <row r="206">
      <c r="A206" s="30" t="n"/>
      <c r="B206" s="30" t="n"/>
      <c r="C206" s="18">
        <f>IF($B206="","",IFERROR(VLOOKUP($B206,단가마스터!$A$4:$H$303,2,FALSE),"⚠️단가마스터에 없음"))</f>
        <v/>
      </c>
      <c r="D206" s="18">
        <f>IF($B206="","",IFERROR(VLOOKUP($B206,단가마스터!$A$4:$H$303,3,FALSE),""))</f>
        <v/>
      </c>
      <c r="E206" s="18">
        <f>IF($B206="","",IFERROR(VLOOKUP($B206,단가마스터!$A$4:$H$303,4,FALSE),""))</f>
        <v/>
      </c>
      <c r="F206" s="30" t="n"/>
      <c r="G206" s="20">
        <f>IF($B206="","",IFERROR(VLOOKUP($B206,단가마스터!$A$4:$H$303,5,FALSE),0))</f>
        <v/>
      </c>
      <c r="H206" s="20">
        <f>IF($B206="","",IFERROR(VLOOKUP($B206,단가마스터!$A$4:$H$303,6,FALSE),0))</f>
        <v/>
      </c>
      <c r="I206" s="20">
        <f>IF($B206="","",IFERROR(VLOOKUP($B206,단가마스터!$A$4:$H$303,7,FALSE),0))</f>
        <v/>
      </c>
      <c r="J206" s="20">
        <f>IF($B206="","",N($F206)*N($G206))</f>
        <v/>
      </c>
      <c r="K206" s="20">
        <f>IF($B206="","",N($F206)*N($H206))</f>
        <v/>
      </c>
      <c r="L206" s="20">
        <f>IF($B206="","",N($F206)*N($I206))</f>
        <v/>
      </c>
    </row>
    <row r="207">
      <c r="A207" s="30" t="n"/>
      <c r="B207" s="30" t="n"/>
      <c r="C207" s="18">
        <f>IF($B207="","",IFERROR(VLOOKUP($B207,단가마스터!$A$4:$H$303,2,FALSE),"⚠️단가마스터에 없음"))</f>
        <v/>
      </c>
      <c r="D207" s="18">
        <f>IF($B207="","",IFERROR(VLOOKUP($B207,단가마스터!$A$4:$H$303,3,FALSE),""))</f>
        <v/>
      </c>
      <c r="E207" s="18">
        <f>IF($B207="","",IFERROR(VLOOKUP($B207,단가마스터!$A$4:$H$303,4,FALSE),""))</f>
        <v/>
      </c>
      <c r="F207" s="30" t="n"/>
      <c r="G207" s="20">
        <f>IF($B207="","",IFERROR(VLOOKUP($B207,단가마스터!$A$4:$H$303,5,FALSE),0))</f>
        <v/>
      </c>
      <c r="H207" s="20">
        <f>IF($B207="","",IFERROR(VLOOKUP($B207,단가마스터!$A$4:$H$303,6,FALSE),0))</f>
        <v/>
      </c>
      <c r="I207" s="20">
        <f>IF($B207="","",IFERROR(VLOOKUP($B207,단가마스터!$A$4:$H$303,7,FALSE),0))</f>
        <v/>
      </c>
      <c r="J207" s="20">
        <f>IF($B207="","",N($F207)*N($G207))</f>
        <v/>
      </c>
      <c r="K207" s="20">
        <f>IF($B207="","",N($F207)*N($H207))</f>
        <v/>
      </c>
      <c r="L207" s="20">
        <f>IF($B207="","",N($F207)*N($I207))</f>
        <v/>
      </c>
    </row>
    <row r="208">
      <c r="A208" s="30" t="n"/>
      <c r="B208" s="30" t="n"/>
      <c r="C208" s="18">
        <f>IF($B208="","",IFERROR(VLOOKUP($B208,단가마스터!$A$4:$H$303,2,FALSE),"⚠️단가마스터에 없음"))</f>
        <v/>
      </c>
      <c r="D208" s="18">
        <f>IF($B208="","",IFERROR(VLOOKUP($B208,단가마스터!$A$4:$H$303,3,FALSE),""))</f>
        <v/>
      </c>
      <c r="E208" s="18">
        <f>IF($B208="","",IFERROR(VLOOKUP($B208,단가마스터!$A$4:$H$303,4,FALSE),""))</f>
        <v/>
      </c>
      <c r="F208" s="30" t="n"/>
      <c r="G208" s="20">
        <f>IF($B208="","",IFERROR(VLOOKUP($B208,단가마스터!$A$4:$H$303,5,FALSE),0))</f>
        <v/>
      </c>
      <c r="H208" s="20">
        <f>IF($B208="","",IFERROR(VLOOKUP($B208,단가마스터!$A$4:$H$303,6,FALSE),0))</f>
        <v/>
      </c>
      <c r="I208" s="20">
        <f>IF($B208="","",IFERROR(VLOOKUP($B208,단가마스터!$A$4:$H$303,7,FALSE),0))</f>
        <v/>
      </c>
      <c r="J208" s="20">
        <f>IF($B208="","",N($F208)*N($G208))</f>
        <v/>
      </c>
      <c r="K208" s="20">
        <f>IF($B208="","",N($F208)*N($H208))</f>
        <v/>
      </c>
      <c r="L208" s="20">
        <f>IF($B208="","",N($F208)*N($I208))</f>
        <v/>
      </c>
    </row>
    <row r="209">
      <c r="A209" s="30" t="n"/>
      <c r="B209" s="30" t="n"/>
      <c r="C209" s="18">
        <f>IF($B209="","",IFERROR(VLOOKUP($B209,단가마스터!$A$4:$H$303,2,FALSE),"⚠️단가마스터에 없음"))</f>
        <v/>
      </c>
      <c r="D209" s="18">
        <f>IF($B209="","",IFERROR(VLOOKUP($B209,단가마스터!$A$4:$H$303,3,FALSE),""))</f>
        <v/>
      </c>
      <c r="E209" s="18">
        <f>IF($B209="","",IFERROR(VLOOKUP($B209,단가마스터!$A$4:$H$303,4,FALSE),""))</f>
        <v/>
      </c>
      <c r="F209" s="30" t="n"/>
      <c r="G209" s="20">
        <f>IF($B209="","",IFERROR(VLOOKUP($B209,단가마스터!$A$4:$H$303,5,FALSE),0))</f>
        <v/>
      </c>
      <c r="H209" s="20">
        <f>IF($B209="","",IFERROR(VLOOKUP($B209,단가마스터!$A$4:$H$303,6,FALSE),0))</f>
        <v/>
      </c>
      <c r="I209" s="20">
        <f>IF($B209="","",IFERROR(VLOOKUP($B209,단가마스터!$A$4:$H$303,7,FALSE),0))</f>
        <v/>
      </c>
      <c r="J209" s="20">
        <f>IF($B209="","",N($F209)*N($G209))</f>
        <v/>
      </c>
      <c r="K209" s="20">
        <f>IF($B209="","",N($F209)*N($H209))</f>
        <v/>
      </c>
      <c r="L209" s="20">
        <f>IF($B209="","",N($F209)*N($I209))</f>
        <v/>
      </c>
    </row>
    <row r="210">
      <c r="A210" s="30" t="n"/>
      <c r="B210" s="30" t="n"/>
      <c r="C210" s="18">
        <f>IF($B210="","",IFERROR(VLOOKUP($B210,단가마스터!$A$4:$H$303,2,FALSE),"⚠️단가마스터에 없음"))</f>
        <v/>
      </c>
      <c r="D210" s="18">
        <f>IF($B210="","",IFERROR(VLOOKUP($B210,단가마스터!$A$4:$H$303,3,FALSE),""))</f>
        <v/>
      </c>
      <c r="E210" s="18">
        <f>IF($B210="","",IFERROR(VLOOKUP($B210,단가마스터!$A$4:$H$303,4,FALSE),""))</f>
        <v/>
      </c>
      <c r="F210" s="30" t="n"/>
      <c r="G210" s="20">
        <f>IF($B210="","",IFERROR(VLOOKUP($B210,단가마스터!$A$4:$H$303,5,FALSE),0))</f>
        <v/>
      </c>
      <c r="H210" s="20">
        <f>IF($B210="","",IFERROR(VLOOKUP($B210,단가마스터!$A$4:$H$303,6,FALSE),0))</f>
        <v/>
      </c>
      <c r="I210" s="20">
        <f>IF($B210="","",IFERROR(VLOOKUP($B210,단가마스터!$A$4:$H$303,7,FALSE),0))</f>
        <v/>
      </c>
      <c r="J210" s="20">
        <f>IF($B210="","",N($F210)*N($G210))</f>
        <v/>
      </c>
      <c r="K210" s="20">
        <f>IF($B210="","",N($F210)*N($H210))</f>
        <v/>
      </c>
      <c r="L210" s="20">
        <f>IF($B210="","",N($F210)*N($I210))</f>
        <v/>
      </c>
    </row>
    <row r="211">
      <c r="A211" s="30" t="n"/>
      <c r="B211" s="30" t="n"/>
      <c r="C211" s="18">
        <f>IF($B211="","",IFERROR(VLOOKUP($B211,단가마스터!$A$4:$H$303,2,FALSE),"⚠️단가마스터에 없음"))</f>
        <v/>
      </c>
      <c r="D211" s="18">
        <f>IF($B211="","",IFERROR(VLOOKUP($B211,단가마스터!$A$4:$H$303,3,FALSE),""))</f>
        <v/>
      </c>
      <c r="E211" s="18">
        <f>IF($B211="","",IFERROR(VLOOKUP($B211,단가마스터!$A$4:$H$303,4,FALSE),""))</f>
        <v/>
      </c>
      <c r="F211" s="30" t="n"/>
      <c r="G211" s="20">
        <f>IF($B211="","",IFERROR(VLOOKUP($B211,단가마스터!$A$4:$H$303,5,FALSE),0))</f>
        <v/>
      </c>
      <c r="H211" s="20">
        <f>IF($B211="","",IFERROR(VLOOKUP($B211,단가마스터!$A$4:$H$303,6,FALSE),0))</f>
        <v/>
      </c>
      <c r="I211" s="20">
        <f>IF($B211="","",IFERROR(VLOOKUP($B211,단가마스터!$A$4:$H$303,7,FALSE),0))</f>
        <v/>
      </c>
      <c r="J211" s="20">
        <f>IF($B211="","",N($F211)*N($G211))</f>
        <v/>
      </c>
      <c r="K211" s="20">
        <f>IF($B211="","",N($F211)*N($H211))</f>
        <v/>
      </c>
      <c r="L211" s="20">
        <f>IF($B211="","",N($F211)*N($I211))</f>
        <v/>
      </c>
    </row>
    <row r="212">
      <c r="A212" s="30" t="n"/>
      <c r="B212" s="30" t="n"/>
      <c r="C212" s="18">
        <f>IF($B212="","",IFERROR(VLOOKUP($B212,단가마스터!$A$4:$H$303,2,FALSE),"⚠️단가마스터에 없음"))</f>
        <v/>
      </c>
      <c r="D212" s="18">
        <f>IF($B212="","",IFERROR(VLOOKUP($B212,단가마스터!$A$4:$H$303,3,FALSE),""))</f>
        <v/>
      </c>
      <c r="E212" s="18">
        <f>IF($B212="","",IFERROR(VLOOKUP($B212,단가마스터!$A$4:$H$303,4,FALSE),""))</f>
        <v/>
      </c>
      <c r="F212" s="30" t="n"/>
      <c r="G212" s="20">
        <f>IF($B212="","",IFERROR(VLOOKUP($B212,단가마스터!$A$4:$H$303,5,FALSE),0))</f>
        <v/>
      </c>
      <c r="H212" s="20">
        <f>IF($B212="","",IFERROR(VLOOKUP($B212,단가마스터!$A$4:$H$303,6,FALSE),0))</f>
        <v/>
      </c>
      <c r="I212" s="20">
        <f>IF($B212="","",IFERROR(VLOOKUP($B212,단가마스터!$A$4:$H$303,7,FALSE),0))</f>
        <v/>
      </c>
      <c r="J212" s="20">
        <f>IF($B212="","",N($F212)*N($G212))</f>
        <v/>
      </c>
      <c r="K212" s="20">
        <f>IF($B212="","",N($F212)*N($H212))</f>
        <v/>
      </c>
      <c r="L212" s="20">
        <f>IF($B212="","",N($F212)*N($I212))</f>
        <v/>
      </c>
    </row>
    <row r="213">
      <c r="A213" s="30" t="n"/>
      <c r="B213" s="30" t="n"/>
      <c r="C213" s="18">
        <f>IF($B213="","",IFERROR(VLOOKUP($B213,단가마스터!$A$4:$H$303,2,FALSE),"⚠️단가마스터에 없음"))</f>
        <v/>
      </c>
      <c r="D213" s="18">
        <f>IF($B213="","",IFERROR(VLOOKUP($B213,단가마스터!$A$4:$H$303,3,FALSE),""))</f>
        <v/>
      </c>
      <c r="E213" s="18">
        <f>IF($B213="","",IFERROR(VLOOKUP($B213,단가마스터!$A$4:$H$303,4,FALSE),""))</f>
        <v/>
      </c>
      <c r="F213" s="30" t="n"/>
      <c r="G213" s="20">
        <f>IF($B213="","",IFERROR(VLOOKUP($B213,단가마스터!$A$4:$H$303,5,FALSE),0))</f>
        <v/>
      </c>
      <c r="H213" s="20">
        <f>IF($B213="","",IFERROR(VLOOKUP($B213,단가마스터!$A$4:$H$303,6,FALSE),0))</f>
        <v/>
      </c>
      <c r="I213" s="20">
        <f>IF($B213="","",IFERROR(VLOOKUP($B213,단가마스터!$A$4:$H$303,7,FALSE),0))</f>
        <v/>
      </c>
      <c r="J213" s="20">
        <f>IF($B213="","",N($F213)*N($G213))</f>
        <v/>
      </c>
      <c r="K213" s="20">
        <f>IF($B213="","",N($F213)*N($H213))</f>
        <v/>
      </c>
      <c r="L213" s="20">
        <f>IF($B213="","",N($F213)*N($I213))</f>
        <v/>
      </c>
    </row>
    <row r="214">
      <c r="A214" s="30" t="n"/>
      <c r="B214" s="30" t="n"/>
      <c r="C214" s="18">
        <f>IF($B214="","",IFERROR(VLOOKUP($B214,단가마스터!$A$4:$H$303,2,FALSE),"⚠️단가마스터에 없음"))</f>
        <v/>
      </c>
      <c r="D214" s="18">
        <f>IF($B214="","",IFERROR(VLOOKUP($B214,단가마스터!$A$4:$H$303,3,FALSE),""))</f>
        <v/>
      </c>
      <c r="E214" s="18">
        <f>IF($B214="","",IFERROR(VLOOKUP($B214,단가마스터!$A$4:$H$303,4,FALSE),""))</f>
        <v/>
      </c>
      <c r="F214" s="30" t="n"/>
      <c r="G214" s="20">
        <f>IF($B214="","",IFERROR(VLOOKUP($B214,단가마스터!$A$4:$H$303,5,FALSE),0))</f>
        <v/>
      </c>
      <c r="H214" s="20">
        <f>IF($B214="","",IFERROR(VLOOKUP($B214,단가마스터!$A$4:$H$303,6,FALSE),0))</f>
        <v/>
      </c>
      <c r="I214" s="20">
        <f>IF($B214="","",IFERROR(VLOOKUP($B214,단가마스터!$A$4:$H$303,7,FALSE),0))</f>
        <v/>
      </c>
      <c r="J214" s="20">
        <f>IF($B214="","",N($F214)*N($G214))</f>
        <v/>
      </c>
      <c r="K214" s="20">
        <f>IF($B214="","",N($F214)*N($H214))</f>
        <v/>
      </c>
      <c r="L214" s="20">
        <f>IF($B214="","",N($F214)*N($I214))</f>
        <v/>
      </c>
    </row>
    <row r="215">
      <c r="A215" s="30" t="n"/>
      <c r="B215" s="30" t="n"/>
      <c r="C215" s="18">
        <f>IF($B215="","",IFERROR(VLOOKUP($B215,단가마스터!$A$4:$H$303,2,FALSE),"⚠️단가마스터에 없음"))</f>
        <v/>
      </c>
      <c r="D215" s="18">
        <f>IF($B215="","",IFERROR(VLOOKUP($B215,단가마스터!$A$4:$H$303,3,FALSE),""))</f>
        <v/>
      </c>
      <c r="E215" s="18">
        <f>IF($B215="","",IFERROR(VLOOKUP($B215,단가마스터!$A$4:$H$303,4,FALSE),""))</f>
        <v/>
      </c>
      <c r="F215" s="30" t="n"/>
      <c r="G215" s="20">
        <f>IF($B215="","",IFERROR(VLOOKUP($B215,단가마스터!$A$4:$H$303,5,FALSE),0))</f>
        <v/>
      </c>
      <c r="H215" s="20">
        <f>IF($B215="","",IFERROR(VLOOKUP($B215,단가마스터!$A$4:$H$303,6,FALSE),0))</f>
        <v/>
      </c>
      <c r="I215" s="20">
        <f>IF($B215="","",IFERROR(VLOOKUP($B215,단가마스터!$A$4:$H$303,7,FALSE),0))</f>
        <v/>
      </c>
      <c r="J215" s="20">
        <f>IF($B215="","",N($F215)*N($G215))</f>
        <v/>
      </c>
      <c r="K215" s="20">
        <f>IF($B215="","",N($F215)*N($H215))</f>
        <v/>
      </c>
      <c r="L215" s="20">
        <f>IF($B215="","",N($F215)*N($I215))</f>
        <v/>
      </c>
    </row>
    <row r="216">
      <c r="A216" s="30" t="n"/>
      <c r="B216" s="30" t="n"/>
      <c r="C216" s="18">
        <f>IF($B216="","",IFERROR(VLOOKUP($B216,단가마스터!$A$4:$H$303,2,FALSE),"⚠️단가마스터에 없음"))</f>
        <v/>
      </c>
      <c r="D216" s="18">
        <f>IF($B216="","",IFERROR(VLOOKUP($B216,단가마스터!$A$4:$H$303,3,FALSE),""))</f>
        <v/>
      </c>
      <c r="E216" s="18">
        <f>IF($B216="","",IFERROR(VLOOKUP($B216,단가마스터!$A$4:$H$303,4,FALSE),""))</f>
        <v/>
      </c>
      <c r="F216" s="30" t="n"/>
      <c r="G216" s="20">
        <f>IF($B216="","",IFERROR(VLOOKUP($B216,단가마스터!$A$4:$H$303,5,FALSE),0))</f>
        <v/>
      </c>
      <c r="H216" s="20">
        <f>IF($B216="","",IFERROR(VLOOKUP($B216,단가마스터!$A$4:$H$303,6,FALSE),0))</f>
        <v/>
      </c>
      <c r="I216" s="20">
        <f>IF($B216="","",IFERROR(VLOOKUP($B216,단가마스터!$A$4:$H$303,7,FALSE),0))</f>
        <v/>
      </c>
      <c r="J216" s="20">
        <f>IF($B216="","",N($F216)*N($G216))</f>
        <v/>
      </c>
      <c r="K216" s="20">
        <f>IF($B216="","",N($F216)*N($H216))</f>
        <v/>
      </c>
      <c r="L216" s="20">
        <f>IF($B216="","",N($F216)*N($I216))</f>
        <v/>
      </c>
    </row>
    <row r="217">
      <c r="A217" s="30" t="n"/>
      <c r="B217" s="30" t="n"/>
      <c r="C217" s="18">
        <f>IF($B217="","",IFERROR(VLOOKUP($B217,단가마스터!$A$4:$H$303,2,FALSE),"⚠️단가마스터에 없음"))</f>
        <v/>
      </c>
      <c r="D217" s="18">
        <f>IF($B217="","",IFERROR(VLOOKUP($B217,단가마스터!$A$4:$H$303,3,FALSE),""))</f>
        <v/>
      </c>
      <c r="E217" s="18">
        <f>IF($B217="","",IFERROR(VLOOKUP($B217,단가마스터!$A$4:$H$303,4,FALSE),""))</f>
        <v/>
      </c>
      <c r="F217" s="30" t="n"/>
      <c r="G217" s="20">
        <f>IF($B217="","",IFERROR(VLOOKUP($B217,단가마스터!$A$4:$H$303,5,FALSE),0))</f>
        <v/>
      </c>
      <c r="H217" s="20">
        <f>IF($B217="","",IFERROR(VLOOKUP($B217,단가마스터!$A$4:$H$303,6,FALSE),0))</f>
        <v/>
      </c>
      <c r="I217" s="20">
        <f>IF($B217="","",IFERROR(VLOOKUP($B217,단가마스터!$A$4:$H$303,7,FALSE),0))</f>
        <v/>
      </c>
      <c r="J217" s="20">
        <f>IF($B217="","",N($F217)*N($G217))</f>
        <v/>
      </c>
      <c r="K217" s="20">
        <f>IF($B217="","",N($F217)*N($H217))</f>
        <v/>
      </c>
      <c r="L217" s="20">
        <f>IF($B217="","",N($F217)*N($I217))</f>
        <v/>
      </c>
    </row>
    <row r="218">
      <c r="A218" s="30" t="n"/>
      <c r="B218" s="30" t="n"/>
      <c r="C218" s="18">
        <f>IF($B218="","",IFERROR(VLOOKUP($B218,단가마스터!$A$4:$H$303,2,FALSE),"⚠️단가마스터에 없음"))</f>
        <v/>
      </c>
      <c r="D218" s="18">
        <f>IF($B218="","",IFERROR(VLOOKUP($B218,단가마스터!$A$4:$H$303,3,FALSE),""))</f>
        <v/>
      </c>
      <c r="E218" s="18">
        <f>IF($B218="","",IFERROR(VLOOKUP($B218,단가마스터!$A$4:$H$303,4,FALSE),""))</f>
        <v/>
      </c>
      <c r="F218" s="30" t="n"/>
      <c r="G218" s="20">
        <f>IF($B218="","",IFERROR(VLOOKUP($B218,단가마스터!$A$4:$H$303,5,FALSE),0))</f>
        <v/>
      </c>
      <c r="H218" s="20">
        <f>IF($B218="","",IFERROR(VLOOKUP($B218,단가마스터!$A$4:$H$303,6,FALSE),0))</f>
        <v/>
      </c>
      <c r="I218" s="20">
        <f>IF($B218="","",IFERROR(VLOOKUP($B218,단가마스터!$A$4:$H$303,7,FALSE),0))</f>
        <v/>
      </c>
      <c r="J218" s="20">
        <f>IF($B218="","",N($F218)*N($G218))</f>
        <v/>
      </c>
      <c r="K218" s="20">
        <f>IF($B218="","",N($F218)*N($H218))</f>
        <v/>
      </c>
      <c r="L218" s="20">
        <f>IF($B218="","",N($F218)*N($I218))</f>
        <v/>
      </c>
    </row>
    <row r="219">
      <c r="A219" s="30" t="n"/>
      <c r="B219" s="30" t="n"/>
      <c r="C219" s="18">
        <f>IF($B219="","",IFERROR(VLOOKUP($B219,단가마스터!$A$4:$H$303,2,FALSE),"⚠️단가마스터에 없음"))</f>
        <v/>
      </c>
      <c r="D219" s="18">
        <f>IF($B219="","",IFERROR(VLOOKUP($B219,단가마스터!$A$4:$H$303,3,FALSE),""))</f>
        <v/>
      </c>
      <c r="E219" s="18">
        <f>IF($B219="","",IFERROR(VLOOKUP($B219,단가마스터!$A$4:$H$303,4,FALSE),""))</f>
        <v/>
      </c>
      <c r="F219" s="30" t="n"/>
      <c r="G219" s="20">
        <f>IF($B219="","",IFERROR(VLOOKUP($B219,단가마스터!$A$4:$H$303,5,FALSE),0))</f>
        <v/>
      </c>
      <c r="H219" s="20">
        <f>IF($B219="","",IFERROR(VLOOKUP($B219,단가마스터!$A$4:$H$303,6,FALSE),0))</f>
        <v/>
      </c>
      <c r="I219" s="20">
        <f>IF($B219="","",IFERROR(VLOOKUP($B219,단가마스터!$A$4:$H$303,7,FALSE),0))</f>
        <v/>
      </c>
      <c r="J219" s="20">
        <f>IF($B219="","",N($F219)*N($G219))</f>
        <v/>
      </c>
      <c r="K219" s="20">
        <f>IF($B219="","",N($F219)*N($H219))</f>
        <v/>
      </c>
      <c r="L219" s="20">
        <f>IF($B219="","",N($F219)*N($I219))</f>
        <v/>
      </c>
    </row>
    <row r="220">
      <c r="A220" s="30" t="n"/>
      <c r="B220" s="30" t="n"/>
      <c r="C220" s="18">
        <f>IF($B220="","",IFERROR(VLOOKUP($B220,단가마스터!$A$4:$H$303,2,FALSE),"⚠️단가마스터에 없음"))</f>
        <v/>
      </c>
      <c r="D220" s="18">
        <f>IF($B220="","",IFERROR(VLOOKUP($B220,단가마스터!$A$4:$H$303,3,FALSE),""))</f>
        <v/>
      </c>
      <c r="E220" s="18">
        <f>IF($B220="","",IFERROR(VLOOKUP($B220,단가마스터!$A$4:$H$303,4,FALSE),""))</f>
        <v/>
      </c>
      <c r="F220" s="30" t="n"/>
      <c r="G220" s="20">
        <f>IF($B220="","",IFERROR(VLOOKUP($B220,단가마스터!$A$4:$H$303,5,FALSE),0))</f>
        <v/>
      </c>
      <c r="H220" s="20">
        <f>IF($B220="","",IFERROR(VLOOKUP($B220,단가마스터!$A$4:$H$303,6,FALSE),0))</f>
        <v/>
      </c>
      <c r="I220" s="20">
        <f>IF($B220="","",IFERROR(VLOOKUP($B220,단가마스터!$A$4:$H$303,7,FALSE),0))</f>
        <v/>
      </c>
      <c r="J220" s="20">
        <f>IF($B220="","",N($F220)*N($G220))</f>
        <v/>
      </c>
      <c r="K220" s="20">
        <f>IF($B220="","",N($F220)*N($H220))</f>
        <v/>
      </c>
      <c r="L220" s="20">
        <f>IF($B220="","",N($F220)*N($I220))</f>
        <v/>
      </c>
    </row>
    <row r="221">
      <c r="A221" s="30" t="n"/>
      <c r="B221" s="30" t="n"/>
      <c r="C221" s="18">
        <f>IF($B221="","",IFERROR(VLOOKUP($B221,단가마스터!$A$4:$H$303,2,FALSE),"⚠️단가마스터에 없음"))</f>
        <v/>
      </c>
      <c r="D221" s="18">
        <f>IF($B221="","",IFERROR(VLOOKUP($B221,단가마스터!$A$4:$H$303,3,FALSE),""))</f>
        <v/>
      </c>
      <c r="E221" s="18">
        <f>IF($B221="","",IFERROR(VLOOKUP($B221,단가마스터!$A$4:$H$303,4,FALSE),""))</f>
        <v/>
      </c>
      <c r="F221" s="30" t="n"/>
      <c r="G221" s="20">
        <f>IF($B221="","",IFERROR(VLOOKUP($B221,단가마스터!$A$4:$H$303,5,FALSE),0))</f>
        <v/>
      </c>
      <c r="H221" s="20">
        <f>IF($B221="","",IFERROR(VLOOKUP($B221,단가마스터!$A$4:$H$303,6,FALSE),0))</f>
        <v/>
      </c>
      <c r="I221" s="20">
        <f>IF($B221="","",IFERROR(VLOOKUP($B221,단가마스터!$A$4:$H$303,7,FALSE),0))</f>
        <v/>
      </c>
      <c r="J221" s="20">
        <f>IF($B221="","",N($F221)*N($G221))</f>
        <v/>
      </c>
      <c r="K221" s="20">
        <f>IF($B221="","",N($F221)*N($H221))</f>
        <v/>
      </c>
      <c r="L221" s="20">
        <f>IF($B221="","",N($F221)*N($I221))</f>
        <v/>
      </c>
    </row>
    <row r="222">
      <c r="A222" s="30" t="n"/>
      <c r="B222" s="30" t="n"/>
      <c r="C222" s="18">
        <f>IF($B222="","",IFERROR(VLOOKUP($B222,단가마스터!$A$4:$H$303,2,FALSE),"⚠️단가마스터에 없음"))</f>
        <v/>
      </c>
      <c r="D222" s="18">
        <f>IF($B222="","",IFERROR(VLOOKUP($B222,단가마스터!$A$4:$H$303,3,FALSE),""))</f>
        <v/>
      </c>
      <c r="E222" s="18">
        <f>IF($B222="","",IFERROR(VLOOKUP($B222,단가마스터!$A$4:$H$303,4,FALSE),""))</f>
        <v/>
      </c>
      <c r="F222" s="30" t="n"/>
      <c r="G222" s="20">
        <f>IF($B222="","",IFERROR(VLOOKUP($B222,단가마스터!$A$4:$H$303,5,FALSE),0))</f>
        <v/>
      </c>
      <c r="H222" s="20">
        <f>IF($B222="","",IFERROR(VLOOKUP($B222,단가마스터!$A$4:$H$303,6,FALSE),0))</f>
        <v/>
      </c>
      <c r="I222" s="20">
        <f>IF($B222="","",IFERROR(VLOOKUP($B222,단가마스터!$A$4:$H$303,7,FALSE),0))</f>
        <v/>
      </c>
      <c r="J222" s="20">
        <f>IF($B222="","",N($F222)*N($G222))</f>
        <v/>
      </c>
      <c r="K222" s="20">
        <f>IF($B222="","",N($F222)*N($H222))</f>
        <v/>
      </c>
      <c r="L222" s="20">
        <f>IF($B222="","",N($F222)*N($I222))</f>
        <v/>
      </c>
    </row>
    <row r="223">
      <c r="A223" s="30" t="n"/>
      <c r="B223" s="30" t="n"/>
      <c r="C223" s="18">
        <f>IF($B223="","",IFERROR(VLOOKUP($B223,단가마스터!$A$4:$H$303,2,FALSE),"⚠️단가마스터에 없음"))</f>
        <v/>
      </c>
      <c r="D223" s="18">
        <f>IF($B223="","",IFERROR(VLOOKUP($B223,단가마스터!$A$4:$H$303,3,FALSE),""))</f>
        <v/>
      </c>
      <c r="E223" s="18">
        <f>IF($B223="","",IFERROR(VLOOKUP($B223,단가마스터!$A$4:$H$303,4,FALSE),""))</f>
        <v/>
      </c>
      <c r="F223" s="30" t="n"/>
      <c r="G223" s="20">
        <f>IF($B223="","",IFERROR(VLOOKUP($B223,단가마스터!$A$4:$H$303,5,FALSE),0))</f>
        <v/>
      </c>
      <c r="H223" s="20">
        <f>IF($B223="","",IFERROR(VLOOKUP($B223,단가마스터!$A$4:$H$303,6,FALSE),0))</f>
        <v/>
      </c>
      <c r="I223" s="20">
        <f>IF($B223="","",IFERROR(VLOOKUP($B223,단가마스터!$A$4:$H$303,7,FALSE),0))</f>
        <v/>
      </c>
      <c r="J223" s="20">
        <f>IF($B223="","",N($F223)*N($G223))</f>
        <v/>
      </c>
      <c r="K223" s="20">
        <f>IF($B223="","",N($F223)*N($H223))</f>
        <v/>
      </c>
      <c r="L223" s="20">
        <f>IF($B223="","",N($F223)*N($I223))</f>
        <v/>
      </c>
    </row>
    <row r="224">
      <c r="A224" s="30" t="n"/>
      <c r="B224" s="30" t="n"/>
      <c r="C224" s="18">
        <f>IF($B224="","",IFERROR(VLOOKUP($B224,단가마스터!$A$4:$H$303,2,FALSE),"⚠️단가마스터에 없음"))</f>
        <v/>
      </c>
      <c r="D224" s="18">
        <f>IF($B224="","",IFERROR(VLOOKUP($B224,단가마스터!$A$4:$H$303,3,FALSE),""))</f>
        <v/>
      </c>
      <c r="E224" s="18">
        <f>IF($B224="","",IFERROR(VLOOKUP($B224,단가마스터!$A$4:$H$303,4,FALSE),""))</f>
        <v/>
      </c>
      <c r="F224" s="30" t="n"/>
      <c r="G224" s="20">
        <f>IF($B224="","",IFERROR(VLOOKUP($B224,단가마스터!$A$4:$H$303,5,FALSE),0))</f>
        <v/>
      </c>
      <c r="H224" s="20">
        <f>IF($B224="","",IFERROR(VLOOKUP($B224,단가마스터!$A$4:$H$303,6,FALSE),0))</f>
        <v/>
      </c>
      <c r="I224" s="20">
        <f>IF($B224="","",IFERROR(VLOOKUP($B224,단가마스터!$A$4:$H$303,7,FALSE),0))</f>
        <v/>
      </c>
      <c r="J224" s="20">
        <f>IF($B224="","",N($F224)*N($G224))</f>
        <v/>
      </c>
      <c r="K224" s="20">
        <f>IF($B224="","",N($F224)*N($H224))</f>
        <v/>
      </c>
      <c r="L224" s="20">
        <f>IF($B224="","",N($F224)*N($I224))</f>
        <v/>
      </c>
    </row>
    <row r="225">
      <c r="A225" s="30" t="n"/>
      <c r="B225" s="30" t="n"/>
      <c r="C225" s="18">
        <f>IF($B225="","",IFERROR(VLOOKUP($B225,단가마스터!$A$4:$H$303,2,FALSE),"⚠️단가마스터에 없음"))</f>
        <v/>
      </c>
      <c r="D225" s="18">
        <f>IF($B225="","",IFERROR(VLOOKUP($B225,단가마스터!$A$4:$H$303,3,FALSE),""))</f>
        <v/>
      </c>
      <c r="E225" s="18">
        <f>IF($B225="","",IFERROR(VLOOKUP($B225,단가마스터!$A$4:$H$303,4,FALSE),""))</f>
        <v/>
      </c>
      <c r="F225" s="30" t="n"/>
      <c r="G225" s="20">
        <f>IF($B225="","",IFERROR(VLOOKUP($B225,단가마스터!$A$4:$H$303,5,FALSE),0))</f>
        <v/>
      </c>
      <c r="H225" s="20">
        <f>IF($B225="","",IFERROR(VLOOKUP($B225,단가마스터!$A$4:$H$303,6,FALSE),0))</f>
        <v/>
      </c>
      <c r="I225" s="20">
        <f>IF($B225="","",IFERROR(VLOOKUP($B225,단가마스터!$A$4:$H$303,7,FALSE),0))</f>
        <v/>
      </c>
      <c r="J225" s="20">
        <f>IF($B225="","",N($F225)*N($G225))</f>
        <v/>
      </c>
      <c r="K225" s="20">
        <f>IF($B225="","",N($F225)*N($H225))</f>
        <v/>
      </c>
      <c r="L225" s="20">
        <f>IF($B225="","",N($F225)*N($I225))</f>
        <v/>
      </c>
    </row>
    <row r="226">
      <c r="A226" s="30" t="n"/>
      <c r="B226" s="30" t="n"/>
      <c r="C226" s="18">
        <f>IF($B226="","",IFERROR(VLOOKUP($B226,단가마스터!$A$4:$H$303,2,FALSE),"⚠️단가마스터에 없음"))</f>
        <v/>
      </c>
      <c r="D226" s="18">
        <f>IF($B226="","",IFERROR(VLOOKUP($B226,단가마스터!$A$4:$H$303,3,FALSE),""))</f>
        <v/>
      </c>
      <c r="E226" s="18">
        <f>IF($B226="","",IFERROR(VLOOKUP($B226,단가마스터!$A$4:$H$303,4,FALSE),""))</f>
        <v/>
      </c>
      <c r="F226" s="30" t="n"/>
      <c r="G226" s="20">
        <f>IF($B226="","",IFERROR(VLOOKUP($B226,단가마스터!$A$4:$H$303,5,FALSE),0))</f>
        <v/>
      </c>
      <c r="H226" s="20">
        <f>IF($B226="","",IFERROR(VLOOKUP($B226,단가마스터!$A$4:$H$303,6,FALSE),0))</f>
        <v/>
      </c>
      <c r="I226" s="20">
        <f>IF($B226="","",IFERROR(VLOOKUP($B226,단가마스터!$A$4:$H$303,7,FALSE),0))</f>
        <v/>
      </c>
      <c r="J226" s="20">
        <f>IF($B226="","",N($F226)*N($G226))</f>
        <v/>
      </c>
      <c r="K226" s="20">
        <f>IF($B226="","",N($F226)*N($H226))</f>
        <v/>
      </c>
      <c r="L226" s="20">
        <f>IF($B226="","",N($F226)*N($I226))</f>
        <v/>
      </c>
    </row>
    <row r="227">
      <c r="A227" s="30" t="n"/>
      <c r="B227" s="30" t="n"/>
      <c r="C227" s="18">
        <f>IF($B227="","",IFERROR(VLOOKUP($B227,단가마스터!$A$4:$H$303,2,FALSE),"⚠️단가마스터에 없음"))</f>
        <v/>
      </c>
      <c r="D227" s="18">
        <f>IF($B227="","",IFERROR(VLOOKUP($B227,단가마스터!$A$4:$H$303,3,FALSE),""))</f>
        <v/>
      </c>
      <c r="E227" s="18">
        <f>IF($B227="","",IFERROR(VLOOKUP($B227,단가마스터!$A$4:$H$303,4,FALSE),""))</f>
        <v/>
      </c>
      <c r="F227" s="30" t="n"/>
      <c r="G227" s="20">
        <f>IF($B227="","",IFERROR(VLOOKUP($B227,단가마스터!$A$4:$H$303,5,FALSE),0))</f>
        <v/>
      </c>
      <c r="H227" s="20">
        <f>IF($B227="","",IFERROR(VLOOKUP($B227,단가마스터!$A$4:$H$303,6,FALSE),0))</f>
        <v/>
      </c>
      <c r="I227" s="20">
        <f>IF($B227="","",IFERROR(VLOOKUP($B227,단가마스터!$A$4:$H$303,7,FALSE),0))</f>
        <v/>
      </c>
      <c r="J227" s="20">
        <f>IF($B227="","",N($F227)*N($G227))</f>
        <v/>
      </c>
      <c r="K227" s="20">
        <f>IF($B227="","",N($F227)*N($H227))</f>
        <v/>
      </c>
      <c r="L227" s="20">
        <f>IF($B227="","",N($F227)*N($I227))</f>
        <v/>
      </c>
    </row>
    <row r="228">
      <c r="A228" s="30" t="n"/>
      <c r="B228" s="30" t="n"/>
      <c r="C228" s="18">
        <f>IF($B228="","",IFERROR(VLOOKUP($B228,단가마스터!$A$4:$H$303,2,FALSE),"⚠️단가마스터에 없음"))</f>
        <v/>
      </c>
      <c r="D228" s="18">
        <f>IF($B228="","",IFERROR(VLOOKUP($B228,단가마스터!$A$4:$H$303,3,FALSE),""))</f>
        <v/>
      </c>
      <c r="E228" s="18">
        <f>IF($B228="","",IFERROR(VLOOKUP($B228,단가마스터!$A$4:$H$303,4,FALSE),""))</f>
        <v/>
      </c>
      <c r="F228" s="30" t="n"/>
      <c r="G228" s="20">
        <f>IF($B228="","",IFERROR(VLOOKUP($B228,단가마스터!$A$4:$H$303,5,FALSE),0))</f>
        <v/>
      </c>
      <c r="H228" s="20">
        <f>IF($B228="","",IFERROR(VLOOKUP($B228,단가마스터!$A$4:$H$303,6,FALSE),0))</f>
        <v/>
      </c>
      <c r="I228" s="20">
        <f>IF($B228="","",IFERROR(VLOOKUP($B228,단가마스터!$A$4:$H$303,7,FALSE),0))</f>
        <v/>
      </c>
      <c r="J228" s="20">
        <f>IF($B228="","",N($F228)*N($G228))</f>
        <v/>
      </c>
      <c r="K228" s="20">
        <f>IF($B228="","",N($F228)*N($H228))</f>
        <v/>
      </c>
      <c r="L228" s="20">
        <f>IF($B228="","",N($F228)*N($I228))</f>
        <v/>
      </c>
    </row>
    <row r="229">
      <c r="A229" s="30" t="n"/>
      <c r="B229" s="30" t="n"/>
      <c r="C229" s="18">
        <f>IF($B229="","",IFERROR(VLOOKUP($B229,단가마스터!$A$4:$H$303,2,FALSE),"⚠️단가마스터에 없음"))</f>
        <v/>
      </c>
      <c r="D229" s="18">
        <f>IF($B229="","",IFERROR(VLOOKUP($B229,단가마스터!$A$4:$H$303,3,FALSE),""))</f>
        <v/>
      </c>
      <c r="E229" s="18">
        <f>IF($B229="","",IFERROR(VLOOKUP($B229,단가마스터!$A$4:$H$303,4,FALSE),""))</f>
        <v/>
      </c>
      <c r="F229" s="30" t="n"/>
      <c r="G229" s="20">
        <f>IF($B229="","",IFERROR(VLOOKUP($B229,단가마스터!$A$4:$H$303,5,FALSE),0))</f>
        <v/>
      </c>
      <c r="H229" s="20">
        <f>IF($B229="","",IFERROR(VLOOKUP($B229,단가마스터!$A$4:$H$303,6,FALSE),0))</f>
        <v/>
      </c>
      <c r="I229" s="20">
        <f>IF($B229="","",IFERROR(VLOOKUP($B229,단가마스터!$A$4:$H$303,7,FALSE),0))</f>
        <v/>
      </c>
      <c r="J229" s="20">
        <f>IF($B229="","",N($F229)*N($G229))</f>
        <v/>
      </c>
      <c r="K229" s="20">
        <f>IF($B229="","",N($F229)*N($H229))</f>
        <v/>
      </c>
      <c r="L229" s="20">
        <f>IF($B229="","",N($F229)*N($I229))</f>
        <v/>
      </c>
    </row>
    <row r="230">
      <c r="A230" s="30" t="n"/>
      <c r="B230" s="30" t="n"/>
      <c r="C230" s="18">
        <f>IF($B230="","",IFERROR(VLOOKUP($B230,단가마스터!$A$4:$H$303,2,FALSE),"⚠️단가마스터에 없음"))</f>
        <v/>
      </c>
      <c r="D230" s="18">
        <f>IF($B230="","",IFERROR(VLOOKUP($B230,단가마스터!$A$4:$H$303,3,FALSE),""))</f>
        <v/>
      </c>
      <c r="E230" s="18">
        <f>IF($B230="","",IFERROR(VLOOKUP($B230,단가마스터!$A$4:$H$303,4,FALSE),""))</f>
        <v/>
      </c>
      <c r="F230" s="30" t="n"/>
      <c r="G230" s="20">
        <f>IF($B230="","",IFERROR(VLOOKUP($B230,단가마스터!$A$4:$H$303,5,FALSE),0))</f>
        <v/>
      </c>
      <c r="H230" s="20">
        <f>IF($B230="","",IFERROR(VLOOKUP($B230,단가마스터!$A$4:$H$303,6,FALSE),0))</f>
        <v/>
      </c>
      <c r="I230" s="20">
        <f>IF($B230="","",IFERROR(VLOOKUP($B230,단가마스터!$A$4:$H$303,7,FALSE),0))</f>
        <v/>
      </c>
      <c r="J230" s="20">
        <f>IF($B230="","",N($F230)*N($G230))</f>
        <v/>
      </c>
      <c r="K230" s="20">
        <f>IF($B230="","",N($F230)*N($H230))</f>
        <v/>
      </c>
      <c r="L230" s="20">
        <f>IF($B230="","",N($F230)*N($I230))</f>
        <v/>
      </c>
    </row>
    <row r="231">
      <c r="A231" s="30" t="n"/>
      <c r="B231" s="30" t="n"/>
      <c r="C231" s="18">
        <f>IF($B231="","",IFERROR(VLOOKUP($B231,단가마스터!$A$4:$H$303,2,FALSE),"⚠️단가마스터에 없음"))</f>
        <v/>
      </c>
      <c r="D231" s="18">
        <f>IF($B231="","",IFERROR(VLOOKUP($B231,단가마스터!$A$4:$H$303,3,FALSE),""))</f>
        <v/>
      </c>
      <c r="E231" s="18">
        <f>IF($B231="","",IFERROR(VLOOKUP($B231,단가마스터!$A$4:$H$303,4,FALSE),""))</f>
        <v/>
      </c>
      <c r="F231" s="30" t="n"/>
      <c r="G231" s="20">
        <f>IF($B231="","",IFERROR(VLOOKUP($B231,단가마스터!$A$4:$H$303,5,FALSE),0))</f>
        <v/>
      </c>
      <c r="H231" s="20">
        <f>IF($B231="","",IFERROR(VLOOKUP($B231,단가마스터!$A$4:$H$303,6,FALSE),0))</f>
        <v/>
      </c>
      <c r="I231" s="20">
        <f>IF($B231="","",IFERROR(VLOOKUP($B231,단가마스터!$A$4:$H$303,7,FALSE),0))</f>
        <v/>
      </c>
      <c r="J231" s="20">
        <f>IF($B231="","",N($F231)*N($G231))</f>
        <v/>
      </c>
      <c r="K231" s="20">
        <f>IF($B231="","",N($F231)*N($H231))</f>
        <v/>
      </c>
      <c r="L231" s="20">
        <f>IF($B231="","",N($F231)*N($I231))</f>
        <v/>
      </c>
    </row>
    <row r="232">
      <c r="A232" s="30" t="n"/>
      <c r="B232" s="30" t="n"/>
      <c r="C232" s="18">
        <f>IF($B232="","",IFERROR(VLOOKUP($B232,단가마스터!$A$4:$H$303,2,FALSE),"⚠️단가마스터에 없음"))</f>
        <v/>
      </c>
      <c r="D232" s="18">
        <f>IF($B232="","",IFERROR(VLOOKUP($B232,단가마스터!$A$4:$H$303,3,FALSE),""))</f>
        <v/>
      </c>
      <c r="E232" s="18">
        <f>IF($B232="","",IFERROR(VLOOKUP($B232,단가마스터!$A$4:$H$303,4,FALSE),""))</f>
        <v/>
      </c>
      <c r="F232" s="30" t="n"/>
      <c r="G232" s="20">
        <f>IF($B232="","",IFERROR(VLOOKUP($B232,단가마스터!$A$4:$H$303,5,FALSE),0))</f>
        <v/>
      </c>
      <c r="H232" s="20">
        <f>IF($B232="","",IFERROR(VLOOKUP($B232,단가마스터!$A$4:$H$303,6,FALSE),0))</f>
        <v/>
      </c>
      <c r="I232" s="20">
        <f>IF($B232="","",IFERROR(VLOOKUP($B232,단가마스터!$A$4:$H$303,7,FALSE),0))</f>
        <v/>
      </c>
      <c r="J232" s="20">
        <f>IF($B232="","",N($F232)*N($G232))</f>
        <v/>
      </c>
      <c r="K232" s="20">
        <f>IF($B232="","",N($F232)*N($H232))</f>
        <v/>
      </c>
      <c r="L232" s="20">
        <f>IF($B232="","",N($F232)*N($I232))</f>
        <v/>
      </c>
    </row>
    <row r="233">
      <c r="A233" s="30" t="n"/>
      <c r="B233" s="30" t="n"/>
      <c r="C233" s="18">
        <f>IF($B233="","",IFERROR(VLOOKUP($B233,단가마스터!$A$4:$H$303,2,FALSE),"⚠️단가마스터에 없음"))</f>
        <v/>
      </c>
      <c r="D233" s="18">
        <f>IF($B233="","",IFERROR(VLOOKUP($B233,단가마스터!$A$4:$H$303,3,FALSE),""))</f>
        <v/>
      </c>
      <c r="E233" s="18">
        <f>IF($B233="","",IFERROR(VLOOKUP($B233,단가마스터!$A$4:$H$303,4,FALSE),""))</f>
        <v/>
      </c>
      <c r="F233" s="30" t="n"/>
      <c r="G233" s="20">
        <f>IF($B233="","",IFERROR(VLOOKUP($B233,단가마스터!$A$4:$H$303,5,FALSE),0))</f>
        <v/>
      </c>
      <c r="H233" s="20">
        <f>IF($B233="","",IFERROR(VLOOKUP($B233,단가마스터!$A$4:$H$303,6,FALSE),0))</f>
        <v/>
      </c>
      <c r="I233" s="20">
        <f>IF($B233="","",IFERROR(VLOOKUP($B233,단가마스터!$A$4:$H$303,7,FALSE),0))</f>
        <v/>
      </c>
      <c r="J233" s="20">
        <f>IF($B233="","",N($F233)*N($G233))</f>
        <v/>
      </c>
      <c r="K233" s="20">
        <f>IF($B233="","",N($F233)*N($H233))</f>
        <v/>
      </c>
      <c r="L233" s="20">
        <f>IF($B233="","",N($F233)*N($I233))</f>
        <v/>
      </c>
    </row>
    <row r="234">
      <c r="A234" s="30" t="n"/>
      <c r="B234" s="30" t="n"/>
      <c r="C234" s="18">
        <f>IF($B234="","",IFERROR(VLOOKUP($B234,단가마스터!$A$4:$H$303,2,FALSE),"⚠️단가마스터에 없음"))</f>
        <v/>
      </c>
      <c r="D234" s="18">
        <f>IF($B234="","",IFERROR(VLOOKUP($B234,단가마스터!$A$4:$H$303,3,FALSE),""))</f>
        <v/>
      </c>
      <c r="E234" s="18">
        <f>IF($B234="","",IFERROR(VLOOKUP($B234,단가마스터!$A$4:$H$303,4,FALSE),""))</f>
        <v/>
      </c>
      <c r="F234" s="30" t="n"/>
      <c r="G234" s="20">
        <f>IF($B234="","",IFERROR(VLOOKUP($B234,단가마스터!$A$4:$H$303,5,FALSE),0))</f>
        <v/>
      </c>
      <c r="H234" s="20">
        <f>IF($B234="","",IFERROR(VLOOKUP($B234,단가마스터!$A$4:$H$303,6,FALSE),0))</f>
        <v/>
      </c>
      <c r="I234" s="20">
        <f>IF($B234="","",IFERROR(VLOOKUP($B234,단가마스터!$A$4:$H$303,7,FALSE),0))</f>
        <v/>
      </c>
      <c r="J234" s="20">
        <f>IF($B234="","",N($F234)*N($G234))</f>
        <v/>
      </c>
      <c r="K234" s="20">
        <f>IF($B234="","",N($F234)*N($H234))</f>
        <v/>
      </c>
      <c r="L234" s="20">
        <f>IF($B234="","",N($F234)*N($I234))</f>
        <v/>
      </c>
    </row>
    <row r="235">
      <c r="A235" s="30" t="n"/>
      <c r="B235" s="30" t="n"/>
      <c r="C235" s="18">
        <f>IF($B235="","",IFERROR(VLOOKUP($B235,단가마스터!$A$4:$H$303,2,FALSE),"⚠️단가마스터에 없음"))</f>
        <v/>
      </c>
      <c r="D235" s="18">
        <f>IF($B235="","",IFERROR(VLOOKUP($B235,단가마스터!$A$4:$H$303,3,FALSE),""))</f>
        <v/>
      </c>
      <c r="E235" s="18">
        <f>IF($B235="","",IFERROR(VLOOKUP($B235,단가마스터!$A$4:$H$303,4,FALSE),""))</f>
        <v/>
      </c>
      <c r="F235" s="30" t="n"/>
      <c r="G235" s="20">
        <f>IF($B235="","",IFERROR(VLOOKUP($B235,단가마스터!$A$4:$H$303,5,FALSE),0))</f>
        <v/>
      </c>
      <c r="H235" s="20">
        <f>IF($B235="","",IFERROR(VLOOKUP($B235,단가마스터!$A$4:$H$303,6,FALSE),0))</f>
        <v/>
      </c>
      <c r="I235" s="20">
        <f>IF($B235="","",IFERROR(VLOOKUP($B235,단가마스터!$A$4:$H$303,7,FALSE),0))</f>
        <v/>
      </c>
      <c r="J235" s="20">
        <f>IF($B235="","",N($F235)*N($G235))</f>
        <v/>
      </c>
      <c r="K235" s="20">
        <f>IF($B235="","",N($F235)*N($H235))</f>
        <v/>
      </c>
      <c r="L235" s="20">
        <f>IF($B235="","",N($F235)*N($I235))</f>
        <v/>
      </c>
    </row>
    <row r="236">
      <c r="A236" s="30" t="n"/>
      <c r="B236" s="30" t="n"/>
      <c r="C236" s="18">
        <f>IF($B236="","",IFERROR(VLOOKUP($B236,단가마스터!$A$4:$H$303,2,FALSE),"⚠️단가마스터에 없음"))</f>
        <v/>
      </c>
      <c r="D236" s="18">
        <f>IF($B236="","",IFERROR(VLOOKUP($B236,단가마스터!$A$4:$H$303,3,FALSE),""))</f>
        <v/>
      </c>
      <c r="E236" s="18">
        <f>IF($B236="","",IFERROR(VLOOKUP($B236,단가마스터!$A$4:$H$303,4,FALSE),""))</f>
        <v/>
      </c>
      <c r="F236" s="30" t="n"/>
      <c r="G236" s="20">
        <f>IF($B236="","",IFERROR(VLOOKUP($B236,단가마스터!$A$4:$H$303,5,FALSE),0))</f>
        <v/>
      </c>
      <c r="H236" s="20">
        <f>IF($B236="","",IFERROR(VLOOKUP($B236,단가마스터!$A$4:$H$303,6,FALSE),0))</f>
        <v/>
      </c>
      <c r="I236" s="20">
        <f>IF($B236="","",IFERROR(VLOOKUP($B236,단가마스터!$A$4:$H$303,7,FALSE),0))</f>
        <v/>
      </c>
      <c r="J236" s="20">
        <f>IF($B236="","",N($F236)*N($G236))</f>
        <v/>
      </c>
      <c r="K236" s="20">
        <f>IF($B236="","",N($F236)*N($H236))</f>
        <v/>
      </c>
      <c r="L236" s="20">
        <f>IF($B236="","",N($F236)*N($I236))</f>
        <v/>
      </c>
    </row>
    <row r="237">
      <c r="A237" s="30" t="n"/>
      <c r="B237" s="30" t="n"/>
      <c r="C237" s="18">
        <f>IF($B237="","",IFERROR(VLOOKUP($B237,단가마스터!$A$4:$H$303,2,FALSE),"⚠️단가마스터에 없음"))</f>
        <v/>
      </c>
      <c r="D237" s="18">
        <f>IF($B237="","",IFERROR(VLOOKUP($B237,단가마스터!$A$4:$H$303,3,FALSE),""))</f>
        <v/>
      </c>
      <c r="E237" s="18">
        <f>IF($B237="","",IFERROR(VLOOKUP($B237,단가마스터!$A$4:$H$303,4,FALSE),""))</f>
        <v/>
      </c>
      <c r="F237" s="30" t="n"/>
      <c r="G237" s="20">
        <f>IF($B237="","",IFERROR(VLOOKUP($B237,단가마스터!$A$4:$H$303,5,FALSE),0))</f>
        <v/>
      </c>
      <c r="H237" s="20">
        <f>IF($B237="","",IFERROR(VLOOKUP($B237,단가마스터!$A$4:$H$303,6,FALSE),0))</f>
        <v/>
      </c>
      <c r="I237" s="20">
        <f>IF($B237="","",IFERROR(VLOOKUP($B237,단가마스터!$A$4:$H$303,7,FALSE),0))</f>
        <v/>
      </c>
      <c r="J237" s="20">
        <f>IF($B237="","",N($F237)*N($G237))</f>
        <v/>
      </c>
      <c r="K237" s="20">
        <f>IF($B237="","",N($F237)*N($H237))</f>
        <v/>
      </c>
      <c r="L237" s="20">
        <f>IF($B237="","",N($F237)*N($I237))</f>
        <v/>
      </c>
    </row>
    <row r="238">
      <c r="A238" s="30" t="n"/>
      <c r="B238" s="30" t="n"/>
      <c r="C238" s="18">
        <f>IF($B238="","",IFERROR(VLOOKUP($B238,단가마스터!$A$4:$H$303,2,FALSE),"⚠️단가마스터에 없음"))</f>
        <v/>
      </c>
      <c r="D238" s="18">
        <f>IF($B238="","",IFERROR(VLOOKUP($B238,단가마스터!$A$4:$H$303,3,FALSE),""))</f>
        <v/>
      </c>
      <c r="E238" s="18">
        <f>IF($B238="","",IFERROR(VLOOKUP($B238,단가마스터!$A$4:$H$303,4,FALSE),""))</f>
        <v/>
      </c>
      <c r="F238" s="30" t="n"/>
      <c r="G238" s="20">
        <f>IF($B238="","",IFERROR(VLOOKUP($B238,단가마스터!$A$4:$H$303,5,FALSE),0))</f>
        <v/>
      </c>
      <c r="H238" s="20">
        <f>IF($B238="","",IFERROR(VLOOKUP($B238,단가마스터!$A$4:$H$303,6,FALSE),0))</f>
        <v/>
      </c>
      <c r="I238" s="20">
        <f>IF($B238="","",IFERROR(VLOOKUP($B238,단가마스터!$A$4:$H$303,7,FALSE),0))</f>
        <v/>
      </c>
      <c r="J238" s="20">
        <f>IF($B238="","",N($F238)*N($G238))</f>
        <v/>
      </c>
      <c r="K238" s="20">
        <f>IF($B238="","",N($F238)*N($H238))</f>
        <v/>
      </c>
      <c r="L238" s="20">
        <f>IF($B238="","",N($F238)*N($I238))</f>
        <v/>
      </c>
    </row>
    <row r="239">
      <c r="A239" s="30" t="n"/>
      <c r="B239" s="30" t="n"/>
      <c r="C239" s="18">
        <f>IF($B239="","",IFERROR(VLOOKUP($B239,단가마스터!$A$4:$H$303,2,FALSE),"⚠️단가마스터에 없음"))</f>
        <v/>
      </c>
      <c r="D239" s="18">
        <f>IF($B239="","",IFERROR(VLOOKUP($B239,단가마스터!$A$4:$H$303,3,FALSE),""))</f>
        <v/>
      </c>
      <c r="E239" s="18">
        <f>IF($B239="","",IFERROR(VLOOKUP($B239,단가마스터!$A$4:$H$303,4,FALSE),""))</f>
        <v/>
      </c>
      <c r="F239" s="30" t="n"/>
      <c r="G239" s="20">
        <f>IF($B239="","",IFERROR(VLOOKUP($B239,단가마스터!$A$4:$H$303,5,FALSE),0))</f>
        <v/>
      </c>
      <c r="H239" s="20">
        <f>IF($B239="","",IFERROR(VLOOKUP($B239,단가마스터!$A$4:$H$303,6,FALSE),0))</f>
        <v/>
      </c>
      <c r="I239" s="20">
        <f>IF($B239="","",IFERROR(VLOOKUP($B239,단가마스터!$A$4:$H$303,7,FALSE),0))</f>
        <v/>
      </c>
      <c r="J239" s="20">
        <f>IF($B239="","",N($F239)*N($G239))</f>
        <v/>
      </c>
      <c r="K239" s="20">
        <f>IF($B239="","",N($F239)*N($H239))</f>
        <v/>
      </c>
      <c r="L239" s="20">
        <f>IF($B239="","",N($F239)*N($I239))</f>
        <v/>
      </c>
    </row>
    <row r="240">
      <c r="A240" s="30" t="n"/>
      <c r="B240" s="30" t="n"/>
      <c r="C240" s="18">
        <f>IF($B240="","",IFERROR(VLOOKUP($B240,단가마스터!$A$4:$H$303,2,FALSE),"⚠️단가마스터에 없음"))</f>
        <v/>
      </c>
      <c r="D240" s="18">
        <f>IF($B240="","",IFERROR(VLOOKUP($B240,단가마스터!$A$4:$H$303,3,FALSE),""))</f>
        <v/>
      </c>
      <c r="E240" s="18">
        <f>IF($B240="","",IFERROR(VLOOKUP($B240,단가마스터!$A$4:$H$303,4,FALSE),""))</f>
        <v/>
      </c>
      <c r="F240" s="30" t="n"/>
      <c r="G240" s="20">
        <f>IF($B240="","",IFERROR(VLOOKUP($B240,단가마스터!$A$4:$H$303,5,FALSE),0))</f>
        <v/>
      </c>
      <c r="H240" s="20">
        <f>IF($B240="","",IFERROR(VLOOKUP($B240,단가마스터!$A$4:$H$303,6,FALSE),0))</f>
        <v/>
      </c>
      <c r="I240" s="20">
        <f>IF($B240="","",IFERROR(VLOOKUP($B240,단가마스터!$A$4:$H$303,7,FALSE),0))</f>
        <v/>
      </c>
      <c r="J240" s="20">
        <f>IF($B240="","",N($F240)*N($G240))</f>
        <v/>
      </c>
      <c r="K240" s="20">
        <f>IF($B240="","",N($F240)*N($H240))</f>
        <v/>
      </c>
      <c r="L240" s="20">
        <f>IF($B240="","",N($F240)*N($I240))</f>
        <v/>
      </c>
    </row>
    <row r="241">
      <c r="A241" s="30" t="n"/>
      <c r="B241" s="30" t="n"/>
      <c r="C241" s="18">
        <f>IF($B241="","",IFERROR(VLOOKUP($B241,단가마스터!$A$4:$H$303,2,FALSE),"⚠️단가마스터에 없음"))</f>
        <v/>
      </c>
      <c r="D241" s="18">
        <f>IF($B241="","",IFERROR(VLOOKUP($B241,단가마스터!$A$4:$H$303,3,FALSE),""))</f>
        <v/>
      </c>
      <c r="E241" s="18">
        <f>IF($B241="","",IFERROR(VLOOKUP($B241,단가마스터!$A$4:$H$303,4,FALSE),""))</f>
        <v/>
      </c>
      <c r="F241" s="30" t="n"/>
      <c r="G241" s="20">
        <f>IF($B241="","",IFERROR(VLOOKUP($B241,단가마스터!$A$4:$H$303,5,FALSE),0))</f>
        <v/>
      </c>
      <c r="H241" s="20">
        <f>IF($B241="","",IFERROR(VLOOKUP($B241,단가마스터!$A$4:$H$303,6,FALSE),0))</f>
        <v/>
      </c>
      <c r="I241" s="20">
        <f>IF($B241="","",IFERROR(VLOOKUP($B241,단가마스터!$A$4:$H$303,7,FALSE),0))</f>
        <v/>
      </c>
      <c r="J241" s="20">
        <f>IF($B241="","",N($F241)*N($G241))</f>
        <v/>
      </c>
      <c r="K241" s="20">
        <f>IF($B241="","",N($F241)*N($H241))</f>
        <v/>
      </c>
      <c r="L241" s="20">
        <f>IF($B241="","",N($F241)*N($I241))</f>
        <v/>
      </c>
    </row>
    <row r="242">
      <c r="A242" s="30" t="n"/>
      <c r="B242" s="30" t="n"/>
      <c r="C242" s="18">
        <f>IF($B242="","",IFERROR(VLOOKUP($B242,단가마스터!$A$4:$H$303,2,FALSE),"⚠️단가마스터에 없음"))</f>
        <v/>
      </c>
      <c r="D242" s="18">
        <f>IF($B242="","",IFERROR(VLOOKUP($B242,단가마스터!$A$4:$H$303,3,FALSE),""))</f>
        <v/>
      </c>
      <c r="E242" s="18">
        <f>IF($B242="","",IFERROR(VLOOKUP($B242,단가마스터!$A$4:$H$303,4,FALSE),""))</f>
        <v/>
      </c>
      <c r="F242" s="30" t="n"/>
      <c r="G242" s="20">
        <f>IF($B242="","",IFERROR(VLOOKUP($B242,단가마스터!$A$4:$H$303,5,FALSE),0))</f>
        <v/>
      </c>
      <c r="H242" s="20">
        <f>IF($B242="","",IFERROR(VLOOKUP($B242,단가마스터!$A$4:$H$303,6,FALSE),0))</f>
        <v/>
      </c>
      <c r="I242" s="20">
        <f>IF($B242="","",IFERROR(VLOOKUP($B242,단가마스터!$A$4:$H$303,7,FALSE),0))</f>
        <v/>
      </c>
      <c r="J242" s="20">
        <f>IF($B242="","",N($F242)*N($G242))</f>
        <v/>
      </c>
      <c r="K242" s="20">
        <f>IF($B242="","",N($F242)*N($H242))</f>
        <v/>
      </c>
      <c r="L242" s="20">
        <f>IF($B242="","",N($F242)*N($I242))</f>
        <v/>
      </c>
    </row>
    <row r="243">
      <c r="A243" s="30" t="n"/>
      <c r="B243" s="30" t="n"/>
      <c r="C243" s="18">
        <f>IF($B243="","",IFERROR(VLOOKUP($B243,단가마스터!$A$4:$H$303,2,FALSE),"⚠️단가마스터에 없음"))</f>
        <v/>
      </c>
      <c r="D243" s="18">
        <f>IF($B243="","",IFERROR(VLOOKUP($B243,단가마스터!$A$4:$H$303,3,FALSE),""))</f>
        <v/>
      </c>
      <c r="E243" s="18">
        <f>IF($B243="","",IFERROR(VLOOKUP($B243,단가마스터!$A$4:$H$303,4,FALSE),""))</f>
        <v/>
      </c>
      <c r="F243" s="30" t="n"/>
      <c r="G243" s="20">
        <f>IF($B243="","",IFERROR(VLOOKUP($B243,단가마스터!$A$4:$H$303,5,FALSE),0))</f>
        <v/>
      </c>
      <c r="H243" s="20">
        <f>IF($B243="","",IFERROR(VLOOKUP($B243,단가마스터!$A$4:$H$303,6,FALSE),0))</f>
        <v/>
      </c>
      <c r="I243" s="20">
        <f>IF($B243="","",IFERROR(VLOOKUP($B243,단가마스터!$A$4:$H$303,7,FALSE),0))</f>
        <v/>
      </c>
      <c r="J243" s="20">
        <f>IF($B243="","",N($F243)*N($G243))</f>
        <v/>
      </c>
      <c r="K243" s="20">
        <f>IF($B243="","",N($F243)*N($H243))</f>
        <v/>
      </c>
      <c r="L243" s="20">
        <f>IF($B243="","",N($F243)*N($I243))</f>
        <v/>
      </c>
    </row>
    <row r="244">
      <c r="A244" s="30" t="n"/>
      <c r="B244" s="30" t="n"/>
      <c r="C244" s="18">
        <f>IF($B244="","",IFERROR(VLOOKUP($B244,단가마스터!$A$4:$H$303,2,FALSE),"⚠️단가마스터에 없음"))</f>
        <v/>
      </c>
      <c r="D244" s="18">
        <f>IF($B244="","",IFERROR(VLOOKUP($B244,단가마스터!$A$4:$H$303,3,FALSE),""))</f>
        <v/>
      </c>
      <c r="E244" s="18">
        <f>IF($B244="","",IFERROR(VLOOKUP($B244,단가마스터!$A$4:$H$303,4,FALSE),""))</f>
        <v/>
      </c>
      <c r="F244" s="30" t="n"/>
      <c r="G244" s="20">
        <f>IF($B244="","",IFERROR(VLOOKUP($B244,단가마스터!$A$4:$H$303,5,FALSE),0))</f>
        <v/>
      </c>
      <c r="H244" s="20">
        <f>IF($B244="","",IFERROR(VLOOKUP($B244,단가마스터!$A$4:$H$303,6,FALSE),0))</f>
        <v/>
      </c>
      <c r="I244" s="20">
        <f>IF($B244="","",IFERROR(VLOOKUP($B244,단가마스터!$A$4:$H$303,7,FALSE),0))</f>
        <v/>
      </c>
      <c r="J244" s="20">
        <f>IF($B244="","",N($F244)*N($G244))</f>
        <v/>
      </c>
      <c r="K244" s="20">
        <f>IF($B244="","",N($F244)*N($H244))</f>
        <v/>
      </c>
      <c r="L244" s="20">
        <f>IF($B244="","",N($F244)*N($I244))</f>
        <v/>
      </c>
    </row>
    <row r="245">
      <c r="A245" s="30" t="n"/>
      <c r="B245" s="30" t="n"/>
      <c r="C245" s="18">
        <f>IF($B245="","",IFERROR(VLOOKUP($B245,단가마스터!$A$4:$H$303,2,FALSE),"⚠️단가마스터에 없음"))</f>
        <v/>
      </c>
      <c r="D245" s="18">
        <f>IF($B245="","",IFERROR(VLOOKUP($B245,단가마스터!$A$4:$H$303,3,FALSE),""))</f>
        <v/>
      </c>
      <c r="E245" s="18">
        <f>IF($B245="","",IFERROR(VLOOKUP($B245,단가마스터!$A$4:$H$303,4,FALSE),""))</f>
        <v/>
      </c>
      <c r="F245" s="30" t="n"/>
      <c r="G245" s="20">
        <f>IF($B245="","",IFERROR(VLOOKUP($B245,단가마스터!$A$4:$H$303,5,FALSE),0))</f>
        <v/>
      </c>
      <c r="H245" s="20">
        <f>IF($B245="","",IFERROR(VLOOKUP($B245,단가마스터!$A$4:$H$303,6,FALSE),0))</f>
        <v/>
      </c>
      <c r="I245" s="20">
        <f>IF($B245="","",IFERROR(VLOOKUP($B245,단가마스터!$A$4:$H$303,7,FALSE),0))</f>
        <v/>
      </c>
      <c r="J245" s="20">
        <f>IF($B245="","",N($F245)*N($G245))</f>
        <v/>
      </c>
      <c r="K245" s="20">
        <f>IF($B245="","",N($F245)*N($H245))</f>
        <v/>
      </c>
      <c r="L245" s="20">
        <f>IF($B245="","",N($F245)*N($I245))</f>
        <v/>
      </c>
    </row>
    <row r="246">
      <c r="A246" s="30" t="n"/>
      <c r="B246" s="30" t="n"/>
      <c r="C246" s="18">
        <f>IF($B246="","",IFERROR(VLOOKUP($B246,단가마스터!$A$4:$H$303,2,FALSE),"⚠️단가마스터에 없음"))</f>
        <v/>
      </c>
      <c r="D246" s="18">
        <f>IF($B246="","",IFERROR(VLOOKUP($B246,단가마스터!$A$4:$H$303,3,FALSE),""))</f>
        <v/>
      </c>
      <c r="E246" s="18">
        <f>IF($B246="","",IFERROR(VLOOKUP($B246,단가마스터!$A$4:$H$303,4,FALSE),""))</f>
        <v/>
      </c>
      <c r="F246" s="30" t="n"/>
      <c r="G246" s="20">
        <f>IF($B246="","",IFERROR(VLOOKUP($B246,단가마스터!$A$4:$H$303,5,FALSE),0))</f>
        <v/>
      </c>
      <c r="H246" s="20">
        <f>IF($B246="","",IFERROR(VLOOKUP($B246,단가마스터!$A$4:$H$303,6,FALSE),0))</f>
        <v/>
      </c>
      <c r="I246" s="20">
        <f>IF($B246="","",IFERROR(VLOOKUP($B246,단가마스터!$A$4:$H$303,7,FALSE),0))</f>
        <v/>
      </c>
      <c r="J246" s="20">
        <f>IF($B246="","",N($F246)*N($G246))</f>
        <v/>
      </c>
      <c r="K246" s="20">
        <f>IF($B246="","",N($F246)*N($H246))</f>
        <v/>
      </c>
      <c r="L246" s="20">
        <f>IF($B246="","",N($F246)*N($I246))</f>
        <v/>
      </c>
    </row>
    <row r="247">
      <c r="A247" s="30" t="n"/>
      <c r="B247" s="30" t="n"/>
      <c r="C247" s="18">
        <f>IF($B247="","",IFERROR(VLOOKUP($B247,단가마스터!$A$4:$H$303,2,FALSE),"⚠️단가마스터에 없음"))</f>
        <v/>
      </c>
      <c r="D247" s="18">
        <f>IF($B247="","",IFERROR(VLOOKUP($B247,단가마스터!$A$4:$H$303,3,FALSE),""))</f>
        <v/>
      </c>
      <c r="E247" s="18">
        <f>IF($B247="","",IFERROR(VLOOKUP($B247,단가마스터!$A$4:$H$303,4,FALSE),""))</f>
        <v/>
      </c>
      <c r="F247" s="30" t="n"/>
      <c r="G247" s="20">
        <f>IF($B247="","",IFERROR(VLOOKUP($B247,단가마스터!$A$4:$H$303,5,FALSE),0))</f>
        <v/>
      </c>
      <c r="H247" s="20">
        <f>IF($B247="","",IFERROR(VLOOKUP($B247,단가마스터!$A$4:$H$303,6,FALSE),0))</f>
        <v/>
      </c>
      <c r="I247" s="20">
        <f>IF($B247="","",IFERROR(VLOOKUP($B247,단가마스터!$A$4:$H$303,7,FALSE),0))</f>
        <v/>
      </c>
      <c r="J247" s="20">
        <f>IF($B247="","",N($F247)*N($G247))</f>
        <v/>
      </c>
      <c r="K247" s="20">
        <f>IF($B247="","",N($F247)*N($H247))</f>
        <v/>
      </c>
      <c r="L247" s="20">
        <f>IF($B247="","",N($F247)*N($I247))</f>
        <v/>
      </c>
    </row>
    <row r="248">
      <c r="A248" s="30" t="n"/>
      <c r="B248" s="30" t="n"/>
      <c r="C248" s="18">
        <f>IF($B248="","",IFERROR(VLOOKUP($B248,단가마스터!$A$4:$H$303,2,FALSE),"⚠️단가마스터에 없음"))</f>
        <v/>
      </c>
      <c r="D248" s="18">
        <f>IF($B248="","",IFERROR(VLOOKUP($B248,단가마스터!$A$4:$H$303,3,FALSE),""))</f>
        <v/>
      </c>
      <c r="E248" s="18">
        <f>IF($B248="","",IFERROR(VLOOKUP($B248,단가마스터!$A$4:$H$303,4,FALSE),""))</f>
        <v/>
      </c>
      <c r="F248" s="30" t="n"/>
      <c r="G248" s="20">
        <f>IF($B248="","",IFERROR(VLOOKUP($B248,단가마스터!$A$4:$H$303,5,FALSE),0))</f>
        <v/>
      </c>
      <c r="H248" s="20">
        <f>IF($B248="","",IFERROR(VLOOKUP($B248,단가마스터!$A$4:$H$303,6,FALSE),0))</f>
        <v/>
      </c>
      <c r="I248" s="20">
        <f>IF($B248="","",IFERROR(VLOOKUP($B248,단가마스터!$A$4:$H$303,7,FALSE),0))</f>
        <v/>
      </c>
      <c r="J248" s="20">
        <f>IF($B248="","",N($F248)*N($G248))</f>
        <v/>
      </c>
      <c r="K248" s="20">
        <f>IF($B248="","",N($F248)*N($H248))</f>
        <v/>
      </c>
      <c r="L248" s="20">
        <f>IF($B248="","",N($F248)*N($I248))</f>
        <v/>
      </c>
    </row>
    <row r="249">
      <c r="A249" s="30" t="n"/>
      <c r="B249" s="30" t="n"/>
      <c r="C249" s="18">
        <f>IF($B249="","",IFERROR(VLOOKUP($B249,단가마스터!$A$4:$H$303,2,FALSE),"⚠️단가마스터에 없음"))</f>
        <v/>
      </c>
      <c r="D249" s="18">
        <f>IF($B249="","",IFERROR(VLOOKUP($B249,단가마스터!$A$4:$H$303,3,FALSE),""))</f>
        <v/>
      </c>
      <c r="E249" s="18">
        <f>IF($B249="","",IFERROR(VLOOKUP($B249,단가마스터!$A$4:$H$303,4,FALSE),""))</f>
        <v/>
      </c>
      <c r="F249" s="30" t="n"/>
      <c r="G249" s="20">
        <f>IF($B249="","",IFERROR(VLOOKUP($B249,단가마스터!$A$4:$H$303,5,FALSE),0))</f>
        <v/>
      </c>
      <c r="H249" s="20">
        <f>IF($B249="","",IFERROR(VLOOKUP($B249,단가마스터!$A$4:$H$303,6,FALSE),0))</f>
        <v/>
      </c>
      <c r="I249" s="20">
        <f>IF($B249="","",IFERROR(VLOOKUP($B249,단가마스터!$A$4:$H$303,7,FALSE),0))</f>
        <v/>
      </c>
      <c r="J249" s="20">
        <f>IF($B249="","",N($F249)*N($G249))</f>
        <v/>
      </c>
      <c r="K249" s="20">
        <f>IF($B249="","",N($F249)*N($H249))</f>
        <v/>
      </c>
      <c r="L249" s="20">
        <f>IF($B249="","",N($F249)*N($I249))</f>
        <v/>
      </c>
    </row>
    <row r="250">
      <c r="A250" s="30" t="n"/>
      <c r="B250" s="30" t="n"/>
      <c r="C250" s="18">
        <f>IF($B250="","",IFERROR(VLOOKUP($B250,단가마스터!$A$4:$H$303,2,FALSE),"⚠️단가마스터에 없음"))</f>
        <v/>
      </c>
      <c r="D250" s="18">
        <f>IF($B250="","",IFERROR(VLOOKUP($B250,단가마스터!$A$4:$H$303,3,FALSE),""))</f>
        <v/>
      </c>
      <c r="E250" s="18">
        <f>IF($B250="","",IFERROR(VLOOKUP($B250,단가마스터!$A$4:$H$303,4,FALSE),""))</f>
        <v/>
      </c>
      <c r="F250" s="30" t="n"/>
      <c r="G250" s="20">
        <f>IF($B250="","",IFERROR(VLOOKUP($B250,단가마스터!$A$4:$H$303,5,FALSE),0))</f>
        <v/>
      </c>
      <c r="H250" s="20">
        <f>IF($B250="","",IFERROR(VLOOKUP($B250,단가마스터!$A$4:$H$303,6,FALSE),0))</f>
        <v/>
      </c>
      <c r="I250" s="20">
        <f>IF($B250="","",IFERROR(VLOOKUP($B250,단가마스터!$A$4:$H$303,7,FALSE),0))</f>
        <v/>
      </c>
      <c r="J250" s="20">
        <f>IF($B250="","",N($F250)*N($G250))</f>
        <v/>
      </c>
      <c r="K250" s="20">
        <f>IF($B250="","",N($F250)*N($H250))</f>
        <v/>
      </c>
      <c r="L250" s="20">
        <f>IF($B250="","",N($F250)*N($I250))</f>
        <v/>
      </c>
    </row>
    <row r="251">
      <c r="A251" s="30" t="n"/>
      <c r="B251" s="30" t="n"/>
      <c r="C251" s="18">
        <f>IF($B251="","",IFERROR(VLOOKUP($B251,단가마스터!$A$4:$H$303,2,FALSE),"⚠️단가마스터에 없음"))</f>
        <v/>
      </c>
      <c r="D251" s="18">
        <f>IF($B251="","",IFERROR(VLOOKUP($B251,단가마스터!$A$4:$H$303,3,FALSE),""))</f>
        <v/>
      </c>
      <c r="E251" s="18">
        <f>IF($B251="","",IFERROR(VLOOKUP($B251,단가마스터!$A$4:$H$303,4,FALSE),""))</f>
        <v/>
      </c>
      <c r="F251" s="30" t="n"/>
      <c r="G251" s="20">
        <f>IF($B251="","",IFERROR(VLOOKUP($B251,단가마스터!$A$4:$H$303,5,FALSE),0))</f>
        <v/>
      </c>
      <c r="H251" s="20">
        <f>IF($B251="","",IFERROR(VLOOKUP($B251,단가마스터!$A$4:$H$303,6,FALSE),0))</f>
        <v/>
      </c>
      <c r="I251" s="20">
        <f>IF($B251="","",IFERROR(VLOOKUP($B251,단가마스터!$A$4:$H$303,7,FALSE),0))</f>
        <v/>
      </c>
      <c r="J251" s="20">
        <f>IF($B251="","",N($F251)*N($G251))</f>
        <v/>
      </c>
      <c r="K251" s="20">
        <f>IF($B251="","",N($F251)*N($H251))</f>
        <v/>
      </c>
      <c r="L251" s="20">
        <f>IF($B251="","",N($F251)*N($I251))</f>
        <v/>
      </c>
    </row>
    <row r="252">
      <c r="A252" s="30" t="n"/>
      <c r="B252" s="30" t="n"/>
      <c r="C252" s="18">
        <f>IF($B252="","",IFERROR(VLOOKUP($B252,단가마스터!$A$4:$H$303,2,FALSE),"⚠️단가마스터에 없음"))</f>
        <v/>
      </c>
      <c r="D252" s="18">
        <f>IF($B252="","",IFERROR(VLOOKUP($B252,단가마스터!$A$4:$H$303,3,FALSE),""))</f>
        <v/>
      </c>
      <c r="E252" s="18">
        <f>IF($B252="","",IFERROR(VLOOKUP($B252,단가마스터!$A$4:$H$303,4,FALSE),""))</f>
        <v/>
      </c>
      <c r="F252" s="30" t="n"/>
      <c r="G252" s="20">
        <f>IF($B252="","",IFERROR(VLOOKUP($B252,단가마스터!$A$4:$H$303,5,FALSE),0))</f>
        <v/>
      </c>
      <c r="H252" s="20">
        <f>IF($B252="","",IFERROR(VLOOKUP($B252,단가마스터!$A$4:$H$303,6,FALSE),0))</f>
        <v/>
      </c>
      <c r="I252" s="20">
        <f>IF($B252="","",IFERROR(VLOOKUP($B252,단가마스터!$A$4:$H$303,7,FALSE),0))</f>
        <v/>
      </c>
      <c r="J252" s="20">
        <f>IF($B252="","",N($F252)*N($G252))</f>
        <v/>
      </c>
      <c r="K252" s="20">
        <f>IF($B252="","",N($F252)*N($H252))</f>
        <v/>
      </c>
      <c r="L252" s="20">
        <f>IF($B252="","",N($F252)*N($I252))</f>
        <v/>
      </c>
    </row>
    <row r="253">
      <c r="A253" s="30" t="n"/>
      <c r="B253" s="30" t="n"/>
      <c r="C253" s="18">
        <f>IF($B253="","",IFERROR(VLOOKUP($B253,단가마스터!$A$4:$H$303,2,FALSE),"⚠️단가마스터에 없음"))</f>
        <v/>
      </c>
      <c r="D253" s="18">
        <f>IF($B253="","",IFERROR(VLOOKUP($B253,단가마스터!$A$4:$H$303,3,FALSE),""))</f>
        <v/>
      </c>
      <c r="E253" s="18">
        <f>IF($B253="","",IFERROR(VLOOKUP($B253,단가마스터!$A$4:$H$303,4,FALSE),""))</f>
        <v/>
      </c>
      <c r="F253" s="30" t="n"/>
      <c r="G253" s="20">
        <f>IF($B253="","",IFERROR(VLOOKUP($B253,단가마스터!$A$4:$H$303,5,FALSE),0))</f>
        <v/>
      </c>
      <c r="H253" s="20">
        <f>IF($B253="","",IFERROR(VLOOKUP($B253,단가마스터!$A$4:$H$303,6,FALSE),0))</f>
        <v/>
      </c>
      <c r="I253" s="20">
        <f>IF($B253="","",IFERROR(VLOOKUP($B253,단가마스터!$A$4:$H$303,7,FALSE),0))</f>
        <v/>
      </c>
      <c r="J253" s="20">
        <f>IF($B253="","",N($F253)*N($G253))</f>
        <v/>
      </c>
      <c r="K253" s="20">
        <f>IF($B253="","",N($F253)*N($H253))</f>
        <v/>
      </c>
      <c r="L253" s="20">
        <f>IF($B253="","",N($F253)*N($I253))</f>
        <v/>
      </c>
    </row>
    <row r="254">
      <c r="A254" s="30" t="n"/>
      <c r="B254" s="30" t="n"/>
      <c r="C254" s="18">
        <f>IF($B254="","",IFERROR(VLOOKUP($B254,단가마스터!$A$4:$H$303,2,FALSE),"⚠️단가마스터에 없음"))</f>
        <v/>
      </c>
      <c r="D254" s="18">
        <f>IF($B254="","",IFERROR(VLOOKUP($B254,단가마스터!$A$4:$H$303,3,FALSE),""))</f>
        <v/>
      </c>
      <c r="E254" s="18">
        <f>IF($B254="","",IFERROR(VLOOKUP($B254,단가마스터!$A$4:$H$303,4,FALSE),""))</f>
        <v/>
      </c>
      <c r="F254" s="30" t="n"/>
      <c r="G254" s="20">
        <f>IF($B254="","",IFERROR(VLOOKUP($B254,단가마스터!$A$4:$H$303,5,FALSE),0))</f>
        <v/>
      </c>
      <c r="H254" s="20">
        <f>IF($B254="","",IFERROR(VLOOKUP($B254,단가마스터!$A$4:$H$303,6,FALSE),0))</f>
        <v/>
      </c>
      <c r="I254" s="20">
        <f>IF($B254="","",IFERROR(VLOOKUP($B254,단가마스터!$A$4:$H$303,7,FALSE),0))</f>
        <v/>
      </c>
      <c r="J254" s="20">
        <f>IF($B254="","",N($F254)*N($G254))</f>
        <v/>
      </c>
      <c r="K254" s="20">
        <f>IF($B254="","",N($F254)*N($H254))</f>
        <v/>
      </c>
      <c r="L254" s="20">
        <f>IF($B254="","",N($F254)*N($I254))</f>
        <v/>
      </c>
    </row>
    <row r="255">
      <c r="A255" s="30" t="n"/>
      <c r="B255" s="30" t="n"/>
      <c r="C255" s="18">
        <f>IF($B255="","",IFERROR(VLOOKUP($B255,단가마스터!$A$4:$H$303,2,FALSE),"⚠️단가마스터에 없음"))</f>
        <v/>
      </c>
      <c r="D255" s="18">
        <f>IF($B255="","",IFERROR(VLOOKUP($B255,단가마스터!$A$4:$H$303,3,FALSE),""))</f>
        <v/>
      </c>
      <c r="E255" s="18">
        <f>IF($B255="","",IFERROR(VLOOKUP($B255,단가마스터!$A$4:$H$303,4,FALSE),""))</f>
        <v/>
      </c>
      <c r="F255" s="30" t="n"/>
      <c r="G255" s="20">
        <f>IF($B255="","",IFERROR(VLOOKUP($B255,단가마스터!$A$4:$H$303,5,FALSE),0))</f>
        <v/>
      </c>
      <c r="H255" s="20">
        <f>IF($B255="","",IFERROR(VLOOKUP($B255,단가마스터!$A$4:$H$303,6,FALSE),0))</f>
        <v/>
      </c>
      <c r="I255" s="20">
        <f>IF($B255="","",IFERROR(VLOOKUP($B255,단가마스터!$A$4:$H$303,7,FALSE),0))</f>
        <v/>
      </c>
      <c r="J255" s="20">
        <f>IF($B255="","",N($F255)*N($G255))</f>
        <v/>
      </c>
      <c r="K255" s="20">
        <f>IF($B255="","",N($F255)*N($H255))</f>
        <v/>
      </c>
      <c r="L255" s="20">
        <f>IF($B255="","",N($F255)*N($I255))</f>
        <v/>
      </c>
    </row>
    <row r="256">
      <c r="A256" s="30" t="n"/>
      <c r="B256" s="30" t="n"/>
      <c r="C256" s="18">
        <f>IF($B256="","",IFERROR(VLOOKUP($B256,단가마스터!$A$4:$H$303,2,FALSE),"⚠️단가마스터에 없음"))</f>
        <v/>
      </c>
      <c r="D256" s="18">
        <f>IF($B256="","",IFERROR(VLOOKUP($B256,단가마스터!$A$4:$H$303,3,FALSE),""))</f>
        <v/>
      </c>
      <c r="E256" s="18">
        <f>IF($B256="","",IFERROR(VLOOKUP($B256,단가마스터!$A$4:$H$303,4,FALSE),""))</f>
        <v/>
      </c>
      <c r="F256" s="30" t="n"/>
      <c r="G256" s="20">
        <f>IF($B256="","",IFERROR(VLOOKUP($B256,단가마스터!$A$4:$H$303,5,FALSE),0))</f>
        <v/>
      </c>
      <c r="H256" s="20">
        <f>IF($B256="","",IFERROR(VLOOKUP($B256,단가마스터!$A$4:$H$303,6,FALSE),0))</f>
        <v/>
      </c>
      <c r="I256" s="20">
        <f>IF($B256="","",IFERROR(VLOOKUP($B256,단가마스터!$A$4:$H$303,7,FALSE),0))</f>
        <v/>
      </c>
      <c r="J256" s="20">
        <f>IF($B256="","",N($F256)*N($G256))</f>
        <v/>
      </c>
      <c r="K256" s="20">
        <f>IF($B256="","",N($F256)*N($H256))</f>
        <v/>
      </c>
      <c r="L256" s="20">
        <f>IF($B256="","",N($F256)*N($I256))</f>
        <v/>
      </c>
    </row>
    <row r="257">
      <c r="A257" s="30" t="n"/>
      <c r="B257" s="30" t="n"/>
      <c r="C257" s="18">
        <f>IF($B257="","",IFERROR(VLOOKUP($B257,단가마스터!$A$4:$H$303,2,FALSE),"⚠️단가마스터에 없음"))</f>
        <v/>
      </c>
      <c r="D257" s="18">
        <f>IF($B257="","",IFERROR(VLOOKUP($B257,단가마스터!$A$4:$H$303,3,FALSE),""))</f>
        <v/>
      </c>
      <c r="E257" s="18">
        <f>IF($B257="","",IFERROR(VLOOKUP($B257,단가마스터!$A$4:$H$303,4,FALSE),""))</f>
        <v/>
      </c>
      <c r="F257" s="30" t="n"/>
      <c r="G257" s="20">
        <f>IF($B257="","",IFERROR(VLOOKUP($B257,단가마스터!$A$4:$H$303,5,FALSE),0))</f>
        <v/>
      </c>
      <c r="H257" s="20">
        <f>IF($B257="","",IFERROR(VLOOKUP($B257,단가마스터!$A$4:$H$303,6,FALSE),0))</f>
        <v/>
      </c>
      <c r="I257" s="20">
        <f>IF($B257="","",IFERROR(VLOOKUP($B257,단가마스터!$A$4:$H$303,7,FALSE),0))</f>
        <v/>
      </c>
      <c r="J257" s="20">
        <f>IF($B257="","",N($F257)*N($G257))</f>
        <v/>
      </c>
      <c r="K257" s="20">
        <f>IF($B257="","",N($F257)*N($H257))</f>
        <v/>
      </c>
      <c r="L257" s="20">
        <f>IF($B257="","",N($F257)*N($I257))</f>
        <v/>
      </c>
    </row>
    <row r="258">
      <c r="A258" s="30" t="n"/>
      <c r="B258" s="30" t="n"/>
      <c r="C258" s="18">
        <f>IF($B258="","",IFERROR(VLOOKUP($B258,단가마스터!$A$4:$H$303,2,FALSE),"⚠️단가마스터에 없음"))</f>
        <v/>
      </c>
      <c r="D258" s="18">
        <f>IF($B258="","",IFERROR(VLOOKUP($B258,단가마스터!$A$4:$H$303,3,FALSE),""))</f>
        <v/>
      </c>
      <c r="E258" s="18">
        <f>IF($B258="","",IFERROR(VLOOKUP($B258,단가마스터!$A$4:$H$303,4,FALSE),""))</f>
        <v/>
      </c>
      <c r="F258" s="30" t="n"/>
      <c r="G258" s="20">
        <f>IF($B258="","",IFERROR(VLOOKUP($B258,단가마스터!$A$4:$H$303,5,FALSE),0))</f>
        <v/>
      </c>
      <c r="H258" s="20">
        <f>IF($B258="","",IFERROR(VLOOKUP($B258,단가마스터!$A$4:$H$303,6,FALSE),0))</f>
        <v/>
      </c>
      <c r="I258" s="20">
        <f>IF($B258="","",IFERROR(VLOOKUP($B258,단가마스터!$A$4:$H$303,7,FALSE),0))</f>
        <v/>
      </c>
      <c r="J258" s="20">
        <f>IF($B258="","",N($F258)*N($G258))</f>
        <v/>
      </c>
      <c r="K258" s="20">
        <f>IF($B258="","",N($F258)*N($H258))</f>
        <v/>
      </c>
      <c r="L258" s="20">
        <f>IF($B258="","",N($F258)*N($I258))</f>
        <v/>
      </c>
    </row>
    <row r="259">
      <c r="A259" s="30" t="n"/>
      <c r="B259" s="30" t="n"/>
      <c r="C259" s="18">
        <f>IF($B259="","",IFERROR(VLOOKUP($B259,단가마스터!$A$4:$H$303,2,FALSE),"⚠️단가마스터에 없음"))</f>
        <v/>
      </c>
      <c r="D259" s="18">
        <f>IF($B259="","",IFERROR(VLOOKUP($B259,단가마스터!$A$4:$H$303,3,FALSE),""))</f>
        <v/>
      </c>
      <c r="E259" s="18">
        <f>IF($B259="","",IFERROR(VLOOKUP($B259,단가마스터!$A$4:$H$303,4,FALSE),""))</f>
        <v/>
      </c>
      <c r="F259" s="30" t="n"/>
      <c r="G259" s="20">
        <f>IF($B259="","",IFERROR(VLOOKUP($B259,단가마스터!$A$4:$H$303,5,FALSE),0))</f>
        <v/>
      </c>
      <c r="H259" s="20">
        <f>IF($B259="","",IFERROR(VLOOKUP($B259,단가마스터!$A$4:$H$303,6,FALSE),0))</f>
        <v/>
      </c>
      <c r="I259" s="20">
        <f>IF($B259="","",IFERROR(VLOOKUP($B259,단가마스터!$A$4:$H$303,7,FALSE),0))</f>
        <v/>
      </c>
      <c r="J259" s="20">
        <f>IF($B259="","",N($F259)*N($G259))</f>
        <v/>
      </c>
      <c r="K259" s="20">
        <f>IF($B259="","",N($F259)*N($H259))</f>
        <v/>
      </c>
      <c r="L259" s="20">
        <f>IF($B259="","",N($F259)*N($I259))</f>
        <v/>
      </c>
    </row>
    <row r="260">
      <c r="A260" s="30" t="n"/>
      <c r="B260" s="30" t="n"/>
      <c r="C260" s="18">
        <f>IF($B260="","",IFERROR(VLOOKUP($B260,단가마스터!$A$4:$H$303,2,FALSE),"⚠️단가마스터에 없음"))</f>
        <v/>
      </c>
      <c r="D260" s="18">
        <f>IF($B260="","",IFERROR(VLOOKUP($B260,단가마스터!$A$4:$H$303,3,FALSE),""))</f>
        <v/>
      </c>
      <c r="E260" s="18">
        <f>IF($B260="","",IFERROR(VLOOKUP($B260,단가마스터!$A$4:$H$303,4,FALSE),""))</f>
        <v/>
      </c>
      <c r="F260" s="30" t="n"/>
      <c r="G260" s="20">
        <f>IF($B260="","",IFERROR(VLOOKUP($B260,단가마스터!$A$4:$H$303,5,FALSE),0))</f>
        <v/>
      </c>
      <c r="H260" s="20">
        <f>IF($B260="","",IFERROR(VLOOKUP($B260,단가마스터!$A$4:$H$303,6,FALSE),0))</f>
        <v/>
      </c>
      <c r="I260" s="20">
        <f>IF($B260="","",IFERROR(VLOOKUP($B260,단가마스터!$A$4:$H$303,7,FALSE),0))</f>
        <v/>
      </c>
      <c r="J260" s="20">
        <f>IF($B260="","",N($F260)*N($G260))</f>
        <v/>
      </c>
      <c r="K260" s="20">
        <f>IF($B260="","",N($F260)*N($H260))</f>
        <v/>
      </c>
      <c r="L260" s="20">
        <f>IF($B260="","",N($F260)*N($I260))</f>
        <v/>
      </c>
    </row>
    <row r="261">
      <c r="A261" s="30" t="n"/>
      <c r="B261" s="30" t="n"/>
      <c r="C261" s="18">
        <f>IF($B261="","",IFERROR(VLOOKUP($B261,단가마스터!$A$4:$H$303,2,FALSE),"⚠️단가마스터에 없음"))</f>
        <v/>
      </c>
      <c r="D261" s="18">
        <f>IF($B261="","",IFERROR(VLOOKUP($B261,단가마스터!$A$4:$H$303,3,FALSE),""))</f>
        <v/>
      </c>
      <c r="E261" s="18">
        <f>IF($B261="","",IFERROR(VLOOKUP($B261,단가마스터!$A$4:$H$303,4,FALSE),""))</f>
        <v/>
      </c>
      <c r="F261" s="30" t="n"/>
      <c r="G261" s="20">
        <f>IF($B261="","",IFERROR(VLOOKUP($B261,단가마스터!$A$4:$H$303,5,FALSE),0))</f>
        <v/>
      </c>
      <c r="H261" s="20">
        <f>IF($B261="","",IFERROR(VLOOKUP($B261,단가마스터!$A$4:$H$303,6,FALSE),0))</f>
        <v/>
      </c>
      <c r="I261" s="20">
        <f>IF($B261="","",IFERROR(VLOOKUP($B261,단가마스터!$A$4:$H$303,7,FALSE),0))</f>
        <v/>
      </c>
      <c r="J261" s="20">
        <f>IF($B261="","",N($F261)*N($G261))</f>
        <v/>
      </c>
      <c r="K261" s="20">
        <f>IF($B261="","",N($F261)*N($H261))</f>
        <v/>
      </c>
      <c r="L261" s="20">
        <f>IF($B261="","",N($F261)*N($I261))</f>
        <v/>
      </c>
    </row>
    <row r="262">
      <c r="A262" s="30" t="n"/>
      <c r="B262" s="30" t="n"/>
      <c r="C262" s="18">
        <f>IF($B262="","",IFERROR(VLOOKUP($B262,단가마스터!$A$4:$H$303,2,FALSE),"⚠️단가마스터에 없음"))</f>
        <v/>
      </c>
      <c r="D262" s="18">
        <f>IF($B262="","",IFERROR(VLOOKUP($B262,단가마스터!$A$4:$H$303,3,FALSE),""))</f>
        <v/>
      </c>
      <c r="E262" s="18">
        <f>IF($B262="","",IFERROR(VLOOKUP($B262,단가마스터!$A$4:$H$303,4,FALSE),""))</f>
        <v/>
      </c>
      <c r="F262" s="30" t="n"/>
      <c r="G262" s="20">
        <f>IF($B262="","",IFERROR(VLOOKUP($B262,단가마스터!$A$4:$H$303,5,FALSE),0))</f>
        <v/>
      </c>
      <c r="H262" s="20">
        <f>IF($B262="","",IFERROR(VLOOKUP($B262,단가마스터!$A$4:$H$303,6,FALSE),0))</f>
        <v/>
      </c>
      <c r="I262" s="20">
        <f>IF($B262="","",IFERROR(VLOOKUP($B262,단가마스터!$A$4:$H$303,7,FALSE),0))</f>
        <v/>
      </c>
      <c r="J262" s="20">
        <f>IF($B262="","",N($F262)*N($G262))</f>
        <v/>
      </c>
      <c r="K262" s="20">
        <f>IF($B262="","",N($F262)*N($H262))</f>
        <v/>
      </c>
      <c r="L262" s="20">
        <f>IF($B262="","",N($F262)*N($I262))</f>
        <v/>
      </c>
    </row>
    <row r="263">
      <c r="A263" s="30" t="n"/>
      <c r="B263" s="30" t="n"/>
      <c r="C263" s="18">
        <f>IF($B263="","",IFERROR(VLOOKUP($B263,단가마스터!$A$4:$H$303,2,FALSE),"⚠️단가마스터에 없음"))</f>
        <v/>
      </c>
      <c r="D263" s="18">
        <f>IF($B263="","",IFERROR(VLOOKUP($B263,단가마스터!$A$4:$H$303,3,FALSE),""))</f>
        <v/>
      </c>
      <c r="E263" s="18">
        <f>IF($B263="","",IFERROR(VLOOKUP($B263,단가마스터!$A$4:$H$303,4,FALSE),""))</f>
        <v/>
      </c>
      <c r="F263" s="30" t="n"/>
      <c r="G263" s="20">
        <f>IF($B263="","",IFERROR(VLOOKUP($B263,단가마스터!$A$4:$H$303,5,FALSE),0))</f>
        <v/>
      </c>
      <c r="H263" s="20">
        <f>IF($B263="","",IFERROR(VLOOKUP($B263,단가마스터!$A$4:$H$303,6,FALSE),0))</f>
        <v/>
      </c>
      <c r="I263" s="20">
        <f>IF($B263="","",IFERROR(VLOOKUP($B263,단가마스터!$A$4:$H$303,7,FALSE),0))</f>
        <v/>
      </c>
      <c r="J263" s="20">
        <f>IF($B263="","",N($F263)*N($G263))</f>
        <v/>
      </c>
      <c r="K263" s="20">
        <f>IF($B263="","",N($F263)*N($H263))</f>
        <v/>
      </c>
      <c r="L263" s="20">
        <f>IF($B263="","",N($F263)*N($I263))</f>
        <v/>
      </c>
    </row>
    <row r="264">
      <c r="A264" s="30" t="n"/>
      <c r="B264" s="30" t="n"/>
      <c r="C264" s="18">
        <f>IF($B264="","",IFERROR(VLOOKUP($B264,단가마스터!$A$4:$H$303,2,FALSE),"⚠️단가마스터에 없음"))</f>
        <v/>
      </c>
      <c r="D264" s="18">
        <f>IF($B264="","",IFERROR(VLOOKUP($B264,단가마스터!$A$4:$H$303,3,FALSE),""))</f>
        <v/>
      </c>
      <c r="E264" s="18">
        <f>IF($B264="","",IFERROR(VLOOKUP($B264,단가마스터!$A$4:$H$303,4,FALSE),""))</f>
        <v/>
      </c>
      <c r="F264" s="30" t="n"/>
      <c r="G264" s="20">
        <f>IF($B264="","",IFERROR(VLOOKUP($B264,단가마스터!$A$4:$H$303,5,FALSE),0))</f>
        <v/>
      </c>
      <c r="H264" s="20">
        <f>IF($B264="","",IFERROR(VLOOKUP($B264,단가마스터!$A$4:$H$303,6,FALSE),0))</f>
        <v/>
      </c>
      <c r="I264" s="20">
        <f>IF($B264="","",IFERROR(VLOOKUP($B264,단가마스터!$A$4:$H$303,7,FALSE),0))</f>
        <v/>
      </c>
      <c r="J264" s="20">
        <f>IF($B264="","",N($F264)*N($G264))</f>
        <v/>
      </c>
      <c r="K264" s="20">
        <f>IF($B264="","",N($F264)*N($H264))</f>
        <v/>
      </c>
      <c r="L264" s="20">
        <f>IF($B264="","",N($F264)*N($I264))</f>
        <v/>
      </c>
    </row>
    <row r="265">
      <c r="A265" s="30" t="n"/>
      <c r="B265" s="30" t="n"/>
      <c r="C265" s="18">
        <f>IF($B265="","",IFERROR(VLOOKUP($B265,단가마스터!$A$4:$H$303,2,FALSE),"⚠️단가마스터에 없음"))</f>
        <v/>
      </c>
      <c r="D265" s="18">
        <f>IF($B265="","",IFERROR(VLOOKUP($B265,단가마스터!$A$4:$H$303,3,FALSE),""))</f>
        <v/>
      </c>
      <c r="E265" s="18">
        <f>IF($B265="","",IFERROR(VLOOKUP($B265,단가마스터!$A$4:$H$303,4,FALSE),""))</f>
        <v/>
      </c>
      <c r="F265" s="30" t="n"/>
      <c r="G265" s="20">
        <f>IF($B265="","",IFERROR(VLOOKUP($B265,단가마스터!$A$4:$H$303,5,FALSE),0))</f>
        <v/>
      </c>
      <c r="H265" s="20">
        <f>IF($B265="","",IFERROR(VLOOKUP($B265,단가마스터!$A$4:$H$303,6,FALSE),0))</f>
        <v/>
      </c>
      <c r="I265" s="20">
        <f>IF($B265="","",IFERROR(VLOOKUP($B265,단가마스터!$A$4:$H$303,7,FALSE),0))</f>
        <v/>
      </c>
      <c r="J265" s="20">
        <f>IF($B265="","",N($F265)*N($G265))</f>
        <v/>
      </c>
      <c r="K265" s="20">
        <f>IF($B265="","",N($F265)*N($H265))</f>
        <v/>
      </c>
      <c r="L265" s="20">
        <f>IF($B265="","",N($F265)*N($I265))</f>
        <v/>
      </c>
    </row>
    <row r="266">
      <c r="A266" s="30" t="n"/>
      <c r="B266" s="30" t="n"/>
      <c r="C266" s="18">
        <f>IF($B266="","",IFERROR(VLOOKUP($B266,단가마스터!$A$4:$H$303,2,FALSE),"⚠️단가마스터에 없음"))</f>
        <v/>
      </c>
      <c r="D266" s="18">
        <f>IF($B266="","",IFERROR(VLOOKUP($B266,단가마스터!$A$4:$H$303,3,FALSE),""))</f>
        <v/>
      </c>
      <c r="E266" s="18">
        <f>IF($B266="","",IFERROR(VLOOKUP($B266,단가마스터!$A$4:$H$303,4,FALSE),""))</f>
        <v/>
      </c>
      <c r="F266" s="30" t="n"/>
      <c r="G266" s="20">
        <f>IF($B266="","",IFERROR(VLOOKUP($B266,단가마스터!$A$4:$H$303,5,FALSE),0))</f>
        <v/>
      </c>
      <c r="H266" s="20">
        <f>IF($B266="","",IFERROR(VLOOKUP($B266,단가마스터!$A$4:$H$303,6,FALSE),0))</f>
        <v/>
      </c>
      <c r="I266" s="20">
        <f>IF($B266="","",IFERROR(VLOOKUP($B266,단가마스터!$A$4:$H$303,7,FALSE),0))</f>
        <v/>
      </c>
      <c r="J266" s="20">
        <f>IF($B266="","",N($F266)*N($G266))</f>
        <v/>
      </c>
      <c r="K266" s="20">
        <f>IF($B266="","",N($F266)*N($H266))</f>
        <v/>
      </c>
      <c r="L266" s="20">
        <f>IF($B266="","",N($F266)*N($I266))</f>
        <v/>
      </c>
    </row>
    <row r="267">
      <c r="A267" s="30" t="n"/>
      <c r="B267" s="30" t="n"/>
      <c r="C267" s="18">
        <f>IF($B267="","",IFERROR(VLOOKUP($B267,단가마스터!$A$4:$H$303,2,FALSE),"⚠️단가마스터에 없음"))</f>
        <v/>
      </c>
      <c r="D267" s="18">
        <f>IF($B267="","",IFERROR(VLOOKUP($B267,단가마스터!$A$4:$H$303,3,FALSE),""))</f>
        <v/>
      </c>
      <c r="E267" s="18">
        <f>IF($B267="","",IFERROR(VLOOKUP($B267,단가마스터!$A$4:$H$303,4,FALSE),""))</f>
        <v/>
      </c>
      <c r="F267" s="30" t="n"/>
      <c r="G267" s="20">
        <f>IF($B267="","",IFERROR(VLOOKUP($B267,단가마스터!$A$4:$H$303,5,FALSE),0))</f>
        <v/>
      </c>
      <c r="H267" s="20">
        <f>IF($B267="","",IFERROR(VLOOKUP($B267,단가마스터!$A$4:$H$303,6,FALSE),0))</f>
        <v/>
      </c>
      <c r="I267" s="20">
        <f>IF($B267="","",IFERROR(VLOOKUP($B267,단가마스터!$A$4:$H$303,7,FALSE),0))</f>
        <v/>
      </c>
      <c r="J267" s="20">
        <f>IF($B267="","",N($F267)*N($G267))</f>
        <v/>
      </c>
      <c r="K267" s="20">
        <f>IF($B267="","",N($F267)*N($H267))</f>
        <v/>
      </c>
      <c r="L267" s="20">
        <f>IF($B267="","",N($F267)*N($I267))</f>
        <v/>
      </c>
    </row>
    <row r="268">
      <c r="A268" s="30" t="n"/>
      <c r="B268" s="30" t="n"/>
      <c r="C268" s="18">
        <f>IF($B268="","",IFERROR(VLOOKUP($B268,단가마스터!$A$4:$H$303,2,FALSE),"⚠️단가마스터에 없음"))</f>
        <v/>
      </c>
      <c r="D268" s="18">
        <f>IF($B268="","",IFERROR(VLOOKUP($B268,단가마스터!$A$4:$H$303,3,FALSE),""))</f>
        <v/>
      </c>
      <c r="E268" s="18">
        <f>IF($B268="","",IFERROR(VLOOKUP($B268,단가마스터!$A$4:$H$303,4,FALSE),""))</f>
        <v/>
      </c>
      <c r="F268" s="30" t="n"/>
      <c r="G268" s="20">
        <f>IF($B268="","",IFERROR(VLOOKUP($B268,단가마스터!$A$4:$H$303,5,FALSE),0))</f>
        <v/>
      </c>
      <c r="H268" s="20">
        <f>IF($B268="","",IFERROR(VLOOKUP($B268,단가마스터!$A$4:$H$303,6,FALSE),0))</f>
        <v/>
      </c>
      <c r="I268" s="20">
        <f>IF($B268="","",IFERROR(VLOOKUP($B268,단가마스터!$A$4:$H$303,7,FALSE),0))</f>
        <v/>
      </c>
      <c r="J268" s="20">
        <f>IF($B268="","",N($F268)*N($G268))</f>
        <v/>
      </c>
      <c r="K268" s="20">
        <f>IF($B268="","",N($F268)*N($H268))</f>
        <v/>
      </c>
      <c r="L268" s="20">
        <f>IF($B268="","",N($F268)*N($I268))</f>
        <v/>
      </c>
    </row>
    <row r="269">
      <c r="A269" s="30" t="n"/>
      <c r="B269" s="30" t="n"/>
      <c r="C269" s="18">
        <f>IF($B269="","",IFERROR(VLOOKUP($B269,단가마스터!$A$4:$H$303,2,FALSE),"⚠️단가마스터에 없음"))</f>
        <v/>
      </c>
      <c r="D269" s="18">
        <f>IF($B269="","",IFERROR(VLOOKUP($B269,단가마스터!$A$4:$H$303,3,FALSE),""))</f>
        <v/>
      </c>
      <c r="E269" s="18">
        <f>IF($B269="","",IFERROR(VLOOKUP($B269,단가마스터!$A$4:$H$303,4,FALSE),""))</f>
        <v/>
      </c>
      <c r="F269" s="30" t="n"/>
      <c r="G269" s="20">
        <f>IF($B269="","",IFERROR(VLOOKUP($B269,단가마스터!$A$4:$H$303,5,FALSE),0))</f>
        <v/>
      </c>
      <c r="H269" s="20">
        <f>IF($B269="","",IFERROR(VLOOKUP($B269,단가마스터!$A$4:$H$303,6,FALSE),0))</f>
        <v/>
      </c>
      <c r="I269" s="20">
        <f>IF($B269="","",IFERROR(VLOOKUP($B269,단가마스터!$A$4:$H$303,7,FALSE),0))</f>
        <v/>
      </c>
      <c r="J269" s="20">
        <f>IF($B269="","",N($F269)*N($G269))</f>
        <v/>
      </c>
      <c r="K269" s="20">
        <f>IF($B269="","",N($F269)*N($H269))</f>
        <v/>
      </c>
      <c r="L269" s="20">
        <f>IF($B269="","",N($F269)*N($I269))</f>
        <v/>
      </c>
    </row>
    <row r="270">
      <c r="A270" s="30" t="n"/>
      <c r="B270" s="30" t="n"/>
      <c r="C270" s="18">
        <f>IF($B270="","",IFERROR(VLOOKUP($B270,단가마스터!$A$4:$H$303,2,FALSE),"⚠️단가마스터에 없음"))</f>
        <v/>
      </c>
      <c r="D270" s="18">
        <f>IF($B270="","",IFERROR(VLOOKUP($B270,단가마스터!$A$4:$H$303,3,FALSE),""))</f>
        <v/>
      </c>
      <c r="E270" s="18">
        <f>IF($B270="","",IFERROR(VLOOKUP($B270,단가마스터!$A$4:$H$303,4,FALSE),""))</f>
        <v/>
      </c>
      <c r="F270" s="30" t="n"/>
      <c r="G270" s="20">
        <f>IF($B270="","",IFERROR(VLOOKUP($B270,단가마스터!$A$4:$H$303,5,FALSE),0))</f>
        <v/>
      </c>
      <c r="H270" s="20">
        <f>IF($B270="","",IFERROR(VLOOKUP($B270,단가마스터!$A$4:$H$303,6,FALSE),0))</f>
        <v/>
      </c>
      <c r="I270" s="20">
        <f>IF($B270="","",IFERROR(VLOOKUP($B270,단가마스터!$A$4:$H$303,7,FALSE),0))</f>
        <v/>
      </c>
      <c r="J270" s="20">
        <f>IF($B270="","",N($F270)*N($G270))</f>
        <v/>
      </c>
      <c r="K270" s="20">
        <f>IF($B270="","",N($F270)*N($H270))</f>
        <v/>
      </c>
      <c r="L270" s="20">
        <f>IF($B270="","",N($F270)*N($I270))</f>
        <v/>
      </c>
    </row>
    <row r="271">
      <c r="A271" s="30" t="n"/>
      <c r="B271" s="30" t="n"/>
      <c r="C271" s="18">
        <f>IF($B271="","",IFERROR(VLOOKUP($B271,단가마스터!$A$4:$H$303,2,FALSE),"⚠️단가마스터에 없음"))</f>
        <v/>
      </c>
      <c r="D271" s="18">
        <f>IF($B271="","",IFERROR(VLOOKUP($B271,단가마스터!$A$4:$H$303,3,FALSE),""))</f>
        <v/>
      </c>
      <c r="E271" s="18">
        <f>IF($B271="","",IFERROR(VLOOKUP($B271,단가마스터!$A$4:$H$303,4,FALSE),""))</f>
        <v/>
      </c>
      <c r="F271" s="30" t="n"/>
      <c r="G271" s="20">
        <f>IF($B271="","",IFERROR(VLOOKUP($B271,단가마스터!$A$4:$H$303,5,FALSE),0))</f>
        <v/>
      </c>
      <c r="H271" s="20">
        <f>IF($B271="","",IFERROR(VLOOKUP($B271,단가마스터!$A$4:$H$303,6,FALSE),0))</f>
        <v/>
      </c>
      <c r="I271" s="20">
        <f>IF($B271="","",IFERROR(VLOOKUP($B271,단가마스터!$A$4:$H$303,7,FALSE),0))</f>
        <v/>
      </c>
      <c r="J271" s="20">
        <f>IF($B271="","",N($F271)*N($G271))</f>
        <v/>
      </c>
      <c r="K271" s="20">
        <f>IF($B271="","",N($F271)*N($H271))</f>
        <v/>
      </c>
      <c r="L271" s="20">
        <f>IF($B271="","",N($F271)*N($I271))</f>
        <v/>
      </c>
    </row>
    <row r="272">
      <c r="A272" s="30" t="n"/>
      <c r="B272" s="30" t="n"/>
      <c r="C272" s="18">
        <f>IF($B272="","",IFERROR(VLOOKUP($B272,단가마스터!$A$4:$H$303,2,FALSE),"⚠️단가마스터에 없음"))</f>
        <v/>
      </c>
      <c r="D272" s="18">
        <f>IF($B272="","",IFERROR(VLOOKUP($B272,단가마스터!$A$4:$H$303,3,FALSE),""))</f>
        <v/>
      </c>
      <c r="E272" s="18">
        <f>IF($B272="","",IFERROR(VLOOKUP($B272,단가마스터!$A$4:$H$303,4,FALSE),""))</f>
        <v/>
      </c>
      <c r="F272" s="30" t="n"/>
      <c r="G272" s="20">
        <f>IF($B272="","",IFERROR(VLOOKUP($B272,단가마스터!$A$4:$H$303,5,FALSE),0))</f>
        <v/>
      </c>
      <c r="H272" s="20">
        <f>IF($B272="","",IFERROR(VLOOKUP($B272,단가마스터!$A$4:$H$303,6,FALSE),0))</f>
        <v/>
      </c>
      <c r="I272" s="20">
        <f>IF($B272="","",IFERROR(VLOOKUP($B272,단가마스터!$A$4:$H$303,7,FALSE),0))</f>
        <v/>
      </c>
      <c r="J272" s="20">
        <f>IF($B272="","",N($F272)*N($G272))</f>
        <v/>
      </c>
      <c r="K272" s="20">
        <f>IF($B272="","",N($F272)*N($H272))</f>
        <v/>
      </c>
      <c r="L272" s="20">
        <f>IF($B272="","",N($F272)*N($I272))</f>
        <v/>
      </c>
    </row>
    <row r="273">
      <c r="A273" s="30" t="n"/>
      <c r="B273" s="30" t="n"/>
      <c r="C273" s="18">
        <f>IF($B273="","",IFERROR(VLOOKUP($B273,단가마스터!$A$4:$H$303,2,FALSE),"⚠️단가마스터에 없음"))</f>
        <v/>
      </c>
      <c r="D273" s="18">
        <f>IF($B273="","",IFERROR(VLOOKUP($B273,단가마스터!$A$4:$H$303,3,FALSE),""))</f>
        <v/>
      </c>
      <c r="E273" s="18">
        <f>IF($B273="","",IFERROR(VLOOKUP($B273,단가마스터!$A$4:$H$303,4,FALSE),""))</f>
        <v/>
      </c>
      <c r="F273" s="30" t="n"/>
      <c r="G273" s="20">
        <f>IF($B273="","",IFERROR(VLOOKUP($B273,단가마스터!$A$4:$H$303,5,FALSE),0))</f>
        <v/>
      </c>
      <c r="H273" s="20">
        <f>IF($B273="","",IFERROR(VLOOKUP($B273,단가마스터!$A$4:$H$303,6,FALSE),0))</f>
        <v/>
      </c>
      <c r="I273" s="20">
        <f>IF($B273="","",IFERROR(VLOOKUP($B273,단가마스터!$A$4:$H$303,7,FALSE),0))</f>
        <v/>
      </c>
      <c r="J273" s="20">
        <f>IF($B273="","",N($F273)*N($G273))</f>
        <v/>
      </c>
      <c r="K273" s="20">
        <f>IF($B273="","",N($F273)*N($H273))</f>
        <v/>
      </c>
      <c r="L273" s="20">
        <f>IF($B273="","",N($F273)*N($I273))</f>
        <v/>
      </c>
    </row>
    <row r="274">
      <c r="A274" s="30" t="n"/>
      <c r="B274" s="30" t="n"/>
      <c r="C274" s="18">
        <f>IF($B274="","",IFERROR(VLOOKUP($B274,단가마스터!$A$4:$H$303,2,FALSE),"⚠️단가마스터에 없음"))</f>
        <v/>
      </c>
      <c r="D274" s="18">
        <f>IF($B274="","",IFERROR(VLOOKUP($B274,단가마스터!$A$4:$H$303,3,FALSE),""))</f>
        <v/>
      </c>
      <c r="E274" s="18">
        <f>IF($B274="","",IFERROR(VLOOKUP($B274,단가마스터!$A$4:$H$303,4,FALSE),""))</f>
        <v/>
      </c>
      <c r="F274" s="30" t="n"/>
      <c r="G274" s="20">
        <f>IF($B274="","",IFERROR(VLOOKUP($B274,단가마스터!$A$4:$H$303,5,FALSE),0))</f>
        <v/>
      </c>
      <c r="H274" s="20">
        <f>IF($B274="","",IFERROR(VLOOKUP($B274,단가마스터!$A$4:$H$303,6,FALSE),0))</f>
        <v/>
      </c>
      <c r="I274" s="20">
        <f>IF($B274="","",IFERROR(VLOOKUP($B274,단가마스터!$A$4:$H$303,7,FALSE),0))</f>
        <v/>
      </c>
      <c r="J274" s="20">
        <f>IF($B274="","",N($F274)*N($G274))</f>
        <v/>
      </c>
      <c r="K274" s="20">
        <f>IF($B274="","",N($F274)*N($H274))</f>
        <v/>
      </c>
      <c r="L274" s="20">
        <f>IF($B274="","",N($F274)*N($I274))</f>
        <v/>
      </c>
    </row>
    <row r="275">
      <c r="A275" s="30" t="n"/>
      <c r="B275" s="30" t="n"/>
      <c r="C275" s="18">
        <f>IF($B275="","",IFERROR(VLOOKUP($B275,단가마스터!$A$4:$H$303,2,FALSE),"⚠️단가마스터에 없음"))</f>
        <v/>
      </c>
      <c r="D275" s="18">
        <f>IF($B275="","",IFERROR(VLOOKUP($B275,단가마스터!$A$4:$H$303,3,FALSE),""))</f>
        <v/>
      </c>
      <c r="E275" s="18">
        <f>IF($B275="","",IFERROR(VLOOKUP($B275,단가마스터!$A$4:$H$303,4,FALSE),""))</f>
        <v/>
      </c>
      <c r="F275" s="30" t="n"/>
      <c r="G275" s="20">
        <f>IF($B275="","",IFERROR(VLOOKUP($B275,단가마스터!$A$4:$H$303,5,FALSE),0))</f>
        <v/>
      </c>
      <c r="H275" s="20">
        <f>IF($B275="","",IFERROR(VLOOKUP($B275,단가마스터!$A$4:$H$303,6,FALSE),0))</f>
        <v/>
      </c>
      <c r="I275" s="20">
        <f>IF($B275="","",IFERROR(VLOOKUP($B275,단가마스터!$A$4:$H$303,7,FALSE),0))</f>
        <v/>
      </c>
      <c r="J275" s="20">
        <f>IF($B275="","",N($F275)*N($G275))</f>
        <v/>
      </c>
      <c r="K275" s="20">
        <f>IF($B275="","",N($F275)*N($H275))</f>
        <v/>
      </c>
      <c r="L275" s="20">
        <f>IF($B275="","",N($F275)*N($I275))</f>
        <v/>
      </c>
    </row>
    <row r="276">
      <c r="A276" s="30" t="n"/>
      <c r="B276" s="30" t="n"/>
      <c r="C276" s="18">
        <f>IF($B276="","",IFERROR(VLOOKUP($B276,단가마스터!$A$4:$H$303,2,FALSE),"⚠️단가마스터에 없음"))</f>
        <v/>
      </c>
      <c r="D276" s="18">
        <f>IF($B276="","",IFERROR(VLOOKUP($B276,단가마스터!$A$4:$H$303,3,FALSE),""))</f>
        <v/>
      </c>
      <c r="E276" s="18">
        <f>IF($B276="","",IFERROR(VLOOKUP($B276,단가마스터!$A$4:$H$303,4,FALSE),""))</f>
        <v/>
      </c>
      <c r="F276" s="30" t="n"/>
      <c r="G276" s="20">
        <f>IF($B276="","",IFERROR(VLOOKUP($B276,단가마스터!$A$4:$H$303,5,FALSE),0))</f>
        <v/>
      </c>
      <c r="H276" s="20">
        <f>IF($B276="","",IFERROR(VLOOKUP($B276,단가마스터!$A$4:$H$303,6,FALSE),0))</f>
        <v/>
      </c>
      <c r="I276" s="20">
        <f>IF($B276="","",IFERROR(VLOOKUP($B276,단가마스터!$A$4:$H$303,7,FALSE),0))</f>
        <v/>
      </c>
      <c r="J276" s="20">
        <f>IF($B276="","",N($F276)*N($G276))</f>
        <v/>
      </c>
      <c r="K276" s="20">
        <f>IF($B276="","",N($F276)*N($H276))</f>
        <v/>
      </c>
      <c r="L276" s="20">
        <f>IF($B276="","",N($F276)*N($I276))</f>
        <v/>
      </c>
    </row>
    <row r="277">
      <c r="A277" s="30" t="n"/>
      <c r="B277" s="30" t="n"/>
      <c r="C277" s="18">
        <f>IF($B277="","",IFERROR(VLOOKUP($B277,단가마스터!$A$4:$H$303,2,FALSE),"⚠️단가마스터에 없음"))</f>
        <v/>
      </c>
      <c r="D277" s="18">
        <f>IF($B277="","",IFERROR(VLOOKUP($B277,단가마스터!$A$4:$H$303,3,FALSE),""))</f>
        <v/>
      </c>
      <c r="E277" s="18">
        <f>IF($B277="","",IFERROR(VLOOKUP($B277,단가마스터!$A$4:$H$303,4,FALSE),""))</f>
        <v/>
      </c>
      <c r="F277" s="30" t="n"/>
      <c r="G277" s="20">
        <f>IF($B277="","",IFERROR(VLOOKUP($B277,단가마스터!$A$4:$H$303,5,FALSE),0))</f>
        <v/>
      </c>
      <c r="H277" s="20">
        <f>IF($B277="","",IFERROR(VLOOKUP($B277,단가마스터!$A$4:$H$303,6,FALSE),0))</f>
        <v/>
      </c>
      <c r="I277" s="20">
        <f>IF($B277="","",IFERROR(VLOOKUP($B277,단가마스터!$A$4:$H$303,7,FALSE),0))</f>
        <v/>
      </c>
      <c r="J277" s="20">
        <f>IF($B277="","",N($F277)*N($G277))</f>
        <v/>
      </c>
      <c r="K277" s="20">
        <f>IF($B277="","",N($F277)*N($H277))</f>
        <v/>
      </c>
      <c r="L277" s="20">
        <f>IF($B277="","",N($F277)*N($I277))</f>
        <v/>
      </c>
    </row>
    <row r="278">
      <c r="A278" s="30" t="n"/>
      <c r="B278" s="30" t="n"/>
      <c r="C278" s="18">
        <f>IF($B278="","",IFERROR(VLOOKUP($B278,단가마스터!$A$4:$H$303,2,FALSE),"⚠️단가마스터에 없음"))</f>
        <v/>
      </c>
      <c r="D278" s="18">
        <f>IF($B278="","",IFERROR(VLOOKUP($B278,단가마스터!$A$4:$H$303,3,FALSE),""))</f>
        <v/>
      </c>
      <c r="E278" s="18">
        <f>IF($B278="","",IFERROR(VLOOKUP($B278,단가마스터!$A$4:$H$303,4,FALSE),""))</f>
        <v/>
      </c>
      <c r="F278" s="30" t="n"/>
      <c r="G278" s="20">
        <f>IF($B278="","",IFERROR(VLOOKUP($B278,단가마스터!$A$4:$H$303,5,FALSE),0))</f>
        <v/>
      </c>
      <c r="H278" s="20">
        <f>IF($B278="","",IFERROR(VLOOKUP($B278,단가마스터!$A$4:$H$303,6,FALSE),0))</f>
        <v/>
      </c>
      <c r="I278" s="20">
        <f>IF($B278="","",IFERROR(VLOOKUP($B278,단가마스터!$A$4:$H$303,7,FALSE),0))</f>
        <v/>
      </c>
      <c r="J278" s="20">
        <f>IF($B278="","",N($F278)*N($G278))</f>
        <v/>
      </c>
      <c r="K278" s="20">
        <f>IF($B278="","",N($F278)*N($H278))</f>
        <v/>
      </c>
      <c r="L278" s="20">
        <f>IF($B278="","",N($F278)*N($I278))</f>
        <v/>
      </c>
    </row>
    <row r="279">
      <c r="A279" s="30" t="n"/>
      <c r="B279" s="30" t="n"/>
      <c r="C279" s="18">
        <f>IF($B279="","",IFERROR(VLOOKUP($B279,단가마스터!$A$4:$H$303,2,FALSE),"⚠️단가마스터에 없음"))</f>
        <v/>
      </c>
      <c r="D279" s="18">
        <f>IF($B279="","",IFERROR(VLOOKUP($B279,단가마스터!$A$4:$H$303,3,FALSE),""))</f>
        <v/>
      </c>
      <c r="E279" s="18">
        <f>IF($B279="","",IFERROR(VLOOKUP($B279,단가마스터!$A$4:$H$303,4,FALSE),""))</f>
        <v/>
      </c>
      <c r="F279" s="30" t="n"/>
      <c r="G279" s="20">
        <f>IF($B279="","",IFERROR(VLOOKUP($B279,단가마스터!$A$4:$H$303,5,FALSE),0))</f>
        <v/>
      </c>
      <c r="H279" s="20">
        <f>IF($B279="","",IFERROR(VLOOKUP($B279,단가마스터!$A$4:$H$303,6,FALSE),0))</f>
        <v/>
      </c>
      <c r="I279" s="20">
        <f>IF($B279="","",IFERROR(VLOOKUP($B279,단가마스터!$A$4:$H$303,7,FALSE),0))</f>
        <v/>
      </c>
      <c r="J279" s="20">
        <f>IF($B279="","",N($F279)*N($G279))</f>
        <v/>
      </c>
      <c r="K279" s="20">
        <f>IF($B279="","",N($F279)*N($H279))</f>
        <v/>
      </c>
      <c r="L279" s="20">
        <f>IF($B279="","",N($F279)*N($I279))</f>
        <v/>
      </c>
    </row>
    <row r="280">
      <c r="A280" s="30" t="n"/>
      <c r="B280" s="30" t="n"/>
      <c r="C280" s="18">
        <f>IF($B280="","",IFERROR(VLOOKUP($B280,단가마스터!$A$4:$H$303,2,FALSE),"⚠️단가마스터에 없음"))</f>
        <v/>
      </c>
      <c r="D280" s="18">
        <f>IF($B280="","",IFERROR(VLOOKUP($B280,단가마스터!$A$4:$H$303,3,FALSE),""))</f>
        <v/>
      </c>
      <c r="E280" s="18">
        <f>IF($B280="","",IFERROR(VLOOKUP($B280,단가마스터!$A$4:$H$303,4,FALSE),""))</f>
        <v/>
      </c>
      <c r="F280" s="30" t="n"/>
      <c r="G280" s="20">
        <f>IF($B280="","",IFERROR(VLOOKUP($B280,단가마스터!$A$4:$H$303,5,FALSE),0))</f>
        <v/>
      </c>
      <c r="H280" s="20">
        <f>IF($B280="","",IFERROR(VLOOKUP($B280,단가마스터!$A$4:$H$303,6,FALSE),0))</f>
        <v/>
      </c>
      <c r="I280" s="20">
        <f>IF($B280="","",IFERROR(VLOOKUP($B280,단가마스터!$A$4:$H$303,7,FALSE),0))</f>
        <v/>
      </c>
      <c r="J280" s="20">
        <f>IF($B280="","",N($F280)*N($G280))</f>
        <v/>
      </c>
      <c r="K280" s="20">
        <f>IF($B280="","",N($F280)*N($H280))</f>
        <v/>
      </c>
      <c r="L280" s="20">
        <f>IF($B280="","",N($F280)*N($I280))</f>
        <v/>
      </c>
    </row>
    <row r="281">
      <c r="A281" s="30" t="n"/>
      <c r="B281" s="30" t="n"/>
      <c r="C281" s="18">
        <f>IF($B281="","",IFERROR(VLOOKUP($B281,단가마스터!$A$4:$H$303,2,FALSE),"⚠️단가마스터에 없음"))</f>
        <v/>
      </c>
      <c r="D281" s="18">
        <f>IF($B281="","",IFERROR(VLOOKUP($B281,단가마스터!$A$4:$H$303,3,FALSE),""))</f>
        <v/>
      </c>
      <c r="E281" s="18">
        <f>IF($B281="","",IFERROR(VLOOKUP($B281,단가마스터!$A$4:$H$303,4,FALSE),""))</f>
        <v/>
      </c>
      <c r="F281" s="30" t="n"/>
      <c r="G281" s="20">
        <f>IF($B281="","",IFERROR(VLOOKUP($B281,단가마스터!$A$4:$H$303,5,FALSE),0))</f>
        <v/>
      </c>
      <c r="H281" s="20">
        <f>IF($B281="","",IFERROR(VLOOKUP($B281,단가마스터!$A$4:$H$303,6,FALSE),0))</f>
        <v/>
      </c>
      <c r="I281" s="20">
        <f>IF($B281="","",IFERROR(VLOOKUP($B281,단가마스터!$A$4:$H$303,7,FALSE),0))</f>
        <v/>
      </c>
      <c r="J281" s="20">
        <f>IF($B281="","",N($F281)*N($G281))</f>
        <v/>
      </c>
      <c r="K281" s="20">
        <f>IF($B281="","",N($F281)*N($H281))</f>
        <v/>
      </c>
      <c r="L281" s="20">
        <f>IF($B281="","",N($F281)*N($I281))</f>
        <v/>
      </c>
    </row>
    <row r="282">
      <c r="A282" s="30" t="n"/>
      <c r="B282" s="30" t="n"/>
      <c r="C282" s="18">
        <f>IF($B282="","",IFERROR(VLOOKUP($B282,단가마스터!$A$4:$H$303,2,FALSE),"⚠️단가마스터에 없음"))</f>
        <v/>
      </c>
      <c r="D282" s="18">
        <f>IF($B282="","",IFERROR(VLOOKUP($B282,단가마스터!$A$4:$H$303,3,FALSE),""))</f>
        <v/>
      </c>
      <c r="E282" s="18">
        <f>IF($B282="","",IFERROR(VLOOKUP($B282,단가마스터!$A$4:$H$303,4,FALSE),""))</f>
        <v/>
      </c>
      <c r="F282" s="30" t="n"/>
      <c r="G282" s="20">
        <f>IF($B282="","",IFERROR(VLOOKUP($B282,단가마스터!$A$4:$H$303,5,FALSE),0))</f>
        <v/>
      </c>
      <c r="H282" s="20">
        <f>IF($B282="","",IFERROR(VLOOKUP($B282,단가마스터!$A$4:$H$303,6,FALSE),0))</f>
        <v/>
      </c>
      <c r="I282" s="20">
        <f>IF($B282="","",IFERROR(VLOOKUP($B282,단가마스터!$A$4:$H$303,7,FALSE),0))</f>
        <v/>
      </c>
      <c r="J282" s="20">
        <f>IF($B282="","",N($F282)*N($G282))</f>
        <v/>
      </c>
      <c r="K282" s="20">
        <f>IF($B282="","",N($F282)*N($H282))</f>
        <v/>
      </c>
      <c r="L282" s="20">
        <f>IF($B282="","",N($F282)*N($I282))</f>
        <v/>
      </c>
    </row>
    <row r="283">
      <c r="A283" s="30" t="n"/>
      <c r="B283" s="30" t="n"/>
      <c r="C283" s="18">
        <f>IF($B283="","",IFERROR(VLOOKUP($B283,단가마스터!$A$4:$H$303,2,FALSE),"⚠️단가마스터에 없음"))</f>
        <v/>
      </c>
      <c r="D283" s="18">
        <f>IF($B283="","",IFERROR(VLOOKUP($B283,단가마스터!$A$4:$H$303,3,FALSE),""))</f>
        <v/>
      </c>
      <c r="E283" s="18">
        <f>IF($B283="","",IFERROR(VLOOKUP($B283,단가마스터!$A$4:$H$303,4,FALSE),""))</f>
        <v/>
      </c>
      <c r="F283" s="30" t="n"/>
      <c r="G283" s="20">
        <f>IF($B283="","",IFERROR(VLOOKUP($B283,단가마스터!$A$4:$H$303,5,FALSE),0))</f>
        <v/>
      </c>
      <c r="H283" s="20">
        <f>IF($B283="","",IFERROR(VLOOKUP($B283,단가마스터!$A$4:$H$303,6,FALSE),0))</f>
        <v/>
      </c>
      <c r="I283" s="20">
        <f>IF($B283="","",IFERROR(VLOOKUP($B283,단가마스터!$A$4:$H$303,7,FALSE),0))</f>
        <v/>
      </c>
      <c r="J283" s="20">
        <f>IF($B283="","",N($F283)*N($G283))</f>
        <v/>
      </c>
      <c r="K283" s="20">
        <f>IF($B283="","",N($F283)*N($H283))</f>
        <v/>
      </c>
      <c r="L283" s="20">
        <f>IF($B283="","",N($F283)*N($I283))</f>
        <v/>
      </c>
    </row>
    <row r="284">
      <c r="A284" s="30" t="n"/>
      <c r="B284" s="30" t="n"/>
      <c r="C284" s="18">
        <f>IF($B284="","",IFERROR(VLOOKUP($B284,단가마스터!$A$4:$H$303,2,FALSE),"⚠️단가마스터에 없음"))</f>
        <v/>
      </c>
      <c r="D284" s="18">
        <f>IF($B284="","",IFERROR(VLOOKUP($B284,단가마스터!$A$4:$H$303,3,FALSE),""))</f>
        <v/>
      </c>
      <c r="E284" s="18">
        <f>IF($B284="","",IFERROR(VLOOKUP($B284,단가마스터!$A$4:$H$303,4,FALSE),""))</f>
        <v/>
      </c>
      <c r="F284" s="30" t="n"/>
      <c r="G284" s="20">
        <f>IF($B284="","",IFERROR(VLOOKUP($B284,단가마스터!$A$4:$H$303,5,FALSE),0))</f>
        <v/>
      </c>
      <c r="H284" s="20">
        <f>IF($B284="","",IFERROR(VLOOKUP($B284,단가마스터!$A$4:$H$303,6,FALSE),0))</f>
        <v/>
      </c>
      <c r="I284" s="20">
        <f>IF($B284="","",IFERROR(VLOOKUP($B284,단가마스터!$A$4:$H$303,7,FALSE),0))</f>
        <v/>
      </c>
      <c r="J284" s="20">
        <f>IF($B284="","",N($F284)*N($G284))</f>
        <v/>
      </c>
      <c r="K284" s="20">
        <f>IF($B284="","",N($F284)*N($H284))</f>
        <v/>
      </c>
      <c r="L284" s="20">
        <f>IF($B284="","",N($F284)*N($I284))</f>
        <v/>
      </c>
    </row>
    <row r="285">
      <c r="A285" s="30" t="n"/>
      <c r="B285" s="30" t="n"/>
      <c r="C285" s="18">
        <f>IF($B285="","",IFERROR(VLOOKUP($B285,단가마스터!$A$4:$H$303,2,FALSE),"⚠️단가마스터에 없음"))</f>
        <v/>
      </c>
      <c r="D285" s="18">
        <f>IF($B285="","",IFERROR(VLOOKUP($B285,단가마스터!$A$4:$H$303,3,FALSE),""))</f>
        <v/>
      </c>
      <c r="E285" s="18">
        <f>IF($B285="","",IFERROR(VLOOKUP($B285,단가마스터!$A$4:$H$303,4,FALSE),""))</f>
        <v/>
      </c>
      <c r="F285" s="30" t="n"/>
      <c r="G285" s="20">
        <f>IF($B285="","",IFERROR(VLOOKUP($B285,단가마스터!$A$4:$H$303,5,FALSE),0))</f>
        <v/>
      </c>
      <c r="H285" s="20">
        <f>IF($B285="","",IFERROR(VLOOKUP($B285,단가마스터!$A$4:$H$303,6,FALSE),0))</f>
        <v/>
      </c>
      <c r="I285" s="20">
        <f>IF($B285="","",IFERROR(VLOOKUP($B285,단가마스터!$A$4:$H$303,7,FALSE),0))</f>
        <v/>
      </c>
      <c r="J285" s="20">
        <f>IF($B285="","",N($F285)*N($G285))</f>
        <v/>
      </c>
      <c r="K285" s="20">
        <f>IF($B285="","",N($F285)*N($H285))</f>
        <v/>
      </c>
      <c r="L285" s="20">
        <f>IF($B285="","",N($F285)*N($I285))</f>
        <v/>
      </c>
    </row>
    <row r="286">
      <c r="A286" s="30" t="n"/>
      <c r="B286" s="30" t="n"/>
      <c r="C286" s="18">
        <f>IF($B286="","",IFERROR(VLOOKUP($B286,단가마스터!$A$4:$H$303,2,FALSE),"⚠️단가마스터에 없음"))</f>
        <v/>
      </c>
      <c r="D286" s="18">
        <f>IF($B286="","",IFERROR(VLOOKUP($B286,단가마스터!$A$4:$H$303,3,FALSE),""))</f>
        <v/>
      </c>
      <c r="E286" s="18">
        <f>IF($B286="","",IFERROR(VLOOKUP($B286,단가마스터!$A$4:$H$303,4,FALSE),""))</f>
        <v/>
      </c>
      <c r="F286" s="30" t="n"/>
      <c r="G286" s="20">
        <f>IF($B286="","",IFERROR(VLOOKUP($B286,단가마스터!$A$4:$H$303,5,FALSE),0))</f>
        <v/>
      </c>
      <c r="H286" s="20">
        <f>IF($B286="","",IFERROR(VLOOKUP($B286,단가마스터!$A$4:$H$303,6,FALSE),0))</f>
        <v/>
      </c>
      <c r="I286" s="20">
        <f>IF($B286="","",IFERROR(VLOOKUP($B286,단가마스터!$A$4:$H$303,7,FALSE),0))</f>
        <v/>
      </c>
      <c r="J286" s="20">
        <f>IF($B286="","",N($F286)*N($G286))</f>
        <v/>
      </c>
      <c r="K286" s="20">
        <f>IF($B286="","",N($F286)*N($H286))</f>
        <v/>
      </c>
      <c r="L286" s="20">
        <f>IF($B286="","",N($F286)*N($I286))</f>
        <v/>
      </c>
    </row>
    <row r="287">
      <c r="A287" s="30" t="n"/>
      <c r="B287" s="30" t="n"/>
      <c r="C287" s="18">
        <f>IF($B287="","",IFERROR(VLOOKUP($B287,단가마스터!$A$4:$H$303,2,FALSE),"⚠️단가마스터에 없음"))</f>
        <v/>
      </c>
      <c r="D287" s="18">
        <f>IF($B287="","",IFERROR(VLOOKUP($B287,단가마스터!$A$4:$H$303,3,FALSE),""))</f>
        <v/>
      </c>
      <c r="E287" s="18">
        <f>IF($B287="","",IFERROR(VLOOKUP($B287,단가마스터!$A$4:$H$303,4,FALSE),""))</f>
        <v/>
      </c>
      <c r="F287" s="30" t="n"/>
      <c r="G287" s="20">
        <f>IF($B287="","",IFERROR(VLOOKUP($B287,단가마스터!$A$4:$H$303,5,FALSE),0))</f>
        <v/>
      </c>
      <c r="H287" s="20">
        <f>IF($B287="","",IFERROR(VLOOKUP($B287,단가마스터!$A$4:$H$303,6,FALSE),0))</f>
        <v/>
      </c>
      <c r="I287" s="20">
        <f>IF($B287="","",IFERROR(VLOOKUP($B287,단가마스터!$A$4:$H$303,7,FALSE),0))</f>
        <v/>
      </c>
      <c r="J287" s="20">
        <f>IF($B287="","",N($F287)*N($G287))</f>
        <v/>
      </c>
      <c r="K287" s="20">
        <f>IF($B287="","",N($F287)*N($H287))</f>
        <v/>
      </c>
      <c r="L287" s="20">
        <f>IF($B287="","",N($F287)*N($I287))</f>
        <v/>
      </c>
    </row>
    <row r="288">
      <c r="A288" s="30" t="n"/>
      <c r="B288" s="30" t="n"/>
      <c r="C288" s="18">
        <f>IF($B288="","",IFERROR(VLOOKUP($B288,단가마스터!$A$4:$H$303,2,FALSE),"⚠️단가마스터에 없음"))</f>
        <v/>
      </c>
      <c r="D288" s="18">
        <f>IF($B288="","",IFERROR(VLOOKUP($B288,단가마스터!$A$4:$H$303,3,FALSE),""))</f>
        <v/>
      </c>
      <c r="E288" s="18">
        <f>IF($B288="","",IFERROR(VLOOKUP($B288,단가마스터!$A$4:$H$303,4,FALSE),""))</f>
        <v/>
      </c>
      <c r="F288" s="30" t="n"/>
      <c r="G288" s="20">
        <f>IF($B288="","",IFERROR(VLOOKUP($B288,단가마스터!$A$4:$H$303,5,FALSE),0))</f>
        <v/>
      </c>
      <c r="H288" s="20">
        <f>IF($B288="","",IFERROR(VLOOKUP($B288,단가마스터!$A$4:$H$303,6,FALSE),0))</f>
        <v/>
      </c>
      <c r="I288" s="20">
        <f>IF($B288="","",IFERROR(VLOOKUP($B288,단가마스터!$A$4:$H$303,7,FALSE),0))</f>
        <v/>
      </c>
      <c r="J288" s="20">
        <f>IF($B288="","",N($F288)*N($G288))</f>
        <v/>
      </c>
      <c r="K288" s="20">
        <f>IF($B288="","",N($F288)*N($H288))</f>
        <v/>
      </c>
      <c r="L288" s="20">
        <f>IF($B288="","",N($F288)*N($I288))</f>
        <v/>
      </c>
    </row>
    <row r="289">
      <c r="A289" s="30" t="n"/>
      <c r="B289" s="30" t="n"/>
      <c r="C289" s="18">
        <f>IF($B289="","",IFERROR(VLOOKUP($B289,단가마스터!$A$4:$H$303,2,FALSE),"⚠️단가마스터에 없음"))</f>
        <v/>
      </c>
      <c r="D289" s="18">
        <f>IF($B289="","",IFERROR(VLOOKUP($B289,단가마스터!$A$4:$H$303,3,FALSE),""))</f>
        <v/>
      </c>
      <c r="E289" s="18">
        <f>IF($B289="","",IFERROR(VLOOKUP($B289,단가마스터!$A$4:$H$303,4,FALSE),""))</f>
        <v/>
      </c>
      <c r="F289" s="30" t="n"/>
      <c r="G289" s="20">
        <f>IF($B289="","",IFERROR(VLOOKUP($B289,단가마스터!$A$4:$H$303,5,FALSE),0))</f>
        <v/>
      </c>
      <c r="H289" s="20">
        <f>IF($B289="","",IFERROR(VLOOKUP($B289,단가마스터!$A$4:$H$303,6,FALSE),0))</f>
        <v/>
      </c>
      <c r="I289" s="20">
        <f>IF($B289="","",IFERROR(VLOOKUP($B289,단가마스터!$A$4:$H$303,7,FALSE),0))</f>
        <v/>
      </c>
      <c r="J289" s="20">
        <f>IF($B289="","",N($F289)*N($G289))</f>
        <v/>
      </c>
      <c r="K289" s="20">
        <f>IF($B289="","",N($F289)*N($H289))</f>
        <v/>
      </c>
      <c r="L289" s="20">
        <f>IF($B289="","",N($F289)*N($I289))</f>
        <v/>
      </c>
    </row>
    <row r="290">
      <c r="A290" s="30" t="n"/>
      <c r="B290" s="30" t="n"/>
      <c r="C290" s="18">
        <f>IF($B290="","",IFERROR(VLOOKUP($B290,단가마스터!$A$4:$H$303,2,FALSE),"⚠️단가마스터에 없음"))</f>
        <v/>
      </c>
      <c r="D290" s="18">
        <f>IF($B290="","",IFERROR(VLOOKUP($B290,단가마스터!$A$4:$H$303,3,FALSE),""))</f>
        <v/>
      </c>
      <c r="E290" s="18">
        <f>IF($B290="","",IFERROR(VLOOKUP($B290,단가마스터!$A$4:$H$303,4,FALSE),""))</f>
        <v/>
      </c>
      <c r="F290" s="30" t="n"/>
      <c r="G290" s="20">
        <f>IF($B290="","",IFERROR(VLOOKUP($B290,단가마스터!$A$4:$H$303,5,FALSE),0))</f>
        <v/>
      </c>
      <c r="H290" s="20">
        <f>IF($B290="","",IFERROR(VLOOKUP($B290,단가마스터!$A$4:$H$303,6,FALSE),0))</f>
        <v/>
      </c>
      <c r="I290" s="20">
        <f>IF($B290="","",IFERROR(VLOOKUP($B290,단가마스터!$A$4:$H$303,7,FALSE),0))</f>
        <v/>
      </c>
      <c r="J290" s="20">
        <f>IF($B290="","",N($F290)*N($G290))</f>
        <v/>
      </c>
      <c r="K290" s="20">
        <f>IF($B290="","",N($F290)*N($H290))</f>
        <v/>
      </c>
      <c r="L290" s="20">
        <f>IF($B290="","",N($F290)*N($I290))</f>
        <v/>
      </c>
    </row>
    <row r="291">
      <c r="A291" s="30" t="n"/>
      <c r="B291" s="30" t="n"/>
      <c r="C291" s="18">
        <f>IF($B291="","",IFERROR(VLOOKUP($B291,단가마스터!$A$4:$H$303,2,FALSE),"⚠️단가마스터에 없음"))</f>
        <v/>
      </c>
      <c r="D291" s="18">
        <f>IF($B291="","",IFERROR(VLOOKUP($B291,단가마스터!$A$4:$H$303,3,FALSE),""))</f>
        <v/>
      </c>
      <c r="E291" s="18">
        <f>IF($B291="","",IFERROR(VLOOKUP($B291,단가마스터!$A$4:$H$303,4,FALSE),""))</f>
        <v/>
      </c>
      <c r="F291" s="30" t="n"/>
      <c r="G291" s="20">
        <f>IF($B291="","",IFERROR(VLOOKUP($B291,단가마스터!$A$4:$H$303,5,FALSE),0))</f>
        <v/>
      </c>
      <c r="H291" s="20">
        <f>IF($B291="","",IFERROR(VLOOKUP($B291,단가마스터!$A$4:$H$303,6,FALSE),0))</f>
        <v/>
      </c>
      <c r="I291" s="20">
        <f>IF($B291="","",IFERROR(VLOOKUP($B291,단가마스터!$A$4:$H$303,7,FALSE),0))</f>
        <v/>
      </c>
      <c r="J291" s="20">
        <f>IF($B291="","",N($F291)*N($G291))</f>
        <v/>
      </c>
      <c r="K291" s="20">
        <f>IF($B291="","",N($F291)*N($H291))</f>
        <v/>
      </c>
      <c r="L291" s="20">
        <f>IF($B291="","",N($F291)*N($I291))</f>
        <v/>
      </c>
    </row>
    <row r="292">
      <c r="A292" s="30" t="n"/>
      <c r="B292" s="30" t="n"/>
      <c r="C292" s="18">
        <f>IF($B292="","",IFERROR(VLOOKUP($B292,단가마스터!$A$4:$H$303,2,FALSE),"⚠️단가마스터에 없음"))</f>
        <v/>
      </c>
      <c r="D292" s="18">
        <f>IF($B292="","",IFERROR(VLOOKUP($B292,단가마스터!$A$4:$H$303,3,FALSE),""))</f>
        <v/>
      </c>
      <c r="E292" s="18">
        <f>IF($B292="","",IFERROR(VLOOKUP($B292,단가마스터!$A$4:$H$303,4,FALSE),""))</f>
        <v/>
      </c>
      <c r="F292" s="30" t="n"/>
      <c r="G292" s="20">
        <f>IF($B292="","",IFERROR(VLOOKUP($B292,단가마스터!$A$4:$H$303,5,FALSE),0))</f>
        <v/>
      </c>
      <c r="H292" s="20">
        <f>IF($B292="","",IFERROR(VLOOKUP($B292,단가마스터!$A$4:$H$303,6,FALSE),0))</f>
        <v/>
      </c>
      <c r="I292" s="20">
        <f>IF($B292="","",IFERROR(VLOOKUP($B292,단가마스터!$A$4:$H$303,7,FALSE),0))</f>
        <v/>
      </c>
      <c r="J292" s="20">
        <f>IF($B292="","",N($F292)*N($G292))</f>
        <v/>
      </c>
      <c r="K292" s="20">
        <f>IF($B292="","",N($F292)*N($H292))</f>
        <v/>
      </c>
      <c r="L292" s="20">
        <f>IF($B292="","",N($F292)*N($I292))</f>
        <v/>
      </c>
    </row>
    <row r="293">
      <c r="A293" s="30" t="n"/>
      <c r="B293" s="30" t="n"/>
      <c r="C293" s="18">
        <f>IF($B293="","",IFERROR(VLOOKUP($B293,단가마스터!$A$4:$H$303,2,FALSE),"⚠️단가마스터에 없음"))</f>
        <v/>
      </c>
      <c r="D293" s="18">
        <f>IF($B293="","",IFERROR(VLOOKUP($B293,단가마스터!$A$4:$H$303,3,FALSE),""))</f>
        <v/>
      </c>
      <c r="E293" s="18">
        <f>IF($B293="","",IFERROR(VLOOKUP($B293,단가마스터!$A$4:$H$303,4,FALSE),""))</f>
        <v/>
      </c>
      <c r="F293" s="30" t="n"/>
      <c r="G293" s="20">
        <f>IF($B293="","",IFERROR(VLOOKUP($B293,단가마스터!$A$4:$H$303,5,FALSE),0))</f>
        <v/>
      </c>
      <c r="H293" s="20">
        <f>IF($B293="","",IFERROR(VLOOKUP($B293,단가마스터!$A$4:$H$303,6,FALSE),0))</f>
        <v/>
      </c>
      <c r="I293" s="20">
        <f>IF($B293="","",IFERROR(VLOOKUP($B293,단가마스터!$A$4:$H$303,7,FALSE),0))</f>
        <v/>
      </c>
      <c r="J293" s="20">
        <f>IF($B293="","",N($F293)*N($G293))</f>
        <v/>
      </c>
      <c r="K293" s="20">
        <f>IF($B293="","",N($F293)*N($H293))</f>
        <v/>
      </c>
      <c r="L293" s="20">
        <f>IF($B293="","",N($F293)*N($I293))</f>
        <v/>
      </c>
    </row>
    <row r="294">
      <c r="A294" s="30" t="n"/>
      <c r="B294" s="30" t="n"/>
      <c r="C294" s="18">
        <f>IF($B294="","",IFERROR(VLOOKUP($B294,단가마스터!$A$4:$H$303,2,FALSE),"⚠️단가마스터에 없음"))</f>
        <v/>
      </c>
      <c r="D294" s="18">
        <f>IF($B294="","",IFERROR(VLOOKUP($B294,단가마스터!$A$4:$H$303,3,FALSE),""))</f>
        <v/>
      </c>
      <c r="E294" s="18">
        <f>IF($B294="","",IFERROR(VLOOKUP($B294,단가마스터!$A$4:$H$303,4,FALSE),""))</f>
        <v/>
      </c>
      <c r="F294" s="30" t="n"/>
      <c r="G294" s="20">
        <f>IF($B294="","",IFERROR(VLOOKUP($B294,단가마스터!$A$4:$H$303,5,FALSE),0))</f>
        <v/>
      </c>
      <c r="H294" s="20">
        <f>IF($B294="","",IFERROR(VLOOKUP($B294,단가마스터!$A$4:$H$303,6,FALSE),0))</f>
        <v/>
      </c>
      <c r="I294" s="20">
        <f>IF($B294="","",IFERROR(VLOOKUP($B294,단가마스터!$A$4:$H$303,7,FALSE),0))</f>
        <v/>
      </c>
      <c r="J294" s="20">
        <f>IF($B294="","",N($F294)*N($G294))</f>
        <v/>
      </c>
      <c r="K294" s="20">
        <f>IF($B294="","",N($F294)*N($H294))</f>
        <v/>
      </c>
      <c r="L294" s="20">
        <f>IF($B294="","",N($F294)*N($I294))</f>
        <v/>
      </c>
    </row>
    <row r="295">
      <c r="A295" s="30" t="n"/>
      <c r="B295" s="30" t="n"/>
      <c r="C295" s="18">
        <f>IF($B295="","",IFERROR(VLOOKUP($B295,단가마스터!$A$4:$H$303,2,FALSE),"⚠️단가마스터에 없음"))</f>
        <v/>
      </c>
      <c r="D295" s="18">
        <f>IF($B295="","",IFERROR(VLOOKUP($B295,단가마스터!$A$4:$H$303,3,FALSE),""))</f>
        <v/>
      </c>
      <c r="E295" s="18">
        <f>IF($B295="","",IFERROR(VLOOKUP($B295,단가마스터!$A$4:$H$303,4,FALSE),""))</f>
        <v/>
      </c>
      <c r="F295" s="30" t="n"/>
      <c r="G295" s="20">
        <f>IF($B295="","",IFERROR(VLOOKUP($B295,단가마스터!$A$4:$H$303,5,FALSE),0))</f>
        <v/>
      </c>
      <c r="H295" s="20">
        <f>IF($B295="","",IFERROR(VLOOKUP($B295,단가마스터!$A$4:$H$303,6,FALSE),0))</f>
        <v/>
      </c>
      <c r="I295" s="20">
        <f>IF($B295="","",IFERROR(VLOOKUP($B295,단가마스터!$A$4:$H$303,7,FALSE),0))</f>
        <v/>
      </c>
      <c r="J295" s="20">
        <f>IF($B295="","",N($F295)*N($G295))</f>
        <v/>
      </c>
      <c r="K295" s="20">
        <f>IF($B295="","",N($F295)*N($H295))</f>
        <v/>
      </c>
      <c r="L295" s="20">
        <f>IF($B295="","",N($F295)*N($I295))</f>
        <v/>
      </c>
    </row>
    <row r="296">
      <c r="A296" s="30" t="n"/>
      <c r="B296" s="30" t="n"/>
      <c r="C296" s="18">
        <f>IF($B296="","",IFERROR(VLOOKUP($B296,단가마스터!$A$4:$H$303,2,FALSE),"⚠️단가마스터에 없음"))</f>
        <v/>
      </c>
      <c r="D296" s="18">
        <f>IF($B296="","",IFERROR(VLOOKUP($B296,단가마스터!$A$4:$H$303,3,FALSE),""))</f>
        <v/>
      </c>
      <c r="E296" s="18">
        <f>IF($B296="","",IFERROR(VLOOKUP($B296,단가마스터!$A$4:$H$303,4,FALSE),""))</f>
        <v/>
      </c>
      <c r="F296" s="30" t="n"/>
      <c r="G296" s="20">
        <f>IF($B296="","",IFERROR(VLOOKUP($B296,단가마스터!$A$4:$H$303,5,FALSE),0))</f>
        <v/>
      </c>
      <c r="H296" s="20">
        <f>IF($B296="","",IFERROR(VLOOKUP($B296,단가마스터!$A$4:$H$303,6,FALSE),0))</f>
        <v/>
      </c>
      <c r="I296" s="20">
        <f>IF($B296="","",IFERROR(VLOOKUP($B296,단가마스터!$A$4:$H$303,7,FALSE),0))</f>
        <v/>
      </c>
      <c r="J296" s="20">
        <f>IF($B296="","",N($F296)*N($G296))</f>
        <v/>
      </c>
      <c r="K296" s="20">
        <f>IF($B296="","",N($F296)*N($H296))</f>
        <v/>
      </c>
      <c r="L296" s="20">
        <f>IF($B296="","",N($F296)*N($I296))</f>
        <v/>
      </c>
    </row>
    <row r="297">
      <c r="A297" s="30" t="n"/>
      <c r="B297" s="30" t="n"/>
      <c r="C297" s="18">
        <f>IF($B297="","",IFERROR(VLOOKUP($B297,단가마스터!$A$4:$H$303,2,FALSE),"⚠️단가마스터에 없음"))</f>
        <v/>
      </c>
      <c r="D297" s="18">
        <f>IF($B297="","",IFERROR(VLOOKUP($B297,단가마스터!$A$4:$H$303,3,FALSE),""))</f>
        <v/>
      </c>
      <c r="E297" s="18">
        <f>IF($B297="","",IFERROR(VLOOKUP($B297,단가마스터!$A$4:$H$303,4,FALSE),""))</f>
        <v/>
      </c>
      <c r="F297" s="30" t="n"/>
      <c r="G297" s="20">
        <f>IF($B297="","",IFERROR(VLOOKUP($B297,단가마스터!$A$4:$H$303,5,FALSE),0))</f>
        <v/>
      </c>
      <c r="H297" s="20">
        <f>IF($B297="","",IFERROR(VLOOKUP($B297,단가마스터!$A$4:$H$303,6,FALSE),0))</f>
        <v/>
      </c>
      <c r="I297" s="20">
        <f>IF($B297="","",IFERROR(VLOOKUP($B297,단가마스터!$A$4:$H$303,7,FALSE),0))</f>
        <v/>
      </c>
      <c r="J297" s="20">
        <f>IF($B297="","",N($F297)*N($G297))</f>
        <v/>
      </c>
      <c r="K297" s="20">
        <f>IF($B297="","",N($F297)*N($H297))</f>
        <v/>
      </c>
      <c r="L297" s="20">
        <f>IF($B297="","",N($F297)*N($I297))</f>
        <v/>
      </c>
    </row>
    <row r="298">
      <c r="A298" s="30" t="n"/>
      <c r="B298" s="30" t="n"/>
      <c r="C298" s="18">
        <f>IF($B298="","",IFERROR(VLOOKUP($B298,단가마스터!$A$4:$H$303,2,FALSE),"⚠️단가마스터에 없음"))</f>
        <v/>
      </c>
      <c r="D298" s="18">
        <f>IF($B298="","",IFERROR(VLOOKUP($B298,단가마스터!$A$4:$H$303,3,FALSE),""))</f>
        <v/>
      </c>
      <c r="E298" s="18">
        <f>IF($B298="","",IFERROR(VLOOKUP($B298,단가마스터!$A$4:$H$303,4,FALSE),""))</f>
        <v/>
      </c>
      <c r="F298" s="30" t="n"/>
      <c r="G298" s="20">
        <f>IF($B298="","",IFERROR(VLOOKUP($B298,단가마스터!$A$4:$H$303,5,FALSE),0))</f>
        <v/>
      </c>
      <c r="H298" s="20">
        <f>IF($B298="","",IFERROR(VLOOKUP($B298,단가마스터!$A$4:$H$303,6,FALSE),0))</f>
        <v/>
      </c>
      <c r="I298" s="20">
        <f>IF($B298="","",IFERROR(VLOOKUP($B298,단가마스터!$A$4:$H$303,7,FALSE),0))</f>
        <v/>
      </c>
      <c r="J298" s="20">
        <f>IF($B298="","",N($F298)*N($G298))</f>
        <v/>
      </c>
      <c r="K298" s="20">
        <f>IF($B298="","",N($F298)*N($H298))</f>
        <v/>
      </c>
      <c r="L298" s="20">
        <f>IF($B298="","",N($F298)*N($I298))</f>
        <v/>
      </c>
    </row>
    <row r="299">
      <c r="A299" s="30" t="n"/>
      <c r="B299" s="30" t="n"/>
      <c r="C299" s="18">
        <f>IF($B299="","",IFERROR(VLOOKUP($B299,단가마스터!$A$4:$H$303,2,FALSE),"⚠️단가마스터에 없음"))</f>
        <v/>
      </c>
      <c r="D299" s="18">
        <f>IF($B299="","",IFERROR(VLOOKUP($B299,단가마스터!$A$4:$H$303,3,FALSE),""))</f>
        <v/>
      </c>
      <c r="E299" s="18">
        <f>IF($B299="","",IFERROR(VLOOKUP($B299,단가마스터!$A$4:$H$303,4,FALSE),""))</f>
        <v/>
      </c>
      <c r="F299" s="30" t="n"/>
      <c r="G299" s="20">
        <f>IF($B299="","",IFERROR(VLOOKUP($B299,단가마스터!$A$4:$H$303,5,FALSE),0))</f>
        <v/>
      </c>
      <c r="H299" s="20">
        <f>IF($B299="","",IFERROR(VLOOKUP($B299,단가마스터!$A$4:$H$303,6,FALSE),0))</f>
        <v/>
      </c>
      <c r="I299" s="20">
        <f>IF($B299="","",IFERROR(VLOOKUP($B299,단가마스터!$A$4:$H$303,7,FALSE),0))</f>
        <v/>
      </c>
      <c r="J299" s="20">
        <f>IF($B299="","",N($F299)*N($G299))</f>
        <v/>
      </c>
      <c r="K299" s="20">
        <f>IF($B299="","",N($F299)*N($H299))</f>
        <v/>
      </c>
      <c r="L299" s="20">
        <f>IF($B299="","",N($F299)*N($I299))</f>
        <v/>
      </c>
    </row>
    <row r="300">
      <c r="A300" s="30" t="n"/>
      <c r="B300" s="30" t="n"/>
      <c r="C300" s="18">
        <f>IF($B300="","",IFERROR(VLOOKUP($B300,단가마스터!$A$4:$H$303,2,FALSE),"⚠️단가마스터에 없음"))</f>
        <v/>
      </c>
      <c r="D300" s="18">
        <f>IF($B300="","",IFERROR(VLOOKUP($B300,단가마스터!$A$4:$H$303,3,FALSE),""))</f>
        <v/>
      </c>
      <c r="E300" s="18">
        <f>IF($B300="","",IFERROR(VLOOKUP($B300,단가마스터!$A$4:$H$303,4,FALSE),""))</f>
        <v/>
      </c>
      <c r="F300" s="30" t="n"/>
      <c r="G300" s="20">
        <f>IF($B300="","",IFERROR(VLOOKUP($B300,단가마스터!$A$4:$H$303,5,FALSE),0))</f>
        <v/>
      </c>
      <c r="H300" s="20">
        <f>IF($B300="","",IFERROR(VLOOKUP($B300,단가마스터!$A$4:$H$303,6,FALSE),0))</f>
        <v/>
      </c>
      <c r="I300" s="20">
        <f>IF($B300="","",IFERROR(VLOOKUP($B300,단가마스터!$A$4:$H$303,7,FALSE),0))</f>
        <v/>
      </c>
      <c r="J300" s="20">
        <f>IF($B300="","",N($F300)*N($G300))</f>
        <v/>
      </c>
      <c r="K300" s="20">
        <f>IF($B300="","",N($F300)*N($H300))</f>
        <v/>
      </c>
      <c r="L300" s="20">
        <f>IF($B300="","",N($F300)*N($I300))</f>
        <v/>
      </c>
    </row>
    <row r="301">
      <c r="A301" s="30" t="n"/>
      <c r="B301" s="30" t="n"/>
      <c r="C301" s="18">
        <f>IF($B301="","",IFERROR(VLOOKUP($B301,단가마스터!$A$4:$H$303,2,FALSE),"⚠️단가마스터에 없음"))</f>
        <v/>
      </c>
      <c r="D301" s="18">
        <f>IF($B301="","",IFERROR(VLOOKUP($B301,단가마스터!$A$4:$H$303,3,FALSE),""))</f>
        <v/>
      </c>
      <c r="E301" s="18">
        <f>IF($B301="","",IFERROR(VLOOKUP($B301,단가마스터!$A$4:$H$303,4,FALSE),""))</f>
        <v/>
      </c>
      <c r="F301" s="30" t="n"/>
      <c r="G301" s="20">
        <f>IF($B301="","",IFERROR(VLOOKUP($B301,단가마스터!$A$4:$H$303,5,FALSE),0))</f>
        <v/>
      </c>
      <c r="H301" s="20">
        <f>IF($B301="","",IFERROR(VLOOKUP($B301,단가마스터!$A$4:$H$303,6,FALSE),0))</f>
        <v/>
      </c>
      <c r="I301" s="20">
        <f>IF($B301="","",IFERROR(VLOOKUP($B301,단가마스터!$A$4:$H$303,7,FALSE),0))</f>
        <v/>
      </c>
      <c r="J301" s="20">
        <f>IF($B301="","",N($F301)*N($G301))</f>
        <v/>
      </c>
      <c r="K301" s="20">
        <f>IF($B301="","",N($F301)*N($H301))</f>
        <v/>
      </c>
      <c r="L301" s="20">
        <f>IF($B301="","",N($F301)*N($I301))</f>
        <v/>
      </c>
    </row>
    <row r="302">
      <c r="A302" s="30" t="n"/>
      <c r="B302" s="30" t="n"/>
      <c r="C302" s="18">
        <f>IF($B302="","",IFERROR(VLOOKUP($B302,단가마스터!$A$4:$H$303,2,FALSE),"⚠️단가마스터에 없음"))</f>
        <v/>
      </c>
      <c r="D302" s="18">
        <f>IF($B302="","",IFERROR(VLOOKUP($B302,단가마스터!$A$4:$H$303,3,FALSE),""))</f>
        <v/>
      </c>
      <c r="E302" s="18">
        <f>IF($B302="","",IFERROR(VLOOKUP($B302,단가마스터!$A$4:$H$303,4,FALSE),""))</f>
        <v/>
      </c>
      <c r="F302" s="30" t="n"/>
      <c r="G302" s="20">
        <f>IF($B302="","",IFERROR(VLOOKUP($B302,단가마스터!$A$4:$H$303,5,FALSE),0))</f>
        <v/>
      </c>
      <c r="H302" s="20">
        <f>IF($B302="","",IFERROR(VLOOKUP($B302,단가마스터!$A$4:$H$303,6,FALSE),0))</f>
        <v/>
      </c>
      <c r="I302" s="20">
        <f>IF($B302="","",IFERROR(VLOOKUP($B302,단가마스터!$A$4:$H$303,7,FALSE),0))</f>
        <v/>
      </c>
      <c r="J302" s="20">
        <f>IF($B302="","",N($F302)*N($G302))</f>
        <v/>
      </c>
      <c r="K302" s="20">
        <f>IF($B302="","",N($F302)*N($H302))</f>
        <v/>
      </c>
      <c r="L302" s="20">
        <f>IF($B302="","",N($F302)*N($I302))</f>
        <v/>
      </c>
    </row>
    <row r="303">
      <c r="A303" s="30" t="n"/>
      <c r="B303" s="30" t="n"/>
      <c r="C303" s="18">
        <f>IF($B303="","",IFERROR(VLOOKUP($B303,단가마스터!$A$4:$H$303,2,FALSE),"⚠️단가마스터에 없음"))</f>
        <v/>
      </c>
      <c r="D303" s="18">
        <f>IF($B303="","",IFERROR(VLOOKUP($B303,단가마스터!$A$4:$H$303,3,FALSE),""))</f>
        <v/>
      </c>
      <c r="E303" s="18">
        <f>IF($B303="","",IFERROR(VLOOKUP($B303,단가마스터!$A$4:$H$303,4,FALSE),""))</f>
        <v/>
      </c>
      <c r="F303" s="30" t="n"/>
      <c r="G303" s="20">
        <f>IF($B303="","",IFERROR(VLOOKUP($B303,단가마스터!$A$4:$H$303,5,FALSE),0))</f>
        <v/>
      </c>
      <c r="H303" s="20">
        <f>IF($B303="","",IFERROR(VLOOKUP($B303,단가마스터!$A$4:$H$303,6,FALSE),0))</f>
        <v/>
      </c>
      <c r="I303" s="20">
        <f>IF($B303="","",IFERROR(VLOOKUP($B303,단가마스터!$A$4:$H$303,7,FALSE),0))</f>
        <v/>
      </c>
      <c r="J303" s="20">
        <f>IF($B303="","",N($F303)*N($G303))</f>
        <v/>
      </c>
      <c r="K303" s="20">
        <f>IF($B303="","",N($F303)*N($H303))</f>
        <v/>
      </c>
      <c r="L303" s="20">
        <f>IF($B303="","",N($F303)*N($I303))</f>
        <v/>
      </c>
    </row>
  </sheetData>
  <mergeCells count="2">
    <mergeCell ref="A1:T1"/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24" customWidth="1" min="10" max="10"/>
    <col width="14" customWidth="1" min="11" max="11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단 가 마 스 터</t>
        </is>
      </c>
    </row>
    <row r="3" ht="30" customHeight="1">
      <c r="A3" s="3" t="inlineStr">
        <is>
          <t>코드</t>
        </is>
      </c>
      <c r="B3" s="3" t="inlineStr">
        <is>
          <t>품 명</t>
        </is>
      </c>
      <c r="C3" s="3" t="inlineStr">
        <is>
          <t>규 격</t>
        </is>
      </c>
      <c r="D3" s="3" t="inlineStr">
        <is>
          <t>단위</t>
        </is>
      </c>
      <c r="E3" s="3" t="inlineStr">
        <is>
          <t>재료비단가</t>
        </is>
      </c>
      <c r="F3" s="3" t="inlineStr">
        <is>
          <t>노무비단가</t>
        </is>
      </c>
      <c r="G3" s="3" t="inlineStr">
        <is>
          <t>경비단가</t>
        </is>
      </c>
      <c r="H3" s="3" t="inlineStr">
        <is>
          <t>합계단가</t>
        </is>
      </c>
      <c r="I3" s="3" t="inlineStr">
        <is>
          <t>적용시점</t>
        </is>
      </c>
      <c r="J3" s="3" t="inlineStr">
        <is>
          <t>산출 근거</t>
        </is>
      </c>
      <c r="K3" s="3" t="inlineStr">
        <is>
          <t>비고</t>
        </is>
      </c>
    </row>
    <row r="4">
      <c r="A4" s="38" t="inlineStr">
        <is>
          <t>예) 토공-001</t>
        </is>
      </c>
      <c r="B4" s="30" t="n"/>
      <c r="C4" s="30" t="n"/>
      <c r="D4" s="30" t="n"/>
      <c r="E4" s="23" t="n"/>
      <c r="F4" s="23" t="n"/>
      <c r="G4" s="23" t="n"/>
      <c r="H4" s="20">
        <f>IF(A4="","",N(E4)+N(F4)+N(G4))</f>
        <v/>
      </c>
      <c r="I4" s="30" t="n"/>
      <c r="J4" s="30" t="n"/>
      <c r="K4" s="30" t="n"/>
    </row>
    <row r="5">
      <c r="A5" s="30" t="n"/>
      <c r="B5" s="30" t="n"/>
      <c r="C5" s="30" t="n"/>
      <c r="D5" s="30" t="n"/>
      <c r="E5" s="23" t="n"/>
      <c r="F5" s="23" t="n"/>
      <c r="G5" s="23" t="n"/>
      <c r="H5" s="20">
        <f>IF(A5="","",N(E5)+N(F5)+N(G5))</f>
        <v/>
      </c>
      <c r="I5" s="30" t="n"/>
      <c r="J5" s="30" t="n"/>
      <c r="K5" s="30" t="n"/>
    </row>
    <row r="6">
      <c r="A6" s="30" t="n"/>
      <c r="B6" s="30" t="n"/>
      <c r="C6" s="30" t="n"/>
      <c r="D6" s="30" t="n"/>
      <c r="E6" s="23" t="n"/>
      <c r="F6" s="23" t="n"/>
      <c r="G6" s="23" t="n"/>
      <c r="H6" s="20">
        <f>IF(A6="","",N(E6)+N(F6)+N(G6))</f>
        <v/>
      </c>
      <c r="I6" s="30" t="n"/>
      <c r="J6" s="30" t="n"/>
      <c r="K6" s="30" t="n"/>
    </row>
    <row r="7">
      <c r="A7" s="30" t="n"/>
      <c r="B7" s="30" t="n"/>
      <c r="C7" s="30" t="n"/>
      <c r="D7" s="30" t="n"/>
      <c r="E7" s="23" t="n"/>
      <c r="F7" s="23" t="n"/>
      <c r="G7" s="23" t="n"/>
      <c r="H7" s="20">
        <f>IF(A7="","",N(E7)+N(F7)+N(G7))</f>
        <v/>
      </c>
      <c r="I7" s="30" t="n"/>
      <c r="J7" s="30" t="n"/>
      <c r="K7" s="30" t="n"/>
    </row>
    <row r="8">
      <c r="A8" s="30" t="n"/>
      <c r="B8" s="30" t="n"/>
      <c r="C8" s="30" t="n"/>
      <c r="D8" s="30" t="n"/>
      <c r="E8" s="23" t="n"/>
      <c r="F8" s="23" t="n"/>
      <c r="G8" s="23" t="n"/>
      <c r="H8" s="20">
        <f>IF(A8="","",N(E8)+N(F8)+N(G8))</f>
        <v/>
      </c>
      <c r="I8" s="30" t="n"/>
      <c r="J8" s="30" t="n"/>
      <c r="K8" s="30" t="n"/>
    </row>
    <row r="9">
      <c r="A9" s="30" t="n"/>
      <c r="B9" s="30" t="n"/>
      <c r="C9" s="30" t="n"/>
      <c r="D9" s="30" t="n"/>
      <c r="E9" s="23" t="n"/>
      <c r="F9" s="23" t="n"/>
      <c r="G9" s="23" t="n"/>
      <c r="H9" s="20">
        <f>IF(A9="","",N(E9)+N(F9)+N(G9))</f>
        <v/>
      </c>
      <c r="I9" s="30" t="n"/>
      <c r="J9" s="30" t="n"/>
      <c r="K9" s="30" t="n"/>
    </row>
    <row r="10">
      <c r="A10" s="30" t="n"/>
      <c r="B10" s="30" t="n"/>
      <c r="C10" s="30" t="n"/>
      <c r="D10" s="30" t="n"/>
      <c r="E10" s="23" t="n"/>
      <c r="F10" s="23" t="n"/>
      <c r="G10" s="23" t="n"/>
      <c r="H10" s="20">
        <f>IF(A10="","",N(E10)+N(F10)+N(G10))</f>
        <v/>
      </c>
      <c r="I10" s="30" t="n"/>
      <c r="J10" s="30" t="n"/>
      <c r="K10" s="30" t="n"/>
    </row>
    <row r="11">
      <c r="A11" s="30" t="n"/>
      <c r="B11" s="30" t="n"/>
      <c r="C11" s="30" t="n"/>
      <c r="D11" s="30" t="n"/>
      <c r="E11" s="23" t="n"/>
      <c r="F11" s="23" t="n"/>
      <c r="G11" s="23" t="n"/>
      <c r="H11" s="20">
        <f>IF(A11="","",N(E11)+N(F11)+N(G11))</f>
        <v/>
      </c>
      <c r="I11" s="30" t="n"/>
      <c r="J11" s="30" t="n"/>
      <c r="K11" s="30" t="n"/>
    </row>
    <row r="12">
      <c r="A12" s="30" t="n"/>
      <c r="B12" s="30" t="n"/>
      <c r="C12" s="30" t="n"/>
      <c r="D12" s="30" t="n"/>
      <c r="E12" s="23" t="n"/>
      <c r="F12" s="23" t="n"/>
      <c r="G12" s="23" t="n"/>
      <c r="H12" s="20">
        <f>IF(A12="","",N(E12)+N(F12)+N(G12))</f>
        <v/>
      </c>
      <c r="I12" s="30" t="n"/>
      <c r="J12" s="30" t="n"/>
      <c r="K12" s="30" t="n"/>
    </row>
    <row r="13">
      <c r="A13" s="30" t="n"/>
      <c r="B13" s="30" t="n"/>
      <c r="C13" s="30" t="n"/>
      <c r="D13" s="30" t="n"/>
      <c r="E13" s="23" t="n"/>
      <c r="F13" s="23" t="n"/>
      <c r="G13" s="23" t="n"/>
      <c r="H13" s="20">
        <f>IF(A13="","",N(E13)+N(F13)+N(G13))</f>
        <v/>
      </c>
      <c r="I13" s="30" t="n"/>
      <c r="J13" s="30" t="n"/>
      <c r="K13" s="30" t="n"/>
    </row>
    <row r="14">
      <c r="A14" s="30" t="n"/>
      <c r="B14" s="30" t="n"/>
      <c r="C14" s="30" t="n"/>
      <c r="D14" s="30" t="n"/>
      <c r="E14" s="23" t="n"/>
      <c r="F14" s="23" t="n"/>
      <c r="G14" s="23" t="n"/>
      <c r="H14" s="20">
        <f>IF(A14="","",N(E14)+N(F14)+N(G14))</f>
        <v/>
      </c>
      <c r="I14" s="30" t="n"/>
      <c r="J14" s="30" t="n"/>
      <c r="K14" s="30" t="n"/>
    </row>
    <row r="15">
      <c r="A15" s="30" t="n"/>
      <c r="B15" s="30" t="n"/>
      <c r="C15" s="30" t="n"/>
      <c r="D15" s="30" t="n"/>
      <c r="E15" s="23" t="n"/>
      <c r="F15" s="23" t="n"/>
      <c r="G15" s="23" t="n"/>
      <c r="H15" s="20">
        <f>IF(A15="","",N(E15)+N(F15)+N(G15))</f>
        <v/>
      </c>
      <c r="I15" s="30" t="n"/>
      <c r="J15" s="30" t="n"/>
      <c r="K15" s="30" t="n"/>
    </row>
    <row r="16">
      <c r="A16" s="30" t="n"/>
      <c r="B16" s="30" t="n"/>
      <c r="C16" s="30" t="n"/>
      <c r="D16" s="30" t="n"/>
      <c r="E16" s="23" t="n"/>
      <c r="F16" s="23" t="n"/>
      <c r="G16" s="23" t="n"/>
      <c r="H16" s="20">
        <f>IF(A16="","",N(E16)+N(F16)+N(G16))</f>
        <v/>
      </c>
      <c r="I16" s="30" t="n"/>
      <c r="J16" s="30" t="n"/>
      <c r="K16" s="30" t="n"/>
    </row>
    <row r="17">
      <c r="A17" s="30" t="n"/>
      <c r="B17" s="30" t="n"/>
      <c r="C17" s="30" t="n"/>
      <c r="D17" s="30" t="n"/>
      <c r="E17" s="23" t="n"/>
      <c r="F17" s="23" t="n"/>
      <c r="G17" s="23" t="n"/>
      <c r="H17" s="20">
        <f>IF(A17="","",N(E17)+N(F17)+N(G17))</f>
        <v/>
      </c>
      <c r="I17" s="30" t="n"/>
      <c r="J17" s="30" t="n"/>
      <c r="K17" s="30" t="n"/>
    </row>
    <row r="18">
      <c r="A18" s="30" t="n"/>
      <c r="B18" s="30" t="n"/>
      <c r="C18" s="30" t="n"/>
      <c r="D18" s="30" t="n"/>
      <c r="E18" s="23" t="n"/>
      <c r="F18" s="23" t="n"/>
      <c r="G18" s="23" t="n"/>
      <c r="H18" s="20">
        <f>IF(A18="","",N(E18)+N(F18)+N(G18))</f>
        <v/>
      </c>
      <c r="I18" s="30" t="n"/>
      <c r="J18" s="30" t="n"/>
      <c r="K18" s="30" t="n"/>
    </row>
    <row r="19">
      <c r="A19" s="30" t="n"/>
      <c r="B19" s="30" t="n"/>
      <c r="C19" s="30" t="n"/>
      <c r="D19" s="30" t="n"/>
      <c r="E19" s="23" t="n"/>
      <c r="F19" s="23" t="n"/>
      <c r="G19" s="23" t="n"/>
      <c r="H19" s="20">
        <f>IF(A19="","",N(E19)+N(F19)+N(G19))</f>
        <v/>
      </c>
      <c r="I19" s="30" t="n"/>
      <c r="J19" s="30" t="n"/>
      <c r="K19" s="30" t="n"/>
    </row>
    <row r="20">
      <c r="A20" s="30" t="n"/>
      <c r="B20" s="30" t="n"/>
      <c r="C20" s="30" t="n"/>
      <c r="D20" s="30" t="n"/>
      <c r="E20" s="23" t="n"/>
      <c r="F20" s="23" t="n"/>
      <c r="G20" s="23" t="n"/>
      <c r="H20" s="20">
        <f>IF(A20="","",N(E20)+N(F20)+N(G20))</f>
        <v/>
      </c>
      <c r="I20" s="30" t="n"/>
      <c r="J20" s="30" t="n"/>
      <c r="K20" s="30" t="n"/>
    </row>
    <row r="21">
      <c r="A21" s="30" t="n"/>
      <c r="B21" s="30" t="n"/>
      <c r="C21" s="30" t="n"/>
      <c r="D21" s="30" t="n"/>
      <c r="E21" s="23" t="n"/>
      <c r="F21" s="23" t="n"/>
      <c r="G21" s="23" t="n"/>
      <c r="H21" s="20">
        <f>IF(A21="","",N(E21)+N(F21)+N(G21))</f>
        <v/>
      </c>
      <c r="I21" s="30" t="n"/>
      <c r="J21" s="30" t="n"/>
      <c r="K21" s="30" t="n"/>
    </row>
    <row r="22">
      <c r="A22" s="30" t="n"/>
      <c r="B22" s="30" t="n"/>
      <c r="C22" s="30" t="n"/>
      <c r="D22" s="30" t="n"/>
      <c r="E22" s="23" t="n"/>
      <c r="F22" s="23" t="n"/>
      <c r="G22" s="23" t="n"/>
      <c r="H22" s="20">
        <f>IF(A22="","",N(E22)+N(F22)+N(G22))</f>
        <v/>
      </c>
      <c r="I22" s="30" t="n"/>
      <c r="J22" s="30" t="n"/>
      <c r="K22" s="30" t="n"/>
    </row>
    <row r="23">
      <c r="A23" s="30" t="n"/>
      <c r="B23" s="30" t="n"/>
      <c r="C23" s="30" t="n"/>
      <c r="D23" s="30" t="n"/>
      <c r="E23" s="23" t="n"/>
      <c r="F23" s="23" t="n"/>
      <c r="G23" s="23" t="n"/>
      <c r="H23" s="20">
        <f>IF(A23="","",N(E23)+N(F23)+N(G23))</f>
        <v/>
      </c>
      <c r="I23" s="30" t="n"/>
      <c r="J23" s="30" t="n"/>
      <c r="K23" s="30" t="n"/>
    </row>
    <row r="24">
      <c r="A24" s="30" t="n"/>
      <c r="B24" s="30" t="n"/>
      <c r="C24" s="30" t="n"/>
      <c r="D24" s="30" t="n"/>
      <c r="E24" s="23" t="n"/>
      <c r="F24" s="23" t="n"/>
      <c r="G24" s="23" t="n"/>
      <c r="H24" s="20">
        <f>IF(A24="","",N(E24)+N(F24)+N(G24))</f>
        <v/>
      </c>
      <c r="I24" s="30" t="n"/>
      <c r="J24" s="30" t="n"/>
      <c r="K24" s="30" t="n"/>
    </row>
    <row r="25">
      <c r="A25" s="30" t="n"/>
      <c r="B25" s="30" t="n"/>
      <c r="C25" s="30" t="n"/>
      <c r="D25" s="30" t="n"/>
      <c r="E25" s="23" t="n"/>
      <c r="F25" s="23" t="n"/>
      <c r="G25" s="23" t="n"/>
      <c r="H25" s="20">
        <f>IF(A25="","",N(E25)+N(F25)+N(G25))</f>
        <v/>
      </c>
      <c r="I25" s="30" t="n"/>
      <c r="J25" s="30" t="n"/>
      <c r="K25" s="30" t="n"/>
    </row>
    <row r="26">
      <c r="A26" s="30" t="n"/>
      <c r="B26" s="30" t="n"/>
      <c r="C26" s="30" t="n"/>
      <c r="D26" s="30" t="n"/>
      <c r="E26" s="23" t="n"/>
      <c r="F26" s="23" t="n"/>
      <c r="G26" s="23" t="n"/>
      <c r="H26" s="20">
        <f>IF(A26="","",N(E26)+N(F26)+N(G26))</f>
        <v/>
      </c>
      <c r="I26" s="30" t="n"/>
      <c r="J26" s="30" t="n"/>
      <c r="K26" s="30" t="n"/>
    </row>
    <row r="27">
      <c r="A27" s="30" t="n"/>
      <c r="B27" s="30" t="n"/>
      <c r="C27" s="30" t="n"/>
      <c r="D27" s="30" t="n"/>
      <c r="E27" s="23" t="n"/>
      <c r="F27" s="23" t="n"/>
      <c r="G27" s="23" t="n"/>
      <c r="H27" s="20">
        <f>IF(A27="","",N(E27)+N(F27)+N(G27))</f>
        <v/>
      </c>
      <c r="I27" s="30" t="n"/>
      <c r="J27" s="30" t="n"/>
      <c r="K27" s="30" t="n"/>
    </row>
    <row r="28">
      <c r="A28" s="30" t="n"/>
      <c r="B28" s="30" t="n"/>
      <c r="C28" s="30" t="n"/>
      <c r="D28" s="30" t="n"/>
      <c r="E28" s="23" t="n"/>
      <c r="F28" s="23" t="n"/>
      <c r="G28" s="23" t="n"/>
      <c r="H28" s="20">
        <f>IF(A28="","",N(E28)+N(F28)+N(G28))</f>
        <v/>
      </c>
      <c r="I28" s="30" t="n"/>
      <c r="J28" s="30" t="n"/>
      <c r="K28" s="30" t="n"/>
    </row>
    <row r="29">
      <c r="A29" s="30" t="n"/>
      <c r="B29" s="30" t="n"/>
      <c r="C29" s="30" t="n"/>
      <c r="D29" s="30" t="n"/>
      <c r="E29" s="23" t="n"/>
      <c r="F29" s="23" t="n"/>
      <c r="G29" s="23" t="n"/>
      <c r="H29" s="20">
        <f>IF(A29="","",N(E29)+N(F29)+N(G29))</f>
        <v/>
      </c>
      <c r="I29" s="30" t="n"/>
      <c r="J29" s="30" t="n"/>
      <c r="K29" s="30" t="n"/>
    </row>
    <row r="30">
      <c r="A30" s="30" t="n"/>
      <c r="B30" s="30" t="n"/>
      <c r="C30" s="30" t="n"/>
      <c r="D30" s="30" t="n"/>
      <c r="E30" s="23" t="n"/>
      <c r="F30" s="23" t="n"/>
      <c r="G30" s="23" t="n"/>
      <c r="H30" s="20">
        <f>IF(A30="","",N(E30)+N(F30)+N(G30))</f>
        <v/>
      </c>
      <c r="I30" s="30" t="n"/>
      <c r="J30" s="30" t="n"/>
      <c r="K30" s="30" t="n"/>
    </row>
    <row r="31">
      <c r="A31" s="30" t="n"/>
      <c r="B31" s="30" t="n"/>
      <c r="C31" s="30" t="n"/>
      <c r="D31" s="30" t="n"/>
      <c r="E31" s="23" t="n"/>
      <c r="F31" s="23" t="n"/>
      <c r="G31" s="23" t="n"/>
      <c r="H31" s="20">
        <f>IF(A31="","",N(E31)+N(F31)+N(G31))</f>
        <v/>
      </c>
      <c r="I31" s="30" t="n"/>
      <c r="J31" s="30" t="n"/>
      <c r="K31" s="30" t="n"/>
    </row>
    <row r="32">
      <c r="A32" s="30" t="n"/>
      <c r="B32" s="30" t="n"/>
      <c r="C32" s="30" t="n"/>
      <c r="D32" s="30" t="n"/>
      <c r="E32" s="23" t="n"/>
      <c r="F32" s="23" t="n"/>
      <c r="G32" s="23" t="n"/>
      <c r="H32" s="20">
        <f>IF(A32="","",N(E32)+N(F32)+N(G32))</f>
        <v/>
      </c>
      <c r="I32" s="30" t="n"/>
      <c r="J32" s="30" t="n"/>
      <c r="K32" s="30" t="n"/>
    </row>
    <row r="33">
      <c r="A33" s="30" t="n"/>
      <c r="B33" s="30" t="n"/>
      <c r="C33" s="30" t="n"/>
      <c r="D33" s="30" t="n"/>
      <c r="E33" s="23" t="n"/>
      <c r="F33" s="23" t="n"/>
      <c r="G33" s="23" t="n"/>
      <c r="H33" s="20">
        <f>IF(A33="","",N(E33)+N(F33)+N(G33))</f>
        <v/>
      </c>
      <c r="I33" s="30" t="n"/>
      <c r="J33" s="30" t="n"/>
      <c r="K33" s="30" t="n"/>
    </row>
    <row r="34">
      <c r="A34" s="30" t="n"/>
      <c r="B34" s="30" t="n"/>
      <c r="C34" s="30" t="n"/>
      <c r="D34" s="30" t="n"/>
      <c r="E34" s="23" t="n"/>
      <c r="F34" s="23" t="n"/>
      <c r="G34" s="23" t="n"/>
      <c r="H34" s="20">
        <f>IF(A34="","",N(E34)+N(F34)+N(G34))</f>
        <v/>
      </c>
      <c r="I34" s="30" t="n"/>
      <c r="J34" s="30" t="n"/>
      <c r="K34" s="30" t="n"/>
    </row>
    <row r="35">
      <c r="A35" s="30" t="n"/>
      <c r="B35" s="30" t="n"/>
      <c r="C35" s="30" t="n"/>
      <c r="D35" s="30" t="n"/>
      <c r="E35" s="23" t="n"/>
      <c r="F35" s="23" t="n"/>
      <c r="G35" s="23" t="n"/>
      <c r="H35" s="20">
        <f>IF(A35="","",N(E35)+N(F35)+N(G35))</f>
        <v/>
      </c>
      <c r="I35" s="30" t="n"/>
      <c r="J35" s="30" t="n"/>
      <c r="K35" s="30" t="n"/>
    </row>
    <row r="36">
      <c r="A36" s="30" t="n"/>
      <c r="B36" s="30" t="n"/>
      <c r="C36" s="30" t="n"/>
      <c r="D36" s="30" t="n"/>
      <c r="E36" s="23" t="n"/>
      <c r="F36" s="23" t="n"/>
      <c r="G36" s="23" t="n"/>
      <c r="H36" s="20">
        <f>IF(A36="","",N(E36)+N(F36)+N(G36))</f>
        <v/>
      </c>
      <c r="I36" s="30" t="n"/>
      <c r="J36" s="30" t="n"/>
      <c r="K36" s="30" t="n"/>
    </row>
    <row r="37">
      <c r="A37" s="30" t="n"/>
      <c r="B37" s="30" t="n"/>
      <c r="C37" s="30" t="n"/>
      <c r="D37" s="30" t="n"/>
      <c r="E37" s="23" t="n"/>
      <c r="F37" s="23" t="n"/>
      <c r="G37" s="23" t="n"/>
      <c r="H37" s="20">
        <f>IF(A37="","",N(E37)+N(F37)+N(G37))</f>
        <v/>
      </c>
      <c r="I37" s="30" t="n"/>
      <c r="J37" s="30" t="n"/>
      <c r="K37" s="30" t="n"/>
    </row>
    <row r="38">
      <c r="A38" s="30" t="n"/>
      <c r="B38" s="30" t="n"/>
      <c r="C38" s="30" t="n"/>
      <c r="D38" s="30" t="n"/>
      <c r="E38" s="23" t="n"/>
      <c r="F38" s="23" t="n"/>
      <c r="G38" s="23" t="n"/>
      <c r="H38" s="20">
        <f>IF(A38="","",N(E38)+N(F38)+N(G38))</f>
        <v/>
      </c>
      <c r="I38" s="30" t="n"/>
      <c r="J38" s="30" t="n"/>
      <c r="K38" s="30" t="n"/>
    </row>
    <row r="39">
      <c r="A39" s="30" t="n"/>
      <c r="B39" s="30" t="n"/>
      <c r="C39" s="30" t="n"/>
      <c r="D39" s="30" t="n"/>
      <c r="E39" s="23" t="n"/>
      <c r="F39" s="23" t="n"/>
      <c r="G39" s="23" t="n"/>
      <c r="H39" s="20">
        <f>IF(A39="","",N(E39)+N(F39)+N(G39))</f>
        <v/>
      </c>
      <c r="I39" s="30" t="n"/>
      <c r="J39" s="30" t="n"/>
      <c r="K39" s="30" t="n"/>
    </row>
    <row r="40">
      <c r="A40" s="30" t="n"/>
      <c r="B40" s="30" t="n"/>
      <c r="C40" s="30" t="n"/>
      <c r="D40" s="30" t="n"/>
      <c r="E40" s="23" t="n"/>
      <c r="F40" s="23" t="n"/>
      <c r="G40" s="23" t="n"/>
      <c r="H40" s="20">
        <f>IF(A40="","",N(E40)+N(F40)+N(G40))</f>
        <v/>
      </c>
      <c r="I40" s="30" t="n"/>
      <c r="J40" s="30" t="n"/>
      <c r="K40" s="30" t="n"/>
    </row>
    <row r="41">
      <c r="A41" s="30" t="n"/>
      <c r="B41" s="30" t="n"/>
      <c r="C41" s="30" t="n"/>
      <c r="D41" s="30" t="n"/>
      <c r="E41" s="23" t="n"/>
      <c r="F41" s="23" t="n"/>
      <c r="G41" s="23" t="n"/>
      <c r="H41" s="20">
        <f>IF(A41="","",N(E41)+N(F41)+N(G41))</f>
        <v/>
      </c>
      <c r="I41" s="30" t="n"/>
      <c r="J41" s="30" t="n"/>
      <c r="K41" s="30" t="n"/>
    </row>
    <row r="42">
      <c r="A42" s="30" t="n"/>
      <c r="B42" s="30" t="n"/>
      <c r="C42" s="30" t="n"/>
      <c r="D42" s="30" t="n"/>
      <c r="E42" s="23" t="n"/>
      <c r="F42" s="23" t="n"/>
      <c r="G42" s="23" t="n"/>
      <c r="H42" s="20">
        <f>IF(A42="","",N(E42)+N(F42)+N(G42))</f>
        <v/>
      </c>
      <c r="I42" s="30" t="n"/>
      <c r="J42" s="30" t="n"/>
      <c r="K42" s="30" t="n"/>
    </row>
    <row r="43">
      <c r="A43" s="30" t="n"/>
      <c r="B43" s="30" t="n"/>
      <c r="C43" s="30" t="n"/>
      <c r="D43" s="30" t="n"/>
      <c r="E43" s="23" t="n"/>
      <c r="F43" s="23" t="n"/>
      <c r="G43" s="23" t="n"/>
      <c r="H43" s="20">
        <f>IF(A43="","",N(E43)+N(F43)+N(G43))</f>
        <v/>
      </c>
      <c r="I43" s="30" t="n"/>
      <c r="J43" s="30" t="n"/>
      <c r="K43" s="30" t="n"/>
    </row>
    <row r="44">
      <c r="A44" s="30" t="n"/>
      <c r="B44" s="30" t="n"/>
      <c r="C44" s="30" t="n"/>
      <c r="D44" s="30" t="n"/>
      <c r="E44" s="23" t="n"/>
      <c r="F44" s="23" t="n"/>
      <c r="G44" s="23" t="n"/>
      <c r="H44" s="20">
        <f>IF(A44="","",N(E44)+N(F44)+N(G44))</f>
        <v/>
      </c>
      <c r="I44" s="30" t="n"/>
      <c r="J44" s="30" t="n"/>
      <c r="K44" s="30" t="n"/>
    </row>
    <row r="45">
      <c r="A45" s="30" t="n"/>
      <c r="B45" s="30" t="n"/>
      <c r="C45" s="30" t="n"/>
      <c r="D45" s="30" t="n"/>
      <c r="E45" s="23" t="n"/>
      <c r="F45" s="23" t="n"/>
      <c r="G45" s="23" t="n"/>
      <c r="H45" s="20">
        <f>IF(A45="","",N(E45)+N(F45)+N(G45))</f>
        <v/>
      </c>
      <c r="I45" s="30" t="n"/>
      <c r="J45" s="30" t="n"/>
      <c r="K45" s="30" t="n"/>
    </row>
    <row r="46">
      <c r="A46" s="30" t="n"/>
      <c r="B46" s="30" t="n"/>
      <c r="C46" s="30" t="n"/>
      <c r="D46" s="30" t="n"/>
      <c r="E46" s="23" t="n"/>
      <c r="F46" s="23" t="n"/>
      <c r="G46" s="23" t="n"/>
      <c r="H46" s="20">
        <f>IF(A46="","",N(E46)+N(F46)+N(G46))</f>
        <v/>
      </c>
      <c r="I46" s="30" t="n"/>
      <c r="J46" s="30" t="n"/>
      <c r="K46" s="30" t="n"/>
    </row>
    <row r="47">
      <c r="A47" s="30" t="n"/>
      <c r="B47" s="30" t="n"/>
      <c r="C47" s="30" t="n"/>
      <c r="D47" s="30" t="n"/>
      <c r="E47" s="23" t="n"/>
      <c r="F47" s="23" t="n"/>
      <c r="G47" s="23" t="n"/>
      <c r="H47" s="20">
        <f>IF(A47="","",N(E47)+N(F47)+N(G47))</f>
        <v/>
      </c>
      <c r="I47" s="30" t="n"/>
      <c r="J47" s="30" t="n"/>
      <c r="K47" s="30" t="n"/>
    </row>
    <row r="48">
      <c r="A48" s="30" t="n"/>
      <c r="B48" s="30" t="n"/>
      <c r="C48" s="30" t="n"/>
      <c r="D48" s="30" t="n"/>
      <c r="E48" s="23" t="n"/>
      <c r="F48" s="23" t="n"/>
      <c r="G48" s="23" t="n"/>
      <c r="H48" s="20">
        <f>IF(A48="","",N(E48)+N(F48)+N(G48))</f>
        <v/>
      </c>
      <c r="I48" s="30" t="n"/>
      <c r="J48" s="30" t="n"/>
      <c r="K48" s="30" t="n"/>
    </row>
    <row r="49">
      <c r="A49" s="30" t="n"/>
      <c r="B49" s="30" t="n"/>
      <c r="C49" s="30" t="n"/>
      <c r="D49" s="30" t="n"/>
      <c r="E49" s="23" t="n"/>
      <c r="F49" s="23" t="n"/>
      <c r="G49" s="23" t="n"/>
      <c r="H49" s="20">
        <f>IF(A49="","",N(E49)+N(F49)+N(G49))</f>
        <v/>
      </c>
      <c r="I49" s="30" t="n"/>
      <c r="J49" s="30" t="n"/>
      <c r="K49" s="30" t="n"/>
    </row>
    <row r="50">
      <c r="A50" s="30" t="n"/>
      <c r="B50" s="30" t="n"/>
      <c r="C50" s="30" t="n"/>
      <c r="D50" s="30" t="n"/>
      <c r="E50" s="23" t="n"/>
      <c r="F50" s="23" t="n"/>
      <c r="G50" s="23" t="n"/>
      <c r="H50" s="20">
        <f>IF(A50="","",N(E50)+N(F50)+N(G50))</f>
        <v/>
      </c>
      <c r="I50" s="30" t="n"/>
      <c r="J50" s="30" t="n"/>
      <c r="K50" s="30" t="n"/>
    </row>
    <row r="51">
      <c r="A51" s="30" t="n"/>
      <c r="B51" s="30" t="n"/>
      <c r="C51" s="30" t="n"/>
      <c r="D51" s="30" t="n"/>
      <c r="E51" s="23" t="n"/>
      <c r="F51" s="23" t="n"/>
      <c r="G51" s="23" t="n"/>
      <c r="H51" s="20">
        <f>IF(A51="","",N(E51)+N(F51)+N(G51))</f>
        <v/>
      </c>
      <c r="I51" s="30" t="n"/>
      <c r="J51" s="30" t="n"/>
      <c r="K51" s="30" t="n"/>
    </row>
    <row r="52">
      <c r="A52" s="30" t="n"/>
      <c r="B52" s="30" t="n"/>
      <c r="C52" s="30" t="n"/>
      <c r="D52" s="30" t="n"/>
      <c r="E52" s="23" t="n"/>
      <c r="F52" s="23" t="n"/>
      <c r="G52" s="23" t="n"/>
      <c r="H52" s="20">
        <f>IF(A52="","",N(E52)+N(F52)+N(G52))</f>
        <v/>
      </c>
      <c r="I52" s="30" t="n"/>
      <c r="J52" s="30" t="n"/>
      <c r="K52" s="30" t="n"/>
    </row>
    <row r="53">
      <c r="A53" s="30" t="n"/>
      <c r="B53" s="30" t="n"/>
      <c r="C53" s="30" t="n"/>
      <c r="D53" s="30" t="n"/>
      <c r="E53" s="23" t="n"/>
      <c r="F53" s="23" t="n"/>
      <c r="G53" s="23" t="n"/>
      <c r="H53" s="20">
        <f>IF(A53="","",N(E53)+N(F53)+N(G53))</f>
        <v/>
      </c>
      <c r="I53" s="30" t="n"/>
      <c r="J53" s="30" t="n"/>
      <c r="K53" s="30" t="n"/>
    </row>
    <row r="54">
      <c r="A54" s="30" t="n"/>
      <c r="B54" s="30" t="n"/>
      <c r="C54" s="30" t="n"/>
      <c r="D54" s="30" t="n"/>
      <c r="E54" s="23" t="n"/>
      <c r="F54" s="23" t="n"/>
      <c r="G54" s="23" t="n"/>
      <c r="H54" s="20">
        <f>IF(A54="","",N(E54)+N(F54)+N(G54))</f>
        <v/>
      </c>
      <c r="I54" s="30" t="n"/>
      <c r="J54" s="30" t="n"/>
      <c r="K54" s="30" t="n"/>
    </row>
    <row r="55">
      <c r="A55" s="30" t="n"/>
      <c r="B55" s="30" t="n"/>
      <c r="C55" s="30" t="n"/>
      <c r="D55" s="30" t="n"/>
      <c r="E55" s="23" t="n"/>
      <c r="F55" s="23" t="n"/>
      <c r="G55" s="23" t="n"/>
      <c r="H55" s="20">
        <f>IF(A55="","",N(E55)+N(F55)+N(G55))</f>
        <v/>
      </c>
      <c r="I55" s="30" t="n"/>
      <c r="J55" s="30" t="n"/>
      <c r="K55" s="30" t="n"/>
    </row>
    <row r="56">
      <c r="A56" s="30" t="n"/>
      <c r="B56" s="30" t="n"/>
      <c r="C56" s="30" t="n"/>
      <c r="D56" s="30" t="n"/>
      <c r="E56" s="23" t="n"/>
      <c r="F56" s="23" t="n"/>
      <c r="G56" s="23" t="n"/>
      <c r="H56" s="20">
        <f>IF(A56="","",N(E56)+N(F56)+N(G56))</f>
        <v/>
      </c>
      <c r="I56" s="30" t="n"/>
      <c r="J56" s="30" t="n"/>
      <c r="K56" s="30" t="n"/>
    </row>
    <row r="57">
      <c r="A57" s="30" t="n"/>
      <c r="B57" s="30" t="n"/>
      <c r="C57" s="30" t="n"/>
      <c r="D57" s="30" t="n"/>
      <c r="E57" s="23" t="n"/>
      <c r="F57" s="23" t="n"/>
      <c r="G57" s="23" t="n"/>
      <c r="H57" s="20">
        <f>IF(A57="","",N(E57)+N(F57)+N(G57))</f>
        <v/>
      </c>
      <c r="I57" s="30" t="n"/>
      <c r="J57" s="30" t="n"/>
      <c r="K57" s="30" t="n"/>
    </row>
    <row r="58">
      <c r="A58" s="30" t="n"/>
      <c r="B58" s="30" t="n"/>
      <c r="C58" s="30" t="n"/>
      <c r="D58" s="30" t="n"/>
      <c r="E58" s="23" t="n"/>
      <c r="F58" s="23" t="n"/>
      <c r="G58" s="23" t="n"/>
      <c r="H58" s="20">
        <f>IF(A58="","",N(E58)+N(F58)+N(G58))</f>
        <v/>
      </c>
      <c r="I58" s="30" t="n"/>
      <c r="J58" s="30" t="n"/>
      <c r="K58" s="30" t="n"/>
    </row>
    <row r="59">
      <c r="A59" s="30" t="n"/>
      <c r="B59" s="30" t="n"/>
      <c r="C59" s="30" t="n"/>
      <c r="D59" s="30" t="n"/>
      <c r="E59" s="23" t="n"/>
      <c r="F59" s="23" t="n"/>
      <c r="G59" s="23" t="n"/>
      <c r="H59" s="20">
        <f>IF(A59="","",N(E59)+N(F59)+N(G59))</f>
        <v/>
      </c>
      <c r="I59" s="30" t="n"/>
      <c r="J59" s="30" t="n"/>
      <c r="K59" s="30" t="n"/>
    </row>
    <row r="60">
      <c r="A60" s="30" t="n"/>
      <c r="B60" s="30" t="n"/>
      <c r="C60" s="30" t="n"/>
      <c r="D60" s="30" t="n"/>
      <c r="E60" s="23" t="n"/>
      <c r="F60" s="23" t="n"/>
      <c r="G60" s="23" t="n"/>
      <c r="H60" s="20">
        <f>IF(A60="","",N(E60)+N(F60)+N(G60))</f>
        <v/>
      </c>
      <c r="I60" s="30" t="n"/>
      <c r="J60" s="30" t="n"/>
      <c r="K60" s="30" t="n"/>
    </row>
    <row r="61">
      <c r="A61" s="30" t="n"/>
      <c r="B61" s="30" t="n"/>
      <c r="C61" s="30" t="n"/>
      <c r="D61" s="30" t="n"/>
      <c r="E61" s="23" t="n"/>
      <c r="F61" s="23" t="n"/>
      <c r="G61" s="23" t="n"/>
      <c r="H61" s="20">
        <f>IF(A61="","",N(E61)+N(F61)+N(G61))</f>
        <v/>
      </c>
      <c r="I61" s="30" t="n"/>
      <c r="J61" s="30" t="n"/>
      <c r="K61" s="30" t="n"/>
    </row>
    <row r="62">
      <c r="A62" s="30" t="n"/>
      <c r="B62" s="30" t="n"/>
      <c r="C62" s="30" t="n"/>
      <c r="D62" s="30" t="n"/>
      <c r="E62" s="23" t="n"/>
      <c r="F62" s="23" t="n"/>
      <c r="G62" s="23" t="n"/>
      <c r="H62" s="20">
        <f>IF(A62="","",N(E62)+N(F62)+N(G62))</f>
        <v/>
      </c>
      <c r="I62" s="30" t="n"/>
      <c r="J62" s="30" t="n"/>
      <c r="K62" s="30" t="n"/>
    </row>
    <row r="63">
      <c r="A63" s="30" t="n"/>
      <c r="B63" s="30" t="n"/>
      <c r="C63" s="30" t="n"/>
      <c r="D63" s="30" t="n"/>
      <c r="E63" s="23" t="n"/>
      <c r="F63" s="23" t="n"/>
      <c r="G63" s="23" t="n"/>
      <c r="H63" s="20">
        <f>IF(A63="","",N(E63)+N(F63)+N(G63))</f>
        <v/>
      </c>
      <c r="I63" s="30" t="n"/>
      <c r="J63" s="30" t="n"/>
      <c r="K63" s="30" t="n"/>
    </row>
    <row r="64">
      <c r="A64" s="30" t="n"/>
      <c r="B64" s="30" t="n"/>
      <c r="C64" s="30" t="n"/>
      <c r="D64" s="30" t="n"/>
      <c r="E64" s="23" t="n"/>
      <c r="F64" s="23" t="n"/>
      <c r="G64" s="23" t="n"/>
      <c r="H64" s="20">
        <f>IF(A64="","",N(E64)+N(F64)+N(G64))</f>
        <v/>
      </c>
      <c r="I64" s="30" t="n"/>
      <c r="J64" s="30" t="n"/>
      <c r="K64" s="30" t="n"/>
    </row>
    <row r="65">
      <c r="A65" s="30" t="n"/>
      <c r="B65" s="30" t="n"/>
      <c r="C65" s="30" t="n"/>
      <c r="D65" s="30" t="n"/>
      <c r="E65" s="23" t="n"/>
      <c r="F65" s="23" t="n"/>
      <c r="G65" s="23" t="n"/>
      <c r="H65" s="20">
        <f>IF(A65="","",N(E65)+N(F65)+N(G65))</f>
        <v/>
      </c>
      <c r="I65" s="30" t="n"/>
      <c r="J65" s="30" t="n"/>
      <c r="K65" s="30" t="n"/>
    </row>
    <row r="66">
      <c r="A66" s="30" t="n"/>
      <c r="B66" s="30" t="n"/>
      <c r="C66" s="30" t="n"/>
      <c r="D66" s="30" t="n"/>
      <c r="E66" s="23" t="n"/>
      <c r="F66" s="23" t="n"/>
      <c r="G66" s="23" t="n"/>
      <c r="H66" s="20">
        <f>IF(A66="","",N(E66)+N(F66)+N(G66))</f>
        <v/>
      </c>
      <c r="I66" s="30" t="n"/>
      <c r="J66" s="30" t="n"/>
      <c r="K66" s="30" t="n"/>
    </row>
    <row r="67">
      <c r="A67" s="30" t="n"/>
      <c r="B67" s="30" t="n"/>
      <c r="C67" s="30" t="n"/>
      <c r="D67" s="30" t="n"/>
      <c r="E67" s="23" t="n"/>
      <c r="F67" s="23" t="n"/>
      <c r="G67" s="23" t="n"/>
      <c r="H67" s="20">
        <f>IF(A67="","",N(E67)+N(F67)+N(G67))</f>
        <v/>
      </c>
      <c r="I67" s="30" t="n"/>
      <c r="J67" s="30" t="n"/>
      <c r="K67" s="30" t="n"/>
    </row>
    <row r="68">
      <c r="A68" s="30" t="n"/>
      <c r="B68" s="30" t="n"/>
      <c r="C68" s="30" t="n"/>
      <c r="D68" s="30" t="n"/>
      <c r="E68" s="23" t="n"/>
      <c r="F68" s="23" t="n"/>
      <c r="G68" s="23" t="n"/>
      <c r="H68" s="20">
        <f>IF(A68="","",N(E68)+N(F68)+N(G68))</f>
        <v/>
      </c>
      <c r="I68" s="30" t="n"/>
      <c r="J68" s="30" t="n"/>
      <c r="K68" s="30" t="n"/>
    </row>
    <row r="69">
      <c r="A69" s="30" t="n"/>
      <c r="B69" s="30" t="n"/>
      <c r="C69" s="30" t="n"/>
      <c r="D69" s="30" t="n"/>
      <c r="E69" s="23" t="n"/>
      <c r="F69" s="23" t="n"/>
      <c r="G69" s="23" t="n"/>
      <c r="H69" s="20">
        <f>IF(A69="","",N(E69)+N(F69)+N(G69))</f>
        <v/>
      </c>
      <c r="I69" s="30" t="n"/>
      <c r="J69" s="30" t="n"/>
      <c r="K69" s="30" t="n"/>
    </row>
    <row r="70">
      <c r="A70" s="30" t="n"/>
      <c r="B70" s="30" t="n"/>
      <c r="C70" s="30" t="n"/>
      <c r="D70" s="30" t="n"/>
      <c r="E70" s="23" t="n"/>
      <c r="F70" s="23" t="n"/>
      <c r="G70" s="23" t="n"/>
      <c r="H70" s="20">
        <f>IF(A70="","",N(E70)+N(F70)+N(G70))</f>
        <v/>
      </c>
      <c r="I70" s="30" t="n"/>
      <c r="J70" s="30" t="n"/>
      <c r="K70" s="30" t="n"/>
    </row>
    <row r="71">
      <c r="A71" s="30" t="n"/>
      <c r="B71" s="30" t="n"/>
      <c r="C71" s="30" t="n"/>
      <c r="D71" s="30" t="n"/>
      <c r="E71" s="23" t="n"/>
      <c r="F71" s="23" t="n"/>
      <c r="G71" s="23" t="n"/>
      <c r="H71" s="20">
        <f>IF(A71="","",N(E71)+N(F71)+N(G71))</f>
        <v/>
      </c>
      <c r="I71" s="30" t="n"/>
      <c r="J71" s="30" t="n"/>
      <c r="K71" s="30" t="n"/>
    </row>
    <row r="72">
      <c r="A72" s="30" t="n"/>
      <c r="B72" s="30" t="n"/>
      <c r="C72" s="30" t="n"/>
      <c r="D72" s="30" t="n"/>
      <c r="E72" s="23" t="n"/>
      <c r="F72" s="23" t="n"/>
      <c r="G72" s="23" t="n"/>
      <c r="H72" s="20">
        <f>IF(A72="","",N(E72)+N(F72)+N(G72))</f>
        <v/>
      </c>
      <c r="I72" s="30" t="n"/>
      <c r="J72" s="30" t="n"/>
      <c r="K72" s="30" t="n"/>
    </row>
    <row r="73">
      <c r="A73" s="30" t="n"/>
      <c r="B73" s="30" t="n"/>
      <c r="C73" s="30" t="n"/>
      <c r="D73" s="30" t="n"/>
      <c r="E73" s="23" t="n"/>
      <c r="F73" s="23" t="n"/>
      <c r="G73" s="23" t="n"/>
      <c r="H73" s="20">
        <f>IF(A73="","",N(E73)+N(F73)+N(G73))</f>
        <v/>
      </c>
      <c r="I73" s="30" t="n"/>
      <c r="J73" s="30" t="n"/>
      <c r="K73" s="30" t="n"/>
    </row>
    <row r="74">
      <c r="A74" s="30" t="n"/>
      <c r="B74" s="30" t="n"/>
      <c r="C74" s="30" t="n"/>
      <c r="D74" s="30" t="n"/>
      <c r="E74" s="23" t="n"/>
      <c r="F74" s="23" t="n"/>
      <c r="G74" s="23" t="n"/>
      <c r="H74" s="20">
        <f>IF(A74="","",N(E74)+N(F74)+N(G74))</f>
        <v/>
      </c>
      <c r="I74" s="30" t="n"/>
      <c r="J74" s="30" t="n"/>
      <c r="K74" s="30" t="n"/>
    </row>
    <row r="75">
      <c r="A75" s="30" t="n"/>
      <c r="B75" s="30" t="n"/>
      <c r="C75" s="30" t="n"/>
      <c r="D75" s="30" t="n"/>
      <c r="E75" s="23" t="n"/>
      <c r="F75" s="23" t="n"/>
      <c r="G75" s="23" t="n"/>
      <c r="H75" s="20">
        <f>IF(A75="","",N(E75)+N(F75)+N(G75))</f>
        <v/>
      </c>
      <c r="I75" s="30" t="n"/>
      <c r="J75" s="30" t="n"/>
      <c r="K75" s="30" t="n"/>
    </row>
    <row r="76">
      <c r="A76" s="30" t="n"/>
      <c r="B76" s="30" t="n"/>
      <c r="C76" s="30" t="n"/>
      <c r="D76" s="30" t="n"/>
      <c r="E76" s="23" t="n"/>
      <c r="F76" s="23" t="n"/>
      <c r="G76" s="23" t="n"/>
      <c r="H76" s="20">
        <f>IF(A76="","",N(E76)+N(F76)+N(G76))</f>
        <v/>
      </c>
      <c r="I76" s="30" t="n"/>
      <c r="J76" s="30" t="n"/>
      <c r="K76" s="30" t="n"/>
    </row>
    <row r="77">
      <c r="A77" s="30" t="n"/>
      <c r="B77" s="30" t="n"/>
      <c r="C77" s="30" t="n"/>
      <c r="D77" s="30" t="n"/>
      <c r="E77" s="23" t="n"/>
      <c r="F77" s="23" t="n"/>
      <c r="G77" s="23" t="n"/>
      <c r="H77" s="20">
        <f>IF(A77="","",N(E77)+N(F77)+N(G77))</f>
        <v/>
      </c>
      <c r="I77" s="30" t="n"/>
      <c r="J77" s="30" t="n"/>
      <c r="K77" s="30" t="n"/>
    </row>
    <row r="78">
      <c r="A78" s="30" t="n"/>
      <c r="B78" s="30" t="n"/>
      <c r="C78" s="30" t="n"/>
      <c r="D78" s="30" t="n"/>
      <c r="E78" s="23" t="n"/>
      <c r="F78" s="23" t="n"/>
      <c r="G78" s="23" t="n"/>
      <c r="H78" s="20">
        <f>IF(A78="","",N(E78)+N(F78)+N(G78))</f>
        <v/>
      </c>
      <c r="I78" s="30" t="n"/>
      <c r="J78" s="30" t="n"/>
      <c r="K78" s="30" t="n"/>
    </row>
    <row r="79">
      <c r="A79" s="30" t="n"/>
      <c r="B79" s="30" t="n"/>
      <c r="C79" s="30" t="n"/>
      <c r="D79" s="30" t="n"/>
      <c r="E79" s="23" t="n"/>
      <c r="F79" s="23" t="n"/>
      <c r="G79" s="23" t="n"/>
      <c r="H79" s="20">
        <f>IF(A79="","",N(E79)+N(F79)+N(G79))</f>
        <v/>
      </c>
      <c r="I79" s="30" t="n"/>
      <c r="J79" s="30" t="n"/>
      <c r="K79" s="30" t="n"/>
    </row>
    <row r="80">
      <c r="A80" s="30" t="n"/>
      <c r="B80" s="30" t="n"/>
      <c r="C80" s="30" t="n"/>
      <c r="D80" s="30" t="n"/>
      <c r="E80" s="23" t="n"/>
      <c r="F80" s="23" t="n"/>
      <c r="G80" s="23" t="n"/>
      <c r="H80" s="20">
        <f>IF(A80="","",N(E80)+N(F80)+N(G80))</f>
        <v/>
      </c>
      <c r="I80" s="30" t="n"/>
      <c r="J80" s="30" t="n"/>
      <c r="K80" s="30" t="n"/>
    </row>
    <row r="81">
      <c r="A81" s="30" t="n"/>
      <c r="B81" s="30" t="n"/>
      <c r="C81" s="30" t="n"/>
      <c r="D81" s="30" t="n"/>
      <c r="E81" s="23" t="n"/>
      <c r="F81" s="23" t="n"/>
      <c r="G81" s="23" t="n"/>
      <c r="H81" s="20">
        <f>IF(A81="","",N(E81)+N(F81)+N(G81))</f>
        <v/>
      </c>
      <c r="I81" s="30" t="n"/>
      <c r="J81" s="30" t="n"/>
      <c r="K81" s="30" t="n"/>
    </row>
    <row r="82">
      <c r="A82" s="30" t="n"/>
      <c r="B82" s="30" t="n"/>
      <c r="C82" s="30" t="n"/>
      <c r="D82" s="30" t="n"/>
      <c r="E82" s="23" t="n"/>
      <c r="F82" s="23" t="n"/>
      <c r="G82" s="23" t="n"/>
      <c r="H82" s="20">
        <f>IF(A82="","",N(E82)+N(F82)+N(G82))</f>
        <v/>
      </c>
      <c r="I82" s="30" t="n"/>
      <c r="J82" s="30" t="n"/>
      <c r="K82" s="30" t="n"/>
    </row>
    <row r="83">
      <c r="A83" s="30" t="n"/>
      <c r="B83" s="30" t="n"/>
      <c r="C83" s="30" t="n"/>
      <c r="D83" s="30" t="n"/>
      <c r="E83" s="23" t="n"/>
      <c r="F83" s="23" t="n"/>
      <c r="G83" s="23" t="n"/>
      <c r="H83" s="20">
        <f>IF(A83="","",N(E83)+N(F83)+N(G83))</f>
        <v/>
      </c>
      <c r="I83" s="30" t="n"/>
      <c r="J83" s="30" t="n"/>
      <c r="K83" s="30" t="n"/>
    </row>
    <row r="84">
      <c r="A84" s="30" t="n"/>
      <c r="B84" s="30" t="n"/>
      <c r="C84" s="30" t="n"/>
      <c r="D84" s="30" t="n"/>
      <c r="E84" s="23" t="n"/>
      <c r="F84" s="23" t="n"/>
      <c r="G84" s="23" t="n"/>
      <c r="H84" s="20">
        <f>IF(A84="","",N(E84)+N(F84)+N(G84))</f>
        <v/>
      </c>
      <c r="I84" s="30" t="n"/>
      <c r="J84" s="30" t="n"/>
      <c r="K84" s="30" t="n"/>
    </row>
    <row r="85">
      <c r="A85" s="30" t="n"/>
      <c r="B85" s="30" t="n"/>
      <c r="C85" s="30" t="n"/>
      <c r="D85" s="30" t="n"/>
      <c r="E85" s="23" t="n"/>
      <c r="F85" s="23" t="n"/>
      <c r="G85" s="23" t="n"/>
      <c r="H85" s="20">
        <f>IF(A85="","",N(E85)+N(F85)+N(G85))</f>
        <v/>
      </c>
      <c r="I85" s="30" t="n"/>
      <c r="J85" s="30" t="n"/>
      <c r="K85" s="30" t="n"/>
    </row>
    <row r="86">
      <c r="A86" s="30" t="n"/>
      <c r="B86" s="30" t="n"/>
      <c r="C86" s="30" t="n"/>
      <c r="D86" s="30" t="n"/>
      <c r="E86" s="23" t="n"/>
      <c r="F86" s="23" t="n"/>
      <c r="G86" s="23" t="n"/>
      <c r="H86" s="20">
        <f>IF(A86="","",N(E86)+N(F86)+N(G86))</f>
        <v/>
      </c>
      <c r="I86" s="30" t="n"/>
      <c r="J86" s="30" t="n"/>
      <c r="K86" s="30" t="n"/>
    </row>
    <row r="87">
      <c r="A87" s="30" t="n"/>
      <c r="B87" s="30" t="n"/>
      <c r="C87" s="30" t="n"/>
      <c r="D87" s="30" t="n"/>
      <c r="E87" s="23" t="n"/>
      <c r="F87" s="23" t="n"/>
      <c r="G87" s="23" t="n"/>
      <c r="H87" s="20">
        <f>IF(A87="","",N(E87)+N(F87)+N(G87))</f>
        <v/>
      </c>
      <c r="I87" s="30" t="n"/>
      <c r="J87" s="30" t="n"/>
      <c r="K87" s="30" t="n"/>
    </row>
    <row r="88">
      <c r="A88" s="30" t="n"/>
      <c r="B88" s="30" t="n"/>
      <c r="C88" s="30" t="n"/>
      <c r="D88" s="30" t="n"/>
      <c r="E88" s="23" t="n"/>
      <c r="F88" s="23" t="n"/>
      <c r="G88" s="23" t="n"/>
      <c r="H88" s="20">
        <f>IF(A88="","",N(E88)+N(F88)+N(G88))</f>
        <v/>
      </c>
      <c r="I88" s="30" t="n"/>
      <c r="J88" s="30" t="n"/>
      <c r="K88" s="30" t="n"/>
    </row>
    <row r="89">
      <c r="A89" s="30" t="n"/>
      <c r="B89" s="30" t="n"/>
      <c r="C89" s="30" t="n"/>
      <c r="D89" s="30" t="n"/>
      <c r="E89" s="23" t="n"/>
      <c r="F89" s="23" t="n"/>
      <c r="G89" s="23" t="n"/>
      <c r="H89" s="20">
        <f>IF(A89="","",N(E89)+N(F89)+N(G89))</f>
        <v/>
      </c>
      <c r="I89" s="30" t="n"/>
      <c r="J89" s="30" t="n"/>
      <c r="K89" s="30" t="n"/>
    </row>
    <row r="90">
      <c r="A90" s="30" t="n"/>
      <c r="B90" s="30" t="n"/>
      <c r="C90" s="30" t="n"/>
      <c r="D90" s="30" t="n"/>
      <c r="E90" s="23" t="n"/>
      <c r="F90" s="23" t="n"/>
      <c r="G90" s="23" t="n"/>
      <c r="H90" s="20">
        <f>IF(A90="","",N(E90)+N(F90)+N(G90))</f>
        <v/>
      </c>
      <c r="I90" s="30" t="n"/>
      <c r="J90" s="30" t="n"/>
      <c r="K90" s="30" t="n"/>
    </row>
    <row r="91">
      <c r="A91" s="30" t="n"/>
      <c r="B91" s="30" t="n"/>
      <c r="C91" s="30" t="n"/>
      <c r="D91" s="30" t="n"/>
      <c r="E91" s="23" t="n"/>
      <c r="F91" s="23" t="n"/>
      <c r="G91" s="23" t="n"/>
      <c r="H91" s="20">
        <f>IF(A91="","",N(E91)+N(F91)+N(G91))</f>
        <v/>
      </c>
      <c r="I91" s="30" t="n"/>
      <c r="J91" s="30" t="n"/>
      <c r="K91" s="30" t="n"/>
    </row>
    <row r="92">
      <c r="A92" s="30" t="n"/>
      <c r="B92" s="30" t="n"/>
      <c r="C92" s="30" t="n"/>
      <c r="D92" s="30" t="n"/>
      <c r="E92" s="23" t="n"/>
      <c r="F92" s="23" t="n"/>
      <c r="G92" s="23" t="n"/>
      <c r="H92" s="20">
        <f>IF(A92="","",N(E92)+N(F92)+N(G92))</f>
        <v/>
      </c>
      <c r="I92" s="30" t="n"/>
      <c r="J92" s="30" t="n"/>
      <c r="K92" s="30" t="n"/>
    </row>
    <row r="93">
      <c r="A93" s="30" t="n"/>
      <c r="B93" s="30" t="n"/>
      <c r="C93" s="30" t="n"/>
      <c r="D93" s="30" t="n"/>
      <c r="E93" s="23" t="n"/>
      <c r="F93" s="23" t="n"/>
      <c r="G93" s="23" t="n"/>
      <c r="H93" s="20">
        <f>IF(A93="","",N(E93)+N(F93)+N(G93))</f>
        <v/>
      </c>
      <c r="I93" s="30" t="n"/>
      <c r="J93" s="30" t="n"/>
      <c r="K93" s="30" t="n"/>
    </row>
    <row r="94">
      <c r="A94" s="30" t="n"/>
      <c r="B94" s="30" t="n"/>
      <c r="C94" s="30" t="n"/>
      <c r="D94" s="30" t="n"/>
      <c r="E94" s="23" t="n"/>
      <c r="F94" s="23" t="n"/>
      <c r="G94" s="23" t="n"/>
      <c r="H94" s="20">
        <f>IF(A94="","",N(E94)+N(F94)+N(G94))</f>
        <v/>
      </c>
      <c r="I94" s="30" t="n"/>
      <c r="J94" s="30" t="n"/>
      <c r="K94" s="30" t="n"/>
    </row>
    <row r="95">
      <c r="A95" s="30" t="n"/>
      <c r="B95" s="30" t="n"/>
      <c r="C95" s="30" t="n"/>
      <c r="D95" s="30" t="n"/>
      <c r="E95" s="23" t="n"/>
      <c r="F95" s="23" t="n"/>
      <c r="G95" s="23" t="n"/>
      <c r="H95" s="20">
        <f>IF(A95="","",N(E95)+N(F95)+N(G95))</f>
        <v/>
      </c>
      <c r="I95" s="30" t="n"/>
      <c r="J95" s="30" t="n"/>
      <c r="K95" s="30" t="n"/>
    </row>
    <row r="96">
      <c r="A96" s="30" t="n"/>
      <c r="B96" s="30" t="n"/>
      <c r="C96" s="30" t="n"/>
      <c r="D96" s="30" t="n"/>
      <c r="E96" s="23" t="n"/>
      <c r="F96" s="23" t="n"/>
      <c r="G96" s="23" t="n"/>
      <c r="H96" s="20">
        <f>IF(A96="","",N(E96)+N(F96)+N(G96))</f>
        <v/>
      </c>
      <c r="I96" s="30" t="n"/>
      <c r="J96" s="30" t="n"/>
      <c r="K96" s="30" t="n"/>
    </row>
    <row r="97">
      <c r="A97" s="30" t="n"/>
      <c r="B97" s="30" t="n"/>
      <c r="C97" s="30" t="n"/>
      <c r="D97" s="30" t="n"/>
      <c r="E97" s="23" t="n"/>
      <c r="F97" s="23" t="n"/>
      <c r="G97" s="23" t="n"/>
      <c r="H97" s="20">
        <f>IF(A97="","",N(E97)+N(F97)+N(G97))</f>
        <v/>
      </c>
      <c r="I97" s="30" t="n"/>
      <c r="J97" s="30" t="n"/>
      <c r="K97" s="30" t="n"/>
    </row>
    <row r="98">
      <c r="A98" s="30" t="n"/>
      <c r="B98" s="30" t="n"/>
      <c r="C98" s="30" t="n"/>
      <c r="D98" s="30" t="n"/>
      <c r="E98" s="23" t="n"/>
      <c r="F98" s="23" t="n"/>
      <c r="G98" s="23" t="n"/>
      <c r="H98" s="20">
        <f>IF(A98="","",N(E98)+N(F98)+N(G98))</f>
        <v/>
      </c>
      <c r="I98" s="30" t="n"/>
      <c r="J98" s="30" t="n"/>
      <c r="K98" s="30" t="n"/>
    </row>
    <row r="99">
      <c r="A99" s="30" t="n"/>
      <c r="B99" s="30" t="n"/>
      <c r="C99" s="30" t="n"/>
      <c r="D99" s="30" t="n"/>
      <c r="E99" s="23" t="n"/>
      <c r="F99" s="23" t="n"/>
      <c r="G99" s="23" t="n"/>
      <c r="H99" s="20">
        <f>IF(A99="","",N(E99)+N(F99)+N(G99))</f>
        <v/>
      </c>
      <c r="I99" s="30" t="n"/>
      <c r="J99" s="30" t="n"/>
      <c r="K99" s="30" t="n"/>
    </row>
    <row r="100">
      <c r="A100" s="30" t="n"/>
      <c r="B100" s="30" t="n"/>
      <c r="C100" s="30" t="n"/>
      <c r="D100" s="30" t="n"/>
      <c r="E100" s="23" t="n"/>
      <c r="F100" s="23" t="n"/>
      <c r="G100" s="23" t="n"/>
      <c r="H100" s="20">
        <f>IF(A100="","",N(E100)+N(F100)+N(G100))</f>
        <v/>
      </c>
      <c r="I100" s="30" t="n"/>
      <c r="J100" s="30" t="n"/>
      <c r="K100" s="30" t="n"/>
    </row>
    <row r="101">
      <c r="A101" s="30" t="n"/>
      <c r="B101" s="30" t="n"/>
      <c r="C101" s="30" t="n"/>
      <c r="D101" s="30" t="n"/>
      <c r="E101" s="23" t="n"/>
      <c r="F101" s="23" t="n"/>
      <c r="G101" s="23" t="n"/>
      <c r="H101" s="20">
        <f>IF(A101="","",N(E101)+N(F101)+N(G101))</f>
        <v/>
      </c>
      <c r="I101" s="30" t="n"/>
      <c r="J101" s="30" t="n"/>
      <c r="K101" s="30" t="n"/>
    </row>
    <row r="102">
      <c r="A102" s="30" t="n"/>
      <c r="B102" s="30" t="n"/>
      <c r="C102" s="30" t="n"/>
      <c r="D102" s="30" t="n"/>
      <c r="E102" s="23" t="n"/>
      <c r="F102" s="23" t="n"/>
      <c r="G102" s="23" t="n"/>
      <c r="H102" s="20">
        <f>IF(A102="","",N(E102)+N(F102)+N(G102))</f>
        <v/>
      </c>
      <c r="I102" s="30" t="n"/>
      <c r="J102" s="30" t="n"/>
      <c r="K102" s="30" t="n"/>
    </row>
    <row r="103">
      <c r="A103" s="30" t="n"/>
      <c r="B103" s="30" t="n"/>
      <c r="C103" s="30" t="n"/>
      <c r="D103" s="30" t="n"/>
      <c r="E103" s="23" t="n"/>
      <c r="F103" s="23" t="n"/>
      <c r="G103" s="23" t="n"/>
      <c r="H103" s="20">
        <f>IF(A103="","",N(E103)+N(F103)+N(G103))</f>
        <v/>
      </c>
      <c r="I103" s="30" t="n"/>
      <c r="J103" s="30" t="n"/>
      <c r="K103" s="30" t="n"/>
    </row>
    <row r="104">
      <c r="A104" s="30" t="n"/>
      <c r="B104" s="30" t="n"/>
      <c r="C104" s="30" t="n"/>
      <c r="D104" s="30" t="n"/>
      <c r="E104" s="23" t="n"/>
      <c r="F104" s="23" t="n"/>
      <c r="G104" s="23" t="n"/>
      <c r="H104" s="20">
        <f>IF(A104="","",N(E104)+N(F104)+N(G104))</f>
        <v/>
      </c>
      <c r="I104" s="30" t="n"/>
      <c r="J104" s="30" t="n"/>
      <c r="K104" s="30" t="n"/>
    </row>
    <row r="105">
      <c r="A105" s="30" t="n"/>
      <c r="B105" s="30" t="n"/>
      <c r="C105" s="30" t="n"/>
      <c r="D105" s="30" t="n"/>
      <c r="E105" s="23" t="n"/>
      <c r="F105" s="23" t="n"/>
      <c r="G105" s="23" t="n"/>
      <c r="H105" s="20">
        <f>IF(A105="","",N(E105)+N(F105)+N(G105))</f>
        <v/>
      </c>
      <c r="I105" s="30" t="n"/>
      <c r="J105" s="30" t="n"/>
      <c r="K105" s="30" t="n"/>
    </row>
    <row r="106">
      <c r="A106" s="30" t="n"/>
      <c r="B106" s="30" t="n"/>
      <c r="C106" s="30" t="n"/>
      <c r="D106" s="30" t="n"/>
      <c r="E106" s="23" t="n"/>
      <c r="F106" s="23" t="n"/>
      <c r="G106" s="23" t="n"/>
      <c r="H106" s="20">
        <f>IF(A106="","",N(E106)+N(F106)+N(G106))</f>
        <v/>
      </c>
      <c r="I106" s="30" t="n"/>
      <c r="J106" s="30" t="n"/>
      <c r="K106" s="30" t="n"/>
    </row>
    <row r="107">
      <c r="A107" s="30" t="n"/>
      <c r="B107" s="30" t="n"/>
      <c r="C107" s="30" t="n"/>
      <c r="D107" s="30" t="n"/>
      <c r="E107" s="23" t="n"/>
      <c r="F107" s="23" t="n"/>
      <c r="G107" s="23" t="n"/>
      <c r="H107" s="20">
        <f>IF(A107="","",N(E107)+N(F107)+N(G107))</f>
        <v/>
      </c>
      <c r="I107" s="30" t="n"/>
      <c r="J107" s="30" t="n"/>
      <c r="K107" s="30" t="n"/>
    </row>
    <row r="108">
      <c r="A108" s="30" t="n"/>
      <c r="B108" s="30" t="n"/>
      <c r="C108" s="30" t="n"/>
      <c r="D108" s="30" t="n"/>
      <c r="E108" s="23" t="n"/>
      <c r="F108" s="23" t="n"/>
      <c r="G108" s="23" t="n"/>
      <c r="H108" s="20">
        <f>IF(A108="","",N(E108)+N(F108)+N(G108))</f>
        <v/>
      </c>
      <c r="I108" s="30" t="n"/>
      <c r="J108" s="30" t="n"/>
      <c r="K108" s="30" t="n"/>
    </row>
    <row r="109">
      <c r="A109" s="30" t="n"/>
      <c r="B109" s="30" t="n"/>
      <c r="C109" s="30" t="n"/>
      <c r="D109" s="30" t="n"/>
      <c r="E109" s="23" t="n"/>
      <c r="F109" s="23" t="n"/>
      <c r="G109" s="23" t="n"/>
      <c r="H109" s="20">
        <f>IF(A109="","",N(E109)+N(F109)+N(G109))</f>
        <v/>
      </c>
      <c r="I109" s="30" t="n"/>
      <c r="J109" s="30" t="n"/>
      <c r="K109" s="30" t="n"/>
    </row>
    <row r="110">
      <c r="A110" s="30" t="n"/>
      <c r="B110" s="30" t="n"/>
      <c r="C110" s="30" t="n"/>
      <c r="D110" s="30" t="n"/>
      <c r="E110" s="23" t="n"/>
      <c r="F110" s="23" t="n"/>
      <c r="G110" s="23" t="n"/>
      <c r="H110" s="20">
        <f>IF(A110="","",N(E110)+N(F110)+N(G110))</f>
        <v/>
      </c>
      <c r="I110" s="30" t="n"/>
      <c r="J110" s="30" t="n"/>
      <c r="K110" s="30" t="n"/>
    </row>
    <row r="111">
      <c r="A111" s="30" t="n"/>
      <c r="B111" s="30" t="n"/>
      <c r="C111" s="30" t="n"/>
      <c r="D111" s="30" t="n"/>
      <c r="E111" s="23" t="n"/>
      <c r="F111" s="23" t="n"/>
      <c r="G111" s="23" t="n"/>
      <c r="H111" s="20">
        <f>IF(A111="","",N(E111)+N(F111)+N(G111))</f>
        <v/>
      </c>
      <c r="I111" s="30" t="n"/>
      <c r="J111" s="30" t="n"/>
      <c r="K111" s="30" t="n"/>
    </row>
    <row r="112">
      <c r="A112" s="30" t="n"/>
      <c r="B112" s="30" t="n"/>
      <c r="C112" s="30" t="n"/>
      <c r="D112" s="30" t="n"/>
      <c r="E112" s="23" t="n"/>
      <c r="F112" s="23" t="n"/>
      <c r="G112" s="23" t="n"/>
      <c r="H112" s="20">
        <f>IF(A112="","",N(E112)+N(F112)+N(G112))</f>
        <v/>
      </c>
      <c r="I112" s="30" t="n"/>
      <c r="J112" s="30" t="n"/>
      <c r="K112" s="30" t="n"/>
    </row>
    <row r="113">
      <c r="A113" s="30" t="n"/>
      <c r="B113" s="30" t="n"/>
      <c r="C113" s="30" t="n"/>
      <c r="D113" s="30" t="n"/>
      <c r="E113" s="23" t="n"/>
      <c r="F113" s="23" t="n"/>
      <c r="G113" s="23" t="n"/>
      <c r="H113" s="20">
        <f>IF(A113="","",N(E113)+N(F113)+N(G113))</f>
        <v/>
      </c>
      <c r="I113" s="30" t="n"/>
      <c r="J113" s="30" t="n"/>
      <c r="K113" s="30" t="n"/>
    </row>
    <row r="114">
      <c r="A114" s="30" t="n"/>
      <c r="B114" s="30" t="n"/>
      <c r="C114" s="30" t="n"/>
      <c r="D114" s="30" t="n"/>
      <c r="E114" s="23" t="n"/>
      <c r="F114" s="23" t="n"/>
      <c r="G114" s="23" t="n"/>
      <c r="H114" s="20">
        <f>IF(A114="","",N(E114)+N(F114)+N(G114))</f>
        <v/>
      </c>
      <c r="I114" s="30" t="n"/>
      <c r="J114" s="30" t="n"/>
      <c r="K114" s="30" t="n"/>
    </row>
    <row r="115">
      <c r="A115" s="30" t="n"/>
      <c r="B115" s="30" t="n"/>
      <c r="C115" s="30" t="n"/>
      <c r="D115" s="30" t="n"/>
      <c r="E115" s="23" t="n"/>
      <c r="F115" s="23" t="n"/>
      <c r="G115" s="23" t="n"/>
      <c r="H115" s="20">
        <f>IF(A115="","",N(E115)+N(F115)+N(G115))</f>
        <v/>
      </c>
      <c r="I115" s="30" t="n"/>
      <c r="J115" s="30" t="n"/>
      <c r="K115" s="30" t="n"/>
    </row>
    <row r="116">
      <c r="A116" s="30" t="n"/>
      <c r="B116" s="30" t="n"/>
      <c r="C116" s="30" t="n"/>
      <c r="D116" s="30" t="n"/>
      <c r="E116" s="23" t="n"/>
      <c r="F116" s="23" t="n"/>
      <c r="G116" s="23" t="n"/>
      <c r="H116" s="20">
        <f>IF(A116="","",N(E116)+N(F116)+N(G116))</f>
        <v/>
      </c>
      <c r="I116" s="30" t="n"/>
      <c r="J116" s="30" t="n"/>
      <c r="K116" s="30" t="n"/>
    </row>
    <row r="117">
      <c r="A117" s="30" t="n"/>
      <c r="B117" s="30" t="n"/>
      <c r="C117" s="30" t="n"/>
      <c r="D117" s="30" t="n"/>
      <c r="E117" s="23" t="n"/>
      <c r="F117" s="23" t="n"/>
      <c r="G117" s="23" t="n"/>
      <c r="H117" s="20">
        <f>IF(A117="","",N(E117)+N(F117)+N(G117))</f>
        <v/>
      </c>
      <c r="I117" s="30" t="n"/>
      <c r="J117" s="30" t="n"/>
      <c r="K117" s="30" t="n"/>
    </row>
    <row r="118">
      <c r="A118" s="30" t="n"/>
      <c r="B118" s="30" t="n"/>
      <c r="C118" s="30" t="n"/>
      <c r="D118" s="30" t="n"/>
      <c r="E118" s="23" t="n"/>
      <c r="F118" s="23" t="n"/>
      <c r="G118" s="23" t="n"/>
      <c r="H118" s="20">
        <f>IF(A118="","",N(E118)+N(F118)+N(G118))</f>
        <v/>
      </c>
      <c r="I118" s="30" t="n"/>
      <c r="J118" s="30" t="n"/>
      <c r="K118" s="30" t="n"/>
    </row>
    <row r="119">
      <c r="A119" s="30" t="n"/>
      <c r="B119" s="30" t="n"/>
      <c r="C119" s="30" t="n"/>
      <c r="D119" s="30" t="n"/>
      <c r="E119" s="23" t="n"/>
      <c r="F119" s="23" t="n"/>
      <c r="G119" s="23" t="n"/>
      <c r="H119" s="20">
        <f>IF(A119="","",N(E119)+N(F119)+N(G119))</f>
        <v/>
      </c>
      <c r="I119" s="30" t="n"/>
      <c r="J119" s="30" t="n"/>
      <c r="K119" s="30" t="n"/>
    </row>
    <row r="120">
      <c r="A120" s="30" t="n"/>
      <c r="B120" s="30" t="n"/>
      <c r="C120" s="30" t="n"/>
      <c r="D120" s="30" t="n"/>
      <c r="E120" s="23" t="n"/>
      <c r="F120" s="23" t="n"/>
      <c r="G120" s="23" t="n"/>
      <c r="H120" s="20">
        <f>IF(A120="","",N(E120)+N(F120)+N(G120))</f>
        <v/>
      </c>
      <c r="I120" s="30" t="n"/>
      <c r="J120" s="30" t="n"/>
      <c r="K120" s="30" t="n"/>
    </row>
    <row r="121">
      <c r="A121" s="30" t="n"/>
      <c r="B121" s="30" t="n"/>
      <c r="C121" s="30" t="n"/>
      <c r="D121" s="30" t="n"/>
      <c r="E121" s="23" t="n"/>
      <c r="F121" s="23" t="n"/>
      <c r="G121" s="23" t="n"/>
      <c r="H121" s="20">
        <f>IF(A121="","",N(E121)+N(F121)+N(G121))</f>
        <v/>
      </c>
      <c r="I121" s="30" t="n"/>
      <c r="J121" s="30" t="n"/>
      <c r="K121" s="30" t="n"/>
    </row>
    <row r="122">
      <c r="A122" s="30" t="n"/>
      <c r="B122" s="30" t="n"/>
      <c r="C122" s="30" t="n"/>
      <c r="D122" s="30" t="n"/>
      <c r="E122" s="23" t="n"/>
      <c r="F122" s="23" t="n"/>
      <c r="G122" s="23" t="n"/>
      <c r="H122" s="20">
        <f>IF(A122="","",N(E122)+N(F122)+N(G122))</f>
        <v/>
      </c>
      <c r="I122" s="30" t="n"/>
      <c r="J122" s="30" t="n"/>
      <c r="K122" s="30" t="n"/>
    </row>
    <row r="123">
      <c r="A123" s="30" t="n"/>
      <c r="B123" s="30" t="n"/>
      <c r="C123" s="30" t="n"/>
      <c r="D123" s="30" t="n"/>
      <c r="E123" s="23" t="n"/>
      <c r="F123" s="23" t="n"/>
      <c r="G123" s="23" t="n"/>
      <c r="H123" s="20">
        <f>IF(A123="","",N(E123)+N(F123)+N(G123))</f>
        <v/>
      </c>
      <c r="I123" s="30" t="n"/>
      <c r="J123" s="30" t="n"/>
      <c r="K123" s="30" t="n"/>
    </row>
    <row r="124">
      <c r="A124" s="30" t="n"/>
      <c r="B124" s="30" t="n"/>
      <c r="C124" s="30" t="n"/>
      <c r="D124" s="30" t="n"/>
      <c r="E124" s="23" t="n"/>
      <c r="F124" s="23" t="n"/>
      <c r="G124" s="23" t="n"/>
      <c r="H124" s="20">
        <f>IF(A124="","",N(E124)+N(F124)+N(G124))</f>
        <v/>
      </c>
      <c r="I124" s="30" t="n"/>
      <c r="J124" s="30" t="n"/>
      <c r="K124" s="30" t="n"/>
    </row>
    <row r="125">
      <c r="A125" s="30" t="n"/>
      <c r="B125" s="30" t="n"/>
      <c r="C125" s="30" t="n"/>
      <c r="D125" s="30" t="n"/>
      <c r="E125" s="23" t="n"/>
      <c r="F125" s="23" t="n"/>
      <c r="G125" s="23" t="n"/>
      <c r="H125" s="20">
        <f>IF(A125="","",N(E125)+N(F125)+N(G125))</f>
        <v/>
      </c>
      <c r="I125" s="30" t="n"/>
      <c r="J125" s="30" t="n"/>
      <c r="K125" s="30" t="n"/>
    </row>
    <row r="126">
      <c r="A126" s="30" t="n"/>
      <c r="B126" s="30" t="n"/>
      <c r="C126" s="30" t="n"/>
      <c r="D126" s="30" t="n"/>
      <c r="E126" s="23" t="n"/>
      <c r="F126" s="23" t="n"/>
      <c r="G126" s="23" t="n"/>
      <c r="H126" s="20">
        <f>IF(A126="","",N(E126)+N(F126)+N(G126))</f>
        <v/>
      </c>
      <c r="I126" s="30" t="n"/>
      <c r="J126" s="30" t="n"/>
      <c r="K126" s="30" t="n"/>
    </row>
    <row r="127">
      <c r="A127" s="30" t="n"/>
      <c r="B127" s="30" t="n"/>
      <c r="C127" s="30" t="n"/>
      <c r="D127" s="30" t="n"/>
      <c r="E127" s="23" t="n"/>
      <c r="F127" s="23" t="n"/>
      <c r="G127" s="23" t="n"/>
      <c r="H127" s="20">
        <f>IF(A127="","",N(E127)+N(F127)+N(G127))</f>
        <v/>
      </c>
      <c r="I127" s="30" t="n"/>
      <c r="J127" s="30" t="n"/>
      <c r="K127" s="30" t="n"/>
    </row>
    <row r="128">
      <c r="A128" s="30" t="n"/>
      <c r="B128" s="30" t="n"/>
      <c r="C128" s="30" t="n"/>
      <c r="D128" s="30" t="n"/>
      <c r="E128" s="23" t="n"/>
      <c r="F128" s="23" t="n"/>
      <c r="G128" s="23" t="n"/>
      <c r="H128" s="20">
        <f>IF(A128="","",N(E128)+N(F128)+N(G128))</f>
        <v/>
      </c>
      <c r="I128" s="30" t="n"/>
      <c r="J128" s="30" t="n"/>
      <c r="K128" s="30" t="n"/>
    </row>
    <row r="129">
      <c r="A129" s="30" t="n"/>
      <c r="B129" s="30" t="n"/>
      <c r="C129" s="30" t="n"/>
      <c r="D129" s="30" t="n"/>
      <c r="E129" s="23" t="n"/>
      <c r="F129" s="23" t="n"/>
      <c r="G129" s="23" t="n"/>
      <c r="H129" s="20">
        <f>IF(A129="","",N(E129)+N(F129)+N(G129))</f>
        <v/>
      </c>
      <c r="I129" s="30" t="n"/>
      <c r="J129" s="30" t="n"/>
      <c r="K129" s="30" t="n"/>
    </row>
    <row r="130">
      <c r="A130" s="30" t="n"/>
      <c r="B130" s="30" t="n"/>
      <c r="C130" s="30" t="n"/>
      <c r="D130" s="30" t="n"/>
      <c r="E130" s="23" t="n"/>
      <c r="F130" s="23" t="n"/>
      <c r="G130" s="23" t="n"/>
      <c r="H130" s="20">
        <f>IF(A130="","",N(E130)+N(F130)+N(G130))</f>
        <v/>
      </c>
      <c r="I130" s="30" t="n"/>
      <c r="J130" s="30" t="n"/>
      <c r="K130" s="30" t="n"/>
    </row>
    <row r="131">
      <c r="A131" s="30" t="n"/>
      <c r="B131" s="30" t="n"/>
      <c r="C131" s="30" t="n"/>
      <c r="D131" s="30" t="n"/>
      <c r="E131" s="23" t="n"/>
      <c r="F131" s="23" t="n"/>
      <c r="G131" s="23" t="n"/>
      <c r="H131" s="20">
        <f>IF(A131="","",N(E131)+N(F131)+N(G131))</f>
        <v/>
      </c>
      <c r="I131" s="30" t="n"/>
      <c r="J131" s="30" t="n"/>
      <c r="K131" s="30" t="n"/>
    </row>
    <row r="132">
      <c r="A132" s="30" t="n"/>
      <c r="B132" s="30" t="n"/>
      <c r="C132" s="30" t="n"/>
      <c r="D132" s="30" t="n"/>
      <c r="E132" s="23" t="n"/>
      <c r="F132" s="23" t="n"/>
      <c r="G132" s="23" t="n"/>
      <c r="H132" s="20">
        <f>IF(A132="","",N(E132)+N(F132)+N(G132))</f>
        <v/>
      </c>
      <c r="I132" s="30" t="n"/>
      <c r="J132" s="30" t="n"/>
      <c r="K132" s="30" t="n"/>
    </row>
    <row r="133">
      <c r="A133" s="30" t="n"/>
      <c r="B133" s="30" t="n"/>
      <c r="C133" s="30" t="n"/>
      <c r="D133" s="30" t="n"/>
      <c r="E133" s="23" t="n"/>
      <c r="F133" s="23" t="n"/>
      <c r="G133" s="23" t="n"/>
      <c r="H133" s="20">
        <f>IF(A133="","",N(E133)+N(F133)+N(G133))</f>
        <v/>
      </c>
      <c r="I133" s="30" t="n"/>
      <c r="J133" s="30" t="n"/>
      <c r="K133" s="30" t="n"/>
    </row>
    <row r="134">
      <c r="A134" s="30" t="n"/>
      <c r="B134" s="30" t="n"/>
      <c r="C134" s="30" t="n"/>
      <c r="D134" s="30" t="n"/>
      <c r="E134" s="23" t="n"/>
      <c r="F134" s="23" t="n"/>
      <c r="G134" s="23" t="n"/>
      <c r="H134" s="20">
        <f>IF(A134="","",N(E134)+N(F134)+N(G134))</f>
        <v/>
      </c>
      <c r="I134" s="30" t="n"/>
      <c r="J134" s="30" t="n"/>
      <c r="K134" s="30" t="n"/>
    </row>
    <row r="135">
      <c r="A135" s="30" t="n"/>
      <c r="B135" s="30" t="n"/>
      <c r="C135" s="30" t="n"/>
      <c r="D135" s="30" t="n"/>
      <c r="E135" s="23" t="n"/>
      <c r="F135" s="23" t="n"/>
      <c r="G135" s="23" t="n"/>
      <c r="H135" s="20">
        <f>IF(A135="","",N(E135)+N(F135)+N(G135))</f>
        <v/>
      </c>
      <c r="I135" s="30" t="n"/>
      <c r="J135" s="30" t="n"/>
      <c r="K135" s="30" t="n"/>
    </row>
    <row r="136">
      <c r="A136" s="30" t="n"/>
      <c r="B136" s="30" t="n"/>
      <c r="C136" s="30" t="n"/>
      <c r="D136" s="30" t="n"/>
      <c r="E136" s="23" t="n"/>
      <c r="F136" s="23" t="n"/>
      <c r="G136" s="23" t="n"/>
      <c r="H136" s="20">
        <f>IF(A136="","",N(E136)+N(F136)+N(G136))</f>
        <v/>
      </c>
      <c r="I136" s="30" t="n"/>
      <c r="J136" s="30" t="n"/>
      <c r="K136" s="30" t="n"/>
    </row>
    <row r="137">
      <c r="A137" s="30" t="n"/>
      <c r="B137" s="30" t="n"/>
      <c r="C137" s="30" t="n"/>
      <c r="D137" s="30" t="n"/>
      <c r="E137" s="23" t="n"/>
      <c r="F137" s="23" t="n"/>
      <c r="G137" s="23" t="n"/>
      <c r="H137" s="20">
        <f>IF(A137="","",N(E137)+N(F137)+N(G137))</f>
        <v/>
      </c>
      <c r="I137" s="30" t="n"/>
      <c r="J137" s="30" t="n"/>
      <c r="K137" s="30" t="n"/>
    </row>
    <row r="138">
      <c r="A138" s="30" t="n"/>
      <c r="B138" s="30" t="n"/>
      <c r="C138" s="30" t="n"/>
      <c r="D138" s="30" t="n"/>
      <c r="E138" s="23" t="n"/>
      <c r="F138" s="23" t="n"/>
      <c r="G138" s="23" t="n"/>
      <c r="H138" s="20">
        <f>IF(A138="","",N(E138)+N(F138)+N(G138))</f>
        <v/>
      </c>
      <c r="I138" s="30" t="n"/>
      <c r="J138" s="30" t="n"/>
      <c r="K138" s="30" t="n"/>
    </row>
    <row r="139">
      <c r="A139" s="30" t="n"/>
      <c r="B139" s="30" t="n"/>
      <c r="C139" s="30" t="n"/>
      <c r="D139" s="30" t="n"/>
      <c r="E139" s="23" t="n"/>
      <c r="F139" s="23" t="n"/>
      <c r="G139" s="23" t="n"/>
      <c r="H139" s="20">
        <f>IF(A139="","",N(E139)+N(F139)+N(G139))</f>
        <v/>
      </c>
      <c r="I139" s="30" t="n"/>
      <c r="J139" s="30" t="n"/>
      <c r="K139" s="30" t="n"/>
    </row>
    <row r="140">
      <c r="A140" s="30" t="n"/>
      <c r="B140" s="30" t="n"/>
      <c r="C140" s="30" t="n"/>
      <c r="D140" s="30" t="n"/>
      <c r="E140" s="23" t="n"/>
      <c r="F140" s="23" t="n"/>
      <c r="G140" s="23" t="n"/>
      <c r="H140" s="20">
        <f>IF(A140="","",N(E140)+N(F140)+N(G140))</f>
        <v/>
      </c>
      <c r="I140" s="30" t="n"/>
      <c r="J140" s="30" t="n"/>
      <c r="K140" s="30" t="n"/>
    </row>
    <row r="141">
      <c r="A141" s="30" t="n"/>
      <c r="B141" s="30" t="n"/>
      <c r="C141" s="30" t="n"/>
      <c r="D141" s="30" t="n"/>
      <c r="E141" s="23" t="n"/>
      <c r="F141" s="23" t="n"/>
      <c r="G141" s="23" t="n"/>
      <c r="H141" s="20">
        <f>IF(A141="","",N(E141)+N(F141)+N(G141))</f>
        <v/>
      </c>
      <c r="I141" s="30" t="n"/>
      <c r="J141" s="30" t="n"/>
      <c r="K141" s="30" t="n"/>
    </row>
    <row r="142">
      <c r="A142" s="30" t="n"/>
      <c r="B142" s="30" t="n"/>
      <c r="C142" s="30" t="n"/>
      <c r="D142" s="30" t="n"/>
      <c r="E142" s="23" t="n"/>
      <c r="F142" s="23" t="n"/>
      <c r="G142" s="23" t="n"/>
      <c r="H142" s="20">
        <f>IF(A142="","",N(E142)+N(F142)+N(G142))</f>
        <v/>
      </c>
      <c r="I142" s="30" t="n"/>
      <c r="J142" s="30" t="n"/>
      <c r="K142" s="30" t="n"/>
    </row>
    <row r="143">
      <c r="A143" s="30" t="n"/>
      <c r="B143" s="30" t="n"/>
      <c r="C143" s="30" t="n"/>
      <c r="D143" s="30" t="n"/>
      <c r="E143" s="23" t="n"/>
      <c r="F143" s="23" t="n"/>
      <c r="G143" s="23" t="n"/>
      <c r="H143" s="20">
        <f>IF(A143="","",N(E143)+N(F143)+N(G143))</f>
        <v/>
      </c>
      <c r="I143" s="30" t="n"/>
      <c r="J143" s="30" t="n"/>
      <c r="K143" s="30" t="n"/>
    </row>
    <row r="144">
      <c r="A144" s="30" t="n"/>
      <c r="B144" s="30" t="n"/>
      <c r="C144" s="30" t="n"/>
      <c r="D144" s="30" t="n"/>
      <c r="E144" s="23" t="n"/>
      <c r="F144" s="23" t="n"/>
      <c r="G144" s="23" t="n"/>
      <c r="H144" s="20">
        <f>IF(A144="","",N(E144)+N(F144)+N(G144))</f>
        <v/>
      </c>
      <c r="I144" s="30" t="n"/>
      <c r="J144" s="30" t="n"/>
      <c r="K144" s="30" t="n"/>
    </row>
    <row r="145">
      <c r="A145" s="30" t="n"/>
      <c r="B145" s="30" t="n"/>
      <c r="C145" s="30" t="n"/>
      <c r="D145" s="30" t="n"/>
      <c r="E145" s="23" t="n"/>
      <c r="F145" s="23" t="n"/>
      <c r="G145" s="23" t="n"/>
      <c r="H145" s="20">
        <f>IF(A145="","",N(E145)+N(F145)+N(G145))</f>
        <v/>
      </c>
      <c r="I145" s="30" t="n"/>
      <c r="J145" s="30" t="n"/>
      <c r="K145" s="30" t="n"/>
    </row>
    <row r="146">
      <c r="A146" s="30" t="n"/>
      <c r="B146" s="30" t="n"/>
      <c r="C146" s="30" t="n"/>
      <c r="D146" s="30" t="n"/>
      <c r="E146" s="23" t="n"/>
      <c r="F146" s="23" t="n"/>
      <c r="G146" s="23" t="n"/>
      <c r="H146" s="20">
        <f>IF(A146="","",N(E146)+N(F146)+N(G146))</f>
        <v/>
      </c>
      <c r="I146" s="30" t="n"/>
      <c r="J146" s="30" t="n"/>
      <c r="K146" s="30" t="n"/>
    </row>
    <row r="147">
      <c r="A147" s="30" t="n"/>
      <c r="B147" s="30" t="n"/>
      <c r="C147" s="30" t="n"/>
      <c r="D147" s="30" t="n"/>
      <c r="E147" s="23" t="n"/>
      <c r="F147" s="23" t="n"/>
      <c r="G147" s="23" t="n"/>
      <c r="H147" s="20">
        <f>IF(A147="","",N(E147)+N(F147)+N(G147))</f>
        <v/>
      </c>
      <c r="I147" s="30" t="n"/>
      <c r="J147" s="30" t="n"/>
      <c r="K147" s="30" t="n"/>
    </row>
    <row r="148">
      <c r="A148" s="30" t="n"/>
      <c r="B148" s="30" t="n"/>
      <c r="C148" s="30" t="n"/>
      <c r="D148" s="30" t="n"/>
      <c r="E148" s="23" t="n"/>
      <c r="F148" s="23" t="n"/>
      <c r="G148" s="23" t="n"/>
      <c r="H148" s="20">
        <f>IF(A148="","",N(E148)+N(F148)+N(G148))</f>
        <v/>
      </c>
      <c r="I148" s="30" t="n"/>
      <c r="J148" s="30" t="n"/>
      <c r="K148" s="30" t="n"/>
    </row>
    <row r="149">
      <c r="A149" s="30" t="n"/>
      <c r="B149" s="30" t="n"/>
      <c r="C149" s="30" t="n"/>
      <c r="D149" s="30" t="n"/>
      <c r="E149" s="23" t="n"/>
      <c r="F149" s="23" t="n"/>
      <c r="G149" s="23" t="n"/>
      <c r="H149" s="20">
        <f>IF(A149="","",N(E149)+N(F149)+N(G149))</f>
        <v/>
      </c>
      <c r="I149" s="30" t="n"/>
      <c r="J149" s="30" t="n"/>
      <c r="K149" s="30" t="n"/>
    </row>
    <row r="150">
      <c r="A150" s="30" t="n"/>
      <c r="B150" s="30" t="n"/>
      <c r="C150" s="30" t="n"/>
      <c r="D150" s="30" t="n"/>
      <c r="E150" s="23" t="n"/>
      <c r="F150" s="23" t="n"/>
      <c r="G150" s="23" t="n"/>
      <c r="H150" s="20">
        <f>IF(A150="","",N(E150)+N(F150)+N(G150))</f>
        <v/>
      </c>
      <c r="I150" s="30" t="n"/>
      <c r="J150" s="30" t="n"/>
      <c r="K150" s="30" t="n"/>
    </row>
    <row r="151">
      <c r="A151" s="30" t="n"/>
      <c r="B151" s="30" t="n"/>
      <c r="C151" s="30" t="n"/>
      <c r="D151" s="30" t="n"/>
      <c r="E151" s="23" t="n"/>
      <c r="F151" s="23" t="n"/>
      <c r="G151" s="23" t="n"/>
      <c r="H151" s="20">
        <f>IF(A151="","",N(E151)+N(F151)+N(G151))</f>
        <v/>
      </c>
      <c r="I151" s="30" t="n"/>
      <c r="J151" s="30" t="n"/>
      <c r="K151" s="30" t="n"/>
    </row>
    <row r="152">
      <c r="A152" s="30" t="n"/>
      <c r="B152" s="30" t="n"/>
      <c r="C152" s="30" t="n"/>
      <c r="D152" s="30" t="n"/>
      <c r="E152" s="23" t="n"/>
      <c r="F152" s="23" t="n"/>
      <c r="G152" s="23" t="n"/>
      <c r="H152" s="20">
        <f>IF(A152="","",N(E152)+N(F152)+N(G152))</f>
        <v/>
      </c>
      <c r="I152" s="30" t="n"/>
      <c r="J152" s="30" t="n"/>
      <c r="K152" s="30" t="n"/>
    </row>
    <row r="153">
      <c r="A153" s="30" t="n"/>
      <c r="B153" s="30" t="n"/>
      <c r="C153" s="30" t="n"/>
      <c r="D153" s="30" t="n"/>
      <c r="E153" s="23" t="n"/>
      <c r="F153" s="23" t="n"/>
      <c r="G153" s="23" t="n"/>
      <c r="H153" s="20">
        <f>IF(A153="","",N(E153)+N(F153)+N(G153))</f>
        <v/>
      </c>
      <c r="I153" s="30" t="n"/>
      <c r="J153" s="30" t="n"/>
      <c r="K153" s="30" t="n"/>
    </row>
    <row r="154">
      <c r="A154" s="30" t="n"/>
      <c r="B154" s="30" t="n"/>
      <c r="C154" s="30" t="n"/>
      <c r="D154" s="30" t="n"/>
      <c r="E154" s="23" t="n"/>
      <c r="F154" s="23" t="n"/>
      <c r="G154" s="23" t="n"/>
      <c r="H154" s="20">
        <f>IF(A154="","",N(E154)+N(F154)+N(G154))</f>
        <v/>
      </c>
      <c r="I154" s="30" t="n"/>
      <c r="J154" s="30" t="n"/>
      <c r="K154" s="30" t="n"/>
    </row>
    <row r="155">
      <c r="A155" s="30" t="n"/>
      <c r="B155" s="30" t="n"/>
      <c r="C155" s="30" t="n"/>
      <c r="D155" s="30" t="n"/>
      <c r="E155" s="23" t="n"/>
      <c r="F155" s="23" t="n"/>
      <c r="G155" s="23" t="n"/>
      <c r="H155" s="20">
        <f>IF(A155="","",N(E155)+N(F155)+N(G155))</f>
        <v/>
      </c>
      <c r="I155" s="30" t="n"/>
      <c r="J155" s="30" t="n"/>
      <c r="K155" s="30" t="n"/>
    </row>
    <row r="156">
      <c r="A156" s="30" t="n"/>
      <c r="B156" s="30" t="n"/>
      <c r="C156" s="30" t="n"/>
      <c r="D156" s="30" t="n"/>
      <c r="E156" s="23" t="n"/>
      <c r="F156" s="23" t="n"/>
      <c r="G156" s="23" t="n"/>
      <c r="H156" s="20">
        <f>IF(A156="","",N(E156)+N(F156)+N(G156))</f>
        <v/>
      </c>
      <c r="I156" s="30" t="n"/>
      <c r="J156" s="30" t="n"/>
      <c r="K156" s="30" t="n"/>
    </row>
    <row r="157">
      <c r="A157" s="30" t="n"/>
      <c r="B157" s="30" t="n"/>
      <c r="C157" s="30" t="n"/>
      <c r="D157" s="30" t="n"/>
      <c r="E157" s="23" t="n"/>
      <c r="F157" s="23" t="n"/>
      <c r="G157" s="23" t="n"/>
      <c r="H157" s="20">
        <f>IF(A157="","",N(E157)+N(F157)+N(G157))</f>
        <v/>
      </c>
      <c r="I157" s="30" t="n"/>
      <c r="J157" s="30" t="n"/>
      <c r="K157" s="30" t="n"/>
    </row>
    <row r="158">
      <c r="A158" s="30" t="n"/>
      <c r="B158" s="30" t="n"/>
      <c r="C158" s="30" t="n"/>
      <c r="D158" s="30" t="n"/>
      <c r="E158" s="23" t="n"/>
      <c r="F158" s="23" t="n"/>
      <c r="G158" s="23" t="n"/>
      <c r="H158" s="20">
        <f>IF(A158="","",N(E158)+N(F158)+N(G158))</f>
        <v/>
      </c>
      <c r="I158" s="30" t="n"/>
      <c r="J158" s="30" t="n"/>
      <c r="K158" s="30" t="n"/>
    </row>
    <row r="159">
      <c r="A159" s="30" t="n"/>
      <c r="B159" s="30" t="n"/>
      <c r="C159" s="30" t="n"/>
      <c r="D159" s="30" t="n"/>
      <c r="E159" s="23" t="n"/>
      <c r="F159" s="23" t="n"/>
      <c r="G159" s="23" t="n"/>
      <c r="H159" s="20">
        <f>IF(A159="","",N(E159)+N(F159)+N(G159))</f>
        <v/>
      </c>
      <c r="I159" s="30" t="n"/>
      <c r="J159" s="30" t="n"/>
      <c r="K159" s="30" t="n"/>
    </row>
    <row r="160">
      <c r="A160" s="30" t="n"/>
      <c r="B160" s="30" t="n"/>
      <c r="C160" s="30" t="n"/>
      <c r="D160" s="30" t="n"/>
      <c r="E160" s="23" t="n"/>
      <c r="F160" s="23" t="n"/>
      <c r="G160" s="23" t="n"/>
      <c r="H160" s="20">
        <f>IF(A160="","",N(E160)+N(F160)+N(G160))</f>
        <v/>
      </c>
      <c r="I160" s="30" t="n"/>
      <c r="J160" s="30" t="n"/>
      <c r="K160" s="30" t="n"/>
    </row>
    <row r="161">
      <c r="A161" s="30" t="n"/>
      <c r="B161" s="30" t="n"/>
      <c r="C161" s="30" t="n"/>
      <c r="D161" s="30" t="n"/>
      <c r="E161" s="23" t="n"/>
      <c r="F161" s="23" t="n"/>
      <c r="G161" s="23" t="n"/>
      <c r="H161" s="20">
        <f>IF(A161="","",N(E161)+N(F161)+N(G161))</f>
        <v/>
      </c>
      <c r="I161" s="30" t="n"/>
      <c r="J161" s="30" t="n"/>
      <c r="K161" s="30" t="n"/>
    </row>
    <row r="162">
      <c r="A162" s="30" t="n"/>
      <c r="B162" s="30" t="n"/>
      <c r="C162" s="30" t="n"/>
      <c r="D162" s="30" t="n"/>
      <c r="E162" s="23" t="n"/>
      <c r="F162" s="23" t="n"/>
      <c r="G162" s="23" t="n"/>
      <c r="H162" s="20">
        <f>IF(A162="","",N(E162)+N(F162)+N(G162))</f>
        <v/>
      </c>
      <c r="I162" s="30" t="n"/>
      <c r="J162" s="30" t="n"/>
      <c r="K162" s="30" t="n"/>
    </row>
    <row r="163">
      <c r="A163" s="30" t="n"/>
      <c r="B163" s="30" t="n"/>
      <c r="C163" s="30" t="n"/>
      <c r="D163" s="30" t="n"/>
      <c r="E163" s="23" t="n"/>
      <c r="F163" s="23" t="n"/>
      <c r="G163" s="23" t="n"/>
      <c r="H163" s="20">
        <f>IF(A163="","",N(E163)+N(F163)+N(G163))</f>
        <v/>
      </c>
      <c r="I163" s="30" t="n"/>
      <c r="J163" s="30" t="n"/>
      <c r="K163" s="30" t="n"/>
    </row>
    <row r="164">
      <c r="A164" s="30" t="n"/>
      <c r="B164" s="30" t="n"/>
      <c r="C164" s="30" t="n"/>
      <c r="D164" s="30" t="n"/>
      <c r="E164" s="23" t="n"/>
      <c r="F164" s="23" t="n"/>
      <c r="G164" s="23" t="n"/>
      <c r="H164" s="20">
        <f>IF(A164="","",N(E164)+N(F164)+N(G164))</f>
        <v/>
      </c>
      <c r="I164" s="30" t="n"/>
      <c r="J164" s="30" t="n"/>
      <c r="K164" s="30" t="n"/>
    </row>
    <row r="165">
      <c r="A165" s="30" t="n"/>
      <c r="B165" s="30" t="n"/>
      <c r="C165" s="30" t="n"/>
      <c r="D165" s="30" t="n"/>
      <c r="E165" s="23" t="n"/>
      <c r="F165" s="23" t="n"/>
      <c r="G165" s="23" t="n"/>
      <c r="H165" s="20">
        <f>IF(A165="","",N(E165)+N(F165)+N(G165))</f>
        <v/>
      </c>
      <c r="I165" s="30" t="n"/>
      <c r="J165" s="30" t="n"/>
      <c r="K165" s="30" t="n"/>
    </row>
    <row r="166">
      <c r="A166" s="30" t="n"/>
      <c r="B166" s="30" t="n"/>
      <c r="C166" s="30" t="n"/>
      <c r="D166" s="30" t="n"/>
      <c r="E166" s="23" t="n"/>
      <c r="F166" s="23" t="n"/>
      <c r="G166" s="23" t="n"/>
      <c r="H166" s="20">
        <f>IF(A166="","",N(E166)+N(F166)+N(G166))</f>
        <v/>
      </c>
      <c r="I166" s="30" t="n"/>
      <c r="J166" s="30" t="n"/>
      <c r="K166" s="30" t="n"/>
    </row>
    <row r="167">
      <c r="A167" s="30" t="n"/>
      <c r="B167" s="30" t="n"/>
      <c r="C167" s="30" t="n"/>
      <c r="D167" s="30" t="n"/>
      <c r="E167" s="23" t="n"/>
      <c r="F167" s="23" t="n"/>
      <c r="G167" s="23" t="n"/>
      <c r="H167" s="20">
        <f>IF(A167="","",N(E167)+N(F167)+N(G167))</f>
        <v/>
      </c>
      <c r="I167" s="30" t="n"/>
      <c r="J167" s="30" t="n"/>
      <c r="K167" s="30" t="n"/>
    </row>
    <row r="168">
      <c r="A168" s="30" t="n"/>
      <c r="B168" s="30" t="n"/>
      <c r="C168" s="30" t="n"/>
      <c r="D168" s="30" t="n"/>
      <c r="E168" s="23" t="n"/>
      <c r="F168" s="23" t="n"/>
      <c r="G168" s="23" t="n"/>
      <c r="H168" s="20">
        <f>IF(A168="","",N(E168)+N(F168)+N(G168))</f>
        <v/>
      </c>
      <c r="I168" s="30" t="n"/>
      <c r="J168" s="30" t="n"/>
      <c r="K168" s="30" t="n"/>
    </row>
    <row r="169">
      <c r="A169" s="30" t="n"/>
      <c r="B169" s="30" t="n"/>
      <c r="C169" s="30" t="n"/>
      <c r="D169" s="30" t="n"/>
      <c r="E169" s="23" t="n"/>
      <c r="F169" s="23" t="n"/>
      <c r="G169" s="23" t="n"/>
      <c r="H169" s="20">
        <f>IF(A169="","",N(E169)+N(F169)+N(G169))</f>
        <v/>
      </c>
      <c r="I169" s="30" t="n"/>
      <c r="J169" s="30" t="n"/>
      <c r="K169" s="30" t="n"/>
    </row>
    <row r="170">
      <c r="A170" s="30" t="n"/>
      <c r="B170" s="30" t="n"/>
      <c r="C170" s="30" t="n"/>
      <c r="D170" s="30" t="n"/>
      <c r="E170" s="23" t="n"/>
      <c r="F170" s="23" t="n"/>
      <c r="G170" s="23" t="n"/>
      <c r="H170" s="20">
        <f>IF(A170="","",N(E170)+N(F170)+N(G170))</f>
        <v/>
      </c>
      <c r="I170" s="30" t="n"/>
      <c r="J170" s="30" t="n"/>
      <c r="K170" s="30" t="n"/>
    </row>
    <row r="171">
      <c r="A171" s="30" t="n"/>
      <c r="B171" s="30" t="n"/>
      <c r="C171" s="30" t="n"/>
      <c r="D171" s="30" t="n"/>
      <c r="E171" s="23" t="n"/>
      <c r="F171" s="23" t="n"/>
      <c r="G171" s="23" t="n"/>
      <c r="H171" s="20">
        <f>IF(A171="","",N(E171)+N(F171)+N(G171))</f>
        <v/>
      </c>
      <c r="I171" s="30" t="n"/>
      <c r="J171" s="30" t="n"/>
      <c r="K171" s="30" t="n"/>
    </row>
    <row r="172">
      <c r="A172" s="30" t="n"/>
      <c r="B172" s="30" t="n"/>
      <c r="C172" s="30" t="n"/>
      <c r="D172" s="30" t="n"/>
      <c r="E172" s="23" t="n"/>
      <c r="F172" s="23" t="n"/>
      <c r="G172" s="23" t="n"/>
      <c r="H172" s="20">
        <f>IF(A172="","",N(E172)+N(F172)+N(G172))</f>
        <v/>
      </c>
      <c r="I172" s="30" t="n"/>
      <c r="J172" s="30" t="n"/>
      <c r="K172" s="30" t="n"/>
    </row>
    <row r="173">
      <c r="A173" s="30" t="n"/>
      <c r="B173" s="30" t="n"/>
      <c r="C173" s="30" t="n"/>
      <c r="D173" s="30" t="n"/>
      <c r="E173" s="23" t="n"/>
      <c r="F173" s="23" t="n"/>
      <c r="G173" s="23" t="n"/>
      <c r="H173" s="20">
        <f>IF(A173="","",N(E173)+N(F173)+N(G173))</f>
        <v/>
      </c>
      <c r="I173" s="30" t="n"/>
      <c r="J173" s="30" t="n"/>
      <c r="K173" s="30" t="n"/>
    </row>
    <row r="174">
      <c r="A174" s="30" t="n"/>
      <c r="B174" s="30" t="n"/>
      <c r="C174" s="30" t="n"/>
      <c r="D174" s="30" t="n"/>
      <c r="E174" s="23" t="n"/>
      <c r="F174" s="23" t="n"/>
      <c r="G174" s="23" t="n"/>
      <c r="H174" s="20">
        <f>IF(A174="","",N(E174)+N(F174)+N(G174))</f>
        <v/>
      </c>
      <c r="I174" s="30" t="n"/>
      <c r="J174" s="30" t="n"/>
      <c r="K174" s="30" t="n"/>
    </row>
    <row r="175">
      <c r="A175" s="30" t="n"/>
      <c r="B175" s="30" t="n"/>
      <c r="C175" s="30" t="n"/>
      <c r="D175" s="30" t="n"/>
      <c r="E175" s="23" t="n"/>
      <c r="F175" s="23" t="n"/>
      <c r="G175" s="23" t="n"/>
      <c r="H175" s="20">
        <f>IF(A175="","",N(E175)+N(F175)+N(G175))</f>
        <v/>
      </c>
      <c r="I175" s="30" t="n"/>
      <c r="J175" s="30" t="n"/>
      <c r="K175" s="30" t="n"/>
    </row>
    <row r="176">
      <c r="A176" s="30" t="n"/>
      <c r="B176" s="30" t="n"/>
      <c r="C176" s="30" t="n"/>
      <c r="D176" s="30" t="n"/>
      <c r="E176" s="23" t="n"/>
      <c r="F176" s="23" t="n"/>
      <c r="G176" s="23" t="n"/>
      <c r="H176" s="20">
        <f>IF(A176="","",N(E176)+N(F176)+N(G176))</f>
        <v/>
      </c>
      <c r="I176" s="30" t="n"/>
      <c r="J176" s="30" t="n"/>
      <c r="K176" s="30" t="n"/>
    </row>
    <row r="177">
      <c r="A177" s="30" t="n"/>
      <c r="B177" s="30" t="n"/>
      <c r="C177" s="30" t="n"/>
      <c r="D177" s="30" t="n"/>
      <c r="E177" s="23" t="n"/>
      <c r="F177" s="23" t="n"/>
      <c r="G177" s="23" t="n"/>
      <c r="H177" s="20">
        <f>IF(A177="","",N(E177)+N(F177)+N(G177))</f>
        <v/>
      </c>
      <c r="I177" s="30" t="n"/>
      <c r="J177" s="30" t="n"/>
      <c r="K177" s="30" t="n"/>
    </row>
    <row r="178">
      <c r="A178" s="30" t="n"/>
      <c r="B178" s="30" t="n"/>
      <c r="C178" s="30" t="n"/>
      <c r="D178" s="30" t="n"/>
      <c r="E178" s="23" t="n"/>
      <c r="F178" s="23" t="n"/>
      <c r="G178" s="23" t="n"/>
      <c r="H178" s="20">
        <f>IF(A178="","",N(E178)+N(F178)+N(G178))</f>
        <v/>
      </c>
      <c r="I178" s="30" t="n"/>
      <c r="J178" s="30" t="n"/>
      <c r="K178" s="30" t="n"/>
    </row>
    <row r="179">
      <c r="A179" s="30" t="n"/>
      <c r="B179" s="30" t="n"/>
      <c r="C179" s="30" t="n"/>
      <c r="D179" s="30" t="n"/>
      <c r="E179" s="23" t="n"/>
      <c r="F179" s="23" t="n"/>
      <c r="G179" s="23" t="n"/>
      <c r="H179" s="20">
        <f>IF(A179="","",N(E179)+N(F179)+N(G179))</f>
        <v/>
      </c>
      <c r="I179" s="30" t="n"/>
      <c r="J179" s="30" t="n"/>
      <c r="K179" s="30" t="n"/>
    </row>
    <row r="180">
      <c r="A180" s="30" t="n"/>
      <c r="B180" s="30" t="n"/>
      <c r="C180" s="30" t="n"/>
      <c r="D180" s="30" t="n"/>
      <c r="E180" s="23" t="n"/>
      <c r="F180" s="23" t="n"/>
      <c r="G180" s="23" t="n"/>
      <c r="H180" s="20">
        <f>IF(A180="","",N(E180)+N(F180)+N(G180))</f>
        <v/>
      </c>
      <c r="I180" s="30" t="n"/>
      <c r="J180" s="30" t="n"/>
      <c r="K180" s="30" t="n"/>
    </row>
    <row r="181">
      <c r="A181" s="30" t="n"/>
      <c r="B181" s="30" t="n"/>
      <c r="C181" s="30" t="n"/>
      <c r="D181" s="30" t="n"/>
      <c r="E181" s="23" t="n"/>
      <c r="F181" s="23" t="n"/>
      <c r="G181" s="23" t="n"/>
      <c r="H181" s="20">
        <f>IF(A181="","",N(E181)+N(F181)+N(G181))</f>
        <v/>
      </c>
      <c r="I181" s="30" t="n"/>
      <c r="J181" s="30" t="n"/>
      <c r="K181" s="30" t="n"/>
    </row>
    <row r="182">
      <c r="A182" s="30" t="n"/>
      <c r="B182" s="30" t="n"/>
      <c r="C182" s="30" t="n"/>
      <c r="D182" s="30" t="n"/>
      <c r="E182" s="23" t="n"/>
      <c r="F182" s="23" t="n"/>
      <c r="G182" s="23" t="n"/>
      <c r="H182" s="20">
        <f>IF(A182="","",N(E182)+N(F182)+N(G182))</f>
        <v/>
      </c>
      <c r="I182" s="30" t="n"/>
      <c r="J182" s="30" t="n"/>
      <c r="K182" s="30" t="n"/>
    </row>
    <row r="183">
      <c r="A183" s="30" t="n"/>
      <c r="B183" s="30" t="n"/>
      <c r="C183" s="30" t="n"/>
      <c r="D183" s="30" t="n"/>
      <c r="E183" s="23" t="n"/>
      <c r="F183" s="23" t="n"/>
      <c r="G183" s="23" t="n"/>
      <c r="H183" s="20">
        <f>IF(A183="","",N(E183)+N(F183)+N(G183))</f>
        <v/>
      </c>
      <c r="I183" s="30" t="n"/>
      <c r="J183" s="30" t="n"/>
      <c r="K183" s="30" t="n"/>
    </row>
    <row r="184">
      <c r="A184" s="30" t="n"/>
      <c r="B184" s="30" t="n"/>
      <c r="C184" s="30" t="n"/>
      <c r="D184" s="30" t="n"/>
      <c r="E184" s="23" t="n"/>
      <c r="F184" s="23" t="n"/>
      <c r="G184" s="23" t="n"/>
      <c r="H184" s="20">
        <f>IF(A184="","",N(E184)+N(F184)+N(G184))</f>
        <v/>
      </c>
      <c r="I184" s="30" t="n"/>
      <c r="J184" s="30" t="n"/>
      <c r="K184" s="30" t="n"/>
    </row>
    <row r="185">
      <c r="A185" s="30" t="n"/>
      <c r="B185" s="30" t="n"/>
      <c r="C185" s="30" t="n"/>
      <c r="D185" s="30" t="n"/>
      <c r="E185" s="23" t="n"/>
      <c r="F185" s="23" t="n"/>
      <c r="G185" s="23" t="n"/>
      <c r="H185" s="20">
        <f>IF(A185="","",N(E185)+N(F185)+N(G185))</f>
        <v/>
      </c>
      <c r="I185" s="30" t="n"/>
      <c r="J185" s="30" t="n"/>
      <c r="K185" s="30" t="n"/>
    </row>
    <row r="186">
      <c r="A186" s="30" t="n"/>
      <c r="B186" s="30" t="n"/>
      <c r="C186" s="30" t="n"/>
      <c r="D186" s="30" t="n"/>
      <c r="E186" s="23" t="n"/>
      <c r="F186" s="23" t="n"/>
      <c r="G186" s="23" t="n"/>
      <c r="H186" s="20">
        <f>IF(A186="","",N(E186)+N(F186)+N(G186))</f>
        <v/>
      </c>
      <c r="I186" s="30" t="n"/>
      <c r="J186" s="30" t="n"/>
      <c r="K186" s="30" t="n"/>
    </row>
    <row r="187">
      <c r="A187" s="30" t="n"/>
      <c r="B187" s="30" t="n"/>
      <c r="C187" s="30" t="n"/>
      <c r="D187" s="30" t="n"/>
      <c r="E187" s="23" t="n"/>
      <c r="F187" s="23" t="n"/>
      <c r="G187" s="23" t="n"/>
      <c r="H187" s="20">
        <f>IF(A187="","",N(E187)+N(F187)+N(G187))</f>
        <v/>
      </c>
      <c r="I187" s="30" t="n"/>
      <c r="J187" s="30" t="n"/>
      <c r="K187" s="30" t="n"/>
    </row>
    <row r="188">
      <c r="A188" s="30" t="n"/>
      <c r="B188" s="30" t="n"/>
      <c r="C188" s="30" t="n"/>
      <c r="D188" s="30" t="n"/>
      <c r="E188" s="23" t="n"/>
      <c r="F188" s="23" t="n"/>
      <c r="G188" s="23" t="n"/>
      <c r="H188" s="20">
        <f>IF(A188="","",N(E188)+N(F188)+N(G188))</f>
        <v/>
      </c>
      <c r="I188" s="30" t="n"/>
      <c r="J188" s="30" t="n"/>
      <c r="K188" s="30" t="n"/>
    </row>
    <row r="189">
      <c r="A189" s="30" t="n"/>
      <c r="B189" s="30" t="n"/>
      <c r="C189" s="30" t="n"/>
      <c r="D189" s="30" t="n"/>
      <c r="E189" s="23" t="n"/>
      <c r="F189" s="23" t="n"/>
      <c r="G189" s="23" t="n"/>
      <c r="H189" s="20">
        <f>IF(A189="","",N(E189)+N(F189)+N(G189))</f>
        <v/>
      </c>
      <c r="I189" s="30" t="n"/>
      <c r="J189" s="30" t="n"/>
      <c r="K189" s="30" t="n"/>
    </row>
    <row r="190">
      <c r="A190" s="30" t="n"/>
      <c r="B190" s="30" t="n"/>
      <c r="C190" s="30" t="n"/>
      <c r="D190" s="30" t="n"/>
      <c r="E190" s="23" t="n"/>
      <c r="F190" s="23" t="n"/>
      <c r="G190" s="23" t="n"/>
      <c r="H190" s="20">
        <f>IF(A190="","",N(E190)+N(F190)+N(G190))</f>
        <v/>
      </c>
      <c r="I190" s="30" t="n"/>
      <c r="J190" s="30" t="n"/>
      <c r="K190" s="30" t="n"/>
    </row>
    <row r="191">
      <c r="A191" s="30" t="n"/>
      <c r="B191" s="30" t="n"/>
      <c r="C191" s="30" t="n"/>
      <c r="D191" s="30" t="n"/>
      <c r="E191" s="23" t="n"/>
      <c r="F191" s="23" t="n"/>
      <c r="G191" s="23" t="n"/>
      <c r="H191" s="20">
        <f>IF(A191="","",N(E191)+N(F191)+N(G191))</f>
        <v/>
      </c>
      <c r="I191" s="30" t="n"/>
      <c r="J191" s="30" t="n"/>
      <c r="K191" s="30" t="n"/>
    </row>
    <row r="192">
      <c r="A192" s="30" t="n"/>
      <c r="B192" s="30" t="n"/>
      <c r="C192" s="30" t="n"/>
      <c r="D192" s="30" t="n"/>
      <c r="E192" s="23" t="n"/>
      <c r="F192" s="23" t="n"/>
      <c r="G192" s="23" t="n"/>
      <c r="H192" s="20">
        <f>IF(A192="","",N(E192)+N(F192)+N(G192))</f>
        <v/>
      </c>
      <c r="I192" s="30" t="n"/>
      <c r="J192" s="30" t="n"/>
      <c r="K192" s="30" t="n"/>
    </row>
    <row r="193">
      <c r="A193" s="30" t="n"/>
      <c r="B193" s="30" t="n"/>
      <c r="C193" s="30" t="n"/>
      <c r="D193" s="30" t="n"/>
      <c r="E193" s="23" t="n"/>
      <c r="F193" s="23" t="n"/>
      <c r="G193" s="23" t="n"/>
      <c r="H193" s="20">
        <f>IF(A193="","",N(E193)+N(F193)+N(G193))</f>
        <v/>
      </c>
      <c r="I193" s="30" t="n"/>
      <c r="J193" s="30" t="n"/>
      <c r="K193" s="30" t="n"/>
    </row>
    <row r="194">
      <c r="A194" s="30" t="n"/>
      <c r="B194" s="30" t="n"/>
      <c r="C194" s="30" t="n"/>
      <c r="D194" s="30" t="n"/>
      <c r="E194" s="23" t="n"/>
      <c r="F194" s="23" t="n"/>
      <c r="G194" s="23" t="n"/>
      <c r="H194" s="20">
        <f>IF(A194="","",N(E194)+N(F194)+N(G194))</f>
        <v/>
      </c>
      <c r="I194" s="30" t="n"/>
      <c r="J194" s="30" t="n"/>
      <c r="K194" s="30" t="n"/>
    </row>
    <row r="195">
      <c r="A195" s="30" t="n"/>
      <c r="B195" s="30" t="n"/>
      <c r="C195" s="30" t="n"/>
      <c r="D195" s="30" t="n"/>
      <c r="E195" s="23" t="n"/>
      <c r="F195" s="23" t="n"/>
      <c r="G195" s="23" t="n"/>
      <c r="H195" s="20">
        <f>IF(A195="","",N(E195)+N(F195)+N(G195))</f>
        <v/>
      </c>
      <c r="I195" s="30" t="n"/>
      <c r="J195" s="30" t="n"/>
      <c r="K195" s="30" t="n"/>
    </row>
    <row r="196">
      <c r="A196" s="30" t="n"/>
      <c r="B196" s="30" t="n"/>
      <c r="C196" s="30" t="n"/>
      <c r="D196" s="30" t="n"/>
      <c r="E196" s="23" t="n"/>
      <c r="F196" s="23" t="n"/>
      <c r="G196" s="23" t="n"/>
      <c r="H196" s="20">
        <f>IF(A196="","",N(E196)+N(F196)+N(G196))</f>
        <v/>
      </c>
      <c r="I196" s="30" t="n"/>
      <c r="J196" s="30" t="n"/>
      <c r="K196" s="30" t="n"/>
    </row>
    <row r="197">
      <c r="A197" s="30" t="n"/>
      <c r="B197" s="30" t="n"/>
      <c r="C197" s="30" t="n"/>
      <c r="D197" s="30" t="n"/>
      <c r="E197" s="23" t="n"/>
      <c r="F197" s="23" t="n"/>
      <c r="G197" s="23" t="n"/>
      <c r="H197" s="20">
        <f>IF(A197="","",N(E197)+N(F197)+N(G197))</f>
        <v/>
      </c>
      <c r="I197" s="30" t="n"/>
      <c r="J197" s="30" t="n"/>
      <c r="K197" s="30" t="n"/>
    </row>
    <row r="198">
      <c r="A198" s="30" t="n"/>
      <c r="B198" s="30" t="n"/>
      <c r="C198" s="30" t="n"/>
      <c r="D198" s="30" t="n"/>
      <c r="E198" s="23" t="n"/>
      <c r="F198" s="23" t="n"/>
      <c r="G198" s="23" t="n"/>
      <c r="H198" s="20">
        <f>IF(A198="","",N(E198)+N(F198)+N(G198))</f>
        <v/>
      </c>
      <c r="I198" s="30" t="n"/>
      <c r="J198" s="30" t="n"/>
      <c r="K198" s="30" t="n"/>
    </row>
    <row r="199">
      <c r="A199" s="30" t="n"/>
      <c r="B199" s="30" t="n"/>
      <c r="C199" s="30" t="n"/>
      <c r="D199" s="30" t="n"/>
      <c r="E199" s="23" t="n"/>
      <c r="F199" s="23" t="n"/>
      <c r="G199" s="23" t="n"/>
      <c r="H199" s="20">
        <f>IF(A199="","",N(E199)+N(F199)+N(G199))</f>
        <v/>
      </c>
      <c r="I199" s="30" t="n"/>
      <c r="J199" s="30" t="n"/>
      <c r="K199" s="30" t="n"/>
    </row>
    <row r="200">
      <c r="A200" s="30" t="n"/>
      <c r="B200" s="30" t="n"/>
      <c r="C200" s="30" t="n"/>
      <c r="D200" s="30" t="n"/>
      <c r="E200" s="23" t="n"/>
      <c r="F200" s="23" t="n"/>
      <c r="G200" s="23" t="n"/>
      <c r="H200" s="20">
        <f>IF(A200="","",N(E200)+N(F200)+N(G200))</f>
        <v/>
      </c>
      <c r="I200" s="30" t="n"/>
      <c r="J200" s="30" t="n"/>
      <c r="K200" s="30" t="n"/>
    </row>
    <row r="201">
      <c r="A201" s="30" t="n"/>
      <c r="B201" s="30" t="n"/>
      <c r="C201" s="30" t="n"/>
      <c r="D201" s="30" t="n"/>
      <c r="E201" s="23" t="n"/>
      <c r="F201" s="23" t="n"/>
      <c r="G201" s="23" t="n"/>
      <c r="H201" s="20">
        <f>IF(A201="","",N(E201)+N(F201)+N(G201))</f>
        <v/>
      </c>
      <c r="I201" s="30" t="n"/>
      <c r="J201" s="30" t="n"/>
      <c r="K201" s="30" t="n"/>
    </row>
    <row r="202">
      <c r="A202" s="30" t="n"/>
      <c r="B202" s="30" t="n"/>
      <c r="C202" s="30" t="n"/>
      <c r="D202" s="30" t="n"/>
      <c r="E202" s="23" t="n"/>
      <c r="F202" s="23" t="n"/>
      <c r="G202" s="23" t="n"/>
      <c r="H202" s="20">
        <f>IF(A202="","",N(E202)+N(F202)+N(G202))</f>
        <v/>
      </c>
      <c r="I202" s="30" t="n"/>
      <c r="J202" s="30" t="n"/>
      <c r="K202" s="30" t="n"/>
    </row>
    <row r="203">
      <c r="A203" s="30" t="n"/>
      <c r="B203" s="30" t="n"/>
      <c r="C203" s="30" t="n"/>
      <c r="D203" s="30" t="n"/>
      <c r="E203" s="23" t="n"/>
      <c r="F203" s="23" t="n"/>
      <c r="G203" s="23" t="n"/>
      <c r="H203" s="20">
        <f>IF(A203="","",N(E203)+N(F203)+N(G203))</f>
        <v/>
      </c>
      <c r="I203" s="30" t="n"/>
      <c r="J203" s="30" t="n"/>
      <c r="K203" s="30" t="n"/>
    </row>
    <row r="204">
      <c r="A204" s="30" t="n"/>
      <c r="B204" s="30" t="n"/>
      <c r="C204" s="30" t="n"/>
      <c r="D204" s="30" t="n"/>
      <c r="E204" s="23" t="n"/>
      <c r="F204" s="23" t="n"/>
      <c r="G204" s="23" t="n"/>
      <c r="H204" s="20">
        <f>IF(A204="","",N(E204)+N(F204)+N(G204))</f>
        <v/>
      </c>
      <c r="I204" s="30" t="n"/>
      <c r="J204" s="30" t="n"/>
      <c r="K204" s="30" t="n"/>
    </row>
    <row r="205">
      <c r="A205" s="30" t="n"/>
      <c r="B205" s="30" t="n"/>
      <c r="C205" s="30" t="n"/>
      <c r="D205" s="30" t="n"/>
      <c r="E205" s="23" t="n"/>
      <c r="F205" s="23" t="n"/>
      <c r="G205" s="23" t="n"/>
      <c r="H205" s="20">
        <f>IF(A205="","",N(E205)+N(F205)+N(G205))</f>
        <v/>
      </c>
      <c r="I205" s="30" t="n"/>
      <c r="J205" s="30" t="n"/>
      <c r="K205" s="30" t="n"/>
    </row>
    <row r="206">
      <c r="A206" s="30" t="n"/>
      <c r="B206" s="30" t="n"/>
      <c r="C206" s="30" t="n"/>
      <c r="D206" s="30" t="n"/>
      <c r="E206" s="23" t="n"/>
      <c r="F206" s="23" t="n"/>
      <c r="G206" s="23" t="n"/>
      <c r="H206" s="20">
        <f>IF(A206="","",N(E206)+N(F206)+N(G206))</f>
        <v/>
      </c>
      <c r="I206" s="30" t="n"/>
      <c r="J206" s="30" t="n"/>
      <c r="K206" s="30" t="n"/>
    </row>
    <row r="207">
      <c r="A207" s="30" t="n"/>
      <c r="B207" s="30" t="n"/>
      <c r="C207" s="30" t="n"/>
      <c r="D207" s="30" t="n"/>
      <c r="E207" s="23" t="n"/>
      <c r="F207" s="23" t="n"/>
      <c r="G207" s="23" t="n"/>
      <c r="H207" s="20">
        <f>IF(A207="","",N(E207)+N(F207)+N(G207))</f>
        <v/>
      </c>
      <c r="I207" s="30" t="n"/>
      <c r="J207" s="30" t="n"/>
      <c r="K207" s="30" t="n"/>
    </row>
    <row r="208">
      <c r="A208" s="30" t="n"/>
      <c r="B208" s="30" t="n"/>
      <c r="C208" s="30" t="n"/>
      <c r="D208" s="30" t="n"/>
      <c r="E208" s="23" t="n"/>
      <c r="F208" s="23" t="n"/>
      <c r="G208" s="23" t="n"/>
      <c r="H208" s="20">
        <f>IF(A208="","",N(E208)+N(F208)+N(G208))</f>
        <v/>
      </c>
      <c r="I208" s="30" t="n"/>
      <c r="J208" s="30" t="n"/>
      <c r="K208" s="30" t="n"/>
    </row>
    <row r="209">
      <c r="A209" s="30" t="n"/>
      <c r="B209" s="30" t="n"/>
      <c r="C209" s="30" t="n"/>
      <c r="D209" s="30" t="n"/>
      <c r="E209" s="23" t="n"/>
      <c r="F209" s="23" t="n"/>
      <c r="G209" s="23" t="n"/>
      <c r="H209" s="20">
        <f>IF(A209="","",N(E209)+N(F209)+N(G209))</f>
        <v/>
      </c>
      <c r="I209" s="30" t="n"/>
      <c r="J209" s="30" t="n"/>
      <c r="K209" s="30" t="n"/>
    </row>
    <row r="210">
      <c r="A210" s="30" t="n"/>
      <c r="B210" s="30" t="n"/>
      <c r="C210" s="30" t="n"/>
      <c r="D210" s="30" t="n"/>
      <c r="E210" s="23" t="n"/>
      <c r="F210" s="23" t="n"/>
      <c r="G210" s="23" t="n"/>
      <c r="H210" s="20">
        <f>IF(A210="","",N(E210)+N(F210)+N(G210))</f>
        <v/>
      </c>
      <c r="I210" s="30" t="n"/>
      <c r="J210" s="30" t="n"/>
      <c r="K210" s="30" t="n"/>
    </row>
    <row r="211">
      <c r="A211" s="30" t="n"/>
      <c r="B211" s="30" t="n"/>
      <c r="C211" s="30" t="n"/>
      <c r="D211" s="30" t="n"/>
      <c r="E211" s="23" t="n"/>
      <c r="F211" s="23" t="n"/>
      <c r="G211" s="23" t="n"/>
      <c r="H211" s="20">
        <f>IF(A211="","",N(E211)+N(F211)+N(G211))</f>
        <v/>
      </c>
      <c r="I211" s="30" t="n"/>
      <c r="J211" s="30" t="n"/>
      <c r="K211" s="30" t="n"/>
    </row>
    <row r="212">
      <c r="A212" s="30" t="n"/>
      <c r="B212" s="30" t="n"/>
      <c r="C212" s="30" t="n"/>
      <c r="D212" s="30" t="n"/>
      <c r="E212" s="23" t="n"/>
      <c r="F212" s="23" t="n"/>
      <c r="G212" s="23" t="n"/>
      <c r="H212" s="20">
        <f>IF(A212="","",N(E212)+N(F212)+N(G212))</f>
        <v/>
      </c>
      <c r="I212" s="30" t="n"/>
      <c r="J212" s="30" t="n"/>
      <c r="K212" s="30" t="n"/>
    </row>
    <row r="213">
      <c r="A213" s="30" t="n"/>
      <c r="B213" s="30" t="n"/>
      <c r="C213" s="30" t="n"/>
      <c r="D213" s="30" t="n"/>
      <c r="E213" s="23" t="n"/>
      <c r="F213" s="23" t="n"/>
      <c r="G213" s="23" t="n"/>
      <c r="H213" s="20">
        <f>IF(A213="","",N(E213)+N(F213)+N(G213))</f>
        <v/>
      </c>
      <c r="I213" s="30" t="n"/>
      <c r="J213" s="30" t="n"/>
      <c r="K213" s="30" t="n"/>
    </row>
    <row r="214">
      <c r="A214" s="30" t="n"/>
      <c r="B214" s="30" t="n"/>
      <c r="C214" s="30" t="n"/>
      <c r="D214" s="30" t="n"/>
      <c r="E214" s="23" t="n"/>
      <c r="F214" s="23" t="n"/>
      <c r="G214" s="23" t="n"/>
      <c r="H214" s="20">
        <f>IF(A214="","",N(E214)+N(F214)+N(G214))</f>
        <v/>
      </c>
      <c r="I214" s="30" t="n"/>
      <c r="J214" s="30" t="n"/>
      <c r="K214" s="30" t="n"/>
    </row>
    <row r="215">
      <c r="A215" s="30" t="n"/>
      <c r="B215" s="30" t="n"/>
      <c r="C215" s="30" t="n"/>
      <c r="D215" s="30" t="n"/>
      <c r="E215" s="23" t="n"/>
      <c r="F215" s="23" t="n"/>
      <c r="G215" s="23" t="n"/>
      <c r="H215" s="20">
        <f>IF(A215="","",N(E215)+N(F215)+N(G215))</f>
        <v/>
      </c>
      <c r="I215" s="30" t="n"/>
      <c r="J215" s="30" t="n"/>
      <c r="K215" s="30" t="n"/>
    </row>
    <row r="216">
      <c r="A216" s="30" t="n"/>
      <c r="B216" s="30" t="n"/>
      <c r="C216" s="30" t="n"/>
      <c r="D216" s="30" t="n"/>
      <c r="E216" s="23" t="n"/>
      <c r="F216" s="23" t="n"/>
      <c r="G216" s="23" t="n"/>
      <c r="H216" s="20">
        <f>IF(A216="","",N(E216)+N(F216)+N(G216))</f>
        <v/>
      </c>
      <c r="I216" s="30" t="n"/>
      <c r="J216" s="30" t="n"/>
      <c r="K216" s="30" t="n"/>
    </row>
    <row r="217">
      <c r="A217" s="30" t="n"/>
      <c r="B217" s="30" t="n"/>
      <c r="C217" s="30" t="n"/>
      <c r="D217" s="30" t="n"/>
      <c r="E217" s="23" t="n"/>
      <c r="F217" s="23" t="n"/>
      <c r="G217" s="23" t="n"/>
      <c r="H217" s="20">
        <f>IF(A217="","",N(E217)+N(F217)+N(G217))</f>
        <v/>
      </c>
      <c r="I217" s="30" t="n"/>
      <c r="J217" s="30" t="n"/>
      <c r="K217" s="30" t="n"/>
    </row>
    <row r="218">
      <c r="A218" s="30" t="n"/>
      <c r="B218" s="30" t="n"/>
      <c r="C218" s="30" t="n"/>
      <c r="D218" s="30" t="n"/>
      <c r="E218" s="23" t="n"/>
      <c r="F218" s="23" t="n"/>
      <c r="G218" s="23" t="n"/>
      <c r="H218" s="20">
        <f>IF(A218="","",N(E218)+N(F218)+N(G218))</f>
        <v/>
      </c>
      <c r="I218" s="30" t="n"/>
      <c r="J218" s="30" t="n"/>
      <c r="K218" s="30" t="n"/>
    </row>
    <row r="219">
      <c r="A219" s="30" t="n"/>
      <c r="B219" s="30" t="n"/>
      <c r="C219" s="30" t="n"/>
      <c r="D219" s="30" t="n"/>
      <c r="E219" s="23" t="n"/>
      <c r="F219" s="23" t="n"/>
      <c r="G219" s="23" t="n"/>
      <c r="H219" s="20">
        <f>IF(A219="","",N(E219)+N(F219)+N(G219))</f>
        <v/>
      </c>
      <c r="I219" s="30" t="n"/>
      <c r="J219" s="30" t="n"/>
      <c r="K219" s="30" t="n"/>
    </row>
    <row r="220">
      <c r="A220" s="30" t="n"/>
      <c r="B220" s="30" t="n"/>
      <c r="C220" s="30" t="n"/>
      <c r="D220" s="30" t="n"/>
      <c r="E220" s="23" t="n"/>
      <c r="F220" s="23" t="n"/>
      <c r="G220" s="23" t="n"/>
      <c r="H220" s="20">
        <f>IF(A220="","",N(E220)+N(F220)+N(G220))</f>
        <v/>
      </c>
      <c r="I220" s="30" t="n"/>
      <c r="J220" s="30" t="n"/>
      <c r="K220" s="30" t="n"/>
    </row>
    <row r="221">
      <c r="A221" s="30" t="n"/>
      <c r="B221" s="30" t="n"/>
      <c r="C221" s="30" t="n"/>
      <c r="D221" s="30" t="n"/>
      <c r="E221" s="23" t="n"/>
      <c r="F221" s="23" t="n"/>
      <c r="G221" s="23" t="n"/>
      <c r="H221" s="20">
        <f>IF(A221="","",N(E221)+N(F221)+N(G221))</f>
        <v/>
      </c>
      <c r="I221" s="30" t="n"/>
      <c r="J221" s="30" t="n"/>
      <c r="K221" s="30" t="n"/>
    </row>
    <row r="222">
      <c r="A222" s="30" t="n"/>
      <c r="B222" s="30" t="n"/>
      <c r="C222" s="30" t="n"/>
      <c r="D222" s="30" t="n"/>
      <c r="E222" s="23" t="n"/>
      <c r="F222" s="23" t="n"/>
      <c r="G222" s="23" t="n"/>
      <c r="H222" s="20">
        <f>IF(A222="","",N(E222)+N(F222)+N(G222))</f>
        <v/>
      </c>
      <c r="I222" s="30" t="n"/>
      <c r="J222" s="30" t="n"/>
      <c r="K222" s="30" t="n"/>
    </row>
    <row r="223">
      <c r="A223" s="30" t="n"/>
      <c r="B223" s="30" t="n"/>
      <c r="C223" s="30" t="n"/>
      <c r="D223" s="30" t="n"/>
      <c r="E223" s="23" t="n"/>
      <c r="F223" s="23" t="n"/>
      <c r="G223" s="23" t="n"/>
      <c r="H223" s="20">
        <f>IF(A223="","",N(E223)+N(F223)+N(G223))</f>
        <v/>
      </c>
      <c r="I223" s="30" t="n"/>
      <c r="J223" s="30" t="n"/>
      <c r="K223" s="30" t="n"/>
    </row>
    <row r="224">
      <c r="A224" s="30" t="n"/>
      <c r="B224" s="30" t="n"/>
      <c r="C224" s="30" t="n"/>
      <c r="D224" s="30" t="n"/>
      <c r="E224" s="23" t="n"/>
      <c r="F224" s="23" t="n"/>
      <c r="G224" s="23" t="n"/>
      <c r="H224" s="20">
        <f>IF(A224="","",N(E224)+N(F224)+N(G224))</f>
        <v/>
      </c>
      <c r="I224" s="30" t="n"/>
      <c r="J224" s="30" t="n"/>
      <c r="K224" s="30" t="n"/>
    </row>
    <row r="225">
      <c r="A225" s="30" t="n"/>
      <c r="B225" s="30" t="n"/>
      <c r="C225" s="30" t="n"/>
      <c r="D225" s="30" t="n"/>
      <c r="E225" s="23" t="n"/>
      <c r="F225" s="23" t="n"/>
      <c r="G225" s="23" t="n"/>
      <c r="H225" s="20">
        <f>IF(A225="","",N(E225)+N(F225)+N(G225))</f>
        <v/>
      </c>
      <c r="I225" s="30" t="n"/>
      <c r="J225" s="30" t="n"/>
      <c r="K225" s="30" t="n"/>
    </row>
    <row r="226">
      <c r="A226" s="30" t="n"/>
      <c r="B226" s="30" t="n"/>
      <c r="C226" s="30" t="n"/>
      <c r="D226" s="30" t="n"/>
      <c r="E226" s="23" t="n"/>
      <c r="F226" s="23" t="n"/>
      <c r="G226" s="23" t="n"/>
      <c r="H226" s="20">
        <f>IF(A226="","",N(E226)+N(F226)+N(G226))</f>
        <v/>
      </c>
      <c r="I226" s="30" t="n"/>
      <c r="J226" s="30" t="n"/>
      <c r="K226" s="30" t="n"/>
    </row>
    <row r="227">
      <c r="A227" s="30" t="n"/>
      <c r="B227" s="30" t="n"/>
      <c r="C227" s="30" t="n"/>
      <c r="D227" s="30" t="n"/>
      <c r="E227" s="23" t="n"/>
      <c r="F227" s="23" t="n"/>
      <c r="G227" s="23" t="n"/>
      <c r="H227" s="20">
        <f>IF(A227="","",N(E227)+N(F227)+N(G227))</f>
        <v/>
      </c>
      <c r="I227" s="30" t="n"/>
      <c r="J227" s="30" t="n"/>
      <c r="K227" s="30" t="n"/>
    </row>
    <row r="228">
      <c r="A228" s="30" t="n"/>
      <c r="B228" s="30" t="n"/>
      <c r="C228" s="30" t="n"/>
      <c r="D228" s="30" t="n"/>
      <c r="E228" s="23" t="n"/>
      <c r="F228" s="23" t="n"/>
      <c r="G228" s="23" t="n"/>
      <c r="H228" s="20">
        <f>IF(A228="","",N(E228)+N(F228)+N(G228))</f>
        <v/>
      </c>
      <c r="I228" s="30" t="n"/>
      <c r="J228" s="30" t="n"/>
      <c r="K228" s="30" t="n"/>
    </row>
    <row r="229">
      <c r="A229" s="30" t="n"/>
      <c r="B229" s="30" t="n"/>
      <c r="C229" s="30" t="n"/>
      <c r="D229" s="30" t="n"/>
      <c r="E229" s="23" t="n"/>
      <c r="F229" s="23" t="n"/>
      <c r="G229" s="23" t="n"/>
      <c r="H229" s="20">
        <f>IF(A229="","",N(E229)+N(F229)+N(G229))</f>
        <v/>
      </c>
      <c r="I229" s="30" t="n"/>
      <c r="J229" s="30" t="n"/>
      <c r="K229" s="30" t="n"/>
    </row>
    <row r="230">
      <c r="A230" s="30" t="n"/>
      <c r="B230" s="30" t="n"/>
      <c r="C230" s="30" t="n"/>
      <c r="D230" s="30" t="n"/>
      <c r="E230" s="23" t="n"/>
      <c r="F230" s="23" t="n"/>
      <c r="G230" s="23" t="n"/>
      <c r="H230" s="20">
        <f>IF(A230="","",N(E230)+N(F230)+N(G230))</f>
        <v/>
      </c>
      <c r="I230" s="30" t="n"/>
      <c r="J230" s="30" t="n"/>
      <c r="K230" s="30" t="n"/>
    </row>
    <row r="231">
      <c r="A231" s="30" t="n"/>
      <c r="B231" s="30" t="n"/>
      <c r="C231" s="30" t="n"/>
      <c r="D231" s="30" t="n"/>
      <c r="E231" s="23" t="n"/>
      <c r="F231" s="23" t="n"/>
      <c r="G231" s="23" t="n"/>
      <c r="H231" s="20">
        <f>IF(A231="","",N(E231)+N(F231)+N(G231))</f>
        <v/>
      </c>
      <c r="I231" s="30" t="n"/>
      <c r="J231" s="30" t="n"/>
      <c r="K231" s="30" t="n"/>
    </row>
    <row r="232">
      <c r="A232" s="30" t="n"/>
      <c r="B232" s="30" t="n"/>
      <c r="C232" s="30" t="n"/>
      <c r="D232" s="30" t="n"/>
      <c r="E232" s="23" t="n"/>
      <c r="F232" s="23" t="n"/>
      <c r="G232" s="23" t="n"/>
      <c r="H232" s="20">
        <f>IF(A232="","",N(E232)+N(F232)+N(G232))</f>
        <v/>
      </c>
      <c r="I232" s="30" t="n"/>
      <c r="J232" s="30" t="n"/>
      <c r="K232" s="30" t="n"/>
    </row>
    <row r="233">
      <c r="A233" s="30" t="n"/>
      <c r="B233" s="30" t="n"/>
      <c r="C233" s="30" t="n"/>
      <c r="D233" s="30" t="n"/>
      <c r="E233" s="23" t="n"/>
      <c r="F233" s="23" t="n"/>
      <c r="G233" s="23" t="n"/>
      <c r="H233" s="20">
        <f>IF(A233="","",N(E233)+N(F233)+N(G233))</f>
        <v/>
      </c>
      <c r="I233" s="30" t="n"/>
      <c r="J233" s="30" t="n"/>
      <c r="K233" s="30" t="n"/>
    </row>
    <row r="234">
      <c r="A234" s="30" t="n"/>
      <c r="B234" s="30" t="n"/>
      <c r="C234" s="30" t="n"/>
      <c r="D234" s="30" t="n"/>
      <c r="E234" s="23" t="n"/>
      <c r="F234" s="23" t="n"/>
      <c r="G234" s="23" t="n"/>
      <c r="H234" s="20">
        <f>IF(A234="","",N(E234)+N(F234)+N(G234))</f>
        <v/>
      </c>
      <c r="I234" s="30" t="n"/>
      <c r="J234" s="30" t="n"/>
      <c r="K234" s="30" t="n"/>
    </row>
    <row r="235">
      <c r="A235" s="30" t="n"/>
      <c r="B235" s="30" t="n"/>
      <c r="C235" s="30" t="n"/>
      <c r="D235" s="30" t="n"/>
      <c r="E235" s="23" t="n"/>
      <c r="F235" s="23" t="n"/>
      <c r="G235" s="23" t="n"/>
      <c r="H235" s="20">
        <f>IF(A235="","",N(E235)+N(F235)+N(G235))</f>
        <v/>
      </c>
      <c r="I235" s="30" t="n"/>
      <c r="J235" s="30" t="n"/>
      <c r="K235" s="30" t="n"/>
    </row>
    <row r="236">
      <c r="A236" s="30" t="n"/>
      <c r="B236" s="30" t="n"/>
      <c r="C236" s="30" t="n"/>
      <c r="D236" s="30" t="n"/>
      <c r="E236" s="23" t="n"/>
      <c r="F236" s="23" t="n"/>
      <c r="G236" s="23" t="n"/>
      <c r="H236" s="20">
        <f>IF(A236="","",N(E236)+N(F236)+N(G236))</f>
        <v/>
      </c>
      <c r="I236" s="30" t="n"/>
      <c r="J236" s="30" t="n"/>
      <c r="K236" s="30" t="n"/>
    </row>
    <row r="237">
      <c r="A237" s="30" t="n"/>
      <c r="B237" s="30" t="n"/>
      <c r="C237" s="30" t="n"/>
      <c r="D237" s="30" t="n"/>
      <c r="E237" s="23" t="n"/>
      <c r="F237" s="23" t="n"/>
      <c r="G237" s="23" t="n"/>
      <c r="H237" s="20">
        <f>IF(A237="","",N(E237)+N(F237)+N(G237))</f>
        <v/>
      </c>
      <c r="I237" s="30" t="n"/>
      <c r="J237" s="30" t="n"/>
      <c r="K237" s="30" t="n"/>
    </row>
    <row r="238">
      <c r="A238" s="30" t="n"/>
      <c r="B238" s="30" t="n"/>
      <c r="C238" s="30" t="n"/>
      <c r="D238" s="30" t="n"/>
      <c r="E238" s="23" t="n"/>
      <c r="F238" s="23" t="n"/>
      <c r="G238" s="23" t="n"/>
      <c r="H238" s="20">
        <f>IF(A238="","",N(E238)+N(F238)+N(G238))</f>
        <v/>
      </c>
      <c r="I238" s="30" t="n"/>
      <c r="J238" s="30" t="n"/>
      <c r="K238" s="30" t="n"/>
    </row>
    <row r="239">
      <c r="A239" s="30" t="n"/>
      <c r="B239" s="30" t="n"/>
      <c r="C239" s="30" t="n"/>
      <c r="D239" s="30" t="n"/>
      <c r="E239" s="23" t="n"/>
      <c r="F239" s="23" t="n"/>
      <c r="G239" s="23" t="n"/>
      <c r="H239" s="20">
        <f>IF(A239="","",N(E239)+N(F239)+N(G239))</f>
        <v/>
      </c>
      <c r="I239" s="30" t="n"/>
      <c r="J239" s="30" t="n"/>
      <c r="K239" s="30" t="n"/>
    </row>
    <row r="240">
      <c r="A240" s="30" t="n"/>
      <c r="B240" s="30" t="n"/>
      <c r="C240" s="30" t="n"/>
      <c r="D240" s="30" t="n"/>
      <c r="E240" s="23" t="n"/>
      <c r="F240" s="23" t="n"/>
      <c r="G240" s="23" t="n"/>
      <c r="H240" s="20">
        <f>IF(A240="","",N(E240)+N(F240)+N(G240))</f>
        <v/>
      </c>
      <c r="I240" s="30" t="n"/>
      <c r="J240" s="30" t="n"/>
      <c r="K240" s="30" t="n"/>
    </row>
    <row r="241">
      <c r="A241" s="30" t="n"/>
      <c r="B241" s="30" t="n"/>
      <c r="C241" s="30" t="n"/>
      <c r="D241" s="30" t="n"/>
      <c r="E241" s="23" t="n"/>
      <c r="F241" s="23" t="n"/>
      <c r="G241" s="23" t="n"/>
      <c r="H241" s="20">
        <f>IF(A241="","",N(E241)+N(F241)+N(G241))</f>
        <v/>
      </c>
      <c r="I241" s="30" t="n"/>
      <c r="J241" s="30" t="n"/>
      <c r="K241" s="30" t="n"/>
    </row>
    <row r="242">
      <c r="A242" s="30" t="n"/>
      <c r="B242" s="30" t="n"/>
      <c r="C242" s="30" t="n"/>
      <c r="D242" s="30" t="n"/>
      <c r="E242" s="23" t="n"/>
      <c r="F242" s="23" t="n"/>
      <c r="G242" s="23" t="n"/>
      <c r="H242" s="20">
        <f>IF(A242="","",N(E242)+N(F242)+N(G242))</f>
        <v/>
      </c>
      <c r="I242" s="30" t="n"/>
      <c r="J242" s="30" t="n"/>
      <c r="K242" s="30" t="n"/>
    </row>
    <row r="243">
      <c r="A243" s="30" t="n"/>
      <c r="B243" s="30" t="n"/>
      <c r="C243" s="30" t="n"/>
      <c r="D243" s="30" t="n"/>
      <c r="E243" s="23" t="n"/>
      <c r="F243" s="23" t="n"/>
      <c r="G243" s="23" t="n"/>
      <c r="H243" s="20">
        <f>IF(A243="","",N(E243)+N(F243)+N(G243))</f>
        <v/>
      </c>
      <c r="I243" s="30" t="n"/>
      <c r="J243" s="30" t="n"/>
      <c r="K243" s="30" t="n"/>
    </row>
    <row r="244">
      <c r="A244" s="30" t="n"/>
      <c r="B244" s="30" t="n"/>
      <c r="C244" s="30" t="n"/>
      <c r="D244" s="30" t="n"/>
      <c r="E244" s="23" t="n"/>
      <c r="F244" s="23" t="n"/>
      <c r="G244" s="23" t="n"/>
      <c r="H244" s="20">
        <f>IF(A244="","",N(E244)+N(F244)+N(G244))</f>
        <v/>
      </c>
      <c r="I244" s="30" t="n"/>
      <c r="J244" s="30" t="n"/>
      <c r="K244" s="30" t="n"/>
    </row>
    <row r="245">
      <c r="A245" s="30" t="n"/>
      <c r="B245" s="30" t="n"/>
      <c r="C245" s="30" t="n"/>
      <c r="D245" s="30" t="n"/>
      <c r="E245" s="23" t="n"/>
      <c r="F245" s="23" t="n"/>
      <c r="G245" s="23" t="n"/>
      <c r="H245" s="20">
        <f>IF(A245="","",N(E245)+N(F245)+N(G245))</f>
        <v/>
      </c>
      <c r="I245" s="30" t="n"/>
      <c r="J245" s="30" t="n"/>
      <c r="K245" s="30" t="n"/>
    </row>
    <row r="246">
      <c r="A246" s="30" t="n"/>
      <c r="B246" s="30" t="n"/>
      <c r="C246" s="30" t="n"/>
      <c r="D246" s="30" t="n"/>
      <c r="E246" s="23" t="n"/>
      <c r="F246" s="23" t="n"/>
      <c r="G246" s="23" t="n"/>
      <c r="H246" s="20">
        <f>IF(A246="","",N(E246)+N(F246)+N(G246))</f>
        <v/>
      </c>
      <c r="I246" s="30" t="n"/>
      <c r="J246" s="30" t="n"/>
      <c r="K246" s="30" t="n"/>
    </row>
    <row r="247">
      <c r="A247" s="30" t="n"/>
      <c r="B247" s="30" t="n"/>
      <c r="C247" s="30" t="n"/>
      <c r="D247" s="30" t="n"/>
      <c r="E247" s="23" t="n"/>
      <c r="F247" s="23" t="n"/>
      <c r="G247" s="23" t="n"/>
      <c r="H247" s="20">
        <f>IF(A247="","",N(E247)+N(F247)+N(G247))</f>
        <v/>
      </c>
      <c r="I247" s="30" t="n"/>
      <c r="J247" s="30" t="n"/>
      <c r="K247" s="30" t="n"/>
    </row>
    <row r="248">
      <c r="A248" s="30" t="n"/>
      <c r="B248" s="30" t="n"/>
      <c r="C248" s="30" t="n"/>
      <c r="D248" s="30" t="n"/>
      <c r="E248" s="23" t="n"/>
      <c r="F248" s="23" t="n"/>
      <c r="G248" s="23" t="n"/>
      <c r="H248" s="20">
        <f>IF(A248="","",N(E248)+N(F248)+N(G248))</f>
        <v/>
      </c>
      <c r="I248" s="30" t="n"/>
      <c r="J248" s="30" t="n"/>
      <c r="K248" s="30" t="n"/>
    </row>
    <row r="249">
      <c r="A249" s="30" t="n"/>
      <c r="B249" s="30" t="n"/>
      <c r="C249" s="30" t="n"/>
      <c r="D249" s="30" t="n"/>
      <c r="E249" s="23" t="n"/>
      <c r="F249" s="23" t="n"/>
      <c r="G249" s="23" t="n"/>
      <c r="H249" s="20">
        <f>IF(A249="","",N(E249)+N(F249)+N(G249))</f>
        <v/>
      </c>
      <c r="I249" s="30" t="n"/>
      <c r="J249" s="30" t="n"/>
      <c r="K249" s="30" t="n"/>
    </row>
    <row r="250">
      <c r="A250" s="30" t="n"/>
      <c r="B250" s="30" t="n"/>
      <c r="C250" s="30" t="n"/>
      <c r="D250" s="30" t="n"/>
      <c r="E250" s="23" t="n"/>
      <c r="F250" s="23" t="n"/>
      <c r="G250" s="23" t="n"/>
      <c r="H250" s="20">
        <f>IF(A250="","",N(E250)+N(F250)+N(G250))</f>
        <v/>
      </c>
      <c r="I250" s="30" t="n"/>
      <c r="J250" s="30" t="n"/>
      <c r="K250" s="30" t="n"/>
    </row>
    <row r="251">
      <c r="A251" s="30" t="n"/>
      <c r="B251" s="30" t="n"/>
      <c r="C251" s="30" t="n"/>
      <c r="D251" s="30" t="n"/>
      <c r="E251" s="23" t="n"/>
      <c r="F251" s="23" t="n"/>
      <c r="G251" s="23" t="n"/>
      <c r="H251" s="20">
        <f>IF(A251="","",N(E251)+N(F251)+N(G251))</f>
        <v/>
      </c>
      <c r="I251" s="30" t="n"/>
      <c r="J251" s="30" t="n"/>
      <c r="K251" s="30" t="n"/>
    </row>
    <row r="252">
      <c r="A252" s="30" t="n"/>
      <c r="B252" s="30" t="n"/>
      <c r="C252" s="30" t="n"/>
      <c r="D252" s="30" t="n"/>
      <c r="E252" s="23" t="n"/>
      <c r="F252" s="23" t="n"/>
      <c r="G252" s="23" t="n"/>
      <c r="H252" s="20">
        <f>IF(A252="","",N(E252)+N(F252)+N(G252))</f>
        <v/>
      </c>
      <c r="I252" s="30" t="n"/>
      <c r="J252" s="30" t="n"/>
      <c r="K252" s="30" t="n"/>
    </row>
    <row r="253">
      <c r="A253" s="30" t="n"/>
      <c r="B253" s="30" t="n"/>
      <c r="C253" s="30" t="n"/>
      <c r="D253" s="30" t="n"/>
      <c r="E253" s="23" t="n"/>
      <c r="F253" s="23" t="n"/>
      <c r="G253" s="23" t="n"/>
      <c r="H253" s="20">
        <f>IF(A253="","",N(E253)+N(F253)+N(G253))</f>
        <v/>
      </c>
      <c r="I253" s="30" t="n"/>
      <c r="J253" s="30" t="n"/>
      <c r="K253" s="30" t="n"/>
    </row>
    <row r="254">
      <c r="A254" s="30" t="n"/>
      <c r="B254" s="30" t="n"/>
      <c r="C254" s="30" t="n"/>
      <c r="D254" s="30" t="n"/>
      <c r="E254" s="23" t="n"/>
      <c r="F254" s="23" t="n"/>
      <c r="G254" s="23" t="n"/>
      <c r="H254" s="20">
        <f>IF(A254="","",N(E254)+N(F254)+N(G254))</f>
        <v/>
      </c>
      <c r="I254" s="30" t="n"/>
      <c r="J254" s="30" t="n"/>
      <c r="K254" s="30" t="n"/>
    </row>
    <row r="255">
      <c r="A255" s="30" t="n"/>
      <c r="B255" s="30" t="n"/>
      <c r="C255" s="30" t="n"/>
      <c r="D255" s="30" t="n"/>
      <c r="E255" s="23" t="n"/>
      <c r="F255" s="23" t="n"/>
      <c r="G255" s="23" t="n"/>
      <c r="H255" s="20">
        <f>IF(A255="","",N(E255)+N(F255)+N(G255))</f>
        <v/>
      </c>
      <c r="I255" s="30" t="n"/>
      <c r="J255" s="30" t="n"/>
      <c r="K255" s="30" t="n"/>
    </row>
    <row r="256">
      <c r="A256" s="30" t="n"/>
      <c r="B256" s="30" t="n"/>
      <c r="C256" s="30" t="n"/>
      <c r="D256" s="30" t="n"/>
      <c r="E256" s="23" t="n"/>
      <c r="F256" s="23" t="n"/>
      <c r="G256" s="23" t="n"/>
      <c r="H256" s="20">
        <f>IF(A256="","",N(E256)+N(F256)+N(G256))</f>
        <v/>
      </c>
      <c r="I256" s="30" t="n"/>
      <c r="J256" s="30" t="n"/>
      <c r="K256" s="30" t="n"/>
    </row>
    <row r="257">
      <c r="A257" s="30" t="n"/>
      <c r="B257" s="30" t="n"/>
      <c r="C257" s="30" t="n"/>
      <c r="D257" s="30" t="n"/>
      <c r="E257" s="23" t="n"/>
      <c r="F257" s="23" t="n"/>
      <c r="G257" s="23" t="n"/>
      <c r="H257" s="20">
        <f>IF(A257="","",N(E257)+N(F257)+N(G257))</f>
        <v/>
      </c>
      <c r="I257" s="30" t="n"/>
      <c r="J257" s="30" t="n"/>
      <c r="K257" s="30" t="n"/>
    </row>
    <row r="258">
      <c r="A258" s="30" t="n"/>
      <c r="B258" s="30" t="n"/>
      <c r="C258" s="30" t="n"/>
      <c r="D258" s="30" t="n"/>
      <c r="E258" s="23" t="n"/>
      <c r="F258" s="23" t="n"/>
      <c r="G258" s="23" t="n"/>
      <c r="H258" s="20">
        <f>IF(A258="","",N(E258)+N(F258)+N(G258))</f>
        <v/>
      </c>
      <c r="I258" s="30" t="n"/>
      <c r="J258" s="30" t="n"/>
      <c r="K258" s="30" t="n"/>
    </row>
    <row r="259">
      <c r="A259" s="30" t="n"/>
      <c r="B259" s="30" t="n"/>
      <c r="C259" s="30" t="n"/>
      <c r="D259" s="30" t="n"/>
      <c r="E259" s="23" t="n"/>
      <c r="F259" s="23" t="n"/>
      <c r="G259" s="23" t="n"/>
      <c r="H259" s="20">
        <f>IF(A259="","",N(E259)+N(F259)+N(G259))</f>
        <v/>
      </c>
      <c r="I259" s="30" t="n"/>
      <c r="J259" s="30" t="n"/>
      <c r="K259" s="30" t="n"/>
    </row>
    <row r="260">
      <c r="A260" s="30" t="n"/>
      <c r="B260" s="30" t="n"/>
      <c r="C260" s="30" t="n"/>
      <c r="D260" s="30" t="n"/>
      <c r="E260" s="23" t="n"/>
      <c r="F260" s="23" t="n"/>
      <c r="G260" s="23" t="n"/>
      <c r="H260" s="20">
        <f>IF(A260="","",N(E260)+N(F260)+N(G260))</f>
        <v/>
      </c>
      <c r="I260" s="30" t="n"/>
      <c r="J260" s="30" t="n"/>
      <c r="K260" s="30" t="n"/>
    </row>
    <row r="261">
      <c r="A261" s="30" t="n"/>
      <c r="B261" s="30" t="n"/>
      <c r="C261" s="30" t="n"/>
      <c r="D261" s="30" t="n"/>
      <c r="E261" s="23" t="n"/>
      <c r="F261" s="23" t="n"/>
      <c r="G261" s="23" t="n"/>
      <c r="H261" s="20">
        <f>IF(A261="","",N(E261)+N(F261)+N(G261))</f>
        <v/>
      </c>
      <c r="I261" s="30" t="n"/>
      <c r="J261" s="30" t="n"/>
      <c r="K261" s="30" t="n"/>
    </row>
    <row r="262">
      <c r="A262" s="30" t="n"/>
      <c r="B262" s="30" t="n"/>
      <c r="C262" s="30" t="n"/>
      <c r="D262" s="30" t="n"/>
      <c r="E262" s="23" t="n"/>
      <c r="F262" s="23" t="n"/>
      <c r="G262" s="23" t="n"/>
      <c r="H262" s="20">
        <f>IF(A262="","",N(E262)+N(F262)+N(G262))</f>
        <v/>
      </c>
      <c r="I262" s="30" t="n"/>
      <c r="J262" s="30" t="n"/>
      <c r="K262" s="30" t="n"/>
    </row>
    <row r="263">
      <c r="A263" s="30" t="n"/>
      <c r="B263" s="30" t="n"/>
      <c r="C263" s="30" t="n"/>
      <c r="D263" s="30" t="n"/>
      <c r="E263" s="23" t="n"/>
      <c r="F263" s="23" t="n"/>
      <c r="G263" s="23" t="n"/>
      <c r="H263" s="20">
        <f>IF(A263="","",N(E263)+N(F263)+N(G263))</f>
        <v/>
      </c>
      <c r="I263" s="30" t="n"/>
      <c r="J263" s="30" t="n"/>
      <c r="K263" s="30" t="n"/>
    </row>
    <row r="264">
      <c r="A264" s="30" t="n"/>
      <c r="B264" s="30" t="n"/>
      <c r="C264" s="30" t="n"/>
      <c r="D264" s="30" t="n"/>
      <c r="E264" s="23" t="n"/>
      <c r="F264" s="23" t="n"/>
      <c r="G264" s="23" t="n"/>
      <c r="H264" s="20">
        <f>IF(A264="","",N(E264)+N(F264)+N(G264))</f>
        <v/>
      </c>
      <c r="I264" s="30" t="n"/>
      <c r="J264" s="30" t="n"/>
      <c r="K264" s="30" t="n"/>
    </row>
    <row r="265">
      <c r="A265" s="30" t="n"/>
      <c r="B265" s="30" t="n"/>
      <c r="C265" s="30" t="n"/>
      <c r="D265" s="30" t="n"/>
      <c r="E265" s="23" t="n"/>
      <c r="F265" s="23" t="n"/>
      <c r="G265" s="23" t="n"/>
      <c r="H265" s="20">
        <f>IF(A265="","",N(E265)+N(F265)+N(G265))</f>
        <v/>
      </c>
      <c r="I265" s="30" t="n"/>
      <c r="J265" s="30" t="n"/>
      <c r="K265" s="30" t="n"/>
    </row>
    <row r="266">
      <c r="A266" s="30" t="n"/>
      <c r="B266" s="30" t="n"/>
      <c r="C266" s="30" t="n"/>
      <c r="D266" s="30" t="n"/>
      <c r="E266" s="23" t="n"/>
      <c r="F266" s="23" t="n"/>
      <c r="G266" s="23" t="n"/>
      <c r="H266" s="20">
        <f>IF(A266="","",N(E266)+N(F266)+N(G266))</f>
        <v/>
      </c>
      <c r="I266" s="30" t="n"/>
      <c r="J266" s="30" t="n"/>
      <c r="K266" s="30" t="n"/>
    </row>
    <row r="267">
      <c r="A267" s="30" t="n"/>
      <c r="B267" s="30" t="n"/>
      <c r="C267" s="30" t="n"/>
      <c r="D267" s="30" t="n"/>
      <c r="E267" s="23" t="n"/>
      <c r="F267" s="23" t="n"/>
      <c r="G267" s="23" t="n"/>
      <c r="H267" s="20">
        <f>IF(A267="","",N(E267)+N(F267)+N(G267))</f>
        <v/>
      </c>
      <c r="I267" s="30" t="n"/>
      <c r="J267" s="30" t="n"/>
      <c r="K267" s="30" t="n"/>
    </row>
    <row r="268">
      <c r="A268" s="30" t="n"/>
      <c r="B268" s="30" t="n"/>
      <c r="C268" s="30" t="n"/>
      <c r="D268" s="30" t="n"/>
      <c r="E268" s="23" t="n"/>
      <c r="F268" s="23" t="n"/>
      <c r="G268" s="23" t="n"/>
      <c r="H268" s="20">
        <f>IF(A268="","",N(E268)+N(F268)+N(G268))</f>
        <v/>
      </c>
      <c r="I268" s="30" t="n"/>
      <c r="J268" s="30" t="n"/>
      <c r="K268" s="30" t="n"/>
    </row>
    <row r="269">
      <c r="A269" s="30" t="n"/>
      <c r="B269" s="30" t="n"/>
      <c r="C269" s="30" t="n"/>
      <c r="D269" s="30" t="n"/>
      <c r="E269" s="23" t="n"/>
      <c r="F269" s="23" t="n"/>
      <c r="G269" s="23" t="n"/>
      <c r="H269" s="20">
        <f>IF(A269="","",N(E269)+N(F269)+N(G269))</f>
        <v/>
      </c>
      <c r="I269" s="30" t="n"/>
      <c r="J269" s="30" t="n"/>
      <c r="K269" s="30" t="n"/>
    </row>
    <row r="270">
      <c r="A270" s="30" t="n"/>
      <c r="B270" s="30" t="n"/>
      <c r="C270" s="30" t="n"/>
      <c r="D270" s="30" t="n"/>
      <c r="E270" s="23" t="n"/>
      <c r="F270" s="23" t="n"/>
      <c r="G270" s="23" t="n"/>
      <c r="H270" s="20">
        <f>IF(A270="","",N(E270)+N(F270)+N(G270))</f>
        <v/>
      </c>
      <c r="I270" s="30" t="n"/>
      <c r="J270" s="30" t="n"/>
      <c r="K270" s="30" t="n"/>
    </row>
    <row r="271">
      <c r="A271" s="30" t="n"/>
      <c r="B271" s="30" t="n"/>
      <c r="C271" s="30" t="n"/>
      <c r="D271" s="30" t="n"/>
      <c r="E271" s="23" t="n"/>
      <c r="F271" s="23" t="n"/>
      <c r="G271" s="23" t="n"/>
      <c r="H271" s="20">
        <f>IF(A271="","",N(E271)+N(F271)+N(G271))</f>
        <v/>
      </c>
      <c r="I271" s="30" t="n"/>
      <c r="J271" s="30" t="n"/>
      <c r="K271" s="30" t="n"/>
    </row>
    <row r="272">
      <c r="A272" s="30" t="n"/>
      <c r="B272" s="30" t="n"/>
      <c r="C272" s="30" t="n"/>
      <c r="D272" s="30" t="n"/>
      <c r="E272" s="23" t="n"/>
      <c r="F272" s="23" t="n"/>
      <c r="G272" s="23" t="n"/>
      <c r="H272" s="20">
        <f>IF(A272="","",N(E272)+N(F272)+N(G272))</f>
        <v/>
      </c>
      <c r="I272" s="30" t="n"/>
      <c r="J272" s="30" t="n"/>
      <c r="K272" s="30" t="n"/>
    </row>
    <row r="273">
      <c r="A273" s="30" t="n"/>
      <c r="B273" s="30" t="n"/>
      <c r="C273" s="30" t="n"/>
      <c r="D273" s="30" t="n"/>
      <c r="E273" s="23" t="n"/>
      <c r="F273" s="23" t="n"/>
      <c r="G273" s="23" t="n"/>
      <c r="H273" s="20">
        <f>IF(A273="","",N(E273)+N(F273)+N(G273))</f>
        <v/>
      </c>
      <c r="I273" s="30" t="n"/>
      <c r="J273" s="30" t="n"/>
      <c r="K273" s="30" t="n"/>
    </row>
    <row r="274">
      <c r="A274" s="30" t="n"/>
      <c r="B274" s="30" t="n"/>
      <c r="C274" s="30" t="n"/>
      <c r="D274" s="30" t="n"/>
      <c r="E274" s="23" t="n"/>
      <c r="F274" s="23" t="n"/>
      <c r="G274" s="23" t="n"/>
      <c r="H274" s="20">
        <f>IF(A274="","",N(E274)+N(F274)+N(G274))</f>
        <v/>
      </c>
      <c r="I274" s="30" t="n"/>
      <c r="J274" s="30" t="n"/>
      <c r="K274" s="30" t="n"/>
    </row>
    <row r="275">
      <c r="A275" s="30" t="n"/>
      <c r="B275" s="30" t="n"/>
      <c r="C275" s="30" t="n"/>
      <c r="D275" s="30" t="n"/>
      <c r="E275" s="23" t="n"/>
      <c r="F275" s="23" t="n"/>
      <c r="G275" s="23" t="n"/>
      <c r="H275" s="20">
        <f>IF(A275="","",N(E275)+N(F275)+N(G275))</f>
        <v/>
      </c>
      <c r="I275" s="30" t="n"/>
      <c r="J275" s="30" t="n"/>
      <c r="K275" s="30" t="n"/>
    </row>
    <row r="276">
      <c r="A276" s="30" t="n"/>
      <c r="B276" s="30" t="n"/>
      <c r="C276" s="30" t="n"/>
      <c r="D276" s="30" t="n"/>
      <c r="E276" s="23" t="n"/>
      <c r="F276" s="23" t="n"/>
      <c r="G276" s="23" t="n"/>
      <c r="H276" s="20">
        <f>IF(A276="","",N(E276)+N(F276)+N(G276))</f>
        <v/>
      </c>
      <c r="I276" s="30" t="n"/>
      <c r="J276" s="30" t="n"/>
      <c r="K276" s="30" t="n"/>
    </row>
    <row r="277">
      <c r="A277" s="30" t="n"/>
      <c r="B277" s="30" t="n"/>
      <c r="C277" s="30" t="n"/>
      <c r="D277" s="30" t="n"/>
      <c r="E277" s="23" t="n"/>
      <c r="F277" s="23" t="n"/>
      <c r="G277" s="23" t="n"/>
      <c r="H277" s="20">
        <f>IF(A277="","",N(E277)+N(F277)+N(G277))</f>
        <v/>
      </c>
      <c r="I277" s="30" t="n"/>
      <c r="J277" s="30" t="n"/>
      <c r="K277" s="30" t="n"/>
    </row>
    <row r="278">
      <c r="A278" s="30" t="n"/>
      <c r="B278" s="30" t="n"/>
      <c r="C278" s="30" t="n"/>
      <c r="D278" s="30" t="n"/>
      <c r="E278" s="23" t="n"/>
      <c r="F278" s="23" t="n"/>
      <c r="G278" s="23" t="n"/>
      <c r="H278" s="20">
        <f>IF(A278="","",N(E278)+N(F278)+N(G278))</f>
        <v/>
      </c>
      <c r="I278" s="30" t="n"/>
      <c r="J278" s="30" t="n"/>
      <c r="K278" s="30" t="n"/>
    </row>
    <row r="279">
      <c r="A279" s="30" t="n"/>
      <c r="B279" s="30" t="n"/>
      <c r="C279" s="30" t="n"/>
      <c r="D279" s="30" t="n"/>
      <c r="E279" s="23" t="n"/>
      <c r="F279" s="23" t="n"/>
      <c r="G279" s="23" t="n"/>
      <c r="H279" s="20">
        <f>IF(A279="","",N(E279)+N(F279)+N(G279))</f>
        <v/>
      </c>
      <c r="I279" s="30" t="n"/>
      <c r="J279" s="30" t="n"/>
      <c r="K279" s="30" t="n"/>
    </row>
    <row r="280">
      <c r="A280" s="30" t="n"/>
      <c r="B280" s="30" t="n"/>
      <c r="C280" s="30" t="n"/>
      <c r="D280" s="30" t="n"/>
      <c r="E280" s="23" t="n"/>
      <c r="F280" s="23" t="n"/>
      <c r="G280" s="23" t="n"/>
      <c r="H280" s="20">
        <f>IF(A280="","",N(E280)+N(F280)+N(G280))</f>
        <v/>
      </c>
      <c r="I280" s="30" t="n"/>
      <c r="J280" s="30" t="n"/>
      <c r="K280" s="30" t="n"/>
    </row>
    <row r="281">
      <c r="A281" s="30" t="n"/>
      <c r="B281" s="30" t="n"/>
      <c r="C281" s="30" t="n"/>
      <c r="D281" s="30" t="n"/>
      <c r="E281" s="23" t="n"/>
      <c r="F281" s="23" t="n"/>
      <c r="G281" s="23" t="n"/>
      <c r="H281" s="20">
        <f>IF(A281="","",N(E281)+N(F281)+N(G281))</f>
        <v/>
      </c>
      <c r="I281" s="30" t="n"/>
      <c r="J281" s="30" t="n"/>
      <c r="K281" s="30" t="n"/>
    </row>
    <row r="282">
      <c r="A282" s="30" t="n"/>
      <c r="B282" s="30" t="n"/>
      <c r="C282" s="30" t="n"/>
      <c r="D282" s="30" t="n"/>
      <c r="E282" s="23" t="n"/>
      <c r="F282" s="23" t="n"/>
      <c r="G282" s="23" t="n"/>
      <c r="H282" s="20">
        <f>IF(A282="","",N(E282)+N(F282)+N(G282))</f>
        <v/>
      </c>
      <c r="I282" s="30" t="n"/>
      <c r="J282" s="30" t="n"/>
      <c r="K282" s="30" t="n"/>
    </row>
    <row r="283">
      <c r="A283" s="30" t="n"/>
      <c r="B283" s="30" t="n"/>
      <c r="C283" s="30" t="n"/>
      <c r="D283" s="30" t="n"/>
      <c r="E283" s="23" t="n"/>
      <c r="F283" s="23" t="n"/>
      <c r="G283" s="23" t="n"/>
      <c r="H283" s="20">
        <f>IF(A283="","",N(E283)+N(F283)+N(G283))</f>
        <v/>
      </c>
      <c r="I283" s="30" t="n"/>
      <c r="J283" s="30" t="n"/>
      <c r="K283" s="30" t="n"/>
    </row>
    <row r="284">
      <c r="A284" s="30" t="n"/>
      <c r="B284" s="30" t="n"/>
      <c r="C284" s="30" t="n"/>
      <c r="D284" s="30" t="n"/>
      <c r="E284" s="23" t="n"/>
      <c r="F284" s="23" t="n"/>
      <c r="G284" s="23" t="n"/>
      <c r="H284" s="20">
        <f>IF(A284="","",N(E284)+N(F284)+N(G284))</f>
        <v/>
      </c>
      <c r="I284" s="30" t="n"/>
      <c r="J284" s="30" t="n"/>
      <c r="K284" s="30" t="n"/>
    </row>
    <row r="285">
      <c r="A285" s="30" t="n"/>
      <c r="B285" s="30" t="n"/>
      <c r="C285" s="30" t="n"/>
      <c r="D285" s="30" t="n"/>
      <c r="E285" s="23" t="n"/>
      <c r="F285" s="23" t="n"/>
      <c r="G285" s="23" t="n"/>
      <c r="H285" s="20">
        <f>IF(A285="","",N(E285)+N(F285)+N(G285))</f>
        <v/>
      </c>
      <c r="I285" s="30" t="n"/>
      <c r="J285" s="30" t="n"/>
      <c r="K285" s="30" t="n"/>
    </row>
    <row r="286">
      <c r="A286" s="30" t="n"/>
      <c r="B286" s="30" t="n"/>
      <c r="C286" s="30" t="n"/>
      <c r="D286" s="30" t="n"/>
      <c r="E286" s="23" t="n"/>
      <c r="F286" s="23" t="n"/>
      <c r="G286" s="23" t="n"/>
      <c r="H286" s="20">
        <f>IF(A286="","",N(E286)+N(F286)+N(G286))</f>
        <v/>
      </c>
      <c r="I286" s="30" t="n"/>
      <c r="J286" s="30" t="n"/>
      <c r="K286" s="30" t="n"/>
    </row>
    <row r="287">
      <c r="A287" s="30" t="n"/>
      <c r="B287" s="30" t="n"/>
      <c r="C287" s="30" t="n"/>
      <c r="D287" s="30" t="n"/>
      <c r="E287" s="23" t="n"/>
      <c r="F287" s="23" t="n"/>
      <c r="G287" s="23" t="n"/>
      <c r="H287" s="20">
        <f>IF(A287="","",N(E287)+N(F287)+N(G287))</f>
        <v/>
      </c>
      <c r="I287" s="30" t="n"/>
      <c r="J287" s="30" t="n"/>
      <c r="K287" s="30" t="n"/>
    </row>
    <row r="288">
      <c r="A288" s="30" t="n"/>
      <c r="B288" s="30" t="n"/>
      <c r="C288" s="30" t="n"/>
      <c r="D288" s="30" t="n"/>
      <c r="E288" s="23" t="n"/>
      <c r="F288" s="23" t="n"/>
      <c r="G288" s="23" t="n"/>
      <c r="H288" s="20">
        <f>IF(A288="","",N(E288)+N(F288)+N(G288))</f>
        <v/>
      </c>
      <c r="I288" s="30" t="n"/>
      <c r="J288" s="30" t="n"/>
      <c r="K288" s="30" t="n"/>
    </row>
    <row r="289">
      <c r="A289" s="30" t="n"/>
      <c r="B289" s="30" t="n"/>
      <c r="C289" s="30" t="n"/>
      <c r="D289" s="30" t="n"/>
      <c r="E289" s="23" t="n"/>
      <c r="F289" s="23" t="n"/>
      <c r="G289" s="23" t="n"/>
      <c r="H289" s="20">
        <f>IF(A289="","",N(E289)+N(F289)+N(G289))</f>
        <v/>
      </c>
      <c r="I289" s="30" t="n"/>
      <c r="J289" s="30" t="n"/>
      <c r="K289" s="30" t="n"/>
    </row>
    <row r="290">
      <c r="A290" s="30" t="n"/>
      <c r="B290" s="30" t="n"/>
      <c r="C290" s="30" t="n"/>
      <c r="D290" s="30" t="n"/>
      <c r="E290" s="23" t="n"/>
      <c r="F290" s="23" t="n"/>
      <c r="G290" s="23" t="n"/>
      <c r="H290" s="20">
        <f>IF(A290="","",N(E290)+N(F290)+N(G290))</f>
        <v/>
      </c>
      <c r="I290" s="30" t="n"/>
      <c r="J290" s="30" t="n"/>
      <c r="K290" s="30" t="n"/>
    </row>
    <row r="291">
      <c r="A291" s="30" t="n"/>
      <c r="B291" s="30" t="n"/>
      <c r="C291" s="30" t="n"/>
      <c r="D291" s="30" t="n"/>
      <c r="E291" s="23" t="n"/>
      <c r="F291" s="23" t="n"/>
      <c r="G291" s="23" t="n"/>
      <c r="H291" s="20">
        <f>IF(A291="","",N(E291)+N(F291)+N(G291))</f>
        <v/>
      </c>
      <c r="I291" s="30" t="n"/>
      <c r="J291" s="30" t="n"/>
      <c r="K291" s="30" t="n"/>
    </row>
    <row r="292">
      <c r="A292" s="30" t="n"/>
      <c r="B292" s="30" t="n"/>
      <c r="C292" s="30" t="n"/>
      <c r="D292" s="30" t="n"/>
      <c r="E292" s="23" t="n"/>
      <c r="F292" s="23" t="n"/>
      <c r="G292" s="23" t="n"/>
      <c r="H292" s="20">
        <f>IF(A292="","",N(E292)+N(F292)+N(G292))</f>
        <v/>
      </c>
      <c r="I292" s="30" t="n"/>
      <c r="J292" s="30" t="n"/>
      <c r="K292" s="30" t="n"/>
    </row>
    <row r="293">
      <c r="A293" s="30" t="n"/>
      <c r="B293" s="30" t="n"/>
      <c r="C293" s="30" t="n"/>
      <c r="D293" s="30" t="n"/>
      <c r="E293" s="23" t="n"/>
      <c r="F293" s="23" t="n"/>
      <c r="G293" s="23" t="n"/>
      <c r="H293" s="20">
        <f>IF(A293="","",N(E293)+N(F293)+N(G293))</f>
        <v/>
      </c>
      <c r="I293" s="30" t="n"/>
      <c r="J293" s="30" t="n"/>
      <c r="K293" s="30" t="n"/>
    </row>
    <row r="294">
      <c r="A294" s="30" t="n"/>
      <c r="B294" s="30" t="n"/>
      <c r="C294" s="30" t="n"/>
      <c r="D294" s="30" t="n"/>
      <c r="E294" s="23" t="n"/>
      <c r="F294" s="23" t="n"/>
      <c r="G294" s="23" t="n"/>
      <c r="H294" s="20">
        <f>IF(A294="","",N(E294)+N(F294)+N(G294))</f>
        <v/>
      </c>
      <c r="I294" s="30" t="n"/>
      <c r="J294" s="30" t="n"/>
      <c r="K294" s="30" t="n"/>
    </row>
    <row r="295">
      <c r="A295" s="30" t="n"/>
      <c r="B295" s="30" t="n"/>
      <c r="C295" s="30" t="n"/>
      <c r="D295" s="30" t="n"/>
      <c r="E295" s="23" t="n"/>
      <c r="F295" s="23" t="n"/>
      <c r="G295" s="23" t="n"/>
      <c r="H295" s="20">
        <f>IF(A295="","",N(E295)+N(F295)+N(G295))</f>
        <v/>
      </c>
      <c r="I295" s="30" t="n"/>
      <c r="J295" s="30" t="n"/>
      <c r="K295" s="30" t="n"/>
    </row>
    <row r="296">
      <c r="A296" s="30" t="n"/>
      <c r="B296" s="30" t="n"/>
      <c r="C296" s="30" t="n"/>
      <c r="D296" s="30" t="n"/>
      <c r="E296" s="23" t="n"/>
      <c r="F296" s="23" t="n"/>
      <c r="G296" s="23" t="n"/>
      <c r="H296" s="20">
        <f>IF(A296="","",N(E296)+N(F296)+N(G296))</f>
        <v/>
      </c>
      <c r="I296" s="30" t="n"/>
      <c r="J296" s="30" t="n"/>
      <c r="K296" s="30" t="n"/>
    </row>
    <row r="297">
      <c r="A297" s="30" t="n"/>
      <c r="B297" s="30" t="n"/>
      <c r="C297" s="30" t="n"/>
      <c r="D297" s="30" t="n"/>
      <c r="E297" s="23" t="n"/>
      <c r="F297" s="23" t="n"/>
      <c r="G297" s="23" t="n"/>
      <c r="H297" s="20">
        <f>IF(A297="","",N(E297)+N(F297)+N(G297))</f>
        <v/>
      </c>
      <c r="I297" s="30" t="n"/>
      <c r="J297" s="30" t="n"/>
      <c r="K297" s="30" t="n"/>
    </row>
    <row r="298">
      <c r="A298" s="30" t="n"/>
      <c r="B298" s="30" t="n"/>
      <c r="C298" s="30" t="n"/>
      <c r="D298" s="30" t="n"/>
      <c r="E298" s="23" t="n"/>
      <c r="F298" s="23" t="n"/>
      <c r="G298" s="23" t="n"/>
      <c r="H298" s="20">
        <f>IF(A298="","",N(E298)+N(F298)+N(G298))</f>
        <v/>
      </c>
      <c r="I298" s="30" t="n"/>
      <c r="J298" s="30" t="n"/>
      <c r="K298" s="30" t="n"/>
    </row>
    <row r="299">
      <c r="A299" s="30" t="n"/>
      <c r="B299" s="30" t="n"/>
      <c r="C299" s="30" t="n"/>
      <c r="D299" s="30" t="n"/>
      <c r="E299" s="23" t="n"/>
      <c r="F299" s="23" t="n"/>
      <c r="G299" s="23" t="n"/>
      <c r="H299" s="20">
        <f>IF(A299="","",N(E299)+N(F299)+N(G299))</f>
        <v/>
      </c>
      <c r="I299" s="30" t="n"/>
      <c r="J299" s="30" t="n"/>
      <c r="K299" s="30" t="n"/>
    </row>
    <row r="300">
      <c r="A300" s="30" t="n"/>
      <c r="B300" s="30" t="n"/>
      <c r="C300" s="30" t="n"/>
      <c r="D300" s="30" t="n"/>
      <c r="E300" s="23" t="n"/>
      <c r="F300" s="23" t="n"/>
      <c r="G300" s="23" t="n"/>
      <c r="H300" s="20">
        <f>IF(A300="","",N(E300)+N(F300)+N(G300))</f>
        <v/>
      </c>
      <c r="I300" s="30" t="n"/>
      <c r="J300" s="30" t="n"/>
      <c r="K300" s="30" t="n"/>
    </row>
    <row r="301">
      <c r="A301" s="30" t="n"/>
      <c r="B301" s="30" t="n"/>
      <c r="C301" s="30" t="n"/>
      <c r="D301" s="30" t="n"/>
      <c r="E301" s="23" t="n"/>
      <c r="F301" s="23" t="n"/>
      <c r="G301" s="23" t="n"/>
      <c r="H301" s="20">
        <f>IF(A301="","",N(E301)+N(F301)+N(G301))</f>
        <v/>
      </c>
      <c r="I301" s="30" t="n"/>
      <c r="J301" s="30" t="n"/>
      <c r="K301" s="30" t="n"/>
    </row>
    <row r="302">
      <c r="A302" s="30" t="n"/>
      <c r="B302" s="30" t="n"/>
      <c r="C302" s="30" t="n"/>
      <c r="D302" s="30" t="n"/>
      <c r="E302" s="23" t="n"/>
      <c r="F302" s="23" t="n"/>
      <c r="G302" s="23" t="n"/>
      <c r="H302" s="20">
        <f>IF(A302="","",N(E302)+N(F302)+N(G302))</f>
        <v/>
      </c>
      <c r="I302" s="30" t="n"/>
      <c r="J302" s="30" t="n"/>
      <c r="K302" s="30" t="n"/>
    </row>
    <row r="303">
      <c r="A303" s="30" t="n"/>
      <c r="B303" s="30" t="n"/>
      <c r="C303" s="30" t="n"/>
      <c r="D303" s="30" t="n"/>
      <c r="E303" s="23" t="n"/>
      <c r="F303" s="23" t="n"/>
      <c r="G303" s="23" t="n"/>
      <c r="H303" s="20">
        <f>IF(A303="","",N(E303)+N(F303)+N(G303))</f>
        <v/>
      </c>
      <c r="I303" s="30" t="n"/>
      <c r="J303" s="30" t="n"/>
      <c r="K303" s="30" t="n"/>
    </row>
  </sheetData>
  <mergeCells count="2">
    <mergeCell ref="A2:K2"/>
    <mergeCell ref="A1:K1"/>
  </mergeCells>
  <dataValidations count="1">
    <dataValidation sqref="I4:I303" showDropDown="0" showInputMessage="0" showErrorMessage="0" allowBlank="1" type="list">
      <formula1>"당초,변경당시"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9" customWidth="1" min="4" max="4"/>
    <col width="9" customWidth="1" min="5" max="5"/>
    <col width="9" customWidth="1" min="6" max="6"/>
    <col width="8" customWidth="1" min="7" max="7"/>
    <col width="11" customWidth="1" min="8" max="8"/>
    <col width="7" customWidth="1" min="9" max="9"/>
    <col width="13" customWidth="1" min="10" max="10"/>
    <col width="18" customWidth="1" min="11" max="11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수 량 산 출 서</t>
        </is>
      </c>
    </row>
    <row r="3" ht="30" customHeight="1">
      <c r="A3" s="3" t="inlineStr">
        <is>
          <t>구분</t>
        </is>
      </c>
      <c r="B3" s="3" t="inlineStr">
        <is>
          <t>공종코드</t>
        </is>
      </c>
      <c r="C3" s="3" t="inlineStr">
        <is>
          <t>부위·위치</t>
        </is>
      </c>
      <c r="D3" s="3" t="inlineStr">
        <is>
          <t>가로</t>
        </is>
      </c>
      <c r="E3" s="3" t="inlineStr">
        <is>
          <t>세로</t>
        </is>
      </c>
      <c r="F3" s="3" t="inlineStr">
        <is>
          <t>높이</t>
        </is>
      </c>
      <c r="G3" s="3" t="inlineStr">
        <is>
          <t>개소</t>
        </is>
      </c>
      <c r="H3" s="3" t="inlineStr">
        <is>
          <t>수량</t>
        </is>
      </c>
      <c r="I3" s="3" t="inlineStr">
        <is>
          <t>단위</t>
        </is>
      </c>
      <c r="J3" s="3" t="inlineStr">
        <is>
          <t>도면번호</t>
        </is>
      </c>
      <c r="K3" s="3" t="inlineStr">
        <is>
          <t>비고</t>
        </is>
      </c>
    </row>
    <row r="4">
      <c r="A4" s="30" t="n"/>
      <c r="B4" s="30" t="n"/>
      <c r="C4" s="30" t="n"/>
      <c r="D4" s="30" t="n"/>
      <c r="E4" s="30" t="n"/>
      <c r="F4" s="30" t="n"/>
      <c r="G4" s="30" t="n"/>
      <c r="H4" s="19">
        <f>IF($B4="","",IF(COUNT(D4:G4)=0,"",ROUND(IF(D4="",1,D4)*IF(E4="",1,E4)*IF(F4="",1,F4)*IF(G4="",1,G4),3)))</f>
        <v/>
      </c>
      <c r="I4" s="30" t="n"/>
      <c r="J4" s="30" t="n"/>
      <c r="K4" s="30" t="n"/>
    </row>
    <row r="5">
      <c r="A5" s="30" t="n"/>
      <c r="B5" s="30" t="n"/>
      <c r="C5" s="30" t="n"/>
      <c r="D5" s="30" t="n"/>
      <c r="E5" s="30" t="n"/>
      <c r="F5" s="30" t="n"/>
      <c r="G5" s="30" t="n"/>
      <c r="H5" s="19">
        <f>IF($B5="","",IF(COUNT(D5:G5)=0,"",ROUND(IF(D5="",1,D5)*IF(E5="",1,E5)*IF(F5="",1,F5)*IF(G5="",1,G5),3)))</f>
        <v/>
      </c>
      <c r="I5" s="30" t="n"/>
      <c r="J5" s="30" t="n"/>
      <c r="K5" s="30" t="n"/>
    </row>
    <row r="6">
      <c r="A6" s="30" t="n"/>
      <c r="B6" s="30" t="n"/>
      <c r="C6" s="30" t="n"/>
      <c r="D6" s="30" t="n"/>
      <c r="E6" s="30" t="n"/>
      <c r="F6" s="30" t="n"/>
      <c r="G6" s="30" t="n"/>
      <c r="H6" s="19">
        <f>IF($B6="","",IF(COUNT(D6:G6)=0,"",ROUND(IF(D6="",1,D6)*IF(E6="",1,E6)*IF(F6="",1,F6)*IF(G6="",1,G6),3)))</f>
        <v/>
      </c>
      <c r="I6" s="30" t="n"/>
      <c r="J6" s="30" t="n"/>
      <c r="K6" s="30" t="n"/>
    </row>
    <row r="7">
      <c r="A7" s="30" t="n"/>
      <c r="B7" s="30" t="n"/>
      <c r="C7" s="30" t="n"/>
      <c r="D7" s="30" t="n"/>
      <c r="E7" s="30" t="n"/>
      <c r="F7" s="30" t="n"/>
      <c r="G7" s="30" t="n"/>
      <c r="H7" s="19">
        <f>IF($B7="","",IF(COUNT(D7:G7)=0,"",ROUND(IF(D7="",1,D7)*IF(E7="",1,E7)*IF(F7="",1,F7)*IF(G7="",1,G7),3)))</f>
        <v/>
      </c>
      <c r="I7" s="30" t="n"/>
      <c r="J7" s="30" t="n"/>
      <c r="K7" s="30" t="n"/>
    </row>
    <row r="8">
      <c r="A8" s="30" t="n"/>
      <c r="B8" s="30" t="n"/>
      <c r="C8" s="30" t="n"/>
      <c r="D8" s="30" t="n"/>
      <c r="E8" s="30" t="n"/>
      <c r="F8" s="30" t="n"/>
      <c r="G8" s="30" t="n"/>
      <c r="H8" s="19">
        <f>IF($B8="","",IF(COUNT(D8:G8)=0,"",ROUND(IF(D8="",1,D8)*IF(E8="",1,E8)*IF(F8="",1,F8)*IF(G8="",1,G8),3)))</f>
        <v/>
      </c>
      <c r="I8" s="30" t="n"/>
      <c r="J8" s="30" t="n"/>
      <c r="K8" s="30" t="n"/>
    </row>
    <row r="9">
      <c r="A9" s="30" t="n"/>
      <c r="B9" s="30" t="n"/>
      <c r="C9" s="30" t="n"/>
      <c r="D9" s="30" t="n"/>
      <c r="E9" s="30" t="n"/>
      <c r="F9" s="30" t="n"/>
      <c r="G9" s="30" t="n"/>
      <c r="H9" s="19">
        <f>IF($B9="","",IF(COUNT(D9:G9)=0,"",ROUND(IF(D9="",1,D9)*IF(E9="",1,E9)*IF(F9="",1,F9)*IF(G9="",1,G9),3)))</f>
        <v/>
      </c>
      <c r="I9" s="30" t="n"/>
      <c r="J9" s="30" t="n"/>
      <c r="K9" s="30" t="n"/>
    </row>
    <row r="10">
      <c r="A10" s="30" t="n"/>
      <c r="B10" s="30" t="n"/>
      <c r="C10" s="30" t="n"/>
      <c r="D10" s="30" t="n"/>
      <c r="E10" s="30" t="n"/>
      <c r="F10" s="30" t="n"/>
      <c r="G10" s="30" t="n"/>
      <c r="H10" s="19">
        <f>IF($B10="","",IF(COUNT(D10:G10)=0,"",ROUND(IF(D10="",1,D10)*IF(E10="",1,E10)*IF(F10="",1,F10)*IF(G10="",1,G10),3)))</f>
        <v/>
      </c>
      <c r="I10" s="30" t="n"/>
      <c r="J10" s="30" t="n"/>
      <c r="K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19">
        <f>IF($B11="","",IF(COUNT(D11:G11)=0,"",ROUND(IF(D11="",1,D11)*IF(E11="",1,E11)*IF(F11="",1,F11)*IF(G11="",1,G11),3)))</f>
        <v/>
      </c>
      <c r="I11" s="30" t="n"/>
      <c r="J11" s="30" t="n"/>
      <c r="K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19">
        <f>IF($B12="","",IF(COUNT(D12:G12)=0,"",ROUND(IF(D12="",1,D12)*IF(E12="",1,E12)*IF(F12="",1,F12)*IF(G12="",1,G12),3)))</f>
        <v/>
      </c>
      <c r="I12" s="30" t="n"/>
      <c r="J12" s="30" t="n"/>
      <c r="K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19">
        <f>IF($B13="","",IF(COUNT(D13:G13)=0,"",ROUND(IF(D13="",1,D13)*IF(E13="",1,E13)*IF(F13="",1,F13)*IF(G13="",1,G13),3)))</f>
        <v/>
      </c>
      <c r="I13" s="30" t="n"/>
      <c r="J13" s="30" t="n"/>
      <c r="K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19">
        <f>IF($B14="","",IF(COUNT(D14:G14)=0,"",ROUND(IF(D14="",1,D14)*IF(E14="",1,E14)*IF(F14="",1,F14)*IF(G14="",1,G14),3)))</f>
        <v/>
      </c>
      <c r="I14" s="30" t="n"/>
      <c r="J14" s="30" t="n"/>
      <c r="K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19">
        <f>IF($B15="","",IF(COUNT(D15:G15)=0,"",ROUND(IF(D15="",1,D15)*IF(E15="",1,E15)*IF(F15="",1,F15)*IF(G15="",1,G15),3)))</f>
        <v/>
      </c>
      <c r="I15" s="30" t="n"/>
      <c r="J15" s="30" t="n"/>
      <c r="K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19">
        <f>IF($B16="","",IF(COUNT(D16:G16)=0,"",ROUND(IF(D16="",1,D16)*IF(E16="",1,E16)*IF(F16="",1,F16)*IF(G16="",1,G16),3)))</f>
        <v/>
      </c>
      <c r="I16" s="30" t="n"/>
      <c r="J16" s="30" t="n"/>
      <c r="K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19">
        <f>IF($B17="","",IF(COUNT(D17:G17)=0,"",ROUND(IF(D17="",1,D17)*IF(E17="",1,E17)*IF(F17="",1,F17)*IF(G17="",1,G17),3)))</f>
        <v/>
      </c>
      <c r="I17" s="30" t="n"/>
      <c r="J17" s="30" t="n"/>
      <c r="K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19">
        <f>IF($B18="","",IF(COUNT(D18:G18)=0,"",ROUND(IF(D18="",1,D18)*IF(E18="",1,E18)*IF(F18="",1,F18)*IF(G18="",1,G18),3)))</f>
        <v/>
      </c>
      <c r="I18" s="30" t="n"/>
      <c r="J18" s="30" t="n"/>
      <c r="K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19">
        <f>IF($B19="","",IF(COUNT(D19:G19)=0,"",ROUND(IF(D19="",1,D19)*IF(E19="",1,E19)*IF(F19="",1,F19)*IF(G19="",1,G19),3)))</f>
        <v/>
      </c>
      <c r="I19" s="30" t="n"/>
      <c r="J19" s="30" t="n"/>
      <c r="K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19">
        <f>IF($B20="","",IF(COUNT(D20:G20)=0,"",ROUND(IF(D20="",1,D20)*IF(E20="",1,E20)*IF(F20="",1,F20)*IF(G20="",1,G20),3)))</f>
        <v/>
      </c>
      <c r="I20" s="30" t="n"/>
      <c r="J20" s="30" t="n"/>
      <c r="K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19">
        <f>IF($B21="","",IF(COUNT(D21:G21)=0,"",ROUND(IF(D21="",1,D21)*IF(E21="",1,E21)*IF(F21="",1,F21)*IF(G21="",1,G21),3)))</f>
        <v/>
      </c>
      <c r="I21" s="30" t="n"/>
      <c r="J21" s="30" t="n"/>
      <c r="K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19">
        <f>IF($B22="","",IF(COUNT(D22:G22)=0,"",ROUND(IF(D22="",1,D22)*IF(E22="",1,E22)*IF(F22="",1,F22)*IF(G22="",1,G22),3)))</f>
        <v/>
      </c>
      <c r="I22" s="30" t="n"/>
      <c r="J22" s="30" t="n"/>
      <c r="K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19">
        <f>IF($B23="","",IF(COUNT(D23:G23)=0,"",ROUND(IF(D23="",1,D23)*IF(E23="",1,E23)*IF(F23="",1,F23)*IF(G23="",1,G23),3)))</f>
        <v/>
      </c>
      <c r="I23" s="30" t="n"/>
      <c r="J23" s="30" t="n"/>
      <c r="K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19">
        <f>IF($B24="","",IF(COUNT(D24:G24)=0,"",ROUND(IF(D24="",1,D24)*IF(E24="",1,E24)*IF(F24="",1,F24)*IF(G24="",1,G24),3)))</f>
        <v/>
      </c>
      <c r="I24" s="30" t="n"/>
      <c r="J24" s="30" t="n"/>
      <c r="K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19">
        <f>IF($B25="","",IF(COUNT(D25:G25)=0,"",ROUND(IF(D25="",1,D25)*IF(E25="",1,E25)*IF(F25="",1,F25)*IF(G25="",1,G25),3)))</f>
        <v/>
      </c>
      <c r="I25" s="30" t="n"/>
      <c r="J25" s="30" t="n"/>
      <c r="K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19">
        <f>IF($B26="","",IF(COUNT(D26:G26)=0,"",ROUND(IF(D26="",1,D26)*IF(E26="",1,E26)*IF(F26="",1,F26)*IF(G26="",1,G26),3)))</f>
        <v/>
      </c>
      <c r="I26" s="30" t="n"/>
      <c r="J26" s="30" t="n"/>
      <c r="K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19">
        <f>IF($B27="","",IF(COUNT(D27:G27)=0,"",ROUND(IF(D27="",1,D27)*IF(E27="",1,E27)*IF(F27="",1,F27)*IF(G27="",1,G27),3)))</f>
        <v/>
      </c>
      <c r="I27" s="30" t="n"/>
      <c r="J27" s="30" t="n"/>
      <c r="K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19">
        <f>IF($B28="","",IF(COUNT(D28:G28)=0,"",ROUND(IF(D28="",1,D28)*IF(E28="",1,E28)*IF(F28="",1,F28)*IF(G28="",1,G28),3)))</f>
        <v/>
      </c>
      <c r="I28" s="30" t="n"/>
      <c r="J28" s="30" t="n"/>
      <c r="K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19">
        <f>IF($B29="","",IF(COUNT(D29:G29)=0,"",ROUND(IF(D29="",1,D29)*IF(E29="",1,E29)*IF(F29="",1,F29)*IF(G29="",1,G29),3)))</f>
        <v/>
      </c>
      <c r="I29" s="30" t="n"/>
      <c r="J29" s="30" t="n"/>
      <c r="K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19">
        <f>IF($B30="","",IF(COUNT(D30:G30)=0,"",ROUND(IF(D30="",1,D30)*IF(E30="",1,E30)*IF(F30="",1,F30)*IF(G30="",1,G30),3)))</f>
        <v/>
      </c>
      <c r="I30" s="30" t="n"/>
      <c r="J30" s="30" t="n"/>
      <c r="K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19">
        <f>IF($B31="","",IF(COUNT(D31:G31)=0,"",ROUND(IF(D31="",1,D31)*IF(E31="",1,E31)*IF(F31="",1,F31)*IF(G31="",1,G31),3)))</f>
        <v/>
      </c>
      <c r="I31" s="30" t="n"/>
      <c r="J31" s="30" t="n"/>
      <c r="K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19">
        <f>IF($B32="","",IF(COUNT(D32:G32)=0,"",ROUND(IF(D32="",1,D32)*IF(E32="",1,E32)*IF(F32="",1,F32)*IF(G32="",1,G32),3)))</f>
        <v/>
      </c>
      <c r="I32" s="30" t="n"/>
      <c r="J32" s="30" t="n"/>
      <c r="K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19">
        <f>IF($B33="","",IF(COUNT(D33:G33)=0,"",ROUND(IF(D33="",1,D33)*IF(E33="",1,E33)*IF(F33="",1,F33)*IF(G33="",1,G33),3)))</f>
        <v/>
      </c>
      <c r="I33" s="30" t="n"/>
      <c r="J33" s="30" t="n"/>
      <c r="K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19">
        <f>IF($B34="","",IF(COUNT(D34:G34)=0,"",ROUND(IF(D34="",1,D34)*IF(E34="",1,E34)*IF(F34="",1,F34)*IF(G34="",1,G34),3)))</f>
        <v/>
      </c>
      <c r="I34" s="30" t="n"/>
      <c r="J34" s="30" t="n"/>
      <c r="K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19">
        <f>IF($B35="","",IF(COUNT(D35:G35)=0,"",ROUND(IF(D35="",1,D35)*IF(E35="",1,E35)*IF(F35="",1,F35)*IF(G35="",1,G35),3)))</f>
        <v/>
      </c>
      <c r="I35" s="30" t="n"/>
      <c r="J35" s="30" t="n"/>
      <c r="K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19">
        <f>IF($B36="","",IF(COUNT(D36:G36)=0,"",ROUND(IF(D36="",1,D36)*IF(E36="",1,E36)*IF(F36="",1,F36)*IF(G36="",1,G36),3)))</f>
        <v/>
      </c>
      <c r="I36" s="30" t="n"/>
      <c r="J36" s="30" t="n"/>
      <c r="K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19">
        <f>IF($B37="","",IF(COUNT(D37:G37)=0,"",ROUND(IF(D37="",1,D37)*IF(E37="",1,E37)*IF(F37="",1,F37)*IF(G37="",1,G37),3)))</f>
        <v/>
      </c>
      <c r="I37" s="30" t="n"/>
      <c r="J37" s="30" t="n"/>
      <c r="K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19">
        <f>IF($B38="","",IF(COUNT(D38:G38)=0,"",ROUND(IF(D38="",1,D38)*IF(E38="",1,E38)*IF(F38="",1,F38)*IF(G38="",1,G38),3)))</f>
        <v/>
      </c>
      <c r="I38" s="30" t="n"/>
      <c r="J38" s="30" t="n"/>
      <c r="K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19">
        <f>IF($B39="","",IF(COUNT(D39:G39)=0,"",ROUND(IF(D39="",1,D39)*IF(E39="",1,E39)*IF(F39="",1,F39)*IF(G39="",1,G39),3)))</f>
        <v/>
      </c>
      <c r="I39" s="30" t="n"/>
      <c r="J39" s="30" t="n"/>
      <c r="K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19">
        <f>IF($B40="","",IF(COUNT(D40:G40)=0,"",ROUND(IF(D40="",1,D40)*IF(E40="",1,E40)*IF(F40="",1,F40)*IF(G40="",1,G40),3)))</f>
        <v/>
      </c>
      <c r="I40" s="30" t="n"/>
      <c r="J40" s="30" t="n"/>
      <c r="K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19">
        <f>IF($B41="","",IF(COUNT(D41:G41)=0,"",ROUND(IF(D41="",1,D41)*IF(E41="",1,E41)*IF(F41="",1,F41)*IF(G41="",1,G41),3)))</f>
        <v/>
      </c>
      <c r="I41" s="30" t="n"/>
      <c r="J41" s="30" t="n"/>
      <c r="K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19">
        <f>IF($B42="","",IF(COUNT(D42:G42)=0,"",ROUND(IF(D42="",1,D42)*IF(E42="",1,E42)*IF(F42="",1,F42)*IF(G42="",1,G42),3)))</f>
        <v/>
      </c>
      <c r="I42" s="30" t="n"/>
      <c r="J42" s="30" t="n"/>
      <c r="K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19">
        <f>IF($B43="","",IF(COUNT(D43:G43)=0,"",ROUND(IF(D43="",1,D43)*IF(E43="",1,E43)*IF(F43="",1,F43)*IF(G43="",1,G43),3)))</f>
        <v/>
      </c>
      <c r="I43" s="30" t="n"/>
      <c r="J43" s="30" t="n"/>
      <c r="K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19">
        <f>IF($B44="","",IF(COUNT(D44:G44)=0,"",ROUND(IF(D44="",1,D44)*IF(E44="",1,E44)*IF(F44="",1,F44)*IF(G44="",1,G44),3)))</f>
        <v/>
      </c>
      <c r="I44" s="30" t="n"/>
      <c r="J44" s="30" t="n"/>
      <c r="K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19">
        <f>IF($B45="","",IF(COUNT(D45:G45)=0,"",ROUND(IF(D45="",1,D45)*IF(E45="",1,E45)*IF(F45="",1,F45)*IF(G45="",1,G45),3)))</f>
        <v/>
      </c>
      <c r="I45" s="30" t="n"/>
      <c r="J45" s="30" t="n"/>
      <c r="K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19">
        <f>IF($B46="","",IF(COUNT(D46:G46)=0,"",ROUND(IF(D46="",1,D46)*IF(E46="",1,E46)*IF(F46="",1,F46)*IF(G46="",1,G46),3)))</f>
        <v/>
      </c>
      <c r="I46" s="30" t="n"/>
      <c r="J46" s="30" t="n"/>
      <c r="K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19">
        <f>IF($B47="","",IF(COUNT(D47:G47)=0,"",ROUND(IF(D47="",1,D47)*IF(E47="",1,E47)*IF(F47="",1,F47)*IF(G47="",1,G47),3)))</f>
        <v/>
      </c>
      <c r="I47" s="30" t="n"/>
      <c r="J47" s="30" t="n"/>
      <c r="K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19">
        <f>IF($B48="","",IF(COUNT(D48:G48)=0,"",ROUND(IF(D48="",1,D48)*IF(E48="",1,E48)*IF(F48="",1,F48)*IF(G48="",1,G48),3)))</f>
        <v/>
      </c>
      <c r="I48" s="30" t="n"/>
      <c r="J48" s="30" t="n"/>
      <c r="K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19">
        <f>IF($B49="","",IF(COUNT(D49:G49)=0,"",ROUND(IF(D49="",1,D49)*IF(E49="",1,E49)*IF(F49="",1,F49)*IF(G49="",1,G49),3)))</f>
        <v/>
      </c>
      <c r="I49" s="30" t="n"/>
      <c r="J49" s="30" t="n"/>
      <c r="K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19">
        <f>IF($B50="","",IF(COUNT(D50:G50)=0,"",ROUND(IF(D50="",1,D50)*IF(E50="",1,E50)*IF(F50="",1,F50)*IF(G50="",1,G50),3)))</f>
        <v/>
      </c>
      <c r="I50" s="30" t="n"/>
      <c r="J50" s="30" t="n"/>
      <c r="K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19">
        <f>IF($B51="","",IF(COUNT(D51:G51)=0,"",ROUND(IF(D51="",1,D51)*IF(E51="",1,E51)*IF(F51="",1,F51)*IF(G51="",1,G51),3)))</f>
        <v/>
      </c>
      <c r="I51" s="30" t="n"/>
      <c r="J51" s="30" t="n"/>
      <c r="K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19">
        <f>IF($B52="","",IF(COUNT(D52:G52)=0,"",ROUND(IF(D52="",1,D52)*IF(E52="",1,E52)*IF(F52="",1,F52)*IF(G52="",1,G52),3)))</f>
        <v/>
      </c>
      <c r="I52" s="30" t="n"/>
      <c r="J52" s="30" t="n"/>
      <c r="K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19">
        <f>IF($B53="","",IF(COUNT(D53:G53)=0,"",ROUND(IF(D53="",1,D53)*IF(E53="",1,E53)*IF(F53="",1,F53)*IF(G53="",1,G53),3)))</f>
        <v/>
      </c>
      <c r="I53" s="30" t="n"/>
      <c r="J53" s="30" t="n"/>
      <c r="K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19">
        <f>IF($B54="","",IF(COUNT(D54:G54)=0,"",ROUND(IF(D54="",1,D54)*IF(E54="",1,E54)*IF(F54="",1,F54)*IF(G54="",1,G54),3)))</f>
        <v/>
      </c>
      <c r="I54" s="30" t="n"/>
      <c r="J54" s="30" t="n"/>
      <c r="K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19">
        <f>IF($B55="","",IF(COUNT(D55:G55)=0,"",ROUND(IF(D55="",1,D55)*IF(E55="",1,E55)*IF(F55="",1,F55)*IF(G55="",1,G55),3)))</f>
        <v/>
      </c>
      <c r="I55" s="30" t="n"/>
      <c r="J55" s="30" t="n"/>
      <c r="K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19">
        <f>IF($B56="","",IF(COUNT(D56:G56)=0,"",ROUND(IF(D56="",1,D56)*IF(E56="",1,E56)*IF(F56="",1,F56)*IF(G56="",1,G56),3)))</f>
        <v/>
      </c>
      <c r="I56" s="30" t="n"/>
      <c r="J56" s="30" t="n"/>
      <c r="K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19">
        <f>IF($B57="","",IF(COUNT(D57:G57)=0,"",ROUND(IF(D57="",1,D57)*IF(E57="",1,E57)*IF(F57="",1,F57)*IF(G57="",1,G57),3)))</f>
        <v/>
      </c>
      <c r="I57" s="30" t="n"/>
      <c r="J57" s="30" t="n"/>
      <c r="K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19">
        <f>IF($B58="","",IF(COUNT(D58:G58)=0,"",ROUND(IF(D58="",1,D58)*IF(E58="",1,E58)*IF(F58="",1,F58)*IF(G58="",1,G58),3)))</f>
        <v/>
      </c>
      <c r="I58" s="30" t="n"/>
      <c r="J58" s="30" t="n"/>
      <c r="K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19">
        <f>IF($B59="","",IF(COUNT(D59:G59)=0,"",ROUND(IF(D59="",1,D59)*IF(E59="",1,E59)*IF(F59="",1,F59)*IF(G59="",1,G59),3)))</f>
        <v/>
      </c>
      <c r="I59" s="30" t="n"/>
      <c r="J59" s="30" t="n"/>
      <c r="K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19">
        <f>IF($B60="","",IF(COUNT(D60:G60)=0,"",ROUND(IF(D60="",1,D60)*IF(E60="",1,E60)*IF(F60="",1,F60)*IF(G60="",1,G60),3)))</f>
        <v/>
      </c>
      <c r="I60" s="30" t="n"/>
      <c r="J60" s="30" t="n"/>
      <c r="K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19">
        <f>IF($B61="","",IF(COUNT(D61:G61)=0,"",ROUND(IF(D61="",1,D61)*IF(E61="",1,E61)*IF(F61="",1,F61)*IF(G61="",1,G61),3)))</f>
        <v/>
      </c>
      <c r="I61" s="30" t="n"/>
      <c r="J61" s="30" t="n"/>
      <c r="K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19">
        <f>IF($B62="","",IF(COUNT(D62:G62)=0,"",ROUND(IF(D62="",1,D62)*IF(E62="",1,E62)*IF(F62="",1,F62)*IF(G62="",1,G62),3)))</f>
        <v/>
      </c>
      <c r="I62" s="30" t="n"/>
      <c r="J62" s="30" t="n"/>
      <c r="K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19">
        <f>IF($B63="","",IF(COUNT(D63:G63)=0,"",ROUND(IF(D63="",1,D63)*IF(E63="",1,E63)*IF(F63="",1,F63)*IF(G63="",1,G63),3)))</f>
        <v/>
      </c>
      <c r="I63" s="30" t="n"/>
      <c r="J63" s="30" t="n"/>
      <c r="K63" s="30" t="n"/>
    </row>
    <row r="64">
      <c r="A64" s="30" t="n"/>
      <c r="B64" s="30" t="n"/>
      <c r="C64" s="30" t="n"/>
      <c r="D64" s="30" t="n"/>
      <c r="E64" s="30" t="n"/>
      <c r="F64" s="30" t="n"/>
      <c r="G64" s="30" t="n"/>
      <c r="H64" s="19">
        <f>IF($B64="","",IF(COUNT(D64:G64)=0,"",ROUND(IF(D64="",1,D64)*IF(E64="",1,E64)*IF(F64="",1,F64)*IF(G64="",1,G64),3)))</f>
        <v/>
      </c>
      <c r="I64" s="30" t="n"/>
      <c r="J64" s="30" t="n"/>
      <c r="K64" s="30" t="n"/>
    </row>
    <row r="65">
      <c r="A65" s="30" t="n"/>
      <c r="B65" s="30" t="n"/>
      <c r="C65" s="30" t="n"/>
      <c r="D65" s="30" t="n"/>
      <c r="E65" s="30" t="n"/>
      <c r="F65" s="30" t="n"/>
      <c r="G65" s="30" t="n"/>
      <c r="H65" s="19">
        <f>IF($B65="","",IF(COUNT(D65:G65)=0,"",ROUND(IF(D65="",1,D65)*IF(E65="",1,E65)*IF(F65="",1,F65)*IF(G65="",1,G65),3)))</f>
        <v/>
      </c>
      <c r="I65" s="30" t="n"/>
      <c r="J65" s="30" t="n"/>
      <c r="K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19">
        <f>IF($B66="","",IF(COUNT(D66:G66)=0,"",ROUND(IF(D66="",1,D66)*IF(E66="",1,E66)*IF(F66="",1,F66)*IF(G66="",1,G66),3)))</f>
        <v/>
      </c>
      <c r="I66" s="30" t="n"/>
      <c r="J66" s="30" t="n"/>
      <c r="K66" s="30" t="n"/>
    </row>
    <row r="67">
      <c r="A67" s="30" t="n"/>
      <c r="B67" s="30" t="n"/>
      <c r="C67" s="30" t="n"/>
      <c r="D67" s="30" t="n"/>
      <c r="E67" s="30" t="n"/>
      <c r="F67" s="30" t="n"/>
      <c r="G67" s="30" t="n"/>
      <c r="H67" s="19">
        <f>IF($B67="","",IF(COUNT(D67:G67)=0,"",ROUND(IF(D67="",1,D67)*IF(E67="",1,E67)*IF(F67="",1,F67)*IF(G67="",1,G67),3)))</f>
        <v/>
      </c>
      <c r="I67" s="30" t="n"/>
      <c r="J67" s="30" t="n"/>
      <c r="K67" s="30" t="n"/>
    </row>
    <row r="68">
      <c r="A68" s="30" t="n"/>
      <c r="B68" s="30" t="n"/>
      <c r="C68" s="30" t="n"/>
      <c r="D68" s="30" t="n"/>
      <c r="E68" s="30" t="n"/>
      <c r="F68" s="30" t="n"/>
      <c r="G68" s="30" t="n"/>
      <c r="H68" s="19">
        <f>IF($B68="","",IF(COUNT(D68:G68)=0,"",ROUND(IF(D68="",1,D68)*IF(E68="",1,E68)*IF(F68="",1,F68)*IF(G68="",1,G68),3)))</f>
        <v/>
      </c>
      <c r="I68" s="30" t="n"/>
      <c r="J68" s="30" t="n"/>
      <c r="K68" s="30" t="n"/>
    </row>
    <row r="69">
      <c r="A69" s="30" t="n"/>
      <c r="B69" s="30" t="n"/>
      <c r="C69" s="30" t="n"/>
      <c r="D69" s="30" t="n"/>
      <c r="E69" s="30" t="n"/>
      <c r="F69" s="30" t="n"/>
      <c r="G69" s="30" t="n"/>
      <c r="H69" s="19">
        <f>IF($B69="","",IF(COUNT(D69:G69)=0,"",ROUND(IF(D69="",1,D69)*IF(E69="",1,E69)*IF(F69="",1,F69)*IF(G69="",1,G69),3)))</f>
        <v/>
      </c>
      <c r="I69" s="30" t="n"/>
      <c r="J69" s="30" t="n"/>
      <c r="K69" s="30" t="n"/>
    </row>
    <row r="70">
      <c r="A70" s="30" t="n"/>
      <c r="B70" s="30" t="n"/>
      <c r="C70" s="30" t="n"/>
      <c r="D70" s="30" t="n"/>
      <c r="E70" s="30" t="n"/>
      <c r="F70" s="30" t="n"/>
      <c r="G70" s="30" t="n"/>
      <c r="H70" s="19">
        <f>IF($B70="","",IF(COUNT(D70:G70)=0,"",ROUND(IF(D70="",1,D70)*IF(E70="",1,E70)*IF(F70="",1,F70)*IF(G70="",1,G70),3)))</f>
        <v/>
      </c>
      <c r="I70" s="30" t="n"/>
      <c r="J70" s="30" t="n"/>
      <c r="K70" s="30" t="n"/>
    </row>
    <row r="71">
      <c r="A71" s="30" t="n"/>
      <c r="B71" s="30" t="n"/>
      <c r="C71" s="30" t="n"/>
      <c r="D71" s="30" t="n"/>
      <c r="E71" s="30" t="n"/>
      <c r="F71" s="30" t="n"/>
      <c r="G71" s="30" t="n"/>
      <c r="H71" s="19">
        <f>IF($B71="","",IF(COUNT(D71:G71)=0,"",ROUND(IF(D71="",1,D71)*IF(E71="",1,E71)*IF(F71="",1,F71)*IF(G71="",1,G71),3)))</f>
        <v/>
      </c>
      <c r="I71" s="30" t="n"/>
      <c r="J71" s="30" t="n"/>
      <c r="K71" s="30" t="n"/>
    </row>
    <row r="72">
      <c r="A72" s="30" t="n"/>
      <c r="B72" s="30" t="n"/>
      <c r="C72" s="30" t="n"/>
      <c r="D72" s="30" t="n"/>
      <c r="E72" s="30" t="n"/>
      <c r="F72" s="30" t="n"/>
      <c r="G72" s="30" t="n"/>
      <c r="H72" s="19">
        <f>IF($B72="","",IF(COUNT(D72:G72)=0,"",ROUND(IF(D72="",1,D72)*IF(E72="",1,E72)*IF(F72="",1,F72)*IF(G72="",1,G72),3)))</f>
        <v/>
      </c>
      <c r="I72" s="30" t="n"/>
      <c r="J72" s="30" t="n"/>
      <c r="K72" s="30" t="n"/>
    </row>
    <row r="73">
      <c r="A73" s="30" t="n"/>
      <c r="B73" s="30" t="n"/>
      <c r="C73" s="30" t="n"/>
      <c r="D73" s="30" t="n"/>
      <c r="E73" s="30" t="n"/>
      <c r="F73" s="30" t="n"/>
      <c r="G73" s="30" t="n"/>
      <c r="H73" s="19">
        <f>IF($B73="","",IF(COUNT(D73:G73)=0,"",ROUND(IF(D73="",1,D73)*IF(E73="",1,E73)*IF(F73="",1,F73)*IF(G73="",1,G73),3)))</f>
        <v/>
      </c>
      <c r="I73" s="30" t="n"/>
      <c r="J73" s="30" t="n"/>
      <c r="K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19">
        <f>IF($B74="","",IF(COUNT(D74:G74)=0,"",ROUND(IF(D74="",1,D74)*IF(E74="",1,E74)*IF(F74="",1,F74)*IF(G74="",1,G74),3)))</f>
        <v/>
      </c>
      <c r="I74" s="30" t="n"/>
      <c r="J74" s="30" t="n"/>
      <c r="K74" s="30" t="n"/>
    </row>
    <row r="75">
      <c r="A75" s="30" t="n"/>
      <c r="B75" s="30" t="n"/>
      <c r="C75" s="30" t="n"/>
      <c r="D75" s="30" t="n"/>
      <c r="E75" s="30" t="n"/>
      <c r="F75" s="30" t="n"/>
      <c r="G75" s="30" t="n"/>
      <c r="H75" s="19">
        <f>IF($B75="","",IF(COUNT(D75:G75)=0,"",ROUND(IF(D75="",1,D75)*IF(E75="",1,E75)*IF(F75="",1,F75)*IF(G75="",1,G75),3)))</f>
        <v/>
      </c>
      <c r="I75" s="30" t="n"/>
      <c r="J75" s="30" t="n"/>
      <c r="K75" s="30" t="n"/>
    </row>
    <row r="76">
      <c r="A76" s="30" t="n"/>
      <c r="B76" s="30" t="n"/>
      <c r="C76" s="30" t="n"/>
      <c r="D76" s="30" t="n"/>
      <c r="E76" s="30" t="n"/>
      <c r="F76" s="30" t="n"/>
      <c r="G76" s="30" t="n"/>
      <c r="H76" s="19">
        <f>IF($B76="","",IF(COUNT(D76:G76)=0,"",ROUND(IF(D76="",1,D76)*IF(E76="",1,E76)*IF(F76="",1,F76)*IF(G76="",1,G76),3)))</f>
        <v/>
      </c>
      <c r="I76" s="30" t="n"/>
      <c r="J76" s="30" t="n"/>
      <c r="K76" s="30" t="n"/>
    </row>
    <row r="77">
      <c r="A77" s="30" t="n"/>
      <c r="B77" s="30" t="n"/>
      <c r="C77" s="30" t="n"/>
      <c r="D77" s="30" t="n"/>
      <c r="E77" s="30" t="n"/>
      <c r="F77" s="30" t="n"/>
      <c r="G77" s="30" t="n"/>
      <c r="H77" s="19">
        <f>IF($B77="","",IF(COUNT(D77:G77)=0,"",ROUND(IF(D77="",1,D77)*IF(E77="",1,E77)*IF(F77="",1,F77)*IF(G77="",1,G77),3)))</f>
        <v/>
      </c>
      <c r="I77" s="30" t="n"/>
      <c r="J77" s="30" t="n"/>
      <c r="K77" s="30" t="n"/>
    </row>
    <row r="78">
      <c r="A78" s="30" t="n"/>
      <c r="B78" s="30" t="n"/>
      <c r="C78" s="30" t="n"/>
      <c r="D78" s="30" t="n"/>
      <c r="E78" s="30" t="n"/>
      <c r="F78" s="30" t="n"/>
      <c r="G78" s="30" t="n"/>
      <c r="H78" s="19">
        <f>IF($B78="","",IF(COUNT(D78:G78)=0,"",ROUND(IF(D78="",1,D78)*IF(E78="",1,E78)*IF(F78="",1,F78)*IF(G78="",1,G78),3)))</f>
        <v/>
      </c>
      <c r="I78" s="30" t="n"/>
      <c r="J78" s="30" t="n"/>
      <c r="K78" s="30" t="n"/>
    </row>
    <row r="79">
      <c r="A79" s="30" t="n"/>
      <c r="B79" s="30" t="n"/>
      <c r="C79" s="30" t="n"/>
      <c r="D79" s="30" t="n"/>
      <c r="E79" s="30" t="n"/>
      <c r="F79" s="30" t="n"/>
      <c r="G79" s="30" t="n"/>
      <c r="H79" s="19">
        <f>IF($B79="","",IF(COUNT(D79:G79)=0,"",ROUND(IF(D79="",1,D79)*IF(E79="",1,E79)*IF(F79="",1,F79)*IF(G79="",1,G79),3)))</f>
        <v/>
      </c>
      <c r="I79" s="30" t="n"/>
      <c r="J79" s="30" t="n"/>
      <c r="K79" s="30" t="n"/>
    </row>
    <row r="80">
      <c r="A80" s="30" t="n"/>
      <c r="B80" s="30" t="n"/>
      <c r="C80" s="30" t="n"/>
      <c r="D80" s="30" t="n"/>
      <c r="E80" s="30" t="n"/>
      <c r="F80" s="30" t="n"/>
      <c r="G80" s="30" t="n"/>
      <c r="H80" s="19">
        <f>IF($B80="","",IF(COUNT(D80:G80)=0,"",ROUND(IF(D80="",1,D80)*IF(E80="",1,E80)*IF(F80="",1,F80)*IF(G80="",1,G80),3)))</f>
        <v/>
      </c>
      <c r="I80" s="30" t="n"/>
      <c r="J80" s="30" t="n"/>
      <c r="K80" s="30" t="n"/>
    </row>
    <row r="81">
      <c r="A81" s="30" t="n"/>
      <c r="B81" s="30" t="n"/>
      <c r="C81" s="30" t="n"/>
      <c r="D81" s="30" t="n"/>
      <c r="E81" s="30" t="n"/>
      <c r="F81" s="30" t="n"/>
      <c r="G81" s="30" t="n"/>
      <c r="H81" s="19">
        <f>IF($B81="","",IF(COUNT(D81:G81)=0,"",ROUND(IF(D81="",1,D81)*IF(E81="",1,E81)*IF(F81="",1,F81)*IF(G81="",1,G81),3)))</f>
        <v/>
      </c>
      <c r="I81" s="30" t="n"/>
      <c r="J81" s="30" t="n"/>
      <c r="K81" s="30" t="n"/>
    </row>
    <row r="82">
      <c r="A82" s="30" t="n"/>
      <c r="B82" s="30" t="n"/>
      <c r="C82" s="30" t="n"/>
      <c r="D82" s="30" t="n"/>
      <c r="E82" s="30" t="n"/>
      <c r="F82" s="30" t="n"/>
      <c r="G82" s="30" t="n"/>
      <c r="H82" s="19">
        <f>IF($B82="","",IF(COUNT(D82:G82)=0,"",ROUND(IF(D82="",1,D82)*IF(E82="",1,E82)*IF(F82="",1,F82)*IF(G82="",1,G82),3)))</f>
        <v/>
      </c>
      <c r="I82" s="30" t="n"/>
      <c r="J82" s="30" t="n"/>
      <c r="K82" s="30" t="n"/>
    </row>
    <row r="83">
      <c r="A83" s="30" t="n"/>
      <c r="B83" s="30" t="n"/>
      <c r="C83" s="30" t="n"/>
      <c r="D83" s="30" t="n"/>
      <c r="E83" s="30" t="n"/>
      <c r="F83" s="30" t="n"/>
      <c r="G83" s="30" t="n"/>
      <c r="H83" s="19">
        <f>IF($B83="","",IF(COUNT(D83:G83)=0,"",ROUND(IF(D83="",1,D83)*IF(E83="",1,E83)*IF(F83="",1,F83)*IF(G83="",1,G83),3)))</f>
        <v/>
      </c>
      <c r="I83" s="30" t="n"/>
      <c r="J83" s="30" t="n"/>
      <c r="K83" s="30" t="n"/>
    </row>
    <row r="84">
      <c r="A84" s="30" t="n"/>
      <c r="B84" s="30" t="n"/>
      <c r="C84" s="30" t="n"/>
      <c r="D84" s="30" t="n"/>
      <c r="E84" s="30" t="n"/>
      <c r="F84" s="30" t="n"/>
      <c r="G84" s="30" t="n"/>
      <c r="H84" s="19">
        <f>IF($B84="","",IF(COUNT(D84:G84)=0,"",ROUND(IF(D84="",1,D84)*IF(E84="",1,E84)*IF(F84="",1,F84)*IF(G84="",1,G84),3)))</f>
        <v/>
      </c>
      <c r="I84" s="30" t="n"/>
      <c r="J84" s="30" t="n"/>
      <c r="K84" s="30" t="n"/>
    </row>
    <row r="85">
      <c r="A85" s="30" t="n"/>
      <c r="B85" s="30" t="n"/>
      <c r="C85" s="30" t="n"/>
      <c r="D85" s="30" t="n"/>
      <c r="E85" s="30" t="n"/>
      <c r="F85" s="30" t="n"/>
      <c r="G85" s="30" t="n"/>
      <c r="H85" s="19">
        <f>IF($B85="","",IF(COUNT(D85:G85)=0,"",ROUND(IF(D85="",1,D85)*IF(E85="",1,E85)*IF(F85="",1,F85)*IF(G85="",1,G85),3)))</f>
        <v/>
      </c>
      <c r="I85" s="30" t="n"/>
      <c r="J85" s="30" t="n"/>
      <c r="K85" s="30" t="n"/>
    </row>
    <row r="86">
      <c r="A86" s="30" t="n"/>
      <c r="B86" s="30" t="n"/>
      <c r="C86" s="30" t="n"/>
      <c r="D86" s="30" t="n"/>
      <c r="E86" s="30" t="n"/>
      <c r="F86" s="30" t="n"/>
      <c r="G86" s="30" t="n"/>
      <c r="H86" s="19">
        <f>IF($B86="","",IF(COUNT(D86:G86)=0,"",ROUND(IF(D86="",1,D86)*IF(E86="",1,E86)*IF(F86="",1,F86)*IF(G86="",1,G86),3)))</f>
        <v/>
      </c>
      <c r="I86" s="30" t="n"/>
      <c r="J86" s="30" t="n"/>
      <c r="K86" s="30" t="n"/>
    </row>
    <row r="87">
      <c r="A87" s="30" t="n"/>
      <c r="B87" s="30" t="n"/>
      <c r="C87" s="30" t="n"/>
      <c r="D87" s="30" t="n"/>
      <c r="E87" s="30" t="n"/>
      <c r="F87" s="30" t="n"/>
      <c r="G87" s="30" t="n"/>
      <c r="H87" s="19">
        <f>IF($B87="","",IF(COUNT(D87:G87)=0,"",ROUND(IF(D87="",1,D87)*IF(E87="",1,E87)*IF(F87="",1,F87)*IF(G87="",1,G87),3)))</f>
        <v/>
      </c>
      <c r="I87" s="30" t="n"/>
      <c r="J87" s="30" t="n"/>
      <c r="K87" s="30" t="n"/>
    </row>
    <row r="88">
      <c r="A88" s="30" t="n"/>
      <c r="B88" s="30" t="n"/>
      <c r="C88" s="30" t="n"/>
      <c r="D88" s="30" t="n"/>
      <c r="E88" s="30" t="n"/>
      <c r="F88" s="30" t="n"/>
      <c r="G88" s="30" t="n"/>
      <c r="H88" s="19">
        <f>IF($B88="","",IF(COUNT(D88:G88)=0,"",ROUND(IF(D88="",1,D88)*IF(E88="",1,E88)*IF(F88="",1,F88)*IF(G88="",1,G88),3)))</f>
        <v/>
      </c>
      <c r="I88" s="30" t="n"/>
      <c r="J88" s="30" t="n"/>
      <c r="K88" s="30" t="n"/>
    </row>
    <row r="89">
      <c r="A89" s="30" t="n"/>
      <c r="B89" s="30" t="n"/>
      <c r="C89" s="30" t="n"/>
      <c r="D89" s="30" t="n"/>
      <c r="E89" s="30" t="n"/>
      <c r="F89" s="30" t="n"/>
      <c r="G89" s="30" t="n"/>
      <c r="H89" s="19">
        <f>IF($B89="","",IF(COUNT(D89:G89)=0,"",ROUND(IF(D89="",1,D89)*IF(E89="",1,E89)*IF(F89="",1,F89)*IF(G89="",1,G89),3)))</f>
        <v/>
      </c>
      <c r="I89" s="30" t="n"/>
      <c r="J89" s="30" t="n"/>
      <c r="K89" s="30" t="n"/>
    </row>
    <row r="90">
      <c r="A90" s="30" t="n"/>
      <c r="B90" s="30" t="n"/>
      <c r="C90" s="30" t="n"/>
      <c r="D90" s="30" t="n"/>
      <c r="E90" s="30" t="n"/>
      <c r="F90" s="30" t="n"/>
      <c r="G90" s="30" t="n"/>
      <c r="H90" s="19">
        <f>IF($B90="","",IF(COUNT(D90:G90)=0,"",ROUND(IF(D90="",1,D90)*IF(E90="",1,E90)*IF(F90="",1,F90)*IF(G90="",1,G90),3)))</f>
        <v/>
      </c>
      <c r="I90" s="30" t="n"/>
      <c r="J90" s="30" t="n"/>
      <c r="K90" s="30" t="n"/>
    </row>
    <row r="91">
      <c r="A91" s="30" t="n"/>
      <c r="B91" s="30" t="n"/>
      <c r="C91" s="30" t="n"/>
      <c r="D91" s="30" t="n"/>
      <c r="E91" s="30" t="n"/>
      <c r="F91" s="30" t="n"/>
      <c r="G91" s="30" t="n"/>
      <c r="H91" s="19">
        <f>IF($B91="","",IF(COUNT(D91:G91)=0,"",ROUND(IF(D91="",1,D91)*IF(E91="",1,E91)*IF(F91="",1,F91)*IF(G91="",1,G91),3)))</f>
        <v/>
      </c>
      <c r="I91" s="30" t="n"/>
      <c r="J91" s="30" t="n"/>
      <c r="K91" s="30" t="n"/>
    </row>
    <row r="92">
      <c r="A92" s="30" t="n"/>
      <c r="B92" s="30" t="n"/>
      <c r="C92" s="30" t="n"/>
      <c r="D92" s="30" t="n"/>
      <c r="E92" s="30" t="n"/>
      <c r="F92" s="30" t="n"/>
      <c r="G92" s="30" t="n"/>
      <c r="H92" s="19">
        <f>IF($B92="","",IF(COUNT(D92:G92)=0,"",ROUND(IF(D92="",1,D92)*IF(E92="",1,E92)*IF(F92="",1,F92)*IF(G92="",1,G92),3)))</f>
        <v/>
      </c>
      <c r="I92" s="30" t="n"/>
      <c r="J92" s="30" t="n"/>
      <c r="K92" s="30" t="n"/>
    </row>
    <row r="93">
      <c r="A93" s="30" t="n"/>
      <c r="B93" s="30" t="n"/>
      <c r="C93" s="30" t="n"/>
      <c r="D93" s="30" t="n"/>
      <c r="E93" s="30" t="n"/>
      <c r="F93" s="30" t="n"/>
      <c r="G93" s="30" t="n"/>
      <c r="H93" s="19">
        <f>IF($B93="","",IF(COUNT(D93:G93)=0,"",ROUND(IF(D93="",1,D93)*IF(E93="",1,E93)*IF(F93="",1,F93)*IF(G93="",1,G93),3)))</f>
        <v/>
      </c>
      <c r="I93" s="30" t="n"/>
      <c r="J93" s="30" t="n"/>
      <c r="K93" s="30" t="n"/>
    </row>
    <row r="94">
      <c r="A94" s="30" t="n"/>
      <c r="B94" s="30" t="n"/>
      <c r="C94" s="30" t="n"/>
      <c r="D94" s="30" t="n"/>
      <c r="E94" s="30" t="n"/>
      <c r="F94" s="30" t="n"/>
      <c r="G94" s="30" t="n"/>
      <c r="H94" s="19">
        <f>IF($B94="","",IF(COUNT(D94:G94)=0,"",ROUND(IF(D94="",1,D94)*IF(E94="",1,E94)*IF(F94="",1,F94)*IF(G94="",1,G94),3)))</f>
        <v/>
      </c>
      <c r="I94" s="30" t="n"/>
      <c r="J94" s="30" t="n"/>
      <c r="K94" s="30" t="n"/>
    </row>
    <row r="95">
      <c r="A95" s="30" t="n"/>
      <c r="B95" s="30" t="n"/>
      <c r="C95" s="30" t="n"/>
      <c r="D95" s="30" t="n"/>
      <c r="E95" s="30" t="n"/>
      <c r="F95" s="30" t="n"/>
      <c r="G95" s="30" t="n"/>
      <c r="H95" s="19">
        <f>IF($B95="","",IF(COUNT(D95:G95)=0,"",ROUND(IF(D95="",1,D95)*IF(E95="",1,E95)*IF(F95="",1,F95)*IF(G95="",1,G95),3)))</f>
        <v/>
      </c>
      <c r="I95" s="30" t="n"/>
      <c r="J95" s="30" t="n"/>
      <c r="K95" s="30" t="n"/>
    </row>
    <row r="96">
      <c r="A96" s="30" t="n"/>
      <c r="B96" s="30" t="n"/>
      <c r="C96" s="30" t="n"/>
      <c r="D96" s="30" t="n"/>
      <c r="E96" s="30" t="n"/>
      <c r="F96" s="30" t="n"/>
      <c r="G96" s="30" t="n"/>
      <c r="H96" s="19">
        <f>IF($B96="","",IF(COUNT(D96:G96)=0,"",ROUND(IF(D96="",1,D96)*IF(E96="",1,E96)*IF(F96="",1,F96)*IF(G96="",1,G96),3)))</f>
        <v/>
      </c>
      <c r="I96" s="30" t="n"/>
      <c r="J96" s="30" t="n"/>
      <c r="K96" s="30" t="n"/>
    </row>
    <row r="97">
      <c r="A97" s="30" t="n"/>
      <c r="B97" s="30" t="n"/>
      <c r="C97" s="30" t="n"/>
      <c r="D97" s="30" t="n"/>
      <c r="E97" s="30" t="n"/>
      <c r="F97" s="30" t="n"/>
      <c r="G97" s="30" t="n"/>
      <c r="H97" s="19">
        <f>IF($B97="","",IF(COUNT(D97:G97)=0,"",ROUND(IF(D97="",1,D97)*IF(E97="",1,E97)*IF(F97="",1,F97)*IF(G97="",1,G97),3)))</f>
        <v/>
      </c>
      <c r="I97" s="30" t="n"/>
      <c r="J97" s="30" t="n"/>
      <c r="K97" s="30" t="n"/>
    </row>
    <row r="98">
      <c r="A98" s="30" t="n"/>
      <c r="B98" s="30" t="n"/>
      <c r="C98" s="30" t="n"/>
      <c r="D98" s="30" t="n"/>
      <c r="E98" s="30" t="n"/>
      <c r="F98" s="30" t="n"/>
      <c r="G98" s="30" t="n"/>
      <c r="H98" s="19">
        <f>IF($B98="","",IF(COUNT(D98:G98)=0,"",ROUND(IF(D98="",1,D98)*IF(E98="",1,E98)*IF(F98="",1,F98)*IF(G98="",1,G98),3)))</f>
        <v/>
      </c>
      <c r="I98" s="30" t="n"/>
      <c r="J98" s="30" t="n"/>
      <c r="K98" s="30" t="n"/>
    </row>
    <row r="99">
      <c r="A99" s="30" t="n"/>
      <c r="B99" s="30" t="n"/>
      <c r="C99" s="30" t="n"/>
      <c r="D99" s="30" t="n"/>
      <c r="E99" s="30" t="n"/>
      <c r="F99" s="30" t="n"/>
      <c r="G99" s="30" t="n"/>
      <c r="H99" s="19">
        <f>IF($B99="","",IF(COUNT(D99:G99)=0,"",ROUND(IF(D99="",1,D99)*IF(E99="",1,E99)*IF(F99="",1,F99)*IF(G99="",1,G99),3)))</f>
        <v/>
      </c>
      <c r="I99" s="30" t="n"/>
      <c r="J99" s="30" t="n"/>
      <c r="K99" s="30" t="n"/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19">
        <f>IF($B100="","",IF(COUNT(D100:G100)=0,"",ROUND(IF(D100="",1,D100)*IF(E100="",1,E100)*IF(F100="",1,F100)*IF(G100="",1,G100),3)))</f>
        <v/>
      </c>
      <c r="I100" s="30" t="n"/>
      <c r="J100" s="30" t="n"/>
      <c r="K100" s="30" t="n"/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19">
        <f>IF($B101="","",IF(COUNT(D101:G101)=0,"",ROUND(IF(D101="",1,D101)*IF(E101="",1,E101)*IF(F101="",1,F101)*IF(G101="",1,G101),3)))</f>
        <v/>
      </c>
      <c r="I101" s="30" t="n"/>
      <c r="J101" s="30" t="n"/>
      <c r="K101" s="30" t="n"/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19">
        <f>IF($B102="","",IF(COUNT(D102:G102)=0,"",ROUND(IF(D102="",1,D102)*IF(E102="",1,E102)*IF(F102="",1,F102)*IF(G102="",1,G102),3)))</f>
        <v/>
      </c>
      <c r="I102" s="30" t="n"/>
      <c r="J102" s="30" t="n"/>
      <c r="K102" s="30" t="n"/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19">
        <f>IF($B103="","",IF(COUNT(D103:G103)=0,"",ROUND(IF(D103="",1,D103)*IF(E103="",1,E103)*IF(F103="",1,F103)*IF(G103="",1,G103),3)))</f>
        <v/>
      </c>
      <c r="I103" s="30" t="n"/>
      <c r="J103" s="30" t="n"/>
      <c r="K103" s="30" t="n"/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19">
        <f>IF($B104="","",IF(COUNT(D104:G104)=0,"",ROUND(IF(D104="",1,D104)*IF(E104="",1,E104)*IF(F104="",1,F104)*IF(G104="",1,G104),3)))</f>
        <v/>
      </c>
      <c r="I104" s="30" t="n"/>
      <c r="J104" s="30" t="n"/>
      <c r="K104" s="30" t="n"/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19">
        <f>IF($B105="","",IF(COUNT(D105:G105)=0,"",ROUND(IF(D105="",1,D105)*IF(E105="",1,E105)*IF(F105="",1,F105)*IF(G105="",1,G105),3)))</f>
        <v/>
      </c>
      <c r="I105" s="30" t="n"/>
      <c r="J105" s="30" t="n"/>
      <c r="K105" s="30" t="n"/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19">
        <f>IF($B106="","",IF(COUNT(D106:G106)=0,"",ROUND(IF(D106="",1,D106)*IF(E106="",1,E106)*IF(F106="",1,F106)*IF(G106="",1,G106),3)))</f>
        <v/>
      </c>
      <c r="I106" s="30" t="n"/>
      <c r="J106" s="30" t="n"/>
      <c r="K106" s="30" t="n"/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19">
        <f>IF($B107="","",IF(COUNT(D107:G107)=0,"",ROUND(IF(D107="",1,D107)*IF(E107="",1,E107)*IF(F107="",1,F107)*IF(G107="",1,G107),3)))</f>
        <v/>
      </c>
      <c r="I107" s="30" t="n"/>
      <c r="J107" s="30" t="n"/>
      <c r="K107" s="30" t="n"/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19">
        <f>IF($B108="","",IF(COUNT(D108:G108)=0,"",ROUND(IF(D108="",1,D108)*IF(E108="",1,E108)*IF(F108="",1,F108)*IF(G108="",1,G108),3)))</f>
        <v/>
      </c>
      <c r="I108" s="30" t="n"/>
      <c r="J108" s="30" t="n"/>
      <c r="K108" s="30" t="n"/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19">
        <f>IF($B109="","",IF(COUNT(D109:G109)=0,"",ROUND(IF(D109="",1,D109)*IF(E109="",1,E109)*IF(F109="",1,F109)*IF(G109="",1,G109),3)))</f>
        <v/>
      </c>
      <c r="I109" s="30" t="n"/>
      <c r="J109" s="30" t="n"/>
      <c r="K109" s="30" t="n"/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19">
        <f>IF($B110="","",IF(COUNT(D110:G110)=0,"",ROUND(IF(D110="",1,D110)*IF(E110="",1,E110)*IF(F110="",1,F110)*IF(G110="",1,G110),3)))</f>
        <v/>
      </c>
      <c r="I110" s="30" t="n"/>
      <c r="J110" s="30" t="n"/>
      <c r="K110" s="30" t="n"/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19">
        <f>IF($B111="","",IF(COUNT(D111:G111)=0,"",ROUND(IF(D111="",1,D111)*IF(E111="",1,E111)*IF(F111="",1,F111)*IF(G111="",1,G111),3)))</f>
        <v/>
      </c>
      <c r="I111" s="30" t="n"/>
      <c r="J111" s="30" t="n"/>
      <c r="K111" s="30" t="n"/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19">
        <f>IF($B112="","",IF(COUNT(D112:G112)=0,"",ROUND(IF(D112="",1,D112)*IF(E112="",1,E112)*IF(F112="",1,F112)*IF(G112="",1,G112),3)))</f>
        <v/>
      </c>
      <c r="I112" s="30" t="n"/>
      <c r="J112" s="30" t="n"/>
      <c r="K112" s="30" t="n"/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19">
        <f>IF($B113="","",IF(COUNT(D113:G113)=0,"",ROUND(IF(D113="",1,D113)*IF(E113="",1,E113)*IF(F113="",1,F113)*IF(G113="",1,G113),3)))</f>
        <v/>
      </c>
      <c r="I113" s="30" t="n"/>
      <c r="J113" s="30" t="n"/>
      <c r="K113" s="30" t="n"/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19">
        <f>IF($B114="","",IF(COUNT(D114:G114)=0,"",ROUND(IF(D114="",1,D114)*IF(E114="",1,E114)*IF(F114="",1,F114)*IF(G114="",1,G114),3)))</f>
        <v/>
      </c>
      <c r="I114" s="30" t="n"/>
      <c r="J114" s="30" t="n"/>
      <c r="K114" s="30" t="n"/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19">
        <f>IF($B115="","",IF(COUNT(D115:G115)=0,"",ROUND(IF(D115="",1,D115)*IF(E115="",1,E115)*IF(F115="",1,F115)*IF(G115="",1,G115),3)))</f>
        <v/>
      </c>
      <c r="I115" s="30" t="n"/>
      <c r="J115" s="30" t="n"/>
      <c r="K115" s="30" t="n"/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19">
        <f>IF($B116="","",IF(COUNT(D116:G116)=0,"",ROUND(IF(D116="",1,D116)*IF(E116="",1,E116)*IF(F116="",1,F116)*IF(G116="",1,G116),3)))</f>
        <v/>
      </c>
      <c r="I116" s="30" t="n"/>
      <c r="J116" s="30" t="n"/>
      <c r="K116" s="30" t="n"/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19">
        <f>IF($B117="","",IF(COUNT(D117:G117)=0,"",ROUND(IF(D117="",1,D117)*IF(E117="",1,E117)*IF(F117="",1,F117)*IF(G117="",1,G117),3)))</f>
        <v/>
      </c>
      <c r="I117" s="30" t="n"/>
      <c r="J117" s="30" t="n"/>
      <c r="K117" s="30" t="n"/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19">
        <f>IF($B118="","",IF(COUNT(D118:G118)=0,"",ROUND(IF(D118="",1,D118)*IF(E118="",1,E118)*IF(F118="",1,F118)*IF(G118="",1,G118),3)))</f>
        <v/>
      </c>
      <c r="I118" s="30" t="n"/>
      <c r="J118" s="30" t="n"/>
      <c r="K118" s="30" t="n"/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19">
        <f>IF($B119="","",IF(COUNT(D119:G119)=0,"",ROUND(IF(D119="",1,D119)*IF(E119="",1,E119)*IF(F119="",1,F119)*IF(G119="",1,G119),3)))</f>
        <v/>
      </c>
      <c r="I119" s="30" t="n"/>
      <c r="J119" s="30" t="n"/>
      <c r="K119" s="30" t="n"/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19">
        <f>IF($B120="","",IF(COUNT(D120:G120)=0,"",ROUND(IF(D120="",1,D120)*IF(E120="",1,E120)*IF(F120="",1,F120)*IF(G120="",1,G120),3)))</f>
        <v/>
      </c>
      <c r="I120" s="30" t="n"/>
      <c r="J120" s="30" t="n"/>
      <c r="K120" s="30" t="n"/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19">
        <f>IF($B121="","",IF(COUNT(D121:G121)=0,"",ROUND(IF(D121="",1,D121)*IF(E121="",1,E121)*IF(F121="",1,F121)*IF(G121="",1,G121),3)))</f>
        <v/>
      </c>
      <c r="I121" s="30" t="n"/>
      <c r="J121" s="30" t="n"/>
      <c r="K121" s="30" t="n"/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19">
        <f>IF($B122="","",IF(COUNT(D122:G122)=0,"",ROUND(IF(D122="",1,D122)*IF(E122="",1,E122)*IF(F122="",1,F122)*IF(G122="",1,G122),3)))</f>
        <v/>
      </c>
      <c r="I122" s="30" t="n"/>
      <c r="J122" s="30" t="n"/>
      <c r="K122" s="30" t="n"/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19">
        <f>IF($B123="","",IF(COUNT(D123:G123)=0,"",ROUND(IF(D123="",1,D123)*IF(E123="",1,E123)*IF(F123="",1,F123)*IF(G123="",1,G123),3)))</f>
        <v/>
      </c>
      <c r="I123" s="30" t="n"/>
      <c r="J123" s="30" t="n"/>
      <c r="K123" s="30" t="n"/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19">
        <f>IF($B124="","",IF(COUNT(D124:G124)=0,"",ROUND(IF(D124="",1,D124)*IF(E124="",1,E124)*IF(F124="",1,F124)*IF(G124="",1,G124),3)))</f>
        <v/>
      </c>
      <c r="I124" s="30" t="n"/>
      <c r="J124" s="30" t="n"/>
      <c r="K124" s="30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19">
        <f>IF($B125="","",IF(COUNT(D125:G125)=0,"",ROUND(IF(D125="",1,D125)*IF(E125="",1,E125)*IF(F125="",1,F125)*IF(G125="",1,G125),3)))</f>
        <v/>
      </c>
      <c r="I125" s="30" t="n"/>
      <c r="J125" s="30" t="n"/>
      <c r="K125" s="30" t="n"/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19">
        <f>IF($B126="","",IF(COUNT(D126:G126)=0,"",ROUND(IF(D126="",1,D126)*IF(E126="",1,E126)*IF(F126="",1,F126)*IF(G126="",1,G126),3)))</f>
        <v/>
      </c>
      <c r="I126" s="30" t="n"/>
      <c r="J126" s="30" t="n"/>
      <c r="K126" s="30" t="n"/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19">
        <f>IF($B127="","",IF(COUNT(D127:G127)=0,"",ROUND(IF(D127="",1,D127)*IF(E127="",1,E127)*IF(F127="",1,F127)*IF(G127="",1,G127),3)))</f>
        <v/>
      </c>
      <c r="I127" s="30" t="n"/>
      <c r="J127" s="30" t="n"/>
      <c r="K127" s="30" t="n"/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19">
        <f>IF($B128="","",IF(COUNT(D128:G128)=0,"",ROUND(IF(D128="",1,D128)*IF(E128="",1,E128)*IF(F128="",1,F128)*IF(G128="",1,G128),3)))</f>
        <v/>
      </c>
      <c r="I128" s="30" t="n"/>
      <c r="J128" s="30" t="n"/>
      <c r="K128" s="30" t="n"/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19">
        <f>IF($B129="","",IF(COUNT(D129:G129)=0,"",ROUND(IF(D129="",1,D129)*IF(E129="",1,E129)*IF(F129="",1,F129)*IF(G129="",1,G129),3)))</f>
        <v/>
      </c>
      <c r="I129" s="30" t="n"/>
      <c r="J129" s="30" t="n"/>
      <c r="K129" s="30" t="n"/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19">
        <f>IF($B130="","",IF(COUNT(D130:G130)=0,"",ROUND(IF(D130="",1,D130)*IF(E130="",1,E130)*IF(F130="",1,F130)*IF(G130="",1,G130),3)))</f>
        <v/>
      </c>
      <c r="I130" s="30" t="n"/>
      <c r="J130" s="30" t="n"/>
      <c r="K130" s="30" t="n"/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19">
        <f>IF($B131="","",IF(COUNT(D131:G131)=0,"",ROUND(IF(D131="",1,D131)*IF(E131="",1,E131)*IF(F131="",1,F131)*IF(G131="",1,G131),3)))</f>
        <v/>
      </c>
      <c r="I131" s="30" t="n"/>
      <c r="J131" s="30" t="n"/>
      <c r="K131" s="30" t="n"/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19">
        <f>IF($B132="","",IF(COUNT(D132:G132)=0,"",ROUND(IF(D132="",1,D132)*IF(E132="",1,E132)*IF(F132="",1,F132)*IF(G132="",1,G132),3)))</f>
        <v/>
      </c>
      <c r="I132" s="30" t="n"/>
      <c r="J132" s="30" t="n"/>
      <c r="K132" s="30" t="n"/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19">
        <f>IF($B133="","",IF(COUNT(D133:G133)=0,"",ROUND(IF(D133="",1,D133)*IF(E133="",1,E133)*IF(F133="",1,F133)*IF(G133="",1,G133),3)))</f>
        <v/>
      </c>
      <c r="I133" s="30" t="n"/>
      <c r="J133" s="30" t="n"/>
      <c r="K133" s="30" t="n"/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19">
        <f>IF($B134="","",IF(COUNT(D134:G134)=0,"",ROUND(IF(D134="",1,D134)*IF(E134="",1,E134)*IF(F134="",1,F134)*IF(G134="",1,G134),3)))</f>
        <v/>
      </c>
      <c r="I134" s="30" t="n"/>
      <c r="J134" s="30" t="n"/>
      <c r="K134" s="30" t="n"/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19">
        <f>IF($B135="","",IF(COUNT(D135:G135)=0,"",ROUND(IF(D135="",1,D135)*IF(E135="",1,E135)*IF(F135="",1,F135)*IF(G135="",1,G135),3)))</f>
        <v/>
      </c>
      <c r="I135" s="30" t="n"/>
      <c r="J135" s="30" t="n"/>
      <c r="K135" s="30" t="n"/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19">
        <f>IF($B136="","",IF(COUNT(D136:G136)=0,"",ROUND(IF(D136="",1,D136)*IF(E136="",1,E136)*IF(F136="",1,F136)*IF(G136="",1,G136),3)))</f>
        <v/>
      </c>
      <c r="I136" s="30" t="n"/>
      <c r="J136" s="30" t="n"/>
      <c r="K136" s="30" t="n"/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19">
        <f>IF($B137="","",IF(COUNT(D137:G137)=0,"",ROUND(IF(D137="",1,D137)*IF(E137="",1,E137)*IF(F137="",1,F137)*IF(G137="",1,G137),3)))</f>
        <v/>
      </c>
      <c r="I137" s="30" t="n"/>
      <c r="J137" s="30" t="n"/>
      <c r="K137" s="30" t="n"/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19">
        <f>IF($B138="","",IF(COUNT(D138:G138)=0,"",ROUND(IF(D138="",1,D138)*IF(E138="",1,E138)*IF(F138="",1,F138)*IF(G138="",1,G138),3)))</f>
        <v/>
      </c>
      <c r="I138" s="30" t="n"/>
      <c r="J138" s="30" t="n"/>
      <c r="K138" s="30" t="n"/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19">
        <f>IF($B139="","",IF(COUNT(D139:G139)=0,"",ROUND(IF(D139="",1,D139)*IF(E139="",1,E139)*IF(F139="",1,F139)*IF(G139="",1,G139),3)))</f>
        <v/>
      </c>
      <c r="I139" s="30" t="n"/>
      <c r="J139" s="30" t="n"/>
      <c r="K139" s="30" t="n"/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19">
        <f>IF($B140="","",IF(COUNT(D140:G140)=0,"",ROUND(IF(D140="",1,D140)*IF(E140="",1,E140)*IF(F140="",1,F140)*IF(G140="",1,G140),3)))</f>
        <v/>
      </c>
      <c r="I140" s="30" t="n"/>
      <c r="J140" s="30" t="n"/>
      <c r="K140" s="30" t="n"/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19">
        <f>IF($B141="","",IF(COUNT(D141:G141)=0,"",ROUND(IF(D141="",1,D141)*IF(E141="",1,E141)*IF(F141="",1,F141)*IF(G141="",1,G141),3)))</f>
        <v/>
      </c>
      <c r="I141" s="30" t="n"/>
      <c r="J141" s="30" t="n"/>
      <c r="K141" s="30" t="n"/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19">
        <f>IF($B142="","",IF(COUNT(D142:G142)=0,"",ROUND(IF(D142="",1,D142)*IF(E142="",1,E142)*IF(F142="",1,F142)*IF(G142="",1,G142),3)))</f>
        <v/>
      </c>
      <c r="I142" s="30" t="n"/>
      <c r="J142" s="30" t="n"/>
      <c r="K142" s="30" t="n"/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19">
        <f>IF($B143="","",IF(COUNT(D143:G143)=0,"",ROUND(IF(D143="",1,D143)*IF(E143="",1,E143)*IF(F143="",1,F143)*IF(G143="",1,G143),3)))</f>
        <v/>
      </c>
      <c r="I143" s="30" t="n"/>
      <c r="J143" s="30" t="n"/>
      <c r="K143" s="30" t="n"/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19">
        <f>IF($B144="","",IF(COUNT(D144:G144)=0,"",ROUND(IF(D144="",1,D144)*IF(E144="",1,E144)*IF(F144="",1,F144)*IF(G144="",1,G144),3)))</f>
        <v/>
      </c>
      <c r="I144" s="30" t="n"/>
      <c r="J144" s="30" t="n"/>
      <c r="K144" s="30" t="n"/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19">
        <f>IF($B145="","",IF(COUNT(D145:G145)=0,"",ROUND(IF(D145="",1,D145)*IF(E145="",1,E145)*IF(F145="",1,F145)*IF(G145="",1,G145),3)))</f>
        <v/>
      </c>
      <c r="I145" s="30" t="n"/>
      <c r="J145" s="30" t="n"/>
      <c r="K145" s="30" t="n"/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19">
        <f>IF($B146="","",IF(COUNT(D146:G146)=0,"",ROUND(IF(D146="",1,D146)*IF(E146="",1,E146)*IF(F146="",1,F146)*IF(G146="",1,G146),3)))</f>
        <v/>
      </c>
      <c r="I146" s="30" t="n"/>
      <c r="J146" s="30" t="n"/>
      <c r="K146" s="30" t="n"/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19">
        <f>IF($B147="","",IF(COUNT(D147:G147)=0,"",ROUND(IF(D147="",1,D147)*IF(E147="",1,E147)*IF(F147="",1,F147)*IF(G147="",1,G147),3)))</f>
        <v/>
      </c>
      <c r="I147" s="30" t="n"/>
      <c r="J147" s="30" t="n"/>
      <c r="K147" s="30" t="n"/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19">
        <f>IF($B148="","",IF(COUNT(D148:G148)=0,"",ROUND(IF(D148="",1,D148)*IF(E148="",1,E148)*IF(F148="",1,F148)*IF(G148="",1,G148),3)))</f>
        <v/>
      </c>
      <c r="I148" s="30" t="n"/>
      <c r="J148" s="30" t="n"/>
      <c r="K148" s="30" t="n"/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19">
        <f>IF($B149="","",IF(COUNT(D149:G149)=0,"",ROUND(IF(D149="",1,D149)*IF(E149="",1,E149)*IF(F149="",1,F149)*IF(G149="",1,G149),3)))</f>
        <v/>
      </c>
      <c r="I149" s="30" t="n"/>
      <c r="J149" s="30" t="n"/>
      <c r="K149" s="30" t="n"/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19">
        <f>IF($B150="","",IF(COUNT(D150:G150)=0,"",ROUND(IF(D150="",1,D150)*IF(E150="",1,E150)*IF(F150="",1,F150)*IF(G150="",1,G150),3)))</f>
        <v/>
      </c>
      <c r="I150" s="30" t="n"/>
      <c r="J150" s="30" t="n"/>
      <c r="K150" s="30" t="n"/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19">
        <f>IF($B151="","",IF(COUNT(D151:G151)=0,"",ROUND(IF(D151="",1,D151)*IF(E151="",1,E151)*IF(F151="",1,F151)*IF(G151="",1,G151),3)))</f>
        <v/>
      </c>
      <c r="I151" s="30" t="n"/>
      <c r="J151" s="30" t="n"/>
      <c r="K151" s="30" t="n"/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19">
        <f>IF($B152="","",IF(COUNT(D152:G152)=0,"",ROUND(IF(D152="",1,D152)*IF(E152="",1,E152)*IF(F152="",1,F152)*IF(G152="",1,G152),3)))</f>
        <v/>
      </c>
      <c r="I152" s="30" t="n"/>
      <c r="J152" s="30" t="n"/>
      <c r="K152" s="30" t="n"/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19">
        <f>IF($B153="","",IF(COUNT(D153:G153)=0,"",ROUND(IF(D153="",1,D153)*IF(E153="",1,E153)*IF(F153="",1,F153)*IF(G153="",1,G153),3)))</f>
        <v/>
      </c>
      <c r="I153" s="30" t="n"/>
      <c r="J153" s="30" t="n"/>
      <c r="K153" s="30" t="n"/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19">
        <f>IF($B154="","",IF(COUNT(D154:G154)=0,"",ROUND(IF(D154="",1,D154)*IF(E154="",1,E154)*IF(F154="",1,F154)*IF(G154="",1,G154),3)))</f>
        <v/>
      </c>
      <c r="I154" s="30" t="n"/>
      <c r="J154" s="30" t="n"/>
      <c r="K154" s="30" t="n"/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19">
        <f>IF($B155="","",IF(COUNT(D155:G155)=0,"",ROUND(IF(D155="",1,D155)*IF(E155="",1,E155)*IF(F155="",1,F155)*IF(G155="",1,G155),3)))</f>
        <v/>
      </c>
      <c r="I155" s="30" t="n"/>
      <c r="J155" s="30" t="n"/>
      <c r="K155" s="30" t="n"/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19">
        <f>IF($B156="","",IF(COUNT(D156:G156)=0,"",ROUND(IF(D156="",1,D156)*IF(E156="",1,E156)*IF(F156="",1,F156)*IF(G156="",1,G156),3)))</f>
        <v/>
      </c>
      <c r="I156" s="30" t="n"/>
      <c r="J156" s="30" t="n"/>
      <c r="K156" s="30" t="n"/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19">
        <f>IF($B157="","",IF(COUNT(D157:G157)=0,"",ROUND(IF(D157="",1,D157)*IF(E157="",1,E157)*IF(F157="",1,F157)*IF(G157="",1,G157),3)))</f>
        <v/>
      </c>
      <c r="I157" s="30" t="n"/>
      <c r="J157" s="30" t="n"/>
      <c r="K157" s="30" t="n"/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19">
        <f>IF($B158="","",IF(COUNT(D158:G158)=0,"",ROUND(IF(D158="",1,D158)*IF(E158="",1,E158)*IF(F158="",1,F158)*IF(G158="",1,G158),3)))</f>
        <v/>
      </c>
      <c r="I158" s="30" t="n"/>
      <c r="J158" s="30" t="n"/>
      <c r="K158" s="30" t="n"/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19">
        <f>IF($B159="","",IF(COUNT(D159:G159)=0,"",ROUND(IF(D159="",1,D159)*IF(E159="",1,E159)*IF(F159="",1,F159)*IF(G159="",1,G159),3)))</f>
        <v/>
      </c>
      <c r="I159" s="30" t="n"/>
      <c r="J159" s="30" t="n"/>
      <c r="K159" s="30" t="n"/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19">
        <f>IF($B160="","",IF(COUNT(D160:G160)=0,"",ROUND(IF(D160="",1,D160)*IF(E160="",1,E160)*IF(F160="",1,F160)*IF(G160="",1,G160),3)))</f>
        <v/>
      </c>
      <c r="I160" s="30" t="n"/>
      <c r="J160" s="30" t="n"/>
      <c r="K160" s="30" t="n"/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19">
        <f>IF($B161="","",IF(COUNT(D161:G161)=0,"",ROUND(IF(D161="",1,D161)*IF(E161="",1,E161)*IF(F161="",1,F161)*IF(G161="",1,G161),3)))</f>
        <v/>
      </c>
      <c r="I161" s="30" t="n"/>
      <c r="J161" s="30" t="n"/>
      <c r="K161" s="30" t="n"/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19">
        <f>IF($B162="","",IF(COUNT(D162:G162)=0,"",ROUND(IF(D162="",1,D162)*IF(E162="",1,E162)*IF(F162="",1,F162)*IF(G162="",1,G162),3)))</f>
        <v/>
      </c>
      <c r="I162" s="30" t="n"/>
      <c r="J162" s="30" t="n"/>
      <c r="K162" s="30" t="n"/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19">
        <f>IF($B163="","",IF(COUNT(D163:G163)=0,"",ROUND(IF(D163="",1,D163)*IF(E163="",1,E163)*IF(F163="",1,F163)*IF(G163="",1,G163),3)))</f>
        <v/>
      </c>
      <c r="I163" s="30" t="n"/>
      <c r="J163" s="30" t="n"/>
      <c r="K163" s="30" t="n"/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19">
        <f>IF($B164="","",IF(COUNT(D164:G164)=0,"",ROUND(IF(D164="",1,D164)*IF(E164="",1,E164)*IF(F164="",1,F164)*IF(G164="",1,G164),3)))</f>
        <v/>
      </c>
      <c r="I164" s="30" t="n"/>
      <c r="J164" s="30" t="n"/>
      <c r="K164" s="30" t="n"/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19">
        <f>IF($B165="","",IF(COUNT(D165:G165)=0,"",ROUND(IF(D165="",1,D165)*IF(E165="",1,E165)*IF(F165="",1,F165)*IF(G165="",1,G165),3)))</f>
        <v/>
      </c>
      <c r="I165" s="30" t="n"/>
      <c r="J165" s="30" t="n"/>
      <c r="K165" s="30" t="n"/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19">
        <f>IF($B166="","",IF(COUNT(D166:G166)=0,"",ROUND(IF(D166="",1,D166)*IF(E166="",1,E166)*IF(F166="",1,F166)*IF(G166="",1,G166),3)))</f>
        <v/>
      </c>
      <c r="I166" s="30" t="n"/>
      <c r="J166" s="30" t="n"/>
      <c r="K166" s="30" t="n"/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19">
        <f>IF($B167="","",IF(COUNT(D167:G167)=0,"",ROUND(IF(D167="",1,D167)*IF(E167="",1,E167)*IF(F167="",1,F167)*IF(G167="",1,G167),3)))</f>
        <v/>
      </c>
      <c r="I167" s="30" t="n"/>
      <c r="J167" s="30" t="n"/>
      <c r="K167" s="30" t="n"/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19">
        <f>IF($B168="","",IF(COUNT(D168:G168)=0,"",ROUND(IF(D168="",1,D168)*IF(E168="",1,E168)*IF(F168="",1,F168)*IF(G168="",1,G168),3)))</f>
        <v/>
      </c>
      <c r="I168" s="30" t="n"/>
      <c r="J168" s="30" t="n"/>
      <c r="K168" s="30" t="n"/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19">
        <f>IF($B169="","",IF(COUNT(D169:G169)=0,"",ROUND(IF(D169="",1,D169)*IF(E169="",1,E169)*IF(F169="",1,F169)*IF(G169="",1,G169),3)))</f>
        <v/>
      </c>
      <c r="I169" s="30" t="n"/>
      <c r="J169" s="30" t="n"/>
      <c r="K169" s="30" t="n"/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19">
        <f>IF($B170="","",IF(COUNT(D170:G170)=0,"",ROUND(IF(D170="",1,D170)*IF(E170="",1,E170)*IF(F170="",1,F170)*IF(G170="",1,G170),3)))</f>
        <v/>
      </c>
      <c r="I170" s="30" t="n"/>
      <c r="J170" s="30" t="n"/>
      <c r="K170" s="30" t="n"/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19">
        <f>IF($B171="","",IF(COUNT(D171:G171)=0,"",ROUND(IF(D171="",1,D171)*IF(E171="",1,E171)*IF(F171="",1,F171)*IF(G171="",1,G171),3)))</f>
        <v/>
      </c>
      <c r="I171" s="30" t="n"/>
      <c r="J171" s="30" t="n"/>
      <c r="K171" s="30" t="n"/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19">
        <f>IF($B172="","",IF(COUNT(D172:G172)=0,"",ROUND(IF(D172="",1,D172)*IF(E172="",1,E172)*IF(F172="",1,F172)*IF(G172="",1,G172),3)))</f>
        <v/>
      </c>
      <c r="I172" s="30" t="n"/>
      <c r="J172" s="30" t="n"/>
      <c r="K172" s="30" t="n"/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19">
        <f>IF($B173="","",IF(COUNT(D173:G173)=0,"",ROUND(IF(D173="",1,D173)*IF(E173="",1,E173)*IF(F173="",1,F173)*IF(G173="",1,G173),3)))</f>
        <v/>
      </c>
      <c r="I173" s="30" t="n"/>
      <c r="J173" s="30" t="n"/>
      <c r="K173" s="30" t="n"/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19">
        <f>IF($B174="","",IF(COUNT(D174:G174)=0,"",ROUND(IF(D174="",1,D174)*IF(E174="",1,E174)*IF(F174="",1,F174)*IF(G174="",1,G174),3)))</f>
        <v/>
      </c>
      <c r="I174" s="30" t="n"/>
      <c r="J174" s="30" t="n"/>
      <c r="K174" s="30" t="n"/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19">
        <f>IF($B175="","",IF(COUNT(D175:G175)=0,"",ROUND(IF(D175="",1,D175)*IF(E175="",1,E175)*IF(F175="",1,F175)*IF(G175="",1,G175),3)))</f>
        <v/>
      </c>
      <c r="I175" s="30" t="n"/>
      <c r="J175" s="30" t="n"/>
      <c r="K175" s="30" t="n"/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19">
        <f>IF($B176="","",IF(COUNT(D176:G176)=0,"",ROUND(IF(D176="",1,D176)*IF(E176="",1,E176)*IF(F176="",1,F176)*IF(G176="",1,G176),3)))</f>
        <v/>
      </c>
      <c r="I176" s="30" t="n"/>
      <c r="J176" s="30" t="n"/>
      <c r="K176" s="30" t="n"/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19">
        <f>IF($B177="","",IF(COUNT(D177:G177)=0,"",ROUND(IF(D177="",1,D177)*IF(E177="",1,E177)*IF(F177="",1,F177)*IF(G177="",1,G177),3)))</f>
        <v/>
      </c>
      <c r="I177" s="30" t="n"/>
      <c r="J177" s="30" t="n"/>
      <c r="K177" s="30" t="n"/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19">
        <f>IF($B178="","",IF(COUNT(D178:G178)=0,"",ROUND(IF(D178="",1,D178)*IF(E178="",1,E178)*IF(F178="",1,F178)*IF(G178="",1,G178),3)))</f>
        <v/>
      </c>
      <c r="I178" s="30" t="n"/>
      <c r="J178" s="30" t="n"/>
      <c r="K178" s="30" t="n"/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19">
        <f>IF($B179="","",IF(COUNT(D179:G179)=0,"",ROUND(IF(D179="",1,D179)*IF(E179="",1,E179)*IF(F179="",1,F179)*IF(G179="",1,G179),3)))</f>
        <v/>
      </c>
      <c r="I179" s="30" t="n"/>
      <c r="J179" s="30" t="n"/>
      <c r="K179" s="30" t="n"/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19">
        <f>IF($B180="","",IF(COUNT(D180:G180)=0,"",ROUND(IF(D180="",1,D180)*IF(E180="",1,E180)*IF(F180="",1,F180)*IF(G180="",1,G180),3)))</f>
        <v/>
      </c>
      <c r="I180" s="30" t="n"/>
      <c r="J180" s="30" t="n"/>
      <c r="K180" s="30" t="n"/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19">
        <f>IF($B181="","",IF(COUNT(D181:G181)=0,"",ROUND(IF(D181="",1,D181)*IF(E181="",1,E181)*IF(F181="",1,F181)*IF(G181="",1,G181),3)))</f>
        <v/>
      </c>
      <c r="I181" s="30" t="n"/>
      <c r="J181" s="30" t="n"/>
      <c r="K181" s="30" t="n"/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19">
        <f>IF($B182="","",IF(COUNT(D182:G182)=0,"",ROUND(IF(D182="",1,D182)*IF(E182="",1,E182)*IF(F182="",1,F182)*IF(G182="",1,G182),3)))</f>
        <v/>
      </c>
      <c r="I182" s="30" t="n"/>
      <c r="J182" s="30" t="n"/>
      <c r="K182" s="30" t="n"/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19">
        <f>IF($B183="","",IF(COUNT(D183:G183)=0,"",ROUND(IF(D183="",1,D183)*IF(E183="",1,E183)*IF(F183="",1,F183)*IF(G183="",1,G183),3)))</f>
        <v/>
      </c>
      <c r="I183" s="30" t="n"/>
      <c r="J183" s="30" t="n"/>
      <c r="K183" s="30" t="n"/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19">
        <f>IF($B184="","",IF(COUNT(D184:G184)=0,"",ROUND(IF(D184="",1,D184)*IF(E184="",1,E184)*IF(F184="",1,F184)*IF(G184="",1,G184),3)))</f>
        <v/>
      </c>
      <c r="I184" s="30" t="n"/>
      <c r="J184" s="30" t="n"/>
      <c r="K184" s="30" t="n"/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19">
        <f>IF($B185="","",IF(COUNT(D185:G185)=0,"",ROUND(IF(D185="",1,D185)*IF(E185="",1,E185)*IF(F185="",1,F185)*IF(G185="",1,G185),3)))</f>
        <v/>
      </c>
      <c r="I185" s="30" t="n"/>
      <c r="J185" s="30" t="n"/>
      <c r="K185" s="30" t="n"/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19">
        <f>IF($B186="","",IF(COUNT(D186:G186)=0,"",ROUND(IF(D186="",1,D186)*IF(E186="",1,E186)*IF(F186="",1,F186)*IF(G186="",1,G186),3)))</f>
        <v/>
      </c>
      <c r="I186" s="30" t="n"/>
      <c r="J186" s="30" t="n"/>
      <c r="K186" s="30" t="n"/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19">
        <f>IF($B187="","",IF(COUNT(D187:G187)=0,"",ROUND(IF(D187="",1,D187)*IF(E187="",1,E187)*IF(F187="",1,F187)*IF(G187="",1,G187),3)))</f>
        <v/>
      </c>
      <c r="I187" s="30" t="n"/>
      <c r="J187" s="30" t="n"/>
      <c r="K187" s="30" t="n"/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19">
        <f>IF($B188="","",IF(COUNT(D188:G188)=0,"",ROUND(IF(D188="",1,D188)*IF(E188="",1,E188)*IF(F188="",1,F188)*IF(G188="",1,G188),3)))</f>
        <v/>
      </c>
      <c r="I188" s="30" t="n"/>
      <c r="J188" s="30" t="n"/>
      <c r="K188" s="30" t="n"/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19">
        <f>IF($B189="","",IF(COUNT(D189:G189)=0,"",ROUND(IF(D189="",1,D189)*IF(E189="",1,E189)*IF(F189="",1,F189)*IF(G189="",1,G189),3)))</f>
        <v/>
      </c>
      <c r="I189" s="30" t="n"/>
      <c r="J189" s="30" t="n"/>
      <c r="K189" s="30" t="n"/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19">
        <f>IF($B190="","",IF(COUNT(D190:G190)=0,"",ROUND(IF(D190="",1,D190)*IF(E190="",1,E190)*IF(F190="",1,F190)*IF(G190="",1,G190),3)))</f>
        <v/>
      </c>
      <c r="I190" s="30" t="n"/>
      <c r="J190" s="30" t="n"/>
      <c r="K190" s="30" t="n"/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19">
        <f>IF($B191="","",IF(COUNT(D191:G191)=0,"",ROUND(IF(D191="",1,D191)*IF(E191="",1,E191)*IF(F191="",1,F191)*IF(G191="",1,G191),3)))</f>
        <v/>
      </c>
      <c r="I191" s="30" t="n"/>
      <c r="J191" s="30" t="n"/>
      <c r="K191" s="30" t="n"/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19">
        <f>IF($B192="","",IF(COUNT(D192:G192)=0,"",ROUND(IF(D192="",1,D192)*IF(E192="",1,E192)*IF(F192="",1,F192)*IF(G192="",1,G192),3)))</f>
        <v/>
      </c>
      <c r="I192" s="30" t="n"/>
      <c r="J192" s="30" t="n"/>
      <c r="K192" s="30" t="n"/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19">
        <f>IF($B193="","",IF(COUNT(D193:G193)=0,"",ROUND(IF(D193="",1,D193)*IF(E193="",1,E193)*IF(F193="",1,F193)*IF(G193="",1,G193),3)))</f>
        <v/>
      </c>
      <c r="I193" s="30" t="n"/>
      <c r="J193" s="30" t="n"/>
      <c r="K193" s="30" t="n"/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19">
        <f>IF($B194="","",IF(COUNT(D194:G194)=0,"",ROUND(IF(D194="",1,D194)*IF(E194="",1,E194)*IF(F194="",1,F194)*IF(G194="",1,G194),3)))</f>
        <v/>
      </c>
      <c r="I194" s="30" t="n"/>
      <c r="J194" s="30" t="n"/>
      <c r="K194" s="30" t="n"/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19">
        <f>IF($B195="","",IF(COUNT(D195:G195)=0,"",ROUND(IF(D195="",1,D195)*IF(E195="",1,E195)*IF(F195="",1,F195)*IF(G195="",1,G195),3)))</f>
        <v/>
      </c>
      <c r="I195" s="30" t="n"/>
      <c r="J195" s="30" t="n"/>
      <c r="K195" s="30" t="n"/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19">
        <f>IF($B196="","",IF(COUNT(D196:G196)=0,"",ROUND(IF(D196="",1,D196)*IF(E196="",1,E196)*IF(F196="",1,F196)*IF(G196="",1,G196),3)))</f>
        <v/>
      </c>
      <c r="I196" s="30" t="n"/>
      <c r="J196" s="30" t="n"/>
      <c r="K196" s="30" t="n"/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19">
        <f>IF($B197="","",IF(COUNT(D197:G197)=0,"",ROUND(IF(D197="",1,D197)*IF(E197="",1,E197)*IF(F197="",1,F197)*IF(G197="",1,G197),3)))</f>
        <v/>
      </c>
      <c r="I197" s="30" t="n"/>
      <c r="J197" s="30" t="n"/>
      <c r="K197" s="30" t="n"/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19">
        <f>IF($B198="","",IF(COUNT(D198:G198)=0,"",ROUND(IF(D198="",1,D198)*IF(E198="",1,E198)*IF(F198="",1,F198)*IF(G198="",1,G198),3)))</f>
        <v/>
      </c>
      <c r="I198" s="30" t="n"/>
      <c r="J198" s="30" t="n"/>
      <c r="K198" s="30" t="n"/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19">
        <f>IF($B199="","",IF(COUNT(D199:G199)=0,"",ROUND(IF(D199="",1,D199)*IF(E199="",1,E199)*IF(F199="",1,F199)*IF(G199="",1,G199),3)))</f>
        <v/>
      </c>
      <c r="I199" s="30" t="n"/>
      <c r="J199" s="30" t="n"/>
      <c r="K199" s="30" t="n"/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19">
        <f>IF($B200="","",IF(COUNT(D200:G200)=0,"",ROUND(IF(D200="",1,D200)*IF(E200="",1,E200)*IF(F200="",1,F200)*IF(G200="",1,G200),3)))</f>
        <v/>
      </c>
      <c r="I200" s="30" t="n"/>
      <c r="J200" s="30" t="n"/>
      <c r="K200" s="30" t="n"/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19">
        <f>IF($B201="","",IF(COUNT(D201:G201)=0,"",ROUND(IF(D201="",1,D201)*IF(E201="",1,E201)*IF(F201="",1,F201)*IF(G201="",1,G201),3)))</f>
        <v/>
      </c>
      <c r="I201" s="30" t="n"/>
      <c r="J201" s="30" t="n"/>
      <c r="K201" s="30" t="n"/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19">
        <f>IF($B202="","",IF(COUNT(D202:G202)=0,"",ROUND(IF(D202="",1,D202)*IF(E202="",1,E202)*IF(F202="",1,F202)*IF(G202="",1,G202),3)))</f>
        <v/>
      </c>
      <c r="I202" s="30" t="n"/>
      <c r="J202" s="30" t="n"/>
      <c r="K202" s="30" t="n"/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19">
        <f>IF($B203="","",IF(COUNT(D203:G203)=0,"",ROUND(IF(D203="",1,D203)*IF(E203="",1,E203)*IF(F203="",1,F203)*IF(G203="",1,G203),3)))</f>
        <v/>
      </c>
      <c r="I203" s="30" t="n"/>
      <c r="J203" s="30" t="n"/>
      <c r="K203" s="30" t="n"/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19">
        <f>IF($B204="","",IF(COUNT(D204:G204)=0,"",ROUND(IF(D204="",1,D204)*IF(E204="",1,E204)*IF(F204="",1,F204)*IF(G204="",1,G204),3)))</f>
        <v/>
      </c>
      <c r="I204" s="30" t="n"/>
      <c r="J204" s="30" t="n"/>
      <c r="K204" s="30" t="n"/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19">
        <f>IF($B205="","",IF(COUNT(D205:G205)=0,"",ROUND(IF(D205="",1,D205)*IF(E205="",1,E205)*IF(F205="",1,F205)*IF(G205="",1,G205),3)))</f>
        <v/>
      </c>
      <c r="I205" s="30" t="n"/>
      <c r="J205" s="30" t="n"/>
      <c r="K205" s="30" t="n"/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19">
        <f>IF($B206="","",IF(COUNT(D206:G206)=0,"",ROUND(IF(D206="",1,D206)*IF(E206="",1,E206)*IF(F206="",1,F206)*IF(G206="",1,G206),3)))</f>
        <v/>
      </c>
      <c r="I206" s="30" t="n"/>
      <c r="J206" s="30" t="n"/>
      <c r="K206" s="30" t="n"/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19">
        <f>IF($B207="","",IF(COUNT(D207:G207)=0,"",ROUND(IF(D207="",1,D207)*IF(E207="",1,E207)*IF(F207="",1,F207)*IF(G207="",1,G207),3)))</f>
        <v/>
      </c>
      <c r="I207" s="30" t="n"/>
      <c r="J207" s="30" t="n"/>
      <c r="K207" s="30" t="n"/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19">
        <f>IF($B208="","",IF(COUNT(D208:G208)=0,"",ROUND(IF(D208="",1,D208)*IF(E208="",1,E208)*IF(F208="",1,F208)*IF(G208="",1,G208),3)))</f>
        <v/>
      </c>
      <c r="I208" s="30" t="n"/>
      <c r="J208" s="30" t="n"/>
      <c r="K208" s="30" t="n"/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19">
        <f>IF($B209="","",IF(COUNT(D209:G209)=0,"",ROUND(IF(D209="",1,D209)*IF(E209="",1,E209)*IF(F209="",1,F209)*IF(G209="",1,G209),3)))</f>
        <v/>
      </c>
      <c r="I209" s="30" t="n"/>
      <c r="J209" s="30" t="n"/>
      <c r="K209" s="30" t="n"/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19">
        <f>IF($B210="","",IF(COUNT(D210:G210)=0,"",ROUND(IF(D210="",1,D210)*IF(E210="",1,E210)*IF(F210="",1,F210)*IF(G210="",1,G210),3)))</f>
        <v/>
      </c>
      <c r="I210" s="30" t="n"/>
      <c r="J210" s="30" t="n"/>
      <c r="K210" s="30" t="n"/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19">
        <f>IF($B211="","",IF(COUNT(D211:G211)=0,"",ROUND(IF(D211="",1,D211)*IF(E211="",1,E211)*IF(F211="",1,F211)*IF(G211="",1,G211),3)))</f>
        <v/>
      </c>
      <c r="I211" s="30" t="n"/>
      <c r="J211" s="30" t="n"/>
      <c r="K211" s="30" t="n"/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19">
        <f>IF($B212="","",IF(COUNT(D212:G212)=0,"",ROUND(IF(D212="",1,D212)*IF(E212="",1,E212)*IF(F212="",1,F212)*IF(G212="",1,G212),3)))</f>
        <v/>
      </c>
      <c r="I212" s="30" t="n"/>
      <c r="J212" s="30" t="n"/>
      <c r="K212" s="30" t="n"/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19">
        <f>IF($B213="","",IF(COUNT(D213:G213)=0,"",ROUND(IF(D213="",1,D213)*IF(E213="",1,E213)*IF(F213="",1,F213)*IF(G213="",1,G213),3)))</f>
        <v/>
      </c>
      <c r="I213" s="30" t="n"/>
      <c r="J213" s="30" t="n"/>
      <c r="K213" s="30" t="n"/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19">
        <f>IF($B214="","",IF(COUNT(D214:G214)=0,"",ROUND(IF(D214="",1,D214)*IF(E214="",1,E214)*IF(F214="",1,F214)*IF(G214="",1,G214),3)))</f>
        <v/>
      </c>
      <c r="I214" s="30" t="n"/>
      <c r="J214" s="30" t="n"/>
      <c r="K214" s="30" t="n"/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19">
        <f>IF($B215="","",IF(COUNT(D215:G215)=0,"",ROUND(IF(D215="",1,D215)*IF(E215="",1,E215)*IF(F215="",1,F215)*IF(G215="",1,G215),3)))</f>
        <v/>
      </c>
      <c r="I215" s="30" t="n"/>
      <c r="J215" s="30" t="n"/>
      <c r="K215" s="30" t="n"/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19">
        <f>IF($B216="","",IF(COUNT(D216:G216)=0,"",ROUND(IF(D216="",1,D216)*IF(E216="",1,E216)*IF(F216="",1,F216)*IF(G216="",1,G216),3)))</f>
        <v/>
      </c>
      <c r="I216" s="30" t="n"/>
      <c r="J216" s="30" t="n"/>
      <c r="K216" s="30" t="n"/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19">
        <f>IF($B217="","",IF(COUNT(D217:G217)=0,"",ROUND(IF(D217="",1,D217)*IF(E217="",1,E217)*IF(F217="",1,F217)*IF(G217="",1,G217),3)))</f>
        <v/>
      </c>
      <c r="I217" s="30" t="n"/>
      <c r="J217" s="30" t="n"/>
      <c r="K217" s="30" t="n"/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19">
        <f>IF($B218="","",IF(COUNT(D218:G218)=0,"",ROUND(IF(D218="",1,D218)*IF(E218="",1,E218)*IF(F218="",1,F218)*IF(G218="",1,G218),3)))</f>
        <v/>
      </c>
      <c r="I218" s="30" t="n"/>
      <c r="J218" s="30" t="n"/>
      <c r="K218" s="30" t="n"/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19">
        <f>IF($B219="","",IF(COUNT(D219:G219)=0,"",ROUND(IF(D219="",1,D219)*IF(E219="",1,E219)*IF(F219="",1,F219)*IF(G219="",1,G219),3)))</f>
        <v/>
      </c>
      <c r="I219" s="30" t="n"/>
      <c r="J219" s="30" t="n"/>
      <c r="K219" s="30" t="n"/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19">
        <f>IF($B220="","",IF(COUNT(D220:G220)=0,"",ROUND(IF(D220="",1,D220)*IF(E220="",1,E220)*IF(F220="",1,F220)*IF(G220="",1,G220),3)))</f>
        <v/>
      </c>
      <c r="I220" s="30" t="n"/>
      <c r="J220" s="30" t="n"/>
      <c r="K220" s="30" t="n"/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19">
        <f>IF($B221="","",IF(COUNT(D221:G221)=0,"",ROUND(IF(D221="",1,D221)*IF(E221="",1,E221)*IF(F221="",1,F221)*IF(G221="",1,G221),3)))</f>
        <v/>
      </c>
      <c r="I221" s="30" t="n"/>
      <c r="J221" s="30" t="n"/>
      <c r="K221" s="30" t="n"/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19">
        <f>IF($B222="","",IF(COUNT(D222:G222)=0,"",ROUND(IF(D222="",1,D222)*IF(E222="",1,E222)*IF(F222="",1,F222)*IF(G222="",1,G222),3)))</f>
        <v/>
      </c>
      <c r="I222" s="30" t="n"/>
      <c r="J222" s="30" t="n"/>
      <c r="K222" s="30" t="n"/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19">
        <f>IF($B223="","",IF(COUNT(D223:G223)=0,"",ROUND(IF(D223="",1,D223)*IF(E223="",1,E223)*IF(F223="",1,F223)*IF(G223="",1,G223),3)))</f>
        <v/>
      </c>
      <c r="I223" s="30" t="n"/>
      <c r="J223" s="30" t="n"/>
      <c r="K223" s="30" t="n"/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19">
        <f>IF($B224="","",IF(COUNT(D224:G224)=0,"",ROUND(IF(D224="",1,D224)*IF(E224="",1,E224)*IF(F224="",1,F224)*IF(G224="",1,G224),3)))</f>
        <v/>
      </c>
      <c r="I224" s="30" t="n"/>
      <c r="J224" s="30" t="n"/>
      <c r="K224" s="30" t="n"/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19">
        <f>IF($B225="","",IF(COUNT(D225:G225)=0,"",ROUND(IF(D225="",1,D225)*IF(E225="",1,E225)*IF(F225="",1,F225)*IF(G225="",1,G225),3)))</f>
        <v/>
      </c>
      <c r="I225" s="30" t="n"/>
      <c r="J225" s="30" t="n"/>
      <c r="K225" s="30" t="n"/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19">
        <f>IF($B226="","",IF(COUNT(D226:G226)=0,"",ROUND(IF(D226="",1,D226)*IF(E226="",1,E226)*IF(F226="",1,F226)*IF(G226="",1,G226),3)))</f>
        <v/>
      </c>
      <c r="I226" s="30" t="n"/>
      <c r="J226" s="30" t="n"/>
      <c r="K226" s="30" t="n"/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19">
        <f>IF($B227="","",IF(COUNT(D227:G227)=0,"",ROUND(IF(D227="",1,D227)*IF(E227="",1,E227)*IF(F227="",1,F227)*IF(G227="",1,G227),3)))</f>
        <v/>
      </c>
      <c r="I227" s="30" t="n"/>
      <c r="J227" s="30" t="n"/>
      <c r="K227" s="30" t="n"/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19">
        <f>IF($B228="","",IF(COUNT(D228:G228)=0,"",ROUND(IF(D228="",1,D228)*IF(E228="",1,E228)*IF(F228="",1,F228)*IF(G228="",1,G228),3)))</f>
        <v/>
      </c>
      <c r="I228" s="30" t="n"/>
      <c r="J228" s="30" t="n"/>
      <c r="K228" s="30" t="n"/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19">
        <f>IF($B229="","",IF(COUNT(D229:G229)=0,"",ROUND(IF(D229="",1,D229)*IF(E229="",1,E229)*IF(F229="",1,F229)*IF(G229="",1,G229),3)))</f>
        <v/>
      </c>
      <c r="I229" s="30" t="n"/>
      <c r="J229" s="30" t="n"/>
      <c r="K229" s="30" t="n"/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19">
        <f>IF($B230="","",IF(COUNT(D230:G230)=0,"",ROUND(IF(D230="",1,D230)*IF(E230="",1,E230)*IF(F230="",1,F230)*IF(G230="",1,G230),3)))</f>
        <v/>
      </c>
      <c r="I230" s="30" t="n"/>
      <c r="J230" s="30" t="n"/>
      <c r="K230" s="30" t="n"/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19">
        <f>IF($B231="","",IF(COUNT(D231:G231)=0,"",ROUND(IF(D231="",1,D231)*IF(E231="",1,E231)*IF(F231="",1,F231)*IF(G231="",1,G231),3)))</f>
        <v/>
      </c>
      <c r="I231" s="30" t="n"/>
      <c r="J231" s="30" t="n"/>
      <c r="K231" s="30" t="n"/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19">
        <f>IF($B232="","",IF(COUNT(D232:G232)=0,"",ROUND(IF(D232="",1,D232)*IF(E232="",1,E232)*IF(F232="",1,F232)*IF(G232="",1,G232),3)))</f>
        <v/>
      </c>
      <c r="I232" s="30" t="n"/>
      <c r="J232" s="30" t="n"/>
      <c r="K232" s="30" t="n"/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19">
        <f>IF($B233="","",IF(COUNT(D233:G233)=0,"",ROUND(IF(D233="",1,D233)*IF(E233="",1,E233)*IF(F233="",1,F233)*IF(G233="",1,G233),3)))</f>
        <v/>
      </c>
      <c r="I233" s="30" t="n"/>
      <c r="J233" s="30" t="n"/>
      <c r="K233" s="30" t="n"/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19">
        <f>IF($B234="","",IF(COUNT(D234:G234)=0,"",ROUND(IF(D234="",1,D234)*IF(E234="",1,E234)*IF(F234="",1,F234)*IF(G234="",1,G234),3)))</f>
        <v/>
      </c>
      <c r="I234" s="30" t="n"/>
      <c r="J234" s="30" t="n"/>
      <c r="K234" s="30" t="n"/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19">
        <f>IF($B235="","",IF(COUNT(D235:G235)=0,"",ROUND(IF(D235="",1,D235)*IF(E235="",1,E235)*IF(F235="",1,F235)*IF(G235="",1,G235),3)))</f>
        <v/>
      </c>
      <c r="I235" s="30" t="n"/>
      <c r="J235" s="30" t="n"/>
      <c r="K235" s="30" t="n"/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19">
        <f>IF($B236="","",IF(COUNT(D236:G236)=0,"",ROUND(IF(D236="",1,D236)*IF(E236="",1,E236)*IF(F236="",1,F236)*IF(G236="",1,G236),3)))</f>
        <v/>
      </c>
      <c r="I236" s="30" t="n"/>
      <c r="J236" s="30" t="n"/>
      <c r="K236" s="30" t="n"/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19">
        <f>IF($B237="","",IF(COUNT(D237:G237)=0,"",ROUND(IF(D237="",1,D237)*IF(E237="",1,E237)*IF(F237="",1,F237)*IF(G237="",1,G237),3)))</f>
        <v/>
      </c>
      <c r="I237" s="30" t="n"/>
      <c r="J237" s="30" t="n"/>
      <c r="K237" s="30" t="n"/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19">
        <f>IF($B238="","",IF(COUNT(D238:G238)=0,"",ROUND(IF(D238="",1,D238)*IF(E238="",1,E238)*IF(F238="",1,F238)*IF(G238="",1,G238),3)))</f>
        <v/>
      </c>
      <c r="I238" s="30" t="n"/>
      <c r="J238" s="30" t="n"/>
      <c r="K238" s="30" t="n"/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19">
        <f>IF($B239="","",IF(COUNT(D239:G239)=0,"",ROUND(IF(D239="",1,D239)*IF(E239="",1,E239)*IF(F239="",1,F239)*IF(G239="",1,G239),3)))</f>
        <v/>
      </c>
      <c r="I239" s="30" t="n"/>
      <c r="J239" s="30" t="n"/>
      <c r="K239" s="30" t="n"/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19">
        <f>IF($B240="","",IF(COUNT(D240:G240)=0,"",ROUND(IF(D240="",1,D240)*IF(E240="",1,E240)*IF(F240="",1,F240)*IF(G240="",1,G240),3)))</f>
        <v/>
      </c>
      <c r="I240" s="30" t="n"/>
      <c r="J240" s="30" t="n"/>
      <c r="K240" s="30" t="n"/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19">
        <f>IF($B241="","",IF(COUNT(D241:G241)=0,"",ROUND(IF(D241="",1,D241)*IF(E241="",1,E241)*IF(F241="",1,F241)*IF(G241="",1,G241),3)))</f>
        <v/>
      </c>
      <c r="I241" s="30" t="n"/>
      <c r="J241" s="30" t="n"/>
      <c r="K241" s="30" t="n"/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19">
        <f>IF($B242="","",IF(COUNT(D242:G242)=0,"",ROUND(IF(D242="",1,D242)*IF(E242="",1,E242)*IF(F242="",1,F242)*IF(G242="",1,G242),3)))</f>
        <v/>
      </c>
      <c r="I242" s="30" t="n"/>
      <c r="J242" s="30" t="n"/>
      <c r="K242" s="30" t="n"/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19">
        <f>IF($B243="","",IF(COUNT(D243:G243)=0,"",ROUND(IF(D243="",1,D243)*IF(E243="",1,E243)*IF(F243="",1,F243)*IF(G243="",1,G243),3)))</f>
        <v/>
      </c>
      <c r="I243" s="30" t="n"/>
      <c r="J243" s="30" t="n"/>
      <c r="K243" s="30" t="n"/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19">
        <f>IF($B244="","",IF(COUNT(D244:G244)=0,"",ROUND(IF(D244="",1,D244)*IF(E244="",1,E244)*IF(F244="",1,F244)*IF(G244="",1,G244),3)))</f>
        <v/>
      </c>
      <c r="I244" s="30" t="n"/>
      <c r="J244" s="30" t="n"/>
      <c r="K244" s="30" t="n"/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19">
        <f>IF($B245="","",IF(COUNT(D245:G245)=0,"",ROUND(IF(D245="",1,D245)*IF(E245="",1,E245)*IF(F245="",1,F245)*IF(G245="",1,G245),3)))</f>
        <v/>
      </c>
      <c r="I245" s="30" t="n"/>
      <c r="J245" s="30" t="n"/>
      <c r="K245" s="30" t="n"/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19">
        <f>IF($B246="","",IF(COUNT(D246:G246)=0,"",ROUND(IF(D246="",1,D246)*IF(E246="",1,E246)*IF(F246="",1,F246)*IF(G246="",1,G246),3)))</f>
        <v/>
      </c>
      <c r="I246" s="30" t="n"/>
      <c r="J246" s="30" t="n"/>
      <c r="K246" s="30" t="n"/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19">
        <f>IF($B247="","",IF(COUNT(D247:G247)=0,"",ROUND(IF(D247="",1,D247)*IF(E247="",1,E247)*IF(F247="",1,F247)*IF(G247="",1,G247),3)))</f>
        <v/>
      </c>
      <c r="I247" s="30" t="n"/>
      <c r="J247" s="30" t="n"/>
      <c r="K247" s="30" t="n"/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19">
        <f>IF($B248="","",IF(COUNT(D248:G248)=0,"",ROUND(IF(D248="",1,D248)*IF(E248="",1,E248)*IF(F248="",1,F248)*IF(G248="",1,G248),3)))</f>
        <v/>
      </c>
      <c r="I248" s="30" t="n"/>
      <c r="J248" s="30" t="n"/>
      <c r="K248" s="30" t="n"/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19">
        <f>IF($B249="","",IF(COUNT(D249:G249)=0,"",ROUND(IF(D249="",1,D249)*IF(E249="",1,E249)*IF(F249="",1,F249)*IF(G249="",1,G249),3)))</f>
        <v/>
      </c>
      <c r="I249" s="30" t="n"/>
      <c r="J249" s="30" t="n"/>
      <c r="K249" s="30" t="n"/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19">
        <f>IF($B250="","",IF(COUNT(D250:G250)=0,"",ROUND(IF(D250="",1,D250)*IF(E250="",1,E250)*IF(F250="",1,F250)*IF(G250="",1,G250),3)))</f>
        <v/>
      </c>
      <c r="I250" s="30" t="n"/>
      <c r="J250" s="30" t="n"/>
      <c r="K250" s="30" t="n"/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19">
        <f>IF($B251="","",IF(COUNT(D251:G251)=0,"",ROUND(IF(D251="",1,D251)*IF(E251="",1,E251)*IF(F251="",1,F251)*IF(G251="",1,G251),3)))</f>
        <v/>
      </c>
      <c r="I251" s="30" t="n"/>
      <c r="J251" s="30" t="n"/>
      <c r="K251" s="30" t="n"/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19">
        <f>IF($B252="","",IF(COUNT(D252:G252)=0,"",ROUND(IF(D252="",1,D252)*IF(E252="",1,E252)*IF(F252="",1,F252)*IF(G252="",1,G252),3)))</f>
        <v/>
      </c>
      <c r="I252" s="30" t="n"/>
      <c r="J252" s="30" t="n"/>
      <c r="K252" s="30" t="n"/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19">
        <f>IF($B253="","",IF(COUNT(D253:G253)=0,"",ROUND(IF(D253="",1,D253)*IF(E253="",1,E253)*IF(F253="",1,F253)*IF(G253="",1,G253),3)))</f>
        <v/>
      </c>
      <c r="I253" s="30" t="n"/>
      <c r="J253" s="30" t="n"/>
      <c r="K253" s="30" t="n"/>
    </row>
    <row r="255">
      <c r="A255" s="17" t="inlineStr">
        <is>
          <t>구분에 «당초» 또는 «변경» 을 고르면 내역서의 «수량(산출서)» 칸이 자동으로 합쳐집니다. 쓰지 않는 칸(세로·높이 등)은 비워 두세요 — 1 로 봅니다.</t>
        </is>
      </c>
    </row>
  </sheetData>
  <mergeCells count="3">
    <mergeCell ref="A2:K2"/>
    <mergeCell ref="A255:K255"/>
    <mergeCell ref="A1:K1"/>
  </mergeCells>
  <dataValidations count="1">
    <dataValidation sqref="A4:A253" showDropDown="0" showInputMessage="0" showErrorMessage="0" allowBlank="1" type="list">
      <formula1>"당초,변경"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설 계 변 경  (계약금액 조정) 요 청 서</t>
        </is>
      </c>
    </row>
    <row r="4" ht="22" customHeight="1">
      <c r="B4" s="39" t="inlineStr">
        <is>
          <t>공 사 명</t>
        </is>
      </c>
      <c r="C4" s="40">
        <f>IF('설정'!$C$5="","",'설정'!$C$5)</f>
        <v/>
      </c>
      <c r="D4" s="6" t="n"/>
      <c r="E4" s="6" t="n"/>
    </row>
    <row r="5" ht="22" customHeight="1">
      <c r="B5" s="39" t="inlineStr">
        <is>
          <t>계약번호</t>
        </is>
      </c>
      <c r="C5" s="40">
        <f>IF('설정'!$C$6="","",'설정'!$C$6)</f>
        <v/>
      </c>
      <c r="D5" s="6" t="n"/>
      <c r="E5" s="6" t="n"/>
    </row>
    <row r="6" ht="22" customHeight="1">
      <c r="B6" s="39" t="inlineStr">
        <is>
          <t>발주기관</t>
        </is>
      </c>
      <c r="C6" s="40">
        <f>IF('설정'!$C$7="","",'설정'!$C$7)</f>
        <v/>
      </c>
      <c r="D6" s="6" t="n"/>
      <c r="E6" s="6" t="n"/>
    </row>
    <row r="7" ht="22" customHeight="1">
      <c r="B7" s="39" t="inlineStr">
        <is>
          <t>변경 차수</t>
        </is>
      </c>
      <c r="C7" s="40">
        <f>IF('설정'!$C$9="","",'설정'!$C$9)</f>
        <v/>
      </c>
      <c r="D7" s="6" t="n"/>
      <c r="E7" s="6" t="n"/>
    </row>
    <row r="9" ht="22" customHeight="1">
      <c r="B9" s="39" t="inlineStr">
        <is>
          <t>당초 계약금액</t>
        </is>
      </c>
      <c r="C9" s="41">
        <f>'설정'!$C$13</f>
        <v/>
      </c>
      <c r="D9" s="6" t="n"/>
      <c r="E9" s="6" t="n"/>
    </row>
    <row r="10" ht="22" customHeight="1">
      <c r="B10" s="39" t="inlineStr">
        <is>
          <t>증  가</t>
        </is>
      </c>
      <c r="C10" s="41">
        <f>SUMIF(증감대비표!$L$4:$L$203,"증가",증감대비표!$P$4:$P$203)</f>
        <v/>
      </c>
      <c r="D10" s="6" t="n"/>
      <c r="E10" s="6" t="n"/>
    </row>
    <row r="11" ht="22" customHeight="1">
      <c r="B11" s="39" t="inlineStr">
        <is>
          <t>감  소</t>
        </is>
      </c>
      <c r="C11" s="41">
        <f>SUMIF(증감대비표!$L$4:$L$203,"감소",증감대비표!$P$4:$P$203)</f>
        <v/>
      </c>
      <c r="D11" s="6" t="n"/>
      <c r="E11" s="6" t="n"/>
    </row>
    <row r="12" ht="22" customHeight="1">
      <c r="B12" s="39" t="inlineStr">
        <is>
          <t>신 규 비 목</t>
        </is>
      </c>
      <c r="C12" s="41">
        <f>SUMIF(증감대비표!$L$4:$L$203,"신규",증감대비표!$P$4:$P$203)</f>
        <v/>
      </c>
      <c r="D12" s="6" t="n"/>
      <c r="E12" s="6" t="n"/>
    </row>
    <row r="13" ht="22" customHeight="1">
      <c r="B13" s="39" t="inlineStr">
        <is>
          <t>직접공사비 증감</t>
        </is>
      </c>
      <c r="C13" s="41">
        <f>증감대비표!$P$207</f>
        <v/>
      </c>
      <c r="D13" s="6" t="n"/>
      <c r="E13" s="6" t="n"/>
    </row>
    <row r="14" ht="22" customHeight="1">
      <c r="B14" s="39" t="inlineStr">
        <is>
          <t>제비율 · 이윤 · 부가세 증감</t>
        </is>
      </c>
      <c r="C14" s="41">
        <f>증감대비표!$P$208</f>
        <v/>
      </c>
      <c r="D14" s="6" t="n"/>
      <c r="E14" s="6" t="n"/>
    </row>
    <row r="15" ht="22" customHeight="1">
      <c r="B15" s="39" t="inlineStr">
        <is>
          <t>계약금액 증감</t>
        </is>
      </c>
      <c r="C15" s="41">
        <f>증감대비표!$P$209</f>
        <v/>
      </c>
      <c r="D15" s="6" t="n"/>
      <c r="E15" s="6" t="n"/>
    </row>
    <row r="16" ht="22" customHeight="1">
      <c r="B16" s="39" t="inlineStr">
        <is>
          <t>증감률</t>
        </is>
      </c>
      <c r="C16" s="40">
        <f>IF(N('설정'!$C$13)=0,"",ROUND(증감대비표!$P$209/'설정'!$C$13*100,2)&amp;" %")</f>
        <v/>
      </c>
      <c r="D16" s="6" t="n"/>
      <c r="E16" s="6" t="n"/>
    </row>
    <row r="17" ht="22" customHeight="1">
      <c r="B17" s="42" t="inlineStr">
        <is>
          <t>변경 후 계약금액</t>
        </is>
      </c>
      <c r="C17" s="43">
        <f>증감대비표!$P$210</f>
        <v/>
      </c>
      <c r="D17" s="44" t="n"/>
      <c r="E17" s="44" t="n"/>
    </row>
    <row r="19" ht="54" customHeight="1">
      <c r="B19" s="39" t="inlineStr">
        <is>
          <t>변경 사유</t>
        </is>
      </c>
      <c r="C19" s="45" t="inlineStr"/>
      <c r="D19" s="6" t="n"/>
      <c r="E19" s="6" t="n"/>
    </row>
    <row r="20" ht="54" customHeight="1">
      <c r="B20" s="39" t="inlineStr">
        <is>
          <t>근거 서류</t>
        </is>
      </c>
      <c r="C20" s="45" t="inlineStr"/>
      <c r="D20" s="6" t="n"/>
      <c r="E20" s="6" t="n"/>
    </row>
    <row r="22">
      <c r="B22" s="46" t="inlineStr">
        <is>
          <t>위와 같이 설계변경에 따른 계약금액 조정을 요청합니다.</t>
        </is>
      </c>
    </row>
    <row r="25">
      <c r="B25" s="47" t="inlineStr">
        <is>
          <t>현장대리인</t>
        </is>
      </c>
      <c r="C25" s="48" t="inlineStr">
        <is>
          <t>(서명 또는 인)</t>
        </is>
      </c>
      <c r="D25" s="47" t="inlineStr">
        <is>
          <t>대표자</t>
        </is>
      </c>
      <c r="E25" s="48" t="inlineStr">
        <is>
          <t>(서명 또는 인)</t>
        </is>
      </c>
    </row>
  </sheetData>
  <mergeCells count="17">
    <mergeCell ref="C16:E16"/>
    <mergeCell ref="A2:F2"/>
    <mergeCell ref="C11:E11"/>
    <mergeCell ref="C14:E14"/>
    <mergeCell ref="C5:E5"/>
    <mergeCell ref="C13:E13"/>
    <mergeCell ref="C19:E19"/>
    <mergeCell ref="A1:F1"/>
    <mergeCell ref="C15:E15"/>
    <mergeCell ref="C9:E9"/>
    <mergeCell ref="C4:E4"/>
    <mergeCell ref="C17:E17"/>
    <mergeCell ref="C7:E7"/>
    <mergeCell ref="C20:E20"/>
    <mergeCell ref="C12:E12"/>
    <mergeCell ref="C6:E6"/>
    <mergeCell ref="C10:E10"/>
  </mergeCells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12" customWidth="1" min="4" max="4"/>
    <col width="56" customWidth="1" min="5" max="5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검 증 시 트</t>
        </is>
      </c>
    </row>
    <row r="3" ht="30" customHeight="1">
      <c r="A3" s="3" t="inlineStr">
        <is>
          <t>번호</t>
        </is>
      </c>
      <c r="B3" s="3" t="inlineStr">
        <is>
          <t>무엇을 보는가</t>
        </is>
      </c>
      <c r="C3" s="3" t="inlineStr">
        <is>
          <t>값</t>
        </is>
      </c>
      <c r="D3" s="3" t="inlineStr">
        <is>
          <t>판정</t>
        </is>
      </c>
      <c r="E3" s="3" t="inlineStr">
        <is>
          <t>틀렸을 때 어떻게 되나</t>
        </is>
      </c>
    </row>
    <row r="4" ht="30" customHeight="1">
      <c r="A4" s="49" t="n">
        <v>1</v>
      </c>
      <c r="B4" s="49" t="inlineStr">
        <is>
          <t>낙찰률이 들어 있는가</t>
        </is>
      </c>
      <c r="C4" s="50">
        <f>'설정'!$C$15</f>
        <v/>
      </c>
      <c r="D4" s="51">
        <f>IF(N(C4)&gt;0,"✅","⚠️")</f>
        <v/>
      </c>
      <c r="E4" s="52" t="inlineStr">
        <is>
          <t>비어 있으면 신규 비목 단가가 0 이 됩니다. 조정금액이 통째로 틀립니다.</t>
        </is>
      </c>
    </row>
    <row r="5" ht="30" customHeight="1">
      <c r="A5" s="49" t="n">
        <v>2</v>
      </c>
      <c r="B5" s="49" t="inlineStr">
        <is>
          <t>내역서에서 단가를 못 찾은 줄</t>
        </is>
      </c>
      <c r="C5" s="53">
        <f>COUNTIF(내역서!$C$4:$C$203,"⚠️*")</f>
        <v/>
      </c>
      <c r="D5" s="51">
        <f>IF(N(C5)=0,"✅","⚠️")</f>
        <v/>
      </c>
      <c r="E5" s="52" t="inlineStr">
        <is>
          <t>단가마스터·일위대가 어디에도 없는 코드입니다. 그 줄 금액이 0 으로 잡힙니다.</t>
        </is>
      </c>
    </row>
    <row r="6" ht="30" customHeight="1">
      <c r="A6" s="49" t="n">
        <v>3</v>
      </c>
      <c r="B6" s="49" t="inlineStr">
        <is>
          <t>신규 비목 (당초 수량이 없는 줄)</t>
        </is>
      </c>
      <c r="C6" s="53">
        <f>SUMPRODUCT((내역서!$B$4:$B$203&lt;&gt;"")*(N(내역서!$F$4:$F$203)=0)*(N(내역서!$N$4:$N$203)&lt;&gt;0))</f>
        <v/>
      </c>
      <c r="D6" s="51">
        <f>"—"</f>
        <v/>
      </c>
      <c r="E6" s="52" t="inlineStr">
        <is>
          <t>신규 비목은 «설계변경 당시 단가 × 낙찰률» 로 잡습니다(시행령 제65조). 증감대비표에서 «신규» 로 표시된 줄과 개수가 같은지 보세요.</t>
        </is>
      </c>
    </row>
    <row r="7" ht="30" customHeight="1">
      <c r="A7" s="49" t="n">
        <v>4</v>
      </c>
      <c r="B7" s="49" t="inlineStr">
        <is>
          <t>당초 단가를 안 옮겨 적은 줄</t>
        </is>
      </c>
      <c r="C7" s="53">
        <f>SUMPRODUCT((내역서!$B$4:$B$203&lt;&gt;"")*(N(내역서!$F$4:$F$203)&lt;&gt;0)*(N(내역서!$J$4:$J$203)=0))</f>
        <v/>
      </c>
      <c r="D7" s="51">
        <f>IF(N(C7)=0,"✅","⚠️")</f>
        <v/>
      </c>
      <c r="E7" s="52" t="inlineStr">
        <is>
          <t>당초 수량은 있는데 당초 단가가 0 입니다. 계약 내역서에서 단가를 옮겨 적으세요 — 그대로 두면 증감금액이 «변경금액 전부» 로 잡혀 크게 부풀려집니다.</t>
        </is>
      </c>
    </row>
    <row r="8" ht="30" customHeight="1">
      <c r="A8" s="49" t="n">
        <v>5</v>
      </c>
      <c r="B8" s="49" t="inlineStr">
        <is>
          <t>단가마스터에 코드가 겹치는 개수</t>
        </is>
      </c>
      <c r="C8" s="53">
        <f>SUMPRODUCT((단가마스터!$A$4:$A$303&lt;&gt;"")*(COUNTIF(단가마스터!$A$4:$A$303,단가마스터!$A$4:$A$303&amp;"")&gt;1))</f>
        <v/>
      </c>
      <c r="D8" s="51">
        <f>IF(N(C8)=0,"✅","⚠️")</f>
        <v/>
      </c>
      <c r="E8" s="52" t="inlineStr">
        <is>
          <t>VLOOKUP 은 «맨 위 하나» 만 씁니다. 뒤에 적은 단가는 조용히 무시됩니다.</t>
        </is>
      </c>
    </row>
    <row r="9" ht="30" customHeight="1">
      <c r="A9" s="49" t="n">
        <v>6</v>
      </c>
      <c r="B9" s="49" t="inlineStr">
        <is>
          <t>적용수량이 음수인 줄 (당초+변경)</t>
        </is>
      </c>
      <c r="C9" s="53">
        <f>SUMPRODUCT((내역서!$F$4:$F$203&lt;0)*1)+SUMPRODUCT((내역서!$N$4:$N$203&lt;0)*1)</f>
        <v/>
      </c>
      <c r="D9" s="51">
        <f>IF(N(C9)=0,"✅","⚠️")</f>
        <v/>
      </c>
      <c r="E9" s="52" t="inlineStr">
        <is>
          <t>수량을 음수로 넣어 감소를 표현하면 안 됩니다. 변경수량을 줄여서 적으세요.</t>
        </is>
      </c>
    </row>
    <row r="10" ht="30" customHeight="1">
      <c r="A10" s="49" t="n">
        <v>7</v>
      </c>
      <c r="B10" s="49" t="inlineStr">
        <is>
          <t>증가분에 낙찰률이 잘못 곱해진 줄</t>
        </is>
      </c>
      <c r="C10" s="53">
        <f>SUMPRODUCT((증감대비표!$L$4:$L$203="증가")*(증감대비표!$M$4:$M$203&lt;&gt;"Y")*(증감대비표!$O$4:$O$203&lt;&gt;증감대비표!$G$4:$G$203)*(증감대비표!$N$4:$N$203=""))</f>
        <v/>
      </c>
      <c r="D10" s="51">
        <f>IF(N(C10)=0,"✅","⚠️")</f>
        <v/>
      </c>
      <c r="E10" s="52" t="inlineStr">
        <is>
          <t>증가분은 계약단가 그대로여야 합니다. 낙찰률을 곱하면 조정액이 깎입니다.</t>
        </is>
      </c>
    </row>
    <row r="11" ht="30" customHeight="1">
      <c r="A11" s="49" t="n">
        <v>8</v>
      </c>
      <c r="B11" s="49" t="inlineStr">
        <is>
          <t>신규 비목에 낙찰률이 빠진 줄</t>
        </is>
      </c>
      <c r="C11" s="53">
        <f>SUMPRODUCT((증감대비표!$L$4:$L$203="신규")*(증감대비표!$M$4:$M$203&lt;&gt;"Y")*(증감대비표!$J$4:$J$203&gt;0)*(증감대비표!$O$4:$O$203=증감대비표!$J$4:$J$203))</f>
        <v/>
      </c>
      <c r="D11" s="51">
        <f>IF(N(C11)=0,"✅","⚠️")</f>
        <v/>
      </c>
      <c r="E11" s="52" t="inlineStr">
        <is>
          <t>신규 비목은 «당시단가 × 낙찰률» 입니다. 안 곱하면 발주기관이 깎습니다.</t>
        </is>
      </c>
    </row>
    <row r="12" ht="30" customHeight="1">
      <c r="A12" s="49" t="n">
        <v>9</v>
      </c>
      <c r="B12" s="49" t="inlineStr">
        <is>
          <t>원가계산서 당초 도급액과 설정의 계약금액 차이</t>
        </is>
      </c>
      <c r="C12" s="53">
        <f>IF(N('설정'!$C$13)=0,"",원가계산서!$E$33-'설정'!$C$13)</f>
        <v/>
      </c>
      <c r="D12" s="51">
        <f>IF(OR(C12="",ABS(N(C12))&lt;=10000),"✅","⚠️")</f>
        <v/>
      </c>
      <c r="E12" s="52" t="inlineStr">
        <is>
          <t>원가계산서 «당초» 도급액이 계약금액과 1만 원 넘게 다릅니다. 설정의 요율이 산출내역서와 같은지, 관급 · 폐기물 · 단수 조정 같은 빠진 항목이 없는지 보세요(조정액은 «증감» 으로 세므로 영향은 작습니다).</t>
        </is>
      </c>
    </row>
    <row r="13" ht="30" customHeight="1">
      <c r="A13" s="49" t="n">
        <v>10</v>
      </c>
      <c r="B13" s="49" t="inlineStr">
        <is>
          <t>직접공사비 증감 (규정 단가 적용)</t>
        </is>
      </c>
      <c r="C13" s="53">
        <f>증감대비표!$P$207</f>
        <v/>
      </c>
      <c r="D13" s="51">
        <f>"—"</f>
        <v/>
      </c>
      <c r="E13" s="52" t="inlineStr">
        <is>
          <t>재료비 · 노무비 · 경비의 증감입니다(시행령 제65조 단가).</t>
        </is>
      </c>
    </row>
    <row r="14" ht="30" customHeight="1">
      <c r="A14" s="49" t="n">
        <v>11</v>
      </c>
      <c r="B14" s="49" t="inlineStr">
        <is>
          <t>계약금액 증감 (제비율 · 부가세 포함)</t>
        </is>
      </c>
      <c r="C14" s="53">
        <f>증감대비표!$P$209</f>
        <v/>
      </c>
      <c r="D14" s="51">
        <f>"—"</f>
        <v/>
      </c>
      <c r="E14" s="52" t="inlineStr">
        <is>
          <t>이 값이 발주기관에 내는 조정금액입니다 — 원가계산서 «도급액» 의 증감(시행령 제65조⑥).</t>
        </is>
      </c>
    </row>
    <row r="15" ht="30" customHeight="1">
      <c r="A15" s="49" t="n">
        <v>12</v>
      </c>
      <c r="B15" s="49" t="inlineStr">
        <is>
          <t>변경 − 당초 (단순 차)</t>
        </is>
      </c>
      <c r="C15" s="53">
        <f>내역서!$K$204*-1+내역서!$S$204</f>
        <v/>
      </c>
      <c r="D15" s="51">
        <f>"—"</f>
        <v/>
      </c>
      <c r="E15" s="52" t="inlineStr">
        <is>
          <t>위 «증감 합계» 와 다른 것이 정상입니다 — 규정 단가(증가는 계약단가, 신규는 낙찰률 적용)를 쓰기 때문입니다.</t>
        </is>
      </c>
    </row>
    <row r="16" ht="30" customHeight="1">
      <c r="A16" s="49" t="n">
        <v>13</v>
      </c>
      <c r="B16" s="49" t="inlineStr">
        <is>
          <t>증감률 (%)</t>
        </is>
      </c>
      <c r="C16" s="54">
        <f>IF(N('설정'!$C$13)=0,"",ROUND(증감대비표!$P$209/'설정'!$C$13*100,2))</f>
        <v/>
      </c>
      <c r="D16" s="51">
        <f>IF(C16="","—",IF(ABS(N(C16))&lt;30,"✅","⚠️"))</f>
        <v/>
      </c>
      <c r="E16" s="52" t="inlineStr">
        <is>
          <t>30% 를 넘으면 발주기관 내부 절차가 길어집니다. 차수를 나누는 편이 빠를 수 있습니다.</t>
        </is>
      </c>
    </row>
    <row r="18">
      <c r="B18" s="55" t="inlineStr">
        <is>
          <t>⚠️ 가 하나라도 있으면 그 줄의 «틀렸을 때 어떻게 되나» 를 읽고 고친 뒤 제출하세요.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52" customWidth="1" min="4" max="4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설  정</t>
        </is>
      </c>
    </row>
    <row r="4">
      <c r="B4" s="56" t="inlineStr">
        <is>
          <t>■ 공사 정보</t>
        </is>
      </c>
    </row>
    <row r="5">
      <c r="B5" s="57" t="inlineStr">
        <is>
          <t>공 사 명</t>
        </is>
      </c>
      <c r="C5" s="30" t="inlineStr"/>
      <c r="D5" s="1" t="inlineStr">
        <is>
          <t>예) ○○지구 배수개선사업</t>
        </is>
      </c>
    </row>
    <row r="6">
      <c r="B6" s="57" t="inlineStr">
        <is>
          <t>계약번호</t>
        </is>
      </c>
      <c r="C6" s="30" t="inlineStr"/>
      <c r="D6" s="1" t="inlineStr"/>
    </row>
    <row r="7">
      <c r="B7" s="57" t="inlineStr">
        <is>
          <t>발주기관</t>
        </is>
      </c>
      <c r="C7" s="30" t="inlineStr"/>
      <c r="D7" s="1" t="inlineStr"/>
    </row>
    <row r="8">
      <c r="B8" s="57" t="inlineStr">
        <is>
          <t>계약일자</t>
        </is>
      </c>
      <c r="C8" s="30" t="inlineStr"/>
      <c r="D8" s="1" t="inlineStr"/>
    </row>
    <row r="9">
      <c r="B9" s="57" t="inlineStr">
        <is>
          <t>변경 차수</t>
        </is>
      </c>
      <c r="C9" s="30" t="inlineStr">
        <is>
          <t>1차</t>
        </is>
      </c>
      <c r="D9" s="1" t="inlineStr"/>
    </row>
    <row r="10">
      <c r="B10" s="57" t="inlineStr">
        <is>
          <t>작성일자</t>
        </is>
      </c>
      <c r="C10" s="30" t="inlineStr"/>
      <c r="D10" s="1" t="inlineStr"/>
    </row>
    <row r="12">
      <c r="B12" s="56" t="inlineStr">
        <is>
          <t>■ 금액 (여기 숫자가 모든 계산의 뿌리입니다)</t>
        </is>
      </c>
    </row>
    <row r="13">
      <c r="B13" s="57" t="inlineStr">
        <is>
          <t>계약금액 (원)</t>
        </is>
      </c>
      <c r="C13" s="23" t="n">
        <v>0</v>
      </c>
      <c r="D13" s="1" t="inlineStr">
        <is>
          <t>부가세 포함 계약금액</t>
        </is>
      </c>
    </row>
    <row r="14">
      <c r="B14" s="57" t="inlineStr">
        <is>
          <t>예정가격 (원)</t>
        </is>
      </c>
      <c r="C14" s="23" t="n">
        <v>0</v>
      </c>
      <c r="D14" s="1" t="inlineStr">
        <is>
          <t>개찰 때 확정된 예정가격</t>
        </is>
      </c>
    </row>
    <row r="15">
      <c r="B15" s="57" t="inlineStr">
        <is>
          <t>낙찰률 (%)</t>
        </is>
      </c>
      <c r="C15" s="58" t="n">
        <v>0</v>
      </c>
      <c r="D15" s="1" t="inlineStr">
        <is>
          <t>※ =계약금액÷예정가격×100. 아래 «자동» 값을 참고해 적으세요</t>
        </is>
      </c>
    </row>
    <row r="16">
      <c r="B16" s="57" t="inlineStr">
        <is>
          <t xml:space="preserve">  (자동 계산)</t>
        </is>
      </c>
      <c r="C16" s="59">
        <f>IF(C14&gt;0,ROUND(C13/C14*100,5),"")</f>
        <v/>
      </c>
      <c r="D16" s="1" t="inlineStr">
        <is>
          <t>예정가격이 0이면 비어 있습니다</t>
        </is>
      </c>
    </row>
    <row r="18">
      <c r="B18" s="56" t="inlineStr">
        <is>
          <t>■ 원가 요율 — ⚠️ 해마다·공사 규모마다 바뀝니다. 설계서 값을 넣으세요</t>
        </is>
      </c>
    </row>
    <row r="19">
      <c r="B19" s="57" t="inlineStr">
        <is>
          <t>간접노무비율 (%)</t>
        </is>
      </c>
      <c r="C19" s="30" t="n">
        <v>19.1</v>
      </c>
      <c r="D19" s="1" t="inlineStr">
        <is>
          <t>직접노무비(4) × 요율</t>
        </is>
      </c>
    </row>
    <row r="20">
      <c r="B20" s="57" t="inlineStr">
        <is>
          <t>산재보험료율 (%)</t>
        </is>
      </c>
      <c r="C20" s="30" t="n">
        <v>3.56</v>
      </c>
      <c r="D20" s="1" t="inlineStr">
        <is>
          <t>노무비 계(B) × 요율</t>
        </is>
      </c>
    </row>
    <row r="21">
      <c r="B21" s="57" t="inlineStr">
        <is>
          <t>고용보험료율 (%)</t>
        </is>
      </c>
      <c r="C21" s="30" t="n">
        <v>1.01</v>
      </c>
      <c r="D21" s="1" t="inlineStr">
        <is>
          <t>노무비 계(B) × 요율</t>
        </is>
      </c>
    </row>
    <row r="22">
      <c r="B22" s="57" t="inlineStr">
        <is>
          <t>건강보험료율 (%)</t>
        </is>
      </c>
      <c r="C22" s="30" t="n">
        <v>3.595</v>
      </c>
      <c r="D22" s="1" t="inlineStr">
        <is>
          <t>직접노무비(4) × 요율</t>
        </is>
      </c>
    </row>
    <row r="23">
      <c r="B23" s="57" t="inlineStr">
        <is>
          <t>연금보험료율 (%)</t>
        </is>
      </c>
      <c r="C23" s="30" t="n">
        <v>4.75</v>
      </c>
      <c r="D23" s="1" t="inlineStr">
        <is>
          <t>직접노무비(4) × 요율</t>
        </is>
      </c>
    </row>
    <row r="24">
      <c r="B24" s="57" t="inlineStr">
        <is>
          <t>노인장기요양보험료율 (%)</t>
        </is>
      </c>
      <c r="C24" s="30" t="n">
        <v>13.14</v>
      </c>
      <c r="D24" s="1" t="inlineStr">
        <is>
          <t>건강보험료(9) × 요율 — 노무비가 아닙니다</t>
        </is>
      </c>
    </row>
    <row r="25">
      <c r="B25" s="57" t="inlineStr">
        <is>
          <t>퇴직공제부금비율 (%)</t>
        </is>
      </c>
      <c r="C25" s="30" t="n">
        <v>2.3</v>
      </c>
      <c r="D25" s="1" t="inlineStr">
        <is>
          <t>직접노무비(4) × 요율</t>
        </is>
      </c>
    </row>
    <row r="26">
      <c r="B26" s="57" t="inlineStr">
        <is>
          <t>건설기계대여보증율 (%)</t>
        </is>
      </c>
      <c r="C26" s="30" t="n">
        <v>0.4</v>
      </c>
      <c r="D26" s="1" t="inlineStr">
        <is>
          <t>(A + 4 + 6) × 요율</t>
        </is>
      </c>
    </row>
    <row r="27">
      <c r="B27" s="57" t="inlineStr">
        <is>
          <t>산업안전보건관리비율 (%)</t>
        </is>
      </c>
      <c r="C27" s="30" t="n">
        <v>3.15</v>
      </c>
      <c r="D27" s="1" t="inlineStr">
        <is>
          <t>((A + 4) + 관급자재대÷1.1) × 요율</t>
        </is>
      </c>
    </row>
    <row r="28">
      <c r="B28" s="57" t="inlineStr">
        <is>
          <t>환경보전비율 (%)</t>
        </is>
      </c>
      <c r="C28" s="30" t="n">
        <v>0.8</v>
      </c>
      <c r="D28" s="1" t="inlineStr">
        <is>
          <t>(A + 4 + 6) × 요율</t>
        </is>
      </c>
    </row>
    <row r="29">
      <c r="B29" s="57" t="inlineStr">
        <is>
          <t>하도급대금보증수수료율 (%)</t>
        </is>
      </c>
      <c r="C29" s="30" t="n">
        <v>0.081</v>
      </c>
      <c r="D29" s="1" t="inlineStr">
        <is>
          <t>(A + 4 + 6) × 요율</t>
        </is>
      </c>
    </row>
    <row r="30">
      <c r="B30" s="57" t="inlineStr">
        <is>
          <t>석면분담금율 (%)</t>
        </is>
      </c>
      <c r="C30" s="30" t="n">
        <v>0.006</v>
      </c>
      <c r="D30" s="1" t="inlineStr">
        <is>
          <t>노무비 계(B) × 요율</t>
        </is>
      </c>
    </row>
    <row r="31">
      <c r="B31" s="57" t="inlineStr">
        <is>
          <t>임금채권부담금율 (%)</t>
        </is>
      </c>
      <c r="C31" s="30" t="n">
        <v>0.09</v>
      </c>
      <c r="D31" s="1" t="inlineStr">
        <is>
          <t>노무비 계(B) × 요율</t>
        </is>
      </c>
    </row>
    <row r="32">
      <c r="B32" s="57" t="inlineStr">
        <is>
          <t>기타경비율 (%)</t>
        </is>
      </c>
      <c r="C32" s="30" t="n">
        <v>5.5</v>
      </c>
      <c r="D32" s="1" t="inlineStr">
        <is>
          <t>(A + B) × 요율</t>
        </is>
      </c>
    </row>
    <row r="33">
      <c r="B33" s="57" t="inlineStr">
        <is>
          <t>일반관리비율 (%)</t>
        </is>
      </c>
      <c r="C33" s="30" t="n">
        <v>8</v>
      </c>
      <c r="D33" s="1" t="inlineStr">
        <is>
          <t>순공사원가(D) × 요율 — 규모에 따라 6%도 씁니다</t>
        </is>
      </c>
    </row>
    <row r="34">
      <c r="B34" s="57" t="inlineStr">
        <is>
          <t>이윤율 (%)</t>
        </is>
      </c>
      <c r="C34" s="30" t="n">
        <v>15</v>
      </c>
      <c r="D34" s="1" t="inlineStr">
        <is>
          <t>(B + C + E) × 요율 — 재료비는 뺍니다</t>
        </is>
      </c>
    </row>
    <row r="35">
      <c r="B35" s="57" t="inlineStr">
        <is>
          <t>부가가치세율 (%)</t>
        </is>
      </c>
      <c r="C35" s="30" t="n">
        <v>10</v>
      </c>
      <c r="D35" s="1" t="inlineStr">
        <is>
          <t>총원가(H) × 요율</t>
        </is>
      </c>
    </row>
    <row r="37">
      <c r="A37" s="17" t="inlineStr">
        <is>
          <t>노랑 칸이 사람이 넣는 자리입니다. 회색 칸은 수식이 채웁니다. 낙찰률은 «자동 계산» 값을 보고 적으세요 — 공고서에 적힌 값이 있으면 그 값이 우선입니다. 신규 비목 단가에 이 낙찰률이 곱해지므로, 여기가 비어 있으면 증감대비표가 0을 냅니다.</t>
        </is>
      </c>
    </row>
  </sheetData>
  <mergeCells count="6">
    <mergeCell ref="A1:D1"/>
    <mergeCell ref="A37:D37"/>
    <mergeCell ref="B4:D4"/>
    <mergeCell ref="B18:D18"/>
    <mergeCell ref="A2:D2"/>
    <mergeCell ref="B12:D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6" customWidth="1" min="3" max="3"/>
  </cols>
  <sheetData>
    <row r="1">
      <c r="A1" s="1" t="inlineStr">
        <is>
          <t>K-건설맵  |  k-conmap.com   ← 이 1행을 지우고 쓰셔도 됩니다</t>
        </is>
      </c>
    </row>
    <row r="2" ht="24" customHeight="1">
      <c r="A2" s="2" t="inlineStr">
        <is>
          <t>이 파일을 쓰는 법</t>
        </is>
      </c>
    </row>
    <row r="4" ht="26" customHeight="1">
      <c r="B4" s="60" t="inlineStr">
        <is>
          <t>① 설정</t>
        </is>
      </c>
      <c r="C4" s="61" t="inlineStr">
        <is>
          <t>공사명·계약금액·예정가격·낙찰률·요율을 넣습니다. 낙찰률은 «자동 계산» 값을 참고하세요.</t>
        </is>
      </c>
    </row>
    <row r="5" ht="26" customHeight="1">
      <c r="B5" s="60" t="inlineStr">
        <is>
          <t>② 단가마스터</t>
        </is>
      </c>
      <c r="C5" s="61" t="inlineStr">
        <is>
          <t>쓸 단가를 코드와 함께 넣습니다. 여기 단가 한 칸을 고치면 끝까지 다시 계산됩니다.</t>
        </is>
      </c>
    </row>
    <row r="6" ht="26" customHeight="1">
      <c r="B6" s="60" t="inlineStr">
        <is>
          <t>③ 일위대가</t>
        </is>
      </c>
      <c r="C6" s="61" t="inlineStr">
        <is>
          <t>복합 공종은 여기서 쌓습니다. 오른쪽(N열~)의 일위별 단가를 내역서가 가져다 씁니다.</t>
        </is>
      </c>
    </row>
    <row r="7" ht="26" customHeight="1">
      <c r="B7" s="60" t="inlineStr">
        <is>
          <t>④ 수량산출서</t>
        </is>
      </c>
      <c r="C7" s="61" t="inlineStr">
        <is>
          <t>구분(당초/변경)과 공종코드를 넣고 가로·세로·높이·개소를 적으면 수량이 자동입니다.</t>
        </is>
      </c>
    </row>
    <row r="8" ht="26" customHeight="1">
      <c r="B8" s="60" t="inlineStr">
        <is>
          <t>⑤ 내역서</t>
        </is>
      </c>
      <c r="C8" s="61" t="inlineStr">
        <is>
          <t>한 표에 당초·변경·증감이 같이 있습니다. 공종코드만 넣으면 품명·규격이 따라옵니다. 당초 수량·단가는 계약 내역서에서 옮겨 적고, 변경 단가는 단가마스터·일위대가에서 자동으로 옵니다.</t>
        </is>
      </c>
    </row>
    <row r="9" ht="26" customHeight="1">
      <c r="B9" s="60" t="inlineStr">
        <is>
          <t>⑥ 신규 비목</t>
        </is>
      </c>
      <c r="C9" s="61" t="inlineStr">
        <is>
          <t>당초 수량을 비우고 변경 수량만 넣으면 «신규» 로 잡혀 «당시단가 × 낙찰률» 이 적용됩니다.</t>
        </is>
      </c>
    </row>
    <row r="10" ht="26" customHeight="1">
      <c r="B10" s="60" t="inlineStr">
        <is>
          <t>⑦ 증감대비표</t>
        </is>
      </c>
      <c r="C10" s="61" t="inlineStr">
        <is>
          <t>전부 자동입니다. 손댈 곳은 «협의(Y)» 와 «예정가격단가» 둘뿐입니다.</t>
        </is>
      </c>
    </row>
    <row r="11" ht="26" customHeight="1">
      <c r="B11" s="60" t="inlineStr">
        <is>
          <t>⑧ 공종별집계</t>
        </is>
      </c>
      <c r="C11" s="61" t="inlineStr">
        <is>
          <t>대공종 코드(예: 토공)를 적으면 그 글자로 시작하는 줄을 묶어 보여줍니다.</t>
        </is>
      </c>
    </row>
    <row r="12" ht="26" customHeight="1">
      <c r="B12" s="60" t="inlineStr">
        <is>
          <t>⑨ 원가계산서</t>
        </is>
      </c>
      <c r="C12" s="61" t="inlineStr">
        <is>
          <t>당초 / 변경 후를 나란히 냅니다. 변경 후 = 당초 + 증감대비표의 제65조 증감. «도급액» 증감이 곧 계약금액 조정액입니다. 요율은 설정에서 한 번만 고칩니다.</t>
        </is>
      </c>
    </row>
    <row r="13" ht="26" customHeight="1">
      <c r="B13" s="60" t="inlineStr">
        <is>
          <t>⑩ 검증시트</t>
        </is>
      </c>
      <c r="C13" s="61" t="inlineStr">
        <is>
          <t>제출 전에 여기부터 보세요. ⚠️ 가 있으면 그 줄을 고치고 냅니다.</t>
        </is>
      </c>
    </row>
    <row r="14" ht="26" customHeight="1">
      <c r="B14" s="60" t="inlineStr">
        <is>
          <t>⑪ 제출서식</t>
        </is>
      </c>
      <c r="C14" s="61" t="inlineStr">
        <is>
          <t>발주기관에 내는 1장. 인쇄 영역이 잡혀 있습니다.</t>
        </is>
      </c>
    </row>
    <row r="16">
      <c r="B16" s="47" t="inlineStr">
        <is>
          <t>칸 색</t>
        </is>
      </c>
    </row>
    <row r="17">
      <c r="C17" s="30" t="inlineStr">
        <is>
          <t>노랑 = 사람이 넣는 칸</t>
        </is>
      </c>
    </row>
    <row r="18">
      <c r="C18" s="18" t="inlineStr">
        <is>
          <t>회색 = 수식이 채우는 칸(건드리지 마세요)</t>
        </is>
      </c>
    </row>
    <row r="19">
      <c r="C19" s="62" t="inlineStr">
        <is>
          <t>초록 = 결과</t>
        </is>
      </c>
    </row>
    <row r="21">
      <c r="B21" s="63" t="inlineStr">
        <is>
          <t>계약금액 조정 단가 기준</t>
        </is>
      </c>
    </row>
    <row r="22">
      <c r="C22" s="5" t="inlineStr">
        <is>
          <t>감소분 → 계약단가</t>
        </is>
      </c>
    </row>
    <row r="23">
      <c r="C23" s="5" t="inlineStr">
        <is>
          <t>증가분 → 계약단가 (계약단가가 예정가격단가보다 높으면 예정가격단가)</t>
        </is>
      </c>
    </row>
    <row r="24">
      <c r="C24" s="5" t="inlineStr">
        <is>
          <t>신규 비목 → 설계변경 «당시» 단가 × 낙찰률</t>
        </is>
      </c>
    </row>
    <row r="25">
      <c r="C25" s="5" t="inlineStr">
        <is>
          <t>발주기관 요구 → 협의, 불성립 시 (당시단가 + 당시단가×낙찰률) ÷ 2</t>
        </is>
      </c>
    </row>
    <row r="26">
      <c r="C26" s="5" t="inlineStr">
        <is>
          <t>※ 증가분에는 낙찰률을 곱하지 않습니다 — 가장 흔한 실수입니다.</t>
        </is>
      </c>
    </row>
    <row r="28" ht="40" customHeight="1">
      <c r="B28" s="64" t="inlineStr">
        <is>
          <t>⚠️ 참고</t>
        </is>
      </c>
      <c r="C28" s="65" t="inlineStr">
        <is>
          <t>국가계약법 시행령 등을 바탕으로 만들었지만 계약서 특수조건과 발주기관 판단이 우선합니다. 금액이 큰 건은 전문가 검토를 받으세요. 1행의 K-건설맵 표시는 지우고 쓰셔도 됩니다.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2026-10-19T16:21:01Z</dcterms:created>
  <dcterms:modified xmlns:dcterms="http://purl.org/dc/terms/" xmlns:xsi="http://www.w3.org/2001/XMLSchema-instance" xsi:type="dcterms:W3CDTF">2026-10-19T16:21:03Z</dcterms:modified>
</cp:coreProperties>
</file>