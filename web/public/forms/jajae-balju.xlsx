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발주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'자재발주서'!$A$1:$X$42</definedName>
    <definedName name="_xlnm.Print_Area" localSheetId="1">'작성 예시'!$A$1:$X$42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년&quot; m&quot;월&quot; d&quot;일&quot;"/>
    <numFmt numFmtId="165" formatCode="#,##0.###;[Red]-#,##0.###;&quot;&quot;"/>
    <numFmt numFmtId="166" formatCode="#,##0;[Red]-#,##0;&quot;&quot;"/>
    <numFmt numFmtId="167" formatCode="0.0##%"/>
    <numFmt numFmtId="168" formatCode="[DBNum4][$-412]&quot;일금 &quot;General&quot;원정&quot;;;&quot;&quot;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right" vertical="center" shrinkToFit="1"/>
    </xf>
    <xf numFmtId="167" fontId="5" fillId="6" borderId="1" applyAlignment="1" pivotButton="0" quotePrefix="0" xfId="0">
      <alignment horizontal="center" vertical="center" shrinkToFit="1"/>
    </xf>
    <xf numFmtId="168" fontId="6" fillId="4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발 주 서</t>
        </is>
      </c>
    </row>
    <row r="4" ht="10" customHeight="1"/>
    <row r="5" ht="24" customHeight="1">
      <c r="A5" s="4" t="inlineStr">
        <is>
          <t xml:space="preserve">  발주번호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발주일자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 사 명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납품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납품 기한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결제 조건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공급자 상호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사업자등록번호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담당자·연락처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8" t="inlineStr">
        <is>
          <t>번호</t>
        </is>
      </c>
      <c r="B16" s="5" t="n"/>
      <c r="C16" s="8" t="inlineStr">
        <is>
          <t>품  명</t>
        </is>
      </c>
      <c r="D16" s="5" t="n"/>
      <c r="E16" s="5" t="n"/>
      <c r="F16" s="5" t="n"/>
      <c r="G16" s="5" t="n"/>
      <c r="H16" s="8" t="inlineStr">
        <is>
          <t>규  격</t>
        </is>
      </c>
      <c r="I16" s="5" t="n"/>
      <c r="J16" s="5" t="n"/>
      <c r="K16" s="5" t="n"/>
      <c r="L16" s="8" t="inlineStr">
        <is>
          <t>단위</t>
        </is>
      </c>
      <c r="M16" s="5" t="n"/>
      <c r="N16" s="8" t="inlineStr">
        <is>
          <t>수량</t>
        </is>
      </c>
      <c r="O16" s="5" t="n"/>
      <c r="P16" s="8" t="inlineStr">
        <is>
          <t>단  가</t>
        </is>
      </c>
      <c r="Q16" s="5" t="n"/>
      <c r="R16" s="5" t="n"/>
      <c r="S16" s="8" t="inlineStr">
        <is>
          <t>금  액</t>
        </is>
      </c>
      <c r="T16" s="5" t="n"/>
      <c r="U16" s="5" t="n"/>
      <c r="V16" s="8" t="inlineStr">
        <is>
          <t>비  고</t>
        </is>
      </c>
      <c r="W16" s="5" t="n"/>
      <c r="X16" s="5" t="n"/>
    </row>
    <row r="17" ht="22" customHeight="1">
      <c r="A17" s="9">
        <f>IF(C17="","",COUNTA(C17:C17))</f>
        <v/>
      </c>
      <c r="B17" s="5" t="n"/>
      <c r="C17" s="10" t="n"/>
      <c r="D17" s="5" t="n"/>
      <c r="E17" s="5" t="n"/>
      <c r="F17" s="5" t="n"/>
      <c r="G17" s="5" t="n"/>
      <c r="H17" s="10" t="n"/>
      <c r="I17" s="5" t="n"/>
      <c r="J17" s="5" t="n"/>
      <c r="K17" s="5" t="n"/>
      <c r="L17" s="10" t="n"/>
      <c r="M17" s="5" t="n"/>
      <c r="N17" s="11" t="n"/>
      <c r="O17" s="5" t="n"/>
      <c r="P17" s="12" t="n"/>
      <c r="Q17" s="5" t="n"/>
      <c r="R17" s="5" t="n"/>
      <c r="S17" s="13">
        <f>IF(OR(N17="",P17=""),"",INT(ROUND(N17*P17,6)))</f>
        <v/>
      </c>
      <c r="T17" s="5" t="n"/>
      <c r="U17" s="5" t="n"/>
      <c r="V17" s="10" t="n"/>
      <c r="W17" s="5" t="n"/>
      <c r="X17" s="5" t="n"/>
    </row>
    <row r="18" ht="22" customHeight="1">
      <c r="A18" s="9">
        <f>IF(C18="","",COUNTA(C17:C18))</f>
        <v/>
      </c>
      <c r="B18" s="5" t="n"/>
      <c r="C18" s="10" t="n"/>
      <c r="D18" s="5" t="n"/>
      <c r="E18" s="5" t="n"/>
      <c r="F18" s="5" t="n"/>
      <c r="G18" s="5" t="n"/>
      <c r="H18" s="10" t="n"/>
      <c r="I18" s="5" t="n"/>
      <c r="J18" s="5" t="n"/>
      <c r="K18" s="5" t="n"/>
      <c r="L18" s="10" t="n"/>
      <c r="M18" s="5" t="n"/>
      <c r="N18" s="11" t="n"/>
      <c r="O18" s="5" t="n"/>
      <c r="P18" s="12" t="n"/>
      <c r="Q18" s="5" t="n"/>
      <c r="R18" s="5" t="n"/>
      <c r="S18" s="13">
        <f>IF(OR(N18="",P18=""),"",INT(ROUND(N18*P18,6)))</f>
        <v/>
      </c>
      <c r="T18" s="5" t="n"/>
      <c r="U18" s="5" t="n"/>
      <c r="V18" s="10" t="n"/>
      <c r="W18" s="5" t="n"/>
      <c r="X18" s="5" t="n"/>
    </row>
    <row r="19" ht="22" customHeight="1">
      <c r="A19" s="9">
        <f>IF(C19="","",COUNTA(C17:C19))</f>
        <v/>
      </c>
      <c r="B19" s="5" t="n"/>
      <c r="C19" s="10" t="n"/>
      <c r="D19" s="5" t="n"/>
      <c r="E19" s="5" t="n"/>
      <c r="F19" s="5" t="n"/>
      <c r="G19" s="5" t="n"/>
      <c r="H19" s="10" t="n"/>
      <c r="I19" s="5" t="n"/>
      <c r="J19" s="5" t="n"/>
      <c r="K19" s="5" t="n"/>
      <c r="L19" s="10" t="n"/>
      <c r="M19" s="5" t="n"/>
      <c r="N19" s="11" t="n"/>
      <c r="O19" s="5" t="n"/>
      <c r="P19" s="12" t="n"/>
      <c r="Q19" s="5" t="n"/>
      <c r="R19" s="5" t="n"/>
      <c r="S19" s="13">
        <f>IF(OR(N19="",P19=""),"",INT(ROUND(N19*P19,6)))</f>
        <v/>
      </c>
      <c r="T19" s="5" t="n"/>
      <c r="U19" s="5" t="n"/>
      <c r="V19" s="10" t="n"/>
      <c r="W19" s="5" t="n"/>
      <c r="X19" s="5" t="n"/>
    </row>
    <row r="20" ht="22" customHeight="1">
      <c r="A20" s="9">
        <f>IF(C20="","",COUNTA(C17:C20))</f>
        <v/>
      </c>
      <c r="B20" s="5" t="n"/>
      <c r="C20" s="10" t="n"/>
      <c r="D20" s="5" t="n"/>
      <c r="E20" s="5" t="n"/>
      <c r="F20" s="5" t="n"/>
      <c r="G20" s="5" t="n"/>
      <c r="H20" s="10" t="n"/>
      <c r="I20" s="5" t="n"/>
      <c r="J20" s="5" t="n"/>
      <c r="K20" s="5" t="n"/>
      <c r="L20" s="10" t="n"/>
      <c r="M20" s="5" t="n"/>
      <c r="N20" s="11" t="n"/>
      <c r="O20" s="5" t="n"/>
      <c r="P20" s="12" t="n"/>
      <c r="Q20" s="5" t="n"/>
      <c r="R20" s="5" t="n"/>
      <c r="S20" s="13">
        <f>IF(OR(N20="",P20=""),"",INT(ROUND(N20*P20,6)))</f>
        <v/>
      </c>
      <c r="T20" s="5" t="n"/>
      <c r="U20" s="5" t="n"/>
      <c r="V20" s="10" t="n"/>
      <c r="W20" s="5" t="n"/>
      <c r="X20" s="5" t="n"/>
    </row>
    <row r="21" ht="22" customHeight="1">
      <c r="A21" s="9">
        <f>IF(C21="","",COUNTA(C17:C21))</f>
        <v/>
      </c>
      <c r="B21" s="5" t="n"/>
      <c r="C21" s="10" t="n"/>
      <c r="D21" s="5" t="n"/>
      <c r="E21" s="5" t="n"/>
      <c r="F21" s="5" t="n"/>
      <c r="G21" s="5" t="n"/>
      <c r="H21" s="10" t="n"/>
      <c r="I21" s="5" t="n"/>
      <c r="J21" s="5" t="n"/>
      <c r="K21" s="5" t="n"/>
      <c r="L21" s="10" t="n"/>
      <c r="M21" s="5" t="n"/>
      <c r="N21" s="11" t="n"/>
      <c r="O21" s="5" t="n"/>
      <c r="P21" s="12" t="n"/>
      <c r="Q21" s="5" t="n"/>
      <c r="R21" s="5" t="n"/>
      <c r="S21" s="13">
        <f>IF(OR(N21="",P21=""),"",INT(ROUND(N21*P21,6)))</f>
        <v/>
      </c>
      <c r="T21" s="5" t="n"/>
      <c r="U21" s="5" t="n"/>
      <c r="V21" s="10" t="n"/>
      <c r="W21" s="5" t="n"/>
      <c r="X21" s="5" t="n"/>
    </row>
    <row r="22" ht="22" customHeight="1">
      <c r="A22" s="9">
        <f>IF(C22="","",COUNTA(C17:C22))</f>
        <v/>
      </c>
      <c r="B22" s="5" t="n"/>
      <c r="C22" s="10" t="n"/>
      <c r="D22" s="5" t="n"/>
      <c r="E22" s="5" t="n"/>
      <c r="F22" s="5" t="n"/>
      <c r="G22" s="5" t="n"/>
      <c r="H22" s="10" t="n"/>
      <c r="I22" s="5" t="n"/>
      <c r="J22" s="5" t="n"/>
      <c r="K22" s="5" t="n"/>
      <c r="L22" s="10" t="n"/>
      <c r="M22" s="5" t="n"/>
      <c r="N22" s="11" t="n"/>
      <c r="O22" s="5" t="n"/>
      <c r="P22" s="12" t="n"/>
      <c r="Q22" s="5" t="n"/>
      <c r="R22" s="5" t="n"/>
      <c r="S22" s="13">
        <f>IF(OR(N22="",P22=""),"",INT(ROUND(N22*P22,6)))</f>
        <v/>
      </c>
      <c r="T22" s="5" t="n"/>
      <c r="U22" s="5" t="n"/>
      <c r="V22" s="10" t="n"/>
      <c r="W22" s="5" t="n"/>
      <c r="X22" s="5" t="n"/>
    </row>
    <row r="23" ht="22" customHeight="1">
      <c r="A23" s="9">
        <f>IF(C23="","",COUNTA(C17:C23))</f>
        <v/>
      </c>
      <c r="B23" s="5" t="n"/>
      <c r="C23" s="10" t="n"/>
      <c r="D23" s="5" t="n"/>
      <c r="E23" s="5" t="n"/>
      <c r="F23" s="5" t="n"/>
      <c r="G23" s="5" t="n"/>
      <c r="H23" s="10" t="n"/>
      <c r="I23" s="5" t="n"/>
      <c r="J23" s="5" t="n"/>
      <c r="K23" s="5" t="n"/>
      <c r="L23" s="10" t="n"/>
      <c r="M23" s="5" t="n"/>
      <c r="N23" s="11" t="n"/>
      <c r="O23" s="5" t="n"/>
      <c r="P23" s="12" t="n"/>
      <c r="Q23" s="5" t="n"/>
      <c r="R23" s="5" t="n"/>
      <c r="S23" s="13">
        <f>IF(OR(N23="",P23=""),"",INT(ROUND(N23*P23,6)))</f>
        <v/>
      </c>
      <c r="T23" s="5" t="n"/>
      <c r="U23" s="5" t="n"/>
      <c r="V23" s="10" t="n"/>
      <c r="W23" s="5" t="n"/>
      <c r="X23" s="5" t="n"/>
    </row>
    <row r="24" ht="22" customHeight="1">
      <c r="A24" s="9">
        <f>IF(C24="","",COUNTA(C17:C24))</f>
        <v/>
      </c>
      <c r="B24" s="5" t="n"/>
      <c r="C24" s="10" t="n"/>
      <c r="D24" s="5" t="n"/>
      <c r="E24" s="5" t="n"/>
      <c r="F24" s="5" t="n"/>
      <c r="G24" s="5" t="n"/>
      <c r="H24" s="10" t="n"/>
      <c r="I24" s="5" t="n"/>
      <c r="J24" s="5" t="n"/>
      <c r="K24" s="5" t="n"/>
      <c r="L24" s="10" t="n"/>
      <c r="M24" s="5" t="n"/>
      <c r="N24" s="11" t="n"/>
      <c r="O24" s="5" t="n"/>
      <c r="P24" s="12" t="n"/>
      <c r="Q24" s="5" t="n"/>
      <c r="R24" s="5" t="n"/>
      <c r="S24" s="13">
        <f>IF(OR(N24="",P24=""),"",INT(ROUND(N24*P24,6)))</f>
        <v/>
      </c>
      <c r="T24" s="5" t="n"/>
      <c r="U24" s="5" t="n"/>
      <c r="V24" s="10" t="n"/>
      <c r="W24" s="5" t="n"/>
      <c r="X24" s="5" t="n"/>
    </row>
    <row r="25" ht="22" customHeight="1">
      <c r="A25" s="9">
        <f>IF(C25="","",COUNTA(C17:C25))</f>
        <v/>
      </c>
      <c r="B25" s="5" t="n"/>
      <c r="C25" s="10" t="n"/>
      <c r="D25" s="5" t="n"/>
      <c r="E25" s="5" t="n"/>
      <c r="F25" s="5" t="n"/>
      <c r="G25" s="5" t="n"/>
      <c r="H25" s="10" t="n"/>
      <c r="I25" s="5" t="n"/>
      <c r="J25" s="5" t="n"/>
      <c r="K25" s="5" t="n"/>
      <c r="L25" s="10" t="n"/>
      <c r="M25" s="5" t="n"/>
      <c r="N25" s="11" t="n"/>
      <c r="O25" s="5" t="n"/>
      <c r="P25" s="12" t="n"/>
      <c r="Q25" s="5" t="n"/>
      <c r="R25" s="5" t="n"/>
      <c r="S25" s="13">
        <f>IF(OR(N25="",P25=""),"",INT(ROUND(N25*P25,6)))</f>
        <v/>
      </c>
      <c r="T25" s="5" t="n"/>
      <c r="U25" s="5" t="n"/>
      <c r="V25" s="10" t="n"/>
      <c r="W25" s="5" t="n"/>
      <c r="X25" s="5" t="n"/>
    </row>
    <row r="26" ht="22" customHeight="1">
      <c r="A26" s="9">
        <f>IF(C26="","",COUNTA(C17:C26))</f>
        <v/>
      </c>
      <c r="B26" s="5" t="n"/>
      <c r="C26" s="10" t="n"/>
      <c r="D26" s="5" t="n"/>
      <c r="E26" s="5" t="n"/>
      <c r="F26" s="5" t="n"/>
      <c r="G26" s="5" t="n"/>
      <c r="H26" s="10" t="n"/>
      <c r="I26" s="5" t="n"/>
      <c r="J26" s="5" t="n"/>
      <c r="K26" s="5" t="n"/>
      <c r="L26" s="10" t="n"/>
      <c r="M26" s="5" t="n"/>
      <c r="N26" s="11" t="n"/>
      <c r="O26" s="5" t="n"/>
      <c r="P26" s="12" t="n"/>
      <c r="Q26" s="5" t="n"/>
      <c r="R26" s="5" t="n"/>
      <c r="S26" s="13">
        <f>IF(OR(N26="",P26=""),"",INT(ROUND(N26*P26,6)))</f>
        <v/>
      </c>
      <c r="T26" s="5" t="n"/>
      <c r="U26" s="5" t="n"/>
      <c r="V26" s="10" t="n"/>
      <c r="W26" s="5" t="n"/>
      <c r="X26" s="5" t="n"/>
    </row>
    <row r="27" ht="22" customHeight="1">
      <c r="A27" s="9">
        <f>IF(C27="","",COUNTA(C17:C27))</f>
        <v/>
      </c>
      <c r="B27" s="5" t="n"/>
      <c r="C27" s="10" t="n"/>
      <c r="D27" s="5" t="n"/>
      <c r="E27" s="5" t="n"/>
      <c r="F27" s="5" t="n"/>
      <c r="G27" s="5" t="n"/>
      <c r="H27" s="10" t="n"/>
      <c r="I27" s="5" t="n"/>
      <c r="J27" s="5" t="n"/>
      <c r="K27" s="5" t="n"/>
      <c r="L27" s="10" t="n"/>
      <c r="M27" s="5" t="n"/>
      <c r="N27" s="11" t="n"/>
      <c r="O27" s="5" t="n"/>
      <c r="P27" s="12" t="n"/>
      <c r="Q27" s="5" t="n"/>
      <c r="R27" s="5" t="n"/>
      <c r="S27" s="13">
        <f>IF(OR(N27="",P27=""),"",INT(ROUND(N27*P27,6)))</f>
        <v/>
      </c>
      <c r="T27" s="5" t="n"/>
      <c r="U27" s="5" t="n"/>
      <c r="V27" s="10" t="n"/>
      <c r="W27" s="5" t="n"/>
      <c r="X27" s="5" t="n"/>
    </row>
    <row r="28" ht="22" customHeight="1">
      <c r="A28" s="9">
        <f>IF(C28="","",COUNTA(C17:C28))</f>
        <v/>
      </c>
      <c r="B28" s="5" t="n"/>
      <c r="C28" s="10" t="n"/>
      <c r="D28" s="5" t="n"/>
      <c r="E28" s="5" t="n"/>
      <c r="F28" s="5" t="n"/>
      <c r="G28" s="5" t="n"/>
      <c r="H28" s="10" t="n"/>
      <c r="I28" s="5" t="n"/>
      <c r="J28" s="5" t="n"/>
      <c r="K28" s="5" t="n"/>
      <c r="L28" s="10" t="n"/>
      <c r="M28" s="5" t="n"/>
      <c r="N28" s="11" t="n"/>
      <c r="O28" s="5" t="n"/>
      <c r="P28" s="12" t="n"/>
      <c r="Q28" s="5" t="n"/>
      <c r="R28" s="5" t="n"/>
      <c r="S28" s="13">
        <f>IF(OR(N28="",P28=""),"",INT(ROUND(N28*P28,6)))</f>
        <v/>
      </c>
      <c r="T28" s="5" t="n"/>
      <c r="U28" s="5" t="n"/>
      <c r="V28" s="10" t="n"/>
      <c r="W28" s="5" t="n"/>
      <c r="X28" s="5" t="n"/>
    </row>
    <row r="29" ht="22" customHeight="1">
      <c r="A29" s="14" t="inlineStr">
        <is>
          <t>합        계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15">
        <f>SUM(S17:S28)</f>
        <v/>
      </c>
      <c r="T29" s="5" t="n"/>
      <c r="U29" s="5" t="n"/>
      <c r="V29" s="14" t="inlineStr"/>
      <c r="W29" s="5" t="n"/>
      <c r="X29" s="5" t="n"/>
    </row>
    <row r="30" ht="6" customHeight="1"/>
    <row r="31" ht="24" customHeight="1">
      <c r="A31" s="4" t="inlineStr">
        <is>
          <t xml:space="preserve">  공급가액</t>
        </is>
      </c>
      <c r="B31" s="5" t="n"/>
      <c r="C31" s="5" t="n"/>
      <c r="D31" s="5" t="n"/>
      <c r="E31" s="5" t="n"/>
      <c r="F31" s="5" t="n"/>
      <c r="G31" s="13">
        <f>IF(COUNT(S17:S28)=0,"",SUM(S17:S28))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부가가치세</t>
        </is>
      </c>
      <c r="B32" s="5" t="n"/>
      <c r="C32" s="5" t="n"/>
      <c r="D32" s="5" t="n"/>
      <c r="E32" s="5" t="n"/>
      <c r="F32" s="5" t="n"/>
      <c r="G32" s="16" t="n">
        <v>0.1</v>
      </c>
      <c r="H32" s="5" t="n"/>
      <c r="I32" s="5" t="n"/>
      <c r="J32" s="5" t="n"/>
      <c r="K32" s="13">
        <f>IF(G31="","",INT(ROUND(G31*G32,6)))</f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발주 총액</t>
        </is>
      </c>
      <c r="B33" s="5" t="n"/>
      <c r="C33" s="5" t="n"/>
      <c r="D33" s="5" t="n"/>
      <c r="E33" s="5" t="n"/>
      <c r="F33" s="5" t="n"/>
      <c r="G33" s="13">
        <f>IF(G31="","",G31+K32)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발주 총액(한글)</t>
        </is>
      </c>
      <c r="B34" s="5" t="n"/>
      <c r="C34" s="5" t="n"/>
      <c r="D34" s="5" t="n"/>
      <c r="E34" s="5" t="n"/>
      <c r="F34" s="5" t="n"/>
      <c r="G34" s="17">
        <f>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34" customHeight="1">
      <c r="A36" s="18" t="inlineStr">
        <is>
          <t>위와 같이 발주하오니 납품 기한까지 납품하여 주시기 바랍니다. 규격·수량이 다르면 납품 전에 알려 주시기 바랍니다.</t>
        </is>
      </c>
    </row>
    <row r="37" ht="6" customHeight="1"/>
    <row r="38" ht="10" customHeight="1"/>
    <row r="39" ht="26" customHeight="1">
      <c r="A39" s="19" t="inlineStr">
        <is>
          <t xml:space="preserve">          년        월        일</t>
        </is>
      </c>
    </row>
    <row r="40" ht="24" customHeight="1">
      <c r="A40" s="20" t="inlineStr"/>
      <c r="K40" s="21" t="inlineStr">
        <is>
          <t>발주 담당</t>
        </is>
      </c>
      <c r="Q40" s="22" t="n"/>
      <c r="U40" s="23" t="inlineStr">
        <is>
          <t>(서명 또는 인)</t>
        </is>
      </c>
    </row>
    <row r="41" ht="24" customHeight="1">
      <c r="A41" s="20" t="inlineStr"/>
      <c r="K41" s="21" t="inlineStr">
        <is>
          <t>현장대리인</t>
        </is>
      </c>
      <c r="Q41" s="22" t="n"/>
      <c r="U41" s="23" t="inlineStr">
        <is>
          <t>(서명 또는 인)</t>
        </is>
      </c>
    </row>
    <row r="42" ht="6" customHeight="1"/>
    <row r="44" ht="34" customHeight="1">
      <c r="A44" s="24" t="inlineStr">
        <is>
          <t>수량과 단가를 적으면 금액(원 미만 버림)·공급가액·부가가치세·발주 총액이 저절로 나옵니다. 부가세율은 노란 칸입니다.</t>
        </is>
      </c>
    </row>
    <row r="45" ht="34" customHeight="1">
      <c r="A45" s="24" t="inlineStr">
        <is>
          <t>노란 칸 = 요율·기준값(발주기관 기준으로 고쳐 씀) · 옅은 하늘색 칸 = 자동 계산(지우지 마세요) · 뒤 시트에 «작성 예시» 가 있습니다.</t>
        </is>
      </c>
    </row>
    <row r="46" ht="19.5" customHeight="1">
      <c r="A46" s="24" t="inlineStr">
        <is>
          <t>발주기관이 정한 서식이 있으면 그 서식을 쓰세요. 이 줄과 1행은 지워도 됩니다.</t>
        </is>
      </c>
    </row>
  </sheetData>
  <mergeCells count="150">
    <mergeCell ref="L17:M17"/>
    <mergeCell ref="V24:X24"/>
    <mergeCell ref="N20:O20"/>
    <mergeCell ref="H27:K27"/>
    <mergeCell ref="S23:U23"/>
    <mergeCell ref="P27:R27"/>
    <mergeCell ref="G10:X10"/>
    <mergeCell ref="P17:R17"/>
    <mergeCell ref="L19:M19"/>
    <mergeCell ref="H24:K24"/>
    <mergeCell ref="L28:M28"/>
    <mergeCell ref="N22:O22"/>
    <mergeCell ref="G32:J32"/>
    <mergeCell ref="A3:X3"/>
    <mergeCell ref="G34:X34"/>
    <mergeCell ref="P19:R19"/>
    <mergeCell ref="S24:U24"/>
    <mergeCell ref="H26:K26"/>
    <mergeCell ref="A5:F5"/>
    <mergeCell ref="P28:R28"/>
    <mergeCell ref="A32:F32"/>
    <mergeCell ref="U40:X40"/>
    <mergeCell ref="K32:X32"/>
    <mergeCell ref="A27:B27"/>
    <mergeCell ref="C21:G21"/>
    <mergeCell ref="V22:X22"/>
    <mergeCell ref="A13:F13"/>
    <mergeCell ref="A31:F31"/>
    <mergeCell ref="A17:B17"/>
    <mergeCell ref="V21:X21"/>
    <mergeCell ref="C23:G23"/>
    <mergeCell ref="S25:U25"/>
    <mergeCell ref="G31:X31"/>
    <mergeCell ref="A22:B22"/>
    <mergeCell ref="G12:X12"/>
    <mergeCell ref="L21:M21"/>
    <mergeCell ref="S27:U27"/>
    <mergeCell ref="A19:B19"/>
    <mergeCell ref="V23:X23"/>
    <mergeCell ref="N24:O24"/>
    <mergeCell ref="A28:B28"/>
    <mergeCell ref="S17:U17"/>
    <mergeCell ref="C18:G18"/>
    <mergeCell ref="A7:F7"/>
    <mergeCell ref="N26:O26"/>
    <mergeCell ref="G7:X7"/>
    <mergeCell ref="L16:M16"/>
    <mergeCell ref="N16:O16"/>
    <mergeCell ref="S28:U28"/>
    <mergeCell ref="N25:O25"/>
    <mergeCell ref="P16:R16"/>
    <mergeCell ref="H23:K23"/>
    <mergeCell ref="H18:K18"/>
    <mergeCell ref="A33:F33"/>
    <mergeCell ref="C20:G20"/>
    <mergeCell ref="V27:X27"/>
    <mergeCell ref="A40:J40"/>
    <mergeCell ref="G33:X33"/>
    <mergeCell ref="P18:R18"/>
    <mergeCell ref="C22:G22"/>
    <mergeCell ref="V25:X25"/>
    <mergeCell ref="A26:B26"/>
    <mergeCell ref="L20:M20"/>
    <mergeCell ref="H25:K25"/>
    <mergeCell ref="A9:F9"/>
    <mergeCell ref="S26:U26"/>
    <mergeCell ref="N28:O28"/>
    <mergeCell ref="G9:X9"/>
    <mergeCell ref="V17:X17"/>
    <mergeCell ref="A44:X44"/>
    <mergeCell ref="P20:R20"/>
    <mergeCell ref="S16:U16"/>
    <mergeCell ref="L22:M22"/>
    <mergeCell ref="U41:X41"/>
    <mergeCell ref="H17:K17"/>
    <mergeCell ref="Q40:T40"/>
    <mergeCell ref="P22:R22"/>
    <mergeCell ref="S18:U18"/>
    <mergeCell ref="V20:X20"/>
    <mergeCell ref="V29:X29"/>
    <mergeCell ref="H19:K19"/>
    <mergeCell ref="P21:R21"/>
    <mergeCell ref="H28:K28"/>
    <mergeCell ref="K41:P41"/>
    <mergeCell ref="C24:G24"/>
    <mergeCell ref="P23:R23"/>
    <mergeCell ref="G13:X13"/>
    <mergeCell ref="C26:G26"/>
    <mergeCell ref="C16:G16"/>
    <mergeCell ref="L24:M24"/>
    <mergeCell ref="C25:G25"/>
    <mergeCell ref="A8:F8"/>
    <mergeCell ref="L18:M18"/>
    <mergeCell ref="V26:X26"/>
    <mergeCell ref="N18:O18"/>
    <mergeCell ref="S20:U20"/>
    <mergeCell ref="V16:X16"/>
    <mergeCell ref="N17:O17"/>
    <mergeCell ref="L26:M26"/>
    <mergeCell ref="S29:U29"/>
    <mergeCell ref="A21:B21"/>
    <mergeCell ref="A10:F10"/>
    <mergeCell ref="S22:U22"/>
    <mergeCell ref="V18:X18"/>
    <mergeCell ref="N19:O19"/>
    <mergeCell ref="L25:M25"/>
    <mergeCell ref="A34:F34"/>
    <mergeCell ref="A23:B23"/>
    <mergeCell ref="A41:J41"/>
    <mergeCell ref="S21:U21"/>
    <mergeCell ref="A39:X39"/>
    <mergeCell ref="P25:R25"/>
    <mergeCell ref="C28:G28"/>
    <mergeCell ref="H16:K16"/>
    <mergeCell ref="A45:X45"/>
    <mergeCell ref="V19:X19"/>
    <mergeCell ref="H22:K22"/>
    <mergeCell ref="A24:B24"/>
    <mergeCell ref="V28:X28"/>
    <mergeCell ref="K40:P40"/>
    <mergeCell ref="G6:X6"/>
    <mergeCell ref="A12:F12"/>
    <mergeCell ref="A46:X46"/>
    <mergeCell ref="Q41:T41"/>
    <mergeCell ref="A16:B16"/>
    <mergeCell ref="S19:U19"/>
    <mergeCell ref="N21:O21"/>
    <mergeCell ref="A25:B25"/>
    <mergeCell ref="A14:F14"/>
    <mergeCell ref="G5:X5"/>
    <mergeCell ref="H20:K20"/>
    <mergeCell ref="G14:X14"/>
    <mergeCell ref="L23:M23"/>
    <mergeCell ref="A18:B18"/>
    <mergeCell ref="N23:O23"/>
    <mergeCell ref="A29:R29"/>
    <mergeCell ref="P24:R24"/>
    <mergeCell ref="C27:G27"/>
    <mergeCell ref="H21:K21"/>
    <mergeCell ref="P26:R26"/>
    <mergeCell ref="C17:G17"/>
    <mergeCell ref="A20:B20"/>
    <mergeCell ref="A1:L1"/>
    <mergeCell ref="A6:F6"/>
    <mergeCell ref="C19:G19"/>
    <mergeCell ref="L27:M27"/>
    <mergeCell ref="M1:X1"/>
    <mergeCell ref="N27:O27"/>
    <mergeCell ref="A36:X36"/>
    <mergeCell ref="G8:X8"/>
  </mergeCells>
  <conditionalFormatting sqref="N17:N28">
    <cfRule type="expression" priority="1" dxfId="0">
      <formula>AND(ISNUMBER(N17),MOD(N17,1)=0)</formula>
    </cfRule>
  </conditionalFormatting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발 주 서</t>
        </is>
      </c>
    </row>
    <row r="4" ht="10" customHeight="1"/>
    <row r="5" ht="24" customHeight="1">
      <c r="A5" s="4" t="inlineStr">
        <is>
          <t xml:space="preserve">  발주번호</t>
        </is>
      </c>
      <c r="B5" s="5" t="n"/>
      <c r="C5" s="5" t="n"/>
      <c r="D5" s="5" t="n"/>
      <c r="E5" s="5" t="n"/>
      <c r="F5" s="5" t="n"/>
      <c r="G5" s="6" t="inlineStr">
        <is>
          <t>PO-2026-031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발주일자</t>
        </is>
      </c>
      <c r="B6" s="5" t="n"/>
      <c r="C6" s="5" t="n"/>
      <c r="D6" s="5" t="n"/>
      <c r="E6" s="5" t="n"/>
      <c r="F6" s="5" t="n"/>
      <c r="G6" s="7" t="n">
        <v>46114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 사 명</t>
        </is>
      </c>
      <c r="B7" s="5" t="n"/>
      <c r="C7" s="5" t="n"/>
      <c r="D7" s="5" t="n"/>
      <c r="E7" s="5" t="n"/>
      <c r="F7" s="5" t="n"/>
      <c r="G7" s="6" t="inlineStr">
        <is>
          <t>가나지구 배수로 정비공사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납품 장소</t>
        </is>
      </c>
      <c r="B8" s="5" t="n"/>
      <c r="C8" s="5" t="n"/>
      <c r="D8" s="5" t="n"/>
      <c r="E8" s="5" t="n"/>
      <c r="F8" s="5" t="n"/>
      <c r="G8" s="6" t="inlineStr">
        <is>
          <t>가나지구 현장 자재 야적장 (가나시 다라동 123-4)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납품 기한</t>
        </is>
      </c>
      <c r="B9" s="5" t="n"/>
      <c r="C9" s="5" t="n"/>
      <c r="D9" s="5" t="n"/>
      <c r="E9" s="5" t="n"/>
      <c r="F9" s="5" t="n"/>
      <c r="G9" s="7" t="n">
        <v>46122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결제 조건</t>
        </is>
      </c>
      <c r="B10" s="5" t="n"/>
      <c r="C10" s="5" t="n"/>
      <c r="D10" s="5" t="n"/>
      <c r="E10" s="5" t="n"/>
      <c r="F10" s="5" t="n"/>
      <c r="G10" s="6" t="inlineStr">
        <is>
          <t>납품 월말 마감 · 다음 달 25일 현금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공급자 상호</t>
        </is>
      </c>
      <c r="B12" s="5" t="n"/>
      <c r="C12" s="5" t="n"/>
      <c r="D12" s="5" t="n"/>
      <c r="E12" s="5" t="n"/>
      <c r="F12" s="5" t="n"/>
      <c r="G12" s="6" t="inlineStr">
        <is>
          <t>예시관산업(주)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사업자등록번호</t>
        </is>
      </c>
      <c r="B13" s="5" t="n"/>
      <c r="C13" s="5" t="n"/>
      <c r="D13" s="5" t="n"/>
      <c r="E13" s="5" t="n"/>
      <c r="F13" s="5" t="n"/>
      <c r="G13" s="6" t="inlineStr">
        <is>
          <t>000-00-00000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담당자·연락처</t>
        </is>
      </c>
      <c r="B14" s="5" t="n"/>
      <c r="C14" s="5" t="n"/>
      <c r="D14" s="5" t="n"/>
      <c r="E14" s="5" t="n"/>
      <c r="F14" s="5" t="n"/>
      <c r="G14" s="6" t="inlineStr">
        <is>
          <t>영업팀 김○○ · 010-0000-0000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8" t="inlineStr">
        <is>
          <t>번호</t>
        </is>
      </c>
      <c r="B16" s="5" t="n"/>
      <c r="C16" s="8" t="inlineStr">
        <is>
          <t>품  명</t>
        </is>
      </c>
      <c r="D16" s="5" t="n"/>
      <c r="E16" s="5" t="n"/>
      <c r="F16" s="5" t="n"/>
      <c r="G16" s="5" t="n"/>
      <c r="H16" s="8" t="inlineStr">
        <is>
          <t>규  격</t>
        </is>
      </c>
      <c r="I16" s="5" t="n"/>
      <c r="J16" s="5" t="n"/>
      <c r="K16" s="5" t="n"/>
      <c r="L16" s="8" t="inlineStr">
        <is>
          <t>단위</t>
        </is>
      </c>
      <c r="M16" s="5" t="n"/>
      <c r="N16" s="8" t="inlineStr">
        <is>
          <t>수량</t>
        </is>
      </c>
      <c r="O16" s="5" t="n"/>
      <c r="P16" s="8" t="inlineStr">
        <is>
          <t>단  가</t>
        </is>
      </c>
      <c r="Q16" s="5" t="n"/>
      <c r="R16" s="5" t="n"/>
      <c r="S16" s="8" t="inlineStr">
        <is>
          <t>금  액</t>
        </is>
      </c>
      <c r="T16" s="5" t="n"/>
      <c r="U16" s="5" t="n"/>
      <c r="V16" s="8" t="inlineStr">
        <is>
          <t>비  고</t>
        </is>
      </c>
      <c r="W16" s="5" t="n"/>
      <c r="X16" s="5" t="n"/>
    </row>
    <row r="17" ht="22" customHeight="1">
      <c r="A17" s="9">
        <f>IF(C17="","",COUNTA(C17:C17))</f>
        <v/>
      </c>
      <c r="B17" s="5" t="n"/>
      <c r="C17" s="10" t="inlineStr">
        <is>
          <t>PE 이중벽관</t>
        </is>
      </c>
      <c r="D17" s="5" t="n"/>
      <c r="E17" s="5" t="n"/>
      <c r="F17" s="5" t="n"/>
      <c r="G17" s="5" t="n"/>
      <c r="H17" s="10" t="inlineStr">
        <is>
          <t>D600, L=6m</t>
        </is>
      </c>
      <c r="I17" s="5" t="n"/>
      <c r="J17" s="5" t="n"/>
      <c r="K17" s="5" t="n"/>
      <c r="L17" s="10" t="inlineStr">
        <is>
          <t>m</t>
        </is>
      </c>
      <c r="M17" s="5" t="n"/>
      <c r="N17" s="11" t="n">
        <v>822</v>
      </c>
      <c r="O17" s="5" t="n"/>
      <c r="P17" s="12" t="n">
        <v>86140</v>
      </c>
      <c r="Q17" s="5" t="n"/>
      <c r="R17" s="5" t="n"/>
      <c r="S17" s="13">
        <f>IF(OR(N17="",P17=""),"",INT(ROUND(N17*P17,6)))</f>
        <v/>
      </c>
      <c r="T17" s="5" t="n"/>
      <c r="U17" s="5" t="n"/>
      <c r="V17" s="10" t="inlineStr">
        <is>
          <t>KS M 3600</t>
        </is>
      </c>
      <c r="W17" s="5" t="n"/>
      <c r="X17" s="5" t="n"/>
    </row>
    <row r="18" ht="22" customHeight="1">
      <c r="A18" s="9">
        <f>IF(C18="","",COUNTA(C17:C18))</f>
        <v/>
      </c>
      <c r="B18" s="5" t="n"/>
      <c r="C18" s="10" t="inlineStr">
        <is>
          <t>고무링</t>
        </is>
      </c>
      <c r="D18" s="5" t="n"/>
      <c r="E18" s="5" t="n"/>
      <c r="F18" s="5" t="n"/>
      <c r="G18" s="5" t="n"/>
      <c r="H18" s="10" t="inlineStr">
        <is>
          <t>D600</t>
        </is>
      </c>
      <c r="I18" s="5" t="n"/>
      <c r="J18" s="5" t="n"/>
      <c r="K18" s="5" t="n"/>
      <c r="L18" s="10" t="inlineStr">
        <is>
          <t>개</t>
        </is>
      </c>
      <c r="M18" s="5" t="n"/>
      <c r="N18" s="11" t="n">
        <v>138</v>
      </c>
      <c r="O18" s="5" t="n"/>
      <c r="P18" s="12" t="n">
        <v>4300</v>
      </c>
      <c r="Q18" s="5" t="n"/>
      <c r="R18" s="5" t="n"/>
      <c r="S18" s="13">
        <f>IF(OR(N18="",P18=""),"",INT(ROUND(N18*P18,6)))</f>
        <v/>
      </c>
      <c r="T18" s="5" t="n"/>
      <c r="U18" s="5" t="n"/>
      <c r="V18" s="10" t="inlineStr"/>
      <c r="W18" s="5" t="n"/>
      <c r="X18" s="5" t="n"/>
    </row>
    <row r="19" ht="22" customHeight="1">
      <c r="A19" s="9">
        <f>IF(C19="","",COUNTA(C17:C19))</f>
        <v/>
      </c>
      <c r="B19" s="5" t="n"/>
      <c r="C19" s="10" t="inlineStr">
        <is>
          <t>집수정(PC)</t>
        </is>
      </c>
      <c r="D19" s="5" t="n"/>
      <c r="E19" s="5" t="n"/>
      <c r="F19" s="5" t="n"/>
      <c r="G19" s="5" t="n"/>
      <c r="H19" s="10" t="inlineStr">
        <is>
          <t>1.2×1.2×1.5</t>
        </is>
      </c>
      <c r="I19" s="5" t="n"/>
      <c r="J19" s="5" t="n"/>
      <c r="K19" s="5" t="n"/>
      <c r="L19" s="10" t="inlineStr">
        <is>
          <t>개</t>
        </is>
      </c>
      <c r="M19" s="5" t="n"/>
      <c r="N19" s="11" t="n">
        <v>42</v>
      </c>
      <c r="O19" s="5" t="n"/>
      <c r="P19" s="12" t="n">
        <v>412000</v>
      </c>
      <c r="Q19" s="5" t="n"/>
      <c r="R19" s="5" t="n"/>
      <c r="S19" s="13">
        <f>IF(OR(N19="",P19=""),"",INT(ROUND(N19*P19,6)))</f>
        <v/>
      </c>
      <c r="T19" s="5" t="n"/>
      <c r="U19" s="5" t="n"/>
      <c r="V19" s="10" t="inlineStr">
        <is>
          <t>뚜껑 포함</t>
        </is>
      </c>
      <c r="W19" s="5" t="n"/>
      <c r="X19" s="5" t="n"/>
    </row>
    <row r="20" ht="32" customHeight="1">
      <c r="A20" s="9">
        <f>IF(C20="","",COUNTA(C17:C20))</f>
        <v/>
      </c>
      <c r="B20" s="5" t="n"/>
      <c r="C20" s="10" t="inlineStr">
        <is>
          <t>운반·하차</t>
        </is>
      </c>
      <c r="D20" s="5" t="n"/>
      <c r="E20" s="5" t="n"/>
      <c r="F20" s="5" t="n"/>
      <c r="G20" s="5" t="n"/>
      <c r="H20" s="10" t="inlineStr">
        <is>
          <t>25톤 트럭</t>
        </is>
      </c>
      <c r="I20" s="5" t="n"/>
      <c r="J20" s="5" t="n"/>
      <c r="K20" s="5" t="n"/>
      <c r="L20" s="10" t="inlineStr">
        <is>
          <t>식</t>
        </is>
      </c>
      <c r="M20" s="5" t="n"/>
      <c r="N20" s="11" t="n">
        <v>1</v>
      </c>
      <c r="O20" s="5" t="n"/>
      <c r="P20" s="12" t="n">
        <v>1850000</v>
      </c>
      <c r="Q20" s="5" t="n"/>
      <c r="R20" s="5" t="n"/>
      <c r="S20" s="13">
        <f>IF(OR(N20="",P20=""),"",INT(ROUND(N20*P20,6)))</f>
        <v/>
      </c>
      <c r="T20" s="5" t="n"/>
      <c r="U20" s="5" t="n"/>
      <c r="V20" s="10" t="inlineStr">
        <is>
          <t>현장 하차 포함</t>
        </is>
      </c>
      <c r="W20" s="5" t="n"/>
      <c r="X20" s="5" t="n"/>
    </row>
    <row r="21" ht="22" customHeight="1">
      <c r="A21" s="9">
        <f>IF(C21="","",COUNTA(C17:C21))</f>
        <v/>
      </c>
      <c r="B21" s="5" t="n"/>
      <c r="C21" s="10" t="n"/>
      <c r="D21" s="5" t="n"/>
      <c r="E21" s="5" t="n"/>
      <c r="F21" s="5" t="n"/>
      <c r="G21" s="5" t="n"/>
      <c r="H21" s="10" t="n"/>
      <c r="I21" s="5" t="n"/>
      <c r="J21" s="5" t="n"/>
      <c r="K21" s="5" t="n"/>
      <c r="L21" s="10" t="n"/>
      <c r="M21" s="5" t="n"/>
      <c r="N21" s="11" t="n"/>
      <c r="O21" s="5" t="n"/>
      <c r="P21" s="12" t="n"/>
      <c r="Q21" s="5" t="n"/>
      <c r="R21" s="5" t="n"/>
      <c r="S21" s="13">
        <f>IF(OR(N21="",P21=""),"",INT(ROUND(N21*P21,6)))</f>
        <v/>
      </c>
      <c r="T21" s="5" t="n"/>
      <c r="U21" s="5" t="n"/>
      <c r="V21" s="10" t="n"/>
      <c r="W21" s="5" t="n"/>
      <c r="X21" s="5" t="n"/>
    </row>
    <row r="22" ht="22" customHeight="1">
      <c r="A22" s="9">
        <f>IF(C22="","",COUNTA(C17:C22))</f>
        <v/>
      </c>
      <c r="B22" s="5" t="n"/>
      <c r="C22" s="10" t="n"/>
      <c r="D22" s="5" t="n"/>
      <c r="E22" s="5" t="n"/>
      <c r="F22" s="5" t="n"/>
      <c r="G22" s="5" t="n"/>
      <c r="H22" s="10" t="n"/>
      <c r="I22" s="5" t="n"/>
      <c r="J22" s="5" t="n"/>
      <c r="K22" s="5" t="n"/>
      <c r="L22" s="10" t="n"/>
      <c r="M22" s="5" t="n"/>
      <c r="N22" s="11" t="n"/>
      <c r="O22" s="5" t="n"/>
      <c r="P22" s="12" t="n"/>
      <c r="Q22" s="5" t="n"/>
      <c r="R22" s="5" t="n"/>
      <c r="S22" s="13">
        <f>IF(OR(N22="",P22=""),"",INT(ROUND(N22*P22,6)))</f>
        <v/>
      </c>
      <c r="T22" s="5" t="n"/>
      <c r="U22" s="5" t="n"/>
      <c r="V22" s="10" t="n"/>
      <c r="W22" s="5" t="n"/>
      <c r="X22" s="5" t="n"/>
    </row>
    <row r="23" ht="22" customHeight="1">
      <c r="A23" s="9">
        <f>IF(C23="","",COUNTA(C17:C23))</f>
        <v/>
      </c>
      <c r="B23" s="5" t="n"/>
      <c r="C23" s="10" t="n"/>
      <c r="D23" s="5" t="n"/>
      <c r="E23" s="5" t="n"/>
      <c r="F23" s="5" t="n"/>
      <c r="G23" s="5" t="n"/>
      <c r="H23" s="10" t="n"/>
      <c r="I23" s="5" t="n"/>
      <c r="J23" s="5" t="n"/>
      <c r="K23" s="5" t="n"/>
      <c r="L23" s="10" t="n"/>
      <c r="M23" s="5" t="n"/>
      <c r="N23" s="11" t="n"/>
      <c r="O23" s="5" t="n"/>
      <c r="P23" s="12" t="n"/>
      <c r="Q23" s="5" t="n"/>
      <c r="R23" s="5" t="n"/>
      <c r="S23" s="13">
        <f>IF(OR(N23="",P23=""),"",INT(ROUND(N23*P23,6)))</f>
        <v/>
      </c>
      <c r="T23" s="5" t="n"/>
      <c r="U23" s="5" t="n"/>
      <c r="V23" s="10" t="n"/>
      <c r="W23" s="5" t="n"/>
      <c r="X23" s="5" t="n"/>
    </row>
    <row r="24" ht="22" customHeight="1">
      <c r="A24" s="9">
        <f>IF(C24="","",COUNTA(C17:C24))</f>
        <v/>
      </c>
      <c r="B24" s="5" t="n"/>
      <c r="C24" s="10" t="n"/>
      <c r="D24" s="5" t="n"/>
      <c r="E24" s="5" t="n"/>
      <c r="F24" s="5" t="n"/>
      <c r="G24" s="5" t="n"/>
      <c r="H24" s="10" t="n"/>
      <c r="I24" s="5" t="n"/>
      <c r="J24" s="5" t="n"/>
      <c r="K24" s="5" t="n"/>
      <c r="L24" s="10" t="n"/>
      <c r="M24" s="5" t="n"/>
      <c r="N24" s="11" t="n"/>
      <c r="O24" s="5" t="n"/>
      <c r="P24" s="12" t="n"/>
      <c r="Q24" s="5" t="n"/>
      <c r="R24" s="5" t="n"/>
      <c r="S24" s="13">
        <f>IF(OR(N24="",P24=""),"",INT(ROUND(N24*P24,6)))</f>
        <v/>
      </c>
      <c r="T24" s="5" t="n"/>
      <c r="U24" s="5" t="n"/>
      <c r="V24" s="10" t="n"/>
      <c r="W24" s="5" t="n"/>
      <c r="X24" s="5" t="n"/>
    </row>
    <row r="25" ht="22" customHeight="1">
      <c r="A25" s="9">
        <f>IF(C25="","",COUNTA(C17:C25))</f>
        <v/>
      </c>
      <c r="B25" s="5" t="n"/>
      <c r="C25" s="10" t="n"/>
      <c r="D25" s="5" t="n"/>
      <c r="E25" s="5" t="n"/>
      <c r="F25" s="5" t="n"/>
      <c r="G25" s="5" t="n"/>
      <c r="H25" s="10" t="n"/>
      <c r="I25" s="5" t="n"/>
      <c r="J25" s="5" t="n"/>
      <c r="K25" s="5" t="n"/>
      <c r="L25" s="10" t="n"/>
      <c r="M25" s="5" t="n"/>
      <c r="N25" s="11" t="n"/>
      <c r="O25" s="5" t="n"/>
      <c r="P25" s="12" t="n"/>
      <c r="Q25" s="5" t="n"/>
      <c r="R25" s="5" t="n"/>
      <c r="S25" s="13">
        <f>IF(OR(N25="",P25=""),"",INT(ROUND(N25*P25,6)))</f>
        <v/>
      </c>
      <c r="T25" s="5" t="n"/>
      <c r="U25" s="5" t="n"/>
      <c r="V25" s="10" t="n"/>
      <c r="W25" s="5" t="n"/>
      <c r="X25" s="5" t="n"/>
    </row>
    <row r="26" ht="22" customHeight="1">
      <c r="A26" s="9">
        <f>IF(C26="","",COUNTA(C17:C26))</f>
        <v/>
      </c>
      <c r="B26" s="5" t="n"/>
      <c r="C26" s="10" t="n"/>
      <c r="D26" s="5" t="n"/>
      <c r="E26" s="5" t="n"/>
      <c r="F26" s="5" t="n"/>
      <c r="G26" s="5" t="n"/>
      <c r="H26" s="10" t="n"/>
      <c r="I26" s="5" t="n"/>
      <c r="J26" s="5" t="n"/>
      <c r="K26" s="5" t="n"/>
      <c r="L26" s="10" t="n"/>
      <c r="M26" s="5" t="n"/>
      <c r="N26" s="11" t="n"/>
      <c r="O26" s="5" t="n"/>
      <c r="P26" s="12" t="n"/>
      <c r="Q26" s="5" t="n"/>
      <c r="R26" s="5" t="n"/>
      <c r="S26" s="13">
        <f>IF(OR(N26="",P26=""),"",INT(ROUND(N26*P26,6)))</f>
        <v/>
      </c>
      <c r="T26" s="5" t="n"/>
      <c r="U26" s="5" t="n"/>
      <c r="V26" s="10" t="n"/>
      <c r="W26" s="5" t="n"/>
      <c r="X26" s="5" t="n"/>
    </row>
    <row r="27" ht="22" customHeight="1">
      <c r="A27" s="9">
        <f>IF(C27="","",COUNTA(C17:C27))</f>
        <v/>
      </c>
      <c r="B27" s="5" t="n"/>
      <c r="C27" s="10" t="n"/>
      <c r="D27" s="5" t="n"/>
      <c r="E27" s="5" t="n"/>
      <c r="F27" s="5" t="n"/>
      <c r="G27" s="5" t="n"/>
      <c r="H27" s="10" t="n"/>
      <c r="I27" s="5" t="n"/>
      <c r="J27" s="5" t="n"/>
      <c r="K27" s="5" t="n"/>
      <c r="L27" s="10" t="n"/>
      <c r="M27" s="5" t="n"/>
      <c r="N27" s="11" t="n"/>
      <c r="O27" s="5" t="n"/>
      <c r="P27" s="12" t="n"/>
      <c r="Q27" s="5" t="n"/>
      <c r="R27" s="5" t="n"/>
      <c r="S27" s="13">
        <f>IF(OR(N27="",P27=""),"",INT(ROUND(N27*P27,6)))</f>
        <v/>
      </c>
      <c r="T27" s="5" t="n"/>
      <c r="U27" s="5" t="n"/>
      <c r="V27" s="10" t="n"/>
      <c r="W27" s="5" t="n"/>
      <c r="X27" s="5" t="n"/>
    </row>
    <row r="28" ht="22" customHeight="1">
      <c r="A28" s="9">
        <f>IF(C28="","",COUNTA(C17:C28))</f>
        <v/>
      </c>
      <c r="B28" s="5" t="n"/>
      <c r="C28" s="10" t="n"/>
      <c r="D28" s="5" t="n"/>
      <c r="E28" s="5" t="n"/>
      <c r="F28" s="5" t="n"/>
      <c r="G28" s="5" t="n"/>
      <c r="H28" s="10" t="n"/>
      <c r="I28" s="5" t="n"/>
      <c r="J28" s="5" t="n"/>
      <c r="K28" s="5" t="n"/>
      <c r="L28" s="10" t="n"/>
      <c r="M28" s="5" t="n"/>
      <c r="N28" s="11" t="n"/>
      <c r="O28" s="5" t="n"/>
      <c r="P28" s="12" t="n"/>
      <c r="Q28" s="5" t="n"/>
      <c r="R28" s="5" t="n"/>
      <c r="S28" s="13">
        <f>IF(OR(N28="",P28=""),"",INT(ROUND(N28*P28,6)))</f>
        <v/>
      </c>
      <c r="T28" s="5" t="n"/>
      <c r="U28" s="5" t="n"/>
      <c r="V28" s="10" t="n"/>
      <c r="W28" s="5" t="n"/>
      <c r="X28" s="5" t="n"/>
    </row>
    <row r="29" ht="22" customHeight="1">
      <c r="A29" s="14" t="inlineStr">
        <is>
          <t>합        계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15">
        <f>SUM(S17:S28)</f>
        <v/>
      </c>
      <c r="T29" s="5" t="n"/>
      <c r="U29" s="5" t="n"/>
      <c r="V29" s="14" t="inlineStr"/>
      <c r="W29" s="5" t="n"/>
      <c r="X29" s="5" t="n"/>
    </row>
    <row r="30" ht="6" customHeight="1"/>
    <row r="31" ht="24" customHeight="1">
      <c r="A31" s="4" t="inlineStr">
        <is>
          <t xml:space="preserve">  공급가액</t>
        </is>
      </c>
      <c r="B31" s="5" t="n"/>
      <c r="C31" s="5" t="n"/>
      <c r="D31" s="5" t="n"/>
      <c r="E31" s="5" t="n"/>
      <c r="F31" s="5" t="n"/>
      <c r="G31" s="13">
        <f>IF(COUNT(S17:S28)=0,"",SUM(S17:S28))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부가가치세</t>
        </is>
      </c>
      <c r="B32" s="5" t="n"/>
      <c r="C32" s="5" t="n"/>
      <c r="D32" s="5" t="n"/>
      <c r="E32" s="5" t="n"/>
      <c r="F32" s="5" t="n"/>
      <c r="G32" s="16" t="n">
        <v>0.1</v>
      </c>
      <c r="H32" s="5" t="n"/>
      <c r="I32" s="5" t="n"/>
      <c r="J32" s="5" t="n"/>
      <c r="K32" s="13">
        <f>IF(G31="","",INT(ROUND(G31*G32,6)))</f>
        <v/>
      </c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발주 총액</t>
        </is>
      </c>
      <c r="B33" s="5" t="n"/>
      <c r="C33" s="5" t="n"/>
      <c r="D33" s="5" t="n"/>
      <c r="E33" s="5" t="n"/>
      <c r="F33" s="5" t="n"/>
      <c r="G33" s="13">
        <f>IF(G31="","",G31+K32)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발주 총액(한글)</t>
        </is>
      </c>
      <c r="B34" s="5" t="n"/>
      <c r="C34" s="5" t="n"/>
      <c r="D34" s="5" t="n"/>
      <c r="E34" s="5" t="n"/>
      <c r="F34" s="5" t="n"/>
      <c r="G34" s="17">
        <f>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34" customHeight="1">
      <c r="A36" s="18" t="inlineStr">
        <is>
          <t>위와 같이 발주하오니 납품 기한까지 납품하여 주시기 바랍니다. 규격·수량이 다르면 납품 전에 알려 주시기 바랍니다.</t>
        </is>
      </c>
    </row>
    <row r="37" ht="6" customHeight="1"/>
    <row r="38" ht="10" customHeight="1"/>
    <row r="39" ht="26" customHeight="1">
      <c r="A39" s="19" t="n">
        <v>46294</v>
      </c>
    </row>
    <row r="40" ht="24" customHeight="1">
      <c r="A40" s="20" t="inlineStr"/>
      <c r="K40" s="21" t="inlineStr">
        <is>
          <t>발주 담당</t>
        </is>
      </c>
      <c r="Q40" s="22" t="inlineStr">
        <is>
          <t>한자재</t>
        </is>
      </c>
      <c r="U40" s="23" t="inlineStr">
        <is>
          <t>(서명 또는 인)</t>
        </is>
      </c>
    </row>
    <row r="41" ht="24" customHeight="1">
      <c r="A41" s="20" t="inlineStr"/>
      <c r="K41" s="21" t="inlineStr">
        <is>
          <t>현장대리인</t>
        </is>
      </c>
      <c r="Q41" s="22" t="inlineStr">
        <is>
          <t>홍길동</t>
        </is>
      </c>
      <c r="U41" s="23" t="inlineStr">
        <is>
          <t>(서명 또는 인)</t>
        </is>
      </c>
    </row>
    <row r="42" ht="6" customHeight="1"/>
    <row r="44" ht="19.5" customHeight="1">
      <c r="A44" s="24" t="inlineStr">
        <is>
          <t>이 시트는 작성 예시입니다(가상의 현장 · 이름 · 금액). 실제로는 앞 시트에 적으세요.</t>
        </is>
      </c>
    </row>
  </sheetData>
  <mergeCells count="148">
    <mergeCell ref="L17:M17"/>
    <mergeCell ref="V24:X24"/>
    <mergeCell ref="N20:O20"/>
    <mergeCell ref="H27:K27"/>
    <mergeCell ref="S23:U23"/>
    <mergeCell ref="P27:R27"/>
    <mergeCell ref="G10:X10"/>
    <mergeCell ref="P17:R17"/>
    <mergeCell ref="L19:M19"/>
    <mergeCell ref="H24:K24"/>
    <mergeCell ref="L28:M28"/>
    <mergeCell ref="N22:O22"/>
    <mergeCell ref="G32:J32"/>
    <mergeCell ref="A3:X3"/>
    <mergeCell ref="G34:X34"/>
    <mergeCell ref="P19:R19"/>
    <mergeCell ref="S24:U24"/>
    <mergeCell ref="H26:K26"/>
    <mergeCell ref="A5:F5"/>
    <mergeCell ref="P28:R28"/>
    <mergeCell ref="A32:F32"/>
    <mergeCell ref="U40:X40"/>
    <mergeCell ref="K32:X32"/>
    <mergeCell ref="A27:B27"/>
    <mergeCell ref="C21:G21"/>
    <mergeCell ref="V22:X22"/>
    <mergeCell ref="A13:F13"/>
    <mergeCell ref="A31:F31"/>
    <mergeCell ref="A17:B17"/>
    <mergeCell ref="V21:X21"/>
    <mergeCell ref="C23:G23"/>
    <mergeCell ref="S25:U25"/>
    <mergeCell ref="G31:X31"/>
    <mergeCell ref="A22:B22"/>
    <mergeCell ref="G12:X12"/>
    <mergeCell ref="L21:M21"/>
    <mergeCell ref="S27:U27"/>
    <mergeCell ref="A19:B19"/>
    <mergeCell ref="V23:X23"/>
    <mergeCell ref="N24:O24"/>
    <mergeCell ref="A28:B28"/>
    <mergeCell ref="S17:U17"/>
    <mergeCell ref="C18:G18"/>
    <mergeCell ref="A7:F7"/>
    <mergeCell ref="N26:O26"/>
    <mergeCell ref="G7:X7"/>
    <mergeCell ref="L16:M16"/>
    <mergeCell ref="N16:O16"/>
    <mergeCell ref="S28:U28"/>
    <mergeCell ref="N25:O25"/>
    <mergeCell ref="P16:R16"/>
    <mergeCell ref="H23:K23"/>
    <mergeCell ref="H18:K18"/>
    <mergeCell ref="A33:F33"/>
    <mergeCell ref="C20:G20"/>
    <mergeCell ref="V27:X27"/>
    <mergeCell ref="A40:J40"/>
    <mergeCell ref="G33:X33"/>
    <mergeCell ref="P18:R18"/>
    <mergeCell ref="C22:G22"/>
    <mergeCell ref="V25:X25"/>
    <mergeCell ref="A26:B26"/>
    <mergeCell ref="L20:M20"/>
    <mergeCell ref="H25:K25"/>
    <mergeCell ref="A9:F9"/>
    <mergeCell ref="S26:U26"/>
    <mergeCell ref="N28:O28"/>
    <mergeCell ref="G9:X9"/>
    <mergeCell ref="V17:X17"/>
    <mergeCell ref="A44:X44"/>
    <mergeCell ref="P20:R20"/>
    <mergeCell ref="S16:U16"/>
    <mergeCell ref="L22:M22"/>
    <mergeCell ref="U41:X41"/>
    <mergeCell ref="H17:K17"/>
    <mergeCell ref="Q40:T40"/>
    <mergeCell ref="P22:R22"/>
    <mergeCell ref="S18:U18"/>
    <mergeCell ref="V20:X20"/>
    <mergeCell ref="V29:X29"/>
    <mergeCell ref="H19:K19"/>
    <mergeCell ref="P21:R21"/>
    <mergeCell ref="H28:K28"/>
    <mergeCell ref="K41:P41"/>
    <mergeCell ref="C24:G24"/>
    <mergeCell ref="P23:R23"/>
    <mergeCell ref="G13:X13"/>
    <mergeCell ref="C26:G26"/>
    <mergeCell ref="C16:G16"/>
    <mergeCell ref="L24:M24"/>
    <mergeCell ref="C25:G25"/>
    <mergeCell ref="A8:F8"/>
    <mergeCell ref="L18:M18"/>
    <mergeCell ref="V26:X26"/>
    <mergeCell ref="N18:O18"/>
    <mergeCell ref="S20:U20"/>
    <mergeCell ref="V16:X16"/>
    <mergeCell ref="N17:O17"/>
    <mergeCell ref="L26:M26"/>
    <mergeCell ref="S29:U29"/>
    <mergeCell ref="A21:B21"/>
    <mergeCell ref="A10:F10"/>
    <mergeCell ref="S22:U22"/>
    <mergeCell ref="V18:X18"/>
    <mergeCell ref="N19:O19"/>
    <mergeCell ref="L25:M25"/>
    <mergeCell ref="A34:F34"/>
    <mergeCell ref="A23:B23"/>
    <mergeCell ref="A41:J41"/>
    <mergeCell ref="S21:U21"/>
    <mergeCell ref="A39:X39"/>
    <mergeCell ref="P25:R25"/>
    <mergeCell ref="C28:G28"/>
    <mergeCell ref="H16:K16"/>
    <mergeCell ref="V19:X19"/>
    <mergeCell ref="H22:K22"/>
    <mergeCell ref="A24:B24"/>
    <mergeCell ref="V28:X28"/>
    <mergeCell ref="K40:P40"/>
    <mergeCell ref="G6:X6"/>
    <mergeCell ref="A12:F12"/>
    <mergeCell ref="Q41:T41"/>
    <mergeCell ref="A16:B16"/>
    <mergeCell ref="S19:U19"/>
    <mergeCell ref="N21:O21"/>
    <mergeCell ref="A25:B25"/>
    <mergeCell ref="A14:F14"/>
    <mergeCell ref="G5:X5"/>
    <mergeCell ref="H20:K20"/>
    <mergeCell ref="G14:X14"/>
    <mergeCell ref="L23:M23"/>
    <mergeCell ref="A18:B18"/>
    <mergeCell ref="N23:O23"/>
    <mergeCell ref="A29:R29"/>
    <mergeCell ref="P24:R24"/>
    <mergeCell ref="C27:G27"/>
    <mergeCell ref="H21:K21"/>
    <mergeCell ref="P26:R26"/>
    <mergeCell ref="C17:G17"/>
    <mergeCell ref="A20:B20"/>
    <mergeCell ref="A1:L1"/>
    <mergeCell ref="A6:F6"/>
    <mergeCell ref="C19:G19"/>
    <mergeCell ref="L27:M27"/>
    <mergeCell ref="M1:X1"/>
    <mergeCell ref="N27:O27"/>
    <mergeCell ref="A36:X36"/>
    <mergeCell ref="G8:X8"/>
  </mergeCells>
  <conditionalFormatting sqref="N17:N28">
    <cfRule type="expression" priority="1" dxfId="0">
      <formula>AND(ISNUMBER(N17),MOD(N17,1)=0)</formula>
    </cfRule>
  </conditionalFormatting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자재발주서</dc:title>
  <dcterms:created xmlns:dcterms="http://purl.org/dc/terms/" xmlns:xsi="http://www.w3.org/2001/XMLSchema-instance" xsi:type="dcterms:W3CDTF">2026-10-17T01:05:06Z</dcterms:created>
  <dcterms:modified xmlns:dcterms="http://purl.org/dc/terms/" xmlns:xsi="http://www.w3.org/2001/XMLSchema-instance" xsi:type="dcterms:W3CDTF">2026-10-17T01:05:07Z</dcterms:modified>
</cp:coreProperties>
</file>