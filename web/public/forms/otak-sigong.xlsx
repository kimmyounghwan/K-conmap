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목차" sheetId="2" state="visible" r:id="rId2"/>
    <sheet xmlns:r="http://schemas.openxmlformats.org/officeDocument/2006/relationships" name="1.공사개요" sheetId="3" state="visible" r:id="rId3"/>
    <sheet xmlns:r="http://schemas.openxmlformats.org/officeDocument/2006/relationships" name="2.예정공정표" sheetId="4" state="visible" r:id="rId4"/>
    <sheet xmlns:r="http://schemas.openxmlformats.org/officeDocument/2006/relationships" name="3.조직도" sheetId="5" state="visible" r:id="rId5"/>
    <sheet xmlns:r="http://schemas.openxmlformats.org/officeDocument/2006/relationships" name="4.흐름도" sheetId="6" state="visible" r:id="rId6"/>
    <sheet xmlns:r="http://schemas.openxmlformats.org/officeDocument/2006/relationships" name="5.공종별시공계획" sheetId="7" state="visible" r:id="rId7"/>
    <sheet xmlns:r="http://schemas.openxmlformats.org/officeDocument/2006/relationships" name="6.투입계획" sheetId="8" state="visible" r:id="rId8"/>
    <sheet xmlns:r="http://schemas.openxmlformats.org/officeDocument/2006/relationships" name="7.문제점및대책" sheetId="9" state="visible" r:id="rId9"/>
    <sheet xmlns:r="http://schemas.openxmlformats.org/officeDocument/2006/relationships" name="품질·환경·안전" sheetId="10" state="visible" r:id="rId10"/>
    <sheet xmlns:r="http://schemas.openxmlformats.org/officeDocument/2006/relationships" name="예시-표지" sheetId="11" state="visible" r:id="rId11"/>
    <sheet xmlns:r="http://schemas.openxmlformats.org/officeDocument/2006/relationships" name="예시-1.공사개요" sheetId="12" state="visible" r:id="rId12"/>
    <sheet xmlns:r="http://schemas.openxmlformats.org/officeDocument/2006/relationships" name="예시-2.예정공정표" sheetId="13" state="visible" r:id="rId13"/>
    <sheet xmlns:r="http://schemas.openxmlformats.org/officeDocument/2006/relationships" name="예시-3.조직도" sheetId="14" state="visible" r:id="rId14"/>
    <sheet xmlns:r="http://schemas.openxmlformats.org/officeDocument/2006/relationships" name="예시-6.투입계획" sheetId="15" state="visible" r:id="rId15"/>
    <sheet xmlns:r="http://schemas.openxmlformats.org/officeDocument/2006/relationships" name="예시-7.문제점및대책" sheetId="16" state="visible" r:id="rId16"/>
  </sheets>
  <definedNames>
    <definedName name="_xlnm.Print_Area" localSheetId="0">'표지'!$A$1:$L$8</definedName>
    <definedName name="_xlnm.Print_Area" localSheetId="1">'목차'!$A$1:$L$14</definedName>
    <definedName name="_xlnm.Print_Area" localSheetId="2">'1.공사개요'!$A$1:$L$21</definedName>
    <definedName name="_xlnm.Print_Area" localSheetId="3">'2.예정공정표'!$A$1:$AB$16</definedName>
    <definedName name="_xlnm.Print_Area" localSheetId="4">'3.조직도'!$A$1:$L$19</definedName>
    <definedName name="_xlnm.Print_Area" localSheetId="5">'4.흐름도'!$A$1:$L$15</definedName>
    <definedName name="_xlnm.Print_Area" localSheetId="6">'5.공종별시공계획'!$A$1:$L$43</definedName>
    <definedName name="_xlnm.Print_Area" localSheetId="7">'6.투입계획'!$A$1:$L$27</definedName>
    <definedName name="_xlnm.Print_Area" localSheetId="8">'7.문제점및대책'!$A$1:$L$10</definedName>
    <definedName name="_xlnm.Print_Area" localSheetId="9">'품질·환경·안전'!$A$1:$L$20</definedName>
    <definedName name="_xlnm.Print_Area" localSheetId="10">'예시-표지'!$A$1:$L$8</definedName>
    <definedName name="_xlnm.Print_Area" localSheetId="11">'예시-1.공사개요'!$A$1:$L$21</definedName>
    <definedName name="_xlnm.Print_Area" localSheetId="12">'예시-2.예정공정표'!$A$1:$AB$16</definedName>
    <definedName name="_xlnm.Print_Area" localSheetId="13">'예시-3.조직도'!$A$1:$L$19</definedName>
    <definedName name="_xlnm.Print_Area" localSheetId="14">'예시-6.투입계획'!$A$1:$L$27</definedName>
    <definedName name="_xlnm.Print_Area" localSheetId="15">'예시-7.문제점및대책'!$A$1:$L$10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yyyy&quot;년&quot; m&quot;월&quot; d&quot;일&quot;"/>
    <numFmt numFmtId="165" formatCode="0&quot;m&quot;"/>
    <numFmt numFmtId="166" formatCode="0&quot;m 간격&quot;"/>
    <numFmt numFmtId="167" formatCode="0&quot;줄&quot;"/>
    <numFmt numFmtId="168" formatCode="#,##0.##&quot;m&quot;;;&quot;&quot;"/>
    <numFmt numFmtId="169" formatCode="#,##0&quot; SPAN&quot;;;&quot;&quot;"/>
    <numFmt numFmtId="170" formatCode="#,##0&quot; EA&quot;;;&quot;&quot;"/>
    <numFmt numFmtId="171" formatCode="yy&quot;.&quot;m;;&quot;&quot;"/>
    <numFmt numFmtId="172" formatCode="yyyy-mm-dd"/>
    <numFmt numFmtId="173" formatCode="yyyy. m. d."/>
    <numFmt numFmtId="174" formatCode="#,##0;;&quot;&quot;"/>
    <numFmt numFmtId="175" formatCode="#,##0&quot;일&quot;;;&quot;&quot;"/>
    <numFmt numFmtId="176" formatCode="#,##0&quot;인&quot;;;&quot;&quot;"/>
    <numFmt numFmtId="177" formatCode="#,##0&quot;대&quot;;;&quot;&quot;"/>
    <numFmt numFmtId="178" formatCode="0.0&quot;m 이상&quot;"/>
    <numFmt numFmtId="179" formatCode="0.0&quot;m/s 이상&quot;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4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color rgb="001F2937"/>
      <sz val="11"/>
    </font>
    <font>
      <name val="맑은 고딕"/>
      <b val="1"/>
      <color rgb="00111827"/>
      <sz val="16"/>
    </font>
    <font>
      <name val="맑은 고딕"/>
      <b val="1"/>
      <color rgb="00111827"/>
      <sz val="13.5"/>
    </font>
    <font>
      <name val="맑은 고딕"/>
      <color rgb="001F2937"/>
      <sz val="10.5"/>
    </font>
    <font>
      <name val="맑은 고딕"/>
      <color rgb="00000000"/>
      <sz val="9"/>
    </font>
    <font>
      <name val="맑은 고딕"/>
      <color rgb="001F2937"/>
      <sz val="8"/>
    </font>
    <font>
      <name val="맑은 고딕"/>
      <b val="1"/>
      <color rgb="001F2937"/>
      <sz val="8"/>
    </font>
    <font>
      <name val="맑은 고딕"/>
      <color rgb="001F2937"/>
      <sz val="7"/>
    </font>
    <font>
      <name val="맑은 고딕"/>
      <color rgb="00000000"/>
      <sz val="9.5"/>
    </font>
    <font>
      <name val="맑은 고딕"/>
      <color rgb="00000000"/>
      <sz val="8.5"/>
    </font>
    <font>
      <name val="맑은 고딕"/>
      <color rgb="001F2937"/>
      <sz val="9.5"/>
    </font>
    <font>
      <name val="맑은 고딕"/>
      <b val="1"/>
      <color rgb="001F2937"/>
      <sz val="10.5"/>
    </font>
    <font>
      <name val="맑은 고딕"/>
      <b val="1"/>
      <color rgb="00111827"/>
      <sz val="11"/>
    </font>
    <font>
      <name val="맑은 고딕"/>
      <color rgb="001F2937"/>
      <sz val="8.5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FFF1B8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top" wrapText="1"/>
    </xf>
    <xf numFmtId="165" fontId="6" fillId="3" borderId="1" applyAlignment="1" pivotButton="0" quotePrefix="0" xfId="0">
      <alignment horizontal="center" vertical="center" shrinkToFit="1"/>
    </xf>
    <xf numFmtId="166" fontId="6" fillId="3" borderId="1" applyAlignment="1" pivotButton="0" quotePrefix="0" xfId="0">
      <alignment horizontal="center" vertical="center" shrinkToFit="1"/>
    </xf>
    <xf numFmtId="167" fontId="6" fillId="3" borderId="1" applyAlignment="1" pivotButton="0" quotePrefix="0" xfId="0">
      <alignment horizontal="center" vertical="center" shrinkToFit="1"/>
    </xf>
    <xf numFmtId="0" fontId="5" fillId="4" borderId="1" applyAlignment="1" pivotButton="0" quotePrefix="0" xfId="0">
      <alignment horizontal="center" vertical="center" wrapText="1"/>
    </xf>
    <xf numFmtId="168" fontId="6" fillId="0" borderId="1" applyAlignment="1" pivotButton="0" quotePrefix="0" xfId="0">
      <alignment horizontal="center" vertical="center" shrinkToFit="1"/>
    </xf>
    <xf numFmtId="169" fontId="4" fillId="5" borderId="1" applyAlignment="1" pivotButton="0" quotePrefix="0" xfId="0">
      <alignment horizontal="center" vertical="center" shrinkToFit="1"/>
    </xf>
    <xf numFmtId="170" fontId="4" fillId="5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center" vertical="center" shrinkToFit="1"/>
    </xf>
    <xf numFmtId="169" fontId="5" fillId="5" borderId="1" applyAlignment="1" pivotButton="0" quotePrefix="0" xfId="0">
      <alignment horizontal="center" vertical="center" shrinkToFit="1"/>
    </xf>
    <xf numFmtId="170" fontId="5" fillId="5" borderId="1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left" vertical="top" wrapText="1" indent="1"/>
    </xf>
    <xf numFmtId="171" fontId="15" fillId="4" borderId="1" applyAlignment="1" pivotButton="0" quotePrefix="0" xfId="0">
      <alignment horizontal="center" vertical="center" shrinkToFit="1"/>
    </xf>
    <xf numFmtId="0" fontId="16" fillId="4" borderId="1" applyAlignment="1" pivotButton="0" quotePrefix="0" xfId="0">
      <alignment horizontal="center" vertical="center" wrapText="1"/>
    </xf>
    <xf numFmtId="172" fontId="1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 wrapText="1"/>
    </xf>
    <xf numFmtId="173" fontId="14" fillId="0" borderId="1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2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 indent="2"/>
    </xf>
    <xf numFmtId="0" fontId="4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left" vertical="top" wrapText="1"/>
    </xf>
    <xf numFmtId="0" fontId="23" fillId="0" borderId="1" applyAlignment="1" pivotButton="0" quotePrefix="0" xfId="0">
      <alignment horizontal="left" vertical="center" wrapText="1"/>
    </xf>
    <xf numFmtId="0" fontId="24" fillId="2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174" fontId="6" fillId="0" borderId="1" applyAlignment="1" pivotButton="0" quotePrefix="0" xfId="0">
      <alignment horizontal="center" vertical="center" shrinkToFit="1"/>
    </xf>
    <xf numFmtId="175" fontId="6" fillId="0" borderId="1" applyAlignment="1" pivotButton="0" quotePrefix="0" xfId="0">
      <alignment horizontal="center" vertical="center" shrinkToFit="1"/>
    </xf>
    <xf numFmtId="176" fontId="4" fillId="5" borderId="1" applyAlignment="1" pivotButton="0" quotePrefix="0" xfId="0">
      <alignment horizontal="center" vertical="center" shrinkToFit="1"/>
    </xf>
    <xf numFmtId="176" fontId="5" fillId="5" borderId="1" applyAlignment="1" pivotButton="0" quotePrefix="0" xfId="0">
      <alignment horizontal="center" vertical="center" shrinkToFit="1"/>
    </xf>
    <xf numFmtId="177" fontId="4" fillId="5" borderId="1" applyAlignment="1" pivotButton="0" quotePrefix="0" xfId="0">
      <alignment horizontal="center" vertical="center" shrinkToFit="1"/>
    </xf>
    <xf numFmtId="177" fontId="5" fillId="5" borderId="1" applyAlignment="1" pivotButton="0" quotePrefix="0" xfId="0">
      <alignment horizontal="center" vertical="center" shrinkToFit="1"/>
    </xf>
    <xf numFmtId="178" fontId="6" fillId="3" borderId="1" applyAlignment="1" pivotButton="0" quotePrefix="0" xfId="0">
      <alignment horizontal="center" vertical="center" shrinkToFit="1"/>
    </xf>
    <xf numFmtId="179" fontId="6" fillId="3" borderId="1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&quot;m&quot;;;&quot;&quot;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60" customHeight="1">
      <c r="A3" s="3" t="inlineStr">
        <is>
          <t>오 탁 방 지 막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n"/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/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(회 사 명)</t>
        </is>
      </c>
    </row>
    <row r="10" ht="19.5" customHeight="1">
      <c r="A10" s="10" t="inlineStr">
        <is>
          <t>공사명·제출일·회사를 여기 한 번만 적으면 뒤 장(공사개요 등)에 저절로 들어갑니다.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0" customHeight="1">
      <c r="A3" s="11" t="inlineStr">
        <is>
          <t>목          차</t>
        </is>
      </c>
    </row>
    <row r="4" ht="30" customHeight="1"/>
    <row r="5" ht="30" customHeight="1">
      <c r="A5" s="4" t="inlineStr"/>
      <c r="C5" s="12" t="inlineStr">
        <is>
          <t>Ⅰ.</t>
        </is>
      </c>
      <c r="D5" s="12" t="inlineStr">
        <is>
          <t>시 공 계 획</t>
        </is>
      </c>
      <c r="K5" s="4" t="inlineStr"/>
    </row>
    <row r="6" ht="30" customHeight="1">
      <c r="A6" s="4" t="inlineStr"/>
      <c r="C6" s="12" t="inlineStr"/>
      <c r="D6" s="13" t="inlineStr">
        <is>
          <t xml:space="preserve">    1. 공사개요</t>
        </is>
      </c>
      <c r="K6" s="4" t="inlineStr"/>
    </row>
    <row r="7" ht="30" customHeight="1">
      <c r="A7" s="4" t="inlineStr"/>
      <c r="C7" s="12" t="inlineStr"/>
      <c r="D7" s="13" t="inlineStr">
        <is>
          <t xml:space="preserve">    2. 예정공정표</t>
        </is>
      </c>
      <c r="K7" s="4" t="inlineStr"/>
    </row>
    <row r="8" ht="30" customHeight="1">
      <c r="A8" s="4" t="inlineStr"/>
      <c r="C8" s="12" t="inlineStr"/>
      <c r="D8" s="13" t="inlineStr">
        <is>
          <t xml:space="preserve">    3. 조직도</t>
        </is>
      </c>
      <c r="K8" s="4" t="inlineStr"/>
    </row>
    <row r="9" ht="30" customHeight="1">
      <c r="A9" s="4" t="inlineStr"/>
      <c r="C9" s="12" t="inlineStr"/>
      <c r="D9" s="13" t="inlineStr">
        <is>
          <t xml:space="preserve">    4. 시공 흐름도</t>
        </is>
      </c>
      <c r="K9" s="4" t="inlineStr"/>
    </row>
    <row r="10" ht="30" customHeight="1">
      <c r="A10" s="4" t="inlineStr"/>
      <c r="C10" s="12" t="inlineStr"/>
      <c r="D10" s="13" t="inlineStr">
        <is>
          <t xml:space="preserve">    5. 공종별 시공계획</t>
        </is>
      </c>
      <c r="K10" s="4" t="inlineStr"/>
    </row>
    <row r="11" ht="30" customHeight="1">
      <c r="A11" s="4" t="inlineStr"/>
      <c r="C11" s="12" t="inlineStr"/>
      <c r="D11" s="13" t="inlineStr">
        <is>
          <t xml:space="preserve">    6. 인원 · 장비 · 자재 투입계획</t>
        </is>
      </c>
      <c r="K11" s="4" t="inlineStr"/>
    </row>
    <row r="12" ht="30" customHeight="1">
      <c r="A12" s="4" t="inlineStr"/>
      <c r="C12" s="12" t="inlineStr"/>
      <c r="D12" s="13" t="inlineStr">
        <is>
          <t xml:space="preserve">    7. 오탁방지막 문제점 및 대책 검토안</t>
        </is>
      </c>
      <c r="K12" s="4" t="inlineStr"/>
    </row>
    <row r="13" ht="30" customHeight="1">
      <c r="A13" s="4" t="inlineStr"/>
      <c r="C13" s="12" t="inlineStr">
        <is>
          <t>Ⅱ.</t>
        </is>
      </c>
      <c r="D13" s="12" t="inlineStr">
        <is>
          <t>품 질 관 리</t>
        </is>
      </c>
      <c r="K13" s="4" t="inlineStr"/>
    </row>
    <row r="14" ht="30" customHeight="1">
      <c r="A14" s="4" t="inlineStr"/>
      <c r="C14" s="12" t="inlineStr">
        <is>
          <t>Ⅲ.</t>
        </is>
      </c>
      <c r="D14" s="12" t="inlineStr">
        <is>
          <t>환경 · 안전관리계획</t>
        </is>
      </c>
      <c r="K14" s="4" t="inlineStr"/>
    </row>
  </sheetData>
  <mergeCells count="33">
    <mergeCell ref="D9:J9"/>
    <mergeCell ref="A11:B11"/>
    <mergeCell ref="D12:J12"/>
    <mergeCell ref="D8:J8"/>
    <mergeCell ref="K9:L9"/>
    <mergeCell ref="K5:L5"/>
    <mergeCell ref="A3:L3"/>
    <mergeCell ref="A6:B6"/>
    <mergeCell ref="D5:J5"/>
    <mergeCell ref="D14:J14"/>
    <mergeCell ref="K11:L11"/>
    <mergeCell ref="A7:B7"/>
    <mergeCell ref="D10:J10"/>
    <mergeCell ref="A12:B12"/>
    <mergeCell ref="G1:L1"/>
    <mergeCell ref="K12:L12"/>
    <mergeCell ref="K8:L8"/>
    <mergeCell ref="A5:B5"/>
    <mergeCell ref="D6:J6"/>
    <mergeCell ref="K6:L6"/>
    <mergeCell ref="A14:B14"/>
    <mergeCell ref="A8:B8"/>
    <mergeCell ref="D11:J11"/>
    <mergeCell ref="D13:J13"/>
    <mergeCell ref="K14:L14"/>
    <mergeCell ref="K7:L7"/>
    <mergeCell ref="A1:F1"/>
    <mergeCell ref="D7:J7"/>
    <mergeCell ref="A10:B10"/>
    <mergeCell ref="K10:L10"/>
    <mergeCell ref="A13:B13"/>
    <mergeCell ref="A9:B9"/>
    <mergeCell ref="K13:L13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6" customHeight="1">
      <c r="A2" s="14" t="inlineStr">
        <is>
          <t>Ⅰ.  시 공 계 획</t>
        </is>
      </c>
    </row>
    <row r="3" ht="6" customHeight="1"/>
    <row r="4" ht="28" customHeight="1">
      <c r="A4" s="15" t="inlineStr">
        <is>
          <t>1. 공사개요</t>
        </is>
      </c>
    </row>
    <row r="5" ht="48" customHeight="1">
      <c r="A5" s="16">
        <f>"    본 공사는 "&amp;IF('표지'!E5="","○○ 공사","「"&amp;'표지'!E5&amp;"」")&amp;" 기간 중 준설과 기초공사로 생기는 오탁수와 부유물질이 퍼져 바다(하천)가 오탁되는 것을 막기 위하여 오탁방지막을 설치하는 공사입니다."</f>
        <v/>
      </c>
    </row>
    <row r="6" ht="6" customHeight="1"/>
    <row r="7" ht="24" customHeight="1">
      <c r="A7" s="5" t="inlineStr">
        <is>
          <t>막 한 장(1 SPAN) 길이</t>
        </is>
      </c>
      <c r="B7" s="6" t="n"/>
      <c r="C7" s="6" t="n"/>
      <c r="D7" s="17" t="n">
        <v>20</v>
      </c>
      <c r="E7" s="6" t="n"/>
      <c r="F7" s="5" t="inlineStr">
        <is>
          <t>앵커 간격 · 줄 수</t>
        </is>
      </c>
      <c r="G7" s="6" t="n"/>
      <c r="H7" s="6" t="n"/>
      <c r="I7" s="18" t="n">
        <v>10</v>
      </c>
      <c r="J7" s="6" t="n"/>
      <c r="K7" s="19" t="n">
        <v>2</v>
      </c>
      <c r="L7" s="6" t="n"/>
    </row>
    <row r="8" ht="4" customHeight="1"/>
    <row r="9" ht="24" customHeight="1">
      <c r="A9" s="20" t="inlineStr">
        <is>
          <t>구  분</t>
        </is>
      </c>
      <c r="B9" s="6" t="n"/>
      <c r="C9" s="20" t="inlineStr">
        <is>
          <t>연  장</t>
        </is>
      </c>
      <c r="D9" s="6" t="n"/>
      <c r="E9" s="6" t="n"/>
      <c r="F9" s="20" t="inlineStr">
        <is>
          <t>오탁방지막</t>
        </is>
      </c>
      <c r="G9" s="6" t="n"/>
      <c r="H9" s="20" t="inlineStr">
        <is>
          <t>닻가지형 앵커</t>
        </is>
      </c>
      <c r="I9" s="6" t="n"/>
      <c r="J9" s="20" t="inlineStr">
        <is>
          <t>비  고</t>
        </is>
      </c>
      <c r="K9" s="6" t="n"/>
      <c r="L9" s="6" t="n"/>
    </row>
    <row r="10" ht="22" customHeight="1">
      <c r="A10" s="7" t="n"/>
      <c r="B10" s="6" t="n"/>
      <c r="C10" s="21" t="n"/>
      <c r="D10" s="6" t="n"/>
      <c r="E10" s="6" t="n"/>
      <c r="F10" s="22">
        <f>IF(OR(N(C10)=0,N(D7)=0),"",ROUNDUP(C10/D7,0))</f>
        <v/>
      </c>
      <c r="G10" s="6" t="n"/>
      <c r="H10" s="23">
        <f>IF(OR(N(C10)=0,N(I7)=0),"",(ROUNDUP(C10/I7,0)+1)*N(K7))</f>
        <v/>
      </c>
      <c r="I10" s="6" t="n"/>
      <c r="J10" s="24" t="n"/>
      <c r="K10" s="6" t="n"/>
      <c r="L10" s="6" t="n"/>
    </row>
    <row r="11" ht="22" customHeight="1">
      <c r="A11" s="7" t="n"/>
      <c r="B11" s="6" t="n"/>
      <c r="C11" s="21" t="n"/>
      <c r="D11" s="6" t="n"/>
      <c r="E11" s="6" t="n"/>
      <c r="F11" s="22">
        <f>IF(OR(N(C11)=0,N(D7)=0),"",ROUNDUP(C11/D7,0))</f>
        <v/>
      </c>
      <c r="G11" s="6" t="n"/>
      <c r="H11" s="23">
        <f>IF(OR(N(C11)=0,N(I7)=0),"",(ROUNDUP(C11/I7,0)+1)*N(K7))</f>
        <v/>
      </c>
      <c r="I11" s="6" t="n"/>
      <c r="J11" s="24" t="n"/>
      <c r="K11" s="6" t="n"/>
      <c r="L11" s="6" t="n"/>
    </row>
    <row r="12" ht="22" customHeight="1">
      <c r="A12" s="7" t="n"/>
      <c r="B12" s="6" t="n"/>
      <c r="C12" s="21" t="n"/>
      <c r="D12" s="6" t="n"/>
      <c r="E12" s="6" t="n"/>
      <c r="F12" s="22">
        <f>IF(OR(N(C12)=0,N(D7)=0),"",ROUNDUP(C12/D7,0))</f>
        <v/>
      </c>
      <c r="G12" s="6" t="n"/>
      <c r="H12" s="23">
        <f>IF(OR(N(C12)=0,N(I7)=0),"",(ROUNDUP(C12/I7,0)+1)*N(K7))</f>
        <v/>
      </c>
      <c r="I12" s="6" t="n"/>
      <c r="J12" s="24" t="n"/>
      <c r="K12" s="6" t="n"/>
      <c r="L12" s="6" t="n"/>
    </row>
    <row r="13" ht="22" customHeight="1">
      <c r="A13" s="7" t="n"/>
      <c r="B13" s="6" t="n"/>
      <c r="C13" s="21" t="n"/>
      <c r="D13" s="6" t="n"/>
      <c r="E13" s="6" t="n"/>
      <c r="F13" s="22">
        <f>IF(OR(N(C13)=0,N(D7)=0),"",ROUNDUP(C13/D7,0))</f>
        <v/>
      </c>
      <c r="G13" s="6" t="n"/>
      <c r="H13" s="23">
        <f>IF(OR(N(C13)=0,N(I7)=0),"",(ROUNDUP(C13/I7,0)+1)*N(K7))</f>
        <v/>
      </c>
      <c r="I13" s="6" t="n"/>
      <c r="J13" s="24" t="n"/>
      <c r="K13" s="6" t="n"/>
      <c r="L13" s="6" t="n"/>
    </row>
    <row r="14" ht="22" customHeight="1">
      <c r="A14" s="7" t="n"/>
      <c r="B14" s="6" t="n"/>
      <c r="C14" s="21" t="n"/>
      <c r="D14" s="6" t="n"/>
      <c r="E14" s="6" t="n"/>
      <c r="F14" s="22">
        <f>IF(OR(N(C14)=0,N(D7)=0),"",ROUNDUP(C14/D7,0))</f>
        <v/>
      </c>
      <c r="G14" s="6" t="n"/>
      <c r="H14" s="23">
        <f>IF(OR(N(C14)=0,N(I7)=0),"",(ROUNDUP(C14/I7,0)+1)*N(K7))</f>
        <v/>
      </c>
      <c r="I14" s="6" t="n"/>
      <c r="J14" s="24" t="n"/>
      <c r="K14" s="6" t="n"/>
      <c r="L14" s="6" t="n"/>
    </row>
    <row r="15" ht="24" customHeight="1">
      <c r="A15" s="25" t="inlineStr">
        <is>
          <t>합  계</t>
        </is>
      </c>
      <c r="B15" s="6" t="n"/>
      <c r="C15" s="26">
        <f>IF(SUM(C10:C14)=0,"",SUM(C10:C14))</f>
        <v/>
      </c>
      <c r="D15" s="6" t="n"/>
      <c r="E15" s="6" t="n"/>
      <c r="F15" s="27">
        <f>IF(SUM(F10:F14)=0,"",SUM(F10:F14))</f>
        <v/>
      </c>
      <c r="G15" s="6" t="n"/>
      <c r="H15" s="28">
        <f>IF(SUM(H10:H14)=0,"",SUM(H10:H14))</f>
        <v/>
      </c>
      <c r="I15" s="6" t="n"/>
      <c r="J15" s="25" t="inlineStr"/>
      <c r="K15" s="6" t="n"/>
      <c r="L15" s="6" t="n"/>
    </row>
    <row r="16" ht="16" customHeight="1">
      <c r="A16" s="10" t="inlineStr">
        <is>
          <t>※ SPAN = 연장 ÷ 막 한 장 길이(올림) · 앵커 = (연장 ÷ 앵커 간격(올림) + 1) × 줄 수 — 노란 칸은 설계에 맞게 고쳐 씁니다.</t>
        </is>
      </c>
    </row>
    <row r="17" ht="21.5" customHeight="1">
      <c r="A17" s="29" t="inlineStr">
        <is>
          <t>※ 오랫동안 설치해 두어 오탁방지막의 평균 수명(2~3년)을 넘기면 다시 설치합니다.</t>
        </is>
      </c>
    </row>
    <row r="18" ht="6" customHeight="1"/>
    <row r="19" ht="28" customHeight="1">
      <c r="A19" s="15" t="inlineStr">
        <is>
          <t>2. 예정공정표 (별첨)</t>
        </is>
      </c>
    </row>
    <row r="20" ht="6" customHeight="1"/>
    <row r="21" ht="28" customHeight="1">
      <c r="A21" s="15" t="inlineStr">
        <is>
          <t>3. 조직도 (별첨)</t>
        </is>
      </c>
    </row>
  </sheetData>
  <mergeCells count="49">
    <mergeCell ref="A16:L16"/>
    <mergeCell ref="F11:G11"/>
    <mergeCell ref="A15:B15"/>
    <mergeCell ref="F10:G10"/>
    <mergeCell ref="H10:I10"/>
    <mergeCell ref="A9:B9"/>
    <mergeCell ref="A11:B11"/>
    <mergeCell ref="C9:E9"/>
    <mergeCell ref="A21:L21"/>
    <mergeCell ref="C12:E12"/>
    <mergeCell ref="H9:I9"/>
    <mergeCell ref="J11:L11"/>
    <mergeCell ref="A2:L2"/>
    <mergeCell ref="C11:E11"/>
    <mergeCell ref="F12:G12"/>
    <mergeCell ref="F15:G15"/>
    <mergeCell ref="I7:J7"/>
    <mergeCell ref="A5:L5"/>
    <mergeCell ref="A17:L17"/>
    <mergeCell ref="J12:L12"/>
    <mergeCell ref="A4:L4"/>
    <mergeCell ref="A12:B12"/>
    <mergeCell ref="G1:L1"/>
    <mergeCell ref="H11:I11"/>
    <mergeCell ref="D7:E7"/>
    <mergeCell ref="C13:E13"/>
    <mergeCell ref="A19:L19"/>
    <mergeCell ref="A14:B14"/>
    <mergeCell ref="F13:G13"/>
    <mergeCell ref="H13:I13"/>
    <mergeCell ref="H14:I14"/>
    <mergeCell ref="C15:E15"/>
    <mergeCell ref="F9:G9"/>
    <mergeCell ref="K7:L7"/>
    <mergeCell ref="H12:I12"/>
    <mergeCell ref="C14:E14"/>
    <mergeCell ref="J14:L14"/>
    <mergeCell ref="J10:L10"/>
    <mergeCell ref="J13:L13"/>
    <mergeCell ref="A1:F1"/>
    <mergeCell ref="A10:B10"/>
    <mergeCell ref="H15:I15"/>
    <mergeCell ref="J15:L15"/>
    <mergeCell ref="A13:B13"/>
    <mergeCell ref="F14:G14"/>
    <mergeCell ref="F7:H7"/>
    <mergeCell ref="J9:L9"/>
    <mergeCell ref="A7:C7"/>
    <mergeCell ref="C10:E10"/>
  </mergeCells>
  <conditionalFormatting sqref="C10:C15">
    <cfRule type="expression" priority="1" dxfId="0">
      <formula>AND(ISNUMBER(C10),MOD(C10,1)=0)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6"/>
  <sheetViews>
    <sheetView showGridLines="0" zoomScale="10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9" customWidth="1" min="28" max="28"/>
  </cols>
  <sheetData>
    <row r="1" ht="20" customHeight="1">
      <c r="A1" s="1" t="inlineStr">
        <is>
          <t xml:space="preserve">  K-건설맵  |  k-conmap.com  건설 서식</t>
        </is>
      </c>
      <c r="K1" s="2" t="inlineStr">
        <is>
          <t xml:space="preserve">← 이 1행을 지우고 쓰셔도 됩니다  </t>
        </is>
      </c>
    </row>
    <row r="2" ht="34" customHeight="1">
      <c r="A2" s="14" t="inlineStr">
        <is>
          <t>2.  예 정 공 정 표</t>
        </is>
      </c>
    </row>
    <row r="3" ht="22" customHeight="1">
      <c r="A3" s="5" t="inlineStr">
        <is>
          <t>착 공 일</t>
        </is>
      </c>
      <c r="B3" s="8" t="n"/>
      <c r="C3" s="6" t="n"/>
      <c r="D3" s="10" t="inlineStr">
        <is>
          <t>※ 착공일을 적으면 달 눈금이, 공종마다 착수·완료일을 적으면 막대가 그려집니다.</t>
        </is>
      </c>
    </row>
    <row r="4" ht="20" customHeight="1">
      <c r="A4" s="20" t="inlineStr">
        <is>
          <t>공    종</t>
        </is>
      </c>
      <c r="B4" s="20" t="inlineStr">
        <is>
          <t>착 수</t>
        </is>
      </c>
      <c r="C4" s="20" t="inlineStr">
        <is>
          <t>완 료</t>
        </is>
      </c>
      <c r="D4" s="30">
        <f>IF(N(B3)=0,"",EDATE(DATE(YEAR(B3),MONTH(B3),1),0))</f>
        <v/>
      </c>
      <c r="E4" s="6" t="n"/>
      <c r="F4" s="30">
        <f>IF(N(B3)=0,"",EDATE(DATE(YEAR(B3),MONTH(B3),1),1))</f>
        <v/>
      </c>
      <c r="G4" s="6" t="n"/>
      <c r="H4" s="30">
        <f>IF(N(B3)=0,"",EDATE(DATE(YEAR(B3),MONTH(B3),1),2))</f>
        <v/>
      </c>
      <c r="I4" s="6" t="n"/>
      <c r="J4" s="30">
        <f>IF(N(B3)=0,"",EDATE(DATE(YEAR(B3),MONTH(B3),1),3))</f>
        <v/>
      </c>
      <c r="K4" s="6" t="n"/>
      <c r="L4" s="30">
        <f>IF(N(B3)=0,"",EDATE(DATE(YEAR(B3),MONTH(B3),1),4))</f>
        <v/>
      </c>
      <c r="M4" s="6" t="n"/>
      <c r="N4" s="30">
        <f>IF(N(B3)=0,"",EDATE(DATE(YEAR(B3),MONTH(B3),1),5))</f>
        <v/>
      </c>
      <c r="O4" s="6" t="n"/>
      <c r="P4" s="30">
        <f>IF(N(B3)=0,"",EDATE(DATE(YEAR(B3),MONTH(B3),1),6))</f>
        <v/>
      </c>
      <c r="Q4" s="6" t="n"/>
      <c r="R4" s="30">
        <f>IF(N(B3)=0,"",EDATE(DATE(YEAR(B3),MONTH(B3),1),7))</f>
        <v/>
      </c>
      <c r="S4" s="6" t="n"/>
      <c r="T4" s="30">
        <f>IF(N(B3)=0,"",EDATE(DATE(YEAR(B3),MONTH(B3),1),8))</f>
        <v/>
      </c>
      <c r="U4" s="6" t="n"/>
      <c r="V4" s="30">
        <f>IF(N(B3)=0,"",EDATE(DATE(YEAR(B3),MONTH(B3),1),9))</f>
        <v/>
      </c>
      <c r="W4" s="6" t="n"/>
      <c r="X4" s="30">
        <f>IF(N(B3)=0,"",EDATE(DATE(YEAR(B3),MONTH(B3),1),10))</f>
        <v/>
      </c>
      <c r="Y4" s="6" t="n"/>
      <c r="Z4" s="30">
        <f>IF(N(B3)=0,"",EDATE(DATE(YEAR(B3),MONTH(B3),1),11))</f>
        <v/>
      </c>
      <c r="AA4" s="6" t="n"/>
      <c r="AB4" s="20" t="inlineStr">
        <is>
          <t>비 고</t>
        </is>
      </c>
    </row>
    <row r="5" ht="15" customHeight="1">
      <c r="A5" s="6" t="n"/>
      <c r="B5" s="6" t="n"/>
      <c r="C5" s="6" t="n"/>
      <c r="D5" s="31" t="inlineStr">
        <is>
          <t>상</t>
        </is>
      </c>
      <c r="E5" s="31" t="inlineStr">
        <is>
          <t>하</t>
        </is>
      </c>
      <c r="F5" s="31" t="inlineStr">
        <is>
          <t>상</t>
        </is>
      </c>
      <c r="G5" s="31" t="inlineStr">
        <is>
          <t>하</t>
        </is>
      </c>
      <c r="H5" s="31" t="inlineStr">
        <is>
          <t>상</t>
        </is>
      </c>
      <c r="I5" s="31" t="inlineStr">
        <is>
          <t>하</t>
        </is>
      </c>
      <c r="J5" s="31" t="inlineStr">
        <is>
          <t>상</t>
        </is>
      </c>
      <c r="K5" s="31" t="inlineStr">
        <is>
          <t>하</t>
        </is>
      </c>
      <c r="L5" s="31" t="inlineStr">
        <is>
          <t>상</t>
        </is>
      </c>
      <c r="M5" s="31" t="inlineStr">
        <is>
          <t>하</t>
        </is>
      </c>
      <c r="N5" s="31" t="inlineStr">
        <is>
          <t>상</t>
        </is>
      </c>
      <c r="O5" s="31" t="inlineStr">
        <is>
          <t>하</t>
        </is>
      </c>
      <c r="P5" s="31" t="inlineStr">
        <is>
          <t>상</t>
        </is>
      </c>
      <c r="Q5" s="31" t="inlineStr">
        <is>
          <t>하</t>
        </is>
      </c>
      <c r="R5" s="31" t="inlineStr">
        <is>
          <t>상</t>
        </is>
      </c>
      <c r="S5" s="31" t="inlineStr">
        <is>
          <t>하</t>
        </is>
      </c>
      <c r="T5" s="31" t="inlineStr">
        <is>
          <t>상</t>
        </is>
      </c>
      <c r="U5" s="31" t="inlineStr">
        <is>
          <t>하</t>
        </is>
      </c>
      <c r="V5" s="31" t="inlineStr">
        <is>
          <t>상</t>
        </is>
      </c>
      <c r="W5" s="31" t="inlineStr">
        <is>
          <t>하</t>
        </is>
      </c>
      <c r="X5" s="31" t="inlineStr">
        <is>
          <t>상</t>
        </is>
      </c>
      <c r="Y5" s="31" t="inlineStr">
        <is>
          <t>하</t>
        </is>
      </c>
      <c r="Z5" s="31" t="inlineStr">
        <is>
          <t>상</t>
        </is>
      </c>
      <c r="AA5" s="31" t="inlineStr">
        <is>
          <t>하</t>
        </is>
      </c>
      <c r="AB5" s="6" t="n"/>
    </row>
    <row r="6" hidden="1" ht="12" customHeight="1">
      <c r="D6" s="32">
        <f>IF(N(B3)=0,"",EDATE(DATE(YEAR(B3),MONTH(B3),1),0))</f>
        <v/>
      </c>
      <c r="E6" s="32">
        <f>IF(N(B3)=0,"",EDATE(DATE(YEAR(B3),MONTH(B3),1),0)+15)</f>
        <v/>
      </c>
      <c r="F6" s="32">
        <f>IF(N(B3)=0,"",EDATE(DATE(YEAR(B3),MONTH(B3),1),1))</f>
        <v/>
      </c>
      <c r="G6" s="32">
        <f>IF(N(B3)=0,"",EDATE(DATE(YEAR(B3),MONTH(B3),1),1)+15)</f>
        <v/>
      </c>
      <c r="H6" s="32">
        <f>IF(N(B3)=0,"",EDATE(DATE(YEAR(B3),MONTH(B3),1),2))</f>
        <v/>
      </c>
      <c r="I6" s="32">
        <f>IF(N(B3)=0,"",EDATE(DATE(YEAR(B3),MONTH(B3),1),2)+15)</f>
        <v/>
      </c>
      <c r="J6" s="32">
        <f>IF(N(B3)=0,"",EDATE(DATE(YEAR(B3),MONTH(B3),1),3))</f>
        <v/>
      </c>
      <c r="K6" s="32">
        <f>IF(N(B3)=0,"",EDATE(DATE(YEAR(B3),MONTH(B3),1),3)+15)</f>
        <v/>
      </c>
      <c r="L6" s="32">
        <f>IF(N(B3)=0,"",EDATE(DATE(YEAR(B3),MONTH(B3),1),4))</f>
        <v/>
      </c>
      <c r="M6" s="32">
        <f>IF(N(B3)=0,"",EDATE(DATE(YEAR(B3),MONTH(B3),1),4)+15)</f>
        <v/>
      </c>
      <c r="N6" s="32">
        <f>IF(N(B3)=0,"",EDATE(DATE(YEAR(B3),MONTH(B3),1),5))</f>
        <v/>
      </c>
      <c r="O6" s="32">
        <f>IF(N(B3)=0,"",EDATE(DATE(YEAR(B3),MONTH(B3),1),5)+15)</f>
        <v/>
      </c>
      <c r="P6" s="32">
        <f>IF(N(B3)=0,"",EDATE(DATE(YEAR(B3),MONTH(B3),1),6))</f>
        <v/>
      </c>
      <c r="Q6" s="32">
        <f>IF(N(B3)=0,"",EDATE(DATE(YEAR(B3),MONTH(B3),1),6)+15)</f>
        <v/>
      </c>
      <c r="R6" s="32">
        <f>IF(N(B3)=0,"",EDATE(DATE(YEAR(B3),MONTH(B3),1),7))</f>
        <v/>
      </c>
      <c r="S6" s="32">
        <f>IF(N(B3)=0,"",EDATE(DATE(YEAR(B3),MONTH(B3),1),7)+15)</f>
        <v/>
      </c>
      <c r="T6" s="32">
        <f>IF(N(B3)=0,"",EDATE(DATE(YEAR(B3),MONTH(B3),1),8))</f>
        <v/>
      </c>
      <c r="U6" s="32">
        <f>IF(N(B3)=0,"",EDATE(DATE(YEAR(B3),MONTH(B3),1),8)+15)</f>
        <v/>
      </c>
      <c r="V6" s="32">
        <f>IF(N(B3)=0,"",EDATE(DATE(YEAR(B3),MONTH(B3),1),9))</f>
        <v/>
      </c>
      <c r="W6" s="32">
        <f>IF(N(B3)=0,"",EDATE(DATE(YEAR(B3),MONTH(B3),1),9)+15)</f>
        <v/>
      </c>
      <c r="X6" s="32">
        <f>IF(N(B3)=0,"",EDATE(DATE(YEAR(B3),MONTH(B3),1),10))</f>
        <v/>
      </c>
      <c r="Y6" s="32">
        <f>IF(N(B3)=0,"",EDATE(DATE(YEAR(B3),MONTH(B3),1),10)+15)</f>
        <v/>
      </c>
      <c r="Z6" s="32">
        <f>IF(N(B3)=0,"",EDATE(DATE(YEAR(B3),MONTH(B3),1),11))</f>
        <v/>
      </c>
      <c r="AA6" s="32">
        <f>IF(N(B3)=0,"",EDATE(DATE(YEAR(B3),MONTH(B3),1),11)+15)</f>
        <v/>
      </c>
    </row>
    <row r="7" hidden="1" ht="12" customHeight="1">
      <c r="D7" s="32">
        <f>IF(N(B3)=0,"",EDATE(DATE(YEAR(B3),MONTH(B3),1),0)+14)</f>
        <v/>
      </c>
      <c r="E7" s="32">
        <f>IF(N(B3)=0,"",EDATE(DATE(YEAR(B3),MONTH(B3),1),1)-1)</f>
        <v/>
      </c>
      <c r="F7" s="32">
        <f>IF(N(B3)=0,"",EDATE(DATE(YEAR(B3),MONTH(B3),1),1)+14)</f>
        <v/>
      </c>
      <c r="G7" s="32">
        <f>IF(N(B3)=0,"",EDATE(DATE(YEAR(B3),MONTH(B3),1),2)-1)</f>
        <v/>
      </c>
      <c r="H7" s="32">
        <f>IF(N(B3)=0,"",EDATE(DATE(YEAR(B3),MONTH(B3),1),2)+14)</f>
        <v/>
      </c>
      <c r="I7" s="32">
        <f>IF(N(B3)=0,"",EDATE(DATE(YEAR(B3),MONTH(B3),1),3)-1)</f>
        <v/>
      </c>
      <c r="J7" s="32">
        <f>IF(N(B3)=0,"",EDATE(DATE(YEAR(B3),MONTH(B3),1),3)+14)</f>
        <v/>
      </c>
      <c r="K7" s="32">
        <f>IF(N(B3)=0,"",EDATE(DATE(YEAR(B3),MONTH(B3),1),4)-1)</f>
        <v/>
      </c>
      <c r="L7" s="32">
        <f>IF(N(B3)=0,"",EDATE(DATE(YEAR(B3),MONTH(B3),1),4)+14)</f>
        <v/>
      </c>
      <c r="M7" s="32">
        <f>IF(N(B3)=0,"",EDATE(DATE(YEAR(B3),MONTH(B3),1),5)-1)</f>
        <v/>
      </c>
      <c r="N7" s="32">
        <f>IF(N(B3)=0,"",EDATE(DATE(YEAR(B3),MONTH(B3),1),5)+14)</f>
        <v/>
      </c>
      <c r="O7" s="32">
        <f>IF(N(B3)=0,"",EDATE(DATE(YEAR(B3),MONTH(B3),1),6)-1)</f>
        <v/>
      </c>
      <c r="P7" s="32">
        <f>IF(N(B3)=0,"",EDATE(DATE(YEAR(B3),MONTH(B3),1),6)+14)</f>
        <v/>
      </c>
      <c r="Q7" s="32">
        <f>IF(N(B3)=0,"",EDATE(DATE(YEAR(B3),MONTH(B3),1),7)-1)</f>
        <v/>
      </c>
      <c r="R7" s="32">
        <f>IF(N(B3)=0,"",EDATE(DATE(YEAR(B3),MONTH(B3),1),7)+14)</f>
        <v/>
      </c>
      <c r="S7" s="32">
        <f>IF(N(B3)=0,"",EDATE(DATE(YEAR(B3),MONTH(B3),1),8)-1)</f>
        <v/>
      </c>
      <c r="T7" s="32">
        <f>IF(N(B3)=0,"",EDATE(DATE(YEAR(B3),MONTH(B3),1),8)+14)</f>
        <v/>
      </c>
      <c r="U7" s="32">
        <f>IF(N(B3)=0,"",EDATE(DATE(YEAR(B3),MONTH(B3),1),9)-1)</f>
        <v/>
      </c>
      <c r="V7" s="32">
        <f>IF(N(B3)=0,"",EDATE(DATE(YEAR(B3),MONTH(B3),1),9)+14)</f>
        <v/>
      </c>
      <c r="W7" s="32">
        <f>IF(N(B3)=0,"",EDATE(DATE(YEAR(B3),MONTH(B3),1),10)-1)</f>
        <v/>
      </c>
      <c r="X7" s="32">
        <f>IF(N(B3)=0,"",EDATE(DATE(YEAR(B3),MONTH(B3),1),10)+14)</f>
        <v/>
      </c>
      <c r="Y7" s="32">
        <f>IF(N(B3)=0,"",EDATE(DATE(YEAR(B3),MONTH(B3),1),11)-1)</f>
        <v/>
      </c>
      <c r="Z7" s="32">
        <f>IF(N(B3)=0,"",EDATE(DATE(YEAR(B3),MONTH(B3),1),11)+14)</f>
        <v/>
      </c>
      <c r="AA7" s="32">
        <f>IF(N(B3)=0,"",EDATE(DATE(YEAR(B3),MONTH(B3),1),12)-1)</f>
        <v/>
      </c>
    </row>
    <row r="8" ht="26" customHeight="1">
      <c r="A8" s="33" t="n"/>
      <c r="B8" s="34" t="n"/>
      <c r="C8" s="34" t="n"/>
      <c r="D8" s="35" t="inlineStr"/>
      <c r="E8" s="35" t="inlineStr"/>
      <c r="F8" s="35" t="inlineStr"/>
      <c r="G8" s="35" t="inlineStr"/>
      <c r="H8" s="35" t="inlineStr"/>
      <c r="I8" s="35" t="inlineStr"/>
      <c r="J8" s="35" t="inlineStr"/>
      <c r="K8" s="35" t="inlineStr"/>
      <c r="L8" s="35" t="inlineStr"/>
      <c r="M8" s="35" t="inlineStr"/>
      <c r="N8" s="35" t="inlineStr"/>
      <c r="O8" s="35" t="inlineStr"/>
      <c r="P8" s="35" t="inlineStr"/>
      <c r="Q8" s="35" t="inlineStr"/>
      <c r="R8" s="35" t="inlineStr"/>
      <c r="S8" s="35" t="inlineStr"/>
      <c r="T8" s="35" t="inlineStr"/>
      <c r="U8" s="35" t="inlineStr"/>
      <c r="V8" s="35" t="inlineStr"/>
      <c r="W8" s="35" t="inlineStr"/>
      <c r="X8" s="35" t="inlineStr"/>
      <c r="Y8" s="35" t="inlineStr"/>
      <c r="Z8" s="35" t="inlineStr"/>
      <c r="AA8" s="35" t="inlineStr"/>
      <c r="AB8" s="36" t="n"/>
    </row>
    <row r="9" ht="26" customHeight="1">
      <c r="A9" s="33" t="n"/>
      <c r="B9" s="34" t="n"/>
      <c r="C9" s="34" t="n"/>
      <c r="D9" s="35" t="inlineStr"/>
      <c r="E9" s="35" t="inlineStr"/>
      <c r="F9" s="35" t="inlineStr"/>
      <c r="G9" s="35" t="inlineStr"/>
      <c r="H9" s="35" t="inlineStr"/>
      <c r="I9" s="35" t="inlineStr"/>
      <c r="J9" s="35" t="inlineStr"/>
      <c r="K9" s="35" t="inlineStr"/>
      <c r="L9" s="35" t="inlineStr"/>
      <c r="M9" s="35" t="inlineStr"/>
      <c r="N9" s="35" t="inlineStr"/>
      <c r="O9" s="35" t="inlineStr"/>
      <c r="P9" s="35" t="inlineStr"/>
      <c r="Q9" s="35" t="inlineStr"/>
      <c r="R9" s="35" t="inlineStr"/>
      <c r="S9" s="35" t="inlineStr"/>
      <c r="T9" s="35" t="inlineStr"/>
      <c r="U9" s="35" t="inlineStr"/>
      <c r="V9" s="35" t="inlineStr"/>
      <c r="W9" s="35" t="inlineStr"/>
      <c r="X9" s="35" t="inlineStr"/>
      <c r="Y9" s="35" t="inlineStr"/>
      <c r="Z9" s="35" t="inlineStr"/>
      <c r="AA9" s="35" t="inlineStr"/>
      <c r="AB9" s="36" t="n"/>
    </row>
    <row r="10" ht="26" customHeight="1">
      <c r="A10" s="33" t="n"/>
      <c r="B10" s="34" t="n"/>
      <c r="C10" s="34" t="n"/>
      <c r="D10" s="35" t="inlineStr"/>
      <c r="E10" s="35" t="inlineStr"/>
      <c r="F10" s="35" t="inlineStr"/>
      <c r="G10" s="35" t="inlineStr"/>
      <c r="H10" s="35" t="inlineStr"/>
      <c r="I10" s="35" t="inlineStr"/>
      <c r="J10" s="35" t="inlineStr"/>
      <c r="K10" s="35" t="inlineStr"/>
      <c r="L10" s="35" t="inlineStr"/>
      <c r="M10" s="35" t="inlineStr"/>
      <c r="N10" s="35" t="inlineStr"/>
      <c r="O10" s="35" t="inlineStr"/>
      <c r="P10" s="35" t="inlineStr"/>
      <c r="Q10" s="35" t="inlineStr"/>
      <c r="R10" s="35" t="inlineStr"/>
      <c r="S10" s="35" t="inlineStr"/>
      <c r="T10" s="35" t="inlineStr"/>
      <c r="U10" s="35" t="inlineStr"/>
      <c r="V10" s="35" t="inlineStr"/>
      <c r="W10" s="35" t="inlineStr"/>
      <c r="X10" s="35" t="inlineStr"/>
      <c r="Y10" s="35" t="inlineStr"/>
      <c r="Z10" s="35" t="inlineStr"/>
      <c r="AA10" s="35" t="inlineStr"/>
      <c r="AB10" s="36" t="n"/>
    </row>
    <row r="11" ht="26" customHeight="1">
      <c r="A11" s="33" t="n"/>
      <c r="B11" s="34" t="n"/>
      <c r="C11" s="34" t="n"/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35" t="inlineStr"/>
      <c r="N11" s="35" t="inlineStr"/>
      <c r="O11" s="35" t="inlineStr"/>
      <c r="P11" s="35" t="inlineStr"/>
      <c r="Q11" s="35" t="inlineStr"/>
      <c r="R11" s="35" t="inlineStr"/>
      <c r="S11" s="35" t="inlineStr"/>
      <c r="T11" s="35" t="inlineStr"/>
      <c r="U11" s="35" t="inlineStr"/>
      <c r="V11" s="35" t="inlineStr"/>
      <c r="W11" s="35" t="inlineStr"/>
      <c r="X11" s="35" t="inlineStr"/>
      <c r="Y11" s="35" t="inlineStr"/>
      <c r="Z11" s="35" t="inlineStr"/>
      <c r="AA11" s="35" t="inlineStr"/>
      <c r="AB11" s="36" t="n"/>
    </row>
    <row r="12" ht="26" customHeight="1">
      <c r="A12" s="33" t="n"/>
      <c r="B12" s="34" t="n"/>
      <c r="C12" s="34" t="n"/>
      <c r="D12" s="35" t="inlineStr"/>
      <c r="E12" s="35" t="inlineStr"/>
      <c r="F12" s="35" t="inlineStr"/>
      <c r="G12" s="35" t="inlineStr"/>
      <c r="H12" s="35" t="inlineStr"/>
      <c r="I12" s="35" t="inlineStr"/>
      <c r="J12" s="35" t="inlineStr"/>
      <c r="K12" s="35" t="inlineStr"/>
      <c r="L12" s="35" t="inlineStr"/>
      <c r="M12" s="35" t="inlineStr"/>
      <c r="N12" s="35" t="inlineStr"/>
      <c r="O12" s="35" t="inlineStr"/>
      <c r="P12" s="35" t="inlineStr"/>
      <c r="Q12" s="35" t="inlineStr"/>
      <c r="R12" s="35" t="inlineStr"/>
      <c r="S12" s="35" t="inlineStr"/>
      <c r="T12" s="35" t="inlineStr"/>
      <c r="U12" s="35" t="inlineStr"/>
      <c r="V12" s="35" t="inlineStr"/>
      <c r="W12" s="35" t="inlineStr"/>
      <c r="X12" s="35" t="inlineStr"/>
      <c r="Y12" s="35" t="inlineStr"/>
      <c r="Z12" s="35" t="inlineStr"/>
      <c r="AA12" s="35" t="inlineStr"/>
      <c r="AB12" s="36" t="n"/>
    </row>
    <row r="13" ht="26" customHeight="1">
      <c r="A13" s="33" t="n"/>
      <c r="B13" s="34" t="n"/>
      <c r="C13" s="34" t="n"/>
      <c r="D13" s="35" t="inlineStr"/>
      <c r="E13" s="35" t="inlineStr"/>
      <c r="F13" s="35" t="inlineStr"/>
      <c r="G13" s="35" t="inlineStr"/>
      <c r="H13" s="35" t="inlineStr"/>
      <c r="I13" s="35" t="inlineStr"/>
      <c r="J13" s="35" t="inlineStr"/>
      <c r="K13" s="35" t="inlineStr"/>
      <c r="L13" s="35" t="inlineStr"/>
      <c r="M13" s="35" t="inlineStr"/>
      <c r="N13" s="35" t="inlineStr"/>
      <c r="O13" s="35" t="inlineStr"/>
      <c r="P13" s="35" t="inlineStr"/>
      <c r="Q13" s="35" t="inlineStr"/>
      <c r="R13" s="35" t="inlineStr"/>
      <c r="S13" s="35" t="inlineStr"/>
      <c r="T13" s="35" t="inlineStr"/>
      <c r="U13" s="35" t="inlineStr"/>
      <c r="V13" s="35" t="inlineStr"/>
      <c r="W13" s="35" t="inlineStr"/>
      <c r="X13" s="35" t="inlineStr"/>
      <c r="Y13" s="35" t="inlineStr"/>
      <c r="Z13" s="35" t="inlineStr"/>
      <c r="AA13" s="35" t="inlineStr"/>
      <c r="AB13" s="36" t="n"/>
    </row>
    <row r="14" ht="26" customHeight="1">
      <c r="A14" s="33" t="n"/>
      <c r="B14" s="34" t="n"/>
      <c r="C14" s="34" t="n"/>
      <c r="D14" s="35" t="inlineStr"/>
      <c r="E14" s="35" t="inlineStr"/>
      <c r="F14" s="35" t="inlineStr"/>
      <c r="G14" s="35" t="inlineStr"/>
      <c r="H14" s="35" t="inlineStr"/>
      <c r="I14" s="35" t="inlineStr"/>
      <c r="J14" s="35" t="inlineStr"/>
      <c r="K14" s="35" t="inlineStr"/>
      <c r="L14" s="35" t="inlineStr"/>
      <c r="M14" s="35" t="inlineStr"/>
      <c r="N14" s="35" t="inlineStr"/>
      <c r="O14" s="35" t="inlineStr"/>
      <c r="P14" s="35" t="inlineStr"/>
      <c r="Q14" s="35" t="inlineStr"/>
      <c r="R14" s="35" t="inlineStr"/>
      <c r="S14" s="35" t="inlineStr"/>
      <c r="T14" s="35" t="inlineStr"/>
      <c r="U14" s="35" t="inlineStr"/>
      <c r="V14" s="35" t="inlineStr"/>
      <c r="W14" s="35" t="inlineStr"/>
      <c r="X14" s="35" t="inlineStr"/>
      <c r="Y14" s="35" t="inlineStr"/>
      <c r="Z14" s="35" t="inlineStr"/>
      <c r="AA14" s="35" t="inlineStr"/>
      <c r="AB14" s="36" t="n"/>
    </row>
    <row r="15" ht="26" customHeight="1">
      <c r="A15" s="33" t="n"/>
      <c r="B15" s="34" t="n"/>
      <c r="C15" s="34" t="n"/>
      <c r="D15" s="35" t="inlineStr"/>
      <c r="E15" s="35" t="inlineStr"/>
      <c r="F15" s="35" t="inlineStr"/>
      <c r="G15" s="35" t="inlineStr"/>
      <c r="H15" s="35" t="inlineStr"/>
      <c r="I15" s="35" t="inlineStr"/>
      <c r="J15" s="35" t="inlineStr"/>
      <c r="K15" s="35" t="inlineStr"/>
      <c r="L15" s="35" t="inlineStr"/>
      <c r="M15" s="35" t="inlineStr"/>
      <c r="N15" s="35" t="inlineStr"/>
      <c r="O15" s="35" t="inlineStr"/>
      <c r="P15" s="35" t="inlineStr"/>
      <c r="Q15" s="35" t="inlineStr"/>
      <c r="R15" s="35" t="inlineStr"/>
      <c r="S15" s="35" t="inlineStr"/>
      <c r="T15" s="35" t="inlineStr"/>
      <c r="U15" s="35" t="inlineStr"/>
      <c r="V15" s="35" t="inlineStr"/>
      <c r="W15" s="35" t="inlineStr"/>
      <c r="X15" s="35" t="inlineStr"/>
      <c r="Y15" s="35" t="inlineStr"/>
      <c r="Z15" s="35" t="inlineStr"/>
      <c r="AA15" s="35" t="inlineStr"/>
      <c r="AB15" s="36" t="n"/>
    </row>
    <row r="16" ht="16" customHeight="1">
      <c r="A16" s="10" t="inlineStr">
        <is>
          <t>※ 오랫동안 설치해 두어 오탁방지막의 평균 수명(2~3년)을 넘기면 다시 설치합니다.</t>
        </is>
      </c>
    </row>
  </sheetData>
  <mergeCells count="22">
    <mergeCell ref="A2:AB2"/>
    <mergeCell ref="F4:G4"/>
    <mergeCell ref="P4:Q4"/>
    <mergeCell ref="C4:C5"/>
    <mergeCell ref="B3:C3"/>
    <mergeCell ref="K1:AB1"/>
    <mergeCell ref="AB4:AB5"/>
    <mergeCell ref="H4:I4"/>
    <mergeCell ref="D3:AB3"/>
    <mergeCell ref="R4:S4"/>
    <mergeCell ref="T4:U4"/>
    <mergeCell ref="V4:W4"/>
    <mergeCell ref="A1:J1"/>
    <mergeCell ref="J4:K4"/>
    <mergeCell ref="L4:M4"/>
    <mergeCell ref="A4:A5"/>
    <mergeCell ref="D4:E4"/>
    <mergeCell ref="X4:Y4"/>
    <mergeCell ref="A16:AB16"/>
    <mergeCell ref="Z4:AA4"/>
    <mergeCell ref="B4:B5"/>
    <mergeCell ref="N4:O4"/>
  </mergeCells>
  <conditionalFormatting sqref="D8:AA15">
    <cfRule type="expression" priority="1" dxfId="1">
      <formula>AND(N($B8)&gt;0,N($C8)&gt;=N($B8),$B8&lt;=D$7,$C8&gt;=D$6)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3.  조 직 도</t>
        </is>
      </c>
    </row>
    <row r="4" ht="10" customHeight="1"/>
    <row r="5" ht="24" customHeight="1">
      <c r="A5" s="4" t="inlineStr"/>
      <c r="B5" s="20" t="inlineStr">
        <is>
          <t>직  책</t>
        </is>
      </c>
      <c r="C5" s="6" t="n"/>
      <c r="D5" s="6" t="n"/>
      <c r="E5" s="20" t="inlineStr">
        <is>
          <t>성  명</t>
        </is>
      </c>
      <c r="F5" s="6" t="n"/>
      <c r="G5" s="6" t="n"/>
      <c r="H5" s="20" t="inlineStr">
        <is>
          <t>맡은 일</t>
        </is>
      </c>
      <c r="I5" s="6" t="n"/>
      <c r="J5" s="6" t="n"/>
      <c r="K5" s="6" t="n"/>
      <c r="L5" s="4" t="inlineStr"/>
    </row>
    <row r="6" ht="26" customHeight="1">
      <c r="A6" s="4" t="inlineStr"/>
      <c r="B6" s="5" t="inlineStr">
        <is>
          <t>공사 과장</t>
        </is>
      </c>
      <c r="C6" s="6" t="n"/>
      <c r="D6" s="6" t="n"/>
      <c r="E6" s="7" t="n"/>
      <c r="F6" s="6" t="n"/>
      <c r="G6" s="6" t="n"/>
      <c r="H6" s="37" t="inlineStr">
        <is>
          <t>공사 총괄 · 감독(감리) 협의</t>
        </is>
      </c>
      <c r="I6" s="6" t="n"/>
      <c r="J6" s="6" t="n"/>
      <c r="K6" s="6" t="n"/>
      <c r="L6" s="4" t="inlineStr"/>
    </row>
    <row r="7" ht="26" customHeight="1">
      <c r="A7" s="4" t="inlineStr"/>
      <c r="B7" s="5" t="inlineStr">
        <is>
          <t>작업반 소장</t>
        </is>
      </c>
      <c r="C7" s="6" t="n"/>
      <c r="D7" s="6" t="n"/>
      <c r="E7" s="7" t="n"/>
      <c r="F7" s="6" t="n"/>
      <c r="G7" s="6" t="n"/>
      <c r="H7" s="37" t="inlineStr">
        <is>
          <t>작업 지휘 · 안전</t>
        </is>
      </c>
      <c r="I7" s="6" t="n"/>
      <c r="J7" s="6" t="n"/>
      <c r="K7" s="6" t="n"/>
      <c r="L7" s="4" t="inlineStr"/>
    </row>
    <row r="8" ht="26" customHeight="1">
      <c r="A8" s="4" t="inlineStr"/>
      <c r="B8" s="5" t="inlineStr">
        <is>
          <t>작업반장</t>
        </is>
      </c>
      <c r="C8" s="6" t="n"/>
      <c r="D8" s="6" t="n"/>
      <c r="E8" s="7" t="n"/>
      <c r="F8" s="6" t="n"/>
      <c r="G8" s="6" t="n"/>
      <c r="H8" s="37" t="inlineStr">
        <is>
          <t>작업 배치 · 자재</t>
        </is>
      </c>
      <c r="I8" s="6" t="n"/>
      <c r="J8" s="6" t="n"/>
      <c r="K8" s="6" t="n"/>
      <c r="L8" s="4" t="inlineStr"/>
    </row>
    <row r="9" ht="26" customHeight="1">
      <c r="A9" s="4" t="inlineStr"/>
      <c r="B9" s="5" t="inlineStr">
        <is>
          <t>잠수사</t>
        </is>
      </c>
      <c r="C9" s="6" t="n"/>
      <c r="D9" s="6" t="n"/>
      <c r="E9" s="7" t="n"/>
      <c r="F9" s="6" t="n"/>
      <c r="G9" s="6" t="n"/>
      <c r="H9" s="37" t="inlineStr">
        <is>
          <t>수중 설치 · 점검</t>
        </is>
      </c>
      <c r="I9" s="6" t="n"/>
      <c r="J9" s="6" t="n"/>
      <c r="K9" s="6" t="n"/>
      <c r="L9" s="4" t="inlineStr"/>
    </row>
    <row r="10" ht="26" customHeight="1">
      <c r="A10" s="4" t="inlineStr"/>
      <c r="B10" s="5" t="inlineStr">
        <is>
          <t>잠수사</t>
        </is>
      </c>
      <c r="C10" s="6" t="n"/>
      <c r="D10" s="6" t="n"/>
      <c r="E10" s="7" t="n"/>
      <c r="F10" s="6" t="n"/>
      <c r="G10" s="6" t="n"/>
      <c r="H10" s="37" t="inlineStr">
        <is>
          <t>수중 설치 · 점검</t>
        </is>
      </c>
      <c r="I10" s="6" t="n"/>
      <c r="J10" s="6" t="n"/>
      <c r="K10" s="6" t="n"/>
      <c r="L10" s="4" t="inlineStr"/>
    </row>
    <row r="11" ht="26" customHeight="1">
      <c r="A11" s="4" t="inlineStr"/>
      <c r="B11" s="5" t="inlineStr">
        <is>
          <t>특별인부</t>
        </is>
      </c>
      <c r="C11" s="6" t="n"/>
      <c r="D11" s="6" t="n"/>
      <c r="E11" s="7" t="n"/>
      <c r="F11" s="6" t="n"/>
      <c r="G11" s="6" t="n"/>
      <c r="H11" s="37" t="inlineStr">
        <is>
          <t>육상 조립 · 운반 보조</t>
        </is>
      </c>
      <c r="I11" s="6" t="n"/>
      <c r="J11" s="6" t="n"/>
      <c r="K11" s="6" t="n"/>
      <c r="L11" s="4" t="inlineStr"/>
    </row>
    <row r="12" ht="14" customHeight="1"/>
    <row r="13" ht="30" customHeight="1">
      <c r="A13" s="4" t="inlineStr"/>
      <c r="E13" s="38" t="inlineStr">
        <is>
          <t>공사 과장</t>
        </is>
      </c>
      <c r="F13" s="6" t="n"/>
      <c r="G13" s="6" t="n"/>
      <c r="H13" s="6" t="n"/>
      <c r="I13" s="39" t="inlineStr"/>
    </row>
    <row r="14" ht="12" customHeight="1">
      <c r="A14" s="40" t="inlineStr">
        <is>
          <t>▼</t>
        </is>
      </c>
    </row>
    <row r="15" ht="30" customHeight="1">
      <c r="A15" s="4" t="inlineStr"/>
      <c r="E15" s="38" t="inlineStr">
        <is>
          <t>작업반 소장</t>
        </is>
      </c>
      <c r="F15" s="6" t="n"/>
      <c r="G15" s="6" t="n"/>
      <c r="H15" s="6" t="n"/>
      <c r="I15" s="39" t="inlineStr"/>
    </row>
    <row r="16" ht="12" customHeight="1">
      <c r="A16" s="40" t="inlineStr">
        <is>
          <t>▼</t>
        </is>
      </c>
    </row>
    <row r="17" ht="30" customHeight="1">
      <c r="A17" s="4" t="inlineStr"/>
      <c r="E17" s="38" t="inlineStr">
        <is>
          <t>작업반장</t>
        </is>
      </c>
      <c r="F17" s="6" t="n"/>
      <c r="G17" s="6" t="n"/>
      <c r="H17" s="6" t="n"/>
      <c r="I17" s="39" t="inlineStr"/>
    </row>
    <row r="18" ht="12" customHeight="1">
      <c r="A18" s="40" t="inlineStr">
        <is>
          <t>▼</t>
        </is>
      </c>
    </row>
    <row r="19" ht="30" customHeight="1">
      <c r="A19" s="4" t="inlineStr"/>
      <c r="E19" s="38" t="inlineStr">
        <is>
          <t>잠수사 · 특별인부</t>
        </is>
      </c>
      <c r="F19" s="6" t="n"/>
      <c r="G19" s="6" t="n"/>
      <c r="H19" s="6" t="n"/>
      <c r="I19" s="39" t="inlineStr"/>
    </row>
  </sheetData>
  <mergeCells count="39">
    <mergeCell ref="B11:D11"/>
    <mergeCell ref="E10:G10"/>
    <mergeCell ref="A16:L16"/>
    <mergeCell ref="A17:D17"/>
    <mergeCell ref="I17:L17"/>
    <mergeCell ref="B8:D8"/>
    <mergeCell ref="E9:G9"/>
    <mergeCell ref="A18:L18"/>
    <mergeCell ref="A19:D19"/>
    <mergeCell ref="A3:L3"/>
    <mergeCell ref="I19:L19"/>
    <mergeCell ref="E6:G6"/>
    <mergeCell ref="H5:K5"/>
    <mergeCell ref="A13:D13"/>
    <mergeCell ref="B10:D10"/>
    <mergeCell ref="I13:L13"/>
    <mergeCell ref="E11:G11"/>
    <mergeCell ref="H8:K8"/>
    <mergeCell ref="B9:D9"/>
    <mergeCell ref="A14:L14"/>
    <mergeCell ref="A15:D15"/>
    <mergeCell ref="I15:L15"/>
    <mergeCell ref="E7:G7"/>
    <mergeCell ref="B6:D6"/>
    <mergeCell ref="H10:K10"/>
    <mergeCell ref="G1:L1"/>
    <mergeCell ref="B5:D5"/>
    <mergeCell ref="E17:H17"/>
    <mergeCell ref="H9:K9"/>
    <mergeCell ref="H6:K6"/>
    <mergeCell ref="E19:H19"/>
    <mergeCell ref="B7:D7"/>
    <mergeCell ref="E13:H13"/>
    <mergeCell ref="E5:G5"/>
    <mergeCell ref="A1:F1"/>
    <mergeCell ref="H11:K11"/>
    <mergeCell ref="E8:G8"/>
    <mergeCell ref="E15:H15"/>
    <mergeCell ref="H7:K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4.  시공 흐름도</t>
        </is>
      </c>
    </row>
    <row r="4" ht="8" customHeight="1"/>
    <row r="5" ht="30" customHeight="1">
      <c r="A5" s="4" t="inlineStr"/>
      <c r="D5" s="38" t="inlineStr">
        <is>
          <t>육상 조립 (40 ~ 50 SPAN)</t>
        </is>
      </c>
      <c r="E5" s="6" t="n"/>
      <c r="F5" s="6" t="n"/>
      <c r="G5" s="6" t="n"/>
      <c r="H5" s="6" t="n"/>
      <c r="I5" s="6" t="n"/>
      <c r="J5" s="39" t="inlineStr">
        <is>
          <t xml:space="preserve">  ◀ 설치 위치 측량</t>
        </is>
      </c>
    </row>
    <row r="6" ht="14" customHeight="1">
      <c r="A6" s="40" t="inlineStr">
        <is>
          <t>▼</t>
        </is>
      </c>
    </row>
    <row r="7" ht="30" customHeight="1">
      <c r="A7" s="4" t="inlineStr"/>
      <c r="D7" s="38" t="inlineStr">
        <is>
          <t>바지 선적 및 해상 운반</t>
        </is>
      </c>
      <c r="E7" s="6" t="n"/>
      <c r="F7" s="6" t="n"/>
      <c r="G7" s="6" t="n"/>
      <c r="H7" s="6" t="n"/>
      <c r="I7" s="6" t="n"/>
      <c r="J7" s="39" t="inlineStr"/>
    </row>
    <row r="8" ht="14" customHeight="1">
      <c r="A8" s="40" t="inlineStr">
        <is>
          <t>▼</t>
        </is>
      </c>
    </row>
    <row r="9" ht="30" customHeight="1">
      <c r="A9" s="4" t="inlineStr"/>
      <c r="D9" s="38" t="inlineStr">
        <is>
          <t>단계별 닻가지형 앵커 거치</t>
        </is>
      </c>
      <c r="E9" s="6" t="n"/>
      <c r="F9" s="6" t="n"/>
      <c r="G9" s="6" t="n"/>
      <c r="H9" s="6" t="n"/>
      <c r="I9" s="6" t="n"/>
      <c r="J9" s="39" t="inlineStr">
        <is>
          <t xml:space="preserve">  ◀ 해상 안전시설 설치</t>
        </is>
      </c>
    </row>
    <row r="10" ht="14" customHeight="1">
      <c r="A10" s="40" t="inlineStr">
        <is>
          <t>▼</t>
        </is>
      </c>
    </row>
    <row r="11" ht="30" customHeight="1">
      <c r="A11" s="4" t="inlineStr"/>
      <c r="D11" s="38" t="inlineStr">
        <is>
          <t>월 1회 점검</t>
        </is>
      </c>
      <c r="E11" s="6" t="n"/>
      <c r="F11" s="6" t="n"/>
      <c r="G11" s="6" t="n"/>
      <c r="H11" s="6" t="n"/>
      <c r="I11" s="6" t="n"/>
      <c r="J11" s="39" t="inlineStr"/>
    </row>
    <row r="12" ht="14" customHeight="1">
      <c r="A12" s="40" t="inlineStr">
        <is>
          <t>▼</t>
        </is>
      </c>
    </row>
    <row r="13" ht="30" customHeight="1">
      <c r="A13" s="4" t="inlineStr"/>
      <c r="D13" s="38" t="inlineStr">
        <is>
          <t>오탁방지막 보수</t>
        </is>
      </c>
      <c r="E13" s="6" t="n"/>
      <c r="F13" s="6" t="n"/>
      <c r="G13" s="6" t="n"/>
      <c r="H13" s="6" t="n"/>
      <c r="I13" s="6" t="n"/>
      <c r="J13" s="39" t="inlineStr"/>
    </row>
    <row r="14" ht="14" customHeight="1">
      <c r="A14" s="40" t="inlineStr">
        <is>
          <t>▼</t>
        </is>
      </c>
    </row>
    <row r="15" ht="30" customHeight="1">
      <c r="A15" s="4" t="inlineStr"/>
      <c r="D15" s="38" t="inlineStr">
        <is>
          <t>오탁방지막 철수</t>
        </is>
      </c>
      <c r="E15" s="6" t="n"/>
      <c r="F15" s="6" t="n"/>
      <c r="G15" s="6" t="n"/>
      <c r="H15" s="6" t="n"/>
      <c r="I15" s="6" t="n"/>
      <c r="J15" s="39" t="inlineStr"/>
    </row>
  </sheetData>
  <mergeCells count="26">
    <mergeCell ref="D11:I11"/>
    <mergeCell ref="D13:I13"/>
    <mergeCell ref="A3:L3"/>
    <mergeCell ref="D7:I7"/>
    <mergeCell ref="A12:L12"/>
    <mergeCell ref="J11:L11"/>
    <mergeCell ref="J7:L7"/>
    <mergeCell ref="A5:C5"/>
    <mergeCell ref="D9:I9"/>
    <mergeCell ref="A8:L8"/>
    <mergeCell ref="A14:L14"/>
    <mergeCell ref="D15:I15"/>
    <mergeCell ref="G1:L1"/>
    <mergeCell ref="A13:C13"/>
    <mergeCell ref="A10:L10"/>
    <mergeCell ref="D5:I5"/>
    <mergeCell ref="A9:C9"/>
    <mergeCell ref="A15:C15"/>
    <mergeCell ref="J5:L5"/>
    <mergeCell ref="A11:C11"/>
    <mergeCell ref="J13:L13"/>
    <mergeCell ref="A1:F1"/>
    <mergeCell ref="A6:L6"/>
    <mergeCell ref="J9:L9"/>
    <mergeCell ref="A7:C7"/>
    <mergeCell ref="J15:L15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5.  공종별 시공계획</t>
        </is>
      </c>
    </row>
    <row r="4" ht="3" customHeight="1"/>
    <row r="5" ht="21" customHeight="1">
      <c r="A5" s="41" t="inlineStr">
        <is>
          <t>5.1 준비공</t>
        </is>
      </c>
    </row>
    <row r="6" ht="37" customHeight="1">
      <c r="A6" s="42" t="inlineStr">
        <is>
          <t>공사 착수 전 설치 구간의 수심·조류·항로와 주변 어장·시설을 조사하고, 오탁방지막 설치 위치와 방법을 정해 감독(감리)의 승인을 받은 뒤 작업합니다.</t>
        </is>
      </c>
    </row>
    <row r="7" ht="3" customHeight="1"/>
    <row r="8" ht="21" customHeight="1">
      <c r="A8" s="41" t="inlineStr">
        <is>
          <t>5.2 재료 반입</t>
        </is>
      </c>
    </row>
    <row r="9" ht="21.5" customHeight="1">
      <c r="A9" s="29" t="inlineStr">
        <is>
          <t>1) 품질 기준</t>
        </is>
      </c>
    </row>
    <row r="10" ht="37" customHeight="1">
      <c r="A10" s="42" t="inlineStr">
        <is>
          <t>오탁방지막은 물속과 햇빛에 노출된 상태에서도 내구성이 강하고 투수성·여과성이 좋아 물속의 흙탕물이 퍼지는 것을 막을 수 있는 재료를 씁니다.</t>
        </is>
      </c>
    </row>
    <row r="11" ht="21.5" customHeight="1">
      <c r="A11" s="29" t="inlineStr">
        <is>
          <t>2) 오탁방지막 구조 및 형상</t>
        </is>
      </c>
    </row>
    <row r="12" ht="20.5" customHeight="1">
      <c r="A12" s="43" t="inlineStr">
        <is>
          <t>①</t>
        </is>
      </c>
      <c r="C12" s="44" t="inlineStr">
        <is>
          <t>막체는 운반과 설치가 쉬워야 하고, 이음부는 보강 벨트를 두 겹으로 댑니다.</t>
        </is>
      </c>
    </row>
    <row r="13" ht="36" customHeight="1">
      <c r="A13" s="43" t="inlineStr">
        <is>
          <t>②</t>
        </is>
      </c>
      <c r="C13" s="44" t="inlineStr">
        <is>
          <t>조류·파랑에도 막체가 말려 올라가거나 뒤틀리지 않고 주름 없는 평면 모양을 유지해 오탁이 퍼지는 것을 막습니다.</t>
        </is>
      </c>
    </row>
    <row r="14" ht="20.5" customHeight="1">
      <c r="A14" s="43" t="inlineStr">
        <is>
          <t>③</t>
        </is>
      </c>
      <c r="C14" s="44" t="inlineStr">
        <is>
          <t>막체와 막체, 막체와 부자재(부체·체인·샤클)는 단단히 연결합니다.</t>
        </is>
      </c>
    </row>
    <row r="15" ht="36" customHeight="1">
      <c r="A15" s="43" t="inlineStr">
        <is>
          <t>④</t>
        </is>
      </c>
      <c r="C15" s="44" t="inlineStr">
        <is>
          <t>앵커(닻)는 조류·조위·파랑에 막체가 밀리지 않게 붙잡을 수 있는 크기로 하고, 앵커와 막체를 잇는 와이어로프는 이 힘을 견디는 강도로 합니다.</t>
        </is>
      </c>
    </row>
    <row r="16" ht="21.5" customHeight="1">
      <c r="A16" s="29" t="inlineStr">
        <is>
          <t>3) 막체의 재질 및 성능 — 직포 토목섬유 성능 기준</t>
        </is>
      </c>
    </row>
    <row r="17" ht="34" customHeight="1">
      <c r="A17" s="20" t="inlineStr">
        <is>
          <t>종류</t>
        </is>
      </c>
      <c r="B17" s="20" t="inlineStr">
        <is>
          <t>형별</t>
        </is>
      </c>
      <c r="C17" s="20" t="inlineStr">
        <is>
          <t>중량
(g/㎡)</t>
        </is>
      </c>
      <c r="D17" s="20" t="inlineStr">
        <is>
          <t>인장강도
(kg/in)</t>
        </is>
      </c>
      <c r="E17" s="20" t="inlineStr">
        <is>
          <t>인장신도
(%)</t>
        </is>
      </c>
      <c r="F17" s="20" t="inlineStr">
        <is>
          <t>봉합강도
(kg/in)</t>
        </is>
      </c>
      <c r="G17" s="20" t="inlineStr">
        <is>
          <t>투수계수
(cm/sec)</t>
        </is>
      </c>
      <c r="H17" s="20" t="inlineStr">
        <is>
          <t>비중</t>
        </is>
      </c>
      <c r="I17" s="20" t="inlineStr">
        <is>
          <t>인열강도
(kg)</t>
        </is>
      </c>
      <c r="J17" s="20" t="inlineStr">
        <is>
          <t>재질</t>
        </is>
      </c>
      <c r="K17" s="20" t="inlineStr">
        <is>
          <t>수축률
(%)</t>
        </is>
      </c>
    </row>
    <row r="18" ht="57" customHeight="1">
      <c r="A18" s="45" t="inlineStr">
        <is>
          <t>오탁방지막</t>
        </is>
      </c>
      <c r="B18" s="45" t="inlineStr">
        <is>
          <t>25형</t>
        </is>
      </c>
      <c r="C18" s="45" t="inlineStr">
        <is>
          <t>700 이상</t>
        </is>
      </c>
      <c r="D18" s="45" t="inlineStr">
        <is>
          <t>635 이상</t>
        </is>
      </c>
      <c r="E18" s="45" t="inlineStr">
        <is>
          <t>10 ~ 30</t>
        </is>
      </c>
      <c r="F18" s="45" t="inlineStr">
        <is>
          <t>635 이상</t>
        </is>
      </c>
      <c r="G18" s="45" t="inlineStr">
        <is>
          <t>α×10⁻²~⁻⁴
(α: 1~9)</t>
        </is>
      </c>
      <c r="H18" s="45" t="inlineStr">
        <is>
          <t>1.0 이상</t>
        </is>
      </c>
      <c r="I18" s="45" t="inlineStr">
        <is>
          <t>250 이상</t>
        </is>
      </c>
      <c r="J18" s="45" t="inlineStr">
        <is>
          <t>Poly-
ester</t>
        </is>
      </c>
      <c r="K18" s="45" t="inlineStr">
        <is>
          <t>±0.2 이하</t>
        </is>
      </c>
    </row>
    <row r="19" ht="16" customHeight="1">
      <c r="A19" s="10" t="inlineStr">
        <is>
          <t>※ 시험성적서를 감독(감리)에 내고 승인을 받은 뒤 씁니다.</t>
        </is>
      </c>
    </row>
    <row r="20" ht="21.5" customHeight="1">
      <c r="A20" s="29" t="inlineStr">
        <is>
          <t>4) 부속재료</t>
        </is>
      </c>
    </row>
    <row r="21" ht="37" customHeight="1">
      <c r="A21" s="42" t="inlineStr">
        <is>
          <t>부속재료는 바닷물에 부식되지 않는 재질로 하고, 조류에 풀리거나 떨어져 나가지 않는 구조로 만듭니다.</t>
        </is>
      </c>
    </row>
    <row r="22" ht="24" customHeight="1">
      <c r="A22" s="20" t="inlineStr">
        <is>
          <t>부자재</t>
        </is>
      </c>
      <c r="B22" s="6" t="n"/>
      <c r="C22" s="20" t="inlineStr">
        <is>
          <t>재질</t>
        </is>
      </c>
      <c r="D22" s="6" t="n"/>
      <c r="E22" s="20" t="inlineStr">
        <is>
          <t>규격</t>
        </is>
      </c>
      <c r="F22" s="6" t="n"/>
      <c r="G22" s="20" t="inlineStr">
        <is>
          <t>용도</t>
        </is>
      </c>
      <c r="H22" s="6" t="n"/>
      <c r="I22" s="6" t="n"/>
      <c r="J22" s="6" t="n"/>
      <c r="K22" s="6" t="n"/>
      <c r="L22" s="6" t="n"/>
    </row>
    <row r="23" ht="22" customHeight="1">
      <c r="A23" s="46" t="inlineStr">
        <is>
          <t>부체</t>
        </is>
      </c>
      <c r="B23" s="6" t="n"/>
      <c r="C23" s="47" t="inlineStr">
        <is>
          <t>Polystyrene</t>
        </is>
      </c>
      <c r="D23" s="6" t="n"/>
      <c r="E23" s="47" t="inlineStr">
        <is>
          <t>φ300×835×1/2</t>
        </is>
      </c>
      <c r="F23" s="6" t="n"/>
      <c r="G23" s="47" t="inlineStr">
        <is>
          <t>비중 0.016 이상으로 부력 유지</t>
        </is>
      </c>
      <c r="H23" s="6" t="n"/>
      <c r="I23" s="6" t="n"/>
      <c r="J23" s="6" t="n"/>
      <c r="K23" s="6" t="n"/>
      <c r="L23" s="6" t="n"/>
    </row>
    <row r="24" ht="33" customHeight="1">
      <c r="A24" s="46" t="inlineStr">
        <is>
          <t>부체 커버</t>
        </is>
      </c>
      <c r="B24" s="6" t="n"/>
      <c r="C24" s="47" t="inlineStr">
        <is>
          <t>Polystyrene</t>
        </is>
      </c>
      <c r="D24" s="6" t="n"/>
      <c r="E24" s="47" t="inlineStr">
        <is>
          <t>φ310×840×1/2</t>
        </is>
      </c>
      <c r="F24" s="6" t="n"/>
      <c r="G24" s="47" t="inlineStr">
        <is>
          <t>부체 보호용 — 외부 충격에 견디고 내한성·내구성이 좋은 재질</t>
        </is>
      </c>
      <c r="H24" s="6" t="n"/>
      <c r="I24" s="6" t="n"/>
      <c r="J24" s="6" t="n"/>
      <c r="K24" s="6" t="n"/>
      <c r="L24" s="6" t="n"/>
    </row>
    <row r="25" ht="22" customHeight="1">
      <c r="A25" s="46" t="inlineStr">
        <is>
          <t>부체 밴드</t>
        </is>
      </c>
      <c r="B25" s="6" t="n"/>
      <c r="C25" s="47" t="inlineStr">
        <is>
          <t>SUS</t>
        </is>
      </c>
      <c r="D25" s="6" t="n"/>
      <c r="E25" s="47" t="inlineStr">
        <is>
          <t>30×480</t>
        </is>
      </c>
      <c r="F25" s="6" t="n"/>
      <c r="G25" s="47" t="inlineStr">
        <is>
          <t>부체 결합용 — 부식되지 않는 스테인리스</t>
        </is>
      </c>
      <c r="H25" s="6" t="n"/>
      <c r="I25" s="6" t="n"/>
      <c r="J25" s="6" t="n"/>
      <c r="K25" s="6" t="n"/>
      <c r="L25" s="6" t="n"/>
    </row>
    <row r="26" ht="22" customHeight="1">
      <c r="A26" s="46" t="inlineStr">
        <is>
          <t>볼트·너트</t>
        </is>
      </c>
      <c r="B26" s="6" t="n"/>
      <c r="C26" s="47" t="inlineStr">
        <is>
          <t>Brass</t>
        </is>
      </c>
      <c r="D26" s="6" t="n"/>
      <c r="E26" s="47" t="inlineStr">
        <is>
          <t>5/16"×1 1/4"</t>
        </is>
      </c>
      <c r="F26" s="6" t="n"/>
      <c r="G26" s="47" t="inlineStr">
        <is>
          <t>부체 연결용 — 부식되지 않는 황동</t>
        </is>
      </c>
      <c r="H26" s="6" t="n"/>
      <c r="I26" s="6" t="n"/>
      <c r="J26" s="6" t="n"/>
      <c r="K26" s="6" t="n"/>
      <c r="L26" s="6" t="n"/>
    </row>
    <row r="27" ht="22" customHeight="1">
      <c r="A27" s="46" t="inlineStr">
        <is>
          <t>보강 벨트</t>
        </is>
      </c>
      <c r="B27" s="6" t="n"/>
      <c r="C27" s="47" t="inlineStr">
        <is>
          <t>Polyester</t>
        </is>
      </c>
      <c r="D27" s="6" t="n"/>
      <c r="E27" s="47" t="inlineStr">
        <is>
          <t>60mm</t>
        </is>
      </c>
      <c r="F27" s="6" t="n"/>
      <c r="G27" s="47" t="inlineStr">
        <is>
          <t>단위 제품(20m) 사이 원단 이음부·강도 보강부에 부착</t>
        </is>
      </c>
      <c r="H27" s="6" t="n"/>
      <c r="I27" s="6" t="n"/>
      <c r="J27" s="6" t="n"/>
      <c r="K27" s="6" t="n"/>
      <c r="L27" s="6" t="n"/>
    </row>
    <row r="28" ht="33" customHeight="1">
      <c r="A28" s="46" t="inlineStr">
        <is>
          <t>샤클</t>
        </is>
      </c>
      <c r="B28" s="6" t="n"/>
      <c r="C28" s="47" t="inlineStr">
        <is>
          <t>SS400 Zn도금</t>
        </is>
      </c>
      <c r="D28" s="6" t="n"/>
      <c r="E28" s="47" t="inlineStr">
        <is>
          <t>φ14 · φ20</t>
        </is>
      </c>
      <c r="F28" s="6" t="n"/>
      <c r="G28" s="47" t="inlineStr">
        <is>
          <t>제품 사이 연결용 — 조류에 풀리지 않게 스플릿 핀을 끼우는 S.B 타입, 아연도금</t>
        </is>
      </c>
      <c r="H28" s="6" t="n"/>
      <c r="I28" s="6" t="n"/>
      <c r="J28" s="6" t="n"/>
      <c r="K28" s="6" t="n"/>
      <c r="L28" s="6" t="n"/>
    </row>
    <row r="29" ht="33" customHeight="1">
      <c r="A29" s="46" t="inlineStr">
        <is>
          <t>보강 금구</t>
        </is>
      </c>
      <c r="B29" s="6" t="n"/>
      <c r="C29" s="47" t="inlineStr">
        <is>
          <t>SS400 Zn도금</t>
        </is>
      </c>
      <c r="D29" s="6" t="n"/>
      <c r="E29" s="47" t="inlineStr">
        <is>
          <t>60×150</t>
        </is>
      </c>
      <c r="F29" s="6" t="n"/>
      <c r="G29" s="47" t="inlineStr">
        <is>
          <t>보강 벨트 위 샤클 연결부 보강용 — 부식 방지 아연도금</t>
        </is>
      </c>
      <c r="H29" s="6" t="n"/>
      <c r="I29" s="6" t="n"/>
      <c r="J29" s="6" t="n"/>
      <c r="K29" s="6" t="n"/>
      <c r="L29" s="6" t="n"/>
    </row>
    <row r="30" ht="33" customHeight="1">
      <c r="A30" s="46" t="inlineStr">
        <is>
          <t>구멍쇠</t>
        </is>
      </c>
      <c r="B30" s="6" t="n"/>
      <c r="C30" s="47" t="inlineStr">
        <is>
          <t>Brass</t>
        </is>
      </c>
      <c r="D30" s="6" t="n"/>
      <c r="E30" s="47" t="inlineStr">
        <is>
          <t>φ20</t>
        </is>
      </c>
      <c r="F30" s="6" t="n"/>
      <c r="G30" s="47" t="inlineStr">
        <is>
          <t>제품 이음부와 하부 체인 연결용 — 부식으로 막체가 상하지 않게</t>
        </is>
      </c>
      <c r="H30" s="6" t="n"/>
      <c r="I30" s="6" t="n"/>
      <c r="J30" s="6" t="n"/>
      <c r="K30" s="6" t="n"/>
      <c r="L30" s="6" t="n"/>
    </row>
    <row r="31" ht="22" customHeight="1">
      <c r="A31" s="46" t="inlineStr">
        <is>
          <t>링크</t>
        </is>
      </c>
      <c r="B31" s="6" t="n"/>
      <c r="C31" s="47" t="inlineStr">
        <is>
          <t>Brass</t>
        </is>
      </c>
      <c r="D31" s="6" t="n"/>
      <c r="E31" s="47" t="inlineStr">
        <is>
          <t>φ7</t>
        </is>
      </c>
      <c r="F31" s="6" t="n"/>
      <c r="G31" s="47" t="inlineStr">
        <is>
          <t>체인 연결용</t>
        </is>
      </c>
      <c r="H31" s="6" t="n"/>
      <c r="I31" s="6" t="n"/>
      <c r="J31" s="6" t="n"/>
      <c r="K31" s="6" t="n"/>
      <c r="L31" s="6" t="n"/>
    </row>
    <row r="32" ht="33" customHeight="1">
      <c r="A32" s="46" t="inlineStr">
        <is>
          <t>체인</t>
        </is>
      </c>
      <c r="B32" s="6" t="n"/>
      <c r="C32" s="47" t="inlineStr">
        <is>
          <t>Steel</t>
        </is>
      </c>
      <c r="D32" s="6" t="n"/>
      <c r="E32" s="47" t="inlineStr">
        <is>
          <t>φ16</t>
        </is>
      </c>
      <c r="F32" s="6" t="n"/>
      <c r="G32" s="47" t="inlineStr">
        <is>
          <t>막체가 주름지지 않게 누르는 추 — 제품 폭에 따라 고름</t>
        </is>
      </c>
      <c r="H32" s="6" t="n"/>
      <c r="I32" s="6" t="n"/>
      <c r="J32" s="6" t="n"/>
      <c r="K32" s="6" t="n"/>
      <c r="L32" s="6" t="n"/>
    </row>
    <row r="33" ht="21.5" customHeight="1">
      <c r="A33" s="29" t="inlineStr">
        <is>
          <t>5) 오탁방지막 보관</t>
        </is>
      </c>
    </row>
    <row r="34" ht="37" customHeight="1">
      <c r="A34" s="42" t="inlineStr">
        <is>
          <t>막체는 햇빛(자외선)을 오래 받으면 강도가 떨어질 수 있으므로 창고에 보관하고, 밖에 둘 때는 천막 등으로 덮어 바람·비·햇빛을 막으며, 시공 직전에 꺼내 씁니다.</t>
        </is>
      </c>
    </row>
    <row r="35" ht="3" customHeight="1"/>
    <row r="36" ht="21" customHeight="1">
      <c r="A36" s="41" t="inlineStr">
        <is>
          <t>5.3 시공 방법</t>
        </is>
      </c>
    </row>
    <row r="37" ht="36" customHeight="1">
      <c r="A37" s="43" t="inlineStr">
        <is>
          <t>1)</t>
        </is>
      </c>
      <c r="B37" s="44" t="inlineStr">
        <is>
          <t>측량 — 설계도면에 따라 기점·꼭지점·종점 등 설치 위치를 측량한 뒤 부표를 띄워 위치를 표시합니다.</t>
        </is>
      </c>
    </row>
    <row r="38" ht="36" customHeight="1">
      <c r="A38" s="43" t="inlineStr">
        <is>
          <t>2)</t>
        </is>
      </c>
      <c r="B38" s="44" t="inlineStr">
        <is>
          <t>자재가 들어오면 육상에서 40 ~ 50 SPAN 씩 완전히 조립해 두고, 바다로 옮기기 쉽게 배치합니다.</t>
        </is>
      </c>
    </row>
    <row r="39" ht="20.5" customHeight="1">
      <c r="A39" s="43" t="inlineStr">
        <is>
          <t>3)</t>
        </is>
      </c>
      <c r="B39" s="44" t="inlineStr">
        <is>
          <t>해상의 기점·꼭지점·종점과 각 위치에 잠수사를 투입해 정해진 앵커(닻)를 심습니다.</t>
        </is>
      </c>
    </row>
    <row r="40" ht="36" customHeight="1">
      <c r="A40" s="43" t="inlineStr">
        <is>
          <t>4)</t>
        </is>
      </c>
      <c r="B40" s="44" t="inlineStr">
        <is>
          <t>기점에 앵커가 설치되고 오탁방지막이 약 30 SPAN 씩 조립되어 준비가 끝나면, 예선(150HP)을 대어 조립된 막을 바다로 끌어냅니다.</t>
        </is>
      </c>
    </row>
    <row r="41" ht="20.5" customHeight="1">
      <c r="A41" s="43" t="inlineStr">
        <is>
          <t>5)</t>
        </is>
      </c>
      <c r="B41" s="44" t="inlineStr">
        <is>
          <t>끌어낸 오탁방지막은 P.P 로프로 가설치합니다.</t>
        </is>
      </c>
    </row>
    <row r="42" ht="20.5" customHeight="1">
      <c r="A42" s="43" t="inlineStr">
        <is>
          <t>6)</t>
        </is>
      </c>
      <c r="B42" s="44" t="inlineStr">
        <is>
          <t>앵커는 육상에서 크레인(25톤)으로 바지(5m×5m)에 실어 나릅니다.</t>
        </is>
      </c>
    </row>
    <row r="43" ht="36" customHeight="1">
      <c r="A43" s="43" t="inlineStr">
        <is>
          <t>7)</t>
        </is>
      </c>
      <c r="B43" s="44" t="inlineStr">
        <is>
          <t>3)~5)와 같은 방법으로 가설치를 마치면 설계도면과 같게 10m 간격으로 앵커를 설치하고, 와이어와 부속자재를 단단히 체결합니다.</t>
        </is>
      </c>
    </row>
  </sheetData>
  <mergeCells count="75">
    <mergeCell ref="A16:L16"/>
    <mergeCell ref="A24:B24"/>
    <mergeCell ref="A30:B30"/>
    <mergeCell ref="A15:B15"/>
    <mergeCell ref="C24:D24"/>
    <mergeCell ref="C30:D30"/>
    <mergeCell ref="E24:F24"/>
    <mergeCell ref="G28:L28"/>
    <mergeCell ref="E23:F23"/>
    <mergeCell ref="A3:L3"/>
    <mergeCell ref="A21:L21"/>
    <mergeCell ref="C26:D26"/>
    <mergeCell ref="G30:L30"/>
    <mergeCell ref="C13:L13"/>
    <mergeCell ref="B43:L43"/>
    <mergeCell ref="G24:L24"/>
    <mergeCell ref="C29:D29"/>
    <mergeCell ref="A25:B25"/>
    <mergeCell ref="E29:F29"/>
    <mergeCell ref="A33:L33"/>
    <mergeCell ref="C25:D25"/>
    <mergeCell ref="B39:L39"/>
    <mergeCell ref="A5:L5"/>
    <mergeCell ref="A8:L8"/>
    <mergeCell ref="E28:F28"/>
    <mergeCell ref="B42:L42"/>
    <mergeCell ref="C15:L15"/>
    <mergeCell ref="C22:D22"/>
    <mergeCell ref="G26:L26"/>
    <mergeCell ref="A27:B27"/>
    <mergeCell ref="C31:D31"/>
    <mergeCell ref="E31:F31"/>
    <mergeCell ref="G29:L29"/>
    <mergeCell ref="C14:L14"/>
    <mergeCell ref="A12:B12"/>
    <mergeCell ref="A20:L20"/>
    <mergeCell ref="G1:L1"/>
    <mergeCell ref="A26:B26"/>
    <mergeCell ref="G25:L25"/>
    <mergeCell ref="A10:L10"/>
    <mergeCell ref="E30:F30"/>
    <mergeCell ref="G32:L32"/>
    <mergeCell ref="A19:L19"/>
    <mergeCell ref="B38:L38"/>
    <mergeCell ref="G22:L22"/>
    <mergeCell ref="C27:D27"/>
    <mergeCell ref="E27:F27"/>
    <mergeCell ref="G31:L31"/>
    <mergeCell ref="A32:B32"/>
    <mergeCell ref="A14:B14"/>
    <mergeCell ref="B37:L37"/>
    <mergeCell ref="A9:L9"/>
    <mergeCell ref="A23:B23"/>
    <mergeCell ref="E26:F26"/>
    <mergeCell ref="C23:D23"/>
    <mergeCell ref="A34:L34"/>
    <mergeCell ref="A22:B22"/>
    <mergeCell ref="B40:L40"/>
    <mergeCell ref="G27:L27"/>
    <mergeCell ref="A29:B29"/>
    <mergeCell ref="C32:D32"/>
    <mergeCell ref="E32:F32"/>
    <mergeCell ref="A11:L11"/>
    <mergeCell ref="E25:F25"/>
    <mergeCell ref="A1:F1"/>
    <mergeCell ref="A28:B28"/>
    <mergeCell ref="A36:L36"/>
    <mergeCell ref="A13:B13"/>
    <mergeCell ref="A6:L6"/>
    <mergeCell ref="E22:F22"/>
    <mergeCell ref="C12:L12"/>
    <mergeCell ref="G23:L23"/>
    <mergeCell ref="C28:D28"/>
    <mergeCell ref="A31:B31"/>
    <mergeCell ref="B41:L41"/>
  </mergeCells>
  <printOptions horizontalCentered="1"/>
  <pageMargins left="0.45" right="0.45" top="0.5" bottom="0.5" header="0.2" footer="0.2"/>
  <pageSetup orientation="portrait" paperSize="9" fitToHeight="0" fitToWidth="1"/>
  <rowBreaks count="1" manualBreakCount="1">
    <brk id="19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6.  인원 · 장비 · 자재 투입계획</t>
        </is>
      </c>
    </row>
    <row r="4" ht="3" customHeight="1"/>
    <row r="5" ht="21" customHeight="1">
      <c r="A5" s="41" t="inlineStr">
        <is>
          <t>6.1 작업인원 투입계획</t>
        </is>
      </c>
    </row>
    <row r="6" ht="24" customHeight="1">
      <c r="A6" s="20" t="inlineStr">
        <is>
          <t>직  종</t>
        </is>
      </c>
      <c r="B6" s="6" t="n"/>
      <c r="C6" s="20" t="inlineStr">
        <is>
          <t>단위</t>
        </is>
      </c>
      <c r="D6" s="20" t="inlineStr">
        <is>
          <t>일투입</t>
        </is>
      </c>
      <c r="E6" s="20" t="inlineStr">
        <is>
          <t>투입일수</t>
        </is>
      </c>
      <c r="F6" s="6" t="n"/>
      <c r="G6" s="20" t="inlineStr">
        <is>
          <t>누  계</t>
        </is>
      </c>
      <c r="H6" s="6" t="n"/>
      <c r="I6" s="20" t="inlineStr">
        <is>
          <t>작 업 내 용</t>
        </is>
      </c>
      <c r="J6" s="6" t="n"/>
      <c r="K6" s="6" t="n"/>
      <c r="L6" s="6" t="n"/>
    </row>
    <row r="7" ht="24" customHeight="1">
      <c r="A7" s="7" t="inlineStr">
        <is>
          <t>관리</t>
        </is>
      </c>
      <c r="B7" s="6" t="n"/>
      <c r="C7" s="7" t="inlineStr">
        <is>
          <t>인</t>
        </is>
      </c>
      <c r="D7" s="48" t="n"/>
      <c r="E7" s="49" t="n"/>
      <c r="F7" s="6" t="n"/>
      <c r="G7" s="50">
        <f>IF(OR(N(D7)=0,N(E7)=0),"",D7*E7)</f>
        <v/>
      </c>
      <c r="H7" s="6" t="n"/>
      <c r="I7" s="24" t="inlineStr">
        <is>
          <t>현장 기술지도 및 안전관리</t>
        </is>
      </c>
      <c r="J7" s="6" t="n"/>
      <c r="K7" s="6" t="n"/>
      <c r="L7" s="6" t="n"/>
    </row>
    <row r="8" ht="24" customHeight="1">
      <c r="A8" s="7" t="inlineStr">
        <is>
          <t>반장</t>
        </is>
      </c>
      <c r="B8" s="6" t="n"/>
      <c r="C8" s="7" t="inlineStr">
        <is>
          <t>인</t>
        </is>
      </c>
      <c r="D8" s="48" t="n"/>
      <c r="E8" s="49" t="n"/>
      <c r="F8" s="6" t="n"/>
      <c r="G8" s="50">
        <f>IF(OR(N(D8)=0,N(E8)=0),"",D8*E8)</f>
        <v/>
      </c>
      <c r="H8" s="6" t="n"/>
      <c r="I8" s="24" t="inlineStr">
        <is>
          <t>현장관리 및 작업관리</t>
        </is>
      </c>
      <c r="J8" s="6" t="n"/>
      <c r="K8" s="6" t="n"/>
      <c r="L8" s="6" t="n"/>
    </row>
    <row r="9" ht="24" customHeight="1">
      <c r="A9" s="7" t="inlineStr">
        <is>
          <t>잠수사</t>
        </is>
      </c>
      <c r="B9" s="6" t="n"/>
      <c r="C9" s="7" t="inlineStr">
        <is>
          <t>인</t>
        </is>
      </c>
      <c r="D9" s="48" t="n"/>
      <c r="E9" s="49" t="n"/>
      <c r="F9" s="6" t="n"/>
      <c r="G9" s="50">
        <f>IF(OR(N(D9)=0,N(E9)=0),"",D9*E9)</f>
        <v/>
      </c>
      <c r="H9" s="6" t="n"/>
      <c r="I9" s="24" t="inlineStr">
        <is>
          <t>오탁방지막 설치 및 닻 설치</t>
        </is>
      </c>
      <c r="J9" s="6" t="n"/>
      <c r="K9" s="6" t="n"/>
      <c r="L9" s="6" t="n"/>
    </row>
    <row r="10" ht="24" customHeight="1">
      <c r="A10" s="7" t="inlineStr">
        <is>
          <t>특별인부</t>
        </is>
      </c>
      <c r="B10" s="6" t="n"/>
      <c r="C10" s="7" t="inlineStr">
        <is>
          <t>인</t>
        </is>
      </c>
      <c r="D10" s="48" t="n"/>
      <c r="E10" s="49" t="n"/>
      <c r="F10" s="6" t="n"/>
      <c r="G10" s="50">
        <f>IF(OR(N(D10)=0,N(E10)=0),"",D10*E10)</f>
        <v/>
      </c>
      <c r="H10" s="6" t="n"/>
      <c r="I10" s="24" t="inlineStr">
        <is>
          <t>오탁방지막 설치 및 닻 설치</t>
        </is>
      </c>
      <c r="J10" s="6" t="n"/>
      <c r="K10" s="6" t="n"/>
      <c r="L10" s="6" t="n"/>
    </row>
    <row r="11" ht="24" customHeight="1">
      <c r="A11" s="7" t="n"/>
      <c r="B11" s="6" t="n"/>
      <c r="C11" s="7" t="n"/>
      <c r="D11" s="48" t="n"/>
      <c r="E11" s="49" t="n"/>
      <c r="F11" s="6" t="n"/>
      <c r="G11" s="50">
        <f>IF(OR(N(D11)=0,N(E11)=0),"",D11*E11)</f>
        <v/>
      </c>
      <c r="H11" s="6" t="n"/>
      <c r="I11" s="24" t="n"/>
      <c r="J11" s="6" t="n"/>
      <c r="K11" s="6" t="n"/>
      <c r="L11" s="6" t="n"/>
    </row>
    <row r="12" ht="24" customHeight="1">
      <c r="A12" s="7" t="n"/>
      <c r="B12" s="6" t="n"/>
      <c r="C12" s="7" t="n"/>
      <c r="D12" s="48" t="n"/>
      <c r="E12" s="49" t="n"/>
      <c r="F12" s="6" t="n"/>
      <c r="G12" s="50">
        <f>IF(OR(N(D12)=0,N(E12)=0),"",D12*E12)</f>
        <v/>
      </c>
      <c r="H12" s="6" t="n"/>
      <c r="I12" s="24" t="n"/>
      <c r="J12" s="6" t="n"/>
      <c r="K12" s="6" t="n"/>
      <c r="L12" s="6" t="n"/>
    </row>
    <row r="13" ht="24" customHeight="1">
      <c r="A13" s="25" t="inlineStr">
        <is>
          <t>계</t>
        </is>
      </c>
      <c r="B13" s="6" t="n"/>
      <c r="C13" s="6" t="n"/>
      <c r="D13" s="6" t="n"/>
      <c r="E13" s="6" t="n"/>
      <c r="F13" s="6" t="n"/>
      <c r="G13" s="51">
        <f>IF(SUM(G7:G12)=0,"",SUM(G7:G12))</f>
        <v/>
      </c>
      <c r="H13" s="6" t="n"/>
      <c r="I13" s="25" t="inlineStr"/>
      <c r="J13" s="6" t="n"/>
      <c r="K13" s="6" t="n"/>
      <c r="L13" s="6" t="n"/>
    </row>
    <row r="14" ht="3" customHeight="1"/>
    <row r="15" ht="21" customHeight="1">
      <c r="A15" s="41" t="inlineStr">
        <is>
          <t>6.2 장비 투입계획</t>
        </is>
      </c>
    </row>
    <row r="16" ht="24" customHeight="1">
      <c r="A16" s="20" t="inlineStr">
        <is>
          <t>장 비 명</t>
        </is>
      </c>
      <c r="B16" s="6" t="n"/>
      <c r="C16" s="20" t="inlineStr">
        <is>
          <t>규  격</t>
        </is>
      </c>
      <c r="D16" s="6" t="n"/>
      <c r="E16" s="20" t="inlineStr">
        <is>
          <t>단위</t>
        </is>
      </c>
      <c r="F16" s="20" t="inlineStr">
        <is>
          <t>일투입</t>
        </is>
      </c>
      <c r="G16" s="20" t="inlineStr">
        <is>
          <t>투입일수</t>
        </is>
      </c>
      <c r="H16" s="6" t="n"/>
      <c r="I16" s="20" t="inlineStr">
        <is>
          <t>누  계</t>
        </is>
      </c>
      <c r="J16" s="6" t="n"/>
      <c r="K16" s="20" t="inlineStr">
        <is>
          <t>비  고</t>
        </is>
      </c>
      <c r="L16" s="6" t="n"/>
    </row>
    <row r="17" ht="24" customHeight="1">
      <c r="A17" s="7" t="inlineStr">
        <is>
          <t>바지(PONTOON)</t>
        </is>
      </c>
      <c r="B17" s="6" t="n"/>
      <c r="C17" s="7" t="inlineStr">
        <is>
          <t>5m×5m</t>
        </is>
      </c>
      <c r="D17" s="6" t="n"/>
      <c r="E17" s="7" t="inlineStr">
        <is>
          <t>대</t>
        </is>
      </c>
      <c r="F17" s="48" t="n"/>
      <c r="G17" s="49" t="n"/>
      <c r="H17" s="6" t="n"/>
      <c r="I17" s="52">
        <f>IF(OR(N(F17)=0,N(G17)=0),"",F17*G17)</f>
        <v/>
      </c>
      <c r="J17" s="6" t="n"/>
      <c r="K17" s="24" t="n"/>
      <c r="L17" s="6" t="n"/>
    </row>
    <row r="18" ht="24" customHeight="1">
      <c r="A18" s="7" t="inlineStr">
        <is>
          <t>예선</t>
        </is>
      </c>
      <c r="B18" s="6" t="n"/>
      <c r="C18" s="7" t="inlineStr">
        <is>
          <t>150HP</t>
        </is>
      </c>
      <c r="D18" s="6" t="n"/>
      <c r="E18" s="7" t="inlineStr">
        <is>
          <t>대</t>
        </is>
      </c>
      <c r="F18" s="48" t="n"/>
      <c r="G18" s="49" t="n"/>
      <c r="H18" s="6" t="n"/>
      <c r="I18" s="52">
        <f>IF(OR(N(F18)=0,N(G18)=0),"",F18*G18)</f>
        <v/>
      </c>
      <c r="J18" s="6" t="n"/>
      <c r="K18" s="24" t="n"/>
      <c r="L18" s="6" t="n"/>
    </row>
    <row r="19" ht="24" customHeight="1">
      <c r="A19" s="7" t="inlineStr">
        <is>
          <t>작업선</t>
        </is>
      </c>
      <c r="B19" s="6" t="n"/>
      <c r="C19" s="7" t="inlineStr">
        <is>
          <t>모터보트</t>
        </is>
      </c>
      <c r="D19" s="6" t="n"/>
      <c r="E19" s="7" t="inlineStr">
        <is>
          <t>대</t>
        </is>
      </c>
      <c r="F19" s="48" t="n"/>
      <c r="G19" s="49" t="n"/>
      <c r="H19" s="6" t="n"/>
      <c r="I19" s="52">
        <f>IF(OR(N(F19)=0,N(G19)=0),"",F19*G19)</f>
        <v/>
      </c>
      <c r="J19" s="6" t="n"/>
      <c r="K19" s="24" t="n"/>
      <c r="L19" s="6" t="n"/>
    </row>
    <row r="20" ht="24" customHeight="1">
      <c r="A20" s="7" t="inlineStr">
        <is>
          <t>크레인</t>
        </is>
      </c>
      <c r="B20" s="6" t="n"/>
      <c r="C20" s="7" t="inlineStr">
        <is>
          <t>25톤</t>
        </is>
      </c>
      <c r="D20" s="6" t="n"/>
      <c r="E20" s="7" t="inlineStr">
        <is>
          <t>대</t>
        </is>
      </c>
      <c r="F20" s="48" t="n"/>
      <c r="G20" s="49" t="n"/>
      <c r="H20" s="6" t="n"/>
      <c r="I20" s="52">
        <f>IF(OR(N(F20)=0,N(G20)=0),"",F20*G20)</f>
        <v/>
      </c>
      <c r="J20" s="6" t="n"/>
      <c r="K20" s="24" t="n"/>
      <c r="L20" s="6" t="n"/>
    </row>
    <row r="21" ht="24" customHeight="1">
      <c r="A21" s="7" t="inlineStr">
        <is>
          <t>카고트럭</t>
        </is>
      </c>
      <c r="B21" s="6" t="n"/>
      <c r="C21" s="7" t="inlineStr">
        <is>
          <t>11톤</t>
        </is>
      </c>
      <c r="D21" s="6" t="n"/>
      <c r="E21" s="7" t="inlineStr">
        <is>
          <t>대</t>
        </is>
      </c>
      <c r="F21" s="48" t="n"/>
      <c r="G21" s="49" t="n"/>
      <c r="H21" s="6" t="n"/>
      <c r="I21" s="52">
        <f>IF(OR(N(F21)=0,N(G21)=0),"",F21*G21)</f>
        <v/>
      </c>
      <c r="J21" s="6" t="n"/>
      <c r="K21" s="24" t="n"/>
      <c r="L21" s="6" t="n"/>
    </row>
    <row r="22" ht="24" customHeight="1">
      <c r="A22" s="7" t="n"/>
      <c r="B22" s="6" t="n"/>
      <c r="C22" s="7" t="n"/>
      <c r="D22" s="6" t="n"/>
      <c r="E22" s="7" t="n"/>
      <c r="F22" s="48" t="n"/>
      <c r="G22" s="49" t="n"/>
      <c r="H22" s="6" t="n"/>
      <c r="I22" s="52">
        <f>IF(OR(N(F22)=0,N(G22)=0),"",F22*G22)</f>
        <v/>
      </c>
      <c r="J22" s="6" t="n"/>
      <c r="K22" s="24" t="n"/>
      <c r="L22" s="6" t="n"/>
    </row>
    <row r="23" ht="24" customHeight="1">
      <c r="A23" s="25" t="inlineStr">
        <is>
          <t>계</t>
        </is>
      </c>
      <c r="B23" s="6" t="n"/>
      <c r="C23" s="6" t="n"/>
      <c r="D23" s="6" t="n"/>
      <c r="E23" s="6" t="n"/>
      <c r="F23" s="6" t="n"/>
      <c r="G23" s="6" t="n"/>
      <c r="H23" s="6" t="n"/>
      <c r="I23" s="53">
        <f>IF(SUM(I17:I22)=0,"",SUM(I17:I22))</f>
        <v/>
      </c>
      <c r="J23" s="6" t="n"/>
      <c r="K23" s="25" t="inlineStr"/>
      <c r="L23" s="6" t="n"/>
    </row>
    <row r="24" ht="3" customHeight="1"/>
    <row r="25" ht="21" customHeight="1">
      <c r="A25" s="41" t="inlineStr">
        <is>
          <t>6.3 자재</t>
        </is>
      </c>
    </row>
    <row r="26" ht="37" customHeight="1">
      <c r="A26" s="42" t="inlineStr">
        <is>
          <t>오탁방지막(막체) · 부체 · 체인 · 샤클 · 앵커(닻) · 와이어로프 — 수량은 1. 공사개요의 SPAN 수와 앵커 수를 따릅니다.</t>
        </is>
      </c>
    </row>
    <row r="27" ht="18" customHeight="1">
      <c r="A27" s="10" t="inlineStr">
        <is>
          <t>※ 작업 인원과 장비 투입은 현장 여건과 투입 날짜에 따라 바뀔 수 있습니다. 누계 = 일투입 × 투입일수.</t>
        </is>
      </c>
    </row>
  </sheetData>
  <mergeCells count="77">
    <mergeCell ref="G21:H21"/>
    <mergeCell ref="E8:F8"/>
    <mergeCell ref="A26:L26"/>
    <mergeCell ref="A7:B7"/>
    <mergeCell ref="I16:J16"/>
    <mergeCell ref="G18:H18"/>
    <mergeCell ref="I18:J18"/>
    <mergeCell ref="A13:F13"/>
    <mergeCell ref="A17:B17"/>
    <mergeCell ref="C17:D17"/>
    <mergeCell ref="A22:B22"/>
    <mergeCell ref="G20:H20"/>
    <mergeCell ref="I20:J20"/>
    <mergeCell ref="A19:B19"/>
    <mergeCell ref="C19:D19"/>
    <mergeCell ref="G22:H22"/>
    <mergeCell ref="A9:B9"/>
    <mergeCell ref="E12:F12"/>
    <mergeCell ref="G12:H12"/>
    <mergeCell ref="A11:B11"/>
    <mergeCell ref="A3:L3"/>
    <mergeCell ref="K21:L21"/>
    <mergeCell ref="I13:L13"/>
    <mergeCell ref="G7:H7"/>
    <mergeCell ref="A5:L5"/>
    <mergeCell ref="I6:L6"/>
    <mergeCell ref="I7:L7"/>
    <mergeCell ref="A8:B8"/>
    <mergeCell ref="I17:J17"/>
    <mergeCell ref="K17:L17"/>
    <mergeCell ref="G16:H16"/>
    <mergeCell ref="A10:B10"/>
    <mergeCell ref="I19:J19"/>
    <mergeCell ref="K19:L19"/>
    <mergeCell ref="C18:D18"/>
    <mergeCell ref="G9:H9"/>
    <mergeCell ref="K16:L16"/>
    <mergeCell ref="A25:L25"/>
    <mergeCell ref="G11:H11"/>
    <mergeCell ref="I10:L10"/>
    <mergeCell ref="C20:D20"/>
    <mergeCell ref="I9:L9"/>
    <mergeCell ref="C22:D22"/>
    <mergeCell ref="G13:H13"/>
    <mergeCell ref="I11:L11"/>
    <mergeCell ref="A12:B12"/>
    <mergeCell ref="I21:J21"/>
    <mergeCell ref="A21:B21"/>
    <mergeCell ref="E6:F6"/>
    <mergeCell ref="C21:D21"/>
    <mergeCell ref="I23:J23"/>
    <mergeCell ref="K23:L23"/>
    <mergeCell ref="A15:L15"/>
    <mergeCell ref="E7:F7"/>
    <mergeCell ref="A1:F1"/>
    <mergeCell ref="K18:L18"/>
    <mergeCell ref="I8:L8"/>
    <mergeCell ref="A27:L27"/>
    <mergeCell ref="G8:H8"/>
    <mergeCell ref="A6:B6"/>
    <mergeCell ref="G17:H17"/>
    <mergeCell ref="A16:B16"/>
    <mergeCell ref="K20:L20"/>
    <mergeCell ref="C16:D16"/>
    <mergeCell ref="E10:F10"/>
    <mergeCell ref="G10:H10"/>
    <mergeCell ref="G19:H19"/>
    <mergeCell ref="G6:H6"/>
    <mergeCell ref="I22:J22"/>
    <mergeCell ref="A18:B18"/>
    <mergeCell ref="K22:L22"/>
    <mergeCell ref="E9:F9"/>
    <mergeCell ref="G1:L1"/>
    <mergeCell ref="E11:F11"/>
    <mergeCell ref="A23:H23"/>
    <mergeCell ref="A20:B20"/>
    <mergeCell ref="I12:L12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7.  오탁방지막 설치 문제점 및 대책 검토안</t>
        </is>
      </c>
    </row>
    <row r="4" ht="24" customHeight="1">
      <c r="A4" s="20" t="inlineStr">
        <is>
          <t>구  분</t>
        </is>
      </c>
      <c r="B4" s="6" t="n"/>
      <c r="C4" s="20" t="inlineStr">
        <is>
          <t>문 제 점</t>
        </is>
      </c>
      <c r="D4" s="6" t="n"/>
      <c r="E4" s="6" t="n"/>
      <c r="F4" s="6" t="n"/>
      <c r="G4" s="20" t="inlineStr">
        <is>
          <t>대 책 검 토 안</t>
        </is>
      </c>
      <c r="H4" s="6" t="n"/>
      <c r="I4" s="6" t="n"/>
      <c r="J4" s="6" t="n"/>
      <c r="K4" s="20" t="inlineStr">
        <is>
          <t>비  고</t>
        </is>
      </c>
      <c r="L4" s="6" t="n"/>
    </row>
    <row r="5" ht="40" customHeight="1">
      <c r="A5" s="7" t="n"/>
      <c r="B5" s="6" t="n"/>
      <c r="C5" s="24" t="n"/>
      <c r="D5" s="6" t="n"/>
      <c r="E5" s="6" t="n"/>
      <c r="F5" s="6" t="n"/>
      <c r="G5" s="24" t="n"/>
      <c r="H5" s="6" t="n"/>
      <c r="I5" s="6" t="n"/>
      <c r="J5" s="6" t="n"/>
      <c r="K5" s="36" t="n"/>
      <c r="L5" s="6" t="n"/>
    </row>
    <row r="6" ht="40" customHeight="1">
      <c r="A6" s="7" t="n"/>
      <c r="B6" s="6" t="n"/>
      <c r="C6" s="24" t="n"/>
      <c r="D6" s="6" t="n"/>
      <c r="E6" s="6" t="n"/>
      <c r="F6" s="6" t="n"/>
      <c r="G6" s="24" t="n"/>
      <c r="H6" s="6" t="n"/>
      <c r="I6" s="6" t="n"/>
      <c r="J6" s="6" t="n"/>
      <c r="K6" s="36" t="n"/>
      <c r="L6" s="6" t="n"/>
    </row>
    <row r="7" ht="40" customHeight="1">
      <c r="A7" s="7" t="n"/>
      <c r="B7" s="6" t="n"/>
      <c r="C7" s="24" t="n"/>
      <c r="D7" s="6" t="n"/>
      <c r="E7" s="6" t="n"/>
      <c r="F7" s="6" t="n"/>
      <c r="G7" s="24" t="n"/>
      <c r="H7" s="6" t="n"/>
      <c r="I7" s="6" t="n"/>
      <c r="J7" s="6" t="n"/>
      <c r="K7" s="36" t="n"/>
      <c r="L7" s="6" t="n"/>
    </row>
    <row r="8" ht="40" customHeight="1">
      <c r="A8" s="7" t="n"/>
      <c r="B8" s="6" t="n"/>
      <c r="C8" s="24" t="n"/>
      <c r="D8" s="6" t="n"/>
      <c r="E8" s="6" t="n"/>
      <c r="F8" s="6" t="n"/>
      <c r="G8" s="24" t="n"/>
      <c r="H8" s="6" t="n"/>
      <c r="I8" s="6" t="n"/>
      <c r="J8" s="6" t="n"/>
      <c r="K8" s="36" t="n"/>
      <c r="L8" s="6" t="n"/>
    </row>
    <row r="9" ht="40" customHeight="1">
      <c r="A9" s="7" t="n"/>
      <c r="B9" s="6" t="n"/>
      <c r="C9" s="24" t="n"/>
      <c r="D9" s="6" t="n"/>
      <c r="E9" s="6" t="n"/>
      <c r="F9" s="6" t="n"/>
      <c r="G9" s="24" t="n"/>
      <c r="H9" s="6" t="n"/>
      <c r="I9" s="6" t="n"/>
      <c r="J9" s="6" t="n"/>
      <c r="K9" s="36" t="n"/>
      <c r="L9" s="6" t="n"/>
    </row>
    <row r="10" ht="40" customHeight="1">
      <c r="A10" s="7" t="n"/>
      <c r="B10" s="6" t="n"/>
      <c r="C10" s="24" t="n"/>
      <c r="D10" s="6" t="n"/>
      <c r="E10" s="6" t="n"/>
      <c r="F10" s="6" t="n"/>
      <c r="G10" s="24" t="n"/>
      <c r="H10" s="6" t="n"/>
      <c r="I10" s="6" t="n"/>
      <c r="J10" s="6" t="n"/>
      <c r="K10" s="36" t="n"/>
      <c r="L10" s="6" t="n"/>
    </row>
  </sheetData>
  <mergeCells count="31">
    <mergeCell ref="C8:F8"/>
    <mergeCell ref="G4:J4"/>
    <mergeCell ref="A9:B9"/>
    <mergeCell ref="K9:L9"/>
    <mergeCell ref="C7:F7"/>
    <mergeCell ref="K5:L5"/>
    <mergeCell ref="K4:L4"/>
    <mergeCell ref="A3:L3"/>
    <mergeCell ref="A6:B6"/>
    <mergeCell ref="G9:J9"/>
    <mergeCell ref="A7:B7"/>
    <mergeCell ref="C6:F6"/>
    <mergeCell ref="C5:F5"/>
    <mergeCell ref="G1:L1"/>
    <mergeCell ref="K8:L8"/>
    <mergeCell ref="C4:F4"/>
    <mergeCell ref="G8:J8"/>
    <mergeCell ref="A5:B5"/>
    <mergeCell ref="G7:J7"/>
    <mergeCell ref="C10:F10"/>
    <mergeCell ref="A8:B8"/>
    <mergeCell ref="G10:J10"/>
    <mergeCell ref="A4:B4"/>
    <mergeCell ref="G6:J6"/>
    <mergeCell ref="C9:F9"/>
    <mergeCell ref="K7:L7"/>
    <mergeCell ref="A1:F1"/>
    <mergeCell ref="A10:B10"/>
    <mergeCell ref="K10:L10"/>
    <mergeCell ref="K6:L6"/>
    <mergeCell ref="G5:J5"/>
  </mergeCells>
  <printOptions horizontalCentered="1"/>
  <pageMargins left="0.45" right="0.45" top="0.5" bottom="0.5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Ⅱ.  품 질 관 리</t>
        </is>
      </c>
    </row>
    <row r="4" ht="36" customHeight="1">
      <c r="A4" s="43" t="inlineStr">
        <is>
          <t>1)</t>
        </is>
      </c>
      <c r="B4" s="44" t="inlineStr">
        <is>
          <t>오탁방지막은 물속과 햇빛에 노출된 상태에서도 내구성이 강하고 투수성이 좋으며 오탁 확산을 막을 수 있는 재료로 합니다.</t>
        </is>
      </c>
    </row>
    <row r="5" ht="20.5" customHeight="1">
      <c r="A5" s="43" t="inlineStr">
        <is>
          <t>2)</t>
        </is>
      </c>
      <c r="B5" s="44" t="inlineStr">
        <is>
          <t>오탁방지막은 성능 기준표(5.2의 3))의 규격을 만족해야 합니다.</t>
        </is>
      </c>
    </row>
    <row r="6" ht="20.5" customHeight="1">
      <c r="A6" s="43" t="inlineStr">
        <is>
          <t>3)</t>
        </is>
      </c>
      <c r="B6" s="44" t="inlineStr">
        <is>
          <t>오탁방지막은 시험성적서를 감독(감리)에 내고 승인을 받은 뒤 씁니다.</t>
        </is>
      </c>
    </row>
    <row r="7" ht="20.5" customHeight="1">
      <c r="A7" s="43" t="inlineStr">
        <is>
          <t>4)</t>
        </is>
      </c>
      <c r="B7" s="44" t="inlineStr">
        <is>
          <t>설치할 때 막체가 찢어지거나 상하지 않도록 품질관리에 힘씁니다.</t>
        </is>
      </c>
    </row>
    <row r="8" ht="6" customHeight="1"/>
    <row r="9" ht="28" customHeight="1">
      <c r="A9" s="15" t="inlineStr">
        <is>
          <t>Ⅲ.  환경 · 안전관리계획</t>
        </is>
      </c>
    </row>
    <row r="10" ht="36" customHeight="1">
      <c r="A10" s="43" t="inlineStr">
        <is>
          <t>1)</t>
        </is>
      </c>
      <c r="B10" s="44" t="inlineStr">
        <is>
          <t>새로 들어온 근로자는 건강진단과 신규 채용 교육(1시간 이상)을 받은 뒤 작업에 들어갑니다.</t>
        </is>
      </c>
    </row>
    <row r="11" ht="20.5" customHeight="1">
      <c r="A11" s="43" t="inlineStr">
        <is>
          <t>2)</t>
        </is>
      </c>
      <c r="B11" s="44" t="inlineStr">
        <is>
          <t>매일 작업 전 안전조회로 건강 상태를 확인한 뒤 배치합니다.</t>
        </is>
      </c>
    </row>
    <row r="12" ht="20.5" customHeight="1">
      <c r="A12" s="43" t="inlineStr">
        <is>
          <t>3)</t>
        </is>
      </c>
      <c r="B12" s="44" t="inlineStr">
        <is>
          <t>앵커(닻)는 무거우므로 운반·설치 때 끼임과 허리 부상에 특히 주의합니다.</t>
        </is>
      </c>
    </row>
    <row r="13" ht="36" customHeight="1">
      <c r="A13" s="43" t="inlineStr">
        <is>
          <t>4)</t>
        </is>
      </c>
      <c r="B13" s="44" t="inlineStr">
        <is>
          <t>안전관리 책임자는 늘 일기예보를 확인하고, 날씨가 나빠지면 자재를 육상의 안전한 곳으로 옮깁니다.</t>
        </is>
      </c>
    </row>
    <row r="14" ht="20.5" customHeight="1">
      <c r="A14" s="43" t="inlineStr">
        <is>
          <t>5)</t>
        </is>
      </c>
      <c r="B14" s="44" t="inlineStr">
        <is>
          <t>물 위에서 일할 때는 구명조끼를 입습니다.</t>
        </is>
      </c>
    </row>
    <row r="15" ht="20.5" customHeight="1">
      <c r="A15" s="43" t="inlineStr">
        <is>
          <t>6)</t>
        </is>
      </c>
      <c r="B15" s="44" t="inlineStr">
        <is>
          <t>잠수사는 작업 전에 충분히 준비운동을 합니다.</t>
        </is>
      </c>
    </row>
    <row r="16" ht="20.5" customHeight="1">
      <c r="A16" s="43" t="inlineStr">
        <is>
          <t>7)</t>
        </is>
      </c>
      <c r="B16" s="44" t="inlineStr">
        <is>
          <t>작업 중 기름 등으로 바다가 오염되지 않도록 특히 주의합니다.</t>
        </is>
      </c>
    </row>
    <row r="17" ht="20.5" customHeight="1">
      <c r="A17" s="43" t="inlineStr">
        <is>
          <t>8)</t>
        </is>
      </c>
      <c r="B17" s="44" t="inlineStr">
        <is>
          <t>작업 중 생긴 폐기물은 법에 정한 절차대로 처리합니다.</t>
        </is>
      </c>
    </row>
    <row r="18" ht="8" customHeight="1"/>
    <row r="19" ht="26" customHeight="1">
      <c r="A19" s="5" t="inlineStr">
        <is>
          <t>해상작업 중지 기준</t>
        </is>
      </c>
      <c r="B19" s="6" t="n"/>
      <c r="C19" s="6" t="n"/>
      <c r="D19" s="5" t="inlineStr">
        <is>
          <t>파고</t>
        </is>
      </c>
      <c r="E19" s="6" t="n"/>
      <c r="F19" s="54" t="n">
        <v>1</v>
      </c>
      <c r="G19" s="6" t="n"/>
      <c r="H19" s="5" t="inlineStr">
        <is>
          <t>유속</t>
        </is>
      </c>
      <c r="I19" s="6" t="n"/>
      <c r="J19" s="55" t="n">
        <v>1</v>
      </c>
      <c r="K19" s="6" t="n"/>
      <c r="L19" s="6" t="n"/>
    </row>
    <row r="20" ht="16" customHeight="1">
      <c r="A20" s="10" t="inlineStr">
        <is>
          <t>※ 노란 칸은 현장·발주기관 기준에 맞게 고쳐 씁니다.</t>
        </is>
      </c>
    </row>
    <row r="22" ht="19.5" customHeight="1">
      <c r="A22" s="10" t="inlineStr">
        <is>
          <t>이 장은 빈 서식과 작성 예시가 같습니다(공법 설명).</t>
        </is>
      </c>
    </row>
  </sheetData>
  <mergeCells count="23">
    <mergeCell ref="B4:L4"/>
    <mergeCell ref="B16:L16"/>
    <mergeCell ref="D19:E19"/>
    <mergeCell ref="B7:L7"/>
    <mergeCell ref="F19:G19"/>
    <mergeCell ref="A3:L3"/>
    <mergeCell ref="B12:L12"/>
    <mergeCell ref="B11:L11"/>
    <mergeCell ref="A22:L22"/>
    <mergeCell ref="B14:L14"/>
    <mergeCell ref="B17:L17"/>
    <mergeCell ref="A20:L20"/>
    <mergeCell ref="G1:L1"/>
    <mergeCell ref="A19:C19"/>
    <mergeCell ref="B13:L13"/>
    <mergeCell ref="B10:L10"/>
    <mergeCell ref="H19:I19"/>
    <mergeCell ref="A9:L9"/>
    <mergeCell ref="B6:L6"/>
    <mergeCell ref="B15:L15"/>
    <mergeCell ref="A1:F1"/>
    <mergeCell ref="J19:L19"/>
    <mergeCell ref="B5:L5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6" t="inlineStr">
        <is>
          <t xml:space="preserve">작성 예시 (가상의 현장)  </t>
        </is>
      </c>
    </row>
    <row r="2" ht="120" customHeight="1"/>
    <row r="3" ht="60" customHeight="1">
      <c r="A3" s="3" t="inlineStr">
        <is>
          <t>오 탁 방 지 막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가나항 물양장 정비공사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>
        <v>46106</v>
      </c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예시건설(주)</t>
        </is>
      </c>
    </row>
    <row r="10" ht="19.5" customHeight="1">
      <c r="A10" s="10" t="inlineStr">
        <is>
          <t>이 시트는 작성 예시입니다(가상의 공사).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6" t="inlineStr">
        <is>
          <t xml:space="preserve">작성 예시 (가상의 현장)  </t>
        </is>
      </c>
    </row>
    <row r="2" ht="36" customHeight="1">
      <c r="A2" s="14" t="inlineStr">
        <is>
          <t>Ⅰ.  시 공 계 획</t>
        </is>
      </c>
    </row>
    <row r="3" ht="6" customHeight="1"/>
    <row r="4" ht="28" customHeight="1">
      <c r="A4" s="15" t="inlineStr">
        <is>
          <t>1. 공사개요</t>
        </is>
      </c>
    </row>
    <row r="5" ht="48" customHeight="1">
      <c r="A5" s="16">
        <f>"    본 공사는 "&amp;IF('예시-표지'!E5="","○○ 공사","「"&amp;'예시-표지'!E5&amp;"」")&amp;" 기간 중 준설과 기초공사로 생기는 오탁수와 부유물질이 퍼져 바다(하천)가 오탁되는 것을 막기 위하여 오탁방지막을 설치하는 공사입니다."</f>
        <v/>
      </c>
    </row>
    <row r="6" ht="6" customHeight="1"/>
    <row r="7" ht="24" customHeight="1">
      <c r="A7" s="5" t="inlineStr">
        <is>
          <t>막 한 장(1 SPAN) 길이</t>
        </is>
      </c>
      <c r="B7" s="6" t="n"/>
      <c r="C7" s="6" t="n"/>
      <c r="D7" s="17" t="n">
        <v>20</v>
      </c>
      <c r="E7" s="6" t="n"/>
      <c r="F7" s="5" t="inlineStr">
        <is>
          <t>앵커 간격 · 줄 수</t>
        </is>
      </c>
      <c r="G7" s="6" t="n"/>
      <c r="H7" s="6" t="n"/>
      <c r="I7" s="18" t="n">
        <v>10</v>
      </c>
      <c r="J7" s="6" t="n"/>
      <c r="K7" s="19" t="n">
        <v>2</v>
      </c>
      <c r="L7" s="6" t="n"/>
    </row>
    <row r="8" ht="4" customHeight="1"/>
    <row r="9" ht="24" customHeight="1">
      <c r="A9" s="20" t="inlineStr">
        <is>
          <t>구  분</t>
        </is>
      </c>
      <c r="B9" s="6" t="n"/>
      <c r="C9" s="20" t="inlineStr">
        <is>
          <t>연  장</t>
        </is>
      </c>
      <c r="D9" s="6" t="n"/>
      <c r="E9" s="6" t="n"/>
      <c r="F9" s="20" t="inlineStr">
        <is>
          <t>오탁방지막</t>
        </is>
      </c>
      <c r="G9" s="6" t="n"/>
      <c r="H9" s="20" t="inlineStr">
        <is>
          <t>닻가지형 앵커</t>
        </is>
      </c>
      <c r="I9" s="6" t="n"/>
      <c r="J9" s="20" t="inlineStr">
        <is>
          <t>비  고</t>
        </is>
      </c>
      <c r="K9" s="6" t="n"/>
      <c r="L9" s="6" t="n"/>
    </row>
    <row r="10" ht="22" customHeight="1">
      <c r="A10" s="7" t="inlineStr">
        <is>
          <t>1구간</t>
        </is>
      </c>
      <c r="B10" s="6" t="n"/>
      <c r="C10" s="21" t="n">
        <v>250</v>
      </c>
      <c r="D10" s="6" t="n"/>
      <c r="E10" s="6" t="n"/>
      <c r="F10" s="22">
        <f>IF(OR(N(C10)=0,N(D7)=0),"",ROUNDUP(C10/D7,0))</f>
        <v/>
      </c>
      <c r="G10" s="6" t="n"/>
      <c r="H10" s="23">
        <f>IF(OR(N(C10)=0,N(I7)=0),"",(ROUNDUP(C10/I7,0)+1)*N(K7))</f>
        <v/>
      </c>
      <c r="I10" s="6" t="n"/>
      <c r="J10" s="24" t="n"/>
      <c r="K10" s="6" t="n"/>
      <c r="L10" s="6" t="n"/>
    </row>
    <row r="11" ht="22" customHeight="1">
      <c r="A11" s="7" t="inlineStr">
        <is>
          <t>2구간</t>
        </is>
      </c>
      <c r="B11" s="6" t="n"/>
      <c r="C11" s="21" t="n">
        <v>250</v>
      </c>
      <c r="D11" s="6" t="n"/>
      <c r="E11" s="6" t="n"/>
      <c r="F11" s="22">
        <f>IF(OR(N(C11)=0,N(D7)=0),"",ROUNDUP(C11/D7,0))</f>
        <v/>
      </c>
      <c r="G11" s="6" t="n"/>
      <c r="H11" s="23">
        <f>IF(OR(N(C11)=0,N(I7)=0),"",(ROUNDUP(C11/I7,0)+1)*N(K7))</f>
        <v/>
      </c>
      <c r="I11" s="6" t="n"/>
      <c r="J11" s="24" t="n"/>
      <c r="K11" s="6" t="n"/>
      <c r="L11" s="6" t="n"/>
    </row>
    <row r="12" ht="22" customHeight="1">
      <c r="A12" s="7" t="inlineStr">
        <is>
          <t>3구간</t>
        </is>
      </c>
      <c r="B12" s="6" t="n"/>
      <c r="C12" s="21" t="n">
        <v>1520</v>
      </c>
      <c r="D12" s="6" t="n"/>
      <c r="E12" s="6" t="n"/>
      <c r="F12" s="22">
        <f>IF(OR(N(C12)=0,N(D7)=0),"",ROUNDUP(C12/D7,0))</f>
        <v/>
      </c>
      <c r="G12" s="6" t="n"/>
      <c r="H12" s="23">
        <f>IF(OR(N(C12)=0,N(I7)=0),"",(ROUNDUP(C12/I7,0)+1)*N(K7))</f>
        <v/>
      </c>
      <c r="I12" s="6" t="n"/>
      <c r="J12" s="24" t="n"/>
      <c r="K12" s="6" t="n"/>
      <c r="L12" s="6" t="n"/>
    </row>
    <row r="13" ht="22" customHeight="1">
      <c r="A13" s="7" t="n"/>
      <c r="B13" s="6" t="n"/>
      <c r="C13" s="21" t="n"/>
      <c r="D13" s="6" t="n"/>
      <c r="E13" s="6" t="n"/>
      <c r="F13" s="22">
        <f>IF(OR(N(C13)=0,N(D7)=0),"",ROUNDUP(C13/D7,0))</f>
        <v/>
      </c>
      <c r="G13" s="6" t="n"/>
      <c r="H13" s="23">
        <f>IF(OR(N(C13)=0,N(I7)=0),"",(ROUNDUP(C13/I7,0)+1)*N(K7))</f>
        <v/>
      </c>
      <c r="I13" s="6" t="n"/>
      <c r="J13" s="24" t="n"/>
      <c r="K13" s="6" t="n"/>
      <c r="L13" s="6" t="n"/>
    </row>
    <row r="14" ht="22" customHeight="1">
      <c r="A14" s="7" t="n"/>
      <c r="B14" s="6" t="n"/>
      <c r="C14" s="21" t="n"/>
      <c r="D14" s="6" t="n"/>
      <c r="E14" s="6" t="n"/>
      <c r="F14" s="22">
        <f>IF(OR(N(C14)=0,N(D7)=0),"",ROUNDUP(C14/D7,0))</f>
        <v/>
      </c>
      <c r="G14" s="6" t="n"/>
      <c r="H14" s="23">
        <f>IF(OR(N(C14)=0,N(I7)=0),"",(ROUNDUP(C14/I7,0)+1)*N(K7))</f>
        <v/>
      </c>
      <c r="I14" s="6" t="n"/>
      <c r="J14" s="24" t="n"/>
      <c r="K14" s="6" t="n"/>
      <c r="L14" s="6" t="n"/>
    </row>
    <row r="15" ht="24" customHeight="1">
      <c r="A15" s="25" t="inlineStr">
        <is>
          <t>합  계</t>
        </is>
      </c>
      <c r="B15" s="6" t="n"/>
      <c r="C15" s="26">
        <f>IF(SUM(C10:C14)=0,"",SUM(C10:C14))</f>
        <v/>
      </c>
      <c r="D15" s="6" t="n"/>
      <c r="E15" s="6" t="n"/>
      <c r="F15" s="27">
        <f>IF(SUM(F10:F14)=0,"",SUM(F10:F14))</f>
        <v/>
      </c>
      <c r="G15" s="6" t="n"/>
      <c r="H15" s="28">
        <f>IF(SUM(H10:H14)=0,"",SUM(H10:H14))</f>
        <v/>
      </c>
      <c r="I15" s="6" t="n"/>
      <c r="J15" s="25" t="inlineStr"/>
      <c r="K15" s="6" t="n"/>
      <c r="L15" s="6" t="n"/>
    </row>
    <row r="16" ht="16" customHeight="1">
      <c r="A16" s="10" t="inlineStr">
        <is>
          <t>※ SPAN = 연장 ÷ 막 한 장 길이(올림) · 앵커 = (연장 ÷ 앵커 간격(올림) + 1) × 줄 수 — 노란 칸은 설계에 맞게 고쳐 씁니다.</t>
        </is>
      </c>
    </row>
    <row r="17" ht="21.5" customHeight="1">
      <c r="A17" s="29" t="inlineStr">
        <is>
          <t>※ 오랫동안 설치해 두어 오탁방지막의 평균 수명(2~3년)을 넘기면 다시 설치합니다.</t>
        </is>
      </c>
    </row>
    <row r="18" ht="6" customHeight="1"/>
    <row r="19" ht="28" customHeight="1">
      <c r="A19" s="15" t="inlineStr">
        <is>
          <t>2. 예정공정표 (별첨)</t>
        </is>
      </c>
    </row>
    <row r="20" ht="6" customHeight="1"/>
    <row r="21" ht="28" customHeight="1">
      <c r="A21" s="15" t="inlineStr">
        <is>
          <t>3. 조직도 (별첨)</t>
        </is>
      </c>
    </row>
  </sheetData>
  <mergeCells count="49">
    <mergeCell ref="A16:L16"/>
    <mergeCell ref="F11:G11"/>
    <mergeCell ref="A15:B15"/>
    <mergeCell ref="F10:G10"/>
    <mergeCell ref="H10:I10"/>
    <mergeCell ref="A9:B9"/>
    <mergeCell ref="A11:B11"/>
    <mergeCell ref="C9:E9"/>
    <mergeCell ref="A21:L21"/>
    <mergeCell ref="C12:E12"/>
    <mergeCell ref="H9:I9"/>
    <mergeCell ref="J11:L11"/>
    <mergeCell ref="A2:L2"/>
    <mergeCell ref="C11:E11"/>
    <mergeCell ref="F12:G12"/>
    <mergeCell ref="F15:G15"/>
    <mergeCell ref="I7:J7"/>
    <mergeCell ref="A5:L5"/>
    <mergeCell ref="A17:L17"/>
    <mergeCell ref="J12:L12"/>
    <mergeCell ref="A4:L4"/>
    <mergeCell ref="A12:B12"/>
    <mergeCell ref="G1:L1"/>
    <mergeCell ref="H11:I11"/>
    <mergeCell ref="D7:E7"/>
    <mergeCell ref="C13:E13"/>
    <mergeCell ref="A19:L19"/>
    <mergeCell ref="A14:B14"/>
    <mergeCell ref="F13:G13"/>
    <mergeCell ref="H13:I13"/>
    <mergeCell ref="H14:I14"/>
    <mergeCell ref="C15:E15"/>
    <mergeCell ref="F9:G9"/>
    <mergeCell ref="K7:L7"/>
    <mergeCell ref="H12:I12"/>
    <mergeCell ref="C14:E14"/>
    <mergeCell ref="J14:L14"/>
    <mergeCell ref="J10:L10"/>
    <mergeCell ref="J13:L13"/>
    <mergeCell ref="A1:F1"/>
    <mergeCell ref="A10:B10"/>
    <mergeCell ref="H15:I15"/>
    <mergeCell ref="J15:L15"/>
    <mergeCell ref="A13:B13"/>
    <mergeCell ref="F14:G14"/>
    <mergeCell ref="F7:H7"/>
    <mergeCell ref="J9:L9"/>
    <mergeCell ref="A7:C7"/>
    <mergeCell ref="C10:E10"/>
  </mergeCells>
  <conditionalFormatting sqref="C10:C15">
    <cfRule type="expression" priority="1" dxfId="0">
      <formula>AND(ISNUMBER(C10),MOD(C10,1)=0)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B16"/>
  <sheetViews>
    <sheetView showGridLines="0" zoomScale="10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9" customWidth="1" min="28" max="28"/>
  </cols>
  <sheetData>
    <row r="1" ht="20" customHeight="1">
      <c r="A1" s="1" t="inlineStr">
        <is>
          <t xml:space="preserve">  K-건설맵  |  k-conmap.com  건설 서식</t>
        </is>
      </c>
      <c r="K1" s="56" t="inlineStr">
        <is>
          <t xml:space="preserve">작성 예시 (가상의 현장)  </t>
        </is>
      </c>
    </row>
    <row r="2" ht="34" customHeight="1">
      <c r="A2" s="14" t="inlineStr">
        <is>
          <t>2.  예 정 공 정 표</t>
        </is>
      </c>
    </row>
    <row r="3" ht="22" customHeight="1">
      <c r="A3" s="5" t="inlineStr">
        <is>
          <t>착 공 일</t>
        </is>
      </c>
      <c r="B3" s="8" t="n">
        <v>46113</v>
      </c>
      <c r="C3" s="6" t="n"/>
      <c r="D3" s="10" t="inlineStr">
        <is>
          <t>※ 착공일을 적으면 달 눈금이, 공종마다 착수·완료일을 적으면 막대가 그려집니다.</t>
        </is>
      </c>
    </row>
    <row r="4" ht="20" customHeight="1">
      <c r="A4" s="20" t="inlineStr">
        <is>
          <t>공    종</t>
        </is>
      </c>
      <c r="B4" s="20" t="inlineStr">
        <is>
          <t>착 수</t>
        </is>
      </c>
      <c r="C4" s="20" t="inlineStr">
        <is>
          <t>완 료</t>
        </is>
      </c>
      <c r="D4" s="30">
        <f>IF(N(B3)=0,"",EDATE(DATE(YEAR(B3),MONTH(B3),1),0))</f>
        <v/>
      </c>
      <c r="E4" s="6" t="n"/>
      <c r="F4" s="30">
        <f>IF(N(B3)=0,"",EDATE(DATE(YEAR(B3),MONTH(B3),1),1))</f>
        <v/>
      </c>
      <c r="G4" s="6" t="n"/>
      <c r="H4" s="30">
        <f>IF(N(B3)=0,"",EDATE(DATE(YEAR(B3),MONTH(B3),1),2))</f>
        <v/>
      </c>
      <c r="I4" s="6" t="n"/>
      <c r="J4" s="30">
        <f>IF(N(B3)=0,"",EDATE(DATE(YEAR(B3),MONTH(B3),1),3))</f>
        <v/>
      </c>
      <c r="K4" s="6" t="n"/>
      <c r="L4" s="30">
        <f>IF(N(B3)=0,"",EDATE(DATE(YEAR(B3),MONTH(B3),1),4))</f>
        <v/>
      </c>
      <c r="M4" s="6" t="n"/>
      <c r="N4" s="30">
        <f>IF(N(B3)=0,"",EDATE(DATE(YEAR(B3),MONTH(B3),1),5))</f>
        <v/>
      </c>
      <c r="O4" s="6" t="n"/>
      <c r="P4" s="30">
        <f>IF(N(B3)=0,"",EDATE(DATE(YEAR(B3),MONTH(B3),1),6))</f>
        <v/>
      </c>
      <c r="Q4" s="6" t="n"/>
      <c r="R4" s="30">
        <f>IF(N(B3)=0,"",EDATE(DATE(YEAR(B3),MONTH(B3),1),7))</f>
        <v/>
      </c>
      <c r="S4" s="6" t="n"/>
      <c r="T4" s="30">
        <f>IF(N(B3)=0,"",EDATE(DATE(YEAR(B3),MONTH(B3),1),8))</f>
        <v/>
      </c>
      <c r="U4" s="6" t="n"/>
      <c r="V4" s="30">
        <f>IF(N(B3)=0,"",EDATE(DATE(YEAR(B3),MONTH(B3),1),9))</f>
        <v/>
      </c>
      <c r="W4" s="6" t="n"/>
      <c r="X4" s="30">
        <f>IF(N(B3)=0,"",EDATE(DATE(YEAR(B3),MONTH(B3),1),10))</f>
        <v/>
      </c>
      <c r="Y4" s="6" t="n"/>
      <c r="Z4" s="30">
        <f>IF(N(B3)=0,"",EDATE(DATE(YEAR(B3),MONTH(B3),1),11))</f>
        <v/>
      </c>
      <c r="AA4" s="6" t="n"/>
      <c r="AB4" s="20" t="inlineStr">
        <is>
          <t>비 고</t>
        </is>
      </c>
    </row>
    <row r="5" ht="15" customHeight="1">
      <c r="A5" s="6" t="n"/>
      <c r="B5" s="6" t="n"/>
      <c r="C5" s="6" t="n"/>
      <c r="D5" s="31" t="inlineStr">
        <is>
          <t>상</t>
        </is>
      </c>
      <c r="E5" s="31" t="inlineStr">
        <is>
          <t>하</t>
        </is>
      </c>
      <c r="F5" s="31" t="inlineStr">
        <is>
          <t>상</t>
        </is>
      </c>
      <c r="G5" s="31" t="inlineStr">
        <is>
          <t>하</t>
        </is>
      </c>
      <c r="H5" s="31" t="inlineStr">
        <is>
          <t>상</t>
        </is>
      </c>
      <c r="I5" s="31" t="inlineStr">
        <is>
          <t>하</t>
        </is>
      </c>
      <c r="J5" s="31" t="inlineStr">
        <is>
          <t>상</t>
        </is>
      </c>
      <c r="K5" s="31" t="inlineStr">
        <is>
          <t>하</t>
        </is>
      </c>
      <c r="L5" s="31" t="inlineStr">
        <is>
          <t>상</t>
        </is>
      </c>
      <c r="M5" s="31" t="inlineStr">
        <is>
          <t>하</t>
        </is>
      </c>
      <c r="N5" s="31" t="inlineStr">
        <is>
          <t>상</t>
        </is>
      </c>
      <c r="O5" s="31" t="inlineStr">
        <is>
          <t>하</t>
        </is>
      </c>
      <c r="P5" s="31" t="inlineStr">
        <is>
          <t>상</t>
        </is>
      </c>
      <c r="Q5" s="31" t="inlineStr">
        <is>
          <t>하</t>
        </is>
      </c>
      <c r="R5" s="31" t="inlineStr">
        <is>
          <t>상</t>
        </is>
      </c>
      <c r="S5" s="31" t="inlineStr">
        <is>
          <t>하</t>
        </is>
      </c>
      <c r="T5" s="31" t="inlineStr">
        <is>
          <t>상</t>
        </is>
      </c>
      <c r="U5" s="31" t="inlineStr">
        <is>
          <t>하</t>
        </is>
      </c>
      <c r="V5" s="31" t="inlineStr">
        <is>
          <t>상</t>
        </is>
      </c>
      <c r="W5" s="31" t="inlineStr">
        <is>
          <t>하</t>
        </is>
      </c>
      <c r="X5" s="31" t="inlineStr">
        <is>
          <t>상</t>
        </is>
      </c>
      <c r="Y5" s="31" t="inlineStr">
        <is>
          <t>하</t>
        </is>
      </c>
      <c r="Z5" s="31" t="inlineStr">
        <is>
          <t>상</t>
        </is>
      </c>
      <c r="AA5" s="31" t="inlineStr">
        <is>
          <t>하</t>
        </is>
      </c>
      <c r="AB5" s="6" t="n"/>
    </row>
    <row r="6" hidden="1" ht="12" customHeight="1">
      <c r="D6" s="32">
        <f>IF(N(B3)=0,"",EDATE(DATE(YEAR(B3),MONTH(B3),1),0))</f>
        <v/>
      </c>
      <c r="E6" s="32">
        <f>IF(N(B3)=0,"",EDATE(DATE(YEAR(B3),MONTH(B3),1),0)+15)</f>
        <v/>
      </c>
      <c r="F6" s="32">
        <f>IF(N(B3)=0,"",EDATE(DATE(YEAR(B3),MONTH(B3),1),1))</f>
        <v/>
      </c>
      <c r="G6" s="32">
        <f>IF(N(B3)=0,"",EDATE(DATE(YEAR(B3),MONTH(B3),1),1)+15)</f>
        <v/>
      </c>
      <c r="H6" s="32">
        <f>IF(N(B3)=0,"",EDATE(DATE(YEAR(B3),MONTH(B3),1),2))</f>
        <v/>
      </c>
      <c r="I6" s="32">
        <f>IF(N(B3)=0,"",EDATE(DATE(YEAR(B3),MONTH(B3),1),2)+15)</f>
        <v/>
      </c>
      <c r="J6" s="32">
        <f>IF(N(B3)=0,"",EDATE(DATE(YEAR(B3),MONTH(B3),1),3))</f>
        <v/>
      </c>
      <c r="K6" s="32">
        <f>IF(N(B3)=0,"",EDATE(DATE(YEAR(B3),MONTH(B3),1),3)+15)</f>
        <v/>
      </c>
      <c r="L6" s="32">
        <f>IF(N(B3)=0,"",EDATE(DATE(YEAR(B3),MONTH(B3),1),4))</f>
        <v/>
      </c>
      <c r="M6" s="32">
        <f>IF(N(B3)=0,"",EDATE(DATE(YEAR(B3),MONTH(B3),1),4)+15)</f>
        <v/>
      </c>
      <c r="N6" s="32">
        <f>IF(N(B3)=0,"",EDATE(DATE(YEAR(B3),MONTH(B3),1),5))</f>
        <v/>
      </c>
      <c r="O6" s="32">
        <f>IF(N(B3)=0,"",EDATE(DATE(YEAR(B3),MONTH(B3),1),5)+15)</f>
        <v/>
      </c>
      <c r="P6" s="32">
        <f>IF(N(B3)=0,"",EDATE(DATE(YEAR(B3),MONTH(B3),1),6))</f>
        <v/>
      </c>
      <c r="Q6" s="32">
        <f>IF(N(B3)=0,"",EDATE(DATE(YEAR(B3),MONTH(B3),1),6)+15)</f>
        <v/>
      </c>
      <c r="R6" s="32">
        <f>IF(N(B3)=0,"",EDATE(DATE(YEAR(B3),MONTH(B3),1),7))</f>
        <v/>
      </c>
      <c r="S6" s="32">
        <f>IF(N(B3)=0,"",EDATE(DATE(YEAR(B3),MONTH(B3),1),7)+15)</f>
        <v/>
      </c>
      <c r="T6" s="32">
        <f>IF(N(B3)=0,"",EDATE(DATE(YEAR(B3),MONTH(B3),1),8))</f>
        <v/>
      </c>
      <c r="U6" s="32">
        <f>IF(N(B3)=0,"",EDATE(DATE(YEAR(B3),MONTH(B3),1),8)+15)</f>
        <v/>
      </c>
      <c r="V6" s="32">
        <f>IF(N(B3)=0,"",EDATE(DATE(YEAR(B3),MONTH(B3),1),9))</f>
        <v/>
      </c>
      <c r="W6" s="32">
        <f>IF(N(B3)=0,"",EDATE(DATE(YEAR(B3),MONTH(B3),1),9)+15)</f>
        <v/>
      </c>
      <c r="X6" s="32">
        <f>IF(N(B3)=0,"",EDATE(DATE(YEAR(B3),MONTH(B3),1),10))</f>
        <v/>
      </c>
      <c r="Y6" s="32">
        <f>IF(N(B3)=0,"",EDATE(DATE(YEAR(B3),MONTH(B3),1),10)+15)</f>
        <v/>
      </c>
      <c r="Z6" s="32">
        <f>IF(N(B3)=0,"",EDATE(DATE(YEAR(B3),MONTH(B3),1),11))</f>
        <v/>
      </c>
      <c r="AA6" s="32">
        <f>IF(N(B3)=0,"",EDATE(DATE(YEAR(B3),MONTH(B3),1),11)+15)</f>
        <v/>
      </c>
    </row>
    <row r="7" hidden="1" ht="12" customHeight="1">
      <c r="D7" s="32">
        <f>IF(N(B3)=0,"",EDATE(DATE(YEAR(B3),MONTH(B3),1),0)+14)</f>
        <v/>
      </c>
      <c r="E7" s="32">
        <f>IF(N(B3)=0,"",EDATE(DATE(YEAR(B3),MONTH(B3),1),1)-1)</f>
        <v/>
      </c>
      <c r="F7" s="32">
        <f>IF(N(B3)=0,"",EDATE(DATE(YEAR(B3),MONTH(B3),1),1)+14)</f>
        <v/>
      </c>
      <c r="G7" s="32">
        <f>IF(N(B3)=0,"",EDATE(DATE(YEAR(B3),MONTH(B3),1),2)-1)</f>
        <v/>
      </c>
      <c r="H7" s="32">
        <f>IF(N(B3)=0,"",EDATE(DATE(YEAR(B3),MONTH(B3),1),2)+14)</f>
        <v/>
      </c>
      <c r="I7" s="32">
        <f>IF(N(B3)=0,"",EDATE(DATE(YEAR(B3),MONTH(B3),1),3)-1)</f>
        <v/>
      </c>
      <c r="J7" s="32">
        <f>IF(N(B3)=0,"",EDATE(DATE(YEAR(B3),MONTH(B3),1),3)+14)</f>
        <v/>
      </c>
      <c r="K7" s="32">
        <f>IF(N(B3)=0,"",EDATE(DATE(YEAR(B3),MONTH(B3),1),4)-1)</f>
        <v/>
      </c>
      <c r="L7" s="32">
        <f>IF(N(B3)=0,"",EDATE(DATE(YEAR(B3),MONTH(B3),1),4)+14)</f>
        <v/>
      </c>
      <c r="M7" s="32">
        <f>IF(N(B3)=0,"",EDATE(DATE(YEAR(B3),MONTH(B3),1),5)-1)</f>
        <v/>
      </c>
      <c r="N7" s="32">
        <f>IF(N(B3)=0,"",EDATE(DATE(YEAR(B3),MONTH(B3),1),5)+14)</f>
        <v/>
      </c>
      <c r="O7" s="32">
        <f>IF(N(B3)=0,"",EDATE(DATE(YEAR(B3),MONTH(B3),1),6)-1)</f>
        <v/>
      </c>
      <c r="P7" s="32">
        <f>IF(N(B3)=0,"",EDATE(DATE(YEAR(B3),MONTH(B3),1),6)+14)</f>
        <v/>
      </c>
      <c r="Q7" s="32">
        <f>IF(N(B3)=0,"",EDATE(DATE(YEAR(B3),MONTH(B3),1),7)-1)</f>
        <v/>
      </c>
      <c r="R7" s="32">
        <f>IF(N(B3)=0,"",EDATE(DATE(YEAR(B3),MONTH(B3),1),7)+14)</f>
        <v/>
      </c>
      <c r="S7" s="32">
        <f>IF(N(B3)=0,"",EDATE(DATE(YEAR(B3),MONTH(B3),1),8)-1)</f>
        <v/>
      </c>
      <c r="T7" s="32">
        <f>IF(N(B3)=0,"",EDATE(DATE(YEAR(B3),MONTH(B3),1),8)+14)</f>
        <v/>
      </c>
      <c r="U7" s="32">
        <f>IF(N(B3)=0,"",EDATE(DATE(YEAR(B3),MONTH(B3),1),9)-1)</f>
        <v/>
      </c>
      <c r="V7" s="32">
        <f>IF(N(B3)=0,"",EDATE(DATE(YEAR(B3),MONTH(B3),1),9)+14)</f>
        <v/>
      </c>
      <c r="W7" s="32">
        <f>IF(N(B3)=0,"",EDATE(DATE(YEAR(B3),MONTH(B3),1),10)-1)</f>
        <v/>
      </c>
      <c r="X7" s="32">
        <f>IF(N(B3)=0,"",EDATE(DATE(YEAR(B3),MONTH(B3),1),10)+14)</f>
        <v/>
      </c>
      <c r="Y7" s="32">
        <f>IF(N(B3)=0,"",EDATE(DATE(YEAR(B3),MONTH(B3),1),11)-1)</f>
        <v/>
      </c>
      <c r="Z7" s="32">
        <f>IF(N(B3)=0,"",EDATE(DATE(YEAR(B3),MONTH(B3),1),11)+14)</f>
        <v/>
      </c>
      <c r="AA7" s="32">
        <f>IF(N(B3)=0,"",EDATE(DATE(YEAR(B3),MONTH(B3),1),12)-1)</f>
        <v/>
      </c>
    </row>
    <row r="8" ht="26" customHeight="1">
      <c r="A8" s="33" t="inlineStr">
        <is>
          <t>오탁방지막 제작</t>
        </is>
      </c>
      <c r="B8" s="34" t="n">
        <v>46113</v>
      </c>
      <c r="C8" s="34" t="n">
        <v>46132</v>
      </c>
      <c r="D8" s="35" t="inlineStr"/>
      <c r="E8" s="35" t="inlineStr"/>
      <c r="F8" s="35" t="inlineStr"/>
      <c r="G8" s="35" t="inlineStr"/>
      <c r="H8" s="35" t="inlineStr"/>
      <c r="I8" s="35" t="inlineStr"/>
      <c r="J8" s="35" t="inlineStr"/>
      <c r="K8" s="35" t="inlineStr"/>
      <c r="L8" s="35" t="inlineStr"/>
      <c r="M8" s="35" t="inlineStr"/>
      <c r="N8" s="35" t="inlineStr"/>
      <c r="O8" s="35" t="inlineStr"/>
      <c r="P8" s="35" t="inlineStr"/>
      <c r="Q8" s="35" t="inlineStr"/>
      <c r="R8" s="35" t="inlineStr"/>
      <c r="S8" s="35" t="inlineStr"/>
      <c r="T8" s="35" t="inlineStr"/>
      <c r="U8" s="35" t="inlineStr"/>
      <c r="V8" s="35" t="inlineStr"/>
      <c r="W8" s="35" t="inlineStr"/>
      <c r="X8" s="35" t="inlineStr"/>
      <c r="Y8" s="35" t="inlineStr"/>
      <c r="Z8" s="35" t="inlineStr"/>
      <c r="AA8" s="35" t="inlineStr"/>
      <c r="AB8" s="36" t="n"/>
    </row>
    <row r="9" ht="26" customHeight="1">
      <c r="A9" s="33" t="inlineStr">
        <is>
          <t>닻(앵커) 제작</t>
        </is>
      </c>
      <c r="B9" s="34" t="n">
        <v>46113</v>
      </c>
      <c r="C9" s="34" t="n">
        <v>46132</v>
      </c>
      <c r="D9" s="35" t="inlineStr"/>
      <c r="E9" s="35" t="inlineStr"/>
      <c r="F9" s="35" t="inlineStr"/>
      <c r="G9" s="35" t="inlineStr"/>
      <c r="H9" s="35" t="inlineStr"/>
      <c r="I9" s="35" t="inlineStr"/>
      <c r="J9" s="35" t="inlineStr"/>
      <c r="K9" s="35" t="inlineStr"/>
      <c r="L9" s="35" t="inlineStr"/>
      <c r="M9" s="35" t="inlineStr"/>
      <c r="N9" s="35" t="inlineStr"/>
      <c r="O9" s="35" t="inlineStr"/>
      <c r="P9" s="35" t="inlineStr"/>
      <c r="Q9" s="35" t="inlineStr"/>
      <c r="R9" s="35" t="inlineStr"/>
      <c r="S9" s="35" t="inlineStr"/>
      <c r="T9" s="35" t="inlineStr"/>
      <c r="U9" s="35" t="inlineStr"/>
      <c r="V9" s="35" t="inlineStr"/>
      <c r="W9" s="35" t="inlineStr"/>
      <c r="X9" s="35" t="inlineStr"/>
      <c r="Y9" s="35" t="inlineStr"/>
      <c r="Z9" s="35" t="inlineStr"/>
      <c r="AA9" s="35" t="inlineStr"/>
      <c r="AB9" s="36" t="n"/>
    </row>
    <row r="10" ht="26" customHeight="1">
      <c r="A10" s="33" t="inlineStr">
        <is>
          <t>오탁방지막 설치</t>
        </is>
      </c>
      <c r="B10" s="34" t="n">
        <v>46133</v>
      </c>
      <c r="C10" s="34" t="n">
        <v>46157</v>
      </c>
      <c r="D10" s="35" t="inlineStr"/>
      <c r="E10" s="35" t="inlineStr"/>
      <c r="F10" s="35" t="inlineStr"/>
      <c r="G10" s="35" t="inlineStr"/>
      <c r="H10" s="35" t="inlineStr"/>
      <c r="I10" s="35" t="inlineStr"/>
      <c r="J10" s="35" t="inlineStr"/>
      <c r="K10" s="35" t="inlineStr"/>
      <c r="L10" s="35" t="inlineStr"/>
      <c r="M10" s="35" t="inlineStr"/>
      <c r="N10" s="35" t="inlineStr"/>
      <c r="O10" s="35" t="inlineStr"/>
      <c r="P10" s="35" t="inlineStr"/>
      <c r="Q10" s="35" t="inlineStr"/>
      <c r="R10" s="35" t="inlineStr"/>
      <c r="S10" s="35" t="inlineStr"/>
      <c r="T10" s="35" t="inlineStr"/>
      <c r="U10" s="35" t="inlineStr"/>
      <c r="V10" s="35" t="inlineStr"/>
      <c r="W10" s="35" t="inlineStr"/>
      <c r="X10" s="35" t="inlineStr"/>
      <c r="Y10" s="35" t="inlineStr"/>
      <c r="Z10" s="35" t="inlineStr"/>
      <c r="AA10" s="35" t="inlineStr"/>
      <c r="AB10" s="36" t="n"/>
    </row>
    <row r="11" ht="26" customHeight="1">
      <c r="A11" s="33" t="inlineStr">
        <is>
          <t>닻(앵커) 설치</t>
        </is>
      </c>
      <c r="B11" s="34" t="n">
        <v>46133</v>
      </c>
      <c r="C11" s="34" t="n">
        <v>46157</v>
      </c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35" t="inlineStr"/>
      <c r="N11" s="35" t="inlineStr"/>
      <c r="O11" s="35" t="inlineStr"/>
      <c r="P11" s="35" t="inlineStr"/>
      <c r="Q11" s="35" t="inlineStr"/>
      <c r="R11" s="35" t="inlineStr"/>
      <c r="S11" s="35" t="inlineStr"/>
      <c r="T11" s="35" t="inlineStr"/>
      <c r="U11" s="35" t="inlineStr"/>
      <c r="V11" s="35" t="inlineStr"/>
      <c r="W11" s="35" t="inlineStr"/>
      <c r="X11" s="35" t="inlineStr"/>
      <c r="Y11" s="35" t="inlineStr"/>
      <c r="Z11" s="35" t="inlineStr"/>
      <c r="AA11" s="35" t="inlineStr"/>
      <c r="AB11" s="36" t="n"/>
    </row>
    <row r="12" ht="26" customHeight="1">
      <c r="A12" s="33" t="inlineStr">
        <is>
          <t>유지보수(월 1회 점검)</t>
        </is>
      </c>
      <c r="B12" s="34" t="n">
        <v>46158</v>
      </c>
      <c r="C12" s="34" t="n">
        <v>46446</v>
      </c>
      <c r="D12" s="35" t="inlineStr"/>
      <c r="E12" s="35" t="inlineStr"/>
      <c r="F12" s="35" t="inlineStr"/>
      <c r="G12" s="35" t="inlineStr"/>
      <c r="H12" s="35" t="inlineStr"/>
      <c r="I12" s="35" t="inlineStr"/>
      <c r="J12" s="35" t="inlineStr"/>
      <c r="K12" s="35" t="inlineStr"/>
      <c r="L12" s="35" t="inlineStr"/>
      <c r="M12" s="35" t="inlineStr"/>
      <c r="N12" s="35" t="inlineStr"/>
      <c r="O12" s="35" t="inlineStr"/>
      <c r="P12" s="35" t="inlineStr"/>
      <c r="Q12" s="35" t="inlineStr"/>
      <c r="R12" s="35" t="inlineStr"/>
      <c r="S12" s="35" t="inlineStr"/>
      <c r="T12" s="35" t="inlineStr"/>
      <c r="U12" s="35" t="inlineStr"/>
      <c r="V12" s="35" t="inlineStr"/>
      <c r="W12" s="35" t="inlineStr"/>
      <c r="X12" s="35" t="inlineStr"/>
      <c r="Y12" s="35" t="inlineStr"/>
      <c r="Z12" s="35" t="inlineStr"/>
      <c r="AA12" s="35" t="inlineStr"/>
      <c r="AB12" s="36" t="inlineStr">
        <is>
          <t>월 1회</t>
        </is>
      </c>
    </row>
    <row r="13" ht="26" customHeight="1">
      <c r="A13" s="33" t="inlineStr">
        <is>
          <t>오탁방지막 철수</t>
        </is>
      </c>
      <c r="B13" s="34" t="n">
        <v>46447</v>
      </c>
      <c r="C13" s="34" t="n">
        <v>46461</v>
      </c>
      <c r="D13" s="35" t="inlineStr"/>
      <c r="E13" s="35" t="inlineStr"/>
      <c r="F13" s="35" t="inlineStr"/>
      <c r="G13" s="35" t="inlineStr"/>
      <c r="H13" s="35" t="inlineStr"/>
      <c r="I13" s="35" t="inlineStr"/>
      <c r="J13" s="35" t="inlineStr"/>
      <c r="K13" s="35" t="inlineStr"/>
      <c r="L13" s="35" t="inlineStr"/>
      <c r="M13" s="35" t="inlineStr"/>
      <c r="N13" s="35" t="inlineStr"/>
      <c r="O13" s="35" t="inlineStr"/>
      <c r="P13" s="35" t="inlineStr"/>
      <c r="Q13" s="35" t="inlineStr"/>
      <c r="R13" s="35" t="inlineStr"/>
      <c r="S13" s="35" t="inlineStr"/>
      <c r="T13" s="35" t="inlineStr"/>
      <c r="U13" s="35" t="inlineStr"/>
      <c r="V13" s="35" t="inlineStr"/>
      <c r="W13" s="35" t="inlineStr"/>
      <c r="X13" s="35" t="inlineStr"/>
      <c r="Y13" s="35" t="inlineStr"/>
      <c r="Z13" s="35" t="inlineStr"/>
      <c r="AA13" s="35" t="inlineStr"/>
      <c r="AB13" s="36" t="n"/>
    </row>
    <row r="14" ht="26" customHeight="1">
      <c r="A14" s="33" t="n"/>
      <c r="B14" s="34" t="n"/>
      <c r="C14" s="34" t="n"/>
      <c r="D14" s="35" t="inlineStr"/>
      <c r="E14" s="35" t="inlineStr"/>
      <c r="F14" s="35" t="inlineStr"/>
      <c r="G14" s="35" t="inlineStr"/>
      <c r="H14" s="35" t="inlineStr"/>
      <c r="I14" s="35" t="inlineStr"/>
      <c r="J14" s="35" t="inlineStr"/>
      <c r="K14" s="35" t="inlineStr"/>
      <c r="L14" s="35" t="inlineStr"/>
      <c r="M14" s="35" t="inlineStr"/>
      <c r="N14" s="35" t="inlineStr"/>
      <c r="O14" s="35" t="inlineStr"/>
      <c r="P14" s="35" t="inlineStr"/>
      <c r="Q14" s="35" t="inlineStr"/>
      <c r="R14" s="35" t="inlineStr"/>
      <c r="S14" s="35" t="inlineStr"/>
      <c r="T14" s="35" t="inlineStr"/>
      <c r="U14" s="35" t="inlineStr"/>
      <c r="V14" s="35" t="inlineStr"/>
      <c r="W14" s="35" t="inlineStr"/>
      <c r="X14" s="35" t="inlineStr"/>
      <c r="Y14" s="35" t="inlineStr"/>
      <c r="Z14" s="35" t="inlineStr"/>
      <c r="AA14" s="35" t="inlineStr"/>
      <c r="AB14" s="36" t="n"/>
    </row>
    <row r="15" ht="26" customHeight="1">
      <c r="A15" s="33" t="n"/>
      <c r="B15" s="34" t="n"/>
      <c r="C15" s="34" t="n"/>
      <c r="D15" s="35" t="inlineStr"/>
      <c r="E15" s="35" t="inlineStr"/>
      <c r="F15" s="35" t="inlineStr"/>
      <c r="G15" s="35" t="inlineStr"/>
      <c r="H15" s="35" t="inlineStr"/>
      <c r="I15" s="35" t="inlineStr"/>
      <c r="J15" s="35" t="inlineStr"/>
      <c r="K15" s="35" t="inlineStr"/>
      <c r="L15" s="35" t="inlineStr"/>
      <c r="M15" s="35" t="inlineStr"/>
      <c r="N15" s="35" t="inlineStr"/>
      <c r="O15" s="35" t="inlineStr"/>
      <c r="P15" s="35" t="inlineStr"/>
      <c r="Q15" s="35" t="inlineStr"/>
      <c r="R15" s="35" t="inlineStr"/>
      <c r="S15" s="35" t="inlineStr"/>
      <c r="T15" s="35" t="inlineStr"/>
      <c r="U15" s="35" t="inlineStr"/>
      <c r="V15" s="35" t="inlineStr"/>
      <c r="W15" s="35" t="inlineStr"/>
      <c r="X15" s="35" t="inlineStr"/>
      <c r="Y15" s="35" t="inlineStr"/>
      <c r="Z15" s="35" t="inlineStr"/>
      <c r="AA15" s="35" t="inlineStr"/>
      <c r="AB15" s="36" t="n"/>
    </row>
    <row r="16" ht="16" customHeight="1">
      <c r="A16" s="10" t="inlineStr">
        <is>
          <t>※ 오랫동안 설치해 두어 오탁방지막의 평균 수명(2~3년)을 넘기면 다시 설치합니다.</t>
        </is>
      </c>
    </row>
  </sheetData>
  <mergeCells count="22">
    <mergeCell ref="A2:AB2"/>
    <mergeCell ref="F4:G4"/>
    <mergeCell ref="P4:Q4"/>
    <mergeCell ref="C4:C5"/>
    <mergeCell ref="B3:C3"/>
    <mergeCell ref="K1:AB1"/>
    <mergeCell ref="AB4:AB5"/>
    <mergeCell ref="H4:I4"/>
    <mergeCell ref="D3:AB3"/>
    <mergeCell ref="R4:S4"/>
    <mergeCell ref="T4:U4"/>
    <mergeCell ref="V4:W4"/>
    <mergeCell ref="A1:J1"/>
    <mergeCell ref="J4:K4"/>
    <mergeCell ref="L4:M4"/>
    <mergeCell ref="A4:A5"/>
    <mergeCell ref="D4:E4"/>
    <mergeCell ref="X4:Y4"/>
    <mergeCell ref="A16:AB16"/>
    <mergeCell ref="Z4:AA4"/>
    <mergeCell ref="B4:B5"/>
    <mergeCell ref="N4:O4"/>
  </mergeCells>
  <conditionalFormatting sqref="D8:AA15">
    <cfRule type="expression" priority="1" dxfId="1">
      <formula>AND(N($B8)&gt;0,N($C8)&gt;=N($B8),$B8&lt;=D$7,$C8&gt;=D$6)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3.  조 직 도</t>
        </is>
      </c>
    </row>
    <row r="4" ht="10" customHeight="1"/>
    <row r="5" ht="24" customHeight="1">
      <c r="A5" s="4" t="inlineStr"/>
      <c r="B5" s="20" t="inlineStr">
        <is>
          <t>직  책</t>
        </is>
      </c>
      <c r="C5" s="6" t="n"/>
      <c r="D5" s="6" t="n"/>
      <c r="E5" s="20" t="inlineStr">
        <is>
          <t>성  명</t>
        </is>
      </c>
      <c r="F5" s="6" t="n"/>
      <c r="G5" s="6" t="n"/>
      <c r="H5" s="20" t="inlineStr">
        <is>
          <t>맡은 일</t>
        </is>
      </c>
      <c r="I5" s="6" t="n"/>
      <c r="J5" s="6" t="n"/>
      <c r="K5" s="6" t="n"/>
      <c r="L5" s="4" t="inlineStr"/>
    </row>
    <row r="6" ht="26" customHeight="1">
      <c r="A6" s="4" t="inlineStr"/>
      <c r="B6" s="5" t="inlineStr">
        <is>
          <t>공사 과장</t>
        </is>
      </c>
      <c r="C6" s="6" t="n"/>
      <c r="D6" s="6" t="n"/>
      <c r="E6" s="7" t="inlineStr">
        <is>
          <t>김철수</t>
        </is>
      </c>
      <c r="F6" s="6" t="n"/>
      <c r="G6" s="6" t="n"/>
      <c r="H6" s="37" t="inlineStr">
        <is>
          <t>공사 총괄 · 감독(감리) 협의</t>
        </is>
      </c>
      <c r="I6" s="6" t="n"/>
      <c r="J6" s="6" t="n"/>
      <c r="K6" s="6" t="n"/>
      <c r="L6" s="4" t="inlineStr"/>
    </row>
    <row r="7" ht="26" customHeight="1">
      <c r="A7" s="4" t="inlineStr"/>
      <c r="B7" s="5" t="inlineStr">
        <is>
          <t>작업반 소장</t>
        </is>
      </c>
      <c r="C7" s="6" t="n"/>
      <c r="D7" s="6" t="n"/>
      <c r="E7" s="7" t="inlineStr">
        <is>
          <t>이반장</t>
        </is>
      </c>
      <c r="F7" s="6" t="n"/>
      <c r="G7" s="6" t="n"/>
      <c r="H7" s="37" t="inlineStr">
        <is>
          <t>작업 지휘 · 안전</t>
        </is>
      </c>
      <c r="I7" s="6" t="n"/>
      <c r="J7" s="6" t="n"/>
      <c r="K7" s="6" t="n"/>
      <c r="L7" s="4" t="inlineStr"/>
    </row>
    <row r="8" ht="26" customHeight="1">
      <c r="A8" s="4" t="inlineStr"/>
      <c r="B8" s="5" t="inlineStr">
        <is>
          <t>작업반장</t>
        </is>
      </c>
      <c r="C8" s="6" t="n"/>
      <c r="D8" s="6" t="n"/>
      <c r="E8" s="7" t="inlineStr">
        <is>
          <t>박반장</t>
        </is>
      </c>
      <c r="F8" s="6" t="n"/>
      <c r="G8" s="6" t="n"/>
      <c r="H8" s="37" t="inlineStr">
        <is>
          <t>작업 배치 · 자재</t>
        </is>
      </c>
      <c r="I8" s="6" t="n"/>
      <c r="J8" s="6" t="n"/>
      <c r="K8" s="6" t="n"/>
      <c r="L8" s="4" t="inlineStr"/>
    </row>
    <row r="9" ht="26" customHeight="1">
      <c r="A9" s="4" t="inlineStr"/>
      <c r="B9" s="5" t="inlineStr">
        <is>
          <t>잠수사</t>
        </is>
      </c>
      <c r="C9" s="6" t="n"/>
      <c r="D9" s="6" t="n"/>
      <c r="E9" s="7" t="inlineStr">
        <is>
          <t>최잠수</t>
        </is>
      </c>
      <c r="F9" s="6" t="n"/>
      <c r="G9" s="6" t="n"/>
      <c r="H9" s="37" t="inlineStr">
        <is>
          <t>수중 설치 · 점검</t>
        </is>
      </c>
      <c r="I9" s="6" t="n"/>
      <c r="J9" s="6" t="n"/>
      <c r="K9" s="6" t="n"/>
      <c r="L9" s="4" t="inlineStr"/>
    </row>
    <row r="10" ht="26" customHeight="1">
      <c r="A10" s="4" t="inlineStr"/>
      <c r="B10" s="5" t="inlineStr">
        <is>
          <t>잠수사</t>
        </is>
      </c>
      <c r="C10" s="6" t="n"/>
      <c r="D10" s="6" t="n"/>
      <c r="E10" s="7" t="inlineStr">
        <is>
          <t>정잠수</t>
        </is>
      </c>
      <c r="F10" s="6" t="n"/>
      <c r="G10" s="6" t="n"/>
      <c r="H10" s="37" t="inlineStr">
        <is>
          <t>수중 설치 · 점검</t>
        </is>
      </c>
      <c r="I10" s="6" t="n"/>
      <c r="J10" s="6" t="n"/>
      <c r="K10" s="6" t="n"/>
      <c r="L10" s="4" t="inlineStr"/>
    </row>
    <row r="11" ht="26" customHeight="1">
      <c r="A11" s="4" t="inlineStr"/>
      <c r="B11" s="5" t="inlineStr">
        <is>
          <t>특별인부</t>
        </is>
      </c>
      <c r="C11" s="6" t="n"/>
      <c r="D11" s="6" t="n"/>
      <c r="E11" s="7" t="inlineStr">
        <is>
          <t>6명</t>
        </is>
      </c>
      <c r="F11" s="6" t="n"/>
      <c r="G11" s="6" t="n"/>
      <c r="H11" s="37" t="inlineStr">
        <is>
          <t>육상 조립 · 운반 보조</t>
        </is>
      </c>
      <c r="I11" s="6" t="n"/>
      <c r="J11" s="6" t="n"/>
      <c r="K11" s="6" t="n"/>
      <c r="L11" s="4" t="inlineStr"/>
    </row>
    <row r="12" ht="14" customHeight="1"/>
    <row r="13" ht="30" customHeight="1">
      <c r="A13" s="4" t="inlineStr"/>
      <c r="E13" s="38" t="inlineStr">
        <is>
          <t>공사 과장</t>
        </is>
      </c>
      <c r="F13" s="6" t="n"/>
      <c r="G13" s="6" t="n"/>
      <c r="H13" s="6" t="n"/>
      <c r="I13" s="39" t="inlineStr"/>
    </row>
    <row r="14" ht="12" customHeight="1">
      <c r="A14" s="40" t="inlineStr">
        <is>
          <t>▼</t>
        </is>
      </c>
    </row>
    <row r="15" ht="30" customHeight="1">
      <c r="A15" s="4" t="inlineStr"/>
      <c r="E15" s="38" t="inlineStr">
        <is>
          <t>작업반 소장</t>
        </is>
      </c>
      <c r="F15" s="6" t="n"/>
      <c r="G15" s="6" t="n"/>
      <c r="H15" s="6" t="n"/>
      <c r="I15" s="39" t="inlineStr"/>
    </row>
    <row r="16" ht="12" customHeight="1">
      <c r="A16" s="40" t="inlineStr">
        <is>
          <t>▼</t>
        </is>
      </c>
    </row>
    <row r="17" ht="30" customHeight="1">
      <c r="A17" s="4" t="inlineStr"/>
      <c r="E17" s="38" t="inlineStr">
        <is>
          <t>작업반장</t>
        </is>
      </c>
      <c r="F17" s="6" t="n"/>
      <c r="G17" s="6" t="n"/>
      <c r="H17" s="6" t="n"/>
      <c r="I17" s="39" t="inlineStr"/>
    </row>
    <row r="18" ht="12" customHeight="1">
      <c r="A18" s="40" t="inlineStr">
        <is>
          <t>▼</t>
        </is>
      </c>
    </row>
    <row r="19" ht="30" customHeight="1">
      <c r="A19" s="4" t="inlineStr"/>
      <c r="E19" s="38" t="inlineStr">
        <is>
          <t>잠수사 · 특별인부</t>
        </is>
      </c>
      <c r="F19" s="6" t="n"/>
      <c r="G19" s="6" t="n"/>
      <c r="H19" s="6" t="n"/>
      <c r="I19" s="39" t="inlineStr"/>
    </row>
  </sheetData>
  <mergeCells count="39">
    <mergeCell ref="B11:D11"/>
    <mergeCell ref="E10:G10"/>
    <mergeCell ref="A16:L16"/>
    <mergeCell ref="A17:D17"/>
    <mergeCell ref="I17:L17"/>
    <mergeCell ref="B8:D8"/>
    <mergeCell ref="E9:G9"/>
    <mergeCell ref="A18:L18"/>
    <mergeCell ref="A19:D19"/>
    <mergeCell ref="A3:L3"/>
    <mergeCell ref="I19:L19"/>
    <mergeCell ref="E6:G6"/>
    <mergeCell ref="H5:K5"/>
    <mergeCell ref="A13:D13"/>
    <mergeCell ref="B10:D10"/>
    <mergeCell ref="I13:L13"/>
    <mergeCell ref="E11:G11"/>
    <mergeCell ref="H8:K8"/>
    <mergeCell ref="B9:D9"/>
    <mergeCell ref="A14:L14"/>
    <mergeCell ref="A15:D15"/>
    <mergeCell ref="I15:L15"/>
    <mergeCell ref="E7:G7"/>
    <mergeCell ref="B6:D6"/>
    <mergeCell ref="H10:K10"/>
    <mergeCell ref="G1:L1"/>
    <mergeCell ref="B5:D5"/>
    <mergeCell ref="E17:H17"/>
    <mergeCell ref="H9:K9"/>
    <mergeCell ref="H6:K6"/>
    <mergeCell ref="E19:H19"/>
    <mergeCell ref="B7:D7"/>
    <mergeCell ref="E13:H13"/>
    <mergeCell ref="E5:G5"/>
    <mergeCell ref="A1:F1"/>
    <mergeCell ref="H11:K11"/>
    <mergeCell ref="E8:G8"/>
    <mergeCell ref="E15:H15"/>
    <mergeCell ref="H7:K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6.  인원 · 장비 · 자재 투입계획</t>
        </is>
      </c>
    </row>
    <row r="4" ht="3" customHeight="1"/>
    <row r="5" ht="21" customHeight="1">
      <c r="A5" s="41" t="inlineStr">
        <is>
          <t>6.1 작업인원 투입계획</t>
        </is>
      </c>
    </row>
    <row r="6" ht="24" customHeight="1">
      <c r="A6" s="20" t="inlineStr">
        <is>
          <t>직  종</t>
        </is>
      </c>
      <c r="B6" s="6" t="n"/>
      <c r="C6" s="20" t="inlineStr">
        <is>
          <t>단위</t>
        </is>
      </c>
      <c r="D6" s="20" t="inlineStr">
        <is>
          <t>일투입</t>
        </is>
      </c>
      <c r="E6" s="20" t="inlineStr">
        <is>
          <t>투입일수</t>
        </is>
      </c>
      <c r="F6" s="6" t="n"/>
      <c r="G6" s="20" t="inlineStr">
        <is>
          <t>누  계</t>
        </is>
      </c>
      <c r="H6" s="6" t="n"/>
      <c r="I6" s="20" t="inlineStr">
        <is>
          <t>작 업 내 용</t>
        </is>
      </c>
      <c r="J6" s="6" t="n"/>
      <c r="K6" s="6" t="n"/>
      <c r="L6" s="6" t="n"/>
    </row>
    <row r="7" ht="24" customHeight="1">
      <c r="A7" s="7" t="inlineStr">
        <is>
          <t>관리</t>
        </is>
      </c>
      <c r="B7" s="6" t="n"/>
      <c r="C7" s="7" t="inlineStr">
        <is>
          <t>인</t>
        </is>
      </c>
      <c r="D7" s="48" t="n">
        <v>1</v>
      </c>
      <c r="E7" s="49" t="n">
        <v>40</v>
      </c>
      <c r="F7" s="6" t="n"/>
      <c r="G7" s="50">
        <f>IF(OR(N(D7)=0,N(E7)=0),"",D7*E7)</f>
        <v/>
      </c>
      <c r="H7" s="6" t="n"/>
      <c r="I7" s="24" t="inlineStr">
        <is>
          <t>현장 기술지도 및 안전관리</t>
        </is>
      </c>
      <c r="J7" s="6" t="n"/>
      <c r="K7" s="6" t="n"/>
      <c r="L7" s="6" t="n"/>
    </row>
    <row r="8" ht="24" customHeight="1">
      <c r="A8" s="7" t="inlineStr">
        <is>
          <t>반장</t>
        </is>
      </c>
      <c r="B8" s="6" t="n"/>
      <c r="C8" s="7" t="inlineStr">
        <is>
          <t>인</t>
        </is>
      </c>
      <c r="D8" s="48" t="n">
        <v>1</v>
      </c>
      <c r="E8" s="49" t="n">
        <v>40</v>
      </c>
      <c r="F8" s="6" t="n"/>
      <c r="G8" s="50">
        <f>IF(OR(N(D8)=0,N(E8)=0),"",D8*E8)</f>
        <v/>
      </c>
      <c r="H8" s="6" t="n"/>
      <c r="I8" s="24" t="inlineStr">
        <is>
          <t>현장관리 및 작업관리</t>
        </is>
      </c>
      <c r="J8" s="6" t="n"/>
      <c r="K8" s="6" t="n"/>
      <c r="L8" s="6" t="n"/>
    </row>
    <row r="9" ht="24" customHeight="1">
      <c r="A9" s="7" t="inlineStr">
        <is>
          <t>잠수사</t>
        </is>
      </c>
      <c r="B9" s="6" t="n"/>
      <c r="C9" s="7" t="inlineStr">
        <is>
          <t>인</t>
        </is>
      </c>
      <c r="D9" s="48" t="n">
        <v>2</v>
      </c>
      <c r="E9" s="49" t="n">
        <v>30</v>
      </c>
      <c r="F9" s="6" t="n"/>
      <c r="G9" s="50">
        <f>IF(OR(N(D9)=0,N(E9)=0),"",D9*E9)</f>
        <v/>
      </c>
      <c r="H9" s="6" t="n"/>
      <c r="I9" s="24" t="inlineStr">
        <is>
          <t>오탁방지막 설치 및 닻 설치</t>
        </is>
      </c>
      <c r="J9" s="6" t="n"/>
      <c r="K9" s="6" t="n"/>
      <c r="L9" s="6" t="n"/>
    </row>
    <row r="10" ht="24" customHeight="1">
      <c r="A10" s="7" t="inlineStr">
        <is>
          <t>특별인부</t>
        </is>
      </c>
      <c r="B10" s="6" t="n"/>
      <c r="C10" s="7" t="inlineStr">
        <is>
          <t>인</t>
        </is>
      </c>
      <c r="D10" s="48" t="n">
        <v>6</v>
      </c>
      <c r="E10" s="49" t="n">
        <v>40</v>
      </c>
      <c r="F10" s="6" t="n"/>
      <c r="G10" s="50">
        <f>IF(OR(N(D10)=0,N(E10)=0),"",D10*E10)</f>
        <v/>
      </c>
      <c r="H10" s="6" t="n"/>
      <c r="I10" s="24" t="inlineStr">
        <is>
          <t>오탁방지막 설치 및 닻 설치</t>
        </is>
      </c>
      <c r="J10" s="6" t="n"/>
      <c r="K10" s="6" t="n"/>
      <c r="L10" s="6" t="n"/>
    </row>
    <row r="11" ht="24" customHeight="1">
      <c r="A11" s="7" t="n"/>
      <c r="B11" s="6" t="n"/>
      <c r="C11" s="7" t="inlineStr">
        <is>
          <t>인</t>
        </is>
      </c>
      <c r="D11" s="48" t="n"/>
      <c r="E11" s="49" t="n"/>
      <c r="F11" s="6" t="n"/>
      <c r="G11" s="50">
        <f>IF(OR(N(D11)=0,N(E11)=0),"",D11*E11)</f>
        <v/>
      </c>
      <c r="H11" s="6" t="n"/>
      <c r="I11" s="24" t="n"/>
      <c r="J11" s="6" t="n"/>
      <c r="K11" s="6" t="n"/>
      <c r="L11" s="6" t="n"/>
    </row>
    <row r="12" ht="24" customHeight="1">
      <c r="A12" s="7" t="n"/>
      <c r="B12" s="6" t="n"/>
      <c r="C12" s="7" t="inlineStr">
        <is>
          <t>인</t>
        </is>
      </c>
      <c r="D12" s="48" t="n"/>
      <c r="E12" s="49" t="n"/>
      <c r="F12" s="6" t="n"/>
      <c r="G12" s="50">
        <f>IF(OR(N(D12)=0,N(E12)=0),"",D12*E12)</f>
        <v/>
      </c>
      <c r="H12" s="6" t="n"/>
      <c r="I12" s="24" t="n"/>
      <c r="J12" s="6" t="n"/>
      <c r="K12" s="6" t="n"/>
      <c r="L12" s="6" t="n"/>
    </row>
    <row r="13" ht="24" customHeight="1">
      <c r="A13" s="25" t="inlineStr">
        <is>
          <t>계</t>
        </is>
      </c>
      <c r="B13" s="6" t="n"/>
      <c r="C13" s="6" t="n"/>
      <c r="D13" s="6" t="n"/>
      <c r="E13" s="6" t="n"/>
      <c r="F13" s="6" t="n"/>
      <c r="G13" s="51">
        <f>IF(SUM(G7:G12)=0,"",SUM(G7:G12))</f>
        <v/>
      </c>
      <c r="H13" s="6" t="n"/>
      <c r="I13" s="25" t="inlineStr"/>
      <c r="J13" s="6" t="n"/>
      <c r="K13" s="6" t="n"/>
      <c r="L13" s="6" t="n"/>
    </row>
    <row r="14" ht="3" customHeight="1"/>
    <row r="15" ht="21" customHeight="1">
      <c r="A15" s="41" t="inlineStr">
        <is>
          <t>6.2 장비 투입계획</t>
        </is>
      </c>
    </row>
    <row r="16" ht="24" customHeight="1">
      <c r="A16" s="20" t="inlineStr">
        <is>
          <t>장 비 명</t>
        </is>
      </c>
      <c r="B16" s="6" t="n"/>
      <c r="C16" s="20" t="inlineStr">
        <is>
          <t>규  격</t>
        </is>
      </c>
      <c r="D16" s="6" t="n"/>
      <c r="E16" s="20" t="inlineStr">
        <is>
          <t>단위</t>
        </is>
      </c>
      <c r="F16" s="20" t="inlineStr">
        <is>
          <t>일투입</t>
        </is>
      </c>
      <c r="G16" s="20" t="inlineStr">
        <is>
          <t>투입일수</t>
        </is>
      </c>
      <c r="H16" s="6" t="n"/>
      <c r="I16" s="20" t="inlineStr">
        <is>
          <t>누  계</t>
        </is>
      </c>
      <c r="J16" s="6" t="n"/>
      <c r="K16" s="20" t="inlineStr">
        <is>
          <t>비  고</t>
        </is>
      </c>
      <c r="L16" s="6" t="n"/>
    </row>
    <row r="17" ht="24" customHeight="1">
      <c r="A17" s="7" t="inlineStr">
        <is>
          <t>바지(PONTOON)</t>
        </is>
      </c>
      <c r="B17" s="6" t="n"/>
      <c r="C17" s="7" t="inlineStr">
        <is>
          <t>5m×5m</t>
        </is>
      </c>
      <c r="D17" s="6" t="n"/>
      <c r="E17" s="7" t="inlineStr">
        <is>
          <t>대</t>
        </is>
      </c>
      <c r="F17" s="48" t="n">
        <v>1</v>
      </c>
      <c r="G17" s="49" t="n">
        <v>25</v>
      </c>
      <c r="H17" s="6" t="n"/>
      <c r="I17" s="52">
        <f>IF(OR(N(F17)=0,N(G17)=0),"",F17*G17)</f>
        <v/>
      </c>
      <c r="J17" s="6" t="n"/>
      <c r="K17" s="24" t="n"/>
      <c r="L17" s="6" t="n"/>
    </row>
    <row r="18" ht="24" customHeight="1">
      <c r="A18" s="7" t="inlineStr">
        <is>
          <t>예선</t>
        </is>
      </c>
      <c r="B18" s="6" t="n"/>
      <c r="C18" s="7" t="inlineStr">
        <is>
          <t>150HP</t>
        </is>
      </c>
      <c r="D18" s="6" t="n"/>
      <c r="E18" s="7" t="inlineStr">
        <is>
          <t>대</t>
        </is>
      </c>
      <c r="F18" s="48" t="n">
        <v>1</v>
      </c>
      <c r="G18" s="49" t="n">
        <v>25</v>
      </c>
      <c r="H18" s="6" t="n"/>
      <c r="I18" s="52">
        <f>IF(OR(N(F18)=0,N(G18)=0),"",F18*G18)</f>
        <v/>
      </c>
      <c r="J18" s="6" t="n"/>
      <c r="K18" s="24" t="n"/>
      <c r="L18" s="6" t="n"/>
    </row>
    <row r="19" ht="24" customHeight="1">
      <c r="A19" s="7" t="inlineStr">
        <is>
          <t>작업선</t>
        </is>
      </c>
      <c r="B19" s="6" t="n"/>
      <c r="C19" s="7" t="inlineStr">
        <is>
          <t>모터보트</t>
        </is>
      </c>
      <c r="D19" s="6" t="n"/>
      <c r="E19" s="7" t="inlineStr">
        <is>
          <t>대</t>
        </is>
      </c>
      <c r="F19" s="48" t="n">
        <v>1</v>
      </c>
      <c r="G19" s="49" t="n">
        <v>40</v>
      </c>
      <c r="H19" s="6" t="n"/>
      <c r="I19" s="52">
        <f>IF(OR(N(F19)=0,N(G19)=0),"",F19*G19)</f>
        <v/>
      </c>
      <c r="J19" s="6" t="n"/>
      <c r="K19" s="24" t="n"/>
      <c r="L19" s="6" t="n"/>
    </row>
    <row r="20" ht="24" customHeight="1">
      <c r="A20" s="7" t="inlineStr">
        <is>
          <t>크레인</t>
        </is>
      </c>
      <c r="B20" s="6" t="n"/>
      <c r="C20" s="7" t="inlineStr">
        <is>
          <t>25톤</t>
        </is>
      </c>
      <c r="D20" s="6" t="n"/>
      <c r="E20" s="7" t="inlineStr">
        <is>
          <t>대</t>
        </is>
      </c>
      <c r="F20" s="48" t="n">
        <v>1</v>
      </c>
      <c r="G20" s="49" t="n">
        <v>10</v>
      </c>
      <c r="H20" s="6" t="n"/>
      <c r="I20" s="52">
        <f>IF(OR(N(F20)=0,N(G20)=0),"",F20*G20)</f>
        <v/>
      </c>
      <c r="J20" s="6" t="n"/>
      <c r="K20" s="24" t="inlineStr">
        <is>
          <t>닻 상차</t>
        </is>
      </c>
      <c r="L20" s="6" t="n"/>
    </row>
    <row r="21" ht="24" customHeight="1">
      <c r="A21" s="7" t="inlineStr">
        <is>
          <t>카고트럭</t>
        </is>
      </c>
      <c r="B21" s="6" t="n"/>
      <c r="C21" s="7" t="inlineStr">
        <is>
          <t>11톤</t>
        </is>
      </c>
      <c r="D21" s="6" t="n"/>
      <c r="E21" s="7" t="inlineStr">
        <is>
          <t>대</t>
        </is>
      </c>
      <c r="F21" s="48" t="n">
        <v>1</v>
      </c>
      <c r="G21" s="49" t="n">
        <v>8</v>
      </c>
      <c r="H21" s="6" t="n"/>
      <c r="I21" s="52">
        <f>IF(OR(N(F21)=0,N(G21)=0),"",F21*G21)</f>
        <v/>
      </c>
      <c r="J21" s="6" t="n"/>
      <c r="K21" s="24" t="inlineStr">
        <is>
          <t>자재 운반</t>
        </is>
      </c>
      <c r="L21" s="6" t="n"/>
    </row>
    <row r="22" ht="24" customHeight="1">
      <c r="A22" s="7" t="n"/>
      <c r="B22" s="6" t="n"/>
      <c r="C22" s="7" t="n"/>
      <c r="D22" s="6" t="n"/>
      <c r="E22" s="7" t="inlineStr">
        <is>
          <t>대</t>
        </is>
      </c>
      <c r="F22" s="48" t="n"/>
      <c r="G22" s="49" t="n"/>
      <c r="H22" s="6" t="n"/>
      <c r="I22" s="52">
        <f>IF(OR(N(F22)=0,N(G22)=0),"",F22*G22)</f>
        <v/>
      </c>
      <c r="J22" s="6" t="n"/>
      <c r="K22" s="24" t="n"/>
      <c r="L22" s="6" t="n"/>
    </row>
    <row r="23" ht="24" customHeight="1">
      <c r="A23" s="25" t="inlineStr">
        <is>
          <t>계</t>
        </is>
      </c>
      <c r="B23" s="6" t="n"/>
      <c r="C23" s="6" t="n"/>
      <c r="D23" s="6" t="n"/>
      <c r="E23" s="6" t="n"/>
      <c r="F23" s="6" t="n"/>
      <c r="G23" s="6" t="n"/>
      <c r="H23" s="6" t="n"/>
      <c r="I23" s="53">
        <f>IF(SUM(I17:I22)=0,"",SUM(I17:I22))</f>
        <v/>
      </c>
      <c r="J23" s="6" t="n"/>
      <c r="K23" s="25" t="inlineStr"/>
      <c r="L23" s="6" t="n"/>
    </row>
    <row r="24" ht="3" customHeight="1"/>
    <row r="25" ht="21" customHeight="1">
      <c r="A25" s="41" t="inlineStr">
        <is>
          <t>6.3 자재</t>
        </is>
      </c>
    </row>
    <row r="26" ht="37" customHeight="1">
      <c r="A26" s="42" t="inlineStr">
        <is>
          <t>오탁방지막(막체) · 부체 · 체인 · 샤클 · 앵커(닻) · 와이어로프 — 수량은 1. 공사개요의 SPAN 수와 앵커 수를 따릅니다.</t>
        </is>
      </c>
    </row>
    <row r="27" ht="18" customHeight="1">
      <c r="A27" s="10" t="inlineStr">
        <is>
          <t>※ 작업 인원과 장비 투입은 현장 여건과 투입 날짜에 따라 바뀔 수 있습니다. 누계 = 일투입 × 투입일수.</t>
        </is>
      </c>
    </row>
  </sheetData>
  <mergeCells count="77">
    <mergeCell ref="G21:H21"/>
    <mergeCell ref="E8:F8"/>
    <mergeCell ref="A26:L26"/>
    <mergeCell ref="A7:B7"/>
    <mergeCell ref="I16:J16"/>
    <mergeCell ref="G18:H18"/>
    <mergeCell ref="I18:J18"/>
    <mergeCell ref="A13:F13"/>
    <mergeCell ref="A17:B17"/>
    <mergeCell ref="C17:D17"/>
    <mergeCell ref="A22:B22"/>
    <mergeCell ref="G20:H20"/>
    <mergeCell ref="I20:J20"/>
    <mergeCell ref="A19:B19"/>
    <mergeCell ref="C19:D19"/>
    <mergeCell ref="G22:H22"/>
    <mergeCell ref="A9:B9"/>
    <mergeCell ref="E12:F12"/>
    <mergeCell ref="G12:H12"/>
    <mergeCell ref="A11:B11"/>
    <mergeCell ref="A3:L3"/>
    <mergeCell ref="K21:L21"/>
    <mergeCell ref="I13:L13"/>
    <mergeCell ref="G7:H7"/>
    <mergeCell ref="A5:L5"/>
    <mergeCell ref="I6:L6"/>
    <mergeCell ref="I7:L7"/>
    <mergeCell ref="A8:B8"/>
    <mergeCell ref="I17:J17"/>
    <mergeCell ref="K17:L17"/>
    <mergeCell ref="G16:H16"/>
    <mergeCell ref="A10:B10"/>
    <mergeCell ref="I19:J19"/>
    <mergeCell ref="K19:L19"/>
    <mergeCell ref="C18:D18"/>
    <mergeCell ref="G9:H9"/>
    <mergeCell ref="K16:L16"/>
    <mergeCell ref="A25:L25"/>
    <mergeCell ref="G11:H11"/>
    <mergeCell ref="I10:L10"/>
    <mergeCell ref="C20:D20"/>
    <mergeCell ref="I9:L9"/>
    <mergeCell ref="C22:D22"/>
    <mergeCell ref="G13:H13"/>
    <mergeCell ref="I11:L11"/>
    <mergeCell ref="A12:B12"/>
    <mergeCell ref="I21:J21"/>
    <mergeCell ref="A21:B21"/>
    <mergeCell ref="E6:F6"/>
    <mergeCell ref="C21:D21"/>
    <mergeCell ref="I23:J23"/>
    <mergeCell ref="K23:L23"/>
    <mergeCell ref="A15:L15"/>
    <mergeCell ref="E7:F7"/>
    <mergeCell ref="A1:F1"/>
    <mergeCell ref="K18:L18"/>
    <mergeCell ref="I8:L8"/>
    <mergeCell ref="A27:L27"/>
    <mergeCell ref="G8:H8"/>
    <mergeCell ref="A6:B6"/>
    <mergeCell ref="G17:H17"/>
    <mergeCell ref="A16:B16"/>
    <mergeCell ref="K20:L20"/>
    <mergeCell ref="C16:D16"/>
    <mergeCell ref="E10:F10"/>
    <mergeCell ref="G10:H10"/>
    <mergeCell ref="G19:H19"/>
    <mergeCell ref="G6:H6"/>
    <mergeCell ref="I22:J22"/>
    <mergeCell ref="A18:B18"/>
    <mergeCell ref="K22:L22"/>
    <mergeCell ref="E9:F9"/>
    <mergeCell ref="G1:L1"/>
    <mergeCell ref="E11:F11"/>
    <mergeCell ref="A23:H23"/>
    <mergeCell ref="A20:B20"/>
    <mergeCell ref="I12:L12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7.  오탁방지막 설치 문제점 및 대책 검토안</t>
        </is>
      </c>
    </row>
    <row r="4" ht="24" customHeight="1">
      <c r="A4" s="20" t="inlineStr">
        <is>
          <t>구  분</t>
        </is>
      </c>
      <c r="B4" s="6" t="n"/>
      <c r="C4" s="20" t="inlineStr">
        <is>
          <t>문 제 점</t>
        </is>
      </c>
      <c r="D4" s="6" t="n"/>
      <c r="E4" s="6" t="n"/>
      <c r="F4" s="6" t="n"/>
      <c r="G4" s="20" t="inlineStr">
        <is>
          <t>대 책 검 토 안</t>
        </is>
      </c>
      <c r="H4" s="6" t="n"/>
      <c r="I4" s="6" t="n"/>
      <c r="J4" s="6" t="n"/>
      <c r="K4" s="20" t="inlineStr">
        <is>
          <t>비  고</t>
        </is>
      </c>
      <c r="L4" s="6" t="n"/>
    </row>
    <row r="5" ht="50" customHeight="1">
      <c r="A5" s="7" t="inlineStr">
        <is>
          <t>해상 가시설 설치</t>
        </is>
      </c>
      <c r="B5" s="6" t="n"/>
      <c r="C5" s="24" t="inlineStr">
        <is>
          <t>가시설(가이드 프레임) 항타 때 작업 바지선의 앵커와 오탁방지막 앵커가 겹치고, 앵커 줄이 길어짐 · 자재를 나를 해상장비 항로가 없음</t>
        </is>
      </c>
      <c r="D5" s="6" t="n"/>
      <c r="E5" s="6" t="n"/>
      <c r="F5" s="6" t="n"/>
      <c r="G5" s="24" t="inlineStr">
        <is>
          <t>① 오탁방지막 설치 위치를 현장 여건에 맞게 다시 잡음 ② 공정이 바뀌면 준설 면적이 늘어나는지 검토 ③ 해상장비 항로·수심 확인</t>
        </is>
      </c>
      <c r="H5" s="6" t="n"/>
      <c r="I5" s="6" t="n"/>
      <c r="J5" s="6" t="n"/>
      <c r="K5" s="36" t="inlineStr">
        <is>
          <t>여건이 바뀌면 설치 위치·수심을 다시 검토해 계획서를 고침</t>
        </is>
      </c>
      <c r="L5" s="6" t="n"/>
    </row>
    <row r="6" ht="50" customHeight="1">
      <c r="A6" s="7" t="inlineStr">
        <is>
          <t>현장타설 말뚝 · 기초</t>
        </is>
      </c>
      <c r="B6" s="6" t="n"/>
      <c r="C6" s="24" t="inlineStr">
        <is>
          <t>가시설 위로 대형 크레인·천공장비를 올리고 작업 바지(SEP)를 고정할 때 앵커 줄이 길어짐 · 콘크리트 타설 장비(펌프카·레미콘 운반 바지)의 항로</t>
        </is>
      </c>
      <c r="D6" s="6" t="n"/>
      <c r="E6" s="6" t="n"/>
      <c r="F6" s="6" t="n"/>
      <c r="G6" s="24" t="inlineStr">
        <is>
          <t>① 자재 운반·해상장비 항로를 검토해 수심 항로 확보 ② 설치 위치 재조정 ③ 해체·이동 때도 같은 방법</t>
        </is>
      </c>
      <c r="H6" s="6" t="n"/>
      <c r="I6" s="6" t="n"/>
      <c r="J6" s="6" t="n"/>
      <c r="K6" s="36" t="inlineStr">
        <is>
          <t>여건이 바뀌면 설치 위치·수심을 다시 검토해 계획서를 고침</t>
        </is>
      </c>
      <c r="L6" s="6" t="n"/>
    </row>
    <row r="7" ht="40" customHeight="1">
      <c r="A7" s="7" t="inlineStr">
        <is>
          <t>굴착 · 가시설 보강</t>
        </is>
      </c>
      <c r="B7" s="6" t="n"/>
      <c r="C7" s="24" t="inlineStr">
        <is>
          <t>굴착과 함께 버팀보를 설치하는 동안 굴착 토사를 나를 해상장비 항로가 없음</t>
        </is>
      </c>
      <c r="D7" s="6" t="n"/>
      <c r="E7" s="6" t="n"/>
      <c r="F7" s="6" t="n"/>
      <c r="G7" s="24" t="inlineStr">
        <is>
          <t>① 토사 운반 항로 확보 ② 설치 위치 재조정 ③ 준설 면적 증가 검토</t>
        </is>
      </c>
      <c r="H7" s="6" t="n"/>
      <c r="I7" s="6" t="n"/>
      <c r="J7" s="6" t="n"/>
      <c r="K7" s="36" t="inlineStr">
        <is>
          <t>여건이 바뀌면 설치 위치·수심을 다시 검토해 계획서를 고침</t>
        </is>
      </c>
      <c r="L7" s="6" t="n"/>
    </row>
    <row r="8" ht="40" customHeight="1">
      <c r="A8" s="7" t="inlineStr">
        <is>
          <t>교각 · 상부공(강교 거치)</t>
        </is>
      </c>
      <c r="B8" s="6" t="n"/>
      <c r="C8" s="24" t="inlineStr">
        <is>
          <t>대형 부재를 운반 바지에서 인양해 거치할 때 윈치·와이어로 바지를 앞뒤로 움직이므로 앵커 줄이 더 길어짐</t>
        </is>
      </c>
      <c r="D8" s="6" t="n"/>
      <c r="E8" s="6" t="n"/>
      <c r="F8" s="6" t="n"/>
      <c r="G8" s="24" t="inlineStr">
        <is>
          <t>① 거치 순서에 맞춰 오탁방지막을 옮겨 달거나 여닫는 구간을 둠 ② 항로·수심 확인 ③ 설치 위치 재조정</t>
        </is>
      </c>
      <c r="H8" s="6" t="n"/>
      <c r="I8" s="6" t="n"/>
      <c r="J8" s="6" t="n"/>
      <c r="K8" s="36" t="inlineStr">
        <is>
          <t>여건이 바뀌면 설치 위치·수심을 다시 검토해 계획서를 고침</t>
        </is>
      </c>
      <c r="L8" s="6" t="n"/>
    </row>
    <row r="9" ht="40" customHeight="1">
      <c r="A9" s="7" t="n"/>
      <c r="B9" s="6" t="n"/>
      <c r="C9" s="24" t="n"/>
      <c r="D9" s="6" t="n"/>
      <c r="E9" s="6" t="n"/>
      <c r="F9" s="6" t="n"/>
      <c r="G9" s="24" t="n"/>
      <c r="H9" s="6" t="n"/>
      <c r="I9" s="6" t="n"/>
      <c r="J9" s="6" t="n"/>
      <c r="K9" s="36" t="n"/>
      <c r="L9" s="6" t="n"/>
    </row>
    <row r="10" ht="40" customHeight="1">
      <c r="A10" s="7" t="n"/>
      <c r="B10" s="6" t="n"/>
      <c r="C10" s="24" t="n"/>
      <c r="D10" s="6" t="n"/>
      <c r="E10" s="6" t="n"/>
      <c r="F10" s="6" t="n"/>
      <c r="G10" s="24" t="n"/>
      <c r="H10" s="6" t="n"/>
      <c r="I10" s="6" t="n"/>
      <c r="J10" s="6" t="n"/>
      <c r="K10" s="36" t="n"/>
      <c r="L10" s="6" t="n"/>
    </row>
  </sheetData>
  <mergeCells count="31">
    <mergeCell ref="C8:F8"/>
    <mergeCell ref="G4:J4"/>
    <mergeCell ref="A9:B9"/>
    <mergeCell ref="K9:L9"/>
    <mergeCell ref="C7:F7"/>
    <mergeCell ref="K5:L5"/>
    <mergeCell ref="K4:L4"/>
    <mergeCell ref="A3:L3"/>
    <mergeCell ref="A6:B6"/>
    <mergeCell ref="G9:J9"/>
    <mergeCell ref="A7:B7"/>
    <mergeCell ref="C6:F6"/>
    <mergeCell ref="C5:F5"/>
    <mergeCell ref="G1:L1"/>
    <mergeCell ref="K8:L8"/>
    <mergeCell ref="C4:F4"/>
    <mergeCell ref="G8:J8"/>
    <mergeCell ref="A5:B5"/>
    <mergeCell ref="G7:J7"/>
    <mergeCell ref="C10:F10"/>
    <mergeCell ref="A8:B8"/>
    <mergeCell ref="G10:J10"/>
    <mergeCell ref="A4:B4"/>
    <mergeCell ref="G6:J6"/>
    <mergeCell ref="C9:F9"/>
    <mergeCell ref="K7:L7"/>
    <mergeCell ref="A1:F1"/>
    <mergeCell ref="A10:B10"/>
    <mergeCell ref="K10:L10"/>
    <mergeCell ref="K6:L6"/>
    <mergeCell ref="G5:J5"/>
  </mergeCells>
  <printOptions horizontalCentered="1"/>
  <pageMargins left="0.45" right="0.45" top="0.5" bottom="0.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오탁방지막 시공계획서</dc:title>
  <dcterms:created xmlns:dcterms="http://purl.org/dc/terms/" xmlns:xsi="http://www.w3.org/2001/XMLSchema-instance" xsi:type="dcterms:W3CDTF">2026-10-17T01:06:19Z</dcterms:created>
  <dcterms:modified xmlns:dcterms="http://purl.org/dc/terms/" xmlns:xsi="http://www.w3.org/2001/XMLSchema-instance" xsi:type="dcterms:W3CDTF">2026-10-17T01:06:19Z</dcterms:modified>
</cp:coreProperties>
</file>