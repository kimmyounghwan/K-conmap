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주간 공정 현황보고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'주간 공정 현황보고'!$A$1:$P$40</definedName>
    <definedName name="_xlnm.Print_Area" localSheetId="1">'작성 예시'!$A$1:$P$40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년&quot; m&quot;월&quot; d&quot;일&quot;"/>
    <numFmt numFmtId="165" formatCode="yyyy. m. d."/>
    <numFmt numFmtId="166" formatCode="0.0%;[Red]-0.0%;&quot;&quot;"/>
    <numFmt numFmtId="167" formatCode="+0.0&quot;%p&quot;;[Red]-0.0&quot;%p&quot;;0.0&quot;%p&quot;"/>
    <numFmt numFmtId="168" formatCode="0%;;&quot;&quot;"/>
    <numFmt numFmtId="169" formatCode="#,##0;[Red]-#,##0;&quot;&quot;"/>
    <numFmt numFmtId="170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b val="1"/>
      <color rgb="001F2937"/>
      <sz val="9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shrinkToFit="1"/>
    </xf>
    <xf numFmtId="167" fontId="5" fillId="4" borderId="1" applyAlignment="1" pivotButton="0" quotePrefix="0" xfId="0">
      <alignment horizontal="center" vertical="center" shrinkToFit="1"/>
    </xf>
    <xf numFmtId="165" fontId="5" fillId="4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right" vertical="center" wrapText="1"/>
    </xf>
    <xf numFmtId="0" fontId="11" fillId="3" borderId="1" applyAlignment="1" pivotButton="0" quotePrefix="0" xfId="0">
      <alignment horizontal="center" vertical="center" wrapText="1"/>
    </xf>
    <xf numFmtId="169" fontId="12" fillId="4" borderId="1" applyAlignment="1" pivotButton="0" quotePrefix="0" xfId="0">
      <alignment horizontal="right" vertical="center" shrinkToFit="1"/>
    </xf>
    <xf numFmtId="169" fontId="13" fillId="4" borderId="1" applyAlignment="1" pivotButton="0" quotePrefix="0" xfId="0">
      <alignment horizontal="right" vertical="center" shrinkToFit="1"/>
    </xf>
    <xf numFmtId="169" fontId="10" fillId="0" borderId="1" applyAlignment="1" pivotButton="0" quotePrefix="0" xfId="0">
      <alignment horizontal="right" vertical="center" shrinkToFit="1"/>
    </xf>
    <xf numFmtId="0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9.300000000000001" customWidth="1" min="2" max="2"/>
    <col width="9.300000000000001" customWidth="1" min="3" max="3"/>
    <col width="9.300000000000001" customWidth="1" min="4" max="4"/>
    <col width="9.300000000000001" customWidth="1" min="5" max="5"/>
    <col width="9.300000000000001" customWidth="1" min="6" max="6"/>
    <col width="9.300000000000001" customWidth="1" min="7" max="7"/>
    <col width="9.300000000000001" customWidth="1" min="8" max="8"/>
    <col width="9.300000000000001" customWidth="1" min="9" max="9"/>
    <col width="9.300000000000001" customWidth="1" min="10" max="10"/>
    <col width="9.300000000000001" customWidth="1" min="11" max="11"/>
    <col width="9.300000000000001" customWidth="1" min="12" max="12"/>
    <col width="9.300000000000001" customWidth="1" min="13" max="13"/>
    <col width="9.300000000000001" customWidth="1" min="14" max="14"/>
    <col width="9.300000000000001" customWidth="1" min="15" max="15"/>
    <col width="9.300000000000001" customWidth="1" min="16" max="16"/>
  </cols>
  <sheetData>
    <row r="1" ht="20" customHeight="1">
      <c r="A1" s="1" t="inlineStr">
        <is>
          <t xml:space="preserve">  K-건설맵  |  k-conmap.com  건설 서식</t>
        </is>
      </c>
      <c r="J1" s="2" t="inlineStr">
        <is>
          <t xml:space="preserve">← 이 1행을 지우고 쓰셔도 됩니다  </t>
        </is>
      </c>
    </row>
    <row r="2" ht="18" customHeight="1">
      <c r="A2" s="3" t="inlineStr">
        <is>
          <t>주 간 공 정 현 황 보 고</t>
        </is>
      </c>
      <c r="L2" s="4" t="inlineStr">
        <is>
          <t>결
재</t>
        </is>
      </c>
      <c r="M2" s="5" t="inlineStr">
        <is>
          <t>현      장</t>
        </is>
      </c>
      <c r="N2" s="6" t="n"/>
      <c r="O2" s="5" t="inlineStr">
        <is>
          <t>감      독</t>
        </is>
      </c>
      <c r="P2" s="6" t="n"/>
    </row>
    <row r="3" ht="18" customHeight="1">
      <c r="L3" s="6" t="n"/>
      <c r="M3" s="5" t="inlineStr">
        <is>
          <t>담 당</t>
        </is>
      </c>
      <c r="N3" s="5" t="inlineStr">
        <is>
          <t>소 장</t>
        </is>
      </c>
      <c r="O3" s="5" t="inlineStr">
        <is>
          <t>감 리</t>
        </is>
      </c>
      <c r="P3" s="5" t="inlineStr">
        <is>
          <t>감 독</t>
        </is>
      </c>
    </row>
    <row r="4" ht="34" customHeight="1">
      <c r="L4" s="6" t="n"/>
      <c r="M4" s="7" t="inlineStr"/>
      <c r="N4" s="7" t="inlineStr"/>
      <c r="O4" s="7" t="inlineStr"/>
      <c r="P4" s="7" t="inlineStr"/>
    </row>
    <row r="5" ht="4" customHeight="1"/>
    <row r="6" ht="22" customHeight="1">
      <c r="A6" s="4" t="inlineStr">
        <is>
          <t>작 성 일</t>
        </is>
      </c>
      <c r="B6" s="8" t="n"/>
      <c r="C6" s="6" t="n"/>
      <c r="D6" s="9">
        <f>IF(N(B6)=0,"",TEXT(B6,"yyyy년 m월 ")&amp;(INT((DAY(B6)+WEEKDAY(DATE(YEAR(B6),MONTH(B6),1),2)-2)/7)+1)&amp;"주차")</f>
        <v/>
      </c>
      <c r="E6" s="6" t="n"/>
      <c r="F6" s="6" t="n"/>
      <c r="G6" s="10" t="inlineStr"/>
      <c r="K6" s="4" t="inlineStr">
        <is>
          <t>작 성 자</t>
        </is>
      </c>
      <c r="L6" s="11" t="n"/>
      <c r="M6" s="6" t="n"/>
      <c r="N6" s="6" t="n"/>
      <c r="O6" s="6" t="n"/>
      <c r="P6" s="12" t="inlineStr">
        <is>
          <t>(인)</t>
        </is>
      </c>
    </row>
    <row r="7" ht="22" customHeight="1">
      <c r="A7" s="4" t="inlineStr">
        <is>
          <t>공 사 명</t>
        </is>
      </c>
      <c r="B7" s="13" t="n"/>
      <c r="C7" s="6" t="n"/>
      <c r="D7" s="6" t="n"/>
      <c r="E7" s="6" t="n"/>
      <c r="F7" s="6" t="n"/>
      <c r="G7" s="6" t="n"/>
      <c r="H7" s="6" t="n"/>
      <c r="I7" s="4" t="inlineStr">
        <is>
          <t>업 체 명</t>
        </is>
      </c>
      <c r="J7" s="13" t="n"/>
      <c r="K7" s="6" t="n"/>
      <c r="L7" s="6" t="n"/>
      <c r="M7" s="6" t="n"/>
      <c r="N7" s="6" t="n"/>
      <c r="O7" s="6" t="n"/>
      <c r="P7" s="6" t="n"/>
    </row>
    <row r="8" ht="21" customHeight="1">
      <c r="A8" s="4" t="inlineStr">
        <is>
          <t>사업기간</t>
        </is>
      </c>
      <c r="B8" s="14" t="inlineStr">
        <is>
          <t>(1차)</t>
        </is>
      </c>
      <c r="C8" s="15" t="n"/>
      <c r="D8" s="6" t="n"/>
      <c r="E8" s="16" t="inlineStr">
        <is>
          <t>~</t>
        </is>
      </c>
      <c r="F8" s="15" t="n"/>
      <c r="G8" s="6" t="n"/>
      <c r="H8" s="10" t="inlineStr"/>
      <c r="I8" s="4" t="inlineStr">
        <is>
          <t>공 정 율</t>
        </is>
      </c>
      <c r="J8" s="6" t="n"/>
      <c r="K8" s="5" t="inlineStr">
        <is>
          <t>계  획</t>
        </is>
      </c>
      <c r="L8" s="6" t="n"/>
      <c r="M8" s="5" t="inlineStr">
        <is>
          <t>실  시</t>
        </is>
      </c>
      <c r="N8" s="6" t="n"/>
      <c r="O8" s="5" t="inlineStr">
        <is>
          <t>대  비</t>
        </is>
      </c>
      <c r="P8" s="6" t="n"/>
    </row>
    <row r="9" ht="21" customHeight="1">
      <c r="A9" s="6" t="n"/>
      <c r="B9" s="14" t="inlineStr">
        <is>
          <t>(2차)</t>
        </is>
      </c>
      <c r="C9" s="15" t="n"/>
      <c r="D9" s="6" t="n"/>
      <c r="E9" s="16" t="inlineStr">
        <is>
          <t>~</t>
        </is>
      </c>
      <c r="F9" s="15" t="n"/>
      <c r="G9" s="6" t="n"/>
      <c r="H9" s="10" t="inlineStr"/>
      <c r="I9" s="4" t="inlineStr">
        <is>
          <t>금  주</t>
        </is>
      </c>
      <c r="J9" s="6" t="n"/>
      <c r="K9" s="17" t="n"/>
      <c r="L9" s="6" t="n"/>
      <c r="M9" s="17" t="n"/>
      <c r="N9" s="6" t="n"/>
      <c r="O9" s="18">
        <f>IF(OR(K9="",M9=""),"",(M9-K9)*100)</f>
        <v/>
      </c>
      <c r="P9" s="6" t="n"/>
    </row>
    <row r="10" ht="21" customHeight="1">
      <c r="A10" s="6" t="n"/>
      <c r="B10" s="14" t="inlineStr">
        <is>
          <t>(총괄)</t>
        </is>
      </c>
      <c r="C10" s="19">
        <f>IF(COUNT(C8,C9)=0,"",MIN(C8,C9))</f>
        <v/>
      </c>
      <c r="D10" s="6" t="n"/>
      <c r="E10" s="16" t="inlineStr">
        <is>
          <t>~</t>
        </is>
      </c>
      <c r="F10" s="19">
        <f>IF(COUNT(F8,F9)=0,"",MAX(F8,F9))</f>
        <v/>
      </c>
      <c r="G10" s="6" t="n"/>
      <c r="H10" s="10" t="inlineStr"/>
      <c r="I10" s="4" t="inlineStr">
        <is>
          <t>누  계</t>
        </is>
      </c>
      <c r="J10" s="6" t="n"/>
      <c r="K10" s="17" t="n"/>
      <c r="L10" s="6" t="n"/>
      <c r="M10" s="17" t="n"/>
      <c r="N10" s="6" t="n"/>
      <c r="O10" s="18">
        <f>IF(OR(K10="",M10=""),"",(M10-K10)*100)</f>
        <v/>
      </c>
      <c r="P10" s="6" t="n"/>
    </row>
    <row r="11" ht="4" customHeight="1"/>
    <row r="12" ht="22" customHeight="1">
      <c r="A12" s="5" t="inlineStr">
        <is>
          <t>구 분</t>
        </is>
      </c>
      <c r="B12" s="5" t="inlineStr">
        <is>
          <t>공        종</t>
        </is>
      </c>
      <c r="C12" s="6" t="n"/>
      <c r="D12" s="6" t="n"/>
      <c r="E12" s="5" t="inlineStr">
        <is>
          <t>금 주  계 획</t>
        </is>
      </c>
      <c r="F12" s="6" t="n"/>
      <c r="G12" s="6" t="n"/>
      <c r="H12" s="5" t="inlineStr">
        <is>
          <t>금 주  실 적</t>
        </is>
      </c>
      <c r="I12" s="6" t="n"/>
      <c r="J12" s="6" t="n"/>
      <c r="K12" s="5" t="inlineStr">
        <is>
          <t>차 주  계 획</t>
        </is>
      </c>
      <c r="L12" s="6" t="n"/>
      <c r="M12" s="6" t="n"/>
      <c r="N12" s="5" t="inlineStr">
        <is>
          <t>비    고</t>
        </is>
      </c>
      <c r="O12" s="6" t="n"/>
      <c r="P12" s="5" t="inlineStr">
        <is>
          <t>공정율</t>
        </is>
      </c>
    </row>
    <row r="13" ht="19" customHeight="1">
      <c r="A13" s="4" t="inlineStr">
        <is>
          <t>주간
공정</t>
        </is>
      </c>
      <c r="B13" s="20" t="n"/>
      <c r="C13" s="6" t="n"/>
      <c r="D13" s="6" t="n"/>
      <c r="E13" s="21" t="n"/>
      <c r="F13" s="6" t="n"/>
      <c r="G13" s="6" t="n"/>
      <c r="H13" s="21" t="n"/>
      <c r="I13" s="6" t="n"/>
      <c r="J13" s="6" t="n"/>
      <c r="K13" s="21" t="n"/>
      <c r="L13" s="6" t="n"/>
      <c r="M13" s="6" t="n"/>
      <c r="N13" s="22" t="n"/>
      <c r="O13" s="6" t="n"/>
      <c r="P13" s="23" t="n"/>
    </row>
    <row r="14" ht="19" customHeight="1">
      <c r="A14" s="6" t="n"/>
      <c r="B14" s="20" t="n"/>
      <c r="C14" s="6" t="n"/>
      <c r="D14" s="6" t="n"/>
      <c r="E14" s="21" t="n"/>
      <c r="F14" s="6" t="n"/>
      <c r="G14" s="6" t="n"/>
      <c r="H14" s="21" t="n"/>
      <c r="I14" s="6" t="n"/>
      <c r="J14" s="6" t="n"/>
      <c r="K14" s="21" t="n"/>
      <c r="L14" s="6" t="n"/>
      <c r="M14" s="6" t="n"/>
      <c r="N14" s="22" t="n"/>
      <c r="O14" s="6" t="n"/>
      <c r="P14" s="23" t="n"/>
    </row>
    <row r="15" ht="19" customHeight="1">
      <c r="A15" s="6" t="n"/>
      <c r="B15" s="20" t="n"/>
      <c r="C15" s="6" t="n"/>
      <c r="D15" s="6" t="n"/>
      <c r="E15" s="21" t="n"/>
      <c r="F15" s="6" t="n"/>
      <c r="G15" s="6" t="n"/>
      <c r="H15" s="21" t="n"/>
      <c r="I15" s="6" t="n"/>
      <c r="J15" s="6" t="n"/>
      <c r="K15" s="21" t="n"/>
      <c r="L15" s="6" t="n"/>
      <c r="M15" s="6" t="n"/>
      <c r="N15" s="22" t="n"/>
      <c r="O15" s="6" t="n"/>
      <c r="P15" s="23" t="n"/>
    </row>
    <row r="16" ht="19" customHeight="1">
      <c r="A16" s="6" t="n"/>
      <c r="B16" s="20" t="n"/>
      <c r="C16" s="6" t="n"/>
      <c r="D16" s="6" t="n"/>
      <c r="E16" s="21" t="n"/>
      <c r="F16" s="6" t="n"/>
      <c r="G16" s="6" t="n"/>
      <c r="H16" s="21" t="n"/>
      <c r="I16" s="6" t="n"/>
      <c r="J16" s="6" t="n"/>
      <c r="K16" s="21" t="n"/>
      <c r="L16" s="6" t="n"/>
      <c r="M16" s="6" t="n"/>
      <c r="N16" s="22" t="n"/>
      <c r="O16" s="6" t="n"/>
      <c r="P16" s="23" t="n"/>
    </row>
    <row r="17" ht="19" customHeight="1">
      <c r="A17" s="6" t="n"/>
      <c r="B17" s="20" t="n"/>
      <c r="C17" s="6" t="n"/>
      <c r="D17" s="6" t="n"/>
      <c r="E17" s="21" t="n"/>
      <c r="F17" s="6" t="n"/>
      <c r="G17" s="6" t="n"/>
      <c r="H17" s="21" t="n"/>
      <c r="I17" s="6" t="n"/>
      <c r="J17" s="6" t="n"/>
      <c r="K17" s="21" t="n"/>
      <c r="L17" s="6" t="n"/>
      <c r="M17" s="6" t="n"/>
      <c r="N17" s="22" t="n"/>
      <c r="O17" s="6" t="n"/>
      <c r="P17" s="23" t="n"/>
    </row>
    <row r="18" ht="19" customHeight="1">
      <c r="A18" s="6" t="n"/>
      <c r="B18" s="20" t="n"/>
      <c r="C18" s="6" t="n"/>
      <c r="D18" s="6" t="n"/>
      <c r="E18" s="21" t="n"/>
      <c r="F18" s="6" t="n"/>
      <c r="G18" s="6" t="n"/>
      <c r="H18" s="21" t="n"/>
      <c r="I18" s="6" t="n"/>
      <c r="J18" s="6" t="n"/>
      <c r="K18" s="21" t="n"/>
      <c r="L18" s="6" t="n"/>
      <c r="M18" s="6" t="n"/>
      <c r="N18" s="22" t="n"/>
      <c r="O18" s="6" t="n"/>
      <c r="P18" s="23" t="n"/>
    </row>
    <row r="19" ht="19" customHeight="1">
      <c r="A19" s="6" t="n"/>
      <c r="B19" s="20" t="n"/>
      <c r="C19" s="6" t="n"/>
      <c r="D19" s="6" t="n"/>
      <c r="E19" s="21" t="n"/>
      <c r="F19" s="6" t="n"/>
      <c r="G19" s="6" t="n"/>
      <c r="H19" s="21" t="n"/>
      <c r="I19" s="6" t="n"/>
      <c r="J19" s="6" t="n"/>
      <c r="K19" s="21" t="n"/>
      <c r="L19" s="6" t="n"/>
      <c r="M19" s="6" t="n"/>
      <c r="N19" s="22" t="n"/>
      <c r="O19" s="6" t="n"/>
      <c r="P19" s="23" t="n"/>
    </row>
    <row r="20" ht="19" customHeight="1">
      <c r="A20" s="6" t="n"/>
      <c r="B20" s="20" t="n"/>
      <c r="C20" s="6" t="n"/>
      <c r="D20" s="6" t="n"/>
      <c r="E20" s="21" t="n"/>
      <c r="F20" s="6" t="n"/>
      <c r="G20" s="6" t="n"/>
      <c r="H20" s="21" t="n"/>
      <c r="I20" s="6" t="n"/>
      <c r="J20" s="6" t="n"/>
      <c r="K20" s="21" t="n"/>
      <c r="L20" s="6" t="n"/>
      <c r="M20" s="6" t="n"/>
      <c r="N20" s="22" t="n"/>
      <c r="O20" s="6" t="n"/>
      <c r="P20" s="23" t="n"/>
    </row>
    <row r="21" ht="19" customHeight="1">
      <c r="A21" s="6" t="n"/>
      <c r="B21" s="20" t="n"/>
      <c r="C21" s="6" t="n"/>
      <c r="D21" s="6" t="n"/>
      <c r="E21" s="21" t="n"/>
      <c r="F21" s="6" t="n"/>
      <c r="G21" s="6" t="n"/>
      <c r="H21" s="21" t="n"/>
      <c r="I21" s="6" t="n"/>
      <c r="J21" s="6" t="n"/>
      <c r="K21" s="21" t="n"/>
      <c r="L21" s="6" t="n"/>
      <c r="M21" s="6" t="n"/>
      <c r="N21" s="22" t="n"/>
      <c r="O21" s="6" t="n"/>
      <c r="P21" s="23" t="n"/>
    </row>
    <row r="22" ht="19" customHeight="1">
      <c r="A22" s="6" t="n"/>
      <c r="B22" s="20" t="n"/>
      <c r="C22" s="6" t="n"/>
      <c r="D22" s="6" t="n"/>
      <c r="E22" s="21" t="n"/>
      <c r="F22" s="6" t="n"/>
      <c r="G22" s="6" t="n"/>
      <c r="H22" s="21" t="n"/>
      <c r="I22" s="6" t="n"/>
      <c r="J22" s="6" t="n"/>
      <c r="K22" s="21" t="n"/>
      <c r="L22" s="6" t="n"/>
      <c r="M22" s="6" t="n"/>
      <c r="N22" s="22" t="n"/>
      <c r="O22" s="6" t="n"/>
      <c r="P22" s="23" t="n"/>
    </row>
    <row r="23" ht="16" customHeight="1">
      <c r="A23" s="24" t="inlineStr">
        <is>
          <t>(단위 : 원)</t>
        </is>
      </c>
    </row>
    <row r="24" ht="20" customHeight="1">
      <c r="A24" s="4" t="inlineStr">
        <is>
          <t>기성
현황</t>
        </is>
      </c>
      <c r="B24" s="5" t="inlineStr">
        <is>
          <t>구 분</t>
        </is>
      </c>
      <c r="C24" s="5" t="inlineStr">
        <is>
          <t>도급액 (A)</t>
        </is>
      </c>
      <c r="D24" s="6" t="n"/>
      <c r="E24" s="5" t="inlineStr">
        <is>
          <t>노무비 (B)</t>
        </is>
      </c>
      <c r="F24" s="6" t="n"/>
      <c r="G24" s="6" t="n"/>
      <c r="H24" s="6" t="n"/>
      <c r="I24" s="5" t="inlineStr">
        <is>
          <t>기성금액 (C)</t>
        </is>
      </c>
      <c r="J24" s="6" t="n"/>
      <c r="K24" s="6" t="n"/>
      <c r="L24" s="6" t="n"/>
      <c r="M24" s="6" t="n"/>
      <c r="N24" s="5" t="inlineStr">
        <is>
          <t>잔액 (D=A−B−C)</t>
        </is>
      </c>
      <c r="O24" s="6" t="n"/>
      <c r="P24" s="6" t="n"/>
    </row>
    <row r="25" ht="18" customHeight="1">
      <c r="A25" s="6" t="n"/>
      <c r="B25" s="6" t="n"/>
      <c r="C25" s="25" t="inlineStr">
        <is>
          <t>당초</t>
        </is>
      </c>
      <c r="D25" s="25" t="inlineStr">
        <is>
          <t>변경</t>
        </is>
      </c>
      <c r="E25" s="25" t="inlineStr">
        <is>
          <t>계</t>
        </is>
      </c>
      <c r="F25" s="25" t="inlineStr">
        <is>
          <t>전회까지</t>
        </is>
      </c>
      <c r="G25" s="25" t="inlineStr">
        <is>
          <t>금회</t>
        </is>
      </c>
      <c r="H25" s="25" t="inlineStr">
        <is>
          <t>잔액</t>
        </is>
      </c>
      <c r="I25" s="25" t="inlineStr">
        <is>
          <t>계</t>
        </is>
      </c>
      <c r="J25" s="25" t="inlineStr">
        <is>
          <t>1회</t>
        </is>
      </c>
      <c r="K25" s="25" t="inlineStr">
        <is>
          <t>2회</t>
        </is>
      </c>
      <c r="L25" s="25" t="inlineStr">
        <is>
          <t>3회</t>
        </is>
      </c>
      <c r="M25" s="25" t="inlineStr">
        <is>
          <t>4회</t>
        </is>
      </c>
      <c r="N25" s="6" t="n"/>
      <c r="O25" s="6" t="n"/>
      <c r="P25" s="6" t="n"/>
    </row>
    <row r="26" ht="20" customHeight="1">
      <c r="A26" s="6" t="n"/>
      <c r="B26" s="14" t="inlineStr">
        <is>
          <t>총 괄</t>
        </is>
      </c>
      <c r="C26" s="26">
        <f>IF(N(C27)+N(C28)=0,"",N(C27)+N(C28))</f>
        <v/>
      </c>
      <c r="D26" s="26">
        <f>IF(N(D27)+N(D28)=0,"",IF(N(D27)&gt;0,D27,N(C27))+IF(N(D28)&gt;0,D28,N(C28)))</f>
        <v/>
      </c>
      <c r="E26" s="26">
        <f>IF(N(E27)+N(E28)=0,"",N(E27)+N(E28))</f>
        <v/>
      </c>
      <c r="F26" s="26">
        <f>IF(N(F27)+N(F28)=0,"",N(F27)+N(F28))</f>
        <v/>
      </c>
      <c r="G26" s="26">
        <f>IF(N(G27)+N(G28)=0,"",N(G27)+N(G28))</f>
        <v/>
      </c>
      <c r="H26" s="26">
        <f>IF(N(H27)+N(H28)=0,"",N(H27)+N(H28))</f>
        <v/>
      </c>
      <c r="I26" s="26">
        <f>IF(N(I27)+N(I28)=0,"",N(I27)+N(I28))</f>
        <v/>
      </c>
      <c r="J26" s="26">
        <f>IF(N(J27)+N(J28)=0,"",N(J27)+N(J28))</f>
        <v/>
      </c>
      <c r="K26" s="26">
        <f>IF(N(K27)+N(K28)=0,"",N(K27)+N(K28))</f>
        <v/>
      </c>
      <c r="L26" s="26">
        <f>IF(N(L27)+N(L28)=0,"",N(L27)+N(L28))</f>
        <v/>
      </c>
      <c r="M26" s="26">
        <f>IF(N(M27)+N(M28)=0,"",N(M27)+N(M28))</f>
        <v/>
      </c>
      <c r="N26" s="27">
        <f>IF(N(N27)+N(N28)=0,"",N(N27)+N(N28))</f>
        <v/>
      </c>
      <c r="O26" s="6" t="n"/>
      <c r="P26" s="6" t="n"/>
    </row>
    <row r="27" ht="20" customHeight="1">
      <c r="A27" s="6" t="n"/>
      <c r="B27" s="14" t="inlineStr">
        <is>
          <t>1 차</t>
        </is>
      </c>
      <c r="C27" s="28" t="n"/>
      <c r="D27" s="28" t="n"/>
      <c r="E27" s="26">
        <f>IF(N(F27)+N(G27)=0,"",N(F27)+N(G27))</f>
        <v/>
      </c>
      <c r="F27" s="28" t="n"/>
      <c r="G27" s="28" t="n"/>
      <c r="H27" s="28" t="n"/>
      <c r="I27" s="26">
        <f>IF(SUM(J27:M27)=0,"",SUM(J27:M27))</f>
        <v/>
      </c>
      <c r="J27" s="28" t="n"/>
      <c r="K27" s="28" t="n"/>
      <c r="L27" s="28" t="n"/>
      <c r="M27" s="28" t="n"/>
      <c r="N27" s="26">
        <f>IF(N(C27)+N(D27)=0,"",IF(N(D27)&gt;0,D27,C27)-N(E27)-N(I27))</f>
        <v/>
      </c>
      <c r="O27" s="6" t="n"/>
      <c r="P27" s="6" t="n"/>
    </row>
    <row r="28" ht="20" customHeight="1">
      <c r="A28" s="6" t="n"/>
      <c r="B28" s="14" t="inlineStr">
        <is>
          <t>2 차</t>
        </is>
      </c>
      <c r="C28" s="28" t="n"/>
      <c r="D28" s="28" t="n"/>
      <c r="E28" s="26">
        <f>IF(N(F28)+N(G28)=0,"",N(F28)+N(G28))</f>
        <v/>
      </c>
      <c r="F28" s="28" t="n"/>
      <c r="G28" s="28" t="n"/>
      <c r="H28" s="28" t="n"/>
      <c r="I28" s="26">
        <f>IF(SUM(J28:M28)=0,"",SUM(J28:M28))</f>
        <v/>
      </c>
      <c r="J28" s="28" t="n"/>
      <c r="K28" s="28" t="n"/>
      <c r="L28" s="28" t="n"/>
      <c r="M28" s="28" t="n"/>
      <c r="N28" s="26">
        <f>IF(N(C28)+N(D28)=0,"",IF(N(D28)&gt;0,D28,C28)-N(E28)-N(I28))</f>
        <v/>
      </c>
      <c r="O28" s="6" t="n"/>
      <c r="P28" s="6" t="n"/>
    </row>
    <row r="29" ht="4" customHeight="1"/>
    <row r="30" ht="20" customHeight="1">
      <c r="A30" s="4" t="inlineStr">
        <is>
          <t>시공·
안전·
품질
관리</t>
        </is>
      </c>
      <c r="B30" s="5" t="inlineStr">
        <is>
          <t>전 주 까 지</t>
        </is>
      </c>
      <c r="C30" s="6" t="n"/>
      <c r="D30" s="6" t="n"/>
      <c r="E30" s="6" t="n"/>
      <c r="F30" s="5" t="inlineStr">
        <is>
          <t>금 주  계 획</t>
        </is>
      </c>
      <c r="G30" s="6" t="n"/>
      <c r="H30" s="6" t="n"/>
      <c r="I30" s="6" t="n"/>
      <c r="J30" s="5" t="inlineStr">
        <is>
          <t>차 주  계 획</t>
        </is>
      </c>
      <c r="K30" s="6" t="n"/>
      <c r="L30" s="6" t="n"/>
      <c r="M30" s="6" t="n"/>
      <c r="N30" s="5" t="inlineStr">
        <is>
          <t>비    고</t>
        </is>
      </c>
      <c r="O30" s="6" t="n"/>
      <c r="P30" s="6" t="n"/>
    </row>
    <row r="31" ht="19" customHeight="1">
      <c r="A31" s="6" t="n"/>
      <c r="B31" s="21" t="n"/>
      <c r="C31" s="6" t="n"/>
      <c r="D31" s="6" t="n"/>
      <c r="E31" s="6" t="n"/>
      <c r="F31" s="21" t="n"/>
      <c r="G31" s="6" t="n"/>
      <c r="H31" s="6" t="n"/>
      <c r="I31" s="6" t="n"/>
      <c r="J31" s="21" t="n"/>
      <c r="K31" s="6" t="n"/>
      <c r="L31" s="6" t="n"/>
      <c r="M31" s="6" t="n"/>
      <c r="N31" s="22" t="n"/>
      <c r="O31" s="6" t="n"/>
      <c r="P31" s="6" t="n"/>
    </row>
    <row r="32" ht="19" customHeight="1">
      <c r="A32" s="6" t="n"/>
      <c r="B32" s="21" t="n"/>
      <c r="C32" s="6" t="n"/>
      <c r="D32" s="6" t="n"/>
      <c r="E32" s="6" t="n"/>
      <c r="F32" s="21" t="n"/>
      <c r="G32" s="6" t="n"/>
      <c r="H32" s="6" t="n"/>
      <c r="I32" s="6" t="n"/>
      <c r="J32" s="21" t="n"/>
      <c r="K32" s="6" t="n"/>
      <c r="L32" s="6" t="n"/>
      <c r="M32" s="6" t="n"/>
      <c r="N32" s="22" t="n"/>
      <c r="O32" s="6" t="n"/>
      <c r="P32" s="6" t="n"/>
    </row>
    <row r="33" ht="19" customHeight="1">
      <c r="A33" s="6" t="n"/>
      <c r="B33" s="21" t="n"/>
      <c r="C33" s="6" t="n"/>
      <c r="D33" s="6" t="n"/>
      <c r="E33" s="6" t="n"/>
      <c r="F33" s="21" t="n"/>
      <c r="G33" s="6" t="n"/>
      <c r="H33" s="6" t="n"/>
      <c r="I33" s="6" t="n"/>
      <c r="J33" s="21" t="n"/>
      <c r="K33" s="6" t="n"/>
      <c r="L33" s="6" t="n"/>
      <c r="M33" s="6" t="n"/>
      <c r="N33" s="22" t="n"/>
      <c r="O33" s="6" t="n"/>
      <c r="P33" s="6" t="n"/>
    </row>
    <row r="34" ht="19" customHeight="1">
      <c r="A34" s="6" t="n"/>
      <c r="B34" s="21" t="n"/>
      <c r="C34" s="6" t="n"/>
      <c r="D34" s="6" t="n"/>
      <c r="E34" s="6" t="n"/>
      <c r="F34" s="21" t="n"/>
      <c r="G34" s="6" t="n"/>
      <c r="H34" s="6" t="n"/>
      <c r="I34" s="6" t="n"/>
      <c r="J34" s="21" t="n"/>
      <c r="K34" s="6" t="n"/>
      <c r="L34" s="6" t="n"/>
      <c r="M34" s="6" t="n"/>
      <c r="N34" s="22" t="n"/>
      <c r="O34" s="6" t="n"/>
      <c r="P34" s="6" t="n"/>
    </row>
    <row r="35" ht="4" customHeight="1"/>
    <row r="36" ht="20" customHeight="1">
      <c r="A36" s="4" t="inlineStr">
        <is>
          <t>현안
사항</t>
        </is>
      </c>
      <c r="B36" s="20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 ht="20" customHeight="1">
      <c r="A37" s="6" t="n"/>
      <c r="B37" s="20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 ht="4" customHeight="1"/>
    <row r="39" ht="118" customHeight="1">
      <c r="A39" s="4" t="inlineStr">
        <is>
          <t>현장
사진
대지</t>
        </is>
      </c>
      <c r="B39" s="7" t="inlineStr"/>
      <c r="C39" s="6" t="n"/>
      <c r="D39" s="6" t="n"/>
      <c r="E39" s="6" t="n"/>
      <c r="F39" s="7" t="inlineStr"/>
      <c r="G39" s="6" t="n"/>
      <c r="H39" s="6" t="n"/>
      <c r="I39" s="6" t="n"/>
      <c r="J39" s="7" t="inlineStr"/>
      <c r="K39" s="6" t="n"/>
      <c r="L39" s="6" t="n"/>
      <c r="M39" s="6" t="n"/>
      <c r="N39" s="7" t="inlineStr"/>
      <c r="O39" s="6" t="n"/>
      <c r="P39" s="6" t="n"/>
    </row>
    <row r="40" ht="18" customHeight="1">
      <c r="A40" s="6" t="n"/>
      <c r="B40" s="29" t="n"/>
      <c r="C40" s="6" t="n"/>
      <c r="D40" s="6" t="n"/>
      <c r="E40" s="6" t="n"/>
      <c r="F40" s="29" t="n"/>
      <c r="G40" s="6" t="n"/>
      <c r="H40" s="6" t="n"/>
      <c r="I40" s="6" t="n"/>
      <c r="J40" s="29" t="n"/>
      <c r="K40" s="6" t="n"/>
      <c r="L40" s="6" t="n"/>
      <c r="M40" s="6" t="n"/>
      <c r="N40" s="29" t="n"/>
      <c r="O40" s="6" t="n"/>
      <c r="P40" s="6" t="n"/>
    </row>
    <row r="42" ht="19.5" customHeight="1">
      <c r="A42" s="30" t="inlineStr">
        <is>
          <t>하늘색 칸 = 자동(주차 · 총괄 기간 · 공정율 대비 · 기성 합계·잔액 · 총괄 줄). 사진은 위 네 칸에 붙이고(삽입 → 그림) 아래에 설명을 적습니다.</t>
        </is>
      </c>
    </row>
    <row r="43" ht="19.5" customHeight="1">
      <c r="A43" s="30" t="inlineStr">
        <is>
          <t>잔액(D) = 도급액(변경이 있으면 변경, 없으면 당초) − 노무비 계 − 기성금액 계. 도급액·노무비·기성금액 단위는 원입니다.</t>
        </is>
      </c>
    </row>
  </sheetData>
  <mergeCells count="132">
    <mergeCell ref="A42:P42"/>
    <mergeCell ref="E13:G13"/>
    <mergeCell ref="N20:O20"/>
    <mergeCell ref="N33:P33"/>
    <mergeCell ref="H17:J17"/>
    <mergeCell ref="E15:G15"/>
    <mergeCell ref="N22:O22"/>
    <mergeCell ref="J33:M33"/>
    <mergeCell ref="N12:O12"/>
    <mergeCell ref="H22:J22"/>
    <mergeCell ref="N28:P28"/>
    <mergeCell ref="H19:J19"/>
    <mergeCell ref="M10:N10"/>
    <mergeCell ref="K17:M17"/>
    <mergeCell ref="E24:H24"/>
    <mergeCell ref="N14:O14"/>
    <mergeCell ref="B20:D20"/>
    <mergeCell ref="E16:G16"/>
    <mergeCell ref="J1:P1"/>
    <mergeCell ref="N30:P30"/>
    <mergeCell ref="B31:E31"/>
    <mergeCell ref="A24:A28"/>
    <mergeCell ref="B36:P36"/>
    <mergeCell ref="I24:M24"/>
    <mergeCell ref="B39:E39"/>
    <mergeCell ref="E18:G18"/>
    <mergeCell ref="J30:M30"/>
    <mergeCell ref="K16:M16"/>
    <mergeCell ref="M8:N8"/>
    <mergeCell ref="O8:P8"/>
    <mergeCell ref="O2:P2"/>
    <mergeCell ref="A2:K4"/>
    <mergeCell ref="N15:O15"/>
    <mergeCell ref="N32:P32"/>
    <mergeCell ref="K20:M20"/>
    <mergeCell ref="E20:G20"/>
    <mergeCell ref="H21:J21"/>
    <mergeCell ref="B40:E40"/>
    <mergeCell ref="F10:G10"/>
    <mergeCell ref="K22:M22"/>
    <mergeCell ref="N16:O16"/>
    <mergeCell ref="B17:D17"/>
    <mergeCell ref="B33:E33"/>
    <mergeCell ref="K12:M12"/>
    <mergeCell ref="B32:E32"/>
    <mergeCell ref="H16:J16"/>
    <mergeCell ref="B19:D19"/>
    <mergeCell ref="K14:M14"/>
    <mergeCell ref="L2:L4"/>
    <mergeCell ref="B7:H7"/>
    <mergeCell ref="F34:I34"/>
    <mergeCell ref="N34:P34"/>
    <mergeCell ref="A30:A34"/>
    <mergeCell ref="F30:I30"/>
    <mergeCell ref="J34:M34"/>
    <mergeCell ref="K18:M18"/>
    <mergeCell ref="I8:J8"/>
    <mergeCell ref="N13:O13"/>
    <mergeCell ref="F33:I33"/>
    <mergeCell ref="C8:D8"/>
    <mergeCell ref="F9:G9"/>
    <mergeCell ref="H20:J20"/>
    <mergeCell ref="B6:C6"/>
    <mergeCell ref="I10:J10"/>
    <mergeCell ref="K10:L10"/>
    <mergeCell ref="A39:A40"/>
    <mergeCell ref="A1:I1"/>
    <mergeCell ref="E17:G17"/>
    <mergeCell ref="B21:D21"/>
    <mergeCell ref="J7:P7"/>
    <mergeCell ref="I9:J9"/>
    <mergeCell ref="B14:D14"/>
    <mergeCell ref="A8:A10"/>
    <mergeCell ref="E19:G19"/>
    <mergeCell ref="N24:P25"/>
    <mergeCell ref="J31:M31"/>
    <mergeCell ref="A23:P23"/>
    <mergeCell ref="F39:I39"/>
    <mergeCell ref="K9:L9"/>
    <mergeCell ref="B13:D13"/>
    <mergeCell ref="L6:O6"/>
    <mergeCell ref="M9:N9"/>
    <mergeCell ref="A13:A22"/>
    <mergeCell ref="O9:P9"/>
    <mergeCell ref="A36:A37"/>
    <mergeCell ref="A43:P43"/>
    <mergeCell ref="M2:N2"/>
    <mergeCell ref="H13:J13"/>
    <mergeCell ref="N40:P40"/>
    <mergeCell ref="N18:O18"/>
    <mergeCell ref="F8:G8"/>
    <mergeCell ref="H15:J15"/>
    <mergeCell ref="N17:O17"/>
    <mergeCell ref="E22:G22"/>
    <mergeCell ref="H18:J18"/>
    <mergeCell ref="K8:L8"/>
    <mergeCell ref="J40:M40"/>
    <mergeCell ref="K13:M13"/>
    <mergeCell ref="N27:P27"/>
    <mergeCell ref="E12:G12"/>
    <mergeCell ref="N19:O19"/>
    <mergeCell ref="E21:G21"/>
    <mergeCell ref="K15:M15"/>
    <mergeCell ref="E14:G14"/>
    <mergeCell ref="B22:D22"/>
    <mergeCell ref="K21:M21"/>
    <mergeCell ref="B34:E34"/>
    <mergeCell ref="B12:D12"/>
    <mergeCell ref="D6:F6"/>
    <mergeCell ref="F31:I31"/>
    <mergeCell ref="C24:D24"/>
    <mergeCell ref="O10:P10"/>
    <mergeCell ref="B30:E30"/>
    <mergeCell ref="N39:P39"/>
    <mergeCell ref="N21:O21"/>
    <mergeCell ref="C10:D10"/>
    <mergeCell ref="J39:M39"/>
    <mergeCell ref="B37:P37"/>
    <mergeCell ref="H12:J12"/>
    <mergeCell ref="N31:P31"/>
    <mergeCell ref="C9:D9"/>
    <mergeCell ref="B15:D15"/>
    <mergeCell ref="B24:B25"/>
    <mergeCell ref="K19:M19"/>
    <mergeCell ref="F40:I40"/>
    <mergeCell ref="H14:J14"/>
    <mergeCell ref="N26:P26"/>
    <mergeCell ref="B16:D16"/>
    <mergeCell ref="G6:J6"/>
    <mergeCell ref="F32:I32"/>
    <mergeCell ref="B18:D18"/>
    <mergeCell ref="J32:M32"/>
  </mergeCells>
  <printOptions horizontalCentered="1"/>
  <pageMargins left="0.3" right="0.3" top="0.35" bottom="0.3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42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9.300000000000001" customWidth="1" min="2" max="2"/>
    <col width="9.300000000000001" customWidth="1" min="3" max="3"/>
    <col width="9.300000000000001" customWidth="1" min="4" max="4"/>
    <col width="9.300000000000001" customWidth="1" min="5" max="5"/>
    <col width="9.300000000000001" customWidth="1" min="6" max="6"/>
    <col width="9.300000000000001" customWidth="1" min="7" max="7"/>
    <col width="9.300000000000001" customWidth="1" min="8" max="8"/>
    <col width="9.300000000000001" customWidth="1" min="9" max="9"/>
    <col width="9.300000000000001" customWidth="1" min="10" max="10"/>
    <col width="9.300000000000001" customWidth="1" min="11" max="11"/>
    <col width="9.300000000000001" customWidth="1" min="12" max="12"/>
    <col width="9.300000000000001" customWidth="1" min="13" max="13"/>
    <col width="9.300000000000001" customWidth="1" min="14" max="14"/>
    <col width="9.300000000000001" customWidth="1" min="15" max="15"/>
    <col width="9.300000000000001" customWidth="1" min="16" max="16"/>
  </cols>
  <sheetData>
    <row r="1" ht="20" customHeight="1">
      <c r="A1" s="1" t="inlineStr">
        <is>
          <t xml:space="preserve">  K-건설맵  |  k-conmap.com  건설 서식</t>
        </is>
      </c>
      <c r="J1" s="31" t="inlineStr">
        <is>
          <t xml:space="preserve">작성 예시 (가상의 현장)  </t>
        </is>
      </c>
    </row>
    <row r="2" ht="18" customHeight="1">
      <c r="A2" s="3" t="inlineStr">
        <is>
          <t>주 간 공 정 현 황 보 고</t>
        </is>
      </c>
      <c r="L2" s="4" t="inlineStr">
        <is>
          <t>결
재</t>
        </is>
      </c>
      <c r="M2" s="5" t="inlineStr">
        <is>
          <t>현      장</t>
        </is>
      </c>
      <c r="N2" s="6" t="n"/>
      <c r="O2" s="5" t="inlineStr">
        <is>
          <t>감      독</t>
        </is>
      </c>
      <c r="P2" s="6" t="n"/>
    </row>
    <row r="3" ht="18" customHeight="1">
      <c r="L3" s="6" t="n"/>
      <c r="M3" s="5" t="inlineStr">
        <is>
          <t>담 당</t>
        </is>
      </c>
      <c r="N3" s="5" t="inlineStr">
        <is>
          <t>소 장</t>
        </is>
      </c>
      <c r="O3" s="5" t="inlineStr">
        <is>
          <t>감 리</t>
        </is>
      </c>
      <c r="P3" s="5" t="inlineStr">
        <is>
          <t>감 독</t>
        </is>
      </c>
    </row>
    <row r="4" ht="34" customHeight="1">
      <c r="L4" s="6" t="n"/>
      <c r="M4" s="7" t="inlineStr"/>
      <c r="N4" s="7" t="inlineStr"/>
      <c r="O4" s="7" t="inlineStr"/>
      <c r="P4" s="7" t="inlineStr"/>
    </row>
    <row r="5" ht="4" customHeight="1"/>
    <row r="6" ht="22" customHeight="1">
      <c r="A6" s="4" t="inlineStr">
        <is>
          <t>작 성 일</t>
        </is>
      </c>
      <c r="B6" s="8" t="n">
        <v>46294</v>
      </c>
      <c r="C6" s="6" t="n"/>
      <c r="D6" s="9">
        <f>IF(N(B6)=0,"",TEXT(B6,"yyyy년 m월 ")&amp;(INT((DAY(B6)+WEEKDAY(DATE(YEAR(B6),MONTH(B6),1),2)-2)/7)+1)&amp;"주차")</f>
        <v/>
      </c>
      <c r="E6" s="6" t="n"/>
      <c r="F6" s="6" t="n"/>
      <c r="G6" s="10" t="inlineStr"/>
      <c r="K6" s="4" t="inlineStr">
        <is>
          <t>작 성 자</t>
        </is>
      </c>
      <c r="L6" s="11" t="inlineStr">
        <is>
          <t>김철수</t>
        </is>
      </c>
      <c r="M6" s="6" t="n"/>
      <c r="N6" s="6" t="n"/>
      <c r="O6" s="6" t="n"/>
      <c r="P6" s="12" t="inlineStr">
        <is>
          <t>(인)</t>
        </is>
      </c>
    </row>
    <row r="7" ht="22" customHeight="1">
      <c r="A7" s="4" t="inlineStr">
        <is>
          <t>공 사 명</t>
        </is>
      </c>
      <c r="B7" s="13" t="inlineStr">
        <is>
          <t>가나지구 배수로 정비공사</t>
        </is>
      </c>
      <c r="C7" s="6" t="n"/>
      <c r="D7" s="6" t="n"/>
      <c r="E7" s="6" t="n"/>
      <c r="F7" s="6" t="n"/>
      <c r="G7" s="6" t="n"/>
      <c r="H7" s="6" t="n"/>
      <c r="I7" s="4" t="inlineStr">
        <is>
          <t>업 체 명</t>
        </is>
      </c>
      <c r="J7" s="13" t="inlineStr">
        <is>
          <t>예시건설(주)</t>
        </is>
      </c>
      <c r="K7" s="6" t="n"/>
      <c r="L7" s="6" t="n"/>
      <c r="M7" s="6" t="n"/>
      <c r="N7" s="6" t="n"/>
      <c r="O7" s="6" t="n"/>
      <c r="P7" s="6" t="n"/>
    </row>
    <row r="8" ht="21" customHeight="1">
      <c r="A8" s="4" t="inlineStr">
        <is>
          <t>사업기간</t>
        </is>
      </c>
      <c r="B8" s="14" t="inlineStr">
        <is>
          <t>(1차)</t>
        </is>
      </c>
      <c r="C8" s="15" t="n">
        <v>46090</v>
      </c>
      <c r="D8" s="6" t="n"/>
      <c r="E8" s="16" t="inlineStr">
        <is>
          <t>~</t>
        </is>
      </c>
      <c r="F8" s="15" t="n">
        <v>46387</v>
      </c>
      <c r="G8" s="6" t="n"/>
      <c r="H8" s="10" t="inlineStr"/>
      <c r="I8" s="4" t="inlineStr">
        <is>
          <t>공 정 율</t>
        </is>
      </c>
      <c r="J8" s="6" t="n"/>
      <c r="K8" s="5" t="inlineStr">
        <is>
          <t>계  획</t>
        </is>
      </c>
      <c r="L8" s="6" t="n"/>
      <c r="M8" s="5" t="inlineStr">
        <is>
          <t>실  시</t>
        </is>
      </c>
      <c r="N8" s="6" t="n"/>
      <c r="O8" s="5" t="inlineStr">
        <is>
          <t>대  비</t>
        </is>
      </c>
      <c r="P8" s="6" t="n"/>
    </row>
    <row r="9" ht="21" customHeight="1">
      <c r="A9" s="6" t="n"/>
      <c r="B9" s="14" t="inlineStr">
        <is>
          <t>(2차)</t>
        </is>
      </c>
      <c r="C9" s="15" t="n">
        <v>46448</v>
      </c>
      <c r="D9" s="6" t="n"/>
      <c r="E9" s="16" t="inlineStr">
        <is>
          <t>~</t>
        </is>
      </c>
      <c r="F9" s="15" t="n">
        <v>46691</v>
      </c>
      <c r="G9" s="6" t="n"/>
      <c r="H9" s="10" t="inlineStr"/>
      <c r="I9" s="4" t="inlineStr">
        <is>
          <t>금  주</t>
        </is>
      </c>
      <c r="J9" s="6" t="n"/>
      <c r="K9" s="17" t="n">
        <v>0.021</v>
      </c>
      <c r="L9" s="6" t="n"/>
      <c r="M9" s="17" t="n">
        <v>0.018</v>
      </c>
      <c r="N9" s="6" t="n"/>
      <c r="O9" s="18">
        <f>IF(OR(K9="",M9=""),"",(M9-K9)*100)</f>
        <v/>
      </c>
      <c r="P9" s="6" t="n"/>
    </row>
    <row r="10" ht="21" customHeight="1">
      <c r="A10" s="6" t="n"/>
      <c r="B10" s="14" t="inlineStr">
        <is>
          <t>(총괄)</t>
        </is>
      </c>
      <c r="C10" s="19">
        <f>IF(COUNT(C8,C9)=0,"",MIN(C8,C9))</f>
        <v/>
      </c>
      <c r="D10" s="6" t="n"/>
      <c r="E10" s="16" t="inlineStr">
        <is>
          <t>~</t>
        </is>
      </c>
      <c r="F10" s="19">
        <f>IF(COUNT(F8,F9)=0,"",MAX(F8,F9))</f>
        <v/>
      </c>
      <c r="G10" s="6" t="n"/>
      <c r="H10" s="10" t="inlineStr"/>
      <c r="I10" s="4" t="inlineStr">
        <is>
          <t>누  계</t>
        </is>
      </c>
      <c r="J10" s="6" t="n"/>
      <c r="K10" s="17" t="n">
        <v>0.6840000000000001</v>
      </c>
      <c r="L10" s="6" t="n"/>
      <c r="M10" s="17" t="n">
        <v>0.669</v>
      </c>
      <c r="N10" s="6" t="n"/>
      <c r="O10" s="18">
        <f>IF(OR(K10="",M10=""),"",(M10-K10)*100)</f>
        <v/>
      </c>
      <c r="P10" s="6" t="n"/>
    </row>
    <row r="11" ht="4" customHeight="1"/>
    <row r="12" ht="22" customHeight="1">
      <c r="A12" s="5" t="inlineStr">
        <is>
          <t>구 분</t>
        </is>
      </c>
      <c r="B12" s="5" t="inlineStr">
        <is>
          <t>공        종</t>
        </is>
      </c>
      <c r="C12" s="6" t="n"/>
      <c r="D12" s="6" t="n"/>
      <c r="E12" s="5" t="inlineStr">
        <is>
          <t>금 주  계 획</t>
        </is>
      </c>
      <c r="F12" s="6" t="n"/>
      <c r="G12" s="6" t="n"/>
      <c r="H12" s="5" t="inlineStr">
        <is>
          <t>금 주  실 적</t>
        </is>
      </c>
      <c r="I12" s="6" t="n"/>
      <c r="J12" s="6" t="n"/>
      <c r="K12" s="5" t="inlineStr">
        <is>
          <t>차 주  계 획</t>
        </is>
      </c>
      <c r="L12" s="6" t="n"/>
      <c r="M12" s="6" t="n"/>
      <c r="N12" s="5" t="inlineStr">
        <is>
          <t>비    고</t>
        </is>
      </c>
      <c r="O12" s="6" t="n"/>
      <c r="P12" s="5" t="inlineStr">
        <is>
          <t>공정율</t>
        </is>
      </c>
    </row>
    <row r="13" ht="19" customHeight="1">
      <c r="A13" s="4" t="inlineStr">
        <is>
          <t>주간
공정</t>
        </is>
      </c>
      <c r="B13" s="20" t="inlineStr">
        <is>
          <t>배수공</t>
        </is>
      </c>
      <c r="C13" s="6" t="n"/>
      <c r="D13" s="6" t="n"/>
      <c r="E13" s="21" t="inlineStr">
        <is>
          <t>PE관 D600 60m 부설</t>
        </is>
      </c>
      <c r="F13" s="6" t="n"/>
      <c r="G13" s="6" t="n"/>
      <c r="H13" s="21" t="inlineStr">
        <is>
          <t>PE관 55m 부설</t>
        </is>
      </c>
      <c r="I13" s="6" t="n"/>
      <c r="J13" s="6" t="n"/>
      <c r="K13" s="21" t="inlineStr">
        <is>
          <t>PE관 60m 부설</t>
        </is>
      </c>
      <c r="L13" s="6" t="n"/>
      <c r="M13" s="6" t="n"/>
      <c r="N13" s="22" t="inlineStr">
        <is>
          <t>우천 1일 쉼</t>
        </is>
      </c>
      <c r="O13" s="6" t="n"/>
      <c r="P13" s="23" t="n">
        <v>0.88</v>
      </c>
    </row>
    <row r="14" ht="19" customHeight="1">
      <c r="A14" s="6" t="n"/>
      <c r="B14" s="20" t="inlineStr">
        <is>
          <t>구조물공</t>
        </is>
      </c>
      <c r="C14" s="6" t="n"/>
      <c r="D14" s="6" t="n"/>
      <c r="E14" s="21" t="inlineStr">
        <is>
          <t>암거 벽체 철근·거푸집</t>
        </is>
      </c>
      <c r="F14" s="6" t="n"/>
      <c r="G14" s="6" t="n"/>
      <c r="H14" s="21" t="inlineStr">
        <is>
          <t>벽체 철근 완료, 거푸집 80%</t>
        </is>
      </c>
      <c r="I14" s="6" t="n"/>
      <c r="J14" s="6" t="n"/>
      <c r="K14" s="21" t="inlineStr">
        <is>
          <t>벽체 콘크리트 타설(10/2)</t>
        </is>
      </c>
      <c r="L14" s="6" t="n"/>
      <c r="M14" s="6" t="n"/>
      <c r="N14" s="22" t="n"/>
      <c r="O14" s="6" t="n"/>
      <c r="P14" s="23" t="n">
        <v>0.62</v>
      </c>
    </row>
    <row r="15" ht="19" customHeight="1">
      <c r="A15" s="6" t="n"/>
      <c r="B15" s="20" t="inlineStr">
        <is>
          <t>토공</t>
        </is>
      </c>
      <c r="C15" s="6" t="n"/>
      <c r="D15" s="6" t="n"/>
      <c r="E15" s="21" t="inlineStr">
        <is>
          <t>되메우기 STA.0+400~0+460</t>
        </is>
      </c>
      <c r="F15" s="6" t="n"/>
      <c r="G15" s="6" t="n"/>
      <c r="H15" s="21" t="inlineStr">
        <is>
          <t>되메우기 완료</t>
        </is>
      </c>
      <c r="I15" s="6" t="n"/>
      <c r="J15" s="6" t="n"/>
      <c r="K15" s="21" t="inlineStr">
        <is>
          <t>되메우기 0+460~0+520</t>
        </is>
      </c>
      <c r="L15" s="6" t="n"/>
      <c r="M15" s="6" t="n"/>
      <c r="N15" s="22" t="n"/>
      <c r="O15" s="6" t="n"/>
      <c r="P15" s="23" t="n">
        <v>0.9</v>
      </c>
    </row>
    <row r="16" ht="19" customHeight="1">
      <c r="A16" s="6" t="n"/>
      <c r="B16" s="20" t="inlineStr">
        <is>
          <t>부대공</t>
        </is>
      </c>
      <c r="C16" s="6" t="n"/>
      <c r="D16" s="6" t="n"/>
      <c r="E16" s="21" t="inlineStr">
        <is>
          <t>안전시설 점검·보수</t>
        </is>
      </c>
      <c r="F16" s="6" t="n"/>
      <c r="G16" s="6" t="n"/>
      <c r="H16" s="21" t="inlineStr">
        <is>
          <t>안전난간 보수</t>
        </is>
      </c>
      <c r="I16" s="6" t="n"/>
      <c r="J16" s="6" t="n"/>
      <c r="K16" s="21" t="inlineStr">
        <is>
          <t>교통안전시설 정비</t>
        </is>
      </c>
      <c r="L16" s="6" t="n"/>
      <c r="M16" s="6" t="n"/>
      <c r="N16" s="22" t="n"/>
      <c r="O16" s="6" t="n"/>
      <c r="P16" s="23" t="n">
        <v>0.7</v>
      </c>
    </row>
    <row r="17" ht="19" customHeight="1">
      <c r="A17" s="6" t="n"/>
      <c r="B17" s="20" t="n"/>
      <c r="C17" s="6" t="n"/>
      <c r="D17" s="6" t="n"/>
      <c r="E17" s="21" t="n"/>
      <c r="F17" s="6" t="n"/>
      <c r="G17" s="6" t="n"/>
      <c r="H17" s="21" t="n"/>
      <c r="I17" s="6" t="n"/>
      <c r="J17" s="6" t="n"/>
      <c r="K17" s="21" t="n"/>
      <c r="L17" s="6" t="n"/>
      <c r="M17" s="6" t="n"/>
      <c r="N17" s="22" t="n"/>
      <c r="O17" s="6" t="n"/>
      <c r="P17" s="23" t="n"/>
    </row>
    <row r="18" ht="19" customHeight="1">
      <c r="A18" s="6" t="n"/>
      <c r="B18" s="20" t="n"/>
      <c r="C18" s="6" t="n"/>
      <c r="D18" s="6" t="n"/>
      <c r="E18" s="21" t="n"/>
      <c r="F18" s="6" t="n"/>
      <c r="G18" s="6" t="n"/>
      <c r="H18" s="21" t="n"/>
      <c r="I18" s="6" t="n"/>
      <c r="J18" s="6" t="n"/>
      <c r="K18" s="21" t="n"/>
      <c r="L18" s="6" t="n"/>
      <c r="M18" s="6" t="n"/>
      <c r="N18" s="22" t="n"/>
      <c r="O18" s="6" t="n"/>
      <c r="P18" s="23" t="n"/>
    </row>
    <row r="19" ht="19" customHeight="1">
      <c r="A19" s="6" t="n"/>
      <c r="B19" s="20" t="n"/>
      <c r="C19" s="6" t="n"/>
      <c r="D19" s="6" t="n"/>
      <c r="E19" s="21" t="n"/>
      <c r="F19" s="6" t="n"/>
      <c r="G19" s="6" t="n"/>
      <c r="H19" s="21" t="n"/>
      <c r="I19" s="6" t="n"/>
      <c r="J19" s="6" t="n"/>
      <c r="K19" s="21" t="n"/>
      <c r="L19" s="6" t="n"/>
      <c r="M19" s="6" t="n"/>
      <c r="N19" s="22" t="n"/>
      <c r="O19" s="6" t="n"/>
      <c r="P19" s="23" t="n"/>
    </row>
    <row r="20" ht="19" customHeight="1">
      <c r="A20" s="6" t="n"/>
      <c r="B20" s="20" t="n"/>
      <c r="C20" s="6" t="n"/>
      <c r="D20" s="6" t="n"/>
      <c r="E20" s="21" t="n"/>
      <c r="F20" s="6" t="n"/>
      <c r="G20" s="6" t="n"/>
      <c r="H20" s="21" t="n"/>
      <c r="I20" s="6" t="n"/>
      <c r="J20" s="6" t="n"/>
      <c r="K20" s="21" t="n"/>
      <c r="L20" s="6" t="n"/>
      <c r="M20" s="6" t="n"/>
      <c r="N20" s="22" t="n"/>
      <c r="O20" s="6" t="n"/>
      <c r="P20" s="23" t="n"/>
    </row>
    <row r="21" ht="19" customHeight="1">
      <c r="A21" s="6" t="n"/>
      <c r="B21" s="20" t="n"/>
      <c r="C21" s="6" t="n"/>
      <c r="D21" s="6" t="n"/>
      <c r="E21" s="21" t="n"/>
      <c r="F21" s="6" t="n"/>
      <c r="G21" s="6" t="n"/>
      <c r="H21" s="21" t="n"/>
      <c r="I21" s="6" t="n"/>
      <c r="J21" s="6" t="n"/>
      <c r="K21" s="21" t="n"/>
      <c r="L21" s="6" t="n"/>
      <c r="M21" s="6" t="n"/>
      <c r="N21" s="22" t="n"/>
      <c r="O21" s="6" t="n"/>
      <c r="P21" s="23" t="n"/>
    </row>
    <row r="22" ht="19" customHeight="1">
      <c r="A22" s="6" t="n"/>
      <c r="B22" s="20" t="n"/>
      <c r="C22" s="6" t="n"/>
      <c r="D22" s="6" t="n"/>
      <c r="E22" s="21" t="n"/>
      <c r="F22" s="6" t="n"/>
      <c r="G22" s="6" t="n"/>
      <c r="H22" s="21" t="n"/>
      <c r="I22" s="6" t="n"/>
      <c r="J22" s="6" t="n"/>
      <c r="K22" s="21" t="n"/>
      <c r="L22" s="6" t="n"/>
      <c r="M22" s="6" t="n"/>
      <c r="N22" s="22" t="n"/>
      <c r="O22" s="6" t="n"/>
      <c r="P22" s="23" t="n"/>
    </row>
    <row r="23" ht="16" customHeight="1">
      <c r="A23" s="24" t="inlineStr">
        <is>
          <t>(단위 : 원)</t>
        </is>
      </c>
    </row>
    <row r="24" ht="20" customHeight="1">
      <c r="A24" s="4" t="inlineStr">
        <is>
          <t>기성
현황</t>
        </is>
      </c>
      <c r="B24" s="5" t="inlineStr">
        <is>
          <t>구 분</t>
        </is>
      </c>
      <c r="C24" s="5" t="inlineStr">
        <is>
          <t>도급액 (A)</t>
        </is>
      </c>
      <c r="D24" s="6" t="n"/>
      <c r="E24" s="5" t="inlineStr">
        <is>
          <t>노무비 (B)</t>
        </is>
      </c>
      <c r="F24" s="6" t="n"/>
      <c r="G24" s="6" t="n"/>
      <c r="H24" s="6" t="n"/>
      <c r="I24" s="5" t="inlineStr">
        <is>
          <t>기성금액 (C)</t>
        </is>
      </c>
      <c r="J24" s="6" t="n"/>
      <c r="K24" s="6" t="n"/>
      <c r="L24" s="6" t="n"/>
      <c r="M24" s="6" t="n"/>
      <c r="N24" s="5" t="inlineStr">
        <is>
          <t>잔액 (D=A−B−C)</t>
        </is>
      </c>
      <c r="O24" s="6" t="n"/>
      <c r="P24" s="6" t="n"/>
    </row>
    <row r="25" ht="18" customHeight="1">
      <c r="A25" s="6" t="n"/>
      <c r="B25" s="6" t="n"/>
      <c r="C25" s="25" t="inlineStr">
        <is>
          <t>당초</t>
        </is>
      </c>
      <c r="D25" s="25" t="inlineStr">
        <is>
          <t>변경</t>
        </is>
      </c>
      <c r="E25" s="25" t="inlineStr">
        <is>
          <t>계</t>
        </is>
      </c>
      <c r="F25" s="25" t="inlineStr">
        <is>
          <t>전회까지</t>
        </is>
      </c>
      <c r="G25" s="25" t="inlineStr">
        <is>
          <t>금회</t>
        </is>
      </c>
      <c r="H25" s="25" t="inlineStr">
        <is>
          <t>잔액</t>
        </is>
      </c>
      <c r="I25" s="25" t="inlineStr">
        <is>
          <t>계</t>
        </is>
      </c>
      <c r="J25" s="25" t="inlineStr">
        <is>
          <t>1회</t>
        </is>
      </c>
      <c r="K25" s="25" t="inlineStr">
        <is>
          <t>2회</t>
        </is>
      </c>
      <c r="L25" s="25" t="inlineStr">
        <is>
          <t>3회</t>
        </is>
      </c>
      <c r="M25" s="25" t="inlineStr">
        <is>
          <t>4회</t>
        </is>
      </c>
      <c r="N25" s="6" t="n"/>
      <c r="O25" s="6" t="n"/>
      <c r="P25" s="6" t="n"/>
    </row>
    <row r="26" ht="20" customHeight="1">
      <c r="A26" s="6" t="n"/>
      <c r="B26" s="14" t="inlineStr">
        <is>
          <t>총 괄</t>
        </is>
      </c>
      <c r="C26" s="26">
        <f>IF(N(C27)+N(C28)=0,"",N(C27)+N(C28))</f>
        <v/>
      </c>
      <c r="D26" s="26">
        <f>IF(N(D27)+N(D28)=0,"",IF(N(D27)&gt;0,D27,N(C27))+IF(N(D28)&gt;0,D28,N(C28)))</f>
        <v/>
      </c>
      <c r="E26" s="26">
        <f>IF(N(E27)+N(E28)=0,"",N(E27)+N(E28))</f>
        <v/>
      </c>
      <c r="F26" s="26">
        <f>IF(N(F27)+N(F28)=0,"",N(F27)+N(F28))</f>
        <v/>
      </c>
      <c r="G26" s="26">
        <f>IF(N(G27)+N(G28)=0,"",N(G27)+N(G28))</f>
        <v/>
      </c>
      <c r="H26" s="26">
        <f>IF(N(H27)+N(H28)=0,"",N(H27)+N(H28))</f>
        <v/>
      </c>
      <c r="I26" s="26">
        <f>IF(N(I27)+N(I28)=0,"",N(I27)+N(I28))</f>
        <v/>
      </c>
      <c r="J26" s="26">
        <f>IF(N(J27)+N(J28)=0,"",N(J27)+N(J28))</f>
        <v/>
      </c>
      <c r="K26" s="26">
        <f>IF(N(K27)+N(K28)=0,"",N(K27)+N(K28))</f>
        <v/>
      </c>
      <c r="L26" s="26">
        <f>IF(N(L27)+N(L28)=0,"",N(L27)+N(L28))</f>
        <v/>
      </c>
      <c r="M26" s="26">
        <f>IF(N(M27)+N(M28)=0,"",N(M27)+N(M28))</f>
        <v/>
      </c>
      <c r="N26" s="27">
        <f>IF(N(N27)+N(N28)=0,"",N(N27)+N(N28))</f>
        <v/>
      </c>
      <c r="O26" s="6" t="n"/>
      <c r="P26" s="6" t="n"/>
    </row>
    <row r="27" ht="20" customHeight="1">
      <c r="A27" s="6" t="n"/>
      <c r="B27" s="14" t="inlineStr">
        <is>
          <t>1 차</t>
        </is>
      </c>
      <c r="C27" s="28" t="n">
        <v>963241000</v>
      </c>
      <c r="D27" s="28" t="n">
        <v>1011891000</v>
      </c>
      <c r="E27" s="26">
        <f>IF(N(F27)+N(G27)=0,"",N(F27)+N(G27))</f>
        <v/>
      </c>
      <c r="F27" s="28" t="n">
        <v>180000000</v>
      </c>
      <c r="G27" s="28" t="n">
        <v>22500000</v>
      </c>
      <c r="H27" s="28" t="n"/>
      <c r="I27" s="26">
        <f>IF(SUM(J27:M27)=0,"",SUM(J27:M27))</f>
        <v/>
      </c>
      <c r="J27" s="28" t="n">
        <v>180000000</v>
      </c>
      <c r="K27" s="28" t="n">
        <v>210000000</v>
      </c>
      <c r="L27" s="28" t="n">
        <v>150000000</v>
      </c>
      <c r="M27" s="28" t="n"/>
      <c r="N27" s="26">
        <f>IF(N(C27)+N(D27)=0,"",IF(N(D27)&gt;0,D27,C27)-N(E27)-N(I27))</f>
        <v/>
      </c>
      <c r="O27" s="6" t="n"/>
      <c r="P27" s="6" t="n"/>
    </row>
    <row r="28" ht="20" customHeight="1">
      <c r="A28" s="6" t="n"/>
      <c r="B28" s="14" t="inlineStr">
        <is>
          <t>2 차</t>
        </is>
      </c>
      <c r="C28" s="28" t="n">
        <v>878000000</v>
      </c>
      <c r="D28" s="28" t="n"/>
      <c r="E28" s="26">
        <f>IF(N(F28)+N(G28)=0,"",N(F28)+N(G28))</f>
        <v/>
      </c>
      <c r="F28" s="28" t="n"/>
      <c r="G28" s="28" t="n"/>
      <c r="H28" s="28" t="n"/>
      <c r="I28" s="26">
        <f>IF(SUM(J28:M28)=0,"",SUM(J28:M28))</f>
        <v/>
      </c>
      <c r="J28" s="28" t="n"/>
      <c r="K28" s="28" t="n"/>
      <c r="L28" s="28" t="n"/>
      <c r="M28" s="28" t="n"/>
      <c r="N28" s="26">
        <f>IF(N(C28)+N(D28)=0,"",IF(N(D28)&gt;0,D28,C28)-N(E28)-N(I28))</f>
        <v/>
      </c>
      <c r="O28" s="6" t="n"/>
      <c r="P28" s="6" t="n"/>
    </row>
    <row r="29" ht="4" customHeight="1"/>
    <row r="30" ht="20" customHeight="1">
      <c r="A30" s="4" t="inlineStr">
        <is>
          <t>시공·
안전·
품질
관리</t>
        </is>
      </c>
      <c r="B30" s="5" t="inlineStr">
        <is>
          <t>전 주 까 지</t>
        </is>
      </c>
      <c r="C30" s="6" t="n"/>
      <c r="D30" s="6" t="n"/>
      <c r="E30" s="6" t="n"/>
      <c r="F30" s="5" t="inlineStr">
        <is>
          <t>금 주  계 획</t>
        </is>
      </c>
      <c r="G30" s="6" t="n"/>
      <c r="H30" s="6" t="n"/>
      <c r="I30" s="6" t="n"/>
      <c r="J30" s="5" t="inlineStr">
        <is>
          <t>차 주  계 획</t>
        </is>
      </c>
      <c r="K30" s="6" t="n"/>
      <c r="L30" s="6" t="n"/>
      <c r="M30" s="6" t="n"/>
      <c r="N30" s="5" t="inlineStr">
        <is>
          <t>비    고</t>
        </is>
      </c>
      <c r="O30" s="6" t="n"/>
      <c r="P30" s="6" t="n"/>
    </row>
    <row r="31" ht="19" customHeight="1">
      <c r="A31" s="6" t="n"/>
      <c r="B31" s="21" t="inlineStr">
        <is>
          <t>시공: 암거 기초 콘크리트 타설 완료(9/18)</t>
        </is>
      </c>
      <c r="C31" s="6" t="n"/>
      <c r="D31" s="6" t="n"/>
      <c r="E31" s="6" t="n"/>
      <c r="F31" s="21" t="inlineStr">
        <is>
          <t>벽체 철근 검측(9/30)</t>
        </is>
      </c>
      <c r="G31" s="6" t="n"/>
      <c r="H31" s="6" t="n"/>
      <c r="I31" s="6" t="n"/>
      <c r="J31" s="21" t="inlineStr">
        <is>
          <t>벽체 콘크리트 타설·양생</t>
        </is>
      </c>
      <c r="K31" s="6" t="n"/>
      <c r="L31" s="6" t="n"/>
      <c r="M31" s="6" t="n"/>
      <c r="N31" s="22" t="n"/>
      <c r="O31" s="6" t="n"/>
      <c r="P31" s="6" t="n"/>
    </row>
    <row r="32" ht="19" customHeight="1">
      <c r="A32" s="6" t="n"/>
      <c r="B32" s="21" t="inlineStr">
        <is>
          <t>안전: 추락방지망 설치</t>
        </is>
      </c>
      <c r="C32" s="6" t="n"/>
      <c r="D32" s="6" t="n"/>
      <c r="E32" s="6" t="n"/>
      <c r="F32" s="21" t="inlineStr">
        <is>
          <t>TBM·위험성평가(매일)</t>
        </is>
      </c>
      <c r="G32" s="6" t="n"/>
      <c r="H32" s="6" t="n"/>
      <c r="I32" s="6" t="n"/>
      <c r="J32" s="21" t="inlineStr">
        <is>
          <t>거푸집 동바리 점검</t>
        </is>
      </c>
      <c r="K32" s="6" t="n"/>
      <c r="L32" s="6" t="n"/>
      <c r="M32" s="6" t="n"/>
      <c r="N32" s="22" t="n"/>
      <c r="O32" s="6" t="n"/>
      <c r="P32" s="6" t="n"/>
    </row>
    <row r="33" ht="19" customHeight="1">
      <c r="A33" s="6" t="n"/>
      <c r="B33" s="21" t="inlineStr">
        <is>
          <t>품질: 레미콘 슬럼프·공기량 시험</t>
        </is>
      </c>
      <c r="C33" s="6" t="n"/>
      <c r="D33" s="6" t="n"/>
      <c r="E33" s="6" t="n"/>
      <c r="F33" s="21" t="inlineStr">
        <is>
          <t>철근 규격·간격 확인</t>
        </is>
      </c>
      <c r="G33" s="6" t="n"/>
      <c r="H33" s="6" t="n"/>
      <c r="I33" s="6" t="n"/>
      <c r="J33" s="21" t="inlineStr">
        <is>
          <t>공시체 7일 강도 확인</t>
        </is>
      </c>
      <c r="K33" s="6" t="n"/>
      <c r="L33" s="6" t="n"/>
      <c r="M33" s="6" t="n"/>
      <c r="N33" s="22" t="n"/>
      <c r="O33" s="6" t="n"/>
      <c r="P33" s="6" t="n"/>
    </row>
    <row r="34" ht="19" customHeight="1">
      <c r="A34" s="6" t="n"/>
      <c r="B34" s="21" t="inlineStr">
        <is>
          <t>환경: 세륜시설 운영</t>
        </is>
      </c>
      <c r="C34" s="6" t="n"/>
      <c r="D34" s="6" t="n"/>
      <c r="E34" s="6" t="n"/>
      <c r="F34" s="21" t="inlineStr">
        <is>
          <t>살수 하루 2회</t>
        </is>
      </c>
      <c r="G34" s="6" t="n"/>
      <c r="H34" s="6" t="n"/>
      <c r="I34" s="6" t="n"/>
      <c r="J34" s="21" t="inlineStr">
        <is>
          <t>비산먼지 점검</t>
        </is>
      </c>
      <c r="K34" s="6" t="n"/>
      <c r="L34" s="6" t="n"/>
      <c r="M34" s="6" t="n"/>
      <c r="N34" s="22" t="n"/>
      <c r="O34" s="6" t="n"/>
      <c r="P34" s="6" t="n"/>
    </row>
    <row r="35" ht="4" customHeight="1"/>
    <row r="36" ht="20" customHeight="1">
      <c r="A36" s="4" t="inlineStr">
        <is>
          <t>현안
사항</t>
        </is>
      </c>
      <c r="B36" s="20" t="inlineStr">
        <is>
          <t>1. 10/2 벽체 타설 예정 — 비가 오면 10/5로 미룸(감독과 협의 완료).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 ht="20" customHeight="1">
      <c r="A37" s="6" t="n"/>
      <c r="B37" s="20" t="inlineStr">
        <is>
          <t>2. 포장 복구 구간 교통처리계획 변경 승인 요청 중(가나시 교통과).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 ht="4" customHeight="1"/>
    <row r="39" ht="118" customHeight="1">
      <c r="A39" s="4" t="inlineStr">
        <is>
          <t>현장
사진
대지</t>
        </is>
      </c>
      <c r="B39" s="7" t="inlineStr"/>
      <c r="C39" s="6" t="n"/>
      <c r="D39" s="6" t="n"/>
      <c r="E39" s="6" t="n"/>
      <c r="F39" s="7" t="inlineStr"/>
      <c r="G39" s="6" t="n"/>
      <c r="H39" s="6" t="n"/>
      <c r="I39" s="6" t="n"/>
      <c r="J39" s="7" t="inlineStr"/>
      <c r="K39" s="6" t="n"/>
      <c r="L39" s="6" t="n"/>
      <c r="M39" s="6" t="n"/>
      <c r="N39" s="7" t="inlineStr"/>
      <c r="O39" s="6" t="n"/>
      <c r="P39" s="6" t="n"/>
    </row>
    <row r="40" ht="18" customHeight="1">
      <c r="A40" s="6" t="n"/>
      <c r="B40" s="29" t="inlineStr">
        <is>
          <t>암거 벽체 철근 조립 (9/28)</t>
        </is>
      </c>
      <c r="C40" s="6" t="n"/>
      <c r="D40" s="6" t="n"/>
      <c r="E40" s="6" t="n"/>
      <c r="F40" s="29" t="inlineStr">
        <is>
          <t>PE관 부설 STA.0+600 (9/25)</t>
        </is>
      </c>
      <c r="G40" s="6" t="n"/>
      <c r="H40" s="6" t="n"/>
      <c r="I40" s="6" t="n"/>
      <c r="J40" s="29" t="inlineStr">
        <is>
          <t>되메우기 다짐 (9/26)</t>
        </is>
      </c>
      <c r="K40" s="6" t="n"/>
      <c r="L40" s="6" t="n"/>
      <c r="M40" s="6" t="n"/>
      <c r="N40" s="29" t="inlineStr">
        <is>
          <t>안전난간 보수 (9/24)</t>
        </is>
      </c>
      <c r="O40" s="6" t="n"/>
      <c r="P40" s="6" t="n"/>
    </row>
    <row r="42" ht="19.5" customHeight="1">
      <c r="A42" s="30" t="inlineStr">
        <is>
          <t>이 시트는 작성 예시입니다(가상의 공사 · 금액 · 날짜). 사진 칸은 비워 두었습니다 — 실제 현장 사진을 붙이세요.</t>
        </is>
      </c>
    </row>
  </sheetData>
  <mergeCells count="131">
    <mergeCell ref="A42:P42"/>
    <mergeCell ref="E13:G13"/>
    <mergeCell ref="N20:O20"/>
    <mergeCell ref="N33:P33"/>
    <mergeCell ref="H17:J17"/>
    <mergeCell ref="E15:G15"/>
    <mergeCell ref="N22:O22"/>
    <mergeCell ref="J33:M33"/>
    <mergeCell ref="N12:O12"/>
    <mergeCell ref="H22:J22"/>
    <mergeCell ref="N28:P28"/>
    <mergeCell ref="H19:J19"/>
    <mergeCell ref="M10:N10"/>
    <mergeCell ref="K17:M17"/>
    <mergeCell ref="E24:H24"/>
    <mergeCell ref="N14:O14"/>
    <mergeCell ref="B20:D20"/>
    <mergeCell ref="E16:G16"/>
    <mergeCell ref="J1:P1"/>
    <mergeCell ref="N30:P30"/>
    <mergeCell ref="B31:E31"/>
    <mergeCell ref="A24:A28"/>
    <mergeCell ref="B36:P36"/>
    <mergeCell ref="I24:M24"/>
    <mergeCell ref="B39:E39"/>
    <mergeCell ref="E18:G18"/>
    <mergeCell ref="J30:M30"/>
    <mergeCell ref="K16:M16"/>
    <mergeCell ref="M8:N8"/>
    <mergeCell ref="O8:P8"/>
    <mergeCell ref="O2:P2"/>
    <mergeCell ref="A2:K4"/>
    <mergeCell ref="N15:O15"/>
    <mergeCell ref="N32:P32"/>
    <mergeCell ref="K20:M20"/>
    <mergeCell ref="E20:G20"/>
    <mergeCell ref="H21:J21"/>
    <mergeCell ref="B40:E40"/>
    <mergeCell ref="F10:G10"/>
    <mergeCell ref="K22:M22"/>
    <mergeCell ref="N16:O16"/>
    <mergeCell ref="B17:D17"/>
    <mergeCell ref="B33:E33"/>
    <mergeCell ref="K12:M12"/>
    <mergeCell ref="B32:E32"/>
    <mergeCell ref="H16:J16"/>
    <mergeCell ref="B19:D19"/>
    <mergeCell ref="K14:M14"/>
    <mergeCell ref="L2:L4"/>
    <mergeCell ref="B7:H7"/>
    <mergeCell ref="F34:I34"/>
    <mergeCell ref="N34:P34"/>
    <mergeCell ref="A30:A34"/>
    <mergeCell ref="F30:I30"/>
    <mergeCell ref="J34:M34"/>
    <mergeCell ref="K18:M18"/>
    <mergeCell ref="I8:J8"/>
    <mergeCell ref="N13:O13"/>
    <mergeCell ref="F33:I33"/>
    <mergeCell ref="C8:D8"/>
    <mergeCell ref="F9:G9"/>
    <mergeCell ref="H20:J20"/>
    <mergeCell ref="B6:C6"/>
    <mergeCell ref="I10:J10"/>
    <mergeCell ref="K10:L10"/>
    <mergeCell ref="A39:A40"/>
    <mergeCell ref="A1:I1"/>
    <mergeCell ref="E17:G17"/>
    <mergeCell ref="B21:D21"/>
    <mergeCell ref="J7:P7"/>
    <mergeCell ref="I9:J9"/>
    <mergeCell ref="B14:D14"/>
    <mergeCell ref="A8:A10"/>
    <mergeCell ref="E19:G19"/>
    <mergeCell ref="N24:P25"/>
    <mergeCell ref="J31:M31"/>
    <mergeCell ref="A23:P23"/>
    <mergeCell ref="F39:I39"/>
    <mergeCell ref="K9:L9"/>
    <mergeCell ref="B13:D13"/>
    <mergeCell ref="L6:O6"/>
    <mergeCell ref="M9:N9"/>
    <mergeCell ref="A13:A22"/>
    <mergeCell ref="O9:P9"/>
    <mergeCell ref="A36:A37"/>
    <mergeCell ref="M2:N2"/>
    <mergeCell ref="H13:J13"/>
    <mergeCell ref="N40:P40"/>
    <mergeCell ref="N18:O18"/>
    <mergeCell ref="F8:G8"/>
    <mergeCell ref="H15:J15"/>
    <mergeCell ref="N17:O17"/>
    <mergeCell ref="E22:G22"/>
    <mergeCell ref="H18:J18"/>
    <mergeCell ref="K8:L8"/>
    <mergeCell ref="J40:M40"/>
    <mergeCell ref="K13:M13"/>
    <mergeCell ref="N27:P27"/>
    <mergeCell ref="E12:G12"/>
    <mergeCell ref="N19:O19"/>
    <mergeCell ref="E21:G21"/>
    <mergeCell ref="K15:M15"/>
    <mergeCell ref="E14:G14"/>
    <mergeCell ref="B22:D22"/>
    <mergeCell ref="K21:M21"/>
    <mergeCell ref="B34:E34"/>
    <mergeCell ref="B12:D12"/>
    <mergeCell ref="D6:F6"/>
    <mergeCell ref="F31:I31"/>
    <mergeCell ref="C24:D24"/>
    <mergeCell ref="O10:P10"/>
    <mergeCell ref="B30:E30"/>
    <mergeCell ref="N39:P39"/>
    <mergeCell ref="N21:O21"/>
    <mergeCell ref="C10:D10"/>
    <mergeCell ref="J39:M39"/>
    <mergeCell ref="B37:P37"/>
    <mergeCell ref="H12:J12"/>
    <mergeCell ref="N31:P31"/>
    <mergeCell ref="C9:D9"/>
    <mergeCell ref="B15:D15"/>
    <mergeCell ref="B24:B25"/>
    <mergeCell ref="K19:M19"/>
    <mergeCell ref="F40:I40"/>
    <mergeCell ref="H14:J14"/>
    <mergeCell ref="N26:P26"/>
    <mergeCell ref="B16:D16"/>
    <mergeCell ref="G6:J6"/>
    <mergeCell ref="F32:I32"/>
    <mergeCell ref="B18:D18"/>
    <mergeCell ref="J32:M32"/>
  </mergeCells>
  <printOptions horizontalCentered="1"/>
  <pageMargins left="0.3" right="0.3" top="0.35" bottom="0.3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주간 공정 현황보고</dc:title>
  <dcterms:created xmlns:dcterms="http://purl.org/dc/terms/" xmlns:xsi="http://www.w3.org/2001/XMLSchema-instance" xsi:type="dcterms:W3CDTF">2026-10-17T01:05:43Z</dcterms:created>
  <dcterms:modified xmlns:dcterms="http://purl.org/dc/terms/" xmlns:xsi="http://www.w3.org/2001/XMLSchema-instance" xsi:type="dcterms:W3CDTF">2026-10-17T01:05:44Z</dcterms:modified>
</cp:coreProperties>
</file>