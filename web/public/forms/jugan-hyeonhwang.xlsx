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신광\설계도서착공계\공정계획및월간주간\"/>
    </mc:Choice>
  </mc:AlternateContent>
  <xr:revisionPtr revIDLastSave="0" documentId="13_ncr:1_{72C9E317-06E8-4822-A253-128474E37F83}" xr6:coauthVersionLast="47" xr6:coauthVersionMax="47" xr10:uidLastSave="{00000000-0000-0000-0000-000000000000}"/>
  <bookViews>
    <workbookView xWindow="-120" yWindow="-120" windowWidth="29040" windowHeight="15840" xr2:uid="{FBBE4A87-0F1E-4C28-ADCF-148213B4C3A0}"/>
  </bookViews>
  <sheets>
    <sheet name="Sheet1" sheetId="1" r:id="rId1"/>
    <sheet name="Sheet2" sheetId="2" r:id="rId2"/>
  </sheets>
  <definedNames>
    <definedName name="_xlnm.Print_Area" localSheetId="1">Sheet2!$A$1:$G$15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3" i="1" l="1"/>
  <c r="W23" i="1" s="1"/>
  <c r="W24" i="1"/>
  <c r="G24" i="1"/>
  <c r="G23" i="1"/>
  <c r="L24" i="1"/>
  <c r="B14" i="2" l="1"/>
  <c r="A14" i="2"/>
  <c r="G12" i="2"/>
  <c r="F12" i="2"/>
  <c r="B12" i="2"/>
  <c r="C12" i="2"/>
  <c r="D12" i="2"/>
  <c r="E12" i="2"/>
  <c r="A12" i="2"/>
  <c r="B10" i="2"/>
  <c r="C10" i="2"/>
  <c r="D10" i="2"/>
  <c r="E10" i="2"/>
  <c r="F10" i="2"/>
  <c r="G10" i="2"/>
  <c r="A10" i="2"/>
  <c r="B8" i="2"/>
  <c r="C8" i="2"/>
  <c r="D8" i="2"/>
  <c r="E8" i="2"/>
  <c r="F8" i="2"/>
  <c r="G8" i="2"/>
  <c r="A8" i="2"/>
</calcChain>
</file>

<file path=xl/sharedStrings.xml><?xml version="1.0" encoding="utf-8"?>
<sst xmlns="http://schemas.openxmlformats.org/spreadsheetml/2006/main" count="123" uniqueCount="113">
  <si>
    <t>작성일</t>
    <phoneticPr fontId="1" type="noConversion"/>
  </si>
  <si>
    <t>사업기간</t>
    <phoneticPr fontId="1" type="noConversion"/>
  </si>
  <si>
    <t>~</t>
    <phoneticPr fontId="1" type="noConversion"/>
  </si>
  <si>
    <t>(1차)</t>
    <phoneticPr fontId="1" type="noConversion"/>
  </si>
  <si>
    <t>(총괄)</t>
    <phoneticPr fontId="1" type="noConversion"/>
  </si>
  <si>
    <t>구분</t>
    <phoneticPr fontId="1" type="noConversion"/>
  </si>
  <si>
    <t>비고</t>
    <phoneticPr fontId="1" type="noConversion"/>
  </si>
  <si>
    <t xml:space="preserve">작성자 : </t>
    <phoneticPr fontId="1" type="noConversion"/>
  </si>
  <si>
    <t>(인)</t>
    <phoneticPr fontId="1" type="noConversion"/>
  </si>
  <si>
    <t>공정율</t>
    <phoneticPr fontId="1" type="noConversion"/>
  </si>
  <si>
    <t>계획</t>
    <phoneticPr fontId="1" type="noConversion"/>
  </si>
  <si>
    <t>실시</t>
    <phoneticPr fontId="1" type="noConversion"/>
  </si>
  <si>
    <t>감독</t>
    <phoneticPr fontId="1" type="noConversion"/>
  </si>
  <si>
    <t>감리</t>
    <phoneticPr fontId="1" type="noConversion"/>
  </si>
  <si>
    <t>담당</t>
    <phoneticPr fontId="1" type="noConversion"/>
  </si>
  <si>
    <t>소장</t>
    <phoneticPr fontId="1" type="noConversion"/>
  </si>
  <si>
    <t>1차</t>
    <phoneticPr fontId="1" type="noConversion"/>
  </si>
  <si>
    <t>당초</t>
    <phoneticPr fontId="1" type="noConversion"/>
  </si>
  <si>
    <t>변경</t>
    <phoneticPr fontId="1" type="noConversion"/>
  </si>
  <si>
    <t>전회까지</t>
    <phoneticPr fontId="1" type="noConversion"/>
  </si>
  <si>
    <t>금회</t>
    <phoneticPr fontId="1" type="noConversion"/>
  </si>
  <si>
    <t>잔액</t>
    <phoneticPr fontId="1" type="noConversion"/>
  </si>
  <si>
    <t>(단위 :  천원, VAT 포함)</t>
    <phoneticPr fontId="1" type="noConversion"/>
  </si>
  <si>
    <t xml:space="preserve">총괄 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</si>
  <si>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</si>
  <si>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</si>
  <si>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</si>
  <si>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</si>
  <si>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</si>
  <si>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</si>
  <si>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토</t>
  </si>
  <si>
    <t>02월 24일</t>
    <phoneticPr fontId="1" type="noConversion"/>
  </si>
  <si>
    <t>월 간 예 정 공 정 (2025년 03월)</t>
    <phoneticPr fontId="1" type="noConversion"/>
  </si>
  <si>
    <t>공사명 : 00지구 00사업</t>
    <phoneticPr fontId="1" type="noConversion"/>
  </si>
  <si>
    <t>결 재</t>
    <phoneticPr fontId="1" type="noConversion"/>
  </si>
  <si>
    <t>누계</t>
    <phoneticPr fontId="1" type="noConversion"/>
  </si>
  <si>
    <t>업 체 명</t>
    <phoneticPr fontId="1" type="noConversion"/>
  </si>
  <si>
    <t>공 사 명</t>
    <phoneticPr fontId="1" type="noConversion"/>
  </si>
  <si>
    <t>현   장</t>
    <phoneticPr fontId="1" type="noConversion"/>
  </si>
  <si>
    <t>감   독</t>
    <phoneticPr fontId="1" type="noConversion"/>
  </si>
  <si>
    <t>송금지구 배수개선사업</t>
    <phoneticPr fontId="1" type="noConversion"/>
  </si>
  <si>
    <t>1차분 계획(02.10 ~ 02.23)</t>
    <phoneticPr fontId="1" type="noConversion"/>
  </si>
  <si>
    <t>%</t>
    <phoneticPr fontId="1" type="noConversion"/>
  </si>
  <si>
    <t>전주까지(02.24 ~ 03.09)</t>
    <phoneticPr fontId="1" type="noConversion"/>
  </si>
  <si>
    <t>금주 계획 (03.10 ~ 03.22)</t>
    <phoneticPr fontId="1" type="noConversion"/>
  </si>
  <si>
    <t>1회</t>
    <phoneticPr fontId="1" type="noConversion"/>
  </si>
  <si>
    <t>2회</t>
    <phoneticPr fontId="1" type="noConversion"/>
  </si>
  <si>
    <t>계</t>
    <phoneticPr fontId="1" type="noConversion"/>
  </si>
  <si>
    <t>3회</t>
    <phoneticPr fontId="1" type="noConversion"/>
  </si>
  <si>
    <t>4회</t>
    <phoneticPr fontId="1" type="noConversion"/>
  </si>
  <si>
    <t>2차</t>
    <phoneticPr fontId="1" type="noConversion"/>
  </si>
  <si>
    <t>(2차)</t>
    <phoneticPr fontId="1" type="noConversion"/>
  </si>
  <si>
    <t>2차분 계획(02.10 ~ 02.23)</t>
    <phoneticPr fontId="1" type="noConversion"/>
  </si>
  <si>
    <t>2호 배수로</t>
  </si>
  <si>
    <t>3호 배수로</t>
  </si>
  <si>
    <t>4호 배수로</t>
  </si>
  <si>
    <t>5호 배수로</t>
  </si>
  <si>
    <t>주간
공정</t>
    <phoneticPr fontId="1" type="noConversion"/>
  </si>
  <si>
    <t>기성
현황</t>
    <phoneticPr fontId="1" type="noConversion"/>
  </si>
  <si>
    <t>현안
사항</t>
    <phoneticPr fontId="1" type="noConversion"/>
  </si>
  <si>
    <t>현장
사진
대지</t>
    <phoneticPr fontId="1" type="noConversion"/>
  </si>
  <si>
    <t>공종</t>
    <phoneticPr fontId="1" type="noConversion"/>
  </si>
  <si>
    <t>유수지</t>
    <phoneticPr fontId="1" type="noConversion"/>
  </si>
  <si>
    <t>도급액(A)</t>
    <phoneticPr fontId="1" type="noConversion"/>
  </si>
  <si>
    <t>노무비(B)</t>
    <phoneticPr fontId="1" type="noConversion"/>
  </si>
  <si>
    <t>기성금액(C)</t>
    <phoneticPr fontId="1" type="noConversion"/>
  </si>
  <si>
    <t>잔액(D=A-B-C)</t>
    <phoneticPr fontId="1" type="noConversion"/>
  </si>
  <si>
    <t>전주까지</t>
    <phoneticPr fontId="1" type="noConversion"/>
  </si>
  <si>
    <t>금주계획</t>
    <phoneticPr fontId="1" type="noConversion"/>
  </si>
  <si>
    <t>차주계획</t>
    <phoneticPr fontId="1" type="noConversion"/>
  </si>
  <si>
    <t>시공,
안전,
품질
관리</t>
    <phoneticPr fontId="1" type="noConversion"/>
  </si>
  <si>
    <t>- 안전관리계획서 조건부 승인</t>
    <phoneticPr fontId="1" type="noConversion"/>
  </si>
  <si>
    <t>- 시험(콘크리트00회, 토공00회)</t>
    <phoneticPr fontId="1" type="noConversion"/>
  </si>
  <si>
    <t>- 매설부 검측(배수로 터파기 계획고)</t>
    <phoneticPr fontId="1" type="noConversion"/>
  </si>
  <si>
    <t>㈜신광건설</t>
    <phoneticPr fontId="1" type="noConversion"/>
  </si>
  <si>
    <t>2024.07.22</t>
    <phoneticPr fontId="1" type="noConversion"/>
  </si>
  <si>
    <t>2024.12.20</t>
    <phoneticPr fontId="1" type="noConversion"/>
  </si>
  <si>
    <t>2027.08.12</t>
    <phoneticPr fontId="1" type="noConversion"/>
  </si>
  <si>
    <t>2025.12.14</t>
    <phoneticPr fontId="1" type="noConversion"/>
  </si>
  <si>
    <t>2025.08.12</t>
    <phoneticPr fontId="1" type="noConversion"/>
  </si>
  <si>
    <t>1호 배수로</t>
    <phoneticPr fontId="1" type="noConversion"/>
  </si>
  <si>
    <t>L=277m(No.00+00~No.5+20)</t>
    <phoneticPr fontId="1" type="noConversion"/>
  </si>
  <si>
    <t>L=504m(No.00+00~No.10+4.2)</t>
    <phoneticPr fontId="1" type="noConversion"/>
  </si>
  <si>
    <t>L=340m(No.00+00~No.6+40.2)</t>
    <phoneticPr fontId="1" type="noConversion"/>
  </si>
  <si>
    <t>L=26.5m(No.00+00~No.0+26.5)</t>
    <phoneticPr fontId="1" type="noConversion"/>
  </si>
  <si>
    <t>L=289.5m(No.00+26.5~No.6+16)</t>
    <phoneticPr fontId="1" type="noConversion"/>
  </si>
  <si>
    <t>L=1043m(No.00+00~No.00+00)기초</t>
  </si>
  <si>
    <t>L=1043m(No.00+00~No.20+43)</t>
    <phoneticPr fontId="1" type="noConversion"/>
  </si>
  <si>
    <t>L=250m(No.00+00~No.5+0)</t>
    <phoneticPr fontId="1" type="noConversion"/>
  </si>
  <si>
    <t>L=200m(No.00+00~No.4+00)</t>
    <phoneticPr fontId="1" type="noConversion"/>
  </si>
  <si>
    <t>터파기(V=12,000㎥)</t>
    <phoneticPr fontId="1" type="noConversion"/>
  </si>
  <si>
    <t>터파기(V=15,495㎥)</t>
  </si>
  <si>
    <t>강관추진</t>
    <phoneticPr fontId="1" type="noConversion"/>
  </si>
  <si>
    <t>L=100m(No.00+00~No.5+20)터파기</t>
    <phoneticPr fontId="1" type="noConversion"/>
  </si>
  <si>
    <t>L=80m(No.00+00~No.4+00)터파기</t>
    <phoneticPr fontId="1" type="noConversion"/>
  </si>
  <si>
    <t>0 m</t>
    <phoneticPr fontId="1" type="noConversion"/>
  </si>
  <si>
    <t>8.12m</t>
    <phoneticPr fontId="1" type="noConversion"/>
  </si>
  <si>
    <t>- 매설부 검측(2회)</t>
    <phoneticPr fontId="1" type="noConversion"/>
  </si>
  <si>
    <t>- 시험(콘크리트1회, 토공1회)</t>
    <phoneticPr fontId="1" type="noConversion"/>
  </si>
  <si>
    <t>- 안전관리계획서 CSI승인(2025.3월승인중예정)</t>
    <phoneticPr fontId="1" type="noConversion"/>
  </si>
  <si>
    <t>- 총괄실정보고예정</t>
    <phoneticPr fontId="1" type="noConversion"/>
  </si>
  <si>
    <t>- 기타 민원, 4호배수로 관정파손으로 협의중  실정보고준비중</t>
    <phoneticPr fontId="1" type="noConversion"/>
  </si>
  <si>
    <t>1호배수로터파기검측</t>
  </si>
  <si>
    <t>1호배수로터파기검측</t>
    <phoneticPr fontId="1" type="noConversion"/>
  </si>
  <si>
    <t>1호배수로호안블럭기초레미콘타설</t>
    <phoneticPr fontId="1" type="noConversion"/>
  </si>
  <si>
    <t>1호배수로호안블럭쌓기</t>
    <phoneticPr fontId="1" type="noConversion"/>
  </si>
  <si>
    <t>최  재  진</t>
    <phoneticPr fontId="1" type="noConversion"/>
  </si>
  <si>
    <t>- 안전관리계획서 보완승인요청중3월7일</t>
    <phoneticPr fontId="1" type="noConversion"/>
  </si>
  <si>
    <t>L=400m(No.05+00~No.20+43)좌완</t>
    <phoneticPr fontId="1" type="noConversion"/>
  </si>
  <si>
    <t>L=200m(No.04+00~No.07+00)좌완</t>
    <phoneticPr fontId="1" type="noConversion"/>
  </si>
  <si>
    <t>- 매설부 검측(배수로 터파기 계획고)</t>
  </si>
  <si>
    <t>주간공정 현황보고 (3월 3주차)</t>
    <phoneticPr fontId="1" type="noConversion"/>
  </si>
  <si>
    <t>25.3월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</si>
</sst>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굴림"/>
      <family val="3"/>
      <charset val="129"/>
    </font>
    <font>
      <b/>
      <sz val="11"/>
      <color rgb="FFFF0000"/>
      <name val="굴림"/>
      <family val="3"/>
      <charset val="129"/>
    </font>
    <font>
      <b/>
      <sz val="11"/>
      <color theme="1"/>
      <name val="굴림"/>
      <family val="3"/>
      <charset val="129"/>
    </font>
    <font>
      <b/>
      <sz val="11"/>
      <color theme="8" tint="-0.499984740745262"/>
      <name val="굴림"/>
      <family val="3"/>
      <charset val="129"/>
    </font>
    <font>
      <b/>
      <u/>
      <sz val="20"/>
      <color theme="1"/>
      <name val="굴림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22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7" fillId="0" borderId="0" applyFont="0" applyFill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3" fillId="3" borderId="9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8" fillId="0" borderId="0" xfId="0" applyNumberFormat="1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8" fillId="0" borderId="1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right" vertical="center"/>
    </xf>
    <xf numFmtId="0" fontId="8" fillId="0" borderId="10" xfId="0" applyFont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shrinkToFit="1"/>
    </xf>
    <xf numFmtId="0" fontId="8" fillId="0" borderId="5" xfId="0" applyFont="1" applyBorder="1" applyAlignment="1">
      <alignment horizontal="center" vertical="center" shrinkToFit="1"/>
    </xf>
    <xf numFmtId="0" fontId="8" fillId="0" borderId="13" xfId="0" applyFont="1" applyBorder="1" applyAlignment="1">
      <alignment horizontal="right" vertical="center"/>
    </xf>
    <xf numFmtId="0" fontId="8" fillId="0" borderId="14" xfId="0" applyFont="1" applyBorder="1" applyAlignment="1">
      <alignment horizontal="center" vertical="center" shrinkToFit="1"/>
    </xf>
    <xf numFmtId="0" fontId="8" fillId="0" borderId="15" xfId="0" applyFont="1" applyBorder="1" applyAlignment="1">
      <alignment horizontal="right" vertical="center"/>
    </xf>
    <xf numFmtId="0" fontId="8" fillId="4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9" fontId="8" fillId="0" borderId="12" xfId="0" applyNumberFormat="1" applyFont="1" applyBorder="1" applyAlignment="1">
      <alignment horizontal="right" vertical="center"/>
    </xf>
    <xf numFmtId="9" fontId="8" fillId="0" borderId="13" xfId="0" applyNumberFormat="1" applyFont="1" applyBorder="1" applyAlignment="1">
      <alignment horizontal="right" vertical="center"/>
    </xf>
    <xf numFmtId="41" fontId="11" fillId="6" borderId="1" xfId="1" applyFont="1" applyFill="1" applyBorder="1" applyAlignment="1">
      <alignment horizontal="center" vertical="center"/>
    </xf>
    <xf numFmtId="41" fontId="8" fillId="6" borderId="1" xfId="1" applyFont="1" applyFill="1" applyBorder="1" applyAlignment="1">
      <alignment horizontal="center" vertical="center"/>
    </xf>
    <xf numFmtId="41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5" xfId="0" quotePrefix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4" xfId="0" quotePrefix="1" applyFont="1" applyBorder="1" applyAlignment="1">
      <alignment horizontal="left" vertical="center"/>
    </xf>
    <xf numFmtId="0" fontId="8" fillId="0" borderId="10" xfId="0" applyFont="1" applyBorder="1" applyAlignment="1">
      <alignment horizontal="left" vertical="center"/>
    </xf>
    <xf numFmtId="0" fontId="8" fillId="0" borderId="15" xfId="0" applyFont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left" vertical="center"/>
    </xf>
    <xf numFmtId="0" fontId="8" fillId="0" borderId="0" xfId="0" quotePrefix="1" applyFont="1" applyAlignment="1">
      <alignment horizontal="left" vertical="center"/>
    </xf>
    <xf numFmtId="0" fontId="8" fillId="0" borderId="13" xfId="0" quotePrefix="1" applyFont="1" applyBorder="1" applyAlignment="1">
      <alignment horizontal="left" vertical="center"/>
    </xf>
    <xf numFmtId="0" fontId="8" fillId="0" borderId="11" xfId="0" quotePrefix="1" applyFont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8" fillId="0" borderId="11" xfId="0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5" xfId="0" applyFont="1" applyBorder="1" applyAlignment="1">
      <alignment vertical="center" shrinkToFit="1"/>
    </xf>
    <xf numFmtId="0" fontId="8" fillId="0" borderId="0" xfId="0" applyFont="1" applyAlignment="1">
      <alignment vertical="center" shrinkToFit="1"/>
    </xf>
    <xf numFmtId="0" fontId="8" fillId="0" borderId="13" xfId="0" applyFont="1" applyBorder="1" applyAlignment="1">
      <alignment vertical="center" shrinkToFit="1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0" borderId="14" xfId="0" applyFont="1" applyBorder="1" applyAlignment="1">
      <alignment vertical="center" shrinkToFit="1"/>
    </xf>
    <xf numFmtId="0" fontId="8" fillId="0" borderId="10" xfId="0" applyFont="1" applyBorder="1" applyAlignment="1">
      <alignment vertical="center" shrinkToFit="1"/>
    </xf>
    <xf numFmtId="0" fontId="8" fillId="0" borderId="15" xfId="0" applyFont="1" applyBorder="1" applyAlignment="1">
      <alignment vertical="center" shrinkToFit="1"/>
    </xf>
    <xf numFmtId="0" fontId="8" fillId="5" borderId="1" xfId="0" applyFont="1" applyFill="1" applyBorder="1" applyAlignment="1">
      <alignment horizontal="center" vertical="center"/>
    </xf>
    <xf numFmtId="0" fontId="8" fillId="0" borderId="11" xfId="0" applyFont="1" applyBorder="1" applyAlignment="1">
      <alignment vertical="center" shrinkToFit="1"/>
    </xf>
    <xf numFmtId="0" fontId="8" fillId="0" borderId="6" xfId="0" applyFont="1" applyBorder="1" applyAlignment="1">
      <alignment vertical="center" shrinkToFit="1"/>
    </xf>
    <xf numFmtId="0" fontId="8" fillId="0" borderId="12" xfId="0" applyFont="1" applyBorder="1" applyAlignment="1">
      <alignment vertical="center" shrinkToFit="1"/>
    </xf>
    <xf numFmtId="0" fontId="8" fillId="5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41" fontId="8" fillId="6" borderId="2" xfId="0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 textRotation="255"/>
    </xf>
    <xf numFmtId="0" fontId="8" fillId="0" borderId="20" xfId="0" applyFont="1" applyBorder="1" applyAlignment="1">
      <alignment horizontal="center" vertical="center" textRotation="255"/>
    </xf>
    <xf numFmtId="0" fontId="8" fillId="0" borderId="22" xfId="0" applyFont="1" applyBorder="1" applyAlignment="1">
      <alignment horizontal="center" vertical="center" textRotation="255"/>
    </xf>
    <xf numFmtId="0" fontId="8" fillId="0" borderId="16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8" fillId="0" borderId="13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3" fillId="0" borderId="16" xfId="0" applyFont="1" applyFill="0" applyBorder="1" applyAlignment="1">
      <alignment horizontal="center" vertical="center"/>
    </xf>
    <xf numFmtId="0" fontId="4" fillId="0" borderId="16" xfId="0" applyFont="1" applyFill="0" applyBorder="1" applyAlignment="1">
      <alignment horizontal="center" vertical="center"/>
    </xf>
    <xf numFmtId="0" fontId="5" fillId="0" borderId="16" xfId="0" applyFont="1" applyFill="0" applyBorder="1" applyAlignment="1">
      <alignment horizontal="center" vertical="center"/>
    </xf>
    <xf numFmtId="0" fontId="3" fillId="0" borderId="9" xfId="0" applyFont="1" applyFill="0" applyBorder="1" applyAlignment="1">
      <alignment horizontal="center" vertical="center"/>
    </xf>
    <xf numFmtId="0" fontId="4" fillId="0" borderId="9" xfId="0" applyFont="1" applyFill="0" applyBorder="1" applyAlignment="1">
      <alignment horizontal="center" vertical="center"/>
    </xf>
    <xf numFmtId="0" fontId="5" fillId="0" borderId="9" xfId="0" applyFont="1" applyFill="0" applyBorder="1" applyAlignment="1">
      <alignment horizontal="center" vertical="center"/>
    </xf>
    <xf numFmtId="0" fontId="3" fillId="0" borderId="1" xfId="0" applyFont="1" applyFill="0" applyBorder="1" applyAlignment="1">
      <alignment horizontal="center" vertical="center"/>
    </xf>
    <xf numFmtId="0" fontId="4" fillId="0" borderId="1" xfId="0" applyFont="1" applyFill="0" applyBorder="1" applyAlignment="1">
      <alignment horizontal="center" vertical="center"/>
    </xf>
    <xf numFmtId="0" fontId="5" fillId="0" borderId="1" xfId="0" applyFont="1" applyFill="0" applyBorder="1" applyAlignment="1">
      <alignment horizontal="center" vertical="center"/>
    </xf>
    <xf numFmtId="0" fontId="8" fillId="0" borderId="2" xfId="0" applyFont="1" applyFill="0" applyBorder="1" applyAlignment="1">
      <alignment horizontal="center" vertical="center"/>
    </xf>
    <xf numFmtId="0" fontId="8" fillId="0" borderId="4" xfId="0" applyFont="1" applyFill="0" applyBorder="1" applyAlignment="1">
      <alignment horizontal="center" vertical="center"/>
    </xf>
    <xf numFmtId="0" fontId="8" fillId="0" borderId="1" xfId="0" applyFont="1" applyFill="0" applyBorder="1" applyAlignment="1">
      <alignment horizontal="center" vertical="center"/>
    </xf>
    <xf numFmtId="0" fontId="8" fillId="0" borderId="1" xfId="0" applyFont="1" applyFill="0" applyBorder="1" applyAlignment="1">
      <alignment horizontal="center" vertical="center"/>
    </xf>
    <xf numFmtId="41" fontId="11" fillId="0" borderId="1" xfId="1" applyFont="1" applyFill="0" applyBorder="1" applyAlignment="1">
      <alignment horizontal="center" vertical="center"/>
    </xf>
    <xf numFmtId="41" fontId="8" fillId="0" borderId="1" xfId="1" applyFont="1" applyFill="0" applyBorder="1" applyAlignment="1">
      <alignment horizontal="center" vertical="center"/>
    </xf>
    <xf numFmtId="41" fontId="8" fillId="0" borderId="1" xfId="0" applyNumberFormat="1" applyFont="1" applyFill="0" applyBorder="1" applyAlignment="1">
      <alignment horizontal="center" vertical="center"/>
    </xf>
    <xf numFmtId="0" fontId="8" fillId="0" borderId="1" xfId="0" applyFont="1" applyFill="0" applyBorder="1" applyAlignment="1">
      <alignment horizontal="center" vertical="center"/>
    </xf>
    <xf numFmtId="0" fontId="8" fillId="0" borderId="11" xfId="0" applyFont="1" applyFill="0" applyBorder="1" applyAlignment="1">
      <alignment horizontal="center" vertical="center"/>
    </xf>
    <xf numFmtId="0" fontId="8" fillId="0" borderId="12" xfId="0" applyFont="1" applyFill="0" applyBorder="1" applyAlignment="1">
      <alignment horizontal="center" vertical="center"/>
    </xf>
    <xf numFmtId="0" fontId="8" fillId="0" borderId="14" xfId="0" applyFont="1" applyFill="0" applyBorder="1" applyAlignment="1">
      <alignment horizontal="center" vertical="center"/>
    </xf>
    <xf numFmtId="0" fontId="8" fillId="0" borderId="15" xfId="0" applyFont="1" applyFill="0" applyBorder="1" applyAlignment="1">
      <alignment horizontal="center" vertical="center"/>
    </xf>
    <xf numFmtId="0" fontId="8" fillId="0" borderId="11" xfId="0" applyFont="1" applyFill="0" applyBorder="1" applyAlignment="1">
      <alignment horizontal="center" vertical="center"/>
    </xf>
    <xf numFmtId="0" fontId="8" fillId="0" borderId="6" xfId="0" applyFont="1" applyFill="0" applyBorder="1" applyAlignment="1">
      <alignment horizontal="center" vertical="center"/>
    </xf>
    <xf numFmtId="0" fontId="8" fillId="0" borderId="12" xfId="0" applyFont="1" applyFill="0" applyBorder="1" applyAlignment="1">
      <alignment horizontal="center" vertical="center"/>
    </xf>
    <xf numFmtId="0" fontId="8" fillId="0" borderId="2" xfId="0" applyFont="1" applyFill="0" applyBorder="1" applyAlignment="1">
      <alignment horizontal="center" vertical="center"/>
    </xf>
    <xf numFmtId="0" fontId="8" fillId="0" borderId="3" xfId="0" applyFont="1" applyFill="0" applyBorder="1" applyAlignment="1">
      <alignment horizontal="center" vertical="center"/>
    </xf>
    <xf numFmtId="0" fontId="8" fillId="0" borderId="4" xfId="0" applyFont="1" applyFill="0" applyBorder="1" applyAlignment="1">
      <alignment horizontal="center" vertical="center"/>
    </xf>
    <xf numFmtId="0" fontId="8" fillId="0" borderId="2" xfId="0" applyFont="1" applyFill="0" applyBorder="1" applyAlignment="1">
      <alignment horizontal="center" vertical="center"/>
    </xf>
    <xf numFmtId="0" fontId="8" fillId="0" borderId="4" xfId="0" applyFont="1" applyFill="0" applyBorder="1" applyAlignment="1">
      <alignment horizontal="center" vertical="center"/>
    </xf>
    <xf numFmtId="41" fontId="11" fillId="0" borderId="1" xfId="1" applyFont="1" applyFill="0" applyBorder="1" applyAlignment="1">
      <alignment horizontal="center" vertical="center"/>
    </xf>
    <xf numFmtId="0" fontId="8" fillId="0" borderId="1" xfId="0" applyFont="1" applyFill="0" applyBorder="1" applyAlignment="1">
      <alignment horizontal="center" vertical="center"/>
    </xf>
    <xf numFmtId="0" fontId="8" fillId="0" borderId="1" xfId="0" applyFont="1" applyFill="0" applyBorder="1" applyAlignment="1">
      <alignment horizontal="center" vertical="center"/>
    </xf>
    <xf numFmtId="0" fontId="8" fillId="0" borderId="2" xfId="0" applyFont="1" applyFill="0" applyBorder="1" applyAlignment="1">
      <alignment horizontal="center" vertical="center"/>
    </xf>
    <xf numFmtId="0" fontId="8" fillId="0" borderId="3" xfId="0" applyFont="1" applyFill="0" applyBorder="1" applyAlignment="1">
      <alignment horizontal="center" vertical="center"/>
    </xf>
    <xf numFmtId="0" fontId="8" fillId="0" borderId="4" xfId="0" applyFont="1" applyFill="0" applyBorder="1" applyAlignment="1">
      <alignment horizontal="center" vertical="center"/>
    </xf>
    <xf numFmtId="41" fontId="8" fillId="0" borderId="2" xfId="0" applyNumberFormat="1" applyFont="1" applyFill="0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31</xdr:row>
      <xdr:rowOff>76200</xdr:rowOff>
    </xdr:from>
    <xdr:to>
      <xdr:col>5</xdr:col>
      <xdr:colOff>247650</xdr:colOff>
      <xdr:row>37</xdr:row>
      <xdr:rowOff>180975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9DC6B87-82C0-8FD9-2C8D-524A6BABA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6819900"/>
          <a:ext cx="2667000" cy="1362075"/>
        </a:xfrm>
        <a:prstGeom prst="rect">
          <a:avLst/>
        </a:prstGeom>
      </xdr:spPr>
    </xdr:pic>
    <xdr:clientData/>
  </xdr:twoCellAnchor>
  <xdr:twoCellAnchor editAs="oneCell">
    <xdr:from>
      <xdr:col>6</xdr:col>
      <xdr:colOff>47625</xdr:colOff>
      <xdr:row>31</xdr:row>
      <xdr:rowOff>47625</xdr:rowOff>
    </xdr:from>
    <xdr:to>
      <xdr:col>9</xdr:col>
      <xdr:colOff>247650</xdr:colOff>
      <xdr:row>37</xdr:row>
      <xdr:rowOff>161925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9A6BA8E-A2F0-FCA0-6236-C156F75CD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6791325"/>
          <a:ext cx="2257425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47624</xdr:colOff>
      <xdr:row>31</xdr:row>
      <xdr:rowOff>28574</xdr:rowOff>
    </xdr:from>
    <xdr:to>
      <xdr:col>13</xdr:col>
      <xdr:colOff>123824</xdr:colOff>
      <xdr:row>37</xdr:row>
      <xdr:rowOff>152399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E26B501-5538-9457-E8B0-77E655592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86424" y="6772274"/>
          <a:ext cx="2314575" cy="1381125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31</xdr:row>
      <xdr:rowOff>47624</xdr:rowOff>
    </xdr:from>
    <xdr:to>
      <xdr:col>22</xdr:col>
      <xdr:colOff>9524</xdr:colOff>
      <xdr:row>37</xdr:row>
      <xdr:rowOff>181017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0D32A21-5367-C414-4DDD-506AA5F11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67675" y="6791324"/>
          <a:ext cx="2152649" cy="13906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94C6E-AB0F-4132-9839-272B131BEC67}">
  <sheetPr>
    <pageSetUpPr fitToPage="1"/>
  </sheetPr>
  <dimension ref="A1:X39"/>
  <sheetViews>
    <sheetView tabSelected="1" view="pageBreakPreview" zoomScaleNormal="100" zoomScaleSheetLayoutView="100" workbookViewId="0">
      <selection activeCell="L29" sqref="L29:R29"/>
    </sheetView>
  </sheetViews>
  <sheetFormatPr defaultRowHeight="16.5"/>
  <cols>
    <col min="1" max="1" width="7.75" style="15" customWidth="1"/>
    <col min="2" max="2" width="12.125" style="15" customWidth="1"/>
    <col min="3" max="3" width="10.625" style="15" customWidth="1"/>
    <col min="4" max="4" width="1.125" style="15" customWidth="1"/>
    <col min="5" max="5" width="8.125" style="15" customWidth="1"/>
    <col min="6" max="6" width="3.625" style="15" customWidth="1"/>
    <col min="7" max="7" width="9" style="15" customWidth="1"/>
    <col min="8" max="9" width="9" style="15"/>
    <col min="10" max="10" width="3.625" style="15" customWidth="1"/>
    <col min="11" max="11" width="8.125" style="15" customWidth="1"/>
    <col min="12" max="13" width="10.625" style="15" customWidth="1"/>
    <col min="14" max="14" width="2.75" style="15" customWidth="1"/>
    <col min="15" max="15" width="7.875" style="15" customWidth="1"/>
    <col min="16" max="16" width="8.5" style="15" customWidth="1"/>
    <col min="17" max="17" width="0.75" style="15" customWidth="1"/>
    <col min="18" max="18" width="1.125" style="15" customWidth="1"/>
    <col min="19" max="19" width="7.5" style="15" customWidth="1"/>
    <col min="20" max="20" width="0.25" style="15" hidden="1" customWidth="1"/>
    <col min="21" max="21" width="1.375" style="15" customWidth="1"/>
    <col min="22" max="22" width="1.25" style="15" customWidth="1"/>
    <col min="23" max="23" width="9" style="15"/>
    <col min="24" max="24" width="10.875" style="15" customWidth="1"/>
    <col min="25" max="16384" width="9" style="15"/>
  </cols>
  <sheetData>
    <row r="1" spans="1:24" ht="17.25" thickBot="1">
      <c r="A1" s="13" t="s">
        <v>0</v>
      </c>
      <c r="B1" s="14"/>
      <c r="P1" s="110" t="s">
        <v>38</v>
      </c>
      <c r="Q1" s="110"/>
      <c r="R1" s="110"/>
      <c r="S1" s="110"/>
      <c r="T1" s="13"/>
      <c r="W1" s="110" t="s">
        <v>39</v>
      </c>
      <c r="X1" s="110"/>
    </row>
    <row r="2" spans="1:24" ht="27" customHeight="1">
      <c r="F2" s="16"/>
      <c r="G2" s="16"/>
      <c r="H2" s="16"/>
      <c r="I2" s="16"/>
      <c r="J2" s="16"/>
      <c r="K2" s="16"/>
      <c r="O2" s="102" t="s">
        <v>34</v>
      </c>
      <c r="P2" s="17" t="s">
        <v>14</v>
      </c>
      <c r="Q2" s="111" t="s">
        <v>15</v>
      </c>
      <c r="R2" s="112"/>
      <c r="S2" s="113"/>
      <c r="T2" s="13"/>
      <c r="U2" s="13"/>
      <c r="V2" s="13"/>
      <c r="W2" s="18" t="s">
        <v>13</v>
      </c>
      <c r="X2" s="19" t="s">
        <v>12</v>
      </c>
    </row>
    <row r="3" spans="1:24">
      <c r="O3" s="103"/>
      <c r="P3" s="90"/>
      <c r="Q3" s="93"/>
      <c r="R3" s="58"/>
      <c r="S3" s="94"/>
      <c r="T3" s="13"/>
      <c r="U3" s="13"/>
      <c r="V3" s="13"/>
      <c r="W3" s="106"/>
      <c r="X3" s="108"/>
    </row>
    <row r="4" spans="1:24">
      <c r="A4" s="21" t="s">
        <v>37</v>
      </c>
      <c r="B4" s="42"/>
      <c r="C4" s="42"/>
      <c r="D4" s="42"/>
      <c r="E4" s="42"/>
      <c r="H4" s="21" t="s">
        <v>36</v>
      </c>
      <c r="I4" s="15"/>
      <c r="O4" s="103"/>
      <c r="P4" s="90"/>
      <c r="Q4" s="95"/>
      <c r="R4" s="46"/>
      <c r="S4" s="96"/>
      <c r="T4" s="13"/>
      <c r="U4" s="13"/>
      <c r="V4" s="13"/>
      <c r="W4" s="106"/>
      <c r="X4" s="108"/>
    </row>
    <row r="5" spans="1:24" ht="17.25" thickBot="1">
      <c r="A5" s="21" t="s">
        <v>1</v>
      </c>
      <c r="B5" s="13"/>
      <c r="C5" s="13" t="s">
        <v>2</v>
      </c>
      <c r="D5" s="13"/>
      <c r="E5" s="13"/>
      <c r="G5" s="15" t="s">
        <v>3</v>
      </c>
      <c r="K5" s="22" t="s">
        <v>9</v>
      </c>
      <c r="L5" s="22" t="s">
        <v>10</v>
      </c>
      <c r="M5" s="22" t="s">
        <v>11</v>
      </c>
      <c r="O5" s="104"/>
      <c r="P5" s="105"/>
      <c r="Q5" s="97"/>
      <c r="R5" s="98"/>
      <c r="S5" s="99"/>
      <c r="T5" s="13"/>
      <c r="U5" s="13"/>
      <c r="V5" s="13"/>
      <c r="W5" s="107"/>
      <c r="X5" s="109"/>
    </row>
    <row r="6" spans="1:24">
      <c r="B6" s="13"/>
      <c r="C6" s="13" t="s">
        <v>2</v>
      </c>
      <c r="D6" s="13"/>
      <c r="E6" s="13"/>
      <c r="G6" s="15" t="s">
        <v>51</v>
      </c>
      <c r="K6" s="23"/>
      <c r="L6" s="24"/>
      <c r="M6" s="24"/>
    </row>
    <row r="7" spans="1:24">
      <c r="B7" s="13"/>
      <c r="C7" s="13" t="s">
        <v>2</v>
      </c>
      <c r="D7" s="13"/>
      <c r="E7" s="13"/>
      <c r="G7" s="15" t="s">
        <v>4</v>
      </c>
      <c r="K7" s="20" t="s">
        <v>35</v>
      </c>
      <c r="L7" s="24"/>
      <c r="M7" s="24"/>
      <c r="P7" s="46" t="s">
        <v>7</v>
      </c>
      <c r="Q7" s="46"/>
      <c r="R7" s="46"/>
      <c r="S7" s="92"/>
      <c r="T7" s="25"/>
      <c r="U7" s="92"/>
      <c r="V7" s="92"/>
      <c r="W7" s="92"/>
      <c r="X7" s="15" t="s">
        <v>8</v>
      </c>
    </row>
    <row r="8" spans="1:24">
      <c r="A8" s="20" t="s">
        <v>5</v>
      </c>
      <c r="B8" s="26" t="s">
        <v>61</v>
      </c>
      <c r="C8" s="151"/>
      <c r="D8" s="152"/>
      <c r="E8" s="152"/>
      <c r="F8" s="152"/>
      <c r="G8" s="153"/>
      <c r="H8" s="151"/>
      <c r="I8" s="152"/>
      <c r="J8" s="152"/>
      <c r="K8" s="153"/>
      <c r="L8" s="150"/>
      <c r="M8" s="150"/>
      <c r="N8" s="150"/>
      <c r="O8" s="150"/>
      <c r="P8" s="151"/>
      <c r="Q8" s="152"/>
      <c r="R8" s="152"/>
      <c r="S8" s="152"/>
      <c r="T8" s="152"/>
      <c r="U8" s="152"/>
      <c r="V8" s="152"/>
      <c r="W8" s="153"/>
      <c r="X8" s="27" t="s">
        <v>9</v>
      </c>
    </row>
    <row r="9" spans="1:24" ht="17.25" customHeight="1">
      <c r="A9" s="48" t="s">
        <v>57</v>
      </c>
      <c r="B9" s="28"/>
      <c r="C9" s="84"/>
      <c r="D9" s="85"/>
      <c r="E9" s="85"/>
      <c r="F9" s="85"/>
      <c r="G9" s="86"/>
      <c r="H9" s="84"/>
      <c r="I9" s="85"/>
      <c r="J9" s="85"/>
      <c r="K9" s="86"/>
      <c r="L9" s="84"/>
      <c r="M9" s="85"/>
      <c r="N9" s="85"/>
      <c r="O9" s="86"/>
      <c r="P9" s="84"/>
      <c r="Q9" s="85"/>
      <c r="R9" s="85"/>
      <c r="S9" s="85"/>
      <c r="T9" s="85"/>
      <c r="U9" s="85"/>
      <c r="V9" s="85"/>
      <c r="W9" s="86"/>
      <c r="X9" s="35"/>
    </row>
    <row r="10" spans="1:24" ht="17.25" customHeight="1">
      <c r="A10" s="63"/>
      <c r="B10" s="29"/>
      <c r="C10" s="60"/>
      <c r="D10" s="61"/>
      <c r="E10" s="61"/>
      <c r="F10" s="61"/>
      <c r="G10" s="62"/>
      <c r="H10" s="60"/>
      <c r="I10" s="61"/>
      <c r="J10" s="61"/>
      <c r="K10" s="62"/>
      <c r="L10" s="60"/>
      <c r="M10" s="61"/>
      <c r="N10" s="61"/>
      <c r="O10" s="62"/>
      <c r="P10" s="60"/>
      <c r="Q10" s="61"/>
      <c r="R10" s="61"/>
      <c r="S10" s="61"/>
      <c r="T10" s="61"/>
      <c r="U10" s="61"/>
      <c r="V10" s="61"/>
      <c r="W10" s="62"/>
      <c r="X10" s="36"/>
    </row>
    <row r="11" spans="1:24" ht="17.25" customHeight="1">
      <c r="A11" s="63"/>
      <c r="B11" s="29"/>
      <c r="C11" s="60"/>
      <c r="D11" s="61"/>
      <c r="E11" s="61"/>
      <c r="F11" s="61"/>
      <c r="G11" s="62"/>
      <c r="H11" s="60"/>
      <c r="I11" s="61"/>
      <c r="J11" s="61"/>
      <c r="K11" s="62"/>
      <c r="L11" s="60"/>
      <c r="M11" s="61"/>
      <c r="N11" s="61"/>
      <c r="O11" s="62"/>
      <c r="P11" s="60"/>
      <c r="Q11" s="61"/>
      <c r="R11" s="61"/>
      <c r="S11" s="61"/>
      <c r="T11" s="61"/>
      <c r="U11" s="61"/>
      <c r="V11" s="61"/>
      <c r="W11" s="62"/>
      <c r="X11" s="30" t="s">
        <v>42</v>
      </c>
    </row>
    <row r="12" spans="1:24" ht="17.25" customHeight="1">
      <c r="A12" s="63"/>
      <c r="B12" s="29"/>
      <c r="C12" s="60"/>
      <c r="D12" s="61"/>
      <c r="E12" s="61"/>
      <c r="F12" s="61"/>
      <c r="G12" s="62"/>
      <c r="H12" s="60"/>
      <c r="I12" s="61"/>
      <c r="J12" s="61"/>
      <c r="K12" s="62"/>
      <c r="L12" s="60"/>
      <c r="M12" s="61"/>
      <c r="N12" s="61"/>
      <c r="O12" s="62"/>
      <c r="P12" s="60"/>
      <c r="Q12" s="61"/>
      <c r="R12" s="61"/>
      <c r="S12" s="61"/>
      <c r="T12" s="61"/>
      <c r="U12" s="61"/>
      <c r="V12" s="61"/>
      <c r="W12" s="62"/>
      <c r="X12" s="36"/>
    </row>
    <row r="13" spans="1:24" ht="17.25" customHeight="1">
      <c r="A13" s="63"/>
      <c r="B13" s="29"/>
      <c r="C13" s="60"/>
      <c r="D13" s="61"/>
      <c r="E13" s="61"/>
      <c r="F13" s="61"/>
      <c r="G13" s="62"/>
      <c r="H13" s="60"/>
      <c r="I13" s="61"/>
      <c r="J13" s="61"/>
      <c r="K13" s="62"/>
      <c r="L13" s="60"/>
      <c r="M13" s="61"/>
      <c r="N13" s="61"/>
      <c r="O13" s="62"/>
      <c r="P13" s="60"/>
      <c r="Q13" s="61"/>
      <c r="R13" s="61"/>
      <c r="S13" s="61"/>
      <c r="T13" s="61"/>
      <c r="U13" s="61"/>
      <c r="V13" s="61"/>
      <c r="W13" s="62"/>
      <c r="X13" s="36"/>
    </row>
    <row r="14" spans="1:24" ht="17.25" customHeight="1">
      <c r="A14" s="63"/>
      <c r="B14" s="29"/>
      <c r="C14" s="60"/>
      <c r="D14" s="61"/>
      <c r="E14" s="61"/>
      <c r="F14" s="61"/>
      <c r="G14" s="62"/>
      <c r="H14" s="60"/>
      <c r="I14" s="61"/>
      <c r="J14" s="61"/>
      <c r="K14" s="62"/>
      <c r="L14" s="60"/>
      <c r="M14" s="61"/>
      <c r="N14" s="61"/>
      <c r="O14" s="62"/>
      <c r="P14" s="60"/>
      <c r="Q14" s="61"/>
      <c r="R14" s="61"/>
      <c r="S14" s="61"/>
      <c r="T14" s="61"/>
      <c r="U14" s="61"/>
      <c r="V14" s="61"/>
      <c r="W14" s="62"/>
      <c r="X14" s="30" t="s">
        <v>42</v>
      </c>
    </row>
    <row r="15" spans="1:24" ht="17.25" customHeight="1">
      <c r="A15" s="63"/>
      <c r="B15" s="29"/>
      <c r="C15" s="60"/>
      <c r="D15" s="61"/>
      <c r="E15" s="61"/>
      <c r="F15" s="61"/>
      <c r="G15" s="62"/>
      <c r="H15" s="60"/>
      <c r="I15" s="61"/>
      <c r="J15" s="61"/>
      <c r="K15" s="62"/>
      <c r="L15" s="60"/>
      <c r="M15" s="61"/>
      <c r="N15" s="61"/>
      <c r="O15" s="62"/>
      <c r="P15" s="60"/>
      <c r="Q15" s="61"/>
      <c r="R15" s="61"/>
      <c r="S15" s="61"/>
      <c r="T15" s="61"/>
      <c r="U15" s="61"/>
      <c r="V15" s="61"/>
      <c r="W15" s="62"/>
      <c r="X15" s="36"/>
    </row>
    <row r="16" spans="1:24" ht="17.25" customHeight="1">
      <c r="A16" s="63"/>
      <c r="B16" s="29"/>
      <c r="C16" s="60"/>
      <c r="D16" s="61"/>
      <c r="E16" s="61"/>
      <c r="F16" s="61"/>
      <c r="G16" s="62"/>
      <c r="H16" s="60"/>
      <c r="I16" s="61"/>
      <c r="J16" s="61"/>
      <c r="K16" s="62"/>
      <c r="L16" s="114"/>
      <c r="M16" s="115"/>
      <c r="N16" s="115"/>
      <c r="O16" s="116"/>
      <c r="P16" s="60"/>
      <c r="Q16" s="61"/>
      <c r="R16" s="61"/>
      <c r="S16" s="61"/>
      <c r="T16" s="61"/>
      <c r="U16" s="61"/>
      <c r="V16" s="61"/>
      <c r="W16" s="62"/>
      <c r="X16" s="30" t="s">
        <v>42</v>
      </c>
    </row>
    <row r="17" spans="1:24" ht="17.25" customHeight="1">
      <c r="A17" s="63"/>
      <c r="B17" s="29"/>
      <c r="C17" s="60"/>
      <c r="D17" s="61"/>
      <c r="E17" s="61"/>
      <c r="F17" s="61"/>
      <c r="G17" s="62"/>
      <c r="H17" s="60"/>
      <c r="I17" s="61"/>
      <c r="J17" s="61"/>
      <c r="K17" s="62"/>
      <c r="L17" s="60"/>
      <c r="M17" s="61"/>
      <c r="N17" s="61"/>
      <c r="O17" s="62"/>
      <c r="P17" s="60"/>
      <c r="Q17" s="61"/>
      <c r="R17" s="61"/>
      <c r="S17" s="61"/>
      <c r="T17" s="61"/>
      <c r="U17" s="61"/>
      <c r="V17" s="61"/>
      <c r="W17" s="62"/>
      <c r="X17" s="30" t="s">
        <v>42</v>
      </c>
    </row>
    <row r="18" spans="1:24" ht="17.25" customHeight="1">
      <c r="A18" s="64"/>
      <c r="B18" s="31"/>
      <c r="C18" s="80"/>
      <c r="D18" s="81"/>
      <c r="E18" s="81"/>
      <c r="F18" s="81"/>
      <c r="G18" s="82"/>
      <c r="H18" s="80"/>
      <c r="I18" s="81"/>
      <c r="J18" s="81"/>
      <c r="K18" s="82"/>
      <c r="L18" s="80"/>
      <c r="M18" s="81"/>
      <c r="N18" s="81"/>
      <c r="O18" s="82"/>
      <c r="P18" s="80"/>
      <c r="Q18" s="81"/>
      <c r="R18" s="81"/>
      <c r="S18" s="81"/>
      <c r="T18" s="81"/>
      <c r="U18" s="81"/>
      <c r="V18" s="81"/>
      <c r="W18" s="82"/>
      <c r="X18" s="32" t="s">
        <v>42</v>
      </c>
    </row>
    <row r="19" spans="1:24">
      <c r="A19" s="13"/>
      <c r="U19" s="100" t="inlineStr">
        <is>
          <t xml:space="preserve">(단위 : </t>
        </is>
      </c>
      <c r="V19" s="100"/>
      <c r="W19" s="100"/>
      <c r="X19" s="100"/>
    </row>
    <row r="20" spans="1:24">
      <c r="A20" s="91" t="s">
        <v>58</v>
      </c>
      <c r="B20" s="73" t="s">
        <v>63</v>
      </c>
      <c r="C20" s="144"/>
      <c r="D20" s="144"/>
      <c r="E20" s="144"/>
      <c r="F20" s="145"/>
      <c r="G20" s="73" t="s">
        <v>64</v>
      </c>
      <c r="H20" s="144"/>
      <c r="I20" s="144"/>
      <c r="J20" s="144"/>
      <c r="K20" s="145"/>
      <c r="L20" s="73" t="s">
        <v>65</v>
      </c>
      <c r="M20" s="144"/>
      <c r="N20" s="144"/>
      <c r="O20" s="144"/>
      <c r="P20" s="144"/>
      <c r="Q20" s="144"/>
      <c r="R20" s="144"/>
      <c r="S20" s="144"/>
      <c r="T20" s="144"/>
      <c r="U20" s="144"/>
      <c r="V20" s="145"/>
      <c r="W20" s="65" t="s">
        <v>66</v>
      </c>
      <c r="X20" s="137"/>
    </row>
    <row r="21" spans="1:24">
      <c r="A21" s="90"/>
      <c r="B21" s="33" t="s">
        <v>5</v>
      </c>
      <c r="C21" s="79" t="s">
        <v>17</v>
      </c>
      <c r="D21" s="149"/>
      <c r="E21" s="79" t="s">
        <v>18</v>
      </c>
      <c r="F21" s="149"/>
      <c r="G21" s="33" t="s">
        <v>47</v>
      </c>
      <c r="H21" s="33" t="s">
        <v>19</v>
      </c>
      <c r="I21" s="33" t="s">
        <v>20</v>
      </c>
      <c r="J21" s="79" t="s">
        <v>21</v>
      </c>
      <c r="K21" s="149"/>
      <c r="L21" s="33" t="s">
        <v>47</v>
      </c>
      <c r="M21" s="33" t="s">
        <v>45</v>
      </c>
      <c r="N21" s="73" t="s">
        <v>46</v>
      </c>
      <c r="O21" s="145"/>
      <c r="P21" s="79" t="s">
        <v>48</v>
      </c>
      <c r="Q21" s="149"/>
      <c r="R21" s="149"/>
      <c r="S21" s="79" t="s">
        <v>49</v>
      </c>
      <c r="T21" s="149"/>
      <c r="U21" s="149"/>
      <c r="V21" s="149"/>
      <c r="W21" s="138"/>
      <c r="X21" s="139"/>
    </row>
    <row r="22" spans="1:24">
      <c r="A22" s="90"/>
      <c r="B22" s="34" t="s">
        <v>23</v>
      </c>
      <c r="C22" s="148"/>
      <c r="D22" s="148"/>
      <c r="E22" s="135"/>
      <c r="F22" s="135"/>
      <c r="G22" s="131"/>
      <c r="H22" s="131"/>
      <c r="I22" s="131"/>
      <c r="J22" s="135"/>
      <c r="K22" s="135"/>
      <c r="L22" s="131"/>
      <c r="M22" s="131"/>
      <c r="N22" s="146"/>
      <c r="O22" s="147"/>
      <c r="P22" s="135"/>
      <c r="Q22" s="135"/>
      <c r="R22" s="135"/>
      <c r="S22" s="135"/>
      <c r="T22" s="135"/>
      <c r="U22" s="135"/>
      <c r="V22" s="135"/>
      <c r="W22" s="146"/>
      <c r="X22" s="147"/>
    </row>
    <row r="23" spans="1:24">
      <c r="A23" s="90"/>
      <c r="B23" s="34" t="s">
        <v>16</v>
      </c>
      <c r="C23" s="148"/>
      <c r="D23" s="148"/>
      <c r="E23" s="135"/>
      <c r="F23" s="135"/>
      <c r="G23" s="39">
        <f>IFERROR(H23,"")</f>
      </c>
      <c r="H23" s="133"/>
      <c r="I23" s="131"/>
      <c r="J23" s="135"/>
      <c r="K23" s="135"/>
      <c r="L23" s="37">
        <f>IFERROR(M23,"")</f>
      </c>
      <c r="M23" s="132"/>
      <c r="N23" s="146"/>
      <c r="O23" s="147"/>
      <c r="P23" s="135"/>
      <c r="Q23" s="135"/>
      <c r="R23" s="135"/>
      <c r="S23" s="135"/>
      <c r="T23" s="135"/>
      <c r="U23" s="135"/>
      <c r="V23" s="135"/>
      <c r="W23" s="101">
        <f>IFERROR(C23-G23-L23,"")</f>
      </c>
      <c r="X23" s="147"/>
    </row>
    <row r="24" spans="1:24">
      <c r="A24" s="90"/>
      <c r="B24" s="34" t="s">
        <v>50</v>
      </c>
      <c r="C24" s="148"/>
      <c r="D24" s="148"/>
      <c r="E24" s="135"/>
      <c r="F24" s="135"/>
      <c r="G24" s="39">
        <f>IFERROR(H24,"")</f>
      </c>
      <c r="H24" s="133"/>
      <c r="I24" s="131"/>
      <c r="J24" s="135"/>
      <c r="K24" s="135"/>
      <c r="L24" s="37">
        <f>IFERROR(M24,"")</f>
      </c>
      <c r="M24" s="132"/>
      <c r="N24" s="146"/>
      <c r="O24" s="147"/>
      <c r="P24" s="135"/>
      <c r="Q24" s="135"/>
      <c r="R24" s="135"/>
      <c r="S24" s="135"/>
      <c r="T24" s="135"/>
      <c r="U24" s="135"/>
      <c r="V24" s="135"/>
      <c r="W24" s="101">
        <f>IFERROR(C24-G24-L24,"")</f>
      </c>
      <c r="X24" s="147"/>
    </row>
    <row r="25" spans="1:24" ht="16.5" customHeight="1">
      <c r="A25" s="48" t="s">
        <v>70</v>
      </c>
      <c r="B25" s="69" t="s">
        <v>67</v>
      </c>
      <c r="C25" s="141"/>
      <c r="D25" s="141"/>
      <c r="E25" s="141"/>
      <c r="F25" s="141"/>
      <c r="G25" s="69" t="s">
        <v>68</v>
      </c>
      <c r="H25" s="141"/>
      <c r="I25" s="141"/>
      <c r="J25" s="141"/>
      <c r="K25" s="142"/>
      <c r="L25" s="69" t="s">
        <v>69</v>
      </c>
      <c r="M25" s="141"/>
      <c r="N25" s="141"/>
      <c r="O25" s="141"/>
      <c r="P25" s="141"/>
      <c r="Q25" s="141"/>
      <c r="R25" s="142"/>
      <c r="S25" s="70" t="s">
        <v>6</v>
      </c>
      <c r="T25" s="141"/>
      <c r="U25" s="141"/>
      <c r="V25" s="141"/>
      <c r="W25" s="141"/>
      <c r="X25" s="142"/>
    </row>
    <row r="26" spans="1:24">
      <c r="A26" s="49"/>
      <c r="B26" s="54"/>
      <c r="C26" s="55"/>
      <c r="D26" s="55"/>
      <c r="E26" s="55"/>
      <c r="F26" s="55"/>
      <c r="G26" s="54"/>
      <c r="H26" s="55"/>
      <c r="I26" s="55"/>
      <c r="J26" s="55"/>
      <c r="K26" s="56"/>
      <c r="L26" s="57"/>
      <c r="M26" s="55"/>
      <c r="N26" s="55"/>
      <c r="O26" s="55"/>
      <c r="P26" s="55"/>
      <c r="Q26" s="55"/>
      <c r="R26" s="56"/>
      <c r="S26" s="58"/>
      <c r="T26" s="58"/>
      <c r="U26" s="58"/>
      <c r="V26" s="58"/>
      <c r="W26" s="58"/>
      <c r="X26" s="59"/>
    </row>
    <row r="27" spans="1:24">
      <c r="A27" s="49"/>
      <c r="B27" s="41"/>
      <c r="C27" s="42"/>
      <c r="D27" s="42"/>
      <c r="E27" s="42"/>
      <c r="F27" s="42"/>
      <c r="G27" s="41"/>
      <c r="H27" s="42"/>
      <c r="I27" s="42"/>
      <c r="J27" s="42"/>
      <c r="K27" s="42"/>
      <c r="L27" s="72"/>
      <c r="M27" s="42"/>
      <c r="N27" s="42"/>
      <c r="O27" s="42"/>
      <c r="P27" s="42"/>
      <c r="Q27" s="42"/>
      <c r="R27" s="51"/>
      <c r="S27" s="46"/>
      <c r="T27" s="46"/>
      <c r="U27" s="46"/>
      <c r="V27" s="46"/>
      <c r="W27" s="46"/>
      <c r="X27" s="47"/>
    </row>
    <row r="28" spans="1:24">
      <c r="A28" s="49"/>
      <c r="B28" s="41"/>
      <c r="C28" s="52"/>
      <c r="D28" s="52"/>
      <c r="E28" s="52"/>
      <c r="F28" s="53"/>
      <c r="G28" s="41"/>
      <c r="H28" s="42"/>
      <c r="I28" s="42"/>
      <c r="J28" s="42"/>
      <c r="K28" s="51"/>
      <c r="L28" s="41"/>
      <c r="M28" s="42"/>
      <c r="N28" s="42"/>
      <c r="O28" s="42"/>
      <c r="P28" s="42"/>
      <c r="Q28" s="42"/>
      <c r="R28" s="51"/>
      <c r="S28" s="46"/>
      <c r="T28" s="46"/>
      <c r="U28" s="46"/>
      <c r="V28" s="46"/>
      <c r="W28" s="46"/>
      <c r="X28" s="47"/>
    </row>
    <row r="29" spans="1:24" ht="16.5" customHeight="1">
      <c r="A29" s="50"/>
      <c r="B29" s="41"/>
      <c r="C29" s="42"/>
      <c r="D29" s="42"/>
      <c r="E29" s="42"/>
      <c r="F29" s="42"/>
      <c r="G29" s="41"/>
      <c r="H29" s="42"/>
      <c r="I29" s="42"/>
      <c r="J29" s="42"/>
      <c r="K29" s="42"/>
      <c r="L29" s="43"/>
      <c r="M29" s="44"/>
      <c r="N29" s="44"/>
      <c r="O29" s="44"/>
      <c r="P29" s="44"/>
      <c r="Q29" s="44"/>
      <c r="R29" s="45"/>
      <c r="S29" s="46"/>
      <c r="T29" s="46"/>
      <c r="U29" s="46"/>
      <c r="V29" s="46"/>
      <c r="W29" s="46"/>
      <c r="X29" s="47"/>
    </row>
    <row r="30" spans="1:24">
      <c r="A30" s="48" t="s">
        <v>59</v>
      </c>
      <c r="B30" s="54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6"/>
    </row>
    <row r="31" spans="1:24" ht="16.5" customHeight="1">
      <c r="A31" s="64"/>
      <c r="B31" s="43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5"/>
    </row>
    <row r="32" spans="1:24">
      <c r="A32" s="48" t="s">
        <v>60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</row>
    <row r="33" spans="1:24">
      <c r="A33" s="63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</row>
    <row r="34" spans="1:24">
      <c r="A34" s="63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</row>
    <row r="35" spans="1:24">
      <c r="A35" s="63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</row>
    <row r="36" spans="1:24">
      <c r="A36" s="63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</row>
    <row r="37" spans="1:24">
      <c r="A37" s="63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</row>
    <row r="38" spans="1:24">
      <c r="A38" s="63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</row>
    <row r="39" spans="1:24">
      <c r="A39" s="64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</row>
  </sheetData>
  <mergeCells count="124">
    <mergeCell ref="L14:O14"/>
    <mergeCell ref="L15:O15"/>
    <mergeCell ref="L16:O16"/>
    <mergeCell ref="L18:O18"/>
    <mergeCell ref="P8:W8"/>
    <mergeCell ref="P9:W9"/>
    <mergeCell ref="P10:W10"/>
    <mergeCell ref="P11:W11"/>
    <mergeCell ref="P12:W12"/>
    <mergeCell ref="L17:O17"/>
    <mergeCell ref="P17:W17"/>
    <mergeCell ref="P14:W14"/>
    <mergeCell ref="O2:O5"/>
    <mergeCell ref="P3:P5"/>
    <mergeCell ref="W3:W5"/>
    <mergeCell ref="X3:X5"/>
    <mergeCell ref="P1:S1"/>
    <mergeCell ref="W1:X1"/>
    <mergeCell ref="Q2:S2"/>
    <mergeCell ref="P13:W13"/>
    <mergeCell ref="L13:O13"/>
    <mergeCell ref="B20:F20"/>
    <mergeCell ref="A9:A18"/>
    <mergeCell ref="A20:A24"/>
    <mergeCell ref="N23:O23"/>
    <mergeCell ref="N24:O24"/>
    <mergeCell ref="E23:F23"/>
    <mergeCell ref="U7:W7"/>
    <mergeCell ref="B4:E4"/>
    <mergeCell ref="C21:D21"/>
    <mergeCell ref="C22:D22"/>
    <mergeCell ref="C23:D23"/>
    <mergeCell ref="Q3:S5"/>
    <mergeCell ref="E21:F21"/>
    <mergeCell ref="E22:F22"/>
    <mergeCell ref="P7:S7"/>
    <mergeCell ref="U19:X19"/>
    <mergeCell ref="J21:K21"/>
    <mergeCell ref="C17:G17"/>
    <mergeCell ref="C18:G18"/>
    <mergeCell ref="H8:K8"/>
    <mergeCell ref="W24:X24"/>
    <mergeCell ref="L20:V20"/>
    <mergeCell ref="W22:X22"/>
    <mergeCell ref="W23:X23"/>
    <mergeCell ref="W39:X39"/>
    <mergeCell ref="B39:F39"/>
    <mergeCell ref="G39:J39"/>
    <mergeCell ref="K39:N39"/>
    <mergeCell ref="O39:V39"/>
    <mergeCell ref="B32:F38"/>
    <mergeCell ref="G32:J38"/>
    <mergeCell ref="K32:N38"/>
    <mergeCell ref="O32:V38"/>
    <mergeCell ref="W32:X38"/>
    <mergeCell ref="P15:W15"/>
    <mergeCell ref="P16:W16"/>
    <mergeCell ref="P18:W18"/>
    <mergeCell ref="L8:O8"/>
    <mergeCell ref="L9:O9"/>
    <mergeCell ref="L10:O10"/>
    <mergeCell ref="L11:O11"/>
    <mergeCell ref="L12:O12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H14:K14"/>
    <mergeCell ref="H15:K15"/>
    <mergeCell ref="H16:K16"/>
    <mergeCell ref="H17:K17"/>
    <mergeCell ref="H18:K18"/>
    <mergeCell ref="H9:K9"/>
    <mergeCell ref="H10:K10"/>
    <mergeCell ref="H11:K11"/>
    <mergeCell ref="H12:K12"/>
    <mergeCell ref="H13:K13"/>
    <mergeCell ref="A32:A39"/>
    <mergeCell ref="A30:A31"/>
    <mergeCell ref="B30:X30"/>
    <mergeCell ref="B31:X31"/>
    <mergeCell ref="W20:X21"/>
    <mergeCell ref="B25:F25"/>
    <mergeCell ref="G25:K25"/>
    <mergeCell ref="L25:R25"/>
    <mergeCell ref="S25:X25"/>
    <mergeCell ref="L27:R27"/>
    <mergeCell ref="S27:X27"/>
    <mergeCell ref="J22:K22"/>
    <mergeCell ref="J23:K23"/>
    <mergeCell ref="G20:K20"/>
    <mergeCell ref="N21:O21"/>
    <mergeCell ref="N22:O22"/>
    <mergeCell ref="J24:K24"/>
    <mergeCell ref="C24:D24"/>
    <mergeCell ref="E24:F24"/>
    <mergeCell ref="S21:V21"/>
    <mergeCell ref="P21:R21"/>
    <mergeCell ref="P22:R22"/>
    <mergeCell ref="P23:R23"/>
    <mergeCell ref="P24:R24"/>
    <mergeCell ref="B29:F29"/>
    <mergeCell ref="G29:K29"/>
    <mergeCell ref="L29:R29"/>
    <mergeCell ref="S29:X29"/>
    <mergeCell ref="A25:A29"/>
    <mergeCell ref="G28:K28"/>
    <mergeCell ref="L28:R28"/>
    <mergeCell ref="S28:X28"/>
    <mergeCell ref="B28:F28"/>
    <mergeCell ref="B27:F27"/>
    <mergeCell ref="G27:K27"/>
    <mergeCell ref="B26:F26"/>
    <mergeCell ref="G26:K26"/>
    <mergeCell ref="L26:R26"/>
    <mergeCell ref="S26:X26"/>
    <mergeCell ref="S22:V22"/>
    <mergeCell ref="S23:V23"/>
    <mergeCell ref="S24:V24"/>
  </mergeCells>
  <phoneticPr fontId="1" type="noConversion"/>
  <pageMargins left="0.7" right="0.7" top="0.75" bottom="0.75" header="0.3" footer="0.3"/>
  <pageSetup paperSize="9" scale="7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783AC-C928-475D-8C85-3E1ACF860D1A}">
  <sheetPr>
    <pageSetUpPr fitToPage="1"/>
  </sheetPr>
  <dimension ref="A1:G15"/>
  <sheetViews>
    <sheetView view="pageBreakPreview" zoomScale="115" zoomScaleNormal="100" zoomScaleSheetLayoutView="115" workbookViewId="0">
      <selection activeCell="A2" sqref="A2:B2"/>
    </sheetView>
  </sheetViews>
  <sheetFormatPr defaultRowHeight="13.5"/>
  <cols>
    <col min="1" max="7" width="25.625" style="1" customWidth="1"/>
    <col min="8" max="16384" width="9" style="1"/>
  </cols>
  <sheetData>
    <row r="1" spans="1:7" ht="41.25" customHeight="1">
      <c r="A1" s="117"/>
      <c r="B1" s="117"/>
      <c r="C1" s="117"/>
      <c r="D1" s="117"/>
      <c r="E1" s="117"/>
      <c r="F1" s="117"/>
      <c r="G1" s="117"/>
    </row>
    <row r="2" spans="1:7">
      <c r="A2" s="118"/>
      <c r="B2" s="118"/>
    </row>
    <row r="3" spans="1:7" s="6" customFormat="1" ht="14.25" thickBot="1">
      <c r="A3" s="3" t="s">
        <v>24</v>
      </c>
      <c r="B3" s="4" t="s">
        <v>25</v>
      </c>
      <c r="C3" s="4" t="s">
        <v>26</v>
      </c>
      <c r="D3" s="4" t="s">
        <v>27</v>
      </c>
      <c r="E3" s="4" t="s">
        <v>28</v>
      </c>
      <c r="F3" s="4" t="s">
        <v>29</v>
      </c>
      <c r="G3" s="5" t="s">
        <v>30</v>
      </c>
    </row>
    <row r="4" spans="1:7" s="6" customFormat="1">
      <c r="A4" s="122"/>
      <c r="B4" s="123"/>
      <c r="C4" s="123"/>
      <c r="D4" s="123"/>
      <c r="E4" s="123"/>
      <c r="F4" s="123"/>
      <c r="G4" s="124"/>
    </row>
    <row r="5" spans="1:7" ht="69" customHeight="1">
      <c r="A5" s="2"/>
      <c r="B5" s="2"/>
      <c r="C5" s="2"/>
      <c r="D5" s="2"/>
      <c r="E5" s="2"/>
      <c r="F5" s="2"/>
      <c r="G5" s="2"/>
    </row>
    <row r="6" spans="1:7" s="6" customFormat="1">
      <c r="A6" s="125"/>
      <c r="B6" s="126"/>
      <c r="C6" s="126"/>
      <c r="D6" s="126"/>
      <c r="E6" s="126"/>
      <c r="F6" s="126"/>
      <c r="G6" s="127"/>
    </row>
    <row r="7" spans="1:7" ht="69" customHeight="1">
      <c r="A7" s="2"/>
      <c r="B7" s="2"/>
      <c r="C7" s="2"/>
      <c r="D7" s="2"/>
      <c r="E7" s="2"/>
      <c r="F7" s="2"/>
      <c r="G7" s="2"/>
    </row>
    <row r="8" spans="1:7" s="6" customFormat="1">
      <c r="A8" s="10">
        <f>IFERROR(A6+7,"")</f>
      </c>
      <c r="B8" s="11">
        <f t="shared" ref="B8:G8" si="0">IFERROR(B6+7,"")</f>
      </c>
      <c r="C8" s="11">
        <f t="shared" si="0"/>
      </c>
      <c r="D8" s="11">
        <f t="shared" si="0"/>
      </c>
      <c r="E8" s="11">
        <f t="shared" si="0"/>
      </c>
      <c r="F8" s="11">
        <f t="shared" si="0"/>
      </c>
      <c r="G8" s="12">
        <f t="shared" si="0"/>
      </c>
    </row>
    <row r="9" spans="1:7" ht="69" customHeight="1">
      <c r="A9" s="2"/>
      <c r="B9" s="2"/>
      <c r="C9" s="2"/>
      <c r="D9" s="2"/>
      <c r="E9" s="2"/>
      <c r="F9" s="2"/>
      <c r="G9" s="2"/>
    </row>
    <row r="10" spans="1:7" s="6" customFormat="1">
      <c r="A10" s="10">
        <f>IFERROR(A8+7,"")</f>
      </c>
      <c r="B10" s="11">
        <f t="shared" ref="B10:G10" si="1">IFERROR(B8+7,"")</f>
      </c>
      <c r="C10" s="11">
        <f t="shared" si="1"/>
      </c>
      <c r="D10" s="11">
        <f t="shared" si="1"/>
      </c>
      <c r="E10" s="11">
        <f t="shared" si="1"/>
      </c>
      <c r="F10" s="11">
        <f t="shared" si="1"/>
      </c>
      <c r="G10" s="12">
        <f t="shared" si="1"/>
      </c>
    </row>
    <row r="11" spans="1:7" ht="69" customHeight="1">
      <c r="A11" s="2"/>
      <c r="B11" s="2"/>
      <c r="C11" s="2"/>
      <c r="D11" s="2"/>
      <c r="E11" s="2"/>
      <c r="F11" s="2"/>
      <c r="G11" s="2"/>
    </row>
    <row r="12" spans="1:7" s="6" customFormat="1">
      <c r="A12" s="10">
        <f>IFERROR(A10+7,"")</f>
      </c>
      <c r="B12" s="11">
        <f t="shared" ref="B12:G12" si="2">IFERROR(B10+7,"")</f>
      </c>
      <c r="C12" s="11">
        <f t="shared" si="2"/>
      </c>
      <c r="D12" s="11">
        <f t="shared" si="2"/>
      </c>
      <c r="E12" s="11">
        <f t="shared" si="2"/>
      </c>
      <c r="F12" s="11">
        <f t="shared" si="2"/>
      </c>
      <c r="G12" s="12">
        <f t="shared" si="2"/>
      </c>
    </row>
    <row r="13" spans="1:7" ht="69" customHeight="1">
      <c r="A13" s="2"/>
      <c r="B13" s="2"/>
      <c r="C13" s="2"/>
      <c r="D13" s="2"/>
      <c r="E13" s="2"/>
      <c r="F13" s="2"/>
      <c r="G13" s="2"/>
    </row>
    <row r="14" spans="1:7" s="6" customFormat="1">
      <c r="A14" s="10">
        <f>IFERROR(A12+7,"")</f>
      </c>
      <c r="B14" s="11">
        <f>IFERROR(B12+7,"")</f>
      </c>
      <c r="C14" s="126"/>
      <c r="D14" s="126"/>
      <c r="E14" s="126"/>
      <c r="F14" s="126"/>
      <c r="G14" s="126"/>
    </row>
    <row r="15" spans="1:7" ht="69" customHeight="1">
      <c r="A15" s="2"/>
      <c r="B15" s="2"/>
      <c r="C15" s="2"/>
      <c r="D15" s="2"/>
      <c r="E15" s="2"/>
      <c r="F15" s="2"/>
      <c r="G15" s="2"/>
    </row>
  </sheetData>
  <mergeCells count="2">
    <mergeCell ref="A1:G1"/>
    <mergeCell ref="A2:B2"/>
  </mergeCells>
  <phoneticPr fontId="1" type="noConversion"/>
  <pageMargins left="0.25" right="0.25" top="0.75" bottom="0.75" header="0.3" footer="0.3"/>
  <pageSetup paperSize="9" scale="7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EKR</dc:creator>
  <cp:lastModifiedBy>OS</cp:lastModifiedBy>
  <cp:lastPrinted>2025-03-17T03:52:28Z</cp:lastPrinted>
  <dcterms:created xsi:type="dcterms:W3CDTF">2025-02-25T01:18:11Z</dcterms:created>
  <dcterms:modified xsi:type="dcterms:W3CDTF">2025-03-17T03:52:47Z</dcterms:modified>
</cp:coreProperties>
</file>