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E:\신광\설계도서착공계\감리단관련서류\"/>
    </mc:Choice>
  </mc:AlternateContent>
  <xr:revisionPtr revIDLastSave="0" documentId="13_ncr:1_{77F54F84-968A-4EB6-809D-4B7F51D8CA2E}" xr6:coauthVersionLast="47" xr6:coauthVersionMax="47" xr10:uidLastSave="{00000000-0000-0000-0000-000000000000}"/>
  <bookViews>
    <workbookView xWindow="28680" yWindow="-120" windowWidth="29040" windowHeight="15840" activeTab="10" xr2:uid="{00000000-000D-0000-FFFF-FFFF00000000}"/>
  </bookViews>
  <sheets>
    <sheet name="망태" sheetId="4" r:id="rId1"/>
    <sheet name="맨홀" sheetId="2" r:id="rId2"/>
    <sheet name="Sheet2" sheetId="11" r:id="rId3"/>
    <sheet name="수로관" sheetId="3" r:id="rId4"/>
    <sheet name="잡석" sheetId="5" r:id="rId5"/>
    <sheet name="시멘트" sheetId="10" r:id="rId6"/>
    <sheet name="레미콘" sheetId="6" r:id="rId7"/>
    <sheet name="레미콘 180 -2차" sheetId="13" r:id="rId8"/>
    <sheet name="레미콘 180" sheetId="12" r:id="rId9"/>
    <sheet name="철근 16mm" sheetId="14" r:id="rId10"/>
    <sheet name="철근13mm" sheetId="7" r:id="rId11"/>
    <sheet name="Sheet1" sheetId="8" r:id="rId12"/>
    <sheet name="철근 (2)" sheetId="9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14" l="1"/>
  <c r="S10" i="14"/>
  <c r="L10" i="14"/>
  <c r="S9" i="14"/>
  <c r="L9" i="14"/>
  <c r="L8" i="14"/>
  <c r="L7" i="14"/>
  <c r="M7" i="14" s="1"/>
  <c r="M8" i="14" s="1"/>
  <c r="M9" i="14" s="1"/>
  <c r="M10" i="14" s="1"/>
  <c r="M11" i="14" s="1"/>
  <c r="H7" i="14"/>
  <c r="H8" i="14" s="1"/>
  <c r="H9" i="14" s="1"/>
  <c r="H10" i="14" s="1"/>
  <c r="H11" i="14" s="1"/>
  <c r="F7" i="14"/>
  <c r="B2" i="14"/>
  <c r="L11" i="7"/>
  <c r="M11" i="7" s="1"/>
  <c r="H11" i="7"/>
  <c r="M10" i="7"/>
  <c r="L10" i="7"/>
  <c r="H10" i="7"/>
  <c r="M9" i="7"/>
  <c r="L9" i="7"/>
  <c r="H9" i="7"/>
  <c r="M8" i="7"/>
  <c r="L8" i="7"/>
  <c r="H8" i="7"/>
  <c r="M7" i="7"/>
  <c r="L7" i="7"/>
  <c r="H7" i="7"/>
  <c r="F7" i="7"/>
  <c r="B2" i="7"/>
  <c r="S10" i="13"/>
  <c r="S9" i="13"/>
  <c r="L7" i="13"/>
  <c r="M7" i="13" s="1"/>
  <c r="K7" i="13"/>
  <c r="G7" i="13"/>
  <c r="H7" i="13" s="1"/>
  <c r="D7" i="13"/>
  <c r="Q11" i="13" l="1"/>
  <c r="M14" i="12" l="1"/>
  <c r="M13" i="12"/>
  <c r="M12" i="12"/>
  <c r="K14" i="12"/>
  <c r="K13" i="12"/>
  <c r="K12" i="12"/>
  <c r="H14" i="12"/>
  <c r="H13" i="12"/>
  <c r="H12" i="12"/>
  <c r="H11" i="12"/>
  <c r="G14" i="12"/>
  <c r="L14" i="12"/>
  <c r="G13" i="12"/>
  <c r="L13" i="12"/>
  <c r="G12" i="12"/>
  <c r="L12" i="12"/>
  <c r="K11" i="12"/>
  <c r="M11" i="12"/>
  <c r="G11" i="12"/>
  <c r="L11" i="12"/>
  <c r="S10" i="12"/>
  <c r="L10" i="12"/>
  <c r="K10" i="12"/>
  <c r="G10" i="12"/>
  <c r="S9" i="12"/>
  <c r="L9" i="12"/>
  <c r="K9" i="12"/>
  <c r="G9" i="12"/>
  <c r="L8" i="12"/>
  <c r="K8" i="12"/>
  <c r="G8" i="12"/>
  <c r="L7" i="12"/>
  <c r="M7" i="12" s="1"/>
  <c r="K7" i="12"/>
  <c r="G7" i="12"/>
  <c r="H7" i="12" s="1"/>
  <c r="D7" i="12"/>
  <c r="M10" i="6"/>
  <c r="M9" i="6"/>
  <c r="M8" i="6"/>
  <c r="M7" i="6"/>
  <c r="G10" i="6"/>
  <c r="G9" i="6"/>
  <c r="G8" i="6"/>
  <c r="G7" i="6"/>
  <c r="D7" i="6"/>
  <c r="H8" i="12" l="1"/>
  <c r="H9" i="12" s="1"/>
  <c r="H10" i="12" s="1"/>
  <c r="Q11" i="12" s="1"/>
  <c r="M8" i="12"/>
  <c r="M9" i="12" s="1"/>
  <c r="M10" i="12" s="1"/>
  <c r="S10" i="10" l="1"/>
  <c r="L10" i="10"/>
  <c r="K10" i="10"/>
  <c r="S9" i="10"/>
  <c r="L9" i="10"/>
  <c r="K9" i="10"/>
  <c r="L8" i="10"/>
  <c r="K8" i="10"/>
  <c r="L7" i="10"/>
  <c r="K7" i="10"/>
  <c r="H7" i="10"/>
  <c r="H8" i="10" s="1"/>
  <c r="H9" i="10" s="1"/>
  <c r="H10" i="10" s="1"/>
  <c r="Q11" i="10" s="1"/>
  <c r="S10" i="9" l="1"/>
  <c r="S9" i="9"/>
  <c r="L8" i="6" l="1"/>
  <c r="L9" i="6"/>
  <c r="L10" i="6"/>
  <c r="L7" i="6"/>
  <c r="K8" i="6"/>
  <c r="K9" i="6"/>
  <c r="K10" i="6"/>
  <c r="K7" i="6"/>
  <c r="H7" i="6"/>
  <c r="H8" i="6" s="1"/>
  <c r="H9" i="6" s="1"/>
  <c r="H10" i="6" s="1"/>
  <c r="Q11" i="6" s="1"/>
  <c r="S10" i="7" l="1"/>
  <c r="S9" i="7"/>
  <c r="S10" i="6"/>
  <c r="S9" i="6"/>
  <c r="H9" i="5"/>
  <c r="H8" i="5"/>
  <c r="G8" i="5"/>
  <c r="F9" i="5"/>
  <c r="M8" i="5"/>
  <c r="S10" i="5"/>
  <c r="M7" i="5"/>
  <c r="S9" i="5"/>
  <c r="L10" i="4" l="1"/>
  <c r="L9" i="4"/>
  <c r="L8" i="4"/>
  <c r="L7" i="4"/>
</calcChain>
</file>

<file path=xl/sharedStrings.xml><?xml version="1.0" encoding="utf-8"?>
<sst xmlns="http://schemas.openxmlformats.org/spreadsheetml/2006/main" count="281" uniqueCount="77">
  <si>
    <t>설계량</t>
    <phoneticPr fontId="1" type="noConversion"/>
  </si>
  <si>
    <t>반입량</t>
    <phoneticPr fontId="1" type="noConversion"/>
  </si>
  <si>
    <t>합격량</t>
    <phoneticPr fontId="1" type="noConversion"/>
  </si>
  <si>
    <t>금회</t>
    <phoneticPr fontId="1" type="noConversion"/>
  </si>
  <si>
    <t>누계</t>
    <phoneticPr fontId="1" type="noConversion"/>
  </si>
  <si>
    <t>불합격</t>
    <phoneticPr fontId="1" type="noConversion"/>
  </si>
  <si>
    <t>출고일</t>
    <phoneticPr fontId="1" type="noConversion"/>
  </si>
  <si>
    <t>출고량</t>
    <phoneticPr fontId="1" type="noConversion"/>
  </si>
  <si>
    <t>단위</t>
    <phoneticPr fontId="1" type="noConversion"/>
  </si>
  <si>
    <t>규격</t>
    <phoneticPr fontId="1" type="noConversion"/>
  </si>
  <si>
    <t>반입일</t>
    <phoneticPr fontId="1" type="noConversion"/>
  </si>
  <si>
    <t>잔량</t>
    <phoneticPr fontId="1" type="noConversion"/>
  </si>
  <si>
    <t>검수자</t>
    <phoneticPr fontId="1" type="noConversion"/>
  </si>
  <si>
    <t>사유</t>
    <phoneticPr fontId="1" type="noConversion"/>
  </si>
  <si>
    <t>공사명:2021도로안전 시설물 정비공사(강진)</t>
    <phoneticPr fontId="1" type="noConversion"/>
  </si>
  <si>
    <t>불합
격량</t>
    <phoneticPr fontId="1" type="noConversion"/>
  </si>
  <si>
    <t>주 요 자 재  검 사 수 불 부</t>
    <phoneticPr fontId="1" type="noConversion"/>
  </si>
  <si>
    <t>조</t>
    <phoneticPr fontId="1" type="noConversion"/>
  </si>
  <si>
    <t>1000*1000*1000</t>
    <phoneticPr fontId="1" type="noConversion"/>
  </si>
  <si>
    <t>2022.1.7</t>
    <phoneticPr fontId="1" type="noConversion"/>
  </si>
  <si>
    <t>1500*1000*1000</t>
    <phoneticPr fontId="1" type="noConversion"/>
  </si>
  <si>
    <t>2000*1000*1000</t>
    <phoneticPr fontId="1" type="noConversion"/>
  </si>
  <si>
    <t>㎡</t>
    <phoneticPr fontId="1" type="noConversion"/>
  </si>
  <si>
    <t>500mm</t>
    <phoneticPr fontId="1" type="noConversion"/>
  </si>
  <si>
    <t>서명</t>
    <phoneticPr fontId="1" type="noConversion"/>
  </si>
  <si>
    <t>서명</t>
    <phoneticPr fontId="1" type="noConversion"/>
  </si>
  <si>
    <t>품    명:사각 맨홀</t>
    <phoneticPr fontId="1" type="noConversion"/>
  </si>
  <si>
    <t>EA</t>
    <phoneticPr fontId="1" type="noConversion"/>
  </si>
  <si>
    <t>600*600*1000</t>
    <phoneticPr fontId="1" type="noConversion"/>
  </si>
  <si>
    <t>2022.1.13</t>
    <phoneticPr fontId="1" type="noConversion"/>
  </si>
  <si>
    <t>EA</t>
    <phoneticPr fontId="1" type="noConversion"/>
  </si>
  <si>
    <t>300*200*40</t>
    <phoneticPr fontId="1" type="noConversion"/>
  </si>
  <si>
    <t>품    명:수로관</t>
    <phoneticPr fontId="1" type="noConversion"/>
  </si>
  <si>
    <t>서명</t>
    <phoneticPr fontId="1" type="noConversion"/>
  </si>
  <si>
    <t>㎥</t>
    <phoneticPr fontId="1" type="noConversion"/>
  </si>
  <si>
    <t>품    명:잡석(채움돌)</t>
    <phoneticPr fontId="1" type="noConversion"/>
  </si>
  <si>
    <t>100-300mm</t>
    <phoneticPr fontId="1" type="noConversion"/>
  </si>
  <si>
    <t>2022.1.5</t>
    <phoneticPr fontId="1" type="noConversion"/>
  </si>
  <si>
    <t>2022.1.8</t>
    <phoneticPr fontId="1" type="noConversion"/>
  </si>
  <si>
    <t>2022.1.11</t>
    <phoneticPr fontId="1" type="noConversion"/>
  </si>
  <si>
    <t>품    명:  돌 망 태(관급)</t>
    <phoneticPr fontId="1" type="noConversion"/>
  </si>
  <si>
    <t>품    명:레미콘</t>
    <phoneticPr fontId="1" type="noConversion"/>
  </si>
  <si>
    <t>t</t>
    <phoneticPr fontId="1" type="noConversion"/>
  </si>
  <si>
    <t>D-13mm</t>
    <phoneticPr fontId="1" type="noConversion"/>
  </si>
  <si>
    <t>품    명:철근</t>
    <phoneticPr fontId="1" type="noConversion"/>
  </si>
  <si>
    <t>아스콘</t>
    <phoneticPr fontId="1" type="noConversion"/>
  </si>
  <si>
    <t>2022.2.24</t>
    <phoneticPr fontId="1" type="noConversion"/>
  </si>
  <si>
    <t>아스콘</t>
    <phoneticPr fontId="1" type="noConversion"/>
  </si>
  <si>
    <t>공사명:삼산면동도 유촌마을 선착장정비공사</t>
    <phoneticPr fontId="1" type="noConversion"/>
  </si>
  <si>
    <t>관 급 자 재  검 사 수 불 부</t>
    <phoneticPr fontId="1" type="noConversion"/>
  </si>
  <si>
    <t>포</t>
    <phoneticPr fontId="1" type="noConversion"/>
  </si>
  <si>
    <t>40kg</t>
    <phoneticPr fontId="1" type="noConversion"/>
  </si>
  <si>
    <t>2023.04.14</t>
    <phoneticPr fontId="1" type="noConversion"/>
  </si>
  <si>
    <t>2023.04.17</t>
    <phoneticPr fontId="1" type="noConversion"/>
  </si>
  <si>
    <t>시 멘 트</t>
    <phoneticPr fontId="1" type="noConversion"/>
  </si>
  <si>
    <t>관급자재수불부</t>
    <phoneticPr fontId="1" type="noConversion"/>
  </si>
  <si>
    <t>공사명:삼산면동도유촌마을선착장정비공사</t>
    <phoneticPr fontId="1" type="noConversion"/>
  </si>
  <si>
    <t>품    명:</t>
    <phoneticPr fontId="1" type="noConversion"/>
  </si>
  <si>
    <t>공사명:송금지구배수배수개선사업1차</t>
    <phoneticPr fontId="1" type="noConversion"/>
  </si>
  <si>
    <t>25-24-150</t>
    <phoneticPr fontId="1" type="noConversion"/>
  </si>
  <si>
    <t>25-18-180</t>
    <phoneticPr fontId="1" type="noConversion"/>
  </si>
  <si>
    <t>2025.1.08</t>
    <phoneticPr fontId="1" type="noConversion"/>
  </si>
  <si>
    <t>2025.1.15</t>
    <phoneticPr fontId="1" type="noConversion"/>
  </si>
  <si>
    <t>2025.1.16</t>
    <phoneticPr fontId="1" type="noConversion"/>
  </si>
  <si>
    <t>2025.1.20</t>
    <phoneticPr fontId="1" type="noConversion"/>
  </si>
  <si>
    <t>2024.10.24</t>
    <phoneticPr fontId="1" type="noConversion"/>
  </si>
  <si>
    <t>2024.11.11</t>
    <phoneticPr fontId="1" type="noConversion"/>
  </si>
  <si>
    <t>2024.12.18</t>
    <phoneticPr fontId="1" type="noConversion"/>
  </si>
  <si>
    <t>2024.12.27</t>
    <phoneticPr fontId="1" type="noConversion"/>
  </si>
  <si>
    <t>2025.1.03</t>
    <phoneticPr fontId="1" type="noConversion"/>
  </si>
  <si>
    <t>2025.1.06</t>
    <phoneticPr fontId="1" type="noConversion"/>
  </si>
  <si>
    <t>2025.1.13</t>
    <phoneticPr fontId="1" type="noConversion"/>
  </si>
  <si>
    <t>2025.1.17</t>
    <phoneticPr fontId="1" type="noConversion"/>
  </si>
  <si>
    <t>공사명:송금지구배수배수개선사업2차</t>
    <phoneticPr fontId="1" type="noConversion"/>
  </si>
  <si>
    <t>2025.1.05</t>
    <phoneticPr fontId="1" type="noConversion"/>
  </si>
  <si>
    <t>2025.1.12</t>
    <phoneticPr fontId="1" type="noConversion"/>
  </si>
  <si>
    <t>2024.12.19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</si>
</sst>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굴림체"/>
      <family val="3"/>
      <charset val="129"/>
    </font>
    <font>
      <b/>
      <sz val="11"/>
      <color theme="1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20"/>
      <color theme="1"/>
      <name val="굴림체"/>
      <family val="3"/>
      <charset val="129"/>
    </font>
    <font>
      <sz val="9"/>
      <color theme="1"/>
      <name val="굴림체"/>
      <family val="3"/>
      <charset val="129"/>
    </font>
    <font>
      <sz val="16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sz val="28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 shrinkToFit="1"/>
    </xf>
    <xf numFmtId="0" fontId="2" fillId="0" borderId="8" xfId="0" applyFont="1" applyBorder="1">
      <alignment vertical="center"/>
    </xf>
    <xf numFmtId="0" fontId="11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1"/>
  <sheetViews>
    <sheetView workbookViewId="0">
      <selection activeCell="E18" sqref="E18"/>
    </sheetView>
  </sheetViews>
  <sheetFormatPr defaultRowHeight="13.5" x14ac:dyDescent="0.3"/>
  <cols>
    <col min="1" max="1" width="0.375" style="1" customWidth="1"/>
    <col min="2" max="2" width="5.375" style="1" customWidth="1"/>
    <col min="3" max="3" width="3.875" style="1" customWidth="1"/>
    <col min="4" max="4" width="15.875" style="1" customWidth="1"/>
    <col min="5" max="5" width="9" style="1"/>
    <col min="6" max="6" width="7.875" style="1" customWidth="1"/>
    <col min="7" max="8" width="5.625" style="1" customWidth="1"/>
    <col min="9" max="10" width="3.375" style="1" customWidth="1"/>
    <col min="11" max="13" width="6.625" style="1" customWidth="1"/>
    <col min="14" max="14" width="6" style="1" customWidth="1"/>
    <col min="15" max="15" width="5.625" style="1" customWidth="1"/>
    <col min="16" max="16384" width="9" style="1"/>
  </cols>
  <sheetData>
    <row r="1" spans="2:15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5" ht="24.95" customHeight="1" x14ac:dyDescent="0.3">
      <c r="B2" s="2" t="inlineStr">
        <is>
          <t xml:space="preserve">공사명: </t>
        </is>
      </c>
      <c r="C2" s="3"/>
      <c r="D2" s="3"/>
      <c r="E2" s="3"/>
      <c r="F2" s="3"/>
      <c r="G2" s="3"/>
      <c r="H2" s="3"/>
      <c r="I2" s="3"/>
    </row>
    <row r="3" spans="2:15" ht="24.95" customHeight="1" x14ac:dyDescent="0.3">
      <c r="B3" s="23" t="inlineStr">
        <is>
          <t xml:space="preserve">품    명: </t>
        </is>
      </c>
      <c r="C3" s="23"/>
      <c r="D3" s="23"/>
      <c r="E3" s="23"/>
      <c r="F3" s="23"/>
    </row>
    <row r="4" spans="2:15" ht="20.100000000000001" customHeight="1" x14ac:dyDescent="0.3">
      <c r="B4" s="18" t="s">
        <v>0</v>
      </c>
      <c r="C4" s="18" t="s">
        <v>8</v>
      </c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24</v>
      </c>
    </row>
    <row r="5" spans="2:15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5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5" ht="20.100000000000001" customHeight="1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>
        <f>IFERROR(H7,"")</f>
      </c>
      <c r="M7" s="6"/>
      <c r="N7" s="6"/>
      <c r="O7" s="6"/>
    </row>
    <row r="8" spans="2:15" ht="20.100000000000001" customHeight="1" x14ac:dyDescent="0.3">
      <c r="B8" s="6"/>
      <c r="C8" s="6"/>
      <c r="D8" s="6"/>
      <c r="E8" s="6"/>
      <c r="F8" s="6"/>
      <c r="G8" s="6"/>
      <c r="H8" s="6"/>
      <c r="I8" s="6"/>
      <c r="J8" s="6"/>
      <c r="K8" s="6"/>
      <c r="L8" s="6">
        <f>IFERROR(H8,"")</f>
      </c>
      <c r="M8" s="6"/>
      <c r="N8" s="6"/>
      <c r="O8" s="6"/>
    </row>
    <row r="9" spans="2:15" ht="20.100000000000001" customHeight="1" x14ac:dyDescent="0.3">
      <c r="B9" s="6"/>
      <c r="C9" s="6"/>
      <c r="D9" s="6"/>
      <c r="E9" s="6"/>
      <c r="F9" s="6"/>
      <c r="G9" s="6"/>
      <c r="H9" s="6"/>
      <c r="I9" s="6"/>
      <c r="J9" s="6"/>
      <c r="K9" s="6"/>
      <c r="L9" s="6">
        <f>IFERROR(H9,"")</f>
      </c>
      <c r="M9" s="6"/>
      <c r="N9" s="6"/>
      <c r="O9" s="6"/>
    </row>
    <row r="10" spans="2:15" ht="20.100000000000001" customHeight="1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6">
        <f>IFERROR(H10,"")</f>
      </c>
      <c r="M10" s="6"/>
      <c r="N10" s="6"/>
      <c r="O10" s="6"/>
    </row>
    <row r="11" spans="2:15" ht="20.100000000000001" customHeight="1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2:15" ht="20.100000000000001" customHeight="1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2:15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5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5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5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8">
    <mergeCell ref="N4:N6"/>
    <mergeCell ref="O4:O6"/>
    <mergeCell ref="G5:G6"/>
    <mergeCell ref="H5:H6"/>
    <mergeCell ref="I5:I6"/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B3:F3"/>
    <mergeCell ref="L4:L6"/>
    <mergeCell ref="M4:M6"/>
  </mergeCells>
  <phoneticPr fontId="1" type="noConversion"/>
  <pageMargins left="0.21" right="0.1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31"/>
  <sheetViews>
    <sheetView workbookViewId="0">
      <selection activeCell="E18" sqref="E18"/>
    </sheetView>
  </sheetViews>
  <sheetFormatPr defaultRowHeight="13.5" x14ac:dyDescent="0.3"/>
  <cols>
    <col min="1" max="1" width="0.375" style="1" customWidth="1"/>
    <col min="2" max="2" width="6.625" style="1" customWidth="1"/>
    <col min="3" max="3" width="3.875" style="1" customWidth="1"/>
    <col min="4" max="4" width="13" style="1" customWidth="1"/>
    <col min="5" max="5" width="9" style="1"/>
    <col min="6" max="6" width="6.375" style="1" customWidth="1"/>
    <col min="7" max="8" width="5.625" style="1" customWidth="1"/>
    <col min="9" max="9" width="3.75" style="1" customWidth="1"/>
    <col min="10" max="10" width="4.25" style="1" customWidth="1"/>
    <col min="11" max="14" width="6.625" style="1" customWidth="1"/>
    <col min="15" max="15" width="7.25" style="1" customWidth="1"/>
    <col min="16" max="16384" width="9" style="1"/>
  </cols>
  <sheetData>
    <row r="1" spans="2:15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5" ht="24.95" customHeight="1" x14ac:dyDescent="0.3">
      <c r="B2" s="2" t="inlineStr">
        <is>
          <t xml:space="preserve">공사명: </t>
        </is>
      </c>
      <c r="C2" s="3"/>
      <c r="D2" s="3"/>
      <c r="E2" s="3"/>
      <c r="F2" s="3"/>
      <c r="G2" s="3"/>
      <c r="H2" s="3"/>
      <c r="I2" s="3"/>
    </row>
    <row r="3" spans="2:15" ht="24.95" customHeight="1" x14ac:dyDescent="0.3">
      <c r="B3" s="4" t="inlineStr">
        <is>
          <t xml:space="preserve">품    명: </t>
        </is>
      </c>
      <c r="D3" s="7"/>
      <c r="E3" s="7"/>
      <c r="F3" s="7"/>
    </row>
    <row r="4" spans="2:15" ht="20.100000000000001" customHeight="1" x14ac:dyDescent="0.3">
      <c r="B4" s="18" t="s">
        <v>0</v>
      </c>
      <c r="C4" s="18" t="s">
        <v>8</v>
      </c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25</v>
      </c>
    </row>
    <row r="5" spans="2:15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5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5" ht="20.100000000000001" customHeight="1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2:15" ht="20.100000000000001" customHeight="1" x14ac:dyDescent="0.3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2:15" ht="20.100000000000001" customHeight="1" x14ac:dyDescent="0.3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2:15" ht="20.100000000000001" customHeight="1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2:15" ht="20.100000000000001" customHeight="1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2:15" ht="20.100000000000001" customHeight="1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2:15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5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5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5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7"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  <mergeCell ref="H5:H6"/>
    <mergeCell ref="I5:I6"/>
  </mergeCells>
  <phoneticPr fontId="1" type="noConversion"/>
  <pageMargins left="0.21" right="0.16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H34"/>
  <sheetViews>
    <sheetView topLeftCell="A16" workbookViewId="0">
      <selection activeCell="E18" sqref="E18"/>
    </sheetView>
  </sheetViews>
  <sheetFormatPr defaultRowHeight="16.5" x14ac:dyDescent="0.3"/>
  <sheetData>
    <row r="4" spans="1:8" x14ac:dyDescent="0.3">
      <c r="A4" s="24" t="s">
        <v>55</v>
      </c>
      <c r="B4" s="24"/>
      <c r="C4" s="24"/>
      <c r="D4" s="24"/>
      <c r="E4" s="24"/>
      <c r="F4" s="24"/>
      <c r="G4" s="24"/>
      <c r="H4" s="24"/>
    </row>
    <row r="5" spans="1:8" x14ac:dyDescent="0.3">
      <c r="A5" s="24"/>
      <c r="B5" s="24"/>
      <c r="C5" s="24"/>
      <c r="D5" s="24"/>
      <c r="E5" s="24"/>
      <c r="F5" s="24"/>
      <c r="G5" s="24"/>
      <c r="H5" s="24"/>
    </row>
    <row r="6" spans="1:8" x14ac:dyDescent="0.3">
      <c r="A6" s="24"/>
      <c r="B6" s="24"/>
      <c r="C6" s="24"/>
      <c r="D6" s="24"/>
      <c r="E6" s="24"/>
      <c r="F6" s="24"/>
      <c r="G6" s="24"/>
      <c r="H6" s="24"/>
    </row>
    <row r="7" spans="1:8" x14ac:dyDescent="0.3">
      <c r="A7" s="24"/>
      <c r="B7" s="24"/>
      <c r="C7" s="24"/>
      <c r="D7" s="24"/>
      <c r="E7" s="24"/>
      <c r="F7" s="24"/>
      <c r="G7" s="24"/>
      <c r="H7" s="24"/>
    </row>
    <row r="8" spans="1:8" x14ac:dyDescent="0.3">
      <c r="A8" s="24"/>
      <c r="B8" s="24"/>
      <c r="C8" s="24"/>
      <c r="D8" s="24"/>
      <c r="E8" s="24"/>
      <c r="F8" s="24"/>
      <c r="G8" s="24"/>
      <c r="H8" s="24"/>
    </row>
    <row r="9" spans="1:8" x14ac:dyDescent="0.3">
      <c r="A9" s="24"/>
      <c r="B9" s="24"/>
      <c r="C9" s="24"/>
      <c r="D9" s="24"/>
      <c r="E9" s="24"/>
      <c r="F9" s="24"/>
      <c r="G9" s="24"/>
      <c r="H9" s="24"/>
    </row>
    <row r="10" spans="1:8" x14ac:dyDescent="0.3">
      <c r="A10" s="24"/>
      <c r="B10" s="24"/>
      <c r="C10" s="24"/>
      <c r="D10" s="24"/>
      <c r="E10" s="24"/>
      <c r="F10" s="24"/>
      <c r="G10" s="24"/>
      <c r="H10" s="24"/>
    </row>
    <row r="11" spans="1:8" x14ac:dyDescent="0.3">
      <c r="A11" s="24"/>
      <c r="B11" s="24"/>
      <c r="C11" s="24"/>
      <c r="D11" s="24"/>
      <c r="E11" s="24"/>
      <c r="F11" s="24"/>
      <c r="G11" s="24"/>
      <c r="H11" s="24"/>
    </row>
    <row r="12" spans="1:8" ht="41.25" x14ac:dyDescent="0.3">
      <c r="A12" s="12"/>
      <c r="B12" s="12"/>
      <c r="C12" s="12"/>
      <c r="D12" s="12"/>
      <c r="E12" s="12"/>
      <c r="F12" s="12"/>
      <c r="G12" s="12"/>
      <c r="H12" s="12"/>
    </row>
    <row r="13" spans="1:8" ht="41.25" x14ac:dyDescent="0.3">
      <c r="A13" s="12"/>
      <c r="B13" s="12"/>
      <c r="C13" s="12"/>
      <c r="D13" s="12"/>
      <c r="E13" s="12"/>
      <c r="F13" s="12"/>
      <c r="G13" s="12"/>
      <c r="H13" s="12"/>
    </row>
    <row r="14" spans="1:8" ht="41.25" x14ac:dyDescent="0.3">
      <c r="A14" s="12"/>
      <c r="B14" s="12"/>
      <c r="C14" s="12"/>
      <c r="D14" s="12"/>
      <c r="E14" s="12"/>
      <c r="F14" s="12"/>
      <c r="G14" s="12"/>
      <c r="H14" s="12"/>
    </row>
    <row r="15" spans="1:8" ht="41.25" x14ac:dyDescent="0.3">
      <c r="A15" s="12"/>
      <c r="B15" s="12"/>
      <c r="C15" s="12"/>
      <c r="D15" s="12"/>
      <c r="E15" s="12"/>
      <c r="F15" s="12"/>
      <c r="G15" s="12"/>
      <c r="H15" s="12"/>
    </row>
    <row r="16" spans="1:8" ht="41.25" x14ac:dyDescent="0.3">
      <c r="A16" s="12"/>
      <c r="B16" s="12"/>
      <c r="C16" s="12"/>
      <c r="D16" s="12"/>
      <c r="E16" s="12"/>
      <c r="F16" s="12"/>
      <c r="G16" s="12"/>
      <c r="H16" s="12"/>
    </row>
    <row r="17" spans="1:8" x14ac:dyDescent="0.3">
      <c r="A17" s="24"/>
      <c r="B17" s="24"/>
      <c r="C17" s="24"/>
      <c r="D17" s="24"/>
      <c r="E17" s="24"/>
      <c r="F17" s="24"/>
      <c r="G17" s="24"/>
      <c r="H17" s="24"/>
    </row>
    <row r="18" spans="1:8" x14ac:dyDescent="0.3">
      <c r="A18" s="24"/>
      <c r="B18" s="24"/>
      <c r="C18" s="24"/>
      <c r="D18" s="24"/>
      <c r="E18" s="24"/>
      <c r="F18" s="24"/>
      <c r="G18" s="24"/>
      <c r="H18" s="24"/>
    </row>
    <row r="19" spans="1:8" x14ac:dyDescent="0.3">
      <c r="A19" s="24"/>
      <c r="B19" s="24"/>
      <c r="C19" s="24"/>
      <c r="D19" s="24"/>
      <c r="E19" s="24"/>
      <c r="F19" s="24"/>
      <c r="G19" s="24"/>
      <c r="H19" s="24"/>
    </row>
    <row r="20" spans="1:8" x14ac:dyDescent="0.3">
      <c r="A20" s="24"/>
      <c r="B20" s="24"/>
      <c r="C20" s="24"/>
      <c r="D20" s="24"/>
      <c r="E20" s="24"/>
      <c r="F20" s="24"/>
      <c r="G20" s="24"/>
      <c r="H20" s="24"/>
    </row>
    <row r="27" spans="1:8" x14ac:dyDescent="0.3">
      <c r="A27" s="25" t="inlineStr">
        <is>
          <t xml:space="preserve">공사명: </t>
        </is>
      </c>
      <c r="B27" s="25"/>
      <c r="C27" s="25"/>
      <c r="D27" s="25"/>
      <c r="E27" s="25"/>
      <c r="F27" s="25"/>
      <c r="G27" s="25"/>
      <c r="H27" s="25"/>
    </row>
    <row r="28" spans="1:8" x14ac:dyDescent="0.3">
      <c r="A28" s="25"/>
      <c r="B28" s="25"/>
      <c r="C28" s="25"/>
      <c r="D28" s="25"/>
      <c r="E28" s="25"/>
      <c r="F28" s="25"/>
      <c r="G28" s="25"/>
      <c r="H28" s="25"/>
    </row>
    <row r="29" spans="1:8" x14ac:dyDescent="0.3">
      <c r="A29" s="25"/>
      <c r="B29" s="25"/>
      <c r="C29" s="25"/>
      <c r="D29" s="25"/>
      <c r="E29" s="25"/>
      <c r="F29" s="25"/>
      <c r="G29" s="25"/>
      <c r="H29" s="25"/>
    </row>
    <row r="30" spans="1:8" x14ac:dyDescent="0.3">
      <c r="A30" s="25"/>
      <c r="B30" s="25"/>
      <c r="C30" s="25"/>
      <c r="D30" s="25"/>
      <c r="E30" s="25"/>
      <c r="F30" s="25"/>
      <c r="G30" s="25"/>
      <c r="H30" s="25"/>
    </row>
    <row r="31" spans="1:8" x14ac:dyDescent="0.3">
      <c r="A31" s="25"/>
      <c r="B31" s="25"/>
      <c r="C31" s="25"/>
      <c r="D31" s="25"/>
      <c r="E31" s="25"/>
      <c r="F31" s="25"/>
      <c r="G31" s="25"/>
      <c r="H31" s="25"/>
    </row>
    <row r="32" spans="1:8" x14ac:dyDescent="0.3">
      <c r="A32" s="25"/>
      <c r="B32" s="25"/>
      <c r="C32" s="25"/>
      <c r="D32" s="25"/>
      <c r="E32" s="25"/>
      <c r="F32" s="25"/>
      <c r="G32" s="25"/>
      <c r="H32" s="25"/>
    </row>
    <row r="33" spans="1:8" x14ac:dyDescent="0.3">
      <c r="A33" s="25"/>
      <c r="B33" s="25"/>
      <c r="C33" s="25"/>
      <c r="D33" s="25"/>
      <c r="E33" s="25"/>
      <c r="F33" s="25"/>
      <c r="G33" s="25"/>
      <c r="H33" s="25"/>
    </row>
    <row r="34" spans="1:8" x14ac:dyDescent="0.3">
      <c r="A34" s="25"/>
      <c r="B34" s="25"/>
      <c r="C34" s="25"/>
      <c r="D34" s="25"/>
      <c r="E34" s="25"/>
      <c r="F34" s="25"/>
      <c r="G34" s="25"/>
      <c r="H34" s="25"/>
    </row>
  </sheetData>
  <mergeCells count="3">
    <mergeCell ref="A4:H11"/>
    <mergeCell ref="A27:H34"/>
    <mergeCell ref="A17:H20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1"/>
  <sheetViews>
    <sheetView workbookViewId="0">
      <selection activeCell="E18" sqref="E18"/>
    </sheetView>
  </sheetViews>
  <sheetFormatPr defaultRowHeight="13.5" x14ac:dyDescent="0.3"/>
  <cols>
    <col min="1" max="1" width="1.375" style="1" customWidth="1"/>
    <col min="2" max="2" width="7.25" style="1" customWidth="1"/>
    <col min="3" max="3" width="3.875" style="1" customWidth="1"/>
    <col min="4" max="4" width="10.75" style="1" customWidth="1"/>
    <col min="5" max="5" width="9" style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3" width="6.625" style="1" customWidth="1"/>
    <col min="14" max="14" width="7.125" style="1" customWidth="1"/>
    <col min="15" max="15" width="5.625" style="1" customWidth="1"/>
    <col min="16" max="16384" width="9" style="1"/>
  </cols>
  <sheetData>
    <row r="1" spans="2:15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5" ht="24.95" customHeight="1" x14ac:dyDescent="0.3">
      <c r="B2" s="2" t="inlineStr">
        <is>
          <t xml:space="preserve">공사명: </t>
        </is>
      </c>
      <c r="C2" s="3"/>
      <c r="D2" s="3"/>
      <c r="E2" s="3"/>
      <c r="F2" s="3"/>
      <c r="G2" s="3"/>
      <c r="H2" s="3"/>
      <c r="I2" s="3"/>
    </row>
    <row r="3" spans="2:15" ht="24.95" customHeight="1" x14ac:dyDescent="0.3">
      <c r="B3" s="4" t="inlineStr">
        <is>
          <t xml:space="preserve">품    명: </t>
        </is>
      </c>
      <c r="D3" s="7"/>
      <c r="E3" s="7"/>
      <c r="F3" s="7"/>
    </row>
    <row r="4" spans="2:15" ht="20.100000000000001" customHeight="1" x14ac:dyDescent="0.3">
      <c r="B4" s="18" t="s">
        <v>0</v>
      </c>
      <c r="C4" s="18" t="s">
        <v>8</v>
      </c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33</v>
      </c>
    </row>
    <row r="5" spans="2:15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5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5" ht="20.100000000000001" customHeight="1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2:15" ht="20.100000000000001" customHeight="1" x14ac:dyDescent="0.3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2:15" ht="20.100000000000001" customHeight="1" x14ac:dyDescent="0.3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2:15" ht="20.100000000000001" customHeight="1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2:15" ht="20.100000000000001" customHeight="1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2:15" ht="20.100000000000001" customHeight="1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2:15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5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5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5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7"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  <mergeCell ref="H5:H6"/>
    <mergeCell ref="I5:I6"/>
  </mergeCells>
  <phoneticPr fontId="1" type="noConversion"/>
  <pageMargins left="0.21" right="0.16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S31"/>
  <sheetViews>
    <sheetView workbookViewId="0">
      <selection activeCell="E18" sqref="E18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11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3" width="6.625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 t="inlineStr">
        <is>
          <t xml:space="preserve">공사명: </t>
        </is>
      </c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D3" s="7"/>
      <c r="E3" s="7"/>
      <c r="F3" s="7"/>
    </row>
    <row r="4" spans="2:19" ht="20.100000000000001" customHeight="1" x14ac:dyDescent="0.3">
      <c r="B4" s="18" t="s">
        <v>0</v>
      </c>
      <c r="C4" s="18" t="s">
        <v>8</v>
      </c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33</v>
      </c>
    </row>
    <row r="5" spans="2:19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9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9" ht="20.100000000000001" customHeight="1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>
        <f>IFERROR(B7-L7,"")</f>
      </c>
      <c r="N7" s="6"/>
      <c r="O7" s="6"/>
      <c r="P7" s="8"/>
    </row>
    <row r="8" spans="2:19" ht="20.100000000000001" customHeight="1" x14ac:dyDescent="0.3">
      <c r="B8" s="6"/>
      <c r="C8" s="6"/>
      <c r="D8" s="6"/>
      <c r="E8" s="6"/>
      <c r="F8" s="6"/>
      <c r="G8" s="6">
        <f>IFERROR(F8,"")</f>
      </c>
      <c r="H8" s="6">
        <f>IFERROR(H7+G8,"")</f>
      </c>
      <c r="I8" s="6"/>
      <c r="J8" s="6"/>
      <c r="K8" s="6"/>
      <c r="L8" s="6"/>
      <c r="M8" s="6">
        <f>IFERROR(M7-L8,"")</f>
      </c>
      <c r="N8" s="6"/>
      <c r="O8" s="6"/>
      <c r="P8" s="8"/>
    </row>
    <row r="9" spans="2:19" ht="20.100000000000001" customHeight="1" x14ac:dyDescent="0.3">
      <c r="B9" s="6"/>
      <c r="C9" s="6"/>
      <c r="D9" s="6"/>
      <c r="E9" s="6"/>
      <c r="F9" s="6">
        <f>IFERROR(B7-L7-L8,"")</f>
      </c>
      <c r="G9" s="6"/>
      <c r="H9" s="6">
        <f>IFERROR(H8+G9,"")</f>
      </c>
      <c r="I9" s="6"/>
      <c r="J9" s="6"/>
      <c r="K9" s="6"/>
      <c r="L9" s="6"/>
      <c r="M9" s="6"/>
      <c r="N9" s="6"/>
      <c r="O9" s="6"/>
      <c r="P9" s="8"/>
      <c r="Q9" s="1"/>
      <c r="R9" s="1"/>
      <c r="S9" s="1">
        <f>IFERROR(Q9*R9,"")</f>
      </c>
    </row>
    <row r="10" spans="2:19" ht="20.100000000000001" customHeight="1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8"/>
      <c r="Q10" s="1"/>
      <c r="R10" s="1"/>
      <c r="S10" s="1">
        <f>IFERROR(Q10*R10,"")</f>
      </c>
    </row>
    <row r="11" spans="2:19" ht="20.100000000000001" customHeight="1" x14ac:dyDescent="0.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8"/>
    </row>
    <row r="12" spans="2:19" ht="20.100000000000001" customHeight="1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8"/>
    </row>
    <row r="13" spans="2:19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9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9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9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7"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  <mergeCell ref="H5:H6"/>
    <mergeCell ref="I5:I6"/>
    <mergeCell ref="J5:J6"/>
  </mergeCells>
  <phoneticPr fontId="1" type="noConversion"/>
  <pageMargins left="0.16" right="0.16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1:S31"/>
  <sheetViews>
    <sheetView workbookViewId="0">
      <selection activeCell="I15" sqref="I15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11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3" width="6.625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49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 t="inlineStr">
        <is>
          <t xml:space="preserve">공사명: </t>
        </is>
      </c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s">
        <v>57</v>
      </c>
      <c r="D3" s="4"/>
    </row>
    <row r="4" spans="2:19" ht="20.100000000000001" customHeight="1" x14ac:dyDescent="0.3">
      <c r="B4" s="26" t="s">
        <v>0</v>
      </c>
      <c r="C4" s="26" t="s">
        <v>8</v>
      </c>
      <c r="D4" s="26" t="s">
        <v>9</v>
      </c>
      <c r="E4" s="26" t="s">
        <v>10</v>
      </c>
      <c r="F4" s="26" t="s">
        <v>1</v>
      </c>
      <c r="G4" s="26" t="s">
        <v>2</v>
      </c>
      <c r="H4" s="26"/>
      <c r="I4" s="26" t="s">
        <v>5</v>
      </c>
      <c r="J4" s="26"/>
      <c r="K4" s="26" t="s">
        <v>6</v>
      </c>
      <c r="L4" s="26" t="s">
        <v>7</v>
      </c>
      <c r="M4" s="26" t="s">
        <v>11</v>
      </c>
      <c r="N4" s="26" t="s">
        <v>12</v>
      </c>
      <c r="O4" s="26" t="s">
        <v>33</v>
      </c>
    </row>
    <row r="5" spans="2:19" ht="20.100000000000001" customHeight="1" x14ac:dyDescent="0.3">
      <c r="B5" s="26"/>
      <c r="C5" s="26"/>
      <c r="D5" s="26"/>
      <c r="E5" s="26"/>
      <c r="F5" s="26"/>
      <c r="G5" s="27" t="s">
        <v>3</v>
      </c>
      <c r="H5" s="27" t="s">
        <v>4</v>
      </c>
      <c r="I5" s="28" t="s">
        <v>15</v>
      </c>
      <c r="J5" s="27" t="s">
        <v>13</v>
      </c>
      <c r="K5" s="26"/>
      <c r="L5" s="26"/>
      <c r="M5" s="26"/>
      <c r="N5" s="26"/>
      <c r="O5" s="26"/>
    </row>
    <row r="6" spans="2:19" ht="20.100000000000001" customHeight="1" x14ac:dyDescent="0.3">
      <c r="B6" s="26"/>
      <c r="C6" s="26"/>
      <c r="D6" s="26"/>
      <c r="E6" s="26"/>
      <c r="F6" s="26"/>
      <c r="G6" s="27"/>
      <c r="H6" s="27"/>
      <c r="I6" s="29"/>
      <c r="J6" s="27"/>
      <c r="K6" s="26"/>
      <c r="L6" s="26"/>
      <c r="M6" s="26"/>
      <c r="N6" s="26"/>
      <c r="O6" s="26"/>
    </row>
    <row r="7" spans="2:19" ht="24" customHeight="1" x14ac:dyDescent="0.3">
      <c r="B7" s="9"/>
      <c r="C7" s="9"/>
      <c r="D7" s="9"/>
      <c r="E7" s="9"/>
      <c r="F7" s="9"/>
      <c r="G7" s="9"/>
      <c r="H7" s="9">
        <f>IFERROR(G7,"")</f>
      </c>
      <c r="I7" s="9"/>
      <c r="J7" s="9"/>
      <c r="K7" s="10">
        <f>IFERROR(E7,"")</f>
      </c>
      <c r="L7" s="9">
        <f>IFERROR(F7,"")</f>
      </c>
      <c r="M7" s="9"/>
      <c r="N7" s="9"/>
      <c r="O7" s="9"/>
      <c r="P7" s="8"/>
    </row>
    <row r="8" spans="2:19" ht="24" customHeight="1" x14ac:dyDescent="0.3">
      <c r="B8" s="9"/>
      <c r="C8" s="9"/>
      <c r="D8" s="9"/>
      <c r="E8" s="9"/>
      <c r="F8" s="9"/>
      <c r="G8" s="9"/>
      <c r="H8" s="9">
        <f>IFERROR(H7+G8,"")</f>
      </c>
      <c r="I8" s="9"/>
      <c r="J8" s="9"/>
      <c r="K8" s="10">
        <f t="shared" ref="K8:L10" si="0">IFERROR(E8,"")</f>
      </c>
      <c r="L8" s="9">
        <f t="shared" si="0"/>
      </c>
      <c r="M8" s="9"/>
      <c r="N8" s="9"/>
      <c r="O8" s="9"/>
      <c r="P8" s="8"/>
    </row>
    <row r="9" spans="2:19" ht="24" customHeight="1" x14ac:dyDescent="0.3">
      <c r="B9" s="9"/>
      <c r="C9" s="9"/>
      <c r="D9" s="9"/>
      <c r="E9" s="9"/>
      <c r="F9" s="9"/>
      <c r="G9" s="9"/>
      <c r="H9" s="9">
        <f t="shared" ref="H9:H10" si="1">IFERROR(H8+G9,"")</f>
      </c>
      <c r="I9" s="9"/>
      <c r="J9" s="9"/>
      <c r="K9" s="10">
        <f t="shared" si="0"/>
      </c>
      <c r="L9" s="9">
        <f t="shared" si="0"/>
      </c>
      <c r="M9" s="9"/>
      <c r="N9" s="9"/>
      <c r="O9" s="9"/>
      <c r="P9" s="8"/>
      <c r="Q9" s="1"/>
      <c r="R9" s="1"/>
      <c r="S9" s="1">
        <f>IFERROR(Q9*R9,"")</f>
      </c>
    </row>
    <row r="10" spans="2:19" ht="24" customHeight="1" x14ac:dyDescent="0.3">
      <c r="B10" s="9"/>
      <c r="C10" s="9"/>
      <c r="D10" s="9"/>
      <c r="E10" s="9"/>
      <c r="F10" s="9"/>
      <c r="G10" s="9"/>
      <c r="H10" s="9">
        <f t="shared" si="1"/>
      </c>
      <c r="I10" s="9"/>
      <c r="J10" s="9"/>
      <c r="K10" s="10">
        <f t="shared" si="0"/>
      </c>
      <c r="L10" s="9">
        <f t="shared" si="0"/>
      </c>
      <c r="M10" s="9"/>
      <c r="N10" s="9"/>
      <c r="O10" s="9"/>
      <c r="P10" s="8"/>
      <c r="Q10" s="1"/>
      <c r="R10" s="1"/>
      <c r="S10" s="1">
        <f>IFERROR(Q10*R10,"")</f>
      </c>
    </row>
    <row r="11" spans="2:19" ht="24" customHeight="1" x14ac:dyDescent="0.3"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8"/>
      <c r="Q11" s="1">
        <f>IFERROR(H10-B7,"")</f>
      </c>
    </row>
    <row r="12" spans="2:19" ht="24" customHeight="1" x14ac:dyDescent="0.3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8"/>
    </row>
    <row r="13" spans="2:19" ht="24" customHeight="1" x14ac:dyDescent="0.3"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 spans="2:19" ht="24" customHeight="1" x14ac:dyDescent="0.3"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 spans="2:19" ht="24" customHeight="1" x14ac:dyDescent="0.3"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spans="2:19" ht="24" customHeight="1" x14ac:dyDescent="0.3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 spans="2:15" ht="24" customHeight="1" x14ac:dyDescent="0.3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 spans="2:15" ht="24" customHeight="1" x14ac:dyDescent="0.3"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spans="2:15" ht="24" customHeight="1" x14ac:dyDescent="0.3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spans="2:15" ht="24" customHeight="1" x14ac:dyDescent="0.3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 spans="2:15" ht="24" customHeight="1" x14ac:dyDescent="0.3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spans="2:15" ht="24" customHeight="1" x14ac:dyDescent="0.3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 spans="2:15" ht="24" customHeight="1" x14ac:dyDescent="0.3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spans="2:15" ht="24" customHeight="1" x14ac:dyDescent="0.3"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spans="2:15" ht="24" customHeight="1" x14ac:dyDescent="0.3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spans="2:15" ht="24" customHeight="1" x14ac:dyDescent="0.3"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 spans="2:15" ht="24" customHeight="1" x14ac:dyDescent="0.3"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 spans="2:15" ht="24" customHeight="1" x14ac:dyDescent="0.3"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 spans="2:15" ht="24" customHeight="1" x14ac:dyDescent="0.3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 spans="2:15" ht="24" customHeight="1" x14ac:dyDescent="0.3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 spans="2:15" ht="24" customHeight="1" x14ac:dyDescent="0.3"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</sheetData>
  <mergeCells count="17"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  <mergeCell ref="H5:H6"/>
    <mergeCell ref="I5:I6"/>
  </mergeCells>
  <phoneticPr fontId="1" type="noConversion"/>
  <pageMargins left="0.16" right="0.16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B1:S31"/>
  <sheetViews>
    <sheetView workbookViewId="0">
      <selection activeCell="E11" sqref="E11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11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3" width="6.625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49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/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E3" s="4"/>
    </row>
    <row r="4" spans="2:19" ht="20.100000000000001" customHeight="1" x14ac:dyDescent="0.3">
      <c r="B4" s="26" t="s">
        <v>0</v>
      </c>
      <c r="C4" s="26" t="s">
        <v>8</v>
      </c>
      <c r="D4" s="26" t="s">
        <v>9</v>
      </c>
      <c r="E4" s="26" t="s">
        <v>10</v>
      </c>
      <c r="F4" s="26" t="s">
        <v>1</v>
      </c>
      <c r="G4" s="26" t="s">
        <v>2</v>
      </c>
      <c r="H4" s="26"/>
      <c r="I4" s="26" t="s">
        <v>5</v>
      </c>
      <c r="J4" s="26"/>
      <c r="K4" s="26" t="s">
        <v>6</v>
      </c>
      <c r="L4" s="26" t="s">
        <v>7</v>
      </c>
      <c r="M4" s="26" t="s">
        <v>11</v>
      </c>
      <c r="N4" s="26" t="s">
        <v>12</v>
      </c>
      <c r="O4" s="26" t="s">
        <v>33</v>
      </c>
    </row>
    <row r="5" spans="2:19" ht="20.100000000000001" customHeight="1" x14ac:dyDescent="0.3">
      <c r="B5" s="26"/>
      <c r="C5" s="26"/>
      <c r="D5" s="26"/>
      <c r="E5" s="26"/>
      <c r="F5" s="26"/>
      <c r="G5" s="27" t="s">
        <v>3</v>
      </c>
      <c r="H5" s="27" t="s">
        <v>4</v>
      </c>
      <c r="I5" s="28" t="s">
        <v>15</v>
      </c>
      <c r="J5" s="27" t="s">
        <v>13</v>
      </c>
      <c r="K5" s="26"/>
      <c r="L5" s="26"/>
      <c r="M5" s="26"/>
      <c r="N5" s="26"/>
      <c r="O5" s="26"/>
    </row>
    <row r="6" spans="2:19" ht="20.100000000000001" customHeight="1" x14ac:dyDescent="0.3">
      <c r="B6" s="26"/>
      <c r="C6" s="26"/>
      <c r="D6" s="26"/>
      <c r="E6" s="26"/>
      <c r="F6" s="26"/>
      <c r="G6" s="27"/>
      <c r="H6" s="27"/>
      <c r="I6" s="29"/>
      <c r="J6" s="27"/>
      <c r="K6" s="26"/>
      <c r="L6" s="26"/>
      <c r="M6" s="26"/>
      <c r="N6" s="26"/>
      <c r="O6" s="26"/>
    </row>
    <row r="7" spans="2:19" ht="24" customHeight="1" x14ac:dyDescent="0.3">
      <c r="B7" s="9"/>
      <c r="C7" s="9"/>
      <c r="D7" s="9">
        <f>IFERROR(E3,"")</f>
      </c>
      <c r="E7" s="9"/>
      <c r="F7" s="9"/>
      <c r="G7" s="9">
        <f>IFERROR(F7,"")</f>
      </c>
      <c r="H7" s="9">
        <f>IFERROR(G7,"")</f>
      </c>
      <c r="I7" s="9"/>
      <c r="J7" s="9"/>
      <c r="K7" s="10">
        <f>IFERROR(E7,"")</f>
      </c>
      <c r="L7" s="9">
        <f>IFERROR(F7,"")</f>
      </c>
      <c r="M7" s="9">
        <f>IFERROR(B7-L7,"")</f>
      </c>
      <c r="N7" s="9"/>
      <c r="O7" s="9"/>
      <c r="P7" s="8"/>
    </row>
    <row r="8" spans="2:19" ht="24" customHeight="1" x14ac:dyDescent="0.3">
      <c r="B8" s="9"/>
      <c r="C8" s="9"/>
      <c r="D8" s="9"/>
      <c r="E8" s="9"/>
      <c r="F8" s="9"/>
      <c r="G8" s="9">
        <f>IFERROR(F8,"")</f>
      </c>
      <c r="H8" s="9">
        <f>IFERROR(H7+G8,"")</f>
      </c>
      <c r="I8" s="9"/>
      <c r="J8" s="9"/>
      <c r="K8" s="10">
        <f t="shared" ref="K8:K10" si="0">IFERROR(E8,"")</f>
      </c>
      <c r="L8" s="9">
        <f t="shared" ref="L8:L10" si="1">IFERROR(F8,"")</f>
      </c>
      <c r="M8" s="9">
        <f>IFERROR(M7-L8,"")</f>
      </c>
      <c r="N8" s="9"/>
      <c r="O8" s="9"/>
      <c r="P8" s="8"/>
    </row>
    <row r="9" spans="2:19" ht="24" customHeight="1" x14ac:dyDescent="0.3">
      <c r="B9" s="9"/>
      <c r="C9" s="9"/>
      <c r="D9" s="9"/>
      <c r="E9" s="9"/>
      <c r="F9" s="9"/>
      <c r="G9" s="9">
        <f>IFERROR(F9,"")</f>
      </c>
      <c r="H9" s="9">
        <f t="shared" ref="H9:H10" si="2">IFERROR(H8+G9,"")</f>
      </c>
      <c r="I9" s="9"/>
      <c r="J9" s="9"/>
      <c r="K9" s="10">
        <f t="shared" si="0"/>
      </c>
      <c r="L9" s="9">
        <f t="shared" si="1"/>
      </c>
      <c r="M9" s="9">
        <f>IFERROR(M8-L9,"")</f>
      </c>
      <c r="N9" s="9"/>
      <c r="O9" s="9"/>
      <c r="P9" s="8"/>
      <c r="Q9" s="1"/>
      <c r="R9" s="1"/>
      <c r="S9" s="1">
        <f>IFERROR(Q9*R9,"")</f>
      </c>
    </row>
    <row r="10" spans="2:19" ht="24" customHeight="1" x14ac:dyDescent="0.3">
      <c r="B10" s="9"/>
      <c r="C10" s="9"/>
      <c r="D10" s="9"/>
      <c r="E10" s="9"/>
      <c r="F10" s="9"/>
      <c r="G10" s="9">
        <f>IFERROR(F10,"")</f>
      </c>
      <c r="H10" s="9">
        <f t="shared" si="2"/>
      </c>
      <c r="I10" s="9"/>
      <c r="J10" s="9"/>
      <c r="K10" s="10">
        <f t="shared" si="0"/>
      </c>
      <c r="L10" s="9">
        <f t="shared" si="1"/>
      </c>
      <c r="M10" s="9">
        <f>IFERROR(M9-L10,"")</f>
      </c>
      <c r="N10" s="9"/>
      <c r="O10" s="9"/>
      <c r="P10" s="8"/>
      <c r="Q10" s="1"/>
      <c r="R10" s="1"/>
      <c r="S10" s="1">
        <f>IFERROR(Q10*R10,"")</f>
      </c>
    </row>
    <row r="11" spans="2:19" ht="24" customHeight="1" x14ac:dyDescent="0.3"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8"/>
      <c r="Q11" s="1">
        <f>IFERROR(H10-B7,"")</f>
      </c>
    </row>
    <row r="12" spans="2:19" ht="24" customHeight="1" x14ac:dyDescent="0.3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8"/>
    </row>
    <row r="13" spans="2:19" ht="24" customHeight="1" x14ac:dyDescent="0.3"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 spans="2:19" ht="24" customHeight="1" x14ac:dyDescent="0.3"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 spans="2:19" ht="24" customHeight="1" x14ac:dyDescent="0.3"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spans="2:19" ht="24" customHeight="1" x14ac:dyDescent="0.3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 spans="2:15" ht="24" customHeight="1" x14ac:dyDescent="0.3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 spans="2:15" ht="24" customHeight="1" x14ac:dyDescent="0.3"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spans="2:15" ht="24" customHeight="1" x14ac:dyDescent="0.3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spans="2:15" ht="24" customHeight="1" x14ac:dyDescent="0.3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 spans="2:15" ht="24" customHeight="1" x14ac:dyDescent="0.3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spans="2:15" ht="24" customHeight="1" x14ac:dyDescent="0.3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 spans="2:15" ht="24" customHeight="1" x14ac:dyDescent="0.3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spans="2:15" ht="24" customHeight="1" x14ac:dyDescent="0.3"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spans="2:15" ht="24" customHeight="1" x14ac:dyDescent="0.3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spans="2:15" ht="24" customHeight="1" x14ac:dyDescent="0.3"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 spans="2:15" ht="24" customHeight="1" x14ac:dyDescent="0.3"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 spans="2:15" ht="24" customHeight="1" x14ac:dyDescent="0.3"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 spans="2:15" ht="24" customHeight="1" x14ac:dyDescent="0.3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 spans="2:15" ht="24" customHeight="1" x14ac:dyDescent="0.3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 spans="2:15" ht="24" customHeight="1" x14ac:dyDescent="0.3"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</sheetData>
  <mergeCells count="17"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  <mergeCell ref="H5:H6"/>
    <mergeCell ref="I5:I6"/>
    <mergeCell ref="J5:J6"/>
  </mergeCells>
  <phoneticPr fontId="1" type="noConversion"/>
  <pageMargins left="0.16" right="0.1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3BBE7-5C7D-494D-9D9D-EFBE242EFBB5}">
  <sheetPr>
    <tabColor rgb="FFFFFF00"/>
  </sheetPr>
  <dimension ref="B1:S31"/>
  <sheetViews>
    <sheetView workbookViewId="0">
      <selection activeCell="C7" sqref="C7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11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3" width="6.625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49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/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E3" s="4"/>
    </row>
    <row r="4" spans="2:19" ht="20.100000000000001" customHeight="1" x14ac:dyDescent="0.3">
      <c r="B4" s="26" t="s">
        <v>0</v>
      </c>
      <c r="C4" s="26" t="s">
        <v>8</v>
      </c>
      <c r="D4" s="26" t="s">
        <v>9</v>
      </c>
      <c r="E4" s="26" t="s">
        <v>10</v>
      </c>
      <c r="F4" s="26" t="s">
        <v>1</v>
      </c>
      <c r="G4" s="26" t="s">
        <v>2</v>
      </c>
      <c r="H4" s="26"/>
      <c r="I4" s="26" t="s">
        <v>5</v>
      </c>
      <c r="J4" s="26"/>
      <c r="K4" s="26" t="s">
        <v>6</v>
      </c>
      <c r="L4" s="26" t="s">
        <v>7</v>
      </c>
      <c r="M4" s="26" t="s">
        <v>11</v>
      </c>
      <c r="N4" s="26" t="s">
        <v>12</v>
      </c>
      <c r="O4" s="26" t="s">
        <v>24</v>
      </c>
    </row>
    <row r="5" spans="2:19" ht="20.100000000000001" customHeight="1" x14ac:dyDescent="0.3">
      <c r="B5" s="26"/>
      <c r="C5" s="26"/>
      <c r="D5" s="26"/>
      <c r="E5" s="26"/>
      <c r="F5" s="26"/>
      <c r="G5" s="27" t="s">
        <v>3</v>
      </c>
      <c r="H5" s="27" t="s">
        <v>4</v>
      </c>
      <c r="I5" s="28" t="s">
        <v>15</v>
      </c>
      <c r="J5" s="27" t="s">
        <v>13</v>
      </c>
      <c r="K5" s="26"/>
      <c r="L5" s="26"/>
      <c r="M5" s="26"/>
      <c r="N5" s="26"/>
      <c r="O5" s="26"/>
    </row>
    <row r="6" spans="2:19" ht="20.100000000000001" customHeight="1" x14ac:dyDescent="0.3">
      <c r="B6" s="26"/>
      <c r="C6" s="26"/>
      <c r="D6" s="26"/>
      <c r="E6" s="26"/>
      <c r="F6" s="26"/>
      <c r="G6" s="27"/>
      <c r="H6" s="27"/>
      <c r="I6" s="29"/>
      <c r="J6" s="27"/>
      <c r="K6" s="26"/>
      <c r="L6" s="26"/>
      <c r="M6" s="26"/>
      <c r="N6" s="26"/>
      <c r="O6" s="26"/>
    </row>
    <row r="7" spans="2:19" ht="24" customHeight="1" x14ac:dyDescent="0.3">
      <c r="B7" s="9"/>
      <c r="C7" s="9"/>
      <c r="D7" s="9">
        <f>IFERROR(E3,"")</f>
      </c>
      <c r="E7" s="9"/>
      <c r="F7" s="9"/>
      <c r="G7" s="9">
        <f>IFERROR(F7,"")</f>
      </c>
      <c r="H7" s="9">
        <f>IFERROR(G7,"")</f>
      </c>
      <c r="I7" s="9"/>
      <c r="J7" s="9"/>
      <c r="K7" s="10">
        <f>IFERROR(E7,"")</f>
      </c>
      <c r="L7" s="9">
        <f>IFERROR(F7,"")</f>
      </c>
      <c r="M7" s="9">
        <f>IFERROR(B7-L7,"")</f>
      </c>
      <c r="N7" s="9"/>
      <c r="O7" s="9"/>
      <c r="P7" s="8"/>
    </row>
    <row r="8" spans="2:19" ht="24" customHeight="1" x14ac:dyDescent="0.3">
      <c r="B8" s="9"/>
      <c r="C8" s="9"/>
      <c r="D8" s="9"/>
      <c r="E8" s="9"/>
      <c r="F8" s="9"/>
      <c r="G8" s="9"/>
      <c r="H8" s="9"/>
      <c r="I8" s="9"/>
      <c r="J8" s="9"/>
      <c r="K8" s="10"/>
      <c r="L8" s="9"/>
      <c r="M8" s="9"/>
      <c r="N8" s="9"/>
      <c r="O8" s="9"/>
      <c r="P8" s="8"/>
    </row>
    <row r="9" spans="2:19" ht="24" customHeight="1" x14ac:dyDescent="0.3">
      <c r="B9" s="9"/>
      <c r="C9" s="9"/>
      <c r="D9" s="9"/>
      <c r="E9" s="9"/>
      <c r="F9" s="9"/>
      <c r="G9" s="9"/>
      <c r="H9" s="9"/>
      <c r="I9" s="9"/>
      <c r="J9" s="9"/>
      <c r="K9" s="10"/>
      <c r="L9" s="9"/>
      <c r="M9" s="9"/>
      <c r="N9" s="9"/>
      <c r="O9" s="9"/>
      <c r="P9" s="8"/>
      <c r="Q9" s="1"/>
      <c r="R9" s="1"/>
      <c r="S9" s="1">
        <f>IFERROR(Q9*R9,"")</f>
      </c>
    </row>
    <row r="10" spans="2:19" ht="24" customHeight="1" x14ac:dyDescent="0.3">
      <c r="B10" s="9"/>
      <c r="C10" s="9"/>
      <c r="D10" s="9"/>
      <c r="E10" s="9"/>
      <c r="F10" s="9"/>
      <c r="G10" s="9"/>
      <c r="H10" s="9"/>
      <c r="I10" s="9"/>
      <c r="J10" s="9"/>
      <c r="K10" s="10"/>
      <c r="L10" s="9"/>
      <c r="M10" s="9"/>
      <c r="N10" s="9"/>
      <c r="O10" s="9"/>
      <c r="P10" s="8"/>
      <c r="Q10" s="1"/>
      <c r="R10" s="1"/>
      <c r="S10" s="1">
        <f>IFERROR(Q10*R10,"")</f>
      </c>
    </row>
    <row r="11" spans="2:19" ht="24" customHeight="1" x14ac:dyDescent="0.3">
      <c r="B11" s="9"/>
      <c r="C11" s="9"/>
      <c r="D11" s="9"/>
      <c r="E11" s="9"/>
      <c r="F11" s="9"/>
      <c r="G11" s="9"/>
      <c r="H11" s="9"/>
      <c r="I11" s="9"/>
      <c r="J11" s="9"/>
      <c r="K11" s="10"/>
      <c r="L11" s="9"/>
      <c r="M11" s="9"/>
      <c r="N11" s="9"/>
      <c r="O11" s="9"/>
      <c r="P11" s="8"/>
      <c r="Q11" s="1">
        <f>IFERROR(H10-B7,"")</f>
      </c>
    </row>
    <row r="12" spans="2:19" ht="24" customHeight="1" x14ac:dyDescent="0.3">
      <c r="B12" s="9"/>
      <c r="C12" s="9"/>
      <c r="D12" s="9"/>
      <c r="E12" s="9"/>
      <c r="F12" s="9"/>
      <c r="G12" s="9"/>
      <c r="H12" s="9"/>
      <c r="I12" s="9"/>
      <c r="J12" s="9"/>
      <c r="K12" s="10"/>
      <c r="L12" s="9"/>
      <c r="M12" s="9"/>
      <c r="N12" s="9"/>
      <c r="O12" s="9"/>
      <c r="P12" s="8"/>
    </row>
    <row r="13" spans="2:19" ht="24" customHeight="1" x14ac:dyDescent="0.3">
      <c r="B13" s="11"/>
      <c r="C13" s="11"/>
      <c r="D13" s="11"/>
      <c r="E13" s="9"/>
      <c r="F13" s="11"/>
      <c r="G13" s="11"/>
      <c r="H13" s="9"/>
      <c r="I13" s="11"/>
      <c r="J13" s="11"/>
      <c r="K13" s="10"/>
      <c r="L13" s="11"/>
      <c r="M13" s="9"/>
      <c r="N13" s="11"/>
      <c r="O13" s="11"/>
    </row>
    <row r="14" spans="2:19" ht="24" customHeight="1" x14ac:dyDescent="0.3">
      <c r="B14" s="11"/>
      <c r="C14" s="11"/>
      <c r="D14" s="11"/>
      <c r="E14" s="9"/>
      <c r="F14" s="11"/>
      <c r="G14" s="11"/>
      <c r="H14" s="9"/>
      <c r="I14" s="11"/>
      <c r="J14" s="11"/>
      <c r="K14" s="10"/>
      <c r="L14" s="11"/>
      <c r="M14" s="9"/>
      <c r="N14" s="11"/>
      <c r="O14" s="11"/>
    </row>
    <row r="15" spans="2:19" ht="24" customHeight="1" x14ac:dyDescent="0.3">
      <c r="B15" s="11"/>
      <c r="C15" s="11"/>
      <c r="D15" s="11"/>
      <c r="E15" s="9"/>
      <c r="F15" s="11"/>
      <c r="G15" s="11"/>
      <c r="H15" s="9"/>
      <c r="I15" s="11"/>
      <c r="J15" s="11"/>
      <c r="K15" s="10"/>
      <c r="L15" s="11"/>
      <c r="M15" s="9"/>
      <c r="N15" s="11"/>
      <c r="O15" s="11"/>
    </row>
    <row r="16" spans="2:19" ht="24" customHeight="1" x14ac:dyDescent="0.3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 spans="2:15" ht="24" customHeight="1" x14ac:dyDescent="0.3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 spans="2:15" ht="24" customHeight="1" x14ac:dyDescent="0.3"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spans="2:15" ht="24" customHeight="1" x14ac:dyDescent="0.3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spans="2:15" ht="24" customHeight="1" x14ac:dyDescent="0.3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 spans="2:15" ht="24" customHeight="1" x14ac:dyDescent="0.3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spans="2:15" ht="24" customHeight="1" x14ac:dyDescent="0.3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 spans="2:15" ht="24" customHeight="1" x14ac:dyDescent="0.3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spans="2:15" ht="24" customHeight="1" x14ac:dyDescent="0.3"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spans="2:15" ht="24" customHeight="1" x14ac:dyDescent="0.3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spans="2:15" ht="24" customHeight="1" x14ac:dyDescent="0.3"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 spans="2:15" ht="24" customHeight="1" x14ac:dyDescent="0.3"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 spans="2:15" ht="24" customHeight="1" x14ac:dyDescent="0.3"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 spans="2:15" ht="24" customHeight="1" x14ac:dyDescent="0.3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 spans="2:15" ht="24" customHeight="1" x14ac:dyDescent="0.3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 spans="2:15" ht="24" customHeight="1" x14ac:dyDescent="0.3"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</sheetData>
  <mergeCells count="17">
    <mergeCell ref="M4:M6"/>
    <mergeCell ref="N4:N6"/>
    <mergeCell ref="O4:O6"/>
    <mergeCell ref="G5:G6"/>
    <mergeCell ref="H5:H6"/>
    <mergeCell ref="I5:I6"/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</mergeCells>
  <phoneticPr fontId="1" type="noConversion"/>
  <pageMargins left="0.16" right="0.16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34021-DC87-4EB7-906E-48AE25086EEE}">
  <sheetPr>
    <tabColor rgb="FFFFFF00"/>
  </sheetPr>
  <dimension ref="B1:S31"/>
  <sheetViews>
    <sheetView workbookViewId="0">
      <selection activeCell="H17" sqref="H17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11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3" width="6.625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49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/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E3" s="4"/>
    </row>
    <row r="4" spans="2:19" ht="20.100000000000001" customHeight="1" x14ac:dyDescent="0.3">
      <c r="B4" s="26" t="s">
        <v>0</v>
      </c>
      <c r="C4" s="26" t="s">
        <v>8</v>
      </c>
      <c r="D4" s="26" t="s">
        <v>9</v>
      </c>
      <c r="E4" s="26" t="s">
        <v>10</v>
      </c>
      <c r="F4" s="26" t="s">
        <v>1</v>
      </c>
      <c r="G4" s="26" t="s">
        <v>2</v>
      </c>
      <c r="H4" s="26"/>
      <c r="I4" s="26" t="s">
        <v>5</v>
      </c>
      <c r="J4" s="26"/>
      <c r="K4" s="26" t="s">
        <v>6</v>
      </c>
      <c r="L4" s="26" t="s">
        <v>7</v>
      </c>
      <c r="M4" s="26" t="s">
        <v>11</v>
      </c>
      <c r="N4" s="26" t="s">
        <v>12</v>
      </c>
      <c r="O4" s="26" t="s">
        <v>24</v>
      </c>
    </row>
    <row r="5" spans="2:19" ht="20.100000000000001" customHeight="1" x14ac:dyDescent="0.3">
      <c r="B5" s="26"/>
      <c r="C5" s="26"/>
      <c r="D5" s="26"/>
      <c r="E5" s="26"/>
      <c r="F5" s="26"/>
      <c r="G5" s="27" t="s">
        <v>3</v>
      </c>
      <c r="H5" s="27" t="s">
        <v>4</v>
      </c>
      <c r="I5" s="28" t="s">
        <v>15</v>
      </c>
      <c r="J5" s="27" t="s">
        <v>13</v>
      </c>
      <c r="K5" s="26"/>
      <c r="L5" s="26"/>
      <c r="M5" s="26"/>
      <c r="N5" s="26"/>
      <c r="O5" s="26"/>
    </row>
    <row r="6" spans="2:19" ht="20.100000000000001" customHeight="1" x14ac:dyDescent="0.3">
      <c r="B6" s="26"/>
      <c r="C6" s="26"/>
      <c r="D6" s="26"/>
      <c r="E6" s="26"/>
      <c r="F6" s="26"/>
      <c r="G6" s="27"/>
      <c r="H6" s="27"/>
      <c r="I6" s="29"/>
      <c r="J6" s="27"/>
      <c r="K6" s="26"/>
      <c r="L6" s="26"/>
      <c r="M6" s="26"/>
      <c r="N6" s="26"/>
      <c r="O6" s="26"/>
    </row>
    <row r="7" spans="2:19" ht="24" customHeight="1" x14ac:dyDescent="0.3">
      <c r="B7" s="9"/>
      <c r="C7" s="9"/>
      <c r="D7" s="9">
        <f>IFERROR(E3,"")</f>
      </c>
      <c r="E7" s="9"/>
      <c r="F7" s="9"/>
      <c r="G7" s="9">
        <f>IFERROR(F7,"")</f>
      </c>
      <c r="H7" s="9">
        <f>IFERROR(G7,"")</f>
      </c>
      <c r="I7" s="9"/>
      <c r="J7" s="9"/>
      <c r="K7" s="10">
        <f>IFERROR(E7,"")</f>
      </c>
      <c r="L7" s="9">
        <f>IFERROR(F7,"")</f>
      </c>
      <c r="M7" s="9">
        <f>IFERROR(B7-L7,"")</f>
      </c>
      <c r="N7" s="9"/>
      <c r="O7" s="9"/>
      <c r="P7" s="8"/>
    </row>
    <row r="8" spans="2:19" ht="24" customHeight="1" x14ac:dyDescent="0.3">
      <c r="B8" s="9"/>
      <c r="C8" s="9"/>
      <c r="D8" s="9"/>
      <c r="E8" s="9"/>
      <c r="F8" s="9"/>
      <c r="G8" s="9">
        <f>IFERROR(F8,"")</f>
      </c>
      <c r="H8" s="9">
        <f>IFERROR(H7+G8,"")</f>
      </c>
      <c r="I8" s="9"/>
      <c r="J8" s="9"/>
      <c r="K8" s="10">
        <f t="shared" ref="K8:L15" si="0">IFERROR(E8,"")</f>
      </c>
      <c r="L8" s="9">
        <f t="shared" si="0"/>
      </c>
      <c r="M8" s="9">
        <f>IFERROR(M7-L8,"")</f>
      </c>
      <c r="N8" s="9"/>
      <c r="O8" s="9"/>
      <c r="P8" s="8"/>
    </row>
    <row r="9" spans="2:19" ht="24" customHeight="1" x14ac:dyDescent="0.3">
      <c r="B9" s="9"/>
      <c r="C9" s="9"/>
      <c r="D9" s="9"/>
      <c r="E9" s="9"/>
      <c r="F9" s="9"/>
      <c r="G9" s="9">
        <f>IFERROR(F9,"")</f>
      </c>
      <c r="H9" s="9">
        <f t="shared" ref="H9:H15" si="1">IFERROR(H8+G9,"")</f>
      </c>
      <c r="I9" s="9"/>
      <c r="J9" s="9"/>
      <c r="K9" s="10">
        <f t="shared" si="0"/>
      </c>
      <c r="L9" s="9">
        <f t="shared" si="0"/>
      </c>
      <c r="M9" s="9">
        <f>IFERROR(M8-L9,"")</f>
      </c>
      <c r="N9" s="9"/>
      <c r="O9" s="9"/>
      <c r="P9" s="8"/>
      <c r="Q9" s="1"/>
      <c r="R9" s="1"/>
      <c r="S9" s="1">
        <f>IFERROR(Q9*R9,"")</f>
      </c>
    </row>
    <row r="10" spans="2:19" ht="24" customHeight="1" x14ac:dyDescent="0.3">
      <c r="B10" s="9"/>
      <c r="C10" s="9"/>
      <c r="D10" s="9"/>
      <c r="E10" s="9"/>
      <c r="F10" s="9"/>
      <c r="G10" s="9">
        <f>IFERROR(F10,"")</f>
      </c>
      <c r="H10" s="9">
        <f t="shared" si="1"/>
      </c>
      <c r="I10" s="9"/>
      <c r="J10" s="9"/>
      <c r="K10" s="10">
        <f t="shared" si="0"/>
      </c>
      <c r="L10" s="9">
        <f t="shared" si="0"/>
      </c>
      <c r="M10" s="9">
        <f>IFERROR(M9-L10,"")</f>
      </c>
      <c r="N10" s="9"/>
      <c r="O10" s="9"/>
      <c r="P10" s="8"/>
      <c r="Q10" s="1"/>
      <c r="R10" s="1"/>
      <c r="S10" s="1">
        <f>IFERROR(Q10*R10,"")</f>
      </c>
    </row>
    <row r="11" spans="2:19" ht="24" customHeight="1" x14ac:dyDescent="0.3">
      <c r="B11" s="9"/>
      <c r="C11" s="9"/>
      <c r="D11" s="9"/>
      <c r="E11" s="9"/>
      <c r="F11" s="9"/>
      <c r="G11" s="9">
        <f>IFERROR(F11,"")</f>
      </c>
      <c r="H11" s="9">
        <f t="shared" si="1"/>
      </c>
      <c r="I11" s="9"/>
      <c r="J11" s="9"/>
      <c r="K11" s="10">
        <f t="shared" si="0"/>
      </c>
      <c r="L11" s="9">
        <f t="shared" si="0"/>
      </c>
      <c r="M11" s="9">
        <f>IFERROR(M10-L11,"")</f>
      </c>
      <c r="N11" s="9"/>
      <c r="O11" s="9"/>
      <c r="P11" s="8"/>
      <c r="Q11" s="1">
        <f>IFERROR(H10-B7,"")</f>
      </c>
    </row>
    <row r="12" spans="2:19" ht="24" customHeight="1" x14ac:dyDescent="0.3">
      <c r="B12" s="9"/>
      <c r="C12" s="9"/>
      <c r="D12" s="9"/>
      <c r="E12" s="9"/>
      <c r="F12" s="9"/>
      <c r="G12" s="9">
        <f>IFERROR(F12,"")</f>
      </c>
      <c r="H12" s="9">
        <f t="shared" si="1"/>
      </c>
      <c r="I12" s="9"/>
      <c r="J12" s="9"/>
      <c r="K12" s="10">
        <f t="shared" si="0"/>
      </c>
      <c r="L12" s="9">
        <f t="shared" si="0"/>
      </c>
      <c r="M12" s="9">
        <f>IFERROR(M11-L12,"")</f>
      </c>
      <c r="N12" s="9"/>
      <c r="O12" s="9"/>
      <c r="P12" s="8"/>
    </row>
    <row r="13" spans="2:19" ht="24" customHeight="1" x14ac:dyDescent="0.3">
      <c r="B13" s="11"/>
      <c r="C13" s="11"/>
      <c r="D13" s="11"/>
      <c r="E13" s="9"/>
      <c r="F13" s="11"/>
      <c r="G13" s="11">
        <f>IFERROR(F13,"")</f>
      </c>
      <c r="H13" s="9">
        <f t="shared" si="1"/>
      </c>
      <c r="I13" s="11"/>
      <c r="J13" s="11"/>
      <c r="K13" s="10">
        <f t="shared" si="0"/>
      </c>
      <c r="L13" s="11">
        <f t="shared" si="0"/>
      </c>
      <c r="M13" s="9">
        <f>IFERROR(M12-L13,"")</f>
      </c>
      <c r="N13" s="11"/>
      <c r="O13" s="11"/>
    </row>
    <row r="14" spans="2:19" ht="24" customHeight="1" x14ac:dyDescent="0.3">
      <c r="B14" s="11"/>
      <c r="C14" s="11"/>
      <c r="D14" s="11"/>
      <c r="E14" s="9"/>
      <c r="F14" s="11"/>
      <c r="G14" s="11">
        <f>IFERROR(F14,"")</f>
      </c>
      <c r="H14" s="9">
        <f t="shared" si="1"/>
      </c>
      <c r="I14" s="11"/>
      <c r="J14" s="11"/>
      <c r="K14" s="10">
        <f t="shared" si="0"/>
      </c>
      <c r="L14" s="11">
        <f t="shared" si="0"/>
      </c>
      <c r="M14" s="9">
        <f>IFERROR(M13-L14,"")</f>
      </c>
      <c r="N14" s="11"/>
      <c r="O14" s="11"/>
    </row>
    <row r="15" spans="2:19" ht="24" customHeight="1" x14ac:dyDescent="0.3">
      <c r="B15" s="11"/>
      <c r="C15" s="11"/>
      <c r="D15" s="11"/>
      <c r="E15" s="9"/>
      <c r="F15" s="11"/>
      <c r="G15" s="11"/>
      <c r="H15" s="9"/>
      <c r="I15" s="11"/>
      <c r="J15" s="11"/>
      <c r="K15" s="10"/>
      <c r="L15" s="11"/>
      <c r="M15" s="9"/>
      <c r="N15" s="11"/>
      <c r="O15" s="11"/>
    </row>
    <row r="16" spans="2:19" ht="24" customHeight="1" x14ac:dyDescent="0.3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 spans="2:15" ht="24" customHeight="1" x14ac:dyDescent="0.3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 spans="2:15" ht="24" customHeight="1" x14ac:dyDescent="0.3"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spans="2:15" ht="24" customHeight="1" x14ac:dyDescent="0.3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spans="2:15" ht="24" customHeight="1" x14ac:dyDescent="0.3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 spans="2:15" ht="24" customHeight="1" x14ac:dyDescent="0.3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spans="2:15" ht="24" customHeight="1" x14ac:dyDescent="0.3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 spans="2:15" ht="24" customHeight="1" x14ac:dyDescent="0.3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 spans="2:15" ht="24" customHeight="1" x14ac:dyDescent="0.3"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spans="2:15" ht="24" customHeight="1" x14ac:dyDescent="0.3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spans="2:15" ht="24" customHeight="1" x14ac:dyDescent="0.3"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 spans="2:15" ht="24" customHeight="1" x14ac:dyDescent="0.3"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 spans="2:15" ht="24" customHeight="1" x14ac:dyDescent="0.3"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 spans="2:15" ht="24" customHeight="1" x14ac:dyDescent="0.3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 spans="2:15" ht="24" customHeight="1" x14ac:dyDescent="0.3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 spans="2:15" ht="24" customHeight="1" x14ac:dyDescent="0.3"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</sheetData>
  <mergeCells count="17">
    <mergeCell ref="M4:M6"/>
    <mergeCell ref="N4:N6"/>
    <mergeCell ref="O4:O6"/>
    <mergeCell ref="G5:G6"/>
    <mergeCell ref="H5:H6"/>
    <mergeCell ref="I5:I6"/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</mergeCells>
  <phoneticPr fontId="1" type="noConversion"/>
  <pageMargins left="0.16" right="0.16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98E5F-62AE-43E9-ADB2-50A81C3A4086}">
  <dimension ref="B1:S31"/>
  <sheetViews>
    <sheetView workbookViewId="0">
      <selection activeCell="E8" sqref="E8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8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1" width="9.625" style="1" customWidth="1"/>
    <col min="12" max="12" width="6.625" style="1" customWidth="1"/>
    <col min="13" max="13" width="6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>
        <f>IFERROR('레미콘 180'!B2,"")</f>
      </c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D3" s="7"/>
      <c r="E3" s="7"/>
      <c r="F3" s="7"/>
    </row>
    <row r="4" spans="2:19" ht="20.100000000000001" customHeight="1" x14ac:dyDescent="0.3">
      <c r="B4" s="18" t="s">
        <v>0</v>
      </c>
      <c r="C4" s="18"/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24</v>
      </c>
    </row>
    <row r="5" spans="2:19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9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9" ht="20.100000000000001" customHeight="1" x14ac:dyDescent="0.3">
      <c r="B7" s="6"/>
      <c r="C7" s="6"/>
      <c r="D7" s="6"/>
      <c r="E7" s="6"/>
      <c r="F7" s="6">
        <f>IFERROR(B7,"")</f>
      </c>
      <c r="G7" s="6"/>
      <c r="H7" s="6">
        <f>IFERROR(G7,"")</f>
      </c>
      <c r="I7" s="6"/>
      <c r="J7" s="6"/>
      <c r="K7" s="6"/>
      <c r="L7" s="6">
        <f>IFERROR(G7,"")</f>
      </c>
      <c r="M7" s="6">
        <f>IFERROR(B7-L7,"")</f>
      </c>
      <c r="N7" s="6"/>
      <c r="O7" s="6"/>
      <c r="P7" s="8"/>
    </row>
    <row r="8" spans="2:19" ht="20.100000000000001" customHeight="1" x14ac:dyDescent="0.3">
      <c r="B8" s="6"/>
      <c r="C8" s="6"/>
      <c r="D8" s="6"/>
      <c r="E8" s="6"/>
      <c r="F8" s="6"/>
      <c r="G8" s="6"/>
      <c r="H8" s="6">
        <f>IFERROR(H7+G8,"")</f>
      </c>
      <c r="I8" s="6"/>
      <c r="J8" s="6"/>
      <c r="K8" s="6"/>
      <c r="L8" s="6">
        <f>IFERROR(G8,"")</f>
      </c>
      <c r="M8" s="6">
        <f>IFERROR(M7-L8,"")</f>
      </c>
      <c r="N8" s="6"/>
      <c r="O8" s="6"/>
      <c r="P8" s="8"/>
    </row>
    <row r="9" spans="2:19" ht="20.100000000000001" customHeight="1" x14ac:dyDescent="0.3">
      <c r="B9" s="6"/>
      <c r="C9" s="6"/>
      <c r="D9" s="6"/>
      <c r="E9" s="6"/>
      <c r="F9" s="6"/>
      <c r="G9" s="6"/>
      <c r="H9" s="6">
        <f>IFERROR(H8+G9,"")</f>
      </c>
      <c r="I9" s="6"/>
      <c r="J9" s="6"/>
      <c r="K9" s="6"/>
      <c r="L9" s="6">
        <f>IFERROR(G9,"")</f>
      </c>
      <c r="M9" s="6">
        <f>IFERROR(M8-L9,"")</f>
      </c>
      <c r="N9" s="6"/>
      <c r="O9" s="6"/>
      <c r="P9" s="8"/>
      <c r="Q9" s="1"/>
      <c r="R9" s="1"/>
      <c r="S9" s="1">
        <f>IFERROR(Q9*R9,"")</f>
      </c>
    </row>
    <row r="10" spans="2:19" ht="20.100000000000001" customHeight="1" x14ac:dyDescent="0.3">
      <c r="B10" s="6"/>
      <c r="C10" s="6"/>
      <c r="D10" s="6"/>
      <c r="E10" s="6"/>
      <c r="F10" s="6"/>
      <c r="G10" s="6"/>
      <c r="H10" s="6">
        <f>IFERROR(H9+G10,"")</f>
      </c>
      <c r="I10" s="6"/>
      <c r="J10" s="6"/>
      <c r="K10" s="6"/>
      <c r="L10" s="6">
        <f>IFERROR(G10,"")</f>
      </c>
      <c r="M10" s="6">
        <f>IFERROR(M9-L10,"")</f>
      </c>
      <c r="N10" s="6"/>
      <c r="O10" s="6"/>
      <c r="P10" s="8"/>
      <c r="Q10" s="1"/>
      <c r="R10" s="1"/>
      <c r="S10" s="1">
        <f>IFERROR(Q10*R10,"")</f>
      </c>
    </row>
    <row r="11" spans="2:19" ht="20.100000000000001" customHeight="1" x14ac:dyDescent="0.3">
      <c r="B11" s="6"/>
      <c r="C11" s="6"/>
      <c r="D11" s="6"/>
      <c r="E11" s="6"/>
      <c r="F11" s="6"/>
      <c r="G11" s="6"/>
      <c r="H11" s="6">
        <f>IFERROR(H10+G11,"")</f>
      </c>
      <c r="I11" s="6"/>
      <c r="J11" s="6"/>
      <c r="K11" s="6"/>
      <c r="L11" s="6">
        <f>IFERROR(G11,"")</f>
      </c>
      <c r="M11" s="6">
        <f>IFERROR(M10-L11,"")</f>
      </c>
      <c r="N11" s="6"/>
      <c r="O11" s="6"/>
      <c r="P11" s="8"/>
    </row>
    <row r="12" spans="2:19" ht="20.100000000000001" customHeight="1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8"/>
    </row>
    <row r="13" spans="2:19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9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9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9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7">
    <mergeCell ref="M4:M6"/>
    <mergeCell ref="N4:N6"/>
    <mergeCell ref="O4:O6"/>
    <mergeCell ref="G5:G6"/>
    <mergeCell ref="H5:H6"/>
    <mergeCell ref="I5:I6"/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</mergeCells>
  <phoneticPr fontId="1" type="noConversion"/>
  <pageMargins left="0.16" right="0.16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31"/>
  <sheetViews>
    <sheetView tabSelected="1" workbookViewId="0">
      <selection activeCell="V18" sqref="V18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8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1" width="9.625" style="1" customWidth="1"/>
    <col min="12" max="12" width="6.625" style="1" customWidth="1"/>
    <col min="13" max="13" width="6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>
        <f>IFERROR('레미콘 180'!B2,"")</f>
      </c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D3" s="7"/>
      <c r="E3" s="7"/>
      <c r="F3" s="7"/>
    </row>
    <row r="4" spans="2:19" ht="20.100000000000001" customHeight="1" x14ac:dyDescent="0.3">
      <c r="B4" s="18" t="s">
        <v>0</v>
      </c>
      <c r="C4" s="18"/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33</v>
      </c>
    </row>
    <row r="5" spans="2:19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9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9" ht="20.100000000000001" customHeight="1" x14ac:dyDescent="0.3">
      <c r="B7" s="6"/>
      <c r="C7" s="6"/>
      <c r="D7" s="6"/>
      <c r="E7" s="6"/>
      <c r="F7" s="6">
        <f>IFERROR(B7,"")</f>
      </c>
      <c r="G7" s="6"/>
      <c r="H7" s="6">
        <f>IFERROR(G7,"")</f>
      </c>
      <c r="I7" s="6"/>
      <c r="J7" s="6"/>
      <c r="K7" s="6"/>
      <c r="L7" s="6">
        <f>IFERROR(G7,"")</f>
      </c>
      <c r="M7" s="6">
        <f>IFERROR(B7-L7,"")</f>
      </c>
      <c r="N7" s="6"/>
      <c r="O7" s="6"/>
      <c r="P7" s="8"/>
    </row>
    <row r="8" spans="2:19" ht="20.100000000000001" customHeight="1" x14ac:dyDescent="0.3">
      <c r="B8" s="6"/>
      <c r="C8" s="6"/>
      <c r="D8" s="6"/>
      <c r="E8" s="6"/>
      <c r="F8" s="6"/>
      <c r="G8" s="6"/>
      <c r="H8" s="6">
        <f>IFERROR(H7+G8,"")</f>
      </c>
      <c r="I8" s="6"/>
      <c r="J8" s="6"/>
      <c r="K8" s="6"/>
      <c r="L8" s="6">
        <f>IFERROR(G8,"")</f>
      </c>
      <c r="M8" s="6">
        <f>IFERROR(M7-L8,"")</f>
      </c>
      <c r="N8" s="6"/>
      <c r="O8" s="6"/>
      <c r="P8" s="8"/>
    </row>
    <row r="9" spans="2:19" ht="20.100000000000001" customHeight="1" x14ac:dyDescent="0.3">
      <c r="B9" s="6"/>
      <c r="C9" s="6"/>
      <c r="D9" s="6"/>
      <c r="E9" s="6"/>
      <c r="F9" s="6"/>
      <c r="G9" s="6"/>
      <c r="H9" s="6">
        <f>IFERROR(H8+G9,"")</f>
      </c>
      <c r="I9" s="6"/>
      <c r="J9" s="6"/>
      <c r="K9" s="6"/>
      <c r="L9" s="6">
        <f>IFERROR(G9,"")</f>
      </c>
      <c r="M9" s="6">
        <f>IFERROR(M8-L9,"")</f>
      </c>
      <c r="N9" s="6"/>
      <c r="O9" s="6"/>
      <c r="P9" s="8"/>
      <c r="Q9" s="1"/>
      <c r="R9" s="1"/>
      <c r="S9" s="1">
        <f>IFERROR(Q9*R9,"")</f>
      </c>
    </row>
    <row r="10" spans="2:19" ht="20.100000000000001" customHeight="1" x14ac:dyDescent="0.3">
      <c r="B10" s="6"/>
      <c r="C10" s="6"/>
      <c r="D10" s="6"/>
      <c r="E10" s="6"/>
      <c r="F10" s="6"/>
      <c r="G10" s="6"/>
      <c r="H10" s="6">
        <f>IFERROR(H9+G10,"")</f>
      </c>
      <c r="I10" s="6"/>
      <c r="J10" s="6"/>
      <c r="K10" s="6"/>
      <c r="L10" s="6">
        <f>IFERROR(G10,"")</f>
      </c>
      <c r="M10" s="6">
        <f>IFERROR(M9-L10,"")</f>
      </c>
      <c r="N10" s="6"/>
      <c r="O10" s="6"/>
      <c r="P10" s="8"/>
      <c r="Q10" s="1"/>
      <c r="R10" s="1"/>
      <c r="S10" s="1">
        <f>IFERROR(Q10*R10,"")</f>
      </c>
    </row>
    <row r="11" spans="2:19" ht="20.100000000000001" customHeight="1" x14ac:dyDescent="0.3">
      <c r="B11" s="6"/>
      <c r="C11" s="6"/>
      <c r="D11" s="6"/>
      <c r="E11" s="6"/>
      <c r="F11" s="6"/>
      <c r="G11" s="6"/>
      <c r="H11" s="6">
        <f>IFERROR(H10+G11,"")</f>
      </c>
      <c r="I11" s="6"/>
      <c r="J11" s="6"/>
      <c r="K11" s="6"/>
      <c r="L11" s="6">
        <f>IFERROR(G11,"")</f>
      </c>
      <c r="M11" s="6">
        <f>IFERROR(M10-L11,"")</f>
      </c>
      <c r="N11" s="6"/>
      <c r="O11" s="6"/>
      <c r="P11" s="8"/>
    </row>
    <row r="12" spans="2:19" ht="20.100000000000001" customHeight="1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8"/>
    </row>
    <row r="13" spans="2:19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9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9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9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7"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  <mergeCell ref="H5:H6"/>
    <mergeCell ref="I5:I6"/>
    <mergeCell ref="J5:J6"/>
  </mergeCells>
  <phoneticPr fontId="1" type="noConversion"/>
  <pageMargins left="0.16" right="0.16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4:G41"/>
  <sheetViews>
    <sheetView topLeftCell="A13" workbookViewId="0">
      <selection activeCell="I33" sqref="I33"/>
    </sheetView>
  </sheetViews>
  <sheetFormatPr defaultRowHeight="16.5" x14ac:dyDescent="0.3"/>
  <sheetData>
    <row r="14" spans="3:6" ht="16.5" customHeight="1" x14ac:dyDescent="0.3">
      <c r="C14" s="25"/>
      <c r="D14" s="25"/>
      <c r="E14" s="25"/>
      <c r="F14" s="25"/>
    </row>
    <row r="15" spans="3:6" ht="16.5" customHeight="1" x14ac:dyDescent="0.3">
      <c r="C15" s="25"/>
      <c r="D15" s="25"/>
      <c r="E15" s="25"/>
      <c r="F15" s="25"/>
    </row>
    <row r="40" spans="2:7" x14ac:dyDescent="0.3">
      <c r="B40" s="30"/>
      <c r="C40" s="31"/>
      <c r="D40" s="31"/>
      <c r="E40" s="31"/>
      <c r="F40" s="31"/>
      <c r="G40" s="31"/>
    </row>
    <row r="41" spans="2:7" x14ac:dyDescent="0.3">
      <c r="B41" s="31"/>
      <c r="C41" s="31"/>
      <c r="D41" s="31"/>
      <c r="E41" s="31"/>
      <c r="F41" s="31"/>
      <c r="G41" s="31"/>
    </row>
  </sheetData>
  <mergeCells count="2">
    <mergeCell ref="C14:F15"/>
    <mergeCell ref="B40:G41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31"/>
  <sheetViews>
    <sheetView workbookViewId="0">
      <selection activeCell="K18" sqref="K18"/>
    </sheetView>
  </sheetViews>
  <sheetFormatPr defaultRowHeight="13.5" x14ac:dyDescent="0.3"/>
  <cols>
    <col min="1" max="1" width="1.375" style="1" customWidth="1"/>
    <col min="2" max="2" width="6.125" style="1" customWidth="1"/>
    <col min="3" max="3" width="3.875" style="1" customWidth="1"/>
    <col min="4" max="4" width="8.625" style="1" customWidth="1"/>
    <col min="5" max="5" width="10.5" style="1" customWidth="1"/>
    <col min="6" max="6" width="7.875" style="1" customWidth="1"/>
    <col min="7" max="8" width="5.625" style="1" customWidth="1"/>
    <col min="9" max="9" width="3.625" style="1" customWidth="1"/>
    <col min="10" max="10" width="4.5" style="1" customWidth="1"/>
    <col min="11" max="11" width="9.625" style="1" customWidth="1"/>
    <col min="12" max="12" width="6.625" style="1" customWidth="1"/>
    <col min="13" max="13" width="6" style="1" customWidth="1"/>
    <col min="14" max="14" width="5.75" style="1" customWidth="1"/>
    <col min="15" max="15" width="5.625" style="1" customWidth="1"/>
    <col min="16" max="16384" width="9" style="1"/>
  </cols>
  <sheetData>
    <row r="1" spans="2:19" ht="46.5" customHeight="1" x14ac:dyDescent="0.3">
      <c r="B1" s="17" t="s">
        <v>16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2:19" ht="24.95" customHeight="1" x14ac:dyDescent="0.3">
      <c r="B2" s="2" t="inlineStr">
        <is>
          <t xml:space="preserve">공사명: </t>
        </is>
      </c>
      <c r="C2" s="3"/>
      <c r="D2" s="3"/>
      <c r="E2" s="3"/>
      <c r="F2" s="3"/>
      <c r="G2" s="3"/>
      <c r="H2" s="3"/>
      <c r="I2" s="3"/>
    </row>
    <row r="3" spans="2:19" ht="24.95" customHeight="1" x14ac:dyDescent="0.3">
      <c r="B3" s="4" t="inlineStr">
        <is>
          <t xml:space="preserve">품    명: </t>
        </is>
      </c>
      <c r="D3" s="7"/>
      <c r="E3" s="7"/>
      <c r="F3" s="7"/>
    </row>
    <row r="4" spans="2:19" ht="20.100000000000001" customHeight="1" x14ac:dyDescent="0.3">
      <c r="B4" s="18" t="s">
        <v>0</v>
      </c>
      <c r="C4" s="18"/>
      <c r="D4" s="18" t="s">
        <v>9</v>
      </c>
      <c r="E4" s="18" t="s">
        <v>10</v>
      </c>
      <c r="F4" s="18" t="s">
        <v>1</v>
      </c>
      <c r="G4" s="21" t="s">
        <v>2</v>
      </c>
      <c r="H4" s="22"/>
      <c r="I4" s="21" t="s">
        <v>5</v>
      </c>
      <c r="J4" s="22"/>
      <c r="K4" s="18" t="s">
        <v>6</v>
      </c>
      <c r="L4" s="18" t="s">
        <v>7</v>
      </c>
      <c r="M4" s="18" t="s">
        <v>11</v>
      </c>
      <c r="N4" s="18" t="s">
        <v>12</v>
      </c>
      <c r="O4" s="18" t="s">
        <v>24</v>
      </c>
    </row>
    <row r="5" spans="2:19" ht="20.100000000000001" customHeight="1" x14ac:dyDescent="0.3">
      <c r="B5" s="19"/>
      <c r="C5" s="19"/>
      <c r="D5" s="19"/>
      <c r="E5" s="19"/>
      <c r="F5" s="19"/>
      <c r="G5" s="13" t="s">
        <v>3</v>
      </c>
      <c r="H5" s="13" t="s">
        <v>4</v>
      </c>
      <c r="I5" s="15" t="s">
        <v>15</v>
      </c>
      <c r="J5" s="13" t="s">
        <v>13</v>
      </c>
      <c r="K5" s="19"/>
      <c r="L5" s="19"/>
      <c r="M5" s="19"/>
      <c r="N5" s="19"/>
      <c r="O5" s="19"/>
    </row>
    <row r="6" spans="2:19" ht="20.100000000000001" customHeight="1" x14ac:dyDescent="0.3">
      <c r="B6" s="20"/>
      <c r="C6" s="20"/>
      <c r="D6" s="20"/>
      <c r="E6" s="20"/>
      <c r="F6" s="20"/>
      <c r="G6" s="14"/>
      <c r="H6" s="14"/>
      <c r="I6" s="16"/>
      <c r="J6" s="14"/>
      <c r="K6" s="20"/>
      <c r="L6" s="20"/>
      <c r="M6" s="20"/>
      <c r="N6" s="20"/>
      <c r="O6" s="20"/>
    </row>
    <row r="7" spans="2:19" ht="20.100000000000001" customHeight="1" x14ac:dyDescent="0.3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8"/>
    </row>
    <row r="8" spans="2:19" ht="20.100000000000001" customHeight="1" x14ac:dyDescent="0.3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8"/>
    </row>
    <row r="9" spans="2:19" ht="20.100000000000001" customHeight="1" x14ac:dyDescent="0.3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8"/>
      <c r="Q9" s="1"/>
      <c r="R9" s="1"/>
      <c r="S9" s="1">
        <f>IFERROR(Q9*R9,"")</f>
      </c>
    </row>
    <row r="10" spans="2:19" ht="20.100000000000001" customHeight="1" x14ac:dyDescent="0.3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8"/>
      <c r="Q10" s="1"/>
      <c r="R10" s="1"/>
      <c r="S10" s="1">
        <f>IFERROR(Q10*R10,"")</f>
      </c>
    </row>
    <row r="11" spans="2:19" ht="20.100000000000001" customHeight="1" x14ac:dyDescent="0.3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8"/>
    </row>
    <row r="12" spans="2:19" ht="20.100000000000001" customHeight="1" x14ac:dyDescent="0.3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8"/>
    </row>
    <row r="13" spans="2:19" ht="20.100000000000001" customHeight="1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2:19" ht="20.100000000000001" customHeight="1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2:19" ht="20.100000000000001" customHeight="1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2:19" ht="20.100000000000001" customHeight="1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2:15" ht="20.100000000000001" customHeight="1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2:15" ht="20.100000000000001" customHeight="1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2:15" ht="20.100000000000001" customHeight="1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2:15" ht="20.100000000000001" customHeight="1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2:15" ht="20.100000000000001" customHeight="1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2:15" ht="20.100000000000001" customHeight="1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2:15" ht="20.100000000000001" customHeight="1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2:15" ht="20.100000000000001" customHeight="1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2:15" ht="20.100000000000001" customHeight="1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2:15" ht="20.100000000000001" customHeight="1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2:15" ht="20.100000000000001" customHeight="1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2:15" ht="20.100000000000001" customHeight="1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2:15" ht="20.100000000000001" customHeight="1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2:15" ht="20.100000000000001" customHeight="1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2:15" ht="20.100000000000001" customHeight="1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</sheetData>
  <mergeCells count="17">
    <mergeCell ref="H5:H6"/>
    <mergeCell ref="I5:I6"/>
    <mergeCell ref="J5:J6"/>
    <mergeCell ref="B1:O1"/>
    <mergeCell ref="B4:B6"/>
    <mergeCell ref="C4:C6"/>
    <mergeCell ref="D4:D6"/>
    <mergeCell ref="E4:E6"/>
    <mergeCell ref="F4:F6"/>
    <mergeCell ref="G4:H4"/>
    <mergeCell ref="I4:J4"/>
    <mergeCell ref="K4:K6"/>
    <mergeCell ref="L4:L6"/>
    <mergeCell ref="M4:M6"/>
    <mergeCell ref="N4:N6"/>
    <mergeCell ref="O4:O6"/>
    <mergeCell ref="G5:G6"/>
  </mergeCells>
  <phoneticPr fontId="1" type="noConversion"/>
  <pageMargins left="0.16" right="0.1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망태</vt:lpstr>
      <vt:lpstr>맨홀</vt:lpstr>
      <vt:lpstr>Sheet2</vt:lpstr>
      <vt:lpstr>수로관</vt:lpstr>
      <vt:lpstr>잡석</vt:lpstr>
      <vt:lpstr>시멘트</vt:lpstr>
      <vt:lpstr>레미콘</vt:lpstr>
      <vt:lpstr>레미콘 180 -2차</vt:lpstr>
      <vt:lpstr>레미콘 180</vt:lpstr>
      <vt:lpstr>철근 16mm</vt:lpstr>
      <vt:lpstr>철근13mm</vt:lpstr>
      <vt:lpstr>Sheet1</vt:lpstr>
      <vt:lpstr>철근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</dc:creator>
  <cp:lastModifiedBy>OS</cp:lastModifiedBy>
  <cp:lastPrinted>2025-01-21T03:56:38Z</cp:lastPrinted>
  <dcterms:created xsi:type="dcterms:W3CDTF">2022-01-19T23:31:47Z</dcterms:created>
  <dcterms:modified xsi:type="dcterms:W3CDTF">2025-01-21T03:57:15Z</dcterms:modified>
</cp:coreProperties>
</file>