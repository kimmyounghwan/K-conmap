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 수불부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'자재 수불부'!$A$1:$N$36</definedName>
    <definedName name="_xlnm.Print_Area" localSheetId="1">'작성 예시'!$A$1:$N$36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;[Red]-#,##0.##;&quot;&quot;"/>
    <numFmt numFmtId="165" formatCode="m&quot;/&quot;d"/>
    <numFmt numFmtId="166" formatCode="#,##0.##;[Red]-#,##0.##;0"/>
    <numFmt numFmtId="167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000000"/>
      <sz val="8.5"/>
    </font>
    <font>
      <name val="맑은 고딕"/>
      <color rgb="00DC2626"/>
      <sz val="9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5" fillId="0" borderId="1" applyAlignment="1" pivotButton="0" quotePrefix="0" xfId="0">
      <alignment horizontal="right" vertical="center" shrinkToFi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shrinkToFit="1"/>
    </xf>
    <xf numFmtId="164" fontId="6" fillId="3" borderId="1" applyAlignment="1" pivotButton="0" quotePrefix="0" xfId="0">
      <alignment horizontal="right" vertical="center" shrinkToFit="1"/>
    </xf>
    <xf numFmtId="0" fontId="8" fillId="0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shrinkToFit="1"/>
    </xf>
    <xf numFmtId="0" fontId="6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 shrinkToFit="1"/>
    </xf>
    <xf numFmtId="0" fontId="4" fillId="4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right" vertical="center" shrinkToFit="1"/>
    </xf>
    <xf numFmtId="0" fontId="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numFmt numFmtId="300" formatCode="#,##0;[Red]-#,##0;&quot;&quot;"/>
    </dxf>
    <dxf>
      <numFmt numFmtId="301" formatCode="#,##0;[Red]-#,##0;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zoomScale="100"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12" customWidth="1" min="3" max="3"/>
    <col width="8.5" customWidth="1" min="4" max="4"/>
    <col width="8" customWidth="1" min="5" max="5"/>
    <col width="8" customWidth="1" min="6" max="6"/>
    <col width="9" customWidth="1" min="7" max="7"/>
    <col width="6" customWidth="1" min="8" max="8"/>
    <col width="11" customWidth="1" min="9" max="9"/>
    <col width="8.5" customWidth="1" min="10" max="10"/>
    <col width="8" customWidth="1" min="11" max="11"/>
    <col width="9" customWidth="1" min="12" max="12"/>
    <col width="7" customWidth="1" min="13" max="13"/>
    <col width="6" customWidth="1" min="14" max="14"/>
  </cols>
  <sheetData>
    <row r="1" ht="20" customHeight="1">
      <c r="A1" s="1" t="inlineStr">
        <is>
          <t xml:space="preserve">  K-건설맵  |  k-conmap.com  건설 서식</t>
        </is>
      </c>
      <c r="H1" s="2" t="inlineStr">
        <is>
          <t xml:space="preserve">← 이 1행을 지우고 쓰셔도 됩니다  </t>
        </is>
      </c>
    </row>
    <row r="2" ht="4" customHeight="1"/>
    <row r="3" ht="40" customHeight="1">
      <c r="A3" s="3" t="inlineStr">
        <is>
          <t>주 요 자 재  검 사 수 불 부</t>
        </is>
      </c>
    </row>
    <row r="4" ht="4" customHeight="1"/>
    <row r="5" ht="24" customHeight="1">
      <c r="A5" s="4" t="inlineStr">
        <is>
          <t>공 사 명 :</t>
        </is>
      </c>
      <c r="C5" s="5" t="n"/>
      <c r="J5" s="6" t="inlineStr"/>
    </row>
    <row r="6" ht="24" customHeight="1">
      <c r="A6" s="4" t="inlineStr">
        <is>
          <t>품     명 :</t>
        </is>
      </c>
      <c r="C6" s="5" t="n"/>
      <c r="H6" s="7">
        <f>IF(OR(SUM(A10:A34)=0,SUM(F10:F34)=0),"","설계량 "&amp;IF(SUM(A10:A34)=INT(SUM(A10:A34)),TEXT(SUM(A10:A34),"#,##0"),TEXT(SUM(A10:A34),"#,##0.##"))&amp;" 대비 합격 누계 "&amp;IF(SUM(F10:F34)=INT(SUM(F10:F34)),TEXT(SUM(F10:F34),"#,##0"),TEXT(SUM(F10:F34),"#,##0.##"))&amp;" ("&amp;TEXT(SUM(F10:F34)/SUM(A10:A34),"0.0%")&amp;")")</f>
        <v/>
      </c>
    </row>
    <row r="7" ht="2" customHeight="1"/>
    <row r="8" ht="22" customHeight="1">
      <c r="A8" s="8" t="inlineStr">
        <is>
          <t>설계량</t>
        </is>
      </c>
      <c r="B8" s="8" t="inlineStr">
        <is>
          <t>단위</t>
        </is>
      </c>
      <c r="C8" s="8" t="inlineStr">
        <is>
          <t>규    격</t>
        </is>
      </c>
      <c r="D8" s="8" t="inlineStr">
        <is>
          <t>반입일</t>
        </is>
      </c>
      <c r="E8" s="8" t="inlineStr">
        <is>
          <t>반입량</t>
        </is>
      </c>
      <c r="F8" s="8" t="inlineStr">
        <is>
          <t>합격량</t>
        </is>
      </c>
      <c r="G8" s="9" t="n"/>
      <c r="H8" s="8" t="inlineStr">
        <is>
          <t>불 합 격</t>
        </is>
      </c>
      <c r="I8" s="9" t="n"/>
      <c r="J8" s="8" t="inlineStr">
        <is>
          <t>출고일</t>
        </is>
      </c>
      <c r="K8" s="8" t="inlineStr">
        <is>
          <t>출고량</t>
        </is>
      </c>
      <c r="L8" s="8" t="inlineStr">
        <is>
          <t>잔    량</t>
        </is>
      </c>
      <c r="M8" s="8" t="inlineStr">
        <is>
          <t>검수자</t>
        </is>
      </c>
      <c r="N8" s="8" t="inlineStr">
        <is>
          <t>서명</t>
        </is>
      </c>
    </row>
    <row r="9" ht="22" customHeight="1">
      <c r="A9" s="9" t="n"/>
      <c r="B9" s="9" t="n"/>
      <c r="C9" s="9" t="n"/>
      <c r="D9" s="9" t="n"/>
      <c r="E9" s="9" t="n"/>
      <c r="F9" s="8" t="inlineStr">
        <is>
          <t>금  회</t>
        </is>
      </c>
      <c r="G9" s="8" t="inlineStr">
        <is>
          <t>누  계</t>
        </is>
      </c>
      <c r="H9" s="8" t="inlineStr">
        <is>
          <t>수  량</t>
        </is>
      </c>
      <c r="I9" s="8" t="inlineStr">
        <is>
          <t>사    유</t>
        </is>
      </c>
      <c r="J9" s="9" t="n"/>
      <c r="K9" s="9" t="n"/>
      <c r="L9" s="9" t="n"/>
      <c r="M9" s="9" t="n"/>
      <c r="N9" s="9" t="n"/>
    </row>
    <row r="10" ht="20" customHeight="1">
      <c r="A10" s="10" t="n"/>
      <c r="B10" s="11" t="n"/>
      <c r="C10" s="12" t="n"/>
      <c r="D10" s="13" t="n"/>
      <c r="E10" s="10" t="n"/>
      <c r="F10" s="14">
        <f>IF(N(E10)=0,"",E10-N(H10))</f>
        <v/>
      </c>
      <c r="G10" s="14">
        <f>IF(N(E10)=0,"",SUM($F$10:F10))</f>
        <v/>
      </c>
      <c r="H10" s="10" t="n"/>
      <c r="I10" s="15" t="n"/>
      <c r="J10" s="13" t="n"/>
      <c r="K10" s="10" t="n"/>
      <c r="L10" s="16">
        <f>IF(AND(N(E10)=0,N(K10)=0),"",SUM($F$10:F10)-SUM($K$10:K10))</f>
        <v/>
      </c>
      <c r="M10" s="12" t="n"/>
      <c r="N10" s="17" t="inlineStr"/>
    </row>
    <row r="11" ht="20" customHeight="1">
      <c r="A11" s="10" t="n"/>
      <c r="B11" s="11" t="n"/>
      <c r="C11" s="12" t="n"/>
      <c r="D11" s="13" t="n"/>
      <c r="E11" s="10" t="n"/>
      <c r="F11" s="14">
        <f>IF(N(E11)=0,"",E11-N(H11))</f>
        <v/>
      </c>
      <c r="G11" s="14">
        <f>IF(N(E11)=0,"",SUM($F$10:F11))</f>
        <v/>
      </c>
      <c r="H11" s="10" t="n"/>
      <c r="I11" s="15" t="n"/>
      <c r="J11" s="13" t="n"/>
      <c r="K11" s="10" t="n"/>
      <c r="L11" s="16">
        <f>IF(AND(N(E11)=0,N(K11)=0),"",SUM($F$10:F11)-SUM($K$10:K11))</f>
        <v/>
      </c>
      <c r="M11" s="12" t="n"/>
      <c r="N11" s="17" t="inlineStr"/>
    </row>
    <row r="12" ht="20" customHeight="1">
      <c r="A12" s="10" t="n"/>
      <c r="B12" s="11" t="n"/>
      <c r="C12" s="12" t="n"/>
      <c r="D12" s="13" t="n"/>
      <c r="E12" s="10" t="n"/>
      <c r="F12" s="14">
        <f>IF(N(E12)=0,"",E12-N(H12))</f>
        <v/>
      </c>
      <c r="G12" s="14">
        <f>IF(N(E12)=0,"",SUM($F$10:F12))</f>
        <v/>
      </c>
      <c r="H12" s="10" t="n"/>
      <c r="I12" s="15" t="n"/>
      <c r="J12" s="13" t="n"/>
      <c r="K12" s="10" t="n"/>
      <c r="L12" s="16">
        <f>IF(AND(N(E12)=0,N(K12)=0),"",SUM($F$10:F12)-SUM($K$10:K12))</f>
        <v/>
      </c>
      <c r="M12" s="12" t="n"/>
      <c r="N12" s="17" t="inlineStr"/>
    </row>
    <row r="13" ht="20" customHeight="1">
      <c r="A13" s="10" t="n"/>
      <c r="B13" s="11" t="n"/>
      <c r="C13" s="12" t="n"/>
      <c r="D13" s="13" t="n"/>
      <c r="E13" s="10" t="n"/>
      <c r="F13" s="14">
        <f>IF(N(E13)=0,"",E13-N(H13))</f>
        <v/>
      </c>
      <c r="G13" s="14">
        <f>IF(N(E13)=0,"",SUM($F$10:F13))</f>
        <v/>
      </c>
      <c r="H13" s="10" t="n"/>
      <c r="I13" s="15" t="n"/>
      <c r="J13" s="13" t="n"/>
      <c r="K13" s="10" t="n"/>
      <c r="L13" s="16">
        <f>IF(AND(N(E13)=0,N(K13)=0),"",SUM($F$10:F13)-SUM($K$10:K13))</f>
        <v/>
      </c>
      <c r="M13" s="12" t="n"/>
      <c r="N13" s="17" t="inlineStr"/>
    </row>
    <row r="14" ht="20" customHeight="1">
      <c r="A14" s="10" t="n"/>
      <c r="B14" s="11" t="n"/>
      <c r="C14" s="12" t="n"/>
      <c r="D14" s="13" t="n"/>
      <c r="E14" s="10" t="n"/>
      <c r="F14" s="14">
        <f>IF(N(E14)=0,"",E14-N(H14))</f>
        <v/>
      </c>
      <c r="G14" s="14">
        <f>IF(N(E14)=0,"",SUM($F$10:F14))</f>
        <v/>
      </c>
      <c r="H14" s="10" t="n"/>
      <c r="I14" s="15" t="n"/>
      <c r="J14" s="13" t="n"/>
      <c r="K14" s="10" t="n"/>
      <c r="L14" s="16">
        <f>IF(AND(N(E14)=0,N(K14)=0),"",SUM($F$10:F14)-SUM($K$10:K14))</f>
        <v/>
      </c>
      <c r="M14" s="12" t="n"/>
      <c r="N14" s="17" t="inlineStr"/>
    </row>
    <row r="15" ht="20" customHeight="1">
      <c r="A15" s="10" t="n"/>
      <c r="B15" s="11" t="n"/>
      <c r="C15" s="12" t="n"/>
      <c r="D15" s="13" t="n"/>
      <c r="E15" s="10" t="n"/>
      <c r="F15" s="14">
        <f>IF(N(E15)=0,"",E15-N(H15))</f>
        <v/>
      </c>
      <c r="G15" s="14">
        <f>IF(N(E15)=0,"",SUM($F$10:F15))</f>
        <v/>
      </c>
      <c r="H15" s="10" t="n"/>
      <c r="I15" s="15" t="n"/>
      <c r="J15" s="13" t="n"/>
      <c r="K15" s="10" t="n"/>
      <c r="L15" s="16">
        <f>IF(AND(N(E15)=0,N(K15)=0),"",SUM($F$10:F15)-SUM($K$10:K15))</f>
        <v/>
      </c>
      <c r="M15" s="12" t="n"/>
      <c r="N15" s="17" t="inlineStr"/>
    </row>
    <row r="16" ht="20" customHeight="1">
      <c r="A16" s="10" t="n"/>
      <c r="B16" s="11" t="n"/>
      <c r="C16" s="12" t="n"/>
      <c r="D16" s="13" t="n"/>
      <c r="E16" s="10" t="n"/>
      <c r="F16" s="14">
        <f>IF(N(E16)=0,"",E16-N(H16))</f>
        <v/>
      </c>
      <c r="G16" s="14">
        <f>IF(N(E16)=0,"",SUM($F$10:F16))</f>
        <v/>
      </c>
      <c r="H16" s="10" t="n"/>
      <c r="I16" s="15" t="n"/>
      <c r="J16" s="13" t="n"/>
      <c r="K16" s="10" t="n"/>
      <c r="L16" s="16">
        <f>IF(AND(N(E16)=0,N(K16)=0),"",SUM($F$10:F16)-SUM($K$10:K16))</f>
        <v/>
      </c>
      <c r="M16" s="12" t="n"/>
      <c r="N16" s="17" t="inlineStr"/>
    </row>
    <row r="17" ht="20" customHeight="1">
      <c r="A17" s="10" t="n"/>
      <c r="B17" s="11" t="n"/>
      <c r="C17" s="12" t="n"/>
      <c r="D17" s="13" t="n"/>
      <c r="E17" s="10" t="n"/>
      <c r="F17" s="14">
        <f>IF(N(E17)=0,"",E17-N(H17))</f>
        <v/>
      </c>
      <c r="G17" s="14">
        <f>IF(N(E17)=0,"",SUM($F$10:F17))</f>
        <v/>
      </c>
      <c r="H17" s="10" t="n"/>
      <c r="I17" s="15" t="n"/>
      <c r="J17" s="13" t="n"/>
      <c r="K17" s="10" t="n"/>
      <c r="L17" s="16">
        <f>IF(AND(N(E17)=0,N(K17)=0),"",SUM($F$10:F17)-SUM($K$10:K17))</f>
        <v/>
      </c>
      <c r="M17" s="12" t="n"/>
      <c r="N17" s="17" t="inlineStr"/>
    </row>
    <row r="18" ht="20" customHeight="1">
      <c r="A18" s="10" t="n"/>
      <c r="B18" s="11" t="n"/>
      <c r="C18" s="12" t="n"/>
      <c r="D18" s="13" t="n"/>
      <c r="E18" s="10" t="n"/>
      <c r="F18" s="14">
        <f>IF(N(E18)=0,"",E18-N(H18))</f>
        <v/>
      </c>
      <c r="G18" s="14">
        <f>IF(N(E18)=0,"",SUM($F$10:F18))</f>
        <v/>
      </c>
      <c r="H18" s="10" t="n"/>
      <c r="I18" s="15" t="n"/>
      <c r="J18" s="13" t="n"/>
      <c r="K18" s="10" t="n"/>
      <c r="L18" s="16">
        <f>IF(AND(N(E18)=0,N(K18)=0),"",SUM($F$10:F18)-SUM($K$10:K18))</f>
        <v/>
      </c>
      <c r="M18" s="12" t="n"/>
      <c r="N18" s="17" t="inlineStr"/>
    </row>
    <row r="19" ht="20" customHeight="1">
      <c r="A19" s="10" t="n"/>
      <c r="B19" s="11" t="n"/>
      <c r="C19" s="12" t="n"/>
      <c r="D19" s="13" t="n"/>
      <c r="E19" s="10" t="n"/>
      <c r="F19" s="14">
        <f>IF(N(E19)=0,"",E19-N(H19))</f>
        <v/>
      </c>
      <c r="G19" s="14">
        <f>IF(N(E19)=0,"",SUM($F$10:F19))</f>
        <v/>
      </c>
      <c r="H19" s="10" t="n"/>
      <c r="I19" s="15" t="n"/>
      <c r="J19" s="13" t="n"/>
      <c r="K19" s="10" t="n"/>
      <c r="L19" s="16">
        <f>IF(AND(N(E19)=0,N(K19)=0),"",SUM($F$10:F19)-SUM($K$10:K19))</f>
        <v/>
      </c>
      <c r="M19" s="12" t="n"/>
      <c r="N19" s="17" t="inlineStr"/>
    </row>
    <row r="20" ht="20" customHeight="1">
      <c r="A20" s="10" t="n"/>
      <c r="B20" s="11" t="n"/>
      <c r="C20" s="12" t="n"/>
      <c r="D20" s="13" t="n"/>
      <c r="E20" s="10" t="n"/>
      <c r="F20" s="14">
        <f>IF(N(E20)=0,"",E20-N(H20))</f>
        <v/>
      </c>
      <c r="G20" s="14">
        <f>IF(N(E20)=0,"",SUM($F$10:F20))</f>
        <v/>
      </c>
      <c r="H20" s="10" t="n"/>
      <c r="I20" s="15" t="n"/>
      <c r="J20" s="13" t="n"/>
      <c r="K20" s="10" t="n"/>
      <c r="L20" s="16">
        <f>IF(AND(N(E20)=0,N(K20)=0),"",SUM($F$10:F20)-SUM($K$10:K20))</f>
        <v/>
      </c>
      <c r="M20" s="12" t="n"/>
      <c r="N20" s="17" t="inlineStr"/>
    </row>
    <row r="21" ht="20" customHeight="1">
      <c r="A21" s="10" t="n"/>
      <c r="B21" s="11" t="n"/>
      <c r="C21" s="12" t="n"/>
      <c r="D21" s="13" t="n"/>
      <c r="E21" s="10" t="n"/>
      <c r="F21" s="14">
        <f>IF(N(E21)=0,"",E21-N(H21))</f>
        <v/>
      </c>
      <c r="G21" s="14">
        <f>IF(N(E21)=0,"",SUM($F$10:F21))</f>
        <v/>
      </c>
      <c r="H21" s="10" t="n"/>
      <c r="I21" s="15" t="n"/>
      <c r="J21" s="13" t="n"/>
      <c r="K21" s="10" t="n"/>
      <c r="L21" s="16">
        <f>IF(AND(N(E21)=0,N(K21)=0),"",SUM($F$10:F21)-SUM($K$10:K21))</f>
        <v/>
      </c>
      <c r="M21" s="12" t="n"/>
      <c r="N21" s="17" t="inlineStr"/>
    </row>
    <row r="22" ht="20" customHeight="1">
      <c r="A22" s="10" t="n"/>
      <c r="B22" s="11" t="n"/>
      <c r="C22" s="12" t="n"/>
      <c r="D22" s="13" t="n"/>
      <c r="E22" s="10" t="n"/>
      <c r="F22" s="14">
        <f>IF(N(E22)=0,"",E22-N(H22))</f>
        <v/>
      </c>
      <c r="G22" s="14">
        <f>IF(N(E22)=0,"",SUM($F$10:F22))</f>
        <v/>
      </c>
      <c r="H22" s="10" t="n"/>
      <c r="I22" s="15" t="n"/>
      <c r="J22" s="13" t="n"/>
      <c r="K22" s="10" t="n"/>
      <c r="L22" s="16">
        <f>IF(AND(N(E22)=0,N(K22)=0),"",SUM($F$10:F22)-SUM($K$10:K22))</f>
        <v/>
      </c>
      <c r="M22" s="12" t="n"/>
      <c r="N22" s="17" t="inlineStr"/>
    </row>
    <row r="23" ht="20" customHeight="1">
      <c r="A23" s="10" t="n"/>
      <c r="B23" s="11" t="n"/>
      <c r="C23" s="12" t="n"/>
      <c r="D23" s="13" t="n"/>
      <c r="E23" s="10" t="n"/>
      <c r="F23" s="14">
        <f>IF(N(E23)=0,"",E23-N(H23))</f>
        <v/>
      </c>
      <c r="G23" s="14">
        <f>IF(N(E23)=0,"",SUM($F$10:F23))</f>
        <v/>
      </c>
      <c r="H23" s="10" t="n"/>
      <c r="I23" s="15" t="n"/>
      <c r="J23" s="13" t="n"/>
      <c r="K23" s="10" t="n"/>
      <c r="L23" s="16">
        <f>IF(AND(N(E23)=0,N(K23)=0),"",SUM($F$10:F23)-SUM($K$10:K23))</f>
        <v/>
      </c>
      <c r="M23" s="12" t="n"/>
      <c r="N23" s="17" t="inlineStr"/>
    </row>
    <row r="24" ht="20" customHeight="1">
      <c r="A24" s="10" t="n"/>
      <c r="B24" s="11" t="n"/>
      <c r="C24" s="12" t="n"/>
      <c r="D24" s="13" t="n"/>
      <c r="E24" s="10" t="n"/>
      <c r="F24" s="14">
        <f>IF(N(E24)=0,"",E24-N(H24))</f>
        <v/>
      </c>
      <c r="G24" s="14">
        <f>IF(N(E24)=0,"",SUM($F$10:F24))</f>
        <v/>
      </c>
      <c r="H24" s="10" t="n"/>
      <c r="I24" s="15" t="n"/>
      <c r="J24" s="13" t="n"/>
      <c r="K24" s="10" t="n"/>
      <c r="L24" s="16">
        <f>IF(AND(N(E24)=0,N(K24)=0),"",SUM($F$10:F24)-SUM($K$10:K24))</f>
        <v/>
      </c>
      <c r="M24" s="12" t="n"/>
      <c r="N24" s="17" t="inlineStr"/>
    </row>
    <row r="25" ht="20" customHeight="1">
      <c r="A25" s="10" t="n"/>
      <c r="B25" s="11" t="n"/>
      <c r="C25" s="12" t="n"/>
      <c r="D25" s="13" t="n"/>
      <c r="E25" s="10" t="n"/>
      <c r="F25" s="14">
        <f>IF(N(E25)=0,"",E25-N(H25))</f>
        <v/>
      </c>
      <c r="G25" s="14">
        <f>IF(N(E25)=0,"",SUM($F$10:F25))</f>
        <v/>
      </c>
      <c r="H25" s="10" t="n"/>
      <c r="I25" s="15" t="n"/>
      <c r="J25" s="13" t="n"/>
      <c r="K25" s="10" t="n"/>
      <c r="L25" s="16">
        <f>IF(AND(N(E25)=0,N(K25)=0),"",SUM($F$10:F25)-SUM($K$10:K25))</f>
        <v/>
      </c>
      <c r="M25" s="12" t="n"/>
      <c r="N25" s="17" t="inlineStr"/>
    </row>
    <row r="26" ht="20" customHeight="1">
      <c r="A26" s="10" t="n"/>
      <c r="B26" s="11" t="n"/>
      <c r="C26" s="12" t="n"/>
      <c r="D26" s="13" t="n"/>
      <c r="E26" s="10" t="n"/>
      <c r="F26" s="14">
        <f>IF(N(E26)=0,"",E26-N(H26))</f>
        <v/>
      </c>
      <c r="G26" s="14">
        <f>IF(N(E26)=0,"",SUM($F$10:F26))</f>
        <v/>
      </c>
      <c r="H26" s="10" t="n"/>
      <c r="I26" s="15" t="n"/>
      <c r="J26" s="13" t="n"/>
      <c r="K26" s="10" t="n"/>
      <c r="L26" s="16">
        <f>IF(AND(N(E26)=0,N(K26)=0),"",SUM($F$10:F26)-SUM($K$10:K26))</f>
        <v/>
      </c>
      <c r="M26" s="12" t="n"/>
      <c r="N26" s="17" t="inlineStr"/>
    </row>
    <row r="27" ht="20" customHeight="1">
      <c r="A27" s="10" t="n"/>
      <c r="B27" s="11" t="n"/>
      <c r="C27" s="12" t="n"/>
      <c r="D27" s="13" t="n"/>
      <c r="E27" s="10" t="n"/>
      <c r="F27" s="14">
        <f>IF(N(E27)=0,"",E27-N(H27))</f>
        <v/>
      </c>
      <c r="G27" s="14">
        <f>IF(N(E27)=0,"",SUM($F$10:F27))</f>
        <v/>
      </c>
      <c r="H27" s="10" t="n"/>
      <c r="I27" s="15" t="n"/>
      <c r="J27" s="13" t="n"/>
      <c r="K27" s="10" t="n"/>
      <c r="L27" s="16">
        <f>IF(AND(N(E27)=0,N(K27)=0),"",SUM($F$10:F27)-SUM($K$10:K27))</f>
        <v/>
      </c>
      <c r="M27" s="12" t="n"/>
      <c r="N27" s="17" t="inlineStr"/>
    </row>
    <row r="28" ht="20" customHeight="1">
      <c r="A28" s="10" t="n"/>
      <c r="B28" s="11" t="n"/>
      <c r="C28" s="12" t="n"/>
      <c r="D28" s="13" t="n"/>
      <c r="E28" s="10" t="n"/>
      <c r="F28" s="14">
        <f>IF(N(E28)=0,"",E28-N(H28))</f>
        <v/>
      </c>
      <c r="G28" s="14">
        <f>IF(N(E28)=0,"",SUM($F$10:F28))</f>
        <v/>
      </c>
      <c r="H28" s="10" t="n"/>
      <c r="I28" s="15" t="n"/>
      <c r="J28" s="13" t="n"/>
      <c r="K28" s="10" t="n"/>
      <c r="L28" s="16">
        <f>IF(AND(N(E28)=0,N(K28)=0),"",SUM($F$10:F28)-SUM($K$10:K28))</f>
        <v/>
      </c>
      <c r="M28" s="12" t="n"/>
      <c r="N28" s="17" t="inlineStr"/>
    </row>
    <row r="29" ht="20" customHeight="1">
      <c r="A29" s="10" t="n"/>
      <c r="B29" s="11" t="n"/>
      <c r="C29" s="12" t="n"/>
      <c r="D29" s="13" t="n"/>
      <c r="E29" s="10" t="n"/>
      <c r="F29" s="14">
        <f>IF(N(E29)=0,"",E29-N(H29))</f>
        <v/>
      </c>
      <c r="G29" s="14">
        <f>IF(N(E29)=0,"",SUM($F$10:F29))</f>
        <v/>
      </c>
      <c r="H29" s="10" t="n"/>
      <c r="I29" s="15" t="n"/>
      <c r="J29" s="13" t="n"/>
      <c r="K29" s="10" t="n"/>
      <c r="L29" s="16">
        <f>IF(AND(N(E29)=0,N(K29)=0),"",SUM($F$10:F29)-SUM($K$10:K29))</f>
        <v/>
      </c>
      <c r="M29" s="12" t="n"/>
      <c r="N29" s="17" t="inlineStr"/>
    </row>
    <row r="30" ht="20" customHeight="1">
      <c r="A30" s="10" t="n"/>
      <c r="B30" s="11" t="n"/>
      <c r="C30" s="12" t="n"/>
      <c r="D30" s="13" t="n"/>
      <c r="E30" s="10" t="n"/>
      <c r="F30" s="14">
        <f>IF(N(E30)=0,"",E30-N(H30))</f>
        <v/>
      </c>
      <c r="G30" s="14">
        <f>IF(N(E30)=0,"",SUM($F$10:F30))</f>
        <v/>
      </c>
      <c r="H30" s="10" t="n"/>
      <c r="I30" s="15" t="n"/>
      <c r="J30" s="13" t="n"/>
      <c r="K30" s="10" t="n"/>
      <c r="L30" s="16">
        <f>IF(AND(N(E30)=0,N(K30)=0),"",SUM($F$10:F30)-SUM($K$10:K30))</f>
        <v/>
      </c>
      <c r="M30" s="12" t="n"/>
      <c r="N30" s="17" t="inlineStr"/>
    </row>
    <row r="31" ht="20" customHeight="1">
      <c r="A31" s="10" t="n"/>
      <c r="B31" s="11" t="n"/>
      <c r="C31" s="12" t="n"/>
      <c r="D31" s="13" t="n"/>
      <c r="E31" s="10" t="n"/>
      <c r="F31" s="14">
        <f>IF(N(E31)=0,"",E31-N(H31))</f>
        <v/>
      </c>
      <c r="G31" s="14">
        <f>IF(N(E31)=0,"",SUM($F$10:F31))</f>
        <v/>
      </c>
      <c r="H31" s="10" t="n"/>
      <c r="I31" s="15" t="n"/>
      <c r="J31" s="13" t="n"/>
      <c r="K31" s="10" t="n"/>
      <c r="L31" s="16">
        <f>IF(AND(N(E31)=0,N(K31)=0),"",SUM($F$10:F31)-SUM($K$10:K31))</f>
        <v/>
      </c>
      <c r="M31" s="12" t="n"/>
      <c r="N31" s="17" t="inlineStr"/>
    </row>
    <row r="32" ht="20" customHeight="1">
      <c r="A32" s="10" t="n"/>
      <c r="B32" s="11" t="n"/>
      <c r="C32" s="12" t="n"/>
      <c r="D32" s="13" t="n"/>
      <c r="E32" s="10" t="n"/>
      <c r="F32" s="14">
        <f>IF(N(E32)=0,"",E32-N(H32))</f>
        <v/>
      </c>
      <c r="G32" s="14">
        <f>IF(N(E32)=0,"",SUM($F$10:F32))</f>
        <v/>
      </c>
      <c r="H32" s="10" t="n"/>
      <c r="I32" s="15" t="n"/>
      <c r="J32" s="13" t="n"/>
      <c r="K32" s="10" t="n"/>
      <c r="L32" s="16">
        <f>IF(AND(N(E32)=0,N(K32)=0),"",SUM($F$10:F32)-SUM($K$10:K32))</f>
        <v/>
      </c>
      <c r="M32" s="12" t="n"/>
      <c r="N32" s="17" t="inlineStr"/>
    </row>
    <row r="33" ht="20" customHeight="1">
      <c r="A33" s="10" t="n"/>
      <c r="B33" s="11" t="n"/>
      <c r="C33" s="12" t="n"/>
      <c r="D33" s="13" t="n"/>
      <c r="E33" s="10" t="n"/>
      <c r="F33" s="14">
        <f>IF(N(E33)=0,"",E33-N(H33))</f>
        <v/>
      </c>
      <c r="G33" s="14">
        <f>IF(N(E33)=0,"",SUM($F$10:F33))</f>
        <v/>
      </c>
      <c r="H33" s="10" t="n"/>
      <c r="I33" s="15" t="n"/>
      <c r="J33" s="13" t="n"/>
      <c r="K33" s="10" t="n"/>
      <c r="L33" s="16">
        <f>IF(AND(N(E33)=0,N(K33)=0),"",SUM($F$10:F33)-SUM($K$10:K33))</f>
        <v/>
      </c>
      <c r="M33" s="12" t="n"/>
      <c r="N33" s="17" t="inlineStr"/>
    </row>
    <row r="34" ht="20" customHeight="1">
      <c r="A34" s="10" t="n"/>
      <c r="B34" s="11" t="n"/>
      <c r="C34" s="12" t="n"/>
      <c r="D34" s="13" t="n"/>
      <c r="E34" s="10" t="n"/>
      <c r="F34" s="14">
        <f>IF(N(E34)=0,"",E34-N(H34))</f>
        <v/>
      </c>
      <c r="G34" s="14">
        <f>IF(N(E34)=0,"",SUM($F$10:F34))</f>
        <v/>
      </c>
      <c r="H34" s="10" t="n"/>
      <c r="I34" s="15" t="n"/>
      <c r="J34" s="13" t="n"/>
      <c r="K34" s="10" t="n"/>
      <c r="L34" s="16">
        <f>IF(AND(N(E34)=0,N(K34)=0),"",SUM($F$10:F34)-SUM($K$10:K34))</f>
        <v/>
      </c>
      <c r="M34" s="12" t="n"/>
      <c r="N34" s="17" t="inlineStr"/>
    </row>
    <row r="35" ht="24" customHeight="1">
      <c r="A35" s="18">
        <f>SUM(A10:A34)</f>
        <v/>
      </c>
      <c r="B35" s="19" t="inlineStr">
        <is>
          <t>합        계</t>
        </is>
      </c>
      <c r="C35" s="9" t="n"/>
      <c r="D35" s="9" t="n"/>
      <c r="E35" s="18">
        <f>SUM(E10:E34)</f>
        <v/>
      </c>
      <c r="F35" s="18">
        <f>SUM(F10:F34)</f>
        <v/>
      </c>
      <c r="G35" s="19" t="inlineStr"/>
      <c r="H35" s="18">
        <f>SUM(H10:H34)</f>
        <v/>
      </c>
      <c r="I35" s="19" t="inlineStr"/>
      <c r="J35" s="19" t="inlineStr"/>
      <c r="K35" s="18">
        <f>SUM(K10:K34)</f>
        <v/>
      </c>
      <c r="L35" s="20">
        <f>IF(AND(SUM(F10:F34)=0,SUM(K10:K34)=0),"",SUM(F10:F34)-SUM(K10:K34))</f>
        <v/>
      </c>
      <c r="M35" s="19" t="inlineStr"/>
      <c r="N35" s="9" t="n"/>
    </row>
    <row r="36" ht="16" customHeight="1">
      <c r="A36" s="21">
        <f>IF(COUNTIF(L10:L34,"&lt;0")&gt;0,"⚠ 잔량이 음수인 줄이 있습니다 — 출고량이 합격 누계보다 많습니다.","")</f>
        <v/>
      </c>
    </row>
    <row r="38" ht="34" customHeight="1">
      <c r="A38" s="22" t="inlineStr">
        <is>
          <t>하늘색 칸 = 자동. 합격량(금회) = 반입량 − 불합격량, 누계 = 금회 합격을 위에서부터 더한 값, 잔량 = 합격 누계 − 출고 누계.</t>
        </is>
      </c>
    </row>
    <row r="39" ht="19.5" customHeight="1">
      <c r="A39" s="22" t="inlineStr">
        <is>
          <t>반입만 있는 날·출고만 있는 날 모두 한 줄씩 적으면 됩니다. 설계량·단위·규격은 첫 줄에만 적어도 됩니다.</t>
        </is>
      </c>
    </row>
    <row r="40" ht="19.5" customHeight="1">
      <c r="A40" s="22" t="inlineStr">
        <is>
          <t>자재마다 이 시트를 복사해(시트 이름 오른쪽 클릭 → 이동/복사) 한 장씩 쓰세요. 관급자재도 같은 방법으로 씁니다.</t>
        </is>
      </c>
    </row>
  </sheetData>
  <mergeCells count="27">
    <mergeCell ref="A40:N40"/>
    <mergeCell ref="E8:E9"/>
    <mergeCell ref="A39:N39"/>
    <mergeCell ref="C6:G6"/>
    <mergeCell ref="J5:N5"/>
    <mergeCell ref="B8:B9"/>
    <mergeCell ref="A36:N36"/>
    <mergeCell ref="A6:B6"/>
    <mergeCell ref="M35:N35"/>
    <mergeCell ref="L8:L9"/>
    <mergeCell ref="N8:N9"/>
    <mergeCell ref="C5:I5"/>
    <mergeCell ref="H1:N1"/>
    <mergeCell ref="F8:G8"/>
    <mergeCell ref="A3:N3"/>
    <mergeCell ref="A1:G1"/>
    <mergeCell ref="A8:A9"/>
    <mergeCell ref="C8:C9"/>
    <mergeCell ref="K8:K9"/>
    <mergeCell ref="M8:M9"/>
    <mergeCell ref="B35:D35"/>
    <mergeCell ref="A5:B5"/>
    <mergeCell ref="D8:D9"/>
    <mergeCell ref="H6:N6"/>
    <mergeCell ref="J8:J9"/>
    <mergeCell ref="A38:N38"/>
    <mergeCell ref="H8:I8"/>
  </mergeCells>
  <conditionalFormatting sqref="A10:A35">
    <cfRule type="expression" priority="1" dxfId="0">
      <formula>AND(ISNUMBER(A10),MOD(A10,1)=0)</formula>
    </cfRule>
  </conditionalFormatting>
  <conditionalFormatting sqref="E10:E35">
    <cfRule type="expression" priority="2" dxfId="0">
      <formula>AND(ISNUMBER(E10),MOD(E10,1)=0)</formula>
    </cfRule>
  </conditionalFormatting>
  <conditionalFormatting sqref="F10:F35">
    <cfRule type="expression" priority="3" dxfId="0">
      <formula>AND(ISNUMBER(F10),MOD(F10,1)=0)</formula>
    </cfRule>
  </conditionalFormatting>
  <conditionalFormatting sqref="G10:G34">
    <cfRule type="expression" priority="4" dxfId="0">
      <formula>AND(ISNUMBER(G10),MOD(G10,1)=0)</formula>
    </cfRule>
  </conditionalFormatting>
  <conditionalFormatting sqref="H10:H35">
    <cfRule type="expression" priority="5" dxfId="0">
      <formula>AND(ISNUMBER(H10),MOD(H10,1)=0)</formula>
    </cfRule>
  </conditionalFormatting>
  <conditionalFormatting sqref="K10:K35">
    <cfRule type="expression" priority="6" dxfId="0">
      <formula>AND(ISNUMBER(K10),MOD(K10,1)=0)</formula>
    </cfRule>
  </conditionalFormatting>
  <conditionalFormatting sqref="L10:L35">
    <cfRule type="expression" priority="7" dxfId="1">
      <formula>AND(ISNUMBER(L10),MOD(L10,1)=0)</formula>
    </cfRule>
  </conditionalFormatting>
  <printOptions horizontalCentered="1"/>
  <pageMargins left="0.35" right="0.35" top="0.45" bottom="0.4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N38"/>
  <sheetViews>
    <sheetView showGridLines="0" zoomScale="100"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12" customWidth="1" min="3" max="3"/>
    <col width="8.5" customWidth="1" min="4" max="4"/>
    <col width="8" customWidth="1" min="5" max="5"/>
    <col width="8" customWidth="1" min="6" max="6"/>
    <col width="9" customWidth="1" min="7" max="7"/>
    <col width="6" customWidth="1" min="8" max="8"/>
    <col width="11" customWidth="1" min="9" max="9"/>
    <col width="8.5" customWidth="1" min="10" max="10"/>
    <col width="8" customWidth="1" min="11" max="11"/>
    <col width="9" customWidth="1" min="12" max="12"/>
    <col width="7" customWidth="1" min="13" max="13"/>
    <col width="6" customWidth="1" min="14" max="14"/>
  </cols>
  <sheetData>
    <row r="1" ht="20" customHeight="1">
      <c r="A1" s="1" t="inlineStr">
        <is>
          <t xml:space="preserve">  K-건설맵  |  k-conmap.com  건설 서식</t>
        </is>
      </c>
      <c r="H1" s="23" t="inlineStr">
        <is>
          <t xml:space="preserve">작성 예시 (가상의 현장)  </t>
        </is>
      </c>
    </row>
    <row r="2" ht="4" customHeight="1"/>
    <row r="3" ht="40" customHeight="1">
      <c r="A3" s="3" t="inlineStr">
        <is>
          <t>주 요 자 재  검 사 수 불 부</t>
        </is>
      </c>
    </row>
    <row r="4" ht="4" customHeight="1"/>
    <row r="5" ht="24" customHeight="1">
      <c r="A5" s="4" t="inlineStr">
        <is>
          <t>공 사 명 :</t>
        </is>
      </c>
      <c r="C5" s="5" t="inlineStr">
        <is>
          <t>가나지구 배수로 정비공사</t>
        </is>
      </c>
      <c r="J5" s="6" t="inlineStr"/>
    </row>
    <row r="6" ht="24" customHeight="1">
      <c r="A6" s="4" t="inlineStr">
        <is>
          <t>품     명 :</t>
        </is>
      </c>
      <c r="C6" s="5" t="inlineStr">
        <is>
          <t>PE 이중벽관(배수관)</t>
        </is>
      </c>
      <c r="H6" s="7">
        <f>IF(OR(SUM(A10:A34)=0,SUM(F10:F34)=0),"","설계량 "&amp;IF(SUM(A10:A34)=INT(SUM(A10:A34)),TEXT(SUM(A10:A34),"#,##0"),TEXT(SUM(A10:A34),"#,##0.##"))&amp;" 대비 합격 누계 "&amp;IF(SUM(F10:F34)=INT(SUM(F10:F34)),TEXT(SUM(F10:F34),"#,##0"),TEXT(SUM(F10:F34),"#,##0.##"))&amp;" ("&amp;TEXT(SUM(F10:F34)/SUM(A10:A34),"0.0%")&amp;")")</f>
        <v/>
      </c>
    </row>
    <row r="7" ht="2" customHeight="1"/>
    <row r="8" ht="22" customHeight="1">
      <c r="A8" s="8" t="inlineStr">
        <is>
          <t>설계량</t>
        </is>
      </c>
      <c r="B8" s="8" t="inlineStr">
        <is>
          <t>단위</t>
        </is>
      </c>
      <c r="C8" s="8" t="inlineStr">
        <is>
          <t>규    격</t>
        </is>
      </c>
      <c r="D8" s="8" t="inlineStr">
        <is>
          <t>반입일</t>
        </is>
      </c>
      <c r="E8" s="8" t="inlineStr">
        <is>
          <t>반입량</t>
        </is>
      </c>
      <c r="F8" s="8" t="inlineStr">
        <is>
          <t>합격량</t>
        </is>
      </c>
      <c r="G8" s="9" t="n"/>
      <c r="H8" s="8" t="inlineStr">
        <is>
          <t>불 합 격</t>
        </is>
      </c>
      <c r="I8" s="9" t="n"/>
      <c r="J8" s="8" t="inlineStr">
        <is>
          <t>출고일</t>
        </is>
      </c>
      <c r="K8" s="8" t="inlineStr">
        <is>
          <t>출고량</t>
        </is>
      </c>
      <c r="L8" s="8" t="inlineStr">
        <is>
          <t>잔    량</t>
        </is>
      </c>
      <c r="M8" s="8" t="inlineStr">
        <is>
          <t>검수자</t>
        </is>
      </c>
      <c r="N8" s="8" t="inlineStr">
        <is>
          <t>서명</t>
        </is>
      </c>
    </row>
    <row r="9" ht="22" customHeight="1">
      <c r="A9" s="9" t="n"/>
      <c r="B9" s="9" t="n"/>
      <c r="C9" s="9" t="n"/>
      <c r="D9" s="9" t="n"/>
      <c r="E9" s="9" t="n"/>
      <c r="F9" s="8" t="inlineStr">
        <is>
          <t>금  회</t>
        </is>
      </c>
      <c r="G9" s="8" t="inlineStr">
        <is>
          <t>누  계</t>
        </is>
      </c>
      <c r="H9" s="8" t="inlineStr">
        <is>
          <t>수  량</t>
        </is>
      </c>
      <c r="I9" s="8" t="inlineStr">
        <is>
          <t>사    유</t>
        </is>
      </c>
      <c r="J9" s="9" t="n"/>
      <c r="K9" s="9" t="n"/>
      <c r="L9" s="9" t="n"/>
      <c r="M9" s="9" t="n"/>
      <c r="N9" s="9" t="n"/>
    </row>
    <row r="10" ht="20" customHeight="1">
      <c r="A10" s="10" t="n">
        <v>862</v>
      </c>
      <c r="B10" s="11" t="inlineStr">
        <is>
          <t>m</t>
        </is>
      </c>
      <c r="C10" s="12" t="inlineStr">
        <is>
          <t>D600, L=6m</t>
        </is>
      </c>
      <c r="D10" s="13" t="n">
        <v>46122</v>
      </c>
      <c r="E10" s="10" t="n">
        <v>300</v>
      </c>
      <c r="F10" s="14">
        <f>IF(N(E10)=0,"",E10-N(H10))</f>
        <v/>
      </c>
      <c r="G10" s="14">
        <f>IF(N(E10)=0,"",SUM($F$10:F10))</f>
        <v/>
      </c>
      <c r="H10" s="10" t="n">
        <v>6</v>
      </c>
      <c r="I10" s="15" t="inlineStr">
        <is>
          <t>관 끝 파손(반품)</t>
        </is>
      </c>
      <c r="J10" s="13" t="n">
        <v>46124</v>
      </c>
      <c r="K10" s="10" t="n">
        <v>120</v>
      </c>
      <c r="L10" s="16">
        <f>IF(AND(N(E10)=0,N(K10)=0),"",SUM($F$10:F10)-SUM($K$10:K10))</f>
        <v/>
      </c>
      <c r="M10" s="12" t="inlineStr">
        <is>
          <t>한품질</t>
        </is>
      </c>
      <c r="N10" s="17" t="inlineStr"/>
    </row>
    <row r="11" ht="20" customHeight="1">
      <c r="A11" s="10" t="n"/>
      <c r="B11" s="11" t="n"/>
      <c r="C11" s="12" t="n"/>
      <c r="D11" s="13" t="n"/>
      <c r="E11" s="10" t="n"/>
      <c r="F11" s="14">
        <f>IF(N(E11)=0,"",E11-N(H11))</f>
        <v/>
      </c>
      <c r="G11" s="14">
        <f>IF(N(E11)=0,"",SUM($F$10:F11))</f>
        <v/>
      </c>
      <c r="H11" s="10" t="n"/>
      <c r="I11" s="15" t="n"/>
      <c r="J11" s="13" t="n">
        <v>46130</v>
      </c>
      <c r="K11" s="10" t="n">
        <v>102</v>
      </c>
      <c r="L11" s="16">
        <f>IF(AND(N(E11)=0,N(K11)=0),"",SUM($F$10:F11)-SUM($K$10:K11))</f>
        <v/>
      </c>
      <c r="M11" s="12" t="inlineStr">
        <is>
          <t>한품질</t>
        </is>
      </c>
      <c r="N11" s="17" t="inlineStr"/>
    </row>
    <row r="12" ht="20" customHeight="1">
      <c r="A12" s="10" t="n"/>
      <c r="B12" s="11" t="n"/>
      <c r="C12" s="12" t="n"/>
      <c r="D12" s="13" t="n">
        <v>46148</v>
      </c>
      <c r="E12" s="10" t="n">
        <v>312</v>
      </c>
      <c r="F12" s="14">
        <f>IF(N(E12)=0,"",E12-N(H12))</f>
        <v/>
      </c>
      <c r="G12" s="14">
        <f>IF(N(E12)=0,"",SUM($F$10:F12))</f>
        <v/>
      </c>
      <c r="H12" s="10" t="n"/>
      <c r="I12" s="15" t="n"/>
      <c r="J12" s="13" t="n">
        <v>46150</v>
      </c>
      <c r="K12" s="10" t="n">
        <v>150</v>
      </c>
      <c r="L12" s="16">
        <f>IF(AND(N(E12)=0,N(K12)=0),"",SUM($F$10:F12)-SUM($K$10:K12))</f>
        <v/>
      </c>
      <c r="M12" s="12" t="inlineStr">
        <is>
          <t>한품질</t>
        </is>
      </c>
      <c r="N12" s="17" t="inlineStr"/>
    </row>
    <row r="13" ht="20" customHeight="1">
      <c r="A13" s="10" t="n"/>
      <c r="B13" s="11" t="n"/>
      <c r="C13" s="12" t="n"/>
      <c r="D13" s="13" t="n"/>
      <c r="E13" s="10" t="n"/>
      <c r="F13" s="14">
        <f>IF(N(E13)=0,"",E13-N(H13))</f>
        <v/>
      </c>
      <c r="G13" s="14">
        <f>IF(N(E13)=0,"",SUM($F$10:F13))</f>
        <v/>
      </c>
      <c r="H13" s="10" t="n"/>
      <c r="I13" s="15" t="n"/>
      <c r="J13" s="13" t="n">
        <v>46157</v>
      </c>
      <c r="K13" s="10" t="n">
        <v>180</v>
      </c>
      <c r="L13" s="16">
        <f>IF(AND(N(E13)=0,N(K13)=0),"",SUM($F$10:F13)-SUM($K$10:K13))</f>
        <v/>
      </c>
      <c r="M13" s="12" t="inlineStr">
        <is>
          <t>한품질</t>
        </is>
      </c>
      <c r="N13" s="17" t="inlineStr"/>
    </row>
    <row r="14" ht="20" customHeight="1">
      <c r="A14" s="10" t="n"/>
      <c r="B14" s="11" t="n"/>
      <c r="C14" s="12" t="n"/>
      <c r="D14" s="13" t="n">
        <v>46169</v>
      </c>
      <c r="E14" s="10" t="n">
        <v>252</v>
      </c>
      <c r="F14" s="14">
        <f>IF(N(E14)=0,"",E14-N(H14))</f>
        <v/>
      </c>
      <c r="G14" s="14">
        <f>IF(N(E14)=0,"",SUM($F$10:F14))</f>
        <v/>
      </c>
      <c r="H14" s="10" t="n"/>
      <c r="I14" s="15" t="n"/>
      <c r="J14" s="13" t="n">
        <v>46171</v>
      </c>
      <c r="K14" s="10" t="n">
        <v>240</v>
      </c>
      <c r="L14" s="16">
        <f>IF(AND(N(E14)=0,N(K14)=0),"",SUM($F$10:F14)-SUM($K$10:K14))</f>
        <v/>
      </c>
      <c r="M14" s="12" t="inlineStr">
        <is>
          <t>한품질</t>
        </is>
      </c>
      <c r="N14" s="17" t="inlineStr"/>
    </row>
    <row r="15" ht="20" customHeight="1">
      <c r="A15" s="10" t="n"/>
      <c r="B15" s="11" t="n"/>
      <c r="C15" s="12" t="n"/>
      <c r="D15" s="13" t="n"/>
      <c r="E15" s="10" t="n"/>
      <c r="F15" s="14">
        <f>IF(N(E15)=0,"",E15-N(H15))</f>
        <v/>
      </c>
      <c r="G15" s="14">
        <f>IF(N(E15)=0,"",SUM($F$10:F15))</f>
        <v/>
      </c>
      <c r="H15" s="10" t="n"/>
      <c r="I15" s="15" t="n"/>
      <c r="J15" s="13" t="n">
        <v>46178</v>
      </c>
      <c r="K15" s="10" t="n">
        <v>60</v>
      </c>
      <c r="L15" s="16">
        <f>IF(AND(N(E15)=0,N(K15)=0),"",SUM($F$10:F15)-SUM($K$10:K15))</f>
        <v/>
      </c>
      <c r="M15" s="12" t="inlineStr">
        <is>
          <t>한품질</t>
        </is>
      </c>
      <c r="N15" s="17" t="inlineStr"/>
    </row>
    <row r="16" ht="20" customHeight="1">
      <c r="A16" s="10" t="n"/>
      <c r="B16" s="11" t="n"/>
      <c r="C16" s="12" t="n"/>
      <c r="D16" s="13" t="n"/>
      <c r="E16" s="10" t="n"/>
      <c r="F16" s="14">
        <f>IF(N(E16)=0,"",E16-N(H16))</f>
        <v/>
      </c>
      <c r="G16" s="14">
        <f>IF(N(E16)=0,"",SUM($F$10:F16))</f>
        <v/>
      </c>
      <c r="H16" s="10" t="n"/>
      <c r="I16" s="15" t="n"/>
      <c r="J16" s="13" t="n"/>
      <c r="K16" s="10" t="n"/>
      <c r="L16" s="16">
        <f>IF(AND(N(E16)=0,N(K16)=0),"",SUM($F$10:F16)-SUM($K$10:K16))</f>
        <v/>
      </c>
      <c r="M16" s="12" t="n"/>
      <c r="N16" s="17" t="inlineStr"/>
    </row>
    <row r="17" ht="20" customHeight="1">
      <c r="A17" s="10" t="n"/>
      <c r="B17" s="11" t="n"/>
      <c r="C17" s="12" t="n"/>
      <c r="D17" s="13" t="n"/>
      <c r="E17" s="10" t="n"/>
      <c r="F17" s="14">
        <f>IF(N(E17)=0,"",E17-N(H17))</f>
        <v/>
      </c>
      <c r="G17" s="14">
        <f>IF(N(E17)=0,"",SUM($F$10:F17))</f>
        <v/>
      </c>
      <c r="H17" s="10" t="n"/>
      <c r="I17" s="15" t="n"/>
      <c r="J17" s="13" t="n"/>
      <c r="K17" s="10" t="n"/>
      <c r="L17" s="16">
        <f>IF(AND(N(E17)=0,N(K17)=0),"",SUM($F$10:F17)-SUM($K$10:K17))</f>
        <v/>
      </c>
      <c r="M17" s="12" t="n"/>
      <c r="N17" s="17" t="inlineStr"/>
    </row>
    <row r="18" ht="20" customHeight="1">
      <c r="A18" s="10" t="n"/>
      <c r="B18" s="11" t="n"/>
      <c r="C18" s="12" t="n"/>
      <c r="D18" s="13" t="n"/>
      <c r="E18" s="10" t="n"/>
      <c r="F18" s="14">
        <f>IF(N(E18)=0,"",E18-N(H18))</f>
        <v/>
      </c>
      <c r="G18" s="14">
        <f>IF(N(E18)=0,"",SUM($F$10:F18))</f>
        <v/>
      </c>
      <c r="H18" s="10" t="n"/>
      <c r="I18" s="15" t="n"/>
      <c r="J18" s="13" t="n"/>
      <c r="K18" s="10" t="n"/>
      <c r="L18" s="16">
        <f>IF(AND(N(E18)=0,N(K18)=0),"",SUM($F$10:F18)-SUM($K$10:K18))</f>
        <v/>
      </c>
      <c r="M18" s="12" t="n"/>
      <c r="N18" s="17" t="inlineStr"/>
    </row>
    <row r="19" ht="20" customHeight="1">
      <c r="A19" s="10" t="n"/>
      <c r="B19" s="11" t="n"/>
      <c r="C19" s="12" t="n"/>
      <c r="D19" s="13" t="n"/>
      <c r="E19" s="10" t="n"/>
      <c r="F19" s="14">
        <f>IF(N(E19)=0,"",E19-N(H19))</f>
        <v/>
      </c>
      <c r="G19" s="14">
        <f>IF(N(E19)=0,"",SUM($F$10:F19))</f>
        <v/>
      </c>
      <c r="H19" s="10" t="n"/>
      <c r="I19" s="15" t="n"/>
      <c r="J19" s="13" t="n"/>
      <c r="K19" s="10" t="n"/>
      <c r="L19" s="16">
        <f>IF(AND(N(E19)=0,N(K19)=0),"",SUM($F$10:F19)-SUM($K$10:K19))</f>
        <v/>
      </c>
      <c r="M19" s="12" t="n"/>
      <c r="N19" s="17" t="inlineStr"/>
    </row>
    <row r="20" ht="20" customHeight="1">
      <c r="A20" s="10" t="n"/>
      <c r="B20" s="11" t="n"/>
      <c r="C20" s="12" t="n"/>
      <c r="D20" s="13" t="n"/>
      <c r="E20" s="10" t="n"/>
      <c r="F20" s="14">
        <f>IF(N(E20)=0,"",E20-N(H20))</f>
        <v/>
      </c>
      <c r="G20" s="14">
        <f>IF(N(E20)=0,"",SUM($F$10:F20))</f>
        <v/>
      </c>
      <c r="H20" s="10" t="n"/>
      <c r="I20" s="15" t="n"/>
      <c r="J20" s="13" t="n"/>
      <c r="K20" s="10" t="n"/>
      <c r="L20" s="16">
        <f>IF(AND(N(E20)=0,N(K20)=0),"",SUM($F$10:F20)-SUM($K$10:K20))</f>
        <v/>
      </c>
      <c r="M20" s="12" t="n"/>
      <c r="N20" s="17" t="inlineStr"/>
    </row>
    <row r="21" ht="20" customHeight="1">
      <c r="A21" s="10" t="n"/>
      <c r="B21" s="11" t="n"/>
      <c r="C21" s="12" t="n"/>
      <c r="D21" s="13" t="n"/>
      <c r="E21" s="10" t="n"/>
      <c r="F21" s="14">
        <f>IF(N(E21)=0,"",E21-N(H21))</f>
        <v/>
      </c>
      <c r="G21" s="14">
        <f>IF(N(E21)=0,"",SUM($F$10:F21))</f>
        <v/>
      </c>
      <c r="H21" s="10" t="n"/>
      <c r="I21" s="15" t="n"/>
      <c r="J21" s="13" t="n"/>
      <c r="K21" s="10" t="n"/>
      <c r="L21" s="16">
        <f>IF(AND(N(E21)=0,N(K21)=0),"",SUM($F$10:F21)-SUM($K$10:K21))</f>
        <v/>
      </c>
      <c r="M21" s="12" t="n"/>
      <c r="N21" s="17" t="inlineStr"/>
    </row>
    <row r="22" ht="20" customHeight="1">
      <c r="A22" s="10" t="n"/>
      <c r="B22" s="11" t="n"/>
      <c r="C22" s="12" t="n"/>
      <c r="D22" s="13" t="n"/>
      <c r="E22" s="10" t="n"/>
      <c r="F22" s="14">
        <f>IF(N(E22)=0,"",E22-N(H22))</f>
        <v/>
      </c>
      <c r="G22" s="14">
        <f>IF(N(E22)=0,"",SUM($F$10:F22))</f>
        <v/>
      </c>
      <c r="H22" s="10" t="n"/>
      <c r="I22" s="15" t="n"/>
      <c r="J22" s="13" t="n"/>
      <c r="K22" s="10" t="n"/>
      <c r="L22" s="16">
        <f>IF(AND(N(E22)=0,N(K22)=0),"",SUM($F$10:F22)-SUM($K$10:K22))</f>
        <v/>
      </c>
      <c r="M22" s="12" t="n"/>
      <c r="N22" s="17" t="inlineStr"/>
    </row>
    <row r="23" ht="20" customHeight="1">
      <c r="A23" s="10" t="n"/>
      <c r="B23" s="11" t="n"/>
      <c r="C23" s="12" t="n"/>
      <c r="D23" s="13" t="n"/>
      <c r="E23" s="10" t="n"/>
      <c r="F23" s="14">
        <f>IF(N(E23)=0,"",E23-N(H23))</f>
        <v/>
      </c>
      <c r="G23" s="14">
        <f>IF(N(E23)=0,"",SUM($F$10:F23))</f>
        <v/>
      </c>
      <c r="H23" s="10" t="n"/>
      <c r="I23" s="15" t="n"/>
      <c r="J23" s="13" t="n"/>
      <c r="K23" s="10" t="n"/>
      <c r="L23" s="16">
        <f>IF(AND(N(E23)=0,N(K23)=0),"",SUM($F$10:F23)-SUM($K$10:K23))</f>
        <v/>
      </c>
      <c r="M23" s="12" t="n"/>
      <c r="N23" s="17" t="inlineStr"/>
    </row>
    <row r="24" ht="20" customHeight="1">
      <c r="A24" s="10" t="n"/>
      <c r="B24" s="11" t="n"/>
      <c r="C24" s="12" t="n"/>
      <c r="D24" s="13" t="n"/>
      <c r="E24" s="10" t="n"/>
      <c r="F24" s="14">
        <f>IF(N(E24)=0,"",E24-N(H24))</f>
        <v/>
      </c>
      <c r="G24" s="14">
        <f>IF(N(E24)=0,"",SUM($F$10:F24))</f>
        <v/>
      </c>
      <c r="H24" s="10" t="n"/>
      <c r="I24" s="15" t="n"/>
      <c r="J24" s="13" t="n"/>
      <c r="K24" s="10" t="n"/>
      <c r="L24" s="16">
        <f>IF(AND(N(E24)=0,N(K24)=0),"",SUM($F$10:F24)-SUM($K$10:K24))</f>
        <v/>
      </c>
      <c r="M24" s="12" t="n"/>
      <c r="N24" s="17" t="inlineStr"/>
    </row>
    <row r="25" ht="20" customHeight="1">
      <c r="A25" s="10" t="n"/>
      <c r="B25" s="11" t="n"/>
      <c r="C25" s="12" t="n"/>
      <c r="D25" s="13" t="n"/>
      <c r="E25" s="10" t="n"/>
      <c r="F25" s="14">
        <f>IF(N(E25)=0,"",E25-N(H25))</f>
        <v/>
      </c>
      <c r="G25" s="14">
        <f>IF(N(E25)=0,"",SUM($F$10:F25))</f>
        <v/>
      </c>
      <c r="H25" s="10" t="n"/>
      <c r="I25" s="15" t="n"/>
      <c r="J25" s="13" t="n"/>
      <c r="K25" s="10" t="n"/>
      <c r="L25" s="16">
        <f>IF(AND(N(E25)=0,N(K25)=0),"",SUM($F$10:F25)-SUM($K$10:K25))</f>
        <v/>
      </c>
      <c r="M25" s="12" t="n"/>
      <c r="N25" s="17" t="inlineStr"/>
    </row>
    <row r="26" ht="20" customHeight="1">
      <c r="A26" s="10" t="n"/>
      <c r="B26" s="11" t="n"/>
      <c r="C26" s="12" t="n"/>
      <c r="D26" s="13" t="n"/>
      <c r="E26" s="10" t="n"/>
      <c r="F26" s="14">
        <f>IF(N(E26)=0,"",E26-N(H26))</f>
        <v/>
      </c>
      <c r="G26" s="14">
        <f>IF(N(E26)=0,"",SUM($F$10:F26))</f>
        <v/>
      </c>
      <c r="H26" s="10" t="n"/>
      <c r="I26" s="15" t="n"/>
      <c r="J26" s="13" t="n"/>
      <c r="K26" s="10" t="n"/>
      <c r="L26" s="16">
        <f>IF(AND(N(E26)=0,N(K26)=0),"",SUM($F$10:F26)-SUM($K$10:K26))</f>
        <v/>
      </c>
      <c r="M26" s="12" t="n"/>
      <c r="N26" s="17" t="inlineStr"/>
    </row>
    <row r="27" ht="20" customHeight="1">
      <c r="A27" s="10" t="n"/>
      <c r="B27" s="11" t="n"/>
      <c r="C27" s="12" t="n"/>
      <c r="D27" s="13" t="n"/>
      <c r="E27" s="10" t="n"/>
      <c r="F27" s="14">
        <f>IF(N(E27)=0,"",E27-N(H27))</f>
        <v/>
      </c>
      <c r="G27" s="14">
        <f>IF(N(E27)=0,"",SUM($F$10:F27))</f>
        <v/>
      </c>
      <c r="H27" s="10" t="n"/>
      <c r="I27" s="15" t="n"/>
      <c r="J27" s="13" t="n"/>
      <c r="K27" s="10" t="n"/>
      <c r="L27" s="16">
        <f>IF(AND(N(E27)=0,N(K27)=0),"",SUM($F$10:F27)-SUM($K$10:K27))</f>
        <v/>
      </c>
      <c r="M27" s="12" t="n"/>
      <c r="N27" s="17" t="inlineStr"/>
    </row>
    <row r="28" ht="20" customHeight="1">
      <c r="A28" s="10" t="n"/>
      <c r="B28" s="11" t="n"/>
      <c r="C28" s="12" t="n"/>
      <c r="D28" s="13" t="n"/>
      <c r="E28" s="10" t="n"/>
      <c r="F28" s="14">
        <f>IF(N(E28)=0,"",E28-N(H28))</f>
        <v/>
      </c>
      <c r="G28" s="14">
        <f>IF(N(E28)=0,"",SUM($F$10:F28))</f>
        <v/>
      </c>
      <c r="H28" s="10" t="n"/>
      <c r="I28" s="15" t="n"/>
      <c r="J28" s="13" t="n"/>
      <c r="K28" s="10" t="n"/>
      <c r="L28" s="16">
        <f>IF(AND(N(E28)=0,N(K28)=0),"",SUM($F$10:F28)-SUM($K$10:K28))</f>
        <v/>
      </c>
      <c r="M28" s="12" t="n"/>
      <c r="N28" s="17" t="inlineStr"/>
    </row>
    <row r="29" ht="20" customHeight="1">
      <c r="A29" s="10" t="n"/>
      <c r="B29" s="11" t="n"/>
      <c r="C29" s="12" t="n"/>
      <c r="D29" s="13" t="n"/>
      <c r="E29" s="10" t="n"/>
      <c r="F29" s="14">
        <f>IF(N(E29)=0,"",E29-N(H29))</f>
        <v/>
      </c>
      <c r="G29" s="14">
        <f>IF(N(E29)=0,"",SUM($F$10:F29))</f>
        <v/>
      </c>
      <c r="H29" s="10" t="n"/>
      <c r="I29" s="15" t="n"/>
      <c r="J29" s="13" t="n"/>
      <c r="K29" s="10" t="n"/>
      <c r="L29" s="16">
        <f>IF(AND(N(E29)=0,N(K29)=0),"",SUM($F$10:F29)-SUM($K$10:K29))</f>
        <v/>
      </c>
      <c r="M29" s="12" t="n"/>
      <c r="N29" s="17" t="inlineStr"/>
    </row>
    <row r="30" ht="20" customHeight="1">
      <c r="A30" s="10" t="n"/>
      <c r="B30" s="11" t="n"/>
      <c r="C30" s="12" t="n"/>
      <c r="D30" s="13" t="n"/>
      <c r="E30" s="10" t="n"/>
      <c r="F30" s="14">
        <f>IF(N(E30)=0,"",E30-N(H30))</f>
        <v/>
      </c>
      <c r="G30" s="14">
        <f>IF(N(E30)=0,"",SUM($F$10:F30))</f>
        <v/>
      </c>
      <c r="H30" s="10" t="n"/>
      <c r="I30" s="15" t="n"/>
      <c r="J30" s="13" t="n"/>
      <c r="K30" s="10" t="n"/>
      <c r="L30" s="16">
        <f>IF(AND(N(E30)=0,N(K30)=0),"",SUM($F$10:F30)-SUM($K$10:K30))</f>
        <v/>
      </c>
      <c r="M30" s="12" t="n"/>
      <c r="N30" s="17" t="inlineStr"/>
    </row>
    <row r="31" ht="20" customHeight="1">
      <c r="A31" s="10" t="n"/>
      <c r="B31" s="11" t="n"/>
      <c r="C31" s="12" t="n"/>
      <c r="D31" s="13" t="n"/>
      <c r="E31" s="10" t="n"/>
      <c r="F31" s="14">
        <f>IF(N(E31)=0,"",E31-N(H31))</f>
        <v/>
      </c>
      <c r="G31" s="14">
        <f>IF(N(E31)=0,"",SUM($F$10:F31))</f>
        <v/>
      </c>
      <c r="H31" s="10" t="n"/>
      <c r="I31" s="15" t="n"/>
      <c r="J31" s="13" t="n"/>
      <c r="K31" s="10" t="n"/>
      <c r="L31" s="16">
        <f>IF(AND(N(E31)=0,N(K31)=0),"",SUM($F$10:F31)-SUM($K$10:K31))</f>
        <v/>
      </c>
      <c r="M31" s="12" t="n"/>
      <c r="N31" s="17" t="inlineStr"/>
    </row>
    <row r="32" ht="20" customHeight="1">
      <c r="A32" s="10" t="n"/>
      <c r="B32" s="11" t="n"/>
      <c r="C32" s="12" t="n"/>
      <c r="D32" s="13" t="n"/>
      <c r="E32" s="10" t="n"/>
      <c r="F32" s="14">
        <f>IF(N(E32)=0,"",E32-N(H32))</f>
        <v/>
      </c>
      <c r="G32" s="14">
        <f>IF(N(E32)=0,"",SUM($F$10:F32))</f>
        <v/>
      </c>
      <c r="H32" s="10" t="n"/>
      <c r="I32" s="15" t="n"/>
      <c r="J32" s="13" t="n"/>
      <c r="K32" s="10" t="n"/>
      <c r="L32" s="16">
        <f>IF(AND(N(E32)=0,N(K32)=0),"",SUM($F$10:F32)-SUM($K$10:K32))</f>
        <v/>
      </c>
      <c r="M32" s="12" t="n"/>
      <c r="N32" s="17" t="inlineStr"/>
    </row>
    <row r="33" ht="20" customHeight="1">
      <c r="A33" s="10" t="n"/>
      <c r="B33" s="11" t="n"/>
      <c r="C33" s="12" t="n"/>
      <c r="D33" s="13" t="n"/>
      <c r="E33" s="10" t="n"/>
      <c r="F33" s="14">
        <f>IF(N(E33)=0,"",E33-N(H33))</f>
        <v/>
      </c>
      <c r="G33" s="14">
        <f>IF(N(E33)=0,"",SUM($F$10:F33))</f>
        <v/>
      </c>
      <c r="H33" s="10" t="n"/>
      <c r="I33" s="15" t="n"/>
      <c r="J33" s="13" t="n"/>
      <c r="K33" s="10" t="n"/>
      <c r="L33" s="16">
        <f>IF(AND(N(E33)=0,N(K33)=0),"",SUM($F$10:F33)-SUM($K$10:K33))</f>
        <v/>
      </c>
      <c r="M33" s="12" t="n"/>
      <c r="N33" s="17" t="inlineStr"/>
    </row>
    <row r="34" ht="20" customHeight="1">
      <c r="A34" s="10" t="n"/>
      <c r="B34" s="11" t="n"/>
      <c r="C34" s="12" t="n"/>
      <c r="D34" s="13" t="n"/>
      <c r="E34" s="10" t="n"/>
      <c r="F34" s="14">
        <f>IF(N(E34)=0,"",E34-N(H34))</f>
        <v/>
      </c>
      <c r="G34" s="14">
        <f>IF(N(E34)=0,"",SUM($F$10:F34))</f>
        <v/>
      </c>
      <c r="H34" s="10" t="n"/>
      <c r="I34" s="15" t="n"/>
      <c r="J34" s="13" t="n"/>
      <c r="K34" s="10" t="n"/>
      <c r="L34" s="16">
        <f>IF(AND(N(E34)=0,N(K34)=0),"",SUM($F$10:F34)-SUM($K$10:K34))</f>
        <v/>
      </c>
      <c r="M34" s="12" t="n"/>
      <c r="N34" s="17" t="inlineStr"/>
    </row>
    <row r="35" ht="24" customHeight="1">
      <c r="A35" s="18">
        <f>SUM(A10:A34)</f>
        <v/>
      </c>
      <c r="B35" s="19" t="inlineStr">
        <is>
          <t>합        계</t>
        </is>
      </c>
      <c r="C35" s="9" t="n"/>
      <c r="D35" s="9" t="n"/>
      <c r="E35" s="18">
        <f>SUM(E10:E34)</f>
        <v/>
      </c>
      <c r="F35" s="18">
        <f>SUM(F10:F34)</f>
        <v/>
      </c>
      <c r="G35" s="19" t="inlineStr"/>
      <c r="H35" s="18">
        <f>SUM(H10:H34)</f>
        <v/>
      </c>
      <c r="I35" s="19" t="inlineStr"/>
      <c r="J35" s="19" t="inlineStr"/>
      <c r="K35" s="18">
        <f>SUM(K10:K34)</f>
        <v/>
      </c>
      <c r="L35" s="20">
        <f>IF(AND(SUM(F10:F34)=0,SUM(K10:K34)=0),"",SUM(F10:F34)-SUM(K10:K34))</f>
        <v/>
      </c>
      <c r="M35" s="19" t="inlineStr"/>
      <c r="N35" s="9" t="n"/>
    </row>
    <row r="36" ht="16" customHeight="1">
      <c r="A36" s="21">
        <f>IF(COUNTIF(L10:L34,"&lt;0")&gt;0,"⚠ 잔량이 음수인 줄이 있습니다 — 출고량이 합격 누계보다 많습니다.","")</f>
        <v/>
      </c>
    </row>
    <row r="38" ht="19.5" customHeight="1">
      <c r="A38" s="22" t="inlineStr">
        <is>
          <t>이 시트는 작성 예시입니다(가상의 현장 · 수량). 실제로는 앞 시트에 적으세요.</t>
        </is>
      </c>
    </row>
  </sheetData>
  <mergeCells count="25">
    <mergeCell ref="E8:E9"/>
    <mergeCell ref="C6:G6"/>
    <mergeCell ref="J5:N5"/>
    <mergeCell ref="B8:B9"/>
    <mergeCell ref="A36:N36"/>
    <mergeCell ref="A6:B6"/>
    <mergeCell ref="M35:N35"/>
    <mergeCell ref="L8:L9"/>
    <mergeCell ref="N8:N9"/>
    <mergeCell ref="C5:I5"/>
    <mergeCell ref="H1:N1"/>
    <mergeCell ref="F8:G8"/>
    <mergeCell ref="A3:N3"/>
    <mergeCell ref="A1:G1"/>
    <mergeCell ref="A8:A9"/>
    <mergeCell ref="C8:C9"/>
    <mergeCell ref="K8:K9"/>
    <mergeCell ref="M8:M9"/>
    <mergeCell ref="B35:D35"/>
    <mergeCell ref="A5:B5"/>
    <mergeCell ref="D8:D9"/>
    <mergeCell ref="H6:N6"/>
    <mergeCell ref="J8:J9"/>
    <mergeCell ref="A38:N38"/>
    <mergeCell ref="H8:I8"/>
  </mergeCells>
  <conditionalFormatting sqref="A10:A35">
    <cfRule type="expression" priority="1" dxfId="0">
      <formula>AND(ISNUMBER(A10),MOD(A10,1)=0)</formula>
    </cfRule>
  </conditionalFormatting>
  <conditionalFormatting sqref="E10:E35">
    <cfRule type="expression" priority="2" dxfId="0">
      <formula>AND(ISNUMBER(E10),MOD(E10,1)=0)</formula>
    </cfRule>
  </conditionalFormatting>
  <conditionalFormatting sqref="F10:F35">
    <cfRule type="expression" priority="3" dxfId="0">
      <formula>AND(ISNUMBER(F10),MOD(F10,1)=0)</formula>
    </cfRule>
  </conditionalFormatting>
  <conditionalFormatting sqref="G10:G34">
    <cfRule type="expression" priority="4" dxfId="0">
      <formula>AND(ISNUMBER(G10),MOD(G10,1)=0)</formula>
    </cfRule>
  </conditionalFormatting>
  <conditionalFormatting sqref="H10:H35">
    <cfRule type="expression" priority="5" dxfId="0">
      <formula>AND(ISNUMBER(H10),MOD(H10,1)=0)</formula>
    </cfRule>
  </conditionalFormatting>
  <conditionalFormatting sqref="K10:K35">
    <cfRule type="expression" priority="6" dxfId="0">
      <formula>AND(ISNUMBER(K10),MOD(K10,1)=0)</formula>
    </cfRule>
  </conditionalFormatting>
  <conditionalFormatting sqref="L10:L35">
    <cfRule type="expression" priority="7" dxfId="1">
      <formula>AND(ISNUMBER(L10),MOD(L10,1)=0)</formula>
    </cfRule>
  </conditionalFormatting>
  <printOptions horizontalCentered="1"/>
  <pageMargins left="0.35" right="0.35" top="0.45" bottom="0.4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자재 수불부</dc:title>
  <dcterms:created xmlns:dcterms="http://purl.org/dc/terms/" xmlns:xsi="http://www.w3.org/2001/XMLSchema-instance" xsi:type="dcterms:W3CDTF">2026-10-17T01:05:03Z</dcterms:created>
  <dcterms:modified xmlns:dcterms="http://purl.org/dc/terms/" xmlns:xsi="http://www.w3.org/2001/XMLSchema-instance" xsi:type="dcterms:W3CDTF">2026-10-17T01:05:03Z</dcterms:modified>
</cp:coreProperties>
</file>