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목차" sheetId="2" state="visible" r:id="rId2"/>
    <sheet xmlns:r="http://schemas.openxmlformats.org/officeDocument/2006/relationships" name="1.공사개요" sheetId="3" state="visible" r:id="rId3"/>
    <sheet xmlns:r="http://schemas.openxmlformats.org/officeDocument/2006/relationships" name="2.조직도" sheetId="4" state="visible" r:id="rId4"/>
    <sheet xmlns:r="http://schemas.openxmlformats.org/officeDocument/2006/relationships" name="2.장비및인원투입계획" sheetId="5" state="visible" r:id="rId5"/>
    <sheet xmlns:r="http://schemas.openxmlformats.org/officeDocument/2006/relationships" name="3.작업순서도" sheetId="6" state="visible" r:id="rId6"/>
    <sheet xmlns:r="http://schemas.openxmlformats.org/officeDocument/2006/relationships" name="3.시공계획" sheetId="7" state="visible" r:id="rId7"/>
    <sheet xmlns:r="http://schemas.openxmlformats.org/officeDocument/2006/relationships" name="3.계측관리" sheetId="8" state="visible" r:id="rId8"/>
    <sheet xmlns:r="http://schemas.openxmlformats.org/officeDocument/2006/relationships" name="3.매설물보호" sheetId="9" state="visible" r:id="rId9"/>
    <sheet xmlns:r="http://schemas.openxmlformats.org/officeDocument/2006/relationships" name="4.공정관리계획" sheetId="10" state="visible" r:id="rId10"/>
    <sheet xmlns:r="http://schemas.openxmlformats.org/officeDocument/2006/relationships" name="5.안전환경계획" sheetId="11" state="visible" r:id="rId11"/>
    <sheet xmlns:r="http://schemas.openxmlformats.org/officeDocument/2006/relationships" name="6.시공도면" sheetId="12" state="visible" r:id="rId12"/>
    <sheet xmlns:r="http://schemas.openxmlformats.org/officeDocument/2006/relationships" name="예시-표지" sheetId="13" state="visible" r:id="rId13"/>
    <sheet xmlns:r="http://schemas.openxmlformats.org/officeDocument/2006/relationships" name="예시-1.공사개요" sheetId="14" state="visible" r:id="rId14"/>
    <sheet xmlns:r="http://schemas.openxmlformats.org/officeDocument/2006/relationships" name="예시-2.조직도" sheetId="15" state="visible" r:id="rId15"/>
    <sheet xmlns:r="http://schemas.openxmlformats.org/officeDocument/2006/relationships" name="예시-2.장비및인원투입계획" sheetId="16" state="visible" r:id="rId16"/>
    <sheet xmlns:r="http://schemas.openxmlformats.org/officeDocument/2006/relationships" name="예시-3.계측관리" sheetId="17" state="visible" r:id="rId17"/>
    <sheet xmlns:r="http://schemas.openxmlformats.org/officeDocument/2006/relationships" name="예시-4.공정관리계획" sheetId="18" state="visible" r:id="rId18"/>
  </sheets>
  <definedNames>
    <definedName name="_xlnm.Print_Area" localSheetId="0">'표지'!$A$1:$L$9</definedName>
    <definedName name="_xlnm.Print_Area" localSheetId="1">'목차'!$A$1:$L$18</definedName>
    <definedName name="_xlnm.Print_Area" localSheetId="2">'1.공사개요'!$A$1:$L$24</definedName>
    <definedName name="_xlnm.Print_Area" localSheetId="3">'2.조직도'!$A$1:$L$24</definedName>
    <definedName name="_xlnm.Print_Area" localSheetId="4">'2.장비및인원투입계획'!$A$1:$L$28</definedName>
    <definedName name="_xlnm.Print_Area" localSheetId="5">'3.작업순서도'!$A$1:$L$17</definedName>
    <definedName name="_xlnm.Print_Area" localSheetId="6">'3.시공계획'!$A$1:$L$95</definedName>
    <definedName name="_xlnm.Print_Area" localSheetId="7">'3.계측관리'!$A$1:$L$76</definedName>
    <definedName name="_xlnm.Print_Area" localSheetId="8">'3.매설물보호'!$A$1:$L$47</definedName>
    <definedName name="_xlnm.Print_Area" localSheetId="9">'4.공정관리계획'!$A$1:$AA$15</definedName>
    <definedName name="_xlnm.Print_Area" localSheetId="10">'5.안전환경계획'!$A$1:$L$44</definedName>
    <definedName name="_xlnm.Print_Area" localSheetId="11">'6.시공도면'!$A$1:$L$15</definedName>
    <definedName name="_xlnm.Print_Area" localSheetId="12">'예시-표지'!$A$1:$L$9</definedName>
    <definedName name="_xlnm.Print_Area" localSheetId="13">'예시-1.공사개요'!$A$1:$L$24</definedName>
    <definedName name="_xlnm.Print_Area" localSheetId="14">'예시-2.조직도'!$A$1:$L$24</definedName>
    <definedName name="_xlnm.Print_Area" localSheetId="15">'예시-2.장비및인원투입계획'!$A$1:$L$28</definedName>
    <definedName name="_xlnm.Print_Area" localSheetId="16">'예시-3.계측관리'!$A$1:$L$76</definedName>
    <definedName name="_xlnm.Print_Area" localSheetId="17">'예시-4.공정관리계획'!$A$1:$AA$15</definedName>
  </definedNames>
  <calcPr calcId="124519" fullCalcOnLoad="1"/>
</workbook>
</file>

<file path=xl/styles.xml><?xml version="1.0" encoding="utf-8"?>
<styleSheet xmlns="http://schemas.openxmlformats.org/spreadsheetml/2006/main">
  <numFmts count="18">
    <numFmt numFmtId="164" formatCode="yyyy&quot;년&quot; m&quot;월&quot; d&quot;일&quot;"/>
    <numFmt numFmtId="165" formatCode="#,##0.0;;&quot;&quot;"/>
    <numFmt numFmtId="166" formatCode="#,##0.0#;;&quot;&quot;"/>
    <numFmt numFmtId="167" formatCode="#,##0;;&quot;&quot;"/>
    <numFmt numFmtId="168" formatCode="#,##0.00&quot; TON&quot;;;&quot;&quot;"/>
    <numFmt numFmtId="169" formatCode="#,##0&quot; 개소&quot;;;&quot;&quot;"/>
    <numFmt numFmtId="170" formatCode="#,##0&quot;일&quot;;;&quot;&quot;"/>
    <numFmt numFmtId="171" formatCode="0.0#"/>
    <numFmt numFmtId="172" formatCode="#,##0.##;;&quot;&quot;"/>
    <numFmt numFmtId="173" formatCode="0.00;;&quot;&quot;"/>
    <numFmt numFmtId="174" formatCode="&quot;1/&quot;0"/>
    <numFmt numFmtId="175" formatCode="#,##0.#&quot;mm&quot;;;&quot;&quot;"/>
    <numFmt numFmtId="176" formatCode="#,##0.##&quot;m&quot;;;&quot;&quot;"/>
    <numFmt numFmtId="177" formatCode="&quot;1/&quot;#,##0;;&quot;&quot;"/>
    <numFmt numFmtId="178" formatCode="0&quot;일&quot;"/>
    <numFmt numFmtId="179" formatCode="m&quot;/&quot;d"/>
    <numFmt numFmtId="180" formatCode="yyyy-mm-dd"/>
    <numFmt numFmtId="181" formatCode="yyyy. m. d."/>
  </numFmts>
  <fonts count="3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3"/>
    </font>
    <font>
      <name val="맑은 고딕"/>
      <color rgb="00000000"/>
      <sz val="13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6"/>
    </font>
    <font>
      <name val="맑은 고딕"/>
      <b val="1"/>
      <color rgb="00111827"/>
      <sz val="20"/>
    </font>
    <font>
      <name val="맑은 고딕"/>
      <b val="1"/>
      <color rgb="001F2937"/>
      <sz val="12"/>
    </font>
    <font>
      <name val="맑은 고딕"/>
      <color rgb="001F2937"/>
      <sz val="11"/>
    </font>
    <font>
      <name val="맑은 고딕"/>
      <b val="1"/>
      <color rgb="00111827"/>
      <sz val="13.5"/>
    </font>
    <font>
      <name val="맑은 고딕"/>
      <b val="1"/>
      <color rgb="00111827"/>
      <sz val="11"/>
    </font>
    <font>
      <name val="맑은 고딕"/>
      <color rgb="001F2937"/>
      <sz val="10.5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b val="1"/>
      <color rgb="00111827"/>
      <sz val="15"/>
    </font>
    <font>
      <name val="맑은 고딕"/>
      <b val="1"/>
      <color rgb="001F2937"/>
      <sz val="10.5"/>
    </font>
    <font>
      <name val="맑은 고딕"/>
      <color rgb="001F2937"/>
      <sz val="9.5"/>
    </font>
    <font>
      <name val="맑은 고딕"/>
      <b val="1"/>
      <color rgb="001F2937"/>
      <sz val="9"/>
    </font>
    <font>
      <name val="맑은 고딕"/>
      <color rgb="001F2937"/>
      <sz val="9"/>
    </font>
    <font>
      <name val="맑은 고딕"/>
      <color rgb="001F2937"/>
      <sz val="8.5"/>
    </font>
    <font>
      <name val="맑은 고딕"/>
      <color rgb="00000000"/>
      <sz val="8.5"/>
    </font>
    <font>
      <name val="맑은 고딕"/>
      <b val="1"/>
      <color rgb="001F2937"/>
      <sz val="8.5"/>
    </font>
    <font>
      <name val="맑은 고딕"/>
      <b val="1"/>
      <color rgb="00111827"/>
      <sz val="16"/>
    </font>
    <font>
      <name val="맑은 고딕"/>
      <color rgb="001F2937"/>
      <sz val="6.5"/>
    </font>
    <font>
      <name val="맑은 고딕"/>
      <color rgb="001F2937"/>
      <sz val="7"/>
    </font>
    <font>
      <name val="맑은 고딕"/>
      <b val="1"/>
      <color rgb="001F2937"/>
      <sz val="9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FF1B8"/>
      </patternFill>
    </fill>
    <fill>
      <patternFill patternType="solid">
        <fgColor rgb="00F6F8FB"/>
      </patternFill>
    </fill>
  </fills>
  <borders count="5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  <border>
      <left style="thin">
        <color rgb="005B6573"/>
      </left>
    </border>
    <border>
      <bottom style="thin">
        <color rgb="005B6573"/>
      </bottom>
    </border>
    <border>
      <left style="thin">
        <color rgb="005B6573"/>
      </left>
      <bottom style="thin">
        <color rgb="005B6573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 indent="2"/>
    </xf>
    <xf numFmtId="0" fontId="6" fillId="4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shrinkToFit="1"/>
    </xf>
    <xf numFmtId="166" fontId="7" fillId="0" borderId="1" applyAlignment="1" pivotButton="0" quotePrefix="0" xfId="0">
      <alignment horizontal="center" vertical="center" shrinkToFit="1"/>
    </xf>
    <xf numFmtId="167" fontId="7" fillId="0" borderId="1" applyAlignment="1" pivotButton="0" quotePrefix="0" xfId="0">
      <alignment horizontal="center" vertical="center" shrinkToFit="1"/>
    </xf>
    <xf numFmtId="168" fontId="5" fillId="3" borderId="1" applyAlignment="1" pivotButton="0" quotePrefix="0" xfId="0">
      <alignment horizontal="center" vertical="center" shrinkToFit="1"/>
    </xf>
    <xf numFmtId="0" fontId="1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9" fontId="7" fillId="0" borderId="1" applyAlignment="1" pivotButton="0" quotePrefix="0" xfId="0">
      <alignment horizontal="center" vertical="center" shrinkToFit="1"/>
    </xf>
    <xf numFmtId="0" fontId="6" fillId="6" borderId="1" applyAlignment="1" pivotButton="0" quotePrefix="0" xfId="0">
      <alignment horizontal="center" vertical="center" wrapText="1"/>
    </xf>
    <xf numFmtId="168" fontId="6" fillId="3" borderId="1" applyAlignment="1" pivotButton="0" quotePrefix="0" xfId="0">
      <alignment horizontal="center" vertical="center" shrinkToFi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170" fontId="7" fillId="0" borderId="1" applyAlignment="1" pivotButton="0" quotePrefix="0" xfId="0">
      <alignment horizontal="center" vertical="center" shrinkToFit="1"/>
    </xf>
    <xf numFmtId="167" fontId="5" fillId="3" borderId="1" applyAlignment="1" pivotButton="0" quotePrefix="0" xfId="0">
      <alignment horizontal="center" vertical="center" shrinkToFit="1"/>
    </xf>
    <xf numFmtId="167" fontId="6" fillId="3" borderId="1" applyAlignment="1" pivotButton="0" quotePrefix="0" xfId="0">
      <alignment horizontal="center" vertical="center" shrinkToFit="1"/>
    </xf>
    <xf numFmtId="0" fontId="17" fillId="0" borderId="0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20" fillId="2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 vertical="center" wrapText="1"/>
    </xf>
    <xf numFmtId="171" fontId="7" fillId="5" borderId="1" applyAlignment="1" pivotButton="0" quotePrefix="0" xfId="0">
      <alignment horizontal="center" vertical="center" shrinkToFit="1"/>
    </xf>
    <xf numFmtId="0" fontId="20" fillId="2" borderId="1" applyAlignment="1" pivotButton="0" quotePrefix="0" xfId="0">
      <alignment horizontal="left" vertical="center" wrapText="1"/>
    </xf>
    <xf numFmtId="172" fontId="7" fillId="0" borderId="1" applyAlignment="1" pivotButton="0" quotePrefix="0" xfId="0">
      <alignment horizontal="center" vertical="center" shrinkToFit="1"/>
    </xf>
    <xf numFmtId="0" fontId="23" fillId="0" borderId="1" applyAlignment="1" pivotButton="0" quotePrefix="0" xfId="0">
      <alignment horizontal="center" vertical="center" wrapText="1"/>
    </xf>
    <xf numFmtId="173" fontId="5" fillId="3" borderId="1" applyAlignment="1" pivotButton="0" quotePrefix="0" xfId="0">
      <alignment horizontal="center" vertical="center" shrinkToFit="1"/>
    </xf>
    <xf numFmtId="0" fontId="6" fillId="3" borderId="1" applyAlignment="1" pivotButton="0" quotePrefix="0" xfId="0">
      <alignment horizontal="center" vertical="center" wrapText="1"/>
    </xf>
    <xf numFmtId="174" fontId="7" fillId="5" borderId="1" applyAlignment="1" pivotButton="0" quotePrefix="0" xfId="0">
      <alignment horizontal="center" vertical="center" shrinkToFit="1"/>
    </xf>
    <xf numFmtId="175" fontId="7" fillId="0" borderId="1" applyAlignment="1" pivotButton="0" quotePrefix="0" xfId="0">
      <alignment horizontal="center" vertical="center" shrinkToFit="1"/>
    </xf>
    <xf numFmtId="0" fontId="24" fillId="2" borderId="1" applyAlignment="1" pivotButton="0" quotePrefix="0" xfId="0">
      <alignment horizontal="center" vertical="center" wrapText="1"/>
    </xf>
    <xf numFmtId="176" fontId="7" fillId="0" borderId="1" applyAlignment="1" pivotButton="0" quotePrefix="0" xfId="0">
      <alignment horizontal="center" vertical="center" shrinkToFit="1"/>
    </xf>
    <xf numFmtId="177" fontId="5" fillId="3" borderId="1" applyAlignment="1" pivotButton="0" quotePrefix="0" xfId="0">
      <alignment horizontal="center" vertical="center" shrinkToFit="1"/>
    </xf>
    <xf numFmtId="0" fontId="25" fillId="0" borderId="0" applyAlignment="1" pivotButton="0" quotePrefix="0" xfId="0">
      <alignment horizontal="center" vertical="center" wrapText="1"/>
    </xf>
    <xf numFmtId="178" fontId="7" fillId="5" borderId="1" applyAlignment="1" pivotButton="0" quotePrefix="0" xfId="0">
      <alignment horizontal="center" vertical="center" shrinkToFit="1"/>
    </xf>
    <xf numFmtId="170" fontId="6" fillId="3" borderId="1" applyAlignment="1" pivotButton="0" quotePrefix="0" xfId="0">
      <alignment horizontal="center" vertical="center" shrinkToFit="1"/>
    </xf>
    <xf numFmtId="0" fontId="5" fillId="4" borderId="1" applyAlignment="1" pivotButton="0" quotePrefix="0" xfId="0">
      <alignment horizontal="center" vertical="center" wrapText="1"/>
    </xf>
    <xf numFmtId="179" fontId="26" fillId="4" borderId="1" applyAlignment="1" pivotButton="0" quotePrefix="0" xfId="0">
      <alignment horizontal="center" vertical="center" shrinkToFit="1"/>
    </xf>
    <xf numFmtId="180" fontId="27" fillId="0" borderId="0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181" fontId="16" fillId="0" borderId="1" applyAlignment="1" pivotButton="0" quotePrefix="0" xfId="0">
      <alignment horizontal="center" vertical="center" shrinkToFit="1"/>
    </xf>
    <xf numFmtId="170" fontId="21" fillId="3" borderId="1" applyAlignment="1" pivotButton="0" quotePrefix="0" xfId="0">
      <alignment horizontal="center" vertical="center" shrinkToFit="1"/>
    </xf>
    <xf numFmtId="0" fontId="23" fillId="0" borderId="1" applyAlignment="1" pivotButton="0" quotePrefix="0" xfId="0">
      <alignment horizontal="left" vertical="center" wrapText="1"/>
    </xf>
    <xf numFmtId="0" fontId="28" fillId="2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7">
    <dxf>
      <font>
        <b val="1"/>
      </font>
      <fill>
        <patternFill patternType="solid">
          <fgColor rgb="00FDE2E2"/>
          <bgColor rgb="00FDE2E2"/>
        </patternFill>
      </fill>
    </dxf>
    <dxf>
      <font>
        <b val="1"/>
      </font>
      <fill>
        <patternFill patternType="solid">
          <fgColor rgb="00FFF4CC"/>
          <bgColor rgb="00FFF4CC"/>
        </patternFill>
      </fill>
    </dxf>
    <dxf>
      <font>
        <b val="1"/>
      </font>
      <fill>
        <patternFill patternType="solid">
          <fgColor rgb="00DCFCE7"/>
          <bgColor rgb="00DCFCE7"/>
        </patternFill>
      </fill>
    </dxf>
    <dxf>
      <numFmt numFmtId="300" formatCode="#,##0;;&quot;&quot;"/>
    </dxf>
    <dxf>
      <numFmt numFmtId="301" formatCode="#,##0&quot;mm&quot;;;&quot;&quot;"/>
    </dxf>
    <dxf>
      <numFmt numFmtId="302" formatCode="#,##0&quot;m&quot;;;&quot;&quot;"/>
    </dxf>
    <dxf>
      <fill>
        <patternFill patternType="solid">
          <fgColor rgb="002F5597"/>
          <bgColor rgb="002F559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10" customHeight="1"/>
    <row r="3" ht="56" customHeight="1">
      <c r="A3" s="3" t="inlineStr">
        <is>
          <t>흙 막 이   가 시 설   시 공 계 획 서</t>
        </is>
      </c>
    </row>
    <row r="4" ht="28" customHeight="1">
      <c r="A4" s="4" t="inlineStr">
        <is>
          <t>SHEET-PILE · 무진동 압입 공법</t>
        </is>
      </c>
    </row>
    <row r="5" ht="70" customHeight="1"/>
    <row r="6" ht="30" customHeight="1">
      <c r="A6" s="5" t="inlineStr"/>
      <c r="C6" s="6" t="inlineStr">
        <is>
          <t>공 사 명</t>
        </is>
      </c>
      <c r="D6" s="7" t="n"/>
      <c r="E6" s="8" t="n"/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제 출 일</t>
        </is>
      </c>
      <c r="D7" s="7" t="n"/>
      <c r="E7" s="9" t="n"/>
      <c r="F7" s="7" t="n"/>
      <c r="G7" s="7" t="n"/>
      <c r="H7" s="7" t="n"/>
      <c r="I7" s="7" t="n"/>
      <c r="J7" s="7" t="n"/>
      <c r="K7" s="5" t="inlineStr"/>
    </row>
    <row r="8" ht="200" customHeight="1"/>
    <row r="9" ht="40" customHeight="1">
      <c r="A9" s="10" t="inlineStr">
        <is>
          <t>(회 사 명)</t>
        </is>
      </c>
    </row>
    <row r="11" ht="19.5" customHeight="1">
      <c r="A11" s="11" t="inlineStr">
        <is>
          <t>공사명·공법·회사를 여기 한 번만 적으면 뒤 장(공사개요)에 저절로 들어갑니다.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/>
    <row r="3" ht="50" customHeight="1">
      <c r="A3" s="12" t="inlineStr">
        <is>
          <t>목          차</t>
        </is>
      </c>
    </row>
    <row r="4" ht="24" customHeight="1"/>
    <row r="5" ht="30" customHeight="1">
      <c r="A5" s="5" t="inlineStr"/>
      <c r="C5" s="13" t="inlineStr">
        <is>
          <t>1.</t>
        </is>
      </c>
      <c r="D5" s="13" t="inlineStr">
        <is>
          <t>공 사 개 요</t>
        </is>
      </c>
      <c r="L5" s="5" t="inlineStr"/>
    </row>
    <row r="6" ht="30" customHeight="1">
      <c r="A6" s="5" t="inlineStr"/>
      <c r="C6" s="13" t="inlineStr">
        <is>
          <t>2.</t>
        </is>
      </c>
      <c r="D6" s="13" t="inlineStr">
        <is>
          <t>현장 조직도 및 투입 계획</t>
        </is>
      </c>
      <c r="L6" s="5" t="inlineStr"/>
    </row>
    <row r="7" ht="24" customHeight="1">
      <c r="A7" s="5" t="inlineStr"/>
      <c r="D7" s="14" t="inlineStr">
        <is>
          <t>a. 현장 조직도</t>
        </is>
      </c>
      <c r="L7" s="5" t="inlineStr"/>
    </row>
    <row r="8" ht="24" customHeight="1">
      <c r="A8" s="5" t="inlineStr"/>
      <c r="D8" s="14" t="inlineStr">
        <is>
          <t>b. 장비 및 인원 투입계획</t>
        </is>
      </c>
      <c r="L8" s="5" t="inlineStr"/>
    </row>
    <row r="9" ht="30" customHeight="1">
      <c r="A9" s="5" t="inlineStr"/>
      <c r="C9" s="13" t="inlineStr">
        <is>
          <t>3.</t>
        </is>
      </c>
      <c r="D9" s="13" t="inlineStr">
        <is>
          <t>주요공사 시공계획</t>
        </is>
      </c>
      <c r="L9" s="5" t="inlineStr"/>
    </row>
    <row r="10" ht="24" customHeight="1">
      <c r="A10" s="5" t="inlineStr"/>
      <c r="D10" s="14" t="inlineStr">
        <is>
          <t>a. 작업순서도</t>
        </is>
      </c>
      <c r="L10" s="5" t="inlineStr"/>
    </row>
    <row r="11" ht="24" customHeight="1">
      <c r="A11" s="5" t="inlineStr"/>
      <c r="D11" s="14" t="inlineStr">
        <is>
          <t>b. 토공사 시공계획</t>
        </is>
      </c>
      <c r="L11" s="5" t="inlineStr"/>
    </row>
    <row r="12" ht="24" customHeight="1">
      <c r="A12" s="5" t="inlineStr"/>
      <c r="D12" s="14" t="inlineStr">
        <is>
          <t>c. 천공 및 항타 시공계획</t>
        </is>
      </c>
      <c r="L12" s="5" t="inlineStr"/>
    </row>
    <row r="13" ht="24" customHeight="1">
      <c r="A13" s="5" t="inlineStr"/>
      <c r="D13" s="14" t="inlineStr">
        <is>
          <t>d. 가시설 시공계획</t>
        </is>
      </c>
      <c r="L13" s="5" t="inlineStr"/>
    </row>
    <row r="14" ht="24" customHeight="1">
      <c r="A14" s="5" t="inlineStr"/>
      <c r="D14" s="14" t="inlineStr">
        <is>
          <t>e. 계측 시공계획</t>
        </is>
      </c>
      <c r="L14" s="5" t="inlineStr"/>
    </row>
    <row r="15" ht="24" customHeight="1">
      <c r="A15" s="5" t="inlineStr"/>
      <c r="D15" s="14" t="inlineStr">
        <is>
          <t>f. 매설물 보호 및 복구</t>
        </is>
      </c>
      <c r="L15" s="5" t="inlineStr"/>
    </row>
    <row r="16" ht="30" customHeight="1">
      <c r="A16" s="5" t="inlineStr"/>
      <c r="C16" s="13" t="inlineStr">
        <is>
          <t>4.</t>
        </is>
      </c>
      <c r="D16" s="13" t="inlineStr">
        <is>
          <t>공 정 관 리 계 획</t>
        </is>
      </c>
      <c r="L16" s="5" t="inlineStr"/>
    </row>
    <row r="17" ht="30" customHeight="1">
      <c r="A17" s="5" t="inlineStr"/>
      <c r="C17" s="13" t="inlineStr">
        <is>
          <t>5.</t>
        </is>
      </c>
      <c r="D17" s="13" t="inlineStr">
        <is>
          <t>안전 · 환경관리 계획</t>
        </is>
      </c>
      <c r="L17" s="5" t="inlineStr"/>
    </row>
    <row r="18" ht="30" customHeight="1">
      <c r="A18" s="5" t="inlineStr"/>
      <c r="C18" s="13" t="inlineStr">
        <is>
          <t>6.</t>
        </is>
      </c>
      <c r="D18" s="13" t="inlineStr">
        <is>
          <t>시 공 도 면</t>
        </is>
      </c>
      <c r="L18" s="5" t="inlineStr"/>
    </row>
  </sheetData>
  <mergeCells count="31">
    <mergeCell ref="D10:K10"/>
    <mergeCell ref="A12:C12"/>
    <mergeCell ref="A3:L3"/>
    <mergeCell ref="A6:B6"/>
    <mergeCell ref="A16:B16"/>
    <mergeCell ref="D6:K6"/>
    <mergeCell ref="A8:C8"/>
    <mergeCell ref="D11:K11"/>
    <mergeCell ref="A14:C14"/>
    <mergeCell ref="D13:K13"/>
    <mergeCell ref="A18:B18"/>
    <mergeCell ref="A10:C10"/>
    <mergeCell ref="G1:L1"/>
    <mergeCell ref="D17:K17"/>
    <mergeCell ref="A13:C13"/>
    <mergeCell ref="D7:K7"/>
    <mergeCell ref="D16:K16"/>
    <mergeCell ref="A5:B5"/>
    <mergeCell ref="A17:B17"/>
    <mergeCell ref="A15:C15"/>
    <mergeCell ref="D12:K12"/>
    <mergeCell ref="D18:K18"/>
    <mergeCell ref="D9:K9"/>
    <mergeCell ref="A11:C11"/>
    <mergeCell ref="D8:K8"/>
    <mergeCell ref="D15:K15"/>
    <mergeCell ref="A1:F1"/>
    <mergeCell ref="D14:K14"/>
    <mergeCell ref="D5:K5"/>
    <mergeCell ref="A9:B9"/>
    <mergeCell ref="A7:C7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1.  공 사 개 요</t>
        </is>
      </c>
    </row>
    <row r="4" ht="26" customHeight="1">
      <c r="A4" s="6" t="inlineStr">
        <is>
          <t>1. 공 사 명</t>
        </is>
      </c>
      <c r="B4" s="7" t="n"/>
      <c r="C4" s="7" t="n"/>
      <c r="D4" s="16">
        <f>IF('표지'!E6="","",'표지'!E6)</f>
        <v/>
      </c>
      <c r="E4" s="7" t="n"/>
      <c r="F4" s="7" t="n"/>
      <c r="G4" s="7" t="n"/>
      <c r="H4" s="7" t="n"/>
      <c r="I4" s="7" t="n"/>
      <c r="J4" s="7" t="n"/>
      <c r="K4" s="7" t="n"/>
      <c r="L4" s="7" t="n"/>
    </row>
    <row r="5" ht="26" customHeight="1">
      <c r="A5" s="6" t="inlineStr">
        <is>
          <t>2. 공사 위치</t>
        </is>
      </c>
      <c r="B5" s="7" t="n"/>
      <c r="C5" s="7" t="n"/>
      <c r="D5" s="17" t="n"/>
      <c r="E5" s="7" t="n"/>
      <c r="F5" s="7" t="n"/>
      <c r="G5" s="7" t="n"/>
      <c r="H5" s="7" t="n"/>
      <c r="I5" s="7" t="n"/>
      <c r="J5" s="7" t="n"/>
      <c r="K5" s="7" t="n"/>
      <c r="L5" s="7" t="n"/>
    </row>
    <row r="6" ht="6" customHeight="1"/>
    <row r="7" ht="3" customHeight="1"/>
    <row r="8" ht="21" customHeight="1">
      <c r="A8" s="18" t="inlineStr">
        <is>
          <t>3. 목    적</t>
        </is>
      </c>
    </row>
    <row r="9" ht="34" customHeight="1">
      <c r="A9" s="19">
        <f>"    본 계획서는 "&amp;IF('표지'!E6="","○○ 공사","「"&amp;'표지'!E6&amp;"」")&amp;" 중 토공 및 가시설("&amp;IF('표지'!A4="","흙막이 공법",'표지'!A4)&amp;") 설치에 대하여 다음 세 가지를 목적으로 합니다."</f>
        <v/>
      </c>
    </row>
    <row r="10" ht="20.5" customHeight="1">
      <c r="A10" s="20" t="inlineStr">
        <is>
          <t>1)</t>
        </is>
      </c>
      <c r="B10" s="21" t="inlineStr">
        <is>
          <t>지반 굴착으로 인한 인접 구조물과 지하매설물의 피해를 막고 안전을 확보합니다.</t>
        </is>
      </c>
    </row>
    <row r="11" ht="20.5" customHeight="1">
      <c r="A11" s="20" t="inlineStr">
        <is>
          <t>2)</t>
        </is>
      </c>
      <c r="B11" s="21" t="inlineStr">
        <is>
          <t>구조물 시공을 위한 흙막이 구조물의 안전성을 유지합니다.</t>
        </is>
      </c>
    </row>
    <row r="12" ht="20.5" customHeight="1">
      <c r="A12" s="20" t="inlineStr">
        <is>
          <t>3)</t>
        </is>
      </c>
      <c r="B12" s="21" t="inlineStr">
        <is>
          <t>공사 기간 중 일반 차량과 보행자 통행에 주는 불편을 최소화합니다.</t>
        </is>
      </c>
    </row>
    <row r="13" ht="52.5" customHeight="1">
      <c r="A13" s="22" t="inlineStr">
        <is>
          <t>이를 위해 작업 준비 · 시공 기준 · 시공 절차 · 검사 및 시험 절차 등 품질 확인 기록의 처리 절차를 적어, 체계적이고 빈틈없는 시공으로 필요한 품질을 확보하고 합리적으로 시공하고자 합니다.</t>
        </is>
      </c>
    </row>
    <row r="14" ht="6" customHeight="1"/>
    <row r="15" ht="3" customHeight="1"/>
    <row r="16" ht="21" customHeight="1">
      <c r="A16" s="18" t="inlineStr">
        <is>
          <t>4. 주요 자재 및 수량</t>
        </is>
      </c>
    </row>
    <row r="17" ht="34" customHeight="1">
      <c r="A17" s="23" t="inlineStr">
        <is>
          <t>공 종</t>
        </is>
      </c>
      <c r="B17" s="23" t="inlineStr">
        <is>
          <t>품  명</t>
        </is>
      </c>
      <c r="C17" s="7" t="n"/>
      <c r="D17" s="23" t="inlineStr">
        <is>
          <t>규  격</t>
        </is>
      </c>
      <c r="E17" s="7" t="n"/>
      <c r="F17" s="23" t="inlineStr">
        <is>
          <t>단위중량
(kg/m)</t>
        </is>
      </c>
      <c r="G17" s="23" t="inlineStr">
        <is>
          <t>1본 길이
(m)</t>
        </is>
      </c>
      <c r="H17" s="23" t="inlineStr">
        <is>
          <t>본 수</t>
        </is>
      </c>
      <c r="I17" s="23" t="inlineStr">
        <is>
          <t>수  량</t>
        </is>
      </c>
      <c r="J17" s="7" t="n"/>
      <c r="K17" s="23" t="inlineStr">
        <is>
          <t>비  고</t>
        </is>
      </c>
      <c r="L17" s="7" t="n"/>
    </row>
    <row r="18" ht="26" customHeight="1">
      <c r="A18" s="6" t="inlineStr">
        <is>
          <t>가시설
흙막이</t>
        </is>
      </c>
      <c r="B18" s="8" t="inlineStr">
        <is>
          <t>SHEET-PILE</t>
        </is>
      </c>
      <c r="C18" s="7" t="n"/>
      <c r="D18" s="24" t="n"/>
      <c r="E18" s="7" t="n"/>
      <c r="F18" s="25" t="n"/>
      <c r="G18" s="26" t="n"/>
      <c r="H18" s="27" t="n"/>
      <c r="I18" s="28">
        <f>IF(OR(N(F18)=0,N(G18)=0,N(H18)=0),"",ROUND(F18*G18*H18/1000,2))</f>
        <v/>
      </c>
      <c r="J18" s="7" t="n"/>
      <c r="K18" s="29" t="n"/>
      <c r="L18" s="7" t="n"/>
    </row>
    <row r="19" ht="26" customHeight="1">
      <c r="A19" s="7" t="n"/>
      <c r="B19" s="8" t="inlineStr">
        <is>
          <t>H형강</t>
        </is>
      </c>
      <c r="C19" s="7" t="n"/>
      <c r="D19" s="24" t="n"/>
      <c r="E19" s="7" t="n"/>
      <c r="F19" s="25" t="n"/>
      <c r="G19" s="26" t="n"/>
      <c r="H19" s="27" t="n"/>
      <c r="I19" s="28">
        <f>IF(OR(N(F19)=0,N(G19)=0,N(H19)=0),"",ROUND(F19*G19*H19/1000,2))</f>
        <v/>
      </c>
      <c r="J19" s="7" t="n"/>
      <c r="K19" s="29" t="n"/>
      <c r="L19" s="7" t="n"/>
    </row>
    <row r="20" ht="26" customHeight="1">
      <c r="A20" s="7" t="n"/>
      <c r="B20" s="8" t="n"/>
      <c r="C20" s="7" t="n"/>
      <c r="D20" s="24" t="n"/>
      <c r="E20" s="7" t="n"/>
      <c r="F20" s="25" t="n"/>
      <c r="G20" s="26" t="n"/>
      <c r="H20" s="27" t="n"/>
      <c r="I20" s="28">
        <f>IF(OR(N(F20)=0,N(G20)=0,N(H20)=0),"",ROUND(F20*G20*H20/1000,2))</f>
        <v/>
      </c>
      <c r="J20" s="7" t="n"/>
      <c r="K20" s="29" t="n"/>
      <c r="L20" s="7" t="n"/>
    </row>
    <row r="21" ht="26" customHeight="1">
      <c r="A21" s="7" t="n"/>
      <c r="B21" s="8" t="n"/>
      <c r="C21" s="7" t="n"/>
      <c r="D21" s="24" t="n"/>
      <c r="E21" s="7" t="n"/>
      <c r="F21" s="25" t="n"/>
      <c r="G21" s="26" t="n"/>
      <c r="H21" s="27" t="n"/>
      <c r="I21" s="28">
        <f>IF(OR(N(F21)=0,N(G21)=0,N(H21)=0),"",ROUND(F21*G21*H21/1000,2))</f>
        <v/>
      </c>
      <c r="J21" s="7" t="n"/>
      <c r="K21" s="29" t="n"/>
      <c r="L21" s="7" t="n"/>
    </row>
    <row r="22" ht="26" customHeight="1">
      <c r="A22" s="7" t="n"/>
      <c r="B22" s="30" t="inlineStr">
        <is>
          <t>JACK 설치 및 철거</t>
        </is>
      </c>
      <c r="C22" s="7" t="n"/>
      <c r="D22" s="8" t="inlineStr">
        <is>
          <t>T = 100 ton</t>
        </is>
      </c>
      <c r="E22" s="7" t="n"/>
      <c r="F22" s="31" t="inlineStr"/>
      <c r="G22" s="7" t="n"/>
      <c r="H22" s="7" t="n"/>
      <c r="I22" s="32" t="n"/>
      <c r="J22" s="7" t="n"/>
      <c r="K22" s="29" t="n"/>
      <c r="L22" s="7" t="n"/>
    </row>
    <row r="23" ht="26" customHeight="1">
      <c r="A23" s="33" t="inlineStr">
        <is>
          <t>강재 합계</t>
        </is>
      </c>
      <c r="B23" s="7" t="n"/>
      <c r="C23" s="7" t="n"/>
      <c r="D23" s="7" t="n"/>
      <c r="E23" s="7" t="n"/>
      <c r="F23" s="7" t="n"/>
      <c r="G23" s="7" t="n"/>
      <c r="H23" s="7" t="n"/>
      <c r="I23" s="34">
        <f>IF(SUM(I18:I21)=0,"",SUM(I18:I21))</f>
        <v/>
      </c>
      <c r="J23" s="7" t="n"/>
      <c r="K23" s="33" t="inlineStr"/>
      <c r="L23" s="7" t="n"/>
    </row>
    <row r="24" ht="28" customHeight="1">
      <c r="A24" s="11" t="inlineStr">
        <is>
          <t>※ 수량(TON) = 단위중량 × 1본 길이 × 본수 ÷ 1000 (소수 둘째 자리 반올림). 단위중량(노란 칸)은 제조사 규격표(KS F 4604 · KS D 3502) 값을 적습니다.</t>
        </is>
      </c>
    </row>
    <row r="26" ht="19.5" customHeight="1">
      <c r="A26" s="11" t="inlineStr">
        <is>
          <t>하늘색 칸 = 자동(공사명 · 목적 글 · 수량 TON · 강재 합계).</t>
        </is>
      </c>
    </row>
  </sheetData>
  <mergeCells count="45">
    <mergeCell ref="D20:E20"/>
    <mergeCell ref="A16:L16"/>
    <mergeCell ref="A18:A22"/>
    <mergeCell ref="D19:E19"/>
    <mergeCell ref="B22:C22"/>
    <mergeCell ref="D22:E22"/>
    <mergeCell ref="B18:C18"/>
    <mergeCell ref="A3:L3"/>
    <mergeCell ref="D21:E21"/>
    <mergeCell ref="K21:L21"/>
    <mergeCell ref="A26:L26"/>
    <mergeCell ref="B21:C21"/>
    <mergeCell ref="B12:L12"/>
    <mergeCell ref="K20:L20"/>
    <mergeCell ref="F22:H22"/>
    <mergeCell ref="A5:C5"/>
    <mergeCell ref="B11:L11"/>
    <mergeCell ref="D4:L4"/>
    <mergeCell ref="A8:L8"/>
    <mergeCell ref="I22:J22"/>
    <mergeCell ref="B17:C17"/>
    <mergeCell ref="A4:C4"/>
    <mergeCell ref="D17:E17"/>
    <mergeCell ref="K22:L22"/>
    <mergeCell ref="I18:J18"/>
    <mergeCell ref="I21:J21"/>
    <mergeCell ref="G1:L1"/>
    <mergeCell ref="D5:L5"/>
    <mergeCell ref="B19:C19"/>
    <mergeCell ref="A13:L13"/>
    <mergeCell ref="B10:L10"/>
    <mergeCell ref="I23:J23"/>
    <mergeCell ref="A9:L9"/>
    <mergeCell ref="D18:E18"/>
    <mergeCell ref="A23:H23"/>
    <mergeCell ref="K23:L23"/>
    <mergeCell ref="I17:J17"/>
    <mergeCell ref="K17:L17"/>
    <mergeCell ref="A24:L24"/>
    <mergeCell ref="I20:J20"/>
    <mergeCell ref="A1:F1"/>
    <mergeCell ref="B20:C20"/>
    <mergeCell ref="I19:J19"/>
    <mergeCell ref="K19:L19"/>
    <mergeCell ref="K18:L18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28" customHeight="1">
      <c r="A2" s="15" t="inlineStr">
        <is>
          <t>2.  현장 조직도 및 투입 계획</t>
        </is>
      </c>
    </row>
    <row r="3" ht="22" customHeight="1">
      <c r="A3" s="18" t="inlineStr">
        <is>
          <t>a. 현장 조직도</t>
        </is>
      </c>
    </row>
    <row r="4" ht="14" customHeight="1"/>
    <row r="5" ht="22" customHeight="1">
      <c r="F5" s="6" t="inlineStr">
        <is>
          <t>현장대리인</t>
        </is>
      </c>
      <c r="G5" s="7" t="n"/>
    </row>
    <row r="6" ht="26" customHeight="1">
      <c r="F6" s="8" t="n"/>
      <c r="G6" s="7" t="n"/>
    </row>
    <row r="7" ht="14" customHeight="1">
      <c r="G7" s="35" t="n"/>
    </row>
    <row r="8" ht="22" customHeight="1">
      <c r="G8" s="36" t="n"/>
      <c r="H8" s="37" t="n"/>
      <c r="I8" s="6" t="inlineStr">
        <is>
          <t>안전관리자</t>
        </is>
      </c>
      <c r="J8" s="7" t="n"/>
    </row>
    <row r="9" ht="26" customHeight="1">
      <c r="G9" s="35" t="n"/>
      <c r="I9" s="8" t="n"/>
      <c r="J9" s="7" t="n"/>
    </row>
    <row r="10" ht="14" customHeight="1">
      <c r="G10" s="35" t="n"/>
    </row>
    <row r="11" ht="12" customHeight="1">
      <c r="C11" s="37" t="n"/>
      <c r="D11" s="37" t="n"/>
      <c r="E11" s="37" t="n"/>
      <c r="F11" s="37" t="n"/>
      <c r="G11" s="36" t="n"/>
      <c r="H11" s="37" t="n"/>
      <c r="I11" s="37" t="n"/>
      <c r="J11" s="37" t="n"/>
    </row>
    <row r="12" ht="12" customHeight="1">
      <c r="C12" s="35" t="n"/>
      <c r="G12" s="35" t="n"/>
      <c r="K12" s="35" t="n"/>
    </row>
    <row r="13" ht="22" customHeight="1">
      <c r="B13" s="6" t="inlineStr">
        <is>
          <t>공무</t>
        </is>
      </c>
      <c r="C13" s="7" t="n"/>
      <c r="F13" s="6" t="inlineStr">
        <is>
          <t>공사</t>
        </is>
      </c>
      <c r="G13" s="7" t="n"/>
      <c r="J13" s="6" t="inlineStr">
        <is>
          <t>품질</t>
        </is>
      </c>
      <c r="K13" s="7" t="n"/>
    </row>
    <row r="14" ht="26" customHeight="1">
      <c r="B14" s="8" t="n"/>
      <c r="C14" s="7" t="n"/>
      <c r="F14" s="8" t="n"/>
      <c r="G14" s="7" t="n"/>
      <c r="J14" s="8" t="n"/>
      <c r="K14" s="7" t="n"/>
    </row>
    <row r="15" ht="18" customHeight="1">
      <c r="G15" s="35" t="n"/>
    </row>
    <row r="16" ht="22" customHeight="1">
      <c r="E16" s="6" t="inlineStr">
        <is>
          <t>현장소장 (협력업체)</t>
        </is>
      </c>
      <c r="F16" s="7" t="n"/>
      <c r="G16" s="7" t="n"/>
      <c r="H16" s="7" t="n"/>
    </row>
    <row r="17" ht="26" customHeight="1">
      <c r="E17" s="8" t="n"/>
      <c r="F17" s="7" t="n"/>
      <c r="G17" s="7" t="n"/>
      <c r="H17" s="7" t="n"/>
    </row>
    <row r="18" ht="14" customHeight="1">
      <c r="G18" s="35" t="n"/>
    </row>
    <row r="19" ht="12" customHeight="1">
      <c r="C19" s="37" t="n"/>
      <c r="D19" s="37" t="n"/>
      <c r="E19" s="37" t="n"/>
      <c r="F19" s="37" t="n"/>
      <c r="G19" s="36" t="n"/>
      <c r="H19" s="37" t="n"/>
      <c r="I19" s="37" t="n"/>
      <c r="J19" s="37" t="n"/>
    </row>
    <row r="20" ht="12" customHeight="1">
      <c r="C20" s="35" t="n"/>
      <c r="G20" s="35" t="n"/>
      <c r="K20" s="35" t="n"/>
    </row>
    <row r="21" ht="22" customHeight="1">
      <c r="B21" s="6" t="inlineStr">
        <is>
          <t>토공사</t>
        </is>
      </c>
      <c r="C21" s="7" t="n"/>
      <c r="F21" s="6" t="inlineStr">
        <is>
          <t>가시설팀</t>
        </is>
      </c>
      <c r="G21" s="7" t="n"/>
      <c r="J21" s="6" t="inlineStr">
        <is>
          <t>장비</t>
        </is>
      </c>
      <c r="K21" s="7" t="n"/>
    </row>
    <row r="22" ht="26" customHeight="1">
      <c r="B22" s="8" t="n"/>
      <c r="C22" s="7" t="n"/>
      <c r="F22" s="8" t="n"/>
      <c r="G22" s="7" t="n"/>
      <c r="J22" s="8" t="n"/>
      <c r="K22" s="7" t="n"/>
    </row>
    <row r="23" ht="14" customHeight="1"/>
    <row r="24" ht="16" customHeight="1">
      <c r="A24" s="11" t="inlineStr">
        <is>
          <t>※ 칸마다 성명(협력업체는 상호 · 소장 성명)을 적습니다. 안전관리자는 현장대리인 직속으로 둡니다.</t>
        </is>
      </c>
    </row>
  </sheetData>
  <mergeCells count="23">
    <mergeCell ref="J14:K14"/>
    <mergeCell ref="E16:H16"/>
    <mergeCell ref="B22:C22"/>
    <mergeCell ref="F6:G6"/>
    <mergeCell ref="J13:K13"/>
    <mergeCell ref="A3:L3"/>
    <mergeCell ref="F21:G21"/>
    <mergeCell ref="A2:L2"/>
    <mergeCell ref="B21:C21"/>
    <mergeCell ref="F5:G5"/>
    <mergeCell ref="B14:C14"/>
    <mergeCell ref="B13:C13"/>
    <mergeCell ref="G1:L1"/>
    <mergeCell ref="E17:H17"/>
    <mergeCell ref="F22:G22"/>
    <mergeCell ref="F13:G13"/>
    <mergeCell ref="I8:J8"/>
    <mergeCell ref="J22:K22"/>
    <mergeCell ref="A24:L24"/>
    <mergeCell ref="J21:K21"/>
    <mergeCell ref="A1:F1"/>
    <mergeCell ref="F14:G14"/>
    <mergeCell ref="I9:J9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28" customHeight="1">
      <c r="A2" s="15" t="inlineStr">
        <is>
          <t>b. 장비 및 인원 투입계획서</t>
        </is>
      </c>
    </row>
    <row r="3" ht="3" customHeight="1"/>
    <row r="4" ht="21" customHeight="1">
      <c r="A4" s="18" t="inlineStr">
        <is>
          <t>가. 장비 투입계획</t>
        </is>
      </c>
    </row>
    <row r="5" ht="32" customHeight="1">
      <c r="A5" s="23" t="inlineStr">
        <is>
          <t>장 비 명</t>
        </is>
      </c>
      <c r="B5" s="7" t="n"/>
      <c r="C5" s="7" t="n"/>
      <c r="D5" s="23" t="inlineStr">
        <is>
          <t>규  격</t>
        </is>
      </c>
      <c r="E5" s="7" t="n"/>
      <c r="F5" s="23" t="inlineStr">
        <is>
          <t>1일
수량(대)</t>
        </is>
      </c>
      <c r="G5" s="23" t="inlineStr">
        <is>
          <t>투입일수</t>
        </is>
      </c>
      <c r="H5" s="7" t="n"/>
      <c r="I5" s="23" t="inlineStr">
        <is>
          <t>누  계
(대·일)</t>
        </is>
      </c>
      <c r="J5" s="7" t="n"/>
      <c r="K5" s="23" t="inlineStr">
        <is>
          <t>비  고</t>
        </is>
      </c>
      <c r="L5" s="7" t="n"/>
    </row>
    <row r="6" ht="24" customHeight="1">
      <c r="A6" s="8" t="inlineStr">
        <is>
          <t>천공 전용기</t>
        </is>
      </c>
      <c r="B6" s="7" t="n"/>
      <c r="C6" s="7" t="n"/>
      <c r="D6" s="8" t="inlineStr">
        <is>
          <t>DH608 급</t>
        </is>
      </c>
      <c r="E6" s="7" t="n"/>
      <c r="F6" s="27" t="n"/>
      <c r="G6" s="38" t="n"/>
      <c r="H6" s="7" t="n"/>
      <c r="I6" s="39">
        <f>IF(OR(N(F6)=0,N(G6)=0),"",F6*G6)</f>
        <v/>
      </c>
      <c r="J6" s="7" t="n"/>
      <c r="K6" s="29" t="n"/>
      <c r="L6" s="7" t="n"/>
    </row>
    <row r="7" ht="24" customHeight="1">
      <c r="A7" s="8" t="inlineStr">
        <is>
          <t>카고 크레인</t>
        </is>
      </c>
      <c r="B7" s="7" t="n"/>
      <c r="C7" s="7" t="n"/>
      <c r="D7" s="8" t="inlineStr">
        <is>
          <t>11톤</t>
        </is>
      </c>
      <c r="E7" s="7" t="n"/>
      <c r="F7" s="27" t="n"/>
      <c r="G7" s="38" t="n"/>
      <c r="H7" s="7" t="n"/>
      <c r="I7" s="39">
        <f>IF(OR(N(F7)=0,N(G7)=0),"",F7*G7)</f>
        <v/>
      </c>
      <c r="J7" s="7" t="n"/>
      <c r="K7" s="29" t="n"/>
      <c r="L7" s="7" t="n"/>
    </row>
    <row r="8" ht="24" customHeight="1">
      <c r="A8" s="8" t="inlineStr">
        <is>
          <t>무진동 압입기</t>
        </is>
      </c>
      <c r="B8" s="7" t="n"/>
      <c r="C8" s="7" t="n"/>
      <c r="D8" s="8" t="inlineStr">
        <is>
          <t>150톤</t>
        </is>
      </c>
      <c r="E8" s="7" t="n"/>
      <c r="F8" s="27" t="n"/>
      <c r="G8" s="38" t="n"/>
      <c r="H8" s="7" t="n"/>
      <c r="I8" s="39">
        <f>IF(OR(N(F8)=0,N(G8)=0),"",F8*G8)</f>
        <v/>
      </c>
      <c r="J8" s="7" t="n"/>
      <c r="K8" s="29" t="n"/>
      <c r="L8" s="7" t="n"/>
    </row>
    <row r="9" ht="24" customHeight="1">
      <c r="A9" s="8" t="inlineStr">
        <is>
          <t>백호(B/H)</t>
        </is>
      </c>
      <c r="B9" s="7" t="n"/>
      <c r="C9" s="7" t="n"/>
      <c r="D9" s="8" t="inlineStr">
        <is>
          <t>1.0㎥</t>
        </is>
      </c>
      <c r="E9" s="7" t="n"/>
      <c r="F9" s="27" t="n"/>
      <c r="G9" s="38" t="n"/>
      <c r="H9" s="7" t="n"/>
      <c r="I9" s="39">
        <f>IF(OR(N(F9)=0,N(G9)=0),"",F9*G9)</f>
        <v/>
      </c>
      <c r="J9" s="7" t="n"/>
      <c r="K9" s="29" t="n"/>
      <c r="L9" s="7" t="n"/>
    </row>
    <row r="10" ht="24" customHeight="1">
      <c r="A10" s="8" t="inlineStr">
        <is>
          <t>백호(B/H)</t>
        </is>
      </c>
      <c r="B10" s="7" t="n"/>
      <c r="C10" s="7" t="n"/>
      <c r="D10" s="8" t="inlineStr">
        <is>
          <t>0.6㎥</t>
        </is>
      </c>
      <c r="E10" s="7" t="n"/>
      <c r="F10" s="27" t="n"/>
      <c r="G10" s="38" t="n"/>
      <c r="H10" s="7" t="n"/>
      <c r="I10" s="39">
        <f>IF(OR(N(F10)=0,N(G10)=0),"",F10*G10)</f>
        <v/>
      </c>
      <c r="J10" s="7" t="n"/>
      <c r="K10" s="29" t="n"/>
      <c r="L10" s="7" t="n"/>
    </row>
    <row r="11" ht="24" customHeight="1">
      <c r="A11" s="8" t="inlineStr">
        <is>
          <t>덤프트럭(D/T)</t>
        </is>
      </c>
      <c r="B11" s="7" t="n"/>
      <c r="C11" s="7" t="n"/>
      <c r="D11" s="8" t="inlineStr">
        <is>
          <t>15 ~ 25톤</t>
        </is>
      </c>
      <c r="E11" s="7" t="n"/>
      <c r="F11" s="27" t="n"/>
      <c r="G11" s="38" t="n"/>
      <c r="H11" s="7" t="n"/>
      <c r="I11" s="39">
        <f>IF(OR(N(F11)=0,N(G11)=0),"",F11*G11)</f>
        <v/>
      </c>
      <c r="J11" s="7" t="n"/>
      <c r="K11" s="29" t="n"/>
      <c r="L11" s="7" t="n"/>
    </row>
    <row r="12" ht="24" customHeight="1">
      <c r="A12" s="8" t="n"/>
      <c r="B12" s="7" t="n"/>
      <c r="C12" s="7" t="n"/>
      <c r="D12" s="8" t="n"/>
      <c r="E12" s="7" t="n"/>
      <c r="F12" s="27" t="n"/>
      <c r="G12" s="38" t="n"/>
      <c r="H12" s="7" t="n"/>
      <c r="I12" s="39">
        <f>IF(OR(N(F12)=0,N(G12)=0),"",F12*G12)</f>
        <v/>
      </c>
      <c r="J12" s="7" t="n"/>
      <c r="K12" s="29" t="n"/>
      <c r="L12" s="7" t="n"/>
    </row>
    <row r="13" ht="24" customHeight="1">
      <c r="A13" s="8" t="n"/>
      <c r="B13" s="7" t="n"/>
      <c r="C13" s="7" t="n"/>
      <c r="D13" s="8" t="n"/>
      <c r="E13" s="7" t="n"/>
      <c r="F13" s="27" t="n"/>
      <c r="G13" s="38" t="n"/>
      <c r="H13" s="7" t="n"/>
      <c r="I13" s="39">
        <f>IF(OR(N(F13)=0,N(G13)=0),"",F13*G13)</f>
        <v/>
      </c>
      <c r="J13" s="7" t="n"/>
      <c r="K13" s="29" t="n"/>
      <c r="L13" s="7" t="n"/>
    </row>
    <row r="14" ht="24" customHeight="1">
      <c r="A14" s="33" t="inlineStr">
        <is>
          <t>계</t>
        </is>
      </c>
      <c r="B14" s="7" t="n"/>
      <c r="C14" s="7" t="n"/>
      <c r="D14" s="7" t="n"/>
      <c r="E14" s="7" t="n"/>
      <c r="F14" s="7" t="n"/>
      <c r="G14" s="7" t="n"/>
      <c r="H14" s="7" t="n"/>
      <c r="I14" s="40">
        <f>IF(SUM(I6:I13)=0,"",SUM(I6:I13))</f>
        <v/>
      </c>
      <c r="J14" s="7" t="n"/>
      <c r="K14" s="33" t="inlineStr"/>
      <c r="L14" s="7" t="n"/>
    </row>
    <row r="15" ht="10" customHeight="1"/>
    <row r="16" ht="3" customHeight="1"/>
    <row r="17" ht="21" customHeight="1">
      <c r="A17" s="18" t="inlineStr">
        <is>
          <t>나. 인원 투입계획</t>
        </is>
      </c>
    </row>
    <row r="18" ht="32" customHeight="1">
      <c r="A18" s="23" t="inlineStr">
        <is>
          <t>직  종</t>
        </is>
      </c>
      <c r="B18" s="7" t="n"/>
      <c r="C18" s="7" t="n"/>
      <c r="D18" s="23" t="inlineStr">
        <is>
          <t>단위</t>
        </is>
      </c>
      <c r="E18" s="23" t="inlineStr">
        <is>
          <t>1일 인원</t>
        </is>
      </c>
      <c r="F18" s="7" t="n"/>
      <c r="G18" s="23" t="inlineStr">
        <is>
          <t>투입일수</t>
        </is>
      </c>
      <c r="H18" s="7" t="n"/>
      <c r="I18" s="23" t="inlineStr">
        <is>
          <t>누  계
(인·일)</t>
        </is>
      </c>
      <c r="J18" s="7" t="n"/>
      <c r="K18" s="23" t="inlineStr">
        <is>
          <t>비  고</t>
        </is>
      </c>
      <c r="L18" s="7" t="n"/>
    </row>
    <row r="19" ht="24" customHeight="1">
      <c r="A19" s="8" t="inlineStr">
        <is>
          <t>현장관리</t>
        </is>
      </c>
      <c r="B19" s="7" t="n"/>
      <c r="C19" s="7" t="n"/>
      <c r="D19" s="30" t="inlineStr">
        <is>
          <t>명</t>
        </is>
      </c>
      <c r="E19" s="27" t="n"/>
      <c r="F19" s="7" t="n"/>
      <c r="G19" s="38" t="n"/>
      <c r="H19" s="7" t="n"/>
      <c r="I19" s="39">
        <f>IF(OR(N(E19)=0,N(G19)=0),"",E19*G19)</f>
        <v/>
      </c>
      <c r="J19" s="7" t="n"/>
      <c r="K19" s="29" t="n"/>
      <c r="L19" s="7" t="n"/>
    </row>
    <row r="20" ht="24" customHeight="1">
      <c r="A20" s="8" t="inlineStr">
        <is>
          <t>작업반장</t>
        </is>
      </c>
      <c r="B20" s="7" t="n"/>
      <c r="C20" s="7" t="n"/>
      <c r="D20" s="30" t="inlineStr">
        <is>
          <t>명</t>
        </is>
      </c>
      <c r="E20" s="27" t="n"/>
      <c r="F20" s="7" t="n"/>
      <c r="G20" s="38" t="n"/>
      <c r="H20" s="7" t="n"/>
      <c r="I20" s="39">
        <f>IF(OR(N(E20)=0,N(G20)=0),"",E20*G20)</f>
        <v/>
      </c>
      <c r="J20" s="7" t="n"/>
      <c r="K20" s="29" t="n"/>
      <c r="L20" s="7" t="n"/>
    </row>
    <row r="21" ht="24" customHeight="1">
      <c r="A21" s="8" t="inlineStr">
        <is>
          <t>특별인부(용접공)</t>
        </is>
      </c>
      <c r="B21" s="7" t="n"/>
      <c r="C21" s="7" t="n"/>
      <c r="D21" s="30" t="inlineStr">
        <is>
          <t>명</t>
        </is>
      </c>
      <c r="E21" s="27" t="n"/>
      <c r="F21" s="7" t="n"/>
      <c r="G21" s="38" t="n"/>
      <c r="H21" s="7" t="n"/>
      <c r="I21" s="39">
        <f>IF(OR(N(E21)=0,N(G21)=0),"",E21*G21)</f>
        <v/>
      </c>
      <c r="J21" s="7" t="n"/>
      <c r="K21" s="29" t="n"/>
      <c r="L21" s="7" t="n"/>
    </row>
    <row r="22" ht="24" customHeight="1">
      <c r="A22" s="8" t="inlineStr">
        <is>
          <t>특별인부(가시설공)</t>
        </is>
      </c>
      <c r="B22" s="7" t="n"/>
      <c r="C22" s="7" t="n"/>
      <c r="D22" s="30" t="inlineStr">
        <is>
          <t>명</t>
        </is>
      </c>
      <c r="E22" s="27" t="n"/>
      <c r="F22" s="7" t="n"/>
      <c r="G22" s="38" t="n"/>
      <c r="H22" s="7" t="n"/>
      <c r="I22" s="39">
        <f>IF(OR(N(E22)=0,N(G22)=0),"",E22*G22)</f>
        <v/>
      </c>
      <c r="J22" s="7" t="n"/>
      <c r="K22" s="29" t="n"/>
      <c r="L22" s="7" t="n"/>
    </row>
    <row r="23" ht="24" customHeight="1">
      <c r="A23" s="8" t="inlineStr">
        <is>
          <t>보통인부</t>
        </is>
      </c>
      <c r="B23" s="7" t="n"/>
      <c r="C23" s="7" t="n"/>
      <c r="D23" s="30" t="inlineStr">
        <is>
          <t>명</t>
        </is>
      </c>
      <c r="E23" s="27" t="n"/>
      <c r="F23" s="7" t="n"/>
      <c r="G23" s="38" t="n"/>
      <c r="H23" s="7" t="n"/>
      <c r="I23" s="39">
        <f>IF(OR(N(E23)=0,N(G23)=0),"",E23*G23)</f>
        <v/>
      </c>
      <c r="J23" s="7" t="n"/>
      <c r="K23" s="29" t="n"/>
      <c r="L23" s="7" t="n"/>
    </row>
    <row r="24" ht="24" customHeight="1">
      <c r="A24" s="8" t="inlineStr">
        <is>
          <t>신호수</t>
        </is>
      </c>
      <c r="B24" s="7" t="n"/>
      <c r="C24" s="7" t="n"/>
      <c r="D24" s="30" t="inlineStr">
        <is>
          <t>명</t>
        </is>
      </c>
      <c r="E24" s="27" t="n"/>
      <c r="F24" s="7" t="n"/>
      <c r="G24" s="38" t="n"/>
      <c r="H24" s="7" t="n"/>
      <c r="I24" s="39">
        <f>IF(OR(N(E24)=0,N(G24)=0),"",E24*G24)</f>
        <v/>
      </c>
      <c r="J24" s="7" t="n"/>
      <c r="K24" s="29" t="n"/>
      <c r="L24" s="7" t="n"/>
    </row>
    <row r="25" ht="24" customHeight="1">
      <c r="A25" s="8" t="n"/>
      <c r="B25" s="7" t="n"/>
      <c r="C25" s="7" t="n"/>
      <c r="D25" s="30" t="inlineStr">
        <is>
          <t>명</t>
        </is>
      </c>
      <c r="E25" s="27" t="n"/>
      <c r="F25" s="7" t="n"/>
      <c r="G25" s="38" t="n"/>
      <c r="H25" s="7" t="n"/>
      <c r="I25" s="39">
        <f>IF(OR(N(E25)=0,N(G25)=0),"",E25*G25)</f>
        <v/>
      </c>
      <c r="J25" s="7" t="n"/>
      <c r="K25" s="29" t="n"/>
      <c r="L25" s="7" t="n"/>
    </row>
    <row r="26" ht="24" customHeight="1">
      <c r="A26" s="8" t="n"/>
      <c r="B26" s="7" t="n"/>
      <c r="C26" s="7" t="n"/>
      <c r="D26" s="30" t="inlineStr">
        <is>
          <t>명</t>
        </is>
      </c>
      <c r="E26" s="27" t="n"/>
      <c r="F26" s="7" t="n"/>
      <c r="G26" s="38" t="n"/>
      <c r="H26" s="7" t="n"/>
      <c r="I26" s="39">
        <f>IF(OR(N(E26)=0,N(G26)=0),"",E26*G26)</f>
        <v/>
      </c>
      <c r="J26" s="7" t="n"/>
      <c r="K26" s="29" t="n"/>
      <c r="L26" s="7" t="n"/>
    </row>
    <row r="27" ht="24" customHeight="1">
      <c r="A27" s="33" t="inlineStr">
        <is>
          <t>계</t>
        </is>
      </c>
      <c r="B27" s="7" t="n"/>
      <c r="C27" s="7" t="n"/>
      <c r="D27" s="7" t="n"/>
      <c r="E27" s="7" t="n"/>
      <c r="F27" s="7" t="n"/>
      <c r="G27" s="7" t="n"/>
      <c r="H27" s="7" t="n"/>
      <c r="I27" s="40">
        <f>IF(SUM(I19:I26)=0,"",SUM(I19:I26))</f>
        <v/>
      </c>
      <c r="J27" s="7" t="n"/>
      <c r="K27" s="33" t="inlineStr"/>
      <c r="L27" s="7" t="n"/>
    </row>
    <row r="28" ht="16" customHeight="1">
      <c r="A28" s="11" t="inlineStr">
        <is>
          <t>※ 누계 = 1일 투입 × 투입일수. 장비·인원은 현장 여건과 공정에 따라 바뀔 수 있습니다.</t>
        </is>
      </c>
    </row>
  </sheetData>
  <mergeCells count="102">
    <mergeCell ref="G21:H21"/>
    <mergeCell ref="K24:L24"/>
    <mergeCell ref="E23:F23"/>
    <mergeCell ref="A21:C21"/>
    <mergeCell ref="G23:H23"/>
    <mergeCell ref="A26:C26"/>
    <mergeCell ref="I26:J26"/>
    <mergeCell ref="K26:L26"/>
    <mergeCell ref="D6:E6"/>
    <mergeCell ref="A23:C23"/>
    <mergeCell ref="D13:E13"/>
    <mergeCell ref="I25:J25"/>
    <mergeCell ref="G18:H18"/>
    <mergeCell ref="I18:J18"/>
    <mergeCell ref="D7:E7"/>
    <mergeCell ref="G20:H20"/>
    <mergeCell ref="I20:J20"/>
    <mergeCell ref="A6:C6"/>
    <mergeCell ref="E22:F22"/>
    <mergeCell ref="I13:J13"/>
    <mergeCell ref="G22:H22"/>
    <mergeCell ref="K13:L13"/>
    <mergeCell ref="G12:H12"/>
    <mergeCell ref="I6:J6"/>
    <mergeCell ref="D10:E10"/>
    <mergeCell ref="A12:C12"/>
    <mergeCell ref="K21:L21"/>
    <mergeCell ref="A5:C5"/>
    <mergeCell ref="G7:H7"/>
    <mergeCell ref="I7:J7"/>
    <mergeCell ref="D11:E11"/>
    <mergeCell ref="A27:H27"/>
    <mergeCell ref="A4:L4"/>
    <mergeCell ref="A13:C13"/>
    <mergeCell ref="G24:H24"/>
    <mergeCell ref="I24:J24"/>
    <mergeCell ref="K27:L27"/>
    <mergeCell ref="I8:J8"/>
    <mergeCell ref="E26:F26"/>
    <mergeCell ref="D9:E9"/>
    <mergeCell ref="A24:C24"/>
    <mergeCell ref="G26:H26"/>
    <mergeCell ref="E25:F25"/>
    <mergeCell ref="I10:J10"/>
    <mergeCell ref="G25:H25"/>
    <mergeCell ref="K10:L10"/>
    <mergeCell ref="I19:J19"/>
    <mergeCell ref="K19:L19"/>
    <mergeCell ref="K6:L6"/>
    <mergeCell ref="G9:H9"/>
    <mergeCell ref="A7:C7"/>
    <mergeCell ref="E18:F18"/>
    <mergeCell ref="I9:J9"/>
    <mergeCell ref="A25:C25"/>
    <mergeCell ref="K25:L25"/>
    <mergeCell ref="G11:H11"/>
    <mergeCell ref="K9:L9"/>
    <mergeCell ref="I11:J11"/>
    <mergeCell ref="K5:L5"/>
    <mergeCell ref="A18:C18"/>
    <mergeCell ref="A2:L2"/>
    <mergeCell ref="K11:L11"/>
    <mergeCell ref="E20:F20"/>
    <mergeCell ref="A22:C22"/>
    <mergeCell ref="G13:H13"/>
    <mergeCell ref="A20:C20"/>
    <mergeCell ref="I21:J21"/>
    <mergeCell ref="K8:L8"/>
    <mergeCell ref="I23:J23"/>
    <mergeCell ref="K23:L23"/>
    <mergeCell ref="D12:E12"/>
    <mergeCell ref="K7:L7"/>
    <mergeCell ref="A1:F1"/>
    <mergeCell ref="D5:E5"/>
    <mergeCell ref="K18:L18"/>
    <mergeCell ref="E24:F24"/>
    <mergeCell ref="I27:J27"/>
    <mergeCell ref="G8:H8"/>
    <mergeCell ref="K20:L20"/>
    <mergeCell ref="A8:C8"/>
    <mergeCell ref="G10:H10"/>
    <mergeCell ref="E19:F19"/>
    <mergeCell ref="G19:H19"/>
    <mergeCell ref="A17:L17"/>
    <mergeCell ref="G6:H6"/>
    <mergeCell ref="I22:J22"/>
    <mergeCell ref="K22:L22"/>
    <mergeCell ref="A10:C10"/>
    <mergeCell ref="G1:L1"/>
    <mergeCell ref="I12:J12"/>
    <mergeCell ref="A19:C19"/>
    <mergeCell ref="K12:L12"/>
    <mergeCell ref="A28:L28"/>
    <mergeCell ref="G5:H5"/>
    <mergeCell ref="A9:C9"/>
    <mergeCell ref="I5:J5"/>
    <mergeCell ref="A14:H14"/>
    <mergeCell ref="I14:J14"/>
    <mergeCell ref="K14:L14"/>
    <mergeCell ref="D8:E8"/>
    <mergeCell ref="A11:C11"/>
    <mergeCell ref="E21:F21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28" customHeight="1">
      <c r="A2" s="15" t="inlineStr">
        <is>
          <t>3.  주요공사 시공계획</t>
        </is>
      </c>
    </row>
    <row r="3" ht="22" customHeight="1">
      <c r="A3" s="18" t="inlineStr">
        <is>
          <t>a. 작업순서도</t>
        </is>
      </c>
    </row>
    <row r="4" ht="10" customHeight="1"/>
    <row r="5" ht="34" customHeight="1">
      <c r="A5" s="41" t="inlineStr">
        <is>
          <t>시공 흐름도 (FLOW CHART)</t>
        </is>
      </c>
    </row>
    <row r="6" ht="14" customHeight="1"/>
    <row r="7" ht="30" customHeight="1">
      <c r="A7" s="5" t="inlineStr"/>
      <c r="D7" s="42" t="inlineStr">
        <is>
          <t>1단계 :  지장물 조사 및 줄파기</t>
        </is>
      </c>
      <c r="E7" s="7" t="n"/>
      <c r="F7" s="7" t="n"/>
      <c r="G7" s="7" t="n"/>
      <c r="H7" s="7" t="n"/>
      <c r="I7" s="7" t="n"/>
      <c r="J7" s="43" t="inlineStr">
        <is>
          <t xml:space="preserve">  ◀ 매설물 위치 확인</t>
        </is>
      </c>
    </row>
    <row r="8" ht="18" customHeight="1">
      <c r="A8" s="44" t="inlineStr">
        <is>
          <t>▼</t>
        </is>
      </c>
    </row>
    <row r="9" ht="30" customHeight="1">
      <c r="A9" s="5" t="inlineStr"/>
      <c r="D9" s="42" t="inlineStr">
        <is>
          <t>2단계 :  천    공</t>
        </is>
      </c>
      <c r="E9" s="7" t="n"/>
      <c r="F9" s="7" t="n"/>
      <c r="G9" s="7" t="n"/>
      <c r="H9" s="7" t="n"/>
      <c r="I9" s="7" t="n"/>
      <c r="J9" s="43" t="inlineStr">
        <is>
          <t xml:space="preserve">  ◀ 측량 · 수직도 관리</t>
        </is>
      </c>
    </row>
    <row r="10" ht="18" customHeight="1">
      <c r="A10" s="44" t="inlineStr">
        <is>
          <t>▼</t>
        </is>
      </c>
    </row>
    <row r="11" ht="30" customHeight="1">
      <c r="A11" s="5" t="inlineStr"/>
      <c r="D11" s="42" t="inlineStr">
        <is>
          <t>3단계 :  PILE 근입 및 압입(항타)</t>
        </is>
      </c>
      <c r="E11" s="7" t="n"/>
      <c r="F11" s="7" t="n"/>
      <c r="G11" s="7" t="n"/>
      <c r="H11" s="7" t="n"/>
      <c r="I11" s="7" t="n"/>
      <c r="J11" s="43" t="inlineStr">
        <is>
          <t xml:space="preserve">  ◀ 경타로 정착</t>
        </is>
      </c>
    </row>
    <row r="12" ht="18" customHeight="1">
      <c r="A12" s="44" t="inlineStr">
        <is>
          <t>▼</t>
        </is>
      </c>
    </row>
    <row r="13" ht="30" customHeight="1">
      <c r="A13" s="5" t="inlineStr"/>
      <c r="D13" s="42" t="inlineStr">
        <is>
          <t>4단계 :  터 파 기</t>
        </is>
      </c>
      <c r="E13" s="7" t="n"/>
      <c r="F13" s="7" t="n"/>
      <c r="G13" s="7" t="n"/>
      <c r="H13" s="7" t="n"/>
      <c r="I13" s="7" t="n"/>
      <c r="J13" s="43" t="inlineStr">
        <is>
          <t xml:space="preserve">  ◀ 단계별 굴착 · 계측</t>
        </is>
      </c>
    </row>
    <row r="14" ht="18" customHeight="1">
      <c r="A14" s="44" t="inlineStr">
        <is>
          <t>▼</t>
        </is>
      </c>
    </row>
    <row r="15" ht="30" customHeight="1">
      <c r="A15" s="5" t="inlineStr"/>
      <c r="D15" s="42" t="inlineStr">
        <is>
          <t>5단계 :  띠장 및 STRUT 설치</t>
        </is>
      </c>
      <c r="E15" s="7" t="n"/>
      <c r="F15" s="7" t="n"/>
      <c r="G15" s="7" t="n"/>
      <c r="H15" s="7" t="n"/>
      <c r="I15" s="7" t="n"/>
      <c r="J15" s="43" t="inlineStr">
        <is>
          <t xml:space="preserve">  ◀ 설치 뒤 다음 단 굴착</t>
        </is>
      </c>
    </row>
    <row r="16" ht="10" customHeight="1"/>
    <row r="17" ht="16" customHeight="1">
      <c r="A17" s="11" t="inlineStr">
        <is>
          <t>※ 줄파기는 깊이 1.5m 를 기준으로 하되, 지장물이 지날 것으로 보이는 곳은 더 파서 확인합니다(f. 매설물 보호 참조).</t>
        </is>
      </c>
    </row>
  </sheetData>
  <mergeCells count="25">
    <mergeCell ref="D11:I11"/>
    <mergeCell ref="D13:I13"/>
    <mergeCell ref="A3:L3"/>
    <mergeCell ref="D7:I7"/>
    <mergeCell ref="A12:L12"/>
    <mergeCell ref="J11:L11"/>
    <mergeCell ref="J7:L7"/>
    <mergeCell ref="A2:L2"/>
    <mergeCell ref="A5:L5"/>
    <mergeCell ref="D9:I9"/>
    <mergeCell ref="A8:L8"/>
    <mergeCell ref="A14:L14"/>
    <mergeCell ref="A17:L17"/>
    <mergeCell ref="D15:I15"/>
    <mergeCell ref="G1:L1"/>
    <mergeCell ref="A13:C13"/>
    <mergeCell ref="A10:L10"/>
    <mergeCell ref="A9:C9"/>
    <mergeCell ref="A15:C15"/>
    <mergeCell ref="A11:C11"/>
    <mergeCell ref="J13:L13"/>
    <mergeCell ref="A1:F1"/>
    <mergeCell ref="J9:L9"/>
    <mergeCell ref="A7:C7"/>
    <mergeCell ref="J15:L15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9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b.  토공사 시공계획</t>
        </is>
      </c>
    </row>
    <row r="4" ht="21" customHeight="1">
      <c r="A4" s="45" t="inlineStr">
        <is>
          <t>1. 굴착 방법</t>
        </is>
      </c>
    </row>
    <row r="5" ht="26" customHeight="1">
      <c r="A5" s="5" t="inlineStr"/>
      <c r="B5" s="6" t="inlineStr">
        <is>
          <t>토  사</t>
        </is>
      </c>
      <c r="C5" s="7" t="n"/>
      <c r="D5" s="46" t="n"/>
      <c r="E5" s="7" t="n"/>
      <c r="F5" s="7" t="n"/>
      <c r="G5" s="7" t="n"/>
      <c r="H5" s="7" t="n"/>
      <c r="I5" s="7" t="n"/>
      <c r="J5" s="7" t="n"/>
      <c r="K5" s="7" t="n"/>
      <c r="L5" s="7" t="n"/>
    </row>
    <row r="6" ht="26" customHeight="1">
      <c r="A6" s="5" t="inlineStr"/>
      <c r="B6" s="6" t="inlineStr">
        <is>
          <t>암 반 (있으면)</t>
        </is>
      </c>
      <c r="C6" s="7" t="n"/>
      <c r="D6" s="46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16" customHeight="1">
      <c r="A7" s="11" t="inlineStr">
        <is>
          <t>※ 굴착 장비 · 굴착 단계(단별 깊이) · 사토 운반 방법을 적습니다.</t>
        </is>
      </c>
    </row>
    <row r="8" ht="21" customHeight="1">
      <c r="A8" s="45" t="inlineStr">
        <is>
          <t>2. 굴착 시 유의사항</t>
        </is>
      </c>
    </row>
    <row r="9" ht="20.5" customHeight="1">
      <c r="A9" s="20" t="inlineStr">
        <is>
          <t>1)</t>
        </is>
      </c>
      <c r="B9" s="21" t="inlineStr">
        <is>
          <t>주위 매설물이 불완전한 상태인지 먼저 확인합니다.</t>
        </is>
      </c>
    </row>
    <row r="10" ht="20.5" customHeight="1">
      <c r="A10" s="20" t="inlineStr">
        <is>
          <t>2)</t>
        </is>
      </c>
      <c r="B10" s="21" t="inlineStr">
        <is>
          <t>지하수가 솟아 토사가 빠져나가 배면 지반이 침하하지 않도록 합니다.</t>
        </is>
      </c>
    </row>
    <row r="11" ht="20.5" customHeight="1">
      <c r="A11" s="20" t="inlineStr">
        <is>
          <t>3)</t>
        </is>
      </c>
      <c r="B11" s="21" t="inlineStr">
        <is>
          <t>배수로 인한 점성토의 압밀침하를 막습니다.</t>
        </is>
      </c>
    </row>
    <row r="12" ht="20.5" customHeight="1">
      <c r="A12" s="20" t="inlineStr">
        <is>
          <t>4)</t>
        </is>
      </c>
      <c r="B12" s="21" t="inlineStr">
        <is>
          <t>인접 건물은 계측관리를 철저히 해 거동을 관찰합니다.</t>
        </is>
      </c>
    </row>
    <row r="13" ht="20.5" customHeight="1">
      <c r="A13" s="20" t="inlineStr">
        <is>
          <t>5)</t>
        </is>
      </c>
      <c r="B13" s="21" t="inlineStr">
        <is>
          <t>토사 · 지하수 용출이 우려되는 곳은 지반보강을 먼저 합니다.</t>
        </is>
      </c>
    </row>
    <row r="14" ht="20.5" customHeight="1">
      <c r="A14" s="20" t="inlineStr">
        <is>
          <t>6)</t>
        </is>
      </c>
      <c r="B14" s="21" t="inlineStr">
        <is>
          <t>사토장의 위치와 허가 사항은 협의해 승인을 받은 뒤 시행합니다.</t>
        </is>
      </c>
    </row>
    <row r="15" ht="20.5" customHeight="1">
      <c r="A15" s="20" t="inlineStr">
        <is>
          <t>7)</t>
        </is>
      </c>
      <c r="B15" s="21" t="inlineStr">
        <is>
          <t>굴착 깊이에 맞춰 띠장(WALE)을 제때 설치합니다.</t>
        </is>
      </c>
    </row>
    <row r="16" ht="20.5" customHeight="1">
      <c r="A16" s="20" t="inlineStr">
        <is>
          <t>8)</t>
        </is>
      </c>
      <c r="B16" s="21" t="inlineStr">
        <is>
          <t>굴착할 때 엄지말뚝 쪽으로 소단을 두고 토공을 합니다.</t>
        </is>
      </c>
    </row>
    <row r="17" ht="20.5" customHeight="1">
      <c r="A17" s="20" t="inlineStr">
        <is>
          <t>9)</t>
        </is>
      </c>
      <c r="B17" s="21" t="inlineStr">
        <is>
          <t>계측 결과가 설계값보다 커지지 않도록 관리합니다.</t>
        </is>
      </c>
    </row>
    <row r="18" ht="6" customHeight="1"/>
    <row r="19" ht="28" customHeight="1">
      <c r="A19" s="15" t="inlineStr">
        <is>
          <t>c.  천공 및 항타 시공계획</t>
        </is>
      </c>
    </row>
    <row r="20" ht="21" customHeight="1">
      <c r="A20" s="45" t="inlineStr">
        <is>
          <t>1. 특  징</t>
        </is>
      </c>
    </row>
    <row r="21" ht="36" customHeight="1">
      <c r="A21" s="20" t="inlineStr">
        <is>
          <t>(1)</t>
        </is>
      </c>
      <c r="B21" s="21" t="inlineStr">
        <is>
          <t>연암에서 극경암까지 넓은 범위의 지질에 쓸 수 있습니다(암질에 맞는 여러 가지 비트가 있음).</t>
        </is>
      </c>
    </row>
    <row r="22" ht="20.5" customHeight="1">
      <c r="A22" s="20" t="inlineStr">
        <is>
          <t>(2)</t>
        </is>
      </c>
      <c r="B22" s="21" t="inlineStr">
        <is>
          <t>파쇄성 암반층 · 물이 많은 지층 등 나쁜 조건에서도 쓸 수 있습니다.</t>
        </is>
      </c>
    </row>
    <row r="23" ht="36" customHeight="1">
      <c r="A23" s="20" t="inlineStr">
        <is>
          <t>(3)</t>
        </is>
      </c>
      <c r="B23" s="21" t="inlineStr">
        <is>
          <t>드릴의 압력(자중 포함)과 회전력만으로 작동하므로 소음과 진동이 적습니다(장비 소음 포함 71dB 이하, 진동 0.1 cm/s(kine) 이하 — 장비 제원 기준).</t>
        </is>
      </c>
    </row>
    <row r="24" ht="20.5" customHeight="1">
      <c r="A24" s="20" t="inlineStr">
        <is>
          <t>(4)</t>
        </is>
      </c>
      <c r="B24" s="21" t="inlineStr">
        <is>
          <t>공기와 물을 섞어 로드로 분사하면 분진 문제도 줄일 수 있습니다.</t>
        </is>
      </c>
    </row>
    <row r="25" ht="20.5" customHeight="1">
      <c r="A25" s="20" t="inlineStr">
        <is>
          <t>(5)</t>
        </is>
      </c>
      <c r="B25" s="21" t="inlineStr">
        <is>
          <t>굴진력은 DTH(Down The Hole) 에어해머보다 떨어집니다.</t>
        </is>
      </c>
    </row>
    <row r="26" ht="20.5" customHeight="1">
      <c r="A26" s="20" t="inlineStr">
        <is>
          <t>(6)</t>
        </is>
      </c>
      <c r="B26" s="21" t="inlineStr">
        <is>
          <t>경암은 8시간 작업 기준 약 20m 굴진합니다(장비 제원 기준).</t>
        </is>
      </c>
    </row>
    <row r="27" ht="20.5" customHeight="1">
      <c r="A27" s="20" t="inlineStr">
        <is>
          <t>(7)</t>
        </is>
      </c>
      <c r="B27" s="21" t="inlineStr">
        <is>
          <t>여러 가지 천공 작업에 응용할 수 있습니다.</t>
        </is>
      </c>
    </row>
    <row r="28" ht="21" customHeight="1">
      <c r="A28" s="45" t="inlineStr">
        <is>
          <t>2. 시공 방법</t>
        </is>
      </c>
    </row>
    <row r="29" ht="20.5" customHeight="1">
      <c r="A29" s="20" t="inlineStr">
        <is>
          <t>(1)</t>
        </is>
      </c>
      <c r="B29" s="21" t="inlineStr">
        <is>
          <t>천공할 때 선형(Line)과 수직도를 계속 관리하기 위해 측량기를 설치합니다.</t>
        </is>
      </c>
    </row>
    <row r="30" ht="20.5" customHeight="1">
      <c r="A30" s="20" t="inlineStr">
        <is>
          <t>(2)</t>
        </is>
      </c>
      <c r="B30" s="21" t="inlineStr">
        <is>
          <t>H-PILE 을 근입할 때 비틀림을 관리하기 위해 앵글 · H형강 가이드를 씁니다.</t>
        </is>
      </c>
    </row>
    <row r="31" ht="36" customHeight="1">
      <c r="A31" s="20" t="inlineStr">
        <is>
          <t>(3)</t>
        </is>
      </c>
      <c r="B31" s="21" t="inlineStr">
        <is>
          <t>기계 · 기구를 점검합니다. 특히 오거의 치수와 길이를 정확히 재고, 설계 심도 부근에는 50cm 마다 표시합니다.</t>
        </is>
      </c>
    </row>
    <row r="32" ht="36" customHeight="1">
      <c r="A32" s="20" t="inlineStr">
        <is>
          <t>(4)</t>
        </is>
      </c>
      <c r="B32" s="21" t="inlineStr">
        <is>
          <t>파일 시공 지점에 오거 중심을 정확히 맞춘 뒤 오거가 수직인지 확인하고 굴진을 시작합니다.</t>
        </is>
      </c>
    </row>
    <row r="33" ht="20.5" customHeight="1">
      <c r="A33" s="20" t="inlineStr">
        <is>
          <t>(5)</t>
        </is>
      </c>
      <c r="B33" s="21" t="inlineStr">
        <is>
          <t>오거로 말뚝 지름보다 5cm 정도 크게 천공하면서 설계 심도까지 굴진합니다.</t>
        </is>
      </c>
    </row>
    <row r="34" ht="20.5" customHeight="1">
      <c r="A34" s="20" t="inlineStr">
        <is>
          <t>(6)</t>
        </is>
      </c>
      <c r="B34" s="21" t="inlineStr">
        <is>
          <t>굴진 깊이가 설계 심도에 이르면 오거를 인발합니다.</t>
        </is>
      </c>
    </row>
    <row r="35" ht="36" customHeight="1">
      <c r="A35" s="20" t="inlineStr">
        <is>
          <t>(7)</t>
        </is>
      </c>
      <c r="B35" s="21" t="inlineStr">
        <is>
          <t>굴진이 끝나면 구멍 안을 살펴, 바닥에 자갈이나 흙덩이가 쌓여 심도가 모자라면 오거로 다시 굴진합니다.</t>
        </is>
      </c>
    </row>
    <row r="36" ht="20.5" customHeight="1">
      <c r="A36" s="20" t="inlineStr">
        <is>
          <t>(8)</t>
        </is>
      </c>
      <c r="B36" s="21" t="inlineStr">
        <is>
          <t>굴진이 합격되면 H-PILE 을 천공 구멍 중심에 수직으로 세운 뒤 자중으로 삽입합니다.</t>
        </is>
      </c>
    </row>
    <row r="37" ht="20.5" customHeight="1">
      <c r="A37" s="20" t="inlineStr">
        <is>
          <t>(9)</t>
        </is>
      </c>
      <c r="B37" s="21" t="inlineStr">
        <is>
          <t>말뚝 정착을 위해 해머로 정해진 낙차로 타격(경타)해 정착시킵니다.</t>
        </is>
      </c>
    </row>
    <row r="38" ht="21" customHeight="1">
      <c r="A38" s="45" t="inlineStr">
        <is>
          <t>3. 장비 세팅</t>
        </is>
      </c>
    </row>
    <row r="39" ht="36" customHeight="1">
      <c r="A39" s="20" t="inlineStr">
        <is>
          <t>(1)</t>
        </is>
      </c>
      <c r="B39" s="21" t="inlineStr">
        <is>
          <t>장비 세팅에는 약 6m × 30m 의 작업장이 필요합니다. 세팅장은 굴곡이 없도록 잘 다져 둡니다.</t>
        </is>
      </c>
    </row>
    <row r="40" ht="20.5" customHeight="1">
      <c r="A40" s="20" t="inlineStr">
        <is>
          <t>(2)</t>
        </is>
      </c>
      <c r="B40" s="21" t="inlineStr">
        <is>
          <t>시공 기계는 안전 · 정확 · 신속하게 작업할 수 있도록 미리 점검 · 정비합니다.</t>
        </is>
      </c>
    </row>
    <row r="41" ht="36" customHeight="1">
      <c r="A41" s="20" t="inlineStr">
        <is>
          <t>(3)</t>
        </is>
      </c>
      <c r="B41" s="21" t="inlineStr">
        <is>
          <t>파일을 수직으로 박으려면 장비가 수직으로 서는 것이 가장 중요하므로, 항타할 지반은 터파기 때 충분히 평탄하게 고릅니다.</t>
        </is>
      </c>
    </row>
    <row r="42" ht="21" customHeight="1">
      <c r="A42" s="45" t="inlineStr">
        <is>
          <t>4. 천  공</t>
        </is>
      </c>
    </row>
    <row r="43" ht="36" customHeight="1">
      <c r="A43" s="20" t="inlineStr">
        <is>
          <t>(1)</t>
        </is>
      </c>
      <c r="B43" s="21" t="inlineStr">
        <is>
          <t>파일 표시는 높이가 낮아 오거링을 하면 슬라임에 덮여 위치를 찾기 어렵습니다. 작업 중인 파일 주변의 파일 위치에는 철근 등 1m 이상의 막대로 슬라임에 묻히지 않게 표시합니다.</t>
        </is>
      </c>
    </row>
    <row r="44" ht="51.5" customHeight="1">
      <c r="A44" s="20" t="inlineStr">
        <is>
          <t>(2)</t>
        </is>
      </c>
      <c r="B44" s="21" t="inlineStr">
        <is>
          <t>파일 시공 지점의 표시와 오거 중심을 정확히 맞춘 뒤 오거가 수직인지 확인하고 굴진합니다. 구멍이 수직이 아니면 파일을 수직으로 박을 수 없으므로 오거의 수직을 철저히 확인합니다.</t>
        </is>
      </c>
    </row>
    <row r="45" ht="21" customHeight="1">
      <c r="A45" s="45" t="inlineStr">
        <is>
          <t>5. 항  타</t>
        </is>
      </c>
    </row>
    <row r="46" ht="36" customHeight="1">
      <c r="A46" s="20" t="inlineStr">
        <is>
          <t>(1)</t>
        </is>
      </c>
      <c r="B46" s="21" t="inlineStr">
        <is>
          <t>굴진이 끝나면 말뚝을 천공 구멍 중심에 맞춰 세운 뒤 자중으로 삽입하고, 해머로 마무리 항타(경타)합니다.</t>
        </is>
      </c>
    </row>
    <row r="47" ht="36" customHeight="1">
      <c r="A47" s="20" t="inlineStr">
        <is>
          <t>(2)</t>
        </is>
      </c>
      <c r="B47" s="21" t="inlineStr">
        <is>
          <t>H-PILE 은 횡균열에 충분한 강도가 있으므로 길이에 상관없이 머리에서 약 2m 지점을 매어 세웁니다.</t>
        </is>
      </c>
    </row>
    <row r="48" ht="36" customHeight="1">
      <c r="A48" s="20" t="inlineStr">
        <is>
          <t>(3)</t>
        </is>
      </c>
      <c r="B48" s="21" t="inlineStr">
        <is>
          <t>매단 점이 미끄러지거나 벗겨지지 않게 단단히 유지하고, 항타대 정면에서 천천히 들어 올린 뒤 말뚝 끝을 정해진 위치에 놓고 세웁니다.</t>
        </is>
      </c>
    </row>
    <row r="49" ht="51.5" customHeight="1">
      <c r="A49" s="20" t="inlineStr">
        <is>
          <t>(4)</t>
        </is>
      </c>
      <c r="B49" s="21" t="inlineStr">
        <is>
          <t>해머 용량이 너무 크면 파일 머리가 깨지기 쉽고, 너무 작으면 시공이 안 되거나 낙하 높이를 높여야 해 오히려 머리 파손이 심해질 수 있으므로 해머의 종류 · 용량 · 낙하고를 신중하게 정합니다.</t>
        </is>
      </c>
    </row>
    <row r="50" ht="6" customHeight="1"/>
    <row r="51" ht="28" customHeight="1">
      <c r="A51" s="15" t="inlineStr">
        <is>
          <t>d.  가시설 시공계획</t>
        </is>
      </c>
    </row>
    <row r="52" ht="21" customHeight="1">
      <c r="A52" s="45" t="inlineStr">
        <is>
          <t>1. STRUT(버팀보) 공법의 개요</t>
        </is>
      </c>
    </row>
    <row r="53" ht="36" customHeight="1">
      <c r="A53" s="20" t="inlineStr">
        <is>
          <t>(1)</t>
        </is>
      </c>
      <c r="B53" s="21" t="inlineStr">
        <is>
          <t>중간말뚝(Center Pile)과 버팀보로 흙막이를 지지하는 공법이며, 복공판을 깔아 야적장 등으로 쓰기도 합니다.</t>
        </is>
      </c>
    </row>
    <row r="54" ht="20.5" customHeight="1">
      <c r="A54" s="20" t="inlineStr">
        <is>
          <t>(2)</t>
        </is>
      </c>
      <c r="B54" s="21" t="inlineStr">
        <is>
          <t>중 · 소규모 현장(장변 약 60m 이내)에 알맞습니다.</t>
        </is>
      </c>
    </row>
    <row r="55" ht="21" customHeight="1">
      <c r="A55" s="45" t="inlineStr">
        <is>
          <t>2. STRUT(버팀보) 공법의 특징</t>
        </is>
      </c>
    </row>
    <row r="56" ht="20.5" customHeight="1">
      <c r="A56" s="20" t="inlineStr">
        <is>
          <t>(1)</t>
        </is>
      </c>
      <c r="B56" s="21" t="inlineStr">
        <is>
          <t>재료의 압축강도를 이용하고 응력 상태를 확인하기 쉽습니다.</t>
        </is>
      </c>
    </row>
    <row r="57" ht="20.5" customHeight="1">
      <c r="A57" s="20" t="inlineStr">
        <is>
          <t>(2)</t>
        </is>
      </c>
      <c r="B57" s="21" t="inlineStr">
        <is>
          <t>작업 범위가 대지 안에서 끝납니다.</t>
        </is>
      </c>
    </row>
    <row r="58" ht="20.5" customHeight="1">
      <c r="A58" s="20" t="inlineStr">
        <is>
          <t>(3)</t>
        </is>
      </c>
      <c r="B58" s="21" t="inlineStr">
        <is>
          <t>대지 높낮이 차가 크거나 양쪽 지반 조건이 다르면 적용이 어렵습니다.</t>
        </is>
      </c>
    </row>
    <row r="59" ht="20.5" customHeight="1">
      <c r="A59" s="20" t="inlineStr">
        <is>
          <t>(4)</t>
        </is>
      </c>
      <c r="B59" s="21" t="inlineStr">
        <is>
          <t>작업 능률이 떨어지고, 모양이 반듯하지 않은 대지는 시공이 어렵습니다.</t>
        </is>
      </c>
    </row>
    <row r="60" ht="21" customHeight="1">
      <c r="A60" s="45" t="inlineStr">
        <is>
          <t>3. STRUT(버팀보)</t>
        </is>
      </c>
    </row>
    <row r="61" ht="20.5" customHeight="1">
      <c r="A61" s="20" t="inlineStr">
        <is>
          <t>(1)</t>
        </is>
      </c>
      <c r="B61" s="21" t="inlineStr">
        <is>
          <t>지보공은 설계도 · 표준도에 따라 시공합니다.</t>
        </is>
      </c>
    </row>
    <row r="62" ht="36" customHeight="1">
      <c r="A62" s="20" t="inlineStr">
        <is>
          <t>(2)</t>
        </is>
      </c>
      <c r="B62" s="21" t="inlineStr">
        <is>
          <t>굴착이 지보공 설치 위치까지 진행되면 곧바로 정해진 위치에 설치하고, 그 아래 단계 굴착은 설치를 마친 뒤에 합니다.</t>
        </is>
      </c>
    </row>
    <row r="63" ht="36" customHeight="1">
      <c r="A63" s="20" t="inlineStr">
        <is>
          <t>(3)</t>
        </is>
      </c>
      <c r="B63" s="21" t="inlineStr">
        <is>
          <t>지보공은 목적에 맞게 현장 상황에 따라 배치하고, 설치 위치 · 시기 · 방법을 종합적으로 검토하며 시공합니다.</t>
        </is>
      </c>
    </row>
    <row r="64" ht="36" customHeight="1">
      <c r="A64" s="20" t="inlineStr">
        <is>
          <t>(4)</t>
        </is>
      </c>
      <c r="B64" s="21" t="inlineStr">
        <is>
          <t>지보공 철거는 구조물공이나 되메우기 진척에 따라 필요한 곳부터 차례로 하며, 새 구조물이나 되메우기 토사가 흙막이에 작용하는 하중을 받쳐 준 뒤가 아니면 하지 않습니다.</t>
        </is>
      </c>
    </row>
    <row r="65" ht="20.5" customHeight="1">
      <c r="A65" s="20" t="inlineStr">
        <is>
          <t>(5)</t>
        </is>
      </c>
      <c r="B65" s="21" t="inlineStr">
        <is>
          <t>버팀보는 흙막이 벽체에 정확히 직교하고 부재 축이 정확히 일치하도록 설치합니다.</t>
        </is>
      </c>
    </row>
    <row r="66" ht="20.5" customHeight="1">
      <c r="A66" s="20" t="inlineStr">
        <is>
          <t>(6)</t>
        </is>
      </c>
      <c r="B66" s="21" t="inlineStr">
        <is>
          <t>필요하면 흙막이 벽을 사보강재로 보강합니다.</t>
        </is>
      </c>
    </row>
    <row r="67" ht="36" customHeight="1">
      <c r="A67" s="20" t="inlineStr">
        <is>
          <t>(7)</t>
        </is>
      </c>
      <c r="B67" s="21" t="inlineStr">
        <is>
          <t>모서리 보강이나 수평 버팀대(STRUT · RAKER)에 스크루 잭(SCREW JACK)을 쓸 때는 정확한 위치에 설치해 버팀대가 뒤틀리거나 튕겨 나오지 않게 합니다.</t>
        </is>
      </c>
    </row>
    <row r="68" ht="21" customHeight="1">
      <c r="A68" s="45" t="inlineStr">
        <is>
          <t>4. WALE(띠장)</t>
        </is>
      </c>
    </row>
    <row r="69" ht="36" customHeight="1">
      <c r="A69" s="20" t="inlineStr">
        <is>
          <t>(1)</t>
        </is>
      </c>
      <c r="B69" s="21" t="inlineStr">
        <is>
          <t>띠장은 흙막이 벽의 하중을 고르게 받아 버팀보나 흙막이에 고르게 전달되도록 현장 상황에 맞춰 시공합니다.</t>
        </is>
      </c>
    </row>
    <row r="70" ht="36" customHeight="1">
      <c r="A70" s="20" t="inlineStr">
        <is>
          <t>(2)</t>
        </is>
      </c>
      <c r="B70" s="21" t="inlineStr">
        <is>
          <t>띠장이 버팀보로 지지되는 경우 전 구간에 걸쳐 연속으로 잇고, 그 밖의 경우는 설계도서에 따라 시공합니다.</t>
        </is>
      </c>
    </row>
    <row r="71" ht="20.5" customHeight="1">
      <c r="A71" s="20" t="inlineStr">
        <is>
          <t>(3)</t>
        </is>
      </c>
      <c r="B71" s="21" t="inlineStr">
        <is>
          <t>띠장의 보강재(STIFFENER)는 정해진 규격에 맞고 용접 상태가 좋아야 합니다.</t>
        </is>
      </c>
    </row>
    <row r="72" ht="21" customHeight="1">
      <c r="A72" s="45" t="inlineStr">
        <is>
          <t>5. 강재 제작 및 설치</t>
        </is>
      </c>
    </row>
    <row r="73" ht="36" customHeight="1">
      <c r="A73" s="20" t="inlineStr">
        <is>
          <t>(1)</t>
        </is>
      </c>
      <c r="B73" s="21" t="inlineStr">
        <is>
          <t>강재는 설계도서에 적힌 규격과 재질로 하고, 부득이하면 그와 같거나 더 나은 것을 씁니다.</t>
        </is>
      </c>
    </row>
    <row r="74" ht="20.5" customHeight="1">
      <c r="A74" s="20" t="inlineStr">
        <is>
          <t>(2)</t>
        </is>
      </c>
      <c r="B74" s="21" t="inlineStr">
        <is>
          <t>용접면은 완전히 마무리하고, 절단면과 모서리는 정확하게 가공합니다.</t>
        </is>
      </c>
    </row>
    <row r="75" ht="36" customHeight="1">
      <c r="A75" s="20" t="inlineStr">
        <is>
          <t>(3)</t>
        </is>
      </c>
      <c r="B75" s="21" t="inlineStr">
        <is>
          <t>강재 이음은 이어지는 면이 수평 지지가 되도록 하고, 이음부에 결함이 생기지 않게 합니다.</t>
        </is>
      </c>
    </row>
    <row r="76" ht="51.5" customHeight="1">
      <c r="A76" s="20" t="inlineStr">
        <is>
          <t>(4)</t>
        </is>
      </c>
      <c r="B76" s="21" t="inlineStr">
        <is>
          <t>현장 용접은 안전사고(누전 · 화재 등)에 특히 주의하고, 균열을 일으킬 수 있는 녹 · 도료 · 기름 등을 완전히 없애고 용접 부위를 충분히 말린 뒤 합니다. 따로 정하지 않은 용접은 필릿 용접 등 알맞은 용접법으로 합니다.</t>
        </is>
      </c>
    </row>
    <row r="77" ht="20.5" customHeight="1">
      <c r="A77" s="20" t="inlineStr">
        <is>
          <t>(5)</t>
        </is>
      </c>
      <c r="B77" s="21" t="inlineStr">
        <is>
          <t>볼트 구멍은 드릴로 뚫어 빈틈없이 접합되게 합니다.</t>
        </is>
      </c>
    </row>
    <row r="78" ht="36" customHeight="1">
      <c r="A78" s="20" t="inlineStr">
        <is>
          <t>(6)</t>
        </is>
      </c>
      <c r="B78" s="21" t="inlineStr">
        <is>
          <t>운반 · 설치 중에 변형되지 않게 하고, 휨 변형의 허용치는 관련 표준시방서(KCS 21 가설공사 — 가설흙막이 공사) 기준 이내로 합니다.</t>
        </is>
      </c>
    </row>
    <row r="79" ht="36" customHeight="1">
      <c r="A79" s="20" t="inlineStr">
        <is>
          <t>(7)</t>
        </is>
      </c>
      <c r="B79" s="21" t="inlineStr">
        <is>
          <t>부재를 설치한 뒤 다음 공정을 하는 동안 부재가 느슨하게 풀려 있지 않은지 수시로 점검합니다.</t>
        </is>
      </c>
    </row>
    <row r="80" ht="36" customHeight="1">
      <c r="A80" s="20" t="inlineStr">
        <is>
          <t>(8)</t>
        </is>
      </c>
      <c r="B80" s="21" t="inlineStr">
        <is>
          <t>SM275(옛 SWS41 · SM400) 강재는 일반 피복아크 용접봉을, SM355(옛 SWS50 · SM490) 강재는 저수소계 피복아크 용접봉을 씁니다.</t>
        </is>
      </c>
    </row>
    <row r="81" ht="36" customHeight="1">
      <c r="A81" s="20" t="inlineStr">
        <is>
          <t>(9)</t>
        </is>
      </c>
      <c r="B81" s="21" t="inlineStr">
        <is>
          <t>도면에 없는 가벼운 사항은 관련 표준시방서를 따르고 감독(감리)의 승인을 받아 시행합니다.</t>
        </is>
      </c>
    </row>
    <row r="82" ht="21" customHeight="1">
      <c r="A82" s="45" t="inlineStr">
        <is>
          <t>6. 가시설 해체 방법</t>
        </is>
      </c>
    </row>
    <row r="83" ht="20.5" customHeight="1">
      <c r="A83" s="20" t="inlineStr">
        <is>
          <t>(1)</t>
        </is>
      </c>
      <c r="B83" s="21" t="inlineStr">
        <is>
          <t>STRUT 과 띠장은 콘크리트가 완전히 양생된 뒤 해체합니다.</t>
        </is>
      </c>
    </row>
    <row r="84" ht="20.5" customHeight="1">
      <c r="A84" s="20" t="inlineStr">
        <is>
          <t>(2)</t>
        </is>
      </c>
      <c r="B84" s="21" t="inlineStr">
        <is>
          <t>강재 해체는 반드시 감독(감리)의 승인을 받은 뒤 합니다.</t>
        </is>
      </c>
    </row>
    <row r="85" ht="36" customHeight="1">
      <c r="A85" s="20" t="inlineStr">
        <is>
          <t>(3)</t>
        </is>
      </c>
      <c r="B85" s="21" t="inlineStr">
        <is>
          <t>해체한 강재를 콘크리트 위에 놓을 때는 반드시 받침목을 대어 콘크리트에 충격이 가지 않게 합니다.</t>
        </is>
      </c>
    </row>
    <row r="86" ht="20.5" customHeight="1">
      <c r="A86" s="20" t="inlineStr">
        <is>
          <t>(4)</t>
        </is>
      </c>
      <c r="B86" s="21" t="inlineStr">
        <is>
          <t>강재를 해체할 때는 이음부를 완전히 분리해 다른 부재에 충격이 가지 않게 합니다.</t>
        </is>
      </c>
    </row>
    <row r="87" ht="20.5" customHeight="1">
      <c r="A87" s="20" t="inlineStr">
        <is>
          <t>(5)</t>
        </is>
      </c>
      <c r="B87" s="21" t="inlineStr">
        <is>
          <t>콘크리트 면 위에서 강재를 옮길 때는 이동용 수레를 씁니다.</t>
        </is>
      </c>
    </row>
    <row r="88" ht="21" customHeight="1">
      <c r="A88" s="45" t="inlineStr">
        <is>
          <t>7. 문제점과 대책</t>
        </is>
      </c>
    </row>
    <row r="89" ht="51.5" customHeight="1">
      <c r="A89" s="20" t="inlineStr">
        <is>
          <t>(1)</t>
        </is>
      </c>
      <c r="B89" s="21" t="inlineStr">
        <is>
          <t>설계도서 · 구조계산서의 방법은 흙막이 구조물의 안전을 확보하고 주변 지반과 인접 건물의 피해를 막기 위한 최선의 방법이지만, 어떤 공법도 기술적으로 하자가 전혀 없다고 할 수는 없으므로 지반 · 기초가 확실하지 않은 인접 건물에는 약간의 피해가 생길 수 있습니다.</t>
        </is>
      </c>
    </row>
    <row r="90" ht="20.5" customHeight="1">
      <c r="A90" s="20" t="inlineStr">
        <is>
          <t>(2)</t>
        </is>
      </c>
      <c r="B90" s="21" t="inlineStr">
        <is>
          <t>그러므로 계측기를 설치하고 적절히 관리 · 계측하여 사고를 미리 막는 데 힘씁니다.</t>
        </is>
      </c>
    </row>
    <row r="91" ht="21" customHeight="1">
      <c r="A91" s="45" t="inlineStr">
        <is>
          <t>8. 안전관리</t>
        </is>
      </c>
    </row>
    <row r="92" ht="36" customHeight="1">
      <c r="A92" s="20" t="inlineStr">
        <is>
          <t>(1)</t>
        </is>
      </c>
      <c r="B92" s="21" t="inlineStr">
        <is>
          <t>시공 중 토층 구성이 지질조사 보고서와 다르거나 지반 침하 등의 실측 결과에 따라 피해를 막기 위해 설계변경을 합니다.</t>
        </is>
      </c>
    </row>
    <row r="93" ht="36" customHeight="1">
      <c r="A93" s="20" t="inlineStr">
        <is>
          <t>(2)</t>
        </is>
      </c>
      <c r="B93" s="21" t="inlineStr">
        <is>
          <t>설계변경이 필요하면 시공자는 감리자에게 설계변경 · 피해 예방 · 피해 복구를 건의할 수 있고, 감리자는 발주자(감독관)와 협의해 알맞게 조치합니다.</t>
        </is>
      </c>
    </row>
    <row r="94" ht="67" customHeight="1">
      <c r="A94" s="20" t="inlineStr">
        <is>
          <t>(3)</t>
        </is>
      </c>
      <c r="B94" s="21" t="inlineStr">
        <is>
          <t>이 사항들은 피해를 최대한 막기 위한 기술적 원칙이므로, 시공자는 이를 충실히 지키고 현장 안전사고 · 피해 예방과 이를 위한 실측(흙막이 변형) · 지반 침하 등의 주기적인 측정에 최선을 다하며, 필요하면 발주자의 협조와 감리자의 자문을 받아 안전한 공사가 되게 합니다.</t>
        </is>
      </c>
    </row>
    <row r="95" ht="36" customHeight="1">
      <c r="A95" s="20" t="inlineStr">
        <is>
          <t>(4)</t>
        </is>
      </c>
      <c r="B95" s="21" t="inlineStr">
        <is>
          <t>현장소장과 직원은 공기 · 원가 절감과 안전 시공을 위해 감리 · 감독자와 긴밀히 협조해 좋은 품질과 쾌적한 현장을 만드는 데 힘씁니다.</t>
        </is>
      </c>
    </row>
  </sheetData>
  <mergeCells count="95">
    <mergeCell ref="B47:L47"/>
    <mergeCell ref="B22:L22"/>
    <mergeCell ref="B93:L93"/>
    <mergeCell ref="B31:L31"/>
    <mergeCell ref="B12:L12"/>
    <mergeCell ref="B21:L21"/>
    <mergeCell ref="B86:L86"/>
    <mergeCell ref="B39:L39"/>
    <mergeCell ref="B14:L14"/>
    <mergeCell ref="A91:L91"/>
    <mergeCell ref="B23:L23"/>
    <mergeCell ref="A52:L52"/>
    <mergeCell ref="B13:L13"/>
    <mergeCell ref="B78:L78"/>
    <mergeCell ref="B87:L87"/>
    <mergeCell ref="B40:L40"/>
    <mergeCell ref="B49:L49"/>
    <mergeCell ref="B64:L64"/>
    <mergeCell ref="B33:L33"/>
    <mergeCell ref="B32:L32"/>
    <mergeCell ref="B63:L63"/>
    <mergeCell ref="B41:L41"/>
    <mergeCell ref="B35:L35"/>
    <mergeCell ref="B16:L16"/>
    <mergeCell ref="B25:L25"/>
    <mergeCell ref="B90:L90"/>
    <mergeCell ref="B66:L66"/>
    <mergeCell ref="A3:L3"/>
    <mergeCell ref="A55:L55"/>
    <mergeCell ref="B27:L27"/>
    <mergeCell ref="B77:L77"/>
    <mergeCell ref="B11:L11"/>
    <mergeCell ref="B67:L67"/>
    <mergeCell ref="B61:L61"/>
    <mergeCell ref="A4:L4"/>
    <mergeCell ref="A38:L38"/>
    <mergeCell ref="B53:L53"/>
    <mergeCell ref="B29:L29"/>
    <mergeCell ref="B69:L69"/>
    <mergeCell ref="B37:L37"/>
    <mergeCell ref="B84:L84"/>
    <mergeCell ref="B6:C6"/>
    <mergeCell ref="A82:L82"/>
    <mergeCell ref="A60:L60"/>
    <mergeCell ref="B15:L15"/>
    <mergeCell ref="B24:L24"/>
    <mergeCell ref="B80:L80"/>
    <mergeCell ref="B95:L95"/>
    <mergeCell ref="B89:L89"/>
    <mergeCell ref="B79:L79"/>
    <mergeCell ref="B26:L26"/>
    <mergeCell ref="B54:L54"/>
    <mergeCell ref="B81:L81"/>
    <mergeCell ref="B56:L56"/>
    <mergeCell ref="B71:L71"/>
    <mergeCell ref="B43:L43"/>
    <mergeCell ref="B58:L58"/>
    <mergeCell ref="A42:L42"/>
    <mergeCell ref="B17:L17"/>
    <mergeCell ref="B57:L57"/>
    <mergeCell ref="A20:L20"/>
    <mergeCell ref="A72:L72"/>
    <mergeCell ref="D5:L5"/>
    <mergeCell ref="B44:L44"/>
    <mergeCell ref="B34:L34"/>
    <mergeCell ref="B9:L9"/>
    <mergeCell ref="B83:L83"/>
    <mergeCell ref="B92:L92"/>
    <mergeCell ref="B30:L30"/>
    <mergeCell ref="A51:L51"/>
    <mergeCell ref="B5:C5"/>
    <mergeCell ref="A1:F1"/>
    <mergeCell ref="A88:L88"/>
    <mergeCell ref="B85:L85"/>
    <mergeCell ref="B94:L94"/>
    <mergeCell ref="B75:L75"/>
    <mergeCell ref="A7:L7"/>
    <mergeCell ref="B62:L62"/>
    <mergeCell ref="B59:L59"/>
    <mergeCell ref="B46:L46"/>
    <mergeCell ref="B70:L70"/>
    <mergeCell ref="B48:L48"/>
    <mergeCell ref="A8:L8"/>
    <mergeCell ref="G1:L1"/>
    <mergeCell ref="B73:L73"/>
    <mergeCell ref="A19:L19"/>
    <mergeCell ref="A68:L68"/>
    <mergeCell ref="A28:L28"/>
    <mergeCell ref="B10:L10"/>
    <mergeCell ref="B65:L65"/>
    <mergeCell ref="B74:L74"/>
    <mergeCell ref="A45:L45"/>
    <mergeCell ref="B36:L36"/>
    <mergeCell ref="B76:L76"/>
    <mergeCell ref="D6:L6"/>
  </mergeCells>
  <printOptions horizontalCentered="1"/>
  <pageMargins left="0.45" right="0.45" top="0.5" bottom="0.5" header="0.2" footer="0.2"/>
  <pageSetup orientation="portrait" paperSize="9" fitToHeight="0" fitToWidth="1"/>
  <rowBreaks count="3" manualBreakCount="3">
    <brk id="34" min="0" max="16383" man="1"/>
    <brk id="61" min="0" max="16383" man="1"/>
    <brk id="86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7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e.  계측 시공계획</t>
        </is>
      </c>
    </row>
    <row r="4" ht="21" customHeight="1">
      <c r="A4" s="45" t="inlineStr">
        <is>
          <t>1. 일반 사항</t>
        </is>
      </c>
    </row>
    <row r="5" ht="68" customHeight="1">
      <c r="A5" s="22" t="inlineStr">
        <is>
          <t>현장 계측은 지반 조건에 관한 실제 자료가 모자라 생기는 설계상의 불확실성을 시공 중에 찾아 없애고, 터파기가 지반에 미치는 영향과 그에 따른 지반 변화가 인접 구조물에 미치는 영향을 시공 중 · 시공 후에 알려 주는 수단입니다. 자료를 일찍 모아 설계와 시공에 반영해 안전하고 경제적인 시공으로 이끄는 데 목적이 있습니다.</t>
        </is>
      </c>
    </row>
    <row r="6" ht="36" customHeight="1">
      <c r="A6" s="20" t="inlineStr">
        <is>
          <t>(1)</t>
        </is>
      </c>
      <c r="B6" s="21" t="inlineStr">
        <is>
          <t>시공사는 설계도면과 공사시방서에 정한 계측기를 구매해 감독관 입회 아래 전문 기술자가 정해진 위치에 설치합니다.</t>
        </is>
      </c>
    </row>
    <row r="7" ht="20.5" customHeight="1">
      <c r="A7" s="20" t="inlineStr">
        <is>
          <t>(2)</t>
        </is>
      </c>
      <c r="B7" s="21" t="inlineStr">
        <is>
          <t>시공사는 계측기를 유지 관리해 계측 자료 수집에 차질이 없게 합니다.</t>
        </is>
      </c>
    </row>
    <row r="8" ht="21" customHeight="1">
      <c r="A8" s="45" t="inlineStr">
        <is>
          <t>2. 계측 위치</t>
        </is>
      </c>
    </row>
    <row r="9" ht="21.5" customHeight="1">
      <c r="A9" s="22" t="inlineStr">
        <is>
          <t>계측 위치는 설계도면을 기준으로 하되 현장 여건과 상황에 따라 감독관과 협의해 조정합니다.</t>
        </is>
      </c>
    </row>
    <row r="10" ht="21" customHeight="1">
      <c r="A10" s="45" t="inlineStr">
        <is>
          <t>3. 계측 빈도</t>
        </is>
      </c>
    </row>
    <row r="11" ht="24" customHeight="1">
      <c r="A11" s="23" t="inlineStr">
        <is>
          <t>측정 방식</t>
        </is>
      </c>
      <c r="B11" s="7" t="n"/>
      <c r="C11" s="23" t="inlineStr">
        <is>
          <t>계 측 항 목</t>
        </is>
      </c>
      <c r="D11" s="7" t="n"/>
      <c r="E11" s="7" t="n"/>
      <c r="F11" s="23" t="inlineStr">
        <is>
          <t>사 용 계 기</t>
        </is>
      </c>
      <c r="G11" s="7" t="n"/>
      <c r="H11" s="7" t="n"/>
      <c r="I11" s="23" t="inlineStr">
        <is>
          <t>4차 굴착 이전</t>
        </is>
      </c>
      <c r="J11" s="7" t="n"/>
      <c r="K11" s="23" t="inlineStr">
        <is>
          <t>4차 굴착 이후</t>
        </is>
      </c>
      <c r="L11" s="7" t="n"/>
    </row>
    <row r="12" ht="33" customHeight="1">
      <c r="A12" s="47" t="inlineStr">
        <is>
          <t>자동 계측</t>
        </is>
      </c>
      <c r="B12" s="7" t="n"/>
      <c r="C12" s="48" t="inlineStr">
        <is>
          <t>토류벽에 작용하는 토압</t>
        </is>
      </c>
      <c r="D12" s="7" t="n"/>
      <c r="E12" s="7" t="n"/>
      <c r="F12" s="48" t="inlineStr">
        <is>
          <t>토압계</t>
        </is>
      </c>
      <c r="G12" s="7" t="n"/>
      <c r="H12" s="7" t="n"/>
      <c r="I12" s="49" t="inlineStr">
        <is>
          <t>1일 8회
(3시간 간격)</t>
        </is>
      </c>
      <c r="J12" s="7" t="n"/>
      <c r="K12" s="49" t="inlineStr">
        <is>
          <t>1일 2회
(12시간 간격)</t>
        </is>
      </c>
      <c r="L12" s="7" t="n"/>
    </row>
    <row r="13" ht="33" customHeight="1">
      <c r="A13" s="47" t="inlineStr">
        <is>
          <t>자동 계측</t>
        </is>
      </c>
      <c r="B13" s="7" t="n"/>
      <c r="C13" s="48" t="inlineStr">
        <is>
          <t>토류벽에 작용하는 수압</t>
        </is>
      </c>
      <c r="D13" s="7" t="n"/>
      <c r="E13" s="7" t="n"/>
      <c r="F13" s="48" t="inlineStr">
        <is>
          <t>간극수압계</t>
        </is>
      </c>
      <c r="G13" s="7" t="n"/>
      <c r="H13" s="7" t="n"/>
      <c r="I13" s="49" t="inlineStr">
        <is>
          <t>1일 8회
(3시간 간격)</t>
        </is>
      </c>
      <c r="J13" s="7" t="n"/>
      <c r="K13" s="49" t="inlineStr">
        <is>
          <t>1일 2회
(12시간 간격)</t>
        </is>
      </c>
      <c r="L13" s="7" t="n"/>
    </row>
    <row r="14" ht="33" customHeight="1">
      <c r="A14" s="47" t="inlineStr">
        <is>
          <t>자동 계측</t>
        </is>
      </c>
      <c r="B14" s="7" t="n"/>
      <c r="C14" s="48" t="inlineStr">
        <is>
          <t>STRUT 축력</t>
        </is>
      </c>
      <c r="D14" s="7" t="n"/>
      <c r="E14" s="7" t="n"/>
      <c r="F14" s="48" t="inlineStr">
        <is>
          <t>변형률계(표면형) · 온도계</t>
        </is>
      </c>
      <c r="G14" s="7" t="n"/>
      <c r="H14" s="7" t="n"/>
      <c r="I14" s="49" t="inlineStr">
        <is>
          <t>1일 8회
(3시간 간격)</t>
        </is>
      </c>
      <c r="J14" s="7" t="n"/>
      <c r="K14" s="49" t="inlineStr">
        <is>
          <t>1일 2회
(12시간 간격)</t>
        </is>
      </c>
      <c r="L14" s="7" t="n"/>
    </row>
    <row r="15" ht="33" customHeight="1">
      <c r="A15" s="47" t="inlineStr">
        <is>
          <t>자동 계측</t>
        </is>
      </c>
      <c r="B15" s="7" t="n"/>
      <c r="C15" s="48" t="inlineStr">
        <is>
          <t>인접 구조물 기울기</t>
        </is>
      </c>
      <c r="D15" s="7" t="n"/>
      <c r="E15" s="7" t="n"/>
      <c r="F15" s="48" t="inlineStr">
        <is>
          <t>건물 경사계</t>
        </is>
      </c>
      <c r="G15" s="7" t="n"/>
      <c r="H15" s="7" t="n"/>
      <c r="I15" s="49" t="inlineStr">
        <is>
          <t>1일 8회
(3시간 간격)</t>
        </is>
      </c>
      <c r="J15" s="7" t="n"/>
      <c r="K15" s="49" t="inlineStr">
        <is>
          <t>1일 2회
(12시간 간격)</t>
        </is>
      </c>
      <c r="L15" s="7" t="n"/>
    </row>
    <row r="16" ht="33" customHeight="1">
      <c r="A16" s="47" t="inlineStr">
        <is>
          <t>자동 계측</t>
        </is>
      </c>
      <c r="B16" s="7" t="n"/>
      <c r="C16" s="48" t="inlineStr">
        <is>
          <t>지하수위</t>
        </is>
      </c>
      <c r="D16" s="7" t="n"/>
      <c r="E16" s="7" t="n"/>
      <c r="F16" s="48" t="inlineStr">
        <is>
          <t>자동기록 수위계</t>
        </is>
      </c>
      <c r="G16" s="7" t="n"/>
      <c r="H16" s="7" t="n"/>
      <c r="I16" s="49" t="inlineStr">
        <is>
          <t>1일 8회
(3시간 간격)</t>
        </is>
      </c>
      <c r="J16" s="7" t="n"/>
      <c r="K16" s="49" t="inlineStr">
        <is>
          <t>1일 2회
(12시간 간격)</t>
        </is>
      </c>
      <c r="L16" s="7" t="n"/>
    </row>
    <row r="17" ht="24" customHeight="1">
      <c r="A17" s="47" t="inlineStr">
        <is>
          <t>수동 계측</t>
        </is>
      </c>
      <c r="B17" s="7" t="n"/>
      <c r="C17" s="48" t="inlineStr">
        <is>
          <t>토류벽 변형(수평 변위)</t>
        </is>
      </c>
      <c r="D17" s="7" t="n"/>
      <c r="E17" s="7" t="n"/>
      <c r="F17" s="48" t="inlineStr">
        <is>
          <t>삽입식 경사계</t>
        </is>
      </c>
      <c r="G17" s="7" t="n"/>
      <c r="H17" s="7" t="n"/>
      <c r="I17" s="49" t="inlineStr">
        <is>
          <t>주 1회</t>
        </is>
      </c>
      <c r="J17" s="7" t="n"/>
      <c r="K17" s="49" t="inlineStr">
        <is>
          <t>주 1회</t>
        </is>
      </c>
      <c r="L17" s="7" t="n"/>
    </row>
    <row r="18" ht="24" customHeight="1">
      <c r="A18" s="47" t="inlineStr">
        <is>
          <t>수동 계측</t>
        </is>
      </c>
      <c r="B18" s="7" t="n"/>
      <c r="C18" s="48" t="inlineStr">
        <is>
          <t>토류벽 두부의 변형</t>
        </is>
      </c>
      <c r="D18" s="7" t="n"/>
      <c r="E18" s="7" t="n"/>
      <c r="F18" s="48" t="inlineStr">
        <is>
          <t>트랜싯 · 레벨</t>
        </is>
      </c>
      <c r="G18" s="7" t="n"/>
      <c r="H18" s="7" t="n"/>
      <c r="I18" s="49" t="inlineStr">
        <is>
          <t>각 차 굴착 후</t>
        </is>
      </c>
      <c r="J18" s="7" t="n"/>
      <c r="K18" s="49" t="inlineStr">
        <is>
          <t>각 차 굴착 후</t>
        </is>
      </c>
      <c r="L18" s="7" t="n"/>
    </row>
    <row r="19" ht="24" customHeight="1">
      <c r="A19" s="47" t="inlineStr">
        <is>
          <t>수동 계측</t>
        </is>
      </c>
      <c r="B19" s="7" t="n"/>
      <c r="C19" s="48" t="inlineStr">
        <is>
          <t>주변 지반 침하</t>
        </is>
      </c>
      <c r="D19" s="7" t="n"/>
      <c r="E19" s="7" t="n"/>
      <c r="F19" s="48" t="inlineStr">
        <is>
          <t>레벨</t>
        </is>
      </c>
      <c r="G19" s="7" t="n"/>
      <c r="H19" s="7" t="n"/>
      <c r="I19" s="49" t="inlineStr">
        <is>
          <t>각 차 굴착 후</t>
        </is>
      </c>
      <c r="J19" s="7" t="n"/>
      <c r="K19" s="49" t="inlineStr">
        <is>
          <t>각 차 굴착 후</t>
        </is>
      </c>
      <c r="L19" s="7" t="n"/>
    </row>
    <row r="20" ht="16" customHeight="1">
      <c r="A20" s="11" t="inlineStr">
        <is>
          <t>※ 토류벽의 거동이 크게 예상되는 위치에 계측합니다. 기준 굴착 단계(4차)는 설계도서의 계측 계획에 맞게 고쳐 씁니다.</t>
        </is>
      </c>
    </row>
    <row r="21" ht="21" customHeight="1">
      <c r="A21" s="45" t="inlineStr">
        <is>
          <t>4. 계측 관리</t>
        </is>
      </c>
    </row>
    <row r="22" ht="52.5" customHeight="1">
      <c r="A22" s="22" t="inlineStr">
        <is>
          <t>계측관리는 여러 계측을 조직적으로 하면서 그 결과를 시공에 반영하고, 설계를 실제 현장에 맞게 고쳐 가며 공사를 안전하고 경제적으로 관리하는 것이므로 계측 단계별 관리 지침이 필요합니다.</t>
        </is>
      </c>
    </row>
    <row r="23" ht="20" customHeight="1">
      <c r="A23" s="50" t="inlineStr">
        <is>
          <t>(1) 계측관리 기준치 설정</t>
        </is>
      </c>
    </row>
    <row r="24" ht="52.5" customHeight="1">
      <c r="A24" s="22" t="inlineStr">
        <is>
          <t>변위와 응력의 관리 기준은 지질 조건 · 단면의 크기와 모양 · 굴착 공법 · 주변 구조물의 환경 조건 등에 따라 달라 일정한 기준을 정하기 어렵지만, 설계 해석 결과나 비슷한 지질의 사례 · 허용 속도 등을 기준치로 정해야 합니다.</t>
        </is>
      </c>
    </row>
    <row r="25" ht="20" customHeight="1">
      <c r="A25" s="50" t="inlineStr">
        <is>
          <t>※ 관리 기준치</t>
        </is>
      </c>
    </row>
    <row r="26" ht="24" customHeight="1">
      <c r="A26" s="23" t="inlineStr">
        <is>
          <t>측정 항목</t>
        </is>
      </c>
      <c r="B26" s="7" t="n"/>
      <c r="C26" s="23" t="inlineStr">
        <is>
          <t>판정 기준치</t>
        </is>
      </c>
      <c r="D26" s="7" t="n"/>
      <c r="E26" s="23" t="inlineStr">
        <is>
          <t>판정식 (지표)</t>
        </is>
      </c>
      <c r="F26" s="7" t="n"/>
      <c r="G26" s="7" t="n"/>
      <c r="H26" s="7" t="n"/>
      <c r="I26" s="7" t="n"/>
      <c r="J26" s="23" t="inlineStr">
        <is>
          <t>위 험</t>
        </is>
      </c>
      <c r="K26" s="23" t="inlineStr">
        <is>
          <t>주 의</t>
        </is>
      </c>
      <c r="L26" s="23" t="inlineStr">
        <is>
          <t>안 전</t>
        </is>
      </c>
    </row>
    <row r="27" ht="46.5" customHeight="1">
      <c r="A27" s="47" t="inlineStr">
        <is>
          <t>측압 (토압 · 수압)</t>
        </is>
      </c>
      <c r="B27" s="7" t="n"/>
      <c r="C27" s="48" t="inlineStr">
        <is>
          <t>설계 시 이용한 토압</t>
        </is>
      </c>
      <c r="D27" s="7" t="n"/>
      <c r="E27" s="48" t="inlineStr">
        <is>
          <t>F1 = 설계 시 이용한 토압 ÷ 실측 측압</t>
        </is>
      </c>
      <c r="F27" s="7" t="n"/>
      <c r="G27" s="7" t="n"/>
      <c r="H27" s="7" t="n"/>
      <c r="I27" s="7" t="n"/>
      <c r="J27" s="51" t="inlineStr">
        <is>
          <t>F1 &lt; 0.8</t>
        </is>
      </c>
      <c r="K27" s="51" t="inlineStr">
        <is>
          <t>0.8 ≤ F1
≤ 1.2</t>
        </is>
      </c>
      <c r="L27" s="51" t="inlineStr">
        <is>
          <t>F1 &gt; 1.2</t>
        </is>
      </c>
    </row>
    <row r="28" ht="46.5" customHeight="1">
      <c r="A28" s="47" t="inlineStr">
        <is>
          <t>벽체 변형</t>
        </is>
      </c>
      <c r="B28" s="7" t="n"/>
      <c r="C28" s="48" t="inlineStr">
        <is>
          <t>설계 시 추정 변위</t>
        </is>
      </c>
      <c r="D28" s="7" t="n"/>
      <c r="E28" s="48" t="inlineStr">
        <is>
          <t>F2 = 설계 시 추정 변위 ÷ 실측 변위량</t>
        </is>
      </c>
      <c r="F28" s="7" t="n"/>
      <c r="G28" s="7" t="n"/>
      <c r="H28" s="7" t="n"/>
      <c r="I28" s="7" t="n"/>
      <c r="J28" s="51" t="inlineStr">
        <is>
          <t>F2 &lt; 0.8</t>
        </is>
      </c>
      <c r="K28" s="51" t="inlineStr">
        <is>
          <t>0.8 ≤ F2
≤ 1.2</t>
        </is>
      </c>
      <c r="L28" s="51" t="inlineStr">
        <is>
          <t>F2 &gt; 1.2</t>
        </is>
      </c>
    </row>
    <row r="29" ht="46.5" customHeight="1">
      <c r="A29" s="47" t="inlineStr">
        <is>
          <t>토류벽 내 응력 (철근)</t>
        </is>
      </c>
      <c r="B29" s="7" t="n"/>
      <c r="C29" s="48" t="inlineStr">
        <is>
          <t>철근의 허용인장응력</t>
        </is>
      </c>
      <c r="D29" s="7" t="n"/>
      <c r="E29" s="48" t="inlineStr">
        <is>
          <t>F3 = 철근의 허용인장응력 ÷ 실측 인장응력</t>
        </is>
      </c>
      <c r="F29" s="7" t="n"/>
      <c r="G29" s="7" t="n"/>
      <c r="H29" s="7" t="n"/>
      <c r="I29" s="7" t="n"/>
      <c r="J29" s="51" t="inlineStr">
        <is>
          <t>F3 &lt; 0.8</t>
        </is>
      </c>
      <c r="K29" s="51" t="inlineStr">
        <is>
          <t>0.8 ≤ F3
≤ 1.2</t>
        </is>
      </c>
      <c r="L29" s="51" t="inlineStr">
        <is>
          <t>F3 &gt; 1.2</t>
        </is>
      </c>
    </row>
    <row r="30" ht="46.5" customHeight="1">
      <c r="A30" s="47" t="inlineStr">
        <is>
          <t>토류벽 응력 (휨)</t>
        </is>
      </c>
      <c r="B30" s="7" t="n"/>
      <c r="C30" s="48" t="inlineStr">
        <is>
          <t>허용 휨모멘트</t>
        </is>
      </c>
      <c r="D30" s="7" t="n"/>
      <c r="E30" s="48" t="inlineStr">
        <is>
          <t>F4 = 허용 휨모멘트 ÷ 실측 휨모멘트</t>
        </is>
      </c>
      <c r="F30" s="7" t="n"/>
      <c r="G30" s="7" t="n"/>
      <c r="H30" s="7" t="n"/>
      <c r="I30" s="7" t="n"/>
      <c r="J30" s="51" t="inlineStr">
        <is>
          <t>F4 &lt; 0.8</t>
        </is>
      </c>
      <c r="K30" s="51" t="inlineStr">
        <is>
          <t>0.8 ≤ F4
≤ 1.2</t>
        </is>
      </c>
      <c r="L30" s="51" t="inlineStr">
        <is>
          <t>F4 &gt; 1.2</t>
        </is>
      </c>
    </row>
    <row r="31" ht="46.5" customHeight="1">
      <c r="A31" s="47" t="inlineStr">
        <is>
          <t>STRUT 축력</t>
        </is>
      </c>
      <c r="B31" s="7" t="n"/>
      <c r="C31" s="48" t="inlineStr">
        <is>
          <t>부재의 허용축력</t>
        </is>
      </c>
      <c r="D31" s="7" t="n"/>
      <c r="E31" s="48" t="inlineStr">
        <is>
          <t>F5 = 부재의 허용축력 ÷ 실측 축력</t>
        </is>
      </c>
      <c r="F31" s="7" t="n"/>
      <c r="G31" s="7" t="n"/>
      <c r="H31" s="7" t="n"/>
      <c r="I31" s="7" t="n"/>
      <c r="J31" s="51" t="inlineStr">
        <is>
          <t>F5 &lt; 0.8</t>
        </is>
      </c>
      <c r="K31" s="51" t="inlineStr">
        <is>
          <t>0.8 ≤ F5
≤ 1.2</t>
        </is>
      </c>
      <c r="L31" s="51" t="inlineStr">
        <is>
          <t>F5 &gt; 1.2</t>
        </is>
      </c>
    </row>
    <row r="32" ht="33" customHeight="1">
      <c r="A32" s="47" t="inlineStr">
        <is>
          <t>굴착 저면
Heaving 량</t>
        </is>
      </c>
      <c r="B32" s="7" t="n"/>
      <c r="C32" s="48" t="inlineStr">
        <is>
          <t>T.W. Lambe 의
허용 Heaving 량</t>
        </is>
      </c>
      <c r="D32" s="7" t="n"/>
      <c r="E32" s="48" t="inlineStr">
        <is>
          <t>실측 결과를 허용 Heaving 도표에 표시(PLOT)</t>
        </is>
      </c>
      <c r="F32" s="7" t="n"/>
      <c r="G32" s="7" t="n"/>
      <c r="H32" s="7" t="n"/>
      <c r="I32" s="7" t="n"/>
      <c r="J32" s="51" t="inlineStr">
        <is>
          <t>위험 영역</t>
        </is>
      </c>
      <c r="K32" s="51" t="inlineStr">
        <is>
          <t>주의 영역</t>
        </is>
      </c>
      <c r="L32" s="51" t="inlineStr">
        <is>
          <t>안전 영역</t>
        </is>
      </c>
    </row>
    <row r="33" ht="33" customHeight="1">
      <c r="A33" s="47" t="inlineStr">
        <is>
          <t>침 하 량</t>
        </is>
      </c>
      <c r="B33" s="7" t="n"/>
      <c r="C33" s="48" t="inlineStr">
        <is>
          <t>현장마다
허용치 결정</t>
        </is>
      </c>
      <c r="D33" s="7" t="n"/>
      <c r="E33" s="48" t="inlineStr">
        <is>
          <t>현장 여건에 맞는 허용 침하량을 정하고, 넘으면 위험 또는 주의 신호로 봅니다.</t>
        </is>
      </c>
      <c r="F33" s="7" t="n"/>
      <c r="G33" s="7" t="n"/>
      <c r="H33" s="7" t="n"/>
      <c r="I33" s="7" t="n"/>
      <c r="J33" s="51" t="inlineStr">
        <is>
          <t>허용치 초과</t>
        </is>
      </c>
      <c r="K33" s="51" t="inlineStr">
        <is>
          <t>허용치 근접</t>
        </is>
      </c>
      <c r="L33" s="51" t="inlineStr">
        <is>
          <t>허용치 이하</t>
        </is>
      </c>
    </row>
    <row r="34" ht="33" customHeight="1">
      <c r="A34" s="47" t="inlineStr">
        <is>
          <t>부등 침하량</t>
        </is>
      </c>
      <c r="B34" s="7" t="n"/>
      <c r="C34" s="48" t="inlineStr">
        <is>
          <t>건물의 허용
부등 침하량</t>
        </is>
      </c>
      <c r="D34" s="7" t="n"/>
      <c r="E34" s="48" t="inlineStr">
        <is>
          <t>기둥 간격에 대한 부등 침하량의 비</t>
        </is>
      </c>
      <c r="F34" s="7" t="n"/>
      <c r="G34" s="7" t="n"/>
      <c r="H34" s="7" t="n"/>
      <c r="I34" s="7" t="n"/>
      <c r="J34" s="51" t="inlineStr">
        <is>
          <t>1/300
이상</t>
        </is>
      </c>
      <c r="K34" s="51" t="inlineStr">
        <is>
          <t>1/500 ~
1/300</t>
        </is>
      </c>
      <c r="L34" s="51" t="inlineStr">
        <is>
          <t>1/500
이하</t>
        </is>
      </c>
    </row>
    <row r="35" ht="6" customHeight="1"/>
    <row r="36" ht="20" customHeight="1">
      <c r="A36" s="50" t="inlineStr">
        <is>
          <t>※ 계측값 판정 — 기준치와 실측값을 넣으면 F 값과 판정(위험 · 주의 · 안전)이 저절로 나옵니다.</t>
        </is>
      </c>
    </row>
    <row r="37" ht="24" customHeight="1">
      <c r="A37" s="6" t="inlineStr">
        <is>
          <t>판정 경계 (F)</t>
        </is>
      </c>
      <c r="B37" s="7" t="n"/>
      <c r="C37" s="7" t="n"/>
      <c r="D37" s="6" t="inlineStr">
        <is>
          <t>위험 ↔ 주의</t>
        </is>
      </c>
      <c r="E37" s="7" t="n"/>
      <c r="F37" s="52" t="n">
        <v>0.8</v>
      </c>
      <c r="G37" s="6" t="inlineStr">
        <is>
          <t>주의 ↔ 안전</t>
        </is>
      </c>
      <c r="H37" s="7" t="n"/>
      <c r="I37" s="52" t="n">
        <v>1.2</v>
      </c>
      <c r="J37" s="5" t="inlineStr"/>
    </row>
    <row r="38" ht="32" customHeight="1">
      <c r="A38" s="23" t="inlineStr">
        <is>
          <t>측정 항목</t>
        </is>
      </c>
      <c r="B38" s="7" t="n"/>
      <c r="C38" s="7" t="n"/>
      <c r="D38" s="23" t="inlineStr">
        <is>
          <t>판정 기준치</t>
        </is>
      </c>
      <c r="E38" s="7" t="n"/>
      <c r="F38" s="23" t="inlineStr">
        <is>
          <t>실측값</t>
        </is>
      </c>
      <c r="G38" s="7" t="n"/>
      <c r="H38" s="23" t="inlineStr">
        <is>
          <t>단위</t>
        </is>
      </c>
      <c r="I38" s="23" t="inlineStr">
        <is>
          <t>F = 기준치
÷ 실측값</t>
        </is>
      </c>
      <c r="J38" s="7" t="n"/>
      <c r="K38" s="23" t="inlineStr">
        <is>
          <t>판  정</t>
        </is>
      </c>
      <c r="L38" s="7" t="n"/>
    </row>
    <row r="39" ht="24" customHeight="1">
      <c r="A39" s="53" t="inlineStr">
        <is>
          <t>F1  측압 (토압 · 수압)</t>
        </is>
      </c>
      <c r="B39" s="7" t="n"/>
      <c r="C39" s="7" t="n"/>
      <c r="D39" s="54" t="n"/>
      <c r="E39" s="7" t="n"/>
      <c r="F39" s="54" t="n"/>
      <c r="G39" s="7" t="n"/>
      <c r="H39" s="55" t="inlineStr">
        <is>
          <t>kN/㎡</t>
        </is>
      </c>
      <c r="I39" s="56">
        <f>IF(OR(N(D39)=0,N(F39)=0),"",D39/F39)</f>
        <v/>
      </c>
      <c r="J39" s="7" t="n"/>
      <c r="K39" s="57">
        <f>IF(N(I39)=0,"",IF(I39&lt;F37,"위험",IF(I39&gt;I37,"안전","주의")))</f>
        <v/>
      </c>
      <c r="L39" s="7" t="n"/>
    </row>
    <row r="40" ht="24" customHeight="1">
      <c r="A40" s="53" t="inlineStr">
        <is>
          <t>F2  벽체 변형</t>
        </is>
      </c>
      <c r="B40" s="7" t="n"/>
      <c r="C40" s="7" t="n"/>
      <c r="D40" s="54" t="n"/>
      <c r="E40" s="7" t="n"/>
      <c r="F40" s="54" t="n"/>
      <c r="G40" s="7" t="n"/>
      <c r="H40" s="55" t="inlineStr">
        <is>
          <t>mm</t>
        </is>
      </c>
      <c r="I40" s="56">
        <f>IF(OR(N(D40)=0,N(F40)=0),"",D40/F40)</f>
        <v/>
      </c>
      <c r="J40" s="7" t="n"/>
      <c r="K40" s="57">
        <f>IF(N(I40)=0,"",IF(I40&lt;F37,"위험",IF(I40&gt;I37,"안전","주의")))</f>
        <v/>
      </c>
      <c r="L40" s="7" t="n"/>
    </row>
    <row r="41" ht="24" customHeight="1">
      <c r="A41" s="53" t="inlineStr">
        <is>
          <t>F3  토류벽 내 응력 (철근)</t>
        </is>
      </c>
      <c r="B41" s="7" t="n"/>
      <c r="C41" s="7" t="n"/>
      <c r="D41" s="54" t="n"/>
      <c r="E41" s="7" t="n"/>
      <c r="F41" s="54" t="n"/>
      <c r="G41" s="7" t="n"/>
      <c r="H41" s="55" t="inlineStr">
        <is>
          <t>MPa</t>
        </is>
      </c>
      <c r="I41" s="56">
        <f>IF(OR(N(D41)=0,N(F41)=0),"",D41/F41)</f>
        <v/>
      </c>
      <c r="J41" s="7" t="n"/>
      <c r="K41" s="57">
        <f>IF(N(I41)=0,"",IF(I41&lt;F37,"위험",IF(I41&gt;I37,"안전","주의")))</f>
        <v/>
      </c>
      <c r="L41" s="7" t="n"/>
    </row>
    <row r="42" ht="24" customHeight="1">
      <c r="A42" s="53" t="inlineStr">
        <is>
          <t>F4  토류벽 응력 (휨)</t>
        </is>
      </c>
      <c r="B42" s="7" t="n"/>
      <c r="C42" s="7" t="n"/>
      <c r="D42" s="54" t="n"/>
      <c r="E42" s="7" t="n"/>
      <c r="F42" s="54" t="n"/>
      <c r="G42" s="7" t="n"/>
      <c r="H42" s="55" t="inlineStr">
        <is>
          <t>kN·m</t>
        </is>
      </c>
      <c r="I42" s="56">
        <f>IF(OR(N(D42)=0,N(F42)=0),"",D42/F42)</f>
        <v/>
      </c>
      <c r="J42" s="7" t="n"/>
      <c r="K42" s="57">
        <f>IF(N(I42)=0,"",IF(I42&lt;F37,"위험",IF(I42&gt;I37,"안전","주의")))</f>
        <v/>
      </c>
      <c r="L42" s="7" t="n"/>
    </row>
    <row r="43" ht="24" customHeight="1">
      <c r="A43" s="53" t="inlineStr">
        <is>
          <t>F5  STRUT 축력</t>
        </is>
      </c>
      <c r="B43" s="7" t="n"/>
      <c r="C43" s="7" t="n"/>
      <c r="D43" s="54" t="n"/>
      <c r="E43" s="7" t="n"/>
      <c r="F43" s="54" t="n"/>
      <c r="G43" s="7" t="n"/>
      <c r="H43" s="55" t="inlineStr">
        <is>
          <t>kN</t>
        </is>
      </c>
      <c r="I43" s="56">
        <f>IF(OR(N(D43)=0,N(F43)=0),"",D43/F43)</f>
        <v/>
      </c>
      <c r="J43" s="7" t="n"/>
      <c r="K43" s="57">
        <f>IF(N(I43)=0,"",IF(I43&lt;F37,"위험",IF(I43&gt;I37,"안전","주의")))</f>
        <v/>
      </c>
      <c r="L43" s="7" t="n"/>
    </row>
    <row r="44" ht="6" customHeight="1"/>
    <row r="45" ht="24" customHeight="1">
      <c r="A45" s="6" t="inlineStr">
        <is>
          <t>부등침하 경계</t>
        </is>
      </c>
      <c r="B45" s="7" t="n"/>
      <c r="C45" s="7" t="n"/>
      <c r="D45" s="6" t="inlineStr">
        <is>
          <t>위험 (이상)</t>
        </is>
      </c>
      <c r="E45" s="7" t="n"/>
      <c r="F45" s="58" t="n">
        <v>300</v>
      </c>
      <c r="G45" s="6" t="inlineStr">
        <is>
          <t>안전 (이하)</t>
        </is>
      </c>
      <c r="H45" s="7" t="n"/>
      <c r="I45" s="58" t="n">
        <v>500</v>
      </c>
      <c r="J45" s="5" t="inlineStr"/>
    </row>
    <row r="46" ht="26" customHeight="1">
      <c r="A46" s="47" t="inlineStr">
        <is>
          <t>부등 침하량 비</t>
        </is>
      </c>
      <c r="B46" s="7" t="n"/>
      <c r="C46" s="7" t="n"/>
      <c r="D46" s="6" t="inlineStr">
        <is>
          <t>침하 차</t>
        </is>
      </c>
      <c r="E46" s="59" t="n"/>
      <c r="F46" s="60" t="inlineStr">
        <is>
          <t>기둥 간격</t>
        </is>
      </c>
      <c r="G46" s="61" t="n"/>
      <c r="H46" s="6" t="inlineStr">
        <is>
          <t>비</t>
        </is>
      </c>
      <c r="I46" s="62">
        <f>IF(OR(N(E46)=0,N(G46)=0),"",G46*1000/E46)</f>
        <v/>
      </c>
      <c r="J46" s="7" t="n"/>
      <c r="K46" s="57">
        <f>IF(N(I46)=0,"",IF(I46&lt;=F45,"위험",IF(I46&lt;I45,"주의","안전")))</f>
        <v/>
      </c>
      <c r="L46" s="7" t="n"/>
    </row>
    <row r="47" ht="16" customHeight="1">
      <c r="A47" s="11" t="inlineStr">
        <is>
          <t>※ 부등 침하량 비 = 침하 차 ÷ 기둥 간격. 1/500 이하면 안전, 1/300 이상이면 위험, 그 사이는 주의(노란 칸은 건물 조건에 맞게 고쳐 씀).</t>
        </is>
      </c>
    </row>
    <row r="48" ht="20" customHeight="1">
      <c r="A48" s="50" t="inlineStr">
        <is>
          <t>※ 여러 가지 구조물의 최대 허용 침하량 (Sowers, 1962)</t>
        </is>
      </c>
    </row>
    <row r="49" ht="24" customHeight="1">
      <c r="A49" s="23" t="inlineStr">
        <is>
          <t>침 하 형 태</t>
        </is>
      </c>
      <c r="B49" s="7" t="n"/>
      <c r="C49" s="7" t="n"/>
      <c r="D49" s="23" t="inlineStr">
        <is>
          <t>구 조 물 의 종 류</t>
        </is>
      </c>
      <c r="E49" s="7" t="n"/>
      <c r="F49" s="7" t="n"/>
      <c r="G49" s="7" t="n"/>
      <c r="H49" s="7" t="n"/>
      <c r="I49" s="23" t="inlineStr">
        <is>
          <t>최 대 침 하 량</t>
        </is>
      </c>
      <c r="J49" s="7" t="n"/>
      <c r="K49" s="7" t="n"/>
      <c r="L49" s="7" t="n"/>
    </row>
    <row r="50" ht="20" customHeight="1">
      <c r="A50" s="47" t="inlineStr">
        <is>
          <t>전체 침하</t>
        </is>
      </c>
      <c r="B50" s="7" t="n"/>
      <c r="C50" s="7" t="n"/>
      <c r="D50" s="48" t="inlineStr">
        <is>
          <t>배수 시설</t>
        </is>
      </c>
      <c r="E50" s="7" t="n"/>
      <c r="F50" s="7" t="n"/>
      <c r="G50" s="7" t="n"/>
      <c r="H50" s="7" t="n"/>
      <c r="I50" s="49" t="inlineStr">
        <is>
          <t>15.0 ~ 30.0 cm</t>
        </is>
      </c>
      <c r="J50" s="7" t="n"/>
      <c r="K50" s="7" t="n"/>
      <c r="L50" s="7" t="n"/>
    </row>
    <row r="51" ht="20" customHeight="1">
      <c r="A51" s="48" t="inlineStr"/>
      <c r="B51" s="7" t="n"/>
      <c r="C51" s="7" t="n"/>
      <c r="D51" s="48" t="inlineStr">
        <is>
          <t>출입구</t>
        </is>
      </c>
      <c r="E51" s="7" t="n"/>
      <c r="F51" s="7" t="n"/>
      <c r="G51" s="7" t="n"/>
      <c r="H51" s="7" t="n"/>
      <c r="I51" s="49" t="inlineStr">
        <is>
          <t>30.0 ~ 60.0 cm</t>
        </is>
      </c>
      <c r="J51" s="7" t="n"/>
      <c r="K51" s="7" t="n"/>
      <c r="L51" s="7" t="n"/>
    </row>
    <row r="52" ht="20" customHeight="1">
      <c r="A52" s="47" t="inlineStr">
        <is>
          <t>부등 침하의 가능성</t>
        </is>
      </c>
      <c r="B52" s="7" t="n"/>
      <c r="C52" s="7" t="n"/>
      <c r="D52" s="48" t="inlineStr">
        <is>
          <t>조적 구조</t>
        </is>
      </c>
      <c r="E52" s="7" t="n"/>
      <c r="F52" s="7" t="n"/>
      <c r="G52" s="7" t="n"/>
      <c r="H52" s="7" t="n"/>
      <c r="I52" s="49" t="inlineStr">
        <is>
          <t>2.5 ~ 5.0 cm</t>
        </is>
      </c>
      <c r="J52" s="7" t="n"/>
      <c r="K52" s="7" t="n"/>
      <c r="L52" s="7" t="n"/>
    </row>
    <row r="53" ht="20" customHeight="1">
      <c r="A53" s="48" t="inlineStr"/>
      <c r="B53" s="7" t="n"/>
      <c r="C53" s="7" t="n"/>
      <c r="D53" s="48" t="inlineStr">
        <is>
          <t>뼈대 구조</t>
        </is>
      </c>
      <c r="E53" s="7" t="n"/>
      <c r="F53" s="7" t="n"/>
      <c r="G53" s="7" t="n"/>
      <c r="H53" s="7" t="n"/>
      <c r="I53" s="49" t="inlineStr">
        <is>
          <t>5.0 ~ 10.0 cm</t>
        </is>
      </c>
      <c r="J53" s="7" t="n"/>
      <c r="K53" s="7" t="n"/>
      <c r="L53" s="7" t="n"/>
    </row>
    <row r="54" ht="20" customHeight="1">
      <c r="A54" s="48" t="inlineStr"/>
      <c r="B54" s="7" t="n"/>
      <c r="C54" s="7" t="n"/>
      <c r="D54" s="48" t="inlineStr">
        <is>
          <t>굴뚝 · 사일로 · 매트</t>
        </is>
      </c>
      <c r="E54" s="7" t="n"/>
      <c r="F54" s="7" t="n"/>
      <c r="G54" s="7" t="n"/>
      <c r="H54" s="7" t="n"/>
      <c r="I54" s="49" t="inlineStr">
        <is>
          <t>7.5 ~ 30.0 cm</t>
        </is>
      </c>
      <c r="J54" s="7" t="n"/>
      <c r="K54" s="7" t="n"/>
      <c r="L54" s="7" t="n"/>
    </row>
    <row r="55" ht="20" customHeight="1">
      <c r="A55" s="47" t="inlineStr">
        <is>
          <t>전  도</t>
        </is>
      </c>
      <c r="B55" s="7" t="n"/>
      <c r="C55" s="7" t="n"/>
      <c r="D55" s="48" t="inlineStr">
        <is>
          <t>탑 · 굴뚝</t>
        </is>
      </c>
      <c r="E55" s="7" t="n"/>
      <c r="F55" s="7" t="n"/>
      <c r="G55" s="7" t="n"/>
      <c r="H55" s="7" t="n"/>
      <c r="I55" s="49" t="inlineStr">
        <is>
          <t>0.004 S</t>
        </is>
      </c>
      <c r="J55" s="7" t="n"/>
      <c r="K55" s="7" t="n"/>
      <c r="L55" s="7" t="n"/>
    </row>
    <row r="56" ht="20" customHeight="1">
      <c r="A56" s="48" t="inlineStr"/>
      <c r="B56" s="7" t="n"/>
      <c r="C56" s="7" t="n"/>
      <c r="D56" s="48" t="inlineStr">
        <is>
          <t>물품 적재</t>
        </is>
      </c>
      <c r="E56" s="7" t="n"/>
      <c r="F56" s="7" t="n"/>
      <c r="G56" s="7" t="n"/>
      <c r="H56" s="7" t="n"/>
      <c r="I56" s="49" t="inlineStr">
        <is>
          <t>0.01 S</t>
        </is>
      </c>
      <c r="J56" s="7" t="n"/>
      <c r="K56" s="7" t="n"/>
      <c r="L56" s="7" t="n"/>
    </row>
    <row r="57" ht="20" customHeight="1">
      <c r="A57" s="48" t="inlineStr"/>
      <c r="B57" s="7" t="n"/>
      <c r="C57" s="7" t="n"/>
      <c r="D57" s="48" t="inlineStr">
        <is>
          <t>크레인 레일</t>
        </is>
      </c>
      <c r="E57" s="7" t="n"/>
      <c r="F57" s="7" t="n"/>
      <c r="G57" s="7" t="n"/>
      <c r="H57" s="7" t="n"/>
      <c r="I57" s="49" t="inlineStr">
        <is>
          <t>0.003 S</t>
        </is>
      </c>
      <c r="J57" s="7" t="n"/>
      <c r="K57" s="7" t="n"/>
      <c r="L57" s="7" t="n"/>
    </row>
    <row r="58" ht="20" customHeight="1">
      <c r="A58" s="47" t="inlineStr">
        <is>
          <t>부등 침하</t>
        </is>
      </c>
      <c r="B58" s="7" t="n"/>
      <c r="C58" s="7" t="n"/>
      <c r="D58" s="48" t="inlineStr">
        <is>
          <t>빌딩의 조적 벽체</t>
        </is>
      </c>
      <c r="E58" s="7" t="n"/>
      <c r="F58" s="7" t="n"/>
      <c r="G58" s="7" t="n"/>
      <c r="H58" s="7" t="n"/>
      <c r="I58" s="49" t="inlineStr">
        <is>
          <t>0.0005 S ~ 0.002 S</t>
        </is>
      </c>
      <c r="J58" s="7" t="n"/>
      <c r="K58" s="7" t="n"/>
      <c r="L58" s="7" t="n"/>
    </row>
    <row r="59" ht="20" customHeight="1">
      <c r="A59" s="48" t="inlineStr"/>
      <c r="B59" s="7" t="n"/>
      <c r="C59" s="7" t="n"/>
      <c r="D59" s="48" t="inlineStr">
        <is>
          <t>철근콘크리트 뼈대 구조</t>
        </is>
      </c>
      <c r="E59" s="7" t="n"/>
      <c r="F59" s="7" t="n"/>
      <c r="G59" s="7" t="n"/>
      <c r="H59" s="7" t="n"/>
      <c r="I59" s="49" t="inlineStr">
        <is>
          <t>0.003 S</t>
        </is>
      </c>
      <c r="J59" s="7" t="n"/>
      <c r="K59" s="7" t="n"/>
      <c r="L59" s="7" t="n"/>
    </row>
    <row r="60" ht="20" customHeight="1">
      <c r="A60" s="48" t="inlineStr"/>
      <c r="B60" s="7" t="n"/>
      <c r="C60" s="7" t="n"/>
      <c r="D60" s="48" t="inlineStr">
        <is>
          <t>강 뼈대 구조(연속)</t>
        </is>
      </c>
      <c r="E60" s="7" t="n"/>
      <c r="F60" s="7" t="n"/>
      <c r="G60" s="7" t="n"/>
      <c r="H60" s="7" t="n"/>
      <c r="I60" s="49" t="inlineStr">
        <is>
          <t>0.002 S</t>
        </is>
      </c>
      <c r="J60" s="7" t="n"/>
      <c r="K60" s="7" t="n"/>
      <c r="L60" s="7" t="n"/>
    </row>
    <row r="61" ht="20" customHeight="1">
      <c r="A61" s="48" t="inlineStr"/>
      <c r="B61" s="7" t="n"/>
      <c r="C61" s="7" t="n"/>
      <c r="D61" s="48" t="inlineStr">
        <is>
          <t>강 뼈대 구조(단순)</t>
        </is>
      </c>
      <c r="E61" s="7" t="n"/>
      <c r="F61" s="7" t="n"/>
      <c r="G61" s="7" t="n"/>
      <c r="H61" s="7" t="n"/>
      <c r="I61" s="49" t="inlineStr">
        <is>
          <t>0.005 S</t>
        </is>
      </c>
      <c r="J61" s="7" t="n"/>
      <c r="K61" s="7" t="n"/>
      <c r="L61" s="7" t="n"/>
    </row>
    <row r="62" ht="16" customHeight="1">
      <c r="A62" s="11" t="inlineStr">
        <is>
          <t>※ S = 기둥 사이 간격 또는 두 점 사이 거리.</t>
        </is>
      </c>
    </row>
    <row r="63" ht="20" customHeight="1">
      <c r="A63" s="50" t="inlineStr">
        <is>
          <t>※ 건물 기초에서의 진동 허용치</t>
        </is>
      </c>
    </row>
    <row r="64" ht="36" customHeight="1">
      <c r="A64" s="23" t="inlineStr">
        <is>
          <t>구  분</t>
        </is>
      </c>
      <c r="B64" s="7" t="n"/>
      <c r="C64" s="23" t="inlineStr">
        <is>
          <t>문화재</t>
        </is>
      </c>
      <c r="D64" s="7" t="n"/>
      <c r="E64" s="23" t="inlineStr">
        <is>
          <t>주택 · 아파트
(실금이 있는 상태)</t>
        </is>
      </c>
      <c r="F64" s="7" t="n"/>
      <c r="G64" s="7" t="n"/>
      <c r="H64" s="23" t="inlineStr">
        <is>
          <t>상가
(금이 없는 상태)</t>
        </is>
      </c>
      <c r="I64" s="7" t="n"/>
      <c r="J64" s="23" t="inlineStr">
        <is>
          <t>철근콘크리트
빌딩 · 공장</t>
        </is>
      </c>
      <c r="K64" s="7" t="n"/>
      <c r="L64" s="7" t="n"/>
    </row>
    <row r="65" ht="24" customHeight="1">
      <c r="A65" s="47" t="inlineStr">
        <is>
          <t>허 용 치</t>
        </is>
      </c>
      <c r="B65" s="7" t="n"/>
      <c r="C65" s="49" t="inlineStr">
        <is>
          <t>0.2 cm/s</t>
        </is>
      </c>
      <c r="D65" s="7" t="n"/>
      <c r="E65" s="49" t="inlineStr">
        <is>
          <t>0.5 cm/s</t>
        </is>
      </c>
      <c r="F65" s="7" t="n"/>
      <c r="G65" s="7" t="n"/>
      <c r="H65" s="49" t="inlineStr">
        <is>
          <t>1.0 cm/s</t>
        </is>
      </c>
      <c r="I65" s="7" t="n"/>
      <c r="J65" s="49" t="inlineStr">
        <is>
          <t>1.0 ~ 4.0 cm/s</t>
        </is>
      </c>
      <c r="K65" s="7" t="n"/>
      <c r="L65" s="7" t="n"/>
    </row>
    <row r="66" ht="20" customHeight="1">
      <c r="A66" s="50" t="inlineStr">
        <is>
          <t>(2) 측  정</t>
        </is>
      </c>
    </row>
    <row r="67" ht="20.5" customHeight="1">
      <c r="A67" s="20" t="inlineStr">
        <is>
          <t>가.</t>
        </is>
      </c>
      <c r="B67" s="21" t="inlineStr">
        <is>
          <t>기본 순서를 지키고 목적에 맞는 정밀도로 측정합니다.</t>
        </is>
      </c>
    </row>
    <row r="68" ht="20.5" customHeight="1">
      <c r="A68" s="20" t="inlineStr">
        <is>
          <t>나.</t>
        </is>
      </c>
      <c r="B68" s="21" t="inlineStr">
        <is>
          <t>지난번 자료와 견주어 이상치가 아닌지 곧바로 확인합니다.</t>
        </is>
      </c>
    </row>
    <row r="69" ht="20.5" customHeight="1">
      <c r="A69" s="20" t="inlineStr">
        <is>
          <t>다.</t>
        </is>
      </c>
      <c r="B69" s="21" t="inlineStr">
        <is>
          <t>측정은 같은 사람이 해 오차를 줄입니다.</t>
        </is>
      </c>
    </row>
    <row r="70" ht="20.5" customHeight="1">
      <c r="A70" s="20" t="inlineStr">
        <is>
          <t>라.</t>
        </is>
      </c>
      <c r="B70" s="21" t="inlineStr">
        <is>
          <t>관리 기준치에 가까워지거나 갑자기 변하면 측정 빈도를 늘리고 대책을 세웁니다.</t>
        </is>
      </c>
    </row>
    <row r="71" ht="20" customHeight="1">
      <c r="A71" s="50" t="inlineStr">
        <is>
          <t>(3) 계측 결과의 정리</t>
        </is>
      </c>
    </row>
    <row r="72" ht="20.5" customHeight="1">
      <c r="A72" s="20" t="inlineStr">
        <is>
          <t>가.</t>
        </is>
      </c>
      <c r="B72" s="21" t="inlineStr">
        <is>
          <t>측정이 끝나면 자료를 정리해 곧바로 해석하고, 이상치는 다시 측정해 원인을 찾습니다.</t>
        </is>
      </c>
    </row>
    <row r="73" ht="20.5" customHeight="1">
      <c r="A73" s="20" t="inlineStr">
        <is>
          <t>나.</t>
        </is>
      </c>
      <c r="B73" s="21" t="inlineStr">
        <is>
          <t>자료에는 굴착 진행 상태와 지보 설치 시기를 함께 적습니다.</t>
        </is>
      </c>
    </row>
    <row r="74" ht="36" customHeight="1">
      <c r="A74" s="20" t="inlineStr">
        <is>
          <t>다.</t>
        </is>
      </c>
      <c r="B74" s="21" t="inlineStr">
        <is>
          <t>계측 결과는 일상 시공관리와 앞으로의 공사 계획에 쓸 수 있게 정리하고 기록을 보존합니다.</t>
        </is>
      </c>
    </row>
    <row r="75" ht="20" customHeight="1">
      <c r="A75" s="50" t="inlineStr">
        <is>
          <t>(4) 계측 결과의 보고</t>
        </is>
      </c>
    </row>
    <row r="76" ht="37" customHeight="1">
      <c r="A76" s="22" t="inlineStr">
        <is>
          <t>계측 결과는 지체 없이 보고합니다. 뚜렷하게 큰 변위나 응력이 생기면 곧바로 감독관에게 보고하고 지시를 받습니다.</t>
        </is>
      </c>
    </row>
    <row r="78" ht="34" customHeight="1">
      <c r="A78" s="11" t="inlineStr">
        <is>
          <t>하늘색 칸 = 자동(F 값 · 판정 · 부등침하 비). 노란 칸 = 판정 경계값(설계도서 계측 계획에 맞게 고쳐 씀).</t>
        </is>
      </c>
    </row>
  </sheetData>
  <mergeCells count="195">
    <mergeCell ref="A15:B15"/>
    <mergeCell ref="A64:B64"/>
    <mergeCell ref="F18:H18"/>
    <mergeCell ref="A37:C37"/>
    <mergeCell ref="A46:C46"/>
    <mergeCell ref="F17:H17"/>
    <mergeCell ref="A21:L21"/>
    <mergeCell ref="A57:C57"/>
    <mergeCell ref="D45:E45"/>
    <mergeCell ref="C64:D64"/>
    <mergeCell ref="D52:H52"/>
    <mergeCell ref="E29:I29"/>
    <mergeCell ref="I16:J16"/>
    <mergeCell ref="A71:L71"/>
    <mergeCell ref="A23:L23"/>
    <mergeCell ref="A27:B27"/>
    <mergeCell ref="E31:I31"/>
    <mergeCell ref="A43:C43"/>
    <mergeCell ref="I18:J18"/>
    <mergeCell ref="A52:C52"/>
    <mergeCell ref="D53:H53"/>
    <mergeCell ref="F14:H14"/>
    <mergeCell ref="A63:L63"/>
    <mergeCell ref="A33:B33"/>
    <mergeCell ref="I42:J42"/>
    <mergeCell ref="C27:D27"/>
    <mergeCell ref="K42:L42"/>
    <mergeCell ref="C18:E18"/>
    <mergeCell ref="A17:B17"/>
    <mergeCell ref="E26:I26"/>
    <mergeCell ref="H65:I65"/>
    <mergeCell ref="F43:G43"/>
    <mergeCell ref="A49:C49"/>
    <mergeCell ref="I58:L58"/>
    <mergeCell ref="I53:L53"/>
    <mergeCell ref="A19:B19"/>
    <mergeCell ref="A28:B28"/>
    <mergeCell ref="A36:L36"/>
    <mergeCell ref="C28:D28"/>
    <mergeCell ref="F12:H12"/>
    <mergeCell ref="I13:J13"/>
    <mergeCell ref="K13:L13"/>
    <mergeCell ref="A78:L78"/>
    <mergeCell ref="I52:L52"/>
    <mergeCell ref="A30:B30"/>
    <mergeCell ref="C30:D30"/>
    <mergeCell ref="I15:J15"/>
    <mergeCell ref="I46:J46"/>
    <mergeCell ref="A11:B11"/>
    <mergeCell ref="K15:L15"/>
    <mergeCell ref="J65:L65"/>
    <mergeCell ref="A75:L75"/>
    <mergeCell ref="A55:C55"/>
    <mergeCell ref="A3:L3"/>
    <mergeCell ref="C12:E12"/>
    <mergeCell ref="D57:H57"/>
    <mergeCell ref="A5:L5"/>
    <mergeCell ref="E28:I28"/>
    <mergeCell ref="I41:J41"/>
    <mergeCell ref="D49:H49"/>
    <mergeCell ref="K41:L41"/>
    <mergeCell ref="F42:G42"/>
    <mergeCell ref="B67:L67"/>
    <mergeCell ref="A38:C38"/>
    <mergeCell ref="A4:L4"/>
    <mergeCell ref="A26:B26"/>
    <mergeCell ref="E30:I30"/>
    <mergeCell ref="I43:J43"/>
    <mergeCell ref="K43:L43"/>
    <mergeCell ref="I61:L61"/>
    <mergeCell ref="C13:E13"/>
    <mergeCell ref="I57:L57"/>
    <mergeCell ref="A58:C58"/>
    <mergeCell ref="D37:E37"/>
    <mergeCell ref="A40:C40"/>
    <mergeCell ref="B69:L69"/>
    <mergeCell ref="I54:L54"/>
    <mergeCell ref="C15:E15"/>
    <mergeCell ref="F11:H11"/>
    <mergeCell ref="I17:J17"/>
    <mergeCell ref="K17:L17"/>
    <mergeCell ref="D39:E39"/>
    <mergeCell ref="A51:C51"/>
    <mergeCell ref="A24:L24"/>
    <mergeCell ref="F39:G39"/>
    <mergeCell ref="A60:C60"/>
    <mergeCell ref="B6:L6"/>
    <mergeCell ref="I56:L56"/>
    <mergeCell ref="D55:H55"/>
    <mergeCell ref="E32:I32"/>
    <mergeCell ref="J37:L37"/>
    <mergeCell ref="I19:J19"/>
    <mergeCell ref="D38:E38"/>
    <mergeCell ref="K19:L19"/>
    <mergeCell ref="F15:H15"/>
    <mergeCell ref="D54:H54"/>
    <mergeCell ref="A34:B34"/>
    <mergeCell ref="C16:E16"/>
    <mergeCell ref="K16:L16"/>
    <mergeCell ref="C34:D34"/>
    <mergeCell ref="D60:H60"/>
    <mergeCell ref="A25:L25"/>
    <mergeCell ref="B7:L7"/>
    <mergeCell ref="B72:L72"/>
    <mergeCell ref="I11:J11"/>
    <mergeCell ref="E33:I33"/>
    <mergeCell ref="E65:G65"/>
    <mergeCell ref="A66:L66"/>
    <mergeCell ref="A50:C50"/>
    <mergeCell ref="I59:L59"/>
    <mergeCell ref="A42:C42"/>
    <mergeCell ref="C11:E11"/>
    <mergeCell ref="K11:L11"/>
    <mergeCell ref="C29:D29"/>
    <mergeCell ref="I60:L60"/>
    <mergeCell ref="A65:B65"/>
    <mergeCell ref="F13:H13"/>
    <mergeCell ref="C65:D65"/>
    <mergeCell ref="A47:L47"/>
    <mergeCell ref="G37:H37"/>
    <mergeCell ref="A22:L22"/>
    <mergeCell ref="K46:L46"/>
    <mergeCell ref="C31:D31"/>
    <mergeCell ref="K40:L40"/>
    <mergeCell ref="A12:B12"/>
    <mergeCell ref="A20:L20"/>
    <mergeCell ref="A32:B32"/>
    <mergeCell ref="A14:B14"/>
    <mergeCell ref="A59:C59"/>
    <mergeCell ref="D58:H58"/>
    <mergeCell ref="F16:H16"/>
    <mergeCell ref="C14:E14"/>
    <mergeCell ref="C32:D32"/>
    <mergeCell ref="A1:F1"/>
    <mergeCell ref="A61:C61"/>
    <mergeCell ref="E64:G64"/>
    <mergeCell ref="K18:L18"/>
    <mergeCell ref="D50:H50"/>
    <mergeCell ref="A54:C54"/>
    <mergeCell ref="D59:H59"/>
    <mergeCell ref="A41:C41"/>
    <mergeCell ref="C33:D33"/>
    <mergeCell ref="J45:L45"/>
    <mergeCell ref="I51:L51"/>
    <mergeCell ref="A56:C56"/>
    <mergeCell ref="D40:E40"/>
    <mergeCell ref="F40:G40"/>
    <mergeCell ref="C26:D26"/>
    <mergeCell ref="I50:L50"/>
    <mergeCell ref="A16:B16"/>
    <mergeCell ref="B70:L70"/>
    <mergeCell ref="A76:L76"/>
    <mergeCell ref="H64:I64"/>
    <mergeCell ref="A8:L8"/>
    <mergeCell ref="C17:E17"/>
    <mergeCell ref="A53:C53"/>
    <mergeCell ref="D41:E41"/>
    <mergeCell ref="A18:B18"/>
    <mergeCell ref="D61:H61"/>
    <mergeCell ref="F41:G41"/>
    <mergeCell ref="I49:L49"/>
    <mergeCell ref="A62:L62"/>
    <mergeCell ref="G1:L1"/>
    <mergeCell ref="I12:J12"/>
    <mergeCell ref="E34:I34"/>
    <mergeCell ref="A10:L10"/>
    <mergeCell ref="K12:L12"/>
    <mergeCell ref="C19:E19"/>
    <mergeCell ref="F38:G38"/>
    <mergeCell ref="B73:L73"/>
    <mergeCell ref="D43:E43"/>
    <mergeCell ref="E27:I27"/>
    <mergeCell ref="G45:H45"/>
    <mergeCell ref="A9:L9"/>
    <mergeCell ref="I14:J14"/>
    <mergeCell ref="A39:C39"/>
    <mergeCell ref="I39:J39"/>
    <mergeCell ref="K14:L14"/>
    <mergeCell ref="K39:L39"/>
    <mergeCell ref="D56:H56"/>
    <mergeCell ref="J64:L64"/>
    <mergeCell ref="A48:L48"/>
    <mergeCell ref="B74:L74"/>
    <mergeCell ref="F19:H19"/>
    <mergeCell ref="A29:B29"/>
    <mergeCell ref="I38:J38"/>
    <mergeCell ref="D42:E42"/>
    <mergeCell ref="K38:L38"/>
    <mergeCell ref="A45:C45"/>
    <mergeCell ref="B68:L68"/>
    <mergeCell ref="A13:B13"/>
    <mergeCell ref="D51:H51"/>
    <mergeCell ref="I55:L55"/>
    <mergeCell ref="A31:B31"/>
    <mergeCell ref="I40:J40"/>
  </mergeCells>
  <conditionalFormatting sqref="K39:K43">
    <cfRule type="expression" priority="1" dxfId="0">
      <formula>K39="위험"</formula>
    </cfRule>
    <cfRule type="expression" priority="2" dxfId="1">
      <formula>K39="주의"</formula>
    </cfRule>
    <cfRule type="expression" priority="3" dxfId="2">
      <formula>K39="안전"</formula>
    </cfRule>
  </conditionalFormatting>
  <conditionalFormatting sqref="K46">
    <cfRule type="expression" priority="4" dxfId="0">
      <formula>K46="위험"</formula>
    </cfRule>
    <cfRule type="expression" priority="5" dxfId="1">
      <formula>K46="주의"</formula>
    </cfRule>
    <cfRule type="expression" priority="6" dxfId="2">
      <formula>K46="안전"</formula>
    </cfRule>
  </conditionalFormatting>
  <conditionalFormatting sqref="D39:D43">
    <cfRule type="expression" priority="7" dxfId="3">
      <formula>AND(ISNUMBER(D39),MOD(D39,1)=0)</formula>
    </cfRule>
  </conditionalFormatting>
  <conditionalFormatting sqref="F39:F43">
    <cfRule type="expression" priority="8" dxfId="3">
      <formula>AND(ISNUMBER(F39),MOD(F39,1)=0)</formula>
    </cfRule>
  </conditionalFormatting>
  <conditionalFormatting sqref="E46">
    <cfRule type="expression" priority="9" dxfId="4">
      <formula>AND(ISNUMBER(E46),MOD(E46,1)=0)</formula>
    </cfRule>
  </conditionalFormatting>
  <conditionalFormatting sqref="G46">
    <cfRule type="expression" priority="10" dxfId="5">
      <formula>AND(ISNUMBER(G46),MOD(G46,1)=0)</formula>
    </cfRule>
  </conditionalFormatting>
  <printOptions horizontalCentered="1"/>
  <pageMargins left="0.45" right="0.45" top="0.5" bottom="0.5" header="0.2" footer="0.2"/>
  <pageSetup orientation="portrait" paperSize="9" fitToHeight="0" fitToWidth="1"/>
  <rowBreaks count="2" manualBreakCount="2">
    <brk id="24" min="0" max="16383" man="1"/>
    <brk id="47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4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f.  매설물 보호 및 복구</t>
        </is>
      </c>
    </row>
    <row r="4" ht="21" customHeight="1">
      <c r="A4" s="45" t="inlineStr">
        <is>
          <t>1. 일반 사항</t>
        </is>
      </c>
    </row>
    <row r="5" ht="36" customHeight="1">
      <c r="A5" s="20" t="inlineStr">
        <is>
          <t>(1)</t>
        </is>
      </c>
      <c r="B5" s="21" t="inlineStr">
        <is>
          <t>매설물 보호와 복구는 감독관이 지시한 설계도에 따라 시공하고, 필요하면 감독관이나 매설물 관리자의 입회를 받습니다. 매설물 처리 공정과 수량은 감독관의 동의를 받습니다.</t>
        </is>
      </c>
    </row>
    <row r="6" ht="51.5" customHeight="1">
      <c r="A6" s="20" t="inlineStr">
        <is>
          <t>(2)</t>
        </is>
      </c>
      <c r="B6" s="21" t="inlineStr">
        <is>
          <t>현장에 전담 직원을 두어 감독관 · 관리자의 지시를 지키고 수시로 점검 · 보수합니다. 특히 관로의 이음 · 곡관 · 분기관 · 단관부와 맨홀 부속품 · 밸브 · 갱 안팎의 이동부 같은 약한 곳은 중점적으로 점검하고 보호공의 보수 · 보강에 유의합니다.</t>
        </is>
      </c>
    </row>
    <row r="7" ht="36" customHeight="1">
      <c r="A7" s="20" t="inlineStr">
        <is>
          <t>(3)</t>
        </is>
      </c>
      <c r="B7" s="21" t="inlineStr">
        <is>
          <t>매설물에 이상이 생기면 곧바로 감독관과 관리자에게 알리고 빨리 보수하거나 관리자가 하는 수리에 적극 협력합니다.</t>
        </is>
      </c>
    </row>
    <row r="8" ht="51.5" customHeight="1">
      <c r="A8" s="20" t="inlineStr">
        <is>
          <t>(4)</t>
        </is>
      </c>
      <c r="B8" s="21" t="inlineStr">
        <is>
          <t>가스관 · 수도관 · 하수도관 사고로 2차 피해가 우려되면 곧바로 교통 차단 · 통행자와 주민 대피 유도 · 부근 화기 금지 등 필요한 조치를 하고, 감독관 · 관리자 · 경찰서 · 소방서 등 관계자에게 연락합니다.</t>
        </is>
      </c>
    </row>
    <row r="9" ht="21" customHeight="1">
      <c r="A9" s="45" t="inlineStr">
        <is>
          <t>2. 매설물 보호 — (1) 시공 일반</t>
        </is>
      </c>
    </row>
    <row r="10" ht="20.5" customHeight="1">
      <c r="A10" s="20" t="inlineStr">
        <is>
          <t>가.</t>
        </is>
      </c>
      <c r="B10" s="21" t="inlineStr">
        <is>
          <t>매설물 보호는 굴착보다 먼저 합니다.</t>
        </is>
      </c>
    </row>
    <row r="11" ht="20.5" customHeight="1">
      <c r="A11" s="20" t="inlineStr">
        <is>
          <t>나.</t>
        </is>
      </c>
      <c r="B11" s="21" t="inlineStr">
        <is>
          <t>공사 중에는 매설물이 정상 상태인지 점검합니다.</t>
        </is>
      </c>
    </row>
    <row r="12" ht="36" customHeight="1">
      <c r="A12" s="20" t="inlineStr">
        <is>
          <t>다.</t>
        </is>
      </c>
      <c r="B12" s="21" t="inlineStr">
        <is>
          <t>맨홀 · 소화전 · 밸브실 · 양수기 등의 위치를 복공판 위에 표시하고, 그 자리의 복공판은 쉽게 떼어 보수할 수 있게 합니다.</t>
        </is>
      </c>
    </row>
    <row r="13" ht="20.5" customHeight="1">
      <c r="A13" s="20" t="inlineStr">
        <is>
          <t>라.</t>
        </is>
      </c>
      <c r="B13" s="21" t="inlineStr">
        <is>
          <t>갱 안에는 점검용 발판을 설치합니다.</t>
        </is>
      </c>
    </row>
    <row r="14" ht="20.5" customHeight="1">
      <c r="A14" s="20" t="inlineStr">
        <is>
          <t>마.</t>
        </is>
      </c>
      <c r="B14" s="21" t="inlineStr">
        <is>
          <t>매다는 부재는 하중이 고르게 걸리게 설치합니다.</t>
        </is>
      </c>
    </row>
    <row r="15" ht="21" customHeight="1">
      <c r="A15" s="45" t="inlineStr">
        <is>
          <t>(2) 상수도관</t>
        </is>
      </c>
    </row>
    <row r="16" ht="20.5" customHeight="1">
      <c r="A16" s="20" t="inlineStr">
        <is>
          <t>가.</t>
        </is>
      </c>
      <c r="B16" s="21" t="inlineStr">
        <is>
          <t>상수도관은 주형보에 매달지 않고 따로 보강해 보호하는 것을 원칙으로 합니다.</t>
        </is>
      </c>
    </row>
    <row r="17" ht="36" customHeight="1">
      <c r="A17" s="20" t="inlineStr">
        <is>
          <t>나.</t>
        </is>
      </c>
      <c r="B17" s="21" t="inlineStr">
        <is>
          <t>매달 때는 로프의 규격과 간격을 설계대로 지키고 턴버클을 충분히 조이며, 완충 목재로 충격을 최대한 막습니다(수시로 처짐을 보고 조임).</t>
        </is>
      </c>
    </row>
    <row r="18" ht="36" customHeight="1">
      <c r="A18" s="20" t="inlineStr">
        <is>
          <t>다.</t>
        </is>
      </c>
      <c r="B18" s="21" t="inlineStr">
        <is>
          <t>지장물 확인 줄파기는 깊이 1.5m 를 기준으로 하되, 지장물이 지날 것으로 보이는 곳은 더 파서 확인합니다.</t>
        </is>
      </c>
    </row>
    <row r="19" ht="20.5" customHeight="1">
      <c r="A19" s="20" t="inlineStr">
        <is>
          <t>라.</t>
        </is>
      </c>
      <c r="B19" s="21" t="inlineStr">
        <is>
          <t>누수가 우려되는 상수도관 접합부는 특수 접합용 칼라로 보강합니다.</t>
        </is>
      </c>
    </row>
    <row r="20" ht="36" customHeight="1">
      <c r="A20" s="20" t="inlineStr">
        <is>
          <t>마.</t>
        </is>
      </c>
      <c r="B20" s="21" t="inlineStr">
        <is>
          <t>제수밸브의 위치와 여닫는 방향을 현장 사무실에 현황으로 유지하고, 제수밸브 키를 만들어 두며, 비상시 작업 책임자(주 · 야간별)를 정해 훈련합니다.</t>
        </is>
      </c>
    </row>
    <row r="21" ht="20.5" customHeight="1">
      <c r="A21" s="20" t="inlineStr">
        <is>
          <t>바.</t>
        </is>
      </c>
      <c r="B21" s="21" t="inlineStr">
        <is>
          <t>흙막이 안쪽에 묻힌 상수도관의 변형 · 누수 여부를 갱 안팎에서 확인하고 보강합니다.</t>
        </is>
      </c>
    </row>
    <row r="22" ht="36" customHeight="1">
      <c r="A22" s="20" t="inlineStr">
        <is>
          <t>사.</t>
        </is>
      </c>
      <c r="B22" s="21" t="inlineStr">
        <is>
          <t>공사 중 돌발 사고로 누수가 생기면 관할 관청 · 수도사업소 · 상하수도 당직실에 곧바로 연락해 복구합니다.</t>
        </is>
      </c>
    </row>
    <row r="23" ht="36" customHeight="1">
      <c r="A23" s="20" t="inlineStr">
        <is>
          <t>아.</t>
        </is>
      </c>
      <c r="B23" s="21" t="inlineStr">
        <is>
          <t>주형보에 매단 상하수도관은 처짐으로 접합부가 깨지지 않도록 가새(BRACING) 등으로 주형보를 보강하고, 대형 상수도관은 버팀보에서 앵글로 받치고 완충재를 끼웁니다.</t>
        </is>
      </c>
    </row>
    <row r="24" ht="21" customHeight="1">
      <c r="A24" s="45" t="inlineStr">
        <is>
          <t>(3) 하수도</t>
        </is>
      </c>
    </row>
    <row r="25" ht="36" customHeight="1">
      <c r="A25" s="20" t="inlineStr">
        <is>
          <t>가.</t>
        </is>
      </c>
      <c r="B25" s="21" t="inlineStr">
        <is>
          <t>노면 복공에 걸리는 하수관 맨홀 머리는 최소한만 없애고 하수가 스며들지 않게 처리합니다.</t>
        </is>
      </c>
    </row>
    <row r="26" ht="20.5" customHeight="1">
      <c r="A26" s="20" t="inlineStr">
        <is>
          <t>나.</t>
        </is>
      </c>
      <c r="B26" s="21" t="inlineStr">
        <is>
          <t>관로와 맨홀에서 물이 샐 우려가 있는 곳은 굴착 전에 미리 보강합니다.</t>
        </is>
      </c>
    </row>
    <row r="27" ht="20.5" customHeight="1">
      <c r="A27" s="20" t="inlineStr">
        <is>
          <t>다.</t>
        </is>
      </c>
      <c r="B27" s="21" t="inlineStr">
        <is>
          <t>물이 새는 하수관은 지수 조치와 함께 누수 원인을 없앱니다.</t>
        </is>
      </c>
    </row>
    <row r="28" ht="36" customHeight="1">
      <c r="A28" s="20" t="inlineStr">
        <is>
          <t>라.</t>
        </is>
      </c>
      <c r="B28" s="21" t="inlineStr">
        <is>
          <t>옮기거나 새로 놓는 하수관은 폭우에 대비해 충분한 단면으로 설치합니다(주변 도로 침하를 감안해 기존 하수관과 매단 하수관의 연결을 철저히).</t>
        </is>
      </c>
    </row>
    <row r="29" ht="20.5" customHeight="1">
      <c r="A29" s="20" t="inlineStr">
        <is>
          <t>마.</t>
        </is>
      </c>
      <c r="B29" s="21" t="inlineStr">
        <is>
          <t>하수도 복구 · 신설은 관련 부서와 미리 협의합니다.</t>
        </is>
      </c>
    </row>
    <row r="30" ht="21" customHeight="1">
      <c r="A30" s="45" t="inlineStr">
        <is>
          <t>(4) 통신 관로</t>
        </is>
      </c>
    </row>
    <row r="31" ht="36" customHeight="1">
      <c r="A31" s="20" t="inlineStr">
        <is>
          <t>가.</t>
        </is>
      </c>
      <c r="B31" s="21" t="inlineStr">
        <is>
          <t>맨홀 처리는 원칙적으로 관리자가 하지만, 관로와 감독관 · 관리자가 지시하는 맨홀의 보호는 도급자가 합니다.</t>
        </is>
      </c>
    </row>
    <row r="32" ht="36" customHeight="1">
      <c r="A32" s="20" t="inlineStr">
        <is>
          <t>나.</t>
        </is>
      </c>
      <c r="B32" s="21" t="inlineStr">
        <is>
          <t>전력 · 통신 케이블은 매다는 로프 간격을 일정하게 하고, 되메우기 때 손상되지 않게 주의하며 복구 기간을 지킵니다.</t>
        </is>
      </c>
    </row>
    <row r="33" ht="21" customHeight="1">
      <c r="A33" s="45" t="inlineStr">
        <is>
          <t>(5) 전력선 관로</t>
        </is>
      </c>
    </row>
    <row r="34" ht="36" customHeight="1">
      <c r="A34" s="20" t="inlineStr">
        <is>
          <t>가.</t>
        </is>
      </c>
      <c r="B34" s="21" t="inlineStr">
        <is>
          <t>콘크리트 관로는 하자가 생기지 않게 보호하고, 손상된 곳은 감독관이나 관리자의 지시를 받아 수리합니다.</t>
        </is>
      </c>
    </row>
    <row r="35" ht="36" customHeight="1">
      <c r="A35" s="20" t="inlineStr">
        <is>
          <t>나.</t>
        </is>
      </c>
      <c r="B35" s="21" t="inlineStr">
        <is>
          <t>맨홀 처리는 관리자의 지시를 받고, 맨홀 안과 관로의 케이블을 보호해 손상을 주지 않게 시공합니다.</t>
        </is>
      </c>
    </row>
    <row r="36" ht="36" customHeight="1">
      <c r="A36" s="20" t="inlineStr">
        <is>
          <t>다.</t>
        </is>
      </c>
      <c r="B36" s="21" t="inlineStr">
        <is>
          <t>전력선 · 교통신호 · 화재경보기 등 지중선의 지지공은 표준도와 감독관 또는 관리자의 지시에 따라 도급자가 복구합니다.</t>
        </is>
      </c>
    </row>
    <row r="37" ht="21" customHeight="1">
      <c r="A37" s="45" t="inlineStr">
        <is>
          <t>3. 매설물 복구</t>
        </is>
      </c>
    </row>
    <row r="38" ht="20.5" customHeight="1">
      <c r="A38" s="20" t="inlineStr">
        <is>
          <t>(1)</t>
        </is>
      </c>
      <c r="B38" s="21" t="inlineStr">
        <is>
          <t>되메우기 전에 감독관과 관리자의 입회 아래 매설물 보호공 검사를 받습니다.</t>
        </is>
      </c>
    </row>
    <row r="39" ht="36" customHeight="1">
      <c r="A39" s="20" t="inlineStr">
        <is>
          <t>(2)</t>
        </is>
      </c>
      <c r="B39" s="21" t="inlineStr">
        <is>
          <t>매설물을 매단 강재 지지 부재 등은 매설물 바닥까지 되메우기를 마친 뒤 감독관 · 관리자의 입회로 매설물과 지보공의 안전을 확인하고 철거합니다.</t>
        </is>
      </c>
    </row>
    <row r="40" ht="36" customHeight="1">
      <c r="A40" s="20" t="inlineStr">
        <is>
          <t>(3)</t>
        </is>
      </c>
      <c r="B40" s="21" t="inlineStr">
        <is>
          <t>통신 맨홀 복구는 원칙적으로 관리자가 하지만, 관로와 감독관 · 관리자가 지시하는 맨홀의 복구 · 지지공은 도급자가 합니다.</t>
        </is>
      </c>
    </row>
    <row r="41" ht="36" customHeight="1">
      <c r="A41" s="20" t="inlineStr">
        <is>
          <t>(4)</t>
        </is>
      </c>
      <c r="B41" s="21" t="inlineStr">
        <is>
          <t>전력선 · 교통신호 · 화재경보기 등 지중선의 지지공은 감독관 또는 관리자의 지시를 받아 도급자가 복구합니다.</t>
        </is>
      </c>
    </row>
    <row r="42" ht="21" customHeight="1">
      <c r="A42" s="45" t="inlineStr">
        <is>
          <t>4. 복구 후의 관리 검사</t>
        </is>
      </c>
    </row>
    <row r="43" ht="36" customHeight="1">
      <c r="A43" s="20" t="inlineStr">
        <is>
          <t>(1)</t>
        </is>
      </c>
      <c r="B43" s="21" t="inlineStr">
        <is>
          <t>노면 복구 뒤 상수도 · 하수도 · 통신 · 전력 등의 검사는 관리자와 감독관에게 알려 감독관의 지시에 따라 원위치로 시공하고 검사를 받습니다.</t>
        </is>
      </c>
    </row>
    <row r="44" ht="21" customHeight="1">
      <c r="A44" s="45" t="inlineStr">
        <is>
          <t>5. 관련 사항 — 다음 비용은 도급자가 부담합니다.</t>
        </is>
      </c>
    </row>
    <row r="45" ht="20.5" customHeight="1">
      <c r="A45" s="20" t="inlineStr">
        <is>
          <t>(1)</t>
        </is>
      </c>
      <c r="B45" s="21" t="inlineStr">
        <is>
          <t>매설물 관리자가 급히 요청하는 가벼운 처리</t>
        </is>
      </c>
    </row>
    <row r="46" ht="20.5" customHeight="1">
      <c r="A46" s="20" t="inlineStr">
        <is>
          <t>(2)</t>
        </is>
      </c>
      <c r="B46" s="21" t="inlineStr">
        <is>
          <t>매설물 수시 점검 · 수리에 필요한 노면 복공판의 철거 · 복구와 점검용 발판 설치</t>
        </is>
      </c>
    </row>
    <row r="47" ht="20.5" customHeight="1">
      <c r="A47" s="20" t="inlineStr">
        <is>
          <t>(3)</t>
        </is>
      </c>
      <c r="B47" s="21" t="inlineStr">
        <is>
          <t>관경 150mm 이하 수도관의 절곡부 · 분기부 보강</t>
        </is>
      </c>
    </row>
  </sheetData>
  <mergeCells count="47">
    <mergeCell ref="B35:L35"/>
    <mergeCell ref="B26:L26"/>
    <mergeCell ref="B16:L16"/>
    <mergeCell ref="B7:L7"/>
    <mergeCell ref="B25:L25"/>
    <mergeCell ref="A37:L37"/>
    <mergeCell ref="B47:L47"/>
    <mergeCell ref="B46:L46"/>
    <mergeCell ref="B22:L22"/>
    <mergeCell ref="A3:L3"/>
    <mergeCell ref="B31:L31"/>
    <mergeCell ref="B18:L18"/>
    <mergeCell ref="B27:L27"/>
    <mergeCell ref="B43:L43"/>
    <mergeCell ref="B12:L12"/>
    <mergeCell ref="A42:L42"/>
    <mergeCell ref="B21:L21"/>
    <mergeCell ref="A33:L33"/>
    <mergeCell ref="B39:L39"/>
    <mergeCell ref="B11:L11"/>
    <mergeCell ref="B14:L14"/>
    <mergeCell ref="B17:L17"/>
    <mergeCell ref="B23:L23"/>
    <mergeCell ref="A4:L4"/>
    <mergeCell ref="B8:L8"/>
    <mergeCell ref="G1:L1"/>
    <mergeCell ref="B13:L13"/>
    <mergeCell ref="B38:L38"/>
    <mergeCell ref="B29:L29"/>
    <mergeCell ref="B19:L19"/>
    <mergeCell ref="B34:L34"/>
    <mergeCell ref="A44:L44"/>
    <mergeCell ref="B10:L10"/>
    <mergeCell ref="B28:L28"/>
    <mergeCell ref="A9:L9"/>
    <mergeCell ref="B40:L40"/>
    <mergeCell ref="A24:L24"/>
    <mergeCell ref="A30:L30"/>
    <mergeCell ref="A15:L15"/>
    <mergeCell ref="B6:L6"/>
    <mergeCell ref="A1:F1"/>
    <mergeCell ref="B5:L5"/>
    <mergeCell ref="B20:L20"/>
    <mergeCell ref="B36:L36"/>
    <mergeCell ref="B32:L32"/>
    <mergeCell ref="B45:L45"/>
    <mergeCell ref="B41:L41"/>
  </mergeCells>
  <printOptions horizontalCentered="1"/>
  <pageMargins left="0.45" right="0.45" top="0.5" bottom="0.5" header="0.2" footer="0.2"/>
  <pageSetup orientation="portrait" paperSize="9" fitToHeight="0" fitToWidth="1"/>
  <rowBreaks count="1" manualBreakCount="1">
    <brk id="27" min="0" max="16383" man="1"/>
  </rowBreak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A15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3" customWidth="1" min="3" max="3"/>
    <col width="9" customWidth="1" min="4" max="4"/>
    <col width="9" customWidth="1" min="5" max="5"/>
    <col width="7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16" customWidth="1" min="27" max="27"/>
  </cols>
  <sheetData>
    <row r="1" ht="20" customHeight="1">
      <c r="A1" s="1" t="inlineStr">
        <is>
          <t xml:space="preserve">  K-건설맵  |  k-conmap.com  건설 서식</t>
        </is>
      </c>
      <c r="J1" s="2" t="inlineStr">
        <is>
          <t xml:space="preserve">← 이 1행을 지우고 쓰셔도 됩니다  </t>
        </is>
      </c>
    </row>
    <row r="2" ht="34" customHeight="1">
      <c r="A2" s="63" t="inlineStr">
        <is>
          <t>4.  공 정 관 리 계 획</t>
        </is>
      </c>
    </row>
    <row r="3" ht="24" customHeight="1">
      <c r="A3" s="6" t="inlineStr">
        <is>
          <t>착 공 일</t>
        </is>
      </c>
      <c r="B3" s="7" t="n"/>
      <c r="C3" s="9" t="n"/>
      <c r="D3" s="6" t="inlineStr">
        <is>
          <t>눈금 한 칸</t>
        </is>
      </c>
      <c r="E3" s="7" t="n"/>
      <c r="F3" s="64" t="n">
        <v>7</v>
      </c>
      <c r="G3" s="6" t="inlineStr">
        <is>
          <t>총 공기</t>
        </is>
      </c>
      <c r="H3" s="7" t="n"/>
      <c r="I3" s="7" t="n"/>
      <c r="J3" s="7" t="n"/>
      <c r="K3" s="7" t="n"/>
      <c r="L3" s="65">
        <f>IF(OR(COUNT(D7:D14)=0,COUNT(E7:E14)=0),"",MAX(E7:E14)-MIN(D7:D14)+1)</f>
        <v/>
      </c>
      <c r="M3" s="7" t="n"/>
      <c r="N3" s="7" t="n"/>
      <c r="O3" s="7" t="n"/>
      <c r="P3" s="7" t="n"/>
      <c r="Q3" s="11" t="inlineStr">
        <is>
          <t>※ 착공일 · 공종별 착수/완료일을 적으면 막대가 그려집니다.</t>
        </is>
      </c>
    </row>
    <row r="4" ht="20" customHeight="1">
      <c r="A4" s="23" t="inlineStr">
        <is>
          <t>NO.</t>
        </is>
      </c>
      <c r="B4" s="23" t="inlineStr">
        <is>
          <t>공    종</t>
        </is>
      </c>
      <c r="C4" s="23" t="inlineStr">
        <is>
          <t>수    량</t>
        </is>
      </c>
      <c r="D4" s="23" t="inlineStr">
        <is>
          <t>착 수</t>
        </is>
      </c>
      <c r="E4" s="23" t="inlineStr">
        <is>
          <t>완 료</t>
        </is>
      </c>
      <c r="F4" s="23" t="inlineStr">
        <is>
          <t>일 수</t>
        </is>
      </c>
      <c r="G4" s="66">
        <f>IF(N(F3)=0,"착수 후","착수 후  (한 칸 = "&amp;F3&amp;"일)")</f>
        <v/>
      </c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23" t="inlineStr">
        <is>
          <t>비    고</t>
        </is>
      </c>
    </row>
    <row r="5" ht="18" customHeight="1">
      <c r="A5" s="7" t="n"/>
      <c r="B5" s="7" t="n"/>
      <c r="C5" s="7" t="n"/>
      <c r="D5" s="7" t="n"/>
      <c r="E5" s="7" t="n"/>
      <c r="F5" s="7" t="n"/>
      <c r="G5" s="67">
        <f>IF(OR(N(C3)=0,N(F3)=0),"",C3+0*F3)</f>
        <v/>
      </c>
      <c r="H5" s="67">
        <f>IF(OR(N(C3)=0,N(F3)=0),"",C3+1*F3)</f>
        <v/>
      </c>
      <c r="I5" s="67">
        <f>IF(OR(N(C3)=0,N(F3)=0),"",C3+2*F3)</f>
        <v/>
      </c>
      <c r="J5" s="67">
        <f>IF(OR(N(C3)=0,N(F3)=0),"",C3+3*F3)</f>
        <v/>
      </c>
      <c r="K5" s="67">
        <f>IF(OR(N(C3)=0,N(F3)=0),"",C3+4*F3)</f>
        <v/>
      </c>
      <c r="L5" s="67">
        <f>IF(OR(N(C3)=0,N(F3)=0),"",C3+5*F3)</f>
        <v/>
      </c>
      <c r="M5" s="67">
        <f>IF(OR(N(C3)=0,N(F3)=0),"",C3+6*F3)</f>
        <v/>
      </c>
      <c r="N5" s="67">
        <f>IF(OR(N(C3)=0,N(F3)=0),"",C3+7*F3)</f>
        <v/>
      </c>
      <c r="O5" s="67">
        <f>IF(OR(N(C3)=0,N(F3)=0),"",C3+8*F3)</f>
        <v/>
      </c>
      <c r="P5" s="67">
        <f>IF(OR(N(C3)=0,N(F3)=0),"",C3+9*F3)</f>
        <v/>
      </c>
      <c r="Q5" s="67">
        <f>IF(OR(N(C3)=0,N(F3)=0),"",C3+10*F3)</f>
        <v/>
      </c>
      <c r="R5" s="67">
        <f>IF(OR(N(C3)=0,N(F3)=0),"",C3+11*F3)</f>
        <v/>
      </c>
      <c r="S5" s="67">
        <f>IF(OR(N(C3)=0,N(F3)=0),"",C3+12*F3)</f>
        <v/>
      </c>
      <c r="T5" s="67">
        <f>IF(OR(N(C3)=0,N(F3)=0),"",C3+13*F3)</f>
        <v/>
      </c>
      <c r="U5" s="67">
        <f>IF(OR(N(C3)=0,N(F3)=0),"",C3+14*F3)</f>
        <v/>
      </c>
      <c r="V5" s="67">
        <f>IF(OR(N(C3)=0,N(F3)=0),"",C3+15*F3)</f>
        <v/>
      </c>
      <c r="W5" s="67">
        <f>IF(OR(N(C3)=0,N(F3)=0),"",C3+16*F3)</f>
        <v/>
      </c>
      <c r="X5" s="67">
        <f>IF(OR(N(C3)=0,N(F3)=0),"",C3+17*F3)</f>
        <v/>
      </c>
      <c r="Y5" s="67">
        <f>IF(OR(N(C3)=0,N(F3)=0),"",C3+18*F3)</f>
        <v/>
      </c>
      <c r="Z5" s="67">
        <f>IF(OR(N(C3)=0,N(F3)=0),"",C3+19*F3)</f>
        <v/>
      </c>
      <c r="AA5" s="7" t="n"/>
    </row>
    <row r="6" hidden="1" ht="12" customHeight="1">
      <c r="G6" s="68">
        <f>IF(OR(N(C3)=0,N(F3)=0),"",C3+1*F3-1)</f>
        <v/>
      </c>
      <c r="H6" s="68">
        <f>IF(OR(N(C3)=0,N(F3)=0),"",C3+2*F3-1)</f>
        <v/>
      </c>
      <c r="I6" s="68">
        <f>IF(OR(N(C3)=0,N(F3)=0),"",C3+3*F3-1)</f>
        <v/>
      </c>
      <c r="J6" s="68">
        <f>IF(OR(N(C3)=0,N(F3)=0),"",C3+4*F3-1)</f>
        <v/>
      </c>
      <c r="K6" s="68">
        <f>IF(OR(N(C3)=0,N(F3)=0),"",C3+5*F3-1)</f>
        <v/>
      </c>
      <c r="L6" s="68">
        <f>IF(OR(N(C3)=0,N(F3)=0),"",C3+6*F3-1)</f>
        <v/>
      </c>
      <c r="M6" s="68">
        <f>IF(OR(N(C3)=0,N(F3)=0),"",C3+7*F3-1)</f>
        <v/>
      </c>
      <c r="N6" s="68">
        <f>IF(OR(N(C3)=0,N(F3)=0),"",C3+8*F3-1)</f>
        <v/>
      </c>
      <c r="O6" s="68">
        <f>IF(OR(N(C3)=0,N(F3)=0),"",C3+9*F3-1)</f>
        <v/>
      </c>
      <c r="P6" s="68">
        <f>IF(OR(N(C3)=0,N(F3)=0),"",C3+10*F3-1)</f>
        <v/>
      </c>
      <c r="Q6" s="68">
        <f>IF(OR(N(C3)=0,N(F3)=0),"",C3+11*F3-1)</f>
        <v/>
      </c>
      <c r="R6" s="68">
        <f>IF(OR(N(C3)=0,N(F3)=0),"",C3+12*F3-1)</f>
        <v/>
      </c>
      <c r="S6" s="68">
        <f>IF(OR(N(C3)=0,N(F3)=0),"",C3+13*F3-1)</f>
        <v/>
      </c>
      <c r="T6" s="68">
        <f>IF(OR(N(C3)=0,N(F3)=0),"",C3+14*F3-1)</f>
        <v/>
      </c>
      <c r="U6" s="68">
        <f>IF(OR(N(C3)=0,N(F3)=0),"",C3+15*F3-1)</f>
        <v/>
      </c>
      <c r="V6" s="68">
        <f>IF(OR(N(C3)=0,N(F3)=0),"",C3+16*F3-1)</f>
        <v/>
      </c>
      <c r="W6" s="68">
        <f>IF(OR(N(C3)=0,N(F3)=0),"",C3+17*F3-1)</f>
        <v/>
      </c>
      <c r="X6" s="68">
        <f>IF(OR(N(C3)=0,N(F3)=0),"",C3+18*F3-1)</f>
        <v/>
      </c>
      <c r="Y6" s="68">
        <f>IF(OR(N(C3)=0,N(F3)=0),"",C3+19*F3-1)</f>
        <v/>
      </c>
      <c r="Z6" s="68">
        <f>IF(OR(N(C3)=0,N(F3)=0),"",C3+20*F3-1)</f>
        <v/>
      </c>
    </row>
    <row r="7" ht="28" customHeight="1">
      <c r="A7" s="30" t="inlineStr">
        <is>
          <t>1</t>
        </is>
      </c>
      <c r="B7" s="46" t="inlineStr">
        <is>
          <t>자재 · 장비 반입</t>
        </is>
      </c>
      <c r="C7" s="69" t="n"/>
      <c r="D7" s="70" t="n"/>
      <c r="E7" s="70" t="n"/>
      <c r="F7" s="71">
        <f>IF(OR(N(D7)=0,N(E7)=0),"",IF(E7&lt;D7,"⚠ 날짜",E7-D7+1))</f>
        <v/>
      </c>
      <c r="G7" s="31" t="inlineStr"/>
      <c r="H7" s="31" t="inlineStr"/>
      <c r="I7" s="31" t="inlineStr"/>
      <c r="J7" s="31" t="inlineStr"/>
      <c r="K7" s="31" t="inlineStr"/>
      <c r="L7" s="31" t="inlineStr"/>
      <c r="M7" s="31" t="inlineStr"/>
      <c r="N7" s="31" t="inlineStr"/>
      <c r="O7" s="31" t="inlineStr"/>
      <c r="P7" s="31" t="inlineStr"/>
      <c r="Q7" s="31" t="inlineStr"/>
      <c r="R7" s="31" t="inlineStr"/>
      <c r="S7" s="31" t="inlineStr"/>
      <c r="T7" s="31" t="inlineStr"/>
      <c r="U7" s="31" t="inlineStr"/>
      <c r="V7" s="31" t="inlineStr"/>
      <c r="W7" s="31" t="inlineStr"/>
      <c r="X7" s="31" t="inlineStr"/>
      <c r="Y7" s="31" t="inlineStr"/>
      <c r="Z7" s="31" t="inlineStr"/>
      <c r="AA7" s="72" t="n"/>
    </row>
    <row r="8" ht="28" customHeight="1">
      <c r="A8" s="30" t="inlineStr">
        <is>
          <t>2</t>
        </is>
      </c>
      <c r="B8" s="46" t="inlineStr">
        <is>
          <t>S/P 압입(항타)</t>
        </is>
      </c>
      <c r="C8" s="69" t="n"/>
      <c r="D8" s="70" t="n"/>
      <c r="E8" s="70" t="n"/>
      <c r="F8" s="71">
        <f>IF(OR(N(D8)=0,N(E8)=0),"",IF(E8&lt;D8,"⚠ 날짜",E8-D8+1))</f>
        <v/>
      </c>
      <c r="G8" s="31" t="inlineStr"/>
      <c r="H8" s="31" t="inlineStr"/>
      <c r="I8" s="31" t="inlineStr"/>
      <c r="J8" s="31" t="inlineStr"/>
      <c r="K8" s="31" t="inlineStr"/>
      <c r="L8" s="31" t="inlineStr"/>
      <c r="M8" s="31" t="inlineStr"/>
      <c r="N8" s="31" t="inlineStr"/>
      <c r="O8" s="31" t="inlineStr"/>
      <c r="P8" s="31" t="inlineStr"/>
      <c r="Q8" s="31" t="inlineStr"/>
      <c r="R8" s="31" t="inlineStr"/>
      <c r="S8" s="31" t="inlineStr"/>
      <c r="T8" s="31" t="inlineStr"/>
      <c r="U8" s="31" t="inlineStr"/>
      <c r="V8" s="31" t="inlineStr"/>
      <c r="W8" s="31" t="inlineStr"/>
      <c r="X8" s="31" t="inlineStr"/>
      <c r="Y8" s="31" t="inlineStr"/>
      <c r="Z8" s="31" t="inlineStr"/>
      <c r="AA8" s="72" t="n"/>
    </row>
    <row r="9" ht="28" customHeight="1">
      <c r="A9" s="30" t="inlineStr">
        <is>
          <t>3</t>
        </is>
      </c>
      <c r="B9" s="46" t="inlineStr">
        <is>
          <t>터파기 및 띠장 · STRUT 설치</t>
        </is>
      </c>
      <c r="C9" s="69" t="n"/>
      <c r="D9" s="70" t="n"/>
      <c r="E9" s="70" t="n"/>
      <c r="F9" s="71">
        <f>IF(OR(N(D9)=0,N(E9)=0),"",IF(E9&lt;D9,"⚠ 날짜",E9-D9+1))</f>
        <v/>
      </c>
      <c r="G9" s="31" t="inlineStr"/>
      <c r="H9" s="31" t="inlineStr"/>
      <c r="I9" s="31" t="inlineStr"/>
      <c r="J9" s="31" t="inlineStr"/>
      <c r="K9" s="31" t="inlineStr"/>
      <c r="L9" s="31" t="inlineStr"/>
      <c r="M9" s="31" t="inlineStr"/>
      <c r="N9" s="31" t="inlineStr"/>
      <c r="O9" s="31" t="inlineStr"/>
      <c r="P9" s="31" t="inlineStr"/>
      <c r="Q9" s="31" t="inlineStr"/>
      <c r="R9" s="31" t="inlineStr"/>
      <c r="S9" s="31" t="inlineStr"/>
      <c r="T9" s="31" t="inlineStr"/>
      <c r="U9" s="31" t="inlineStr"/>
      <c r="V9" s="31" t="inlineStr"/>
      <c r="W9" s="31" t="inlineStr"/>
      <c r="X9" s="31" t="inlineStr"/>
      <c r="Y9" s="31" t="inlineStr"/>
      <c r="Z9" s="31" t="inlineStr"/>
      <c r="AA9" s="72" t="n"/>
    </row>
    <row r="10" ht="28" customHeight="1">
      <c r="A10" s="30" t="inlineStr">
        <is>
          <t>4</t>
        </is>
      </c>
      <c r="B10" s="46" t="n"/>
      <c r="C10" s="69" t="n"/>
      <c r="D10" s="70" t="n"/>
      <c r="E10" s="70" t="n"/>
      <c r="F10" s="71">
        <f>IF(OR(N(D10)=0,N(E10)=0),"",IF(E10&lt;D10,"⚠ 날짜",E10-D10+1))</f>
        <v/>
      </c>
      <c r="G10" s="31" t="inlineStr"/>
      <c r="H10" s="31" t="inlineStr"/>
      <c r="I10" s="31" t="inlineStr"/>
      <c r="J10" s="31" t="inlineStr"/>
      <c r="K10" s="31" t="inlineStr"/>
      <c r="L10" s="31" t="inlineStr"/>
      <c r="M10" s="31" t="inlineStr"/>
      <c r="N10" s="31" t="inlineStr"/>
      <c r="O10" s="31" t="inlineStr"/>
      <c r="P10" s="31" t="inlineStr"/>
      <c r="Q10" s="31" t="inlineStr"/>
      <c r="R10" s="31" t="inlineStr"/>
      <c r="S10" s="31" t="inlineStr"/>
      <c r="T10" s="31" t="inlineStr"/>
      <c r="U10" s="31" t="inlineStr"/>
      <c r="V10" s="31" t="inlineStr"/>
      <c r="W10" s="31" t="inlineStr"/>
      <c r="X10" s="31" t="inlineStr"/>
      <c r="Y10" s="31" t="inlineStr"/>
      <c r="Z10" s="31" t="inlineStr"/>
      <c r="AA10" s="72" t="n"/>
    </row>
    <row r="11" ht="28" customHeight="1">
      <c r="A11" s="30" t="inlineStr">
        <is>
          <t>5</t>
        </is>
      </c>
      <c r="B11" s="46" t="inlineStr">
        <is>
          <t>가시설 철거 및 되메우기</t>
        </is>
      </c>
      <c r="C11" s="69" t="n"/>
      <c r="D11" s="70" t="n"/>
      <c r="E11" s="70" t="n"/>
      <c r="F11" s="71">
        <f>IF(OR(N(D11)=0,N(E11)=0),"",IF(E11&lt;D11,"⚠ 날짜",E11-D11+1))</f>
        <v/>
      </c>
      <c r="G11" s="31" t="inlineStr"/>
      <c r="H11" s="31" t="inlineStr"/>
      <c r="I11" s="31" t="inlineStr"/>
      <c r="J11" s="31" t="inlineStr"/>
      <c r="K11" s="31" t="inlineStr"/>
      <c r="L11" s="31" t="inlineStr"/>
      <c r="M11" s="31" t="inlineStr"/>
      <c r="N11" s="31" t="inlineStr"/>
      <c r="O11" s="31" t="inlineStr"/>
      <c r="P11" s="31" t="inlineStr"/>
      <c r="Q11" s="31" t="inlineStr"/>
      <c r="R11" s="31" t="inlineStr"/>
      <c r="S11" s="31" t="inlineStr"/>
      <c r="T11" s="31" t="inlineStr"/>
      <c r="U11" s="31" t="inlineStr"/>
      <c r="V11" s="31" t="inlineStr"/>
      <c r="W11" s="31" t="inlineStr"/>
      <c r="X11" s="31" t="inlineStr"/>
      <c r="Y11" s="31" t="inlineStr"/>
      <c r="Z11" s="31" t="inlineStr"/>
      <c r="AA11" s="72" t="n"/>
    </row>
    <row r="12" ht="28" customHeight="1">
      <c r="A12" s="30" t="inlineStr">
        <is>
          <t>6</t>
        </is>
      </c>
      <c r="B12" s="46" t="n"/>
      <c r="C12" s="69" t="n"/>
      <c r="D12" s="70" t="n"/>
      <c r="E12" s="70" t="n"/>
      <c r="F12" s="71">
        <f>IF(OR(N(D12)=0,N(E12)=0),"",IF(E12&lt;D12,"⚠ 날짜",E12-D12+1))</f>
        <v/>
      </c>
      <c r="G12" s="31" t="inlineStr"/>
      <c r="H12" s="31" t="inlineStr"/>
      <c r="I12" s="31" t="inlineStr"/>
      <c r="J12" s="31" t="inlineStr"/>
      <c r="K12" s="31" t="inlineStr"/>
      <c r="L12" s="31" t="inlineStr"/>
      <c r="M12" s="31" t="inlineStr"/>
      <c r="N12" s="31" t="inlineStr"/>
      <c r="O12" s="31" t="inlineStr"/>
      <c r="P12" s="31" t="inlineStr"/>
      <c r="Q12" s="31" t="inlineStr"/>
      <c r="R12" s="31" t="inlineStr"/>
      <c r="S12" s="31" t="inlineStr"/>
      <c r="T12" s="31" t="inlineStr"/>
      <c r="U12" s="31" t="inlineStr"/>
      <c r="V12" s="31" t="inlineStr"/>
      <c r="W12" s="31" t="inlineStr"/>
      <c r="X12" s="31" t="inlineStr"/>
      <c r="Y12" s="31" t="inlineStr"/>
      <c r="Z12" s="31" t="inlineStr"/>
      <c r="AA12" s="72" t="n"/>
    </row>
    <row r="13" ht="28" customHeight="1">
      <c r="A13" s="30" t="inlineStr">
        <is>
          <t>7</t>
        </is>
      </c>
      <c r="B13" s="46" t="n"/>
      <c r="C13" s="69" t="n"/>
      <c r="D13" s="70" t="n"/>
      <c r="E13" s="70" t="n"/>
      <c r="F13" s="71">
        <f>IF(OR(N(D13)=0,N(E13)=0),"",IF(E13&lt;D13,"⚠ 날짜",E13-D13+1))</f>
        <v/>
      </c>
      <c r="G13" s="31" t="inlineStr"/>
      <c r="H13" s="31" t="inlineStr"/>
      <c r="I13" s="31" t="inlineStr"/>
      <c r="J13" s="31" t="inlineStr"/>
      <c r="K13" s="31" t="inlineStr"/>
      <c r="L13" s="31" t="inlineStr"/>
      <c r="M13" s="31" t="inlineStr"/>
      <c r="N13" s="31" t="inlineStr"/>
      <c r="O13" s="31" t="inlineStr"/>
      <c r="P13" s="31" t="inlineStr"/>
      <c r="Q13" s="31" t="inlineStr"/>
      <c r="R13" s="31" t="inlineStr"/>
      <c r="S13" s="31" t="inlineStr"/>
      <c r="T13" s="31" t="inlineStr"/>
      <c r="U13" s="31" t="inlineStr"/>
      <c r="V13" s="31" t="inlineStr"/>
      <c r="W13" s="31" t="inlineStr"/>
      <c r="X13" s="31" t="inlineStr"/>
      <c r="Y13" s="31" t="inlineStr"/>
      <c r="Z13" s="31" t="inlineStr"/>
      <c r="AA13" s="72" t="n"/>
    </row>
    <row r="14" ht="28" customHeight="1">
      <c r="A14" s="30" t="inlineStr">
        <is>
          <t>8</t>
        </is>
      </c>
      <c r="B14" s="46" t="n"/>
      <c r="C14" s="69" t="n"/>
      <c r="D14" s="70" t="n"/>
      <c r="E14" s="70" t="n"/>
      <c r="F14" s="71">
        <f>IF(OR(N(D14)=0,N(E14)=0),"",IF(E14&lt;D14,"⚠ 날짜",E14-D14+1))</f>
        <v/>
      </c>
      <c r="G14" s="31" t="inlineStr"/>
      <c r="H14" s="31" t="inlineStr"/>
      <c r="I14" s="31" t="inlineStr"/>
      <c r="J14" s="31" t="inlineStr"/>
      <c r="K14" s="31" t="inlineStr"/>
      <c r="L14" s="31" t="inlineStr"/>
      <c r="M14" s="31" t="inlineStr"/>
      <c r="N14" s="31" t="inlineStr"/>
      <c r="O14" s="31" t="inlineStr"/>
      <c r="P14" s="31" t="inlineStr"/>
      <c r="Q14" s="31" t="inlineStr"/>
      <c r="R14" s="31" t="inlineStr"/>
      <c r="S14" s="31" t="inlineStr"/>
      <c r="T14" s="31" t="inlineStr"/>
      <c r="U14" s="31" t="inlineStr"/>
      <c r="V14" s="31" t="inlineStr"/>
      <c r="W14" s="31" t="inlineStr"/>
      <c r="X14" s="31" t="inlineStr"/>
      <c r="Y14" s="31" t="inlineStr"/>
      <c r="Z14" s="31" t="inlineStr"/>
      <c r="AA14" s="72" t="n"/>
    </row>
    <row r="15" ht="16" customHeight="1">
      <c r="A15" s="11" t="inlineStr">
        <is>
          <t>※ 일수 = 완료 − 착수 + 1. 눈금 한 칸(노란 칸)을 7일로 두면 주 단위, 1일로 두면 일 단위 공정표가 됩니다.</t>
        </is>
      </c>
    </row>
  </sheetData>
  <mergeCells count="17">
    <mergeCell ref="G3:K3"/>
    <mergeCell ref="L3:P3"/>
    <mergeCell ref="B4:B5"/>
    <mergeCell ref="C4:C5"/>
    <mergeCell ref="A4:A5"/>
    <mergeCell ref="Q3:AA3"/>
    <mergeCell ref="D4:D5"/>
    <mergeCell ref="E4:E5"/>
    <mergeCell ref="F4:F5"/>
    <mergeCell ref="A2:AA2"/>
    <mergeCell ref="A1:I1"/>
    <mergeCell ref="J1:AA1"/>
    <mergeCell ref="G4:Z4"/>
    <mergeCell ref="AA4:AA5"/>
    <mergeCell ref="A15:AA15"/>
    <mergeCell ref="D3:E3"/>
    <mergeCell ref="A3:B3"/>
  </mergeCells>
  <conditionalFormatting sqref="G7:Z14">
    <cfRule type="expression" priority="1" dxfId="6">
      <formula>AND(N($D7)&gt;0,N($E7)&gt;=N($D7),N(G$5)&gt;0,$D7&lt;=G$6,$E7&gt;=G$5)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4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5.  안전 · 환경관리 계획</t>
        </is>
      </c>
    </row>
    <row r="4" ht="3" customHeight="1"/>
    <row r="5" ht="21" customHeight="1">
      <c r="A5" s="18" t="inlineStr">
        <is>
          <t>1) 안전관리 계획</t>
        </is>
      </c>
    </row>
    <row r="6" ht="21" customHeight="1">
      <c r="A6" s="45" t="inlineStr">
        <is>
          <t>◎ 안전보건 교육 계획</t>
        </is>
      </c>
    </row>
    <row r="7" ht="24" customHeight="1">
      <c r="A7" s="23" t="inlineStr">
        <is>
          <t>교 육 명</t>
        </is>
      </c>
      <c r="B7" s="7" t="n"/>
      <c r="C7" s="23" t="inlineStr">
        <is>
          <t>대  상</t>
        </is>
      </c>
      <c r="D7" s="7" t="n"/>
      <c r="E7" s="23" t="inlineStr">
        <is>
          <t>시  간</t>
        </is>
      </c>
      <c r="F7" s="7" t="n"/>
      <c r="G7" s="23" t="inlineStr">
        <is>
          <t>교 육 내 용</t>
        </is>
      </c>
      <c r="H7" s="7" t="n"/>
      <c r="I7" s="7" t="n"/>
      <c r="J7" s="7" t="n"/>
      <c r="K7" s="7" t="n"/>
      <c r="L7" s="7" t="n"/>
    </row>
    <row r="8" ht="40" customHeight="1">
      <c r="A8" s="73" t="inlineStr">
        <is>
          <t>정기교육</t>
        </is>
      </c>
      <c r="B8" s="7" t="n"/>
      <c r="C8" s="48" t="inlineStr">
        <is>
          <t>근로자(사무 · 판매 외)</t>
        </is>
      </c>
      <c r="D8" s="7" t="n"/>
      <c r="E8" s="74" t="inlineStr">
        <is>
          <t>매반기 12시간 이상</t>
        </is>
      </c>
      <c r="F8" s="7" t="n"/>
      <c r="G8" s="48" t="inlineStr">
        <is>
          <t>산업안전보건법령 · 작업 공정의 유해 · 위험 · 보호구와 안전장치 취급 · 산업재해 사례와 예방대책</t>
        </is>
      </c>
      <c r="H8" s="7" t="n"/>
      <c r="I8" s="7" t="n"/>
      <c r="J8" s="7" t="n"/>
      <c r="K8" s="7" t="n"/>
      <c r="L8" s="7" t="n"/>
    </row>
    <row r="9" ht="40" customHeight="1">
      <c r="A9" s="73" t="inlineStr">
        <is>
          <t>채용 시 교육</t>
        </is>
      </c>
      <c r="B9" s="7" t="n"/>
      <c r="C9" s="48" t="inlineStr">
        <is>
          <t>일용근로자 · 1주 이하 기간제</t>
        </is>
      </c>
      <c r="D9" s="7" t="n"/>
      <c r="E9" s="74" t="inlineStr">
        <is>
          <t>1시간 이상</t>
        </is>
      </c>
      <c r="F9" s="7" t="n"/>
      <c r="G9" s="48" t="inlineStr">
        <is>
          <t>산업안전보건법령 · 기계 · 기구의 위험성과 안전작업 · 작업 전 점검 · 정리정돈</t>
        </is>
      </c>
      <c r="H9" s="7" t="n"/>
      <c r="I9" s="7" t="n"/>
      <c r="J9" s="7" t="n"/>
      <c r="K9" s="7" t="n"/>
      <c r="L9" s="7" t="n"/>
    </row>
    <row r="10" ht="40" customHeight="1">
      <c r="A10" s="73" t="inlineStr">
        <is>
          <t>관리감독자 교육</t>
        </is>
      </c>
      <c r="B10" s="7" t="n"/>
      <c r="C10" s="48" t="inlineStr">
        <is>
          <t>관리감독자</t>
        </is>
      </c>
      <c r="D10" s="7" t="n"/>
      <c r="E10" s="74" t="inlineStr">
        <is>
          <t>연간 16시간 이상</t>
        </is>
      </c>
      <c r="F10" s="7" t="n"/>
      <c r="G10" s="48" t="inlineStr">
        <is>
          <t>산업안전보건법령 · 작업안전 지도 요령 · 관리감독자의 역할과 임무 · 위험성평가</t>
        </is>
      </c>
      <c r="H10" s="7" t="n"/>
      <c r="I10" s="7" t="n"/>
      <c r="J10" s="7" t="n"/>
      <c r="K10" s="7" t="n"/>
      <c r="L10" s="7" t="n"/>
    </row>
    <row r="11" ht="40" customHeight="1">
      <c r="A11" s="73" t="inlineStr">
        <is>
          <t>특별교육</t>
        </is>
      </c>
      <c r="B11" s="7" t="n"/>
      <c r="C11" s="48" t="inlineStr">
        <is>
          <t>일용근로자(특별교육 대상 작업)</t>
        </is>
      </c>
      <c r="D11" s="7" t="n"/>
      <c r="E11" s="74" t="inlineStr">
        <is>
          <t>2시간 이상</t>
        </is>
      </c>
      <c r="F11" s="7" t="n"/>
      <c r="G11" s="48" t="inlineStr">
        <is>
          <t>해당 작업의 유해 · 위험 · 보호구 착용 · 작업 신호</t>
        </is>
      </c>
      <c r="H11" s="7" t="n"/>
      <c r="I11" s="7" t="n"/>
      <c r="J11" s="7" t="n"/>
      <c r="K11" s="7" t="n"/>
      <c r="L11" s="7" t="n"/>
    </row>
    <row r="12" ht="40" customHeight="1">
      <c r="A12" s="73" t="inlineStr">
        <is>
          <t>건설업 기초
안전보건교육</t>
        </is>
      </c>
      <c r="B12" s="7" t="n"/>
      <c r="C12" s="48" t="inlineStr">
        <is>
          <t>건설 일용근로자(처음 투입 전)</t>
        </is>
      </c>
      <c r="D12" s="7" t="n"/>
      <c r="E12" s="74" t="inlineStr">
        <is>
          <t>4시간 이상</t>
        </is>
      </c>
      <c r="F12" s="7" t="n"/>
      <c r="G12" s="48" t="inlineStr">
        <is>
          <t>건설공사의 종류와 시공 절차 · 재해 유형별 위험요인과 안전보건 조치 · 근로자의 권리와 의무 (등록 교육기관, 1회)</t>
        </is>
      </c>
      <c r="H12" s="7" t="n"/>
      <c r="I12" s="7" t="n"/>
      <c r="J12" s="7" t="n"/>
      <c r="K12" s="7" t="n"/>
      <c r="L12" s="7" t="n"/>
    </row>
    <row r="13" ht="28" customHeight="1">
      <c r="A13" s="11" t="inlineStr">
        <is>
          <t>※ 시간은 산업안전보건법 시행규칙 별표 4 (2023년 개정 이후) 기준입니다. 사무직 · 판매 근로자 정기교육은 매반기 6시간 이상, 1주 초과 1개월 이하 기간제의 채용 시 교육은 4시간, 그 밖의 근로자는 8시간 이상입니다. 법령이 바뀌면 노란 칸을 고쳐 씁니다.</t>
        </is>
      </c>
    </row>
    <row r="14" ht="21" customHeight="1">
      <c r="A14" s="45" t="inlineStr">
        <is>
          <t>◎ 주요 안전관리 활동</t>
        </is>
      </c>
    </row>
    <row r="15" ht="24" customHeight="1">
      <c r="A15" s="23" t="inlineStr">
        <is>
          <t>구  분</t>
        </is>
      </c>
      <c r="B15" s="7" t="n"/>
      <c r="C15" s="7" t="n"/>
      <c r="D15" s="23" t="inlineStr">
        <is>
          <t>내    용</t>
        </is>
      </c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34.5" customHeight="1">
      <c r="A16" s="73" t="inlineStr">
        <is>
          <t>신규 채용자 관리</t>
        </is>
      </c>
      <c r="B16" s="7" t="n"/>
      <c r="C16" s="7" t="n"/>
      <c r="D16" s="75" t="inlineStr">
        <is>
          <t>작업 투입 전 안전교육 · 배치 전 건강 상태 확인 · 처음 출근 후 15일간 신규자 표시 안전모(황색) 착용 · 기존 근로자와 같은 조에 배치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34.5" customHeight="1">
      <c r="A17" s="73" t="inlineStr">
        <is>
          <t>오전 안전활동</t>
        </is>
      </c>
      <c r="B17" s="7" t="n"/>
      <c r="C17" s="7" t="n"/>
      <c r="D17" s="75" t="inlineStr">
        <is>
          <t>그날 작업 내용 정리 · 주변 도로와 가시설 이상 유무 확인 · 전날 끝내지 못한 사항 보완</t>
        </is>
      </c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34" customHeight="1">
      <c r="A18" s="73" t="inlineStr">
        <is>
          <t>오후 안전활동</t>
        </is>
      </c>
      <c r="B18" s="7" t="n"/>
      <c r="C18" s="7" t="n"/>
      <c r="D18" s="75" t="inlineStr">
        <is>
          <t>오전 점검 내용 공지와 추가 안전사항 전달 · 작업 끝나기 전 현장 정리정돈</t>
        </is>
      </c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34.5" customHeight="1">
      <c r="A19" s="73" t="inlineStr">
        <is>
          <t>일일 안전토의</t>
        </is>
      </c>
      <c r="B19" s="7" t="n"/>
      <c r="C19" s="7" t="n"/>
      <c r="D19" s="75" t="inlineStr">
        <is>
          <t>그날 안전점검 조치사항 확인 · 다음 날 작업과 미비 사항 검토 · 다음 날 실시 사항 토의</t>
        </is>
      </c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1" customHeight="1">
      <c r="A20" s="45" t="inlineStr">
        <is>
          <t>◎ 안전 보호구 지급 및 활용</t>
        </is>
      </c>
    </row>
    <row r="21" ht="20.5" customHeight="1">
      <c r="A21" s="20" t="inlineStr">
        <is>
          <t>▷</t>
        </is>
      </c>
      <c r="B21" s="21" t="inlineStr">
        <is>
          <t>개인 보호구 100% 지급 · 신규 채용자는 교육 전에 지급</t>
        </is>
      </c>
    </row>
    <row r="22" ht="36" customHeight="1">
      <c r="A22" s="20" t="inlineStr">
        <is>
          <t>▷</t>
        </is>
      </c>
      <c r="B22" s="21" t="inlineStr">
        <is>
          <t>보호구 정비, 기능을 잃으면 교환 지급(수시 점검) · 소모성 보호구는 수시 점검해 곧바로 교환</t>
        </is>
      </c>
    </row>
    <row r="23" ht="20.5" customHeight="1">
      <c r="A23" s="20" t="inlineStr">
        <is>
          <t>▷</t>
        </is>
      </c>
      <c r="B23" s="21" t="inlineStr">
        <is>
          <t>지급할 때 착용 · 사용 방법 교육 · 매일 TBM 뒤 기능 점검</t>
        </is>
      </c>
    </row>
    <row r="24" ht="36" customHeight="1">
      <c r="A24" s="20" t="inlineStr">
        <is>
          <t>▷</t>
        </is>
      </c>
      <c r="B24" s="21" t="inlineStr">
        <is>
          <t>분진 작업은 인증 방진마스크를 쓰고 얼굴 밀착 상태를 확인 · 보호구는 본래 목적 외에 쓰지 않음</t>
        </is>
      </c>
    </row>
    <row r="25" ht="21" customHeight="1">
      <c r="A25" s="45" t="inlineStr">
        <is>
          <t>◎ 무재해운동 추진계획</t>
        </is>
      </c>
    </row>
    <row r="26" ht="20.5" customHeight="1">
      <c r="A26" s="20" t="inlineStr">
        <is>
          <t>▷</t>
        </is>
      </c>
      <c r="B26" s="21" t="inlineStr">
        <is>
          <t>TBM 활동과 지속적인 안전교육</t>
        </is>
      </c>
    </row>
    <row r="27" ht="20.5" customHeight="1">
      <c r="A27" s="20" t="inlineStr">
        <is>
          <t>▷</t>
        </is>
      </c>
      <c r="B27" s="21" t="inlineStr">
        <is>
          <t>안전 포상제로 근로자 참여 의식 높이기</t>
        </is>
      </c>
    </row>
    <row r="28" ht="20.5" customHeight="1">
      <c r="A28" s="20" t="inlineStr">
        <is>
          <t>▷</t>
        </is>
      </c>
      <c r="B28" s="21" t="inlineStr">
        <is>
          <t>무재해 목표 시간을 정해 관리 · 무재해 기록판을 사무실 앞에 두어 달성 시간 공지</t>
        </is>
      </c>
    </row>
    <row r="29" ht="20.5" customHeight="1">
      <c r="A29" s="20" t="inlineStr">
        <is>
          <t>▷</t>
        </is>
      </c>
      <c r="B29" s="21" t="inlineStr">
        <is>
          <t>개인 보호구 100% 착용</t>
        </is>
      </c>
    </row>
    <row r="30" ht="3" customHeight="1"/>
    <row r="31" ht="21" customHeight="1">
      <c r="A31" s="18" t="inlineStr">
        <is>
          <t>2) 환경관리 계획</t>
        </is>
      </c>
    </row>
    <row r="32" ht="21" customHeight="1">
      <c r="A32" s="45" t="inlineStr">
        <is>
          <t>◎ 안전관리 조직을 통한 자율적인 실천</t>
        </is>
      </c>
    </row>
    <row r="33" ht="20" customHeight="1">
      <c r="A33" s="50" t="inlineStr">
        <is>
          <t>대기 오염</t>
        </is>
      </c>
    </row>
    <row r="34" ht="20.5" customHeight="1">
      <c r="A34" s="20" t="inlineStr">
        <is>
          <t>-</t>
        </is>
      </c>
      <c r="B34" s="21" t="inlineStr">
        <is>
          <t>토사 굴착 때 살수 등으로 비산먼지를 억제(날씨를 감안해 작업)</t>
        </is>
      </c>
    </row>
    <row r="35" ht="20.5" customHeight="1">
      <c r="A35" s="20" t="inlineStr">
        <is>
          <t>-</t>
        </is>
      </c>
      <c r="B35" s="21" t="inlineStr">
        <is>
          <t>운반 차량은 세륜시설에서 철저히 씻어 토사 · 먼지를 없앰</t>
        </is>
      </c>
    </row>
    <row r="36" ht="20.5" customHeight="1">
      <c r="A36" s="20" t="inlineStr">
        <is>
          <t>-</t>
        </is>
      </c>
      <c r="B36" s="21" t="inlineStr">
        <is>
          <t>현장 안에서 소각 금지</t>
        </is>
      </c>
    </row>
    <row r="37" ht="20" customHeight="1">
      <c r="A37" s="50" t="inlineStr">
        <is>
          <t>소음 · 진동</t>
        </is>
      </c>
    </row>
    <row r="38" ht="20.5" customHeight="1">
      <c r="A38" s="20" t="inlineStr">
        <is>
          <t>-</t>
        </is>
      </c>
      <c r="B38" s="21" t="inlineStr">
        <is>
          <t>낡은 장비 사용 억제 · 저소음 · 저진동 장비 사용</t>
        </is>
      </c>
    </row>
    <row r="39" ht="20.5" customHeight="1">
      <c r="A39" s="20" t="inlineStr">
        <is>
          <t>-</t>
        </is>
      </c>
      <c r="B39" s="21" t="inlineStr">
        <is>
          <t>장비 작업은 시간대별로 탄력적으로 운용</t>
        </is>
      </c>
    </row>
    <row r="40" ht="20.5" customHeight="1">
      <c r="A40" s="20" t="inlineStr">
        <is>
          <t>-</t>
        </is>
      </c>
      <c r="B40" s="21" t="inlineStr">
        <is>
          <t>덤프 운반 때 과적 금지</t>
        </is>
      </c>
    </row>
    <row r="41" ht="20.5" customHeight="1">
      <c r="A41" s="20" t="inlineStr">
        <is>
          <t>-</t>
        </is>
      </c>
      <c r="B41" s="21" t="inlineStr">
        <is>
          <t>특정공사 사전신고 대상이면 착공 전에 관할 시 · 군 · 구에 신고(소음 · 진동관리법)</t>
        </is>
      </c>
    </row>
    <row r="42" ht="21" customHeight="1">
      <c r="A42" s="45" t="inlineStr">
        <is>
          <t>◎ 환경관리 교육 계획</t>
        </is>
      </c>
    </row>
    <row r="43" ht="20.5" customHeight="1">
      <c r="A43" s="20" t="inlineStr">
        <is>
          <t>▷</t>
        </is>
      </c>
      <c r="B43" s="21" t="inlineStr">
        <is>
          <t>정기 안전교육 때 함께 실시</t>
        </is>
      </c>
    </row>
    <row r="44" ht="20.5" customHeight="1">
      <c r="A44" s="20" t="inlineStr">
        <is>
          <t>▷</t>
        </is>
      </c>
      <c r="B44" s="21" t="inlineStr">
        <is>
          <t>오염 요인이 생기는 작업을 시작할 때 저감 방법을 알려 줌</t>
        </is>
      </c>
    </row>
    <row r="46" ht="19.5" customHeight="1">
      <c r="A46" s="11" t="inlineStr">
        <is>
          <t>노란 칸(교육 시간) = 법정 기준이라 법령이 바뀌면 고쳐 씁니다.</t>
        </is>
      </c>
    </row>
  </sheetData>
  <mergeCells count="66">
    <mergeCell ref="B35:L35"/>
    <mergeCell ref="E12:F12"/>
    <mergeCell ref="B26:L26"/>
    <mergeCell ref="A25:L25"/>
    <mergeCell ref="G10:L10"/>
    <mergeCell ref="A11:B11"/>
    <mergeCell ref="A37:L37"/>
    <mergeCell ref="A46:L46"/>
    <mergeCell ref="A18:C18"/>
    <mergeCell ref="D17:L17"/>
    <mergeCell ref="B22:L22"/>
    <mergeCell ref="A3:L3"/>
    <mergeCell ref="E8:F8"/>
    <mergeCell ref="D16:L16"/>
    <mergeCell ref="B27:L27"/>
    <mergeCell ref="B43:L43"/>
    <mergeCell ref="B41:L41"/>
    <mergeCell ref="C10:D10"/>
    <mergeCell ref="A7:B7"/>
    <mergeCell ref="B21:L21"/>
    <mergeCell ref="E10:F10"/>
    <mergeCell ref="A33:L33"/>
    <mergeCell ref="A42:L42"/>
    <mergeCell ref="B39:L39"/>
    <mergeCell ref="A5:L5"/>
    <mergeCell ref="A32:L32"/>
    <mergeCell ref="A17:C17"/>
    <mergeCell ref="A14:L14"/>
    <mergeCell ref="D18:L18"/>
    <mergeCell ref="C9:D9"/>
    <mergeCell ref="E9:F9"/>
    <mergeCell ref="B23:L23"/>
    <mergeCell ref="A12:B12"/>
    <mergeCell ref="A20:L20"/>
    <mergeCell ref="G1:L1"/>
    <mergeCell ref="C12:D12"/>
    <mergeCell ref="D15:L15"/>
    <mergeCell ref="A19:C19"/>
    <mergeCell ref="B38:L38"/>
    <mergeCell ref="B44:L44"/>
    <mergeCell ref="C11:D11"/>
    <mergeCell ref="B29:L29"/>
    <mergeCell ref="E11:F11"/>
    <mergeCell ref="G9:L9"/>
    <mergeCell ref="A13:L13"/>
    <mergeCell ref="A31:L31"/>
    <mergeCell ref="B34:L34"/>
    <mergeCell ref="B28:L28"/>
    <mergeCell ref="A15:C15"/>
    <mergeCell ref="A8:B8"/>
    <mergeCell ref="G12:L12"/>
    <mergeCell ref="B40:L40"/>
    <mergeCell ref="C8:D8"/>
    <mergeCell ref="G11:L11"/>
    <mergeCell ref="D19:L19"/>
    <mergeCell ref="C7:D7"/>
    <mergeCell ref="E7:F7"/>
    <mergeCell ref="A1:F1"/>
    <mergeCell ref="A10:B10"/>
    <mergeCell ref="B24:L24"/>
    <mergeCell ref="A6:L6"/>
    <mergeCell ref="G8:L8"/>
    <mergeCell ref="B36:L36"/>
    <mergeCell ref="A9:B9"/>
    <mergeCell ref="A16:C16"/>
    <mergeCell ref="G7:L7"/>
  </mergeCells>
  <printOptions horizontalCentered="1"/>
  <pageMargins left="0.45" right="0.45" top="0.5" bottom="0.5" header="0.2" footer="0.2"/>
  <pageSetup orientation="portrait" paperSize="9" fitToHeight="0" fitToWidth="1"/>
  <rowBreaks count="1" manualBreakCount="1">
    <brk id="28" min="0" max="16383" man="1"/>
  </rowBreak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6.  시 공 도 면 (별첨)</t>
        </is>
      </c>
    </row>
    <row r="4" ht="24" customHeight="1">
      <c r="A4" s="23" t="inlineStr">
        <is>
          <t>번호</t>
        </is>
      </c>
      <c r="B4" s="23" t="inlineStr">
        <is>
          <t>도면 번호</t>
        </is>
      </c>
      <c r="C4" s="7" t="n"/>
      <c r="D4" s="23" t="inlineStr">
        <is>
          <t>도  면  명</t>
        </is>
      </c>
      <c r="E4" s="7" t="n"/>
      <c r="F4" s="7" t="n"/>
      <c r="G4" s="7" t="n"/>
      <c r="H4" s="7" t="n"/>
      <c r="I4" s="23" t="inlineStr">
        <is>
          <t>축  척</t>
        </is>
      </c>
      <c r="J4" s="7" t="n"/>
      <c r="K4" s="23" t="inlineStr">
        <is>
          <t>비  고</t>
        </is>
      </c>
      <c r="L4" s="7" t="n"/>
    </row>
    <row r="5" ht="26" customHeight="1">
      <c r="A5" s="30" t="inlineStr">
        <is>
          <t>1</t>
        </is>
      </c>
      <c r="B5" s="8" t="n"/>
      <c r="C5" s="7" t="n"/>
      <c r="D5" s="17" t="inlineStr">
        <is>
          <t>가시설 평면도</t>
        </is>
      </c>
      <c r="E5" s="7" t="n"/>
      <c r="F5" s="7" t="n"/>
      <c r="G5" s="7" t="n"/>
      <c r="H5" s="7" t="n"/>
      <c r="I5" s="8" t="n"/>
      <c r="J5" s="7" t="n"/>
      <c r="K5" s="17" t="n"/>
      <c r="L5" s="7" t="n"/>
    </row>
    <row r="6" ht="26" customHeight="1">
      <c r="A6" s="30" t="inlineStr">
        <is>
          <t>2</t>
        </is>
      </c>
      <c r="B6" s="8" t="n"/>
      <c r="C6" s="7" t="n"/>
      <c r="D6" s="17" t="inlineStr">
        <is>
          <t>가시설 종단면도</t>
        </is>
      </c>
      <c r="E6" s="7" t="n"/>
      <c r="F6" s="7" t="n"/>
      <c r="G6" s="7" t="n"/>
      <c r="H6" s="7" t="n"/>
      <c r="I6" s="8" t="n"/>
      <c r="J6" s="7" t="n"/>
      <c r="K6" s="17" t="n"/>
      <c r="L6" s="7" t="n"/>
    </row>
    <row r="7" ht="26" customHeight="1">
      <c r="A7" s="30" t="inlineStr">
        <is>
          <t>3</t>
        </is>
      </c>
      <c r="B7" s="8" t="n"/>
      <c r="C7" s="7" t="n"/>
      <c r="D7" s="17" t="inlineStr">
        <is>
          <t>가시설 횡단면도</t>
        </is>
      </c>
      <c r="E7" s="7" t="n"/>
      <c r="F7" s="7" t="n"/>
      <c r="G7" s="7" t="n"/>
      <c r="H7" s="7" t="n"/>
      <c r="I7" s="8" t="n"/>
      <c r="J7" s="7" t="n"/>
      <c r="K7" s="17" t="n"/>
      <c r="L7" s="7" t="n"/>
    </row>
    <row r="8" ht="26" customHeight="1">
      <c r="A8" s="30" t="inlineStr">
        <is>
          <t>4</t>
        </is>
      </c>
      <c r="B8" s="8" t="n"/>
      <c r="C8" s="7" t="n"/>
      <c r="D8" s="17" t="inlineStr">
        <is>
          <t>띠장 · 버팀보 상세도</t>
        </is>
      </c>
      <c r="E8" s="7" t="n"/>
      <c r="F8" s="7" t="n"/>
      <c r="G8" s="7" t="n"/>
      <c r="H8" s="7" t="n"/>
      <c r="I8" s="8" t="n"/>
      <c r="J8" s="7" t="n"/>
      <c r="K8" s="17" t="n"/>
      <c r="L8" s="7" t="n"/>
    </row>
    <row r="9" ht="26" customHeight="1">
      <c r="A9" s="30" t="inlineStr">
        <is>
          <t>5</t>
        </is>
      </c>
      <c r="B9" s="8" t="n"/>
      <c r="C9" s="7" t="n"/>
      <c r="D9" s="17" t="inlineStr">
        <is>
          <t>계측기 배치도</t>
        </is>
      </c>
      <c r="E9" s="7" t="n"/>
      <c r="F9" s="7" t="n"/>
      <c r="G9" s="7" t="n"/>
      <c r="H9" s="7" t="n"/>
      <c r="I9" s="8" t="n"/>
      <c r="J9" s="7" t="n"/>
      <c r="K9" s="17" t="n"/>
      <c r="L9" s="7" t="n"/>
    </row>
    <row r="10" ht="26" customHeight="1">
      <c r="A10" s="30" t="inlineStr">
        <is>
          <t>6</t>
        </is>
      </c>
      <c r="B10" s="8" t="n"/>
      <c r="C10" s="7" t="n"/>
      <c r="D10" s="17" t="inlineStr">
        <is>
          <t>지장물(매설물) 현황도</t>
        </is>
      </c>
      <c r="E10" s="7" t="n"/>
      <c r="F10" s="7" t="n"/>
      <c r="G10" s="7" t="n"/>
      <c r="H10" s="7" t="n"/>
      <c r="I10" s="8" t="n"/>
      <c r="J10" s="7" t="n"/>
      <c r="K10" s="17" t="n"/>
      <c r="L10" s="7" t="n"/>
    </row>
    <row r="11" ht="26" customHeight="1">
      <c r="A11" s="30" t="inlineStr">
        <is>
          <t>7</t>
        </is>
      </c>
      <c r="B11" s="8" t="n"/>
      <c r="C11" s="7" t="n"/>
      <c r="D11" s="17" t="n"/>
      <c r="E11" s="7" t="n"/>
      <c r="F11" s="7" t="n"/>
      <c r="G11" s="7" t="n"/>
      <c r="H11" s="7" t="n"/>
      <c r="I11" s="8" t="n"/>
      <c r="J11" s="7" t="n"/>
      <c r="K11" s="17" t="n"/>
      <c r="L11" s="7" t="n"/>
    </row>
    <row r="12" ht="26" customHeight="1">
      <c r="A12" s="30" t="inlineStr">
        <is>
          <t>8</t>
        </is>
      </c>
      <c r="B12" s="8" t="n"/>
      <c r="C12" s="7" t="n"/>
      <c r="D12" s="17" t="n"/>
      <c r="E12" s="7" t="n"/>
      <c r="F12" s="7" t="n"/>
      <c r="G12" s="7" t="n"/>
      <c r="H12" s="7" t="n"/>
      <c r="I12" s="8" t="n"/>
      <c r="J12" s="7" t="n"/>
      <c r="K12" s="17" t="n"/>
      <c r="L12" s="7" t="n"/>
    </row>
    <row r="13" ht="26" customHeight="1">
      <c r="A13" s="30" t="inlineStr">
        <is>
          <t>9</t>
        </is>
      </c>
      <c r="B13" s="8" t="n"/>
      <c r="C13" s="7" t="n"/>
      <c r="D13" s="17" t="n"/>
      <c r="E13" s="7" t="n"/>
      <c r="F13" s="7" t="n"/>
      <c r="G13" s="7" t="n"/>
      <c r="H13" s="7" t="n"/>
      <c r="I13" s="8" t="n"/>
      <c r="J13" s="7" t="n"/>
      <c r="K13" s="17" t="n"/>
      <c r="L13" s="7" t="n"/>
    </row>
    <row r="14" ht="26" customHeight="1">
      <c r="A14" s="30" t="inlineStr">
        <is>
          <t>10</t>
        </is>
      </c>
      <c r="B14" s="8" t="n"/>
      <c r="C14" s="7" t="n"/>
      <c r="D14" s="17" t="n"/>
      <c r="E14" s="7" t="n"/>
      <c r="F14" s="7" t="n"/>
      <c r="G14" s="7" t="n"/>
      <c r="H14" s="7" t="n"/>
      <c r="I14" s="8" t="n"/>
      <c r="J14" s="7" t="n"/>
      <c r="K14" s="17" t="n"/>
      <c r="L14" s="7" t="n"/>
    </row>
    <row r="15" ht="16" customHeight="1">
      <c r="A15" s="11" t="inlineStr">
        <is>
          <t>※ 도면은 이 목록 순서로 뒤에 붙입니다.</t>
        </is>
      </c>
    </row>
  </sheetData>
  <mergeCells count="48">
    <mergeCell ref="I6:J6"/>
    <mergeCell ref="B7:C7"/>
    <mergeCell ref="D10:H10"/>
    <mergeCell ref="K9:L9"/>
    <mergeCell ref="I11:J11"/>
    <mergeCell ref="K5:L5"/>
    <mergeCell ref="A3:L3"/>
    <mergeCell ref="B12:C12"/>
    <mergeCell ref="K11:L11"/>
    <mergeCell ref="D6:H6"/>
    <mergeCell ref="B11:C11"/>
    <mergeCell ref="I7:J7"/>
    <mergeCell ref="D11:H11"/>
    <mergeCell ref="D13:H13"/>
    <mergeCell ref="B14:C14"/>
    <mergeCell ref="B8:C8"/>
    <mergeCell ref="B13:C13"/>
    <mergeCell ref="G1:L1"/>
    <mergeCell ref="D7:H7"/>
    <mergeCell ref="I12:J12"/>
    <mergeCell ref="K12:L12"/>
    <mergeCell ref="K8:L8"/>
    <mergeCell ref="B10:C10"/>
    <mergeCell ref="K6:L6"/>
    <mergeCell ref="I5:J5"/>
    <mergeCell ref="I8:J8"/>
    <mergeCell ref="D4:H4"/>
    <mergeCell ref="B9:C9"/>
    <mergeCell ref="I14:J14"/>
    <mergeCell ref="K14:L14"/>
    <mergeCell ref="D9:H9"/>
    <mergeCell ref="B6:C6"/>
    <mergeCell ref="K7:L7"/>
    <mergeCell ref="I4:J4"/>
    <mergeCell ref="D8:H8"/>
    <mergeCell ref="D12:H12"/>
    <mergeCell ref="A15:L15"/>
    <mergeCell ref="B5:C5"/>
    <mergeCell ref="A1:F1"/>
    <mergeCell ref="I10:J10"/>
    <mergeCell ref="K10:L10"/>
    <mergeCell ref="D5:H5"/>
    <mergeCell ref="I9:J9"/>
    <mergeCell ref="I13:J13"/>
    <mergeCell ref="D14:H14"/>
    <mergeCell ref="K4:L4"/>
    <mergeCell ref="K13:L13"/>
    <mergeCell ref="B4:C4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6" t="inlineStr">
        <is>
          <t xml:space="preserve">작성 예시 (가상의 현장)  </t>
        </is>
      </c>
    </row>
    <row r="2" ht="110" customHeight="1"/>
    <row r="3" ht="56" customHeight="1">
      <c r="A3" s="3" t="inlineStr">
        <is>
          <t>흙 막 이   가 시 설   시 공 계 획 서</t>
        </is>
      </c>
    </row>
    <row r="4" ht="28" customHeight="1">
      <c r="A4" s="4" t="inlineStr">
        <is>
          <t>SHEET-PILE · 무진동 압입 공법</t>
        </is>
      </c>
    </row>
    <row r="5" ht="70" customHeight="1"/>
    <row r="6" ht="30" customHeight="1">
      <c r="A6" s="5" t="inlineStr"/>
      <c r="C6" s="6" t="inlineStr">
        <is>
          <t>공 사 명</t>
        </is>
      </c>
      <c r="D6" s="7" t="n"/>
      <c r="E6" s="8" t="inlineStr">
        <is>
          <t>가나지구 배수로 정비공사</t>
        </is>
      </c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제 출 일</t>
        </is>
      </c>
      <c r="D7" s="7" t="n"/>
      <c r="E7" s="9" t="n">
        <v>46111</v>
      </c>
      <c r="F7" s="7" t="n"/>
      <c r="G7" s="7" t="n"/>
      <c r="H7" s="7" t="n"/>
      <c r="I7" s="7" t="n"/>
      <c r="J7" s="7" t="n"/>
      <c r="K7" s="5" t="inlineStr"/>
    </row>
    <row r="8" ht="200" customHeight="1"/>
    <row r="9" ht="40" customHeight="1">
      <c r="A9" s="10" t="inlineStr">
        <is>
          <t>예시건설(주)</t>
        </is>
      </c>
    </row>
    <row r="11" ht="19.5" customHeight="1">
      <c r="A11" s="11" t="inlineStr">
        <is>
          <t>이 시트는 작성 예시입니다(가상의 공사 · 회사 · 사람).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6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1.  공 사 개 요</t>
        </is>
      </c>
    </row>
    <row r="4" ht="26" customHeight="1">
      <c r="A4" s="6" t="inlineStr">
        <is>
          <t>1. 공 사 명</t>
        </is>
      </c>
      <c r="B4" s="7" t="n"/>
      <c r="C4" s="7" t="n"/>
      <c r="D4" s="16">
        <f>IF('예시-표지'!E6="","",'예시-표지'!E6)</f>
        <v/>
      </c>
      <c r="E4" s="7" t="n"/>
      <c r="F4" s="7" t="n"/>
      <c r="G4" s="7" t="n"/>
      <c r="H4" s="7" t="n"/>
      <c r="I4" s="7" t="n"/>
      <c r="J4" s="7" t="n"/>
      <c r="K4" s="7" t="n"/>
      <c r="L4" s="7" t="n"/>
    </row>
    <row r="5" ht="26" customHeight="1">
      <c r="A5" s="6" t="inlineStr">
        <is>
          <t>2. 공사 위치</t>
        </is>
      </c>
      <c r="B5" s="7" t="n"/>
      <c r="C5" s="7" t="n"/>
      <c r="D5" s="17" t="inlineStr">
        <is>
          <t>가나시 가나동 일원</t>
        </is>
      </c>
      <c r="E5" s="7" t="n"/>
      <c r="F5" s="7" t="n"/>
      <c r="G5" s="7" t="n"/>
      <c r="H5" s="7" t="n"/>
      <c r="I5" s="7" t="n"/>
      <c r="J5" s="7" t="n"/>
      <c r="K5" s="7" t="n"/>
      <c r="L5" s="7" t="n"/>
    </row>
    <row r="6" ht="6" customHeight="1"/>
    <row r="7" ht="3" customHeight="1"/>
    <row r="8" ht="21" customHeight="1">
      <c r="A8" s="18" t="inlineStr">
        <is>
          <t>3. 목    적</t>
        </is>
      </c>
    </row>
    <row r="9" ht="34" customHeight="1">
      <c r="A9" s="19">
        <f>"    본 계획서는 "&amp;IF('예시-표지'!E6="","○○ 공사","「"&amp;'예시-표지'!E6&amp;"」")&amp;" 중 토공 및 가시설("&amp;IF('예시-표지'!A4="","흙막이 공법",'예시-표지'!A4)&amp;") 설치에 대하여 다음 세 가지를 목적으로 합니다."</f>
        <v/>
      </c>
    </row>
    <row r="10" ht="20.5" customHeight="1">
      <c r="A10" s="20" t="inlineStr">
        <is>
          <t>1)</t>
        </is>
      </c>
      <c r="B10" s="21" t="inlineStr">
        <is>
          <t>지반 굴착으로 인한 인접 구조물과 지하매설물의 피해를 막고 안전을 확보합니다.</t>
        </is>
      </c>
    </row>
    <row r="11" ht="20.5" customHeight="1">
      <c r="A11" s="20" t="inlineStr">
        <is>
          <t>2)</t>
        </is>
      </c>
      <c r="B11" s="21" t="inlineStr">
        <is>
          <t>구조물 시공을 위한 흙막이 구조물의 안전성을 유지합니다.</t>
        </is>
      </c>
    </row>
    <row r="12" ht="20.5" customHeight="1">
      <c r="A12" s="20" t="inlineStr">
        <is>
          <t>3)</t>
        </is>
      </c>
      <c r="B12" s="21" t="inlineStr">
        <is>
          <t>공사 기간 중 일반 차량과 보행자 통행에 주는 불편을 최소화합니다.</t>
        </is>
      </c>
    </row>
    <row r="13" ht="52.5" customHeight="1">
      <c r="A13" s="22" t="inlineStr">
        <is>
          <t>이를 위해 작업 준비 · 시공 기준 · 시공 절차 · 검사 및 시험 절차 등 품질 확인 기록의 처리 절차를 적어, 체계적이고 빈틈없는 시공으로 필요한 품질을 확보하고 합리적으로 시공하고자 합니다.</t>
        </is>
      </c>
    </row>
    <row r="14" ht="6" customHeight="1"/>
    <row r="15" ht="3" customHeight="1"/>
    <row r="16" ht="21" customHeight="1">
      <c r="A16" s="18" t="inlineStr">
        <is>
          <t>4. 주요 자재 및 수량</t>
        </is>
      </c>
    </row>
    <row r="17" ht="34" customHeight="1">
      <c r="A17" s="23" t="inlineStr">
        <is>
          <t>공 종</t>
        </is>
      </c>
      <c r="B17" s="23" t="inlineStr">
        <is>
          <t>품  명</t>
        </is>
      </c>
      <c r="C17" s="7" t="n"/>
      <c r="D17" s="23" t="inlineStr">
        <is>
          <t>규  격</t>
        </is>
      </c>
      <c r="E17" s="7" t="n"/>
      <c r="F17" s="23" t="inlineStr">
        <is>
          <t>단위중량
(kg/m)</t>
        </is>
      </c>
      <c r="G17" s="23" t="inlineStr">
        <is>
          <t>1본 길이
(m)</t>
        </is>
      </c>
      <c r="H17" s="23" t="inlineStr">
        <is>
          <t>본 수</t>
        </is>
      </c>
      <c r="I17" s="23" t="inlineStr">
        <is>
          <t>수  량</t>
        </is>
      </c>
      <c r="J17" s="7" t="n"/>
      <c r="K17" s="23" t="inlineStr">
        <is>
          <t>비  고</t>
        </is>
      </c>
      <c r="L17" s="7" t="n"/>
    </row>
    <row r="18" ht="26" customHeight="1">
      <c r="A18" s="6" t="inlineStr">
        <is>
          <t>가시설
흙막이</t>
        </is>
      </c>
      <c r="B18" s="8" t="inlineStr">
        <is>
          <t>SHEET-PILE</t>
        </is>
      </c>
      <c r="C18" s="7" t="n"/>
      <c r="D18" s="24" t="inlineStr">
        <is>
          <t>400×150×13.1</t>
        </is>
      </c>
      <c r="E18" s="7" t="n"/>
      <c r="F18" s="25" t="n">
        <v>58.4</v>
      </c>
      <c r="G18" s="26" t="n">
        <v>12</v>
      </c>
      <c r="H18" s="27" t="n">
        <v>320</v>
      </c>
      <c r="I18" s="28">
        <f>IF(OR(N(F18)=0,N(G18)=0,N(H18)=0),"",ROUND(F18*G18*H18/1000,2))</f>
        <v/>
      </c>
      <c r="J18" s="7" t="n"/>
      <c r="K18" s="29" t="inlineStr">
        <is>
          <t>벽체</t>
        </is>
      </c>
      <c r="L18" s="7" t="n"/>
    </row>
    <row r="19" ht="26" customHeight="1">
      <c r="A19" s="7" t="n"/>
      <c r="B19" s="8" t="inlineStr">
        <is>
          <t>H형강</t>
        </is>
      </c>
      <c r="C19" s="7" t="n"/>
      <c r="D19" s="24" t="inlineStr">
        <is>
          <t>H-300×300×10×15</t>
        </is>
      </c>
      <c r="E19" s="7" t="n"/>
      <c r="F19" s="25" t="n">
        <v>94</v>
      </c>
      <c r="G19" s="26" t="n">
        <v>10</v>
      </c>
      <c r="H19" s="27" t="n">
        <v>36</v>
      </c>
      <c r="I19" s="28">
        <f>IF(OR(N(F19)=0,N(G19)=0,N(H19)=0),"",ROUND(F19*G19*H19/1000,2))</f>
        <v/>
      </c>
      <c r="J19" s="7" t="n"/>
      <c r="K19" s="29" t="inlineStr">
        <is>
          <t>띠장 · 버팀보</t>
        </is>
      </c>
      <c r="L19" s="7" t="n"/>
    </row>
    <row r="20" ht="26" customHeight="1">
      <c r="A20" s="7" t="n"/>
      <c r="B20" s="8" t="n"/>
      <c r="C20" s="7" t="n"/>
      <c r="D20" s="24" t="n"/>
      <c r="E20" s="7" t="n"/>
      <c r="F20" s="25" t="n"/>
      <c r="G20" s="26" t="n"/>
      <c r="H20" s="27" t="n"/>
      <c r="I20" s="28">
        <f>IF(OR(N(F20)=0,N(G20)=0,N(H20)=0),"",ROUND(F20*G20*H20/1000,2))</f>
        <v/>
      </c>
      <c r="J20" s="7" t="n"/>
      <c r="K20" s="29" t="n"/>
      <c r="L20" s="7" t="n"/>
    </row>
    <row r="21" ht="26" customHeight="1">
      <c r="A21" s="7" t="n"/>
      <c r="B21" s="8" t="n"/>
      <c r="C21" s="7" t="n"/>
      <c r="D21" s="24" t="n"/>
      <c r="E21" s="7" t="n"/>
      <c r="F21" s="25" t="n"/>
      <c r="G21" s="26" t="n"/>
      <c r="H21" s="27" t="n"/>
      <c r="I21" s="28">
        <f>IF(OR(N(F21)=0,N(G21)=0,N(H21)=0),"",ROUND(F21*G21*H21/1000,2))</f>
        <v/>
      </c>
      <c r="J21" s="7" t="n"/>
      <c r="K21" s="29" t="n"/>
      <c r="L21" s="7" t="n"/>
    </row>
    <row r="22" ht="26" customHeight="1">
      <c r="A22" s="7" t="n"/>
      <c r="B22" s="30" t="inlineStr">
        <is>
          <t>JACK 설치 및 철거</t>
        </is>
      </c>
      <c r="C22" s="7" t="n"/>
      <c r="D22" s="8" t="inlineStr">
        <is>
          <t>T = 100 ton</t>
        </is>
      </c>
      <c r="E22" s="7" t="n"/>
      <c r="F22" s="31" t="inlineStr"/>
      <c r="G22" s="7" t="n"/>
      <c r="H22" s="7" t="n"/>
      <c r="I22" s="32" t="n">
        <v>18</v>
      </c>
      <c r="J22" s="7" t="n"/>
      <c r="K22" s="29" t="n"/>
      <c r="L22" s="7" t="n"/>
    </row>
    <row r="23" ht="26" customHeight="1">
      <c r="A23" s="33" t="inlineStr">
        <is>
          <t>강재 합계</t>
        </is>
      </c>
      <c r="B23" s="7" t="n"/>
      <c r="C23" s="7" t="n"/>
      <c r="D23" s="7" t="n"/>
      <c r="E23" s="7" t="n"/>
      <c r="F23" s="7" t="n"/>
      <c r="G23" s="7" t="n"/>
      <c r="H23" s="7" t="n"/>
      <c r="I23" s="34">
        <f>IF(SUM(I18:I21)=0,"",SUM(I18:I21))</f>
        <v/>
      </c>
      <c r="J23" s="7" t="n"/>
      <c r="K23" s="33" t="inlineStr"/>
      <c r="L23" s="7" t="n"/>
    </row>
    <row r="24" ht="28" customHeight="1">
      <c r="A24" s="11" t="inlineStr">
        <is>
          <t>※ 수량(TON) = 단위중량 × 1본 길이 × 본수 ÷ 1000 (소수 둘째 자리 반올림). 단위중량(노란 칸)은 제조사 규격표(KS F 4604 · KS D 3502) 값을 적습니다.</t>
        </is>
      </c>
    </row>
    <row r="26" ht="19.5" customHeight="1">
      <c r="A26" s="11" t="inlineStr">
        <is>
          <t>예시의 단위중량은 400×150×13.1 형 강널말뚝 58.4 kg/m · H-300×300×10×15 94.0 kg/m 입니다.</t>
        </is>
      </c>
    </row>
  </sheetData>
  <mergeCells count="45">
    <mergeCell ref="D20:E20"/>
    <mergeCell ref="A16:L16"/>
    <mergeCell ref="A18:A22"/>
    <mergeCell ref="D19:E19"/>
    <mergeCell ref="B22:C22"/>
    <mergeCell ref="D22:E22"/>
    <mergeCell ref="B18:C18"/>
    <mergeCell ref="A3:L3"/>
    <mergeCell ref="D21:E21"/>
    <mergeCell ref="K21:L21"/>
    <mergeCell ref="A26:L26"/>
    <mergeCell ref="B21:C21"/>
    <mergeCell ref="B12:L12"/>
    <mergeCell ref="K20:L20"/>
    <mergeCell ref="F22:H22"/>
    <mergeCell ref="A5:C5"/>
    <mergeCell ref="B11:L11"/>
    <mergeCell ref="D4:L4"/>
    <mergeCell ref="A8:L8"/>
    <mergeCell ref="I22:J22"/>
    <mergeCell ref="B17:C17"/>
    <mergeCell ref="A4:C4"/>
    <mergeCell ref="D17:E17"/>
    <mergeCell ref="K22:L22"/>
    <mergeCell ref="I18:J18"/>
    <mergeCell ref="I21:J21"/>
    <mergeCell ref="G1:L1"/>
    <mergeCell ref="D5:L5"/>
    <mergeCell ref="B19:C19"/>
    <mergeCell ref="A13:L13"/>
    <mergeCell ref="B10:L10"/>
    <mergeCell ref="I23:J23"/>
    <mergeCell ref="A9:L9"/>
    <mergeCell ref="D18:E18"/>
    <mergeCell ref="A23:H23"/>
    <mergeCell ref="K23:L23"/>
    <mergeCell ref="I17:J17"/>
    <mergeCell ref="K17:L17"/>
    <mergeCell ref="A24:L24"/>
    <mergeCell ref="I20:J20"/>
    <mergeCell ref="A1:F1"/>
    <mergeCell ref="B20:C20"/>
    <mergeCell ref="I19:J19"/>
    <mergeCell ref="K19:L19"/>
    <mergeCell ref="K18:L18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6" t="inlineStr">
        <is>
          <t xml:space="preserve">작성 예시 (가상의 현장)  </t>
        </is>
      </c>
    </row>
    <row r="2" ht="28" customHeight="1">
      <c r="A2" s="15" t="inlineStr">
        <is>
          <t>2.  현장 조직도 및 투입 계획</t>
        </is>
      </c>
    </row>
    <row r="3" ht="22" customHeight="1">
      <c r="A3" s="18" t="inlineStr">
        <is>
          <t>a. 현장 조직도</t>
        </is>
      </c>
    </row>
    <row r="4" ht="14" customHeight="1"/>
    <row r="5" ht="22" customHeight="1">
      <c r="F5" s="6" t="inlineStr">
        <is>
          <t>현장대리인</t>
        </is>
      </c>
      <c r="G5" s="7" t="n"/>
    </row>
    <row r="6" ht="26" customHeight="1">
      <c r="F6" s="8" t="inlineStr">
        <is>
          <t>홍길동</t>
        </is>
      </c>
      <c r="G6" s="7" t="n"/>
    </row>
    <row r="7" ht="14" customHeight="1">
      <c r="G7" s="35" t="n"/>
    </row>
    <row r="8" ht="22" customHeight="1">
      <c r="G8" s="36" t="n"/>
      <c r="H8" s="37" t="n"/>
      <c r="I8" s="6" t="inlineStr">
        <is>
          <t>안전관리자</t>
        </is>
      </c>
      <c r="J8" s="7" t="n"/>
    </row>
    <row r="9" ht="26" customHeight="1">
      <c r="G9" s="35" t="n"/>
      <c r="I9" s="8" t="inlineStr">
        <is>
          <t>김철수</t>
        </is>
      </c>
      <c r="J9" s="7" t="n"/>
    </row>
    <row r="10" ht="14" customHeight="1">
      <c r="G10" s="35" t="n"/>
    </row>
    <row r="11" ht="12" customHeight="1">
      <c r="C11" s="37" t="n"/>
      <c r="D11" s="37" t="n"/>
      <c r="E11" s="37" t="n"/>
      <c r="F11" s="37" t="n"/>
      <c r="G11" s="36" t="n"/>
      <c r="H11" s="37" t="n"/>
      <c r="I11" s="37" t="n"/>
      <c r="J11" s="37" t="n"/>
    </row>
    <row r="12" ht="12" customHeight="1">
      <c r="C12" s="35" t="n"/>
      <c r="G12" s="35" t="n"/>
      <c r="K12" s="35" t="n"/>
    </row>
    <row r="13" ht="22" customHeight="1">
      <c r="B13" s="6" t="inlineStr">
        <is>
          <t>공무</t>
        </is>
      </c>
      <c r="C13" s="7" t="n"/>
      <c r="F13" s="6" t="inlineStr">
        <is>
          <t>공사</t>
        </is>
      </c>
      <c r="G13" s="7" t="n"/>
      <c r="J13" s="6" t="inlineStr">
        <is>
          <t>품질</t>
        </is>
      </c>
      <c r="K13" s="7" t="n"/>
    </row>
    <row r="14" ht="26" customHeight="1">
      <c r="B14" s="8" t="inlineStr">
        <is>
          <t>이공무</t>
        </is>
      </c>
      <c r="C14" s="7" t="n"/>
      <c r="F14" s="8" t="inlineStr">
        <is>
          <t>박공사</t>
        </is>
      </c>
      <c r="G14" s="7" t="n"/>
      <c r="J14" s="8" t="inlineStr">
        <is>
          <t>최품질</t>
        </is>
      </c>
      <c r="K14" s="7" t="n"/>
    </row>
    <row r="15" ht="18" customHeight="1">
      <c r="G15" s="35" t="n"/>
    </row>
    <row r="16" ht="22" customHeight="1">
      <c r="E16" s="6" t="inlineStr">
        <is>
          <t>현장소장 (협력업체)</t>
        </is>
      </c>
      <c r="F16" s="7" t="n"/>
      <c r="G16" s="7" t="n"/>
      <c r="H16" s="7" t="n"/>
    </row>
    <row r="17" ht="26" customHeight="1">
      <c r="E17" s="8" t="inlineStr">
        <is>
          <t>(주)예시토건 정소장</t>
        </is>
      </c>
      <c r="F17" s="7" t="n"/>
      <c r="G17" s="7" t="n"/>
      <c r="H17" s="7" t="n"/>
    </row>
    <row r="18" ht="14" customHeight="1">
      <c r="G18" s="35" t="n"/>
    </row>
    <row r="19" ht="12" customHeight="1">
      <c r="C19" s="37" t="n"/>
      <c r="D19" s="37" t="n"/>
      <c r="E19" s="37" t="n"/>
      <c r="F19" s="37" t="n"/>
      <c r="G19" s="36" t="n"/>
      <c r="H19" s="37" t="n"/>
      <c r="I19" s="37" t="n"/>
      <c r="J19" s="37" t="n"/>
    </row>
    <row r="20" ht="12" customHeight="1">
      <c r="C20" s="35" t="n"/>
      <c r="G20" s="35" t="n"/>
      <c r="K20" s="35" t="n"/>
    </row>
    <row r="21" ht="22" customHeight="1">
      <c r="B21" s="6" t="inlineStr">
        <is>
          <t>토공사</t>
        </is>
      </c>
      <c r="C21" s="7" t="n"/>
      <c r="F21" s="6" t="inlineStr">
        <is>
          <t>가시설팀</t>
        </is>
      </c>
      <c r="G21" s="7" t="n"/>
      <c r="J21" s="6" t="inlineStr">
        <is>
          <t>장비</t>
        </is>
      </c>
      <c r="K21" s="7" t="n"/>
    </row>
    <row r="22" ht="26" customHeight="1">
      <c r="B22" s="8" t="inlineStr">
        <is>
          <t>토공반</t>
        </is>
      </c>
      <c r="C22" s="7" t="n"/>
      <c r="F22" s="8" t="inlineStr">
        <is>
          <t>가시설반</t>
        </is>
      </c>
      <c r="G22" s="7" t="n"/>
      <c r="J22" s="8" t="inlineStr">
        <is>
          <t>장비반</t>
        </is>
      </c>
      <c r="K22" s="7" t="n"/>
    </row>
    <row r="23" ht="14" customHeight="1"/>
    <row r="24" ht="16" customHeight="1">
      <c r="A24" s="11" t="inlineStr">
        <is>
          <t>※ 칸마다 성명(협력업체는 상호 · 소장 성명)을 적습니다. 안전관리자는 현장대리인 직속으로 둡니다.</t>
        </is>
      </c>
    </row>
  </sheetData>
  <mergeCells count="23">
    <mergeCell ref="J14:K14"/>
    <mergeCell ref="E16:H16"/>
    <mergeCell ref="B22:C22"/>
    <mergeCell ref="F6:G6"/>
    <mergeCell ref="J13:K13"/>
    <mergeCell ref="A3:L3"/>
    <mergeCell ref="F21:G21"/>
    <mergeCell ref="A2:L2"/>
    <mergeCell ref="B21:C21"/>
    <mergeCell ref="F5:G5"/>
    <mergeCell ref="B14:C14"/>
    <mergeCell ref="B13:C13"/>
    <mergeCell ref="G1:L1"/>
    <mergeCell ref="E17:H17"/>
    <mergeCell ref="F22:G22"/>
    <mergeCell ref="F13:G13"/>
    <mergeCell ref="I8:J8"/>
    <mergeCell ref="J22:K22"/>
    <mergeCell ref="A24:L24"/>
    <mergeCell ref="J21:K21"/>
    <mergeCell ref="A1:F1"/>
    <mergeCell ref="F14:G14"/>
    <mergeCell ref="I9:J9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6" t="inlineStr">
        <is>
          <t xml:space="preserve">작성 예시 (가상의 현장)  </t>
        </is>
      </c>
    </row>
    <row r="2" ht="28" customHeight="1">
      <c r="A2" s="15" t="inlineStr">
        <is>
          <t>b. 장비 및 인원 투입계획서</t>
        </is>
      </c>
    </row>
    <row r="3" ht="3" customHeight="1"/>
    <row r="4" ht="21" customHeight="1">
      <c r="A4" s="18" t="inlineStr">
        <is>
          <t>가. 장비 투입계획</t>
        </is>
      </c>
    </row>
    <row r="5" ht="32" customHeight="1">
      <c r="A5" s="23" t="inlineStr">
        <is>
          <t>장 비 명</t>
        </is>
      </c>
      <c r="B5" s="7" t="n"/>
      <c r="C5" s="7" t="n"/>
      <c r="D5" s="23" t="inlineStr">
        <is>
          <t>규  격</t>
        </is>
      </c>
      <c r="E5" s="7" t="n"/>
      <c r="F5" s="23" t="inlineStr">
        <is>
          <t>1일
수량(대)</t>
        </is>
      </c>
      <c r="G5" s="23" t="inlineStr">
        <is>
          <t>투입일수</t>
        </is>
      </c>
      <c r="H5" s="7" t="n"/>
      <c r="I5" s="23" t="inlineStr">
        <is>
          <t>누  계
(대·일)</t>
        </is>
      </c>
      <c r="J5" s="7" t="n"/>
      <c r="K5" s="23" t="inlineStr">
        <is>
          <t>비  고</t>
        </is>
      </c>
      <c r="L5" s="7" t="n"/>
    </row>
    <row r="6" ht="24" customHeight="1">
      <c r="A6" s="8" t="inlineStr">
        <is>
          <t>천공 전용기</t>
        </is>
      </c>
      <c r="B6" s="7" t="n"/>
      <c r="C6" s="7" t="n"/>
      <c r="D6" s="8" t="inlineStr">
        <is>
          <t>DH608 급</t>
        </is>
      </c>
      <c r="E6" s="7" t="n"/>
      <c r="F6" s="27" t="n">
        <v>1</v>
      </c>
      <c r="G6" s="38" t="n">
        <v>40</v>
      </c>
      <c r="H6" s="7" t="n"/>
      <c r="I6" s="39">
        <f>IF(OR(N(F6)=0,N(G6)=0),"",F6*G6)</f>
        <v/>
      </c>
      <c r="J6" s="7" t="n"/>
      <c r="K6" s="29" t="n"/>
      <c r="L6" s="7" t="n"/>
    </row>
    <row r="7" ht="24" customHeight="1">
      <c r="A7" s="8" t="inlineStr">
        <is>
          <t>카고 크레인</t>
        </is>
      </c>
      <c r="B7" s="7" t="n"/>
      <c r="C7" s="7" t="n"/>
      <c r="D7" s="8" t="inlineStr">
        <is>
          <t>11톤</t>
        </is>
      </c>
      <c r="E7" s="7" t="n"/>
      <c r="F7" s="27" t="n">
        <v>1</v>
      </c>
      <c r="G7" s="38" t="n">
        <v>60</v>
      </c>
      <c r="H7" s="7" t="n"/>
      <c r="I7" s="39">
        <f>IF(OR(N(F7)=0,N(G7)=0),"",F7*G7)</f>
        <v/>
      </c>
      <c r="J7" s="7" t="n"/>
      <c r="K7" s="29" t="inlineStr">
        <is>
          <t>자재 하역·운반</t>
        </is>
      </c>
      <c r="L7" s="7" t="n"/>
    </row>
    <row r="8" ht="24" customHeight="1">
      <c r="A8" s="8" t="inlineStr">
        <is>
          <t>무진동 압입기</t>
        </is>
      </c>
      <c r="B8" s="7" t="n"/>
      <c r="C8" s="7" t="n"/>
      <c r="D8" s="8" t="inlineStr">
        <is>
          <t>150톤</t>
        </is>
      </c>
      <c r="E8" s="7" t="n"/>
      <c r="F8" s="27" t="n">
        <v>1</v>
      </c>
      <c r="G8" s="38" t="n">
        <v>40</v>
      </c>
      <c r="H8" s="7" t="n"/>
      <c r="I8" s="39">
        <f>IF(OR(N(F8)=0,N(G8)=0),"",F8*G8)</f>
        <v/>
      </c>
      <c r="J8" s="7" t="n"/>
      <c r="K8" s="29" t="n"/>
      <c r="L8" s="7" t="n"/>
    </row>
    <row r="9" ht="24" customHeight="1">
      <c r="A9" s="8" t="inlineStr">
        <is>
          <t>백호(B/H)</t>
        </is>
      </c>
      <c r="B9" s="7" t="n"/>
      <c r="C9" s="7" t="n"/>
      <c r="D9" s="8" t="inlineStr">
        <is>
          <t>1.0㎥</t>
        </is>
      </c>
      <c r="E9" s="7" t="n"/>
      <c r="F9" s="27" t="n">
        <v>1</v>
      </c>
      <c r="G9" s="38" t="n">
        <v>30</v>
      </c>
      <c r="H9" s="7" t="n"/>
      <c r="I9" s="39">
        <f>IF(OR(N(F9)=0,N(G9)=0),"",F9*G9)</f>
        <v/>
      </c>
      <c r="J9" s="7" t="n"/>
      <c r="K9" s="29" t="inlineStr">
        <is>
          <t>터파기</t>
        </is>
      </c>
      <c r="L9" s="7" t="n"/>
    </row>
    <row r="10" ht="24" customHeight="1">
      <c r="A10" s="8" t="inlineStr">
        <is>
          <t>백호(B/H)</t>
        </is>
      </c>
      <c r="B10" s="7" t="n"/>
      <c r="C10" s="7" t="n"/>
      <c r="D10" s="8" t="inlineStr">
        <is>
          <t>0.6㎥</t>
        </is>
      </c>
      <c r="E10" s="7" t="n"/>
      <c r="F10" s="27" t="n">
        <v>1</v>
      </c>
      <c r="G10" s="38" t="n">
        <v>30</v>
      </c>
      <c r="H10" s="7" t="n"/>
      <c r="I10" s="39">
        <f>IF(OR(N(F10)=0,N(G10)=0),"",F10*G10)</f>
        <v/>
      </c>
      <c r="J10" s="7" t="n"/>
      <c r="K10" s="29" t="inlineStr">
        <is>
          <t>띠장 주변 굴착</t>
        </is>
      </c>
      <c r="L10" s="7" t="n"/>
    </row>
    <row r="11" ht="24" customHeight="1">
      <c r="A11" s="8" t="inlineStr">
        <is>
          <t>덤프트럭(D/T)</t>
        </is>
      </c>
      <c r="B11" s="7" t="n"/>
      <c r="C11" s="7" t="n"/>
      <c r="D11" s="8" t="inlineStr">
        <is>
          <t>15 ~ 25톤</t>
        </is>
      </c>
      <c r="E11" s="7" t="n"/>
      <c r="F11" s="27" t="n">
        <v>3</v>
      </c>
      <c r="G11" s="38" t="n">
        <v>20</v>
      </c>
      <c r="H11" s="7" t="n"/>
      <c r="I11" s="39">
        <f>IF(OR(N(F11)=0,N(G11)=0),"",F11*G11)</f>
        <v/>
      </c>
      <c r="J11" s="7" t="n"/>
      <c r="K11" s="29" t="inlineStr">
        <is>
          <t>필요량</t>
        </is>
      </c>
      <c r="L11" s="7" t="n"/>
    </row>
    <row r="12" ht="24" customHeight="1">
      <c r="A12" s="8" t="n"/>
      <c r="B12" s="7" t="n"/>
      <c r="C12" s="7" t="n"/>
      <c r="D12" s="8" t="n"/>
      <c r="E12" s="7" t="n"/>
      <c r="F12" s="27" t="n"/>
      <c r="G12" s="38" t="n"/>
      <c r="H12" s="7" t="n"/>
      <c r="I12" s="39">
        <f>IF(OR(N(F12)=0,N(G12)=0),"",F12*G12)</f>
        <v/>
      </c>
      <c r="J12" s="7" t="n"/>
      <c r="K12" s="29" t="n"/>
      <c r="L12" s="7" t="n"/>
    </row>
    <row r="13" ht="24" customHeight="1">
      <c r="A13" s="8" t="n"/>
      <c r="B13" s="7" t="n"/>
      <c r="C13" s="7" t="n"/>
      <c r="D13" s="8" t="n"/>
      <c r="E13" s="7" t="n"/>
      <c r="F13" s="27" t="n"/>
      <c r="G13" s="38" t="n"/>
      <c r="H13" s="7" t="n"/>
      <c r="I13" s="39">
        <f>IF(OR(N(F13)=0,N(G13)=0),"",F13*G13)</f>
        <v/>
      </c>
      <c r="J13" s="7" t="n"/>
      <c r="K13" s="29" t="n"/>
      <c r="L13" s="7" t="n"/>
    </row>
    <row r="14" ht="24" customHeight="1">
      <c r="A14" s="33" t="inlineStr">
        <is>
          <t>계</t>
        </is>
      </c>
      <c r="B14" s="7" t="n"/>
      <c r="C14" s="7" t="n"/>
      <c r="D14" s="7" t="n"/>
      <c r="E14" s="7" t="n"/>
      <c r="F14" s="7" t="n"/>
      <c r="G14" s="7" t="n"/>
      <c r="H14" s="7" t="n"/>
      <c r="I14" s="40">
        <f>IF(SUM(I6:I13)=0,"",SUM(I6:I13))</f>
        <v/>
      </c>
      <c r="J14" s="7" t="n"/>
      <c r="K14" s="33" t="inlineStr"/>
      <c r="L14" s="7" t="n"/>
    </row>
    <row r="15" ht="10" customHeight="1"/>
    <row r="16" ht="3" customHeight="1"/>
    <row r="17" ht="21" customHeight="1">
      <c r="A17" s="18" t="inlineStr">
        <is>
          <t>나. 인원 투입계획</t>
        </is>
      </c>
    </row>
    <row r="18" ht="32" customHeight="1">
      <c r="A18" s="23" t="inlineStr">
        <is>
          <t>직  종</t>
        </is>
      </c>
      <c r="B18" s="7" t="n"/>
      <c r="C18" s="7" t="n"/>
      <c r="D18" s="23" t="inlineStr">
        <is>
          <t>단위</t>
        </is>
      </c>
      <c r="E18" s="23" t="inlineStr">
        <is>
          <t>1일 인원</t>
        </is>
      </c>
      <c r="F18" s="7" t="n"/>
      <c r="G18" s="23" t="inlineStr">
        <is>
          <t>투입일수</t>
        </is>
      </c>
      <c r="H18" s="7" t="n"/>
      <c r="I18" s="23" t="inlineStr">
        <is>
          <t>누  계
(인·일)</t>
        </is>
      </c>
      <c r="J18" s="7" t="n"/>
      <c r="K18" s="23" t="inlineStr">
        <is>
          <t>비  고</t>
        </is>
      </c>
      <c r="L18" s="7" t="n"/>
    </row>
    <row r="19" ht="24" customHeight="1">
      <c r="A19" s="8" t="inlineStr">
        <is>
          <t>현장관리</t>
        </is>
      </c>
      <c r="B19" s="7" t="n"/>
      <c r="C19" s="7" t="n"/>
      <c r="D19" s="30" t="inlineStr">
        <is>
          <t>명</t>
        </is>
      </c>
      <c r="E19" s="27" t="n">
        <v>1</v>
      </c>
      <c r="F19" s="7" t="n"/>
      <c r="G19" s="38" t="n">
        <v>120</v>
      </c>
      <c r="H19" s="7" t="n"/>
      <c r="I19" s="39">
        <f>IF(OR(N(E19)=0,N(G19)=0),"",E19*G19)</f>
        <v/>
      </c>
      <c r="J19" s="7" t="n"/>
      <c r="K19" s="29" t="n"/>
      <c r="L19" s="7" t="n"/>
    </row>
    <row r="20" ht="24" customHeight="1">
      <c r="A20" s="8" t="inlineStr">
        <is>
          <t>작업반장</t>
        </is>
      </c>
      <c r="B20" s="7" t="n"/>
      <c r="C20" s="7" t="n"/>
      <c r="D20" s="30" t="inlineStr">
        <is>
          <t>명</t>
        </is>
      </c>
      <c r="E20" s="27" t="n">
        <v>1</v>
      </c>
      <c r="F20" s="7" t="n"/>
      <c r="G20" s="38" t="n">
        <v>100</v>
      </c>
      <c r="H20" s="7" t="n"/>
      <c r="I20" s="39">
        <f>IF(OR(N(E20)=0,N(G20)=0),"",E20*G20)</f>
        <v/>
      </c>
      <c r="J20" s="7" t="n"/>
      <c r="K20" s="29" t="n"/>
      <c r="L20" s="7" t="n"/>
    </row>
    <row r="21" ht="24" customHeight="1">
      <c r="A21" s="8" t="inlineStr">
        <is>
          <t>특별인부(용접공)</t>
        </is>
      </c>
      <c r="B21" s="7" t="n"/>
      <c r="C21" s="7" t="n"/>
      <c r="D21" s="30" t="inlineStr">
        <is>
          <t>명</t>
        </is>
      </c>
      <c r="E21" s="27" t="n">
        <v>2</v>
      </c>
      <c r="F21" s="7" t="n"/>
      <c r="G21" s="38" t="n">
        <v>60</v>
      </c>
      <c r="H21" s="7" t="n"/>
      <c r="I21" s="39">
        <f>IF(OR(N(E21)=0,N(G21)=0),"",E21*G21)</f>
        <v/>
      </c>
      <c r="J21" s="7" t="n"/>
      <c r="K21" s="29" t="inlineStr">
        <is>
          <t>띠장·버팀보 용접</t>
        </is>
      </c>
      <c r="L21" s="7" t="n"/>
    </row>
    <row r="22" ht="24" customHeight="1">
      <c r="A22" s="8" t="inlineStr">
        <is>
          <t>특별인부(가시설공)</t>
        </is>
      </c>
      <c r="B22" s="7" t="n"/>
      <c r="C22" s="7" t="n"/>
      <c r="D22" s="30" t="inlineStr">
        <is>
          <t>명</t>
        </is>
      </c>
      <c r="E22" s="27" t="n">
        <v>4</v>
      </c>
      <c r="F22" s="7" t="n"/>
      <c r="G22" s="38" t="n">
        <v>80</v>
      </c>
      <c r="H22" s="7" t="n"/>
      <c r="I22" s="39">
        <f>IF(OR(N(E22)=0,N(G22)=0),"",E22*G22)</f>
        <v/>
      </c>
      <c r="J22" s="7" t="n"/>
      <c r="K22" s="29" t="n"/>
      <c r="L22" s="7" t="n"/>
    </row>
    <row r="23" ht="24" customHeight="1">
      <c r="A23" s="8" t="inlineStr">
        <is>
          <t>보통인부</t>
        </is>
      </c>
      <c r="B23" s="7" t="n"/>
      <c r="C23" s="7" t="n"/>
      <c r="D23" s="30" t="inlineStr">
        <is>
          <t>명</t>
        </is>
      </c>
      <c r="E23" s="27" t="n">
        <v>4</v>
      </c>
      <c r="F23" s="7" t="n"/>
      <c r="G23" s="38" t="n">
        <v>100</v>
      </c>
      <c r="H23" s="7" t="n"/>
      <c r="I23" s="39">
        <f>IF(OR(N(E23)=0,N(G23)=0),"",E23*G23)</f>
        <v/>
      </c>
      <c r="J23" s="7" t="n"/>
      <c r="K23" s="29" t="n"/>
      <c r="L23" s="7" t="n"/>
    </row>
    <row r="24" ht="24" customHeight="1">
      <c r="A24" s="8" t="inlineStr">
        <is>
          <t>신호수</t>
        </is>
      </c>
      <c r="B24" s="7" t="n"/>
      <c r="C24" s="7" t="n"/>
      <c r="D24" s="30" t="inlineStr">
        <is>
          <t>명</t>
        </is>
      </c>
      <c r="E24" s="27" t="n">
        <v>2</v>
      </c>
      <c r="F24" s="7" t="n"/>
      <c r="G24" s="38" t="n">
        <v>100</v>
      </c>
      <c r="H24" s="7" t="n"/>
      <c r="I24" s="39">
        <f>IF(OR(N(E24)=0,N(G24)=0),"",E24*G24)</f>
        <v/>
      </c>
      <c r="J24" s="7" t="n"/>
      <c r="K24" s="29" t="inlineStr">
        <is>
          <t>장비 유도</t>
        </is>
      </c>
      <c r="L24" s="7" t="n"/>
    </row>
    <row r="25" ht="24" customHeight="1">
      <c r="A25" s="8" t="n"/>
      <c r="B25" s="7" t="n"/>
      <c r="C25" s="7" t="n"/>
      <c r="D25" s="30" t="inlineStr">
        <is>
          <t>명</t>
        </is>
      </c>
      <c r="E25" s="27" t="n"/>
      <c r="F25" s="7" t="n"/>
      <c r="G25" s="38" t="n"/>
      <c r="H25" s="7" t="n"/>
      <c r="I25" s="39">
        <f>IF(OR(N(E25)=0,N(G25)=0),"",E25*G25)</f>
        <v/>
      </c>
      <c r="J25" s="7" t="n"/>
      <c r="K25" s="29" t="n"/>
      <c r="L25" s="7" t="n"/>
    </row>
    <row r="26" ht="24" customHeight="1">
      <c r="A26" s="8" t="n"/>
      <c r="B26" s="7" t="n"/>
      <c r="C26" s="7" t="n"/>
      <c r="D26" s="30" t="inlineStr">
        <is>
          <t>명</t>
        </is>
      </c>
      <c r="E26" s="27" t="n"/>
      <c r="F26" s="7" t="n"/>
      <c r="G26" s="38" t="n"/>
      <c r="H26" s="7" t="n"/>
      <c r="I26" s="39">
        <f>IF(OR(N(E26)=0,N(G26)=0),"",E26*G26)</f>
        <v/>
      </c>
      <c r="J26" s="7" t="n"/>
      <c r="K26" s="29" t="n"/>
      <c r="L26" s="7" t="n"/>
    </row>
    <row r="27" ht="24" customHeight="1">
      <c r="A27" s="33" t="inlineStr">
        <is>
          <t>계</t>
        </is>
      </c>
      <c r="B27" s="7" t="n"/>
      <c r="C27" s="7" t="n"/>
      <c r="D27" s="7" t="n"/>
      <c r="E27" s="7" t="n"/>
      <c r="F27" s="7" t="n"/>
      <c r="G27" s="7" t="n"/>
      <c r="H27" s="7" t="n"/>
      <c r="I27" s="40">
        <f>IF(SUM(I19:I26)=0,"",SUM(I19:I26))</f>
        <v/>
      </c>
      <c r="J27" s="7" t="n"/>
      <c r="K27" s="33" t="inlineStr"/>
      <c r="L27" s="7" t="n"/>
    </row>
    <row r="28" ht="16" customHeight="1">
      <c r="A28" s="11" t="inlineStr">
        <is>
          <t>※ 누계 = 1일 투입 × 투입일수. 장비·인원은 현장 여건과 공정에 따라 바뀔 수 있습니다.</t>
        </is>
      </c>
    </row>
  </sheetData>
  <mergeCells count="102">
    <mergeCell ref="G21:H21"/>
    <mergeCell ref="K24:L24"/>
    <mergeCell ref="E23:F23"/>
    <mergeCell ref="A21:C21"/>
    <mergeCell ref="G23:H23"/>
    <mergeCell ref="A26:C26"/>
    <mergeCell ref="I26:J26"/>
    <mergeCell ref="K26:L26"/>
    <mergeCell ref="D6:E6"/>
    <mergeCell ref="A23:C23"/>
    <mergeCell ref="D13:E13"/>
    <mergeCell ref="I25:J25"/>
    <mergeCell ref="G18:H18"/>
    <mergeCell ref="I18:J18"/>
    <mergeCell ref="D7:E7"/>
    <mergeCell ref="G20:H20"/>
    <mergeCell ref="I20:J20"/>
    <mergeCell ref="A6:C6"/>
    <mergeCell ref="E22:F22"/>
    <mergeCell ref="I13:J13"/>
    <mergeCell ref="G22:H22"/>
    <mergeCell ref="K13:L13"/>
    <mergeCell ref="G12:H12"/>
    <mergeCell ref="I6:J6"/>
    <mergeCell ref="D10:E10"/>
    <mergeCell ref="A12:C12"/>
    <mergeCell ref="K21:L21"/>
    <mergeCell ref="A5:C5"/>
    <mergeCell ref="G7:H7"/>
    <mergeCell ref="I7:J7"/>
    <mergeCell ref="D11:E11"/>
    <mergeCell ref="A27:H27"/>
    <mergeCell ref="A4:L4"/>
    <mergeCell ref="A13:C13"/>
    <mergeCell ref="G24:H24"/>
    <mergeCell ref="I24:J24"/>
    <mergeCell ref="K27:L27"/>
    <mergeCell ref="I8:J8"/>
    <mergeCell ref="E26:F26"/>
    <mergeCell ref="D9:E9"/>
    <mergeCell ref="A24:C24"/>
    <mergeCell ref="G26:H26"/>
    <mergeCell ref="E25:F25"/>
    <mergeCell ref="I10:J10"/>
    <mergeCell ref="G25:H25"/>
    <mergeCell ref="K10:L10"/>
    <mergeCell ref="I19:J19"/>
    <mergeCell ref="K19:L19"/>
    <mergeCell ref="K6:L6"/>
    <mergeCell ref="G9:H9"/>
    <mergeCell ref="A7:C7"/>
    <mergeCell ref="E18:F18"/>
    <mergeCell ref="I9:J9"/>
    <mergeCell ref="A25:C25"/>
    <mergeCell ref="K25:L25"/>
    <mergeCell ref="G11:H11"/>
    <mergeCell ref="K9:L9"/>
    <mergeCell ref="I11:J11"/>
    <mergeCell ref="K5:L5"/>
    <mergeCell ref="A18:C18"/>
    <mergeCell ref="A2:L2"/>
    <mergeCell ref="K11:L11"/>
    <mergeCell ref="E20:F20"/>
    <mergeCell ref="A22:C22"/>
    <mergeCell ref="G13:H13"/>
    <mergeCell ref="A20:C20"/>
    <mergeCell ref="I21:J21"/>
    <mergeCell ref="K8:L8"/>
    <mergeCell ref="I23:J23"/>
    <mergeCell ref="K23:L23"/>
    <mergeCell ref="D12:E12"/>
    <mergeCell ref="K7:L7"/>
    <mergeCell ref="A1:F1"/>
    <mergeCell ref="D5:E5"/>
    <mergeCell ref="K18:L18"/>
    <mergeCell ref="E24:F24"/>
    <mergeCell ref="I27:J27"/>
    <mergeCell ref="G8:H8"/>
    <mergeCell ref="K20:L20"/>
    <mergeCell ref="A8:C8"/>
    <mergeCell ref="G10:H10"/>
    <mergeCell ref="E19:F19"/>
    <mergeCell ref="G19:H19"/>
    <mergeCell ref="A17:L17"/>
    <mergeCell ref="G6:H6"/>
    <mergeCell ref="I22:J22"/>
    <mergeCell ref="K22:L22"/>
    <mergeCell ref="A10:C10"/>
    <mergeCell ref="G1:L1"/>
    <mergeCell ref="I12:J12"/>
    <mergeCell ref="A19:C19"/>
    <mergeCell ref="K12:L12"/>
    <mergeCell ref="A28:L28"/>
    <mergeCell ref="G5:H5"/>
    <mergeCell ref="A9:C9"/>
    <mergeCell ref="I5:J5"/>
    <mergeCell ref="A14:H14"/>
    <mergeCell ref="I14:J14"/>
    <mergeCell ref="K14:L14"/>
    <mergeCell ref="D8:E8"/>
    <mergeCell ref="A11:C11"/>
    <mergeCell ref="E21:F21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6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e.  계측 시공계획</t>
        </is>
      </c>
    </row>
    <row r="4" ht="21" customHeight="1">
      <c r="A4" s="45" t="inlineStr">
        <is>
          <t>1. 일반 사항</t>
        </is>
      </c>
    </row>
    <row r="5" ht="68" customHeight="1">
      <c r="A5" s="22" t="inlineStr">
        <is>
          <t>현장 계측은 지반 조건에 관한 실제 자료가 모자라 생기는 설계상의 불확실성을 시공 중에 찾아 없애고, 터파기가 지반에 미치는 영향과 그에 따른 지반 변화가 인접 구조물에 미치는 영향을 시공 중 · 시공 후에 알려 주는 수단입니다. 자료를 일찍 모아 설계와 시공에 반영해 안전하고 경제적인 시공으로 이끄는 데 목적이 있습니다.</t>
        </is>
      </c>
    </row>
    <row r="6" ht="36" customHeight="1">
      <c r="A6" s="20" t="inlineStr">
        <is>
          <t>(1)</t>
        </is>
      </c>
      <c r="B6" s="21" t="inlineStr">
        <is>
          <t>시공사는 설계도면과 공사시방서에 정한 계측기를 구매해 감독관 입회 아래 전문 기술자가 정해진 위치에 설치합니다.</t>
        </is>
      </c>
    </row>
    <row r="7" ht="20.5" customHeight="1">
      <c r="A7" s="20" t="inlineStr">
        <is>
          <t>(2)</t>
        </is>
      </c>
      <c r="B7" s="21" t="inlineStr">
        <is>
          <t>시공사는 계측기를 유지 관리해 계측 자료 수집에 차질이 없게 합니다.</t>
        </is>
      </c>
    </row>
    <row r="8" ht="21" customHeight="1">
      <c r="A8" s="45" t="inlineStr">
        <is>
          <t>2. 계측 위치</t>
        </is>
      </c>
    </row>
    <row r="9" ht="21.5" customHeight="1">
      <c r="A9" s="22" t="inlineStr">
        <is>
          <t>계측 위치는 설계도면을 기준으로 하되 현장 여건과 상황에 따라 감독관과 협의해 조정합니다.</t>
        </is>
      </c>
    </row>
    <row r="10" ht="21" customHeight="1">
      <c r="A10" s="45" t="inlineStr">
        <is>
          <t>3. 계측 빈도</t>
        </is>
      </c>
    </row>
    <row r="11" ht="24" customHeight="1">
      <c r="A11" s="23" t="inlineStr">
        <is>
          <t>측정 방식</t>
        </is>
      </c>
      <c r="B11" s="7" t="n"/>
      <c r="C11" s="23" t="inlineStr">
        <is>
          <t>계 측 항 목</t>
        </is>
      </c>
      <c r="D11" s="7" t="n"/>
      <c r="E11" s="7" t="n"/>
      <c r="F11" s="23" t="inlineStr">
        <is>
          <t>사 용 계 기</t>
        </is>
      </c>
      <c r="G11" s="7" t="n"/>
      <c r="H11" s="7" t="n"/>
      <c r="I11" s="23" t="inlineStr">
        <is>
          <t>4차 굴착 이전</t>
        </is>
      </c>
      <c r="J11" s="7" t="n"/>
      <c r="K11" s="23" t="inlineStr">
        <is>
          <t>4차 굴착 이후</t>
        </is>
      </c>
      <c r="L11" s="7" t="n"/>
    </row>
    <row r="12" ht="33" customHeight="1">
      <c r="A12" s="47" t="inlineStr">
        <is>
          <t>자동 계측</t>
        </is>
      </c>
      <c r="B12" s="7" t="n"/>
      <c r="C12" s="48" t="inlineStr">
        <is>
          <t>토류벽에 작용하는 토압</t>
        </is>
      </c>
      <c r="D12" s="7" t="n"/>
      <c r="E12" s="7" t="n"/>
      <c r="F12" s="48" t="inlineStr">
        <is>
          <t>토압계</t>
        </is>
      </c>
      <c r="G12" s="7" t="n"/>
      <c r="H12" s="7" t="n"/>
      <c r="I12" s="49" t="inlineStr">
        <is>
          <t>1일 8회
(3시간 간격)</t>
        </is>
      </c>
      <c r="J12" s="7" t="n"/>
      <c r="K12" s="49" t="inlineStr">
        <is>
          <t>1일 2회
(12시간 간격)</t>
        </is>
      </c>
      <c r="L12" s="7" t="n"/>
    </row>
    <row r="13" ht="33" customHeight="1">
      <c r="A13" s="47" t="inlineStr">
        <is>
          <t>자동 계측</t>
        </is>
      </c>
      <c r="B13" s="7" t="n"/>
      <c r="C13" s="48" t="inlineStr">
        <is>
          <t>토류벽에 작용하는 수압</t>
        </is>
      </c>
      <c r="D13" s="7" t="n"/>
      <c r="E13" s="7" t="n"/>
      <c r="F13" s="48" t="inlineStr">
        <is>
          <t>간극수압계</t>
        </is>
      </c>
      <c r="G13" s="7" t="n"/>
      <c r="H13" s="7" t="n"/>
      <c r="I13" s="49" t="inlineStr">
        <is>
          <t>1일 8회
(3시간 간격)</t>
        </is>
      </c>
      <c r="J13" s="7" t="n"/>
      <c r="K13" s="49" t="inlineStr">
        <is>
          <t>1일 2회
(12시간 간격)</t>
        </is>
      </c>
      <c r="L13" s="7" t="n"/>
    </row>
    <row r="14" ht="33" customHeight="1">
      <c r="A14" s="47" t="inlineStr">
        <is>
          <t>자동 계측</t>
        </is>
      </c>
      <c r="B14" s="7" t="n"/>
      <c r="C14" s="48" t="inlineStr">
        <is>
          <t>STRUT 축력</t>
        </is>
      </c>
      <c r="D14" s="7" t="n"/>
      <c r="E14" s="7" t="n"/>
      <c r="F14" s="48" t="inlineStr">
        <is>
          <t>변형률계(표면형) · 온도계</t>
        </is>
      </c>
      <c r="G14" s="7" t="n"/>
      <c r="H14" s="7" t="n"/>
      <c r="I14" s="49" t="inlineStr">
        <is>
          <t>1일 8회
(3시간 간격)</t>
        </is>
      </c>
      <c r="J14" s="7" t="n"/>
      <c r="K14" s="49" t="inlineStr">
        <is>
          <t>1일 2회
(12시간 간격)</t>
        </is>
      </c>
      <c r="L14" s="7" t="n"/>
    </row>
    <row r="15" ht="33" customHeight="1">
      <c r="A15" s="47" t="inlineStr">
        <is>
          <t>자동 계측</t>
        </is>
      </c>
      <c r="B15" s="7" t="n"/>
      <c r="C15" s="48" t="inlineStr">
        <is>
          <t>인접 구조물 기울기</t>
        </is>
      </c>
      <c r="D15" s="7" t="n"/>
      <c r="E15" s="7" t="n"/>
      <c r="F15" s="48" t="inlineStr">
        <is>
          <t>건물 경사계</t>
        </is>
      </c>
      <c r="G15" s="7" t="n"/>
      <c r="H15" s="7" t="n"/>
      <c r="I15" s="49" t="inlineStr">
        <is>
          <t>1일 8회
(3시간 간격)</t>
        </is>
      </c>
      <c r="J15" s="7" t="n"/>
      <c r="K15" s="49" t="inlineStr">
        <is>
          <t>1일 2회
(12시간 간격)</t>
        </is>
      </c>
      <c r="L15" s="7" t="n"/>
    </row>
    <row r="16" ht="33" customHeight="1">
      <c r="A16" s="47" t="inlineStr">
        <is>
          <t>자동 계측</t>
        </is>
      </c>
      <c r="B16" s="7" t="n"/>
      <c r="C16" s="48" t="inlineStr">
        <is>
          <t>지하수위</t>
        </is>
      </c>
      <c r="D16" s="7" t="n"/>
      <c r="E16" s="7" t="n"/>
      <c r="F16" s="48" t="inlineStr">
        <is>
          <t>자동기록 수위계</t>
        </is>
      </c>
      <c r="G16" s="7" t="n"/>
      <c r="H16" s="7" t="n"/>
      <c r="I16" s="49" t="inlineStr">
        <is>
          <t>1일 8회
(3시간 간격)</t>
        </is>
      </c>
      <c r="J16" s="7" t="n"/>
      <c r="K16" s="49" t="inlineStr">
        <is>
          <t>1일 2회
(12시간 간격)</t>
        </is>
      </c>
      <c r="L16" s="7" t="n"/>
    </row>
    <row r="17" ht="24" customHeight="1">
      <c r="A17" s="47" t="inlineStr">
        <is>
          <t>수동 계측</t>
        </is>
      </c>
      <c r="B17" s="7" t="n"/>
      <c r="C17" s="48" t="inlineStr">
        <is>
          <t>토류벽 변형(수평 변위)</t>
        </is>
      </c>
      <c r="D17" s="7" t="n"/>
      <c r="E17" s="7" t="n"/>
      <c r="F17" s="48" t="inlineStr">
        <is>
          <t>삽입식 경사계</t>
        </is>
      </c>
      <c r="G17" s="7" t="n"/>
      <c r="H17" s="7" t="n"/>
      <c r="I17" s="49" t="inlineStr">
        <is>
          <t>주 1회</t>
        </is>
      </c>
      <c r="J17" s="7" t="n"/>
      <c r="K17" s="49" t="inlineStr">
        <is>
          <t>주 1회</t>
        </is>
      </c>
      <c r="L17" s="7" t="n"/>
    </row>
    <row r="18" ht="24" customHeight="1">
      <c r="A18" s="47" t="inlineStr">
        <is>
          <t>수동 계측</t>
        </is>
      </c>
      <c r="B18" s="7" t="n"/>
      <c r="C18" s="48" t="inlineStr">
        <is>
          <t>토류벽 두부의 변형</t>
        </is>
      </c>
      <c r="D18" s="7" t="n"/>
      <c r="E18" s="7" t="n"/>
      <c r="F18" s="48" t="inlineStr">
        <is>
          <t>트랜싯 · 레벨</t>
        </is>
      </c>
      <c r="G18" s="7" t="n"/>
      <c r="H18" s="7" t="n"/>
      <c r="I18" s="49" t="inlineStr">
        <is>
          <t>각 차 굴착 후</t>
        </is>
      </c>
      <c r="J18" s="7" t="n"/>
      <c r="K18" s="49" t="inlineStr">
        <is>
          <t>각 차 굴착 후</t>
        </is>
      </c>
      <c r="L18" s="7" t="n"/>
    </row>
    <row r="19" ht="24" customHeight="1">
      <c r="A19" s="47" t="inlineStr">
        <is>
          <t>수동 계측</t>
        </is>
      </c>
      <c r="B19" s="7" t="n"/>
      <c r="C19" s="48" t="inlineStr">
        <is>
          <t>주변 지반 침하</t>
        </is>
      </c>
      <c r="D19" s="7" t="n"/>
      <c r="E19" s="7" t="n"/>
      <c r="F19" s="48" t="inlineStr">
        <is>
          <t>레벨</t>
        </is>
      </c>
      <c r="G19" s="7" t="n"/>
      <c r="H19" s="7" t="n"/>
      <c r="I19" s="49" t="inlineStr">
        <is>
          <t>각 차 굴착 후</t>
        </is>
      </c>
      <c r="J19" s="7" t="n"/>
      <c r="K19" s="49" t="inlineStr">
        <is>
          <t>각 차 굴착 후</t>
        </is>
      </c>
      <c r="L19" s="7" t="n"/>
    </row>
    <row r="20" ht="16" customHeight="1">
      <c r="A20" s="11" t="inlineStr">
        <is>
          <t>※ 토류벽의 거동이 크게 예상되는 위치에 계측합니다. 기준 굴착 단계(4차)는 설계도서의 계측 계획에 맞게 고쳐 씁니다.</t>
        </is>
      </c>
    </row>
    <row r="21" ht="21" customHeight="1">
      <c r="A21" s="45" t="inlineStr">
        <is>
          <t>4. 계측 관리</t>
        </is>
      </c>
    </row>
    <row r="22" ht="52.5" customHeight="1">
      <c r="A22" s="22" t="inlineStr">
        <is>
          <t>계측관리는 여러 계측을 조직적으로 하면서 그 결과를 시공에 반영하고, 설계를 실제 현장에 맞게 고쳐 가며 공사를 안전하고 경제적으로 관리하는 것이므로 계측 단계별 관리 지침이 필요합니다.</t>
        </is>
      </c>
    </row>
    <row r="23" ht="20" customHeight="1">
      <c r="A23" s="50" t="inlineStr">
        <is>
          <t>(1) 계측관리 기준치 설정</t>
        </is>
      </c>
    </row>
    <row r="24" ht="52.5" customHeight="1">
      <c r="A24" s="22" t="inlineStr">
        <is>
          <t>변위와 응력의 관리 기준은 지질 조건 · 단면의 크기와 모양 · 굴착 공법 · 주변 구조물의 환경 조건 등에 따라 달라 일정한 기준을 정하기 어렵지만, 설계 해석 결과나 비슷한 지질의 사례 · 허용 속도 등을 기준치로 정해야 합니다.</t>
        </is>
      </c>
    </row>
    <row r="25" ht="20" customHeight="1">
      <c r="A25" s="50" t="inlineStr">
        <is>
          <t>※ 관리 기준치</t>
        </is>
      </c>
    </row>
    <row r="26" ht="24" customHeight="1">
      <c r="A26" s="23" t="inlineStr">
        <is>
          <t>측정 항목</t>
        </is>
      </c>
      <c r="B26" s="7" t="n"/>
      <c r="C26" s="23" t="inlineStr">
        <is>
          <t>판정 기준치</t>
        </is>
      </c>
      <c r="D26" s="7" t="n"/>
      <c r="E26" s="23" t="inlineStr">
        <is>
          <t>판정식 (지표)</t>
        </is>
      </c>
      <c r="F26" s="7" t="n"/>
      <c r="G26" s="7" t="n"/>
      <c r="H26" s="7" t="n"/>
      <c r="I26" s="7" t="n"/>
      <c r="J26" s="23" t="inlineStr">
        <is>
          <t>위 험</t>
        </is>
      </c>
      <c r="K26" s="23" t="inlineStr">
        <is>
          <t>주 의</t>
        </is>
      </c>
      <c r="L26" s="23" t="inlineStr">
        <is>
          <t>안 전</t>
        </is>
      </c>
    </row>
    <row r="27" ht="46.5" customHeight="1">
      <c r="A27" s="47" t="inlineStr">
        <is>
          <t>측압 (토압 · 수압)</t>
        </is>
      </c>
      <c r="B27" s="7" t="n"/>
      <c r="C27" s="48" t="inlineStr">
        <is>
          <t>설계 시 이용한 토압</t>
        </is>
      </c>
      <c r="D27" s="7" t="n"/>
      <c r="E27" s="48" t="inlineStr">
        <is>
          <t>F1 = 설계 시 이용한 토압 ÷ 실측 측압</t>
        </is>
      </c>
      <c r="F27" s="7" t="n"/>
      <c r="G27" s="7" t="n"/>
      <c r="H27" s="7" t="n"/>
      <c r="I27" s="7" t="n"/>
      <c r="J27" s="51" t="inlineStr">
        <is>
          <t>F1 &lt; 0.8</t>
        </is>
      </c>
      <c r="K27" s="51" t="inlineStr">
        <is>
          <t>0.8 ≤ F1
≤ 1.2</t>
        </is>
      </c>
      <c r="L27" s="51" t="inlineStr">
        <is>
          <t>F1 &gt; 1.2</t>
        </is>
      </c>
    </row>
    <row r="28" ht="46.5" customHeight="1">
      <c r="A28" s="47" t="inlineStr">
        <is>
          <t>벽체 변형</t>
        </is>
      </c>
      <c r="B28" s="7" t="n"/>
      <c r="C28" s="48" t="inlineStr">
        <is>
          <t>설계 시 추정 변위</t>
        </is>
      </c>
      <c r="D28" s="7" t="n"/>
      <c r="E28" s="48" t="inlineStr">
        <is>
          <t>F2 = 설계 시 추정 변위 ÷ 실측 변위량</t>
        </is>
      </c>
      <c r="F28" s="7" t="n"/>
      <c r="G28" s="7" t="n"/>
      <c r="H28" s="7" t="n"/>
      <c r="I28" s="7" t="n"/>
      <c r="J28" s="51" t="inlineStr">
        <is>
          <t>F2 &lt; 0.8</t>
        </is>
      </c>
      <c r="K28" s="51" t="inlineStr">
        <is>
          <t>0.8 ≤ F2
≤ 1.2</t>
        </is>
      </c>
      <c r="L28" s="51" t="inlineStr">
        <is>
          <t>F2 &gt; 1.2</t>
        </is>
      </c>
    </row>
    <row r="29" ht="46.5" customHeight="1">
      <c r="A29" s="47" t="inlineStr">
        <is>
          <t>토류벽 내 응력 (철근)</t>
        </is>
      </c>
      <c r="B29" s="7" t="n"/>
      <c r="C29" s="48" t="inlineStr">
        <is>
          <t>철근의 허용인장응력</t>
        </is>
      </c>
      <c r="D29" s="7" t="n"/>
      <c r="E29" s="48" t="inlineStr">
        <is>
          <t>F3 = 철근의 허용인장응력 ÷ 실측 인장응력</t>
        </is>
      </c>
      <c r="F29" s="7" t="n"/>
      <c r="G29" s="7" t="n"/>
      <c r="H29" s="7" t="n"/>
      <c r="I29" s="7" t="n"/>
      <c r="J29" s="51" t="inlineStr">
        <is>
          <t>F3 &lt; 0.8</t>
        </is>
      </c>
      <c r="K29" s="51" t="inlineStr">
        <is>
          <t>0.8 ≤ F3
≤ 1.2</t>
        </is>
      </c>
      <c r="L29" s="51" t="inlineStr">
        <is>
          <t>F3 &gt; 1.2</t>
        </is>
      </c>
    </row>
    <row r="30" ht="46.5" customHeight="1">
      <c r="A30" s="47" t="inlineStr">
        <is>
          <t>토류벽 응력 (휨)</t>
        </is>
      </c>
      <c r="B30" s="7" t="n"/>
      <c r="C30" s="48" t="inlineStr">
        <is>
          <t>허용 휨모멘트</t>
        </is>
      </c>
      <c r="D30" s="7" t="n"/>
      <c r="E30" s="48" t="inlineStr">
        <is>
          <t>F4 = 허용 휨모멘트 ÷ 실측 휨모멘트</t>
        </is>
      </c>
      <c r="F30" s="7" t="n"/>
      <c r="G30" s="7" t="n"/>
      <c r="H30" s="7" t="n"/>
      <c r="I30" s="7" t="n"/>
      <c r="J30" s="51" t="inlineStr">
        <is>
          <t>F4 &lt; 0.8</t>
        </is>
      </c>
      <c r="K30" s="51" t="inlineStr">
        <is>
          <t>0.8 ≤ F4
≤ 1.2</t>
        </is>
      </c>
      <c r="L30" s="51" t="inlineStr">
        <is>
          <t>F4 &gt; 1.2</t>
        </is>
      </c>
    </row>
    <row r="31" ht="46.5" customHeight="1">
      <c r="A31" s="47" t="inlineStr">
        <is>
          <t>STRUT 축력</t>
        </is>
      </c>
      <c r="B31" s="7" t="n"/>
      <c r="C31" s="48" t="inlineStr">
        <is>
          <t>부재의 허용축력</t>
        </is>
      </c>
      <c r="D31" s="7" t="n"/>
      <c r="E31" s="48" t="inlineStr">
        <is>
          <t>F5 = 부재의 허용축력 ÷ 실측 축력</t>
        </is>
      </c>
      <c r="F31" s="7" t="n"/>
      <c r="G31" s="7" t="n"/>
      <c r="H31" s="7" t="n"/>
      <c r="I31" s="7" t="n"/>
      <c r="J31" s="51" t="inlineStr">
        <is>
          <t>F5 &lt; 0.8</t>
        </is>
      </c>
      <c r="K31" s="51" t="inlineStr">
        <is>
          <t>0.8 ≤ F5
≤ 1.2</t>
        </is>
      </c>
      <c r="L31" s="51" t="inlineStr">
        <is>
          <t>F5 &gt; 1.2</t>
        </is>
      </c>
    </row>
    <row r="32" ht="33" customHeight="1">
      <c r="A32" s="47" t="inlineStr">
        <is>
          <t>굴착 저면
Heaving 량</t>
        </is>
      </c>
      <c r="B32" s="7" t="n"/>
      <c r="C32" s="48" t="inlineStr">
        <is>
          <t>T.W. Lambe 의
허용 Heaving 량</t>
        </is>
      </c>
      <c r="D32" s="7" t="n"/>
      <c r="E32" s="48" t="inlineStr">
        <is>
          <t>실측 결과를 허용 Heaving 도표에 표시(PLOT)</t>
        </is>
      </c>
      <c r="F32" s="7" t="n"/>
      <c r="G32" s="7" t="n"/>
      <c r="H32" s="7" t="n"/>
      <c r="I32" s="7" t="n"/>
      <c r="J32" s="51" t="inlineStr">
        <is>
          <t>위험 영역</t>
        </is>
      </c>
      <c r="K32" s="51" t="inlineStr">
        <is>
          <t>주의 영역</t>
        </is>
      </c>
      <c r="L32" s="51" t="inlineStr">
        <is>
          <t>안전 영역</t>
        </is>
      </c>
    </row>
    <row r="33" ht="33" customHeight="1">
      <c r="A33" s="47" t="inlineStr">
        <is>
          <t>침 하 량</t>
        </is>
      </c>
      <c r="B33" s="7" t="n"/>
      <c r="C33" s="48" t="inlineStr">
        <is>
          <t>현장마다
허용치 결정</t>
        </is>
      </c>
      <c r="D33" s="7" t="n"/>
      <c r="E33" s="48" t="inlineStr">
        <is>
          <t>현장 여건에 맞는 허용 침하량을 정하고, 넘으면 위험 또는 주의 신호로 봅니다.</t>
        </is>
      </c>
      <c r="F33" s="7" t="n"/>
      <c r="G33" s="7" t="n"/>
      <c r="H33" s="7" t="n"/>
      <c r="I33" s="7" t="n"/>
      <c r="J33" s="51" t="inlineStr">
        <is>
          <t>허용치 초과</t>
        </is>
      </c>
      <c r="K33" s="51" t="inlineStr">
        <is>
          <t>허용치 근접</t>
        </is>
      </c>
      <c r="L33" s="51" t="inlineStr">
        <is>
          <t>허용치 이하</t>
        </is>
      </c>
    </row>
    <row r="34" ht="33" customHeight="1">
      <c r="A34" s="47" t="inlineStr">
        <is>
          <t>부등 침하량</t>
        </is>
      </c>
      <c r="B34" s="7" t="n"/>
      <c r="C34" s="48" t="inlineStr">
        <is>
          <t>건물의 허용
부등 침하량</t>
        </is>
      </c>
      <c r="D34" s="7" t="n"/>
      <c r="E34" s="48" t="inlineStr">
        <is>
          <t>기둥 간격에 대한 부등 침하량의 비</t>
        </is>
      </c>
      <c r="F34" s="7" t="n"/>
      <c r="G34" s="7" t="n"/>
      <c r="H34" s="7" t="n"/>
      <c r="I34" s="7" t="n"/>
      <c r="J34" s="51" t="inlineStr">
        <is>
          <t>1/300
이상</t>
        </is>
      </c>
      <c r="K34" s="51" t="inlineStr">
        <is>
          <t>1/500 ~
1/300</t>
        </is>
      </c>
      <c r="L34" s="51" t="inlineStr">
        <is>
          <t>1/500
이하</t>
        </is>
      </c>
    </row>
    <row r="35" ht="6" customHeight="1"/>
    <row r="36" ht="20" customHeight="1">
      <c r="A36" s="50" t="inlineStr">
        <is>
          <t>※ 계측값 판정 — 기준치와 실측값을 넣으면 F 값과 판정(위험 · 주의 · 안전)이 저절로 나옵니다.</t>
        </is>
      </c>
    </row>
    <row r="37" ht="24" customHeight="1">
      <c r="A37" s="6" t="inlineStr">
        <is>
          <t>판정 경계 (F)</t>
        </is>
      </c>
      <c r="B37" s="7" t="n"/>
      <c r="C37" s="7" t="n"/>
      <c r="D37" s="6" t="inlineStr">
        <is>
          <t>위험 ↔ 주의</t>
        </is>
      </c>
      <c r="E37" s="7" t="n"/>
      <c r="F37" s="52" t="n">
        <v>0.8</v>
      </c>
      <c r="G37" s="6" t="inlineStr">
        <is>
          <t>주의 ↔ 안전</t>
        </is>
      </c>
      <c r="H37" s="7" t="n"/>
      <c r="I37" s="52" t="n">
        <v>1.2</v>
      </c>
      <c r="J37" s="5" t="inlineStr"/>
    </row>
    <row r="38" ht="32" customHeight="1">
      <c r="A38" s="23" t="inlineStr">
        <is>
          <t>측정 항목</t>
        </is>
      </c>
      <c r="B38" s="7" t="n"/>
      <c r="C38" s="7" t="n"/>
      <c r="D38" s="23" t="inlineStr">
        <is>
          <t>판정 기준치</t>
        </is>
      </c>
      <c r="E38" s="7" t="n"/>
      <c r="F38" s="23" t="inlineStr">
        <is>
          <t>실측값</t>
        </is>
      </c>
      <c r="G38" s="7" t="n"/>
      <c r="H38" s="23" t="inlineStr">
        <is>
          <t>단위</t>
        </is>
      </c>
      <c r="I38" s="23" t="inlineStr">
        <is>
          <t>F = 기준치
÷ 실측값</t>
        </is>
      </c>
      <c r="J38" s="7" t="n"/>
      <c r="K38" s="23" t="inlineStr">
        <is>
          <t>판  정</t>
        </is>
      </c>
      <c r="L38" s="7" t="n"/>
    </row>
    <row r="39" ht="24" customHeight="1">
      <c r="A39" s="53" t="inlineStr">
        <is>
          <t>F1  측압 (토압 · 수압)</t>
        </is>
      </c>
      <c r="B39" s="7" t="n"/>
      <c r="C39" s="7" t="n"/>
      <c r="D39" s="54" t="n">
        <v>45</v>
      </c>
      <c r="E39" s="7" t="n"/>
      <c r="F39" s="54" t="n">
        <v>38</v>
      </c>
      <c r="G39" s="7" t="n"/>
      <c r="H39" s="55" t="inlineStr">
        <is>
          <t>kN/㎡</t>
        </is>
      </c>
      <c r="I39" s="56">
        <f>IF(OR(N(D39)=0,N(F39)=0),"",D39/F39)</f>
        <v/>
      </c>
      <c r="J39" s="7" t="n"/>
      <c r="K39" s="57">
        <f>IF(N(I39)=0,"",IF(I39&lt;F37,"위험",IF(I39&gt;I37,"안전","주의")))</f>
        <v/>
      </c>
      <c r="L39" s="7" t="n"/>
    </row>
    <row r="40" ht="24" customHeight="1">
      <c r="A40" s="53" t="inlineStr">
        <is>
          <t>F2  벽체 변형</t>
        </is>
      </c>
      <c r="B40" s="7" t="n"/>
      <c r="C40" s="7" t="n"/>
      <c r="D40" s="54" t="n">
        <v>25</v>
      </c>
      <c r="E40" s="7" t="n"/>
      <c r="F40" s="54" t="n">
        <v>12</v>
      </c>
      <c r="G40" s="7" t="n"/>
      <c r="H40" s="55" t="inlineStr">
        <is>
          <t>mm</t>
        </is>
      </c>
      <c r="I40" s="56">
        <f>IF(OR(N(D40)=0,N(F40)=0),"",D40/F40)</f>
        <v/>
      </c>
      <c r="J40" s="7" t="n"/>
      <c r="K40" s="57">
        <f>IF(N(I40)=0,"",IF(I40&lt;F37,"위험",IF(I40&gt;I37,"안전","주의")))</f>
        <v/>
      </c>
      <c r="L40" s="7" t="n"/>
    </row>
    <row r="41" ht="24" customHeight="1">
      <c r="A41" s="53" t="inlineStr">
        <is>
          <t>F3  토류벽 내 응력 (철근)</t>
        </is>
      </c>
      <c r="B41" s="7" t="n"/>
      <c r="C41" s="7" t="n"/>
      <c r="D41" s="54" t="n">
        <v>180</v>
      </c>
      <c r="E41" s="7" t="n"/>
      <c r="F41" s="54" t="n">
        <v>95</v>
      </c>
      <c r="G41" s="7" t="n"/>
      <c r="H41" s="55" t="inlineStr">
        <is>
          <t>MPa</t>
        </is>
      </c>
      <c r="I41" s="56">
        <f>IF(OR(N(D41)=0,N(F41)=0),"",D41/F41)</f>
        <v/>
      </c>
      <c r="J41" s="7" t="n"/>
      <c r="K41" s="57">
        <f>IF(N(I41)=0,"",IF(I41&lt;F37,"위험",IF(I41&gt;I37,"안전","주의")))</f>
        <v/>
      </c>
      <c r="L41" s="7" t="n"/>
    </row>
    <row r="42" ht="24" customHeight="1">
      <c r="A42" s="53" t="inlineStr">
        <is>
          <t>F4  토류벽 응력 (휨)</t>
        </is>
      </c>
      <c r="B42" s="7" t="n"/>
      <c r="C42" s="7" t="n"/>
      <c r="D42" s="54" t="n">
        <v>320</v>
      </c>
      <c r="E42" s="7" t="n"/>
      <c r="F42" s="54" t="n">
        <v>290</v>
      </c>
      <c r="G42" s="7" t="n"/>
      <c r="H42" s="55" t="inlineStr">
        <is>
          <t>kN·m</t>
        </is>
      </c>
      <c r="I42" s="56">
        <f>IF(OR(N(D42)=0,N(F42)=0),"",D42/F42)</f>
        <v/>
      </c>
      <c r="J42" s="7" t="n"/>
      <c r="K42" s="57">
        <f>IF(N(I42)=0,"",IF(I42&lt;F37,"위험",IF(I42&gt;I37,"안전","주의")))</f>
        <v/>
      </c>
      <c r="L42" s="7" t="n"/>
    </row>
    <row r="43" ht="24" customHeight="1">
      <c r="A43" s="53" t="inlineStr">
        <is>
          <t>F5  STRUT 축력</t>
        </is>
      </c>
      <c r="B43" s="7" t="n"/>
      <c r="C43" s="7" t="n"/>
      <c r="D43" s="54" t="n">
        <v>1200</v>
      </c>
      <c r="E43" s="7" t="n"/>
      <c r="F43" s="54" t="n">
        <v>1650</v>
      </c>
      <c r="G43" s="7" t="n"/>
      <c r="H43" s="55" t="inlineStr">
        <is>
          <t>kN</t>
        </is>
      </c>
      <c r="I43" s="56">
        <f>IF(OR(N(D43)=0,N(F43)=0),"",D43/F43)</f>
        <v/>
      </c>
      <c r="J43" s="7" t="n"/>
      <c r="K43" s="57">
        <f>IF(N(I43)=0,"",IF(I43&lt;F37,"위험",IF(I43&gt;I37,"안전","주의")))</f>
        <v/>
      </c>
      <c r="L43" s="7" t="n"/>
    </row>
    <row r="44" ht="6" customHeight="1"/>
    <row r="45" ht="24" customHeight="1">
      <c r="A45" s="6" t="inlineStr">
        <is>
          <t>부등침하 경계</t>
        </is>
      </c>
      <c r="B45" s="7" t="n"/>
      <c r="C45" s="7" t="n"/>
      <c r="D45" s="6" t="inlineStr">
        <is>
          <t>위험 (이상)</t>
        </is>
      </c>
      <c r="E45" s="7" t="n"/>
      <c r="F45" s="58" t="n">
        <v>300</v>
      </c>
      <c r="G45" s="6" t="inlineStr">
        <is>
          <t>안전 (이하)</t>
        </is>
      </c>
      <c r="H45" s="7" t="n"/>
      <c r="I45" s="58" t="n">
        <v>500</v>
      </c>
      <c r="J45" s="5" t="inlineStr"/>
    </row>
    <row r="46" ht="26" customHeight="1">
      <c r="A46" s="47" t="inlineStr">
        <is>
          <t>부등 침하량 비</t>
        </is>
      </c>
      <c r="B46" s="7" t="n"/>
      <c r="C46" s="7" t="n"/>
      <c r="D46" s="6" t="inlineStr">
        <is>
          <t>침하 차</t>
        </is>
      </c>
      <c r="E46" s="59" t="n">
        <v>6</v>
      </c>
      <c r="F46" s="60" t="inlineStr">
        <is>
          <t>기둥 간격</t>
        </is>
      </c>
      <c r="G46" s="61" t="n">
        <v>6</v>
      </c>
      <c r="H46" s="6" t="inlineStr">
        <is>
          <t>비</t>
        </is>
      </c>
      <c r="I46" s="62">
        <f>IF(OR(N(E46)=0,N(G46)=0),"",G46*1000/E46)</f>
        <v/>
      </c>
      <c r="J46" s="7" t="n"/>
      <c r="K46" s="57">
        <f>IF(N(I46)=0,"",IF(I46&lt;=F45,"위험",IF(I46&lt;I45,"주의","안전")))</f>
        <v/>
      </c>
      <c r="L46" s="7" t="n"/>
    </row>
    <row r="47" ht="16" customHeight="1">
      <c r="A47" s="11" t="inlineStr">
        <is>
          <t>※ 부등 침하량 비 = 침하 차 ÷ 기둥 간격. 1/500 이하면 안전, 1/300 이상이면 위험, 그 사이는 주의(노란 칸은 건물 조건에 맞게 고쳐 씀).</t>
        </is>
      </c>
    </row>
    <row r="48" ht="20" customHeight="1">
      <c r="A48" s="50" t="inlineStr">
        <is>
          <t>※ 여러 가지 구조물의 최대 허용 침하량 (Sowers, 1962)</t>
        </is>
      </c>
    </row>
    <row r="49" ht="24" customHeight="1">
      <c r="A49" s="23" t="inlineStr">
        <is>
          <t>침 하 형 태</t>
        </is>
      </c>
      <c r="B49" s="7" t="n"/>
      <c r="C49" s="7" t="n"/>
      <c r="D49" s="23" t="inlineStr">
        <is>
          <t>구 조 물 의 종 류</t>
        </is>
      </c>
      <c r="E49" s="7" t="n"/>
      <c r="F49" s="7" t="n"/>
      <c r="G49" s="7" t="n"/>
      <c r="H49" s="7" t="n"/>
      <c r="I49" s="23" t="inlineStr">
        <is>
          <t>최 대 침 하 량</t>
        </is>
      </c>
      <c r="J49" s="7" t="n"/>
      <c r="K49" s="7" t="n"/>
      <c r="L49" s="7" t="n"/>
    </row>
    <row r="50" ht="20" customHeight="1">
      <c r="A50" s="47" t="inlineStr">
        <is>
          <t>전체 침하</t>
        </is>
      </c>
      <c r="B50" s="7" t="n"/>
      <c r="C50" s="7" t="n"/>
      <c r="D50" s="48" t="inlineStr">
        <is>
          <t>배수 시설</t>
        </is>
      </c>
      <c r="E50" s="7" t="n"/>
      <c r="F50" s="7" t="n"/>
      <c r="G50" s="7" t="n"/>
      <c r="H50" s="7" t="n"/>
      <c r="I50" s="49" t="inlineStr">
        <is>
          <t>15.0 ~ 30.0 cm</t>
        </is>
      </c>
      <c r="J50" s="7" t="n"/>
      <c r="K50" s="7" t="n"/>
      <c r="L50" s="7" t="n"/>
    </row>
    <row r="51" ht="20" customHeight="1">
      <c r="A51" s="48" t="inlineStr"/>
      <c r="B51" s="7" t="n"/>
      <c r="C51" s="7" t="n"/>
      <c r="D51" s="48" t="inlineStr">
        <is>
          <t>출입구</t>
        </is>
      </c>
      <c r="E51" s="7" t="n"/>
      <c r="F51" s="7" t="n"/>
      <c r="G51" s="7" t="n"/>
      <c r="H51" s="7" t="n"/>
      <c r="I51" s="49" t="inlineStr">
        <is>
          <t>30.0 ~ 60.0 cm</t>
        </is>
      </c>
      <c r="J51" s="7" t="n"/>
      <c r="K51" s="7" t="n"/>
      <c r="L51" s="7" t="n"/>
    </row>
    <row r="52" ht="20" customHeight="1">
      <c r="A52" s="47" t="inlineStr">
        <is>
          <t>부등 침하의 가능성</t>
        </is>
      </c>
      <c r="B52" s="7" t="n"/>
      <c r="C52" s="7" t="n"/>
      <c r="D52" s="48" t="inlineStr">
        <is>
          <t>조적 구조</t>
        </is>
      </c>
      <c r="E52" s="7" t="n"/>
      <c r="F52" s="7" t="n"/>
      <c r="G52" s="7" t="n"/>
      <c r="H52" s="7" t="n"/>
      <c r="I52" s="49" t="inlineStr">
        <is>
          <t>2.5 ~ 5.0 cm</t>
        </is>
      </c>
      <c r="J52" s="7" t="n"/>
      <c r="K52" s="7" t="n"/>
      <c r="L52" s="7" t="n"/>
    </row>
    <row r="53" ht="20" customHeight="1">
      <c r="A53" s="48" t="inlineStr"/>
      <c r="B53" s="7" t="n"/>
      <c r="C53" s="7" t="n"/>
      <c r="D53" s="48" t="inlineStr">
        <is>
          <t>뼈대 구조</t>
        </is>
      </c>
      <c r="E53" s="7" t="n"/>
      <c r="F53" s="7" t="n"/>
      <c r="G53" s="7" t="n"/>
      <c r="H53" s="7" t="n"/>
      <c r="I53" s="49" t="inlineStr">
        <is>
          <t>5.0 ~ 10.0 cm</t>
        </is>
      </c>
      <c r="J53" s="7" t="n"/>
      <c r="K53" s="7" t="n"/>
      <c r="L53" s="7" t="n"/>
    </row>
    <row r="54" ht="20" customHeight="1">
      <c r="A54" s="48" t="inlineStr"/>
      <c r="B54" s="7" t="n"/>
      <c r="C54" s="7" t="n"/>
      <c r="D54" s="48" t="inlineStr">
        <is>
          <t>굴뚝 · 사일로 · 매트</t>
        </is>
      </c>
      <c r="E54" s="7" t="n"/>
      <c r="F54" s="7" t="n"/>
      <c r="G54" s="7" t="n"/>
      <c r="H54" s="7" t="n"/>
      <c r="I54" s="49" t="inlineStr">
        <is>
          <t>7.5 ~ 30.0 cm</t>
        </is>
      </c>
      <c r="J54" s="7" t="n"/>
      <c r="K54" s="7" t="n"/>
      <c r="L54" s="7" t="n"/>
    </row>
    <row r="55" ht="20" customHeight="1">
      <c r="A55" s="47" t="inlineStr">
        <is>
          <t>전  도</t>
        </is>
      </c>
      <c r="B55" s="7" t="n"/>
      <c r="C55" s="7" t="n"/>
      <c r="D55" s="48" t="inlineStr">
        <is>
          <t>탑 · 굴뚝</t>
        </is>
      </c>
      <c r="E55" s="7" t="n"/>
      <c r="F55" s="7" t="n"/>
      <c r="G55" s="7" t="n"/>
      <c r="H55" s="7" t="n"/>
      <c r="I55" s="49" t="inlineStr">
        <is>
          <t>0.004 S</t>
        </is>
      </c>
      <c r="J55" s="7" t="n"/>
      <c r="K55" s="7" t="n"/>
      <c r="L55" s="7" t="n"/>
    </row>
    <row r="56" ht="20" customHeight="1">
      <c r="A56" s="48" t="inlineStr"/>
      <c r="B56" s="7" t="n"/>
      <c r="C56" s="7" t="n"/>
      <c r="D56" s="48" t="inlineStr">
        <is>
          <t>물품 적재</t>
        </is>
      </c>
      <c r="E56" s="7" t="n"/>
      <c r="F56" s="7" t="n"/>
      <c r="G56" s="7" t="n"/>
      <c r="H56" s="7" t="n"/>
      <c r="I56" s="49" t="inlineStr">
        <is>
          <t>0.01 S</t>
        </is>
      </c>
      <c r="J56" s="7" t="n"/>
      <c r="K56" s="7" t="n"/>
      <c r="L56" s="7" t="n"/>
    </row>
    <row r="57" ht="20" customHeight="1">
      <c r="A57" s="48" t="inlineStr"/>
      <c r="B57" s="7" t="n"/>
      <c r="C57" s="7" t="n"/>
      <c r="D57" s="48" t="inlineStr">
        <is>
          <t>크레인 레일</t>
        </is>
      </c>
      <c r="E57" s="7" t="n"/>
      <c r="F57" s="7" t="n"/>
      <c r="G57" s="7" t="n"/>
      <c r="H57" s="7" t="n"/>
      <c r="I57" s="49" t="inlineStr">
        <is>
          <t>0.003 S</t>
        </is>
      </c>
      <c r="J57" s="7" t="n"/>
      <c r="K57" s="7" t="n"/>
      <c r="L57" s="7" t="n"/>
    </row>
    <row r="58" ht="20" customHeight="1">
      <c r="A58" s="47" t="inlineStr">
        <is>
          <t>부등 침하</t>
        </is>
      </c>
      <c r="B58" s="7" t="n"/>
      <c r="C58" s="7" t="n"/>
      <c r="D58" s="48" t="inlineStr">
        <is>
          <t>빌딩의 조적 벽체</t>
        </is>
      </c>
      <c r="E58" s="7" t="n"/>
      <c r="F58" s="7" t="n"/>
      <c r="G58" s="7" t="n"/>
      <c r="H58" s="7" t="n"/>
      <c r="I58" s="49" t="inlineStr">
        <is>
          <t>0.0005 S ~ 0.002 S</t>
        </is>
      </c>
      <c r="J58" s="7" t="n"/>
      <c r="K58" s="7" t="n"/>
      <c r="L58" s="7" t="n"/>
    </row>
    <row r="59" ht="20" customHeight="1">
      <c r="A59" s="48" t="inlineStr"/>
      <c r="B59" s="7" t="n"/>
      <c r="C59" s="7" t="n"/>
      <c r="D59" s="48" t="inlineStr">
        <is>
          <t>철근콘크리트 뼈대 구조</t>
        </is>
      </c>
      <c r="E59" s="7" t="n"/>
      <c r="F59" s="7" t="n"/>
      <c r="G59" s="7" t="n"/>
      <c r="H59" s="7" t="n"/>
      <c r="I59" s="49" t="inlineStr">
        <is>
          <t>0.003 S</t>
        </is>
      </c>
      <c r="J59" s="7" t="n"/>
      <c r="K59" s="7" t="n"/>
      <c r="L59" s="7" t="n"/>
    </row>
    <row r="60" ht="20" customHeight="1">
      <c r="A60" s="48" t="inlineStr"/>
      <c r="B60" s="7" t="n"/>
      <c r="C60" s="7" t="n"/>
      <c r="D60" s="48" t="inlineStr">
        <is>
          <t>강 뼈대 구조(연속)</t>
        </is>
      </c>
      <c r="E60" s="7" t="n"/>
      <c r="F60" s="7" t="n"/>
      <c r="G60" s="7" t="n"/>
      <c r="H60" s="7" t="n"/>
      <c r="I60" s="49" t="inlineStr">
        <is>
          <t>0.002 S</t>
        </is>
      </c>
      <c r="J60" s="7" t="n"/>
      <c r="K60" s="7" t="n"/>
      <c r="L60" s="7" t="n"/>
    </row>
    <row r="61" ht="20" customHeight="1">
      <c r="A61" s="48" t="inlineStr"/>
      <c r="B61" s="7" t="n"/>
      <c r="C61" s="7" t="n"/>
      <c r="D61" s="48" t="inlineStr">
        <is>
          <t>강 뼈대 구조(단순)</t>
        </is>
      </c>
      <c r="E61" s="7" t="n"/>
      <c r="F61" s="7" t="n"/>
      <c r="G61" s="7" t="n"/>
      <c r="H61" s="7" t="n"/>
      <c r="I61" s="49" t="inlineStr">
        <is>
          <t>0.005 S</t>
        </is>
      </c>
      <c r="J61" s="7" t="n"/>
      <c r="K61" s="7" t="n"/>
      <c r="L61" s="7" t="n"/>
    </row>
    <row r="62" ht="16" customHeight="1">
      <c r="A62" s="11" t="inlineStr">
        <is>
          <t>※ S = 기둥 사이 간격 또는 두 점 사이 거리.</t>
        </is>
      </c>
    </row>
    <row r="63" ht="20" customHeight="1">
      <c r="A63" s="50" t="inlineStr">
        <is>
          <t>※ 건물 기초에서의 진동 허용치</t>
        </is>
      </c>
    </row>
    <row r="64" ht="36" customHeight="1">
      <c r="A64" s="23" t="inlineStr">
        <is>
          <t>구  분</t>
        </is>
      </c>
      <c r="B64" s="7" t="n"/>
      <c r="C64" s="23" t="inlineStr">
        <is>
          <t>문화재</t>
        </is>
      </c>
      <c r="D64" s="7" t="n"/>
      <c r="E64" s="23" t="inlineStr">
        <is>
          <t>주택 · 아파트
(실금이 있는 상태)</t>
        </is>
      </c>
      <c r="F64" s="7" t="n"/>
      <c r="G64" s="7" t="n"/>
      <c r="H64" s="23" t="inlineStr">
        <is>
          <t>상가
(금이 없는 상태)</t>
        </is>
      </c>
      <c r="I64" s="7" t="n"/>
      <c r="J64" s="23" t="inlineStr">
        <is>
          <t>철근콘크리트
빌딩 · 공장</t>
        </is>
      </c>
      <c r="K64" s="7" t="n"/>
      <c r="L64" s="7" t="n"/>
    </row>
    <row r="65" ht="24" customHeight="1">
      <c r="A65" s="47" t="inlineStr">
        <is>
          <t>허 용 치</t>
        </is>
      </c>
      <c r="B65" s="7" t="n"/>
      <c r="C65" s="49" t="inlineStr">
        <is>
          <t>0.2 cm/s</t>
        </is>
      </c>
      <c r="D65" s="7" t="n"/>
      <c r="E65" s="49" t="inlineStr">
        <is>
          <t>0.5 cm/s</t>
        </is>
      </c>
      <c r="F65" s="7" t="n"/>
      <c r="G65" s="7" t="n"/>
      <c r="H65" s="49" t="inlineStr">
        <is>
          <t>1.0 cm/s</t>
        </is>
      </c>
      <c r="I65" s="7" t="n"/>
      <c r="J65" s="49" t="inlineStr">
        <is>
          <t>1.0 ~ 4.0 cm/s</t>
        </is>
      </c>
      <c r="K65" s="7" t="n"/>
      <c r="L65" s="7" t="n"/>
    </row>
    <row r="66" ht="20" customHeight="1">
      <c r="A66" s="50" t="inlineStr">
        <is>
          <t>(2) 측  정</t>
        </is>
      </c>
    </row>
    <row r="67" ht="20.5" customHeight="1">
      <c r="A67" s="20" t="inlineStr">
        <is>
          <t>가.</t>
        </is>
      </c>
      <c r="B67" s="21" t="inlineStr">
        <is>
          <t>기본 순서를 지키고 목적에 맞는 정밀도로 측정합니다.</t>
        </is>
      </c>
    </row>
    <row r="68" ht="20.5" customHeight="1">
      <c r="A68" s="20" t="inlineStr">
        <is>
          <t>나.</t>
        </is>
      </c>
      <c r="B68" s="21" t="inlineStr">
        <is>
          <t>지난번 자료와 견주어 이상치가 아닌지 곧바로 확인합니다.</t>
        </is>
      </c>
    </row>
    <row r="69" ht="20.5" customHeight="1">
      <c r="A69" s="20" t="inlineStr">
        <is>
          <t>다.</t>
        </is>
      </c>
      <c r="B69" s="21" t="inlineStr">
        <is>
          <t>측정은 같은 사람이 해 오차를 줄입니다.</t>
        </is>
      </c>
    </row>
    <row r="70" ht="20.5" customHeight="1">
      <c r="A70" s="20" t="inlineStr">
        <is>
          <t>라.</t>
        </is>
      </c>
      <c r="B70" s="21" t="inlineStr">
        <is>
          <t>관리 기준치에 가까워지거나 갑자기 변하면 측정 빈도를 늘리고 대책을 세웁니다.</t>
        </is>
      </c>
    </row>
    <row r="71" ht="20" customHeight="1">
      <c r="A71" s="50" t="inlineStr">
        <is>
          <t>(3) 계측 결과의 정리</t>
        </is>
      </c>
    </row>
    <row r="72" ht="20.5" customHeight="1">
      <c r="A72" s="20" t="inlineStr">
        <is>
          <t>가.</t>
        </is>
      </c>
      <c r="B72" s="21" t="inlineStr">
        <is>
          <t>측정이 끝나면 자료를 정리해 곧바로 해석하고, 이상치는 다시 측정해 원인을 찾습니다.</t>
        </is>
      </c>
    </row>
    <row r="73" ht="20.5" customHeight="1">
      <c r="A73" s="20" t="inlineStr">
        <is>
          <t>나.</t>
        </is>
      </c>
      <c r="B73" s="21" t="inlineStr">
        <is>
          <t>자료에는 굴착 진행 상태와 지보 설치 시기를 함께 적습니다.</t>
        </is>
      </c>
    </row>
    <row r="74" ht="36" customHeight="1">
      <c r="A74" s="20" t="inlineStr">
        <is>
          <t>다.</t>
        </is>
      </c>
      <c r="B74" s="21" t="inlineStr">
        <is>
          <t>계측 결과는 일상 시공관리와 앞으로의 공사 계획에 쓸 수 있게 정리하고 기록을 보존합니다.</t>
        </is>
      </c>
    </row>
    <row r="75" ht="20" customHeight="1">
      <c r="A75" s="50" t="inlineStr">
        <is>
          <t>(4) 계측 결과의 보고</t>
        </is>
      </c>
    </row>
    <row r="76" ht="37" customHeight="1">
      <c r="A76" s="22" t="inlineStr">
        <is>
          <t>계측 결과는 지체 없이 보고합니다. 뚜렷하게 큰 변위나 응력이 생기면 곧바로 감독관에게 보고하고 지시를 받습니다.</t>
        </is>
      </c>
    </row>
    <row r="78" ht="19.5" customHeight="1">
      <c r="A78" s="11" t="inlineStr">
        <is>
          <t>이 시트는 작성 예시입니다(가상의 계측값).</t>
        </is>
      </c>
    </row>
  </sheetData>
  <mergeCells count="195">
    <mergeCell ref="A15:B15"/>
    <mergeCell ref="A64:B64"/>
    <mergeCell ref="F18:H18"/>
    <mergeCell ref="A37:C37"/>
    <mergeCell ref="A46:C46"/>
    <mergeCell ref="F17:H17"/>
    <mergeCell ref="A21:L21"/>
    <mergeCell ref="A57:C57"/>
    <mergeCell ref="D45:E45"/>
    <mergeCell ref="C64:D64"/>
    <mergeCell ref="D52:H52"/>
    <mergeCell ref="E29:I29"/>
    <mergeCell ref="I16:J16"/>
    <mergeCell ref="A71:L71"/>
    <mergeCell ref="A23:L23"/>
    <mergeCell ref="A27:B27"/>
    <mergeCell ref="E31:I31"/>
    <mergeCell ref="A43:C43"/>
    <mergeCell ref="I18:J18"/>
    <mergeCell ref="A52:C52"/>
    <mergeCell ref="D53:H53"/>
    <mergeCell ref="F14:H14"/>
    <mergeCell ref="A63:L63"/>
    <mergeCell ref="A33:B33"/>
    <mergeCell ref="I42:J42"/>
    <mergeCell ref="C27:D27"/>
    <mergeCell ref="K42:L42"/>
    <mergeCell ref="C18:E18"/>
    <mergeCell ref="A17:B17"/>
    <mergeCell ref="E26:I26"/>
    <mergeCell ref="H65:I65"/>
    <mergeCell ref="F43:G43"/>
    <mergeCell ref="A49:C49"/>
    <mergeCell ref="I58:L58"/>
    <mergeCell ref="I53:L53"/>
    <mergeCell ref="A19:B19"/>
    <mergeCell ref="A28:B28"/>
    <mergeCell ref="A36:L36"/>
    <mergeCell ref="C28:D28"/>
    <mergeCell ref="F12:H12"/>
    <mergeCell ref="I13:J13"/>
    <mergeCell ref="K13:L13"/>
    <mergeCell ref="A78:L78"/>
    <mergeCell ref="I52:L52"/>
    <mergeCell ref="A30:B30"/>
    <mergeCell ref="C30:D30"/>
    <mergeCell ref="I15:J15"/>
    <mergeCell ref="I46:J46"/>
    <mergeCell ref="A11:B11"/>
    <mergeCell ref="K15:L15"/>
    <mergeCell ref="J65:L65"/>
    <mergeCell ref="A75:L75"/>
    <mergeCell ref="A55:C55"/>
    <mergeCell ref="A3:L3"/>
    <mergeCell ref="C12:E12"/>
    <mergeCell ref="D57:H57"/>
    <mergeCell ref="A5:L5"/>
    <mergeCell ref="E28:I28"/>
    <mergeCell ref="I41:J41"/>
    <mergeCell ref="D49:H49"/>
    <mergeCell ref="K41:L41"/>
    <mergeCell ref="F42:G42"/>
    <mergeCell ref="B67:L67"/>
    <mergeCell ref="A38:C38"/>
    <mergeCell ref="A4:L4"/>
    <mergeCell ref="A26:B26"/>
    <mergeCell ref="E30:I30"/>
    <mergeCell ref="I43:J43"/>
    <mergeCell ref="K43:L43"/>
    <mergeCell ref="I61:L61"/>
    <mergeCell ref="C13:E13"/>
    <mergeCell ref="I57:L57"/>
    <mergeCell ref="A58:C58"/>
    <mergeCell ref="D37:E37"/>
    <mergeCell ref="A40:C40"/>
    <mergeCell ref="B69:L69"/>
    <mergeCell ref="I54:L54"/>
    <mergeCell ref="C15:E15"/>
    <mergeCell ref="F11:H11"/>
    <mergeCell ref="I17:J17"/>
    <mergeCell ref="K17:L17"/>
    <mergeCell ref="D39:E39"/>
    <mergeCell ref="A51:C51"/>
    <mergeCell ref="A24:L24"/>
    <mergeCell ref="F39:G39"/>
    <mergeCell ref="A60:C60"/>
    <mergeCell ref="B6:L6"/>
    <mergeCell ref="I56:L56"/>
    <mergeCell ref="D55:H55"/>
    <mergeCell ref="E32:I32"/>
    <mergeCell ref="J37:L37"/>
    <mergeCell ref="I19:J19"/>
    <mergeCell ref="D38:E38"/>
    <mergeCell ref="K19:L19"/>
    <mergeCell ref="F15:H15"/>
    <mergeCell ref="D54:H54"/>
    <mergeCell ref="A34:B34"/>
    <mergeCell ref="C16:E16"/>
    <mergeCell ref="K16:L16"/>
    <mergeCell ref="C34:D34"/>
    <mergeCell ref="D60:H60"/>
    <mergeCell ref="A25:L25"/>
    <mergeCell ref="B7:L7"/>
    <mergeCell ref="B72:L72"/>
    <mergeCell ref="I11:J11"/>
    <mergeCell ref="E33:I33"/>
    <mergeCell ref="E65:G65"/>
    <mergeCell ref="A66:L66"/>
    <mergeCell ref="A50:C50"/>
    <mergeCell ref="I59:L59"/>
    <mergeCell ref="A42:C42"/>
    <mergeCell ref="C11:E11"/>
    <mergeCell ref="K11:L11"/>
    <mergeCell ref="C29:D29"/>
    <mergeCell ref="I60:L60"/>
    <mergeCell ref="A65:B65"/>
    <mergeCell ref="F13:H13"/>
    <mergeCell ref="C65:D65"/>
    <mergeCell ref="A47:L47"/>
    <mergeCell ref="G37:H37"/>
    <mergeCell ref="A22:L22"/>
    <mergeCell ref="K46:L46"/>
    <mergeCell ref="C31:D31"/>
    <mergeCell ref="K40:L40"/>
    <mergeCell ref="A12:B12"/>
    <mergeCell ref="A20:L20"/>
    <mergeCell ref="A32:B32"/>
    <mergeCell ref="A14:B14"/>
    <mergeCell ref="A59:C59"/>
    <mergeCell ref="D58:H58"/>
    <mergeCell ref="F16:H16"/>
    <mergeCell ref="C14:E14"/>
    <mergeCell ref="C32:D32"/>
    <mergeCell ref="A1:F1"/>
    <mergeCell ref="A61:C61"/>
    <mergeCell ref="E64:G64"/>
    <mergeCell ref="K18:L18"/>
    <mergeCell ref="D50:H50"/>
    <mergeCell ref="A54:C54"/>
    <mergeCell ref="D59:H59"/>
    <mergeCell ref="A41:C41"/>
    <mergeCell ref="C33:D33"/>
    <mergeCell ref="J45:L45"/>
    <mergeCell ref="I51:L51"/>
    <mergeCell ref="A56:C56"/>
    <mergeCell ref="D40:E40"/>
    <mergeCell ref="F40:G40"/>
    <mergeCell ref="C26:D26"/>
    <mergeCell ref="I50:L50"/>
    <mergeCell ref="A16:B16"/>
    <mergeCell ref="B70:L70"/>
    <mergeCell ref="A76:L76"/>
    <mergeCell ref="H64:I64"/>
    <mergeCell ref="A8:L8"/>
    <mergeCell ref="C17:E17"/>
    <mergeCell ref="A53:C53"/>
    <mergeCell ref="D41:E41"/>
    <mergeCell ref="A18:B18"/>
    <mergeCell ref="D61:H61"/>
    <mergeCell ref="F41:G41"/>
    <mergeCell ref="I49:L49"/>
    <mergeCell ref="A62:L62"/>
    <mergeCell ref="G1:L1"/>
    <mergeCell ref="I12:J12"/>
    <mergeCell ref="E34:I34"/>
    <mergeCell ref="A10:L10"/>
    <mergeCell ref="K12:L12"/>
    <mergeCell ref="C19:E19"/>
    <mergeCell ref="F38:G38"/>
    <mergeCell ref="B73:L73"/>
    <mergeCell ref="D43:E43"/>
    <mergeCell ref="E27:I27"/>
    <mergeCell ref="G45:H45"/>
    <mergeCell ref="A9:L9"/>
    <mergeCell ref="I14:J14"/>
    <mergeCell ref="A39:C39"/>
    <mergeCell ref="I39:J39"/>
    <mergeCell ref="K14:L14"/>
    <mergeCell ref="K39:L39"/>
    <mergeCell ref="D56:H56"/>
    <mergeCell ref="J64:L64"/>
    <mergeCell ref="A48:L48"/>
    <mergeCell ref="B74:L74"/>
    <mergeCell ref="F19:H19"/>
    <mergeCell ref="A29:B29"/>
    <mergeCell ref="I38:J38"/>
    <mergeCell ref="D42:E42"/>
    <mergeCell ref="K38:L38"/>
    <mergeCell ref="A45:C45"/>
    <mergeCell ref="B68:L68"/>
    <mergeCell ref="A13:B13"/>
    <mergeCell ref="D51:H51"/>
    <mergeCell ref="I55:L55"/>
    <mergeCell ref="A31:B31"/>
    <mergeCell ref="I40:J40"/>
  </mergeCells>
  <conditionalFormatting sqref="K39:K43">
    <cfRule type="expression" priority="1" dxfId="0">
      <formula>K39="위험"</formula>
    </cfRule>
    <cfRule type="expression" priority="2" dxfId="1">
      <formula>K39="주의"</formula>
    </cfRule>
    <cfRule type="expression" priority="3" dxfId="2">
      <formula>K39="안전"</formula>
    </cfRule>
  </conditionalFormatting>
  <conditionalFormatting sqref="K46">
    <cfRule type="expression" priority="4" dxfId="0">
      <formula>K46="위험"</formula>
    </cfRule>
    <cfRule type="expression" priority="5" dxfId="1">
      <formula>K46="주의"</formula>
    </cfRule>
    <cfRule type="expression" priority="6" dxfId="2">
      <formula>K46="안전"</formula>
    </cfRule>
  </conditionalFormatting>
  <conditionalFormatting sqref="D39:D43">
    <cfRule type="expression" priority="7" dxfId="3">
      <formula>AND(ISNUMBER(D39),MOD(D39,1)=0)</formula>
    </cfRule>
  </conditionalFormatting>
  <conditionalFormatting sqref="F39:F43">
    <cfRule type="expression" priority="8" dxfId="3">
      <formula>AND(ISNUMBER(F39),MOD(F39,1)=0)</formula>
    </cfRule>
  </conditionalFormatting>
  <conditionalFormatting sqref="E46">
    <cfRule type="expression" priority="9" dxfId="4">
      <formula>AND(ISNUMBER(E46),MOD(E46,1)=0)</formula>
    </cfRule>
  </conditionalFormatting>
  <conditionalFormatting sqref="G46">
    <cfRule type="expression" priority="10" dxfId="5">
      <formula>AND(ISNUMBER(G46),MOD(G46,1)=0)</formula>
    </cfRule>
  </conditionalFormatting>
  <printOptions horizontalCentered="1"/>
  <pageMargins left="0.45" right="0.45" top="0.5" bottom="0.5" header="0.2" footer="0.2"/>
  <pageSetup orientation="portrait" paperSize="9" fitToHeight="0" fitToWidth="1"/>
  <rowBreaks count="2" manualBreakCount="2">
    <brk id="24" min="0" max="16383" man="1"/>
    <brk id="47" min="0" max="16383" man="1"/>
  </rowBreaks>
</worksheet>
</file>

<file path=xl/worksheets/sheet1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A15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3" customWidth="1" min="3" max="3"/>
    <col width="9" customWidth="1" min="4" max="4"/>
    <col width="9" customWidth="1" min="5" max="5"/>
    <col width="7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16" customWidth="1" min="27" max="27"/>
  </cols>
  <sheetData>
    <row r="1" ht="20" customHeight="1">
      <c r="A1" s="1" t="inlineStr">
        <is>
          <t xml:space="preserve">  K-건설맵  |  k-conmap.com  건설 서식</t>
        </is>
      </c>
      <c r="J1" s="76" t="inlineStr">
        <is>
          <t xml:space="preserve">작성 예시 (가상의 현장)  </t>
        </is>
      </c>
    </row>
    <row r="2" ht="34" customHeight="1">
      <c r="A2" s="63" t="inlineStr">
        <is>
          <t>4.  공 정 관 리 계 획</t>
        </is>
      </c>
    </row>
    <row r="3" ht="24" customHeight="1">
      <c r="A3" s="6" t="inlineStr">
        <is>
          <t>착 공 일</t>
        </is>
      </c>
      <c r="B3" s="7" t="n"/>
      <c r="C3" s="9" t="n">
        <v>46118</v>
      </c>
      <c r="D3" s="6" t="inlineStr">
        <is>
          <t>눈금 한 칸</t>
        </is>
      </c>
      <c r="E3" s="7" t="n"/>
      <c r="F3" s="64" t="n">
        <v>7</v>
      </c>
      <c r="G3" s="6" t="inlineStr">
        <is>
          <t>총 공기</t>
        </is>
      </c>
      <c r="H3" s="7" t="n"/>
      <c r="I3" s="7" t="n"/>
      <c r="J3" s="7" t="n"/>
      <c r="K3" s="7" t="n"/>
      <c r="L3" s="65">
        <f>IF(OR(COUNT(D7:D14)=0,COUNT(E7:E14)=0),"",MAX(E7:E14)-MIN(D7:D14)+1)</f>
        <v/>
      </c>
      <c r="M3" s="7" t="n"/>
      <c r="N3" s="7" t="n"/>
      <c r="O3" s="7" t="n"/>
      <c r="P3" s="7" t="n"/>
      <c r="Q3" s="11" t="inlineStr">
        <is>
          <t>※ 착공일 · 공종별 착수/완료일을 적으면 막대가 그려집니다.</t>
        </is>
      </c>
    </row>
    <row r="4" ht="20" customHeight="1">
      <c r="A4" s="23" t="inlineStr">
        <is>
          <t>NO.</t>
        </is>
      </c>
      <c r="B4" s="23" t="inlineStr">
        <is>
          <t>공    종</t>
        </is>
      </c>
      <c r="C4" s="23" t="inlineStr">
        <is>
          <t>수    량</t>
        </is>
      </c>
      <c r="D4" s="23" t="inlineStr">
        <is>
          <t>착 수</t>
        </is>
      </c>
      <c r="E4" s="23" t="inlineStr">
        <is>
          <t>완 료</t>
        </is>
      </c>
      <c r="F4" s="23" t="inlineStr">
        <is>
          <t>일 수</t>
        </is>
      </c>
      <c r="G4" s="66">
        <f>IF(N(F3)=0,"착수 후","착수 후  (한 칸 = "&amp;F3&amp;"일)")</f>
        <v/>
      </c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23" t="inlineStr">
        <is>
          <t>비    고</t>
        </is>
      </c>
    </row>
    <row r="5" ht="18" customHeight="1">
      <c r="A5" s="7" t="n"/>
      <c r="B5" s="7" t="n"/>
      <c r="C5" s="7" t="n"/>
      <c r="D5" s="7" t="n"/>
      <c r="E5" s="7" t="n"/>
      <c r="F5" s="7" t="n"/>
      <c r="G5" s="67">
        <f>IF(OR(N(C3)=0,N(F3)=0),"",C3+0*F3)</f>
        <v/>
      </c>
      <c r="H5" s="67">
        <f>IF(OR(N(C3)=0,N(F3)=0),"",C3+1*F3)</f>
        <v/>
      </c>
      <c r="I5" s="67">
        <f>IF(OR(N(C3)=0,N(F3)=0),"",C3+2*F3)</f>
        <v/>
      </c>
      <c r="J5" s="67">
        <f>IF(OR(N(C3)=0,N(F3)=0),"",C3+3*F3)</f>
        <v/>
      </c>
      <c r="K5" s="67">
        <f>IF(OR(N(C3)=0,N(F3)=0),"",C3+4*F3)</f>
        <v/>
      </c>
      <c r="L5" s="67">
        <f>IF(OR(N(C3)=0,N(F3)=0),"",C3+5*F3)</f>
        <v/>
      </c>
      <c r="M5" s="67">
        <f>IF(OR(N(C3)=0,N(F3)=0),"",C3+6*F3)</f>
        <v/>
      </c>
      <c r="N5" s="67">
        <f>IF(OR(N(C3)=0,N(F3)=0),"",C3+7*F3)</f>
        <v/>
      </c>
      <c r="O5" s="67">
        <f>IF(OR(N(C3)=0,N(F3)=0),"",C3+8*F3)</f>
        <v/>
      </c>
      <c r="P5" s="67">
        <f>IF(OR(N(C3)=0,N(F3)=0),"",C3+9*F3)</f>
        <v/>
      </c>
      <c r="Q5" s="67">
        <f>IF(OR(N(C3)=0,N(F3)=0),"",C3+10*F3)</f>
        <v/>
      </c>
      <c r="R5" s="67">
        <f>IF(OR(N(C3)=0,N(F3)=0),"",C3+11*F3)</f>
        <v/>
      </c>
      <c r="S5" s="67">
        <f>IF(OR(N(C3)=0,N(F3)=0),"",C3+12*F3)</f>
        <v/>
      </c>
      <c r="T5" s="67">
        <f>IF(OR(N(C3)=0,N(F3)=0),"",C3+13*F3)</f>
        <v/>
      </c>
      <c r="U5" s="67">
        <f>IF(OR(N(C3)=0,N(F3)=0),"",C3+14*F3)</f>
        <v/>
      </c>
      <c r="V5" s="67">
        <f>IF(OR(N(C3)=0,N(F3)=0),"",C3+15*F3)</f>
        <v/>
      </c>
      <c r="W5" s="67">
        <f>IF(OR(N(C3)=0,N(F3)=0),"",C3+16*F3)</f>
        <v/>
      </c>
      <c r="X5" s="67">
        <f>IF(OR(N(C3)=0,N(F3)=0),"",C3+17*F3)</f>
        <v/>
      </c>
      <c r="Y5" s="67">
        <f>IF(OR(N(C3)=0,N(F3)=0),"",C3+18*F3)</f>
        <v/>
      </c>
      <c r="Z5" s="67">
        <f>IF(OR(N(C3)=0,N(F3)=0),"",C3+19*F3)</f>
        <v/>
      </c>
      <c r="AA5" s="7" t="n"/>
    </row>
    <row r="6" hidden="1" ht="12" customHeight="1">
      <c r="G6" s="68">
        <f>IF(OR(N(C3)=0,N(F3)=0),"",C3+1*F3-1)</f>
        <v/>
      </c>
      <c r="H6" s="68">
        <f>IF(OR(N(C3)=0,N(F3)=0),"",C3+2*F3-1)</f>
        <v/>
      </c>
      <c r="I6" s="68">
        <f>IF(OR(N(C3)=0,N(F3)=0),"",C3+3*F3-1)</f>
        <v/>
      </c>
      <c r="J6" s="68">
        <f>IF(OR(N(C3)=0,N(F3)=0),"",C3+4*F3-1)</f>
        <v/>
      </c>
      <c r="K6" s="68">
        <f>IF(OR(N(C3)=0,N(F3)=0),"",C3+5*F3-1)</f>
        <v/>
      </c>
      <c r="L6" s="68">
        <f>IF(OR(N(C3)=0,N(F3)=0),"",C3+6*F3-1)</f>
        <v/>
      </c>
      <c r="M6" s="68">
        <f>IF(OR(N(C3)=0,N(F3)=0),"",C3+7*F3-1)</f>
        <v/>
      </c>
      <c r="N6" s="68">
        <f>IF(OR(N(C3)=0,N(F3)=0),"",C3+8*F3-1)</f>
        <v/>
      </c>
      <c r="O6" s="68">
        <f>IF(OR(N(C3)=0,N(F3)=0),"",C3+9*F3-1)</f>
        <v/>
      </c>
      <c r="P6" s="68">
        <f>IF(OR(N(C3)=0,N(F3)=0),"",C3+10*F3-1)</f>
        <v/>
      </c>
      <c r="Q6" s="68">
        <f>IF(OR(N(C3)=0,N(F3)=0),"",C3+11*F3-1)</f>
        <v/>
      </c>
      <c r="R6" s="68">
        <f>IF(OR(N(C3)=0,N(F3)=0),"",C3+12*F3-1)</f>
        <v/>
      </c>
      <c r="S6" s="68">
        <f>IF(OR(N(C3)=0,N(F3)=0),"",C3+13*F3-1)</f>
        <v/>
      </c>
      <c r="T6" s="68">
        <f>IF(OR(N(C3)=0,N(F3)=0),"",C3+14*F3-1)</f>
        <v/>
      </c>
      <c r="U6" s="68">
        <f>IF(OR(N(C3)=0,N(F3)=0),"",C3+15*F3-1)</f>
        <v/>
      </c>
      <c r="V6" s="68">
        <f>IF(OR(N(C3)=0,N(F3)=0),"",C3+16*F3-1)</f>
        <v/>
      </c>
      <c r="W6" s="68">
        <f>IF(OR(N(C3)=0,N(F3)=0),"",C3+17*F3-1)</f>
        <v/>
      </c>
      <c r="X6" s="68">
        <f>IF(OR(N(C3)=0,N(F3)=0),"",C3+18*F3-1)</f>
        <v/>
      </c>
      <c r="Y6" s="68">
        <f>IF(OR(N(C3)=0,N(F3)=0),"",C3+19*F3-1)</f>
        <v/>
      </c>
      <c r="Z6" s="68">
        <f>IF(OR(N(C3)=0,N(F3)=0),"",C3+20*F3-1)</f>
        <v/>
      </c>
    </row>
    <row r="7" ht="28" customHeight="1">
      <c r="A7" s="30" t="inlineStr">
        <is>
          <t>1</t>
        </is>
      </c>
      <c r="B7" s="46" t="inlineStr">
        <is>
          <t>자재 · 장비 반입</t>
        </is>
      </c>
      <c r="C7" s="69" t="inlineStr">
        <is>
          <t>S/P 320본</t>
        </is>
      </c>
      <c r="D7" s="70" t="n">
        <v>46118</v>
      </c>
      <c r="E7" s="70" t="n">
        <v>46124</v>
      </c>
      <c r="F7" s="71">
        <f>IF(OR(N(D7)=0,N(E7)=0),"",IF(E7&lt;D7,"⚠ 날짜",E7-D7+1))</f>
        <v/>
      </c>
      <c r="G7" s="31" t="inlineStr"/>
      <c r="H7" s="31" t="inlineStr"/>
      <c r="I7" s="31" t="inlineStr"/>
      <c r="J7" s="31" t="inlineStr"/>
      <c r="K7" s="31" t="inlineStr"/>
      <c r="L7" s="31" t="inlineStr"/>
      <c r="M7" s="31" t="inlineStr"/>
      <c r="N7" s="31" t="inlineStr"/>
      <c r="O7" s="31" t="inlineStr"/>
      <c r="P7" s="31" t="inlineStr"/>
      <c r="Q7" s="31" t="inlineStr"/>
      <c r="R7" s="31" t="inlineStr"/>
      <c r="S7" s="31" t="inlineStr"/>
      <c r="T7" s="31" t="inlineStr"/>
      <c r="U7" s="31" t="inlineStr"/>
      <c r="V7" s="31" t="inlineStr"/>
      <c r="W7" s="31" t="inlineStr"/>
      <c r="X7" s="31" t="inlineStr"/>
      <c r="Y7" s="31" t="inlineStr"/>
      <c r="Z7" s="31" t="inlineStr"/>
      <c r="AA7" s="72" t="inlineStr">
        <is>
          <t>백호 1.0㎥ · 크레인 · 발전기 등</t>
        </is>
      </c>
    </row>
    <row r="8" ht="28" customHeight="1">
      <c r="A8" s="30" t="inlineStr">
        <is>
          <t>2</t>
        </is>
      </c>
      <c r="B8" s="46" t="inlineStr">
        <is>
          <t>S/P 압입(항타)</t>
        </is>
      </c>
      <c r="C8" s="69" t="inlineStr">
        <is>
          <t>S/P 320본</t>
        </is>
      </c>
      <c r="D8" s="70" t="n">
        <v>46125</v>
      </c>
      <c r="E8" s="70" t="n">
        <v>46173</v>
      </c>
      <c r="F8" s="71">
        <f>IF(OR(N(D8)=0,N(E8)=0),"",IF(E8&lt;D8,"⚠ 날짜",E8-D8+1))</f>
        <v/>
      </c>
      <c r="G8" s="31" t="inlineStr"/>
      <c r="H8" s="31" t="inlineStr"/>
      <c r="I8" s="31" t="inlineStr"/>
      <c r="J8" s="31" t="inlineStr"/>
      <c r="K8" s="31" t="inlineStr"/>
      <c r="L8" s="31" t="inlineStr"/>
      <c r="M8" s="31" t="inlineStr"/>
      <c r="N8" s="31" t="inlineStr"/>
      <c r="O8" s="31" t="inlineStr"/>
      <c r="P8" s="31" t="inlineStr"/>
      <c r="Q8" s="31" t="inlineStr"/>
      <c r="R8" s="31" t="inlineStr"/>
      <c r="S8" s="31" t="inlineStr"/>
      <c r="T8" s="31" t="inlineStr"/>
      <c r="U8" s="31" t="inlineStr"/>
      <c r="V8" s="31" t="inlineStr"/>
      <c r="W8" s="31" t="inlineStr"/>
      <c r="X8" s="31" t="inlineStr"/>
      <c r="Y8" s="31" t="inlineStr"/>
      <c r="Z8" s="31" t="inlineStr"/>
      <c r="AA8" s="72" t="n"/>
    </row>
    <row r="9" ht="28" customHeight="1">
      <c r="A9" s="30" t="inlineStr">
        <is>
          <t>3</t>
        </is>
      </c>
      <c r="B9" s="46" t="inlineStr">
        <is>
          <t>터파기 및 띠장 · STRUT 설치</t>
        </is>
      </c>
      <c r="C9" s="69" t="inlineStr">
        <is>
          <t>H형강 33.84 TON</t>
        </is>
      </c>
      <c r="D9" s="70" t="n">
        <v>46174</v>
      </c>
      <c r="E9" s="70" t="n">
        <v>46194</v>
      </c>
      <c r="F9" s="71">
        <f>IF(OR(N(D9)=0,N(E9)=0),"",IF(E9&lt;D9,"⚠ 날짜",E9-D9+1))</f>
        <v/>
      </c>
      <c r="G9" s="31" t="inlineStr"/>
      <c r="H9" s="31" t="inlineStr"/>
      <c r="I9" s="31" t="inlineStr"/>
      <c r="J9" s="31" t="inlineStr"/>
      <c r="K9" s="31" t="inlineStr"/>
      <c r="L9" s="31" t="inlineStr"/>
      <c r="M9" s="31" t="inlineStr"/>
      <c r="N9" s="31" t="inlineStr"/>
      <c r="O9" s="31" t="inlineStr"/>
      <c r="P9" s="31" t="inlineStr"/>
      <c r="Q9" s="31" t="inlineStr"/>
      <c r="R9" s="31" t="inlineStr"/>
      <c r="S9" s="31" t="inlineStr"/>
      <c r="T9" s="31" t="inlineStr"/>
      <c r="U9" s="31" t="inlineStr"/>
      <c r="V9" s="31" t="inlineStr"/>
      <c r="W9" s="31" t="inlineStr"/>
      <c r="X9" s="31" t="inlineStr"/>
      <c r="Y9" s="31" t="inlineStr"/>
      <c r="Z9" s="31" t="inlineStr"/>
      <c r="AA9" s="72" t="inlineStr">
        <is>
          <t>단계별 굴착 — 계측</t>
        </is>
      </c>
    </row>
    <row r="10" ht="28" customHeight="1">
      <c r="A10" s="30" t="inlineStr">
        <is>
          <t>4</t>
        </is>
      </c>
      <c r="B10" s="46" t="inlineStr">
        <is>
          <t>구조물 설치</t>
        </is>
      </c>
      <c r="C10" s="69" t="n"/>
      <c r="D10" s="70" t="n">
        <v>46195</v>
      </c>
      <c r="E10" s="70" t="n">
        <v>46236</v>
      </c>
      <c r="F10" s="71">
        <f>IF(OR(N(D10)=0,N(E10)=0),"",IF(E10&lt;D10,"⚠ 날짜",E10-D10+1))</f>
        <v/>
      </c>
      <c r="G10" s="31" t="inlineStr"/>
      <c r="H10" s="31" t="inlineStr"/>
      <c r="I10" s="31" t="inlineStr"/>
      <c r="J10" s="31" t="inlineStr"/>
      <c r="K10" s="31" t="inlineStr"/>
      <c r="L10" s="31" t="inlineStr"/>
      <c r="M10" s="31" t="inlineStr"/>
      <c r="N10" s="31" t="inlineStr"/>
      <c r="O10" s="31" t="inlineStr"/>
      <c r="P10" s="31" t="inlineStr"/>
      <c r="Q10" s="31" t="inlineStr"/>
      <c r="R10" s="31" t="inlineStr"/>
      <c r="S10" s="31" t="inlineStr"/>
      <c r="T10" s="31" t="inlineStr"/>
      <c r="U10" s="31" t="inlineStr"/>
      <c r="V10" s="31" t="inlineStr"/>
      <c r="W10" s="31" t="inlineStr"/>
      <c r="X10" s="31" t="inlineStr"/>
      <c r="Y10" s="31" t="inlineStr"/>
      <c r="Z10" s="31" t="inlineStr"/>
      <c r="AA10" s="72" t="inlineStr">
        <is>
          <t>본 공사</t>
        </is>
      </c>
    </row>
    <row r="11" ht="28" customHeight="1">
      <c r="A11" s="30" t="inlineStr">
        <is>
          <t>5</t>
        </is>
      </c>
      <c r="B11" s="46" t="inlineStr">
        <is>
          <t>가시설 철거 및 되메우기</t>
        </is>
      </c>
      <c r="C11" s="69" t="n"/>
      <c r="D11" s="70" t="n">
        <v>46237</v>
      </c>
      <c r="E11" s="70" t="n">
        <v>46255</v>
      </c>
      <c r="F11" s="71">
        <f>IF(OR(N(D11)=0,N(E11)=0),"",IF(E11&lt;D11,"⚠ 날짜",E11-D11+1))</f>
        <v/>
      </c>
      <c r="G11" s="31" t="inlineStr"/>
      <c r="H11" s="31" t="inlineStr"/>
      <c r="I11" s="31" t="inlineStr"/>
      <c r="J11" s="31" t="inlineStr"/>
      <c r="K11" s="31" t="inlineStr"/>
      <c r="L11" s="31" t="inlineStr"/>
      <c r="M11" s="31" t="inlineStr"/>
      <c r="N11" s="31" t="inlineStr"/>
      <c r="O11" s="31" t="inlineStr"/>
      <c r="P11" s="31" t="inlineStr"/>
      <c r="Q11" s="31" t="inlineStr"/>
      <c r="R11" s="31" t="inlineStr"/>
      <c r="S11" s="31" t="inlineStr"/>
      <c r="T11" s="31" t="inlineStr"/>
      <c r="U11" s="31" t="inlineStr"/>
      <c r="V11" s="31" t="inlineStr"/>
      <c r="W11" s="31" t="inlineStr"/>
      <c r="X11" s="31" t="inlineStr"/>
      <c r="Y11" s="31" t="inlineStr"/>
      <c r="Z11" s="31" t="inlineStr"/>
      <c r="AA11" s="72" t="inlineStr">
        <is>
          <t>구조물 설치 후 철거 · 되메우기</t>
        </is>
      </c>
    </row>
    <row r="12" ht="28" customHeight="1">
      <c r="A12" s="30" t="inlineStr">
        <is>
          <t>6</t>
        </is>
      </c>
      <c r="B12" s="46" t="n"/>
      <c r="C12" s="69" t="n"/>
      <c r="D12" s="70" t="n"/>
      <c r="E12" s="70" t="n"/>
      <c r="F12" s="71">
        <f>IF(OR(N(D12)=0,N(E12)=0),"",IF(E12&lt;D12,"⚠ 날짜",E12-D12+1))</f>
        <v/>
      </c>
      <c r="G12" s="31" t="inlineStr"/>
      <c r="H12" s="31" t="inlineStr"/>
      <c r="I12" s="31" t="inlineStr"/>
      <c r="J12" s="31" t="inlineStr"/>
      <c r="K12" s="31" t="inlineStr"/>
      <c r="L12" s="31" t="inlineStr"/>
      <c r="M12" s="31" t="inlineStr"/>
      <c r="N12" s="31" t="inlineStr"/>
      <c r="O12" s="31" t="inlineStr"/>
      <c r="P12" s="31" t="inlineStr"/>
      <c r="Q12" s="31" t="inlineStr"/>
      <c r="R12" s="31" t="inlineStr"/>
      <c r="S12" s="31" t="inlineStr"/>
      <c r="T12" s="31" t="inlineStr"/>
      <c r="U12" s="31" t="inlineStr"/>
      <c r="V12" s="31" t="inlineStr"/>
      <c r="W12" s="31" t="inlineStr"/>
      <c r="X12" s="31" t="inlineStr"/>
      <c r="Y12" s="31" t="inlineStr"/>
      <c r="Z12" s="31" t="inlineStr"/>
      <c r="AA12" s="72" t="n"/>
    </row>
    <row r="13" ht="28" customHeight="1">
      <c r="A13" s="30" t="inlineStr">
        <is>
          <t>7</t>
        </is>
      </c>
      <c r="B13" s="46" t="n"/>
      <c r="C13" s="69" t="n"/>
      <c r="D13" s="70" t="n"/>
      <c r="E13" s="70" t="n"/>
      <c r="F13" s="71">
        <f>IF(OR(N(D13)=0,N(E13)=0),"",IF(E13&lt;D13,"⚠ 날짜",E13-D13+1))</f>
        <v/>
      </c>
      <c r="G13" s="31" t="inlineStr"/>
      <c r="H13" s="31" t="inlineStr"/>
      <c r="I13" s="31" t="inlineStr"/>
      <c r="J13" s="31" t="inlineStr"/>
      <c r="K13" s="31" t="inlineStr"/>
      <c r="L13" s="31" t="inlineStr"/>
      <c r="M13" s="31" t="inlineStr"/>
      <c r="N13" s="31" t="inlineStr"/>
      <c r="O13" s="31" t="inlineStr"/>
      <c r="P13" s="31" t="inlineStr"/>
      <c r="Q13" s="31" t="inlineStr"/>
      <c r="R13" s="31" t="inlineStr"/>
      <c r="S13" s="31" t="inlineStr"/>
      <c r="T13" s="31" t="inlineStr"/>
      <c r="U13" s="31" t="inlineStr"/>
      <c r="V13" s="31" t="inlineStr"/>
      <c r="W13" s="31" t="inlineStr"/>
      <c r="X13" s="31" t="inlineStr"/>
      <c r="Y13" s="31" t="inlineStr"/>
      <c r="Z13" s="31" t="inlineStr"/>
      <c r="AA13" s="72" t="n"/>
    </row>
    <row r="14" ht="28" customHeight="1">
      <c r="A14" s="30" t="inlineStr">
        <is>
          <t>8</t>
        </is>
      </c>
      <c r="B14" s="46" t="n"/>
      <c r="C14" s="69" t="n"/>
      <c r="D14" s="70" t="n"/>
      <c r="E14" s="70" t="n"/>
      <c r="F14" s="71">
        <f>IF(OR(N(D14)=0,N(E14)=0),"",IF(E14&lt;D14,"⚠ 날짜",E14-D14+1))</f>
        <v/>
      </c>
      <c r="G14" s="31" t="inlineStr"/>
      <c r="H14" s="31" t="inlineStr"/>
      <c r="I14" s="31" t="inlineStr"/>
      <c r="J14" s="31" t="inlineStr"/>
      <c r="K14" s="31" t="inlineStr"/>
      <c r="L14" s="31" t="inlineStr"/>
      <c r="M14" s="31" t="inlineStr"/>
      <c r="N14" s="31" t="inlineStr"/>
      <c r="O14" s="31" t="inlineStr"/>
      <c r="P14" s="31" t="inlineStr"/>
      <c r="Q14" s="31" t="inlineStr"/>
      <c r="R14" s="31" t="inlineStr"/>
      <c r="S14" s="31" t="inlineStr"/>
      <c r="T14" s="31" t="inlineStr"/>
      <c r="U14" s="31" t="inlineStr"/>
      <c r="V14" s="31" t="inlineStr"/>
      <c r="W14" s="31" t="inlineStr"/>
      <c r="X14" s="31" t="inlineStr"/>
      <c r="Y14" s="31" t="inlineStr"/>
      <c r="Z14" s="31" t="inlineStr"/>
      <c r="AA14" s="72" t="n"/>
    </row>
    <row r="15" ht="16" customHeight="1">
      <c r="A15" s="11" t="inlineStr">
        <is>
          <t>※ 일수 = 완료 − 착수 + 1. 눈금 한 칸(노란 칸)을 7일로 두면 주 단위, 1일로 두면 일 단위 공정표가 됩니다.</t>
        </is>
      </c>
    </row>
  </sheetData>
  <mergeCells count="17">
    <mergeCell ref="G3:K3"/>
    <mergeCell ref="L3:P3"/>
    <mergeCell ref="B4:B5"/>
    <mergeCell ref="C4:C5"/>
    <mergeCell ref="A4:A5"/>
    <mergeCell ref="Q3:AA3"/>
    <mergeCell ref="D4:D5"/>
    <mergeCell ref="E4:E5"/>
    <mergeCell ref="F4:F5"/>
    <mergeCell ref="A2:AA2"/>
    <mergeCell ref="A1:I1"/>
    <mergeCell ref="J1:AA1"/>
    <mergeCell ref="G4:Z4"/>
    <mergeCell ref="AA4:AA5"/>
    <mergeCell ref="A15:AA15"/>
    <mergeCell ref="D3:E3"/>
    <mergeCell ref="A3:B3"/>
  </mergeCells>
  <conditionalFormatting sqref="G7:Z14">
    <cfRule type="expression" priority="1" dxfId="6">
      <formula>AND(N($D7)&gt;0,N($E7)&gt;=N($D7),N(G$5)&gt;0,$D7&lt;=G$6,$E7&gt;=G$5)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가설흙막이 시공계획서</dc:title>
  <dcterms:created xmlns:dcterms="http://purl.org/dc/terms/" xmlns:xsi="http://www.w3.org/2001/XMLSchema-instance" xsi:type="dcterms:W3CDTF">2026-10-17T01:04:06Z</dcterms:created>
  <dcterms:modified xmlns:dcterms="http://purl.org/dc/terms/" xmlns:xsi="http://www.w3.org/2001/XMLSchema-instance" xsi:type="dcterms:W3CDTF">2026-10-17T01:04:06Z</dcterms:modified>
</cp:coreProperties>
</file>