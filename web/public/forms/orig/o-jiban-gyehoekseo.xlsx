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시공계획" sheetId="3" state="visible" r:id="rId3"/>
    <sheet xmlns:r="http://schemas.openxmlformats.org/officeDocument/2006/relationships" name="공정표" sheetId="4" state="visible" r:id="rId4"/>
    <sheet xmlns:r="http://schemas.openxmlformats.org/officeDocument/2006/relationships" name="투입계획" sheetId="5" state="visible" r:id="rId5"/>
    <sheet xmlns:r="http://schemas.openxmlformats.org/officeDocument/2006/relationships" name="관리계획" sheetId="6" state="visible" r:id="rId6"/>
    <sheet xmlns:r="http://schemas.openxmlformats.org/officeDocument/2006/relationships" name="예시-표지" sheetId="7" state="visible" r:id="rId7"/>
    <sheet xmlns:r="http://schemas.openxmlformats.org/officeDocument/2006/relationships" name="예시-개요" sheetId="8" state="visible" r:id="rId8"/>
    <sheet xmlns:r="http://schemas.openxmlformats.org/officeDocument/2006/relationships" name="예시-시공계획" sheetId="9" state="visible" r:id="rId9"/>
    <sheet xmlns:r="http://schemas.openxmlformats.org/officeDocument/2006/relationships" name="예시-공정표" sheetId="10" state="visible" r:id="rId10"/>
    <sheet xmlns:r="http://schemas.openxmlformats.org/officeDocument/2006/relationships" name="예시-투입계획" sheetId="11" state="visible" r:id="rId11"/>
    <sheet xmlns:r="http://schemas.openxmlformats.org/officeDocument/2006/relationships" name="예시-관리계획" sheetId="12" state="visible" r:id="rId12"/>
  </sheets>
  <definedNames>
    <definedName name="_xlnm.Print_Area" localSheetId="0">'표지'!$A$1:$L$9</definedName>
    <definedName name="_xlnm.Print_Area" localSheetId="1">'개요'!$A$1:$L$66</definedName>
    <definedName name="_xlnm.Print_Area" localSheetId="2">'시공계획'!$A$1:$L$44</definedName>
    <definedName name="_xlnm.Print_Area" localSheetId="3">'공정표'!$A$1:$Z$14</definedName>
    <definedName name="_xlnm.Print_Area" localSheetId="4">'투입계획'!$A$1:$L$33</definedName>
    <definedName name="_xlnm.Print_Area" localSheetId="5">'관리계획'!$A$1:$L$42</definedName>
    <definedName name="_xlnm.Print_Area" localSheetId="6">'예시-표지'!$A$1:$L$9</definedName>
    <definedName name="_xlnm.Print_Area" localSheetId="7">'예시-개요'!$A$1:$L$66</definedName>
    <definedName name="_xlnm.Print_Area" localSheetId="8">'예시-시공계획'!$A$1:$L$44</definedName>
    <definedName name="_xlnm.Print_Area" localSheetId="9">'예시-공정표'!$A$1:$Z$14</definedName>
    <definedName name="_xlnm.Print_Area" localSheetId="10">'예시-투입계획'!$A$1:$L$33</definedName>
    <definedName name="_xlnm.Print_Area" localSheetId="11">'예시-관리계획'!$A$1:$L$42</definedName>
  </definedNames>
  <calcPr calcId="124519" fullCalcOnLoad="1"/>
</workbook>
</file>

<file path=xl/styles.xml><?xml version="1.0" encoding="utf-8"?>
<styleSheet xmlns="http://schemas.openxmlformats.org/spreadsheetml/2006/main">
  <numFmts count="18">
    <numFmt numFmtId="164" formatCode="yyyy&quot;. &quot;m&quot;.&quot;"/>
    <numFmt numFmtId="165" formatCode="yyyy. m. d."/>
    <numFmt numFmtId="166" formatCode="&quot;(총 &quot;#,##0&quot;일)&quot;;;&quot;&quot;"/>
    <numFmt numFmtId="167" formatCode="#,##0.##;;&quot;&quot;"/>
    <numFmt numFmtId="168" formatCode="#,##0.0#;;&quot;&quot;"/>
    <numFmt numFmtId="169" formatCode="#,##0.0&quot; m&quot;"/>
    <numFmt numFmtId="170" formatCode="#,##0&quot; kg&quot;"/>
    <numFmt numFmtId="171" formatCode="&quot;부피 &quot;#,##0&quot; ℓ&quot;"/>
    <numFmt numFmtId="172" formatCode="#,##0&quot; kg/m&quot;"/>
    <numFmt numFmtId="173" formatCode="d;;&quot;&quot;"/>
    <numFmt numFmtId="174" formatCode="0;;&quot;&quot;"/>
    <numFmt numFmtId="175" formatCode="#,##0&quot;일&quot;;;&quot;&quot;"/>
    <numFmt numFmtId="176" formatCode="&quot;마치는 날 : &quot;yyyy&quot;년 &quot;m&quot;월 &quot;d&quot;일&quot;;;&quot;&quot;"/>
    <numFmt numFmtId="177" formatCode="#,##0;;&quot;&quot;"/>
    <numFmt numFmtId="178" formatCode="#,##0&quot; m&quot;"/>
    <numFmt numFmtId="179" formatCode="#,##0.0"/>
    <numFmt numFmtId="180" formatCode="#,##0.0;;&quot;&quot;"/>
    <numFmt numFmtId="181" formatCode="yyyy-mm-dd"/>
  </numFmts>
  <fonts count="27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8"/>
    </font>
    <font>
      <name val="맑은 고딕"/>
      <color rgb="001F2937"/>
      <sz val="14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F2937"/>
      <sz val="9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color rgb="001F2937"/>
      <sz val="9.5"/>
    </font>
    <font>
      <name val="맑은 고딕"/>
      <b val="1"/>
      <color rgb="001F2937"/>
      <sz val="10.5"/>
    </font>
    <font>
      <name val="맑은 고딕"/>
      <b val="1"/>
      <color rgb="00111827"/>
      <sz val="16"/>
    </font>
    <font>
      <name val="맑은 고딕"/>
      <b val="1"/>
      <color rgb="001F2937"/>
      <sz val="8.5"/>
    </font>
    <font>
      <name val="맑은 고딕"/>
      <b val="1"/>
      <color rgb="001F2937"/>
      <sz val="7.5"/>
    </font>
    <font>
      <name val="맑은 고딕"/>
      <color rgb="001F2937"/>
      <sz val="6.5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color rgb="00000000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left" vertical="center" shrinkToFit="1"/>
    </xf>
    <xf numFmtId="0" fontId="7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shrinkToFit="1"/>
    </xf>
    <xf numFmtId="168" fontId="7" fillId="0" borderId="1" applyAlignment="1" pivotButton="0" quotePrefix="0" xfId="0">
      <alignment horizontal="center" vertical="center" shrinkToFit="1"/>
    </xf>
    <xf numFmtId="0" fontId="14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169" fontId="6" fillId="3" borderId="1" applyAlignment="1" pivotButton="0" quotePrefix="0" xfId="0">
      <alignment horizontal="center" vertical="center" shrinkToFit="1"/>
    </xf>
    <xf numFmtId="0" fontId="5" fillId="0" borderId="0" applyAlignment="1" pivotButton="0" quotePrefix="0" xfId="0">
      <alignment horizontal="left" vertical="top" wrapText="1" indent="2"/>
    </xf>
    <xf numFmtId="0" fontId="15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top" wrapText="1"/>
    </xf>
    <xf numFmtId="3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left" vertical="center" wrapText="1"/>
    </xf>
    <xf numFmtId="0" fontId="15" fillId="3" borderId="1" applyAlignment="1" pivotButton="0" quotePrefix="0" xfId="0">
      <alignment horizontal="center" vertical="center" wrapText="1"/>
    </xf>
    <xf numFmtId="170" fontId="6" fillId="3" borderId="1" applyAlignment="1" pivotButton="0" quotePrefix="0" xfId="0">
      <alignment horizontal="center" vertical="center" shrinkToFit="1"/>
    </xf>
    <xf numFmtId="171" fontId="7" fillId="0" borderId="1" applyAlignment="1" pivotButton="0" quotePrefix="0" xfId="0">
      <alignment horizontal="center" vertical="center" shrinkToFit="1"/>
    </xf>
    <xf numFmtId="2" fontId="6" fillId="3" borderId="1" applyAlignment="1" pivotButton="0" quotePrefix="0" xfId="0">
      <alignment horizontal="center" vertical="center" shrinkToFit="1"/>
    </xf>
    <xf numFmtId="0" fontId="17" fillId="3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right" vertical="center" wrapText="1"/>
    </xf>
    <xf numFmtId="172" fontId="7" fillId="6" borderId="1" applyAlignment="1" pivotButton="0" quotePrefix="0" xfId="0">
      <alignment horizontal="center" vertical="center" shrinkToFit="1"/>
    </xf>
    <xf numFmtId="0" fontId="18" fillId="2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173" fontId="22" fillId="4" borderId="1" applyAlignment="1" pivotButton="0" quotePrefix="0" xfId="0">
      <alignment horizontal="center" vertical="center" shrinkToFit="1"/>
    </xf>
    <xf numFmtId="174" fontId="14" fillId="0" borderId="1" applyAlignment="1" pivotButton="0" quotePrefix="0" xfId="0">
      <alignment horizontal="center" vertical="center" shrinkToFit="1"/>
    </xf>
    <xf numFmtId="174" fontId="15" fillId="3" borderId="1" applyAlignment="1" pivotButton="0" quotePrefix="0" xfId="0">
      <alignment horizontal="center" vertical="center" shrinkToFit="1"/>
    </xf>
    <xf numFmtId="0" fontId="23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175" fontId="6" fillId="3" borderId="1" applyAlignment="1" pivotButton="0" quotePrefix="0" xfId="0">
      <alignment horizontal="center" vertical="center" shrinkToFit="1"/>
    </xf>
    <xf numFmtId="176" fontId="5" fillId="0" borderId="0" applyAlignment="1" pivotButton="0" quotePrefix="0" xfId="0">
      <alignment horizontal="left" vertical="center" wrapText="1"/>
    </xf>
    <xf numFmtId="177" fontId="7" fillId="0" borderId="1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center" vertical="center" shrinkToFit="1"/>
    </xf>
    <xf numFmtId="178" fontId="7" fillId="6" borderId="1" applyAlignment="1" pivotButton="0" quotePrefix="0" xfId="0">
      <alignment horizontal="center" vertical="center" shrinkToFit="1"/>
    </xf>
    <xf numFmtId="0" fontId="17" fillId="3" borderId="1" applyAlignment="1" pivotButton="0" quotePrefix="0" xfId="0">
      <alignment horizontal="left" vertical="center" wrapText="1"/>
    </xf>
    <xf numFmtId="179" fontId="6" fillId="3" borderId="1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left" vertical="center" wrapText="1"/>
    </xf>
    <xf numFmtId="180" fontId="7" fillId="0" borderId="1" applyAlignment="1" pivotButton="0" quotePrefix="0" xfId="0">
      <alignment horizontal="center" vertical="center" shrinkToFit="1"/>
    </xf>
    <xf numFmtId="0" fontId="5" fillId="0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left" vertical="top" wrapText="1"/>
    </xf>
    <xf numFmtId="0" fontId="26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;;&quot;&quot;"/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47625</colOff>
      <row>31</row>
      <rowOff>66675</rowOff>
    </from>
    <ext cx="5962650" cy="417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47625</colOff>
      <row>13</row>
      <rowOff>104775</rowOff>
    </from>
    <ext cx="3943350" cy="2581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47625</colOff>
      <row>31</row>
      <rowOff>66675</rowOff>
    </from>
    <ext cx="5962650" cy="417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2</col>
      <colOff>47625</colOff>
      <row>13</row>
      <rowOff>104775</rowOff>
    </from>
    <ext cx="3943350" cy="2581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50" customHeight="1"/>
    <row r="3" ht="64" customHeight="1">
      <c r="A3" s="3" t="inlineStr">
        <is>
          <t>지반개량공사 시공계획서</t>
        </is>
      </c>
    </row>
    <row r="4" ht="34" customHeight="1">
      <c r="A4" s="4">
        <f>IF(OR(E6="",E6="(공 사 명)"),"［ ○○○○ 공사 중 지반개량공사 ］","［ "&amp;E6&amp;" 중 지반개량공사 ］")</f>
        <v/>
      </c>
    </row>
    <row r="5" ht="6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(공 사 명)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작성 연월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180" customHeight="1"/>
    <row r="9" ht="44" customHeight="1">
      <c r="A9" s="10" t="inlineStr">
        <is>
          <t>(회 사 명)</t>
        </is>
      </c>
    </row>
    <row r="11" ht="19.5" customHeight="1">
      <c r="A11" s="11" t="inlineStr">
        <is>
          <t>공사명 · 작성 연월 · 회사명을 여기 한 번만 적으면 부제와 뒤 장에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12" t="inlineStr">
        <is>
          <t>목          차</t>
        </is>
      </c>
    </row>
    <row r="4" ht="14" customHeight="1"/>
    <row r="5" ht="30" customHeight="1">
      <c r="A5" s="5" t="inlineStr"/>
      <c r="C5" s="13" t="inlineStr">
        <is>
          <t>1.  공 사 개 요</t>
        </is>
      </c>
      <c r="K5" s="5" t="inlineStr"/>
    </row>
    <row r="6" ht="30" customHeight="1">
      <c r="A6" s="5" t="inlineStr"/>
      <c r="C6" s="13" t="inlineStr">
        <is>
          <t>2.  공 법 개 요</t>
        </is>
      </c>
      <c r="K6" s="5" t="inlineStr"/>
    </row>
    <row r="7" ht="30" customHeight="1">
      <c r="A7" s="5" t="inlineStr"/>
      <c r="C7" s="13" t="inlineStr">
        <is>
          <t>3.  시 공 계 획</t>
        </is>
      </c>
      <c r="K7" s="5" t="inlineStr"/>
    </row>
    <row r="8" ht="30" customHeight="1">
      <c r="A8" s="5" t="inlineStr"/>
      <c r="C8" s="13" t="inlineStr">
        <is>
          <t>4.  장비 및 장치 투입계획</t>
        </is>
      </c>
      <c r="K8" s="5" t="inlineStr"/>
    </row>
    <row r="9" ht="30" customHeight="1">
      <c r="A9" s="5" t="inlineStr"/>
      <c r="C9" s="13" t="inlineStr">
        <is>
          <t>5.  인부 투입계획</t>
        </is>
      </c>
      <c r="K9" s="5" t="inlineStr"/>
    </row>
    <row r="10" ht="30" customHeight="1">
      <c r="A10" s="5" t="inlineStr"/>
      <c r="C10" s="13" t="inlineStr">
        <is>
          <t>6.  자재 투입계획</t>
        </is>
      </c>
      <c r="K10" s="5" t="inlineStr"/>
    </row>
    <row r="11" ht="30" customHeight="1">
      <c r="A11" s="5" t="inlineStr"/>
      <c r="C11" s="13" t="inlineStr">
        <is>
          <t>7.  품질관리계획</t>
        </is>
      </c>
      <c r="K11" s="5" t="inlineStr"/>
    </row>
    <row r="12" ht="30" customHeight="1">
      <c r="A12" s="5" t="inlineStr"/>
      <c r="C12" s="13" t="inlineStr">
        <is>
          <t>8.  안전관리계획</t>
        </is>
      </c>
      <c r="K12" s="5" t="inlineStr"/>
    </row>
    <row r="13" ht="4" customHeight="1"/>
    <row r="14" ht="30" customHeight="1">
      <c r="A14" s="14" t="inlineStr">
        <is>
          <t>1.  공 사 개 요</t>
        </is>
      </c>
    </row>
    <row r="15" ht="4" customHeight="1"/>
    <row r="16" ht="28" customHeight="1">
      <c r="A16" s="6" t="inlineStr">
        <is>
          <t>공 사 명</t>
        </is>
      </c>
      <c r="B16" s="7" t="n"/>
      <c r="C16" s="7" t="n"/>
      <c r="D16" s="15">
        <f>IF(OR('표지'!E6="",'표지'!E6="(공 사 명)"),"",'표지'!E6)</f>
        <v/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6" customHeight="1">
      <c r="A17" s="6" t="inlineStr">
        <is>
          <t>시  공  사</t>
        </is>
      </c>
      <c r="B17" s="7" t="n"/>
      <c r="C17" s="7" t="n"/>
      <c r="D17" s="15">
        <f>IF(OR('표지'!A9="",'표지'!A9="(회 사 명)"),"",'표지'!A9)</f>
        <v/>
      </c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6" customHeight="1">
      <c r="A18" s="6" t="inlineStr">
        <is>
          <t>공 사 기 간</t>
        </is>
      </c>
      <c r="B18" s="7" t="n"/>
      <c r="C18" s="7" t="n"/>
      <c r="D18" s="16" t="n"/>
      <c r="E18" s="7" t="n"/>
      <c r="F18" s="17" t="inlineStr">
        <is>
          <t>~</t>
        </is>
      </c>
      <c r="G18" s="16" t="n"/>
      <c r="H18" s="7" t="n"/>
      <c r="I18" s="18">
        <f>IF(OR(N(D18)=0,N(G18)=0),"",IF(G18&lt;D18,"⚠ 준공일이 착공일보다 빠름",G18-D18+1))</f>
        <v/>
      </c>
      <c r="J18" s="7" t="n"/>
      <c r="K18" s="7" t="n"/>
      <c r="L18" s="7" t="n"/>
    </row>
    <row r="19" ht="26" customHeight="1">
      <c r="A19" s="6" t="inlineStr">
        <is>
          <t>공 사 위 치</t>
        </is>
      </c>
      <c r="B19" s="7" t="n"/>
      <c r="C19" s="7" t="n"/>
      <c r="D19" s="19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2" customHeight="1">
      <c r="A20" s="20" t="inlineStr">
        <is>
          <t>공  사  내  용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30" customHeight="1">
      <c r="A21" s="20" t="inlineStr">
        <is>
          <t>공  종</t>
        </is>
      </c>
      <c r="B21" s="7" t="n"/>
      <c r="C21" s="20" t="inlineStr">
        <is>
          <t>품  명</t>
        </is>
      </c>
      <c r="D21" s="7" t="n"/>
      <c r="E21" s="20" t="inlineStr">
        <is>
          <t>규  격</t>
        </is>
      </c>
      <c r="F21" s="7" t="n"/>
      <c r="G21" s="21" t="inlineStr">
        <is>
          <t>수량(공)
· 면적</t>
        </is>
      </c>
      <c r="H21" s="7" t="n"/>
      <c r="I21" s="21" t="inlineStr">
        <is>
          <t>주입길이
(m / 공)</t>
        </is>
      </c>
      <c r="J21" s="7" t="n"/>
      <c r="K21" s="20" t="inlineStr">
        <is>
          <t>비  고</t>
        </is>
      </c>
      <c r="L21" s="7" t="n"/>
    </row>
    <row r="22" ht="24" customHeight="1">
      <c r="A22" s="22" t="n"/>
      <c r="B22" s="7" t="n"/>
      <c r="C22" s="23" t="n"/>
      <c r="D22" s="7" t="n"/>
      <c r="E22" s="8" t="n"/>
      <c r="F22" s="7" t="n"/>
      <c r="G22" s="24" t="n"/>
      <c r="H22" s="7" t="n"/>
      <c r="I22" s="25" t="n"/>
      <c r="J22" s="7" t="n"/>
      <c r="K22" s="26" t="n"/>
      <c r="L22" s="7" t="n"/>
    </row>
    <row r="23" ht="24" customHeight="1">
      <c r="A23" s="22" t="n"/>
      <c r="B23" s="7" t="n"/>
      <c r="C23" s="23" t="n"/>
      <c r="D23" s="7" t="n"/>
      <c r="E23" s="8" t="n"/>
      <c r="F23" s="7" t="n"/>
      <c r="G23" s="24" t="n"/>
      <c r="H23" s="7" t="n"/>
      <c r="I23" s="25" t="n"/>
      <c r="J23" s="7" t="n"/>
      <c r="K23" s="26" t="n"/>
      <c r="L23" s="7" t="n"/>
    </row>
    <row r="24" ht="24" customHeight="1">
      <c r="A24" s="22" t="n"/>
      <c r="B24" s="7" t="n"/>
      <c r="C24" s="23" t="n"/>
      <c r="D24" s="7" t="n"/>
      <c r="E24" s="8" t="n"/>
      <c r="F24" s="7" t="n"/>
      <c r="G24" s="24" t="n"/>
      <c r="H24" s="7" t="n"/>
      <c r="I24" s="25" t="n"/>
      <c r="J24" s="7" t="n"/>
      <c r="K24" s="26" t="n"/>
      <c r="L24" s="7" t="n"/>
    </row>
    <row r="25" ht="24" customHeight="1">
      <c r="A25" s="22" t="n"/>
      <c r="B25" s="7" t="n"/>
      <c r="C25" s="23" t="n"/>
      <c r="D25" s="7" t="n"/>
      <c r="E25" s="8" t="n"/>
      <c r="F25" s="7" t="n"/>
      <c r="G25" s="24" t="n"/>
      <c r="H25" s="7" t="n"/>
      <c r="I25" s="25" t="n"/>
      <c r="J25" s="7" t="n"/>
      <c r="K25" s="26" t="n"/>
      <c r="L25" s="7" t="n"/>
    </row>
    <row r="26" ht="24" customHeight="1">
      <c r="A26" s="22" t="n"/>
      <c r="B26" s="7" t="n"/>
      <c r="C26" s="23" t="n"/>
      <c r="D26" s="7" t="n"/>
      <c r="E26" s="8" t="n"/>
      <c r="F26" s="7" t="n"/>
      <c r="G26" s="24" t="n"/>
      <c r="H26" s="7" t="n"/>
      <c r="I26" s="25" t="n"/>
      <c r="J26" s="7" t="n"/>
      <c r="K26" s="26" t="n"/>
      <c r="L26" s="7" t="n"/>
    </row>
    <row r="27" ht="24" customHeight="1">
      <c r="A27" s="27" t="inlineStr">
        <is>
          <t>총 주입길이 (Σ 수량 × 주입길이)</t>
        </is>
      </c>
      <c r="B27" s="7" t="n"/>
      <c r="C27" s="7" t="n"/>
      <c r="D27" s="7" t="n"/>
      <c r="E27" s="7" t="n"/>
      <c r="F27" s="7" t="n"/>
      <c r="G27" s="28">
        <f>IF((IF(AND(ISNUMBER(G22),ISNUMBER(I22)),G22*I22,0)+IF(AND(ISNUMBER(G23),ISNUMBER(I23)),G23*I23,0)+IF(AND(ISNUMBER(G24),ISNUMBER(I24)),G24*I24,0)+IF(AND(ISNUMBER(G25),ISNUMBER(I25)),G25*I25,0)+IF(AND(ISNUMBER(G26),ISNUMBER(I26)),G26*I26,0))=0,"",ROUND(IF(AND(ISNUMBER(G22),ISNUMBER(I22)),G22*I22,0)+IF(AND(ISNUMBER(G23),ISNUMBER(I23)),G23*I23,0)+IF(AND(ISNUMBER(G24),ISNUMBER(I24)),G24*I24,0)+IF(AND(ISNUMBER(G25),ISNUMBER(I25)),G25*I25,0)+IF(AND(ISNUMBER(G26),ISNUMBER(I26)),G26*I26,0),1))</f>
        <v/>
      </c>
      <c r="H27" s="7" t="n"/>
      <c r="I27" s="7" t="n"/>
      <c r="J27" s="7" t="n"/>
      <c r="K27" s="27" t="inlineStr"/>
      <c r="L27" s="7" t="n"/>
    </row>
    <row r="28" ht="4" customHeight="1"/>
    <row r="29" ht="30" customHeight="1">
      <c r="A29" s="14" t="inlineStr">
        <is>
          <t>2.  공 법 개 요</t>
        </is>
      </c>
    </row>
    <row r="30" ht="4" customHeight="1"/>
    <row r="31" ht="68" customHeight="1">
      <c r="A31" s="29" t="inlineStr">
        <is>
          <t>절삭암 회전관입 주입교반 공법은 토출구가 달린 스크류형 절삭암으로 단단한 토사층을 회전하며 절삭하는 동시에 경화재를 주입 · 교반하여, 흙 입자와 경화재가 긴밀하게 섞인 고결체를 만들어 연약지반을 개량하는 주입공법이다. 확대 대상 지반의 분담비율에 따라 바깥쪽 토출면적을 크게 구성한 토출구로 단단한 토사층에 정확한 규격의 선단 확대부를 만든다.</t>
        </is>
      </c>
    </row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18" customHeight="1">
      <c r="A49" s="30" t="inlineStr">
        <is>
          <t>[ 시공 순서도 — 1단계 관입 · 주입 → 2단계 보강체 형성 시작 → 3단계 회전 상승 · 형성 → 4단계 형성 완료 ]</t>
        </is>
      </c>
    </row>
    <row r="50" ht="18" customHeight="1">
      <c r="A50" s="31" t="inlineStr">
        <is>
          <t>(보강체 시공 사진을 붙이는 곳)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18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18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18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18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18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1" customHeight="1">
      <c r="A56" s="32" t="inlineStr">
        <is>
          <t>1) 배합비 (1㎥ 당)</t>
        </is>
      </c>
    </row>
    <row r="57" ht="24" customHeight="1">
      <c r="A57" s="20" t="inlineStr">
        <is>
          <t>구    분</t>
        </is>
      </c>
      <c r="B57" s="7" t="n"/>
      <c r="C57" s="7" t="n"/>
      <c r="D57" s="7" t="n"/>
      <c r="E57" s="20" t="inlineStr">
        <is>
          <t>사  용  량 (kg)</t>
        </is>
      </c>
      <c r="F57" s="7" t="n"/>
      <c r="G57" s="7" t="n"/>
      <c r="H57" s="7" t="n"/>
      <c r="I57" s="20" t="inlineStr">
        <is>
          <t>비    고</t>
        </is>
      </c>
      <c r="J57" s="7" t="n"/>
      <c r="K57" s="7" t="n"/>
      <c r="L57" s="7" t="n"/>
    </row>
    <row r="58" ht="24" customHeight="1">
      <c r="A58" s="17" t="inlineStr">
        <is>
          <t>고 화 재</t>
        </is>
      </c>
      <c r="B58" s="7" t="n"/>
      <c r="C58" s="7" t="n"/>
      <c r="D58" s="7" t="n"/>
      <c r="E58" s="33" t="n">
        <v>760</v>
      </c>
      <c r="F58" s="7" t="n"/>
      <c r="G58" s="7" t="n"/>
      <c r="H58" s="7" t="n"/>
      <c r="I58" s="34" t="inlineStr"/>
      <c r="J58" s="7" t="n"/>
      <c r="K58" s="7" t="n"/>
      <c r="L58" s="7" t="n"/>
    </row>
    <row r="59" ht="24" customHeight="1">
      <c r="A59" s="17" t="inlineStr">
        <is>
          <t>물</t>
        </is>
      </c>
      <c r="B59" s="7" t="n"/>
      <c r="C59" s="7" t="n"/>
      <c r="D59" s="7" t="n"/>
      <c r="E59" s="33" t="n">
        <v>760</v>
      </c>
      <c r="F59" s="7" t="n"/>
      <c r="G59" s="7" t="n"/>
      <c r="H59" s="7" t="n"/>
      <c r="I59" s="35">
        <f>IF(N(E58)=0,"","물 / 고화재 = "&amp;ROUND(E59/E58*100,1)&amp;"%")</f>
        <v/>
      </c>
      <c r="J59" s="7" t="n"/>
      <c r="K59" s="7" t="n"/>
      <c r="L59" s="7" t="n"/>
    </row>
    <row r="60" ht="24" customHeight="1">
      <c r="A60" s="27" t="inlineStr">
        <is>
          <t>합    계</t>
        </is>
      </c>
      <c r="B60" s="7" t="n"/>
      <c r="C60" s="7" t="n"/>
      <c r="D60" s="7" t="n"/>
      <c r="E60" s="36">
        <f>IF(N(E58)+N(E59)=0,"",E58+E59)</f>
        <v/>
      </c>
      <c r="F60" s="7" t="n"/>
      <c r="G60" s="7" t="n"/>
      <c r="H60" s="7" t="n"/>
      <c r="I60" s="37" t="n">
        <v>1000</v>
      </c>
      <c r="J60" s="7" t="n"/>
      <c r="K60" s="7" t="n"/>
      <c r="L60" s="7" t="n"/>
    </row>
    <row r="61" ht="24" customHeight="1">
      <c r="A61" s="6" t="inlineStr">
        <is>
          <t>주입재 비중</t>
        </is>
      </c>
      <c r="B61" s="7" t="n"/>
      <c r="C61" s="7" t="n"/>
      <c r="D61" s="7" t="n"/>
      <c r="E61" s="38">
        <f>IF(OR(E60="",N(I60)=0),"",ROUND(E60/I60,2))</f>
        <v/>
      </c>
      <c r="F61" s="7" t="n"/>
      <c r="G61" s="7" t="n"/>
      <c r="H61" s="7" t="n"/>
      <c r="I61" s="39">
        <f>IF(E61="","",IF(E61&gt;=1.4,"✓ 1.40 이상","⚠ 1.40 미만 — 배합 확인"))</f>
        <v/>
      </c>
      <c r="J61" s="7" t="n"/>
      <c r="K61" s="7" t="n"/>
      <c r="L61" s="7" t="n"/>
    </row>
    <row r="62" ht="21" customHeight="1">
      <c r="A62" s="32" t="inlineStr">
        <is>
          <t>2) 그라우트 토출압력 및 토출량</t>
        </is>
      </c>
    </row>
    <row r="63" ht="24" customHeight="1">
      <c r="A63" s="20" t="inlineStr">
        <is>
          <t>구   분</t>
        </is>
      </c>
      <c r="B63" s="7" t="n"/>
      <c r="C63" s="7" t="n"/>
      <c r="D63" s="20" t="inlineStr">
        <is>
          <t>항  목</t>
        </is>
      </c>
      <c r="E63" s="7" t="n"/>
      <c r="F63" s="20" t="inlineStr">
        <is>
          <t>단  위</t>
        </is>
      </c>
      <c r="G63" s="7" t="n"/>
      <c r="H63" s="20" t="inlineStr">
        <is>
          <t>토 출 량</t>
        </is>
      </c>
      <c r="I63" s="7" t="n"/>
      <c r="J63" s="20" t="inlineStr">
        <is>
          <t>비   고</t>
        </is>
      </c>
      <c r="K63" s="7" t="n"/>
      <c r="L63" s="7" t="n"/>
    </row>
    <row r="64" ht="34.5" customHeight="1">
      <c r="A64" s="40" t="inlineStr">
        <is>
          <t>고화재
그라우팅</t>
        </is>
      </c>
      <c r="B64" s="7" t="n"/>
      <c r="C64" s="7" t="n"/>
      <c r="D64" s="40" t="inlineStr">
        <is>
          <t>압  력</t>
        </is>
      </c>
      <c r="E64" s="7" t="n"/>
      <c r="F64" s="40" t="inlineStr">
        <is>
          <t>kgf / ㎠</t>
        </is>
      </c>
      <c r="G64" s="7" t="n"/>
      <c r="H64" s="40" t="inlineStr">
        <is>
          <t>20 ~ 40</t>
        </is>
      </c>
      <c r="I64" s="7" t="n"/>
      <c r="J64" s="41" t="inlineStr">
        <is>
          <t>고화재 설계량 :</t>
        </is>
      </c>
      <c r="K64" s="7" t="n"/>
      <c r="L64" s="7" t="n"/>
    </row>
    <row r="65" ht="26" customHeight="1">
      <c r="A65" s="41" t="inlineStr"/>
      <c r="B65" s="7" t="n"/>
      <c r="C65" s="7" t="n"/>
      <c r="D65" s="40" t="inlineStr">
        <is>
          <t>토출량</t>
        </is>
      </c>
      <c r="E65" s="7" t="n"/>
      <c r="F65" s="40" t="inlineStr">
        <is>
          <t>ℓ / 분</t>
        </is>
      </c>
      <c r="G65" s="7" t="n"/>
      <c r="H65" s="40" t="inlineStr">
        <is>
          <t>80 ~ 120</t>
        </is>
      </c>
      <c r="I65" s="7" t="n"/>
      <c r="J65" s="41" t="inlineStr"/>
      <c r="K65" s="7" t="n"/>
      <c r="L65" s="7" t="n"/>
    </row>
    <row r="66" ht="24" customHeight="1">
      <c r="A66" s="42" t="inlineStr">
        <is>
          <t>고화재 설계량 (kg / m, Φ800 기준) — 자재 소요량 계산에 씀</t>
        </is>
      </c>
      <c r="J66" s="43" t="n">
        <v>105</v>
      </c>
      <c r="K66" s="7" t="n"/>
      <c r="L66" s="7" t="n"/>
    </row>
    <row r="68" ht="34" customHeight="1">
      <c r="A68" s="11" t="inlineStr">
        <is>
          <t>노란 칸 = 기준값(원본 계획서 값 · 현장에 맞게 고쳐 씀). 하늘색 칸 = 자동(공사명 · 공사기간 일수 · 총 주입길이 · 배합 합계 · 비중).</t>
        </is>
      </c>
    </row>
  </sheetData>
  <mergeCells count="117">
    <mergeCell ref="G21:H21"/>
    <mergeCell ref="E61:H61"/>
    <mergeCell ref="K24:L24"/>
    <mergeCell ref="E23:F23"/>
    <mergeCell ref="G23:H23"/>
    <mergeCell ref="I26:J26"/>
    <mergeCell ref="K26:L26"/>
    <mergeCell ref="A7:B7"/>
    <mergeCell ref="A58:D58"/>
    <mergeCell ref="I25:J25"/>
    <mergeCell ref="J66:L66"/>
    <mergeCell ref="G18:H18"/>
    <mergeCell ref="A60:D60"/>
    <mergeCell ref="A63:C63"/>
    <mergeCell ref="C11:J11"/>
    <mergeCell ref="A22:B22"/>
    <mergeCell ref="H65:I65"/>
    <mergeCell ref="D19:L19"/>
    <mergeCell ref="I18:L18"/>
    <mergeCell ref="I58:L58"/>
    <mergeCell ref="D64:E64"/>
    <mergeCell ref="A49:L49"/>
    <mergeCell ref="E22:F22"/>
    <mergeCell ref="G22:H22"/>
    <mergeCell ref="A9:B9"/>
    <mergeCell ref="A11:B11"/>
    <mergeCell ref="F63:G63"/>
    <mergeCell ref="J65:L65"/>
    <mergeCell ref="A27:F27"/>
    <mergeCell ref="H63:I63"/>
    <mergeCell ref="A3:L3"/>
    <mergeCell ref="K21:L21"/>
    <mergeCell ref="J63:L63"/>
    <mergeCell ref="C10:J10"/>
    <mergeCell ref="A14:L14"/>
    <mergeCell ref="A59:D59"/>
    <mergeCell ref="C9:J9"/>
    <mergeCell ref="A26:B26"/>
    <mergeCell ref="I61:L61"/>
    <mergeCell ref="A61:D61"/>
    <mergeCell ref="G24:H24"/>
    <mergeCell ref="I24:J24"/>
    <mergeCell ref="I57:L57"/>
    <mergeCell ref="K27:L27"/>
    <mergeCell ref="A31:L31"/>
    <mergeCell ref="E26:F26"/>
    <mergeCell ref="A8:B8"/>
    <mergeCell ref="G26:H26"/>
    <mergeCell ref="A50:L55"/>
    <mergeCell ref="E25:F25"/>
    <mergeCell ref="G25:H25"/>
    <mergeCell ref="A10:B10"/>
    <mergeCell ref="K10:L10"/>
    <mergeCell ref="K6:L6"/>
    <mergeCell ref="A16:C16"/>
    <mergeCell ref="F64:G64"/>
    <mergeCell ref="K25:L25"/>
    <mergeCell ref="D63:E63"/>
    <mergeCell ref="C6:J6"/>
    <mergeCell ref="K9:L9"/>
    <mergeCell ref="A18:C18"/>
    <mergeCell ref="K5:L5"/>
    <mergeCell ref="D17:L17"/>
    <mergeCell ref="D65:E65"/>
    <mergeCell ref="I59:L59"/>
    <mergeCell ref="K11:L11"/>
    <mergeCell ref="I60:L60"/>
    <mergeCell ref="C22:D22"/>
    <mergeCell ref="A12:B12"/>
    <mergeCell ref="A20:L20"/>
    <mergeCell ref="I21:J21"/>
    <mergeCell ref="A21:B21"/>
    <mergeCell ref="A29:L29"/>
    <mergeCell ref="C21:D21"/>
    <mergeCell ref="K8:L8"/>
    <mergeCell ref="A5:B5"/>
    <mergeCell ref="I23:J23"/>
    <mergeCell ref="A23:B23"/>
    <mergeCell ref="K23:L23"/>
    <mergeCell ref="C23:D23"/>
    <mergeCell ref="C8:J8"/>
    <mergeCell ref="A64:C64"/>
    <mergeCell ref="K7:L7"/>
    <mergeCell ref="A1:F1"/>
    <mergeCell ref="A57:D57"/>
    <mergeCell ref="A24:B24"/>
    <mergeCell ref="C24:D24"/>
    <mergeCell ref="E24:F24"/>
    <mergeCell ref="E57:H57"/>
    <mergeCell ref="F65:G65"/>
    <mergeCell ref="A66:I66"/>
    <mergeCell ref="C5:J5"/>
    <mergeCell ref="A56:L56"/>
    <mergeCell ref="C26:D26"/>
    <mergeCell ref="A6:B6"/>
    <mergeCell ref="D16:L16"/>
    <mergeCell ref="A25:B25"/>
    <mergeCell ref="H64:I64"/>
    <mergeCell ref="C25:D25"/>
    <mergeCell ref="E58:H58"/>
    <mergeCell ref="A17:C17"/>
    <mergeCell ref="I22:J22"/>
    <mergeCell ref="K22:L22"/>
    <mergeCell ref="G27:J27"/>
    <mergeCell ref="A62:L62"/>
    <mergeCell ref="G1:L1"/>
    <mergeCell ref="C12:J12"/>
    <mergeCell ref="A19:C19"/>
    <mergeCell ref="K12:L12"/>
    <mergeCell ref="A68:L68"/>
    <mergeCell ref="D18:E18"/>
    <mergeCell ref="J64:L64"/>
    <mergeCell ref="E60:H60"/>
    <mergeCell ref="C7:J7"/>
    <mergeCell ref="E59:H59"/>
    <mergeCell ref="A65:C65"/>
    <mergeCell ref="E21:F21"/>
  </mergeCells>
  <conditionalFormatting sqref="G22:G26">
    <cfRule type="expression" priority="1" dxfId="0">
      <formula>AND(ISNUMBER(G22),MOD(G22,1)=0)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12" min="0" max="16383" man="1"/>
    <brk id="27" min="0" max="16383" man="1"/>
    <brk id="6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3.  시 공 계 획</t>
        </is>
      </c>
    </row>
    <row r="4" ht="4" customHeight="1"/>
    <row r="5" ht="37" customHeight="1">
      <c r="A5" s="29" t="inlineStr">
        <is>
          <t>설계도서를 숙지하고 공사 현장 여건 등을 감안하여 안전성 · 경제성 · 시공성을 고려한 절삭암 회전관입 주입교반 공법(기초지반 보강공) 시공계획을 세운다.</t>
        </is>
      </c>
    </row>
    <row r="6" ht="51.5" customHeight="1">
      <c r="A6" s="32" t="inlineStr">
        <is>
          <t>1) 예정공정표 — «공정표» 시트(일 단위) · 현장 시공준비 : 플랜트 설치 · 자재 반입 · 오거/절삭암 체결, 표층보강 : 보강공 완료 뒤 표층고화 · 진동다짐, 평판재하시험 : 표층고화 전 또는 후</t>
        </is>
      </c>
    </row>
    <row r="7" ht="21" customHeight="1">
      <c r="A7" s="32" t="inlineStr">
        <is>
          <t>2) 준비작업</t>
        </is>
      </c>
    </row>
    <row r="8" ht="24" customHeight="1">
      <c r="A8" s="20" t="inlineStr">
        <is>
          <t>구  분</t>
        </is>
      </c>
      <c r="B8" s="7" t="n"/>
      <c r="C8" s="20" t="inlineStr">
        <is>
          <t>준  비  작  업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48.75" customHeight="1">
      <c r="A9" s="40" t="inlineStr">
        <is>
          <t>설계 검토</t>
        </is>
      </c>
      <c r="B9" s="7" t="n"/>
      <c r="C9" s="41" t="inlineStr">
        <is>
          <t>◦ 기초지반 보강공 시공과 관련된 설계도서를 충분히 검토한다.
◦ 현장 상황 및 현장 조건을 확인하고 이를 통해 시공계획을 세운다.
◦ 일반적인 시공계획의 기준에 준하는 사항을 검토한다.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63" customHeight="1">
      <c r="A10" s="40" t="inlineStr">
        <is>
          <t>현장 검토</t>
        </is>
      </c>
      <c r="B10" s="7" t="n"/>
      <c r="C10" s="41" t="inlineStr">
        <is>
          <t>◦ 현장 안 보행자의 안전과 통제가 가능하도록 관리한다.
◦ 시공 때 필요한 작업공간을 확보하도록 계획한다.
◦ 설계서와 시공 현장의 LEVEL 및 경계를 확인한다.
◦ 장비 반입계획 및 자재 반입계획을 확인한다.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1" customHeight="1">
      <c r="A11" s="32" t="inlineStr">
        <is>
          <t>3) 시공</t>
        </is>
      </c>
    </row>
    <row r="12" ht="24" customHeight="1">
      <c r="A12" s="20" t="inlineStr">
        <is>
          <t>단  계</t>
        </is>
      </c>
      <c r="B12" s="7" t="n"/>
      <c r="C12" s="7" t="n"/>
      <c r="D12" s="20" t="inlineStr">
        <is>
          <t>시   공   계   획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120" customHeight="1">
      <c r="A13" s="40" t="inlineStr">
        <is>
          <t>시공 준비</t>
        </is>
      </c>
      <c r="B13" s="7" t="n"/>
      <c r="C13" s="7" t="n"/>
      <c r="D13" s="41" t="inlineStr">
        <is>
          <t>◦ 착수 전 설계도상 시공 현장의 LEVEL 및 경계를 확인하고, 설계도에 따라 터파기를 한 뒤 주입공 시공 위치를 표시한다.
◦ 플랜트(사일로 또는 스크류 컨베이어 · 그라우트 믹서펌프 · 발전기 · 수조)를 설치한다.
◦ 시공 일정에 맞추어 고화재를 차례로 반입한다.
◦ 굴삭기에 오거로드와 토출 절삭암을 단다.
◦ 설치를 마친 플랜트(그라우트 믹서)에 고화재와 물을 넣고 교반한다(주입재 비중 1.40 이상 확인).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77.25" customHeight="1">
      <c r="A14" s="40" t="inlineStr">
        <is>
          <t>회전관입 및
그라우트 주입</t>
        </is>
      </c>
      <c r="B14" s="7" t="n"/>
      <c r="C14" s="7" t="n"/>
      <c r="D14" s="41" t="inlineStr">
        <is>
          <t>◦ 주입공 위치에서 설계도의 주입길이를 참고하여 계획 심도까지 회전관입하며, 준비된 그라우트를 동시에 주입하여 원지반 흙과 혼합 · 교반한다(절삭암 선단이 단단한 지층에 닿거나 선단 지반이 너무 연약하면 시공 심도를 조절할 수 있다).
◦ 주입 중 수직도를 확인하며 실시간으로 조정한다.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34.5" customHeight="1">
      <c r="A15" s="40" t="inlineStr">
        <is>
          <t>상부 표층보강</t>
        </is>
      </c>
      <c r="B15" s="7" t="n"/>
      <c r="C15" s="7" t="n"/>
      <c r="D15" s="41" t="inlineStr">
        <is>
          <t>◦ 주입 중 지상으로 올라온 원지반 혼합 그라우트는 보강체 상부 표층 보강재로 쓸 수 있으며, 상부를 표층고화한 뒤 진동롤러로 다져 표층보강을 마친다.</t>
        </is>
      </c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63" customHeight="1">
      <c r="A16" s="40" t="inlineStr">
        <is>
          <t>평판재하시험</t>
        </is>
      </c>
      <c r="B16" s="7" t="n"/>
      <c r="C16" s="7" t="n"/>
      <c r="D16" s="41" t="inlineStr">
        <is>
          <t>◦ 지지력 확인을 위해 평판재하시험을 하여 설계지지력 이상이 확보됨을 확인한다.
◦ 평판재하시험이 곤란하면 그라우트 믹서 안의 시료나 시공된 주입공에서 시료를 채취하여 일축압축강도 시험으로 품질을 확인한다.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18" customHeight="1">
      <c r="A17" s="31" t="inlineStr">
        <is>
          <t>(단계별 시공 사진을 붙이는 곳 — 시공 준비 · 회전관입 · 표층보강 · 평판재하시험)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18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18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18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1" customHeight="1">
      <c r="A25" s="32" t="inlineStr">
        <is>
          <t>4) 작업공정</t>
        </is>
      </c>
    </row>
    <row r="26" ht="30" customHeight="1">
      <c r="A26" s="5" t="inlineStr"/>
      <c r="D26" s="44" t="inlineStr">
        <is>
          <t>준비 — 작업장 정지 및 측량 확인</t>
        </is>
      </c>
      <c r="E26" s="7" t="n"/>
      <c r="F26" s="7" t="n"/>
      <c r="G26" s="7" t="n"/>
      <c r="H26" s="7" t="n"/>
      <c r="I26" s="7" t="n"/>
      <c r="J26" s="45" t="inlineStr"/>
    </row>
    <row r="27" ht="12" customHeight="1">
      <c r="A27" s="46" t="inlineStr">
        <is>
          <t>▼</t>
        </is>
      </c>
    </row>
    <row r="28" ht="30" customHeight="1">
      <c r="A28" s="5" t="inlineStr"/>
      <c r="D28" s="44" t="inlineStr">
        <is>
          <t>운반(자재 및 장비)</t>
        </is>
      </c>
      <c r="E28" s="7" t="n"/>
      <c r="F28" s="7" t="n"/>
      <c r="G28" s="7" t="n"/>
      <c r="H28" s="7" t="n"/>
      <c r="I28" s="7" t="n"/>
      <c r="J28" s="45" t="inlineStr"/>
    </row>
    <row r="29" ht="12" customHeight="1">
      <c r="A29" s="46" t="inlineStr">
        <is>
          <t>▼</t>
        </is>
      </c>
    </row>
    <row r="30" ht="30" customHeight="1">
      <c r="A30" s="5" t="inlineStr"/>
      <c r="D30" s="44" t="inlineStr">
        <is>
          <t>플랜트 조립 · 설치</t>
        </is>
      </c>
      <c r="E30" s="7" t="n"/>
      <c r="F30" s="7" t="n"/>
      <c r="G30" s="7" t="n"/>
      <c r="H30" s="7" t="n"/>
      <c r="I30" s="7" t="n"/>
      <c r="J30" s="45" t="inlineStr">
        <is>
          <t xml:space="preserve">  ◀ 재료 공급(고화재 · 용수)</t>
        </is>
      </c>
    </row>
    <row r="31" ht="12" customHeight="1">
      <c r="A31" s="46" t="inlineStr">
        <is>
          <t>▼</t>
        </is>
      </c>
    </row>
    <row r="32" ht="30" customHeight="1">
      <c r="A32" s="5" t="inlineStr"/>
      <c r="D32" s="44" t="inlineStr">
        <is>
          <t>장비 세팅 · 주입공 위치 확인</t>
        </is>
      </c>
      <c r="E32" s="7" t="n"/>
      <c r="F32" s="7" t="n"/>
      <c r="G32" s="7" t="n"/>
      <c r="H32" s="7" t="n"/>
      <c r="I32" s="7" t="n"/>
      <c r="J32" s="45" t="inlineStr">
        <is>
          <t xml:space="preserve">  ◀ 반복 작업 : 플랜트 이동</t>
        </is>
      </c>
    </row>
    <row r="33" ht="12" customHeight="1">
      <c r="A33" s="46" t="inlineStr">
        <is>
          <t>▼</t>
        </is>
      </c>
    </row>
    <row r="34" ht="30" customHeight="1">
      <c r="A34" s="5" t="inlineStr"/>
      <c r="D34" s="44" t="inlineStr">
        <is>
          <t>하향 회전관입 중 그라우트 주입교반</t>
        </is>
      </c>
      <c r="E34" s="7" t="n"/>
      <c r="F34" s="7" t="n"/>
      <c r="G34" s="7" t="n"/>
      <c r="H34" s="7" t="n"/>
      <c r="I34" s="7" t="n"/>
      <c r="J34" s="45" t="inlineStr">
        <is>
          <t xml:space="preserve">  ◀ 주입 심도 확인</t>
        </is>
      </c>
    </row>
    <row r="35" ht="12" customHeight="1">
      <c r="A35" s="46" t="inlineStr">
        <is>
          <t>▼</t>
        </is>
      </c>
    </row>
    <row r="36" ht="30" customHeight="1">
      <c r="A36" s="5" t="inlineStr"/>
      <c r="D36" s="44" t="inlineStr">
        <is>
          <t>상향 회전인발 중 그라우트 주입교반</t>
        </is>
      </c>
      <c r="E36" s="7" t="n"/>
      <c r="F36" s="7" t="n"/>
      <c r="G36" s="7" t="n"/>
      <c r="H36" s="7" t="n"/>
      <c r="I36" s="7" t="n"/>
      <c r="J36" s="45" t="inlineStr"/>
    </row>
    <row r="37" ht="12" customHeight="1">
      <c r="A37" s="46" t="inlineStr">
        <is>
          <t>▼</t>
        </is>
      </c>
    </row>
    <row r="38" ht="30" customHeight="1">
      <c r="A38" s="5" t="inlineStr"/>
      <c r="D38" s="44" t="inlineStr">
        <is>
          <t>보강체 형성 → 기구 세척</t>
        </is>
      </c>
      <c r="E38" s="7" t="n"/>
      <c r="F38" s="7" t="n"/>
      <c r="G38" s="7" t="n"/>
      <c r="H38" s="7" t="n"/>
      <c r="I38" s="7" t="n"/>
      <c r="J38" s="45" t="inlineStr"/>
    </row>
    <row r="39" ht="12" customHeight="1">
      <c r="A39" s="46" t="inlineStr">
        <is>
          <t>▼</t>
        </is>
      </c>
    </row>
    <row r="40" ht="30" customHeight="1">
      <c r="A40" s="5" t="inlineStr"/>
      <c r="D40" s="44" t="inlineStr">
        <is>
          <t>플랜트 해체 · 철거</t>
        </is>
      </c>
      <c r="E40" s="7" t="n"/>
      <c r="F40" s="7" t="n"/>
      <c r="G40" s="7" t="n"/>
      <c r="H40" s="7" t="n"/>
      <c r="I40" s="7" t="n"/>
      <c r="J40" s="45" t="inlineStr"/>
    </row>
    <row r="41" ht="12" customHeight="1">
      <c r="A41" s="46" t="inlineStr">
        <is>
          <t>▼</t>
        </is>
      </c>
    </row>
    <row r="42" ht="30" customHeight="1">
      <c r="A42" s="5" t="inlineStr"/>
      <c r="D42" s="44" t="inlineStr">
        <is>
          <t>표층보강(잡석 다짐 · 표층고화)</t>
        </is>
      </c>
      <c r="E42" s="7" t="n"/>
      <c r="F42" s="7" t="n"/>
      <c r="G42" s="7" t="n"/>
      <c r="H42" s="7" t="n"/>
      <c r="I42" s="7" t="n"/>
      <c r="J42" s="45" t="inlineStr"/>
    </row>
    <row r="43" ht="12" customHeight="1">
      <c r="A43" s="46" t="inlineStr">
        <is>
          <t>▼</t>
        </is>
      </c>
    </row>
    <row r="44" ht="30" customHeight="1">
      <c r="A44" s="5" t="inlineStr"/>
      <c r="D44" s="44" t="inlineStr">
        <is>
          <t>시공 완료</t>
        </is>
      </c>
      <c r="E44" s="7" t="n"/>
      <c r="F44" s="7" t="n"/>
      <c r="G44" s="7" t="n"/>
      <c r="H44" s="7" t="n"/>
      <c r="I44" s="7" t="n"/>
      <c r="J44" s="45" t="inlineStr"/>
    </row>
  </sheetData>
  <mergeCells count="64">
    <mergeCell ref="A7:L7"/>
    <mergeCell ref="D13:L13"/>
    <mergeCell ref="A25:L25"/>
    <mergeCell ref="J40:L40"/>
    <mergeCell ref="C8:L8"/>
    <mergeCell ref="D32:I32"/>
    <mergeCell ref="J36:L36"/>
    <mergeCell ref="A41:L41"/>
    <mergeCell ref="A37:L37"/>
    <mergeCell ref="J26:L26"/>
    <mergeCell ref="A12:C12"/>
    <mergeCell ref="A3:L3"/>
    <mergeCell ref="A17:L24"/>
    <mergeCell ref="A26:C26"/>
    <mergeCell ref="A27:L27"/>
    <mergeCell ref="D16:L16"/>
    <mergeCell ref="A42:C42"/>
    <mergeCell ref="J32:L32"/>
    <mergeCell ref="D28:I28"/>
    <mergeCell ref="A33:L33"/>
    <mergeCell ref="A32:C32"/>
    <mergeCell ref="A14:C14"/>
    <mergeCell ref="A5:L5"/>
    <mergeCell ref="D12:L12"/>
    <mergeCell ref="D30:I30"/>
    <mergeCell ref="A35:L35"/>
    <mergeCell ref="A38:C38"/>
    <mergeCell ref="G1:L1"/>
    <mergeCell ref="A28:C28"/>
    <mergeCell ref="D15:L15"/>
    <mergeCell ref="A13:C13"/>
    <mergeCell ref="A29:L29"/>
    <mergeCell ref="D38:I38"/>
    <mergeCell ref="D42:I42"/>
    <mergeCell ref="J42:L42"/>
    <mergeCell ref="A43:L43"/>
    <mergeCell ref="A44:C44"/>
    <mergeCell ref="D14:L14"/>
    <mergeCell ref="A40:C40"/>
    <mergeCell ref="A31:L31"/>
    <mergeCell ref="A30:C30"/>
    <mergeCell ref="D26:I26"/>
    <mergeCell ref="A15:C15"/>
    <mergeCell ref="C10:L10"/>
    <mergeCell ref="A8:B8"/>
    <mergeCell ref="A34:C34"/>
    <mergeCell ref="A39:L39"/>
    <mergeCell ref="D44:I44"/>
    <mergeCell ref="J44:L44"/>
    <mergeCell ref="D34:I34"/>
    <mergeCell ref="J38:L38"/>
    <mergeCell ref="A36:C36"/>
    <mergeCell ref="J28:L28"/>
    <mergeCell ref="C9:L9"/>
    <mergeCell ref="A11:L11"/>
    <mergeCell ref="A1:F1"/>
    <mergeCell ref="D40:I40"/>
    <mergeCell ref="A10:B10"/>
    <mergeCell ref="A6:L6"/>
    <mergeCell ref="D36:I36"/>
    <mergeCell ref="J34:L34"/>
    <mergeCell ref="A9:B9"/>
    <mergeCell ref="J30:L30"/>
    <mergeCell ref="A16:C1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16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16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5" customWidth="1" min="2" max="2"/>
    <col width="5" customWidth="1" min="3" max="3"/>
    <col width="5" customWidth="1" min="4" max="4"/>
    <col width="11" customWidth="1" min="5" max="5"/>
    <col width="2.15" customWidth="1" min="6" max="6"/>
    <col width="2.15" customWidth="1" min="7" max="7"/>
    <col width="2.15" customWidth="1" min="8" max="8"/>
    <col width="2.15" customWidth="1" min="9" max="9"/>
    <col width="2.15" customWidth="1" min="10" max="10"/>
    <col width="2.15" customWidth="1" min="11" max="11"/>
    <col width="2.15" customWidth="1" min="12" max="12"/>
    <col width="2.15" customWidth="1" min="13" max="13"/>
    <col width="2.15" customWidth="1" min="14" max="14"/>
    <col width="2.15" customWidth="1" min="15" max="15"/>
    <col width="2.15" customWidth="1" min="16" max="16"/>
    <col width="2.15" customWidth="1" min="17" max="17"/>
    <col width="2.15" customWidth="1" min="18" max="18"/>
    <col width="2.15" customWidth="1" min="19" max="19"/>
    <col width="2.15" customWidth="1" min="20" max="20"/>
    <col width="2.15" customWidth="1" min="21" max="21"/>
    <col width="2.15" customWidth="1" min="22" max="22"/>
    <col width="2.15" customWidth="1" min="23" max="23"/>
    <col width="2.15" customWidth="1" min="24" max="24"/>
    <col width="2.15" customWidth="1" min="25" max="25"/>
    <col width="7" customWidth="1" min="26" max="26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34" customHeight="1">
      <c r="A2" s="47" t="inlineStr">
        <is>
          <t>3-1)   예 정 공 정 표 (일 단위 · 1차 / 2차 시공)</t>
        </is>
      </c>
    </row>
    <row r="3" ht="22" customHeight="1">
      <c r="A3" s="6" t="inlineStr">
        <is>
          <t>착 수 일</t>
        </is>
      </c>
      <c r="B3" s="16" t="n"/>
      <c r="C3" s="7" t="n"/>
      <c r="D3" s="11" t="inlineStr">
        <is>
          <t>※ 착수일과 공정마다 시작 일차 · 작업 일수를 적으면 끝나는 날과 일 단위 막대가 그려집니다.</t>
        </is>
      </c>
    </row>
    <row r="4" ht="18" customHeight="1">
      <c r="A4" s="20" t="inlineStr">
        <is>
          <t>공    정</t>
        </is>
      </c>
      <c r="B4" s="48" t="inlineStr">
        <is>
          <t>시작
일차</t>
        </is>
      </c>
      <c r="C4" s="48" t="inlineStr">
        <is>
          <t>일수</t>
        </is>
      </c>
      <c r="D4" s="48" t="inlineStr">
        <is>
          <t>종료
일차</t>
        </is>
      </c>
      <c r="E4" s="21" t="inlineStr">
        <is>
          <t>기    간</t>
        </is>
      </c>
      <c r="F4" s="49" t="n">
        <v>1</v>
      </c>
      <c r="G4" s="49" t="n">
        <v>2</v>
      </c>
      <c r="H4" s="49" t="n">
        <v>3</v>
      </c>
      <c r="I4" s="49" t="n">
        <v>4</v>
      </c>
      <c r="J4" s="49" t="n">
        <v>5</v>
      </c>
      <c r="K4" s="49" t="n">
        <v>6</v>
      </c>
      <c r="L4" s="49" t="n">
        <v>7</v>
      </c>
      <c r="M4" s="49" t="n">
        <v>8</v>
      </c>
      <c r="N4" s="49" t="n">
        <v>9</v>
      </c>
      <c r="O4" s="49" t="n">
        <v>10</v>
      </c>
      <c r="P4" s="49" t="n">
        <v>11</v>
      </c>
      <c r="Q4" s="49" t="n">
        <v>12</v>
      </c>
      <c r="R4" s="49" t="n">
        <v>13</v>
      </c>
      <c r="S4" s="49" t="n">
        <v>14</v>
      </c>
      <c r="T4" s="49" t="n">
        <v>15</v>
      </c>
      <c r="U4" s="49" t="n">
        <v>16</v>
      </c>
      <c r="V4" s="49" t="n">
        <v>17</v>
      </c>
      <c r="W4" s="49" t="n">
        <v>18</v>
      </c>
      <c r="X4" s="49" t="n">
        <v>19</v>
      </c>
      <c r="Y4" s="49" t="n">
        <v>20</v>
      </c>
      <c r="Z4" s="20" t="inlineStr">
        <is>
          <t>비 고</t>
        </is>
      </c>
    </row>
    <row r="5" ht="14" customHeight="1">
      <c r="A5" s="7" t="n"/>
      <c r="B5" s="7" t="n"/>
      <c r="C5" s="7" t="n"/>
      <c r="D5" s="7" t="n"/>
      <c r="E5" s="7" t="n"/>
      <c r="F5" s="50">
        <f>IF(N(B3)=0,"",B3+0)</f>
        <v/>
      </c>
      <c r="G5" s="50">
        <f>IF(N(B3)=0,"",B3+1)</f>
        <v/>
      </c>
      <c r="H5" s="50">
        <f>IF(N(B3)=0,"",B3+2)</f>
        <v/>
      </c>
      <c r="I5" s="50">
        <f>IF(N(B3)=0,"",B3+3)</f>
        <v/>
      </c>
      <c r="J5" s="50">
        <f>IF(N(B3)=0,"",B3+4)</f>
        <v/>
      </c>
      <c r="K5" s="50">
        <f>IF(N(B3)=0,"",B3+5)</f>
        <v/>
      </c>
      <c r="L5" s="50">
        <f>IF(N(B3)=0,"",B3+6)</f>
        <v/>
      </c>
      <c r="M5" s="50">
        <f>IF(N(B3)=0,"",B3+7)</f>
        <v/>
      </c>
      <c r="N5" s="50">
        <f>IF(N(B3)=0,"",B3+8)</f>
        <v/>
      </c>
      <c r="O5" s="50">
        <f>IF(N(B3)=0,"",B3+9)</f>
        <v/>
      </c>
      <c r="P5" s="50">
        <f>IF(N(B3)=0,"",B3+10)</f>
        <v/>
      </c>
      <c r="Q5" s="50">
        <f>IF(N(B3)=0,"",B3+11)</f>
        <v/>
      </c>
      <c r="R5" s="50">
        <f>IF(N(B3)=0,"",B3+12)</f>
        <v/>
      </c>
      <c r="S5" s="50">
        <f>IF(N(B3)=0,"",B3+13)</f>
        <v/>
      </c>
      <c r="T5" s="50">
        <f>IF(N(B3)=0,"",B3+14)</f>
        <v/>
      </c>
      <c r="U5" s="50">
        <f>IF(N(B3)=0,"",B3+15)</f>
        <v/>
      </c>
      <c r="V5" s="50">
        <f>IF(N(B3)=0,"",B3+16)</f>
        <v/>
      </c>
      <c r="W5" s="50">
        <f>IF(N(B3)=0,"",B3+17)</f>
        <v/>
      </c>
      <c r="X5" s="50">
        <f>IF(N(B3)=0,"",B3+18)</f>
        <v/>
      </c>
      <c r="Y5" s="50">
        <f>IF(N(B3)=0,"",B3+19)</f>
        <v/>
      </c>
      <c r="Z5" s="7" t="n"/>
    </row>
    <row r="6" ht="24" customHeight="1">
      <c r="A6" s="26" t="inlineStr">
        <is>
          <t>현장 시공준비(1차)</t>
        </is>
      </c>
      <c r="B6" s="51" t="n"/>
      <c r="C6" s="51" t="n"/>
      <c r="D6" s="52">
        <f>IF(OR(N(B6)=0,N(C6)=0),"",B6+C6-1)</f>
        <v/>
      </c>
      <c r="E6" s="53">
        <f>IF(OR(D6="",N(B3)=0),"",MONTH(B3+B6-1)&amp;"/"&amp;DAY(B3+B6-1)&amp;" ~ "&amp;MONTH(B3+D6-1)&amp;"/"&amp;DAY(B3+D6-1))</f>
        <v/>
      </c>
      <c r="F6" s="34" t="inlineStr"/>
      <c r="G6" s="34" t="inlineStr"/>
      <c r="H6" s="34" t="inlineStr"/>
      <c r="I6" s="34" t="inlineStr"/>
      <c r="J6" s="34" t="inlineStr"/>
      <c r="K6" s="34" t="inlineStr"/>
      <c r="L6" s="34" t="inlineStr"/>
      <c r="M6" s="34" t="inlineStr"/>
      <c r="N6" s="34" t="inlineStr"/>
      <c r="O6" s="34" t="inlineStr"/>
      <c r="P6" s="34" t="inlineStr"/>
      <c r="Q6" s="34" t="inlineStr"/>
      <c r="R6" s="34" t="inlineStr"/>
      <c r="S6" s="34" t="inlineStr"/>
      <c r="T6" s="34" t="inlineStr"/>
      <c r="U6" s="34" t="inlineStr"/>
      <c r="V6" s="34" t="inlineStr"/>
      <c r="W6" s="34" t="inlineStr"/>
      <c r="X6" s="34" t="inlineStr"/>
      <c r="Y6" s="34" t="inlineStr"/>
      <c r="Z6" s="54" t="n"/>
    </row>
    <row r="7" ht="24" customHeight="1">
      <c r="A7" s="26" t="inlineStr">
        <is>
          <t>회전관입 · 그라우트 주입(1차)</t>
        </is>
      </c>
      <c r="B7" s="51" t="n"/>
      <c r="C7" s="51" t="n"/>
      <c r="D7" s="52">
        <f>IF(OR(N(B7)=0,N(C7)=0),"",B7+C7-1)</f>
        <v/>
      </c>
      <c r="E7" s="53">
        <f>IF(OR(D7="",N(B3)=0),"",MONTH(B3+B7-1)&amp;"/"&amp;DAY(B3+B7-1)&amp;" ~ "&amp;MONTH(B3+D7-1)&amp;"/"&amp;DAY(B3+D7-1))</f>
        <v/>
      </c>
      <c r="F7" s="34" t="inlineStr"/>
      <c r="G7" s="34" t="inlineStr"/>
      <c r="H7" s="34" t="inlineStr"/>
      <c r="I7" s="34" t="inlineStr"/>
      <c r="J7" s="34" t="inlineStr"/>
      <c r="K7" s="34" t="inlineStr"/>
      <c r="L7" s="34" t="inlineStr"/>
      <c r="M7" s="34" t="inlineStr"/>
      <c r="N7" s="34" t="inlineStr"/>
      <c r="O7" s="34" t="inlineStr"/>
      <c r="P7" s="34" t="inlineStr"/>
      <c r="Q7" s="34" t="inlineStr"/>
      <c r="R7" s="34" t="inlineStr"/>
      <c r="S7" s="34" t="inlineStr"/>
      <c r="T7" s="34" t="inlineStr"/>
      <c r="U7" s="34" t="inlineStr"/>
      <c r="V7" s="34" t="inlineStr"/>
      <c r="W7" s="34" t="inlineStr"/>
      <c r="X7" s="34" t="inlineStr"/>
      <c r="Y7" s="34" t="inlineStr"/>
      <c r="Z7" s="54" t="n"/>
    </row>
    <row r="8" ht="24" customHeight="1">
      <c r="A8" s="26" t="inlineStr">
        <is>
          <t>현장 시공준비(2차)</t>
        </is>
      </c>
      <c r="B8" s="51" t="n"/>
      <c r="C8" s="51" t="n"/>
      <c r="D8" s="52">
        <f>IF(OR(N(B8)=0,N(C8)=0),"",B8+C8-1)</f>
        <v/>
      </c>
      <c r="E8" s="53">
        <f>IF(OR(D8="",N(B3)=0),"",MONTH(B3+B8-1)&amp;"/"&amp;DAY(B3+B8-1)&amp;" ~ "&amp;MONTH(B3+D8-1)&amp;"/"&amp;DAY(B3+D8-1))</f>
        <v/>
      </c>
      <c r="F8" s="34" t="inlineStr"/>
      <c r="G8" s="34" t="inlineStr"/>
      <c r="H8" s="34" t="inlineStr"/>
      <c r="I8" s="34" t="inlineStr"/>
      <c r="J8" s="34" t="inlineStr"/>
      <c r="K8" s="34" t="inlineStr"/>
      <c r="L8" s="34" t="inlineStr"/>
      <c r="M8" s="34" t="inlineStr"/>
      <c r="N8" s="34" t="inlineStr"/>
      <c r="O8" s="34" t="inlineStr"/>
      <c r="P8" s="34" t="inlineStr"/>
      <c r="Q8" s="34" t="inlineStr"/>
      <c r="R8" s="34" t="inlineStr"/>
      <c r="S8" s="34" t="inlineStr"/>
      <c r="T8" s="34" t="inlineStr"/>
      <c r="U8" s="34" t="inlineStr"/>
      <c r="V8" s="34" t="inlineStr"/>
      <c r="W8" s="34" t="inlineStr"/>
      <c r="X8" s="34" t="inlineStr"/>
      <c r="Y8" s="34" t="inlineStr"/>
      <c r="Z8" s="54" t="n"/>
    </row>
    <row r="9" ht="24" customHeight="1">
      <c r="A9" s="26" t="inlineStr">
        <is>
          <t>회전관입 · 그라우트 주입(2차)</t>
        </is>
      </c>
      <c r="B9" s="51" t="n"/>
      <c r="C9" s="51" t="n"/>
      <c r="D9" s="52">
        <f>IF(OR(N(B9)=0,N(C9)=0),"",B9+C9-1)</f>
        <v/>
      </c>
      <c r="E9" s="53">
        <f>IF(OR(D9="",N(B3)=0),"",MONTH(B3+B9-1)&amp;"/"&amp;DAY(B3+B9-1)&amp;" ~ "&amp;MONTH(B3+D9-1)&amp;"/"&amp;DAY(B3+D9-1))</f>
        <v/>
      </c>
      <c r="F9" s="34" t="inlineStr"/>
      <c r="G9" s="34" t="inlineStr"/>
      <c r="H9" s="34" t="inlineStr"/>
      <c r="I9" s="34" t="inlineStr"/>
      <c r="J9" s="34" t="inlineStr"/>
      <c r="K9" s="34" t="inlineStr"/>
      <c r="L9" s="34" t="inlineStr"/>
      <c r="M9" s="34" t="inlineStr"/>
      <c r="N9" s="34" t="inlineStr"/>
      <c r="O9" s="34" t="inlineStr"/>
      <c r="P9" s="34" t="inlineStr"/>
      <c r="Q9" s="34" t="inlineStr"/>
      <c r="R9" s="34" t="inlineStr"/>
      <c r="S9" s="34" t="inlineStr"/>
      <c r="T9" s="34" t="inlineStr"/>
      <c r="U9" s="34" t="inlineStr"/>
      <c r="V9" s="34" t="inlineStr"/>
      <c r="W9" s="34" t="inlineStr"/>
      <c r="X9" s="34" t="inlineStr"/>
      <c r="Y9" s="34" t="inlineStr"/>
      <c r="Z9" s="54" t="n"/>
    </row>
    <row r="10" ht="24" customHeight="1">
      <c r="A10" s="26" t="inlineStr">
        <is>
          <t>주입공 상부 표층보강</t>
        </is>
      </c>
      <c r="B10" s="51" t="n"/>
      <c r="C10" s="51" t="n"/>
      <c r="D10" s="52">
        <f>IF(OR(N(B10)=0,N(C10)=0),"",B10+C10-1)</f>
        <v/>
      </c>
      <c r="E10" s="53">
        <f>IF(OR(D10="",N(B3)=0),"",MONTH(B3+B10-1)&amp;"/"&amp;DAY(B3+B10-1)&amp;" ~ "&amp;MONTH(B3+D10-1)&amp;"/"&amp;DAY(B3+D10-1))</f>
        <v/>
      </c>
      <c r="F10" s="34" t="inlineStr"/>
      <c r="G10" s="34" t="inlineStr"/>
      <c r="H10" s="34" t="inlineStr"/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34" t="inlineStr"/>
      <c r="Q10" s="34" t="inlineStr"/>
      <c r="R10" s="34" t="inlineStr"/>
      <c r="S10" s="34" t="inlineStr"/>
      <c r="T10" s="34" t="inlineStr"/>
      <c r="U10" s="34" t="inlineStr"/>
      <c r="V10" s="34" t="inlineStr"/>
      <c r="W10" s="34" t="inlineStr"/>
      <c r="X10" s="34" t="inlineStr"/>
      <c r="Y10" s="34" t="inlineStr"/>
      <c r="Z10" s="54" t="n"/>
    </row>
    <row r="11" ht="24" customHeight="1">
      <c r="A11" s="26" t="inlineStr">
        <is>
          <t>평판재하시험</t>
        </is>
      </c>
      <c r="B11" s="51" t="n"/>
      <c r="C11" s="51" t="n"/>
      <c r="D11" s="52">
        <f>IF(OR(N(B11)=0,N(C11)=0),"",B11+C11-1)</f>
        <v/>
      </c>
      <c r="E11" s="53">
        <f>IF(OR(D11="",N(B3)=0),"",MONTH(B3+B11-1)&amp;"/"&amp;DAY(B3+B11-1)&amp;" ~ "&amp;MONTH(B3+D11-1)&amp;"/"&amp;DAY(B3+D11-1))</f>
        <v/>
      </c>
      <c r="F11" s="34" t="inlineStr"/>
      <c r="G11" s="34" t="inlineStr"/>
      <c r="H11" s="34" t="inlineStr"/>
      <c r="I11" s="34" t="inlineStr"/>
      <c r="J11" s="34" t="inlineStr"/>
      <c r="K11" s="34" t="inlineStr"/>
      <c r="L11" s="34" t="inlineStr"/>
      <c r="M11" s="34" t="inlineStr"/>
      <c r="N11" s="34" t="inlineStr"/>
      <c r="O11" s="34" t="inlineStr"/>
      <c r="P11" s="34" t="inlineStr"/>
      <c r="Q11" s="34" t="inlineStr"/>
      <c r="R11" s="34" t="inlineStr"/>
      <c r="S11" s="34" t="inlineStr"/>
      <c r="T11" s="34" t="inlineStr"/>
      <c r="U11" s="34" t="inlineStr"/>
      <c r="V11" s="34" t="inlineStr"/>
      <c r="W11" s="34" t="inlineStr"/>
      <c r="X11" s="34" t="inlineStr"/>
      <c r="Y11" s="34" t="inlineStr"/>
      <c r="Z11" s="54" t="n"/>
    </row>
    <row r="12" ht="24" customHeight="1">
      <c r="A12" s="26" t="n"/>
      <c r="B12" s="51" t="n"/>
      <c r="C12" s="51" t="n"/>
      <c r="D12" s="52">
        <f>IF(OR(N(B12)=0,N(C12)=0),"",B12+C12-1)</f>
        <v/>
      </c>
      <c r="E12" s="53">
        <f>IF(OR(D12="",N(B3)=0),"",MONTH(B3+B12-1)&amp;"/"&amp;DAY(B3+B12-1)&amp;" ~ "&amp;MONTH(B3+D12-1)&amp;"/"&amp;DAY(B3+D12-1))</f>
        <v/>
      </c>
      <c r="F12" s="34" t="inlineStr"/>
      <c r="G12" s="34" t="inlineStr"/>
      <c r="H12" s="34" t="inlineStr"/>
      <c r="I12" s="34" t="inlineStr"/>
      <c r="J12" s="34" t="inlineStr"/>
      <c r="K12" s="34" t="inlineStr"/>
      <c r="L12" s="34" t="inlineStr"/>
      <c r="M12" s="34" t="inlineStr"/>
      <c r="N12" s="34" t="inlineStr"/>
      <c r="O12" s="34" t="inlineStr"/>
      <c r="P12" s="34" t="inlineStr"/>
      <c r="Q12" s="34" t="inlineStr"/>
      <c r="R12" s="34" t="inlineStr"/>
      <c r="S12" s="34" t="inlineStr"/>
      <c r="T12" s="34" t="inlineStr"/>
      <c r="U12" s="34" t="inlineStr"/>
      <c r="V12" s="34" t="inlineStr"/>
      <c r="W12" s="34" t="inlineStr"/>
      <c r="X12" s="34" t="inlineStr"/>
      <c r="Y12" s="34" t="inlineStr"/>
      <c r="Z12" s="54" t="n"/>
    </row>
    <row r="13" ht="24" customHeight="1">
      <c r="A13" s="26" t="n"/>
      <c r="B13" s="51" t="n"/>
      <c r="C13" s="51" t="n"/>
      <c r="D13" s="52">
        <f>IF(OR(N(B13)=0,N(C13)=0),"",B13+C13-1)</f>
        <v/>
      </c>
      <c r="E13" s="53">
        <f>IF(OR(D13="",N(B3)=0),"",MONTH(B3+B13-1)&amp;"/"&amp;DAY(B3+B13-1)&amp;" ~ "&amp;MONTH(B3+D13-1)&amp;"/"&amp;DAY(B3+D13-1))</f>
        <v/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34" t="inlineStr"/>
      <c r="Q13" s="34" t="inlineStr"/>
      <c r="R13" s="34" t="inlineStr"/>
      <c r="S13" s="34" t="inlineStr"/>
      <c r="T13" s="34" t="inlineStr"/>
      <c r="U13" s="34" t="inlineStr"/>
      <c r="V13" s="34" t="inlineStr"/>
      <c r="W13" s="34" t="inlineStr"/>
      <c r="X13" s="34" t="inlineStr"/>
      <c r="Y13" s="34" t="inlineStr"/>
      <c r="Z13" s="54" t="n"/>
    </row>
    <row r="14" ht="22" customHeight="1">
      <c r="A14" s="27" t="inlineStr">
        <is>
          <t>총 작업 일수</t>
        </is>
      </c>
      <c r="B14" s="7" t="n"/>
      <c r="C14" s="7" t="n"/>
      <c r="D14" s="7" t="n"/>
      <c r="E14" s="55">
        <f>IF(COUNT(D6:D13)=0,"",MAX(D6:D13))</f>
        <v/>
      </c>
      <c r="F14" s="56">
        <f>IF(OR(E14="",N(B3)=0),"",B3+E14-1)</f>
        <v/>
      </c>
      <c r="Z14" s="5" t="inlineStr"/>
    </row>
    <row r="16" ht="34" customHeight="1">
      <c r="A16" s="11" t="inlineStr">
        <is>
          <t>하늘색 칸 = 자동(종료 일차 · 기간 · 날짜 · 총 작업 일수). 공정 이름은 원본 차례를 미리 넣어 두었습니다.</t>
        </is>
      </c>
    </row>
  </sheetData>
  <mergeCells count="14">
    <mergeCell ref="B4:B5"/>
    <mergeCell ref="D3:Z3"/>
    <mergeCell ref="C4:C5"/>
    <mergeCell ref="B3:C3"/>
    <mergeCell ref="A4:A5"/>
    <mergeCell ref="A1:F1"/>
    <mergeCell ref="D4:D5"/>
    <mergeCell ref="E4:E5"/>
    <mergeCell ref="Z4:Z5"/>
    <mergeCell ref="G1:Z1"/>
    <mergeCell ref="A2:Z2"/>
    <mergeCell ref="A16:Z16"/>
    <mergeCell ref="A14:D14"/>
    <mergeCell ref="F14:Y14"/>
  </mergeCells>
  <conditionalFormatting sqref="F6:Y13">
    <cfRule type="expression" priority="1" dxfId="1">
      <formula>AND(N($B6)&gt;0,N($D6)&gt;=N($B6),F$4&gt;=$B6,F$4&lt;=$D6)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4.  장비 및 장치 투입계획</t>
        </is>
      </c>
    </row>
    <row r="4" ht="4" customHeight="1"/>
    <row r="5" ht="24" customHeight="1">
      <c r="A5" s="20" t="inlineStr">
        <is>
          <t>장 비 명</t>
        </is>
      </c>
      <c r="B5" s="7" t="n"/>
      <c r="C5" s="20" t="inlineStr">
        <is>
          <t>규    격</t>
        </is>
      </c>
      <c r="D5" s="7" t="n"/>
      <c r="E5" s="7" t="n"/>
      <c r="F5" s="20" t="inlineStr">
        <is>
          <t>단위</t>
        </is>
      </c>
      <c r="G5" s="20" t="inlineStr">
        <is>
          <t>수량</t>
        </is>
      </c>
      <c r="H5" s="20" t="inlineStr">
        <is>
          <t>용    도</t>
        </is>
      </c>
      <c r="I5" s="7" t="n"/>
      <c r="J5" s="7" t="n"/>
      <c r="K5" s="7" t="n"/>
      <c r="L5" s="7" t="n"/>
    </row>
    <row r="6" ht="30" customHeight="1">
      <c r="A6" s="8" t="inlineStr">
        <is>
          <t>굴삭기</t>
        </is>
      </c>
      <c r="B6" s="7" t="n"/>
      <c r="C6" s="23" t="inlineStr">
        <is>
          <t>08 타이어 또는 10 궤도</t>
        </is>
      </c>
      <c r="D6" s="7" t="n"/>
      <c r="E6" s="7" t="n"/>
      <c r="F6" s="8" t="inlineStr">
        <is>
          <t>대</t>
        </is>
      </c>
      <c r="G6" s="57" t="n">
        <v>1</v>
      </c>
      <c r="H6" s="58" t="inlineStr">
        <is>
          <t>스위벨 부착 오거를 달아 오거로드 선단의 토출 절삭암을 회전관입</t>
        </is>
      </c>
      <c r="I6" s="7" t="n"/>
      <c r="J6" s="7" t="n"/>
      <c r="K6" s="7" t="n"/>
      <c r="L6" s="7" t="n"/>
    </row>
    <row r="7" ht="30" customHeight="1">
      <c r="A7" s="8" t="inlineStr">
        <is>
          <t>오거로드</t>
        </is>
      </c>
      <c r="B7" s="7" t="n"/>
      <c r="C7" s="23" t="n"/>
      <c r="D7" s="7" t="n"/>
      <c r="E7" s="7" t="n"/>
      <c r="F7" s="8" t="inlineStr">
        <is>
          <t>대</t>
        </is>
      </c>
      <c r="G7" s="57" t="n">
        <v>1</v>
      </c>
      <c r="H7" s="58" t="n"/>
      <c r="I7" s="7" t="n"/>
      <c r="J7" s="7" t="n"/>
      <c r="K7" s="7" t="n"/>
      <c r="L7" s="7" t="n"/>
    </row>
    <row r="8" ht="30" customHeight="1">
      <c r="A8" s="8" t="inlineStr">
        <is>
          <t>플랜트</t>
        </is>
      </c>
      <c r="B8" s="7" t="n"/>
      <c r="C8" s="23" t="inlineStr">
        <is>
          <t>사일로 · 믹서펌프</t>
        </is>
      </c>
      <c r="D8" s="7" t="n"/>
      <c r="E8" s="7" t="n"/>
      <c r="F8" s="8" t="inlineStr">
        <is>
          <t>대</t>
        </is>
      </c>
      <c r="G8" s="57" t="n">
        <v>1</v>
      </c>
      <c r="H8" s="58" t="inlineStr">
        <is>
          <t>고화재 그라우트 교반 및 이송</t>
        </is>
      </c>
      <c r="I8" s="7" t="n"/>
      <c r="J8" s="7" t="n"/>
      <c r="K8" s="7" t="n"/>
      <c r="L8" s="7" t="n"/>
    </row>
    <row r="9" ht="30" customHeight="1">
      <c r="A9" s="8" t="inlineStr">
        <is>
          <t>물차</t>
        </is>
      </c>
      <c r="B9" s="7" t="n"/>
      <c r="C9" s="23" t="n"/>
      <c r="D9" s="7" t="n"/>
      <c r="E9" s="7" t="n"/>
      <c r="F9" s="8" t="inlineStr">
        <is>
          <t>대</t>
        </is>
      </c>
      <c r="G9" s="57" t="n">
        <v>1</v>
      </c>
      <c r="H9" s="58" t="n"/>
      <c r="I9" s="7" t="n"/>
      <c r="J9" s="7" t="n"/>
      <c r="K9" s="7" t="n"/>
      <c r="L9" s="7" t="n"/>
    </row>
    <row r="10" ht="30" customHeight="1">
      <c r="A10" s="8" t="inlineStr">
        <is>
          <t>수조</t>
        </is>
      </c>
      <c r="B10" s="7" t="n"/>
      <c r="C10" s="23" t="n"/>
      <c r="D10" s="7" t="n"/>
      <c r="E10" s="7" t="n"/>
      <c r="F10" s="8" t="inlineStr">
        <is>
          <t>대</t>
        </is>
      </c>
      <c r="G10" s="57" t="n">
        <v>1</v>
      </c>
      <c r="H10" s="58" t="n"/>
      <c r="I10" s="7" t="n"/>
      <c r="J10" s="7" t="n"/>
      <c r="K10" s="7" t="n"/>
      <c r="L10" s="7" t="n"/>
    </row>
    <row r="11" ht="30" customHeight="1">
      <c r="A11" s="8" t="inlineStr">
        <is>
          <t>발전기</t>
        </is>
      </c>
      <c r="B11" s="7" t="n"/>
      <c r="C11" s="23" t="inlineStr">
        <is>
          <t>75kW 또는 100kW</t>
        </is>
      </c>
      <c r="D11" s="7" t="n"/>
      <c r="E11" s="7" t="n"/>
      <c r="F11" s="8" t="inlineStr">
        <is>
          <t>대</t>
        </is>
      </c>
      <c r="G11" s="57" t="n">
        <v>1</v>
      </c>
      <c r="H11" s="58" t="inlineStr">
        <is>
          <t>플랜트 가동</t>
        </is>
      </c>
      <c r="I11" s="7" t="n"/>
      <c r="J11" s="7" t="n"/>
      <c r="K11" s="7" t="n"/>
      <c r="L11" s="7" t="n"/>
    </row>
    <row r="12" ht="30" customHeight="1">
      <c r="A12" s="8" t="inlineStr">
        <is>
          <t>동력분무기</t>
        </is>
      </c>
      <c r="B12" s="7" t="n"/>
      <c r="C12" s="23" t="inlineStr">
        <is>
          <t>6.0마력</t>
        </is>
      </c>
      <c r="D12" s="7" t="n"/>
      <c r="E12" s="7" t="n"/>
      <c r="F12" s="8" t="inlineStr">
        <is>
          <t>대</t>
        </is>
      </c>
      <c r="G12" s="57" t="n">
        <v>2</v>
      </c>
      <c r="H12" s="58" t="inlineStr">
        <is>
          <t>표층고화 작업 때 분진 방지</t>
        </is>
      </c>
      <c r="I12" s="7" t="n"/>
      <c r="J12" s="7" t="n"/>
      <c r="K12" s="7" t="n"/>
      <c r="L12" s="7" t="n"/>
    </row>
    <row r="13" ht="30" customHeight="1">
      <c r="A13" s="8" t="inlineStr">
        <is>
          <t>진동롤러</t>
        </is>
      </c>
      <c r="B13" s="7" t="n"/>
      <c r="C13" s="23" t="n"/>
      <c r="D13" s="7" t="n"/>
      <c r="E13" s="7" t="n"/>
      <c r="F13" s="8" t="inlineStr">
        <is>
          <t>대</t>
        </is>
      </c>
      <c r="G13" s="57" t="n">
        <v>1</v>
      </c>
      <c r="H13" s="58" t="inlineStr">
        <is>
          <t>표층보강 때 진동다짐</t>
        </is>
      </c>
      <c r="I13" s="7" t="n"/>
      <c r="J13" s="7" t="n"/>
      <c r="K13" s="7" t="n"/>
      <c r="L13" s="7" t="n"/>
    </row>
    <row r="14" ht="30" customHeight="1">
      <c r="A14" s="8" t="n"/>
      <c r="B14" s="7" t="n"/>
      <c r="C14" s="23" t="n"/>
      <c r="D14" s="7" t="n"/>
      <c r="E14" s="7" t="n"/>
      <c r="F14" s="8" t="n"/>
      <c r="G14" s="57" t="n"/>
      <c r="H14" s="58" t="n"/>
      <c r="I14" s="7" t="n"/>
      <c r="J14" s="7" t="n"/>
      <c r="K14" s="7" t="n"/>
      <c r="L14" s="7" t="n"/>
    </row>
    <row r="15" ht="30" customHeight="1">
      <c r="A15" s="8" t="n"/>
      <c r="B15" s="7" t="n"/>
      <c r="C15" s="23" t="n"/>
      <c r="D15" s="7" t="n"/>
      <c r="E15" s="7" t="n"/>
      <c r="F15" s="8" t="n"/>
      <c r="G15" s="57" t="n"/>
      <c r="H15" s="58" t="n"/>
      <c r="I15" s="7" t="n"/>
      <c r="J15" s="7" t="n"/>
      <c r="K15" s="7" t="n"/>
      <c r="L15" s="7" t="n"/>
    </row>
    <row r="16" ht="4" customHeight="1"/>
    <row r="17" ht="30" customHeight="1">
      <c r="A17" s="14" t="inlineStr">
        <is>
          <t>5.  인부 투입계획</t>
        </is>
      </c>
    </row>
    <row r="18" ht="4" customHeight="1"/>
    <row r="19" ht="24" customHeight="1">
      <c r="A19" s="20" t="inlineStr">
        <is>
          <t>직    종</t>
        </is>
      </c>
      <c r="B19" s="7" t="n"/>
      <c r="C19" s="7" t="n"/>
      <c r="D19" s="20" t="inlineStr">
        <is>
          <t>단위</t>
        </is>
      </c>
      <c r="E19" s="20" t="inlineStr">
        <is>
          <t>인 원 수</t>
        </is>
      </c>
      <c r="F19" s="7" t="n"/>
      <c r="G19" s="20" t="inlineStr">
        <is>
          <t>용    도</t>
        </is>
      </c>
      <c r="H19" s="7" t="n"/>
      <c r="I19" s="7" t="n"/>
      <c r="J19" s="7" t="n"/>
      <c r="K19" s="7" t="n"/>
      <c r="L19" s="7" t="n"/>
    </row>
    <row r="20" ht="24" customHeight="1">
      <c r="A20" s="8" t="inlineStr">
        <is>
          <t>작업반장</t>
        </is>
      </c>
      <c r="B20" s="7" t="n"/>
      <c r="C20" s="7" t="n"/>
      <c r="D20" s="17" t="inlineStr">
        <is>
          <t>명</t>
        </is>
      </c>
      <c r="E20" s="57" t="n">
        <v>1</v>
      </c>
      <c r="F20" s="7" t="n"/>
      <c r="G20" s="26" t="inlineStr">
        <is>
          <t>주입교반 및 표층고화 시공 관리</t>
        </is>
      </c>
      <c r="H20" s="7" t="n"/>
      <c r="I20" s="7" t="n"/>
      <c r="J20" s="7" t="n"/>
      <c r="K20" s="7" t="n"/>
      <c r="L20" s="7" t="n"/>
    </row>
    <row r="21" ht="24" customHeight="1">
      <c r="A21" s="8" t="inlineStr">
        <is>
          <t>특수인부</t>
        </is>
      </c>
      <c r="B21" s="7" t="n"/>
      <c r="C21" s="7" t="n"/>
      <c r="D21" s="17" t="inlineStr">
        <is>
          <t>명</t>
        </is>
      </c>
      <c r="E21" s="57" t="n">
        <v>1</v>
      </c>
      <c r="F21" s="7" t="n"/>
      <c r="G21" s="26" t="inlineStr">
        <is>
          <t>플랜트 운용 · 수직도 및 위치 확인</t>
        </is>
      </c>
      <c r="H21" s="7" t="n"/>
      <c r="I21" s="7" t="n"/>
      <c r="J21" s="7" t="n"/>
      <c r="K21" s="7" t="n"/>
      <c r="L21" s="7" t="n"/>
    </row>
    <row r="22" ht="24" customHeight="1">
      <c r="A22" s="8" t="inlineStr">
        <is>
          <t>보통인부</t>
        </is>
      </c>
      <c r="B22" s="7" t="n"/>
      <c r="C22" s="7" t="n"/>
      <c r="D22" s="17" t="inlineStr">
        <is>
          <t>명</t>
        </is>
      </c>
      <c r="E22" s="57" t="n">
        <v>2</v>
      </c>
      <c r="F22" s="7" t="n"/>
      <c r="G22" s="26" t="inlineStr">
        <is>
          <t>호스 이동 · 작업 보조</t>
        </is>
      </c>
      <c r="H22" s="7" t="n"/>
      <c r="I22" s="7" t="n"/>
      <c r="J22" s="7" t="n"/>
      <c r="K22" s="7" t="n"/>
      <c r="L22" s="7" t="n"/>
    </row>
    <row r="23" ht="24" customHeight="1">
      <c r="A23" s="8" t="n"/>
      <c r="B23" s="7" t="n"/>
      <c r="C23" s="7" t="n"/>
      <c r="D23" s="17" t="inlineStr">
        <is>
          <t>명</t>
        </is>
      </c>
      <c r="E23" s="57" t="n"/>
      <c r="F23" s="7" t="n"/>
      <c r="G23" s="26" t="n"/>
      <c r="H23" s="7" t="n"/>
      <c r="I23" s="7" t="n"/>
      <c r="J23" s="7" t="n"/>
      <c r="K23" s="7" t="n"/>
      <c r="L23" s="7" t="n"/>
    </row>
    <row r="24" ht="24" customHeight="1">
      <c r="A24" s="8" t="n"/>
      <c r="B24" s="7" t="n"/>
      <c r="C24" s="7" t="n"/>
      <c r="D24" s="17" t="inlineStr">
        <is>
          <t>명</t>
        </is>
      </c>
      <c r="E24" s="57" t="n"/>
      <c r="F24" s="7" t="n"/>
      <c r="G24" s="26" t="n"/>
      <c r="H24" s="7" t="n"/>
      <c r="I24" s="7" t="n"/>
      <c r="J24" s="7" t="n"/>
      <c r="K24" s="7" t="n"/>
      <c r="L24" s="7" t="n"/>
    </row>
    <row r="25" ht="24" customHeight="1">
      <c r="A25" s="27" t="inlineStr">
        <is>
          <t>계</t>
        </is>
      </c>
      <c r="B25" s="7" t="n"/>
      <c r="C25" s="7" t="n"/>
      <c r="D25" s="27" t="inlineStr">
        <is>
          <t>명</t>
        </is>
      </c>
      <c r="E25" s="59">
        <f>IF(SUM(E20:E24)=0,"",SUM(E20:E24))</f>
        <v/>
      </c>
      <c r="F25" s="7" t="n"/>
      <c r="G25" s="27" t="inlineStr"/>
      <c r="H25" s="7" t="n"/>
      <c r="I25" s="7" t="n"/>
      <c r="J25" s="7" t="n"/>
      <c r="K25" s="7" t="n"/>
      <c r="L25" s="7" t="n"/>
    </row>
    <row r="26" ht="26" customHeight="1">
      <c r="A26" s="6" t="inlineStr">
        <is>
          <t>1일 예상 작업량 (주입길이)</t>
        </is>
      </c>
      <c r="B26" s="7" t="n"/>
      <c r="C26" s="7" t="n"/>
      <c r="D26" s="7" t="n"/>
      <c r="E26" s="60" t="n">
        <v>250</v>
      </c>
      <c r="F26" s="7" t="n"/>
      <c r="G26" s="61">
        <f>IF(OR(N('개요'!G27)=0,N(E26)=0),"","총 주입길이 "&amp;'개요'!G27&amp;" m ÷ "&amp;E26&amp;" m = 주입 약 "&amp;ROUNDUP('개요'!G27/E26,0)&amp;"일")</f>
        <v/>
      </c>
      <c r="H26" s="7" t="n"/>
      <c r="I26" s="7" t="n"/>
      <c r="J26" s="7" t="n"/>
      <c r="K26" s="7" t="n"/>
      <c r="L26" s="7" t="n"/>
    </row>
    <row r="27" ht="4" customHeight="1"/>
    <row r="28" ht="30" customHeight="1">
      <c r="A28" s="14" t="inlineStr">
        <is>
          <t>6.  자재 투입계획</t>
        </is>
      </c>
    </row>
    <row r="29" ht="4" customHeight="1"/>
    <row r="30" ht="24" customHeight="1">
      <c r="A30" s="20" t="inlineStr">
        <is>
          <t>자    재</t>
        </is>
      </c>
      <c r="B30" s="7" t="n"/>
      <c r="C30" s="7" t="n"/>
      <c r="D30" s="20" t="inlineStr">
        <is>
          <t>규    격</t>
        </is>
      </c>
      <c r="E30" s="7" t="n"/>
      <c r="F30" s="20" t="inlineStr">
        <is>
          <t>수    량</t>
        </is>
      </c>
      <c r="G30" s="7" t="n"/>
      <c r="H30" s="20" t="inlineStr">
        <is>
          <t>단위</t>
        </is>
      </c>
      <c r="I30" s="20" t="inlineStr">
        <is>
          <t>비    고</t>
        </is>
      </c>
      <c r="J30" s="7" t="n"/>
      <c r="K30" s="7" t="n"/>
      <c r="L30" s="7" t="n"/>
    </row>
    <row r="31" ht="24" customHeight="1">
      <c r="A31" s="17" t="inlineStr">
        <is>
          <t>고 화 재</t>
        </is>
      </c>
      <c r="B31" s="7" t="n"/>
      <c r="C31" s="7" t="n"/>
      <c r="D31" s="17" t="inlineStr">
        <is>
          <t>주입용</t>
        </is>
      </c>
      <c r="E31" s="7" t="n"/>
      <c r="F31" s="62">
        <f>IF(OR(N('개요'!G27)=0,N('개요'!J66)=0),"",ROUNDUP('개요'!G27*'개요'!J66/1000,1))</f>
        <v/>
      </c>
      <c r="G31" s="7" t="n"/>
      <c r="H31" s="17" t="inlineStr">
        <is>
          <t>톤</t>
        </is>
      </c>
      <c r="I31" s="63" t="inlineStr">
        <is>
          <t>총 주입길이 × 설계량 ÷ 1,000 (자동)</t>
        </is>
      </c>
      <c r="J31" s="7" t="n"/>
      <c r="K31" s="7" t="n"/>
      <c r="L31" s="7" t="n"/>
    </row>
    <row r="32" ht="24" customHeight="1">
      <c r="A32" s="7" t="n"/>
      <c r="B32" s="7" t="n"/>
      <c r="C32" s="7" t="n"/>
      <c r="D32" s="17" t="inlineStr">
        <is>
          <t>표층용</t>
        </is>
      </c>
      <c r="E32" s="7" t="n"/>
      <c r="F32" s="64" t="n"/>
      <c r="G32" s="7" t="n"/>
      <c r="H32" s="17" t="inlineStr">
        <is>
          <t>톤</t>
        </is>
      </c>
      <c r="I32" s="26" t="n"/>
      <c r="J32" s="7" t="n"/>
      <c r="K32" s="7" t="n"/>
      <c r="L32" s="7" t="n"/>
    </row>
    <row r="33" ht="24" customHeight="1">
      <c r="A33" s="27" t="inlineStr">
        <is>
          <t>합    계</t>
        </is>
      </c>
      <c r="B33" s="7" t="n"/>
      <c r="C33" s="7" t="n"/>
      <c r="D33" s="7" t="n"/>
      <c r="E33" s="7" t="n"/>
      <c r="F33" s="62">
        <f>IF(N(F31)+N(F32)=0,"",N(F31)+N(F32))</f>
        <v/>
      </c>
      <c r="G33" s="7" t="n"/>
      <c r="H33" s="27" t="inlineStr">
        <is>
          <t>톤</t>
        </is>
      </c>
      <c r="I33" s="27" t="inlineStr"/>
      <c r="J33" s="7" t="n"/>
      <c r="K33" s="7" t="n"/>
      <c r="L33" s="7" t="n"/>
    </row>
    <row r="35" ht="34" customHeight="1">
      <c r="A35" s="11" t="inlineStr">
        <is>
          <t>노란 칸 = 기준값(1일 작업량 · 설계량). 하늘색 칸 = 자동(인원 계 · 주입 소요 일수 · 주입용 고화재 · 합계).</t>
        </is>
      </c>
    </row>
  </sheetData>
  <mergeCells count="77">
    <mergeCell ref="A15:B15"/>
    <mergeCell ref="G19:L19"/>
    <mergeCell ref="E23:F23"/>
    <mergeCell ref="A21:C21"/>
    <mergeCell ref="D31:E31"/>
    <mergeCell ref="A7:B7"/>
    <mergeCell ref="A23:C23"/>
    <mergeCell ref="C7:E7"/>
    <mergeCell ref="H11:L11"/>
    <mergeCell ref="H12:L12"/>
    <mergeCell ref="E22:F22"/>
    <mergeCell ref="H5:L5"/>
    <mergeCell ref="A9:B9"/>
    <mergeCell ref="A11:B11"/>
    <mergeCell ref="A3:L3"/>
    <mergeCell ref="C12:E12"/>
    <mergeCell ref="F30:G30"/>
    <mergeCell ref="I31:L31"/>
    <mergeCell ref="F33:G33"/>
    <mergeCell ref="G20:L20"/>
    <mergeCell ref="C13:E13"/>
    <mergeCell ref="H7:L7"/>
    <mergeCell ref="G22:L22"/>
    <mergeCell ref="F31:G31"/>
    <mergeCell ref="I32:L32"/>
    <mergeCell ref="E26:F26"/>
    <mergeCell ref="A8:B8"/>
    <mergeCell ref="C15:E15"/>
    <mergeCell ref="A24:C24"/>
    <mergeCell ref="G21:L21"/>
    <mergeCell ref="E25:F25"/>
    <mergeCell ref="A26:D26"/>
    <mergeCell ref="A10:B10"/>
    <mergeCell ref="G23:L23"/>
    <mergeCell ref="I33:L33"/>
    <mergeCell ref="C10:E10"/>
    <mergeCell ref="A25:C25"/>
    <mergeCell ref="C9:E9"/>
    <mergeCell ref="C11:E11"/>
    <mergeCell ref="E20:F20"/>
    <mergeCell ref="H6:L6"/>
    <mergeCell ref="A22:C22"/>
    <mergeCell ref="I30:L30"/>
    <mergeCell ref="A20:C20"/>
    <mergeCell ref="A12:B12"/>
    <mergeCell ref="G25:L25"/>
    <mergeCell ref="A5:B5"/>
    <mergeCell ref="A14:B14"/>
    <mergeCell ref="A30:C30"/>
    <mergeCell ref="H13:L13"/>
    <mergeCell ref="C6:E6"/>
    <mergeCell ref="C14:E14"/>
    <mergeCell ref="D30:E30"/>
    <mergeCell ref="H15:L15"/>
    <mergeCell ref="A1:F1"/>
    <mergeCell ref="H8:L8"/>
    <mergeCell ref="E24:F24"/>
    <mergeCell ref="H10:L10"/>
    <mergeCell ref="A6:B6"/>
    <mergeCell ref="H9:L9"/>
    <mergeCell ref="A31:C32"/>
    <mergeCell ref="G24:L24"/>
    <mergeCell ref="E19:F19"/>
    <mergeCell ref="C8:E8"/>
    <mergeCell ref="D32:E32"/>
    <mergeCell ref="A17:L17"/>
    <mergeCell ref="F32:G32"/>
    <mergeCell ref="G26:L26"/>
    <mergeCell ref="A35:L35"/>
    <mergeCell ref="G1:L1"/>
    <mergeCell ref="A19:C19"/>
    <mergeCell ref="A28:L28"/>
    <mergeCell ref="A33:E33"/>
    <mergeCell ref="C5:E5"/>
    <mergeCell ref="A13:B13"/>
    <mergeCell ref="H14:L14"/>
    <mergeCell ref="E21:F21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4" t="inlineStr">
        <is>
          <t>7.  품질관리계획</t>
        </is>
      </c>
    </row>
    <row r="4" ht="4" customHeight="1"/>
    <row r="5" ht="21.5" customHeight="1">
      <c r="A5" s="29" t="inlineStr">
        <is>
          <t>공사에 적용되는 품질 요구 조건을 충족하기 위해 시공 품질관리를 철저히 한다.</t>
        </is>
      </c>
    </row>
    <row r="6" ht="21" customHeight="1">
      <c r="A6" s="32" t="inlineStr">
        <is>
          <t>1) 품질관리 계획</t>
        </is>
      </c>
    </row>
    <row r="7" ht="20.5" customHeight="1">
      <c r="A7" s="65" t="inlineStr">
        <is>
          <t>(1)</t>
        </is>
      </c>
      <c r="B7" s="66" t="inlineStr">
        <is>
          <t>공마다 장비의 거치 상태 · 수직도 및 중심 간격(C.T.C)을 확인한다.</t>
        </is>
      </c>
    </row>
    <row r="8" ht="20.5" customHeight="1">
      <c r="A8" s="65" t="inlineStr">
        <is>
          <t>(2)</t>
        </is>
      </c>
      <c r="B8" s="66" t="inlineStr">
        <is>
          <t>주입 때 주입 심도를 확인하면서 설계 당시의 지반과 같은지 확인한다.</t>
        </is>
      </c>
    </row>
    <row r="9" ht="20.5" customHeight="1">
      <c r="A9" s="65" t="inlineStr">
        <is>
          <t>(3)</t>
        </is>
      </c>
      <c r="B9" s="66" t="inlineStr">
        <is>
          <t>주입재 교반 때 흙과 교반된 상태를 확인하며 최적의 배합비가 되도록 조절한다.</t>
        </is>
      </c>
    </row>
    <row r="10" ht="36" customHeight="1">
      <c r="A10" s="65" t="inlineStr">
        <is>
          <t>(4)</t>
        </is>
      </c>
      <c r="B10" s="66" t="inlineStr">
        <is>
          <t>회전관입 장비와 고압펌프 플랜트가 긴밀히 연락하여 인발 속도 · 회전수에 따라 분사압력과 고화재 주입량 등을 철저히 관리한다.</t>
        </is>
      </c>
    </row>
    <row r="11" ht="20.5" customHeight="1">
      <c r="A11" s="65" t="inlineStr">
        <is>
          <t>(5)</t>
        </is>
      </c>
      <c r="B11" s="66" t="inlineStr">
        <is>
          <t>토출 절삭암의 토출구가 막히지 않도록 관찰하고 유지보수한다.</t>
        </is>
      </c>
    </row>
    <row r="12" ht="52.5" customHeight="1">
      <c r="A12" s="29" t="inlineStr">
        <is>
          <t>이 현장의 공법은 &lt;그림1&gt; 과 같이 분담비율에 따라 바깥쪽 토출면적을 크게 구성한 토출 절삭암을 쓰고, 주입재 비중이 1.40 이상임을 확인하며 정확한 규격과 고른 품질이 되도록 확인하며 주입 · 시공한다.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18" customHeight="1">
      <c r="A26" s="30" t="inlineStr">
        <is>
          <t>&lt;그림1&gt; 토출 절삭암</t>
        </is>
      </c>
    </row>
    <row r="27" ht="4" customHeight="1"/>
    <row r="28" ht="30" customHeight="1">
      <c r="A28" s="14" t="inlineStr">
        <is>
          <t>8.  안전관리계획</t>
        </is>
      </c>
    </row>
    <row r="29" ht="4" customHeight="1"/>
    <row r="30" ht="37" customHeight="1">
      <c r="A30" s="29" t="inlineStr">
        <is>
          <t>안전에 관련한 제반 법규 등에 따라 재해 발생을 막고 공사를 안전하게 수행하는 것을 목적으로 한다.</t>
        </is>
      </c>
    </row>
    <row r="31" ht="21" customHeight="1">
      <c r="A31" s="32" t="inlineStr">
        <is>
          <t>1) 안전시공 관리 체계도</t>
        </is>
      </c>
    </row>
    <row r="32" ht="30" customHeight="1">
      <c r="A32" s="5" t="inlineStr"/>
      <c r="D32" s="44" t="inlineStr">
        <is>
          <t>안전 조회</t>
        </is>
      </c>
      <c r="E32" s="7" t="n"/>
      <c r="F32" s="7" t="n"/>
      <c r="G32" s="7" t="n"/>
      <c r="H32" s="7" t="n"/>
      <c r="I32" s="7" t="n"/>
      <c r="J32" s="45" t="inlineStr"/>
    </row>
    <row r="33" ht="14" customHeight="1">
      <c r="A33" s="46" t="inlineStr">
        <is>
          <t>▼</t>
        </is>
      </c>
    </row>
    <row r="34" ht="30" customHeight="1">
      <c r="A34" s="5" t="inlineStr"/>
      <c r="D34" s="44" t="inlineStr">
        <is>
          <t>작업 중 지도 · 감독</t>
        </is>
      </c>
      <c r="E34" s="7" t="n"/>
      <c r="F34" s="7" t="n"/>
      <c r="G34" s="7" t="n"/>
      <c r="H34" s="7" t="n"/>
      <c r="I34" s="7" t="n"/>
      <c r="J34" s="45" t="inlineStr">
        <is>
          <t xml:space="preserve">  ◀ 작업 중 안전점검</t>
        </is>
      </c>
    </row>
    <row r="35" ht="14" customHeight="1">
      <c r="A35" s="46" t="inlineStr">
        <is>
          <t>▼</t>
        </is>
      </c>
    </row>
    <row r="36" ht="30" customHeight="1">
      <c r="A36" s="5" t="inlineStr"/>
      <c r="D36" s="44" t="inlineStr">
        <is>
          <t>작업 종료 전 정리정돈</t>
        </is>
      </c>
      <c r="E36" s="7" t="n"/>
      <c r="F36" s="7" t="n"/>
      <c r="G36" s="7" t="n"/>
      <c r="H36" s="7" t="n"/>
      <c r="I36" s="7" t="n"/>
      <c r="J36" s="45" t="inlineStr"/>
    </row>
    <row r="37" ht="14" customHeight="1">
      <c r="A37" s="46" t="inlineStr">
        <is>
          <t>▼</t>
        </is>
      </c>
    </row>
    <row r="38" ht="30" customHeight="1">
      <c r="A38" s="5" t="inlineStr"/>
      <c r="D38" s="44" t="inlineStr">
        <is>
          <t>작업 종료 후 정리정돈</t>
        </is>
      </c>
      <c r="E38" s="7" t="n"/>
      <c r="F38" s="7" t="n"/>
      <c r="G38" s="7" t="n"/>
      <c r="H38" s="7" t="n"/>
      <c r="I38" s="7" t="n"/>
      <c r="J38" s="45" t="inlineStr"/>
    </row>
    <row r="39" ht="36" customHeight="1">
      <c r="A39" s="32" t="inlineStr">
        <is>
          <t>2) 안전조회 및 현장관리 — 작업 시작 전 5 ~ 10분 정도 다음 내용을 골라 전달하고, 작업 중에도 현장을 점검한다.</t>
        </is>
      </c>
    </row>
    <row r="40" ht="24" customHeight="1">
      <c r="A40" s="20" t="inlineStr">
        <is>
          <t>구  분</t>
        </is>
      </c>
      <c r="B40" s="7" t="n"/>
      <c r="C40" s="20" t="inlineStr">
        <is>
          <t>안  전  관  리  계  획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63" customHeight="1">
      <c r="A41" s="40" t="inlineStr">
        <is>
          <t>안전 조회</t>
        </is>
      </c>
      <c r="B41" s="7" t="n"/>
      <c r="C41" s="41" t="inlineStr">
        <is>
          <t>◦ 관리자는 그날 주요 작업 내용을 알리고, 작업 때 위험 요소 및 장소를 전달한다.
◦ 재해 사례(자사 · 타사 · 같은 공종의 재해 사례 등)를 전달한다.
◦ 안전 훈시 또는 안전교육을 한다.
◦ 복장 · 보호구 · 신체 및 건강 상태 확인, 출석 등의 점호 및 점검을 한다.</t>
        </is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77.25" customHeight="1">
      <c r="A42" s="40" t="inlineStr">
        <is>
          <t>현장 관리</t>
        </is>
      </c>
      <c r="B42" s="7" t="n"/>
      <c r="C42" s="41" t="inlineStr">
        <is>
          <t>◦ 작업 장소는 안전한 작업이 되도록 충분한 공간을 확보하고 장애물이 없게 한다.
◦ 현장 안의 모든 자재는 깨끗이 정리정돈하여 작업환경을 만든다.
◦ 관리자는 작업장을 수시로 점검하여 이상 유무를 확인하고 미리 조치한다.
◦ 관리자는 안전보호구 착용 지도 및 안전교육으로 안전 의식을 높인다.
◦ 관리자는 작업자가 안전 수칙을 지키지 않으면 퇴장 조치한다.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4" ht="19.5" customHeight="1">
      <c r="A44" s="11" t="inlineStr">
        <is>
          <t>&lt;그림1&gt; · 시공 순서도는 원본 계획서의 설명 그림입니다.</t>
        </is>
      </c>
    </row>
  </sheetData>
  <mergeCells count="38">
    <mergeCell ref="D32:I32"/>
    <mergeCell ref="J36:L36"/>
    <mergeCell ref="B7:L7"/>
    <mergeCell ref="A37:L37"/>
    <mergeCell ref="A3:L3"/>
    <mergeCell ref="A12:L12"/>
    <mergeCell ref="A26:L26"/>
    <mergeCell ref="J32:L32"/>
    <mergeCell ref="A33:L33"/>
    <mergeCell ref="A32:C32"/>
    <mergeCell ref="A41:B41"/>
    <mergeCell ref="A5:L5"/>
    <mergeCell ref="B11:L11"/>
    <mergeCell ref="C42:L42"/>
    <mergeCell ref="A38:C38"/>
    <mergeCell ref="A35:L35"/>
    <mergeCell ref="B8:L8"/>
    <mergeCell ref="G1:L1"/>
    <mergeCell ref="D38:I38"/>
    <mergeCell ref="A28:L28"/>
    <mergeCell ref="A42:B42"/>
    <mergeCell ref="A31:L31"/>
    <mergeCell ref="A44:L44"/>
    <mergeCell ref="B10:L10"/>
    <mergeCell ref="A34:C34"/>
    <mergeCell ref="A39:L39"/>
    <mergeCell ref="B9:L9"/>
    <mergeCell ref="C41:L41"/>
    <mergeCell ref="A30:L30"/>
    <mergeCell ref="D34:I34"/>
    <mergeCell ref="J38:L38"/>
    <mergeCell ref="A36:C36"/>
    <mergeCell ref="C40:L40"/>
    <mergeCell ref="A1:F1"/>
    <mergeCell ref="A6:L6"/>
    <mergeCell ref="D36:I36"/>
    <mergeCell ref="J34:L34"/>
    <mergeCell ref="A40:B4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6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150" customHeight="1"/>
    <row r="3" ht="64" customHeight="1">
      <c r="A3" s="3" t="inlineStr">
        <is>
          <t>지반개량공사 시공계획서</t>
        </is>
      </c>
    </row>
    <row r="4" ht="34" customHeight="1">
      <c r="A4" s="4">
        <f>IF(OR(E6="",E6="(공 사 명)"),"［ ○○○○ 공사 중 지반개량공사 ］","［ "&amp;E6&amp;" 중 지반개량공사 ］")</f>
        <v/>
      </c>
    </row>
    <row r="5" ht="60" customHeight="1"/>
    <row r="6" ht="30" customHeight="1">
      <c r="A6" s="5" t="inlineStr"/>
      <c r="C6" s="6" t="inlineStr">
        <is>
          <t>공 사 명</t>
        </is>
      </c>
      <c r="D6" s="7" t="n"/>
      <c r="E6" s="8" t="inlineStr">
        <is>
          <t>가나지구 물류창고 신축공사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작성 연월</t>
        </is>
      </c>
      <c r="D7" s="7" t="n"/>
      <c r="E7" s="9" t="n">
        <v>46235</v>
      </c>
      <c r="F7" s="7" t="n"/>
      <c r="G7" s="7" t="n"/>
      <c r="H7" s="7" t="n"/>
      <c r="I7" s="7" t="n"/>
      <c r="J7" s="7" t="n"/>
      <c r="K7" s="5" t="inlineStr"/>
    </row>
    <row r="8" ht="180" customHeight="1"/>
    <row r="9" ht="44" customHeight="1">
      <c r="A9" s="10" t="inlineStr">
        <is>
          <t>예시건설(주)</t>
        </is>
      </c>
    </row>
    <row r="11" ht="19.5" customHeight="1">
      <c r="A11" s="11" t="inlineStr">
        <is>
          <t>이 시트는 작성 예시입니다(가상의 공사 · 회사).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16" customHeight="1"/>
    <row r="3" ht="50" customHeight="1">
      <c r="A3" s="12" t="inlineStr">
        <is>
          <t>목          차</t>
        </is>
      </c>
    </row>
    <row r="4" ht="14" customHeight="1"/>
    <row r="5" ht="30" customHeight="1">
      <c r="A5" s="5" t="inlineStr"/>
      <c r="C5" s="13" t="inlineStr">
        <is>
          <t>1.  공 사 개 요</t>
        </is>
      </c>
      <c r="K5" s="5" t="inlineStr"/>
    </row>
    <row r="6" ht="30" customHeight="1">
      <c r="A6" s="5" t="inlineStr"/>
      <c r="C6" s="13" t="inlineStr">
        <is>
          <t>2.  공 법 개 요</t>
        </is>
      </c>
      <c r="K6" s="5" t="inlineStr"/>
    </row>
    <row r="7" ht="30" customHeight="1">
      <c r="A7" s="5" t="inlineStr"/>
      <c r="C7" s="13" t="inlineStr">
        <is>
          <t>3.  시 공 계 획</t>
        </is>
      </c>
      <c r="K7" s="5" t="inlineStr"/>
    </row>
    <row r="8" ht="30" customHeight="1">
      <c r="A8" s="5" t="inlineStr"/>
      <c r="C8" s="13" t="inlineStr">
        <is>
          <t>4.  장비 및 장치 투입계획</t>
        </is>
      </c>
      <c r="K8" s="5" t="inlineStr"/>
    </row>
    <row r="9" ht="30" customHeight="1">
      <c r="A9" s="5" t="inlineStr"/>
      <c r="C9" s="13" t="inlineStr">
        <is>
          <t>5.  인부 투입계획</t>
        </is>
      </c>
      <c r="K9" s="5" t="inlineStr"/>
    </row>
    <row r="10" ht="30" customHeight="1">
      <c r="A10" s="5" t="inlineStr"/>
      <c r="C10" s="13" t="inlineStr">
        <is>
          <t>6.  자재 투입계획</t>
        </is>
      </c>
      <c r="K10" s="5" t="inlineStr"/>
    </row>
    <row r="11" ht="30" customHeight="1">
      <c r="A11" s="5" t="inlineStr"/>
      <c r="C11" s="13" t="inlineStr">
        <is>
          <t>7.  품질관리계획</t>
        </is>
      </c>
      <c r="K11" s="5" t="inlineStr"/>
    </row>
    <row r="12" ht="30" customHeight="1">
      <c r="A12" s="5" t="inlineStr"/>
      <c r="C12" s="13" t="inlineStr">
        <is>
          <t>8.  안전관리계획</t>
        </is>
      </c>
      <c r="K12" s="5" t="inlineStr"/>
    </row>
    <row r="13" ht="4" customHeight="1"/>
    <row r="14" ht="30" customHeight="1">
      <c r="A14" s="14" t="inlineStr">
        <is>
          <t>1.  공 사 개 요</t>
        </is>
      </c>
    </row>
    <row r="15" ht="4" customHeight="1"/>
    <row r="16" ht="28" customHeight="1">
      <c r="A16" s="6" t="inlineStr">
        <is>
          <t>공 사 명</t>
        </is>
      </c>
      <c r="B16" s="7" t="n"/>
      <c r="C16" s="7" t="n"/>
      <c r="D16" s="15">
        <f>IF(OR('예시-표지'!E6="",'예시-표지'!E6="(공 사 명)"),"",'예시-표지'!E6)</f>
        <v/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6" customHeight="1">
      <c r="A17" s="6" t="inlineStr">
        <is>
          <t>시  공  사</t>
        </is>
      </c>
      <c r="B17" s="7" t="n"/>
      <c r="C17" s="7" t="n"/>
      <c r="D17" s="15">
        <f>IF(OR('예시-표지'!A9="",'예시-표지'!A9="(회 사 명)"),"",'예시-표지'!A9)</f>
        <v/>
      </c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6" customHeight="1">
      <c r="A18" s="6" t="inlineStr">
        <is>
          <t>공 사 기 간</t>
        </is>
      </c>
      <c r="B18" s="7" t="n"/>
      <c r="C18" s="7" t="n"/>
      <c r="D18" s="16" t="n">
        <v>46251</v>
      </c>
      <c r="E18" s="7" t="n"/>
      <c r="F18" s="17" t="inlineStr">
        <is>
          <t>~</t>
        </is>
      </c>
      <c r="G18" s="16" t="n">
        <v>46262</v>
      </c>
      <c r="H18" s="7" t="n"/>
      <c r="I18" s="18">
        <f>IF(OR(N(D18)=0,N(G18)=0),"",IF(G18&lt;D18,"⚠ 준공일이 착공일보다 빠름",G18-D18+1))</f>
        <v/>
      </c>
      <c r="J18" s="7" t="n"/>
      <c r="K18" s="7" t="n"/>
      <c r="L18" s="7" t="n"/>
    </row>
    <row r="19" ht="26" customHeight="1">
      <c r="A19" s="6" t="inlineStr">
        <is>
          <t>공 사 위 치</t>
        </is>
      </c>
      <c r="B19" s="7" t="n"/>
      <c r="C19" s="7" t="n"/>
      <c r="D19" s="19" t="inlineStr">
        <is>
          <t>가나시 가나동 일원</t>
        </is>
      </c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2" customHeight="1">
      <c r="A20" s="20" t="inlineStr">
        <is>
          <t>공  사  내  용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30" customHeight="1">
      <c r="A21" s="20" t="inlineStr">
        <is>
          <t>공  종</t>
        </is>
      </c>
      <c r="B21" s="7" t="n"/>
      <c r="C21" s="20" t="inlineStr">
        <is>
          <t>품  명</t>
        </is>
      </c>
      <c r="D21" s="7" t="n"/>
      <c r="E21" s="20" t="inlineStr">
        <is>
          <t>규  격</t>
        </is>
      </c>
      <c r="F21" s="7" t="n"/>
      <c r="G21" s="21" t="inlineStr">
        <is>
          <t>수량(공)
· 면적</t>
        </is>
      </c>
      <c r="H21" s="7" t="n"/>
      <c r="I21" s="21" t="inlineStr">
        <is>
          <t>주입길이
(m / 공)</t>
        </is>
      </c>
      <c r="J21" s="7" t="n"/>
      <c r="K21" s="20" t="inlineStr">
        <is>
          <t>비  고</t>
        </is>
      </c>
      <c r="L21" s="7" t="n"/>
    </row>
    <row r="22" ht="24" customHeight="1">
      <c r="A22" s="22" t="inlineStr">
        <is>
          <t>지반보강</t>
        </is>
      </c>
      <c r="B22" s="7" t="n"/>
      <c r="C22" s="23" t="inlineStr">
        <is>
          <t>주입교반 보강체</t>
        </is>
      </c>
      <c r="D22" s="7" t="n"/>
      <c r="E22" s="8" t="inlineStr">
        <is>
          <t>Φ800</t>
        </is>
      </c>
      <c r="F22" s="7" t="n"/>
      <c r="G22" s="24" t="n">
        <v>76</v>
      </c>
      <c r="H22" s="7" t="n"/>
      <c r="I22" s="25" t="n">
        <v>6.5</v>
      </c>
      <c r="J22" s="7" t="n"/>
      <c r="K22" s="26" t="inlineStr">
        <is>
          <t>1동 기초 하부</t>
        </is>
      </c>
      <c r="L22" s="7" t="n"/>
    </row>
    <row r="23" ht="24" customHeight="1">
      <c r="A23" s="22" t="inlineStr">
        <is>
          <t>지반보강</t>
        </is>
      </c>
      <c r="B23" s="7" t="n"/>
      <c r="C23" s="23" t="inlineStr">
        <is>
          <t>주입교반 보강체</t>
        </is>
      </c>
      <c r="D23" s="7" t="n"/>
      <c r="E23" s="8" t="inlineStr">
        <is>
          <t>Φ900</t>
        </is>
      </c>
      <c r="F23" s="7" t="n"/>
      <c r="G23" s="24" t="n">
        <v>44</v>
      </c>
      <c r="H23" s="7" t="n"/>
      <c r="I23" s="25" t="n">
        <v>6.8</v>
      </c>
      <c r="J23" s="7" t="n"/>
      <c r="K23" s="26" t="inlineStr">
        <is>
          <t>2동 기초 하부</t>
        </is>
      </c>
      <c r="L23" s="7" t="n"/>
    </row>
    <row r="24" ht="24" customHeight="1">
      <c r="A24" s="22" t="n"/>
      <c r="B24" s="7" t="n"/>
      <c r="C24" s="23" t="n"/>
      <c r="D24" s="7" t="n"/>
      <c r="E24" s="8" t="n"/>
      <c r="F24" s="7" t="n"/>
      <c r="G24" s="24" t="n"/>
      <c r="H24" s="7" t="n"/>
      <c r="I24" s="25" t="n"/>
      <c r="J24" s="7" t="n"/>
      <c r="K24" s="26" t="n"/>
      <c r="L24" s="7" t="n"/>
    </row>
    <row r="25" ht="24" customHeight="1">
      <c r="A25" s="22" t="n"/>
      <c r="B25" s="7" t="n"/>
      <c r="C25" s="23" t="n"/>
      <c r="D25" s="7" t="n"/>
      <c r="E25" s="8" t="n"/>
      <c r="F25" s="7" t="n"/>
      <c r="G25" s="24" t="n"/>
      <c r="H25" s="7" t="n"/>
      <c r="I25" s="25" t="n"/>
      <c r="J25" s="7" t="n"/>
      <c r="K25" s="26" t="n"/>
      <c r="L25" s="7" t="n"/>
    </row>
    <row r="26" ht="24" customHeight="1">
      <c r="A26" s="22" t="n"/>
      <c r="B26" s="7" t="n"/>
      <c r="C26" s="23" t="n"/>
      <c r="D26" s="7" t="n"/>
      <c r="E26" s="8" t="n"/>
      <c r="F26" s="7" t="n"/>
      <c r="G26" s="24" t="n"/>
      <c r="H26" s="7" t="n"/>
      <c r="I26" s="25" t="n"/>
      <c r="J26" s="7" t="n"/>
      <c r="K26" s="26" t="n"/>
      <c r="L26" s="7" t="n"/>
    </row>
    <row r="27" ht="24" customHeight="1">
      <c r="A27" s="27" t="inlineStr">
        <is>
          <t>총 주입길이 (Σ 수량 × 주입길이)</t>
        </is>
      </c>
      <c r="B27" s="7" t="n"/>
      <c r="C27" s="7" t="n"/>
      <c r="D27" s="7" t="n"/>
      <c r="E27" s="7" t="n"/>
      <c r="F27" s="7" t="n"/>
      <c r="G27" s="28">
        <f>IF((IF(AND(ISNUMBER(G22),ISNUMBER(I22)),G22*I22,0)+IF(AND(ISNUMBER(G23),ISNUMBER(I23)),G23*I23,0)+IF(AND(ISNUMBER(G24),ISNUMBER(I24)),G24*I24,0)+IF(AND(ISNUMBER(G25),ISNUMBER(I25)),G25*I25,0)+IF(AND(ISNUMBER(G26),ISNUMBER(I26)),G26*I26,0))=0,"",ROUND(IF(AND(ISNUMBER(G22),ISNUMBER(I22)),G22*I22,0)+IF(AND(ISNUMBER(G23),ISNUMBER(I23)),G23*I23,0)+IF(AND(ISNUMBER(G24),ISNUMBER(I24)),G24*I24,0)+IF(AND(ISNUMBER(G25),ISNUMBER(I25)),G25*I25,0)+IF(AND(ISNUMBER(G26),ISNUMBER(I26)),G26*I26,0),1))</f>
        <v/>
      </c>
      <c r="H27" s="7" t="n"/>
      <c r="I27" s="7" t="n"/>
      <c r="J27" s="7" t="n"/>
      <c r="K27" s="27" t="inlineStr"/>
      <c r="L27" s="7" t="n"/>
    </row>
    <row r="28" ht="4" customHeight="1"/>
    <row r="29" ht="30" customHeight="1">
      <c r="A29" s="14" t="inlineStr">
        <is>
          <t>2.  공 법 개 요</t>
        </is>
      </c>
    </row>
    <row r="30" ht="4" customHeight="1"/>
    <row r="31" ht="68" customHeight="1">
      <c r="A31" s="29" t="inlineStr">
        <is>
          <t>절삭암 회전관입 주입교반 공법은 토출구가 달린 스크류형 절삭암으로 단단한 토사층을 회전하며 절삭하는 동시에 경화재를 주입 · 교반하여, 흙 입자와 경화재가 긴밀하게 섞인 고결체를 만들어 연약지반을 개량하는 주입공법이다. 확대 대상 지반의 분담비율에 따라 바깥쪽 토출면적을 크게 구성한 토출구로 단단한 토사층에 정확한 규격의 선단 확대부를 만든다.</t>
        </is>
      </c>
    </row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18" customHeight="1">
      <c r="A49" s="30" t="inlineStr">
        <is>
          <t>[ 시공 순서도 — 1단계 관입 · 주입 → 2단계 보강체 형성 시작 → 3단계 회전 상승 · 형성 → 4단계 형성 완료 ]</t>
        </is>
      </c>
    </row>
    <row r="50" ht="18" customHeight="1">
      <c r="A50" s="31" t="inlineStr">
        <is>
          <t>(보강체 시공 사진을 붙이는 곳)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18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18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18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18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18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1" customHeight="1">
      <c r="A56" s="32" t="inlineStr">
        <is>
          <t>1) 배합비 (1㎥ 당)</t>
        </is>
      </c>
    </row>
    <row r="57" ht="24" customHeight="1">
      <c r="A57" s="20" t="inlineStr">
        <is>
          <t>구    분</t>
        </is>
      </c>
      <c r="B57" s="7" t="n"/>
      <c r="C57" s="7" t="n"/>
      <c r="D57" s="7" t="n"/>
      <c r="E57" s="20" t="inlineStr">
        <is>
          <t>사  용  량 (kg)</t>
        </is>
      </c>
      <c r="F57" s="7" t="n"/>
      <c r="G57" s="7" t="n"/>
      <c r="H57" s="7" t="n"/>
      <c r="I57" s="20" t="inlineStr">
        <is>
          <t>비    고</t>
        </is>
      </c>
      <c r="J57" s="7" t="n"/>
      <c r="K57" s="7" t="n"/>
      <c r="L57" s="7" t="n"/>
    </row>
    <row r="58" ht="24" customHeight="1">
      <c r="A58" s="17" t="inlineStr">
        <is>
          <t>고 화 재</t>
        </is>
      </c>
      <c r="B58" s="7" t="n"/>
      <c r="C58" s="7" t="n"/>
      <c r="D58" s="7" t="n"/>
      <c r="E58" s="33" t="n">
        <v>760</v>
      </c>
      <c r="F58" s="7" t="n"/>
      <c r="G58" s="7" t="n"/>
      <c r="H58" s="7" t="n"/>
      <c r="I58" s="34" t="inlineStr"/>
      <c r="J58" s="7" t="n"/>
      <c r="K58" s="7" t="n"/>
      <c r="L58" s="7" t="n"/>
    </row>
    <row r="59" ht="24" customHeight="1">
      <c r="A59" s="17" t="inlineStr">
        <is>
          <t>물</t>
        </is>
      </c>
      <c r="B59" s="7" t="n"/>
      <c r="C59" s="7" t="n"/>
      <c r="D59" s="7" t="n"/>
      <c r="E59" s="33" t="n">
        <v>760</v>
      </c>
      <c r="F59" s="7" t="n"/>
      <c r="G59" s="7" t="n"/>
      <c r="H59" s="7" t="n"/>
      <c r="I59" s="35">
        <f>IF(N(E58)=0,"","물 / 고화재 = "&amp;ROUND(E59/E58*100,1)&amp;"%")</f>
        <v/>
      </c>
      <c r="J59" s="7" t="n"/>
      <c r="K59" s="7" t="n"/>
      <c r="L59" s="7" t="n"/>
    </row>
    <row r="60" ht="24" customHeight="1">
      <c r="A60" s="27" t="inlineStr">
        <is>
          <t>합    계</t>
        </is>
      </c>
      <c r="B60" s="7" t="n"/>
      <c r="C60" s="7" t="n"/>
      <c r="D60" s="7" t="n"/>
      <c r="E60" s="36">
        <f>IF(N(E58)+N(E59)=0,"",E58+E59)</f>
        <v/>
      </c>
      <c r="F60" s="7" t="n"/>
      <c r="G60" s="7" t="n"/>
      <c r="H60" s="7" t="n"/>
      <c r="I60" s="37" t="n">
        <v>1000</v>
      </c>
      <c r="J60" s="7" t="n"/>
      <c r="K60" s="7" t="n"/>
      <c r="L60" s="7" t="n"/>
    </row>
    <row r="61" ht="24" customHeight="1">
      <c r="A61" s="6" t="inlineStr">
        <is>
          <t>주입재 비중</t>
        </is>
      </c>
      <c r="B61" s="7" t="n"/>
      <c r="C61" s="7" t="n"/>
      <c r="D61" s="7" t="n"/>
      <c r="E61" s="38">
        <f>IF(OR(E60="",N(I60)=0),"",ROUND(E60/I60,2))</f>
        <v/>
      </c>
      <c r="F61" s="7" t="n"/>
      <c r="G61" s="7" t="n"/>
      <c r="H61" s="7" t="n"/>
      <c r="I61" s="39">
        <f>IF(E61="","",IF(E61&gt;=1.4,"✓ 1.40 이상","⚠ 1.40 미만 — 배합 확인"))</f>
        <v/>
      </c>
      <c r="J61" s="7" t="n"/>
      <c r="K61" s="7" t="n"/>
      <c r="L61" s="7" t="n"/>
    </row>
    <row r="62" ht="21" customHeight="1">
      <c r="A62" s="32" t="inlineStr">
        <is>
          <t>2) 그라우트 토출압력 및 토출량</t>
        </is>
      </c>
    </row>
    <row r="63" ht="24" customHeight="1">
      <c r="A63" s="20" t="inlineStr">
        <is>
          <t>구   분</t>
        </is>
      </c>
      <c r="B63" s="7" t="n"/>
      <c r="C63" s="7" t="n"/>
      <c r="D63" s="20" t="inlineStr">
        <is>
          <t>항  목</t>
        </is>
      </c>
      <c r="E63" s="7" t="n"/>
      <c r="F63" s="20" t="inlineStr">
        <is>
          <t>단  위</t>
        </is>
      </c>
      <c r="G63" s="7" t="n"/>
      <c r="H63" s="20" t="inlineStr">
        <is>
          <t>토 출 량</t>
        </is>
      </c>
      <c r="I63" s="7" t="n"/>
      <c r="J63" s="20" t="inlineStr">
        <is>
          <t>비   고</t>
        </is>
      </c>
      <c r="K63" s="7" t="n"/>
      <c r="L63" s="7" t="n"/>
    </row>
    <row r="64" ht="34.5" customHeight="1">
      <c r="A64" s="40" t="inlineStr">
        <is>
          <t>고화재
그라우팅</t>
        </is>
      </c>
      <c r="B64" s="7" t="n"/>
      <c r="C64" s="7" t="n"/>
      <c r="D64" s="40" t="inlineStr">
        <is>
          <t>압  력</t>
        </is>
      </c>
      <c r="E64" s="7" t="n"/>
      <c r="F64" s="40" t="inlineStr">
        <is>
          <t>kgf / ㎠</t>
        </is>
      </c>
      <c r="G64" s="7" t="n"/>
      <c r="H64" s="40" t="inlineStr">
        <is>
          <t>20 ~ 40</t>
        </is>
      </c>
      <c r="I64" s="7" t="n"/>
      <c r="J64" s="41" t="inlineStr">
        <is>
          <t>고화재 설계량 :</t>
        </is>
      </c>
      <c r="K64" s="7" t="n"/>
      <c r="L64" s="7" t="n"/>
    </row>
    <row r="65" ht="26" customHeight="1">
      <c r="A65" s="41" t="inlineStr"/>
      <c r="B65" s="7" t="n"/>
      <c r="C65" s="7" t="n"/>
      <c r="D65" s="40" t="inlineStr">
        <is>
          <t>토출량</t>
        </is>
      </c>
      <c r="E65" s="7" t="n"/>
      <c r="F65" s="40" t="inlineStr">
        <is>
          <t>ℓ / 분</t>
        </is>
      </c>
      <c r="G65" s="7" t="n"/>
      <c r="H65" s="40" t="inlineStr">
        <is>
          <t>80 ~ 120</t>
        </is>
      </c>
      <c r="I65" s="7" t="n"/>
      <c r="J65" s="41" t="inlineStr"/>
      <c r="K65" s="7" t="n"/>
      <c r="L65" s="7" t="n"/>
    </row>
    <row r="66" ht="24" customHeight="1">
      <c r="A66" s="42" t="inlineStr">
        <is>
          <t>고화재 설계량 (kg / m, Φ800 기준) — 자재 소요량 계산에 씀</t>
        </is>
      </c>
      <c r="J66" s="43" t="n">
        <v>105</v>
      </c>
      <c r="K66" s="7" t="n"/>
      <c r="L66" s="7" t="n"/>
    </row>
    <row r="68" ht="19.5" customHeight="1">
      <c r="A68" s="11" t="inlineStr">
        <is>
          <t>이 시트는 작성 예시입니다(가상의 공사 · 수량).</t>
        </is>
      </c>
    </row>
  </sheetData>
  <mergeCells count="117">
    <mergeCell ref="G21:H21"/>
    <mergeCell ref="E61:H61"/>
    <mergeCell ref="K24:L24"/>
    <mergeCell ref="E23:F23"/>
    <mergeCell ref="G23:H23"/>
    <mergeCell ref="I26:J26"/>
    <mergeCell ref="K26:L26"/>
    <mergeCell ref="A7:B7"/>
    <mergeCell ref="A58:D58"/>
    <mergeCell ref="I25:J25"/>
    <mergeCell ref="J66:L66"/>
    <mergeCell ref="G18:H18"/>
    <mergeCell ref="A60:D60"/>
    <mergeCell ref="A63:C63"/>
    <mergeCell ref="C11:J11"/>
    <mergeCell ref="A22:B22"/>
    <mergeCell ref="H65:I65"/>
    <mergeCell ref="D19:L19"/>
    <mergeCell ref="I18:L18"/>
    <mergeCell ref="I58:L58"/>
    <mergeCell ref="D64:E64"/>
    <mergeCell ref="A49:L49"/>
    <mergeCell ref="E22:F22"/>
    <mergeCell ref="G22:H22"/>
    <mergeCell ref="A9:B9"/>
    <mergeCell ref="A11:B11"/>
    <mergeCell ref="F63:G63"/>
    <mergeCell ref="J65:L65"/>
    <mergeCell ref="A27:F27"/>
    <mergeCell ref="H63:I63"/>
    <mergeCell ref="A3:L3"/>
    <mergeCell ref="K21:L21"/>
    <mergeCell ref="J63:L63"/>
    <mergeCell ref="C10:J10"/>
    <mergeCell ref="A14:L14"/>
    <mergeCell ref="A59:D59"/>
    <mergeCell ref="C9:J9"/>
    <mergeCell ref="A26:B26"/>
    <mergeCell ref="I61:L61"/>
    <mergeCell ref="A61:D61"/>
    <mergeCell ref="G24:H24"/>
    <mergeCell ref="I24:J24"/>
    <mergeCell ref="I57:L57"/>
    <mergeCell ref="K27:L27"/>
    <mergeCell ref="A31:L31"/>
    <mergeCell ref="E26:F26"/>
    <mergeCell ref="A8:B8"/>
    <mergeCell ref="G26:H26"/>
    <mergeCell ref="A50:L55"/>
    <mergeCell ref="E25:F25"/>
    <mergeCell ref="G25:H25"/>
    <mergeCell ref="A10:B10"/>
    <mergeCell ref="K10:L10"/>
    <mergeCell ref="K6:L6"/>
    <mergeCell ref="A16:C16"/>
    <mergeCell ref="F64:G64"/>
    <mergeCell ref="K25:L25"/>
    <mergeCell ref="D63:E63"/>
    <mergeCell ref="C6:J6"/>
    <mergeCell ref="K9:L9"/>
    <mergeCell ref="A18:C18"/>
    <mergeCell ref="K5:L5"/>
    <mergeCell ref="D17:L17"/>
    <mergeCell ref="D65:E65"/>
    <mergeCell ref="I59:L59"/>
    <mergeCell ref="K11:L11"/>
    <mergeCell ref="I60:L60"/>
    <mergeCell ref="C22:D22"/>
    <mergeCell ref="A12:B12"/>
    <mergeCell ref="A20:L20"/>
    <mergeCell ref="I21:J21"/>
    <mergeCell ref="A21:B21"/>
    <mergeCell ref="A29:L29"/>
    <mergeCell ref="C21:D21"/>
    <mergeCell ref="K8:L8"/>
    <mergeCell ref="A5:B5"/>
    <mergeCell ref="I23:J23"/>
    <mergeCell ref="A23:B23"/>
    <mergeCell ref="K23:L23"/>
    <mergeCell ref="C23:D23"/>
    <mergeCell ref="C8:J8"/>
    <mergeCell ref="A64:C64"/>
    <mergeCell ref="K7:L7"/>
    <mergeCell ref="A1:F1"/>
    <mergeCell ref="A57:D57"/>
    <mergeCell ref="A24:B24"/>
    <mergeCell ref="C24:D24"/>
    <mergeCell ref="E24:F24"/>
    <mergeCell ref="E57:H57"/>
    <mergeCell ref="F65:G65"/>
    <mergeCell ref="A66:I66"/>
    <mergeCell ref="C5:J5"/>
    <mergeCell ref="A56:L56"/>
    <mergeCell ref="C26:D26"/>
    <mergeCell ref="A6:B6"/>
    <mergeCell ref="D16:L16"/>
    <mergeCell ref="A25:B25"/>
    <mergeCell ref="H64:I64"/>
    <mergeCell ref="C25:D25"/>
    <mergeCell ref="E58:H58"/>
    <mergeCell ref="A17:C17"/>
    <mergeCell ref="I22:J22"/>
    <mergeCell ref="K22:L22"/>
    <mergeCell ref="G27:J27"/>
    <mergeCell ref="A62:L62"/>
    <mergeCell ref="G1:L1"/>
    <mergeCell ref="C12:J12"/>
    <mergeCell ref="A19:C19"/>
    <mergeCell ref="K12:L12"/>
    <mergeCell ref="A68:L68"/>
    <mergeCell ref="D18:E18"/>
    <mergeCell ref="J64:L64"/>
    <mergeCell ref="E60:H60"/>
    <mergeCell ref="C7:J7"/>
    <mergeCell ref="E59:H59"/>
    <mergeCell ref="A65:C65"/>
    <mergeCell ref="E21:F21"/>
  </mergeCells>
  <conditionalFormatting sqref="G22:G26">
    <cfRule type="expression" priority="1" dxfId="0">
      <formula>AND(ISNUMBER(G22),MOD(G22,1)=0)</formula>
    </cfRule>
  </conditionalFormatting>
  <printOptions horizontalCentered="1"/>
  <pageMargins left="0.6" right="0.6" top="0.6" bottom="0.6" header="0.2" footer="0.2"/>
  <pageSetup orientation="portrait" paperSize="9" fitToHeight="0" fitToWidth="1"/>
  <rowBreaks count="3" manualBreakCount="3">
    <brk id="12" min="0" max="16383" man="1"/>
    <brk id="27" min="0" max="16383" man="1"/>
    <brk id="6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3.  시 공 계 획</t>
        </is>
      </c>
    </row>
    <row r="4" ht="4" customHeight="1"/>
    <row r="5" ht="37" customHeight="1">
      <c r="A5" s="29" t="inlineStr">
        <is>
          <t>설계도서를 숙지하고 공사 현장 여건 등을 감안하여 안전성 · 경제성 · 시공성을 고려한 절삭암 회전관입 주입교반 공법(기초지반 보강공) 시공계획을 세운다.</t>
        </is>
      </c>
    </row>
    <row r="6" ht="51.5" customHeight="1">
      <c r="A6" s="32" t="inlineStr">
        <is>
          <t>1) 예정공정표 — «공정표» 시트(일 단위) · 현장 시공준비 : 플랜트 설치 · 자재 반입 · 오거/절삭암 체결, 표층보강 : 보강공 완료 뒤 표층고화 · 진동다짐, 평판재하시험 : 표층고화 전 또는 후</t>
        </is>
      </c>
    </row>
    <row r="7" ht="21" customHeight="1">
      <c r="A7" s="32" t="inlineStr">
        <is>
          <t>2) 준비작업</t>
        </is>
      </c>
    </row>
    <row r="8" ht="24" customHeight="1">
      <c r="A8" s="20" t="inlineStr">
        <is>
          <t>구  분</t>
        </is>
      </c>
      <c r="B8" s="7" t="n"/>
      <c r="C8" s="20" t="inlineStr">
        <is>
          <t>준  비  작  업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48.75" customHeight="1">
      <c r="A9" s="40" t="inlineStr">
        <is>
          <t>설계 검토</t>
        </is>
      </c>
      <c r="B9" s="7" t="n"/>
      <c r="C9" s="41" t="inlineStr">
        <is>
          <t>◦ 기초지반 보강공 시공과 관련된 설계도서를 충분히 검토한다.
◦ 현장 상황 및 현장 조건을 확인하고 이를 통해 시공계획을 세운다.
◦ 일반적인 시공계획의 기준에 준하는 사항을 검토한다.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63" customHeight="1">
      <c r="A10" s="40" t="inlineStr">
        <is>
          <t>현장 검토</t>
        </is>
      </c>
      <c r="B10" s="7" t="n"/>
      <c r="C10" s="41" t="inlineStr">
        <is>
          <t>◦ 현장 안 보행자의 안전과 통제가 가능하도록 관리한다.
◦ 시공 때 필요한 작업공간을 확보하도록 계획한다.
◦ 설계서와 시공 현장의 LEVEL 및 경계를 확인한다.
◦ 장비 반입계획 및 자재 반입계획을 확인한다.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1" customHeight="1">
      <c r="A11" s="32" t="inlineStr">
        <is>
          <t>3) 시공</t>
        </is>
      </c>
    </row>
    <row r="12" ht="24" customHeight="1">
      <c r="A12" s="20" t="inlineStr">
        <is>
          <t>단  계</t>
        </is>
      </c>
      <c r="B12" s="7" t="n"/>
      <c r="C12" s="7" t="n"/>
      <c r="D12" s="20" t="inlineStr">
        <is>
          <t>시   공   계   획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120" customHeight="1">
      <c r="A13" s="40" t="inlineStr">
        <is>
          <t>시공 준비</t>
        </is>
      </c>
      <c r="B13" s="7" t="n"/>
      <c r="C13" s="7" t="n"/>
      <c r="D13" s="41" t="inlineStr">
        <is>
          <t>◦ 착수 전 설계도상 시공 현장의 LEVEL 및 경계를 확인하고, 설계도에 따라 터파기를 한 뒤 주입공 시공 위치를 표시한다.
◦ 플랜트(사일로 또는 스크류 컨베이어 · 그라우트 믹서펌프 · 발전기 · 수조)를 설치한다.
◦ 시공 일정에 맞추어 고화재를 차례로 반입한다.
◦ 굴삭기에 오거로드와 토출 절삭암을 단다.
◦ 설치를 마친 플랜트(그라우트 믹서)에 고화재와 물을 넣고 교반한다(주입재 비중 1.40 이상 확인).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77.25" customHeight="1">
      <c r="A14" s="40" t="inlineStr">
        <is>
          <t>회전관입 및
그라우트 주입</t>
        </is>
      </c>
      <c r="B14" s="7" t="n"/>
      <c r="C14" s="7" t="n"/>
      <c r="D14" s="41" t="inlineStr">
        <is>
          <t>◦ 주입공 위치에서 설계도의 주입길이를 참고하여 계획 심도까지 회전관입하며, 준비된 그라우트를 동시에 주입하여 원지반 흙과 혼합 · 교반한다(절삭암 선단이 단단한 지층에 닿거나 선단 지반이 너무 연약하면 시공 심도를 조절할 수 있다).
◦ 주입 중 수직도를 확인하며 실시간으로 조정한다.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34.5" customHeight="1">
      <c r="A15" s="40" t="inlineStr">
        <is>
          <t>상부 표층보강</t>
        </is>
      </c>
      <c r="B15" s="7" t="n"/>
      <c r="C15" s="7" t="n"/>
      <c r="D15" s="41" t="inlineStr">
        <is>
          <t>◦ 주입 중 지상으로 올라온 원지반 혼합 그라우트는 보강체 상부 표층 보강재로 쓸 수 있으며, 상부를 표층고화한 뒤 진동롤러로 다져 표층보강을 마친다.</t>
        </is>
      </c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63" customHeight="1">
      <c r="A16" s="40" t="inlineStr">
        <is>
          <t>평판재하시험</t>
        </is>
      </c>
      <c r="B16" s="7" t="n"/>
      <c r="C16" s="7" t="n"/>
      <c r="D16" s="41" t="inlineStr">
        <is>
          <t>◦ 지지력 확인을 위해 평판재하시험을 하여 설계지지력 이상이 확보됨을 확인한다.
◦ 평판재하시험이 곤란하면 그라우트 믹서 안의 시료나 시공된 주입공에서 시료를 채취하여 일축압축강도 시험으로 품질을 확인한다.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18" customHeight="1">
      <c r="A17" s="31" t="inlineStr">
        <is>
          <t>(단계별 시공 사진을 붙이는 곳 — 시공 준비 · 회전관입 · 표층보강 · 평판재하시험)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18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18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18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1" customHeight="1">
      <c r="A25" s="32" t="inlineStr">
        <is>
          <t>4) 작업공정</t>
        </is>
      </c>
    </row>
    <row r="26" ht="30" customHeight="1">
      <c r="A26" s="5" t="inlineStr"/>
      <c r="D26" s="44" t="inlineStr">
        <is>
          <t>준비 — 작업장 정지 및 측량 확인</t>
        </is>
      </c>
      <c r="E26" s="7" t="n"/>
      <c r="F26" s="7" t="n"/>
      <c r="G26" s="7" t="n"/>
      <c r="H26" s="7" t="n"/>
      <c r="I26" s="7" t="n"/>
      <c r="J26" s="45" t="inlineStr"/>
    </row>
    <row r="27" ht="12" customHeight="1">
      <c r="A27" s="46" t="inlineStr">
        <is>
          <t>▼</t>
        </is>
      </c>
    </row>
    <row r="28" ht="30" customHeight="1">
      <c r="A28" s="5" t="inlineStr"/>
      <c r="D28" s="44" t="inlineStr">
        <is>
          <t>운반(자재 및 장비)</t>
        </is>
      </c>
      <c r="E28" s="7" t="n"/>
      <c r="F28" s="7" t="n"/>
      <c r="G28" s="7" t="n"/>
      <c r="H28" s="7" t="n"/>
      <c r="I28" s="7" t="n"/>
      <c r="J28" s="45" t="inlineStr"/>
    </row>
    <row r="29" ht="12" customHeight="1">
      <c r="A29" s="46" t="inlineStr">
        <is>
          <t>▼</t>
        </is>
      </c>
    </row>
    <row r="30" ht="30" customHeight="1">
      <c r="A30" s="5" t="inlineStr"/>
      <c r="D30" s="44" t="inlineStr">
        <is>
          <t>플랜트 조립 · 설치</t>
        </is>
      </c>
      <c r="E30" s="7" t="n"/>
      <c r="F30" s="7" t="n"/>
      <c r="G30" s="7" t="n"/>
      <c r="H30" s="7" t="n"/>
      <c r="I30" s="7" t="n"/>
      <c r="J30" s="45" t="inlineStr">
        <is>
          <t xml:space="preserve">  ◀ 재료 공급(고화재 · 용수)</t>
        </is>
      </c>
    </row>
    <row r="31" ht="12" customHeight="1">
      <c r="A31" s="46" t="inlineStr">
        <is>
          <t>▼</t>
        </is>
      </c>
    </row>
    <row r="32" ht="30" customHeight="1">
      <c r="A32" s="5" t="inlineStr"/>
      <c r="D32" s="44" t="inlineStr">
        <is>
          <t>장비 세팅 · 주입공 위치 확인</t>
        </is>
      </c>
      <c r="E32" s="7" t="n"/>
      <c r="F32" s="7" t="n"/>
      <c r="G32" s="7" t="n"/>
      <c r="H32" s="7" t="n"/>
      <c r="I32" s="7" t="n"/>
      <c r="J32" s="45" t="inlineStr">
        <is>
          <t xml:space="preserve">  ◀ 반복 작업 : 플랜트 이동</t>
        </is>
      </c>
    </row>
    <row r="33" ht="12" customHeight="1">
      <c r="A33" s="46" t="inlineStr">
        <is>
          <t>▼</t>
        </is>
      </c>
    </row>
    <row r="34" ht="30" customHeight="1">
      <c r="A34" s="5" t="inlineStr"/>
      <c r="D34" s="44" t="inlineStr">
        <is>
          <t>하향 회전관입 중 그라우트 주입교반</t>
        </is>
      </c>
      <c r="E34" s="7" t="n"/>
      <c r="F34" s="7" t="n"/>
      <c r="G34" s="7" t="n"/>
      <c r="H34" s="7" t="n"/>
      <c r="I34" s="7" t="n"/>
      <c r="J34" s="45" t="inlineStr">
        <is>
          <t xml:space="preserve">  ◀ 주입 심도 확인</t>
        </is>
      </c>
    </row>
    <row r="35" ht="12" customHeight="1">
      <c r="A35" s="46" t="inlineStr">
        <is>
          <t>▼</t>
        </is>
      </c>
    </row>
    <row r="36" ht="30" customHeight="1">
      <c r="A36" s="5" t="inlineStr"/>
      <c r="D36" s="44" t="inlineStr">
        <is>
          <t>상향 회전인발 중 그라우트 주입교반</t>
        </is>
      </c>
      <c r="E36" s="7" t="n"/>
      <c r="F36" s="7" t="n"/>
      <c r="G36" s="7" t="n"/>
      <c r="H36" s="7" t="n"/>
      <c r="I36" s="7" t="n"/>
      <c r="J36" s="45" t="inlineStr"/>
    </row>
    <row r="37" ht="12" customHeight="1">
      <c r="A37" s="46" t="inlineStr">
        <is>
          <t>▼</t>
        </is>
      </c>
    </row>
    <row r="38" ht="30" customHeight="1">
      <c r="A38" s="5" t="inlineStr"/>
      <c r="D38" s="44" t="inlineStr">
        <is>
          <t>보강체 형성 → 기구 세척</t>
        </is>
      </c>
      <c r="E38" s="7" t="n"/>
      <c r="F38" s="7" t="n"/>
      <c r="G38" s="7" t="n"/>
      <c r="H38" s="7" t="n"/>
      <c r="I38" s="7" t="n"/>
      <c r="J38" s="45" t="inlineStr"/>
    </row>
    <row r="39" ht="12" customHeight="1">
      <c r="A39" s="46" t="inlineStr">
        <is>
          <t>▼</t>
        </is>
      </c>
    </row>
    <row r="40" ht="30" customHeight="1">
      <c r="A40" s="5" t="inlineStr"/>
      <c r="D40" s="44" t="inlineStr">
        <is>
          <t>플랜트 해체 · 철거</t>
        </is>
      </c>
      <c r="E40" s="7" t="n"/>
      <c r="F40" s="7" t="n"/>
      <c r="G40" s="7" t="n"/>
      <c r="H40" s="7" t="n"/>
      <c r="I40" s="7" t="n"/>
      <c r="J40" s="45" t="inlineStr"/>
    </row>
    <row r="41" ht="12" customHeight="1">
      <c r="A41" s="46" t="inlineStr">
        <is>
          <t>▼</t>
        </is>
      </c>
    </row>
    <row r="42" ht="30" customHeight="1">
      <c r="A42" s="5" t="inlineStr"/>
      <c r="D42" s="44" t="inlineStr">
        <is>
          <t>표층보강(잡석 다짐 · 표층고화)</t>
        </is>
      </c>
      <c r="E42" s="7" t="n"/>
      <c r="F42" s="7" t="n"/>
      <c r="G42" s="7" t="n"/>
      <c r="H42" s="7" t="n"/>
      <c r="I42" s="7" t="n"/>
      <c r="J42" s="45" t="inlineStr"/>
    </row>
    <row r="43" ht="12" customHeight="1">
      <c r="A43" s="46" t="inlineStr">
        <is>
          <t>▼</t>
        </is>
      </c>
    </row>
    <row r="44" ht="30" customHeight="1">
      <c r="A44" s="5" t="inlineStr"/>
      <c r="D44" s="44" t="inlineStr">
        <is>
          <t>시공 완료</t>
        </is>
      </c>
      <c r="E44" s="7" t="n"/>
      <c r="F44" s="7" t="n"/>
      <c r="G44" s="7" t="n"/>
      <c r="H44" s="7" t="n"/>
      <c r="I44" s="7" t="n"/>
      <c r="J44" s="45" t="inlineStr"/>
    </row>
  </sheetData>
  <mergeCells count="64">
    <mergeCell ref="A7:L7"/>
    <mergeCell ref="D13:L13"/>
    <mergeCell ref="A25:L25"/>
    <mergeCell ref="J40:L40"/>
    <mergeCell ref="C8:L8"/>
    <mergeCell ref="D32:I32"/>
    <mergeCell ref="J36:L36"/>
    <mergeCell ref="A41:L41"/>
    <mergeCell ref="A37:L37"/>
    <mergeCell ref="J26:L26"/>
    <mergeCell ref="A12:C12"/>
    <mergeCell ref="A3:L3"/>
    <mergeCell ref="A17:L24"/>
    <mergeCell ref="A26:C26"/>
    <mergeCell ref="A27:L27"/>
    <mergeCell ref="D16:L16"/>
    <mergeCell ref="A42:C42"/>
    <mergeCell ref="J32:L32"/>
    <mergeCell ref="D28:I28"/>
    <mergeCell ref="A33:L33"/>
    <mergeCell ref="A32:C32"/>
    <mergeCell ref="A14:C14"/>
    <mergeCell ref="A5:L5"/>
    <mergeCell ref="D12:L12"/>
    <mergeCell ref="D30:I30"/>
    <mergeCell ref="A35:L35"/>
    <mergeCell ref="A38:C38"/>
    <mergeCell ref="G1:L1"/>
    <mergeCell ref="A28:C28"/>
    <mergeCell ref="D15:L15"/>
    <mergeCell ref="A13:C13"/>
    <mergeCell ref="A29:L29"/>
    <mergeCell ref="D38:I38"/>
    <mergeCell ref="D42:I42"/>
    <mergeCell ref="J42:L42"/>
    <mergeCell ref="A43:L43"/>
    <mergeCell ref="A44:C44"/>
    <mergeCell ref="D14:L14"/>
    <mergeCell ref="A40:C40"/>
    <mergeCell ref="A31:L31"/>
    <mergeCell ref="A30:C30"/>
    <mergeCell ref="D26:I26"/>
    <mergeCell ref="A15:C15"/>
    <mergeCell ref="C10:L10"/>
    <mergeCell ref="A8:B8"/>
    <mergeCell ref="A34:C34"/>
    <mergeCell ref="A39:L39"/>
    <mergeCell ref="D44:I44"/>
    <mergeCell ref="J44:L44"/>
    <mergeCell ref="D34:I34"/>
    <mergeCell ref="J38:L38"/>
    <mergeCell ref="A36:C36"/>
    <mergeCell ref="J28:L28"/>
    <mergeCell ref="C9:L9"/>
    <mergeCell ref="A11:L11"/>
    <mergeCell ref="A1:F1"/>
    <mergeCell ref="D40:I40"/>
    <mergeCell ref="A10:B10"/>
    <mergeCell ref="A6:L6"/>
    <mergeCell ref="D36:I36"/>
    <mergeCell ref="J34:L34"/>
    <mergeCell ref="A9:B9"/>
    <mergeCell ref="J30:L30"/>
    <mergeCell ref="A16:C1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16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Z16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5" customWidth="1" min="2" max="2"/>
    <col width="5" customWidth="1" min="3" max="3"/>
    <col width="5" customWidth="1" min="4" max="4"/>
    <col width="11" customWidth="1" min="5" max="5"/>
    <col width="2.15" customWidth="1" min="6" max="6"/>
    <col width="2.15" customWidth="1" min="7" max="7"/>
    <col width="2.15" customWidth="1" min="8" max="8"/>
    <col width="2.15" customWidth="1" min="9" max="9"/>
    <col width="2.15" customWidth="1" min="10" max="10"/>
    <col width="2.15" customWidth="1" min="11" max="11"/>
    <col width="2.15" customWidth="1" min="12" max="12"/>
    <col width="2.15" customWidth="1" min="13" max="13"/>
    <col width="2.15" customWidth="1" min="14" max="14"/>
    <col width="2.15" customWidth="1" min="15" max="15"/>
    <col width="2.15" customWidth="1" min="16" max="16"/>
    <col width="2.15" customWidth="1" min="17" max="17"/>
    <col width="2.15" customWidth="1" min="18" max="18"/>
    <col width="2.15" customWidth="1" min="19" max="19"/>
    <col width="2.15" customWidth="1" min="20" max="20"/>
    <col width="2.15" customWidth="1" min="21" max="21"/>
    <col width="2.15" customWidth="1" min="22" max="22"/>
    <col width="2.15" customWidth="1" min="23" max="23"/>
    <col width="2.15" customWidth="1" min="24" max="24"/>
    <col width="2.15" customWidth="1" min="25" max="25"/>
    <col width="7" customWidth="1" min="26" max="26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34" customHeight="1">
      <c r="A2" s="47" t="inlineStr">
        <is>
          <t>3-1)   예 정 공 정 표 (일 단위 · 1차 / 2차 시공)</t>
        </is>
      </c>
    </row>
    <row r="3" ht="22" customHeight="1">
      <c r="A3" s="6" t="inlineStr">
        <is>
          <t>착 수 일</t>
        </is>
      </c>
      <c r="B3" s="16" t="n">
        <v>46251</v>
      </c>
      <c r="C3" s="7" t="n"/>
      <c r="D3" s="11" t="inlineStr">
        <is>
          <t>※ 착수일과 공정마다 시작 일차 · 작업 일수를 적으면 끝나는 날과 일 단위 막대가 그려집니다.</t>
        </is>
      </c>
    </row>
    <row r="4" ht="18" customHeight="1">
      <c r="A4" s="20" t="inlineStr">
        <is>
          <t>공    정</t>
        </is>
      </c>
      <c r="B4" s="48" t="inlineStr">
        <is>
          <t>시작
일차</t>
        </is>
      </c>
      <c r="C4" s="48" t="inlineStr">
        <is>
          <t>일수</t>
        </is>
      </c>
      <c r="D4" s="48" t="inlineStr">
        <is>
          <t>종료
일차</t>
        </is>
      </c>
      <c r="E4" s="21" t="inlineStr">
        <is>
          <t>기    간</t>
        </is>
      </c>
      <c r="F4" s="49" t="n">
        <v>1</v>
      </c>
      <c r="G4" s="49" t="n">
        <v>2</v>
      </c>
      <c r="H4" s="49" t="n">
        <v>3</v>
      </c>
      <c r="I4" s="49" t="n">
        <v>4</v>
      </c>
      <c r="J4" s="49" t="n">
        <v>5</v>
      </c>
      <c r="K4" s="49" t="n">
        <v>6</v>
      </c>
      <c r="L4" s="49" t="n">
        <v>7</v>
      </c>
      <c r="M4" s="49" t="n">
        <v>8</v>
      </c>
      <c r="N4" s="49" t="n">
        <v>9</v>
      </c>
      <c r="O4" s="49" t="n">
        <v>10</v>
      </c>
      <c r="P4" s="49" t="n">
        <v>11</v>
      </c>
      <c r="Q4" s="49" t="n">
        <v>12</v>
      </c>
      <c r="R4" s="49" t="n">
        <v>13</v>
      </c>
      <c r="S4" s="49" t="n">
        <v>14</v>
      </c>
      <c r="T4" s="49" t="n">
        <v>15</v>
      </c>
      <c r="U4" s="49" t="n">
        <v>16</v>
      </c>
      <c r="V4" s="49" t="n">
        <v>17</v>
      </c>
      <c r="W4" s="49" t="n">
        <v>18</v>
      </c>
      <c r="X4" s="49" t="n">
        <v>19</v>
      </c>
      <c r="Y4" s="49" t="n">
        <v>20</v>
      </c>
      <c r="Z4" s="20" t="inlineStr">
        <is>
          <t>비 고</t>
        </is>
      </c>
    </row>
    <row r="5" ht="14" customHeight="1">
      <c r="A5" s="7" t="n"/>
      <c r="B5" s="7" t="n"/>
      <c r="C5" s="7" t="n"/>
      <c r="D5" s="7" t="n"/>
      <c r="E5" s="7" t="n"/>
      <c r="F5" s="50">
        <f>IF(N(B3)=0,"",B3+0)</f>
        <v/>
      </c>
      <c r="G5" s="50">
        <f>IF(N(B3)=0,"",B3+1)</f>
        <v/>
      </c>
      <c r="H5" s="50">
        <f>IF(N(B3)=0,"",B3+2)</f>
        <v/>
      </c>
      <c r="I5" s="50">
        <f>IF(N(B3)=0,"",B3+3)</f>
        <v/>
      </c>
      <c r="J5" s="50">
        <f>IF(N(B3)=0,"",B3+4)</f>
        <v/>
      </c>
      <c r="K5" s="50">
        <f>IF(N(B3)=0,"",B3+5)</f>
        <v/>
      </c>
      <c r="L5" s="50">
        <f>IF(N(B3)=0,"",B3+6)</f>
        <v/>
      </c>
      <c r="M5" s="50">
        <f>IF(N(B3)=0,"",B3+7)</f>
        <v/>
      </c>
      <c r="N5" s="50">
        <f>IF(N(B3)=0,"",B3+8)</f>
        <v/>
      </c>
      <c r="O5" s="50">
        <f>IF(N(B3)=0,"",B3+9)</f>
        <v/>
      </c>
      <c r="P5" s="50">
        <f>IF(N(B3)=0,"",B3+10)</f>
        <v/>
      </c>
      <c r="Q5" s="50">
        <f>IF(N(B3)=0,"",B3+11)</f>
        <v/>
      </c>
      <c r="R5" s="50">
        <f>IF(N(B3)=0,"",B3+12)</f>
        <v/>
      </c>
      <c r="S5" s="50">
        <f>IF(N(B3)=0,"",B3+13)</f>
        <v/>
      </c>
      <c r="T5" s="50">
        <f>IF(N(B3)=0,"",B3+14)</f>
        <v/>
      </c>
      <c r="U5" s="50">
        <f>IF(N(B3)=0,"",B3+15)</f>
        <v/>
      </c>
      <c r="V5" s="50">
        <f>IF(N(B3)=0,"",B3+16)</f>
        <v/>
      </c>
      <c r="W5" s="50">
        <f>IF(N(B3)=0,"",B3+17)</f>
        <v/>
      </c>
      <c r="X5" s="50">
        <f>IF(N(B3)=0,"",B3+18)</f>
        <v/>
      </c>
      <c r="Y5" s="50">
        <f>IF(N(B3)=0,"",B3+19)</f>
        <v/>
      </c>
      <c r="Z5" s="7" t="n"/>
    </row>
    <row r="6" ht="24" customHeight="1">
      <c r="A6" s="26" t="inlineStr">
        <is>
          <t>현장 시공준비(1차)</t>
        </is>
      </c>
      <c r="B6" s="51" t="n">
        <v>1</v>
      </c>
      <c r="C6" s="51" t="n">
        <v>1</v>
      </c>
      <c r="D6" s="52">
        <f>IF(OR(N(B6)=0,N(C6)=0),"",B6+C6-1)</f>
        <v/>
      </c>
      <c r="E6" s="53">
        <f>IF(OR(D6="",N(B3)=0),"",MONTH(B3+B6-1)&amp;"/"&amp;DAY(B3+B6-1)&amp;" ~ "&amp;MONTH(B3+D6-1)&amp;"/"&amp;DAY(B3+D6-1))</f>
        <v/>
      </c>
      <c r="F6" s="34" t="inlineStr"/>
      <c r="G6" s="34" t="inlineStr"/>
      <c r="H6" s="34" t="inlineStr"/>
      <c r="I6" s="34" t="inlineStr"/>
      <c r="J6" s="34" t="inlineStr"/>
      <c r="K6" s="34" t="inlineStr"/>
      <c r="L6" s="34" t="inlineStr"/>
      <c r="M6" s="34" t="inlineStr"/>
      <c r="N6" s="34" t="inlineStr"/>
      <c r="O6" s="34" t="inlineStr"/>
      <c r="P6" s="34" t="inlineStr"/>
      <c r="Q6" s="34" t="inlineStr"/>
      <c r="R6" s="34" t="inlineStr"/>
      <c r="S6" s="34" t="inlineStr"/>
      <c r="T6" s="34" t="inlineStr"/>
      <c r="U6" s="34" t="inlineStr"/>
      <c r="V6" s="34" t="inlineStr"/>
      <c r="W6" s="34" t="inlineStr"/>
      <c r="X6" s="34" t="inlineStr"/>
      <c r="Y6" s="34" t="inlineStr"/>
      <c r="Z6" s="54" t="n"/>
    </row>
    <row r="7" ht="24" customHeight="1">
      <c r="A7" s="26" t="inlineStr">
        <is>
          <t>회전관입 · 그라우트 주입(1차)</t>
        </is>
      </c>
      <c r="B7" s="51" t="n">
        <v>2</v>
      </c>
      <c r="C7" s="51" t="n">
        <v>3</v>
      </c>
      <c r="D7" s="52">
        <f>IF(OR(N(B7)=0,N(C7)=0),"",B7+C7-1)</f>
        <v/>
      </c>
      <c r="E7" s="53">
        <f>IF(OR(D7="",N(B3)=0),"",MONTH(B3+B7-1)&amp;"/"&amp;DAY(B3+B7-1)&amp;" ~ "&amp;MONTH(B3+D7-1)&amp;"/"&amp;DAY(B3+D7-1))</f>
        <v/>
      </c>
      <c r="F7" s="34" t="inlineStr"/>
      <c r="G7" s="34" t="inlineStr"/>
      <c r="H7" s="34" t="inlineStr"/>
      <c r="I7" s="34" t="inlineStr"/>
      <c r="J7" s="34" t="inlineStr"/>
      <c r="K7" s="34" t="inlineStr"/>
      <c r="L7" s="34" t="inlineStr"/>
      <c r="M7" s="34" t="inlineStr"/>
      <c r="N7" s="34" t="inlineStr"/>
      <c r="O7" s="34" t="inlineStr"/>
      <c r="P7" s="34" t="inlineStr"/>
      <c r="Q7" s="34" t="inlineStr"/>
      <c r="R7" s="34" t="inlineStr"/>
      <c r="S7" s="34" t="inlineStr"/>
      <c r="T7" s="34" t="inlineStr"/>
      <c r="U7" s="34" t="inlineStr"/>
      <c r="V7" s="34" t="inlineStr"/>
      <c r="W7" s="34" t="inlineStr"/>
      <c r="X7" s="34" t="inlineStr"/>
      <c r="Y7" s="34" t="inlineStr"/>
      <c r="Z7" s="54" t="n"/>
    </row>
    <row r="8" ht="24" customHeight="1">
      <c r="A8" s="26" t="inlineStr">
        <is>
          <t>현장 시공준비(2차)</t>
        </is>
      </c>
      <c r="B8" s="51" t="n">
        <v>5</v>
      </c>
      <c r="C8" s="51" t="n">
        <v>1</v>
      </c>
      <c r="D8" s="52">
        <f>IF(OR(N(B8)=0,N(C8)=0),"",B8+C8-1)</f>
        <v/>
      </c>
      <c r="E8" s="53">
        <f>IF(OR(D8="",N(B3)=0),"",MONTH(B3+B8-1)&amp;"/"&amp;DAY(B3+B8-1)&amp;" ~ "&amp;MONTH(B3+D8-1)&amp;"/"&amp;DAY(B3+D8-1))</f>
        <v/>
      </c>
      <c r="F8" s="34" t="inlineStr"/>
      <c r="G8" s="34" t="inlineStr"/>
      <c r="H8" s="34" t="inlineStr"/>
      <c r="I8" s="34" t="inlineStr"/>
      <c r="J8" s="34" t="inlineStr"/>
      <c r="K8" s="34" t="inlineStr"/>
      <c r="L8" s="34" t="inlineStr"/>
      <c r="M8" s="34" t="inlineStr"/>
      <c r="N8" s="34" t="inlineStr"/>
      <c r="O8" s="34" t="inlineStr"/>
      <c r="P8" s="34" t="inlineStr"/>
      <c r="Q8" s="34" t="inlineStr"/>
      <c r="R8" s="34" t="inlineStr"/>
      <c r="S8" s="34" t="inlineStr"/>
      <c r="T8" s="34" t="inlineStr"/>
      <c r="U8" s="34" t="inlineStr"/>
      <c r="V8" s="34" t="inlineStr"/>
      <c r="W8" s="34" t="inlineStr"/>
      <c r="X8" s="34" t="inlineStr"/>
      <c r="Y8" s="34" t="inlineStr"/>
      <c r="Z8" s="54" t="n"/>
    </row>
    <row r="9" ht="24" customHeight="1">
      <c r="A9" s="26" t="inlineStr">
        <is>
          <t>회전관입 · 그라우트 주입(2차)</t>
        </is>
      </c>
      <c r="B9" s="51" t="n">
        <v>6</v>
      </c>
      <c r="C9" s="51" t="n">
        <v>2</v>
      </c>
      <c r="D9" s="52">
        <f>IF(OR(N(B9)=0,N(C9)=0),"",B9+C9-1)</f>
        <v/>
      </c>
      <c r="E9" s="53">
        <f>IF(OR(D9="",N(B3)=0),"",MONTH(B3+B9-1)&amp;"/"&amp;DAY(B3+B9-1)&amp;" ~ "&amp;MONTH(B3+D9-1)&amp;"/"&amp;DAY(B3+D9-1))</f>
        <v/>
      </c>
      <c r="F9" s="34" t="inlineStr"/>
      <c r="G9" s="34" t="inlineStr"/>
      <c r="H9" s="34" t="inlineStr"/>
      <c r="I9" s="34" t="inlineStr"/>
      <c r="J9" s="34" t="inlineStr"/>
      <c r="K9" s="34" t="inlineStr"/>
      <c r="L9" s="34" t="inlineStr"/>
      <c r="M9" s="34" t="inlineStr"/>
      <c r="N9" s="34" t="inlineStr"/>
      <c r="O9" s="34" t="inlineStr"/>
      <c r="P9" s="34" t="inlineStr"/>
      <c r="Q9" s="34" t="inlineStr"/>
      <c r="R9" s="34" t="inlineStr"/>
      <c r="S9" s="34" t="inlineStr"/>
      <c r="T9" s="34" t="inlineStr"/>
      <c r="U9" s="34" t="inlineStr"/>
      <c r="V9" s="34" t="inlineStr"/>
      <c r="W9" s="34" t="inlineStr"/>
      <c r="X9" s="34" t="inlineStr"/>
      <c r="Y9" s="34" t="inlineStr"/>
      <c r="Z9" s="54" t="n"/>
    </row>
    <row r="10" ht="24" customHeight="1">
      <c r="A10" s="26" t="inlineStr">
        <is>
          <t>주입공 상부 표층보강</t>
        </is>
      </c>
      <c r="B10" s="51" t="n">
        <v>8</v>
      </c>
      <c r="C10" s="51" t="n">
        <v>1</v>
      </c>
      <c r="D10" s="52">
        <f>IF(OR(N(B10)=0,N(C10)=0),"",B10+C10-1)</f>
        <v/>
      </c>
      <c r="E10" s="53">
        <f>IF(OR(D10="",N(B3)=0),"",MONTH(B3+B10-1)&amp;"/"&amp;DAY(B3+B10-1)&amp;" ~ "&amp;MONTH(B3+D10-1)&amp;"/"&amp;DAY(B3+D10-1))</f>
        <v/>
      </c>
      <c r="F10" s="34" t="inlineStr"/>
      <c r="G10" s="34" t="inlineStr"/>
      <c r="H10" s="34" t="inlineStr"/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34" t="inlineStr"/>
      <c r="Q10" s="34" t="inlineStr"/>
      <c r="R10" s="34" t="inlineStr"/>
      <c r="S10" s="34" t="inlineStr"/>
      <c r="T10" s="34" t="inlineStr"/>
      <c r="U10" s="34" t="inlineStr"/>
      <c r="V10" s="34" t="inlineStr"/>
      <c r="W10" s="34" t="inlineStr"/>
      <c r="X10" s="34" t="inlineStr"/>
      <c r="Y10" s="34" t="inlineStr"/>
      <c r="Z10" s="54" t="n"/>
    </row>
    <row r="11" ht="24" customHeight="1">
      <c r="A11" s="26" t="inlineStr">
        <is>
          <t>평판재하시험</t>
        </is>
      </c>
      <c r="B11" s="51" t="n">
        <v>8</v>
      </c>
      <c r="C11" s="51" t="n">
        <v>1</v>
      </c>
      <c r="D11" s="52">
        <f>IF(OR(N(B11)=0,N(C11)=0),"",B11+C11-1)</f>
        <v/>
      </c>
      <c r="E11" s="53">
        <f>IF(OR(D11="",N(B3)=0),"",MONTH(B3+B11-1)&amp;"/"&amp;DAY(B3+B11-1)&amp;" ~ "&amp;MONTH(B3+D11-1)&amp;"/"&amp;DAY(B3+D11-1))</f>
        <v/>
      </c>
      <c r="F11" s="34" t="inlineStr"/>
      <c r="G11" s="34" t="inlineStr"/>
      <c r="H11" s="34" t="inlineStr"/>
      <c r="I11" s="34" t="inlineStr"/>
      <c r="J11" s="34" t="inlineStr"/>
      <c r="K11" s="34" t="inlineStr"/>
      <c r="L11" s="34" t="inlineStr"/>
      <c r="M11" s="34" t="inlineStr"/>
      <c r="N11" s="34" t="inlineStr"/>
      <c r="O11" s="34" t="inlineStr"/>
      <c r="P11" s="34" t="inlineStr"/>
      <c r="Q11" s="34" t="inlineStr"/>
      <c r="R11" s="34" t="inlineStr"/>
      <c r="S11" s="34" t="inlineStr"/>
      <c r="T11" s="34" t="inlineStr"/>
      <c r="U11" s="34" t="inlineStr"/>
      <c r="V11" s="34" t="inlineStr"/>
      <c r="W11" s="34" t="inlineStr"/>
      <c r="X11" s="34" t="inlineStr"/>
      <c r="Y11" s="34" t="inlineStr"/>
      <c r="Z11" s="54" t="n"/>
    </row>
    <row r="12" ht="24" customHeight="1">
      <c r="A12" s="26" t="n"/>
      <c r="B12" s="51" t="n"/>
      <c r="C12" s="51" t="n"/>
      <c r="D12" s="52">
        <f>IF(OR(N(B12)=0,N(C12)=0),"",B12+C12-1)</f>
        <v/>
      </c>
      <c r="E12" s="53">
        <f>IF(OR(D12="",N(B3)=0),"",MONTH(B3+B12-1)&amp;"/"&amp;DAY(B3+B12-1)&amp;" ~ "&amp;MONTH(B3+D12-1)&amp;"/"&amp;DAY(B3+D12-1))</f>
        <v/>
      </c>
      <c r="F12" s="34" t="inlineStr"/>
      <c r="G12" s="34" t="inlineStr"/>
      <c r="H12" s="34" t="inlineStr"/>
      <c r="I12" s="34" t="inlineStr"/>
      <c r="J12" s="34" t="inlineStr"/>
      <c r="K12" s="34" t="inlineStr"/>
      <c r="L12" s="34" t="inlineStr"/>
      <c r="M12" s="34" t="inlineStr"/>
      <c r="N12" s="34" t="inlineStr"/>
      <c r="O12" s="34" t="inlineStr"/>
      <c r="P12" s="34" t="inlineStr"/>
      <c r="Q12" s="34" t="inlineStr"/>
      <c r="R12" s="34" t="inlineStr"/>
      <c r="S12" s="34" t="inlineStr"/>
      <c r="T12" s="34" t="inlineStr"/>
      <c r="U12" s="34" t="inlineStr"/>
      <c r="V12" s="34" t="inlineStr"/>
      <c r="W12" s="34" t="inlineStr"/>
      <c r="X12" s="34" t="inlineStr"/>
      <c r="Y12" s="34" t="inlineStr"/>
      <c r="Z12" s="54" t="n"/>
    </row>
    <row r="13" ht="24" customHeight="1">
      <c r="A13" s="26" t="n"/>
      <c r="B13" s="51" t="n"/>
      <c r="C13" s="51" t="n"/>
      <c r="D13" s="52">
        <f>IF(OR(N(B13)=0,N(C13)=0),"",B13+C13-1)</f>
        <v/>
      </c>
      <c r="E13" s="53">
        <f>IF(OR(D13="",N(B3)=0),"",MONTH(B3+B13-1)&amp;"/"&amp;DAY(B3+B13-1)&amp;" ~ "&amp;MONTH(B3+D13-1)&amp;"/"&amp;DAY(B3+D13-1))</f>
        <v/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34" t="inlineStr"/>
      <c r="Q13" s="34" t="inlineStr"/>
      <c r="R13" s="34" t="inlineStr"/>
      <c r="S13" s="34" t="inlineStr"/>
      <c r="T13" s="34" t="inlineStr"/>
      <c r="U13" s="34" t="inlineStr"/>
      <c r="V13" s="34" t="inlineStr"/>
      <c r="W13" s="34" t="inlineStr"/>
      <c r="X13" s="34" t="inlineStr"/>
      <c r="Y13" s="34" t="inlineStr"/>
      <c r="Z13" s="54" t="n"/>
    </row>
    <row r="14" ht="22" customHeight="1">
      <c r="A14" s="27" t="inlineStr">
        <is>
          <t>총 작업 일수</t>
        </is>
      </c>
      <c r="B14" s="7" t="n"/>
      <c r="C14" s="7" t="n"/>
      <c r="D14" s="7" t="n"/>
      <c r="E14" s="55">
        <f>IF(COUNT(D6:D13)=0,"",MAX(D6:D13))</f>
        <v/>
      </c>
      <c r="F14" s="56">
        <f>IF(OR(E14="",N(B3)=0),"",B3+E14-1)</f>
        <v/>
      </c>
      <c r="Z14" s="5" t="inlineStr"/>
    </row>
    <row r="16" ht="19.5" customHeight="1">
      <c r="A16" s="11" t="inlineStr">
        <is>
          <t>이 시트는 작성 예시입니다(가상의 일정).</t>
        </is>
      </c>
    </row>
  </sheetData>
  <mergeCells count="14">
    <mergeCell ref="B4:B5"/>
    <mergeCell ref="D3:Z3"/>
    <mergeCell ref="C4:C5"/>
    <mergeCell ref="B3:C3"/>
    <mergeCell ref="A4:A5"/>
    <mergeCell ref="A1:F1"/>
    <mergeCell ref="D4:D5"/>
    <mergeCell ref="E4:E5"/>
    <mergeCell ref="Z4:Z5"/>
    <mergeCell ref="G1:Z1"/>
    <mergeCell ref="A2:Z2"/>
    <mergeCell ref="A16:Z16"/>
    <mergeCell ref="A14:D14"/>
    <mergeCell ref="F14:Y14"/>
  </mergeCells>
  <conditionalFormatting sqref="F6:Y13">
    <cfRule type="expression" priority="1" dxfId="1">
      <formula>AND(N($B6)&gt;0,N($D6)&gt;=N($B6),F$4&gt;=$B6,F$4&lt;=$D6)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4.  장비 및 장치 투입계획</t>
        </is>
      </c>
    </row>
    <row r="4" ht="4" customHeight="1"/>
    <row r="5" ht="24" customHeight="1">
      <c r="A5" s="20" t="inlineStr">
        <is>
          <t>장 비 명</t>
        </is>
      </c>
      <c r="B5" s="7" t="n"/>
      <c r="C5" s="20" t="inlineStr">
        <is>
          <t>규    격</t>
        </is>
      </c>
      <c r="D5" s="7" t="n"/>
      <c r="E5" s="7" t="n"/>
      <c r="F5" s="20" t="inlineStr">
        <is>
          <t>단위</t>
        </is>
      </c>
      <c r="G5" s="20" t="inlineStr">
        <is>
          <t>수량</t>
        </is>
      </c>
      <c r="H5" s="20" t="inlineStr">
        <is>
          <t>용    도</t>
        </is>
      </c>
      <c r="I5" s="7" t="n"/>
      <c r="J5" s="7" t="n"/>
      <c r="K5" s="7" t="n"/>
      <c r="L5" s="7" t="n"/>
    </row>
    <row r="6" ht="30" customHeight="1">
      <c r="A6" s="8" t="inlineStr">
        <is>
          <t>굴삭기</t>
        </is>
      </c>
      <c r="B6" s="7" t="n"/>
      <c r="C6" s="23" t="inlineStr">
        <is>
          <t>08 타이어 또는 10 궤도</t>
        </is>
      </c>
      <c r="D6" s="7" t="n"/>
      <c r="E6" s="7" t="n"/>
      <c r="F6" s="8" t="inlineStr">
        <is>
          <t>대</t>
        </is>
      </c>
      <c r="G6" s="57" t="n">
        <v>1</v>
      </c>
      <c r="H6" s="58" t="inlineStr">
        <is>
          <t>스위벨 부착 오거를 달아 오거로드 선단의 토출 절삭암을 회전관입</t>
        </is>
      </c>
      <c r="I6" s="7" t="n"/>
      <c r="J6" s="7" t="n"/>
      <c r="K6" s="7" t="n"/>
      <c r="L6" s="7" t="n"/>
    </row>
    <row r="7" ht="30" customHeight="1">
      <c r="A7" s="8" t="inlineStr">
        <is>
          <t>오거로드</t>
        </is>
      </c>
      <c r="B7" s="7" t="n"/>
      <c r="C7" s="23" t="n"/>
      <c r="D7" s="7" t="n"/>
      <c r="E7" s="7" t="n"/>
      <c r="F7" s="8" t="inlineStr">
        <is>
          <t>대</t>
        </is>
      </c>
      <c r="G7" s="57" t="n">
        <v>1</v>
      </c>
      <c r="H7" s="58" t="n"/>
      <c r="I7" s="7" t="n"/>
      <c r="J7" s="7" t="n"/>
      <c r="K7" s="7" t="n"/>
      <c r="L7" s="7" t="n"/>
    </row>
    <row r="8" ht="30" customHeight="1">
      <c r="A8" s="8" t="inlineStr">
        <is>
          <t>플랜트</t>
        </is>
      </c>
      <c r="B8" s="7" t="n"/>
      <c r="C8" s="23" t="inlineStr">
        <is>
          <t>사일로 · 믹서펌프</t>
        </is>
      </c>
      <c r="D8" s="7" t="n"/>
      <c r="E8" s="7" t="n"/>
      <c r="F8" s="8" t="inlineStr">
        <is>
          <t>대</t>
        </is>
      </c>
      <c r="G8" s="57" t="n">
        <v>1</v>
      </c>
      <c r="H8" s="58" t="inlineStr">
        <is>
          <t>고화재 그라우트 교반 및 이송</t>
        </is>
      </c>
      <c r="I8" s="7" t="n"/>
      <c r="J8" s="7" t="n"/>
      <c r="K8" s="7" t="n"/>
      <c r="L8" s="7" t="n"/>
    </row>
    <row r="9" ht="30" customHeight="1">
      <c r="A9" s="8" t="inlineStr">
        <is>
          <t>물차</t>
        </is>
      </c>
      <c r="B9" s="7" t="n"/>
      <c r="C9" s="23" t="n"/>
      <c r="D9" s="7" t="n"/>
      <c r="E9" s="7" t="n"/>
      <c r="F9" s="8" t="inlineStr">
        <is>
          <t>대</t>
        </is>
      </c>
      <c r="G9" s="57" t="n">
        <v>1</v>
      </c>
      <c r="H9" s="58" t="n"/>
      <c r="I9" s="7" t="n"/>
      <c r="J9" s="7" t="n"/>
      <c r="K9" s="7" t="n"/>
      <c r="L9" s="7" t="n"/>
    </row>
    <row r="10" ht="30" customHeight="1">
      <c r="A10" s="8" t="inlineStr">
        <is>
          <t>수조</t>
        </is>
      </c>
      <c r="B10" s="7" t="n"/>
      <c r="C10" s="23" t="n"/>
      <c r="D10" s="7" t="n"/>
      <c r="E10" s="7" t="n"/>
      <c r="F10" s="8" t="inlineStr">
        <is>
          <t>대</t>
        </is>
      </c>
      <c r="G10" s="57" t="n">
        <v>1</v>
      </c>
      <c r="H10" s="58" t="n"/>
      <c r="I10" s="7" t="n"/>
      <c r="J10" s="7" t="n"/>
      <c r="K10" s="7" t="n"/>
      <c r="L10" s="7" t="n"/>
    </row>
    <row r="11" ht="30" customHeight="1">
      <c r="A11" s="8" t="inlineStr">
        <is>
          <t>발전기</t>
        </is>
      </c>
      <c r="B11" s="7" t="n"/>
      <c r="C11" s="23" t="inlineStr">
        <is>
          <t>75kW 또는 100kW</t>
        </is>
      </c>
      <c r="D11" s="7" t="n"/>
      <c r="E11" s="7" t="n"/>
      <c r="F11" s="8" t="inlineStr">
        <is>
          <t>대</t>
        </is>
      </c>
      <c r="G11" s="57" t="n">
        <v>1</v>
      </c>
      <c r="H11" s="58" t="inlineStr">
        <is>
          <t>플랜트 가동</t>
        </is>
      </c>
      <c r="I11" s="7" t="n"/>
      <c r="J11" s="7" t="n"/>
      <c r="K11" s="7" t="n"/>
      <c r="L11" s="7" t="n"/>
    </row>
    <row r="12" ht="30" customHeight="1">
      <c r="A12" s="8" t="inlineStr">
        <is>
          <t>동력분무기</t>
        </is>
      </c>
      <c r="B12" s="7" t="n"/>
      <c r="C12" s="23" t="inlineStr">
        <is>
          <t>6.0마력</t>
        </is>
      </c>
      <c r="D12" s="7" t="n"/>
      <c r="E12" s="7" t="n"/>
      <c r="F12" s="8" t="inlineStr">
        <is>
          <t>대</t>
        </is>
      </c>
      <c r="G12" s="57" t="n">
        <v>2</v>
      </c>
      <c r="H12" s="58" t="inlineStr">
        <is>
          <t>표층고화 작업 때 분진 방지</t>
        </is>
      </c>
      <c r="I12" s="7" t="n"/>
      <c r="J12" s="7" t="n"/>
      <c r="K12" s="7" t="n"/>
      <c r="L12" s="7" t="n"/>
    </row>
    <row r="13" ht="30" customHeight="1">
      <c r="A13" s="8" t="inlineStr">
        <is>
          <t>진동롤러</t>
        </is>
      </c>
      <c r="B13" s="7" t="n"/>
      <c r="C13" s="23" t="n"/>
      <c r="D13" s="7" t="n"/>
      <c r="E13" s="7" t="n"/>
      <c r="F13" s="8" t="inlineStr">
        <is>
          <t>대</t>
        </is>
      </c>
      <c r="G13" s="57" t="n">
        <v>1</v>
      </c>
      <c r="H13" s="58" t="inlineStr">
        <is>
          <t>표층보강 때 진동다짐</t>
        </is>
      </c>
      <c r="I13" s="7" t="n"/>
      <c r="J13" s="7" t="n"/>
      <c r="K13" s="7" t="n"/>
      <c r="L13" s="7" t="n"/>
    </row>
    <row r="14" ht="30" customHeight="1">
      <c r="A14" s="8" t="n"/>
      <c r="B14" s="7" t="n"/>
      <c r="C14" s="23" t="n"/>
      <c r="D14" s="7" t="n"/>
      <c r="E14" s="7" t="n"/>
      <c r="F14" s="8" t="n"/>
      <c r="G14" s="57" t="n"/>
      <c r="H14" s="58" t="n"/>
      <c r="I14" s="7" t="n"/>
      <c r="J14" s="7" t="n"/>
      <c r="K14" s="7" t="n"/>
      <c r="L14" s="7" t="n"/>
    </row>
    <row r="15" ht="30" customHeight="1">
      <c r="A15" s="8" t="n"/>
      <c r="B15" s="7" t="n"/>
      <c r="C15" s="23" t="n"/>
      <c r="D15" s="7" t="n"/>
      <c r="E15" s="7" t="n"/>
      <c r="F15" s="8" t="n"/>
      <c r="G15" s="57" t="n"/>
      <c r="H15" s="58" t="n"/>
      <c r="I15" s="7" t="n"/>
      <c r="J15" s="7" t="n"/>
      <c r="K15" s="7" t="n"/>
      <c r="L15" s="7" t="n"/>
    </row>
    <row r="16" ht="4" customHeight="1"/>
    <row r="17" ht="30" customHeight="1">
      <c r="A17" s="14" t="inlineStr">
        <is>
          <t>5.  인부 투입계획</t>
        </is>
      </c>
    </row>
    <row r="18" ht="4" customHeight="1"/>
    <row r="19" ht="24" customHeight="1">
      <c r="A19" s="20" t="inlineStr">
        <is>
          <t>직    종</t>
        </is>
      </c>
      <c r="B19" s="7" t="n"/>
      <c r="C19" s="7" t="n"/>
      <c r="D19" s="20" t="inlineStr">
        <is>
          <t>단위</t>
        </is>
      </c>
      <c r="E19" s="20" t="inlineStr">
        <is>
          <t>인 원 수</t>
        </is>
      </c>
      <c r="F19" s="7" t="n"/>
      <c r="G19" s="20" t="inlineStr">
        <is>
          <t>용    도</t>
        </is>
      </c>
      <c r="H19" s="7" t="n"/>
      <c r="I19" s="7" t="n"/>
      <c r="J19" s="7" t="n"/>
      <c r="K19" s="7" t="n"/>
      <c r="L19" s="7" t="n"/>
    </row>
    <row r="20" ht="24" customHeight="1">
      <c r="A20" s="8" t="inlineStr">
        <is>
          <t>작업반장</t>
        </is>
      </c>
      <c r="B20" s="7" t="n"/>
      <c r="C20" s="7" t="n"/>
      <c r="D20" s="17" t="inlineStr">
        <is>
          <t>명</t>
        </is>
      </c>
      <c r="E20" s="57" t="n">
        <v>1</v>
      </c>
      <c r="F20" s="7" t="n"/>
      <c r="G20" s="26" t="inlineStr">
        <is>
          <t>주입교반 및 표층고화 시공 관리</t>
        </is>
      </c>
      <c r="H20" s="7" t="n"/>
      <c r="I20" s="7" t="n"/>
      <c r="J20" s="7" t="n"/>
      <c r="K20" s="7" t="n"/>
      <c r="L20" s="7" t="n"/>
    </row>
    <row r="21" ht="24" customHeight="1">
      <c r="A21" s="8" t="inlineStr">
        <is>
          <t>특수인부</t>
        </is>
      </c>
      <c r="B21" s="7" t="n"/>
      <c r="C21" s="7" t="n"/>
      <c r="D21" s="17" t="inlineStr">
        <is>
          <t>명</t>
        </is>
      </c>
      <c r="E21" s="57" t="n">
        <v>1</v>
      </c>
      <c r="F21" s="7" t="n"/>
      <c r="G21" s="26" t="inlineStr">
        <is>
          <t>플랜트 운용 · 수직도 및 위치 확인</t>
        </is>
      </c>
      <c r="H21" s="7" t="n"/>
      <c r="I21" s="7" t="n"/>
      <c r="J21" s="7" t="n"/>
      <c r="K21" s="7" t="n"/>
      <c r="L21" s="7" t="n"/>
    </row>
    <row r="22" ht="24" customHeight="1">
      <c r="A22" s="8" t="inlineStr">
        <is>
          <t>보통인부</t>
        </is>
      </c>
      <c r="B22" s="7" t="n"/>
      <c r="C22" s="7" t="n"/>
      <c r="D22" s="17" t="inlineStr">
        <is>
          <t>명</t>
        </is>
      </c>
      <c r="E22" s="57" t="n">
        <v>2</v>
      </c>
      <c r="F22" s="7" t="n"/>
      <c r="G22" s="26" t="inlineStr">
        <is>
          <t>호스 이동 · 작업 보조</t>
        </is>
      </c>
      <c r="H22" s="7" t="n"/>
      <c r="I22" s="7" t="n"/>
      <c r="J22" s="7" t="n"/>
      <c r="K22" s="7" t="n"/>
      <c r="L22" s="7" t="n"/>
    </row>
    <row r="23" ht="24" customHeight="1">
      <c r="A23" s="8" t="n"/>
      <c r="B23" s="7" t="n"/>
      <c r="C23" s="7" t="n"/>
      <c r="D23" s="17" t="inlineStr">
        <is>
          <t>명</t>
        </is>
      </c>
      <c r="E23" s="57" t="n"/>
      <c r="F23" s="7" t="n"/>
      <c r="G23" s="26" t="n"/>
      <c r="H23" s="7" t="n"/>
      <c r="I23" s="7" t="n"/>
      <c r="J23" s="7" t="n"/>
      <c r="K23" s="7" t="n"/>
      <c r="L23" s="7" t="n"/>
    </row>
    <row r="24" ht="24" customHeight="1">
      <c r="A24" s="8" t="n"/>
      <c r="B24" s="7" t="n"/>
      <c r="C24" s="7" t="n"/>
      <c r="D24" s="17" t="inlineStr">
        <is>
          <t>명</t>
        </is>
      </c>
      <c r="E24" s="57" t="n"/>
      <c r="F24" s="7" t="n"/>
      <c r="G24" s="26" t="n"/>
      <c r="H24" s="7" t="n"/>
      <c r="I24" s="7" t="n"/>
      <c r="J24" s="7" t="n"/>
      <c r="K24" s="7" t="n"/>
      <c r="L24" s="7" t="n"/>
    </row>
    <row r="25" ht="24" customHeight="1">
      <c r="A25" s="27" t="inlineStr">
        <is>
          <t>계</t>
        </is>
      </c>
      <c r="B25" s="7" t="n"/>
      <c r="C25" s="7" t="n"/>
      <c r="D25" s="27" t="inlineStr">
        <is>
          <t>명</t>
        </is>
      </c>
      <c r="E25" s="59">
        <f>IF(SUM(E20:E24)=0,"",SUM(E20:E24))</f>
        <v/>
      </c>
      <c r="F25" s="7" t="n"/>
      <c r="G25" s="27" t="inlineStr"/>
      <c r="H25" s="7" t="n"/>
      <c r="I25" s="7" t="n"/>
      <c r="J25" s="7" t="n"/>
      <c r="K25" s="7" t="n"/>
      <c r="L25" s="7" t="n"/>
    </row>
    <row r="26" ht="26" customHeight="1">
      <c r="A26" s="6" t="inlineStr">
        <is>
          <t>1일 예상 작업량 (주입길이)</t>
        </is>
      </c>
      <c r="B26" s="7" t="n"/>
      <c r="C26" s="7" t="n"/>
      <c r="D26" s="7" t="n"/>
      <c r="E26" s="60" t="n">
        <v>250</v>
      </c>
      <c r="F26" s="7" t="n"/>
      <c r="G26" s="61">
        <f>IF(OR(N('예시-개요'!G27)=0,N(E26)=0),"","총 주입길이 "&amp;'예시-개요'!G27&amp;" m ÷ "&amp;E26&amp;" m = 주입 약 "&amp;ROUNDUP('예시-개요'!G27/E26,0)&amp;"일")</f>
        <v/>
      </c>
      <c r="H26" s="7" t="n"/>
      <c r="I26" s="7" t="n"/>
      <c r="J26" s="7" t="n"/>
      <c r="K26" s="7" t="n"/>
      <c r="L26" s="7" t="n"/>
    </row>
    <row r="27" ht="4" customHeight="1"/>
    <row r="28" ht="30" customHeight="1">
      <c r="A28" s="14" t="inlineStr">
        <is>
          <t>6.  자재 투입계획</t>
        </is>
      </c>
    </row>
    <row r="29" ht="4" customHeight="1"/>
    <row r="30" ht="24" customHeight="1">
      <c r="A30" s="20" t="inlineStr">
        <is>
          <t>자    재</t>
        </is>
      </c>
      <c r="B30" s="7" t="n"/>
      <c r="C30" s="7" t="n"/>
      <c r="D30" s="20" t="inlineStr">
        <is>
          <t>규    격</t>
        </is>
      </c>
      <c r="E30" s="7" t="n"/>
      <c r="F30" s="20" t="inlineStr">
        <is>
          <t>수    량</t>
        </is>
      </c>
      <c r="G30" s="7" t="n"/>
      <c r="H30" s="20" t="inlineStr">
        <is>
          <t>단위</t>
        </is>
      </c>
      <c r="I30" s="20" t="inlineStr">
        <is>
          <t>비    고</t>
        </is>
      </c>
      <c r="J30" s="7" t="n"/>
      <c r="K30" s="7" t="n"/>
      <c r="L30" s="7" t="n"/>
    </row>
    <row r="31" ht="24" customHeight="1">
      <c r="A31" s="17" t="inlineStr">
        <is>
          <t>고 화 재</t>
        </is>
      </c>
      <c r="B31" s="7" t="n"/>
      <c r="C31" s="7" t="n"/>
      <c r="D31" s="17" t="inlineStr">
        <is>
          <t>주입용</t>
        </is>
      </c>
      <c r="E31" s="7" t="n"/>
      <c r="F31" s="62">
        <f>IF(OR(N('예시-개요'!G27)=0,N('예시-개요'!J66)=0),"",ROUNDUP('예시-개요'!G27*'예시-개요'!J66/1000,1))</f>
        <v/>
      </c>
      <c r="G31" s="7" t="n"/>
      <c r="H31" s="17" t="inlineStr">
        <is>
          <t>톤</t>
        </is>
      </c>
      <c r="I31" s="63" t="inlineStr">
        <is>
          <t>총 주입길이 × 설계량 ÷ 1,000 (자동)</t>
        </is>
      </c>
      <c r="J31" s="7" t="n"/>
      <c r="K31" s="7" t="n"/>
      <c r="L31" s="7" t="n"/>
    </row>
    <row r="32" ht="24" customHeight="1">
      <c r="A32" s="7" t="n"/>
      <c r="B32" s="7" t="n"/>
      <c r="C32" s="7" t="n"/>
      <c r="D32" s="17" t="inlineStr">
        <is>
          <t>표층용</t>
        </is>
      </c>
      <c r="E32" s="7" t="n"/>
      <c r="F32" s="64" t="n">
        <v>56</v>
      </c>
      <c r="G32" s="7" t="n"/>
      <c r="H32" s="17" t="inlineStr">
        <is>
          <t>톤</t>
        </is>
      </c>
      <c r="I32" s="26" t="inlineStr">
        <is>
          <t>표층고화 면적 기준</t>
        </is>
      </c>
      <c r="J32" s="7" t="n"/>
      <c r="K32" s="7" t="n"/>
      <c r="L32" s="7" t="n"/>
    </row>
    <row r="33" ht="24" customHeight="1">
      <c r="A33" s="27" t="inlineStr">
        <is>
          <t>합    계</t>
        </is>
      </c>
      <c r="B33" s="7" t="n"/>
      <c r="C33" s="7" t="n"/>
      <c r="D33" s="7" t="n"/>
      <c r="E33" s="7" t="n"/>
      <c r="F33" s="62">
        <f>IF(N(F31)+N(F32)=0,"",N(F31)+N(F32))</f>
        <v/>
      </c>
      <c r="G33" s="7" t="n"/>
      <c r="H33" s="27" t="inlineStr">
        <is>
          <t>톤</t>
        </is>
      </c>
      <c r="I33" s="27" t="inlineStr"/>
      <c r="J33" s="7" t="n"/>
      <c r="K33" s="7" t="n"/>
      <c r="L33" s="7" t="n"/>
    </row>
    <row r="35" ht="19.5" customHeight="1">
      <c r="A35" s="11" t="inlineStr">
        <is>
          <t>이 시트는 작성 예시입니다(가상의 수량).</t>
        </is>
      </c>
    </row>
  </sheetData>
  <mergeCells count="77">
    <mergeCell ref="A15:B15"/>
    <mergeCell ref="G19:L19"/>
    <mergeCell ref="E23:F23"/>
    <mergeCell ref="A21:C21"/>
    <mergeCell ref="D31:E31"/>
    <mergeCell ref="A7:B7"/>
    <mergeCell ref="A23:C23"/>
    <mergeCell ref="C7:E7"/>
    <mergeCell ref="H11:L11"/>
    <mergeCell ref="H12:L12"/>
    <mergeCell ref="E22:F22"/>
    <mergeCell ref="H5:L5"/>
    <mergeCell ref="A9:B9"/>
    <mergeCell ref="A11:B11"/>
    <mergeCell ref="A3:L3"/>
    <mergeCell ref="C12:E12"/>
    <mergeCell ref="F30:G30"/>
    <mergeCell ref="I31:L31"/>
    <mergeCell ref="F33:G33"/>
    <mergeCell ref="G20:L20"/>
    <mergeCell ref="C13:E13"/>
    <mergeCell ref="H7:L7"/>
    <mergeCell ref="G22:L22"/>
    <mergeCell ref="F31:G31"/>
    <mergeCell ref="I32:L32"/>
    <mergeCell ref="E26:F26"/>
    <mergeCell ref="A8:B8"/>
    <mergeCell ref="C15:E15"/>
    <mergeCell ref="A24:C24"/>
    <mergeCell ref="G21:L21"/>
    <mergeCell ref="E25:F25"/>
    <mergeCell ref="A26:D26"/>
    <mergeCell ref="A10:B10"/>
    <mergeCell ref="G23:L23"/>
    <mergeCell ref="I33:L33"/>
    <mergeCell ref="C10:E10"/>
    <mergeCell ref="A25:C25"/>
    <mergeCell ref="C9:E9"/>
    <mergeCell ref="C11:E11"/>
    <mergeCell ref="E20:F20"/>
    <mergeCell ref="H6:L6"/>
    <mergeCell ref="A22:C22"/>
    <mergeCell ref="I30:L30"/>
    <mergeCell ref="A20:C20"/>
    <mergeCell ref="A12:B12"/>
    <mergeCell ref="G25:L25"/>
    <mergeCell ref="A5:B5"/>
    <mergeCell ref="A14:B14"/>
    <mergeCell ref="A30:C30"/>
    <mergeCell ref="H13:L13"/>
    <mergeCell ref="C6:E6"/>
    <mergeCell ref="C14:E14"/>
    <mergeCell ref="D30:E30"/>
    <mergeCell ref="H15:L15"/>
    <mergeCell ref="A1:F1"/>
    <mergeCell ref="H8:L8"/>
    <mergeCell ref="E24:F24"/>
    <mergeCell ref="H10:L10"/>
    <mergeCell ref="A6:B6"/>
    <mergeCell ref="H9:L9"/>
    <mergeCell ref="A31:C32"/>
    <mergeCell ref="G24:L24"/>
    <mergeCell ref="E19:F19"/>
    <mergeCell ref="C8:E8"/>
    <mergeCell ref="D32:E32"/>
    <mergeCell ref="A17:L17"/>
    <mergeCell ref="F32:G32"/>
    <mergeCell ref="G26:L26"/>
    <mergeCell ref="A35:L35"/>
    <mergeCell ref="G1:L1"/>
    <mergeCell ref="A19:C19"/>
    <mergeCell ref="A28:L28"/>
    <mergeCell ref="A33:E33"/>
    <mergeCell ref="C5:E5"/>
    <mergeCell ref="A13:B13"/>
    <mergeCell ref="H14:L14"/>
    <mergeCell ref="E21:F21"/>
  </mergeCells>
  <printOptions horizontalCentered="1"/>
  <pageMargins left="0.6" right="0.6" top="0.6" bottom="0.6" header="0.2" footer="0.2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67" t="inlineStr">
        <is>
          <t xml:space="preserve">작성 예시 (가상의 현장)  </t>
        </is>
      </c>
    </row>
    <row r="2" ht="4" customHeight="1"/>
    <row r="3" ht="30" customHeight="1">
      <c r="A3" s="14" t="inlineStr">
        <is>
          <t>7.  품질관리계획</t>
        </is>
      </c>
    </row>
    <row r="4" ht="4" customHeight="1"/>
    <row r="5" ht="21.5" customHeight="1">
      <c r="A5" s="29" t="inlineStr">
        <is>
          <t>공사에 적용되는 품질 요구 조건을 충족하기 위해 시공 품질관리를 철저히 한다.</t>
        </is>
      </c>
    </row>
    <row r="6" ht="21" customHeight="1">
      <c r="A6" s="32" t="inlineStr">
        <is>
          <t>1) 품질관리 계획</t>
        </is>
      </c>
    </row>
    <row r="7" ht="20.5" customHeight="1">
      <c r="A7" s="65" t="inlineStr">
        <is>
          <t>(1)</t>
        </is>
      </c>
      <c r="B7" s="66" t="inlineStr">
        <is>
          <t>공마다 장비의 거치 상태 · 수직도 및 중심 간격(C.T.C)을 확인한다.</t>
        </is>
      </c>
    </row>
    <row r="8" ht="20.5" customHeight="1">
      <c r="A8" s="65" t="inlineStr">
        <is>
          <t>(2)</t>
        </is>
      </c>
      <c r="B8" s="66" t="inlineStr">
        <is>
          <t>주입 때 주입 심도를 확인하면서 설계 당시의 지반과 같은지 확인한다.</t>
        </is>
      </c>
    </row>
    <row r="9" ht="20.5" customHeight="1">
      <c r="A9" s="65" t="inlineStr">
        <is>
          <t>(3)</t>
        </is>
      </c>
      <c r="B9" s="66" t="inlineStr">
        <is>
          <t>주입재 교반 때 흙과 교반된 상태를 확인하며 최적의 배합비가 되도록 조절한다.</t>
        </is>
      </c>
    </row>
    <row r="10" ht="36" customHeight="1">
      <c r="A10" s="65" t="inlineStr">
        <is>
          <t>(4)</t>
        </is>
      </c>
      <c r="B10" s="66" t="inlineStr">
        <is>
          <t>회전관입 장비와 고압펌프 플랜트가 긴밀히 연락하여 인발 속도 · 회전수에 따라 분사압력과 고화재 주입량 등을 철저히 관리한다.</t>
        </is>
      </c>
    </row>
    <row r="11" ht="20.5" customHeight="1">
      <c r="A11" s="65" t="inlineStr">
        <is>
          <t>(5)</t>
        </is>
      </c>
      <c r="B11" s="66" t="inlineStr">
        <is>
          <t>토출 절삭암의 토출구가 막히지 않도록 관찰하고 유지보수한다.</t>
        </is>
      </c>
    </row>
    <row r="12" ht="52.5" customHeight="1">
      <c r="A12" s="29" t="inlineStr">
        <is>
          <t>이 현장의 공법은 &lt;그림1&gt; 과 같이 분담비율에 따라 바깥쪽 토출면적을 크게 구성한 토출 절삭암을 쓰고, 주입재 비중이 1.40 이상임을 확인하며 정확한 규격과 고른 품질이 되도록 확인하며 주입 · 시공한다.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18" customHeight="1">
      <c r="A26" s="30" t="inlineStr">
        <is>
          <t>&lt;그림1&gt; 토출 절삭암</t>
        </is>
      </c>
    </row>
    <row r="27" ht="4" customHeight="1"/>
    <row r="28" ht="30" customHeight="1">
      <c r="A28" s="14" t="inlineStr">
        <is>
          <t>8.  안전관리계획</t>
        </is>
      </c>
    </row>
    <row r="29" ht="4" customHeight="1"/>
    <row r="30" ht="37" customHeight="1">
      <c r="A30" s="29" t="inlineStr">
        <is>
          <t>안전에 관련한 제반 법규 등에 따라 재해 발생을 막고 공사를 안전하게 수행하는 것을 목적으로 한다.</t>
        </is>
      </c>
    </row>
    <row r="31" ht="21" customHeight="1">
      <c r="A31" s="32" t="inlineStr">
        <is>
          <t>1) 안전시공 관리 체계도</t>
        </is>
      </c>
    </row>
    <row r="32" ht="30" customHeight="1">
      <c r="A32" s="5" t="inlineStr"/>
      <c r="D32" s="44" t="inlineStr">
        <is>
          <t>안전 조회</t>
        </is>
      </c>
      <c r="E32" s="7" t="n"/>
      <c r="F32" s="7" t="n"/>
      <c r="G32" s="7" t="n"/>
      <c r="H32" s="7" t="n"/>
      <c r="I32" s="7" t="n"/>
      <c r="J32" s="45" t="inlineStr"/>
    </row>
    <row r="33" ht="14" customHeight="1">
      <c r="A33" s="46" t="inlineStr">
        <is>
          <t>▼</t>
        </is>
      </c>
    </row>
    <row r="34" ht="30" customHeight="1">
      <c r="A34" s="5" t="inlineStr"/>
      <c r="D34" s="44" t="inlineStr">
        <is>
          <t>작업 중 지도 · 감독</t>
        </is>
      </c>
      <c r="E34" s="7" t="n"/>
      <c r="F34" s="7" t="n"/>
      <c r="G34" s="7" t="n"/>
      <c r="H34" s="7" t="n"/>
      <c r="I34" s="7" t="n"/>
      <c r="J34" s="45" t="inlineStr">
        <is>
          <t xml:space="preserve">  ◀ 작업 중 안전점검</t>
        </is>
      </c>
    </row>
    <row r="35" ht="14" customHeight="1">
      <c r="A35" s="46" t="inlineStr">
        <is>
          <t>▼</t>
        </is>
      </c>
    </row>
    <row r="36" ht="30" customHeight="1">
      <c r="A36" s="5" t="inlineStr"/>
      <c r="D36" s="44" t="inlineStr">
        <is>
          <t>작업 종료 전 정리정돈</t>
        </is>
      </c>
      <c r="E36" s="7" t="n"/>
      <c r="F36" s="7" t="n"/>
      <c r="G36" s="7" t="n"/>
      <c r="H36" s="7" t="n"/>
      <c r="I36" s="7" t="n"/>
      <c r="J36" s="45" t="inlineStr"/>
    </row>
    <row r="37" ht="14" customHeight="1">
      <c r="A37" s="46" t="inlineStr">
        <is>
          <t>▼</t>
        </is>
      </c>
    </row>
    <row r="38" ht="30" customHeight="1">
      <c r="A38" s="5" t="inlineStr"/>
      <c r="D38" s="44" t="inlineStr">
        <is>
          <t>작업 종료 후 정리정돈</t>
        </is>
      </c>
      <c r="E38" s="7" t="n"/>
      <c r="F38" s="7" t="n"/>
      <c r="G38" s="7" t="n"/>
      <c r="H38" s="7" t="n"/>
      <c r="I38" s="7" t="n"/>
      <c r="J38" s="45" t="inlineStr"/>
    </row>
    <row r="39" ht="36" customHeight="1">
      <c r="A39" s="32" t="inlineStr">
        <is>
          <t>2) 안전조회 및 현장관리 — 작업 시작 전 5 ~ 10분 정도 다음 내용을 골라 전달하고, 작업 중에도 현장을 점검한다.</t>
        </is>
      </c>
    </row>
    <row r="40" ht="24" customHeight="1">
      <c r="A40" s="20" t="inlineStr">
        <is>
          <t>구  분</t>
        </is>
      </c>
      <c r="B40" s="7" t="n"/>
      <c r="C40" s="20" t="inlineStr">
        <is>
          <t>안  전  관  리  계  획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63" customHeight="1">
      <c r="A41" s="40" t="inlineStr">
        <is>
          <t>안전 조회</t>
        </is>
      </c>
      <c r="B41" s="7" t="n"/>
      <c r="C41" s="41" t="inlineStr">
        <is>
          <t>◦ 관리자는 그날 주요 작업 내용을 알리고, 작업 때 위험 요소 및 장소를 전달한다.
◦ 재해 사례(자사 · 타사 · 같은 공종의 재해 사례 등)를 전달한다.
◦ 안전 훈시 또는 안전교육을 한다.
◦ 복장 · 보호구 · 신체 및 건강 상태 확인, 출석 등의 점호 및 점검을 한다.</t>
        </is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77.25" customHeight="1">
      <c r="A42" s="40" t="inlineStr">
        <is>
          <t>현장 관리</t>
        </is>
      </c>
      <c r="B42" s="7" t="n"/>
      <c r="C42" s="41" t="inlineStr">
        <is>
          <t>◦ 작업 장소는 안전한 작업이 되도록 충분한 공간을 확보하고 장애물이 없게 한다.
◦ 현장 안의 모든 자재는 깨끗이 정리정돈하여 작업환경을 만든다.
◦ 관리자는 작업장을 수시로 점검하여 이상 유무를 확인하고 미리 조치한다.
◦ 관리자는 안전보호구 착용 지도 및 안전교육으로 안전 의식을 높인다.
◦ 관리자는 작업자가 안전 수칙을 지키지 않으면 퇴장 조치한다.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4" ht="19.5" customHeight="1">
      <c r="A44" s="11" t="inlineStr">
        <is>
          <t>이 시트는 작성 예시입니다.</t>
        </is>
      </c>
    </row>
  </sheetData>
  <mergeCells count="38">
    <mergeCell ref="D32:I32"/>
    <mergeCell ref="J36:L36"/>
    <mergeCell ref="B7:L7"/>
    <mergeCell ref="A37:L37"/>
    <mergeCell ref="A3:L3"/>
    <mergeCell ref="A12:L12"/>
    <mergeCell ref="A26:L26"/>
    <mergeCell ref="J32:L32"/>
    <mergeCell ref="A33:L33"/>
    <mergeCell ref="A32:C32"/>
    <mergeCell ref="A41:B41"/>
    <mergeCell ref="A5:L5"/>
    <mergeCell ref="B11:L11"/>
    <mergeCell ref="C42:L42"/>
    <mergeCell ref="A38:C38"/>
    <mergeCell ref="A35:L35"/>
    <mergeCell ref="B8:L8"/>
    <mergeCell ref="G1:L1"/>
    <mergeCell ref="D38:I38"/>
    <mergeCell ref="A28:L28"/>
    <mergeCell ref="A42:B42"/>
    <mergeCell ref="A31:L31"/>
    <mergeCell ref="A44:L44"/>
    <mergeCell ref="B10:L10"/>
    <mergeCell ref="A34:C34"/>
    <mergeCell ref="A39:L39"/>
    <mergeCell ref="B9:L9"/>
    <mergeCell ref="C41:L41"/>
    <mergeCell ref="A30:L30"/>
    <mergeCell ref="D34:I34"/>
    <mergeCell ref="J38:L38"/>
    <mergeCell ref="A36:C36"/>
    <mergeCell ref="C40:L40"/>
    <mergeCell ref="A1:F1"/>
    <mergeCell ref="A6:L6"/>
    <mergeCell ref="D36:I36"/>
    <mergeCell ref="J34:L34"/>
    <mergeCell ref="A40:B4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6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지반개량공사 시공계획서</dc:title>
  <dcterms:created xmlns:dcterms="http://purl.org/dc/terms/" xmlns:xsi="http://www.w3.org/2001/XMLSchema-instance" xsi:type="dcterms:W3CDTF">2026-09-29T10:57:21Z</dcterms:created>
  <dcterms:modified xmlns:dcterms="http://purl.org/dc/terms/" xmlns:xsi="http://www.w3.org/2001/XMLSchema-instance" xsi:type="dcterms:W3CDTF">2026-09-29T10:57:22Z</dcterms:modified>
</cp:coreProperties>
</file>