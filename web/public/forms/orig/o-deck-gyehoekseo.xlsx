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생산" sheetId="3" state="visible" r:id="rId3"/>
    <sheet xmlns:r="http://schemas.openxmlformats.org/officeDocument/2006/relationships" name="공정표" sheetId="4" state="visible" r:id="rId4"/>
    <sheet xmlns:r="http://schemas.openxmlformats.org/officeDocument/2006/relationships" name="시공관리" sheetId="5" state="visible" r:id="rId5"/>
    <sheet xmlns:r="http://schemas.openxmlformats.org/officeDocument/2006/relationships" name="품질안전" sheetId="6" state="visible" r:id="rId6"/>
    <sheet xmlns:r="http://schemas.openxmlformats.org/officeDocument/2006/relationships" name="예시-표지" sheetId="7" state="visible" r:id="rId7"/>
    <sheet xmlns:r="http://schemas.openxmlformats.org/officeDocument/2006/relationships" name="예시-개요" sheetId="8" state="visible" r:id="rId8"/>
    <sheet xmlns:r="http://schemas.openxmlformats.org/officeDocument/2006/relationships" name="예시-생산" sheetId="9" state="visible" r:id="rId9"/>
    <sheet xmlns:r="http://schemas.openxmlformats.org/officeDocument/2006/relationships" name="예시-공정표" sheetId="10" state="visible" r:id="rId10"/>
    <sheet xmlns:r="http://schemas.openxmlformats.org/officeDocument/2006/relationships" name="예시-시공관리" sheetId="11" state="visible" r:id="rId11"/>
    <sheet xmlns:r="http://schemas.openxmlformats.org/officeDocument/2006/relationships" name="예시-품질안전" sheetId="12" state="visible" r:id="rId12"/>
  </sheets>
  <definedNames>
    <definedName name="_xlnm.Print_Area" localSheetId="0">'표지'!$A$1:$L$8</definedName>
    <definedName name="_xlnm.Print_Area" localSheetId="1">'개요'!$A$1:$L$29</definedName>
    <definedName name="_xlnm.Print_Area" localSheetId="2">'생산'!$A$1:$L$38</definedName>
    <definedName name="_xlnm.Print_Area" localSheetId="3">'공정표'!$A$1:$AV$14</definedName>
    <definedName name="_xlnm.Print_Area" localSheetId="4">'시공관리'!$A$1:$L$68</definedName>
    <definedName name="_xlnm.Print_Area" localSheetId="5">'품질안전'!$A$1:$L$60</definedName>
    <definedName name="_xlnm.Print_Area" localSheetId="6">'예시-표지'!$A$1:$L$8</definedName>
    <definedName name="_xlnm.Print_Area" localSheetId="7">'예시-개요'!$A$1:$L$29</definedName>
    <definedName name="_xlnm.Print_Area" localSheetId="8">'예시-생산'!$A$1:$L$38</definedName>
    <definedName name="_xlnm.Print_Area" localSheetId="9">'예시-공정표'!$A$1:$AV$14</definedName>
    <definedName name="_xlnm.Print_Area" localSheetId="10">'예시-시공관리'!$A$1:$L$68</definedName>
    <definedName name="_xlnm.Print_Area" localSheetId="11">'예시-품질안전'!$A$1:$L$60</definedName>
  </definedNames>
  <calcPr calcId="124519" fullCalcOnLoad="1"/>
</workbook>
</file>

<file path=xl/styles.xml><?xml version="1.0" encoding="utf-8"?>
<styleSheet xmlns="http://schemas.openxmlformats.org/spreadsheetml/2006/main">
  <numFmts count="22">
    <numFmt numFmtId="164" formatCode="yyyy&quot;. &quot;m&quot;.&quot;"/>
    <numFmt numFmtId="165" formatCode="yyyy. m. d."/>
    <numFmt numFmtId="166" formatCode="&quot;(총 &quot;#,##0&quot;일)&quot;;;&quot;&quot;"/>
    <numFmt numFmtId="167" formatCode="#,##0&quot; ㎡&quot;;;&quot;&quot;"/>
    <numFmt numFmtId="168" formatCode="0;;&quot;&quot;"/>
    <numFmt numFmtId="169" formatCode="0&quot;일&quot;"/>
    <numFmt numFmtId="170" formatCode="&quot;~ &quot;yyyy. m. d.;;&quot;&quot;"/>
    <numFmt numFmtId="171" formatCode="d;;&quot;&quot;"/>
    <numFmt numFmtId="172" formatCode="#,##0.##;;&quot;&quot;"/>
    <numFmt numFmtId="173" formatCode="#,##0&quot;일&quot;;;&quot;&quot;"/>
    <numFmt numFmtId="174" formatCode="&quot;마치는 날 : &quot;yyyy&quot;년 &quot;m&quot;월 &quot;d&quot;일&quot;;;&quot;&quot;"/>
    <numFmt numFmtId="175" formatCode="#,##0&quot;명&quot;;;&quot;&quot;"/>
    <numFmt numFmtId="176" formatCode="#,##0&quot;명&quot;"/>
    <numFmt numFmtId="177" formatCode="#,##0;;&quot;&quot;"/>
    <numFmt numFmtId="178" formatCode="#,##0&quot;대&quot;;;&quot;&quot;"/>
    <numFmt numFmtId="179" formatCode="#,##0&quot;대&quot;"/>
    <numFmt numFmtId="180" formatCode="#,##0&quot; km&quot;;;&quot;&quot;"/>
    <numFmt numFmtId="181" formatCode="#,##0&quot; 매&quot;;;&quot;&quot;"/>
    <numFmt numFmtId="182" formatCode="0&quot; 매&quot;"/>
    <numFmt numFmtId="183" formatCode="&quot;±&quot;0&quot; mm / 장&quot;"/>
    <numFmt numFmtId="184" formatCode="0.0#;;&quot;&quot;"/>
    <numFmt numFmtId="185" formatCode="yyyy-mm-dd"/>
  </numFmts>
  <fonts count="2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2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b val="1"/>
      <color rgb="001F2937"/>
      <sz val="10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b val="1"/>
      <color rgb="00111827"/>
      <sz val="16"/>
    </font>
    <font>
      <name val="맑은 고딕"/>
      <b val="1"/>
      <color rgb="001F2937"/>
      <sz val="9"/>
    </font>
    <font>
      <name val="맑은 고딕"/>
      <b val="1"/>
      <color rgb="001F2937"/>
      <sz val="8.5"/>
    </font>
    <font>
      <name val="맑은 고딕"/>
      <b val="1"/>
      <color rgb="001F2937"/>
      <sz val="5.5"/>
    </font>
    <font>
      <name val="맑은 고딕"/>
      <color rgb="001F2937"/>
      <sz val="5.5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color rgb="00000000"/>
      <sz val="7"/>
    </font>
    <font>
      <name val="맑은 고딕"/>
      <b val="1"/>
      <color rgb="001F2937"/>
      <sz val="9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left" vertical="center" shrinkToFit="1"/>
    </xf>
    <xf numFmtId="167" fontId="12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68" fontId="12" fillId="0" borderId="1" applyAlignment="1" pivotButton="0" quotePrefix="0" xfId="0">
      <alignment horizontal="center" vertical="center" shrinkToFit="1"/>
    </xf>
    <xf numFmtId="0" fontId="11" fillId="5" borderId="1" applyAlignment="1" pivotButton="0" quotePrefix="0" xfId="0">
      <alignment horizontal="center" vertical="center" wrapText="1"/>
    </xf>
    <xf numFmtId="169" fontId="11" fillId="3" borderId="1" applyAlignment="1" pivotButton="0" quotePrefix="0" xfId="0">
      <alignment horizontal="center" vertical="center" shrinkToFit="1"/>
    </xf>
    <xf numFmtId="165" fontId="11" fillId="3" borderId="1" applyAlignment="1" pivotButton="0" quotePrefix="0" xfId="0">
      <alignment horizontal="center" vertical="center" shrinkToFit="1"/>
    </xf>
    <xf numFmtId="170" fontId="11" fillId="3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71" fontId="23" fillId="4" borderId="1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left" vertical="center" wrapText="1"/>
    </xf>
    <xf numFmtId="172" fontId="24" fillId="0" borderId="1" applyAlignment="1" pivotButton="0" quotePrefix="0" xfId="0">
      <alignment horizontal="right" vertical="center" shrinkToFit="1"/>
    </xf>
    <xf numFmtId="0" fontId="24" fillId="0" borderId="1" applyAlignment="1" pivotButton="0" quotePrefix="0" xfId="0">
      <alignment horizontal="center" vertical="center" wrapText="1"/>
    </xf>
    <xf numFmtId="168" fontId="25" fillId="3" borderId="1" applyAlignment="1" pivotButton="0" quotePrefix="0" xfId="0">
      <alignment horizontal="center" vertical="center" shrinkToFit="1"/>
    </xf>
    <xf numFmtId="168" fontId="24" fillId="0" borderId="1" applyAlignment="1" pivotButton="0" quotePrefix="0" xfId="0">
      <alignment horizontal="center" vertical="center" shrinkToFit="1"/>
    </xf>
    <xf numFmtId="0" fontId="26" fillId="0" borderId="1" applyAlignment="1" pivotButton="0" quotePrefix="0" xfId="0">
      <alignment horizontal="left" vertical="center" wrapText="1"/>
    </xf>
    <xf numFmtId="173" fontId="11" fillId="3" borderId="1" applyAlignment="1" pivotButton="0" quotePrefix="0" xfId="0">
      <alignment horizontal="center" vertical="center" shrinkToFit="1"/>
    </xf>
    <xf numFmtId="174" fontId="8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 wrapText="1"/>
    </xf>
    <xf numFmtId="175" fontId="12" fillId="0" borderId="1" applyAlignment="1" pivotButton="0" quotePrefix="0" xfId="0">
      <alignment horizontal="center" vertical="center" shrinkToFit="1"/>
    </xf>
    <xf numFmtId="176" fontId="11" fillId="3" borderId="1" applyAlignment="1" pivotButton="0" quotePrefix="0" xfId="0">
      <alignment horizontal="center" vertical="center" shrinkToFit="1"/>
    </xf>
    <xf numFmtId="177" fontId="12" fillId="0" borderId="1" applyAlignment="1" pivotButton="0" quotePrefix="0" xfId="0">
      <alignment horizontal="center" vertical="center" shrinkToFit="1"/>
    </xf>
    <xf numFmtId="3" fontId="11" fillId="3" borderId="1" applyAlignment="1" pivotButton="0" quotePrefix="0" xfId="0">
      <alignment horizontal="center" vertical="center" shrinkToFit="1"/>
    </xf>
    <xf numFmtId="178" fontId="12" fillId="0" borderId="1" applyAlignment="1" pivotButton="0" quotePrefix="0" xfId="0">
      <alignment horizontal="center" vertical="center" shrinkToFit="1"/>
    </xf>
    <xf numFmtId="179" fontId="11" fillId="3" borderId="1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left" vertical="top" wrapText="1"/>
    </xf>
    <xf numFmtId="180" fontId="12" fillId="0" borderId="1" applyAlignment="1" pivotButton="0" quotePrefix="0" xfId="0">
      <alignment horizontal="center" vertical="center" shrinkToFit="1"/>
    </xf>
    <xf numFmtId="181" fontId="12" fillId="0" borderId="1" applyAlignment="1" pivotButton="0" quotePrefix="0" xfId="0">
      <alignment horizontal="center" vertical="center" shrinkToFit="1"/>
    </xf>
    <xf numFmtId="182" fontId="11" fillId="3" borderId="1" applyAlignment="1" pivotButton="0" quotePrefix="0" xfId="0">
      <alignment horizontal="center" vertical="center" shrinkToFit="1"/>
    </xf>
    <xf numFmtId="183" fontId="12" fillId="6" borderId="1" applyAlignment="1" pivotButton="0" quotePrefix="0" xfId="0">
      <alignment horizontal="center" vertical="center" shrinkToFit="1"/>
    </xf>
    <xf numFmtId="184" fontId="12" fillId="0" borderId="1" applyAlignment="1" pivotButton="0" quotePrefix="0" xfId="0">
      <alignment horizontal="center" vertical="center" shrinkToFit="1"/>
    </xf>
    <xf numFmtId="0" fontId="11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2F5597"/>
          <bgColor rgb="002F5597"/>
        </patternFill>
      </fill>
    </dxf>
    <dxf>
      <numFmt numFmtId="300" formatCode="#,##0;;&quot;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20" customHeight="1"/>
    <row r="3" ht="40" customHeight="1">
      <c r="A3" s="3" t="inlineStr">
        <is>
          <t>(공 사 명)</t>
        </is>
      </c>
    </row>
    <row r="4" ht="64" customHeight="1">
      <c r="A4" s="4" t="inlineStr">
        <is>
          <t>데크플레이트 시공계획서</t>
        </is>
      </c>
    </row>
    <row r="5" ht="150" customHeight="1"/>
    <row r="6" ht="32" customHeight="1">
      <c r="A6" s="5" t="inlineStr">
        <is>
          <t>20    .    .</t>
        </is>
      </c>
    </row>
    <row r="7" ht="120" customHeight="1"/>
    <row r="8" ht="44" customHeight="1">
      <c r="A8" s="6" t="inlineStr">
        <is>
          <t>(회 사 명)</t>
        </is>
      </c>
    </row>
    <row r="10" ht="19.5" customHeight="1">
      <c r="A10" s="7" t="inlineStr">
        <is>
          <t>공사명 · 작성 연월 · 회사명을 여기 한 번만 적으면 뒤 장에 저절로 들어갑니다.</t>
        </is>
      </c>
    </row>
  </sheetData>
  <mergeCells count="7">
    <mergeCell ref="G1:L1"/>
    <mergeCell ref="A10:L10"/>
    <mergeCell ref="A1:F1"/>
    <mergeCell ref="A8:L8"/>
    <mergeCell ref="A6:L6"/>
    <mergeCell ref="A3:L3"/>
    <mergeCell ref="A4:L4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8" t="inlineStr">
        <is>
          <t>목          차</t>
        </is>
      </c>
    </row>
    <row r="4" ht="14" customHeight="1"/>
    <row r="5" ht="30" customHeight="1">
      <c r="A5" s="9" t="inlineStr"/>
      <c r="C5" s="10" t="inlineStr">
        <is>
          <t>1.  공 사 개 요</t>
        </is>
      </c>
      <c r="K5" s="9" t="inlineStr"/>
    </row>
    <row r="6" ht="30" customHeight="1">
      <c r="A6" s="9" t="inlineStr"/>
      <c r="C6" s="10" t="inlineStr">
        <is>
          <t>2.  운 영 방 침</t>
        </is>
      </c>
      <c r="K6" s="9" t="inlineStr"/>
    </row>
    <row r="7" ht="30" customHeight="1">
      <c r="A7" s="9" t="inlineStr"/>
      <c r="C7" s="10" t="inlineStr">
        <is>
          <t>3.  생산관리계획</t>
        </is>
      </c>
      <c r="K7" s="9" t="inlineStr"/>
    </row>
    <row r="8" ht="30" customHeight="1">
      <c r="A8" s="9" t="inlineStr"/>
      <c r="C8" s="10" t="inlineStr">
        <is>
          <t>4.  시공관리계획</t>
        </is>
      </c>
      <c r="K8" s="9" t="inlineStr"/>
    </row>
    <row r="9" ht="30" customHeight="1">
      <c r="A9" s="9" t="inlineStr"/>
      <c r="C9" s="10" t="inlineStr">
        <is>
          <t>5.  품질관리계획</t>
        </is>
      </c>
      <c r="K9" s="9" t="inlineStr"/>
    </row>
    <row r="10" ht="30" customHeight="1">
      <c r="A10" s="9" t="inlineStr"/>
      <c r="C10" s="10" t="inlineStr">
        <is>
          <t>6.  안전관리계획</t>
        </is>
      </c>
      <c r="K10" s="9" t="inlineStr"/>
    </row>
    <row r="11" ht="4" customHeight="1"/>
    <row r="12" ht="30" customHeight="1">
      <c r="A12" s="11" t="inlineStr">
        <is>
          <t>1.  공 사 개 요</t>
        </is>
      </c>
    </row>
    <row r="13" ht="4" customHeight="1"/>
    <row r="14" ht="28" customHeight="1">
      <c r="A14" s="12" t="inlineStr">
        <is>
          <t>공  사  명</t>
        </is>
      </c>
      <c r="B14" s="13" t="n"/>
      <c r="C14" s="13" t="n"/>
      <c r="D14" s="14">
        <f>IF(OR('표지'!A3="",'표지'!A3="(공 사 명)"),"",'표지'!A3)</f>
        <v/>
      </c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6" customHeight="1">
      <c r="A15" s="12" t="inlineStr">
        <is>
          <t>발  주  처</t>
        </is>
      </c>
      <c r="B15" s="13" t="n"/>
      <c r="C15" s="13" t="n"/>
      <c r="D15" s="15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26" customHeight="1">
      <c r="A16" s="12" t="inlineStr">
        <is>
          <t>현      장</t>
        </is>
      </c>
      <c r="B16" s="13" t="n"/>
      <c r="C16" s="13" t="n"/>
      <c r="D16" s="15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6" customHeight="1">
      <c r="A17" s="12" t="inlineStr">
        <is>
          <t>시  공  자</t>
        </is>
      </c>
      <c r="B17" s="13" t="n"/>
      <c r="C17" s="13" t="n"/>
      <c r="D17" s="15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6" customHeight="1">
      <c r="A18" s="12" t="inlineStr">
        <is>
          <t>데크 시공사</t>
        </is>
      </c>
      <c r="B18" s="13" t="n"/>
      <c r="C18" s="13" t="n"/>
      <c r="D18" s="14">
        <f>IF(OR('표지'!A8="",'표지'!A8="(회 사 명)"),"",'표지'!A8)</f>
        <v/>
      </c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6" customHeight="1">
      <c r="A19" s="12" t="inlineStr">
        <is>
          <t>공  종  명</t>
        </is>
      </c>
      <c r="B19" s="13" t="n"/>
      <c r="C19" s="13" t="n"/>
      <c r="D19" s="15" t="inlineStr">
        <is>
          <t>데크플레이트 설치공사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6" customHeight="1">
      <c r="A20" s="12" t="inlineStr">
        <is>
          <t>공 사 기 간</t>
        </is>
      </c>
      <c r="B20" s="13" t="n"/>
      <c r="C20" s="13" t="n"/>
      <c r="D20" s="16" t="n"/>
      <c r="E20" s="13" t="n"/>
      <c r="F20" s="17" t="inlineStr">
        <is>
          <t>~</t>
        </is>
      </c>
      <c r="G20" s="16" t="n"/>
      <c r="H20" s="13" t="n"/>
      <c r="I20" s="18">
        <f>IF(OR(N(D20)=0,N(G20)=0),"",IF(G20&lt;D20,"⚠ 준공일이 착공일보다 빠름",G20-D20+1))</f>
        <v/>
      </c>
      <c r="J20" s="13" t="n"/>
      <c r="K20" s="13" t="n"/>
      <c r="L20" s="13" t="n"/>
    </row>
    <row r="21" ht="26" customHeight="1">
      <c r="A21" s="12" t="inlineStr">
        <is>
          <t>시 공 면 적</t>
        </is>
      </c>
      <c r="B21" s="13" t="n"/>
      <c r="C21" s="13" t="n"/>
      <c r="D21" s="19" t="n"/>
      <c r="E21" s="13" t="n"/>
      <c r="F21" s="13" t="n"/>
      <c r="G21" s="20" t="inlineStr"/>
      <c r="H21" s="13" t="n"/>
      <c r="I21" s="13" t="n"/>
      <c r="J21" s="13" t="n"/>
      <c r="K21" s="13" t="n"/>
      <c r="L21" s="13" t="n"/>
    </row>
    <row r="22" ht="26" customHeight="1">
      <c r="A22" s="12" t="inlineStr">
        <is>
          <t>공 사 범 위</t>
        </is>
      </c>
      <c r="B22" s="13" t="n"/>
      <c r="C22" s="13" t="n"/>
      <c r="D22" s="15" t="inlineStr">
        <is>
          <t>데크플레이트 · 부속자재 공사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4" customHeight="1"/>
    <row r="24" ht="30" customHeight="1">
      <c r="A24" s="11" t="inlineStr">
        <is>
          <t>2.  운 영 방 침</t>
        </is>
      </c>
    </row>
    <row r="25" ht="4" customHeight="1"/>
    <row r="26" ht="24" customHeight="1">
      <c r="A26" s="21" t="inlineStr">
        <is>
          <t>방   침</t>
        </is>
      </c>
      <c r="B26" s="13" t="n"/>
      <c r="C26" s="13" t="n"/>
      <c r="D26" s="21" t="inlineStr">
        <is>
          <t>실   천   사   항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30" customHeight="1">
      <c r="A27" s="22" t="inlineStr">
        <is>
          <t>1. 최상의 품질 시공</t>
        </is>
      </c>
      <c r="B27" s="13" t="n"/>
      <c r="C27" s="13" t="n"/>
      <c r="D27" s="23" t="inlineStr">
        <is>
          <t>⊙ 자재 생산 체계 강화  ⊙ 전담 작업팀 재배치로 전문 시공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30" customHeight="1">
      <c r="A28" s="22" t="inlineStr">
        <is>
          <t>2. 안전관리 강화</t>
        </is>
      </c>
      <c r="B28" s="13" t="n"/>
      <c r="C28" s="13" t="n"/>
      <c r="D28" s="23" t="inlineStr">
        <is>
          <t>⊙ 안전 보호구 100% 착용  ⊙ 현장 안전수칙 준수  ⊙ 무재해 현장 실현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30" customHeight="1">
      <c r="A29" s="22" t="inlineStr">
        <is>
          <t>3. 공기 준수</t>
        </is>
      </c>
      <c r="B29" s="13" t="n"/>
      <c r="C29" s="13" t="n"/>
      <c r="D29" s="23" t="inlineStr">
        <is>
          <t>⊙ 자재 · 시공 100% 납기 준수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 ht="19.5" customHeight="1">
      <c r="A31" s="7" t="inlineStr">
        <is>
          <t>하늘색 칸 = 자동(공사명 · 데크 시공사 · 공사기간 일수).</t>
        </is>
      </c>
    </row>
  </sheetData>
  <mergeCells count="53">
    <mergeCell ref="D20:E20"/>
    <mergeCell ref="D27:L27"/>
    <mergeCell ref="C6:J6"/>
    <mergeCell ref="K9:L9"/>
    <mergeCell ref="A18:C18"/>
    <mergeCell ref="K5:L5"/>
    <mergeCell ref="I20:L20"/>
    <mergeCell ref="D17:L17"/>
    <mergeCell ref="A21:C21"/>
    <mergeCell ref="C5:J5"/>
    <mergeCell ref="A27:C27"/>
    <mergeCell ref="A3:L3"/>
    <mergeCell ref="A26:C26"/>
    <mergeCell ref="A6:B6"/>
    <mergeCell ref="A12:L12"/>
    <mergeCell ref="D16:L16"/>
    <mergeCell ref="D21:F21"/>
    <mergeCell ref="A7:B7"/>
    <mergeCell ref="A14:C14"/>
    <mergeCell ref="D28:L28"/>
    <mergeCell ref="C10:J10"/>
    <mergeCell ref="A22:C22"/>
    <mergeCell ref="A17:C17"/>
    <mergeCell ref="D18:L18"/>
    <mergeCell ref="A29:C29"/>
    <mergeCell ref="A20:C20"/>
    <mergeCell ref="C9:J9"/>
    <mergeCell ref="G1:L1"/>
    <mergeCell ref="A28:C28"/>
    <mergeCell ref="D15:L15"/>
    <mergeCell ref="A19:C19"/>
    <mergeCell ref="D29:L29"/>
    <mergeCell ref="K8:L8"/>
    <mergeCell ref="D14:L14"/>
    <mergeCell ref="A5:B5"/>
    <mergeCell ref="K6:L6"/>
    <mergeCell ref="A31:L31"/>
    <mergeCell ref="D26:L26"/>
    <mergeCell ref="A15:C15"/>
    <mergeCell ref="A8:B8"/>
    <mergeCell ref="C8:J8"/>
    <mergeCell ref="G21:L21"/>
    <mergeCell ref="A24:L24"/>
    <mergeCell ref="K7:L7"/>
    <mergeCell ref="D19:L19"/>
    <mergeCell ref="G20:H20"/>
    <mergeCell ref="C7:J7"/>
    <mergeCell ref="A1:F1"/>
    <mergeCell ref="A10:B10"/>
    <mergeCell ref="K10:L10"/>
    <mergeCell ref="D22:L22"/>
    <mergeCell ref="A9:B9"/>
    <mergeCell ref="A16:C16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1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1" t="inlineStr">
        <is>
          <t>3.  생산관리계획</t>
        </is>
      </c>
    </row>
    <row r="4" ht="4" customHeight="1"/>
    <row r="5" ht="21" customHeight="1">
      <c r="A5" s="24" t="inlineStr">
        <is>
          <t>1) 생산능력</t>
        </is>
      </c>
    </row>
    <row r="6" ht="24" customHeight="1">
      <c r="A6" s="21" t="inlineStr">
        <is>
          <t>구    분</t>
        </is>
      </c>
      <c r="B6" s="13" t="n"/>
      <c r="C6" s="13" t="n"/>
      <c r="D6" s="21" t="inlineStr">
        <is>
          <t>공장 전체</t>
        </is>
      </c>
      <c r="E6" s="13" t="n"/>
      <c r="F6" s="13" t="n"/>
      <c r="G6" s="21" t="inlineStr">
        <is>
          <t>이 현장(계획)</t>
        </is>
      </c>
      <c r="H6" s="13" t="n"/>
      <c r="I6" s="13" t="n"/>
      <c r="J6" s="21" t="inlineStr">
        <is>
          <t>비    고</t>
        </is>
      </c>
      <c r="K6" s="13" t="n"/>
      <c r="L6" s="13" t="n"/>
    </row>
    <row r="7" ht="24" customHeight="1">
      <c r="A7" s="17" t="inlineStr">
        <is>
          <t>생산 능력</t>
        </is>
      </c>
      <c r="B7" s="13" t="n"/>
      <c r="C7" s="13" t="n"/>
      <c r="D7" s="25" t="n"/>
      <c r="E7" s="13" t="n"/>
      <c r="F7" s="13" t="n"/>
      <c r="G7" s="25" t="n"/>
      <c r="H7" s="13" t="n"/>
      <c r="I7" s="13" t="n"/>
      <c r="J7" s="26" t="n"/>
      <c r="K7" s="13" t="n"/>
      <c r="L7" s="13" t="n"/>
    </row>
    <row r="8" ht="24" customHeight="1">
      <c r="A8" s="17" t="inlineStr">
        <is>
          <t>공장 보관량</t>
        </is>
      </c>
      <c r="B8" s="13" t="n"/>
      <c r="C8" s="13" t="n"/>
      <c r="D8" s="25" t="n"/>
      <c r="E8" s="13" t="n"/>
      <c r="F8" s="13" t="n"/>
      <c r="G8" s="25" t="n"/>
      <c r="H8" s="13" t="n"/>
      <c r="I8" s="13" t="n"/>
      <c r="J8" s="26" t="n"/>
      <c r="K8" s="13" t="n"/>
      <c r="L8" s="13" t="n"/>
    </row>
    <row r="9" ht="24" customHeight="1">
      <c r="A9" s="17" t="inlineStr">
        <is>
          <t>인    원</t>
        </is>
      </c>
      <c r="B9" s="13" t="n"/>
      <c r="C9" s="13" t="n"/>
      <c r="D9" s="25" t="n"/>
      <c r="E9" s="13" t="n"/>
      <c r="F9" s="13" t="n"/>
      <c r="G9" s="25" t="n"/>
      <c r="H9" s="13" t="n"/>
      <c r="I9" s="13" t="n"/>
      <c r="J9" s="26" t="n"/>
      <c r="K9" s="13" t="n"/>
      <c r="L9" s="13" t="n"/>
    </row>
    <row r="10" ht="24" customHeight="1">
      <c r="A10" s="17" t="inlineStr">
        <is>
          <t>출    하</t>
        </is>
      </c>
      <c r="B10" s="13" t="n"/>
      <c r="C10" s="13" t="n"/>
      <c r="D10" s="25" t="n"/>
      <c r="E10" s="13" t="n"/>
      <c r="F10" s="13" t="n"/>
      <c r="G10" s="25" t="n"/>
      <c r="H10" s="13" t="n"/>
      <c r="I10" s="13" t="n"/>
      <c r="J10" s="26" t="n"/>
      <c r="K10" s="13" t="n"/>
      <c r="L10" s="13" t="n"/>
    </row>
    <row r="11" ht="21" customHeight="1">
      <c r="A11" s="24" t="inlineStr">
        <is>
          <t>2) 자재 생산공정</t>
        </is>
      </c>
    </row>
    <row r="12" ht="30" customHeight="1">
      <c r="A12" s="9" t="inlineStr"/>
      <c r="D12" s="27" t="inlineStr">
        <is>
          <t>하부 강판 성형(Forming)</t>
        </is>
      </c>
      <c r="E12" s="13" t="n"/>
      <c r="F12" s="13" t="n"/>
      <c r="G12" s="13" t="n"/>
      <c r="H12" s="13" t="n"/>
      <c r="I12" s="13" t="n"/>
      <c r="J12" s="28" t="inlineStr"/>
    </row>
    <row r="13" ht="12" customHeight="1">
      <c r="A13" s="29" t="inlineStr">
        <is>
          <t>▼</t>
        </is>
      </c>
    </row>
    <row r="14" ht="30" customHeight="1">
      <c r="A14" s="9" t="inlineStr"/>
      <c r="D14" s="27" t="inlineStr">
        <is>
          <t>철선 이형 가공(Deforming)</t>
        </is>
      </c>
      <c r="E14" s="13" t="n"/>
      <c r="F14" s="13" t="n"/>
      <c r="G14" s="13" t="n"/>
      <c r="H14" s="13" t="n"/>
      <c r="I14" s="13" t="n"/>
      <c r="J14" s="28" t="inlineStr"/>
    </row>
    <row r="15" ht="12" customHeight="1">
      <c r="A15" s="29" t="inlineStr">
        <is>
          <t>▼</t>
        </is>
      </c>
    </row>
    <row r="16" ht="30" customHeight="1">
      <c r="A16" s="9" t="inlineStr"/>
      <c r="D16" s="27" t="inlineStr">
        <is>
          <t>철선 투입 · 고정</t>
        </is>
      </c>
      <c r="E16" s="13" t="n"/>
      <c r="F16" s="13" t="n"/>
      <c r="G16" s="13" t="n"/>
      <c r="H16" s="13" t="n"/>
      <c r="I16" s="13" t="n"/>
      <c r="J16" s="28" t="inlineStr"/>
    </row>
    <row r="17" ht="12" customHeight="1">
      <c r="A17" s="29" t="inlineStr">
        <is>
          <t>▼</t>
        </is>
      </c>
    </row>
    <row r="18" ht="30" customHeight="1">
      <c r="A18" s="9" t="inlineStr"/>
      <c r="D18" s="27" t="inlineStr">
        <is>
          <t>트러스 거더(래티스) 생산</t>
        </is>
      </c>
      <c r="E18" s="13" t="n"/>
      <c r="F18" s="13" t="n"/>
      <c r="G18" s="13" t="n"/>
      <c r="H18" s="13" t="n"/>
      <c r="I18" s="13" t="n"/>
      <c r="J18" s="28" t="inlineStr"/>
    </row>
    <row r="19" ht="12" customHeight="1">
      <c r="A19" s="29" t="inlineStr">
        <is>
          <t>▼</t>
        </is>
      </c>
    </row>
    <row r="20" ht="30" customHeight="1">
      <c r="A20" s="9" t="inlineStr"/>
      <c r="D20" s="27" t="inlineStr">
        <is>
          <t>완제품 생산 · 포장 · 출하</t>
        </is>
      </c>
      <c r="E20" s="13" t="n"/>
      <c r="F20" s="13" t="n"/>
      <c r="G20" s="13" t="n"/>
      <c r="H20" s="13" t="n"/>
      <c r="I20" s="13" t="n"/>
      <c r="J20" s="28" t="inlineStr"/>
    </row>
    <row r="21" ht="18" customHeight="1">
      <c r="A21" s="30" t="inlineStr">
        <is>
          <t>(생산공정 사진을 붙이는 곳)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18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18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18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1" customHeight="1">
      <c r="A27" s="24" t="inlineStr">
        <is>
          <t>3) 자재 생산 일정 — 구간별 발주일을 적으면 출하 예정일이 나옵니다</t>
        </is>
      </c>
    </row>
    <row r="28" ht="24" customHeight="1">
      <c r="A28" s="21" t="inlineStr">
        <is>
          <t>단    계</t>
        </is>
      </c>
      <c r="B28" s="13" t="n"/>
      <c r="C28" s="13" t="n"/>
      <c r="D28" s="13" t="n"/>
      <c r="E28" s="13" t="n"/>
      <c r="F28" s="13" t="n"/>
      <c r="G28" s="21" t="inlineStr">
        <is>
          <t>최소 (일)</t>
        </is>
      </c>
      <c r="H28" s="13" t="n"/>
      <c r="I28" s="21" t="inlineStr">
        <is>
          <t>최대 (일)</t>
        </is>
      </c>
      <c r="J28" s="13" t="n"/>
      <c r="K28" s="21" t="inlineStr">
        <is>
          <t>비  고</t>
        </is>
      </c>
      <c r="L28" s="13" t="n"/>
    </row>
    <row r="29" ht="24" customHeight="1">
      <c r="A29" s="23" t="inlineStr">
        <is>
          <t>현장 협의 후 데크 발주</t>
        </is>
      </c>
      <c r="B29" s="13" t="n"/>
      <c r="C29" s="13" t="n"/>
      <c r="D29" s="13" t="n"/>
      <c r="E29" s="13" t="n"/>
      <c r="F29" s="13" t="n"/>
      <c r="G29" s="31" t="n">
        <v>1</v>
      </c>
      <c r="H29" s="13" t="n"/>
      <c r="I29" s="31" t="n">
        <v>1</v>
      </c>
      <c r="J29" s="13" t="n"/>
      <c r="K29" s="20" t="inlineStr"/>
      <c r="L29" s="13" t="n"/>
    </row>
    <row r="30" ht="24" customHeight="1">
      <c r="A30" s="23" t="inlineStr">
        <is>
          <t>기존 생산 제품 완료 후 생산 일정 편성</t>
        </is>
      </c>
      <c r="B30" s="13" t="n"/>
      <c r="C30" s="13" t="n"/>
      <c r="D30" s="13" t="n"/>
      <c r="E30" s="13" t="n"/>
      <c r="F30" s="13" t="n"/>
      <c r="G30" s="31" t="n">
        <v>4</v>
      </c>
      <c r="H30" s="13" t="n"/>
      <c r="I30" s="31" t="n">
        <v>7</v>
      </c>
      <c r="J30" s="13" t="n"/>
      <c r="K30" s="20" t="inlineStr"/>
      <c r="L30" s="13" t="n"/>
    </row>
    <row r="31" ht="24" customHeight="1">
      <c r="A31" s="23" t="inlineStr">
        <is>
          <t>하부 강판 성형(Forming)</t>
        </is>
      </c>
      <c r="B31" s="13" t="n"/>
      <c r="C31" s="13" t="n"/>
      <c r="D31" s="13" t="n"/>
      <c r="E31" s="13" t="n"/>
      <c r="F31" s="13" t="n"/>
      <c r="G31" s="31" t="n">
        <v>2</v>
      </c>
      <c r="H31" s="13" t="n"/>
      <c r="I31" s="31" t="n">
        <v>2</v>
      </c>
      <c r="J31" s="13" t="n"/>
      <c r="K31" s="20" t="inlineStr"/>
      <c r="L31" s="13" t="n"/>
    </row>
    <row r="32" ht="24" customHeight="1">
      <c r="A32" s="23" t="inlineStr">
        <is>
          <t>철선 이형 가공(Deforming) 및 철선 투입 · 고정</t>
        </is>
      </c>
      <c r="B32" s="13" t="n"/>
      <c r="C32" s="13" t="n"/>
      <c r="D32" s="13" t="n"/>
      <c r="E32" s="13" t="n"/>
      <c r="F32" s="13" t="n"/>
      <c r="G32" s="31" t="n">
        <v>1</v>
      </c>
      <c r="H32" s="13" t="n"/>
      <c r="I32" s="31" t="n">
        <v>1</v>
      </c>
      <c r="J32" s="13" t="n"/>
      <c r="K32" s="20" t="inlineStr"/>
      <c r="L32" s="13" t="n"/>
    </row>
    <row r="33" ht="24" customHeight="1">
      <c r="A33" s="23" t="inlineStr">
        <is>
          <t>트러스 거더(래티스) 생산</t>
        </is>
      </c>
      <c r="B33" s="13" t="n"/>
      <c r="C33" s="13" t="n"/>
      <c r="D33" s="13" t="n"/>
      <c r="E33" s="13" t="n"/>
      <c r="F33" s="13" t="n"/>
      <c r="G33" s="31" t="n">
        <v>2</v>
      </c>
      <c r="H33" s="13" t="n"/>
      <c r="I33" s="31" t="n">
        <v>2</v>
      </c>
      <c r="J33" s="13" t="n"/>
      <c r="K33" s="20" t="inlineStr"/>
      <c r="L33" s="13" t="n"/>
    </row>
    <row r="34" ht="24" customHeight="1">
      <c r="A34" s="23" t="inlineStr">
        <is>
          <t>완제품 생산</t>
        </is>
      </c>
      <c r="B34" s="13" t="n"/>
      <c r="C34" s="13" t="n"/>
      <c r="D34" s="13" t="n"/>
      <c r="E34" s="13" t="n"/>
      <c r="F34" s="13" t="n"/>
      <c r="G34" s="31" t="n">
        <v>2</v>
      </c>
      <c r="H34" s="13" t="n"/>
      <c r="I34" s="31" t="n">
        <v>2</v>
      </c>
      <c r="J34" s="13" t="n"/>
      <c r="K34" s="20" t="inlineStr"/>
      <c r="L34" s="13" t="n"/>
    </row>
    <row r="35" ht="24" customHeight="1">
      <c r="A35" s="32" t="inlineStr">
        <is>
          <t>합    계 (발주 → 완제품)</t>
        </is>
      </c>
      <c r="B35" s="13" t="n"/>
      <c r="C35" s="13" t="n"/>
      <c r="D35" s="13" t="n"/>
      <c r="E35" s="13" t="n"/>
      <c r="F35" s="13" t="n"/>
      <c r="G35" s="33">
        <f>IF(SUM(G29:G34)=0,"",SUM(G29:G34))</f>
        <v/>
      </c>
      <c r="H35" s="13" t="n"/>
      <c r="I35" s="33">
        <f>IF(SUM(I29:I34)=0,"",SUM(I29:I34))</f>
        <v/>
      </c>
      <c r="J35" s="13" t="n"/>
      <c r="K35" s="32" t="inlineStr"/>
      <c r="L35" s="13" t="n"/>
    </row>
    <row r="36" ht="26" customHeight="1">
      <c r="A36" s="12" t="inlineStr">
        <is>
          <t>구간 발주일</t>
        </is>
      </c>
      <c r="B36" s="13" t="n"/>
      <c r="C36" s="13" t="n"/>
      <c r="D36" s="16" t="n"/>
      <c r="E36" s="13" t="n"/>
      <c r="F36" s="13" t="n"/>
      <c r="G36" s="12" t="inlineStr">
        <is>
          <t>출하 예정</t>
        </is>
      </c>
      <c r="H36" s="13" t="n"/>
      <c r="I36" s="34">
        <f>IF(OR(N(D36)=0,G35=""),"",D36+G35)</f>
        <v/>
      </c>
      <c r="J36" s="13" t="n"/>
      <c r="K36" s="35">
        <f>IF(OR(N(D36)=0,I35=""),"",D36+I35)</f>
        <v/>
      </c>
      <c r="L36" s="13" t="n"/>
    </row>
    <row r="37" ht="29.65" customHeight="1">
      <c r="A37" s="36" t="inlineStr">
        <is>
          <t>※ 구간(1,500 ~ 2,500㎡) 기준 약 10 ~ 15일 걸립니다(특수 형태는 생산성이 떨어짐). 일수는 제조사 자료로 고쳐 씁니다.</t>
        </is>
      </c>
    </row>
    <row r="38" ht="21" customHeight="1">
      <c r="A38" s="24" t="inlineStr">
        <is>
          <t>4) 예정공정표 — «공정표» 시트(구간별 판개 · 선행공정 완료 후 D-DAY 기준)</t>
        </is>
      </c>
    </row>
    <row r="40" ht="19.5" customHeight="1">
      <c r="A40" s="7" t="inlineStr">
        <is>
          <t>하늘색 칸 = 자동(생산 소요일 합계 · 출하 예정일).</t>
        </is>
      </c>
    </row>
  </sheetData>
  <mergeCells count="86">
    <mergeCell ref="K33:L33"/>
    <mergeCell ref="A37:L37"/>
    <mergeCell ref="D16:I16"/>
    <mergeCell ref="K35:L35"/>
    <mergeCell ref="D18:I18"/>
    <mergeCell ref="A32:F32"/>
    <mergeCell ref="D9:F9"/>
    <mergeCell ref="A29:F29"/>
    <mergeCell ref="G34:H34"/>
    <mergeCell ref="A31:F31"/>
    <mergeCell ref="G9:I9"/>
    <mergeCell ref="D20:I20"/>
    <mergeCell ref="A6:C6"/>
    <mergeCell ref="K28:L28"/>
    <mergeCell ref="I30:J30"/>
    <mergeCell ref="K30:L30"/>
    <mergeCell ref="G6:I6"/>
    <mergeCell ref="A12:C12"/>
    <mergeCell ref="A3:L3"/>
    <mergeCell ref="J7:L7"/>
    <mergeCell ref="A33:F33"/>
    <mergeCell ref="J16:L16"/>
    <mergeCell ref="I32:J32"/>
    <mergeCell ref="A14:C14"/>
    <mergeCell ref="A5:L5"/>
    <mergeCell ref="K32:L32"/>
    <mergeCell ref="A35:F35"/>
    <mergeCell ref="A38:L38"/>
    <mergeCell ref="A28:F28"/>
    <mergeCell ref="G33:H33"/>
    <mergeCell ref="I33:J33"/>
    <mergeCell ref="A40:L40"/>
    <mergeCell ref="A30:F30"/>
    <mergeCell ref="G35:H35"/>
    <mergeCell ref="I35:J35"/>
    <mergeCell ref="J14:L14"/>
    <mergeCell ref="G8:I8"/>
    <mergeCell ref="A21:L26"/>
    <mergeCell ref="A7:C7"/>
    <mergeCell ref="A16:C16"/>
    <mergeCell ref="J6:L6"/>
    <mergeCell ref="G10:I10"/>
    <mergeCell ref="A18:C18"/>
    <mergeCell ref="D7:F7"/>
    <mergeCell ref="K29:L29"/>
    <mergeCell ref="K31:L31"/>
    <mergeCell ref="D8:F8"/>
    <mergeCell ref="A20:C20"/>
    <mergeCell ref="J18:L18"/>
    <mergeCell ref="A13:L13"/>
    <mergeCell ref="J8:L8"/>
    <mergeCell ref="A34:F34"/>
    <mergeCell ref="A15:L15"/>
    <mergeCell ref="J10:L10"/>
    <mergeCell ref="G32:H32"/>
    <mergeCell ref="A1:F1"/>
    <mergeCell ref="D36:F36"/>
    <mergeCell ref="J9:L9"/>
    <mergeCell ref="D6:F6"/>
    <mergeCell ref="G7:I7"/>
    <mergeCell ref="I34:J34"/>
    <mergeCell ref="K34:L34"/>
    <mergeCell ref="G36:H36"/>
    <mergeCell ref="I36:J36"/>
    <mergeCell ref="J20:L20"/>
    <mergeCell ref="A27:L27"/>
    <mergeCell ref="K36:L36"/>
    <mergeCell ref="A8:C8"/>
    <mergeCell ref="D12:I12"/>
    <mergeCell ref="A17:L17"/>
    <mergeCell ref="G28:H28"/>
    <mergeCell ref="I28:J28"/>
    <mergeCell ref="J12:L12"/>
    <mergeCell ref="A10:C10"/>
    <mergeCell ref="G1:L1"/>
    <mergeCell ref="D14:I14"/>
    <mergeCell ref="A19:L19"/>
    <mergeCell ref="G30:H30"/>
    <mergeCell ref="A9:C9"/>
    <mergeCell ref="D10:F10"/>
    <mergeCell ref="G29:H29"/>
    <mergeCell ref="I29:J29"/>
    <mergeCell ref="A36:C36"/>
    <mergeCell ref="A11:L11"/>
    <mergeCell ref="G31:H31"/>
    <mergeCell ref="I31:J31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6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V16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4.5" customWidth="1" min="3" max="3"/>
    <col width="6.5" customWidth="1" min="4" max="4"/>
    <col width="5" customWidth="1" min="5" max="5"/>
    <col width="5" customWidth="1" min="6" max="6"/>
    <col width="5" customWidth="1" min="7" max="7"/>
    <col width="1.75" customWidth="1" min="8" max="8"/>
    <col width="1.75" customWidth="1" min="9" max="9"/>
    <col width="1.75" customWidth="1" min="10" max="10"/>
    <col width="1.75" customWidth="1" min="11" max="11"/>
    <col width="1.75" customWidth="1" min="12" max="12"/>
    <col width="1.75" customWidth="1" min="13" max="13"/>
    <col width="1.75" customWidth="1" min="14" max="14"/>
    <col width="1.75" customWidth="1" min="15" max="15"/>
    <col width="1.75" customWidth="1" min="16" max="16"/>
    <col width="1.75" customWidth="1" min="17" max="17"/>
    <col width="1.75" customWidth="1" min="18" max="18"/>
    <col width="1.75" customWidth="1" min="19" max="19"/>
    <col width="1.75" customWidth="1" min="20" max="20"/>
    <col width="1.75" customWidth="1" min="21" max="21"/>
    <col width="1.75" customWidth="1" min="22" max="22"/>
    <col width="1.75" customWidth="1" min="23" max="23"/>
    <col width="1.75" customWidth="1" min="24" max="24"/>
    <col width="1.75" customWidth="1" min="25" max="25"/>
    <col width="1.75" customWidth="1" min="26" max="26"/>
    <col width="1.75" customWidth="1" min="27" max="27"/>
    <col width="1.75" customWidth="1" min="28" max="28"/>
    <col width="1.75" customWidth="1" min="29" max="29"/>
    <col width="1.75" customWidth="1" min="30" max="30"/>
    <col width="1.75" customWidth="1" min="31" max="31"/>
    <col width="1.75" customWidth="1" min="32" max="32"/>
    <col width="1.75" customWidth="1" min="33" max="33"/>
    <col width="1.75" customWidth="1" min="34" max="34"/>
    <col width="1.75" customWidth="1" min="35" max="35"/>
    <col width="1.75" customWidth="1" min="36" max="36"/>
    <col width="1.75" customWidth="1" min="37" max="37"/>
    <col width="1.75" customWidth="1" min="38" max="38"/>
    <col width="1.75" customWidth="1" min="39" max="39"/>
    <col width="1.75" customWidth="1" min="40" max="40"/>
    <col width="1.75" customWidth="1" min="41" max="41"/>
    <col width="1.75" customWidth="1" min="42" max="42"/>
    <col width="1.75" customWidth="1" min="43" max="43"/>
    <col width="1.75" customWidth="1" min="44" max="44"/>
    <col width="1.75" customWidth="1" min="45" max="45"/>
    <col width="1.75" customWidth="1" min="46" max="46"/>
    <col width="1.75" customWidth="1" min="47" max="47"/>
    <col width="6" customWidth="1" min="48" max="48"/>
  </cols>
  <sheetData>
    <row r="1" ht="20" customHeight="1">
      <c r="A1" s="1" t="inlineStr">
        <is>
          <t xml:space="preserve">  K-건설맵  |  k-conmap.com  건설 서식</t>
        </is>
      </c>
      <c r="P1" s="2" t="inlineStr">
        <is>
          <t xml:space="preserve">← 이 1행을 지우고 쓰셔도 됩니다  </t>
        </is>
      </c>
    </row>
    <row r="2" ht="34" customHeight="1">
      <c r="A2" s="37" t="inlineStr">
        <is>
          <t>3-4)   예 정 공 정 표 (구간별 판개 · D-DAY 기준)</t>
        </is>
      </c>
    </row>
    <row r="3" ht="22" customHeight="1">
      <c r="A3" s="12" t="inlineStr">
        <is>
          <t>착 수 일</t>
        </is>
      </c>
      <c r="B3" s="16" t="n"/>
      <c r="C3" s="13" t="n"/>
      <c r="D3" s="7" t="inlineStr">
        <is>
          <t>※ 공종마다 총수량 · 1일 작업량 · 시작 일차를 적으면 작업일수(올림) · 끝나는 일차 · 막대 · 총 공기가 저절로 나옵니다.</t>
        </is>
      </c>
    </row>
    <row r="4" ht="16" customHeight="1">
      <c r="A4" s="21" t="inlineStr">
        <is>
          <t>공    종</t>
        </is>
      </c>
      <c r="B4" s="38" t="inlineStr">
        <is>
          <t>총수량</t>
        </is>
      </c>
      <c r="C4" s="39" t="inlineStr">
        <is>
          <t>단위</t>
        </is>
      </c>
      <c r="D4" s="39" t="inlineStr">
        <is>
          <t>1일
작업량</t>
        </is>
      </c>
      <c r="E4" s="39" t="inlineStr">
        <is>
          <t>작업
일수</t>
        </is>
      </c>
      <c r="F4" s="39" t="inlineStr">
        <is>
          <t>시작
일차</t>
        </is>
      </c>
      <c r="G4" s="39" t="inlineStr">
        <is>
          <t>종료
일차</t>
        </is>
      </c>
      <c r="H4" s="40" t="n">
        <v>1</v>
      </c>
      <c r="I4" s="40" t="n">
        <v>2</v>
      </c>
      <c r="J4" s="40" t="n">
        <v>3</v>
      </c>
      <c r="K4" s="40" t="n">
        <v>4</v>
      </c>
      <c r="L4" s="40" t="n">
        <v>5</v>
      </c>
      <c r="M4" s="40" t="n">
        <v>6</v>
      </c>
      <c r="N4" s="40" t="n">
        <v>7</v>
      </c>
      <c r="O4" s="40" t="n">
        <v>8</v>
      </c>
      <c r="P4" s="40" t="n">
        <v>9</v>
      </c>
      <c r="Q4" s="40" t="n">
        <v>10</v>
      </c>
      <c r="R4" s="40" t="n">
        <v>11</v>
      </c>
      <c r="S4" s="40" t="n">
        <v>12</v>
      </c>
      <c r="T4" s="40" t="n">
        <v>13</v>
      </c>
      <c r="U4" s="40" t="n">
        <v>14</v>
      </c>
      <c r="V4" s="40" t="n">
        <v>15</v>
      </c>
      <c r="W4" s="40" t="n">
        <v>16</v>
      </c>
      <c r="X4" s="40" t="n">
        <v>17</v>
      </c>
      <c r="Y4" s="40" t="n">
        <v>18</v>
      </c>
      <c r="Z4" s="40" t="n">
        <v>19</v>
      </c>
      <c r="AA4" s="40" t="n">
        <v>20</v>
      </c>
      <c r="AB4" s="40" t="n">
        <v>21</v>
      </c>
      <c r="AC4" s="40" t="n">
        <v>22</v>
      </c>
      <c r="AD4" s="40" t="n">
        <v>23</v>
      </c>
      <c r="AE4" s="40" t="n">
        <v>24</v>
      </c>
      <c r="AF4" s="40" t="n">
        <v>25</v>
      </c>
      <c r="AG4" s="40" t="n">
        <v>26</v>
      </c>
      <c r="AH4" s="40" t="n">
        <v>27</v>
      </c>
      <c r="AI4" s="40" t="n">
        <v>28</v>
      </c>
      <c r="AJ4" s="40" t="n">
        <v>29</v>
      </c>
      <c r="AK4" s="40" t="n">
        <v>30</v>
      </c>
      <c r="AL4" s="40" t="n">
        <v>31</v>
      </c>
      <c r="AM4" s="40" t="n">
        <v>32</v>
      </c>
      <c r="AN4" s="40" t="n">
        <v>33</v>
      </c>
      <c r="AO4" s="40" t="n">
        <v>34</v>
      </c>
      <c r="AP4" s="40" t="n">
        <v>35</v>
      </c>
      <c r="AQ4" s="40" t="n">
        <v>36</v>
      </c>
      <c r="AR4" s="40" t="n">
        <v>37</v>
      </c>
      <c r="AS4" s="40" t="n">
        <v>38</v>
      </c>
      <c r="AT4" s="40" t="n">
        <v>39</v>
      </c>
      <c r="AU4" s="40" t="n">
        <v>40</v>
      </c>
      <c r="AV4" s="21" t="inlineStr">
        <is>
          <t>비 고</t>
        </is>
      </c>
    </row>
    <row r="5" ht="13" customHeight="1">
      <c r="A5" s="13" t="n"/>
      <c r="B5" s="13" t="n"/>
      <c r="C5" s="13" t="n"/>
      <c r="D5" s="13" t="n"/>
      <c r="E5" s="13" t="n"/>
      <c r="F5" s="13" t="n"/>
      <c r="G5" s="13" t="n"/>
      <c r="H5" s="41">
        <f>IF(N(B3)=0,"",B3+0)</f>
        <v/>
      </c>
      <c r="I5" s="41">
        <f>IF(N(B3)=0,"",B3+1)</f>
        <v/>
      </c>
      <c r="J5" s="41">
        <f>IF(N(B3)=0,"",B3+2)</f>
        <v/>
      </c>
      <c r="K5" s="41">
        <f>IF(N(B3)=0,"",B3+3)</f>
        <v/>
      </c>
      <c r="L5" s="41">
        <f>IF(N(B3)=0,"",B3+4)</f>
        <v/>
      </c>
      <c r="M5" s="41">
        <f>IF(N(B3)=0,"",B3+5)</f>
        <v/>
      </c>
      <c r="N5" s="41">
        <f>IF(N(B3)=0,"",B3+6)</f>
        <v/>
      </c>
      <c r="O5" s="41">
        <f>IF(N(B3)=0,"",B3+7)</f>
        <v/>
      </c>
      <c r="P5" s="41">
        <f>IF(N(B3)=0,"",B3+8)</f>
        <v/>
      </c>
      <c r="Q5" s="41">
        <f>IF(N(B3)=0,"",B3+9)</f>
        <v/>
      </c>
      <c r="R5" s="41">
        <f>IF(N(B3)=0,"",B3+10)</f>
        <v/>
      </c>
      <c r="S5" s="41">
        <f>IF(N(B3)=0,"",B3+11)</f>
        <v/>
      </c>
      <c r="T5" s="41">
        <f>IF(N(B3)=0,"",B3+12)</f>
        <v/>
      </c>
      <c r="U5" s="41">
        <f>IF(N(B3)=0,"",B3+13)</f>
        <v/>
      </c>
      <c r="V5" s="41">
        <f>IF(N(B3)=0,"",B3+14)</f>
        <v/>
      </c>
      <c r="W5" s="41">
        <f>IF(N(B3)=0,"",B3+15)</f>
        <v/>
      </c>
      <c r="X5" s="41">
        <f>IF(N(B3)=0,"",B3+16)</f>
        <v/>
      </c>
      <c r="Y5" s="41">
        <f>IF(N(B3)=0,"",B3+17)</f>
        <v/>
      </c>
      <c r="Z5" s="41">
        <f>IF(N(B3)=0,"",B3+18)</f>
        <v/>
      </c>
      <c r="AA5" s="41">
        <f>IF(N(B3)=0,"",B3+19)</f>
        <v/>
      </c>
      <c r="AB5" s="41">
        <f>IF(N(B3)=0,"",B3+20)</f>
        <v/>
      </c>
      <c r="AC5" s="41">
        <f>IF(N(B3)=0,"",B3+21)</f>
        <v/>
      </c>
      <c r="AD5" s="41">
        <f>IF(N(B3)=0,"",B3+22)</f>
        <v/>
      </c>
      <c r="AE5" s="41">
        <f>IF(N(B3)=0,"",B3+23)</f>
        <v/>
      </c>
      <c r="AF5" s="41">
        <f>IF(N(B3)=0,"",B3+24)</f>
        <v/>
      </c>
      <c r="AG5" s="41">
        <f>IF(N(B3)=0,"",B3+25)</f>
        <v/>
      </c>
      <c r="AH5" s="41">
        <f>IF(N(B3)=0,"",B3+26)</f>
        <v/>
      </c>
      <c r="AI5" s="41">
        <f>IF(N(B3)=0,"",B3+27)</f>
        <v/>
      </c>
      <c r="AJ5" s="41">
        <f>IF(N(B3)=0,"",B3+28)</f>
        <v/>
      </c>
      <c r="AK5" s="41">
        <f>IF(N(B3)=0,"",B3+29)</f>
        <v/>
      </c>
      <c r="AL5" s="41">
        <f>IF(N(B3)=0,"",B3+30)</f>
        <v/>
      </c>
      <c r="AM5" s="41">
        <f>IF(N(B3)=0,"",B3+31)</f>
        <v/>
      </c>
      <c r="AN5" s="41">
        <f>IF(N(B3)=0,"",B3+32)</f>
        <v/>
      </c>
      <c r="AO5" s="41">
        <f>IF(N(B3)=0,"",B3+33)</f>
        <v/>
      </c>
      <c r="AP5" s="41">
        <f>IF(N(B3)=0,"",B3+34)</f>
        <v/>
      </c>
      <c r="AQ5" s="41">
        <f>IF(N(B3)=0,"",B3+35)</f>
        <v/>
      </c>
      <c r="AR5" s="41">
        <f>IF(N(B3)=0,"",B3+36)</f>
        <v/>
      </c>
      <c r="AS5" s="41">
        <f>IF(N(B3)=0,"",B3+37)</f>
        <v/>
      </c>
      <c r="AT5" s="41">
        <f>IF(N(B3)=0,"",B3+38)</f>
        <v/>
      </c>
      <c r="AU5" s="41">
        <f>IF(N(B3)=0,"",B3+39)</f>
        <v/>
      </c>
      <c r="AV5" s="13" t="n"/>
    </row>
    <row r="6" ht="24" customHeight="1">
      <c r="A6" s="42" t="inlineStr">
        <is>
          <t>1구간(지하 1층)</t>
        </is>
      </c>
      <c r="B6" s="43" t="n"/>
      <c r="C6" s="44" t="inlineStr">
        <is>
          <t>㎡</t>
        </is>
      </c>
      <c r="D6" s="43" t="n"/>
      <c r="E6" s="45">
        <f>IF(OR(N(B6)=0,N(D6)=0),"",ROUNDUP(B6/D6,0))</f>
        <v/>
      </c>
      <c r="F6" s="46" t="n"/>
      <c r="G6" s="45">
        <f>IF(OR(E6="",N(F6)=0),"",F6+E6-1)</f>
        <v/>
      </c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  <c r="AN6" s="20" t="inlineStr"/>
      <c r="AO6" s="20" t="inlineStr"/>
      <c r="AP6" s="20" t="inlineStr"/>
      <c r="AQ6" s="20" t="inlineStr"/>
      <c r="AR6" s="20" t="inlineStr"/>
      <c r="AS6" s="20" t="inlineStr"/>
      <c r="AT6" s="20" t="inlineStr"/>
      <c r="AU6" s="20" t="inlineStr"/>
      <c r="AV6" s="47" t="n"/>
    </row>
    <row r="7" ht="24" customHeight="1">
      <c r="A7" s="42" t="inlineStr">
        <is>
          <t>2구간(1층)</t>
        </is>
      </c>
      <c r="B7" s="43" t="n"/>
      <c r="C7" s="44" t="inlineStr">
        <is>
          <t>㎡</t>
        </is>
      </c>
      <c r="D7" s="43" t="n"/>
      <c r="E7" s="45">
        <f>IF(OR(N(B7)=0,N(D7)=0),"",ROUNDUP(B7/D7,0))</f>
        <v/>
      </c>
      <c r="F7" s="46" t="n"/>
      <c r="G7" s="45">
        <f>IF(OR(E7="",N(F7)=0),"",F7+E7-1)</f>
        <v/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  <c r="AA7" s="20" t="inlineStr"/>
      <c r="AB7" s="20" t="inlineStr"/>
      <c r="AC7" s="20" t="inlineStr"/>
      <c r="AD7" s="20" t="inlineStr"/>
      <c r="AE7" s="20" t="inlineStr"/>
      <c r="AF7" s="20" t="inlineStr"/>
      <c r="AG7" s="20" t="inlineStr"/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  <c r="AQ7" s="20" t="inlineStr"/>
      <c r="AR7" s="20" t="inlineStr"/>
      <c r="AS7" s="20" t="inlineStr"/>
      <c r="AT7" s="20" t="inlineStr"/>
      <c r="AU7" s="20" t="inlineStr"/>
      <c r="AV7" s="47" t="n"/>
    </row>
    <row r="8" ht="24" customHeight="1">
      <c r="A8" s="42" t="inlineStr">
        <is>
          <t>3구간(2층)</t>
        </is>
      </c>
      <c r="B8" s="43" t="n"/>
      <c r="C8" s="44" t="inlineStr">
        <is>
          <t>㎡</t>
        </is>
      </c>
      <c r="D8" s="43" t="n"/>
      <c r="E8" s="45">
        <f>IF(OR(N(B8)=0,N(D8)=0),"",ROUNDUP(B8/D8,0))</f>
        <v/>
      </c>
      <c r="F8" s="46" t="n"/>
      <c r="G8" s="45">
        <f>IF(OR(E8="",N(F8)=0),"",F8+E8-1)</f>
        <v/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  <c r="AN8" s="20" t="inlineStr"/>
      <c r="AO8" s="20" t="inlineStr"/>
      <c r="AP8" s="20" t="inlineStr"/>
      <c r="AQ8" s="20" t="inlineStr"/>
      <c r="AR8" s="20" t="inlineStr"/>
      <c r="AS8" s="20" t="inlineStr"/>
      <c r="AT8" s="20" t="inlineStr"/>
      <c r="AU8" s="20" t="inlineStr"/>
      <c r="AV8" s="47" t="n"/>
    </row>
    <row r="9" ht="24" customHeight="1">
      <c r="A9" s="42" t="inlineStr">
        <is>
          <t>4구간(3층)</t>
        </is>
      </c>
      <c r="B9" s="43" t="n"/>
      <c r="C9" s="44" t="inlineStr">
        <is>
          <t>㎡</t>
        </is>
      </c>
      <c r="D9" s="43" t="n"/>
      <c r="E9" s="45">
        <f>IF(OR(N(B9)=0,N(D9)=0),"",ROUNDUP(B9/D9,0))</f>
        <v/>
      </c>
      <c r="F9" s="46" t="n"/>
      <c r="G9" s="45">
        <f>IF(OR(E9="",N(F9)=0),"",F9+E9-1)</f>
        <v/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  <c r="AG9" s="20" t="inlineStr"/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/>
      <c r="AQ9" s="20" t="inlineStr"/>
      <c r="AR9" s="20" t="inlineStr"/>
      <c r="AS9" s="20" t="inlineStr"/>
      <c r="AT9" s="20" t="inlineStr"/>
      <c r="AU9" s="20" t="inlineStr"/>
      <c r="AV9" s="47" t="n"/>
    </row>
    <row r="10" ht="24" customHeight="1">
      <c r="A10" s="42" t="inlineStr">
        <is>
          <t>5구간(지붕층)</t>
        </is>
      </c>
      <c r="B10" s="43" t="n"/>
      <c r="C10" s="44" t="inlineStr">
        <is>
          <t>㎡</t>
        </is>
      </c>
      <c r="D10" s="43" t="n"/>
      <c r="E10" s="45">
        <f>IF(OR(N(B10)=0,N(D10)=0),"",ROUNDUP(B10/D10,0))</f>
        <v/>
      </c>
      <c r="F10" s="46" t="n"/>
      <c r="G10" s="45">
        <f>IF(OR(E10="",N(F10)=0),"",F10+E10-1)</f>
        <v/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  <c r="AN10" s="20" t="inlineStr"/>
      <c r="AO10" s="20" t="inlineStr"/>
      <c r="AP10" s="20" t="inlineStr"/>
      <c r="AQ10" s="20" t="inlineStr"/>
      <c r="AR10" s="20" t="inlineStr"/>
      <c r="AS10" s="20" t="inlineStr"/>
      <c r="AT10" s="20" t="inlineStr"/>
      <c r="AU10" s="20" t="inlineStr"/>
      <c r="AV10" s="47" t="n"/>
    </row>
    <row r="11" ht="24" customHeight="1">
      <c r="A11" s="42" t="n"/>
      <c r="B11" s="43" t="n"/>
      <c r="C11" s="44" t="n"/>
      <c r="D11" s="43" t="n"/>
      <c r="E11" s="45">
        <f>IF(OR(N(B11)=0,N(D11)=0),"",ROUNDUP(B11/D11,0))</f>
        <v/>
      </c>
      <c r="F11" s="46" t="n"/>
      <c r="G11" s="45">
        <f>IF(OR(E11="",N(F11)=0),"",F11+E11-1)</f>
        <v/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B11" s="20" t="inlineStr"/>
      <c r="AC11" s="20" t="inlineStr"/>
      <c r="AD11" s="20" t="inlineStr"/>
      <c r="AE11" s="20" t="inlineStr"/>
      <c r="AF11" s="20" t="inlineStr"/>
      <c r="AG11" s="20" t="inlineStr"/>
      <c r="AH11" s="20" t="inlineStr"/>
      <c r="AI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P11" s="20" t="inlineStr"/>
      <c r="AQ11" s="20" t="inlineStr"/>
      <c r="AR11" s="20" t="inlineStr"/>
      <c r="AS11" s="20" t="inlineStr"/>
      <c r="AT11" s="20" t="inlineStr"/>
      <c r="AU11" s="20" t="inlineStr"/>
      <c r="AV11" s="47" t="n"/>
    </row>
    <row r="12" ht="24" customHeight="1">
      <c r="A12" s="42" t="n"/>
      <c r="B12" s="43" t="n"/>
      <c r="C12" s="44" t="n"/>
      <c r="D12" s="43" t="n"/>
      <c r="E12" s="45">
        <f>IF(OR(N(B12)=0,N(D12)=0),"",ROUNDUP(B12/D12,0))</f>
        <v/>
      </c>
      <c r="F12" s="46" t="n"/>
      <c r="G12" s="45">
        <f>IF(OR(E12="",N(F12)=0),"",F12+E12-1)</f>
        <v/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  <c r="AN12" s="20" t="inlineStr"/>
      <c r="AO12" s="20" t="inlineStr"/>
      <c r="AP12" s="20" t="inlineStr"/>
      <c r="AQ12" s="20" t="inlineStr"/>
      <c r="AR12" s="20" t="inlineStr"/>
      <c r="AS12" s="20" t="inlineStr"/>
      <c r="AT12" s="20" t="inlineStr"/>
      <c r="AU12" s="20" t="inlineStr"/>
      <c r="AV12" s="47" t="n"/>
    </row>
    <row r="13" ht="24" customHeight="1">
      <c r="A13" s="42" t="n"/>
      <c r="B13" s="43" t="n"/>
      <c r="C13" s="44" t="n"/>
      <c r="D13" s="43" t="n"/>
      <c r="E13" s="45">
        <f>IF(OR(N(B13)=0,N(D13)=0),"",ROUNDUP(B13/D13,0))</f>
        <v/>
      </c>
      <c r="F13" s="46" t="n"/>
      <c r="G13" s="45">
        <f>IF(OR(E13="",N(F13)=0),"",F13+E13-1)</f>
        <v/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/>
      <c r="AD13" s="20" t="inlineStr"/>
      <c r="AE13" s="20" t="inlineStr"/>
      <c r="AF13" s="20" t="inlineStr"/>
      <c r="AG13" s="20" t="inlineStr"/>
      <c r="AH13" s="20" t="inlineStr"/>
      <c r="AI13" s="20" t="inlineStr"/>
      <c r="AJ13" s="20" t="inlineStr"/>
      <c r="AK13" s="20" t="inlineStr"/>
      <c r="AL13" s="20" t="inlineStr"/>
      <c r="AM13" s="20" t="inlineStr"/>
      <c r="AN13" s="20" t="inlineStr"/>
      <c r="AO13" s="20" t="inlineStr"/>
      <c r="AP13" s="20" t="inlineStr"/>
      <c r="AQ13" s="20" t="inlineStr"/>
      <c r="AR13" s="20" t="inlineStr"/>
      <c r="AS13" s="20" t="inlineStr"/>
      <c r="AT13" s="20" t="inlineStr"/>
      <c r="AU13" s="20" t="inlineStr"/>
      <c r="AV13" s="47" t="n"/>
    </row>
    <row r="14" ht="22" customHeight="1">
      <c r="A14" s="32" t="inlineStr">
        <is>
          <t>총 공기 (가장 늦게 끝나는 일차)</t>
        </is>
      </c>
      <c r="B14" s="13" t="n"/>
      <c r="C14" s="13" t="n"/>
      <c r="D14" s="13" t="n"/>
      <c r="E14" s="13" t="n"/>
      <c r="F14" s="13" t="n"/>
      <c r="G14" s="48">
        <f>IF(COUNT(G6:G13)=0,"",MAX(G6:G13))</f>
        <v/>
      </c>
      <c r="H14" s="49">
        <f>IF(OR(G14="",N(B3)=0),"",B3+G14-1)</f>
        <v/>
      </c>
      <c r="AV14" s="9" t="inlineStr"/>
    </row>
    <row r="16" ht="34" customHeight="1">
      <c r="A16" s="7" t="inlineStr">
        <is>
          <t>하늘색 칸 = 자동(작업일수 = 총수량 ÷ 1일 작업량 올림 · 종료 일차 · 날짜 · 총 공기). 공종 이름 · 단위는 원본 차례를 넣어 두었습니다.</t>
        </is>
      </c>
    </row>
  </sheetData>
  <mergeCells count="16">
    <mergeCell ref="B4:B5"/>
    <mergeCell ref="D3:AU3"/>
    <mergeCell ref="B3:C3"/>
    <mergeCell ref="A4:A5"/>
    <mergeCell ref="C4:C5"/>
    <mergeCell ref="D4:D5"/>
    <mergeCell ref="E4:E5"/>
    <mergeCell ref="F4:F5"/>
    <mergeCell ref="G4:G5"/>
    <mergeCell ref="A1:O1"/>
    <mergeCell ref="AV4:AV5"/>
    <mergeCell ref="A14:F14"/>
    <mergeCell ref="H14:AU14"/>
    <mergeCell ref="P1:AV1"/>
    <mergeCell ref="A2:AV2"/>
    <mergeCell ref="A16:AV16"/>
  </mergeCells>
  <conditionalFormatting sqref="H6:AU13">
    <cfRule type="expression" priority="1" dxfId="0">
      <formula>AND(N($F6)&gt;0,N($G6)&gt;=N($F6),H$4&gt;=$F6,H$4&lt;=$G6)</formula>
    </cfRule>
  </conditionalFormatting>
  <conditionalFormatting sqref="B6:B13">
    <cfRule type="expression" priority="2" dxfId="1">
      <formula>AND(ISNUMBER(B6),MOD(B6,1)=0)</formula>
    </cfRule>
  </conditionalFormatting>
  <conditionalFormatting sqref="D6:D13">
    <cfRule type="expression" priority="3" dxfId="1">
      <formula>AND(ISNUMBER(D6),MOD(D6,1)=0)</formula>
    </cfRule>
  </conditionalFormatting>
  <printOptions horizontalCentered="1"/>
  <pageMargins left="0.3" right="0.3" top="0.45" bottom="0.45" header="0.2" footer="0.2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1" t="inlineStr">
        <is>
          <t>4.  시공관리계획</t>
        </is>
      </c>
    </row>
    <row r="4" ht="4" customHeight="1"/>
    <row r="5" ht="21" customHeight="1">
      <c r="A5" s="24" t="inlineStr">
        <is>
          <t>1) 현장 조직표</t>
        </is>
      </c>
    </row>
    <row r="6" ht="24" customHeight="1">
      <c r="A6" s="9" t="inlineStr"/>
      <c r="E6" s="12" t="inlineStr">
        <is>
          <t>현 장 소 장</t>
        </is>
      </c>
      <c r="F6" s="13" t="n"/>
      <c r="G6" s="13" t="n"/>
      <c r="H6" s="13" t="n"/>
      <c r="I6" s="9" t="inlineStr"/>
    </row>
    <row r="7" ht="24" customHeight="1">
      <c r="A7" s="9" t="inlineStr"/>
      <c r="E7" s="50" t="n"/>
      <c r="F7" s="13" t="n"/>
      <c r="G7" s="13" t="n"/>
      <c r="H7" s="13" t="n"/>
      <c r="I7" s="9" t="inlineStr"/>
    </row>
    <row r="8" ht="14" customHeight="1">
      <c r="A8" s="51" t="inlineStr">
        <is>
          <t>┌──────────┴──────────┐</t>
        </is>
      </c>
    </row>
    <row r="9" ht="24" customHeight="1">
      <c r="A9" s="9" t="inlineStr"/>
      <c r="B9" s="52" t="inlineStr">
        <is>
          <t>현장 시공관리 및 안전관리</t>
        </is>
      </c>
      <c r="C9" s="13" t="n"/>
      <c r="D9" s="13" t="n"/>
      <c r="E9" s="13" t="n"/>
      <c r="F9" s="9" t="inlineStr"/>
      <c r="H9" s="52" t="inlineStr">
        <is>
          <t>자재관리 및 공무</t>
        </is>
      </c>
      <c r="I9" s="13" t="n"/>
      <c r="J9" s="13" t="n"/>
      <c r="K9" s="13" t="n"/>
      <c r="L9" s="9" t="inlineStr"/>
    </row>
    <row r="10" ht="24" customHeight="1">
      <c r="A10" s="9" t="inlineStr"/>
      <c r="B10" s="50" t="n"/>
      <c r="C10" s="13" t="n"/>
      <c r="D10" s="13" t="n"/>
      <c r="E10" s="13" t="n"/>
      <c r="F10" s="9" t="inlineStr"/>
      <c r="H10" s="50" t="n"/>
      <c r="I10" s="13" t="n"/>
      <c r="J10" s="13" t="n"/>
      <c r="K10" s="13" t="n"/>
      <c r="L10" s="9" t="inlineStr"/>
    </row>
    <row r="11" ht="14" customHeight="1">
      <c r="A11" s="51" t="inlineStr">
        <is>
          <t>┌──────────┼──────────┐</t>
        </is>
      </c>
    </row>
    <row r="12" ht="24" customHeight="1">
      <c r="A12" s="12" t="inlineStr">
        <is>
          <t>하부 청소팀</t>
        </is>
      </c>
      <c r="B12" s="13" t="n"/>
      <c r="C12" s="13" t="n"/>
      <c r="D12" s="13" t="n"/>
      <c r="E12" s="12" t="inlineStr">
        <is>
          <t>시공 1팀 (데크)</t>
        </is>
      </c>
      <c r="F12" s="13" t="n"/>
      <c r="G12" s="13" t="n"/>
      <c r="H12" s="13" t="n"/>
      <c r="I12" s="12" t="inlineStr">
        <is>
          <t>시공 2팀 (데크)</t>
        </is>
      </c>
      <c r="J12" s="13" t="n"/>
      <c r="K12" s="13" t="n"/>
      <c r="L12" s="13" t="n"/>
    </row>
    <row r="13" ht="24" customHeight="1">
      <c r="A13" s="53" t="n">
        <v>4</v>
      </c>
      <c r="B13" s="13" t="n"/>
      <c r="C13" s="13" t="n"/>
      <c r="D13" s="13" t="n"/>
      <c r="E13" s="53" t="n">
        <v>5</v>
      </c>
      <c r="F13" s="13" t="n"/>
      <c r="G13" s="13" t="n"/>
      <c r="H13" s="13" t="n"/>
      <c r="I13" s="53" t="n">
        <v>5</v>
      </c>
      <c r="J13" s="13" t="n"/>
      <c r="K13" s="13" t="n"/>
      <c r="L13" s="13" t="n"/>
    </row>
    <row r="14" ht="24" customHeight="1">
      <c r="A14" s="32" t="inlineStr">
        <is>
          <t>작업 인원 합계</t>
        </is>
      </c>
      <c r="B14" s="13" t="n"/>
      <c r="C14" s="13" t="n"/>
      <c r="D14" s="13" t="n"/>
      <c r="E14" s="13" t="n"/>
      <c r="F14" s="13" t="n"/>
      <c r="G14" s="13" t="n"/>
      <c r="H14" s="13" t="n"/>
      <c r="I14" s="54">
        <f>IF(N(A13)+N(E13)+N(I13)=0,"",N(A13)+N(E13)+N(I13))</f>
        <v/>
      </c>
      <c r="J14" s="13" t="n"/>
      <c r="K14" s="13" t="n"/>
      <c r="L14" s="13" t="n"/>
    </row>
    <row r="15" ht="21" customHeight="1">
      <c r="A15" s="24" t="inlineStr">
        <is>
          <t>2) 제품 구성(철선일체형 데크플레이트)</t>
        </is>
      </c>
    </row>
    <row r="16" ht="24" customHeight="1">
      <c r="A16" s="21" t="inlineStr">
        <is>
          <t>구   성</t>
        </is>
      </c>
      <c r="B16" s="13" t="n"/>
      <c r="C16" s="13" t="n"/>
      <c r="D16" s="21" t="inlineStr">
        <is>
          <t>재  료 · 규  격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4" customHeight="1">
      <c r="A17" s="22" t="inlineStr">
        <is>
          <t>하부 강판</t>
        </is>
      </c>
      <c r="B17" s="13" t="n"/>
      <c r="C17" s="13" t="n"/>
      <c r="D17" s="15" t="inlineStr">
        <is>
          <t>용융 아연 도금 강판 0.5t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4" customHeight="1">
      <c r="A18" s="22" t="inlineStr">
        <is>
          <t>상 · 하부 철선</t>
        </is>
      </c>
      <c r="B18" s="13" t="n"/>
      <c r="C18" s="13" t="n"/>
      <c r="D18" s="15" t="inlineStr">
        <is>
          <t>D13 · D12 · D10 · D8 · D7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4" customHeight="1">
      <c r="A19" s="22" t="inlineStr">
        <is>
          <t>래티스(트러스)</t>
        </is>
      </c>
      <c r="B19" s="13" t="n"/>
      <c r="C19" s="13" t="n"/>
      <c r="D19" s="15" t="inlineStr">
        <is>
          <t>Φ5 · Φ6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1" customHeight="1">
      <c r="A20" s="24" t="inlineStr">
        <is>
          <t>3) 양중계획</t>
        </is>
      </c>
    </row>
    <row r="21" ht="20" customHeight="1">
      <c r="A21" s="30" t="inlineStr">
        <is>
          <t>(양중계획도를 붙이는 곳 — 차량 동선 · 데크 야적장 · 크레인 위치)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2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2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2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2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17.325" customHeight="1">
      <c r="A31" s="36" t="inlineStr">
        <is>
          <t>※ 구간(1,000 ~ 1,500㎡) 기준 양중 시간 3 ~ 4시간.</t>
        </is>
      </c>
    </row>
    <row r="32" ht="21" customHeight="1">
      <c r="A32" s="24" t="inlineStr">
        <is>
          <t>4) 인원 동원계획</t>
        </is>
      </c>
    </row>
    <row r="33" ht="24" customHeight="1">
      <c r="A33" s="21" t="inlineStr">
        <is>
          <t>직책 및 직종</t>
        </is>
      </c>
      <c r="B33" s="13" t="n"/>
      <c r="C33" s="13" t="n"/>
      <c r="D33" s="21" t="inlineStr">
        <is>
          <t>담 당 업 무</t>
        </is>
      </c>
      <c r="E33" s="13" t="n"/>
      <c r="F33" s="13" t="n"/>
      <c r="G33" s="21" t="inlineStr">
        <is>
          <t>최소 (명)</t>
        </is>
      </c>
      <c r="H33" s="13" t="n"/>
      <c r="I33" s="21" t="inlineStr">
        <is>
          <t>최대 (명)</t>
        </is>
      </c>
      <c r="J33" s="13" t="n"/>
      <c r="K33" s="21" t="inlineStr">
        <is>
          <t>비  고</t>
        </is>
      </c>
      <c r="L33" s="13" t="n"/>
    </row>
    <row r="34" ht="23" customHeight="1">
      <c r="A34" s="50" t="inlineStr">
        <is>
          <t>현장 소장</t>
        </is>
      </c>
      <c r="B34" s="13" t="n"/>
      <c r="C34" s="13" t="n"/>
      <c r="D34" s="25" t="inlineStr">
        <is>
          <t>현장 총괄</t>
        </is>
      </c>
      <c r="E34" s="13" t="n"/>
      <c r="F34" s="13" t="n"/>
      <c r="G34" s="55" t="n">
        <v>1</v>
      </c>
      <c r="H34" s="13" t="n"/>
      <c r="I34" s="55" t="n">
        <v>1</v>
      </c>
      <c r="J34" s="13" t="n"/>
      <c r="K34" s="50" t="inlineStr">
        <is>
          <t>상주</t>
        </is>
      </c>
      <c r="L34" s="13" t="n"/>
    </row>
    <row r="35" ht="23" customHeight="1">
      <c r="A35" s="50" t="inlineStr">
        <is>
          <t>공무 관리</t>
        </is>
      </c>
      <c r="B35" s="13" t="n"/>
      <c r="C35" s="13" t="n"/>
      <c r="D35" s="25" t="inlineStr">
        <is>
          <t>자재 및 문서</t>
        </is>
      </c>
      <c r="E35" s="13" t="n"/>
      <c r="F35" s="13" t="n"/>
      <c r="G35" s="55" t="n">
        <v>1</v>
      </c>
      <c r="H35" s="13" t="n"/>
      <c r="I35" s="55" t="n">
        <v>1</v>
      </c>
      <c r="J35" s="13" t="n"/>
      <c r="K35" s="50" t="inlineStr">
        <is>
          <t>비상주</t>
        </is>
      </c>
      <c r="L35" s="13" t="n"/>
    </row>
    <row r="36" ht="23" customHeight="1">
      <c r="A36" s="50" t="inlineStr">
        <is>
          <t>안전 관리</t>
        </is>
      </c>
      <c r="B36" s="13" t="n"/>
      <c r="C36" s="13" t="n"/>
      <c r="D36" s="25" t="inlineStr">
        <is>
          <t>안전 · 자재 관리</t>
        </is>
      </c>
      <c r="E36" s="13" t="n"/>
      <c r="F36" s="13" t="n"/>
      <c r="G36" s="55" t="n">
        <v>1</v>
      </c>
      <c r="H36" s="13" t="n"/>
      <c r="I36" s="55" t="n">
        <v>1</v>
      </c>
      <c r="J36" s="13" t="n"/>
      <c r="K36" s="50" t="inlineStr">
        <is>
          <t>상주</t>
        </is>
      </c>
      <c r="L36" s="13" t="n"/>
    </row>
    <row r="37" ht="23" customHeight="1">
      <c r="A37" s="50" t="inlineStr">
        <is>
          <t>양중 팀</t>
        </is>
      </c>
      <c r="B37" s="13" t="n"/>
      <c r="C37" s="13" t="n"/>
      <c r="D37" s="25" t="inlineStr">
        <is>
          <t>데크 · 부속자재 양중</t>
        </is>
      </c>
      <c r="E37" s="13" t="n"/>
      <c r="F37" s="13" t="n"/>
      <c r="G37" s="55" t="n">
        <v>1</v>
      </c>
      <c r="H37" s="13" t="n"/>
      <c r="I37" s="55" t="n">
        <v>2</v>
      </c>
      <c r="J37" s="13" t="n"/>
      <c r="K37" s="50" t="n"/>
      <c r="L37" s="13" t="n"/>
    </row>
    <row r="38" ht="23" customHeight="1">
      <c r="A38" s="50" t="inlineStr">
        <is>
          <t>데크 팀</t>
        </is>
      </c>
      <c r="B38" s="13" t="n"/>
      <c r="C38" s="13" t="n"/>
      <c r="D38" s="25" t="inlineStr">
        <is>
          <t>데크 시공</t>
        </is>
      </c>
      <c r="E38" s="13" t="n"/>
      <c r="F38" s="13" t="n"/>
      <c r="G38" s="55" t="n">
        <v>4</v>
      </c>
      <c r="H38" s="13" t="n"/>
      <c r="I38" s="55" t="n">
        <v>5</v>
      </c>
      <c r="J38" s="13" t="n"/>
      <c r="K38" s="50" t="n"/>
      <c r="L38" s="13" t="n"/>
    </row>
    <row r="39" ht="23" customHeight="1">
      <c r="A39" s="50" t="inlineStr">
        <is>
          <t>하부 청소</t>
        </is>
      </c>
      <c r="B39" s="13" t="n"/>
      <c r="C39" s="13" t="n"/>
      <c r="D39" s="25" t="inlineStr">
        <is>
          <t>청소</t>
        </is>
      </c>
      <c r="E39" s="13" t="n"/>
      <c r="F39" s="13" t="n"/>
      <c r="G39" s="55" t="n">
        <v>2</v>
      </c>
      <c r="H39" s="13" t="n"/>
      <c r="I39" s="55" t="n">
        <v>3</v>
      </c>
      <c r="J39" s="13" t="n"/>
      <c r="K39" s="50" t="n"/>
      <c r="L39" s="13" t="n"/>
    </row>
    <row r="40" ht="23" customHeight="1">
      <c r="A40" s="50" t="n"/>
      <c r="B40" s="13" t="n"/>
      <c r="C40" s="13" t="n"/>
      <c r="D40" s="25" t="n"/>
      <c r="E40" s="13" t="n"/>
      <c r="F40" s="13" t="n"/>
      <c r="G40" s="55" t="n"/>
      <c r="H40" s="13" t="n"/>
      <c r="I40" s="55" t="n"/>
      <c r="J40" s="13" t="n"/>
      <c r="K40" s="50" t="n"/>
      <c r="L40" s="13" t="n"/>
    </row>
    <row r="41" ht="24" customHeight="1">
      <c r="A41" s="32" t="inlineStr">
        <is>
          <t>계</t>
        </is>
      </c>
      <c r="B41" s="13" t="n"/>
      <c r="C41" s="13" t="n"/>
      <c r="D41" s="13" t="n"/>
      <c r="E41" s="13" t="n"/>
      <c r="F41" s="13" t="n"/>
      <c r="G41" s="56">
        <f>IF(SUM(G34:G40)=0,"",SUM(G34:G40))</f>
        <v/>
      </c>
      <c r="H41" s="13" t="n"/>
      <c r="I41" s="56">
        <f>IF(SUM(I34:I40)=0,"",SUM(I34:I40))</f>
        <v/>
      </c>
      <c r="J41" s="13" t="n"/>
      <c r="K41" s="32" t="inlineStr">
        <is>
          <t>명</t>
        </is>
      </c>
      <c r="L41" s="13" t="n"/>
    </row>
    <row r="42" ht="17.325" customHeight="1">
      <c r="A42" s="36" t="inlineStr">
        <is>
          <t>※ 구간 1,500㎡ · 2,000㎡ 기준 7명 투입 때 판개 각각 2일 · 3일(현장 여건에 따라 인원 조절).</t>
        </is>
      </c>
    </row>
    <row r="43" ht="21" customHeight="1">
      <c r="A43" s="24" t="inlineStr">
        <is>
          <t>5) 장비 동원계획</t>
        </is>
      </c>
    </row>
    <row r="44" ht="24" customHeight="1">
      <c r="A44" s="21" t="inlineStr">
        <is>
          <t>장 비 명</t>
        </is>
      </c>
      <c r="B44" s="13" t="n"/>
      <c r="C44" s="13" t="n"/>
      <c r="D44" s="21" t="inlineStr">
        <is>
          <t>규격 및 용량</t>
        </is>
      </c>
      <c r="E44" s="13" t="n"/>
      <c r="F44" s="21" t="inlineStr">
        <is>
          <t>사 용 내 용</t>
        </is>
      </c>
      <c r="G44" s="13" t="n"/>
      <c r="H44" s="13" t="n"/>
      <c r="I44" s="21" t="inlineStr">
        <is>
          <t>수  량</t>
        </is>
      </c>
      <c r="J44" s="13" t="n"/>
      <c r="K44" s="21" t="inlineStr">
        <is>
          <t>비  고</t>
        </is>
      </c>
      <c r="L44" s="13" t="n"/>
    </row>
    <row r="45" ht="23" customHeight="1">
      <c r="A45" s="50" t="inlineStr">
        <is>
          <t>인버터 용접기</t>
        </is>
      </c>
      <c r="B45" s="13" t="n"/>
      <c r="C45" s="13" t="n"/>
      <c r="D45" s="50" t="inlineStr">
        <is>
          <t>7.5kW</t>
        </is>
      </c>
      <c r="E45" s="13" t="n"/>
      <c r="F45" s="50" t="inlineStr">
        <is>
          <t>데크 시공</t>
        </is>
      </c>
      <c r="G45" s="13" t="n"/>
      <c r="H45" s="13" t="n"/>
      <c r="I45" s="57" t="n">
        <v>2</v>
      </c>
      <c r="J45" s="13" t="n"/>
      <c r="K45" s="50" t="inlineStr">
        <is>
          <t>15A</t>
        </is>
      </c>
      <c r="L45" s="13" t="n"/>
    </row>
    <row r="46" ht="23" customHeight="1">
      <c r="A46" s="50" t="inlineStr">
        <is>
          <t>인버터 용접기</t>
        </is>
      </c>
      <c r="B46" s="13" t="n"/>
      <c r="C46" s="13" t="n"/>
      <c r="D46" s="50" t="inlineStr">
        <is>
          <t>3.5kW</t>
        </is>
      </c>
      <c r="E46" s="13" t="n"/>
      <c r="F46" s="50" t="inlineStr">
        <is>
          <t>데크 시공</t>
        </is>
      </c>
      <c r="G46" s="13" t="n"/>
      <c r="H46" s="13" t="n"/>
      <c r="I46" s="57" t="n">
        <v>2</v>
      </c>
      <c r="J46" s="13" t="n"/>
      <c r="K46" s="50" t="n"/>
      <c r="L46" s="13" t="n"/>
    </row>
    <row r="47" ht="23" customHeight="1">
      <c r="A47" s="50" t="inlineStr">
        <is>
          <t>플라스마 절단기</t>
        </is>
      </c>
      <c r="B47" s="13" t="n"/>
      <c r="C47" s="13" t="n"/>
      <c r="D47" s="50" t="inlineStr">
        <is>
          <t>10kW</t>
        </is>
      </c>
      <c r="E47" s="13" t="n"/>
      <c r="F47" s="50" t="inlineStr">
        <is>
          <t>절단</t>
        </is>
      </c>
      <c r="G47" s="13" t="n"/>
      <c r="H47" s="13" t="n"/>
      <c r="I47" s="57" t="n">
        <v>2</v>
      </c>
      <c r="J47" s="13" t="n"/>
      <c r="K47" s="50" t="n"/>
      <c r="L47" s="13" t="n"/>
    </row>
    <row r="48" ht="23" customHeight="1">
      <c r="A48" s="50" t="n"/>
      <c r="B48" s="13" t="n"/>
      <c r="C48" s="13" t="n"/>
      <c r="D48" s="50" t="n"/>
      <c r="E48" s="13" t="n"/>
      <c r="F48" s="50" t="n"/>
      <c r="G48" s="13" t="n"/>
      <c r="H48" s="13" t="n"/>
      <c r="I48" s="57" t="n"/>
      <c r="J48" s="13" t="n"/>
      <c r="K48" s="50" t="n"/>
      <c r="L48" s="13" t="n"/>
    </row>
    <row r="49" ht="24" customHeight="1">
      <c r="A49" s="32" t="inlineStr">
        <is>
          <t>합    계</t>
        </is>
      </c>
      <c r="B49" s="13" t="n"/>
      <c r="C49" s="13" t="n"/>
      <c r="D49" s="13" t="n"/>
      <c r="E49" s="13" t="n"/>
      <c r="F49" s="13" t="n"/>
      <c r="G49" s="13" t="n"/>
      <c r="H49" s="13" t="n"/>
      <c r="I49" s="58">
        <f>IF(SUM(I45:I48)=0,"",SUM(I45:I48))</f>
        <v/>
      </c>
      <c r="J49" s="13" t="n"/>
      <c r="K49" s="32" t="inlineStr"/>
      <c r="L49" s="13" t="n"/>
    </row>
    <row r="50" ht="21" customHeight="1">
      <c r="A50" s="24" t="inlineStr">
        <is>
          <t>6) 자재 반입</t>
        </is>
      </c>
    </row>
    <row r="51" ht="19.725" customHeight="1">
      <c r="A51" s="59" t="inlineStr">
        <is>
          <t>■</t>
        </is>
      </c>
      <c r="B51" s="60" t="inlineStr">
        <is>
          <t>자재 반입 전 시공 담당과 반입 계획을 세운다.</t>
        </is>
      </c>
    </row>
    <row r="52" ht="19.725" customHeight="1">
      <c r="A52" s="59" t="inlineStr">
        <is>
          <t>■</t>
        </is>
      </c>
      <c r="B52" s="60" t="inlineStr">
        <is>
          <t>현장 입고 15일 전에 발주하며, 자재 생산이 끝나면 공장에서 출발한다.</t>
        </is>
      </c>
    </row>
    <row r="53" ht="19.725" customHeight="1">
      <c r="A53" s="59" t="inlineStr">
        <is>
          <t>■</t>
        </is>
      </c>
      <c r="B53" s="60" t="inlineStr">
        <is>
          <t>현장 도착 뒤 양중하고, 먼저 들어온 자재는 비에 대비하여 보양한다.</t>
        </is>
      </c>
    </row>
    <row r="54" ht="34.45" customHeight="1">
      <c r="A54" s="59" t="inlineStr">
        <is>
          <t>■</t>
        </is>
      </c>
      <c r="B54" s="60" t="inlineStr">
        <is>
          <t>반입 · 하역 때 안전관리 규정을 지킨다 — 지게차 후진 경보음 작동 확인 · 신호수 배치 · 2단 적재 · 구간별 보양 및 구획 정리.</t>
        </is>
      </c>
    </row>
    <row r="55" ht="26" customHeight="1">
      <c r="A55" s="12" t="inlineStr">
        <is>
          <t>현장 입고 예정일</t>
        </is>
      </c>
      <c r="B55" s="13" t="n"/>
      <c r="C55" s="13" t="n"/>
      <c r="D55" s="16" t="n"/>
      <c r="E55" s="13" t="n"/>
      <c r="F55" s="13" t="n"/>
      <c r="G55" s="12" t="inlineStr">
        <is>
          <t>발주 마감일 (15일 전)</t>
        </is>
      </c>
      <c r="H55" s="13" t="n"/>
      <c r="I55" s="13" t="n"/>
      <c r="J55" s="34">
        <f>IF(N(D55)=0,"",D55-15)</f>
        <v/>
      </c>
      <c r="K55" s="13" t="n"/>
      <c r="L55" s="13" t="n"/>
    </row>
    <row r="56" ht="26" customHeight="1">
      <c r="A56" s="12" t="inlineStr">
        <is>
          <t>공장 → 현장 거리</t>
        </is>
      </c>
      <c r="B56" s="13" t="n"/>
      <c r="C56" s="13" t="n"/>
      <c r="D56" s="61" t="n"/>
      <c r="E56" s="13" t="n"/>
      <c r="F56" s="13" t="n"/>
      <c r="G56" s="12" t="inlineStr">
        <is>
          <t>운송 시간</t>
        </is>
      </c>
      <c r="H56" s="13" t="n"/>
      <c r="I56" s="13" t="n"/>
      <c r="J56" s="50" t="n"/>
      <c r="K56" s="13" t="n"/>
      <c r="L56" s="13" t="n"/>
    </row>
    <row r="57" ht="21" customHeight="1">
      <c r="A57" s="24" t="inlineStr">
        <is>
          <t>7) 자재 양중</t>
        </is>
      </c>
    </row>
    <row r="58" ht="24" customHeight="1">
      <c r="A58" s="21" t="inlineStr">
        <is>
          <t>세    부    내    용</t>
        </is>
      </c>
      <c r="B58" s="13" t="n"/>
      <c r="C58" s="13" t="n"/>
      <c r="D58" s="13" t="n"/>
      <c r="E58" s="13" t="n"/>
      <c r="F58" s="13" t="n"/>
      <c r="G58" s="21" t="inlineStr">
        <is>
          <t>비          고</t>
        </is>
      </c>
      <c r="H58" s="13" t="n"/>
      <c r="I58" s="13" t="n"/>
      <c r="J58" s="13" t="n"/>
      <c r="K58" s="13" t="n"/>
      <c r="L58" s="13" t="n"/>
    </row>
    <row r="59" ht="63" customHeight="1">
      <c r="A59" s="23" t="inlineStr">
        <is>
          <t>1) 와이어에 샤클(KS 제품) 체결
2) 데크는 1회 2톤 이하로 양중(2단 이하)
3) 데크 인양 때 걸침 길이 확보
4) 하부 인원 통제</t>
        </is>
      </c>
      <c r="B59" s="13" t="n"/>
      <c r="C59" s="13" t="n"/>
      <c r="D59" s="13" t="n"/>
      <c r="E59" s="13" t="n"/>
      <c r="F59" s="13" t="n"/>
      <c r="G59" s="23" t="inlineStr">
        <is>
          <t>- 인양 고리 및 샤클 불량 확인
- 보 위에 적재할 때 유도 로프 사용
- 걸침 길이 10mm 이상(S조 50mm) 준수
- 신호수 배치</t>
        </is>
      </c>
      <c r="H59" s="13" t="n"/>
      <c r="I59" s="13" t="n"/>
      <c r="J59" s="13" t="n"/>
      <c r="K59" s="13" t="n"/>
      <c r="L59" s="13" t="n"/>
    </row>
    <row r="60" ht="21" customHeight="1">
      <c r="A60" s="24" t="inlineStr">
        <is>
          <t>8) 데크 판개 및 고정 작업</t>
        </is>
      </c>
    </row>
    <row r="61" ht="24" customHeight="1">
      <c r="A61" s="21" t="inlineStr">
        <is>
          <t>세    부    내    용</t>
        </is>
      </c>
      <c r="B61" s="13" t="n"/>
      <c r="C61" s="13" t="n"/>
      <c r="D61" s="13" t="n"/>
      <c r="E61" s="13" t="n"/>
      <c r="F61" s="13" t="n"/>
      <c r="G61" s="21" t="inlineStr">
        <is>
          <t>비          고</t>
        </is>
      </c>
      <c r="H61" s="13" t="n"/>
      <c r="I61" s="13" t="n"/>
      <c r="J61" s="13" t="n"/>
      <c r="K61" s="13" t="n"/>
      <c r="L61" s="13" t="n"/>
    </row>
    <row r="62" ht="77.25" customHeight="1">
      <c r="A62" s="23" t="inlineStr">
        <is>
          <t>1) 2인 1조로 데크 운반
2) 단부 작업 때 안전고리 체결
3) 데크 체결 때 골 위치를 맞추어 체결
4) 판개 뒤 용접 — 단변 @400 · 장변 @1,500 (RC 조 : 타카못 고정)</t>
        </is>
      </c>
      <c r="B62" s="13" t="n"/>
      <c r="C62" s="13" t="n"/>
      <c r="D62" s="13" t="n"/>
      <c r="E62" s="13" t="n"/>
      <c r="F62" s="13" t="n"/>
      <c r="G62" s="23" t="inlineStr">
        <is>
          <t>- 작업자 안전용품 착용
- 안전망 훼손 금지
- 최대한 밀착 시공
- 체결 뒤 즉시 용접 고정(RC 조 : 타카못)</t>
        </is>
      </c>
      <c r="H62" s="13" t="n"/>
      <c r="I62" s="13" t="n"/>
      <c r="J62" s="13" t="n"/>
      <c r="K62" s="13" t="n"/>
      <c r="L62" s="13" t="n"/>
    </row>
    <row r="63" ht="18" customHeight="1">
      <c r="A63" s="30" t="inlineStr">
        <is>
          <t>(작업 사진을 붙이는 곳 — 테이핑 · 판개 · 고정)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18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18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18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70" ht="34" customHeight="1">
      <c r="A70" s="7" t="inlineStr">
        <is>
          <t>하늘색 칸 = 자동(작업 인원 · 인원 최소 ~ 최대 · 장비 합계 · 발주 마감일). 걸침 길이 · 용접 간격은 원본 값이니 구조도면 · 제조사 자료로 확인하세요.</t>
        </is>
      </c>
    </row>
  </sheetData>
  <mergeCells count="138">
    <mergeCell ref="I14:L14"/>
    <mergeCell ref="K49:L49"/>
    <mergeCell ref="A37:C37"/>
    <mergeCell ref="F45:H45"/>
    <mergeCell ref="A46:C46"/>
    <mergeCell ref="K33:L33"/>
    <mergeCell ref="A49:H49"/>
    <mergeCell ref="D45:E45"/>
    <mergeCell ref="A13:D13"/>
    <mergeCell ref="F47:H47"/>
    <mergeCell ref="A57:L57"/>
    <mergeCell ref="K35:L35"/>
    <mergeCell ref="D44:E44"/>
    <mergeCell ref="D37:F37"/>
    <mergeCell ref="D39:F39"/>
    <mergeCell ref="D48:E48"/>
    <mergeCell ref="G34:H34"/>
    <mergeCell ref="H9:K9"/>
    <mergeCell ref="A7:D7"/>
    <mergeCell ref="A58:F58"/>
    <mergeCell ref="A34:C34"/>
    <mergeCell ref="I44:J44"/>
    <mergeCell ref="D19:L19"/>
    <mergeCell ref="B51:L51"/>
    <mergeCell ref="K37:L37"/>
    <mergeCell ref="A41:F41"/>
    <mergeCell ref="F10:G10"/>
    <mergeCell ref="I46:J46"/>
    <mergeCell ref="A21:L30"/>
    <mergeCell ref="A55:C55"/>
    <mergeCell ref="A3:L3"/>
    <mergeCell ref="I13:L13"/>
    <mergeCell ref="G58:L58"/>
    <mergeCell ref="G38:H38"/>
    <mergeCell ref="E12:H12"/>
    <mergeCell ref="A5:L5"/>
    <mergeCell ref="I41:J41"/>
    <mergeCell ref="A32:L32"/>
    <mergeCell ref="I6:L6"/>
    <mergeCell ref="K41:L41"/>
    <mergeCell ref="G55:I55"/>
    <mergeCell ref="A62:F62"/>
    <mergeCell ref="A38:C38"/>
    <mergeCell ref="H10:K10"/>
    <mergeCell ref="D55:F55"/>
    <mergeCell ref="B53:L53"/>
    <mergeCell ref="D47:E47"/>
    <mergeCell ref="A44:C44"/>
    <mergeCell ref="A43:L43"/>
    <mergeCell ref="G33:H33"/>
    <mergeCell ref="I33:J33"/>
    <mergeCell ref="A40:C40"/>
    <mergeCell ref="A31:L31"/>
    <mergeCell ref="I7:L7"/>
    <mergeCell ref="G56:I56"/>
    <mergeCell ref="F9:G9"/>
    <mergeCell ref="A59:F59"/>
    <mergeCell ref="G35:H35"/>
    <mergeCell ref="I35:J35"/>
    <mergeCell ref="A60:L60"/>
    <mergeCell ref="D40:F40"/>
    <mergeCell ref="A61:F61"/>
    <mergeCell ref="A16:C16"/>
    <mergeCell ref="B54:L54"/>
    <mergeCell ref="G62:L62"/>
    <mergeCell ref="A18:C18"/>
    <mergeCell ref="I45:J45"/>
    <mergeCell ref="D17:L17"/>
    <mergeCell ref="J55:L55"/>
    <mergeCell ref="K45:L45"/>
    <mergeCell ref="A50:L50"/>
    <mergeCell ref="G39:H39"/>
    <mergeCell ref="A42:L42"/>
    <mergeCell ref="A47:C47"/>
    <mergeCell ref="I47:J47"/>
    <mergeCell ref="B52:L52"/>
    <mergeCell ref="K47:L47"/>
    <mergeCell ref="A63:L68"/>
    <mergeCell ref="K44:L44"/>
    <mergeCell ref="G37:H37"/>
    <mergeCell ref="I37:J37"/>
    <mergeCell ref="K46:L46"/>
    <mergeCell ref="J56:L56"/>
    <mergeCell ref="K40:L40"/>
    <mergeCell ref="D33:F33"/>
    <mergeCell ref="A20:L20"/>
    <mergeCell ref="D35:F35"/>
    <mergeCell ref="F44:H44"/>
    <mergeCell ref="D34:F34"/>
    <mergeCell ref="G59:L59"/>
    <mergeCell ref="E13:H13"/>
    <mergeCell ref="A15:L15"/>
    <mergeCell ref="A12:D12"/>
    <mergeCell ref="A1:F1"/>
    <mergeCell ref="E6:H6"/>
    <mergeCell ref="G41:H41"/>
    <mergeCell ref="D36:F36"/>
    <mergeCell ref="G61:L61"/>
    <mergeCell ref="A70:L70"/>
    <mergeCell ref="I34:J34"/>
    <mergeCell ref="B9:E9"/>
    <mergeCell ref="K34:L34"/>
    <mergeCell ref="I49:J49"/>
    <mergeCell ref="A56:C56"/>
    <mergeCell ref="G36:H36"/>
    <mergeCell ref="E7:H7"/>
    <mergeCell ref="D46:E46"/>
    <mergeCell ref="I36:J36"/>
    <mergeCell ref="K36:L36"/>
    <mergeCell ref="D16:L16"/>
    <mergeCell ref="A33:C33"/>
    <mergeCell ref="F46:H46"/>
    <mergeCell ref="A17:C17"/>
    <mergeCell ref="A8:L8"/>
    <mergeCell ref="D18:L18"/>
    <mergeCell ref="D56:F56"/>
    <mergeCell ref="A35:C35"/>
    <mergeCell ref="F48:H48"/>
    <mergeCell ref="G1:L1"/>
    <mergeCell ref="D38:F38"/>
    <mergeCell ref="A19:C19"/>
    <mergeCell ref="A6:D6"/>
    <mergeCell ref="A14:H14"/>
    <mergeCell ref="A39:C39"/>
    <mergeCell ref="I39:J39"/>
    <mergeCell ref="K39:L39"/>
    <mergeCell ref="A48:C48"/>
    <mergeCell ref="I48:J48"/>
    <mergeCell ref="K48:L48"/>
    <mergeCell ref="A36:C36"/>
    <mergeCell ref="I38:J38"/>
    <mergeCell ref="A45:C45"/>
    <mergeCell ref="A11:L11"/>
    <mergeCell ref="K38:L38"/>
    <mergeCell ref="I12:L12"/>
    <mergeCell ref="G40:H40"/>
    <mergeCell ref="B10:E10"/>
    <mergeCell ref="I40:J40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31" min="0" max="16383" man="1"/>
    <brk id="56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1" t="inlineStr">
        <is>
          <t>5.  품질관리계획</t>
        </is>
      </c>
    </row>
    <row r="4" ht="4" customHeight="1"/>
    <row r="5" ht="21" customHeight="1">
      <c r="A5" s="24" t="inlineStr">
        <is>
          <t>1) 재료시험 · 2) 출고 전 제품시험</t>
        </is>
      </c>
    </row>
    <row r="6" ht="24" customHeight="1">
      <c r="A6" s="21" t="inlineStr">
        <is>
          <t>구   분</t>
        </is>
      </c>
      <c r="B6" s="13" t="n"/>
      <c r="C6" s="13" t="n"/>
      <c r="D6" s="21" t="inlineStr">
        <is>
          <t>항        목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</row>
    <row r="7" ht="34.5" customHeight="1">
      <c r="A7" s="22" t="inlineStr">
        <is>
          <t>재료시험</t>
        </is>
      </c>
      <c r="B7" s="13" t="n"/>
      <c r="C7" s="13" t="n"/>
      <c r="D7" s="23" t="inlineStr">
        <is>
          <t>① 품질연구실(회사 안 자체 설치) ② 만능재료시험기 ③ 강판 강도 시험 ④ 철선 강도 시험 ⑤ 용접 강도 시험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34.5" customHeight="1">
      <c r="A8" s="22" t="inlineStr">
        <is>
          <t>출고 전 제품시험</t>
        </is>
      </c>
      <c r="B8" s="13" t="n"/>
      <c r="C8" s="13" t="n"/>
      <c r="D8" s="23" t="inlineStr">
        <is>
          <t>① 강판 두께 측정 ② 제품 높이 및 길이 측정 ③ 라벨과 제품 확인 ④ 제품 포장 상태 확인 — 현장 출고 때마다 품질검사 뒤 출하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</row>
    <row r="9" ht="18" customHeight="1">
      <c r="A9" s="30" t="inlineStr">
        <is>
          <t>(시험 · 검사 사진을 붙이는 곳)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 ht="18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18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18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1" customHeight="1">
      <c r="A15" s="24" t="inlineStr">
        <is>
          <t>3) 품질관리 — 사용 재료</t>
        </is>
      </c>
    </row>
    <row r="16" ht="19.725" customHeight="1">
      <c r="A16" s="59" t="inlineStr">
        <is>
          <t>가.</t>
        </is>
      </c>
      <c r="B16" s="60" t="inlineStr">
        <is>
          <t>데크 : KS D 3506 용융 아연 도금 강판 0.5t (SGC 340 · 440 · 570)</t>
        </is>
      </c>
    </row>
    <row r="17" ht="19.725" customHeight="1">
      <c r="A17" s="59" t="inlineStr">
        <is>
          <t>나.</t>
        </is>
      </c>
      <c r="B17" s="60" t="inlineStr">
        <is>
          <t>철선 : KS D 3552 Φ5 ~ Φ17 (래티스근 외 상 · 하현재)</t>
        </is>
      </c>
    </row>
    <row r="18" ht="19.725" customHeight="1">
      <c r="A18" s="59" t="inlineStr">
        <is>
          <t>다.</t>
        </is>
      </c>
      <c r="B18" s="60" t="inlineStr">
        <is>
          <t>스터드 볼트 : 항복점 235 이상, 인장강도 400 이상</t>
        </is>
      </c>
    </row>
    <row r="19" ht="19.725" customHeight="1">
      <c r="A19" s="59" t="inlineStr">
        <is>
          <t>라.</t>
        </is>
      </c>
      <c r="B19" s="60" t="inlineStr">
        <is>
          <t>콘크리트 스토퍼 : KS D 3501 열간 압연 강판 2.3t 이상(한 면 방청)</t>
        </is>
      </c>
    </row>
    <row r="20" ht="19.725" customHeight="1">
      <c r="A20" s="59" t="inlineStr">
        <is>
          <t>마.</t>
        </is>
      </c>
      <c r="B20" s="60" t="inlineStr">
        <is>
          <t>보강 앵글 : 열간 압연 형강(양면 방청)</t>
        </is>
      </c>
    </row>
    <row r="21" ht="36" customHeight="1">
      <c r="A21" s="24" t="inlineStr">
        <is>
          <t>가공(데크) — 냉간 롤 성형으로 가공하며, 성형이 안 되는 부분(사선)은 현장에서 플라스마로 절단하여 시공한다.</t>
        </is>
      </c>
    </row>
    <row r="22" ht="36" customHeight="1">
      <c r="A22" s="24" t="inlineStr">
        <is>
          <t>제품 검사(데크) — 치수 검사는 발췌 검사로 생산 공장에서 하는 것을 원칙으로 한다(검사는 감리단이 정한 방법으로 함).</t>
        </is>
      </c>
    </row>
    <row r="23" ht="24" customHeight="1">
      <c r="A23" s="21" t="inlineStr">
        <is>
          <t>제 작 수</t>
        </is>
      </c>
      <c r="B23" s="13" t="n"/>
      <c r="C23" s="13" t="n"/>
      <c r="D23" s="21" t="inlineStr">
        <is>
          <t>발 췌 수</t>
        </is>
      </c>
      <c r="E23" s="13" t="n"/>
      <c r="F23" s="13" t="n"/>
      <c r="G23" s="9" t="inlineStr"/>
      <c r="H23" s="12" t="inlineStr">
        <is>
          <t>이번 제작 매수</t>
        </is>
      </c>
      <c r="I23" s="13" t="n"/>
      <c r="J23" s="62" t="n"/>
      <c r="K23" s="13" t="n"/>
      <c r="L23" s="13" t="n"/>
    </row>
    <row r="24" ht="24" customHeight="1">
      <c r="A24" s="17" t="inlineStr">
        <is>
          <t>1,000매 미만</t>
        </is>
      </c>
      <c r="B24" s="13" t="n"/>
      <c r="C24" s="13" t="n"/>
      <c r="D24" s="17" t="inlineStr">
        <is>
          <t>5 매</t>
        </is>
      </c>
      <c r="E24" s="13" t="n"/>
      <c r="F24" s="13" t="n"/>
      <c r="G24" s="9" t="inlineStr"/>
      <c r="H24" s="32" t="inlineStr">
        <is>
          <t>발췌 검사 매수</t>
        </is>
      </c>
      <c r="I24" s="13" t="n"/>
      <c r="J24" s="63">
        <f>IF(N(J23)=0,"",IF(J23&lt;1000,5,IF(J23&lt;=2000,10,15)))</f>
        <v/>
      </c>
      <c r="K24" s="13" t="n"/>
      <c r="L24" s="13" t="n"/>
    </row>
    <row r="25" ht="24" customHeight="1">
      <c r="A25" s="17" t="inlineStr">
        <is>
          <t>1,000 ~ 2,000매</t>
        </is>
      </c>
      <c r="B25" s="13" t="n"/>
      <c r="C25" s="13" t="n"/>
      <c r="D25" s="17" t="inlineStr">
        <is>
          <t>10 매</t>
        </is>
      </c>
      <c r="E25" s="13" t="n"/>
      <c r="F25" s="13" t="n"/>
      <c r="G25" s="9" t="inlineStr"/>
    </row>
    <row r="26" ht="24" customHeight="1">
      <c r="A26" s="17" t="inlineStr">
        <is>
          <t>2,000매 초과</t>
        </is>
      </c>
      <c r="B26" s="13" t="n"/>
      <c r="C26" s="13" t="n"/>
      <c r="D26" s="17" t="inlineStr">
        <is>
          <t>15 매</t>
        </is>
      </c>
      <c r="E26" s="13" t="n"/>
      <c r="F26" s="13" t="n"/>
      <c r="G26" s="9" t="inlineStr"/>
    </row>
    <row r="27" ht="6" customHeight="1"/>
    <row r="28" ht="24" customHeight="1">
      <c r="A28" s="21" t="inlineStr">
        <is>
          <t>검사 항목</t>
        </is>
      </c>
      <c r="B28" s="13" t="n"/>
      <c r="C28" s="13" t="n"/>
      <c r="D28" s="21" t="inlineStr">
        <is>
          <t>허용오차</t>
        </is>
      </c>
      <c r="E28" s="13" t="n"/>
      <c r="F28" s="38" t="inlineStr">
        <is>
          <t>측정 최대 편차 (mm)</t>
        </is>
      </c>
      <c r="G28" s="13" t="n"/>
      <c r="H28" s="21" t="inlineStr">
        <is>
          <t>판    정</t>
        </is>
      </c>
      <c r="I28" s="13" t="n"/>
      <c r="J28" s="13" t="n"/>
      <c r="K28" s="13" t="n"/>
      <c r="L28" s="13" t="n"/>
    </row>
    <row r="29" ht="24" customHeight="1">
      <c r="A29" s="17" t="inlineStr">
        <is>
          <t>길이(LENGTH)</t>
        </is>
      </c>
      <c r="B29" s="13" t="n"/>
      <c r="C29" s="13" t="n"/>
      <c r="D29" s="64" t="n">
        <v>5</v>
      </c>
      <c r="E29" s="13" t="n"/>
      <c r="F29" s="65" t="n"/>
      <c r="G29" s="13" t="n"/>
      <c r="H29" s="66">
        <f>IF(F29="","",IF(ABS(F29)&lt;=D29,"합격","⚠ 불합격 — 허용오차 초과"))</f>
        <v/>
      </c>
      <c r="I29" s="13" t="n"/>
      <c r="J29" s="13" t="n"/>
      <c r="K29" s="13" t="n"/>
      <c r="L29" s="13" t="n"/>
    </row>
    <row r="30" ht="24" customHeight="1">
      <c r="A30" s="17" t="inlineStr">
        <is>
          <t>횡굽음(CAMBER)</t>
        </is>
      </c>
      <c r="B30" s="13" t="n"/>
      <c r="C30" s="13" t="n"/>
      <c r="D30" s="64" t="n">
        <v>5</v>
      </c>
      <c r="E30" s="13" t="n"/>
      <c r="F30" s="65" t="n"/>
      <c r="G30" s="13" t="n"/>
      <c r="H30" s="66">
        <f>IF(F30="","",IF(ABS(F30)&lt;=D30,"합격","⚠ 불합격 — 허용오차 초과"))</f>
        <v/>
      </c>
      <c r="I30" s="13" t="n"/>
      <c r="J30" s="13" t="n"/>
      <c r="K30" s="13" t="n"/>
      <c r="L30" s="13" t="n"/>
    </row>
    <row r="31" ht="24" customHeight="1">
      <c r="A31" s="17" t="inlineStr">
        <is>
          <t>비틀림(TWIST)</t>
        </is>
      </c>
      <c r="B31" s="13" t="n"/>
      <c r="C31" s="13" t="n"/>
      <c r="D31" s="64" t="n">
        <v>5</v>
      </c>
      <c r="E31" s="13" t="n"/>
      <c r="F31" s="65" t="n"/>
      <c r="G31" s="13" t="n"/>
      <c r="H31" s="66">
        <f>IF(F31="","",IF(ABS(F31)&lt;=D31,"합격","⚠ 불합격 — 허용오차 초과"))</f>
        <v/>
      </c>
      <c r="I31" s="13" t="n"/>
      <c r="J31" s="13" t="n"/>
      <c r="K31" s="13" t="n"/>
      <c r="L31" s="13" t="n"/>
    </row>
    <row r="32" ht="21" customHeight="1">
      <c r="A32" s="24" t="inlineStr">
        <is>
          <t>현장 반입 및 적재</t>
        </is>
      </c>
    </row>
    <row r="33" ht="19.725" customHeight="1">
      <c r="A33" s="59" t="inlineStr">
        <is>
          <t>가.</t>
        </is>
      </c>
      <c r="B33" s="60" t="inlineStr">
        <is>
          <t>데크는 현장 여건과 층별 · 구간별로 나누어 반입한다.</t>
        </is>
      </c>
    </row>
    <row r="34" ht="34.45" customHeight="1">
      <c r="A34" s="59" t="inlineStr">
        <is>
          <t>나.</t>
        </is>
      </c>
      <c r="B34" s="60" t="inlineStr">
        <is>
          <t>반입된 데크는 제품 성능 · 외관 품질이 기준에 맞는지, 운송 중 파손 · 변형이 없는지 검사한다.</t>
        </is>
      </c>
    </row>
    <row r="35" ht="19.725" customHeight="1">
      <c r="A35" s="59" t="inlineStr">
        <is>
          <t>다.</t>
        </is>
      </c>
      <c r="B35" s="60" t="inlineStr">
        <is>
          <t>검사가 끝난 제품은 크레인 또는 지게차로 야적장에 옮기며 3단을 넘겨 쌓지 않는다.</t>
        </is>
      </c>
    </row>
    <row r="36" ht="19.725" customHeight="1">
      <c r="A36" s="59" t="inlineStr">
        <is>
          <t>라.</t>
        </is>
      </c>
      <c r="B36" s="60" t="inlineStr">
        <is>
          <t>야적장은 충분히 확보하고 가능한 크레인 작업 범위 안에 둔다.</t>
        </is>
      </c>
    </row>
    <row r="37" ht="19.725" customHeight="1">
      <c r="A37" s="59" t="inlineStr">
        <is>
          <t>마.</t>
        </is>
      </c>
      <c r="B37" s="60" t="inlineStr">
        <is>
          <t>그 밖의 부속자재도 이에 준하여 지정한 곳에 쌓은 뒤 쓴다.</t>
        </is>
      </c>
    </row>
    <row r="38" ht="4" customHeight="1"/>
    <row r="39" ht="30" customHeight="1">
      <c r="A39" s="11" t="inlineStr">
        <is>
          <t>6.  안전관리계획</t>
        </is>
      </c>
    </row>
    <row r="40" ht="4" customHeight="1"/>
    <row r="41" ht="21" customHeight="1">
      <c r="A41" s="24" t="inlineStr">
        <is>
          <t>1) 안전작업 절차</t>
        </is>
      </c>
    </row>
    <row r="42" ht="24" customHeight="1">
      <c r="A42" s="21" t="inlineStr">
        <is>
          <t>단   계</t>
        </is>
      </c>
      <c r="B42" s="13" t="n"/>
      <c r="C42" s="13" t="n"/>
      <c r="D42" s="21" t="inlineStr">
        <is>
          <t>내        용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34.5" customHeight="1">
      <c r="A43" s="22" t="inlineStr">
        <is>
          <t>① 위험성평가표 작성</t>
        </is>
      </c>
      <c r="B43" s="13" t="n"/>
      <c r="C43" s="13" t="n"/>
      <c r="D43" s="23" t="inlineStr">
        <is>
          <t>위험성평가표 작성 · 매월 2회 작성(2주간 공정표 · 위험성평가표) · 고위험 작업 개선안 제안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26" customHeight="1">
      <c r="A44" s="22" t="inlineStr">
        <is>
          <t>② 사업주 간 협의체 회의</t>
        </is>
      </c>
      <c r="B44" s="13" t="n"/>
      <c r="C44" s="13" t="n"/>
      <c r="D44" s="23" t="inlineStr">
        <is>
          <t>고위험 작업의 위험요인 및 개선안 협의 · 위험 작업 개선안 교육</t>
        </is>
      </c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26" customHeight="1">
      <c r="A45" s="22" t="inlineStr">
        <is>
          <t>③ 안전교육</t>
        </is>
      </c>
      <c r="B45" s="13" t="n"/>
      <c r="C45" s="13" t="n"/>
      <c r="D45" s="23" t="inlineStr">
        <is>
          <t>위험성평가 및 사업주 간 협의체 결과 교육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26" customHeight="1">
      <c r="A46" s="22" t="inlineStr">
        <is>
          <t>④ 안전점검</t>
        </is>
      </c>
      <c r="B46" s="13" t="n"/>
      <c r="C46" s="13" t="n"/>
      <c r="D46" s="23" t="inlineStr">
        <is>
          <t>개선안 이행 확인 · 고위험 작업 개선안 이행 여부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21" customHeight="1">
      <c r="A47" s="24" t="inlineStr">
        <is>
          <t>2) 공정별 위험요인 및 대책</t>
        </is>
      </c>
    </row>
    <row r="48" ht="24" customHeight="1">
      <c r="A48" s="21" t="inlineStr">
        <is>
          <t>작 업 순 서</t>
        </is>
      </c>
      <c r="B48" s="13" t="n"/>
      <c r="C48" s="13" t="n"/>
      <c r="D48" s="21" t="inlineStr">
        <is>
          <t>위 험 요 인</t>
        </is>
      </c>
      <c r="E48" s="13" t="n"/>
      <c r="F48" s="13" t="n"/>
      <c r="G48" s="21" t="inlineStr">
        <is>
          <t>안 전 관 리 대 책</t>
        </is>
      </c>
      <c r="H48" s="13" t="n"/>
      <c r="I48" s="13" t="n"/>
      <c r="J48" s="13" t="n"/>
      <c r="K48" s="13" t="n"/>
      <c r="L48" s="21" t="inlineStr">
        <is>
          <t>위험도</t>
        </is>
      </c>
    </row>
    <row r="49" ht="33" customHeight="1">
      <c r="A49" s="67" t="inlineStr">
        <is>
          <t>1. 자재 이동</t>
        </is>
      </c>
      <c r="B49" s="13" t="n"/>
      <c r="C49" s="13" t="n"/>
      <c r="D49" s="67" t="inlineStr">
        <is>
          <t>자재 이동 때 다른 공정 작업자 · 차량과 추돌</t>
        </is>
      </c>
      <c r="E49" s="13" t="n"/>
      <c r="F49" s="13" t="n"/>
      <c r="G49" s="67" t="inlineStr">
        <is>
          <t>자재 이동 때 신호수 배치 · 다른 공정 작업자 및 차량 통제</t>
        </is>
      </c>
      <c r="H49" s="13" t="n"/>
      <c r="I49" s="13" t="n"/>
      <c r="J49" s="13" t="n"/>
      <c r="K49" s="13" t="n"/>
      <c r="L49" s="50" t="n"/>
    </row>
    <row r="50" ht="33" customHeight="1">
      <c r="A50" s="67" t="inlineStr">
        <is>
          <t>2. 양중</t>
        </is>
      </c>
      <c r="B50" s="13" t="n"/>
      <c r="C50" s="13" t="n"/>
      <c r="D50" s="67" t="inlineStr">
        <is>
          <t>불량 와이어 · 샤클 사용으로 자재 추락</t>
        </is>
      </c>
      <c r="E50" s="13" t="n"/>
      <c r="F50" s="13" t="n"/>
      <c r="G50" s="67" t="inlineStr">
        <is>
          <t>양중 전 와이어 · 샤클을 육안으로 확인</t>
        </is>
      </c>
      <c r="H50" s="13" t="n"/>
      <c r="I50" s="13" t="n"/>
      <c r="J50" s="13" t="n"/>
      <c r="K50" s="13" t="n"/>
      <c r="L50" s="50" t="n"/>
    </row>
    <row r="51" ht="32" customHeight="1">
      <c r="A51" s="67" t="inlineStr">
        <is>
          <t>3. 자재 인양</t>
        </is>
      </c>
      <c r="B51" s="13" t="n"/>
      <c r="C51" s="13" t="n"/>
      <c r="D51" s="67" t="inlineStr">
        <is>
          <t>인양 중 자재 추락</t>
        </is>
      </c>
      <c r="E51" s="13" t="n"/>
      <c r="F51" s="13" t="n"/>
      <c r="G51" s="67" t="inlineStr">
        <is>
          <t>하부 다른 공정 작업자 통제</t>
        </is>
      </c>
      <c r="H51" s="13" t="n"/>
      <c r="I51" s="13" t="n"/>
      <c r="J51" s="13" t="n"/>
      <c r="K51" s="13" t="n"/>
      <c r="L51" s="50" t="n"/>
    </row>
    <row r="52" ht="33" customHeight="1">
      <c r="A52" s="67" t="inlineStr">
        <is>
          <t>4. 자재 인양(상부)</t>
        </is>
      </c>
      <c r="B52" s="13" t="n"/>
      <c r="C52" s="13" t="n"/>
      <c r="D52" s="67" t="inlineStr">
        <is>
          <t>자재를 무리하게 받을 때 작업자 추락</t>
        </is>
      </c>
      <c r="E52" s="13" t="n"/>
      <c r="F52" s="13" t="n"/>
      <c r="G52" s="67" t="inlineStr">
        <is>
          <t>10m 이상 유도 로프로 자재를 받음 · 상부 신호수 안전대 착용</t>
        </is>
      </c>
      <c r="H52" s="13" t="n"/>
      <c r="I52" s="13" t="n"/>
      <c r="J52" s="13" t="n"/>
      <c r="K52" s="13" t="n"/>
      <c r="L52" s="50" t="n"/>
    </row>
    <row r="53" ht="33" customHeight="1">
      <c r="A53" s="67" t="inlineStr">
        <is>
          <t>5. 데크 판개</t>
        </is>
      </c>
      <c r="B53" s="13" t="n"/>
      <c r="C53" s="13" t="n"/>
      <c r="D53" s="67" t="inlineStr">
        <is>
          <t>안전대 미착용으로 인한 추락</t>
        </is>
      </c>
      <c r="E53" s="13" t="n"/>
      <c r="F53" s="13" t="n"/>
      <c r="G53" s="67" t="inlineStr">
        <is>
          <t>작업 전 TBM 으로 안전장구 확인 · 판개 뒤 바로 고정</t>
        </is>
      </c>
      <c r="H53" s="13" t="n"/>
      <c r="I53" s="13" t="n"/>
      <c r="J53" s="13" t="n"/>
      <c r="K53" s="13" t="n"/>
      <c r="L53" s="50" t="n"/>
    </row>
    <row r="54" ht="33" customHeight="1">
      <c r="A54" s="67" t="inlineStr">
        <is>
          <t>6. 판개 때 개구부 발생</t>
        </is>
      </c>
      <c r="B54" s="13" t="n"/>
      <c r="C54" s="13" t="n"/>
      <c r="D54" s="67" t="inlineStr">
        <is>
          <t>데크 개구부로 인한 추락</t>
        </is>
      </c>
      <c r="E54" s="13" t="n"/>
      <c r="F54" s="13" t="n"/>
      <c r="G54" s="67" t="inlineStr">
        <is>
          <t>개구부가 생기지 않게 판개하고, 생기면 안전조치 뒤 작업</t>
        </is>
      </c>
      <c r="H54" s="13" t="n"/>
      <c r="I54" s="13" t="n"/>
      <c r="J54" s="13" t="n"/>
      <c r="K54" s="13" t="n"/>
      <c r="L54" s="50" t="n"/>
    </row>
    <row r="55" ht="18" customHeight="1">
      <c r="A55" s="30" t="inlineStr">
        <is>
          <t>(안전관리 사진을 붙이는 곳)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18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18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18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2" ht="34" customHeight="1">
      <c r="A62" s="7" t="inlineStr">
        <is>
          <t>노란 칸 = 허용오차(감리단 기준으로 고쳐 씀). 하늘색 칸 = 자동(발췌 검사 매수 · 치수 판정). 위험도 칸에는 ★ 등 현장 기준으로 적습니다.</t>
        </is>
      </c>
    </row>
  </sheetData>
  <mergeCells count="91">
    <mergeCell ref="F29:G29"/>
    <mergeCell ref="A46:C46"/>
    <mergeCell ref="D52:F52"/>
    <mergeCell ref="D53:F53"/>
    <mergeCell ref="D31:E31"/>
    <mergeCell ref="A21:L21"/>
    <mergeCell ref="A26:C26"/>
    <mergeCell ref="G48:K48"/>
    <mergeCell ref="D7:L7"/>
    <mergeCell ref="A23:C23"/>
    <mergeCell ref="A43:C43"/>
    <mergeCell ref="A52:C52"/>
    <mergeCell ref="D23:F23"/>
    <mergeCell ref="D42:L42"/>
    <mergeCell ref="A49:C49"/>
    <mergeCell ref="B33:L33"/>
    <mergeCell ref="A6:C6"/>
    <mergeCell ref="G50:K50"/>
    <mergeCell ref="H23:I23"/>
    <mergeCell ref="B35:L35"/>
    <mergeCell ref="J24:L24"/>
    <mergeCell ref="G52:K52"/>
    <mergeCell ref="H29:L29"/>
    <mergeCell ref="B16:L16"/>
    <mergeCell ref="A3:L3"/>
    <mergeCell ref="H31:L31"/>
    <mergeCell ref="B18:L18"/>
    <mergeCell ref="F30:G30"/>
    <mergeCell ref="A5:L5"/>
    <mergeCell ref="A32:L32"/>
    <mergeCell ref="A9:L14"/>
    <mergeCell ref="A29:C29"/>
    <mergeCell ref="D25:F25"/>
    <mergeCell ref="A44:C44"/>
    <mergeCell ref="A31:C31"/>
    <mergeCell ref="D54:F54"/>
    <mergeCell ref="F31:G31"/>
    <mergeCell ref="B37:L37"/>
    <mergeCell ref="F28:G28"/>
    <mergeCell ref="A24:C24"/>
    <mergeCell ref="A51:C51"/>
    <mergeCell ref="G51:K51"/>
    <mergeCell ref="D29:E29"/>
    <mergeCell ref="G54:K54"/>
    <mergeCell ref="A7:C7"/>
    <mergeCell ref="A25:C25"/>
    <mergeCell ref="H30:L30"/>
    <mergeCell ref="A50:C50"/>
    <mergeCell ref="A42:C42"/>
    <mergeCell ref="A47:L47"/>
    <mergeCell ref="A22:L22"/>
    <mergeCell ref="G53:K53"/>
    <mergeCell ref="B17:L17"/>
    <mergeCell ref="D51:F51"/>
    <mergeCell ref="A28:C28"/>
    <mergeCell ref="G25:L25"/>
    <mergeCell ref="B19:L19"/>
    <mergeCell ref="D50:F50"/>
    <mergeCell ref="D28:E28"/>
    <mergeCell ref="B34:L34"/>
    <mergeCell ref="A30:C30"/>
    <mergeCell ref="A15:L15"/>
    <mergeCell ref="D30:E30"/>
    <mergeCell ref="A1:F1"/>
    <mergeCell ref="D46:L46"/>
    <mergeCell ref="B20:L20"/>
    <mergeCell ref="A55:L60"/>
    <mergeCell ref="A54:C54"/>
    <mergeCell ref="A41:L41"/>
    <mergeCell ref="D48:F48"/>
    <mergeCell ref="D43:L43"/>
    <mergeCell ref="A8:C8"/>
    <mergeCell ref="A53:C53"/>
    <mergeCell ref="G26:L26"/>
    <mergeCell ref="D8:L8"/>
    <mergeCell ref="G49:K49"/>
    <mergeCell ref="D24:F24"/>
    <mergeCell ref="A62:L62"/>
    <mergeCell ref="G1:L1"/>
    <mergeCell ref="J23:L23"/>
    <mergeCell ref="D26:F26"/>
    <mergeCell ref="H28:L28"/>
    <mergeCell ref="D44:L44"/>
    <mergeCell ref="A48:C48"/>
    <mergeCell ref="A39:L39"/>
    <mergeCell ref="A45:C45"/>
    <mergeCell ref="H24:I24"/>
    <mergeCell ref="D45:L45"/>
    <mergeCell ref="B36:L36"/>
    <mergeCell ref="D6:L6"/>
    <mergeCell ref="D49:F4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31" min="0" max="16383" man="1"/>
    <brk id="37" min="0" max="16383" man="1"/>
  </rowBreaks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8" t="inlineStr">
        <is>
          <t xml:space="preserve">작성 예시 (가상의 현장)  </t>
        </is>
      </c>
    </row>
    <row r="2" ht="120" customHeight="1"/>
    <row r="3" ht="40" customHeight="1">
      <c r="A3" s="3" t="inlineStr">
        <is>
          <t>가나지구 물류센터 신축공사</t>
        </is>
      </c>
    </row>
    <row r="4" ht="64" customHeight="1">
      <c r="A4" s="4" t="inlineStr">
        <is>
          <t>데크플레이트 시공계획서</t>
        </is>
      </c>
    </row>
    <row r="5" ht="150" customHeight="1"/>
    <row r="6" ht="32" customHeight="1">
      <c r="A6" s="5" t="n">
        <v>46082</v>
      </c>
    </row>
    <row r="7" ht="120" customHeight="1"/>
    <row r="8" ht="44" customHeight="1">
      <c r="A8" s="6" t="inlineStr">
        <is>
          <t>예시데크(주)</t>
        </is>
      </c>
    </row>
    <row r="10" ht="19.5" customHeight="1">
      <c r="A10" s="7" t="inlineStr">
        <is>
          <t>이 시트는 작성 예시입니다(가상의 공사 · 회사).</t>
        </is>
      </c>
    </row>
  </sheetData>
  <mergeCells count="7">
    <mergeCell ref="G1:L1"/>
    <mergeCell ref="A10:L10"/>
    <mergeCell ref="A1:F1"/>
    <mergeCell ref="A8:L8"/>
    <mergeCell ref="A6:L6"/>
    <mergeCell ref="A3:L3"/>
    <mergeCell ref="A4:L4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3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8" t="inlineStr">
        <is>
          <t xml:space="preserve">작성 예시 (가상의 현장)  </t>
        </is>
      </c>
    </row>
    <row r="2" ht="16" customHeight="1"/>
    <row r="3" ht="50" customHeight="1">
      <c r="A3" s="8" t="inlineStr">
        <is>
          <t>목          차</t>
        </is>
      </c>
    </row>
    <row r="4" ht="14" customHeight="1"/>
    <row r="5" ht="30" customHeight="1">
      <c r="A5" s="9" t="inlineStr"/>
      <c r="C5" s="10" t="inlineStr">
        <is>
          <t>1.  공 사 개 요</t>
        </is>
      </c>
      <c r="K5" s="9" t="inlineStr"/>
    </row>
    <row r="6" ht="30" customHeight="1">
      <c r="A6" s="9" t="inlineStr"/>
      <c r="C6" s="10" t="inlineStr">
        <is>
          <t>2.  운 영 방 침</t>
        </is>
      </c>
      <c r="K6" s="9" t="inlineStr"/>
    </row>
    <row r="7" ht="30" customHeight="1">
      <c r="A7" s="9" t="inlineStr"/>
      <c r="C7" s="10" t="inlineStr">
        <is>
          <t>3.  생산관리계획</t>
        </is>
      </c>
      <c r="K7" s="9" t="inlineStr"/>
    </row>
    <row r="8" ht="30" customHeight="1">
      <c r="A8" s="9" t="inlineStr"/>
      <c r="C8" s="10" t="inlineStr">
        <is>
          <t>4.  시공관리계획</t>
        </is>
      </c>
      <c r="K8" s="9" t="inlineStr"/>
    </row>
    <row r="9" ht="30" customHeight="1">
      <c r="A9" s="9" t="inlineStr"/>
      <c r="C9" s="10" t="inlineStr">
        <is>
          <t>5.  품질관리계획</t>
        </is>
      </c>
      <c r="K9" s="9" t="inlineStr"/>
    </row>
    <row r="10" ht="30" customHeight="1">
      <c r="A10" s="9" t="inlineStr"/>
      <c r="C10" s="10" t="inlineStr">
        <is>
          <t>6.  안전관리계획</t>
        </is>
      </c>
      <c r="K10" s="9" t="inlineStr"/>
    </row>
    <row r="11" ht="4" customHeight="1"/>
    <row r="12" ht="30" customHeight="1">
      <c r="A12" s="11" t="inlineStr">
        <is>
          <t>1.  공 사 개 요</t>
        </is>
      </c>
    </row>
    <row r="13" ht="4" customHeight="1"/>
    <row r="14" ht="28" customHeight="1">
      <c r="A14" s="12" t="inlineStr">
        <is>
          <t>공  사  명</t>
        </is>
      </c>
      <c r="B14" s="13" t="n"/>
      <c r="C14" s="13" t="n"/>
      <c r="D14" s="14">
        <f>IF(OR('예시-표지'!A3="",'예시-표지'!A3="(공 사 명)"),"",'예시-표지'!A3)</f>
        <v/>
      </c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6" customHeight="1">
      <c r="A15" s="12" t="inlineStr">
        <is>
          <t>발  주  처</t>
        </is>
      </c>
      <c r="B15" s="13" t="n"/>
      <c r="C15" s="13" t="n"/>
      <c r="D15" s="15" t="inlineStr">
        <is>
          <t>(주)가나개발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26" customHeight="1">
      <c r="A16" s="12" t="inlineStr">
        <is>
          <t>현      장</t>
        </is>
      </c>
      <c r="B16" s="13" t="n"/>
      <c r="C16" s="13" t="n"/>
      <c r="D16" s="15" t="inlineStr">
        <is>
          <t>가나시 가나동 일원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6" customHeight="1">
      <c r="A17" s="12" t="inlineStr">
        <is>
          <t>시  공  자</t>
        </is>
      </c>
      <c r="B17" s="13" t="n"/>
      <c r="C17" s="13" t="n"/>
      <c r="D17" s="15" t="inlineStr">
        <is>
          <t>예시건설(주)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6" customHeight="1">
      <c r="A18" s="12" t="inlineStr">
        <is>
          <t>데크 시공사</t>
        </is>
      </c>
      <c r="B18" s="13" t="n"/>
      <c r="C18" s="13" t="n"/>
      <c r="D18" s="14">
        <f>IF(OR('예시-표지'!A8="",'예시-표지'!A8="(회 사 명)"),"",'예시-표지'!A8)</f>
        <v/>
      </c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6" customHeight="1">
      <c r="A19" s="12" t="inlineStr">
        <is>
          <t>공  종  명</t>
        </is>
      </c>
      <c r="B19" s="13" t="n"/>
      <c r="C19" s="13" t="n"/>
      <c r="D19" s="15" t="inlineStr">
        <is>
          <t>데크플레이트 설치공사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6" customHeight="1">
      <c r="A20" s="12" t="inlineStr">
        <is>
          <t>공 사 기 간</t>
        </is>
      </c>
      <c r="B20" s="13" t="n"/>
      <c r="C20" s="13" t="n"/>
      <c r="D20" s="16" t="n">
        <v>46097</v>
      </c>
      <c r="E20" s="13" t="n"/>
      <c r="F20" s="17" t="inlineStr">
        <is>
          <t>~</t>
        </is>
      </c>
      <c r="G20" s="16" t="n">
        <v>46387</v>
      </c>
      <c r="H20" s="13" t="n"/>
      <c r="I20" s="18">
        <f>IF(OR(N(D20)=0,N(G20)=0),"",IF(G20&lt;D20,"⚠ 준공일이 착공일보다 빠름",G20-D20+1))</f>
        <v/>
      </c>
      <c r="J20" s="13" t="n"/>
      <c r="K20" s="13" t="n"/>
      <c r="L20" s="13" t="n"/>
    </row>
    <row r="21" ht="26" customHeight="1">
      <c r="A21" s="12" t="inlineStr">
        <is>
          <t>시 공 면 적</t>
        </is>
      </c>
      <c r="B21" s="13" t="n"/>
      <c r="C21" s="13" t="n"/>
      <c r="D21" s="19" t="n">
        <v>35540</v>
      </c>
      <c r="E21" s="13" t="n"/>
      <c r="F21" s="13" t="n"/>
      <c r="G21" s="20" t="inlineStr"/>
      <c r="H21" s="13" t="n"/>
      <c r="I21" s="13" t="n"/>
      <c r="J21" s="13" t="n"/>
      <c r="K21" s="13" t="n"/>
      <c r="L21" s="13" t="n"/>
    </row>
    <row r="22" ht="26" customHeight="1">
      <c r="A22" s="12" t="inlineStr">
        <is>
          <t>공 사 범 위</t>
        </is>
      </c>
      <c r="B22" s="13" t="n"/>
      <c r="C22" s="13" t="n"/>
      <c r="D22" s="15" t="inlineStr">
        <is>
          <t>데크플레이트 · 부속자재 공사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4" customHeight="1"/>
    <row r="24" ht="30" customHeight="1">
      <c r="A24" s="11" t="inlineStr">
        <is>
          <t>2.  운 영 방 침</t>
        </is>
      </c>
    </row>
    <row r="25" ht="4" customHeight="1"/>
    <row r="26" ht="24" customHeight="1">
      <c r="A26" s="21" t="inlineStr">
        <is>
          <t>방   침</t>
        </is>
      </c>
      <c r="B26" s="13" t="n"/>
      <c r="C26" s="13" t="n"/>
      <c r="D26" s="21" t="inlineStr">
        <is>
          <t>실   천   사   항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30" customHeight="1">
      <c r="A27" s="22" t="inlineStr">
        <is>
          <t>1. 최상의 품질 시공</t>
        </is>
      </c>
      <c r="B27" s="13" t="n"/>
      <c r="C27" s="13" t="n"/>
      <c r="D27" s="23" t="inlineStr">
        <is>
          <t>⊙ 자재 생산 체계 강화  ⊙ 전담 작업팀 재배치로 전문 시공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30" customHeight="1">
      <c r="A28" s="22" t="inlineStr">
        <is>
          <t>2. 안전관리 강화</t>
        </is>
      </c>
      <c r="B28" s="13" t="n"/>
      <c r="C28" s="13" t="n"/>
      <c r="D28" s="23" t="inlineStr">
        <is>
          <t>⊙ 안전 보호구 100% 착용  ⊙ 현장 안전수칙 준수  ⊙ 무재해 현장 실현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30" customHeight="1">
      <c r="A29" s="22" t="inlineStr">
        <is>
          <t>3. 공기 준수</t>
        </is>
      </c>
      <c r="B29" s="13" t="n"/>
      <c r="C29" s="13" t="n"/>
      <c r="D29" s="23" t="inlineStr">
        <is>
          <t>⊙ 자재 · 시공 100% 납기 준수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 ht="19.5" customHeight="1">
      <c r="A31" s="7" t="inlineStr">
        <is>
          <t>이 시트는 작성 예시입니다(가상의 공사 · 회사).</t>
        </is>
      </c>
    </row>
  </sheetData>
  <mergeCells count="53">
    <mergeCell ref="D20:E20"/>
    <mergeCell ref="D27:L27"/>
    <mergeCell ref="C6:J6"/>
    <mergeCell ref="K9:L9"/>
    <mergeCell ref="A18:C18"/>
    <mergeCell ref="K5:L5"/>
    <mergeCell ref="I20:L20"/>
    <mergeCell ref="D17:L17"/>
    <mergeCell ref="A21:C21"/>
    <mergeCell ref="C5:J5"/>
    <mergeCell ref="A27:C27"/>
    <mergeCell ref="A3:L3"/>
    <mergeCell ref="A26:C26"/>
    <mergeCell ref="A6:B6"/>
    <mergeCell ref="A12:L12"/>
    <mergeCell ref="D16:L16"/>
    <mergeCell ref="D21:F21"/>
    <mergeCell ref="A7:B7"/>
    <mergeCell ref="A14:C14"/>
    <mergeCell ref="D28:L28"/>
    <mergeCell ref="C10:J10"/>
    <mergeCell ref="A22:C22"/>
    <mergeCell ref="A17:C17"/>
    <mergeCell ref="D18:L18"/>
    <mergeCell ref="A29:C29"/>
    <mergeCell ref="A20:C20"/>
    <mergeCell ref="C9:J9"/>
    <mergeCell ref="G1:L1"/>
    <mergeCell ref="A28:C28"/>
    <mergeCell ref="D15:L15"/>
    <mergeCell ref="A19:C19"/>
    <mergeCell ref="D29:L29"/>
    <mergeCell ref="K8:L8"/>
    <mergeCell ref="D14:L14"/>
    <mergeCell ref="A5:B5"/>
    <mergeCell ref="K6:L6"/>
    <mergeCell ref="A31:L31"/>
    <mergeCell ref="D26:L26"/>
    <mergeCell ref="A15:C15"/>
    <mergeCell ref="A8:B8"/>
    <mergeCell ref="C8:J8"/>
    <mergeCell ref="G21:L21"/>
    <mergeCell ref="A24:L24"/>
    <mergeCell ref="K7:L7"/>
    <mergeCell ref="D19:L19"/>
    <mergeCell ref="G20:H20"/>
    <mergeCell ref="C7:J7"/>
    <mergeCell ref="A1:F1"/>
    <mergeCell ref="A10:B10"/>
    <mergeCell ref="K10:L10"/>
    <mergeCell ref="D22:L22"/>
    <mergeCell ref="A9:B9"/>
    <mergeCell ref="A16:C16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10" min="0" max="16383" man="1"/>
  </rowBreaks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4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8" t="inlineStr">
        <is>
          <t xml:space="preserve">작성 예시 (가상의 현장)  </t>
        </is>
      </c>
    </row>
    <row r="2" ht="4" customHeight="1"/>
    <row r="3" ht="30" customHeight="1">
      <c r="A3" s="11" t="inlineStr">
        <is>
          <t>3.  생산관리계획</t>
        </is>
      </c>
    </row>
    <row r="4" ht="4" customHeight="1"/>
    <row r="5" ht="21" customHeight="1">
      <c r="A5" s="24" t="inlineStr">
        <is>
          <t>1) 생산능력</t>
        </is>
      </c>
    </row>
    <row r="6" ht="24" customHeight="1">
      <c r="A6" s="21" t="inlineStr">
        <is>
          <t>구    분</t>
        </is>
      </c>
      <c r="B6" s="13" t="n"/>
      <c r="C6" s="13" t="n"/>
      <c r="D6" s="21" t="inlineStr">
        <is>
          <t>공장 전체</t>
        </is>
      </c>
      <c r="E6" s="13" t="n"/>
      <c r="F6" s="13" t="n"/>
      <c r="G6" s="21" t="inlineStr">
        <is>
          <t>이 현장(계획)</t>
        </is>
      </c>
      <c r="H6" s="13" t="n"/>
      <c r="I6" s="13" t="n"/>
      <c r="J6" s="21" t="inlineStr">
        <is>
          <t>비    고</t>
        </is>
      </c>
      <c r="K6" s="13" t="n"/>
      <c r="L6" s="13" t="n"/>
    </row>
    <row r="7" ht="24" customHeight="1">
      <c r="A7" s="17" t="inlineStr">
        <is>
          <t>생산 능력</t>
        </is>
      </c>
      <c r="B7" s="13" t="n"/>
      <c r="C7" s="13" t="n"/>
      <c r="D7" s="25" t="inlineStr">
        <is>
          <t>180,000㎡ / 월</t>
        </is>
      </c>
      <c r="E7" s="13" t="n"/>
      <c r="F7" s="13" t="n"/>
      <c r="G7" s="25" t="inlineStr">
        <is>
          <t>10,000㎡ / 월</t>
        </is>
      </c>
      <c r="H7" s="13" t="n"/>
      <c r="I7" s="13" t="n"/>
      <c r="J7" s="26" t="inlineStr">
        <is>
          <t>24시간 기준</t>
        </is>
      </c>
      <c r="K7" s="13" t="n"/>
      <c r="L7" s="13" t="n"/>
    </row>
    <row r="8" ht="24" customHeight="1">
      <c r="A8" s="17" t="inlineStr">
        <is>
          <t>공장 보관량</t>
        </is>
      </c>
      <c r="B8" s="13" t="n"/>
      <c r="C8" s="13" t="n"/>
      <c r="D8" s="25" t="inlineStr">
        <is>
          <t>200,000㎡</t>
        </is>
      </c>
      <c r="E8" s="13" t="n"/>
      <c r="F8" s="13" t="n"/>
      <c r="G8" s="25" t="inlineStr">
        <is>
          <t>5,000 ~ 10,000㎡</t>
        </is>
      </c>
      <c r="H8" s="13" t="n"/>
      <c r="I8" s="13" t="n"/>
      <c r="J8" s="26" t="inlineStr">
        <is>
          <t>실내 보관 · 실외는 천막(비닐) 보양</t>
        </is>
      </c>
      <c r="K8" s="13" t="n"/>
      <c r="L8" s="13" t="n"/>
    </row>
    <row r="9" ht="24" customHeight="1">
      <c r="A9" s="17" t="inlineStr">
        <is>
          <t>인    원</t>
        </is>
      </c>
      <c r="B9" s="13" t="n"/>
      <c r="C9" s="13" t="n"/>
      <c r="D9" s="25" t="inlineStr">
        <is>
          <t>70명</t>
        </is>
      </c>
      <c r="E9" s="13" t="n"/>
      <c r="F9" s="13" t="n"/>
      <c r="G9" s="25" t="n"/>
      <c r="H9" s="13" t="n"/>
      <c r="I9" s="13" t="n"/>
      <c r="J9" s="26" t="n"/>
      <c r="K9" s="13" t="n"/>
      <c r="L9" s="13" t="n"/>
    </row>
    <row r="10" ht="24" customHeight="1">
      <c r="A10" s="17" t="inlineStr">
        <is>
          <t>출    하</t>
        </is>
      </c>
      <c r="B10" s="13" t="n"/>
      <c r="C10" s="13" t="n"/>
      <c r="D10" s="25" t="inlineStr">
        <is>
          <t>야간 물류 진행</t>
        </is>
      </c>
      <c r="E10" s="13" t="n"/>
      <c r="F10" s="13" t="n"/>
      <c r="G10" s="25" t="inlineStr">
        <is>
          <t>야간 물류 진행</t>
        </is>
      </c>
      <c r="H10" s="13" t="n"/>
      <c r="I10" s="13" t="n"/>
      <c r="J10" s="26" t="n"/>
      <c r="K10" s="13" t="n"/>
      <c r="L10" s="13" t="n"/>
    </row>
    <row r="11" ht="21" customHeight="1">
      <c r="A11" s="24" t="inlineStr">
        <is>
          <t>2) 자재 생산공정</t>
        </is>
      </c>
    </row>
    <row r="12" ht="30" customHeight="1">
      <c r="A12" s="9" t="inlineStr"/>
      <c r="D12" s="27" t="inlineStr">
        <is>
          <t>하부 강판 성형(Forming)</t>
        </is>
      </c>
      <c r="E12" s="13" t="n"/>
      <c r="F12" s="13" t="n"/>
      <c r="G12" s="13" t="n"/>
      <c r="H12" s="13" t="n"/>
      <c r="I12" s="13" t="n"/>
      <c r="J12" s="28" t="inlineStr"/>
    </row>
    <row r="13" ht="12" customHeight="1">
      <c r="A13" s="29" t="inlineStr">
        <is>
          <t>▼</t>
        </is>
      </c>
    </row>
    <row r="14" ht="30" customHeight="1">
      <c r="A14" s="9" t="inlineStr"/>
      <c r="D14" s="27" t="inlineStr">
        <is>
          <t>철선 이형 가공(Deforming)</t>
        </is>
      </c>
      <c r="E14" s="13" t="n"/>
      <c r="F14" s="13" t="n"/>
      <c r="G14" s="13" t="n"/>
      <c r="H14" s="13" t="n"/>
      <c r="I14" s="13" t="n"/>
      <c r="J14" s="28" t="inlineStr"/>
    </row>
    <row r="15" ht="12" customHeight="1">
      <c r="A15" s="29" t="inlineStr">
        <is>
          <t>▼</t>
        </is>
      </c>
    </row>
    <row r="16" ht="30" customHeight="1">
      <c r="A16" s="9" t="inlineStr"/>
      <c r="D16" s="27" t="inlineStr">
        <is>
          <t>철선 투입 · 고정</t>
        </is>
      </c>
      <c r="E16" s="13" t="n"/>
      <c r="F16" s="13" t="n"/>
      <c r="G16" s="13" t="n"/>
      <c r="H16" s="13" t="n"/>
      <c r="I16" s="13" t="n"/>
      <c r="J16" s="28" t="inlineStr"/>
    </row>
    <row r="17" ht="12" customHeight="1">
      <c r="A17" s="29" t="inlineStr">
        <is>
          <t>▼</t>
        </is>
      </c>
    </row>
    <row r="18" ht="30" customHeight="1">
      <c r="A18" s="9" t="inlineStr"/>
      <c r="D18" s="27" t="inlineStr">
        <is>
          <t>트러스 거더(래티스) 생산</t>
        </is>
      </c>
      <c r="E18" s="13" t="n"/>
      <c r="F18" s="13" t="n"/>
      <c r="G18" s="13" t="n"/>
      <c r="H18" s="13" t="n"/>
      <c r="I18" s="13" t="n"/>
      <c r="J18" s="28" t="inlineStr"/>
    </row>
    <row r="19" ht="12" customHeight="1">
      <c r="A19" s="29" t="inlineStr">
        <is>
          <t>▼</t>
        </is>
      </c>
    </row>
    <row r="20" ht="30" customHeight="1">
      <c r="A20" s="9" t="inlineStr"/>
      <c r="D20" s="27" t="inlineStr">
        <is>
          <t>완제품 생산 · 포장 · 출하</t>
        </is>
      </c>
      <c r="E20" s="13" t="n"/>
      <c r="F20" s="13" t="n"/>
      <c r="G20" s="13" t="n"/>
      <c r="H20" s="13" t="n"/>
      <c r="I20" s="13" t="n"/>
      <c r="J20" s="28" t="inlineStr"/>
    </row>
    <row r="21" ht="18" customHeight="1">
      <c r="A21" s="30" t="inlineStr">
        <is>
          <t>(생산공정 사진을 붙이는 곳)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18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18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18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1" customHeight="1">
      <c r="A27" s="24" t="inlineStr">
        <is>
          <t>3) 자재 생산 일정 — 구간별 발주일을 적으면 출하 예정일이 나옵니다</t>
        </is>
      </c>
    </row>
    <row r="28" ht="24" customHeight="1">
      <c r="A28" s="21" t="inlineStr">
        <is>
          <t>단    계</t>
        </is>
      </c>
      <c r="B28" s="13" t="n"/>
      <c r="C28" s="13" t="n"/>
      <c r="D28" s="13" t="n"/>
      <c r="E28" s="13" t="n"/>
      <c r="F28" s="13" t="n"/>
      <c r="G28" s="21" t="inlineStr">
        <is>
          <t>최소 (일)</t>
        </is>
      </c>
      <c r="H28" s="13" t="n"/>
      <c r="I28" s="21" t="inlineStr">
        <is>
          <t>최대 (일)</t>
        </is>
      </c>
      <c r="J28" s="13" t="n"/>
      <c r="K28" s="21" t="inlineStr">
        <is>
          <t>비  고</t>
        </is>
      </c>
      <c r="L28" s="13" t="n"/>
    </row>
    <row r="29" ht="24" customHeight="1">
      <c r="A29" s="23" t="inlineStr">
        <is>
          <t>현장 협의 후 데크 발주</t>
        </is>
      </c>
      <c r="B29" s="13" t="n"/>
      <c r="C29" s="13" t="n"/>
      <c r="D29" s="13" t="n"/>
      <c r="E29" s="13" t="n"/>
      <c r="F29" s="13" t="n"/>
      <c r="G29" s="31" t="n">
        <v>1</v>
      </c>
      <c r="H29" s="13" t="n"/>
      <c r="I29" s="31" t="n">
        <v>1</v>
      </c>
      <c r="J29" s="13" t="n"/>
      <c r="K29" s="20" t="inlineStr"/>
      <c r="L29" s="13" t="n"/>
    </row>
    <row r="30" ht="24" customHeight="1">
      <c r="A30" s="23" t="inlineStr">
        <is>
          <t>기존 생산 제품 완료 후 생산 일정 편성</t>
        </is>
      </c>
      <c r="B30" s="13" t="n"/>
      <c r="C30" s="13" t="n"/>
      <c r="D30" s="13" t="n"/>
      <c r="E30" s="13" t="n"/>
      <c r="F30" s="13" t="n"/>
      <c r="G30" s="31" t="n">
        <v>4</v>
      </c>
      <c r="H30" s="13" t="n"/>
      <c r="I30" s="31" t="n">
        <v>7</v>
      </c>
      <c r="J30" s="13" t="n"/>
      <c r="K30" s="20" t="inlineStr"/>
      <c r="L30" s="13" t="n"/>
    </row>
    <row r="31" ht="24" customHeight="1">
      <c r="A31" s="23" t="inlineStr">
        <is>
          <t>하부 강판 성형(Forming)</t>
        </is>
      </c>
      <c r="B31" s="13" t="n"/>
      <c r="C31" s="13" t="n"/>
      <c r="D31" s="13" t="n"/>
      <c r="E31" s="13" t="n"/>
      <c r="F31" s="13" t="n"/>
      <c r="G31" s="31" t="n">
        <v>2</v>
      </c>
      <c r="H31" s="13" t="n"/>
      <c r="I31" s="31" t="n">
        <v>2</v>
      </c>
      <c r="J31" s="13" t="n"/>
      <c r="K31" s="20" t="inlineStr"/>
      <c r="L31" s="13" t="n"/>
    </row>
    <row r="32" ht="24" customHeight="1">
      <c r="A32" s="23" t="inlineStr">
        <is>
          <t>철선 이형 가공(Deforming) 및 철선 투입 · 고정</t>
        </is>
      </c>
      <c r="B32" s="13" t="n"/>
      <c r="C32" s="13" t="n"/>
      <c r="D32" s="13" t="n"/>
      <c r="E32" s="13" t="n"/>
      <c r="F32" s="13" t="n"/>
      <c r="G32" s="31" t="n">
        <v>1</v>
      </c>
      <c r="H32" s="13" t="n"/>
      <c r="I32" s="31" t="n">
        <v>1</v>
      </c>
      <c r="J32" s="13" t="n"/>
      <c r="K32" s="20" t="inlineStr"/>
      <c r="L32" s="13" t="n"/>
    </row>
    <row r="33" ht="24" customHeight="1">
      <c r="A33" s="23" t="inlineStr">
        <is>
          <t>트러스 거더(래티스) 생산</t>
        </is>
      </c>
      <c r="B33" s="13" t="n"/>
      <c r="C33" s="13" t="n"/>
      <c r="D33" s="13" t="n"/>
      <c r="E33" s="13" t="n"/>
      <c r="F33" s="13" t="n"/>
      <c r="G33" s="31" t="n">
        <v>2</v>
      </c>
      <c r="H33" s="13" t="n"/>
      <c r="I33" s="31" t="n">
        <v>2</v>
      </c>
      <c r="J33" s="13" t="n"/>
      <c r="K33" s="20" t="inlineStr"/>
      <c r="L33" s="13" t="n"/>
    </row>
    <row r="34" ht="24" customHeight="1">
      <c r="A34" s="23" t="inlineStr">
        <is>
          <t>완제품 생산</t>
        </is>
      </c>
      <c r="B34" s="13" t="n"/>
      <c r="C34" s="13" t="n"/>
      <c r="D34" s="13" t="n"/>
      <c r="E34" s="13" t="n"/>
      <c r="F34" s="13" t="n"/>
      <c r="G34" s="31" t="n">
        <v>2</v>
      </c>
      <c r="H34" s="13" t="n"/>
      <c r="I34" s="31" t="n">
        <v>2</v>
      </c>
      <c r="J34" s="13" t="n"/>
      <c r="K34" s="20" t="inlineStr"/>
      <c r="L34" s="13" t="n"/>
    </row>
    <row r="35" ht="24" customHeight="1">
      <c r="A35" s="32" t="inlineStr">
        <is>
          <t>합    계 (발주 → 완제품)</t>
        </is>
      </c>
      <c r="B35" s="13" t="n"/>
      <c r="C35" s="13" t="n"/>
      <c r="D35" s="13" t="n"/>
      <c r="E35" s="13" t="n"/>
      <c r="F35" s="13" t="n"/>
      <c r="G35" s="33">
        <f>IF(SUM(G29:G34)=0,"",SUM(G29:G34))</f>
        <v/>
      </c>
      <c r="H35" s="13" t="n"/>
      <c r="I35" s="33">
        <f>IF(SUM(I29:I34)=0,"",SUM(I29:I34))</f>
        <v/>
      </c>
      <c r="J35" s="13" t="n"/>
      <c r="K35" s="32" t="inlineStr"/>
      <c r="L35" s="13" t="n"/>
    </row>
    <row r="36" ht="26" customHeight="1">
      <c r="A36" s="12" t="inlineStr">
        <is>
          <t>구간 발주일</t>
        </is>
      </c>
      <c r="B36" s="13" t="n"/>
      <c r="C36" s="13" t="n"/>
      <c r="D36" s="16" t="n">
        <v>46083</v>
      </c>
      <c r="E36" s="13" t="n"/>
      <c r="F36" s="13" t="n"/>
      <c r="G36" s="12" t="inlineStr">
        <is>
          <t>출하 예정</t>
        </is>
      </c>
      <c r="H36" s="13" t="n"/>
      <c r="I36" s="34">
        <f>IF(OR(N(D36)=0,G35=""),"",D36+G35)</f>
        <v/>
      </c>
      <c r="J36" s="13" t="n"/>
      <c r="K36" s="35">
        <f>IF(OR(N(D36)=0,I35=""),"",D36+I35)</f>
        <v/>
      </c>
      <c r="L36" s="13" t="n"/>
    </row>
    <row r="37" ht="29.65" customHeight="1">
      <c r="A37" s="36" t="inlineStr">
        <is>
          <t>※ 구간(1,500 ~ 2,500㎡) 기준 약 10 ~ 15일 걸립니다(특수 형태는 생산성이 떨어짐). 일수는 제조사 자료로 고쳐 씁니다.</t>
        </is>
      </c>
    </row>
    <row r="38" ht="21" customHeight="1">
      <c r="A38" s="24" t="inlineStr">
        <is>
          <t>4) 예정공정표 — «공정표» 시트(구간별 판개 · 선행공정 완료 후 D-DAY 기준)</t>
        </is>
      </c>
    </row>
    <row r="40" ht="19.5" customHeight="1">
      <c r="A40" s="7" t="inlineStr">
        <is>
          <t>이 시트는 작성 예시입니다(가상의 값).</t>
        </is>
      </c>
    </row>
  </sheetData>
  <mergeCells count="86">
    <mergeCell ref="K33:L33"/>
    <mergeCell ref="A37:L37"/>
    <mergeCell ref="D16:I16"/>
    <mergeCell ref="K35:L35"/>
    <mergeCell ref="D18:I18"/>
    <mergeCell ref="A32:F32"/>
    <mergeCell ref="D9:F9"/>
    <mergeCell ref="A29:F29"/>
    <mergeCell ref="G34:H34"/>
    <mergeCell ref="A31:F31"/>
    <mergeCell ref="G9:I9"/>
    <mergeCell ref="D20:I20"/>
    <mergeCell ref="A6:C6"/>
    <mergeCell ref="K28:L28"/>
    <mergeCell ref="I30:J30"/>
    <mergeCell ref="K30:L30"/>
    <mergeCell ref="G6:I6"/>
    <mergeCell ref="A12:C12"/>
    <mergeCell ref="A3:L3"/>
    <mergeCell ref="J7:L7"/>
    <mergeCell ref="A33:F33"/>
    <mergeCell ref="J16:L16"/>
    <mergeCell ref="I32:J32"/>
    <mergeCell ref="A14:C14"/>
    <mergeCell ref="A5:L5"/>
    <mergeCell ref="K32:L32"/>
    <mergeCell ref="A35:F35"/>
    <mergeCell ref="A38:L38"/>
    <mergeCell ref="A28:F28"/>
    <mergeCell ref="G33:H33"/>
    <mergeCell ref="I33:J33"/>
    <mergeCell ref="A40:L40"/>
    <mergeCell ref="A30:F30"/>
    <mergeCell ref="G35:H35"/>
    <mergeCell ref="I35:J35"/>
    <mergeCell ref="J14:L14"/>
    <mergeCell ref="G8:I8"/>
    <mergeCell ref="A21:L26"/>
    <mergeCell ref="A7:C7"/>
    <mergeCell ref="A16:C16"/>
    <mergeCell ref="J6:L6"/>
    <mergeCell ref="G10:I10"/>
    <mergeCell ref="A18:C18"/>
    <mergeCell ref="D7:F7"/>
    <mergeCell ref="K29:L29"/>
    <mergeCell ref="K31:L31"/>
    <mergeCell ref="D8:F8"/>
    <mergeCell ref="A20:C20"/>
    <mergeCell ref="J18:L18"/>
    <mergeCell ref="A13:L13"/>
    <mergeCell ref="J8:L8"/>
    <mergeCell ref="A34:F34"/>
    <mergeCell ref="A15:L15"/>
    <mergeCell ref="J10:L10"/>
    <mergeCell ref="G32:H32"/>
    <mergeCell ref="A1:F1"/>
    <mergeCell ref="D36:F36"/>
    <mergeCell ref="J9:L9"/>
    <mergeCell ref="D6:F6"/>
    <mergeCell ref="G7:I7"/>
    <mergeCell ref="I34:J34"/>
    <mergeCell ref="K34:L34"/>
    <mergeCell ref="G36:H36"/>
    <mergeCell ref="I36:J36"/>
    <mergeCell ref="J20:L20"/>
    <mergeCell ref="A27:L27"/>
    <mergeCell ref="K36:L36"/>
    <mergeCell ref="A8:C8"/>
    <mergeCell ref="D12:I12"/>
    <mergeCell ref="A17:L17"/>
    <mergeCell ref="G28:H28"/>
    <mergeCell ref="I28:J28"/>
    <mergeCell ref="J12:L12"/>
    <mergeCell ref="A10:C10"/>
    <mergeCell ref="G1:L1"/>
    <mergeCell ref="D14:I14"/>
    <mergeCell ref="A19:L19"/>
    <mergeCell ref="G30:H30"/>
    <mergeCell ref="A9:C9"/>
    <mergeCell ref="D10:F10"/>
    <mergeCell ref="G29:H29"/>
    <mergeCell ref="I29:J29"/>
    <mergeCell ref="A36:C36"/>
    <mergeCell ref="A11:L11"/>
    <mergeCell ref="G31:H31"/>
    <mergeCell ref="I31:J31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6" min="0" max="16383" man="1"/>
  </rowBreaks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V16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4.5" customWidth="1" min="3" max="3"/>
    <col width="6.5" customWidth="1" min="4" max="4"/>
    <col width="5" customWidth="1" min="5" max="5"/>
    <col width="5" customWidth="1" min="6" max="6"/>
    <col width="5" customWidth="1" min="7" max="7"/>
    <col width="1.75" customWidth="1" min="8" max="8"/>
    <col width="1.75" customWidth="1" min="9" max="9"/>
    <col width="1.75" customWidth="1" min="10" max="10"/>
    <col width="1.75" customWidth="1" min="11" max="11"/>
    <col width="1.75" customWidth="1" min="12" max="12"/>
    <col width="1.75" customWidth="1" min="13" max="13"/>
    <col width="1.75" customWidth="1" min="14" max="14"/>
    <col width="1.75" customWidth="1" min="15" max="15"/>
    <col width="1.75" customWidth="1" min="16" max="16"/>
    <col width="1.75" customWidth="1" min="17" max="17"/>
    <col width="1.75" customWidth="1" min="18" max="18"/>
    <col width="1.75" customWidth="1" min="19" max="19"/>
    <col width="1.75" customWidth="1" min="20" max="20"/>
    <col width="1.75" customWidth="1" min="21" max="21"/>
    <col width="1.75" customWidth="1" min="22" max="22"/>
    <col width="1.75" customWidth="1" min="23" max="23"/>
    <col width="1.75" customWidth="1" min="24" max="24"/>
    <col width="1.75" customWidth="1" min="25" max="25"/>
    <col width="1.75" customWidth="1" min="26" max="26"/>
    <col width="1.75" customWidth="1" min="27" max="27"/>
    <col width="1.75" customWidth="1" min="28" max="28"/>
    <col width="1.75" customWidth="1" min="29" max="29"/>
    <col width="1.75" customWidth="1" min="30" max="30"/>
    <col width="1.75" customWidth="1" min="31" max="31"/>
    <col width="1.75" customWidth="1" min="32" max="32"/>
    <col width="1.75" customWidth="1" min="33" max="33"/>
    <col width="1.75" customWidth="1" min="34" max="34"/>
    <col width="1.75" customWidth="1" min="35" max="35"/>
    <col width="1.75" customWidth="1" min="36" max="36"/>
    <col width="1.75" customWidth="1" min="37" max="37"/>
    <col width="1.75" customWidth="1" min="38" max="38"/>
    <col width="1.75" customWidth="1" min="39" max="39"/>
    <col width="1.75" customWidth="1" min="40" max="40"/>
    <col width="1.75" customWidth="1" min="41" max="41"/>
    <col width="1.75" customWidth="1" min="42" max="42"/>
    <col width="1.75" customWidth="1" min="43" max="43"/>
    <col width="1.75" customWidth="1" min="44" max="44"/>
    <col width="1.75" customWidth="1" min="45" max="45"/>
    <col width="1.75" customWidth="1" min="46" max="46"/>
    <col width="1.75" customWidth="1" min="47" max="47"/>
    <col width="6" customWidth="1" min="48" max="48"/>
  </cols>
  <sheetData>
    <row r="1" ht="20" customHeight="1">
      <c r="A1" s="1" t="inlineStr">
        <is>
          <t xml:space="preserve">  K-건설맵  |  k-conmap.com  건설 서식</t>
        </is>
      </c>
      <c r="P1" s="68" t="inlineStr">
        <is>
          <t xml:space="preserve">작성 예시 (가상의 현장)  </t>
        </is>
      </c>
    </row>
    <row r="2" ht="34" customHeight="1">
      <c r="A2" s="37" t="inlineStr">
        <is>
          <t>3-4)   예 정 공 정 표 (구간별 판개 · D-DAY 기준)</t>
        </is>
      </c>
    </row>
    <row r="3" ht="22" customHeight="1">
      <c r="A3" s="12" t="inlineStr">
        <is>
          <t>착 수 일</t>
        </is>
      </c>
      <c r="B3" s="16" t="n">
        <v>46111</v>
      </c>
      <c r="C3" s="13" t="n"/>
      <c r="D3" s="7" t="inlineStr">
        <is>
          <t>※ 공종마다 총수량 · 1일 작업량 · 시작 일차를 적으면 작업일수(올림) · 끝나는 일차 · 막대 · 총 공기가 저절로 나옵니다.</t>
        </is>
      </c>
    </row>
    <row r="4" ht="16" customHeight="1">
      <c r="A4" s="21" t="inlineStr">
        <is>
          <t>공    종</t>
        </is>
      </c>
      <c r="B4" s="38" t="inlineStr">
        <is>
          <t>총수량</t>
        </is>
      </c>
      <c r="C4" s="39" t="inlineStr">
        <is>
          <t>단위</t>
        </is>
      </c>
      <c r="D4" s="39" t="inlineStr">
        <is>
          <t>1일
작업량</t>
        </is>
      </c>
      <c r="E4" s="39" t="inlineStr">
        <is>
          <t>작업
일수</t>
        </is>
      </c>
      <c r="F4" s="39" t="inlineStr">
        <is>
          <t>시작
일차</t>
        </is>
      </c>
      <c r="G4" s="39" t="inlineStr">
        <is>
          <t>종료
일차</t>
        </is>
      </c>
      <c r="H4" s="40" t="n">
        <v>1</v>
      </c>
      <c r="I4" s="40" t="n">
        <v>2</v>
      </c>
      <c r="J4" s="40" t="n">
        <v>3</v>
      </c>
      <c r="K4" s="40" t="n">
        <v>4</v>
      </c>
      <c r="L4" s="40" t="n">
        <v>5</v>
      </c>
      <c r="M4" s="40" t="n">
        <v>6</v>
      </c>
      <c r="N4" s="40" t="n">
        <v>7</v>
      </c>
      <c r="O4" s="40" t="n">
        <v>8</v>
      </c>
      <c r="P4" s="40" t="n">
        <v>9</v>
      </c>
      <c r="Q4" s="40" t="n">
        <v>10</v>
      </c>
      <c r="R4" s="40" t="n">
        <v>11</v>
      </c>
      <c r="S4" s="40" t="n">
        <v>12</v>
      </c>
      <c r="T4" s="40" t="n">
        <v>13</v>
      </c>
      <c r="U4" s="40" t="n">
        <v>14</v>
      </c>
      <c r="V4" s="40" t="n">
        <v>15</v>
      </c>
      <c r="W4" s="40" t="n">
        <v>16</v>
      </c>
      <c r="X4" s="40" t="n">
        <v>17</v>
      </c>
      <c r="Y4" s="40" t="n">
        <v>18</v>
      </c>
      <c r="Z4" s="40" t="n">
        <v>19</v>
      </c>
      <c r="AA4" s="40" t="n">
        <v>20</v>
      </c>
      <c r="AB4" s="40" t="n">
        <v>21</v>
      </c>
      <c r="AC4" s="40" t="n">
        <v>22</v>
      </c>
      <c r="AD4" s="40" t="n">
        <v>23</v>
      </c>
      <c r="AE4" s="40" t="n">
        <v>24</v>
      </c>
      <c r="AF4" s="40" t="n">
        <v>25</v>
      </c>
      <c r="AG4" s="40" t="n">
        <v>26</v>
      </c>
      <c r="AH4" s="40" t="n">
        <v>27</v>
      </c>
      <c r="AI4" s="40" t="n">
        <v>28</v>
      </c>
      <c r="AJ4" s="40" t="n">
        <v>29</v>
      </c>
      <c r="AK4" s="40" t="n">
        <v>30</v>
      </c>
      <c r="AL4" s="40" t="n">
        <v>31</v>
      </c>
      <c r="AM4" s="40" t="n">
        <v>32</v>
      </c>
      <c r="AN4" s="40" t="n">
        <v>33</v>
      </c>
      <c r="AO4" s="40" t="n">
        <v>34</v>
      </c>
      <c r="AP4" s="40" t="n">
        <v>35</v>
      </c>
      <c r="AQ4" s="40" t="n">
        <v>36</v>
      </c>
      <c r="AR4" s="40" t="n">
        <v>37</v>
      </c>
      <c r="AS4" s="40" t="n">
        <v>38</v>
      </c>
      <c r="AT4" s="40" t="n">
        <v>39</v>
      </c>
      <c r="AU4" s="40" t="n">
        <v>40</v>
      </c>
      <c r="AV4" s="21" t="inlineStr">
        <is>
          <t>비 고</t>
        </is>
      </c>
    </row>
    <row r="5" ht="13" customHeight="1">
      <c r="A5" s="13" t="n"/>
      <c r="B5" s="13" t="n"/>
      <c r="C5" s="13" t="n"/>
      <c r="D5" s="13" t="n"/>
      <c r="E5" s="13" t="n"/>
      <c r="F5" s="13" t="n"/>
      <c r="G5" s="13" t="n"/>
      <c r="H5" s="41">
        <f>IF(N(B3)=0,"",B3+0)</f>
        <v/>
      </c>
      <c r="I5" s="41">
        <f>IF(N(B3)=0,"",B3+1)</f>
        <v/>
      </c>
      <c r="J5" s="41">
        <f>IF(N(B3)=0,"",B3+2)</f>
        <v/>
      </c>
      <c r="K5" s="41">
        <f>IF(N(B3)=0,"",B3+3)</f>
        <v/>
      </c>
      <c r="L5" s="41">
        <f>IF(N(B3)=0,"",B3+4)</f>
        <v/>
      </c>
      <c r="M5" s="41">
        <f>IF(N(B3)=0,"",B3+5)</f>
        <v/>
      </c>
      <c r="N5" s="41">
        <f>IF(N(B3)=0,"",B3+6)</f>
        <v/>
      </c>
      <c r="O5" s="41">
        <f>IF(N(B3)=0,"",B3+7)</f>
        <v/>
      </c>
      <c r="P5" s="41">
        <f>IF(N(B3)=0,"",B3+8)</f>
        <v/>
      </c>
      <c r="Q5" s="41">
        <f>IF(N(B3)=0,"",B3+9)</f>
        <v/>
      </c>
      <c r="R5" s="41">
        <f>IF(N(B3)=0,"",B3+10)</f>
        <v/>
      </c>
      <c r="S5" s="41">
        <f>IF(N(B3)=0,"",B3+11)</f>
        <v/>
      </c>
      <c r="T5" s="41">
        <f>IF(N(B3)=0,"",B3+12)</f>
        <v/>
      </c>
      <c r="U5" s="41">
        <f>IF(N(B3)=0,"",B3+13)</f>
        <v/>
      </c>
      <c r="V5" s="41">
        <f>IF(N(B3)=0,"",B3+14)</f>
        <v/>
      </c>
      <c r="W5" s="41">
        <f>IF(N(B3)=0,"",B3+15)</f>
        <v/>
      </c>
      <c r="X5" s="41">
        <f>IF(N(B3)=0,"",B3+16)</f>
        <v/>
      </c>
      <c r="Y5" s="41">
        <f>IF(N(B3)=0,"",B3+17)</f>
        <v/>
      </c>
      <c r="Z5" s="41">
        <f>IF(N(B3)=0,"",B3+18)</f>
        <v/>
      </c>
      <c r="AA5" s="41">
        <f>IF(N(B3)=0,"",B3+19)</f>
        <v/>
      </c>
      <c r="AB5" s="41">
        <f>IF(N(B3)=0,"",B3+20)</f>
        <v/>
      </c>
      <c r="AC5" s="41">
        <f>IF(N(B3)=0,"",B3+21)</f>
        <v/>
      </c>
      <c r="AD5" s="41">
        <f>IF(N(B3)=0,"",B3+22)</f>
        <v/>
      </c>
      <c r="AE5" s="41">
        <f>IF(N(B3)=0,"",B3+23)</f>
        <v/>
      </c>
      <c r="AF5" s="41">
        <f>IF(N(B3)=0,"",B3+24)</f>
        <v/>
      </c>
      <c r="AG5" s="41">
        <f>IF(N(B3)=0,"",B3+25)</f>
        <v/>
      </c>
      <c r="AH5" s="41">
        <f>IF(N(B3)=0,"",B3+26)</f>
        <v/>
      </c>
      <c r="AI5" s="41">
        <f>IF(N(B3)=0,"",B3+27)</f>
        <v/>
      </c>
      <c r="AJ5" s="41">
        <f>IF(N(B3)=0,"",B3+28)</f>
        <v/>
      </c>
      <c r="AK5" s="41">
        <f>IF(N(B3)=0,"",B3+29)</f>
        <v/>
      </c>
      <c r="AL5" s="41">
        <f>IF(N(B3)=0,"",B3+30)</f>
        <v/>
      </c>
      <c r="AM5" s="41">
        <f>IF(N(B3)=0,"",B3+31)</f>
        <v/>
      </c>
      <c r="AN5" s="41">
        <f>IF(N(B3)=0,"",B3+32)</f>
        <v/>
      </c>
      <c r="AO5" s="41">
        <f>IF(N(B3)=0,"",B3+33)</f>
        <v/>
      </c>
      <c r="AP5" s="41">
        <f>IF(N(B3)=0,"",B3+34)</f>
        <v/>
      </c>
      <c r="AQ5" s="41">
        <f>IF(N(B3)=0,"",B3+35)</f>
        <v/>
      </c>
      <c r="AR5" s="41">
        <f>IF(N(B3)=0,"",B3+36)</f>
        <v/>
      </c>
      <c r="AS5" s="41">
        <f>IF(N(B3)=0,"",B3+37)</f>
        <v/>
      </c>
      <c r="AT5" s="41">
        <f>IF(N(B3)=0,"",B3+38)</f>
        <v/>
      </c>
      <c r="AU5" s="41">
        <f>IF(N(B3)=0,"",B3+39)</f>
        <v/>
      </c>
      <c r="AV5" s="13" t="n"/>
    </row>
    <row r="6" ht="24" customHeight="1">
      <c r="A6" s="42" t="inlineStr">
        <is>
          <t>1구간(지하 1층)</t>
        </is>
      </c>
      <c r="B6" s="43" t="n">
        <v>1500</v>
      </c>
      <c r="C6" s="44" t="inlineStr">
        <is>
          <t>㎡</t>
        </is>
      </c>
      <c r="D6" s="43" t="n">
        <v>700</v>
      </c>
      <c r="E6" s="45">
        <f>IF(OR(N(B6)=0,N(D6)=0),"",ROUNDUP(B6/D6,0))</f>
        <v/>
      </c>
      <c r="F6" s="46" t="n">
        <v>1</v>
      </c>
      <c r="G6" s="45">
        <f>IF(OR(E6="",N(F6)=0),"",F6+E6-1)</f>
        <v/>
      </c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  <c r="AN6" s="20" t="inlineStr"/>
      <c r="AO6" s="20" t="inlineStr"/>
      <c r="AP6" s="20" t="inlineStr"/>
      <c r="AQ6" s="20" t="inlineStr"/>
      <c r="AR6" s="20" t="inlineStr"/>
      <c r="AS6" s="20" t="inlineStr"/>
      <c r="AT6" s="20" t="inlineStr"/>
      <c r="AU6" s="20" t="inlineStr"/>
      <c r="AV6" s="47" t="n"/>
    </row>
    <row r="7" ht="24" customHeight="1">
      <c r="A7" s="42" t="inlineStr">
        <is>
          <t>2구간(1층)</t>
        </is>
      </c>
      <c r="B7" s="43" t="n">
        <v>2000</v>
      </c>
      <c r="C7" s="44" t="inlineStr">
        <is>
          <t>㎡</t>
        </is>
      </c>
      <c r="D7" s="43" t="n">
        <v>700</v>
      </c>
      <c r="E7" s="45">
        <f>IF(OR(N(B7)=0,N(D7)=0),"",ROUNDUP(B7/D7,0))</f>
        <v/>
      </c>
      <c r="F7" s="46" t="n">
        <v>6</v>
      </c>
      <c r="G7" s="45">
        <f>IF(OR(E7="",N(F7)=0),"",F7+E7-1)</f>
        <v/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  <c r="AA7" s="20" t="inlineStr"/>
      <c r="AB7" s="20" t="inlineStr"/>
      <c r="AC7" s="20" t="inlineStr"/>
      <c r="AD7" s="20" t="inlineStr"/>
      <c r="AE7" s="20" t="inlineStr"/>
      <c r="AF7" s="20" t="inlineStr"/>
      <c r="AG7" s="20" t="inlineStr"/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  <c r="AQ7" s="20" t="inlineStr"/>
      <c r="AR7" s="20" t="inlineStr"/>
      <c r="AS7" s="20" t="inlineStr"/>
      <c r="AT7" s="20" t="inlineStr"/>
      <c r="AU7" s="20" t="inlineStr"/>
      <c r="AV7" s="47" t="n"/>
    </row>
    <row r="8" ht="24" customHeight="1">
      <c r="A8" s="42" t="inlineStr">
        <is>
          <t>3구간(2층)</t>
        </is>
      </c>
      <c r="B8" s="43" t="n">
        <v>1500</v>
      </c>
      <c r="C8" s="44" t="inlineStr">
        <is>
          <t>㎡</t>
        </is>
      </c>
      <c r="D8" s="43" t="n">
        <v>700</v>
      </c>
      <c r="E8" s="45">
        <f>IF(OR(N(B8)=0,N(D8)=0),"",ROUNDUP(B8/D8,0))</f>
        <v/>
      </c>
      <c r="F8" s="46" t="n">
        <v>12</v>
      </c>
      <c r="G8" s="45">
        <f>IF(OR(E8="",N(F8)=0),"",F8+E8-1)</f>
        <v/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  <c r="AN8" s="20" t="inlineStr"/>
      <c r="AO8" s="20" t="inlineStr"/>
      <c r="AP8" s="20" t="inlineStr"/>
      <c r="AQ8" s="20" t="inlineStr"/>
      <c r="AR8" s="20" t="inlineStr"/>
      <c r="AS8" s="20" t="inlineStr"/>
      <c r="AT8" s="20" t="inlineStr"/>
      <c r="AU8" s="20" t="inlineStr"/>
      <c r="AV8" s="47" t="n"/>
    </row>
    <row r="9" ht="24" customHeight="1">
      <c r="A9" s="42" t="inlineStr">
        <is>
          <t>4구간(3층)</t>
        </is>
      </c>
      <c r="B9" s="43" t="n">
        <v>1500</v>
      </c>
      <c r="C9" s="44" t="inlineStr">
        <is>
          <t>㎡</t>
        </is>
      </c>
      <c r="D9" s="43" t="n">
        <v>700</v>
      </c>
      <c r="E9" s="45">
        <f>IF(OR(N(B9)=0,N(D9)=0),"",ROUNDUP(B9/D9,0))</f>
        <v/>
      </c>
      <c r="F9" s="46" t="n">
        <v>18</v>
      </c>
      <c r="G9" s="45">
        <f>IF(OR(E9="",N(F9)=0),"",F9+E9-1)</f>
        <v/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  <c r="AG9" s="20" t="inlineStr"/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/>
      <c r="AQ9" s="20" t="inlineStr"/>
      <c r="AR9" s="20" t="inlineStr"/>
      <c r="AS9" s="20" t="inlineStr"/>
      <c r="AT9" s="20" t="inlineStr"/>
      <c r="AU9" s="20" t="inlineStr"/>
      <c r="AV9" s="47" t="n"/>
    </row>
    <row r="10" ht="24" customHeight="1">
      <c r="A10" s="42" t="inlineStr">
        <is>
          <t>5구간(지붕층)</t>
        </is>
      </c>
      <c r="B10" s="43" t="n">
        <v>1000</v>
      </c>
      <c r="C10" s="44" t="inlineStr">
        <is>
          <t>㎡</t>
        </is>
      </c>
      <c r="D10" s="43" t="n">
        <v>700</v>
      </c>
      <c r="E10" s="45">
        <f>IF(OR(N(B10)=0,N(D10)=0),"",ROUNDUP(B10/D10,0))</f>
        <v/>
      </c>
      <c r="F10" s="46" t="n">
        <v>24</v>
      </c>
      <c r="G10" s="45">
        <f>IF(OR(E10="",N(F10)=0),"",F10+E10-1)</f>
        <v/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  <c r="AN10" s="20" t="inlineStr"/>
      <c r="AO10" s="20" t="inlineStr"/>
      <c r="AP10" s="20" t="inlineStr"/>
      <c r="AQ10" s="20" t="inlineStr"/>
      <c r="AR10" s="20" t="inlineStr"/>
      <c r="AS10" s="20" t="inlineStr"/>
      <c r="AT10" s="20" t="inlineStr"/>
      <c r="AU10" s="20" t="inlineStr"/>
      <c r="AV10" s="47" t="n"/>
    </row>
    <row r="11" ht="24" customHeight="1">
      <c r="A11" s="42" t="n"/>
      <c r="B11" s="43" t="n"/>
      <c r="C11" s="44" t="n"/>
      <c r="D11" s="43" t="n"/>
      <c r="E11" s="45">
        <f>IF(OR(N(B11)=0,N(D11)=0),"",ROUNDUP(B11/D11,0))</f>
        <v/>
      </c>
      <c r="F11" s="46" t="n"/>
      <c r="G11" s="45">
        <f>IF(OR(E11="",N(F11)=0),"",F11+E11-1)</f>
        <v/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B11" s="20" t="inlineStr"/>
      <c r="AC11" s="20" t="inlineStr"/>
      <c r="AD11" s="20" t="inlineStr"/>
      <c r="AE11" s="20" t="inlineStr"/>
      <c r="AF11" s="20" t="inlineStr"/>
      <c r="AG11" s="20" t="inlineStr"/>
      <c r="AH11" s="20" t="inlineStr"/>
      <c r="AI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P11" s="20" t="inlineStr"/>
      <c r="AQ11" s="20" t="inlineStr"/>
      <c r="AR11" s="20" t="inlineStr"/>
      <c r="AS11" s="20" t="inlineStr"/>
      <c r="AT11" s="20" t="inlineStr"/>
      <c r="AU11" s="20" t="inlineStr"/>
      <c r="AV11" s="47" t="n"/>
    </row>
    <row r="12" ht="24" customHeight="1">
      <c r="A12" s="42" t="n"/>
      <c r="B12" s="43" t="n"/>
      <c r="C12" s="44" t="n"/>
      <c r="D12" s="43" t="n"/>
      <c r="E12" s="45">
        <f>IF(OR(N(B12)=0,N(D12)=0),"",ROUNDUP(B12/D12,0))</f>
        <v/>
      </c>
      <c r="F12" s="46" t="n"/>
      <c r="G12" s="45">
        <f>IF(OR(E12="",N(F12)=0),"",F12+E12-1)</f>
        <v/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  <c r="AN12" s="20" t="inlineStr"/>
      <c r="AO12" s="20" t="inlineStr"/>
      <c r="AP12" s="20" t="inlineStr"/>
      <c r="AQ12" s="20" t="inlineStr"/>
      <c r="AR12" s="20" t="inlineStr"/>
      <c r="AS12" s="20" t="inlineStr"/>
      <c r="AT12" s="20" t="inlineStr"/>
      <c r="AU12" s="20" t="inlineStr"/>
      <c r="AV12" s="47" t="n"/>
    </row>
    <row r="13" ht="24" customHeight="1">
      <c r="A13" s="42" t="n"/>
      <c r="B13" s="43" t="n"/>
      <c r="C13" s="44" t="n"/>
      <c r="D13" s="43" t="n"/>
      <c r="E13" s="45">
        <f>IF(OR(N(B13)=0,N(D13)=0),"",ROUNDUP(B13/D13,0))</f>
        <v/>
      </c>
      <c r="F13" s="46" t="n"/>
      <c r="G13" s="45">
        <f>IF(OR(E13="",N(F13)=0),"",F13+E13-1)</f>
        <v/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/>
      <c r="AD13" s="20" t="inlineStr"/>
      <c r="AE13" s="20" t="inlineStr"/>
      <c r="AF13" s="20" t="inlineStr"/>
      <c r="AG13" s="20" t="inlineStr"/>
      <c r="AH13" s="20" t="inlineStr"/>
      <c r="AI13" s="20" t="inlineStr"/>
      <c r="AJ13" s="20" t="inlineStr"/>
      <c r="AK13" s="20" t="inlineStr"/>
      <c r="AL13" s="20" t="inlineStr"/>
      <c r="AM13" s="20" t="inlineStr"/>
      <c r="AN13" s="20" t="inlineStr"/>
      <c r="AO13" s="20" t="inlineStr"/>
      <c r="AP13" s="20" t="inlineStr"/>
      <c r="AQ13" s="20" t="inlineStr"/>
      <c r="AR13" s="20" t="inlineStr"/>
      <c r="AS13" s="20" t="inlineStr"/>
      <c r="AT13" s="20" t="inlineStr"/>
      <c r="AU13" s="20" t="inlineStr"/>
      <c r="AV13" s="47" t="n"/>
    </row>
    <row r="14" ht="22" customHeight="1">
      <c r="A14" s="32" t="inlineStr">
        <is>
          <t>총 공기 (가장 늦게 끝나는 일차)</t>
        </is>
      </c>
      <c r="B14" s="13" t="n"/>
      <c r="C14" s="13" t="n"/>
      <c r="D14" s="13" t="n"/>
      <c r="E14" s="13" t="n"/>
      <c r="F14" s="13" t="n"/>
      <c r="G14" s="48">
        <f>IF(COUNT(G6:G13)=0,"",MAX(G6:G13))</f>
        <v/>
      </c>
      <c r="H14" s="49">
        <f>IF(OR(G14="",N(B3)=0),"",B3+G14-1)</f>
        <v/>
      </c>
      <c r="AV14" s="9" t="inlineStr"/>
    </row>
    <row r="16" ht="19.5" customHeight="1">
      <c r="A16" s="7" t="inlineStr">
        <is>
          <t>이 시트는 작성 예시입니다(가상의 물량 · 일정).</t>
        </is>
      </c>
    </row>
  </sheetData>
  <mergeCells count="16">
    <mergeCell ref="B4:B5"/>
    <mergeCell ref="D3:AU3"/>
    <mergeCell ref="B3:C3"/>
    <mergeCell ref="A4:A5"/>
    <mergeCell ref="C4:C5"/>
    <mergeCell ref="D4:D5"/>
    <mergeCell ref="E4:E5"/>
    <mergeCell ref="F4:F5"/>
    <mergeCell ref="G4:G5"/>
    <mergeCell ref="A1:O1"/>
    <mergeCell ref="AV4:AV5"/>
    <mergeCell ref="A14:F14"/>
    <mergeCell ref="H14:AU14"/>
    <mergeCell ref="P1:AV1"/>
    <mergeCell ref="A2:AV2"/>
    <mergeCell ref="A16:AV16"/>
  </mergeCells>
  <conditionalFormatting sqref="H6:AU13">
    <cfRule type="expression" priority="1" dxfId="0">
      <formula>AND(N($F6)&gt;0,N($G6)&gt;=N($F6),H$4&gt;=$F6,H$4&lt;=$G6)</formula>
    </cfRule>
  </conditionalFormatting>
  <conditionalFormatting sqref="B6:B13">
    <cfRule type="expression" priority="2" dxfId="1">
      <formula>AND(ISNUMBER(B6),MOD(B6,1)=0)</formula>
    </cfRule>
  </conditionalFormatting>
  <conditionalFormatting sqref="D6:D13">
    <cfRule type="expression" priority="3" dxfId="1">
      <formula>AND(ISNUMBER(D6),MOD(D6,1)=0)</formula>
    </cfRule>
  </conditionalFormatting>
  <printOptions horizontalCentered="1"/>
  <pageMargins left="0.3" right="0.3" top="0.45" bottom="0.45" header="0.2" footer="0.2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7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8" t="inlineStr">
        <is>
          <t xml:space="preserve">작성 예시 (가상의 현장)  </t>
        </is>
      </c>
    </row>
    <row r="2" ht="4" customHeight="1"/>
    <row r="3" ht="30" customHeight="1">
      <c r="A3" s="11" t="inlineStr">
        <is>
          <t>4.  시공관리계획</t>
        </is>
      </c>
    </row>
    <row r="4" ht="4" customHeight="1"/>
    <row r="5" ht="21" customHeight="1">
      <c r="A5" s="24" t="inlineStr">
        <is>
          <t>1) 현장 조직표</t>
        </is>
      </c>
    </row>
    <row r="6" ht="24" customHeight="1">
      <c r="A6" s="9" t="inlineStr"/>
      <c r="E6" s="12" t="inlineStr">
        <is>
          <t>현 장 소 장</t>
        </is>
      </c>
      <c r="F6" s="13" t="n"/>
      <c r="G6" s="13" t="n"/>
      <c r="H6" s="13" t="n"/>
      <c r="I6" s="9" t="inlineStr"/>
    </row>
    <row r="7" ht="24" customHeight="1">
      <c r="A7" s="9" t="inlineStr"/>
      <c r="E7" s="50" t="inlineStr">
        <is>
          <t>홍길동</t>
        </is>
      </c>
      <c r="F7" s="13" t="n"/>
      <c r="G7" s="13" t="n"/>
      <c r="H7" s="13" t="n"/>
      <c r="I7" s="9" t="inlineStr"/>
    </row>
    <row r="8" ht="14" customHeight="1">
      <c r="A8" s="51" t="inlineStr">
        <is>
          <t>┌──────────┴──────────┐</t>
        </is>
      </c>
    </row>
    <row r="9" ht="24" customHeight="1">
      <c r="A9" s="9" t="inlineStr"/>
      <c r="B9" s="52" t="inlineStr">
        <is>
          <t>현장 시공관리 및 안전관리</t>
        </is>
      </c>
      <c r="C9" s="13" t="n"/>
      <c r="D9" s="13" t="n"/>
      <c r="E9" s="13" t="n"/>
      <c r="F9" s="9" t="inlineStr"/>
      <c r="H9" s="52" t="inlineStr">
        <is>
          <t>자재관리 및 공무</t>
        </is>
      </c>
      <c r="I9" s="13" t="n"/>
      <c r="J9" s="13" t="n"/>
      <c r="K9" s="13" t="n"/>
      <c r="L9" s="9" t="inlineStr"/>
    </row>
    <row r="10" ht="24" customHeight="1">
      <c r="A10" s="9" t="inlineStr"/>
      <c r="B10" s="50" t="inlineStr">
        <is>
          <t>김철수</t>
        </is>
      </c>
      <c r="C10" s="13" t="n"/>
      <c r="D10" s="13" t="n"/>
      <c r="E10" s="13" t="n"/>
      <c r="F10" s="9" t="inlineStr"/>
      <c r="H10" s="50" t="inlineStr">
        <is>
          <t>이공무</t>
        </is>
      </c>
      <c r="I10" s="13" t="n"/>
      <c r="J10" s="13" t="n"/>
      <c r="K10" s="13" t="n"/>
      <c r="L10" s="9" t="inlineStr"/>
    </row>
    <row r="11" ht="14" customHeight="1">
      <c r="A11" s="51" t="inlineStr">
        <is>
          <t>┌──────────┼──────────┐</t>
        </is>
      </c>
    </row>
    <row r="12" ht="24" customHeight="1">
      <c r="A12" s="12" t="inlineStr">
        <is>
          <t>하부 청소팀</t>
        </is>
      </c>
      <c r="B12" s="13" t="n"/>
      <c r="C12" s="13" t="n"/>
      <c r="D12" s="13" t="n"/>
      <c r="E12" s="12" t="inlineStr">
        <is>
          <t>시공 1팀 (데크)</t>
        </is>
      </c>
      <c r="F12" s="13" t="n"/>
      <c r="G12" s="13" t="n"/>
      <c r="H12" s="13" t="n"/>
      <c r="I12" s="12" t="inlineStr">
        <is>
          <t>시공 2팀 (데크)</t>
        </is>
      </c>
      <c r="J12" s="13" t="n"/>
      <c r="K12" s="13" t="n"/>
      <c r="L12" s="13" t="n"/>
    </row>
    <row r="13" ht="24" customHeight="1">
      <c r="A13" s="53" t="n">
        <v>4</v>
      </c>
      <c r="B13" s="13" t="n"/>
      <c r="C13" s="13" t="n"/>
      <c r="D13" s="13" t="n"/>
      <c r="E13" s="53" t="n">
        <v>5</v>
      </c>
      <c r="F13" s="13" t="n"/>
      <c r="G13" s="13" t="n"/>
      <c r="H13" s="13" t="n"/>
      <c r="I13" s="53" t="n">
        <v>5</v>
      </c>
      <c r="J13" s="13" t="n"/>
      <c r="K13" s="13" t="n"/>
      <c r="L13" s="13" t="n"/>
    </row>
    <row r="14" ht="24" customHeight="1">
      <c r="A14" s="32" t="inlineStr">
        <is>
          <t>작업 인원 합계</t>
        </is>
      </c>
      <c r="B14" s="13" t="n"/>
      <c r="C14" s="13" t="n"/>
      <c r="D14" s="13" t="n"/>
      <c r="E14" s="13" t="n"/>
      <c r="F14" s="13" t="n"/>
      <c r="G14" s="13" t="n"/>
      <c r="H14" s="13" t="n"/>
      <c r="I14" s="54">
        <f>IF(N(A13)+N(E13)+N(I13)=0,"",N(A13)+N(E13)+N(I13))</f>
        <v/>
      </c>
      <c r="J14" s="13" t="n"/>
      <c r="K14" s="13" t="n"/>
      <c r="L14" s="13" t="n"/>
    </row>
    <row r="15" ht="21" customHeight="1">
      <c r="A15" s="24" t="inlineStr">
        <is>
          <t>2) 제품 구성(철선일체형 데크플레이트)</t>
        </is>
      </c>
    </row>
    <row r="16" ht="24" customHeight="1">
      <c r="A16" s="21" t="inlineStr">
        <is>
          <t>구   성</t>
        </is>
      </c>
      <c r="B16" s="13" t="n"/>
      <c r="C16" s="13" t="n"/>
      <c r="D16" s="21" t="inlineStr">
        <is>
          <t>재  료 · 규  격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4" customHeight="1">
      <c r="A17" s="22" t="inlineStr">
        <is>
          <t>하부 강판</t>
        </is>
      </c>
      <c r="B17" s="13" t="n"/>
      <c r="C17" s="13" t="n"/>
      <c r="D17" s="15" t="inlineStr">
        <is>
          <t>용융 아연 도금 강판 0.5t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4" customHeight="1">
      <c r="A18" s="22" t="inlineStr">
        <is>
          <t>상 · 하부 철선</t>
        </is>
      </c>
      <c r="B18" s="13" t="n"/>
      <c r="C18" s="13" t="n"/>
      <c r="D18" s="15" t="inlineStr">
        <is>
          <t>D13 · D12 · D10 · D8 · D7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4" customHeight="1">
      <c r="A19" s="22" t="inlineStr">
        <is>
          <t>래티스(트러스)</t>
        </is>
      </c>
      <c r="B19" s="13" t="n"/>
      <c r="C19" s="13" t="n"/>
      <c r="D19" s="15" t="inlineStr">
        <is>
          <t>Φ5 · Φ6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1" customHeight="1">
      <c r="A20" s="24" t="inlineStr">
        <is>
          <t>3) 양중계획</t>
        </is>
      </c>
    </row>
    <row r="21" ht="20" customHeight="1">
      <c r="A21" s="30" t="inlineStr">
        <is>
          <t>(양중계획도를 붙이는 곳 — 차량 동선 · 데크 야적장 · 크레인 위치)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2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2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2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2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0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0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0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0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17.325" customHeight="1">
      <c r="A31" s="36" t="inlineStr">
        <is>
          <t>※ 구간(1,000 ~ 1,500㎡) 기준 양중 시간 3 ~ 4시간.</t>
        </is>
      </c>
    </row>
    <row r="32" ht="21" customHeight="1">
      <c r="A32" s="24" t="inlineStr">
        <is>
          <t>4) 인원 동원계획</t>
        </is>
      </c>
    </row>
    <row r="33" ht="24" customHeight="1">
      <c r="A33" s="21" t="inlineStr">
        <is>
          <t>직책 및 직종</t>
        </is>
      </c>
      <c r="B33" s="13" t="n"/>
      <c r="C33" s="13" t="n"/>
      <c r="D33" s="21" t="inlineStr">
        <is>
          <t>담 당 업 무</t>
        </is>
      </c>
      <c r="E33" s="13" t="n"/>
      <c r="F33" s="13" t="n"/>
      <c r="G33" s="21" t="inlineStr">
        <is>
          <t>최소 (명)</t>
        </is>
      </c>
      <c r="H33" s="13" t="n"/>
      <c r="I33" s="21" t="inlineStr">
        <is>
          <t>최대 (명)</t>
        </is>
      </c>
      <c r="J33" s="13" t="n"/>
      <c r="K33" s="21" t="inlineStr">
        <is>
          <t>비  고</t>
        </is>
      </c>
      <c r="L33" s="13" t="n"/>
    </row>
    <row r="34" ht="23" customHeight="1">
      <c r="A34" s="50" t="inlineStr">
        <is>
          <t>현장 소장</t>
        </is>
      </c>
      <c r="B34" s="13" t="n"/>
      <c r="C34" s="13" t="n"/>
      <c r="D34" s="25" t="inlineStr">
        <is>
          <t>현장 총괄</t>
        </is>
      </c>
      <c r="E34" s="13" t="n"/>
      <c r="F34" s="13" t="n"/>
      <c r="G34" s="55" t="n">
        <v>1</v>
      </c>
      <c r="H34" s="13" t="n"/>
      <c r="I34" s="55" t="n">
        <v>1</v>
      </c>
      <c r="J34" s="13" t="n"/>
      <c r="K34" s="50" t="inlineStr">
        <is>
          <t>상주</t>
        </is>
      </c>
      <c r="L34" s="13" t="n"/>
    </row>
    <row r="35" ht="23" customHeight="1">
      <c r="A35" s="50" t="inlineStr">
        <is>
          <t>공무 관리</t>
        </is>
      </c>
      <c r="B35" s="13" t="n"/>
      <c r="C35" s="13" t="n"/>
      <c r="D35" s="25" t="inlineStr">
        <is>
          <t>자재 및 문서</t>
        </is>
      </c>
      <c r="E35" s="13" t="n"/>
      <c r="F35" s="13" t="n"/>
      <c r="G35" s="55" t="n">
        <v>1</v>
      </c>
      <c r="H35" s="13" t="n"/>
      <c r="I35" s="55" t="n">
        <v>1</v>
      </c>
      <c r="J35" s="13" t="n"/>
      <c r="K35" s="50" t="inlineStr">
        <is>
          <t>비상주</t>
        </is>
      </c>
      <c r="L35" s="13" t="n"/>
    </row>
    <row r="36" ht="23" customHeight="1">
      <c r="A36" s="50" t="inlineStr">
        <is>
          <t>안전 관리</t>
        </is>
      </c>
      <c r="B36" s="13" t="n"/>
      <c r="C36" s="13" t="n"/>
      <c r="D36" s="25" t="inlineStr">
        <is>
          <t>안전 · 자재 관리</t>
        </is>
      </c>
      <c r="E36" s="13" t="n"/>
      <c r="F36" s="13" t="n"/>
      <c r="G36" s="55" t="n">
        <v>1</v>
      </c>
      <c r="H36" s="13" t="n"/>
      <c r="I36" s="55" t="n">
        <v>1</v>
      </c>
      <c r="J36" s="13" t="n"/>
      <c r="K36" s="50" t="inlineStr">
        <is>
          <t>상주</t>
        </is>
      </c>
      <c r="L36" s="13" t="n"/>
    </row>
    <row r="37" ht="23" customHeight="1">
      <c r="A37" s="50" t="inlineStr">
        <is>
          <t>양중 팀</t>
        </is>
      </c>
      <c r="B37" s="13" t="n"/>
      <c r="C37" s="13" t="n"/>
      <c r="D37" s="25" t="inlineStr">
        <is>
          <t>데크 · 부속자재 양중</t>
        </is>
      </c>
      <c r="E37" s="13" t="n"/>
      <c r="F37" s="13" t="n"/>
      <c r="G37" s="55" t="n">
        <v>1</v>
      </c>
      <c r="H37" s="13" t="n"/>
      <c r="I37" s="55" t="n">
        <v>2</v>
      </c>
      <c r="J37" s="13" t="n"/>
      <c r="K37" s="50" t="n"/>
      <c r="L37" s="13" t="n"/>
    </row>
    <row r="38" ht="23" customHeight="1">
      <c r="A38" s="50" t="inlineStr">
        <is>
          <t>데크 팀</t>
        </is>
      </c>
      <c r="B38" s="13" t="n"/>
      <c r="C38" s="13" t="n"/>
      <c r="D38" s="25" t="inlineStr">
        <is>
          <t>데크 시공</t>
        </is>
      </c>
      <c r="E38" s="13" t="n"/>
      <c r="F38" s="13" t="n"/>
      <c r="G38" s="55" t="n">
        <v>4</v>
      </c>
      <c r="H38" s="13" t="n"/>
      <c r="I38" s="55" t="n">
        <v>5</v>
      </c>
      <c r="J38" s="13" t="n"/>
      <c r="K38" s="50" t="n"/>
      <c r="L38" s="13" t="n"/>
    </row>
    <row r="39" ht="23" customHeight="1">
      <c r="A39" s="50" t="inlineStr">
        <is>
          <t>하부 청소</t>
        </is>
      </c>
      <c r="B39" s="13" t="n"/>
      <c r="C39" s="13" t="n"/>
      <c r="D39" s="25" t="inlineStr">
        <is>
          <t>청소</t>
        </is>
      </c>
      <c r="E39" s="13" t="n"/>
      <c r="F39" s="13" t="n"/>
      <c r="G39" s="55" t="n">
        <v>2</v>
      </c>
      <c r="H39" s="13" t="n"/>
      <c r="I39" s="55" t="n">
        <v>3</v>
      </c>
      <c r="J39" s="13" t="n"/>
      <c r="K39" s="50" t="n"/>
      <c r="L39" s="13" t="n"/>
    </row>
    <row r="40" ht="23" customHeight="1">
      <c r="A40" s="50" t="n"/>
      <c r="B40" s="13" t="n"/>
      <c r="C40" s="13" t="n"/>
      <c r="D40" s="25" t="n"/>
      <c r="E40" s="13" t="n"/>
      <c r="F40" s="13" t="n"/>
      <c r="G40" s="55" t="n"/>
      <c r="H40" s="13" t="n"/>
      <c r="I40" s="55" t="n"/>
      <c r="J40" s="13" t="n"/>
      <c r="K40" s="50" t="n"/>
      <c r="L40" s="13" t="n"/>
    </row>
    <row r="41" ht="24" customHeight="1">
      <c r="A41" s="32" t="inlineStr">
        <is>
          <t>계</t>
        </is>
      </c>
      <c r="B41" s="13" t="n"/>
      <c r="C41" s="13" t="n"/>
      <c r="D41" s="13" t="n"/>
      <c r="E41" s="13" t="n"/>
      <c r="F41" s="13" t="n"/>
      <c r="G41" s="56">
        <f>IF(SUM(G34:G40)=0,"",SUM(G34:G40))</f>
        <v/>
      </c>
      <c r="H41" s="13" t="n"/>
      <c r="I41" s="56">
        <f>IF(SUM(I34:I40)=0,"",SUM(I34:I40))</f>
        <v/>
      </c>
      <c r="J41" s="13" t="n"/>
      <c r="K41" s="32" t="inlineStr">
        <is>
          <t>명</t>
        </is>
      </c>
      <c r="L41" s="13" t="n"/>
    </row>
    <row r="42" ht="17.325" customHeight="1">
      <c r="A42" s="36" t="inlineStr">
        <is>
          <t>※ 구간 1,500㎡ · 2,000㎡ 기준 7명 투입 때 판개 각각 2일 · 3일(현장 여건에 따라 인원 조절).</t>
        </is>
      </c>
    </row>
    <row r="43" ht="21" customHeight="1">
      <c r="A43" s="24" t="inlineStr">
        <is>
          <t>5) 장비 동원계획</t>
        </is>
      </c>
    </row>
    <row r="44" ht="24" customHeight="1">
      <c r="A44" s="21" t="inlineStr">
        <is>
          <t>장 비 명</t>
        </is>
      </c>
      <c r="B44" s="13" t="n"/>
      <c r="C44" s="13" t="n"/>
      <c r="D44" s="21" t="inlineStr">
        <is>
          <t>규격 및 용량</t>
        </is>
      </c>
      <c r="E44" s="13" t="n"/>
      <c r="F44" s="21" t="inlineStr">
        <is>
          <t>사 용 내 용</t>
        </is>
      </c>
      <c r="G44" s="13" t="n"/>
      <c r="H44" s="13" t="n"/>
      <c r="I44" s="21" t="inlineStr">
        <is>
          <t>수  량</t>
        </is>
      </c>
      <c r="J44" s="13" t="n"/>
      <c r="K44" s="21" t="inlineStr">
        <is>
          <t>비  고</t>
        </is>
      </c>
      <c r="L44" s="13" t="n"/>
    </row>
    <row r="45" ht="23" customHeight="1">
      <c r="A45" s="50" t="inlineStr">
        <is>
          <t>인버터 용접기</t>
        </is>
      </c>
      <c r="B45" s="13" t="n"/>
      <c r="C45" s="13" t="n"/>
      <c r="D45" s="50" t="inlineStr">
        <is>
          <t>7.5kW</t>
        </is>
      </c>
      <c r="E45" s="13" t="n"/>
      <c r="F45" s="50" t="inlineStr">
        <is>
          <t>데크 시공</t>
        </is>
      </c>
      <c r="G45" s="13" t="n"/>
      <c r="H45" s="13" t="n"/>
      <c r="I45" s="57" t="n">
        <v>2</v>
      </c>
      <c r="J45" s="13" t="n"/>
      <c r="K45" s="50" t="inlineStr">
        <is>
          <t>15A</t>
        </is>
      </c>
      <c r="L45" s="13" t="n"/>
    </row>
    <row r="46" ht="23" customHeight="1">
      <c r="A46" s="50" t="inlineStr">
        <is>
          <t>인버터 용접기</t>
        </is>
      </c>
      <c r="B46" s="13" t="n"/>
      <c r="C46" s="13" t="n"/>
      <c r="D46" s="50" t="inlineStr">
        <is>
          <t>3.5kW</t>
        </is>
      </c>
      <c r="E46" s="13" t="n"/>
      <c r="F46" s="50" t="inlineStr">
        <is>
          <t>데크 시공</t>
        </is>
      </c>
      <c r="G46" s="13" t="n"/>
      <c r="H46" s="13" t="n"/>
      <c r="I46" s="57" t="n">
        <v>2</v>
      </c>
      <c r="J46" s="13" t="n"/>
      <c r="K46" s="50" t="n"/>
      <c r="L46" s="13" t="n"/>
    </row>
    <row r="47" ht="23" customHeight="1">
      <c r="A47" s="50" t="inlineStr">
        <is>
          <t>플라스마 절단기</t>
        </is>
      </c>
      <c r="B47" s="13" t="n"/>
      <c r="C47" s="13" t="n"/>
      <c r="D47" s="50" t="inlineStr">
        <is>
          <t>10kW</t>
        </is>
      </c>
      <c r="E47" s="13" t="n"/>
      <c r="F47" s="50" t="inlineStr">
        <is>
          <t>절단</t>
        </is>
      </c>
      <c r="G47" s="13" t="n"/>
      <c r="H47" s="13" t="n"/>
      <c r="I47" s="57" t="n">
        <v>2</v>
      </c>
      <c r="J47" s="13" t="n"/>
      <c r="K47" s="50" t="n"/>
      <c r="L47" s="13" t="n"/>
    </row>
    <row r="48" ht="23" customHeight="1">
      <c r="A48" s="50" t="n"/>
      <c r="B48" s="13" t="n"/>
      <c r="C48" s="13" t="n"/>
      <c r="D48" s="50" t="n"/>
      <c r="E48" s="13" t="n"/>
      <c r="F48" s="50" t="n"/>
      <c r="G48" s="13" t="n"/>
      <c r="H48" s="13" t="n"/>
      <c r="I48" s="57" t="n"/>
      <c r="J48" s="13" t="n"/>
      <c r="K48" s="50" t="n"/>
      <c r="L48" s="13" t="n"/>
    </row>
    <row r="49" ht="24" customHeight="1">
      <c r="A49" s="32" t="inlineStr">
        <is>
          <t>합    계</t>
        </is>
      </c>
      <c r="B49" s="13" t="n"/>
      <c r="C49" s="13" t="n"/>
      <c r="D49" s="13" t="n"/>
      <c r="E49" s="13" t="n"/>
      <c r="F49" s="13" t="n"/>
      <c r="G49" s="13" t="n"/>
      <c r="H49" s="13" t="n"/>
      <c r="I49" s="58">
        <f>IF(SUM(I45:I48)=0,"",SUM(I45:I48))</f>
        <v/>
      </c>
      <c r="J49" s="13" t="n"/>
      <c r="K49" s="32" t="inlineStr"/>
      <c r="L49" s="13" t="n"/>
    </row>
    <row r="50" ht="21" customHeight="1">
      <c r="A50" s="24" t="inlineStr">
        <is>
          <t>6) 자재 반입</t>
        </is>
      </c>
    </row>
    <row r="51" ht="19.725" customHeight="1">
      <c r="A51" s="59" t="inlineStr">
        <is>
          <t>■</t>
        </is>
      </c>
      <c r="B51" s="60" t="inlineStr">
        <is>
          <t>자재 반입 전 시공 담당과 반입 계획을 세운다.</t>
        </is>
      </c>
    </row>
    <row r="52" ht="19.725" customHeight="1">
      <c r="A52" s="59" t="inlineStr">
        <is>
          <t>■</t>
        </is>
      </c>
      <c r="B52" s="60" t="inlineStr">
        <is>
          <t>현장 입고 15일 전에 발주하며, 자재 생산이 끝나면 공장에서 출발한다.</t>
        </is>
      </c>
    </row>
    <row r="53" ht="19.725" customHeight="1">
      <c r="A53" s="59" t="inlineStr">
        <is>
          <t>■</t>
        </is>
      </c>
      <c r="B53" s="60" t="inlineStr">
        <is>
          <t>현장 도착 뒤 양중하고, 먼저 들어온 자재는 비에 대비하여 보양한다.</t>
        </is>
      </c>
    </row>
    <row r="54" ht="34.45" customHeight="1">
      <c r="A54" s="59" t="inlineStr">
        <is>
          <t>■</t>
        </is>
      </c>
      <c r="B54" s="60" t="inlineStr">
        <is>
          <t>반입 · 하역 때 안전관리 규정을 지킨다 — 지게차 후진 경보음 작동 확인 · 신호수 배치 · 2단 적재 · 구간별 보양 및 구획 정리.</t>
        </is>
      </c>
    </row>
    <row r="55" ht="26" customHeight="1">
      <c r="A55" s="12" t="inlineStr">
        <is>
          <t>현장 입고 예정일</t>
        </is>
      </c>
      <c r="B55" s="13" t="n"/>
      <c r="C55" s="13" t="n"/>
      <c r="D55" s="16" t="n">
        <v>46111</v>
      </c>
      <c r="E55" s="13" t="n"/>
      <c r="F55" s="13" t="n"/>
      <c r="G55" s="12" t="inlineStr">
        <is>
          <t>발주 마감일 (15일 전)</t>
        </is>
      </c>
      <c r="H55" s="13" t="n"/>
      <c r="I55" s="13" t="n"/>
      <c r="J55" s="34">
        <f>IF(N(D55)=0,"",D55-15)</f>
        <v/>
      </c>
      <c r="K55" s="13" t="n"/>
      <c r="L55" s="13" t="n"/>
    </row>
    <row r="56" ht="26" customHeight="1">
      <c r="A56" s="12" t="inlineStr">
        <is>
          <t>공장 → 현장 거리</t>
        </is>
      </c>
      <c r="B56" s="13" t="n"/>
      <c r="C56" s="13" t="n"/>
      <c r="D56" s="61" t="n">
        <v>90</v>
      </c>
      <c r="E56" s="13" t="n"/>
      <c r="F56" s="13" t="n"/>
      <c r="G56" s="12" t="inlineStr">
        <is>
          <t>운송 시간</t>
        </is>
      </c>
      <c r="H56" s="13" t="n"/>
      <c r="I56" s="13" t="n"/>
      <c r="J56" s="50" t="inlineStr">
        <is>
          <t>약 1시간 30분</t>
        </is>
      </c>
      <c r="K56" s="13" t="n"/>
      <c r="L56" s="13" t="n"/>
    </row>
    <row r="57" ht="21" customHeight="1">
      <c r="A57" s="24" t="inlineStr">
        <is>
          <t>7) 자재 양중</t>
        </is>
      </c>
    </row>
    <row r="58" ht="24" customHeight="1">
      <c r="A58" s="21" t="inlineStr">
        <is>
          <t>세    부    내    용</t>
        </is>
      </c>
      <c r="B58" s="13" t="n"/>
      <c r="C58" s="13" t="n"/>
      <c r="D58" s="13" t="n"/>
      <c r="E58" s="13" t="n"/>
      <c r="F58" s="13" t="n"/>
      <c r="G58" s="21" t="inlineStr">
        <is>
          <t>비          고</t>
        </is>
      </c>
      <c r="H58" s="13" t="n"/>
      <c r="I58" s="13" t="n"/>
      <c r="J58" s="13" t="n"/>
      <c r="K58" s="13" t="n"/>
      <c r="L58" s="13" t="n"/>
    </row>
    <row r="59" ht="63" customHeight="1">
      <c r="A59" s="23" t="inlineStr">
        <is>
          <t>1) 와이어에 샤클(KS 제품) 체결
2) 데크는 1회 2톤 이하로 양중(2단 이하)
3) 데크 인양 때 걸침 길이 확보
4) 하부 인원 통제</t>
        </is>
      </c>
      <c r="B59" s="13" t="n"/>
      <c r="C59" s="13" t="n"/>
      <c r="D59" s="13" t="n"/>
      <c r="E59" s="13" t="n"/>
      <c r="F59" s="13" t="n"/>
      <c r="G59" s="23" t="inlineStr">
        <is>
          <t>- 인양 고리 및 샤클 불량 확인
- 보 위에 적재할 때 유도 로프 사용
- 걸침 길이 10mm 이상(S조 50mm) 준수
- 신호수 배치</t>
        </is>
      </c>
      <c r="H59" s="13" t="n"/>
      <c r="I59" s="13" t="n"/>
      <c r="J59" s="13" t="n"/>
      <c r="K59" s="13" t="n"/>
      <c r="L59" s="13" t="n"/>
    </row>
    <row r="60" ht="21" customHeight="1">
      <c r="A60" s="24" t="inlineStr">
        <is>
          <t>8) 데크 판개 및 고정 작업</t>
        </is>
      </c>
    </row>
    <row r="61" ht="24" customHeight="1">
      <c r="A61" s="21" t="inlineStr">
        <is>
          <t>세    부    내    용</t>
        </is>
      </c>
      <c r="B61" s="13" t="n"/>
      <c r="C61" s="13" t="n"/>
      <c r="D61" s="13" t="n"/>
      <c r="E61" s="13" t="n"/>
      <c r="F61" s="13" t="n"/>
      <c r="G61" s="21" t="inlineStr">
        <is>
          <t>비          고</t>
        </is>
      </c>
      <c r="H61" s="13" t="n"/>
      <c r="I61" s="13" t="n"/>
      <c r="J61" s="13" t="n"/>
      <c r="K61" s="13" t="n"/>
      <c r="L61" s="13" t="n"/>
    </row>
    <row r="62" ht="77.25" customHeight="1">
      <c r="A62" s="23" t="inlineStr">
        <is>
          <t>1) 2인 1조로 데크 운반
2) 단부 작업 때 안전고리 체결
3) 데크 체결 때 골 위치를 맞추어 체결
4) 판개 뒤 용접 — 단변 @400 · 장변 @1,500 (RC 조 : 타카못 고정)</t>
        </is>
      </c>
      <c r="B62" s="13" t="n"/>
      <c r="C62" s="13" t="n"/>
      <c r="D62" s="13" t="n"/>
      <c r="E62" s="13" t="n"/>
      <c r="F62" s="13" t="n"/>
      <c r="G62" s="23" t="inlineStr">
        <is>
          <t>- 작업자 안전용품 착용
- 안전망 훼손 금지
- 최대한 밀착 시공
- 체결 뒤 즉시 용접 고정(RC 조 : 타카못)</t>
        </is>
      </c>
      <c r="H62" s="13" t="n"/>
      <c r="I62" s="13" t="n"/>
      <c r="J62" s="13" t="n"/>
      <c r="K62" s="13" t="n"/>
      <c r="L62" s="13" t="n"/>
    </row>
    <row r="63" ht="18" customHeight="1">
      <c r="A63" s="30" t="inlineStr">
        <is>
          <t>(작업 사진을 붙이는 곳 — 테이핑 · 판개 · 고정)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18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18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18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70" ht="19.5" customHeight="1">
      <c r="A70" s="7" t="inlineStr">
        <is>
          <t>이 시트는 작성 예시입니다(가상의 사람 · 날짜).</t>
        </is>
      </c>
    </row>
  </sheetData>
  <mergeCells count="138">
    <mergeCell ref="I14:L14"/>
    <mergeCell ref="K49:L49"/>
    <mergeCell ref="A37:C37"/>
    <mergeCell ref="F45:H45"/>
    <mergeCell ref="A46:C46"/>
    <mergeCell ref="K33:L33"/>
    <mergeCell ref="A49:H49"/>
    <mergeCell ref="D45:E45"/>
    <mergeCell ref="A13:D13"/>
    <mergeCell ref="F47:H47"/>
    <mergeCell ref="A57:L57"/>
    <mergeCell ref="K35:L35"/>
    <mergeCell ref="D44:E44"/>
    <mergeCell ref="D37:F37"/>
    <mergeCell ref="D39:F39"/>
    <mergeCell ref="D48:E48"/>
    <mergeCell ref="G34:H34"/>
    <mergeCell ref="H9:K9"/>
    <mergeCell ref="A7:D7"/>
    <mergeCell ref="A58:F58"/>
    <mergeCell ref="A34:C34"/>
    <mergeCell ref="I44:J44"/>
    <mergeCell ref="D19:L19"/>
    <mergeCell ref="B51:L51"/>
    <mergeCell ref="K37:L37"/>
    <mergeCell ref="A41:F41"/>
    <mergeCell ref="F10:G10"/>
    <mergeCell ref="I46:J46"/>
    <mergeCell ref="A21:L30"/>
    <mergeCell ref="A55:C55"/>
    <mergeCell ref="A3:L3"/>
    <mergeCell ref="I13:L13"/>
    <mergeCell ref="G58:L58"/>
    <mergeCell ref="G38:H38"/>
    <mergeCell ref="E12:H12"/>
    <mergeCell ref="A5:L5"/>
    <mergeCell ref="I41:J41"/>
    <mergeCell ref="A32:L32"/>
    <mergeCell ref="I6:L6"/>
    <mergeCell ref="K41:L41"/>
    <mergeCell ref="G55:I55"/>
    <mergeCell ref="A62:F62"/>
    <mergeCell ref="A38:C38"/>
    <mergeCell ref="H10:K10"/>
    <mergeCell ref="D55:F55"/>
    <mergeCell ref="B53:L53"/>
    <mergeCell ref="D47:E47"/>
    <mergeCell ref="A44:C44"/>
    <mergeCell ref="A43:L43"/>
    <mergeCell ref="G33:H33"/>
    <mergeCell ref="I33:J33"/>
    <mergeCell ref="A40:C40"/>
    <mergeCell ref="A31:L31"/>
    <mergeCell ref="I7:L7"/>
    <mergeCell ref="G56:I56"/>
    <mergeCell ref="F9:G9"/>
    <mergeCell ref="A59:F59"/>
    <mergeCell ref="G35:H35"/>
    <mergeCell ref="I35:J35"/>
    <mergeCell ref="A60:L60"/>
    <mergeCell ref="D40:F40"/>
    <mergeCell ref="A61:F61"/>
    <mergeCell ref="A16:C16"/>
    <mergeCell ref="B54:L54"/>
    <mergeCell ref="G62:L62"/>
    <mergeCell ref="A18:C18"/>
    <mergeCell ref="I45:J45"/>
    <mergeCell ref="D17:L17"/>
    <mergeCell ref="J55:L55"/>
    <mergeCell ref="K45:L45"/>
    <mergeCell ref="A50:L50"/>
    <mergeCell ref="G39:H39"/>
    <mergeCell ref="A42:L42"/>
    <mergeCell ref="A47:C47"/>
    <mergeCell ref="I47:J47"/>
    <mergeCell ref="B52:L52"/>
    <mergeCell ref="K47:L47"/>
    <mergeCell ref="A63:L68"/>
    <mergeCell ref="K44:L44"/>
    <mergeCell ref="G37:H37"/>
    <mergeCell ref="I37:J37"/>
    <mergeCell ref="K46:L46"/>
    <mergeCell ref="J56:L56"/>
    <mergeCell ref="K40:L40"/>
    <mergeCell ref="D33:F33"/>
    <mergeCell ref="A20:L20"/>
    <mergeCell ref="D35:F35"/>
    <mergeCell ref="F44:H44"/>
    <mergeCell ref="D34:F34"/>
    <mergeCell ref="G59:L59"/>
    <mergeCell ref="E13:H13"/>
    <mergeCell ref="A15:L15"/>
    <mergeCell ref="A12:D12"/>
    <mergeCell ref="A1:F1"/>
    <mergeCell ref="E6:H6"/>
    <mergeCell ref="G41:H41"/>
    <mergeCell ref="D36:F36"/>
    <mergeCell ref="G61:L61"/>
    <mergeCell ref="A70:L70"/>
    <mergeCell ref="I34:J34"/>
    <mergeCell ref="B9:E9"/>
    <mergeCell ref="K34:L34"/>
    <mergeCell ref="I49:J49"/>
    <mergeCell ref="A56:C56"/>
    <mergeCell ref="G36:H36"/>
    <mergeCell ref="E7:H7"/>
    <mergeCell ref="D46:E46"/>
    <mergeCell ref="I36:J36"/>
    <mergeCell ref="K36:L36"/>
    <mergeCell ref="D16:L16"/>
    <mergeCell ref="A33:C33"/>
    <mergeCell ref="F46:H46"/>
    <mergeCell ref="A17:C17"/>
    <mergeCell ref="A8:L8"/>
    <mergeCell ref="D18:L18"/>
    <mergeCell ref="D56:F56"/>
    <mergeCell ref="A35:C35"/>
    <mergeCell ref="F48:H48"/>
    <mergeCell ref="G1:L1"/>
    <mergeCell ref="D38:F38"/>
    <mergeCell ref="A19:C19"/>
    <mergeCell ref="A6:D6"/>
    <mergeCell ref="A14:H14"/>
    <mergeCell ref="A39:C39"/>
    <mergeCell ref="I39:J39"/>
    <mergeCell ref="K39:L39"/>
    <mergeCell ref="A48:C48"/>
    <mergeCell ref="I48:J48"/>
    <mergeCell ref="K48:L48"/>
    <mergeCell ref="A36:C36"/>
    <mergeCell ref="I38:J38"/>
    <mergeCell ref="A45:C45"/>
    <mergeCell ref="A11:L11"/>
    <mergeCell ref="K38:L38"/>
    <mergeCell ref="I12:L12"/>
    <mergeCell ref="G40:H40"/>
    <mergeCell ref="B10:E10"/>
    <mergeCell ref="I40:J40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31" min="0" max="16383" man="1"/>
    <brk id="56" min="0" max="16383" man="1"/>
  </rowBreaks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6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68" t="inlineStr">
        <is>
          <t xml:space="preserve">작성 예시 (가상의 현장)  </t>
        </is>
      </c>
    </row>
    <row r="2" ht="4" customHeight="1"/>
    <row r="3" ht="30" customHeight="1">
      <c r="A3" s="11" t="inlineStr">
        <is>
          <t>5.  품질관리계획</t>
        </is>
      </c>
    </row>
    <row r="4" ht="4" customHeight="1"/>
    <row r="5" ht="21" customHeight="1">
      <c r="A5" s="24" t="inlineStr">
        <is>
          <t>1) 재료시험 · 2) 출고 전 제품시험</t>
        </is>
      </c>
    </row>
    <row r="6" ht="24" customHeight="1">
      <c r="A6" s="21" t="inlineStr">
        <is>
          <t>구   분</t>
        </is>
      </c>
      <c r="B6" s="13" t="n"/>
      <c r="C6" s="13" t="n"/>
      <c r="D6" s="21" t="inlineStr">
        <is>
          <t>항        목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</row>
    <row r="7" ht="34.5" customHeight="1">
      <c r="A7" s="22" t="inlineStr">
        <is>
          <t>재료시험</t>
        </is>
      </c>
      <c r="B7" s="13" t="n"/>
      <c r="C7" s="13" t="n"/>
      <c r="D7" s="23" t="inlineStr">
        <is>
          <t>① 품질연구실(회사 안 자체 설치) ② 만능재료시험기 ③ 강판 강도 시험 ④ 철선 강도 시험 ⑤ 용접 강도 시험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34.5" customHeight="1">
      <c r="A8" s="22" t="inlineStr">
        <is>
          <t>출고 전 제품시험</t>
        </is>
      </c>
      <c r="B8" s="13" t="n"/>
      <c r="C8" s="13" t="n"/>
      <c r="D8" s="23" t="inlineStr">
        <is>
          <t>① 강판 두께 측정 ② 제품 높이 및 길이 측정 ③ 라벨과 제품 확인 ④ 제품 포장 상태 확인 — 현장 출고 때마다 품질검사 뒤 출하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</row>
    <row r="9" ht="18" customHeight="1">
      <c r="A9" s="30" t="inlineStr">
        <is>
          <t>(시험 · 검사 사진을 붙이는 곳)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 ht="18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18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18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1" customHeight="1">
      <c r="A15" s="24" t="inlineStr">
        <is>
          <t>3) 품질관리 — 사용 재료</t>
        </is>
      </c>
    </row>
    <row r="16" ht="19.725" customHeight="1">
      <c r="A16" s="59" t="inlineStr">
        <is>
          <t>가.</t>
        </is>
      </c>
      <c r="B16" s="60" t="inlineStr">
        <is>
          <t>데크 : KS D 3506 용융 아연 도금 강판 0.5t (SGC 340 · 440 · 570)</t>
        </is>
      </c>
    </row>
    <row r="17" ht="19.725" customHeight="1">
      <c r="A17" s="59" t="inlineStr">
        <is>
          <t>나.</t>
        </is>
      </c>
      <c r="B17" s="60" t="inlineStr">
        <is>
          <t>철선 : KS D 3552 Φ5 ~ Φ17 (래티스근 외 상 · 하현재)</t>
        </is>
      </c>
    </row>
    <row r="18" ht="19.725" customHeight="1">
      <c r="A18" s="59" t="inlineStr">
        <is>
          <t>다.</t>
        </is>
      </c>
      <c r="B18" s="60" t="inlineStr">
        <is>
          <t>스터드 볼트 : 항복점 235 이상, 인장강도 400 이상</t>
        </is>
      </c>
    </row>
    <row r="19" ht="19.725" customHeight="1">
      <c r="A19" s="59" t="inlineStr">
        <is>
          <t>라.</t>
        </is>
      </c>
      <c r="B19" s="60" t="inlineStr">
        <is>
          <t>콘크리트 스토퍼 : KS D 3501 열간 압연 강판 2.3t 이상(한 면 방청)</t>
        </is>
      </c>
    </row>
    <row r="20" ht="19.725" customHeight="1">
      <c r="A20" s="59" t="inlineStr">
        <is>
          <t>마.</t>
        </is>
      </c>
      <c r="B20" s="60" t="inlineStr">
        <is>
          <t>보강 앵글 : 열간 압연 형강(양면 방청)</t>
        </is>
      </c>
    </row>
    <row r="21" ht="36" customHeight="1">
      <c r="A21" s="24" t="inlineStr">
        <is>
          <t>가공(데크) — 냉간 롤 성형으로 가공하며, 성형이 안 되는 부분(사선)은 현장에서 플라스마로 절단하여 시공한다.</t>
        </is>
      </c>
    </row>
    <row r="22" ht="36" customHeight="1">
      <c r="A22" s="24" t="inlineStr">
        <is>
          <t>제품 검사(데크) — 치수 검사는 발췌 검사로 생산 공장에서 하는 것을 원칙으로 한다(검사는 감리단이 정한 방법으로 함).</t>
        </is>
      </c>
    </row>
    <row r="23" ht="24" customHeight="1">
      <c r="A23" s="21" t="inlineStr">
        <is>
          <t>제 작 수</t>
        </is>
      </c>
      <c r="B23" s="13" t="n"/>
      <c r="C23" s="13" t="n"/>
      <c r="D23" s="21" t="inlineStr">
        <is>
          <t>발 췌 수</t>
        </is>
      </c>
      <c r="E23" s="13" t="n"/>
      <c r="F23" s="13" t="n"/>
      <c r="G23" s="9" t="inlineStr"/>
      <c r="H23" s="12" t="inlineStr">
        <is>
          <t>이번 제작 매수</t>
        </is>
      </c>
      <c r="I23" s="13" t="n"/>
      <c r="J23" s="62" t="n">
        <v>1480</v>
      </c>
      <c r="K23" s="13" t="n"/>
      <c r="L23" s="13" t="n"/>
    </row>
    <row r="24" ht="24" customHeight="1">
      <c r="A24" s="17" t="inlineStr">
        <is>
          <t>1,000매 미만</t>
        </is>
      </c>
      <c r="B24" s="13" t="n"/>
      <c r="C24" s="13" t="n"/>
      <c r="D24" s="17" t="inlineStr">
        <is>
          <t>5 매</t>
        </is>
      </c>
      <c r="E24" s="13" t="n"/>
      <c r="F24" s="13" t="n"/>
      <c r="G24" s="9" t="inlineStr"/>
      <c r="H24" s="32" t="inlineStr">
        <is>
          <t>발췌 검사 매수</t>
        </is>
      </c>
      <c r="I24" s="13" t="n"/>
      <c r="J24" s="63">
        <f>IF(N(J23)=0,"",IF(J23&lt;1000,5,IF(J23&lt;=2000,10,15)))</f>
        <v/>
      </c>
      <c r="K24" s="13" t="n"/>
      <c r="L24" s="13" t="n"/>
    </row>
    <row r="25" ht="24" customHeight="1">
      <c r="A25" s="17" t="inlineStr">
        <is>
          <t>1,000 ~ 2,000매</t>
        </is>
      </c>
      <c r="B25" s="13" t="n"/>
      <c r="C25" s="13" t="n"/>
      <c r="D25" s="17" t="inlineStr">
        <is>
          <t>10 매</t>
        </is>
      </c>
      <c r="E25" s="13" t="n"/>
      <c r="F25" s="13" t="n"/>
      <c r="G25" s="9" t="inlineStr"/>
    </row>
    <row r="26" ht="24" customHeight="1">
      <c r="A26" s="17" t="inlineStr">
        <is>
          <t>2,000매 초과</t>
        </is>
      </c>
      <c r="B26" s="13" t="n"/>
      <c r="C26" s="13" t="n"/>
      <c r="D26" s="17" t="inlineStr">
        <is>
          <t>15 매</t>
        </is>
      </c>
      <c r="E26" s="13" t="n"/>
      <c r="F26" s="13" t="n"/>
      <c r="G26" s="9" t="inlineStr"/>
    </row>
    <row r="27" ht="6" customHeight="1"/>
    <row r="28" ht="24" customHeight="1">
      <c r="A28" s="21" t="inlineStr">
        <is>
          <t>검사 항목</t>
        </is>
      </c>
      <c r="B28" s="13" t="n"/>
      <c r="C28" s="13" t="n"/>
      <c r="D28" s="21" t="inlineStr">
        <is>
          <t>허용오차</t>
        </is>
      </c>
      <c r="E28" s="13" t="n"/>
      <c r="F28" s="38" t="inlineStr">
        <is>
          <t>측정 최대 편차 (mm)</t>
        </is>
      </c>
      <c r="G28" s="13" t="n"/>
      <c r="H28" s="21" t="inlineStr">
        <is>
          <t>판    정</t>
        </is>
      </c>
      <c r="I28" s="13" t="n"/>
      <c r="J28" s="13" t="n"/>
      <c r="K28" s="13" t="n"/>
      <c r="L28" s="13" t="n"/>
    </row>
    <row r="29" ht="24" customHeight="1">
      <c r="A29" s="17" t="inlineStr">
        <is>
          <t>길이(LENGTH)</t>
        </is>
      </c>
      <c r="B29" s="13" t="n"/>
      <c r="C29" s="13" t="n"/>
      <c r="D29" s="64" t="n">
        <v>5</v>
      </c>
      <c r="E29" s="13" t="n"/>
      <c r="F29" s="65" t="n">
        <v>3</v>
      </c>
      <c r="G29" s="13" t="n"/>
      <c r="H29" s="66">
        <f>IF(F29="","",IF(ABS(F29)&lt;=D29,"합격","⚠ 불합격 — 허용오차 초과"))</f>
        <v/>
      </c>
      <c r="I29" s="13" t="n"/>
      <c r="J29" s="13" t="n"/>
      <c r="K29" s="13" t="n"/>
      <c r="L29" s="13" t="n"/>
    </row>
    <row r="30" ht="24" customHeight="1">
      <c r="A30" s="17" t="inlineStr">
        <is>
          <t>횡굽음(CAMBER)</t>
        </is>
      </c>
      <c r="B30" s="13" t="n"/>
      <c r="C30" s="13" t="n"/>
      <c r="D30" s="64" t="n">
        <v>5</v>
      </c>
      <c r="E30" s="13" t="n"/>
      <c r="F30" s="65" t="n">
        <v>2</v>
      </c>
      <c r="G30" s="13" t="n"/>
      <c r="H30" s="66">
        <f>IF(F30="","",IF(ABS(F30)&lt;=D30,"합격","⚠ 불합격 — 허용오차 초과"))</f>
        <v/>
      </c>
      <c r="I30" s="13" t="n"/>
      <c r="J30" s="13" t="n"/>
      <c r="K30" s="13" t="n"/>
      <c r="L30" s="13" t="n"/>
    </row>
    <row r="31" ht="24" customHeight="1">
      <c r="A31" s="17" t="inlineStr">
        <is>
          <t>비틀림(TWIST)</t>
        </is>
      </c>
      <c r="B31" s="13" t="n"/>
      <c r="C31" s="13" t="n"/>
      <c r="D31" s="64" t="n">
        <v>5</v>
      </c>
      <c r="E31" s="13" t="n"/>
      <c r="F31" s="65" t="n">
        <v>6</v>
      </c>
      <c r="G31" s="13" t="n"/>
      <c r="H31" s="66">
        <f>IF(F31="","",IF(ABS(F31)&lt;=D31,"합격","⚠ 불합격 — 허용오차 초과"))</f>
        <v/>
      </c>
      <c r="I31" s="13" t="n"/>
      <c r="J31" s="13" t="n"/>
      <c r="K31" s="13" t="n"/>
      <c r="L31" s="13" t="n"/>
    </row>
    <row r="32" ht="21" customHeight="1">
      <c r="A32" s="24" t="inlineStr">
        <is>
          <t>현장 반입 및 적재</t>
        </is>
      </c>
    </row>
    <row r="33" ht="19.725" customHeight="1">
      <c r="A33" s="59" t="inlineStr">
        <is>
          <t>가.</t>
        </is>
      </c>
      <c r="B33" s="60" t="inlineStr">
        <is>
          <t>데크는 현장 여건과 층별 · 구간별로 나누어 반입한다.</t>
        </is>
      </c>
    </row>
    <row r="34" ht="34.45" customHeight="1">
      <c r="A34" s="59" t="inlineStr">
        <is>
          <t>나.</t>
        </is>
      </c>
      <c r="B34" s="60" t="inlineStr">
        <is>
          <t>반입된 데크는 제품 성능 · 외관 품질이 기준에 맞는지, 운송 중 파손 · 변형이 없는지 검사한다.</t>
        </is>
      </c>
    </row>
    <row r="35" ht="19.725" customHeight="1">
      <c r="A35" s="59" t="inlineStr">
        <is>
          <t>다.</t>
        </is>
      </c>
      <c r="B35" s="60" t="inlineStr">
        <is>
          <t>검사가 끝난 제품은 크레인 또는 지게차로 야적장에 옮기며 3단을 넘겨 쌓지 않는다.</t>
        </is>
      </c>
    </row>
    <row r="36" ht="19.725" customHeight="1">
      <c r="A36" s="59" t="inlineStr">
        <is>
          <t>라.</t>
        </is>
      </c>
      <c r="B36" s="60" t="inlineStr">
        <is>
          <t>야적장은 충분히 확보하고 가능한 크레인 작업 범위 안에 둔다.</t>
        </is>
      </c>
    </row>
    <row r="37" ht="19.725" customHeight="1">
      <c r="A37" s="59" t="inlineStr">
        <is>
          <t>마.</t>
        </is>
      </c>
      <c r="B37" s="60" t="inlineStr">
        <is>
          <t>그 밖의 부속자재도 이에 준하여 지정한 곳에 쌓은 뒤 쓴다.</t>
        </is>
      </c>
    </row>
    <row r="38" ht="4" customHeight="1"/>
    <row r="39" ht="30" customHeight="1">
      <c r="A39" s="11" t="inlineStr">
        <is>
          <t>6.  안전관리계획</t>
        </is>
      </c>
    </row>
    <row r="40" ht="4" customHeight="1"/>
    <row r="41" ht="21" customHeight="1">
      <c r="A41" s="24" t="inlineStr">
        <is>
          <t>1) 안전작업 절차</t>
        </is>
      </c>
    </row>
    <row r="42" ht="24" customHeight="1">
      <c r="A42" s="21" t="inlineStr">
        <is>
          <t>단   계</t>
        </is>
      </c>
      <c r="B42" s="13" t="n"/>
      <c r="C42" s="13" t="n"/>
      <c r="D42" s="21" t="inlineStr">
        <is>
          <t>내        용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34.5" customHeight="1">
      <c r="A43" s="22" t="inlineStr">
        <is>
          <t>① 위험성평가표 작성</t>
        </is>
      </c>
      <c r="B43" s="13" t="n"/>
      <c r="C43" s="13" t="n"/>
      <c r="D43" s="23" t="inlineStr">
        <is>
          <t>위험성평가표 작성 · 매월 2회 작성(2주간 공정표 · 위험성평가표) · 고위험 작업 개선안 제안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26" customHeight="1">
      <c r="A44" s="22" t="inlineStr">
        <is>
          <t>② 사업주 간 협의체 회의</t>
        </is>
      </c>
      <c r="B44" s="13" t="n"/>
      <c r="C44" s="13" t="n"/>
      <c r="D44" s="23" t="inlineStr">
        <is>
          <t>고위험 작업의 위험요인 및 개선안 협의 · 위험 작업 개선안 교육</t>
        </is>
      </c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26" customHeight="1">
      <c r="A45" s="22" t="inlineStr">
        <is>
          <t>③ 안전교육</t>
        </is>
      </c>
      <c r="B45" s="13" t="n"/>
      <c r="C45" s="13" t="n"/>
      <c r="D45" s="23" t="inlineStr">
        <is>
          <t>위험성평가 및 사업주 간 협의체 결과 교육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26" customHeight="1">
      <c r="A46" s="22" t="inlineStr">
        <is>
          <t>④ 안전점검</t>
        </is>
      </c>
      <c r="B46" s="13" t="n"/>
      <c r="C46" s="13" t="n"/>
      <c r="D46" s="23" t="inlineStr">
        <is>
          <t>개선안 이행 확인 · 고위험 작업 개선안 이행 여부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21" customHeight="1">
      <c r="A47" s="24" t="inlineStr">
        <is>
          <t>2) 공정별 위험요인 및 대책</t>
        </is>
      </c>
    </row>
    <row r="48" ht="24" customHeight="1">
      <c r="A48" s="21" t="inlineStr">
        <is>
          <t>작 업 순 서</t>
        </is>
      </c>
      <c r="B48" s="13" t="n"/>
      <c r="C48" s="13" t="n"/>
      <c r="D48" s="21" t="inlineStr">
        <is>
          <t>위 험 요 인</t>
        </is>
      </c>
      <c r="E48" s="13" t="n"/>
      <c r="F48" s="13" t="n"/>
      <c r="G48" s="21" t="inlineStr">
        <is>
          <t>안 전 관 리 대 책</t>
        </is>
      </c>
      <c r="H48" s="13" t="n"/>
      <c r="I48" s="13" t="n"/>
      <c r="J48" s="13" t="n"/>
      <c r="K48" s="13" t="n"/>
      <c r="L48" s="21" t="inlineStr">
        <is>
          <t>위험도</t>
        </is>
      </c>
    </row>
    <row r="49" ht="33" customHeight="1">
      <c r="A49" s="67" t="inlineStr">
        <is>
          <t>1. 자재 이동</t>
        </is>
      </c>
      <c r="B49" s="13" t="n"/>
      <c r="C49" s="13" t="n"/>
      <c r="D49" s="67" t="inlineStr">
        <is>
          <t>자재 이동 때 다른 공정 작업자 · 차량과 추돌</t>
        </is>
      </c>
      <c r="E49" s="13" t="n"/>
      <c r="F49" s="13" t="n"/>
      <c r="G49" s="67" t="inlineStr">
        <is>
          <t>자재 이동 때 신호수 배치 · 다른 공정 작업자 및 차량 통제</t>
        </is>
      </c>
      <c r="H49" s="13" t="n"/>
      <c r="I49" s="13" t="n"/>
      <c r="J49" s="13" t="n"/>
      <c r="K49" s="13" t="n"/>
      <c r="L49" s="50" t="n"/>
    </row>
    <row r="50" ht="33" customHeight="1">
      <c r="A50" s="67" t="inlineStr">
        <is>
          <t>2. 양중</t>
        </is>
      </c>
      <c r="B50" s="13" t="n"/>
      <c r="C50" s="13" t="n"/>
      <c r="D50" s="67" t="inlineStr">
        <is>
          <t>불량 와이어 · 샤클 사용으로 자재 추락</t>
        </is>
      </c>
      <c r="E50" s="13" t="n"/>
      <c r="F50" s="13" t="n"/>
      <c r="G50" s="67" t="inlineStr">
        <is>
          <t>양중 전 와이어 · 샤클을 육안으로 확인</t>
        </is>
      </c>
      <c r="H50" s="13" t="n"/>
      <c r="I50" s="13" t="n"/>
      <c r="J50" s="13" t="n"/>
      <c r="K50" s="13" t="n"/>
      <c r="L50" s="50" t="n"/>
    </row>
    <row r="51" ht="32" customHeight="1">
      <c r="A51" s="67" t="inlineStr">
        <is>
          <t>3. 자재 인양</t>
        </is>
      </c>
      <c r="B51" s="13" t="n"/>
      <c r="C51" s="13" t="n"/>
      <c r="D51" s="67" t="inlineStr">
        <is>
          <t>인양 중 자재 추락</t>
        </is>
      </c>
      <c r="E51" s="13" t="n"/>
      <c r="F51" s="13" t="n"/>
      <c r="G51" s="67" t="inlineStr">
        <is>
          <t>하부 다른 공정 작업자 통제</t>
        </is>
      </c>
      <c r="H51" s="13" t="n"/>
      <c r="I51" s="13" t="n"/>
      <c r="J51" s="13" t="n"/>
      <c r="K51" s="13" t="n"/>
      <c r="L51" s="50" t="n"/>
    </row>
    <row r="52" ht="33" customHeight="1">
      <c r="A52" s="67" t="inlineStr">
        <is>
          <t>4. 자재 인양(상부)</t>
        </is>
      </c>
      <c r="B52" s="13" t="n"/>
      <c r="C52" s="13" t="n"/>
      <c r="D52" s="67" t="inlineStr">
        <is>
          <t>자재를 무리하게 받을 때 작업자 추락</t>
        </is>
      </c>
      <c r="E52" s="13" t="n"/>
      <c r="F52" s="13" t="n"/>
      <c r="G52" s="67" t="inlineStr">
        <is>
          <t>10m 이상 유도 로프로 자재를 받음 · 상부 신호수 안전대 착용</t>
        </is>
      </c>
      <c r="H52" s="13" t="n"/>
      <c r="I52" s="13" t="n"/>
      <c r="J52" s="13" t="n"/>
      <c r="K52" s="13" t="n"/>
      <c r="L52" s="50" t="n"/>
    </row>
    <row r="53" ht="33" customHeight="1">
      <c r="A53" s="67" t="inlineStr">
        <is>
          <t>5. 데크 판개</t>
        </is>
      </c>
      <c r="B53" s="13" t="n"/>
      <c r="C53" s="13" t="n"/>
      <c r="D53" s="67" t="inlineStr">
        <is>
          <t>안전대 미착용으로 인한 추락</t>
        </is>
      </c>
      <c r="E53" s="13" t="n"/>
      <c r="F53" s="13" t="n"/>
      <c r="G53" s="67" t="inlineStr">
        <is>
          <t>작업 전 TBM 으로 안전장구 확인 · 판개 뒤 바로 고정</t>
        </is>
      </c>
      <c r="H53" s="13" t="n"/>
      <c r="I53" s="13" t="n"/>
      <c r="J53" s="13" t="n"/>
      <c r="K53" s="13" t="n"/>
      <c r="L53" s="50" t="n"/>
    </row>
    <row r="54" ht="33" customHeight="1">
      <c r="A54" s="67" t="inlineStr">
        <is>
          <t>6. 판개 때 개구부 발생</t>
        </is>
      </c>
      <c r="B54" s="13" t="n"/>
      <c r="C54" s="13" t="n"/>
      <c r="D54" s="67" t="inlineStr">
        <is>
          <t>데크 개구부로 인한 추락</t>
        </is>
      </c>
      <c r="E54" s="13" t="n"/>
      <c r="F54" s="13" t="n"/>
      <c r="G54" s="67" t="inlineStr">
        <is>
          <t>개구부가 생기지 않게 판개하고, 생기면 안전조치 뒤 작업</t>
        </is>
      </c>
      <c r="H54" s="13" t="n"/>
      <c r="I54" s="13" t="n"/>
      <c r="J54" s="13" t="n"/>
      <c r="K54" s="13" t="n"/>
      <c r="L54" s="50" t="n"/>
    </row>
    <row r="55" ht="18" customHeight="1">
      <c r="A55" s="30" t="inlineStr">
        <is>
          <t>(안전관리 사진을 붙이는 곳)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18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18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18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2" ht="19.5" customHeight="1">
      <c r="A62" s="7" t="inlineStr">
        <is>
          <t>이 시트는 작성 예시입니다(가상의 측정값).</t>
        </is>
      </c>
    </row>
  </sheetData>
  <mergeCells count="91">
    <mergeCell ref="F29:G29"/>
    <mergeCell ref="A46:C46"/>
    <mergeCell ref="D52:F52"/>
    <mergeCell ref="D53:F53"/>
    <mergeCell ref="D31:E31"/>
    <mergeCell ref="A21:L21"/>
    <mergeCell ref="A26:C26"/>
    <mergeCell ref="G48:K48"/>
    <mergeCell ref="D7:L7"/>
    <mergeCell ref="A23:C23"/>
    <mergeCell ref="A43:C43"/>
    <mergeCell ref="A52:C52"/>
    <mergeCell ref="D23:F23"/>
    <mergeCell ref="D42:L42"/>
    <mergeCell ref="A49:C49"/>
    <mergeCell ref="B33:L33"/>
    <mergeCell ref="A6:C6"/>
    <mergeCell ref="G50:K50"/>
    <mergeCell ref="H23:I23"/>
    <mergeCell ref="B35:L35"/>
    <mergeCell ref="J24:L24"/>
    <mergeCell ref="G52:K52"/>
    <mergeCell ref="H29:L29"/>
    <mergeCell ref="B16:L16"/>
    <mergeCell ref="A3:L3"/>
    <mergeCell ref="H31:L31"/>
    <mergeCell ref="B18:L18"/>
    <mergeCell ref="F30:G30"/>
    <mergeCell ref="A5:L5"/>
    <mergeCell ref="A32:L32"/>
    <mergeCell ref="A9:L14"/>
    <mergeCell ref="A29:C29"/>
    <mergeCell ref="D25:F25"/>
    <mergeCell ref="A44:C44"/>
    <mergeCell ref="A31:C31"/>
    <mergeCell ref="D54:F54"/>
    <mergeCell ref="F31:G31"/>
    <mergeCell ref="B37:L37"/>
    <mergeCell ref="F28:G28"/>
    <mergeCell ref="A24:C24"/>
    <mergeCell ref="A51:C51"/>
    <mergeCell ref="G51:K51"/>
    <mergeCell ref="D29:E29"/>
    <mergeCell ref="G54:K54"/>
    <mergeCell ref="A7:C7"/>
    <mergeCell ref="A25:C25"/>
    <mergeCell ref="H30:L30"/>
    <mergeCell ref="A50:C50"/>
    <mergeCell ref="A42:C42"/>
    <mergeCell ref="A47:L47"/>
    <mergeCell ref="A22:L22"/>
    <mergeCell ref="G53:K53"/>
    <mergeCell ref="B17:L17"/>
    <mergeCell ref="D51:F51"/>
    <mergeCell ref="A28:C28"/>
    <mergeCell ref="G25:L25"/>
    <mergeCell ref="B19:L19"/>
    <mergeCell ref="D50:F50"/>
    <mergeCell ref="D28:E28"/>
    <mergeCell ref="B34:L34"/>
    <mergeCell ref="A30:C30"/>
    <mergeCell ref="A15:L15"/>
    <mergeCell ref="D30:E30"/>
    <mergeCell ref="A1:F1"/>
    <mergeCell ref="D46:L46"/>
    <mergeCell ref="B20:L20"/>
    <mergeCell ref="A55:L60"/>
    <mergeCell ref="A54:C54"/>
    <mergeCell ref="A41:L41"/>
    <mergeCell ref="D48:F48"/>
    <mergeCell ref="D43:L43"/>
    <mergeCell ref="A8:C8"/>
    <mergeCell ref="A53:C53"/>
    <mergeCell ref="G26:L26"/>
    <mergeCell ref="D8:L8"/>
    <mergeCell ref="G49:K49"/>
    <mergeCell ref="D24:F24"/>
    <mergeCell ref="A62:L62"/>
    <mergeCell ref="G1:L1"/>
    <mergeCell ref="J23:L23"/>
    <mergeCell ref="D26:F26"/>
    <mergeCell ref="H28:L28"/>
    <mergeCell ref="D44:L44"/>
    <mergeCell ref="A48:C48"/>
    <mergeCell ref="A39:L39"/>
    <mergeCell ref="A45:C45"/>
    <mergeCell ref="H24:I24"/>
    <mergeCell ref="D45:L45"/>
    <mergeCell ref="B36:L36"/>
    <mergeCell ref="D6:L6"/>
    <mergeCell ref="D49:F4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31" min="0" max="16383" man="1"/>
    <brk id="3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데크플레이트 시공계획서</dc:title>
  <dcterms:created xmlns:dcterms="http://purl.org/dc/terms/" xmlns:xsi="http://www.w3.org/2001/XMLSchema-instance" xsi:type="dcterms:W3CDTF">2026-10-17T01:09:45Z</dcterms:created>
  <dcterms:modified xmlns:dcterms="http://purl.org/dc/terms/" xmlns:xsi="http://www.w3.org/2001/XMLSchema-instance" xsi:type="dcterms:W3CDTF">2026-10-17T01:09:46Z</dcterms:modified>
</cp:coreProperties>
</file>