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요" sheetId="2" state="visible" r:id="rId2"/>
    <sheet xmlns:r="http://schemas.openxmlformats.org/officeDocument/2006/relationships" name="시공관리" sheetId="3" state="visible" r:id="rId3"/>
    <sheet xmlns:r="http://schemas.openxmlformats.org/officeDocument/2006/relationships" name="공정표" sheetId="4" state="visible" r:id="rId4"/>
    <sheet xmlns:r="http://schemas.openxmlformats.org/officeDocument/2006/relationships" name="관리계획" sheetId="5" state="visible" r:id="rId5"/>
    <sheet xmlns:r="http://schemas.openxmlformats.org/officeDocument/2006/relationships" name="예시-표지" sheetId="6" state="visible" r:id="rId6"/>
    <sheet xmlns:r="http://schemas.openxmlformats.org/officeDocument/2006/relationships" name="예시-개요" sheetId="7" state="visible" r:id="rId7"/>
    <sheet xmlns:r="http://schemas.openxmlformats.org/officeDocument/2006/relationships" name="예시-시공관리" sheetId="8" state="visible" r:id="rId8"/>
    <sheet xmlns:r="http://schemas.openxmlformats.org/officeDocument/2006/relationships" name="예시-공정표" sheetId="9" state="visible" r:id="rId9"/>
    <sheet xmlns:r="http://schemas.openxmlformats.org/officeDocument/2006/relationships" name="예시-관리계획" sheetId="10" state="visible" r:id="rId10"/>
  </sheets>
  <definedNames>
    <definedName name="_xlnm.Print_Area" localSheetId="0">'표지'!$A$1:$L$10</definedName>
    <definedName name="_xlnm.Print_Area" localSheetId="1">'개요'!$A$1:$L$77</definedName>
    <definedName name="_xlnm.Print_Area" localSheetId="2">'시공관리'!$A$1:$L$152</definedName>
    <definedName name="_xlnm.Print_Area" localSheetId="3">'공정표'!$A$1:$AO$22</definedName>
    <definedName name="_xlnm.Print_Area" localSheetId="4">'관리계획'!$A$1:$L$79</definedName>
    <definedName name="_xlnm.Print_Area" localSheetId="5">'예시-표지'!$A$1:$L$10</definedName>
    <definedName name="_xlnm.Print_Area" localSheetId="6">'예시-개요'!$A$1:$L$77</definedName>
    <definedName name="_xlnm.Print_Area" localSheetId="7">'예시-시공관리'!$A$1:$L$152</definedName>
    <definedName name="_xlnm.Print_Area" localSheetId="8">'예시-공정표'!$A$1:$AO$22</definedName>
    <definedName name="_xlnm.Print_Area" localSheetId="9">'예시-관리계획'!$A$1:$L$79</definedName>
  </definedNames>
  <calcPr calcId="124519" fullCalcOnLoad="1"/>
</workbook>
</file>

<file path=xl/styles.xml><?xml version="1.0" encoding="utf-8"?>
<styleSheet xmlns="http://schemas.openxmlformats.org/spreadsheetml/2006/main">
  <numFmts count="13">
    <numFmt numFmtId="164" formatCode="yyyy&quot;. &quot;m&quot;.&quot;"/>
    <numFmt numFmtId="165" formatCode="yyyy. m. d."/>
    <numFmt numFmtId="166" formatCode="&quot;(총 &quot;#,##0&quot;일)&quot;;;&quot;&quot;"/>
    <numFmt numFmtId="167" formatCode="&quot;₩&quot;#,##0;;&quot;&quot;"/>
    <numFmt numFmtId="168" formatCode="[DBNum4][$-412]&quot;일금 &quot;General&quot;원정&quot;;;&quot;&quot;"/>
    <numFmt numFmtId="169" formatCode="#,##0.##;;&quot;&quot;"/>
    <numFmt numFmtId="170" formatCode="#,##0.##"/>
    <numFmt numFmtId="171" formatCode="#,##0&quot;인&quot;;;&quot;&quot;"/>
    <numFmt numFmtId="172" formatCode="#,##0&quot;인&quot;"/>
    <numFmt numFmtId="173" formatCode="#,##0;;&quot;&quot;"/>
    <numFmt numFmtId="174" formatCode="yyyy&quot;년&quot; m&quot;월&quot; d&quot;일&quot;"/>
    <numFmt numFmtId="175" formatCode="yy&quot;.&quot;m;;&quot;&quot;"/>
    <numFmt numFmtId="176" formatCode="yyyy-mm-dd"/>
  </numFmts>
  <fonts count="3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000000"/>
      <sz val="16"/>
    </font>
    <font>
      <name val="맑은 고딕"/>
      <b val="1"/>
      <color rgb="00111827"/>
      <sz val="30"/>
    </font>
    <font>
      <name val="맑은 고딕"/>
      <b val="1"/>
      <color rgb="00374151"/>
      <sz val="18"/>
    </font>
    <font>
      <name val="맑은 고딕"/>
      <color rgb="00000000"/>
      <sz val="15"/>
    </font>
    <font>
      <name val="맑은 고딕"/>
      <b val="1"/>
      <color rgb="00000000"/>
      <sz val="18"/>
    </font>
    <font>
      <name val="맑은 고딕"/>
      <b val="1"/>
      <color rgb="00111827"/>
      <sz val="22"/>
    </font>
    <font>
      <name val="맑은 고딕"/>
      <color rgb="001F2937"/>
      <sz val="10"/>
    </font>
    <font>
      <name val="맑은 고딕"/>
      <b val="1"/>
      <color rgb="001F2937"/>
      <sz val="12.5"/>
    </font>
    <font>
      <name val="맑은 고딕"/>
      <b val="1"/>
      <color rgb="00111827"/>
      <sz val="14"/>
    </font>
    <font>
      <name val="맑은 고딕"/>
      <b val="1"/>
      <color rgb="001F2937"/>
      <sz val="13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9.5"/>
    </font>
    <font>
      <name val="맑은 고딕"/>
      <color rgb="00000000"/>
      <sz val="9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color rgb="00000000"/>
      <sz val="9"/>
    </font>
    <font>
      <name val="맑은 고딕"/>
      <b val="1"/>
      <color rgb="00111827"/>
      <sz val="11.5"/>
    </font>
    <font>
      <name val="맑은 고딕"/>
      <b val="1"/>
      <color rgb="001F2937"/>
      <sz val="9.5"/>
    </font>
    <font>
      <name val="맑은 고딕"/>
      <b val="1"/>
      <color rgb="001F2937"/>
      <sz val="10.5"/>
    </font>
    <font>
      <name val="맑은 고딕"/>
      <b val="1"/>
      <color rgb="00111827"/>
      <sz val="16"/>
    </font>
    <font>
      <name val="맑은 고딕"/>
      <color rgb="001F2937"/>
      <sz val="7.5"/>
    </font>
    <font>
      <name val="맑은 고딕"/>
      <b val="1"/>
      <color rgb="001F2937"/>
      <sz val="7"/>
    </font>
    <font>
      <name val="맑은 고딕"/>
      <color rgb="001F2937"/>
      <sz val="7"/>
    </font>
    <font>
      <name val="맑은 고딕"/>
      <color rgb="00000000"/>
      <sz val="8.5"/>
    </font>
    <font>
      <name val="맑은 고딕"/>
      <color rgb="001F2937"/>
      <sz val="8.5"/>
    </font>
    <font>
      <name val="맑은 고딕"/>
      <color rgb="00000000"/>
      <sz val="8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3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165" fontId="14" fillId="0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left" vertical="center" shrinkToFit="1"/>
    </xf>
    <xf numFmtId="167" fontId="14" fillId="0" borderId="1" applyAlignment="1" pivotButton="0" quotePrefix="0" xfId="0">
      <alignment horizontal="right" vertical="center" shrinkToFit="1"/>
    </xf>
    <xf numFmtId="168" fontId="15" fillId="3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right" vertical="center" shrinkToFit="1"/>
    </xf>
    <xf numFmtId="0" fontId="19" fillId="0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170" fontId="13" fillId="3" borderId="1" applyAlignment="1" pivotButton="0" quotePrefix="0" xfId="0">
      <alignment horizontal="right" vertical="center" shrinkToFit="1"/>
    </xf>
    <xf numFmtId="0" fontId="14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171" fontId="14" fillId="0" borderId="1" applyAlignment="1" pivotButton="0" quotePrefix="0" xfId="0">
      <alignment horizontal="center" vertical="center" shrinkToFit="1"/>
    </xf>
    <xf numFmtId="172" fontId="13" fillId="3" borderId="1" applyAlignment="1" pivotButton="0" quotePrefix="0" xfId="0">
      <alignment horizontal="center" vertical="center" shrinkToFit="1"/>
    </xf>
    <xf numFmtId="0" fontId="20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22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173" fontId="14" fillId="0" borderId="1" applyAlignment="1" pivotButton="0" quotePrefix="0" xfId="0">
      <alignment horizontal="center" vertical="center" shrinkToFit="1"/>
    </xf>
    <xf numFmtId="3" fontId="13" fillId="3" borderId="1" applyAlignment="1" pivotButton="0" quotePrefix="0" xfId="0">
      <alignment horizontal="center" vertical="center" shrinkToFit="1"/>
    </xf>
    <xf numFmtId="0" fontId="23" fillId="0" borderId="0" applyAlignment="1" pivotButton="0" quotePrefix="0" xfId="0">
      <alignment horizontal="center" vertical="center" wrapText="1"/>
    </xf>
    <xf numFmtId="174" fontId="9" fillId="3" borderId="1" applyAlignment="1" pivotButton="0" quotePrefix="0" xfId="0">
      <alignment horizontal="center" vertical="center" wrapText="1"/>
    </xf>
    <xf numFmtId="175" fontId="24" fillId="4" borderId="1" applyAlignment="1" pivotButton="0" quotePrefix="0" xfId="0">
      <alignment horizontal="center" vertical="center" shrinkToFit="1"/>
    </xf>
    <xf numFmtId="0" fontId="25" fillId="4" borderId="1" applyAlignment="1" pivotButton="0" quotePrefix="0" xfId="0">
      <alignment horizontal="center" vertical="center" wrapText="1"/>
    </xf>
    <xf numFmtId="176" fontId="26" fillId="0" borderId="0" applyAlignment="1" pivotButton="0" quotePrefix="0" xfId="0">
      <alignment horizontal="left" vertical="center" wrapText="1"/>
    </xf>
    <xf numFmtId="165" fontId="27" fillId="0" borderId="1" applyAlignment="1" pivotButton="0" quotePrefix="0" xfId="0">
      <alignment horizontal="center" vertical="center" shrinkToFit="1"/>
    </xf>
    <xf numFmtId="173" fontId="28" fillId="3" borderId="1" applyAlignment="1" pivotButton="0" quotePrefix="0" xfId="0">
      <alignment horizontal="center" vertical="center" shrinkToFit="1"/>
    </xf>
    <xf numFmtId="0" fontId="9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top" wrapText="1" indent="2"/>
    </xf>
    <xf numFmtId="0" fontId="30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numFmt numFmtId="300" formatCode="#,##0;;&quot;&quot;"/>
    </dxf>
    <dxf>
      <numFmt numFmtId="301" formatCode="#,##0"/>
    </dxf>
    <dxf>
      <fill>
        <patternFill patternType="solid">
          <fgColor rgb="002F5597"/>
          <bgColor rgb="002F559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90" customHeight="1"/>
    <row r="3" ht="40" customHeight="1">
      <c r="A3" s="3" t="inlineStr">
        <is>
          <t>(공 사 명)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방수공사 ]</t>
        </is>
      </c>
    </row>
    <row r="7" ht="120" customHeight="1"/>
    <row r="8" ht="32" customHeight="1">
      <c r="A8" s="6" t="inlineStr">
        <is>
          <t>20    .    .</t>
        </is>
      </c>
    </row>
    <row r="9" ht="110" customHeight="1"/>
    <row r="10" ht="44" customHeight="1">
      <c r="A10" s="7" t="inlineStr">
        <is>
          <t>(회 사 명)</t>
        </is>
      </c>
    </row>
    <row r="12" ht="19.5" customHeight="1">
      <c r="A12" s="8" t="inlineStr">
        <is>
          <t>공사명 · 작성 연월(2026-03 처럼) · 회사명을 여기 한 번만 적으면 뒤 장에 저절로 들어갑니다.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시  공  관  리</t>
        </is>
      </c>
      <c r="K10" s="10" t="inlineStr"/>
    </row>
    <row r="11" ht="30" customHeight="1">
      <c r="A11" s="10" t="inlineStr"/>
      <c r="C11" s="11" t="inlineStr">
        <is>
          <t>7.  예 정  공 정 표</t>
        </is>
      </c>
      <c r="K11" s="10" t="inlineStr"/>
    </row>
    <row r="12" ht="30" customHeight="1">
      <c r="A12" s="10" t="inlineStr"/>
      <c r="C12" s="11" t="inlineStr">
        <is>
          <t>8.  품 질  관 리  계 획</t>
        </is>
      </c>
      <c r="K12" s="10" t="inlineStr"/>
    </row>
    <row r="13" ht="30" customHeight="1">
      <c r="A13" s="10" t="inlineStr"/>
      <c r="C13" s="11" t="inlineStr">
        <is>
          <t>9.  환 경  관 리  계 획</t>
        </is>
      </c>
      <c r="K13" s="10" t="inlineStr"/>
    </row>
    <row r="14" ht="30" customHeight="1">
      <c r="A14" s="10" t="inlineStr"/>
      <c r="C14" s="11" t="inlineStr">
        <is>
          <t>10. 안 전  관 리  계 획</t>
        </is>
      </c>
      <c r="K14" s="10" t="inlineStr"/>
    </row>
    <row r="15" ht="4" customHeight="1"/>
    <row r="16" ht="30" customHeight="1">
      <c r="A16" s="12" t="inlineStr">
        <is>
          <t>1.0   공 사 명</t>
        </is>
      </c>
    </row>
    <row r="17" ht="4" customHeight="1"/>
    <row r="18" ht="30" customHeight="1">
      <c r="A18" s="10" t="inlineStr"/>
      <c r="B18" s="13">
        <f>IF(OR('표지'!A3="",'표지'!A3="(공 사 명)"),"","◦ "&amp;'표지'!A3)</f>
        <v/>
      </c>
    </row>
    <row r="19" ht="4" customHeight="1"/>
    <row r="20" ht="30" customHeight="1">
      <c r="A20" s="12" t="inlineStr">
        <is>
          <t>2.0   공 사 개 요</t>
        </is>
      </c>
    </row>
    <row r="21" ht="4" customHeight="1"/>
    <row r="22" ht="28" customHeight="1">
      <c r="A22" s="14" t="inlineStr">
        <is>
          <t>공 사 명</t>
        </is>
      </c>
      <c r="B22" s="15" t="n"/>
      <c r="C22" s="15" t="n"/>
      <c r="D22" s="16">
        <f>IF(OR('표지'!A3="",'표지'!A3="(공 사 명)"),"",'표지'!A3)</f>
        <v/>
      </c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6" customHeight="1">
      <c r="A23" s="14" t="inlineStr">
        <is>
          <t>공 사 위 치</t>
        </is>
      </c>
      <c r="B23" s="15" t="n"/>
      <c r="C23" s="15" t="n"/>
      <c r="D23" s="17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26" customHeight="1">
      <c r="A24" s="14" t="inlineStr">
        <is>
          <t>발  주  처</t>
        </is>
      </c>
      <c r="B24" s="15" t="n"/>
      <c r="C24" s="15" t="n"/>
      <c r="D24" s="17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26" customHeight="1">
      <c r="A25" s="14" t="inlineStr">
        <is>
          <t>공 사 기 간</t>
        </is>
      </c>
      <c r="B25" s="15" t="n"/>
      <c r="C25" s="15" t="n"/>
      <c r="D25" s="18" t="n"/>
      <c r="E25" s="15" t="n"/>
      <c r="F25" s="19" t="inlineStr">
        <is>
          <t>~</t>
        </is>
      </c>
      <c r="G25" s="18" t="n"/>
      <c r="H25" s="15" t="n"/>
      <c r="I25" s="20">
        <f>IF(OR(N(D25)=0,N(G25)=0),"",IF(G25&lt;D25,"⚠ 준공일이 착공일보다 빠름",G25-D25+1))</f>
        <v/>
      </c>
      <c r="J25" s="15" t="n"/>
      <c r="K25" s="15" t="n"/>
      <c r="L25" s="15" t="n"/>
    </row>
    <row r="26" ht="26" customHeight="1">
      <c r="A26" s="14" t="inlineStr">
        <is>
          <t>공 사 금 액</t>
        </is>
      </c>
      <c r="B26" s="15" t="n"/>
      <c r="C26" s="15" t="n"/>
      <c r="D26" s="21" t="n"/>
      <c r="E26" s="15" t="n"/>
      <c r="F26" s="15" t="n"/>
      <c r="G26" s="22">
        <f>IF(N(D26)=0,"",D26)</f>
        <v/>
      </c>
      <c r="H26" s="15" t="n"/>
      <c r="I26" s="15" t="n"/>
      <c r="J26" s="15" t="n"/>
      <c r="K26" s="15" t="n"/>
      <c r="L26" s="15" t="n"/>
    </row>
    <row r="27" ht="26" customHeight="1">
      <c r="A27" s="14" t="inlineStr">
        <is>
          <t>공 사 규 모</t>
        </is>
      </c>
      <c r="B27" s="15" t="n"/>
      <c r="C27" s="15" t="n"/>
      <c r="D27" s="23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26" customHeight="1">
      <c r="A28" s="14" t="inlineStr">
        <is>
          <t>시  공  사</t>
        </is>
      </c>
      <c r="B28" s="15" t="n"/>
      <c r="C28" s="15" t="n"/>
      <c r="D28" s="16">
        <f>IF(OR('표지'!A10="",'표지'!A10="(회 사 명)"),"",'표지'!A10)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4" customHeight="1"/>
    <row r="30" ht="30" customHeight="1">
      <c r="A30" s="12" t="inlineStr">
        <is>
          <t>3.0   공 사 위 치</t>
        </is>
      </c>
    </row>
    <row r="31" ht="4" customHeight="1"/>
    <row r="32" ht="20" customHeight="1">
      <c r="A32" s="24" t="inlineStr">
        <is>
          <t>(위치도를 붙이는 곳 — 현장 위치와 방수 공사 구간을 표시)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2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0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4" customHeight="1"/>
    <row r="45" ht="30" customHeight="1">
      <c r="A45" s="12" t="inlineStr">
        <is>
          <t>4.0   주요 공사 물량</t>
        </is>
      </c>
    </row>
    <row r="46" ht="4" customHeight="1"/>
    <row r="47" ht="24" customHeight="1">
      <c r="A47" s="25" t="inlineStr">
        <is>
          <t>구  분</t>
        </is>
      </c>
      <c r="B47" s="15" t="n"/>
      <c r="C47" s="25" t="inlineStr">
        <is>
          <t>명  칭</t>
        </is>
      </c>
      <c r="D47" s="15" t="n"/>
      <c r="E47" s="15" t="n"/>
      <c r="F47" s="25" t="inlineStr">
        <is>
          <t>규  격</t>
        </is>
      </c>
      <c r="G47" s="15" t="n"/>
      <c r="H47" s="25" t="inlineStr">
        <is>
          <t>수  량</t>
        </is>
      </c>
      <c r="I47" s="15" t="n"/>
      <c r="J47" s="25" t="inlineStr">
        <is>
          <t>단위</t>
        </is>
      </c>
      <c r="K47" s="25" t="inlineStr">
        <is>
          <t>비  고</t>
        </is>
      </c>
      <c r="L47" s="15" t="n"/>
    </row>
    <row r="48" ht="23" customHeight="1">
      <c r="A48" s="26" t="n"/>
      <c r="B48" s="15" t="n"/>
      <c r="C48" s="23" t="n"/>
      <c r="D48" s="15" t="n"/>
      <c r="E48" s="15" t="n"/>
      <c r="F48" s="27" t="n"/>
      <c r="G48" s="15" t="n"/>
      <c r="H48" s="28" t="n"/>
      <c r="I48" s="15" t="n"/>
      <c r="J48" s="26" t="n"/>
      <c r="K48" s="29" t="n"/>
      <c r="L48" s="15" t="n"/>
    </row>
    <row r="49" ht="23" customHeight="1">
      <c r="A49" s="26" t="n"/>
      <c r="B49" s="15" t="n"/>
      <c r="C49" s="23" t="n"/>
      <c r="D49" s="15" t="n"/>
      <c r="E49" s="15" t="n"/>
      <c r="F49" s="27" t="n"/>
      <c r="G49" s="15" t="n"/>
      <c r="H49" s="28" t="n"/>
      <c r="I49" s="15" t="n"/>
      <c r="J49" s="26" t="n"/>
      <c r="K49" s="29" t="n"/>
      <c r="L49" s="15" t="n"/>
    </row>
    <row r="50" ht="23" customHeight="1">
      <c r="A50" s="26" t="n"/>
      <c r="B50" s="15" t="n"/>
      <c r="C50" s="23" t="n"/>
      <c r="D50" s="15" t="n"/>
      <c r="E50" s="15" t="n"/>
      <c r="F50" s="27" t="n"/>
      <c r="G50" s="15" t="n"/>
      <c r="H50" s="28" t="n"/>
      <c r="I50" s="15" t="n"/>
      <c r="J50" s="26" t="n"/>
      <c r="K50" s="29" t="n"/>
      <c r="L50" s="15" t="n"/>
    </row>
    <row r="51" ht="23" customHeight="1">
      <c r="A51" s="26" t="n"/>
      <c r="B51" s="15" t="n"/>
      <c r="C51" s="23" t="n"/>
      <c r="D51" s="15" t="n"/>
      <c r="E51" s="15" t="n"/>
      <c r="F51" s="27" t="n"/>
      <c r="G51" s="15" t="n"/>
      <c r="H51" s="28" t="n"/>
      <c r="I51" s="15" t="n"/>
      <c r="J51" s="26" t="n"/>
      <c r="K51" s="29" t="n"/>
      <c r="L51" s="15" t="n"/>
    </row>
    <row r="52" ht="23" customHeight="1">
      <c r="A52" s="26" t="n"/>
      <c r="B52" s="15" t="n"/>
      <c r="C52" s="23" t="n"/>
      <c r="D52" s="15" t="n"/>
      <c r="E52" s="15" t="n"/>
      <c r="F52" s="27" t="n"/>
      <c r="G52" s="15" t="n"/>
      <c r="H52" s="28" t="n"/>
      <c r="I52" s="15" t="n"/>
      <c r="J52" s="26" t="n"/>
      <c r="K52" s="29" t="n"/>
      <c r="L52" s="15" t="n"/>
    </row>
    <row r="53" ht="23" customHeight="1">
      <c r="A53" s="26" t="n"/>
      <c r="B53" s="15" t="n"/>
      <c r="C53" s="23" t="n"/>
      <c r="D53" s="15" t="n"/>
      <c r="E53" s="15" t="n"/>
      <c r="F53" s="27" t="n"/>
      <c r="G53" s="15" t="n"/>
      <c r="H53" s="28" t="n"/>
      <c r="I53" s="15" t="n"/>
      <c r="J53" s="26" t="n"/>
      <c r="K53" s="29" t="n"/>
      <c r="L53" s="15" t="n"/>
    </row>
    <row r="54" ht="23" customHeight="1">
      <c r="A54" s="26" t="n"/>
      <c r="B54" s="15" t="n"/>
      <c r="C54" s="23" t="n"/>
      <c r="D54" s="15" t="n"/>
      <c r="E54" s="15" t="n"/>
      <c r="F54" s="27" t="n"/>
      <c r="G54" s="15" t="n"/>
      <c r="H54" s="28" t="n"/>
      <c r="I54" s="15" t="n"/>
      <c r="J54" s="26" t="n"/>
      <c r="K54" s="29" t="n"/>
      <c r="L54" s="15" t="n"/>
    </row>
    <row r="55" ht="23" customHeight="1">
      <c r="A55" s="26" t="n"/>
      <c r="B55" s="15" t="n"/>
      <c r="C55" s="23" t="n"/>
      <c r="D55" s="15" t="n"/>
      <c r="E55" s="15" t="n"/>
      <c r="F55" s="27" t="n"/>
      <c r="G55" s="15" t="n"/>
      <c r="H55" s="28" t="n"/>
      <c r="I55" s="15" t="n"/>
      <c r="J55" s="26" t="n"/>
      <c r="K55" s="29" t="n"/>
      <c r="L55" s="15" t="n"/>
    </row>
    <row r="56" ht="23" customHeight="1">
      <c r="A56" s="26" t="n"/>
      <c r="B56" s="15" t="n"/>
      <c r="C56" s="23" t="n"/>
      <c r="D56" s="15" t="n"/>
      <c r="E56" s="15" t="n"/>
      <c r="F56" s="27" t="n"/>
      <c r="G56" s="15" t="n"/>
      <c r="H56" s="28" t="n"/>
      <c r="I56" s="15" t="n"/>
      <c r="J56" s="26" t="n"/>
      <c r="K56" s="29" t="n"/>
      <c r="L56" s="15" t="n"/>
    </row>
    <row r="57" ht="23" customHeight="1">
      <c r="A57" s="26" t="n"/>
      <c r="B57" s="15" t="n"/>
      <c r="C57" s="23" t="n"/>
      <c r="D57" s="15" t="n"/>
      <c r="E57" s="15" t="n"/>
      <c r="F57" s="27" t="n"/>
      <c r="G57" s="15" t="n"/>
      <c r="H57" s="28" t="n"/>
      <c r="I57" s="15" t="n"/>
      <c r="J57" s="26" t="n"/>
      <c r="K57" s="29" t="n"/>
      <c r="L57" s="15" t="n"/>
    </row>
    <row r="58" ht="23" customHeight="1">
      <c r="A58" s="26" t="n"/>
      <c r="B58" s="15" t="n"/>
      <c r="C58" s="23" t="n"/>
      <c r="D58" s="15" t="n"/>
      <c r="E58" s="15" t="n"/>
      <c r="F58" s="27" t="n"/>
      <c r="G58" s="15" t="n"/>
      <c r="H58" s="28" t="n"/>
      <c r="I58" s="15" t="n"/>
      <c r="J58" s="26" t="n"/>
      <c r="K58" s="29" t="n"/>
      <c r="L58" s="15" t="n"/>
    </row>
    <row r="59" ht="23" customHeight="1">
      <c r="A59" s="26" t="n"/>
      <c r="B59" s="15" t="n"/>
      <c r="C59" s="23" t="n"/>
      <c r="D59" s="15" t="n"/>
      <c r="E59" s="15" t="n"/>
      <c r="F59" s="27" t="n"/>
      <c r="G59" s="15" t="n"/>
      <c r="H59" s="28" t="n"/>
      <c r="I59" s="15" t="n"/>
      <c r="J59" s="26" t="n"/>
      <c r="K59" s="29" t="n"/>
      <c r="L59" s="15" t="n"/>
    </row>
    <row r="60" ht="24" customHeight="1">
      <c r="A60" s="30" t="inlineStr">
        <is>
          <t>합   계 (단위가 ㎡ 인 줄)</t>
        </is>
      </c>
      <c r="B60" s="15" t="n"/>
      <c r="C60" s="15" t="n"/>
      <c r="D60" s="15" t="n"/>
      <c r="E60" s="15" t="n"/>
      <c r="F60" s="15" t="n"/>
      <c r="G60" s="15" t="n"/>
      <c r="H60" s="31">
        <f>IF(SUMIF(J48:J59,"㎡",H48:H59)+SUMIF(J48:J59,"m2",H48:H59)=0,"",SUMIF(J48:J59,"㎡",H48:H59)+SUMIF(J48:J59,"m2",H48:H59))</f>
        <v/>
      </c>
      <c r="I60" s="15" t="n"/>
      <c r="J60" s="30" t="inlineStr">
        <is>
          <t>㎡</t>
        </is>
      </c>
      <c r="K60" s="30" t="inlineStr"/>
      <c r="L60" s="15" t="n"/>
    </row>
    <row r="61" ht="4" customHeight="1"/>
    <row r="62" ht="30" customHeight="1">
      <c r="A62" s="12" t="inlineStr">
        <is>
          <t>5.0   현 장  조 직 도</t>
        </is>
      </c>
    </row>
    <row r="63" ht="4" customHeight="1"/>
    <row r="64" ht="24" customHeight="1">
      <c r="A64" s="10" t="inlineStr"/>
      <c r="E64" s="14" t="inlineStr">
        <is>
          <t>현 장 대 리 인</t>
        </is>
      </c>
      <c r="F64" s="15" t="n"/>
      <c r="G64" s="15" t="n"/>
      <c r="H64" s="15" t="n"/>
      <c r="I64" s="10" t="inlineStr"/>
    </row>
    <row r="65" ht="24" customHeight="1">
      <c r="A65" s="10" t="inlineStr"/>
      <c r="E65" s="32" t="n"/>
      <c r="F65" s="15" t="n"/>
      <c r="G65" s="15" t="n"/>
      <c r="H65" s="15" t="n"/>
      <c r="I65" s="10" t="inlineStr"/>
    </row>
    <row r="66" ht="14" customHeight="1">
      <c r="A66" s="33" t="inlineStr">
        <is>
          <t>│</t>
        </is>
      </c>
    </row>
    <row r="67" ht="24" customHeight="1">
      <c r="A67" s="10" t="inlineStr"/>
      <c r="B67" s="14" t="inlineStr">
        <is>
          <t>품 질 관 리 자</t>
        </is>
      </c>
      <c r="C67" s="15" t="n"/>
      <c r="D67" s="15" t="n"/>
      <c r="E67" s="15" t="n"/>
      <c r="F67" s="34" t="inlineStr">
        <is>
          <t>─┼─</t>
        </is>
      </c>
      <c r="H67" s="14" t="inlineStr">
        <is>
          <t>안 전 관 리 자</t>
        </is>
      </c>
      <c r="I67" s="15" t="n"/>
      <c r="J67" s="15" t="n"/>
      <c r="K67" s="15" t="n"/>
      <c r="L67" s="10" t="inlineStr"/>
    </row>
    <row r="68" ht="24" customHeight="1">
      <c r="A68" s="10" t="inlineStr"/>
      <c r="B68" s="32" t="n"/>
      <c r="C68" s="15" t="n"/>
      <c r="D68" s="15" t="n"/>
      <c r="E68" s="15" t="n"/>
      <c r="F68" s="34" t="inlineStr">
        <is>
          <t>│</t>
        </is>
      </c>
      <c r="H68" s="32" t="n"/>
      <c r="I68" s="15" t="n"/>
      <c r="J68" s="15" t="n"/>
      <c r="K68" s="15" t="n"/>
      <c r="L68" s="10" t="inlineStr"/>
    </row>
    <row r="69" ht="14" customHeight="1">
      <c r="A69" s="33" t="inlineStr">
        <is>
          <t>│</t>
        </is>
      </c>
    </row>
    <row r="70" ht="24" customHeight="1">
      <c r="A70" s="10" t="inlineStr"/>
      <c r="E70" s="14" t="inlineStr">
        <is>
          <t>시 공 업 체</t>
        </is>
      </c>
      <c r="F70" s="15" t="n"/>
      <c r="G70" s="15" t="n"/>
      <c r="H70" s="15" t="n"/>
      <c r="I70" s="10" t="inlineStr"/>
    </row>
    <row r="71" ht="24" customHeight="1">
      <c r="A71" s="10" t="inlineStr"/>
      <c r="E71" s="32" t="n"/>
      <c r="F71" s="15" t="n"/>
      <c r="G71" s="15" t="n"/>
      <c r="H71" s="15" t="n"/>
      <c r="I71" s="10" t="inlineStr"/>
    </row>
    <row r="72" ht="14" customHeight="1">
      <c r="A72" s="33" t="inlineStr">
        <is>
          <t>│</t>
        </is>
      </c>
    </row>
    <row r="73" ht="24" customHeight="1">
      <c r="A73" s="10" t="inlineStr"/>
      <c r="E73" s="14" t="inlineStr">
        <is>
          <t>작 업 반 장</t>
        </is>
      </c>
      <c r="F73" s="15" t="n"/>
      <c r="G73" s="15" t="n"/>
      <c r="H73" s="15" t="n"/>
      <c r="I73" s="10" t="inlineStr"/>
    </row>
    <row r="74" ht="24" customHeight="1">
      <c r="A74" s="10" t="inlineStr"/>
      <c r="E74" s="32" t="n"/>
      <c r="F74" s="15" t="n"/>
      <c r="G74" s="15" t="n"/>
      <c r="H74" s="15" t="n"/>
      <c r="I74" s="10" t="inlineStr"/>
    </row>
    <row r="75" ht="14" customHeight="1">
      <c r="A75" s="33" t="inlineStr">
        <is>
          <t>┌──────────┼──────────┐</t>
        </is>
      </c>
    </row>
    <row r="76" ht="24" customHeight="1">
      <c r="A76" s="25" t="inlineStr">
        <is>
          <t>장비기사</t>
        </is>
      </c>
      <c r="B76" s="15" t="n"/>
      <c r="C76" s="25" t="inlineStr">
        <is>
          <t>방수공</t>
        </is>
      </c>
      <c r="D76" s="15" t="n"/>
      <c r="E76" s="25" t="inlineStr">
        <is>
          <t>특별인부</t>
        </is>
      </c>
      <c r="F76" s="15" t="n"/>
      <c r="G76" s="25" t="inlineStr">
        <is>
          <t>보통인부</t>
        </is>
      </c>
      <c r="H76" s="15" t="n"/>
      <c r="I76" s="30" t="inlineStr">
        <is>
          <t>합  계</t>
        </is>
      </c>
      <c r="J76" s="15" t="n"/>
      <c r="K76" s="15" t="n"/>
      <c r="L76" s="15" t="n"/>
    </row>
    <row r="77" ht="24" customHeight="1">
      <c r="A77" s="35" t="n">
        <v>1</v>
      </c>
      <c r="B77" s="15" t="n"/>
      <c r="C77" s="35" t="n">
        <v>3</v>
      </c>
      <c r="D77" s="15" t="n"/>
      <c r="E77" s="35" t="n">
        <v>3</v>
      </c>
      <c r="F77" s="15" t="n"/>
      <c r="G77" s="35" t="n">
        <v>5</v>
      </c>
      <c r="H77" s="15" t="n"/>
      <c r="I77" s="36">
        <f>IF(SUM(A77,C77,E77,G77)=0,"",SUM(A77,C77,E77,G77))</f>
        <v/>
      </c>
      <c r="J77" s="15" t="n"/>
      <c r="K77" s="15" t="n"/>
      <c r="L77" s="15" t="n"/>
    </row>
    <row r="79" ht="34" customHeight="1">
      <c r="A79" s="8" t="inlineStr">
        <is>
          <t>하늘색 칸 = 자동(공사명 · 시공사 · 공사기간 일수 · 금액 한글 · ㎡ 합계 · 인원 합계). 인원은 원본 계획서 인원을 넣어 두었습니다.</t>
        </is>
      </c>
    </row>
  </sheetData>
  <mergeCells count="164">
    <mergeCell ref="H53:I53"/>
    <mergeCell ref="K49:L49"/>
    <mergeCell ref="A51:B51"/>
    <mergeCell ref="F68:G68"/>
    <mergeCell ref="B68:E68"/>
    <mergeCell ref="H55:I55"/>
    <mergeCell ref="A26:C26"/>
    <mergeCell ref="C51:E51"/>
    <mergeCell ref="A54:B54"/>
    <mergeCell ref="A7:B7"/>
    <mergeCell ref="A23:C23"/>
    <mergeCell ref="K50:L50"/>
    <mergeCell ref="A64:D64"/>
    <mergeCell ref="H67:K67"/>
    <mergeCell ref="A73:D73"/>
    <mergeCell ref="A56:B56"/>
    <mergeCell ref="E71:H71"/>
    <mergeCell ref="H52:I52"/>
    <mergeCell ref="K58:L58"/>
    <mergeCell ref="D24:L24"/>
    <mergeCell ref="K52:L52"/>
    <mergeCell ref="A70:D70"/>
    <mergeCell ref="C57:E57"/>
    <mergeCell ref="E64:H64"/>
    <mergeCell ref="A76:B76"/>
    <mergeCell ref="C11:J11"/>
    <mergeCell ref="E73:H73"/>
    <mergeCell ref="C76:D76"/>
    <mergeCell ref="C49:E49"/>
    <mergeCell ref="I76:L76"/>
    <mergeCell ref="I25:L25"/>
    <mergeCell ref="F56:G56"/>
    <mergeCell ref="A53:B53"/>
    <mergeCell ref="K53:L53"/>
    <mergeCell ref="E65:H65"/>
    <mergeCell ref="E74:H74"/>
    <mergeCell ref="C13:J13"/>
    <mergeCell ref="A9:B9"/>
    <mergeCell ref="K13:L13"/>
    <mergeCell ref="F57:G57"/>
    <mergeCell ref="A69:L69"/>
    <mergeCell ref="A48:B48"/>
    <mergeCell ref="G77:H77"/>
    <mergeCell ref="A59:B59"/>
    <mergeCell ref="F54:G54"/>
    <mergeCell ref="A11:B11"/>
    <mergeCell ref="H54:I54"/>
    <mergeCell ref="A75:L75"/>
    <mergeCell ref="H50:I50"/>
    <mergeCell ref="C59:E59"/>
    <mergeCell ref="A3:L3"/>
    <mergeCell ref="K55:L55"/>
    <mergeCell ref="B18:L18"/>
    <mergeCell ref="H56:I56"/>
    <mergeCell ref="K51:L51"/>
    <mergeCell ref="C52:E52"/>
    <mergeCell ref="C10:J10"/>
    <mergeCell ref="A32:L43"/>
    <mergeCell ref="H49:I49"/>
    <mergeCell ref="C48:E48"/>
    <mergeCell ref="I77:L77"/>
    <mergeCell ref="C9:J9"/>
    <mergeCell ref="K56:L56"/>
    <mergeCell ref="F47:G47"/>
    <mergeCell ref="I70:L70"/>
    <mergeCell ref="D23:L23"/>
    <mergeCell ref="A8:B8"/>
    <mergeCell ref="A24:C24"/>
    <mergeCell ref="B67:E67"/>
    <mergeCell ref="F48:G48"/>
    <mergeCell ref="A52:B52"/>
    <mergeCell ref="I71:L71"/>
    <mergeCell ref="H48:I48"/>
    <mergeCell ref="A74:D74"/>
    <mergeCell ref="E76:F76"/>
    <mergeCell ref="G76:H76"/>
    <mergeCell ref="G25:H25"/>
    <mergeCell ref="A10:B10"/>
    <mergeCell ref="K10:L10"/>
    <mergeCell ref="A71:D71"/>
    <mergeCell ref="K6:L6"/>
    <mergeCell ref="A77:B77"/>
    <mergeCell ref="C77:D77"/>
    <mergeCell ref="A25:C25"/>
    <mergeCell ref="A16:L16"/>
    <mergeCell ref="C50:E50"/>
    <mergeCell ref="D27:L27"/>
    <mergeCell ref="C55:E55"/>
    <mergeCell ref="A49:B49"/>
    <mergeCell ref="C6:J6"/>
    <mergeCell ref="K9:L9"/>
    <mergeCell ref="A66:L66"/>
    <mergeCell ref="K5:L5"/>
    <mergeCell ref="C14:J14"/>
    <mergeCell ref="H58:I58"/>
    <mergeCell ref="K54:L54"/>
    <mergeCell ref="K60:L60"/>
    <mergeCell ref="K11:L11"/>
    <mergeCell ref="I74:L74"/>
    <mergeCell ref="K47:L47"/>
    <mergeCell ref="D28:L28"/>
    <mergeCell ref="H60:I60"/>
    <mergeCell ref="A22:C22"/>
    <mergeCell ref="F50:G50"/>
    <mergeCell ref="A60:G60"/>
    <mergeCell ref="A55:B55"/>
    <mergeCell ref="A12:B12"/>
    <mergeCell ref="A20:L20"/>
    <mergeCell ref="A28:C28"/>
    <mergeCell ref="A72:L72"/>
    <mergeCell ref="E77:F77"/>
    <mergeCell ref="K8:L8"/>
    <mergeCell ref="A57:B57"/>
    <mergeCell ref="A5:B5"/>
    <mergeCell ref="A14:B14"/>
    <mergeCell ref="H57:I57"/>
    <mergeCell ref="A65:D65"/>
    <mergeCell ref="H68:K68"/>
    <mergeCell ref="C8:J8"/>
    <mergeCell ref="D25:E25"/>
    <mergeCell ref="K7:L7"/>
    <mergeCell ref="A1:F1"/>
    <mergeCell ref="F49:G49"/>
    <mergeCell ref="K57:L57"/>
    <mergeCell ref="C54:E54"/>
    <mergeCell ref="E70:H70"/>
    <mergeCell ref="I64:L64"/>
    <mergeCell ref="I73:L73"/>
    <mergeCell ref="A27:C27"/>
    <mergeCell ref="C56:E56"/>
    <mergeCell ref="C5:J5"/>
    <mergeCell ref="A6:B6"/>
    <mergeCell ref="F59:G59"/>
    <mergeCell ref="F55:G55"/>
    <mergeCell ref="H59:I59"/>
    <mergeCell ref="I65:L65"/>
    <mergeCell ref="F51:G51"/>
    <mergeCell ref="H51:I51"/>
    <mergeCell ref="G26:L26"/>
    <mergeCell ref="A50:B50"/>
    <mergeCell ref="A62:L62"/>
    <mergeCell ref="G1:L1"/>
    <mergeCell ref="C12:J12"/>
    <mergeCell ref="K59:L59"/>
    <mergeCell ref="K12:L12"/>
    <mergeCell ref="C53:E53"/>
    <mergeCell ref="A47:B47"/>
    <mergeCell ref="D26:F26"/>
    <mergeCell ref="H47:I47"/>
    <mergeCell ref="K14:L14"/>
    <mergeCell ref="F58:G58"/>
    <mergeCell ref="K48:L48"/>
    <mergeCell ref="F52:G52"/>
    <mergeCell ref="F67:G67"/>
    <mergeCell ref="A30:L30"/>
    <mergeCell ref="C58:E58"/>
    <mergeCell ref="C7:J7"/>
    <mergeCell ref="A45:L45"/>
    <mergeCell ref="D22:L22"/>
    <mergeCell ref="A13:B13"/>
    <mergeCell ref="A79:L79"/>
    <mergeCell ref="A58:B58"/>
    <mergeCell ref="F53:G53"/>
    <mergeCell ref="C47:E47"/>
  </mergeCells>
  <conditionalFormatting sqref="H48:H59">
    <cfRule type="expression" priority="1" dxfId="0">
      <formula>AND(ISNUMBER(H48),MOD(H48,1)=0)</formula>
    </cfRule>
  </conditionalFormatting>
  <conditionalFormatting sqref="H60">
    <cfRule type="expression" priority="2" dxfId="1">
      <formula>AND(ISNUMBER(H60),MOD(H60,1)=0)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2" manualBreakCount="2">
    <brk id="14" min="0" max="16383" man="1"/>
    <brk id="4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5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6.0   시 공 관 리</t>
        </is>
      </c>
    </row>
    <row r="4" ht="4" customHeight="1"/>
    <row r="5" ht="3" customHeight="1"/>
    <row r="6" ht="22" customHeight="1">
      <c r="A6" s="37" t="inlineStr">
        <is>
          <t>6-1  시멘트 액체방수</t>
        </is>
      </c>
    </row>
    <row r="7" ht="21" customHeight="1">
      <c r="A7" s="38" t="inlineStr">
        <is>
          <t>1) 일반사항</t>
        </is>
      </c>
    </row>
    <row r="8" ht="36" customHeight="1">
      <c r="A8" s="39" t="inlineStr">
        <is>
          <t>(1)</t>
        </is>
      </c>
      <c r="B8" s="40" t="inlineStr">
        <is>
          <t>시멘트 모르타르계 방수공사의 일반사항은 건축공사 표준시방서(KCS 41 40 방수공사)와 공사시방서를 따른다.</t>
        </is>
      </c>
    </row>
    <row r="9" ht="51.5" customHeight="1">
      <c r="A9" s="39" t="inlineStr">
        <is>
          <t>(2)</t>
        </is>
      </c>
      <c r="B9" s="40" t="inlineStr">
        <is>
          <t>재료는 눈 · 비 · 직사광선이 닿지 않는 곳에 밀봉 상태로 보관하고, 운반 · 취급 때 포장이 터지거나 찢어지지 않게 한다. 손상된 자재나 유효기간이 지난 것은 즉시 현장 밖으로 반출한다.</t>
        </is>
      </c>
    </row>
    <row r="10" ht="21" customHeight="1">
      <c r="A10" s="38" t="inlineStr">
        <is>
          <t>2) 자재</t>
        </is>
      </c>
    </row>
    <row r="11" ht="20.5" customHeight="1">
      <c r="A11" s="39" t="inlineStr">
        <is>
          <t>(1)</t>
        </is>
      </c>
      <c r="B11" s="40" t="inlineStr">
        <is>
          <t>시멘트 — KS L 5201 에 합격하는 1종 보통 포틀랜드 시멘트를 쓴다.</t>
        </is>
      </c>
    </row>
    <row r="12" ht="36" customHeight="1">
      <c r="A12" s="39" t="inlineStr">
        <is>
          <t>(2)</t>
        </is>
      </c>
      <c r="B12" s="40" t="inlineStr">
        <is>
          <t>모래 — 유해량의 철분 · 염분 · 진흙 · 먼지 및 유기불순물이 없는 양질의 것으로, 바름 두께에 지장이 없는 범위에서 입도가 큰 것을 쓴다.</t>
        </is>
      </c>
    </row>
    <row r="13" ht="20.5" customHeight="1">
      <c r="A13" s="39" t="inlineStr">
        <is>
          <t>(3)</t>
        </is>
      </c>
      <c r="B13" s="40" t="inlineStr">
        <is>
          <t>물 — 유해량의 염분 · 철분 · 이온 및 유기물이 없는 깨끗한 물을 쓴다.</t>
        </is>
      </c>
    </row>
    <row r="14" ht="36" customHeight="1">
      <c r="A14" s="39" t="inlineStr">
        <is>
          <t>(4)</t>
        </is>
      </c>
      <c r="B14" s="40" t="inlineStr">
        <is>
          <t>방수제 — 주성분에 따라 무기질계 · 유기질계 · 폴리머계로 나누며, KS F 4925 의 품질기준에 맞고 품질이 변하지 않게 저장하여 유효기간 안에 쓴다.</t>
        </is>
      </c>
    </row>
    <row r="15" ht="20" customHeight="1">
      <c r="A15" s="41" t="inlineStr">
        <is>
          <t>[ 시멘트 액체 방수제의 화학조성 분류 ]</t>
        </is>
      </c>
    </row>
    <row r="16" ht="24" customHeight="1">
      <c r="A16" s="25" t="inlineStr">
        <is>
          <t>종  류</t>
        </is>
      </c>
      <c r="B16" s="15" t="n"/>
      <c r="C16" s="15" t="n"/>
      <c r="D16" s="25" t="inlineStr">
        <is>
          <t>주    성    분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42" t="inlineStr">
        <is>
          <t>무기질계</t>
        </is>
      </c>
      <c r="B17" s="15" t="n"/>
      <c r="C17" s="15" t="n"/>
      <c r="D17" s="43" t="inlineStr">
        <is>
          <t>염화칼슘계, 규산소다계, 실리케이트계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42" t="inlineStr">
        <is>
          <t>유기질계</t>
        </is>
      </c>
      <c r="B18" s="15" t="n"/>
      <c r="C18" s="15" t="n"/>
      <c r="D18" s="43" t="inlineStr">
        <is>
          <t>지방산계, 파라핀계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42" t="inlineStr">
        <is>
          <t>폴리머계</t>
        </is>
      </c>
      <c r="B19" s="15" t="n"/>
      <c r="C19" s="15" t="n"/>
      <c r="D19" s="43" t="inlineStr">
        <is>
          <t>합성고무 라텍스계, 에틸렌비닐아세테이트 에멀션계, 아크릴 에멀션계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1" customHeight="1">
      <c r="A20" s="38" t="inlineStr">
        <is>
          <t>3) 시공</t>
        </is>
      </c>
    </row>
    <row r="21" ht="21" customHeight="1">
      <c r="A21" s="10" t="inlineStr"/>
      <c r="B21" s="38" t="inlineStr">
        <is>
          <t>(1) 바탕처리</t>
        </is>
      </c>
    </row>
    <row r="22" ht="51.5" customHeight="1">
      <c r="A22" s="39" t="inlineStr">
        <is>
          <t>가.</t>
        </is>
      </c>
      <c r="C22" s="40" t="inlineStr">
        <is>
          <t>바탕면에 붙은 흙 · 먼지 · 모래 · 자갈 및 레이턴스 등은 정 · 와이어브러시 등으로 제거하고, 지푸라기 · 못 · 철선 등이 모체에 깊이 박힌 부분은 충분한 깊이까지 파낸다.</t>
        </is>
      </c>
    </row>
    <row r="23" ht="36" customHeight="1">
      <c r="A23" s="39" t="inlineStr">
        <is>
          <t>나.</t>
        </is>
      </c>
      <c r="C23" s="40" t="inlineStr">
        <is>
          <t>모르타르 · 콘크리트의 불량 부분, 균열이 생긴 부분 및 그 밖의 부실한 부분은 제거 · 보수하여 충분한 강도가 있는 건실한 모체로 만든 다음 방수층을 시공한다.</t>
        </is>
      </c>
    </row>
    <row r="24" ht="36" customHeight="1">
      <c r="A24" s="39" t="inlineStr">
        <is>
          <t>다.</t>
        </is>
      </c>
      <c r="C24" s="40" t="inlineStr">
        <is>
          <t>모체에 건조 균열이 진행 중이라고 인정되는 곳이나 방수층에 결함이 생길 우려가 있는 부분은 담당자와 협의하여 대책을 세운다.</t>
        </is>
      </c>
    </row>
    <row r="25" ht="20.5" customHeight="1">
      <c r="A25" s="39" t="inlineStr">
        <is>
          <t>라.</t>
        </is>
      </c>
      <c r="C25" s="40" t="inlineStr">
        <is>
          <t>바탕처리 후에는 물 씻기 등으로 완전히 청소하고 건조한 다음 방수공사를 한다.</t>
        </is>
      </c>
    </row>
    <row r="26" ht="21" customHeight="1">
      <c r="A26" s="10" t="inlineStr"/>
      <c r="B26" s="38" t="inlineStr">
        <is>
          <t>(2) 방수제의 배합 및 비빔</t>
        </is>
      </c>
    </row>
    <row r="27" ht="51.5" customHeight="1">
      <c r="A27" s="39" t="inlineStr">
        <is>
          <t>가.</t>
        </is>
      </c>
      <c r="C27" s="40" t="inlineStr">
        <is>
          <t>방수제는 제조자가 지정하는 비율로 넣고 모르타르 믹서로 충분히 비빈다. 방수 시멘트 페이스트는 시멘트를 먼저 2분 이상 건비빔한 뒤, 정해진 물로 희석한 방수제를 넣어 균질해질 때까지 5분 이상 비빈다.</t>
        </is>
      </c>
    </row>
    <row r="28" ht="36" customHeight="1">
      <c r="A28" s="39" t="inlineStr">
        <is>
          <t>나.</t>
        </is>
      </c>
      <c r="C28" s="40" t="inlineStr">
        <is>
          <t>방수 모르타르는 모래 · 시멘트 순으로 믹서에 넣어 2분 이상 건비빔한 뒤, 희석한 방수제를 넣어 균질해질 때까지 5분 이상 비빈다.</t>
        </is>
      </c>
    </row>
    <row r="29" ht="36" customHeight="1">
      <c r="A29" s="39" t="inlineStr">
        <is>
          <t>다.</t>
        </is>
      </c>
      <c r="C29" s="40" t="inlineStr">
        <is>
          <t>믹서를 멈춘 뒤 모르타르의 수분이나 모래가 분리되지 않아야 하며 불순물이 섞이지 않아야 한다.</t>
        </is>
      </c>
    </row>
    <row r="30" ht="21" customHeight="1">
      <c r="A30" s="10" t="inlineStr"/>
      <c r="B30" s="38" t="inlineStr">
        <is>
          <t>(3) 방수층 바름</t>
        </is>
      </c>
    </row>
    <row r="31" ht="20.5" customHeight="1">
      <c r="A31" s="39" t="inlineStr">
        <is>
          <t>가.</t>
        </is>
      </c>
      <c r="C31" s="40" t="inlineStr">
        <is>
          <t>방수액 침투 : 방수액 40%, 물 60% 로 섞어 솔이나 롤러로 바탕면에 침투시킨다.</t>
        </is>
      </c>
    </row>
    <row r="32" ht="36" customHeight="1">
      <c r="A32" s="39" t="inlineStr">
        <is>
          <t>나.</t>
        </is>
      </c>
      <c r="C32" s="40" t="inlineStr">
        <is>
          <t>페이스트 1차 도포 : 시멘트 40%, 침투식 액체방수제 20%, 물 40%(용량비)로 섞어 바탕면에 고르게 바른다.</t>
        </is>
      </c>
    </row>
    <row r="33" ht="36" customHeight="1">
      <c r="A33" s="39" t="inlineStr">
        <is>
          <t>다.</t>
        </is>
      </c>
      <c r="C33" s="40" t="inlineStr">
        <is>
          <t>모르타르 바름 : 페이스트 도포가 끝나면 시멘트와 모래를 1 : 1 로 섞은 모르타르를 손으로 얇게 문질러 바탕면과 잘 붙게 한다.</t>
        </is>
      </c>
    </row>
    <row r="34" ht="36" customHeight="1">
      <c r="A34" s="39" t="inlineStr">
        <is>
          <t>라.</t>
        </is>
      </c>
      <c r="C34" s="40" t="inlineStr">
        <is>
          <t>페이스트 2차 도포 : 시멘트 70%, 침투식 액체방수제 20%, 물 10%(용량비)로 섞어 바탕면에 고르게 바른다.</t>
        </is>
      </c>
    </row>
    <row r="35" ht="36" customHeight="1">
      <c r="A35" s="39" t="inlineStr">
        <is>
          <t>마.</t>
        </is>
      </c>
      <c r="C35" s="40" t="inlineStr">
        <is>
          <t>보호 모르타르 : 시멘트와 모래를 1 : 3 으로 섞어 벽은 6 ~ 9mm, 바닥은 10 ~ 12mm 정도로 나무흙손이나 쇠흙손으로 고르게 바른다.</t>
        </is>
      </c>
    </row>
    <row r="36" ht="21" customHeight="1">
      <c r="A36" s="38" t="inlineStr">
        <is>
          <t>4) 검측 흐름(FLOW CHART)</t>
        </is>
      </c>
    </row>
    <row r="37" ht="30" customHeight="1">
      <c r="A37" s="10" t="inlineStr"/>
      <c r="D37" s="44" t="inlineStr">
        <is>
          <t>현장 시공 완료</t>
        </is>
      </c>
      <c r="E37" s="15" t="n"/>
      <c r="F37" s="15" t="n"/>
      <c r="G37" s="15" t="n"/>
      <c r="H37" s="15" t="n"/>
      <c r="I37" s="15" t="n"/>
      <c r="J37" s="45" t="inlineStr"/>
    </row>
    <row r="38" ht="14" customHeight="1">
      <c r="A38" s="34" t="inlineStr">
        <is>
          <t>▼</t>
        </is>
      </c>
    </row>
    <row r="39" ht="30" customHeight="1">
      <c r="A39" s="10" t="inlineStr"/>
      <c r="D39" s="44" t="inlineStr">
        <is>
          <t>시공자 · 담당기술자 점검</t>
        </is>
      </c>
      <c r="E39" s="15" t="n"/>
      <c r="F39" s="15" t="n"/>
      <c r="G39" s="15" t="n"/>
      <c r="H39" s="15" t="n"/>
      <c r="I39" s="15" t="n"/>
      <c r="J39" s="45" t="inlineStr">
        <is>
          <t xml:space="preserve">  ◀ 첨부 : 시공자 점검표</t>
        </is>
      </c>
    </row>
    <row r="40" ht="14" customHeight="1">
      <c r="A40" s="34" t="inlineStr">
        <is>
          <t>▼</t>
        </is>
      </c>
    </row>
    <row r="41" ht="30" customHeight="1">
      <c r="A41" s="10" t="inlineStr"/>
      <c r="D41" s="44" t="inlineStr">
        <is>
          <t>검측요청서 제출</t>
        </is>
      </c>
      <c r="E41" s="15" t="n"/>
      <c r="F41" s="15" t="n"/>
      <c r="G41" s="15" t="n"/>
      <c r="H41" s="15" t="n"/>
      <c r="I41" s="15" t="n"/>
      <c r="J41" s="45" t="inlineStr">
        <is>
          <t xml:space="preserve">  ◀ 첨부 : 공사참여자 명부 · 관련 도면 · 사진</t>
        </is>
      </c>
    </row>
    <row r="42" ht="14" customHeight="1">
      <c r="A42" s="34" t="inlineStr">
        <is>
          <t>▼</t>
        </is>
      </c>
    </row>
    <row r="43" ht="30" customHeight="1">
      <c r="A43" s="10" t="inlineStr"/>
      <c r="D43" s="44" t="inlineStr">
        <is>
          <t>감 리 원(공사감독자) 현장 검측</t>
        </is>
      </c>
      <c r="E43" s="15" t="n"/>
      <c r="F43" s="15" t="n"/>
      <c r="G43" s="15" t="n"/>
      <c r="H43" s="15" t="n"/>
      <c r="I43" s="15" t="n"/>
      <c r="J43" s="45" t="inlineStr"/>
    </row>
    <row r="44" ht="14" customHeight="1">
      <c r="A44" s="34" t="inlineStr">
        <is>
          <t>▼</t>
        </is>
      </c>
    </row>
    <row r="45" ht="30" customHeight="1">
      <c r="A45" s="10" t="inlineStr"/>
      <c r="D45" s="44" t="inlineStr">
        <is>
          <t>검측 결과 통보</t>
        </is>
      </c>
      <c r="E45" s="15" t="n"/>
      <c r="F45" s="15" t="n"/>
      <c r="G45" s="15" t="n"/>
      <c r="H45" s="15" t="n"/>
      <c r="I45" s="15" t="n"/>
      <c r="J45" s="45" t="inlineStr">
        <is>
          <t xml:space="preserve">  ◀ 불합격 시 → 재시공 · 보완 후 다시 검측 요청</t>
        </is>
      </c>
    </row>
    <row r="46" ht="14" customHeight="1">
      <c r="A46" s="34" t="inlineStr">
        <is>
          <t>▼</t>
        </is>
      </c>
    </row>
    <row r="47" ht="30" customHeight="1">
      <c r="A47" s="10" t="inlineStr"/>
      <c r="D47" s="44" t="inlineStr">
        <is>
          <t>합격 시 다음 단계 공종 착수</t>
        </is>
      </c>
      <c r="E47" s="15" t="n"/>
      <c r="F47" s="15" t="n"/>
      <c r="G47" s="15" t="n"/>
      <c r="H47" s="15" t="n"/>
      <c r="I47" s="15" t="n"/>
      <c r="J47" s="45" t="inlineStr"/>
    </row>
    <row r="48" ht="21" customHeight="1">
      <c r="A48" s="38" t="inlineStr">
        <is>
          <t>5) 투입인원(일 단위)</t>
        </is>
      </c>
    </row>
    <row r="49" ht="24" customHeight="1">
      <c r="A49" s="25" t="inlineStr">
        <is>
          <t>구    분</t>
        </is>
      </c>
      <c r="B49" s="15" t="n"/>
      <c r="C49" s="15" t="n"/>
      <c r="D49" s="15" t="n"/>
      <c r="E49" s="25" t="inlineStr">
        <is>
          <t>단  위</t>
        </is>
      </c>
      <c r="F49" s="15" t="n"/>
      <c r="G49" s="25" t="inlineStr">
        <is>
          <t>수  량</t>
        </is>
      </c>
      <c r="H49" s="15" t="n"/>
      <c r="I49" s="25" t="inlineStr">
        <is>
          <t>비    고</t>
        </is>
      </c>
      <c r="J49" s="15" t="n"/>
      <c r="K49" s="15" t="n"/>
      <c r="L49" s="15" t="n"/>
    </row>
    <row r="50" ht="24" customHeight="1">
      <c r="A50" s="32" t="inlineStr">
        <is>
          <t>방수공</t>
        </is>
      </c>
      <c r="B50" s="15" t="n"/>
      <c r="C50" s="15" t="n"/>
      <c r="D50" s="15" t="n"/>
      <c r="E50" s="19" t="inlineStr">
        <is>
          <t>인</t>
        </is>
      </c>
      <c r="F50" s="15" t="n"/>
      <c r="G50" s="46" t="n">
        <v>3</v>
      </c>
      <c r="H50" s="15" t="n"/>
      <c r="I50" s="29" t="n"/>
      <c r="J50" s="15" t="n"/>
      <c r="K50" s="15" t="n"/>
      <c r="L50" s="15" t="n"/>
    </row>
    <row r="51" ht="24" customHeight="1">
      <c r="A51" s="32" t="inlineStr">
        <is>
          <t>특별인부</t>
        </is>
      </c>
      <c r="B51" s="15" t="n"/>
      <c r="C51" s="15" t="n"/>
      <c r="D51" s="15" t="n"/>
      <c r="E51" s="19" t="inlineStr">
        <is>
          <t>인</t>
        </is>
      </c>
      <c r="F51" s="15" t="n"/>
      <c r="G51" s="46" t="n">
        <v>1</v>
      </c>
      <c r="H51" s="15" t="n"/>
      <c r="I51" s="29" t="n"/>
      <c r="J51" s="15" t="n"/>
      <c r="K51" s="15" t="n"/>
      <c r="L51" s="15" t="n"/>
    </row>
    <row r="52" ht="24" customHeight="1">
      <c r="A52" s="32" t="inlineStr">
        <is>
          <t>보통인부</t>
        </is>
      </c>
      <c r="B52" s="15" t="n"/>
      <c r="C52" s="15" t="n"/>
      <c r="D52" s="15" t="n"/>
      <c r="E52" s="19" t="inlineStr">
        <is>
          <t>인</t>
        </is>
      </c>
      <c r="F52" s="15" t="n"/>
      <c r="G52" s="46" t="n">
        <v>2</v>
      </c>
      <c r="H52" s="15" t="n"/>
      <c r="I52" s="29" t="n"/>
      <c r="J52" s="15" t="n"/>
      <c r="K52" s="15" t="n"/>
      <c r="L52" s="15" t="n"/>
    </row>
    <row r="53" ht="24" customHeight="1">
      <c r="A53" s="30" t="inlineStr">
        <is>
          <t>계</t>
        </is>
      </c>
      <c r="B53" s="15" t="n"/>
      <c r="C53" s="15" t="n"/>
      <c r="D53" s="15" t="n"/>
      <c r="E53" s="30" t="inlineStr">
        <is>
          <t>인</t>
        </is>
      </c>
      <c r="F53" s="15" t="n"/>
      <c r="G53" s="47">
        <f>IF(SUM(G50,G51,G52)=0,"",SUM(G50,G51,G52))</f>
        <v/>
      </c>
      <c r="H53" s="15" t="n"/>
      <c r="I53" s="30" t="inlineStr"/>
      <c r="J53" s="15" t="n"/>
      <c r="K53" s="15" t="n"/>
      <c r="L53" s="15" t="n"/>
    </row>
    <row r="54" ht="21" customHeight="1">
      <c r="A54" s="38" t="inlineStr">
        <is>
          <t>6) 담수시험</t>
        </is>
      </c>
    </row>
    <row r="55" ht="20.5" customHeight="1">
      <c r="A55" s="39" t="inlineStr">
        <is>
          <t>(1)</t>
        </is>
      </c>
      <c r="B55" s="40" t="inlineStr">
        <is>
          <t>배수 관계 구멍(배수트랩 · 루프드레인)은 이물질이 들어가지 않도록 막는다.</t>
        </is>
      </c>
    </row>
    <row r="56" ht="36" customHeight="1">
      <c r="A56" s="39" t="inlineStr">
        <is>
          <t>(2)</t>
        </is>
      </c>
      <c r="B56" s="40" t="inlineStr">
        <is>
          <t>방수층 끝부분이 잠기지 않도록 물을 채우고 48시간 정도 누수 여부를 확인한다. 필요하면 치켜올림 높이까지 물을 채워 48시간 정도 더 확인할 수 있다.</t>
        </is>
      </c>
    </row>
    <row r="57" ht="20.5" customHeight="1">
      <c r="A57" s="39" t="inlineStr">
        <is>
          <t>(3)</t>
        </is>
      </c>
      <c r="B57" s="40" t="inlineStr">
        <is>
          <t>누수가 없음을 확인한 뒤 담수한 물을 배수구로 흘려보내 배수 상태를 확인한다.</t>
        </is>
      </c>
    </row>
    <row r="58" ht="3" customHeight="1"/>
    <row r="59" ht="22" customHeight="1">
      <c r="A59" s="37" t="inlineStr">
        <is>
          <t>6-2  규산질계 침투성방수</t>
        </is>
      </c>
    </row>
    <row r="60" ht="21" customHeight="1">
      <c r="A60" s="38" t="inlineStr">
        <is>
          <t>1) 일반사항</t>
        </is>
      </c>
    </row>
    <row r="61" ht="36" customHeight="1">
      <c r="A61" s="39" t="inlineStr">
        <is>
          <t>(1)</t>
        </is>
      </c>
      <c r="B61" s="40" t="inlineStr">
        <is>
          <t>건축물의 벽 · 바닥, 수조 및 피트 등에 무기질계 또는 무기 · 유기질계 혼합의 규산질계 도포 방수층을 시공할 때는 KS F 4918 을 적용한다.</t>
        </is>
      </c>
    </row>
    <row r="62" ht="36" customHeight="1">
      <c r="A62" s="39" t="inlineStr">
        <is>
          <t>(2)</t>
        </is>
      </c>
      <c r="B62" s="40" t="inlineStr">
        <is>
          <t>재료는 눈 · 비 · 직사광선이 닿지 않는 곳에 밀봉 상태로 보관하고, 손상된 자재나 유효기간이 지난 것은 즉시 현장 밖으로 반출한다.</t>
        </is>
      </c>
    </row>
    <row r="63" ht="21" customHeight="1">
      <c r="A63" s="38" t="inlineStr">
        <is>
          <t>2) 자재</t>
        </is>
      </c>
    </row>
    <row r="64" ht="51.5" customHeight="1">
      <c r="A64" s="39" t="inlineStr">
        <is>
          <t>(1)</t>
        </is>
      </c>
      <c r="B64" s="40" t="inlineStr">
        <is>
          <t>규산질계 분말형 도포 방수재 — 무기질계 분체에 물을 섞는 것과, 무기질계 분체에 폴리머 분산제와 물을 섞는 것 2가지가 있으며, 품질은 KS F 4918 의 성능 기준에 맞는 것을 쓴다.</t>
        </is>
      </c>
    </row>
    <row r="65" ht="20.5" customHeight="1">
      <c r="A65" s="39" t="inlineStr">
        <is>
          <t>(2)</t>
        </is>
      </c>
      <c r="B65" s="40" t="inlineStr">
        <is>
          <t>물 — 유해량의 염분 · 철분 · 이온 및 유기물이 없는 깨끗한 물을 쓴다.</t>
        </is>
      </c>
    </row>
    <row r="66" ht="20" customHeight="1">
      <c r="A66" s="41" t="inlineStr">
        <is>
          <t>[ 규산질계 도포 방수재의 표준 배합비(질량비) ]</t>
        </is>
      </c>
    </row>
    <row r="67" ht="24" customHeight="1">
      <c r="A67" s="25" t="inlineStr">
        <is>
          <t>배 합 재 료</t>
        </is>
      </c>
      <c r="B67" s="15" t="n"/>
      <c r="C67" s="15" t="n"/>
      <c r="D67" s="15" t="n"/>
      <c r="E67" s="25" t="inlineStr">
        <is>
          <t>무기질계 분체 + 물</t>
        </is>
      </c>
      <c r="F67" s="15" t="n"/>
      <c r="G67" s="15" t="n"/>
      <c r="H67" s="15" t="n"/>
      <c r="I67" s="25" t="inlineStr">
        <is>
          <t>무기질계 분체 + 폴리머 분산제 + 물</t>
        </is>
      </c>
      <c r="J67" s="15" t="n"/>
      <c r="K67" s="15" t="n"/>
      <c r="L67" s="15" t="n"/>
    </row>
    <row r="68" ht="24" customHeight="1">
      <c r="A68" s="42" t="inlineStr">
        <is>
          <t>무기질계 분체</t>
        </is>
      </c>
      <c r="B68" s="15" t="n"/>
      <c r="C68" s="15" t="n"/>
      <c r="D68" s="15" t="n"/>
      <c r="E68" s="42" t="inlineStr">
        <is>
          <t>100</t>
        </is>
      </c>
      <c r="F68" s="15" t="n"/>
      <c r="G68" s="15" t="n"/>
      <c r="H68" s="15" t="n"/>
      <c r="I68" s="42" t="inlineStr">
        <is>
          <t>100</t>
        </is>
      </c>
      <c r="J68" s="15" t="n"/>
      <c r="K68" s="15" t="n"/>
      <c r="L68" s="15" t="n"/>
    </row>
    <row r="69" ht="24" customHeight="1">
      <c r="A69" s="42" t="inlineStr">
        <is>
          <t>물</t>
        </is>
      </c>
      <c r="B69" s="15" t="n"/>
      <c r="C69" s="15" t="n"/>
      <c r="D69" s="15" t="n"/>
      <c r="E69" s="42" t="inlineStr">
        <is>
          <t>25 ~ 35</t>
        </is>
      </c>
      <c r="F69" s="15" t="n"/>
      <c r="G69" s="15" t="n"/>
      <c r="H69" s="15" t="n"/>
      <c r="I69" s="42" t="inlineStr">
        <is>
          <t>20 ~ 30</t>
        </is>
      </c>
      <c r="J69" s="15" t="n"/>
      <c r="K69" s="15" t="n"/>
      <c r="L69" s="15" t="n"/>
    </row>
    <row r="70" ht="24" customHeight="1">
      <c r="A70" s="42" t="inlineStr">
        <is>
          <t>에멀션 또는 라텍스</t>
        </is>
      </c>
      <c r="B70" s="15" t="n"/>
      <c r="C70" s="15" t="n"/>
      <c r="D70" s="15" t="n"/>
      <c r="E70" s="42" t="inlineStr">
        <is>
          <t>—</t>
        </is>
      </c>
      <c r="F70" s="15" t="n"/>
      <c r="G70" s="15" t="n"/>
      <c r="H70" s="15" t="n"/>
      <c r="I70" s="42" t="inlineStr">
        <is>
          <t>5 ~ 10</t>
        </is>
      </c>
      <c r="J70" s="15" t="n"/>
      <c r="K70" s="15" t="n"/>
      <c r="L70" s="15" t="n"/>
    </row>
    <row r="71" ht="21" customHeight="1">
      <c r="A71" s="38" t="inlineStr">
        <is>
          <t>3) 시공</t>
        </is>
      </c>
    </row>
    <row r="72" ht="21" customHeight="1">
      <c r="A72" s="10" t="inlineStr"/>
      <c r="B72" s="38" t="inlineStr">
        <is>
          <t>(1) 바탕처리</t>
        </is>
      </c>
    </row>
    <row r="73" ht="20.5" customHeight="1">
      <c r="A73" s="39" t="inlineStr">
        <is>
          <t>가.</t>
        </is>
      </c>
      <c r="C73" s="40" t="inlineStr">
        <is>
          <t>바탕은 현장타설 철근콘크리트를 표준으로 한다.</t>
        </is>
      </c>
    </row>
    <row r="74" ht="36" customHeight="1">
      <c r="A74" s="39" t="inlineStr">
        <is>
          <t>나.</t>
        </is>
      </c>
      <c r="C74" s="40" t="inlineStr">
        <is>
          <t>실내 바닥 등은 1/100 ~ 1/50 의 물매로 되어 있어야 하며, 물이 고이지 않고 빨리 빠지게 한다.</t>
        </is>
      </c>
    </row>
    <row r="75" ht="20.5" customHeight="1">
      <c r="A75" s="39" t="inlineStr">
        <is>
          <t>다.</t>
        </is>
      </c>
      <c r="C75" s="40" t="inlineStr">
        <is>
          <t>평면부 바탕 콘크리트 표면은 쇠흙손 등으로 평활하게 마무리한다.</t>
        </is>
      </c>
    </row>
    <row r="76" ht="36" customHeight="1">
      <c r="A76" s="39" t="inlineStr">
        <is>
          <t>라.</t>
        </is>
      </c>
      <c r="C76" s="40" t="inlineStr">
        <is>
          <t>치켜올림부 콘크리트는 제물마감으로 하고, 거푸집 고정재 구멍이나 타설층 표면의 구멍은 폴리머 시멘트 모르타르 등으로 메워 평탄하게 마무리한다.</t>
        </is>
      </c>
    </row>
    <row r="77" ht="20.5" customHeight="1">
      <c r="A77" s="39" t="inlineStr">
        <is>
          <t>마.</t>
        </is>
      </c>
      <c r="C77" s="40" t="inlineStr">
        <is>
          <t>치켜올림부는 방수층 끝부분 처리가 충분히 되는 형상 · 높이로 한다.</t>
        </is>
      </c>
    </row>
    <row r="78" ht="36" customHeight="1">
      <c r="A78" s="39" t="inlineStr">
        <is>
          <t>바.</t>
        </is>
      </c>
      <c r="C78" s="40" t="inlineStr">
        <is>
          <t>방수 시공 직전 바탕 전반은 평탄하고, 휨 · 단차 · 들뜸 · 레이턴스 · 취약부 · 돌기 · 곰보 · 균열이 없어야 한다.</t>
        </is>
      </c>
    </row>
    <row r="79" ht="21" customHeight="1">
      <c r="A79" s="10" t="inlineStr"/>
      <c r="B79" s="38" t="inlineStr">
        <is>
          <t>(2) 방수재의 비빔</t>
        </is>
      </c>
    </row>
    <row r="80" ht="36" customHeight="1">
      <c r="A80" s="39" t="inlineStr">
        <is>
          <t>가.</t>
        </is>
      </c>
      <c r="C80" s="40" t="inlineStr">
        <is>
          <t>방수재는 제조자가 지정하는 양의 물을 넣은 뒤 전동 비빔기 또는 손 비빔으로 균질해질 때까지 비빈다.</t>
        </is>
      </c>
    </row>
    <row r="81" ht="20.5" customHeight="1">
      <c r="A81" s="39" t="inlineStr">
        <is>
          <t>나.</t>
        </is>
      </c>
      <c r="C81" s="40" t="inlineStr">
        <is>
          <t>비빔은 기온 5 ~ 40℃ 범위에서 한다.</t>
        </is>
      </c>
    </row>
    <row r="82" ht="21" customHeight="1">
      <c r="A82" s="10" t="inlineStr"/>
      <c r="B82" s="38" t="inlineStr">
        <is>
          <t>(3) 방수재 도포</t>
        </is>
      </c>
    </row>
    <row r="83" ht="36" customHeight="1">
      <c r="A83" s="39" t="inlineStr">
        <is>
          <t>가.</t>
        </is>
      </c>
      <c r="C83" s="40" t="inlineStr">
        <is>
          <t>방수재는 솔 · 흙손 · 뿜칠 · 롤러 등으로 콘크리트 면에 고르게 바른다. 솔로 바를 때는 바름 방향을 일정하게 한다.</t>
        </is>
      </c>
    </row>
    <row r="84" ht="36" customHeight="1">
      <c r="A84" s="39" t="inlineStr">
        <is>
          <t>나.</t>
        </is>
      </c>
      <c r="C84" s="40" t="inlineStr">
        <is>
          <t>앞 공정에서 바른 방수재가 손가락으로 눌러 묻어나지 않을 때 다음 공정을 시작한다.</t>
        </is>
      </c>
    </row>
    <row r="85" ht="20.5" customHeight="1">
      <c r="A85" s="39" t="inlineStr">
        <is>
          <t>다.</t>
        </is>
      </c>
      <c r="C85" s="40" t="inlineStr">
        <is>
          <t>앞 공정 뒤 24시간 이상 지나 다음 공정을 시작할 때는 물을 뿌린다.</t>
        </is>
      </c>
    </row>
    <row r="86" ht="36" customHeight="1">
      <c r="A86" s="39" t="inlineStr">
        <is>
          <t>라.</t>
        </is>
      </c>
      <c r="C86" s="40" t="inlineStr">
        <is>
          <t>앞 공정의 방수재가 완전히 말라 손가락으로 눌러 하얗게 묻어나거나 백화와 비슷한 상태가 되면 방수층을 걷어 내고 다시 시공한다.</t>
        </is>
      </c>
    </row>
    <row r="87" ht="21" customHeight="1">
      <c r="A87" s="10" t="inlineStr"/>
      <c r="B87" s="38" t="inlineStr">
        <is>
          <t>(4) 양생 및 점검</t>
        </is>
      </c>
    </row>
    <row r="88" ht="20.5" customHeight="1">
      <c r="A88" s="39" t="inlineStr">
        <is>
          <t>가.</t>
        </is>
      </c>
      <c r="C88" s="40" t="inlineStr">
        <is>
          <t>도포를 마친 뒤 48시간 이상 알맞게 양생한다.</t>
        </is>
      </c>
    </row>
    <row r="89" ht="36" customHeight="1">
      <c r="A89" s="39" t="inlineStr">
        <is>
          <t>나.</t>
        </is>
      </c>
      <c r="C89" s="40" t="inlineStr">
        <is>
          <t>직사광선 · 바람 · 고온으로 급히 마를 우려가 있으면 물을 뿌리거나 시트 등으로 보호하여 양생한다.</t>
        </is>
      </c>
    </row>
    <row r="90" ht="20.5" customHeight="1">
      <c r="A90" s="39" t="inlineStr">
        <is>
          <t>다.</t>
        </is>
      </c>
      <c r="C90" s="40" t="inlineStr">
        <is>
          <t>밀폐된 곳에서 결로가 예상되면 환기 · 통풍 · 제습 등을 한다.</t>
        </is>
      </c>
    </row>
    <row r="91" ht="20.5" customHeight="1">
      <c r="A91" s="39" t="inlineStr">
        <is>
          <t>라.</t>
        </is>
      </c>
      <c r="C91" s="40" t="inlineStr">
        <is>
          <t>저온으로 얼 우려가 있으면 보온덮개 · 시트 등으로 보호하여 양생한다.</t>
        </is>
      </c>
    </row>
    <row r="92" ht="20.5" customHeight="1">
      <c r="A92" s="39" t="inlineStr">
        <is>
          <t>마.</t>
        </is>
      </c>
      <c r="C92" s="40" t="inlineStr">
        <is>
          <t>양생이 끝난 방수층은 부착강도를 측정하여 성능을 확인한다.</t>
        </is>
      </c>
    </row>
    <row r="93" ht="21" customHeight="1">
      <c r="A93" s="38" t="inlineStr">
        <is>
          <t>4) 검측 흐름(FLOW CHART)</t>
        </is>
      </c>
    </row>
    <row r="94" ht="30" customHeight="1">
      <c r="A94" s="10" t="inlineStr"/>
      <c r="D94" s="44" t="inlineStr">
        <is>
          <t>현장 시공 완료</t>
        </is>
      </c>
      <c r="E94" s="15" t="n"/>
      <c r="F94" s="15" t="n"/>
      <c r="G94" s="15" t="n"/>
      <c r="H94" s="15" t="n"/>
      <c r="I94" s="15" t="n"/>
      <c r="J94" s="45" t="inlineStr"/>
    </row>
    <row r="95" ht="14" customHeight="1">
      <c r="A95" s="34" t="inlineStr">
        <is>
          <t>▼</t>
        </is>
      </c>
    </row>
    <row r="96" ht="30" customHeight="1">
      <c r="A96" s="10" t="inlineStr"/>
      <c r="D96" s="44" t="inlineStr">
        <is>
          <t>시공자 · 담당기술자 점검</t>
        </is>
      </c>
      <c r="E96" s="15" t="n"/>
      <c r="F96" s="15" t="n"/>
      <c r="G96" s="15" t="n"/>
      <c r="H96" s="15" t="n"/>
      <c r="I96" s="15" t="n"/>
      <c r="J96" s="45" t="inlineStr">
        <is>
          <t xml:space="preserve">  ◀ 첨부 : 시공자 점검표</t>
        </is>
      </c>
    </row>
    <row r="97" ht="14" customHeight="1">
      <c r="A97" s="34" t="inlineStr">
        <is>
          <t>▼</t>
        </is>
      </c>
    </row>
    <row r="98" ht="30" customHeight="1">
      <c r="A98" s="10" t="inlineStr"/>
      <c r="D98" s="44" t="inlineStr">
        <is>
          <t>검측요청서 제출</t>
        </is>
      </c>
      <c r="E98" s="15" t="n"/>
      <c r="F98" s="15" t="n"/>
      <c r="G98" s="15" t="n"/>
      <c r="H98" s="15" t="n"/>
      <c r="I98" s="15" t="n"/>
      <c r="J98" s="45" t="inlineStr">
        <is>
          <t xml:space="preserve">  ◀ 첨부 : 공사참여자 명부 · 관련 도면 · 사진</t>
        </is>
      </c>
    </row>
    <row r="99" ht="14" customHeight="1">
      <c r="A99" s="34" t="inlineStr">
        <is>
          <t>▼</t>
        </is>
      </c>
    </row>
    <row r="100" ht="30" customHeight="1">
      <c r="A100" s="10" t="inlineStr"/>
      <c r="D100" s="44" t="inlineStr">
        <is>
          <t>감 리 원(공사감독자) 현장 검측</t>
        </is>
      </c>
      <c r="E100" s="15" t="n"/>
      <c r="F100" s="15" t="n"/>
      <c r="G100" s="15" t="n"/>
      <c r="H100" s="15" t="n"/>
      <c r="I100" s="15" t="n"/>
      <c r="J100" s="45" t="inlineStr"/>
    </row>
    <row r="101" ht="14" customHeight="1">
      <c r="A101" s="34" t="inlineStr">
        <is>
          <t>▼</t>
        </is>
      </c>
    </row>
    <row r="102" ht="30" customHeight="1">
      <c r="A102" s="10" t="inlineStr"/>
      <c r="D102" s="44" t="inlineStr">
        <is>
          <t>검측 결과 통보</t>
        </is>
      </c>
      <c r="E102" s="15" t="n"/>
      <c r="F102" s="15" t="n"/>
      <c r="G102" s="15" t="n"/>
      <c r="H102" s="15" t="n"/>
      <c r="I102" s="15" t="n"/>
      <c r="J102" s="45" t="inlineStr">
        <is>
          <t xml:space="preserve">  ◀ 불합격 시 → 재시공 · 보완 후 다시 검측 요청</t>
        </is>
      </c>
    </row>
    <row r="103" ht="14" customHeight="1">
      <c r="A103" s="34" t="inlineStr">
        <is>
          <t>▼</t>
        </is>
      </c>
    </row>
    <row r="104" ht="30" customHeight="1">
      <c r="A104" s="10" t="inlineStr"/>
      <c r="D104" s="44" t="inlineStr">
        <is>
          <t>합격 시 다음 단계 공종 착수</t>
        </is>
      </c>
      <c r="E104" s="15" t="n"/>
      <c r="F104" s="15" t="n"/>
      <c r="G104" s="15" t="n"/>
      <c r="H104" s="15" t="n"/>
      <c r="I104" s="15" t="n"/>
      <c r="J104" s="45" t="inlineStr"/>
    </row>
    <row r="105" ht="21" customHeight="1">
      <c r="A105" s="38" t="inlineStr">
        <is>
          <t>5) 투입인원(일 단위)</t>
        </is>
      </c>
    </row>
    <row r="106" ht="24" customHeight="1">
      <c r="A106" s="25" t="inlineStr">
        <is>
          <t>구    분</t>
        </is>
      </c>
      <c r="B106" s="15" t="n"/>
      <c r="C106" s="15" t="n"/>
      <c r="D106" s="15" t="n"/>
      <c r="E106" s="25" t="inlineStr">
        <is>
          <t>단  위</t>
        </is>
      </c>
      <c r="F106" s="15" t="n"/>
      <c r="G106" s="25" t="inlineStr">
        <is>
          <t>수  량</t>
        </is>
      </c>
      <c r="H106" s="15" t="n"/>
      <c r="I106" s="25" t="inlineStr">
        <is>
          <t>비    고</t>
        </is>
      </c>
      <c r="J106" s="15" t="n"/>
      <c r="K106" s="15" t="n"/>
      <c r="L106" s="15" t="n"/>
    </row>
    <row r="107" ht="24" customHeight="1">
      <c r="A107" s="32" t="inlineStr">
        <is>
          <t>방수공</t>
        </is>
      </c>
      <c r="B107" s="15" t="n"/>
      <c r="C107" s="15" t="n"/>
      <c r="D107" s="15" t="n"/>
      <c r="E107" s="19" t="inlineStr">
        <is>
          <t>인</t>
        </is>
      </c>
      <c r="F107" s="15" t="n"/>
      <c r="G107" s="46" t="n">
        <v>4</v>
      </c>
      <c r="H107" s="15" t="n"/>
      <c r="I107" s="29" t="n"/>
      <c r="J107" s="15" t="n"/>
      <c r="K107" s="15" t="n"/>
      <c r="L107" s="15" t="n"/>
    </row>
    <row r="108" ht="24" customHeight="1">
      <c r="A108" s="32" t="inlineStr">
        <is>
          <t>특별인부</t>
        </is>
      </c>
      <c r="B108" s="15" t="n"/>
      <c r="C108" s="15" t="n"/>
      <c r="D108" s="15" t="n"/>
      <c r="E108" s="19" t="inlineStr">
        <is>
          <t>인</t>
        </is>
      </c>
      <c r="F108" s="15" t="n"/>
      <c r="G108" s="46" t="n">
        <v>1</v>
      </c>
      <c r="H108" s="15" t="n"/>
      <c r="I108" s="29" t="n"/>
      <c r="J108" s="15" t="n"/>
      <c r="K108" s="15" t="n"/>
      <c r="L108" s="15" t="n"/>
    </row>
    <row r="109" ht="24" customHeight="1">
      <c r="A109" s="32" t="inlineStr">
        <is>
          <t>보통인부</t>
        </is>
      </c>
      <c r="B109" s="15" t="n"/>
      <c r="C109" s="15" t="n"/>
      <c r="D109" s="15" t="n"/>
      <c r="E109" s="19" t="inlineStr">
        <is>
          <t>인</t>
        </is>
      </c>
      <c r="F109" s="15" t="n"/>
      <c r="G109" s="46" t="n">
        <v>3</v>
      </c>
      <c r="H109" s="15" t="n"/>
      <c r="I109" s="29" t="n"/>
      <c r="J109" s="15" t="n"/>
      <c r="K109" s="15" t="n"/>
      <c r="L109" s="15" t="n"/>
    </row>
    <row r="110" ht="24" customHeight="1">
      <c r="A110" s="30" t="inlineStr">
        <is>
          <t>계</t>
        </is>
      </c>
      <c r="B110" s="15" t="n"/>
      <c r="C110" s="15" t="n"/>
      <c r="D110" s="15" t="n"/>
      <c r="E110" s="30" t="inlineStr">
        <is>
          <t>인</t>
        </is>
      </c>
      <c r="F110" s="15" t="n"/>
      <c r="G110" s="47">
        <f>IF(SUM(G107,G108,G109)=0,"",SUM(G107,G108,G109))</f>
        <v/>
      </c>
      <c r="H110" s="15" t="n"/>
      <c r="I110" s="30" t="inlineStr"/>
      <c r="J110" s="15" t="n"/>
      <c r="K110" s="15" t="n"/>
      <c r="L110" s="15" t="n"/>
    </row>
    <row r="111" ht="3" customHeight="1"/>
    <row r="112" ht="22" customHeight="1">
      <c r="A112" s="37" t="inlineStr">
        <is>
          <t>6-3  아스팔트 프라이머 방수</t>
        </is>
      </c>
    </row>
    <row r="113" ht="21" customHeight="1">
      <c r="A113" s="38" t="inlineStr">
        <is>
          <t>1) 일반사항</t>
        </is>
      </c>
    </row>
    <row r="114" ht="36" customHeight="1">
      <c r="A114" s="39" t="inlineStr">
        <is>
          <t>(1)</t>
        </is>
      </c>
      <c r="B114" s="40" t="inlineStr">
        <is>
          <t>지하 구체 외면 방수는 건축물의 일반 지하층 · 지하주차장 · 지하수조 · 공동구 등 지하 구조체의 바깥면(흙과 닿는 면)을 물이 스며들지 않게 막는 방수공사에 적용한다.</t>
        </is>
      </c>
    </row>
    <row r="115" ht="36" customHeight="1">
      <c r="A115" s="39" t="inlineStr">
        <is>
          <t>(2)</t>
        </is>
      </c>
      <c r="B115" s="40" t="inlineStr">
        <is>
          <t>지하 구조물에 쓰는 방수공법은 시공이 쉽고 시공 품질이 안정되며 결함부 처리가 쉬워야 한다.</t>
        </is>
      </c>
    </row>
    <row r="116" ht="21" customHeight="1">
      <c r="A116" s="38" t="inlineStr">
        <is>
          <t>2) 자재</t>
        </is>
      </c>
    </row>
    <row r="117" ht="36" customHeight="1">
      <c r="A117" s="39" t="inlineStr">
        <is>
          <t>(1)</t>
        </is>
      </c>
      <c r="B117" s="40" t="inlineStr">
        <is>
          <t>아스팔트 프라이머는 솔 · 롤러로 바르기에 지장이 없어야 하며, 아스팔트(침입도 10 ~ 30 정도)를 휘발성 용제에 녹인 것으로 한다.</t>
        </is>
      </c>
    </row>
    <row r="118" ht="36" customHeight="1">
      <c r="A118" s="39" t="inlineStr">
        <is>
          <t>(2)</t>
        </is>
      </c>
      <c r="B118" s="40" t="inlineStr">
        <is>
          <t>방수재는 창고에 보관하며, 수화 · 팽창 특성 등이 있는 기능성 방수재는 보관 · 이동 · 작업 중 먼지 · 수분 등 해로운 물질이 표면에 묻지 않게 한다.</t>
        </is>
      </c>
    </row>
    <row r="119" ht="36" customHeight="1">
      <c r="A119" s="39" t="inlineStr">
        <is>
          <t>(3)</t>
        </is>
      </c>
      <c r="B119" s="40" t="inlineStr">
        <is>
          <t>밖에 쌓아 둘 때는 비 · 서리를 맞지 않고 직사광선을 피하는 곳에 두며, 도막재는 밀봉 상태로 보관한다.</t>
        </is>
      </c>
    </row>
    <row r="120" ht="21" customHeight="1">
      <c r="A120" s="38" t="inlineStr">
        <is>
          <t>3) 시공</t>
        </is>
      </c>
    </row>
    <row r="121" ht="21" customHeight="1">
      <c r="A121" s="10" t="inlineStr"/>
      <c r="B121" s="38" t="inlineStr">
        <is>
          <t>(1) 바탕처리</t>
        </is>
      </c>
    </row>
    <row r="122" ht="51.5" customHeight="1">
      <c r="A122" s="39" t="inlineStr">
        <is>
          <t>가.</t>
        </is>
      </c>
      <c r="C122" s="40" t="inlineStr">
        <is>
          <t>바탕면에 붙은 흙 · 먼지 · 모래 · 자갈 및 레이턴스 등은 정 · 와이어브러시 등으로 제거하고, 지푸라기 · 못 · 철선 등이 모체에 깊이 박힌 부분은 충분한 깊이까지 파낸다.</t>
        </is>
      </c>
    </row>
    <row r="123" ht="36" customHeight="1">
      <c r="A123" s="39" t="inlineStr">
        <is>
          <t>나.</t>
        </is>
      </c>
      <c r="C123" s="40" t="inlineStr">
        <is>
          <t>모르타르 · 콘크리트의 불량 부분, 균열이 생긴 부분 및 그 밖의 부실한 부분은 제거 · 보수하여 충분한 강도가 있는 건실한 모체로 만든 다음 방수층을 시공한다.</t>
        </is>
      </c>
    </row>
    <row r="124" ht="36" customHeight="1">
      <c r="A124" s="39" t="inlineStr">
        <is>
          <t>다.</t>
        </is>
      </c>
      <c r="C124" s="40" t="inlineStr">
        <is>
          <t>모체에 건조 균열이 진행 중이라고 인정되는 곳이나 방수층에 결함이 생길 우려가 있는 부분은 담당자와 협의하여 대책을 세운다.</t>
        </is>
      </c>
    </row>
    <row r="125" ht="20.5" customHeight="1">
      <c r="A125" s="39" t="inlineStr">
        <is>
          <t>라.</t>
        </is>
      </c>
      <c r="C125" s="40" t="inlineStr">
        <is>
          <t>바탕처리 후에는 물 씻기 등으로 완전히 청소하고 건조한 다음 방수공사를 한다.</t>
        </is>
      </c>
    </row>
    <row r="126" ht="21" customHeight="1">
      <c r="A126" s="10" t="inlineStr"/>
      <c r="B126" s="38" t="inlineStr">
        <is>
          <t>(2) 프라이머 도포</t>
        </is>
      </c>
    </row>
    <row r="127" ht="20.5" customHeight="1">
      <c r="A127" s="39" t="inlineStr">
        <is>
          <t>가.</t>
        </is>
      </c>
      <c r="C127" s="40" t="inlineStr">
        <is>
          <t>아스팔트 프라이머는 솔 · 롤러 또는 스프레이로 바른다.</t>
        </is>
      </c>
    </row>
    <row r="128" ht="36" customHeight="1">
      <c r="A128" s="39" t="inlineStr">
        <is>
          <t>나.</t>
        </is>
      </c>
      <c r="C128" s="40" t="inlineStr">
        <is>
          <t>바름량은 0.3 ~ 0.4 ℓ/㎡ 로 전체를 고르게 발라 건조시킨다(콘크리트 면 상태에 따라 가감할 수 있음).</t>
        </is>
      </c>
    </row>
    <row r="129" ht="36" customHeight="1">
      <c r="A129" s="39" t="inlineStr">
        <is>
          <t>다.</t>
        </is>
      </c>
      <c r="C129" s="40" t="inlineStr">
        <is>
          <t>프라이머가 마르기 전에 비를 맞았거나 오래 방치한 경우, 마른 뒤 손상된 부위를 다시 바른다.</t>
        </is>
      </c>
    </row>
    <row r="130" ht="21" customHeight="1">
      <c r="A130" s="38" t="inlineStr">
        <is>
          <t>4) 방수층 보호재 시공</t>
        </is>
      </c>
    </row>
    <row r="131" ht="20.5" customHeight="1">
      <c r="A131" s="39" t="inlineStr">
        <is>
          <t>(1)</t>
        </is>
      </c>
      <c r="B131" s="40" t="inlineStr">
        <is>
          <t>보호재 접착에 방해가 되는 방수층 표면의 습기 · 흙 등 이물질을 완전히 없앤다.</t>
        </is>
      </c>
    </row>
    <row r="132" ht="20.5" customHeight="1">
      <c r="A132" s="39" t="inlineStr">
        <is>
          <t>(2)</t>
        </is>
      </c>
      <c r="B132" s="40" t="inlineStr">
        <is>
          <t>겨울철에는 접착력을 높이려 토치 열을 써도 되며, 자를 때는 곧게 자른다.</t>
        </is>
      </c>
    </row>
    <row r="133" ht="20.5" customHeight="1">
      <c r="A133" s="39" t="inlineStr">
        <is>
          <t>(3)</t>
        </is>
      </c>
      <c r="B133" s="40" t="inlineStr">
        <is>
          <t>보호재는 방수층이 굳은 뒤 바로 붙이며, 이형지를 떼어 낸 뒤 힘을 주어 눌러 붙인다.</t>
        </is>
      </c>
    </row>
    <row r="134" ht="36" customHeight="1">
      <c r="A134" s="39" t="inlineStr">
        <is>
          <t>(4)</t>
        </is>
      </c>
      <c r="B134" s="40" t="inlineStr">
        <is>
          <t>지하층 되메우기는 보호재 시공 후 2일 이내에 하고, 잡석 · 이물질로 보호재와 방수층이 상하지 않게 한다.</t>
        </is>
      </c>
    </row>
    <row r="135" ht="21" customHeight="1">
      <c r="A135" s="38" t="inlineStr">
        <is>
          <t>5) 검측 흐름(FLOW CHART)</t>
        </is>
      </c>
    </row>
    <row r="136" ht="30" customHeight="1">
      <c r="A136" s="10" t="inlineStr"/>
      <c r="D136" s="44" t="inlineStr">
        <is>
          <t>현장 시공 완료</t>
        </is>
      </c>
      <c r="E136" s="15" t="n"/>
      <c r="F136" s="15" t="n"/>
      <c r="G136" s="15" t="n"/>
      <c r="H136" s="15" t="n"/>
      <c r="I136" s="15" t="n"/>
      <c r="J136" s="45" t="inlineStr"/>
    </row>
    <row r="137" ht="14" customHeight="1">
      <c r="A137" s="34" t="inlineStr">
        <is>
          <t>▼</t>
        </is>
      </c>
    </row>
    <row r="138" ht="30" customHeight="1">
      <c r="A138" s="10" t="inlineStr"/>
      <c r="D138" s="44" t="inlineStr">
        <is>
          <t>시공자 · 담당기술자 점검</t>
        </is>
      </c>
      <c r="E138" s="15" t="n"/>
      <c r="F138" s="15" t="n"/>
      <c r="G138" s="15" t="n"/>
      <c r="H138" s="15" t="n"/>
      <c r="I138" s="15" t="n"/>
      <c r="J138" s="45" t="inlineStr">
        <is>
          <t xml:space="preserve">  ◀ 첨부 : 시공자 점검표</t>
        </is>
      </c>
    </row>
    <row r="139" ht="14" customHeight="1">
      <c r="A139" s="34" t="inlineStr">
        <is>
          <t>▼</t>
        </is>
      </c>
    </row>
    <row r="140" ht="30" customHeight="1">
      <c r="A140" s="10" t="inlineStr"/>
      <c r="D140" s="44" t="inlineStr">
        <is>
          <t>검측요청서 제출</t>
        </is>
      </c>
      <c r="E140" s="15" t="n"/>
      <c r="F140" s="15" t="n"/>
      <c r="G140" s="15" t="n"/>
      <c r="H140" s="15" t="n"/>
      <c r="I140" s="15" t="n"/>
      <c r="J140" s="45" t="inlineStr">
        <is>
          <t xml:space="preserve">  ◀ 첨부 : 공사참여자 명부 · 관련 도면 · 사진</t>
        </is>
      </c>
    </row>
    <row r="141" ht="14" customHeight="1">
      <c r="A141" s="34" t="inlineStr">
        <is>
          <t>▼</t>
        </is>
      </c>
    </row>
    <row r="142" ht="30" customHeight="1">
      <c r="A142" s="10" t="inlineStr"/>
      <c r="D142" s="44" t="inlineStr">
        <is>
          <t>감 리 원(공사감독자) 현장 검측</t>
        </is>
      </c>
      <c r="E142" s="15" t="n"/>
      <c r="F142" s="15" t="n"/>
      <c r="G142" s="15" t="n"/>
      <c r="H142" s="15" t="n"/>
      <c r="I142" s="15" t="n"/>
      <c r="J142" s="45" t="inlineStr"/>
    </row>
    <row r="143" ht="14" customHeight="1">
      <c r="A143" s="34" t="inlineStr">
        <is>
          <t>▼</t>
        </is>
      </c>
    </row>
    <row r="144" ht="30" customHeight="1">
      <c r="A144" s="10" t="inlineStr"/>
      <c r="D144" s="44" t="inlineStr">
        <is>
          <t>검측 결과 통보</t>
        </is>
      </c>
      <c r="E144" s="15" t="n"/>
      <c r="F144" s="15" t="n"/>
      <c r="G144" s="15" t="n"/>
      <c r="H144" s="15" t="n"/>
      <c r="I144" s="15" t="n"/>
      <c r="J144" s="45" t="inlineStr">
        <is>
          <t xml:space="preserve">  ◀ 불합격 시 → 재시공 · 보완 후 다시 검측 요청</t>
        </is>
      </c>
    </row>
    <row r="145" ht="14" customHeight="1">
      <c r="A145" s="34" t="inlineStr">
        <is>
          <t>▼</t>
        </is>
      </c>
    </row>
    <row r="146" ht="30" customHeight="1">
      <c r="A146" s="10" t="inlineStr"/>
      <c r="D146" s="44" t="inlineStr">
        <is>
          <t>합격 시 다음 단계 공종 착수</t>
        </is>
      </c>
      <c r="E146" s="15" t="n"/>
      <c r="F146" s="15" t="n"/>
      <c r="G146" s="15" t="n"/>
      <c r="H146" s="15" t="n"/>
      <c r="I146" s="15" t="n"/>
      <c r="J146" s="45" t="inlineStr"/>
    </row>
    <row r="147" ht="21" customHeight="1">
      <c r="A147" s="38" t="inlineStr">
        <is>
          <t>6) 투입인원(일 단위)</t>
        </is>
      </c>
    </row>
    <row r="148" ht="24" customHeight="1">
      <c r="A148" s="25" t="inlineStr">
        <is>
          <t>구    분</t>
        </is>
      </c>
      <c r="B148" s="15" t="n"/>
      <c r="C148" s="15" t="n"/>
      <c r="D148" s="15" t="n"/>
      <c r="E148" s="25" t="inlineStr">
        <is>
          <t>단  위</t>
        </is>
      </c>
      <c r="F148" s="15" t="n"/>
      <c r="G148" s="25" t="inlineStr">
        <is>
          <t>수  량</t>
        </is>
      </c>
      <c r="H148" s="15" t="n"/>
      <c r="I148" s="25" t="inlineStr">
        <is>
          <t>비    고</t>
        </is>
      </c>
      <c r="J148" s="15" t="n"/>
      <c r="K148" s="15" t="n"/>
      <c r="L148" s="15" t="n"/>
    </row>
    <row r="149" ht="24" customHeight="1">
      <c r="A149" s="32" t="inlineStr">
        <is>
          <t>방수공</t>
        </is>
      </c>
      <c r="B149" s="15" t="n"/>
      <c r="C149" s="15" t="n"/>
      <c r="D149" s="15" t="n"/>
      <c r="E149" s="19" t="inlineStr">
        <is>
          <t>인</t>
        </is>
      </c>
      <c r="F149" s="15" t="n"/>
      <c r="G149" s="46" t="n">
        <v>3</v>
      </c>
      <c r="H149" s="15" t="n"/>
      <c r="I149" s="29" t="n"/>
      <c r="J149" s="15" t="n"/>
      <c r="K149" s="15" t="n"/>
      <c r="L149" s="15" t="n"/>
    </row>
    <row r="150" ht="24" customHeight="1">
      <c r="A150" s="32" t="inlineStr">
        <is>
          <t>특별인부</t>
        </is>
      </c>
      <c r="B150" s="15" t="n"/>
      <c r="C150" s="15" t="n"/>
      <c r="D150" s="15" t="n"/>
      <c r="E150" s="19" t="inlineStr">
        <is>
          <t>인</t>
        </is>
      </c>
      <c r="F150" s="15" t="n"/>
      <c r="G150" s="46" t="n">
        <v>1</v>
      </c>
      <c r="H150" s="15" t="n"/>
      <c r="I150" s="29" t="n"/>
      <c r="J150" s="15" t="n"/>
      <c r="K150" s="15" t="n"/>
      <c r="L150" s="15" t="n"/>
    </row>
    <row r="151" ht="24" customHeight="1">
      <c r="A151" s="32" t="inlineStr">
        <is>
          <t>보통인부</t>
        </is>
      </c>
      <c r="B151" s="15" t="n"/>
      <c r="C151" s="15" t="n"/>
      <c r="D151" s="15" t="n"/>
      <c r="E151" s="19" t="inlineStr">
        <is>
          <t>인</t>
        </is>
      </c>
      <c r="F151" s="15" t="n"/>
      <c r="G151" s="46" t="n">
        <v>2</v>
      </c>
      <c r="H151" s="15" t="n"/>
      <c r="I151" s="29" t="n"/>
      <c r="J151" s="15" t="n"/>
      <c r="K151" s="15" t="n"/>
      <c r="L151" s="15" t="n"/>
    </row>
    <row r="152" ht="24" customHeight="1">
      <c r="A152" s="30" t="inlineStr">
        <is>
          <t>계</t>
        </is>
      </c>
      <c r="B152" s="15" t="n"/>
      <c r="C152" s="15" t="n"/>
      <c r="D152" s="15" t="n"/>
      <c r="E152" s="30" t="inlineStr">
        <is>
          <t>인</t>
        </is>
      </c>
      <c r="F152" s="15" t="n"/>
      <c r="G152" s="47">
        <f>IF(SUM(G149,G150,G151)=0,"",SUM(G149,G150,G151))</f>
        <v/>
      </c>
      <c r="H152" s="15" t="n"/>
      <c r="I152" s="30" t="inlineStr"/>
      <c r="J152" s="15" t="n"/>
      <c r="K152" s="15" t="n"/>
      <c r="L152" s="15" t="n"/>
    </row>
    <row r="154" ht="34" customHeight="1">
      <c r="A154" s="8" t="inlineStr">
        <is>
          <t>투입인원은 원본 계획서 인원을 넣어 두었습니다 — 현장에 맞게 고쳐 쓰면 «계» 가 저절로 바뀝니다.</t>
        </is>
      </c>
    </row>
  </sheetData>
  <mergeCells count="278">
    <mergeCell ref="A150:D150"/>
    <mergeCell ref="C123:L123"/>
    <mergeCell ref="C23:L23"/>
    <mergeCell ref="A37:C37"/>
    <mergeCell ref="A73:B73"/>
    <mergeCell ref="A137:L137"/>
    <mergeCell ref="D41:I41"/>
    <mergeCell ref="A46:L46"/>
    <mergeCell ref="C91:L91"/>
    <mergeCell ref="I109:L109"/>
    <mergeCell ref="A136:C136"/>
    <mergeCell ref="A88:B88"/>
    <mergeCell ref="B115:L115"/>
    <mergeCell ref="A152:D152"/>
    <mergeCell ref="A105:L105"/>
    <mergeCell ref="A145:L145"/>
    <mergeCell ref="A139:L139"/>
    <mergeCell ref="D43:I43"/>
    <mergeCell ref="A113:L113"/>
    <mergeCell ref="E51:F51"/>
    <mergeCell ref="B12:L12"/>
    <mergeCell ref="B21:L21"/>
    <mergeCell ref="A71:L71"/>
    <mergeCell ref="A90:B90"/>
    <mergeCell ref="D146:I146"/>
    <mergeCell ref="C77:L77"/>
    <mergeCell ref="C34:L34"/>
    <mergeCell ref="A74:B74"/>
    <mergeCell ref="A51:D51"/>
    <mergeCell ref="B14:L14"/>
    <mergeCell ref="A27:B27"/>
    <mergeCell ref="C86:L86"/>
    <mergeCell ref="A43:C43"/>
    <mergeCell ref="A107:D107"/>
    <mergeCell ref="J142:L142"/>
    <mergeCell ref="C74:L74"/>
    <mergeCell ref="E148:F148"/>
    <mergeCell ref="A70:D70"/>
    <mergeCell ref="G148:H148"/>
    <mergeCell ref="B13:L13"/>
    <mergeCell ref="A63:L63"/>
    <mergeCell ref="A33:B33"/>
    <mergeCell ref="A76:B76"/>
    <mergeCell ref="I106:L106"/>
    <mergeCell ref="E49:F49"/>
    <mergeCell ref="A85:B85"/>
    <mergeCell ref="B87:L87"/>
    <mergeCell ref="A93:L93"/>
    <mergeCell ref="J39:L39"/>
    <mergeCell ref="G108:H108"/>
    <mergeCell ref="C128:L128"/>
    <mergeCell ref="J144:L144"/>
    <mergeCell ref="C85:L85"/>
    <mergeCell ref="A130:L130"/>
    <mergeCell ref="G110:H110"/>
    <mergeCell ref="A22:B22"/>
    <mergeCell ref="D100:I100"/>
    <mergeCell ref="A35:B35"/>
    <mergeCell ref="A108:D108"/>
    <mergeCell ref="D19:L19"/>
    <mergeCell ref="A138:C138"/>
    <mergeCell ref="C75:L75"/>
    <mergeCell ref="C84:L84"/>
    <mergeCell ref="C22:L22"/>
    <mergeCell ref="I53:L53"/>
    <mergeCell ref="B64:L64"/>
    <mergeCell ref="C127:L127"/>
    <mergeCell ref="A149:D149"/>
    <mergeCell ref="A28:B28"/>
    <mergeCell ref="A36:L36"/>
    <mergeCell ref="J136:L136"/>
    <mergeCell ref="D45:I45"/>
    <mergeCell ref="A6:L6"/>
    <mergeCell ref="E53:F53"/>
    <mergeCell ref="I68:L68"/>
    <mergeCell ref="B114:L114"/>
    <mergeCell ref="G149:H149"/>
    <mergeCell ref="I52:L52"/>
    <mergeCell ref="A53:D53"/>
    <mergeCell ref="I110:L110"/>
    <mergeCell ref="D136:I136"/>
    <mergeCell ref="G151:H151"/>
    <mergeCell ref="C32:L32"/>
    <mergeCell ref="A3:L3"/>
    <mergeCell ref="C81:L81"/>
    <mergeCell ref="A120:L120"/>
    <mergeCell ref="C125:L125"/>
    <mergeCell ref="B131:L131"/>
    <mergeCell ref="A104:C104"/>
    <mergeCell ref="A95:L95"/>
    <mergeCell ref="J41:L41"/>
    <mergeCell ref="I149:L149"/>
    <mergeCell ref="A128:B128"/>
    <mergeCell ref="B11:L11"/>
    <mergeCell ref="B117:L117"/>
    <mergeCell ref="A89:B89"/>
    <mergeCell ref="A97:L97"/>
    <mergeCell ref="I108:L108"/>
    <mergeCell ref="J43:L43"/>
    <mergeCell ref="C24:L24"/>
    <mergeCell ref="E67:H67"/>
    <mergeCell ref="B61:L61"/>
    <mergeCell ref="C33:L33"/>
    <mergeCell ref="C89:L89"/>
    <mergeCell ref="A96:C96"/>
    <mergeCell ref="G49:H49"/>
    <mergeCell ref="A38:L38"/>
    <mergeCell ref="B132:L132"/>
    <mergeCell ref="A147:L147"/>
    <mergeCell ref="B119:L119"/>
    <mergeCell ref="I151:L151"/>
    <mergeCell ref="I70:L70"/>
    <mergeCell ref="C73:L73"/>
    <mergeCell ref="C88:L88"/>
    <mergeCell ref="A129:B129"/>
    <mergeCell ref="C35:L35"/>
    <mergeCell ref="A40:L40"/>
    <mergeCell ref="E110:F110"/>
    <mergeCell ref="A91:B91"/>
    <mergeCell ref="C25:L25"/>
    <mergeCell ref="B118:L118"/>
    <mergeCell ref="D138:I138"/>
    <mergeCell ref="A60:L60"/>
    <mergeCell ref="J37:L37"/>
    <mergeCell ref="B55:L55"/>
    <mergeCell ref="D140:I140"/>
    <mergeCell ref="A146:C146"/>
    <mergeCell ref="A16:C16"/>
    <mergeCell ref="A34:B34"/>
    <mergeCell ref="A77:B77"/>
    <mergeCell ref="B79:L79"/>
    <mergeCell ref="E50:F50"/>
    <mergeCell ref="A83:B83"/>
    <mergeCell ref="B26:L26"/>
    <mergeCell ref="A92:B92"/>
    <mergeCell ref="I107:L107"/>
    <mergeCell ref="J98:L98"/>
    <mergeCell ref="I148:L148"/>
    <mergeCell ref="E151:F151"/>
    <mergeCell ref="B72:L72"/>
    <mergeCell ref="B134:L134"/>
    <mergeCell ref="A109:D109"/>
    <mergeCell ref="A18:C18"/>
    <mergeCell ref="A52:D52"/>
    <mergeCell ref="A66:L66"/>
    <mergeCell ref="D17:L17"/>
    <mergeCell ref="E52:F52"/>
    <mergeCell ref="B121:L121"/>
    <mergeCell ref="C122:L122"/>
    <mergeCell ref="E150:F150"/>
    <mergeCell ref="J104:L104"/>
    <mergeCell ref="B56:L56"/>
    <mergeCell ref="C28:L28"/>
    <mergeCell ref="A68:D68"/>
    <mergeCell ref="A78:B78"/>
    <mergeCell ref="E107:F107"/>
    <mergeCell ref="A42:L42"/>
    <mergeCell ref="A47:C47"/>
    <mergeCell ref="I69:L69"/>
    <mergeCell ref="C78:L78"/>
    <mergeCell ref="E152:F152"/>
    <mergeCell ref="A75:B75"/>
    <mergeCell ref="C92:L92"/>
    <mergeCell ref="A141:L141"/>
    <mergeCell ref="A144:C144"/>
    <mergeCell ref="J47:L47"/>
    <mergeCell ref="E68:H68"/>
    <mergeCell ref="A80:B80"/>
    <mergeCell ref="A49:D49"/>
    <mergeCell ref="J96:L96"/>
    <mergeCell ref="A135:L135"/>
    <mergeCell ref="E149:F149"/>
    <mergeCell ref="B57:L57"/>
    <mergeCell ref="A20:L20"/>
    <mergeCell ref="G152:H152"/>
    <mergeCell ref="D142:I142"/>
    <mergeCell ref="A112:L112"/>
    <mergeCell ref="D98:I98"/>
    <mergeCell ref="A69:D69"/>
    <mergeCell ref="E108:F108"/>
    <mergeCell ref="J138:L138"/>
    <mergeCell ref="A32:B32"/>
    <mergeCell ref="A44:L44"/>
    <mergeCell ref="D144:I144"/>
    <mergeCell ref="A23:B23"/>
    <mergeCell ref="I150:L150"/>
    <mergeCell ref="B9:L9"/>
    <mergeCell ref="A59:L59"/>
    <mergeCell ref="G51:H51"/>
    <mergeCell ref="A98:C98"/>
    <mergeCell ref="A15:L15"/>
    <mergeCell ref="C124:L124"/>
    <mergeCell ref="B126:L126"/>
    <mergeCell ref="B30:L30"/>
    <mergeCell ref="A1:F1"/>
    <mergeCell ref="J102:L102"/>
    <mergeCell ref="J146:L146"/>
    <mergeCell ref="I152:L152"/>
    <mergeCell ref="C90:L90"/>
    <mergeCell ref="B133:L133"/>
    <mergeCell ref="G50:H50"/>
    <mergeCell ref="G106:H106"/>
    <mergeCell ref="C27:L27"/>
    <mergeCell ref="C76:L76"/>
    <mergeCell ref="A54:L54"/>
    <mergeCell ref="A24:B24"/>
    <mergeCell ref="A41:C41"/>
    <mergeCell ref="A7:L7"/>
    <mergeCell ref="E70:H70"/>
    <mergeCell ref="G52:H52"/>
    <mergeCell ref="A106:D106"/>
    <mergeCell ref="B62:L62"/>
    <mergeCell ref="E106:F106"/>
    <mergeCell ref="A99:L99"/>
    <mergeCell ref="J45:L45"/>
    <mergeCell ref="I51:L51"/>
    <mergeCell ref="A123:B123"/>
    <mergeCell ref="G107:H107"/>
    <mergeCell ref="A154:L154"/>
    <mergeCell ref="A124:B124"/>
    <mergeCell ref="D16:L16"/>
    <mergeCell ref="J100:L100"/>
    <mergeCell ref="D47:I47"/>
    <mergeCell ref="J94:L94"/>
    <mergeCell ref="I50:L50"/>
    <mergeCell ref="A101:L101"/>
    <mergeCell ref="A67:D67"/>
    <mergeCell ref="A25:B25"/>
    <mergeCell ref="D37:I37"/>
    <mergeCell ref="D102:I102"/>
    <mergeCell ref="A116:L116"/>
    <mergeCell ref="A17:C17"/>
    <mergeCell ref="D18:L18"/>
    <mergeCell ref="A84:B84"/>
    <mergeCell ref="G53:H53"/>
    <mergeCell ref="C83:L83"/>
    <mergeCell ref="A100:C100"/>
    <mergeCell ref="A140:C140"/>
    <mergeCell ref="A148:D148"/>
    <mergeCell ref="I49:L49"/>
    <mergeCell ref="D39:I39"/>
    <mergeCell ref="B8:L8"/>
    <mergeCell ref="G1:L1"/>
    <mergeCell ref="A110:D110"/>
    <mergeCell ref="A19:C19"/>
    <mergeCell ref="A10:L10"/>
    <mergeCell ref="A86:B86"/>
    <mergeCell ref="A102:C102"/>
    <mergeCell ref="B82:L82"/>
    <mergeCell ref="D94:I94"/>
    <mergeCell ref="C29:L29"/>
    <mergeCell ref="A39:C39"/>
    <mergeCell ref="A143:L143"/>
    <mergeCell ref="A122:B122"/>
    <mergeCell ref="A48:L48"/>
    <mergeCell ref="B65:L65"/>
    <mergeCell ref="A125:B125"/>
    <mergeCell ref="A142:C142"/>
    <mergeCell ref="C31:L31"/>
    <mergeCell ref="A29:B29"/>
    <mergeCell ref="E69:H69"/>
    <mergeCell ref="A45:C45"/>
    <mergeCell ref="C80:L80"/>
    <mergeCell ref="A50:D50"/>
    <mergeCell ref="A81:B81"/>
    <mergeCell ref="A94:C94"/>
    <mergeCell ref="A103:L103"/>
    <mergeCell ref="G109:H109"/>
    <mergeCell ref="C129:L129"/>
    <mergeCell ref="J140:L140"/>
    <mergeCell ref="G150:H150"/>
    <mergeCell ref="A151:D151"/>
    <mergeCell ref="A127:B127"/>
    <mergeCell ref="D96:I96"/>
    <mergeCell ref="A31:B31"/>
    <mergeCell ref="E109:F109"/>
    <mergeCell ref="I67:L67"/>
    <mergeCell ref="D104:I104"/>
  </mergeCells>
  <printOptions horizontalCentered="1"/>
  <pageMargins left="0.6" right="0.6" top="0.6" bottom="0.6" header="0.2" footer="0.2"/>
  <pageSetup orientation="portrait" paperSize="9" fitToHeight="0" fitToWidth="1"/>
  <rowBreaks count="5" manualBreakCount="5">
    <brk id="28" min="0" max="16383" man="1"/>
    <brk id="57" min="0" max="16383" man="1"/>
    <brk id="85" min="0" max="16383" man="1"/>
    <brk id="115" min="0" max="16383" man="1"/>
    <brk id="134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2" t="inlineStr">
        <is>
          <t xml:space="preserve">← 이 1행을 지우고 쓰셔도 됩니다  </t>
        </is>
      </c>
    </row>
    <row r="2" ht="34" customHeight="1">
      <c r="A2" s="48" t="inlineStr">
        <is>
          <t>7.0   예 정 공 정 표</t>
        </is>
      </c>
    </row>
    <row r="3" ht="22" customHeight="1">
      <c r="A3" s="14" t="inlineStr">
        <is>
          <t>착 공 일</t>
        </is>
      </c>
      <c r="B3" s="49">
        <f>IF(N('개요'!D25)=0,"",'개요'!D25)</f>
        <v/>
      </c>
      <c r="C3" s="15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5" t="inlineStr">
        <is>
          <t>공    종</t>
        </is>
      </c>
      <c r="B4" s="25" t="inlineStr">
        <is>
          <t>착 수</t>
        </is>
      </c>
      <c r="C4" s="25" t="inlineStr">
        <is>
          <t>완 료</t>
        </is>
      </c>
      <c r="D4" s="25" t="inlineStr">
        <is>
          <t>일 수</t>
        </is>
      </c>
      <c r="E4" s="50">
        <f>IF(N(B3)=0,"",EDATE(DATE(YEAR(B3),MONTH(B3),1),0))</f>
        <v/>
      </c>
      <c r="F4" s="15" t="n"/>
      <c r="G4" s="50">
        <f>IF(N(B3)=0,"",EDATE(DATE(YEAR(B3),MONTH(B3),1),1))</f>
        <v/>
      </c>
      <c r="H4" s="15" t="n"/>
      <c r="I4" s="50">
        <f>IF(N(B3)=0,"",EDATE(DATE(YEAR(B3),MONTH(B3),1),2))</f>
        <v/>
      </c>
      <c r="J4" s="15" t="n"/>
      <c r="K4" s="50">
        <f>IF(N(B3)=0,"",EDATE(DATE(YEAR(B3),MONTH(B3),1),3))</f>
        <v/>
      </c>
      <c r="L4" s="15" t="n"/>
      <c r="M4" s="50">
        <f>IF(N(B3)=0,"",EDATE(DATE(YEAR(B3),MONTH(B3),1),4))</f>
        <v/>
      </c>
      <c r="N4" s="15" t="n"/>
      <c r="O4" s="50">
        <f>IF(N(B3)=0,"",EDATE(DATE(YEAR(B3),MONTH(B3),1),5))</f>
        <v/>
      </c>
      <c r="P4" s="15" t="n"/>
      <c r="Q4" s="50">
        <f>IF(N(B3)=0,"",EDATE(DATE(YEAR(B3),MONTH(B3),1),6))</f>
        <v/>
      </c>
      <c r="R4" s="15" t="n"/>
      <c r="S4" s="50">
        <f>IF(N(B3)=0,"",EDATE(DATE(YEAR(B3),MONTH(B3),1),7))</f>
        <v/>
      </c>
      <c r="T4" s="15" t="n"/>
      <c r="U4" s="50">
        <f>IF(N(B3)=0,"",EDATE(DATE(YEAR(B3),MONTH(B3),1),8))</f>
        <v/>
      </c>
      <c r="V4" s="15" t="n"/>
      <c r="W4" s="50">
        <f>IF(N(B3)=0,"",EDATE(DATE(YEAR(B3),MONTH(B3),1),9))</f>
        <v/>
      </c>
      <c r="X4" s="15" t="n"/>
      <c r="Y4" s="50">
        <f>IF(N(B3)=0,"",EDATE(DATE(YEAR(B3),MONTH(B3),1),10))</f>
        <v/>
      </c>
      <c r="Z4" s="15" t="n"/>
      <c r="AA4" s="50">
        <f>IF(N(B3)=0,"",EDATE(DATE(YEAR(B3),MONTH(B3),1),11))</f>
        <v/>
      </c>
      <c r="AB4" s="15" t="n"/>
      <c r="AC4" s="50">
        <f>IF(N(B3)=0,"",EDATE(DATE(YEAR(B3),MONTH(B3),1),12))</f>
        <v/>
      </c>
      <c r="AD4" s="15" t="n"/>
      <c r="AE4" s="50">
        <f>IF(N(B3)=0,"",EDATE(DATE(YEAR(B3),MONTH(B3),1),13))</f>
        <v/>
      </c>
      <c r="AF4" s="15" t="n"/>
      <c r="AG4" s="50">
        <f>IF(N(B3)=0,"",EDATE(DATE(YEAR(B3),MONTH(B3),1),14))</f>
        <v/>
      </c>
      <c r="AH4" s="15" t="n"/>
      <c r="AI4" s="50">
        <f>IF(N(B3)=0,"",EDATE(DATE(YEAR(B3),MONTH(B3),1),15))</f>
        <v/>
      </c>
      <c r="AJ4" s="15" t="n"/>
      <c r="AK4" s="50">
        <f>IF(N(B3)=0,"",EDATE(DATE(YEAR(B3),MONTH(B3),1),16))</f>
        <v/>
      </c>
      <c r="AL4" s="15" t="n"/>
      <c r="AM4" s="50">
        <f>IF(N(B3)=0,"",EDATE(DATE(YEAR(B3),MONTH(B3),1),17))</f>
        <v/>
      </c>
      <c r="AN4" s="15" t="n"/>
      <c r="AO4" s="25" t="inlineStr">
        <is>
          <t>비 고</t>
        </is>
      </c>
    </row>
    <row r="5" ht="15" customHeight="1">
      <c r="A5" s="15" t="n"/>
      <c r="B5" s="15" t="n"/>
      <c r="C5" s="15" t="n"/>
      <c r="D5" s="15" t="n"/>
      <c r="E5" s="51" t="inlineStr">
        <is>
          <t>상</t>
        </is>
      </c>
      <c r="F5" s="51" t="inlineStr">
        <is>
          <t>하</t>
        </is>
      </c>
      <c r="G5" s="51" t="inlineStr">
        <is>
          <t>상</t>
        </is>
      </c>
      <c r="H5" s="51" t="inlineStr">
        <is>
          <t>하</t>
        </is>
      </c>
      <c r="I5" s="51" t="inlineStr">
        <is>
          <t>상</t>
        </is>
      </c>
      <c r="J5" s="51" t="inlineStr">
        <is>
          <t>하</t>
        </is>
      </c>
      <c r="K5" s="51" t="inlineStr">
        <is>
          <t>상</t>
        </is>
      </c>
      <c r="L5" s="51" t="inlineStr">
        <is>
          <t>하</t>
        </is>
      </c>
      <c r="M5" s="51" t="inlineStr">
        <is>
          <t>상</t>
        </is>
      </c>
      <c r="N5" s="51" t="inlineStr">
        <is>
          <t>하</t>
        </is>
      </c>
      <c r="O5" s="51" t="inlineStr">
        <is>
          <t>상</t>
        </is>
      </c>
      <c r="P5" s="51" t="inlineStr">
        <is>
          <t>하</t>
        </is>
      </c>
      <c r="Q5" s="51" t="inlineStr">
        <is>
          <t>상</t>
        </is>
      </c>
      <c r="R5" s="51" t="inlineStr">
        <is>
          <t>하</t>
        </is>
      </c>
      <c r="S5" s="51" t="inlineStr">
        <is>
          <t>상</t>
        </is>
      </c>
      <c r="T5" s="51" t="inlineStr">
        <is>
          <t>하</t>
        </is>
      </c>
      <c r="U5" s="51" t="inlineStr">
        <is>
          <t>상</t>
        </is>
      </c>
      <c r="V5" s="51" t="inlineStr">
        <is>
          <t>하</t>
        </is>
      </c>
      <c r="W5" s="51" t="inlineStr">
        <is>
          <t>상</t>
        </is>
      </c>
      <c r="X5" s="51" t="inlineStr">
        <is>
          <t>하</t>
        </is>
      </c>
      <c r="Y5" s="51" t="inlineStr">
        <is>
          <t>상</t>
        </is>
      </c>
      <c r="Z5" s="51" t="inlineStr">
        <is>
          <t>하</t>
        </is>
      </c>
      <c r="AA5" s="51" t="inlineStr">
        <is>
          <t>상</t>
        </is>
      </c>
      <c r="AB5" s="51" t="inlineStr">
        <is>
          <t>하</t>
        </is>
      </c>
      <c r="AC5" s="51" t="inlineStr">
        <is>
          <t>상</t>
        </is>
      </c>
      <c r="AD5" s="51" t="inlineStr">
        <is>
          <t>하</t>
        </is>
      </c>
      <c r="AE5" s="51" t="inlineStr">
        <is>
          <t>상</t>
        </is>
      </c>
      <c r="AF5" s="51" t="inlineStr">
        <is>
          <t>하</t>
        </is>
      </c>
      <c r="AG5" s="51" t="inlineStr">
        <is>
          <t>상</t>
        </is>
      </c>
      <c r="AH5" s="51" t="inlineStr">
        <is>
          <t>하</t>
        </is>
      </c>
      <c r="AI5" s="51" t="inlineStr">
        <is>
          <t>상</t>
        </is>
      </c>
      <c r="AJ5" s="51" t="inlineStr">
        <is>
          <t>하</t>
        </is>
      </c>
      <c r="AK5" s="51" t="inlineStr">
        <is>
          <t>상</t>
        </is>
      </c>
      <c r="AL5" s="51" t="inlineStr">
        <is>
          <t>하</t>
        </is>
      </c>
      <c r="AM5" s="51" t="inlineStr">
        <is>
          <t>상</t>
        </is>
      </c>
      <c r="AN5" s="51" t="inlineStr">
        <is>
          <t>하</t>
        </is>
      </c>
      <c r="AO5" s="15" t="n"/>
    </row>
    <row r="6" hidden="1" ht="12" customHeight="1">
      <c r="E6" s="52">
        <f>IF(N(B3)=0,"",EDATE(DATE(YEAR(B3),MONTH(B3),1),0))</f>
        <v/>
      </c>
      <c r="F6" s="52">
        <f>IF(N(B3)=0,"",EDATE(DATE(YEAR(B3),MONTH(B3),1),0)+15)</f>
        <v/>
      </c>
      <c r="G6" s="52">
        <f>IF(N(B3)=0,"",EDATE(DATE(YEAR(B3),MONTH(B3),1),1))</f>
        <v/>
      </c>
      <c r="H6" s="52">
        <f>IF(N(B3)=0,"",EDATE(DATE(YEAR(B3),MONTH(B3),1),1)+15)</f>
        <v/>
      </c>
      <c r="I6" s="52">
        <f>IF(N(B3)=0,"",EDATE(DATE(YEAR(B3),MONTH(B3),1),2))</f>
        <v/>
      </c>
      <c r="J6" s="52">
        <f>IF(N(B3)=0,"",EDATE(DATE(YEAR(B3),MONTH(B3),1),2)+15)</f>
        <v/>
      </c>
      <c r="K6" s="52">
        <f>IF(N(B3)=0,"",EDATE(DATE(YEAR(B3),MONTH(B3),1),3))</f>
        <v/>
      </c>
      <c r="L6" s="52">
        <f>IF(N(B3)=0,"",EDATE(DATE(YEAR(B3),MONTH(B3),1),3)+15)</f>
        <v/>
      </c>
      <c r="M6" s="52">
        <f>IF(N(B3)=0,"",EDATE(DATE(YEAR(B3),MONTH(B3),1),4))</f>
        <v/>
      </c>
      <c r="N6" s="52">
        <f>IF(N(B3)=0,"",EDATE(DATE(YEAR(B3),MONTH(B3),1),4)+15)</f>
        <v/>
      </c>
      <c r="O6" s="52">
        <f>IF(N(B3)=0,"",EDATE(DATE(YEAR(B3),MONTH(B3),1),5))</f>
        <v/>
      </c>
      <c r="P6" s="52">
        <f>IF(N(B3)=0,"",EDATE(DATE(YEAR(B3),MONTH(B3),1),5)+15)</f>
        <v/>
      </c>
      <c r="Q6" s="52">
        <f>IF(N(B3)=0,"",EDATE(DATE(YEAR(B3),MONTH(B3),1),6))</f>
        <v/>
      </c>
      <c r="R6" s="52">
        <f>IF(N(B3)=0,"",EDATE(DATE(YEAR(B3),MONTH(B3),1),6)+15)</f>
        <v/>
      </c>
      <c r="S6" s="52">
        <f>IF(N(B3)=0,"",EDATE(DATE(YEAR(B3),MONTH(B3),1),7))</f>
        <v/>
      </c>
      <c r="T6" s="52">
        <f>IF(N(B3)=0,"",EDATE(DATE(YEAR(B3),MONTH(B3),1),7)+15)</f>
        <v/>
      </c>
      <c r="U6" s="52">
        <f>IF(N(B3)=0,"",EDATE(DATE(YEAR(B3),MONTH(B3),1),8))</f>
        <v/>
      </c>
      <c r="V6" s="52">
        <f>IF(N(B3)=0,"",EDATE(DATE(YEAR(B3),MONTH(B3),1),8)+15)</f>
        <v/>
      </c>
      <c r="W6" s="52">
        <f>IF(N(B3)=0,"",EDATE(DATE(YEAR(B3),MONTH(B3),1),9))</f>
        <v/>
      </c>
      <c r="X6" s="52">
        <f>IF(N(B3)=0,"",EDATE(DATE(YEAR(B3),MONTH(B3),1),9)+15)</f>
        <v/>
      </c>
      <c r="Y6" s="52">
        <f>IF(N(B3)=0,"",EDATE(DATE(YEAR(B3),MONTH(B3),1),10))</f>
        <v/>
      </c>
      <c r="Z6" s="52">
        <f>IF(N(B3)=0,"",EDATE(DATE(YEAR(B3),MONTH(B3),1),10)+15)</f>
        <v/>
      </c>
      <c r="AA6" s="52">
        <f>IF(N(B3)=0,"",EDATE(DATE(YEAR(B3),MONTH(B3),1),11))</f>
        <v/>
      </c>
      <c r="AB6" s="52">
        <f>IF(N(B3)=0,"",EDATE(DATE(YEAR(B3),MONTH(B3),1),11)+15)</f>
        <v/>
      </c>
      <c r="AC6" s="52">
        <f>IF(N(B3)=0,"",EDATE(DATE(YEAR(B3),MONTH(B3),1),12))</f>
        <v/>
      </c>
      <c r="AD6" s="52">
        <f>IF(N(B3)=0,"",EDATE(DATE(YEAR(B3),MONTH(B3),1),12)+15)</f>
        <v/>
      </c>
      <c r="AE6" s="52">
        <f>IF(N(B3)=0,"",EDATE(DATE(YEAR(B3),MONTH(B3),1),13))</f>
        <v/>
      </c>
      <c r="AF6" s="52">
        <f>IF(N(B3)=0,"",EDATE(DATE(YEAR(B3),MONTH(B3),1),13)+15)</f>
        <v/>
      </c>
      <c r="AG6" s="52">
        <f>IF(N(B3)=0,"",EDATE(DATE(YEAR(B3),MONTH(B3),1),14))</f>
        <v/>
      </c>
      <c r="AH6" s="52">
        <f>IF(N(B3)=0,"",EDATE(DATE(YEAR(B3),MONTH(B3),1),14)+15)</f>
        <v/>
      </c>
      <c r="AI6" s="52">
        <f>IF(N(B3)=0,"",EDATE(DATE(YEAR(B3),MONTH(B3),1),15))</f>
        <v/>
      </c>
      <c r="AJ6" s="52">
        <f>IF(N(B3)=0,"",EDATE(DATE(YEAR(B3),MONTH(B3),1),15)+15)</f>
        <v/>
      </c>
      <c r="AK6" s="52">
        <f>IF(N(B3)=0,"",EDATE(DATE(YEAR(B3),MONTH(B3),1),16))</f>
        <v/>
      </c>
      <c r="AL6" s="52">
        <f>IF(N(B3)=0,"",EDATE(DATE(YEAR(B3),MONTH(B3),1),16)+15)</f>
        <v/>
      </c>
      <c r="AM6" s="52">
        <f>IF(N(B3)=0,"",EDATE(DATE(YEAR(B3),MONTH(B3),1),17))</f>
        <v/>
      </c>
      <c r="AN6" s="52">
        <f>IF(N(B3)=0,"",EDATE(DATE(YEAR(B3),MONTH(B3),1),17)+15)</f>
        <v/>
      </c>
    </row>
    <row r="7" hidden="1" ht="12" customHeight="1">
      <c r="E7" s="52">
        <f>IF(N(B3)=0,"",EDATE(DATE(YEAR(B3),MONTH(B3),1),0)+14)</f>
        <v/>
      </c>
      <c r="F7" s="52">
        <f>IF(N(B3)=0,"",EDATE(DATE(YEAR(B3),MONTH(B3),1),1)-1)</f>
        <v/>
      </c>
      <c r="G7" s="52">
        <f>IF(N(B3)=0,"",EDATE(DATE(YEAR(B3),MONTH(B3),1),1)+14)</f>
        <v/>
      </c>
      <c r="H7" s="52">
        <f>IF(N(B3)=0,"",EDATE(DATE(YEAR(B3),MONTH(B3),1),2)-1)</f>
        <v/>
      </c>
      <c r="I7" s="52">
        <f>IF(N(B3)=0,"",EDATE(DATE(YEAR(B3),MONTH(B3),1),2)+14)</f>
        <v/>
      </c>
      <c r="J7" s="52">
        <f>IF(N(B3)=0,"",EDATE(DATE(YEAR(B3),MONTH(B3),1),3)-1)</f>
        <v/>
      </c>
      <c r="K7" s="52">
        <f>IF(N(B3)=0,"",EDATE(DATE(YEAR(B3),MONTH(B3),1),3)+14)</f>
        <v/>
      </c>
      <c r="L7" s="52">
        <f>IF(N(B3)=0,"",EDATE(DATE(YEAR(B3),MONTH(B3),1),4)-1)</f>
        <v/>
      </c>
      <c r="M7" s="52">
        <f>IF(N(B3)=0,"",EDATE(DATE(YEAR(B3),MONTH(B3),1),4)+14)</f>
        <v/>
      </c>
      <c r="N7" s="52">
        <f>IF(N(B3)=0,"",EDATE(DATE(YEAR(B3),MONTH(B3),1),5)-1)</f>
        <v/>
      </c>
      <c r="O7" s="52">
        <f>IF(N(B3)=0,"",EDATE(DATE(YEAR(B3),MONTH(B3),1),5)+14)</f>
        <v/>
      </c>
      <c r="P7" s="52">
        <f>IF(N(B3)=0,"",EDATE(DATE(YEAR(B3),MONTH(B3),1),6)-1)</f>
        <v/>
      </c>
      <c r="Q7" s="52">
        <f>IF(N(B3)=0,"",EDATE(DATE(YEAR(B3),MONTH(B3),1),6)+14)</f>
        <v/>
      </c>
      <c r="R7" s="52">
        <f>IF(N(B3)=0,"",EDATE(DATE(YEAR(B3),MONTH(B3),1),7)-1)</f>
        <v/>
      </c>
      <c r="S7" s="52">
        <f>IF(N(B3)=0,"",EDATE(DATE(YEAR(B3),MONTH(B3),1),7)+14)</f>
        <v/>
      </c>
      <c r="T7" s="52">
        <f>IF(N(B3)=0,"",EDATE(DATE(YEAR(B3),MONTH(B3),1),8)-1)</f>
        <v/>
      </c>
      <c r="U7" s="52">
        <f>IF(N(B3)=0,"",EDATE(DATE(YEAR(B3),MONTH(B3),1),8)+14)</f>
        <v/>
      </c>
      <c r="V7" s="52">
        <f>IF(N(B3)=0,"",EDATE(DATE(YEAR(B3),MONTH(B3),1),9)-1)</f>
        <v/>
      </c>
      <c r="W7" s="52">
        <f>IF(N(B3)=0,"",EDATE(DATE(YEAR(B3),MONTH(B3),1),9)+14)</f>
        <v/>
      </c>
      <c r="X7" s="52">
        <f>IF(N(B3)=0,"",EDATE(DATE(YEAR(B3),MONTH(B3),1),10)-1)</f>
        <v/>
      </c>
      <c r="Y7" s="52">
        <f>IF(N(B3)=0,"",EDATE(DATE(YEAR(B3),MONTH(B3),1),10)+14)</f>
        <v/>
      </c>
      <c r="Z7" s="52">
        <f>IF(N(B3)=0,"",EDATE(DATE(YEAR(B3),MONTH(B3),1),11)-1)</f>
        <v/>
      </c>
      <c r="AA7" s="52">
        <f>IF(N(B3)=0,"",EDATE(DATE(YEAR(B3),MONTH(B3),1),11)+14)</f>
        <v/>
      </c>
      <c r="AB7" s="52">
        <f>IF(N(B3)=0,"",EDATE(DATE(YEAR(B3),MONTH(B3),1),12)-1)</f>
        <v/>
      </c>
      <c r="AC7" s="52">
        <f>IF(N(B3)=0,"",EDATE(DATE(YEAR(B3),MONTH(B3),1),12)+14)</f>
        <v/>
      </c>
      <c r="AD7" s="52">
        <f>IF(N(B3)=0,"",EDATE(DATE(YEAR(B3),MONTH(B3),1),13)-1)</f>
        <v/>
      </c>
      <c r="AE7" s="52">
        <f>IF(N(B3)=0,"",EDATE(DATE(YEAR(B3),MONTH(B3),1),13)+14)</f>
        <v/>
      </c>
      <c r="AF7" s="52">
        <f>IF(N(B3)=0,"",EDATE(DATE(YEAR(B3),MONTH(B3),1),14)-1)</f>
        <v/>
      </c>
      <c r="AG7" s="52">
        <f>IF(N(B3)=0,"",EDATE(DATE(YEAR(B3),MONTH(B3),1),14)+14)</f>
        <v/>
      </c>
      <c r="AH7" s="52">
        <f>IF(N(B3)=0,"",EDATE(DATE(YEAR(B3),MONTH(B3),1),15)-1)</f>
        <v/>
      </c>
      <c r="AI7" s="52">
        <f>IF(N(B3)=0,"",EDATE(DATE(YEAR(B3),MONTH(B3),1),15)+14)</f>
        <v/>
      </c>
      <c r="AJ7" s="52">
        <f>IF(N(B3)=0,"",EDATE(DATE(YEAR(B3),MONTH(B3),1),16)-1)</f>
        <v/>
      </c>
      <c r="AK7" s="52">
        <f>IF(N(B3)=0,"",EDATE(DATE(YEAR(B3),MONTH(B3),1),16)+14)</f>
        <v/>
      </c>
      <c r="AL7" s="52">
        <f>IF(N(B3)=0,"",EDATE(DATE(YEAR(B3),MONTH(B3),1),17)-1)</f>
        <v/>
      </c>
      <c r="AM7" s="52">
        <f>IF(N(B3)=0,"",EDATE(DATE(YEAR(B3),MONTH(B3),1),17)+14)</f>
        <v/>
      </c>
      <c r="AN7" s="52">
        <f>IF(N(B3)=0,"",EDATE(DATE(YEAR(B3),MONTH(B3),1),18)-1)</f>
        <v/>
      </c>
    </row>
    <row r="8" ht="22" customHeight="1">
      <c r="A8" s="29" t="inlineStr">
        <is>
          <t>바탕처리 · 청소</t>
        </is>
      </c>
      <c r="B8" s="53" t="n"/>
      <c r="C8" s="53" t="n"/>
      <c r="D8" s="54">
        <f>IF(OR(N(B8)=0,N(C8)=0),"",IF(C8&lt;B8,"⚠",C8-B8+1))</f>
        <v/>
      </c>
      <c r="E8" s="55" t="inlineStr"/>
      <c r="F8" s="55" t="inlineStr"/>
      <c r="G8" s="55" t="inlineStr"/>
      <c r="H8" s="55" t="inlineStr"/>
      <c r="I8" s="55" t="inlineStr"/>
      <c r="J8" s="55" t="inlineStr"/>
      <c r="K8" s="55" t="inlineStr"/>
      <c r="L8" s="55" t="inlineStr"/>
      <c r="M8" s="55" t="inlineStr"/>
      <c r="N8" s="55" t="inlineStr"/>
      <c r="O8" s="55" t="inlineStr"/>
      <c r="P8" s="55" t="inlineStr"/>
      <c r="Q8" s="55" t="inlineStr"/>
      <c r="R8" s="55" t="inlineStr"/>
      <c r="S8" s="55" t="inlineStr"/>
      <c r="T8" s="55" t="inlineStr"/>
      <c r="U8" s="55" t="inlineStr"/>
      <c r="V8" s="55" t="inlineStr"/>
      <c r="W8" s="55" t="inlineStr"/>
      <c r="X8" s="55" t="inlineStr"/>
      <c r="Y8" s="55" t="inlineStr"/>
      <c r="Z8" s="55" t="inlineStr"/>
      <c r="AA8" s="55" t="inlineStr"/>
      <c r="AB8" s="55" t="inlineStr"/>
      <c r="AC8" s="55" t="inlineStr"/>
      <c r="AD8" s="55" t="inlineStr"/>
      <c r="AE8" s="55" t="inlineStr"/>
      <c r="AF8" s="55" t="inlineStr"/>
      <c r="AG8" s="55" t="inlineStr"/>
      <c r="AH8" s="55" t="inlineStr"/>
      <c r="AI8" s="55" t="inlineStr"/>
      <c r="AJ8" s="55" t="inlineStr"/>
      <c r="AK8" s="55" t="inlineStr"/>
      <c r="AL8" s="55" t="inlineStr"/>
      <c r="AM8" s="55" t="inlineStr"/>
      <c r="AN8" s="55" t="inlineStr"/>
      <c r="AO8" s="56" t="n"/>
    </row>
    <row r="9" ht="22" customHeight="1">
      <c r="A9" s="29" t="inlineStr">
        <is>
          <t>시멘트 액체방수(바닥)</t>
        </is>
      </c>
      <c r="B9" s="53" t="n"/>
      <c r="C9" s="53" t="n"/>
      <c r="D9" s="54">
        <f>IF(OR(N(B9)=0,N(C9)=0),"",IF(C9&lt;B9,"⚠",C9-B9+1))</f>
        <v/>
      </c>
      <c r="E9" s="55" t="inlineStr"/>
      <c r="F9" s="55" t="inlineStr"/>
      <c r="G9" s="55" t="inlineStr"/>
      <c r="H9" s="55" t="inlineStr"/>
      <c r="I9" s="55" t="inlineStr"/>
      <c r="J9" s="55" t="inlineStr"/>
      <c r="K9" s="55" t="inlineStr"/>
      <c r="L9" s="55" t="inlineStr"/>
      <c r="M9" s="55" t="inlineStr"/>
      <c r="N9" s="55" t="inlineStr"/>
      <c r="O9" s="55" t="inlineStr"/>
      <c r="P9" s="55" t="inlineStr"/>
      <c r="Q9" s="55" t="inlineStr"/>
      <c r="R9" s="55" t="inlineStr"/>
      <c r="S9" s="55" t="inlineStr"/>
      <c r="T9" s="55" t="inlineStr"/>
      <c r="U9" s="55" t="inlineStr"/>
      <c r="V9" s="55" t="inlineStr"/>
      <c r="W9" s="55" t="inlineStr"/>
      <c r="X9" s="55" t="inlineStr"/>
      <c r="Y9" s="55" t="inlineStr"/>
      <c r="Z9" s="55" t="inlineStr"/>
      <c r="AA9" s="55" t="inlineStr"/>
      <c r="AB9" s="55" t="inlineStr"/>
      <c r="AC9" s="55" t="inlineStr"/>
      <c r="AD9" s="55" t="inlineStr"/>
      <c r="AE9" s="55" t="inlineStr"/>
      <c r="AF9" s="55" t="inlineStr"/>
      <c r="AG9" s="55" t="inlineStr"/>
      <c r="AH9" s="55" t="inlineStr"/>
      <c r="AI9" s="55" t="inlineStr"/>
      <c r="AJ9" s="55" t="inlineStr"/>
      <c r="AK9" s="55" t="inlineStr"/>
      <c r="AL9" s="55" t="inlineStr"/>
      <c r="AM9" s="55" t="inlineStr"/>
      <c r="AN9" s="55" t="inlineStr"/>
      <c r="AO9" s="56" t="n"/>
    </row>
    <row r="10" ht="22" customHeight="1">
      <c r="A10" s="29" t="inlineStr">
        <is>
          <t>시멘트 액체방수(벽)</t>
        </is>
      </c>
      <c r="B10" s="53" t="n"/>
      <c r="C10" s="53" t="n"/>
      <c r="D10" s="54">
        <f>IF(OR(N(B10)=0,N(C10)=0),"",IF(C10&lt;B10,"⚠",C10-B10+1))</f>
        <v/>
      </c>
      <c r="E10" s="55" t="inlineStr"/>
      <c r="F10" s="55" t="inlineStr"/>
      <c r="G10" s="55" t="inlineStr"/>
      <c r="H10" s="55" t="inlineStr"/>
      <c r="I10" s="55" t="inlineStr"/>
      <c r="J10" s="55" t="inlineStr"/>
      <c r="K10" s="55" t="inlineStr"/>
      <c r="L10" s="55" t="inlineStr"/>
      <c r="M10" s="55" t="inlineStr"/>
      <c r="N10" s="55" t="inlineStr"/>
      <c r="O10" s="55" t="inlineStr"/>
      <c r="P10" s="55" t="inlineStr"/>
      <c r="Q10" s="55" t="inlineStr"/>
      <c r="R10" s="55" t="inlineStr"/>
      <c r="S10" s="55" t="inlineStr"/>
      <c r="T10" s="55" t="inlineStr"/>
      <c r="U10" s="55" t="inlineStr"/>
      <c r="V10" s="55" t="inlineStr"/>
      <c r="W10" s="55" t="inlineStr"/>
      <c r="X10" s="55" t="inlineStr"/>
      <c r="Y10" s="55" t="inlineStr"/>
      <c r="Z10" s="55" t="inlineStr"/>
      <c r="AA10" s="55" t="inlineStr"/>
      <c r="AB10" s="55" t="inlineStr"/>
      <c r="AC10" s="55" t="inlineStr"/>
      <c r="AD10" s="55" t="inlineStr"/>
      <c r="AE10" s="55" t="inlineStr"/>
      <c r="AF10" s="55" t="inlineStr"/>
      <c r="AG10" s="55" t="inlineStr"/>
      <c r="AH10" s="55" t="inlineStr"/>
      <c r="AI10" s="55" t="inlineStr"/>
      <c r="AJ10" s="55" t="inlineStr"/>
      <c r="AK10" s="55" t="inlineStr"/>
      <c r="AL10" s="55" t="inlineStr"/>
      <c r="AM10" s="55" t="inlineStr"/>
      <c r="AN10" s="55" t="inlineStr"/>
      <c r="AO10" s="56" t="n"/>
    </row>
    <row r="11" ht="22" customHeight="1">
      <c r="A11" s="29" t="inlineStr">
        <is>
          <t>규산질계 침투성방수</t>
        </is>
      </c>
      <c r="B11" s="53" t="n"/>
      <c r="C11" s="53" t="n"/>
      <c r="D11" s="54">
        <f>IF(OR(N(B11)=0,N(C11)=0),"",IF(C11&lt;B11,"⚠",C11-B11+1))</f>
        <v/>
      </c>
      <c r="E11" s="55" t="inlineStr"/>
      <c r="F11" s="55" t="inlineStr"/>
      <c r="G11" s="55" t="inlineStr"/>
      <c r="H11" s="55" t="inlineStr"/>
      <c r="I11" s="55" t="inlineStr"/>
      <c r="J11" s="55" t="inlineStr"/>
      <c r="K11" s="55" t="inlineStr"/>
      <c r="L11" s="55" t="inlineStr"/>
      <c r="M11" s="55" t="inlineStr"/>
      <c r="N11" s="55" t="inlineStr"/>
      <c r="O11" s="55" t="inlineStr"/>
      <c r="P11" s="55" t="inlineStr"/>
      <c r="Q11" s="55" t="inlineStr"/>
      <c r="R11" s="55" t="inlineStr"/>
      <c r="S11" s="55" t="inlineStr"/>
      <c r="T11" s="55" t="inlineStr"/>
      <c r="U11" s="55" t="inlineStr"/>
      <c r="V11" s="55" t="inlineStr"/>
      <c r="W11" s="55" t="inlineStr"/>
      <c r="X11" s="55" t="inlineStr"/>
      <c r="Y11" s="55" t="inlineStr"/>
      <c r="Z11" s="55" t="inlineStr"/>
      <c r="AA11" s="55" t="inlineStr"/>
      <c r="AB11" s="55" t="inlineStr"/>
      <c r="AC11" s="55" t="inlineStr"/>
      <c r="AD11" s="55" t="inlineStr"/>
      <c r="AE11" s="55" t="inlineStr"/>
      <c r="AF11" s="55" t="inlineStr"/>
      <c r="AG11" s="55" t="inlineStr"/>
      <c r="AH11" s="55" t="inlineStr"/>
      <c r="AI11" s="55" t="inlineStr"/>
      <c r="AJ11" s="55" t="inlineStr"/>
      <c r="AK11" s="55" t="inlineStr"/>
      <c r="AL11" s="55" t="inlineStr"/>
      <c r="AM11" s="55" t="inlineStr"/>
      <c r="AN11" s="55" t="inlineStr"/>
      <c r="AO11" s="56" t="n"/>
    </row>
    <row r="12" ht="22" customHeight="1">
      <c r="A12" s="29" t="inlineStr">
        <is>
          <t>아스팔트 프라이머 · 보호재</t>
        </is>
      </c>
      <c r="B12" s="53" t="n"/>
      <c r="C12" s="53" t="n"/>
      <c r="D12" s="54">
        <f>IF(OR(N(B12)=0,N(C12)=0),"",IF(C12&lt;B12,"⚠",C12-B12+1))</f>
        <v/>
      </c>
      <c r="E12" s="55" t="inlineStr"/>
      <c r="F12" s="55" t="inlineStr"/>
      <c r="G12" s="55" t="inlineStr"/>
      <c r="H12" s="55" t="inlineStr"/>
      <c r="I12" s="55" t="inlineStr"/>
      <c r="J12" s="55" t="inlineStr"/>
      <c r="K12" s="55" t="inlineStr"/>
      <c r="L12" s="55" t="inlineStr"/>
      <c r="M12" s="55" t="inlineStr"/>
      <c r="N12" s="55" t="inlineStr"/>
      <c r="O12" s="55" t="inlineStr"/>
      <c r="P12" s="55" t="inlineStr"/>
      <c r="Q12" s="55" t="inlineStr"/>
      <c r="R12" s="55" t="inlineStr"/>
      <c r="S12" s="55" t="inlineStr"/>
      <c r="T12" s="55" t="inlineStr"/>
      <c r="U12" s="55" t="inlineStr"/>
      <c r="V12" s="55" t="inlineStr"/>
      <c r="W12" s="55" t="inlineStr"/>
      <c r="X12" s="55" t="inlineStr"/>
      <c r="Y12" s="55" t="inlineStr"/>
      <c r="Z12" s="55" t="inlineStr"/>
      <c r="AA12" s="55" t="inlineStr"/>
      <c r="AB12" s="55" t="inlineStr"/>
      <c r="AC12" s="55" t="inlineStr"/>
      <c r="AD12" s="55" t="inlineStr"/>
      <c r="AE12" s="55" t="inlineStr"/>
      <c r="AF12" s="55" t="inlineStr"/>
      <c r="AG12" s="55" t="inlineStr"/>
      <c r="AH12" s="55" t="inlineStr"/>
      <c r="AI12" s="55" t="inlineStr"/>
      <c r="AJ12" s="55" t="inlineStr"/>
      <c r="AK12" s="55" t="inlineStr"/>
      <c r="AL12" s="55" t="inlineStr"/>
      <c r="AM12" s="55" t="inlineStr"/>
      <c r="AN12" s="55" t="inlineStr"/>
      <c r="AO12" s="56" t="n"/>
    </row>
    <row r="13" ht="22" customHeight="1">
      <c r="A13" s="29" t="inlineStr">
        <is>
          <t>담수시험</t>
        </is>
      </c>
      <c r="B13" s="53" t="n"/>
      <c r="C13" s="53" t="n"/>
      <c r="D13" s="54">
        <f>IF(OR(N(B13)=0,N(C13)=0),"",IF(C13&lt;B13,"⚠",C13-B13+1))</f>
        <v/>
      </c>
      <c r="E13" s="55" t="inlineStr"/>
      <c r="F13" s="55" t="inlineStr"/>
      <c r="G13" s="55" t="inlineStr"/>
      <c r="H13" s="55" t="inlineStr"/>
      <c r="I13" s="55" t="inlineStr"/>
      <c r="J13" s="55" t="inlineStr"/>
      <c r="K13" s="55" t="inlineStr"/>
      <c r="L13" s="55" t="inlineStr"/>
      <c r="M13" s="55" t="inlineStr"/>
      <c r="N13" s="55" t="inlineStr"/>
      <c r="O13" s="55" t="inlineStr"/>
      <c r="P13" s="55" t="inlineStr"/>
      <c r="Q13" s="55" t="inlineStr"/>
      <c r="R13" s="55" t="inlineStr"/>
      <c r="S13" s="55" t="inlineStr"/>
      <c r="T13" s="55" t="inlineStr"/>
      <c r="U13" s="55" t="inlineStr"/>
      <c r="V13" s="55" t="inlineStr"/>
      <c r="W13" s="55" t="inlineStr"/>
      <c r="X13" s="55" t="inlineStr"/>
      <c r="Y13" s="55" t="inlineStr"/>
      <c r="Z13" s="55" t="inlineStr"/>
      <c r="AA13" s="55" t="inlineStr"/>
      <c r="AB13" s="55" t="inlineStr"/>
      <c r="AC13" s="55" t="inlineStr"/>
      <c r="AD13" s="55" t="inlineStr"/>
      <c r="AE13" s="55" t="inlineStr"/>
      <c r="AF13" s="55" t="inlineStr"/>
      <c r="AG13" s="55" t="inlineStr"/>
      <c r="AH13" s="55" t="inlineStr"/>
      <c r="AI13" s="55" t="inlineStr"/>
      <c r="AJ13" s="55" t="inlineStr"/>
      <c r="AK13" s="55" t="inlineStr"/>
      <c r="AL13" s="55" t="inlineStr"/>
      <c r="AM13" s="55" t="inlineStr"/>
      <c r="AN13" s="55" t="inlineStr"/>
      <c r="AO13" s="56" t="n"/>
    </row>
    <row r="14" ht="22" customHeight="1">
      <c r="A14" s="29" t="inlineStr">
        <is>
          <t>보호몰탈 · 마무리</t>
        </is>
      </c>
      <c r="B14" s="53" t="n"/>
      <c r="C14" s="53" t="n"/>
      <c r="D14" s="54">
        <f>IF(OR(N(B14)=0,N(C14)=0),"",IF(C14&lt;B14,"⚠",C14-B14+1))</f>
        <v/>
      </c>
      <c r="E14" s="55" t="inlineStr"/>
      <c r="F14" s="55" t="inlineStr"/>
      <c r="G14" s="55" t="inlineStr"/>
      <c r="H14" s="55" t="inlineStr"/>
      <c r="I14" s="55" t="inlineStr"/>
      <c r="J14" s="55" t="inlineStr"/>
      <c r="K14" s="55" t="inlineStr"/>
      <c r="L14" s="55" t="inlineStr"/>
      <c r="M14" s="55" t="inlineStr"/>
      <c r="N14" s="55" t="inlineStr"/>
      <c r="O14" s="55" t="inlineStr"/>
      <c r="P14" s="55" t="inlineStr"/>
      <c r="Q14" s="55" t="inlineStr"/>
      <c r="R14" s="55" t="inlineStr"/>
      <c r="S14" s="55" t="inlineStr"/>
      <c r="T14" s="55" t="inlineStr"/>
      <c r="U14" s="55" t="inlineStr"/>
      <c r="V14" s="55" t="inlineStr"/>
      <c r="W14" s="55" t="inlineStr"/>
      <c r="X14" s="55" t="inlineStr"/>
      <c r="Y14" s="55" t="inlineStr"/>
      <c r="Z14" s="55" t="inlineStr"/>
      <c r="AA14" s="55" t="inlineStr"/>
      <c r="AB14" s="55" t="inlineStr"/>
      <c r="AC14" s="55" t="inlineStr"/>
      <c r="AD14" s="55" t="inlineStr"/>
      <c r="AE14" s="55" t="inlineStr"/>
      <c r="AF14" s="55" t="inlineStr"/>
      <c r="AG14" s="55" t="inlineStr"/>
      <c r="AH14" s="55" t="inlineStr"/>
      <c r="AI14" s="55" t="inlineStr"/>
      <c r="AJ14" s="55" t="inlineStr"/>
      <c r="AK14" s="55" t="inlineStr"/>
      <c r="AL14" s="55" t="inlineStr"/>
      <c r="AM14" s="55" t="inlineStr"/>
      <c r="AN14" s="55" t="inlineStr"/>
      <c r="AO14" s="56" t="n"/>
    </row>
    <row r="15" ht="22" customHeight="1">
      <c r="A15" s="29" t="inlineStr">
        <is>
          <t>검측 · 정리</t>
        </is>
      </c>
      <c r="B15" s="53" t="n"/>
      <c r="C15" s="53" t="n"/>
      <c r="D15" s="54">
        <f>IF(OR(N(B15)=0,N(C15)=0),"",IF(C15&lt;B15,"⚠",C15-B15+1))</f>
        <v/>
      </c>
      <c r="E15" s="55" t="inlineStr"/>
      <c r="F15" s="55" t="inlineStr"/>
      <c r="G15" s="55" t="inlineStr"/>
      <c r="H15" s="55" t="inlineStr"/>
      <c r="I15" s="55" t="inlineStr"/>
      <c r="J15" s="55" t="inlineStr"/>
      <c r="K15" s="55" t="inlineStr"/>
      <c r="L15" s="55" t="inlineStr"/>
      <c r="M15" s="55" t="inlineStr"/>
      <c r="N15" s="55" t="inlineStr"/>
      <c r="O15" s="55" t="inlineStr"/>
      <c r="P15" s="55" t="inlineStr"/>
      <c r="Q15" s="55" t="inlineStr"/>
      <c r="R15" s="55" t="inlineStr"/>
      <c r="S15" s="55" t="inlineStr"/>
      <c r="T15" s="55" t="inlineStr"/>
      <c r="U15" s="55" t="inlineStr"/>
      <c r="V15" s="55" t="inlineStr"/>
      <c r="W15" s="55" t="inlineStr"/>
      <c r="X15" s="55" t="inlineStr"/>
      <c r="Y15" s="55" t="inlineStr"/>
      <c r="Z15" s="55" t="inlineStr"/>
      <c r="AA15" s="55" t="inlineStr"/>
      <c r="AB15" s="55" t="inlineStr"/>
      <c r="AC15" s="55" t="inlineStr"/>
      <c r="AD15" s="55" t="inlineStr"/>
      <c r="AE15" s="55" t="inlineStr"/>
      <c r="AF15" s="55" t="inlineStr"/>
      <c r="AG15" s="55" t="inlineStr"/>
      <c r="AH15" s="55" t="inlineStr"/>
      <c r="AI15" s="55" t="inlineStr"/>
      <c r="AJ15" s="55" t="inlineStr"/>
      <c r="AK15" s="55" t="inlineStr"/>
      <c r="AL15" s="55" t="inlineStr"/>
      <c r="AM15" s="55" t="inlineStr"/>
      <c r="AN15" s="55" t="inlineStr"/>
      <c r="AO15" s="56" t="n"/>
    </row>
    <row r="16" ht="22" customHeight="1">
      <c r="A16" s="29" t="n"/>
      <c r="B16" s="53" t="n"/>
      <c r="C16" s="53" t="n"/>
      <c r="D16" s="54">
        <f>IF(OR(N(B16)=0,N(C16)=0),"",IF(C16&lt;B16,"⚠",C16-B16+1))</f>
        <v/>
      </c>
      <c r="E16" s="55" t="inlineStr"/>
      <c r="F16" s="55" t="inlineStr"/>
      <c r="G16" s="55" t="inlineStr"/>
      <c r="H16" s="55" t="inlineStr"/>
      <c r="I16" s="55" t="inlineStr"/>
      <c r="J16" s="55" t="inlineStr"/>
      <c r="K16" s="55" t="inlineStr"/>
      <c r="L16" s="55" t="inlineStr"/>
      <c r="M16" s="55" t="inlineStr"/>
      <c r="N16" s="55" t="inlineStr"/>
      <c r="O16" s="55" t="inlineStr"/>
      <c r="P16" s="55" t="inlineStr"/>
      <c r="Q16" s="55" t="inlineStr"/>
      <c r="R16" s="55" t="inlineStr"/>
      <c r="S16" s="55" t="inlineStr"/>
      <c r="T16" s="55" t="inlineStr"/>
      <c r="U16" s="55" t="inlineStr"/>
      <c r="V16" s="55" t="inlineStr"/>
      <c r="W16" s="55" t="inlineStr"/>
      <c r="X16" s="55" t="inlineStr"/>
      <c r="Y16" s="55" t="inlineStr"/>
      <c r="Z16" s="55" t="inlineStr"/>
      <c r="AA16" s="55" t="inlineStr"/>
      <c r="AB16" s="55" t="inlineStr"/>
      <c r="AC16" s="55" t="inlineStr"/>
      <c r="AD16" s="55" t="inlineStr"/>
      <c r="AE16" s="55" t="inlineStr"/>
      <c r="AF16" s="55" t="inlineStr"/>
      <c r="AG16" s="55" t="inlineStr"/>
      <c r="AH16" s="55" t="inlineStr"/>
      <c r="AI16" s="55" t="inlineStr"/>
      <c r="AJ16" s="55" t="inlineStr"/>
      <c r="AK16" s="55" t="inlineStr"/>
      <c r="AL16" s="55" t="inlineStr"/>
      <c r="AM16" s="55" t="inlineStr"/>
      <c r="AN16" s="55" t="inlineStr"/>
      <c r="AO16" s="56" t="n"/>
    </row>
    <row r="17" ht="22" customHeight="1">
      <c r="A17" s="29" t="n"/>
      <c r="B17" s="53" t="n"/>
      <c r="C17" s="53" t="n"/>
      <c r="D17" s="54">
        <f>IF(OR(N(B17)=0,N(C17)=0),"",IF(C17&lt;B17,"⚠",C17-B17+1))</f>
        <v/>
      </c>
      <c r="E17" s="55" t="inlineStr"/>
      <c r="F17" s="55" t="inlineStr"/>
      <c r="G17" s="55" t="inlineStr"/>
      <c r="H17" s="55" t="inlineStr"/>
      <c r="I17" s="55" t="inlineStr"/>
      <c r="J17" s="55" t="inlineStr"/>
      <c r="K17" s="55" t="inlineStr"/>
      <c r="L17" s="55" t="inlineStr"/>
      <c r="M17" s="55" t="inlineStr"/>
      <c r="N17" s="55" t="inlineStr"/>
      <c r="O17" s="55" t="inlineStr"/>
      <c r="P17" s="55" t="inlineStr"/>
      <c r="Q17" s="55" t="inlineStr"/>
      <c r="R17" s="55" t="inlineStr"/>
      <c r="S17" s="55" t="inlineStr"/>
      <c r="T17" s="55" t="inlineStr"/>
      <c r="U17" s="55" t="inlineStr"/>
      <c r="V17" s="55" t="inlineStr"/>
      <c r="W17" s="55" t="inlineStr"/>
      <c r="X17" s="55" t="inlineStr"/>
      <c r="Y17" s="55" t="inlineStr"/>
      <c r="Z17" s="55" t="inlineStr"/>
      <c r="AA17" s="55" t="inlineStr"/>
      <c r="AB17" s="55" t="inlineStr"/>
      <c r="AC17" s="55" t="inlineStr"/>
      <c r="AD17" s="55" t="inlineStr"/>
      <c r="AE17" s="55" t="inlineStr"/>
      <c r="AF17" s="55" t="inlineStr"/>
      <c r="AG17" s="55" t="inlineStr"/>
      <c r="AH17" s="55" t="inlineStr"/>
      <c r="AI17" s="55" t="inlineStr"/>
      <c r="AJ17" s="55" t="inlineStr"/>
      <c r="AK17" s="55" t="inlineStr"/>
      <c r="AL17" s="55" t="inlineStr"/>
      <c r="AM17" s="55" t="inlineStr"/>
      <c r="AN17" s="55" t="inlineStr"/>
      <c r="AO17" s="56" t="n"/>
    </row>
    <row r="18" ht="22" customHeight="1">
      <c r="A18" s="29" t="n"/>
      <c r="B18" s="53" t="n"/>
      <c r="C18" s="53" t="n"/>
      <c r="D18" s="54">
        <f>IF(OR(N(B18)=0,N(C18)=0),"",IF(C18&lt;B18,"⚠",C18-B18+1))</f>
        <v/>
      </c>
      <c r="E18" s="55" t="inlineStr"/>
      <c r="F18" s="55" t="inlineStr"/>
      <c r="G18" s="55" t="inlineStr"/>
      <c r="H18" s="55" t="inlineStr"/>
      <c r="I18" s="55" t="inlineStr"/>
      <c r="J18" s="55" t="inlineStr"/>
      <c r="K18" s="55" t="inlineStr"/>
      <c r="L18" s="55" t="inlineStr"/>
      <c r="M18" s="55" t="inlineStr"/>
      <c r="N18" s="55" t="inlineStr"/>
      <c r="O18" s="55" t="inlineStr"/>
      <c r="P18" s="55" t="inlineStr"/>
      <c r="Q18" s="55" t="inlineStr"/>
      <c r="R18" s="55" t="inlineStr"/>
      <c r="S18" s="55" t="inlineStr"/>
      <c r="T18" s="55" t="inlineStr"/>
      <c r="U18" s="55" t="inlineStr"/>
      <c r="V18" s="55" t="inlineStr"/>
      <c r="W18" s="55" t="inlineStr"/>
      <c r="X18" s="55" t="inlineStr"/>
      <c r="Y18" s="55" t="inlineStr"/>
      <c r="Z18" s="55" t="inlineStr"/>
      <c r="AA18" s="55" t="inlineStr"/>
      <c r="AB18" s="55" t="inlineStr"/>
      <c r="AC18" s="55" t="inlineStr"/>
      <c r="AD18" s="55" t="inlineStr"/>
      <c r="AE18" s="55" t="inlineStr"/>
      <c r="AF18" s="55" t="inlineStr"/>
      <c r="AG18" s="55" t="inlineStr"/>
      <c r="AH18" s="55" t="inlineStr"/>
      <c r="AI18" s="55" t="inlineStr"/>
      <c r="AJ18" s="55" t="inlineStr"/>
      <c r="AK18" s="55" t="inlineStr"/>
      <c r="AL18" s="55" t="inlineStr"/>
      <c r="AM18" s="55" t="inlineStr"/>
      <c r="AN18" s="55" t="inlineStr"/>
      <c r="AO18" s="56" t="n"/>
    </row>
    <row r="19" ht="22" customHeight="1">
      <c r="A19" s="29" t="n"/>
      <c r="B19" s="53" t="n"/>
      <c r="C19" s="53" t="n"/>
      <c r="D19" s="54">
        <f>IF(OR(N(B19)=0,N(C19)=0),"",IF(C19&lt;B19,"⚠",C19-B19+1))</f>
        <v/>
      </c>
      <c r="E19" s="55" t="inlineStr"/>
      <c r="F19" s="55" t="inlineStr"/>
      <c r="G19" s="55" t="inlineStr"/>
      <c r="H19" s="55" t="inlineStr"/>
      <c r="I19" s="55" t="inlineStr"/>
      <c r="J19" s="55" t="inlineStr"/>
      <c r="K19" s="55" t="inlineStr"/>
      <c r="L19" s="55" t="inlineStr"/>
      <c r="M19" s="55" t="inlineStr"/>
      <c r="N19" s="55" t="inlineStr"/>
      <c r="O19" s="55" t="inlineStr"/>
      <c r="P19" s="55" t="inlineStr"/>
      <c r="Q19" s="55" t="inlineStr"/>
      <c r="R19" s="55" t="inlineStr"/>
      <c r="S19" s="55" t="inlineStr"/>
      <c r="T19" s="55" t="inlineStr"/>
      <c r="U19" s="55" t="inlineStr"/>
      <c r="V19" s="55" t="inlineStr"/>
      <c r="W19" s="55" t="inlineStr"/>
      <c r="X19" s="55" t="inlineStr"/>
      <c r="Y19" s="55" t="inlineStr"/>
      <c r="Z19" s="55" t="inlineStr"/>
      <c r="AA19" s="55" t="inlineStr"/>
      <c r="AB19" s="55" t="inlineStr"/>
      <c r="AC19" s="55" t="inlineStr"/>
      <c r="AD19" s="55" t="inlineStr"/>
      <c r="AE19" s="55" t="inlineStr"/>
      <c r="AF19" s="55" t="inlineStr"/>
      <c r="AG19" s="55" t="inlineStr"/>
      <c r="AH19" s="55" t="inlineStr"/>
      <c r="AI19" s="55" t="inlineStr"/>
      <c r="AJ19" s="55" t="inlineStr"/>
      <c r="AK19" s="55" t="inlineStr"/>
      <c r="AL19" s="55" t="inlineStr"/>
      <c r="AM19" s="55" t="inlineStr"/>
      <c r="AN19" s="55" t="inlineStr"/>
      <c r="AO19" s="56" t="n"/>
    </row>
    <row r="20" ht="22" customHeight="1">
      <c r="A20" s="29" t="n"/>
      <c r="B20" s="53" t="n"/>
      <c r="C20" s="53" t="n"/>
      <c r="D20" s="54">
        <f>IF(OR(N(B20)=0,N(C20)=0),"",IF(C20&lt;B20,"⚠",C20-B20+1))</f>
        <v/>
      </c>
      <c r="E20" s="55" t="inlineStr"/>
      <c r="F20" s="55" t="inlineStr"/>
      <c r="G20" s="55" t="inlineStr"/>
      <c r="H20" s="55" t="inlineStr"/>
      <c r="I20" s="55" t="inlineStr"/>
      <c r="J20" s="55" t="inlineStr"/>
      <c r="K20" s="55" t="inlineStr"/>
      <c r="L20" s="55" t="inlineStr"/>
      <c r="M20" s="55" t="inlineStr"/>
      <c r="N20" s="55" t="inlineStr"/>
      <c r="O20" s="55" t="inlineStr"/>
      <c r="P20" s="55" t="inlineStr"/>
      <c r="Q20" s="55" t="inlineStr"/>
      <c r="R20" s="55" t="inlineStr"/>
      <c r="S20" s="55" t="inlineStr"/>
      <c r="T20" s="55" t="inlineStr"/>
      <c r="U20" s="55" t="inlineStr"/>
      <c r="V20" s="55" t="inlineStr"/>
      <c r="W20" s="55" t="inlineStr"/>
      <c r="X20" s="55" t="inlineStr"/>
      <c r="Y20" s="55" t="inlineStr"/>
      <c r="Z20" s="55" t="inlineStr"/>
      <c r="AA20" s="55" t="inlineStr"/>
      <c r="AB20" s="55" t="inlineStr"/>
      <c r="AC20" s="55" t="inlineStr"/>
      <c r="AD20" s="55" t="inlineStr"/>
      <c r="AE20" s="55" t="inlineStr"/>
      <c r="AF20" s="55" t="inlineStr"/>
      <c r="AG20" s="55" t="inlineStr"/>
      <c r="AH20" s="55" t="inlineStr"/>
      <c r="AI20" s="55" t="inlineStr"/>
      <c r="AJ20" s="55" t="inlineStr"/>
      <c r="AK20" s="55" t="inlineStr"/>
      <c r="AL20" s="55" t="inlineStr"/>
      <c r="AM20" s="55" t="inlineStr"/>
      <c r="AN20" s="55" t="inlineStr"/>
      <c r="AO20" s="56" t="n"/>
    </row>
    <row r="21" ht="22" customHeight="1">
      <c r="A21" s="29" t="n"/>
      <c r="B21" s="53" t="n"/>
      <c r="C21" s="53" t="n"/>
      <c r="D21" s="54">
        <f>IF(OR(N(B21)=0,N(C21)=0),"",IF(C21&lt;B21,"⚠",C21-B21+1))</f>
        <v/>
      </c>
      <c r="E21" s="55" t="inlineStr"/>
      <c r="F21" s="55" t="inlineStr"/>
      <c r="G21" s="55" t="inlineStr"/>
      <c r="H21" s="55" t="inlineStr"/>
      <c r="I21" s="55" t="inlineStr"/>
      <c r="J21" s="55" t="inlineStr"/>
      <c r="K21" s="55" t="inlineStr"/>
      <c r="L21" s="55" t="inlineStr"/>
      <c r="M21" s="55" t="inlineStr"/>
      <c r="N21" s="55" t="inlineStr"/>
      <c r="O21" s="55" t="inlineStr"/>
      <c r="P21" s="55" t="inlineStr"/>
      <c r="Q21" s="55" t="inlineStr"/>
      <c r="R21" s="55" t="inlineStr"/>
      <c r="S21" s="55" t="inlineStr"/>
      <c r="T21" s="55" t="inlineStr"/>
      <c r="U21" s="55" t="inlineStr"/>
      <c r="V21" s="55" t="inlineStr"/>
      <c r="W21" s="55" t="inlineStr"/>
      <c r="X21" s="55" t="inlineStr"/>
      <c r="Y21" s="55" t="inlineStr"/>
      <c r="Z21" s="55" t="inlineStr"/>
      <c r="AA21" s="55" t="inlineStr"/>
      <c r="AB21" s="55" t="inlineStr"/>
      <c r="AC21" s="55" t="inlineStr"/>
      <c r="AD21" s="55" t="inlineStr"/>
      <c r="AE21" s="55" t="inlineStr"/>
      <c r="AF21" s="55" t="inlineStr"/>
      <c r="AG21" s="55" t="inlineStr"/>
      <c r="AH21" s="55" t="inlineStr"/>
      <c r="AI21" s="55" t="inlineStr"/>
      <c r="AJ21" s="55" t="inlineStr"/>
      <c r="AK21" s="55" t="inlineStr"/>
      <c r="AL21" s="55" t="inlineStr"/>
      <c r="AM21" s="55" t="inlineStr"/>
      <c r="AN21" s="55" t="inlineStr"/>
      <c r="AO21" s="56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하늘색 칸 = 자동(착공일 · 달 머리 · 일수). 공종 이름은 원본 차례를 미리 넣어 두었습니다 — 현장에 맞게 고쳐 쓰세요.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2" t="inlineStr">
        <is>
          <t xml:space="preserve">← 이 1행을 지우고 쓰셔도 됩니다  </t>
        </is>
      </c>
    </row>
    <row r="2" ht="4" customHeight="1"/>
    <row r="3" ht="30" customHeight="1">
      <c r="A3" s="12" t="inlineStr">
        <is>
          <t>8.0   품 질 관 리  계 획</t>
        </is>
      </c>
    </row>
    <row r="4" ht="4" customHeight="1"/>
    <row r="5" ht="3" customHeight="1"/>
    <row r="6" ht="22" customHeight="1">
      <c r="A6" s="37" t="inlineStr">
        <is>
          <t>8-1  품질관리 일반 및 적용범위</t>
        </is>
      </c>
    </row>
    <row r="7" ht="36" customHeight="1">
      <c r="A7" s="39" t="inlineStr">
        <is>
          <t>(1)</t>
        </is>
      </c>
      <c r="B7" s="40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39" t="inlineStr">
        <is>
          <t>(2)</t>
        </is>
      </c>
      <c r="B8" s="40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39" t="inlineStr">
        <is>
          <t>(3)</t>
        </is>
      </c>
      <c r="B9" s="40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37" t="inlineStr">
        <is>
          <t>8-2  공사용 재료의 품질</t>
        </is>
      </c>
    </row>
    <row r="12" ht="36" customHeight="1">
      <c r="A12" s="39" t="inlineStr">
        <is>
          <t>(1)</t>
        </is>
      </c>
      <c r="B12" s="40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39" t="inlineStr">
        <is>
          <t>(2)</t>
        </is>
      </c>
      <c r="B13" s="40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39" t="inlineStr">
        <is>
          <t>(3)</t>
        </is>
      </c>
      <c r="B14" s="40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39" t="inlineStr">
        <is>
          <t>(4)</t>
        </is>
      </c>
      <c r="B15" s="40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39" t="inlineStr">
        <is>
          <t>(5)</t>
        </is>
      </c>
      <c r="B16" s="40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39" t="inlineStr">
        <is>
          <t>(6)</t>
        </is>
      </c>
      <c r="B17" s="40" t="inlineStr">
        <is>
          <t>검사 또는 시험에 불합격한 재료는 지체 없이 현장 밖으로 반출한다.</t>
        </is>
      </c>
    </row>
    <row r="18" ht="3" customHeight="1"/>
    <row r="19" ht="22" customHeight="1">
      <c r="A19" s="37" t="inlineStr">
        <is>
          <t>8-3  시공 확인 및 검사</t>
        </is>
      </c>
    </row>
    <row r="20" ht="36" customHeight="1">
      <c r="A20" s="39" t="inlineStr">
        <is>
          <t>(1)</t>
        </is>
      </c>
      <c r="B20" s="40" t="inlineStr">
        <is>
          <t>주요 공사단계가 끝났을 때나 공사감독자가 지시할 때는 시공의 정확성과 품질을 확인받는다.</t>
        </is>
      </c>
    </row>
    <row r="21" ht="20.5" customHeight="1">
      <c r="A21" s="39" t="inlineStr">
        <is>
          <t>(2)</t>
        </is>
      </c>
      <c r="B21" s="40" t="inlineStr">
        <is>
          <t>검사에 필요한 자료 작성 · 측량 등은 검사자의 지시에 따른다.</t>
        </is>
      </c>
    </row>
    <row r="22" ht="3" customHeight="1"/>
    <row r="23" ht="22" customHeight="1">
      <c r="A23" s="37" t="inlineStr">
        <is>
          <t>8-4  자재관리</t>
        </is>
      </c>
    </row>
    <row r="24" ht="20.5" customHeight="1">
      <c r="A24" s="39" t="inlineStr">
        <is>
          <t>(1)</t>
        </is>
      </c>
      <c r="B24" s="40" t="inlineStr">
        <is>
          <t>들어온 자재는 자재수불대장으로 입 · 출고를 관리한다.</t>
        </is>
      </c>
    </row>
    <row r="25" ht="20.5" customHeight="1">
      <c r="A25" s="39" t="inlineStr">
        <is>
          <t>(2)</t>
        </is>
      </c>
      <c r="B25" s="40" t="inlineStr">
        <is>
          <t>자재는 재질별 · 규격별로 나누어 보관한다.</t>
        </is>
      </c>
    </row>
    <row r="26" ht="20.5" customHeight="1">
      <c r="A26" s="39" t="inlineStr">
        <is>
          <t>(3)</t>
        </is>
      </c>
      <c r="B26" s="40" t="inlineStr">
        <is>
          <t>운반 · 야적 때 변형되지 않도록 전용 운반 가설대 또는 전용 야적대를 쓴다.</t>
        </is>
      </c>
    </row>
    <row r="27" ht="36" customHeight="1">
      <c r="A27" s="39" t="inlineStr">
        <is>
          <t>(4)</t>
        </is>
      </c>
      <c r="B27" s="40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39" t="inlineStr">
        <is>
          <t>(5)</t>
        </is>
      </c>
      <c r="B28" s="40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9.0   환 경 관 리  계 획</t>
        </is>
      </c>
    </row>
    <row r="31" ht="4" customHeight="1"/>
    <row r="32" ht="3" customHeight="1"/>
    <row r="33" ht="22" customHeight="1">
      <c r="A33" s="37" t="inlineStr">
        <is>
          <t>9-1  개  요</t>
        </is>
      </c>
    </row>
    <row r="34" ht="21.5" customHeight="1">
      <c r="A34" s="57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37" t="inlineStr">
        <is>
          <t>9-2  중점관리 방침</t>
        </is>
      </c>
    </row>
    <row r="37" ht="20.5" customHeight="1">
      <c r="A37" s="39" t="inlineStr">
        <is>
          <t>(1)</t>
        </is>
      </c>
      <c r="B37" s="40" t="inlineStr">
        <is>
          <t>자율적인 환경관리</t>
        </is>
      </c>
    </row>
    <row r="38" ht="20.5" customHeight="1">
      <c r="A38" s="39" t="inlineStr">
        <is>
          <t>(2)</t>
        </is>
      </c>
      <c r="B38" s="40" t="inlineStr">
        <is>
          <t>쾌적한 작업환경 관리</t>
        </is>
      </c>
    </row>
    <row r="39" ht="20.5" customHeight="1">
      <c r="A39" s="39" t="inlineStr">
        <is>
          <t>(3)</t>
        </is>
      </c>
      <c r="B39" s="40" t="inlineStr">
        <is>
          <t>민원 발생 방지</t>
        </is>
      </c>
    </row>
    <row r="40" ht="3" customHeight="1"/>
    <row r="41" ht="22" customHeight="1">
      <c r="A41" s="37" t="inlineStr">
        <is>
          <t>9-3  실시계획</t>
        </is>
      </c>
    </row>
    <row r="42" ht="20.5" customHeight="1">
      <c r="A42" s="39" t="inlineStr">
        <is>
          <t>(1)</t>
        </is>
      </c>
      <c r="B42" s="40" t="inlineStr">
        <is>
          <t>작업 전후 정리정돈 : 작업 전후 정리정돈을 철저히 하여 쾌적한 작업환경을 유지한다.</t>
        </is>
      </c>
    </row>
    <row r="43" ht="36" customHeight="1">
      <c r="A43" s="39" t="inlineStr">
        <is>
          <t>(2)</t>
        </is>
      </c>
      <c r="B43" s="40" t="inlineStr">
        <is>
          <t>분리수거 : 분리수거를 철저히 하고, 방수 작업에서 나온 폐기물(빈 용기 · 잔재 등)은 시공업체 부담으로 적법하게 처리하여 쓰레기를 줄인다.</t>
        </is>
      </c>
    </row>
    <row r="44" ht="36" customHeight="1">
      <c r="A44" s="39" t="inlineStr">
        <is>
          <t>(3)</t>
        </is>
      </c>
      <c r="B44" s="40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38" t="inlineStr">
        <is>
          <t>(4) 환경관리 대책</t>
        </is>
      </c>
    </row>
    <row r="46" ht="20.5" customHeight="1">
      <c r="A46" s="39" t="inlineStr">
        <is>
          <t>①</t>
        </is>
      </c>
      <c r="C46" s="40" t="inlineStr">
        <is>
          <t>쓰레기 처리 : 현장 안은 금연하고 쓰레기 수거함을 둔다.</t>
        </is>
      </c>
    </row>
    <row r="47" ht="36" customHeight="1">
      <c r="A47" s="39" t="inlineStr">
        <is>
          <t>②</t>
        </is>
      </c>
      <c r="C47" s="40" t="inlineStr">
        <is>
          <t>잔재물 · 빈 용기 : 방수재 잔재와 빈 용기(프라이머 · 용제 용기 포함)는 지정된 장소에 모아 두고 지정 업체가 수거하게 한다.</t>
        </is>
      </c>
    </row>
    <row r="48" ht="36" customHeight="1">
      <c r="A48" s="39" t="inlineStr">
        <is>
          <t>③</t>
        </is>
      </c>
      <c r="C48" s="40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10.0   안 전 관 리  계 획</t>
        </is>
      </c>
    </row>
    <row r="51" ht="4" customHeight="1"/>
    <row r="52" ht="3" customHeight="1"/>
    <row r="53" ht="22" customHeight="1">
      <c r="A53" s="37" t="inlineStr">
        <is>
          <t>10-1  안전관리 목적</t>
        </is>
      </c>
    </row>
    <row r="54" ht="37" customHeight="1">
      <c r="A54" s="57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37" t="inlineStr">
        <is>
          <t>10-2  현장의 안전관리 방침</t>
        </is>
      </c>
    </row>
    <row r="57" ht="20.5" customHeight="1">
      <c r="A57" s="39" t="inlineStr">
        <is>
          <t>①</t>
        </is>
      </c>
      <c r="B57" s="40" t="inlineStr">
        <is>
          <t>선 안전, 후 시공</t>
        </is>
      </c>
    </row>
    <row r="58" ht="20.5" customHeight="1">
      <c r="A58" s="39" t="inlineStr">
        <is>
          <t>②</t>
        </is>
      </c>
      <c r="B58" s="40" t="inlineStr">
        <is>
          <t>안전교육 내실화로 위험요인 사전 제거</t>
        </is>
      </c>
    </row>
    <row r="59" ht="20.5" customHeight="1">
      <c r="A59" s="39" t="inlineStr">
        <is>
          <t>③</t>
        </is>
      </c>
      <c r="B59" s="40" t="inlineStr">
        <is>
          <t>안전지도 · 점검 강화로 위험요인 사전 제거</t>
        </is>
      </c>
    </row>
    <row r="60" ht="20.5" customHeight="1">
      <c r="A60" s="39" t="inlineStr">
        <is>
          <t>④</t>
        </is>
      </c>
      <c r="B60" s="40" t="inlineStr">
        <is>
          <t>취약 지점 점검 · 보강</t>
        </is>
      </c>
    </row>
    <row r="61" ht="3" customHeight="1"/>
    <row r="62" ht="22" customHeight="1">
      <c r="A62" s="37" t="inlineStr">
        <is>
          <t>10-3  중점 관리 사항</t>
        </is>
      </c>
    </row>
    <row r="63" ht="20.5" customHeight="1">
      <c r="A63" s="39" t="inlineStr">
        <is>
          <t>①</t>
        </is>
      </c>
      <c r="B63" s="40" t="inlineStr">
        <is>
          <t>위험예지 활동 실시</t>
        </is>
      </c>
    </row>
    <row r="64" ht="20.5" customHeight="1">
      <c r="A64" s="39" t="inlineStr">
        <is>
          <t>②</t>
        </is>
      </c>
      <c r="B64" s="40" t="inlineStr">
        <is>
          <t>개인 안전보호구 착용 생활화</t>
        </is>
      </c>
    </row>
    <row r="65" ht="20.5" customHeight="1">
      <c r="A65" s="39" t="inlineStr">
        <is>
          <t>③</t>
        </is>
      </c>
      <c r="B65" s="40" t="inlineStr">
        <is>
          <t>신규 채용자는 특별안전교육 후 투입</t>
        </is>
      </c>
    </row>
    <row r="66" ht="20.5" customHeight="1">
      <c r="A66" s="39" t="inlineStr">
        <is>
          <t>④</t>
        </is>
      </c>
      <c r="B66" s="40" t="inlineStr">
        <is>
          <t>고소 및 위험지역 작업 전후 안전대책 강구</t>
        </is>
      </c>
    </row>
    <row r="67" ht="20.5" customHeight="1">
      <c r="A67" s="39" t="inlineStr">
        <is>
          <t>⑤</t>
        </is>
      </c>
      <c r="B67" s="40" t="inlineStr">
        <is>
          <t>각종 도구 · 시설물 · 보호장구 상태 및 사용 실태 수시 점검</t>
        </is>
      </c>
    </row>
    <row r="68" ht="20.5" customHeight="1">
      <c r="A68" s="39" t="inlineStr">
        <is>
          <t>⑥</t>
        </is>
      </c>
      <c r="B68" s="40" t="inlineStr">
        <is>
          <t>작업장 정리정돈 생활화</t>
        </is>
      </c>
    </row>
    <row r="69" ht="20.5" customHeight="1">
      <c r="A69" s="39" t="inlineStr">
        <is>
          <t>⑦</t>
        </is>
      </c>
      <c r="B69" s="40" t="inlineStr">
        <is>
          <t>관리감독자 순찰 활동 강화</t>
        </is>
      </c>
    </row>
    <row r="70" ht="20.5" customHeight="1">
      <c r="A70" s="39" t="inlineStr">
        <is>
          <t>⑧</t>
        </is>
      </c>
      <c r="B70" s="40" t="inlineStr">
        <is>
          <t>장비의 안전상태 점검</t>
        </is>
      </c>
    </row>
    <row r="71" ht="20.5" customHeight="1">
      <c r="A71" s="39" t="inlineStr">
        <is>
          <t>⑨</t>
        </is>
      </c>
      <c r="B71" s="40" t="inlineStr">
        <is>
          <t>장비 운전원은 유자격자 선임</t>
        </is>
      </c>
    </row>
    <row r="72" ht="3" customHeight="1"/>
    <row r="73" ht="22" customHeight="1">
      <c r="A73" s="37" t="inlineStr">
        <is>
          <t>10-4  방수공사의 안전수칙</t>
        </is>
      </c>
    </row>
    <row r="74" ht="36" customHeight="1">
      <c r="A74" s="39" t="inlineStr">
        <is>
          <t>①</t>
        </is>
      </c>
      <c r="B74" s="40" t="inlineStr">
        <is>
          <t>모든 작업자는 작업 때 안전보호구(안전모 · 안전화 · 보호장갑 · 작업복 등)를 반드시 착용한다.</t>
        </is>
      </c>
    </row>
    <row r="75" ht="36" customHeight="1">
      <c r="A75" s="39" t="inlineStr">
        <is>
          <t>②</t>
        </is>
      </c>
      <c r="B75" s="40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39" t="inlineStr">
        <is>
          <t>③</t>
        </is>
      </c>
      <c r="B76" s="40" t="inlineStr">
        <is>
          <t>가동 중인 장비를 두고 자리를 뜨거나 장난 · 한눈팔기를 하지 않는다.</t>
        </is>
      </c>
    </row>
    <row r="77" ht="36" customHeight="1">
      <c r="A77" s="39" t="inlineStr">
        <is>
          <t>④</t>
        </is>
      </c>
      <c r="B77" s="40" t="inlineStr">
        <is>
          <t>기사는 작업자와 주위 사람 · 상황을 정확히 살피고 신호수의 신호에 따라 장비를 움직인다.</t>
        </is>
      </c>
    </row>
    <row r="78" ht="20.5" customHeight="1">
      <c r="A78" s="39" t="inlineStr">
        <is>
          <t>⑤</t>
        </is>
      </c>
      <c r="B78" s="40" t="inlineStr">
        <is>
          <t>높은 곳에서 작업할 때는 반드시 안전대를 착용한다.</t>
        </is>
      </c>
    </row>
    <row r="79" ht="36" customHeight="1">
      <c r="A79" s="39" t="inlineStr">
        <is>
          <t>⑥</t>
        </is>
      </c>
      <c r="B79" s="40" t="inlineStr">
        <is>
          <t>용제형 프라이머 등 인화성 · 유해 재료를 쓸 때는 화기를 금하고 환기를 충분히 하며, 밀폐 공간은 산소 · 유해가스 농도를 측정한 뒤 들어간다.</t>
        </is>
      </c>
    </row>
    <row r="81" ht="34" customHeight="1">
      <c r="A81" s="8" t="inlineStr">
        <is>
          <t>법령 이름은 현행(「건설기술 진흥법」)으로 바꿨습니다. 그 밖의 문구는 원본 계획서를 다듬은 것입니다.</t>
        </is>
      </c>
    </row>
  </sheetData>
  <mergeCells count="67">
    <mergeCell ref="A48:B48"/>
    <mergeCell ref="A54:L54"/>
    <mergeCell ref="B26:L26"/>
    <mergeCell ref="B75:L75"/>
    <mergeCell ref="A41:L41"/>
    <mergeCell ref="B16:L16"/>
    <mergeCell ref="B7:L7"/>
    <mergeCell ref="B25:L25"/>
    <mergeCell ref="C48:L48"/>
    <mergeCell ref="B59:L59"/>
    <mergeCell ref="A56:L56"/>
    <mergeCell ref="B66:L66"/>
    <mergeCell ref="A3:L3"/>
    <mergeCell ref="B27:L27"/>
    <mergeCell ref="A50:L50"/>
    <mergeCell ref="B71:L71"/>
    <mergeCell ref="B43:L43"/>
    <mergeCell ref="B12:L12"/>
    <mergeCell ref="B58:L58"/>
    <mergeCell ref="B70:L70"/>
    <mergeCell ref="B21:L21"/>
    <mergeCell ref="A33:L33"/>
    <mergeCell ref="B39:L39"/>
    <mergeCell ref="B77:L77"/>
    <mergeCell ref="A23:L23"/>
    <mergeCell ref="A46:B46"/>
    <mergeCell ref="B42:L42"/>
    <mergeCell ref="B14:L14"/>
    <mergeCell ref="B60:L60"/>
    <mergeCell ref="B63:L63"/>
    <mergeCell ref="A53:L53"/>
    <mergeCell ref="B17:L17"/>
    <mergeCell ref="B67:L67"/>
    <mergeCell ref="B57:L57"/>
    <mergeCell ref="B8:L8"/>
    <mergeCell ref="A62:L62"/>
    <mergeCell ref="G1:L1"/>
    <mergeCell ref="A81:L81"/>
    <mergeCell ref="B13:L13"/>
    <mergeCell ref="B38:L38"/>
    <mergeCell ref="A19:L19"/>
    <mergeCell ref="B44:L44"/>
    <mergeCell ref="B78:L78"/>
    <mergeCell ref="B69:L69"/>
    <mergeCell ref="A47:B47"/>
    <mergeCell ref="B37:L37"/>
    <mergeCell ref="B28:L28"/>
    <mergeCell ref="C47:L47"/>
    <mergeCell ref="A34:L34"/>
    <mergeCell ref="B9:L9"/>
    <mergeCell ref="A30:L30"/>
    <mergeCell ref="B65:L65"/>
    <mergeCell ref="A73:L73"/>
    <mergeCell ref="B74:L74"/>
    <mergeCell ref="B68:L68"/>
    <mergeCell ref="A11:L11"/>
    <mergeCell ref="B15:L15"/>
    <mergeCell ref="A1:F1"/>
    <mergeCell ref="B64:L64"/>
    <mergeCell ref="B24:L24"/>
    <mergeCell ref="A36:L36"/>
    <mergeCell ref="B20:L20"/>
    <mergeCell ref="A6:L6"/>
    <mergeCell ref="C46:L46"/>
    <mergeCell ref="B76:L76"/>
    <mergeCell ref="B45:L45"/>
    <mergeCell ref="B79:L7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28" min="0" max="16383" man="1"/>
    <brk id="48" min="0" max="16383" man="1"/>
  </rowBreaks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2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8" t="inlineStr">
        <is>
          <t xml:space="preserve">작성 예시 (가상의 현장)  </t>
        </is>
      </c>
    </row>
    <row r="2" ht="90" customHeight="1"/>
    <row r="3" ht="40" customHeight="1">
      <c r="A3" s="3" t="inlineStr">
        <is>
          <t>가나학교 교사 증축공사</t>
        </is>
      </c>
    </row>
    <row r="4" ht="70" customHeight="1"/>
    <row r="5" ht="64" customHeight="1">
      <c r="A5" s="4" t="inlineStr">
        <is>
          <t>시  공  계  획  서</t>
        </is>
      </c>
    </row>
    <row r="6" ht="40" customHeight="1">
      <c r="A6" s="5" t="inlineStr">
        <is>
          <t>[ 방수공사 ]</t>
        </is>
      </c>
    </row>
    <row r="7" ht="120" customHeight="1"/>
    <row r="8" ht="32" customHeight="1">
      <c r="A8" s="6" t="n">
        <v>46082</v>
      </c>
    </row>
    <row r="9" ht="110" customHeight="1"/>
    <row r="10" ht="44" customHeight="1">
      <c r="A10" s="7" t="inlineStr">
        <is>
          <t>예시건설(주)</t>
        </is>
      </c>
    </row>
    <row r="12" ht="19.5" customHeight="1">
      <c r="A12" s="8" t="inlineStr">
        <is>
          <t>이 시트는 작성 예시입니다(가상의 공사 · 회사 · 사람).</t>
        </is>
      </c>
    </row>
  </sheetData>
  <mergeCells count="8">
    <mergeCell ref="G1:L1"/>
    <mergeCell ref="A10:L10"/>
    <mergeCell ref="A1:F1"/>
    <mergeCell ref="A5:L5"/>
    <mergeCell ref="A8:L8"/>
    <mergeCell ref="A6:L6"/>
    <mergeCell ref="A3:L3"/>
    <mergeCell ref="A12:L12"/>
  </mergeCells>
  <printOptions horizontalCentered="1"/>
  <pageMargins left="0.6" right="0.6" top="0.6" bottom="0.6" header="0.2" footer="0.2"/>
  <pageSetup orientation="portrait" paperSize="9" fitToHeight="1" fitToWidth="1"/>
</worksheet>
</file>

<file path=xl/worksheets/sheet7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79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8" t="inlineStr">
        <is>
          <t xml:space="preserve">작성 예시 (가상의 현장)  </t>
        </is>
      </c>
    </row>
    <row r="2" ht="16" customHeight="1"/>
    <row r="3" ht="50" customHeight="1">
      <c r="A3" s="9" t="inlineStr">
        <is>
          <t>목          차</t>
        </is>
      </c>
    </row>
    <row r="4" ht="14" customHeight="1"/>
    <row r="5" ht="30" customHeight="1">
      <c r="A5" s="10" t="inlineStr"/>
      <c r="C5" s="11" t="inlineStr">
        <is>
          <t>1.  공    사    명</t>
        </is>
      </c>
      <c r="K5" s="10" t="inlineStr"/>
    </row>
    <row r="6" ht="30" customHeight="1">
      <c r="A6" s="10" t="inlineStr"/>
      <c r="C6" s="11" t="inlineStr">
        <is>
          <t>2.  공  사  개  요</t>
        </is>
      </c>
      <c r="K6" s="10" t="inlineStr"/>
    </row>
    <row r="7" ht="30" customHeight="1">
      <c r="A7" s="10" t="inlineStr"/>
      <c r="C7" s="11" t="inlineStr">
        <is>
          <t>3.  공  사  위  치</t>
        </is>
      </c>
      <c r="K7" s="10" t="inlineStr"/>
    </row>
    <row r="8" ht="30" customHeight="1">
      <c r="A8" s="10" t="inlineStr"/>
      <c r="C8" s="11" t="inlineStr">
        <is>
          <t>4.  주요 공사 물량</t>
        </is>
      </c>
      <c r="K8" s="10" t="inlineStr"/>
    </row>
    <row r="9" ht="30" customHeight="1">
      <c r="A9" s="10" t="inlineStr"/>
      <c r="C9" s="11" t="inlineStr">
        <is>
          <t>5.  현 장  조 직 도</t>
        </is>
      </c>
      <c r="K9" s="10" t="inlineStr"/>
    </row>
    <row r="10" ht="30" customHeight="1">
      <c r="A10" s="10" t="inlineStr"/>
      <c r="C10" s="11" t="inlineStr">
        <is>
          <t>6.  시  공  관  리</t>
        </is>
      </c>
      <c r="K10" s="10" t="inlineStr"/>
    </row>
    <row r="11" ht="30" customHeight="1">
      <c r="A11" s="10" t="inlineStr"/>
      <c r="C11" s="11" t="inlineStr">
        <is>
          <t>7.  예 정  공 정 표</t>
        </is>
      </c>
      <c r="K11" s="10" t="inlineStr"/>
    </row>
    <row r="12" ht="30" customHeight="1">
      <c r="A12" s="10" t="inlineStr"/>
      <c r="C12" s="11" t="inlineStr">
        <is>
          <t>8.  품 질  관 리  계 획</t>
        </is>
      </c>
      <c r="K12" s="10" t="inlineStr"/>
    </row>
    <row r="13" ht="30" customHeight="1">
      <c r="A13" s="10" t="inlineStr"/>
      <c r="C13" s="11" t="inlineStr">
        <is>
          <t>9.  환 경  관 리  계 획</t>
        </is>
      </c>
      <c r="K13" s="10" t="inlineStr"/>
    </row>
    <row r="14" ht="30" customHeight="1">
      <c r="A14" s="10" t="inlineStr"/>
      <c r="C14" s="11" t="inlineStr">
        <is>
          <t>10. 안 전  관 리  계 획</t>
        </is>
      </c>
      <c r="K14" s="10" t="inlineStr"/>
    </row>
    <row r="15" ht="4" customHeight="1"/>
    <row r="16" ht="30" customHeight="1">
      <c r="A16" s="12" t="inlineStr">
        <is>
          <t>1.0   공 사 명</t>
        </is>
      </c>
    </row>
    <row r="17" ht="4" customHeight="1"/>
    <row r="18" ht="30" customHeight="1">
      <c r="A18" s="10" t="inlineStr"/>
      <c r="B18" s="13">
        <f>IF(OR('예시-표지'!A3="",'예시-표지'!A3="(공 사 명)"),"","◦ "&amp;'예시-표지'!A3)</f>
        <v/>
      </c>
    </row>
    <row r="19" ht="4" customHeight="1"/>
    <row r="20" ht="30" customHeight="1">
      <c r="A20" s="12" t="inlineStr">
        <is>
          <t>2.0   공 사 개 요</t>
        </is>
      </c>
    </row>
    <row r="21" ht="4" customHeight="1"/>
    <row r="22" ht="28" customHeight="1">
      <c r="A22" s="14" t="inlineStr">
        <is>
          <t>공 사 명</t>
        </is>
      </c>
      <c r="B22" s="15" t="n"/>
      <c r="C22" s="15" t="n"/>
      <c r="D22" s="16">
        <f>IF(OR('예시-표지'!A3="",'예시-표지'!A3="(공 사 명)"),"",'예시-표지'!A3)</f>
        <v/>
      </c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 ht="26" customHeight="1">
      <c r="A23" s="14" t="inlineStr">
        <is>
          <t>공 사 위 치</t>
        </is>
      </c>
      <c r="B23" s="15" t="n"/>
      <c r="C23" s="15" t="n"/>
      <c r="D23" s="17" t="inlineStr">
        <is>
          <t>가나시 가나동 일원</t>
        </is>
      </c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 ht="26" customHeight="1">
      <c r="A24" s="14" t="inlineStr">
        <is>
          <t>발  주  처</t>
        </is>
      </c>
      <c r="B24" s="15" t="n"/>
      <c r="C24" s="15" t="n"/>
      <c r="D24" s="17" t="inlineStr">
        <is>
          <t>가나시교육청</t>
        </is>
      </c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 ht="26" customHeight="1">
      <c r="A25" s="14" t="inlineStr">
        <is>
          <t>공 사 기 간</t>
        </is>
      </c>
      <c r="B25" s="15" t="n"/>
      <c r="C25" s="15" t="n"/>
      <c r="D25" s="18" t="n">
        <v>46083</v>
      </c>
      <c r="E25" s="15" t="n"/>
      <c r="F25" s="19" t="inlineStr">
        <is>
          <t>~</t>
        </is>
      </c>
      <c r="G25" s="18" t="n">
        <v>46387</v>
      </c>
      <c r="H25" s="15" t="n"/>
      <c r="I25" s="20">
        <f>IF(OR(N(D25)=0,N(G25)=0),"",IF(G25&lt;D25,"⚠ 준공일이 착공일보다 빠름",G25-D25+1))</f>
        <v/>
      </c>
      <c r="J25" s="15" t="n"/>
      <c r="K25" s="15" t="n"/>
      <c r="L25" s="15" t="n"/>
    </row>
    <row r="26" ht="26" customHeight="1">
      <c r="A26" s="14" t="inlineStr">
        <is>
          <t>공 사 금 액</t>
        </is>
      </c>
      <c r="B26" s="15" t="n"/>
      <c r="C26" s="15" t="n"/>
      <c r="D26" s="21" t="n">
        <v>8450000000</v>
      </c>
      <c r="E26" s="15" t="n"/>
      <c r="F26" s="15" t="n"/>
      <c r="G26" s="22">
        <f>IF(N(D26)=0,"",D26)</f>
        <v/>
      </c>
      <c r="H26" s="15" t="n"/>
      <c r="I26" s="15" t="n"/>
      <c r="J26" s="15" t="n"/>
      <c r="K26" s="15" t="n"/>
      <c r="L26" s="15" t="n"/>
    </row>
    <row r="27" ht="26" customHeight="1">
      <c r="A27" s="14" t="inlineStr">
        <is>
          <t>공 사 규 모</t>
        </is>
      </c>
      <c r="B27" s="15" t="n"/>
      <c r="C27" s="15" t="n"/>
      <c r="D27" s="23" t="inlineStr">
        <is>
          <t>교사동 증축(지상 4층) · 실습동 리모델링</t>
        </is>
      </c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 ht="26" customHeight="1">
      <c r="A28" s="14" t="inlineStr">
        <is>
          <t>시  공  사</t>
        </is>
      </c>
      <c r="B28" s="15" t="n"/>
      <c r="C28" s="15" t="n"/>
      <c r="D28" s="16">
        <f>IF(OR('예시-표지'!A10="",'예시-표지'!A10="(회 사 명)"),"",'예시-표지'!A10)</f>
        <v/>
      </c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 ht="4" customHeight="1"/>
    <row r="30" ht="30" customHeight="1">
      <c r="A30" s="12" t="inlineStr">
        <is>
          <t>3.0   공 사 위 치</t>
        </is>
      </c>
    </row>
    <row r="31" ht="4" customHeight="1"/>
    <row r="32" ht="20" customHeight="1">
      <c r="A32" s="24" t="inlineStr">
        <is>
          <t>(위치도를 붙이는 곳 — 현장 위치와 방수 공사 구간을 표시)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 ht="20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 ht="20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 ht="20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 ht="20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 ht="20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 ht="20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 ht="20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 ht="20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 ht="20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 ht="20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 ht="20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 ht="4" customHeight="1"/>
    <row r="45" ht="30" customHeight="1">
      <c r="A45" s="12" t="inlineStr">
        <is>
          <t>4.0   주요 공사 물량</t>
        </is>
      </c>
    </row>
    <row r="46" ht="4" customHeight="1"/>
    <row r="47" ht="24" customHeight="1">
      <c r="A47" s="25" t="inlineStr">
        <is>
          <t>구  분</t>
        </is>
      </c>
      <c r="B47" s="15" t="n"/>
      <c r="C47" s="25" t="inlineStr">
        <is>
          <t>명  칭</t>
        </is>
      </c>
      <c r="D47" s="15" t="n"/>
      <c r="E47" s="15" t="n"/>
      <c r="F47" s="25" t="inlineStr">
        <is>
          <t>규  격</t>
        </is>
      </c>
      <c r="G47" s="15" t="n"/>
      <c r="H47" s="25" t="inlineStr">
        <is>
          <t>수  량</t>
        </is>
      </c>
      <c r="I47" s="15" t="n"/>
      <c r="J47" s="25" t="inlineStr">
        <is>
          <t>단위</t>
        </is>
      </c>
      <c r="K47" s="25" t="inlineStr">
        <is>
          <t>비  고</t>
        </is>
      </c>
      <c r="L47" s="15" t="n"/>
    </row>
    <row r="48" ht="23" customHeight="1">
      <c r="A48" s="26" t="inlineStr">
        <is>
          <t>교사동</t>
        </is>
      </c>
      <c r="B48" s="15" t="n"/>
      <c r="C48" s="23" t="inlineStr">
        <is>
          <t>시멘트 액체방수</t>
        </is>
      </c>
      <c r="D48" s="15" t="n"/>
      <c r="E48" s="15" t="n"/>
      <c r="F48" s="27" t="inlineStr">
        <is>
          <t>내부 바닥</t>
        </is>
      </c>
      <c r="G48" s="15" t="n"/>
      <c r="H48" s="28" t="n">
        <v>210</v>
      </c>
      <c r="I48" s="15" t="n"/>
      <c r="J48" s="26" t="inlineStr">
        <is>
          <t>㎡</t>
        </is>
      </c>
      <c r="K48" s="29" t="n"/>
      <c r="L48" s="15" t="n"/>
    </row>
    <row r="49" ht="23" customHeight="1">
      <c r="A49" s="26" t="inlineStr">
        <is>
          <t>교사동</t>
        </is>
      </c>
      <c r="B49" s="15" t="n"/>
      <c r="C49" s="23" t="inlineStr">
        <is>
          <t>시멘트 액체방수</t>
        </is>
      </c>
      <c r="D49" s="15" t="n"/>
      <c r="E49" s="15" t="n"/>
      <c r="F49" s="27" t="inlineStr">
        <is>
          <t>내부 벽</t>
        </is>
      </c>
      <c r="G49" s="15" t="n"/>
      <c r="H49" s="28" t="n">
        <v>150</v>
      </c>
      <c r="I49" s="15" t="n"/>
      <c r="J49" s="26" t="inlineStr">
        <is>
          <t>㎡</t>
        </is>
      </c>
      <c r="K49" s="29" t="n"/>
      <c r="L49" s="15" t="n"/>
    </row>
    <row r="50" ht="23" customHeight="1">
      <c r="A50" s="26" t="inlineStr">
        <is>
          <t>교사동</t>
        </is>
      </c>
      <c r="B50" s="15" t="n"/>
      <c r="C50" s="23" t="inlineStr">
        <is>
          <t>규산질계 침투성방수</t>
        </is>
      </c>
      <c r="D50" s="15" t="n"/>
      <c r="E50" s="15" t="n"/>
      <c r="F50" s="27" t="inlineStr">
        <is>
          <t>바닥 · 비노출</t>
        </is>
      </c>
      <c r="G50" s="15" t="n"/>
      <c r="H50" s="28" t="n">
        <v>360</v>
      </c>
      <c r="I50" s="15" t="n"/>
      <c r="J50" s="26" t="inlineStr">
        <is>
          <t>㎡</t>
        </is>
      </c>
      <c r="K50" s="29" t="n"/>
      <c r="L50" s="15" t="n"/>
    </row>
    <row r="51" ht="23" customHeight="1">
      <c r="A51" s="26" t="inlineStr">
        <is>
          <t>교사동</t>
        </is>
      </c>
      <c r="B51" s="15" t="n"/>
      <c r="C51" s="23" t="inlineStr">
        <is>
          <t>규산질계 침투성방수</t>
        </is>
      </c>
      <c r="D51" s="15" t="n"/>
      <c r="E51" s="15" t="n"/>
      <c r="F51" s="27" t="inlineStr">
        <is>
          <t>벽 · 비노출</t>
        </is>
      </c>
      <c r="G51" s="15" t="n"/>
      <c r="H51" s="28" t="n">
        <v>720</v>
      </c>
      <c r="I51" s="15" t="n"/>
      <c r="J51" s="26" t="inlineStr">
        <is>
          <t>㎡</t>
        </is>
      </c>
      <c r="K51" s="29" t="n"/>
      <c r="L51" s="15" t="n"/>
    </row>
    <row r="52" ht="23" customHeight="1">
      <c r="A52" s="26" t="inlineStr">
        <is>
          <t>교사동</t>
        </is>
      </c>
      <c r="B52" s="15" t="n"/>
      <c r="C52" s="23" t="inlineStr">
        <is>
          <t>아스팔트 프라이머 바름</t>
        </is>
      </c>
      <c r="D52" s="15" t="n"/>
      <c r="E52" s="15" t="n"/>
      <c r="F52" s="27" t="inlineStr">
        <is>
          <t>지하 외벽</t>
        </is>
      </c>
      <c r="G52" s="15" t="n"/>
      <c r="H52" s="28" t="n">
        <v>480</v>
      </c>
      <c r="I52" s="15" t="n"/>
      <c r="J52" s="26" t="inlineStr">
        <is>
          <t>㎡</t>
        </is>
      </c>
      <c r="K52" s="29" t="n"/>
      <c r="L52" s="15" t="n"/>
    </row>
    <row r="53" ht="23" customHeight="1">
      <c r="A53" s="26" t="inlineStr">
        <is>
          <t>실습동</t>
        </is>
      </c>
      <c r="B53" s="15" t="n"/>
      <c r="C53" s="23" t="inlineStr">
        <is>
          <t>시멘트 액체방수</t>
        </is>
      </c>
      <c r="D53" s="15" t="n"/>
      <c r="E53" s="15" t="n"/>
      <c r="F53" s="27" t="inlineStr">
        <is>
          <t>내부 바닥</t>
        </is>
      </c>
      <c r="G53" s="15" t="n"/>
      <c r="H53" s="28" t="n">
        <v>460</v>
      </c>
      <c r="I53" s="15" t="n"/>
      <c r="J53" s="26" t="inlineStr">
        <is>
          <t>㎡</t>
        </is>
      </c>
      <c r="K53" s="29" t="n"/>
      <c r="L53" s="15" t="n"/>
    </row>
    <row r="54" ht="23" customHeight="1">
      <c r="A54" s="26" t="inlineStr">
        <is>
          <t>실습동</t>
        </is>
      </c>
      <c r="B54" s="15" t="n"/>
      <c r="C54" s="23" t="inlineStr">
        <is>
          <t>시멘트 액체방수</t>
        </is>
      </c>
      <c r="D54" s="15" t="n"/>
      <c r="E54" s="15" t="n"/>
      <c r="F54" s="27" t="inlineStr">
        <is>
          <t>내부 벽</t>
        </is>
      </c>
      <c r="G54" s="15" t="n"/>
      <c r="H54" s="28" t="n">
        <v>120</v>
      </c>
      <c r="I54" s="15" t="n"/>
      <c r="J54" s="26" t="inlineStr">
        <is>
          <t>㎡</t>
        </is>
      </c>
      <c r="K54" s="29" t="n"/>
      <c r="L54" s="15" t="n"/>
    </row>
    <row r="55" ht="23" customHeight="1">
      <c r="A55" s="26" t="inlineStr">
        <is>
          <t>실습동</t>
        </is>
      </c>
      <c r="B55" s="15" t="n"/>
      <c r="C55" s="23" t="inlineStr">
        <is>
          <t>규산질계 침투성방수</t>
        </is>
      </c>
      <c r="D55" s="15" t="n"/>
      <c r="E55" s="15" t="n"/>
      <c r="F55" s="27" t="inlineStr">
        <is>
          <t>바닥 · 비노출</t>
        </is>
      </c>
      <c r="G55" s="15" t="n"/>
      <c r="H55" s="28" t="n">
        <v>170</v>
      </c>
      <c r="I55" s="15" t="n"/>
      <c r="J55" s="26" t="inlineStr">
        <is>
          <t>㎡</t>
        </is>
      </c>
      <c r="K55" s="29" t="n"/>
      <c r="L55" s="15" t="n"/>
    </row>
    <row r="56" ht="23" customHeight="1">
      <c r="A56" s="26" t="inlineStr">
        <is>
          <t>실습동</t>
        </is>
      </c>
      <c r="B56" s="15" t="n"/>
      <c r="C56" s="23" t="inlineStr">
        <is>
          <t>규산질계 침투성방수</t>
        </is>
      </c>
      <c r="D56" s="15" t="n"/>
      <c r="E56" s="15" t="n"/>
      <c r="F56" s="27" t="inlineStr">
        <is>
          <t>벽 · 비노출</t>
        </is>
      </c>
      <c r="G56" s="15" t="n"/>
      <c r="H56" s="28" t="n">
        <v>390</v>
      </c>
      <c r="I56" s="15" t="n"/>
      <c r="J56" s="26" t="inlineStr">
        <is>
          <t>㎡</t>
        </is>
      </c>
      <c r="K56" s="29" t="n"/>
      <c r="L56" s="15" t="n"/>
    </row>
    <row r="57" ht="23" customHeight="1">
      <c r="A57" s="26" t="inlineStr">
        <is>
          <t>실습동</t>
        </is>
      </c>
      <c r="B57" s="15" t="n"/>
      <c r="C57" s="23" t="inlineStr">
        <is>
          <t>아스팔트 프라이머 바름</t>
        </is>
      </c>
      <c r="D57" s="15" t="n"/>
      <c r="E57" s="15" t="n"/>
      <c r="F57" s="27" t="inlineStr">
        <is>
          <t>지하 외벽</t>
        </is>
      </c>
      <c r="G57" s="15" t="n"/>
      <c r="H57" s="28" t="n">
        <v>250</v>
      </c>
      <c r="I57" s="15" t="n"/>
      <c r="J57" s="26" t="inlineStr">
        <is>
          <t>㎡</t>
        </is>
      </c>
      <c r="K57" s="29" t="n"/>
      <c r="L57" s="15" t="n"/>
    </row>
    <row r="58" ht="23" customHeight="1">
      <c r="A58" s="26" t="n"/>
      <c r="B58" s="15" t="n"/>
      <c r="C58" s="23" t="n"/>
      <c r="D58" s="15" t="n"/>
      <c r="E58" s="15" t="n"/>
      <c r="F58" s="27" t="n"/>
      <c r="G58" s="15" t="n"/>
      <c r="H58" s="28" t="n"/>
      <c r="I58" s="15" t="n"/>
      <c r="J58" s="26" t="n"/>
      <c r="K58" s="29" t="n"/>
      <c r="L58" s="15" t="n"/>
    </row>
    <row r="59" ht="23" customHeight="1">
      <c r="A59" s="26" t="n"/>
      <c r="B59" s="15" t="n"/>
      <c r="C59" s="23" t="n"/>
      <c r="D59" s="15" t="n"/>
      <c r="E59" s="15" t="n"/>
      <c r="F59" s="27" t="n"/>
      <c r="G59" s="15" t="n"/>
      <c r="H59" s="28" t="n"/>
      <c r="I59" s="15" t="n"/>
      <c r="J59" s="26" t="n"/>
      <c r="K59" s="29" t="n"/>
      <c r="L59" s="15" t="n"/>
    </row>
    <row r="60" ht="24" customHeight="1">
      <c r="A60" s="30" t="inlineStr">
        <is>
          <t>합   계 (단위가 ㎡ 인 줄)</t>
        </is>
      </c>
      <c r="B60" s="15" t="n"/>
      <c r="C60" s="15" t="n"/>
      <c r="D60" s="15" t="n"/>
      <c r="E60" s="15" t="n"/>
      <c r="F60" s="15" t="n"/>
      <c r="G60" s="15" t="n"/>
      <c r="H60" s="31">
        <f>IF(SUMIF(J48:J59,"㎡",H48:H59)+SUMIF(J48:J59,"m2",H48:H59)=0,"",SUMIF(J48:J59,"㎡",H48:H59)+SUMIF(J48:J59,"m2",H48:H59))</f>
        <v/>
      </c>
      <c r="I60" s="15" t="n"/>
      <c r="J60" s="30" t="inlineStr">
        <is>
          <t>㎡</t>
        </is>
      </c>
      <c r="K60" s="30" t="inlineStr"/>
      <c r="L60" s="15" t="n"/>
    </row>
    <row r="61" ht="4" customHeight="1"/>
    <row r="62" ht="30" customHeight="1">
      <c r="A62" s="12" t="inlineStr">
        <is>
          <t>5.0   현 장  조 직 도</t>
        </is>
      </c>
    </row>
    <row r="63" ht="4" customHeight="1"/>
    <row r="64" ht="24" customHeight="1">
      <c r="A64" s="10" t="inlineStr"/>
      <c r="E64" s="14" t="inlineStr">
        <is>
          <t>현 장 대 리 인</t>
        </is>
      </c>
      <c r="F64" s="15" t="n"/>
      <c r="G64" s="15" t="n"/>
      <c r="H64" s="15" t="n"/>
      <c r="I64" s="10" t="inlineStr"/>
    </row>
    <row r="65" ht="24" customHeight="1">
      <c r="A65" s="10" t="inlineStr"/>
      <c r="E65" s="32" t="inlineStr">
        <is>
          <t>홍길동</t>
        </is>
      </c>
      <c r="F65" s="15" t="n"/>
      <c r="G65" s="15" t="n"/>
      <c r="H65" s="15" t="n"/>
      <c r="I65" s="10" t="inlineStr"/>
    </row>
    <row r="66" ht="14" customHeight="1">
      <c r="A66" s="33" t="inlineStr">
        <is>
          <t>│</t>
        </is>
      </c>
    </row>
    <row r="67" ht="24" customHeight="1">
      <c r="A67" s="10" t="inlineStr"/>
      <c r="B67" s="14" t="inlineStr">
        <is>
          <t>품 질 관 리 자</t>
        </is>
      </c>
      <c r="C67" s="15" t="n"/>
      <c r="D67" s="15" t="n"/>
      <c r="E67" s="15" t="n"/>
      <c r="F67" s="34" t="inlineStr">
        <is>
          <t>─┼─</t>
        </is>
      </c>
      <c r="H67" s="14" t="inlineStr">
        <is>
          <t>안 전 관 리 자</t>
        </is>
      </c>
      <c r="I67" s="15" t="n"/>
      <c r="J67" s="15" t="n"/>
      <c r="K67" s="15" t="n"/>
      <c r="L67" s="10" t="inlineStr"/>
    </row>
    <row r="68" ht="24" customHeight="1">
      <c r="A68" s="10" t="inlineStr"/>
      <c r="B68" s="32" t="inlineStr">
        <is>
          <t>김철수</t>
        </is>
      </c>
      <c r="C68" s="15" t="n"/>
      <c r="D68" s="15" t="n"/>
      <c r="E68" s="15" t="n"/>
      <c r="F68" s="34" t="inlineStr">
        <is>
          <t>│</t>
        </is>
      </c>
      <c r="H68" s="32" t="inlineStr">
        <is>
          <t>박안전</t>
        </is>
      </c>
      <c r="I68" s="15" t="n"/>
      <c r="J68" s="15" t="n"/>
      <c r="K68" s="15" t="n"/>
      <c r="L68" s="10" t="inlineStr"/>
    </row>
    <row r="69" ht="14" customHeight="1">
      <c r="A69" s="33" t="inlineStr">
        <is>
          <t>│</t>
        </is>
      </c>
    </row>
    <row r="70" ht="24" customHeight="1">
      <c r="A70" s="10" t="inlineStr"/>
      <c r="E70" s="14" t="inlineStr">
        <is>
          <t>시 공 업 체</t>
        </is>
      </c>
      <c r="F70" s="15" t="n"/>
      <c r="G70" s="15" t="n"/>
      <c r="H70" s="15" t="n"/>
      <c r="I70" s="10" t="inlineStr"/>
    </row>
    <row r="71" ht="24" customHeight="1">
      <c r="A71" s="10" t="inlineStr"/>
      <c r="E71" s="32" t="inlineStr">
        <is>
          <t>예시방수(주)</t>
        </is>
      </c>
      <c r="F71" s="15" t="n"/>
      <c r="G71" s="15" t="n"/>
      <c r="H71" s="15" t="n"/>
      <c r="I71" s="10" t="inlineStr"/>
    </row>
    <row r="72" ht="14" customHeight="1">
      <c r="A72" s="33" t="inlineStr">
        <is>
          <t>│</t>
        </is>
      </c>
    </row>
    <row r="73" ht="24" customHeight="1">
      <c r="A73" s="10" t="inlineStr"/>
      <c r="E73" s="14" t="inlineStr">
        <is>
          <t>작 업 반 장</t>
        </is>
      </c>
      <c r="F73" s="15" t="n"/>
      <c r="G73" s="15" t="n"/>
      <c r="H73" s="15" t="n"/>
      <c r="I73" s="10" t="inlineStr"/>
    </row>
    <row r="74" ht="24" customHeight="1">
      <c r="A74" s="10" t="inlineStr"/>
      <c r="E74" s="32" t="inlineStr">
        <is>
          <t>최반장</t>
        </is>
      </c>
      <c r="F74" s="15" t="n"/>
      <c r="G74" s="15" t="n"/>
      <c r="H74" s="15" t="n"/>
      <c r="I74" s="10" t="inlineStr"/>
    </row>
    <row r="75" ht="14" customHeight="1">
      <c r="A75" s="33" t="inlineStr">
        <is>
          <t>┌──────────┼──────────┐</t>
        </is>
      </c>
    </row>
    <row r="76" ht="24" customHeight="1">
      <c r="A76" s="25" t="inlineStr">
        <is>
          <t>장비기사</t>
        </is>
      </c>
      <c r="B76" s="15" t="n"/>
      <c r="C76" s="25" t="inlineStr">
        <is>
          <t>방수공</t>
        </is>
      </c>
      <c r="D76" s="15" t="n"/>
      <c r="E76" s="25" t="inlineStr">
        <is>
          <t>특별인부</t>
        </is>
      </c>
      <c r="F76" s="15" t="n"/>
      <c r="G76" s="25" t="inlineStr">
        <is>
          <t>보통인부</t>
        </is>
      </c>
      <c r="H76" s="15" t="n"/>
      <c r="I76" s="30" t="inlineStr">
        <is>
          <t>합  계</t>
        </is>
      </c>
      <c r="J76" s="15" t="n"/>
      <c r="K76" s="15" t="n"/>
      <c r="L76" s="15" t="n"/>
    </row>
    <row r="77" ht="24" customHeight="1">
      <c r="A77" s="35" t="n">
        <v>1</v>
      </c>
      <c r="B77" s="15" t="n"/>
      <c r="C77" s="35" t="n">
        <v>3</v>
      </c>
      <c r="D77" s="15" t="n"/>
      <c r="E77" s="35" t="n">
        <v>3</v>
      </c>
      <c r="F77" s="15" t="n"/>
      <c r="G77" s="35" t="n">
        <v>5</v>
      </c>
      <c r="H77" s="15" t="n"/>
      <c r="I77" s="36">
        <f>IF(SUM(A77,C77,E77,G77)=0,"",SUM(A77,C77,E77,G77))</f>
        <v/>
      </c>
      <c r="J77" s="15" t="n"/>
      <c r="K77" s="15" t="n"/>
      <c r="L77" s="15" t="n"/>
    </row>
    <row r="79" ht="19.5" customHeight="1">
      <c r="A79" s="8" t="inlineStr">
        <is>
          <t>이 시트는 작성 예시입니다(가상의 공사 · 회사 · 사람).</t>
        </is>
      </c>
    </row>
  </sheetData>
  <mergeCells count="164">
    <mergeCell ref="H53:I53"/>
    <mergeCell ref="K49:L49"/>
    <mergeCell ref="A51:B51"/>
    <mergeCell ref="F68:G68"/>
    <mergeCell ref="B68:E68"/>
    <mergeCell ref="H55:I55"/>
    <mergeCell ref="A26:C26"/>
    <mergeCell ref="C51:E51"/>
    <mergeCell ref="A54:B54"/>
    <mergeCell ref="A7:B7"/>
    <mergeCell ref="A23:C23"/>
    <mergeCell ref="K50:L50"/>
    <mergeCell ref="A64:D64"/>
    <mergeCell ref="H67:K67"/>
    <mergeCell ref="A73:D73"/>
    <mergeCell ref="A56:B56"/>
    <mergeCell ref="E71:H71"/>
    <mergeCell ref="H52:I52"/>
    <mergeCell ref="K58:L58"/>
    <mergeCell ref="D24:L24"/>
    <mergeCell ref="K52:L52"/>
    <mergeCell ref="A70:D70"/>
    <mergeCell ref="C57:E57"/>
    <mergeCell ref="E64:H64"/>
    <mergeCell ref="A76:B76"/>
    <mergeCell ref="C11:J11"/>
    <mergeCell ref="E73:H73"/>
    <mergeCell ref="C76:D76"/>
    <mergeCell ref="C49:E49"/>
    <mergeCell ref="I76:L76"/>
    <mergeCell ref="I25:L25"/>
    <mergeCell ref="F56:G56"/>
    <mergeCell ref="A53:B53"/>
    <mergeCell ref="K53:L53"/>
    <mergeCell ref="E65:H65"/>
    <mergeCell ref="E74:H74"/>
    <mergeCell ref="C13:J13"/>
    <mergeCell ref="A9:B9"/>
    <mergeCell ref="K13:L13"/>
    <mergeCell ref="F57:G57"/>
    <mergeCell ref="A69:L69"/>
    <mergeCell ref="A48:B48"/>
    <mergeCell ref="G77:H77"/>
    <mergeCell ref="A59:B59"/>
    <mergeCell ref="F54:G54"/>
    <mergeCell ref="A11:B11"/>
    <mergeCell ref="H54:I54"/>
    <mergeCell ref="A75:L75"/>
    <mergeCell ref="H50:I50"/>
    <mergeCell ref="C59:E59"/>
    <mergeCell ref="A3:L3"/>
    <mergeCell ref="K55:L55"/>
    <mergeCell ref="B18:L18"/>
    <mergeCell ref="H56:I56"/>
    <mergeCell ref="K51:L51"/>
    <mergeCell ref="C52:E52"/>
    <mergeCell ref="C10:J10"/>
    <mergeCell ref="A32:L43"/>
    <mergeCell ref="H49:I49"/>
    <mergeCell ref="C48:E48"/>
    <mergeCell ref="I77:L77"/>
    <mergeCell ref="C9:J9"/>
    <mergeCell ref="K56:L56"/>
    <mergeCell ref="F47:G47"/>
    <mergeCell ref="I70:L70"/>
    <mergeCell ref="D23:L23"/>
    <mergeCell ref="A8:B8"/>
    <mergeCell ref="A24:C24"/>
    <mergeCell ref="B67:E67"/>
    <mergeCell ref="F48:G48"/>
    <mergeCell ref="A52:B52"/>
    <mergeCell ref="I71:L71"/>
    <mergeCell ref="H48:I48"/>
    <mergeCell ref="A74:D74"/>
    <mergeCell ref="E76:F76"/>
    <mergeCell ref="G76:H76"/>
    <mergeCell ref="G25:H25"/>
    <mergeCell ref="A10:B10"/>
    <mergeCell ref="K10:L10"/>
    <mergeCell ref="A71:D71"/>
    <mergeCell ref="K6:L6"/>
    <mergeCell ref="A77:B77"/>
    <mergeCell ref="C77:D77"/>
    <mergeCell ref="A25:C25"/>
    <mergeCell ref="A16:L16"/>
    <mergeCell ref="C50:E50"/>
    <mergeCell ref="D27:L27"/>
    <mergeCell ref="C55:E55"/>
    <mergeCell ref="A49:B49"/>
    <mergeCell ref="C6:J6"/>
    <mergeCell ref="K9:L9"/>
    <mergeCell ref="A66:L66"/>
    <mergeCell ref="K5:L5"/>
    <mergeCell ref="C14:J14"/>
    <mergeCell ref="H58:I58"/>
    <mergeCell ref="K54:L54"/>
    <mergeCell ref="K60:L60"/>
    <mergeCell ref="K11:L11"/>
    <mergeCell ref="I74:L74"/>
    <mergeCell ref="K47:L47"/>
    <mergeCell ref="D28:L28"/>
    <mergeCell ref="H60:I60"/>
    <mergeCell ref="A22:C22"/>
    <mergeCell ref="F50:G50"/>
    <mergeCell ref="A60:G60"/>
    <mergeCell ref="A55:B55"/>
    <mergeCell ref="A12:B12"/>
    <mergeCell ref="A20:L20"/>
    <mergeCell ref="A28:C28"/>
    <mergeCell ref="A72:L72"/>
    <mergeCell ref="E77:F77"/>
    <mergeCell ref="K8:L8"/>
    <mergeCell ref="A57:B57"/>
    <mergeCell ref="A5:B5"/>
    <mergeCell ref="A14:B14"/>
    <mergeCell ref="H57:I57"/>
    <mergeCell ref="A65:D65"/>
    <mergeCell ref="H68:K68"/>
    <mergeCell ref="C8:J8"/>
    <mergeCell ref="D25:E25"/>
    <mergeCell ref="K7:L7"/>
    <mergeCell ref="A1:F1"/>
    <mergeCell ref="F49:G49"/>
    <mergeCell ref="K57:L57"/>
    <mergeCell ref="C54:E54"/>
    <mergeCell ref="E70:H70"/>
    <mergeCell ref="I64:L64"/>
    <mergeCell ref="I73:L73"/>
    <mergeCell ref="A27:C27"/>
    <mergeCell ref="C56:E56"/>
    <mergeCell ref="C5:J5"/>
    <mergeCell ref="A6:B6"/>
    <mergeCell ref="F59:G59"/>
    <mergeCell ref="F55:G55"/>
    <mergeCell ref="H59:I59"/>
    <mergeCell ref="I65:L65"/>
    <mergeCell ref="F51:G51"/>
    <mergeCell ref="H51:I51"/>
    <mergeCell ref="G26:L26"/>
    <mergeCell ref="A50:B50"/>
    <mergeCell ref="A62:L62"/>
    <mergeCell ref="G1:L1"/>
    <mergeCell ref="C12:J12"/>
    <mergeCell ref="K59:L59"/>
    <mergeCell ref="K12:L12"/>
    <mergeCell ref="C53:E53"/>
    <mergeCell ref="A47:B47"/>
    <mergeCell ref="D26:F26"/>
    <mergeCell ref="H47:I47"/>
    <mergeCell ref="K14:L14"/>
    <mergeCell ref="F58:G58"/>
    <mergeCell ref="K48:L48"/>
    <mergeCell ref="F52:G52"/>
    <mergeCell ref="F67:G67"/>
    <mergeCell ref="A30:L30"/>
    <mergeCell ref="C58:E58"/>
    <mergeCell ref="C7:J7"/>
    <mergeCell ref="A45:L45"/>
    <mergeCell ref="D22:L22"/>
    <mergeCell ref="A13:B13"/>
    <mergeCell ref="A79:L79"/>
    <mergeCell ref="A58:B58"/>
    <mergeCell ref="F53:G53"/>
    <mergeCell ref="C47:E47"/>
  </mergeCells>
  <conditionalFormatting sqref="H48:H59">
    <cfRule type="expression" priority="1" dxfId="0">
      <formula>AND(ISNUMBER(H48),MOD(H48,1)=0)</formula>
    </cfRule>
  </conditionalFormatting>
  <conditionalFormatting sqref="H60">
    <cfRule type="expression" priority="2" dxfId="1">
      <formula>AND(ISNUMBER(H60),MOD(H60,1)=0)</formula>
    </cfRule>
  </conditionalFormatting>
  <printOptions horizontalCentered="1"/>
  <pageMargins left="0.6" right="0.6" top="0.6" bottom="0.6" header="0.2" footer="0.2"/>
  <pageSetup orientation="portrait" paperSize="9" fitToHeight="0" fitToWidth="1"/>
  <rowBreaks count="2" manualBreakCount="2">
    <brk id="14" min="0" max="16383" man="1"/>
    <brk id="43" min="0" max="16383" man="1"/>
  </rowBreaks>
</worksheet>
</file>

<file path=xl/worksheets/sheet8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154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8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6.0   시 공 관 리</t>
        </is>
      </c>
    </row>
    <row r="4" ht="4" customHeight="1"/>
    <row r="5" ht="3" customHeight="1"/>
    <row r="6" ht="22" customHeight="1">
      <c r="A6" s="37" t="inlineStr">
        <is>
          <t>6-1  시멘트 액체방수</t>
        </is>
      </c>
    </row>
    <row r="7" ht="21" customHeight="1">
      <c r="A7" s="38" t="inlineStr">
        <is>
          <t>1) 일반사항</t>
        </is>
      </c>
    </row>
    <row r="8" ht="36" customHeight="1">
      <c r="A8" s="39" t="inlineStr">
        <is>
          <t>(1)</t>
        </is>
      </c>
      <c r="B8" s="40" t="inlineStr">
        <is>
          <t>시멘트 모르타르계 방수공사의 일반사항은 건축공사 표준시방서(KCS 41 40 방수공사)와 공사시방서를 따른다.</t>
        </is>
      </c>
    </row>
    <row r="9" ht="51.5" customHeight="1">
      <c r="A9" s="39" t="inlineStr">
        <is>
          <t>(2)</t>
        </is>
      </c>
      <c r="B9" s="40" t="inlineStr">
        <is>
          <t>재료는 눈 · 비 · 직사광선이 닿지 않는 곳에 밀봉 상태로 보관하고, 운반 · 취급 때 포장이 터지거나 찢어지지 않게 한다. 손상된 자재나 유효기간이 지난 것은 즉시 현장 밖으로 반출한다.</t>
        </is>
      </c>
    </row>
    <row r="10" ht="21" customHeight="1">
      <c r="A10" s="38" t="inlineStr">
        <is>
          <t>2) 자재</t>
        </is>
      </c>
    </row>
    <row r="11" ht="20.5" customHeight="1">
      <c r="A11" s="39" t="inlineStr">
        <is>
          <t>(1)</t>
        </is>
      </c>
      <c r="B11" s="40" t="inlineStr">
        <is>
          <t>시멘트 — KS L 5201 에 합격하는 1종 보통 포틀랜드 시멘트를 쓴다.</t>
        </is>
      </c>
    </row>
    <row r="12" ht="36" customHeight="1">
      <c r="A12" s="39" t="inlineStr">
        <is>
          <t>(2)</t>
        </is>
      </c>
      <c r="B12" s="40" t="inlineStr">
        <is>
          <t>모래 — 유해량의 철분 · 염분 · 진흙 · 먼지 및 유기불순물이 없는 양질의 것으로, 바름 두께에 지장이 없는 범위에서 입도가 큰 것을 쓴다.</t>
        </is>
      </c>
    </row>
    <row r="13" ht="20.5" customHeight="1">
      <c r="A13" s="39" t="inlineStr">
        <is>
          <t>(3)</t>
        </is>
      </c>
      <c r="B13" s="40" t="inlineStr">
        <is>
          <t>물 — 유해량의 염분 · 철분 · 이온 및 유기물이 없는 깨끗한 물을 쓴다.</t>
        </is>
      </c>
    </row>
    <row r="14" ht="36" customHeight="1">
      <c r="A14" s="39" t="inlineStr">
        <is>
          <t>(4)</t>
        </is>
      </c>
      <c r="B14" s="40" t="inlineStr">
        <is>
          <t>방수제 — 주성분에 따라 무기질계 · 유기질계 · 폴리머계로 나누며, KS F 4925 의 품질기준에 맞고 품질이 변하지 않게 저장하여 유효기간 안에 쓴다.</t>
        </is>
      </c>
    </row>
    <row r="15" ht="20" customHeight="1">
      <c r="A15" s="41" t="inlineStr">
        <is>
          <t>[ 시멘트 액체 방수제의 화학조성 분류 ]</t>
        </is>
      </c>
    </row>
    <row r="16" ht="24" customHeight="1">
      <c r="A16" s="25" t="inlineStr">
        <is>
          <t>종  류</t>
        </is>
      </c>
      <c r="B16" s="15" t="n"/>
      <c r="C16" s="15" t="n"/>
      <c r="D16" s="25" t="inlineStr">
        <is>
          <t>주    성    분</t>
        </is>
      </c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 ht="24" customHeight="1">
      <c r="A17" s="42" t="inlineStr">
        <is>
          <t>무기질계</t>
        </is>
      </c>
      <c r="B17" s="15" t="n"/>
      <c r="C17" s="15" t="n"/>
      <c r="D17" s="43" t="inlineStr">
        <is>
          <t>염화칼슘계, 규산소다계, 실리케이트계</t>
        </is>
      </c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 ht="24" customHeight="1">
      <c r="A18" s="42" t="inlineStr">
        <is>
          <t>유기질계</t>
        </is>
      </c>
      <c r="B18" s="15" t="n"/>
      <c r="C18" s="15" t="n"/>
      <c r="D18" s="43" t="inlineStr">
        <is>
          <t>지방산계, 파라핀계</t>
        </is>
      </c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 ht="24" customHeight="1">
      <c r="A19" s="42" t="inlineStr">
        <is>
          <t>폴리머계</t>
        </is>
      </c>
      <c r="B19" s="15" t="n"/>
      <c r="C19" s="15" t="n"/>
      <c r="D19" s="43" t="inlineStr">
        <is>
          <t>합성고무 라텍스계, 에틸렌비닐아세테이트 에멀션계, 아크릴 에멀션계</t>
        </is>
      </c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21" customHeight="1">
      <c r="A20" s="38" t="inlineStr">
        <is>
          <t>3) 시공</t>
        </is>
      </c>
    </row>
    <row r="21" ht="21" customHeight="1">
      <c r="A21" s="10" t="inlineStr"/>
      <c r="B21" s="38" t="inlineStr">
        <is>
          <t>(1) 바탕처리</t>
        </is>
      </c>
    </row>
    <row r="22" ht="51.5" customHeight="1">
      <c r="A22" s="39" t="inlineStr">
        <is>
          <t>가.</t>
        </is>
      </c>
      <c r="C22" s="40" t="inlineStr">
        <is>
          <t>바탕면에 붙은 흙 · 먼지 · 모래 · 자갈 및 레이턴스 등은 정 · 와이어브러시 등으로 제거하고, 지푸라기 · 못 · 철선 등이 모체에 깊이 박힌 부분은 충분한 깊이까지 파낸다.</t>
        </is>
      </c>
    </row>
    <row r="23" ht="36" customHeight="1">
      <c r="A23" s="39" t="inlineStr">
        <is>
          <t>나.</t>
        </is>
      </c>
      <c r="C23" s="40" t="inlineStr">
        <is>
          <t>모르타르 · 콘크리트의 불량 부분, 균열이 생긴 부분 및 그 밖의 부실한 부분은 제거 · 보수하여 충분한 강도가 있는 건실한 모체로 만든 다음 방수층을 시공한다.</t>
        </is>
      </c>
    </row>
    <row r="24" ht="36" customHeight="1">
      <c r="A24" s="39" t="inlineStr">
        <is>
          <t>다.</t>
        </is>
      </c>
      <c r="C24" s="40" t="inlineStr">
        <is>
          <t>모체에 건조 균열이 진행 중이라고 인정되는 곳이나 방수층에 결함이 생길 우려가 있는 부분은 담당자와 협의하여 대책을 세운다.</t>
        </is>
      </c>
    </row>
    <row r="25" ht="20.5" customHeight="1">
      <c r="A25" s="39" t="inlineStr">
        <is>
          <t>라.</t>
        </is>
      </c>
      <c r="C25" s="40" t="inlineStr">
        <is>
          <t>바탕처리 후에는 물 씻기 등으로 완전히 청소하고 건조한 다음 방수공사를 한다.</t>
        </is>
      </c>
    </row>
    <row r="26" ht="21" customHeight="1">
      <c r="A26" s="10" t="inlineStr"/>
      <c r="B26" s="38" t="inlineStr">
        <is>
          <t>(2) 방수제의 배합 및 비빔</t>
        </is>
      </c>
    </row>
    <row r="27" ht="51.5" customHeight="1">
      <c r="A27" s="39" t="inlineStr">
        <is>
          <t>가.</t>
        </is>
      </c>
      <c r="C27" s="40" t="inlineStr">
        <is>
          <t>방수제는 제조자가 지정하는 비율로 넣고 모르타르 믹서로 충분히 비빈다. 방수 시멘트 페이스트는 시멘트를 먼저 2분 이상 건비빔한 뒤, 정해진 물로 희석한 방수제를 넣어 균질해질 때까지 5분 이상 비빈다.</t>
        </is>
      </c>
    </row>
    <row r="28" ht="36" customHeight="1">
      <c r="A28" s="39" t="inlineStr">
        <is>
          <t>나.</t>
        </is>
      </c>
      <c r="C28" s="40" t="inlineStr">
        <is>
          <t>방수 모르타르는 모래 · 시멘트 순으로 믹서에 넣어 2분 이상 건비빔한 뒤, 희석한 방수제를 넣어 균질해질 때까지 5분 이상 비빈다.</t>
        </is>
      </c>
    </row>
    <row r="29" ht="36" customHeight="1">
      <c r="A29" s="39" t="inlineStr">
        <is>
          <t>다.</t>
        </is>
      </c>
      <c r="C29" s="40" t="inlineStr">
        <is>
          <t>믹서를 멈춘 뒤 모르타르의 수분이나 모래가 분리되지 않아야 하며 불순물이 섞이지 않아야 한다.</t>
        </is>
      </c>
    </row>
    <row r="30" ht="21" customHeight="1">
      <c r="A30" s="10" t="inlineStr"/>
      <c r="B30" s="38" t="inlineStr">
        <is>
          <t>(3) 방수층 바름</t>
        </is>
      </c>
    </row>
    <row r="31" ht="20.5" customHeight="1">
      <c r="A31" s="39" t="inlineStr">
        <is>
          <t>가.</t>
        </is>
      </c>
      <c r="C31" s="40" t="inlineStr">
        <is>
          <t>방수액 침투 : 방수액 40%, 물 60% 로 섞어 솔이나 롤러로 바탕면에 침투시킨다.</t>
        </is>
      </c>
    </row>
    <row r="32" ht="36" customHeight="1">
      <c r="A32" s="39" t="inlineStr">
        <is>
          <t>나.</t>
        </is>
      </c>
      <c r="C32" s="40" t="inlineStr">
        <is>
          <t>페이스트 1차 도포 : 시멘트 40%, 침투식 액체방수제 20%, 물 40%(용량비)로 섞어 바탕면에 고르게 바른다.</t>
        </is>
      </c>
    </row>
    <row r="33" ht="36" customHeight="1">
      <c r="A33" s="39" t="inlineStr">
        <is>
          <t>다.</t>
        </is>
      </c>
      <c r="C33" s="40" t="inlineStr">
        <is>
          <t>모르타르 바름 : 페이스트 도포가 끝나면 시멘트와 모래를 1 : 1 로 섞은 모르타르를 손으로 얇게 문질러 바탕면과 잘 붙게 한다.</t>
        </is>
      </c>
    </row>
    <row r="34" ht="36" customHeight="1">
      <c r="A34" s="39" t="inlineStr">
        <is>
          <t>라.</t>
        </is>
      </c>
      <c r="C34" s="40" t="inlineStr">
        <is>
          <t>페이스트 2차 도포 : 시멘트 70%, 침투식 액체방수제 20%, 물 10%(용량비)로 섞어 바탕면에 고르게 바른다.</t>
        </is>
      </c>
    </row>
    <row r="35" ht="36" customHeight="1">
      <c r="A35" s="39" t="inlineStr">
        <is>
          <t>마.</t>
        </is>
      </c>
      <c r="C35" s="40" t="inlineStr">
        <is>
          <t>보호 모르타르 : 시멘트와 모래를 1 : 3 으로 섞어 벽은 6 ~ 9mm, 바닥은 10 ~ 12mm 정도로 나무흙손이나 쇠흙손으로 고르게 바른다.</t>
        </is>
      </c>
    </row>
    <row r="36" ht="21" customHeight="1">
      <c r="A36" s="38" t="inlineStr">
        <is>
          <t>4) 검측 흐름(FLOW CHART)</t>
        </is>
      </c>
    </row>
    <row r="37" ht="30" customHeight="1">
      <c r="A37" s="10" t="inlineStr"/>
      <c r="D37" s="44" t="inlineStr">
        <is>
          <t>현장 시공 완료</t>
        </is>
      </c>
      <c r="E37" s="15" t="n"/>
      <c r="F37" s="15" t="n"/>
      <c r="G37" s="15" t="n"/>
      <c r="H37" s="15" t="n"/>
      <c r="I37" s="15" t="n"/>
      <c r="J37" s="45" t="inlineStr"/>
    </row>
    <row r="38" ht="14" customHeight="1">
      <c r="A38" s="34" t="inlineStr">
        <is>
          <t>▼</t>
        </is>
      </c>
    </row>
    <row r="39" ht="30" customHeight="1">
      <c r="A39" s="10" t="inlineStr"/>
      <c r="D39" s="44" t="inlineStr">
        <is>
          <t>시공자 · 담당기술자 점검</t>
        </is>
      </c>
      <c r="E39" s="15" t="n"/>
      <c r="F39" s="15" t="n"/>
      <c r="G39" s="15" t="n"/>
      <c r="H39" s="15" t="n"/>
      <c r="I39" s="15" t="n"/>
      <c r="J39" s="45" t="inlineStr">
        <is>
          <t xml:space="preserve">  ◀ 첨부 : 시공자 점검표</t>
        </is>
      </c>
    </row>
    <row r="40" ht="14" customHeight="1">
      <c r="A40" s="34" t="inlineStr">
        <is>
          <t>▼</t>
        </is>
      </c>
    </row>
    <row r="41" ht="30" customHeight="1">
      <c r="A41" s="10" t="inlineStr"/>
      <c r="D41" s="44" t="inlineStr">
        <is>
          <t>검측요청서 제출</t>
        </is>
      </c>
      <c r="E41" s="15" t="n"/>
      <c r="F41" s="15" t="n"/>
      <c r="G41" s="15" t="n"/>
      <c r="H41" s="15" t="n"/>
      <c r="I41" s="15" t="n"/>
      <c r="J41" s="45" t="inlineStr">
        <is>
          <t xml:space="preserve">  ◀ 첨부 : 공사참여자 명부 · 관련 도면 · 사진</t>
        </is>
      </c>
    </row>
    <row r="42" ht="14" customHeight="1">
      <c r="A42" s="34" t="inlineStr">
        <is>
          <t>▼</t>
        </is>
      </c>
    </row>
    <row r="43" ht="30" customHeight="1">
      <c r="A43" s="10" t="inlineStr"/>
      <c r="D43" s="44" t="inlineStr">
        <is>
          <t>감 리 원(공사감독자) 현장 검측</t>
        </is>
      </c>
      <c r="E43" s="15" t="n"/>
      <c r="F43" s="15" t="n"/>
      <c r="G43" s="15" t="n"/>
      <c r="H43" s="15" t="n"/>
      <c r="I43" s="15" t="n"/>
      <c r="J43" s="45" t="inlineStr"/>
    </row>
    <row r="44" ht="14" customHeight="1">
      <c r="A44" s="34" t="inlineStr">
        <is>
          <t>▼</t>
        </is>
      </c>
    </row>
    <row r="45" ht="30" customHeight="1">
      <c r="A45" s="10" t="inlineStr"/>
      <c r="D45" s="44" t="inlineStr">
        <is>
          <t>검측 결과 통보</t>
        </is>
      </c>
      <c r="E45" s="15" t="n"/>
      <c r="F45" s="15" t="n"/>
      <c r="G45" s="15" t="n"/>
      <c r="H45" s="15" t="n"/>
      <c r="I45" s="15" t="n"/>
      <c r="J45" s="45" t="inlineStr">
        <is>
          <t xml:space="preserve">  ◀ 불합격 시 → 재시공 · 보완 후 다시 검측 요청</t>
        </is>
      </c>
    </row>
    <row r="46" ht="14" customHeight="1">
      <c r="A46" s="34" t="inlineStr">
        <is>
          <t>▼</t>
        </is>
      </c>
    </row>
    <row r="47" ht="30" customHeight="1">
      <c r="A47" s="10" t="inlineStr"/>
      <c r="D47" s="44" t="inlineStr">
        <is>
          <t>합격 시 다음 단계 공종 착수</t>
        </is>
      </c>
      <c r="E47" s="15" t="n"/>
      <c r="F47" s="15" t="n"/>
      <c r="G47" s="15" t="n"/>
      <c r="H47" s="15" t="n"/>
      <c r="I47" s="15" t="n"/>
      <c r="J47" s="45" t="inlineStr"/>
    </row>
    <row r="48" ht="21" customHeight="1">
      <c r="A48" s="38" t="inlineStr">
        <is>
          <t>5) 투입인원(일 단위)</t>
        </is>
      </c>
    </row>
    <row r="49" ht="24" customHeight="1">
      <c r="A49" s="25" t="inlineStr">
        <is>
          <t>구    분</t>
        </is>
      </c>
      <c r="B49" s="15" t="n"/>
      <c r="C49" s="15" t="n"/>
      <c r="D49" s="15" t="n"/>
      <c r="E49" s="25" t="inlineStr">
        <is>
          <t>단  위</t>
        </is>
      </c>
      <c r="F49" s="15" t="n"/>
      <c r="G49" s="25" t="inlineStr">
        <is>
          <t>수  량</t>
        </is>
      </c>
      <c r="H49" s="15" t="n"/>
      <c r="I49" s="25" t="inlineStr">
        <is>
          <t>비    고</t>
        </is>
      </c>
      <c r="J49" s="15" t="n"/>
      <c r="K49" s="15" t="n"/>
      <c r="L49" s="15" t="n"/>
    </row>
    <row r="50" ht="24" customHeight="1">
      <c r="A50" s="32" t="inlineStr">
        <is>
          <t>방수공</t>
        </is>
      </c>
      <c r="B50" s="15" t="n"/>
      <c r="C50" s="15" t="n"/>
      <c r="D50" s="15" t="n"/>
      <c r="E50" s="19" t="inlineStr">
        <is>
          <t>인</t>
        </is>
      </c>
      <c r="F50" s="15" t="n"/>
      <c r="G50" s="46" t="n">
        <v>3</v>
      </c>
      <c r="H50" s="15" t="n"/>
      <c r="I50" s="29" t="n"/>
      <c r="J50" s="15" t="n"/>
      <c r="K50" s="15" t="n"/>
      <c r="L50" s="15" t="n"/>
    </row>
    <row r="51" ht="24" customHeight="1">
      <c r="A51" s="32" t="inlineStr">
        <is>
          <t>특별인부</t>
        </is>
      </c>
      <c r="B51" s="15" t="n"/>
      <c r="C51" s="15" t="n"/>
      <c r="D51" s="15" t="n"/>
      <c r="E51" s="19" t="inlineStr">
        <is>
          <t>인</t>
        </is>
      </c>
      <c r="F51" s="15" t="n"/>
      <c r="G51" s="46" t="n">
        <v>1</v>
      </c>
      <c r="H51" s="15" t="n"/>
      <c r="I51" s="29" t="n"/>
      <c r="J51" s="15" t="n"/>
      <c r="K51" s="15" t="n"/>
      <c r="L51" s="15" t="n"/>
    </row>
    <row r="52" ht="24" customHeight="1">
      <c r="A52" s="32" t="inlineStr">
        <is>
          <t>보통인부</t>
        </is>
      </c>
      <c r="B52" s="15" t="n"/>
      <c r="C52" s="15" t="n"/>
      <c r="D52" s="15" t="n"/>
      <c r="E52" s="19" t="inlineStr">
        <is>
          <t>인</t>
        </is>
      </c>
      <c r="F52" s="15" t="n"/>
      <c r="G52" s="46" t="n">
        <v>2</v>
      </c>
      <c r="H52" s="15" t="n"/>
      <c r="I52" s="29" t="n"/>
      <c r="J52" s="15" t="n"/>
      <c r="K52" s="15" t="n"/>
      <c r="L52" s="15" t="n"/>
    </row>
    <row r="53" ht="24" customHeight="1">
      <c r="A53" s="30" t="inlineStr">
        <is>
          <t>계</t>
        </is>
      </c>
      <c r="B53" s="15" t="n"/>
      <c r="C53" s="15" t="n"/>
      <c r="D53" s="15" t="n"/>
      <c r="E53" s="30" t="inlineStr">
        <is>
          <t>인</t>
        </is>
      </c>
      <c r="F53" s="15" t="n"/>
      <c r="G53" s="47">
        <f>IF(SUM(G50,G51,G52)=0,"",SUM(G50,G51,G52))</f>
        <v/>
      </c>
      <c r="H53" s="15" t="n"/>
      <c r="I53" s="30" t="inlineStr"/>
      <c r="J53" s="15" t="n"/>
      <c r="K53" s="15" t="n"/>
      <c r="L53" s="15" t="n"/>
    </row>
    <row r="54" ht="21" customHeight="1">
      <c r="A54" s="38" t="inlineStr">
        <is>
          <t>6) 담수시험</t>
        </is>
      </c>
    </row>
    <row r="55" ht="20.5" customHeight="1">
      <c r="A55" s="39" t="inlineStr">
        <is>
          <t>(1)</t>
        </is>
      </c>
      <c r="B55" s="40" t="inlineStr">
        <is>
          <t>배수 관계 구멍(배수트랩 · 루프드레인)은 이물질이 들어가지 않도록 막는다.</t>
        </is>
      </c>
    </row>
    <row r="56" ht="36" customHeight="1">
      <c r="A56" s="39" t="inlineStr">
        <is>
          <t>(2)</t>
        </is>
      </c>
      <c r="B56" s="40" t="inlineStr">
        <is>
          <t>방수층 끝부분이 잠기지 않도록 물을 채우고 48시간 정도 누수 여부를 확인한다. 필요하면 치켜올림 높이까지 물을 채워 48시간 정도 더 확인할 수 있다.</t>
        </is>
      </c>
    </row>
    <row r="57" ht="20.5" customHeight="1">
      <c r="A57" s="39" t="inlineStr">
        <is>
          <t>(3)</t>
        </is>
      </c>
      <c r="B57" s="40" t="inlineStr">
        <is>
          <t>누수가 없음을 확인한 뒤 담수한 물을 배수구로 흘려보내 배수 상태를 확인한다.</t>
        </is>
      </c>
    </row>
    <row r="58" ht="3" customHeight="1"/>
    <row r="59" ht="22" customHeight="1">
      <c r="A59" s="37" t="inlineStr">
        <is>
          <t>6-2  규산질계 침투성방수</t>
        </is>
      </c>
    </row>
    <row r="60" ht="21" customHeight="1">
      <c r="A60" s="38" t="inlineStr">
        <is>
          <t>1) 일반사항</t>
        </is>
      </c>
    </row>
    <row r="61" ht="36" customHeight="1">
      <c r="A61" s="39" t="inlineStr">
        <is>
          <t>(1)</t>
        </is>
      </c>
      <c r="B61" s="40" t="inlineStr">
        <is>
          <t>건축물의 벽 · 바닥, 수조 및 피트 등에 무기질계 또는 무기 · 유기질계 혼합의 규산질계 도포 방수층을 시공할 때는 KS F 4918 을 적용한다.</t>
        </is>
      </c>
    </row>
    <row r="62" ht="36" customHeight="1">
      <c r="A62" s="39" t="inlineStr">
        <is>
          <t>(2)</t>
        </is>
      </c>
      <c r="B62" s="40" t="inlineStr">
        <is>
          <t>재료는 눈 · 비 · 직사광선이 닿지 않는 곳에 밀봉 상태로 보관하고, 손상된 자재나 유효기간이 지난 것은 즉시 현장 밖으로 반출한다.</t>
        </is>
      </c>
    </row>
    <row r="63" ht="21" customHeight="1">
      <c r="A63" s="38" t="inlineStr">
        <is>
          <t>2) 자재</t>
        </is>
      </c>
    </row>
    <row r="64" ht="51.5" customHeight="1">
      <c r="A64" s="39" t="inlineStr">
        <is>
          <t>(1)</t>
        </is>
      </c>
      <c r="B64" s="40" t="inlineStr">
        <is>
          <t>규산질계 분말형 도포 방수재 — 무기질계 분체에 물을 섞는 것과, 무기질계 분체에 폴리머 분산제와 물을 섞는 것 2가지가 있으며, 품질은 KS F 4918 의 성능 기준에 맞는 것을 쓴다.</t>
        </is>
      </c>
    </row>
    <row r="65" ht="20.5" customHeight="1">
      <c r="A65" s="39" t="inlineStr">
        <is>
          <t>(2)</t>
        </is>
      </c>
      <c r="B65" s="40" t="inlineStr">
        <is>
          <t>물 — 유해량의 염분 · 철분 · 이온 및 유기물이 없는 깨끗한 물을 쓴다.</t>
        </is>
      </c>
    </row>
    <row r="66" ht="20" customHeight="1">
      <c r="A66" s="41" t="inlineStr">
        <is>
          <t>[ 규산질계 도포 방수재의 표준 배합비(질량비) ]</t>
        </is>
      </c>
    </row>
    <row r="67" ht="24" customHeight="1">
      <c r="A67" s="25" t="inlineStr">
        <is>
          <t>배 합 재 료</t>
        </is>
      </c>
      <c r="B67" s="15" t="n"/>
      <c r="C67" s="15" t="n"/>
      <c r="D67" s="15" t="n"/>
      <c r="E67" s="25" t="inlineStr">
        <is>
          <t>무기질계 분체 + 물</t>
        </is>
      </c>
      <c r="F67" s="15" t="n"/>
      <c r="G67" s="15" t="n"/>
      <c r="H67" s="15" t="n"/>
      <c r="I67" s="25" t="inlineStr">
        <is>
          <t>무기질계 분체 + 폴리머 분산제 + 물</t>
        </is>
      </c>
      <c r="J67" s="15" t="n"/>
      <c r="K67" s="15" t="n"/>
      <c r="L67" s="15" t="n"/>
    </row>
    <row r="68" ht="24" customHeight="1">
      <c r="A68" s="42" t="inlineStr">
        <is>
          <t>무기질계 분체</t>
        </is>
      </c>
      <c r="B68" s="15" t="n"/>
      <c r="C68" s="15" t="n"/>
      <c r="D68" s="15" t="n"/>
      <c r="E68" s="42" t="inlineStr">
        <is>
          <t>100</t>
        </is>
      </c>
      <c r="F68" s="15" t="n"/>
      <c r="G68" s="15" t="n"/>
      <c r="H68" s="15" t="n"/>
      <c r="I68" s="42" t="inlineStr">
        <is>
          <t>100</t>
        </is>
      </c>
      <c r="J68" s="15" t="n"/>
      <c r="K68" s="15" t="n"/>
      <c r="L68" s="15" t="n"/>
    </row>
    <row r="69" ht="24" customHeight="1">
      <c r="A69" s="42" t="inlineStr">
        <is>
          <t>물</t>
        </is>
      </c>
      <c r="B69" s="15" t="n"/>
      <c r="C69" s="15" t="n"/>
      <c r="D69" s="15" t="n"/>
      <c r="E69" s="42" t="inlineStr">
        <is>
          <t>25 ~ 35</t>
        </is>
      </c>
      <c r="F69" s="15" t="n"/>
      <c r="G69" s="15" t="n"/>
      <c r="H69" s="15" t="n"/>
      <c r="I69" s="42" t="inlineStr">
        <is>
          <t>20 ~ 30</t>
        </is>
      </c>
      <c r="J69" s="15" t="n"/>
      <c r="K69" s="15" t="n"/>
      <c r="L69" s="15" t="n"/>
    </row>
    <row r="70" ht="24" customHeight="1">
      <c r="A70" s="42" t="inlineStr">
        <is>
          <t>에멀션 또는 라텍스</t>
        </is>
      </c>
      <c r="B70" s="15" t="n"/>
      <c r="C70" s="15" t="n"/>
      <c r="D70" s="15" t="n"/>
      <c r="E70" s="42" t="inlineStr">
        <is>
          <t>—</t>
        </is>
      </c>
      <c r="F70" s="15" t="n"/>
      <c r="G70" s="15" t="n"/>
      <c r="H70" s="15" t="n"/>
      <c r="I70" s="42" t="inlineStr">
        <is>
          <t>5 ~ 10</t>
        </is>
      </c>
      <c r="J70" s="15" t="n"/>
      <c r="K70" s="15" t="n"/>
      <c r="L70" s="15" t="n"/>
    </row>
    <row r="71" ht="21" customHeight="1">
      <c r="A71" s="38" t="inlineStr">
        <is>
          <t>3) 시공</t>
        </is>
      </c>
    </row>
    <row r="72" ht="21" customHeight="1">
      <c r="A72" s="10" t="inlineStr"/>
      <c r="B72" s="38" t="inlineStr">
        <is>
          <t>(1) 바탕처리</t>
        </is>
      </c>
    </row>
    <row r="73" ht="20.5" customHeight="1">
      <c r="A73" s="39" t="inlineStr">
        <is>
          <t>가.</t>
        </is>
      </c>
      <c r="C73" s="40" t="inlineStr">
        <is>
          <t>바탕은 현장타설 철근콘크리트를 표준으로 한다.</t>
        </is>
      </c>
    </row>
    <row r="74" ht="36" customHeight="1">
      <c r="A74" s="39" t="inlineStr">
        <is>
          <t>나.</t>
        </is>
      </c>
      <c r="C74" s="40" t="inlineStr">
        <is>
          <t>실내 바닥 등은 1/100 ~ 1/50 의 물매로 되어 있어야 하며, 물이 고이지 않고 빨리 빠지게 한다.</t>
        </is>
      </c>
    </row>
    <row r="75" ht="20.5" customHeight="1">
      <c r="A75" s="39" t="inlineStr">
        <is>
          <t>다.</t>
        </is>
      </c>
      <c r="C75" s="40" t="inlineStr">
        <is>
          <t>평면부 바탕 콘크리트 표면은 쇠흙손 등으로 평활하게 마무리한다.</t>
        </is>
      </c>
    </row>
    <row r="76" ht="36" customHeight="1">
      <c r="A76" s="39" t="inlineStr">
        <is>
          <t>라.</t>
        </is>
      </c>
      <c r="C76" s="40" t="inlineStr">
        <is>
          <t>치켜올림부 콘크리트는 제물마감으로 하고, 거푸집 고정재 구멍이나 타설층 표면의 구멍은 폴리머 시멘트 모르타르 등으로 메워 평탄하게 마무리한다.</t>
        </is>
      </c>
    </row>
    <row r="77" ht="20.5" customHeight="1">
      <c r="A77" s="39" t="inlineStr">
        <is>
          <t>마.</t>
        </is>
      </c>
      <c r="C77" s="40" t="inlineStr">
        <is>
          <t>치켜올림부는 방수층 끝부분 처리가 충분히 되는 형상 · 높이로 한다.</t>
        </is>
      </c>
    </row>
    <row r="78" ht="36" customHeight="1">
      <c r="A78" s="39" t="inlineStr">
        <is>
          <t>바.</t>
        </is>
      </c>
      <c r="C78" s="40" t="inlineStr">
        <is>
          <t>방수 시공 직전 바탕 전반은 평탄하고, 휨 · 단차 · 들뜸 · 레이턴스 · 취약부 · 돌기 · 곰보 · 균열이 없어야 한다.</t>
        </is>
      </c>
    </row>
    <row r="79" ht="21" customHeight="1">
      <c r="A79" s="10" t="inlineStr"/>
      <c r="B79" s="38" t="inlineStr">
        <is>
          <t>(2) 방수재의 비빔</t>
        </is>
      </c>
    </row>
    <row r="80" ht="36" customHeight="1">
      <c r="A80" s="39" t="inlineStr">
        <is>
          <t>가.</t>
        </is>
      </c>
      <c r="C80" s="40" t="inlineStr">
        <is>
          <t>방수재는 제조자가 지정하는 양의 물을 넣은 뒤 전동 비빔기 또는 손 비빔으로 균질해질 때까지 비빈다.</t>
        </is>
      </c>
    </row>
    <row r="81" ht="20.5" customHeight="1">
      <c r="A81" s="39" t="inlineStr">
        <is>
          <t>나.</t>
        </is>
      </c>
      <c r="C81" s="40" t="inlineStr">
        <is>
          <t>비빔은 기온 5 ~ 40℃ 범위에서 한다.</t>
        </is>
      </c>
    </row>
    <row r="82" ht="21" customHeight="1">
      <c r="A82" s="10" t="inlineStr"/>
      <c r="B82" s="38" t="inlineStr">
        <is>
          <t>(3) 방수재 도포</t>
        </is>
      </c>
    </row>
    <row r="83" ht="36" customHeight="1">
      <c r="A83" s="39" t="inlineStr">
        <is>
          <t>가.</t>
        </is>
      </c>
      <c r="C83" s="40" t="inlineStr">
        <is>
          <t>방수재는 솔 · 흙손 · 뿜칠 · 롤러 등으로 콘크리트 면에 고르게 바른다. 솔로 바를 때는 바름 방향을 일정하게 한다.</t>
        </is>
      </c>
    </row>
    <row r="84" ht="36" customHeight="1">
      <c r="A84" s="39" t="inlineStr">
        <is>
          <t>나.</t>
        </is>
      </c>
      <c r="C84" s="40" t="inlineStr">
        <is>
          <t>앞 공정에서 바른 방수재가 손가락으로 눌러 묻어나지 않을 때 다음 공정을 시작한다.</t>
        </is>
      </c>
    </row>
    <row r="85" ht="20.5" customHeight="1">
      <c r="A85" s="39" t="inlineStr">
        <is>
          <t>다.</t>
        </is>
      </c>
      <c r="C85" s="40" t="inlineStr">
        <is>
          <t>앞 공정 뒤 24시간 이상 지나 다음 공정을 시작할 때는 물을 뿌린다.</t>
        </is>
      </c>
    </row>
    <row r="86" ht="36" customHeight="1">
      <c r="A86" s="39" t="inlineStr">
        <is>
          <t>라.</t>
        </is>
      </c>
      <c r="C86" s="40" t="inlineStr">
        <is>
          <t>앞 공정의 방수재가 완전히 말라 손가락으로 눌러 하얗게 묻어나거나 백화와 비슷한 상태가 되면 방수층을 걷어 내고 다시 시공한다.</t>
        </is>
      </c>
    </row>
    <row r="87" ht="21" customHeight="1">
      <c r="A87" s="10" t="inlineStr"/>
      <c r="B87" s="38" t="inlineStr">
        <is>
          <t>(4) 양생 및 점검</t>
        </is>
      </c>
    </row>
    <row r="88" ht="20.5" customHeight="1">
      <c r="A88" s="39" t="inlineStr">
        <is>
          <t>가.</t>
        </is>
      </c>
      <c r="C88" s="40" t="inlineStr">
        <is>
          <t>도포를 마친 뒤 48시간 이상 알맞게 양생한다.</t>
        </is>
      </c>
    </row>
    <row r="89" ht="36" customHeight="1">
      <c r="A89" s="39" t="inlineStr">
        <is>
          <t>나.</t>
        </is>
      </c>
      <c r="C89" s="40" t="inlineStr">
        <is>
          <t>직사광선 · 바람 · 고온으로 급히 마를 우려가 있으면 물을 뿌리거나 시트 등으로 보호하여 양생한다.</t>
        </is>
      </c>
    </row>
    <row r="90" ht="20.5" customHeight="1">
      <c r="A90" s="39" t="inlineStr">
        <is>
          <t>다.</t>
        </is>
      </c>
      <c r="C90" s="40" t="inlineStr">
        <is>
          <t>밀폐된 곳에서 결로가 예상되면 환기 · 통풍 · 제습 등을 한다.</t>
        </is>
      </c>
    </row>
    <row r="91" ht="20.5" customHeight="1">
      <c r="A91" s="39" t="inlineStr">
        <is>
          <t>라.</t>
        </is>
      </c>
      <c r="C91" s="40" t="inlineStr">
        <is>
          <t>저온으로 얼 우려가 있으면 보온덮개 · 시트 등으로 보호하여 양생한다.</t>
        </is>
      </c>
    </row>
    <row r="92" ht="20.5" customHeight="1">
      <c r="A92" s="39" t="inlineStr">
        <is>
          <t>마.</t>
        </is>
      </c>
      <c r="C92" s="40" t="inlineStr">
        <is>
          <t>양생이 끝난 방수층은 부착강도를 측정하여 성능을 확인한다.</t>
        </is>
      </c>
    </row>
    <row r="93" ht="21" customHeight="1">
      <c r="A93" s="38" t="inlineStr">
        <is>
          <t>4) 검측 흐름(FLOW CHART)</t>
        </is>
      </c>
    </row>
    <row r="94" ht="30" customHeight="1">
      <c r="A94" s="10" t="inlineStr"/>
      <c r="D94" s="44" t="inlineStr">
        <is>
          <t>현장 시공 완료</t>
        </is>
      </c>
      <c r="E94" s="15" t="n"/>
      <c r="F94" s="15" t="n"/>
      <c r="G94" s="15" t="n"/>
      <c r="H94" s="15" t="n"/>
      <c r="I94" s="15" t="n"/>
      <c r="J94" s="45" t="inlineStr"/>
    </row>
    <row r="95" ht="14" customHeight="1">
      <c r="A95" s="34" t="inlineStr">
        <is>
          <t>▼</t>
        </is>
      </c>
    </row>
    <row r="96" ht="30" customHeight="1">
      <c r="A96" s="10" t="inlineStr"/>
      <c r="D96" s="44" t="inlineStr">
        <is>
          <t>시공자 · 담당기술자 점검</t>
        </is>
      </c>
      <c r="E96" s="15" t="n"/>
      <c r="F96" s="15" t="n"/>
      <c r="G96" s="15" t="n"/>
      <c r="H96" s="15" t="n"/>
      <c r="I96" s="15" t="n"/>
      <c r="J96" s="45" t="inlineStr">
        <is>
          <t xml:space="preserve">  ◀ 첨부 : 시공자 점검표</t>
        </is>
      </c>
    </row>
    <row r="97" ht="14" customHeight="1">
      <c r="A97" s="34" t="inlineStr">
        <is>
          <t>▼</t>
        </is>
      </c>
    </row>
    <row r="98" ht="30" customHeight="1">
      <c r="A98" s="10" t="inlineStr"/>
      <c r="D98" s="44" t="inlineStr">
        <is>
          <t>검측요청서 제출</t>
        </is>
      </c>
      <c r="E98" s="15" t="n"/>
      <c r="F98" s="15" t="n"/>
      <c r="G98" s="15" t="n"/>
      <c r="H98" s="15" t="n"/>
      <c r="I98" s="15" t="n"/>
      <c r="J98" s="45" t="inlineStr">
        <is>
          <t xml:space="preserve">  ◀ 첨부 : 공사참여자 명부 · 관련 도면 · 사진</t>
        </is>
      </c>
    </row>
    <row r="99" ht="14" customHeight="1">
      <c r="A99" s="34" t="inlineStr">
        <is>
          <t>▼</t>
        </is>
      </c>
    </row>
    <row r="100" ht="30" customHeight="1">
      <c r="A100" s="10" t="inlineStr"/>
      <c r="D100" s="44" t="inlineStr">
        <is>
          <t>감 리 원(공사감독자) 현장 검측</t>
        </is>
      </c>
      <c r="E100" s="15" t="n"/>
      <c r="F100" s="15" t="n"/>
      <c r="G100" s="15" t="n"/>
      <c r="H100" s="15" t="n"/>
      <c r="I100" s="15" t="n"/>
      <c r="J100" s="45" t="inlineStr"/>
    </row>
    <row r="101" ht="14" customHeight="1">
      <c r="A101" s="34" t="inlineStr">
        <is>
          <t>▼</t>
        </is>
      </c>
    </row>
    <row r="102" ht="30" customHeight="1">
      <c r="A102" s="10" t="inlineStr"/>
      <c r="D102" s="44" t="inlineStr">
        <is>
          <t>검측 결과 통보</t>
        </is>
      </c>
      <c r="E102" s="15" t="n"/>
      <c r="F102" s="15" t="n"/>
      <c r="G102" s="15" t="n"/>
      <c r="H102" s="15" t="n"/>
      <c r="I102" s="15" t="n"/>
      <c r="J102" s="45" t="inlineStr">
        <is>
          <t xml:space="preserve">  ◀ 불합격 시 → 재시공 · 보완 후 다시 검측 요청</t>
        </is>
      </c>
    </row>
    <row r="103" ht="14" customHeight="1">
      <c r="A103" s="34" t="inlineStr">
        <is>
          <t>▼</t>
        </is>
      </c>
    </row>
    <row r="104" ht="30" customHeight="1">
      <c r="A104" s="10" t="inlineStr"/>
      <c r="D104" s="44" t="inlineStr">
        <is>
          <t>합격 시 다음 단계 공종 착수</t>
        </is>
      </c>
      <c r="E104" s="15" t="n"/>
      <c r="F104" s="15" t="n"/>
      <c r="G104" s="15" t="n"/>
      <c r="H104" s="15" t="n"/>
      <c r="I104" s="15" t="n"/>
      <c r="J104" s="45" t="inlineStr"/>
    </row>
    <row r="105" ht="21" customHeight="1">
      <c r="A105" s="38" t="inlineStr">
        <is>
          <t>5) 투입인원(일 단위)</t>
        </is>
      </c>
    </row>
    <row r="106" ht="24" customHeight="1">
      <c r="A106" s="25" t="inlineStr">
        <is>
          <t>구    분</t>
        </is>
      </c>
      <c r="B106" s="15" t="n"/>
      <c r="C106" s="15" t="n"/>
      <c r="D106" s="15" t="n"/>
      <c r="E106" s="25" t="inlineStr">
        <is>
          <t>단  위</t>
        </is>
      </c>
      <c r="F106" s="15" t="n"/>
      <c r="G106" s="25" t="inlineStr">
        <is>
          <t>수  량</t>
        </is>
      </c>
      <c r="H106" s="15" t="n"/>
      <c r="I106" s="25" t="inlineStr">
        <is>
          <t>비    고</t>
        </is>
      </c>
      <c r="J106" s="15" t="n"/>
      <c r="K106" s="15" t="n"/>
      <c r="L106" s="15" t="n"/>
    </row>
    <row r="107" ht="24" customHeight="1">
      <c r="A107" s="32" t="inlineStr">
        <is>
          <t>방수공</t>
        </is>
      </c>
      <c r="B107" s="15" t="n"/>
      <c r="C107" s="15" t="n"/>
      <c r="D107" s="15" t="n"/>
      <c r="E107" s="19" t="inlineStr">
        <is>
          <t>인</t>
        </is>
      </c>
      <c r="F107" s="15" t="n"/>
      <c r="G107" s="46" t="n">
        <v>4</v>
      </c>
      <c r="H107" s="15" t="n"/>
      <c r="I107" s="29" t="n"/>
      <c r="J107" s="15" t="n"/>
      <c r="K107" s="15" t="n"/>
      <c r="L107" s="15" t="n"/>
    </row>
    <row r="108" ht="24" customHeight="1">
      <c r="A108" s="32" t="inlineStr">
        <is>
          <t>특별인부</t>
        </is>
      </c>
      <c r="B108" s="15" t="n"/>
      <c r="C108" s="15" t="n"/>
      <c r="D108" s="15" t="n"/>
      <c r="E108" s="19" t="inlineStr">
        <is>
          <t>인</t>
        </is>
      </c>
      <c r="F108" s="15" t="n"/>
      <c r="G108" s="46" t="n">
        <v>1</v>
      </c>
      <c r="H108" s="15" t="n"/>
      <c r="I108" s="29" t="n"/>
      <c r="J108" s="15" t="n"/>
      <c r="K108" s="15" t="n"/>
      <c r="L108" s="15" t="n"/>
    </row>
    <row r="109" ht="24" customHeight="1">
      <c r="A109" s="32" t="inlineStr">
        <is>
          <t>보통인부</t>
        </is>
      </c>
      <c r="B109" s="15" t="n"/>
      <c r="C109" s="15" t="n"/>
      <c r="D109" s="15" t="n"/>
      <c r="E109" s="19" t="inlineStr">
        <is>
          <t>인</t>
        </is>
      </c>
      <c r="F109" s="15" t="n"/>
      <c r="G109" s="46" t="n">
        <v>3</v>
      </c>
      <c r="H109" s="15" t="n"/>
      <c r="I109" s="29" t="n"/>
      <c r="J109" s="15" t="n"/>
      <c r="K109" s="15" t="n"/>
      <c r="L109" s="15" t="n"/>
    </row>
    <row r="110" ht="24" customHeight="1">
      <c r="A110" s="30" t="inlineStr">
        <is>
          <t>계</t>
        </is>
      </c>
      <c r="B110" s="15" t="n"/>
      <c r="C110" s="15" t="n"/>
      <c r="D110" s="15" t="n"/>
      <c r="E110" s="30" t="inlineStr">
        <is>
          <t>인</t>
        </is>
      </c>
      <c r="F110" s="15" t="n"/>
      <c r="G110" s="47">
        <f>IF(SUM(G107,G108,G109)=0,"",SUM(G107,G108,G109))</f>
        <v/>
      </c>
      <c r="H110" s="15" t="n"/>
      <c r="I110" s="30" t="inlineStr"/>
      <c r="J110" s="15" t="n"/>
      <c r="K110" s="15" t="n"/>
      <c r="L110" s="15" t="n"/>
    </row>
    <row r="111" ht="3" customHeight="1"/>
    <row r="112" ht="22" customHeight="1">
      <c r="A112" s="37" t="inlineStr">
        <is>
          <t>6-3  아스팔트 프라이머 방수</t>
        </is>
      </c>
    </row>
    <row r="113" ht="21" customHeight="1">
      <c r="A113" s="38" t="inlineStr">
        <is>
          <t>1) 일반사항</t>
        </is>
      </c>
    </row>
    <row r="114" ht="36" customHeight="1">
      <c r="A114" s="39" t="inlineStr">
        <is>
          <t>(1)</t>
        </is>
      </c>
      <c r="B114" s="40" t="inlineStr">
        <is>
          <t>지하 구체 외면 방수는 건축물의 일반 지하층 · 지하주차장 · 지하수조 · 공동구 등 지하 구조체의 바깥면(흙과 닿는 면)을 물이 스며들지 않게 막는 방수공사에 적용한다.</t>
        </is>
      </c>
    </row>
    <row r="115" ht="36" customHeight="1">
      <c r="A115" s="39" t="inlineStr">
        <is>
          <t>(2)</t>
        </is>
      </c>
      <c r="B115" s="40" t="inlineStr">
        <is>
          <t>지하 구조물에 쓰는 방수공법은 시공이 쉽고 시공 품질이 안정되며 결함부 처리가 쉬워야 한다.</t>
        </is>
      </c>
    </row>
    <row r="116" ht="21" customHeight="1">
      <c r="A116" s="38" t="inlineStr">
        <is>
          <t>2) 자재</t>
        </is>
      </c>
    </row>
    <row r="117" ht="36" customHeight="1">
      <c r="A117" s="39" t="inlineStr">
        <is>
          <t>(1)</t>
        </is>
      </c>
      <c r="B117" s="40" t="inlineStr">
        <is>
          <t>아스팔트 프라이머는 솔 · 롤러로 바르기에 지장이 없어야 하며, 아스팔트(침입도 10 ~ 30 정도)를 휘발성 용제에 녹인 것으로 한다.</t>
        </is>
      </c>
    </row>
    <row r="118" ht="36" customHeight="1">
      <c r="A118" s="39" t="inlineStr">
        <is>
          <t>(2)</t>
        </is>
      </c>
      <c r="B118" s="40" t="inlineStr">
        <is>
          <t>방수재는 창고에 보관하며, 수화 · 팽창 특성 등이 있는 기능성 방수재는 보관 · 이동 · 작업 중 먼지 · 수분 등 해로운 물질이 표면에 묻지 않게 한다.</t>
        </is>
      </c>
    </row>
    <row r="119" ht="36" customHeight="1">
      <c r="A119" s="39" t="inlineStr">
        <is>
          <t>(3)</t>
        </is>
      </c>
      <c r="B119" s="40" t="inlineStr">
        <is>
          <t>밖에 쌓아 둘 때는 비 · 서리를 맞지 않고 직사광선을 피하는 곳에 두며, 도막재는 밀봉 상태로 보관한다.</t>
        </is>
      </c>
    </row>
    <row r="120" ht="21" customHeight="1">
      <c r="A120" s="38" t="inlineStr">
        <is>
          <t>3) 시공</t>
        </is>
      </c>
    </row>
    <row r="121" ht="21" customHeight="1">
      <c r="A121" s="10" t="inlineStr"/>
      <c r="B121" s="38" t="inlineStr">
        <is>
          <t>(1) 바탕처리</t>
        </is>
      </c>
    </row>
    <row r="122" ht="51.5" customHeight="1">
      <c r="A122" s="39" t="inlineStr">
        <is>
          <t>가.</t>
        </is>
      </c>
      <c r="C122" s="40" t="inlineStr">
        <is>
          <t>바탕면에 붙은 흙 · 먼지 · 모래 · 자갈 및 레이턴스 등은 정 · 와이어브러시 등으로 제거하고, 지푸라기 · 못 · 철선 등이 모체에 깊이 박힌 부분은 충분한 깊이까지 파낸다.</t>
        </is>
      </c>
    </row>
    <row r="123" ht="36" customHeight="1">
      <c r="A123" s="39" t="inlineStr">
        <is>
          <t>나.</t>
        </is>
      </c>
      <c r="C123" s="40" t="inlineStr">
        <is>
          <t>모르타르 · 콘크리트의 불량 부분, 균열이 생긴 부분 및 그 밖의 부실한 부분은 제거 · 보수하여 충분한 강도가 있는 건실한 모체로 만든 다음 방수층을 시공한다.</t>
        </is>
      </c>
    </row>
    <row r="124" ht="36" customHeight="1">
      <c r="A124" s="39" t="inlineStr">
        <is>
          <t>다.</t>
        </is>
      </c>
      <c r="C124" s="40" t="inlineStr">
        <is>
          <t>모체에 건조 균열이 진행 중이라고 인정되는 곳이나 방수층에 결함이 생길 우려가 있는 부분은 담당자와 협의하여 대책을 세운다.</t>
        </is>
      </c>
    </row>
    <row r="125" ht="20.5" customHeight="1">
      <c r="A125" s="39" t="inlineStr">
        <is>
          <t>라.</t>
        </is>
      </c>
      <c r="C125" s="40" t="inlineStr">
        <is>
          <t>바탕처리 후에는 물 씻기 등으로 완전히 청소하고 건조한 다음 방수공사를 한다.</t>
        </is>
      </c>
    </row>
    <row r="126" ht="21" customHeight="1">
      <c r="A126" s="10" t="inlineStr"/>
      <c r="B126" s="38" t="inlineStr">
        <is>
          <t>(2) 프라이머 도포</t>
        </is>
      </c>
    </row>
    <row r="127" ht="20.5" customHeight="1">
      <c r="A127" s="39" t="inlineStr">
        <is>
          <t>가.</t>
        </is>
      </c>
      <c r="C127" s="40" t="inlineStr">
        <is>
          <t>아스팔트 프라이머는 솔 · 롤러 또는 스프레이로 바른다.</t>
        </is>
      </c>
    </row>
    <row r="128" ht="36" customHeight="1">
      <c r="A128" s="39" t="inlineStr">
        <is>
          <t>나.</t>
        </is>
      </c>
      <c r="C128" s="40" t="inlineStr">
        <is>
          <t>바름량은 0.3 ~ 0.4 ℓ/㎡ 로 전체를 고르게 발라 건조시킨다(콘크리트 면 상태에 따라 가감할 수 있음).</t>
        </is>
      </c>
    </row>
    <row r="129" ht="36" customHeight="1">
      <c r="A129" s="39" t="inlineStr">
        <is>
          <t>다.</t>
        </is>
      </c>
      <c r="C129" s="40" t="inlineStr">
        <is>
          <t>프라이머가 마르기 전에 비를 맞았거나 오래 방치한 경우, 마른 뒤 손상된 부위를 다시 바른다.</t>
        </is>
      </c>
    </row>
    <row r="130" ht="21" customHeight="1">
      <c r="A130" s="38" t="inlineStr">
        <is>
          <t>4) 방수층 보호재 시공</t>
        </is>
      </c>
    </row>
    <row r="131" ht="20.5" customHeight="1">
      <c r="A131" s="39" t="inlineStr">
        <is>
          <t>(1)</t>
        </is>
      </c>
      <c r="B131" s="40" t="inlineStr">
        <is>
          <t>보호재 접착에 방해가 되는 방수층 표면의 습기 · 흙 등 이물질을 완전히 없앤다.</t>
        </is>
      </c>
    </row>
    <row r="132" ht="20.5" customHeight="1">
      <c r="A132" s="39" t="inlineStr">
        <is>
          <t>(2)</t>
        </is>
      </c>
      <c r="B132" s="40" t="inlineStr">
        <is>
          <t>겨울철에는 접착력을 높이려 토치 열을 써도 되며, 자를 때는 곧게 자른다.</t>
        </is>
      </c>
    </row>
    <row r="133" ht="20.5" customHeight="1">
      <c r="A133" s="39" t="inlineStr">
        <is>
          <t>(3)</t>
        </is>
      </c>
      <c r="B133" s="40" t="inlineStr">
        <is>
          <t>보호재는 방수층이 굳은 뒤 바로 붙이며, 이형지를 떼어 낸 뒤 힘을 주어 눌러 붙인다.</t>
        </is>
      </c>
    </row>
    <row r="134" ht="36" customHeight="1">
      <c r="A134" s="39" t="inlineStr">
        <is>
          <t>(4)</t>
        </is>
      </c>
      <c r="B134" s="40" t="inlineStr">
        <is>
          <t>지하층 되메우기는 보호재 시공 후 2일 이내에 하고, 잡석 · 이물질로 보호재와 방수층이 상하지 않게 한다.</t>
        </is>
      </c>
    </row>
    <row r="135" ht="21" customHeight="1">
      <c r="A135" s="38" t="inlineStr">
        <is>
          <t>5) 검측 흐름(FLOW CHART)</t>
        </is>
      </c>
    </row>
    <row r="136" ht="30" customHeight="1">
      <c r="A136" s="10" t="inlineStr"/>
      <c r="D136" s="44" t="inlineStr">
        <is>
          <t>현장 시공 완료</t>
        </is>
      </c>
      <c r="E136" s="15" t="n"/>
      <c r="F136" s="15" t="n"/>
      <c r="G136" s="15" t="n"/>
      <c r="H136" s="15" t="n"/>
      <c r="I136" s="15" t="n"/>
      <c r="J136" s="45" t="inlineStr"/>
    </row>
    <row r="137" ht="14" customHeight="1">
      <c r="A137" s="34" t="inlineStr">
        <is>
          <t>▼</t>
        </is>
      </c>
    </row>
    <row r="138" ht="30" customHeight="1">
      <c r="A138" s="10" t="inlineStr"/>
      <c r="D138" s="44" t="inlineStr">
        <is>
          <t>시공자 · 담당기술자 점검</t>
        </is>
      </c>
      <c r="E138" s="15" t="n"/>
      <c r="F138" s="15" t="n"/>
      <c r="G138" s="15" t="n"/>
      <c r="H138" s="15" t="n"/>
      <c r="I138" s="15" t="n"/>
      <c r="J138" s="45" t="inlineStr">
        <is>
          <t xml:space="preserve">  ◀ 첨부 : 시공자 점검표</t>
        </is>
      </c>
    </row>
    <row r="139" ht="14" customHeight="1">
      <c r="A139" s="34" t="inlineStr">
        <is>
          <t>▼</t>
        </is>
      </c>
    </row>
    <row r="140" ht="30" customHeight="1">
      <c r="A140" s="10" t="inlineStr"/>
      <c r="D140" s="44" t="inlineStr">
        <is>
          <t>검측요청서 제출</t>
        </is>
      </c>
      <c r="E140" s="15" t="n"/>
      <c r="F140" s="15" t="n"/>
      <c r="G140" s="15" t="n"/>
      <c r="H140" s="15" t="n"/>
      <c r="I140" s="15" t="n"/>
      <c r="J140" s="45" t="inlineStr">
        <is>
          <t xml:space="preserve">  ◀ 첨부 : 공사참여자 명부 · 관련 도면 · 사진</t>
        </is>
      </c>
    </row>
    <row r="141" ht="14" customHeight="1">
      <c r="A141" s="34" t="inlineStr">
        <is>
          <t>▼</t>
        </is>
      </c>
    </row>
    <row r="142" ht="30" customHeight="1">
      <c r="A142" s="10" t="inlineStr"/>
      <c r="D142" s="44" t="inlineStr">
        <is>
          <t>감 리 원(공사감독자) 현장 검측</t>
        </is>
      </c>
      <c r="E142" s="15" t="n"/>
      <c r="F142" s="15" t="n"/>
      <c r="G142" s="15" t="n"/>
      <c r="H142" s="15" t="n"/>
      <c r="I142" s="15" t="n"/>
      <c r="J142" s="45" t="inlineStr"/>
    </row>
    <row r="143" ht="14" customHeight="1">
      <c r="A143" s="34" t="inlineStr">
        <is>
          <t>▼</t>
        </is>
      </c>
    </row>
    <row r="144" ht="30" customHeight="1">
      <c r="A144" s="10" t="inlineStr"/>
      <c r="D144" s="44" t="inlineStr">
        <is>
          <t>검측 결과 통보</t>
        </is>
      </c>
      <c r="E144" s="15" t="n"/>
      <c r="F144" s="15" t="n"/>
      <c r="G144" s="15" t="n"/>
      <c r="H144" s="15" t="n"/>
      <c r="I144" s="15" t="n"/>
      <c r="J144" s="45" t="inlineStr">
        <is>
          <t xml:space="preserve">  ◀ 불합격 시 → 재시공 · 보완 후 다시 검측 요청</t>
        </is>
      </c>
    </row>
    <row r="145" ht="14" customHeight="1">
      <c r="A145" s="34" t="inlineStr">
        <is>
          <t>▼</t>
        </is>
      </c>
    </row>
    <row r="146" ht="30" customHeight="1">
      <c r="A146" s="10" t="inlineStr"/>
      <c r="D146" s="44" t="inlineStr">
        <is>
          <t>합격 시 다음 단계 공종 착수</t>
        </is>
      </c>
      <c r="E146" s="15" t="n"/>
      <c r="F146" s="15" t="n"/>
      <c r="G146" s="15" t="n"/>
      <c r="H146" s="15" t="n"/>
      <c r="I146" s="15" t="n"/>
      <c r="J146" s="45" t="inlineStr"/>
    </row>
    <row r="147" ht="21" customHeight="1">
      <c r="A147" s="38" t="inlineStr">
        <is>
          <t>6) 투입인원(일 단위)</t>
        </is>
      </c>
    </row>
    <row r="148" ht="24" customHeight="1">
      <c r="A148" s="25" t="inlineStr">
        <is>
          <t>구    분</t>
        </is>
      </c>
      <c r="B148" s="15" t="n"/>
      <c r="C148" s="15" t="n"/>
      <c r="D148" s="15" t="n"/>
      <c r="E148" s="25" t="inlineStr">
        <is>
          <t>단  위</t>
        </is>
      </c>
      <c r="F148" s="15" t="n"/>
      <c r="G148" s="25" t="inlineStr">
        <is>
          <t>수  량</t>
        </is>
      </c>
      <c r="H148" s="15" t="n"/>
      <c r="I148" s="25" t="inlineStr">
        <is>
          <t>비    고</t>
        </is>
      </c>
      <c r="J148" s="15" t="n"/>
      <c r="K148" s="15" t="n"/>
      <c r="L148" s="15" t="n"/>
    </row>
    <row r="149" ht="24" customHeight="1">
      <c r="A149" s="32" t="inlineStr">
        <is>
          <t>방수공</t>
        </is>
      </c>
      <c r="B149" s="15" t="n"/>
      <c r="C149" s="15" t="n"/>
      <c r="D149" s="15" t="n"/>
      <c r="E149" s="19" t="inlineStr">
        <is>
          <t>인</t>
        </is>
      </c>
      <c r="F149" s="15" t="n"/>
      <c r="G149" s="46" t="n">
        <v>3</v>
      </c>
      <c r="H149" s="15" t="n"/>
      <c r="I149" s="29" t="n"/>
      <c r="J149" s="15" t="n"/>
      <c r="K149" s="15" t="n"/>
      <c r="L149" s="15" t="n"/>
    </row>
    <row r="150" ht="24" customHeight="1">
      <c r="A150" s="32" t="inlineStr">
        <is>
          <t>특별인부</t>
        </is>
      </c>
      <c r="B150" s="15" t="n"/>
      <c r="C150" s="15" t="n"/>
      <c r="D150" s="15" t="n"/>
      <c r="E150" s="19" t="inlineStr">
        <is>
          <t>인</t>
        </is>
      </c>
      <c r="F150" s="15" t="n"/>
      <c r="G150" s="46" t="n">
        <v>1</v>
      </c>
      <c r="H150" s="15" t="n"/>
      <c r="I150" s="29" t="n"/>
      <c r="J150" s="15" t="n"/>
      <c r="K150" s="15" t="n"/>
      <c r="L150" s="15" t="n"/>
    </row>
    <row r="151" ht="24" customHeight="1">
      <c r="A151" s="32" t="inlineStr">
        <is>
          <t>보통인부</t>
        </is>
      </c>
      <c r="B151" s="15" t="n"/>
      <c r="C151" s="15" t="n"/>
      <c r="D151" s="15" t="n"/>
      <c r="E151" s="19" t="inlineStr">
        <is>
          <t>인</t>
        </is>
      </c>
      <c r="F151" s="15" t="n"/>
      <c r="G151" s="46" t="n">
        <v>2</v>
      </c>
      <c r="H151" s="15" t="n"/>
      <c r="I151" s="29" t="n"/>
      <c r="J151" s="15" t="n"/>
      <c r="K151" s="15" t="n"/>
      <c r="L151" s="15" t="n"/>
    </row>
    <row r="152" ht="24" customHeight="1">
      <c r="A152" s="30" t="inlineStr">
        <is>
          <t>계</t>
        </is>
      </c>
      <c r="B152" s="15" t="n"/>
      <c r="C152" s="15" t="n"/>
      <c r="D152" s="15" t="n"/>
      <c r="E152" s="30" t="inlineStr">
        <is>
          <t>인</t>
        </is>
      </c>
      <c r="F152" s="15" t="n"/>
      <c r="G152" s="47">
        <f>IF(SUM(G149,G150,G151)=0,"",SUM(G149,G150,G151))</f>
        <v/>
      </c>
      <c r="H152" s="15" t="n"/>
      <c r="I152" s="30" t="inlineStr"/>
      <c r="J152" s="15" t="n"/>
      <c r="K152" s="15" t="n"/>
      <c r="L152" s="15" t="n"/>
    </row>
    <row r="154" ht="19.5" customHeight="1">
      <c r="A154" s="8" t="inlineStr">
        <is>
          <t>이 시트는 작성 예시입니다.</t>
        </is>
      </c>
    </row>
  </sheetData>
  <mergeCells count="278">
    <mergeCell ref="A150:D150"/>
    <mergeCell ref="C123:L123"/>
    <mergeCell ref="C23:L23"/>
    <mergeCell ref="A37:C37"/>
    <mergeCell ref="A73:B73"/>
    <mergeCell ref="A137:L137"/>
    <mergeCell ref="D41:I41"/>
    <mergeCell ref="A46:L46"/>
    <mergeCell ref="C91:L91"/>
    <mergeCell ref="I109:L109"/>
    <mergeCell ref="A136:C136"/>
    <mergeCell ref="A88:B88"/>
    <mergeCell ref="B115:L115"/>
    <mergeCell ref="A152:D152"/>
    <mergeCell ref="A105:L105"/>
    <mergeCell ref="A145:L145"/>
    <mergeCell ref="A139:L139"/>
    <mergeCell ref="D43:I43"/>
    <mergeCell ref="A113:L113"/>
    <mergeCell ref="E51:F51"/>
    <mergeCell ref="B12:L12"/>
    <mergeCell ref="B21:L21"/>
    <mergeCell ref="A71:L71"/>
    <mergeCell ref="A90:B90"/>
    <mergeCell ref="D146:I146"/>
    <mergeCell ref="C77:L77"/>
    <mergeCell ref="C34:L34"/>
    <mergeCell ref="A74:B74"/>
    <mergeCell ref="A51:D51"/>
    <mergeCell ref="B14:L14"/>
    <mergeCell ref="A27:B27"/>
    <mergeCell ref="C86:L86"/>
    <mergeCell ref="A43:C43"/>
    <mergeCell ref="A107:D107"/>
    <mergeCell ref="J142:L142"/>
    <mergeCell ref="C74:L74"/>
    <mergeCell ref="E148:F148"/>
    <mergeCell ref="A70:D70"/>
    <mergeCell ref="G148:H148"/>
    <mergeCell ref="B13:L13"/>
    <mergeCell ref="A63:L63"/>
    <mergeCell ref="A33:B33"/>
    <mergeCell ref="A76:B76"/>
    <mergeCell ref="I106:L106"/>
    <mergeCell ref="E49:F49"/>
    <mergeCell ref="A85:B85"/>
    <mergeCell ref="B87:L87"/>
    <mergeCell ref="A93:L93"/>
    <mergeCell ref="J39:L39"/>
    <mergeCell ref="G108:H108"/>
    <mergeCell ref="C128:L128"/>
    <mergeCell ref="J144:L144"/>
    <mergeCell ref="C85:L85"/>
    <mergeCell ref="A130:L130"/>
    <mergeCell ref="G110:H110"/>
    <mergeCell ref="A22:B22"/>
    <mergeCell ref="D100:I100"/>
    <mergeCell ref="A35:B35"/>
    <mergeCell ref="A108:D108"/>
    <mergeCell ref="D19:L19"/>
    <mergeCell ref="A138:C138"/>
    <mergeCell ref="C75:L75"/>
    <mergeCell ref="C84:L84"/>
    <mergeCell ref="C22:L22"/>
    <mergeCell ref="I53:L53"/>
    <mergeCell ref="B64:L64"/>
    <mergeCell ref="C127:L127"/>
    <mergeCell ref="A149:D149"/>
    <mergeCell ref="A28:B28"/>
    <mergeCell ref="A36:L36"/>
    <mergeCell ref="J136:L136"/>
    <mergeCell ref="D45:I45"/>
    <mergeCell ref="A6:L6"/>
    <mergeCell ref="E53:F53"/>
    <mergeCell ref="I68:L68"/>
    <mergeCell ref="B114:L114"/>
    <mergeCell ref="G149:H149"/>
    <mergeCell ref="I52:L52"/>
    <mergeCell ref="A53:D53"/>
    <mergeCell ref="I110:L110"/>
    <mergeCell ref="D136:I136"/>
    <mergeCell ref="G151:H151"/>
    <mergeCell ref="C32:L32"/>
    <mergeCell ref="A3:L3"/>
    <mergeCell ref="C81:L81"/>
    <mergeCell ref="A120:L120"/>
    <mergeCell ref="C125:L125"/>
    <mergeCell ref="B131:L131"/>
    <mergeCell ref="A104:C104"/>
    <mergeCell ref="A95:L95"/>
    <mergeCell ref="J41:L41"/>
    <mergeCell ref="I149:L149"/>
    <mergeCell ref="A128:B128"/>
    <mergeCell ref="B11:L11"/>
    <mergeCell ref="B117:L117"/>
    <mergeCell ref="A89:B89"/>
    <mergeCell ref="A97:L97"/>
    <mergeCell ref="I108:L108"/>
    <mergeCell ref="J43:L43"/>
    <mergeCell ref="C24:L24"/>
    <mergeCell ref="E67:H67"/>
    <mergeCell ref="B61:L61"/>
    <mergeCell ref="C33:L33"/>
    <mergeCell ref="C89:L89"/>
    <mergeCell ref="A96:C96"/>
    <mergeCell ref="G49:H49"/>
    <mergeCell ref="A38:L38"/>
    <mergeCell ref="B132:L132"/>
    <mergeCell ref="A147:L147"/>
    <mergeCell ref="B119:L119"/>
    <mergeCell ref="I151:L151"/>
    <mergeCell ref="I70:L70"/>
    <mergeCell ref="C73:L73"/>
    <mergeCell ref="C88:L88"/>
    <mergeCell ref="A129:B129"/>
    <mergeCell ref="C35:L35"/>
    <mergeCell ref="A40:L40"/>
    <mergeCell ref="E110:F110"/>
    <mergeCell ref="A91:B91"/>
    <mergeCell ref="C25:L25"/>
    <mergeCell ref="B118:L118"/>
    <mergeCell ref="D138:I138"/>
    <mergeCell ref="A60:L60"/>
    <mergeCell ref="J37:L37"/>
    <mergeCell ref="B55:L55"/>
    <mergeCell ref="D140:I140"/>
    <mergeCell ref="A146:C146"/>
    <mergeCell ref="A16:C16"/>
    <mergeCell ref="A34:B34"/>
    <mergeCell ref="A77:B77"/>
    <mergeCell ref="B79:L79"/>
    <mergeCell ref="E50:F50"/>
    <mergeCell ref="A83:B83"/>
    <mergeCell ref="B26:L26"/>
    <mergeCell ref="A92:B92"/>
    <mergeCell ref="I107:L107"/>
    <mergeCell ref="J98:L98"/>
    <mergeCell ref="I148:L148"/>
    <mergeCell ref="E151:F151"/>
    <mergeCell ref="B72:L72"/>
    <mergeCell ref="B134:L134"/>
    <mergeCell ref="A109:D109"/>
    <mergeCell ref="A18:C18"/>
    <mergeCell ref="A52:D52"/>
    <mergeCell ref="A66:L66"/>
    <mergeCell ref="D17:L17"/>
    <mergeCell ref="E52:F52"/>
    <mergeCell ref="B121:L121"/>
    <mergeCell ref="C122:L122"/>
    <mergeCell ref="E150:F150"/>
    <mergeCell ref="J104:L104"/>
    <mergeCell ref="B56:L56"/>
    <mergeCell ref="C28:L28"/>
    <mergeCell ref="A68:D68"/>
    <mergeCell ref="A78:B78"/>
    <mergeCell ref="E107:F107"/>
    <mergeCell ref="A42:L42"/>
    <mergeCell ref="A47:C47"/>
    <mergeCell ref="I69:L69"/>
    <mergeCell ref="C78:L78"/>
    <mergeCell ref="E152:F152"/>
    <mergeCell ref="A75:B75"/>
    <mergeCell ref="C92:L92"/>
    <mergeCell ref="A141:L141"/>
    <mergeCell ref="A144:C144"/>
    <mergeCell ref="J47:L47"/>
    <mergeCell ref="E68:H68"/>
    <mergeCell ref="A80:B80"/>
    <mergeCell ref="A49:D49"/>
    <mergeCell ref="J96:L96"/>
    <mergeCell ref="A135:L135"/>
    <mergeCell ref="E149:F149"/>
    <mergeCell ref="B57:L57"/>
    <mergeCell ref="A20:L20"/>
    <mergeCell ref="G152:H152"/>
    <mergeCell ref="D142:I142"/>
    <mergeCell ref="A112:L112"/>
    <mergeCell ref="D98:I98"/>
    <mergeCell ref="A69:D69"/>
    <mergeCell ref="E108:F108"/>
    <mergeCell ref="J138:L138"/>
    <mergeCell ref="A32:B32"/>
    <mergeCell ref="A44:L44"/>
    <mergeCell ref="D144:I144"/>
    <mergeCell ref="A23:B23"/>
    <mergeCell ref="I150:L150"/>
    <mergeCell ref="B9:L9"/>
    <mergeCell ref="A59:L59"/>
    <mergeCell ref="G51:H51"/>
    <mergeCell ref="A98:C98"/>
    <mergeCell ref="A15:L15"/>
    <mergeCell ref="C124:L124"/>
    <mergeCell ref="B126:L126"/>
    <mergeCell ref="B30:L30"/>
    <mergeCell ref="A1:F1"/>
    <mergeCell ref="J102:L102"/>
    <mergeCell ref="J146:L146"/>
    <mergeCell ref="I152:L152"/>
    <mergeCell ref="C90:L90"/>
    <mergeCell ref="B133:L133"/>
    <mergeCell ref="G50:H50"/>
    <mergeCell ref="G106:H106"/>
    <mergeCell ref="C27:L27"/>
    <mergeCell ref="C76:L76"/>
    <mergeCell ref="A54:L54"/>
    <mergeCell ref="A24:B24"/>
    <mergeCell ref="A41:C41"/>
    <mergeCell ref="A7:L7"/>
    <mergeCell ref="E70:H70"/>
    <mergeCell ref="G52:H52"/>
    <mergeCell ref="A106:D106"/>
    <mergeCell ref="B62:L62"/>
    <mergeCell ref="E106:F106"/>
    <mergeCell ref="A99:L99"/>
    <mergeCell ref="J45:L45"/>
    <mergeCell ref="I51:L51"/>
    <mergeCell ref="A123:B123"/>
    <mergeCell ref="G107:H107"/>
    <mergeCell ref="A154:L154"/>
    <mergeCell ref="A124:B124"/>
    <mergeCell ref="D16:L16"/>
    <mergeCell ref="J100:L100"/>
    <mergeCell ref="D47:I47"/>
    <mergeCell ref="J94:L94"/>
    <mergeCell ref="I50:L50"/>
    <mergeCell ref="A101:L101"/>
    <mergeCell ref="A67:D67"/>
    <mergeCell ref="A25:B25"/>
    <mergeCell ref="D37:I37"/>
    <mergeCell ref="D102:I102"/>
    <mergeCell ref="A116:L116"/>
    <mergeCell ref="A17:C17"/>
    <mergeCell ref="D18:L18"/>
    <mergeCell ref="A84:B84"/>
    <mergeCell ref="G53:H53"/>
    <mergeCell ref="C83:L83"/>
    <mergeCell ref="A100:C100"/>
    <mergeCell ref="A140:C140"/>
    <mergeCell ref="A148:D148"/>
    <mergeCell ref="I49:L49"/>
    <mergeCell ref="D39:I39"/>
    <mergeCell ref="B8:L8"/>
    <mergeCell ref="G1:L1"/>
    <mergeCell ref="A110:D110"/>
    <mergeCell ref="A19:C19"/>
    <mergeCell ref="A10:L10"/>
    <mergeCell ref="A86:B86"/>
    <mergeCell ref="A102:C102"/>
    <mergeCell ref="B82:L82"/>
    <mergeCell ref="D94:I94"/>
    <mergeCell ref="C29:L29"/>
    <mergeCell ref="A39:C39"/>
    <mergeCell ref="A143:L143"/>
    <mergeCell ref="A122:B122"/>
    <mergeCell ref="A48:L48"/>
    <mergeCell ref="B65:L65"/>
    <mergeCell ref="A125:B125"/>
    <mergeCell ref="A142:C142"/>
    <mergeCell ref="C31:L31"/>
    <mergeCell ref="A29:B29"/>
    <mergeCell ref="E69:H69"/>
    <mergeCell ref="A45:C45"/>
    <mergeCell ref="C80:L80"/>
    <mergeCell ref="A50:D50"/>
    <mergeCell ref="A81:B81"/>
    <mergeCell ref="A94:C94"/>
    <mergeCell ref="A103:L103"/>
    <mergeCell ref="G109:H109"/>
    <mergeCell ref="C129:L129"/>
    <mergeCell ref="J140:L140"/>
    <mergeCell ref="G150:H150"/>
    <mergeCell ref="A151:D151"/>
    <mergeCell ref="A127:B127"/>
    <mergeCell ref="D96:I96"/>
    <mergeCell ref="A31:B31"/>
    <mergeCell ref="E109:F109"/>
    <mergeCell ref="I67:L67"/>
    <mergeCell ref="D104:I104"/>
  </mergeCells>
  <printOptions horizontalCentered="1"/>
  <pageMargins left="0.6" right="0.6" top="0.6" bottom="0.6" header="0.2" footer="0.2"/>
  <pageSetup orientation="portrait" paperSize="9" fitToHeight="0" fitToWidth="1"/>
  <rowBreaks count="5" manualBreakCount="5">
    <brk id="28" min="0" max="16383" man="1"/>
    <brk id="57" min="0" max="16383" man="1"/>
    <brk id="85" min="0" max="16383" man="1"/>
    <brk id="115" min="0" max="16383" man="1"/>
    <brk id="134" min="0" max="16383" man="1"/>
  </rowBreaks>
</worksheet>
</file>

<file path=xl/worksheets/sheet9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AO24"/>
  <sheetViews>
    <sheetView showGridLines="0" zoomScale="100" workbookViewId="0">
      <selection activeCell="A1" sqref="A1"/>
    </sheetView>
  </sheetViews>
  <sheetFormatPr baseColWidth="8" defaultRowHeight="15"/>
  <cols>
    <col width="20" customWidth="1" min="1" max="1"/>
    <col width="8.5" customWidth="1" min="2" max="2"/>
    <col width="8.5" customWidth="1" min="3" max="3"/>
    <col width="5.5" customWidth="1" min="4" max="4"/>
    <col width="1.9" customWidth="1" min="5" max="5"/>
    <col width="1.9" customWidth="1" min="6" max="6"/>
    <col width="1.9" customWidth="1" min="7" max="7"/>
    <col width="1.9" customWidth="1" min="8" max="8"/>
    <col width="1.9" customWidth="1" min="9" max="9"/>
    <col width="1.9" customWidth="1" min="10" max="10"/>
    <col width="1.9" customWidth="1" min="11" max="11"/>
    <col width="1.9" customWidth="1" min="12" max="12"/>
    <col width="1.9" customWidth="1" min="13" max="13"/>
    <col width="1.9" customWidth="1" min="14" max="14"/>
    <col width="1.9" customWidth="1" min="15" max="15"/>
    <col width="1.9" customWidth="1" min="16" max="16"/>
    <col width="1.9" customWidth="1" min="17" max="17"/>
    <col width="1.9" customWidth="1" min="18" max="18"/>
    <col width="1.9" customWidth="1" min="19" max="19"/>
    <col width="1.9" customWidth="1" min="20" max="20"/>
    <col width="1.9" customWidth="1" min="21" max="21"/>
    <col width="1.9" customWidth="1" min="22" max="22"/>
    <col width="1.9" customWidth="1" min="23" max="23"/>
    <col width="1.9" customWidth="1" min="24" max="24"/>
    <col width="1.9" customWidth="1" min="25" max="25"/>
    <col width="1.9" customWidth="1" min="26" max="26"/>
    <col width="1.9" customWidth="1" min="27" max="27"/>
    <col width="1.9" customWidth="1" min="28" max="28"/>
    <col width="1.9" customWidth="1" min="29" max="29"/>
    <col width="1.9" customWidth="1" min="30" max="30"/>
    <col width="1.9" customWidth="1" min="31" max="31"/>
    <col width="1.9" customWidth="1" min="32" max="32"/>
    <col width="1.9" customWidth="1" min="33" max="33"/>
    <col width="1.9" customWidth="1" min="34" max="34"/>
    <col width="1.9" customWidth="1" min="35" max="35"/>
    <col width="1.9" customWidth="1" min="36" max="36"/>
    <col width="1.9" customWidth="1" min="37" max="37"/>
    <col width="1.9" customWidth="1" min="38" max="38"/>
    <col width="1.9" customWidth="1" min="39" max="39"/>
    <col width="1.9" customWidth="1" min="40" max="40"/>
    <col width="7" customWidth="1" min="41" max="41"/>
  </cols>
  <sheetData>
    <row r="1" ht="20" customHeight="1">
      <c r="A1" s="1" t="inlineStr">
        <is>
          <t xml:space="preserve">  K-건설맵  |  k-conmap.com  건설 서식</t>
        </is>
      </c>
      <c r="N1" s="58" t="inlineStr">
        <is>
          <t xml:space="preserve">작성 예시 (가상의 현장)  </t>
        </is>
      </c>
    </row>
    <row r="2" ht="34" customHeight="1">
      <c r="A2" s="48" t="inlineStr">
        <is>
          <t>7.0   예 정 공 정 표</t>
        </is>
      </c>
    </row>
    <row r="3" ht="22" customHeight="1">
      <c r="A3" s="14" t="inlineStr">
        <is>
          <t>착 공 일</t>
        </is>
      </c>
      <c r="B3" s="49">
        <f>IF(N('예시-개요'!D25)=0,"",'예시-개요'!D25)</f>
        <v/>
      </c>
      <c r="C3" s="15" t="n"/>
      <c r="D3" s="8" t="inlineStr">
        <is>
          <t>※ 착공일은 공사개요에서 따라옵니다. 공종마다 착수 · 완료일을 적으면 반달 칸에 막대가 그려집니다.</t>
        </is>
      </c>
    </row>
    <row r="4" ht="20" customHeight="1">
      <c r="A4" s="25" t="inlineStr">
        <is>
          <t>공    종</t>
        </is>
      </c>
      <c r="B4" s="25" t="inlineStr">
        <is>
          <t>착 수</t>
        </is>
      </c>
      <c r="C4" s="25" t="inlineStr">
        <is>
          <t>완 료</t>
        </is>
      </c>
      <c r="D4" s="25" t="inlineStr">
        <is>
          <t>일 수</t>
        </is>
      </c>
      <c r="E4" s="50">
        <f>IF(N(B3)=0,"",EDATE(DATE(YEAR(B3),MONTH(B3),1),0))</f>
        <v/>
      </c>
      <c r="F4" s="15" t="n"/>
      <c r="G4" s="50">
        <f>IF(N(B3)=0,"",EDATE(DATE(YEAR(B3),MONTH(B3),1),1))</f>
        <v/>
      </c>
      <c r="H4" s="15" t="n"/>
      <c r="I4" s="50">
        <f>IF(N(B3)=0,"",EDATE(DATE(YEAR(B3),MONTH(B3),1),2))</f>
        <v/>
      </c>
      <c r="J4" s="15" t="n"/>
      <c r="K4" s="50">
        <f>IF(N(B3)=0,"",EDATE(DATE(YEAR(B3),MONTH(B3),1),3))</f>
        <v/>
      </c>
      <c r="L4" s="15" t="n"/>
      <c r="M4" s="50">
        <f>IF(N(B3)=0,"",EDATE(DATE(YEAR(B3),MONTH(B3),1),4))</f>
        <v/>
      </c>
      <c r="N4" s="15" t="n"/>
      <c r="O4" s="50">
        <f>IF(N(B3)=0,"",EDATE(DATE(YEAR(B3),MONTH(B3),1),5))</f>
        <v/>
      </c>
      <c r="P4" s="15" t="n"/>
      <c r="Q4" s="50">
        <f>IF(N(B3)=0,"",EDATE(DATE(YEAR(B3),MONTH(B3),1),6))</f>
        <v/>
      </c>
      <c r="R4" s="15" t="n"/>
      <c r="S4" s="50">
        <f>IF(N(B3)=0,"",EDATE(DATE(YEAR(B3),MONTH(B3),1),7))</f>
        <v/>
      </c>
      <c r="T4" s="15" t="n"/>
      <c r="U4" s="50">
        <f>IF(N(B3)=0,"",EDATE(DATE(YEAR(B3),MONTH(B3),1),8))</f>
        <v/>
      </c>
      <c r="V4" s="15" t="n"/>
      <c r="W4" s="50">
        <f>IF(N(B3)=0,"",EDATE(DATE(YEAR(B3),MONTH(B3),1),9))</f>
        <v/>
      </c>
      <c r="X4" s="15" t="n"/>
      <c r="Y4" s="50">
        <f>IF(N(B3)=0,"",EDATE(DATE(YEAR(B3),MONTH(B3),1),10))</f>
        <v/>
      </c>
      <c r="Z4" s="15" t="n"/>
      <c r="AA4" s="50">
        <f>IF(N(B3)=0,"",EDATE(DATE(YEAR(B3),MONTH(B3),1),11))</f>
        <v/>
      </c>
      <c r="AB4" s="15" t="n"/>
      <c r="AC4" s="50">
        <f>IF(N(B3)=0,"",EDATE(DATE(YEAR(B3),MONTH(B3),1),12))</f>
        <v/>
      </c>
      <c r="AD4" s="15" t="n"/>
      <c r="AE4" s="50">
        <f>IF(N(B3)=0,"",EDATE(DATE(YEAR(B3),MONTH(B3),1),13))</f>
        <v/>
      </c>
      <c r="AF4" s="15" t="n"/>
      <c r="AG4" s="50">
        <f>IF(N(B3)=0,"",EDATE(DATE(YEAR(B3),MONTH(B3),1),14))</f>
        <v/>
      </c>
      <c r="AH4" s="15" t="n"/>
      <c r="AI4" s="50">
        <f>IF(N(B3)=0,"",EDATE(DATE(YEAR(B3),MONTH(B3),1),15))</f>
        <v/>
      </c>
      <c r="AJ4" s="15" t="n"/>
      <c r="AK4" s="50">
        <f>IF(N(B3)=0,"",EDATE(DATE(YEAR(B3),MONTH(B3),1),16))</f>
        <v/>
      </c>
      <c r="AL4" s="15" t="n"/>
      <c r="AM4" s="50">
        <f>IF(N(B3)=0,"",EDATE(DATE(YEAR(B3),MONTH(B3),1),17))</f>
        <v/>
      </c>
      <c r="AN4" s="15" t="n"/>
      <c r="AO4" s="25" t="inlineStr">
        <is>
          <t>비 고</t>
        </is>
      </c>
    </row>
    <row r="5" ht="15" customHeight="1">
      <c r="A5" s="15" t="n"/>
      <c r="B5" s="15" t="n"/>
      <c r="C5" s="15" t="n"/>
      <c r="D5" s="15" t="n"/>
      <c r="E5" s="51" t="inlineStr">
        <is>
          <t>상</t>
        </is>
      </c>
      <c r="F5" s="51" t="inlineStr">
        <is>
          <t>하</t>
        </is>
      </c>
      <c r="G5" s="51" t="inlineStr">
        <is>
          <t>상</t>
        </is>
      </c>
      <c r="H5" s="51" t="inlineStr">
        <is>
          <t>하</t>
        </is>
      </c>
      <c r="I5" s="51" t="inlineStr">
        <is>
          <t>상</t>
        </is>
      </c>
      <c r="J5" s="51" t="inlineStr">
        <is>
          <t>하</t>
        </is>
      </c>
      <c r="K5" s="51" t="inlineStr">
        <is>
          <t>상</t>
        </is>
      </c>
      <c r="L5" s="51" t="inlineStr">
        <is>
          <t>하</t>
        </is>
      </c>
      <c r="M5" s="51" t="inlineStr">
        <is>
          <t>상</t>
        </is>
      </c>
      <c r="N5" s="51" t="inlineStr">
        <is>
          <t>하</t>
        </is>
      </c>
      <c r="O5" s="51" t="inlineStr">
        <is>
          <t>상</t>
        </is>
      </c>
      <c r="P5" s="51" t="inlineStr">
        <is>
          <t>하</t>
        </is>
      </c>
      <c r="Q5" s="51" t="inlineStr">
        <is>
          <t>상</t>
        </is>
      </c>
      <c r="R5" s="51" t="inlineStr">
        <is>
          <t>하</t>
        </is>
      </c>
      <c r="S5" s="51" t="inlineStr">
        <is>
          <t>상</t>
        </is>
      </c>
      <c r="T5" s="51" t="inlineStr">
        <is>
          <t>하</t>
        </is>
      </c>
      <c r="U5" s="51" t="inlineStr">
        <is>
          <t>상</t>
        </is>
      </c>
      <c r="V5" s="51" t="inlineStr">
        <is>
          <t>하</t>
        </is>
      </c>
      <c r="W5" s="51" t="inlineStr">
        <is>
          <t>상</t>
        </is>
      </c>
      <c r="X5" s="51" t="inlineStr">
        <is>
          <t>하</t>
        </is>
      </c>
      <c r="Y5" s="51" t="inlineStr">
        <is>
          <t>상</t>
        </is>
      </c>
      <c r="Z5" s="51" t="inlineStr">
        <is>
          <t>하</t>
        </is>
      </c>
      <c r="AA5" s="51" t="inlineStr">
        <is>
          <t>상</t>
        </is>
      </c>
      <c r="AB5" s="51" t="inlineStr">
        <is>
          <t>하</t>
        </is>
      </c>
      <c r="AC5" s="51" t="inlineStr">
        <is>
          <t>상</t>
        </is>
      </c>
      <c r="AD5" s="51" t="inlineStr">
        <is>
          <t>하</t>
        </is>
      </c>
      <c r="AE5" s="51" t="inlineStr">
        <is>
          <t>상</t>
        </is>
      </c>
      <c r="AF5" s="51" t="inlineStr">
        <is>
          <t>하</t>
        </is>
      </c>
      <c r="AG5" s="51" t="inlineStr">
        <is>
          <t>상</t>
        </is>
      </c>
      <c r="AH5" s="51" t="inlineStr">
        <is>
          <t>하</t>
        </is>
      </c>
      <c r="AI5" s="51" t="inlineStr">
        <is>
          <t>상</t>
        </is>
      </c>
      <c r="AJ5" s="51" t="inlineStr">
        <is>
          <t>하</t>
        </is>
      </c>
      <c r="AK5" s="51" t="inlineStr">
        <is>
          <t>상</t>
        </is>
      </c>
      <c r="AL5" s="51" t="inlineStr">
        <is>
          <t>하</t>
        </is>
      </c>
      <c r="AM5" s="51" t="inlineStr">
        <is>
          <t>상</t>
        </is>
      </c>
      <c r="AN5" s="51" t="inlineStr">
        <is>
          <t>하</t>
        </is>
      </c>
      <c r="AO5" s="15" t="n"/>
    </row>
    <row r="6" hidden="1" ht="12" customHeight="1">
      <c r="E6" s="52">
        <f>IF(N(B3)=0,"",EDATE(DATE(YEAR(B3),MONTH(B3),1),0))</f>
        <v/>
      </c>
      <c r="F6" s="52">
        <f>IF(N(B3)=0,"",EDATE(DATE(YEAR(B3),MONTH(B3),1),0)+15)</f>
        <v/>
      </c>
      <c r="G6" s="52">
        <f>IF(N(B3)=0,"",EDATE(DATE(YEAR(B3),MONTH(B3),1),1))</f>
        <v/>
      </c>
      <c r="H6" s="52">
        <f>IF(N(B3)=0,"",EDATE(DATE(YEAR(B3),MONTH(B3),1),1)+15)</f>
        <v/>
      </c>
      <c r="I6" s="52">
        <f>IF(N(B3)=0,"",EDATE(DATE(YEAR(B3),MONTH(B3),1),2))</f>
        <v/>
      </c>
      <c r="J6" s="52">
        <f>IF(N(B3)=0,"",EDATE(DATE(YEAR(B3),MONTH(B3),1),2)+15)</f>
        <v/>
      </c>
      <c r="K6" s="52">
        <f>IF(N(B3)=0,"",EDATE(DATE(YEAR(B3),MONTH(B3),1),3))</f>
        <v/>
      </c>
      <c r="L6" s="52">
        <f>IF(N(B3)=0,"",EDATE(DATE(YEAR(B3),MONTH(B3),1),3)+15)</f>
        <v/>
      </c>
      <c r="M6" s="52">
        <f>IF(N(B3)=0,"",EDATE(DATE(YEAR(B3),MONTH(B3),1),4))</f>
        <v/>
      </c>
      <c r="N6" s="52">
        <f>IF(N(B3)=0,"",EDATE(DATE(YEAR(B3),MONTH(B3),1),4)+15)</f>
        <v/>
      </c>
      <c r="O6" s="52">
        <f>IF(N(B3)=0,"",EDATE(DATE(YEAR(B3),MONTH(B3),1),5))</f>
        <v/>
      </c>
      <c r="P6" s="52">
        <f>IF(N(B3)=0,"",EDATE(DATE(YEAR(B3),MONTH(B3),1),5)+15)</f>
        <v/>
      </c>
      <c r="Q6" s="52">
        <f>IF(N(B3)=0,"",EDATE(DATE(YEAR(B3),MONTH(B3),1),6))</f>
        <v/>
      </c>
      <c r="R6" s="52">
        <f>IF(N(B3)=0,"",EDATE(DATE(YEAR(B3),MONTH(B3),1),6)+15)</f>
        <v/>
      </c>
      <c r="S6" s="52">
        <f>IF(N(B3)=0,"",EDATE(DATE(YEAR(B3),MONTH(B3),1),7))</f>
        <v/>
      </c>
      <c r="T6" s="52">
        <f>IF(N(B3)=0,"",EDATE(DATE(YEAR(B3),MONTH(B3),1),7)+15)</f>
        <v/>
      </c>
      <c r="U6" s="52">
        <f>IF(N(B3)=0,"",EDATE(DATE(YEAR(B3),MONTH(B3),1),8))</f>
        <v/>
      </c>
      <c r="V6" s="52">
        <f>IF(N(B3)=0,"",EDATE(DATE(YEAR(B3),MONTH(B3),1),8)+15)</f>
        <v/>
      </c>
      <c r="W6" s="52">
        <f>IF(N(B3)=0,"",EDATE(DATE(YEAR(B3),MONTH(B3),1),9))</f>
        <v/>
      </c>
      <c r="X6" s="52">
        <f>IF(N(B3)=0,"",EDATE(DATE(YEAR(B3),MONTH(B3),1),9)+15)</f>
        <v/>
      </c>
      <c r="Y6" s="52">
        <f>IF(N(B3)=0,"",EDATE(DATE(YEAR(B3),MONTH(B3),1),10))</f>
        <v/>
      </c>
      <c r="Z6" s="52">
        <f>IF(N(B3)=0,"",EDATE(DATE(YEAR(B3),MONTH(B3),1),10)+15)</f>
        <v/>
      </c>
      <c r="AA6" s="52">
        <f>IF(N(B3)=0,"",EDATE(DATE(YEAR(B3),MONTH(B3),1),11))</f>
        <v/>
      </c>
      <c r="AB6" s="52">
        <f>IF(N(B3)=0,"",EDATE(DATE(YEAR(B3),MONTH(B3),1),11)+15)</f>
        <v/>
      </c>
      <c r="AC6" s="52">
        <f>IF(N(B3)=0,"",EDATE(DATE(YEAR(B3),MONTH(B3),1),12))</f>
        <v/>
      </c>
      <c r="AD6" s="52">
        <f>IF(N(B3)=0,"",EDATE(DATE(YEAR(B3),MONTH(B3),1),12)+15)</f>
        <v/>
      </c>
      <c r="AE6" s="52">
        <f>IF(N(B3)=0,"",EDATE(DATE(YEAR(B3),MONTH(B3),1),13))</f>
        <v/>
      </c>
      <c r="AF6" s="52">
        <f>IF(N(B3)=0,"",EDATE(DATE(YEAR(B3),MONTH(B3),1),13)+15)</f>
        <v/>
      </c>
      <c r="AG6" s="52">
        <f>IF(N(B3)=0,"",EDATE(DATE(YEAR(B3),MONTH(B3),1),14))</f>
        <v/>
      </c>
      <c r="AH6" s="52">
        <f>IF(N(B3)=0,"",EDATE(DATE(YEAR(B3),MONTH(B3),1),14)+15)</f>
        <v/>
      </c>
      <c r="AI6" s="52">
        <f>IF(N(B3)=0,"",EDATE(DATE(YEAR(B3),MONTH(B3),1),15))</f>
        <v/>
      </c>
      <c r="AJ6" s="52">
        <f>IF(N(B3)=0,"",EDATE(DATE(YEAR(B3),MONTH(B3),1),15)+15)</f>
        <v/>
      </c>
      <c r="AK6" s="52">
        <f>IF(N(B3)=0,"",EDATE(DATE(YEAR(B3),MONTH(B3),1),16))</f>
        <v/>
      </c>
      <c r="AL6" s="52">
        <f>IF(N(B3)=0,"",EDATE(DATE(YEAR(B3),MONTH(B3),1),16)+15)</f>
        <v/>
      </c>
      <c r="AM6" s="52">
        <f>IF(N(B3)=0,"",EDATE(DATE(YEAR(B3),MONTH(B3),1),17))</f>
        <v/>
      </c>
      <c r="AN6" s="52">
        <f>IF(N(B3)=0,"",EDATE(DATE(YEAR(B3),MONTH(B3),1),17)+15)</f>
        <v/>
      </c>
    </row>
    <row r="7" hidden="1" ht="12" customHeight="1">
      <c r="E7" s="52">
        <f>IF(N(B3)=0,"",EDATE(DATE(YEAR(B3),MONTH(B3),1),0)+14)</f>
        <v/>
      </c>
      <c r="F7" s="52">
        <f>IF(N(B3)=0,"",EDATE(DATE(YEAR(B3),MONTH(B3),1),1)-1)</f>
        <v/>
      </c>
      <c r="G7" s="52">
        <f>IF(N(B3)=0,"",EDATE(DATE(YEAR(B3),MONTH(B3),1),1)+14)</f>
        <v/>
      </c>
      <c r="H7" s="52">
        <f>IF(N(B3)=0,"",EDATE(DATE(YEAR(B3),MONTH(B3),1),2)-1)</f>
        <v/>
      </c>
      <c r="I7" s="52">
        <f>IF(N(B3)=0,"",EDATE(DATE(YEAR(B3),MONTH(B3),1),2)+14)</f>
        <v/>
      </c>
      <c r="J7" s="52">
        <f>IF(N(B3)=0,"",EDATE(DATE(YEAR(B3),MONTH(B3),1),3)-1)</f>
        <v/>
      </c>
      <c r="K7" s="52">
        <f>IF(N(B3)=0,"",EDATE(DATE(YEAR(B3),MONTH(B3),1),3)+14)</f>
        <v/>
      </c>
      <c r="L7" s="52">
        <f>IF(N(B3)=0,"",EDATE(DATE(YEAR(B3),MONTH(B3),1),4)-1)</f>
        <v/>
      </c>
      <c r="M7" s="52">
        <f>IF(N(B3)=0,"",EDATE(DATE(YEAR(B3),MONTH(B3),1),4)+14)</f>
        <v/>
      </c>
      <c r="N7" s="52">
        <f>IF(N(B3)=0,"",EDATE(DATE(YEAR(B3),MONTH(B3),1),5)-1)</f>
        <v/>
      </c>
      <c r="O7" s="52">
        <f>IF(N(B3)=0,"",EDATE(DATE(YEAR(B3),MONTH(B3),1),5)+14)</f>
        <v/>
      </c>
      <c r="P7" s="52">
        <f>IF(N(B3)=0,"",EDATE(DATE(YEAR(B3),MONTH(B3),1),6)-1)</f>
        <v/>
      </c>
      <c r="Q7" s="52">
        <f>IF(N(B3)=0,"",EDATE(DATE(YEAR(B3),MONTH(B3),1),6)+14)</f>
        <v/>
      </c>
      <c r="R7" s="52">
        <f>IF(N(B3)=0,"",EDATE(DATE(YEAR(B3),MONTH(B3),1),7)-1)</f>
        <v/>
      </c>
      <c r="S7" s="52">
        <f>IF(N(B3)=0,"",EDATE(DATE(YEAR(B3),MONTH(B3),1),7)+14)</f>
        <v/>
      </c>
      <c r="T7" s="52">
        <f>IF(N(B3)=0,"",EDATE(DATE(YEAR(B3),MONTH(B3),1),8)-1)</f>
        <v/>
      </c>
      <c r="U7" s="52">
        <f>IF(N(B3)=0,"",EDATE(DATE(YEAR(B3),MONTH(B3),1),8)+14)</f>
        <v/>
      </c>
      <c r="V7" s="52">
        <f>IF(N(B3)=0,"",EDATE(DATE(YEAR(B3),MONTH(B3),1),9)-1)</f>
        <v/>
      </c>
      <c r="W7" s="52">
        <f>IF(N(B3)=0,"",EDATE(DATE(YEAR(B3),MONTH(B3),1),9)+14)</f>
        <v/>
      </c>
      <c r="X7" s="52">
        <f>IF(N(B3)=0,"",EDATE(DATE(YEAR(B3),MONTH(B3),1),10)-1)</f>
        <v/>
      </c>
      <c r="Y7" s="52">
        <f>IF(N(B3)=0,"",EDATE(DATE(YEAR(B3),MONTH(B3),1),10)+14)</f>
        <v/>
      </c>
      <c r="Z7" s="52">
        <f>IF(N(B3)=0,"",EDATE(DATE(YEAR(B3),MONTH(B3),1),11)-1)</f>
        <v/>
      </c>
      <c r="AA7" s="52">
        <f>IF(N(B3)=0,"",EDATE(DATE(YEAR(B3),MONTH(B3),1),11)+14)</f>
        <v/>
      </c>
      <c r="AB7" s="52">
        <f>IF(N(B3)=0,"",EDATE(DATE(YEAR(B3),MONTH(B3),1),12)-1)</f>
        <v/>
      </c>
      <c r="AC7" s="52">
        <f>IF(N(B3)=0,"",EDATE(DATE(YEAR(B3),MONTH(B3),1),12)+14)</f>
        <v/>
      </c>
      <c r="AD7" s="52">
        <f>IF(N(B3)=0,"",EDATE(DATE(YEAR(B3),MONTH(B3),1),13)-1)</f>
        <v/>
      </c>
      <c r="AE7" s="52">
        <f>IF(N(B3)=0,"",EDATE(DATE(YEAR(B3),MONTH(B3),1),13)+14)</f>
        <v/>
      </c>
      <c r="AF7" s="52">
        <f>IF(N(B3)=0,"",EDATE(DATE(YEAR(B3),MONTH(B3),1),14)-1)</f>
        <v/>
      </c>
      <c r="AG7" s="52">
        <f>IF(N(B3)=0,"",EDATE(DATE(YEAR(B3),MONTH(B3),1),14)+14)</f>
        <v/>
      </c>
      <c r="AH7" s="52">
        <f>IF(N(B3)=0,"",EDATE(DATE(YEAR(B3),MONTH(B3),1),15)-1)</f>
        <v/>
      </c>
      <c r="AI7" s="52">
        <f>IF(N(B3)=0,"",EDATE(DATE(YEAR(B3),MONTH(B3),1),15)+14)</f>
        <v/>
      </c>
      <c r="AJ7" s="52">
        <f>IF(N(B3)=0,"",EDATE(DATE(YEAR(B3),MONTH(B3),1),16)-1)</f>
        <v/>
      </c>
      <c r="AK7" s="52">
        <f>IF(N(B3)=0,"",EDATE(DATE(YEAR(B3),MONTH(B3),1),16)+14)</f>
        <v/>
      </c>
      <c r="AL7" s="52">
        <f>IF(N(B3)=0,"",EDATE(DATE(YEAR(B3),MONTH(B3),1),17)-1)</f>
        <v/>
      </c>
      <c r="AM7" s="52">
        <f>IF(N(B3)=0,"",EDATE(DATE(YEAR(B3),MONTH(B3),1),17)+14)</f>
        <v/>
      </c>
      <c r="AN7" s="52">
        <f>IF(N(B3)=0,"",EDATE(DATE(YEAR(B3),MONTH(B3),1),18)-1)</f>
        <v/>
      </c>
    </row>
    <row r="8" ht="22" customHeight="1">
      <c r="A8" s="29" t="inlineStr">
        <is>
          <t>바탕처리 · 청소</t>
        </is>
      </c>
      <c r="B8" s="53" t="n">
        <v>46113</v>
      </c>
      <c r="C8" s="53" t="n">
        <v>46132</v>
      </c>
      <c r="D8" s="54">
        <f>IF(OR(N(B8)=0,N(C8)=0),"",IF(C8&lt;B8,"⚠",C8-B8+1))</f>
        <v/>
      </c>
      <c r="E8" s="55" t="inlineStr"/>
      <c r="F8" s="55" t="inlineStr"/>
      <c r="G8" s="55" t="inlineStr"/>
      <c r="H8" s="55" t="inlineStr"/>
      <c r="I8" s="55" t="inlineStr"/>
      <c r="J8" s="55" t="inlineStr"/>
      <c r="K8" s="55" t="inlineStr"/>
      <c r="L8" s="55" t="inlineStr"/>
      <c r="M8" s="55" t="inlineStr"/>
      <c r="N8" s="55" t="inlineStr"/>
      <c r="O8" s="55" t="inlineStr"/>
      <c r="P8" s="55" t="inlineStr"/>
      <c r="Q8" s="55" t="inlineStr"/>
      <c r="R8" s="55" t="inlineStr"/>
      <c r="S8" s="55" t="inlineStr"/>
      <c r="T8" s="55" t="inlineStr"/>
      <c r="U8" s="55" t="inlineStr"/>
      <c r="V8" s="55" t="inlineStr"/>
      <c r="W8" s="55" t="inlineStr"/>
      <c r="X8" s="55" t="inlineStr"/>
      <c r="Y8" s="55" t="inlineStr"/>
      <c r="Z8" s="55" t="inlineStr"/>
      <c r="AA8" s="55" t="inlineStr"/>
      <c r="AB8" s="55" t="inlineStr"/>
      <c r="AC8" s="55" t="inlineStr"/>
      <c r="AD8" s="55" t="inlineStr"/>
      <c r="AE8" s="55" t="inlineStr"/>
      <c r="AF8" s="55" t="inlineStr"/>
      <c r="AG8" s="55" t="inlineStr"/>
      <c r="AH8" s="55" t="inlineStr"/>
      <c r="AI8" s="55" t="inlineStr"/>
      <c r="AJ8" s="55" t="inlineStr"/>
      <c r="AK8" s="55" t="inlineStr"/>
      <c r="AL8" s="55" t="inlineStr"/>
      <c r="AM8" s="55" t="inlineStr"/>
      <c r="AN8" s="55" t="inlineStr"/>
      <c r="AO8" s="56" t="n"/>
    </row>
    <row r="9" ht="22" customHeight="1">
      <c r="A9" s="29" t="inlineStr">
        <is>
          <t>시멘트 액체방수(바닥)</t>
        </is>
      </c>
      <c r="B9" s="53" t="n">
        <v>46128</v>
      </c>
      <c r="C9" s="53" t="n">
        <v>46162</v>
      </c>
      <c r="D9" s="54">
        <f>IF(OR(N(B9)=0,N(C9)=0),"",IF(C9&lt;B9,"⚠",C9-B9+1))</f>
        <v/>
      </c>
      <c r="E9" s="55" t="inlineStr"/>
      <c r="F9" s="55" t="inlineStr"/>
      <c r="G9" s="55" t="inlineStr"/>
      <c r="H9" s="55" t="inlineStr"/>
      <c r="I9" s="55" t="inlineStr"/>
      <c r="J9" s="55" t="inlineStr"/>
      <c r="K9" s="55" t="inlineStr"/>
      <c r="L9" s="55" t="inlineStr"/>
      <c r="M9" s="55" t="inlineStr"/>
      <c r="N9" s="55" t="inlineStr"/>
      <c r="O9" s="55" t="inlineStr"/>
      <c r="P9" s="55" t="inlineStr"/>
      <c r="Q9" s="55" t="inlineStr"/>
      <c r="R9" s="55" t="inlineStr"/>
      <c r="S9" s="55" t="inlineStr"/>
      <c r="T9" s="55" t="inlineStr"/>
      <c r="U9" s="55" t="inlineStr"/>
      <c r="V9" s="55" t="inlineStr"/>
      <c r="W9" s="55" t="inlineStr"/>
      <c r="X9" s="55" t="inlineStr"/>
      <c r="Y9" s="55" t="inlineStr"/>
      <c r="Z9" s="55" t="inlineStr"/>
      <c r="AA9" s="55" t="inlineStr"/>
      <c r="AB9" s="55" t="inlineStr"/>
      <c r="AC9" s="55" t="inlineStr"/>
      <c r="AD9" s="55" t="inlineStr"/>
      <c r="AE9" s="55" t="inlineStr"/>
      <c r="AF9" s="55" t="inlineStr"/>
      <c r="AG9" s="55" t="inlineStr"/>
      <c r="AH9" s="55" t="inlineStr"/>
      <c r="AI9" s="55" t="inlineStr"/>
      <c r="AJ9" s="55" t="inlineStr"/>
      <c r="AK9" s="55" t="inlineStr"/>
      <c r="AL9" s="55" t="inlineStr"/>
      <c r="AM9" s="55" t="inlineStr"/>
      <c r="AN9" s="55" t="inlineStr"/>
      <c r="AO9" s="56" t="n"/>
    </row>
    <row r="10" ht="22" customHeight="1">
      <c r="A10" s="29" t="inlineStr">
        <is>
          <t>시멘트 액체방수(벽)</t>
        </is>
      </c>
      <c r="B10" s="53" t="n">
        <v>46143</v>
      </c>
      <c r="C10" s="53" t="n">
        <v>46173</v>
      </c>
      <c r="D10" s="54">
        <f>IF(OR(N(B10)=0,N(C10)=0),"",IF(C10&lt;B10,"⚠",C10-B10+1))</f>
        <v/>
      </c>
      <c r="E10" s="55" t="inlineStr"/>
      <c r="F10" s="55" t="inlineStr"/>
      <c r="G10" s="55" t="inlineStr"/>
      <c r="H10" s="55" t="inlineStr"/>
      <c r="I10" s="55" t="inlineStr"/>
      <c r="J10" s="55" t="inlineStr"/>
      <c r="K10" s="55" t="inlineStr"/>
      <c r="L10" s="55" t="inlineStr"/>
      <c r="M10" s="55" t="inlineStr"/>
      <c r="N10" s="55" t="inlineStr"/>
      <c r="O10" s="55" t="inlineStr"/>
      <c r="P10" s="55" t="inlineStr"/>
      <c r="Q10" s="55" t="inlineStr"/>
      <c r="R10" s="55" t="inlineStr"/>
      <c r="S10" s="55" t="inlineStr"/>
      <c r="T10" s="55" t="inlineStr"/>
      <c r="U10" s="55" t="inlineStr"/>
      <c r="V10" s="55" t="inlineStr"/>
      <c r="W10" s="55" t="inlineStr"/>
      <c r="X10" s="55" t="inlineStr"/>
      <c r="Y10" s="55" t="inlineStr"/>
      <c r="Z10" s="55" t="inlineStr"/>
      <c r="AA10" s="55" t="inlineStr"/>
      <c r="AB10" s="55" t="inlineStr"/>
      <c r="AC10" s="55" t="inlineStr"/>
      <c r="AD10" s="55" t="inlineStr"/>
      <c r="AE10" s="55" t="inlineStr"/>
      <c r="AF10" s="55" t="inlineStr"/>
      <c r="AG10" s="55" t="inlineStr"/>
      <c r="AH10" s="55" t="inlineStr"/>
      <c r="AI10" s="55" t="inlineStr"/>
      <c r="AJ10" s="55" t="inlineStr"/>
      <c r="AK10" s="55" t="inlineStr"/>
      <c r="AL10" s="55" t="inlineStr"/>
      <c r="AM10" s="55" t="inlineStr"/>
      <c r="AN10" s="55" t="inlineStr"/>
      <c r="AO10" s="56" t="n"/>
    </row>
    <row r="11" ht="22" customHeight="1">
      <c r="A11" s="29" t="inlineStr">
        <is>
          <t>규산질계 침투성방수</t>
        </is>
      </c>
      <c r="B11" s="53" t="n">
        <v>46158</v>
      </c>
      <c r="C11" s="53" t="n">
        <v>46203</v>
      </c>
      <c r="D11" s="54">
        <f>IF(OR(N(B11)=0,N(C11)=0),"",IF(C11&lt;B11,"⚠",C11-B11+1))</f>
        <v/>
      </c>
      <c r="E11" s="55" t="inlineStr"/>
      <c r="F11" s="55" t="inlineStr"/>
      <c r="G11" s="55" t="inlineStr"/>
      <c r="H11" s="55" t="inlineStr"/>
      <c r="I11" s="55" t="inlineStr"/>
      <c r="J11" s="55" t="inlineStr"/>
      <c r="K11" s="55" t="inlineStr"/>
      <c r="L11" s="55" t="inlineStr"/>
      <c r="M11" s="55" t="inlineStr"/>
      <c r="N11" s="55" t="inlineStr"/>
      <c r="O11" s="55" t="inlineStr"/>
      <c r="P11" s="55" t="inlineStr"/>
      <c r="Q11" s="55" t="inlineStr"/>
      <c r="R11" s="55" t="inlineStr"/>
      <c r="S11" s="55" t="inlineStr"/>
      <c r="T11" s="55" t="inlineStr"/>
      <c r="U11" s="55" t="inlineStr"/>
      <c r="V11" s="55" t="inlineStr"/>
      <c r="W11" s="55" t="inlineStr"/>
      <c r="X11" s="55" t="inlineStr"/>
      <c r="Y11" s="55" t="inlineStr"/>
      <c r="Z11" s="55" t="inlineStr"/>
      <c r="AA11" s="55" t="inlineStr"/>
      <c r="AB11" s="55" t="inlineStr"/>
      <c r="AC11" s="55" t="inlineStr"/>
      <c r="AD11" s="55" t="inlineStr"/>
      <c r="AE11" s="55" t="inlineStr"/>
      <c r="AF11" s="55" t="inlineStr"/>
      <c r="AG11" s="55" t="inlineStr"/>
      <c r="AH11" s="55" t="inlineStr"/>
      <c r="AI11" s="55" t="inlineStr"/>
      <c r="AJ11" s="55" t="inlineStr"/>
      <c r="AK11" s="55" t="inlineStr"/>
      <c r="AL11" s="55" t="inlineStr"/>
      <c r="AM11" s="55" t="inlineStr"/>
      <c r="AN11" s="55" t="inlineStr"/>
      <c r="AO11" s="56" t="n"/>
    </row>
    <row r="12" ht="22" customHeight="1">
      <c r="A12" s="29" t="inlineStr">
        <is>
          <t>아스팔트 프라이머 · 보호재</t>
        </is>
      </c>
      <c r="B12" s="53" t="n">
        <v>46174</v>
      </c>
      <c r="C12" s="53" t="n">
        <v>46203</v>
      </c>
      <c r="D12" s="54">
        <f>IF(OR(N(B12)=0,N(C12)=0),"",IF(C12&lt;B12,"⚠",C12-B12+1))</f>
        <v/>
      </c>
      <c r="E12" s="55" t="inlineStr"/>
      <c r="F12" s="55" t="inlineStr"/>
      <c r="G12" s="55" t="inlineStr"/>
      <c r="H12" s="55" t="inlineStr"/>
      <c r="I12" s="55" t="inlineStr"/>
      <c r="J12" s="55" t="inlineStr"/>
      <c r="K12" s="55" t="inlineStr"/>
      <c r="L12" s="55" t="inlineStr"/>
      <c r="M12" s="55" t="inlineStr"/>
      <c r="N12" s="55" t="inlineStr"/>
      <c r="O12" s="55" t="inlineStr"/>
      <c r="P12" s="55" t="inlineStr"/>
      <c r="Q12" s="55" t="inlineStr"/>
      <c r="R12" s="55" t="inlineStr"/>
      <c r="S12" s="55" t="inlineStr"/>
      <c r="T12" s="55" t="inlineStr"/>
      <c r="U12" s="55" t="inlineStr"/>
      <c r="V12" s="55" t="inlineStr"/>
      <c r="W12" s="55" t="inlineStr"/>
      <c r="X12" s="55" t="inlineStr"/>
      <c r="Y12" s="55" t="inlineStr"/>
      <c r="Z12" s="55" t="inlineStr"/>
      <c r="AA12" s="55" t="inlineStr"/>
      <c r="AB12" s="55" t="inlineStr"/>
      <c r="AC12" s="55" t="inlineStr"/>
      <c r="AD12" s="55" t="inlineStr"/>
      <c r="AE12" s="55" t="inlineStr"/>
      <c r="AF12" s="55" t="inlineStr"/>
      <c r="AG12" s="55" t="inlineStr"/>
      <c r="AH12" s="55" t="inlineStr"/>
      <c r="AI12" s="55" t="inlineStr"/>
      <c r="AJ12" s="55" t="inlineStr"/>
      <c r="AK12" s="55" t="inlineStr"/>
      <c r="AL12" s="55" t="inlineStr"/>
      <c r="AM12" s="55" t="inlineStr"/>
      <c r="AN12" s="55" t="inlineStr"/>
      <c r="AO12" s="56" t="n"/>
    </row>
    <row r="13" ht="22" customHeight="1">
      <c r="A13" s="29" t="inlineStr">
        <is>
          <t>담수시험</t>
        </is>
      </c>
      <c r="B13" s="53" t="n">
        <v>46189</v>
      </c>
      <c r="C13" s="53" t="n">
        <v>46218</v>
      </c>
      <c r="D13" s="54">
        <f>IF(OR(N(B13)=0,N(C13)=0),"",IF(C13&lt;B13,"⚠",C13-B13+1))</f>
        <v/>
      </c>
      <c r="E13" s="55" t="inlineStr"/>
      <c r="F13" s="55" t="inlineStr"/>
      <c r="G13" s="55" t="inlineStr"/>
      <c r="H13" s="55" t="inlineStr"/>
      <c r="I13" s="55" t="inlineStr"/>
      <c r="J13" s="55" t="inlineStr"/>
      <c r="K13" s="55" t="inlineStr"/>
      <c r="L13" s="55" t="inlineStr"/>
      <c r="M13" s="55" t="inlineStr"/>
      <c r="N13" s="55" t="inlineStr"/>
      <c r="O13" s="55" t="inlineStr"/>
      <c r="P13" s="55" t="inlineStr"/>
      <c r="Q13" s="55" t="inlineStr"/>
      <c r="R13" s="55" t="inlineStr"/>
      <c r="S13" s="55" t="inlineStr"/>
      <c r="T13" s="55" t="inlineStr"/>
      <c r="U13" s="55" t="inlineStr"/>
      <c r="V13" s="55" t="inlineStr"/>
      <c r="W13" s="55" t="inlineStr"/>
      <c r="X13" s="55" t="inlineStr"/>
      <c r="Y13" s="55" t="inlineStr"/>
      <c r="Z13" s="55" t="inlineStr"/>
      <c r="AA13" s="55" t="inlineStr"/>
      <c r="AB13" s="55" t="inlineStr"/>
      <c r="AC13" s="55" t="inlineStr"/>
      <c r="AD13" s="55" t="inlineStr"/>
      <c r="AE13" s="55" t="inlineStr"/>
      <c r="AF13" s="55" t="inlineStr"/>
      <c r="AG13" s="55" t="inlineStr"/>
      <c r="AH13" s="55" t="inlineStr"/>
      <c r="AI13" s="55" t="inlineStr"/>
      <c r="AJ13" s="55" t="inlineStr"/>
      <c r="AK13" s="55" t="inlineStr"/>
      <c r="AL13" s="55" t="inlineStr"/>
      <c r="AM13" s="55" t="inlineStr"/>
      <c r="AN13" s="55" t="inlineStr"/>
      <c r="AO13" s="56" t="n"/>
    </row>
    <row r="14" ht="22" customHeight="1">
      <c r="A14" s="29" t="inlineStr">
        <is>
          <t>보호몰탈 · 마무리</t>
        </is>
      </c>
      <c r="B14" s="53" t="n">
        <v>46204</v>
      </c>
      <c r="C14" s="53" t="n">
        <v>46234</v>
      </c>
      <c r="D14" s="54">
        <f>IF(OR(N(B14)=0,N(C14)=0),"",IF(C14&lt;B14,"⚠",C14-B14+1))</f>
        <v/>
      </c>
      <c r="E14" s="55" t="inlineStr"/>
      <c r="F14" s="55" t="inlineStr"/>
      <c r="G14" s="55" t="inlineStr"/>
      <c r="H14" s="55" t="inlineStr"/>
      <c r="I14" s="55" t="inlineStr"/>
      <c r="J14" s="55" t="inlineStr"/>
      <c r="K14" s="55" t="inlineStr"/>
      <c r="L14" s="55" t="inlineStr"/>
      <c r="M14" s="55" t="inlineStr"/>
      <c r="N14" s="55" t="inlineStr"/>
      <c r="O14" s="55" t="inlineStr"/>
      <c r="P14" s="55" t="inlineStr"/>
      <c r="Q14" s="55" t="inlineStr"/>
      <c r="R14" s="55" t="inlineStr"/>
      <c r="S14" s="55" t="inlineStr"/>
      <c r="T14" s="55" t="inlineStr"/>
      <c r="U14" s="55" t="inlineStr"/>
      <c r="V14" s="55" t="inlineStr"/>
      <c r="W14" s="55" t="inlineStr"/>
      <c r="X14" s="55" t="inlineStr"/>
      <c r="Y14" s="55" t="inlineStr"/>
      <c r="Z14" s="55" t="inlineStr"/>
      <c r="AA14" s="55" t="inlineStr"/>
      <c r="AB14" s="55" t="inlineStr"/>
      <c r="AC14" s="55" t="inlineStr"/>
      <c r="AD14" s="55" t="inlineStr"/>
      <c r="AE14" s="55" t="inlineStr"/>
      <c r="AF14" s="55" t="inlineStr"/>
      <c r="AG14" s="55" t="inlineStr"/>
      <c r="AH14" s="55" t="inlineStr"/>
      <c r="AI14" s="55" t="inlineStr"/>
      <c r="AJ14" s="55" t="inlineStr"/>
      <c r="AK14" s="55" t="inlineStr"/>
      <c r="AL14" s="55" t="inlineStr"/>
      <c r="AM14" s="55" t="inlineStr"/>
      <c r="AN14" s="55" t="inlineStr"/>
      <c r="AO14" s="56" t="n"/>
    </row>
    <row r="15" ht="22" customHeight="1">
      <c r="A15" s="29" t="inlineStr">
        <is>
          <t>검측 · 정리</t>
        </is>
      </c>
      <c r="B15" s="53" t="n">
        <v>46219</v>
      </c>
      <c r="C15" s="53" t="n">
        <v>46248</v>
      </c>
      <c r="D15" s="54">
        <f>IF(OR(N(B15)=0,N(C15)=0),"",IF(C15&lt;B15,"⚠",C15-B15+1))</f>
        <v/>
      </c>
      <c r="E15" s="55" t="inlineStr"/>
      <c r="F15" s="55" t="inlineStr"/>
      <c r="G15" s="55" t="inlineStr"/>
      <c r="H15" s="55" t="inlineStr"/>
      <c r="I15" s="55" t="inlineStr"/>
      <c r="J15" s="55" t="inlineStr"/>
      <c r="K15" s="55" t="inlineStr"/>
      <c r="L15" s="55" t="inlineStr"/>
      <c r="M15" s="55" t="inlineStr"/>
      <c r="N15" s="55" t="inlineStr"/>
      <c r="O15" s="55" t="inlineStr"/>
      <c r="P15" s="55" t="inlineStr"/>
      <c r="Q15" s="55" t="inlineStr"/>
      <c r="R15" s="55" t="inlineStr"/>
      <c r="S15" s="55" t="inlineStr"/>
      <c r="T15" s="55" t="inlineStr"/>
      <c r="U15" s="55" t="inlineStr"/>
      <c r="V15" s="55" t="inlineStr"/>
      <c r="W15" s="55" t="inlineStr"/>
      <c r="X15" s="55" t="inlineStr"/>
      <c r="Y15" s="55" t="inlineStr"/>
      <c r="Z15" s="55" t="inlineStr"/>
      <c r="AA15" s="55" t="inlineStr"/>
      <c r="AB15" s="55" t="inlineStr"/>
      <c r="AC15" s="55" t="inlineStr"/>
      <c r="AD15" s="55" t="inlineStr"/>
      <c r="AE15" s="55" t="inlineStr"/>
      <c r="AF15" s="55" t="inlineStr"/>
      <c r="AG15" s="55" t="inlineStr"/>
      <c r="AH15" s="55" t="inlineStr"/>
      <c r="AI15" s="55" t="inlineStr"/>
      <c r="AJ15" s="55" t="inlineStr"/>
      <c r="AK15" s="55" t="inlineStr"/>
      <c r="AL15" s="55" t="inlineStr"/>
      <c r="AM15" s="55" t="inlineStr"/>
      <c r="AN15" s="55" t="inlineStr"/>
      <c r="AO15" s="56" t="n"/>
    </row>
    <row r="16" ht="22" customHeight="1">
      <c r="A16" s="29" t="n"/>
      <c r="B16" s="53" t="n"/>
      <c r="C16" s="53" t="n"/>
      <c r="D16" s="54">
        <f>IF(OR(N(B16)=0,N(C16)=0),"",IF(C16&lt;B16,"⚠",C16-B16+1))</f>
        <v/>
      </c>
      <c r="E16" s="55" t="inlineStr"/>
      <c r="F16" s="55" t="inlineStr"/>
      <c r="G16" s="55" t="inlineStr"/>
      <c r="H16" s="55" t="inlineStr"/>
      <c r="I16" s="55" t="inlineStr"/>
      <c r="J16" s="55" t="inlineStr"/>
      <c r="K16" s="55" t="inlineStr"/>
      <c r="L16" s="55" t="inlineStr"/>
      <c r="M16" s="55" t="inlineStr"/>
      <c r="N16" s="55" t="inlineStr"/>
      <c r="O16" s="55" t="inlineStr"/>
      <c r="P16" s="55" t="inlineStr"/>
      <c r="Q16" s="55" t="inlineStr"/>
      <c r="R16" s="55" t="inlineStr"/>
      <c r="S16" s="55" t="inlineStr"/>
      <c r="T16" s="55" t="inlineStr"/>
      <c r="U16" s="55" t="inlineStr"/>
      <c r="V16" s="55" t="inlineStr"/>
      <c r="W16" s="55" t="inlineStr"/>
      <c r="X16" s="55" t="inlineStr"/>
      <c r="Y16" s="55" t="inlineStr"/>
      <c r="Z16" s="55" t="inlineStr"/>
      <c r="AA16" s="55" t="inlineStr"/>
      <c r="AB16" s="55" t="inlineStr"/>
      <c r="AC16" s="55" t="inlineStr"/>
      <c r="AD16" s="55" t="inlineStr"/>
      <c r="AE16" s="55" t="inlineStr"/>
      <c r="AF16" s="55" t="inlineStr"/>
      <c r="AG16" s="55" t="inlineStr"/>
      <c r="AH16" s="55" t="inlineStr"/>
      <c r="AI16" s="55" t="inlineStr"/>
      <c r="AJ16" s="55" t="inlineStr"/>
      <c r="AK16" s="55" t="inlineStr"/>
      <c r="AL16" s="55" t="inlineStr"/>
      <c r="AM16" s="55" t="inlineStr"/>
      <c r="AN16" s="55" t="inlineStr"/>
      <c r="AO16" s="56" t="n"/>
    </row>
    <row r="17" ht="22" customHeight="1">
      <c r="A17" s="29" t="n"/>
      <c r="B17" s="53" t="n"/>
      <c r="C17" s="53" t="n"/>
      <c r="D17" s="54">
        <f>IF(OR(N(B17)=0,N(C17)=0),"",IF(C17&lt;B17,"⚠",C17-B17+1))</f>
        <v/>
      </c>
      <c r="E17" s="55" t="inlineStr"/>
      <c r="F17" s="55" t="inlineStr"/>
      <c r="G17" s="55" t="inlineStr"/>
      <c r="H17" s="55" t="inlineStr"/>
      <c r="I17" s="55" t="inlineStr"/>
      <c r="J17" s="55" t="inlineStr"/>
      <c r="K17" s="55" t="inlineStr"/>
      <c r="L17" s="55" t="inlineStr"/>
      <c r="M17" s="55" t="inlineStr"/>
      <c r="N17" s="55" t="inlineStr"/>
      <c r="O17" s="55" t="inlineStr"/>
      <c r="P17" s="55" t="inlineStr"/>
      <c r="Q17" s="55" t="inlineStr"/>
      <c r="R17" s="55" t="inlineStr"/>
      <c r="S17" s="55" t="inlineStr"/>
      <c r="T17" s="55" t="inlineStr"/>
      <c r="U17" s="55" t="inlineStr"/>
      <c r="V17" s="55" t="inlineStr"/>
      <c r="W17" s="55" t="inlineStr"/>
      <c r="X17" s="55" t="inlineStr"/>
      <c r="Y17" s="55" t="inlineStr"/>
      <c r="Z17" s="55" t="inlineStr"/>
      <c r="AA17" s="55" t="inlineStr"/>
      <c r="AB17" s="55" t="inlineStr"/>
      <c r="AC17" s="55" t="inlineStr"/>
      <c r="AD17" s="55" t="inlineStr"/>
      <c r="AE17" s="55" t="inlineStr"/>
      <c r="AF17" s="55" t="inlineStr"/>
      <c r="AG17" s="55" t="inlineStr"/>
      <c r="AH17" s="55" t="inlineStr"/>
      <c r="AI17" s="55" t="inlineStr"/>
      <c r="AJ17" s="55" t="inlineStr"/>
      <c r="AK17" s="55" t="inlineStr"/>
      <c r="AL17" s="55" t="inlineStr"/>
      <c r="AM17" s="55" t="inlineStr"/>
      <c r="AN17" s="55" t="inlineStr"/>
      <c r="AO17" s="56" t="n"/>
    </row>
    <row r="18" ht="22" customHeight="1">
      <c r="A18" s="29" t="n"/>
      <c r="B18" s="53" t="n"/>
      <c r="C18" s="53" t="n"/>
      <c r="D18" s="54">
        <f>IF(OR(N(B18)=0,N(C18)=0),"",IF(C18&lt;B18,"⚠",C18-B18+1))</f>
        <v/>
      </c>
      <c r="E18" s="55" t="inlineStr"/>
      <c r="F18" s="55" t="inlineStr"/>
      <c r="G18" s="55" t="inlineStr"/>
      <c r="H18" s="55" t="inlineStr"/>
      <c r="I18" s="55" t="inlineStr"/>
      <c r="J18" s="55" t="inlineStr"/>
      <c r="K18" s="55" t="inlineStr"/>
      <c r="L18" s="55" t="inlineStr"/>
      <c r="M18" s="55" t="inlineStr"/>
      <c r="N18" s="55" t="inlineStr"/>
      <c r="O18" s="55" t="inlineStr"/>
      <c r="P18" s="55" t="inlineStr"/>
      <c r="Q18" s="55" t="inlineStr"/>
      <c r="R18" s="55" t="inlineStr"/>
      <c r="S18" s="55" t="inlineStr"/>
      <c r="T18" s="55" t="inlineStr"/>
      <c r="U18" s="55" t="inlineStr"/>
      <c r="V18" s="55" t="inlineStr"/>
      <c r="W18" s="55" t="inlineStr"/>
      <c r="X18" s="55" t="inlineStr"/>
      <c r="Y18" s="55" t="inlineStr"/>
      <c r="Z18" s="55" t="inlineStr"/>
      <c r="AA18" s="55" t="inlineStr"/>
      <c r="AB18" s="55" t="inlineStr"/>
      <c r="AC18" s="55" t="inlineStr"/>
      <c r="AD18" s="55" t="inlineStr"/>
      <c r="AE18" s="55" t="inlineStr"/>
      <c r="AF18" s="55" t="inlineStr"/>
      <c r="AG18" s="55" t="inlineStr"/>
      <c r="AH18" s="55" t="inlineStr"/>
      <c r="AI18" s="55" t="inlineStr"/>
      <c r="AJ18" s="55" t="inlineStr"/>
      <c r="AK18" s="55" t="inlineStr"/>
      <c r="AL18" s="55" t="inlineStr"/>
      <c r="AM18" s="55" t="inlineStr"/>
      <c r="AN18" s="55" t="inlineStr"/>
      <c r="AO18" s="56" t="n"/>
    </row>
    <row r="19" ht="22" customHeight="1">
      <c r="A19" s="29" t="n"/>
      <c r="B19" s="53" t="n"/>
      <c r="C19" s="53" t="n"/>
      <c r="D19" s="54">
        <f>IF(OR(N(B19)=0,N(C19)=0),"",IF(C19&lt;B19,"⚠",C19-B19+1))</f>
        <v/>
      </c>
      <c r="E19" s="55" t="inlineStr"/>
      <c r="F19" s="55" t="inlineStr"/>
      <c r="G19" s="55" t="inlineStr"/>
      <c r="H19" s="55" t="inlineStr"/>
      <c r="I19" s="55" t="inlineStr"/>
      <c r="J19" s="55" t="inlineStr"/>
      <c r="K19" s="55" t="inlineStr"/>
      <c r="L19" s="55" t="inlineStr"/>
      <c r="M19" s="55" t="inlineStr"/>
      <c r="N19" s="55" t="inlineStr"/>
      <c r="O19" s="55" t="inlineStr"/>
      <c r="P19" s="55" t="inlineStr"/>
      <c r="Q19" s="55" t="inlineStr"/>
      <c r="R19" s="55" t="inlineStr"/>
      <c r="S19" s="55" t="inlineStr"/>
      <c r="T19" s="55" t="inlineStr"/>
      <c r="U19" s="55" t="inlineStr"/>
      <c r="V19" s="55" t="inlineStr"/>
      <c r="W19" s="55" t="inlineStr"/>
      <c r="X19" s="55" t="inlineStr"/>
      <c r="Y19" s="55" t="inlineStr"/>
      <c r="Z19" s="55" t="inlineStr"/>
      <c r="AA19" s="55" t="inlineStr"/>
      <c r="AB19" s="55" t="inlineStr"/>
      <c r="AC19" s="55" t="inlineStr"/>
      <c r="AD19" s="55" t="inlineStr"/>
      <c r="AE19" s="55" t="inlineStr"/>
      <c r="AF19" s="55" t="inlineStr"/>
      <c r="AG19" s="55" t="inlineStr"/>
      <c r="AH19" s="55" t="inlineStr"/>
      <c r="AI19" s="55" t="inlineStr"/>
      <c r="AJ19" s="55" t="inlineStr"/>
      <c r="AK19" s="55" t="inlineStr"/>
      <c r="AL19" s="55" t="inlineStr"/>
      <c r="AM19" s="55" t="inlineStr"/>
      <c r="AN19" s="55" t="inlineStr"/>
      <c r="AO19" s="56" t="n"/>
    </row>
    <row r="20" ht="22" customHeight="1">
      <c r="A20" s="29" t="n"/>
      <c r="B20" s="53" t="n"/>
      <c r="C20" s="53" t="n"/>
      <c r="D20" s="54">
        <f>IF(OR(N(B20)=0,N(C20)=0),"",IF(C20&lt;B20,"⚠",C20-B20+1))</f>
        <v/>
      </c>
      <c r="E20" s="55" t="inlineStr"/>
      <c r="F20" s="55" t="inlineStr"/>
      <c r="G20" s="55" t="inlineStr"/>
      <c r="H20" s="55" t="inlineStr"/>
      <c r="I20" s="55" t="inlineStr"/>
      <c r="J20" s="55" t="inlineStr"/>
      <c r="K20" s="55" t="inlineStr"/>
      <c r="L20" s="55" t="inlineStr"/>
      <c r="M20" s="55" t="inlineStr"/>
      <c r="N20" s="55" t="inlineStr"/>
      <c r="O20" s="55" t="inlineStr"/>
      <c r="P20" s="55" t="inlineStr"/>
      <c r="Q20" s="55" t="inlineStr"/>
      <c r="R20" s="55" t="inlineStr"/>
      <c r="S20" s="55" t="inlineStr"/>
      <c r="T20" s="55" t="inlineStr"/>
      <c r="U20" s="55" t="inlineStr"/>
      <c r="V20" s="55" t="inlineStr"/>
      <c r="W20" s="55" t="inlineStr"/>
      <c r="X20" s="55" t="inlineStr"/>
      <c r="Y20" s="55" t="inlineStr"/>
      <c r="Z20" s="55" t="inlineStr"/>
      <c r="AA20" s="55" t="inlineStr"/>
      <c r="AB20" s="55" t="inlineStr"/>
      <c r="AC20" s="55" t="inlineStr"/>
      <c r="AD20" s="55" t="inlineStr"/>
      <c r="AE20" s="55" t="inlineStr"/>
      <c r="AF20" s="55" t="inlineStr"/>
      <c r="AG20" s="55" t="inlineStr"/>
      <c r="AH20" s="55" t="inlineStr"/>
      <c r="AI20" s="55" t="inlineStr"/>
      <c r="AJ20" s="55" t="inlineStr"/>
      <c r="AK20" s="55" t="inlineStr"/>
      <c r="AL20" s="55" t="inlineStr"/>
      <c r="AM20" s="55" t="inlineStr"/>
      <c r="AN20" s="55" t="inlineStr"/>
      <c r="AO20" s="56" t="n"/>
    </row>
    <row r="21" ht="22" customHeight="1">
      <c r="A21" s="29" t="n"/>
      <c r="B21" s="53" t="n"/>
      <c r="C21" s="53" t="n"/>
      <c r="D21" s="54">
        <f>IF(OR(N(B21)=0,N(C21)=0),"",IF(C21&lt;B21,"⚠",C21-B21+1))</f>
        <v/>
      </c>
      <c r="E21" s="55" t="inlineStr"/>
      <c r="F21" s="55" t="inlineStr"/>
      <c r="G21" s="55" t="inlineStr"/>
      <c r="H21" s="55" t="inlineStr"/>
      <c r="I21" s="55" t="inlineStr"/>
      <c r="J21" s="55" t="inlineStr"/>
      <c r="K21" s="55" t="inlineStr"/>
      <c r="L21" s="55" t="inlineStr"/>
      <c r="M21" s="55" t="inlineStr"/>
      <c r="N21" s="55" t="inlineStr"/>
      <c r="O21" s="55" t="inlineStr"/>
      <c r="P21" s="55" t="inlineStr"/>
      <c r="Q21" s="55" t="inlineStr"/>
      <c r="R21" s="55" t="inlineStr"/>
      <c r="S21" s="55" t="inlineStr"/>
      <c r="T21" s="55" t="inlineStr"/>
      <c r="U21" s="55" t="inlineStr"/>
      <c r="V21" s="55" t="inlineStr"/>
      <c r="W21" s="55" t="inlineStr"/>
      <c r="X21" s="55" t="inlineStr"/>
      <c r="Y21" s="55" t="inlineStr"/>
      <c r="Z21" s="55" t="inlineStr"/>
      <c r="AA21" s="55" t="inlineStr"/>
      <c r="AB21" s="55" t="inlineStr"/>
      <c r="AC21" s="55" t="inlineStr"/>
      <c r="AD21" s="55" t="inlineStr"/>
      <c r="AE21" s="55" t="inlineStr"/>
      <c r="AF21" s="55" t="inlineStr"/>
      <c r="AG21" s="55" t="inlineStr"/>
      <c r="AH21" s="55" t="inlineStr"/>
      <c r="AI21" s="55" t="inlineStr"/>
      <c r="AJ21" s="55" t="inlineStr"/>
      <c r="AK21" s="55" t="inlineStr"/>
      <c r="AL21" s="55" t="inlineStr"/>
      <c r="AM21" s="55" t="inlineStr"/>
      <c r="AN21" s="55" t="inlineStr"/>
      <c r="AO21" s="56" t="n"/>
    </row>
    <row r="22" ht="16" customHeight="1">
      <c r="A22" s="8" t="inlineStr">
        <is>
          <t>※ 일수 = 완료 − 착수 + 1. 막대는 반달(1~15일 · 16일~말일) 단위입니다. 공정은 현장 여건 · 날씨에 따라 바뀔 수 있습니다.</t>
        </is>
      </c>
    </row>
    <row r="24" ht="19.5" customHeight="1">
      <c r="A24" s="8" t="inlineStr">
        <is>
          <t>이 시트는 작성 예시입니다(가상의 일정).</t>
        </is>
      </c>
    </row>
  </sheetData>
  <mergeCells count="30">
    <mergeCell ref="W4:X4"/>
    <mergeCell ref="AG4:AH4"/>
    <mergeCell ref="Y4:Z4"/>
    <mergeCell ref="C4:C5"/>
    <mergeCell ref="B3:C3"/>
    <mergeCell ref="N1:AO1"/>
    <mergeCell ref="AK4:AL4"/>
    <mergeCell ref="E4:F4"/>
    <mergeCell ref="A24:AO24"/>
    <mergeCell ref="D4:D5"/>
    <mergeCell ref="AO4:AO5"/>
    <mergeCell ref="O4:P4"/>
    <mergeCell ref="AA4:AB4"/>
    <mergeCell ref="Q4:R4"/>
    <mergeCell ref="AC4:AD4"/>
    <mergeCell ref="AI4:AJ4"/>
    <mergeCell ref="A1:M1"/>
    <mergeCell ref="A4:A5"/>
    <mergeCell ref="AM4:AN4"/>
    <mergeCell ref="G4:H4"/>
    <mergeCell ref="A2:AO2"/>
    <mergeCell ref="I4:J4"/>
    <mergeCell ref="B4:B5"/>
    <mergeCell ref="D3:AO3"/>
    <mergeCell ref="A22:AO22"/>
    <mergeCell ref="K4:L4"/>
    <mergeCell ref="M4:N4"/>
    <mergeCell ref="S4:T4"/>
    <mergeCell ref="AE4:AF4"/>
    <mergeCell ref="U4:V4"/>
  </mergeCells>
  <conditionalFormatting sqref="E8:AN21">
    <cfRule type="expression" priority="1" dxfId="2">
      <formula>AND(N($B8)&gt;0,N($C8)&gt;=N($B8),$B8&lt;=E$7,$C8&gt;=E$6)</formula>
    </cfRule>
  </conditionalFormatting>
  <printOptions horizontalCentered="1"/>
  <pageMargins left="0.35" right="0.35" top="0.45" bottom="0.45" header="0.2" footer="0.2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L81"/>
  <sheetViews>
    <sheetView showGridLines="0" zoomScale="100" workbookViewId="0">
      <selection activeCell="A1" sqref="A1"/>
    </sheetView>
  </sheetViews>
  <sheetFormatPr baseColWidth="8" defaultRowHeight="15"/>
  <cols>
    <col width="7.6" customWidth="1" min="1" max="1"/>
    <col width="7.6" customWidth="1" min="2" max="2"/>
    <col width="7.6" customWidth="1" min="3" max="3"/>
    <col width="7.6" customWidth="1" min="4" max="4"/>
    <col width="7.6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7.6" customWidth="1" min="11" max="11"/>
    <col width="7.6" customWidth="1" min="12" max="12"/>
  </cols>
  <sheetData>
    <row r="1" ht="20" customHeight="1">
      <c r="A1" s="1" t="inlineStr">
        <is>
          <t xml:space="preserve">  K-건설맵  |  k-conmap.com  건설 서식</t>
        </is>
      </c>
      <c r="G1" s="58" t="inlineStr">
        <is>
          <t xml:space="preserve">작성 예시 (가상의 현장)  </t>
        </is>
      </c>
    </row>
    <row r="2" ht="4" customHeight="1"/>
    <row r="3" ht="30" customHeight="1">
      <c r="A3" s="12" t="inlineStr">
        <is>
          <t>8.0   품 질 관 리  계 획</t>
        </is>
      </c>
    </row>
    <row r="4" ht="4" customHeight="1"/>
    <row r="5" ht="3" customHeight="1"/>
    <row r="6" ht="22" customHeight="1">
      <c r="A6" s="37" t="inlineStr">
        <is>
          <t>8-1  품질관리 일반 및 적용범위</t>
        </is>
      </c>
    </row>
    <row r="7" ht="36" customHeight="1">
      <c r="A7" s="39" t="inlineStr">
        <is>
          <t>(1)</t>
        </is>
      </c>
      <c r="B7" s="40" t="inlineStr">
        <is>
          <t>공사 진행 중 필요에 따라 각종 승인도면 · 제작도면 · 제작요령서 등을 작성하여 공사감독자(감리원)의 승인을 받는다.</t>
        </is>
      </c>
    </row>
    <row r="8" ht="36" customHeight="1">
      <c r="A8" s="39" t="inlineStr">
        <is>
          <t>(2)</t>
        </is>
      </c>
      <c r="B8" s="40" t="inlineStr">
        <is>
          <t>공사용 재료는 도면 · 공사시방서 및 공사감독자의 지시에 따라, 쓰기 전에 견본 또는 자료를 제출하여 승인을 받은 뒤 쓴다.</t>
        </is>
      </c>
    </row>
    <row r="9" ht="36" customHeight="1">
      <c r="A9" s="39" t="inlineStr">
        <is>
          <t>(3)</t>
        </is>
      </c>
      <c r="B9" s="40" t="inlineStr">
        <is>
          <t>품질시험은 「건설기술 진흥법」 및 같은 법 시행령 · 시행규칙과 공사시방서에서 정한 바에 따른다.</t>
        </is>
      </c>
    </row>
    <row r="10" ht="3" customHeight="1"/>
    <row r="11" ht="22" customHeight="1">
      <c r="A11" s="37" t="inlineStr">
        <is>
          <t>8-2  공사용 재료의 품질</t>
        </is>
      </c>
    </row>
    <row r="12" ht="36" customHeight="1">
      <c r="A12" s="39" t="inlineStr">
        <is>
          <t>(1)</t>
        </is>
      </c>
      <c r="B12" s="40" t="inlineStr">
        <is>
          <t>설계도면 · 공사시방서 및 공사감독자의 따로 지시가 없으면 시방서에서 정한 품질과 규격에 맞는 재료를 쓴다.</t>
        </is>
      </c>
    </row>
    <row r="13" ht="36" customHeight="1">
      <c r="A13" s="39" t="inlineStr">
        <is>
          <t>(2)</t>
        </is>
      </c>
      <c r="B13" s="40" t="inlineStr">
        <is>
          <t>시방서에 품질 규격이 없으면 한국산업표준(KS) 표시품 또는 이에 준하는 품질과 규격의 재료를 쓴다.</t>
        </is>
      </c>
    </row>
    <row r="14" ht="51.5" customHeight="1">
      <c r="A14" s="39" t="inlineStr">
        <is>
          <t>(3)</t>
        </is>
      </c>
      <c r="B14" s="40" t="inlineStr">
        <is>
          <t>기성품을 포함한 공사용 재료는 현장 반입 전에 자재승인 서류(견본 · 카탈로그 · 시험성적서 등)를 제출하여 승인을 받고, 공사감독자의 지시에 따라 품질을 확인할 수 있는 증빙서류를 낸다.</t>
        </is>
      </c>
    </row>
    <row r="15" ht="36" customHeight="1">
      <c r="A15" s="39" t="inlineStr">
        <is>
          <t>(4)</t>
        </is>
      </c>
      <c r="B15" s="40" t="inlineStr">
        <is>
          <t>재료가 현장에 들어오면 공사감독자의 인수검사를 받고, 합격한 재료는 작업 · 통행에 지장이 없는 곳에 보관하여 수시 점검이 쉽게 한다.</t>
        </is>
      </c>
    </row>
    <row r="16" ht="36" customHeight="1">
      <c r="A16" s="39" t="inlineStr">
        <is>
          <t>(5)</t>
        </is>
      </c>
      <c r="B16" s="40" t="inlineStr">
        <is>
          <t>「건설기술 진흥법」에 규정된 품질시험을 하고, 시험실 규모 · 시험장비 · 시험요원 배치기준에 따라 시험실을 운영한다.</t>
        </is>
      </c>
    </row>
    <row r="17" ht="20.5" customHeight="1">
      <c r="A17" s="39" t="inlineStr">
        <is>
          <t>(6)</t>
        </is>
      </c>
      <c r="B17" s="40" t="inlineStr">
        <is>
          <t>검사 또는 시험에 불합격한 재료는 지체 없이 현장 밖으로 반출한다.</t>
        </is>
      </c>
    </row>
    <row r="18" ht="3" customHeight="1"/>
    <row r="19" ht="22" customHeight="1">
      <c r="A19" s="37" t="inlineStr">
        <is>
          <t>8-3  시공 확인 및 검사</t>
        </is>
      </c>
    </row>
    <row r="20" ht="36" customHeight="1">
      <c r="A20" s="39" t="inlineStr">
        <is>
          <t>(1)</t>
        </is>
      </c>
      <c r="B20" s="40" t="inlineStr">
        <is>
          <t>주요 공사단계가 끝났을 때나 공사감독자가 지시할 때는 시공의 정확성과 품질을 확인받는다.</t>
        </is>
      </c>
    </row>
    <row r="21" ht="20.5" customHeight="1">
      <c r="A21" s="39" t="inlineStr">
        <is>
          <t>(2)</t>
        </is>
      </c>
      <c r="B21" s="40" t="inlineStr">
        <is>
          <t>검사에 필요한 자료 작성 · 측량 등은 검사자의 지시에 따른다.</t>
        </is>
      </c>
    </row>
    <row r="22" ht="3" customHeight="1"/>
    <row r="23" ht="22" customHeight="1">
      <c r="A23" s="37" t="inlineStr">
        <is>
          <t>8-4  자재관리</t>
        </is>
      </c>
    </row>
    <row r="24" ht="20.5" customHeight="1">
      <c r="A24" s="39" t="inlineStr">
        <is>
          <t>(1)</t>
        </is>
      </c>
      <c r="B24" s="40" t="inlineStr">
        <is>
          <t>들어온 자재는 자재수불대장으로 입 · 출고를 관리한다.</t>
        </is>
      </c>
    </row>
    <row r="25" ht="20.5" customHeight="1">
      <c r="A25" s="39" t="inlineStr">
        <is>
          <t>(2)</t>
        </is>
      </c>
      <c r="B25" s="40" t="inlineStr">
        <is>
          <t>자재는 재질별 · 규격별로 나누어 보관한다.</t>
        </is>
      </c>
    </row>
    <row r="26" ht="20.5" customHeight="1">
      <c r="A26" s="39" t="inlineStr">
        <is>
          <t>(3)</t>
        </is>
      </c>
      <c r="B26" s="40" t="inlineStr">
        <is>
          <t>운반 · 야적 때 변형되지 않도록 전용 운반 가설대 또는 전용 야적대를 쓴다.</t>
        </is>
      </c>
    </row>
    <row r="27" ht="36" customHeight="1">
      <c r="A27" s="39" t="inlineStr">
        <is>
          <t>(4)</t>
        </is>
      </c>
      <c r="B27" s="40" t="inlineStr">
        <is>
          <t>반입 자재는 받침목 · 지지목 등으로 지면에서 200mm 이상 띄우고 손상 · 변형 · 침수되지 않게 한다.</t>
        </is>
      </c>
    </row>
    <row r="28" ht="20.5" customHeight="1">
      <c r="A28" s="39" t="inlineStr">
        <is>
          <t>(5)</t>
        </is>
      </c>
      <c r="B28" s="40" t="inlineStr">
        <is>
          <t>변형을 막기 위해 받침목 높이를 맞추고 1단 적재를 기본으로 한다.</t>
        </is>
      </c>
    </row>
    <row r="29" ht="4" customHeight="1"/>
    <row r="30" ht="30" customHeight="1">
      <c r="A30" s="12" t="inlineStr">
        <is>
          <t>9.0   환 경 관 리  계 획</t>
        </is>
      </c>
    </row>
    <row r="31" ht="4" customHeight="1"/>
    <row r="32" ht="3" customHeight="1"/>
    <row r="33" ht="22" customHeight="1">
      <c r="A33" s="37" t="inlineStr">
        <is>
          <t>9-1  개  요</t>
        </is>
      </c>
    </row>
    <row r="34" ht="21.5" customHeight="1">
      <c r="A34" s="57" t="inlineStr">
        <is>
          <t>현장의 폐기물 · 유류 · 쓰레기 및 소음 · 진동 · 비산먼지 등에 의한 오염을 방지한다.</t>
        </is>
      </c>
    </row>
    <row r="35" ht="3" customHeight="1"/>
    <row r="36" ht="22" customHeight="1">
      <c r="A36" s="37" t="inlineStr">
        <is>
          <t>9-2  중점관리 방침</t>
        </is>
      </c>
    </row>
    <row r="37" ht="20.5" customHeight="1">
      <c r="A37" s="39" t="inlineStr">
        <is>
          <t>(1)</t>
        </is>
      </c>
      <c r="B37" s="40" t="inlineStr">
        <is>
          <t>자율적인 환경관리</t>
        </is>
      </c>
    </row>
    <row r="38" ht="20.5" customHeight="1">
      <c r="A38" s="39" t="inlineStr">
        <is>
          <t>(2)</t>
        </is>
      </c>
      <c r="B38" s="40" t="inlineStr">
        <is>
          <t>쾌적한 작업환경 관리</t>
        </is>
      </c>
    </row>
    <row r="39" ht="20.5" customHeight="1">
      <c r="A39" s="39" t="inlineStr">
        <is>
          <t>(3)</t>
        </is>
      </c>
      <c r="B39" s="40" t="inlineStr">
        <is>
          <t>민원 발생 방지</t>
        </is>
      </c>
    </row>
    <row r="40" ht="3" customHeight="1"/>
    <row r="41" ht="22" customHeight="1">
      <c r="A41" s="37" t="inlineStr">
        <is>
          <t>9-3  실시계획</t>
        </is>
      </c>
    </row>
    <row r="42" ht="20.5" customHeight="1">
      <c r="A42" s="39" t="inlineStr">
        <is>
          <t>(1)</t>
        </is>
      </c>
      <c r="B42" s="40" t="inlineStr">
        <is>
          <t>작업 전후 정리정돈 : 작업 전후 정리정돈을 철저히 하여 쾌적한 작업환경을 유지한다.</t>
        </is>
      </c>
    </row>
    <row r="43" ht="36" customHeight="1">
      <c r="A43" s="39" t="inlineStr">
        <is>
          <t>(2)</t>
        </is>
      </c>
      <c r="B43" s="40" t="inlineStr">
        <is>
          <t>분리수거 : 분리수거를 철저히 하고, 방수 작업에서 나온 폐기물(빈 용기 · 잔재 등)은 시공업체 부담으로 적법하게 처리하여 쓰레기를 줄인다.</t>
        </is>
      </c>
    </row>
    <row r="44" ht="36" customHeight="1">
      <c r="A44" s="39" t="inlineStr">
        <is>
          <t>(3)</t>
        </is>
      </c>
      <c r="B44" s="40" t="inlineStr">
        <is>
          <t>민원 발생 억제 : 소음 · 진동 · 비산먼지 · 냄새를 최대한 억제하여 인근 주민의 생활에 피해가 없도록 하고, 적극적으로 환경관리 활동을 한다.</t>
        </is>
      </c>
    </row>
    <row r="45" ht="21" customHeight="1">
      <c r="A45" s="10" t="inlineStr"/>
      <c r="B45" s="38" t="inlineStr">
        <is>
          <t>(4) 환경관리 대책</t>
        </is>
      </c>
    </row>
    <row r="46" ht="20.5" customHeight="1">
      <c r="A46" s="39" t="inlineStr">
        <is>
          <t>①</t>
        </is>
      </c>
      <c r="C46" s="40" t="inlineStr">
        <is>
          <t>쓰레기 처리 : 현장 안은 금연하고 쓰레기 수거함을 둔다.</t>
        </is>
      </c>
    </row>
    <row r="47" ht="36" customHeight="1">
      <c r="A47" s="39" t="inlineStr">
        <is>
          <t>②</t>
        </is>
      </c>
      <c r="C47" s="40" t="inlineStr">
        <is>
          <t>잔재물 · 빈 용기 : 방수재 잔재와 빈 용기(프라이머 · 용제 용기 포함)는 지정된 장소에 모아 두고 지정 업체가 수거하게 한다.</t>
        </is>
      </c>
    </row>
    <row r="48" ht="36" customHeight="1">
      <c r="A48" s="39" t="inlineStr">
        <is>
          <t>③</t>
        </is>
      </c>
      <c r="C48" s="40" t="inlineStr">
        <is>
          <t>비산먼지 : 현장 안 주요 도로와 작업장 주변은 하루 2회 이상 살수차로 살수하고, 장비 이동 때 먼지가 나지 않도록 서행한다.</t>
        </is>
      </c>
    </row>
    <row r="49" ht="4" customHeight="1"/>
    <row r="50" ht="30" customHeight="1">
      <c r="A50" s="12" t="inlineStr">
        <is>
          <t>10.0   안 전 관 리  계 획</t>
        </is>
      </c>
    </row>
    <row r="51" ht="4" customHeight="1"/>
    <row r="52" ht="3" customHeight="1"/>
    <row r="53" ht="22" customHeight="1">
      <c r="A53" s="37" t="inlineStr">
        <is>
          <t>10-1  안전관리 목적</t>
        </is>
      </c>
    </row>
    <row r="54" ht="37" customHeight="1">
      <c r="A54" s="57" t="inlineStr">
        <is>
          <t>공종의 특수성을 고려하여 현장의 위험요소를 미리 없애 사고를 막음으로써 귀중한 인명을 보호하고 재산 손실을 최소화하며, 작업 능률을 높여 계획 공정을 원만히 달성하는 데 목적이 있다.</t>
        </is>
      </c>
    </row>
    <row r="55" ht="3" customHeight="1"/>
    <row r="56" ht="22" customHeight="1">
      <c r="A56" s="37" t="inlineStr">
        <is>
          <t>10-2  현장의 안전관리 방침</t>
        </is>
      </c>
    </row>
    <row r="57" ht="20.5" customHeight="1">
      <c r="A57" s="39" t="inlineStr">
        <is>
          <t>①</t>
        </is>
      </c>
      <c r="B57" s="40" t="inlineStr">
        <is>
          <t>선 안전, 후 시공</t>
        </is>
      </c>
    </row>
    <row r="58" ht="20.5" customHeight="1">
      <c r="A58" s="39" t="inlineStr">
        <is>
          <t>②</t>
        </is>
      </c>
      <c r="B58" s="40" t="inlineStr">
        <is>
          <t>안전교육 내실화로 위험요인 사전 제거</t>
        </is>
      </c>
    </row>
    <row r="59" ht="20.5" customHeight="1">
      <c r="A59" s="39" t="inlineStr">
        <is>
          <t>③</t>
        </is>
      </c>
      <c r="B59" s="40" t="inlineStr">
        <is>
          <t>안전지도 · 점검 강화로 위험요인 사전 제거</t>
        </is>
      </c>
    </row>
    <row r="60" ht="20.5" customHeight="1">
      <c r="A60" s="39" t="inlineStr">
        <is>
          <t>④</t>
        </is>
      </c>
      <c r="B60" s="40" t="inlineStr">
        <is>
          <t>취약 지점 점검 · 보강</t>
        </is>
      </c>
    </row>
    <row r="61" ht="3" customHeight="1"/>
    <row r="62" ht="22" customHeight="1">
      <c r="A62" s="37" t="inlineStr">
        <is>
          <t>10-3  중점 관리 사항</t>
        </is>
      </c>
    </row>
    <row r="63" ht="20.5" customHeight="1">
      <c r="A63" s="39" t="inlineStr">
        <is>
          <t>①</t>
        </is>
      </c>
      <c r="B63" s="40" t="inlineStr">
        <is>
          <t>위험예지 활동 실시</t>
        </is>
      </c>
    </row>
    <row r="64" ht="20.5" customHeight="1">
      <c r="A64" s="39" t="inlineStr">
        <is>
          <t>②</t>
        </is>
      </c>
      <c r="B64" s="40" t="inlineStr">
        <is>
          <t>개인 안전보호구 착용 생활화</t>
        </is>
      </c>
    </row>
    <row r="65" ht="20.5" customHeight="1">
      <c r="A65" s="39" t="inlineStr">
        <is>
          <t>③</t>
        </is>
      </c>
      <c r="B65" s="40" t="inlineStr">
        <is>
          <t>신규 채용자는 특별안전교육 후 투입</t>
        </is>
      </c>
    </row>
    <row r="66" ht="20.5" customHeight="1">
      <c r="A66" s="39" t="inlineStr">
        <is>
          <t>④</t>
        </is>
      </c>
      <c r="B66" s="40" t="inlineStr">
        <is>
          <t>고소 및 위험지역 작업 전후 안전대책 강구</t>
        </is>
      </c>
    </row>
    <row r="67" ht="20.5" customHeight="1">
      <c r="A67" s="39" t="inlineStr">
        <is>
          <t>⑤</t>
        </is>
      </c>
      <c r="B67" s="40" t="inlineStr">
        <is>
          <t>각종 도구 · 시설물 · 보호장구 상태 및 사용 실태 수시 점검</t>
        </is>
      </c>
    </row>
    <row r="68" ht="20.5" customHeight="1">
      <c r="A68" s="39" t="inlineStr">
        <is>
          <t>⑥</t>
        </is>
      </c>
      <c r="B68" s="40" t="inlineStr">
        <is>
          <t>작업장 정리정돈 생활화</t>
        </is>
      </c>
    </row>
    <row r="69" ht="20.5" customHeight="1">
      <c r="A69" s="39" t="inlineStr">
        <is>
          <t>⑦</t>
        </is>
      </c>
      <c r="B69" s="40" t="inlineStr">
        <is>
          <t>관리감독자 순찰 활동 강화</t>
        </is>
      </c>
    </row>
    <row r="70" ht="20.5" customHeight="1">
      <c r="A70" s="39" t="inlineStr">
        <is>
          <t>⑧</t>
        </is>
      </c>
      <c r="B70" s="40" t="inlineStr">
        <is>
          <t>장비의 안전상태 점검</t>
        </is>
      </c>
    </row>
    <row r="71" ht="20.5" customHeight="1">
      <c r="A71" s="39" t="inlineStr">
        <is>
          <t>⑨</t>
        </is>
      </c>
      <c r="B71" s="40" t="inlineStr">
        <is>
          <t>장비 운전원은 유자격자 선임</t>
        </is>
      </c>
    </row>
    <row r="72" ht="3" customHeight="1"/>
    <row r="73" ht="22" customHeight="1">
      <c r="A73" s="37" t="inlineStr">
        <is>
          <t>10-4  방수공사의 안전수칙</t>
        </is>
      </c>
    </row>
    <row r="74" ht="36" customHeight="1">
      <c r="A74" s="39" t="inlineStr">
        <is>
          <t>①</t>
        </is>
      </c>
      <c r="B74" s="40" t="inlineStr">
        <is>
          <t>모든 작업자는 작업 때 안전보호구(안전모 · 안전화 · 보호장갑 · 작업복 등)를 반드시 착용한다.</t>
        </is>
      </c>
    </row>
    <row r="75" ht="36" customHeight="1">
      <c r="A75" s="39" t="inlineStr">
        <is>
          <t>②</t>
        </is>
      </c>
      <c r="B75" s="40" t="inlineStr">
        <is>
          <t>작업 전 장비 안전점검을 반드시 하고, 작업 중에도 중요 부분을 수시로 점검하여 이상이 있으면 예방조치를 한다.</t>
        </is>
      </c>
    </row>
    <row r="76" ht="20.5" customHeight="1">
      <c r="A76" s="39" t="inlineStr">
        <is>
          <t>③</t>
        </is>
      </c>
      <c r="B76" s="40" t="inlineStr">
        <is>
          <t>가동 중인 장비를 두고 자리를 뜨거나 장난 · 한눈팔기를 하지 않는다.</t>
        </is>
      </c>
    </row>
    <row r="77" ht="36" customHeight="1">
      <c r="A77" s="39" t="inlineStr">
        <is>
          <t>④</t>
        </is>
      </c>
      <c r="B77" s="40" t="inlineStr">
        <is>
          <t>기사는 작업자와 주위 사람 · 상황을 정확히 살피고 신호수의 신호에 따라 장비를 움직인다.</t>
        </is>
      </c>
    </row>
    <row r="78" ht="20.5" customHeight="1">
      <c r="A78" s="39" t="inlineStr">
        <is>
          <t>⑤</t>
        </is>
      </c>
      <c r="B78" s="40" t="inlineStr">
        <is>
          <t>높은 곳에서 작업할 때는 반드시 안전대를 착용한다.</t>
        </is>
      </c>
    </row>
    <row r="79" ht="36" customHeight="1">
      <c r="A79" s="39" t="inlineStr">
        <is>
          <t>⑥</t>
        </is>
      </c>
      <c r="B79" s="40" t="inlineStr">
        <is>
          <t>용제형 프라이머 등 인화성 · 유해 재료를 쓸 때는 화기를 금하고 환기를 충분히 하며, 밀폐 공간은 산소 · 유해가스 농도를 측정한 뒤 들어간다.</t>
        </is>
      </c>
    </row>
    <row r="81" ht="19.5" customHeight="1">
      <c r="A81" s="8" t="inlineStr">
        <is>
          <t>이 시트는 작성 예시입니다.</t>
        </is>
      </c>
    </row>
  </sheetData>
  <mergeCells count="67">
    <mergeCell ref="A48:B48"/>
    <mergeCell ref="A54:L54"/>
    <mergeCell ref="B26:L26"/>
    <mergeCell ref="B75:L75"/>
    <mergeCell ref="A41:L41"/>
    <mergeCell ref="B16:L16"/>
    <mergeCell ref="B7:L7"/>
    <mergeCell ref="B25:L25"/>
    <mergeCell ref="C48:L48"/>
    <mergeCell ref="B59:L59"/>
    <mergeCell ref="A56:L56"/>
    <mergeCell ref="B66:L66"/>
    <mergeCell ref="A3:L3"/>
    <mergeCell ref="B27:L27"/>
    <mergeCell ref="A50:L50"/>
    <mergeCell ref="B71:L71"/>
    <mergeCell ref="B43:L43"/>
    <mergeCell ref="B12:L12"/>
    <mergeCell ref="B58:L58"/>
    <mergeCell ref="B70:L70"/>
    <mergeCell ref="B21:L21"/>
    <mergeCell ref="A33:L33"/>
    <mergeCell ref="B39:L39"/>
    <mergeCell ref="B77:L77"/>
    <mergeCell ref="A23:L23"/>
    <mergeCell ref="A46:B46"/>
    <mergeCell ref="B42:L42"/>
    <mergeCell ref="B14:L14"/>
    <mergeCell ref="B60:L60"/>
    <mergeCell ref="B63:L63"/>
    <mergeCell ref="A53:L53"/>
    <mergeCell ref="B17:L17"/>
    <mergeCell ref="B67:L67"/>
    <mergeCell ref="B57:L57"/>
    <mergeCell ref="B8:L8"/>
    <mergeCell ref="A62:L62"/>
    <mergeCell ref="G1:L1"/>
    <mergeCell ref="A81:L81"/>
    <mergeCell ref="B13:L13"/>
    <mergeCell ref="B38:L38"/>
    <mergeCell ref="A19:L19"/>
    <mergeCell ref="B44:L44"/>
    <mergeCell ref="B78:L78"/>
    <mergeCell ref="B69:L69"/>
    <mergeCell ref="A47:B47"/>
    <mergeCell ref="B37:L37"/>
    <mergeCell ref="B28:L28"/>
    <mergeCell ref="C47:L47"/>
    <mergeCell ref="A34:L34"/>
    <mergeCell ref="B9:L9"/>
    <mergeCell ref="A30:L30"/>
    <mergeCell ref="B65:L65"/>
    <mergeCell ref="A73:L73"/>
    <mergeCell ref="B74:L74"/>
    <mergeCell ref="B68:L68"/>
    <mergeCell ref="A11:L11"/>
    <mergeCell ref="B15:L15"/>
    <mergeCell ref="A1:F1"/>
    <mergeCell ref="B64:L64"/>
    <mergeCell ref="B24:L24"/>
    <mergeCell ref="A36:L36"/>
    <mergeCell ref="B20:L20"/>
    <mergeCell ref="A6:L6"/>
    <mergeCell ref="C46:L46"/>
    <mergeCell ref="B76:L76"/>
    <mergeCell ref="B45:L45"/>
    <mergeCell ref="B79:L79"/>
  </mergeCells>
  <printOptions horizontalCentered="1"/>
  <pageMargins left="0.6" right="0.6" top="0.6" bottom="0.6" header="0.2" footer="0.2"/>
  <pageSetup orientation="portrait" paperSize="9" fitToHeight="0" fitToWidth="1"/>
  <rowBreaks count="2" manualBreakCount="2">
    <brk id="28" min="0" max="16383" man="1"/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방수공사 시공계획서</dc:title>
  <dcterms:created xmlns:dcterms="http://purl.org/dc/terms/" xmlns:xsi="http://www.w3.org/2001/XMLSchema-instance" xsi:type="dcterms:W3CDTF">2026-10-17T01:08:56Z</dcterms:created>
  <dcterms:modified xmlns:dcterms="http://purl.org/dc/terms/" xmlns:xsi="http://www.w3.org/2001/XMLSchema-instance" xsi:type="dcterms:W3CDTF">2026-10-17T01:08:57Z</dcterms:modified>
</cp:coreProperties>
</file>