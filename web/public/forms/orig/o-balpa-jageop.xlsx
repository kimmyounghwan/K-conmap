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발파 작업계획서" sheetId="1" state="visible" r:id="rId1"/>
    <sheet xmlns:r="http://schemas.openxmlformats.org/officeDocument/2006/relationships" name="예시-발파 작업계획서" sheetId="2" state="visible" r:id="rId2"/>
  </sheets>
  <definedNames>
    <definedName name="_xlnm.Print_Area" localSheetId="0">'발파 작업계획서'!$A$1:$G$62</definedName>
    <definedName name="_xlnm.Print_Area" localSheetId="1">'예시-발파 작업계획서'!$A$1:$G$62</definedName>
  </definedNames>
  <calcPr calcId="124519" fullCalcOnLoad="1"/>
</workbook>
</file>

<file path=xl/styles.xml><?xml version="1.0" encoding="utf-8"?>
<styleSheet xmlns="http://schemas.openxmlformats.org/spreadsheetml/2006/main">
  <numFmts count="10">
    <numFmt numFmtId="164" formatCode="yyyy&quot;년&quot; m&quot;월&quot; d&quot;일&quot;"/>
    <numFmt numFmtId="165" formatCode="hh:mm"/>
    <numFmt numFmtId="166" formatCode="#,##0&quot; 공&quot;"/>
    <numFmt numFmtId="167" formatCode="0.0#&quot; m&quot;"/>
    <numFmt numFmtId="168" formatCode="0.0##&quot; kg&quot;"/>
    <numFmt numFmtId="169" formatCode="0&quot; 회&quot;"/>
    <numFmt numFmtId="170" formatCode="#,##0.0#&quot; m&quot;"/>
    <numFmt numFmtId="171" formatCode="#,##0.0&quot; kg&quot;"/>
    <numFmt numFmtId="172" formatCode="#,##0&quot; 개&quot;"/>
    <numFmt numFmtId="173" formatCode="yyyy-mm-dd"/>
  </numFmts>
  <fonts count="14">
    <font>
      <name val="Calibri"/>
      <family val="2"/>
      <color theme="1"/>
      <sz val="11"/>
      <scheme val="minor"/>
    </font>
    <font>
      <name val="맑은 고딕"/>
      <b val="1"/>
      <color rgb="000F203F"/>
      <sz val="10"/>
    </font>
    <font>
      <name val="맑은 고딕"/>
      <color rgb="006B7280"/>
      <sz val="8.5"/>
    </font>
    <font>
      <name val="맑은 고딕"/>
      <b val="1"/>
      <color rgb="00111827"/>
      <sz val="20"/>
    </font>
    <font>
      <name val="맑은 고딕"/>
      <b val="1"/>
      <color rgb="001F2937"/>
      <sz val="10"/>
    </font>
    <font>
      <name val="맑은 고딕"/>
      <color rgb="001F2937"/>
      <sz val="10"/>
    </font>
    <font>
      <name val="맑은 고딕"/>
      <color rgb="001F2937"/>
      <sz val="9"/>
    </font>
    <font>
      <name val="맑은 고딕"/>
      <b val="1"/>
      <color rgb="001F2937"/>
      <sz val="12"/>
    </font>
    <font>
      <name val="맑은 고딕"/>
      <color rgb="00000000"/>
      <sz val="10"/>
    </font>
    <font>
      <name val="맑은 고딕"/>
      <color rgb="001F2937"/>
      <sz val="8.5"/>
    </font>
    <font>
      <name val="맑은 고딕"/>
      <color rgb="00000000"/>
      <sz val="9.5"/>
    </font>
    <font>
      <name val="맑은 고딕"/>
      <color rgb="00DC2626"/>
      <sz val="9"/>
    </font>
    <font>
      <name val="맑은 고딕"/>
      <color rgb="001F2937"/>
      <sz val="9.5"/>
    </font>
    <font>
      <name val="맑은 고딕"/>
      <b val="1"/>
      <color rgb="00B45309"/>
      <sz val="9"/>
    </font>
  </fonts>
  <fills count="6">
    <fill>
      <patternFill/>
    </fill>
    <fill>
      <patternFill patternType="gray125"/>
    </fill>
    <fill>
      <patternFill patternType="solid">
        <fgColor rgb="00E8EEF7"/>
      </patternFill>
    </fill>
    <fill>
      <patternFill patternType="solid">
        <fgColor rgb="00FED7AA"/>
      </patternFill>
    </fill>
    <fill>
      <patternFill patternType="solid">
        <fgColor rgb="00D9F99D"/>
      </patternFill>
    </fill>
    <fill>
      <patternFill patternType="solid">
        <fgColor rgb="00EEF4FC"/>
      </patternFill>
    </fill>
  </fills>
  <borders count="2">
    <border>
      <left/>
      <right/>
      <top/>
      <bottom/>
      <diagonal/>
    </border>
    <border>
      <left style="thin">
        <color rgb="005B6573"/>
      </left>
      <right style="thin">
        <color rgb="005B6573"/>
      </right>
      <top style="thin">
        <color rgb="005B6573"/>
      </top>
      <bottom style="thin">
        <color rgb="005B6573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wrapText="1"/>
    </xf>
    <xf numFmtId="164" fontId="8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 wrapText="1"/>
    </xf>
    <xf numFmtId="165" fontId="8" fillId="0" borderId="1" applyAlignment="1" pivotButton="0" quotePrefix="0" xfId="0">
      <alignment horizontal="center" vertical="center" shrinkToFit="1"/>
    </xf>
    <xf numFmtId="0" fontId="9" fillId="0" borderId="0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166" fontId="8" fillId="0" borderId="1" applyAlignment="1" pivotButton="0" quotePrefix="0" xfId="0">
      <alignment horizontal="center" vertical="center" shrinkToFit="1"/>
    </xf>
    <xf numFmtId="0" fontId="0" fillId="0" borderId="1" pivotButton="0" quotePrefix="0" xfId="0"/>
    <xf numFmtId="167" fontId="8" fillId="0" borderId="1" applyAlignment="1" pivotButton="0" quotePrefix="0" xfId="0">
      <alignment horizontal="center" vertical="center" shrinkToFit="1"/>
    </xf>
    <xf numFmtId="168" fontId="8" fillId="0" borderId="1" applyAlignment="1" pivotButton="0" quotePrefix="0" xfId="0">
      <alignment horizontal="center" vertical="center" shrinkToFit="1"/>
    </xf>
    <xf numFmtId="169" fontId="8" fillId="0" borderId="1" applyAlignment="1" pivotButton="0" quotePrefix="0" xfId="0">
      <alignment horizontal="center" vertical="center" shrinkToFit="1"/>
    </xf>
    <xf numFmtId="170" fontId="5" fillId="5" borderId="1" applyAlignment="1" pivotButton="0" quotePrefix="0" xfId="0">
      <alignment horizontal="center" vertical="center" shrinkToFit="1"/>
    </xf>
    <xf numFmtId="171" fontId="4" fillId="5" borderId="1" applyAlignment="1" pivotButton="0" quotePrefix="0" xfId="0">
      <alignment horizontal="center" vertical="center" shrinkToFit="1"/>
    </xf>
    <xf numFmtId="172" fontId="4" fillId="5" borderId="1" applyAlignment="1" pivotButton="0" quotePrefix="0" xfId="0">
      <alignment horizontal="center" vertical="center" shrinkToFit="1"/>
    </xf>
    <xf numFmtId="0" fontId="2" fillId="0" borderId="0" applyAlignment="1" pivotButton="0" quotePrefix="0" xfId="0">
      <alignment horizontal="left" vertical="center" wrapText="1"/>
    </xf>
    <xf numFmtId="0" fontId="10" fillId="0" borderId="1" applyAlignment="1" pivotButton="0" quotePrefix="0" xfId="0">
      <alignment horizontal="left" vertical="center" wrapText="1"/>
    </xf>
    <xf numFmtId="164" fontId="8" fillId="0" borderId="1" applyAlignment="1" pivotButton="0" quotePrefix="0" xfId="0">
      <alignment horizontal="left" vertical="center" wrapText="1"/>
    </xf>
    <xf numFmtId="0" fontId="8" fillId="0" borderId="1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left" vertical="center" wrapText="1"/>
    </xf>
    <xf numFmtId="0" fontId="12" fillId="0" borderId="1" applyAlignment="1" pivotButton="0" quotePrefix="0" xfId="0">
      <alignment horizontal="center" vertical="center" wrapText="1"/>
    </xf>
    <xf numFmtId="0" fontId="13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0</col>
      <colOff>200025</colOff>
      <row>34</row>
      <rowOff>38100</rowOff>
    </from>
    <ext cx="5715000" cy="33528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65"/>
  <sheetViews>
    <sheetView showGridLines="0" zoomScale="100" workbookViewId="0">
      <selection activeCell="A1" sqref="A1"/>
    </sheetView>
  </sheetViews>
  <sheetFormatPr baseColWidth="8" defaultRowHeight="15"/>
  <cols>
    <col width="15" customWidth="1" min="1" max="1"/>
    <col width="12" customWidth="1" min="2" max="2"/>
    <col width="14" customWidth="1" min="3" max="3"/>
    <col width="13" customWidth="1" min="4" max="4"/>
    <col width="14" customWidth="1" min="5" max="5"/>
    <col width="12" customWidth="1" min="6" max="6"/>
    <col width="12" customWidth="1" min="7" max="7"/>
  </cols>
  <sheetData>
    <row r="1" ht="20" customHeight="1">
      <c r="A1" s="1" t="inlineStr">
        <is>
          <t xml:space="preserve">  K-건설맵  |  k-conmap.com  건설 서식</t>
        </is>
      </c>
      <c r="E1" s="2" t="inlineStr">
        <is>
          <t xml:space="preserve">← 이 1행을 지우고 쓰셔도 됩니다  </t>
        </is>
      </c>
    </row>
    <row r="2" ht="20" customHeight="1">
      <c r="A2" s="3" t="inlineStr">
        <is>
          <t>발 파  작 업  계 획 서</t>
        </is>
      </c>
      <c r="E2" s="4" t="inlineStr">
        <is>
          <t>입  안</t>
        </is>
      </c>
      <c r="F2" s="4" t="inlineStr">
        <is>
          <t>심  사</t>
        </is>
      </c>
      <c r="G2" s="4" t="inlineStr">
        <is>
          <t>결  정</t>
        </is>
      </c>
    </row>
    <row r="3" ht="34" customHeight="1">
      <c r="E3" s="5" t="inlineStr"/>
      <c r="F3" s="5" t="inlineStr"/>
      <c r="G3" s="5" t="inlineStr"/>
    </row>
    <row r="4" ht="16" customHeight="1">
      <c r="E4" s="6" t="inlineStr">
        <is>
          <t xml:space="preserve">     /</t>
        </is>
      </c>
      <c r="F4" s="6" t="inlineStr">
        <is>
          <t xml:space="preserve">     /</t>
        </is>
      </c>
      <c r="G4" s="6" t="inlineStr">
        <is>
          <t xml:space="preserve">     /</t>
        </is>
      </c>
    </row>
    <row r="5" ht="6" customHeight="1"/>
    <row r="6" ht="24" customHeight="1">
      <c r="A6" s="7" t="inlineStr">
        <is>
          <t>1. 발파 일시 :</t>
        </is>
      </c>
      <c r="C6" s="8" t="n"/>
      <c r="E6" s="9">
        <f>IF(N(C6)=0,"","("&amp;CHOOSE(WEEKDAY(C6),"일","월","화","수","목","금","토")&amp;")")</f>
        <v/>
      </c>
      <c r="F6" s="10" t="n"/>
      <c r="G6" s="11" t="inlineStr">
        <is>
          <t>(시 : 분)</t>
        </is>
      </c>
    </row>
    <row r="7" ht="4" customHeight="1"/>
    <row r="8" ht="22" customHeight="1">
      <c r="A8" s="7" t="inlineStr">
        <is>
          <t>2. 발파 작업 계획</t>
        </is>
      </c>
    </row>
    <row r="9" ht="24" customHeight="1">
      <c r="A9" s="12" t="inlineStr">
        <is>
          <t>발    파</t>
        </is>
      </c>
      <c r="B9" s="13" t="inlineStr">
        <is>
          <t>천공수</t>
        </is>
      </c>
      <c r="C9" s="14" t="n"/>
      <c r="D9" s="15" t="n"/>
      <c r="E9" s="13" t="inlineStr">
        <is>
          <t>천공심도</t>
        </is>
      </c>
      <c r="F9" s="16" t="n"/>
      <c r="G9" s="15" t="n"/>
    </row>
    <row r="10" ht="24" customHeight="1">
      <c r="A10" s="15" t="n"/>
      <c r="B10" s="13" t="inlineStr">
        <is>
          <t>공 간격</t>
        </is>
      </c>
      <c r="C10" s="16" t="n"/>
      <c r="D10" s="15" t="n"/>
      <c r="E10" s="13" t="inlineStr">
        <is>
          <t>공당장약량</t>
        </is>
      </c>
      <c r="F10" s="17" t="n"/>
      <c r="G10" s="15" t="n"/>
    </row>
    <row r="11" ht="24" customHeight="1">
      <c r="A11" s="15" t="n"/>
      <c r="B11" s="13" t="inlineStr">
        <is>
          <t>발파횟수</t>
        </is>
      </c>
      <c r="C11" s="18" t="n"/>
      <c r="D11" s="15" t="n"/>
      <c r="E11" s="13" t="inlineStr">
        <is>
          <t>천공 연장</t>
        </is>
      </c>
      <c r="F11" s="19">
        <f>IF(OR(N(C9)=0,N(F9)=0),"",C9*F9)</f>
        <v/>
      </c>
      <c r="G11" s="15" t="n"/>
    </row>
    <row r="12" ht="24" customHeight="1">
      <c r="A12" s="12" t="inlineStr">
        <is>
          <t>폭약사용량</t>
        </is>
      </c>
      <c r="B12" s="13" t="inlineStr">
        <is>
          <t>폭    약</t>
        </is>
      </c>
      <c r="C12" s="20">
        <f>IF(OR(N(C9)=0,N(F10)=0),"",ROUND(C9*F10,1))</f>
        <v/>
      </c>
      <c r="D12" s="15" t="n"/>
      <c r="E12" s="13" t="inlineStr">
        <is>
          <t>뇌    관</t>
        </is>
      </c>
      <c r="F12" s="21">
        <f>IF(N(C9)=0,"",C9)</f>
        <v/>
      </c>
      <c r="G12" s="15" t="n"/>
    </row>
    <row r="13" ht="16" customHeight="1">
      <c r="A13" s="22" t="inlineStr">
        <is>
          <t>※ 폭약 = 천공수 × 공당장약량 · 뇌관 = 천공수(한 공에 뇌관 1개 기준 — 다르면 그 칸에 직접 적으세요) · 천공 연장 = 천공수 × 천공심도</t>
        </is>
      </c>
    </row>
    <row r="14" ht="4" customHeight="1"/>
    <row r="15" ht="22" customHeight="1">
      <c r="A15" s="7" t="inlineStr">
        <is>
          <t>3. 화약류 운반</t>
        </is>
      </c>
    </row>
    <row r="16" ht="22" customHeight="1">
      <c r="A16" s="12" t="inlineStr">
        <is>
          <t>시    간</t>
        </is>
      </c>
      <c r="B16" s="23" t="n"/>
      <c r="C16" s="15" t="n"/>
      <c r="D16" s="15" t="n"/>
      <c r="E16" s="15" t="n"/>
      <c r="F16" s="15" t="n"/>
      <c r="G16" s="15" t="n"/>
    </row>
    <row r="17" ht="22" customHeight="1">
      <c r="A17" s="12" t="inlineStr">
        <is>
          <t>책 임 자</t>
        </is>
      </c>
      <c r="B17" s="23" t="n"/>
      <c r="C17" s="15" t="n"/>
      <c r="D17" s="15" t="n"/>
      <c r="E17" s="15" t="n"/>
      <c r="F17" s="15" t="n"/>
      <c r="G17" s="15" t="n"/>
    </row>
    <row r="18" ht="22" customHeight="1">
      <c r="A18" s="12" t="inlineStr">
        <is>
          <t>차량번호</t>
        </is>
      </c>
      <c r="B18" s="23" t="n"/>
      <c r="C18" s="15" t="n"/>
      <c r="D18" s="15" t="n"/>
      <c r="E18" s="15" t="n"/>
      <c r="F18" s="15" t="n"/>
      <c r="G18" s="15" t="n"/>
    </row>
    <row r="19" ht="22" customHeight="1">
      <c r="A19" s="12" t="inlineStr">
        <is>
          <t>경 유 지</t>
        </is>
      </c>
      <c r="B19" s="23" t="n"/>
      <c r="C19" s="15" t="n"/>
      <c r="D19" s="15" t="n"/>
      <c r="E19" s="15" t="n"/>
      <c r="F19" s="15" t="n"/>
      <c r="G19" s="15" t="n"/>
    </row>
    <row r="20" ht="4" customHeight="1"/>
    <row r="21" ht="22" customHeight="1">
      <c r="A21" s="7" t="inlineStr">
        <is>
          <t>4. 발파관리</t>
        </is>
      </c>
    </row>
    <row r="22" ht="22" customHeight="1">
      <c r="A22" s="12" t="inlineStr">
        <is>
          <t>업 체 명</t>
        </is>
      </c>
      <c r="B22" s="23" t="n"/>
      <c r="C22" s="15" t="n"/>
      <c r="D22" s="15" t="n"/>
      <c r="E22" s="15" t="n"/>
      <c r="F22" s="15" t="n"/>
      <c r="G22" s="15" t="n"/>
    </row>
    <row r="23" ht="22" customHeight="1">
      <c r="A23" s="12" t="inlineStr">
        <is>
          <t>관련기술사</t>
        </is>
      </c>
      <c r="B23" s="23" t="n"/>
      <c r="C23" s="15" t="n"/>
      <c r="D23" s="15" t="n"/>
      <c r="E23" s="15" t="n"/>
      <c r="F23" s="15" t="n"/>
      <c r="G23" s="15" t="n"/>
    </row>
    <row r="24" ht="22" customHeight="1">
      <c r="A24" s="12" t="inlineStr">
        <is>
          <t>연 락 처</t>
        </is>
      </c>
      <c r="B24" s="23" t="n"/>
      <c r="C24" s="15" t="n"/>
      <c r="D24" s="15" t="n"/>
      <c r="E24" s="15" t="n"/>
      <c r="F24" s="15" t="n"/>
      <c r="G24" s="15" t="n"/>
    </row>
    <row r="25" ht="4" customHeight="1"/>
    <row r="26" ht="22" customHeight="1">
      <c r="A26" s="7" t="inlineStr">
        <is>
          <t>5. 화약류운반(발파)신고</t>
        </is>
      </c>
    </row>
    <row r="27" ht="22" customHeight="1">
      <c r="A27" s="12" t="inlineStr">
        <is>
          <t>운반신고</t>
        </is>
      </c>
      <c r="B27" s="13" t="inlineStr">
        <is>
          <t>신 고 일</t>
        </is>
      </c>
      <c r="C27" s="24" t="n"/>
      <c r="D27" s="15" t="n"/>
      <c r="E27" s="15" t="n"/>
      <c r="F27" s="15" t="n"/>
      <c r="G27" s="15" t="n"/>
    </row>
    <row r="28" ht="22" customHeight="1">
      <c r="A28" s="15" t="n"/>
      <c r="B28" s="13" t="inlineStr">
        <is>
          <t>신고기한</t>
        </is>
      </c>
      <c r="C28" s="23" t="n"/>
      <c r="D28" s="15" t="n"/>
      <c r="E28" s="15" t="n"/>
      <c r="F28" s="15" t="n"/>
      <c r="G28" s="15" t="n"/>
    </row>
    <row r="29" ht="22" customHeight="1">
      <c r="A29" s="12" t="inlineStr">
        <is>
          <t>발파신고</t>
        </is>
      </c>
      <c r="B29" s="13" t="inlineStr">
        <is>
          <t>신 고 일</t>
        </is>
      </c>
      <c r="C29" s="24" t="n"/>
      <c r="D29" s="15" t="n"/>
      <c r="E29" s="15" t="n"/>
      <c r="F29" s="15" t="n"/>
      <c r="G29" s="15" t="n"/>
    </row>
    <row r="30" ht="22" customHeight="1">
      <c r="A30" s="15" t="n"/>
      <c r="B30" s="13" t="inlineStr">
        <is>
          <t>신고기한</t>
        </is>
      </c>
      <c r="C30" s="23" t="n"/>
      <c r="D30" s="15" t="n"/>
      <c r="E30" s="15" t="n"/>
      <c r="F30" s="15" t="n"/>
      <c r="G30" s="15" t="n"/>
    </row>
    <row r="31" ht="24" customHeight="1">
      <c r="A31" s="13" t="inlineStr">
        <is>
          <t>화약운반(도착)신고기관</t>
        </is>
      </c>
      <c r="B31" s="15" t="n"/>
      <c r="C31" s="25" t="n"/>
      <c r="D31" s="15" t="n"/>
      <c r="E31" s="15" t="n"/>
      <c r="F31" s="15" t="n"/>
      <c r="G31" s="15" t="n"/>
    </row>
    <row r="32" ht="16" customHeight="1">
      <c r="A32" s="26">
        <f>IF(N(C6)=0,"",IF(OR(N(C27)&gt;C6,N(C29)&gt;C6),"⚠ 신고일이 발파일보다 늦습니다 — 날짜를 확인하세요.",""))</f>
        <v/>
      </c>
    </row>
    <row r="33" ht="26" customHeight="1">
      <c r="A33" s="7" t="inlineStr">
        <is>
          <t>6. 현장 발파 관련 책임자 :</t>
        </is>
      </c>
      <c r="C33" s="27" t="n"/>
      <c r="E33" s="28" t="inlineStr">
        <is>
          <t>화약류관리보안책임자 1급</t>
        </is>
      </c>
    </row>
    <row r="34" ht="26" customHeight="1">
      <c r="A34" s="7" t="inlineStr">
        <is>
          <t>7. 발파 위치도 (발파 지역, 신호수 배치, 접근금지 간판 설치 장소 등)</t>
        </is>
      </c>
    </row>
    <row r="35" ht="18" customHeight="1">
      <c r="A35" s="6" t="inlineStr">
        <is>
          <t>(발파 위치도를 붙이는 곳 — 발파 지역 · 경계 반경 · 신호수 배치 · 접근금지 간판 · 대피 장소를 표시)</t>
        </is>
      </c>
      <c r="B35" s="15" t="n"/>
      <c r="C35" s="15" t="n"/>
      <c r="D35" s="15" t="n"/>
      <c r="E35" s="15" t="n"/>
      <c r="F35" s="15" t="n"/>
      <c r="G35" s="15" t="n"/>
    </row>
    <row r="36" ht="18" customHeight="1">
      <c r="A36" s="15" t="n"/>
      <c r="B36" s="15" t="n"/>
      <c r="C36" s="15" t="n"/>
      <c r="D36" s="15" t="n"/>
      <c r="E36" s="15" t="n"/>
      <c r="F36" s="15" t="n"/>
      <c r="G36" s="15" t="n"/>
    </row>
    <row r="37" ht="18" customHeight="1">
      <c r="A37" s="15" t="n"/>
      <c r="B37" s="15" t="n"/>
      <c r="C37" s="15" t="n"/>
      <c r="D37" s="15" t="n"/>
      <c r="E37" s="15" t="n"/>
      <c r="F37" s="15" t="n"/>
      <c r="G37" s="15" t="n"/>
    </row>
    <row r="38" ht="18" customHeight="1">
      <c r="A38" s="15" t="n"/>
      <c r="B38" s="15" t="n"/>
      <c r="C38" s="15" t="n"/>
      <c r="D38" s="15" t="n"/>
      <c r="E38" s="15" t="n"/>
      <c r="F38" s="15" t="n"/>
      <c r="G38" s="15" t="n"/>
    </row>
    <row r="39" ht="18" customHeight="1">
      <c r="A39" s="15" t="n"/>
      <c r="B39" s="15" t="n"/>
      <c r="C39" s="15" t="n"/>
      <c r="D39" s="15" t="n"/>
      <c r="E39" s="15" t="n"/>
      <c r="F39" s="15" t="n"/>
      <c r="G39" s="15" t="n"/>
    </row>
    <row r="40" ht="18" customHeight="1">
      <c r="A40" s="15" t="n"/>
      <c r="B40" s="15" t="n"/>
      <c r="C40" s="15" t="n"/>
      <c r="D40" s="15" t="n"/>
      <c r="E40" s="15" t="n"/>
      <c r="F40" s="15" t="n"/>
      <c r="G40" s="15" t="n"/>
    </row>
    <row r="41" ht="18" customHeight="1">
      <c r="A41" s="15" t="n"/>
      <c r="B41" s="15" t="n"/>
      <c r="C41" s="15" t="n"/>
      <c r="D41" s="15" t="n"/>
      <c r="E41" s="15" t="n"/>
      <c r="F41" s="15" t="n"/>
      <c r="G41" s="15" t="n"/>
    </row>
    <row r="42" ht="18" customHeight="1">
      <c r="A42" s="15" t="n"/>
      <c r="B42" s="15" t="n"/>
      <c r="C42" s="15" t="n"/>
      <c r="D42" s="15" t="n"/>
      <c r="E42" s="15" t="n"/>
      <c r="F42" s="15" t="n"/>
      <c r="G42" s="15" t="n"/>
    </row>
    <row r="43" ht="18" customHeight="1">
      <c r="A43" s="15" t="n"/>
      <c r="B43" s="15" t="n"/>
      <c r="C43" s="15" t="n"/>
      <c r="D43" s="15" t="n"/>
      <c r="E43" s="15" t="n"/>
      <c r="F43" s="15" t="n"/>
      <c r="G43" s="15" t="n"/>
    </row>
    <row r="44" ht="18" customHeight="1">
      <c r="A44" s="15" t="n"/>
      <c r="B44" s="15" t="n"/>
      <c r="C44" s="15" t="n"/>
      <c r="D44" s="15" t="n"/>
      <c r="E44" s="15" t="n"/>
      <c r="F44" s="15" t="n"/>
      <c r="G44" s="15" t="n"/>
    </row>
    <row r="45" ht="18" customHeight="1">
      <c r="A45" s="15" t="n"/>
      <c r="B45" s="15" t="n"/>
      <c r="C45" s="15" t="n"/>
      <c r="D45" s="15" t="n"/>
      <c r="E45" s="15" t="n"/>
      <c r="F45" s="15" t="n"/>
      <c r="G45" s="15" t="n"/>
    </row>
    <row r="46" ht="18" customHeight="1">
      <c r="A46" s="15" t="n"/>
      <c r="B46" s="15" t="n"/>
      <c r="C46" s="15" t="n"/>
      <c r="D46" s="15" t="n"/>
      <c r="E46" s="15" t="n"/>
      <c r="F46" s="15" t="n"/>
      <c r="G46" s="15" t="n"/>
    </row>
    <row r="47" ht="18" customHeight="1">
      <c r="A47" s="15" t="n"/>
      <c r="B47" s="15" t="n"/>
      <c r="C47" s="15" t="n"/>
      <c r="D47" s="15" t="n"/>
      <c r="E47" s="15" t="n"/>
      <c r="F47" s="15" t="n"/>
      <c r="G47" s="15" t="n"/>
    </row>
    <row r="48" ht="18" customHeight="1">
      <c r="A48" s="15" t="n"/>
      <c r="B48" s="15" t="n"/>
      <c r="C48" s="15" t="n"/>
      <c r="D48" s="15" t="n"/>
      <c r="E48" s="15" t="n"/>
      <c r="F48" s="15" t="n"/>
      <c r="G48" s="15" t="n"/>
    </row>
    <row r="49" ht="18" customHeight="1">
      <c r="A49" s="15" t="n"/>
      <c r="B49" s="15" t="n"/>
      <c r="C49" s="15" t="n"/>
      <c r="D49" s="15" t="n"/>
      <c r="E49" s="15" t="n"/>
      <c r="F49" s="15" t="n"/>
      <c r="G49" s="15" t="n"/>
    </row>
    <row r="50" ht="6" customHeight="1"/>
    <row r="51" ht="22" customHeight="1">
      <c r="A51" s="7" t="inlineStr">
        <is>
          <t>8. 작업 방법 및 안전대책</t>
        </is>
      </c>
    </row>
    <row r="52" ht="22" customHeight="1">
      <c r="A52" s="12" t="inlineStr">
        <is>
          <t>작 업 명</t>
        </is>
      </c>
      <c r="B52" s="12" t="inlineStr">
        <is>
          <t>세 부 작 업 내 용</t>
        </is>
      </c>
      <c r="C52" s="15" t="n"/>
      <c r="D52" s="15" t="n"/>
      <c r="E52" s="15" t="n"/>
      <c r="F52" s="15" t="n"/>
      <c r="G52" s="15" t="n"/>
    </row>
    <row r="53" ht="36" customHeight="1">
      <c r="A53" s="29" t="inlineStr">
        <is>
          <t>천공</t>
        </is>
      </c>
      <c r="B53" s="23" t="inlineStr">
        <is>
          <t>암반 노면을 최대한 평탄하게 하여 드릴의 전도사고가 발생하지 않도록 하며, 설계에 맞는 공간격 · 저항선 · 천공장으로 천공한다.</t>
        </is>
      </c>
      <c r="C53" s="15" t="n"/>
      <c r="D53" s="15" t="n"/>
      <c r="E53" s="15" t="n"/>
      <c r="F53" s="15" t="n"/>
      <c r="G53" s="15" t="n"/>
    </row>
    <row r="54" ht="36" customHeight="1">
      <c r="A54" s="29" t="inlineStr">
        <is>
          <t>화약운반</t>
        </is>
      </c>
      <c r="B54" s="23" t="inlineStr">
        <is>
          <t>경찰서에서 화약류 운반필증을 수령한 후 화약고(저장소)로 가서 당일 필요한 화약류를 운반한다.</t>
        </is>
      </c>
      <c r="C54" s="15" t="n"/>
      <c r="D54" s="15" t="n"/>
      <c r="E54" s="15" t="n"/>
      <c r="F54" s="15" t="n"/>
      <c r="G54" s="15" t="n"/>
    </row>
    <row r="55" ht="36" customHeight="1">
      <c r="A55" s="29" t="inlineStr">
        <is>
          <t>장약</t>
        </is>
      </c>
      <c r="B55" s="23" t="inlineStr">
        <is>
          <t>화약과 뇌관으로 전폭약을 만들고, 천공 구멍에 전폭약과 천공장에 알맞은 화약을 장약한다.</t>
        </is>
      </c>
      <c r="C55" s="15" t="n"/>
      <c r="D55" s="15" t="n"/>
      <c r="E55" s="15" t="n"/>
      <c r="F55" s="15" t="n"/>
      <c r="G55" s="15" t="n"/>
    </row>
    <row r="56" ht="24" customHeight="1">
      <c r="A56" s="29" t="inlineStr">
        <is>
          <t>전색</t>
        </is>
      </c>
      <c r="B56" s="23" t="inlineStr">
        <is>
          <t>전색물(메지)로 장약 후 남은 빈 공간을 밀실하게 채우고 다진다.</t>
        </is>
      </c>
      <c r="C56" s="15" t="n"/>
      <c r="D56" s="15" t="n"/>
      <c r="E56" s="15" t="n"/>
      <c r="F56" s="15" t="n"/>
      <c r="G56" s="15" t="n"/>
    </row>
    <row r="57" ht="50" customHeight="1">
      <c r="A57" s="29" t="inlineStr">
        <is>
          <t>발파</t>
        </is>
      </c>
      <c r="B57" s="23" t="inlineStr">
        <is>
          <t>뇌관선을 서로 연결하고 뇌관 누락 · 연결 누락을 확인하기 위해 도통시험을 한 후 발파모선과 뇌관선을 연결한다. 그 후 다시 도통시험을 하고 모선을 발파기에 연결한 후 사이렌 등으로 발파 경고를 한 뒤 발파한다.</t>
        </is>
      </c>
      <c r="C57" s="15" t="n"/>
      <c r="D57" s="15" t="n"/>
      <c r="E57" s="15" t="n"/>
      <c r="F57" s="15" t="n"/>
      <c r="G57" s="15" t="n"/>
    </row>
    <row r="58" ht="36" customHeight="1">
      <c r="A58" s="29" t="inlineStr">
        <is>
          <t>발파결과 확인</t>
        </is>
      </c>
      <c r="B58" s="23" t="inlineStr">
        <is>
          <t>발파 후 15분이 지난 뒤 발파 지역에 들어가 불발 화약과 지반 상태를 확인하고 이상 유무를 판단한 후 후속 공정을 진행한다.</t>
        </is>
      </c>
      <c r="C58" s="15" t="n"/>
      <c r="D58" s="15" t="n"/>
      <c r="E58" s="15" t="n"/>
      <c r="F58" s="15" t="n"/>
      <c r="G58" s="15" t="n"/>
    </row>
    <row r="59" ht="22" customHeight="1">
      <c r="A59" s="12" t="inlineStr">
        <is>
          <t>안 전 대 책</t>
        </is>
      </c>
      <c r="B59" s="12" t="inlineStr">
        <is>
          <t>예 방 대 책</t>
        </is>
      </c>
      <c r="C59" s="15" t="n"/>
      <c r="D59" s="15" t="n"/>
      <c r="E59" s="15" t="n"/>
      <c r="F59" s="15" t="n"/>
      <c r="G59" s="15" t="n"/>
    </row>
    <row r="60" ht="36" customHeight="1">
      <c r="A60" s="29" t="inlineStr">
        <is>
          <t>폭발위험</t>
        </is>
      </c>
      <c r="B60" s="23" t="inlineStr">
        <is>
          <t>화약류 운반 · 장약 · 발파 때 절대 흡연 금지, 악천후에는 작업 중지 / 화약과 뇌관은 따로 보관 / 불발 화약 확인 철저</t>
        </is>
      </c>
      <c r="C60" s="15" t="n"/>
      <c r="D60" s="15" t="n"/>
      <c r="E60" s="15" t="n"/>
      <c r="F60" s="15" t="n"/>
      <c r="G60" s="15" t="n"/>
    </row>
    <row r="61" ht="36" customHeight="1">
      <c r="A61" s="29" t="inlineStr">
        <is>
          <t>비산위험</t>
        </is>
      </c>
      <c r="B61" s="23" t="inlineStr">
        <is>
          <t>발파암 비산 방호 매트를 견고하게 충분히 덮어 비산을 막음 / 발파 때 근로자는 충분한 안전거리 확보</t>
        </is>
      </c>
      <c r="C61" s="15" t="n"/>
      <c r="D61" s="15" t="n"/>
      <c r="E61" s="15" t="n"/>
      <c r="F61" s="15" t="n"/>
      <c r="G61" s="15" t="n"/>
    </row>
    <row r="62" ht="24" customHeight="1">
      <c r="A62" s="29" t="inlineStr">
        <is>
          <t>낙하위험</t>
        </is>
      </c>
      <c r="B62" s="23" t="inlineStr">
        <is>
          <t>발파매트 이동 · 설치 · 해체 때 굴착기 후크(볼트)를 체결하여 매트 낙하 방지</t>
        </is>
      </c>
      <c r="C62" s="15" t="n"/>
      <c r="D62" s="15" t="n"/>
      <c r="E62" s="15" t="n"/>
      <c r="F62" s="15" t="n"/>
      <c r="G62" s="15" t="n"/>
    </row>
    <row r="64" ht="34" customHeight="1">
      <c r="A64" s="22" t="inlineStr">
        <is>
          <t>하늘색 칸 = 자동(요일 · 천공 연장 · 폭약 · 뇌관). 뇌관 수가 천공수와 다르면(한 공에 2개 등) 그 칸에 직접 적으세요.</t>
        </is>
      </c>
    </row>
    <row r="65" ht="34" customHeight="1">
      <c r="A65" s="22" t="inlineStr">
        <is>
          <t>작업 방법 · 안전대책 글은 원본 뜻 그대로 두고 오타만 고쳤습니다(«비례위험» → «비산위험», «한 수» → «한 후»). 현장에 맞게 고쳐 쓰세요.</t>
        </is>
      </c>
    </row>
  </sheetData>
  <mergeCells count="54">
    <mergeCell ref="A32:G32"/>
    <mergeCell ref="F11:G11"/>
    <mergeCell ref="C30:G30"/>
    <mergeCell ref="C6:D6"/>
    <mergeCell ref="A8:G8"/>
    <mergeCell ref="F10:G10"/>
    <mergeCell ref="C33:D33"/>
    <mergeCell ref="B60:G60"/>
    <mergeCell ref="A2:D4"/>
    <mergeCell ref="B17:G17"/>
    <mergeCell ref="B23:G23"/>
    <mergeCell ref="B57:G57"/>
    <mergeCell ref="B61:G61"/>
    <mergeCell ref="B53:G53"/>
    <mergeCell ref="A6:B6"/>
    <mergeCell ref="A13:G13"/>
    <mergeCell ref="B19:G19"/>
    <mergeCell ref="A27:A28"/>
    <mergeCell ref="F12:G12"/>
    <mergeCell ref="C29:G29"/>
    <mergeCell ref="C10:D10"/>
    <mergeCell ref="A34:G34"/>
    <mergeCell ref="A15:G15"/>
    <mergeCell ref="C31:G31"/>
    <mergeCell ref="C9:D9"/>
    <mergeCell ref="A64:G64"/>
    <mergeCell ref="A51:G51"/>
    <mergeCell ref="A9:A11"/>
    <mergeCell ref="B55:G55"/>
    <mergeCell ref="B24:G24"/>
    <mergeCell ref="A1:D1"/>
    <mergeCell ref="C12:D12"/>
    <mergeCell ref="C11:D11"/>
    <mergeCell ref="A33:B33"/>
    <mergeCell ref="A29:A30"/>
    <mergeCell ref="C27:G27"/>
    <mergeCell ref="A65:G65"/>
    <mergeCell ref="B62:G62"/>
    <mergeCell ref="F9:G9"/>
    <mergeCell ref="B16:G16"/>
    <mergeCell ref="B54:G54"/>
    <mergeCell ref="E33:G33"/>
    <mergeCell ref="B59:G59"/>
    <mergeCell ref="B22:G22"/>
    <mergeCell ref="A35:G49"/>
    <mergeCell ref="A21:G21"/>
    <mergeCell ref="C28:G28"/>
    <mergeCell ref="A26:G26"/>
    <mergeCell ref="B18:G18"/>
    <mergeCell ref="B56:G56"/>
    <mergeCell ref="B58:G58"/>
    <mergeCell ref="B52:G52"/>
    <mergeCell ref="A31:B31"/>
    <mergeCell ref="E1:G1"/>
  </mergeCells>
  <printOptions horizontalCentered="1"/>
  <pageMargins left="0.5" right="0.5" top="0.45" bottom="0.45" header="0.2" footer="0.2"/>
  <pageSetup orientation="portrait" paperSize="9" fitToHeight="0" fitToWidth="1"/>
  <rowBreaks count="1" manualBreakCount="1">
    <brk id="33" min="0" max="16383" man="1"/>
  </rowBreaks>
</worksheet>
</file>

<file path=xl/worksheets/sheet2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G64"/>
  <sheetViews>
    <sheetView showGridLines="0" zoomScale="100" workbookViewId="0">
      <selection activeCell="A1" sqref="A1"/>
    </sheetView>
  </sheetViews>
  <sheetFormatPr baseColWidth="8" defaultRowHeight="15"/>
  <cols>
    <col width="15" customWidth="1" min="1" max="1"/>
    <col width="12" customWidth="1" min="2" max="2"/>
    <col width="14" customWidth="1" min="3" max="3"/>
    <col width="13" customWidth="1" min="4" max="4"/>
    <col width="14" customWidth="1" min="5" max="5"/>
    <col width="12" customWidth="1" min="6" max="6"/>
    <col width="12" customWidth="1" min="7" max="7"/>
  </cols>
  <sheetData>
    <row r="1" ht="20" customHeight="1">
      <c r="A1" s="1" t="inlineStr">
        <is>
          <t xml:space="preserve">  K-건설맵  |  k-conmap.com  건설 서식</t>
        </is>
      </c>
      <c r="E1" s="30" t="inlineStr">
        <is>
          <t xml:space="preserve">작성 예시 (가상의 현장)  </t>
        </is>
      </c>
    </row>
    <row r="2" ht="20" customHeight="1">
      <c r="A2" s="3" t="inlineStr">
        <is>
          <t>발 파  작 업  계 획 서</t>
        </is>
      </c>
      <c r="E2" s="4" t="inlineStr">
        <is>
          <t>입  안</t>
        </is>
      </c>
      <c r="F2" s="4" t="inlineStr">
        <is>
          <t>심  사</t>
        </is>
      </c>
      <c r="G2" s="4" t="inlineStr">
        <is>
          <t>결  정</t>
        </is>
      </c>
    </row>
    <row r="3" ht="34" customHeight="1">
      <c r="E3" s="5" t="inlineStr"/>
      <c r="F3" s="5" t="inlineStr"/>
      <c r="G3" s="5" t="inlineStr"/>
    </row>
    <row r="4" ht="16" customHeight="1">
      <c r="E4" s="6" t="inlineStr">
        <is>
          <t xml:space="preserve">     /</t>
        </is>
      </c>
      <c r="F4" s="6" t="inlineStr">
        <is>
          <t xml:space="preserve">     /</t>
        </is>
      </c>
      <c r="G4" s="6" t="inlineStr">
        <is>
          <t xml:space="preserve">     /</t>
        </is>
      </c>
    </row>
    <row r="5" ht="6" customHeight="1"/>
    <row r="6" ht="24" customHeight="1">
      <c r="A6" s="7" t="inlineStr">
        <is>
          <t>1. 발파 일시 :</t>
        </is>
      </c>
      <c r="C6" s="8" t="n">
        <v>46183</v>
      </c>
      <c r="E6" s="9">
        <f>IF(N(C6)=0,"","("&amp;CHOOSE(WEEKDAY(C6),"일","월","화","수","목","금","토")&amp;")")</f>
        <v/>
      </c>
      <c r="F6" s="10" t="n">
        <v>0.4791666666666667</v>
      </c>
      <c r="G6" s="11" t="inlineStr">
        <is>
          <t>(시 : 분)</t>
        </is>
      </c>
    </row>
    <row r="7" ht="4" customHeight="1"/>
    <row r="8" ht="22" customHeight="1">
      <c r="A8" s="7" t="inlineStr">
        <is>
          <t>2. 발파 작업 계획</t>
        </is>
      </c>
    </row>
    <row r="9" ht="24" customHeight="1">
      <c r="A9" s="12" t="inlineStr">
        <is>
          <t>발    파</t>
        </is>
      </c>
      <c r="B9" s="13" t="inlineStr">
        <is>
          <t>천공수</t>
        </is>
      </c>
      <c r="C9" s="14" t="n">
        <v>480</v>
      </c>
      <c r="D9" s="15" t="n"/>
      <c r="E9" s="13" t="inlineStr">
        <is>
          <t>천공심도</t>
        </is>
      </c>
      <c r="F9" s="16" t="n">
        <v>3</v>
      </c>
      <c r="G9" s="15" t="n"/>
    </row>
    <row r="10" ht="24" customHeight="1">
      <c r="A10" s="15" t="n"/>
      <c r="B10" s="13" t="inlineStr">
        <is>
          <t>공 간격</t>
        </is>
      </c>
      <c r="C10" s="16" t="n">
        <v>1.2</v>
      </c>
      <c r="D10" s="15" t="n"/>
      <c r="E10" s="13" t="inlineStr">
        <is>
          <t>공당장약량</t>
        </is>
      </c>
      <c r="F10" s="17" t="n">
        <v>0.37</v>
      </c>
      <c r="G10" s="15" t="n"/>
    </row>
    <row r="11" ht="24" customHeight="1">
      <c r="A11" s="15" t="n"/>
      <c r="B11" s="13" t="inlineStr">
        <is>
          <t>발파횟수</t>
        </is>
      </c>
      <c r="C11" s="18" t="n">
        <v>2</v>
      </c>
      <c r="D11" s="15" t="n"/>
      <c r="E11" s="13" t="inlineStr">
        <is>
          <t>천공 연장</t>
        </is>
      </c>
      <c r="F11" s="19">
        <f>IF(OR(N(C9)=0,N(F9)=0),"",C9*F9)</f>
        <v/>
      </c>
      <c r="G11" s="15" t="n"/>
    </row>
    <row r="12" ht="24" customHeight="1">
      <c r="A12" s="12" t="inlineStr">
        <is>
          <t>폭약사용량</t>
        </is>
      </c>
      <c r="B12" s="13" t="inlineStr">
        <is>
          <t>폭    약</t>
        </is>
      </c>
      <c r="C12" s="20">
        <f>IF(OR(N(C9)=0,N(F10)=0),"",ROUND(C9*F10,1))</f>
        <v/>
      </c>
      <c r="D12" s="15" t="n"/>
      <c r="E12" s="13" t="inlineStr">
        <is>
          <t>뇌    관</t>
        </is>
      </c>
      <c r="F12" s="21">
        <f>IF(N(C9)=0,"",C9)</f>
        <v/>
      </c>
      <c r="G12" s="15" t="n"/>
    </row>
    <row r="13" ht="16" customHeight="1">
      <c r="A13" s="22" t="inlineStr">
        <is>
          <t>※ 폭약 = 천공수 × 공당장약량 · 뇌관 = 천공수(한 공에 뇌관 1개 기준 — 다르면 그 칸에 직접 적으세요) · 천공 연장 = 천공수 × 천공심도</t>
        </is>
      </c>
    </row>
    <row r="14" ht="4" customHeight="1"/>
    <row r="15" ht="22" customHeight="1">
      <c r="A15" s="7" t="inlineStr">
        <is>
          <t>3. 화약류 운반</t>
        </is>
      </c>
    </row>
    <row r="16" ht="22" customHeight="1">
      <c r="A16" s="12" t="inlineStr">
        <is>
          <t>시    간</t>
        </is>
      </c>
      <c r="B16" s="23" t="inlineStr">
        <is>
          <t>08:00 ~ 09:00</t>
        </is>
      </c>
      <c r="C16" s="15" t="n"/>
      <c r="D16" s="15" t="n"/>
      <c r="E16" s="15" t="n"/>
      <c r="F16" s="15" t="n"/>
      <c r="G16" s="15" t="n"/>
    </row>
    <row r="17" ht="22" customHeight="1">
      <c r="A17" s="12" t="inlineStr">
        <is>
          <t>책 임 자</t>
        </is>
      </c>
      <c r="B17" s="23" t="inlineStr">
        <is>
          <t>김화약</t>
        </is>
      </c>
      <c r="C17" s="15" t="n"/>
      <c r="D17" s="15" t="n"/>
      <c r="E17" s="15" t="n"/>
      <c r="F17" s="15" t="n"/>
      <c r="G17" s="15" t="n"/>
    </row>
    <row r="18" ht="22" customHeight="1">
      <c r="A18" s="12" t="inlineStr">
        <is>
          <t>차량번호</t>
        </is>
      </c>
      <c r="B18" s="23" t="inlineStr">
        <is>
          <t>가나 12가 3456</t>
        </is>
      </c>
      <c r="C18" s="15" t="n"/>
      <c r="D18" s="15" t="n"/>
      <c r="E18" s="15" t="n"/>
      <c r="F18" s="15" t="n"/>
      <c r="G18" s="15" t="n"/>
    </row>
    <row r="19" ht="22" customHeight="1">
      <c r="A19" s="12" t="inlineStr">
        <is>
          <t>경 유 지</t>
        </is>
      </c>
      <c r="B19" s="23" t="inlineStr">
        <is>
          <t>화약고 → 가나로 → 현장 정문</t>
        </is>
      </c>
      <c r="C19" s="15" t="n"/>
      <c r="D19" s="15" t="n"/>
      <c r="E19" s="15" t="n"/>
      <c r="F19" s="15" t="n"/>
      <c r="G19" s="15" t="n"/>
    </row>
    <row r="20" ht="4" customHeight="1"/>
    <row r="21" ht="22" customHeight="1">
      <c r="A21" s="7" t="inlineStr">
        <is>
          <t>4. 발파관리</t>
        </is>
      </c>
    </row>
    <row r="22" ht="22" customHeight="1">
      <c r="A22" s="12" t="inlineStr">
        <is>
          <t>업 체 명</t>
        </is>
      </c>
      <c r="B22" s="23" t="inlineStr">
        <is>
          <t>예시발파(주)</t>
        </is>
      </c>
      <c r="C22" s="15" t="n"/>
      <c r="D22" s="15" t="n"/>
      <c r="E22" s="15" t="n"/>
      <c r="F22" s="15" t="n"/>
      <c r="G22" s="15" t="n"/>
    </row>
    <row r="23" ht="22" customHeight="1">
      <c r="A23" s="12" t="inlineStr">
        <is>
          <t>관련기술사</t>
        </is>
      </c>
      <c r="B23" s="23" t="inlineStr">
        <is>
          <t>이기술 (화약류관리기술사)</t>
        </is>
      </c>
      <c r="C23" s="15" t="n"/>
      <c r="D23" s="15" t="n"/>
      <c r="E23" s="15" t="n"/>
      <c r="F23" s="15" t="n"/>
      <c r="G23" s="15" t="n"/>
    </row>
    <row r="24" ht="22" customHeight="1">
      <c r="A24" s="12" t="inlineStr">
        <is>
          <t>연 락 처</t>
        </is>
      </c>
      <c r="B24" s="23" t="inlineStr">
        <is>
          <t>02-0000-0000</t>
        </is>
      </c>
      <c r="C24" s="15" t="n"/>
      <c r="D24" s="15" t="n"/>
      <c r="E24" s="15" t="n"/>
      <c r="F24" s="15" t="n"/>
      <c r="G24" s="15" t="n"/>
    </row>
    <row r="25" ht="4" customHeight="1"/>
    <row r="26" ht="22" customHeight="1">
      <c r="A26" s="7" t="inlineStr">
        <is>
          <t>5. 화약류운반(발파)신고</t>
        </is>
      </c>
    </row>
    <row r="27" ht="22" customHeight="1">
      <c r="A27" s="12" t="inlineStr">
        <is>
          <t>운반신고</t>
        </is>
      </c>
      <c r="B27" s="13" t="inlineStr">
        <is>
          <t>신 고 일</t>
        </is>
      </c>
      <c r="C27" s="24" t="n">
        <v>46182</v>
      </c>
      <c r="D27" s="15" t="n"/>
      <c r="E27" s="15" t="n"/>
      <c r="F27" s="15" t="n"/>
      <c r="G27" s="15" t="n"/>
    </row>
    <row r="28" ht="22" customHeight="1">
      <c r="A28" s="15" t="n"/>
      <c r="B28" s="13" t="inlineStr">
        <is>
          <t>신고기한</t>
        </is>
      </c>
      <c r="C28" s="23" t="inlineStr">
        <is>
          <t>운반 개시 전(관할 경찰서 안내에 따름)</t>
        </is>
      </c>
      <c r="D28" s="15" t="n"/>
      <c r="E28" s="15" t="n"/>
      <c r="F28" s="15" t="n"/>
      <c r="G28" s="15" t="n"/>
    </row>
    <row r="29" ht="22" customHeight="1">
      <c r="A29" s="12" t="inlineStr">
        <is>
          <t>발파신고</t>
        </is>
      </c>
      <c r="B29" s="13" t="inlineStr">
        <is>
          <t>신 고 일</t>
        </is>
      </c>
      <c r="C29" s="24" t="n">
        <v>46181</v>
      </c>
      <c r="D29" s="15" t="n"/>
      <c r="E29" s="15" t="n"/>
      <c r="F29" s="15" t="n"/>
      <c r="G29" s="15" t="n"/>
    </row>
    <row r="30" ht="22" customHeight="1">
      <c r="A30" s="15" t="n"/>
      <c r="B30" s="13" t="inlineStr">
        <is>
          <t>신고기한</t>
        </is>
      </c>
      <c r="C30" s="23" t="inlineStr">
        <is>
          <t>발파 전(관할 경찰서 안내에 따름)</t>
        </is>
      </c>
      <c r="D30" s="15" t="n"/>
      <c r="E30" s="15" t="n"/>
      <c r="F30" s="15" t="n"/>
      <c r="G30" s="15" t="n"/>
    </row>
    <row r="31" ht="24" customHeight="1">
      <c r="A31" s="13" t="inlineStr">
        <is>
          <t>화약운반(도착)신고기관</t>
        </is>
      </c>
      <c r="B31" s="15" t="n"/>
      <c r="C31" s="25" t="inlineStr">
        <is>
          <t>가나경찰서</t>
        </is>
      </c>
      <c r="D31" s="15" t="n"/>
      <c r="E31" s="15" t="n"/>
      <c r="F31" s="15" t="n"/>
      <c r="G31" s="15" t="n"/>
    </row>
    <row r="32" ht="16" customHeight="1">
      <c r="A32" s="26">
        <f>IF(N(C6)=0,"",IF(OR(N(C27)&gt;C6,N(C29)&gt;C6),"⚠ 신고일이 발파일보다 늦습니다 — 날짜를 확인하세요.",""))</f>
        <v/>
      </c>
    </row>
    <row r="33" ht="26" customHeight="1">
      <c r="A33" s="7" t="inlineStr">
        <is>
          <t>6. 현장 발파 관련 책임자 :</t>
        </is>
      </c>
      <c r="C33" s="27" t="inlineStr">
        <is>
          <t>박발파</t>
        </is>
      </c>
      <c r="E33" s="28" t="inlineStr">
        <is>
          <t>화약류관리보안책임자 1급</t>
        </is>
      </c>
    </row>
    <row r="34" ht="26" customHeight="1">
      <c r="A34" s="7" t="inlineStr">
        <is>
          <t>7. 발파 위치도 (발파 지역, 신호수 배치, 접근금지 간판 설치 장소 등)</t>
        </is>
      </c>
    </row>
    <row r="35" ht="18" customHeight="1"/>
    <row r="36" ht="18" customHeight="1"/>
    <row r="37" ht="18" customHeight="1"/>
    <row r="38" ht="18" customHeight="1"/>
    <row r="39" ht="18" customHeight="1"/>
    <row r="40" ht="18" customHeight="1"/>
    <row r="41" ht="18" customHeight="1"/>
    <row r="42" ht="18" customHeight="1"/>
    <row r="43" ht="18" customHeight="1"/>
    <row r="44" ht="18" customHeight="1"/>
    <row r="45" ht="18" customHeight="1"/>
    <row r="46" ht="18" customHeight="1"/>
    <row r="47" ht="18" customHeight="1"/>
    <row r="48" ht="18" customHeight="1"/>
    <row r="49" ht="18" customHeight="1"/>
    <row r="50" ht="6" customHeight="1"/>
    <row r="51" ht="22" customHeight="1">
      <c r="A51" s="7" t="inlineStr">
        <is>
          <t>8. 작업 방법 및 안전대책</t>
        </is>
      </c>
    </row>
    <row r="52" ht="22" customHeight="1">
      <c r="A52" s="12" t="inlineStr">
        <is>
          <t>작 업 명</t>
        </is>
      </c>
      <c r="B52" s="12" t="inlineStr">
        <is>
          <t>세 부 작 업 내 용</t>
        </is>
      </c>
      <c r="C52" s="15" t="n"/>
      <c r="D52" s="15" t="n"/>
      <c r="E52" s="15" t="n"/>
      <c r="F52" s="15" t="n"/>
      <c r="G52" s="15" t="n"/>
    </row>
    <row r="53" ht="36" customHeight="1">
      <c r="A53" s="29" t="inlineStr">
        <is>
          <t>천공</t>
        </is>
      </c>
      <c r="B53" s="23" t="inlineStr">
        <is>
          <t>암반 노면을 최대한 평탄하게 하여 드릴의 전도사고가 발생하지 않도록 하며, 설계에 맞는 공간격 · 저항선 · 천공장으로 천공한다.</t>
        </is>
      </c>
      <c r="C53" s="15" t="n"/>
      <c r="D53" s="15" t="n"/>
      <c r="E53" s="15" t="n"/>
      <c r="F53" s="15" t="n"/>
      <c r="G53" s="15" t="n"/>
    </row>
    <row r="54" ht="36" customHeight="1">
      <c r="A54" s="29" t="inlineStr">
        <is>
          <t>화약운반</t>
        </is>
      </c>
      <c r="B54" s="23" t="inlineStr">
        <is>
          <t>경찰서에서 화약류 운반필증을 수령한 후 화약고(저장소)로 가서 당일 필요한 화약류를 운반한다.</t>
        </is>
      </c>
      <c r="C54" s="15" t="n"/>
      <c r="D54" s="15" t="n"/>
      <c r="E54" s="15" t="n"/>
      <c r="F54" s="15" t="n"/>
      <c r="G54" s="15" t="n"/>
    </row>
    <row r="55" ht="36" customHeight="1">
      <c r="A55" s="29" t="inlineStr">
        <is>
          <t>장약</t>
        </is>
      </c>
      <c r="B55" s="23" t="inlineStr">
        <is>
          <t>화약과 뇌관으로 전폭약을 만들고, 천공 구멍에 전폭약과 천공장에 알맞은 화약을 장약한다.</t>
        </is>
      </c>
      <c r="C55" s="15" t="n"/>
      <c r="D55" s="15" t="n"/>
      <c r="E55" s="15" t="n"/>
      <c r="F55" s="15" t="n"/>
      <c r="G55" s="15" t="n"/>
    </row>
    <row r="56" ht="24" customHeight="1">
      <c r="A56" s="29" t="inlineStr">
        <is>
          <t>전색</t>
        </is>
      </c>
      <c r="B56" s="23" t="inlineStr">
        <is>
          <t>전색물(메지)로 장약 후 남은 빈 공간을 밀실하게 채우고 다진다.</t>
        </is>
      </c>
      <c r="C56" s="15" t="n"/>
      <c r="D56" s="15" t="n"/>
      <c r="E56" s="15" t="n"/>
      <c r="F56" s="15" t="n"/>
      <c r="G56" s="15" t="n"/>
    </row>
    <row r="57" ht="50" customHeight="1">
      <c r="A57" s="29" t="inlineStr">
        <is>
          <t>발파</t>
        </is>
      </c>
      <c r="B57" s="23" t="inlineStr">
        <is>
          <t>뇌관선을 서로 연결하고 뇌관 누락 · 연결 누락을 확인하기 위해 도통시험을 한 후 발파모선과 뇌관선을 연결한다. 그 후 다시 도통시험을 하고 모선을 발파기에 연결한 후 사이렌 등으로 발파 경고를 한 뒤 발파한다.</t>
        </is>
      </c>
      <c r="C57" s="15" t="n"/>
      <c r="D57" s="15" t="n"/>
      <c r="E57" s="15" t="n"/>
      <c r="F57" s="15" t="n"/>
      <c r="G57" s="15" t="n"/>
    </row>
    <row r="58" ht="36" customHeight="1">
      <c r="A58" s="29" t="inlineStr">
        <is>
          <t>발파결과 확인</t>
        </is>
      </c>
      <c r="B58" s="23" t="inlineStr">
        <is>
          <t>발파 후 15분이 지난 뒤 발파 지역에 들어가 불발 화약과 지반 상태를 확인하고 이상 유무를 판단한 후 후속 공정을 진행한다.</t>
        </is>
      </c>
      <c r="C58" s="15" t="n"/>
      <c r="D58" s="15" t="n"/>
      <c r="E58" s="15" t="n"/>
      <c r="F58" s="15" t="n"/>
      <c r="G58" s="15" t="n"/>
    </row>
    <row r="59" ht="22" customHeight="1">
      <c r="A59" s="12" t="inlineStr">
        <is>
          <t>안 전 대 책</t>
        </is>
      </c>
      <c r="B59" s="12" t="inlineStr">
        <is>
          <t>예 방 대 책</t>
        </is>
      </c>
      <c r="C59" s="15" t="n"/>
      <c r="D59" s="15" t="n"/>
      <c r="E59" s="15" t="n"/>
      <c r="F59" s="15" t="n"/>
      <c r="G59" s="15" t="n"/>
    </row>
    <row r="60" ht="36" customHeight="1">
      <c r="A60" s="29" t="inlineStr">
        <is>
          <t>폭발위험</t>
        </is>
      </c>
      <c r="B60" s="23" t="inlineStr">
        <is>
          <t>화약류 운반 · 장약 · 발파 때 절대 흡연 금지, 악천후에는 작업 중지 / 화약과 뇌관은 따로 보관 / 불발 화약 확인 철저</t>
        </is>
      </c>
      <c r="C60" s="15" t="n"/>
      <c r="D60" s="15" t="n"/>
      <c r="E60" s="15" t="n"/>
      <c r="F60" s="15" t="n"/>
      <c r="G60" s="15" t="n"/>
    </row>
    <row r="61" ht="36" customHeight="1">
      <c r="A61" s="29" t="inlineStr">
        <is>
          <t>비산위험</t>
        </is>
      </c>
      <c r="B61" s="23" t="inlineStr">
        <is>
          <t>발파암 비산 방호 매트를 견고하게 충분히 덮어 비산을 막음 / 발파 때 근로자는 충분한 안전거리 확보</t>
        </is>
      </c>
      <c r="C61" s="15" t="n"/>
      <c r="D61" s="15" t="n"/>
      <c r="E61" s="15" t="n"/>
      <c r="F61" s="15" t="n"/>
      <c r="G61" s="15" t="n"/>
    </row>
    <row r="62" ht="24" customHeight="1">
      <c r="A62" s="29" t="inlineStr">
        <is>
          <t>낙하위험</t>
        </is>
      </c>
      <c r="B62" s="23" t="inlineStr">
        <is>
          <t>발파매트 이동 · 설치 · 해체 때 굴착기 후크(볼트)를 체결하여 매트 낙하 방지</t>
        </is>
      </c>
      <c r="C62" s="15" t="n"/>
      <c r="D62" s="15" t="n"/>
      <c r="E62" s="15" t="n"/>
      <c r="F62" s="15" t="n"/>
      <c r="G62" s="15" t="n"/>
    </row>
    <row r="64" ht="34" customHeight="1">
      <c r="A64" s="22" t="inlineStr">
        <is>
          <t>이 시트는 작성 예시입니다(가상의 공사 · 회사 · 사람 · 위치도). 간판 그림만 원본 계획서의 것입니다.</t>
        </is>
      </c>
    </row>
  </sheetData>
  <mergeCells count="52">
    <mergeCell ref="A32:G32"/>
    <mergeCell ref="F11:G11"/>
    <mergeCell ref="C30:G30"/>
    <mergeCell ref="C6:D6"/>
    <mergeCell ref="A8:G8"/>
    <mergeCell ref="F10:G10"/>
    <mergeCell ref="C33:D33"/>
    <mergeCell ref="B60:G60"/>
    <mergeCell ref="A2:D4"/>
    <mergeCell ref="B17:G17"/>
    <mergeCell ref="B23:G23"/>
    <mergeCell ref="B57:G57"/>
    <mergeCell ref="B61:G61"/>
    <mergeCell ref="B53:G53"/>
    <mergeCell ref="A6:B6"/>
    <mergeCell ref="A13:G13"/>
    <mergeCell ref="B19:G19"/>
    <mergeCell ref="A27:A28"/>
    <mergeCell ref="F12:G12"/>
    <mergeCell ref="C29:G29"/>
    <mergeCell ref="C10:D10"/>
    <mergeCell ref="A34:G34"/>
    <mergeCell ref="A15:G15"/>
    <mergeCell ref="C31:G31"/>
    <mergeCell ref="C9:D9"/>
    <mergeCell ref="A64:G64"/>
    <mergeCell ref="A51:G51"/>
    <mergeCell ref="A9:A11"/>
    <mergeCell ref="B55:G55"/>
    <mergeCell ref="B24:G24"/>
    <mergeCell ref="A1:D1"/>
    <mergeCell ref="C12:D12"/>
    <mergeCell ref="C11:D11"/>
    <mergeCell ref="A33:B33"/>
    <mergeCell ref="A29:A30"/>
    <mergeCell ref="C27:G27"/>
    <mergeCell ref="B62:G62"/>
    <mergeCell ref="F9:G9"/>
    <mergeCell ref="B16:G16"/>
    <mergeCell ref="B54:G54"/>
    <mergeCell ref="E33:G33"/>
    <mergeCell ref="B59:G59"/>
    <mergeCell ref="B22:G22"/>
    <mergeCell ref="A21:G21"/>
    <mergeCell ref="C28:G28"/>
    <mergeCell ref="A26:G26"/>
    <mergeCell ref="B18:G18"/>
    <mergeCell ref="B56:G56"/>
    <mergeCell ref="B58:G58"/>
    <mergeCell ref="B52:G52"/>
    <mergeCell ref="A31:B31"/>
    <mergeCell ref="E1:G1"/>
  </mergeCells>
  <printOptions horizontalCentered="1"/>
  <pageMargins left="0.5" right="0.5" top="0.45" bottom="0.45" header="0.2" footer="0.2"/>
  <pageSetup orientation="portrait" paperSize="9" fitToHeight="0" fitToWidth="1"/>
  <rowBreaks count="1" manualBreakCount="1">
    <brk id="33" min="0" max="16383" man="1"/>
  </rowBreaks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K-건설맵 (k-conmap.com)</dc:creator>
  <dc:title xmlns:dc="http://purl.org/dc/elements/1.1/">발파 작업계획서</dc:title>
  <dcterms:created xmlns:dcterms="http://purl.org/dc/terms/" xmlns:xsi="http://www.w3.org/2001/XMLSchema-instance" xsi:type="dcterms:W3CDTF">2026-10-17T01:09:50Z</dcterms:created>
  <dcterms:modified xmlns:dcterms="http://purl.org/dc/terms/" xmlns:xsi="http://www.w3.org/2001/XMLSchema-instance" xsi:type="dcterms:W3CDTF">2026-10-17T01:09:50Z</dcterms:modified>
</cp:coreProperties>
</file>