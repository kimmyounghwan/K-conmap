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추진현황" sheetId="2" state="visible" r:id="rId2"/>
    <sheet xmlns:r="http://schemas.openxmlformats.org/officeDocument/2006/relationships" name="예시-표지" sheetId="3" state="visible" r:id="rId3"/>
    <sheet xmlns:r="http://schemas.openxmlformats.org/officeDocument/2006/relationships" name="예시-추진현황" sheetId="4" state="visible" r:id="rId4"/>
  </sheets>
  <definedNames>
    <definedName name="_xlnm.Print_Area" localSheetId="0">'표지'!$A$1:$M$10</definedName>
    <definedName name="_xlnm.Print_Area" localSheetId="1">'추진현황'!$A$1:$M$13</definedName>
    <definedName name="_xlnm.Print_Area" localSheetId="2">'예시-표지'!$A$1:$M$10</definedName>
    <definedName name="_xlnm.Print_Area" localSheetId="3">'예시-추진현황'!$A$1:$M$13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「&quot;@&quot;」&quot;"/>
    <numFmt numFmtId="165" formatCode="yyyy. m. d."/>
    <numFmt numFmtId="166" formatCode="0.00;[Red]-0.00;0.00"/>
    <numFmt numFmtId="167" formatCode="+0.00;[Red]-0.00;0.00"/>
    <numFmt numFmtId="168" formatCode="yyyy-mm-dd"/>
  </numFmts>
  <fonts count="18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color rgb="001F2937"/>
      <sz val="10"/>
    </font>
    <font>
      <name val="맑은 고딕"/>
      <b val="1"/>
      <color rgb="00000000"/>
      <sz val="17"/>
    </font>
    <font>
      <name val="맑은 고딕"/>
      <b val="1"/>
      <color rgb="001F2937"/>
      <sz val="22"/>
    </font>
    <font>
      <name val="맑은 고딕"/>
      <color rgb="00000000"/>
      <sz val="15"/>
    </font>
    <font>
      <name val="맑은 고딕"/>
      <color rgb="001F2937"/>
      <sz val="15"/>
    </font>
    <font>
      <name val="맑은 고딕"/>
      <b val="1"/>
      <color rgb="00000000"/>
      <sz val="16"/>
    </font>
    <font>
      <name val="맑은 고딕"/>
      <b val="1"/>
      <color rgb="00111827"/>
      <sz val="17"/>
    </font>
    <font>
      <name val="맑은 고딕"/>
      <b val="1"/>
      <color rgb="001F2937"/>
      <sz val="10"/>
    </font>
    <font>
      <name val="맑은 고딕"/>
      <b val="1"/>
      <color rgb="001F2937"/>
      <sz val="9"/>
    </font>
    <font>
      <name val="맑은 고딕"/>
      <color rgb="00000000"/>
      <sz val="10"/>
    </font>
    <font>
      <name val="맑은 고딕"/>
      <color rgb="00000000"/>
      <sz val="9"/>
    </font>
    <font>
      <name val="맑은 고딕"/>
      <b val="1"/>
      <color rgb="00000000"/>
      <sz val="10"/>
    </font>
    <font>
      <name val="맑은 고딕"/>
      <color rgb="00DC2626"/>
      <sz val="9"/>
    </font>
    <font>
      <name val="맑은 고딕"/>
      <color rgb="00000000"/>
      <sz val="9.5"/>
    </font>
    <font>
      <name val="맑은 고딕"/>
      <b val="1"/>
      <color rgb="00B45309"/>
      <sz val="9"/>
    </font>
  </fonts>
  <fills count="5">
    <fill>
      <patternFill/>
    </fill>
    <fill>
      <patternFill patternType="gray125"/>
    </fill>
    <fill>
      <patternFill patternType="solid">
        <fgColor rgb="00EEF4FC"/>
      </patternFill>
    </fill>
    <fill>
      <patternFill patternType="solid">
        <fgColor rgb="00E8EEF7"/>
      </patternFill>
    </fill>
    <fill>
      <patternFill patternType="solid">
        <fgColor rgb="00F3F5F9"/>
      </patternFill>
    </fill>
  </fills>
  <borders count="3">
    <border>
      <left/>
      <right/>
      <top/>
      <bottom/>
      <diagonal/>
    </border>
    <border>
      <bottom style="medium">
        <color rgb="00111827"/>
      </bottom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0" fillId="0" borderId="1" pivotButton="0" quotePrefix="0" xfId="0"/>
    <xf numFmtId="0" fontId="3" fillId="0" borderId="0" applyAlignment="1" pivotButton="0" quotePrefix="0" xfId="0">
      <alignment horizontal="left" vertical="center" wrapText="1"/>
    </xf>
    <xf numFmtId="164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165" fontId="6" fillId="0" borderId="0" applyAlignment="1" pivotButton="0" quotePrefix="0" xfId="0">
      <alignment horizontal="righ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left" vertical="center" wrapText="1"/>
    </xf>
    <xf numFmtId="0" fontId="0" fillId="0" borderId="2" pivotButton="0" quotePrefix="0" xfId="0"/>
    <xf numFmtId="0" fontId="10" fillId="0" borderId="0" applyAlignment="1" pivotButton="0" quotePrefix="0" xfId="0">
      <alignment horizontal="right" vertical="center" wrapText="1"/>
    </xf>
    <xf numFmtId="0" fontId="3" fillId="2" borderId="2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right" vertical="center" wrapText="1"/>
    </xf>
    <xf numFmtId="165" fontId="3" fillId="2" borderId="2" applyAlignment="1" pivotButton="0" quotePrefix="0" xfId="0">
      <alignment horizontal="center" vertical="center" shrinkToFit="1"/>
    </xf>
    <xf numFmtId="0" fontId="10" fillId="3" borderId="2" applyAlignment="1" pivotButton="0" quotePrefix="0" xfId="0">
      <alignment horizontal="center" vertical="center" wrapText="1"/>
    </xf>
    <xf numFmtId="0" fontId="10" fillId="4" borderId="2" applyAlignment="1" pivotButton="0" quotePrefix="0" xfId="0">
      <alignment horizontal="center" vertical="center" wrapText="1"/>
    </xf>
    <xf numFmtId="166" fontId="12" fillId="0" borderId="2" applyAlignment="1" pivotButton="0" quotePrefix="0" xfId="0">
      <alignment horizontal="center" vertical="center" shrinkToFit="1"/>
    </xf>
    <xf numFmtId="167" fontId="10" fillId="2" borderId="2" applyAlignment="1" pivotButton="0" quotePrefix="0" xfId="0">
      <alignment horizontal="center" vertical="center" shrinkToFit="1"/>
    </xf>
    <xf numFmtId="0" fontId="13" fillId="0" borderId="2" applyAlignment="1" pivotButton="0" quotePrefix="0" xfId="0">
      <alignment horizontal="center" vertical="center" wrapText="1"/>
    </xf>
    <xf numFmtId="0" fontId="14" fillId="0" borderId="2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center" vertical="center" wrapText="1"/>
    </xf>
    <xf numFmtId="0" fontId="16" fillId="0" borderId="2" applyAlignment="1" pivotButton="0" quotePrefix="0" xfId="0">
      <alignment horizontal="left" vertical="top" wrapText="1"/>
    </xf>
    <xf numFmtId="0" fontId="17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2"/>
  <sheetViews>
    <sheetView showGridLines="0" zoomScale="100" workbookViewId="0">
      <selection activeCell="A1" sqref="A1"/>
    </sheetView>
  </sheetViews>
  <sheetFormatPr baseColWidth="8" defaultRowHeight="15"/>
  <cols>
    <col width="10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</cols>
  <sheetData>
    <row r="1" ht="20" customHeight="1">
      <c r="A1" s="1" t="inlineStr">
        <is>
          <t xml:space="preserve">  K-건설맵  |  k-conmap.com  건설 서식</t>
        </is>
      </c>
      <c r="H1" s="2" t="inlineStr">
        <is>
          <t xml:space="preserve">← 이 1행을 지우고 쓰셔도 됩니다  </t>
        </is>
      </c>
    </row>
    <row r="2" ht="66" customHeight="1"/>
    <row r="3" ht="6" customHeight="1"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 ht="42" customHeight="1">
      <c r="A4" s="4" t="inlineStr"/>
      <c r="C4" s="5" t="inlineStr">
        <is>
          <t>공사명</t>
        </is>
      </c>
      <c r="L4" s="4" t="inlineStr"/>
    </row>
    <row r="5" ht="50" customHeight="1">
      <c r="A5" s="4" t="inlineStr"/>
      <c r="C5" s="6" t="inlineStr">
        <is>
          <t>주간  공정회의  자료</t>
        </is>
      </c>
      <c r="L5" s="4" t="inlineStr"/>
    </row>
    <row r="6" ht="6" customHeight="1">
      <c r="C6" s="3" t="n"/>
      <c r="D6" s="3" t="n"/>
      <c r="E6" s="3" t="n"/>
      <c r="F6" s="3" t="n"/>
      <c r="G6" s="3" t="n"/>
      <c r="H6" s="3" t="n"/>
      <c r="I6" s="3" t="n"/>
      <c r="J6" s="3" t="n"/>
      <c r="K6" s="3" t="n"/>
    </row>
    <row r="7" ht="120" customHeight="1"/>
    <row r="8" ht="34" customHeight="1">
      <c r="A8" s="4" t="inlineStr"/>
      <c r="D8" s="7" t="inlineStr">
        <is>
          <t xml:space="preserve">20       .       .       </t>
        </is>
      </c>
      <c r="H8" s="8">
        <f>IF(N(D8)=0,"(      )","("&amp;CHOOSE(WEEKDAY(D8),"일","월","화","수","목","금","토")&amp;")")</f>
        <v/>
      </c>
      <c r="J8" s="4" t="inlineStr"/>
    </row>
    <row r="9" ht="70" customHeight="1"/>
    <row r="10" ht="34" customHeight="1">
      <c r="A10" s="4" t="inlineStr"/>
      <c r="C10" s="9" t="inlineStr">
        <is>
          <t>회사명</t>
        </is>
      </c>
      <c r="L10" s="4" t="inlineStr"/>
    </row>
    <row r="12" ht="19.5" customHeight="1">
      <c r="A12" s="10" t="inlineStr">
        <is>
          <t>공사명 · 회의일 · 회사명을 적으면 둘째 장(추진 현황) 머리에 저절로 들어갑니다. «공사명» · «회사명» 자리 글자를 지우고 적으세요.</t>
        </is>
      </c>
    </row>
  </sheetData>
  <mergeCells count="16">
    <mergeCell ref="A4:B4"/>
    <mergeCell ref="H1:M1"/>
    <mergeCell ref="A1:G1"/>
    <mergeCell ref="L4:M4"/>
    <mergeCell ref="C10:K10"/>
    <mergeCell ref="C5:K5"/>
    <mergeCell ref="D8:G8"/>
    <mergeCell ref="A8:C8"/>
    <mergeCell ref="J8:M8"/>
    <mergeCell ref="A10:B10"/>
    <mergeCell ref="A5:B5"/>
    <mergeCell ref="L10:M10"/>
    <mergeCell ref="A12:M12"/>
    <mergeCell ref="L5:M5"/>
    <mergeCell ref="H8:I8"/>
    <mergeCell ref="C4:K4"/>
  </mergeCells>
  <printOptions horizontalCentered="1"/>
  <pageMargins left="0.5" right="0.5" top="0.5" bottom="0.5" header="0.2" footer="0.2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16"/>
  <sheetViews>
    <sheetView showGridLines="0" zoomScale="100" workbookViewId="0">
      <selection activeCell="A1" sqref="A1"/>
    </sheetView>
  </sheetViews>
  <sheetFormatPr baseColWidth="8" defaultRowHeight="15"/>
  <cols>
    <col width="10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</cols>
  <sheetData>
    <row r="1" ht="20" customHeight="1">
      <c r="A1" s="1" t="inlineStr">
        <is>
          <t xml:space="preserve">  K-건설맵  |  k-conmap.com  건설 서식</t>
        </is>
      </c>
      <c r="H1" s="2" t="inlineStr">
        <is>
          <t xml:space="preserve">← 이 1행을 지우고 쓰셔도 됩니다  </t>
        </is>
      </c>
    </row>
    <row r="2" ht="36" customHeight="1">
      <c r="A2" s="11" t="inlineStr">
        <is>
          <t>주간공정  추진  현황  및  계획</t>
        </is>
      </c>
    </row>
    <row r="3" ht="24" customHeight="1">
      <c r="A3" s="12" t="inlineStr">
        <is>
          <t>▣ 공 사 명 :</t>
        </is>
      </c>
      <c r="C3" s="13">
        <f>IF(OR('표지'!C4="",'표지'!C4="공사명"),"",'표지'!C4)</f>
        <v/>
      </c>
      <c r="D3" s="14" t="n"/>
      <c r="E3" s="14" t="n"/>
      <c r="F3" s="14" t="n"/>
      <c r="G3" s="14" t="n"/>
      <c r="H3" s="14" t="n"/>
      <c r="I3" s="14" t="n"/>
      <c r="J3" s="15" t="inlineStr">
        <is>
          <t>회 의 일</t>
        </is>
      </c>
      <c r="L3" s="16">
        <f>IF(N('표지'!D8)=0,"",YEAR('표지'!D8)&amp;". "&amp;MONTH('표지'!D8)&amp;". "&amp;DAY('표지'!D8)&amp;". ("&amp;CHOOSE(WEEKDAY('표지'!D8),"일","월","화","수","목","금","토")&amp;")")</f>
        <v/>
      </c>
      <c r="M3" s="14" t="n"/>
    </row>
    <row r="4" ht="24" customHeight="1">
      <c r="A4" s="12" t="inlineStr">
        <is>
          <t>▣ 공 정 율</t>
        </is>
      </c>
      <c r="C4" s="4" t="inlineStr"/>
      <c r="J4" s="17" t="inlineStr">
        <is>
          <t>금주 시작일(월)</t>
        </is>
      </c>
      <c r="L4" s="18">
        <f>IF(N('표지'!D8)=0,"",'표지'!D8-WEEKDAY('표지'!D8,2)+1)</f>
        <v/>
      </c>
      <c r="M4" s="14" t="n"/>
    </row>
    <row r="5" ht="22" customHeight="1">
      <c r="A5" s="19" t="inlineStr">
        <is>
          <t>구  분</t>
        </is>
      </c>
      <c r="B5" s="19" t="inlineStr">
        <is>
          <t>전주 실적(%)</t>
        </is>
      </c>
      <c r="C5" s="14" t="n"/>
      <c r="D5" s="14" t="n"/>
      <c r="E5" s="14" t="n"/>
      <c r="F5" s="19" t="inlineStr">
        <is>
          <t>전주까지 누계(%)</t>
        </is>
      </c>
      <c r="G5" s="14" t="n"/>
      <c r="H5" s="14" t="n"/>
      <c r="I5" s="14" t="n"/>
      <c r="J5" s="14" t="n"/>
      <c r="K5" s="19" t="inlineStr">
        <is>
          <t>금주계획(%)</t>
        </is>
      </c>
      <c r="L5" s="14" t="n"/>
      <c r="M5" s="19" t="inlineStr">
        <is>
          <t>비  고</t>
        </is>
      </c>
    </row>
    <row r="6" ht="22" customHeight="1">
      <c r="A6" s="14" t="n"/>
      <c r="B6" s="19" t="inlineStr">
        <is>
          <t>계  획</t>
        </is>
      </c>
      <c r="C6" s="14" t="n"/>
      <c r="D6" s="19" t="inlineStr">
        <is>
          <t>실  적</t>
        </is>
      </c>
      <c r="E6" s="14" t="n"/>
      <c r="F6" s="19" t="inlineStr">
        <is>
          <t>계  획</t>
        </is>
      </c>
      <c r="G6" s="14" t="n"/>
      <c r="H6" s="19" t="inlineStr">
        <is>
          <t>실  적</t>
        </is>
      </c>
      <c r="I6" s="14" t="n"/>
      <c r="J6" s="19" t="inlineStr">
        <is>
          <t>대  비</t>
        </is>
      </c>
      <c r="K6" s="14" t="n"/>
      <c r="L6" s="14" t="n"/>
      <c r="M6" s="14" t="n"/>
    </row>
    <row r="7" ht="24" customHeight="1">
      <c r="A7" s="20" t="inlineStr">
        <is>
          <t>전 체 분</t>
        </is>
      </c>
      <c r="B7" s="21" t="n"/>
      <c r="C7" s="14" t="n"/>
      <c r="D7" s="21" t="n"/>
      <c r="E7" s="14" t="n"/>
      <c r="F7" s="21" t="n"/>
      <c r="G7" s="14" t="n"/>
      <c r="H7" s="21" t="n"/>
      <c r="I7" s="14" t="n"/>
      <c r="J7" s="22">
        <f>IF(OR(F7="",H7=""),"",ROUND(H7-F7,2))</f>
        <v/>
      </c>
      <c r="K7" s="21" t="n"/>
      <c r="L7" s="14" t="n"/>
      <c r="M7" s="23" t="n"/>
    </row>
    <row r="8" ht="24" customHeight="1">
      <c r="A8" s="24" t="inlineStr">
        <is>
          <t xml:space="preserve">   차분</t>
        </is>
      </c>
      <c r="B8" s="21" t="n"/>
      <c r="C8" s="14" t="n"/>
      <c r="D8" s="21" t="n"/>
      <c r="E8" s="14" t="n"/>
      <c r="F8" s="21" t="n"/>
      <c r="G8" s="14" t="n"/>
      <c r="H8" s="21" t="n"/>
      <c r="I8" s="14" t="n"/>
      <c r="J8" s="22">
        <f>IF(OR(F8="",H8=""),"",ROUND(H8-F8,2))</f>
        <v/>
      </c>
      <c r="K8" s="21" t="n"/>
      <c r="L8" s="14" t="n"/>
      <c r="M8" s="14" t="n"/>
    </row>
    <row r="9" ht="17" customHeight="1">
      <c r="A9" s="25">
        <f>IF(N(J7)&lt;0,"⚠ 전체 누계 실적이 계획보다 "&amp;ABS(J7)&amp;"%p 늦습니다 — 만회 대책을 공사추진현황(금주·내주 계획)에 적으세요.","")</f>
        <v/>
      </c>
    </row>
    <row r="10" ht="22" customHeight="1">
      <c r="A10" s="12" t="inlineStr">
        <is>
          <t>▣ 공사추진현황</t>
        </is>
      </c>
    </row>
    <row r="11" ht="22" customHeight="1">
      <c r="A11" s="19" t="inlineStr">
        <is>
          <t>구  분</t>
        </is>
      </c>
      <c r="B11" s="26">
        <f>"전  주"&amp;IF(N(L4)=0,"(   /   ~   /   )","("&amp;MONTH(L4+-7)&amp;"/"&amp;DAY(L4+-7)&amp;" ~ "&amp;MONTH(L4+-1)&amp;"/"&amp;DAY(L4+-1)&amp;")")</f>
        <v/>
      </c>
      <c r="C11" s="14" t="n"/>
      <c r="D11" s="14" t="n"/>
      <c r="E11" s="14" t="n"/>
      <c r="F11" s="26">
        <f>"금  주"&amp;IF(N(L4)=0,"(   /   ~   /   )","("&amp;MONTH(L4+0)&amp;"/"&amp;DAY(L4+0)&amp;" ~ "&amp;MONTH(L4+6)&amp;"/"&amp;DAY(L4+6)&amp;")")</f>
        <v/>
      </c>
      <c r="G11" s="14" t="n"/>
      <c r="H11" s="14" t="n"/>
      <c r="I11" s="14" t="n"/>
      <c r="J11" s="26">
        <f>"내  주"&amp;IF(N(L4)=0,"(   /   ~   /   )","("&amp;MONTH(L4+7)&amp;"/"&amp;DAY(L4+7)&amp;" ~ "&amp;MONTH(L4+13)&amp;"/"&amp;DAY(L4+13)&amp;")")</f>
        <v/>
      </c>
      <c r="K11" s="14" t="n"/>
      <c r="L11" s="14" t="n"/>
      <c r="M11" s="14" t="n"/>
    </row>
    <row r="12" ht="150" customHeight="1">
      <c r="A12" s="20" t="inlineStr">
        <is>
          <t>계  획</t>
        </is>
      </c>
      <c r="B12" s="27" t="inlineStr">
        <is>
          <t>○</t>
        </is>
      </c>
      <c r="C12" s="14" t="n"/>
      <c r="D12" s="14" t="n"/>
      <c r="E12" s="14" t="n"/>
      <c r="F12" s="27" t="inlineStr">
        <is>
          <t>○</t>
        </is>
      </c>
      <c r="G12" s="14" t="n"/>
      <c r="H12" s="14" t="n"/>
      <c r="I12" s="14" t="n"/>
      <c r="J12" s="27" t="inlineStr">
        <is>
          <t>○</t>
        </is>
      </c>
      <c r="K12" s="14" t="n"/>
      <c r="L12" s="14" t="n"/>
      <c r="M12" s="14" t="n"/>
    </row>
    <row r="13" ht="112" customHeight="1">
      <c r="A13" s="20" t="inlineStr">
        <is>
          <t>실  적</t>
        </is>
      </c>
      <c r="B13" s="27" t="inlineStr">
        <is>
          <t>○</t>
        </is>
      </c>
      <c r="C13" s="14" t="n"/>
      <c r="D13" s="14" t="n"/>
      <c r="E13" s="14" t="n"/>
      <c r="F13" s="27" t="inlineStr">
        <is>
          <t>○</t>
        </is>
      </c>
      <c r="G13" s="14" t="n"/>
      <c r="H13" s="14" t="n"/>
      <c r="I13" s="14" t="n"/>
      <c r="J13" s="27" t="inlineStr">
        <is>
          <t>○</t>
        </is>
      </c>
      <c r="K13" s="14" t="n"/>
      <c r="L13" s="14" t="n"/>
      <c r="M13" s="14" t="n"/>
    </row>
    <row r="15" ht="19.5" customHeight="1">
      <c r="A15" s="10" t="inlineStr">
        <is>
          <t>하늘색 칸 = 자동(공사명 · 회의일 · 금주 시작일 · 기간 · 대비). 주가 월요일에 시작하지 않으면 «금주 시작일» 칸에 날짜를 직접 적으세요.</t>
        </is>
      </c>
    </row>
    <row r="16" ht="19.5" customHeight="1">
      <c r="A16" s="10" t="inlineStr">
        <is>
          <t>대비 = 전주까지 누계 실적 − 누계 계획(%p). 뒤지면 빨간 글자로 나오고 아래에 안내가 뜹니다.</t>
        </is>
      </c>
    </row>
  </sheetData>
  <mergeCells count="44">
    <mergeCell ref="F13:I13"/>
    <mergeCell ref="B7:C7"/>
    <mergeCell ref="J12:M12"/>
    <mergeCell ref="F6:G6"/>
    <mergeCell ref="B5:E5"/>
    <mergeCell ref="M7:M8"/>
    <mergeCell ref="F7:G7"/>
    <mergeCell ref="A10:M10"/>
    <mergeCell ref="L3:M3"/>
    <mergeCell ref="D6:E6"/>
    <mergeCell ref="H6:I6"/>
    <mergeCell ref="C3:I3"/>
    <mergeCell ref="F11:I11"/>
    <mergeCell ref="A9:M9"/>
    <mergeCell ref="F5:J5"/>
    <mergeCell ref="A15:M15"/>
    <mergeCell ref="B8:C8"/>
    <mergeCell ref="A3:B3"/>
    <mergeCell ref="F8:G8"/>
    <mergeCell ref="A5:A6"/>
    <mergeCell ref="J4:K4"/>
    <mergeCell ref="J13:M13"/>
    <mergeCell ref="A1:G1"/>
    <mergeCell ref="L4:M4"/>
    <mergeCell ref="D7:E7"/>
    <mergeCell ref="K8:L8"/>
    <mergeCell ref="B12:E12"/>
    <mergeCell ref="H7:I7"/>
    <mergeCell ref="C4:I4"/>
    <mergeCell ref="F12:I12"/>
    <mergeCell ref="B11:E11"/>
    <mergeCell ref="K5:L6"/>
    <mergeCell ref="A16:M16"/>
    <mergeCell ref="A4:B4"/>
    <mergeCell ref="D8:E8"/>
    <mergeCell ref="J3:K3"/>
    <mergeCell ref="B6:C6"/>
    <mergeCell ref="H1:M1"/>
    <mergeCell ref="K7:L7"/>
    <mergeCell ref="B13:E13"/>
    <mergeCell ref="J11:M11"/>
    <mergeCell ref="H8:I8"/>
    <mergeCell ref="A2:M2"/>
    <mergeCell ref="M5:M6"/>
  </mergeCells>
  <printOptions horizontalCentered="1"/>
  <pageMargins left="0.5" right="0.5" top="0.5" bottom="0.5" header="0.2" footer="0.2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M12"/>
  <sheetViews>
    <sheetView showGridLines="0" zoomScale="100" workbookViewId="0">
      <selection activeCell="A1" sqref="A1"/>
    </sheetView>
  </sheetViews>
  <sheetFormatPr baseColWidth="8" defaultRowHeight="15"/>
  <cols>
    <col width="10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</cols>
  <sheetData>
    <row r="1" ht="20" customHeight="1">
      <c r="A1" s="1" t="inlineStr">
        <is>
          <t xml:space="preserve">  K-건설맵  |  k-conmap.com  건설 서식</t>
        </is>
      </c>
      <c r="H1" s="28" t="inlineStr">
        <is>
          <t xml:space="preserve">작성 예시 (가상의 현장)  </t>
        </is>
      </c>
    </row>
    <row r="2" ht="66" customHeight="1"/>
    <row r="3" ht="6" customHeight="1"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 ht="42" customHeight="1">
      <c r="A4" s="4" t="inlineStr"/>
      <c r="C4" s="5" t="inlineStr">
        <is>
          <t>가나지구 배수로 정비공사</t>
        </is>
      </c>
      <c r="L4" s="4" t="inlineStr"/>
    </row>
    <row r="5" ht="50" customHeight="1">
      <c r="A5" s="4" t="inlineStr"/>
      <c r="C5" s="6" t="inlineStr">
        <is>
          <t>주간  공정회의  자료</t>
        </is>
      </c>
      <c r="L5" s="4" t="inlineStr"/>
    </row>
    <row r="6" ht="6" customHeight="1">
      <c r="C6" s="3" t="n"/>
      <c r="D6" s="3" t="n"/>
      <c r="E6" s="3" t="n"/>
      <c r="F6" s="3" t="n"/>
      <c r="G6" s="3" t="n"/>
      <c r="H6" s="3" t="n"/>
      <c r="I6" s="3" t="n"/>
      <c r="J6" s="3" t="n"/>
      <c r="K6" s="3" t="n"/>
    </row>
    <row r="7" ht="120" customHeight="1"/>
    <row r="8" ht="34" customHeight="1">
      <c r="A8" s="4" t="inlineStr"/>
      <c r="D8" s="7" t="n">
        <v>46155</v>
      </c>
      <c r="H8" s="8">
        <f>IF(N(D8)=0,"(      )","("&amp;CHOOSE(WEEKDAY(D8),"일","월","화","수","목","금","토")&amp;")")</f>
        <v/>
      </c>
      <c r="J8" s="4" t="inlineStr"/>
    </row>
    <row r="9" ht="70" customHeight="1"/>
    <row r="10" ht="34" customHeight="1">
      <c r="A10" s="4" t="inlineStr"/>
      <c r="C10" s="9" t="inlineStr">
        <is>
          <t>예시건설(주)</t>
        </is>
      </c>
      <c r="L10" s="4" t="inlineStr"/>
    </row>
    <row r="12" ht="19.5" customHeight="1">
      <c r="A12" s="10" t="inlineStr">
        <is>
          <t>이 시트는 작성 예시입니다(가상의 공사 · 회사).</t>
        </is>
      </c>
    </row>
  </sheetData>
  <mergeCells count="16">
    <mergeCell ref="A4:B4"/>
    <mergeCell ref="H1:M1"/>
    <mergeCell ref="A1:G1"/>
    <mergeCell ref="L4:M4"/>
    <mergeCell ref="C10:K10"/>
    <mergeCell ref="C5:K5"/>
    <mergeCell ref="D8:G8"/>
    <mergeCell ref="A8:C8"/>
    <mergeCell ref="J8:M8"/>
    <mergeCell ref="A10:B10"/>
    <mergeCell ref="A5:B5"/>
    <mergeCell ref="L10:M10"/>
    <mergeCell ref="A12:M12"/>
    <mergeCell ref="L5:M5"/>
    <mergeCell ref="H8:I8"/>
    <mergeCell ref="C4:K4"/>
  </mergeCells>
  <printOptions horizontalCentered="1"/>
  <pageMargins left="0.5" right="0.5" top="0.5" bottom="0.5" header="0.2" footer="0.2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M15"/>
  <sheetViews>
    <sheetView showGridLines="0" zoomScale="100" workbookViewId="0">
      <selection activeCell="A1" sqref="A1"/>
    </sheetView>
  </sheetViews>
  <sheetFormatPr baseColWidth="8" defaultRowHeight="15"/>
  <cols>
    <col width="10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</cols>
  <sheetData>
    <row r="1" ht="20" customHeight="1">
      <c r="A1" s="1" t="inlineStr">
        <is>
          <t xml:space="preserve">  K-건설맵  |  k-conmap.com  건설 서식</t>
        </is>
      </c>
      <c r="H1" s="28" t="inlineStr">
        <is>
          <t xml:space="preserve">작성 예시 (가상의 현장)  </t>
        </is>
      </c>
    </row>
    <row r="2" ht="36" customHeight="1">
      <c r="A2" s="11" t="inlineStr">
        <is>
          <t>주간공정  추진  현황  및  계획</t>
        </is>
      </c>
    </row>
    <row r="3" ht="24" customHeight="1">
      <c r="A3" s="12" t="inlineStr">
        <is>
          <t>▣ 공 사 명 :</t>
        </is>
      </c>
      <c r="C3" s="13">
        <f>IF(OR('예시-표지'!C4="",'예시-표지'!C4="공사명"),"",'예시-표지'!C4)</f>
        <v/>
      </c>
      <c r="D3" s="14" t="n"/>
      <c r="E3" s="14" t="n"/>
      <c r="F3" s="14" t="n"/>
      <c r="G3" s="14" t="n"/>
      <c r="H3" s="14" t="n"/>
      <c r="I3" s="14" t="n"/>
      <c r="J3" s="15" t="inlineStr">
        <is>
          <t>회 의 일</t>
        </is>
      </c>
      <c r="L3" s="16">
        <f>IF(N('예시-표지'!D8)=0,"",YEAR('예시-표지'!D8)&amp;". "&amp;MONTH('예시-표지'!D8)&amp;". "&amp;DAY('예시-표지'!D8)&amp;". ("&amp;CHOOSE(WEEKDAY('예시-표지'!D8),"일","월","화","수","목","금","토")&amp;")")</f>
        <v/>
      </c>
      <c r="M3" s="14" t="n"/>
    </row>
    <row r="4" ht="24" customHeight="1">
      <c r="A4" s="12" t="inlineStr">
        <is>
          <t>▣ 공 정 율</t>
        </is>
      </c>
      <c r="C4" s="4" t="inlineStr"/>
      <c r="J4" s="17" t="inlineStr">
        <is>
          <t>금주 시작일(월)</t>
        </is>
      </c>
      <c r="L4" s="18">
        <f>IF(N('예시-표지'!D8)=0,"",'예시-표지'!D8-WEEKDAY('예시-표지'!D8,2)+1)</f>
        <v/>
      </c>
      <c r="M4" s="14" t="n"/>
    </row>
    <row r="5" ht="22" customHeight="1">
      <c r="A5" s="19" t="inlineStr">
        <is>
          <t>구  분</t>
        </is>
      </c>
      <c r="B5" s="19" t="inlineStr">
        <is>
          <t>전주 실적(%)</t>
        </is>
      </c>
      <c r="C5" s="14" t="n"/>
      <c r="D5" s="14" t="n"/>
      <c r="E5" s="14" t="n"/>
      <c r="F5" s="19" t="inlineStr">
        <is>
          <t>전주까지 누계(%)</t>
        </is>
      </c>
      <c r="G5" s="14" t="n"/>
      <c r="H5" s="14" t="n"/>
      <c r="I5" s="14" t="n"/>
      <c r="J5" s="14" t="n"/>
      <c r="K5" s="19" t="inlineStr">
        <is>
          <t>금주계획(%)</t>
        </is>
      </c>
      <c r="L5" s="14" t="n"/>
      <c r="M5" s="19" t="inlineStr">
        <is>
          <t>비  고</t>
        </is>
      </c>
    </row>
    <row r="6" ht="22" customHeight="1">
      <c r="A6" s="14" t="n"/>
      <c r="B6" s="19" t="inlineStr">
        <is>
          <t>계  획</t>
        </is>
      </c>
      <c r="C6" s="14" t="n"/>
      <c r="D6" s="19" t="inlineStr">
        <is>
          <t>실  적</t>
        </is>
      </c>
      <c r="E6" s="14" t="n"/>
      <c r="F6" s="19" t="inlineStr">
        <is>
          <t>계  획</t>
        </is>
      </c>
      <c r="G6" s="14" t="n"/>
      <c r="H6" s="19" t="inlineStr">
        <is>
          <t>실  적</t>
        </is>
      </c>
      <c r="I6" s="14" t="n"/>
      <c r="J6" s="19" t="inlineStr">
        <is>
          <t>대  비</t>
        </is>
      </c>
      <c r="K6" s="14" t="n"/>
      <c r="L6" s="14" t="n"/>
      <c r="M6" s="14" t="n"/>
    </row>
    <row r="7" ht="24" customHeight="1">
      <c r="A7" s="20" t="inlineStr">
        <is>
          <t>전 체 분</t>
        </is>
      </c>
      <c r="B7" s="21" t="n">
        <v>3.1</v>
      </c>
      <c r="C7" s="14" t="n"/>
      <c r="D7" s="21" t="n">
        <v>2.4</v>
      </c>
      <c r="E7" s="14" t="n"/>
      <c r="F7" s="21" t="n">
        <v>46.2</v>
      </c>
      <c r="G7" s="14" t="n"/>
      <c r="H7" s="21" t="n">
        <v>42.85</v>
      </c>
      <c r="I7" s="14" t="n"/>
      <c r="J7" s="22">
        <f>IF(OR(F7="",H7=""),"",ROUND(H7-F7,2))</f>
        <v/>
      </c>
      <c r="K7" s="21" t="n">
        <v>49.6</v>
      </c>
      <c r="L7" s="14" t="n"/>
      <c r="M7" s="23" t="inlineStr">
        <is>
          <t>우천 1일(5/7)</t>
        </is>
      </c>
    </row>
    <row r="8" ht="24" customHeight="1">
      <c r="A8" s="24" t="inlineStr">
        <is>
          <t>5차분</t>
        </is>
      </c>
      <c r="B8" s="21" t="n">
        <v>6.8</v>
      </c>
      <c r="C8" s="14" t="n"/>
      <c r="D8" s="21" t="n">
        <v>5.9</v>
      </c>
      <c r="E8" s="14" t="n"/>
      <c r="F8" s="21" t="n">
        <v>71.5</v>
      </c>
      <c r="G8" s="14" t="n"/>
      <c r="H8" s="21" t="n">
        <v>72.3</v>
      </c>
      <c r="I8" s="14" t="n"/>
      <c r="J8" s="22">
        <f>IF(OR(F8="",H8=""),"",ROUND(H8-F8,2))</f>
        <v/>
      </c>
      <c r="K8" s="21" t="n">
        <v>78</v>
      </c>
      <c r="L8" s="14" t="n"/>
      <c r="M8" s="14" t="n"/>
    </row>
    <row r="9" ht="17" customHeight="1">
      <c r="A9" s="25">
        <f>IF(N(J7)&lt;0,"⚠ 전체 누계 실적이 계획보다 "&amp;ABS(J7)&amp;"%p 늦습니다 — 만회 대책을 공사추진현황(금주·내주 계획)에 적으세요.","")</f>
        <v/>
      </c>
    </row>
    <row r="10" ht="22" customHeight="1">
      <c r="A10" s="12" t="inlineStr">
        <is>
          <t>▣ 공사추진현황</t>
        </is>
      </c>
    </row>
    <row r="11" ht="22" customHeight="1">
      <c r="A11" s="19" t="inlineStr">
        <is>
          <t>구  분</t>
        </is>
      </c>
      <c r="B11" s="26">
        <f>"전  주"&amp;IF(N(L4)=0,"(   /   ~   /   )","("&amp;MONTH(L4+-7)&amp;"/"&amp;DAY(L4+-7)&amp;" ~ "&amp;MONTH(L4+-1)&amp;"/"&amp;DAY(L4+-1)&amp;")")</f>
        <v/>
      </c>
      <c r="C11" s="14" t="n"/>
      <c r="D11" s="14" t="n"/>
      <c r="E11" s="14" t="n"/>
      <c r="F11" s="26">
        <f>"금  주"&amp;IF(N(L4)=0,"(   /   ~   /   )","("&amp;MONTH(L4+0)&amp;"/"&amp;DAY(L4+0)&amp;" ~ "&amp;MONTH(L4+6)&amp;"/"&amp;DAY(L4+6)&amp;")")</f>
        <v/>
      </c>
      <c r="G11" s="14" t="n"/>
      <c r="H11" s="14" t="n"/>
      <c r="I11" s="14" t="n"/>
      <c r="J11" s="26">
        <f>"내  주"&amp;IF(N(L4)=0,"(   /   ~   /   )","("&amp;MONTH(L4+7)&amp;"/"&amp;DAY(L4+7)&amp;" ~ "&amp;MONTH(L4+13)&amp;"/"&amp;DAY(L4+13)&amp;")")</f>
        <v/>
      </c>
      <c r="K11" s="14" t="n"/>
      <c r="L11" s="14" t="n"/>
      <c r="M11" s="14" t="n"/>
    </row>
    <row r="12" ht="150" customHeight="1">
      <c r="A12" s="20" t="inlineStr">
        <is>
          <t>계  획</t>
        </is>
      </c>
      <c r="B12" s="27" t="inlineStr">
        <is>
          <t>○ 배수로 터파기 STA.0+120 ~ 0+200
○ PC 암거 거치 12개
○ 되메우기 L=60m</t>
        </is>
      </c>
      <c r="C12" s="14" t="n"/>
      <c r="D12" s="14" t="n"/>
      <c r="E12" s="14" t="n"/>
      <c r="F12" s="27" t="inlineStr">
        <is>
          <t>○ 터파기 STA.0+180 ~ 0+260
○ PC 암거 거치 14개(전주 잔여 2개 포함)
○ 되메우기 L=80m</t>
        </is>
      </c>
      <c r="G12" s="14" t="n"/>
      <c r="H12" s="14" t="n"/>
      <c r="I12" s="14" t="n"/>
      <c r="J12" s="27" t="inlineStr">
        <is>
          <t>○ 터파기 STA.0+260 ~ 0+340
○ PC 암거 거치 12개
○ 보도블록 포장 자재 반입</t>
        </is>
      </c>
      <c r="K12" s="14" t="n"/>
      <c r="L12" s="14" t="n"/>
      <c r="M12" s="14" t="n"/>
    </row>
    <row r="13" ht="112" customHeight="1">
      <c r="A13" s="20" t="inlineStr">
        <is>
          <t>실  적</t>
        </is>
      </c>
      <c r="B13" s="27" t="inlineStr">
        <is>
          <t>○ 배수로 터파기 STA.0+120 ~ 0+180 (우천 1일)
○ PC 암거 거치 10개
○ 되메우기 L=45m</t>
        </is>
      </c>
      <c r="C13" s="14" t="n"/>
      <c r="D13" s="14" t="n"/>
      <c r="E13" s="14" t="n"/>
      <c r="F13" s="27" t="inlineStr">
        <is>
          <t>○ 터파기 STA.0+180 ~ 0+220 (5/11 ~ 5/12)
○ PC 암거 거치 6개</t>
        </is>
      </c>
      <c r="G13" s="14" t="n"/>
      <c r="H13" s="14" t="n"/>
      <c r="I13" s="14" t="n"/>
      <c r="J13" s="27" t="inlineStr">
        <is>
          <t>○</t>
        </is>
      </c>
      <c r="K13" s="14" t="n"/>
      <c r="L13" s="14" t="n"/>
      <c r="M13" s="14" t="n"/>
    </row>
    <row r="15" ht="19.5" customHeight="1">
      <c r="A15" s="10" t="inlineStr">
        <is>
          <t>이 시트는 작성 예시입니다(가상의 공사).</t>
        </is>
      </c>
    </row>
  </sheetData>
  <mergeCells count="43">
    <mergeCell ref="F13:I13"/>
    <mergeCell ref="B7:C7"/>
    <mergeCell ref="J12:M12"/>
    <mergeCell ref="F6:G6"/>
    <mergeCell ref="B5:E5"/>
    <mergeCell ref="M7:M8"/>
    <mergeCell ref="F7:G7"/>
    <mergeCell ref="A10:M10"/>
    <mergeCell ref="L3:M3"/>
    <mergeCell ref="D6:E6"/>
    <mergeCell ref="H6:I6"/>
    <mergeCell ref="C3:I3"/>
    <mergeCell ref="F11:I11"/>
    <mergeCell ref="A9:M9"/>
    <mergeCell ref="F5:J5"/>
    <mergeCell ref="A15:M15"/>
    <mergeCell ref="B8:C8"/>
    <mergeCell ref="A3:B3"/>
    <mergeCell ref="F8:G8"/>
    <mergeCell ref="A5:A6"/>
    <mergeCell ref="J4:K4"/>
    <mergeCell ref="J13:M13"/>
    <mergeCell ref="A1:G1"/>
    <mergeCell ref="L4:M4"/>
    <mergeCell ref="D7:E7"/>
    <mergeCell ref="K8:L8"/>
    <mergeCell ref="B12:E12"/>
    <mergeCell ref="H7:I7"/>
    <mergeCell ref="C4:I4"/>
    <mergeCell ref="F12:I12"/>
    <mergeCell ref="B11:E11"/>
    <mergeCell ref="K5:L6"/>
    <mergeCell ref="A4:B4"/>
    <mergeCell ref="D8:E8"/>
    <mergeCell ref="J3:K3"/>
    <mergeCell ref="B6:C6"/>
    <mergeCell ref="H1:M1"/>
    <mergeCell ref="K7:L7"/>
    <mergeCell ref="B13:E13"/>
    <mergeCell ref="J11:M11"/>
    <mergeCell ref="H8:I8"/>
    <mergeCell ref="A2:M2"/>
    <mergeCell ref="M5:M6"/>
  </mergeCells>
  <printOptions horizontalCentered="1"/>
  <pageMargins left="0.5" right="0.5" top="0.5" bottom="0.5" header="0.2" footer="0.2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주간 공정회의록</dc:title>
  <dcterms:created xmlns:dcterms="http://purl.org/dc/terms/" xmlns:xsi="http://www.w3.org/2001/XMLSchema-instance" xsi:type="dcterms:W3CDTF">2026-10-17T01:08:44Z</dcterms:created>
  <dcterms:modified xmlns:dcterms="http://purl.org/dc/terms/" xmlns:xsi="http://www.w3.org/2001/XMLSchema-instance" xsi:type="dcterms:W3CDTF">2026-10-17T01:08:44Z</dcterms:modified>
</cp:coreProperties>
</file>