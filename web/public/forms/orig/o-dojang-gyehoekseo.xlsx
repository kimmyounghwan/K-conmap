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요" sheetId="2" state="visible" r:id="rId2"/>
    <sheet xmlns:r="http://schemas.openxmlformats.org/officeDocument/2006/relationships" name="공정표" sheetId="3" state="visible" r:id="rId3"/>
    <sheet xmlns:r="http://schemas.openxmlformats.org/officeDocument/2006/relationships" name="조직" sheetId="4" state="visible" r:id="rId4"/>
    <sheet xmlns:r="http://schemas.openxmlformats.org/officeDocument/2006/relationships" name="시공관리" sheetId="5" state="visible" r:id="rId5"/>
    <sheet xmlns:r="http://schemas.openxmlformats.org/officeDocument/2006/relationships" name="검측체크" sheetId="6" state="visible" r:id="rId6"/>
    <sheet xmlns:r="http://schemas.openxmlformats.org/officeDocument/2006/relationships" name="관리계획" sheetId="7" state="visible" r:id="rId7"/>
    <sheet xmlns:r="http://schemas.openxmlformats.org/officeDocument/2006/relationships" name="예시-표지" sheetId="8" state="visible" r:id="rId8"/>
    <sheet xmlns:r="http://schemas.openxmlformats.org/officeDocument/2006/relationships" name="예시-개요" sheetId="9" state="visible" r:id="rId9"/>
    <sheet xmlns:r="http://schemas.openxmlformats.org/officeDocument/2006/relationships" name="예시-공정표" sheetId="10" state="visible" r:id="rId10"/>
    <sheet xmlns:r="http://schemas.openxmlformats.org/officeDocument/2006/relationships" name="예시-조직" sheetId="11" state="visible" r:id="rId11"/>
    <sheet xmlns:r="http://schemas.openxmlformats.org/officeDocument/2006/relationships" name="예시-시공관리" sheetId="12" state="visible" r:id="rId12"/>
    <sheet xmlns:r="http://schemas.openxmlformats.org/officeDocument/2006/relationships" name="예시-검측체크" sheetId="13" state="visible" r:id="rId13"/>
    <sheet xmlns:r="http://schemas.openxmlformats.org/officeDocument/2006/relationships" name="예시-관리계획" sheetId="14" state="visible" r:id="rId14"/>
  </sheets>
  <definedNames>
    <definedName name="_xlnm.Print_Area" localSheetId="0">'표지'!$A$1:$L$10</definedName>
    <definedName name="_xlnm.Print_Area" localSheetId="1">'개요'!$A$1:$L$37</definedName>
    <definedName name="_xlnm.Print_Area" localSheetId="2">'공정표'!$A$1:$AO$22</definedName>
    <definedName name="_xlnm.Print_Area" localSheetId="3">'조직'!$A$1:$L$40</definedName>
    <definedName name="_xlnm.Print_Area" localSheetId="4">'시공관리'!$A$1:$L$119</definedName>
    <definedName name="_xlnm.Print_Area" localSheetId="5">'검측체크'!$A$1:$L$62</definedName>
    <definedName name="_xlnm.Print_Area" localSheetId="6">'관리계획'!$A$1:$L$97</definedName>
    <definedName name="_xlnm.Print_Area" localSheetId="7">'예시-표지'!$A$1:$L$10</definedName>
    <definedName name="_xlnm.Print_Area" localSheetId="8">'예시-개요'!$A$1:$L$37</definedName>
    <definedName name="_xlnm.Print_Area" localSheetId="9">'예시-공정표'!$A$1:$AO$22</definedName>
    <definedName name="_xlnm.Print_Area" localSheetId="10">'예시-조직'!$A$1:$L$40</definedName>
    <definedName name="_xlnm.Print_Area" localSheetId="11">'예시-시공관리'!$A$1:$L$119</definedName>
    <definedName name="_xlnm.Print_Area" localSheetId="12">'예시-검측체크'!$A$1:$L$62</definedName>
    <definedName name="_xlnm.Print_Area" localSheetId="13">'예시-관리계획'!$A$1:$L$97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yyyy&quot;. &quot;m&quot;.&quot;"/>
    <numFmt numFmtId="165" formatCode="yyyy. m. d."/>
    <numFmt numFmtId="166" formatCode="&quot;(총 &quot;#,##0&quot;일)&quot;;;&quot;&quot;"/>
    <numFmt numFmtId="167" formatCode="#,##0.##;;&quot;&quot;"/>
    <numFmt numFmtId="168" formatCode="#,##0.##"/>
    <numFmt numFmtId="169" formatCode="yyyy&quot;년&quot; m&quot;월&quot; d&quot;일&quot;"/>
    <numFmt numFmtId="170" formatCode="yy&quot;.&quot;m;;&quot;&quot;"/>
    <numFmt numFmtId="171" formatCode="yyyy-mm-dd"/>
    <numFmt numFmtId="172" formatCode="#,##0;;&quot;&quot;"/>
    <numFmt numFmtId="173" formatCode="#,##0&quot;인&quot;;;&quot;&quot;"/>
    <numFmt numFmtId="174" formatCode="#,##0&quot;인&quot;"/>
  </numFmts>
  <fonts count="34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000000"/>
      <sz val="16"/>
    </font>
    <font>
      <name val="맑은 고딕"/>
      <b val="1"/>
      <color rgb="00111827"/>
      <sz val="30"/>
    </font>
    <font>
      <name val="맑은 고딕"/>
      <b val="1"/>
      <color rgb="00374151"/>
      <sz val="18"/>
    </font>
    <font>
      <name val="맑은 고딕"/>
      <color rgb="00000000"/>
      <sz val="15"/>
    </font>
    <font>
      <name val="맑은 고딕"/>
      <b val="1"/>
      <color rgb="00000000"/>
      <sz val="18"/>
    </font>
    <font>
      <name val="맑은 고딕"/>
      <b val="1"/>
      <color rgb="00111827"/>
      <sz val="22"/>
    </font>
    <font>
      <name val="맑은 고딕"/>
      <color rgb="001F2937"/>
      <sz val="10"/>
    </font>
    <font>
      <name val="맑은 고딕"/>
      <b val="1"/>
      <color rgb="001F2937"/>
      <sz val="12.5"/>
    </font>
    <font>
      <name val="맑은 고딕"/>
      <b val="1"/>
      <color rgb="00111827"/>
      <sz val="14"/>
    </font>
    <font>
      <name val="맑은 고딕"/>
      <b val="1"/>
      <color rgb="001F2937"/>
      <sz val="10"/>
    </font>
    <font>
      <name val="맑은 고딕"/>
      <color rgb="001F2937"/>
      <sz val="10.5"/>
    </font>
    <font>
      <name val="맑은 고딕"/>
      <color rgb="00000000"/>
      <sz val="10"/>
    </font>
    <font>
      <name val="맑은 고딕"/>
      <color rgb="00000000"/>
      <sz val="9.5"/>
    </font>
    <font>
      <name val="맑은 고딕"/>
      <color rgb="00000000"/>
      <sz val="9"/>
    </font>
    <font>
      <name val="맑은 고딕"/>
      <b val="1"/>
      <color rgb="00111827"/>
      <sz val="16"/>
    </font>
    <font>
      <name val="맑은 고딕"/>
      <color rgb="001F2937"/>
      <sz val="7.5"/>
    </font>
    <font>
      <name val="맑은 고딕"/>
      <b val="1"/>
      <color rgb="001F2937"/>
      <sz val="7"/>
    </font>
    <font>
      <name val="맑은 고딕"/>
      <color rgb="001F2937"/>
      <sz val="7"/>
    </font>
    <font>
      <name val="맑은 고딕"/>
      <color rgb="00000000"/>
      <sz val="8.5"/>
    </font>
    <font>
      <name val="맑은 고딕"/>
      <color rgb="001F2937"/>
      <sz val="8.5"/>
    </font>
    <font>
      <name val="맑은 고딕"/>
      <color rgb="00000000"/>
      <sz val="8"/>
    </font>
    <font>
      <name val="맑은 고딕"/>
      <color rgb="001F2937"/>
      <sz val="9"/>
    </font>
    <font>
      <name val="맑은 고딕"/>
      <b val="1"/>
      <color rgb="001F2937"/>
      <sz val="9"/>
    </font>
    <font>
      <name val="맑은 고딕"/>
      <b val="1"/>
      <color rgb="00111827"/>
      <sz val="11.5"/>
    </font>
    <font>
      <name val="맑은 고딕"/>
      <b val="1"/>
      <color rgb="001F2937"/>
      <sz val="9.5"/>
    </font>
    <font>
      <name val="맑은 고딕"/>
      <b val="1"/>
      <color rgb="001F2937"/>
      <sz val="10.5"/>
    </font>
    <font>
      <name val="맑은 고딕"/>
      <color rgb="001F2937"/>
      <sz val="9.5"/>
    </font>
    <font>
      <name val="맑은 고딕"/>
      <b val="1"/>
      <color rgb="00111827"/>
      <sz val="17"/>
    </font>
    <font>
      <name val="맑은 고딕"/>
      <b val="1"/>
      <color rgb="001F2937"/>
      <sz val="8.5"/>
    </font>
    <font>
      <name val="맑은 고딕"/>
      <color rgb="001F2937"/>
      <sz val="8"/>
    </font>
    <font>
      <name val="맑은 고딕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FFF1B8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165" fontId="14" fillId="0" borderId="1" applyAlignment="1" pivotButton="0" quotePrefix="0" xfId="0">
      <alignment horizontal="center" vertical="center" shrinkToFit="1"/>
    </xf>
    <xf numFmtId="0" fontId="9" fillId="0" borderId="1" applyAlignment="1" pivotButton="0" quotePrefix="0" xfId="0">
      <alignment horizontal="center" vertical="center" wrapText="1"/>
    </xf>
    <xf numFmtId="166" fontId="9" fillId="3" borderId="1" applyAlignment="1" pivotButton="0" quotePrefix="0" xfId="0">
      <alignment horizontal="left" vertical="center" shrinkToFit="1"/>
    </xf>
    <xf numFmtId="0" fontId="12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167" fontId="14" fillId="0" borderId="1" applyAlignment="1" pivotButton="0" quotePrefix="0" xfId="0">
      <alignment horizontal="right" vertical="center" shrinkToFit="1"/>
    </xf>
    <xf numFmtId="0" fontId="16" fillId="0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168" fontId="12" fillId="3" borderId="1" applyAlignment="1" pivotButton="0" quotePrefix="0" xfId="0">
      <alignment horizontal="right" vertical="center" shrinkToFit="1"/>
    </xf>
    <xf numFmtId="0" fontId="17" fillId="0" borderId="0" applyAlignment="1" pivotButton="0" quotePrefix="0" xfId="0">
      <alignment horizontal="center" vertical="center" wrapText="1"/>
    </xf>
    <xf numFmtId="169" fontId="9" fillId="3" borderId="1" applyAlignment="1" pivotButton="0" quotePrefix="0" xfId="0">
      <alignment horizontal="center" vertical="center" wrapText="1"/>
    </xf>
    <xf numFmtId="170" fontId="18" fillId="4" borderId="1" applyAlignment="1" pivotButton="0" quotePrefix="0" xfId="0">
      <alignment horizontal="center" vertical="center" shrinkToFit="1"/>
    </xf>
    <xf numFmtId="0" fontId="19" fillId="4" borderId="1" applyAlignment="1" pivotButton="0" quotePrefix="0" xfId="0">
      <alignment horizontal="center" vertical="center" wrapText="1"/>
    </xf>
    <xf numFmtId="171" fontId="20" fillId="0" borderId="0" applyAlignment="1" pivotButton="0" quotePrefix="0" xfId="0">
      <alignment horizontal="left" vertical="center" wrapText="1"/>
    </xf>
    <xf numFmtId="165" fontId="21" fillId="0" borderId="1" applyAlignment="1" pivotButton="0" quotePrefix="0" xfId="0">
      <alignment horizontal="center" vertical="center" shrinkToFit="1"/>
    </xf>
    <xf numFmtId="172" fontId="22" fillId="3" borderId="1" applyAlignment="1" pivotButton="0" quotePrefix="0" xfId="0">
      <alignment horizontal="center" vertical="center" shrinkToFit="1"/>
    </xf>
    <xf numFmtId="0" fontId="9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73" fontId="14" fillId="0" borderId="1" applyAlignment="1" pivotButton="0" quotePrefix="0" xfId="0">
      <alignment horizontal="center" vertical="center" shrinkToFit="1"/>
    </xf>
    <xf numFmtId="174" fontId="12" fillId="3" borderId="1" applyAlignment="1" pivotButton="0" quotePrefix="0" xfId="0">
      <alignment horizontal="center" vertical="center" shrinkToFit="1"/>
    </xf>
    <xf numFmtId="172" fontId="14" fillId="0" borderId="1" applyAlignment="1" pivotButton="0" quotePrefix="0" xfId="0">
      <alignment horizontal="center" vertical="center" shrinkToFit="1"/>
    </xf>
    <xf numFmtId="3" fontId="12" fillId="3" borderId="1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left" vertical="top" wrapText="1"/>
    </xf>
    <xf numFmtId="0" fontId="25" fillId="4" borderId="1" applyAlignment="1" pivotButton="0" quotePrefix="0" xfId="0">
      <alignment horizontal="center" vertical="center" wrapText="1"/>
    </xf>
    <xf numFmtId="165" fontId="15" fillId="0" borderId="1" applyAlignment="1" pivotButton="0" quotePrefix="0" xfId="0">
      <alignment horizontal="center" vertical="center" shrinkToFit="1"/>
    </xf>
    <xf numFmtId="0" fontId="24" fillId="3" borderId="1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top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 indent="2"/>
    </xf>
    <xf numFmtId="0" fontId="27" fillId="0" borderId="0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right" vertical="top" wrapText="1"/>
    </xf>
    <xf numFmtId="0" fontId="24" fillId="0" borderId="0" applyAlignment="1" pivotButton="0" quotePrefix="0" xfId="0">
      <alignment horizontal="left" vertical="top" wrapText="1"/>
    </xf>
    <xf numFmtId="0" fontId="28" fillId="2" borderId="1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169" fontId="14" fillId="0" borderId="1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right" vertical="bottom" wrapText="1"/>
    </xf>
    <xf numFmtId="0" fontId="25" fillId="2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numFmt numFmtId="300" formatCode="#,##0;;&quot;&quot;"/>
    </dxf>
    <dxf>
      <numFmt numFmtId="301" formatCode="#,##0"/>
    </dxf>
    <dxf>
      <fill>
        <patternFill patternType="solid">
          <fgColor rgb="002F5597"/>
          <bgColor rgb="002F559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90" customHeight="1"/>
    <row r="3" ht="40" customHeight="1">
      <c r="A3" s="3" t="inlineStr">
        <is>
          <t>(공 사 명)</t>
        </is>
      </c>
    </row>
    <row r="4" ht="70" customHeight="1"/>
    <row r="5" ht="64" customHeight="1">
      <c r="A5" s="4" t="inlineStr">
        <is>
          <t>시  공  계  획  서</t>
        </is>
      </c>
    </row>
    <row r="6" ht="40" customHeight="1">
      <c r="A6" s="5" t="inlineStr">
        <is>
          <t>[ 도장공사 ]</t>
        </is>
      </c>
    </row>
    <row r="7" ht="120" customHeight="1"/>
    <row r="8" ht="32" customHeight="1">
      <c r="A8" s="6" t="inlineStr">
        <is>
          <t>20    .    .</t>
        </is>
      </c>
    </row>
    <row r="9" ht="110" customHeight="1"/>
    <row r="10" ht="44" customHeight="1">
      <c r="A10" s="7" t="inlineStr">
        <is>
          <t>(회 사 명)</t>
        </is>
      </c>
    </row>
    <row r="12" ht="19.5" customHeight="1">
      <c r="A12" s="8" t="inlineStr">
        <is>
          <t>공사명 · 작성 연월(2026-03 처럼) · 회사명을 여기 한 번만 적으면 뒤 장에 저절로 들어갑니다.</t>
        </is>
      </c>
    </row>
  </sheetData>
  <mergeCells count="8">
    <mergeCell ref="G1:L1"/>
    <mergeCell ref="A10:L10"/>
    <mergeCell ref="A1:F1"/>
    <mergeCell ref="A5:L5"/>
    <mergeCell ref="A8:L8"/>
    <mergeCell ref="A6:L6"/>
    <mergeCell ref="A3:L3"/>
    <mergeCell ref="A12:L12"/>
  </mergeCells>
  <printOptions horizontalCentered="1"/>
  <pageMargins left="0.6" right="0.6" top="0.6" bottom="0.6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16" customHeight="1"/>
    <row r="3" ht="50" customHeight="1">
      <c r="A3" s="9" t="inlineStr">
        <is>
          <t>목          차</t>
        </is>
      </c>
    </row>
    <row r="4" ht="14" customHeight="1"/>
    <row r="5" ht="30" customHeight="1">
      <c r="A5" s="10" t="inlineStr"/>
      <c r="C5" s="11" t="inlineStr">
        <is>
          <t>1.  공  사  개  요</t>
        </is>
      </c>
      <c r="K5" s="10" t="inlineStr"/>
    </row>
    <row r="6" ht="30" customHeight="1">
      <c r="A6" s="10" t="inlineStr"/>
      <c r="C6" s="11" t="inlineStr">
        <is>
          <t>2.  예 정  공 정 표</t>
        </is>
      </c>
      <c r="K6" s="10" t="inlineStr"/>
    </row>
    <row r="7" ht="30" customHeight="1">
      <c r="A7" s="10" t="inlineStr"/>
      <c r="C7" s="11" t="inlineStr">
        <is>
          <t>3.  현 장  조 직 도</t>
        </is>
      </c>
      <c r="K7" s="10" t="inlineStr"/>
    </row>
    <row r="8" ht="30" customHeight="1">
      <c r="A8" s="10" t="inlineStr"/>
      <c r="C8" s="11" t="inlineStr">
        <is>
          <t>4.  기능인력 투입계획 및 주자재 조달계획</t>
        </is>
      </c>
      <c r="K8" s="10" t="inlineStr"/>
    </row>
    <row r="9" ht="30" customHeight="1">
      <c r="A9" s="10" t="inlineStr"/>
      <c r="C9" s="11" t="inlineStr">
        <is>
          <t>5.  시  공  관  리</t>
        </is>
      </c>
      <c r="K9" s="10" t="inlineStr"/>
    </row>
    <row r="10" ht="30" customHeight="1">
      <c r="A10" s="10" t="inlineStr"/>
      <c r="C10" s="11" t="inlineStr">
        <is>
          <t>6.  검측 FLOW CHART · 검측 체크리스트</t>
        </is>
      </c>
      <c r="K10" s="10" t="inlineStr"/>
    </row>
    <row r="11" ht="30" customHeight="1">
      <c r="A11" s="10" t="inlineStr"/>
      <c r="C11" s="11" t="inlineStr">
        <is>
          <t>7.  품 질  관 리  계 획</t>
        </is>
      </c>
      <c r="K11" s="10" t="inlineStr"/>
    </row>
    <row r="12" ht="30" customHeight="1">
      <c r="A12" s="10" t="inlineStr"/>
      <c r="C12" s="11" t="inlineStr">
        <is>
          <t>8.  환 경  관 리  계 획</t>
        </is>
      </c>
      <c r="K12" s="10" t="inlineStr"/>
    </row>
    <row r="13" ht="30" customHeight="1">
      <c r="A13" s="10" t="inlineStr"/>
      <c r="C13" s="11" t="inlineStr">
        <is>
          <t>9.  안 전  관 리  계 획</t>
        </is>
      </c>
      <c r="K13" s="10" t="inlineStr"/>
    </row>
    <row r="14" ht="4" customHeight="1"/>
    <row r="15" ht="30" customHeight="1">
      <c r="A15" s="12" t="inlineStr">
        <is>
          <t>1.0   공 사 개 요</t>
        </is>
      </c>
    </row>
    <row r="16" ht="4" customHeight="1"/>
    <row r="17" ht="28" customHeight="1">
      <c r="A17" s="13" t="inlineStr">
        <is>
          <t>공 사 명</t>
        </is>
      </c>
      <c r="B17" s="14" t="n"/>
      <c r="C17" s="14" t="n"/>
      <c r="D17" s="15">
        <f>IF(OR('표지'!A3="",'표지'!A3="(공 사 명)"),"",'표지'!A3)</f>
        <v/>
      </c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 ht="21" customHeight="1">
      <c r="A18" s="16" t="inlineStr">
        <is>
          <t>1) 공사목적</t>
        </is>
      </c>
    </row>
    <row r="19" ht="66" customHeight="1">
      <c r="A19" s="17">
        <f>"    이 공사의 목적은 "&amp;IF(D17="","본 공사",D17)&amp;"의 도장공사를 하기 전에 공사계획을 철저히 세워 예상되는 문제를 최소화하고, 공정표에 따라 인원과 자재를 원활히 수급하며, 품질기준과 안전기준을 마련하여 도장공사를 성공적으로 수행하는 데 있다."</f>
        <v/>
      </c>
    </row>
    <row r="20" ht="21" customHeight="1">
      <c r="A20" s="16" t="inlineStr">
        <is>
          <t>2) 공사기간</t>
        </is>
      </c>
    </row>
    <row r="21" ht="26" customHeight="1">
      <c r="A21" s="13" t="inlineStr">
        <is>
          <t>공 사 기 간</t>
        </is>
      </c>
      <c r="B21" s="14" t="n"/>
      <c r="C21" s="14" t="n"/>
      <c r="D21" s="18" t="n"/>
      <c r="E21" s="14" t="n"/>
      <c r="F21" s="19" t="inlineStr">
        <is>
          <t>~</t>
        </is>
      </c>
      <c r="G21" s="18" t="n"/>
      <c r="H21" s="14" t="n"/>
      <c r="I21" s="20">
        <f>IF(OR(N(D21)=0,N(G21)=0),"",IF(G21&lt;D21,"⚠ 준공일이 착공일보다 빠름",G21-D21+1))</f>
        <v/>
      </c>
      <c r="J21" s="14" t="n"/>
      <c r="K21" s="14" t="n"/>
      <c r="L21" s="14" t="n"/>
    </row>
    <row r="22" ht="26" customHeight="1">
      <c r="A22" s="13" t="inlineStr">
        <is>
          <t>시  공  사</t>
        </is>
      </c>
      <c r="B22" s="14" t="n"/>
      <c r="C22" s="14" t="n"/>
      <c r="D22" s="15">
        <f>IF(OR('표지'!A10="",'표지'!A10="(회 사 명)"),"",'표지'!A10)</f>
        <v/>
      </c>
      <c r="E22" s="14" t="n"/>
      <c r="F22" s="14" t="n"/>
      <c r="G22" s="14" t="n"/>
      <c r="H22" s="14" t="n"/>
      <c r="I22" s="14" t="n"/>
      <c r="J22" s="14" t="n"/>
      <c r="K22" s="14" t="n"/>
      <c r="L22" s="14" t="n"/>
    </row>
    <row r="23" ht="21" customHeight="1">
      <c r="A23" s="16" t="inlineStr">
        <is>
          <t>3) 공사내역</t>
        </is>
      </c>
    </row>
    <row r="24" ht="24" customHeight="1">
      <c r="A24" s="21" t="inlineStr">
        <is>
          <t>구  분</t>
        </is>
      </c>
      <c r="B24" s="14" t="n"/>
      <c r="C24" s="21" t="inlineStr">
        <is>
          <t>공  종</t>
        </is>
      </c>
      <c r="D24" s="14" t="n"/>
      <c r="E24" s="14" t="n"/>
      <c r="F24" s="21" t="inlineStr">
        <is>
          <t>규  격</t>
        </is>
      </c>
      <c r="G24" s="14" t="n"/>
      <c r="H24" s="21" t="inlineStr">
        <is>
          <t>단위</t>
        </is>
      </c>
      <c r="I24" s="21" t="inlineStr">
        <is>
          <t>수  량</t>
        </is>
      </c>
      <c r="J24" s="14" t="n"/>
      <c r="K24" s="21" t="inlineStr">
        <is>
          <t>비  고</t>
        </is>
      </c>
      <c r="L24" s="14" t="n"/>
    </row>
    <row r="25" ht="23" customHeight="1">
      <c r="A25" s="22" t="n"/>
      <c r="B25" s="14" t="n"/>
      <c r="C25" s="23" t="n"/>
      <c r="D25" s="14" t="n"/>
      <c r="E25" s="14" t="n"/>
      <c r="F25" s="24" t="n"/>
      <c r="G25" s="14" t="n"/>
      <c r="H25" s="22" t="n"/>
      <c r="I25" s="25" t="n"/>
      <c r="J25" s="14" t="n"/>
      <c r="K25" s="26" t="n"/>
      <c r="L25" s="14" t="n"/>
    </row>
    <row r="26" ht="23" customHeight="1">
      <c r="A26" s="22" t="n"/>
      <c r="B26" s="14" t="n"/>
      <c r="C26" s="23" t="n"/>
      <c r="D26" s="14" t="n"/>
      <c r="E26" s="14" t="n"/>
      <c r="F26" s="24" t="n"/>
      <c r="G26" s="14" t="n"/>
      <c r="H26" s="22" t="n"/>
      <c r="I26" s="25" t="n"/>
      <c r="J26" s="14" t="n"/>
      <c r="K26" s="26" t="n"/>
      <c r="L26" s="14" t="n"/>
    </row>
    <row r="27" ht="23" customHeight="1">
      <c r="A27" s="22" t="n"/>
      <c r="B27" s="14" t="n"/>
      <c r="C27" s="23" t="n"/>
      <c r="D27" s="14" t="n"/>
      <c r="E27" s="14" t="n"/>
      <c r="F27" s="24" t="n"/>
      <c r="G27" s="14" t="n"/>
      <c r="H27" s="22" t="n"/>
      <c r="I27" s="25" t="n"/>
      <c r="J27" s="14" t="n"/>
      <c r="K27" s="26" t="n"/>
      <c r="L27" s="14" t="n"/>
    </row>
    <row r="28" ht="23" customHeight="1">
      <c r="A28" s="22" t="n"/>
      <c r="B28" s="14" t="n"/>
      <c r="C28" s="23" t="n"/>
      <c r="D28" s="14" t="n"/>
      <c r="E28" s="14" t="n"/>
      <c r="F28" s="24" t="n"/>
      <c r="G28" s="14" t="n"/>
      <c r="H28" s="22" t="n"/>
      <c r="I28" s="25" t="n"/>
      <c r="J28" s="14" t="n"/>
      <c r="K28" s="26" t="n"/>
      <c r="L28" s="14" t="n"/>
    </row>
    <row r="29" ht="23" customHeight="1">
      <c r="A29" s="22" t="n"/>
      <c r="B29" s="14" t="n"/>
      <c r="C29" s="23" t="n"/>
      <c r="D29" s="14" t="n"/>
      <c r="E29" s="14" t="n"/>
      <c r="F29" s="24" t="n"/>
      <c r="G29" s="14" t="n"/>
      <c r="H29" s="22" t="n"/>
      <c r="I29" s="25" t="n"/>
      <c r="J29" s="14" t="n"/>
      <c r="K29" s="26" t="n"/>
      <c r="L29" s="14" t="n"/>
    </row>
    <row r="30" ht="23" customHeight="1">
      <c r="A30" s="22" t="n"/>
      <c r="B30" s="14" t="n"/>
      <c r="C30" s="23" t="n"/>
      <c r="D30" s="14" t="n"/>
      <c r="E30" s="14" t="n"/>
      <c r="F30" s="24" t="n"/>
      <c r="G30" s="14" t="n"/>
      <c r="H30" s="22" t="n"/>
      <c r="I30" s="25" t="n"/>
      <c r="J30" s="14" t="n"/>
      <c r="K30" s="26" t="n"/>
      <c r="L30" s="14" t="n"/>
    </row>
    <row r="31" ht="23" customHeight="1">
      <c r="A31" s="22" t="n"/>
      <c r="B31" s="14" t="n"/>
      <c r="C31" s="23" t="n"/>
      <c r="D31" s="14" t="n"/>
      <c r="E31" s="14" t="n"/>
      <c r="F31" s="24" t="n"/>
      <c r="G31" s="14" t="n"/>
      <c r="H31" s="22" t="n"/>
      <c r="I31" s="25" t="n"/>
      <c r="J31" s="14" t="n"/>
      <c r="K31" s="26" t="n"/>
      <c r="L31" s="14" t="n"/>
    </row>
    <row r="32" ht="23" customHeight="1">
      <c r="A32" s="22" t="n"/>
      <c r="B32" s="14" t="n"/>
      <c r="C32" s="23" t="n"/>
      <c r="D32" s="14" t="n"/>
      <c r="E32" s="14" t="n"/>
      <c r="F32" s="24" t="n"/>
      <c r="G32" s="14" t="n"/>
      <c r="H32" s="22" t="n"/>
      <c r="I32" s="25" t="n"/>
      <c r="J32" s="14" t="n"/>
      <c r="K32" s="26" t="n"/>
      <c r="L32" s="14" t="n"/>
    </row>
    <row r="33" ht="23" customHeight="1">
      <c r="A33" s="22" t="n"/>
      <c r="B33" s="14" t="n"/>
      <c r="C33" s="23" t="n"/>
      <c r="D33" s="14" t="n"/>
      <c r="E33" s="14" t="n"/>
      <c r="F33" s="24" t="n"/>
      <c r="G33" s="14" t="n"/>
      <c r="H33" s="22" t="n"/>
      <c r="I33" s="25" t="n"/>
      <c r="J33" s="14" t="n"/>
      <c r="K33" s="26" t="n"/>
      <c r="L33" s="14" t="n"/>
    </row>
    <row r="34" ht="23" customHeight="1">
      <c r="A34" s="22" t="n"/>
      <c r="B34" s="14" t="n"/>
      <c r="C34" s="23" t="n"/>
      <c r="D34" s="14" t="n"/>
      <c r="E34" s="14" t="n"/>
      <c r="F34" s="24" t="n"/>
      <c r="G34" s="14" t="n"/>
      <c r="H34" s="22" t="n"/>
      <c r="I34" s="25" t="n"/>
      <c r="J34" s="14" t="n"/>
      <c r="K34" s="26" t="n"/>
      <c r="L34" s="14" t="n"/>
    </row>
    <row r="35" ht="23" customHeight="1">
      <c r="A35" s="22" t="n"/>
      <c r="B35" s="14" t="n"/>
      <c r="C35" s="23" t="n"/>
      <c r="D35" s="14" t="n"/>
      <c r="E35" s="14" t="n"/>
      <c r="F35" s="24" t="n"/>
      <c r="G35" s="14" t="n"/>
      <c r="H35" s="22" t="n"/>
      <c r="I35" s="25" t="n"/>
      <c r="J35" s="14" t="n"/>
      <c r="K35" s="26" t="n"/>
      <c r="L35" s="14" t="n"/>
    </row>
    <row r="36" ht="23" customHeight="1">
      <c r="A36" s="22" t="n"/>
      <c r="B36" s="14" t="n"/>
      <c r="C36" s="23" t="n"/>
      <c r="D36" s="14" t="n"/>
      <c r="E36" s="14" t="n"/>
      <c r="F36" s="24" t="n"/>
      <c r="G36" s="14" t="n"/>
      <c r="H36" s="22" t="n"/>
      <c r="I36" s="25" t="n"/>
      <c r="J36" s="14" t="n"/>
      <c r="K36" s="26" t="n"/>
      <c r="L36" s="14" t="n"/>
    </row>
    <row r="37" ht="24" customHeight="1">
      <c r="A37" s="27" t="inlineStr">
        <is>
          <t>합   계 (단위가 ㎡ 인 줄)</t>
        </is>
      </c>
      <c r="B37" s="14" t="n"/>
      <c r="C37" s="14" t="n"/>
      <c r="D37" s="14" t="n"/>
      <c r="E37" s="14" t="n"/>
      <c r="F37" s="14" t="n"/>
      <c r="G37" s="14" t="n"/>
      <c r="H37" s="27" t="inlineStr">
        <is>
          <t>㎡</t>
        </is>
      </c>
      <c r="I37" s="28">
        <f>IF(SUMIF(H25:H36,"㎡",I25:I36)+SUMIF(H25:H36,"m2",I25:I36)=0,"",SUMIF(H25:H36,"㎡",I25:I36)+SUMIF(H25:H36,"m2",I25:I36))</f>
        <v/>
      </c>
      <c r="J37" s="14" t="n"/>
      <c r="K37" s="27" t="inlineStr"/>
      <c r="L37" s="14" t="n"/>
    </row>
    <row r="39" ht="19.5" customHeight="1">
      <c r="A39" s="8" t="inlineStr">
        <is>
          <t>하늘색 칸 = 자동(공사명 · 공사목적 글 · 공사기간 일수 · ㎡ 합계).</t>
        </is>
      </c>
    </row>
  </sheetData>
  <mergeCells count="112">
    <mergeCell ref="G21:H21"/>
    <mergeCell ref="F29:G29"/>
    <mergeCell ref="K24:L24"/>
    <mergeCell ref="C31:E31"/>
    <mergeCell ref="F25:G25"/>
    <mergeCell ref="K33:L33"/>
    <mergeCell ref="A21:C21"/>
    <mergeCell ref="I26:J26"/>
    <mergeCell ref="K26:L26"/>
    <mergeCell ref="K35:L35"/>
    <mergeCell ref="A7:B7"/>
    <mergeCell ref="I25:J25"/>
    <mergeCell ref="A23:L23"/>
    <mergeCell ref="A27:B27"/>
    <mergeCell ref="A33:B33"/>
    <mergeCell ref="C11:J11"/>
    <mergeCell ref="C34:E34"/>
    <mergeCell ref="A35:B35"/>
    <mergeCell ref="A37:G37"/>
    <mergeCell ref="A28:B28"/>
    <mergeCell ref="K28:L28"/>
    <mergeCell ref="K37:L37"/>
    <mergeCell ref="C13:J13"/>
    <mergeCell ref="A9:B9"/>
    <mergeCell ref="K13:L13"/>
    <mergeCell ref="C25:E25"/>
    <mergeCell ref="I30:J30"/>
    <mergeCell ref="A30:B30"/>
    <mergeCell ref="K30:L30"/>
    <mergeCell ref="A11:B11"/>
    <mergeCell ref="F34:G34"/>
    <mergeCell ref="A3:L3"/>
    <mergeCell ref="F30:G30"/>
    <mergeCell ref="I32:J32"/>
    <mergeCell ref="K32:L32"/>
    <mergeCell ref="C10:J10"/>
    <mergeCell ref="F33:G33"/>
    <mergeCell ref="C32:E32"/>
    <mergeCell ref="C9:J9"/>
    <mergeCell ref="A26:B26"/>
    <mergeCell ref="I24:J24"/>
    <mergeCell ref="I33:J33"/>
    <mergeCell ref="K27:L27"/>
    <mergeCell ref="F31:G31"/>
    <mergeCell ref="F28:G28"/>
    <mergeCell ref="A8:B8"/>
    <mergeCell ref="C24:E24"/>
    <mergeCell ref="C33:E33"/>
    <mergeCell ref="I35:J35"/>
    <mergeCell ref="A10:B10"/>
    <mergeCell ref="K10:L10"/>
    <mergeCell ref="C26:E26"/>
    <mergeCell ref="C35:E35"/>
    <mergeCell ref="K6:L6"/>
    <mergeCell ref="A34:B34"/>
    <mergeCell ref="K25:L25"/>
    <mergeCell ref="C6:J6"/>
    <mergeCell ref="K9:L9"/>
    <mergeCell ref="K5:L5"/>
    <mergeCell ref="A36:B36"/>
    <mergeCell ref="D17:L17"/>
    <mergeCell ref="A18:L18"/>
    <mergeCell ref="K29:L29"/>
    <mergeCell ref="C36:E36"/>
    <mergeCell ref="K11:L11"/>
    <mergeCell ref="A22:C22"/>
    <mergeCell ref="F36:G36"/>
    <mergeCell ref="I37:J37"/>
    <mergeCell ref="K31:L31"/>
    <mergeCell ref="A12:B12"/>
    <mergeCell ref="A20:L20"/>
    <mergeCell ref="C28:E28"/>
    <mergeCell ref="K8:L8"/>
    <mergeCell ref="A5:B5"/>
    <mergeCell ref="A32:B32"/>
    <mergeCell ref="C30:E30"/>
    <mergeCell ref="C8:J8"/>
    <mergeCell ref="K7:L7"/>
    <mergeCell ref="A15:L15"/>
    <mergeCell ref="I21:L21"/>
    <mergeCell ref="A1:F1"/>
    <mergeCell ref="I34:J34"/>
    <mergeCell ref="A24:B24"/>
    <mergeCell ref="K34:L34"/>
    <mergeCell ref="I27:J27"/>
    <mergeCell ref="C5:J5"/>
    <mergeCell ref="I36:J36"/>
    <mergeCell ref="K36:L36"/>
    <mergeCell ref="A6:B6"/>
    <mergeCell ref="D21:E21"/>
    <mergeCell ref="F24:G24"/>
    <mergeCell ref="C27:E27"/>
    <mergeCell ref="A25:B25"/>
    <mergeCell ref="A17:C17"/>
    <mergeCell ref="F32:G32"/>
    <mergeCell ref="I28:J28"/>
    <mergeCell ref="F26:G26"/>
    <mergeCell ref="F35:G35"/>
    <mergeCell ref="G1:L1"/>
    <mergeCell ref="C12:J12"/>
    <mergeCell ref="K12:L12"/>
    <mergeCell ref="A19:L19"/>
    <mergeCell ref="F27:G27"/>
    <mergeCell ref="A39:L39"/>
    <mergeCell ref="I29:J29"/>
    <mergeCell ref="A29:B29"/>
    <mergeCell ref="C7:J7"/>
    <mergeCell ref="D22:L22"/>
    <mergeCell ref="A13:B13"/>
    <mergeCell ref="I31:J31"/>
    <mergeCell ref="C29:E29"/>
    <mergeCell ref="A31:B31"/>
  </mergeCells>
  <conditionalFormatting sqref="I25:I36">
    <cfRule type="expression" priority="1" dxfId="0">
      <formula>AND(ISNUMBER(I25),MOD(I25,1)=0)</formula>
    </cfRule>
  </conditionalFormatting>
  <conditionalFormatting sqref="I37">
    <cfRule type="expression" priority="2" dxfId="1">
      <formula>AND(ISNUMBER(I37),MOD(I37,1)=0)</formula>
    </cfRule>
  </conditionalFormatting>
  <printOptions horizontalCentered="1"/>
  <pageMargins left="0.6" right="0.6" top="0.6" bottom="0.6" header="0.2" footer="0.2"/>
  <pageSetup orientation="portrait" paperSize="9" fitToHeight="0" fitToWidth="1"/>
  <rowBreaks count="1" manualBreakCount="1">
    <brk id="1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O24"/>
  <sheetViews>
    <sheetView showGridLines="0" zoomScale="100" workbookViewId="0">
      <selection activeCell="A1" sqref="A1"/>
    </sheetView>
  </sheetViews>
  <sheetFormatPr baseColWidth="8" defaultRowHeight="15"/>
  <cols>
    <col width="20" customWidth="1" min="1" max="1"/>
    <col width="8.5" customWidth="1" min="2" max="2"/>
    <col width="8.5" customWidth="1" min="3" max="3"/>
    <col width="5.5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7" customWidth="1" min="41" max="41"/>
  </cols>
  <sheetData>
    <row r="1" ht="20" customHeight="1">
      <c r="A1" s="1" t="inlineStr">
        <is>
          <t xml:space="preserve">  K-건설맵  |  k-conmap.com  건설 서식</t>
        </is>
      </c>
      <c r="N1" s="2" t="inlineStr">
        <is>
          <t xml:space="preserve">← 이 1행을 지우고 쓰셔도 됩니다  </t>
        </is>
      </c>
    </row>
    <row r="2" ht="34" customHeight="1">
      <c r="A2" s="29" t="inlineStr">
        <is>
          <t>2.0   예 정 공 정 표</t>
        </is>
      </c>
    </row>
    <row r="3" ht="22" customHeight="1">
      <c r="A3" s="13" t="inlineStr">
        <is>
          <t>착 공 일</t>
        </is>
      </c>
      <c r="B3" s="30">
        <f>IF(N('개요'!D21)=0,"",'개요'!D21)</f>
        <v/>
      </c>
      <c r="C3" s="14" t="n"/>
      <c r="D3" s="8" t="inlineStr">
        <is>
          <t>※ 착공일은 공사개요에서 따라옵니다. 공종마다 착수 · 완료일을 적으면 반달 칸에 막대가 그려집니다.</t>
        </is>
      </c>
    </row>
    <row r="4" ht="20" customHeight="1">
      <c r="A4" s="21" t="inlineStr">
        <is>
          <t>공    종</t>
        </is>
      </c>
      <c r="B4" s="21" t="inlineStr">
        <is>
          <t>착 수</t>
        </is>
      </c>
      <c r="C4" s="21" t="inlineStr">
        <is>
          <t>완 료</t>
        </is>
      </c>
      <c r="D4" s="21" t="inlineStr">
        <is>
          <t>일 수</t>
        </is>
      </c>
      <c r="E4" s="31">
        <f>IF(N(B3)=0,"",EDATE(DATE(YEAR(B3),MONTH(B3),1),0))</f>
        <v/>
      </c>
      <c r="F4" s="14" t="n"/>
      <c r="G4" s="31">
        <f>IF(N(B3)=0,"",EDATE(DATE(YEAR(B3),MONTH(B3),1),1))</f>
        <v/>
      </c>
      <c r="H4" s="14" t="n"/>
      <c r="I4" s="31">
        <f>IF(N(B3)=0,"",EDATE(DATE(YEAR(B3),MONTH(B3),1),2))</f>
        <v/>
      </c>
      <c r="J4" s="14" t="n"/>
      <c r="K4" s="31">
        <f>IF(N(B3)=0,"",EDATE(DATE(YEAR(B3),MONTH(B3),1),3))</f>
        <v/>
      </c>
      <c r="L4" s="14" t="n"/>
      <c r="M4" s="31">
        <f>IF(N(B3)=0,"",EDATE(DATE(YEAR(B3),MONTH(B3),1),4))</f>
        <v/>
      </c>
      <c r="N4" s="14" t="n"/>
      <c r="O4" s="31">
        <f>IF(N(B3)=0,"",EDATE(DATE(YEAR(B3),MONTH(B3),1),5))</f>
        <v/>
      </c>
      <c r="P4" s="14" t="n"/>
      <c r="Q4" s="31">
        <f>IF(N(B3)=0,"",EDATE(DATE(YEAR(B3),MONTH(B3),1),6))</f>
        <v/>
      </c>
      <c r="R4" s="14" t="n"/>
      <c r="S4" s="31">
        <f>IF(N(B3)=0,"",EDATE(DATE(YEAR(B3),MONTH(B3),1),7))</f>
        <v/>
      </c>
      <c r="T4" s="14" t="n"/>
      <c r="U4" s="31">
        <f>IF(N(B3)=0,"",EDATE(DATE(YEAR(B3),MONTH(B3),1),8))</f>
        <v/>
      </c>
      <c r="V4" s="14" t="n"/>
      <c r="W4" s="31">
        <f>IF(N(B3)=0,"",EDATE(DATE(YEAR(B3),MONTH(B3),1),9))</f>
        <v/>
      </c>
      <c r="X4" s="14" t="n"/>
      <c r="Y4" s="31">
        <f>IF(N(B3)=0,"",EDATE(DATE(YEAR(B3),MONTH(B3),1),10))</f>
        <v/>
      </c>
      <c r="Z4" s="14" t="n"/>
      <c r="AA4" s="31">
        <f>IF(N(B3)=0,"",EDATE(DATE(YEAR(B3),MONTH(B3),1),11))</f>
        <v/>
      </c>
      <c r="AB4" s="14" t="n"/>
      <c r="AC4" s="31">
        <f>IF(N(B3)=0,"",EDATE(DATE(YEAR(B3),MONTH(B3),1),12))</f>
        <v/>
      </c>
      <c r="AD4" s="14" t="n"/>
      <c r="AE4" s="31">
        <f>IF(N(B3)=0,"",EDATE(DATE(YEAR(B3),MONTH(B3),1),13))</f>
        <v/>
      </c>
      <c r="AF4" s="14" t="n"/>
      <c r="AG4" s="31">
        <f>IF(N(B3)=0,"",EDATE(DATE(YEAR(B3),MONTH(B3),1),14))</f>
        <v/>
      </c>
      <c r="AH4" s="14" t="n"/>
      <c r="AI4" s="31">
        <f>IF(N(B3)=0,"",EDATE(DATE(YEAR(B3),MONTH(B3),1),15))</f>
        <v/>
      </c>
      <c r="AJ4" s="14" t="n"/>
      <c r="AK4" s="31">
        <f>IF(N(B3)=0,"",EDATE(DATE(YEAR(B3),MONTH(B3),1),16))</f>
        <v/>
      </c>
      <c r="AL4" s="14" t="n"/>
      <c r="AM4" s="31">
        <f>IF(N(B3)=0,"",EDATE(DATE(YEAR(B3),MONTH(B3),1),17))</f>
        <v/>
      </c>
      <c r="AN4" s="14" t="n"/>
      <c r="AO4" s="21" t="inlineStr">
        <is>
          <t>비 고</t>
        </is>
      </c>
    </row>
    <row r="5" ht="15" customHeight="1">
      <c r="A5" s="14" t="n"/>
      <c r="B5" s="14" t="n"/>
      <c r="C5" s="14" t="n"/>
      <c r="D5" s="14" t="n"/>
      <c r="E5" s="32" t="inlineStr">
        <is>
          <t>상</t>
        </is>
      </c>
      <c r="F5" s="32" t="inlineStr">
        <is>
          <t>하</t>
        </is>
      </c>
      <c r="G5" s="32" t="inlineStr">
        <is>
          <t>상</t>
        </is>
      </c>
      <c r="H5" s="32" t="inlineStr">
        <is>
          <t>하</t>
        </is>
      </c>
      <c r="I5" s="32" t="inlineStr">
        <is>
          <t>상</t>
        </is>
      </c>
      <c r="J5" s="32" t="inlineStr">
        <is>
          <t>하</t>
        </is>
      </c>
      <c r="K5" s="32" t="inlineStr">
        <is>
          <t>상</t>
        </is>
      </c>
      <c r="L5" s="32" t="inlineStr">
        <is>
          <t>하</t>
        </is>
      </c>
      <c r="M5" s="32" t="inlineStr">
        <is>
          <t>상</t>
        </is>
      </c>
      <c r="N5" s="32" t="inlineStr">
        <is>
          <t>하</t>
        </is>
      </c>
      <c r="O5" s="32" t="inlineStr">
        <is>
          <t>상</t>
        </is>
      </c>
      <c r="P5" s="32" t="inlineStr">
        <is>
          <t>하</t>
        </is>
      </c>
      <c r="Q5" s="32" t="inlineStr">
        <is>
          <t>상</t>
        </is>
      </c>
      <c r="R5" s="32" t="inlineStr">
        <is>
          <t>하</t>
        </is>
      </c>
      <c r="S5" s="32" t="inlineStr">
        <is>
          <t>상</t>
        </is>
      </c>
      <c r="T5" s="32" t="inlineStr">
        <is>
          <t>하</t>
        </is>
      </c>
      <c r="U5" s="32" t="inlineStr">
        <is>
          <t>상</t>
        </is>
      </c>
      <c r="V5" s="32" t="inlineStr">
        <is>
          <t>하</t>
        </is>
      </c>
      <c r="W5" s="32" t="inlineStr">
        <is>
          <t>상</t>
        </is>
      </c>
      <c r="X5" s="32" t="inlineStr">
        <is>
          <t>하</t>
        </is>
      </c>
      <c r="Y5" s="32" t="inlineStr">
        <is>
          <t>상</t>
        </is>
      </c>
      <c r="Z5" s="32" t="inlineStr">
        <is>
          <t>하</t>
        </is>
      </c>
      <c r="AA5" s="32" t="inlineStr">
        <is>
          <t>상</t>
        </is>
      </c>
      <c r="AB5" s="32" t="inlineStr">
        <is>
          <t>하</t>
        </is>
      </c>
      <c r="AC5" s="32" t="inlineStr">
        <is>
          <t>상</t>
        </is>
      </c>
      <c r="AD5" s="32" t="inlineStr">
        <is>
          <t>하</t>
        </is>
      </c>
      <c r="AE5" s="32" t="inlineStr">
        <is>
          <t>상</t>
        </is>
      </c>
      <c r="AF5" s="32" t="inlineStr">
        <is>
          <t>하</t>
        </is>
      </c>
      <c r="AG5" s="32" t="inlineStr">
        <is>
          <t>상</t>
        </is>
      </c>
      <c r="AH5" s="32" t="inlineStr">
        <is>
          <t>하</t>
        </is>
      </c>
      <c r="AI5" s="32" t="inlineStr">
        <is>
          <t>상</t>
        </is>
      </c>
      <c r="AJ5" s="32" t="inlineStr">
        <is>
          <t>하</t>
        </is>
      </c>
      <c r="AK5" s="32" t="inlineStr">
        <is>
          <t>상</t>
        </is>
      </c>
      <c r="AL5" s="32" t="inlineStr">
        <is>
          <t>하</t>
        </is>
      </c>
      <c r="AM5" s="32" t="inlineStr">
        <is>
          <t>상</t>
        </is>
      </c>
      <c r="AN5" s="32" t="inlineStr">
        <is>
          <t>하</t>
        </is>
      </c>
      <c r="AO5" s="14" t="n"/>
    </row>
    <row r="6" hidden="1" ht="12" customHeight="1">
      <c r="E6" s="33">
        <f>IF(N(B3)=0,"",EDATE(DATE(YEAR(B3),MONTH(B3),1),0))</f>
        <v/>
      </c>
      <c r="F6" s="33">
        <f>IF(N(B3)=0,"",EDATE(DATE(YEAR(B3),MONTH(B3),1),0)+15)</f>
        <v/>
      </c>
      <c r="G6" s="33">
        <f>IF(N(B3)=0,"",EDATE(DATE(YEAR(B3),MONTH(B3),1),1))</f>
        <v/>
      </c>
      <c r="H6" s="33">
        <f>IF(N(B3)=0,"",EDATE(DATE(YEAR(B3),MONTH(B3),1),1)+15)</f>
        <v/>
      </c>
      <c r="I6" s="33">
        <f>IF(N(B3)=0,"",EDATE(DATE(YEAR(B3),MONTH(B3),1),2))</f>
        <v/>
      </c>
      <c r="J6" s="33">
        <f>IF(N(B3)=0,"",EDATE(DATE(YEAR(B3),MONTH(B3),1),2)+15)</f>
        <v/>
      </c>
      <c r="K6" s="33">
        <f>IF(N(B3)=0,"",EDATE(DATE(YEAR(B3),MONTH(B3),1),3))</f>
        <v/>
      </c>
      <c r="L6" s="33">
        <f>IF(N(B3)=0,"",EDATE(DATE(YEAR(B3),MONTH(B3),1),3)+15)</f>
        <v/>
      </c>
      <c r="M6" s="33">
        <f>IF(N(B3)=0,"",EDATE(DATE(YEAR(B3),MONTH(B3),1),4))</f>
        <v/>
      </c>
      <c r="N6" s="33">
        <f>IF(N(B3)=0,"",EDATE(DATE(YEAR(B3),MONTH(B3),1),4)+15)</f>
        <v/>
      </c>
      <c r="O6" s="33">
        <f>IF(N(B3)=0,"",EDATE(DATE(YEAR(B3),MONTH(B3),1),5))</f>
        <v/>
      </c>
      <c r="P6" s="33">
        <f>IF(N(B3)=0,"",EDATE(DATE(YEAR(B3),MONTH(B3),1),5)+15)</f>
        <v/>
      </c>
      <c r="Q6" s="33">
        <f>IF(N(B3)=0,"",EDATE(DATE(YEAR(B3),MONTH(B3),1),6))</f>
        <v/>
      </c>
      <c r="R6" s="33">
        <f>IF(N(B3)=0,"",EDATE(DATE(YEAR(B3),MONTH(B3),1),6)+15)</f>
        <v/>
      </c>
      <c r="S6" s="33">
        <f>IF(N(B3)=0,"",EDATE(DATE(YEAR(B3),MONTH(B3),1),7))</f>
        <v/>
      </c>
      <c r="T6" s="33">
        <f>IF(N(B3)=0,"",EDATE(DATE(YEAR(B3),MONTH(B3),1),7)+15)</f>
        <v/>
      </c>
      <c r="U6" s="33">
        <f>IF(N(B3)=0,"",EDATE(DATE(YEAR(B3),MONTH(B3),1),8))</f>
        <v/>
      </c>
      <c r="V6" s="33">
        <f>IF(N(B3)=0,"",EDATE(DATE(YEAR(B3),MONTH(B3),1),8)+15)</f>
        <v/>
      </c>
      <c r="W6" s="33">
        <f>IF(N(B3)=0,"",EDATE(DATE(YEAR(B3),MONTH(B3),1),9))</f>
        <v/>
      </c>
      <c r="X6" s="33">
        <f>IF(N(B3)=0,"",EDATE(DATE(YEAR(B3),MONTH(B3),1),9)+15)</f>
        <v/>
      </c>
      <c r="Y6" s="33">
        <f>IF(N(B3)=0,"",EDATE(DATE(YEAR(B3),MONTH(B3),1),10))</f>
        <v/>
      </c>
      <c r="Z6" s="33">
        <f>IF(N(B3)=0,"",EDATE(DATE(YEAR(B3),MONTH(B3),1),10)+15)</f>
        <v/>
      </c>
      <c r="AA6" s="33">
        <f>IF(N(B3)=0,"",EDATE(DATE(YEAR(B3),MONTH(B3),1),11))</f>
        <v/>
      </c>
      <c r="AB6" s="33">
        <f>IF(N(B3)=0,"",EDATE(DATE(YEAR(B3),MONTH(B3),1),11)+15)</f>
        <v/>
      </c>
      <c r="AC6" s="33">
        <f>IF(N(B3)=0,"",EDATE(DATE(YEAR(B3),MONTH(B3),1),12))</f>
        <v/>
      </c>
      <c r="AD6" s="33">
        <f>IF(N(B3)=0,"",EDATE(DATE(YEAR(B3),MONTH(B3),1),12)+15)</f>
        <v/>
      </c>
      <c r="AE6" s="33">
        <f>IF(N(B3)=0,"",EDATE(DATE(YEAR(B3),MONTH(B3),1),13))</f>
        <v/>
      </c>
      <c r="AF6" s="33">
        <f>IF(N(B3)=0,"",EDATE(DATE(YEAR(B3),MONTH(B3),1),13)+15)</f>
        <v/>
      </c>
      <c r="AG6" s="33">
        <f>IF(N(B3)=0,"",EDATE(DATE(YEAR(B3),MONTH(B3),1),14))</f>
        <v/>
      </c>
      <c r="AH6" s="33">
        <f>IF(N(B3)=0,"",EDATE(DATE(YEAR(B3),MONTH(B3),1),14)+15)</f>
        <v/>
      </c>
      <c r="AI6" s="33">
        <f>IF(N(B3)=0,"",EDATE(DATE(YEAR(B3),MONTH(B3),1),15))</f>
        <v/>
      </c>
      <c r="AJ6" s="33">
        <f>IF(N(B3)=0,"",EDATE(DATE(YEAR(B3),MONTH(B3),1),15)+15)</f>
        <v/>
      </c>
      <c r="AK6" s="33">
        <f>IF(N(B3)=0,"",EDATE(DATE(YEAR(B3),MONTH(B3),1),16))</f>
        <v/>
      </c>
      <c r="AL6" s="33">
        <f>IF(N(B3)=0,"",EDATE(DATE(YEAR(B3),MONTH(B3),1),16)+15)</f>
        <v/>
      </c>
      <c r="AM6" s="33">
        <f>IF(N(B3)=0,"",EDATE(DATE(YEAR(B3),MONTH(B3),1),17))</f>
        <v/>
      </c>
      <c r="AN6" s="33">
        <f>IF(N(B3)=0,"",EDATE(DATE(YEAR(B3),MONTH(B3),1),17)+15)</f>
        <v/>
      </c>
    </row>
    <row r="7" hidden="1" ht="12" customHeight="1">
      <c r="E7" s="33">
        <f>IF(N(B3)=0,"",EDATE(DATE(YEAR(B3),MONTH(B3),1),0)+14)</f>
        <v/>
      </c>
      <c r="F7" s="33">
        <f>IF(N(B3)=0,"",EDATE(DATE(YEAR(B3),MONTH(B3),1),1)-1)</f>
        <v/>
      </c>
      <c r="G7" s="33">
        <f>IF(N(B3)=0,"",EDATE(DATE(YEAR(B3),MONTH(B3),1),1)+14)</f>
        <v/>
      </c>
      <c r="H7" s="33">
        <f>IF(N(B3)=0,"",EDATE(DATE(YEAR(B3),MONTH(B3),1),2)-1)</f>
        <v/>
      </c>
      <c r="I7" s="33">
        <f>IF(N(B3)=0,"",EDATE(DATE(YEAR(B3),MONTH(B3),1),2)+14)</f>
        <v/>
      </c>
      <c r="J7" s="33">
        <f>IF(N(B3)=0,"",EDATE(DATE(YEAR(B3),MONTH(B3),1),3)-1)</f>
        <v/>
      </c>
      <c r="K7" s="33">
        <f>IF(N(B3)=0,"",EDATE(DATE(YEAR(B3),MONTH(B3),1),3)+14)</f>
        <v/>
      </c>
      <c r="L7" s="33">
        <f>IF(N(B3)=0,"",EDATE(DATE(YEAR(B3),MONTH(B3),1),4)-1)</f>
        <v/>
      </c>
      <c r="M7" s="33">
        <f>IF(N(B3)=0,"",EDATE(DATE(YEAR(B3),MONTH(B3),1),4)+14)</f>
        <v/>
      </c>
      <c r="N7" s="33">
        <f>IF(N(B3)=0,"",EDATE(DATE(YEAR(B3),MONTH(B3),1),5)-1)</f>
        <v/>
      </c>
      <c r="O7" s="33">
        <f>IF(N(B3)=0,"",EDATE(DATE(YEAR(B3),MONTH(B3),1),5)+14)</f>
        <v/>
      </c>
      <c r="P7" s="33">
        <f>IF(N(B3)=0,"",EDATE(DATE(YEAR(B3),MONTH(B3),1),6)-1)</f>
        <v/>
      </c>
      <c r="Q7" s="33">
        <f>IF(N(B3)=0,"",EDATE(DATE(YEAR(B3),MONTH(B3),1),6)+14)</f>
        <v/>
      </c>
      <c r="R7" s="33">
        <f>IF(N(B3)=0,"",EDATE(DATE(YEAR(B3),MONTH(B3),1),7)-1)</f>
        <v/>
      </c>
      <c r="S7" s="33">
        <f>IF(N(B3)=0,"",EDATE(DATE(YEAR(B3),MONTH(B3),1),7)+14)</f>
        <v/>
      </c>
      <c r="T7" s="33">
        <f>IF(N(B3)=0,"",EDATE(DATE(YEAR(B3),MONTH(B3),1),8)-1)</f>
        <v/>
      </c>
      <c r="U7" s="33">
        <f>IF(N(B3)=0,"",EDATE(DATE(YEAR(B3),MONTH(B3),1),8)+14)</f>
        <v/>
      </c>
      <c r="V7" s="33">
        <f>IF(N(B3)=0,"",EDATE(DATE(YEAR(B3),MONTH(B3),1),9)-1)</f>
        <v/>
      </c>
      <c r="W7" s="33">
        <f>IF(N(B3)=0,"",EDATE(DATE(YEAR(B3),MONTH(B3),1),9)+14)</f>
        <v/>
      </c>
      <c r="X7" s="33">
        <f>IF(N(B3)=0,"",EDATE(DATE(YEAR(B3),MONTH(B3),1),10)-1)</f>
        <v/>
      </c>
      <c r="Y7" s="33">
        <f>IF(N(B3)=0,"",EDATE(DATE(YEAR(B3),MONTH(B3),1),10)+14)</f>
        <v/>
      </c>
      <c r="Z7" s="33">
        <f>IF(N(B3)=0,"",EDATE(DATE(YEAR(B3),MONTH(B3),1),11)-1)</f>
        <v/>
      </c>
      <c r="AA7" s="33">
        <f>IF(N(B3)=0,"",EDATE(DATE(YEAR(B3),MONTH(B3),1),11)+14)</f>
        <v/>
      </c>
      <c r="AB7" s="33">
        <f>IF(N(B3)=0,"",EDATE(DATE(YEAR(B3),MONTH(B3),1),12)-1)</f>
        <v/>
      </c>
      <c r="AC7" s="33">
        <f>IF(N(B3)=0,"",EDATE(DATE(YEAR(B3),MONTH(B3),1),12)+14)</f>
        <v/>
      </c>
      <c r="AD7" s="33">
        <f>IF(N(B3)=0,"",EDATE(DATE(YEAR(B3),MONTH(B3),1),13)-1)</f>
        <v/>
      </c>
      <c r="AE7" s="33">
        <f>IF(N(B3)=0,"",EDATE(DATE(YEAR(B3),MONTH(B3),1),13)+14)</f>
        <v/>
      </c>
      <c r="AF7" s="33">
        <f>IF(N(B3)=0,"",EDATE(DATE(YEAR(B3),MONTH(B3),1),14)-1)</f>
        <v/>
      </c>
      <c r="AG7" s="33">
        <f>IF(N(B3)=0,"",EDATE(DATE(YEAR(B3),MONTH(B3),1),14)+14)</f>
        <v/>
      </c>
      <c r="AH7" s="33">
        <f>IF(N(B3)=0,"",EDATE(DATE(YEAR(B3),MONTH(B3),1),15)-1)</f>
        <v/>
      </c>
      <c r="AI7" s="33">
        <f>IF(N(B3)=0,"",EDATE(DATE(YEAR(B3),MONTH(B3),1),15)+14)</f>
        <v/>
      </c>
      <c r="AJ7" s="33">
        <f>IF(N(B3)=0,"",EDATE(DATE(YEAR(B3),MONTH(B3),1),16)-1)</f>
        <v/>
      </c>
      <c r="AK7" s="33">
        <f>IF(N(B3)=0,"",EDATE(DATE(YEAR(B3),MONTH(B3),1),16)+14)</f>
        <v/>
      </c>
      <c r="AL7" s="33">
        <f>IF(N(B3)=0,"",EDATE(DATE(YEAR(B3),MONTH(B3),1),17)-1)</f>
        <v/>
      </c>
      <c r="AM7" s="33">
        <f>IF(N(B3)=0,"",EDATE(DATE(YEAR(B3),MONTH(B3),1),17)+14)</f>
        <v/>
      </c>
      <c r="AN7" s="33">
        <f>IF(N(B3)=0,"",EDATE(DATE(YEAR(B3),MONTH(B3),1),18)-1)</f>
        <v/>
      </c>
    </row>
    <row r="8" ht="22" customHeight="1">
      <c r="A8" s="26" t="inlineStr">
        <is>
          <t>바탕 만들기 · 퍼티</t>
        </is>
      </c>
      <c r="B8" s="34" t="n"/>
      <c r="C8" s="34" t="n"/>
      <c r="D8" s="35">
        <f>IF(OR(N(B8)=0,N(C8)=0),"",IF(C8&lt;B8,"⚠",C8-B8+1))</f>
        <v/>
      </c>
      <c r="E8" s="36" t="inlineStr"/>
      <c r="F8" s="36" t="inlineStr"/>
      <c r="G8" s="36" t="inlineStr"/>
      <c r="H8" s="36" t="inlineStr"/>
      <c r="I8" s="36" t="inlineStr"/>
      <c r="J8" s="36" t="inlineStr"/>
      <c r="K8" s="36" t="inlineStr"/>
      <c r="L8" s="36" t="inlineStr"/>
      <c r="M8" s="36" t="inlineStr"/>
      <c r="N8" s="36" t="inlineStr"/>
      <c r="O8" s="36" t="inlineStr"/>
      <c r="P8" s="36" t="inlineStr"/>
      <c r="Q8" s="36" t="inlineStr"/>
      <c r="R8" s="36" t="inlineStr"/>
      <c r="S8" s="36" t="inlineStr"/>
      <c r="T8" s="36" t="inlineStr"/>
      <c r="U8" s="36" t="inlineStr"/>
      <c r="V8" s="36" t="inlineStr"/>
      <c r="W8" s="36" t="inlineStr"/>
      <c r="X8" s="36" t="inlineStr"/>
      <c r="Y8" s="36" t="inlineStr"/>
      <c r="Z8" s="36" t="inlineStr"/>
      <c r="AA8" s="36" t="inlineStr"/>
      <c r="AB8" s="36" t="inlineStr"/>
      <c r="AC8" s="36" t="inlineStr"/>
      <c r="AD8" s="36" t="inlineStr"/>
      <c r="AE8" s="36" t="inlineStr"/>
      <c r="AF8" s="36" t="inlineStr"/>
      <c r="AG8" s="36" t="inlineStr"/>
      <c r="AH8" s="36" t="inlineStr"/>
      <c r="AI8" s="36" t="inlineStr"/>
      <c r="AJ8" s="36" t="inlineStr"/>
      <c r="AK8" s="36" t="inlineStr"/>
      <c r="AL8" s="36" t="inlineStr"/>
      <c r="AM8" s="36" t="inlineStr"/>
      <c r="AN8" s="36" t="inlineStr"/>
      <c r="AO8" s="37" t="n"/>
    </row>
    <row r="9" ht="22" customHeight="1">
      <c r="A9" s="26" t="inlineStr">
        <is>
          <t>내부 수성페인트 초벌</t>
        </is>
      </c>
      <c r="B9" s="34" t="n"/>
      <c r="C9" s="34" t="n"/>
      <c r="D9" s="35">
        <f>IF(OR(N(B9)=0,N(C9)=0),"",IF(C9&lt;B9,"⚠",C9-B9+1))</f>
        <v/>
      </c>
      <c r="E9" s="36" t="inlineStr"/>
      <c r="F9" s="36" t="inlineStr"/>
      <c r="G9" s="36" t="inlineStr"/>
      <c r="H9" s="36" t="inlineStr"/>
      <c r="I9" s="36" t="inlineStr"/>
      <c r="J9" s="36" t="inlineStr"/>
      <c r="K9" s="36" t="inlineStr"/>
      <c r="L9" s="36" t="inlineStr"/>
      <c r="M9" s="36" t="inlineStr"/>
      <c r="N9" s="36" t="inlineStr"/>
      <c r="O9" s="36" t="inlineStr"/>
      <c r="P9" s="36" t="inlineStr"/>
      <c r="Q9" s="36" t="inlineStr"/>
      <c r="R9" s="36" t="inlineStr"/>
      <c r="S9" s="36" t="inlineStr"/>
      <c r="T9" s="36" t="inlineStr"/>
      <c r="U9" s="36" t="inlineStr"/>
      <c r="V9" s="36" t="inlineStr"/>
      <c r="W9" s="36" t="inlineStr"/>
      <c r="X9" s="36" t="inlineStr"/>
      <c r="Y9" s="36" t="inlineStr"/>
      <c r="Z9" s="36" t="inlineStr"/>
      <c r="AA9" s="36" t="inlineStr"/>
      <c r="AB9" s="36" t="inlineStr"/>
      <c r="AC9" s="36" t="inlineStr"/>
      <c r="AD9" s="36" t="inlineStr"/>
      <c r="AE9" s="36" t="inlineStr"/>
      <c r="AF9" s="36" t="inlineStr"/>
      <c r="AG9" s="36" t="inlineStr"/>
      <c r="AH9" s="36" t="inlineStr"/>
      <c r="AI9" s="36" t="inlineStr"/>
      <c r="AJ9" s="36" t="inlineStr"/>
      <c r="AK9" s="36" t="inlineStr"/>
      <c r="AL9" s="36" t="inlineStr"/>
      <c r="AM9" s="36" t="inlineStr"/>
      <c r="AN9" s="36" t="inlineStr"/>
      <c r="AO9" s="37" t="n"/>
    </row>
    <row r="10" ht="22" customHeight="1">
      <c r="A10" s="26" t="inlineStr">
        <is>
          <t>내부 수성페인트 재벌 · 정벌</t>
        </is>
      </c>
      <c r="B10" s="34" t="n"/>
      <c r="C10" s="34" t="n"/>
      <c r="D10" s="35">
        <f>IF(OR(N(B10)=0,N(C10)=0),"",IF(C10&lt;B10,"⚠",C10-B10+1))</f>
        <v/>
      </c>
      <c r="E10" s="36" t="inlineStr"/>
      <c r="F10" s="36" t="inlineStr"/>
      <c r="G10" s="36" t="inlineStr"/>
      <c r="H10" s="36" t="inlineStr"/>
      <c r="I10" s="36" t="inlineStr"/>
      <c r="J10" s="36" t="inlineStr"/>
      <c r="K10" s="36" t="inlineStr"/>
      <c r="L10" s="36" t="inlineStr"/>
      <c r="M10" s="36" t="inlineStr"/>
      <c r="N10" s="36" t="inlineStr"/>
      <c r="O10" s="36" t="inlineStr"/>
      <c r="P10" s="36" t="inlineStr"/>
      <c r="Q10" s="36" t="inlineStr"/>
      <c r="R10" s="36" t="inlineStr"/>
      <c r="S10" s="36" t="inlineStr"/>
      <c r="T10" s="36" t="inlineStr"/>
      <c r="U10" s="36" t="inlineStr"/>
      <c r="V10" s="36" t="inlineStr"/>
      <c r="W10" s="36" t="inlineStr"/>
      <c r="X10" s="36" t="inlineStr"/>
      <c r="Y10" s="36" t="inlineStr"/>
      <c r="Z10" s="36" t="inlineStr"/>
      <c r="AA10" s="36" t="inlineStr"/>
      <c r="AB10" s="36" t="inlineStr"/>
      <c r="AC10" s="36" t="inlineStr"/>
      <c r="AD10" s="36" t="inlineStr"/>
      <c r="AE10" s="36" t="inlineStr"/>
      <c r="AF10" s="36" t="inlineStr"/>
      <c r="AG10" s="36" t="inlineStr"/>
      <c r="AH10" s="36" t="inlineStr"/>
      <c r="AI10" s="36" t="inlineStr"/>
      <c r="AJ10" s="36" t="inlineStr"/>
      <c r="AK10" s="36" t="inlineStr"/>
      <c r="AL10" s="36" t="inlineStr"/>
      <c r="AM10" s="36" t="inlineStr"/>
      <c r="AN10" s="36" t="inlineStr"/>
      <c r="AO10" s="37" t="n"/>
    </row>
    <row r="11" ht="22" customHeight="1">
      <c r="A11" s="26" t="inlineStr">
        <is>
          <t>외부 수성페인트</t>
        </is>
      </c>
      <c r="B11" s="34" t="n"/>
      <c r="C11" s="34" t="n"/>
      <c r="D11" s="35">
        <f>IF(OR(N(B11)=0,N(C11)=0),"",IF(C11&lt;B11,"⚠",C11-B11+1))</f>
        <v/>
      </c>
      <c r="E11" s="36" t="inlineStr"/>
      <c r="F11" s="36" t="inlineStr"/>
      <c r="G11" s="36" t="inlineStr"/>
      <c r="H11" s="36" t="inlineStr"/>
      <c r="I11" s="36" t="inlineStr"/>
      <c r="J11" s="36" t="inlineStr"/>
      <c r="K11" s="36" t="inlineStr"/>
      <c r="L11" s="36" t="inlineStr"/>
      <c r="M11" s="36" t="inlineStr"/>
      <c r="N11" s="36" t="inlineStr"/>
      <c r="O11" s="36" t="inlineStr"/>
      <c r="P11" s="36" t="inlineStr"/>
      <c r="Q11" s="36" t="inlineStr"/>
      <c r="R11" s="36" t="inlineStr"/>
      <c r="S11" s="36" t="inlineStr"/>
      <c r="T11" s="36" t="inlineStr"/>
      <c r="U11" s="36" t="inlineStr"/>
      <c r="V11" s="36" t="inlineStr"/>
      <c r="W11" s="36" t="inlineStr"/>
      <c r="X11" s="36" t="inlineStr"/>
      <c r="Y11" s="36" t="inlineStr"/>
      <c r="Z11" s="36" t="inlineStr"/>
      <c r="AA11" s="36" t="inlineStr"/>
      <c r="AB11" s="36" t="inlineStr"/>
      <c r="AC11" s="36" t="inlineStr"/>
      <c r="AD11" s="36" t="inlineStr"/>
      <c r="AE11" s="36" t="inlineStr"/>
      <c r="AF11" s="36" t="inlineStr"/>
      <c r="AG11" s="36" t="inlineStr"/>
      <c r="AH11" s="36" t="inlineStr"/>
      <c r="AI11" s="36" t="inlineStr"/>
      <c r="AJ11" s="36" t="inlineStr"/>
      <c r="AK11" s="36" t="inlineStr"/>
      <c r="AL11" s="36" t="inlineStr"/>
      <c r="AM11" s="36" t="inlineStr"/>
      <c r="AN11" s="36" t="inlineStr"/>
      <c r="AO11" s="37" t="n"/>
    </row>
    <row r="12" ht="22" customHeight="1">
      <c r="A12" s="26" t="inlineStr">
        <is>
          <t>걸레받이 세라믹 페인트</t>
        </is>
      </c>
      <c r="B12" s="34" t="n"/>
      <c r="C12" s="34" t="n"/>
      <c r="D12" s="35">
        <f>IF(OR(N(B12)=0,N(C12)=0),"",IF(C12&lt;B12,"⚠",C12-B12+1))</f>
        <v/>
      </c>
      <c r="E12" s="36" t="inlineStr"/>
      <c r="F12" s="36" t="inlineStr"/>
      <c r="G12" s="36" t="inlineStr"/>
      <c r="H12" s="36" t="inlineStr"/>
      <c r="I12" s="36" t="inlineStr"/>
      <c r="J12" s="36" t="inlineStr"/>
      <c r="K12" s="36" t="inlineStr"/>
      <c r="L12" s="36" t="inlineStr"/>
      <c r="M12" s="36" t="inlineStr"/>
      <c r="N12" s="36" t="inlineStr"/>
      <c r="O12" s="36" t="inlineStr"/>
      <c r="P12" s="36" t="inlineStr"/>
      <c r="Q12" s="36" t="inlineStr"/>
      <c r="R12" s="36" t="inlineStr"/>
      <c r="S12" s="36" t="inlineStr"/>
      <c r="T12" s="36" t="inlineStr"/>
      <c r="U12" s="36" t="inlineStr"/>
      <c r="V12" s="36" t="inlineStr"/>
      <c r="W12" s="36" t="inlineStr"/>
      <c r="X12" s="36" t="inlineStr"/>
      <c r="Y12" s="36" t="inlineStr"/>
      <c r="Z12" s="36" t="inlineStr"/>
      <c r="AA12" s="36" t="inlineStr"/>
      <c r="AB12" s="36" t="inlineStr"/>
      <c r="AC12" s="36" t="inlineStr"/>
      <c r="AD12" s="36" t="inlineStr"/>
      <c r="AE12" s="36" t="inlineStr"/>
      <c r="AF12" s="36" t="inlineStr"/>
      <c r="AG12" s="36" t="inlineStr"/>
      <c r="AH12" s="36" t="inlineStr"/>
      <c r="AI12" s="36" t="inlineStr"/>
      <c r="AJ12" s="36" t="inlineStr"/>
      <c r="AK12" s="36" t="inlineStr"/>
      <c r="AL12" s="36" t="inlineStr"/>
      <c r="AM12" s="36" t="inlineStr"/>
      <c r="AN12" s="36" t="inlineStr"/>
      <c r="AO12" s="37" t="n"/>
    </row>
    <row r="13" ht="22" customHeight="1">
      <c r="A13" s="26" t="inlineStr">
        <is>
          <t>에폭시 코팅 · 라이닝(바닥)</t>
        </is>
      </c>
      <c r="B13" s="34" t="n"/>
      <c r="C13" s="34" t="n"/>
      <c r="D13" s="35">
        <f>IF(OR(N(B13)=0,N(C13)=0),"",IF(C13&lt;B13,"⚠",C13-B13+1))</f>
        <v/>
      </c>
      <c r="E13" s="36" t="inlineStr"/>
      <c r="F13" s="36" t="inlineStr"/>
      <c r="G13" s="36" t="inlineStr"/>
      <c r="H13" s="36" t="inlineStr"/>
      <c r="I13" s="36" t="inlineStr"/>
      <c r="J13" s="36" t="inlineStr"/>
      <c r="K13" s="36" t="inlineStr"/>
      <c r="L13" s="36" t="inlineStr"/>
      <c r="M13" s="36" t="inlineStr"/>
      <c r="N13" s="36" t="inlineStr"/>
      <c r="O13" s="36" t="inlineStr"/>
      <c r="P13" s="36" t="inlineStr"/>
      <c r="Q13" s="36" t="inlineStr"/>
      <c r="R13" s="36" t="inlineStr"/>
      <c r="S13" s="36" t="inlineStr"/>
      <c r="T13" s="36" t="inlineStr"/>
      <c r="U13" s="36" t="inlineStr"/>
      <c r="V13" s="36" t="inlineStr"/>
      <c r="W13" s="36" t="inlineStr"/>
      <c r="X13" s="36" t="inlineStr"/>
      <c r="Y13" s="36" t="inlineStr"/>
      <c r="Z13" s="36" t="inlineStr"/>
      <c r="AA13" s="36" t="inlineStr"/>
      <c r="AB13" s="36" t="inlineStr"/>
      <c r="AC13" s="36" t="inlineStr"/>
      <c r="AD13" s="36" t="inlineStr"/>
      <c r="AE13" s="36" t="inlineStr"/>
      <c r="AF13" s="36" t="inlineStr"/>
      <c r="AG13" s="36" t="inlineStr"/>
      <c r="AH13" s="36" t="inlineStr"/>
      <c r="AI13" s="36" t="inlineStr"/>
      <c r="AJ13" s="36" t="inlineStr"/>
      <c r="AK13" s="36" t="inlineStr"/>
      <c r="AL13" s="36" t="inlineStr"/>
      <c r="AM13" s="36" t="inlineStr"/>
      <c r="AN13" s="36" t="inlineStr"/>
      <c r="AO13" s="37" t="n"/>
    </row>
    <row r="14" ht="22" customHeight="1">
      <c r="A14" s="26" t="inlineStr">
        <is>
          <t>보수 · 보양 · 청소</t>
        </is>
      </c>
      <c r="B14" s="34" t="n"/>
      <c r="C14" s="34" t="n"/>
      <c r="D14" s="35">
        <f>IF(OR(N(B14)=0,N(C14)=0),"",IF(C14&lt;B14,"⚠",C14-B14+1))</f>
        <v/>
      </c>
      <c r="E14" s="36" t="inlineStr"/>
      <c r="F14" s="36" t="inlineStr"/>
      <c r="G14" s="36" t="inlineStr"/>
      <c r="H14" s="36" t="inlineStr"/>
      <c r="I14" s="36" t="inlineStr"/>
      <c r="J14" s="36" t="inlineStr"/>
      <c r="K14" s="36" t="inlineStr"/>
      <c r="L14" s="36" t="inlineStr"/>
      <c r="M14" s="36" t="inlineStr"/>
      <c r="N14" s="36" t="inlineStr"/>
      <c r="O14" s="36" t="inlineStr"/>
      <c r="P14" s="36" t="inlineStr"/>
      <c r="Q14" s="36" t="inlineStr"/>
      <c r="R14" s="36" t="inlineStr"/>
      <c r="S14" s="36" t="inlineStr"/>
      <c r="T14" s="36" t="inlineStr"/>
      <c r="U14" s="36" t="inlineStr"/>
      <c r="V14" s="36" t="inlineStr"/>
      <c r="W14" s="36" t="inlineStr"/>
      <c r="X14" s="36" t="inlineStr"/>
      <c r="Y14" s="36" t="inlineStr"/>
      <c r="Z14" s="36" t="inlineStr"/>
      <c r="AA14" s="36" t="inlineStr"/>
      <c r="AB14" s="36" t="inlineStr"/>
      <c r="AC14" s="36" t="inlineStr"/>
      <c r="AD14" s="36" t="inlineStr"/>
      <c r="AE14" s="36" t="inlineStr"/>
      <c r="AF14" s="36" t="inlineStr"/>
      <c r="AG14" s="36" t="inlineStr"/>
      <c r="AH14" s="36" t="inlineStr"/>
      <c r="AI14" s="36" t="inlineStr"/>
      <c r="AJ14" s="36" t="inlineStr"/>
      <c r="AK14" s="36" t="inlineStr"/>
      <c r="AL14" s="36" t="inlineStr"/>
      <c r="AM14" s="36" t="inlineStr"/>
      <c r="AN14" s="36" t="inlineStr"/>
      <c r="AO14" s="37" t="n"/>
    </row>
    <row r="15" ht="22" customHeight="1">
      <c r="A15" s="26" t="inlineStr">
        <is>
          <t>검측 · 정리</t>
        </is>
      </c>
      <c r="B15" s="34" t="n"/>
      <c r="C15" s="34" t="n"/>
      <c r="D15" s="35">
        <f>IF(OR(N(B15)=0,N(C15)=0),"",IF(C15&lt;B15,"⚠",C15-B15+1))</f>
        <v/>
      </c>
      <c r="E15" s="36" t="inlineStr"/>
      <c r="F15" s="36" t="inlineStr"/>
      <c r="G15" s="36" t="inlineStr"/>
      <c r="H15" s="36" t="inlineStr"/>
      <c r="I15" s="36" t="inlineStr"/>
      <c r="J15" s="36" t="inlineStr"/>
      <c r="K15" s="36" t="inlineStr"/>
      <c r="L15" s="36" t="inlineStr"/>
      <c r="M15" s="36" t="inlineStr"/>
      <c r="N15" s="36" t="inlineStr"/>
      <c r="O15" s="36" t="inlineStr"/>
      <c r="P15" s="36" t="inlineStr"/>
      <c r="Q15" s="36" t="inlineStr"/>
      <c r="R15" s="36" t="inlineStr"/>
      <c r="S15" s="36" t="inlineStr"/>
      <c r="T15" s="36" t="inlineStr"/>
      <c r="U15" s="36" t="inlineStr"/>
      <c r="V15" s="36" t="inlineStr"/>
      <c r="W15" s="36" t="inlineStr"/>
      <c r="X15" s="36" t="inlineStr"/>
      <c r="Y15" s="36" t="inlineStr"/>
      <c r="Z15" s="36" t="inlineStr"/>
      <c r="AA15" s="36" t="inlineStr"/>
      <c r="AB15" s="36" t="inlineStr"/>
      <c r="AC15" s="36" t="inlineStr"/>
      <c r="AD15" s="36" t="inlineStr"/>
      <c r="AE15" s="36" t="inlineStr"/>
      <c r="AF15" s="36" t="inlineStr"/>
      <c r="AG15" s="36" t="inlineStr"/>
      <c r="AH15" s="36" t="inlineStr"/>
      <c r="AI15" s="36" t="inlineStr"/>
      <c r="AJ15" s="36" t="inlineStr"/>
      <c r="AK15" s="36" t="inlineStr"/>
      <c r="AL15" s="36" t="inlineStr"/>
      <c r="AM15" s="36" t="inlineStr"/>
      <c r="AN15" s="36" t="inlineStr"/>
      <c r="AO15" s="37" t="n"/>
    </row>
    <row r="16" ht="22" customHeight="1">
      <c r="A16" s="26" t="n"/>
      <c r="B16" s="34" t="n"/>
      <c r="C16" s="34" t="n"/>
      <c r="D16" s="35">
        <f>IF(OR(N(B16)=0,N(C16)=0),"",IF(C16&lt;B16,"⚠",C16-B16+1))</f>
        <v/>
      </c>
      <c r="E16" s="36" t="inlineStr"/>
      <c r="F16" s="36" t="inlineStr"/>
      <c r="G16" s="36" t="inlineStr"/>
      <c r="H16" s="36" t="inlineStr"/>
      <c r="I16" s="36" t="inlineStr"/>
      <c r="J16" s="36" t="inlineStr"/>
      <c r="K16" s="36" t="inlineStr"/>
      <c r="L16" s="36" t="inlineStr"/>
      <c r="M16" s="36" t="inlineStr"/>
      <c r="N16" s="36" t="inlineStr"/>
      <c r="O16" s="36" t="inlineStr"/>
      <c r="P16" s="36" t="inlineStr"/>
      <c r="Q16" s="36" t="inlineStr"/>
      <c r="R16" s="36" t="inlineStr"/>
      <c r="S16" s="36" t="inlineStr"/>
      <c r="T16" s="36" t="inlineStr"/>
      <c r="U16" s="36" t="inlineStr"/>
      <c r="V16" s="36" t="inlineStr"/>
      <c r="W16" s="36" t="inlineStr"/>
      <c r="X16" s="36" t="inlineStr"/>
      <c r="Y16" s="36" t="inlineStr"/>
      <c r="Z16" s="36" t="inlineStr"/>
      <c r="AA16" s="36" t="inlineStr"/>
      <c r="AB16" s="36" t="inlineStr"/>
      <c r="AC16" s="36" t="inlineStr"/>
      <c r="AD16" s="36" t="inlineStr"/>
      <c r="AE16" s="36" t="inlineStr"/>
      <c r="AF16" s="36" t="inlineStr"/>
      <c r="AG16" s="36" t="inlineStr"/>
      <c r="AH16" s="36" t="inlineStr"/>
      <c r="AI16" s="36" t="inlineStr"/>
      <c r="AJ16" s="36" t="inlineStr"/>
      <c r="AK16" s="36" t="inlineStr"/>
      <c r="AL16" s="36" t="inlineStr"/>
      <c r="AM16" s="36" t="inlineStr"/>
      <c r="AN16" s="36" t="inlineStr"/>
      <c r="AO16" s="37" t="n"/>
    </row>
    <row r="17" ht="22" customHeight="1">
      <c r="A17" s="26" t="n"/>
      <c r="B17" s="34" t="n"/>
      <c r="C17" s="34" t="n"/>
      <c r="D17" s="35">
        <f>IF(OR(N(B17)=0,N(C17)=0),"",IF(C17&lt;B17,"⚠",C17-B17+1))</f>
        <v/>
      </c>
      <c r="E17" s="36" t="inlineStr"/>
      <c r="F17" s="36" t="inlineStr"/>
      <c r="G17" s="36" t="inlineStr"/>
      <c r="H17" s="36" t="inlineStr"/>
      <c r="I17" s="36" t="inlineStr"/>
      <c r="J17" s="36" t="inlineStr"/>
      <c r="K17" s="36" t="inlineStr"/>
      <c r="L17" s="36" t="inlineStr"/>
      <c r="M17" s="36" t="inlineStr"/>
      <c r="N17" s="36" t="inlineStr"/>
      <c r="O17" s="36" t="inlineStr"/>
      <c r="P17" s="36" t="inlineStr"/>
      <c r="Q17" s="36" t="inlineStr"/>
      <c r="R17" s="36" t="inlineStr"/>
      <c r="S17" s="36" t="inlineStr"/>
      <c r="T17" s="36" t="inlineStr"/>
      <c r="U17" s="36" t="inlineStr"/>
      <c r="V17" s="36" t="inlineStr"/>
      <c r="W17" s="36" t="inlineStr"/>
      <c r="X17" s="36" t="inlineStr"/>
      <c r="Y17" s="36" t="inlineStr"/>
      <c r="Z17" s="36" t="inlineStr"/>
      <c r="AA17" s="36" t="inlineStr"/>
      <c r="AB17" s="36" t="inlineStr"/>
      <c r="AC17" s="36" t="inlineStr"/>
      <c r="AD17" s="36" t="inlineStr"/>
      <c r="AE17" s="36" t="inlineStr"/>
      <c r="AF17" s="36" t="inlineStr"/>
      <c r="AG17" s="36" t="inlineStr"/>
      <c r="AH17" s="36" t="inlineStr"/>
      <c r="AI17" s="36" t="inlineStr"/>
      <c r="AJ17" s="36" t="inlineStr"/>
      <c r="AK17" s="36" t="inlineStr"/>
      <c r="AL17" s="36" t="inlineStr"/>
      <c r="AM17" s="36" t="inlineStr"/>
      <c r="AN17" s="36" t="inlineStr"/>
      <c r="AO17" s="37" t="n"/>
    </row>
    <row r="18" ht="22" customHeight="1">
      <c r="A18" s="26" t="n"/>
      <c r="B18" s="34" t="n"/>
      <c r="C18" s="34" t="n"/>
      <c r="D18" s="35">
        <f>IF(OR(N(B18)=0,N(C18)=0),"",IF(C18&lt;B18,"⚠",C18-B18+1))</f>
        <v/>
      </c>
      <c r="E18" s="36" t="inlineStr"/>
      <c r="F18" s="36" t="inlineStr"/>
      <c r="G18" s="36" t="inlineStr"/>
      <c r="H18" s="36" t="inlineStr"/>
      <c r="I18" s="36" t="inlineStr"/>
      <c r="J18" s="36" t="inlineStr"/>
      <c r="K18" s="36" t="inlineStr"/>
      <c r="L18" s="36" t="inlineStr"/>
      <c r="M18" s="36" t="inlineStr"/>
      <c r="N18" s="36" t="inlineStr"/>
      <c r="O18" s="36" t="inlineStr"/>
      <c r="P18" s="36" t="inlineStr"/>
      <c r="Q18" s="36" t="inlineStr"/>
      <c r="R18" s="36" t="inlineStr"/>
      <c r="S18" s="36" t="inlineStr"/>
      <c r="T18" s="36" t="inlineStr"/>
      <c r="U18" s="36" t="inlineStr"/>
      <c r="V18" s="36" t="inlineStr"/>
      <c r="W18" s="36" t="inlineStr"/>
      <c r="X18" s="36" t="inlineStr"/>
      <c r="Y18" s="36" t="inlineStr"/>
      <c r="Z18" s="36" t="inlineStr"/>
      <c r="AA18" s="36" t="inlineStr"/>
      <c r="AB18" s="36" t="inlineStr"/>
      <c r="AC18" s="36" t="inlineStr"/>
      <c r="AD18" s="36" t="inlineStr"/>
      <c r="AE18" s="36" t="inlineStr"/>
      <c r="AF18" s="36" t="inlineStr"/>
      <c r="AG18" s="36" t="inlineStr"/>
      <c r="AH18" s="36" t="inlineStr"/>
      <c r="AI18" s="36" t="inlineStr"/>
      <c r="AJ18" s="36" t="inlineStr"/>
      <c r="AK18" s="36" t="inlineStr"/>
      <c r="AL18" s="36" t="inlineStr"/>
      <c r="AM18" s="36" t="inlineStr"/>
      <c r="AN18" s="36" t="inlineStr"/>
      <c r="AO18" s="37" t="n"/>
    </row>
    <row r="19" ht="22" customHeight="1">
      <c r="A19" s="26" t="n"/>
      <c r="B19" s="34" t="n"/>
      <c r="C19" s="34" t="n"/>
      <c r="D19" s="35">
        <f>IF(OR(N(B19)=0,N(C19)=0),"",IF(C19&lt;B19,"⚠",C19-B19+1))</f>
        <v/>
      </c>
      <c r="E19" s="36" t="inlineStr"/>
      <c r="F19" s="36" t="inlineStr"/>
      <c r="G19" s="36" t="inlineStr"/>
      <c r="H19" s="36" t="inlineStr"/>
      <c r="I19" s="36" t="inlineStr"/>
      <c r="J19" s="36" t="inlineStr"/>
      <c r="K19" s="36" t="inlineStr"/>
      <c r="L19" s="36" t="inlineStr"/>
      <c r="M19" s="36" t="inlineStr"/>
      <c r="N19" s="36" t="inlineStr"/>
      <c r="O19" s="36" t="inlineStr"/>
      <c r="P19" s="36" t="inlineStr"/>
      <c r="Q19" s="36" t="inlineStr"/>
      <c r="R19" s="36" t="inlineStr"/>
      <c r="S19" s="36" t="inlineStr"/>
      <c r="T19" s="36" t="inlineStr"/>
      <c r="U19" s="36" t="inlineStr"/>
      <c r="V19" s="36" t="inlineStr"/>
      <c r="W19" s="36" t="inlineStr"/>
      <c r="X19" s="36" t="inlineStr"/>
      <c r="Y19" s="36" t="inlineStr"/>
      <c r="Z19" s="36" t="inlineStr"/>
      <c r="AA19" s="36" t="inlineStr"/>
      <c r="AB19" s="36" t="inlineStr"/>
      <c r="AC19" s="36" t="inlineStr"/>
      <c r="AD19" s="36" t="inlineStr"/>
      <c r="AE19" s="36" t="inlineStr"/>
      <c r="AF19" s="36" t="inlineStr"/>
      <c r="AG19" s="36" t="inlineStr"/>
      <c r="AH19" s="36" t="inlineStr"/>
      <c r="AI19" s="36" t="inlineStr"/>
      <c r="AJ19" s="36" t="inlineStr"/>
      <c r="AK19" s="36" t="inlineStr"/>
      <c r="AL19" s="36" t="inlineStr"/>
      <c r="AM19" s="36" t="inlineStr"/>
      <c r="AN19" s="36" t="inlineStr"/>
      <c r="AO19" s="37" t="n"/>
    </row>
    <row r="20" ht="22" customHeight="1">
      <c r="A20" s="26" t="n"/>
      <c r="B20" s="34" t="n"/>
      <c r="C20" s="34" t="n"/>
      <c r="D20" s="35">
        <f>IF(OR(N(B20)=0,N(C20)=0),"",IF(C20&lt;B20,"⚠",C20-B20+1))</f>
        <v/>
      </c>
      <c r="E20" s="36" t="inlineStr"/>
      <c r="F20" s="36" t="inlineStr"/>
      <c r="G20" s="36" t="inlineStr"/>
      <c r="H20" s="36" t="inlineStr"/>
      <c r="I20" s="36" t="inlineStr"/>
      <c r="J20" s="36" t="inlineStr"/>
      <c r="K20" s="36" t="inlineStr"/>
      <c r="L20" s="36" t="inlineStr"/>
      <c r="M20" s="36" t="inlineStr"/>
      <c r="N20" s="36" t="inlineStr"/>
      <c r="O20" s="36" t="inlineStr"/>
      <c r="P20" s="36" t="inlineStr"/>
      <c r="Q20" s="36" t="inlineStr"/>
      <c r="R20" s="36" t="inlineStr"/>
      <c r="S20" s="36" t="inlineStr"/>
      <c r="T20" s="36" t="inlineStr"/>
      <c r="U20" s="36" t="inlineStr"/>
      <c r="V20" s="36" t="inlineStr"/>
      <c r="W20" s="36" t="inlineStr"/>
      <c r="X20" s="36" t="inlineStr"/>
      <c r="Y20" s="36" t="inlineStr"/>
      <c r="Z20" s="36" t="inlineStr"/>
      <c r="AA20" s="36" t="inlineStr"/>
      <c r="AB20" s="36" t="inlineStr"/>
      <c r="AC20" s="36" t="inlineStr"/>
      <c r="AD20" s="36" t="inlineStr"/>
      <c r="AE20" s="36" t="inlineStr"/>
      <c r="AF20" s="36" t="inlineStr"/>
      <c r="AG20" s="36" t="inlineStr"/>
      <c r="AH20" s="36" t="inlineStr"/>
      <c r="AI20" s="36" t="inlineStr"/>
      <c r="AJ20" s="36" t="inlineStr"/>
      <c r="AK20" s="36" t="inlineStr"/>
      <c r="AL20" s="36" t="inlineStr"/>
      <c r="AM20" s="36" t="inlineStr"/>
      <c r="AN20" s="36" t="inlineStr"/>
      <c r="AO20" s="37" t="n"/>
    </row>
    <row r="21" ht="22" customHeight="1">
      <c r="A21" s="26" t="n"/>
      <c r="B21" s="34" t="n"/>
      <c r="C21" s="34" t="n"/>
      <c r="D21" s="35">
        <f>IF(OR(N(B21)=0,N(C21)=0),"",IF(C21&lt;B21,"⚠",C21-B21+1))</f>
        <v/>
      </c>
      <c r="E21" s="36" t="inlineStr"/>
      <c r="F21" s="36" t="inlineStr"/>
      <c r="G21" s="36" t="inlineStr"/>
      <c r="H21" s="36" t="inlineStr"/>
      <c r="I21" s="36" t="inlineStr"/>
      <c r="J21" s="36" t="inlineStr"/>
      <c r="K21" s="36" t="inlineStr"/>
      <c r="L21" s="36" t="inlineStr"/>
      <c r="M21" s="36" t="inlineStr"/>
      <c r="N21" s="36" t="inlineStr"/>
      <c r="O21" s="36" t="inlineStr"/>
      <c r="P21" s="36" t="inlineStr"/>
      <c r="Q21" s="36" t="inlineStr"/>
      <c r="R21" s="36" t="inlineStr"/>
      <c r="S21" s="36" t="inlineStr"/>
      <c r="T21" s="36" t="inlineStr"/>
      <c r="U21" s="36" t="inlineStr"/>
      <c r="V21" s="36" t="inlineStr"/>
      <c r="W21" s="36" t="inlineStr"/>
      <c r="X21" s="36" t="inlineStr"/>
      <c r="Y21" s="36" t="inlineStr"/>
      <c r="Z21" s="36" t="inlineStr"/>
      <c r="AA21" s="36" t="inlineStr"/>
      <c r="AB21" s="36" t="inlineStr"/>
      <c r="AC21" s="36" t="inlineStr"/>
      <c r="AD21" s="36" t="inlineStr"/>
      <c r="AE21" s="36" t="inlineStr"/>
      <c r="AF21" s="36" t="inlineStr"/>
      <c r="AG21" s="36" t="inlineStr"/>
      <c r="AH21" s="36" t="inlineStr"/>
      <c r="AI21" s="36" t="inlineStr"/>
      <c r="AJ21" s="36" t="inlineStr"/>
      <c r="AK21" s="36" t="inlineStr"/>
      <c r="AL21" s="36" t="inlineStr"/>
      <c r="AM21" s="36" t="inlineStr"/>
      <c r="AN21" s="36" t="inlineStr"/>
      <c r="AO21" s="37" t="n"/>
    </row>
    <row r="22" ht="16" customHeight="1">
      <c r="A22" s="8" t="inlineStr">
        <is>
          <t>※ 일수 = 완료 − 착수 + 1. 막대는 반달(1~15일 · 16일~말일) 단위입니다. 공정은 현장 여건 · 날씨에 따라 바뀔 수 있습니다.</t>
        </is>
      </c>
    </row>
    <row r="24" ht="19.5" customHeight="1">
      <c r="A24" s="8" t="inlineStr">
        <is>
          <t>하늘색 칸 = 자동(착공일 · 달 머리 · 일수). 공종 이름은 원본 차례를 미리 넣어 두었습니다 — 현장에 맞게 고쳐 쓰세요.</t>
        </is>
      </c>
    </row>
  </sheetData>
  <mergeCells count="30">
    <mergeCell ref="W4:X4"/>
    <mergeCell ref="AG4:AH4"/>
    <mergeCell ref="Y4:Z4"/>
    <mergeCell ref="C4:C5"/>
    <mergeCell ref="B3:C3"/>
    <mergeCell ref="N1:AO1"/>
    <mergeCell ref="AK4:AL4"/>
    <mergeCell ref="E4:F4"/>
    <mergeCell ref="A24:AO24"/>
    <mergeCell ref="D4:D5"/>
    <mergeCell ref="AO4:AO5"/>
    <mergeCell ref="O4:P4"/>
    <mergeCell ref="AA4:AB4"/>
    <mergeCell ref="Q4:R4"/>
    <mergeCell ref="AC4:AD4"/>
    <mergeCell ref="AI4:AJ4"/>
    <mergeCell ref="A1:M1"/>
    <mergeCell ref="A4:A5"/>
    <mergeCell ref="AM4:AN4"/>
    <mergeCell ref="G4:H4"/>
    <mergeCell ref="A2:AO2"/>
    <mergeCell ref="I4:J4"/>
    <mergeCell ref="B4:B5"/>
    <mergeCell ref="D3:AO3"/>
    <mergeCell ref="A22:AO22"/>
    <mergeCell ref="K4:L4"/>
    <mergeCell ref="M4:N4"/>
    <mergeCell ref="S4:T4"/>
    <mergeCell ref="AE4:AF4"/>
    <mergeCell ref="U4:V4"/>
  </mergeCells>
  <conditionalFormatting sqref="E8:AN21">
    <cfRule type="expression" priority="1" dxfId="2">
      <formula>AND(N($B8)&gt;0,N($C8)&gt;=N($B8),$B8&lt;=E$7,$C8&gt;=E$6)</formula>
    </cfRule>
  </conditionalFormatting>
  <printOptions horizontalCentered="1"/>
  <pageMargins left="0.35" right="0.35" top="0.45" bottom="0.45" header="0.2" footer="0.2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2" t="inlineStr">
        <is>
          <t>3.0   현 장  조 직 도</t>
        </is>
      </c>
    </row>
    <row r="4" ht="4" customHeight="1"/>
    <row r="5" ht="24" customHeight="1">
      <c r="A5" s="10" t="inlineStr"/>
      <c r="E5" s="13" t="inlineStr">
        <is>
          <t>현 장 대 리 인</t>
        </is>
      </c>
      <c r="F5" s="14" t="n"/>
      <c r="G5" s="14" t="n"/>
      <c r="H5" s="14" t="n"/>
      <c r="I5" s="10" t="inlineStr"/>
    </row>
    <row r="6" ht="24" customHeight="1">
      <c r="A6" s="10" t="inlineStr"/>
      <c r="E6" s="38" t="n"/>
      <c r="F6" s="14" t="n"/>
      <c r="G6" s="14" t="n"/>
      <c r="H6" s="14" t="n"/>
      <c r="I6" s="10" t="inlineStr"/>
    </row>
    <row r="7" ht="14" customHeight="1">
      <c r="A7" s="39" t="inlineStr">
        <is>
          <t>│</t>
        </is>
      </c>
    </row>
    <row r="8" ht="24" customHeight="1">
      <c r="A8" s="10" t="inlineStr"/>
      <c r="B8" s="13" t="inlineStr">
        <is>
          <t>품 질 관 리 자</t>
        </is>
      </c>
      <c r="C8" s="14" t="n"/>
      <c r="D8" s="14" t="n"/>
      <c r="E8" s="14" t="n"/>
      <c r="F8" s="40" t="inlineStr">
        <is>
          <t>─┼─</t>
        </is>
      </c>
      <c r="H8" s="13" t="inlineStr">
        <is>
          <t>안 전 관 리 자</t>
        </is>
      </c>
      <c r="I8" s="14" t="n"/>
      <c r="J8" s="14" t="n"/>
      <c r="K8" s="14" t="n"/>
      <c r="L8" s="10" t="inlineStr"/>
    </row>
    <row r="9" ht="24" customHeight="1">
      <c r="A9" s="10" t="inlineStr"/>
      <c r="B9" s="38" t="n"/>
      <c r="C9" s="14" t="n"/>
      <c r="D9" s="14" t="n"/>
      <c r="E9" s="14" t="n"/>
      <c r="F9" s="40" t="inlineStr">
        <is>
          <t>│</t>
        </is>
      </c>
      <c r="H9" s="38" t="n"/>
      <c r="I9" s="14" t="n"/>
      <c r="J9" s="14" t="n"/>
      <c r="K9" s="14" t="n"/>
      <c r="L9" s="10" t="inlineStr"/>
    </row>
    <row r="10" ht="14" customHeight="1">
      <c r="A10" s="39" t="inlineStr">
        <is>
          <t>│</t>
        </is>
      </c>
    </row>
    <row r="11" ht="24" customHeight="1">
      <c r="A11" s="10" t="inlineStr"/>
      <c r="E11" s="13" t="inlineStr">
        <is>
          <t>시 공 업 체</t>
        </is>
      </c>
      <c r="F11" s="14" t="n"/>
      <c r="G11" s="14" t="n"/>
      <c r="H11" s="14" t="n"/>
      <c r="I11" s="10" t="inlineStr"/>
    </row>
    <row r="12" ht="24" customHeight="1">
      <c r="A12" s="10" t="inlineStr"/>
      <c r="E12" s="38" t="n"/>
      <c r="F12" s="14" t="n"/>
      <c r="G12" s="14" t="n"/>
      <c r="H12" s="14" t="n"/>
      <c r="I12" s="10" t="inlineStr"/>
    </row>
    <row r="13" ht="14" customHeight="1">
      <c r="A13" s="39" t="inlineStr">
        <is>
          <t>│</t>
        </is>
      </c>
    </row>
    <row r="14" ht="24" customHeight="1">
      <c r="A14" s="10" t="inlineStr"/>
      <c r="E14" s="13" t="inlineStr">
        <is>
          <t>작 업 팀 장</t>
        </is>
      </c>
      <c r="F14" s="14" t="n"/>
      <c r="G14" s="14" t="n"/>
      <c r="H14" s="14" t="n"/>
      <c r="I14" s="10" t="inlineStr"/>
    </row>
    <row r="15" ht="24" customHeight="1">
      <c r="A15" s="10" t="inlineStr"/>
      <c r="E15" s="38" t="n"/>
      <c r="F15" s="14" t="n"/>
      <c r="G15" s="14" t="n"/>
      <c r="H15" s="14" t="n"/>
      <c r="I15" s="10" t="inlineStr"/>
    </row>
    <row r="16" ht="14" customHeight="1">
      <c r="A16" s="39" t="inlineStr">
        <is>
          <t>┌──────────┼──────────┐</t>
        </is>
      </c>
    </row>
    <row r="17" ht="24" customHeight="1">
      <c r="A17" s="21" t="inlineStr">
        <is>
          <t>도장공</t>
        </is>
      </c>
      <c r="B17" s="14" t="n"/>
      <c r="C17" s="14" t="n"/>
      <c r="D17" s="21" t="inlineStr">
        <is>
          <t>특별인부</t>
        </is>
      </c>
      <c r="E17" s="14" t="n"/>
      <c r="F17" s="14" t="n"/>
      <c r="G17" s="21" t="inlineStr">
        <is>
          <t>보통인부</t>
        </is>
      </c>
      <c r="H17" s="14" t="n"/>
      <c r="I17" s="14" t="n"/>
      <c r="J17" s="27" t="inlineStr">
        <is>
          <t>합  계</t>
        </is>
      </c>
      <c r="K17" s="14" t="n"/>
      <c r="L17" s="14" t="n"/>
    </row>
    <row r="18" ht="24" customHeight="1">
      <c r="A18" s="41" t="n">
        <v>3</v>
      </c>
      <c r="B18" s="14" t="n"/>
      <c r="C18" s="14" t="n"/>
      <c r="D18" s="41" t="n">
        <v>1</v>
      </c>
      <c r="E18" s="14" t="n"/>
      <c r="F18" s="14" t="n"/>
      <c r="G18" s="41" t="n">
        <v>1</v>
      </c>
      <c r="H18" s="14" t="n"/>
      <c r="I18" s="14" t="n"/>
      <c r="J18" s="42">
        <f>IF(SUM(A18,D18,G18)=0,"",SUM(A18,D18,G18))</f>
        <v/>
      </c>
      <c r="K18" s="14" t="n"/>
      <c r="L18" s="14" t="n"/>
    </row>
    <row r="19" ht="4" customHeight="1"/>
    <row r="20" ht="30" customHeight="1">
      <c r="A20" s="12" t="inlineStr">
        <is>
          <t>4.0   기능인력 투입계획 및 주자재 조달계획</t>
        </is>
      </c>
    </row>
    <row r="21" ht="4" customHeight="1"/>
    <row r="22" ht="21" customHeight="1">
      <c r="A22" s="16" t="inlineStr">
        <is>
          <t>1) 기능 인력(현장 여건에 따라 작업 인원 변동) — 1일 투입인원(2개조)</t>
        </is>
      </c>
    </row>
    <row r="23" ht="24" customHeight="1">
      <c r="A23" s="21" t="inlineStr">
        <is>
          <t>구    분</t>
        </is>
      </c>
      <c r="B23" s="14" t="n"/>
      <c r="C23" s="14" t="n"/>
      <c r="D23" s="14" t="n"/>
      <c r="E23" s="21" t="inlineStr">
        <is>
          <t>단  위</t>
        </is>
      </c>
      <c r="F23" s="14" t="n"/>
      <c r="G23" s="21" t="inlineStr">
        <is>
          <t>수  량</t>
        </is>
      </c>
      <c r="H23" s="14" t="n"/>
      <c r="I23" s="21" t="inlineStr">
        <is>
          <t>비    고</t>
        </is>
      </c>
      <c r="J23" s="14" t="n"/>
      <c r="K23" s="14" t="n"/>
      <c r="L23" s="14" t="n"/>
    </row>
    <row r="24" ht="24" customHeight="1">
      <c r="A24" s="38" t="inlineStr">
        <is>
          <t>공사관리자</t>
        </is>
      </c>
      <c r="B24" s="14" t="n"/>
      <c r="C24" s="14" t="n"/>
      <c r="D24" s="14" t="n"/>
      <c r="E24" s="19" t="inlineStr">
        <is>
          <t>인</t>
        </is>
      </c>
      <c r="F24" s="14" t="n"/>
      <c r="G24" s="43" t="n">
        <v>1</v>
      </c>
      <c r="H24" s="14" t="n"/>
      <c r="I24" s="26" t="n"/>
      <c r="J24" s="14" t="n"/>
      <c r="K24" s="14" t="n"/>
      <c r="L24" s="14" t="n"/>
    </row>
    <row r="25" ht="24" customHeight="1">
      <c r="A25" s="38" t="inlineStr">
        <is>
          <t>도장공</t>
        </is>
      </c>
      <c r="B25" s="14" t="n"/>
      <c r="C25" s="14" t="n"/>
      <c r="D25" s="14" t="n"/>
      <c r="E25" s="19" t="inlineStr">
        <is>
          <t>인</t>
        </is>
      </c>
      <c r="F25" s="14" t="n"/>
      <c r="G25" s="43" t="n">
        <v>3</v>
      </c>
      <c r="H25" s="14" t="n"/>
      <c r="I25" s="26" t="n"/>
      <c r="J25" s="14" t="n"/>
      <c r="K25" s="14" t="n"/>
      <c r="L25" s="14" t="n"/>
    </row>
    <row r="26" ht="24" customHeight="1">
      <c r="A26" s="38" t="inlineStr">
        <is>
          <t>특별인부 및 조공</t>
        </is>
      </c>
      <c r="B26" s="14" t="n"/>
      <c r="C26" s="14" t="n"/>
      <c r="D26" s="14" t="n"/>
      <c r="E26" s="19" t="inlineStr">
        <is>
          <t>인</t>
        </is>
      </c>
      <c r="F26" s="14" t="n"/>
      <c r="G26" s="43" t="n">
        <v>2</v>
      </c>
      <c r="H26" s="14" t="n"/>
      <c r="I26" s="26" t="n"/>
      <c r="J26" s="14" t="n"/>
      <c r="K26" s="14" t="n"/>
      <c r="L26" s="14" t="n"/>
    </row>
    <row r="27" ht="24" customHeight="1">
      <c r="A27" s="27" t="inlineStr">
        <is>
          <t>계</t>
        </is>
      </c>
      <c r="B27" s="14" t="n"/>
      <c r="C27" s="14" t="n"/>
      <c r="D27" s="14" t="n"/>
      <c r="E27" s="27" t="inlineStr">
        <is>
          <t>인</t>
        </is>
      </c>
      <c r="F27" s="14" t="n"/>
      <c r="G27" s="44">
        <f>IF(SUM(G24,G25,G26)=0,"",SUM(G24,G25,G26))</f>
        <v/>
      </c>
      <c r="H27" s="14" t="n"/>
      <c r="I27" s="27" t="inlineStr"/>
      <c r="J27" s="14" t="n"/>
      <c r="K27" s="14" t="n"/>
      <c r="L27" s="14" t="n"/>
    </row>
    <row r="28" ht="17.325" customHeight="1">
      <c r="A28" s="45" t="inlineStr">
        <is>
          <t>※ 작업 수량에 따라 변동됩니다.</t>
        </is>
      </c>
    </row>
    <row r="29" ht="21" customHeight="1">
      <c r="A29" s="16" t="inlineStr">
        <is>
          <t>2) 주자재 조달계획</t>
        </is>
      </c>
    </row>
    <row r="30" ht="30" customHeight="1">
      <c r="A30" s="21" t="inlineStr">
        <is>
          <t>자  재  명</t>
        </is>
      </c>
      <c r="B30" s="14" t="n"/>
      <c r="C30" s="14" t="n"/>
      <c r="D30" s="14" t="n"/>
      <c r="E30" s="21" t="inlineStr">
        <is>
          <t>수  량</t>
        </is>
      </c>
      <c r="F30" s="14" t="n"/>
      <c r="G30" s="21" t="inlineStr">
        <is>
          <t>단위</t>
        </is>
      </c>
      <c r="H30" s="46" t="inlineStr">
        <is>
          <t>현장반입
예정일자</t>
        </is>
      </c>
      <c r="I30" s="14" t="n"/>
      <c r="J30" s="21" t="inlineStr">
        <is>
          <t>비  고</t>
        </is>
      </c>
      <c r="K30" s="14" t="n"/>
      <c r="L30" s="14" t="n"/>
    </row>
    <row r="31" ht="23" customHeight="1">
      <c r="A31" s="23" t="n"/>
      <c r="B31" s="14" t="n"/>
      <c r="C31" s="14" t="n"/>
      <c r="D31" s="14" t="n"/>
      <c r="E31" s="25" t="n"/>
      <c r="F31" s="14" t="n"/>
      <c r="G31" s="38" t="n"/>
      <c r="H31" s="47" t="n"/>
      <c r="I31" s="14" t="n"/>
      <c r="J31" s="48">
        <f>IF(OR(N(H31)=0,N('개요'!D21)=0),"",IF(H31&lt;'개요'!D21,"⚠ 착공 전 반입","착공 후 "&amp;(H31-'개요'!D21)&amp;"일"))</f>
        <v/>
      </c>
      <c r="K31" s="14" t="n"/>
      <c r="L31" s="14" t="n"/>
    </row>
    <row r="32" ht="23" customHeight="1">
      <c r="A32" s="23" t="n"/>
      <c r="B32" s="14" t="n"/>
      <c r="C32" s="14" t="n"/>
      <c r="D32" s="14" t="n"/>
      <c r="E32" s="25" t="n"/>
      <c r="F32" s="14" t="n"/>
      <c r="G32" s="38" t="n"/>
      <c r="H32" s="47" t="n"/>
      <c r="I32" s="14" t="n"/>
      <c r="J32" s="48">
        <f>IF(OR(N(H32)=0,N('개요'!D21)=0),"",IF(H32&lt;'개요'!D21,"⚠ 착공 전 반입","착공 후 "&amp;(H32-'개요'!D21)&amp;"일"))</f>
        <v/>
      </c>
      <c r="K32" s="14" t="n"/>
      <c r="L32" s="14" t="n"/>
    </row>
    <row r="33" ht="23" customHeight="1">
      <c r="A33" s="23" t="n"/>
      <c r="B33" s="14" t="n"/>
      <c r="C33" s="14" t="n"/>
      <c r="D33" s="14" t="n"/>
      <c r="E33" s="25" t="n"/>
      <c r="F33" s="14" t="n"/>
      <c r="G33" s="38" t="n"/>
      <c r="H33" s="47" t="n"/>
      <c r="I33" s="14" t="n"/>
      <c r="J33" s="48">
        <f>IF(OR(N(H33)=0,N('개요'!D21)=0),"",IF(H33&lt;'개요'!D21,"⚠ 착공 전 반입","착공 후 "&amp;(H33-'개요'!D21)&amp;"일"))</f>
        <v/>
      </c>
      <c r="K33" s="14" t="n"/>
      <c r="L33" s="14" t="n"/>
    </row>
    <row r="34" ht="23" customHeight="1">
      <c r="A34" s="23" t="n"/>
      <c r="B34" s="14" t="n"/>
      <c r="C34" s="14" t="n"/>
      <c r="D34" s="14" t="n"/>
      <c r="E34" s="25" t="n"/>
      <c r="F34" s="14" t="n"/>
      <c r="G34" s="38" t="n"/>
      <c r="H34" s="47" t="n"/>
      <c r="I34" s="14" t="n"/>
      <c r="J34" s="48">
        <f>IF(OR(N(H34)=0,N('개요'!D21)=0),"",IF(H34&lt;'개요'!D21,"⚠ 착공 전 반입","착공 후 "&amp;(H34-'개요'!D21)&amp;"일"))</f>
        <v/>
      </c>
      <c r="K34" s="14" t="n"/>
      <c r="L34" s="14" t="n"/>
    </row>
    <row r="35" ht="23" customHeight="1">
      <c r="A35" s="23" t="n"/>
      <c r="B35" s="14" t="n"/>
      <c r="C35" s="14" t="n"/>
      <c r="D35" s="14" t="n"/>
      <c r="E35" s="25" t="n"/>
      <c r="F35" s="14" t="n"/>
      <c r="G35" s="38" t="n"/>
      <c r="H35" s="47" t="n"/>
      <c r="I35" s="14" t="n"/>
      <c r="J35" s="48">
        <f>IF(OR(N(H35)=0,N('개요'!D21)=0),"",IF(H35&lt;'개요'!D21,"⚠ 착공 전 반입","착공 후 "&amp;(H35-'개요'!D21)&amp;"일"))</f>
        <v/>
      </c>
      <c r="K35" s="14" t="n"/>
      <c r="L35" s="14" t="n"/>
    </row>
    <row r="36" ht="23" customHeight="1">
      <c r="A36" s="23" t="n"/>
      <c r="B36" s="14" t="n"/>
      <c r="C36" s="14" t="n"/>
      <c r="D36" s="14" t="n"/>
      <c r="E36" s="25" t="n"/>
      <c r="F36" s="14" t="n"/>
      <c r="G36" s="38" t="n"/>
      <c r="H36" s="47" t="n"/>
      <c r="I36" s="14" t="n"/>
      <c r="J36" s="48">
        <f>IF(OR(N(H36)=0,N('개요'!D21)=0),"",IF(H36&lt;'개요'!D21,"⚠ 착공 전 반입","착공 후 "&amp;(H36-'개요'!D21)&amp;"일"))</f>
        <v/>
      </c>
      <c r="K36" s="14" t="n"/>
      <c r="L36" s="14" t="n"/>
    </row>
    <row r="37" ht="23" customHeight="1">
      <c r="A37" s="23" t="n"/>
      <c r="B37" s="14" t="n"/>
      <c r="C37" s="14" t="n"/>
      <c r="D37" s="14" t="n"/>
      <c r="E37" s="25" t="n"/>
      <c r="F37" s="14" t="n"/>
      <c r="G37" s="38" t="n"/>
      <c r="H37" s="47" t="n"/>
      <c r="I37" s="14" t="n"/>
      <c r="J37" s="48">
        <f>IF(OR(N(H37)=0,N('개요'!D21)=0),"",IF(H37&lt;'개요'!D21,"⚠ 착공 전 반입","착공 후 "&amp;(H37-'개요'!D21)&amp;"일"))</f>
        <v/>
      </c>
      <c r="K37" s="14" t="n"/>
      <c r="L37" s="14" t="n"/>
    </row>
    <row r="38" ht="23" customHeight="1">
      <c r="A38" s="23" t="n"/>
      <c r="B38" s="14" t="n"/>
      <c r="C38" s="14" t="n"/>
      <c r="D38" s="14" t="n"/>
      <c r="E38" s="25" t="n"/>
      <c r="F38" s="14" t="n"/>
      <c r="G38" s="38" t="n"/>
      <c r="H38" s="47" t="n"/>
      <c r="I38" s="14" t="n"/>
      <c r="J38" s="48">
        <f>IF(OR(N(H38)=0,N('개요'!D21)=0),"",IF(H38&lt;'개요'!D21,"⚠ 착공 전 반입","착공 후 "&amp;(H38-'개요'!D21)&amp;"일"))</f>
        <v/>
      </c>
      <c r="K38" s="14" t="n"/>
      <c r="L38" s="14" t="n"/>
    </row>
    <row r="39" ht="23" customHeight="1">
      <c r="A39" s="23" t="n"/>
      <c r="B39" s="14" t="n"/>
      <c r="C39" s="14" t="n"/>
      <c r="D39" s="14" t="n"/>
      <c r="E39" s="25" t="n"/>
      <c r="F39" s="14" t="n"/>
      <c r="G39" s="38" t="n"/>
      <c r="H39" s="47" t="n"/>
      <c r="I39" s="14" t="n"/>
      <c r="J39" s="48">
        <f>IF(OR(N(H39)=0,N('개요'!D21)=0),"",IF(H39&lt;'개요'!D21,"⚠ 착공 전 반입","착공 후 "&amp;(H39-'개요'!D21)&amp;"일"))</f>
        <v/>
      </c>
      <c r="K39" s="14" t="n"/>
      <c r="L39" s="14" t="n"/>
    </row>
    <row r="40" ht="23" customHeight="1">
      <c r="A40" s="23" t="n"/>
      <c r="B40" s="14" t="n"/>
      <c r="C40" s="14" t="n"/>
      <c r="D40" s="14" t="n"/>
      <c r="E40" s="25" t="n"/>
      <c r="F40" s="14" t="n"/>
      <c r="G40" s="38" t="n"/>
      <c r="H40" s="47" t="n"/>
      <c r="I40" s="14" t="n"/>
      <c r="J40" s="48">
        <f>IF(OR(N(H40)=0,N('개요'!D21)=0),"",IF(H40&lt;'개요'!D21,"⚠ 착공 전 반입","착공 후 "&amp;(H40-'개요'!D21)&amp;"일"))</f>
        <v/>
      </c>
      <c r="K40" s="14" t="n"/>
      <c r="L40" s="14" t="n"/>
    </row>
    <row r="42" ht="34" customHeight="1">
      <c r="A42" s="8" t="inlineStr">
        <is>
          <t>하늘색 칸 = 자동(인원 합계 · 기능인력 계 · 반입 시점 — 착공일 기준). 인원은 원본 계획서 인원을 넣어 두었습니다.</t>
        </is>
      </c>
    </row>
  </sheetData>
  <mergeCells count="108">
    <mergeCell ref="A5:D5"/>
    <mergeCell ref="I14:L14"/>
    <mergeCell ref="H35:I35"/>
    <mergeCell ref="E23:F23"/>
    <mergeCell ref="J35:L35"/>
    <mergeCell ref="G23:H23"/>
    <mergeCell ref="H39:I39"/>
    <mergeCell ref="A31:D31"/>
    <mergeCell ref="A15:D15"/>
    <mergeCell ref="A24:D24"/>
    <mergeCell ref="E34:F34"/>
    <mergeCell ref="I26:L26"/>
    <mergeCell ref="H9:K9"/>
    <mergeCell ref="E27:F27"/>
    <mergeCell ref="J39:L39"/>
    <mergeCell ref="E36:F36"/>
    <mergeCell ref="H37:I37"/>
    <mergeCell ref="I25:L25"/>
    <mergeCell ref="J38:L38"/>
    <mergeCell ref="A27:D27"/>
    <mergeCell ref="A33:D33"/>
    <mergeCell ref="J40:L40"/>
    <mergeCell ref="A35:D35"/>
    <mergeCell ref="D17:F17"/>
    <mergeCell ref="A3:L3"/>
    <mergeCell ref="H34:I34"/>
    <mergeCell ref="E38:F38"/>
    <mergeCell ref="H8:K8"/>
    <mergeCell ref="E12:H12"/>
    <mergeCell ref="A30:D30"/>
    <mergeCell ref="I6:L6"/>
    <mergeCell ref="I15:L15"/>
    <mergeCell ref="H36:I36"/>
    <mergeCell ref="A11:D11"/>
    <mergeCell ref="E40:F40"/>
    <mergeCell ref="E5:H5"/>
    <mergeCell ref="E14:H14"/>
    <mergeCell ref="J33:L33"/>
    <mergeCell ref="G24:H24"/>
    <mergeCell ref="E26:F26"/>
    <mergeCell ref="G26:H26"/>
    <mergeCell ref="F9:G9"/>
    <mergeCell ref="E25:F25"/>
    <mergeCell ref="J37:L37"/>
    <mergeCell ref="G25:H25"/>
    <mergeCell ref="A26:D26"/>
    <mergeCell ref="G17:I17"/>
    <mergeCell ref="I24:L24"/>
    <mergeCell ref="J30:L30"/>
    <mergeCell ref="A16:L16"/>
    <mergeCell ref="H38:I38"/>
    <mergeCell ref="A18:C18"/>
    <mergeCell ref="H31:I31"/>
    <mergeCell ref="E39:F39"/>
    <mergeCell ref="H40:I40"/>
    <mergeCell ref="J32:L32"/>
    <mergeCell ref="A42:L42"/>
    <mergeCell ref="A34:D34"/>
    <mergeCell ref="A39:D39"/>
    <mergeCell ref="D18:F18"/>
    <mergeCell ref="A22:L22"/>
    <mergeCell ref="I11:L11"/>
    <mergeCell ref="E31:F31"/>
    <mergeCell ref="A36:D36"/>
    <mergeCell ref="F8:G8"/>
    <mergeCell ref="A20:L20"/>
    <mergeCell ref="A29:L29"/>
    <mergeCell ref="J18:L18"/>
    <mergeCell ref="A13:L13"/>
    <mergeCell ref="J17:L17"/>
    <mergeCell ref="A37:D37"/>
    <mergeCell ref="E32:F32"/>
    <mergeCell ref="A12:D12"/>
    <mergeCell ref="A1:F1"/>
    <mergeCell ref="E6:H6"/>
    <mergeCell ref="E15:H15"/>
    <mergeCell ref="J34:L34"/>
    <mergeCell ref="A32:D32"/>
    <mergeCell ref="H30:I30"/>
    <mergeCell ref="A14:D14"/>
    <mergeCell ref="I23:L23"/>
    <mergeCell ref="A23:D23"/>
    <mergeCell ref="B9:E9"/>
    <mergeCell ref="A7:L7"/>
    <mergeCell ref="E24:F24"/>
    <mergeCell ref="J36:L36"/>
    <mergeCell ref="E33:F33"/>
    <mergeCell ref="A38:D38"/>
    <mergeCell ref="G27:H27"/>
    <mergeCell ref="G18:I18"/>
    <mergeCell ref="E35:F35"/>
    <mergeCell ref="A40:D40"/>
    <mergeCell ref="J31:L31"/>
    <mergeCell ref="A17:C17"/>
    <mergeCell ref="I27:L27"/>
    <mergeCell ref="G1:L1"/>
    <mergeCell ref="A10:L10"/>
    <mergeCell ref="E30:F30"/>
    <mergeCell ref="A6:D6"/>
    <mergeCell ref="H32:I32"/>
    <mergeCell ref="A28:L28"/>
    <mergeCell ref="A25:D25"/>
    <mergeCell ref="B8:E8"/>
    <mergeCell ref="I12:L12"/>
    <mergeCell ref="H33:I33"/>
    <mergeCell ref="E37:F37"/>
    <mergeCell ref="E11:H11"/>
    <mergeCell ref="I5:L5"/>
  </mergeCells>
  <conditionalFormatting sqref="E31:E40">
    <cfRule type="expression" priority="1" dxfId="0">
      <formula>AND(ISNUMBER(E31),MOD(E31,1)=0)</formula>
    </cfRule>
  </conditionalFormatting>
  <printOptions horizontalCentered="1"/>
  <pageMargins left="0.6" right="0.6" top="0.6" bottom="0.6" header="0.2" footer="0.2"/>
  <pageSetup orientation="portrait" paperSize="9" fitToHeight="0" fitToWidth="1"/>
  <rowBreaks count="1" manualBreakCount="1">
    <brk id="18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9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2" t="inlineStr">
        <is>
          <t>5.0   시 공 관 리</t>
        </is>
      </c>
    </row>
    <row r="4" ht="4" customHeight="1"/>
    <row r="5" ht="3" customHeight="1"/>
    <row r="6" ht="22" customHeight="1">
      <c r="A6" s="49" t="inlineStr">
        <is>
          <t>5-1  일반사항</t>
        </is>
      </c>
    </row>
    <row r="7" ht="21" customHeight="1">
      <c r="A7" s="16" t="inlineStr">
        <is>
          <t>1) 운반 · 보관 및 취급</t>
        </is>
      </c>
    </row>
    <row r="8" ht="51.5" customHeight="1">
      <c r="A8" s="50" t="inlineStr">
        <is>
          <t>(1)</t>
        </is>
      </c>
      <c r="B8" s="51" t="inlineStr">
        <is>
          <t>도장재는 밀봉된 용기에 넣어 개봉하지 않은 상태로 반입하고, 용기에는 도장재의 종류 · 색상 · 수량 · 제조일자 · 제조일련번호 · 상표 · 사용상 주의사항 · 바탕 준비사항 · 건조시간 · 배합에 관한 제조업자의 지침이 적혀 있어야 한다.</t>
        </is>
      </c>
    </row>
    <row r="9" ht="20.5" customHeight="1">
      <c r="A9" s="50" t="inlineStr">
        <is>
          <t>(2)</t>
        </is>
      </c>
      <c r="B9" s="51" t="inlineStr">
        <is>
          <t>도장재의 반입 시기는 공사기간 외에 품질시험에 걸리는 기간을 고려하여 정한다.</t>
        </is>
      </c>
    </row>
    <row r="10" ht="36" customHeight="1">
      <c r="A10" s="50" t="inlineStr">
        <is>
          <t>(3)</t>
        </is>
      </c>
      <c r="B10" s="51" t="inlineStr">
        <is>
          <t>가연성 도료는 전용 창고에 보관하는 것을 원칙으로 하며, 반입한 도료와 사용 중인 도료는 공사감독자가 승인한 창고에 보관하고 도료창고에 «화기 엄금» 표시를 한다.</t>
        </is>
      </c>
    </row>
    <row r="11" ht="20.5" customHeight="1">
      <c r="A11" s="50" t="inlineStr">
        <is>
          <t>(4)</t>
        </is>
      </c>
      <c r="B11" s="51" t="inlineStr">
        <is>
          <t>도료창고는 특히 화재에 주의하고, 창고 안과 주변에서 화기 사용을 엄금한다.</t>
        </is>
      </c>
    </row>
    <row r="12" ht="36" customHeight="1">
      <c r="A12" s="50" t="inlineStr">
        <is>
          <t>(5)</t>
        </is>
      </c>
      <c r="B12" s="51" t="inlineStr">
        <is>
          <t>도료는 될 수 있는 대로 밀봉하여 새거나 엎지르지 않게 다루고, 샌 것이나 엎지른 것은 발화 위험이 없도록 닦아 낸다.</t>
        </is>
      </c>
    </row>
    <row r="13" ht="21" customHeight="1">
      <c r="A13" s="16" t="inlineStr">
        <is>
          <t>2) 환경 요구사항</t>
        </is>
      </c>
    </row>
    <row r="14" ht="36" customHeight="1">
      <c r="A14" s="50" t="inlineStr">
        <is>
          <t>(1)</t>
        </is>
      </c>
      <c r="B14" s="51" t="inlineStr">
        <is>
          <t>도장 작업 중이나 도료 건조기간 중, 도장 장소의 환경 · 기상 조건이 아래와 같아 좋은 결과를 기대할 수 없으면 공사감독자가 승인할 때까지 도장하지 않는다.</t>
        </is>
      </c>
    </row>
    <row r="15" ht="51.5" customHeight="1">
      <c r="A15" s="50" t="inlineStr">
        <is>
          <t>(2)</t>
        </is>
      </c>
      <c r="B15" s="51" t="inlineStr">
        <is>
          <t>기온이 낮거나 습도가 높고 환기가 충분하지 않아 건조가 부적당할 때, 주위 기온이 5℃ 미만이거나 상대습도가 85% 를 넘을 때, 눈 · 비가 올 때 및 안개가 끼었을 때. 다만 재료 제조업자의 시방서에 따로 표시한 경우는 예외로 한다.</t>
        </is>
      </c>
    </row>
    <row r="16" ht="3" customHeight="1"/>
    <row r="17" ht="22" customHeight="1">
      <c r="A17" s="49" t="inlineStr">
        <is>
          <t>5-2  재료</t>
        </is>
      </c>
    </row>
    <row r="18" ht="21" customHeight="1">
      <c r="A18" s="16" t="inlineStr">
        <is>
          <t>1) 도장재의 일반 조건</t>
        </is>
      </c>
    </row>
    <row r="19" ht="20.5" customHeight="1">
      <c r="A19" s="50" t="inlineStr">
        <is>
          <t>(1)</t>
        </is>
      </c>
      <c r="B19" s="51" t="inlineStr">
        <is>
          <t>도장재료는 한국산업표준(KS)에서 정한 규격에 합격한 것을 쓴다.</t>
        </is>
      </c>
    </row>
    <row r="20" ht="51.5" customHeight="1">
      <c r="A20" s="50" t="inlineStr">
        <is>
          <t>(2)</t>
        </is>
      </c>
      <c r="B20" s="51" t="inlineStr">
        <is>
          <t>도료는 상표가 완전하고 개봉하지 않은 채로 현장에 반입하여 KS 표시 여부 · 규격번호 · 품명 · 종별 · 제조연월일 · 포장 번호 및 수량 · 구성성분(안료 · 용제) · 희석방법 · 색명 및 번호 등을 확인받는다.</t>
        </is>
      </c>
    </row>
    <row r="21" ht="20.5" customHeight="1">
      <c r="A21" s="50" t="inlineStr">
        <is>
          <t>(3)</t>
        </is>
      </c>
      <c r="B21" s="51" t="inlineStr">
        <is>
          <t>현장에서 쓰는 도장재는 종류별로 한 제조업자의 제품을 쓴다.</t>
        </is>
      </c>
    </row>
    <row r="22" ht="20.5" customHeight="1">
      <c r="A22" s="50" t="inlineStr">
        <is>
          <t>(4)</t>
        </is>
      </c>
      <c r="B22" s="51" t="inlineStr">
        <is>
          <t>공장에서 배합이 끝난 제품을 쓰며, 현장 희석은 제조업자가 인정하는 범위에서 한다.</t>
        </is>
      </c>
    </row>
    <row r="23" ht="36" customHeight="1">
      <c r="A23" s="50" t="inlineStr">
        <is>
          <t>(5)</t>
        </is>
      </c>
      <c r="B23" s="51" t="inlineStr">
        <is>
          <t>상도 · 중도 · 하도의 도막 색상은 서로 다르게 하며, 상도 후 마감 상태가 요구 기준에 맞아야 한다.</t>
        </is>
      </c>
    </row>
    <row r="24" ht="21" customHeight="1">
      <c r="A24" s="16" t="inlineStr">
        <is>
          <t>2) 합성수지 에멀션 페인트</t>
        </is>
      </c>
    </row>
    <row r="25" ht="67" customHeight="1">
      <c r="A25" s="50" t="inlineStr">
        <is>
          <t>(1)</t>
        </is>
      </c>
      <c r="B25" s="51" t="inlineStr">
        <is>
          <t>외부 수성페인트 — KS M 5310 의 1급에 맞는 합성수지 에멀션 페인트(외부용)로 한다. 도면 · 공사시방에 발수용 외부 수성페인트를 쓰도록 명시한 경우에는 KS M 5310 1급 제품으로서 KS M 7057 발수도 시험 결과 R7 이상인 제품으로 하며, 시험편은 KS M 5310 에 따라 만든 시편 5매로 한다.</t>
        </is>
      </c>
    </row>
    <row r="26" ht="20.5" customHeight="1">
      <c r="A26" s="50" t="inlineStr">
        <is>
          <t>(2)</t>
        </is>
      </c>
      <c r="B26" s="51" t="inlineStr">
        <is>
          <t>내부 수성페인트 — KS M 5320 의 1급에 맞는 합성수지 에멀션 페인트(내부용)로 한다.</t>
        </is>
      </c>
    </row>
    <row r="27" ht="20.5" customHeight="1">
      <c r="A27" s="50" t="inlineStr">
        <is>
          <t>(3)</t>
        </is>
      </c>
      <c r="B27" s="51" t="inlineStr">
        <is>
          <t>광택 합성수지 에멀션 페인트 — 광택 합성수지 에멀션 페인트 규정에 합격한 재료로 한다.</t>
        </is>
      </c>
    </row>
    <row r="28" ht="21" customHeight="1">
      <c r="A28" s="16" t="inlineStr">
        <is>
          <t>3) 바닥재 도료칠</t>
        </is>
      </c>
    </row>
    <row r="29" ht="20.5" customHeight="1">
      <c r="A29" s="50" t="inlineStr">
        <is>
          <t>(1)</t>
        </is>
      </c>
      <c r="B29" s="51" t="inlineStr">
        <is>
          <t>코팅형 에폭시 바닥재 — 품질은 승인된 제조업자의 품질자료에 따른다.</t>
        </is>
      </c>
    </row>
    <row r="30" ht="20.5" customHeight="1">
      <c r="A30" s="50" t="inlineStr">
        <is>
          <t>(2)</t>
        </is>
      </c>
      <c r="B30" s="51" t="inlineStr">
        <is>
          <t>아크릴 수지 에나멜 바닥재 — 품질은 승인된 제조업자의 품질자료에 따른다.</t>
        </is>
      </c>
    </row>
    <row r="31" ht="3" customHeight="1"/>
    <row r="32" ht="22" customHeight="1">
      <c r="A32" s="49" t="inlineStr">
        <is>
          <t>5-3  시공</t>
        </is>
      </c>
    </row>
    <row r="33" ht="21" customHeight="1">
      <c r="A33" s="16" t="inlineStr">
        <is>
          <t>1) 바탕 만들기(면처리)</t>
        </is>
      </c>
    </row>
    <row r="34" ht="21.5" customHeight="1">
      <c r="A34" s="52" t="inlineStr">
        <is>
          <t>각종 도료를 칠하기 전에 바탕 만들기(면처리 · 바탕조정 · 바탕처리 등)를 한다.</t>
        </is>
      </c>
    </row>
    <row r="35" ht="21" customHeight="1">
      <c r="A35" s="16" t="inlineStr">
        <is>
          <t>2) 일반 조건</t>
        </is>
      </c>
    </row>
    <row r="36" ht="51.5" customHeight="1">
      <c r="A36" s="50" t="inlineStr">
        <is>
          <t>(1)</t>
        </is>
      </c>
      <c r="B36" s="51" t="inlineStr">
        <is>
          <t>칠 바탕면은 칠이나 표면처리를 하기 전에 녹 · 해로운 부착물(먼지 · 기름 · 타르분 · 회반죽 · 플라스터 · 시멘트 · 모르타르)과 노화가 심한 구도막을 완전히 없애고 깨끗이 청소한다.</t>
        </is>
      </c>
    </row>
    <row r="37" ht="20.5" customHeight="1">
      <c r="A37" s="50" t="inlineStr">
        <is>
          <t>(2)</t>
        </is>
      </c>
      <c r="B37" s="51" t="inlineStr">
        <is>
          <t>못머리 등 금속이 바탕면에 드러난 곳은 상부 칠 종류에 맞는 녹 방지 조치를 따로 한다.</t>
        </is>
      </c>
    </row>
    <row r="38" ht="51.5" customHeight="1">
      <c r="A38" s="50" t="inlineStr">
        <is>
          <t>(3)</t>
        </is>
      </c>
      <c r="B38" s="51" t="inlineStr">
        <is>
          <t>칠할 부위에 붙은 비도장 부위는 바탕정리나 칠하기 전에 보양재를 덮어 도료가 묻지 않게 한다. 특히 실내에서는 벽 · 바닥 · 인접 시설에 묻지 않도록 비닐 · 신문지 등으로 보양한다.</t>
        </is>
      </c>
    </row>
    <row r="39" ht="36" customHeight="1">
      <c r="A39" s="50" t="inlineStr">
        <is>
          <t>(4)</t>
        </is>
      </c>
      <c r="B39" s="51" t="inlineStr">
        <is>
          <t>면의 결점(홈 · 구멍 · 갈라짐 · 변형 · 옹이 · 흡수성이 고르지 않은 곳 등)을 보수하여 칠하기 좋은 상태로 한다.</t>
        </is>
      </c>
    </row>
    <row r="40" ht="36" customHeight="1">
      <c r="A40" s="50" t="inlineStr">
        <is>
          <t>(5)</t>
        </is>
      </c>
      <c r="B40" s="51" t="inlineStr">
        <is>
          <t>배어 나오기 · 녹아 나오기 등에 의한 해로운 물질(수분 · 기름 · 수지 · 산 · 알칼리 등)의 작용을 막는 처리를 한다.</t>
        </is>
      </c>
    </row>
    <row r="41" ht="20.5" customHeight="1">
      <c r="A41" s="50" t="inlineStr">
        <is>
          <t>(6)</t>
        </is>
      </c>
      <c r="B41" s="51" t="inlineStr">
        <is>
          <t>색상 · 재질이 다른 칠이 만나는 경계는 경계선이 곧도록 테이핑 작업을 한다.</t>
        </is>
      </c>
    </row>
    <row r="42" ht="36" customHeight="1">
      <c r="A42" s="50" t="inlineStr">
        <is>
          <t>(7)</t>
        </is>
      </c>
      <c r="B42" s="51" t="inlineStr">
        <is>
          <t>도장재와 바탕 종류에 따라 따로 표면처리가 필요하면 도료 제조업자의 지침에 따라 바탕처리를 한다.</t>
        </is>
      </c>
    </row>
    <row r="43" ht="21" customHeight="1">
      <c r="A43" s="16" t="inlineStr">
        <is>
          <t>3) 바탕 만들기 공법</t>
        </is>
      </c>
    </row>
    <row r="44" ht="68" customHeight="1">
      <c r="A44" s="52" t="inlineStr">
        <is>
          <t>바탕 만들기 공정의 종별(바탕 종류 · 공법)은 아래에 따르며, 종별 지시가 없으면 철재면 3종, 아연도금면 2종 또는 3종, 경금속 및 동합금면 2종으로 한다. 다만 비닐계 에나멜 도장일 때는 철재면 2종, 아연도금면 1종으로 하고, 100℃ 이상에서 건조시키는 공업용 도장은 1종(인산염 처리)으로 한다.</t>
        </is>
      </c>
    </row>
    <row r="45" ht="20" customHeight="1">
      <c r="A45" s="53" t="inlineStr">
        <is>
          <t>[ 바탕 만들기의 도장 종별 ]</t>
        </is>
      </c>
    </row>
    <row r="46" ht="24" customHeight="1">
      <c r="A46" s="21" t="inlineStr">
        <is>
          <t>바 탕 의  종 류</t>
        </is>
      </c>
      <c r="B46" s="14" t="n"/>
      <c r="C46" s="14" t="n"/>
      <c r="D46" s="14" t="n"/>
      <c r="E46" s="21" t="inlineStr">
        <is>
          <t>종  류</t>
        </is>
      </c>
      <c r="F46" s="14" t="n"/>
      <c r="G46" s="21" t="inlineStr">
        <is>
          <t>공        법</t>
        </is>
      </c>
      <c r="H46" s="14" t="n"/>
      <c r="I46" s="14" t="n"/>
      <c r="J46" s="14" t="n"/>
      <c r="K46" s="14" t="n"/>
      <c r="L46" s="14" t="n"/>
    </row>
    <row r="47" ht="33" customHeight="1">
      <c r="A47" s="54" t="inlineStr">
        <is>
          <t>목부 · 플라스터 · 모르타르 · 콘크리트면</t>
        </is>
      </c>
      <c r="B47" s="14" t="n"/>
      <c r="C47" s="14" t="n"/>
      <c r="D47" s="14" t="n"/>
      <c r="E47" s="55" t="inlineStr">
        <is>
          <t>1종</t>
        </is>
      </c>
      <c r="F47" s="14" t="n"/>
      <c r="G47" s="54" t="inlineStr">
        <is>
          <t>부분 퍼티 처리</t>
        </is>
      </c>
      <c r="H47" s="14" t="n"/>
      <c r="I47" s="14" t="n"/>
      <c r="J47" s="14" t="n"/>
      <c r="K47" s="14" t="n"/>
      <c r="L47" s="14" t="n"/>
    </row>
    <row r="48" ht="22" customHeight="1">
      <c r="A48" s="54" t="inlineStr"/>
      <c r="B48" s="14" t="n"/>
      <c r="C48" s="14" t="n"/>
      <c r="D48" s="14" t="n"/>
      <c r="E48" s="55" t="inlineStr">
        <is>
          <t>2종</t>
        </is>
      </c>
      <c r="F48" s="14" t="n"/>
      <c r="G48" s="54" t="inlineStr">
        <is>
          <t>전면 퍼티 처리</t>
        </is>
      </c>
      <c r="H48" s="14" t="n"/>
      <c r="I48" s="14" t="n"/>
      <c r="J48" s="14" t="n"/>
      <c r="K48" s="14" t="n"/>
      <c r="L48" s="14" t="n"/>
    </row>
    <row r="49" ht="22" customHeight="1">
      <c r="A49" s="54" t="inlineStr"/>
      <c r="B49" s="14" t="n"/>
      <c r="C49" s="14" t="n"/>
      <c r="D49" s="14" t="n"/>
      <c r="E49" s="55" t="inlineStr">
        <is>
          <t>3종</t>
        </is>
      </c>
      <c r="F49" s="14" t="n"/>
      <c r="G49" s="54" t="inlineStr">
        <is>
          <t>이음새 퍼티 처리</t>
        </is>
      </c>
      <c r="H49" s="14" t="n"/>
      <c r="I49" s="14" t="n"/>
      <c r="J49" s="14" t="n"/>
      <c r="K49" s="14" t="n"/>
      <c r="L49" s="14" t="n"/>
    </row>
    <row r="50" ht="22" customHeight="1">
      <c r="A50" s="54" t="inlineStr">
        <is>
          <t>철재면</t>
        </is>
      </c>
      <c r="B50" s="14" t="n"/>
      <c r="C50" s="14" t="n"/>
      <c r="D50" s="14" t="n"/>
      <c r="E50" s="55" t="inlineStr">
        <is>
          <t>1종</t>
        </is>
      </c>
      <c r="F50" s="14" t="n"/>
      <c r="G50" s="54" t="inlineStr">
        <is>
          <t>인산염 처리를 할 때</t>
        </is>
      </c>
      <c r="H50" s="14" t="n"/>
      <c r="I50" s="14" t="n"/>
      <c r="J50" s="14" t="n"/>
      <c r="K50" s="14" t="n"/>
      <c r="L50" s="14" t="n"/>
    </row>
    <row r="51" ht="22" customHeight="1">
      <c r="A51" s="54" t="inlineStr"/>
      <c r="B51" s="14" t="n"/>
      <c r="C51" s="14" t="n"/>
      <c r="D51" s="14" t="n"/>
      <c r="E51" s="55" t="inlineStr">
        <is>
          <t>2종</t>
        </is>
      </c>
      <c r="F51" s="14" t="n"/>
      <c r="G51" s="54" t="inlineStr">
        <is>
          <t>금속 바탕처리용 프라이머를 칠할 때</t>
        </is>
      </c>
      <c r="H51" s="14" t="n"/>
      <c r="I51" s="14" t="n"/>
      <c r="J51" s="14" t="n"/>
      <c r="K51" s="14" t="n"/>
      <c r="L51" s="14" t="n"/>
    </row>
    <row r="52" ht="22" customHeight="1">
      <c r="A52" s="54" t="inlineStr"/>
      <c r="B52" s="14" t="n"/>
      <c r="C52" s="14" t="n"/>
      <c r="D52" s="14" t="n"/>
      <c r="E52" s="55" t="inlineStr">
        <is>
          <t>3종</t>
        </is>
      </c>
      <c r="F52" s="14" t="n"/>
      <c r="G52" s="54" t="inlineStr">
        <is>
          <t>보통의 금속</t>
        </is>
      </c>
      <c r="H52" s="14" t="n"/>
      <c r="I52" s="14" t="n"/>
      <c r="J52" s="14" t="n"/>
      <c r="K52" s="14" t="n"/>
      <c r="L52" s="14" t="n"/>
    </row>
    <row r="53" ht="22" customHeight="1">
      <c r="A53" s="54" t="inlineStr">
        <is>
          <t>아연도금면</t>
        </is>
      </c>
      <c r="B53" s="14" t="n"/>
      <c r="C53" s="14" t="n"/>
      <c r="D53" s="14" t="n"/>
      <c r="E53" s="55" t="inlineStr">
        <is>
          <t>1종</t>
        </is>
      </c>
      <c r="F53" s="14" t="n"/>
      <c r="G53" s="54" t="inlineStr">
        <is>
          <t>금속 바탕처리용 프라이머를 칠할 때</t>
        </is>
      </c>
      <c r="H53" s="14" t="n"/>
      <c r="I53" s="14" t="n"/>
      <c r="J53" s="14" t="n"/>
      <c r="K53" s="14" t="n"/>
      <c r="L53" s="14" t="n"/>
    </row>
    <row r="54" ht="22" customHeight="1">
      <c r="A54" s="54" t="inlineStr"/>
      <c r="B54" s="14" t="n"/>
      <c r="C54" s="14" t="n"/>
      <c r="D54" s="14" t="n"/>
      <c r="E54" s="55" t="inlineStr">
        <is>
          <t>2종</t>
        </is>
      </c>
      <c r="F54" s="14" t="n"/>
      <c r="G54" s="54" t="inlineStr">
        <is>
          <t>황산아연 수용액을 칠할 때</t>
        </is>
      </c>
      <c r="H54" s="14" t="n"/>
      <c r="I54" s="14" t="n"/>
      <c r="J54" s="14" t="n"/>
      <c r="K54" s="14" t="n"/>
      <c r="L54" s="14" t="n"/>
    </row>
    <row r="55" ht="22" customHeight="1">
      <c r="A55" s="54" t="inlineStr"/>
      <c r="B55" s="14" t="n"/>
      <c r="C55" s="14" t="n"/>
      <c r="D55" s="14" t="n"/>
      <c r="E55" s="55" t="inlineStr">
        <is>
          <t>3종</t>
        </is>
      </c>
      <c r="F55" s="14" t="n"/>
      <c r="G55" s="54" t="inlineStr">
        <is>
          <t>옥외로서 풍우에 닿을 때</t>
        </is>
      </c>
      <c r="H55" s="14" t="n"/>
      <c r="I55" s="14" t="n"/>
      <c r="J55" s="14" t="n"/>
      <c r="K55" s="14" t="n"/>
      <c r="L55" s="14" t="n"/>
    </row>
    <row r="56" ht="22" customHeight="1">
      <c r="A56" s="54" t="inlineStr">
        <is>
          <t>경금속 및 동합금면</t>
        </is>
      </c>
      <c r="B56" s="14" t="n"/>
      <c r="C56" s="14" t="n"/>
      <c r="D56" s="14" t="n"/>
      <c r="E56" s="55" t="inlineStr">
        <is>
          <t>1종</t>
        </is>
      </c>
      <c r="F56" s="14" t="n"/>
      <c r="G56" s="54" t="inlineStr">
        <is>
          <t>인산염 처리를 할 때</t>
        </is>
      </c>
      <c r="H56" s="14" t="n"/>
      <c r="I56" s="14" t="n"/>
      <c r="J56" s="14" t="n"/>
      <c r="K56" s="14" t="n"/>
      <c r="L56" s="14" t="n"/>
    </row>
    <row r="57" ht="22" customHeight="1">
      <c r="A57" s="54" t="inlineStr"/>
      <c r="B57" s="14" t="n"/>
      <c r="C57" s="14" t="n"/>
      <c r="D57" s="14" t="n"/>
      <c r="E57" s="55" t="inlineStr">
        <is>
          <t>2종</t>
        </is>
      </c>
      <c r="F57" s="14" t="n"/>
      <c r="G57" s="54" t="inlineStr">
        <is>
          <t>금속 바탕처리용 프라이머를 칠할 때</t>
        </is>
      </c>
      <c r="H57" s="14" t="n"/>
      <c r="I57" s="14" t="n"/>
      <c r="J57" s="14" t="n"/>
      <c r="K57" s="14" t="n"/>
      <c r="L57" s="14" t="n"/>
    </row>
    <row r="58" ht="21" customHeight="1">
      <c r="A58" s="16" t="inlineStr">
        <is>
          <t>4) 합성수지 에멀션 페인트 도장 — 외부 및 내부 수성페인트</t>
        </is>
      </c>
    </row>
    <row r="59" ht="24" customHeight="1">
      <c r="A59" s="21" t="inlineStr">
        <is>
          <t>공정</t>
        </is>
      </c>
      <c r="B59" s="21" t="inlineStr">
        <is>
          <t>내    용</t>
        </is>
      </c>
      <c r="C59" s="14" t="n"/>
      <c r="D59" s="21" t="inlineStr">
        <is>
          <t>재  료(희석)</t>
        </is>
      </c>
      <c r="E59" s="14" t="n"/>
      <c r="F59" s="14" t="n"/>
      <c r="G59" s="21" t="inlineStr">
        <is>
          <t>희석비율
(중량비)</t>
        </is>
      </c>
      <c r="H59" s="14" t="n"/>
      <c r="I59" s="21" t="inlineStr">
        <is>
          <t>건조시간</t>
        </is>
      </c>
      <c r="J59" s="14" t="n"/>
      <c r="K59" s="21" t="inlineStr">
        <is>
          <t>도료량
(kg/㎡)</t>
        </is>
      </c>
      <c r="L59" s="14" t="n"/>
    </row>
    <row r="60" ht="30" customHeight="1">
      <c r="A60" s="55" t="inlineStr">
        <is>
          <t>1</t>
        </is>
      </c>
      <c r="B60" s="54" t="inlineStr">
        <is>
          <t>바탕처리</t>
        </is>
      </c>
      <c r="C60" s="14" t="n"/>
      <c r="D60" s="54" t="inlineStr">
        <is>
          <t>연마지 #100 ~ 160</t>
        </is>
      </c>
      <c r="E60" s="14" t="n"/>
      <c r="F60" s="14" t="n"/>
      <c r="G60" s="55" t="inlineStr">
        <is>
          <t>—</t>
        </is>
      </c>
      <c r="H60" s="14" t="n"/>
      <c r="I60" s="55" t="inlineStr">
        <is>
          <t>—</t>
        </is>
      </c>
      <c r="J60" s="14" t="n"/>
      <c r="K60" s="55" t="inlineStr">
        <is>
          <t>—</t>
        </is>
      </c>
      <c r="L60" s="14" t="n"/>
    </row>
    <row r="61" ht="30" customHeight="1">
      <c r="A61" s="55" t="inlineStr">
        <is>
          <t>2</t>
        </is>
      </c>
      <c r="B61" s="54" t="inlineStr">
        <is>
          <t>초벌 도장(1회)</t>
        </is>
      </c>
      <c r="C61" s="14" t="n"/>
      <c r="D61" s="54" t="inlineStr">
        <is>
          <t>합성수지 에멀션 투명</t>
        </is>
      </c>
      <c r="E61" s="14" t="n"/>
      <c r="F61" s="14" t="n"/>
      <c r="G61" s="55" t="inlineStr">
        <is>
          <t>100</t>
        </is>
      </c>
      <c r="H61" s="14" t="n"/>
      <c r="I61" s="55" t="inlineStr">
        <is>
          <t>3시간 이상</t>
        </is>
      </c>
      <c r="J61" s="14" t="n"/>
      <c r="K61" s="55" t="inlineStr">
        <is>
          <t>0.08</t>
        </is>
      </c>
      <c r="L61" s="14" t="n"/>
    </row>
    <row r="62" ht="33" customHeight="1">
      <c r="A62" s="55" t="inlineStr">
        <is>
          <t>3</t>
        </is>
      </c>
      <c r="B62" s="54" t="inlineStr">
        <is>
          <t>퍼티 먹임</t>
        </is>
      </c>
      <c r="C62" s="14" t="n"/>
      <c r="D62" s="54" t="inlineStr">
        <is>
          <t>합성수지 에멀션 페인트 100 / 물 0 ~ 5</t>
        </is>
      </c>
      <c r="E62" s="14" t="n"/>
      <c r="F62" s="14" t="n"/>
      <c r="G62" s="55" t="inlineStr">
        <is>
          <t>100 : 0 ~ 5</t>
        </is>
      </c>
      <c r="H62" s="14" t="n"/>
      <c r="I62" s="55" t="inlineStr">
        <is>
          <t>3시간 이상</t>
        </is>
      </c>
      <c r="J62" s="14" t="n"/>
      <c r="K62" s="55" t="inlineStr">
        <is>
          <t>—</t>
        </is>
      </c>
      <c r="L62" s="14" t="n"/>
    </row>
    <row r="63" ht="30" customHeight="1">
      <c r="A63" s="55" t="inlineStr">
        <is>
          <t>4</t>
        </is>
      </c>
      <c r="B63" s="54" t="inlineStr">
        <is>
          <t>연  마</t>
        </is>
      </c>
      <c r="C63" s="14" t="n"/>
      <c r="D63" s="54" t="inlineStr">
        <is>
          <t>연마지 #180 ~ 240</t>
        </is>
      </c>
      <c r="E63" s="14" t="n"/>
      <c r="F63" s="14" t="n"/>
      <c r="G63" s="55" t="inlineStr">
        <is>
          <t>—</t>
        </is>
      </c>
      <c r="H63" s="14" t="n"/>
      <c r="I63" s="55" t="inlineStr">
        <is>
          <t>—</t>
        </is>
      </c>
      <c r="J63" s="14" t="n"/>
      <c r="K63" s="55" t="inlineStr">
        <is>
          <t>—</t>
        </is>
      </c>
      <c r="L63" s="14" t="n"/>
    </row>
    <row r="64" ht="33" customHeight="1">
      <c r="A64" s="55" t="inlineStr">
        <is>
          <t>5</t>
        </is>
      </c>
      <c r="B64" s="54" t="inlineStr">
        <is>
          <t>재벌 도장(1회)</t>
        </is>
      </c>
      <c r="C64" s="14" t="n"/>
      <c r="D64" s="54" t="inlineStr">
        <is>
          <t>합성수지 에멀션 페인트 100 / 물 5 ~ 20</t>
        </is>
      </c>
      <c r="E64" s="14" t="n"/>
      <c r="F64" s="14" t="n"/>
      <c r="G64" s="55" t="inlineStr">
        <is>
          <t>100 : 5 ~ 20</t>
        </is>
      </c>
      <c r="H64" s="14" t="n"/>
      <c r="I64" s="55" t="inlineStr">
        <is>
          <t>3시간 이상</t>
        </is>
      </c>
      <c r="J64" s="14" t="n"/>
      <c r="K64" s="55" t="inlineStr">
        <is>
          <t>0.10</t>
        </is>
      </c>
      <c r="L64" s="14" t="n"/>
    </row>
    <row r="65" ht="33" customHeight="1">
      <c r="A65" s="55" t="inlineStr">
        <is>
          <t>6</t>
        </is>
      </c>
      <c r="B65" s="54" t="inlineStr">
        <is>
          <t>정벌 도장(1회)</t>
        </is>
      </c>
      <c r="C65" s="14" t="n"/>
      <c r="D65" s="54" t="inlineStr">
        <is>
          <t>합성수지 에멀션 페인트 100 / 물 5 ~ 20</t>
        </is>
      </c>
      <c r="E65" s="14" t="n"/>
      <c r="F65" s="14" t="n"/>
      <c r="G65" s="55" t="inlineStr">
        <is>
          <t>100 : 5 ~ 20</t>
        </is>
      </c>
      <c r="H65" s="14" t="n"/>
      <c r="I65" s="55" t="inlineStr">
        <is>
          <t>3시간 이상</t>
        </is>
      </c>
      <c r="J65" s="14" t="n"/>
      <c r="K65" s="55" t="inlineStr">
        <is>
          <t>0.10</t>
        </is>
      </c>
      <c r="L65" s="14" t="n"/>
    </row>
    <row r="66" ht="18.95" customHeight="1">
      <c r="A66" s="56" t="inlineStr">
        <is>
          <t>(주)</t>
        </is>
      </c>
      <c r="B66" s="57" t="inlineStr">
        <is>
          <t>바탕처리는 위 1) ~ 3) 에 따른다.</t>
        </is>
      </c>
    </row>
    <row r="67" ht="32.90000000000001" customHeight="1">
      <c r="A67" s="56" t="inlineStr"/>
      <c r="B67" s="57" t="inlineStr">
        <is>
          <t>에어리스 뿜칠의 조합비율 표준은 뿜칠 압력 100 ~ 150kg/㎠ 정도일 때이며, 압축기 압력에 따라 물의 양을 가감한다.</t>
        </is>
      </c>
    </row>
    <row r="68" ht="32.90000000000001" customHeight="1">
      <c r="A68" s="56" t="inlineStr"/>
      <c r="B68" s="57" t="inlineStr">
        <is>
          <t>회반죽 · 플라스터 · 나무섬유판 · 석고보드 등 흡수성이 심할 때는 흡수방지 도료를 칠한다. 도장 횟수는 공사감독자의 지시에 따른다.</t>
        </is>
      </c>
    </row>
    <row r="69" ht="18.95" customHeight="1">
      <c r="A69" s="56" t="inlineStr"/>
      <c r="B69" s="57" t="inlineStr">
        <is>
          <t>내부용은 KS M 5320, 외부용은 KS M 5310 으로 도장 공정은 같다.</t>
        </is>
      </c>
    </row>
    <row r="70" ht="21" customHeight="1">
      <c r="A70" s="10" t="inlineStr"/>
      <c r="B70" s="16" t="inlineStr">
        <is>
          <t>가. 주의사항</t>
        </is>
      </c>
    </row>
    <row r="71" ht="20.5" customHeight="1">
      <c r="A71" s="50" t="inlineStr">
        <is>
          <t>(1)</t>
        </is>
      </c>
      <c r="C71" s="51" t="inlineStr">
        <is>
          <t>5℃ 이하에서 도장하면 균열이 생기거나 도막이 형성되지 않으므로 도장을 피한다.</t>
        </is>
      </c>
    </row>
    <row r="72" ht="20.5" customHeight="1">
      <c r="A72" s="50" t="inlineStr">
        <is>
          <t>(2)</t>
        </is>
      </c>
      <c r="C72" s="51" t="inlineStr">
        <is>
          <t>부착성을 고려하여 과다한 희석은 피한다.</t>
        </is>
      </c>
    </row>
    <row r="73" ht="20.5" customHeight="1">
      <c r="A73" s="50" t="inlineStr">
        <is>
          <t>(3)</t>
        </is>
      </c>
      <c r="C73" s="51" t="inlineStr">
        <is>
          <t>저장 · 수송 중 얼지 않게 한다(0℃ 이하일 때).</t>
        </is>
      </c>
    </row>
    <row r="74" ht="36" customHeight="1">
      <c r="A74" s="50" t="inlineStr">
        <is>
          <t>(4)</t>
        </is>
      </c>
      <c r="C74" s="51" t="inlineStr">
        <is>
          <t>모서리 등 붓으로 새김질한 면과 롤러 도장면의 색이 다를 수 있으므로, 새김질은 같은 규격번호로 하고 가능한 희석하지 않고 먼저 하여 색 차이를 줄인다.</t>
        </is>
      </c>
    </row>
    <row r="75" ht="20.5" customHeight="1">
      <c r="A75" s="50" t="inlineStr">
        <is>
          <t>(5)</t>
        </is>
      </c>
      <c r="C75" s="51" t="inlineStr">
        <is>
          <t>시멘트 모르타르면은 충분히 양생(pH 9 이하)한다.</t>
        </is>
      </c>
    </row>
    <row r="76" ht="21" customHeight="1">
      <c r="A76" s="16" t="inlineStr">
        <is>
          <t>5) 바닥 도료의 도장</t>
        </is>
      </c>
    </row>
    <row r="77" ht="51.5" customHeight="1">
      <c r="A77" s="50" t="inlineStr">
        <is>
          <t>(1)</t>
        </is>
      </c>
      <c r="B77" s="51" t="inlineStr">
        <is>
          <t>바닥 도료는 내마모성 · 내충격성 · 탄성이 풍부한 2액형 폴리우레탄 도료, 내약품성이 뛰어난 폴리아마이드 경화형 에폭시수지 주성분의 2액형 에폭시 도료, 자연건조형 아크릴수지 에나멜 등 3종류가 있으며, 솔이나 롤러 등으로 고르게 바른다.</t>
        </is>
      </c>
    </row>
    <row r="78" ht="20" customHeight="1">
      <c r="A78" s="53" t="inlineStr">
        <is>
          <t>[ 바닥 도료의 종별 — 콘크리트 · 모르타르면 ]</t>
        </is>
      </c>
    </row>
    <row r="79" ht="24" customHeight="1">
      <c r="A79" s="21" t="inlineStr">
        <is>
          <t>칠 종 류</t>
        </is>
      </c>
      <c r="B79" s="14" t="n"/>
      <c r="C79" s="14" t="n"/>
      <c r="D79" s="21" t="inlineStr">
        <is>
          <t>형  식</t>
        </is>
      </c>
      <c r="E79" s="14" t="n"/>
      <c r="F79" s="14" t="n"/>
      <c r="G79" s="21" t="inlineStr">
        <is>
          <t>초벌 도장</t>
        </is>
      </c>
      <c r="H79" s="14" t="n"/>
      <c r="I79" s="21" t="inlineStr">
        <is>
          <t>재벌 도장</t>
        </is>
      </c>
      <c r="J79" s="14" t="n"/>
      <c r="K79" s="21" t="inlineStr">
        <is>
          <t>정벌 도장</t>
        </is>
      </c>
      <c r="L79" s="14" t="n"/>
    </row>
    <row r="80" ht="22" customHeight="1">
      <c r="A80" s="54" t="inlineStr">
        <is>
          <t>우레탄계</t>
        </is>
      </c>
      <c r="B80" s="14" t="n"/>
      <c r="C80" s="14" t="n"/>
      <c r="D80" s="54" t="inlineStr">
        <is>
          <t>일반형(코팅)</t>
        </is>
      </c>
      <c r="E80" s="14" t="n"/>
      <c r="F80" s="14" t="n"/>
      <c r="G80" s="55" t="inlineStr">
        <is>
          <t>1</t>
        </is>
      </c>
      <c r="H80" s="14" t="n"/>
      <c r="I80" s="55" t="inlineStr">
        <is>
          <t>1 ~ 2</t>
        </is>
      </c>
      <c r="J80" s="14" t="n"/>
      <c r="K80" s="55" t="inlineStr">
        <is>
          <t>1</t>
        </is>
      </c>
      <c r="L80" s="14" t="n"/>
    </row>
    <row r="81" ht="22" customHeight="1">
      <c r="A81" s="54" t="inlineStr"/>
      <c r="B81" s="14" t="n"/>
      <c r="C81" s="14" t="n"/>
      <c r="D81" s="54" t="inlineStr">
        <is>
          <t>두께 3mm 형</t>
        </is>
      </c>
      <c r="E81" s="14" t="n"/>
      <c r="F81" s="14" t="n"/>
      <c r="G81" s="55" t="inlineStr">
        <is>
          <t>1</t>
        </is>
      </c>
      <c r="H81" s="14" t="n"/>
      <c r="I81" s="55" t="inlineStr">
        <is>
          <t>1</t>
        </is>
      </c>
      <c r="J81" s="14" t="n"/>
      <c r="K81" s="55" t="inlineStr">
        <is>
          <t>1</t>
        </is>
      </c>
      <c r="L81" s="14" t="n"/>
    </row>
    <row r="82" ht="22" customHeight="1">
      <c r="A82" s="54" t="inlineStr">
        <is>
          <t>에폭시계</t>
        </is>
      </c>
      <c r="B82" s="14" t="n"/>
      <c r="C82" s="14" t="n"/>
      <c r="D82" s="54" t="inlineStr">
        <is>
          <t>일반형(코팅)</t>
        </is>
      </c>
      <c r="E82" s="14" t="n"/>
      <c r="F82" s="14" t="n"/>
      <c r="G82" s="55" t="inlineStr">
        <is>
          <t>1</t>
        </is>
      </c>
      <c r="H82" s="14" t="n"/>
      <c r="I82" s="55" t="inlineStr">
        <is>
          <t>1 ~ 2</t>
        </is>
      </c>
      <c r="J82" s="14" t="n"/>
      <c r="K82" s="55" t="inlineStr">
        <is>
          <t>1</t>
        </is>
      </c>
      <c r="L82" s="14" t="n"/>
    </row>
    <row r="83" ht="22" customHeight="1">
      <c r="A83" s="54" t="inlineStr"/>
      <c r="B83" s="14" t="n"/>
      <c r="C83" s="14" t="n"/>
      <c r="D83" s="54" t="inlineStr">
        <is>
          <t>두께 3mm 형</t>
        </is>
      </c>
      <c r="E83" s="14" t="n"/>
      <c r="F83" s="14" t="n"/>
      <c r="G83" s="55" t="inlineStr">
        <is>
          <t>1</t>
        </is>
      </c>
      <c r="H83" s="14" t="n"/>
      <c r="I83" s="55" t="inlineStr">
        <is>
          <t>1</t>
        </is>
      </c>
      <c r="J83" s="14" t="n"/>
      <c r="K83" s="55" t="inlineStr">
        <is>
          <t>1</t>
        </is>
      </c>
      <c r="L83" s="14" t="n"/>
    </row>
    <row r="84" ht="22" customHeight="1">
      <c r="A84" s="54" t="inlineStr">
        <is>
          <t>아크릴계</t>
        </is>
      </c>
      <c r="B84" s="14" t="n"/>
      <c r="C84" s="14" t="n"/>
      <c r="D84" s="54" t="inlineStr">
        <is>
          <t>일반형(코팅)</t>
        </is>
      </c>
      <c r="E84" s="14" t="n"/>
      <c r="F84" s="14" t="n"/>
      <c r="G84" s="55" t="inlineStr">
        <is>
          <t>1</t>
        </is>
      </c>
      <c r="H84" s="14" t="n"/>
      <c r="I84" s="55" t="inlineStr">
        <is>
          <t>1 ~ 2</t>
        </is>
      </c>
      <c r="J84" s="14" t="n"/>
      <c r="K84" s="55" t="inlineStr">
        <is>
          <t>1</t>
        </is>
      </c>
      <c r="L84" s="14" t="n"/>
    </row>
    <row r="85" ht="21" customHeight="1">
      <c r="A85" s="10" t="inlineStr"/>
      <c r="B85" s="16" t="inlineStr">
        <is>
          <t>(3) 코팅형 에폭시 바닥 도장</t>
        </is>
      </c>
    </row>
    <row r="86" ht="24" customHeight="1">
      <c r="A86" s="21" t="inlineStr">
        <is>
          <t>공정</t>
        </is>
      </c>
      <c r="B86" s="21" t="inlineStr">
        <is>
          <t>내    용</t>
        </is>
      </c>
      <c r="C86" s="14" t="n"/>
      <c r="D86" s="21" t="inlineStr">
        <is>
          <t>재  료(희석)</t>
        </is>
      </c>
      <c r="E86" s="14" t="n"/>
      <c r="F86" s="14" t="n"/>
      <c r="G86" s="21" t="inlineStr">
        <is>
          <t>희석비율
(중량비)</t>
        </is>
      </c>
      <c r="H86" s="14" t="n"/>
      <c r="I86" s="21" t="inlineStr">
        <is>
          <t>건조시간</t>
        </is>
      </c>
      <c r="J86" s="14" t="n"/>
      <c r="K86" s="21" t="inlineStr">
        <is>
          <t>도료량
(kg/㎡)</t>
        </is>
      </c>
      <c r="L86" s="14" t="n"/>
    </row>
    <row r="87" ht="30" customHeight="1">
      <c r="A87" s="55" t="inlineStr">
        <is>
          <t>1</t>
        </is>
      </c>
      <c r="B87" s="54" t="inlineStr">
        <is>
          <t>바탕처리</t>
        </is>
      </c>
      <c r="C87" s="14" t="n"/>
      <c r="D87" s="54" t="inlineStr">
        <is>
          <t>위 1) ~ 3) 에 따라 처리</t>
        </is>
      </c>
      <c r="E87" s="14" t="n"/>
      <c r="F87" s="14" t="n"/>
      <c r="G87" s="55" t="inlineStr">
        <is>
          <t>—</t>
        </is>
      </c>
      <c r="H87" s="14" t="n"/>
      <c r="I87" s="55" t="inlineStr">
        <is>
          <t>—</t>
        </is>
      </c>
      <c r="J87" s="14" t="n"/>
      <c r="K87" s="55" t="inlineStr">
        <is>
          <t>—</t>
        </is>
      </c>
      <c r="L87" s="14" t="n"/>
    </row>
    <row r="88" ht="46.5" customHeight="1">
      <c r="A88" s="55" t="inlineStr">
        <is>
          <t>2</t>
        </is>
      </c>
      <c r="B88" s="54" t="inlineStr">
        <is>
          <t>초벌 도장(1회)</t>
        </is>
      </c>
      <c r="C88" s="14" t="n"/>
      <c r="D88" s="54" t="inlineStr">
        <is>
          <t>에폭시 수지 프라이머(투명) 100 / 지정 신너 0 ~ 20</t>
        </is>
      </c>
      <c r="E88" s="14" t="n"/>
      <c r="F88" s="14" t="n"/>
      <c r="G88" s="55" t="inlineStr">
        <is>
          <t>100 : 0 ~ 20</t>
        </is>
      </c>
      <c r="H88" s="14" t="n"/>
      <c r="I88" s="55" t="inlineStr">
        <is>
          <t>8시간 이내</t>
        </is>
      </c>
      <c r="J88" s="14" t="n"/>
      <c r="K88" s="55" t="inlineStr">
        <is>
          <t>0.08</t>
        </is>
      </c>
      <c r="L88" s="14" t="n"/>
    </row>
    <row r="89" ht="33" customHeight="1">
      <c r="A89" s="55" t="inlineStr">
        <is>
          <t>3</t>
        </is>
      </c>
      <c r="B89" s="54" t="inlineStr">
        <is>
          <t>재벌 도장(1회)</t>
        </is>
      </c>
      <c r="C89" s="14" t="n"/>
      <c r="D89" s="54" t="inlineStr">
        <is>
          <t>에폭시 수지 서페이서 100 / 지정 신너 0 ~ 20</t>
        </is>
      </c>
      <c r="E89" s="14" t="n"/>
      <c r="F89" s="14" t="n"/>
      <c r="G89" s="55" t="inlineStr">
        <is>
          <t>100 : 0 ~ 20</t>
        </is>
      </c>
      <c r="H89" s="14" t="n"/>
      <c r="I89" s="55" t="inlineStr">
        <is>
          <t>24시간</t>
        </is>
      </c>
      <c r="J89" s="14" t="n"/>
      <c r="K89" s="55" t="inlineStr">
        <is>
          <t>0.20 ~ 0.45</t>
        </is>
      </c>
      <c r="L89" s="14" t="n"/>
    </row>
    <row r="90" ht="33" customHeight="1">
      <c r="A90" s="55" t="inlineStr">
        <is>
          <t>4</t>
        </is>
      </c>
      <c r="B90" s="54" t="inlineStr">
        <is>
          <t>정벌 도장(1회)</t>
        </is>
      </c>
      <c r="C90" s="14" t="n"/>
      <c r="D90" s="54" t="inlineStr">
        <is>
          <t>우레탄 수지 에나멜 100 / 지정 신너 0 ~ 20</t>
        </is>
      </c>
      <c r="E90" s="14" t="n"/>
      <c r="F90" s="14" t="n"/>
      <c r="G90" s="55" t="inlineStr">
        <is>
          <t>100 : 0 ~ 20</t>
        </is>
      </c>
      <c r="H90" s="14" t="n"/>
      <c r="I90" s="55" t="inlineStr">
        <is>
          <t>24시간</t>
        </is>
      </c>
      <c r="J90" s="14" t="n"/>
      <c r="K90" s="55" t="inlineStr">
        <is>
          <t>0.20</t>
        </is>
      </c>
      <c r="L90" s="14" t="n"/>
    </row>
    <row r="91" ht="21" customHeight="1">
      <c r="A91" s="10" t="inlineStr"/>
      <c r="B91" s="16" t="inlineStr">
        <is>
          <t>(4) 주의사항</t>
        </is>
      </c>
    </row>
    <row r="92" ht="36" customHeight="1">
      <c r="A92" s="50" t="inlineStr">
        <is>
          <t>-</t>
        </is>
      </c>
      <c r="C92" s="51" t="inlineStr">
        <is>
          <t>바탕에 기름 · 수분 등이 있으면 겔(Gel)화되어 부착이 나쁘므로 바탕을 충분히 말린 뒤 칠한다.</t>
        </is>
      </c>
    </row>
    <row r="93" ht="36" customHeight="1">
      <c r="A93" s="50" t="inlineStr">
        <is>
          <t>-</t>
        </is>
      </c>
      <c r="C93" s="51" t="inlineStr">
        <is>
          <t>반드시 지정된 신너를 쓰며, 폴리우레탄 중도재는 재도장 시간을 지켜야 층간 밀착이 좋다.</t>
        </is>
      </c>
    </row>
    <row r="94" ht="20.5" customHeight="1">
      <c r="A94" s="50" t="inlineStr">
        <is>
          <t>-</t>
        </is>
      </c>
      <c r="C94" s="51" t="inlineStr">
        <is>
          <t>경화제는 폭발 위험이 있으므로 밀폐된 곳에 저장하고 직사광선을 피한다.</t>
        </is>
      </c>
    </row>
    <row r="95" ht="36" customHeight="1">
      <c r="A95" s="50" t="inlineStr">
        <is>
          <t>-</t>
        </is>
      </c>
      <c r="C95" s="51" t="inlineStr">
        <is>
          <t>각 도료는 칠하기 전에 주제와 경화제를 지시된 비율로 4 ~ 5분 정도 고르게 섞어 쓴다.</t>
        </is>
      </c>
    </row>
    <row r="96" ht="51.5" customHeight="1">
      <c r="A96" s="50" t="inlineStr">
        <is>
          <t>-</t>
        </is>
      </c>
      <c r="C96" s="51" t="inlineStr">
        <is>
          <t>콘크리트 강화제로 처리된 면은 쇼트 블라스팅 · 그라인딩 또는 산세척 후 수돗물로 깨끗이 씻어 완전히 말리고, 도장 전에 도료와의 부착성을 반드시 확인한다. 산 처리 작업 때는 고무장화 · 고무장갑 · 마스크 등 보호구를 착용한다.</t>
        </is>
      </c>
    </row>
    <row r="97" ht="36" customHeight="1">
      <c r="A97" s="50" t="inlineStr">
        <is>
          <t>-</t>
        </is>
      </c>
      <c r="C97" s="51" t="inlineStr">
        <is>
          <t>표면의 균열이나 요철 부분은 V자형으로 파내고 하도를 칠해 말린 뒤 퍼티로 처리하여 표면을 평활하게 조정한다.</t>
        </is>
      </c>
    </row>
    <row r="98" ht="21" customHeight="1">
      <c r="A98" s="10" t="inlineStr"/>
      <c r="B98" s="16" t="inlineStr">
        <is>
          <t>(5) 시공 순서</t>
        </is>
      </c>
    </row>
    <row r="99" ht="51.5" customHeight="1">
      <c r="A99" s="50" t="inlineStr">
        <is>
          <t>가.</t>
        </is>
      </c>
      <c r="C99" s="51" t="inlineStr">
        <is>
          <t>재료의 배합 — 주제(A액)와 경화제(B액)를 섞기 전에 용기 안에서 충분히 젓고, 지정된 중량 배합비율에 따라 전동 드릴로 고루 섞되 가사시간 안에 쓸 수 있는 양만 배합한다.</t>
        </is>
      </c>
    </row>
    <row r="100" ht="51.5" customHeight="1">
      <c r="A100" s="50" t="inlineStr">
        <is>
          <t>나.</t>
        </is>
      </c>
      <c r="C100" s="51" t="inlineStr">
        <is>
          <t>표면처리 — 표면의 이물질(유분 · 오물 · 레이턴스 등)을 와이어 브러시 · 샌드 블라스트 · 전동공구로 완전히 없애고 충분히 말린다. 균열이나 표면 불량 부위는 균열 보수 절차에 따라 보수한 뒤 도장한다.</t>
        </is>
      </c>
    </row>
    <row r="101" ht="36" customHeight="1">
      <c r="A101" s="50" t="inlineStr">
        <is>
          <t>다.</t>
        </is>
      </c>
      <c r="C101" s="51" t="inlineStr">
        <is>
          <t>하도(1차 프라이머) — 바탕처리가 끝나면 투명 에폭시를 압송식 분무기 · 롤러로 곧바로 발라 40㎛ 두께가 되게 한다.</t>
        </is>
      </c>
    </row>
    <row r="102" ht="36" customHeight="1">
      <c r="A102" s="50" t="inlineStr">
        <is>
          <t>라.</t>
        </is>
      </c>
      <c r="C102" s="51" t="inlineStr">
        <is>
          <t>중도 — 하도가 끝나면 제조업체가 정한 배합비율로 섞어 압송식 분무기 · 솔 · 롤러 또는 고무주걱으로 고루 바른다.</t>
        </is>
      </c>
    </row>
    <row r="103" ht="20.5" customHeight="1">
      <c r="A103" s="50" t="inlineStr">
        <is>
          <t>마.</t>
        </is>
      </c>
      <c r="C103" s="51" t="inlineStr">
        <is>
          <t>2차 중도 — 도막을 충분히 말린 뒤 2차 중도재를 표면에 골고루 바른다.</t>
        </is>
      </c>
    </row>
    <row r="104" ht="20.5" customHeight="1">
      <c r="A104" s="50" t="inlineStr">
        <is>
          <t>바.</t>
        </is>
      </c>
      <c r="C104" s="51" t="inlineStr">
        <is>
          <t>상도 — 중도 2회 후 도막을 충분히 말린 뒤 상도재를 표면에 충분히 바른다.</t>
        </is>
      </c>
    </row>
    <row r="105" ht="4" customHeight="1"/>
    <row r="106" ht="30" customHeight="1">
      <c r="A106" s="12" t="inlineStr">
        <is>
          <t>6.0   검 측  FLOW CHART</t>
        </is>
      </c>
    </row>
    <row r="107" ht="4" customHeight="1"/>
    <row r="108" ht="30" customHeight="1">
      <c r="A108" s="10" t="inlineStr"/>
      <c r="D108" s="58" t="inlineStr">
        <is>
          <t>현장 시공 완료</t>
        </is>
      </c>
      <c r="E108" s="14" t="n"/>
      <c r="F108" s="14" t="n"/>
      <c r="G108" s="14" t="n"/>
      <c r="H108" s="14" t="n"/>
      <c r="I108" s="14" t="n"/>
      <c r="J108" s="59" t="inlineStr"/>
    </row>
    <row r="109" ht="14" customHeight="1">
      <c r="A109" s="40" t="inlineStr">
        <is>
          <t>▼</t>
        </is>
      </c>
    </row>
    <row r="110" ht="30" customHeight="1">
      <c r="A110" s="10" t="inlineStr"/>
      <c r="D110" s="58" t="inlineStr">
        <is>
          <t>시공자 · 담당기술자 점검</t>
        </is>
      </c>
      <c r="E110" s="14" t="n"/>
      <c r="F110" s="14" t="n"/>
      <c r="G110" s="14" t="n"/>
      <c r="H110" s="14" t="n"/>
      <c r="I110" s="14" t="n"/>
      <c r="J110" s="59" t="inlineStr">
        <is>
          <t xml:space="preserve">  ◀ 첨부 : 시공자 점검표</t>
        </is>
      </c>
    </row>
    <row r="111" ht="14" customHeight="1">
      <c r="A111" s="40" t="inlineStr">
        <is>
          <t>▼</t>
        </is>
      </c>
    </row>
    <row r="112" ht="30" customHeight="1">
      <c r="A112" s="10" t="inlineStr"/>
      <c r="D112" s="58" t="inlineStr">
        <is>
          <t>검측요청서 제출</t>
        </is>
      </c>
      <c r="E112" s="14" t="n"/>
      <c r="F112" s="14" t="n"/>
      <c r="G112" s="14" t="n"/>
      <c r="H112" s="14" t="n"/>
      <c r="I112" s="14" t="n"/>
      <c r="J112" s="59" t="inlineStr">
        <is>
          <t xml:space="preserve">  ◀ 첨부 : 공사참여자 명부 · 관련 도면 · 사진</t>
        </is>
      </c>
    </row>
    <row r="113" ht="14" customHeight="1">
      <c r="A113" s="40" t="inlineStr">
        <is>
          <t>▼</t>
        </is>
      </c>
    </row>
    <row r="114" ht="30" customHeight="1">
      <c r="A114" s="10" t="inlineStr"/>
      <c r="D114" s="58" t="inlineStr">
        <is>
          <t>건설사업관리자 현장 검측</t>
        </is>
      </c>
      <c r="E114" s="14" t="n"/>
      <c r="F114" s="14" t="n"/>
      <c r="G114" s="14" t="n"/>
      <c r="H114" s="14" t="n"/>
      <c r="I114" s="14" t="n"/>
      <c r="J114" s="59" t="inlineStr"/>
    </row>
    <row r="115" ht="14" customHeight="1">
      <c r="A115" s="40" t="inlineStr">
        <is>
          <t>▼</t>
        </is>
      </c>
    </row>
    <row r="116" ht="30" customHeight="1">
      <c r="A116" s="10" t="inlineStr"/>
      <c r="D116" s="58" t="inlineStr">
        <is>
          <t>검측 결과 통보</t>
        </is>
      </c>
      <c r="E116" s="14" t="n"/>
      <c r="F116" s="14" t="n"/>
      <c r="G116" s="14" t="n"/>
      <c r="H116" s="14" t="n"/>
      <c r="I116" s="14" t="n"/>
      <c r="J116" s="59" t="inlineStr">
        <is>
          <t xml:space="preserve">  ◀ 불합격 시 → 재시공 · 보완 후 다시 검측 요청</t>
        </is>
      </c>
    </row>
    <row r="117" ht="14" customHeight="1">
      <c r="A117" s="40" t="inlineStr">
        <is>
          <t>▼</t>
        </is>
      </c>
    </row>
    <row r="118" ht="30" customHeight="1">
      <c r="A118" s="10" t="inlineStr"/>
      <c r="D118" s="58" t="inlineStr">
        <is>
          <t>합격 시 다음 단계 공종 착수</t>
        </is>
      </c>
      <c r="E118" s="14" t="n"/>
      <c r="F118" s="14" t="n"/>
      <c r="G118" s="14" t="n"/>
      <c r="H118" s="14" t="n"/>
      <c r="I118" s="14" t="n"/>
      <c r="J118" s="59" t="inlineStr"/>
    </row>
    <row r="119" ht="21" customHeight="1">
      <c r="A119" s="16" t="inlineStr">
        <is>
          <t>※ 검측 체크리스트 — «검측체크» 시트(3장 : 공통사항 · 수성페인트 · 에폭시 라이닝)</t>
        </is>
      </c>
    </row>
  </sheetData>
  <mergeCells count="238">
    <mergeCell ref="C71:L71"/>
    <mergeCell ref="G81:H81"/>
    <mergeCell ref="B91:L91"/>
    <mergeCell ref="I81:J81"/>
    <mergeCell ref="A80:C80"/>
    <mergeCell ref="A73:B73"/>
    <mergeCell ref="I89:J89"/>
    <mergeCell ref="K89:L89"/>
    <mergeCell ref="B22:L22"/>
    <mergeCell ref="K88:L88"/>
    <mergeCell ref="A113:L113"/>
    <mergeCell ref="E51:F51"/>
    <mergeCell ref="B12:L12"/>
    <mergeCell ref="B86:C86"/>
    <mergeCell ref="B21:L21"/>
    <mergeCell ref="B39:L39"/>
    <mergeCell ref="K81:L81"/>
    <mergeCell ref="A99:B99"/>
    <mergeCell ref="C101:L101"/>
    <mergeCell ref="B61:C61"/>
    <mergeCell ref="K90:L90"/>
    <mergeCell ref="J118:L118"/>
    <mergeCell ref="G55:L55"/>
    <mergeCell ref="A74:B74"/>
    <mergeCell ref="A51:D51"/>
    <mergeCell ref="B14:L14"/>
    <mergeCell ref="B23:L23"/>
    <mergeCell ref="C74:L74"/>
    <mergeCell ref="A101:B101"/>
    <mergeCell ref="B38:L38"/>
    <mergeCell ref="G46:L46"/>
    <mergeCell ref="A115:L115"/>
    <mergeCell ref="E49:F49"/>
    <mergeCell ref="A54:D54"/>
    <mergeCell ref="D110:I110"/>
    <mergeCell ref="A83:C83"/>
    <mergeCell ref="I83:J83"/>
    <mergeCell ref="C103:L103"/>
    <mergeCell ref="A34:L34"/>
    <mergeCell ref="B40:L40"/>
    <mergeCell ref="C94:L94"/>
    <mergeCell ref="J116:L116"/>
    <mergeCell ref="A56:D56"/>
    <mergeCell ref="B64:C64"/>
    <mergeCell ref="C75:L75"/>
    <mergeCell ref="D80:F80"/>
    <mergeCell ref="A110:C110"/>
    <mergeCell ref="A6:L6"/>
    <mergeCell ref="E53:F53"/>
    <mergeCell ref="G84:H84"/>
    <mergeCell ref="B63:C63"/>
    <mergeCell ref="A119:L119"/>
    <mergeCell ref="I84:J84"/>
    <mergeCell ref="D108:I108"/>
    <mergeCell ref="B41:L41"/>
    <mergeCell ref="A78:L78"/>
    <mergeCell ref="G59:H59"/>
    <mergeCell ref="G57:L57"/>
    <mergeCell ref="A53:D53"/>
    <mergeCell ref="E55:F55"/>
    <mergeCell ref="G86:H86"/>
    <mergeCell ref="B90:C90"/>
    <mergeCell ref="I86:J86"/>
    <mergeCell ref="B25:L25"/>
    <mergeCell ref="A118:C118"/>
    <mergeCell ref="I80:J80"/>
    <mergeCell ref="G53:L53"/>
    <mergeCell ref="A103:B103"/>
    <mergeCell ref="K80:L80"/>
    <mergeCell ref="G61:H61"/>
    <mergeCell ref="E48:F48"/>
    <mergeCell ref="A3:L3"/>
    <mergeCell ref="I61:J61"/>
    <mergeCell ref="B66:L66"/>
    <mergeCell ref="B27:L27"/>
    <mergeCell ref="K64:L64"/>
    <mergeCell ref="K79:L79"/>
    <mergeCell ref="A48:D48"/>
    <mergeCell ref="B11:L11"/>
    <mergeCell ref="B77:L77"/>
    <mergeCell ref="A32:L32"/>
    <mergeCell ref="K63:L63"/>
    <mergeCell ref="D114:I114"/>
    <mergeCell ref="G62:H62"/>
    <mergeCell ref="A106:L106"/>
    <mergeCell ref="B67:L67"/>
    <mergeCell ref="D83:F83"/>
    <mergeCell ref="A81:C81"/>
    <mergeCell ref="C104:L104"/>
    <mergeCell ref="G47:L47"/>
    <mergeCell ref="A43:L43"/>
    <mergeCell ref="C73:L73"/>
    <mergeCell ref="B29:L29"/>
    <mergeCell ref="A71:B71"/>
    <mergeCell ref="B69:L69"/>
    <mergeCell ref="B37:L37"/>
    <mergeCell ref="A58:L58"/>
    <mergeCell ref="G65:H65"/>
    <mergeCell ref="D60:F60"/>
    <mergeCell ref="G88:H88"/>
    <mergeCell ref="A46:D46"/>
    <mergeCell ref="I88:J88"/>
    <mergeCell ref="A82:C82"/>
    <mergeCell ref="A24:L24"/>
    <mergeCell ref="I82:J82"/>
    <mergeCell ref="K82:L82"/>
    <mergeCell ref="C99:L99"/>
    <mergeCell ref="A100:B100"/>
    <mergeCell ref="J112:L112"/>
    <mergeCell ref="B15:L15"/>
    <mergeCell ref="G90:H90"/>
    <mergeCell ref="B89:C89"/>
    <mergeCell ref="G48:L48"/>
    <mergeCell ref="A93:B93"/>
    <mergeCell ref="I59:J59"/>
    <mergeCell ref="A102:B102"/>
    <mergeCell ref="G60:H60"/>
    <mergeCell ref="D86:F86"/>
    <mergeCell ref="I60:J60"/>
    <mergeCell ref="E50:F50"/>
    <mergeCell ref="A92:B92"/>
    <mergeCell ref="B26:L26"/>
    <mergeCell ref="K83:L83"/>
    <mergeCell ref="A108:C108"/>
    <mergeCell ref="A84:C84"/>
    <mergeCell ref="A52:D52"/>
    <mergeCell ref="J108:L108"/>
    <mergeCell ref="E52:F52"/>
    <mergeCell ref="A18:L18"/>
    <mergeCell ref="G49:L49"/>
    <mergeCell ref="A94:B94"/>
    <mergeCell ref="C72:L72"/>
    <mergeCell ref="D87:F87"/>
    <mergeCell ref="K60:L60"/>
    <mergeCell ref="D112:I112"/>
    <mergeCell ref="C96:L96"/>
    <mergeCell ref="A75:B75"/>
    <mergeCell ref="C92:L92"/>
    <mergeCell ref="D118:I118"/>
    <mergeCell ref="B60:C60"/>
    <mergeCell ref="B42:L42"/>
    <mergeCell ref="A49:D49"/>
    <mergeCell ref="B88:C88"/>
    <mergeCell ref="G87:H87"/>
    <mergeCell ref="D82:F82"/>
    <mergeCell ref="I87:J87"/>
    <mergeCell ref="A112:C112"/>
    <mergeCell ref="A104:B104"/>
    <mergeCell ref="E46:F46"/>
    <mergeCell ref="I62:J62"/>
    <mergeCell ref="J110:L110"/>
    <mergeCell ref="A13:L13"/>
    <mergeCell ref="B19:L19"/>
    <mergeCell ref="A44:L44"/>
    <mergeCell ref="G80:H80"/>
    <mergeCell ref="G89:H89"/>
    <mergeCell ref="D59:F59"/>
    <mergeCell ref="A114:C114"/>
    <mergeCell ref="G64:H64"/>
    <mergeCell ref="B9:L9"/>
    <mergeCell ref="G79:H79"/>
    <mergeCell ref="I64:J64"/>
    <mergeCell ref="E57:F57"/>
    <mergeCell ref="I79:J79"/>
    <mergeCell ref="C93:L93"/>
    <mergeCell ref="C95:L95"/>
    <mergeCell ref="A96:B96"/>
    <mergeCell ref="E54:F54"/>
    <mergeCell ref="B30:L30"/>
    <mergeCell ref="K65:L65"/>
    <mergeCell ref="A1:F1"/>
    <mergeCell ref="G63:H63"/>
    <mergeCell ref="A79:C79"/>
    <mergeCell ref="D84:F84"/>
    <mergeCell ref="I63:J63"/>
    <mergeCell ref="B20:L20"/>
    <mergeCell ref="A57:D57"/>
    <mergeCell ref="B85:L85"/>
    <mergeCell ref="E56:F56"/>
    <mergeCell ref="I65:J65"/>
    <mergeCell ref="I90:J90"/>
    <mergeCell ref="B62:C62"/>
    <mergeCell ref="A7:L7"/>
    <mergeCell ref="B59:C59"/>
    <mergeCell ref="D61:F61"/>
    <mergeCell ref="D116:I116"/>
    <mergeCell ref="G82:H82"/>
    <mergeCell ref="C102:L102"/>
    <mergeCell ref="B70:L70"/>
    <mergeCell ref="A76:L76"/>
    <mergeCell ref="A33:L33"/>
    <mergeCell ref="A116:C116"/>
    <mergeCell ref="D62:F62"/>
    <mergeCell ref="J114:L114"/>
    <mergeCell ref="A17:L17"/>
    <mergeCell ref="K84:L84"/>
    <mergeCell ref="G51:L51"/>
    <mergeCell ref="B98:L98"/>
    <mergeCell ref="A109:L109"/>
    <mergeCell ref="A35:L35"/>
    <mergeCell ref="B8:L8"/>
    <mergeCell ref="G54:L54"/>
    <mergeCell ref="G1:L1"/>
    <mergeCell ref="D64:F64"/>
    <mergeCell ref="K59:L59"/>
    <mergeCell ref="G83:H83"/>
    <mergeCell ref="B87:C87"/>
    <mergeCell ref="D89:F89"/>
    <mergeCell ref="C97:L97"/>
    <mergeCell ref="G50:L50"/>
    <mergeCell ref="A95:B95"/>
    <mergeCell ref="K86:L86"/>
    <mergeCell ref="A28:L28"/>
    <mergeCell ref="D79:F79"/>
    <mergeCell ref="A117:L117"/>
    <mergeCell ref="A111:L111"/>
    <mergeCell ref="D88:F88"/>
    <mergeCell ref="B10:L10"/>
    <mergeCell ref="G56:L56"/>
    <mergeCell ref="C100:L100"/>
    <mergeCell ref="K61:L61"/>
    <mergeCell ref="B65:C65"/>
    <mergeCell ref="G52:L52"/>
    <mergeCell ref="D63:F63"/>
    <mergeCell ref="A97:B97"/>
    <mergeCell ref="D81:F81"/>
    <mergeCell ref="A72:B72"/>
    <mergeCell ref="D90:F90"/>
    <mergeCell ref="B68:L68"/>
    <mergeCell ref="A50:D50"/>
    <mergeCell ref="A45:L45"/>
    <mergeCell ref="D65:F65"/>
    <mergeCell ref="A55:D55"/>
    <mergeCell ref="B36:L36"/>
    <mergeCell ref="K62:L62"/>
    <mergeCell ref="A47:D47"/>
    <mergeCell ref="K87:L87"/>
    <mergeCell ref="E47:F47"/>
  </mergeCells>
  <printOptions horizontalCentered="1"/>
  <pageMargins left="0.6" right="0.6" top="0.6" bottom="0.6" header="0.2" footer="0.2"/>
  <pageSetup orientation="portrait" paperSize="9" fitToHeight="0" fitToWidth="1"/>
  <rowBreaks count="5" manualBreakCount="5">
    <brk id="27" min="0" max="16383" man="1"/>
    <brk id="45" min="0" max="16383" man="1"/>
    <brk id="74" min="0" max="16383" man="1"/>
    <brk id="97" min="0" max="16383" man="1"/>
    <brk id="104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64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36" customHeight="1">
      <c r="A2" s="60" t="inlineStr">
        <is>
          <t>검 측 체 크 리 스 트</t>
        </is>
      </c>
    </row>
    <row r="3" ht="26" customHeight="1">
      <c r="A3" s="13" t="inlineStr">
        <is>
          <t>공종 CODE NO.</t>
        </is>
      </c>
      <c r="B3" s="14" t="n"/>
      <c r="C3" s="24" t="n"/>
      <c r="D3" s="14" t="n"/>
      <c r="E3" s="61" t="inlineStr">
        <is>
          <t>도 장 공 사</t>
        </is>
      </c>
      <c r="F3" s="14" t="n"/>
      <c r="G3" s="13" t="inlineStr">
        <is>
          <t>위치 및 부위</t>
        </is>
      </c>
      <c r="H3" s="14" t="n"/>
      <c r="I3" s="23" t="n"/>
      <c r="J3" s="14" t="n"/>
      <c r="K3" s="14" t="n"/>
      <c r="L3" s="14" t="n"/>
    </row>
    <row r="4" ht="34" customHeight="1">
      <c r="A4" s="13" t="inlineStr">
        <is>
          <t>공종(세부공종)</t>
        </is>
      </c>
      <c r="B4" s="14" t="n"/>
      <c r="C4" s="62" t="inlineStr">
        <is>
          <t>공통사항</t>
        </is>
      </c>
      <c r="D4" s="14" t="n"/>
      <c r="E4" s="14" t="n"/>
      <c r="F4" s="14" t="n"/>
      <c r="G4" s="13" t="inlineStr">
        <is>
          <t>검 측 일 자</t>
        </is>
      </c>
      <c r="H4" s="14" t="n"/>
      <c r="I4" s="63" t="n"/>
      <c r="J4" s="14" t="n"/>
      <c r="K4" s="14" t="n"/>
      <c r="L4" s="14" t="n"/>
    </row>
    <row r="5" ht="20" customHeight="1">
      <c r="A5" s="21" t="inlineStr">
        <is>
          <t>검  사  항  목</t>
        </is>
      </c>
      <c r="B5" s="14" t="n"/>
      <c r="C5" s="14" t="n"/>
      <c r="D5" s="14" t="n"/>
      <c r="E5" s="14" t="n"/>
      <c r="F5" s="46" t="inlineStr">
        <is>
          <t>검 사 기 준
(시방서 · 도면 등)</t>
        </is>
      </c>
      <c r="G5" s="14" t="n"/>
      <c r="H5" s="21" t="inlineStr">
        <is>
          <t>검  사  결  과</t>
        </is>
      </c>
      <c r="I5" s="14" t="n"/>
      <c r="J5" s="14" t="n"/>
      <c r="K5" s="14" t="n"/>
      <c r="L5" s="46" t="inlineStr">
        <is>
          <t>조치
사항</t>
        </is>
      </c>
    </row>
    <row r="6" ht="18" customHeight="1">
      <c r="A6" s="14" t="n"/>
      <c r="B6" s="14" t="n"/>
      <c r="C6" s="14" t="n"/>
      <c r="D6" s="14" t="n"/>
      <c r="E6" s="14" t="n"/>
      <c r="F6" s="14" t="n"/>
      <c r="G6" s="14" t="n"/>
      <c r="H6" s="21" t="inlineStr">
        <is>
          <t>1  차</t>
        </is>
      </c>
      <c r="I6" s="14" t="n"/>
      <c r="J6" s="21" t="inlineStr">
        <is>
          <t>2  차</t>
        </is>
      </c>
      <c r="K6" s="14" t="n"/>
      <c r="L6" s="14" t="n"/>
    </row>
    <row r="7" ht="18" customHeight="1">
      <c r="A7" s="14" t="n"/>
      <c r="B7" s="14" t="n"/>
      <c r="C7" s="14" t="n"/>
      <c r="D7" s="14" t="n"/>
      <c r="E7" s="14" t="n"/>
      <c r="F7" s="14" t="n"/>
      <c r="G7" s="14" t="n"/>
      <c r="H7" s="46" t="inlineStr">
        <is>
          <t>합격</t>
        </is>
      </c>
      <c r="I7" s="64" t="inlineStr">
        <is>
          <t>불합격</t>
        </is>
      </c>
      <c r="J7" s="46" t="inlineStr">
        <is>
          <t>합격</t>
        </is>
      </c>
      <c r="K7" s="64" t="inlineStr">
        <is>
          <t>불합격</t>
        </is>
      </c>
      <c r="L7" s="14" t="n"/>
    </row>
    <row r="8" ht="34" customHeight="1">
      <c r="A8" s="65" t="inlineStr">
        <is>
          <t>1. 자재공급원 승인은 되었는가</t>
        </is>
      </c>
      <c r="B8" s="14" t="n"/>
      <c r="C8" s="14" t="n"/>
      <c r="D8" s="14" t="n"/>
      <c r="E8" s="14" t="n"/>
      <c r="F8" s="55" t="inlineStr">
        <is>
          <t>승인 여부</t>
        </is>
      </c>
      <c r="G8" s="14" t="n"/>
      <c r="H8" s="38" t="n"/>
      <c r="I8" s="38" t="n"/>
      <c r="J8" s="38" t="n"/>
      <c r="K8" s="38" t="n"/>
      <c r="L8" s="37" t="n"/>
    </row>
    <row r="9" ht="34" customHeight="1">
      <c r="A9" s="65" t="inlineStr">
        <is>
          <t>2. 바탕처리는 적정한가(레이턴스 · 먼지 · 오염 제거 등)</t>
        </is>
      </c>
      <c r="B9" s="14" t="n"/>
      <c r="C9" s="14" t="n"/>
      <c r="D9" s="14" t="n"/>
      <c r="E9" s="14" t="n"/>
      <c r="F9" s="55" t="inlineStr">
        <is>
          <t>적 · 부</t>
        </is>
      </c>
      <c r="G9" s="14" t="n"/>
      <c r="H9" s="38" t="n"/>
      <c r="I9" s="38" t="n"/>
      <c r="J9" s="38" t="n"/>
      <c r="K9" s="38" t="n"/>
      <c r="L9" s="37" t="n"/>
    </row>
    <row r="10" ht="34" customHeight="1">
      <c r="A10" s="65" t="inlineStr">
        <is>
          <t>3. 구조체 곰보 · 이음 조인트 · 균열 · 재료분리 등의 조치는 적정한가</t>
        </is>
      </c>
      <c r="B10" s="14" t="n"/>
      <c r="C10" s="14" t="n"/>
      <c r="D10" s="14" t="n"/>
      <c r="E10" s="14" t="n"/>
      <c r="F10" s="55" t="inlineStr">
        <is>
          <t>적 · 부</t>
        </is>
      </c>
      <c r="G10" s="14" t="n"/>
      <c r="H10" s="38" t="n"/>
      <c r="I10" s="38" t="n"/>
      <c r="J10" s="38" t="n"/>
      <c r="K10" s="38" t="n"/>
      <c r="L10" s="37" t="n"/>
    </row>
    <row r="11" ht="34" customHeight="1">
      <c r="A11" s="65" t="inlineStr">
        <is>
          <t>4. 재료의 종류 · 규격 · 품질보증서 등은 확인하였는가</t>
        </is>
      </c>
      <c r="B11" s="14" t="n"/>
      <c r="C11" s="14" t="n"/>
      <c r="D11" s="14" t="n"/>
      <c r="E11" s="14" t="n"/>
      <c r="F11" s="55" t="inlineStr">
        <is>
          <t>적 · 부</t>
        </is>
      </c>
      <c r="G11" s="14" t="n"/>
      <c r="H11" s="38" t="n"/>
      <c r="I11" s="38" t="n"/>
      <c r="J11" s="38" t="n"/>
      <c r="K11" s="38" t="n"/>
      <c r="L11" s="37" t="n"/>
    </row>
    <row r="12" ht="34" customHeight="1">
      <c r="A12" s="65" t="inlineStr">
        <is>
          <t>5. 바탕면이 충분히 건조(함수율 5% 이하)되었는가</t>
        </is>
      </c>
      <c r="B12" s="14" t="n"/>
      <c r="C12" s="14" t="n"/>
      <c r="D12" s="14" t="n"/>
      <c r="E12" s="14" t="n"/>
      <c r="F12" s="55" t="inlineStr">
        <is>
          <t>적 · 부</t>
        </is>
      </c>
      <c r="G12" s="14" t="n"/>
      <c r="H12" s="38" t="n"/>
      <c r="I12" s="38" t="n"/>
      <c r="J12" s="38" t="n"/>
      <c r="K12" s="38" t="n"/>
      <c r="L12" s="37" t="n"/>
    </row>
    <row r="13" ht="34" customHeight="1">
      <c r="A13" s="65" t="inlineStr">
        <is>
          <t>6. 다른 부위가 오염되지 않게 조치하였는가</t>
        </is>
      </c>
      <c r="B13" s="14" t="n"/>
      <c r="C13" s="14" t="n"/>
      <c r="D13" s="14" t="n"/>
      <c r="E13" s="14" t="n"/>
      <c r="F13" s="55" t="inlineStr">
        <is>
          <t>적 · 부</t>
        </is>
      </c>
      <c r="G13" s="14" t="n"/>
      <c r="H13" s="38" t="n"/>
      <c r="I13" s="38" t="n"/>
      <c r="J13" s="38" t="n"/>
      <c r="K13" s="38" t="n"/>
      <c r="L13" s="37" t="n"/>
    </row>
    <row r="14" ht="34" customHeight="1">
      <c r="A14" s="65" t="inlineStr">
        <is>
          <t>7. 재료의 보관 장소 및 보관 방법은 적정한가</t>
        </is>
      </c>
      <c r="B14" s="14" t="n"/>
      <c r="C14" s="14" t="n"/>
      <c r="D14" s="14" t="n"/>
      <c r="E14" s="14" t="n"/>
      <c r="F14" s="55" t="inlineStr">
        <is>
          <t>적 · 부</t>
        </is>
      </c>
      <c r="G14" s="14" t="n"/>
      <c r="H14" s="38" t="n"/>
      <c r="I14" s="38" t="n"/>
      <c r="J14" s="38" t="n"/>
      <c r="K14" s="38" t="n"/>
      <c r="L14" s="37" t="n"/>
    </row>
    <row r="15" ht="34" customHeight="1">
      <c r="A15" s="65" t="inlineStr">
        <is>
          <t>8. 시공 때 기온 5℃ 이하 · 습도 80% 이상이면 작업을 중단하고 있는가</t>
        </is>
      </c>
      <c r="B15" s="14" t="n"/>
      <c r="C15" s="14" t="n"/>
      <c r="D15" s="14" t="n"/>
      <c r="E15" s="14" t="n"/>
      <c r="F15" s="55" t="inlineStr">
        <is>
          <t>적 · 부</t>
        </is>
      </c>
      <c r="G15" s="14" t="n"/>
      <c r="H15" s="38" t="n"/>
      <c r="I15" s="38" t="n"/>
      <c r="J15" s="38" t="n"/>
      <c r="K15" s="38" t="n"/>
      <c r="L15" s="37" t="n"/>
    </row>
    <row r="16" ht="26" customHeight="1">
      <c r="A16" s="27" t="inlineStr">
        <is>
          <t>판  정</t>
        </is>
      </c>
      <c r="B16" s="14" t="n"/>
      <c r="C16" s="14" t="n"/>
      <c r="D16" s="66">
        <f>IF(COUNTA(H8:H15)+COUNTA(I8:I15)=0,"","1차 합격 "&amp;COUNTA(H8:H15)&amp;" · 불합격 "&amp;COUNTA(I8:I15)&amp;IF(COUNTA(I8:I15)&gt;0," / 2차 합격 "&amp;COUNTA(J8:J15)&amp;" · 불합격 "&amp;COUNTA(K8:K15),"")&amp;IF(COUNTA(H8:H15)+COUNTA(I8:I15)&lt;8," · 빈칸 "&amp;(8-COUNTA(H8:H15)-COUNTA(I8:I15)),"")&amp;"  →  "&amp;IF(COUNTA(I8:I15)=0,IF(COUNTA(H8:H15)+COUNTA(I8:I15)&lt;8,"점검 중","합격"),IF(AND(COUNTA(K8:K15)=0,COUNTA(J8:J15)&gt;=COUNTA(I8:I15)),"합격(재검측)","보완 후 재검측")))</f>
        <v/>
      </c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 ht="22" customHeight="1">
      <c r="A17" s="21" t="inlineStr">
        <is>
          <t>시 공 자  점 검</t>
        </is>
      </c>
      <c r="B17" s="14" t="n"/>
      <c r="C17" s="14" t="n"/>
      <c r="D17" s="14" t="n"/>
      <c r="E17" s="14" t="n"/>
      <c r="F17" s="14" t="n"/>
      <c r="G17" s="21" t="inlineStr">
        <is>
          <t>건 설 사 업 관 리 자  검 측</t>
        </is>
      </c>
      <c r="H17" s="14" t="n"/>
      <c r="I17" s="14" t="n"/>
      <c r="J17" s="14" t="n"/>
      <c r="K17" s="14" t="n"/>
      <c r="L17" s="14" t="n"/>
    </row>
    <row r="18" ht="20" customHeight="1">
      <c r="A18" s="21" t="inlineStr">
        <is>
          <t>점   검</t>
        </is>
      </c>
      <c r="B18" s="14" t="n"/>
      <c r="C18" s="14" t="n"/>
      <c r="D18" s="21" t="inlineStr">
        <is>
          <t>재 점 검</t>
        </is>
      </c>
      <c r="E18" s="14" t="n"/>
      <c r="F18" s="14" t="n"/>
      <c r="G18" s="21" t="inlineStr">
        <is>
          <t>검   측</t>
        </is>
      </c>
      <c r="H18" s="14" t="n"/>
      <c r="I18" s="14" t="n"/>
      <c r="J18" s="21" t="inlineStr">
        <is>
          <t>재 검 측</t>
        </is>
      </c>
      <c r="K18" s="14" t="n"/>
      <c r="L18" s="14" t="n"/>
    </row>
    <row r="19" ht="44" customHeight="1">
      <c r="A19" s="67" t="inlineStr">
        <is>
          <t>(인)</t>
        </is>
      </c>
      <c r="B19" s="14" t="n"/>
      <c r="C19" s="14" t="n"/>
      <c r="D19" s="67" t="inlineStr">
        <is>
          <t>(인)</t>
        </is>
      </c>
      <c r="E19" s="14" t="n"/>
      <c r="F19" s="14" t="n"/>
      <c r="G19" s="67" t="inlineStr">
        <is>
          <t>(인)</t>
        </is>
      </c>
      <c r="H19" s="14" t="n"/>
      <c r="I19" s="14" t="n"/>
      <c r="J19" s="67" t="inlineStr">
        <is>
          <t>(인)</t>
        </is>
      </c>
      <c r="K19" s="14" t="n"/>
      <c r="L19" s="14" t="n"/>
    </row>
    <row r="20" ht="36" customHeight="1">
      <c r="A20" s="60" t="inlineStr">
        <is>
          <t>검 측 체 크 리 스 트</t>
        </is>
      </c>
    </row>
    <row r="21" ht="26" customHeight="1">
      <c r="A21" s="13" t="inlineStr">
        <is>
          <t>공종 CODE NO.</t>
        </is>
      </c>
      <c r="B21" s="14" t="n"/>
      <c r="C21" s="24" t="n"/>
      <c r="D21" s="14" t="n"/>
      <c r="E21" s="61" t="inlineStr">
        <is>
          <t>도 장 공 사</t>
        </is>
      </c>
      <c r="F21" s="14" t="n"/>
      <c r="G21" s="13" t="inlineStr">
        <is>
          <t>위치 및 부위</t>
        </is>
      </c>
      <c r="H21" s="14" t="n"/>
      <c r="I21" s="23" t="n"/>
      <c r="J21" s="14" t="n"/>
      <c r="K21" s="14" t="n"/>
      <c r="L21" s="14" t="n"/>
    </row>
    <row r="22" ht="34" customHeight="1">
      <c r="A22" s="13" t="inlineStr">
        <is>
          <t>공종(세부공종)</t>
        </is>
      </c>
      <c r="B22" s="14" t="n"/>
      <c r="C22" s="62" t="inlineStr">
        <is>
          <t>수성페인트</t>
        </is>
      </c>
      <c r="D22" s="14" t="n"/>
      <c r="E22" s="14" t="n"/>
      <c r="F22" s="14" t="n"/>
      <c r="G22" s="13" t="inlineStr">
        <is>
          <t>검 측 일 자</t>
        </is>
      </c>
      <c r="H22" s="14" t="n"/>
      <c r="I22" s="63" t="n"/>
      <c r="J22" s="14" t="n"/>
      <c r="K22" s="14" t="n"/>
      <c r="L22" s="14" t="n"/>
    </row>
    <row r="23" ht="20" customHeight="1">
      <c r="A23" s="21" t="inlineStr">
        <is>
          <t>검  사  항  목</t>
        </is>
      </c>
      <c r="B23" s="14" t="n"/>
      <c r="C23" s="14" t="n"/>
      <c r="D23" s="14" t="n"/>
      <c r="E23" s="14" t="n"/>
      <c r="F23" s="46" t="inlineStr">
        <is>
          <t>검 사 기 준
(시방서 · 도면 등)</t>
        </is>
      </c>
      <c r="G23" s="14" t="n"/>
      <c r="H23" s="21" t="inlineStr">
        <is>
          <t>검  사  결  과</t>
        </is>
      </c>
      <c r="I23" s="14" t="n"/>
      <c r="J23" s="14" t="n"/>
      <c r="K23" s="14" t="n"/>
      <c r="L23" s="46" t="inlineStr">
        <is>
          <t>조치
사항</t>
        </is>
      </c>
    </row>
    <row r="24" ht="18" customHeight="1">
      <c r="A24" s="14" t="n"/>
      <c r="B24" s="14" t="n"/>
      <c r="C24" s="14" t="n"/>
      <c r="D24" s="14" t="n"/>
      <c r="E24" s="14" t="n"/>
      <c r="F24" s="14" t="n"/>
      <c r="G24" s="14" t="n"/>
      <c r="H24" s="21" t="inlineStr">
        <is>
          <t>1  차</t>
        </is>
      </c>
      <c r="I24" s="14" t="n"/>
      <c r="J24" s="21" t="inlineStr">
        <is>
          <t>2  차</t>
        </is>
      </c>
      <c r="K24" s="14" t="n"/>
      <c r="L24" s="14" t="n"/>
    </row>
    <row r="25" ht="18" customHeight="1">
      <c r="A25" s="14" t="n"/>
      <c r="B25" s="14" t="n"/>
      <c r="C25" s="14" t="n"/>
      <c r="D25" s="14" t="n"/>
      <c r="E25" s="14" t="n"/>
      <c r="F25" s="14" t="n"/>
      <c r="G25" s="14" t="n"/>
      <c r="H25" s="46" t="inlineStr">
        <is>
          <t>합격</t>
        </is>
      </c>
      <c r="I25" s="64" t="inlineStr">
        <is>
          <t>불합격</t>
        </is>
      </c>
      <c r="J25" s="46" t="inlineStr">
        <is>
          <t>합격</t>
        </is>
      </c>
      <c r="K25" s="64" t="inlineStr">
        <is>
          <t>불합격</t>
        </is>
      </c>
      <c r="L25" s="14" t="n"/>
    </row>
    <row r="26" ht="34" customHeight="1">
      <c r="A26" s="65" t="inlineStr">
        <is>
          <t>1. 시공 때 온도는 적정한가</t>
        </is>
      </c>
      <c r="B26" s="14" t="n"/>
      <c r="C26" s="14" t="n"/>
      <c r="D26" s="14" t="n"/>
      <c r="E26" s="14" t="n"/>
      <c r="F26" s="55" t="inlineStr">
        <is>
          <t>적 · 부</t>
        </is>
      </c>
      <c r="G26" s="14" t="n"/>
      <c r="H26" s="38" t="n"/>
      <c r="I26" s="38" t="n"/>
      <c r="J26" s="38" t="n"/>
      <c r="K26" s="38" t="n"/>
      <c r="L26" s="37" t="n"/>
    </row>
    <row r="27" ht="34" customHeight="1">
      <c r="A27" s="65" t="inlineStr">
        <is>
          <t>2. 바탕처리는 적정한가(레이턴스 · 먼지 · 오염 제거 등)</t>
        </is>
      </c>
      <c r="B27" s="14" t="n"/>
      <c r="C27" s="14" t="n"/>
      <c r="D27" s="14" t="n"/>
      <c r="E27" s="14" t="n"/>
      <c r="F27" s="55" t="inlineStr">
        <is>
          <t>적 · 부</t>
        </is>
      </c>
      <c r="G27" s="14" t="n"/>
      <c r="H27" s="38" t="n"/>
      <c r="I27" s="38" t="n"/>
      <c r="J27" s="38" t="n"/>
      <c r="K27" s="38" t="n"/>
      <c r="L27" s="37" t="n"/>
    </row>
    <row r="28" ht="34" customHeight="1">
      <c r="A28" s="65" t="inlineStr">
        <is>
          <t>3. 구조체 곰보 · 이음 조인트 · 균열 · 재료분리 등의 조치는 적정한가</t>
        </is>
      </c>
      <c r="B28" s="14" t="n"/>
      <c r="C28" s="14" t="n"/>
      <c r="D28" s="14" t="n"/>
      <c r="E28" s="14" t="n"/>
      <c r="F28" s="55" t="inlineStr">
        <is>
          <t>적 · 부</t>
        </is>
      </c>
      <c r="G28" s="14" t="n"/>
      <c r="H28" s="38" t="n"/>
      <c r="I28" s="38" t="n"/>
      <c r="J28" s="38" t="n"/>
      <c r="K28" s="38" t="n"/>
      <c r="L28" s="37" t="n"/>
    </row>
    <row r="29" ht="34" customHeight="1">
      <c r="A29" s="65" t="inlineStr">
        <is>
          <t>4. 재료의 종류 · 규격 · 품질보증서 등은 확인하였는가</t>
        </is>
      </c>
      <c r="B29" s="14" t="n"/>
      <c r="C29" s="14" t="n"/>
      <c r="D29" s="14" t="n"/>
      <c r="E29" s="14" t="n"/>
      <c r="F29" s="55" t="inlineStr">
        <is>
          <t>적 · 부</t>
        </is>
      </c>
      <c r="G29" s="14" t="n"/>
      <c r="H29" s="38" t="n"/>
      <c r="I29" s="38" t="n"/>
      <c r="J29" s="38" t="n"/>
      <c r="K29" s="38" t="n"/>
      <c r="L29" s="37" t="n"/>
    </row>
    <row r="30" ht="34" customHeight="1">
      <c r="A30" s="65" t="inlineStr">
        <is>
          <t>5. 환기 및 조명 설치는 충분한가</t>
        </is>
      </c>
      <c r="B30" s="14" t="n"/>
      <c r="C30" s="14" t="n"/>
      <c r="D30" s="14" t="n"/>
      <c r="E30" s="14" t="n"/>
      <c r="F30" s="55" t="inlineStr">
        <is>
          <t>적 · 부</t>
        </is>
      </c>
      <c r="G30" s="14" t="n"/>
      <c r="H30" s="38" t="n"/>
      <c r="I30" s="38" t="n"/>
      <c r="J30" s="38" t="n"/>
      <c r="K30" s="38" t="n"/>
      <c r="L30" s="37" t="n"/>
    </row>
    <row r="31" ht="34" customHeight="1">
      <c r="A31" s="65" t="inlineStr">
        <is>
          <t>6. 재료 배합은 적절한가</t>
        </is>
      </c>
      <c r="B31" s="14" t="n"/>
      <c r="C31" s="14" t="n"/>
      <c r="D31" s="14" t="n"/>
      <c r="E31" s="14" t="n"/>
      <c r="F31" s="55" t="inlineStr">
        <is>
          <t>적 · 부</t>
        </is>
      </c>
      <c r="G31" s="14" t="n"/>
      <c r="H31" s="38" t="n"/>
      <c r="I31" s="38" t="n"/>
      <c r="J31" s="38" t="n"/>
      <c r="K31" s="38" t="n"/>
      <c r="L31" s="37" t="n"/>
    </row>
    <row r="32" ht="34" customHeight="1">
      <c r="A32" s="65" t="inlineStr">
        <is>
          <t>7. 시공 절차를 지키는가</t>
        </is>
      </c>
      <c r="B32" s="14" t="n"/>
      <c r="C32" s="14" t="n"/>
      <c r="D32" s="14" t="n"/>
      <c r="E32" s="14" t="n"/>
      <c r="F32" s="55" t="inlineStr">
        <is>
          <t>적 · 부</t>
        </is>
      </c>
      <c r="G32" s="14" t="n"/>
      <c r="H32" s="38" t="n"/>
      <c r="I32" s="38" t="n"/>
      <c r="J32" s="38" t="n"/>
      <c r="K32" s="38" t="n"/>
      <c r="L32" s="37" t="n"/>
    </row>
    <row r="33" ht="34" customHeight="1">
      <c r="A33" s="65" t="inlineStr">
        <is>
          <t>8. 칠 두께는 고른가</t>
        </is>
      </c>
      <c r="B33" s="14" t="n"/>
      <c r="C33" s="14" t="n"/>
      <c r="D33" s="14" t="n"/>
      <c r="E33" s="14" t="n"/>
      <c r="F33" s="55" t="inlineStr">
        <is>
          <t>적 · 부</t>
        </is>
      </c>
      <c r="G33" s="14" t="n"/>
      <c r="H33" s="38" t="n"/>
      <c r="I33" s="38" t="n"/>
      <c r="J33" s="38" t="n"/>
      <c r="K33" s="38" t="n"/>
      <c r="L33" s="37" t="n"/>
    </row>
    <row r="34" ht="34" customHeight="1">
      <c r="A34" s="65" t="inlineStr">
        <is>
          <t>9. 시공 후 보양 대책은 세웠는가</t>
        </is>
      </c>
      <c r="B34" s="14" t="n"/>
      <c r="C34" s="14" t="n"/>
      <c r="D34" s="14" t="n"/>
      <c r="E34" s="14" t="n"/>
      <c r="F34" s="55" t="inlineStr">
        <is>
          <t>적 · 부</t>
        </is>
      </c>
      <c r="G34" s="14" t="n"/>
      <c r="H34" s="38" t="n"/>
      <c r="I34" s="38" t="n"/>
      <c r="J34" s="38" t="n"/>
      <c r="K34" s="38" t="n"/>
      <c r="L34" s="37" t="n"/>
    </row>
    <row r="35" ht="34" customHeight="1">
      <c r="A35" s="65" t="inlineStr">
        <is>
          <t>10. 정해진 색상을 쓰는가</t>
        </is>
      </c>
      <c r="B35" s="14" t="n"/>
      <c r="C35" s="14" t="n"/>
      <c r="D35" s="14" t="n"/>
      <c r="E35" s="14" t="n"/>
      <c r="F35" s="55" t="inlineStr">
        <is>
          <t>적 · 부</t>
        </is>
      </c>
      <c r="G35" s="14" t="n"/>
      <c r="H35" s="38" t="n"/>
      <c r="I35" s="38" t="n"/>
      <c r="J35" s="38" t="n"/>
      <c r="K35" s="38" t="n"/>
      <c r="L35" s="37" t="n"/>
    </row>
    <row r="36" ht="34" customHeight="1">
      <c r="A36" s="23" t="n"/>
      <c r="B36" s="14" t="n"/>
      <c r="C36" s="14" t="n"/>
      <c r="D36" s="14" t="n"/>
      <c r="E36" s="14" t="n"/>
      <c r="F36" s="55" t="inlineStr">
        <is>
          <t>적 · 부</t>
        </is>
      </c>
      <c r="G36" s="14" t="n"/>
      <c r="H36" s="38" t="n"/>
      <c r="I36" s="38" t="n"/>
      <c r="J36" s="38" t="n"/>
      <c r="K36" s="38" t="n"/>
      <c r="L36" s="37" t="n"/>
    </row>
    <row r="37" ht="34" customHeight="1">
      <c r="A37" s="23" t="n"/>
      <c r="B37" s="14" t="n"/>
      <c r="C37" s="14" t="n"/>
      <c r="D37" s="14" t="n"/>
      <c r="E37" s="14" t="n"/>
      <c r="F37" s="55" t="inlineStr">
        <is>
          <t>적 · 부</t>
        </is>
      </c>
      <c r="G37" s="14" t="n"/>
      <c r="H37" s="38" t="n"/>
      <c r="I37" s="38" t="n"/>
      <c r="J37" s="38" t="n"/>
      <c r="K37" s="38" t="n"/>
      <c r="L37" s="37" t="n"/>
    </row>
    <row r="38" ht="34" customHeight="1">
      <c r="A38" s="23" t="n"/>
      <c r="B38" s="14" t="n"/>
      <c r="C38" s="14" t="n"/>
      <c r="D38" s="14" t="n"/>
      <c r="E38" s="14" t="n"/>
      <c r="F38" s="55" t="inlineStr">
        <is>
          <t>적 · 부</t>
        </is>
      </c>
      <c r="G38" s="14" t="n"/>
      <c r="H38" s="38" t="n"/>
      <c r="I38" s="38" t="n"/>
      <c r="J38" s="38" t="n"/>
      <c r="K38" s="38" t="n"/>
      <c r="L38" s="37" t="n"/>
    </row>
    <row r="39" ht="26" customHeight="1">
      <c r="A39" s="27" t="inlineStr">
        <is>
          <t>판  정</t>
        </is>
      </c>
      <c r="B39" s="14" t="n"/>
      <c r="C39" s="14" t="n"/>
      <c r="D39" s="66">
        <f>IF(COUNTA(H26:H38)+COUNTA(I26:I38)=0,"","1차 합격 "&amp;COUNTA(H26:H38)&amp;" · 불합격 "&amp;COUNTA(I26:I38)&amp;IF(COUNTA(I26:I38)&gt;0," / 2차 합격 "&amp;COUNTA(J26:J38)&amp;" · 불합격 "&amp;COUNTA(K26:K38),"")&amp;IF(COUNTA(H26:H38)+COUNTA(I26:I38)&lt;13," · 빈칸 "&amp;(13-COUNTA(H26:H38)-COUNTA(I26:I38)),"")&amp;"  →  "&amp;IF(COUNTA(I26:I38)=0,IF(COUNTA(H26:H38)+COUNTA(I26:I38)&lt;13,"점검 중","합격"),IF(AND(COUNTA(K26:K38)=0,COUNTA(J26:J38)&gt;=COUNTA(I26:I38)),"합격(재검측)","보완 후 재검측")))</f>
        <v/>
      </c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 ht="22" customHeight="1">
      <c r="A40" s="21" t="inlineStr">
        <is>
          <t>시 공 자  점 검</t>
        </is>
      </c>
      <c r="B40" s="14" t="n"/>
      <c r="C40" s="14" t="n"/>
      <c r="D40" s="14" t="n"/>
      <c r="E40" s="14" t="n"/>
      <c r="F40" s="14" t="n"/>
      <c r="G40" s="21" t="inlineStr">
        <is>
          <t>건 설 사 업 관 리 자  검 측</t>
        </is>
      </c>
      <c r="H40" s="14" t="n"/>
      <c r="I40" s="14" t="n"/>
      <c r="J40" s="14" t="n"/>
      <c r="K40" s="14" t="n"/>
      <c r="L40" s="14" t="n"/>
    </row>
    <row r="41" ht="20" customHeight="1">
      <c r="A41" s="21" t="inlineStr">
        <is>
          <t>점   검</t>
        </is>
      </c>
      <c r="B41" s="14" t="n"/>
      <c r="C41" s="14" t="n"/>
      <c r="D41" s="21" t="inlineStr">
        <is>
          <t>재 점 검</t>
        </is>
      </c>
      <c r="E41" s="14" t="n"/>
      <c r="F41" s="14" t="n"/>
      <c r="G41" s="21" t="inlineStr">
        <is>
          <t>검   측</t>
        </is>
      </c>
      <c r="H41" s="14" t="n"/>
      <c r="I41" s="14" t="n"/>
      <c r="J41" s="21" t="inlineStr">
        <is>
          <t>재 검 측</t>
        </is>
      </c>
      <c r="K41" s="14" t="n"/>
      <c r="L41" s="14" t="n"/>
    </row>
    <row r="42" ht="44" customHeight="1">
      <c r="A42" s="67" t="inlineStr">
        <is>
          <t>(인)</t>
        </is>
      </c>
      <c r="B42" s="14" t="n"/>
      <c r="C42" s="14" t="n"/>
      <c r="D42" s="67" t="inlineStr">
        <is>
          <t>(인)</t>
        </is>
      </c>
      <c r="E42" s="14" t="n"/>
      <c r="F42" s="14" t="n"/>
      <c r="G42" s="67" t="inlineStr">
        <is>
          <t>(인)</t>
        </is>
      </c>
      <c r="H42" s="14" t="n"/>
      <c r="I42" s="14" t="n"/>
      <c r="J42" s="67" t="inlineStr">
        <is>
          <t>(인)</t>
        </is>
      </c>
      <c r="K42" s="14" t="n"/>
      <c r="L42" s="14" t="n"/>
    </row>
    <row r="43" ht="36" customHeight="1">
      <c r="A43" s="60" t="inlineStr">
        <is>
          <t>검 측 체 크 리 스 트</t>
        </is>
      </c>
    </row>
    <row r="44" ht="26" customHeight="1">
      <c r="A44" s="13" t="inlineStr">
        <is>
          <t>공종 CODE NO.</t>
        </is>
      </c>
      <c r="B44" s="14" t="n"/>
      <c r="C44" s="24" t="n"/>
      <c r="D44" s="14" t="n"/>
      <c r="E44" s="61" t="inlineStr">
        <is>
          <t>도 장 공 사</t>
        </is>
      </c>
      <c r="F44" s="14" t="n"/>
      <c r="G44" s="13" t="inlineStr">
        <is>
          <t>위치 및 부위</t>
        </is>
      </c>
      <c r="H44" s="14" t="n"/>
      <c r="I44" s="23" t="n"/>
      <c r="J44" s="14" t="n"/>
      <c r="K44" s="14" t="n"/>
      <c r="L44" s="14" t="n"/>
    </row>
    <row r="45" ht="34" customHeight="1">
      <c r="A45" s="13" t="inlineStr">
        <is>
          <t>공종(세부공종)</t>
        </is>
      </c>
      <c r="B45" s="14" t="n"/>
      <c r="C45" s="62" t="inlineStr">
        <is>
          <t>에폭시 라이닝</t>
        </is>
      </c>
      <c r="D45" s="14" t="n"/>
      <c r="E45" s="14" t="n"/>
      <c r="F45" s="14" t="n"/>
      <c r="G45" s="13" t="inlineStr">
        <is>
          <t>검 측 일 자</t>
        </is>
      </c>
      <c r="H45" s="14" t="n"/>
      <c r="I45" s="63" t="n"/>
      <c r="J45" s="14" t="n"/>
      <c r="K45" s="14" t="n"/>
      <c r="L45" s="14" t="n"/>
    </row>
    <row r="46" ht="20" customHeight="1">
      <c r="A46" s="21" t="inlineStr">
        <is>
          <t>검  사  항  목</t>
        </is>
      </c>
      <c r="B46" s="14" t="n"/>
      <c r="C46" s="14" t="n"/>
      <c r="D46" s="14" t="n"/>
      <c r="E46" s="14" t="n"/>
      <c r="F46" s="46" t="inlineStr">
        <is>
          <t>검 사 기 준
(시방서 · 도면 등)</t>
        </is>
      </c>
      <c r="G46" s="14" t="n"/>
      <c r="H46" s="21" t="inlineStr">
        <is>
          <t>검  사  결  과</t>
        </is>
      </c>
      <c r="I46" s="14" t="n"/>
      <c r="J46" s="14" t="n"/>
      <c r="K46" s="14" t="n"/>
      <c r="L46" s="46" t="inlineStr">
        <is>
          <t>조치
사항</t>
        </is>
      </c>
    </row>
    <row r="47" ht="18" customHeight="1">
      <c r="A47" s="14" t="n"/>
      <c r="B47" s="14" t="n"/>
      <c r="C47" s="14" t="n"/>
      <c r="D47" s="14" t="n"/>
      <c r="E47" s="14" t="n"/>
      <c r="F47" s="14" t="n"/>
      <c r="G47" s="14" t="n"/>
      <c r="H47" s="21" t="inlineStr">
        <is>
          <t>1  차</t>
        </is>
      </c>
      <c r="I47" s="14" t="n"/>
      <c r="J47" s="21" t="inlineStr">
        <is>
          <t>2  차</t>
        </is>
      </c>
      <c r="K47" s="14" t="n"/>
      <c r="L47" s="14" t="n"/>
    </row>
    <row r="48" ht="18" customHeight="1">
      <c r="A48" s="14" t="n"/>
      <c r="B48" s="14" t="n"/>
      <c r="C48" s="14" t="n"/>
      <c r="D48" s="14" t="n"/>
      <c r="E48" s="14" t="n"/>
      <c r="F48" s="14" t="n"/>
      <c r="G48" s="14" t="n"/>
      <c r="H48" s="46" t="inlineStr">
        <is>
          <t>합격</t>
        </is>
      </c>
      <c r="I48" s="64" t="inlineStr">
        <is>
          <t>불합격</t>
        </is>
      </c>
      <c r="J48" s="46" t="inlineStr">
        <is>
          <t>합격</t>
        </is>
      </c>
      <c r="K48" s="64" t="inlineStr">
        <is>
          <t>불합격</t>
        </is>
      </c>
      <c r="L48" s="14" t="n"/>
    </row>
    <row r="49" ht="34" customHeight="1">
      <c r="A49" s="65" t="inlineStr">
        <is>
          <t>1. 재료의 종류 · 규격 · 품질보증서 등은 확인하였는가</t>
        </is>
      </c>
      <c r="B49" s="14" t="n"/>
      <c r="C49" s="14" t="n"/>
      <c r="D49" s="14" t="n"/>
      <c r="E49" s="14" t="n"/>
      <c r="F49" s="55" t="inlineStr">
        <is>
          <t>적 · 부</t>
        </is>
      </c>
      <c r="G49" s="14" t="n"/>
      <c r="H49" s="38" t="n"/>
      <c r="I49" s="38" t="n"/>
      <c r="J49" s="38" t="n"/>
      <c r="K49" s="38" t="n"/>
      <c r="L49" s="37" t="n"/>
    </row>
    <row r="50" ht="34" customHeight="1">
      <c r="A50" s="65" t="inlineStr">
        <is>
          <t>2. 바탕처리는 적정한가(레이턴스 · 먼지 · 오염 제거 등)</t>
        </is>
      </c>
      <c r="B50" s="14" t="n"/>
      <c r="C50" s="14" t="n"/>
      <c r="D50" s="14" t="n"/>
      <c r="E50" s="14" t="n"/>
      <c r="F50" s="55" t="inlineStr">
        <is>
          <t>적 · 부</t>
        </is>
      </c>
      <c r="G50" s="14" t="n"/>
      <c r="H50" s="38" t="n"/>
      <c r="I50" s="38" t="n"/>
      <c r="J50" s="38" t="n"/>
      <c r="K50" s="38" t="n"/>
      <c r="L50" s="37" t="n"/>
    </row>
    <row r="51" ht="34" customHeight="1">
      <c r="A51" s="65" t="inlineStr">
        <is>
          <t>3. 구조체 곰보 · 이음 조인트 · 균열 · 재료분리 등의 조치는 적정한가</t>
        </is>
      </c>
      <c r="B51" s="14" t="n"/>
      <c r="C51" s="14" t="n"/>
      <c r="D51" s="14" t="n"/>
      <c r="E51" s="14" t="n"/>
      <c r="F51" s="55" t="inlineStr">
        <is>
          <t>적 · 부</t>
        </is>
      </c>
      <c r="G51" s="14" t="n"/>
      <c r="H51" s="38" t="n"/>
      <c r="I51" s="38" t="n"/>
      <c r="J51" s="38" t="n"/>
      <c r="K51" s="38" t="n"/>
      <c r="L51" s="37" t="n"/>
    </row>
    <row r="52" ht="34" customHeight="1">
      <c r="A52" s="65" t="inlineStr">
        <is>
          <t>4. 프라이머는 배합비율에 맞게 섞어 알맞은 양을 발랐는가</t>
        </is>
      </c>
      <c r="B52" s="14" t="n"/>
      <c r="C52" s="14" t="n"/>
      <c r="D52" s="14" t="n"/>
      <c r="E52" s="14" t="n"/>
      <c r="F52" s="55" t="inlineStr">
        <is>
          <t>적 · 부</t>
        </is>
      </c>
      <c r="G52" s="14" t="n"/>
      <c r="H52" s="38" t="n"/>
      <c r="I52" s="38" t="n"/>
      <c r="J52" s="38" t="n"/>
      <c r="K52" s="38" t="n"/>
      <c r="L52" s="37" t="n"/>
    </row>
    <row r="53" ht="34" customHeight="1">
      <c r="A53" s="65" t="inlineStr">
        <is>
          <t>5. 바탕조정층은 배합비율에 맞게 섞어 알맞은 양을 발랐는가</t>
        </is>
      </c>
      <c r="B53" s="14" t="n"/>
      <c r="C53" s="14" t="n"/>
      <c r="D53" s="14" t="n"/>
      <c r="E53" s="14" t="n"/>
      <c r="F53" s="55" t="inlineStr">
        <is>
          <t>적 · 부</t>
        </is>
      </c>
      <c r="G53" s="14" t="n"/>
      <c r="H53" s="38" t="n"/>
      <c r="I53" s="38" t="n"/>
      <c r="J53" s="38" t="n"/>
      <c r="K53" s="38" t="n"/>
      <c r="L53" s="37" t="n"/>
    </row>
    <row r="54" ht="34" customHeight="1">
      <c r="A54" s="65" t="inlineStr">
        <is>
          <t>6. 주제와 경화제를 지시된 비율로 고르게 섞었는가</t>
        </is>
      </c>
      <c r="B54" s="14" t="n"/>
      <c r="C54" s="14" t="n"/>
      <c r="D54" s="14" t="n"/>
      <c r="E54" s="14" t="n"/>
      <c r="F54" s="55" t="inlineStr">
        <is>
          <t>적 · 부</t>
        </is>
      </c>
      <c r="G54" s="14" t="n"/>
      <c r="H54" s="38" t="n"/>
      <c r="I54" s="38" t="n"/>
      <c r="J54" s="38" t="n"/>
      <c r="K54" s="38" t="n"/>
      <c r="L54" s="37" t="n"/>
    </row>
    <row r="55" ht="34" customHeight="1">
      <c r="A55" s="65" t="inlineStr">
        <is>
          <t>7. 시공 절차를 지키는가</t>
        </is>
      </c>
      <c r="B55" s="14" t="n"/>
      <c r="C55" s="14" t="n"/>
      <c r="D55" s="14" t="n"/>
      <c r="E55" s="14" t="n"/>
      <c r="F55" s="55" t="inlineStr">
        <is>
          <t>적 · 부</t>
        </is>
      </c>
      <c r="G55" s="14" t="n"/>
      <c r="H55" s="38" t="n"/>
      <c r="I55" s="38" t="n"/>
      <c r="J55" s="38" t="n"/>
      <c r="K55" s="38" t="n"/>
      <c r="L55" s="37" t="n"/>
    </row>
    <row r="56" ht="34" customHeight="1">
      <c r="A56" s="65" t="inlineStr">
        <is>
          <t>8. 에폭시 마감 두께는 고른가</t>
        </is>
      </c>
      <c r="B56" s="14" t="n"/>
      <c r="C56" s="14" t="n"/>
      <c r="D56" s="14" t="n"/>
      <c r="E56" s="14" t="n"/>
      <c r="F56" s="55" t="inlineStr">
        <is>
          <t>적 · 부</t>
        </is>
      </c>
      <c r="G56" s="14" t="n"/>
      <c r="H56" s="38" t="n"/>
      <c r="I56" s="38" t="n"/>
      <c r="J56" s="38" t="n"/>
      <c r="K56" s="38" t="n"/>
      <c r="L56" s="37" t="n"/>
    </row>
    <row r="57" ht="34" customHeight="1">
      <c r="A57" s="65" t="inlineStr">
        <is>
          <t>9. 시공 후 보양 대책은 세웠는가</t>
        </is>
      </c>
      <c r="B57" s="14" t="n"/>
      <c r="C57" s="14" t="n"/>
      <c r="D57" s="14" t="n"/>
      <c r="E57" s="14" t="n"/>
      <c r="F57" s="55" t="inlineStr">
        <is>
          <t>적 · 부</t>
        </is>
      </c>
      <c r="G57" s="14" t="n"/>
      <c r="H57" s="38" t="n"/>
      <c r="I57" s="38" t="n"/>
      <c r="J57" s="38" t="n"/>
      <c r="K57" s="38" t="n"/>
      <c r="L57" s="37" t="n"/>
    </row>
    <row r="58" ht="34" customHeight="1">
      <c r="A58" s="65" t="inlineStr">
        <is>
          <t>10. 정해진 색상을 쓰는가</t>
        </is>
      </c>
      <c r="B58" s="14" t="n"/>
      <c r="C58" s="14" t="n"/>
      <c r="D58" s="14" t="n"/>
      <c r="E58" s="14" t="n"/>
      <c r="F58" s="55" t="inlineStr">
        <is>
          <t>적 · 부</t>
        </is>
      </c>
      <c r="G58" s="14" t="n"/>
      <c r="H58" s="38" t="n"/>
      <c r="I58" s="38" t="n"/>
      <c r="J58" s="38" t="n"/>
      <c r="K58" s="38" t="n"/>
      <c r="L58" s="37" t="n"/>
    </row>
    <row r="59" ht="26" customHeight="1">
      <c r="A59" s="27" t="inlineStr">
        <is>
          <t>판  정</t>
        </is>
      </c>
      <c r="B59" s="14" t="n"/>
      <c r="C59" s="14" t="n"/>
      <c r="D59" s="66">
        <f>IF(COUNTA(H49:H58)+COUNTA(I49:I58)=0,"","1차 합격 "&amp;COUNTA(H49:H58)&amp;" · 불합격 "&amp;COUNTA(I49:I58)&amp;IF(COUNTA(I49:I58)&gt;0," / 2차 합격 "&amp;COUNTA(J49:J58)&amp;" · 불합격 "&amp;COUNTA(K49:K58),"")&amp;IF(COUNTA(H49:H58)+COUNTA(I49:I58)&lt;10," · 빈칸 "&amp;(10-COUNTA(H49:H58)-COUNTA(I49:I58)),"")&amp;"  →  "&amp;IF(COUNTA(I49:I58)=0,IF(COUNTA(H49:H58)+COUNTA(I49:I58)&lt;10,"점검 중","합격"),IF(AND(COUNTA(K49:K58)=0,COUNTA(J49:J58)&gt;=COUNTA(I49:I58)),"합격(재검측)","보완 후 재검측")))</f>
        <v/>
      </c>
      <c r="E59" s="14" t="n"/>
      <c r="F59" s="14" t="n"/>
      <c r="G59" s="14" t="n"/>
      <c r="H59" s="14" t="n"/>
      <c r="I59" s="14" t="n"/>
      <c r="J59" s="14" t="n"/>
      <c r="K59" s="14" t="n"/>
      <c r="L59" s="14" t="n"/>
    </row>
    <row r="60" ht="22" customHeight="1">
      <c r="A60" s="21" t="inlineStr">
        <is>
          <t>시 공 자  점 검</t>
        </is>
      </c>
      <c r="B60" s="14" t="n"/>
      <c r="C60" s="14" t="n"/>
      <c r="D60" s="14" t="n"/>
      <c r="E60" s="14" t="n"/>
      <c r="F60" s="14" t="n"/>
      <c r="G60" s="21" t="inlineStr">
        <is>
          <t>건 설 사 업 관 리 자  검 측</t>
        </is>
      </c>
      <c r="H60" s="14" t="n"/>
      <c r="I60" s="14" t="n"/>
      <c r="J60" s="14" t="n"/>
      <c r="K60" s="14" t="n"/>
      <c r="L60" s="14" t="n"/>
    </row>
    <row r="61" ht="20" customHeight="1">
      <c r="A61" s="21" t="inlineStr">
        <is>
          <t>점   검</t>
        </is>
      </c>
      <c r="B61" s="14" t="n"/>
      <c r="C61" s="14" t="n"/>
      <c r="D61" s="21" t="inlineStr">
        <is>
          <t>재 점 검</t>
        </is>
      </c>
      <c r="E61" s="14" t="n"/>
      <c r="F61" s="14" t="n"/>
      <c r="G61" s="21" t="inlineStr">
        <is>
          <t>검   측</t>
        </is>
      </c>
      <c r="H61" s="14" t="n"/>
      <c r="I61" s="14" t="n"/>
      <c r="J61" s="21" t="inlineStr">
        <is>
          <t>재 검 측</t>
        </is>
      </c>
      <c r="K61" s="14" t="n"/>
      <c r="L61" s="14" t="n"/>
    </row>
    <row r="62" ht="44" customHeight="1">
      <c r="A62" s="67" t="inlineStr">
        <is>
          <t>(인)</t>
        </is>
      </c>
      <c r="B62" s="14" t="n"/>
      <c r="C62" s="14" t="n"/>
      <c r="D62" s="67" t="inlineStr">
        <is>
          <t>(인)</t>
        </is>
      </c>
      <c r="E62" s="14" t="n"/>
      <c r="F62" s="14" t="n"/>
      <c r="G62" s="67" t="inlineStr">
        <is>
          <t>(인)</t>
        </is>
      </c>
      <c r="H62" s="14" t="n"/>
      <c r="I62" s="14" t="n"/>
      <c r="J62" s="67" t="inlineStr">
        <is>
          <t>(인)</t>
        </is>
      </c>
      <c r="K62" s="14" t="n"/>
      <c r="L62" s="14" t="n"/>
    </row>
    <row r="64" ht="34" customHeight="1">
      <c r="A64" s="8" t="inlineStr">
        <is>
          <t>결과 칸에 ○ 를 적습니다(합격 또는 불합격 칸). 1차 불합격 항목은 보완 뒤 2차 칸에 적으면 «판정» 이 저절로 바뀝니다. 빈 줄은 항목을 더 적는 곳입니다.</t>
        </is>
      </c>
    </row>
  </sheetData>
  <mergeCells count="149">
    <mergeCell ref="G21:H21"/>
    <mergeCell ref="F29:G29"/>
    <mergeCell ref="I4:L4"/>
    <mergeCell ref="A11:E11"/>
    <mergeCell ref="G62:I62"/>
    <mergeCell ref="F15:G15"/>
    <mergeCell ref="F5:G7"/>
    <mergeCell ref="A37:E37"/>
    <mergeCell ref="A26:E26"/>
    <mergeCell ref="A57:E57"/>
    <mergeCell ref="A46:E48"/>
    <mergeCell ref="G40:L40"/>
    <mergeCell ref="J61:L61"/>
    <mergeCell ref="A40:F40"/>
    <mergeCell ref="F13:G13"/>
    <mergeCell ref="F56:G56"/>
    <mergeCell ref="A22:B22"/>
    <mergeCell ref="G42:I42"/>
    <mergeCell ref="A60:F60"/>
    <mergeCell ref="A52:E52"/>
    <mergeCell ref="A23:E25"/>
    <mergeCell ref="G44:H44"/>
    <mergeCell ref="G22:H22"/>
    <mergeCell ref="C3:D3"/>
    <mergeCell ref="F57:G57"/>
    <mergeCell ref="E3:F3"/>
    <mergeCell ref="A34:E34"/>
    <mergeCell ref="F10:G10"/>
    <mergeCell ref="D41:F41"/>
    <mergeCell ref="I44:L44"/>
    <mergeCell ref="F54:G54"/>
    <mergeCell ref="F34:G34"/>
    <mergeCell ref="A45:B45"/>
    <mergeCell ref="A49:E49"/>
    <mergeCell ref="A36:E36"/>
    <mergeCell ref="H23:K23"/>
    <mergeCell ref="J41:L41"/>
    <mergeCell ref="F30:G30"/>
    <mergeCell ref="F33:G33"/>
    <mergeCell ref="D39:L39"/>
    <mergeCell ref="A55:E55"/>
    <mergeCell ref="A12:E12"/>
    <mergeCell ref="A43:L43"/>
    <mergeCell ref="G41:I41"/>
    <mergeCell ref="J42:L42"/>
    <mergeCell ref="C4:F4"/>
    <mergeCell ref="F31:G31"/>
    <mergeCell ref="F28:G28"/>
    <mergeCell ref="A32:E32"/>
    <mergeCell ref="A14:E14"/>
    <mergeCell ref="F9:G9"/>
    <mergeCell ref="A29:E29"/>
    <mergeCell ref="A38:E38"/>
    <mergeCell ref="F46:G48"/>
    <mergeCell ref="A5:E7"/>
    <mergeCell ref="A31:E31"/>
    <mergeCell ref="A58:E58"/>
    <mergeCell ref="L23:L25"/>
    <mergeCell ref="A16:C16"/>
    <mergeCell ref="G19:I19"/>
    <mergeCell ref="A18:C18"/>
    <mergeCell ref="L46:L48"/>
    <mergeCell ref="H5:K5"/>
    <mergeCell ref="E44:F44"/>
    <mergeCell ref="A42:C42"/>
    <mergeCell ref="A2:L2"/>
    <mergeCell ref="F53:G53"/>
    <mergeCell ref="J24:K24"/>
    <mergeCell ref="D18:F18"/>
    <mergeCell ref="C44:D44"/>
    <mergeCell ref="A17:F17"/>
    <mergeCell ref="F36:G36"/>
    <mergeCell ref="A62:C62"/>
    <mergeCell ref="F50:G50"/>
    <mergeCell ref="A3:B3"/>
    <mergeCell ref="I45:L45"/>
    <mergeCell ref="F8:G8"/>
    <mergeCell ref="A20:L20"/>
    <mergeCell ref="D42:F42"/>
    <mergeCell ref="A21:B21"/>
    <mergeCell ref="C45:F45"/>
    <mergeCell ref="A50:E50"/>
    <mergeCell ref="C21:D21"/>
    <mergeCell ref="J18:L18"/>
    <mergeCell ref="G60:L60"/>
    <mergeCell ref="A59:C59"/>
    <mergeCell ref="A4:B4"/>
    <mergeCell ref="C22:F22"/>
    <mergeCell ref="A64:L64"/>
    <mergeCell ref="J19:L19"/>
    <mergeCell ref="A1:F1"/>
    <mergeCell ref="I21:L21"/>
    <mergeCell ref="A28:E28"/>
    <mergeCell ref="A61:C61"/>
    <mergeCell ref="F49:G49"/>
    <mergeCell ref="F14:G14"/>
    <mergeCell ref="A13:E13"/>
    <mergeCell ref="L5:L7"/>
    <mergeCell ref="A30:E30"/>
    <mergeCell ref="F11:G11"/>
    <mergeCell ref="A41:C41"/>
    <mergeCell ref="A15:E15"/>
    <mergeCell ref="D61:F61"/>
    <mergeCell ref="A51:E51"/>
    <mergeCell ref="G18:I18"/>
    <mergeCell ref="D16:L16"/>
    <mergeCell ref="F55:G55"/>
    <mergeCell ref="F12:G12"/>
    <mergeCell ref="H6:I6"/>
    <mergeCell ref="A54:E54"/>
    <mergeCell ref="J6:K6"/>
    <mergeCell ref="F51:G51"/>
    <mergeCell ref="D62:F62"/>
    <mergeCell ref="F32:G32"/>
    <mergeCell ref="F26:G26"/>
    <mergeCell ref="G3:H3"/>
    <mergeCell ref="A27:E27"/>
    <mergeCell ref="F35:G35"/>
    <mergeCell ref="A56:E56"/>
    <mergeCell ref="G1:L1"/>
    <mergeCell ref="A19:C19"/>
    <mergeCell ref="J62:L62"/>
    <mergeCell ref="F38:G38"/>
    <mergeCell ref="A33:E33"/>
    <mergeCell ref="F23:G25"/>
    <mergeCell ref="G45:H45"/>
    <mergeCell ref="H46:K46"/>
    <mergeCell ref="A39:C39"/>
    <mergeCell ref="A8:E8"/>
    <mergeCell ref="H47:I47"/>
    <mergeCell ref="D59:L59"/>
    <mergeCell ref="F27:G27"/>
    <mergeCell ref="J47:K47"/>
    <mergeCell ref="F58:G58"/>
    <mergeCell ref="F52:G52"/>
    <mergeCell ref="G4:H4"/>
    <mergeCell ref="I22:L22"/>
    <mergeCell ref="D19:F19"/>
    <mergeCell ref="A35:E35"/>
    <mergeCell ref="F37:G37"/>
    <mergeCell ref="A53:E53"/>
    <mergeCell ref="I3:L3"/>
    <mergeCell ref="A10:E10"/>
    <mergeCell ref="H24:I24"/>
    <mergeCell ref="G61:I61"/>
    <mergeCell ref="G17:L17"/>
    <mergeCell ref="A44:B44"/>
    <mergeCell ref="A9:E9"/>
    <mergeCell ref="E21:F21"/>
  </mergeCells>
  <printOptions horizontalCentered="1"/>
  <pageMargins left="0.6" right="0.6" top="0.6" bottom="0.6" header="0.2" footer="0.2"/>
  <pageSetup orientation="portrait" paperSize="9" fitToHeight="0" fitToWidth="1"/>
  <rowBreaks count="2" manualBreakCount="2">
    <brk id="19" min="0" max="16383" man="1"/>
    <brk id="4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99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2" t="inlineStr">
        <is>
          <t>7.0   품 질 관 리  계 획</t>
        </is>
      </c>
    </row>
    <row r="4" ht="4" customHeight="1"/>
    <row r="5" ht="3" customHeight="1"/>
    <row r="6" ht="22" customHeight="1">
      <c r="A6" s="49" t="inlineStr">
        <is>
          <t>7-1  자재 관리</t>
        </is>
      </c>
    </row>
    <row r="7" ht="21" customHeight="1">
      <c r="A7" s="16" t="inlineStr">
        <is>
          <t>1) 적용범위</t>
        </is>
      </c>
    </row>
    <row r="8" ht="21.5" customHeight="1">
      <c r="A8" s="52" t="inlineStr">
        <is>
          <t>입고 자재가 취급 · 보관 등으로 품질이 손상되지 않도록 관리하는 업무에 적용한다.</t>
        </is>
      </c>
    </row>
    <row r="9" ht="21" customHeight="1">
      <c r="A9" s="16" t="inlineStr">
        <is>
          <t>2) 창고 구비 조건</t>
        </is>
      </c>
    </row>
    <row r="10" ht="20.5" customHeight="1">
      <c r="A10" s="50" t="inlineStr">
        <is>
          <t>(1)</t>
        </is>
      </c>
      <c r="B10" s="51" t="inlineStr">
        <is>
          <t>보관품은 알맞은 기준에 따라 품질에 변형을 주지 않는 장소에 둔다.</t>
        </is>
      </c>
    </row>
    <row r="11" ht="36" customHeight="1">
      <c r="A11" s="50" t="inlineStr">
        <is>
          <t>(2)</t>
        </is>
      </c>
      <c r="B11" s="51" t="inlineStr">
        <is>
          <t>야적장은 배수가 잘되고 주위에 위험요소가 없는 평탄한 곳으로 자재 운반이 쉬워야 하며, 밖에 두어도 품질 변화가 적은 자재만 보관한다.</t>
        </is>
      </c>
    </row>
    <row r="12" ht="21" customHeight="1">
      <c r="A12" s="16" t="inlineStr">
        <is>
          <t>3) 관리 방법</t>
        </is>
      </c>
    </row>
    <row r="13" ht="36" customHeight="1">
      <c r="A13" s="50" t="inlineStr">
        <is>
          <t>(1)</t>
        </is>
      </c>
      <c r="B13" s="51" t="inlineStr">
        <is>
          <t>보관품은 종류별 · 규격별로 반입 · 반출이 쉬운 상태로 보관하고, 포대 · 상자 또는 완전 포장된 것은 품명 · 수량 등을 적는다.</t>
        </is>
      </c>
    </row>
    <row r="14" ht="36" customHeight="1">
      <c r="A14" s="50" t="inlineStr">
        <is>
          <t>(2)</t>
        </is>
      </c>
      <c r="B14" s="51" t="inlineStr">
        <is>
          <t>롤(ROLL) 단위 시트류 — 습기 · 물기가 없는 지정 장소에 보관하고, 무게로 휘지 않게 야적량을 알맞게 하며, 세워서 규격별로 정리한다.</t>
        </is>
      </c>
    </row>
    <row r="15" ht="51.5" customHeight="1">
      <c r="A15" s="50" t="inlineStr">
        <is>
          <t>(3)</t>
        </is>
      </c>
      <c r="B15" s="51" t="inlineStr">
        <is>
          <t>캔류 — 파손 · 손상을 막기 위해 따로 구분 · 식별하여 관리하고, 다른 공정 작업자 등으로부터 피해를 받지 않게 하며, 찌그러지거나 터지지 않게 보관 · 운반하고, 포장재가 녹슬거나 라벨이 손상되지 않게 한다.</t>
        </is>
      </c>
    </row>
    <row r="16" ht="20.5" customHeight="1">
      <c r="A16" s="50" t="inlineStr">
        <is>
          <t>(4)</t>
        </is>
      </c>
      <c r="B16" s="51" t="inlineStr">
        <is>
          <t>그 밖의 자재 — 보관용 선반 · 전용 케이스 등을 이용하여 보관한다.</t>
        </is>
      </c>
    </row>
    <row r="17" ht="3" customHeight="1"/>
    <row r="18" ht="22" customHeight="1">
      <c r="A18" s="49" t="inlineStr">
        <is>
          <t>7-2  공정별 품질시험 계획</t>
        </is>
      </c>
    </row>
    <row r="19" ht="21" customHeight="1">
      <c r="A19" s="10" t="inlineStr"/>
      <c r="B19" s="16" t="inlineStr">
        <is>
          <t>(1) 시공 전 품질관리 — 자재 반입 검사(소요량 참조) · 바탕 상태 검사(바탕처리 후)</t>
        </is>
      </c>
    </row>
    <row r="20" ht="20" customHeight="1">
      <c r="A20" s="53" t="inlineStr">
        <is>
          <t>[ 바탕 상태 검사 체크리스트 ]</t>
        </is>
      </c>
    </row>
    <row r="21" ht="24" customHeight="1">
      <c r="A21" s="21" t="inlineStr">
        <is>
          <t>공  정</t>
        </is>
      </c>
      <c r="B21" s="14" t="n"/>
      <c r="C21" s="21" t="inlineStr">
        <is>
          <t>상    태</t>
        </is>
      </c>
      <c r="D21" s="14" t="n"/>
      <c r="E21" s="14" t="n"/>
      <c r="F21" s="14" t="n"/>
      <c r="G21" s="21" t="inlineStr">
        <is>
          <t>확인 방법</t>
        </is>
      </c>
      <c r="H21" s="14" t="n"/>
      <c r="I21" s="21" t="inlineStr">
        <is>
          <t>판 정 기 준</t>
        </is>
      </c>
      <c r="J21" s="14" t="n"/>
      <c r="K21" s="14" t="n"/>
      <c r="L21" s="14" t="n"/>
    </row>
    <row r="22" ht="24" customHeight="1">
      <c r="A22" s="55" t="inlineStr">
        <is>
          <t>바탕처리</t>
        </is>
      </c>
      <c r="B22" s="14" t="n"/>
      <c r="C22" s="54" t="inlineStr">
        <is>
          <t>거푸집 단차 및 돌기물</t>
        </is>
      </c>
      <c r="D22" s="14" t="n"/>
      <c r="E22" s="14" t="n"/>
      <c r="F22" s="14" t="n"/>
      <c r="G22" s="55" t="inlineStr">
        <is>
          <t>육안검사</t>
        </is>
      </c>
      <c r="H22" s="14" t="n"/>
      <c r="I22" s="54" t="inlineStr">
        <is>
          <t>높이 3mm 이하</t>
        </is>
      </c>
      <c r="J22" s="14" t="n"/>
      <c r="K22" s="14" t="n"/>
      <c r="L22" s="14" t="n"/>
    </row>
    <row r="23" ht="24" customHeight="1">
      <c r="A23" s="54" t="inlineStr"/>
      <c r="B23" s="14" t="n"/>
      <c r="C23" s="54" t="inlineStr">
        <is>
          <t>거푸집 박리제</t>
        </is>
      </c>
      <c r="D23" s="14" t="n"/>
      <c r="E23" s="14" t="n"/>
      <c r="F23" s="14" t="n"/>
      <c r="G23" s="55" t="inlineStr">
        <is>
          <t>육안검사</t>
        </is>
      </c>
      <c r="H23" s="14" t="n"/>
      <c r="I23" s="54" t="inlineStr">
        <is>
          <t>없음</t>
        </is>
      </c>
      <c r="J23" s="14" t="n"/>
      <c r="K23" s="14" t="n"/>
      <c r="L23" s="14" t="n"/>
    </row>
    <row r="24" ht="24" customHeight="1">
      <c r="A24" s="54" t="inlineStr"/>
      <c r="B24" s="14" t="n"/>
      <c r="C24" s="54" t="inlineStr">
        <is>
          <t>레이턴스 · 기름 · 먼지 등</t>
        </is>
      </c>
      <c r="D24" s="14" t="n"/>
      <c r="E24" s="14" t="n"/>
      <c r="F24" s="14" t="n"/>
      <c r="G24" s="55" t="inlineStr">
        <is>
          <t>육안검사</t>
        </is>
      </c>
      <c r="H24" s="14" t="n"/>
      <c r="I24" s="54" t="inlineStr">
        <is>
          <t>없음</t>
        </is>
      </c>
      <c r="J24" s="14" t="n"/>
      <c r="K24" s="14" t="n"/>
      <c r="L24" s="14" t="n"/>
    </row>
    <row r="25" ht="33" customHeight="1">
      <c r="A25" s="54" t="inlineStr"/>
      <c r="B25" s="14" t="n"/>
      <c r="C25" s="54" t="inlineStr">
        <is>
          <t>균열 및 누수 부위</t>
        </is>
      </c>
      <c r="D25" s="14" t="n"/>
      <c r="E25" s="14" t="n"/>
      <c r="F25" s="14" t="n"/>
      <c r="G25" s="55" t="inlineStr">
        <is>
          <t>육안 · 확대경</t>
        </is>
      </c>
      <c r="H25" s="14" t="n"/>
      <c r="I25" s="54" t="inlineStr">
        <is>
          <t>없음 또는 보수 · 보강 처리되어 있을 것</t>
        </is>
      </c>
      <c r="J25" s="14" t="n"/>
      <c r="K25" s="14" t="n"/>
      <c r="L25" s="14" t="n"/>
    </row>
    <row r="26" ht="24" customHeight="1">
      <c r="A26" s="54" t="inlineStr"/>
      <c r="B26" s="14" t="n"/>
      <c r="C26" s="54" t="inlineStr">
        <is>
          <t>나무조각 · 철사 · 종이류</t>
        </is>
      </c>
      <c r="D26" s="14" t="n"/>
      <c r="E26" s="14" t="n"/>
      <c r="F26" s="14" t="n"/>
      <c r="G26" s="55" t="inlineStr">
        <is>
          <t>육안검사</t>
        </is>
      </c>
      <c r="H26" s="14" t="n"/>
      <c r="I26" s="54" t="inlineStr">
        <is>
          <t>없음</t>
        </is>
      </c>
      <c r="J26" s="14" t="n"/>
      <c r="K26" s="14" t="n"/>
      <c r="L26" s="14" t="n"/>
    </row>
    <row r="27" ht="24" customHeight="1">
      <c r="A27" s="54" t="inlineStr"/>
      <c r="B27" s="14" t="n"/>
      <c r="C27" s="54" t="inlineStr">
        <is>
          <t>취약 부위(골재분리 등) 충전</t>
        </is>
      </c>
      <c r="D27" s="14" t="n"/>
      <c r="E27" s="14" t="n"/>
      <c r="F27" s="14" t="n"/>
      <c r="G27" s="55" t="inlineStr">
        <is>
          <t>육안검사</t>
        </is>
      </c>
      <c r="H27" s="14" t="n"/>
      <c r="I27" s="54" t="inlineStr">
        <is>
          <t>취약 부위가 보강되어 있을 것</t>
        </is>
      </c>
      <c r="J27" s="14" t="n"/>
      <c r="K27" s="14" t="n"/>
      <c r="L27" s="14" t="n"/>
    </row>
    <row r="28" ht="36" customHeight="1">
      <c r="A28" s="10" t="inlineStr"/>
      <c r="B28" s="16" t="inlineStr">
        <is>
          <t>(2) 시공 중 품질관리 — 공정별 도장 횟수 확인 · 재료 사용량 준수 여부 · 도장 부위의 하자 발생 여부</t>
        </is>
      </c>
    </row>
    <row r="29" ht="36" customHeight="1">
      <c r="A29" s="10" t="inlineStr"/>
      <c r="B29" s="16" t="inlineStr">
        <is>
          <t>(3) 시공 후 품질관리 — 도장 부위의 들뜸 · 손상 · 균열 · 얼룩 발생 여부 · 표면 상태 확인</t>
        </is>
      </c>
    </row>
    <row r="30" ht="4" customHeight="1"/>
    <row r="31" ht="30" customHeight="1">
      <c r="A31" s="12" t="inlineStr">
        <is>
          <t>8.0   환 경 관 리  계 획</t>
        </is>
      </c>
    </row>
    <row r="32" ht="4" customHeight="1"/>
    <row r="33" ht="3" customHeight="1"/>
    <row r="34" ht="22" customHeight="1">
      <c r="A34" s="49" t="inlineStr">
        <is>
          <t>8-1  개  요</t>
        </is>
      </c>
    </row>
    <row r="35" ht="21.5" customHeight="1">
      <c r="A35" s="52" t="inlineStr">
        <is>
          <t>현장의 폐기물 · 유류 · 쓰레기 및 소음 · 진동 · 비산먼지 등에 의한 오염을 방지한다.</t>
        </is>
      </c>
    </row>
    <row r="36" ht="3" customHeight="1"/>
    <row r="37" ht="22" customHeight="1">
      <c r="A37" s="49" t="inlineStr">
        <is>
          <t>8-2  중점관리 방침</t>
        </is>
      </c>
    </row>
    <row r="38" ht="20.5" customHeight="1">
      <c r="A38" s="50" t="inlineStr">
        <is>
          <t>(1)</t>
        </is>
      </c>
      <c r="B38" s="51" t="inlineStr">
        <is>
          <t>자율적인 환경관리</t>
        </is>
      </c>
    </row>
    <row r="39" ht="20.5" customHeight="1">
      <c r="A39" s="50" t="inlineStr">
        <is>
          <t>(2)</t>
        </is>
      </c>
      <c r="B39" s="51" t="inlineStr">
        <is>
          <t>쾌적한 작업환경 관리</t>
        </is>
      </c>
    </row>
    <row r="40" ht="20.5" customHeight="1">
      <c r="A40" s="50" t="inlineStr">
        <is>
          <t>(3)</t>
        </is>
      </c>
      <c r="B40" s="51" t="inlineStr">
        <is>
          <t>민원 발생 방지</t>
        </is>
      </c>
    </row>
    <row r="41" ht="3" customHeight="1"/>
    <row r="42" ht="22" customHeight="1">
      <c r="A42" s="49" t="inlineStr">
        <is>
          <t>8-3  실시계획</t>
        </is>
      </c>
    </row>
    <row r="43" ht="20.5" customHeight="1">
      <c r="A43" s="50" t="inlineStr">
        <is>
          <t>(1)</t>
        </is>
      </c>
      <c r="B43" s="51" t="inlineStr">
        <is>
          <t>작업 전후 정리정돈 : 작업 전후 정리정돈을 철저히 하여 쾌적한 작업환경을 유지한다.</t>
        </is>
      </c>
    </row>
    <row r="44" ht="36" customHeight="1">
      <c r="A44" s="50" t="inlineStr">
        <is>
          <t>(2)</t>
        </is>
      </c>
      <c r="B44" s="51" t="inlineStr">
        <is>
          <t>분리수거 : 분리수거를 철저히 하고, 도장 작업에서 나온 폐기물(빈 도료 용기 · 폐신너 · 걸레 등)은 시공업체 부담으로 적법하게 처리하여 쓰레기를 줄인다.</t>
        </is>
      </c>
    </row>
    <row r="45" ht="36" customHeight="1">
      <c r="A45" s="50" t="inlineStr">
        <is>
          <t>(3)</t>
        </is>
      </c>
      <c r="B45" s="51" t="inlineStr">
        <is>
          <t>민원 발생 억제 : 소음 · 진동 · 비산먼지 · 냄새를 최대한 억제하여 인근 주민의 생활에 피해가 없도록 하고, 적극적으로 환경관리 활동을 한다.</t>
        </is>
      </c>
    </row>
    <row r="46" ht="21" customHeight="1">
      <c r="A46" s="10" t="inlineStr"/>
      <c r="B46" s="16" t="inlineStr">
        <is>
          <t>(4) 환경관리 대책</t>
        </is>
      </c>
    </row>
    <row r="47" ht="20.5" customHeight="1">
      <c r="A47" s="50" t="inlineStr">
        <is>
          <t>①</t>
        </is>
      </c>
      <c r="C47" s="51" t="inlineStr">
        <is>
          <t>쓰레기 처리 : 현장 안은 금연하고 쓰레기 수거함을 둔다.</t>
        </is>
      </c>
    </row>
    <row r="48" ht="51.5" customHeight="1">
      <c r="A48" s="50" t="inlineStr">
        <is>
          <t>②</t>
        </is>
      </c>
      <c r="C48" s="51" t="inlineStr">
        <is>
          <t>잔재물 · 빈 용기 : 빈 도료 용기 · 폐신너 · 도료 묻은 걸레는 인화 위험이 없도록 뚜껑 있는 용기에 모아 지정 장소에 두고, 지정폐기물은 허가 업체에 위탁 처리한다.</t>
        </is>
      </c>
    </row>
    <row r="49" ht="36" customHeight="1">
      <c r="A49" s="50" t="inlineStr">
        <is>
          <t>③</t>
        </is>
      </c>
      <c r="C49" s="51" t="inlineStr">
        <is>
          <t>비산먼지 : 현장 안 주요 도로와 작업장 주변은 하루 2회 이상 살수차로 살수하고, 장비 이동 때 먼지가 나지 않도록 서행한다.</t>
        </is>
      </c>
    </row>
    <row r="50" ht="4" customHeight="1"/>
    <row r="51" ht="30" customHeight="1">
      <c r="A51" s="12" t="inlineStr">
        <is>
          <t>9.0   안 전 관 리  계 획</t>
        </is>
      </c>
    </row>
    <row r="52" ht="4" customHeight="1"/>
    <row r="53" ht="3" customHeight="1"/>
    <row r="54" ht="22" customHeight="1">
      <c r="A54" s="49" t="inlineStr">
        <is>
          <t>9-1  안전대책</t>
        </is>
      </c>
    </row>
    <row r="55" ht="36" customHeight="1">
      <c r="A55" s="10" t="inlineStr"/>
      <c r="B55" s="16" t="inlineStr">
        <is>
          <t>가. 안전 보호구 확보 · 지급 · 사용 계획 — 개인보호구는 산업안전보건법에서 정한 규격과 품질검사(안전인증)에 합격한 제품을 쓰는 것을 원칙으로 한다.</t>
        </is>
      </c>
    </row>
    <row r="56" ht="21" customHeight="1">
      <c r="A56" s="10" t="inlineStr"/>
      <c r="B56" s="16" t="inlineStr">
        <is>
          <t>나. 안전점검</t>
        </is>
      </c>
    </row>
    <row r="57" ht="24" customHeight="1">
      <c r="A57" s="21" t="inlineStr">
        <is>
          <t>구   분</t>
        </is>
      </c>
      <c r="B57" s="14" t="n"/>
      <c r="C57" s="14" t="n"/>
      <c r="D57" s="21" t="inlineStr">
        <is>
          <t>점검 시기</t>
        </is>
      </c>
      <c r="E57" s="14" t="n"/>
      <c r="F57" s="21" t="inlineStr">
        <is>
          <t>참석자 대상</t>
        </is>
      </c>
      <c r="G57" s="14" t="n"/>
      <c r="H57" s="14" t="n"/>
      <c r="I57" s="14" t="n"/>
      <c r="J57" s="21" t="inlineStr">
        <is>
          <t>비   고</t>
        </is>
      </c>
      <c r="K57" s="14" t="n"/>
      <c r="L57" s="14" t="n"/>
    </row>
    <row r="58" ht="26" customHeight="1">
      <c r="A58" s="62" t="inlineStr">
        <is>
          <t>주간 점검</t>
        </is>
      </c>
      <c r="B58" s="14" t="n"/>
      <c r="C58" s="14" t="n"/>
      <c r="D58" s="62" t="inlineStr">
        <is>
          <t>매주 1회</t>
        </is>
      </c>
      <c r="E58" s="14" t="n"/>
      <c r="F58" s="65" t="inlineStr">
        <is>
          <t>현장소장 · 안전관리자</t>
        </is>
      </c>
      <c r="G58" s="14" t="n"/>
      <c r="H58" s="14" t="n"/>
      <c r="I58" s="14" t="n"/>
      <c r="J58" s="65" t="inlineStr">
        <is>
          <t>현장 순회 점검</t>
        </is>
      </c>
      <c r="K58" s="14" t="n"/>
      <c r="L58" s="14" t="n"/>
    </row>
    <row r="59" ht="26" customHeight="1">
      <c r="A59" s="62" t="inlineStr">
        <is>
          <t>일일 점검</t>
        </is>
      </c>
      <c r="B59" s="14" t="n"/>
      <c r="C59" s="14" t="n"/>
      <c r="D59" s="62" t="inlineStr">
        <is>
          <t>매일 1회</t>
        </is>
      </c>
      <c r="E59" s="14" t="n"/>
      <c r="F59" s="65" t="inlineStr">
        <is>
          <t>관리감독자 · 안전담당자</t>
        </is>
      </c>
      <c r="G59" s="14" t="n"/>
      <c r="H59" s="14" t="n"/>
      <c r="I59" s="14" t="n"/>
      <c r="J59" s="65" t="inlineStr">
        <is>
          <t>현장 순회 점검</t>
        </is>
      </c>
      <c r="K59" s="14" t="n"/>
      <c r="L59" s="14" t="n"/>
    </row>
    <row r="60" ht="21" customHeight="1">
      <c r="A60" s="10" t="inlineStr"/>
      <c r="B60" s="16" t="inlineStr">
        <is>
          <t>다. 작업 중 안전관리</t>
        </is>
      </c>
    </row>
    <row r="61" ht="20.5" customHeight="1">
      <c r="A61" s="50" t="inlineStr">
        <is>
          <t>①</t>
        </is>
      </c>
      <c r="C61" s="51" t="inlineStr">
        <is>
          <t>개인보호구를 철저히 착용하고, 특히 신발은 미끄럼 방지가 되어야 한다.</t>
        </is>
      </c>
    </row>
    <row r="62" ht="20.5" customHeight="1">
      <c r="A62" s="50" t="inlineStr">
        <is>
          <t>②</t>
        </is>
      </c>
      <c r="C62" s="51" t="inlineStr">
        <is>
          <t>차량 출입구에는 신호수를 세우고 노면 상태를 점검 · 보수한다.</t>
        </is>
      </c>
    </row>
    <row r="63" ht="20.5" customHeight="1">
      <c r="A63" s="50" t="inlineStr">
        <is>
          <t>③</t>
        </is>
      </c>
      <c r="C63" s="51" t="inlineStr">
        <is>
          <t>야간작업 때 위험요소에는 잘 보이도록 보안등 및 위험 표시등을 설치한다.</t>
        </is>
      </c>
    </row>
    <row r="64" ht="20.5" customHeight="1">
      <c r="A64" s="50" t="inlineStr">
        <is>
          <t>④</t>
        </is>
      </c>
      <c r="C64" s="51" t="inlineStr">
        <is>
          <t>야간 작업자 관리와 야간 순찰을 위해 야간 당직 계획을 세워 시행한다.</t>
        </is>
      </c>
    </row>
    <row r="65" ht="21" customHeight="1">
      <c r="A65" s="10" t="inlineStr"/>
      <c r="B65" s="16" t="inlineStr">
        <is>
          <t>라. 작업 후 안전관리</t>
        </is>
      </c>
    </row>
    <row r="66" ht="20.5" customHeight="1">
      <c r="A66" s="50" t="inlineStr">
        <is>
          <t>①</t>
        </is>
      </c>
      <c r="C66" s="51" t="inlineStr">
        <is>
          <t>작업이 끝나면 기계 · 기구는 지정된 장소에 두고 작업 주변을 깨끗이 한다.</t>
        </is>
      </c>
    </row>
    <row r="67" ht="20.5" customHeight="1">
      <c r="A67" s="50" t="inlineStr">
        <is>
          <t>②</t>
        </is>
      </c>
      <c r="C67" s="51" t="inlineStr">
        <is>
          <t>작업 교대 때는 작업에 관한 전반적인 사항을 확실히 인수인계한다.</t>
        </is>
      </c>
    </row>
    <row r="68" ht="20.5" customHeight="1">
      <c r="A68" s="50" t="inlineStr">
        <is>
          <t>③</t>
        </is>
      </c>
      <c r="C68" s="51" t="inlineStr">
        <is>
          <t>작업자는 작업 공정을 숙지하여 안전에 만전을 기한다.</t>
        </is>
      </c>
    </row>
    <row r="69" ht="20.5" customHeight="1">
      <c r="A69" s="50" t="inlineStr">
        <is>
          <t>④</t>
        </is>
      </c>
      <c r="C69" s="51" t="inlineStr">
        <is>
          <t>작업구역에는 관계없는 사람의 출입을 통제한다.</t>
        </is>
      </c>
    </row>
    <row r="70" ht="20.5" customHeight="1">
      <c r="A70" s="50" t="inlineStr">
        <is>
          <t>⑤</t>
        </is>
      </c>
      <c r="C70" s="51" t="inlineStr">
        <is>
          <t>강우 · 폭우 · 폭설 등 악천후 때에는 작업을 중지한다.</t>
        </is>
      </c>
    </row>
    <row r="71" ht="21" customHeight="1">
      <c r="A71" s="10" t="inlineStr"/>
      <c r="B71" s="16" t="inlineStr">
        <is>
          <t>마. 유기용제 중독 예방</t>
        </is>
      </c>
    </row>
    <row r="72" ht="51.5" customHeight="1">
      <c r="A72" s="50" t="inlineStr">
        <is>
          <t>①</t>
        </is>
      </c>
      <c r="C72" s="51" t="inlineStr">
        <is>
          <t>밀폐되거나 환기가 나쁜 실내에서 유성 도료 · 신너 · 에폭시 등을 쓸 때는 국소배기 또는 이동식 송풍기로 충분히 환기하고, 방독마스크 등 호흡용 보호구를 착용한다.</t>
        </is>
      </c>
    </row>
    <row r="73" ht="36" customHeight="1">
      <c r="A73" s="50" t="inlineStr">
        <is>
          <t>②</t>
        </is>
      </c>
      <c r="C73" s="51" t="inlineStr">
        <is>
          <t>밀폐공간(지하 피트 · 수조 등)은 작업 전에 산소 · 유해가스 농도를 측정하고, 감시인을 두며, 작업 중에도 계속 환기한다.</t>
        </is>
      </c>
    </row>
    <row r="74" ht="36" customHeight="1">
      <c r="A74" s="50" t="inlineStr">
        <is>
          <t>③</t>
        </is>
      </c>
      <c r="C74" s="51" t="inlineStr">
        <is>
          <t>작업 뒤 도장한 곳이 마를 때까지는 출입을 삼가고, 두통 · 어지럼증이 있으면 즉시 작업을 멈추고 신선한 공기가 있는 곳으로 옮긴다.</t>
        </is>
      </c>
    </row>
    <row r="75" ht="36" customHeight="1">
      <c r="A75" s="50" t="inlineStr">
        <is>
          <t>④</t>
        </is>
      </c>
      <c r="C75" s="51" t="inlineStr">
        <is>
          <t>사용하는 도료 · 신너의 물질안전보건자료(MSDS)를 작업장에 게시하고 작업자에게 교육한다.</t>
        </is>
      </c>
    </row>
    <row r="76" ht="21" customHeight="1">
      <c r="A76" s="10" t="inlineStr"/>
      <c r="B76" s="16" t="inlineStr">
        <is>
          <t>바. 화재 예방</t>
        </is>
      </c>
    </row>
    <row r="77" ht="51.5" customHeight="1">
      <c r="A77" s="50" t="inlineStr">
        <is>
          <t>①</t>
        </is>
      </c>
      <c r="C77" s="51" t="inlineStr">
        <is>
          <t>가스 · 석유류 · 신너류 등 인화성 물질은 통풍이 잘되고 작업자의 통행이 빈번하지 않은 곳에 보관하며, 지하실 · 공동구 등 밀폐된 공간에는 보관하지 않는다. 소화기는 해당 층에 3개씩 둔다.</t>
        </is>
      </c>
    </row>
    <row r="78" ht="36" customHeight="1">
      <c r="A78" s="50" t="inlineStr">
        <is>
          <t>②</t>
        </is>
      </c>
      <c r="C78" s="51" t="inlineStr">
        <is>
          <t>전기 배선이 느슨하게 결선된 것은 쓰지 않으며, 도장 작업장 가까이에서는 용접 · 절단 등 화기 작업을 하지 않는다.</t>
        </is>
      </c>
    </row>
    <row r="79" ht="21" customHeight="1">
      <c r="A79" s="10" t="inlineStr"/>
      <c r="B79" s="16" t="inlineStr">
        <is>
          <t>사. 기타 — 안전사고 예방을 위해 일일 안전점검을 철저히 한다.</t>
        </is>
      </c>
    </row>
    <row r="80" ht="3" customHeight="1"/>
    <row r="81" ht="22" customHeight="1">
      <c r="A81" s="49" t="inlineStr">
        <is>
          <t>9-2  안전교육</t>
        </is>
      </c>
    </row>
    <row r="82" ht="24" customHeight="1">
      <c r="A82" s="21" t="inlineStr">
        <is>
          <t>구  분</t>
        </is>
      </c>
      <c r="B82" s="14" t="n"/>
      <c r="C82" s="21" t="inlineStr">
        <is>
          <t>대  상</t>
        </is>
      </c>
      <c r="D82" s="14" t="n"/>
      <c r="E82" s="21" t="inlineStr">
        <is>
          <t>시기 · 시간</t>
        </is>
      </c>
      <c r="F82" s="14" t="n"/>
      <c r="G82" s="21" t="inlineStr">
        <is>
          <t>담 당 자</t>
        </is>
      </c>
      <c r="H82" s="14" t="n"/>
      <c r="I82" s="21" t="inlineStr">
        <is>
          <t>방법</t>
        </is>
      </c>
      <c r="J82" s="21" t="inlineStr">
        <is>
          <t>교 육 내 용</t>
        </is>
      </c>
      <c r="K82" s="14" t="n"/>
      <c r="L82" s="14" t="n"/>
    </row>
    <row r="83" ht="40" customHeight="1">
      <c r="A83" s="68" t="inlineStr">
        <is>
          <t>정기교육</t>
        </is>
      </c>
      <c r="B83" s="14" t="n"/>
      <c r="C83" s="55" t="inlineStr">
        <is>
          <t>전 근로자</t>
        </is>
      </c>
      <c r="D83" s="14" t="n"/>
      <c r="E83" s="69" t="inlineStr">
        <is>
          <t>매월 1회 2시간
(매반기 12시간 이상)</t>
        </is>
      </c>
      <c r="F83" s="14" t="n"/>
      <c r="G83" s="55" t="inlineStr">
        <is>
          <t>안전관리자</t>
        </is>
      </c>
      <c r="H83" s="14" t="n"/>
      <c r="I83" s="70" t="inlineStr">
        <is>
          <t>집합교육</t>
        </is>
      </c>
      <c r="J83" s="71" t="inlineStr">
        <is>
          <t>산업안전보건법령 · 표준안전작업 · 사고사례 등</t>
        </is>
      </c>
      <c r="K83" s="14" t="n"/>
      <c r="L83" s="14" t="n"/>
    </row>
    <row r="84" ht="40" customHeight="1">
      <c r="A84" s="68" t="inlineStr">
        <is>
          <t>정기교육</t>
        </is>
      </c>
      <c r="B84" s="14" t="n"/>
      <c r="C84" s="55" t="inlineStr">
        <is>
          <t>관리감독자</t>
        </is>
      </c>
      <c r="D84" s="14" t="n"/>
      <c r="E84" s="69" t="inlineStr">
        <is>
          <t>연간 16시간 이상</t>
        </is>
      </c>
      <c r="F84" s="14" t="n"/>
      <c r="G84" s="55" t="inlineStr">
        <is>
          <t>안전관리자</t>
        </is>
      </c>
      <c r="H84" s="14" t="n"/>
      <c r="I84" s="70" t="inlineStr">
        <is>
          <t>집합교육</t>
        </is>
      </c>
      <c r="J84" s="71" t="inlineStr">
        <is>
          <t>관리감독자 책무 · 안전작업 · 사고사례 등</t>
        </is>
      </c>
      <c r="K84" s="14" t="n"/>
      <c r="L84" s="14" t="n"/>
    </row>
    <row r="85" ht="40" customHeight="1">
      <c r="A85" s="68" t="inlineStr">
        <is>
          <t>채용 시 교육</t>
        </is>
      </c>
      <c r="B85" s="14" t="n"/>
      <c r="C85" s="55" t="inlineStr">
        <is>
          <t>신규 채용자</t>
        </is>
      </c>
      <c r="D85" s="14" t="n"/>
      <c r="E85" s="69" t="inlineStr">
        <is>
          <t>일용 1시간 이상
그 밖 8시간 이상</t>
        </is>
      </c>
      <c r="F85" s="14" t="n"/>
      <c r="G85" s="55" t="inlineStr">
        <is>
          <t>안전관리자</t>
        </is>
      </c>
      <c r="H85" s="14" t="n"/>
      <c r="I85" s="70" t="inlineStr">
        <is>
          <t>개별 · 집합</t>
        </is>
      </c>
      <c r="J85" s="71" t="inlineStr">
        <is>
          <t>회사 방침 · 작업 방법 · 응급조치 등</t>
        </is>
      </c>
      <c r="K85" s="14" t="n"/>
      <c r="L85" s="14" t="n"/>
    </row>
    <row r="86" ht="40" customHeight="1">
      <c r="A86" s="68" t="inlineStr">
        <is>
          <t>작업내용
변경 시 교육</t>
        </is>
      </c>
      <c r="B86" s="14" t="n"/>
      <c r="C86" s="55" t="inlineStr">
        <is>
          <t>해당 근로자</t>
        </is>
      </c>
      <c r="D86" s="14" t="n"/>
      <c r="E86" s="69" t="inlineStr">
        <is>
          <t>일용 1시간 이상
그 밖 2시간 이상</t>
        </is>
      </c>
      <c r="F86" s="14" t="n"/>
      <c r="G86" s="55" t="inlineStr">
        <is>
          <t>관리감독자</t>
        </is>
      </c>
      <c r="H86" s="14" t="n"/>
      <c r="I86" s="70" t="inlineStr">
        <is>
          <t>개별 · 집합</t>
        </is>
      </c>
      <c r="J86" s="71" t="inlineStr">
        <is>
          <t>변경된 작업 방법 및 설비 사용법 등</t>
        </is>
      </c>
      <c r="K86" s="14" t="n"/>
      <c r="L86" s="14" t="n"/>
    </row>
    <row r="87" ht="40" customHeight="1">
      <c r="A87" s="68" t="inlineStr">
        <is>
          <t>특별교육
(유해 · 위험 작업)</t>
        </is>
      </c>
      <c r="B87" s="14" t="n"/>
      <c r="C87" s="55" t="inlineStr">
        <is>
          <t>해당 근로자</t>
        </is>
      </c>
      <c r="D87" s="14" t="n"/>
      <c r="E87" s="69" t="inlineStr">
        <is>
          <t>일용 2시간 이상
그 밖 16시간 이상</t>
        </is>
      </c>
      <c r="F87" s="14" t="n"/>
      <c r="G87" s="55" t="inlineStr">
        <is>
          <t>관리감독자
안전관리자</t>
        </is>
      </c>
      <c r="H87" s="14" t="n"/>
      <c r="I87" s="70" t="inlineStr">
        <is>
          <t>개별 · 집합</t>
        </is>
      </c>
      <c r="J87" s="71" t="inlineStr">
        <is>
          <t>사고 발생 원인 · 대책 · 안전의식 고취 등</t>
        </is>
      </c>
      <c r="K87" s="14" t="n"/>
      <c r="L87" s="14" t="n"/>
    </row>
    <row r="88" ht="40" customHeight="1">
      <c r="A88" s="68" t="inlineStr">
        <is>
          <t>현장 안전교육</t>
        </is>
      </c>
      <c r="B88" s="14" t="n"/>
      <c r="C88" s="55" t="inlineStr">
        <is>
          <t>관리감독자
전 근로자</t>
        </is>
      </c>
      <c r="D88" s="14" t="n"/>
      <c r="E88" s="69" t="inlineStr">
        <is>
          <t>분기별 2시간</t>
        </is>
      </c>
      <c r="F88" s="14" t="n"/>
      <c r="G88" s="55" t="inlineStr">
        <is>
          <t>현장소장
외부강사</t>
        </is>
      </c>
      <c r="H88" s="14" t="n"/>
      <c r="I88" s="70" t="inlineStr">
        <is>
          <t>집합교육</t>
        </is>
      </c>
      <c r="J88" s="71" t="inlineStr">
        <is>
          <t>현장 안전 방침 · 무재해 운동 등</t>
        </is>
      </c>
      <c r="K88" s="14" t="n"/>
      <c r="L88" s="14" t="n"/>
    </row>
    <row r="89" ht="40" customHeight="1">
      <c r="A89" s="68" t="inlineStr">
        <is>
          <t>작업 전 교육</t>
        </is>
      </c>
      <c r="B89" s="14" t="n"/>
      <c r="C89" s="55" t="inlineStr">
        <is>
          <t>전 근로자</t>
        </is>
      </c>
      <c r="D89" s="14" t="n"/>
      <c r="E89" s="69" t="inlineStr">
        <is>
          <t>작업 전 5 ~ 10분</t>
        </is>
      </c>
      <c r="F89" s="14" t="n"/>
      <c r="G89" s="55" t="inlineStr">
        <is>
          <t>안전담당자</t>
        </is>
      </c>
      <c r="H89" s="14" t="n"/>
      <c r="I89" s="70" t="inlineStr">
        <is>
          <t>T.B.M</t>
        </is>
      </c>
      <c r="J89" s="71" t="inlineStr">
        <is>
          <t>작업 내용 · 개인보호구 · 근로자 피로도 · 건강 상태</t>
        </is>
      </c>
      <c r="K89" s="14" t="n"/>
      <c r="L89" s="14" t="n"/>
    </row>
    <row r="90" ht="41.975" customHeight="1">
      <c r="A90" s="45" t="inlineStr">
        <is>
          <t>※ 법정 교육시간은 산업안전보건법 시행규칙 [별표 4](2023년 개정 이후) 기준입니다(«일용» = 일용근로자 · 근로계약 1주 이하 기간제). 1주 초과 1개월 이하 기간제의 채용 시 교육은 4시간 이상이며, 건설 일용근로자는 처음 투입 전에 건설업 기초안전보건교육(4시간)을 이수해야 합니다. 법령이 바뀌면 노란 칸을 고쳐 씁니다.</t>
        </is>
      </c>
    </row>
    <row r="91" ht="3" customHeight="1"/>
    <row r="92" ht="22" customHeight="1">
      <c r="A92" s="49" t="inlineStr">
        <is>
          <t>9-3  중점 안전 관리사항</t>
        </is>
      </c>
    </row>
    <row r="93" ht="36" customHeight="1">
      <c r="A93" s="50" t="inlineStr">
        <is>
          <t>①</t>
        </is>
      </c>
      <c r="B93" s="51" t="inlineStr">
        <is>
          <t>안전교육 강화 — 유해 · 위험 작업 전 안전교육, 방송 · 매체를 통한 일일 안전교육, 적극적인 안전활동 지도</t>
        </is>
      </c>
    </row>
    <row r="94" ht="36" customHeight="1">
      <c r="A94" s="50" t="inlineStr">
        <is>
          <t>②</t>
        </is>
      </c>
      <c r="B94" s="51" t="inlineStr">
        <is>
          <t>일일 안전점검 강화 — 개인 안전보호구 착용 상태, 가설물 안전 예방조치(비계 · 작업발판 등 가설재의 날림 · 낙하 방지, 가설계단 미끄럼 방지)</t>
        </is>
      </c>
    </row>
    <row r="95" ht="36" customHeight="1">
      <c r="A95" s="50" t="inlineStr">
        <is>
          <t>③</t>
        </is>
      </c>
      <c r="B95" s="51" t="inlineStr">
        <is>
          <t>안전시설물 설치 상태 — 안전망 · 방호선반 · 안전울타리 · 안전표지판 등, 위험방지시설의 조명 · 환기 · 배수, 기계 · 기구의 안전장치</t>
        </is>
      </c>
    </row>
    <row r="96" ht="36" customHeight="1">
      <c r="A96" s="50" t="inlineStr">
        <is>
          <t>④</t>
        </is>
      </c>
      <c r="B96" s="51" t="inlineStr">
        <is>
          <t>화재 예방 조치 — 용접기 · 인화물질 등에 의한 화재 예방, 소화기 비치 여부, 가설 전주 지지 상태, 분전함 관리 및 배선 정리 상태</t>
        </is>
      </c>
    </row>
    <row r="97" ht="20.5" customHeight="1">
      <c r="A97" s="50" t="inlineStr">
        <is>
          <t>⑤</t>
        </is>
      </c>
      <c r="B97" s="51" t="inlineStr">
        <is>
          <t>기타 안전조치 — 강설 · 강풍 때 공사 중단 여부 확인, 자재 정리 및 정돈 상태</t>
        </is>
      </c>
    </row>
    <row r="99" ht="34" customHeight="1">
      <c r="A99" s="8" t="inlineStr">
        <is>
          <t>노란 칸 = 법정 교육시간(법령이 바뀌면 고쳐 씀). 그 밖의 문구는 원본 계획서를 다듬은 것입니다.</t>
        </is>
      </c>
    </row>
  </sheetData>
  <mergeCells count="165">
    <mergeCell ref="G21:H21"/>
    <mergeCell ref="A64:B64"/>
    <mergeCell ref="A73:B73"/>
    <mergeCell ref="A37:L37"/>
    <mergeCell ref="J83:L83"/>
    <mergeCell ref="C89:D89"/>
    <mergeCell ref="G23:H23"/>
    <mergeCell ref="A88:B88"/>
    <mergeCell ref="A70:B70"/>
    <mergeCell ref="B93:L93"/>
    <mergeCell ref="A57:C57"/>
    <mergeCell ref="J85:L85"/>
    <mergeCell ref="E87:F87"/>
    <mergeCell ref="C49:L49"/>
    <mergeCell ref="B39:L39"/>
    <mergeCell ref="C77:L77"/>
    <mergeCell ref="A74:B74"/>
    <mergeCell ref="B14:L14"/>
    <mergeCell ref="C24:F24"/>
    <mergeCell ref="A27:B27"/>
    <mergeCell ref="C74:L74"/>
    <mergeCell ref="B13:L13"/>
    <mergeCell ref="I26:L26"/>
    <mergeCell ref="B38:L38"/>
    <mergeCell ref="C26:F26"/>
    <mergeCell ref="A85:B85"/>
    <mergeCell ref="F59:I59"/>
    <mergeCell ref="I25:L25"/>
    <mergeCell ref="A34:L34"/>
    <mergeCell ref="A22:B22"/>
    <mergeCell ref="B40:L40"/>
    <mergeCell ref="A92:L92"/>
    <mergeCell ref="A62:B62"/>
    <mergeCell ref="E85:F85"/>
    <mergeCell ref="C75:L75"/>
    <mergeCell ref="G85:H85"/>
    <mergeCell ref="A68:B68"/>
    <mergeCell ref="J84:L84"/>
    <mergeCell ref="A6:L6"/>
    <mergeCell ref="J87:L87"/>
    <mergeCell ref="G84:H84"/>
    <mergeCell ref="G22:H22"/>
    <mergeCell ref="C27:F27"/>
    <mergeCell ref="C83:D83"/>
    <mergeCell ref="A48:B48"/>
    <mergeCell ref="C61:L61"/>
    <mergeCell ref="J89:L89"/>
    <mergeCell ref="B16:L16"/>
    <mergeCell ref="C70:L70"/>
    <mergeCell ref="G86:H86"/>
    <mergeCell ref="C48:L48"/>
    <mergeCell ref="F58:I58"/>
    <mergeCell ref="A3:L3"/>
    <mergeCell ref="A61:B61"/>
    <mergeCell ref="A12:L12"/>
    <mergeCell ref="A87:B87"/>
    <mergeCell ref="F57:I57"/>
    <mergeCell ref="B11:L11"/>
    <mergeCell ref="A89:B89"/>
    <mergeCell ref="A81:L81"/>
    <mergeCell ref="A26:B26"/>
    <mergeCell ref="G24:H24"/>
    <mergeCell ref="C73:L73"/>
    <mergeCell ref="B29:L29"/>
    <mergeCell ref="A58:C58"/>
    <mergeCell ref="A31:L31"/>
    <mergeCell ref="C63:L63"/>
    <mergeCell ref="G88:H88"/>
    <mergeCell ref="G26:H26"/>
    <mergeCell ref="C82:D82"/>
    <mergeCell ref="B15:L15"/>
    <mergeCell ref="A63:B63"/>
    <mergeCell ref="G25:H25"/>
    <mergeCell ref="B55:L55"/>
    <mergeCell ref="B95:L95"/>
    <mergeCell ref="I24:L24"/>
    <mergeCell ref="A77:B77"/>
    <mergeCell ref="B79:L79"/>
    <mergeCell ref="A83:B83"/>
    <mergeCell ref="C86:D86"/>
    <mergeCell ref="B97:L97"/>
    <mergeCell ref="A49:B49"/>
    <mergeCell ref="C67:L67"/>
    <mergeCell ref="A18:L18"/>
    <mergeCell ref="E83:F83"/>
    <mergeCell ref="C72:L72"/>
    <mergeCell ref="B56:L56"/>
    <mergeCell ref="A69:B69"/>
    <mergeCell ref="B71:L71"/>
    <mergeCell ref="A78:B78"/>
    <mergeCell ref="B43:L43"/>
    <mergeCell ref="A42:L42"/>
    <mergeCell ref="C85:D85"/>
    <mergeCell ref="C69:L69"/>
    <mergeCell ref="C78:L78"/>
    <mergeCell ref="A75:B75"/>
    <mergeCell ref="C84:D84"/>
    <mergeCell ref="E84:F84"/>
    <mergeCell ref="B60:L60"/>
    <mergeCell ref="C62:L62"/>
    <mergeCell ref="A20:L20"/>
    <mergeCell ref="G87:H87"/>
    <mergeCell ref="A21:B21"/>
    <mergeCell ref="B44:L44"/>
    <mergeCell ref="J58:L58"/>
    <mergeCell ref="E86:F86"/>
    <mergeCell ref="C64:L64"/>
    <mergeCell ref="B19:L19"/>
    <mergeCell ref="E89:F89"/>
    <mergeCell ref="B28:L28"/>
    <mergeCell ref="G89:H89"/>
    <mergeCell ref="A23:B23"/>
    <mergeCell ref="A59:C59"/>
    <mergeCell ref="J82:L82"/>
    <mergeCell ref="C22:F22"/>
    <mergeCell ref="J57:L57"/>
    <mergeCell ref="A51:L51"/>
    <mergeCell ref="I21:L21"/>
    <mergeCell ref="A1:F1"/>
    <mergeCell ref="J59:L59"/>
    <mergeCell ref="C21:F21"/>
    <mergeCell ref="A67:B67"/>
    <mergeCell ref="B94:L94"/>
    <mergeCell ref="I23:L23"/>
    <mergeCell ref="A54:L54"/>
    <mergeCell ref="A24:B24"/>
    <mergeCell ref="A7:L7"/>
    <mergeCell ref="C23:F23"/>
    <mergeCell ref="A82:B82"/>
    <mergeCell ref="A90:L90"/>
    <mergeCell ref="A99:L99"/>
    <mergeCell ref="G27:H27"/>
    <mergeCell ref="B46:L46"/>
    <mergeCell ref="C88:D88"/>
    <mergeCell ref="J86:L86"/>
    <mergeCell ref="E88:F88"/>
    <mergeCell ref="C66:L66"/>
    <mergeCell ref="E82:F82"/>
    <mergeCell ref="G82:H82"/>
    <mergeCell ref="B96:L96"/>
    <mergeCell ref="A25:B25"/>
    <mergeCell ref="D57:E57"/>
    <mergeCell ref="A8:L8"/>
    <mergeCell ref="C68:L68"/>
    <mergeCell ref="A66:B66"/>
    <mergeCell ref="A84:B84"/>
    <mergeCell ref="I27:L27"/>
    <mergeCell ref="A35:L35"/>
    <mergeCell ref="G1:L1"/>
    <mergeCell ref="G83:H83"/>
    <mergeCell ref="A86:B86"/>
    <mergeCell ref="A47:B47"/>
    <mergeCell ref="B10:L10"/>
    <mergeCell ref="A9:L9"/>
    <mergeCell ref="C25:F25"/>
    <mergeCell ref="D58:E58"/>
    <mergeCell ref="C47:L47"/>
    <mergeCell ref="I22:L22"/>
    <mergeCell ref="B65:L65"/>
    <mergeCell ref="A72:B72"/>
    <mergeCell ref="J88:L88"/>
    <mergeCell ref="B76:L76"/>
    <mergeCell ref="B45:L45"/>
    <mergeCell ref="D59:E59"/>
    <mergeCell ref="C87:D87"/>
  </mergeCells>
  <printOptions horizontalCentered="1"/>
  <pageMargins left="0.6" right="0.6" top="0.6" bottom="0.6" header="0.2" footer="0.2"/>
  <pageSetup orientation="portrait" paperSize="9" fitToHeight="0" fitToWidth="1"/>
  <rowBreaks count="3" manualBreakCount="3">
    <brk id="29" min="0" max="16383" man="1"/>
    <brk id="49" min="0" max="16383" man="1"/>
    <brk id="78" min="0" max="16383" man="1"/>
  </rowBreaks>
</worksheet>
</file>

<file path=xl/worksheets/sheet8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1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72" t="inlineStr">
        <is>
          <t xml:space="preserve">작성 예시 (가상의 현장)  </t>
        </is>
      </c>
    </row>
    <row r="2" ht="90" customHeight="1"/>
    <row r="3" ht="40" customHeight="1">
      <c r="A3" s="3" t="inlineStr">
        <is>
          <t>가나학교 교사 증축공사</t>
        </is>
      </c>
    </row>
    <row r="4" ht="70" customHeight="1"/>
    <row r="5" ht="64" customHeight="1">
      <c r="A5" s="4" t="inlineStr">
        <is>
          <t>시  공  계  획  서</t>
        </is>
      </c>
    </row>
    <row r="6" ht="40" customHeight="1">
      <c r="A6" s="5" t="inlineStr">
        <is>
          <t>[ 도장공사 ]</t>
        </is>
      </c>
    </row>
    <row r="7" ht="120" customHeight="1"/>
    <row r="8" ht="32" customHeight="1">
      <c r="A8" s="6" t="n">
        <v>46174</v>
      </c>
    </row>
    <row r="9" ht="110" customHeight="1"/>
    <row r="10" ht="44" customHeight="1">
      <c r="A10" s="7" t="inlineStr">
        <is>
          <t>예시건설(주)</t>
        </is>
      </c>
    </row>
    <row r="12" ht="19.5" customHeight="1">
      <c r="A12" s="8" t="inlineStr">
        <is>
          <t>이 시트는 작성 예시입니다(가상의 공사 · 회사 · 사람).</t>
        </is>
      </c>
    </row>
  </sheetData>
  <mergeCells count="8">
    <mergeCell ref="G1:L1"/>
    <mergeCell ref="A10:L10"/>
    <mergeCell ref="A1:F1"/>
    <mergeCell ref="A5:L5"/>
    <mergeCell ref="A8:L8"/>
    <mergeCell ref="A6:L6"/>
    <mergeCell ref="A3:L3"/>
    <mergeCell ref="A12:L12"/>
  </mergeCells>
  <printOptions horizontalCentered="1"/>
  <pageMargins left="0.6" right="0.6" top="0.6" bottom="0.6" header="0.2" footer="0.2"/>
  <pageSetup orientation="portrait" paperSize="9" fitToHeight="1" fitToWidth="1"/>
</worksheet>
</file>

<file path=xl/worksheets/sheet9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39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72" t="inlineStr">
        <is>
          <t xml:space="preserve">작성 예시 (가상의 현장)  </t>
        </is>
      </c>
    </row>
    <row r="2" ht="16" customHeight="1"/>
    <row r="3" ht="50" customHeight="1">
      <c r="A3" s="9" t="inlineStr">
        <is>
          <t>목          차</t>
        </is>
      </c>
    </row>
    <row r="4" ht="14" customHeight="1"/>
    <row r="5" ht="30" customHeight="1">
      <c r="A5" s="10" t="inlineStr"/>
      <c r="C5" s="11" t="inlineStr">
        <is>
          <t>1.  공  사  개  요</t>
        </is>
      </c>
      <c r="K5" s="10" t="inlineStr"/>
    </row>
    <row r="6" ht="30" customHeight="1">
      <c r="A6" s="10" t="inlineStr"/>
      <c r="C6" s="11" t="inlineStr">
        <is>
          <t>2.  예 정  공 정 표</t>
        </is>
      </c>
      <c r="K6" s="10" t="inlineStr"/>
    </row>
    <row r="7" ht="30" customHeight="1">
      <c r="A7" s="10" t="inlineStr"/>
      <c r="C7" s="11" t="inlineStr">
        <is>
          <t>3.  현 장  조 직 도</t>
        </is>
      </c>
      <c r="K7" s="10" t="inlineStr"/>
    </row>
    <row r="8" ht="30" customHeight="1">
      <c r="A8" s="10" t="inlineStr"/>
      <c r="C8" s="11" t="inlineStr">
        <is>
          <t>4.  기능인력 투입계획 및 주자재 조달계획</t>
        </is>
      </c>
      <c r="K8" s="10" t="inlineStr"/>
    </row>
    <row r="9" ht="30" customHeight="1">
      <c r="A9" s="10" t="inlineStr"/>
      <c r="C9" s="11" t="inlineStr">
        <is>
          <t>5.  시  공  관  리</t>
        </is>
      </c>
      <c r="K9" s="10" t="inlineStr"/>
    </row>
    <row r="10" ht="30" customHeight="1">
      <c r="A10" s="10" t="inlineStr"/>
      <c r="C10" s="11" t="inlineStr">
        <is>
          <t>6.  검측 FLOW CHART · 검측 체크리스트</t>
        </is>
      </c>
      <c r="K10" s="10" t="inlineStr"/>
    </row>
    <row r="11" ht="30" customHeight="1">
      <c r="A11" s="10" t="inlineStr"/>
      <c r="C11" s="11" t="inlineStr">
        <is>
          <t>7.  품 질  관 리  계 획</t>
        </is>
      </c>
      <c r="K11" s="10" t="inlineStr"/>
    </row>
    <row r="12" ht="30" customHeight="1">
      <c r="A12" s="10" t="inlineStr"/>
      <c r="C12" s="11" t="inlineStr">
        <is>
          <t>8.  환 경  관 리  계 획</t>
        </is>
      </c>
      <c r="K12" s="10" t="inlineStr"/>
    </row>
    <row r="13" ht="30" customHeight="1">
      <c r="A13" s="10" t="inlineStr"/>
      <c r="C13" s="11" t="inlineStr">
        <is>
          <t>9.  안 전  관 리  계 획</t>
        </is>
      </c>
      <c r="K13" s="10" t="inlineStr"/>
    </row>
    <row r="14" ht="4" customHeight="1"/>
    <row r="15" ht="30" customHeight="1">
      <c r="A15" s="12" t="inlineStr">
        <is>
          <t>1.0   공 사 개 요</t>
        </is>
      </c>
    </row>
    <row r="16" ht="4" customHeight="1"/>
    <row r="17" ht="28" customHeight="1">
      <c r="A17" s="13" t="inlineStr">
        <is>
          <t>공 사 명</t>
        </is>
      </c>
      <c r="B17" s="14" t="n"/>
      <c r="C17" s="14" t="n"/>
      <c r="D17" s="15">
        <f>IF(OR('예시-표지'!A3="",'예시-표지'!A3="(공 사 명)"),"",'예시-표지'!A3)</f>
        <v/>
      </c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 ht="21" customHeight="1">
      <c r="A18" s="16" t="inlineStr">
        <is>
          <t>1) 공사목적</t>
        </is>
      </c>
    </row>
    <row r="19" ht="66" customHeight="1">
      <c r="A19" s="17">
        <f>"    이 공사의 목적은 "&amp;IF(D17="","본 공사",D17)&amp;"의 도장공사를 하기 전에 공사계획을 철저히 세워 예상되는 문제를 최소화하고, 공정표에 따라 인원과 자재를 원활히 수급하며, 품질기준과 안전기준을 마련하여 도장공사를 성공적으로 수행하는 데 있다."</f>
        <v/>
      </c>
    </row>
    <row r="20" ht="21" customHeight="1">
      <c r="A20" s="16" t="inlineStr">
        <is>
          <t>2) 공사기간</t>
        </is>
      </c>
    </row>
    <row r="21" ht="26" customHeight="1">
      <c r="A21" s="13" t="inlineStr">
        <is>
          <t>공 사 기 간</t>
        </is>
      </c>
      <c r="B21" s="14" t="n"/>
      <c r="C21" s="14" t="n"/>
      <c r="D21" s="18" t="n">
        <v>46083</v>
      </c>
      <c r="E21" s="14" t="n"/>
      <c r="F21" s="19" t="inlineStr">
        <is>
          <t>~</t>
        </is>
      </c>
      <c r="G21" s="18" t="n">
        <v>46387</v>
      </c>
      <c r="H21" s="14" t="n"/>
      <c r="I21" s="20">
        <f>IF(OR(N(D21)=0,N(G21)=0),"",IF(G21&lt;D21,"⚠ 준공일이 착공일보다 빠름",G21-D21+1))</f>
        <v/>
      </c>
      <c r="J21" s="14" t="n"/>
      <c r="K21" s="14" t="n"/>
      <c r="L21" s="14" t="n"/>
    </row>
    <row r="22" ht="26" customHeight="1">
      <c r="A22" s="13" t="inlineStr">
        <is>
          <t>시  공  사</t>
        </is>
      </c>
      <c r="B22" s="14" t="n"/>
      <c r="C22" s="14" t="n"/>
      <c r="D22" s="15">
        <f>IF(OR('예시-표지'!A10="",'예시-표지'!A10="(회 사 명)"),"",'예시-표지'!A10)</f>
        <v/>
      </c>
      <c r="E22" s="14" t="n"/>
      <c r="F22" s="14" t="n"/>
      <c r="G22" s="14" t="n"/>
      <c r="H22" s="14" t="n"/>
      <c r="I22" s="14" t="n"/>
      <c r="J22" s="14" t="n"/>
      <c r="K22" s="14" t="n"/>
      <c r="L22" s="14" t="n"/>
    </row>
    <row r="23" ht="21" customHeight="1">
      <c r="A23" s="16" t="inlineStr">
        <is>
          <t>3) 공사내역</t>
        </is>
      </c>
    </row>
    <row r="24" ht="24" customHeight="1">
      <c r="A24" s="21" t="inlineStr">
        <is>
          <t>구  분</t>
        </is>
      </c>
      <c r="B24" s="14" t="n"/>
      <c r="C24" s="21" t="inlineStr">
        <is>
          <t>공  종</t>
        </is>
      </c>
      <c r="D24" s="14" t="n"/>
      <c r="E24" s="14" t="n"/>
      <c r="F24" s="21" t="inlineStr">
        <is>
          <t>규  격</t>
        </is>
      </c>
      <c r="G24" s="14" t="n"/>
      <c r="H24" s="21" t="inlineStr">
        <is>
          <t>단위</t>
        </is>
      </c>
      <c r="I24" s="21" t="inlineStr">
        <is>
          <t>수  량</t>
        </is>
      </c>
      <c r="J24" s="14" t="n"/>
      <c r="K24" s="21" t="inlineStr">
        <is>
          <t>비  고</t>
        </is>
      </c>
      <c r="L24" s="14" t="n"/>
    </row>
    <row r="25" ht="23" customHeight="1">
      <c r="A25" s="22" t="inlineStr">
        <is>
          <t>교사동</t>
        </is>
      </c>
      <c r="B25" s="14" t="n"/>
      <c r="C25" s="23" t="inlineStr">
        <is>
          <t>수성페인트(롤러칠)</t>
        </is>
      </c>
      <c r="D25" s="14" t="n"/>
      <c r="E25" s="14" t="n"/>
      <c r="F25" s="24" t="inlineStr">
        <is>
          <t>내부 · 2회 · 친환경</t>
        </is>
      </c>
      <c r="G25" s="14" t="n"/>
      <c r="H25" s="22" t="inlineStr">
        <is>
          <t>㎡</t>
        </is>
      </c>
      <c r="I25" s="25" t="n">
        <v>2690</v>
      </c>
      <c r="J25" s="14" t="n"/>
      <c r="K25" s="26" t="n"/>
      <c r="L25" s="14" t="n"/>
    </row>
    <row r="26" ht="23" customHeight="1">
      <c r="A26" s="22" t="inlineStr">
        <is>
          <t>교사동</t>
        </is>
      </c>
      <c r="B26" s="14" t="n"/>
      <c r="C26" s="23" t="inlineStr">
        <is>
          <t>수성페인트(롤러칠)</t>
        </is>
      </c>
      <c r="D26" s="14" t="n"/>
      <c r="E26" s="14" t="n"/>
      <c r="F26" s="24" t="inlineStr">
        <is>
          <t>내부 석고보드면 · 2회</t>
        </is>
      </c>
      <c r="G26" s="14" t="n"/>
      <c r="H26" s="22" t="inlineStr">
        <is>
          <t>㎡</t>
        </is>
      </c>
      <c r="I26" s="25" t="n">
        <v>840</v>
      </c>
      <c r="J26" s="14" t="n"/>
      <c r="K26" s="26" t="n"/>
      <c r="L26" s="14" t="n"/>
    </row>
    <row r="27" ht="23" customHeight="1">
      <c r="A27" s="22" t="inlineStr">
        <is>
          <t>교사동</t>
        </is>
      </c>
      <c r="B27" s="14" t="n"/>
      <c r="C27" s="23" t="inlineStr">
        <is>
          <t>수성페인트(롤러칠)</t>
        </is>
      </c>
      <c r="D27" s="14" t="n"/>
      <c r="E27" s="14" t="n"/>
      <c r="F27" s="24" t="inlineStr">
        <is>
          <t>외부 · 2회 · 친환경</t>
        </is>
      </c>
      <c r="G27" s="14" t="n"/>
      <c r="H27" s="22" t="inlineStr">
        <is>
          <t>㎡</t>
        </is>
      </c>
      <c r="I27" s="25" t="n">
        <v>170</v>
      </c>
      <c r="J27" s="14" t="n"/>
      <c r="K27" s="26" t="n"/>
      <c r="L27" s="14" t="n"/>
    </row>
    <row r="28" ht="23" customHeight="1">
      <c r="A28" s="22" t="inlineStr">
        <is>
          <t>교사동</t>
        </is>
      </c>
      <c r="B28" s="14" t="n"/>
      <c r="C28" s="23" t="inlineStr">
        <is>
          <t>세라믹 페인트(롤러칠)</t>
        </is>
      </c>
      <c r="D28" s="14" t="n"/>
      <c r="E28" s="14" t="n"/>
      <c r="F28" s="24" t="inlineStr">
        <is>
          <t>걸레받이</t>
        </is>
      </c>
      <c r="G28" s="14" t="n"/>
      <c r="H28" s="22" t="inlineStr">
        <is>
          <t>㎡</t>
        </is>
      </c>
      <c r="I28" s="25" t="n">
        <v>75</v>
      </c>
      <c r="J28" s="14" t="n"/>
      <c r="K28" s="26" t="n"/>
      <c r="L28" s="14" t="n"/>
    </row>
    <row r="29" ht="23" customHeight="1">
      <c r="A29" s="22" t="inlineStr">
        <is>
          <t>교사동</t>
        </is>
      </c>
      <c r="B29" s="14" t="n"/>
      <c r="C29" s="23" t="inlineStr">
        <is>
          <t>에폭시 코팅</t>
        </is>
      </c>
      <c r="D29" s="14" t="n"/>
      <c r="E29" s="14" t="n"/>
      <c r="F29" s="24" t="inlineStr">
        <is>
          <t>바닥 0.3mm</t>
        </is>
      </c>
      <c r="G29" s="14" t="n"/>
      <c r="H29" s="22" t="inlineStr">
        <is>
          <t>㎡</t>
        </is>
      </c>
      <c r="I29" s="25" t="n">
        <v>185</v>
      </c>
      <c r="J29" s="14" t="n"/>
      <c r="K29" s="26" t="n"/>
      <c r="L29" s="14" t="n"/>
    </row>
    <row r="30" ht="23" customHeight="1">
      <c r="A30" s="22" t="inlineStr">
        <is>
          <t>실습동</t>
        </is>
      </c>
      <c r="B30" s="14" t="n"/>
      <c r="C30" s="23" t="inlineStr">
        <is>
          <t>수성페인트(롤러칠)</t>
        </is>
      </c>
      <c r="D30" s="14" t="n"/>
      <c r="E30" s="14" t="n"/>
      <c r="F30" s="24" t="inlineStr">
        <is>
          <t>내부 · 2회 · 친환경</t>
        </is>
      </c>
      <c r="G30" s="14" t="n"/>
      <c r="H30" s="22" t="inlineStr">
        <is>
          <t>㎡</t>
        </is>
      </c>
      <c r="I30" s="25" t="n">
        <v>2080</v>
      </c>
      <c r="J30" s="14" t="n"/>
      <c r="K30" s="26" t="n"/>
      <c r="L30" s="14" t="n"/>
    </row>
    <row r="31" ht="23" customHeight="1">
      <c r="A31" s="22" t="inlineStr">
        <is>
          <t>실습동</t>
        </is>
      </c>
      <c r="B31" s="14" t="n"/>
      <c r="C31" s="23" t="inlineStr">
        <is>
          <t>비닐 페인트</t>
        </is>
      </c>
      <c r="D31" s="14" t="n"/>
      <c r="E31" s="14" t="n"/>
      <c r="F31" s="24" t="inlineStr">
        <is>
          <t>모르타르면 2회</t>
        </is>
      </c>
      <c r="G31" s="14" t="n"/>
      <c r="H31" s="22" t="inlineStr">
        <is>
          <t>㎡</t>
        </is>
      </c>
      <c r="I31" s="25" t="n">
        <v>95</v>
      </c>
      <c r="J31" s="14" t="n"/>
      <c r="K31" s="26" t="n"/>
      <c r="L31" s="14" t="n"/>
    </row>
    <row r="32" ht="23" customHeight="1">
      <c r="A32" s="22" t="inlineStr">
        <is>
          <t>실습동</t>
        </is>
      </c>
      <c r="B32" s="14" t="n"/>
      <c r="C32" s="23" t="inlineStr">
        <is>
          <t>에폭시 코팅</t>
        </is>
      </c>
      <c r="D32" s="14" t="n"/>
      <c r="E32" s="14" t="n"/>
      <c r="F32" s="24" t="inlineStr">
        <is>
          <t>바닥 0.3mm</t>
        </is>
      </c>
      <c r="G32" s="14" t="n"/>
      <c r="H32" s="22" t="inlineStr">
        <is>
          <t>㎡</t>
        </is>
      </c>
      <c r="I32" s="25" t="n">
        <v>200</v>
      </c>
      <c r="J32" s="14" t="n"/>
      <c r="K32" s="26" t="n"/>
      <c r="L32" s="14" t="n"/>
    </row>
    <row r="33" ht="23" customHeight="1">
      <c r="A33" s="22" t="inlineStr">
        <is>
          <t>실습동</t>
        </is>
      </c>
      <c r="B33" s="14" t="n"/>
      <c r="C33" s="23" t="inlineStr">
        <is>
          <t>에폭시 라이닝</t>
        </is>
      </c>
      <c r="D33" s="14" t="n"/>
      <c r="E33" s="14" t="n"/>
      <c r="F33" s="24" t="inlineStr">
        <is>
          <t>바닥 3mm</t>
        </is>
      </c>
      <c r="G33" s="14" t="n"/>
      <c r="H33" s="22" t="inlineStr">
        <is>
          <t>㎡</t>
        </is>
      </c>
      <c r="I33" s="25" t="n">
        <v>240</v>
      </c>
      <c r="J33" s="14" t="n"/>
      <c r="K33" s="26" t="n"/>
      <c r="L33" s="14" t="n"/>
    </row>
    <row r="34" ht="23" customHeight="1">
      <c r="A34" s="22" t="n"/>
      <c r="B34" s="14" t="n"/>
      <c r="C34" s="23" t="n"/>
      <c r="D34" s="14" t="n"/>
      <c r="E34" s="14" t="n"/>
      <c r="F34" s="24" t="n"/>
      <c r="G34" s="14" t="n"/>
      <c r="H34" s="22" t="n"/>
      <c r="I34" s="25" t="n"/>
      <c r="J34" s="14" t="n"/>
      <c r="K34" s="26" t="n"/>
      <c r="L34" s="14" t="n"/>
    </row>
    <row r="35" ht="23" customHeight="1">
      <c r="A35" s="22" t="n"/>
      <c r="B35" s="14" t="n"/>
      <c r="C35" s="23" t="n"/>
      <c r="D35" s="14" t="n"/>
      <c r="E35" s="14" t="n"/>
      <c r="F35" s="24" t="n"/>
      <c r="G35" s="14" t="n"/>
      <c r="H35" s="22" t="n"/>
      <c r="I35" s="25" t="n"/>
      <c r="J35" s="14" t="n"/>
      <c r="K35" s="26" t="n"/>
      <c r="L35" s="14" t="n"/>
    </row>
    <row r="36" ht="23" customHeight="1">
      <c r="A36" s="22" t="n"/>
      <c r="B36" s="14" t="n"/>
      <c r="C36" s="23" t="n"/>
      <c r="D36" s="14" t="n"/>
      <c r="E36" s="14" t="n"/>
      <c r="F36" s="24" t="n"/>
      <c r="G36" s="14" t="n"/>
      <c r="H36" s="22" t="n"/>
      <c r="I36" s="25" t="n"/>
      <c r="J36" s="14" t="n"/>
      <c r="K36" s="26" t="n"/>
      <c r="L36" s="14" t="n"/>
    </row>
    <row r="37" ht="24" customHeight="1">
      <c r="A37" s="27" t="inlineStr">
        <is>
          <t>합   계 (단위가 ㎡ 인 줄)</t>
        </is>
      </c>
      <c r="B37" s="14" t="n"/>
      <c r="C37" s="14" t="n"/>
      <c r="D37" s="14" t="n"/>
      <c r="E37" s="14" t="n"/>
      <c r="F37" s="14" t="n"/>
      <c r="G37" s="14" t="n"/>
      <c r="H37" s="27" t="inlineStr">
        <is>
          <t>㎡</t>
        </is>
      </c>
      <c r="I37" s="28">
        <f>IF(SUMIF(H25:H36,"㎡",I25:I36)+SUMIF(H25:H36,"m2",I25:I36)=0,"",SUMIF(H25:H36,"㎡",I25:I36)+SUMIF(H25:H36,"m2",I25:I36))</f>
        <v/>
      </c>
      <c r="J37" s="14" t="n"/>
      <c r="K37" s="27" t="inlineStr"/>
      <c r="L37" s="14" t="n"/>
    </row>
    <row r="39" ht="19.5" customHeight="1">
      <c r="A39" s="8" t="inlineStr">
        <is>
          <t>이 시트는 작성 예시입니다(가상의 공사 · 회사 · 수량).</t>
        </is>
      </c>
    </row>
  </sheetData>
  <mergeCells count="112">
    <mergeCell ref="G21:H21"/>
    <mergeCell ref="F29:G29"/>
    <mergeCell ref="K24:L24"/>
    <mergeCell ref="C31:E31"/>
    <mergeCell ref="F25:G25"/>
    <mergeCell ref="K33:L33"/>
    <mergeCell ref="A21:C21"/>
    <mergeCell ref="I26:J26"/>
    <mergeCell ref="K26:L26"/>
    <mergeCell ref="K35:L35"/>
    <mergeCell ref="A7:B7"/>
    <mergeCell ref="I25:J25"/>
    <mergeCell ref="A23:L23"/>
    <mergeCell ref="A27:B27"/>
    <mergeCell ref="A33:B33"/>
    <mergeCell ref="C11:J11"/>
    <mergeCell ref="C34:E34"/>
    <mergeCell ref="A35:B35"/>
    <mergeCell ref="A37:G37"/>
    <mergeCell ref="A28:B28"/>
    <mergeCell ref="K28:L28"/>
    <mergeCell ref="K37:L37"/>
    <mergeCell ref="C13:J13"/>
    <mergeCell ref="A9:B9"/>
    <mergeCell ref="K13:L13"/>
    <mergeCell ref="C25:E25"/>
    <mergeCell ref="I30:J30"/>
    <mergeCell ref="A30:B30"/>
    <mergeCell ref="K30:L30"/>
    <mergeCell ref="A11:B11"/>
    <mergeCell ref="F34:G34"/>
    <mergeCell ref="A3:L3"/>
    <mergeCell ref="F30:G30"/>
    <mergeCell ref="I32:J32"/>
    <mergeCell ref="K32:L32"/>
    <mergeCell ref="C10:J10"/>
    <mergeCell ref="F33:G33"/>
    <mergeCell ref="C32:E32"/>
    <mergeCell ref="C9:J9"/>
    <mergeCell ref="A26:B26"/>
    <mergeCell ref="I24:J24"/>
    <mergeCell ref="I33:J33"/>
    <mergeCell ref="K27:L27"/>
    <mergeCell ref="F31:G31"/>
    <mergeCell ref="F28:G28"/>
    <mergeCell ref="A8:B8"/>
    <mergeCell ref="C24:E24"/>
    <mergeCell ref="C33:E33"/>
    <mergeCell ref="I35:J35"/>
    <mergeCell ref="A10:B10"/>
    <mergeCell ref="K10:L10"/>
    <mergeCell ref="C26:E26"/>
    <mergeCell ref="C35:E35"/>
    <mergeCell ref="K6:L6"/>
    <mergeCell ref="A34:B34"/>
    <mergeCell ref="K25:L25"/>
    <mergeCell ref="C6:J6"/>
    <mergeCell ref="K9:L9"/>
    <mergeCell ref="K5:L5"/>
    <mergeCell ref="A36:B36"/>
    <mergeCell ref="D17:L17"/>
    <mergeCell ref="A18:L18"/>
    <mergeCell ref="K29:L29"/>
    <mergeCell ref="C36:E36"/>
    <mergeCell ref="K11:L11"/>
    <mergeCell ref="A22:C22"/>
    <mergeCell ref="F36:G36"/>
    <mergeCell ref="I37:J37"/>
    <mergeCell ref="K31:L31"/>
    <mergeCell ref="A12:B12"/>
    <mergeCell ref="A20:L20"/>
    <mergeCell ref="C28:E28"/>
    <mergeCell ref="K8:L8"/>
    <mergeCell ref="A5:B5"/>
    <mergeCell ref="A32:B32"/>
    <mergeCell ref="C30:E30"/>
    <mergeCell ref="C8:J8"/>
    <mergeCell ref="K7:L7"/>
    <mergeCell ref="A15:L15"/>
    <mergeCell ref="I21:L21"/>
    <mergeCell ref="A1:F1"/>
    <mergeCell ref="I34:J34"/>
    <mergeCell ref="A24:B24"/>
    <mergeCell ref="K34:L34"/>
    <mergeCell ref="I27:J27"/>
    <mergeCell ref="C5:J5"/>
    <mergeCell ref="I36:J36"/>
    <mergeCell ref="K36:L36"/>
    <mergeCell ref="A6:B6"/>
    <mergeCell ref="D21:E21"/>
    <mergeCell ref="F24:G24"/>
    <mergeCell ref="C27:E27"/>
    <mergeCell ref="A25:B25"/>
    <mergeCell ref="A17:C17"/>
    <mergeCell ref="F32:G32"/>
    <mergeCell ref="I28:J28"/>
    <mergeCell ref="F26:G26"/>
    <mergeCell ref="F35:G35"/>
    <mergeCell ref="G1:L1"/>
    <mergeCell ref="C12:J12"/>
    <mergeCell ref="K12:L12"/>
    <mergeCell ref="A19:L19"/>
    <mergeCell ref="F27:G27"/>
    <mergeCell ref="A39:L39"/>
    <mergeCell ref="I29:J29"/>
    <mergeCell ref="A29:B29"/>
    <mergeCell ref="C7:J7"/>
    <mergeCell ref="D22:L22"/>
    <mergeCell ref="A13:B13"/>
    <mergeCell ref="I31:J31"/>
    <mergeCell ref="C29:E29"/>
    <mergeCell ref="A31:B31"/>
  </mergeCells>
  <conditionalFormatting sqref="I25:I36">
    <cfRule type="expression" priority="1" dxfId="0">
      <formula>AND(ISNUMBER(I25),MOD(I25,1)=0)</formula>
    </cfRule>
  </conditionalFormatting>
  <conditionalFormatting sqref="I37">
    <cfRule type="expression" priority="2" dxfId="1">
      <formula>AND(ISNUMBER(I37),MOD(I37,1)=0)</formula>
    </cfRule>
  </conditionalFormatting>
  <printOptions horizontalCentered="1"/>
  <pageMargins left="0.6" right="0.6" top="0.6" bottom="0.6" header="0.2" footer="0.2"/>
  <pageSetup orientation="portrait" paperSize="9" fitToHeight="0" fitToWidth="1"/>
  <rowBreaks count="1" manualBreakCount="1">
    <brk id="13" min="0" max="16383" man="1"/>
  </rowBreaks>
</worksheet>
</file>

<file path=xl/worksheets/sheet10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AO24"/>
  <sheetViews>
    <sheetView showGridLines="0" zoomScale="100" workbookViewId="0">
      <selection activeCell="A1" sqref="A1"/>
    </sheetView>
  </sheetViews>
  <sheetFormatPr baseColWidth="8" defaultRowHeight="15"/>
  <cols>
    <col width="20" customWidth="1" min="1" max="1"/>
    <col width="8.5" customWidth="1" min="2" max="2"/>
    <col width="8.5" customWidth="1" min="3" max="3"/>
    <col width="5.5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7" customWidth="1" min="41" max="41"/>
  </cols>
  <sheetData>
    <row r="1" ht="20" customHeight="1">
      <c r="A1" s="1" t="inlineStr">
        <is>
          <t xml:space="preserve">  K-건설맵  |  k-conmap.com  건설 서식</t>
        </is>
      </c>
      <c r="N1" s="72" t="inlineStr">
        <is>
          <t xml:space="preserve">작성 예시 (가상의 현장)  </t>
        </is>
      </c>
    </row>
    <row r="2" ht="34" customHeight="1">
      <c r="A2" s="29" t="inlineStr">
        <is>
          <t>2.0   예 정 공 정 표</t>
        </is>
      </c>
    </row>
    <row r="3" ht="22" customHeight="1">
      <c r="A3" s="13" t="inlineStr">
        <is>
          <t>착 공 일</t>
        </is>
      </c>
      <c r="B3" s="30">
        <f>IF(N('예시-개요'!D21)=0,"",'예시-개요'!D21)</f>
        <v/>
      </c>
      <c r="C3" s="14" t="n"/>
      <c r="D3" s="8" t="inlineStr">
        <is>
          <t>※ 착공일은 공사개요에서 따라옵니다. 공종마다 착수 · 완료일을 적으면 반달 칸에 막대가 그려집니다.</t>
        </is>
      </c>
    </row>
    <row r="4" ht="20" customHeight="1">
      <c r="A4" s="21" t="inlineStr">
        <is>
          <t>공    종</t>
        </is>
      </c>
      <c r="B4" s="21" t="inlineStr">
        <is>
          <t>착 수</t>
        </is>
      </c>
      <c r="C4" s="21" t="inlineStr">
        <is>
          <t>완 료</t>
        </is>
      </c>
      <c r="D4" s="21" t="inlineStr">
        <is>
          <t>일 수</t>
        </is>
      </c>
      <c r="E4" s="31">
        <f>IF(N(B3)=0,"",EDATE(DATE(YEAR(B3),MONTH(B3),1),0))</f>
        <v/>
      </c>
      <c r="F4" s="14" t="n"/>
      <c r="G4" s="31">
        <f>IF(N(B3)=0,"",EDATE(DATE(YEAR(B3),MONTH(B3),1),1))</f>
        <v/>
      </c>
      <c r="H4" s="14" t="n"/>
      <c r="I4" s="31">
        <f>IF(N(B3)=0,"",EDATE(DATE(YEAR(B3),MONTH(B3),1),2))</f>
        <v/>
      </c>
      <c r="J4" s="14" t="n"/>
      <c r="K4" s="31">
        <f>IF(N(B3)=0,"",EDATE(DATE(YEAR(B3),MONTH(B3),1),3))</f>
        <v/>
      </c>
      <c r="L4" s="14" t="n"/>
      <c r="M4" s="31">
        <f>IF(N(B3)=0,"",EDATE(DATE(YEAR(B3),MONTH(B3),1),4))</f>
        <v/>
      </c>
      <c r="N4" s="14" t="n"/>
      <c r="O4" s="31">
        <f>IF(N(B3)=0,"",EDATE(DATE(YEAR(B3),MONTH(B3),1),5))</f>
        <v/>
      </c>
      <c r="P4" s="14" t="n"/>
      <c r="Q4" s="31">
        <f>IF(N(B3)=0,"",EDATE(DATE(YEAR(B3),MONTH(B3),1),6))</f>
        <v/>
      </c>
      <c r="R4" s="14" t="n"/>
      <c r="S4" s="31">
        <f>IF(N(B3)=0,"",EDATE(DATE(YEAR(B3),MONTH(B3),1),7))</f>
        <v/>
      </c>
      <c r="T4" s="14" t="n"/>
      <c r="U4" s="31">
        <f>IF(N(B3)=0,"",EDATE(DATE(YEAR(B3),MONTH(B3),1),8))</f>
        <v/>
      </c>
      <c r="V4" s="14" t="n"/>
      <c r="W4" s="31">
        <f>IF(N(B3)=0,"",EDATE(DATE(YEAR(B3),MONTH(B3),1),9))</f>
        <v/>
      </c>
      <c r="X4" s="14" t="n"/>
      <c r="Y4" s="31">
        <f>IF(N(B3)=0,"",EDATE(DATE(YEAR(B3),MONTH(B3),1),10))</f>
        <v/>
      </c>
      <c r="Z4" s="14" t="n"/>
      <c r="AA4" s="31">
        <f>IF(N(B3)=0,"",EDATE(DATE(YEAR(B3),MONTH(B3),1),11))</f>
        <v/>
      </c>
      <c r="AB4" s="14" t="n"/>
      <c r="AC4" s="31">
        <f>IF(N(B3)=0,"",EDATE(DATE(YEAR(B3),MONTH(B3),1),12))</f>
        <v/>
      </c>
      <c r="AD4" s="14" t="n"/>
      <c r="AE4" s="31">
        <f>IF(N(B3)=0,"",EDATE(DATE(YEAR(B3),MONTH(B3),1),13))</f>
        <v/>
      </c>
      <c r="AF4" s="14" t="n"/>
      <c r="AG4" s="31">
        <f>IF(N(B3)=0,"",EDATE(DATE(YEAR(B3),MONTH(B3),1),14))</f>
        <v/>
      </c>
      <c r="AH4" s="14" t="n"/>
      <c r="AI4" s="31">
        <f>IF(N(B3)=0,"",EDATE(DATE(YEAR(B3),MONTH(B3),1),15))</f>
        <v/>
      </c>
      <c r="AJ4" s="14" t="n"/>
      <c r="AK4" s="31">
        <f>IF(N(B3)=0,"",EDATE(DATE(YEAR(B3),MONTH(B3),1),16))</f>
        <v/>
      </c>
      <c r="AL4" s="14" t="n"/>
      <c r="AM4" s="31">
        <f>IF(N(B3)=0,"",EDATE(DATE(YEAR(B3),MONTH(B3),1),17))</f>
        <v/>
      </c>
      <c r="AN4" s="14" t="n"/>
      <c r="AO4" s="21" t="inlineStr">
        <is>
          <t>비 고</t>
        </is>
      </c>
    </row>
    <row r="5" ht="15" customHeight="1">
      <c r="A5" s="14" t="n"/>
      <c r="B5" s="14" t="n"/>
      <c r="C5" s="14" t="n"/>
      <c r="D5" s="14" t="n"/>
      <c r="E5" s="32" t="inlineStr">
        <is>
          <t>상</t>
        </is>
      </c>
      <c r="F5" s="32" t="inlineStr">
        <is>
          <t>하</t>
        </is>
      </c>
      <c r="G5" s="32" t="inlineStr">
        <is>
          <t>상</t>
        </is>
      </c>
      <c r="H5" s="32" t="inlineStr">
        <is>
          <t>하</t>
        </is>
      </c>
      <c r="I5" s="32" t="inlineStr">
        <is>
          <t>상</t>
        </is>
      </c>
      <c r="J5" s="32" t="inlineStr">
        <is>
          <t>하</t>
        </is>
      </c>
      <c r="K5" s="32" t="inlineStr">
        <is>
          <t>상</t>
        </is>
      </c>
      <c r="L5" s="32" t="inlineStr">
        <is>
          <t>하</t>
        </is>
      </c>
      <c r="M5" s="32" t="inlineStr">
        <is>
          <t>상</t>
        </is>
      </c>
      <c r="N5" s="32" t="inlineStr">
        <is>
          <t>하</t>
        </is>
      </c>
      <c r="O5" s="32" t="inlineStr">
        <is>
          <t>상</t>
        </is>
      </c>
      <c r="P5" s="32" t="inlineStr">
        <is>
          <t>하</t>
        </is>
      </c>
      <c r="Q5" s="32" t="inlineStr">
        <is>
          <t>상</t>
        </is>
      </c>
      <c r="R5" s="32" t="inlineStr">
        <is>
          <t>하</t>
        </is>
      </c>
      <c r="S5" s="32" t="inlineStr">
        <is>
          <t>상</t>
        </is>
      </c>
      <c r="T5" s="32" t="inlineStr">
        <is>
          <t>하</t>
        </is>
      </c>
      <c r="U5" s="32" t="inlineStr">
        <is>
          <t>상</t>
        </is>
      </c>
      <c r="V5" s="32" t="inlineStr">
        <is>
          <t>하</t>
        </is>
      </c>
      <c r="W5" s="32" t="inlineStr">
        <is>
          <t>상</t>
        </is>
      </c>
      <c r="X5" s="32" t="inlineStr">
        <is>
          <t>하</t>
        </is>
      </c>
      <c r="Y5" s="32" t="inlineStr">
        <is>
          <t>상</t>
        </is>
      </c>
      <c r="Z5" s="32" t="inlineStr">
        <is>
          <t>하</t>
        </is>
      </c>
      <c r="AA5" s="32" t="inlineStr">
        <is>
          <t>상</t>
        </is>
      </c>
      <c r="AB5" s="32" t="inlineStr">
        <is>
          <t>하</t>
        </is>
      </c>
      <c r="AC5" s="32" t="inlineStr">
        <is>
          <t>상</t>
        </is>
      </c>
      <c r="AD5" s="32" t="inlineStr">
        <is>
          <t>하</t>
        </is>
      </c>
      <c r="AE5" s="32" t="inlineStr">
        <is>
          <t>상</t>
        </is>
      </c>
      <c r="AF5" s="32" t="inlineStr">
        <is>
          <t>하</t>
        </is>
      </c>
      <c r="AG5" s="32" t="inlineStr">
        <is>
          <t>상</t>
        </is>
      </c>
      <c r="AH5" s="32" t="inlineStr">
        <is>
          <t>하</t>
        </is>
      </c>
      <c r="AI5" s="32" t="inlineStr">
        <is>
          <t>상</t>
        </is>
      </c>
      <c r="AJ5" s="32" t="inlineStr">
        <is>
          <t>하</t>
        </is>
      </c>
      <c r="AK5" s="32" t="inlineStr">
        <is>
          <t>상</t>
        </is>
      </c>
      <c r="AL5" s="32" t="inlineStr">
        <is>
          <t>하</t>
        </is>
      </c>
      <c r="AM5" s="32" t="inlineStr">
        <is>
          <t>상</t>
        </is>
      </c>
      <c r="AN5" s="32" t="inlineStr">
        <is>
          <t>하</t>
        </is>
      </c>
      <c r="AO5" s="14" t="n"/>
    </row>
    <row r="6" hidden="1" ht="12" customHeight="1">
      <c r="E6" s="33">
        <f>IF(N(B3)=0,"",EDATE(DATE(YEAR(B3),MONTH(B3),1),0))</f>
        <v/>
      </c>
      <c r="F6" s="33">
        <f>IF(N(B3)=0,"",EDATE(DATE(YEAR(B3),MONTH(B3),1),0)+15)</f>
        <v/>
      </c>
      <c r="G6" s="33">
        <f>IF(N(B3)=0,"",EDATE(DATE(YEAR(B3),MONTH(B3),1),1))</f>
        <v/>
      </c>
      <c r="H6" s="33">
        <f>IF(N(B3)=0,"",EDATE(DATE(YEAR(B3),MONTH(B3),1),1)+15)</f>
        <v/>
      </c>
      <c r="I6" s="33">
        <f>IF(N(B3)=0,"",EDATE(DATE(YEAR(B3),MONTH(B3),1),2))</f>
        <v/>
      </c>
      <c r="J6" s="33">
        <f>IF(N(B3)=0,"",EDATE(DATE(YEAR(B3),MONTH(B3),1),2)+15)</f>
        <v/>
      </c>
      <c r="K6" s="33">
        <f>IF(N(B3)=0,"",EDATE(DATE(YEAR(B3),MONTH(B3),1),3))</f>
        <v/>
      </c>
      <c r="L6" s="33">
        <f>IF(N(B3)=0,"",EDATE(DATE(YEAR(B3),MONTH(B3),1),3)+15)</f>
        <v/>
      </c>
      <c r="M6" s="33">
        <f>IF(N(B3)=0,"",EDATE(DATE(YEAR(B3),MONTH(B3),1),4))</f>
        <v/>
      </c>
      <c r="N6" s="33">
        <f>IF(N(B3)=0,"",EDATE(DATE(YEAR(B3),MONTH(B3),1),4)+15)</f>
        <v/>
      </c>
      <c r="O6" s="33">
        <f>IF(N(B3)=0,"",EDATE(DATE(YEAR(B3),MONTH(B3),1),5))</f>
        <v/>
      </c>
      <c r="P6" s="33">
        <f>IF(N(B3)=0,"",EDATE(DATE(YEAR(B3),MONTH(B3),1),5)+15)</f>
        <v/>
      </c>
      <c r="Q6" s="33">
        <f>IF(N(B3)=0,"",EDATE(DATE(YEAR(B3),MONTH(B3),1),6))</f>
        <v/>
      </c>
      <c r="R6" s="33">
        <f>IF(N(B3)=0,"",EDATE(DATE(YEAR(B3),MONTH(B3),1),6)+15)</f>
        <v/>
      </c>
      <c r="S6" s="33">
        <f>IF(N(B3)=0,"",EDATE(DATE(YEAR(B3),MONTH(B3),1),7))</f>
        <v/>
      </c>
      <c r="T6" s="33">
        <f>IF(N(B3)=0,"",EDATE(DATE(YEAR(B3),MONTH(B3),1),7)+15)</f>
        <v/>
      </c>
      <c r="U6" s="33">
        <f>IF(N(B3)=0,"",EDATE(DATE(YEAR(B3),MONTH(B3),1),8))</f>
        <v/>
      </c>
      <c r="V6" s="33">
        <f>IF(N(B3)=0,"",EDATE(DATE(YEAR(B3),MONTH(B3),1),8)+15)</f>
        <v/>
      </c>
      <c r="W6" s="33">
        <f>IF(N(B3)=0,"",EDATE(DATE(YEAR(B3),MONTH(B3),1),9))</f>
        <v/>
      </c>
      <c r="X6" s="33">
        <f>IF(N(B3)=0,"",EDATE(DATE(YEAR(B3),MONTH(B3),1),9)+15)</f>
        <v/>
      </c>
      <c r="Y6" s="33">
        <f>IF(N(B3)=0,"",EDATE(DATE(YEAR(B3),MONTH(B3),1),10))</f>
        <v/>
      </c>
      <c r="Z6" s="33">
        <f>IF(N(B3)=0,"",EDATE(DATE(YEAR(B3),MONTH(B3),1),10)+15)</f>
        <v/>
      </c>
      <c r="AA6" s="33">
        <f>IF(N(B3)=0,"",EDATE(DATE(YEAR(B3),MONTH(B3),1),11))</f>
        <v/>
      </c>
      <c r="AB6" s="33">
        <f>IF(N(B3)=0,"",EDATE(DATE(YEAR(B3),MONTH(B3),1),11)+15)</f>
        <v/>
      </c>
      <c r="AC6" s="33">
        <f>IF(N(B3)=0,"",EDATE(DATE(YEAR(B3),MONTH(B3),1),12))</f>
        <v/>
      </c>
      <c r="AD6" s="33">
        <f>IF(N(B3)=0,"",EDATE(DATE(YEAR(B3),MONTH(B3),1),12)+15)</f>
        <v/>
      </c>
      <c r="AE6" s="33">
        <f>IF(N(B3)=0,"",EDATE(DATE(YEAR(B3),MONTH(B3),1),13))</f>
        <v/>
      </c>
      <c r="AF6" s="33">
        <f>IF(N(B3)=0,"",EDATE(DATE(YEAR(B3),MONTH(B3),1),13)+15)</f>
        <v/>
      </c>
      <c r="AG6" s="33">
        <f>IF(N(B3)=0,"",EDATE(DATE(YEAR(B3),MONTH(B3),1),14))</f>
        <v/>
      </c>
      <c r="AH6" s="33">
        <f>IF(N(B3)=0,"",EDATE(DATE(YEAR(B3),MONTH(B3),1),14)+15)</f>
        <v/>
      </c>
      <c r="AI6" s="33">
        <f>IF(N(B3)=0,"",EDATE(DATE(YEAR(B3),MONTH(B3),1),15))</f>
        <v/>
      </c>
      <c r="AJ6" s="33">
        <f>IF(N(B3)=0,"",EDATE(DATE(YEAR(B3),MONTH(B3),1),15)+15)</f>
        <v/>
      </c>
      <c r="AK6" s="33">
        <f>IF(N(B3)=0,"",EDATE(DATE(YEAR(B3),MONTH(B3),1),16))</f>
        <v/>
      </c>
      <c r="AL6" s="33">
        <f>IF(N(B3)=0,"",EDATE(DATE(YEAR(B3),MONTH(B3),1),16)+15)</f>
        <v/>
      </c>
      <c r="AM6" s="33">
        <f>IF(N(B3)=0,"",EDATE(DATE(YEAR(B3),MONTH(B3),1),17))</f>
        <v/>
      </c>
      <c r="AN6" s="33">
        <f>IF(N(B3)=0,"",EDATE(DATE(YEAR(B3),MONTH(B3),1),17)+15)</f>
        <v/>
      </c>
    </row>
    <row r="7" hidden="1" ht="12" customHeight="1">
      <c r="E7" s="33">
        <f>IF(N(B3)=0,"",EDATE(DATE(YEAR(B3),MONTH(B3),1),0)+14)</f>
        <v/>
      </c>
      <c r="F7" s="33">
        <f>IF(N(B3)=0,"",EDATE(DATE(YEAR(B3),MONTH(B3),1),1)-1)</f>
        <v/>
      </c>
      <c r="G7" s="33">
        <f>IF(N(B3)=0,"",EDATE(DATE(YEAR(B3),MONTH(B3),1),1)+14)</f>
        <v/>
      </c>
      <c r="H7" s="33">
        <f>IF(N(B3)=0,"",EDATE(DATE(YEAR(B3),MONTH(B3),1),2)-1)</f>
        <v/>
      </c>
      <c r="I7" s="33">
        <f>IF(N(B3)=0,"",EDATE(DATE(YEAR(B3),MONTH(B3),1),2)+14)</f>
        <v/>
      </c>
      <c r="J7" s="33">
        <f>IF(N(B3)=0,"",EDATE(DATE(YEAR(B3),MONTH(B3),1),3)-1)</f>
        <v/>
      </c>
      <c r="K7" s="33">
        <f>IF(N(B3)=0,"",EDATE(DATE(YEAR(B3),MONTH(B3),1),3)+14)</f>
        <v/>
      </c>
      <c r="L7" s="33">
        <f>IF(N(B3)=0,"",EDATE(DATE(YEAR(B3),MONTH(B3),1),4)-1)</f>
        <v/>
      </c>
      <c r="M7" s="33">
        <f>IF(N(B3)=0,"",EDATE(DATE(YEAR(B3),MONTH(B3),1),4)+14)</f>
        <v/>
      </c>
      <c r="N7" s="33">
        <f>IF(N(B3)=0,"",EDATE(DATE(YEAR(B3),MONTH(B3),1),5)-1)</f>
        <v/>
      </c>
      <c r="O7" s="33">
        <f>IF(N(B3)=0,"",EDATE(DATE(YEAR(B3),MONTH(B3),1),5)+14)</f>
        <v/>
      </c>
      <c r="P7" s="33">
        <f>IF(N(B3)=0,"",EDATE(DATE(YEAR(B3),MONTH(B3),1),6)-1)</f>
        <v/>
      </c>
      <c r="Q7" s="33">
        <f>IF(N(B3)=0,"",EDATE(DATE(YEAR(B3),MONTH(B3),1),6)+14)</f>
        <v/>
      </c>
      <c r="R7" s="33">
        <f>IF(N(B3)=0,"",EDATE(DATE(YEAR(B3),MONTH(B3),1),7)-1)</f>
        <v/>
      </c>
      <c r="S7" s="33">
        <f>IF(N(B3)=0,"",EDATE(DATE(YEAR(B3),MONTH(B3),1),7)+14)</f>
        <v/>
      </c>
      <c r="T7" s="33">
        <f>IF(N(B3)=0,"",EDATE(DATE(YEAR(B3),MONTH(B3),1),8)-1)</f>
        <v/>
      </c>
      <c r="U7" s="33">
        <f>IF(N(B3)=0,"",EDATE(DATE(YEAR(B3),MONTH(B3),1),8)+14)</f>
        <v/>
      </c>
      <c r="V7" s="33">
        <f>IF(N(B3)=0,"",EDATE(DATE(YEAR(B3),MONTH(B3),1),9)-1)</f>
        <v/>
      </c>
      <c r="W7" s="33">
        <f>IF(N(B3)=0,"",EDATE(DATE(YEAR(B3),MONTH(B3),1),9)+14)</f>
        <v/>
      </c>
      <c r="X7" s="33">
        <f>IF(N(B3)=0,"",EDATE(DATE(YEAR(B3),MONTH(B3),1),10)-1)</f>
        <v/>
      </c>
      <c r="Y7" s="33">
        <f>IF(N(B3)=0,"",EDATE(DATE(YEAR(B3),MONTH(B3),1),10)+14)</f>
        <v/>
      </c>
      <c r="Z7" s="33">
        <f>IF(N(B3)=0,"",EDATE(DATE(YEAR(B3),MONTH(B3),1),11)-1)</f>
        <v/>
      </c>
      <c r="AA7" s="33">
        <f>IF(N(B3)=0,"",EDATE(DATE(YEAR(B3),MONTH(B3),1),11)+14)</f>
        <v/>
      </c>
      <c r="AB7" s="33">
        <f>IF(N(B3)=0,"",EDATE(DATE(YEAR(B3),MONTH(B3),1),12)-1)</f>
        <v/>
      </c>
      <c r="AC7" s="33">
        <f>IF(N(B3)=0,"",EDATE(DATE(YEAR(B3),MONTH(B3),1),12)+14)</f>
        <v/>
      </c>
      <c r="AD7" s="33">
        <f>IF(N(B3)=0,"",EDATE(DATE(YEAR(B3),MONTH(B3),1),13)-1)</f>
        <v/>
      </c>
      <c r="AE7" s="33">
        <f>IF(N(B3)=0,"",EDATE(DATE(YEAR(B3),MONTH(B3),1),13)+14)</f>
        <v/>
      </c>
      <c r="AF7" s="33">
        <f>IF(N(B3)=0,"",EDATE(DATE(YEAR(B3),MONTH(B3),1),14)-1)</f>
        <v/>
      </c>
      <c r="AG7" s="33">
        <f>IF(N(B3)=0,"",EDATE(DATE(YEAR(B3),MONTH(B3),1),14)+14)</f>
        <v/>
      </c>
      <c r="AH7" s="33">
        <f>IF(N(B3)=0,"",EDATE(DATE(YEAR(B3),MONTH(B3),1),15)-1)</f>
        <v/>
      </c>
      <c r="AI7" s="33">
        <f>IF(N(B3)=0,"",EDATE(DATE(YEAR(B3),MONTH(B3),1),15)+14)</f>
        <v/>
      </c>
      <c r="AJ7" s="33">
        <f>IF(N(B3)=0,"",EDATE(DATE(YEAR(B3),MONTH(B3),1),16)-1)</f>
        <v/>
      </c>
      <c r="AK7" s="33">
        <f>IF(N(B3)=0,"",EDATE(DATE(YEAR(B3),MONTH(B3),1),16)+14)</f>
        <v/>
      </c>
      <c r="AL7" s="33">
        <f>IF(N(B3)=0,"",EDATE(DATE(YEAR(B3),MONTH(B3),1),17)-1)</f>
        <v/>
      </c>
      <c r="AM7" s="33">
        <f>IF(N(B3)=0,"",EDATE(DATE(YEAR(B3),MONTH(B3),1),17)+14)</f>
        <v/>
      </c>
      <c r="AN7" s="33">
        <f>IF(N(B3)=0,"",EDATE(DATE(YEAR(B3),MONTH(B3),1),18)-1)</f>
        <v/>
      </c>
    </row>
    <row r="8" ht="22" customHeight="1">
      <c r="A8" s="26" t="inlineStr">
        <is>
          <t>바탕 만들기 · 퍼티</t>
        </is>
      </c>
      <c r="B8" s="34" t="n">
        <v>46204</v>
      </c>
      <c r="C8" s="34" t="n">
        <v>46234</v>
      </c>
      <c r="D8" s="35">
        <f>IF(OR(N(B8)=0,N(C8)=0),"",IF(C8&lt;B8,"⚠",C8-B8+1))</f>
        <v/>
      </c>
      <c r="E8" s="36" t="inlineStr"/>
      <c r="F8" s="36" t="inlineStr"/>
      <c r="G8" s="36" t="inlineStr"/>
      <c r="H8" s="36" t="inlineStr"/>
      <c r="I8" s="36" t="inlineStr"/>
      <c r="J8" s="36" t="inlineStr"/>
      <c r="K8" s="36" t="inlineStr"/>
      <c r="L8" s="36" t="inlineStr"/>
      <c r="M8" s="36" t="inlineStr"/>
      <c r="N8" s="36" t="inlineStr"/>
      <c r="O8" s="36" t="inlineStr"/>
      <c r="P8" s="36" t="inlineStr"/>
      <c r="Q8" s="36" t="inlineStr"/>
      <c r="R8" s="36" t="inlineStr"/>
      <c r="S8" s="36" t="inlineStr"/>
      <c r="T8" s="36" t="inlineStr"/>
      <c r="U8" s="36" t="inlineStr"/>
      <c r="V8" s="36" t="inlineStr"/>
      <c r="W8" s="36" t="inlineStr"/>
      <c r="X8" s="36" t="inlineStr"/>
      <c r="Y8" s="36" t="inlineStr"/>
      <c r="Z8" s="36" t="inlineStr"/>
      <c r="AA8" s="36" t="inlineStr"/>
      <c r="AB8" s="36" t="inlineStr"/>
      <c r="AC8" s="36" t="inlineStr"/>
      <c r="AD8" s="36" t="inlineStr"/>
      <c r="AE8" s="36" t="inlineStr"/>
      <c r="AF8" s="36" t="inlineStr"/>
      <c r="AG8" s="36" t="inlineStr"/>
      <c r="AH8" s="36" t="inlineStr"/>
      <c r="AI8" s="36" t="inlineStr"/>
      <c r="AJ8" s="36" t="inlineStr"/>
      <c r="AK8" s="36" t="inlineStr"/>
      <c r="AL8" s="36" t="inlineStr"/>
      <c r="AM8" s="36" t="inlineStr"/>
      <c r="AN8" s="36" t="inlineStr"/>
      <c r="AO8" s="37" t="n"/>
    </row>
    <row r="9" ht="22" customHeight="1">
      <c r="A9" s="26" t="inlineStr">
        <is>
          <t>내부 수성페인트 초벌</t>
        </is>
      </c>
      <c r="B9" s="34" t="n">
        <v>46219</v>
      </c>
      <c r="C9" s="34" t="n">
        <v>46265</v>
      </c>
      <c r="D9" s="35">
        <f>IF(OR(N(B9)=0,N(C9)=0),"",IF(C9&lt;B9,"⚠",C9-B9+1))</f>
        <v/>
      </c>
      <c r="E9" s="36" t="inlineStr"/>
      <c r="F9" s="36" t="inlineStr"/>
      <c r="G9" s="36" t="inlineStr"/>
      <c r="H9" s="36" t="inlineStr"/>
      <c r="I9" s="36" t="inlineStr"/>
      <c r="J9" s="36" t="inlineStr"/>
      <c r="K9" s="36" t="inlineStr"/>
      <c r="L9" s="36" t="inlineStr"/>
      <c r="M9" s="36" t="inlineStr"/>
      <c r="N9" s="36" t="inlineStr"/>
      <c r="O9" s="36" t="inlineStr"/>
      <c r="P9" s="36" t="inlineStr"/>
      <c r="Q9" s="36" t="inlineStr"/>
      <c r="R9" s="36" t="inlineStr"/>
      <c r="S9" s="36" t="inlineStr"/>
      <c r="T9" s="36" t="inlineStr"/>
      <c r="U9" s="36" t="inlineStr"/>
      <c r="V9" s="36" t="inlineStr"/>
      <c r="W9" s="36" t="inlineStr"/>
      <c r="X9" s="36" t="inlineStr"/>
      <c r="Y9" s="36" t="inlineStr"/>
      <c r="Z9" s="36" t="inlineStr"/>
      <c r="AA9" s="36" t="inlineStr"/>
      <c r="AB9" s="36" t="inlineStr"/>
      <c r="AC9" s="36" t="inlineStr"/>
      <c r="AD9" s="36" t="inlineStr"/>
      <c r="AE9" s="36" t="inlineStr"/>
      <c r="AF9" s="36" t="inlineStr"/>
      <c r="AG9" s="36" t="inlineStr"/>
      <c r="AH9" s="36" t="inlineStr"/>
      <c r="AI9" s="36" t="inlineStr"/>
      <c r="AJ9" s="36" t="inlineStr"/>
      <c r="AK9" s="36" t="inlineStr"/>
      <c r="AL9" s="36" t="inlineStr"/>
      <c r="AM9" s="36" t="inlineStr"/>
      <c r="AN9" s="36" t="inlineStr"/>
      <c r="AO9" s="37" t="n"/>
    </row>
    <row r="10" ht="22" customHeight="1">
      <c r="A10" s="26" t="inlineStr">
        <is>
          <t>내부 수성페인트 재벌 · 정벌</t>
        </is>
      </c>
      <c r="B10" s="34" t="n">
        <v>46250</v>
      </c>
      <c r="C10" s="34" t="n">
        <v>46295</v>
      </c>
      <c r="D10" s="35">
        <f>IF(OR(N(B10)=0,N(C10)=0),"",IF(C10&lt;B10,"⚠",C10-B10+1))</f>
        <v/>
      </c>
      <c r="E10" s="36" t="inlineStr"/>
      <c r="F10" s="36" t="inlineStr"/>
      <c r="G10" s="36" t="inlineStr"/>
      <c r="H10" s="36" t="inlineStr"/>
      <c r="I10" s="36" t="inlineStr"/>
      <c r="J10" s="36" t="inlineStr"/>
      <c r="K10" s="36" t="inlineStr"/>
      <c r="L10" s="36" t="inlineStr"/>
      <c r="M10" s="36" t="inlineStr"/>
      <c r="N10" s="36" t="inlineStr"/>
      <c r="O10" s="36" t="inlineStr"/>
      <c r="P10" s="36" t="inlineStr"/>
      <c r="Q10" s="36" t="inlineStr"/>
      <c r="R10" s="36" t="inlineStr"/>
      <c r="S10" s="36" t="inlineStr"/>
      <c r="T10" s="36" t="inlineStr"/>
      <c r="U10" s="36" t="inlineStr"/>
      <c r="V10" s="36" t="inlineStr"/>
      <c r="W10" s="36" t="inlineStr"/>
      <c r="X10" s="36" t="inlineStr"/>
      <c r="Y10" s="36" t="inlineStr"/>
      <c r="Z10" s="36" t="inlineStr"/>
      <c r="AA10" s="36" t="inlineStr"/>
      <c r="AB10" s="36" t="inlineStr"/>
      <c r="AC10" s="36" t="inlineStr"/>
      <c r="AD10" s="36" t="inlineStr"/>
      <c r="AE10" s="36" t="inlineStr"/>
      <c r="AF10" s="36" t="inlineStr"/>
      <c r="AG10" s="36" t="inlineStr"/>
      <c r="AH10" s="36" t="inlineStr"/>
      <c r="AI10" s="36" t="inlineStr"/>
      <c r="AJ10" s="36" t="inlineStr"/>
      <c r="AK10" s="36" t="inlineStr"/>
      <c r="AL10" s="36" t="inlineStr"/>
      <c r="AM10" s="36" t="inlineStr"/>
      <c r="AN10" s="36" t="inlineStr"/>
      <c r="AO10" s="37" t="n"/>
    </row>
    <row r="11" ht="22" customHeight="1">
      <c r="A11" s="26" t="inlineStr">
        <is>
          <t>외부 수성페인트</t>
        </is>
      </c>
      <c r="B11" s="34" t="n">
        <v>46266</v>
      </c>
      <c r="C11" s="34" t="n">
        <v>46295</v>
      </c>
      <c r="D11" s="35">
        <f>IF(OR(N(B11)=0,N(C11)=0),"",IF(C11&lt;B11,"⚠",C11-B11+1))</f>
        <v/>
      </c>
      <c r="E11" s="36" t="inlineStr"/>
      <c r="F11" s="36" t="inlineStr"/>
      <c r="G11" s="36" t="inlineStr"/>
      <c r="H11" s="36" t="inlineStr"/>
      <c r="I11" s="36" t="inlineStr"/>
      <c r="J11" s="36" t="inlineStr"/>
      <c r="K11" s="36" t="inlineStr"/>
      <c r="L11" s="36" t="inlineStr"/>
      <c r="M11" s="36" t="inlineStr"/>
      <c r="N11" s="36" t="inlineStr"/>
      <c r="O11" s="36" t="inlineStr"/>
      <c r="P11" s="36" t="inlineStr"/>
      <c r="Q11" s="36" t="inlineStr"/>
      <c r="R11" s="36" t="inlineStr"/>
      <c r="S11" s="36" t="inlineStr"/>
      <c r="T11" s="36" t="inlineStr"/>
      <c r="U11" s="36" t="inlineStr"/>
      <c r="V11" s="36" t="inlineStr"/>
      <c r="W11" s="36" t="inlineStr"/>
      <c r="X11" s="36" t="inlineStr"/>
      <c r="Y11" s="36" t="inlineStr"/>
      <c r="Z11" s="36" t="inlineStr"/>
      <c r="AA11" s="36" t="inlineStr"/>
      <c r="AB11" s="36" t="inlineStr"/>
      <c r="AC11" s="36" t="inlineStr"/>
      <c r="AD11" s="36" t="inlineStr"/>
      <c r="AE11" s="36" t="inlineStr"/>
      <c r="AF11" s="36" t="inlineStr"/>
      <c r="AG11" s="36" t="inlineStr"/>
      <c r="AH11" s="36" t="inlineStr"/>
      <c r="AI11" s="36" t="inlineStr"/>
      <c r="AJ11" s="36" t="inlineStr"/>
      <c r="AK11" s="36" t="inlineStr"/>
      <c r="AL11" s="36" t="inlineStr"/>
      <c r="AM11" s="36" t="inlineStr"/>
      <c r="AN11" s="36" t="inlineStr"/>
      <c r="AO11" s="37" t="n"/>
    </row>
    <row r="12" ht="22" customHeight="1">
      <c r="A12" s="26" t="inlineStr">
        <is>
          <t>걸레받이 세라믹 페인트</t>
        </is>
      </c>
      <c r="B12" s="34" t="n">
        <v>46281</v>
      </c>
      <c r="C12" s="34" t="n">
        <v>46310</v>
      </c>
      <c r="D12" s="35">
        <f>IF(OR(N(B12)=0,N(C12)=0),"",IF(C12&lt;B12,"⚠",C12-B12+1))</f>
        <v/>
      </c>
      <c r="E12" s="36" t="inlineStr"/>
      <c r="F12" s="36" t="inlineStr"/>
      <c r="G12" s="36" t="inlineStr"/>
      <c r="H12" s="36" t="inlineStr"/>
      <c r="I12" s="36" t="inlineStr"/>
      <c r="J12" s="36" t="inlineStr"/>
      <c r="K12" s="36" t="inlineStr"/>
      <c r="L12" s="36" t="inlineStr"/>
      <c r="M12" s="36" t="inlineStr"/>
      <c r="N12" s="36" t="inlineStr"/>
      <c r="O12" s="36" t="inlineStr"/>
      <c r="P12" s="36" t="inlineStr"/>
      <c r="Q12" s="36" t="inlineStr"/>
      <c r="R12" s="36" t="inlineStr"/>
      <c r="S12" s="36" t="inlineStr"/>
      <c r="T12" s="36" t="inlineStr"/>
      <c r="U12" s="36" t="inlineStr"/>
      <c r="V12" s="36" t="inlineStr"/>
      <c r="W12" s="36" t="inlineStr"/>
      <c r="X12" s="36" t="inlineStr"/>
      <c r="Y12" s="36" t="inlineStr"/>
      <c r="Z12" s="36" t="inlineStr"/>
      <c r="AA12" s="36" t="inlineStr"/>
      <c r="AB12" s="36" t="inlineStr"/>
      <c r="AC12" s="36" t="inlineStr"/>
      <c r="AD12" s="36" t="inlineStr"/>
      <c r="AE12" s="36" t="inlineStr"/>
      <c r="AF12" s="36" t="inlineStr"/>
      <c r="AG12" s="36" t="inlineStr"/>
      <c r="AH12" s="36" t="inlineStr"/>
      <c r="AI12" s="36" t="inlineStr"/>
      <c r="AJ12" s="36" t="inlineStr"/>
      <c r="AK12" s="36" t="inlineStr"/>
      <c r="AL12" s="36" t="inlineStr"/>
      <c r="AM12" s="36" t="inlineStr"/>
      <c r="AN12" s="36" t="inlineStr"/>
      <c r="AO12" s="37" t="n"/>
    </row>
    <row r="13" ht="22" customHeight="1">
      <c r="A13" s="26" t="inlineStr">
        <is>
          <t>에폭시 코팅 · 라이닝(바닥)</t>
        </is>
      </c>
      <c r="B13" s="34" t="n">
        <v>46296</v>
      </c>
      <c r="C13" s="34" t="n">
        <v>46326</v>
      </c>
      <c r="D13" s="35">
        <f>IF(OR(N(B13)=0,N(C13)=0),"",IF(C13&lt;B13,"⚠",C13-B13+1))</f>
        <v/>
      </c>
      <c r="E13" s="36" t="inlineStr"/>
      <c r="F13" s="36" t="inlineStr"/>
      <c r="G13" s="36" t="inlineStr"/>
      <c r="H13" s="36" t="inlineStr"/>
      <c r="I13" s="36" t="inlineStr"/>
      <c r="J13" s="36" t="inlineStr"/>
      <c r="K13" s="36" t="inlineStr"/>
      <c r="L13" s="36" t="inlineStr"/>
      <c r="M13" s="36" t="inlineStr"/>
      <c r="N13" s="36" t="inlineStr"/>
      <c r="O13" s="36" t="inlineStr"/>
      <c r="P13" s="36" t="inlineStr"/>
      <c r="Q13" s="36" t="inlineStr"/>
      <c r="R13" s="36" t="inlineStr"/>
      <c r="S13" s="36" t="inlineStr"/>
      <c r="T13" s="36" t="inlineStr"/>
      <c r="U13" s="36" t="inlineStr"/>
      <c r="V13" s="36" t="inlineStr"/>
      <c r="W13" s="36" t="inlineStr"/>
      <c r="X13" s="36" t="inlineStr"/>
      <c r="Y13" s="36" t="inlineStr"/>
      <c r="Z13" s="36" t="inlineStr"/>
      <c r="AA13" s="36" t="inlineStr"/>
      <c r="AB13" s="36" t="inlineStr"/>
      <c r="AC13" s="36" t="inlineStr"/>
      <c r="AD13" s="36" t="inlineStr"/>
      <c r="AE13" s="36" t="inlineStr"/>
      <c r="AF13" s="36" t="inlineStr"/>
      <c r="AG13" s="36" t="inlineStr"/>
      <c r="AH13" s="36" t="inlineStr"/>
      <c r="AI13" s="36" t="inlineStr"/>
      <c r="AJ13" s="36" t="inlineStr"/>
      <c r="AK13" s="36" t="inlineStr"/>
      <c r="AL13" s="36" t="inlineStr"/>
      <c r="AM13" s="36" t="inlineStr"/>
      <c r="AN13" s="36" t="inlineStr"/>
      <c r="AO13" s="37" t="n"/>
    </row>
    <row r="14" ht="22" customHeight="1">
      <c r="A14" s="26" t="inlineStr">
        <is>
          <t>보수 · 보양 · 청소</t>
        </is>
      </c>
      <c r="B14" s="34" t="n">
        <v>46327</v>
      </c>
      <c r="C14" s="34" t="n">
        <v>46341</v>
      </c>
      <c r="D14" s="35">
        <f>IF(OR(N(B14)=0,N(C14)=0),"",IF(C14&lt;B14,"⚠",C14-B14+1))</f>
        <v/>
      </c>
      <c r="E14" s="36" t="inlineStr"/>
      <c r="F14" s="36" t="inlineStr"/>
      <c r="G14" s="36" t="inlineStr"/>
      <c r="H14" s="36" t="inlineStr"/>
      <c r="I14" s="36" t="inlineStr"/>
      <c r="J14" s="36" t="inlineStr"/>
      <c r="K14" s="36" t="inlineStr"/>
      <c r="L14" s="36" t="inlineStr"/>
      <c r="M14" s="36" t="inlineStr"/>
      <c r="N14" s="36" t="inlineStr"/>
      <c r="O14" s="36" t="inlineStr"/>
      <c r="P14" s="36" t="inlineStr"/>
      <c r="Q14" s="36" t="inlineStr"/>
      <c r="R14" s="36" t="inlineStr"/>
      <c r="S14" s="36" t="inlineStr"/>
      <c r="T14" s="36" t="inlineStr"/>
      <c r="U14" s="36" t="inlineStr"/>
      <c r="V14" s="36" t="inlineStr"/>
      <c r="W14" s="36" t="inlineStr"/>
      <c r="X14" s="36" t="inlineStr"/>
      <c r="Y14" s="36" t="inlineStr"/>
      <c r="Z14" s="36" t="inlineStr"/>
      <c r="AA14" s="36" t="inlineStr"/>
      <c r="AB14" s="36" t="inlineStr"/>
      <c r="AC14" s="36" t="inlineStr"/>
      <c r="AD14" s="36" t="inlineStr"/>
      <c r="AE14" s="36" t="inlineStr"/>
      <c r="AF14" s="36" t="inlineStr"/>
      <c r="AG14" s="36" t="inlineStr"/>
      <c r="AH14" s="36" t="inlineStr"/>
      <c r="AI14" s="36" t="inlineStr"/>
      <c r="AJ14" s="36" t="inlineStr"/>
      <c r="AK14" s="36" t="inlineStr"/>
      <c r="AL14" s="36" t="inlineStr"/>
      <c r="AM14" s="36" t="inlineStr"/>
      <c r="AN14" s="36" t="inlineStr"/>
      <c r="AO14" s="37" t="n"/>
    </row>
    <row r="15" ht="22" customHeight="1">
      <c r="A15" s="26" t="inlineStr">
        <is>
          <t>검측 · 정리</t>
        </is>
      </c>
      <c r="B15" s="34" t="n">
        <v>46342</v>
      </c>
      <c r="C15" s="34" t="n">
        <v>46356</v>
      </c>
      <c r="D15" s="35">
        <f>IF(OR(N(B15)=0,N(C15)=0),"",IF(C15&lt;B15,"⚠",C15-B15+1))</f>
        <v/>
      </c>
      <c r="E15" s="36" t="inlineStr"/>
      <c r="F15" s="36" t="inlineStr"/>
      <c r="G15" s="36" t="inlineStr"/>
      <c r="H15" s="36" t="inlineStr"/>
      <c r="I15" s="36" t="inlineStr"/>
      <c r="J15" s="36" t="inlineStr"/>
      <c r="K15" s="36" t="inlineStr"/>
      <c r="L15" s="36" t="inlineStr"/>
      <c r="M15" s="36" t="inlineStr"/>
      <c r="N15" s="36" t="inlineStr"/>
      <c r="O15" s="36" t="inlineStr"/>
      <c r="P15" s="36" t="inlineStr"/>
      <c r="Q15" s="36" t="inlineStr"/>
      <c r="R15" s="36" t="inlineStr"/>
      <c r="S15" s="36" t="inlineStr"/>
      <c r="T15" s="36" t="inlineStr"/>
      <c r="U15" s="36" t="inlineStr"/>
      <c r="V15" s="36" t="inlineStr"/>
      <c r="W15" s="36" t="inlineStr"/>
      <c r="X15" s="36" t="inlineStr"/>
      <c r="Y15" s="36" t="inlineStr"/>
      <c r="Z15" s="36" t="inlineStr"/>
      <c r="AA15" s="36" t="inlineStr"/>
      <c r="AB15" s="36" t="inlineStr"/>
      <c r="AC15" s="36" t="inlineStr"/>
      <c r="AD15" s="36" t="inlineStr"/>
      <c r="AE15" s="36" t="inlineStr"/>
      <c r="AF15" s="36" t="inlineStr"/>
      <c r="AG15" s="36" t="inlineStr"/>
      <c r="AH15" s="36" t="inlineStr"/>
      <c r="AI15" s="36" t="inlineStr"/>
      <c r="AJ15" s="36" t="inlineStr"/>
      <c r="AK15" s="36" t="inlineStr"/>
      <c r="AL15" s="36" t="inlineStr"/>
      <c r="AM15" s="36" t="inlineStr"/>
      <c r="AN15" s="36" t="inlineStr"/>
      <c r="AO15" s="37" t="n"/>
    </row>
    <row r="16" ht="22" customHeight="1">
      <c r="A16" s="26" t="n"/>
      <c r="B16" s="34" t="n"/>
      <c r="C16" s="34" t="n"/>
      <c r="D16" s="35">
        <f>IF(OR(N(B16)=0,N(C16)=0),"",IF(C16&lt;B16,"⚠",C16-B16+1))</f>
        <v/>
      </c>
      <c r="E16" s="36" t="inlineStr"/>
      <c r="F16" s="36" t="inlineStr"/>
      <c r="G16" s="36" t="inlineStr"/>
      <c r="H16" s="36" t="inlineStr"/>
      <c r="I16" s="36" t="inlineStr"/>
      <c r="J16" s="36" t="inlineStr"/>
      <c r="K16" s="36" t="inlineStr"/>
      <c r="L16" s="36" t="inlineStr"/>
      <c r="M16" s="36" t="inlineStr"/>
      <c r="N16" s="36" t="inlineStr"/>
      <c r="O16" s="36" t="inlineStr"/>
      <c r="P16" s="36" t="inlineStr"/>
      <c r="Q16" s="36" t="inlineStr"/>
      <c r="R16" s="36" t="inlineStr"/>
      <c r="S16" s="36" t="inlineStr"/>
      <c r="T16" s="36" t="inlineStr"/>
      <c r="U16" s="36" t="inlineStr"/>
      <c r="V16" s="36" t="inlineStr"/>
      <c r="W16" s="36" t="inlineStr"/>
      <c r="X16" s="36" t="inlineStr"/>
      <c r="Y16" s="36" t="inlineStr"/>
      <c r="Z16" s="36" t="inlineStr"/>
      <c r="AA16" s="36" t="inlineStr"/>
      <c r="AB16" s="36" t="inlineStr"/>
      <c r="AC16" s="36" t="inlineStr"/>
      <c r="AD16" s="36" t="inlineStr"/>
      <c r="AE16" s="36" t="inlineStr"/>
      <c r="AF16" s="36" t="inlineStr"/>
      <c r="AG16" s="36" t="inlineStr"/>
      <c r="AH16" s="36" t="inlineStr"/>
      <c r="AI16" s="36" t="inlineStr"/>
      <c r="AJ16" s="36" t="inlineStr"/>
      <c r="AK16" s="36" t="inlineStr"/>
      <c r="AL16" s="36" t="inlineStr"/>
      <c r="AM16" s="36" t="inlineStr"/>
      <c r="AN16" s="36" t="inlineStr"/>
      <c r="AO16" s="37" t="n"/>
    </row>
    <row r="17" ht="22" customHeight="1">
      <c r="A17" s="26" t="n"/>
      <c r="B17" s="34" t="n"/>
      <c r="C17" s="34" t="n"/>
      <c r="D17" s="35">
        <f>IF(OR(N(B17)=0,N(C17)=0),"",IF(C17&lt;B17,"⚠",C17-B17+1))</f>
        <v/>
      </c>
      <c r="E17" s="36" t="inlineStr"/>
      <c r="F17" s="36" t="inlineStr"/>
      <c r="G17" s="36" t="inlineStr"/>
      <c r="H17" s="36" t="inlineStr"/>
      <c r="I17" s="36" t="inlineStr"/>
      <c r="J17" s="36" t="inlineStr"/>
      <c r="K17" s="36" t="inlineStr"/>
      <c r="L17" s="36" t="inlineStr"/>
      <c r="M17" s="36" t="inlineStr"/>
      <c r="N17" s="36" t="inlineStr"/>
      <c r="O17" s="36" t="inlineStr"/>
      <c r="P17" s="36" t="inlineStr"/>
      <c r="Q17" s="36" t="inlineStr"/>
      <c r="R17" s="36" t="inlineStr"/>
      <c r="S17" s="36" t="inlineStr"/>
      <c r="T17" s="36" t="inlineStr"/>
      <c r="U17" s="36" t="inlineStr"/>
      <c r="V17" s="36" t="inlineStr"/>
      <c r="W17" s="36" t="inlineStr"/>
      <c r="X17" s="36" t="inlineStr"/>
      <c r="Y17" s="36" t="inlineStr"/>
      <c r="Z17" s="36" t="inlineStr"/>
      <c r="AA17" s="36" t="inlineStr"/>
      <c r="AB17" s="36" t="inlineStr"/>
      <c r="AC17" s="36" t="inlineStr"/>
      <c r="AD17" s="36" t="inlineStr"/>
      <c r="AE17" s="36" t="inlineStr"/>
      <c r="AF17" s="36" t="inlineStr"/>
      <c r="AG17" s="36" t="inlineStr"/>
      <c r="AH17" s="36" t="inlineStr"/>
      <c r="AI17" s="36" t="inlineStr"/>
      <c r="AJ17" s="36" t="inlineStr"/>
      <c r="AK17" s="36" t="inlineStr"/>
      <c r="AL17" s="36" t="inlineStr"/>
      <c r="AM17" s="36" t="inlineStr"/>
      <c r="AN17" s="36" t="inlineStr"/>
      <c r="AO17" s="37" t="n"/>
    </row>
    <row r="18" ht="22" customHeight="1">
      <c r="A18" s="26" t="n"/>
      <c r="B18" s="34" t="n"/>
      <c r="C18" s="34" t="n"/>
      <c r="D18" s="35">
        <f>IF(OR(N(B18)=0,N(C18)=0),"",IF(C18&lt;B18,"⚠",C18-B18+1))</f>
        <v/>
      </c>
      <c r="E18" s="36" t="inlineStr"/>
      <c r="F18" s="36" t="inlineStr"/>
      <c r="G18" s="36" t="inlineStr"/>
      <c r="H18" s="36" t="inlineStr"/>
      <c r="I18" s="36" t="inlineStr"/>
      <c r="J18" s="36" t="inlineStr"/>
      <c r="K18" s="36" t="inlineStr"/>
      <c r="L18" s="36" t="inlineStr"/>
      <c r="M18" s="36" t="inlineStr"/>
      <c r="N18" s="36" t="inlineStr"/>
      <c r="O18" s="36" t="inlineStr"/>
      <c r="P18" s="36" t="inlineStr"/>
      <c r="Q18" s="36" t="inlineStr"/>
      <c r="R18" s="36" t="inlineStr"/>
      <c r="S18" s="36" t="inlineStr"/>
      <c r="T18" s="36" t="inlineStr"/>
      <c r="U18" s="36" t="inlineStr"/>
      <c r="V18" s="36" t="inlineStr"/>
      <c r="W18" s="36" t="inlineStr"/>
      <c r="X18" s="36" t="inlineStr"/>
      <c r="Y18" s="36" t="inlineStr"/>
      <c r="Z18" s="36" t="inlineStr"/>
      <c r="AA18" s="36" t="inlineStr"/>
      <c r="AB18" s="36" t="inlineStr"/>
      <c r="AC18" s="36" t="inlineStr"/>
      <c r="AD18" s="36" t="inlineStr"/>
      <c r="AE18" s="36" t="inlineStr"/>
      <c r="AF18" s="36" t="inlineStr"/>
      <c r="AG18" s="36" t="inlineStr"/>
      <c r="AH18" s="36" t="inlineStr"/>
      <c r="AI18" s="36" t="inlineStr"/>
      <c r="AJ18" s="36" t="inlineStr"/>
      <c r="AK18" s="36" t="inlineStr"/>
      <c r="AL18" s="36" t="inlineStr"/>
      <c r="AM18" s="36" t="inlineStr"/>
      <c r="AN18" s="36" t="inlineStr"/>
      <c r="AO18" s="37" t="n"/>
    </row>
    <row r="19" ht="22" customHeight="1">
      <c r="A19" s="26" t="n"/>
      <c r="B19" s="34" t="n"/>
      <c r="C19" s="34" t="n"/>
      <c r="D19" s="35">
        <f>IF(OR(N(B19)=0,N(C19)=0),"",IF(C19&lt;B19,"⚠",C19-B19+1))</f>
        <v/>
      </c>
      <c r="E19" s="36" t="inlineStr"/>
      <c r="F19" s="36" t="inlineStr"/>
      <c r="G19" s="36" t="inlineStr"/>
      <c r="H19" s="36" t="inlineStr"/>
      <c r="I19" s="36" t="inlineStr"/>
      <c r="J19" s="36" t="inlineStr"/>
      <c r="K19" s="36" t="inlineStr"/>
      <c r="L19" s="36" t="inlineStr"/>
      <c r="M19" s="36" t="inlineStr"/>
      <c r="N19" s="36" t="inlineStr"/>
      <c r="O19" s="36" t="inlineStr"/>
      <c r="P19" s="36" t="inlineStr"/>
      <c r="Q19" s="36" t="inlineStr"/>
      <c r="R19" s="36" t="inlineStr"/>
      <c r="S19" s="36" t="inlineStr"/>
      <c r="T19" s="36" t="inlineStr"/>
      <c r="U19" s="36" t="inlineStr"/>
      <c r="V19" s="36" t="inlineStr"/>
      <c r="W19" s="36" t="inlineStr"/>
      <c r="X19" s="36" t="inlineStr"/>
      <c r="Y19" s="36" t="inlineStr"/>
      <c r="Z19" s="36" t="inlineStr"/>
      <c r="AA19" s="36" t="inlineStr"/>
      <c r="AB19" s="36" t="inlineStr"/>
      <c r="AC19" s="36" t="inlineStr"/>
      <c r="AD19" s="36" t="inlineStr"/>
      <c r="AE19" s="36" t="inlineStr"/>
      <c r="AF19" s="36" t="inlineStr"/>
      <c r="AG19" s="36" t="inlineStr"/>
      <c r="AH19" s="36" t="inlineStr"/>
      <c r="AI19" s="36" t="inlineStr"/>
      <c r="AJ19" s="36" t="inlineStr"/>
      <c r="AK19" s="36" t="inlineStr"/>
      <c r="AL19" s="36" t="inlineStr"/>
      <c r="AM19" s="36" t="inlineStr"/>
      <c r="AN19" s="36" t="inlineStr"/>
      <c r="AO19" s="37" t="n"/>
    </row>
    <row r="20" ht="22" customHeight="1">
      <c r="A20" s="26" t="n"/>
      <c r="B20" s="34" t="n"/>
      <c r="C20" s="34" t="n"/>
      <c r="D20" s="35">
        <f>IF(OR(N(B20)=0,N(C20)=0),"",IF(C20&lt;B20,"⚠",C20-B20+1))</f>
        <v/>
      </c>
      <c r="E20" s="36" t="inlineStr"/>
      <c r="F20" s="36" t="inlineStr"/>
      <c r="G20" s="36" t="inlineStr"/>
      <c r="H20" s="36" t="inlineStr"/>
      <c r="I20" s="36" t="inlineStr"/>
      <c r="J20" s="36" t="inlineStr"/>
      <c r="K20" s="36" t="inlineStr"/>
      <c r="L20" s="36" t="inlineStr"/>
      <c r="M20" s="36" t="inlineStr"/>
      <c r="N20" s="36" t="inlineStr"/>
      <c r="O20" s="36" t="inlineStr"/>
      <c r="P20" s="36" t="inlineStr"/>
      <c r="Q20" s="36" t="inlineStr"/>
      <c r="R20" s="36" t="inlineStr"/>
      <c r="S20" s="36" t="inlineStr"/>
      <c r="T20" s="36" t="inlineStr"/>
      <c r="U20" s="36" t="inlineStr"/>
      <c r="V20" s="36" t="inlineStr"/>
      <c r="W20" s="36" t="inlineStr"/>
      <c r="X20" s="36" t="inlineStr"/>
      <c r="Y20" s="36" t="inlineStr"/>
      <c r="Z20" s="36" t="inlineStr"/>
      <c r="AA20" s="36" t="inlineStr"/>
      <c r="AB20" s="36" t="inlineStr"/>
      <c r="AC20" s="36" t="inlineStr"/>
      <c r="AD20" s="36" t="inlineStr"/>
      <c r="AE20" s="36" t="inlineStr"/>
      <c r="AF20" s="36" t="inlineStr"/>
      <c r="AG20" s="36" t="inlineStr"/>
      <c r="AH20" s="36" t="inlineStr"/>
      <c r="AI20" s="36" t="inlineStr"/>
      <c r="AJ20" s="36" t="inlineStr"/>
      <c r="AK20" s="36" t="inlineStr"/>
      <c r="AL20" s="36" t="inlineStr"/>
      <c r="AM20" s="36" t="inlineStr"/>
      <c r="AN20" s="36" t="inlineStr"/>
      <c r="AO20" s="37" t="n"/>
    </row>
    <row r="21" ht="22" customHeight="1">
      <c r="A21" s="26" t="n"/>
      <c r="B21" s="34" t="n"/>
      <c r="C21" s="34" t="n"/>
      <c r="D21" s="35">
        <f>IF(OR(N(B21)=0,N(C21)=0),"",IF(C21&lt;B21,"⚠",C21-B21+1))</f>
        <v/>
      </c>
      <c r="E21" s="36" t="inlineStr"/>
      <c r="F21" s="36" t="inlineStr"/>
      <c r="G21" s="36" t="inlineStr"/>
      <c r="H21" s="36" t="inlineStr"/>
      <c r="I21" s="36" t="inlineStr"/>
      <c r="J21" s="36" t="inlineStr"/>
      <c r="K21" s="36" t="inlineStr"/>
      <c r="L21" s="36" t="inlineStr"/>
      <c r="M21" s="36" t="inlineStr"/>
      <c r="N21" s="36" t="inlineStr"/>
      <c r="O21" s="36" t="inlineStr"/>
      <c r="P21" s="36" t="inlineStr"/>
      <c r="Q21" s="36" t="inlineStr"/>
      <c r="R21" s="36" t="inlineStr"/>
      <c r="S21" s="36" t="inlineStr"/>
      <c r="T21" s="36" t="inlineStr"/>
      <c r="U21" s="36" t="inlineStr"/>
      <c r="V21" s="36" t="inlineStr"/>
      <c r="W21" s="36" t="inlineStr"/>
      <c r="X21" s="36" t="inlineStr"/>
      <c r="Y21" s="36" t="inlineStr"/>
      <c r="Z21" s="36" t="inlineStr"/>
      <c r="AA21" s="36" t="inlineStr"/>
      <c r="AB21" s="36" t="inlineStr"/>
      <c r="AC21" s="36" t="inlineStr"/>
      <c r="AD21" s="36" t="inlineStr"/>
      <c r="AE21" s="36" t="inlineStr"/>
      <c r="AF21" s="36" t="inlineStr"/>
      <c r="AG21" s="36" t="inlineStr"/>
      <c r="AH21" s="36" t="inlineStr"/>
      <c r="AI21" s="36" t="inlineStr"/>
      <c r="AJ21" s="36" t="inlineStr"/>
      <c r="AK21" s="36" t="inlineStr"/>
      <c r="AL21" s="36" t="inlineStr"/>
      <c r="AM21" s="36" t="inlineStr"/>
      <c r="AN21" s="36" t="inlineStr"/>
      <c r="AO21" s="37" t="n"/>
    </row>
    <row r="22" ht="16" customHeight="1">
      <c r="A22" s="8" t="inlineStr">
        <is>
          <t>※ 일수 = 완료 − 착수 + 1. 막대는 반달(1~15일 · 16일~말일) 단위입니다. 공정은 현장 여건 · 날씨에 따라 바뀔 수 있습니다.</t>
        </is>
      </c>
    </row>
    <row r="24" ht="19.5" customHeight="1">
      <c r="A24" s="8" t="inlineStr">
        <is>
          <t>이 시트는 작성 예시입니다(가상의 일정).</t>
        </is>
      </c>
    </row>
  </sheetData>
  <mergeCells count="30">
    <mergeCell ref="W4:X4"/>
    <mergeCell ref="AG4:AH4"/>
    <mergeCell ref="Y4:Z4"/>
    <mergeCell ref="C4:C5"/>
    <mergeCell ref="B3:C3"/>
    <mergeCell ref="N1:AO1"/>
    <mergeCell ref="AK4:AL4"/>
    <mergeCell ref="E4:F4"/>
    <mergeCell ref="A24:AO24"/>
    <mergeCell ref="D4:D5"/>
    <mergeCell ref="AO4:AO5"/>
    <mergeCell ref="O4:P4"/>
    <mergeCell ref="AA4:AB4"/>
    <mergeCell ref="Q4:R4"/>
    <mergeCell ref="AC4:AD4"/>
    <mergeCell ref="AI4:AJ4"/>
    <mergeCell ref="A1:M1"/>
    <mergeCell ref="A4:A5"/>
    <mergeCell ref="AM4:AN4"/>
    <mergeCell ref="G4:H4"/>
    <mergeCell ref="A2:AO2"/>
    <mergeCell ref="I4:J4"/>
    <mergeCell ref="B4:B5"/>
    <mergeCell ref="D3:AO3"/>
    <mergeCell ref="A22:AO22"/>
    <mergeCell ref="K4:L4"/>
    <mergeCell ref="M4:N4"/>
    <mergeCell ref="S4:T4"/>
    <mergeCell ref="AE4:AF4"/>
    <mergeCell ref="U4:V4"/>
  </mergeCells>
  <conditionalFormatting sqref="E8:AN21">
    <cfRule type="expression" priority="1" dxfId="2">
      <formula>AND(N($B8)&gt;0,N($C8)&gt;=N($B8),$B8&lt;=E$7,$C8&gt;=E$6)</formula>
    </cfRule>
  </conditionalFormatting>
  <printOptions horizontalCentered="1"/>
  <pageMargins left="0.35" right="0.35" top="0.45" bottom="0.45" header="0.2" footer="0.2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4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72" t="inlineStr">
        <is>
          <t xml:space="preserve">작성 예시 (가상의 현장)  </t>
        </is>
      </c>
    </row>
    <row r="2" ht="4" customHeight="1"/>
    <row r="3" ht="30" customHeight="1">
      <c r="A3" s="12" t="inlineStr">
        <is>
          <t>3.0   현 장  조 직 도</t>
        </is>
      </c>
    </row>
    <row r="4" ht="4" customHeight="1"/>
    <row r="5" ht="24" customHeight="1">
      <c r="A5" s="10" t="inlineStr"/>
      <c r="E5" s="13" t="inlineStr">
        <is>
          <t>현 장 대 리 인</t>
        </is>
      </c>
      <c r="F5" s="14" t="n"/>
      <c r="G5" s="14" t="n"/>
      <c r="H5" s="14" t="n"/>
      <c r="I5" s="10" t="inlineStr"/>
    </row>
    <row r="6" ht="24" customHeight="1">
      <c r="A6" s="10" t="inlineStr"/>
      <c r="E6" s="38" t="inlineStr">
        <is>
          <t>홍길동</t>
        </is>
      </c>
      <c r="F6" s="14" t="n"/>
      <c r="G6" s="14" t="n"/>
      <c r="H6" s="14" t="n"/>
      <c r="I6" s="10" t="inlineStr"/>
    </row>
    <row r="7" ht="14" customHeight="1">
      <c r="A7" s="39" t="inlineStr">
        <is>
          <t>│</t>
        </is>
      </c>
    </row>
    <row r="8" ht="24" customHeight="1">
      <c r="A8" s="10" t="inlineStr"/>
      <c r="B8" s="13" t="inlineStr">
        <is>
          <t>품 질 관 리 자</t>
        </is>
      </c>
      <c r="C8" s="14" t="n"/>
      <c r="D8" s="14" t="n"/>
      <c r="E8" s="14" t="n"/>
      <c r="F8" s="40" t="inlineStr">
        <is>
          <t>─┼─</t>
        </is>
      </c>
      <c r="H8" s="13" t="inlineStr">
        <is>
          <t>안 전 관 리 자</t>
        </is>
      </c>
      <c r="I8" s="14" t="n"/>
      <c r="J8" s="14" t="n"/>
      <c r="K8" s="14" t="n"/>
      <c r="L8" s="10" t="inlineStr"/>
    </row>
    <row r="9" ht="24" customHeight="1">
      <c r="A9" s="10" t="inlineStr"/>
      <c r="B9" s="38" t="inlineStr">
        <is>
          <t>김철수</t>
        </is>
      </c>
      <c r="C9" s="14" t="n"/>
      <c r="D9" s="14" t="n"/>
      <c r="E9" s="14" t="n"/>
      <c r="F9" s="40" t="inlineStr">
        <is>
          <t>│</t>
        </is>
      </c>
      <c r="H9" s="38" t="inlineStr">
        <is>
          <t>박안전</t>
        </is>
      </c>
      <c r="I9" s="14" t="n"/>
      <c r="J9" s="14" t="n"/>
      <c r="K9" s="14" t="n"/>
      <c r="L9" s="10" t="inlineStr"/>
    </row>
    <row r="10" ht="14" customHeight="1">
      <c r="A10" s="39" t="inlineStr">
        <is>
          <t>│</t>
        </is>
      </c>
    </row>
    <row r="11" ht="24" customHeight="1">
      <c r="A11" s="10" t="inlineStr"/>
      <c r="E11" s="13" t="inlineStr">
        <is>
          <t>시 공 업 체</t>
        </is>
      </c>
      <c r="F11" s="14" t="n"/>
      <c r="G11" s="14" t="n"/>
      <c r="H11" s="14" t="n"/>
      <c r="I11" s="10" t="inlineStr"/>
    </row>
    <row r="12" ht="24" customHeight="1">
      <c r="A12" s="10" t="inlineStr"/>
      <c r="E12" s="38" t="inlineStr">
        <is>
          <t>예시도장(주)</t>
        </is>
      </c>
      <c r="F12" s="14" t="n"/>
      <c r="G12" s="14" t="n"/>
      <c r="H12" s="14" t="n"/>
      <c r="I12" s="10" t="inlineStr"/>
    </row>
    <row r="13" ht="14" customHeight="1">
      <c r="A13" s="39" t="inlineStr">
        <is>
          <t>│</t>
        </is>
      </c>
    </row>
    <row r="14" ht="24" customHeight="1">
      <c r="A14" s="10" t="inlineStr"/>
      <c r="E14" s="13" t="inlineStr">
        <is>
          <t>작 업 팀 장</t>
        </is>
      </c>
      <c r="F14" s="14" t="n"/>
      <c r="G14" s="14" t="n"/>
      <c r="H14" s="14" t="n"/>
      <c r="I14" s="10" t="inlineStr"/>
    </row>
    <row r="15" ht="24" customHeight="1">
      <c r="A15" s="10" t="inlineStr"/>
      <c r="E15" s="38" t="inlineStr">
        <is>
          <t>최팀장</t>
        </is>
      </c>
      <c r="F15" s="14" t="n"/>
      <c r="G15" s="14" t="n"/>
      <c r="H15" s="14" t="n"/>
      <c r="I15" s="10" t="inlineStr"/>
    </row>
    <row r="16" ht="14" customHeight="1">
      <c r="A16" s="39" t="inlineStr">
        <is>
          <t>┌──────────┼──────────┐</t>
        </is>
      </c>
    </row>
    <row r="17" ht="24" customHeight="1">
      <c r="A17" s="21" t="inlineStr">
        <is>
          <t>도장공</t>
        </is>
      </c>
      <c r="B17" s="14" t="n"/>
      <c r="C17" s="14" t="n"/>
      <c r="D17" s="21" t="inlineStr">
        <is>
          <t>특별인부</t>
        </is>
      </c>
      <c r="E17" s="14" t="n"/>
      <c r="F17" s="14" t="n"/>
      <c r="G17" s="21" t="inlineStr">
        <is>
          <t>보통인부</t>
        </is>
      </c>
      <c r="H17" s="14" t="n"/>
      <c r="I17" s="14" t="n"/>
      <c r="J17" s="27" t="inlineStr">
        <is>
          <t>합  계</t>
        </is>
      </c>
      <c r="K17" s="14" t="n"/>
      <c r="L17" s="14" t="n"/>
    </row>
    <row r="18" ht="24" customHeight="1">
      <c r="A18" s="41" t="n">
        <v>3</v>
      </c>
      <c r="B18" s="14" t="n"/>
      <c r="C18" s="14" t="n"/>
      <c r="D18" s="41" t="n">
        <v>1</v>
      </c>
      <c r="E18" s="14" t="n"/>
      <c r="F18" s="14" t="n"/>
      <c r="G18" s="41" t="n">
        <v>1</v>
      </c>
      <c r="H18" s="14" t="n"/>
      <c r="I18" s="14" t="n"/>
      <c r="J18" s="42">
        <f>IF(SUM(A18,D18,G18)=0,"",SUM(A18,D18,G18))</f>
        <v/>
      </c>
      <c r="K18" s="14" t="n"/>
      <c r="L18" s="14" t="n"/>
    </row>
    <row r="19" ht="4" customHeight="1"/>
    <row r="20" ht="30" customHeight="1">
      <c r="A20" s="12" t="inlineStr">
        <is>
          <t>4.0   기능인력 투입계획 및 주자재 조달계획</t>
        </is>
      </c>
    </row>
    <row r="21" ht="4" customHeight="1"/>
    <row r="22" ht="21" customHeight="1">
      <c r="A22" s="16" t="inlineStr">
        <is>
          <t>1) 기능 인력(현장 여건에 따라 작업 인원 변동) — 1일 투입인원(2개조)</t>
        </is>
      </c>
    </row>
    <row r="23" ht="24" customHeight="1">
      <c r="A23" s="21" t="inlineStr">
        <is>
          <t>구    분</t>
        </is>
      </c>
      <c r="B23" s="14" t="n"/>
      <c r="C23" s="14" t="n"/>
      <c r="D23" s="14" t="n"/>
      <c r="E23" s="21" t="inlineStr">
        <is>
          <t>단  위</t>
        </is>
      </c>
      <c r="F23" s="14" t="n"/>
      <c r="G23" s="21" t="inlineStr">
        <is>
          <t>수  량</t>
        </is>
      </c>
      <c r="H23" s="14" t="n"/>
      <c r="I23" s="21" t="inlineStr">
        <is>
          <t>비    고</t>
        </is>
      </c>
      <c r="J23" s="14" t="n"/>
      <c r="K23" s="14" t="n"/>
      <c r="L23" s="14" t="n"/>
    </row>
    <row r="24" ht="24" customHeight="1">
      <c r="A24" s="38" t="inlineStr">
        <is>
          <t>공사관리자</t>
        </is>
      </c>
      <c r="B24" s="14" t="n"/>
      <c r="C24" s="14" t="n"/>
      <c r="D24" s="14" t="n"/>
      <c r="E24" s="19" t="inlineStr">
        <is>
          <t>인</t>
        </is>
      </c>
      <c r="F24" s="14" t="n"/>
      <c r="G24" s="43" t="n">
        <v>1</v>
      </c>
      <c r="H24" s="14" t="n"/>
      <c r="I24" s="26" t="n"/>
      <c r="J24" s="14" t="n"/>
      <c r="K24" s="14" t="n"/>
      <c r="L24" s="14" t="n"/>
    </row>
    <row r="25" ht="24" customHeight="1">
      <c r="A25" s="38" t="inlineStr">
        <is>
          <t>도장공</t>
        </is>
      </c>
      <c r="B25" s="14" t="n"/>
      <c r="C25" s="14" t="n"/>
      <c r="D25" s="14" t="n"/>
      <c r="E25" s="19" t="inlineStr">
        <is>
          <t>인</t>
        </is>
      </c>
      <c r="F25" s="14" t="n"/>
      <c r="G25" s="43" t="n">
        <v>3</v>
      </c>
      <c r="H25" s="14" t="n"/>
      <c r="I25" s="26" t="n"/>
      <c r="J25" s="14" t="n"/>
      <c r="K25" s="14" t="n"/>
      <c r="L25" s="14" t="n"/>
    </row>
    <row r="26" ht="24" customHeight="1">
      <c r="A26" s="38" t="inlineStr">
        <is>
          <t>특별인부 및 조공</t>
        </is>
      </c>
      <c r="B26" s="14" t="n"/>
      <c r="C26" s="14" t="n"/>
      <c r="D26" s="14" t="n"/>
      <c r="E26" s="19" t="inlineStr">
        <is>
          <t>인</t>
        </is>
      </c>
      <c r="F26" s="14" t="n"/>
      <c r="G26" s="43" t="n">
        <v>2</v>
      </c>
      <c r="H26" s="14" t="n"/>
      <c r="I26" s="26" t="n"/>
      <c r="J26" s="14" t="n"/>
      <c r="K26" s="14" t="n"/>
      <c r="L26" s="14" t="n"/>
    </row>
    <row r="27" ht="24" customHeight="1">
      <c r="A27" s="27" t="inlineStr">
        <is>
          <t>계</t>
        </is>
      </c>
      <c r="B27" s="14" t="n"/>
      <c r="C27" s="14" t="n"/>
      <c r="D27" s="14" t="n"/>
      <c r="E27" s="27" t="inlineStr">
        <is>
          <t>인</t>
        </is>
      </c>
      <c r="F27" s="14" t="n"/>
      <c r="G27" s="44">
        <f>IF(SUM(G24,G25,G26)=0,"",SUM(G24,G25,G26))</f>
        <v/>
      </c>
      <c r="H27" s="14" t="n"/>
      <c r="I27" s="27" t="inlineStr"/>
      <c r="J27" s="14" t="n"/>
      <c r="K27" s="14" t="n"/>
      <c r="L27" s="14" t="n"/>
    </row>
    <row r="28" ht="17.325" customHeight="1">
      <c r="A28" s="45" t="inlineStr">
        <is>
          <t>※ 작업 수량에 따라 변동됩니다.</t>
        </is>
      </c>
    </row>
    <row r="29" ht="21" customHeight="1">
      <c r="A29" s="16" t="inlineStr">
        <is>
          <t>2) 주자재 조달계획</t>
        </is>
      </c>
    </row>
    <row r="30" ht="30" customHeight="1">
      <c r="A30" s="21" t="inlineStr">
        <is>
          <t>자  재  명</t>
        </is>
      </c>
      <c r="B30" s="14" t="n"/>
      <c r="C30" s="14" t="n"/>
      <c r="D30" s="14" t="n"/>
      <c r="E30" s="21" t="inlineStr">
        <is>
          <t>수  량</t>
        </is>
      </c>
      <c r="F30" s="14" t="n"/>
      <c r="G30" s="21" t="inlineStr">
        <is>
          <t>단위</t>
        </is>
      </c>
      <c r="H30" s="46" t="inlineStr">
        <is>
          <t>현장반입
예정일자</t>
        </is>
      </c>
      <c r="I30" s="14" t="n"/>
      <c r="J30" s="21" t="inlineStr">
        <is>
          <t>비  고</t>
        </is>
      </c>
      <c r="K30" s="14" t="n"/>
      <c r="L30" s="14" t="n"/>
    </row>
    <row r="31" ht="23" customHeight="1">
      <c r="A31" s="23" t="inlineStr">
        <is>
          <t>수성페인트(내부)</t>
        </is>
      </c>
      <c r="B31" s="14" t="n"/>
      <c r="C31" s="14" t="n"/>
      <c r="D31" s="14" t="n"/>
      <c r="E31" s="25" t="n">
        <v>950</v>
      </c>
      <c r="F31" s="14" t="n"/>
      <c r="G31" s="38" t="inlineStr">
        <is>
          <t>L</t>
        </is>
      </c>
      <c r="H31" s="47" t="n">
        <v>46216</v>
      </c>
      <c r="I31" s="14" t="n"/>
      <c r="J31" s="48">
        <f>IF(OR(N(H31)=0,N('예시-개요'!D21)=0),"",IF(H31&lt;'예시-개요'!D21,"⚠ 착공 전 반입","착공 후 "&amp;(H31-'예시-개요'!D21)&amp;"일"))</f>
        <v/>
      </c>
      <c r="K31" s="14" t="n"/>
      <c r="L31" s="14" t="n"/>
    </row>
    <row r="32" ht="23" customHeight="1">
      <c r="A32" s="23" t="inlineStr">
        <is>
          <t>수성페인트(외부)</t>
        </is>
      </c>
      <c r="B32" s="14" t="n"/>
      <c r="C32" s="14" t="n"/>
      <c r="D32" s="14" t="n"/>
      <c r="E32" s="25" t="n">
        <v>60</v>
      </c>
      <c r="F32" s="14" t="n"/>
      <c r="G32" s="38" t="inlineStr">
        <is>
          <t>L</t>
        </is>
      </c>
      <c r="H32" s="47" t="n">
        <v>46258</v>
      </c>
      <c r="I32" s="14" t="n"/>
      <c r="J32" s="48">
        <f>IF(OR(N(H32)=0,N('예시-개요'!D21)=0),"",IF(H32&lt;'예시-개요'!D21,"⚠ 착공 전 반입","착공 후 "&amp;(H32-'예시-개요'!D21)&amp;"일"))</f>
        <v/>
      </c>
      <c r="K32" s="14" t="n"/>
      <c r="L32" s="14" t="n"/>
    </row>
    <row r="33" ht="23" customHeight="1">
      <c r="A33" s="23" t="inlineStr">
        <is>
          <t>에폭시 라이닝(하도)</t>
        </is>
      </c>
      <c r="B33" s="14" t="n"/>
      <c r="C33" s="14" t="n"/>
      <c r="D33" s="14" t="n"/>
      <c r="E33" s="25" t="n">
        <v>35</v>
      </c>
      <c r="F33" s="14" t="n"/>
      <c r="G33" s="38" t="inlineStr">
        <is>
          <t>kg</t>
        </is>
      </c>
      <c r="H33" s="47" t="n">
        <v>46286</v>
      </c>
      <c r="I33" s="14" t="n"/>
      <c r="J33" s="48">
        <f>IF(OR(N(H33)=0,N('예시-개요'!D21)=0),"",IF(H33&lt;'예시-개요'!D21,"⚠ 착공 전 반입","착공 후 "&amp;(H33-'예시-개요'!D21)&amp;"일"))</f>
        <v/>
      </c>
      <c r="K33" s="14" t="n"/>
      <c r="L33" s="14" t="n"/>
    </row>
    <row r="34" ht="23" customHeight="1">
      <c r="A34" s="23" t="inlineStr">
        <is>
          <t>에폭시 라이닝(중도)</t>
        </is>
      </c>
      <c r="B34" s="14" t="n"/>
      <c r="C34" s="14" t="n"/>
      <c r="D34" s="14" t="n"/>
      <c r="E34" s="25" t="n">
        <v>1080</v>
      </c>
      <c r="F34" s="14" t="n"/>
      <c r="G34" s="38" t="inlineStr">
        <is>
          <t>kg</t>
        </is>
      </c>
      <c r="H34" s="47" t="n">
        <v>46286</v>
      </c>
      <c r="I34" s="14" t="n"/>
      <c r="J34" s="48">
        <f>IF(OR(N(H34)=0,N('예시-개요'!D21)=0),"",IF(H34&lt;'예시-개요'!D21,"⚠ 착공 전 반입","착공 후 "&amp;(H34-'예시-개요'!D21)&amp;"일"))</f>
        <v/>
      </c>
      <c r="K34" s="14" t="n"/>
      <c r="L34" s="14" t="n"/>
    </row>
    <row r="35" ht="23" customHeight="1">
      <c r="A35" s="23" t="inlineStr">
        <is>
          <t>에폭시 라이닝(상도)</t>
        </is>
      </c>
      <c r="B35" s="14" t="n"/>
      <c r="C35" s="14" t="n"/>
      <c r="D35" s="14" t="n"/>
      <c r="E35" s="25" t="n">
        <v>35</v>
      </c>
      <c r="F35" s="14" t="n"/>
      <c r="G35" s="38" t="inlineStr">
        <is>
          <t>L</t>
        </is>
      </c>
      <c r="H35" s="47" t="n">
        <v>46286</v>
      </c>
      <c r="I35" s="14" t="n"/>
      <c r="J35" s="48">
        <f>IF(OR(N(H35)=0,N('예시-개요'!D21)=0),"",IF(H35&lt;'예시-개요'!D21,"⚠ 착공 전 반입","착공 후 "&amp;(H35-'예시-개요'!D21)&amp;"일"))</f>
        <v/>
      </c>
      <c r="K35" s="14" t="n"/>
      <c r="L35" s="14" t="n"/>
    </row>
    <row r="36" ht="23" customHeight="1">
      <c r="A36" s="23" t="inlineStr">
        <is>
          <t>에폭시 코팅(하도)</t>
        </is>
      </c>
      <c r="B36" s="14" t="n"/>
      <c r="C36" s="14" t="n"/>
      <c r="D36" s="14" t="n"/>
      <c r="E36" s="25" t="n">
        <v>40</v>
      </c>
      <c r="F36" s="14" t="n"/>
      <c r="G36" s="38" t="inlineStr">
        <is>
          <t>kg</t>
        </is>
      </c>
      <c r="H36" s="47" t="n">
        <v>46286</v>
      </c>
      <c r="I36" s="14" t="n"/>
      <c r="J36" s="48">
        <f>IF(OR(N(H36)=0,N('예시-개요'!D21)=0),"",IF(H36&lt;'예시-개요'!D21,"⚠ 착공 전 반입","착공 후 "&amp;(H36-'예시-개요'!D21)&amp;"일"))</f>
        <v/>
      </c>
      <c r="K36" s="14" t="n"/>
      <c r="L36" s="14" t="n"/>
    </row>
    <row r="37" ht="23" customHeight="1">
      <c r="A37" s="23" t="inlineStr">
        <is>
          <t>에폭시 코팅(상도)</t>
        </is>
      </c>
      <c r="B37" s="14" t="n"/>
      <c r="C37" s="14" t="n"/>
      <c r="D37" s="14" t="n"/>
      <c r="E37" s="25" t="n">
        <v>80</v>
      </c>
      <c r="F37" s="14" t="n"/>
      <c r="G37" s="38" t="inlineStr">
        <is>
          <t>kg</t>
        </is>
      </c>
      <c r="H37" s="47" t="n">
        <v>46286</v>
      </c>
      <c r="I37" s="14" t="n"/>
      <c r="J37" s="48">
        <f>IF(OR(N(H37)=0,N('예시-개요'!D21)=0),"",IF(H37&lt;'예시-개요'!D21,"⚠ 착공 전 반입","착공 후 "&amp;(H37-'예시-개요'!D21)&amp;"일"))</f>
        <v/>
      </c>
      <c r="K37" s="14" t="n"/>
      <c r="L37" s="14" t="n"/>
    </row>
    <row r="38" ht="23" customHeight="1">
      <c r="A38" s="23" t="inlineStr">
        <is>
          <t>세라믹 페인트</t>
        </is>
      </c>
      <c r="B38" s="14" t="n"/>
      <c r="C38" s="14" t="n"/>
      <c r="D38" s="14" t="n"/>
      <c r="E38" s="25" t="n">
        <v>33</v>
      </c>
      <c r="F38" s="14" t="n"/>
      <c r="G38" s="38" t="inlineStr">
        <is>
          <t>L</t>
        </is>
      </c>
      <c r="H38" s="47" t="n">
        <v>46272</v>
      </c>
      <c r="I38" s="14" t="n"/>
      <c r="J38" s="48">
        <f>IF(OR(N(H38)=0,N('예시-개요'!D21)=0),"",IF(H38&lt;'예시-개요'!D21,"⚠ 착공 전 반입","착공 후 "&amp;(H38-'예시-개요'!D21)&amp;"일"))</f>
        <v/>
      </c>
      <c r="K38" s="14" t="n"/>
      <c r="L38" s="14" t="n"/>
    </row>
    <row r="39" ht="23" customHeight="1">
      <c r="A39" s="23" t="n"/>
      <c r="B39" s="14" t="n"/>
      <c r="C39" s="14" t="n"/>
      <c r="D39" s="14" t="n"/>
      <c r="E39" s="25" t="n"/>
      <c r="F39" s="14" t="n"/>
      <c r="G39" s="38" t="n"/>
      <c r="H39" s="47" t="n"/>
      <c r="I39" s="14" t="n"/>
      <c r="J39" s="48">
        <f>IF(OR(N(H39)=0,N('예시-개요'!D21)=0),"",IF(H39&lt;'예시-개요'!D21,"⚠ 착공 전 반입","착공 후 "&amp;(H39-'예시-개요'!D21)&amp;"일"))</f>
        <v/>
      </c>
      <c r="K39" s="14" t="n"/>
      <c r="L39" s="14" t="n"/>
    </row>
    <row r="40" ht="23" customHeight="1">
      <c r="A40" s="23" t="n"/>
      <c r="B40" s="14" t="n"/>
      <c r="C40" s="14" t="n"/>
      <c r="D40" s="14" t="n"/>
      <c r="E40" s="25" t="n"/>
      <c r="F40" s="14" t="n"/>
      <c r="G40" s="38" t="n"/>
      <c r="H40" s="47" t="n"/>
      <c r="I40" s="14" t="n"/>
      <c r="J40" s="48">
        <f>IF(OR(N(H40)=0,N('예시-개요'!D21)=0),"",IF(H40&lt;'예시-개요'!D21,"⚠ 착공 전 반입","착공 후 "&amp;(H40-'예시-개요'!D21)&amp;"일"))</f>
        <v/>
      </c>
      <c r="K40" s="14" t="n"/>
      <c r="L40" s="14" t="n"/>
    </row>
    <row r="42" ht="19.5" customHeight="1">
      <c r="A42" s="8" t="inlineStr">
        <is>
          <t>이 시트는 작성 예시입니다(가상의 사람 · 수량 · 날짜).</t>
        </is>
      </c>
    </row>
  </sheetData>
  <mergeCells count="108">
    <mergeCell ref="A5:D5"/>
    <mergeCell ref="I14:L14"/>
    <mergeCell ref="H35:I35"/>
    <mergeCell ref="E23:F23"/>
    <mergeCell ref="J35:L35"/>
    <mergeCell ref="G23:H23"/>
    <mergeCell ref="H39:I39"/>
    <mergeCell ref="A31:D31"/>
    <mergeCell ref="A15:D15"/>
    <mergeCell ref="A24:D24"/>
    <mergeCell ref="E34:F34"/>
    <mergeCell ref="I26:L26"/>
    <mergeCell ref="H9:K9"/>
    <mergeCell ref="E27:F27"/>
    <mergeCell ref="J39:L39"/>
    <mergeCell ref="E36:F36"/>
    <mergeCell ref="H37:I37"/>
    <mergeCell ref="I25:L25"/>
    <mergeCell ref="J38:L38"/>
    <mergeCell ref="A27:D27"/>
    <mergeCell ref="A33:D33"/>
    <mergeCell ref="J40:L40"/>
    <mergeCell ref="A35:D35"/>
    <mergeCell ref="D17:F17"/>
    <mergeCell ref="A3:L3"/>
    <mergeCell ref="H34:I34"/>
    <mergeCell ref="E38:F38"/>
    <mergeCell ref="H8:K8"/>
    <mergeCell ref="E12:H12"/>
    <mergeCell ref="A30:D30"/>
    <mergeCell ref="I6:L6"/>
    <mergeCell ref="I15:L15"/>
    <mergeCell ref="H36:I36"/>
    <mergeCell ref="A11:D11"/>
    <mergeCell ref="E40:F40"/>
    <mergeCell ref="E5:H5"/>
    <mergeCell ref="E14:H14"/>
    <mergeCell ref="J33:L33"/>
    <mergeCell ref="G24:H24"/>
    <mergeCell ref="E26:F26"/>
    <mergeCell ref="G26:H26"/>
    <mergeCell ref="F9:G9"/>
    <mergeCell ref="E25:F25"/>
    <mergeCell ref="J37:L37"/>
    <mergeCell ref="G25:H25"/>
    <mergeCell ref="A26:D26"/>
    <mergeCell ref="G17:I17"/>
    <mergeCell ref="I24:L24"/>
    <mergeCell ref="J30:L30"/>
    <mergeCell ref="A16:L16"/>
    <mergeCell ref="H38:I38"/>
    <mergeCell ref="A18:C18"/>
    <mergeCell ref="H31:I31"/>
    <mergeCell ref="E39:F39"/>
    <mergeCell ref="H40:I40"/>
    <mergeCell ref="J32:L32"/>
    <mergeCell ref="A42:L42"/>
    <mergeCell ref="A34:D34"/>
    <mergeCell ref="A39:D39"/>
    <mergeCell ref="D18:F18"/>
    <mergeCell ref="A22:L22"/>
    <mergeCell ref="I11:L11"/>
    <mergeCell ref="E31:F31"/>
    <mergeCell ref="A36:D36"/>
    <mergeCell ref="F8:G8"/>
    <mergeCell ref="A20:L20"/>
    <mergeCell ref="A29:L29"/>
    <mergeCell ref="J18:L18"/>
    <mergeCell ref="A13:L13"/>
    <mergeCell ref="J17:L17"/>
    <mergeCell ref="A37:D37"/>
    <mergeCell ref="E32:F32"/>
    <mergeCell ref="A12:D12"/>
    <mergeCell ref="A1:F1"/>
    <mergeCell ref="E6:H6"/>
    <mergeCell ref="E15:H15"/>
    <mergeCell ref="J34:L34"/>
    <mergeCell ref="A32:D32"/>
    <mergeCell ref="H30:I30"/>
    <mergeCell ref="A14:D14"/>
    <mergeCell ref="I23:L23"/>
    <mergeCell ref="A23:D23"/>
    <mergeCell ref="B9:E9"/>
    <mergeCell ref="A7:L7"/>
    <mergeCell ref="E24:F24"/>
    <mergeCell ref="J36:L36"/>
    <mergeCell ref="E33:F33"/>
    <mergeCell ref="A38:D38"/>
    <mergeCell ref="G27:H27"/>
    <mergeCell ref="G18:I18"/>
    <mergeCell ref="E35:F35"/>
    <mergeCell ref="A40:D40"/>
    <mergeCell ref="J31:L31"/>
    <mergeCell ref="A17:C17"/>
    <mergeCell ref="I27:L27"/>
    <mergeCell ref="G1:L1"/>
    <mergeCell ref="A10:L10"/>
    <mergeCell ref="E30:F30"/>
    <mergeCell ref="A6:D6"/>
    <mergeCell ref="H32:I32"/>
    <mergeCell ref="A28:L28"/>
    <mergeCell ref="A25:D25"/>
    <mergeCell ref="B8:E8"/>
    <mergeCell ref="I12:L12"/>
    <mergeCell ref="H33:I33"/>
    <mergeCell ref="E37:F37"/>
    <mergeCell ref="E11:H11"/>
    <mergeCell ref="I5:L5"/>
  </mergeCells>
  <conditionalFormatting sqref="E31:E40">
    <cfRule type="expression" priority="1" dxfId="0">
      <formula>AND(ISNUMBER(E31),MOD(E31,1)=0)</formula>
    </cfRule>
  </conditionalFormatting>
  <printOptions horizontalCentered="1"/>
  <pageMargins left="0.6" right="0.6" top="0.6" bottom="0.6" header="0.2" footer="0.2"/>
  <pageSetup orientation="portrait" paperSize="9" fitToHeight="0" fitToWidth="1"/>
  <rowBreaks count="1" manualBreakCount="1">
    <brk id="18" min="0" max="16383" man="1"/>
  </rowBreaks>
</worksheet>
</file>

<file path=xl/worksheets/sheet1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119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72" t="inlineStr">
        <is>
          <t xml:space="preserve">작성 예시 (가상의 현장)  </t>
        </is>
      </c>
    </row>
    <row r="2" ht="4" customHeight="1"/>
    <row r="3" ht="30" customHeight="1">
      <c r="A3" s="12" t="inlineStr">
        <is>
          <t>5.0   시 공 관 리</t>
        </is>
      </c>
    </row>
    <row r="4" ht="4" customHeight="1"/>
    <row r="5" ht="3" customHeight="1"/>
    <row r="6" ht="22" customHeight="1">
      <c r="A6" s="49" t="inlineStr">
        <is>
          <t>5-1  일반사항</t>
        </is>
      </c>
    </row>
    <row r="7" ht="21" customHeight="1">
      <c r="A7" s="16" t="inlineStr">
        <is>
          <t>1) 운반 · 보관 및 취급</t>
        </is>
      </c>
    </row>
    <row r="8" ht="51.5" customHeight="1">
      <c r="A8" s="50" t="inlineStr">
        <is>
          <t>(1)</t>
        </is>
      </c>
      <c r="B8" s="51" t="inlineStr">
        <is>
          <t>도장재는 밀봉된 용기에 넣어 개봉하지 않은 상태로 반입하고, 용기에는 도장재의 종류 · 색상 · 수량 · 제조일자 · 제조일련번호 · 상표 · 사용상 주의사항 · 바탕 준비사항 · 건조시간 · 배합에 관한 제조업자의 지침이 적혀 있어야 한다.</t>
        </is>
      </c>
    </row>
    <row r="9" ht="20.5" customHeight="1">
      <c r="A9" s="50" t="inlineStr">
        <is>
          <t>(2)</t>
        </is>
      </c>
      <c r="B9" s="51" t="inlineStr">
        <is>
          <t>도장재의 반입 시기는 공사기간 외에 품질시험에 걸리는 기간을 고려하여 정한다.</t>
        </is>
      </c>
    </row>
    <row r="10" ht="36" customHeight="1">
      <c r="A10" s="50" t="inlineStr">
        <is>
          <t>(3)</t>
        </is>
      </c>
      <c r="B10" s="51" t="inlineStr">
        <is>
          <t>가연성 도료는 전용 창고에 보관하는 것을 원칙으로 하며, 반입한 도료와 사용 중인 도료는 공사감독자가 승인한 창고에 보관하고 도료창고에 «화기 엄금» 표시를 한다.</t>
        </is>
      </c>
    </row>
    <row r="11" ht="20.5" customHeight="1">
      <c r="A11" s="50" t="inlineStr">
        <is>
          <t>(4)</t>
        </is>
      </c>
      <c r="B11" s="51" t="inlineStr">
        <is>
          <t>도료창고는 특히 화재에 주의하고, 창고 안과 주변에서 화기 사용을 엄금한다.</t>
        </is>
      </c>
    </row>
    <row r="12" ht="36" customHeight="1">
      <c r="A12" s="50" t="inlineStr">
        <is>
          <t>(5)</t>
        </is>
      </c>
      <c r="B12" s="51" t="inlineStr">
        <is>
          <t>도료는 될 수 있는 대로 밀봉하여 새거나 엎지르지 않게 다루고, 샌 것이나 엎지른 것은 발화 위험이 없도록 닦아 낸다.</t>
        </is>
      </c>
    </row>
    <row r="13" ht="21" customHeight="1">
      <c r="A13" s="16" t="inlineStr">
        <is>
          <t>2) 환경 요구사항</t>
        </is>
      </c>
    </row>
    <row r="14" ht="36" customHeight="1">
      <c r="A14" s="50" t="inlineStr">
        <is>
          <t>(1)</t>
        </is>
      </c>
      <c r="B14" s="51" t="inlineStr">
        <is>
          <t>도장 작업 중이나 도료 건조기간 중, 도장 장소의 환경 · 기상 조건이 아래와 같아 좋은 결과를 기대할 수 없으면 공사감독자가 승인할 때까지 도장하지 않는다.</t>
        </is>
      </c>
    </row>
    <row r="15" ht="51.5" customHeight="1">
      <c r="A15" s="50" t="inlineStr">
        <is>
          <t>(2)</t>
        </is>
      </c>
      <c r="B15" s="51" t="inlineStr">
        <is>
          <t>기온이 낮거나 습도가 높고 환기가 충분하지 않아 건조가 부적당할 때, 주위 기온이 5℃ 미만이거나 상대습도가 85% 를 넘을 때, 눈 · 비가 올 때 및 안개가 끼었을 때. 다만 재료 제조업자의 시방서에 따로 표시한 경우는 예외로 한다.</t>
        </is>
      </c>
    </row>
    <row r="16" ht="3" customHeight="1"/>
    <row r="17" ht="22" customHeight="1">
      <c r="A17" s="49" t="inlineStr">
        <is>
          <t>5-2  재료</t>
        </is>
      </c>
    </row>
    <row r="18" ht="21" customHeight="1">
      <c r="A18" s="16" t="inlineStr">
        <is>
          <t>1) 도장재의 일반 조건</t>
        </is>
      </c>
    </row>
    <row r="19" ht="20.5" customHeight="1">
      <c r="A19" s="50" t="inlineStr">
        <is>
          <t>(1)</t>
        </is>
      </c>
      <c r="B19" s="51" t="inlineStr">
        <is>
          <t>도장재료는 한국산업표준(KS)에서 정한 규격에 합격한 것을 쓴다.</t>
        </is>
      </c>
    </row>
    <row r="20" ht="51.5" customHeight="1">
      <c r="A20" s="50" t="inlineStr">
        <is>
          <t>(2)</t>
        </is>
      </c>
      <c r="B20" s="51" t="inlineStr">
        <is>
          <t>도료는 상표가 완전하고 개봉하지 않은 채로 현장에 반입하여 KS 표시 여부 · 규격번호 · 품명 · 종별 · 제조연월일 · 포장 번호 및 수량 · 구성성분(안료 · 용제) · 희석방법 · 색명 및 번호 등을 확인받는다.</t>
        </is>
      </c>
    </row>
    <row r="21" ht="20.5" customHeight="1">
      <c r="A21" s="50" t="inlineStr">
        <is>
          <t>(3)</t>
        </is>
      </c>
      <c r="B21" s="51" t="inlineStr">
        <is>
          <t>현장에서 쓰는 도장재는 종류별로 한 제조업자의 제품을 쓴다.</t>
        </is>
      </c>
    </row>
    <row r="22" ht="20.5" customHeight="1">
      <c r="A22" s="50" t="inlineStr">
        <is>
          <t>(4)</t>
        </is>
      </c>
      <c r="B22" s="51" t="inlineStr">
        <is>
          <t>공장에서 배합이 끝난 제품을 쓰며, 현장 희석은 제조업자가 인정하는 범위에서 한다.</t>
        </is>
      </c>
    </row>
    <row r="23" ht="36" customHeight="1">
      <c r="A23" s="50" t="inlineStr">
        <is>
          <t>(5)</t>
        </is>
      </c>
      <c r="B23" s="51" t="inlineStr">
        <is>
          <t>상도 · 중도 · 하도의 도막 색상은 서로 다르게 하며, 상도 후 마감 상태가 요구 기준에 맞아야 한다.</t>
        </is>
      </c>
    </row>
    <row r="24" ht="21" customHeight="1">
      <c r="A24" s="16" t="inlineStr">
        <is>
          <t>2) 합성수지 에멀션 페인트</t>
        </is>
      </c>
    </row>
    <row r="25" ht="67" customHeight="1">
      <c r="A25" s="50" t="inlineStr">
        <is>
          <t>(1)</t>
        </is>
      </c>
      <c r="B25" s="51" t="inlineStr">
        <is>
          <t>외부 수성페인트 — KS M 5310 의 1급에 맞는 합성수지 에멀션 페인트(외부용)로 한다. 도면 · 공사시방에 발수용 외부 수성페인트를 쓰도록 명시한 경우에는 KS M 5310 1급 제품으로서 KS M 7057 발수도 시험 결과 R7 이상인 제품으로 하며, 시험편은 KS M 5310 에 따라 만든 시편 5매로 한다.</t>
        </is>
      </c>
    </row>
    <row r="26" ht="20.5" customHeight="1">
      <c r="A26" s="50" t="inlineStr">
        <is>
          <t>(2)</t>
        </is>
      </c>
      <c r="B26" s="51" t="inlineStr">
        <is>
          <t>내부 수성페인트 — KS M 5320 의 1급에 맞는 합성수지 에멀션 페인트(내부용)로 한다.</t>
        </is>
      </c>
    </row>
    <row r="27" ht="20.5" customHeight="1">
      <c r="A27" s="50" t="inlineStr">
        <is>
          <t>(3)</t>
        </is>
      </c>
      <c r="B27" s="51" t="inlineStr">
        <is>
          <t>광택 합성수지 에멀션 페인트 — 광택 합성수지 에멀션 페인트 규정에 합격한 재료로 한다.</t>
        </is>
      </c>
    </row>
    <row r="28" ht="21" customHeight="1">
      <c r="A28" s="16" t="inlineStr">
        <is>
          <t>3) 바닥재 도료칠</t>
        </is>
      </c>
    </row>
    <row r="29" ht="20.5" customHeight="1">
      <c r="A29" s="50" t="inlineStr">
        <is>
          <t>(1)</t>
        </is>
      </c>
      <c r="B29" s="51" t="inlineStr">
        <is>
          <t>코팅형 에폭시 바닥재 — 품질은 승인된 제조업자의 품질자료에 따른다.</t>
        </is>
      </c>
    </row>
    <row r="30" ht="20.5" customHeight="1">
      <c r="A30" s="50" t="inlineStr">
        <is>
          <t>(2)</t>
        </is>
      </c>
      <c r="B30" s="51" t="inlineStr">
        <is>
          <t>아크릴 수지 에나멜 바닥재 — 품질은 승인된 제조업자의 품질자료에 따른다.</t>
        </is>
      </c>
    </row>
    <row r="31" ht="3" customHeight="1"/>
    <row r="32" ht="22" customHeight="1">
      <c r="A32" s="49" t="inlineStr">
        <is>
          <t>5-3  시공</t>
        </is>
      </c>
    </row>
    <row r="33" ht="21" customHeight="1">
      <c r="A33" s="16" t="inlineStr">
        <is>
          <t>1) 바탕 만들기(면처리)</t>
        </is>
      </c>
    </row>
    <row r="34" ht="21.5" customHeight="1">
      <c r="A34" s="52" t="inlineStr">
        <is>
          <t>각종 도료를 칠하기 전에 바탕 만들기(면처리 · 바탕조정 · 바탕처리 등)를 한다.</t>
        </is>
      </c>
    </row>
    <row r="35" ht="21" customHeight="1">
      <c r="A35" s="16" t="inlineStr">
        <is>
          <t>2) 일반 조건</t>
        </is>
      </c>
    </row>
    <row r="36" ht="51.5" customHeight="1">
      <c r="A36" s="50" t="inlineStr">
        <is>
          <t>(1)</t>
        </is>
      </c>
      <c r="B36" s="51" t="inlineStr">
        <is>
          <t>칠 바탕면은 칠이나 표면처리를 하기 전에 녹 · 해로운 부착물(먼지 · 기름 · 타르분 · 회반죽 · 플라스터 · 시멘트 · 모르타르)과 노화가 심한 구도막을 완전히 없애고 깨끗이 청소한다.</t>
        </is>
      </c>
    </row>
    <row r="37" ht="20.5" customHeight="1">
      <c r="A37" s="50" t="inlineStr">
        <is>
          <t>(2)</t>
        </is>
      </c>
      <c r="B37" s="51" t="inlineStr">
        <is>
          <t>못머리 등 금속이 바탕면에 드러난 곳은 상부 칠 종류에 맞는 녹 방지 조치를 따로 한다.</t>
        </is>
      </c>
    </row>
    <row r="38" ht="51.5" customHeight="1">
      <c r="A38" s="50" t="inlineStr">
        <is>
          <t>(3)</t>
        </is>
      </c>
      <c r="B38" s="51" t="inlineStr">
        <is>
          <t>칠할 부위에 붙은 비도장 부위는 바탕정리나 칠하기 전에 보양재를 덮어 도료가 묻지 않게 한다. 특히 실내에서는 벽 · 바닥 · 인접 시설에 묻지 않도록 비닐 · 신문지 등으로 보양한다.</t>
        </is>
      </c>
    </row>
    <row r="39" ht="36" customHeight="1">
      <c r="A39" s="50" t="inlineStr">
        <is>
          <t>(4)</t>
        </is>
      </c>
      <c r="B39" s="51" t="inlineStr">
        <is>
          <t>면의 결점(홈 · 구멍 · 갈라짐 · 변형 · 옹이 · 흡수성이 고르지 않은 곳 등)을 보수하여 칠하기 좋은 상태로 한다.</t>
        </is>
      </c>
    </row>
    <row r="40" ht="36" customHeight="1">
      <c r="A40" s="50" t="inlineStr">
        <is>
          <t>(5)</t>
        </is>
      </c>
      <c r="B40" s="51" t="inlineStr">
        <is>
          <t>배어 나오기 · 녹아 나오기 등에 의한 해로운 물질(수분 · 기름 · 수지 · 산 · 알칼리 등)의 작용을 막는 처리를 한다.</t>
        </is>
      </c>
    </row>
    <row r="41" ht="20.5" customHeight="1">
      <c r="A41" s="50" t="inlineStr">
        <is>
          <t>(6)</t>
        </is>
      </c>
      <c r="B41" s="51" t="inlineStr">
        <is>
          <t>색상 · 재질이 다른 칠이 만나는 경계는 경계선이 곧도록 테이핑 작업을 한다.</t>
        </is>
      </c>
    </row>
    <row r="42" ht="36" customHeight="1">
      <c r="A42" s="50" t="inlineStr">
        <is>
          <t>(7)</t>
        </is>
      </c>
      <c r="B42" s="51" t="inlineStr">
        <is>
          <t>도장재와 바탕 종류에 따라 따로 표면처리가 필요하면 도료 제조업자의 지침에 따라 바탕처리를 한다.</t>
        </is>
      </c>
    </row>
    <row r="43" ht="21" customHeight="1">
      <c r="A43" s="16" t="inlineStr">
        <is>
          <t>3) 바탕 만들기 공법</t>
        </is>
      </c>
    </row>
    <row r="44" ht="68" customHeight="1">
      <c r="A44" s="52" t="inlineStr">
        <is>
          <t>바탕 만들기 공정의 종별(바탕 종류 · 공법)은 아래에 따르며, 종별 지시가 없으면 철재면 3종, 아연도금면 2종 또는 3종, 경금속 및 동합금면 2종으로 한다. 다만 비닐계 에나멜 도장일 때는 철재면 2종, 아연도금면 1종으로 하고, 100℃ 이상에서 건조시키는 공업용 도장은 1종(인산염 처리)으로 한다.</t>
        </is>
      </c>
    </row>
    <row r="45" ht="20" customHeight="1">
      <c r="A45" s="53" t="inlineStr">
        <is>
          <t>[ 바탕 만들기의 도장 종별 ]</t>
        </is>
      </c>
    </row>
    <row r="46" ht="24" customHeight="1">
      <c r="A46" s="21" t="inlineStr">
        <is>
          <t>바 탕 의  종 류</t>
        </is>
      </c>
      <c r="B46" s="14" t="n"/>
      <c r="C46" s="14" t="n"/>
      <c r="D46" s="14" t="n"/>
      <c r="E46" s="21" t="inlineStr">
        <is>
          <t>종  류</t>
        </is>
      </c>
      <c r="F46" s="14" t="n"/>
      <c r="G46" s="21" t="inlineStr">
        <is>
          <t>공        법</t>
        </is>
      </c>
      <c r="H46" s="14" t="n"/>
      <c r="I46" s="14" t="n"/>
      <c r="J46" s="14" t="n"/>
      <c r="K46" s="14" t="n"/>
      <c r="L46" s="14" t="n"/>
    </row>
    <row r="47" ht="33" customHeight="1">
      <c r="A47" s="54" t="inlineStr">
        <is>
          <t>목부 · 플라스터 · 모르타르 · 콘크리트면</t>
        </is>
      </c>
      <c r="B47" s="14" t="n"/>
      <c r="C47" s="14" t="n"/>
      <c r="D47" s="14" t="n"/>
      <c r="E47" s="55" t="inlineStr">
        <is>
          <t>1종</t>
        </is>
      </c>
      <c r="F47" s="14" t="n"/>
      <c r="G47" s="54" t="inlineStr">
        <is>
          <t>부분 퍼티 처리</t>
        </is>
      </c>
      <c r="H47" s="14" t="n"/>
      <c r="I47" s="14" t="n"/>
      <c r="J47" s="14" t="n"/>
      <c r="K47" s="14" t="n"/>
      <c r="L47" s="14" t="n"/>
    </row>
    <row r="48" ht="22" customHeight="1">
      <c r="A48" s="54" t="inlineStr"/>
      <c r="B48" s="14" t="n"/>
      <c r="C48" s="14" t="n"/>
      <c r="D48" s="14" t="n"/>
      <c r="E48" s="55" t="inlineStr">
        <is>
          <t>2종</t>
        </is>
      </c>
      <c r="F48" s="14" t="n"/>
      <c r="G48" s="54" t="inlineStr">
        <is>
          <t>전면 퍼티 처리</t>
        </is>
      </c>
      <c r="H48" s="14" t="n"/>
      <c r="I48" s="14" t="n"/>
      <c r="J48" s="14" t="n"/>
      <c r="K48" s="14" t="n"/>
      <c r="L48" s="14" t="n"/>
    </row>
    <row r="49" ht="22" customHeight="1">
      <c r="A49" s="54" t="inlineStr"/>
      <c r="B49" s="14" t="n"/>
      <c r="C49" s="14" t="n"/>
      <c r="D49" s="14" t="n"/>
      <c r="E49" s="55" t="inlineStr">
        <is>
          <t>3종</t>
        </is>
      </c>
      <c r="F49" s="14" t="n"/>
      <c r="G49" s="54" t="inlineStr">
        <is>
          <t>이음새 퍼티 처리</t>
        </is>
      </c>
      <c r="H49" s="14" t="n"/>
      <c r="I49" s="14" t="n"/>
      <c r="J49" s="14" t="n"/>
      <c r="K49" s="14" t="n"/>
      <c r="L49" s="14" t="n"/>
    </row>
    <row r="50" ht="22" customHeight="1">
      <c r="A50" s="54" t="inlineStr">
        <is>
          <t>철재면</t>
        </is>
      </c>
      <c r="B50" s="14" t="n"/>
      <c r="C50" s="14" t="n"/>
      <c r="D50" s="14" t="n"/>
      <c r="E50" s="55" t="inlineStr">
        <is>
          <t>1종</t>
        </is>
      </c>
      <c r="F50" s="14" t="n"/>
      <c r="G50" s="54" t="inlineStr">
        <is>
          <t>인산염 처리를 할 때</t>
        </is>
      </c>
      <c r="H50" s="14" t="n"/>
      <c r="I50" s="14" t="n"/>
      <c r="J50" s="14" t="n"/>
      <c r="K50" s="14" t="n"/>
      <c r="L50" s="14" t="n"/>
    </row>
    <row r="51" ht="22" customHeight="1">
      <c r="A51" s="54" t="inlineStr"/>
      <c r="B51" s="14" t="n"/>
      <c r="C51" s="14" t="n"/>
      <c r="D51" s="14" t="n"/>
      <c r="E51" s="55" t="inlineStr">
        <is>
          <t>2종</t>
        </is>
      </c>
      <c r="F51" s="14" t="n"/>
      <c r="G51" s="54" t="inlineStr">
        <is>
          <t>금속 바탕처리용 프라이머를 칠할 때</t>
        </is>
      </c>
      <c r="H51" s="14" t="n"/>
      <c r="I51" s="14" t="n"/>
      <c r="J51" s="14" t="n"/>
      <c r="K51" s="14" t="n"/>
      <c r="L51" s="14" t="n"/>
    </row>
    <row r="52" ht="22" customHeight="1">
      <c r="A52" s="54" t="inlineStr"/>
      <c r="B52" s="14" t="n"/>
      <c r="C52" s="14" t="n"/>
      <c r="D52" s="14" t="n"/>
      <c r="E52" s="55" t="inlineStr">
        <is>
          <t>3종</t>
        </is>
      </c>
      <c r="F52" s="14" t="n"/>
      <c r="G52" s="54" t="inlineStr">
        <is>
          <t>보통의 금속</t>
        </is>
      </c>
      <c r="H52" s="14" t="n"/>
      <c r="I52" s="14" t="n"/>
      <c r="J52" s="14" t="n"/>
      <c r="K52" s="14" t="n"/>
      <c r="L52" s="14" t="n"/>
    </row>
    <row r="53" ht="22" customHeight="1">
      <c r="A53" s="54" t="inlineStr">
        <is>
          <t>아연도금면</t>
        </is>
      </c>
      <c r="B53" s="14" t="n"/>
      <c r="C53" s="14" t="n"/>
      <c r="D53" s="14" t="n"/>
      <c r="E53" s="55" t="inlineStr">
        <is>
          <t>1종</t>
        </is>
      </c>
      <c r="F53" s="14" t="n"/>
      <c r="G53" s="54" t="inlineStr">
        <is>
          <t>금속 바탕처리용 프라이머를 칠할 때</t>
        </is>
      </c>
      <c r="H53" s="14" t="n"/>
      <c r="I53" s="14" t="n"/>
      <c r="J53" s="14" t="n"/>
      <c r="K53" s="14" t="n"/>
      <c r="L53" s="14" t="n"/>
    </row>
    <row r="54" ht="22" customHeight="1">
      <c r="A54" s="54" t="inlineStr"/>
      <c r="B54" s="14" t="n"/>
      <c r="C54" s="14" t="n"/>
      <c r="D54" s="14" t="n"/>
      <c r="E54" s="55" t="inlineStr">
        <is>
          <t>2종</t>
        </is>
      </c>
      <c r="F54" s="14" t="n"/>
      <c r="G54" s="54" t="inlineStr">
        <is>
          <t>황산아연 수용액을 칠할 때</t>
        </is>
      </c>
      <c r="H54" s="14" t="n"/>
      <c r="I54" s="14" t="n"/>
      <c r="J54" s="14" t="n"/>
      <c r="K54" s="14" t="n"/>
      <c r="L54" s="14" t="n"/>
    </row>
    <row r="55" ht="22" customHeight="1">
      <c r="A55" s="54" t="inlineStr"/>
      <c r="B55" s="14" t="n"/>
      <c r="C55" s="14" t="n"/>
      <c r="D55" s="14" t="n"/>
      <c r="E55" s="55" t="inlineStr">
        <is>
          <t>3종</t>
        </is>
      </c>
      <c r="F55" s="14" t="n"/>
      <c r="G55" s="54" t="inlineStr">
        <is>
          <t>옥외로서 풍우에 닿을 때</t>
        </is>
      </c>
      <c r="H55" s="14" t="n"/>
      <c r="I55" s="14" t="n"/>
      <c r="J55" s="14" t="n"/>
      <c r="K55" s="14" t="n"/>
      <c r="L55" s="14" t="n"/>
    </row>
    <row r="56" ht="22" customHeight="1">
      <c r="A56" s="54" t="inlineStr">
        <is>
          <t>경금속 및 동합금면</t>
        </is>
      </c>
      <c r="B56" s="14" t="n"/>
      <c r="C56" s="14" t="n"/>
      <c r="D56" s="14" t="n"/>
      <c r="E56" s="55" t="inlineStr">
        <is>
          <t>1종</t>
        </is>
      </c>
      <c r="F56" s="14" t="n"/>
      <c r="G56" s="54" t="inlineStr">
        <is>
          <t>인산염 처리를 할 때</t>
        </is>
      </c>
      <c r="H56" s="14" t="n"/>
      <c r="I56" s="14" t="n"/>
      <c r="J56" s="14" t="n"/>
      <c r="K56" s="14" t="n"/>
      <c r="L56" s="14" t="n"/>
    </row>
    <row r="57" ht="22" customHeight="1">
      <c r="A57" s="54" t="inlineStr"/>
      <c r="B57" s="14" t="n"/>
      <c r="C57" s="14" t="n"/>
      <c r="D57" s="14" t="n"/>
      <c r="E57" s="55" t="inlineStr">
        <is>
          <t>2종</t>
        </is>
      </c>
      <c r="F57" s="14" t="n"/>
      <c r="G57" s="54" t="inlineStr">
        <is>
          <t>금속 바탕처리용 프라이머를 칠할 때</t>
        </is>
      </c>
      <c r="H57" s="14" t="n"/>
      <c r="I57" s="14" t="n"/>
      <c r="J57" s="14" t="n"/>
      <c r="K57" s="14" t="n"/>
      <c r="L57" s="14" t="n"/>
    </row>
    <row r="58" ht="21" customHeight="1">
      <c r="A58" s="16" t="inlineStr">
        <is>
          <t>4) 합성수지 에멀션 페인트 도장 — 외부 및 내부 수성페인트</t>
        </is>
      </c>
    </row>
    <row r="59" ht="24" customHeight="1">
      <c r="A59" s="21" t="inlineStr">
        <is>
          <t>공정</t>
        </is>
      </c>
      <c r="B59" s="21" t="inlineStr">
        <is>
          <t>내    용</t>
        </is>
      </c>
      <c r="C59" s="14" t="n"/>
      <c r="D59" s="21" t="inlineStr">
        <is>
          <t>재  료(희석)</t>
        </is>
      </c>
      <c r="E59" s="14" t="n"/>
      <c r="F59" s="14" t="n"/>
      <c r="G59" s="21" t="inlineStr">
        <is>
          <t>희석비율
(중량비)</t>
        </is>
      </c>
      <c r="H59" s="14" t="n"/>
      <c r="I59" s="21" t="inlineStr">
        <is>
          <t>건조시간</t>
        </is>
      </c>
      <c r="J59" s="14" t="n"/>
      <c r="K59" s="21" t="inlineStr">
        <is>
          <t>도료량
(kg/㎡)</t>
        </is>
      </c>
      <c r="L59" s="14" t="n"/>
    </row>
    <row r="60" ht="30" customHeight="1">
      <c r="A60" s="55" t="inlineStr">
        <is>
          <t>1</t>
        </is>
      </c>
      <c r="B60" s="54" t="inlineStr">
        <is>
          <t>바탕처리</t>
        </is>
      </c>
      <c r="C60" s="14" t="n"/>
      <c r="D60" s="54" t="inlineStr">
        <is>
          <t>연마지 #100 ~ 160</t>
        </is>
      </c>
      <c r="E60" s="14" t="n"/>
      <c r="F60" s="14" t="n"/>
      <c r="G60" s="55" t="inlineStr">
        <is>
          <t>—</t>
        </is>
      </c>
      <c r="H60" s="14" t="n"/>
      <c r="I60" s="55" t="inlineStr">
        <is>
          <t>—</t>
        </is>
      </c>
      <c r="J60" s="14" t="n"/>
      <c r="K60" s="55" t="inlineStr">
        <is>
          <t>—</t>
        </is>
      </c>
      <c r="L60" s="14" t="n"/>
    </row>
    <row r="61" ht="30" customHeight="1">
      <c r="A61" s="55" t="inlineStr">
        <is>
          <t>2</t>
        </is>
      </c>
      <c r="B61" s="54" t="inlineStr">
        <is>
          <t>초벌 도장(1회)</t>
        </is>
      </c>
      <c r="C61" s="14" t="n"/>
      <c r="D61" s="54" t="inlineStr">
        <is>
          <t>합성수지 에멀션 투명</t>
        </is>
      </c>
      <c r="E61" s="14" t="n"/>
      <c r="F61" s="14" t="n"/>
      <c r="G61" s="55" t="inlineStr">
        <is>
          <t>100</t>
        </is>
      </c>
      <c r="H61" s="14" t="n"/>
      <c r="I61" s="55" t="inlineStr">
        <is>
          <t>3시간 이상</t>
        </is>
      </c>
      <c r="J61" s="14" t="n"/>
      <c r="K61" s="55" t="inlineStr">
        <is>
          <t>0.08</t>
        </is>
      </c>
      <c r="L61" s="14" t="n"/>
    </row>
    <row r="62" ht="33" customHeight="1">
      <c r="A62" s="55" t="inlineStr">
        <is>
          <t>3</t>
        </is>
      </c>
      <c r="B62" s="54" t="inlineStr">
        <is>
          <t>퍼티 먹임</t>
        </is>
      </c>
      <c r="C62" s="14" t="n"/>
      <c r="D62" s="54" t="inlineStr">
        <is>
          <t>합성수지 에멀션 페인트 100 / 물 0 ~ 5</t>
        </is>
      </c>
      <c r="E62" s="14" t="n"/>
      <c r="F62" s="14" t="n"/>
      <c r="G62" s="55" t="inlineStr">
        <is>
          <t>100 : 0 ~ 5</t>
        </is>
      </c>
      <c r="H62" s="14" t="n"/>
      <c r="I62" s="55" t="inlineStr">
        <is>
          <t>3시간 이상</t>
        </is>
      </c>
      <c r="J62" s="14" t="n"/>
      <c r="K62" s="55" t="inlineStr">
        <is>
          <t>—</t>
        </is>
      </c>
      <c r="L62" s="14" t="n"/>
    </row>
    <row r="63" ht="30" customHeight="1">
      <c r="A63" s="55" t="inlineStr">
        <is>
          <t>4</t>
        </is>
      </c>
      <c r="B63" s="54" t="inlineStr">
        <is>
          <t>연  마</t>
        </is>
      </c>
      <c r="C63" s="14" t="n"/>
      <c r="D63" s="54" t="inlineStr">
        <is>
          <t>연마지 #180 ~ 240</t>
        </is>
      </c>
      <c r="E63" s="14" t="n"/>
      <c r="F63" s="14" t="n"/>
      <c r="G63" s="55" t="inlineStr">
        <is>
          <t>—</t>
        </is>
      </c>
      <c r="H63" s="14" t="n"/>
      <c r="I63" s="55" t="inlineStr">
        <is>
          <t>—</t>
        </is>
      </c>
      <c r="J63" s="14" t="n"/>
      <c r="K63" s="55" t="inlineStr">
        <is>
          <t>—</t>
        </is>
      </c>
      <c r="L63" s="14" t="n"/>
    </row>
    <row r="64" ht="33" customHeight="1">
      <c r="A64" s="55" t="inlineStr">
        <is>
          <t>5</t>
        </is>
      </c>
      <c r="B64" s="54" t="inlineStr">
        <is>
          <t>재벌 도장(1회)</t>
        </is>
      </c>
      <c r="C64" s="14" t="n"/>
      <c r="D64" s="54" t="inlineStr">
        <is>
          <t>합성수지 에멀션 페인트 100 / 물 5 ~ 20</t>
        </is>
      </c>
      <c r="E64" s="14" t="n"/>
      <c r="F64" s="14" t="n"/>
      <c r="G64" s="55" t="inlineStr">
        <is>
          <t>100 : 5 ~ 20</t>
        </is>
      </c>
      <c r="H64" s="14" t="n"/>
      <c r="I64" s="55" t="inlineStr">
        <is>
          <t>3시간 이상</t>
        </is>
      </c>
      <c r="J64" s="14" t="n"/>
      <c r="K64" s="55" t="inlineStr">
        <is>
          <t>0.10</t>
        </is>
      </c>
      <c r="L64" s="14" t="n"/>
    </row>
    <row r="65" ht="33" customHeight="1">
      <c r="A65" s="55" t="inlineStr">
        <is>
          <t>6</t>
        </is>
      </c>
      <c r="B65" s="54" t="inlineStr">
        <is>
          <t>정벌 도장(1회)</t>
        </is>
      </c>
      <c r="C65" s="14" t="n"/>
      <c r="D65" s="54" t="inlineStr">
        <is>
          <t>합성수지 에멀션 페인트 100 / 물 5 ~ 20</t>
        </is>
      </c>
      <c r="E65" s="14" t="n"/>
      <c r="F65" s="14" t="n"/>
      <c r="G65" s="55" t="inlineStr">
        <is>
          <t>100 : 5 ~ 20</t>
        </is>
      </c>
      <c r="H65" s="14" t="n"/>
      <c r="I65" s="55" t="inlineStr">
        <is>
          <t>3시간 이상</t>
        </is>
      </c>
      <c r="J65" s="14" t="n"/>
      <c r="K65" s="55" t="inlineStr">
        <is>
          <t>0.10</t>
        </is>
      </c>
      <c r="L65" s="14" t="n"/>
    </row>
    <row r="66" ht="18.95" customHeight="1">
      <c r="A66" s="56" t="inlineStr">
        <is>
          <t>(주)</t>
        </is>
      </c>
      <c r="B66" s="57" t="inlineStr">
        <is>
          <t>바탕처리는 위 1) ~ 3) 에 따른다.</t>
        </is>
      </c>
    </row>
    <row r="67" ht="32.90000000000001" customHeight="1">
      <c r="A67" s="56" t="inlineStr"/>
      <c r="B67" s="57" t="inlineStr">
        <is>
          <t>에어리스 뿜칠의 조합비율 표준은 뿜칠 압력 100 ~ 150kg/㎠ 정도일 때이며, 압축기 압력에 따라 물의 양을 가감한다.</t>
        </is>
      </c>
    </row>
    <row r="68" ht="32.90000000000001" customHeight="1">
      <c r="A68" s="56" t="inlineStr"/>
      <c r="B68" s="57" t="inlineStr">
        <is>
          <t>회반죽 · 플라스터 · 나무섬유판 · 석고보드 등 흡수성이 심할 때는 흡수방지 도료를 칠한다. 도장 횟수는 공사감독자의 지시에 따른다.</t>
        </is>
      </c>
    </row>
    <row r="69" ht="18.95" customHeight="1">
      <c r="A69" s="56" t="inlineStr"/>
      <c r="B69" s="57" t="inlineStr">
        <is>
          <t>내부용은 KS M 5320, 외부용은 KS M 5310 으로 도장 공정은 같다.</t>
        </is>
      </c>
    </row>
    <row r="70" ht="21" customHeight="1">
      <c r="A70" s="10" t="inlineStr"/>
      <c r="B70" s="16" t="inlineStr">
        <is>
          <t>가. 주의사항</t>
        </is>
      </c>
    </row>
    <row r="71" ht="20.5" customHeight="1">
      <c r="A71" s="50" t="inlineStr">
        <is>
          <t>(1)</t>
        </is>
      </c>
      <c r="C71" s="51" t="inlineStr">
        <is>
          <t>5℃ 이하에서 도장하면 균열이 생기거나 도막이 형성되지 않으므로 도장을 피한다.</t>
        </is>
      </c>
    </row>
    <row r="72" ht="20.5" customHeight="1">
      <c r="A72" s="50" t="inlineStr">
        <is>
          <t>(2)</t>
        </is>
      </c>
      <c r="C72" s="51" t="inlineStr">
        <is>
          <t>부착성을 고려하여 과다한 희석은 피한다.</t>
        </is>
      </c>
    </row>
    <row r="73" ht="20.5" customHeight="1">
      <c r="A73" s="50" t="inlineStr">
        <is>
          <t>(3)</t>
        </is>
      </c>
      <c r="C73" s="51" t="inlineStr">
        <is>
          <t>저장 · 수송 중 얼지 않게 한다(0℃ 이하일 때).</t>
        </is>
      </c>
    </row>
    <row r="74" ht="36" customHeight="1">
      <c r="A74" s="50" t="inlineStr">
        <is>
          <t>(4)</t>
        </is>
      </c>
      <c r="C74" s="51" t="inlineStr">
        <is>
          <t>모서리 등 붓으로 새김질한 면과 롤러 도장면의 색이 다를 수 있으므로, 새김질은 같은 규격번호로 하고 가능한 희석하지 않고 먼저 하여 색 차이를 줄인다.</t>
        </is>
      </c>
    </row>
    <row r="75" ht="20.5" customHeight="1">
      <c r="A75" s="50" t="inlineStr">
        <is>
          <t>(5)</t>
        </is>
      </c>
      <c r="C75" s="51" t="inlineStr">
        <is>
          <t>시멘트 모르타르면은 충분히 양생(pH 9 이하)한다.</t>
        </is>
      </c>
    </row>
    <row r="76" ht="21" customHeight="1">
      <c r="A76" s="16" t="inlineStr">
        <is>
          <t>5) 바닥 도료의 도장</t>
        </is>
      </c>
    </row>
    <row r="77" ht="51.5" customHeight="1">
      <c r="A77" s="50" t="inlineStr">
        <is>
          <t>(1)</t>
        </is>
      </c>
      <c r="B77" s="51" t="inlineStr">
        <is>
          <t>바닥 도료는 내마모성 · 내충격성 · 탄성이 풍부한 2액형 폴리우레탄 도료, 내약품성이 뛰어난 폴리아마이드 경화형 에폭시수지 주성분의 2액형 에폭시 도료, 자연건조형 아크릴수지 에나멜 등 3종류가 있으며, 솔이나 롤러 등으로 고르게 바른다.</t>
        </is>
      </c>
    </row>
    <row r="78" ht="20" customHeight="1">
      <c r="A78" s="53" t="inlineStr">
        <is>
          <t>[ 바닥 도료의 종별 — 콘크리트 · 모르타르면 ]</t>
        </is>
      </c>
    </row>
    <row r="79" ht="24" customHeight="1">
      <c r="A79" s="21" t="inlineStr">
        <is>
          <t>칠 종 류</t>
        </is>
      </c>
      <c r="B79" s="14" t="n"/>
      <c r="C79" s="14" t="n"/>
      <c r="D79" s="21" t="inlineStr">
        <is>
          <t>형  식</t>
        </is>
      </c>
      <c r="E79" s="14" t="n"/>
      <c r="F79" s="14" t="n"/>
      <c r="G79" s="21" t="inlineStr">
        <is>
          <t>초벌 도장</t>
        </is>
      </c>
      <c r="H79" s="14" t="n"/>
      <c r="I79" s="21" t="inlineStr">
        <is>
          <t>재벌 도장</t>
        </is>
      </c>
      <c r="J79" s="14" t="n"/>
      <c r="K79" s="21" t="inlineStr">
        <is>
          <t>정벌 도장</t>
        </is>
      </c>
      <c r="L79" s="14" t="n"/>
    </row>
    <row r="80" ht="22" customHeight="1">
      <c r="A80" s="54" t="inlineStr">
        <is>
          <t>우레탄계</t>
        </is>
      </c>
      <c r="B80" s="14" t="n"/>
      <c r="C80" s="14" t="n"/>
      <c r="D80" s="54" t="inlineStr">
        <is>
          <t>일반형(코팅)</t>
        </is>
      </c>
      <c r="E80" s="14" t="n"/>
      <c r="F80" s="14" t="n"/>
      <c r="G80" s="55" t="inlineStr">
        <is>
          <t>1</t>
        </is>
      </c>
      <c r="H80" s="14" t="n"/>
      <c r="I80" s="55" t="inlineStr">
        <is>
          <t>1 ~ 2</t>
        </is>
      </c>
      <c r="J80" s="14" t="n"/>
      <c r="K80" s="55" t="inlineStr">
        <is>
          <t>1</t>
        </is>
      </c>
      <c r="L80" s="14" t="n"/>
    </row>
    <row r="81" ht="22" customHeight="1">
      <c r="A81" s="54" t="inlineStr"/>
      <c r="B81" s="14" t="n"/>
      <c r="C81" s="14" t="n"/>
      <c r="D81" s="54" t="inlineStr">
        <is>
          <t>두께 3mm 형</t>
        </is>
      </c>
      <c r="E81" s="14" t="n"/>
      <c r="F81" s="14" t="n"/>
      <c r="G81" s="55" t="inlineStr">
        <is>
          <t>1</t>
        </is>
      </c>
      <c r="H81" s="14" t="n"/>
      <c r="I81" s="55" t="inlineStr">
        <is>
          <t>1</t>
        </is>
      </c>
      <c r="J81" s="14" t="n"/>
      <c r="K81" s="55" t="inlineStr">
        <is>
          <t>1</t>
        </is>
      </c>
      <c r="L81" s="14" t="n"/>
    </row>
    <row r="82" ht="22" customHeight="1">
      <c r="A82" s="54" t="inlineStr">
        <is>
          <t>에폭시계</t>
        </is>
      </c>
      <c r="B82" s="14" t="n"/>
      <c r="C82" s="14" t="n"/>
      <c r="D82" s="54" t="inlineStr">
        <is>
          <t>일반형(코팅)</t>
        </is>
      </c>
      <c r="E82" s="14" t="n"/>
      <c r="F82" s="14" t="n"/>
      <c r="G82" s="55" t="inlineStr">
        <is>
          <t>1</t>
        </is>
      </c>
      <c r="H82" s="14" t="n"/>
      <c r="I82" s="55" t="inlineStr">
        <is>
          <t>1 ~ 2</t>
        </is>
      </c>
      <c r="J82" s="14" t="n"/>
      <c r="K82" s="55" t="inlineStr">
        <is>
          <t>1</t>
        </is>
      </c>
      <c r="L82" s="14" t="n"/>
    </row>
    <row r="83" ht="22" customHeight="1">
      <c r="A83" s="54" t="inlineStr"/>
      <c r="B83" s="14" t="n"/>
      <c r="C83" s="14" t="n"/>
      <c r="D83" s="54" t="inlineStr">
        <is>
          <t>두께 3mm 형</t>
        </is>
      </c>
      <c r="E83" s="14" t="n"/>
      <c r="F83" s="14" t="n"/>
      <c r="G83" s="55" t="inlineStr">
        <is>
          <t>1</t>
        </is>
      </c>
      <c r="H83" s="14" t="n"/>
      <c r="I83" s="55" t="inlineStr">
        <is>
          <t>1</t>
        </is>
      </c>
      <c r="J83" s="14" t="n"/>
      <c r="K83" s="55" t="inlineStr">
        <is>
          <t>1</t>
        </is>
      </c>
      <c r="L83" s="14" t="n"/>
    </row>
    <row r="84" ht="22" customHeight="1">
      <c r="A84" s="54" t="inlineStr">
        <is>
          <t>아크릴계</t>
        </is>
      </c>
      <c r="B84" s="14" t="n"/>
      <c r="C84" s="14" t="n"/>
      <c r="D84" s="54" t="inlineStr">
        <is>
          <t>일반형(코팅)</t>
        </is>
      </c>
      <c r="E84" s="14" t="n"/>
      <c r="F84" s="14" t="n"/>
      <c r="G84" s="55" t="inlineStr">
        <is>
          <t>1</t>
        </is>
      </c>
      <c r="H84" s="14" t="n"/>
      <c r="I84" s="55" t="inlineStr">
        <is>
          <t>1 ~ 2</t>
        </is>
      </c>
      <c r="J84" s="14" t="n"/>
      <c r="K84" s="55" t="inlineStr">
        <is>
          <t>1</t>
        </is>
      </c>
      <c r="L84" s="14" t="n"/>
    </row>
    <row r="85" ht="21" customHeight="1">
      <c r="A85" s="10" t="inlineStr"/>
      <c r="B85" s="16" t="inlineStr">
        <is>
          <t>(3) 코팅형 에폭시 바닥 도장</t>
        </is>
      </c>
    </row>
    <row r="86" ht="24" customHeight="1">
      <c r="A86" s="21" t="inlineStr">
        <is>
          <t>공정</t>
        </is>
      </c>
      <c r="B86" s="21" t="inlineStr">
        <is>
          <t>내    용</t>
        </is>
      </c>
      <c r="C86" s="14" t="n"/>
      <c r="D86" s="21" t="inlineStr">
        <is>
          <t>재  료(희석)</t>
        </is>
      </c>
      <c r="E86" s="14" t="n"/>
      <c r="F86" s="14" t="n"/>
      <c r="G86" s="21" t="inlineStr">
        <is>
          <t>희석비율
(중량비)</t>
        </is>
      </c>
      <c r="H86" s="14" t="n"/>
      <c r="I86" s="21" t="inlineStr">
        <is>
          <t>건조시간</t>
        </is>
      </c>
      <c r="J86" s="14" t="n"/>
      <c r="K86" s="21" t="inlineStr">
        <is>
          <t>도료량
(kg/㎡)</t>
        </is>
      </c>
      <c r="L86" s="14" t="n"/>
    </row>
    <row r="87" ht="30" customHeight="1">
      <c r="A87" s="55" t="inlineStr">
        <is>
          <t>1</t>
        </is>
      </c>
      <c r="B87" s="54" t="inlineStr">
        <is>
          <t>바탕처리</t>
        </is>
      </c>
      <c r="C87" s="14" t="n"/>
      <c r="D87" s="54" t="inlineStr">
        <is>
          <t>위 1) ~ 3) 에 따라 처리</t>
        </is>
      </c>
      <c r="E87" s="14" t="n"/>
      <c r="F87" s="14" t="n"/>
      <c r="G87" s="55" t="inlineStr">
        <is>
          <t>—</t>
        </is>
      </c>
      <c r="H87" s="14" t="n"/>
      <c r="I87" s="55" t="inlineStr">
        <is>
          <t>—</t>
        </is>
      </c>
      <c r="J87" s="14" t="n"/>
      <c r="K87" s="55" t="inlineStr">
        <is>
          <t>—</t>
        </is>
      </c>
      <c r="L87" s="14" t="n"/>
    </row>
    <row r="88" ht="46.5" customHeight="1">
      <c r="A88" s="55" t="inlineStr">
        <is>
          <t>2</t>
        </is>
      </c>
      <c r="B88" s="54" t="inlineStr">
        <is>
          <t>초벌 도장(1회)</t>
        </is>
      </c>
      <c r="C88" s="14" t="n"/>
      <c r="D88" s="54" t="inlineStr">
        <is>
          <t>에폭시 수지 프라이머(투명) 100 / 지정 신너 0 ~ 20</t>
        </is>
      </c>
      <c r="E88" s="14" t="n"/>
      <c r="F88" s="14" t="n"/>
      <c r="G88" s="55" t="inlineStr">
        <is>
          <t>100 : 0 ~ 20</t>
        </is>
      </c>
      <c r="H88" s="14" t="n"/>
      <c r="I88" s="55" t="inlineStr">
        <is>
          <t>8시간 이내</t>
        </is>
      </c>
      <c r="J88" s="14" t="n"/>
      <c r="K88" s="55" t="inlineStr">
        <is>
          <t>0.08</t>
        </is>
      </c>
      <c r="L88" s="14" t="n"/>
    </row>
    <row r="89" ht="33" customHeight="1">
      <c r="A89" s="55" t="inlineStr">
        <is>
          <t>3</t>
        </is>
      </c>
      <c r="B89" s="54" t="inlineStr">
        <is>
          <t>재벌 도장(1회)</t>
        </is>
      </c>
      <c r="C89" s="14" t="n"/>
      <c r="D89" s="54" t="inlineStr">
        <is>
          <t>에폭시 수지 서페이서 100 / 지정 신너 0 ~ 20</t>
        </is>
      </c>
      <c r="E89" s="14" t="n"/>
      <c r="F89" s="14" t="n"/>
      <c r="G89" s="55" t="inlineStr">
        <is>
          <t>100 : 0 ~ 20</t>
        </is>
      </c>
      <c r="H89" s="14" t="n"/>
      <c r="I89" s="55" t="inlineStr">
        <is>
          <t>24시간</t>
        </is>
      </c>
      <c r="J89" s="14" t="n"/>
      <c r="K89" s="55" t="inlineStr">
        <is>
          <t>0.20 ~ 0.45</t>
        </is>
      </c>
      <c r="L89" s="14" t="n"/>
    </row>
    <row r="90" ht="33" customHeight="1">
      <c r="A90" s="55" t="inlineStr">
        <is>
          <t>4</t>
        </is>
      </c>
      <c r="B90" s="54" t="inlineStr">
        <is>
          <t>정벌 도장(1회)</t>
        </is>
      </c>
      <c r="C90" s="14" t="n"/>
      <c r="D90" s="54" t="inlineStr">
        <is>
          <t>우레탄 수지 에나멜 100 / 지정 신너 0 ~ 20</t>
        </is>
      </c>
      <c r="E90" s="14" t="n"/>
      <c r="F90" s="14" t="n"/>
      <c r="G90" s="55" t="inlineStr">
        <is>
          <t>100 : 0 ~ 20</t>
        </is>
      </c>
      <c r="H90" s="14" t="n"/>
      <c r="I90" s="55" t="inlineStr">
        <is>
          <t>24시간</t>
        </is>
      </c>
      <c r="J90" s="14" t="n"/>
      <c r="K90" s="55" t="inlineStr">
        <is>
          <t>0.20</t>
        </is>
      </c>
      <c r="L90" s="14" t="n"/>
    </row>
    <row r="91" ht="21" customHeight="1">
      <c r="A91" s="10" t="inlineStr"/>
      <c r="B91" s="16" t="inlineStr">
        <is>
          <t>(4) 주의사항</t>
        </is>
      </c>
    </row>
    <row r="92" ht="36" customHeight="1">
      <c r="A92" s="50" t="inlineStr">
        <is>
          <t>-</t>
        </is>
      </c>
      <c r="C92" s="51" t="inlineStr">
        <is>
          <t>바탕에 기름 · 수분 등이 있으면 겔(Gel)화되어 부착이 나쁘므로 바탕을 충분히 말린 뒤 칠한다.</t>
        </is>
      </c>
    </row>
    <row r="93" ht="36" customHeight="1">
      <c r="A93" s="50" t="inlineStr">
        <is>
          <t>-</t>
        </is>
      </c>
      <c r="C93" s="51" t="inlineStr">
        <is>
          <t>반드시 지정된 신너를 쓰며, 폴리우레탄 중도재는 재도장 시간을 지켜야 층간 밀착이 좋다.</t>
        </is>
      </c>
    </row>
    <row r="94" ht="20.5" customHeight="1">
      <c r="A94" s="50" t="inlineStr">
        <is>
          <t>-</t>
        </is>
      </c>
      <c r="C94" s="51" t="inlineStr">
        <is>
          <t>경화제는 폭발 위험이 있으므로 밀폐된 곳에 저장하고 직사광선을 피한다.</t>
        </is>
      </c>
    </row>
    <row r="95" ht="36" customHeight="1">
      <c r="A95" s="50" t="inlineStr">
        <is>
          <t>-</t>
        </is>
      </c>
      <c r="C95" s="51" t="inlineStr">
        <is>
          <t>각 도료는 칠하기 전에 주제와 경화제를 지시된 비율로 4 ~ 5분 정도 고르게 섞어 쓴다.</t>
        </is>
      </c>
    </row>
    <row r="96" ht="51.5" customHeight="1">
      <c r="A96" s="50" t="inlineStr">
        <is>
          <t>-</t>
        </is>
      </c>
      <c r="C96" s="51" t="inlineStr">
        <is>
          <t>콘크리트 강화제로 처리된 면은 쇼트 블라스팅 · 그라인딩 또는 산세척 후 수돗물로 깨끗이 씻어 완전히 말리고, 도장 전에 도료와의 부착성을 반드시 확인한다. 산 처리 작업 때는 고무장화 · 고무장갑 · 마스크 등 보호구를 착용한다.</t>
        </is>
      </c>
    </row>
    <row r="97" ht="36" customHeight="1">
      <c r="A97" s="50" t="inlineStr">
        <is>
          <t>-</t>
        </is>
      </c>
      <c r="C97" s="51" t="inlineStr">
        <is>
          <t>표면의 균열이나 요철 부분은 V자형으로 파내고 하도를 칠해 말린 뒤 퍼티로 처리하여 표면을 평활하게 조정한다.</t>
        </is>
      </c>
    </row>
    <row r="98" ht="21" customHeight="1">
      <c r="A98" s="10" t="inlineStr"/>
      <c r="B98" s="16" t="inlineStr">
        <is>
          <t>(5) 시공 순서</t>
        </is>
      </c>
    </row>
    <row r="99" ht="51.5" customHeight="1">
      <c r="A99" s="50" t="inlineStr">
        <is>
          <t>가.</t>
        </is>
      </c>
      <c r="C99" s="51" t="inlineStr">
        <is>
          <t>재료의 배합 — 주제(A액)와 경화제(B액)를 섞기 전에 용기 안에서 충분히 젓고, 지정된 중량 배합비율에 따라 전동 드릴로 고루 섞되 가사시간 안에 쓸 수 있는 양만 배합한다.</t>
        </is>
      </c>
    </row>
    <row r="100" ht="51.5" customHeight="1">
      <c r="A100" s="50" t="inlineStr">
        <is>
          <t>나.</t>
        </is>
      </c>
      <c r="C100" s="51" t="inlineStr">
        <is>
          <t>표면처리 — 표면의 이물질(유분 · 오물 · 레이턴스 등)을 와이어 브러시 · 샌드 블라스트 · 전동공구로 완전히 없애고 충분히 말린다. 균열이나 표면 불량 부위는 균열 보수 절차에 따라 보수한 뒤 도장한다.</t>
        </is>
      </c>
    </row>
    <row r="101" ht="36" customHeight="1">
      <c r="A101" s="50" t="inlineStr">
        <is>
          <t>다.</t>
        </is>
      </c>
      <c r="C101" s="51" t="inlineStr">
        <is>
          <t>하도(1차 프라이머) — 바탕처리가 끝나면 투명 에폭시를 압송식 분무기 · 롤러로 곧바로 발라 40㎛ 두께가 되게 한다.</t>
        </is>
      </c>
    </row>
    <row r="102" ht="36" customHeight="1">
      <c r="A102" s="50" t="inlineStr">
        <is>
          <t>라.</t>
        </is>
      </c>
      <c r="C102" s="51" t="inlineStr">
        <is>
          <t>중도 — 하도가 끝나면 제조업체가 정한 배합비율로 섞어 압송식 분무기 · 솔 · 롤러 또는 고무주걱으로 고루 바른다.</t>
        </is>
      </c>
    </row>
    <row r="103" ht="20.5" customHeight="1">
      <c r="A103" s="50" t="inlineStr">
        <is>
          <t>마.</t>
        </is>
      </c>
      <c r="C103" s="51" t="inlineStr">
        <is>
          <t>2차 중도 — 도막을 충분히 말린 뒤 2차 중도재를 표면에 골고루 바른다.</t>
        </is>
      </c>
    </row>
    <row r="104" ht="20.5" customHeight="1">
      <c r="A104" s="50" t="inlineStr">
        <is>
          <t>바.</t>
        </is>
      </c>
      <c r="C104" s="51" t="inlineStr">
        <is>
          <t>상도 — 중도 2회 후 도막을 충분히 말린 뒤 상도재를 표면에 충분히 바른다.</t>
        </is>
      </c>
    </row>
    <row r="105" ht="4" customHeight="1"/>
    <row r="106" ht="30" customHeight="1">
      <c r="A106" s="12" t="inlineStr">
        <is>
          <t>6.0   검 측  FLOW CHART</t>
        </is>
      </c>
    </row>
    <row r="107" ht="4" customHeight="1"/>
    <row r="108" ht="30" customHeight="1">
      <c r="A108" s="10" t="inlineStr"/>
      <c r="D108" s="58" t="inlineStr">
        <is>
          <t>현장 시공 완료</t>
        </is>
      </c>
      <c r="E108" s="14" t="n"/>
      <c r="F108" s="14" t="n"/>
      <c r="G108" s="14" t="n"/>
      <c r="H108" s="14" t="n"/>
      <c r="I108" s="14" t="n"/>
      <c r="J108" s="59" t="inlineStr"/>
    </row>
    <row r="109" ht="14" customHeight="1">
      <c r="A109" s="40" t="inlineStr">
        <is>
          <t>▼</t>
        </is>
      </c>
    </row>
    <row r="110" ht="30" customHeight="1">
      <c r="A110" s="10" t="inlineStr"/>
      <c r="D110" s="58" t="inlineStr">
        <is>
          <t>시공자 · 담당기술자 점검</t>
        </is>
      </c>
      <c r="E110" s="14" t="n"/>
      <c r="F110" s="14" t="n"/>
      <c r="G110" s="14" t="n"/>
      <c r="H110" s="14" t="n"/>
      <c r="I110" s="14" t="n"/>
      <c r="J110" s="59" t="inlineStr">
        <is>
          <t xml:space="preserve">  ◀ 첨부 : 시공자 점검표</t>
        </is>
      </c>
    </row>
    <row r="111" ht="14" customHeight="1">
      <c r="A111" s="40" t="inlineStr">
        <is>
          <t>▼</t>
        </is>
      </c>
    </row>
    <row r="112" ht="30" customHeight="1">
      <c r="A112" s="10" t="inlineStr"/>
      <c r="D112" s="58" t="inlineStr">
        <is>
          <t>검측요청서 제출</t>
        </is>
      </c>
      <c r="E112" s="14" t="n"/>
      <c r="F112" s="14" t="n"/>
      <c r="G112" s="14" t="n"/>
      <c r="H112" s="14" t="n"/>
      <c r="I112" s="14" t="n"/>
      <c r="J112" s="59" t="inlineStr">
        <is>
          <t xml:space="preserve">  ◀ 첨부 : 공사참여자 명부 · 관련 도면 · 사진</t>
        </is>
      </c>
    </row>
    <row r="113" ht="14" customHeight="1">
      <c r="A113" s="40" t="inlineStr">
        <is>
          <t>▼</t>
        </is>
      </c>
    </row>
    <row r="114" ht="30" customHeight="1">
      <c r="A114" s="10" t="inlineStr"/>
      <c r="D114" s="58" t="inlineStr">
        <is>
          <t>건설사업관리자 현장 검측</t>
        </is>
      </c>
      <c r="E114" s="14" t="n"/>
      <c r="F114" s="14" t="n"/>
      <c r="G114" s="14" t="n"/>
      <c r="H114" s="14" t="n"/>
      <c r="I114" s="14" t="n"/>
      <c r="J114" s="59" t="inlineStr"/>
    </row>
    <row r="115" ht="14" customHeight="1">
      <c r="A115" s="40" t="inlineStr">
        <is>
          <t>▼</t>
        </is>
      </c>
    </row>
    <row r="116" ht="30" customHeight="1">
      <c r="A116" s="10" t="inlineStr"/>
      <c r="D116" s="58" t="inlineStr">
        <is>
          <t>검측 결과 통보</t>
        </is>
      </c>
      <c r="E116" s="14" t="n"/>
      <c r="F116" s="14" t="n"/>
      <c r="G116" s="14" t="n"/>
      <c r="H116" s="14" t="n"/>
      <c r="I116" s="14" t="n"/>
      <c r="J116" s="59" t="inlineStr">
        <is>
          <t xml:space="preserve">  ◀ 불합격 시 → 재시공 · 보완 후 다시 검측 요청</t>
        </is>
      </c>
    </row>
    <row r="117" ht="14" customHeight="1">
      <c r="A117" s="40" t="inlineStr">
        <is>
          <t>▼</t>
        </is>
      </c>
    </row>
    <row r="118" ht="30" customHeight="1">
      <c r="A118" s="10" t="inlineStr"/>
      <c r="D118" s="58" t="inlineStr">
        <is>
          <t>합격 시 다음 단계 공종 착수</t>
        </is>
      </c>
      <c r="E118" s="14" t="n"/>
      <c r="F118" s="14" t="n"/>
      <c r="G118" s="14" t="n"/>
      <c r="H118" s="14" t="n"/>
      <c r="I118" s="14" t="n"/>
      <c r="J118" s="59" t="inlineStr"/>
    </row>
    <row r="119" ht="21" customHeight="1">
      <c r="A119" s="16" t="inlineStr">
        <is>
          <t>※ 검측 체크리스트 — «검측체크» 시트(3장 : 공통사항 · 수성페인트 · 에폭시 라이닝)</t>
        </is>
      </c>
    </row>
  </sheetData>
  <mergeCells count="238">
    <mergeCell ref="C71:L71"/>
    <mergeCell ref="G81:H81"/>
    <mergeCell ref="B91:L91"/>
    <mergeCell ref="I81:J81"/>
    <mergeCell ref="A80:C80"/>
    <mergeCell ref="A73:B73"/>
    <mergeCell ref="I89:J89"/>
    <mergeCell ref="K89:L89"/>
    <mergeCell ref="B22:L22"/>
    <mergeCell ref="K88:L88"/>
    <mergeCell ref="A113:L113"/>
    <mergeCell ref="E51:F51"/>
    <mergeCell ref="B12:L12"/>
    <mergeCell ref="B86:C86"/>
    <mergeCell ref="B21:L21"/>
    <mergeCell ref="B39:L39"/>
    <mergeCell ref="K81:L81"/>
    <mergeCell ref="A99:B99"/>
    <mergeCell ref="C101:L101"/>
    <mergeCell ref="B61:C61"/>
    <mergeCell ref="K90:L90"/>
    <mergeCell ref="J118:L118"/>
    <mergeCell ref="G55:L55"/>
    <mergeCell ref="A74:B74"/>
    <mergeCell ref="A51:D51"/>
    <mergeCell ref="B14:L14"/>
    <mergeCell ref="B23:L23"/>
    <mergeCell ref="C74:L74"/>
    <mergeCell ref="A101:B101"/>
    <mergeCell ref="B38:L38"/>
    <mergeCell ref="G46:L46"/>
    <mergeCell ref="A115:L115"/>
    <mergeCell ref="E49:F49"/>
    <mergeCell ref="A54:D54"/>
    <mergeCell ref="D110:I110"/>
    <mergeCell ref="A83:C83"/>
    <mergeCell ref="I83:J83"/>
    <mergeCell ref="C103:L103"/>
    <mergeCell ref="A34:L34"/>
    <mergeCell ref="B40:L40"/>
    <mergeCell ref="C94:L94"/>
    <mergeCell ref="J116:L116"/>
    <mergeCell ref="A56:D56"/>
    <mergeCell ref="B64:C64"/>
    <mergeCell ref="C75:L75"/>
    <mergeCell ref="D80:F80"/>
    <mergeCell ref="A110:C110"/>
    <mergeCell ref="A6:L6"/>
    <mergeCell ref="E53:F53"/>
    <mergeCell ref="G84:H84"/>
    <mergeCell ref="B63:C63"/>
    <mergeCell ref="A119:L119"/>
    <mergeCell ref="I84:J84"/>
    <mergeCell ref="D108:I108"/>
    <mergeCell ref="B41:L41"/>
    <mergeCell ref="A78:L78"/>
    <mergeCell ref="G59:H59"/>
    <mergeCell ref="G57:L57"/>
    <mergeCell ref="A53:D53"/>
    <mergeCell ref="E55:F55"/>
    <mergeCell ref="G86:H86"/>
    <mergeCell ref="B90:C90"/>
    <mergeCell ref="I86:J86"/>
    <mergeCell ref="B25:L25"/>
    <mergeCell ref="A118:C118"/>
    <mergeCell ref="I80:J80"/>
    <mergeCell ref="G53:L53"/>
    <mergeCell ref="A103:B103"/>
    <mergeCell ref="K80:L80"/>
    <mergeCell ref="G61:H61"/>
    <mergeCell ref="E48:F48"/>
    <mergeCell ref="A3:L3"/>
    <mergeCell ref="I61:J61"/>
    <mergeCell ref="B66:L66"/>
    <mergeCell ref="B27:L27"/>
    <mergeCell ref="K64:L64"/>
    <mergeCell ref="K79:L79"/>
    <mergeCell ref="A48:D48"/>
    <mergeCell ref="B11:L11"/>
    <mergeCell ref="B77:L77"/>
    <mergeCell ref="A32:L32"/>
    <mergeCell ref="K63:L63"/>
    <mergeCell ref="D114:I114"/>
    <mergeCell ref="G62:H62"/>
    <mergeCell ref="A106:L106"/>
    <mergeCell ref="B67:L67"/>
    <mergeCell ref="D83:F83"/>
    <mergeCell ref="A81:C81"/>
    <mergeCell ref="C104:L104"/>
    <mergeCell ref="G47:L47"/>
    <mergeCell ref="A43:L43"/>
    <mergeCell ref="C73:L73"/>
    <mergeCell ref="B29:L29"/>
    <mergeCell ref="A71:B71"/>
    <mergeCell ref="B69:L69"/>
    <mergeCell ref="B37:L37"/>
    <mergeCell ref="A58:L58"/>
    <mergeCell ref="G65:H65"/>
    <mergeCell ref="D60:F60"/>
    <mergeCell ref="G88:H88"/>
    <mergeCell ref="A46:D46"/>
    <mergeCell ref="I88:J88"/>
    <mergeCell ref="A82:C82"/>
    <mergeCell ref="A24:L24"/>
    <mergeCell ref="I82:J82"/>
    <mergeCell ref="K82:L82"/>
    <mergeCell ref="C99:L99"/>
    <mergeCell ref="A100:B100"/>
    <mergeCell ref="J112:L112"/>
    <mergeCell ref="B15:L15"/>
    <mergeCell ref="G90:H90"/>
    <mergeCell ref="B89:C89"/>
    <mergeCell ref="G48:L48"/>
    <mergeCell ref="A93:B93"/>
    <mergeCell ref="I59:J59"/>
    <mergeCell ref="A102:B102"/>
    <mergeCell ref="G60:H60"/>
    <mergeCell ref="D86:F86"/>
    <mergeCell ref="I60:J60"/>
    <mergeCell ref="E50:F50"/>
    <mergeCell ref="A92:B92"/>
    <mergeCell ref="B26:L26"/>
    <mergeCell ref="K83:L83"/>
    <mergeCell ref="A108:C108"/>
    <mergeCell ref="A84:C84"/>
    <mergeCell ref="A52:D52"/>
    <mergeCell ref="J108:L108"/>
    <mergeCell ref="E52:F52"/>
    <mergeCell ref="A18:L18"/>
    <mergeCell ref="G49:L49"/>
    <mergeCell ref="A94:B94"/>
    <mergeCell ref="C72:L72"/>
    <mergeCell ref="D87:F87"/>
    <mergeCell ref="K60:L60"/>
    <mergeCell ref="D112:I112"/>
    <mergeCell ref="C96:L96"/>
    <mergeCell ref="A75:B75"/>
    <mergeCell ref="C92:L92"/>
    <mergeCell ref="D118:I118"/>
    <mergeCell ref="B60:C60"/>
    <mergeCell ref="B42:L42"/>
    <mergeCell ref="A49:D49"/>
    <mergeCell ref="B88:C88"/>
    <mergeCell ref="G87:H87"/>
    <mergeCell ref="D82:F82"/>
    <mergeCell ref="I87:J87"/>
    <mergeCell ref="A112:C112"/>
    <mergeCell ref="A104:B104"/>
    <mergeCell ref="E46:F46"/>
    <mergeCell ref="I62:J62"/>
    <mergeCell ref="J110:L110"/>
    <mergeCell ref="A13:L13"/>
    <mergeCell ref="B19:L19"/>
    <mergeCell ref="A44:L44"/>
    <mergeCell ref="G80:H80"/>
    <mergeCell ref="G89:H89"/>
    <mergeCell ref="D59:F59"/>
    <mergeCell ref="A114:C114"/>
    <mergeCell ref="G64:H64"/>
    <mergeCell ref="B9:L9"/>
    <mergeCell ref="G79:H79"/>
    <mergeCell ref="I64:J64"/>
    <mergeCell ref="E57:F57"/>
    <mergeCell ref="I79:J79"/>
    <mergeCell ref="C93:L93"/>
    <mergeCell ref="C95:L95"/>
    <mergeCell ref="A96:B96"/>
    <mergeCell ref="E54:F54"/>
    <mergeCell ref="B30:L30"/>
    <mergeCell ref="K65:L65"/>
    <mergeCell ref="A1:F1"/>
    <mergeCell ref="G63:H63"/>
    <mergeCell ref="A79:C79"/>
    <mergeCell ref="D84:F84"/>
    <mergeCell ref="I63:J63"/>
    <mergeCell ref="B20:L20"/>
    <mergeCell ref="A57:D57"/>
    <mergeCell ref="B85:L85"/>
    <mergeCell ref="E56:F56"/>
    <mergeCell ref="I65:J65"/>
    <mergeCell ref="I90:J90"/>
    <mergeCell ref="B62:C62"/>
    <mergeCell ref="A7:L7"/>
    <mergeCell ref="B59:C59"/>
    <mergeCell ref="D61:F61"/>
    <mergeCell ref="D116:I116"/>
    <mergeCell ref="G82:H82"/>
    <mergeCell ref="C102:L102"/>
    <mergeCell ref="B70:L70"/>
    <mergeCell ref="A76:L76"/>
    <mergeCell ref="A33:L33"/>
    <mergeCell ref="A116:C116"/>
    <mergeCell ref="D62:F62"/>
    <mergeCell ref="J114:L114"/>
    <mergeCell ref="A17:L17"/>
    <mergeCell ref="K84:L84"/>
    <mergeCell ref="G51:L51"/>
    <mergeCell ref="B98:L98"/>
    <mergeCell ref="A109:L109"/>
    <mergeCell ref="A35:L35"/>
    <mergeCell ref="B8:L8"/>
    <mergeCell ref="G54:L54"/>
    <mergeCell ref="G1:L1"/>
    <mergeCell ref="D64:F64"/>
    <mergeCell ref="K59:L59"/>
    <mergeCell ref="G83:H83"/>
    <mergeCell ref="B87:C87"/>
    <mergeCell ref="D89:F89"/>
    <mergeCell ref="C97:L97"/>
    <mergeCell ref="G50:L50"/>
    <mergeCell ref="A95:B95"/>
    <mergeCell ref="K86:L86"/>
    <mergeCell ref="A28:L28"/>
    <mergeCell ref="D79:F79"/>
    <mergeCell ref="A117:L117"/>
    <mergeCell ref="A111:L111"/>
    <mergeCell ref="D88:F88"/>
    <mergeCell ref="B10:L10"/>
    <mergeCell ref="G56:L56"/>
    <mergeCell ref="C100:L100"/>
    <mergeCell ref="K61:L61"/>
    <mergeCell ref="B65:C65"/>
    <mergeCell ref="G52:L52"/>
    <mergeCell ref="D63:F63"/>
    <mergeCell ref="A97:B97"/>
    <mergeCell ref="D81:F81"/>
    <mergeCell ref="A72:B72"/>
    <mergeCell ref="D90:F90"/>
    <mergeCell ref="B68:L68"/>
    <mergeCell ref="A50:D50"/>
    <mergeCell ref="A45:L45"/>
    <mergeCell ref="D65:F65"/>
    <mergeCell ref="A55:D55"/>
    <mergeCell ref="B36:L36"/>
    <mergeCell ref="K62:L62"/>
    <mergeCell ref="A47:D47"/>
    <mergeCell ref="K87:L87"/>
    <mergeCell ref="E47:F47"/>
  </mergeCells>
  <printOptions horizontalCentered="1"/>
  <pageMargins left="0.6" right="0.6" top="0.6" bottom="0.6" header="0.2" footer="0.2"/>
  <pageSetup orientation="portrait" paperSize="9" fitToHeight="0" fitToWidth="1"/>
  <rowBreaks count="5" manualBreakCount="5">
    <brk id="27" min="0" max="16383" man="1"/>
    <brk id="45" min="0" max="16383" man="1"/>
    <brk id="74" min="0" max="16383" man="1"/>
    <brk id="97" min="0" max="16383" man="1"/>
    <brk id="104" min="0" max="16383" man="1"/>
  </rowBreaks>
</worksheet>
</file>

<file path=xl/worksheets/sheet13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64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72" t="inlineStr">
        <is>
          <t xml:space="preserve">작성 예시 (가상의 현장)  </t>
        </is>
      </c>
    </row>
    <row r="2" ht="36" customHeight="1">
      <c r="A2" s="60" t="inlineStr">
        <is>
          <t>검 측 체 크 리 스 트</t>
        </is>
      </c>
    </row>
    <row r="3" ht="26" customHeight="1">
      <c r="A3" s="13" t="inlineStr">
        <is>
          <t>공종 CODE NO.</t>
        </is>
      </c>
      <c r="B3" s="14" t="n"/>
      <c r="C3" s="24" t="n"/>
      <c r="D3" s="14" t="n"/>
      <c r="E3" s="61" t="inlineStr">
        <is>
          <t>도 장 공 사</t>
        </is>
      </c>
      <c r="F3" s="14" t="n"/>
      <c r="G3" s="13" t="inlineStr">
        <is>
          <t>위치 및 부위</t>
        </is>
      </c>
      <c r="H3" s="14" t="n"/>
      <c r="I3" s="23" t="inlineStr">
        <is>
          <t>교사동 2층 교실 벽 · 천장</t>
        </is>
      </c>
      <c r="J3" s="14" t="n"/>
      <c r="K3" s="14" t="n"/>
      <c r="L3" s="14" t="n"/>
    </row>
    <row r="4" ht="34" customHeight="1">
      <c r="A4" s="13" t="inlineStr">
        <is>
          <t>공종(세부공종)</t>
        </is>
      </c>
      <c r="B4" s="14" t="n"/>
      <c r="C4" s="62" t="inlineStr">
        <is>
          <t>공통사항</t>
        </is>
      </c>
      <c r="D4" s="14" t="n"/>
      <c r="E4" s="14" t="n"/>
      <c r="F4" s="14" t="n"/>
      <c r="G4" s="13" t="inlineStr">
        <is>
          <t>검 측 일 자</t>
        </is>
      </c>
      <c r="H4" s="14" t="n"/>
      <c r="I4" s="63" t="n">
        <v>46218</v>
      </c>
      <c r="J4" s="14" t="n"/>
      <c r="K4" s="14" t="n"/>
      <c r="L4" s="14" t="n"/>
    </row>
    <row r="5" ht="20" customHeight="1">
      <c r="A5" s="21" t="inlineStr">
        <is>
          <t>검  사  항  목</t>
        </is>
      </c>
      <c r="B5" s="14" t="n"/>
      <c r="C5" s="14" t="n"/>
      <c r="D5" s="14" t="n"/>
      <c r="E5" s="14" t="n"/>
      <c r="F5" s="46" t="inlineStr">
        <is>
          <t>검 사 기 준
(시방서 · 도면 등)</t>
        </is>
      </c>
      <c r="G5" s="14" t="n"/>
      <c r="H5" s="21" t="inlineStr">
        <is>
          <t>검  사  결  과</t>
        </is>
      </c>
      <c r="I5" s="14" t="n"/>
      <c r="J5" s="14" t="n"/>
      <c r="K5" s="14" t="n"/>
      <c r="L5" s="46" t="inlineStr">
        <is>
          <t>조치
사항</t>
        </is>
      </c>
    </row>
    <row r="6" ht="18" customHeight="1">
      <c r="A6" s="14" t="n"/>
      <c r="B6" s="14" t="n"/>
      <c r="C6" s="14" t="n"/>
      <c r="D6" s="14" t="n"/>
      <c r="E6" s="14" t="n"/>
      <c r="F6" s="14" t="n"/>
      <c r="G6" s="14" t="n"/>
      <c r="H6" s="21" t="inlineStr">
        <is>
          <t>1  차</t>
        </is>
      </c>
      <c r="I6" s="14" t="n"/>
      <c r="J6" s="21" t="inlineStr">
        <is>
          <t>2  차</t>
        </is>
      </c>
      <c r="K6" s="14" t="n"/>
      <c r="L6" s="14" t="n"/>
    </row>
    <row r="7" ht="18" customHeight="1">
      <c r="A7" s="14" t="n"/>
      <c r="B7" s="14" t="n"/>
      <c r="C7" s="14" t="n"/>
      <c r="D7" s="14" t="n"/>
      <c r="E7" s="14" t="n"/>
      <c r="F7" s="14" t="n"/>
      <c r="G7" s="14" t="n"/>
      <c r="H7" s="46" t="inlineStr">
        <is>
          <t>합격</t>
        </is>
      </c>
      <c r="I7" s="64" t="inlineStr">
        <is>
          <t>불합격</t>
        </is>
      </c>
      <c r="J7" s="46" t="inlineStr">
        <is>
          <t>합격</t>
        </is>
      </c>
      <c r="K7" s="64" t="inlineStr">
        <is>
          <t>불합격</t>
        </is>
      </c>
      <c r="L7" s="14" t="n"/>
    </row>
    <row r="8" ht="34" customHeight="1">
      <c r="A8" s="65" t="inlineStr">
        <is>
          <t>1. 자재공급원 승인은 되었는가</t>
        </is>
      </c>
      <c r="B8" s="14" t="n"/>
      <c r="C8" s="14" t="n"/>
      <c r="D8" s="14" t="n"/>
      <c r="E8" s="14" t="n"/>
      <c r="F8" s="55" t="inlineStr">
        <is>
          <t>승인 여부</t>
        </is>
      </c>
      <c r="G8" s="14" t="n"/>
      <c r="H8" s="38" t="inlineStr">
        <is>
          <t>○</t>
        </is>
      </c>
      <c r="I8" s="38" t="n"/>
      <c r="J8" s="38" t="n"/>
      <c r="K8" s="38" t="n"/>
      <c r="L8" s="37" t="n"/>
    </row>
    <row r="9" ht="34" customHeight="1">
      <c r="A9" s="65" t="inlineStr">
        <is>
          <t>2. 바탕처리는 적정한가(레이턴스 · 먼지 · 오염 제거 등)</t>
        </is>
      </c>
      <c r="B9" s="14" t="n"/>
      <c r="C9" s="14" t="n"/>
      <c r="D9" s="14" t="n"/>
      <c r="E9" s="14" t="n"/>
      <c r="F9" s="55" t="inlineStr">
        <is>
          <t>적 · 부</t>
        </is>
      </c>
      <c r="G9" s="14" t="n"/>
      <c r="H9" s="38" t="inlineStr">
        <is>
          <t>○</t>
        </is>
      </c>
      <c r="I9" s="38" t="n"/>
      <c r="J9" s="38" t="n"/>
      <c r="K9" s="38" t="n"/>
      <c r="L9" s="37" t="n"/>
    </row>
    <row r="10" ht="34" customHeight="1">
      <c r="A10" s="65" t="inlineStr">
        <is>
          <t>3. 구조체 곰보 · 이음 조인트 · 균열 · 재료분리 등의 조치는 적정한가</t>
        </is>
      </c>
      <c r="B10" s="14" t="n"/>
      <c r="C10" s="14" t="n"/>
      <c r="D10" s="14" t="n"/>
      <c r="E10" s="14" t="n"/>
      <c r="F10" s="55" t="inlineStr">
        <is>
          <t>적 · 부</t>
        </is>
      </c>
      <c r="G10" s="14" t="n"/>
      <c r="H10" s="38" t="inlineStr">
        <is>
          <t>○</t>
        </is>
      </c>
      <c r="I10" s="38" t="n"/>
      <c r="J10" s="38" t="n"/>
      <c r="K10" s="38" t="n"/>
      <c r="L10" s="37" t="n"/>
    </row>
    <row r="11" ht="34" customHeight="1">
      <c r="A11" s="65" t="inlineStr">
        <is>
          <t>4. 재료의 종류 · 규격 · 품질보증서 등은 확인하였는가</t>
        </is>
      </c>
      <c r="B11" s="14" t="n"/>
      <c r="C11" s="14" t="n"/>
      <c r="D11" s="14" t="n"/>
      <c r="E11" s="14" t="n"/>
      <c r="F11" s="55" t="inlineStr">
        <is>
          <t>적 · 부</t>
        </is>
      </c>
      <c r="G11" s="14" t="n"/>
      <c r="H11" s="38" t="inlineStr">
        <is>
          <t>○</t>
        </is>
      </c>
      <c r="I11" s="38" t="n"/>
      <c r="J11" s="38" t="n"/>
      <c r="K11" s="38" t="n"/>
      <c r="L11" s="37" t="n"/>
    </row>
    <row r="12" ht="34" customHeight="1">
      <c r="A12" s="65" t="inlineStr">
        <is>
          <t>5. 바탕면이 충분히 건조(함수율 5% 이하)되었는가</t>
        </is>
      </c>
      <c r="B12" s="14" t="n"/>
      <c r="C12" s="14" t="n"/>
      <c r="D12" s="14" t="n"/>
      <c r="E12" s="14" t="n"/>
      <c r="F12" s="55" t="inlineStr">
        <is>
          <t>적 · 부</t>
        </is>
      </c>
      <c r="G12" s="14" t="n"/>
      <c r="H12" s="38" t="inlineStr">
        <is>
          <t>○</t>
        </is>
      </c>
      <c r="I12" s="38" t="n"/>
      <c r="J12" s="38" t="n"/>
      <c r="K12" s="38" t="n"/>
      <c r="L12" s="37" t="n"/>
    </row>
    <row r="13" ht="34" customHeight="1">
      <c r="A13" s="65" t="inlineStr">
        <is>
          <t>6. 다른 부위가 오염되지 않게 조치하였는가</t>
        </is>
      </c>
      <c r="B13" s="14" t="n"/>
      <c r="C13" s="14" t="n"/>
      <c r="D13" s="14" t="n"/>
      <c r="E13" s="14" t="n"/>
      <c r="F13" s="55" t="inlineStr">
        <is>
          <t>적 · 부</t>
        </is>
      </c>
      <c r="G13" s="14" t="n"/>
      <c r="H13" s="38" t="inlineStr">
        <is>
          <t>○</t>
        </is>
      </c>
      <c r="I13" s="38" t="n"/>
      <c r="J13" s="38" t="n"/>
      <c r="K13" s="38" t="n"/>
      <c r="L13" s="37" t="n"/>
    </row>
    <row r="14" ht="34" customHeight="1">
      <c r="A14" s="65" t="inlineStr">
        <is>
          <t>7. 재료의 보관 장소 및 보관 방법은 적정한가</t>
        </is>
      </c>
      <c r="B14" s="14" t="n"/>
      <c r="C14" s="14" t="n"/>
      <c r="D14" s="14" t="n"/>
      <c r="E14" s="14" t="n"/>
      <c r="F14" s="55" t="inlineStr">
        <is>
          <t>적 · 부</t>
        </is>
      </c>
      <c r="G14" s="14" t="n"/>
      <c r="H14" s="38" t="inlineStr">
        <is>
          <t>○</t>
        </is>
      </c>
      <c r="I14" s="38" t="n"/>
      <c r="J14" s="38" t="n"/>
      <c r="K14" s="38" t="n"/>
      <c r="L14" s="37" t="n"/>
    </row>
    <row r="15" ht="34" customHeight="1">
      <c r="A15" s="65" t="inlineStr">
        <is>
          <t>8. 시공 때 기온 5℃ 이하 · 습도 80% 이상이면 작업을 중단하고 있는가</t>
        </is>
      </c>
      <c r="B15" s="14" t="n"/>
      <c r="C15" s="14" t="n"/>
      <c r="D15" s="14" t="n"/>
      <c r="E15" s="14" t="n"/>
      <c r="F15" s="55" t="inlineStr">
        <is>
          <t>적 · 부</t>
        </is>
      </c>
      <c r="G15" s="14" t="n"/>
      <c r="H15" s="38" t="inlineStr">
        <is>
          <t>○</t>
        </is>
      </c>
      <c r="I15" s="38" t="n"/>
      <c r="J15" s="38" t="n"/>
      <c r="K15" s="38" t="n"/>
      <c r="L15" s="37" t="n"/>
    </row>
    <row r="16" ht="26" customHeight="1">
      <c r="A16" s="27" t="inlineStr">
        <is>
          <t>판  정</t>
        </is>
      </c>
      <c r="B16" s="14" t="n"/>
      <c r="C16" s="14" t="n"/>
      <c r="D16" s="66">
        <f>IF(COUNTA(H8:H15)+COUNTA(I8:I15)=0,"","1차 합격 "&amp;COUNTA(H8:H15)&amp;" · 불합격 "&amp;COUNTA(I8:I15)&amp;IF(COUNTA(I8:I15)&gt;0," / 2차 합격 "&amp;COUNTA(J8:J15)&amp;" · 불합격 "&amp;COUNTA(K8:K15),"")&amp;IF(COUNTA(H8:H15)+COUNTA(I8:I15)&lt;8," · 빈칸 "&amp;(8-COUNTA(H8:H15)-COUNTA(I8:I15)),"")&amp;"  →  "&amp;IF(COUNTA(I8:I15)=0,IF(COUNTA(H8:H15)+COUNTA(I8:I15)&lt;8,"점검 중","합격"),IF(AND(COUNTA(K8:K15)=0,COUNTA(J8:J15)&gt;=COUNTA(I8:I15)),"합격(재검측)","보완 후 재검측")))</f>
        <v/>
      </c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 ht="22" customHeight="1">
      <c r="A17" s="21" t="inlineStr">
        <is>
          <t>시 공 자  점 검</t>
        </is>
      </c>
      <c r="B17" s="14" t="n"/>
      <c r="C17" s="14" t="n"/>
      <c r="D17" s="14" t="n"/>
      <c r="E17" s="14" t="n"/>
      <c r="F17" s="14" t="n"/>
      <c r="G17" s="21" t="inlineStr">
        <is>
          <t>건 설 사 업 관 리 자  검 측</t>
        </is>
      </c>
      <c r="H17" s="14" t="n"/>
      <c r="I17" s="14" t="n"/>
      <c r="J17" s="14" t="n"/>
      <c r="K17" s="14" t="n"/>
      <c r="L17" s="14" t="n"/>
    </row>
    <row r="18" ht="20" customHeight="1">
      <c r="A18" s="21" t="inlineStr">
        <is>
          <t>점   검</t>
        </is>
      </c>
      <c r="B18" s="14" t="n"/>
      <c r="C18" s="14" t="n"/>
      <c r="D18" s="21" t="inlineStr">
        <is>
          <t>재 점 검</t>
        </is>
      </c>
      <c r="E18" s="14" t="n"/>
      <c r="F18" s="14" t="n"/>
      <c r="G18" s="21" t="inlineStr">
        <is>
          <t>검   측</t>
        </is>
      </c>
      <c r="H18" s="14" t="n"/>
      <c r="I18" s="14" t="n"/>
      <c r="J18" s="21" t="inlineStr">
        <is>
          <t>재 검 측</t>
        </is>
      </c>
      <c r="K18" s="14" t="n"/>
      <c r="L18" s="14" t="n"/>
    </row>
    <row r="19" ht="44" customHeight="1">
      <c r="A19" s="67" t="inlineStr">
        <is>
          <t>(인)</t>
        </is>
      </c>
      <c r="B19" s="14" t="n"/>
      <c r="C19" s="14" t="n"/>
      <c r="D19" s="67" t="inlineStr">
        <is>
          <t>(인)</t>
        </is>
      </c>
      <c r="E19" s="14" t="n"/>
      <c r="F19" s="14" t="n"/>
      <c r="G19" s="67" t="inlineStr">
        <is>
          <t>(인)</t>
        </is>
      </c>
      <c r="H19" s="14" t="n"/>
      <c r="I19" s="14" t="n"/>
      <c r="J19" s="67" t="inlineStr">
        <is>
          <t>(인)</t>
        </is>
      </c>
      <c r="K19" s="14" t="n"/>
      <c r="L19" s="14" t="n"/>
    </row>
    <row r="20" ht="36" customHeight="1">
      <c r="A20" s="60" t="inlineStr">
        <is>
          <t>검 측 체 크 리 스 트</t>
        </is>
      </c>
    </row>
    <row r="21" ht="26" customHeight="1">
      <c r="A21" s="13" t="inlineStr">
        <is>
          <t>공종 CODE NO.</t>
        </is>
      </c>
      <c r="B21" s="14" t="n"/>
      <c r="C21" s="24" t="n"/>
      <c r="D21" s="14" t="n"/>
      <c r="E21" s="61" t="inlineStr">
        <is>
          <t>도 장 공 사</t>
        </is>
      </c>
      <c r="F21" s="14" t="n"/>
      <c r="G21" s="13" t="inlineStr">
        <is>
          <t>위치 및 부위</t>
        </is>
      </c>
      <c r="H21" s="14" t="n"/>
      <c r="I21" s="23" t="inlineStr">
        <is>
          <t>교사동 2층 교실 벽 · 천장</t>
        </is>
      </c>
      <c r="J21" s="14" t="n"/>
      <c r="K21" s="14" t="n"/>
      <c r="L21" s="14" t="n"/>
    </row>
    <row r="22" ht="34" customHeight="1">
      <c r="A22" s="13" t="inlineStr">
        <is>
          <t>공종(세부공종)</t>
        </is>
      </c>
      <c r="B22" s="14" t="n"/>
      <c r="C22" s="62" t="inlineStr">
        <is>
          <t>수성페인트</t>
        </is>
      </c>
      <c r="D22" s="14" t="n"/>
      <c r="E22" s="14" t="n"/>
      <c r="F22" s="14" t="n"/>
      <c r="G22" s="13" t="inlineStr">
        <is>
          <t>검 측 일 자</t>
        </is>
      </c>
      <c r="H22" s="14" t="n"/>
      <c r="I22" s="63" t="n">
        <v>46275</v>
      </c>
      <c r="J22" s="14" t="n"/>
      <c r="K22" s="14" t="n"/>
      <c r="L22" s="14" t="n"/>
    </row>
    <row r="23" ht="20" customHeight="1">
      <c r="A23" s="21" t="inlineStr">
        <is>
          <t>검  사  항  목</t>
        </is>
      </c>
      <c r="B23" s="14" t="n"/>
      <c r="C23" s="14" t="n"/>
      <c r="D23" s="14" t="n"/>
      <c r="E23" s="14" t="n"/>
      <c r="F23" s="46" t="inlineStr">
        <is>
          <t>검 사 기 준
(시방서 · 도면 등)</t>
        </is>
      </c>
      <c r="G23" s="14" t="n"/>
      <c r="H23" s="21" t="inlineStr">
        <is>
          <t>검  사  결  과</t>
        </is>
      </c>
      <c r="I23" s="14" t="n"/>
      <c r="J23" s="14" t="n"/>
      <c r="K23" s="14" t="n"/>
      <c r="L23" s="46" t="inlineStr">
        <is>
          <t>조치
사항</t>
        </is>
      </c>
    </row>
    <row r="24" ht="18" customHeight="1">
      <c r="A24" s="14" t="n"/>
      <c r="B24" s="14" t="n"/>
      <c r="C24" s="14" t="n"/>
      <c r="D24" s="14" t="n"/>
      <c r="E24" s="14" t="n"/>
      <c r="F24" s="14" t="n"/>
      <c r="G24" s="14" t="n"/>
      <c r="H24" s="21" t="inlineStr">
        <is>
          <t>1  차</t>
        </is>
      </c>
      <c r="I24" s="14" t="n"/>
      <c r="J24" s="21" t="inlineStr">
        <is>
          <t>2  차</t>
        </is>
      </c>
      <c r="K24" s="14" t="n"/>
      <c r="L24" s="14" t="n"/>
    </row>
    <row r="25" ht="18" customHeight="1">
      <c r="A25" s="14" t="n"/>
      <c r="B25" s="14" t="n"/>
      <c r="C25" s="14" t="n"/>
      <c r="D25" s="14" t="n"/>
      <c r="E25" s="14" t="n"/>
      <c r="F25" s="14" t="n"/>
      <c r="G25" s="14" t="n"/>
      <c r="H25" s="46" t="inlineStr">
        <is>
          <t>합격</t>
        </is>
      </c>
      <c r="I25" s="64" t="inlineStr">
        <is>
          <t>불합격</t>
        </is>
      </c>
      <c r="J25" s="46" t="inlineStr">
        <is>
          <t>합격</t>
        </is>
      </c>
      <c r="K25" s="64" t="inlineStr">
        <is>
          <t>불합격</t>
        </is>
      </c>
      <c r="L25" s="14" t="n"/>
    </row>
    <row r="26" ht="34" customHeight="1">
      <c r="A26" s="65" t="inlineStr">
        <is>
          <t>1. 시공 때 온도는 적정한가</t>
        </is>
      </c>
      <c r="B26" s="14" t="n"/>
      <c r="C26" s="14" t="n"/>
      <c r="D26" s="14" t="n"/>
      <c r="E26" s="14" t="n"/>
      <c r="F26" s="55" t="inlineStr">
        <is>
          <t>적 · 부</t>
        </is>
      </c>
      <c r="G26" s="14" t="n"/>
      <c r="H26" s="38" t="inlineStr">
        <is>
          <t>○</t>
        </is>
      </c>
      <c r="I26" s="38" t="n"/>
      <c r="J26" s="38" t="n"/>
      <c r="K26" s="38" t="n"/>
      <c r="L26" s="37" t="n"/>
    </row>
    <row r="27" ht="34" customHeight="1">
      <c r="A27" s="65" t="inlineStr">
        <is>
          <t>2. 바탕처리는 적정한가(레이턴스 · 먼지 · 오염 제거 등)</t>
        </is>
      </c>
      <c r="B27" s="14" t="n"/>
      <c r="C27" s="14" t="n"/>
      <c r="D27" s="14" t="n"/>
      <c r="E27" s="14" t="n"/>
      <c r="F27" s="55" t="inlineStr">
        <is>
          <t>적 · 부</t>
        </is>
      </c>
      <c r="G27" s="14" t="n"/>
      <c r="H27" s="38" t="inlineStr">
        <is>
          <t>○</t>
        </is>
      </c>
      <c r="I27" s="38" t="n"/>
      <c r="J27" s="38" t="n"/>
      <c r="K27" s="38" t="n"/>
      <c r="L27" s="37" t="n"/>
    </row>
    <row r="28" ht="34" customHeight="1">
      <c r="A28" s="65" t="inlineStr">
        <is>
          <t>3. 구조체 곰보 · 이음 조인트 · 균열 · 재료분리 등의 조치는 적정한가</t>
        </is>
      </c>
      <c r="B28" s="14" t="n"/>
      <c r="C28" s="14" t="n"/>
      <c r="D28" s="14" t="n"/>
      <c r="E28" s="14" t="n"/>
      <c r="F28" s="55" t="inlineStr">
        <is>
          <t>적 · 부</t>
        </is>
      </c>
      <c r="G28" s="14" t="n"/>
      <c r="H28" s="38" t="inlineStr">
        <is>
          <t>○</t>
        </is>
      </c>
      <c r="I28" s="38" t="n"/>
      <c r="J28" s="38" t="n"/>
      <c r="K28" s="38" t="n"/>
      <c r="L28" s="37" t="n"/>
    </row>
    <row r="29" ht="34" customHeight="1">
      <c r="A29" s="65" t="inlineStr">
        <is>
          <t>4. 재료의 종류 · 규격 · 품질보증서 등은 확인하였는가</t>
        </is>
      </c>
      <c r="B29" s="14" t="n"/>
      <c r="C29" s="14" t="n"/>
      <c r="D29" s="14" t="n"/>
      <c r="E29" s="14" t="n"/>
      <c r="F29" s="55" t="inlineStr">
        <is>
          <t>적 · 부</t>
        </is>
      </c>
      <c r="G29" s="14" t="n"/>
      <c r="H29" s="38" t="inlineStr">
        <is>
          <t>○</t>
        </is>
      </c>
      <c r="I29" s="38" t="n"/>
      <c r="J29" s="38" t="n"/>
      <c r="K29" s="38" t="n"/>
      <c r="L29" s="37" t="n"/>
    </row>
    <row r="30" ht="34" customHeight="1">
      <c r="A30" s="65" t="inlineStr">
        <is>
          <t>5. 환기 및 조명 설치는 충분한가</t>
        </is>
      </c>
      <c r="B30" s="14" t="n"/>
      <c r="C30" s="14" t="n"/>
      <c r="D30" s="14" t="n"/>
      <c r="E30" s="14" t="n"/>
      <c r="F30" s="55" t="inlineStr">
        <is>
          <t>적 · 부</t>
        </is>
      </c>
      <c r="G30" s="14" t="n"/>
      <c r="H30" s="38" t="inlineStr">
        <is>
          <t>○</t>
        </is>
      </c>
      <c r="I30" s="38" t="n"/>
      <c r="J30" s="38" t="n"/>
      <c r="K30" s="38" t="n"/>
      <c r="L30" s="37" t="n"/>
    </row>
    <row r="31" ht="34" customHeight="1">
      <c r="A31" s="65" t="inlineStr">
        <is>
          <t>6. 재료 배합은 적절한가</t>
        </is>
      </c>
      <c r="B31" s="14" t="n"/>
      <c r="C31" s="14" t="n"/>
      <c r="D31" s="14" t="n"/>
      <c r="E31" s="14" t="n"/>
      <c r="F31" s="55" t="inlineStr">
        <is>
          <t>적 · 부</t>
        </is>
      </c>
      <c r="G31" s="14" t="n"/>
      <c r="H31" s="38" t="inlineStr">
        <is>
          <t>○</t>
        </is>
      </c>
      <c r="I31" s="38" t="n"/>
      <c r="J31" s="38" t="n"/>
      <c r="K31" s="38" t="n"/>
      <c r="L31" s="37" t="n"/>
    </row>
    <row r="32" ht="34" customHeight="1">
      <c r="A32" s="65" t="inlineStr">
        <is>
          <t>7. 시공 절차를 지키는가</t>
        </is>
      </c>
      <c r="B32" s="14" t="n"/>
      <c r="C32" s="14" t="n"/>
      <c r="D32" s="14" t="n"/>
      <c r="E32" s="14" t="n"/>
      <c r="F32" s="55" t="inlineStr">
        <is>
          <t>적 · 부</t>
        </is>
      </c>
      <c r="G32" s="14" t="n"/>
      <c r="H32" s="38" t="inlineStr">
        <is>
          <t>○</t>
        </is>
      </c>
      <c r="I32" s="38" t="n"/>
      <c r="J32" s="38" t="n"/>
      <c r="K32" s="38" t="n"/>
      <c r="L32" s="37" t="n"/>
    </row>
    <row r="33" ht="34" customHeight="1">
      <c r="A33" s="65" t="inlineStr">
        <is>
          <t>8. 칠 두께는 고른가</t>
        </is>
      </c>
      <c r="B33" s="14" t="n"/>
      <c r="C33" s="14" t="n"/>
      <c r="D33" s="14" t="n"/>
      <c r="E33" s="14" t="n"/>
      <c r="F33" s="55" t="inlineStr">
        <is>
          <t>적 · 부</t>
        </is>
      </c>
      <c r="G33" s="14" t="n"/>
      <c r="H33" s="38" t="n"/>
      <c r="I33" s="38" t="inlineStr">
        <is>
          <t>○</t>
        </is>
      </c>
      <c r="J33" s="38" t="inlineStr">
        <is>
          <t>○</t>
        </is>
      </c>
      <c r="K33" s="38" t="n"/>
      <c r="L33" s="37" t="inlineStr">
        <is>
          <t>얼룩 부위 덧칠 후 재검측</t>
        </is>
      </c>
    </row>
    <row r="34" ht="34" customHeight="1">
      <c r="A34" s="65" t="inlineStr">
        <is>
          <t>9. 시공 후 보양 대책은 세웠는가</t>
        </is>
      </c>
      <c r="B34" s="14" t="n"/>
      <c r="C34" s="14" t="n"/>
      <c r="D34" s="14" t="n"/>
      <c r="E34" s="14" t="n"/>
      <c r="F34" s="55" t="inlineStr">
        <is>
          <t>적 · 부</t>
        </is>
      </c>
      <c r="G34" s="14" t="n"/>
      <c r="H34" s="38" t="inlineStr">
        <is>
          <t>○</t>
        </is>
      </c>
      <c r="I34" s="38" t="n"/>
      <c r="J34" s="38" t="n"/>
      <c r="K34" s="38" t="n"/>
      <c r="L34" s="37" t="n"/>
    </row>
    <row r="35" ht="34" customHeight="1">
      <c r="A35" s="65" t="inlineStr">
        <is>
          <t>10. 정해진 색상을 쓰는가</t>
        </is>
      </c>
      <c r="B35" s="14" t="n"/>
      <c r="C35" s="14" t="n"/>
      <c r="D35" s="14" t="n"/>
      <c r="E35" s="14" t="n"/>
      <c r="F35" s="55" t="inlineStr">
        <is>
          <t>적 · 부</t>
        </is>
      </c>
      <c r="G35" s="14" t="n"/>
      <c r="H35" s="38" t="inlineStr">
        <is>
          <t>○</t>
        </is>
      </c>
      <c r="I35" s="38" t="n"/>
      <c r="J35" s="38" t="n"/>
      <c r="K35" s="38" t="n"/>
      <c r="L35" s="37" t="n"/>
    </row>
    <row r="36" ht="34" customHeight="1">
      <c r="A36" s="23" t="n"/>
      <c r="B36" s="14" t="n"/>
      <c r="C36" s="14" t="n"/>
      <c r="D36" s="14" t="n"/>
      <c r="E36" s="14" t="n"/>
      <c r="F36" s="55" t="inlineStr">
        <is>
          <t>적 · 부</t>
        </is>
      </c>
      <c r="G36" s="14" t="n"/>
      <c r="H36" s="38" t="n"/>
      <c r="I36" s="38" t="n"/>
      <c r="J36" s="38" t="n"/>
      <c r="K36" s="38" t="n"/>
      <c r="L36" s="37" t="n"/>
    </row>
    <row r="37" ht="34" customHeight="1">
      <c r="A37" s="23" t="n"/>
      <c r="B37" s="14" t="n"/>
      <c r="C37" s="14" t="n"/>
      <c r="D37" s="14" t="n"/>
      <c r="E37" s="14" t="n"/>
      <c r="F37" s="55" t="inlineStr">
        <is>
          <t>적 · 부</t>
        </is>
      </c>
      <c r="G37" s="14" t="n"/>
      <c r="H37" s="38" t="n"/>
      <c r="I37" s="38" t="n"/>
      <c r="J37" s="38" t="n"/>
      <c r="K37" s="38" t="n"/>
      <c r="L37" s="37" t="n"/>
    </row>
    <row r="38" ht="34" customHeight="1">
      <c r="A38" s="23" t="n"/>
      <c r="B38" s="14" t="n"/>
      <c r="C38" s="14" t="n"/>
      <c r="D38" s="14" t="n"/>
      <c r="E38" s="14" t="n"/>
      <c r="F38" s="55" t="inlineStr">
        <is>
          <t>적 · 부</t>
        </is>
      </c>
      <c r="G38" s="14" t="n"/>
      <c r="H38" s="38" t="n"/>
      <c r="I38" s="38" t="n"/>
      <c r="J38" s="38" t="n"/>
      <c r="K38" s="38" t="n"/>
      <c r="L38" s="37" t="n"/>
    </row>
    <row r="39" ht="26" customHeight="1">
      <c r="A39" s="27" t="inlineStr">
        <is>
          <t>판  정</t>
        </is>
      </c>
      <c r="B39" s="14" t="n"/>
      <c r="C39" s="14" t="n"/>
      <c r="D39" s="66">
        <f>IF(COUNTA(H26:H38)+COUNTA(I26:I38)=0,"","1차 합격 "&amp;COUNTA(H26:H38)&amp;" · 불합격 "&amp;COUNTA(I26:I38)&amp;IF(COUNTA(I26:I38)&gt;0," / 2차 합격 "&amp;COUNTA(J26:J38)&amp;" · 불합격 "&amp;COUNTA(K26:K38),"")&amp;IF(COUNTA(H26:H38)+COUNTA(I26:I38)&lt;13," · 빈칸 "&amp;(13-COUNTA(H26:H38)-COUNTA(I26:I38)),"")&amp;"  →  "&amp;IF(COUNTA(I26:I38)=0,IF(COUNTA(H26:H38)+COUNTA(I26:I38)&lt;13,"점검 중","합격"),IF(AND(COUNTA(K26:K38)=0,COUNTA(J26:J38)&gt;=COUNTA(I26:I38)),"합격(재검측)","보완 후 재검측")))</f>
        <v/>
      </c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 ht="22" customHeight="1">
      <c r="A40" s="21" t="inlineStr">
        <is>
          <t>시 공 자  점 검</t>
        </is>
      </c>
      <c r="B40" s="14" t="n"/>
      <c r="C40" s="14" t="n"/>
      <c r="D40" s="14" t="n"/>
      <c r="E40" s="14" t="n"/>
      <c r="F40" s="14" t="n"/>
      <c r="G40" s="21" t="inlineStr">
        <is>
          <t>건 설 사 업 관 리 자  검 측</t>
        </is>
      </c>
      <c r="H40" s="14" t="n"/>
      <c r="I40" s="14" t="n"/>
      <c r="J40" s="14" t="n"/>
      <c r="K40" s="14" t="n"/>
      <c r="L40" s="14" t="n"/>
    </row>
    <row r="41" ht="20" customHeight="1">
      <c r="A41" s="21" t="inlineStr">
        <is>
          <t>점   검</t>
        </is>
      </c>
      <c r="B41" s="14" t="n"/>
      <c r="C41" s="14" t="n"/>
      <c r="D41" s="21" t="inlineStr">
        <is>
          <t>재 점 검</t>
        </is>
      </c>
      <c r="E41" s="14" t="n"/>
      <c r="F41" s="14" t="n"/>
      <c r="G41" s="21" t="inlineStr">
        <is>
          <t>검   측</t>
        </is>
      </c>
      <c r="H41" s="14" t="n"/>
      <c r="I41" s="14" t="n"/>
      <c r="J41" s="21" t="inlineStr">
        <is>
          <t>재 검 측</t>
        </is>
      </c>
      <c r="K41" s="14" t="n"/>
      <c r="L41" s="14" t="n"/>
    </row>
    <row r="42" ht="44" customHeight="1">
      <c r="A42" s="67" t="inlineStr">
        <is>
          <t>(인)</t>
        </is>
      </c>
      <c r="B42" s="14" t="n"/>
      <c r="C42" s="14" t="n"/>
      <c r="D42" s="67" t="inlineStr">
        <is>
          <t>(인)</t>
        </is>
      </c>
      <c r="E42" s="14" t="n"/>
      <c r="F42" s="14" t="n"/>
      <c r="G42" s="67" t="inlineStr">
        <is>
          <t>(인)</t>
        </is>
      </c>
      <c r="H42" s="14" t="n"/>
      <c r="I42" s="14" t="n"/>
      <c r="J42" s="67" t="inlineStr">
        <is>
          <t>(인)</t>
        </is>
      </c>
      <c r="K42" s="14" t="n"/>
      <c r="L42" s="14" t="n"/>
    </row>
    <row r="43" ht="36" customHeight="1">
      <c r="A43" s="60" t="inlineStr">
        <is>
          <t>검 측 체 크 리 스 트</t>
        </is>
      </c>
    </row>
    <row r="44" ht="26" customHeight="1">
      <c r="A44" s="13" t="inlineStr">
        <is>
          <t>공종 CODE NO.</t>
        </is>
      </c>
      <c r="B44" s="14" t="n"/>
      <c r="C44" s="24" t="n"/>
      <c r="D44" s="14" t="n"/>
      <c r="E44" s="61" t="inlineStr">
        <is>
          <t>도 장 공 사</t>
        </is>
      </c>
      <c r="F44" s="14" t="n"/>
      <c r="G44" s="13" t="inlineStr">
        <is>
          <t>위치 및 부위</t>
        </is>
      </c>
      <c r="H44" s="14" t="n"/>
      <c r="I44" s="23" t="inlineStr">
        <is>
          <t>실습동 1층 실험실 바닥</t>
        </is>
      </c>
      <c r="J44" s="14" t="n"/>
      <c r="K44" s="14" t="n"/>
      <c r="L44" s="14" t="n"/>
    </row>
    <row r="45" ht="34" customHeight="1">
      <c r="A45" s="13" t="inlineStr">
        <is>
          <t>공종(세부공종)</t>
        </is>
      </c>
      <c r="B45" s="14" t="n"/>
      <c r="C45" s="62" t="inlineStr">
        <is>
          <t>에폭시 라이닝</t>
        </is>
      </c>
      <c r="D45" s="14" t="n"/>
      <c r="E45" s="14" t="n"/>
      <c r="F45" s="14" t="n"/>
      <c r="G45" s="13" t="inlineStr">
        <is>
          <t>검 측 일 자</t>
        </is>
      </c>
      <c r="H45" s="14" t="n"/>
      <c r="I45" s="63" t="n">
        <v>46315</v>
      </c>
      <c r="J45" s="14" t="n"/>
      <c r="K45" s="14" t="n"/>
      <c r="L45" s="14" t="n"/>
    </row>
    <row r="46" ht="20" customHeight="1">
      <c r="A46" s="21" t="inlineStr">
        <is>
          <t>검  사  항  목</t>
        </is>
      </c>
      <c r="B46" s="14" t="n"/>
      <c r="C46" s="14" t="n"/>
      <c r="D46" s="14" t="n"/>
      <c r="E46" s="14" t="n"/>
      <c r="F46" s="46" t="inlineStr">
        <is>
          <t>검 사 기 준
(시방서 · 도면 등)</t>
        </is>
      </c>
      <c r="G46" s="14" t="n"/>
      <c r="H46" s="21" t="inlineStr">
        <is>
          <t>검  사  결  과</t>
        </is>
      </c>
      <c r="I46" s="14" t="n"/>
      <c r="J46" s="14" t="n"/>
      <c r="K46" s="14" t="n"/>
      <c r="L46" s="46" t="inlineStr">
        <is>
          <t>조치
사항</t>
        </is>
      </c>
    </row>
    <row r="47" ht="18" customHeight="1">
      <c r="A47" s="14" t="n"/>
      <c r="B47" s="14" t="n"/>
      <c r="C47" s="14" t="n"/>
      <c r="D47" s="14" t="n"/>
      <c r="E47" s="14" t="n"/>
      <c r="F47" s="14" t="n"/>
      <c r="G47" s="14" t="n"/>
      <c r="H47" s="21" t="inlineStr">
        <is>
          <t>1  차</t>
        </is>
      </c>
      <c r="I47" s="14" t="n"/>
      <c r="J47" s="21" t="inlineStr">
        <is>
          <t>2  차</t>
        </is>
      </c>
      <c r="K47" s="14" t="n"/>
      <c r="L47" s="14" t="n"/>
    </row>
    <row r="48" ht="18" customHeight="1">
      <c r="A48" s="14" t="n"/>
      <c r="B48" s="14" t="n"/>
      <c r="C48" s="14" t="n"/>
      <c r="D48" s="14" t="n"/>
      <c r="E48" s="14" t="n"/>
      <c r="F48" s="14" t="n"/>
      <c r="G48" s="14" t="n"/>
      <c r="H48" s="46" t="inlineStr">
        <is>
          <t>합격</t>
        </is>
      </c>
      <c r="I48" s="64" t="inlineStr">
        <is>
          <t>불합격</t>
        </is>
      </c>
      <c r="J48" s="46" t="inlineStr">
        <is>
          <t>합격</t>
        </is>
      </c>
      <c r="K48" s="64" t="inlineStr">
        <is>
          <t>불합격</t>
        </is>
      </c>
      <c r="L48" s="14" t="n"/>
    </row>
    <row r="49" ht="34" customHeight="1">
      <c r="A49" s="65" t="inlineStr">
        <is>
          <t>1. 재료의 종류 · 규격 · 품질보증서 등은 확인하였는가</t>
        </is>
      </c>
      <c r="B49" s="14" t="n"/>
      <c r="C49" s="14" t="n"/>
      <c r="D49" s="14" t="n"/>
      <c r="E49" s="14" t="n"/>
      <c r="F49" s="55" t="inlineStr">
        <is>
          <t>적 · 부</t>
        </is>
      </c>
      <c r="G49" s="14" t="n"/>
      <c r="H49" s="38" t="inlineStr">
        <is>
          <t>○</t>
        </is>
      </c>
      <c r="I49" s="38" t="n"/>
      <c r="J49" s="38" t="n"/>
      <c r="K49" s="38" t="n"/>
      <c r="L49" s="37" t="n"/>
    </row>
    <row r="50" ht="34" customHeight="1">
      <c r="A50" s="65" t="inlineStr">
        <is>
          <t>2. 바탕처리는 적정한가(레이턴스 · 먼지 · 오염 제거 등)</t>
        </is>
      </c>
      <c r="B50" s="14" t="n"/>
      <c r="C50" s="14" t="n"/>
      <c r="D50" s="14" t="n"/>
      <c r="E50" s="14" t="n"/>
      <c r="F50" s="55" t="inlineStr">
        <is>
          <t>적 · 부</t>
        </is>
      </c>
      <c r="G50" s="14" t="n"/>
      <c r="H50" s="38" t="inlineStr">
        <is>
          <t>○</t>
        </is>
      </c>
      <c r="I50" s="38" t="n"/>
      <c r="J50" s="38" t="n"/>
      <c r="K50" s="38" t="n"/>
      <c r="L50" s="37" t="n"/>
    </row>
    <row r="51" ht="34" customHeight="1">
      <c r="A51" s="65" t="inlineStr">
        <is>
          <t>3. 구조체 곰보 · 이음 조인트 · 균열 · 재료분리 등의 조치는 적정한가</t>
        </is>
      </c>
      <c r="B51" s="14" t="n"/>
      <c r="C51" s="14" t="n"/>
      <c r="D51" s="14" t="n"/>
      <c r="E51" s="14" t="n"/>
      <c r="F51" s="55" t="inlineStr">
        <is>
          <t>적 · 부</t>
        </is>
      </c>
      <c r="G51" s="14" t="n"/>
      <c r="H51" s="38" t="inlineStr">
        <is>
          <t>○</t>
        </is>
      </c>
      <c r="I51" s="38" t="n"/>
      <c r="J51" s="38" t="n"/>
      <c r="K51" s="38" t="n"/>
      <c r="L51" s="37" t="n"/>
    </row>
    <row r="52" ht="34" customHeight="1">
      <c r="A52" s="65" t="inlineStr">
        <is>
          <t>4. 프라이머는 배합비율에 맞게 섞어 알맞은 양을 발랐는가</t>
        </is>
      </c>
      <c r="B52" s="14" t="n"/>
      <c r="C52" s="14" t="n"/>
      <c r="D52" s="14" t="n"/>
      <c r="E52" s="14" t="n"/>
      <c r="F52" s="55" t="inlineStr">
        <is>
          <t>적 · 부</t>
        </is>
      </c>
      <c r="G52" s="14" t="n"/>
      <c r="H52" s="38" t="inlineStr">
        <is>
          <t>○</t>
        </is>
      </c>
      <c r="I52" s="38" t="n"/>
      <c r="J52" s="38" t="n"/>
      <c r="K52" s="38" t="n"/>
      <c r="L52" s="37" t="n"/>
    </row>
    <row r="53" ht="34" customHeight="1">
      <c r="A53" s="65" t="inlineStr">
        <is>
          <t>5. 바탕조정층은 배합비율에 맞게 섞어 알맞은 양을 발랐는가</t>
        </is>
      </c>
      <c r="B53" s="14" t="n"/>
      <c r="C53" s="14" t="n"/>
      <c r="D53" s="14" t="n"/>
      <c r="E53" s="14" t="n"/>
      <c r="F53" s="55" t="inlineStr">
        <is>
          <t>적 · 부</t>
        </is>
      </c>
      <c r="G53" s="14" t="n"/>
      <c r="H53" s="38" t="inlineStr">
        <is>
          <t>○</t>
        </is>
      </c>
      <c r="I53" s="38" t="n"/>
      <c r="J53" s="38" t="n"/>
      <c r="K53" s="38" t="n"/>
      <c r="L53" s="37" t="n"/>
    </row>
    <row r="54" ht="34" customHeight="1">
      <c r="A54" s="65" t="inlineStr">
        <is>
          <t>6. 주제와 경화제를 지시된 비율로 고르게 섞었는가</t>
        </is>
      </c>
      <c r="B54" s="14" t="n"/>
      <c r="C54" s="14" t="n"/>
      <c r="D54" s="14" t="n"/>
      <c r="E54" s="14" t="n"/>
      <c r="F54" s="55" t="inlineStr">
        <is>
          <t>적 · 부</t>
        </is>
      </c>
      <c r="G54" s="14" t="n"/>
      <c r="H54" s="38" t="inlineStr">
        <is>
          <t>○</t>
        </is>
      </c>
      <c r="I54" s="38" t="n"/>
      <c r="J54" s="38" t="n"/>
      <c r="K54" s="38" t="n"/>
      <c r="L54" s="37" t="n"/>
    </row>
    <row r="55" ht="34" customHeight="1">
      <c r="A55" s="65" t="inlineStr">
        <is>
          <t>7. 시공 절차를 지키는가</t>
        </is>
      </c>
      <c r="B55" s="14" t="n"/>
      <c r="C55" s="14" t="n"/>
      <c r="D55" s="14" t="n"/>
      <c r="E55" s="14" t="n"/>
      <c r="F55" s="55" t="inlineStr">
        <is>
          <t>적 · 부</t>
        </is>
      </c>
      <c r="G55" s="14" t="n"/>
      <c r="H55" s="38" t="inlineStr">
        <is>
          <t>○</t>
        </is>
      </c>
      <c r="I55" s="38" t="n"/>
      <c r="J55" s="38" t="n"/>
      <c r="K55" s="38" t="n"/>
      <c r="L55" s="37" t="n"/>
    </row>
    <row r="56" ht="34" customHeight="1">
      <c r="A56" s="65" t="inlineStr">
        <is>
          <t>8. 에폭시 마감 두께는 고른가</t>
        </is>
      </c>
      <c r="B56" s="14" t="n"/>
      <c r="C56" s="14" t="n"/>
      <c r="D56" s="14" t="n"/>
      <c r="E56" s="14" t="n"/>
      <c r="F56" s="55" t="inlineStr">
        <is>
          <t>적 · 부</t>
        </is>
      </c>
      <c r="G56" s="14" t="n"/>
      <c r="H56" s="38" t="inlineStr">
        <is>
          <t>○</t>
        </is>
      </c>
      <c r="I56" s="38" t="n"/>
      <c r="J56" s="38" t="n"/>
      <c r="K56" s="38" t="n"/>
      <c r="L56" s="37" t="n"/>
    </row>
    <row r="57" ht="34" customHeight="1">
      <c r="A57" s="65" t="inlineStr">
        <is>
          <t>9. 시공 후 보양 대책은 세웠는가</t>
        </is>
      </c>
      <c r="B57" s="14" t="n"/>
      <c r="C57" s="14" t="n"/>
      <c r="D57" s="14" t="n"/>
      <c r="E57" s="14" t="n"/>
      <c r="F57" s="55" t="inlineStr">
        <is>
          <t>적 · 부</t>
        </is>
      </c>
      <c r="G57" s="14" t="n"/>
      <c r="H57" s="38" t="inlineStr">
        <is>
          <t>○</t>
        </is>
      </c>
      <c r="I57" s="38" t="n"/>
      <c r="J57" s="38" t="n"/>
      <c r="K57" s="38" t="n"/>
      <c r="L57" s="37" t="n"/>
    </row>
    <row r="58" ht="34" customHeight="1">
      <c r="A58" s="65" t="inlineStr">
        <is>
          <t>10. 정해진 색상을 쓰는가</t>
        </is>
      </c>
      <c r="B58" s="14" t="n"/>
      <c r="C58" s="14" t="n"/>
      <c r="D58" s="14" t="n"/>
      <c r="E58" s="14" t="n"/>
      <c r="F58" s="55" t="inlineStr">
        <is>
          <t>적 · 부</t>
        </is>
      </c>
      <c r="G58" s="14" t="n"/>
      <c r="H58" s="38" t="inlineStr">
        <is>
          <t>○</t>
        </is>
      </c>
      <c r="I58" s="38" t="n"/>
      <c r="J58" s="38" t="n"/>
      <c r="K58" s="38" t="n"/>
      <c r="L58" s="37" t="n"/>
    </row>
    <row r="59" ht="26" customHeight="1">
      <c r="A59" s="27" t="inlineStr">
        <is>
          <t>판  정</t>
        </is>
      </c>
      <c r="B59" s="14" t="n"/>
      <c r="C59" s="14" t="n"/>
      <c r="D59" s="66">
        <f>IF(COUNTA(H49:H58)+COUNTA(I49:I58)=0,"","1차 합격 "&amp;COUNTA(H49:H58)&amp;" · 불합격 "&amp;COUNTA(I49:I58)&amp;IF(COUNTA(I49:I58)&gt;0," / 2차 합격 "&amp;COUNTA(J49:J58)&amp;" · 불합격 "&amp;COUNTA(K49:K58),"")&amp;IF(COUNTA(H49:H58)+COUNTA(I49:I58)&lt;10," · 빈칸 "&amp;(10-COUNTA(H49:H58)-COUNTA(I49:I58)),"")&amp;"  →  "&amp;IF(COUNTA(I49:I58)=0,IF(COUNTA(H49:H58)+COUNTA(I49:I58)&lt;10,"점검 중","합격"),IF(AND(COUNTA(K49:K58)=0,COUNTA(J49:J58)&gt;=COUNTA(I49:I58)),"합격(재검측)","보완 후 재검측")))</f>
        <v/>
      </c>
      <c r="E59" s="14" t="n"/>
      <c r="F59" s="14" t="n"/>
      <c r="G59" s="14" t="n"/>
      <c r="H59" s="14" t="n"/>
      <c r="I59" s="14" t="n"/>
      <c r="J59" s="14" t="n"/>
      <c r="K59" s="14" t="n"/>
      <c r="L59" s="14" t="n"/>
    </row>
    <row r="60" ht="22" customHeight="1">
      <c r="A60" s="21" t="inlineStr">
        <is>
          <t>시 공 자  점 검</t>
        </is>
      </c>
      <c r="B60" s="14" t="n"/>
      <c r="C60" s="14" t="n"/>
      <c r="D60" s="14" t="n"/>
      <c r="E60" s="14" t="n"/>
      <c r="F60" s="14" t="n"/>
      <c r="G60" s="21" t="inlineStr">
        <is>
          <t>건 설 사 업 관 리 자  검 측</t>
        </is>
      </c>
      <c r="H60" s="14" t="n"/>
      <c r="I60" s="14" t="n"/>
      <c r="J60" s="14" t="n"/>
      <c r="K60" s="14" t="n"/>
      <c r="L60" s="14" t="n"/>
    </row>
    <row r="61" ht="20" customHeight="1">
      <c r="A61" s="21" t="inlineStr">
        <is>
          <t>점   검</t>
        </is>
      </c>
      <c r="B61" s="14" t="n"/>
      <c r="C61" s="14" t="n"/>
      <c r="D61" s="21" t="inlineStr">
        <is>
          <t>재 점 검</t>
        </is>
      </c>
      <c r="E61" s="14" t="n"/>
      <c r="F61" s="14" t="n"/>
      <c r="G61" s="21" t="inlineStr">
        <is>
          <t>검   측</t>
        </is>
      </c>
      <c r="H61" s="14" t="n"/>
      <c r="I61" s="14" t="n"/>
      <c r="J61" s="21" t="inlineStr">
        <is>
          <t>재 검 측</t>
        </is>
      </c>
      <c r="K61" s="14" t="n"/>
      <c r="L61" s="14" t="n"/>
    </row>
    <row r="62" ht="44" customHeight="1">
      <c r="A62" s="67" t="inlineStr">
        <is>
          <t>(인)</t>
        </is>
      </c>
      <c r="B62" s="14" t="n"/>
      <c r="C62" s="14" t="n"/>
      <c r="D62" s="67" t="inlineStr">
        <is>
          <t>(인)</t>
        </is>
      </c>
      <c r="E62" s="14" t="n"/>
      <c r="F62" s="14" t="n"/>
      <c r="G62" s="67" t="inlineStr">
        <is>
          <t>(인)</t>
        </is>
      </c>
      <c r="H62" s="14" t="n"/>
      <c r="I62" s="14" t="n"/>
      <c r="J62" s="67" t="inlineStr">
        <is>
          <t>(인)</t>
        </is>
      </c>
      <c r="K62" s="14" t="n"/>
      <c r="L62" s="14" t="n"/>
    </row>
    <row r="64" ht="19.5" customHeight="1">
      <c r="A64" s="8" t="inlineStr">
        <is>
          <t>이 시트는 작성 예시입니다(가상의 검측).</t>
        </is>
      </c>
    </row>
  </sheetData>
  <mergeCells count="149">
    <mergeCell ref="G21:H21"/>
    <mergeCell ref="F29:G29"/>
    <mergeCell ref="I4:L4"/>
    <mergeCell ref="A11:E11"/>
    <mergeCell ref="G62:I62"/>
    <mergeCell ref="F15:G15"/>
    <mergeCell ref="F5:G7"/>
    <mergeCell ref="A37:E37"/>
    <mergeCell ref="A26:E26"/>
    <mergeCell ref="A57:E57"/>
    <mergeCell ref="A46:E48"/>
    <mergeCell ref="G40:L40"/>
    <mergeCell ref="J61:L61"/>
    <mergeCell ref="A40:F40"/>
    <mergeCell ref="F13:G13"/>
    <mergeCell ref="F56:G56"/>
    <mergeCell ref="A22:B22"/>
    <mergeCell ref="G42:I42"/>
    <mergeCell ref="A60:F60"/>
    <mergeCell ref="A52:E52"/>
    <mergeCell ref="A23:E25"/>
    <mergeCell ref="G44:H44"/>
    <mergeCell ref="G22:H22"/>
    <mergeCell ref="C3:D3"/>
    <mergeCell ref="F57:G57"/>
    <mergeCell ref="E3:F3"/>
    <mergeCell ref="A34:E34"/>
    <mergeCell ref="F10:G10"/>
    <mergeCell ref="D41:F41"/>
    <mergeCell ref="I44:L44"/>
    <mergeCell ref="F54:G54"/>
    <mergeCell ref="F34:G34"/>
    <mergeCell ref="A45:B45"/>
    <mergeCell ref="A49:E49"/>
    <mergeCell ref="A36:E36"/>
    <mergeCell ref="H23:K23"/>
    <mergeCell ref="J41:L41"/>
    <mergeCell ref="F30:G30"/>
    <mergeCell ref="F33:G33"/>
    <mergeCell ref="D39:L39"/>
    <mergeCell ref="A55:E55"/>
    <mergeCell ref="A12:E12"/>
    <mergeCell ref="A43:L43"/>
    <mergeCell ref="G41:I41"/>
    <mergeCell ref="J42:L42"/>
    <mergeCell ref="C4:F4"/>
    <mergeCell ref="F31:G31"/>
    <mergeCell ref="F28:G28"/>
    <mergeCell ref="A32:E32"/>
    <mergeCell ref="A14:E14"/>
    <mergeCell ref="F9:G9"/>
    <mergeCell ref="A29:E29"/>
    <mergeCell ref="A38:E38"/>
    <mergeCell ref="F46:G48"/>
    <mergeCell ref="A5:E7"/>
    <mergeCell ref="A31:E31"/>
    <mergeCell ref="A58:E58"/>
    <mergeCell ref="L23:L25"/>
    <mergeCell ref="A16:C16"/>
    <mergeCell ref="G19:I19"/>
    <mergeCell ref="A18:C18"/>
    <mergeCell ref="L46:L48"/>
    <mergeCell ref="H5:K5"/>
    <mergeCell ref="E44:F44"/>
    <mergeCell ref="A42:C42"/>
    <mergeCell ref="A2:L2"/>
    <mergeCell ref="F53:G53"/>
    <mergeCell ref="J24:K24"/>
    <mergeCell ref="D18:F18"/>
    <mergeCell ref="C44:D44"/>
    <mergeCell ref="A17:F17"/>
    <mergeCell ref="F36:G36"/>
    <mergeCell ref="A62:C62"/>
    <mergeCell ref="F50:G50"/>
    <mergeCell ref="A3:B3"/>
    <mergeCell ref="I45:L45"/>
    <mergeCell ref="F8:G8"/>
    <mergeCell ref="A20:L20"/>
    <mergeCell ref="D42:F42"/>
    <mergeCell ref="A21:B21"/>
    <mergeCell ref="C45:F45"/>
    <mergeCell ref="A50:E50"/>
    <mergeCell ref="C21:D21"/>
    <mergeCell ref="J18:L18"/>
    <mergeCell ref="G60:L60"/>
    <mergeCell ref="A59:C59"/>
    <mergeCell ref="A4:B4"/>
    <mergeCell ref="C22:F22"/>
    <mergeCell ref="A64:L64"/>
    <mergeCell ref="J19:L19"/>
    <mergeCell ref="A1:F1"/>
    <mergeCell ref="I21:L21"/>
    <mergeCell ref="A28:E28"/>
    <mergeCell ref="A61:C61"/>
    <mergeCell ref="F49:G49"/>
    <mergeCell ref="F14:G14"/>
    <mergeCell ref="A13:E13"/>
    <mergeCell ref="L5:L7"/>
    <mergeCell ref="A30:E30"/>
    <mergeCell ref="F11:G11"/>
    <mergeCell ref="A41:C41"/>
    <mergeCell ref="A15:E15"/>
    <mergeCell ref="D61:F61"/>
    <mergeCell ref="A51:E51"/>
    <mergeCell ref="G18:I18"/>
    <mergeCell ref="D16:L16"/>
    <mergeCell ref="F55:G55"/>
    <mergeCell ref="F12:G12"/>
    <mergeCell ref="H6:I6"/>
    <mergeCell ref="A54:E54"/>
    <mergeCell ref="J6:K6"/>
    <mergeCell ref="F51:G51"/>
    <mergeCell ref="D62:F62"/>
    <mergeCell ref="F32:G32"/>
    <mergeCell ref="F26:G26"/>
    <mergeCell ref="G3:H3"/>
    <mergeCell ref="A27:E27"/>
    <mergeCell ref="F35:G35"/>
    <mergeCell ref="A56:E56"/>
    <mergeCell ref="G1:L1"/>
    <mergeCell ref="A19:C19"/>
    <mergeCell ref="J62:L62"/>
    <mergeCell ref="F38:G38"/>
    <mergeCell ref="A33:E33"/>
    <mergeCell ref="F23:G25"/>
    <mergeCell ref="G45:H45"/>
    <mergeCell ref="H46:K46"/>
    <mergeCell ref="A39:C39"/>
    <mergeCell ref="A8:E8"/>
    <mergeCell ref="H47:I47"/>
    <mergeCell ref="D59:L59"/>
    <mergeCell ref="F27:G27"/>
    <mergeCell ref="J47:K47"/>
    <mergeCell ref="F58:G58"/>
    <mergeCell ref="F52:G52"/>
    <mergeCell ref="G4:H4"/>
    <mergeCell ref="I22:L22"/>
    <mergeCell ref="D19:F19"/>
    <mergeCell ref="A35:E35"/>
    <mergeCell ref="F37:G37"/>
    <mergeCell ref="A53:E53"/>
    <mergeCell ref="I3:L3"/>
    <mergeCell ref="A10:E10"/>
    <mergeCell ref="H24:I24"/>
    <mergeCell ref="G61:I61"/>
    <mergeCell ref="G17:L17"/>
    <mergeCell ref="A44:B44"/>
    <mergeCell ref="A9:E9"/>
    <mergeCell ref="E21:F21"/>
  </mergeCells>
  <printOptions horizontalCentered="1"/>
  <pageMargins left="0.6" right="0.6" top="0.6" bottom="0.6" header="0.2" footer="0.2"/>
  <pageSetup orientation="portrait" paperSize="9" fitToHeight="0" fitToWidth="1"/>
  <rowBreaks count="2" manualBreakCount="2">
    <brk id="19" min="0" max="16383" man="1"/>
    <brk id="42" min="0" max="16383" man="1"/>
  </rowBreaks>
</worksheet>
</file>

<file path=xl/worksheets/sheet14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99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72" t="inlineStr">
        <is>
          <t xml:space="preserve">작성 예시 (가상의 현장)  </t>
        </is>
      </c>
    </row>
    <row r="2" ht="4" customHeight="1"/>
    <row r="3" ht="30" customHeight="1">
      <c r="A3" s="12" t="inlineStr">
        <is>
          <t>7.0   품 질 관 리  계 획</t>
        </is>
      </c>
    </row>
    <row r="4" ht="4" customHeight="1"/>
    <row r="5" ht="3" customHeight="1"/>
    <row r="6" ht="22" customHeight="1">
      <c r="A6" s="49" t="inlineStr">
        <is>
          <t>7-1  자재 관리</t>
        </is>
      </c>
    </row>
    <row r="7" ht="21" customHeight="1">
      <c r="A7" s="16" t="inlineStr">
        <is>
          <t>1) 적용범위</t>
        </is>
      </c>
    </row>
    <row r="8" ht="21.5" customHeight="1">
      <c r="A8" s="52" t="inlineStr">
        <is>
          <t>입고 자재가 취급 · 보관 등으로 품질이 손상되지 않도록 관리하는 업무에 적용한다.</t>
        </is>
      </c>
    </row>
    <row r="9" ht="21" customHeight="1">
      <c r="A9" s="16" t="inlineStr">
        <is>
          <t>2) 창고 구비 조건</t>
        </is>
      </c>
    </row>
    <row r="10" ht="20.5" customHeight="1">
      <c r="A10" s="50" t="inlineStr">
        <is>
          <t>(1)</t>
        </is>
      </c>
      <c r="B10" s="51" t="inlineStr">
        <is>
          <t>보관품은 알맞은 기준에 따라 품질에 변형을 주지 않는 장소에 둔다.</t>
        </is>
      </c>
    </row>
    <row r="11" ht="36" customHeight="1">
      <c r="A11" s="50" t="inlineStr">
        <is>
          <t>(2)</t>
        </is>
      </c>
      <c r="B11" s="51" t="inlineStr">
        <is>
          <t>야적장은 배수가 잘되고 주위에 위험요소가 없는 평탄한 곳으로 자재 운반이 쉬워야 하며, 밖에 두어도 품질 변화가 적은 자재만 보관한다.</t>
        </is>
      </c>
    </row>
    <row r="12" ht="21" customHeight="1">
      <c r="A12" s="16" t="inlineStr">
        <is>
          <t>3) 관리 방법</t>
        </is>
      </c>
    </row>
    <row r="13" ht="36" customHeight="1">
      <c r="A13" s="50" t="inlineStr">
        <is>
          <t>(1)</t>
        </is>
      </c>
      <c r="B13" s="51" t="inlineStr">
        <is>
          <t>보관품은 종류별 · 규격별로 반입 · 반출이 쉬운 상태로 보관하고, 포대 · 상자 또는 완전 포장된 것은 품명 · 수량 등을 적는다.</t>
        </is>
      </c>
    </row>
    <row r="14" ht="36" customHeight="1">
      <c r="A14" s="50" t="inlineStr">
        <is>
          <t>(2)</t>
        </is>
      </c>
      <c r="B14" s="51" t="inlineStr">
        <is>
          <t>롤(ROLL) 단위 시트류 — 습기 · 물기가 없는 지정 장소에 보관하고, 무게로 휘지 않게 야적량을 알맞게 하며, 세워서 규격별로 정리한다.</t>
        </is>
      </c>
    </row>
    <row r="15" ht="51.5" customHeight="1">
      <c r="A15" s="50" t="inlineStr">
        <is>
          <t>(3)</t>
        </is>
      </c>
      <c r="B15" s="51" t="inlineStr">
        <is>
          <t>캔류 — 파손 · 손상을 막기 위해 따로 구분 · 식별하여 관리하고, 다른 공정 작업자 등으로부터 피해를 받지 않게 하며, 찌그러지거나 터지지 않게 보관 · 운반하고, 포장재가 녹슬거나 라벨이 손상되지 않게 한다.</t>
        </is>
      </c>
    </row>
    <row r="16" ht="20.5" customHeight="1">
      <c r="A16" s="50" t="inlineStr">
        <is>
          <t>(4)</t>
        </is>
      </c>
      <c r="B16" s="51" t="inlineStr">
        <is>
          <t>그 밖의 자재 — 보관용 선반 · 전용 케이스 등을 이용하여 보관한다.</t>
        </is>
      </c>
    </row>
    <row r="17" ht="3" customHeight="1"/>
    <row r="18" ht="22" customHeight="1">
      <c r="A18" s="49" t="inlineStr">
        <is>
          <t>7-2  공정별 품질시험 계획</t>
        </is>
      </c>
    </row>
    <row r="19" ht="21" customHeight="1">
      <c r="A19" s="10" t="inlineStr"/>
      <c r="B19" s="16" t="inlineStr">
        <is>
          <t>(1) 시공 전 품질관리 — 자재 반입 검사(소요량 참조) · 바탕 상태 검사(바탕처리 후)</t>
        </is>
      </c>
    </row>
    <row r="20" ht="20" customHeight="1">
      <c r="A20" s="53" t="inlineStr">
        <is>
          <t>[ 바탕 상태 검사 체크리스트 ]</t>
        </is>
      </c>
    </row>
    <row r="21" ht="24" customHeight="1">
      <c r="A21" s="21" t="inlineStr">
        <is>
          <t>공  정</t>
        </is>
      </c>
      <c r="B21" s="14" t="n"/>
      <c r="C21" s="21" t="inlineStr">
        <is>
          <t>상    태</t>
        </is>
      </c>
      <c r="D21" s="14" t="n"/>
      <c r="E21" s="14" t="n"/>
      <c r="F21" s="14" t="n"/>
      <c r="G21" s="21" t="inlineStr">
        <is>
          <t>확인 방법</t>
        </is>
      </c>
      <c r="H21" s="14" t="n"/>
      <c r="I21" s="21" t="inlineStr">
        <is>
          <t>판 정 기 준</t>
        </is>
      </c>
      <c r="J21" s="14" t="n"/>
      <c r="K21" s="14" t="n"/>
      <c r="L21" s="14" t="n"/>
    </row>
    <row r="22" ht="24" customHeight="1">
      <c r="A22" s="55" t="inlineStr">
        <is>
          <t>바탕처리</t>
        </is>
      </c>
      <c r="B22" s="14" t="n"/>
      <c r="C22" s="54" t="inlineStr">
        <is>
          <t>거푸집 단차 및 돌기물</t>
        </is>
      </c>
      <c r="D22" s="14" t="n"/>
      <c r="E22" s="14" t="n"/>
      <c r="F22" s="14" t="n"/>
      <c r="G22" s="55" t="inlineStr">
        <is>
          <t>육안검사</t>
        </is>
      </c>
      <c r="H22" s="14" t="n"/>
      <c r="I22" s="54" t="inlineStr">
        <is>
          <t>높이 3mm 이하</t>
        </is>
      </c>
      <c r="J22" s="14" t="n"/>
      <c r="K22" s="14" t="n"/>
      <c r="L22" s="14" t="n"/>
    </row>
    <row r="23" ht="24" customHeight="1">
      <c r="A23" s="54" t="inlineStr"/>
      <c r="B23" s="14" t="n"/>
      <c r="C23" s="54" t="inlineStr">
        <is>
          <t>거푸집 박리제</t>
        </is>
      </c>
      <c r="D23" s="14" t="n"/>
      <c r="E23" s="14" t="n"/>
      <c r="F23" s="14" t="n"/>
      <c r="G23" s="55" t="inlineStr">
        <is>
          <t>육안검사</t>
        </is>
      </c>
      <c r="H23" s="14" t="n"/>
      <c r="I23" s="54" t="inlineStr">
        <is>
          <t>없음</t>
        </is>
      </c>
      <c r="J23" s="14" t="n"/>
      <c r="K23" s="14" t="n"/>
      <c r="L23" s="14" t="n"/>
    </row>
    <row r="24" ht="24" customHeight="1">
      <c r="A24" s="54" t="inlineStr"/>
      <c r="B24" s="14" t="n"/>
      <c r="C24" s="54" t="inlineStr">
        <is>
          <t>레이턴스 · 기름 · 먼지 등</t>
        </is>
      </c>
      <c r="D24" s="14" t="n"/>
      <c r="E24" s="14" t="n"/>
      <c r="F24" s="14" t="n"/>
      <c r="G24" s="55" t="inlineStr">
        <is>
          <t>육안검사</t>
        </is>
      </c>
      <c r="H24" s="14" t="n"/>
      <c r="I24" s="54" t="inlineStr">
        <is>
          <t>없음</t>
        </is>
      </c>
      <c r="J24" s="14" t="n"/>
      <c r="K24" s="14" t="n"/>
      <c r="L24" s="14" t="n"/>
    </row>
    <row r="25" ht="33" customHeight="1">
      <c r="A25" s="54" t="inlineStr"/>
      <c r="B25" s="14" t="n"/>
      <c r="C25" s="54" t="inlineStr">
        <is>
          <t>균열 및 누수 부위</t>
        </is>
      </c>
      <c r="D25" s="14" t="n"/>
      <c r="E25" s="14" t="n"/>
      <c r="F25" s="14" t="n"/>
      <c r="G25" s="55" t="inlineStr">
        <is>
          <t>육안 · 확대경</t>
        </is>
      </c>
      <c r="H25" s="14" t="n"/>
      <c r="I25" s="54" t="inlineStr">
        <is>
          <t>없음 또는 보수 · 보강 처리되어 있을 것</t>
        </is>
      </c>
      <c r="J25" s="14" t="n"/>
      <c r="K25" s="14" t="n"/>
      <c r="L25" s="14" t="n"/>
    </row>
    <row r="26" ht="24" customHeight="1">
      <c r="A26" s="54" t="inlineStr"/>
      <c r="B26" s="14" t="n"/>
      <c r="C26" s="54" t="inlineStr">
        <is>
          <t>나무조각 · 철사 · 종이류</t>
        </is>
      </c>
      <c r="D26" s="14" t="n"/>
      <c r="E26" s="14" t="n"/>
      <c r="F26" s="14" t="n"/>
      <c r="G26" s="55" t="inlineStr">
        <is>
          <t>육안검사</t>
        </is>
      </c>
      <c r="H26" s="14" t="n"/>
      <c r="I26" s="54" t="inlineStr">
        <is>
          <t>없음</t>
        </is>
      </c>
      <c r="J26" s="14" t="n"/>
      <c r="K26" s="14" t="n"/>
      <c r="L26" s="14" t="n"/>
    </row>
    <row r="27" ht="24" customHeight="1">
      <c r="A27" s="54" t="inlineStr"/>
      <c r="B27" s="14" t="n"/>
      <c r="C27" s="54" t="inlineStr">
        <is>
          <t>취약 부위(골재분리 등) 충전</t>
        </is>
      </c>
      <c r="D27" s="14" t="n"/>
      <c r="E27" s="14" t="n"/>
      <c r="F27" s="14" t="n"/>
      <c r="G27" s="55" t="inlineStr">
        <is>
          <t>육안검사</t>
        </is>
      </c>
      <c r="H27" s="14" t="n"/>
      <c r="I27" s="54" t="inlineStr">
        <is>
          <t>취약 부위가 보강되어 있을 것</t>
        </is>
      </c>
      <c r="J27" s="14" t="n"/>
      <c r="K27" s="14" t="n"/>
      <c r="L27" s="14" t="n"/>
    </row>
    <row r="28" ht="36" customHeight="1">
      <c r="A28" s="10" t="inlineStr"/>
      <c r="B28" s="16" t="inlineStr">
        <is>
          <t>(2) 시공 중 품질관리 — 공정별 도장 횟수 확인 · 재료 사용량 준수 여부 · 도장 부위의 하자 발생 여부</t>
        </is>
      </c>
    </row>
    <row r="29" ht="36" customHeight="1">
      <c r="A29" s="10" t="inlineStr"/>
      <c r="B29" s="16" t="inlineStr">
        <is>
          <t>(3) 시공 후 품질관리 — 도장 부위의 들뜸 · 손상 · 균열 · 얼룩 발생 여부 · 표면 상태 확인</t>
        </is>
      </c>
    </row>
    <row r="30" ht="4" customHeight="1"/>
    <row r="31" ht="30" customHeight="1">
      <c r="A31" s="12" t="inlineStr">
        <is>
          <t>8.0   환 경 관 리  계 획</t>
        </is>
      </c>
    </row>
    <row r="32" ht="4" customHeight="1"/>
    <row r="33" ht="3" customHeight="1"/>
    <row r="34" ht="22" customHeight="1">
      <c r="A34" s="49" t="inlineStr">
        <is>
          <t>8-1  개  요</t>
        </is>
      </c>
    </row>
    <row r="35" ht="21.5" customHeight="1">
      <c r="A35" s="52" t="inlineStr">
        <is>
          <t>현장의 폐기물 · 유류 · 쓰레기 및 소음 · 진동 · 비산먼지 등에 의한 오염을 방지한다.</t>
        </is>
      </c>
    </row>
    <row r="36" ht="3" customHeight="1"/>
    <row r="37" ht="22" customHeight="1">
      <c r="A37" s="49" t="inlineStr">
        <is>
          <t>8-2  중점관리 방침</t>
        </is>
      </c>
    </row>
    <row r="38" ht="20.5" customHeight="1">
      <c r="A38" s="50" t="inlineStr">
        <is>
          <t>(1)</t>
        </is>
      </c>
      <c r="B38" s="51" t="inlineStr">
        <is>
          <t>자율적인 환경관리</t>
        </is>
      </c>
    </row>
    <row r="39" ht="20.5" customHeight="1">
      <c r="A39" s="50" t="inlineStr">
        <is>
          <t>(2)</t>
        </is>
      </c>
      <c r="B39" s="51" t="inlineStr">
        <is>
          <t>쾌적한 작업환경 관리</t>
        </is>
      </c>
    </row>
    <row r="40" ht="20.5" customHeight="1">
      <c r="A40" s="50" t="inlineStr">
        <is>
          <t>(3)</t>
        </is>
      </c>
      <c r="B40" s="51" t="inlineStr">
        <is>
          <t>민원 발생 방지</t>
        </is>
      </c>
    </row>
    <row r="41" ht="3" customHeight="1"/>
    <row r="42" ht="22" customHeight="1">
      <c r="A42" s="49" t="inlineStr">
        <is>
          <t>8-3  실시계획</t>
        </is>
      </c>
    </row>
    <row r="43" ht="20.5" customHeight="1">
      <c r="A43" s="50" t="inlineStr">
        <is>
          <t>(1)</t>
        </is>
      </c>
      <c r="B43" s="51" t="inlineStr">
        <is>
          <t>작업 전후 정리정돈 : 작업 전후 정리정돈을 철저히 하여 쾌적한 작업환경을 유지한다.</t>
        </is>
      </c>
    </row>
    <row r="44" ht="36" customHeight="1">
      <c r="A44" s="50" t="inlineStr">
        <is>
          <t>(2)</t>
        </is>
      </c>
      <c r="B44" s="51" t="inlineStr">
        <is>
          <t>분리수거 : 분리수거를 철저히 하고, 도장 작업에서 나온 폐기물(빈 도료 용기 · 폐신너 · 걸레 등)은 시공업체 부담으로 적법하게 처리하여 쓰레기를 줄인다.</t>
        </is>
      </c>
    </row>
    <row r="45" ht="36" customHeight="1">
      <c r="A45" s="50" t="inlineStr">
        <is>
          <t>(3)</t>
        </is>
      </c>
      <c r="B45" s="51" t="inlineStr">
        <is>
          <t>민원 발생 억제 : 소음 · 진동 · 비산먼지 · 냄새를 최대한 억제하여 인근 주민의 생활에 피해가 없도록 하고, 적극적으로 환경관리 활동을 한다.</t>
        </is>
      </c>
    </row>
    <row r="46" ht="21" customHeight="1">
      <c r="A46" s="10" t="inlineStr"/>
      <c r="B46" s="16" t="inlineStr">
        <is>
          <t>(4) 환경관리 대책</t>
        </is>
      </c>
    </row>
    <row r="47" ht="20.5" customHeight="1">
      <c r="A47" s="50" t="inlineStr">
        <is>
          <t>①</t>
        </is>
      </c>
      <c r="C47" s="51" t="inlineStr">
        <is>
          <t>쓰레기 처리 : 현장 안은 금연하고 쓰레기 수거함을 둔다.</t>
        </is>
      </c>
    </row>
    <row r="48" ht="51.5" customHeight="1">
      <c r="A48" s="50" t="inlineStr">
        <is>
          <t>②</t>
        </is>
      </c>
      <c r="C48" s="51" t="inlineStr">
        <is>
          <t>잔재물 · 빈 용기 : 빈 도료 용기 · 폐신너 · 도료 묻은 걸레는 인화 위험이 없도록 뚜껑 있는 용기에 모아 지정 장소에 두고, 지정폐기물은 허가 업체에 위탁 처리한다.</t>
        </is>
      </c>
    </row>
    <row r="49" ht="36" customHeight="1">
      <c r="A49" s="50" t="inlineStr">
        <is>
          <t>③</t>
        </is>
      </c>
      <c r="C49" s="51" t="inlineStr">
        <is>
          <t>비산먼지 : 현장 안 주요 도로와 작업장 주변은 하루 2회 이상 살수차로 살수하고, 장비 이동 때 먼지가 나지 않도록 서행한다.</t>
        </is>
      </c>
    </row>
    <row r="50" ht="4" customHeight="1"/>
    <row r="51" ht="30" customHeight="1">
      <c r="A51" s="12" t="inlineStr">
        <is>
          <t>9.0   안 전 관 리  계 획</t>
        </is>
      </c>
    </row>
    <row r="52" ht="4" customHeight="1"/>
    <row r="53" ht="3" customHeight="1"/>
    <row r="54" ht="22" customHeight="1">
      <c r="A54" s="49" t="inlineStr">
        <is>
          <t>9-1  안전대책</t>
        </is>
      </c>
    </row>
    <row r="55" ht="36" customHeight="1">
      <c r="A55" s="10" t="inlineStr"/>
      <c r="B55" s="16" t="inlineStr">
        <is>
          <t>가. 안전 보호구 확보 · 지급 · 사용 계획 — 개인보호구는 산업안전보건법에서 정한 규격과 품질검사(안전인증)에 합격한 제품을 쓰는 것을 원칙으로 한다.</t>
        </is>
      </c>
    </row>
    <row r="56" ht="21" customHeight="1">
      <c r="A56" s="10" t="inlineStr"/>
      <c r="B56" s="16" t="inlineStr">
        <is>
          <t>나. 안전점검</t>
        </is>
      </c>
    </row>
    <row r="57" ht="24" customHeight="1">
      <c r="A57" s="21" t="inlineStr">
        <is>
          <t>구   분</t>
        </is>
      </c>
      <c r="B57" s="14" t="n"/>
      <c r="C57" s="14" t="n"/>
      <c r="D57" s="21" t="inlineStr">
        <is>
          <t>점검 시기</t>
        </is>
      </c>
      <c r="E57" s="14" t="n"/>
      <c r="F57" s="21" t="inlineStr">
        <is>
          <t>참석자 대상</t>
        </is>
      </c>
      <c r="G57" s="14" t="n"/>
      <c r="H57" s="14" t="n"/>
      <c r="I57" s="14" t="n"/>
      <c r="J57" s="21" t="inlineStr">
        <is>
          <t>비   고</t>
        </is>
      </c>
      <c r="K57" s="14" t="n"/>
      <c r="L57" s="14" t="n"/>
    </row>
    <row r="58" ht="26" customHeight="1">
      <c r="A58" s="62" t="inlineStr">
        <is>
          <t>주간 점검</t>
        </is>
      </c>
      <c r="B58" s="14" t="n"/>
      <c r="C58" s="14" t="n"/>
      <c r="D58" s="62" t="inlineStr">
        <is>
          <t>매주 1회</t>
        </is>
      </c>
      <c r="E58" s="14" t="n"/>
      <c r="F58" s="65" t="inlineStr">
        <is>
          <t>현장소장 · 안전관리자</t>
        </is>
      </c>
      <c r="G58" s="14" t="n"/>
      <c r="H58" s="14" t="n"/>
      <c r="I58" s="14" t="n"/>
      <c r="J58" s="65" t="inlineStr">
        <is>
          <t>현장 순회 점검</t>
        </is>
      </c>
      <c r="K58" s="14" t="n"/>
      <c r="L58" s="14" t="n"/>
    </row>
    <row r="59" ht="26" customHeight="1">
      <c r="A59" s="62" t="inlineStr">
        <is>
          <t>일일 점검</t>
        </is>
      </c>
      <c r="B59" s="14" t="n"/>
      <c r="C59" s="14" t="n"/>
      <c r="D59" s="62" t="inlineStr">
        <is>
          <t>매일 1회</t>
        </is>
      </c>
      <c r="E59" s="14" t="n"/>
      <c r="F59" s="65" t="inlineStr">
        <is>
          <t>관리감독자 · 안전담당자</t>
        </is>
      </c>
      <c r="G59" s="14" t="n"/>
      <c r="H59" s="14" t="n"/>
      <c r="I59" s="14" t="n"/>
      <c r="J59" s="65" t="inlineStr">
        <is>
          <t>현장 순회 점검</t>
        </is>
      </c>
      <c r="K59" s="14" t="n"/>
      <c r="L59" s="14" t="n"/>
    </row>
    <row r="60" ht="21" customHeight="1">
      <c r="A60" s="10" t="inlineStr"/>
      <c r="B60" s="16" t="inlineStr">
        <is>
          <t>다. 작업 중 안전관리</t>
        </is>
      </c>
    </row>
    <row r="61" ht="20.5" customHeight="1">
      <c r="A61" s="50" t="inlineStr">
        <is>
          <t>①</t>
        </is>
      </c>
      <c r="C61" s="51" t="inlineStr">
        <is>
          <t>개인보호구를 철저히 착용하고, 특히 신발은 미끄럼 방지가 되어야 한다.</t>
        </is>
      </c>
    </row>
    <row r="62" ht="20.5" customHeight="1">
      <c r="A62" s="50" t="inlineStr">
        <is>
          <t>②</t>
        </is>
      </c>
      <c r="C62" s="51" t="inlineStr">
        <is>
          <t>차량 출입구에는 신호수를 세우고 노면 상태를 점검 · 보수한다.</t>
        </is>
      </c>
    </row>
    <row r="63" ht="20.5" customHeight="1">
      <c r="A63" s="50" t="inlineStr">
        <is>
          <t>③</t>
        </is>
      </c>
      <c r="C63" s="51" t="inlineStr">
        <is>
          <t>야간작업 때 위험요소에는 잘 보이도록 보안등 및 위험 표시등을 설치한다.</t>
        </is>
      </c>
    </row>
    <row r="64" ht="20.5" customHeight="1">
      <c r="A64" s="50" t="inlineStr">
        <is>
          <t>④</t>
        </is>
      </c>
      <c r="C64" s="51" t="inlineStr">
        <is>
          <t>야간 작업자 관리와 야간 순찰을 위해 야간 당직 계획을 세워 시행한다.</t>
        </is>
      </c>
    </row>
    <row r="65" ht="21" customHeight="1">
      <c r="A65" s="10" t="inlineStr"/>
      <c r="B65" s="16" t="inlineStr">
        <is>
          <t>라. 작업 후 안전관리</t>
        </is>
      </c>
    </row>
    <row r="66" ht="20.5" customHeight="1">
      <c r="A66" s="50" t="inlineStr">
        <is>
          <t>①</t>
        </is>
      </c>
      <c r="C66" s="51" t="inlineStr">
        <is>
          <t>작업이 끝나면 기계 · 기구는 지정된 장소에 두고 작업 주변을 깨끗이 한다.</t>
        </is>
      </c>
    </row>
    <row r="67" ht="20.5" customHeight="1">
      <c r="A67" s="50" t="inlineStr">
        <is>
          <t>②</t>
        </is>
      </c>
      <c r="C67" s="51" t="inlineStr">
        <is>
          <t>작업 교대 때는 작업에 관한 전반적인 사항을 확실히 인수인계한다.</t>
        </is>
      </c>
    </row>
    <row r="68" ht="20.5" customHeight="1">
      <c r="A68" s="50" t="inlineStr">
        <is>
          <t>③</t>
        </is>
      </c>
      <c r="C68" s="51" t="inlineStr">
        <is>
          <t>작업자는 작업 공정을 숙지하여 안전에 만전을 기한다.</t>
        </is>
      </c>
    </row>
    <row r="69" ht="20.5" customHeight="1">
      <c r="A69" s="50" t="inlineStr">
        <is>
          <t>④</t>
        </is>
      </c>
      <c r="C69" s="51" t="inlineStr">
        <is>
          <t>작업구역에는 관계없는 사람의 출입을 통제한다.</t>
        </is>
      </c>
    </row>
    <row r="70" ht="20.5" customHeight="1">
      <c r="A70" s="50" t="inlineStr">
        <is>
          <t>⑤</t>
        </is>
      </c>
      <c r="C70" s="51" t="inlineStr">
        <is>
          <t>강우 · 폭우 · 폭설 등 악천후 때에는 작업을 중지한다.</t>
        </is>
      </c>
    </row>
    <row r="71" ht="21" customHeight="1">
      <c r="A71" s="10" t="inlineStr"/>
      <c r="B71" s="16" t="inlineStr">
        <is>
          <t>마. 유기용제 중독 예방</t>
        </is>
      </c>
    </row>
    <row r="72" ht="51.5" customHeight="1">
      <c r="A72" s="50" t="inlineStr">
        <is>
          <t>①</t>
        </is>
      </c>
      <c r="C72" s="51" t="inlineStr">
        <is>
          <t>밀폐되거나 환기가 나쁜 실내에서 유성 도료 · 신너 · 에폭시 등을 쓸 때는 국소배기 또는 이동식 송풍기로 충분히 환기하고, 방독마스크 등 호흡용 보호구를 착용한다.</t>
        </is>
      </c>
    </row>
    <row r="73" ht="36" customHeight="1">
      <c r="A73" s="50" t="inlineStr">
        <is>
          <t>②</t>
        </is>
      </c>
      <c r="C73" s="51" t="inlineStr">
        <is>
          <t>밀폐공간(지하 피트 · 수조 등)은 작업 전에 산소 · 유해가스 농도를 측정하고, 감시인을 두며, 작업 중에도 계속 환기한다.</t>
        </is>
      </c>
    </row>
    <row r="74" ht="36" customHeight="1">
      <c r="A74" s="50" t="inlineStr">
        <is>
          <t>③</t>
        </is>
      </c>
      <c r="C74" s="51" t="inlineStr">
        <is>
          <t>작업 뒤 도장한 곳이 마를 때까지는 출입을 삼가고, 두통 · 어지럼증이 있으면 즉시 작업을 멈추고 신선한 공기가 있는 곳으로 옮긴다.</t>
        </is>
      </c>
    </row>
    <row r="75" ht="36" customHeight="1">
      <c r="A75" s="50" t="inlineStr">
        <is>
          <t>④</t>
        </is>
      </c>
      <c r="C75" s="51" t="inlineStr">
        <is>
          <t>사용하는 도료 · 신너의 물질안전보건자료(MSDS)를 작업장에 게시하고 작업자에게 교육한다.</t>
        </is>
      </c>
    </row>
    <row r="76" ht="21" customHeight="1">
      <c r="A76" s="10" t="inlineStr"/>
      <c r="B76" s="16" t="inlineStr">
        <is>
          <t>바. 화재 예방</t>
        </is>
      </c>
    </row>
    <row r="77" ht="51.5" customHeight="1">
      <c r="A77" s="50" t="inlineStr">
        <is>
          <t>①</t>
        </is>
      </c>
      <c r="C77" s="51" t="inlineStr">
        <is>
          <t>가스 · 석유류 · 신너류 등 인화성 물질은 통풍이 잘되고 작업자의 통행이 빈번하지 않은 곳에 보관하며, 지하실 · 공동구 등 밀폐된 공간에는 보관하지 않는다. 소화기는 해당 층에 3개씩 둔다.</t>
        </is>
      </c>
    </row>
    <row r="78" ht="36" customHeight="1">
      <c r="A78" s="50" t="inlineStr">
        <is>
          <t>②</t>
        </is>
      </c>
      <c r="C78" s="51" t="inlineStr">
        <is>
          <t>전기 배선이 느슨하게 결선된 것은 쓰지 않으며, 도장 작업장 가까이에서는 용접 · 절단 등 화기 작업을 하지 않는다.</t>
        </is>
      </c>
    </row>
    <row r="79" ht="21" customHeight="1">
      <c r="A79" s="10" t="inlineStr"/>
      <c r="B79" s="16" t="inlineStr">
        <is>
          <t>사. 기타 — 안전사고 예방을 위해 일일 안전점검을 철저히 한다.</t>
        </is>
      </c>
    </row>
    <row r="80" ht="3" customHeight="1"/>
    <row r="81" ht="22" customHeight="1">
      <c r="A81" s="49" t="inlineStr">
        <is>
          <t>9-2  안전교육</t>
        </is>
      </c>
    </row>
    <row r="82" ht="24" customHeight="1">
      <c r="A82" s="21" t="inlineStr">
        <is>
          <t>구  분</t>
        </is>
      </c>
      <c r="B82" s="14" t="n"/>
      <c r="C82" s="21" t="inlineStr">
        <is>
          <t>대  상</t>
        </is>
      </c>
      <c r="D82" s="14" t="n"/>
      <c r="E82" s="21" t="inlineStr">
        <is>
          <t>시기 · 시간</t>
        </is>
      </c>
      <c r="F82" s="14" t="n"/>
      <c r="G82" s="21" t="inlineStr">
        <is>
          <t>담 당 자</t>
        </is>
      </c>
      <c r="H82" s="14" t="n"/>
      <c r="I82" s="21" t="inlineStr">
        <is>
          <t>방법</t>
        </is>
      </c>
      <c r="J82" s="21" t="inlineStr">
        <is>
          <t>교 육 내 용</t>
        </is>
      </c>
      <c r="K82" s="14" t="n"/>
      <c r="L82" s="14" t="n"/>
    </row>
    <row r="83" ht="40" customHeight="1">
      <c r="A83" s="68" t="inlineStr">
        <is>
          <t>정기교육</t>
        </is>
      </c>
      <c r="B83" s="14" t="n"/>
      <c r="C83" s="55" t="inlineStr">
        <is>
          <t>전 근로자</t>
        </is>
      </c>
      <c r="D83" s="14" t="n"/>
      <c r="E83" s="69" t="inlineStr">
        <is>
          <t>매월 1회 2시간
(매반기 12시간 이상)</t>
        </is>
      </c>
      <c r="F83" s="14" t="n"/>
      <c r="G83" s="55" t="inlineStr">
        <is>
          <t>안전관리자</t>
        </is>
      </c>
      <c r="H83" s="14" t="n"/>
      <c r="I83" s="70" t="inlineStr">
        <is>
          <t>집합교육</t>
        </is>
      </c>
      <c r="J83" s="71" t="inlineStr">
        <is>
          <t>산업안전보건법령 · 표준안전작업 · 사고사례 등</t>
        </is>
      </c>
      <c r="K83" s="14" t="n"/>
      <c r="L83" s="14" t="n"/>
    </row>
    <row r="84" ht="40" customHeight="1">
      <c r="A84" s="68" t="inlineStr">
        <is>
          <t>정기교육</t>
        </is>
      </c>
      <c r="B84" s="14" t="n"/>
      <c r="C84" s="55" t="inlineStr">
        <is>
          <t>관리감독자</t>
        </is>
      </c>
      <c r="D84" s="14" t="n"/>
      <c r="E84" s="69" t="inlineStr">
        <is>
          <t>연간 16시간 이상</t>
        </is>
      </c>
      <c r="F84" s="14" t="n"/>
      <c r="G84" s="55" t="inlineStr">
        <is>
          <t>안전관리자</t>
        </is>
      </c>
      <c r="H84" s="14" t="n"/>
      <c r="I84" s="70" t="inlineStr">
        <is>
          <t>집합교육</t>
        </is>
      </c>
      <c r="J84" s="71" t="inlineStr">
        <is>
          <t>관리감독자 책무 · 안전작업 · 사고사례 등</t>
        </is>
      </c>
      <c r="K84" s="14" t="n"/>
      <c r="L84" s="14" t="n"/>
    </row>
    <row r="85" ht="40" customHeight="1">
      <c r="A85" s="68" t="inlineStr">
        <is>
          <t>채용 시 교육</t>
        </is>
      </c>
      <c r="B85" s="14" t="n"/>
      <c r="C85" s="55" t="inlineStr">
        <is>
          <t>신규 채용자</t>
        </is>
      </c>
      <c r="D85" s="14" t="n"/>
      <c r="E85" s="69" t="inlineStr">
        <is>
          <t>일용 1시간 이상
그 밖 8시간 이상</t>
        </is>
      </c>
      <c r="F85" s="14" t="n"/>
      <c r="G85" s="55" t="inlineStr">
        <is>
          <t>안전관리자</t>
        </is>
      </c>
      <c r="H85" s="14" t="n"/>
      <c r="I85" s="70" t="inlineStr">
        <is>
          <t>개별 · 집합</t>
        </is>
      </c>
      <c r="J85" s="71" t="inlineStr">
        <is>
          <t>회사 방침 · 작업 방법 · 응급조치 등</t>
        </is>
      </c>
      <c r="K85" s="14" t="n"/>
      <c r="L85" s="14" t="n"/>
    </row>
    <row r="86" ht="40" customHeight="1">
      <c r="A86" s="68" t="inlineStr">
        <is>
          <t>작업내용
변경 시 교육</t>
        </is>
      </c>
      <c r="B86" s="14" t="n"/>
      <c r="C86" s="55" t="inlineStr">
        <is>
          <t>해당 근로자</t>
        </is>
      </c>
      <c r="D86" s="14" t="n"/>
      <c r="E86" s="69" t="inlineStr">
        <is>
          <t>일용 1시간 이상
그 밖 2시간 이상</t>
        </is>
      </c>
      <c r="F86" s="14" t="n"/>
      <c r="G86" s="55" t="inlineStr">
        <is>
          <t>관리감독자</t>
        </is>
      </c>
      <c r="H86" s="14" t="n"/>
      <c r="I86" s="70" t="inlineStr">
        <is>
          <t>개별 · 집합</t>
        </is>
      </c>
      <c r="J86" s="71" t="inlineStr">
        <is>
          <t>변경된 작업 방법 및 설비 사용법 등</t>
        </is>
      </c>
      <c r="K86" s="14" t="n"/>
      <c r="L86" s="14" t="n"/>
    </row>
    <row r="87" ht="40" customHeight="1">
      <c r="A87" s="68" t="inlineStr">
        <is>
          <t>특별교육
(유해 · 위험 작업)</t>
        </is>
      </c>
      <c r="B87" s="14" t="n"/>
      <c r="C87" s="55" t="inlineStr">
        <is>
          <t>해당 근로자</t>
        </is>
      </c>
      <c r="D87" s="14" t="n"/>
      <c r="E87" s="69" t="inlineStr">
        <is>
          <t>일용 2시간 이상
그 밖 16시간 이상</t>
        </is>
      </c>
      <c r="F87" s="14" t="n"/>
      <c r="G87" s="55" t="inlineStr">
        <is>
          <t>관리감독자
안전관리자</t>
        </is>
      </c>
      <c r="H87" s="14" t="n"/>
      <c r="I87" s="70" t="inlineStr">
        <is>
          <t>개별 · 집합</t>
        </is>
      </c>
      <c r="J87" s="71" t="inlineStr">
        <is>
          <t>사고 발생 원인 · 대책 · 안전의식 고취 등</t>
        </is>
      </c>
      <c r="K87" s="14" t="n"/>
      <c r="L87" s="14" t="n"/>
    </row>
    <row r="88" ht="40" customHeight="1">
      <c r="A88" s="68" t="inlineStr">
        <is>
          <t>현장 안전교육</t>
        </is>
      </c>
      <c r="B88" s="14" t="n"/>
      <c r="C88" s="55" t="inlineStr">
        <is>
          <t>관리감독자
전 근로자</t>
        </is>
      </c>
      <c r="D88" s="14" t="n"/>
      <c r="E88" s="69" t="inlineStr">
        <is>
          <t>분기별 2시간</t>
        </is>
      </c>
      <c r="F88" s="14" t="n"/>
      <c r="G88" s="55" t="inlineStr">
        <is>
          <t>현장소장
외부강사</t>
        </is>
      </c>
      <c r="H88" s="14" t="n"/>
      <c r="I88" s="70" t="inlineStr">
        <is>
          <t>집합교육</t>
        </is>
      </c>
      <c r="J88" s="71" t="inlineStr">
        <is>
          <t>현장 안전 방침 · 무재해 운동 등</t>
        </is>
      </c>
      <c r="K88" s="14" t="n"/>
      <c r="L88" s="14" t="n"/>
    </row>
    <row r="89" ht="40" customHeight="1">
      <c r="A89" s="68" t="inlineStr">
        <is>
          <t>작업 전 교육</t>
        </is>
      </c>
      <c r="B89" s="14" t="n"/>
      <c r="C89" s="55" t="inlineStr">
        <is>
          <t>전 근로자</t>
        </is>
      </c>
      <c r="D89" s="14" t="n"/>
      <c r="E89" s="69" t="inlineStr">
        <is>
          <t>작업 전 5 ~ 10분</t>
        </is>
      </c>
      <c r="F89" s="14" t="n"/>
      <c r="G89" s="55" t="inlineStr">
        <is>
          <t>안전담당자</t>
        </is>
      </c>
      <c r="H89" s="14" t="n"/>
      <c r="I89" s="70" t="inlineStr">
        <is>
          <t>T.B.M</t>
        </is>
      </c>
      <c r="J89" s="71" t="inlineStr">
        <is>
          <t>작업 내용 · 개인보호구 · 근로자 피로도 · 건강 상태</t>
        </is>
      </c>
      <c r="K89" s="14" t="n"/>
      <c r="L89" s="14" t="n"/>
    </row>
    <row r="90" ht="41.975" customHeight="1">
      <c r="A90" s="45" t="inlineStr">
        <is>
          <t>※ 법정 교육시간은 산업안전보건법 시행규칙 [별표 4](2023년 개정 이후) 기준입니다(«일용» = 일용근로자 · 근로계약 1주 이하 기간제). 1주 초과 1개월 이하 기간제의 채용 시 교육은 4시간 이상이며, 건설 일용근로자는 처음 투입 전에 건설업 기초안전보건교육(4시간)을 이수해야 합니다. 법령이 바뀌면 노란 칸을 고쳐 씁니다.</t>
        </is>
      </c>
    </row>
    <row r="91" ht="3" customHeight="1"/>
    <row r="92" ht="22" customHeight="1">
      <c r="A92" s="49" t="inlineStr">
        <is>
          <t>9-3  중점 안전 관리사항</t>
        </is>
      </c>
    </row>
    <row r="93" ht="36" customHeight="1">
      <c r="A93" s="50" t="inlineStr">
        <is>
          <t>①</t>
        </is>
      </c>
      <c r="B93" s="51" t="inlineStr">
        <is>
          <t>안전교육 강화 — 유해 · 위험 작업 전 안전교육, 방송 · 매체를 통한 일일 안전교육, 적극적인 안전활동 지도</t>
        </is>
      </c>
    </row>
    <row r="94" ht="36" customHeight="1">
      <c r="A94" s="50" t="inlineStr">
        <is>
          <t>②</t>
        </is>
      </c>
      <c r="B94" s="51" t="inlineStr">
        <is>
          <t>일일 안전점검 강화 — 개인 안전보호구 착용 상태, 가설물 안전 예방조치(비계 · 작업발판 등 가설재의 날림 · 낙하 방지, 가설계단 미끄럼 방지)</t>
        </is>
      </c>
    </row>
    <row r="95" ht="36" customHeight="1">
      <c r="A95" s="50" t="inlineStr">
        <is>
          <t>③</t>
        </is>
      </c>
      <c r="B95" s="51" t="inlineStr">
        <is>
          <t>안전시설물 설치 상태 — 안전망 · 방호선반 · 안전울타리 · 안전표지판 등, 위험방지시설의 조명 · 환기 · 배수, 기계 · 기구의 안전장치</t>
        </is>
      </c>
    </row>
    <row r="96" ht="36" customHeight="1">
      <c r="A96" s="50" t="inlineStr">
        <is>
          <t>④</t>
        </is>
      </c>
      <c r="B96" s="51" t="inlineStr">
        <is>
          <t>화재 예방 조치 — 용접기 · 인화물질 등에 의한 화재 예방, 소화기 비치 여부, 가설 전주 지지 상태, 분전함 관리 및 배선 정리 상태</t>
        </is>
      </c>
    </row>
    <row r="97" ht="20.5" customHeight="1">
      <c r="A97" s="50" t="inlineStr">
        <is>
          <t>⑤</t>
        </is>
      </c>
      <c r="B97" s="51" t="inlineStr">
        <is>
          <t>기타 안전조치 — 강설 · 강풍 때 공사 중단 여부 확인, 자재 정리 및 정돈 상태</t>
        </is>
      </c>
    </row>
    <row r="99" ht="19.5" customHeight="1">
      <c r="A99" s="8" t="inlineStr">
        <is>
          <t>이 시트는 작성 예시입니다.</t>
        </is>
      </c>
    </row>
  </sheetData>
  <mergeCells count="165">
    <mergeCell ref="G21:H21"/>
    <mergeCell ref="A64:B64"/>
    <mergeCell ref="A73:B73"/>
    <mergeCell ref="A37:L37"/>
    <mergeCell ref="J83:L83"/>
    <mergeCell ref="C89:D89"/>
    <mergeCell ref="G23:H23"/>
    <mergeCell ref="A88:B88"/>
    <mergeCell ref="A70:B70"/>
    <mergeCell ref="B93:L93"/>
    <mergeCell ref="A57:C57"/>
    <mergeCell ref="J85:L85"/>
    <mergeCell ref="E87:F87"/>
    <mergeCell ref="C49:L49"/>
    <mergeCell ref="B39:L39"/>
    <mergeCell ref="C77:L77"/>
    <mergeCell ref="A74:B74"/>
    <mergeCell ref="B14:L14"/>
    <mergeCell ref="C24:F24"/>
    <mergeCell ref="A27:B27"/>
    <mergeCell ref="C74:L74"/>
    <mergeCell ref="B13:L13"/>
    <mergeCell ref="I26:L26"/>
    <mergeCell ref="B38:L38"/>
    <mergeCell ref="C26:F26"/>
    <mergeCell ref="A85:B85"/>
    <mergeCell ref="F59:I59"/>
    <mergeCell ref="I25:L25"/>
    <mergeCell ref="A34:L34"/>
    <mergeCell ref="A22:B22"/>
    <mergeCell ref="B40:L40"/>
    <mergeCell ref="A92:L92"/>
    <mergeCell ref="A62:B62"/>
    <mergeCell ref="E85:F85"/>
    <mergeCell ref="C75:L75"/>
    <mergeCell ref="G85:H85"/>
    <mergeCell ref="A68:B68"/>
    <mergeCell ref="J84:L84"/>
    <mergeCell ref="A6:L6"/>
    <mergeCell ref="J87:L87"/>
    <mergeCell ref="G84:H84"/>
    <mergeCell ref="G22:H22"/>
    <mergeCell ref="C27:F27"/>
    <mergeCell ref="C83:D83"/>
    <mergeCell ref="A48:B48"/>
    <mergeCell ref="C61:L61"/>
    <mergeCell ref="J89:L89"/>
    <mergeCell ref="B16:L16"/>
    <mergeCell ref="C70:L70"/>
    <mergeCell ref="G86:H86"/>
    <mergeCell ref="C48:L48"/>
    <mergeCell ref="F58:I58"/>
    <mergeCell ref="A3:L3"/>
    <mergeCell ref="A61:B61"/>
    <mergeCell ref="A12:L12"/>
    <mergeCell ref="A87:B87"/>
    <mergeCell ref="F57:I57"/>
    <mergeCell ref="B11:L11"/>
    <mergeCell ref="A89:B89"/>
    <mergeCell ref="A81:L81"/>
    <mergeCell ref="A26:B26"/>
    <mergeCell ref="G24:H24"/>
    <mergeCell ref="C73:L73"/>
    <mergeCell ref="B29:L29"/>
    <mergeCell ref="A58:C58"/>
    <mergeCell ref="A31:L31"/>
    <mergeCell ref="C63:L63"/>
    <mergeCell ref="G88:H88"/>
    <mergeCell ref="G26:H26"/>
    <mergeCell ref="C82:D82"/>
    <mergeCell ref="B15:L15"/>
    <mergeCell ref="A63:B63"/>
    <mergeCell ref="G25:H25"/>
    <mergeCell ref="B55:L55"/>
    <mergeCell ref="B95:L95"/>
    <mergeCell ref="I24:L24"/>
    <mergeCell ref="A77:B77"/>
    <mergeCell ref="B79:L79"/>
    <mergeCell ref="A83:B83"/>
    <mergeCell ref="C86:D86"/>
    <mergeCell ref="B97:L97"/>
    <mergeCell ref="A49:B49"/>
    <mergeCell ref="C67:L67"/>
    <mergeCell ref="A18:L18"/>
    <mergeCell ref="E83:F83"/>
    <mergeCell ref="C72:L72"/>
    <mergeCell ref="B56:L56"/>
    <mergeCell ref="A69:B69"/>
    <mergeCell ref="B71:L71"/>
    <mergeCell ref="A78:B78"/>
    <mergeCell ref="B43:L43"/>
    <mergeCell ref="A42:L42"/>
    <mergeCell ref="C85:D85"/>
    <mergeCell ref="C69:L69"/>
    <mergeCell ref="C78:L78"/>
    <mergeCell ref="A75:B75"/>
    <mergeCell ref="C84:D84"/>
    <mergeCell ref="E84:F84"/>
    <mergeCell ref="B60:L60"/>
    <mergeCell ref="C62:L62"/>
    <mergeCell ref="A20:L20"/>
    <mergeCell ref="G87:H87"/>
    <mergeCell ref="A21:B21"/>
    <mergeCell ref="B44:L44"/>
    <mergeCell ref="J58:L58"/>
    <mergeCell ref="E86:F86"/>
    <mergeCell ref="C64:L64"/>
    <mergeCell ref="B19:L19"/>
    <mergeCell ref="E89:F89"/>
    <mergeCell ref="B28:L28"/>
    <mergeCell ref="G89:H89"/>
    <mergeCell ref="A23:B23"/>
    <mergeCell ref="A59:C59"/>
    <mergeCell ref="J82:L82"/>
    <mergeCell ref="C22:F22"/>
    <mergeCell ref="J57:L57"/>
    <mergeCell ref="A51:L51"/>
    <mergeCell ref="I21:L21"/>
    <mergeCell ref="A1:F1"/>
    <mergeCell ref="J59:L59"/>
    <mergeCell ref="C21:F21"/>
    <mergeCell ref="A67:B67"/>
    <mergeCell ref="B94:L94"/>
    <mergeCell ref="I23:L23"/>
    <mergeCell ref="A54:L54"/>
    <mergeCell ref="A24:B24"/>
    <mergeCell ref="A7:L7"/>
    <mergeCell ref="C23:F23"/>
    <mergeCell ref="A82:B82"/>
    <mergeCell ref="A90:L90"/>
    <mergeCell ref="A99:L99"/>
    <mergeCell ref="G27:H27"/>
    <mergeCell ref="B46:L46"/>
    <mergeCell ref="C88:D88"/>
    <mergeCell ref="J86:L86"/>
    <mergeCell ref="E88:F88"/>
    <mergeCell ref="C66:L66"/>
    <mergeCell ref="E82:F82"/>
    <mergeCell ref="G82:H82"/>
    <mergeCell ref="B96:L96"/>
    <mergeCell ref="A25:B25"/>
    <mergeCell ref="D57:E57"/>
    <mergeCell ref="A8:L8"/>
    <mergeCell ref="C68:L68"/>
    <mergeCell ref="A66:B66"/>
    <mergeCell ref="A84:B84"/>
    <mergeCell ref="I27:L27"/>
    <mergeCell ref="A35:L35"/>
    <mergeCell ref="G1:L1"/>
    <mergeCell ref="G83:H83"/>
    <mergeCell ref="A86:B86"/>
    <mergeCell ref="A47:B47"/>
    <mergeCell ref="B10:L10"/>
    <mergeCell ref="A9:L9"/>
    <mergeCell ref="C25:F25"/>
    <mergeCell ref="D58:E58"/>
    <mergeCell ref="C47:L47"/>
    <mergeCell ref="I22:L22"/>
    <mergeCell ref="B65:L65"/>
    <mergeCell ref="A72:B72"/>
    <mergeCell ref="J88:L88"/>
    <mergeCell ref="B76:L76"/>
    <mergeCell ref="B45:L45"/>
    <mergeCell ref="D59:E59"/>
    <mergeCell ref="C87:D87"/>
  </mergeCells>
  <printOptions horizontalCentered="1"/>
  <pageMargins left="0.6" right="0.6" top="0.6" bottom="0.6" header="0.2" footer="0.2"/>
  <pageSetup orientation="portrait" paperSize="9" fitToHeight="0" fitToWidth="1"/>
  <rowBreaks count="3" manualBreakCount="3">
    <brk id="29" min="0" max="16383" man="1"/>
    <brk id="49" min="0" max="16383" man="1"/>
    <brk id="7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도장공사 시공계획서</dc:title>
  <dcterms:created xmlns:dcterms="http://purl.org/dc/terms/" xmlns:xsi="http://www.w3.org/2001/XMLSchema-instance" xsi:type="dcterms:W3CDTF">2026-10-17T01:09:01Z</dcterms:created>
  <dcterms:modified xmlns:dcterms="http://purl.org/dc/terms/" xmlns:xsi="http://www.w3.org/2001/XMLSchema-instance" xsi:type="dcterms:W3CDTF">2026-10-17T01:09:02Z</dcterms:modified>
</cp:coreProperties>
</file>