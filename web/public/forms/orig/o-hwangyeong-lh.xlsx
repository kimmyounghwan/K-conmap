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점검표" sheetId="3" state="visible" r:id="rId3"/>
    <sheet xmlns:r="http://schemas.openxmlformats.org/officeDocument/2006/relationships" name="환경보전비" sheetId="4" state="visible" r:id="rId4"/>
    <sheet xmlns:r="http://schemas.openxmlformats.org/officeDocument/2006/relationships" name="신고증명서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본문" sheetId="7" state="visible" r:id="rId7"/>
    <sheet xmlns:r="http://schemas.openxmlformats.org/officeDocument/2006/relationships" name="예시-점검표" sheetId="8" state="visible" r:id="rId8"/>
    <sheet xmlns:r="http://schemas.openxmlformats.org/officeDocument/2006/relationships" name="예시-환경보전비" sheetId="9" state="visible" r:id="rId9"/>
    <sheet xmlns:r="http://schemas.openxmlformats.org/officeDocument/2006/relationships" name="예시-신고증명서" sheetId="10" state="visible" r:id="rId10"/>
  </sheets>
  <definedNames>
    <definedName name="_xlnm.Print_Area" localSheetId="0">'표지'!$A$1:$L$8</definedName>
    <definedName name="_xlnm.Print_Area" localSheetId="1">'본문'!$A$1:$L$237</definedName>
    <definedName name="_xlnm.Print_Area" localSheetId="2">'점검표'!$A$1:$L$28</definedName>
    <definedName name="_xlnm.Print_Area" localSheetId="3">'환경보전비'!$A$1:$L$53</definedName>
    <definedName name="_xlnm.Print_Area" localSheetId="4">'신고증명서'!$A$1:$L$35</definedName>
    <definedName name="_xlnm.Print_Area" localSheetId="5">'예시-표지'!$A$1:$L$8</definedName>
    <definedName name="_xlnm.Print_Area" localSheetId="6">'예시-본문'!$A$1:$L$237</definedName>
    <definedName name="_xlnm.Print_Area" localSheetId="7">'예시-점검표'!$A$1:$L$28</definedName>
    <definedName name="_xlnm.Print_Area" localSheetId="8">'예시-환경보전비'!$A$1:$L$53</definedName>
    <definedName name="_xlnm.Print_Area" localSheetId="9">'예시-신고증명서'!$A$1:$L$35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&quot;(&quot;yyyy&quot;년 &quot;m&quot;월)&quot;"/>
    <numFmt numFmtId="165" formatCode="yyyy. m. d."/>
    <numFmt numFmtId="166" formatCode="&quot;₩&quot;#,##0"/>
    <numFmt numFmtId="167" formatCode="[DBNum4][$-412]&quot;일금 &quot;General&quot;원정&quot;;;&quot;&quot;"/>
    <numFmt numFmtId="168" formatCode="#,##0.#"/>
    <numFmt numFmtId="169" formatCode="#,##0&quot;동&quot;"/>
    <numFmt numFmtId="170" formatCode="yyyy&quot;년&quot; m&quot;월&quot; d&quot;일&quot;"/>
    <numFmt numFmtId="171" formatCode="#,##0&quot; 원&quot;"/>
    <numFmt numFmtId="172" formatCode="0.0%"/>
    <numFmt numFmtId="173" formatCode="#,##0.##"/>
    <numFmt numFmtId="174" formatCode="#,##0;;&quot;&quot;"/>
    <numFmt numFmtId="175" formatCode="yyyy-mm-dd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000000"/>
      <sz val="15"/>
    </font>
    <font>
      <name val="맑은 고딕"/>
      <b val="1"/>
      <color rgb="00111827"/>
      <sz val="30"/>
    </font>
    <font>
      <name val="맑은 고딕"/>
      <color rgb="00000000"/>
      <sz val="13"/>
    </font>
    <font>
      <name val="맑은 고딕"/>
      <color rgb="001F2937"/>
      <sz val="10"/>
    </font>
    <font>
      <name val="맑은 고딕"/>
      <b val="1"/>
      <color rgb="001F2937"/>
      <sz val="14"/>
    </font>
    <font>
      <name val="맑은 고딕"/>
      <b val="1"/>
      <color rgb="00000000"/>
      <sz val="16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color rgb="001F2937"/>
      <sz val="11.5"/>
    </font>
    <font>
      <name val="맑은 고딕"/>
      <b val="1"/>
      <color rgb="00111827"/>
      <sz val="13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000000"/>
      <sz val="9.5"/>
    </font>
    <font>
      <name val="맑은 고딕"/>
      <b val="1"/>
      <color rgb="00111827"/>
      <sz val="11"/>
    </font>
    <font>
      <name val="맑은 고딕"/>
      <color rgb="001F2937"/>
      <sz val="9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111827"/>
      <sz val="18"/>
    </font>
    <font>
      <name val="맑은 고딕"/>
      <color rgb="00000000"/>
      <sz val="8.5"/>
    </font>
    <font>
      <name val="맑은 고딕"/>
      <color rgb="00000000"/>
      <sz val="8"/>
    </font>
    <font>
      <name val="맑은 고딕"/>
      <color rgb="00DC2626"/>
      <sz val="9"/>
    </font>
    <font>
      <name val="맑은 고딕"/>
      <b val="1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right" vertical="center" shrinkToFit="1"/>
    </xf>
    <xf numFmtId="167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shrinkToFit="1"/>
    </xf>
    <xf numFmtId="169" fontId="14" fillId="0" borderId="1" applyAlignment="1" pivotButton="0" quotePrefix="0" xfId="0">
      <alignment horizontal="center" vertical="center" shrinkToFit="1"/>
    </xf>
    <xf numFmtId="0" fontId="19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168" fontId="13" fillId="3" borderId="1" applyAlignment="1" pivotButton="0" quotePrefix="0" xfId="0">
      <alignment horizontal="center" vertical="center" shrinkToFit="1"/>
    </xf>
    <xf numFmtId="169" fontId="13" fillId="3" borderId="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 indent="2"/>
    </xf>
    <xf numFmtId="0" fontId="6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left" vertical="top" wrapText="1" indent="2"/>
    </xf>
    <xf numFmtId="0" fontId="18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right" vertical="top" wrapText="1"/>
    </xf>
    <xf numFmtId="0" fontId="15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70" fontId="14" fillId="0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center" wrapText="1"/>
    </xf>
    <xf numFmtId="171" fontId="14" fillId="0" borderId="1" applyAlignment="1" pivotButton="0" quotePrefix="0" xfId="0">
      <alignment horizontal="right" vertical="center" shrinkToFit="1"/>
    </xf>
    <xf numFmtId="3" fontId="6" fillId="3" borderId="1" applyAlignment="1" pivotButton="0" quotePrefix="0" xfId="0">
      <alignment horizontal="right" vertical="center" shrinkToFit="1"/>
    </xf>
    <xf numFmtId="172" fontId="18" fillId="3" borderId="1" applyAlignment="1" pivotButton="0" quotePrefix="0" xfId="0">
      <alignment horizontal="center" vertical="center" shrinkToFit="1"/>
    </xf>
    <xf numFmtId="3" fontId="13" fillId="3" borderId="1" applyAlignment="1" pivotButton="0" quotePrefix="0" xfId="0">
      <alignment horizontal="right" vertical="center" shrinkToFit="1"/>
    </xf>
    <xf numFmtId="9" fontId="13" fillId="3" borderId="1" applyAlignment="1" pivotButton="0" quotePrefix="0" xfId="0">
      <alignment horizontal="center" vertical="center" shrinkToFit="1"/>
    </xf>
    <xf numFmtId="0" fontId="24" fillId="0" borderId="0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center" vertical="center" wrapText="1"/>
    </xf>
    <xf numFmtId="1" fontId="19" fillId="0" borderId="1" applyAlignment="1" pivotButton="0" quotePrefix="0" xfId="0">
      <alignment horizontal="center" vertical="center" shrinkToFit="1"/>
    </xf>
    <xf numFmtId="0" fontId="19" fillId="0" borderId="1" applyAlignment="1" pivotButton="0" quotePrefix="0" xfId="0">
      <alignment horizontal="center" vertical="center" wrapText="1"/>
    </xf>
    <xf numFmtId="173" fontId="19" fillId="0" borderId="1" applyAlignment="1" pivotButton="0" quotePrefix="0" xfId="0">
      <alignment horizontal="center" vertical="center" shrinkToFit="1"/>
    </xf>
    <xf numFmtId="174" fontId="19" fillId="0" borderId="1" applyAlignment="1" pivotButton="0" quotePrefix="0" xfId="0">
      <alignment horizontal="right" vertical="center" shrinkToFit="1"/>
    </xf>
    <xf numFmtId="3" fontId="18" fillId="3" borderId="1" applyAlignment="1" pivotButton="0" quotePrefix="0" xfId="0">
      <alignment horizontal="right" vertical="center" shrinkToFit="1"/>
    </xf>
    <xf numFmtId="0" fontId="2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80" customHeight="1"/>
    <row r="3" ht="34" customHeight="1">
      <c r="A3" s="3" t="inlineStr">
        <is>
          <t>공 사 명</t>
        </is>
      </c>
    </row>
    <row r="4" ht="30" customHeight="1"/>
    <row r="5" ht="70" customHeight="1">
      <c r="A5" s="4" t="inlineStr">
        <is>
          <t>환 경 관 리 계 획 서</t>
        </is>
      </c>
    </row>
    <row r="6" ht="28" customHeight="1">
      <c r="A6" s="5" t="inlineStr">
        <is>
          <t>(20    년    월)</t>
        </is>
      </c>
    </row>
    <row r="7" ht="256" customHeight="1"/>
    <row r="8" ht="40" customHeight="1">
      <c r="A8" s="6" t="inlineStr"/>
      <c r="D8" s="7" t="inlineStr">
        <is>
          <t>회 사 명 :</t>
        </is>
      </c>
      <c r="F8" s="8" t="n"/>
      <c r="K8" s="6" t="inlineStr"/>
    </row>
    <row r="10" ht="34" customHeight="1">
      <c r="A10" s="9" t="inlineStr">
        <is>
          <t>공사명 · 작성 연월(그 칸에 2026-03 처럼) · 회사명을 적으면 공사명 · 회사명은 뒤 장에 저절로 들어갑니다.</t>
        </is>
      </c>
    </row>
  </sheetData>
  <mergeCells count="10">
    <mergeCell ref="D8:E8"/>
    <mergeCell ref="G1:L1"/>
    <mergeCell ref="A10:L10"/>
    <mergeCell ref="K8:L8"/>
    <mergeCell ref="A1:F1"/>
    <mergeCell ref="A5:L5"/>
    <mergeCell ref="A8:C8"/>
    <mergeCell ref="A6:L6"/>
    <mergeCell ref="A3:L3"/>
    <mergeCell ref="F8:J8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0" customHeight="1"/>
    <row r="3" ht="50" customHeight="1">
      <c r="A3" s="10" t="inlineStr">
        <is>
          <t>목          차</t>
        </is>
      </c>
    </row>
    <row r="4" ht="10" customHeight="1"/>
    <row r="5" ht="30" customHeight="1">
      <c r="A5" s="6" t="inlineStr"/>
      <c r="C5" s="11" t="inlineStr">
        <is>
          <t>1. 공사개요</t>
        </is>
      </c>
      <c r="L5" s="6" t="inlineStr"/>
    </row>
    <row r="6" ht="30" customHeight="1">
      <c r="A6" s="6" t="inlineStr"/>
      <c r="C6" s="11" t="inlineStr">
        <is>
          <t>2. 현장여건조사</t>
        </is>
      </c>
      <c r="L6" s="6" t="inlineStr"/>
    </row>
    <row r="7" ht="26" customHeight="1">
      <c r="A7" s="6" t="inlineStr"/>
      <c r="D7" s="12" t="inlineStr">
        <is>
          <t>가. 건설공사 현장주변 여건 현황조사</t>
        </is>
      </c>
      <c r="L7" s="6" t="inlineStr"/>
    </row>
    <row r="8" ht="26" customHeight="1">
      <c r="A8" s="6" t="inlineStr"/>
      <c r="D8" s="12" t="inlineStr">
        <is>
          <t>나. 공사대상지 주변 건물집계표</t>
        </is>
      </c>
      <c r="L8" s="6" t="inlineStr"/>
    </row>
    <row r="9" ht="30" customHeight="1">
      <c r="A9" s="6" t="inlineStr"/>
      <c r="C9" s="11" t="inlineStr">
        <is>
          <t>3. 환경관리 조직 및 임무</t>
        </is>
      </c>
      <c r="L9" s="6" t="inlineStr"/>
    </row>
    <row r="10" ht="26" customHeight="1">
      <c r="A10" s="6" t="inlineStr"/>
      <c r="D10" s="12" t="inlineStr">
        <is>
          <t>가. 환경관리 목표 및 방향</t>
        </is>
      </c>
      <c r="L10" s="6" t="inlineStr"/>
    </row>
    <row r="11" ht="26" customHeight="1">
      <c r="A11" s="6" t="inlineStr"/>
      <c r="D11" s="12" t="inlineStr">
        <is>
          <t>나. 환경관리 조직 및 임무</t>
        </is>
      </c>
      <c r="L11" s="6" t="inlineStr"/>
    </row>
    <row r="12" ht="26" customHeight="1">
      <c r="A12" s="6" t="inlineStr"/>
      <c r="D12" s="12" t="inlineStr">
        <is>
          <t>다. 환경요인별 관리 계획</t>
        </is>
      </c>
      <c r="L12" s="6" t="inlineStr"/>
    </row>
    <row r="13" ht="26" customHeight="1">
      <c r="A13" s="6" t="inlineStr"/>
      <c r="D13" s="12" t="inlineStr">
        <is>
          <t>라. 환경시설물 설치관리 계획</t>
        </is>
      </c>
      <c r="L13" s="6" t="inlineStr"/>
    </row>
    <row r="14" ht="26" customHeight="1">
      <c r="A14" s="6" t="inlineStr"/>
      <c r="D14" s="12" t="inlineStr">
        <is>
          <t>마. 현장환경관리 활동계획</t>
        </is>
      </c>
      <c r="L14" s="6" t="inlineStr"/>
    </row>
    <row r="15" ht="30" customHeight="1">
      <c r="A15" s="6" t="inlineStr"/>
      <c r="C15" s="11" t="inlineStr">
        <is>
          <t>4. 환경보전비 집행계획</t>
        </is>
      </c>
      <c r="L15" s="6" t="inlineStr"/>
    </row>
    <row r="16" ht="30" customHeight="1">
      <c r="A16" s="6" t="inlineStr"/>
      <c r="C16" s="11" t="inlineStr">
        <is>
          <t>5. 신고증명서</t>
        </is>
      </c>
      <c r="L16" s="6" t="inlineStr"/>
    </row>
    <row r="17" ht="26" customHeight="1">
      <c r="A17" s="6" t="inlineStr"/>
      <c r="D17" s="12" t="inlineStr">
        <is>
          <t>가. 비산먼지 발생사업 등 신고 증명서</t>
        </is>
      </c>
      <c r="L17" s="6" t="inlineStr"/>
    </row>
    <row r="18" ht="26" customHeight="1">
      <c r="A18" s="6" t="inlineStr"/>
      <c r="D18" s="12" t="inlineStr">
        <is>
          <t>나. 특정공사 사전신고 증명서</t>
        </is>
      </c>
      <c r="L18" s="6" t="inlineStr"/>
    </row>
    <row r="19" ht="6" customHeight="1"/>
    <row r="20" ht="28" customHeight="1">
      <c r="A20" s="13" t="inlineStr">
        <is>
          <t>1. 공사개요</t>
        </is>
      </c>
    </row>
    <row r="21" ht="26" customHeight="1">
      <c r="A21" s="14" t="inlineStr">
        <is>
          <t>가. 공 사 명</t>
        </is>
      </c>
      <c r="B21" s="15" t="n"/>
      <c r="C21" s="15" t="n"/>
      <c r="D21" s="16">
        <f>IF(OR('표지'!A3="",'표지'!A3="공 사 명"),"",'표지'!A3)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6" customHeight="1">
      <c r="A22" s="14" t="inlineStr">
        <is>
          <t>나. 위    치</t>
        </is>
      </c>
      <c r="B22" s="15" t="n"/>
      <c r="C22" s="15" t="n"/>
      <c r="D22" s="17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다. 발 주 처</t>
        </is>
      </c>
      <c r="B23" s="15" t="n"/>
      <c r="C23" s="15" t="n"/>
      <c r="D23" s="17" t="inlineStr">
        <is>
          <t>한국토지주택공사</t>
        </is>
      </c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라. 공사기간</t>
        </is>
      </c>
      <c r="B24" s="15" t="n"/>
      <c r="C24" s="15" t="n"/>
      <c r="D24" s="18" t="n"/>
      <c r="E24" s="15" t="n"/>
      <c r="F24" s="19" t="inlineStr">
        <is>
          <t>~</t>
        </is>
      </c>
      <c r="G24" s="18" t="n"/>
      <c r="H24" s="15" t="n"/>
      <c r="I24" s="16">
        <f>IF(OR(N(D24)=0,N(G24)=0),"","("&amp;(G24-D24+1)&amp;"일)")</f>
        <v/>
      </c>
      <c r="J24" s="15" t="n"/>
      <c r="K24" s="15" t="n"/>
      <c r="L24" s="15" t="n"/>
    </row>
    <row r="25" ht="26" customHeight="1">
      <c r="A25" s="14" t="inlineStr">
        <is>
          <t>마. 공사금액</t>
        </is>
      </c>
      <c r="B25" s="15" t="n"/>
      <c r="C25" s="15" t="n"/>
      <c r="D25" s="20" t="n"/>
      <c r="E25" s="15" t="n"/>
      <c r="F25" s="15" t="n"/>
      <c r="G25" s="21">
        <f>IF(N(D25)=0,"",D25)</f>
        <v/>
      </c>
      <c r="H25" s="15" t="n"/>
      <c r="I25" s="15" t="n"/>
      <c r="J25" s="15" t="n"/>
      <c r="K25" s="15" t="n"/>
      <c r="L25" s="15" t="n"/>
    </row>
    <row r="26" ht="26" customHeight="1">
      <c r="A26" s="14" t="inlineStr">
        <is>
          <t>바. 공사규모</t>
        </is>
      </c>
      <c r="B26" s="15" t="n"/>
      <c r="C26" s="15" t="n"/>
      <c r="D26" s="22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사. 수 급 사</t>
        </is>
      </c>
      <c r="B27" s="15" t="n"/>
      <c r="C27" s="15" t="n"/>
      <c r="D27" s="16">
        <f>IF('표지'!F8="","",'표지'!F8)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아. 설 계 사</t>
        </is>
      </c>
      <c r="B28" s="15" t="n"/>
      <c r="C28" s="15" t="n"/>
      <c r="D28" s="17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6" customHeight="1"/>
    <row r="30" ht="28" customHeight="1">
      <c r="A30" s="13" t="inlineStr">
        <is>
          <t>2. 현장여건조사</t>
        </is>
      </c>
    </row>
    <row r="31" ht="3" customHeight="1"/>
    <row r="32" ht="21" customHeight="1">
      <c r="A32" s="23" t="inlineStr">
        <is>
          <t>가. 건설공사 현장주변 여건 현황조사</t>
        </is>
      </c>
    </row>
    <row r="33" ht="20" customHeight="1">
      <c r="A33" s="24" t="inlineStr">
        <is>
          <t>(현장 주변 여건도를 붙이는 곳 — 주거지 · 학교 · 병원 · 하천 등 환경 민감 시설과 거리 표시)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3" customHeight="1"/>
    <row r="46" ht="21" customHeight="1">
      <c r="A46" s="23" t="inlineStr">
        <is>
          <t>나. 공사대상지 주변 건물집계표</t>
        </is>
      </c>
    </row>
    <row r="47" ht="24" customHeight="1">
      <c r="A47" s="25" t="inlineStr">
        <is>
          <t>공 사 대 상 지</t>
        </is>
      </c>
      <c r="B47" s="15" t="n"/>
      <c r="C47" s="15" t="n"/>
      <c r="D47" s="25" t="inlineStr">
        <is>
          <t>연장 (m)</t>
        </is>
      </c>
      <c r="E47" s="15" t="n"/>
      <c r="F47" s="25" t="inlineStr">
        <is>
          <t>인 접 건 물</t>
        </is>
      </c>
      <c r="G47" s="15" t="n"/>
      <c r="H47" s="25" t="inlineStr">
        <is>
          <t>100m 이내 건물</t>
        </is>
      </c>
      <c r="I47" s="15" t="n"/>
      <c r="J47" s="25" t="inlineStr">
        <is>
          <t>비   고</t>
        </is>
      </c>
      <c r="K47" s="15" t="n"/>
      <c r="L47" s="15" t="n"/>
    </row>
    <row r="48" ht="24" customHeight="1">
      <c r="A48" s="22" t="n"/>
      <c r="B48" s="15" t="n"/>
      <c r="C48" s="15" t="n"/>
      <c r="D48" s="26" t="n"/>
      <c r="E48" s="15" t="n"/>
      <c r="F48" s="27" t="n"/>
      <c r="G48" s="15" t="n"/>
      <c r="H48" s="27" t="n"/>
      <c r="I48" s="15" t="n"/>
      <c r="J48" s="28" t="n"/>
      <c r="K48" s="15" t="n"/>
      <c r="L48" s="15" t="n"/>
    </row>
    <row r="49" ht="24" customHeight="1">
      <c r="A49" s="22" t="n"/>
      <c r="B49" s="15" t="n"/>
      <c r="C49" s="15" t="n"/>
      <c r="D49" s="26" t="n"/>
      <c r="E49" s="15" t="n"/>
      <c r="F49" s="27" t="n"/>
      <c r="G49" s="15" t="n"/>
      <c r="H49" s="27" t="n"/>
      <c r="I49" s="15" t="n"/>
      <c r="J49" s="28" t="n"/>
      <c r="K49" s="15" t="n"/>
      <c r="L49" s="15" t="n"/>
    </row>
    <row r="50" ht="24" customHeight="1">
      <c r="A50" s="22" t="n"/>
      <c r="B50" s="15" t="n"/>
      <c r="C50" s="15" t="n"/>
      <c r="D50" s="26" t="n"/>
      <c r="E50" s="15" t="n"/>
      <c r="F50" s="27" t="n"/>
      <c r="G50" s="15" t="n"/>
      <c r="H50" s="27" t="n"/>
      <c r="I50" s="15" t="n"/>
      <c r="J50" s="28" t="n"/>
      <c r="K50" s="15" t="n"/>
      <c r="L50" s="15" t="n"/>
    </row>
    <row r="51" ht="24" customHeight="1">
      <c r="A51" s="22" t="n"/>
      <c r="B51" s="15" t="n"/>
      <c r="C51" s="15" t="n"/>
      <c r="D51" s="26" t="n"/>
      <c r="E51" s="15" t="n"/>
      <c r="F51" s="27" t="n"/>
      <c r="G51" s="15" t="n"/>
      <c r="H51" s="27" t="n"/>
      <c r="I51" s="15" t="n"/>
      <c r="J51" s="28" t="n"/>
      <c r="K51" s="15" t="n"/>
      <c r="L51" s="15" t="n"/>
    </row>
    <row r="52" ht="24" customHeight="1">
      <c r="A52" s="22" t="n"/>
      <c r="B52" s="15" t="n"/>
      <c r="C52" s="15" t="n"/>
      <c r="D52" s="26" t="n"/>
      <c r="E52" s="15" t="n"/>
      <c r="F52" s="27" t="n"/>
      <c r="G52" s="15" t="n"/>
      <c r="H52" s="27" t="n"/>
      <c r="I52" s="15" t="n"/>
      <c r="J52" s="28" t="n"/>
      <c r="K52" s="15" t="n"/>
      <c r="L52" s="15" t="n"/>
    </row>
    <row r="53" ht="24" customHeight="1">
      <c r="A53" s="22" t="n"/>
      <c r="B53" s="15" t="n"/>
      <c r="C53" s="15" t="n"/>
      <c r="D53" s="26" t="n"/>
      <c r="E53" s="15" t="n"/>
      <c r="F53" s="27" t="n"/>
      <c r="G53" s="15" t="n"/>
      <c r="H53" s="27" t="n"/>
      <c r="I53" s="15" t="n"/>
      <c r="J53" s="28" t="n"/>
      <c r="K53" s="15" t="n"/>
      <c r="L53" s="15" t="n"/>
    </row>
    <row r="54" ht="24" customHeight="1">
      <c r="A54" s="29" t="inlineStr">
        <is>
          <t>합   계</t>
        </is>
      </c>
      <c r="B54" s="15" t="n"/>
      <c r="C54" s="15" t="n"/>
      <c r="D54" s="30">
        <f>IF(SUM(D48:D53)=0,"",SUM(D48:D53))</f>
        <v/>
      </c>
      <c r="E54" s="15" t="n"/>
      <c r="F54" s="31">
        <f>IF(COUNT(F48:F53)=0,"",SUM(F48:F53))</f>
        <v/>
      </c>
      <c r="G54" s="15" t="n"/>
      <c r="H54" s="31">
        <f>IF(COUNT(H48:H53)=0,"",SUM(H48:H53))</f>
        <v/>
      </c>
      <c r="I54" s="15" t="n"/>
      <c r="J54" s="29" t="inlineStr"/>
      <c r="K54" s="15" t="n"/>
      <c r="L54" s="15" t="n"/>
    </row>
    <row r="55" ht="6" customHeight="1"/>
    <row r="56" ht="28" customHeight="1">
      <c r="A56" s="13" t="inlineStr">
        <is>
          <t>3. 환경관리 조직 및 임무</t>
        </is>
      </c>
    </row>
    <row r="57" ht="3" customHeight="1"/>
    <row r="58" ht="21" customHeight="1">
      <c r="A58" s="23" t="inlineStr">
        <is>
          <t>가. 환경관리 목표 및 방향</t>
        </is>
      </c>
    </row>
    <row r="59" ht="22" customHeight="1">
      <c r="A59" s="32" t="inlineStr">
        <is>
          <t>① 현장 환경관리 목표</t>
        </is>
      </c>
    </row>
    <row r="60" ht="68" customHeight="1">
      <c r="A60" s="33" t="inlineStr">
        <is>
          <t>현장 환경처리 방침은 본 공사로 수반되는 환경오염(비산먼지, 소음, 진동, 폐기물 처리, 수질 등)을 관계 법규에서 정하고 있는 기준 이하로 될 수 있도록 환경 저해 요인별로 대책을 수립한 후 공종별로 시공에 임하여 자연환경 및 생활환경의 보전과 근로자에게 쾌적한 작업환경을 제공함으로써 안전사고의 사전 예방과 원활한 공사 수행을 하고자 함.</t>
        </is>
      </c>
    </row>
    <row r="61" ht="22" customHeight="1">
      <c r="A61" s="32" t="inlineStr">
        <is>
          <t>② 현장관리 방향 및 원칙</t>
        </is>
      </c>
    </row>
    <row r="62" ht="36" customHeight="1">
      <c r="A62" s="34" t="inlineStr">
        <is>
          <t>㉮</t>
        </is>
      </c>
      <c r="B62" s="35" t="inlineStr">
        <is>
          <t>본 환경보전계획은 공사 수행 동안 환경에 관한 각종 사고 및 관리를 철저히 수행하고 발생될 우려가 있는 각종 환경오염물질을 예방할 수 있도록 최선을 다하고자 함.</t>
        </is>
      </c>
    </row>
    <row r="63" ht="36" customHeight="1">
      <c r="A63" s="34" t="inlineStr">
        <is>
          <t>㉯</t>
        </is>
      </c>
      <c r="B63" s="35" t="inlineStr">
        <is>
          <t>현장소장은 환경관리 총괄책임자가 되어 현장 환경관리 업무를 총체적으로 지휘 · 감독하고자 함.</t>
        </is>
      </c>
    </row>
    <row r="64" ht="36" customHeight="1">
      <c r="A64" s="34" t="inlineStr">
        <is>
          <t>㉰</t>
        </is>
      </c>
      <c r="B64" s="35" t="inlineStr">
        <is>
          <t>현장의 환경관리자는 신고 등 각종 환경 요건에 대해 본사 환경안전부와 긴밀하게 협의하면서 관리해 나가고자 함.</t>
        </is>
      </c>
    </row>
    <row r="65" ht="36" customHeight="1">
      <c r="A65" s="34" t="inlineStr">
        <is>
          <t>㉱</t>
        </is>
      </c>
      <c r="B65" s="35" t="inlineStr">
        <is>
          <t>환경관리협의회를 구성하여 환경관리 총괄책임자 이하 환경관리자 및 협력업체 환경관리자가 월 1회 이상 모여 현장의 환경에 대한 주요 사항을 검토 · 의결하고자 함.</t>
        </is>
      </c>
    </row>
    <row r="66" ht="3" customHeight="1"/>
    <row r="67" ht="21" customHeight="1">
      <c r="A67" s="23" t="inlineStr">
        <is>
          <t>나. 환경관리 조직 및 임무</t>
        </is>
      </c>
    </row>
    <row r="68" ht="22" customHeight="1">
      <c r="A68" s="32" t="inlineStr">
        <is>
          <t>① 현장 환경관리 조직도</t>
        </is>
      </c>
    </row>
    <row r="69" ht="26" customHeight="1">
      <c r="A69" s="6" t="inlineStr"/>
      <c r="D69" s="14" t="inlineStr">
        <is>
          <t>대 표 이 사</t>
        </is>
      </c>
      <c r="E69" s="15" t="n"/>
      <c r="F69" s="15" t="n"/>
      <c r="G69" s="15" t="n"/>
      <c r="H69" s="36" t="n"/>
      <c r="I69" s="15" t="n"/>
      <c r="J69" s="6" t="inlineStr"/>
    </row>
    <row r="70" ht="12" customHeight="1">
      <c r="A70" s="37" t="inlineStr">
        <is>
          <t>│</t>
        </is>
      </c>
    </row>
    <row r="71" ht="26" customHeight="1">
      <c r="A71" s="6" t="inlineStr"/>
      <c r="D71" s="14" t="inlineStr">
        <is>
          <t>본사 환경관리 책임자</t>
        </is>
      </c>
      <c r="E71" s="15" t="n"/>
      <c r="F71" s="15" t="n"/>
      <c r="G71" s="15" t="n"/>
      <c r="H71" s="36" t="n"/>
      <c r="I71" s="15" t="n"/>
      <c r="J71" s="6" t="inlineStr"/>
    </row>
    <row r="72" ht="12" customHeight="1">
      <c r="A72" s="37" t="inlineStr">
        <is>
          <t>│</t>
        </is>
      </c>
    </row>
    <row r="73" ht="26" customHeight="1">
      <c r="A73" s="6" t="inlineStr"/>
      <c r="D73" s="14" t="inlineStr">
        <is>
          <t>환경관리 총괄책임자(현장소장)</t>
        </is>
      </c>
      <c r="E73" s="15" t="n"/>
      <c r="F73" s="15" t="n"/>
      <c r="G73" s="15" t="n"/>
      <c r="H73" s="36" t="n"/>
      <c r="I73" s="15" t="n"/>
      <c r="J73" s="6" t="inlineStr"/>
    </row>
    <row r="74" ht="12" customHeight="1">
      <c r="A74" s="37" t="inlineStr">
        <is>
          <t>│</t>
        </is>
      </c>
    </row>
    <row r="75" ht="26" customHeight="1">
      <c r="A75" s="6" t="inlineStr"/>
      <c r="D75" s="14" t="inlineStr">
        <is>
          <t>환 경 관 리 자</t>
        </is>
      </c>
      <c r="E75" s="15" t="n"/>
      <c r="F75" s="15" t="n"/>
      <c r="G75" s="15" t="n"/>
      <c r="H75" s="36" t="n"/>
      <c r="I75" s="15" t="n"/>
      <c r="J75" s="6" t="inlineStr"/>
    </row>
    <row r="76" ht="12" customHeight="1">
      <c r="A76" s="37" t="inlineStr">
        <is>
          <t>│</t>
        </is>
      </c>
    </row>
    <row r="77" ht="26" customHeight="1">
      <c r="A77" s="6" t="inlineStr"/>
      <c r="D77" s="14" t="inlineStr">
        <is>
          <t>환경관리 감독자(공사 담당)</t>
        </is>
      </c>
      <c r="E77" s="15" t="n"/>
      <c r="F77" s="15" t="n"/>
      <c r="G77" s="15" t="n"/>
      <c r="H77" s="36" t="n"/>
      <c r="I77" s="15" t="n"/>
      <c r="J77" s="6" t="inlineStr"/>
    </row>
    <row r="78" ht="12" customHeight="1">
      <c r="A78" s="37" t="inlineStr">
        <is>
          <t>│</t>
        </is>
      </c>
    </row>
    <row r="79" ht="26" customHeight="1">
      <c r="A79" s="6" t="inlineStr"/>
      <c r="D79" s="14" t="inlineStr">
        <is>
          <t>협력업체 환경관리자</t>
        </is>
      </c>
      <c r="E79" s="15" t="n"/>
      <c r="F79" s="15" t="n"/>
      <c r="G79" s="15" t="n"/>
      <c r="H79" s="36" t="n"/>
      <c r="I79" s="15" t="n"/>
      <c r="J79" s="6" t="inlineStr"/>
    </row>
    <row r="80" ht="22" customHeight="1">
      <c r="A80" s="32" t="inlineStr">
        <is>
          <t>② 환경관리 조직별 주요업무 — 환경관리 총괄책임자(현장소장) 및 환경관리자는 다음 주요업무를 수행</t>
        </is>
      </c>
    </row>
    <row r="81" ht="24" customHeight="1">
      <c r="A81" s="25" t="inlineStr">
        <is>
          <t>관 리 조 직</t>
        </is>
      </c>
      <c r="B81" s="15" t="n"/>
      <c r="C81" s="15" t="n"/>
      <c r="D81" s="25" t="inlineStr">
        <is>
          <t>주   요   업   무</t>
        </is>
      </c>
      <c r="E81" s="15" t="n"/>
      <c r="F81" s="15" t="n"/>
      <c r="G81" s="15" t="n"/>
      <c r="H81" s="15" t="n"/>
      <c r="I81" s="15" t="n"/>
      <c r="J81" s="15" t="n"/>
      <c r="K81" s="15" t="n"/>
      <c r="L81" s="15" t="n"/>
    </row>
    <row r="82" ht="77.25" customHeight="1">
      <c r="A82" s="38" t="inlineStr">
        <is>
          <t>환경관리
총괄책임자</t>
        </is>
      </c>
      <c r="B82" s="15" t="n"/>
      <c r="C82" s="15" t="n"/>
      <c r="D82" s="39" t="inlineStr">
        <is>
          <t>◦ 환경관리업무 총괄책임
◦ 현장점검 및 사업장 환경개선에 관한 지시
◦ 대내 · 외 환경보전 활동 전개
◦ 환경 관련 사항의 법적 기준 준수
◦ 대관 · 민 협조체제 구축</t>
        </is>
      </c>
      <c r="E82" s="15" t="n"/>
      <c r="F82" s="15" t="n"/>
      <c r="G82" s="15" t="n"/>
      <c r="H82" s="15" t="n"/>
      <c r="I82" s="15" t="n"/>
      <c r="J82" s="15" t="n"/>
      <c r="K82" s="15" t="n"/>
      <c r="L82" s="15" t="n"/>
    </row>
    <row r="83" ht="191.25" customHeight="1">
      <c r="A83" s="38" t="inlineStr">
        <is>
          <t>환경관리자</t>
        </is>
      </c>
      <c r="B83" s="15" t="n"/>
      <c r="C83" s="15" t="n"/>
      <c r="D83" s="39" t="inlineStr">
        <is>
          <t>◦ 환경관리업무계획의 수립
◦ 환경관리의 올바른 이행 여부 확인 · 검토(점검, 평가)
◦ 환경오염 조사, 원인 분석 및 예방대책 기록, 유지관리
◦ 현장 직원(협력업체 포함) 교육 및 홍보
◦ 환경시설 인 · 허가 및 관련 행정업무
◦ 환경사고 및 관련 사항의 주관부서 보고
◦ 대기질 관련 전반 업무 수행
◦ 배출물질의 배출기준 준수 및 감량화 방안 연구
◦ 배출물질의 효율적 처리(폐기물 분리수거 등)
◦ 배출 · 방지시설의 정상기능 유지 및 운영자료 비치, 기록보존
◦ 배출 · 방지시설의 철거, 신 · 증설 보수 시 승인 요청
◦ 배출 · 방지시설 및 환경관리에 관한 자체교육
◦ 환경관리 총괄책임자의 환경 관련 업무지시 이행</t>
        </is>
      </c>
      <c r="E83" s="15" t="n"/>
      <c r="F83" s="15" t="n"/>
      <c r="G83" s="15" t="n"/>
      <c r="H83" s="15" t="n"/>
      <c r="I83" s="15" t="n"/>
      <c r="J83" s="15" t="n"/>
      <c r="K83" s="15" t="n"/>
      <c r="L83" s="15" t="n"/>
    </row>
    <row r="84" ht="63" customHeight="1">
      <c r="A84" s="38" t="inlineStr">
        <is>
          <t>환경관리
감 독 자</t>
        </is>
      </c>
      <c r="B84" s="15" t="n"/>
      <c r="C84" s="15" t="n"/>
      <c r="D84" s="39" t="inlineStr">
        <is>
          <t>◦ 현장공사와 관련한 환경관리 지휘 · 감독
◦ 환경오염방지시설의 설치, 운영
◦ 자연환경보전 및 건설폐기물 발생 절감, 재활용 촉진 이행
◦ 환경문제 발생 시 조사, 조치 이행</t>
        </is>
      </c>
      <c r="E84" s="15" t="n"/>
      <c r="F84" s="15" t="n"/>
      <c r="G84" s="15" t="n"/>
      <c r="H84" s="15" t="n"/>
      <c r="I84" s="15" t="n"/>
      <c r="J84" s="15" t="n"/>
      <c r="K84" s="15" t="n"/>
      <c r="L84" s="15" t="n"/>
    </row>
    <row r="85" ht="3" customHeight="1"/>
    <row r="86" ht="21" customHeight="1">
      <c r="A86" s="23" t="inlineStr">
        <is>
          <t>다. 환경요인별 관리계획</t>
        </is>
      </c>
    </row>
    <row r="87" ht="22" customHeight="1">
      <c r="A87" s="32" t="inlineStr">
        <is>
          <t>① 관계법령 및 관리대상</t>
        </is>
      </c>
    </row>
    <row r="88" ht="24" customHeight="1">
      <c r="A88" s="25" t="inlineStr">
        <is>
          <t>법   령</t>
        </is>
      </c>
      <c r="B88" s="15" t="n"/>
      <c r="C88" s="15" t="n"/>
      <c r="D88" s="15" t="n"/>
      <c r="E88" s="25" t="inlineStr">
        <is>
          <t>주 요  관 리  대 상</t>
        </is>
      </c>
      <c r="F88" s="15" t="n"/>
      <c r="G88" s="15" t="n"/>
      <c r="H88" s="15" t="n"/>
      <c r="I88" s="15" t="n"/>
      <c r="J88" s="15" t="n"/>
      <c r="K88" s="15" t="n"/>
      <c r="L88" s="15" t="n"/>
    </row>
    <row r="89" ht="24" customHeight="1">
      <c r="A89" s="39" t="inlineStr">
        <is>
          <t>대기환경보전법</t>
        </is>
      </c>
      <c r="B89" s="15" t="n"/>
      <c r="C89" s="15" t="n"/>
      <c r="D89" s="15" t="n"/>
      <c r="E89" s="39" t="inlineStr">
        <is>
          <t>▷ 비산먼지 및 대기오염 배출의 저감 대책</t>
        </is>
      </c>
      <c r="F89" s="15" t="n"/>
      <c r="G89" s="15" t="n"/>
      <c r="H89" s="15" t="n"/>
      <c r="I89" s="15" t="n"/>
      <c r="J89" s="15" t="n"/>
      <c r="K89" s="15" t="n"/>
      <c r="L89" s="15" t="n"/>
    </row>
    <row r="90" ht="24" customHeight="1">
      <c r="A90" s="39" t="inlineStr">
        <is>
          <t>소음 · 진동관리법</t>
        </is>
      </c>
      <c r="B90" s="15" t="n"/>
      <c r="C90" s="15" t="n"/>
      <c r="D90" s="15" t="n"/>
      <c r="E90" s="39" t="inlineStr">
        <is>
          <t>▷ 장비의 작업 및 이동, 발파 등에 따른 소음 및 진동 제어</t>
        </is>
      </c>
      <c r="F90" s="15" t="n"/>
      <c r="G90" s="15" t="n"/>
      <c r="H90" s="15" t="n"/>
      <c r="I90" s="15" t="n"/>
      <c r="J90" s="15" t="n"/>
      <c r="K90" s="15" t="n"/>
      <c r="L90" s="15" t="n"/>
    </row>
    <row r="91" ht="34.5" customHeight="1">
      <c r="A91" s="39" t="inlineStr">
        <is>
          <t>폐기물관리법 · 건설폐기물의 재활용촉진에 관한 법률</t>
        </is>
      </c>
      <c r="B91" s="15" t="n"/>
      <c r="C91" s="15" t="n"/>
      <c r="D91" s="15" t="n"/>
      <c r="E91" s="39" t="inlineStr">
        <is>
          <t>▷ 건설폐기물 발생의 최소화 및 적법 처리</t>
        </is>
      </c>
      <c r="F91" s="15" t="n"/>
      <c r="G91" s="15" t="n"/>
      <c r="H91" s="15" t="n"/>
      <c r="I91" s="15" t="n"/>
      <c r="J91" s="15" t="n"/>
      <c r="K91" s="15" t="n"/>
      <c r="L91" s="15" t="n"/>
    </row>
    <row r="92" ht="24" customHeight="1">
      <c r="A92" s="39" t="inlineStr">
        <is>
          <t>지하수법</t>
        </is>
      </c>
      <c r="B92" s="15" t="n"/>
      <c r="C92" s="15" t="n"/>
      <c r="D92" s="15" t="n"/>
      <c r="E92" s="39" t="inlineStr">
        <is>
          <t>▷ 지하수 개발에 따른 지하수 오염방지 및 현장용수의 유출 관리</t>
        </is>
      </c>
      <c r="F92" s="15" t="n"/>
      <c r="G92" s="15" t="n"/>
      <c r="H92" s="15" t="n"/>
      <c r="I92" s="15" t="n"/>
      <c r="J92" s="15" t="n"/>
      <c r="K92" s="15" t="n"/>
      <c r="L92" s="15" t="n"/>
    </row>
    <row r="93" ht="24" customHeight="1">
      <c r="A93" s="39" t="inlineStr">
        <is>
          <t>환경영향평가법</t>
        </is>
      </c>
      <c r="B93" s="15" t="n"/>
      <c r="C93" s="15" t="n"/>
      <c r="D93" s="15" t="n"/>
      <c r="E93" s="39" t="inlineStr">
        <is>
          <t>▷ 공사 착공 전 환경영향평가로 환경오염 피해의 최소화</t>
        </is>
      </c>
      <c r="F93" s="15" t="n"/>
      <c r="G93" s="15" t="n"/>
      <c r="H93" s="15" t="n"/>
      <c r="I93" s="15" t="n"/>
      <c r="J93" s="15" t="n"/>
      <c r="K93" s="15" t="n"/>
      <c r="L93" s="15" t="n"/>
    </row>
    <row r="94" ht="22" customHeight="1">
      <c r="A94" s="32" t="inlineStr">
        <is>
          <t>② 기본방침</t>
        </is>
      </c>
    </row>
    <row r="95" ht="20.5" customHeight="1">
      <c r="A95" s="34" t="inlineStr">
        <is>
          <t>㉮</t>
        </is>
      </c>
      <c r="B95" s="35" t="inlineStr">
        <is>
          <t>환경관리조직 및 책임과 권한 분장(업무분장표)</t>
        </is>
      </c>
    </row>
    <row r="96" ht="20.5" customHeight="1">
      <c r="A96" s="34" t="inlineStr">
        <is>
          <t>㉯</t>
        </is>
      </c>
      <c r="B96" s="35" t="inlineStr">
        <is>
          <t>관련 인허가(신고 및 변경신고) 적기 수행으로 환경법규 준수</t>
        </is>
      </c>
    </row>
    <row r="97" ht="20.5" customHeight="1">
      <c r="A97" s="34" t="inlineStr">
        <is>
          <t>㉰</t>
        </is>
      </c>
      <c r="B97" s="35" t="inlineStr">
        <is>
          <t>주기적 교육 시행</t>
        </is>
      </c>
    </row>
    <row r="98" ht="20.5" customHeight="1">
      <c r="A98" s="34" t="inlineStr">
        <is>
          <t>㉱</t>
        </is>
      </c>
      <c r="B98" s="35" t="inlineStr">
        <is>
          <t>필요 항목별 점검 및 집중관리</t>
        </is>
      </c>
    </row>
    <row r="99" ht="3" customHeight="1"/>
    <row r="100" ht="21" customHeight="1">
      <c r="A100" s="23" t="inlineStr">
        <is>
          <t>라. 환경시설물 설치관리계획</t>
        </is>
      </c>
    </row>
    <row r="101" ht="22" customHeight="1">
      <c r="A101" s="32" t="inlineStr">
        <is>
          <t>① 환경시설물 설치 및 관리</t>
        </is>
      </c>
    </row>
    <row r="102" ht="20.5" customHeight="1">
      <c r="A102" s="34" t="inlineStr">
        <is>
          <t>㉮</t>
        </is>
      </c>
      <c r="B102" s="35" t="inlineStr">
        <is>
          <t>공사장을 출입하는 차량은 반드시 세륜 또는 측면살수 후 운행토록 한다.</t>
        </is>
      </c>
    </row>
    <row r="103" ht="51.5" customHeight="1">
      <c r="A103" s="34" t="inlineStr">
        <is>
          <t>㉯</t>
        </is>
      </c>
      <c r="B103" s="35" t="inlineStr">
        <is>
          <t>공사장에서 굴착으로 발생한 토사 등 분체상 물질은 즉시 제거하고 공사장 안에 쌓아 두지 않는다. 부득이하게 쌓아 둘 때에는 토사가 날리지 않도록 막고 차도와 인도 등 도로에 흘러들지 않도록 필요한 조치를 한다.</t>
        </is>
      </c>
    </row>
    <row r="104" ht="36" customHeight="1">
      <c r="A104" s="34" t="inlineStr">
        <is>
          <t>㉰</t>
        </is>
      </c>
      <c r="B104" s="35" t="inlineStr">
        <is>
          <t>굴착공사에 비산먼지가 생길 우려가 있으면 방진막, 방진벽 또는 방진덮개 등을 쓰고, 알맞은 곳에 살수장치를 설치하여 살수함으로써 비산을 막는다.</t>
        </is>
      </c>
    </row>
    <row r="105" ht="36" customHeight="1">
      <c r="A105" s="34" t="inlineStr">
        <is>
          <t>㉱</t>
        </is>
      </c>
      <c r="B105" s="35" t="inlineStr">
        <is>
          <t>세륜 · 측면살수 물과 공사장에서 생기는 물 등은 차도와 인도 등에 흐르거나 뿌려지지 않도록 한다.</t>
        </is>
      </c>
    </row>
    <row r="106" ht="20.5" customHeight="1">
      <c r="A106" s="34" t="inlineStr">
        <is>
          <t>㉲</t>
        </is>
      </c>
      <c r="B106" s="35" t="inlineStr">
        <is>
          <t>공사장에서 발생한 토사 등 분체상 물질을 싣고 내릴 때에는 법규 기준에 따른다.</t>
        </is>
      </c>
    </row>
    <row r="107" ht="36" customHeight="1">
      <c r="A107" s="34" t="inlineStr">
        <is>
          <t>㉳</t>
        </is>
      </c>
      <c r="B107" s="35" t="inlineStr">
        <is>
          <t>방진벽 · 방진망 · 방진덮개 등 비산먼지 · 소음 방지시설은 외관상 혐오감을 주지 않는 색채나 재질을 쓰고, 차량 통행과 보행에 지장을 주지 않도록 설치한다.</t>
        </is>
      </c>
    </row>
    <row r="108" ht="20.5" customHeight="1">
      <c r="A108" s="34" t="inlineStr">
        <is>
          <t>㉴</t>
        </is>
      </c>
      <c r="B108" s="35" t="inlineStr">
        <is>
          <t>세륜기 설치 및 살수차 운영기간 : 공사 착공 ~ 준공</t>
        </is>
      </c>
    </row>
    <row r="109" ht="22" customHeight="1">
      <c r="A109" s="32" t="inlineStr">
        <is>
          <t>② 중기관리계획</t>
        </is>
      </c>
    </row>
    <row r="110" ht="20" customHeight="1">
      <c r="A110" s="40" t="inlineStr">
        <is>
          <t>㉮</t>
        </is>
      </c>
      <c r="B110" s="6" t="inlineStr">
        <is>
          <t>장비 실명화(반입 시 접수서류)</t>
        </is>
      </c>
    </row>
    <row r="111" ht="20.5" customHeight="1">
      <c r="A111" s="34" t="inlineStr">
        <is>
          <t>1)</t>
        </is>
      </c>
      <c r="C111" s="35" t="inlineStr">
        <is>
          <t>건설기계 등록증 사본 1부</t>
        </is>
      </c>
    </row>
    <row r="112" ht="20.5" customHeight="1">
      <c r="A112" s="34" t="inlineStr">
        <is>
          <t>2)</t>
        </is>
      </c>
      <c r="C112" s="35" t="inlineStr">
        <is>
          <t>사업자 등록증 사본 1부</t>
        </is>
      </c>
    </row>
    <row r="113" ht="20.5" customHeight="1">
      <c r="A113" s="34" t="inlineStr">
        <is>
          <t>3)</t>
        </is>
      </c>
      <c r="C113" s="35" t="inlineStr">
        <is>
          <t>운전면허증 사본 1부</t>
        </is>
      </c>
    </row>
    <row r="114" ht="20.5" customHeight="1">
      <c r="A114" s="34" t="inlineStr">
        <is>
          <t>4)</t>
        </is>
      </c>
      <c r="C114" s="35" t="inlineStr">
        <is>
          <t>건설기계 검사(운행상황 신고) 1부</t>
        </is>
      </c>
    </row>
    <row r="115" ht="20.5" customHeight="1">
      <c r="A115" s="34" t="inlineStr">
        <is>
          <t>5)</t>
        </is>
      </c>
      <c r="C115" s="35" t="inlineStr">
        <is>
          <t>자동차 보험증 사본 1부</t>
        </is>
      </c>
    </row>
    <row r="116" ht="20" customHeight="1">
      <c r="A116" s="40" t="inlineStr">
        <is>
          <t>㉯</t>
        </is>
      </c>
      <c r="B116" s="6" t="inlineStr">
        <is>
          <t>운영관리</t>
        </is>
      </c>
    </row>
    <row r="117" ht="20.5" customHeight="1">
      <c r="A117" s="34" t="inlineStr">
        <is>
          <t>1)</t>
        </is>
      </c>
      <c r="C117" s="35" t="inlineStr">
        <is>
          <t>현장 내 차량 속도 20km/h 이하 준수 교육</t>
        </is>
      </c>
    </row>
    <row r="118" ht="20.5" customHeight="1">
      <c r="A118" s="34" t="inlineStr">
        <is>
          <t>2)</t>
        </is>
      </c>
      <c r="C118" s="35" t="inlineStr">
        <is>
          <t>현장 내 오일 교환, 주유, 장비 수리 등 행위 금지 교육</t>
        </is>
      </c>
    </row>
    <row r="119" ht="20.5" customHeight="1">
      <c r="A119" s="34" t="inlineStr">
        <is>
          <t>3)</t>
        </is>
      </c>
      <c r="C119" s="35" t="inlineStr">
        <is>
          <t>현장 내 공회전, 과적, 경음기 사용 등 금지 조치</t>
        </is>
      </c>
    </row>
    <row r="120" ht="20.5" customHeight="1">
      <c r="A120" s="34" t="inlineStr">
        <is>
          <t>4)</t>
        </is>
      </c>
      <c r="C120" s="35" t="inlineStr">
        <is>
          <t>중기의 정기적 안전점검 및 유지관리</t>
        </is>
      </c>
    </row>
    <row r="121" ht="20" customHeight="1">
      <c r="A121" s="40" t="inlineStr">
        <is>
          <t>㉰</t>
        </is>
      </c>
      <c r="B121" s="6" t="inlineStr">
        <is>
          <t>폐윤활유 등 보관시설 및 보관대책 — 보관소 설치</t>
        </is>
      </c>
    </row>
    <row r="122" ht="22" customHeight="1">
      <c r="A122" s="32" t="inlineStr">
        <is>
          <t>③ 방진시설 및 세륜기 설치도</t>
        </is>
      </c>
    </row>
    <row r="123" ht="20" customHeight="1">
      <c r="A123" s="24" t="inlineStr">
        <is>
          <t>(㉮ 설치위치도)</t>
        </is>
      </c>
      <c r="B123" s="15" t="n"/>
      <c r="C123" s="15" t="n"/>
      <c r="D123" s="15" t="n"/>
      <c r="E123" s="15" t="n"/>
      <c r="F123" s="15" t="n"/>
      <c r="G123" s="24" t="inlineStr">
        <is>
          <t>(㉯ 가설방음벽 상세도)</t>
        </is>
      </c>
      <c r="H123" s="15" t="n"/>
      <c r="I123" s="15" t="n"/>
      <c r="J123" s="15" t="n"/>
      <c r="K123" s="15" t="n"/>
      <c r="L123" s="15" t="n"/>
    </row>
    <row r="124" ht="20" customHeight="1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</row>
    <row r="125" ht="20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</row>
    <row r="126" ht="20" customHeight="1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</row>
    <row r="127" ht="20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</row>
    <row r="128" ht="20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</row>
    <row r="129" ht="20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</row>
    <row r="130" ht="20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</row>
    <row r="131" ht="20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</row>
    <row r="132" ht="20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</row>
    <row r="133" ht="3" customHeight="1"/>
    <row r="134" ht="21" customHeight="1">
      <c r="A134" s="23" t="inlineStr">
        <is>
          <t>마. 현장 환경관리 활동계획</t>
        </is>
      </c>
    </row>
    <row r="135" ht="22" customHeight="1">
      <c r="A135" s="32" t="inlineStr">
        <is>
          <t>① 환경관리 점검 및 대책 — ㉮ 점검계획</t>
        </is>
      </c>
    </row>
    <row r="136" ht="24" customHeight="1">
      <c r="A136" s="25" t="inlineStr">
        <is>
          <t>구   분</t>
        </is>
      </c>
      <c r="B136" s="15" t="n"/>
      <c r="C136" s="25" t="inlineStr">
        <is>
          <t>점검 책임자</t>
        </is>
      </c>
      <c r="D136" s="15" t="n"/>
      <c r="E136" s="15" t="n"/>
      <c r="F136" s="25" t="inlineStr">
        <is>
          <t>주 요  점 검  내 용</t>
        </is>
      </c>
      <c r="G136" s="15" t="n"/>
      <c r="H136" s="15" t="n"/>
      <c r="I136" s="15" t="n"/>
      <c r="J136" s="15" t="n"/>
      <c r="K136" s="15" t="n"/>
      <c r="L136" s="15" t="n"/>
    </row>
    <row r="137" ht="34.5" customHeight="1">
      <c r="A137" s="38" t="inlineStr">
        <is>
          <t>일일 점검</t>
        </is>
      </c>
      <c r="B137" s="15" t="n"/>
      <c r="C137" s="39" t="inlineStr">
        <is>
          <t>▶ 환경관리자
▶ 협력업체 반장</t>
        </is>
      </c>
      <c r="D137" s="15" t="n"/>
      <c r="E137" s="15" t="n"/>
      <c r="F137" s="39" t="inlineStr">
        <is>
          <t>▶ 현장숙소 주변의 청결 및 폐기물 청소상태
▶ 현장식당의 위생관리상태</t>
        </is>
      </c>
      <c r="G137" s="15" t="n"/>
      <c r="H137" s="15" t="n"/>
      <c r="I137" s="15" t="n"/>
      <c r="J137" s="15" t="n"/>
      <c r="K137" s="15" t="n"/>
      <c r="L137" s="15" t="n"/>
    </row>
    <row r="138" ht="48.75" customHeight="1">
      <c r="A138" s="38" t="inlineStr">
        <is>
          <t>주간 점검
(매주 금요일)</t>
        </is>
      </c>
      <c r="B138" s="15" t="n"/>
      <c r="C138" s="39" t="inlineStr">
        <is>
          <t>▶ 환경관리자
▶ 공사부장, 협력업체 소장</t>
        </is>
      </c>
      <c r="D138" s="15" t="n"/>
      <c r="E138" s="15" t="n"/>
      <c r="F138" s="39" t="inlineStr">
        <is>
          <t>▶ 현장 주변 청소 및 폐기물 보관상태
▶ 현장숙소 및 편의시설 청결상태</t>
        </is>
      </c>
      <c r="G138" s="15" t="n"/>
      <c r="H138" s="15" t="n"/>
      <c r="I138" s="15" t="n"/>
      <c r="J138" s="15" t="n"/>
      <c r="K138" s="15" t="n"/>
      <c r="L138" s="15" t="n"/>
    </row>
    <row r="139" ht="63" customHeight="1">
      <c r="A139" s="38" t="inlineStr">
        <is>
          <t>월간 점검
(매월 5일)</t>
        </is>
      </c>
      <c r="B139" s="15" t="n"/>
      <c r="C139" s="39" t="inlineStr">
        <is>
          <t>▶ 현장소장</t>
        </is>
      </c>
      <c r="D139" s="15" t="n"/>
      <c r="E139" s="15" t="n"/>
      <c r="F139" s="39" t="inlineStr">
        <is>
          <t>▶ 식당 음용수 수질검사결과의 유효기간 확인
▶ 숙소생활자의 건의사항 수렴
▶ 현장 외부의 민원발생 요인 조사
▶ 폐기물처리의 적정성 여부 등</t>
        </is>
      </c>
      <c r="G139" s="15" t="n"/>
      <c r="H139" s="15" t="n"/>
      <c r="I139" s="15" t="n"/>
      <c r="J139" s="15" t="n"/>
      <c r="K139" s="15" t="n"/>
      <c r="L139" s="15" t="n"/>
    </row>
    <row r="140" ht="22" customHeight="1">
      <c r="A140" s="32" t="inlineStr">
        <is>
          <t>㉯ 점검결과에 대한 대책</t>
        </is>
      </c>
    </row>
    <row r="141" ht="24" customHeight="1">
      <c r="A141" s="25" t="inlineStr">
        <is>
          <t>구   분</t>
        </is>
      </c>
      <c r="B141" s="15" t="n"/>
      <c r="C141" s="15" t="n"/>
      <c r="D141" s="25" t="inlineStr">
        <is>
          <t>조   치   방   안</t>
        </is>
      </c>
      <c r="E141" s="15" t="n"/>
      <c r="F141" s="15" t="n"/>
      <c r="G141" s="15" t="n"/>
      <c r="H141" s="15" t="n"/>
      <c r="I141" s="15" t="n"/>
      <c r="J141" s="15" t="n"/>
      <c r="K141" s="15" t="n"/>
      <c r="L141" s="15" t="n"/>
    </row>
    <row r="142" ht="34.5" customHeight="1">
      <c r="A142" s="38" t="inlineStr">
        <is>
          <t>일일점검 결과</t>
        </is>
      </c>
      <c r="B142" s="15" t="n"/>
      <c r="C142" s="15" t="n"/>
      <c r="D142" s="39" t="inlineStr">
        <is>
          <t>▶ 협력업체 작업반원, 현장 직영근로자 및 현장식당 인원을 활용하여 다음 날까지 시정 조치 후 환경담당자는 그 결과를 보고토록 한다.</t>
        </is>
      </c>
      <c r="E142" s="15" t="n"/>
      <c r="F142" s="15" t="n"/>
      <c r="G142" s="15" t="n"/>
      <c r="H142" s="15" t="n"/>
      <c r="I142" s="15" t="n"/>
      <c r="J142" s="15" t="n"/>
      <c r="K142" s="15" t="n"/>
      <c r="L142" s="15" t="n"/>
    </row>
    <row r="143" ht="24" customHeight="1">
      <c r="A143" s="38" t="inlineStr">
        <is>
          <t>주간점검 결과</t>
        </is>
      </c>
      <c r="B143" s="15" t="n"/>
      <c r="C143" s="15" t="n"/>
      <c r="D143" s="39" t="inlineStr">
        <is>
          <t>▶ 사용자에 대한 경고 조치 및 재발 시 퇴소 조치</t>
        </is>
      </c>
      <c r="E143" s="15" t="n"/>
      <c r="F143" s="15" t="n"/>
      <c r="G143" s="15" t="n"/>
      <c r="H143" s="15" t="n"/>
      <c r="I143" s="15" t="n"/>
      <c r="J143" s="15" t="n"/>
      <c r="K143" s="15" t="n"/>
      <c r="L143" s="15" t="n"/>
    </row>
    <row r="144" ht="34.5" customHeight="1">
      <c r="A144" s="38" t="inlineStr">
        <is>
          <t>월간점검 결과</t>
        </is>
      </c>
      <c r="B144" s="15" t="n"/>
      <c r="C144" s="15" t="n"/>
      <c r="D144" s="39" t="inlineStr">
        <is>
          <t>▶ 개선사항 토론 및 반영(협력업체 포함)
▶ 현장 외부 민원 유발사항에 대하여는 특별조치안 수립</t>
        </is>
      </c>
      <c r="E144" s="15" t="n"/>
      <c r="F144" s="15" t="n"/>
      <c r="G144" s="15" t="n"/>
      <c r="H144" s="15" t="n"/>
      <c r="I144" s="15" t="n"/>
      <c r="J144" s="15" t="n"/>
      <c r="K144" s="15" t="n"/>
      <c r="L144" s="15" t="n"/>
    </row>
    <row r="145" ht="22" customHeight="1">
      <c r="A145" s="32" t="inlineStr">
        <is>
          <t>㉰ 환경관리 점검표 — «점검표» 시트</t>
        </is>
      </c>
    </row>
    <row r="146" ht="22" customHeight="1">
      <c r="A146" s="32" t="inlineStr">
        <is>
          <t>② 교육계획</t>
        </is>
      </c>
    </row>
    <row r="147" ht="20" customHeight="1">
      <c r="A147" s="40" t="inlineStr">
        <is>
          <t>㉮</t>
        </is>
      </c>
      <c r="B147" s="6" t="inlineStr">
        <is>
          <t>목적</t>
        </is>
      </c>
    </row>
    <row r="148" ht="20.5" customHeight="1">
      <c r="A148" s="34" t="inlineStr">
        <is>
          <t>1)</t>
        </is>
      </c>
      <c r="C148" s="35" t="inlineStr">
        <is>
          <t>환경관리 의식 제고</t>
        </is>
      </c>
    </row>
    <row r="149" ht="20.5" customHeight="1">
      <c r="A149" s="34" t="inlineStr">
        <is>
          <t>2)</t>
        </is>
      </c>
      <c r="C149" s="35" t="inlineStr">
        <is>
          <t>환경보전 방안에 대한 공동 의견 수렴</t>
        </is>
      </c>
    </row>
    <row r="150" ht="20.5" customHeight="1">
      <c r="A150" s="34" t="inlineStr">
        <is>
          <t>3)</t>
        </is>
      </c>
      <c r="C150" s="35" t="inlineStr">
        <is>
          <t>국가경제관에 입각한 애국심 고취</t>
        </is>
      </c>
    </row>
    <row r="151" ht="20.5" customHeight="1">
      <c r="A151" s="34" t="inlineStr">
        <is>
          <t>4)</t>
        </is>
      </c>
      <c r="C151" s="35" t="inlineStr">
        <is>
          <t>현장 외부에 대한 회사 관련 이미지 조성 기여</t>
        </is>
      </c>
    </row>
    <row r="152" ht="20.5" customHeight="1">
      <c r="A152" s="34" t="inlineStr">
        <is>
          <t>5)</t>
        </is>
      </c>
      <c r="C152" s="35" t="inlineStr">
        <is>
          <t>작업 간 예상되는 환경오염 사전 예방</t>
        </is>
      </c>
    </row>
    <row r="153" ht="20" customHeight="1">
      <c r="A153" s="40" t="inlineStr">
        <is>
          <t>㉯</t>
        </is>
      </c>
      <c r="B153" s="6" t="inlineStr">
        <is>
          <t>정기 환경관리 교육 — 1) 전 근로자</t>
        </is>
      </c>
    </row>
    <row r="154" ht="24" customHeight="1">
      <c r="A154" s="25" t="inlineStr">
        <is>
          <t>구 분</t>
        </is>
      </c>
      <c r="B154" s="15" t="n"/>
      <c r="C154" s="25" t="inlineStr">
        <is>
          <t>내  용</t>
        </is>
      </c>
      <c r="D154" s="15" t="n"/>
      <c r="E154" s="15" t="n"/>
      <c r="F154" s="15" t="n"/>
      <c r="G154" s="25" t="inlineStr">
        <is>
          <t>구 분</t>
        </is>
      </c>
      <c r="H154" s="15" t="n"/>
      <c r="I154" s="25" t="inlineStr">
        <is>
          <t>내  용</t>
        </is>
      </c>
      <c r="J154" s="15" t="n"/>
      <c r="K154" s="15" t="n"/>
      <c r="L154" s="15" t="n"/>
    </row>
    <row r="155" ht="24" customHeight="1">
      <c r="A155" s="39" t="inlineStr">
        <is>
          <t>교육대상</t>
        </is>
      </c>
      <c r="B155" s="15" t="n"/>
      <c r="C155" s="39" t="inlineStr">
        <is>
          <t>전 근로자</t>
        </is>
      </c>
      <c r="D155" s="15" t="n"/>
      <c r="E155" s="15" t="n"/>
      <c r="F155" s="15" t="n"/>
      <c r="G155" s="39" t="inlineStr">
        <is>
          <t>교육주기</t>
        </is>
      </c>
      <c r="H155" s="15" t="n"/>
      <c r="I155" s="39" t="inlineStr">
        <is>
          <t>매월 1회 이상</t>
        </is>
      </c>
      <c r="J155" s="15" t="n"/>
      <c r="K155" s="15" t="n"/>
      <c r="L155" s="15" t="n"/>
    </row>
    <row r="156" ht="24" customHeight="1">
      <c r="A156" s="39" t="inlineStr">
        <is>
          <t>교육시기</t>
        </is>
      </c>
      <c r="B156" s="15" t="n"/>
      <c r="C156" s="39" t="inlineStr">
        <is>
          <t>매월 안전보건 정기교육 때</t>
        </is>
      </c>
      <c r="D156" s="15" t="n"/>
      <c r="E156" s="15" t="n"/>
      <c r="F156" s="15" t="n"/>
      <c r="G156" s="39" t="inlineStr">
        <is>
          <t>교육시간</t>
        </is>
      </c>
      <c r="H156" s="15" t="n"/>
      <c r="I156" s="39" t="inlineStr">
        <is>
          <t>1시간 이내</t>
        </is>
      </c>
      <c r="J156" s="15" t="n"/>
      <c r="K156" s="15" t="n"/>
      <c r="L156" s="15" t="n"/>
    </row>
    <row r="157" ht="24" customHeight="1">
      <c r="A157" s="39" t="inlineStr">
        <is>
          <t>교육장소</t>
        </is>
      </c>
      <c r="B157" s="15" t="n"/>
      <c r="C157" s="39" t="inlineStr">
        <is>
          <t>현장교육장(실)</t>
        </is>
      </c>
      <c r="D157" s="15" t="n"/>
      <c r="E157" s="15" t="n"/>
      <c r="F157" s="15" t="n"/>
      <c r="G157" s="39" t="inlineStr">
        <is>
          <t>주 관 자</t>
        </is>
      </c>
      <c r="H157" s="15" t="n"/>
      <c r="I157" s="39" t="inlineStr">
        <is>
          <t>환경관리자</t>
        </is>
      </c>
      <c r="J157" s="15" t="n"/>
      <c r="K157" s="15" t="n"/>
      <c r="L157" s="15" t="n"/>
    </row>
    <row r="158" ht="50.175" customHeight="1">
      <c r="A158" s="41" t="inlineStr">
        <is>
          <t>교육내용 : ▶ 환경법규의 일반사항 ▶ 환경보전의 중요성 및 필요성 인식(포스터, 표어, 환경홍보 이용) ▶ 공종별 환경오염 원인 파악 및 저감 방안 ▶ 현장 내 오염발생원에 대한 전파 및 오염발생 예방을 위한 협조 요청 ▶ 환경 피해 사례 전파 교육 등</t>
        </is>
      </c>
    </row>
    <row r="159" ht="20" customHeight="1">
      <c r="A159" s="6" t="inlineStr"/>
      <c r="C159" s="6" t="inlineStr">
        <is>
          <t>2) 기타 — 오염발생원 취급 작업자</t>
        </is>
      </c>
    </row>
    <row r="160" ht="24" customHeight="1">
      <c r="A160" s="25" t="inlineStr">
        <is>
          <t>구 분</t>
        </is>
      </c>
      <c r="B160" s="15" t="n"/>
      <c r="C160" s="25" t="inlineStr">
        <is>
          <t>내  용</t>
        </is>
      </c>
      <c r="D160" s="15" t="n"/>
      <c r="E160" s="15" t="n"/>
      <c r="F160" s="15" t="n"/>
      <c r="G160" s="25" t="inlineStr">
        <is>
          <t>구 분</t>
        </is>
      </c>
      <c r="H160" s="15" t="n"/>
      <c r="I160" s="25" t="inlineStr">
        <is>
          <t>내  용</t>
        </is>
      </c>
      <c r="J160" s="15" t="n"/>
      <c r="K160" s="15" t="n"/>
      <c r="L160" s="15" t="n"/>
    </row>
    <row r="161" ht="24" customHeight="1">
      <c r="A161" s="39" t="inlineStr">
        <is>
          <t>교육대상</t>
        </is>
      </c>
      <c r="B161" s="15" t="n"/>
      <c r="C161" s="39" t="inlineStr">
        <is>
          <t>오염발생원 취급 작업자</t>
        </is>
      </c>
      <c r="D161" s="15" t="n"/>
      <c r="E161" s="15" t="n"/>
      <c r="F161" s="15" t="n"/>
      <c r="G161" s="39" t="inlineStr">
        <is>
          <t>교육주기</t>
        </is>
      </c>
      <c r="H161" s="15" t="n"/>
      <c r="I161" s="39" t="inlineStr">
        <is>
          <t>사유 발생 때</t>
        </is>
      </c>
      <c r="J161" s="15" t="n"/>
      <c r="K161" s="15" t="n"/>
      <c r="L161" s="15" t="n"/>
    </row>
    <row r="162" ht="24" customHeight="1">
      <c r="A162" s="39" t="inlineStr">
        <is>
          <t>교육시기</t>
        </is>
      </c>
      <c r="B162" s="15" t="n"/>
      <c r="C162" s="39" t="inlineStr">
        <is>
          <t>작업 착수 전</t>
        </is>
      </c>
      <c r="D162" s="15" t="n"/>
      <c r="E162" s="15" t="n"/>
      <c r="F162" s="15" t="n"/>
      <c r="G162" s="39" t="inlineStr">
        <is>
          <t>교육시간</t>
        </is>
      </c>
      <c r="H162" s="15" t="n"/>
      <c r="I162" s="39" t="inlineStr">
        <is>
          <t>30분 이내</t>
        </is>
      </c>
      <c r="J162" s="15" t="n"/>
      <c r="K162" s="15" t="n"/>
      <c r="L162" s="15" t="n"/>
    </row>
    <row r="163" ht="24" customHeight="1">
      <c r="A163" s="39" t="inlineStr">
        <is>
          <t>교육장소</t>
        </is>
      </c>
      <c r="B163" s="15" t="n"/>
      <c r="C163" s="39" t="inlineStr">
        <is>
          <t>현장교육장(실)</t>
        </is>
      </c>
      <c r="D163" s="15" t="n"/>
      <c r="E163" s="15" t="n"/>
      <c r="F163" s="15" t="n"/>
      <c r="G163" s="39" t="inlineStr">
        <is>
          <t>주 관 자</t>
        </is>
      </c>
      <c r="H163" s="15" t="n"/>
      <c r="I163" s="39" t="inlineStr">
        <is>
          <t>환경관리자, 관리감독자</t>
        </is>
      </c>
      <c r="J163" s="15" t="n"/>
      <c r="K163" s="15" t="n"/>
      <c r="L163" s="15" t="n"/>
    </row>
    <row r="164" ht="35.45" customHeight="1">
      <c r="A164" s="41" t="inlineStr">
        <is>
          <t>교육내용 : ▶ 오염으로 인한 위험 정도 및 환경피해 저감 방안 교육 ▶ 필요시 개인보호구 지급 ▶ 대피요령 ▶ 기타</t>
        </is>
      </c>
    </row>
    <row r="165" ht="21.5" customHeight="1">
      <c r="A165" s="33" t="inlineStr">
        <is>
          <t>3) 기록유지 : 현장소장은 환경교육 실시사항을 교육일지(교육기록서)에 기록 · 유지관리한다.</t>
        </is>
      </c>
    </row>
    <row r="166" ht="22" customHeight="1">
      <c r="A166" s="32" t="inlineStr">
        <is>
          <t>③ 현장 주변 청소계획 (현장 내부)</t>
        </is>
      </c>
    </row>
    <row r="167" ht="20.5" customHeight="1">
      <c r="A167" s="34" t="inlineStr">
        <is>
          <t>㉮</t>
        </is>
      </c>
      <c r="B167" s="35" t="inlineStr">
        <is>
          <t>현장 내부 청소</t>
        </is>
      </c>
    </row>
    <row r="168" ht="20.5" customHeight="1">
      <c r="A168" s="34" t="inlineStr">
        <is>
          <t>㉯</t>
        </is>
      </c>
      <c r="B168" s="35" t="inlineStr">
        <is>
          <t>일일 청소 및 점검 실시</t>
        </is>
      </c>
    </row>
    <row r="169" ht="20.5" customHeight="1">
      <c r="A169" s="34" t="inlineStr">
        <is>
          <t>㉰</t>
        </is>
      </c>
      <c r="B169" s="35" t="inlineStr">
        <is>
          <t>청소는 작업 종료 전 각 작업반 주관으로 해당 구역 청소 시행</t>
        </is>
      </c>
    </row>
    <row r="170" ht="36" customHeight="1">
      <c r="A170" s="34" t="inlineStr">
        <is>
          <t>㉱</t>
        </is>
      </c>
      <c r="B170" s="35" t="inlineStr">
        <is>
          <t>일일 작업 완료 후 공사과장 주관으로 이행상태를 점검하여 불이행 업체는 다음 날 작업 착수 전 청소 수행 지시</t>
        </is>
      </c>
    </row>
    <row r="171" ht="22" customHeight="1">
      <c r="A171" s="32" t="inlineStr">
        <is>
          <t>④ 현장 외부 청소</t>
        </is>
      </c>
    </row>
    <row r="172" ht="20.5" customHeight="1">
      <c r="A172" s="34" t="inlineStr">
        <is>
          <t>㉮</t>
        </is>
      </c>
      <c r="B172" s="35" t="inlineStr">
        <is>
          <t>정기 청소의 날 지정, 실시(매주 1회)</t>
        </is>
      </c>
    </row>
    <row r="173" ht="20.5" customHeight="1">
      <c r="A173" s="34" t="inlineStr">
        <is>
          <t>㉯</t>
        </is>
      </c>
      <c r="B173" s="35" t="inlineStr">
        <is>
          <t>현장관리 전 직원, 직영 근로자, 협력업체 소장 및 공종별 작업자 중심으로 실시</t>
        </is>
      </c>
    </row>
    <row r="174" ht="20.5" customHeight="1">
      <c r="A174" s="34" t="inlineStr">
        <is>
          <t>㉰</t>
        </is>
      </c>
      <c r="B174" s="35" t="inlineStr">
        <is>
          <t>현장 공무담당자는 협력업체별 실시 구역을 정해 정리정돈 실시</t>
        </is>
      </c>
    </row>
    <row r="175" ht="20.5" customHeight="1">
      <c r="A175" s="34" t="inlineStr">
        <is>
          <t>㉱</t>
        </is>
      </c>
      <c r="B175" s="35" t="inlineStr">
        <is>
          <t>작업 완료 후 현장소장 점검 실시</t>
        </is>
      </c>
    </row>
    <row r="176" ht="22" customHeight="1">
      <c r="A176" s="32" t="inlineStr">
        <is>
          <t>⑤ 비산먼지 방지계획</t>
        </is>
      </c>
    </row>
    <row r="177" ht="52.5" customHeight="1">
      <c r="A177" s="33" t="inlineStr">
        <is>
          <t>㉮ 목적 : 공사장 주변의 대기오염을 최대한 줄여 주변 주민건강 및 환경상의 위해를 예방하고, 대기환경을 적정하게 관리 · 보전함으로써 건강하고 쾌적한 환경에서 공사가 원활히 진행되도록 함.</t>
        </is>
      </c>
    </row>
    <row r="178" ht="20" customHeight="1">
      <c r="A178" s="6" t="inlineStr">
        <is>
          <t>㉯ 분체상 물질 또는 자재 운반계획</t>
        </is>
      </c>
    </row>
    <row r="179" ht="50.175" customHeight="1">
      <c r="A179" s="41" t="inlineStr">
        <is>
          <t>㉯-1 방진덮개 설치 : 1) 토사 적재 덤프트럭 및 시멘트 · 골재 · 자갈 등 운반 때 방진덮개 설치 2) 방진덮개는 가능하면 자동 개폐 방식 적용 3) 방진덮개 설치 후 적재물 노출 여부, 주행 중 벗겨질 우려 및 흘림이 없도록 점검</t>
        </is>
      </c>
    </row>
    <row r="180" ht="35.45" customHeight="1">
      <c r="A180" s="41" t="inlineStr">
        <is>
          <t>㉯-2 적재방법 : 1) 단지 외부로 진출입하는 차량은 적재함 상단으로부터 수평 5cm 이하로 적재 2) 적재함 중앙부 돌출 적재 금지</t>
        </is>
      </c>
    </row>
    <row r="181" ht="35.45" customHeight="1">
      <c r="A181" s="41" t="inlineStr">
        <is>
          <t>㉯-3 운반차량 관리 : 1) 현장 진 · 출입 차량은 흙 등이 붙지 않은 상태로 운행 2) 차륜부는 세륜장 고압살수시설로 흙 등을 제거 후 운행 3) 고압살수시설은 수압 3kg/㎠ 이상 성능</t>
        </is>
      </c>
    </row>
    <row r="182" ht="35.45" customHeight="1">
      <c r="A182" s="41" t="inlineStr">
        <is>
          <t>㉯-4 차량 운행속도 제한 : 1) 현장 내 포장도로 20km/h 이하 2) 비포장도로 10km/h 이하 3) 건조기에는 가설도로에 주기적 살수(필요시 살수차 운행)</t>
        </is>
      </c>
    </row>
    <row r="183" ht="64.90000000000001" customHeight="1">
      <c r="A183" s="41" t="inlineStr">
        <is>
          <t>㉰ 자재 보관계획 : 대상 자재(토사류, 시멘트 · 골재 · 모래 등) — 1) 토사류 · 골재 장기 야적 때 상단에 방진덮개 2) 굴착 절개면 낙석방지망 설치 때 방진덮개 동시 설치 3) 건조 시 공사용수 연장배관으로 스프링클러 등 살수시설 설치 4) 집중관리가 필요하면 야적고의 1/3 이상 높이의 방진벽 설치 5) 시멘트는 밀폐(보관창고) 관리</t>
        </is>
      </c>
    </row>
    <row r="184" ht="109.075" customHeight="1">
      <c r="A184" s="41" t="inlineStr">
        <is>
          <t>㉱ 시공 중 관리계획 : 대상 공종(토공사, 구조물공사, 폐기물 처리작업, 싣기 및 내리기 작업, 연마작업 등) — 토공 : 굴착 때 이동식 살수, 잔토 · 야적토사 방진망 또는 방진덮개 / 철근콘크리트 : 거푸집 해체 후 잔재물 즉시 제거, 정밀 시공으로 할석 요소 방지, 청소는 사전 살수 후, 떨어진 콘크리트는 굳기 전 제거 / 폐기물 : 분리수거 적재함(이동 쉬운 구조) 설치, 노천소각 금지, 작업 후 정리정돈, 적재 때 살수 / 싣기 · 내리기 : 고정식 또는 이동식 살수시설, 풍속이 평균 초속 8m 이상이면 작업 중단 / 연마 : 풍속 8m/s 이상 작업 중단, 작업부위 높이 이상의 이동식 방진망 · 방진막, 잔여물이 날리지 않게</t>
        </is>
      </c>
    </row>
    <row r="185" ht="64.90000000000001" customHeight="1">
      <c r="A185" s="41" t="inlineStr">
        <is>
          <t>㉲ 시설 관리계획 : 방진벽 · 방진망(야적고의 1/3 이상 높이 방진벽, 임시 야적 · 절개면 방진망, 저장물질 살수시설, 시멘트 밀폐) · 살수차 운영(단지 내 현장 및 진입로, 동절기 제외 1일 1회 이상) · 진입도로(입구 세륜시설, 동선 변경 때 골재층 재활용, 인접도로 주기적 살수) · 기타(비산먼지 억제 전담책임자 = 환경관리자, 살수시설 전담자 배치, 강풍 때 작업 중단 및 살수관리 철저)</t>
        </is>
      </c>
    </row>
    <row r="186" ht="35.45" customHeight="1">
      <c r="A186" s="41" t="inlineStr">
        <is>
          <t>㉳ 싣기 · 내리기 계획 : 작업장 주위에 이동식 살수시설(고압 분무기) 배치 — 살수반경 5m 이상, 수압 3kg/㎠ 이상 · 풍속 8m/s 이상이면 작업 중단</t>
        </is>
      </c>
    </row>
    <row r="187" ht="35.45" customHeight="1">
      <c r="A187" s="41" t="inlineStr">
        <is>
          <t>㉴ 인 · 허가 계획 : 비산먼지 발생사업 신고 — 착공 전에 관할 시 · 군 · 구청에 비산먼지 발생사업 신고서 제출(대기환경보전법 시행규칙 제58조), 신고증명서 비치</t>
        </is>
      </c>
    </row>
    <row r="188" ht="22" customHeight="1">
      <c r="A188" s="32" t="inlineStr">
        <is>
          <t>⑥ 소음 방지계획</t>
        </is>
      </c>
    </row>
    <row r="189" ht="64.90000000000001" customHeight="1">
      <c r="A189" s="41" t="inlineStr">
        <is>
          <t>㉮ 목적 : 1) 현장에서 발생하는 소음 · 진동으로 인한 피해를 막고 적정하게 관리 · 보전하여 인근 주민이 조용한 환경에서 생활할 수 있게 함. 2) 주민의 환경보전 의식이 높아져 건설공사의 환경문제가 사회적 물의가 되고 있으므로, 공사장의 입지 · 환경 조건을 철저히 조사 · 분석하여 지역환경에 미치는 영향을 파악하고 저감 방법을 강구함.</t>
        </is>
      </c>
    </row>
    <row r="190" ht="50.175" customHeight="1">
      <c r="A190" s="41" t="inlineStr">
        <is>
          <t>㉯ 공사 소음의 특성 : 1) 공사기간에만 발생 2) 음색이 다른 여러 음원의 복합 소음 3) 음압 · 주파수가 다른 여러 건설기계 투입으로 다양 4) 음원이 고정되지 않고 이동 5) 주로 주간에 발생 6) 진동 · 분진 · 폐수 등이 동시에 발생</t>
        </is>
      </c>
    </row>
    <row r="191" ht="22" customHeight="1">
      <c r="A191" s="32" t="inlineStr">
        <is>
          <t>⑦ 민원계획</t>
        </is>
      </c>
    </row>
    <row r="192" ht="64.90000000000001" customHeight="1">
      <c r="A192" s="41" t="inlineStr">
        <is>
          <t>㉮ 사전 조사사항 : 1) 인근 가옥 조사 — 기존 가옥의 안정성(기발생 균열, 담장 기울기), 진입도로 상태(균열 · 함몰, 경계석), 전주 수직상태 · 공중전선 안정성 2) 조사기록 — 균열 등은 사진 · 동영상 촬영, 배치도 중심으로 기록부 작성 · 보관 3) 유의사항 — 은폐 · 방해가 없도록 면밀히, 주민과 협조관계를 만든 뒤 실시</t>
        </is>
      </c>
    </row>
    <row r="193" ht="22" customHeight="1">
      <c r="A193" s="32" t="inlineStr">
        <is>
          <t>⑧ 관리계획</t>
        </is>
      </c>
    </row>
    <row r="194" ht="64.90000000000001" customHeight="1">
      <c r="A194" s="41" t="inlineStr">
        <is>
          <t>㉮ 관공서와 업무체계 구축(경찰서 · 파출소 · 소방서, 관할 시 · 군청) ㉯ 주민 협조체 결성 지원(감시고발이 아닌 감시지도 성격, 주기적 간담회, 주민동태 점검 병행) ㉰ 상황조사 및 시험(주민협조체 협조로 주변 조사, 소음 · 진동 모의 시험) ㉱ 점검방안 및 대책(소음 : 주민 위치를 가정한 소음측정기 측정, 진동 : 외부기관 의뢰 / 감독관과 협의하여 대책 수립, 민원인과 지속적 대화)</t>
        </is>
      </c>
    </row>
    <row r="195" ht="24" customHeight="1">
      <c r="A195" s="32" t="inlineStr">
        <is>
          <t>■ 환경기준 — 소음 · 진동관리법 시행규칙 [별표 8] 생활소음 · 진동의 규제기준(공사장, 개정 2019. 12. 31.)</t>
        </is>
      </c>
    </row>
    <row r="196" ht="24" customHeight="1">
      <c r="A196" s="25" t="inlineStr">
        <is>
          <t>대상 지역</t>
        </is>
      </c>
      <c r="B196" s="15" t="n"/>
      <c r="C196" s="15" t="n"/>
      <c r="D196" s="15" t="n"/>
      <c r="E196" s="15" t="n"/>
      <c r="F196" s="25" t="inlineStr">
        <is>
          <t>아침 · 저녁
05~07 · 18~22</t>
        </is>
      </c>
      <c r="G196" s="15" t="n"/>
      <c r="H196" s="25" t="inlineStr">
        <is>
          <t>주  간
07~18</t>
        </is>
      </c>
      <c r="I196" s="15" t="n"/>
      <c r="J196" s="25" t="inlineStr">
        <is>
          <t>야  간
22~05</t>
        </is>
      </c>
      <c r="K196" s="15" t="n"/>
      <c r="L196" s="25" t="inlineStr">
        <is>
          <t>단위</t>
        </is>
      </c>
    </row>
    <row r="197" ht="60" customHeight="1">
      <c r="A197" s="42" t="inlineStr">
        <is>
          <t>가. 주거지역, 녹지지역, 관리지역 중 취락지구 · 주거개발진흥지구 및 관광 · 휴양개발진흥지구, 자연환경보전지역, 그 밖의 지역에 있는 학교 · 종합병원 · 공공도서관</t>
        </is>
      </c>
      <c r="B197" s="15" t="n"/>
      <c r="C197" s="15" t="n"/>
      <c r="D197" s="15" t="n"/>
      <c r="E197" s="15" t="n"/>
      <c r="F197" s="24" t="inlineStr">
        <is>
          <t>60 이하</t>
        </is>
      </c>
      <c r="G197" s="15" t="n"/>
      <c r="H197" s="24" t="inlineStr">
        <is>
          <t>65 이하</t>
        </is>
      </c>
      <c r="I197" s="15" t="n"/>
      <c r="J197" s="24" t="inlineStr">
        <is>
          <t>50 이하</t>
        </is>
      </c>
      <c r="K197" s="15" t="n"/>
      <c r="L197" s="43" t="inlineStr">
        <is>
          <t>dB(A)</t>
        </is>
      </c>
    </row>
    <row r="198" ht="24" customHeight="1">
      <c r="A198" s="42" t="inlineStr">
        <is>
          <t>나. 그 밖의 지역</t>
        </is>
      </c>
      <c r="B198" s="15" t="n"/>
      <c r="C198" s="15" t="n"/>
      <c r="D198" s="15" t="n"/>
      <c r="E198" s="15" t="n"/>
      <c r="F198" s="24" t="inlineStr">
        <is>
          <t>65 이하</t>
        </is>
      </c>
      <c r="G198" s="15" t="n"/>
      <c r="H198" s="24" t="inlineStr">
        <is>
          <t>70 이하</t>
        </is>
      </c>
      <c r="I198" s="15" t="n"/>
      <c r="J198" s="24" t="inlineStr">
        <is>
          <t>50 이하</t>
        </is>
      </c>
      <c r="K198" s="15" t="n"/>
      <c r="L198" s="43" t="inlineStr">
        <is>
          <t>dB(A)</t>
        </is>
      </c>
    </row>
    <row r="199" ht="45.525" customHeight="1">
      <c r="A199" s="44" t="inlineStr">
        <is>
          <t>※ 공사장 소음 : 주간에 특정공사 사전신고 대상 기계 · 장비를 쓰는 작업시간이 1일 3시간 이하이면 +10dB, 3시간 초과 6시간 이하이면 +5dB 을 규제기준치에 보정. 발파소음은 주간에만 +10dB. 주거지역과 종합병원 · 학교 · 공공도서관 부지경계로부터 직선거리 50m 이내 지역은 공휴일에만 −5dB.</t>
        </is>
      </c>
    </row>
    <row r="200" ht="24" customHeight="1">
      <c r="A200" s="25" t="inlineStr">
        <is>
          <t>대상 지역(생활진동)</t>
        </is>
      </c>
      <c r="B200" s="15" t="n"/>
      <c r="C200" s="15" t="n"/>
      <c r="D200" s="15" t="n"/>
      <c r="E200" s="15" t="n"/>
      <c r="F200" s="15" t="n"/>
      <c r="G200" s="15" t="n"/>
      <c r="H200" s="25" t="inlineStr">
        <is>
          <t>주  간
06~22</t>
        </is>
      </c>
      <c r="I200" s="15" t="n"/>
      <c r="J200" s="25" t="inlineStr">
        <is>
          <t>심  야
22~06</t>
        </is>
      </c>
      <c r="K200" s="15" t="n"/>
      <c r="L200" s="25" t="inlineStr">
        <is>
          <t>단위</t>
        </is>
      </c>
    </row>
    <row r="201" ht="24" customHeight="1">
      <c r="A201" s="42" t="inlineStr">
        <is>
          <t>가. 주거지역 등(위 소음 가 와 같은 지역)</t>
        </is>
      </c>
      <c r="B201" s="15" t="n"/>
      <c r="C201" s="15" t="n"/>
      <c r="D201" s="15" t="n"/>
      <c r="E201" s="15" t="n"/>
      <c r="F201" s="15" t="n"/>
      <c r="G201" s="15" t="n"/>
      <c r="H201" s="24" t="inlineStr">
        <is>
          <t>65 이하</t>
        </is>
      </c>
      <c r="I201" s="15" t="n"/>
      <c r="J201" s="24" t="inlineStr">
        <is>
          <t>60 이하</t>
        </is>
      </c>
      <c r="K201" s="15" t="n"/>
      <c r="L201" s="43" t="inlineStr">
        <is>
          <t>dB(V)</t>
        </is>
      </c>
    </row>
    <row r="202" ht="24" customHeight="1">
      <c r="A202" s="42" t="inlineStr">
        <is>
          <t>나. 그 밖의 지역</t>
        </is>
      </c>
      <c r="B202" s="15" t="n"/>
      <c r="C202" s="15" t="n"/>
      <c r="D202" s="15" t="n"/>
      <c r="E202" s="15" t="n"/>
      <c r="F202" s="15" t="n"/>
      <c r="G202" s="15" t="n"/>
      <c r="H202" s="24" t="inlineStr">
        <is>
          <t>70 이하</t>
        </is>
      </c>
      <c r="I202" s="15" t="n"/>
      <c r="J202" s="24" t="inlineStr">
        <is>
          <t>65 이하</t>
        </is>
      </c>
      <c r="K202" s="15" t="n"/>
      <c r="L202" s="43" t="inlineStr">
        <is>
          <t>dB(V)</t>
        </is>
      </c>
    </row>
    <row r="203" ht="32.35" customHeight="1">
      <c r="A203" s="44" t="inlineStr">
        <is>
          <t>※ 공사장 진동 : 주간에 특정공사 사전신고 대상 기계 · 장비를 쓰는 작업시간이 1일 2시간 이하이면 +10dB, 2시간 초과 4시간 이하이면 +5dB 보정. 발파진동은 주간에만 +10dB.</t>
        </is>
      </c>
    </row>
    <row r="204" ht="22" customHeight="1">
      <c r="A204" s="32" t="inlineStr">
        <is>
          <t>⑨ 굴착계획 · ⑩ 운반계획 · ⑪ 천공계획 · ⑫ 콘크리트공사계획</t>
        </is>
      </c>
    </row>
    <row r="205" ht="35.45" customHeight="1">
      <c r="A205" s="41" t="inlineStr">
        <is>
          <t>⑨ 민가가 있으면 가옥 반대편부터 굴착, 낙하높이를 낮추고 충격 삽입을 피함, 천공은 압입방식, 야간작업(특히 착암) 금지, 저소음 장비 · 차량(굴착기 · 덤프트럭) 선정.</t>
        </is>
      </c>
    </row>
    <row r="206" ht="35.45" customHeight="1">
      <c r="A206" s="41" t="inlineStr">
        <is>
          <t>⑩ 운반경로는 보차도 구분 · 포장 · 차선이 많은 도로로, 저소음 운반차량(과적 금지), 현장 내 20km/h 이하, 급발진 · 공회전 · 급정지 · 경음기 금지, 세륜 및 측면살수 후 운행.</t>
        </is>
      </c>
    </row>
    <row r="207" ht="35.45" customHeight="1">
      <c r="A207" s="41" t="inlineStr">
        <is>
          <t>⑪ 리퍼로 상부 풍화암층은 천공 없이 최대한 절개, 착암 · 천공 장비는 저소음, 민원 우려 시 이동식 방음벽 설치.</t>
        </is>
      </c>
    </row>
    <row r="208" ht="35.45" customHeight="1">
      <c r="A208" s="41" t="inlineStr">
        <is>
          <t>⑫ 콘크리트 타설 때 바이브레이터 공회전 금지(콘크리트 안에서 회전), 펌프카 · 운송차량의 불필요한 공회전 방지.</t>
        </is>
      </c>
    </row>
    <row r="209" ht="22" customHeight="1">
      <c r="A209" s="32" t="inlineStr">
        <is>
          <t>⑬ 건설장비를 사용할 때 소음 · 진동 저감 기본대책</t>
        </is>
      </c>
    </row>
    <row r="210" ht="19.725" customHeight="1">
      <c r="A210" s="45" t="inlineStr">
        <is>
          <t>㉮</t>
        </is>
      </c>
      <c r="B210" s="46" t="inlineStr">
        <is>
          <t>저소음 · 저진동 공법 선정 — 해머식이나 대형 브레이커 대신 압쇄기 공법 등 채용</t>
        </is>
      </c>
    </row>
    <row r="211" ht="19.725" customHeight="1">
      <c r="A211" s="45" t="inlineStr">
        <is>
          <t>㉯</t>
        </is>
      </c>
      <c r="B211" s="46" t="inlineStr">
        <is>
          <t>저소음 건설기계 선택 — 저소음 · 적정용량 건설기계 사용</t>
        </is>
      </c>
    </row>
    <row r="212" ht="34.45" customHeight="1">
      <c r="A212" s="45" t="inlineStr">
        <is>
          <t>㉰</t>
        </is>
      </c>
      <c r="B212" s="46" t="inlineStr">
        <is>
          <t>적절한 시간대 및 작업공정 설정(심야 · 조석 작업 억제) — 주변 생활시간대를 고려해 통상 낮 시간에</t>
        </is>
      </c>
    </row>
    <row r="213" ht="19.725" customHeight="1">
      <c r="A213" s="45" t="inlineStr">
        <is>
          <t>㉱</t>
        </is>
      </c>
      <c r="B213" s="46" t="inlineStr">
        <is>
          <t>건설기계의 적정 배치 — 민가와 멀리, 가설구조물 뒤에 배치해 차음</t>
        </is>
      </c>
    </row>
    <row r="214" ht="19.725" customHeight="1">
      <c r="A214" s="45" t="inlineStr">
        <is>
          <t>㉲</t>
        </is>
      </c>
      <c r="B214" s="46" t="inlineStr">
        <is>
          <t>차음시설 설치 — 기계톱 · 공기압축기 · 발전기 등 사용 때 필히 차음시설</t>
        </is>
      </c>
    </row>
    <row r="215" ht="22" customHeight="1">
      <c r="A215" s="32" t="inlineStr">
        <is>
          <t>⑭ 인 · 허가계획</t>
        </is>
      </c>
    </row>
    <row r="216" ht="50.175" customHeight="1">
      <c r="A216" s="41" t="inlineStr">
        <is>
          <t>㉮ 이 현장의 특정공사 : 굴착공사, 토공사 등  ㉯ 특정공사 사전신고 : 해당 공사를 시작하기 전에 관할 시 · 군 · 구청에 신고(소음 · 진동관리법 시행규칙 제21조) — 착암작업 등 소음 저감방안 중심, 소음 · 진동 저감대책, 장비 급가동 · 공회전 금지, 가능한 야간작업 금지</t>
        </is>
      </c>
    </row>
    <row r="217" ht="22" customHeight="1">
      <c r="A217" s="32" t="inlineStr">
        <is>
          <t>⑮ 폐기물 처리계획</t>
        </is>
      </c>
    </row>
    <row r="218" ht="35.45" customHeight="1">
      <c r="A218" s="41" t="inlineStr">
        <is>
          <t>㉮-1 기본방침 : 시공 중 발생하는 폐기물의 발생량 억제, 재활용, 사용 가능품의 주민 공여를 통해 환경오염 피해를 최소화한다.</t>
        </is>
      </c>
    </row>
    <row r="219" ht="34.45" customHeight="1">
      <c r="A219" s="45" t="inlineStr">
        <is>
          <t>1)</t>
        </is>
      </c>
      <c r="C219" s="46" t="inlineStr">
        <is>
          <t>폐기물 처리 전담요원(환경관리자)은 발생 억제 및 교육계획을 수립하여 근로자 의식 제고와 정리정돈 습성 유지에 기여한다.</t>
        </is>
      </c>
    </row>
    <row r="220" ht="34.45" customHeight="1">
      <c r="A220" s="45" t="inlineStr">
        <is>
          <t>2)</t>
        </is>
      </c>
      <c r="C220" s="46" t="inlineStr">
        <is>
          <t>현장 폐기물은 처리가 쉽도록 매립용 · 파쇄용 · 재활용 · 소각용 등으로 구분하여 수집 · 보관한다.</t>
        </is>
      </c>
    </row>
    <row r="221" ht="34.45" customHeight="1">
      <c r="A221" s="45" t="inlineStr">
        <is>
          <t>3)</t>
        </is>
      </c>
      <c r="C221" s="46" t="inlineStr">
        <is>
          <t>처리업자에게 위탁할 때에는 폐기물의 성분 · 분량을 참작하여 처리용량 · 시설 등 처리능력을 확인한 후 계약 · 위탁한다.</t>
        </is>
      </c>
    </row>
    <row r="222" ht="19.725" customHeight="1">
      <c r="A222" s="45" t="inlineStr">
        <is>
          <t>4)</t>
        </is>
      </c>
      <c r="C222" s="46" t="inlineStr">
        <is>
          <t>위탁처리업체의 법규 준수 여부를 계속 확인한다(업체를 직접 방문하여 서류 검토).</t>
        </is>
      </c>
    </row>
    <row r="223" ht="34.45" customHeight="1">
      <c r="A223" s="45" t="inlineStr">
        <is>
          <t>5)</t>
        </is>
      </c>
      <c r="C223" s="46" t="inlineStr">
        <is>
          <t>현장 환경관리자는 폐기물 종류별로 관리대장을 작성하고, 그해 처리한 폐기물은 다음 해 2월 말까지 처리실적을 관할관청에 보고한다(보존 : 마지막 기재일부터 3년).</t>
        </is>
      </c>
    </row>
    <row r="224" ht="34.45" customHeight="1">
      <c r="A224" s="45" t="inlineStr">
        <is>
          <t>6)</t>
        </is>
      </c>
      <c r="C224" s="46" t="inlineStr">
        <is>
          <t>반출 폐기물은 인계서(전자정보처리프로그램 «올바로» 등)를 작성하여 처리의 투명성을 보장한다.</t>
        </is>
      </c>
    </row>
    <row r="225" ht="24" customHeight="1">
      <c r="A225" s="25" t="inlineStr">
        <is>
          <t>분  류</t>
        </is>
      </c>
      <c r="B225" s="15" t="n"/>
      <c r="C225" s="25" t="inlineStr">
        <is>
          <t>세  부  지  침(폐기물 처리 4단계)</t>
        </is>
      </c>
      <c r="D225" s="15" t="n"/>
      <c r="E225" s="15" t="n"/>
      <c r="F225" s="15" t="n"/>
      <c r="G225" s="15" t="n"/>
      <c r="H225" s="15" t="n"/>
      <c r="I225" s="15" t="n"/>
      <c r="J225" s="25" t="inlineStr">
        <is>
          <t>비  고</t>
        </is>
      </c>
      <c r="K225" s="15" t="n"/>
      <c r="L225" s="15" t="n"/>
    </row>
    <row r="226" ht="73.5" customHeight="1">
      <c r="A226" s="24" t="inlineStr">
        <is>
          <t>제1단계
(발생 억제)</t>
        </is>
      </c>
      <c r="B226" s="15" t="n"/>
      <c r="C226" s="42" t="inlineStr">
        <is>
          <t>▶ 자재 반입 포장재는 납품업체가 전량 회수(계약 때 명기)
▶ 장비 폐유 등은 장비업체 전량 회수
▶ 표준화 작업으로 잔재물 최소화
▶ 1회용 자재 억제 · 재활용 자재 사용
▶ 사무실 · 현장 주변 5원 분리수거함 배치</t>
        </is>
      </c>
      <c r="D226" s="15" t="n"/>
      <c r="E226" s="15" t="n"/>
      <c r="F226" s="15" t="n"/>
      <c r="G226" s="15" t="n"/>
      <c r="H226" s="15" t="n"/>
      <c r="I226" s="15" t="n"/>
      <c r="J226" s="42" t="inlineStr">
        <is>
          <t>▶ 지속적인 교육 · 홍보
▶ 5원 분리 : 병, 플라스틱, 고철, 알루미늄, 종이 · 의류</t>
        </is>
      </c>
      <c r="K226" s="15" t="n"/>
      <c r="L226" s="15" t="n"/>
    </row>
    <row r="227" ht="73.5" customHeight="1">
      <c r="A227" s="24" t="inlineStr">
        <is>
          <t>제2단계
(성분별 분리수거)</t>
        </is>
      </c>
      <c r="B227" s="15" t="n"/>
      <c r="C227" s="42" t="inlineStr">
        <is>
          <t>▶ 5원 분리수거 폐기물은 관할 관청 등에 수거 협조 요청
▶ 가연성 · 불연성 구분(부피가 큰 것은 파쇄 후 위탁)
▶ 지정폐기물 : 위탁처리
▶ 건설폐재(토사 · 콘크리트 · 아스콘 덩이 등)는 재활용 또는 위탁처리</t>
        </is>
      </c>
      <c r="D227" s="15" t="n"/>
      <c r="E227" s="15" t="n"/>
      <c r="F227" s="15" t="n"/>
      <c r="G227" s="15" t="n"/>
      <c r="H227" s="15" t="n"/>
      <c r="I227" s="15" t="n"/>
      <c r="J227" s="42" t="inlineStr">
        <is>
          <t>▶ 재활용 : 용도별 KS 및 설계 · 시공지침에 따라 재가공 후 사용</t>
        </is>
      </c>
      <c r="K227" s="15" t="n"/>
      <c r="L227" s="15" t="n"/>
    </row>
    <row r="228" ht="33" customHeight="1">
      <c r="A228" s="24" t="inlineStr">
        <is>
          <t>제3단계
(분리수거)</t>
        </is>
      </c>
      <c r="B228" s="15" t="n"/>
      <c r="C228" s="42" t="inlineStr">
        <is>
          <t>▶ 불연성 폐기물은 일정량 모이면 위탁처리
▶ 위탁업체는 가능한 재활용 능력업체로 선정, 재활용률 제고</t>
        </is>
      </c>
      <c r="D228" s="15" t="n"/>
      <c r="E228" s="15" t="n"/>
      <c r="F228" s="15" t="n"/>
      <c r="G228" s="15" t="n"/>
      <c r="H228" s="15" t="n"/>
      <c r="I228" s="15" t="n"/>
      <c r="J228" s="42" t="inlineStr">
        <is>
          <t>▶ 허가 · 등록증 확인, 정식 계약 후 반출증 보관</t>
        </is>
      </c>
      <c r="K228" s="15" t="n"/>
      <c r="L228" s="15" t="n"/>
    </row>
    <row r="229" ht="46.5" customHeight="1">
      <c r="A229" s="24" t="inlineStr">
        <is>
          <t>제4단계
(중간 · 최종처리)</t>
        </is>
      </c>
      <c r="B229" s="15" t="n"/>
      <c r="C229" s="42" t="inlineStr">
        <is>
          <t>▶ 환경관리 총괄책임자는 필요시 위탁업체의 최종처리 상태를 확인하여 불법 매립 · 투기 예방</t>
        </is>
      </c>
      <c r="D229" s="15" t="n"/>
      <c r="E229" s="15" t="n"/>
      <c r="F229" s="15" t="n"/>
      <c r="G229" s="15" t="n"/>
      <c r="H229" s="15" t="n"/>
      <c r="I229" s="15" t="n"/>
      <c r="J229" s="42" t="inlineStr"/>
      <c r="K229" s="15" t="n"/>
      <c r="L229" s="15" t="n"/>
    </row>
    <row r="230" ht="64.90000000000001" customHeight="1">
      <c r="A230" s="41" t="inlineStr">
        <is>
          <t>보관 : 건설폐기물은 성상별 · 종류별로 구분 보관(재활용품 별도), 보관 개시일부터 90일(지정폐기물 45일)을 넘겨 보관하지 않으며, 공사 완료 후 현장에 보관하지 않는다. 위탁 : 등록 여부 · 영업대상 · 구역 · 허가기간 확인, 처리과정 확인, 보관 · 처리상태 사진 보관, 반출차량 시간 · 번호 기록. 노천소각 금지.</t>
        </is>
      </c>
    </row>
    <row r="231" ht="22" customHeight="1">
      <c r="A231" s="32" t="inlineStr">
        <is>
          <t>⑯ 수질 관리계획</t>
        </is>
      </c>
    </row>
    <row r="232" ht="24" customHeight="1">
      <c r="A232" s="25" t="inlineStr">
        <is>
          <t>단 계</t>
        </is>
      </c>
      <c r="B232" s="15" t="n"/>
      <c r="C232" s="25" t="inlineStr">
        <is>
          <t>구 분</t>
        </is>
      </c>
      <c r="D232" s="15" t="n"/>
      <c r="E232" s="15" t="n"/>
      <c r="F232" s="25" t="inlineStr">
        <is>
          <t>내   용</t>
        </is>
      </c>
      <c r="G232" s="15" t="n"/>
      <c r="H232" s="15" t="n"/>
      <c r="I232" s="15" t="n"/>
      <c r="J232" s="15" t="n"/>
      <c r="K232" s="15" t="n"/>
      <c r="L232" s="15" t="n"/>
    </row>
    <row r="233" ht="46.5" customHeight="1">
      <c r="A233" s="24" t="inlineStr">
        <is>
          <t>1 단계</t>
        </is>
      </c>
      <c r="B233" s="15" t="n"/>
      <c r="C233" s="24" t="inlineStr">
        <is>
          <t>발생원 억제</t>
        </is>
      </c>
      <c r="D233" s="15" t="n"/>
      <c r="E233" s="15" t="n"/>
      <c r="F233" s="42" t="inlineStr">
        <is>
          <t>① 가배수로에 의한 토사유출 억제 ② 우수 및 오수의 분리 처리 ③ 수질오염원 조속 수거 및 처리 ④ 세차시설 용수의 적정 처리 ⑤ 사용량 지정 및 점검</t>
        </is>
      </c>
      <c r="G233" s="15" t="n"/>
      <c r="H233" s="15" t="n"/>
      <c r="I233" s="15" t="n"/>
      <c r="J233" s="15" t="n"/>
      <c r="K233" s="15" t="n"/>
      <c r="L233" s="15" t="n"/>
    </row>
    <row r="234" ht="33" customHeight="1">
      <c r="A234" s="24" t="inlineStr">
        <is>
          <t>2 단계</t>
        </is>
      </c>
      <c r="B234" s="15" t="n"/>
      <c r="C234" s="24" t="inlineStr">
        <is>
          <t>방지시설의 가동</t>
        </is>
      </c>
      <c r="D234" s="15" t="n"/>
      <c r="E234" s="15" t="n"/>
      <c r="F234" s="42" t="inlineStr">
        <is>
          <t>① 방지시설 처리효율 최적화 ② 정상운영 및 주기적 점검 ③ 배출오염물질 오염도 검사(자가측정)</t>
        </is>
      </c>
      <c r="G234" s="15" t="n"/>
      <c r="H234" s="15" t="n"/>
      <c r="I234" s="15" t="n"/>
      <c r="J234" s="15" t="n"/>
      <c r="K234" s="15" t="n"/>
      <c r="L234" s="15" t="n"/>
    </row>
    <row r="235" ht="24" customHeight="1">
      <c r="A235" s="24" t="inlineStr">
        <is>
          <t>3 단계</t>
        </is>
      </c>
      <c r="B235" s="15" t="n"/>
      <c r="C235" s="24" t="inlineStr">
        <is>
          <t>처리수의 재활용</t>
        </is>
      </c>
      <c r="D235" s="15" t="n"/>
      <c r="E235" s="15" t="n"/>
      <c r="F235" s="42" t="inlineStr">
        <is>
          <t>① 처리수의 재활용 ② 탈수 슬러지의 위탁처리</t>
        </is>
      </c>
      <c r="G235" s="15" t="n"/>
      <c r="H235" s="15" t="n"/>
      <c r="I235" s="15" t="n"/>
      <c r="J235" s="15" t="n"/>
      <c r="K235" s="15" t="n"/>
      <c r="L235" s="15" t="n"/>
    </row>
    <row r="236" ht="33" customHeight="1">
      <c r="A236" s="24" t="inlineStr">
        <is>
          <t>4 단계</t>
        </is>
      </c>
      <c r="B236" s="15" t="n"/>
      <c r="C236" s="24" t="inlineStr">
        <is>
          <t>처리결과 기록보존</t>
        </is>
      </c>
      <c r="D236" s="15" t="n"/>
      <c r="E236" s="15" t="n"/>
      <c r="F236" s="42" t="inlineStr">
        <is>
          <t>① 운영일지 · 자가 · 위탁처리 기록보존 ② 배출 · 방지시설 운영일지 작성</t>
        </is>
      </c>
      <c r="G236" s="15" t="n"/>
      <c r="H236" s="15" t="n"/>
      <c r="I236" s="15" t="n"/>
      <c r="J236" s="15" t="n"/>
      <c r="K236" s="15" t="n"/>
      <c r="L236" s="15" t="n"/>
    </row>
    <row r="237" ht="50.175" customHeight="1">
      <c r="A237" s="41" t="inlineStr">
        <is>
          <t>㉯ 토사유출 방지대책 : 강우 때 토사유출로 인근 수역이 오염되지 않도록, 절 · 성토면 안정화를 먼저 하고 유출 우려 부분은 덮개로 덮으며 상 · 하부에 가배수로 및 물막이를 설치한다. 공사지역 하류에 침사지를 설치하여 인근 수역으로 유입되는 토사량을 최소화한다.</t>
        </is>
      </c>
    </row>
    <row r="239" ht="34" customHeight="1">
      <c r="A239" s="9" t="inlineStr">
        <is>
          <t>하늘색 칸 = 자동(공사명 · 수급사 · 공사기간 일수 · 공사금액 한글 · 건물 합계). 소음 · 진동 기준표는 현행 시행규칙 [별표 8] 원문입니다.</t>
        </is>
      </c>
    </row>
    <row r="240" ht="34" customHeight="1">
      <c r="A240" s="9" t="inlineStr">
        <is>
          <t>그 밖의 법령 인용(보관기간 · 신고 시기 등)은 원본 계획서 문구를 줄여 옮긴 것입니다 — 제출 전에 현행 법령과 발주처 지침을 확인하세요.</t>
        </is>
      </c>
    </row>
  </sheetData>
  <mergeCells count="386">
    <mergeCell ref="D21:L21"/>
    <mergeCell ref="A15:B15"/>
    <mergeCell ref="A21:C21"/>
    <mergeCell ref="A192:L192"/>
    <mergeCell ref="A23:C23"/>
    <mergeCell ref="A194:L194"/>
    <mergeCell ref="J75:L75"/>
    <mergeCell ref="A181:L181"/>
    <mergeCell ref="J50:L50"/>
    <mergeCell ref="A52:C52"/>
    <mergeCell ref="J52:L52"/>
    <mergeCell ref="A83:C83"/>
    <mergeCell ref="C112:L112"/>
    <mergeCell ref="A49:C49"/>
    <mergeCell ref="C114:L114"/>
    <mergeCell ref="A78:L78"/>
    <mergeCell ref="A205:L205"/>
    <mergeCell ref="J226:L226"/>
    <mergeCell ref="A80:L80"/>
    <mergeCell ref="C232:E232"/>
    <mergeCell ref="E88:L88"/>
    <mergeCell ref="A196:E196"/>
    <mergeCell ref="C233:E233"/>
    <mergeCell ref="A198:E198"/>
    <mergeCell ref="A136:B136"/>
    <mergeCell ref="D53:E53"/>
    <mergeCell ref="D47:E47"/>
    <mergeCell ref="F137:L137"/>
    <mergeCell ref="F47:G47"/>
    <mergeCell ref="A58:L58"/>
    <mergeCell ref="H75:I75"/>
    <mergeCell ref="F139:L139"/>
    <mergeCell ref="A24:C24"/>
    <mergeCell ref="A73:C73"/>
    <mergeCell ref="D18:K18"/>
    <mergeCell ref="F48:G48"/>
    <mergeCell ref="A60:L60"/>
    <mergeCell ref="D75:G75"/>
    <mergeCell ref="H48:I48"/>
    <mergeCell ref="J53:L53"/>
    <mergeCell ref="A84:C84"/>
    <mergeCell ref="A200:G200"/>
    <mergeCell ref="A50:C50"/>
    <mergeCell ref="A202:G202"/>
    <mergeCell ref="A86:L86"/>
    <mergeCell ref="H201:I201"/>
    <mergeCell ref="B210:L210"/>
    <mergeCell ref="D11:K11"/>
    <mergeCell ref="A92:D92"/>
    <mergeCell ref="A144:C144"/>
    <mergeCell ref="D83:L83"/>
    <mergeCell ref="A215:L215"/>
    <mergeCell ref="D143:L143"/>
    <mergeCell ref="B170:L170"/>
    <mergeCell ref="J71:L71"/>
    <mergeCell ref="E90:L90"/>
    <mergeCell ref="B172:L172"/>
    <mergeCell ref="J73:L73"/>
    <mergeCell ref="C235:E235"/>
    <mergeCell ref="A89:D89"/>
    <mergeCell ref="A156:B156"/>
    <mergeCell ref="E91:L91"/>
    <mergeCell ref="A79:C79"/>
    <mergeCell ref="A1:F1"/>
    <mergeCell ref="J229:L229"/>
    <mergeCell ref="A70:L70"/>
    <mergeCell ref="A220:B220"/>
    <mergeCell ref="E93:L93"/>
    <mergeCell ref="C120:L120"/>
    <mergeCell ref="C137:E137"/>
    <mergeCell ref="H196:I196"/>
    <mergeCell ref="A74:L74"/>
    <mergeCell ref="C149:L149"/>
    <mergeCell ref="C139:E139"/>
    <mergeCell ref="A101:L101"/>
    <mergeCell ref="C138:E138"/>
    <mergeCell ref="A76:L76"/>
    <mergeCell ref="F51:G51"/>
    <mergeCell ref="H51:I51"/>
    <mergeCell ref="A149:B149"/>
    <mergeCell ref="A140:L140"/>
    <mergeCell ref="G1:L1"/>
    <mergeCell ref="B147:L147"/>
    <mergeCell ref="A151:B151"/>
    <mergeCell ref="A150:B150"/>
    <mergeCell ref="D12:K12"/>
    <mergeCell ref="A152:B152"/>
    <mergeCell ref="D84:L84"/>
    <mergeCell ref="A94:L94"/>
    <mergeCell ref="D22:L22"/>
    <mergeCell ref="A216:L216"/>
    <mergeCell ref="D14:K14"/>
    <mergeCell ref="J198:K198"/>
    <mergeCell ref="A87:L87"/>
    <mergeCell ref="A218:L218"/>
    <mergeCell ref="B173:L173"/>
    <mergeCell ref="G161:H161"/>
    <mergeCell ref="A193:L193"/>
    <mergeCell ref="A226:B226"/>
    <mergeCell ref="A46:L46"/>
    <mergeCell ref="A26:C26"/>
    <mergeCell ref="B102:L102"/>
    <mergeCell ref="C161:F161"/>
    <mergeCell ref="A228:B228"/>
    <mergeCell ref="A71:C71"/>
    <mergeCell ref="C220:L220"/>
    <mergeCell ref="A184:L184"/>
    <mergeCell ref="C151:L151"/>
    <mergeCell ref="A236:B236"/>
    <mergeCell ref="A100:L100"/>
    <mergeCell ref="A163:B163"/>
    <mergeCell ref="A171:L171"/>
    <mergeCell ref="A165:L165"/>
    <mergeCell ref="A77:C77"/>
    <mergeCell ref="A166:L166"/>
    <mergeCell ref="D24:E24"/>
    <mergeCell ref="B63:L63"/>
    <mergeCell ref="F54:G54"/>
    <mergeCell ref="H54:I54"/>
    <mergeCell ref="A3:L3"/>
    <mergeCell ref="F136:L136"/>
    <mergeCell ref="A239:L239"/>
    <mergeCell ref="C229:I229"/>
    <mergeCell ref="A32:L32"/>
    <mergeCell ref="H49:I49"/>
    <mergeCell ref="G162:H162"/>
    <mergeCell ref="I160:L160"/>
    <mergeCell ref="D23:L23"/>
    <mergeCell ref="B116:L116"/>
    <mergeCell ref="B103:L103"/>
    <mergeCell ref="C162:F162"/>
    <mergeCell ref="B174:L174"/>
    <mergeCell ref="A234:B234"/>
    <mergeCell ref="B168:L168"/>
    <mergeCell ref="C221:L221"/>
    <mergeCell ref="A115:B115"/>
    <mergeCell ref="C223:L223"/>
    <mergeCell ref="I24:L24"/>
    <mergeCell ref="B169:L169"/>
    <mergeCell ref="A229:B229"/>
    <mergeCell ref="A237:L237"/>
    <mergeCell ref="A187:L187"/>
    <mergeCell ref="H200:I200"/>
    <mergeCell ref="J200:K200"/>
    <mergeCell ref="A91:D91"/>
    <mergeCell ref="G155:H155"/>
    <mergeCell ref="A18:C18"/>
    <mergeCell ref="B121:L121"/>
    <mergeCell ref="A189:L189"/>
    <mergeCell ref="H202:I202"/>
    <mergeCell ref="J202:K202"/>
    <mergeCell ref="A93:D93"/>
    <mergeCell ref="C155:F155"/>
    <mergeCell ref="G157:H157"/>
    <mergeCell ref="D52:E52"/>
    <mergeCell ref="A47:C47"/>
    <mergeCell ref="H73:I73"/>
    <mergeCell ref="A22:C22"/>
    <mergeCell ref="C157:F157"/>
    <mergeCell ref="J47:L47"/>
    <mergeCell ref="A120:B120"/>
    <mergeCell ref="J197:K197"/>
    <mergeCell ref="A134:L134"/>
    <mergeCell ref="A113:B113"/>
    <mergeCell ref="F233:L233"/>
    <mergeCell ref="A5:B5"/>
    <mergeCell ref="A219:B219"/>
    <mergeCell ref="F235:L235"/>
    <mergeCell ref="C148:L148"/>
    <mergeCell ref="I161:L161"/>
    <mergeCell ref="B213:L213"/>
    <mergeCell ref="A177:L177"/>
    <mergeCell ref="A164:L164"/>
    <mergeCell ref="A16:B16"/>
    <mergeCell ref="A195:L195"/>
    <mergeCell ref="A17:C17"/>
    <mergeCell ref="A188:L188"/>
    <mergeCell ref="A53:C53"/>
    <mergeCell ref="A118:B118"/>
    <mergeCell ref="F234:L234"/>
    <mergeCell ref="A109:L109"/>
    <mergeCell ref="A180:L180"/>
    <mergeCell ref="A240:L240"/>
    <mergeCell ref="J51:L51"/>
    <mergeCell ref="A68:L68"/>
    <mergeCell ref="A190:L190"/>
    <mergeCell ref="F236:L236"/>
    <mergeCell ref="H47:I47"/>
    <mergeCell ref="A48:C48"/>
    <mergeCell ref="C226:I226"/>
    <mergeCell ref="C15:K15"/>
    <mergeCell ref="A142:C142"/>
    <mergeCell ref="J77:L77"/>
    <mergeCell ref="F196:G196"/>
    <mergeCell ref="A208:L208"/>
    <mergeCell ref="A162:B162"/>
    <mergeCell ref="A145:L145"/>
    <mergeCell ref="A185:L185"/>
    <mergeCell ref="A203:L203"/>
    <mergeCell ref="D48:E48"/>
    <mergeCell ref="D17:K17"/>
    <mergeCell ref="C113:L113"/>
    <mergeCell ref="J48:L48"/>
    <mergeCell ref="C118:L118"/>
    <mergeCell ref="C5:K5"/>
    <mergeCell ref="B64:L64"/>
    <mergeCell ref="D51:E51"/>
    <mergeCell ref="H71:I71"/>
    <mergeCell ref="A117:B117"/>
    <mergeCell ref="A111:B111"/>
    <mergeCell ref="I155:L155"/>
    <mergeCell ref="A69:C69"/>
    <mergeCell ref="D71:G71"/>
    <mergeCell ref="A183:L183"/>
    <mergeCell ref="C228:I228"/>
    <mergeCell ref="I157:L157"/>
    <mergeCell ref="D73:G73"/>
    <mergeCell ref="A137:B137"/>
    <mergeCell ref="F198:G198"/>
    <mergeCell ref="A209:L209"/>
    <mergeCell ref="A139:B139"/>
    <mergeCell ref="A13:C13"/>
    <mergeCell ref="D142:L142"/>
    <mergeCell ref="D7:K7"/>
    <mergeCell ref="A88:D88"/>
    <mergeCell ref="A67:L67"/>
    <mergeCell ref="D144:L144"/>
    <mergeCell ref="A90:D90"/>
    <mergeCell ref="G154:H154"/>
    <mergeCell ref="A51:C51"/>
    <mergeCell ref="A186:L186"/>
    <mergeCell ref="A82:C82"/>
    <mergeCell ref="C117:L117"/>
    <mergeCell ref="D8:K8"/>
    <mergeCell ref="D81:L81"/>
    <mergeCell ref="B95:L95"/>
    <mergeCell ref="J69:L69"/>
    <mergeCell ref="A146:L146"/>
    <mergeCell ref="C115:L115"/>
    <mergeCell ref="B97:L97"/>
    <mergeCell ref="B153:L153"/>
    <mergeCell ref="J225:L225"/>
    <mergeCell ref="C150:L150"/>
    <mergeCell ref="A119:B119"/>
    <mergeCell ref="A158:L158"/>
    <mergeCell ref="A197:E197"/>
    <mergeCell ref="J227:L227"/>
    <mergeCell ref="D79:G79"/>
    <mergeCell ref="D28:L28"/>
    <mergeCell ref="A141:C141"/>
    <mergeCell ref="D13:K13"/>
    <mergeCell ref="A135:L135"/>
    <mergeCell ref="A206:L206"/>
    <mergeCell ref="F50:G50"/>
    <mergeCell ref="A122:L122"/>
    <mergeCell ref="A28:C28"/>
    <mergeCell ref="G25:L25"/>
    <mergeCell ref="A72:L72"/>
    <mergeCell ref="A199:L199"/>
    <mergeCell ref="C136:E136"/>
    <mergeCell ref="B108:L108"/>
    <mergeCell ref="A59:L59"/>
    <mergeCell ref="F49:G49"/>
    <mergeCell ref="A61:L61"/>
    <mergeCell ref="A54:C54"/>
    <mergeCell ref="A148:B148"/>
    <mergeCell ref="C119:L119"/>
    <mergeCell ref="A217:L217"/>
    <mergeCell ref="D10:K10"/>
    <mergeCell ref="A27:C27"/>
    <mergeCell ref="A56:L56"/>
    <mergeCell ref="E92:L92"/>
    <mergeCell ref="A6:B6"/>
    <mergeCell ref="B96:L96"/>
    <mergeCell ref="B167:L167"/>
    <mergeCell ref="D69:G69"/>
    <mergeCell ref="B98:L98"/>
    <mergeCell ref="D82:L82"/>
    <mergeCell ref="B175:L175"/>
    <mergeCell ref="A230:L230"/>
    <mergeCell ref="A160:B160"/>
    <mergeCell ref="E89:L89"/>
    <mergeCell ref="A143:C143"/>
    <mergeCell ref="J228:L228"/>
    <mergeCell ref="A159:B159"/>
    <mergeCell ref="F52:G52"/>
    <mergeCell ref="A224:B224"/>
    <mergeCell ref="A11:C11"/>
    <mergeCell ref="A207:L207"/>
    <mergeCell ref="A182:L182"/>
    <mergeCell ref="A161:B161"/>
    <mergeCell ref="F197:G197"/>
    <mergeCell ref="F53:G53"/>
    <mergeCell ref="H197:I197"/>
    <mergeCell ref="H53:I53"/>
    <mergeCell ref="D141:L141"/>
    <mergeCell ref="G160:H160"/>
    <mergeCell ref="A179:L179"/>
    <mergeCell ref="H52:I52"/>
    <mergeCell ref="A154:B154"/>
    <mergeCell ref="H79:I79"/>
    <mergeCell ref="C225:I225"/>
    <mergeCell ref="I154:L154"/>
    <mergeCell ref="D77:G77"/>
    <mergeCell ref="D26:L26"/>
    <mergeCell ref="C227:I227"/>
    <mergeCell ref="G163:H163"/>
    <mergeCell ref="I156:L156"/>
    <mergeCell ref="F138:L138"/>
    <mergeCell ref="B211:L211"/>
    <mergeCell ref="J201:K201"/>
    <mergeCell ref="B104:L104"/>
    <mergeCell ref="C163:F163"/>
    <mergeCell ref="A9:B9"/>
    <mergeCell ref="B212:L212"/>
    <mergeCell ref="B106:L106"/>
    <mergeCell ref="A232:B232"/>
    <mergeCell ref="A75:C75"/>
    <mergeCell ref="C159:L159"/>
    <mergeCell ref="C219:L219"/>
    <mergeCell ref="C224:L224"/>
    <mergeCell ref="J79:L79"/>
    <mergeCell ref="A225:B225"/>
    <mergeCell ref="H50:I50"/>
    <mergeCell ref="A12:C12"/>
    <mergeCell ref="A227:B227"/>
    <mergeCell ref="A14:C14"/>
    <mergeCell ref="D25:F25"/>
    <mergeCell ref="A81:C81"/>
    <mergeCell ref="H69:I69"/>
    <mergeCell ref="G24:H24"/>
    <mergeCell ref="J196:K196"/>
    <mergeCell ref="A123:F132"/>
    <mergeCell ref="H198:I198"/>
    <mergeCell ref="I162:L162"/>
    <mergeCell ref="A155:B155"/>
    <mergeCell ref="A7:C7"/>
    <mergeCell ref="A25:C25"/>
    <mergeCell ref="A157:B157"/>
    <mergeCell ref="D27:L27"/>
    <mergeCell ref="A222:B222"/>
    <mergeCell ref="C236:E236"/>
    <mergeCell ref="B105:L105"/>
    <mergeCell ref="B214:L214"/>
    <mergeCell ref="J54:L54"/>
    <mergeCell ref="G123:L132"/>
    <mergeCell ref="D49:E49"/>
    <mergeCell ref="A201:G201"/>
    <mergeCell ref="B107:L107"/>
    <mergeCell ref="A233:B233"/>
    <mergeCell ref="C160:F160"/>
    <mergeCell ref="A20:L20"/>
    <mergeCell ref="A235:B235"/>
    <mergeCell ref="A176:L176"/>
    <mergeCell ref="F232:L232"/>
    <mergeCell ref="H77:I77"/>
    <mergeCell ref="A191:L191"/>
    <mergeCell ref="C234:E234"/>
    <mergeCell ref="A178:L178"/>
    <mergeCell ref="D54:E54"/>
    <mergeCell ref="C222:L222"/>
    <mergeCell ref="C16:K16"/>
    <mergeCell ref="J49:L49"/>
    <mergeCell ref="B62:L62"/>
    <mergeCell ref="C9:K9"/>
    <mergeCell ref="A138:B138"/>
    <mergeCell ref="C154:F154"/>
    <mergeCell ref="G156:H156"/>
    <mergeCell ref="C111:L111"/>
    <mergeCell ref="A33:L44"/>
    <mergeCell ref="A204:L204"/>
    <mergeCell ref="A221:B221"/>
    <mergeCell ref="A8:C8"/>
    <mergeCell ref="C156:F156"/>
    <mergeCell ref="A223:B223"/>
    <mergeCell ref="A231:L231"/>
    <mergeCell ref="A10:C10"/>
    <mergeCell ref="I163:L163"/>
    <mergeCell ref="C152:L152"/>
    <mergeCell ref="C6:K6"/>
    <mergeCell ref="A30:L30"/>
    <mergeCell ref="B65:L65"/>
    <mergeCell ref="A112:B112"/>
    <mergeCell ref="D50:E50"/>
    <mergeCell ref="B110:L110"/>
    <mergeCell ref="A114:B114"/>
  </mergeCells>
  <conditionalFormatting sqref="D48:D54">
    <cfRule type="expression" priority="1" dxfId="0">
      <formula>AND(ISNUMBER(D48),MOD(D48,1)=0)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0" manualBreakCount="10">
    <brk id="18" min="0" max="16383" man="1"/>
    <brk id="44" min="0" max="16383" man="1"/>
    <brk id="65" min="0" max="16383" man="1"/>
    <brk id="84" min="0" max="16383" man="1"/>
    <brk id="115" min="0" max="16383" man="1"/>
    <brk id="144" min="0" max="16383" man="1"/>
    <brk id="175" min="0" max="16383" man="1"/>
    <brk id="190" min="0" max="16383" man="1"/>
    <brk id="213" min="0" max="16383" man="1"/>
    <brk id="2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>
      <c r="A2" s="47" t="inlineStr">
        <is>
          <t>환 경 관 리  점 검 표</t>
        </is>
      </c>
      <c r="I2" s="25" t="inlineStr">
        <is>
          <t>작  성</t>
        </is>
      </c>
      <c r="J2" s="15" t="n"/>
      <c r="K2" s="25" t="inlineStr">
        <is>
          <t>승  인</t>
        </is>
      </c>
      <c r="L2" s="15" t="n"/>
    </row>
    <row r="3" ht="30" customHeight="1">
      <c r="A3" s="6" t="inlineStr"/>
      <c r="I3" s="48" t="inlineStr"/>
      <c r="J3" s="15" t="n"/>
      <c r="K3" s="48" t="inlineStr"/>
      <c r="L3" s="15" t="n"/>
    </row>
    <row r="4" ht="26" customHeight="1">
      <c r="A4" s="14" t="inlineStr">
        <is>
          <t>작성부서</t>
        </is>
      </c>
      <c r="B4" s="15" t="n"/>
      <c r="C4" s="36" t="n"/>
      <c r="D4" s="15" t="n"/>
      <c r="E4" s="14" t="inlineStr">
        <is>
          <t>점검일</t>
        </is>
      </c>
      <c r="F4" s="49" t="inlineStr">
        <is>
          <t>20    년    월    일</t>
        </is>
      </c>
      <c r="G4" s="15" t="n"/>
      <c r="H4" s="15" t="n"/>
      <c r="I4" s="14" t="inlineStr">
        <is>
          <t>작 성 자</t>
        </is>
      </c>
      <c r="J4" s="15" t="n"/>
      <c r="K4" s="36" t="n"/>
      <c r="L4" s="15" t="n"/>
    </row>
    <row r="5" ht="22" customHeight="1">
      <c r="A5" s="25" t="inlineStr">
        <is>
          <t>구분</t>
        </is>
      </c>
      <c r="B5" s="25" t="inlineStr">
        <is>
          <t>항  목</t>
        </is>
      </c>
      <c r="C5" s="15" t="n"/>
      <c r="D5" s="25" t="inlineStr">
        <is>
          <t>점  검  사  항</t>
        </is>
      </c>
      <c r="E5" s="15" t="n"/>
      <c r="F5" s="15" t="n"/>
      <c r="G5" s="15" t="n"/>
      <c r="H5" s="15" t="n"/>
      <c r="I5" s="25" t="inlineStr">
        <is>
          <t>실  시  사  항</t>
        </is>
      </c>
      <c r="J5" s="15" t="n"/>
      <c r="K5" s="15" t="n"/>
      <c r="L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25" t="inlineStr">
        <is>
          <t>결과</t>
        </is>
      </c>
      <c r="J6" s="25" t="inlineStr">
        <is>
          <t>부적합 장소 / 사항</t>
        </is>
      </c>
      <c r="K6" s="15" t="n"/>
      <c r="L6" s="25" t="inlineStr">
        <is>
          <t>대  책</t>
        </is>
      </c>
    </row>
    <row r="7" ht="26" customHeight="1">
      <c r="A7" s="50" t="inlineStr">
        <is>
          <t>환
경</t>
        </is>
      </c>
      <c r="B7" s="24" t="inlineStr">
        <is>
          <t>시설물</t>
        </is>
      </c>
      <c r="C7" s="15" t="n"/>
      <c r="D7" s="42" t="inlineStr">
        <is>
          <t>1. 사업장의 시설물은 적합하게 관리되고 있는가?</t>
        </is>
      </c>
      <c r="E7" s="15" t="n"/>
      <c r="F7" s="15" t="n"/>
      <c r="G7" s="15" t="n"/>
      <c r="H7" s="15" t="n"/>
      <c r="I7" s="36" t="n"/>
      <c r="J7" s="51" t="n"/>
      <c r="K7" s="15" t="n"/>
      <c r="L7" s="52" t="n"/>
    </row>
    <row r="8" ht="26" customHeight="1">
      <c r="A8" s="15" t="n"/>
      <c r="B8" s="24" t="inlineStr">
        <is>
          <t>소음 · 악취</t>
        </is>
      </c>
      <c r="C8" s="15" t="n"/>
      <c r="D8" s="42" t="inlineStr">
        <is>
          <t>1. 소음은 기준치에 적합하게 관리 · 측정되고 있는가?</t>
        </is>
      </c>
      <c r="E8" s="15" t="n"/>
      <c r="F8" s="15" t="n"/>
      <c r="G8" s="15" t="n"/>
      <c r="H8" s="15" t="n"/>
      <c r="I8" s="36" t="n"/>
      <c r="J8" s="51" t="n"/>
      <c r="K8" s="15" t="n"/>
      <c r="L8" s="52" t="n"/>
    </row>
    <row r="9" ht="26" customHeight="1">
      <c r="A9" s="15" t="n"/>
      <c r="B9" s="15" t="n"/>
      <c r="C9" s="15" t="n"/>
      <c r="D9" s="42" t="inlineStr">
        <is>
          <t>2. 소음으로 인한 작업자의 애로 및 민원은 없는가?</t>
        </is>
      </c>
      <c r="E9" s="15" t="n"/>
      <c r="F9" s="15" t="n"/>
      <c r="G9" s="15" t="n"/>
      <c r="H9" s="15" t="n"/>
      <c r="I9" s="36" t="n"/>
      <c r="J9" s="51" t="n"/>
      <c r="K9" s="15" t="n"/>
      <c r="L9" s="52" t="n"/>
    </row>
    <row r="10" ht="26" customHeight="1">
      <c r="A10" s="15" t="n"/>
      <c r="B10" s="15" t="n"/>
      <c r="C10" s="15" t="n"/>
      <c r="D10" s="42" t="inlineStr">
        <is>
          <t>3. 악취의 원인 제공 개소는 없는가?</t>
        </is>
      </c>
      <c r="E10" s="15" t="n"/>
      <c r="F10" s="15" t="n"/>
      <c r="G10" s="15" t="n"/>
      <c r="H10" s="15" t="n"/>
      <c r="I10" s="36" t="n"/>
      <c r="J10" s="51" t="n"/>
      <c r="K10" s="15" t="n"/>
      <c r="L10" s="52" t="n"/>
    </row>
    <row r="11" ht="26" customHeight="1">
      <c r="A11" s="15" t="n"/>
      <c r="B11" s="24" t="inlineStr">
        <is>
          <t>폐기물</t>
        </is>
      </c>
      <c r="C11" s="15" t="n"/>
      <c r="D11" s="42" t="inlineStr">
        <is>
          <t>1. 폐기물은 지정장소에 분리수거되고 있는가?</t>
        </is>
      </c>
      <c r="E11" s="15" t="n"/>
      <c r="F11" s="15" t="n"/>
      <c r="G11" s="15" t="n"/>
      <c r="H11" s="15" t="n"/>
      <c r="I11" s="36" t="n"/>
      <c r="J11" s="51" t="n"/>
      <c r="K11" s="15" t="n"/>
      <c r="L11" s="52" t="n"/>
    </row>
    <row r="12" ht="26" customHeight="1">
      <c r="A12" s="15" t="n"/>
      <c r="B12" s="15" t="n"/>
      <c r="C12" s="15" t="n"/>
      <c r="D12" s="42" t="inlineStr">
        <is>
          <t>2. 폐기물은 적합하게 처리되고 기록관리되고 있는가?</t>
        </is>
      </c>
      <c r="E12" s="15" t="n"/>
      <c r="F12" s="15" t="n"/>
      <c r="G12" s="15" t="n"/>
      <c r="H12" s="15" t="n"/>
      <c r="I12" s="36" t="n"/>
      <c r="J12" s="51" t="n"/>
      <c r="K12" s="15" t="n"/>
      <c r="L12" s="52" t="n"/>
    </row>
    <row r="13" ht="26" customHeight="1">
      <c r="A13" s="15" t="n"/>
      <c r="B13" s="24" t="inlineStr">
        <is>
          <t>수 질</t>
        </is>
      </c>
      <c r="C13" s="15" t="n"/>
      <c r="D13" s="42" t="inlineStr">
        <is>
          <t>1. 오수 · 분뇨처리시설은 적합하게 작동 · 관리되고 있는가?</t>
        </is>
      </c>
      <c r="E13" s="15" t="n"/>
      <c r="F13" s="15" t="n"/>
      <c r="G13" s="15" t="n"/>
      <c r="H13" s="15" t="n"/>
      <c r="I13" s="36" t="n"/>
      <c r="J13" s="51" t="n"/>
      <c r="K13" s="15" t="n"/>
      <c r="L13" s="52" t="n"/>
    </row>
    <row r="14" ht="26" customHeight="1">
      <c r="A14" s="15" t="n"/>
      <c r="B14" s="15" t="n"/>
      <c r="C14" s="15" t="n"/>
      <c r="D14" s="42" t="inlineStr">
        <is>
          <t>2. 오수 · 분뇨처리시설은 정기적으로 청소 · 수거되고 있는가?</t>
        </is>
      </c>
      <c r="E14" s="15" t="n"/>
      <c r="F14" s="15" t="n"/>
      <c r="G14" s="15" t="n"/>
      <c r="H14" s="15" t="n"/>
      <c r="I14" s="36" t="n"/>
      <c r="J14" s="51" t="n"/>
      <c r="K14" s="15" t="n"/>
      <c r="L14" s="52" t="n"/>
    </row>
    <row r="15" ht="26" customHeight="1">
      <c r="A15" s="15" t="n"/>
      <c r="B15" s="15" t="n"/>
      <c r="C15" s="15" t="n"/>
      <c r="D15" s="42" t="inlineStr">
        <is>
          <t>3. 생활하수가 무단 방류되는 곳은 없는가?</t>
        </is>
      </c>
      <c r="E15" s="15" t="n"/>
      <c r="F15" s="15" t="n"/>
      <c r="G15" s="15" t="n"/>
      <c r="H15" s="15" t="n"/>
      <c r="I15" s="36" t="n"/>
      <c r="J15" s="51" t="n"/>
      <c r="K15" s="15" t="n"/>
      <c r="L15" s="52" t="n"/>
    </row>
    <row r="16" ht="26" customHeight="1">
      <c r="A16" s="15" t="n"/>
      <c r="B16" s="24" t="inlineStr">
        <is>
          <t>난방 · 냉방</t>
        </is>
      </c>
      <c r="C16" s="15" t="n"/>
      <c r="D16" s="42" t="inlineStr">
        <is>
          <t>1. 난방기기의 가동상태 및 관리상태는 양호한가?</t>
        </is>
      </c>
      <c r="E16" s="15" t="n"/>
      <c r="F16" s="15" t="n"/>
      <c r="G16" s="15" t="n"/>
      <c r="H16" s="15" t="n"/>
      <c r="I16" s="36" t="n"/>
      <c r="J16" s="51" t="n"/>
      <c r="K16" s="15" t="n"/>
      <c r="L16" s="52" t="n"/>
    </row>
    <row r="17" ht="26" customHeight="1">
      <c r="A17" s="15" t="n"/>
      <c r="B17" s="15" t="n"/>
      <c r="C17" s="15" t="n"/>
      <c r="D17" s="42" t="inlineStr">
        <is>
          <t>2. 에너지 절약을 위한 요소는 파악되고 관리되는가?</t>
        </is>
      </c>
      <c r="E17" s="15" t="n"/>
      <c r="F17" s="15" t="n"/>
      <c r="G17" s="15" t="n"/>
      <c r="H17" s="15" t="n"/>
      <c r="I17" s="36" t="n"/>
      <c r="J17" s="51" t="n"/>
      <c r="K17" s="15" t="n"/>
      <c r="L17" s="52" t="n"/>
    </row>
    <row r="18" ht="26" customHeight="1">
      <c r="A18" s="15" t="n"/>
      <c r="B18" s="24" t="inlineStr">
        <is>
          <t>조 명</t>
        </is>
      </c>
      <c r="C18" s="15" t="n"/>
      <c r="D18" s="42" t="inlineStr">
        <is>
          <t>1. 작업조명등의 조도 및 관리상태는 양호한가?</t>
        </is>
      </c>
      <c r="E18" s="15" t="n"/>
      <c r="F18" s="15" t="n"/>
      <c r="G18" s="15" t="n"/>
      <c r="H18" s="15" t="n"/>
      <c r="I18" s="36" t="n"/>
      <c r="J18" s="51" t="n"/>
      <c r="K18" s="15" t="n"/>
      <c r="L18" s="52" t="n"/>
    </row>
    <row r="19" ht="26" customHeight="1">
      <c r="A19" s="15" t="n"/>
      <c r="B19" s="15" t="n"/>
      <c r="C19" s="15" t="n"/>
      <c r="D19" s="42" t="inlineStr">
        <is>
          <t>2. 에너지 절약을 위한 절전요소는 파악되고 실천하는가?</t>
        </is>
      </c>
      <c r="E19" s="15" t="n"/>
      <c r="F19" s="15" t="n"/>
      <c r="G19" s="15" t="n"/>
      <c r="H19" s="15" t="n"/>
      <c r="I19" s="36" t="n"/>
      <c r="J19" s="51" t="n"/>
      <c r="K19" s="15" t="n"/>
      <c r="L19" s="52" t="n"/>
    </row>
    <row r="20" ht="26" customHeight="1">
      <c r="A20" s="15" t="n"/>
      <c r="B20" s="24" t="inlineStr">
        <is>
          <t>기 타</t>
        </is>
      </c>
      <c r="C20" s="15" t="n"/>
      <c r="D20" s="42" t="inlineStr">
        <is>
          <t>1. 유해지역은 경고표식이 부착되어 있는가?</t>
        </is>
      </c>
      <c r="E20" s="15" t="n"/>
      <c r="F20" s="15" t="n"/>
      <c r="G20" s="15" t="n"/>
      <c r="H20" s="15" t="n"/>
      <c r="I20" s="36" t="n"/>
      <c r="J20" s="51" t="n"/>
      <c r="K20" s="15" t="n"/>
      <c r="L20" s="52" t="n"/>
    </row>
    <row r="21" ht="26" customHeight="1">
      <c r="A21" s="15" t="n"/>
      <c r="B21" s="15" t="n"/>
      <c r="C21" s="15" t="n"/>
      <c r="D21" s="42" t="inlineStr">
        <is>
          <t>2. MSDS 관련 내용 숙지 및 교육상태는?</t>
        </is>
      </c>
      <c r="E21" s="15" t="n"/>
      <c r="F21" s="15" t="n"/>
      <c r="G21" s="15" t="n"/>
      <c r="H21" s="15" t="n"/>
      <c r="I21" s="36" t="n"/>
      <c r="J21" s="51" t="n"/>
      <c r="K21" s="15" t="n"/>
      <c r="L21" s="52" t="n"/>
    </row>
    <row r="22" ht="26" customHeight="1">
      <c r="A22" s="15" t="n"/>
      <c r="B22" s="15" t="n"/>
      <c r="C22" s="15" t="n"/>
      <c r="D22" s="42" t="inlineStr">
        <is>
          <t>3. 유기용제의 노출장소 관리상태는 양호한가?</t>
        </is>
      </c>
      <c r="E22" s="15" t="n"/>
      <c r="F22" s="15" t="n"/>
      <c r="G22" s="15" t="n"/>
      <c r="H22" s="15" t="n"/>
      <c r="I22" s="36" t="n"/>
      <c r="J22" s="51" t="n"/>
      <c r="K22" s="15" t="n"/>
      <c r="L22" s="52" t="n"/>
    </row>
    <row r="23" ht="26" customHeight="1">
      <c r="A23" s="15" t="n"/>
      <c r="B23" s="15" t="n"/>
      <c r="C23" s="15" t="n"/>
      <c r="D23" s="42" t="inlineStr">
        <is>
          <t>4. 환경 관련 시설의 관리상태는 이상이 없는가?</t>
        </is>
      </c>
      <c r="E23" s="15" t="n"/>
      <c r="F23" s="15" t="n"/>
      <c r="G23" s="15" t="n"/>
      <c r="H23" s="15" t="n"/>
      <c r="I23" s="36" t="n"/>
      <c r="J23" s="51" t="n"/>
      <c r="K23" s="15" t="n"/>
      <c r="L23" s="52" t="n"/>
    </row>
    <row r="24" ht="26" customHeight="1">
      <c r="A24" s="50" t="inlineStr">
        <is>
          <t>소
방</t>
        </is>
      </c>
      <c r="B24" s="24" t="inlineStr">
        <is>
          <t>소 방</t>
        </is>
      </c>
      <c r="C24" s="15" t="n"/>
      <c r="D24" s="42" t="inlineStr">
        <is>
          <t>1. 소화기는 지정된 위치에 있는가?</t>
        </is>
      </c>
      <c r="E24" s="15" t="n"/>
      <c r="F24" s="15" t="n"/>
      <c r="G24" s="15" t="n"/>
      <c r="H24" s="15" t="n"/>
      <c r="I24" s="36" t="n"/>
      <c r="J24" s="51" t="n"/>
      <c r="K24" s="15" t="n"/>
      <c r="L24" s="52" t="n"/>
    </row>
    <row r="25" ht="26" customHeight="1">
      <c r="A25" s="15" t="n"/>
      <c r="B25" s="15" t="n"/>
      <c r="C25" s="15" t="n"/>
      <c r="D25" s="42" t="inlineStr">
        <is>
          <t>2. 누전의 위험장소는 없는가?</t>
        </is>
      </c>
      <c r="E25" s="15" t="n"/>
      <c r="F25" s="15" t="n"/>
      <c r="G25" s="15" t="n"/>
      <c r="H25" s="15" t="n"/>
      <c r="I25" s="36" t="n"/>
      <c r="J25" s="51" t="n"/>
      <c r="K25" s="15" t="n"/>
      <c r="L25" s="52" t="n"/>
    </row>
    <row r="26" ht="26" customHeight="1">
      <c r="A26" s="15" t="n"/>
      <c r="B26" s="15" t="n"/>
      <c r="C26" s="15" t="n"/>
      <c r="D26" s="42" t="inlineStr">
        <is>
          <t>3. 가연성 물질 사용장소의 관리상태는 양호한가?</t>
        </is>
      </c>
      <c r="E26" s="15" t="n"/>
      <c r="F26" s="15" t="n"/>
      <c r="G26" s="15" t="n"/>
      <c r="H26" s="15" t="n"/>
      <c r="I26" s="36" t="n"/>
      <c r="J26" s="51" t="n"/>
      <c r="K26" s="15" t="n"/>
      <c r="L26" s="52" t="n"/>
    </row>
    <row r="27" ht="26" customHeight="1">
      <c r="A27" s="29" t="inlineStr">
        <is>
          <t>점 검 결 과</t>
        </is>
      </c>
      <c r="B27" s="15" t="n"/>
      <c r="C27" s="15" t="n"/>
      <c r="D27" s="53">
        <f>IF(COUNTA(I7:I26)=0,"","양호(○) "&amp;COUNTIF(I7:I26,"○")&amp;"항목 · 부적합 "&amp;COUNT(I7:I26)&amp;"항목 "&amp;SUM(I7:I26)&amp;"건 · 빈칸 "&amp;(20-COUNTA(I7:I26))&amp;"항목")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4" customHeight="1">
      <c r="A28" s="14" t="inlineStr">
        <is>
          <t>특기사항</t>
        </is>
      </c>
      <c r="B28" s="15" t="n"/>
      <c r="C28" s="42" t="inlineStr">
        <is>
          <t>* 점검 결과가 양호하면 결과란에 «○» 를 적고, 부적합 사항이 있으면 «건수(숫자)» 로 적습니다.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30" ht="19.5" customHeight="1">
      <c r="A30" s="9" t="inlineStr">
        <is>
          <t>결과 칸 : 양호는 ○, 부적합은 건수(1, 2 …)를 숫자로. 아래 «점검 결과» 가 저절로 셉니다.</t>
        </is>
      </c>
    </row>
  </sheetData>
  <mergeCells count="73">
    <mergeCell ref="D20:H20"/>
    <mergeCell ref="B7:C7"/>
    <mergeCell ref="D27:L27"/>
    <mergeCell ref="D10:H10"/>
    <mergeCell ref="I2:J2"/>
    <mergeCell ref="J14:K14"/>
    <mergeCell ref="K3:L3"/>
    <mergeCell ref="J10:K10"/>
    <mergeCell ref="D19:H19"/>
    <mergeCell ref="J19:K19"/>
    <mergeCell ref="A27:C27"/>
    <mergeCell ref="J13:K13"/>
    <mergeCell ref="D22:H22"/>
    <mergeCell ref="C28:L28"/>
    <mergeCell ref="C4:D4"/>
    <mergeCell ref="J9:K9"/>
    <mergeCell ref="D21:H21"/>
    <mergeCell ref="J17:K17"/>
    <mergeCell ref="B8:C10"/>
    <mergeCell ref="D26:H26"/>
    <mergeCell ref="J6:K6"/>
    <mergeCell ref="J24:K24"/>
    <mergeCell ref="J15:K15"/>
    <mergeCell ref="B5:C6"/>
    <mergeCell ref="D11:H11"/>
    <mergeCell ref="D13:H13"/>
    <mergeCell ref="A7:A23"/>
    <mergeCell ref="D5:H6"/>
    <mergeCell ref="A24:A26"/>
    <mergeCell ref="D17:H17"/>
    <mergeCell ref="I3:J3"/>
    <mergeCell ref="A5:A6"/>
    <mergeCell ref="G1:L1"/>
    <mergeCell ref="B13:C15"/>
    <mergeCell ref="A3:H3"/>
    <mergeCell ref="D7:H7"/>
    <mergeCell ref="J11:K11"/>
    <mergeCell ref="B20:C23"/>
    <mergeCell ref="B16:C17"/>
    <mergeCell ref="D16:H16"/>
    <mergeCell ref="J20:K20"/>
    <mergeCell ref="K2:L2"/>
    <mergeCell ref="A2:H2"/>
    <mergeCell ref="J16:K16"/>
    <mergeCell ref="J7:K7"/>
    <mergeCell ref="J25:K25"/>
    <mergeCell ref="J26:K26"/>
    <mergeCell ref="F4:H4"/>
    <mergeCell ref="J22:K22"/>
    <mergeCell ref="B18:C19"/>
    <mergeCell ref="D18:H18"/>
    <mergeCell ref="D9:H9"/>
    <mergeCell ref="A4:B4"/>
    <mergeCell ref="A30:L30"/>
    <mergeCell ref="D12:H12"/>
    <mergeCell ref="J21:K21"/>
    <mergeCell ref="I4:J4"/>
    <mergeCell ref="D8:H8"/>
    <mergeCell ref="J12:K12"/>
    <mergeCell ref="D15:H15"/>
    <mergeCell ref="B24:C26"/>
    <mergeCell ref="D25:H25"/>
    <mergeCell ref="D24:H24"/>
    <mergeCell ref="B11:C12"/>
    <mergeCell ref="A1:F1"/>
    <mergeCell ref="A28:B28"/>
    <mergeCell ref="J18:K18"/>
    <mergeCell ref="D23:H23"/>
    <mergeCell ref="D14:H14"/>
    <mergeCell ref="J23:K23"/>
    <mergeCell ref="K4:L4"/>
    <mergeCell ref="J8:K8"/>
    <mergeCell ref="I5:L5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4. 환경보전비 집행계획</t>
        </is>
      </c>
    </row>
    <row r="4" ht="3" customHeight="1"/>
    <row r="5" ht="21" customHeight="1">
      <c r="A5" s="23" t="inlineStr">
        <is>
          <t>가. 예산</t>
        </is>
      </c>
    </row>
    <row r="6" ht="26" customHeight="1">
      <c r="A6" s="32" t="inlineStr">
        <is>
          <t>① 도급내역서상 계상된 환경보전비 :</t>
        </is>
      </c>
      <c r="G6" s="54" t="n"/>
      <c r="H6" s="15" t="n"/>
      <c r="I6" s="15" t="n"/>
      <c r="J6" s="15" t="n"/>
      <c r="K6" s="6" t="inlineStr"/>
    </row>
    <row r="7" ht="3" customHeight="1"/>
    <row r="8" ht="21" customHeight="1">
      <c r="A8" s="23" t="inlineStr">
        <is>
          <t>나. 총괄 사용계획</t>
        </is>
      </c>
    </row>
    <row r="9" ht="24" customHeight="1">
      <c r="A9" s="25" t="inlineStr">
        <is>
          <t>사   용   계   획   금   액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4" customHeight="1">
      <c r="A10" s="25" t="inlineStr">
        <is>
          <t>항    목</t>
        </is>
      </c>
      <c r="B10" s="15" t="n"/>
      <c r="C10" s="15" t="n"/>
      <c r="D10" s="15" t="n"/>
      <c r="E10" s="15" t="n"/>
      <c r="F10" s="15" t="n"/>
      <c r="G10" s="25" t="inlineStr">
        <is>
          <t>금  액 (원)</t>
        </is>
      </c>
      <c r="H10" s="15" t="n"/>
      <c r="I10" s="15" t="n"/>
      <c r="J10" s="25" t="inlineStr">
        <is>
          <t>비율</t>
        </is>
      </c>
      <c r="K10" s="25" t="inlineStr">
        <is>
          <t>비  고</t>
        </is>
      </c>
      <c r="L10" s="15" t="n"/>
    </row>
    <row r="11" ht="26" customHeight="1">
      <c r="A11" s="39" t="inlineStr">
        <is>
          <t>1. 환경오염 방지시설 설치 및 운영비용</t>
        </is>
      </c>
      <c r="B11" s="15" t="n"/>
      <c r="C11" s="15" t="n"/>
      <c r="D11" s="15" t="n"/>
      <c r="E11" s="15" t="n"/>
      <c r="F11" s="15" t="n"/>
      <c r="G11" s="55">
        <f>IF(SUMIF(A24:A43,1,K24:K43)=0,"",SUMIF(A24:A43,1,K24:K43))</f>
        <v/>
      </c>
      <c r="H11" s="15" t="n"/>
      <c r="I11" s="15" t="n"/>
      <c r="J11" s="56">
        <f>IF(OR(G11="",N(G19)=0),"",G11/G19)</f>
        <v/>
      </c>
      <c r="K11" s="51" t="n"/>
      <c r="L11" s="15" t="n"/>
    </row>
    <row r="12" ht="26" customHeight="1">
      <c r="A12" s="39" t="inlineStr">
        <is>
          <t>2. 폐기물의 처리 및 재활용 비용</t>
        </is>
      </c>
      <c r="B12" s="15" t="n"/>
      <c r="C12" s="15" t="n"/>
      <c r="D12" s="15" t="n"/>
      <c r="E12" s="15" t="n"/>
      <c r="F12" s="15" t="n"/>
      <c r="G12" s="55">
        <f>IF(SUMIF(A24:A43,2,K24:K43)=0,"",SUMIF(A24:A43,2,K24:K43))</f>
        <v/>
      </c>
      <c r="H12" s="15" t="n"/>
      <c r="I12" s="15" t="n"/>
      <c r="J12" s="56">
        <f>IF(OR(G12="",N(G19)=0),"",G12/G19)</f>
        <v/>
      </c>
      <c r="K12" s="51" t="n"/>
      <c r="L12" s="15" t="n"/>
    </row>
    <row r="13" ht="26" customHeight="1">
      <c r="A13" s="39" t="inlineStr">
        <is>
          <t>3. 환경계측 비용</t>
        </is>
      </c>
      <c r="B13" s="15" t="n"/>
      <c r="C13" s="15" t="n"/>
      <c r="D13" s="15" t="n"/>
      <c r="E13" s="15" t="n"/>
      <c r="F13" s="15" t="n"/>
      <c r="G13" s="55">
        <f>IF(SUMIF(A24:A43,3,K24:K43)=0,"",SUMIF(A24:A43,3,K24:K43))</f>
        <v/>
      </c>
      <c r="H13" s="15" t="n"/>
      <c r="I13" s="15" t="n"/>
      <c r="J13" s="56">
        <f>IF(OR(G13="",N(G19)=0),"",G13/G19)</f>
        <v/>
      </c>
      <c r="K13" s="51" t="n"/>
      <c r="L13" s="15" t="n"/>
    </row>
    <row r="14" ht="26" customHeight="1">
      <c r="A14" s="39" t="inlineStr">
        <is>
          <t>4. 환경교육훈련 비용</t>
        </is>
      </c>
      <c r="B14" s="15" t="n"/>
      <c r="C14" s="15" t="n"/>
      <c r="D14" s="15" t="n"/>
      <c r="E14" s="15" t="n"/>
      <c r="F14" s="15" t="n"/>
      <c r="G14" s="55">
        <f>IF(SUMIF(A24:A43,4,K24:K43)=0,"",SUMIF(A24:A43,4,K24:K43))</f>
        <v/>
      </c>
      <c r="H14" s="15" t="n"/>
      <c r="I14" s="15" t="n"/>
      <c r="J14" s="56">
        <f>IF(OR(G14="",N(G19)=0),"",G14/G19)</f>
        <v/>
      </c>
      <c r="K14" s="51" t="n"/>
      <c r="L14" s="15" t="n"/>
    </row>
    <row r="15" ht="26" customHeight="1">
      <c r="A15" s="39" t="inlineStr">
        <is>
          <t>5. 현장 환경정리 비용</t>
        </is>
      </c>
      <c r="B15" s="15" t="n"/>
      <c r="C15" s="15" t="n"/>
      <c r="D15" s="15" t="n"/>
      <c r="E15" s="15" t="n"/>
      <c r="F15" s="15" t="n"/>
      <c r="G15" s="55">
        <f>IF(SUMIF(A24:A43,5,K24:K43)=0,"",SUMIF(A24:A43,5,K24:K43))</f>
        <v/>
      </c>
      <c r="H15" s="15" t="n"/>
      <c r="I15" s="15" t="n"/>
      <c r="J15" s="56">
        <f>IF(OR(G15="",N(G19)=0),"",G15/G19)</f>
        <v/>
      </c>
      <c r="K15" s="51" t="n"/>
      <c r="L15" s="15" t="n"/>
    </row>
    <row r="16" ht="26" customHeight="1">
      <c r="A16" s="39" t="inlineStr">
        <is>
          <t>6. 환경자료 및 홍보물 구입 비용</t>
        </is>
      </c>
      <c r="B16" s="15" t="n"/>
      <c r="C16" s="15" t="n"/>
      <c r="D16" s="15" t="n"/>
      <c r="E16" s="15" t="n"/>
      <c r="F16" s="15" t="n"/>
      <c r="G16" s="55">
        <f>IF(SUMIF(A24:A43,6,K24:K43)=0,"",SUMIF(A24:A43,6,K24:K43))</f>
        <v/>
      </c>
      <c r="H16" s="15" t="n"/>
      <c r="I16" s="15" t="n"/>
      <c r="J16" s="56">
        <f>IF(OR(G16="",N(G19)=0),"",G16/G19)</f>
        <v/>
      </c>
      <c r="K16" s="51" t="n"/>
      <c r="L16" s="15" t="n"/>
    </row>
    <row r="17" ht="26" customHeight="1">
      <c r="A17" s="39" t="inlineStr">
        <is>
          <t>7. 환경기술인 및 환경 관련 인건비용</t>
        </is>
      </c>
      <c r="B17" s="15" t="n"/>
      <c r="C17" s="15" t="n"/>
      <c r="D17" s="15" t="n"/>
      <c r="E17" s="15" t="n"/>
      <c r="F17" s="15" t="n"/>
      <c r="G17" s="55">
        <f>IF(SUMIF(A24:A43,7,K24:K43)=0,"",SUMIF(A24:A43,7,K24:K43))</f>
        <v/>
      </c>
      <c r="H17" s="15" t="n"/>
      <c r="I17" s="15" t="n"/>
      <c r="J17" s="56">
        <f>IF(OR(G17="",N(G19)=0),"",G17/G19)</f>
        <v/>
      </c>
      <c r="K17" s="51" t="n"/>
      <c r="L17" s="15" t="n"/>
    </row>
    <row r="18" ht="26" customHeight="1">
      <c r="A18" s="39" t="inlineStr">
        <is>
          <t>8. 기타</t>
        </is>
      </c>
      <c r="B18" s="15" t="n"/>
      <c r="C18" s="15" t="n"/>
      <c r="D18" s="15" t="n"/>
      <c r="E18" s="15" t="n"/>
      <c r="F18" s="15" t="n"/>
      <c r="G18" s="55">
        <f>IF(SUMIF(A24:A43,8,K24:K43)=0,"",SUMIF(A24:A43,8,K24:K43))</f>
        <v/>
      </c>
      <c r="H18" s="15" t="n"/>
      <c r="I18" s="15" t="n"/>
      <c r="J18" s="56">
        <f>IF(OR(G18="",N(G19)=0),"",G18/G19)</f>
        <v/>
      </c>
      <c r="K18" s="51" t="n"/>
      <c r="L18" s="15" t="n"/>
    </row>
    <row r="19" ht="26" customHeight="1">
      <c r="A19" s="29" t="inlineStr">
        <is>
          <t>합    계</t>
        </is>
      </c>
      <c r="B19" s="15" t="n"/>
      <c r="C19" s="15" t="n"/>
      <c r="D19" s="15" t="n"/>
      <c r="E19" s="15" t="n"/>
      <c r="F19" s="15" t="n"/>
      <c r="G19" s="57">
        <f>IF(SUM(G11:G18)=0,"",SUM(G11:G18))</f>
        <v/>
      </c>
      <c r="H19" s="15" t="n"/>
      <c r="I19" s="15" t="n"/>
      <c r="J19" s="58">
        <f>IF(G19="","",1)</f>
        <v/>
      </c>
      <c r="K19" s="29" t="inlineStr"/>
      <c r="L19" s="15" t="n"/>
    </row>
    <row r="20" ht="16" customHeight="1">
      <c r="A20" s="59">
        <f>IF(OR(N(G6)=0,G19=""),"",IF(G19&gt;G6,"⚠ 사용계획이 계상액보다 "&amp;(G19-G6)&amp;"원 많습니다.","※ 계상액 대비 "&amp;ROUND(G19/G6*100,1)&amp;"% 계획"))</f>
        <v/>
      </c>
    </row>
    <row r="21" ht="3" customHeight="1"/>
    <row r="22" ht="21" customHeight="1">
      <c r="A22" s="23" t="inlineStr">
        <is>
          <t>다. 환경보전비 항목별 사용내역</t>
        </is>
      </c>
    </row>
    <row r="23" ht="28" customHeight="1">
      <c r="A23" s="60" t="inlineStr">
        <is>
          <t>항목
번호</t>
        </is>
      </c>
      <c r="B23" s="25" t="inlineStr">
        <is>
          <t>사  용  내  역</t>
        </is>
      </c>
      <c r="C23" s="15" t="n"/>
      <c r="D23" s="15" t="n"/>
      <c r="E23" s="15" t="n"/>
      <c r="F23" s="15" t="n"/>
      <c r="G23" s="25" t="inlineStr">
        <is>
          <t>단위</t>
        </is>
      </c>
      <c r="H23" s="25" t="inlineStr">
        <is>
          <t>수량</t>
        </is>
      </c>
      <c r="I23" s="25" t="inlineStr">
        <is>
          <t>단  가</t>
        </is>
      </c>
      <c r="J23" s="15" t="n"/>
      <c r="K23" s="25" t="inlineStr">
        <is>
          <t>금  액</t>
        </is>
      </c>
      <c r="L23" s="15" t="n"/>
    </row>
    <row r="24" ht="21" customHeight="1">
      <c r="A24" s="61" t="n"/>
      <c r="B24" s="28" t="n"/>
      <c r="C24" s="15" t="n"/>
      <c r="D24" s="15" t="n"/>
      <c r="E24" s="15" t="n"/>
      <c r="F24" s="15" t="n"/>
      <c r="G24" s="62" t="n"/>
      <c r="H24" s="63" t="n"/>
      <c r="I24" s="64" t="n"/>
      <c r="J24" s="15" t="n"/>
      <c r="K24" s="65">
        <f>IF(OR(N(H24)=0,N(I24)=0),"",ROUND(H24*I24,0))</f>
        <v/>
      </c>
      <c r="L24" s="15" t="n"/>
    </row>
    <row r="25" ht="21" customHeight="1">
      <c r="A25" s="61" t="n"/>
      <c r="B25" s="28" t="n"/>
      <c r="C25" s="15" t="n"/>
      <c r="D25" s="15" t="n"/>
      <c r="E25" s="15" t="n"/>
      <c r="F25" s="15" t="n"/>
      <c r="G25" s="62" t="n"/>
      <c r="H25" s="63" t="n"/>
      <c r="I25" s="64" t="n"/>
      <c r="J25" s="15" t="n"/>
      <c r="K25" s="65">
        <f>IF(OR(N(H25)=0,N(I25)=0),"",ROUND(H25*I25,0))</f>
        <v/>
      </c>
      <c r="L25" s="15" t="n"/>
    </row>
    <row r="26" ht="21" customHeight="1">
      <c r="A26" s="61" t="n"/>
      <c r="B26" s="28" t="n"/>
      <c r="C26" s="15" t="n"/>
      <c r="D26" s="15" t="n"/>
      <c r="E26" s="15" t="n"/>
      <c r="F26" s="15" t="n"/>
      <c r="G26" s="62" t="n"/>
      <c r="H26" s="63" t="n"/>
      <c r="I26" s="64" t="n"/>
      <c r="J26" s="15" t="n"/>
      <c r="K26" s="65">
        <f>IF(OR(N(H26)=0,N(I26)=0),"",ROUND(H26*I26,0))</f>
        <v/>
      </c>
      <c r="L26" s="15" t="n"/>
    </row>
    <row r="27" ht="21" customHeight="1">
      <c r="A27" s="61" t="n"/>
      <c r="B27" s="28" t="n"/>
      <c r="C27" s="15" t="n"/>
      <c r="D27" s="15" t="n"/>
      <c r="E27" s="15" t="n"/>
      <c r="F27" s="15" t="n"/>
      <c r="G27" s="62" t="n"/>
      <c r="H27" s="63" t="n"/>
      <c r="I27" s="64" t="n"/>
      <c r="J27" s="15" t="n"/>
      <c r="K27" s="65">
        <f>IF(OR(N(H27)=0,N(I27)=0),"",ROUND(H27*I27,0))</f>
        <v/>
      </c>
      <c r="L27" s="15" t="n"/>
    </row>
    <row r="28" ht="21" customHeight="1">
      <c r="A28" s="61" t="n"/>
      <c r="B28" s="28" t="n"/>
      <c r="C28" s="15" t="n"/>
      <c r="D28" s="15" t="n"/>
      <c r="E28" s="15" t="n"/>
      <c r="F28" s="15" t="n"/>
      <c r="G28" s="62" t="n"/>
      <c r="H28" s="63" t="n"/>
      <c r="I28" s="64" t="n"/>
      <c r="J28" s="15" t="n"/>
      <c r="K28" s="65">
        <f>IF(OR(N(H28)=0,N(I28)=0),"",ROUND(H28*I28,0))</f>
        <v/>
      </c>
      <c r="L28" s="15" t="n"/>
    </row>
    <row r="29" ht="21" customHeight="1">
      <c r="A29" s="61" t="n"/>
      <c r="B29" s="28" t="n"/>
      <c r="C29" s="15" t="n"/>
      <c r="D29" s="15" t="n"/>
      <c r="E29" s="15" t="n"/>
      <c r="F29" s="15" t="n"/>
      <c r="G29" s="62" t="n"/>
      <c r="H29" s="63" t="n"/>
      <c r="I29" s="64" t="n"/>
      <c r="J29" s="15" t="n"/>
      <c r="K29" s="65">
        <f>IF(OR(N(H29)=0,N(I29)=0),"",ROUND(H29*I29,0))</f>
        <v/>
      </c>
      <c r="L29" s="15" t="n"/>
    </row>
    <row r="30" ht="21" customHeight="1">
      <c r="A30" s="61" t="n"/>
      <c r="B30" s="28" t="n"/>
      <c r="C30" s="15" t="n"/>
      <c r="D30" s="15" t="n"/>
      <c r="E30" s="15" t="n"/>
      <c r="F30" s="15" t="n"/>
      <c r="G30" s="62" t="n"/>
      <c r="H30" s="63" t="n"/>
      <c r="I30" s="64" t="n"/>
      <c r="J30" s="15" t="n"/>
      <c r="K30" s="65">
        <f>IF(OR(N(H30)=0,N(I30)=0),"",ROUND(H30*I30,0))</f>
        <v/>
      </c>
      <c r="L30" s="15" t="n"/>
    </row>
    <row r="31" ht="21" customHeight="1">
      <c r="A31" s="61" t="n"/>
      <c r="B31" s="28" t="n"/>
      <c r="C31" s="15" t="n"/>
      <c r="D31" s="15" t="n"/>
      <c r="E31" s="15" t="n"/>
      <c r="F31" s="15" t="n"/>
      <c r="G31" s="62" t="n"/>
      <c r="H31" s="63" t="n"/>
      <c r="I31" s="64" t="n"/>
      <c r="J31" s="15" t="n"/>
      <c r="K31" s="65">
        <f>IF(OR(N(H31)=0,N(I31)=0),"",ROUND(H31*I31,0))</f>
        <v/>
      </c>
      <c r="L31" s="15" t="n"/>
    </row>
    <row r="32" ht="21" customHeight="1">
      <c r="A32" s="61" t="n"/>
      <c r="B32" s="28" t="n"/>
      <c r="C32" s="15" t="n"/>
      <c r="D32" s="15" t="n"/>
      <c r="E32" s="15" t="n"/>
      <c r="F32" s="15" t="n"/>
      <c r="G32" s="62" t="n"/>
      <c r="H32" s="63" t="n"/>
      <c r="I32" s="64" t="n"/>
      <c r="J32" s="15" t="n"/>
      <c r="K32" s="65">
        <f>IF(OR(N(H32)=0,N(I32)=0),"",ROUND(H32*I32,0))</f>
        <v/>
      </c>
      <c r="L32" s="15" t="n"/>
    </row>
    <row r="33" ht="21" customHeight="1">
      <c r="A33" s="61" t="n"/>
      <c r="B33" s="28" t="n"/>
      <c r="C33" s="15" t="n"/>
      <c r="D33" s="15" t="n"/>
      <c r="E33" s="15" t="n"/>
      <c r="F33" s="15" t="n"/>
      <c r="G33" s="62" t="n"/>
      <c r="H33" s="63" t="n"/>
      <c r="I33" s="64" t="n"/>
      <c r="J33" s="15" t="n"/>
      <c r="K33" s="65">
        <f>IF(OR(N(H33)=0,N(I33)=0),"",ROUND(H33*I33,0))</f>
        <v/>
      </c>
      <c r="L33" s="15" t="n"/>
    </row>
    <row r="34" ht="21" customHeight="1">
      <c r="A34" s="61" t="n"/>
      <c r="B34" s="28" t="n"/>
      <c r="C34" s="15" t="n"/>
      <c r="D34" s="15" t="n"/>
      <c r="E34" s="15" t="n"/>
      <c r="F34" s="15" t="n"/>
      <c r="G34" s="62" t="n"/>
      <c r="H34" s="63" t="n"/>
      <c r="I34" s="64" t="n"/>
      <c r="J34" s="15" t="n"/>
      <c r="K34" s="65">
        <f>IF(OR(N(H34)=0,N(I34)=0),"",ROUND(H34*I34,0))</f>
        <v/>
      </c>
      <c r="L34" s="15" t="n"/>
    </row>
    <row r="35" ht="21" customHeight="1">
      <c r="A35" s="61" t="n"/>
      <c r="B35" s="28" t="n"/>
      <c r="C35" s="15" t="n"/>
      <c r="D35" s="15" t="n"/>
      <c r="E35" s="15" t="n"/>
      <c r="F35" s="15" t="n"/>
      <c r="G35" s="62" t="n"/>
      <c r="H35" s="63" t="n"/>
      <c r="I35" s="64" t="n"/>
      <c r="J35" s="15" t="n"/>
      <c r="K35" s="65">
        <f>IF(OR(N(H35)=0,N(I35)=0),"",ROUND(H35*I35,0))</f>
        <v/>
      </c>
      <c r="L35" s="15" t="n"/>
    </row>
    <row r="36" ht="21" customHeight="1">
      <c r="A36" s="61" t="n"/>
      <c r="B36" s="28" t="n"/>
      <c r="C36" s="15" t="n"/>
      <c r="D36" s="15" t="n"/>
      <c r="E36" s="15" t="n"/>
      <c r="F36" s="15" t="n"/>
      <c r="G36" s="62" t="n"/>
      <c r="H36" s="63" t="n"/>
      <c r="I36" s="64" t="n"/>
      <c r="J36" s="15" t="n"/>
      <c r="K36" s="65">
        <f>IF(OR(N(H36)=0,N(I36)=0),"",ROUND(H36*I36,0))</f>
        <v/>
      </c>
      <c r="L36" s="15" t="n"/>
    </row>
    <row r="37" ht="21" customHeight="1">
      <c r="A37" s="61" t="n"/>
      <c r="B37" s="28" t="n"/>
      <c r="C37" s="15" t="n"/>
      <c r="D37" s="15" t="n"/>
      <c r="E37" s="15" t="n"/>
      <c r="F37" s="15" t="n"/>
      <c r="G37" s="62" t="n"/>
      <c r="H37" s="63" t="n"/>
      <c r="I37" s="64" t="n"/>
      <c r="J37" s="15" t="n"/>
      <c r="K37" s="65">
        <f>IF(OR(N(H37)=0,N(I37)=0),"",ROUND(H37*I37,0))</f>
        <v/>
      </c>
      <c r="L37" s="15" t="n"/>
    </row>
    <row r="38" ht="21" customHeight="1">
      <c r="A38" s="61" t="n"/>
      <c r="B38" s="28" t="n"/>
      <c r="C38" s="15" t="n"/>
      <c r="D38" s="15" t="n"/>
      <c r="E38" s="15" t="n"/>
      <c r="F38" s="15" t="n"/>
      <c r="G38" s="62" t="n"/>
      <c r="H38" s="63" t="n"/>
      <c r="I38" s="64" t="n"/>
      <c r="J38" s="15" t="n"/>
      <c r="K38" s="65">
        <f>IF(OR(N(H38)=0,N(I38)=0),"",ROUND(H38*I38,0))</f>
        <v/>
      </c>
      <c r="L38" s="15" t="n"/>
    </row>
    <row r="39" ht="21" customHeight="1">
      <c r="A39" s="61" t="n"/>
      <c r="B39" s="28" t="n"/>
      <c r="C39" s="15" t="n"/>
      <c r="D39" s="15" t="n"/>
      <c r="E39" s="15" t="n"/>
      <c r="F39" s="15" t="n"/>
      <c r="G39" s="62" t="n"/>
      <c r="H39" s="63" t="n"/>
      <c r="I39" s="64" t="n"/>
      <c r="J39" s="15" t="n"/>
      <c r="K39" s="65">
        <f>IF(OR(N(H39)=0,N(I39)=0),"",ROUND(H39*I39,0))</f>
        <v/>
      </c>
      <c r="L39" s="15" t="n"/>
    </row>
    <row r="40" ht="21" customHeight="1">
      <c r="A40" s="61" t="n"/>
      <c r="B40" s="28" t="n"/>
      <c r="C40" s="15" t="n"/>
      <c r="D40" s="15" t="n"/>
      <c r="E40" s="15" t="n"/>
      <c r="F40" s="15" t="n"/>
      <c r="G40" s="62" t="n"/>
      <c r="H40" s="63" t="n"/>
      <c r="I40" s="64" t="n"/>
      <c r="J40" s="15" t="n"/>
      <c r="K40" s="65">
        <f>IF(OR(N(H40)=0,N(I40)=0),"",ROUND(H40*I40,0))</f>
        <v/>
      </c>
      <c r="L40" s="15" t="n"/>
    </row>
    <row r="41" ht="21" customHeight="1">
      <c r="A41" s="61" t="n"/>
      <c r="B41" s="28" t="n"/>
      <c r="C41" s="15" t="n"/>
      <c r="D41" s="15" t="n"/>
      <c r="E41" s="15" t="n"/>
      <c r="F41" s="15" t="n"/>
      <c r="G41" s="62" t="n"/>
      <c r="H41" s="63" t="n"/>
      <c r="I41" s="64" t="n"/>
      <c r="J41" s="15" t="n"/>
      <c r="K41" s="65">
        <f>IF(OR(N(H41)=0,N(I41)=0),"",ROUND(H41*I41,0))</f>
        <v/>
      </c>
      <c r="L41" s="15" t="n"/>
    </row>
    <row r="42" ht="21" customHeight="1">
      <c r="A42" s="61" t="n"/>
      <c r="B42" s="28" t="n"/>
      <c r="C42" s="15" t="n"/>
      <c r="D42" s="15" t="n"/>
      <c r="E42" s="15" t="n"/>
      <c r="F42" s="15" t="n"/>
      <c r="G42" s="62" t="n"/>
      <c r="H42" s="63" t="n"/>
      <c r="I42" s="64" t="n"/>
      <c r="J42" s="15" t="n"/>
      <c r="K42" s="65">
        <f>IF(OR(N(H42)=0,N(I42)=0),"",ROUND(H42*I42,0))</f>
        <v/>
      </c>
      <c r="L42" s="15" t="n"/>
    </row>
    <row r="43" ht="21" customHeight="1">
      <c r="A43" s="61" t="n"/>
      <c r="B43" s="28" t="n"/>
      <c r="C43" s="15" t="n"/>
      <c r="D43" s="15" t="n"/>
      <c r="E43" s="15" t="n"/>
      <c r="F43" s="15" t="n"/>
      <c r="G43" s="62" t="n"/>
      <c r="H43" s="63" t="n"/>
      <c r="I43" s="64" t="n"/>
      <c r="J43" s="15" t="n"/>
      <c r="K43" s="65">
        <f>IF(OR(N(H43)=0,N(I43)=0),"",ROUND(H43*I43,0))</f>
        <v/>
      </c>
      <c r="L43" s="15" t="n"/>
    </row>
    <row r="44" ht="24" customHeight="1">
      <c r="A44" s="29" t="inlineStr">
        <is>
          <t>계</t>
        </is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57">
        <f>IF(SUM(K24:K43)=0,"",SUM(K24:K43))</f>
        <v/>
      </c>
      <c r="L44" s="15" t="n"/>
    </row>
    <row r="45" ht="16" customHeight="1">
      <c r="A45" s="9" t="inlineStr">
        <is>
          <t>※ «항목 번호» 에 1~8 을 적으면 위 총괄표의 그 항목으로 모입니다. 항목별 쓰임 예:</t>
        </is>
      </c>
    </row>
    <row r="46" ht="28.65" customHeight="1">
      <c r="A46" s="6" t="inlineStr"/>
      <c r="B46" s="66" t="inlineStr">
        <is>
          <t>1. 대기(방진막 · 방진덮개 · 살수차 · 고압살수기) · 수질(오수처리 · 정화조 · 이동식 화장실 · 양생수조 중화) · 소음진동(방음벽 · 흡음) · 토양(침사지 · 오탁방지망) · 기타(수목 이식 · 비탈면 녹화)</t>
        </is>
      </c>
    </row>
    <row r="47" ht="28.65" customHeight="1">
      <c r="A47" s="6" t="inlineStr"/>
      <c r="B47" s="66" t="inlineStr">
        <is>
          <t>2. 순환골재 구입 · 건설(사업장)폐기물 위탁처리(수집 · 운반 · 처리) · 지정폐기물 위탁 · 재활용 폐기물 · 임시보관장소 · 분리수거함 · 폐유 보관함 · 파쇄기 살수시설</t>
        </is>
      </c>
    </row>
    <row r="48" ht="16.325" customHeight="1">
      <c r="A48" s="6" t="inlineStr"/>
      <c r="B48" s="66" t="inlineStr">
        <is>
          <t>3. 대기 · 수질 · 소음진동 측정(위탁 · 자가)</t>
        </is>
      </c>
    </row>
    <row r="49" ht="16.325" customHeight="1">
      <c r="A49" s="6" t="inlineStr"/>
      <c r="B49" s="66" t="inlineStr">
        <is>
          <t>4. 전문교육(외부기관) · 정기교육 · 수시교육(신입 · 일용직)</t>
        </is>
      </c>
    </row>
    <row r="50" ht="16.325" customHeight="1">
      <c r="A50" s="6" t="inlineStr"/>
      <c r="B50" s="66" t="inlineStr">
        <is>
          <t>5. 훼손 정비 · 복원 · 청소도구 · 귀마개 · 방진마스크 · 방역소독</t>
        </is>
      </c>
    </row>
    <row r="51" ht="16.325" customHeight="1">
      <c r="A51" s="6" t="inlineStr"/>
      <c r="B51" s="66" t="inlineStr">
        <is>
          <t>6. 환경법규 구입 · 안내게시판 · 현수막 · 자료 발간</t>
        </is>
      </c>
    </row>
    <row r="52" ht="16.325" customHeight="1">
      <c r="A52" s="6" t="inlineStr"/>
      <c r="B52" s="66" t="inlineStr">
        <is>
          <t>7. 법정 환경기술인 선임 · 화약류관리보안책임자 · 세륜시설 관리인 · 살수차 운영 인건비</t>
        </is>
      </c>
    </row>
    <row r="53" ht="16.325" customHeight="1">
      <c r="A53" s="6" t="inlineStr"/>
      <c r="B53" s="66" t="inlineStr">
        <is>
          <t>8. 환경처리 약품(세륜 오탁수 응집제 · 중화제) · 모니터링 · 환경 관련 부담금 등</t>
        </is>
      </c>
    </row>
    <row r="55" ht="19.5" customHeight="1">
      <c r="A55" s="9" t="inlineStr">
        <is>
          <t>하늘색 칸 = 자동(금액 = 수량 × 단가 · 총괄 금액 · 비율 · 합계).</t>
        </is>
      </c>
    </row>
  </sheetData>
  <mergeCells count="116">
    <mergeCell ref="G13:I13"/>
    <mergeCell ref="K24:L24"/>
    <mergeCell ref="B25:F25"/>
    <mergeCell ref="K33:L33"/>
    <mergeCell ref="B47:L47"/>
    <mergeCell ref="I26:J26"/>
    <mergeCell ref="B27:F27"/>
    <mergeCell ref="G15:I15"/>
    <mergeCell ref="K26:L26"/>
    <mergeCell ref="K35:L35"/>
    <mergeCell ref="I25:J25"/>
    <mergeCell ref="B42:F42"/>
    <mergeCell ref="G16:I16"/>
    <mergeCell ref="A13:F13"/>
    <mergeCell ref="B34:F34"/>
    <mergeCell ref="B28:F28"/>
    <mergeCell ref="I42:J42"/>
    <mergeCell ref="K42:L42"/>
    <mergeCell ref="B37:F37"/>
    <mergeCell ref="A15:F15"/>
    <mergeCell ref="B30:F30"/>
    <mergeCell ref="B49:L49"/>
    <mergeCell ref="K28:L28"/>
    <mergeCell ref="B51:L51"/>
    <mergeCell ref="K37:L37"/>
    <mergeCell ref="K13:L13"/>
    <mergeCell ref="I30:J30"/>
    <mergeCell ref="A16:F16"/>
    <mergeCell ref="B50:L50"/>
    <mergeCell ref="K30:L30"/>
    <mergeCell ref="K15:L15"/>
    <mergeCell ref="A18:F18"/>
    <mergeCell ref="A3:L3"/>
    <mergeCell ref="A55:L55"/>
    <mergeCell ref="A44:J44"/>
    <mergeCell ref="B43:F43"/>
    <mergeCell ref="G14:I14"/>
    <mergeCell ref="I32:J32"/>
    <mergeCell ref="A5:L5"/>
    <mergeCell ref="K32:L32"/>
    <mergeCell ref="I41:J41"/>
    <mergeCell ref="K41:L41"/>
    <mergeCell ref="B53:L53"/>
    <mergeCell ref="I43:J43"/>
    <mergeCell ref="K43:L43"/>
    <mergeCell ref="I24:J24"/>
    <mergeCell ref="I33:J33"/>
    <mergeCell ref="K27:L27"/>
    <mergeCell ref="K17:L17"/>
    <mergeCell ref="A11:F11"/>
    <mergeCell ref="I35:J35"/>
    <mergeCell ref="K10:L10"/>
    <mergeCell ref="K19:L19"/>
    <mergeCell ref="G17:I17"/>
    <mergeCell ref="K6:L6"/>
    <mergeCell ref="K16:L16"/>
    <mergeCell ref="K25:L25"/>
    <mergeCell ref="G10:I10"/>
    <mergeCell ref="G19:I19"/>
    <mergeCell ref="B31:F31"/>
    <mergeCell ref="K29:L29"/>
    <mergeCell ref="K11:L11"/>
    <mergeCell ref="B39:F39"/>
    <mergeCell ref="B52:L52"/>
    <mergeCell ref="K44:L44"/>
    <mergeCell ref="A17:F17"/>
    <mergeCell ref="A22:L22"/>
    <mergeCell ref="B23:F23"/>
    <mergeCell ref="K31:L31"/>
    <mergeCell ref="I37:J37"/>
    <mergeCell ref="K40:L40"/>
    <mergeCell ref="A20:L20"/>
    <mergeCell ref="A10:F10"/>
    <mergeCell ref="A19:F19"/>
    <mergeCell ref="I23:J23"/>
    <mergeCell ref="G12:I12"/>
    <mergeCell ref="K23:L23"/>
    <mergeCell ref="I40:J40"/>
    <mergeCell ref="A1:F1"/>
    <mergeCell ref="B36:F36"/>
    <mergeCell ref="K18:L18"/>
    <mergeCell ref="I34:J34"/>
    <mergeCell ref="K34:L34"/>
    <mergeCell ref="G18:I18"/>
    <mergeCell ref="I27:J27"/>
    <mergeCell ref="A12:F12"/>
    <mergeCell ref="I36:J36"/>
    <mergeCell ref="B46:L46"/>
    <mergeCell ref="K36:L36"/>
    <mergeCell ref="A14:F14"/>
    <mergeCell ref="B48:L48"/>
    <mergeCell ref="A8:L8"/>
    <mergeCell ref="I28:J28"/>
    <mergeCell ref="G1:L1"/>
    <mergeCell ref="B29:F29"/>
    <mergeCell ref="K12:L12"/>
    <mergeCell ref="B38:F38"/>
    <mergeCell ref="A9:L9"/>
    <mergeCell ref="I39:J39"/>
    <mergeCell ref="K39:L39"/>
    <mergeCell ref="K14:L14"/>
    <mergeCell ref="B40:F40"/>
    <mergeCell ref="G11:I11"/>
    <mergeCell ref="G6:J6"/>
    <mergeCell ref="I29:J29"/>
    <mergeCell ref="B24:F24"/>
    <mergeCell ref="I38:J38"/>
    <mergeCell ref="K38:L38"/>
    <mergeCell ref="B33:F33"/>
    <mergeCell ref="A45:L45"/>
    <mergeCell ref="A6:F6"/>
    <mergeCell ref="I31:J31"/>
    <mergeCell ref="B32:F32"/>
    <mergeCell ref="B26:F26"/>
    <mergeCell ref="B41:F41"/>
    <mergeCell ref="B35:F35"/>
  </mergeCells>
  <conditionalFormatting sqref="H24:H43">
    <cfRule type="expression" priority="1" dxfId="0">
      <formula>AND(ISNUMBER(H24),MOD(H24,1)=0)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" manualBreakCount="1">
    <brk id="2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5. 신고증명서</t>
        </is>
      </c>
    </row>
    <row r="4" ht="3" customHeight="1"/>
    <row r="5" ht="21" customHeight="1">
      <c r="A5" s="23" t="inlineStr">
        <is>
          <t>가. 비산먼지 발생사업 등 신고증명서</t>
        </is>
      </c>
    </row>
    <row r="6" ht="22" customHeight="1">
      <c r="A6" s="19" t="inlineStr">
        <is>
          <t>(신고증명서 사본을 붙이는 곳)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 ht="22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 ht="22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22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2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 ht="22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 ht="22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 ht="22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 ht="22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 ht="22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2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2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2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3" customHeight="1"/>
    <row r="21" ht="21" customHeight="1">
      <c r="A21" s="23" t="inlineStr">
        <is>
          <t>나. 특정공사 사전신고증명서</t>
        </is>
      </c>
    </row>
    <row r="22" ht="22" customHeight="1">
      <c r="A22" s="19" t="inlineStr">
        <is>
          <t>(신고증명서 사본을 붙이는 곳)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2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22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2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22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</sheetData>
  <mergeCells count="7">
    <mergeCell ref="G1:L1"/>
    <mergeCell ref="A1:F1"/>
    <mergeCell ref="A5:L5"/>
    <mergeCell ref="A22:L35"/>
    <mergeCell ref="A6:L19"/>
    <mergeCell ref="A3:L3"/>
    <mergeCell ref="A21:L21"/>
  </mergeCells>
  <printOptions horizontalCentered="1"/>
  <pageMargins left="0.7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80" customHeight="1"/>
    <row r="3" ht="34" customHeight="1">
      <c r="A3" s="3" t="inlineStr">
        <is>
          <t>가나지구 공공주택 조성공사</t>
        </is>
      </c>
    </row>
    <row r="4" ht="30" customHeight="1"/>
    <row r="5" ht="70" customHeight="1">
      <c r="A5" s="4" t="inlineStr">
        <is>
          <t>환 경 관 리 계 획 서</t>
        </is>
      </c>
    </row>
    <row r="6" ht="28" customHeight="1">
      <c r="A6" s="5" t="n">
        <v>46082</v>
      </c>
    </row>
    <row r="7" ht="256" customHeight="1"/>
    <row r="8" ht="40" customHeight="1">
      <c r="A8" s="6" t="inlineStr"/>
      <c r="D8" s="7" t="inlineStr">
        <is>
          <t>회 사 명 :</t>
        </is>
      </c>
      <c r="F8" s="8" t="inlineStr">
        <is>
          <t>예시건설(주)</t>
        </is>
      </c>
      <c r="K8" s="6" t="inlineStr"/>
    </row>
    <row r="10" ht="19.5" customHeight="1">
      <c r="A10" s="9" t="inlineStr">
        <is>
          <t>이 시트는 작성 예시입니다(가상의 공사 · 회사 · 사람).</t>
        </is>
      </c>
    </row>
  </sheetData>
  <mergeCells count="10">
    <mergeCell ref="D8:E8"/>
    <mergeCell ref="G1:L1"/>
    <mergeCell ref="A10:L10"/>
    <mergeCell ref="K8:L8"/>
    <mergeCell ref="A1:F1"/>
    <mergeCell ref="A5:L5"/>
    <mergeCell ref="A8:C8"/>
    <mergeCell ref="A6:L6"/>
    <mergeCell ref="A3:L3"/>
    <mergeCell ref="F8:J8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20" customHeight="1"/>
    <row r="3" ht="50" customHeight="1">
      <c r="A3" s="10" t="inlineStr">
        <is>
          <t>목          차</t>
        </is>
      </c>
    </row>
    <row r="4" ht="10" customHeight="1"/>
    <row r="5" ht="30" customHeight="1">
      <c r="A5" s="6" t="inlineStr"/>
      <c r="C5" s="11" t="inlineStr">
        <is>
          <t>1. 공사개요</t>
        </is>
      </c>
      <c r="L5" s="6" t="inlineStr"/>
    </row>
    <row r="6" ht="30" customHeight="1">
      <c r="A6" s="6" t="inlineStr"/>
      <c r="C6" s="11" t="inlineStr">
        <is>
          <t>2. 현장여건조사</t>
        </is>
      </c>
      <c r="L6" s="6" t="inlineStr"/>
    </row>
    <row r="7" ht="26" customHeight="1">
      <c r="A7" s="6" t="inlineStr"/>
      <c r="D7" s="12" t="inlineStr">
        <is>
          <t>가. 건설공사 현장주변 여건 현황조사</t>
        </is>
      </c>
      <c r="L7" s="6" t="inlineStr"/>
    </row>
    <row r="8" ht="26" customHeight="1">
      <c r="A8" s="6" t="inlineStr"/>
      <c r="D8" s="12" t="inlineStr">
        <is>
          <t>나. 공사대상지 주변 건물집계표</t>
        </is>
      </c>
      <c r="L8" s="6" t="inlineStr"/>
    </row>
    <row r="9" ht="30" customHeight="1">
      <c r="A9" s="6" t="inlineStr"/>
      <c r="C9" s="11" t="inlineStr">
        <is>
          <t>3. 환경관리 조직 및 임무</t>
        </is>
      </c>
      <c r="L9" s="6" t="inlineStr"/>
    </row>
    <row r="10" ht="26" customHeight="1">
      <c r="A10" s="6" t="inlineStr"/>
      <c r="D10" s="12" t="inlineStr">
        <is>
          <t>가. 환경관리 목표 및 방향</t>
        </is>
      </c>
      <c r="L10" s="6" t="inlineStr"/>
    </row>
    <row r="11" ht="26" customHeight="1">
      <c r="A11" s="6" t="inlineStr"/>
      <c r="D11" s="12" t="inlineStr">
        <is>
          <t>나. 환경관리 조직 및 임무</t>
        </is>
      </c>
      <c r="L11" s="6" t="inlineStr"/>
    </row>
    <row r="12" ht="26" customHeight="1">
      <c r="A12" s="6" t="inlineStr"/>
      <c r="D12" s="12" t="inlineStr">
        <is>
          <t>다. 환경요인별 관리 계획</t>
        </is>
      </c>
      <c r="L12" s="6" t="inlineStr"/>
    </row>
    <row r="13" ht="26" customHeight="1">
      <c r="A13" s="6" t="inlineStr"/>
      <c r="D13" s="12" t="inlineStr">
        <is>
          <t>라. 환경시설물 설치관리 계획</t>
        </is>
      </c>
      <c r="L13" s="6" t="inlineStr"/>
    </row>
    <row r="14" ht="26" customHeight="1">
      <c r="A14" s="6" t="inlineStr"/>
      <c r="D14" s="12" t="inlineStr">
        <is>
          <t>마. 현장환경관리 활동계획</t>
        </is>
      </c>
      <c r="L14" s="6" t="inlineStr"/>
    </row>
    <row r="15" ht="30" customHeight="1">
      <c r="A15" s="6" t="inlineStr"/>
      <c r="C15" s="11" t="inlineStr">
        <is>
          <t>4. 환경보전비 집행계획</t>
        </is>
      </c>
      <c r="L15" s="6" t="inlineStr"/>
    </row>
    <row r="16" ht="30" customHeight="1">
      <c r="A16" s="6" t="inlineStr"/>
      <c r="C16" s="11" t="inlineStr">
        <is>
          <t>5. 신고증명서</t>
        </is>
      </c>
      <c r="L16" s="6" t="inlineStr"/>
    </row>
    <row r="17" ht="26" customHeight="1">
      <c r="A17" s="6" t="inlineStr"/>
      <c r="D17" s="12" t="inlineStr">
        <is>
          <t>가. 비산먼지 발생사업 등 신고 증명서</t>
        </is>
      </c>
      <c r="L17" s="6" t="inlineStr"/>
    </row>
    <row r="18" ht="26" customHeight="1">
      <c r="A18" s="6" t="inlineStr"/>
      <c r="D18" s="12" t="inlineStr">
        <is>
          <t>나. 특정공사 사전신고 증명서</t>
        </is>
      </c>
      <c r="L18" s="6" t="inlineStr"/>
    </row>
    <row r="19" ht="6" customHeight="1"/>
    <row r="20" ht="28" customHeight="1">
      <c r="A20" s="13" t="inlineStr">
        <is>
          <t>1. 공사개요</t>
        </is>
      </c>
    </row>
    <row r="21" ht="26" customHeight="1">
      <c r="A21" s="14" t="inlineStr">
        <is>
          <t>가. 공 사 명</t>
        </is>
      </c>
      <c r="B21" s="15" t="n"/>
      <c r="C21" s="15" t="n"/>
      <c r="D21" s="16">
        <f>IF(OR('예시-표지'!A3="",'예시-표지'!A3="공 사 명"),"",'예시-표지'!A3)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6" customHeight="1">
      <c r="A22" s="14" t="inlineStr">
        <is>
          <t>나. 위    치</t>
        </is>
      </c>
      <c r="B22" s="15" t="n"/>
      <c r="C22" s="15" t="n"/>
      <c r="D22" s="17" t="inlineStr">
        <is>
          <t>가나시 가나동 일원</t>
        </is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다. 발 주 처</t>
        </is>
      </c>
      <c r="B23" s="15" t="n"/>
      <c r="C23" s="15" t="n"/>
      <c r="D23" s="17" t="inlineStr">
        <is>
          <t>한국토지주택공사</t>
        </is>
      </c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라. 공사기간</t>
        </is>
      </c>
      <c r="B24" s="15" t="n"/>
      <c r="C24" s="15" t="n"/>
      <c r="D24" s="18" t="n">
        <v>46083</v>
      </c>
      <c r="E24" s="15" t="n"/>
      <c r="F24" s="19" t="inlineStr">
        <is>
          <t>~</t>
        </is>
      </c>
      <c r="G24" s="18" t="n">
        <v>46812</v>
      </c>
      <c r="H24" s="15" t="n"/>
      <c r="I24" s="16">
        <f>IF(OR(N(D24)=0,N(G24)=0),"","("&amp;(G24-D24+1)&amp;"일)")</f>
        <v/>
      </c>
      <c r="J24" s="15" t="n"/>
      <c r="K24" s="15" t="n"/>
      <c r="L24" s="15" t="n"/>
    </row>
    <row r="25" ht="26" customHeight="1">
      <c r="A25" s="14" t="inlineStr">
        <is>
          <t>마. 공사금액</t>
        </is>
      </c>
      <c r="B25" s="15" t="n"/>
      <c r="C25" s="15" t="n"/>
      <c r="D25" s="20" t="n">
        <v>18450000000</v>
      </c>
      <c r="E25" s="15" t="n"/>
      <c r="F25" s="15" t="n"/>
      <c r="G25" s="21">
        <f>IF(N(D25)=0,"",D25)</f>
        <v/>
      </c>
      <c r="H25" s="15" t="n"/>
      <c r="I25" s="15" t="n"/>
      <c r="J25" s="15" t="n"/>
      <c r="K25" s="15" t="n"/>
      <c r="L25" s="15" t="n"/>
    </row>
    <row r="26" ht="26" customHeight="1">
      <c r="A26" s="14" t="inlineStr">
        <is>
          <t>바. 공사규모</t>
        </is>
      </c>
      <c r="B26" s="15" t="n"/>
      <c r="C26" s="15" t="n"/>
      <c r="D26" s="22" t="inlineStr">
        <is>
          <t>부지조성 125,000㎡ · 우수관로 L=2.4km · 도로 L=1.1km</t>
        </is>
      </c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사. 수 급 사</t>
        </is>
      </c>
      <c r="B27" s="15" t="n"/>
      <c r="C27" s="15" t="n"/>
      <c r="D27" s="16">
        <f>IF('예시-표지'!F8="","",'예시-표지'!F8)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아. 설 계 사</t>
        </is>
      </c>
      <c r="B28" s="15" t="n"/>
      <c r="C28" s="15" t="n"/>
      <c r="D28" s="17" t="inlineStr">
        <is>
          <t>예시엔지니어링(주)</t>
        </is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6" customHeight="1"/>
    <row r="30" ht="28" customHeight="1">
      <c r="A30" s="13" t="inlineStr">
        <is>
          <t>2. 현장여건조사</t>
        </is>
      </c>
    </row>
    <row r="31" ht="3" customHeight="1"/>
    <row r="32" ht="21" customHeight="1">
      <c r="A32" s="23" t="inlineStr">
        <is>
          <t>가. 건설공사 현장주변 여건 현황조사</t>
        </is>
      </c>
    </row>
    <row r="33" ht="20" customHeight="1">
      <c r="A33" s="24" t="inlineStr">
        <is>
          <t>(현장 주변 여건도를 붙이는 곳 — 주거지 · 학교 · 병원 · 하천 등 환경 민감 시설과 거리 표시)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3" customHeight="1"/>
    <row r="46" ht="21" customHeight="1">
      <c r="A46" s="23" t="inlineStr">
        <is>
          <t>나. 공사대상지 주변 건물집계표</t>
        </is>
      </c>
    </row>
    <row r="47" ht="24" customHeight="1">
      <c r="A47" s="25" t="inlineStr">
        <is>
          <t>공 사 대 상 지</t>
        </is>
      </c>
      <c r="B47" s="15" t="n"/>
      <c r="C47" s="15" t="n"/>
      <c r="D47" s="25" t="inlineStr">
        <is>
          <t>연장 (m)</t>
        </is>
      </c>
      <c r="E47" s="15" t="n"/>
      <c r="F47" s="25" t="inlineStr">
        <is>
          <t>인 접 건 물</t>
        </is>
      </c>
      <c r="G47" s="15" t="n"/>
      <c r="H47" s="25" t="inlineStr">
        <is>
          <t>100m 이내 건물</t>
        </is>
      </c>
      <c r="I47" s="15" t="n"/>
      <c r="J47" s="25" t="inlineStr">
        <is>
          <t>비   고</t>
        </is>
      </c>
      <c r="K47" s="15" t="n"/>
      <c r="L47" s="15" t="n"/>
    </row>
    <row r="48" ht="24" customHeight="1">
      <c r="A48" s="22" t="inlineStr">
        <is>
          <t>A공구(부지 서측)</t>
        </is>
      </c>
      <c r="B48" s="15" t="n"/>
      <c r="C48" s="15" t="n"/>
      <c r="D48" s="26" t="n">
        <v>420</v>
      </c>
      <c r="E48" s="15" t="n"/>
      <c r="F48" s="27" t="n">
        <v>3</v>
      </c>
      <c r="G48" s="15" t="n"/>
      <c r="H48" s="27" t="n">
        <v>12</v>
      </c>
      <c r="I48" s="15" t="n"/>
      <c r="J48" s="28" t="inlineStr">
        <is>
          <t>단독주택</t>
        </is>
      </c>
      <c r="K48" s="15" t="n"/>
      <c r="L48" s="15" t="n"/>
    </row>
    <row r="49" ht="24" customHeight="1">
      <c r="A49" s="22" t="inlineStr">
        <is>
          <t>B공구(진입도로)</t>
        </is>
      </c>
      <c r="B49" s="15" t="n"/>
      <c r="C49" s="15" t="n"/>
      <c r="D49" s="26" t="n">
        <v>380</v>
      </c>
      <c r="E49" s="15" t="n"/>
      <c r="F49" s="27" t="n">
        <v>1</v>
      </c>
      <c r="G49" s="15" t="n"/>
      <c r="H49" s="27" t="n">
        <v>5</v>
      </c>
      <c r="I49" s="15" t="n"/>
      <c r="J49" s="28" t="inlineStr">
        <is>
          <t>상가</t>
        </is>
      </c>
      <c r="K49" s="15" t="n"/>
      <c r="L49" s="15" t="n"/>
    </row>
    <row r="50" ht="24" customHeight="1">
      <c r="A50" s="22" t="inlineStr">
        <is>
          <t>C공구(우수관로)</t>
        </is>
      </c>
      <c r="B50" s="15" t="n"/>
      <c r="C50" s="15" t="n"/>
      <c r="D50" s="26" t="n">
        <v>260</v>
      </c>
      <c r="E50" s="15" t="n"/>
      <c r="F50" s="27" t="n">
        <v>0</v>
      </c>
      <c r="G50" s="15" t="n"/>
      <c r="H50" s="27" t="n">
        <v>2</v>
      </c>
      <c r="I50" s="15" t="n"/>
      <c r="J50" s="28" t="n"/>
      <c r="K50" s="15" t="n"/>
      <c r="L50" s="15" t="n"/>
    </row>
    <row r="51" ht="24" customHeight="1">
      <c r="A51" s="22" t="n"/>
      <c r="B51" s="15" t="n"/>
      <c r="C51" s="15" t="n"/>
      <c r="D51" s="26" t="n"/>
      <c r="E51" s="15" t="n"/>
      <c r="F51" s="27" t="n"/>
      <c r="G51" s="15" t="n"/>
      <c r="H51" s="27" t="n"/>
      <c r="I51" s="15" t="n"/>
      <c r="J51" s="28" t="n"/>
      <c r="K51" s="15" t="n"/>
      <c r="L51" s="15" t="n"/>
    </row>
    <row r="52" ht="24" customHeight="1">
      <c r="A52" s="22" t="n"/>
      <c r="B52" s="15" t="n"/>
      <c r="C52" s="15" t="n"/>
      <c r="D52" s="26" t="n"/>
      <c r="E52" s="15" t="n"/>
      <c r="F52" s="27" t="n"/>
      <c r="G52" s="15" t="n"/>
      <c r="H52" s="27" t="n"/>
      <c r="I52" s="15" t="n"/>
      <c r="J52" s="28" t="n"/>
      <c r="K52" s="15" t="n"/>
      <c r="L52" s="15" t="n"/>
    </row>
    <row r="53" ht="24" customHeight="1">
      <c r="A53" s="22" t="n"/>
      <c r="B53" s="15" t="n"/>
      <c r="C53" s="15" t="n"/>
      <c r="D53" s="26" t="n"/>
      <c r="E53" s="15" t="n"/>
      <c r="F53" s="27" t="n"/>
      <c r="G53" s="15" t="n"/>
      <c r="H53" s="27" t="n"/>
      <c r="I53" s="15" t="n"/>
      <c r="J53" s="28" t="n"/>
      <c r="K53" s="15" t="n"/>
      <c r="L53" s="15" t="n"/>
    </row>
    <row r="54" ht="24" customHeight="1">
      <c r="A54" s="29" t="inlineStr">
        <is>
          <t>합   계</t>
        </is>
      </c>
      <c r="B54" s="15" t="n"/>
      <c r="C54" s="15" t="n"/>
      <c r="D54" s="30">
        <f>IF(SUM(D48:D53)=0,"",SUM(D48:D53))</f>
        <v/>
      </c>
      <c r="E54" s="15" t="n"/>
      <c r="F54" s="31">
        <f>IF(COUNT(F48:F53)=0,"",SUM(F48:F53))</f>
        <v/>
      </c>
      <c r="G54" s="15" t="n"/>
      <c r="H54" s="31">
        <f>IF(COUNT(H48:H53)=0,"",SUM(H48:H53))</f>
        <v/>
      </c>
      <c r="I54" s="15" t="n"/>
      <c r="J54" s="29" t="inlineStr"/>
      <c r="K54" s="15" t="n"/>
      <c r="L54" s="15" t="n"/>
    </row>
    <row r="55" ht="6" customHeight="1"/>
    <row r="56" ht="28" customHeight="1">
      <c r="A56" s="13" t="inlineStr">
        <is>
          <t>3. 환경관리 조직 및 임무</t>
        </is>
      </c>
    </row>
    <row r="57" ht="3" customHeight="1"/>
    <row r="58" ht="21" customHeight="1">
      <c r="A58" s="23" t="inlineStr">
        <is>
          <t>가. 환경관리 목표 및 방향</t>
        </is>
      </c>
    </row>
    <row r="59" ht="22" customHeight="1">
      <c r="A59" s="32" t="inlineStr">
        <is>
          <t>① 현장 환경관리 목표</t>
        </is>
      </c>
    </row>
    <row r="60" ht="68" customHeight="1">
      <c r="A60" s="33" t="inlineStr">
        <is>
          <t>현장 환경처리 방침은 본 공사로 수반되는 환경오염(비산먼지, 소음, 진동, 폐기물 처리, 수질 등)을 관계 법규에서 정하고 있는 기준 이하로 될 수 있도록 환경 저해 요인별로 대책을 수립한 후 공종별로 시공에 임하여 자연환경 및 생활환경의 보전과 근로자에게 쾌적한 작업환경을 제공함으로써 안전사고의 사전 예방과 원활한 공사 수행을 하고자 함.</t>
        </is>
      </c>
    </row>
    <row r="61" ht="22" customHeight="1">
      <c r="A61" s="32" t="inlineStr">
        <is>
          <t>② 현장관리 방향 및 원칙</t>
        </is>
      </c>
    </row>
    <row r="62" ht="36" customHeight="1">
      <c r="A62" s="34" t="inlineStr">
        <is>
          <t>㉮</t>
        </is>
      </c>
      <c r="B62" s="35" t="inlineStr">
        <is>
          <t>본 환경보전계획은 공사 수행 동안 환경에 관한 각종 사고 및 관리를 철저히 수행하고 발생될 우려가 있는 각종 환경오염물질을 예방할 수 있도록 최선을 다하고자 함.</t>
        </is>
      </c>
    </row>
    <row r="63" ht="36" customHeight="1">
      <c r="A63" s="34" t="inlineStr">
        <is>
          <t>㉯</t>
        </is>
      </c>
      <c r="B63" s="35" t="inlineStr">
        <is>
          <t>현장소장은 환경관리 총괄책임자가 되어 현장 환경관리 업무를 총체적으로 지휘 · 감독하고자 함.</t>
        </is>
      </c>
    </row>
    <row r="64" ht="36" customHeight="1">
      <c r="A64" s="34" t="inlineStr">
        <is>
          <t>㉰</t>
        </is>
      </c>
      <c r="B64" s="35" t="inlineStr">
        <is>
          <t>현장의 환경관리자는 신고 등 각종 환경 요건에 대해 본사 환경안전부와 긴밀하게 협의하면서 관리해 나가고자 함.</t>
        </is>
      </c>
    </row>
    <row r="65" ht="36" customHeight="1">
      <c r="A65" s="34" t="inlineStr">
        <is>
          <t>㉱</t>
        </is>
      </c>
      <c r="B65" s="35" t="inlineStr">
        <is>
          <t>환경관리협의회를 구성하여 환경관리 총괄책임자 이하 환경관리자 및 협력업체 환경관리자가 월 1회 이상 모여 현장의 환경에 대한 주요 사항을 검토 · 의결하고자 함.</t>
        </is>
      </c>
    </row>
    <row r="66" ht="3" customHeight="1"/>
    <row r="67" ht="21" customHeight="1">
      <c r="A67" s="23" t="inlineStr">
        <is>
          <t>나. 환경관리 조직 및 임무</t>
        </is>
      </c>
    </row>
    <row r="68" ht="22" customHeight="1">
      <c r="A68" s="32" t="inlineStr">
        <is>
          <t>① 현장 환경관리 조직도</t>
        </is>
      </c>
    </row>
    <row r="69" ht="26" customHeight="1">
      <c r="A69" s="6" t="inlineStr"/>
      <c r="D69" s="14" t="inlineStr">
        <is>
          <t>대 표 이 사</t>
        </is>
      </c>
      <c r="E69" s="15" t="n"/>
      <c r="F69" s="15" t="n"/>
      <c r="G69" s="15" t="n"/>
      <c r="H69" s="36" t="inlineStr">
        <is>
          <t>김대표</t>
        </is>
      </c>
      <c r="I69" s="15" t="n"/>
      <c r="J69" s="6" t="inlineStr"/>
    </row>
    <row r="70" ht="12" customHeight="1">
      <c r="A70" s="37" t="inlineStr">
        <is>
          <t>│</t>
        </is>
      </c>
    </row>
    <row r="71" ht="26" customHeight="1">
      <c r="A71" s="6" t="inlineStr"/>
      <c r="D71" s="14" t="inlineStr">
        <is>
          <t>본사 환경관리 책임자</t>
        </is>
      </c>
      <c r="E71" s="15" t="n"/>
      <c r="F71" s="15" t="n"/>
      <c r="G71" s="15" t="n"/>
      <c r="H71" s="36" t="inlineStr">
        <is>
          <t>이환경</t>
        </is>
      </c>
      <c r="I71" s="15" t="n"/>
      <c r="J71" s="6" t="inlineStr"/>
    </row>
    <row r="72" ht="12" customHeight="1">
      <c r="A72" s="37" t="inlineStr">
        <is>
          <t>│</t>
        </is>
      </c>
    </row>
    <row r="73" ht="26" customHeight="1">
      <c r="A73" s="6" t="inlineStr"/>
      <c r="D73" s="14" t="inlineStr">
        <is>
          <t>환경관리 총괄책임자(현장소장)</t>
        </is>
      </c>
      <c r="E73" s="15" t="n"/>
      <c r="F73" s="15" t="n"/>
      <c r="G73" s="15" t="n"/>
      <c r="H73" s="36" t="inlineStr">
        <is>
          <t>홍길동</t>
        </is>
      </c>
      <c r="I73" s="15" t="n"/>
      <c r="J73" s="6" t="inlineStr"/>
    </row>
    <row r="74" ht="12" customHeight="1">
      <c r="A74" s="37" t="inlineStr">
        <is>
          <t>│</t>
        </is>
      </c>
    </row>
    <row r="75" ht="26" customHeight="1">
      <c r="A75" s="6" t="inlineStr"/>
      <c r="D75" s="14" t="inlineStr">
        <is>
          <t>환 경 관 리 자</t>
        </is>
      </c>
      <c r="E75" s="15" t="n"/>
      <c r="F75" s="15" t="n"/>
      <c r="G75" s="15" t="n"/>
      <c r="H75" s="36" t="inlineStr">
        <is>
          <t>박환경</t>
        </is>
      </c>
      <c r="I75" s="15" t="n"/>
      <c r="J75" s="6" t="inlineStr"/>
    </row>
    <row r="76" ht="12" customHeight="1">
      <c r="A76" s="37" t="inlineStr">
        <is>
          <t>│</t>
        </is>
      </c>
    </row>
    <row r="77" ht="26" customHeight="1">
      <c r="A77" s="6" t="inlineStr"/>
      <c r="D77" s="14" t="inlineStr">
        <is>
          <t>환경관리 감독자(공사 담당)</t>
        </is>
      </c>
      <c r="E77" s="15" t="n"/>
      <c r="F77" s="15" t="n"/>
      <c r="G77" s="15" t="n"/>
      <c r="H77" s="36" t="inlineStr">
        <is>
          <t>최공사</t>
        </is>
      </c>
      <c r="I77" s="15" t="n"/>
      <c r="J77" s="6" t="inlineStr"/>
    </row>
    <row r="78" ht="12" customHeight="1">
      <c r="A78" s="37" t="inlineStr">
        <is>
          <t>│</t>
        </is>
      </c>
    </row>
    <row r="79" ht="26" customHeight="1">
      <c r="A79" s="6" t="inlineStr"/>
      <c r="D79" s="14" t="inlineStr">
        <is>
          <t>협력업체 환경관리자</t>
        </is>
      </c>
      <c r="E79" s="15" t="n"/>
      <c r="F79" s="15" t="n"/>
      <c r="G79" s="15" t="n"/>
      <c r="H79" s="36" t="inlineStr">
        <is>
          <t>정협력</t>
        </is>
      </c>
      <c r="I79" s="15" t="n"/>
      <c r="J79" s="6" t="inlineStr"/>
    </row>
    <row r="80" ht="22" customHeight="1">
      <c r="A80" s="32" t="inlineStr">
        <is>
          <t>② 환경관리 조직별 주요업무 — 환경관리 총괄책임자(현장소장) 및 환경관리자는 다음 주요업무를 수행</t>
        </is>
      </c>
    </row>
    <row r="81" ht="24" customHeight="1">
      <c r="A81" s="25" t="inlineStr">
        <is>
          <t>관 리 조 직</t>
        </is>
      </c>
      <c r="B81" s="15" t="n"/>
      <c r="C81" s="15" t="n"/>
      <c r="D81" s="25" t="inlineStr">
        <is>
          <t>주   요   업   무</t>
        </is>
      </c>
      <c r="E81" s="15" t="n"/>
      <c r="F81" s="15" t="n"/>
      <c r="G81" s="15" t="n"/>
      <c r="H81" s="15" t="n"/>
      <c r="I81" s="15" t="n"/>
      <c r="J81" s="15" t="n"/>
      <c r="K81" s="15" t="n"/>
      <c r="L81" s="15" t="n"/>
    </row>
    <row r="82" ht="77.25" customHeight="1">
      <c r="A82" s="38" t="inlineStr">
        <is>
          <t>환경관리
총괄책임자</t>
        </is>
      </c>
      <c r="B82" s="15" t="n"/>
      <c r="C82" s="15" t="n"/>
      <c r="D82" s="39" t="inlineStr">
        <is>
          <t>◦ 환경관리업무 총괄책임
◦ 현장점검 및 사업장 환경개선에 관한 지시
◦ 대내 · 외 환경보전 활동 전개
◦ 환경 관련 사항의 법적 기준 준수
◦ 대관 · 민 협조체제 구축</t>
        </is>
      </c>
      <c r="E82" s="15" t="n"/>
      <c r="F82" s="15" t="n"/>
      <c r="G82" s="15" t="n"/>
      <c r="H82" s="15" t="n"/>
      <c r="I82" s="15" t="n"/>
      <c r="J82" s="15" t="n"/>
      <c r="K82" s="15" t="n"/>
      <c r="L82" s="15" t="n"/>
    </row>
    <row r="83" ht="191.25" customHeight="1">
      <c r="A83" s="38" t="inlineStr">
        <is>
          <t>환경관리자</t>
        </is>
      </c>
      <c r="B83" s="15" t="n"/>
      <c r="C83" s="15" t="n"/>
      <c r="D83" s="39" t="inlineStr">
        <is>
          <t>◦ 환경관리업무계획의 수립
◦ 환경관리의 올바른 이행 여부 확인 · 검토(점검, 평가)
◦ 환경오염 조사, 원인 분석 및 예방대책 기록, 유지관리
◦ 현장 직원(협력업체 포함) 교육 및 홍보
◦ 환경시설 인 · 허가 및 관련 행정업무
◦ 환경사고 및 관련 사항의 주관부서 보고
◦ 대기질 관련 전반 업무 수행
◦ 배출물질의 배출기준 준수 및 감량화 방안 연구
◦ 배출물질의 효율적 처리(폐기물 분리수거 등)
◦ 배출 · 방지시설의 정상기능 유지 및 운영자료 비치, 기록보존
◦ 배출 · 방지시설의 철거, 신 · 증설 보수 시 승인 요청
◦ 배출 · 방지시설 및 환경관리에 관한 자체교육
◦ 환경관리 총괄책임자의 환경 관련 업무지시 이행</t>
        </is>
      </c>
      <c r="E83" s="15" t="n"/>
      <c r="F83" s="15" t="n"/>
      <c r="G83" s="15" t="n"/>
      <c r="H83" s="15" t="n"/>
      <c r="I83" s="15" t="n"/>
      <c r="J83" s="15" t="n"/>
      <c r="K83" s="15" t="n"/>
      <c r="L83" s="15" t="n"/>
    </row>
    <row r="84" ht="63" customHeight="1">
      <c r="A84" s="38" t="inlineStr">
        <is>
          <t>환경관리
감 독 자</t>
        </is>
      </c>
      <c r="B84" s="15" t="n"/>
      <c r="C84" s="15" t="n"/>
      <c r="D84" s="39" t="inlineStr">
        <is>
          <t>◦ 현장공사와 관련한 환경관리 지휘 · 감독
◦ 환경오염방지시설의 설치, 운영
◦ 자연환경보전 및 건설폐기물 발생 절감, 재활용 촉진 이행
◦ 환경문제 발생 시 조사, 조치 이행</t>
        </is>
      </c>
      <c r="E84" s="15" t="n"/>
      <c r="F84" s="15" t="n"/>
      <c r="G84" s="15" t="n"/>
      <c r="H84" s="15" t="n"/>
      <c r="I84" s="15" t="n"/>
      <c r="J84" s="15" t="n"/>
      <c r="K84" s="15" t="n"/>
      <c r="L84" s="15" t="n"/>
    </row>
    <row r="85" ht="3" customHeight="1"/>
    <row r="86" ht="21" customHeight="1">
      <c r="A86" s="23" t="inlineStr">
        <is>
          <t>다. 환경요인별 관리계획</t>
        </is>
      </c>
    </row>
    <row r="87" ht="22" customHeight="1">
      <c r="A87" s="32" t="inlineStr">
        <is>
          <t>① 관계법령 및 관리대상</t>
        </is>
      </c>
    </row>
    <row r="88" ht="24" customHeight="1">
      <c r="A88" s="25" t="inlineStr">
        <is>
          <t>법   령</t>
        </is>
      </c>
      <c r="B88" s="15" t="n"/>
      <c r="C88" s="15" t="n"/>
      <c r="D88" s="15" t="n"/>
      <c r="E88" s="25" t="inlineStr">
        <is>
          <t>주 요  관 리  대 상</t>
        </is>
      </c>
      <c r="F88" s="15" t="n"/>
      <c r="G88" s="15" t="n"/>
      <c r="H88" s="15" t="n"/>
      <c r="I88" s="15" t="n"/>
      <c r="J88" s="15" t="n"/>
      <c r="K88" s="15" t="n"/>
      <c r="L88" s="15" t="n"/>
    </row>
    <row r="89" ht="24" customHeight="1">
      <c r="A89" s="39" t="inlineStr">
        <is>
          <t>대기환경보전법</t>
        </is>
      </c>
      <c r="B89" s="15" t="n"/>
      <c r="C89" s="15" t="n"/>
      <c r="D89" s="15" t="n"/>
      <c r="E89" s="39" t="inlineStr">
        <is>
          <t>▷ 비산먼지 및 대기오염 배출의 저감 대책</t>
        </is>
      </c>
      <c r="F89" s="15" t="n"/>
      <c r="G89" s="15" t="n"/>
      <c r="H89" s="15" t="n"/>
      <c r="I89" s="15" t="n"/>
      <c r="J89" s="15" t="n"/>
      <c r="K89" s="15" t="n"/>
      <c r="L89" s="15" t="n"/>
    </row>
    <row r="90" ht="24" customHeight="1">
      <c r="A90" s="39" t="inlineStr">
        <is>
          <t>소음 · 진동관리법</t>
        </is>
      </c>
      <c r="B90" s="15" t="n"/>
      <c r="C90" s="15" t="n"/>
      <c r="D90" s="15" t="n"/>
      <c r="E90" s="39" t="inlineStr">
        <is>
          <t>▷ 장비의 작업 및 이동, 발파 등에 따른 소음 및 진동 제어</t>
        </is>
      </c>
      <c r="F90" s="15" t="n"/>
      <c r="G90" s="15" t="n"/>
      <c r="H90" s="15" t="n"/>
      <c r="I90" s="15" t="n"/>
      <c r="J90" s="15" t="n"/>
      <c r="K90" s="15" t="n"/>
      <c r="L90" s="15" t="n"/>
    </row>
    <row r="91" ht="34.5" customHeight="1">
      <c r="A91" s="39" t="inlineStr">
        <is>
          <t>폐기물관리법 · 건설폐기물의 재활용촉진에 관한 법률</t>
        </is>
      </c>
      <c r="B91" s="15" t="n"/>
      <c r="C91" s="15" t="n"/>
      <c r="D91" s="15" t="n"/>
      <c r="E91" s="39" t="inlineStr">
        <is>
          <t>▷ 건설폐기물 발생의 최소화 및 적법 처리</t>
        </is>
      </c>
      <c r="F91" s="15" t="n"/>
      <c r="G91" s="15" t="n"/>
      <c r="H91" s="15" t="n"/>
      <c r="I91" s="15" t="n"/>
      <c r="J91" s="15" t="n"/>
      <c r="K91" s="15" t="n"/>
      <c r="L91" s="15" t="n"/>
    </row>
    <row r="92" ht="24" customHeight="1">
      <c r="A92" s="39" t="inlineStr">
        <is>
          <t>지하수법</t>
        </is>
      </c>
      <c r="B92" s="15" t="n"/>
      <c r="C92" s="15" t="n"/>
      <c r="D92" s="15" t="n"/>
      <c r="E92" s="39" t="inlineStr">
        <is>
          <t>▷ 지하수 개발에 따른 지하수 오염방지 및 현장용수의 유출 관리</t>
        </is>
      </c>
      <c r="F92" s="15" t="n"/>
      <c r="G92" s="15" t="n"/>
      <c r="H92" s="15" t="n"/>
      <c r="I92" s="15" t="n"/>
      <c r="J92" s="15" t="n"/>
      <c r="K92" s="15" t="n"/>
      <c r="L92" s="15" t="n"/>
    </row>
    <row r="93" ht="24" customHeight="1">
      <c r="A93" s="39" t="inlineStr">
        <is>
          <t>환경영향평가법</t>
        </is>
      </c>
      <c r="B93" s="15" t="n"/>
      <c r="C93" s="15" t="n"/>
      <c r="D93" s="15" t="n"/>
      <c r="E93" s="39" t="inlineStr">
        <is>
          <t>▷ 공사 착공 전 환경영향평가로 환경오염 피해의 최소화</t>
        </is>
      </c>
      <c r="F93" s="15" t="n"/>
      <c r="G93" s="15" t="n"/>
      <c r="H93" s="15" t="n"/>
      <c r="I93" s="15" t="n"/>
      <c r="J93" s="15" t="n"/>
      <c r="K93" s="15" t="n"/>
      <c r="L93" s="15" t="n"/>
    </row>
    <row r="94" ht="22" customHeight="1">
      <c r="A94" s="32" t="inlineStr">
        <is>
          <t>② 기본방침</t>
        </is>
      </c>
    </row>
    <row r="95" ht="20.5" customHeight="1">
      <c r="A95" s="34" t="inlineStr">
        <is>
          <t>㉮</t>
        </is>
      </c>
      <c r="B95" s="35" t="inlineStr">
        <is>
          <t>환경관리조직 및 책임과 권한 분장(업무분장표)</t>
        </is>
      </c>
    </row>
    <row r="96" ht="20.5" customHeight="1">
      <c r="A96" s="34" t="inlineStr">
        <is>
          <t>㉯</t>
        </is>
      </c>
      <c r="B96" s="35" t="inlineStr">
        <is>
          <t>관련 인허가(신고 및 변경신고) 적기 수행으로 환경법규 준수</t>
        </is>
      </c>
    </row>
    <row r="97" ht="20.5" customHeight="1">
      <c r="A97" s="34" t="inlineStr">
        <is>
          <t>㉰</t>
        </is>
      </c>
      <c r="B97" s="35" t="inlineStr">
        <is>
          <t>주기적 교육 시행</t>
        </is>
      </c>
    </row>
    <row r="98" ht="20.5" customHeight="1">
      <c r="A98" s="34" t="inlineStr">
        <is>
          <t>㉱</t>
        </is>
      </c>
      <c r="B98" s="35" t="inlineStr">
        <is>
          <t>필요 항목별 점검 및 집중관리</t>
        </is>
      </c>
    </row>
    <row r="99" ht="3" customHeight="1"/>
    <row r="100" ht="21" customHeight="1">
      <c r="A100" s="23" t="inlineStr">
        <is>
          <t>라. 환경시설물 설치관리계획</t>
        </is>
      </c>
    </row>
    <row r="101" ht="22" customHeight="1">
      <c r="A101" s="32" t="inlineStr">
        <is>
          <t>① 환경시설물 설치 및 관리</t>
        </is>
      </c>
    </row>
    <row r="102" ht="20.5" customHeight="1">
      <c r="A102" s="34" t="inlineStr">
        <is>
          <t>㉮</t>
        </is>
      </c>
      <c r="B102" s="35" t="inlineStr">
        <is>
          <t>공사장을 출입하는 차량은 반드시 세륜 또는 측면살수 후 운행토록 한다.</t>
        </is>
      </c>
    </row>
    <row r="103" ht="51.5" customHeight="1">
      <c r="A103" s="34" t="inlineStr">
        <is>
          <t>㉯</t>
        </is>
      </c>
      <c r="B103" s="35" t="inlineStr">
        <is>
          <t>공사장에서 굴착으로 발생한 토사 등 분체상 물질은 즉시 제거하고 공사장 안에 쌓아 두지 않는다. 부득이하게 쌓아 둘 때에는 토사가 날리지 않도록 막고 차도와 인도 등 도로에 흘러들지 않도록 필요한 조치를 한다.</t>
        </is>
      </c>
    </row>
    <row r="104" ht="36" customHeight="1">
      <c r="A104" s="34" t="inlineStr">
        <is>
          <t>㉰</t>
        </is>
      </c>
      <c r="B104" s="35" t="inlineStr">
        <is>
          <t>굴착공사에 비산먼지가 생길 우려가 있으면 방진막, 방진벽 또는 방진덮개 등을 쓰고, 알맞은 곳에 살수장치를 설치하여 살수함으로써 비산을 막는다.</t>
        </is>
      </c>
    </row>
    <row r="105" ht="36" customHeight="1">
      <c r="A105" s="34" t="inlineStr">
        <is>
          <t>㉱</t>
        </is>
      </c>
      <c r="B105" s="35" t="inlineStr">
        <is>
          <t>세륜 · 측면살수 물과 공사장에서 생기는 물 등은 차도와 인도 등에 흐르거나 뿌려지지 않도록 한다.</t>
        </is>
      </c>
    </row>
    <row r="106" ht="20.5" customHeight="1">
      <c r="A106" s="34" t="inlineStr">
        <is>
          <t>㉲</t>
        </is>
      </c>
      <c r="B106" s="35" t="inlineStr">
        <is>
          <t>공사장에서 발생한 토사 등 분체상 물질을 싣고 내릴 때에는 법규 기준에 따른다.</t>
        </is>
      </c>
    </row>
    <row r="107" ht="36" customHeight="1">
      <c r="A107" s="34" t="inlineStr">
        <is>
          <t>㉳</t>
        </is>
      </c>
      <c r="B107" s="35" t="inlineStr">
        <is>
          <t>방진벽 · 방진망 · 방진덮개 등 비산먼지 · 소음 방지시설은 외관상 혐오감을 주지 않는 색채나 재질을 쓰고, 차량 통행과 보행에 지장을 주지 않도록 설치한다.</t>
        </is>
      </c>
    </row>
    <row r="108" ht="20.5" customHeight="1">
      <c r="A108" s="34" t="inlineStr">
        <is>
          <t>㉴</t>
        </is>
      </c>
      <c r="B108" s="35" t="inlineStr">
        <is>
          <t>세륜기 설치 및 살수차 운영기간 : 공사 착공 ~ 준공</t>
        </is>
      </c>
    </row>
    <row r="109" ht="22" customHeight="1">
      <c r="A109" s="32" t="inlineStr">
        <is>
          <t>② 중기관리계획</t>
        </is>
      </c>
    </row>
    <row r="110" ht="20" customHeight="1">
      <c r="A110" s="40" t="inlineStr">
        <is>
          <t>㉮</t>
        </is>
      </c>
      <c r="B110" s="6" t="inlineStr">
        <is>
          <t>장비 실명화(반입 시 접수서류)</t>
        </is>
      </c>
    </row>
    <row r="111" ht="20.5" customHeight="1">
      <c r="A111" s="34" t="inlineStr">
        <is>
          <t>1)</t>
        </is>
      </c>
      <c r="C111" s="35" t="inlineStr">
        <is>
          <t>건설기계 등록증 사본 1부</t>
        </is>
      </c>
    </row>
    <row r="112" ht="20.5" customHeight="1">
      <c r="A112" s="34" t="inlineStr">
        <is>
          <t>2)</t>
        </is>
      </c>
      <c r="C112" s="35" t="inlineStr">
        <is>
          <t>사업자 등록증 사본 1부</t>
        </is>
      </c>
    </row>
    <row r="113" ht="20.5" customHeight="1">
      <c r="A113" s="34" t="inlineStr">
        <is>
          <t>3)</t>
        </is>
      </c>
      <c r="C113" s="35" t="inlineStr">
        <is>
          <t>운전면허증 사본 1부</t>
        </is>
      </c>
    </row>
    <row r="114" ht="20.5" customHeight="1">
      <c r="A114" s="34" t="inlineStr">
        <is>
          <t>4)</t>
        </is>
      </c>
      <c r="C114" s="35" t="inlineStr">
        <is>
          <t>건설기계 검사(운행상황 신고) 1부</t>
        </is>
      </c>
    </row>
    <row r="115" ht="20.5" customHeight="1">
      <c r="A115" s="34" t="inlineStr">
        <is>
          <t>5)</t>
        </is>
      </c>
      <c r="C115" s="35" t="inlineStr">
        <is>
          <t>자동차 보험증 사본 1부</t>
        </is>
      </c>
    </row>
    <row r="116" ht="20" customHeight="1">
      <c r="A116" s="40" t="inlineStr">
        <is>
          <t>㉯</t>
        </is>
      </c>
      <c r="B116" s="6" t="inlineStr">
        <is>
          <t>운영관리</t>
        </is>
      </c>
    </row>
    <row r="117" ht="20.5" customHeight="1">
      <c r="A117" s="34" t="inlineStr">
        <is>
          <t>1)</t>
        </is>
      </c>
      <c r="C117" s="35" t="inlineStr">
        <is>
          <t>현장 내 차량 속도 20km/h 이하 준수 교육</t>
        </is>
      </c>
    </row>
    <row r="118" ht="20.5" customHeight="1">
      <c r="A118" s="34" t="inlineStr">
        <is>
          <t>2)</t>
        </is>
      </c>
      <c r="C118" s="35" t="inlineStr">
        <is>
          <t>현장 내 오일 교환, 주유, 장비 수리 등 행위 금지 교육</t>
        </is>
      </c>
    </row>
    <row r="119" ht="20.5" customHeight="1">
      <c r="A119" s="34" t="inlineStr">
        <is>
          <t>3)</t>
        </is>
      </c>
      <c r="C119" s="35" t="inlineStr">
        <is>
          <t>현장 내 공회전, 과적, 경음기 사용 등 금지 조치</t>
        </is>
      </c>
    </row>
    <row r="120" ht="20.5" customHeight="1">
      <c r="A120" s="34" t="inlineStr">
        <is>
          <t>4)</t>
        </is>
      </c>
      <c r="C120" s="35" t="inlineStr">
        <is>
          <t>중기의 정기적 안전점검 및 유지관리</t>
        </is>
      </c>
    </row>
    <row r="121" ht="20" customHeight="1">
      <c r="A121" s="40" t="inlineStr">
        <is>
          <t>㉰</t>
        </is>
      </c>
      <c r="B121" s="6" t="inlineStr">
        <is>
          <t>폐윤활유 등 보관시설 및 보관대책 — 보관소 설치</t>
        </is>
      </c>
    </row>
    <row r="122" ht="22" customHeight="1">
      <c r="A122" s="32" t="inlineStr">
        <is>
          <t>③ 방진시설 및 세륜기 설치도</t>
        </is>
      </c>
    </row>
    <row r="123" ht="20" customHeight="1">
      <c r="A123" s="24" t="inlineStr">
        <is>
          <t>(㉮ 설치위치도)</t>
        </is>
      </c>
      <c r="B123" s="15" t="n"/>
      <c r="C123" s="15" t="n"/>
      <c r="D123" s="15" t="n"/>
      <c r="E123" s="15" t="n"/>
      <c r="F123" s="15" t="n"/>
      <c r="G123" s="24" t="inlineStr">
        <is>
          <t>(㉯ 가설방음벽 상세도)</t>
        </is>
      </c>
      <c r="H123" s="15" t="n"/>
      <c r="I123" s="15" t="n"/>
      <c r="J123" s="15" t="n"/>
      <c r="K123" s="15" t="n"/>
      <c r="L123" s="15" t="n"/>
    </row>
    <row r="124" ht="20" customHeight="1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</row>
    <row r="125" ht="20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</row>
    <row r="126" ht="20" customHeight="1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</row>
    <row r="127" ht="20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</row>
    <row r="128" ht="20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</row>
    <row r="129" ht="20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</row>
    <row r="130" ht="20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</row>
    <row r="131" ht="20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</row>
    <row r="132" ht="20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</row>
    <row r="133" ht="3" customHeight="1"/>
    <row r="134" ht="21" customHeight="1">
      <c r="A134" s="23" t="inlineStr">
        <is>
          <t>마. 현장 환경관리 활동계획</t>
        </is>
      </c>
    </row>
    <row r="135" ht="22" customHeight="1">
      <c r="A135" s="32" t="inlineStr">
        <is>
          <t>① 환경관리 점검 및 대책 — ㉮ 점검계획</t>
        </is>
      </c>
    </row>
    <row r="136" ht="24" customHeight="1">
      <c r="A136" s="25" t="inlineStr">
        <is>
          <t>구   분</t>
        </is>
      </c>
      <c r="B136" s="15" t="n"/>
      <c r="C136" s="25" t="inlineStr">
        <is>
          <t>점검 책임자</t>
        </is>
      </c>
      <c r="D136" s="15" t="n"/>
      <c r="E136" s="15" t="n"/>
      <c r="F136" s="25" t="inlineStr">
        <is>
          <t>주 요  점 검  내 용</t>
        </is>
      </c>
      <c r="G136" s="15" t="n"/>
      <c r="H136" s="15" t="n"/>
      <c r="I136" s="15" t="n"/>
      <c r="J136" s="15" t="n"/>
      <c r="K136" s="15" t="n"/>
      <c r="L136" s="15" t="n"/>
    </row>
    <row r="137" ht="34.5" customHeight="1">
      <c r="A137" s="38" t="inlineStr">
        <is>
          <t>일일 점검</t>
        </is>
      </c>
      <c r="B137" s="15" t="n"/>
      <c r="C137" s="39" t="inlineStr">
        <is>
          <t>▶ 환경관리자
▶ 협력업체 반장</t>
        </is>
      </c>
      <c r="D137" s="15" t="n"/>
      <c r="E137" s="15" t="n"/>
      <c r="F137" s="39" t="inlineStr">
        <is>
          <t>▶ 현장숙소 주변의 청결 및 폐기물 청소상태
▶ 현장식당의 위생관리상태</t>
        </is>
      </c>
      <c r="G137" s="15" t="n"/>
      <c r="H137" s="15" t="n"/>
      <c r="I137" s="15" t="n"/>
      <c r="J137" s="15" t="n"/>
      <c r="K137" s="15" t="n"/>
      <c r="L137" s="15" t="n"/>
    </row>
    <row r="138" ht="48.75" customHeight="1">
      <c r="A138" s="38" t="inlineStr">
        <is>
          <t>주간 점검
(매주 금요일)</t>
        </is>
      </c>
      <c r="B138" s="15" t="n"/>
      <c r="C138" s="39" t="inlineStr">
        <is>
          <t>▶ 환경관리자
▶ 공사부장, 협력업체 소장</t>
        </is>
      </c>
      <c r="D138" s="15" t="n"/>
      <c r="E138" s="15" t="n"/>
      <c r="F138" s="39" t="inlineStr">
        <is>
          <t>▶ 현장 주변 청소 및 폐기물 보관상태
▶ 현장숙소 및 편의시설 청결상태</t>
        </is>
      </c>
      <c r="G138" s="15" t="n"/>
      <c r="H138" s="15" t="n"/>
      <c r="I138" s="15" t="n"/>
      <c r="J138" s="15" t="n"/>
      <c r="K138" s="15" t="n"/>
      <c r="L138" s="15" t="n"/>
    </row>
    <row r="139" ht="63" customHeight="1">
      <c r="A139" s="38" t="inlineStr">
        <is>
          <t>월간 점검
(매월 5일)</t>
        </is>
      </c>
      <c r="B139" s="15" t="n"/>
      <c r="C139" s="39" t="inlineStr">
        <is>
          <t>▶ 현장소장</t>
        </is>
      </c>
      <c r="D139" s="15" t="n"/>
      <c r="E139" s="15" t="n"/>
      <c r="F139" s="39" t="inlineStr">
        <is>
          <t>▶ 식당 음용수 수질검사결과의 유효기간 확인
▶ 숙소생활자의 건의사항 수렴
▶ 현장 외부의 민원발생 요인 조사
▶ 폐기물처리의 적정성 여부 등</t>
        </is>
      </c>
      <c r="G139" s="15" t="n"/>
      <c r="H139" s="15" t="n"/>
      <c r="I139" s="15" t="n"/>
      <c r="J139" s="15" t="n"/>
      <c r="K139" s="15" t="n"/>
      <c r="L139" s="15" t="n"/>
    </row>
    <row r="140" ht="22" customHeight="1">
      <c r="A140" s="32" t="inlineStr">
        <is>
          <t>㉯ 점검결과에 대한 대책</t>
        </is>
      </c>
    </row>
    <row r="141" ht="24" customHeight="1">
      <c r="A141" s="25" t="inlineStr">
        <is>
          <t>구   분</t>
        </is>
      </c>
      <c r="B141" s="15" t="n"/>
      <c r="C141" s="15" t="n"/>
      <c r="D141" s="25" t="inlineStr">
        <is>
          <t>조   치   방   안</t>
        </is>
      </c>
      <c r="E141" s="15" t="n"/>
      <c r="F141" s="15" t="n"/>
      <c r="G141" s="15" t="n"/>
      <c r="H141" s="15" t="n"/>
      <c r="I141" s="15" t="n"/>
      <c r="J141" s="15" t="n"/>
      <c r="K141" s="15" t="n"/>
      <c r="L141" s="15" t="n"/>
    </row>
    <row r="142" ht="34.5" customHeight="1">
      <c r="A142" s="38" t="inlineStr">
        <is>
          <t>일일점검 결과</t>
        </is>
      </c>
      <c r="B142" s="15" t="n"/>
      <c r="C142" s="15" t="n"/>
      <c r="D142" s="39" t="inlineStr">
        <is>
          <t>▶ 협력업체 작업반원, 현장 직영근로자 및 현장식당 인원을 활용하여 다음 날까지 시정 조치 후 환경담당자는 그 결과를 보고토록 한다.</t>
        </is>
      </c>
      <c r="E142" s="15" t="n"/>
      <c r="F142" s="15" t="n"/>
      <c r="G142" s="15" t="n"/>
      <c r="H142" s="15" t="n"/>
      <c r="I142" s="15" t="n"/>
      <c r="J142" s="15" t="n"/>
      <c r="K142" s="15" t="n"/>
      <c r="L142" s="15" t="n"/>
    </row>
    <row r="143" ht="24" customHeight="1">
      <c r="A143" s="38" t="inlineStr">
        <is>
          <t>주간점검 결과</t>
        </is>
      </c>
      <c r="B143" s="15" t="n"/>
      <c r="C143" s="15" t="n"/>
      <c r="D143" s="39" t="inlineStr">
        <is>
          <t>▶ 사용자에 대한 경고 조치 및 재발 시 퇴소 조치</t>
        </is>
      </c>
      <c r="E143" s="15" t="n"/>
      <c r="F143" s="15" t="n"/>
      <c r="G143" s="15" t="n"/>
      <c r="H143" s="15" t="n"/>
      <c r="I143" s="15" t="n"/>
      <c r="J143" s="15" t="n"/>
      <c r="K143" s="15" t="n"/>
      <c r="L143" s="15" t="n"/>
    </row>
    <row r="144" ht="34.5" customHeight="1">
      <c r="A144" s="38" t="inlineStr">
        <is>
          <t>월간점검 결과</t>
        </is>
      </c>
      <c r="B144" s="15" t="n"/>
      <c r="C144" s="15" t="n"/>
      <c r="D144" s="39" t="inlineStr">
        <is>
          <t>▶ 개선사항 토론 및 반영(협력업체 포함)
▶ 현장 외부 민원 유발사항에 대하여는 특별조치안 수립</t>
        </is>
      </c>
      <c r="E144" s="15" t="n"/>
      <c r="F144" s="15" t="n"/>
      <c r="G144" s="15" t="n"/>
      <c r="H144" s="15" t="n"/>
      <c r="I144" s="15" t="n"/>
      <c r="J144" s="15" t="n"/>
      <c r="K144" s="15" t="n"/>
      <c r="L144" s="15" t="n"/>
    </row>
    <row r="145" ht="22" customHeight="1">
      <c r="A145" s="32" t="inlineStr">
        <is>
          <t>㉰ 환경관리 점검표 — «점검표» 시트</t>
        </is>
      </c>
    </row>
    <row r="146" ht="22" customHeight="1">
      <c r="A146" s="32" t="inlineStr">
        <is>
          <t>② 교육계획</t>
        </is>
      </c>
    </row>
    <row r="147" ht="20" customHeight="1">
      <c r="A147" s="40" t="inlineStr">
        <is>
          <t>㉮</t>
        </is>
      </c>
      <c r="B147" s="6" t="inlineStr">
        <is>
          <t>목적</t>
        </is>
      </c>
    </row>
    <row r="148" ht="20.5" customHeight="1">
      <c r="A148" s="34" t="inlineStr">
        <is>
          <t>1)</t>
        </is>
      </c>
      <c r="C148" s="35" t="inlineStr">
        <is>
          <t>환경관리 의식 제고</t>
        </is>
      </c>
    </row>
    <row r="149" ht="20.5" customHeight="1">
      <c r="A149" s="34" t="inlineStr">
        <is>
          <t>2)</t>
        </is>
      </c>
      <c r="C149" s="35" t="inlineStr">
        <is>
          <t>환경보전 방안에 대한 공동 의견 수렴</t>
        </is>
      </c>
    </row>
    <row r="150" ht="20.5" customHeight="1">
      <c r="A150" s="34" t="inlineStr">
        <is>
          <t>3)</t>
        </is>
      </c>
      <c r="C150" s="35" t="inlineStr">
        <is>
          <t>국가경제관에 입각한 애국심 고취</t>
        </is>
      </c>
    </row>
    <row r="151" ht="20.5" customHeight="1">
      <c r="A151" s="34" t="inlineStr">
        <is>
          <t>4)</t>
        </is>
      </c>
      <c r="C151" s="35" t="inlineStr">
        <is>
          <t>현장 외부에 대한 회사 관련 이미지 조성 기여</t>
        </is>
      </c>
    </row>
    <row r="152" ht="20.5" customHeight="1">
      <c r="A152" s="34" t="inlineStr">
        <is>
          <t>5)</t>
        </is>
      </c>
      <c r="C152" s="35" t="inlineStr">
        <is>
          <t>작업 간 예상되는 환경오염 사전 예방</t>
        </is>
      </c>
    </row>
    <row r="153" ht="20" customHeight="1">
      <c r="A153" s="40" t="inlineStr">
        <is>
          <t>㉯</t>
        </is>
      </c>
      <c r="B153" s="6" t="inlineStr">
        <is>
          <t>정기 환경관리 교육 — 1) 전 근로자</t>
        </is>
      </c>
    </row>
    <row r="154" ht="24" customHeight="1">
      <c r="A154" s="25" t="inlineStr">
        <is>
          <t>구 분</t>
        </is>
      </c>
      <c r="B154" s="15" t="n"/>
      <c r="C154" s="25" t="inlineStr">
        <is>
          <t>내  용</t>
        </is>
      </c>
      <c r="D154" s="15" t="n"/>
      <c r="E154" s="15" t="n"/>
      <c r="F154" s="15" t="n"/>
      <c r="G154" s="25" t="inlineStr">
        <is>
          <t>구 분</t>
        </is>
      </c>
      <c r="H154" s="15" t="n"/>
      <c r="I154" s="25" t="inlineStr">
        <is>
          <t>내  용</t>
        </is>
      </c>
      <c r="J154" s="15" t="n"/>
      <c r="K154" s="15" t="n"/>
      <c r="L154" s="15" t="n"/>
    </row>
    <row r="155" ht="24" customHeight="1">
      <c r="A155" s="39" t="inlineStr">
        <is>
          <t>교육대상</t>
        </is>
      </c>
      <c r="B155" s="15" t="n"/>
      <c r="C155" s="39" t="inlineStr">
        <is>
          <t>전 근로자</t>
        </is>
      </c>
      <c r="D155" s="15" t="n"/>
      <c r="E155" s="15" t="n"/>
      <c r="F155" s="15" t="n"/>
      <c r="G155" s="39" t="inlineStr">
        <is>
          <t>교육주기</t>
        </is>
      </c>
      <c r="H155" s="15" t="n"/>
      <c r="I155" s="39" t="inlineStr">
        <is>
          <t>매월 1회 이상</t>
        </is>
      </c>
      <c r="J155" s="15" t="n"/>
      <c r="K155" s="15" t="n"/>
      <c r="L155" s="15" t="n"/>
    </row>
    <row r="156" ht="24" customHeight="1">
      <c r="A156" s="39" t="inlineStr">
        <is>
          <t>교육시기</t>
        </is>
      </c>
      <c r="B156" s="15" t="n"/>
      <c r="C156" s="39" t="inlineStr">
        <is>
          <t>매월 안전보건 정기교육 때</t>
        </is>
      </c>
      <c r="D156" s="15" t="n"/>
      <c r="E156" s="15" t="n"/>
      <c r="F156" s="15" t="n"/>
      <c r="G156" s="39" t="inlineStr">
        <is>
          <t>교육시간</t>
        </is>
      </c>
      <c r="H156" s="15" t="n"/>
      <c r="I156" s="39" t="inlineStr">
        <is>
          <t>1시간 이내</t>
        </is>
      </c>
      <c r="J156" s="15" t="n"/>
      <c r="K156" s="15" t="n"/>
      <c r="L156" s="15" t="n"/>
    </row>
    <row r="157" ht="24" customHeight="1">
      <c r="A157" s="39" t="inlineStr">
        <is>
          <t>교육장소</t>
        </is>
      </c>
      <c r="B157" s="15" t="n"/>
      <c r="C157" s="39" t="inlineStr">
        <is>
          <t>현장교육장(실)</t>
        </is>
      </c>
      <c r="D157" s="15" t="n"/>
      <c r="E157" s="15" t="n"/>
      <c r="F157" s="15" t="n"/>
      <c r="G157" s="39" t="inlineStr">
        <is>
          <t>주 관 자</t>
        </is>
      </c>
      <c r="H157" s="15" t="n"/>
      <c r="I157" s="39" t="inlineStr">
        <is>
          <t>환경관리자</t>
        </is>
      </c>
      <c r="J157" s="15" t="n"/>
      <c r="K157" s="15" t="n"/>
      <c r="L157" s="15" t="n"/>
    </row>
    <row r="158" ht="50.175" customHeight="1">
      <c r="A158" s="41" t="inlineStr">
        <is>
          <t>교육내용 : ▶ 환경법규의 일반사항 ▶ 환경보전의 중요성 및 필요성 인식(포스터, 표어, 환경홍보 이용) ▶ 공종별 환경오염 원인 파악 및 저감 방안 ▶ 현장 내 오염발생원에 대한 전파 및 오염발생 예방을 위한 협조 요청 ▶ 환경 피해 사례 전파 교육 등</t>
        </is>
      </c>
    </row>
    <row r="159" ht="20" customHeight="1">
      <c r="A159" s="6" t="inlineStr"/>
      <c r="C159" s="6" t="inlineStr">
        <is>
          <t>2) 기타 — 오염발생원 취급 작업자</t>
        </is>
      </c>
    </row>
    <row r="160" ht="24" customHeight="1">
      <c r="A160" s="25" t="inlineStr">
        <is>
          <t>구 분</t>
        </is>
      </c>
      <c r="B160" s="15" t="n"/>
      <c r="C160" s="25" t="inlineStr">
        <is>
          <t>내  용</t>
        </is>
      </c>
      <c r="D160" s="15" t="n"/>
      <c r="E160" s="15" t="n"/>
      <c r="F160" s="15" t="n"/>
      <c r="G160" s="25" t="inlineStr">
        <is>
          <t>구 분</t>
        </is>
      </c>
      <c r="H160" s="15" t="n"/>
      <c r="I160" s="25" t="inlineStr">
        <is>
          <t>내  용</t>
        </is>
      </c>
      <c r="J160" s="15" t="n"/>
      <c r="K160" s="15" t="n"/>
      <c r="L160" s="15" t="n"/>
    </row>
    <row r="161" ht="24" customHeight="1">
      <c r="A161" s="39" t="inlineStr">
        <is>
          <t>교육대상</t>
        </is>
      </c>
      <c r="B161" s="15" t="n"/>
      <c r="C161" s="39" t="inlineStr">
        <is>
          <t>오염발생원 취급 작업자</t>
        </is>
      </c>
      <c r="D161" s="15" t="n"/>
      <c r="E161" s="15" t="n"/>
      <c r="F161" s="15" t="n"/>
      <c r="G161" s="39" t="inlineStr">
        <is>
          <t>교육주기</t>
        </is>
      </c>
      <c r="H161" s="15" t="n"/>
      <c r="I161" s="39" t="inlineStr">
        <is>
          <t>사유 발생 때</t>
        </is>
      </c>
      <c r="J161" s="15" t="n"/>
      <c r="K161" s="15" t="n"/>
      <c r="L161" s="15" t="n"/>
    </row>
    <row r="162" ht="24" customHeight="1">
      <c r="A162" s="39" t="inlineStr">
        <is>
          <t>교육시기</t>
        </is>
      </c>
      <c r="B162" s="15" t="n"/>
      <c r="C162" s="39" t="inlineStr">
        <is>
          <t>작업 착수 전</t>
        </is>
      </c>
      <c r="D162" s="15" t="n"/>
      <c r="E162" s="15" t="n"/>
      <c r="F162" s="15" t="n"/>
      <c r="G162" s="39" t="inlineStr">
        <is>
          <t>교육시간</t>
        </is>
      </c>
      <c r="H162" s="15" t="n"/>
      <c r="I162" s="39" t="inlineStr">
        <is>
          <t>30분 이내</t>
        </is>
      </c>
      <c r="J162" s="15" t="n"/>
      <c r="K162" s="15" t="n"/>
      <c r="L162" s="15" t="n"/>
    </row>
    <row r="163" ht="24" customHeight="1">
      <c r="A163" s="39" t="inlineStr">
        <is>
          <t>교육장소</t>
        </is>
      </c>
      <c r="B163" s="15" t="n"/>
      <c r="C163" s="39" t="inlineStr">
        <is>
          <t>현장교육장(실)</t>
        </is>
      </c>
      <c r="D163" s="15" t="n"/>
      <c r="E163" s="15" t="n"/>
      <c r="F163" s="15" t="n"/>
      <c r="G163" s="39" t="inlineStr">
        <is>
          <t>주 관 자</t>
        </is>
      </c>
      <c r="H163" s="15" t="n"/>
      <c r="I163" s="39" t="inlineStr">
        <is>
          <t>환경관리자, 관리감독자</t>
        </is>
      </c>
      <c r="J163" s="15" t="n"/>
      <c r="K163" s="15" t="n"/>
      <c r="L163" s="15" t="n"/>
    </row>
    <row r="164" ht="35.45" customHeight="1">
      <c r="A164" s="41" t="inlineStr">
        <is>
          <t>교육내용 : ▶ 오염으로 인한 위험 정도 및 환경피해 저감 방안 교육 ▶ 필요시 개인보호구 지급 ▶ 대피요령 ▶ 기타</t>
        </is>
      </c>
    </row>
    <row r="165" ht="21.5" customHeight="1">
      <c r="A165" s="33" t="inlineStr">
        <is>
          <t>3) 기록유지 : 현장소장은 환경교육 실시사항을 교육일지(교육기록서)에 기록 · 유지관리한다.</t>
        </is>
      </c>
    </row>
    <row r="166" ht="22" customHeight="1">
      <c r="A166" s="32" t="inlineStr">
        <is>
          <t>③ 현장 주변 청소계획 (현장 내부)</t>
        </is>
      </c>
    </row>
    <row r="167" ht="20.5" customHeight="1">
      <c r="A167" s="34" t="inlineStr">
        <is>
          <t>㉮</t>
        </is>
      </c>
      <c r="B167" s="35" t="inlineStr">
        <is>
          <t>현장 내부 청소</t>
        </is>
      </c>
    </row>
    <row r="168" ht="20.5" customHeight="1">
      <c r="A168" s="34" t="inlineStr">
        <is>
          <t>㉯</t>
        </is>
      </c>
      <c r="B168" s="35" t="inlineStr">
        <is>
          <t>일일 청소 및 점검 실시</t>
        </is>
      </c>
    </row>
    <row r="169" ht="20.5" customHeight="1">
      <c r="A169" s="34" t="inlineStr">
        <is>
          <t>㉰</t>
        </is>
      </c>
      <c r="B169" s="35" t="inlineStr">
        <is>
          <t>청소는 작업 종료 전 각 작업반 주관으로 해당 구역 청소 시행</t>
        </is>
      </c>
    </row>
    <row r="170" ht="36" customHeight="1">
      <c r="A170" s="34" t="inlineStr">
        <is>
          <t>㉱</t>
        </is>
      </c>
      <c r="B170" s="35" t="inlineStr">
        <is>
          <t>일일 작업 완료 후 공사과장 주관으로 이행상태를 점검하여 불이행 업체는 다음 날 작업 착수 전 청소 수행 지시</t>
        </is>
      </c>
    </row>
    <row r="171" ht="22" customHeight="1">
      <c r="A171" s="32" t="inlineStr">
        <is>
          <t>④ 현장 외부 청소</t>
        </is>
      </c>
    </row>
    <row r="172" ht="20.5" customHeight="1">
      <c r="A172" s="34" t="inlineStr">
        <is>
          <t>㉮</t>
        </is>
      </c>
      <c r="B172" s="35" t="inlineStr">
        <is>
          <t>정기 청소의 날 지정, 실시(매주 1회)</t>
        </is>
      </c>
    </row>
    <row r="173" ht="20.5" customHeight="1">
      <c r="A173" s="34" t="inlineStr">
        <is>
          <t>㉯</t>
        </is>
      </c>
      <c r="B173" s="35" t="inlineStr">
        <is>
          <t>현장관리 전 직원, 직영 근로자, 협력업체 소장 및 공종별 작업자 중심으로 실시</t>
        </is>
      </c>
    </row>
    <row r="174" ht="20.5" customHeight="1">
      <c r="A174" s="34" t="inlineStr">
        <is>
          <t>㉰</t>
        </is>
      </c>
      <c r="B174" s="35" t="inlineStr">
        <is>
          <t>현장 공무담당자는 협력업체별 실시 구역을 정해 정리정돈 실시</t>
        </is>
      </c>
    </row>
    <row r="175" ht="20.5" customHeight="1">
      <c r="A175" s="34" t="inlineStr">
        <is>
          <t>㉱</t>
        </is>
      </c>
      <c r="B175" s="35" t="inlineStr">
        <is>
          <t>작업 완료 후 현장소장 점검 실시</t>
        </is>
      </c>
    </row>
    <row r="176" ht="22" customHeight="1">
      <c r="A176" s="32" t="inlineStr">
        <is>
          <t>⑤ 비산먼지 방지계획</t>
        </is>
      </c>
    </row>
    <row r="177" ht="52.5" customHeight="1">
      <c r="A177" s="33" t="inlineStr">
        <is>
          <t>㉮ 목적 : 공사장 주변의 대기오염을 최대한 줄여 주변 주민건강 및 환경상의 위해를 예방하고, 대기환경을 적정하게 관리 · 보전함으로써 건강하고 쾌적한 환경에서 공사가 원활히 진행되도록 함.</t>
        </is>
      </c>
    </row>
    <row r="178" ht="20" customHeight="1">
      <c r="A178" s="6" t="inlineStr">
        <is>
          <t>㉯ 분체상 물질 또는 자재 운반계획</t>
        </is>
      </c>
    </row>
    <row r="179" ht="50.175" customHeight="1">
      <c r="A179" s="41" t="inlineStr">
        <is>
          <t>㉯-1 방진덮개 설치 : 1) 토사 적재 덤프트럭 및 시멘트 · 골재 · 자갈 등 운반 때 방진덮개 설치 2) 방진덮개는 가능하면 자동 개폐 방식 적용 3) 방진덮개 설치 후 적재물 노출 여부, 주행 중 벗겨질 우려 및 흘림이 없도록 점검</t>
        </is>
      </c>
    </row>
    <row r="180" ht="35.45" customHeight="1">
      <c r="A180" s="41" t="inlineStr">
        <is>
          <t>㉯-2 적재방법 : 1) 단지 외부로 진출입하는 차량은 적재함 상단으로부터 수평 5cm 이하로 적재 2) 적재함 중앙부 돌출 적재 금지</t>
        </is>
      </c>
    </row>
    <row r="181" ht="35.45" customHeight="1">
      <c r="A181" s="41" t="inlineStr">
        <is>
          <t>㉯-3 운반차량 관리 : 1) 현장 진 · 출입 차량은 흙 등이 붙지 않은 상태로 운행 2) 차륜부는 세륜장 고압살수시설로 흙 등을 제거 후 운행 3) 고압살수시설은 수압 3kg/㎠ 이상 성능</t>
        </is>
      </c>
    </row>
    <row r="182" ht="35.45" customHeight="1">
      <c r="A182" s="41" t="inlineStr">
        <is>
          <t>㉯-4 차량 운행속도 제한 : 1) 현장 내 포장도로 20km/h 이하 2) 비포장도로 10km/h 이하 3) 건조기에는 가설도로에 주기적 살수(필요시 살수차 운행)</t>
        </is>
      </c>
    </row>
    <row r="183" ht="64.90000000000001" customHeight="1">
      <c r="A183" s="41" t="inlineStr">
        <is>
          <t>㉰ 자재 보관계획 : 대상 자재(토사류, 시멘트 · 골재 · 모래 등) — 1) 토사류 · 골재 장기 야적 때 상단에 방진덮개 2) 굴착 절개면 낙석방지망 설치 때 방진덮개 동시 설치 3) 건조 시 공사용수 연장배관으로 스프링클러 등 살수시설 설치 4) 집중관리가 필요하면 야적고의 1/3 이상 높이의 방진벽 설치 5) 시멘트는 밀폐(보관창고) 관리</t>
        </is>
      </c>
    </row>
    <row r="184" ht="109.075" customHeight="1">
      <c r="A184" s="41" t="inlineStr">
        <is>
          <t>㉱ 시공 중 관리계획 : 대상 공종(토공사, 구조물공사, 폐기물 처리작업, 싣기 및 내리기 작업, 연마작업 등) — 토공 : 굴착 때 이동식 살수, 잔토 · 야적토사 방진망 또는 방진덮개 / 철근콘크리트 : 거푸집 해체 후 잔재물 즉시 제거, 정밀 시공으로 할석 요소 방지, 청소는 사전 살수 후, 떨어진 콘크리트는 굳기 전 제거 / 폐기물 : 분리수거 적재함(이동 쉬운 구조) 설치, 노천소각 금지, 작업 후 정리정돈, 적재 때 살수 / 싣기 · 내리기 : 고정식 또는 이동식 살수시설, 풍속이 평균 초속 8m 이상이면 작업 중단 / 연마 : 풍속 8m/s 이상 작업 중단, 작업부위 높이 이상의 이동식 방진망 · 방진막, 잔여물이 날리지 않게</t>
        </is>
      </c>
    </row>
    <row r="185" ht="64.90000000000001" customHeight="1">
      <c r="A185" s="41" t="inlineStr">
        <is>
          <t>㉲ 시설 관리계획 : 방진벽 · 방진망(야적고의 1/3 이상 높이 방진벽, 임시 야적 · 절개면 방진망, 저장물질 살수시설, 시멘트 밀폐) · 살수차 운영(단지 내 현장 및 진입로, 동절기 제외 1일 1회 이상) · 진입도로(입구 세륜시설, 동선 변경 때 골재층 재활용, 인접도로 주기적 살수) · 기타(비산먼지 억제 전담책임자 = 환경관리자, 살수시설 전담자 배치, 강풍 때 작업 중단 및 살수관리 철저)</t>
        </is>
      </c>
    </row>
    <row r="186" ht="35.45" customHeight="1">
      <c r="A186" s="41" t="inlineStr">
        <is>
          <t>㉳ 싣기 · 내리기 계획 : 작업장 주위에 이동식 살수시설(고압 분무기) 배치 — 살수반경 5m 이상, 수압 3kg/㎠ 이상 · 풍속 8m/s 이상이면 작업 중단</t>
        </is>
      </c>
    </row>
    <row r="187" ht="35.45" customHeight="1">
      <c r="A187" s="41" t="inlineStr">
        <is>
          <t>㉴ 인 · 허가 계획 : 비산먼지 발생사업 신고 — 착공 전에 관할 시 · 군 · 구청에 비산먼지 발생사업 신고서 제출(대기환경보전법 시행규칙 제58조), 신고증명서 비치</t>
        </is>
      </c>
    </row>
    <row r="188" ht="22" customHeight="1">
      <c r="A188" s="32" t="inlineStr">
        <is>
          <t>⑥ 소음 방지계획</t>
        </is>
      </c>
    </row>
    <row r="189" ht="64.90000000000001" customHeight="1">
      <c r="A189" s="41" t="inlineStr">
        <is>
          <t>㉮ 목적 : 1) 현장에서 발생하는 소음 · 진동으로 인한 피해를 막고 적정하게 관리 · 보전하여 인근 주민이 조용한 환경에서 생활할 수 있게 함. 2) 주민의 환경보전 의식이 높아져 건설공사의 환경문제가 사회적 물의가 되고 있으므로, 공사장의 입지 · 환경 조건을 철저히 조사 · 분석하여 지역환경에 미치는 영향을 파악하고 저감 방법을 강구함.</t>
        </is>
      </c>
    </row>
    <row r="190" ht="50.175" customHeight="1">
      <c r="A190" s="41" t="inlineStr">
        <is>
          <t>㉯ 공사 소음의 특성 : 1) 공사기간에만 발생 2) 음색이 다른 여러 음원의 복합 소음 3) 음압 · 주파수가 다른 여러 건설기계 투입으로 다양 4) 음원이 고정되지 않고 이동 5) 주로 주간에 발생 6) 진동 · 분진 · 폐수 등이 동시에 발생</t>
        </is>
      </c>
    </row>
    <row r="191" ht="22" customHeight="1">
      <c r="A191" s="32" t="inlineStr">
        <is>
          <t>⑦ 민원계획</t>
        </is>
      </c>
    </row>
    <row r="192" ht="64.90000000000001" customHeight="1">
      <c r="A192" s="41" t="inlineStr">
        <is>
          <t>㉮ 사전 조사사항 : 1) 인근 가옥 조사 — 기존 가옥의 안정성(기발생 균열, 담장 기울기), 진입도로 상태(균열 · 함몰, 경계석), 전주 수직상태 · 공중전선 안정성 2) 조사기록 — 균열 등은 사진 · 동영상 촬영, 배치도 중심으로 기록부 작성 · 보관 3) 유의사항 — 은폐 · 방해가 없도록 면밀히, 주민과 협조관계를 만든 뒤 실시</t>
        </is>
      </c>
    </row>
    <row r="193" ht="22" customHeight="1">
      <c r="A193" s="32" t="inlineStr">
        <is>
          <t>⑧ 관리계획</t>
        </is>
      </c>
    </row>
    <row r="194" ht="64.90000000000001" customHeight="1">
      <c r="A194" s="41" t="inlineStr">
        <is>
          <t>㉮ 관공서와 업무체계 구축(경찰서 · 파출소 · 소방서, 관할 시 · 군청) ㉯ 주민 협조체 결성 지원(감시고발이 아닌 감시지도 성격, 주기적 간담회, 주민동태 점검 병행) ㉰ 상황조사 및 시험(주민협조체 협조로 주변 조사, 소음 · 진동 모의 시험) ㉱ 점검방안 및 대책(소음 : 주민 위치를 가정한 소음측정기 측정, 진동 : 외부기관 의뢰 / 감독관과 협의하여 대책 수립, 민원인과 지속적 대화)</t>
        </is>
      </c>
    </row>
    <row r="195" ht="24" customHeight="1">
      <c r="A195" s="32" t="inlineStr">
        <is>
          <t>■ 환경기준 — 소음 · 진동관리법 시행규칙 [별표 8] 생활소음 · 진동의 규제기준(공사장, 개정 2019. 12. 31.)</t>
        </is>
      </c>
    </row>
    <row r="196" ht="24" customHeight="1">
      <c r="A196" s="25" t="inlineStr">
        <is>
          <t>대상 지역</t>
        </is>
      </c>
      <c r="B196" s="15" t="n"/>
      <c r="C196" s="15" t="n"/>
      <c r="D196" s="15" t="n"/>
      <c r="E196" s="15" t="n"/>
      <c r="F196" s="25" t="inlineStr">
        <is>
          <t>아침 · 저녁
05~07 · 18~22</t>
        </is>
      </c>
      <c r="G196" s="15" t="n"/>
      <c r="H196" s="25" t="inlineStr">
        <is>
          <t>주  간
07~18</t>
        </is>
      </c>
      <c r="I196" s="15" t="n"/>
      <c r="J196" s="25" t="inlineStr">
        <is>
          <t>야  간
22~05</t>
        </is>
      </c>
      <c r="K196" s="15" t="n"/>
      <c r="L196" s="25" t="inlineStr">
        <is>
          <t>단위</t>
        </is>
      </c>
    </row>
    <row r="197" ht="60" customHeight="1">
      <c r="A197" s="42" t="inlineStr">
        <is>
          <t>가. 주거지역, 녹지지역, 관리지역 중 취락지구 · 주거개발진흥지구 및 관광 · 휴양개발진흥지구, 자연환경보전지역, 그 밖의 지역에 있는 학교 · 종합병원 · 공공도서관</t>
        </is>
      </c>
      <c r="B197" s="15" t="n"/>
      <c r="C197" s="15" t="n"/>
      <c r="D197" s="15" t="n"/>
      <c r="E197" s="15" t="n"/>
      <c r="F197" s="24" t="inlineStr">
        <is>
          <t>60 이하</t>
        </is>
      </c>
      <c r="G197" s="15" t="n"/>
      <c r="H197" s="24" t="inlineStr">
        <is>
          <t>65 이하</t>
        </is>
      </c>
      <c r="I197" s="15" t="n"/>
      <c r="J197" s="24" t="inlineStr">
        <is>
          <t>50 이하</t>
        </is>
      </c>
      <c r="K197" s="15" t="n"/>
      <c r="L197" s="43" t="inlineStr">
        <is>
          <t>dB(A)</t>
        </is>
      </c>
    </row>
    <row r="198" ht="24" customHeight="1">
      <c r="A198" s="42" t="inlineStr">
        <is>
          <t>나. 그 밖의 지역</t>
        </is>
      </c>
      <c r="B198" s="15" t="n"/>
      <c r="C198" s="15" t="n"/>
      <c r="D198" s="15" t="n"/>
      <c r="E198" s="15" t="n"/>
      <c r="F198" s="24" t="inlineStr">
        <is>
          <t>65 이하</t>
        </is>
      </c>
      <c r="G198" s="15" t="n"/>
      <c r="H198" s="24" t="inlineStr">
        <is>
          <t>70 이하</t>
        </is>
      </c>
      <c r="I198" s="15" t="n"/>
      <c r="J198" s="24" t="inlineStr">
        <is>
          <t>50 이하</t>
        </is>
      </c>
      <c r="K198" s="15" t="n"/>
      <c r="L198" s="43" t="inlineStr">
        <is>
          <t>dB(A)</t>
        </is>
      </c>
    </row>
    <row r="199" ht="45.525" customHeight="1">
      <c r="A199" s="44" t="inlineStr">
        <is>
          <t>※ 공사장 소음 : 주간에 특정공사 사전신고 대상 기계 · 장비를 쓰는 작업시간이 1일 3시간 이하이면 +10dB, 3시간 초과 6시간 이하이면 +5dB 을 규제기준치에 보정. 발파소음은 주간에만 +10dB. 주거지역과 종합병원 · 학교 · 공공도서관 부지경계로부터 직선거리 50m 이내 지역은 공휴일에만 −5dB.</t>
        </is>
      </c>
    </row>
    <row r="200" ht="24" customHeight="1">
      <c r="A200" s="25" t="inlineStr">
        <is>
          <t>대상 지역(생활진동)</t>
        </is>
      </c>
      <c r="B200" s="15" t="n"/>
      <c r="C200" s="15" t="n"/>
      <c r="D200" s="15" t="n"/>
      <c r="E200" s="15" t="n"/>
      <c r="F200" s="15" t="n"/>
      <c r="G200" s="15" t="n"/>
      <c r="H200" s="25" t="inlineStr">
        <is>
          <t>주  간
06~22</t>
        </is>
      </c>
      <c r="I200" s="15" t="n"/>
      <c r="J200" s="25" t="inlineStr">
        <is>
          <t>심  야
22~06</t>
        </is>
      </c>
      <c r="K200" s="15" t="n"/>
      <c r="L200" s="25" t="inlineStr">
        <is>
          <t>단위</t>
        </is>
      </c>
    </row>
    <row r="201" ht="24" customHeight="1">
      <c r="A201" s="42" t="inlineStr">
        <is>
          <t>가. 주거지역 등(위 소음 가 와 같은 지역)</t>
        </is>
      </c>
      <c r="B201" s="15" t="n"/>
      <c r="C201" s="15" t="n"/>
      <c r="D201" s="15" t="n"/>
      <c r="E201" s="15" t="n"/>
      <c r="F201" s="15" t="n"/>
      <c r="G201" s="15" t="n"/>
      <c r="H201" s="24" t="inlineStr">
        <is>
          <t>65 이하</t>
        </is>
      </c>
      <c r="I201" s="15" t="n"/>
      <c r="J201" s="24" t="inlineStr">
        <is>
          <t>60 이하</t>
        </is>
      </c>
      <c r="K201" s="15" t="n"/>
      <c r="L201" s="43" t="inlineStr">
        <is>
          <t>dB(V)</t>
        </is>
      </c>
    </row>
    <row r="202" ht="24" customHeight="1">
      <c r="A202" s="42" t="inlineStr">
        <is>
          <t>나. 그 밖의 지역</t>
        </is>
      </c>
      <c r="B202" s="15" t="n"/>
      <c r="C202" s="15" t="n"/>
      <c r="D202" s="15" t="n"/>
      <c r="E202" s="15" t="n"/>
      <c r="F202" s="15" t="n"/>
      <c r="G202" s="15" t="n"/>
      <c r="H202" s="24" t="inlineStr">
        <is>
          <t>70 이하</t>
        </is>
      </c>
      <c r="I202" s="15" t="n"/>
      <c r="J202" s="24" t="inlineStr">
        <is>
          <t>65 이하</t>
        </is>
      </c>
      <c r="K202" s="15" t="n"/>
      <c r="L202" s="43" t="inlineStr">
        <is>
          <t>dB(V)</t>
        </is>
      </c>
    </row>
    <row r="203" ht="32.35" customHeight="1">
      <c r="A203" s="44" t="inlineStr">
        <is>
          <t>※ 공사장 진동 : 주간에 특정공사 사전신고 대상 기계 · 장비를 쓰는 작업시간이 1일 2시간 이하이면 +10dB, 2시간 초과 4시간 이하이면 +5dB 보정. 발파진동은 주간에만 +10dB.</t>
        </is>
      </c>
    </row>
    <row r="204" ht="22" customHeight="1">
      <c r="A204" s="32" t="inlineStr">
        <is>
          <t>⑨ 굴착계획 · ⑩ 운반계획 · ⑪ 천공계획 · ⑫ 콘크리트공사계획</t>
        </is>
      </c>
    </row>
    <row r="205" ht="35.45" customHeight="1">
      <c r="A205" s="41" t="inlineStr">
        <is>
          <t>⑨ 민가가 있으면 가옥 반대편부터 굴착, 낙하높이를 낮추고 충격 삽입을 피함, 천공은 압입방식, 야간작업(특히 착암) 금지, 저소음 장비 · 차량(굴착기 · 덤프트럭) 선정.</t>
        </is>
      </c>
    </row>
    <row r="206" ht="35.45" customHeight="1">
      <c r="A206" s="41" t="inlineStr">
        <is>
          <t>⑩ 운반경로는 보차도 구분 · 포장 · 차선이 많은 도로로, 저소음 운반차량(과적 금지), 현장 내 20km/h 이하, 급발진 · 공회전 · 급정지 · 경음기 금지, 세륜 및 측면살수 후 운행.</t>
        </is>
      </c>
    </row>
    <row r="207" ht="35.45" customHeight="1">
      <c r="A207" s="41" t="inlineStr">
        <is>
          <t>⑪ 리퍼로 상부 풍화암층은 천공 없이 최대한 절개, 착암 · 천공 장비는 저소음, 민원 우려 시 이동식 방음벽 설치.</t>
        </is>
      </c>
    </row>
    <row r="208" ht="35.45" customHeight="1">
      <c r="A208" s="41" t="inlineStr">
        <is>
          <t>⑫ 콘크리트 타설 때 바이브레이터 공회전 금지(콘크리트 안에서 회전), 펌프카 · 운송차량의 불필요한 공회전 방지.</t>
        </is>
      </c>
    </row>
    <row r="209" ht="22" customHeight="1">
      <c r="A209" s="32" t="inlineStr">
        <is>
          <t>⑬ 건설장비를 사용할 때 소음 · 진동 저감 기본대책</t>
        </is>
      </c>
    </row>
    <row r="210" ht="19.725" customHeight="1">
      <c r="A210" s="45" t="inlineStr">
        <is>
          <t>㉮</t>
        </is>
      </c>
      <c r="B210" s="46" t="inlineStr">
        <is>
          <t>저소음 · 저진동 공법 선정 — 해머식이나 대형 브레이커 대신 압쇄기 공법 등 채용</t>
        </is>
      </c>
    </row>
    <row r="211" ht="19.725" customHeight="1">
      <c r="A211" s="45" t="inlineStr">
        <is>
          <t>㉯</t>
        </is>
      </c>
      <c r="B211" s="46" t="inlineStr">
        <is>
          <t>저소음 건설기계 선택 — 저소음 · 적정용량 건설기계 사용</t>
        </is>
      </c>
    </row>
    <row r="212" ht="34.45" customHeight="1">
      <c r="A212" s="45" t="inlineStr">
        <is>
          <t>㉰</t>
        </is>
      </c>
      <c r="B212" s="46" t="inlineStr">
        <is>
          <t>적절한 시간대 및 작업공정 설정(심야 · 조석 작업 억제) — 주변 생활시간대를 고려해 통상 낮 시간에</t>
        </is>
      </c>
    </row>
    <row r="213" ht="19.725" customHeight="1">
      <c r="A213" s="45" t="inlineStr">
        <is>
          <t>㉱</t>
        </is>
      </c>
      <c r="B213" s="46" t="inlineStr">
        <is>
          <t>건설기계의 적정 배치 — 민가와 멀리, 가설구조물 뒤에 배치해 차음</t>
        </is>
      </c>
    </row>
    <row r="214" ht="19.725" customHeight="1">
      <c r="A214" s="45" t="inlineStr">
        <is>
          <t>㉲</t>
        </is>
      </c>
      <c r="B214" s="46" t="inlineStr">
        <is>
          <t>차음시설 설치 — 기계톱 · 공기압축기 · 발전기 등 사용 때 필히 차음시설</t>
        </is>
      </c>
    </row>
    <row r="215" ht="22" customHeight="1">
      <c r="A215" s="32" t="inlineStr">
        <is>
          <t>⑭ 인 · 허가계획</t>
        </is>
      </c>
    </row>
    <row r="216" ht="50.175" customHeight="1">
      <c r="A216" s="41" t="inlineStr">
        <is>
          <t>㉮ 이 현장의 특정공사 : 굴착공사, 토공사 등  ㉯ 특정공사 사전신고 : 해당 공사를 시작하기 전에 관할 시 · 군 · 구청에 신고(소음 · 진동관리법 시행규칙 제21조) — 착암작업 등 소음 저감방안 중심, 소음 · 진동 저감대책, 장비 급가동 · 공회전 금지, 가능한 야간작업 금지</t>
        </is>
      </c>
    </row>
    <row r="217" ht="22" customHeight="1">
      <c r="A217" s="32" t="inlineStr">
        <is>
          <t>⑮ 폐기물 처리계획</t>
        </is>
      </c>
    </row>
    <row r="218" ht="35.45" customHeight="1">
      <c r="A218" s="41" t="inlineStr">
        <is>
          <t>㉮-1 기본방침 : 시공 중 발생하는 폐기물의 발생량 억제, 재활용, 사용 가능품의 주민 공여를 통해 환경오염 피해를 최소화한다.</t>
        </is>
      </c>
    </row>
    <row r="219" ht="34.45" customHeight="1">
      <c r="A219" s="45" t="inlineStr">
        <is>
          <t>1)</t>
        </is>
      </c>
      <c r="C219" s="46" t="inlineStr">
        <is>
          <t>폐기물 처리 전담요원(환경관리자)은 발생 억제 및 교육계획을 수립하여 근로자 의식 제고와 정리정돈 습성 유지에 기여한다.</t>
        </is>
      </c>
    </row>
    <row r="220" ht="34.45" customHeight="1">
      <c r="A220" s="45" t="inlineStr">
        <is>
          <t>2)</t>
        </is>
      </c>
      <c r="C220" s="46" t="inlineStr">
        <is>
          <t>현장 폐기물은 처리가 쉽도록 매립용 · 파쇄용 · 재활용 · 소각용 등으로 구분하여 수집 · 보관한다.</t>
        </is>
      </c>
    </row>
    <row r="221" ht="34.45" customHeight="1">
      <c r="A221" s="45" t="inlineStr">
        <is>
          <t>3)</t>
        </is>
      </c>
      <c r="C221" s="46" t="inlineStr">
        <is>
          <t>처리업자에게 위탁할 때에는 폐기물의 성분 · 분량을 참작하여 처리용량 · 시설 등 처리능력을 확인한 후 계약 · 위탁한다.</t>
        </is>
      </c>
    </row>
    <row r="222" ht="19.725" customHeight="1">
      <c r="A222" s="45" t="inlineStr">
        <is>
          <t>4)</t>
        </is>
      </c>
      <c r="C222" s="46" t="inlineStr">
        <is>
          <t>위탁처리업체의 법규 준수 여부를 계속 확인한다(업체를 직접 방문하여 서류 검토).</t>
        </is>
      </c>
    </row>
    <row r="223" ht="34.45" customHeight="1">
      <c r="A223" s="45" t="inlineStr">
        <is>
          <t>5)</t>
        </is>
      </c>
      <c r="C223" s="46" t="inlineStr">
        <is>
          <t>현장 환경관리자는 폐기물 종류별로 관리대장을 작성하고, 그해 처리한 폐기물은 다음 해 2월 말까지 처리실적을 관할관청에 보고한다(보존 : 마지막 기재일부터 3년).</t>
        </is>
      </c>
    </row>
    <row r="224" ht="34.45" customHeight="1">
      <c r="A224" s="45" t="inlineStr">
        <is>
          <t>6)</t>
        </is>
      </c>
      <c r="C224" s="46" t="inlineStr">
        <is>
          <t>반출 폐기물은 인계서(전자정보처리프로그램 «올바로» 등)를 작성하여 처리의 투명성을 보장한다.</t>
        </is>
      </c>
    </row>
    <row r="225" ht="24" customHeight="1">
      <c r="A225" s="25" t="inlineStr">
        <is>
          <t>분  류</t>
        </is>
      </c>
      <c r="B225" s="15" t="n"/>
      <c r="C225" s="25" t="inlineStr">
        <is>
          <t>세  부  지  침(폐기물 처리 4단계)</t>
        </is>
      </c>
      <c r="D225" s="15" t="n"/>
      <c r="E225" s="15" t="n"/>
      <c r="F225" s="15" t="n"/>
      <c r="G225" s="15" t="n"/>
      <c r="H225" s="15" t="n"/>
      <c r="I225" s="15" t="n"/>
      <c r="J225" s="25" t="inlineStr">
        <is>
          <t>비  고</t>
        </is>
      </c>
      <c r="K225" s="15" t="n"/>
      <c r="L225" s="15" t="n"/>
    </row>
    <row r="226" ht="73.5" customHeight="1">
      <c r="A226" s="24" t="inlineStr">
        <is>
          <t>제1단계
(발생 억제)</t>
        </is>
      </c>
      <c r="B226" s="15" t="n"/>
      <c r="C226" s="42" t="inlineStr">
        <is>
          <t>▶ 자재 반입 포장재는 납품업체가 전량 회수(계약 때 명기)
▶ 장비 폐유 등은 장비업체 전량 회수
▶ 표준화 작업으로 잔재물 최소화
▶ 1회용 자재 억제 · 재활용 자재 사용
▶ 사무실 · 현장 주변 5원 분리수거함 배치</t>
        </is>
      </c>
      <c r="D226" s="15" t="n"/>
      <c r="E226" s="15" t="n"/>
      <c r="F226" s="15" t="n"/>
      <c r="G226" s="15" t="n"/>
      <c r="H226" s="15" t="n"/>
      <c r="I226" s="15" t="n"/>
      <c r="J226" s="42" t="inlineStr">
        <is>
          <t>▶ 지속적인 교육 · 홍보
▶ 5원 분리 : 병, 플라스틱, 고철, 알루미늄, 종이 · 의류</t>
        </is>
      </c>
      <c r="K226" s="15" t="n"/>
      <c r="L226" s="15" t="n"/>
    </row>
    <row r="227" ht="73.5" customHeight="1">
      <c r="A227" s="24" t="inlineStr">
        <is>
          <t>제2단계
(성분별 분리수거)</t>
        </is>
      </c>
      <c r="B227" s="15" t="n"/>
      <c r="C227" s="42" t="inlineStr">
        <is>
          <t>▶ 5원 분리수거 폐기물은 관할 관청 등에 수거 협조 요청
▶ 가연성 · 불연성 구분(부피가 큰 것은 파쇄 후 위탁)
▶ 지정폐기물 : 위탁처리
▶ 건설폐재(토사 · 콘크리트 · 아스콘 덩이 등)는 재활용 또는 위탁처리</t>
        </is>
      </c>
      <c r="D227" s="15" t="n"/>
      <c r="E227" s="15" t="n"/>
      <c r="F227" s="15" t="n"/>
      <c r="G227" s="15" t="n"/>
      <c r="H227" s="15" t="n"/>
      <c r="I227" s="15" t="n"/>
      <c r="J227" s="42" t="inlineStr">
        <is>
          <t>▶ 재활용 : 용도별 KS 및 설계 · 시공지침에 따라 재가공 후 사용</t>
        </is>
      </c>
      <c r="K227" s="15" t="n"/>
      <c r="L227" s="15" t="n"/>
    </row>
    <row r="228" ht="33" customHeight="1">
      <c r="A228" s="24" t="inlineStr">
        <is>
          <t>제3단계
(분리수거)</t>
        </is>
      </c>
      <c r="B228" s="15" t="n"/>
      <c r="C228" s="42" t="inlineStr">
        <is>
          <t>▶ 불연성 폐기물은 일정량 모이면 위탁처리
▶ 위탁업체는 가능한 재활용 능력업체로 선정, 재활용률 제고</t>
        </is>
      </c>
      <c r="D228" s="15" t="n"/>
      <c r="E228" s="15" t="n"/>
      <c r="F228" s="15" t="n"/>
      <c r="G228" s="15" t="n"/>
      <c r="H228" s="15" t="n"/>
      <c r="I228" s="15" t="n"/>
      <c r="J228" s="42" t="inlineStr">
        <is>
          <t>▶ 허가 · 등록증 확인, 정식 계약 후 반출증 보관</t>
        </is>
      </c>
      <c r="K228" s="15" t="n"/>
      <c r="L228" s="15" t="n"/>
    </row>
    <row r="229" ht="46.5" customHeight="1">
      <c r="A229" s="24" t="inlineStr">
        <is>
          <t>제4단계
(중간 · 최종처리)</t>
        </is>
      </c>
      <c r="B229" s="15" t="n"/>
      <c r="C229" s="42" t="inlineStr">
        <is>
          <t>▶ 환경관리 총괄책임자는 필요시 위탁업체의 최종처리 상태를 확인하여 불법 매립 · 투기 예방</t>
        </is>
      </c>
      <c r="D229" s="15" t="n"/>
      <c r="E229" s="15" t="n"/>
      <c r="F229" s="15" t="n"/>
      <c r="G229" s="15" t="n"/>
      <c r="H229" s="15" t="n"/>
      <c r="I229" s="15" t="n"/>
      <c r="J229" s="42" t="inlineStr"/>
      <c r="K229" s="15" t="n"/>
      <c r="L229" s="15" t="n"/>
    </row>
    <row r="230" ht="64.90000000000001" customHeight="1">
      <c r="A230" s="41" t="inlineStr">
        <is>
          <t>보관 : 건설폐기물은 성상별 · 종류별로 구분 보관(재활용품 별도), 보관 개시일부터 90일(지정폐기물 45일)을 넘겨 보관하지 않으며, 공사 완료 후 현장에 보관하지 않는다. 위탁 : 등록 여부 · 영업대상 · 구역 · 허가기간 확인, 처리과정 확인, 보관 · 처리상태 사진 보관, 반출차량 시간 · 번호 기록. 노천소각 금지.</t>
        </is>
      </c>
    </row>
    <row r="231" ht="22" customHeight="1">
      <c r="A231" s="32" t="inlineStr">
        <is>
          <t>⑯ 수질 관리계획</t>
        </is>
      </c>
    </row>
    <row r="232" ht="24" customHeight="1">
      <c r="A232" s="25" t="inlineStr">
        <is>
          <t>단 계</t>
        </is>
      </c>
      <c r="B232" s="15" t="n"/>
      <c r="C232" s="25" t="inlineStr">
        <is>
          <t>구 분</t>
        </is>
      </c>
      <c r="D232" s="15" t="n"/>
      <c r="E232" s="15" t="n"/>
      <c r="F232" s="25" t="inlineStr">
        <is>
          <t>내   용</t>
        </is>
      </c>
      <c r="G232" s="15" t="n"/>
      <c r="H232" s="15" t="n"/>
      <c r="I232" s="15" t="n"/>
      <c r="J232" s="15" t="n"/>
      <c r="K232" s="15" t="n"/>
      <c r="L232" s="15" t="n"/>
    </row>
    <row r="233" ht="46.5" customHeight="1">
      <c r="A233" s="24" t="inlineStr">
        <is>
          <t>1 단계</t>
        </is>
      </c>
      <c r="B233" s="15" t="n"/>
      <c r="C233" s="24" t="inlineStr">
        <is>
          <t>발생원 억제</t>
        </is>
      </c>
      <c r="D233" s="15" t="n"/>
      <c r="E233" s="15" t="n"/>
      <c r="F233" s="42" t="inlineStr">
        <is>
          <t>① 가배수로에 의한 토사유출 억제 ② 우수 및 오수의 분리 처리 ③ 수질오염원 조속 수거 및 처리 ④ 세차시설 용수의 적정 처리 ⑤ 사용량 지정 및 점검</t>
        </is>
      </c>
      <c r="G233" s="15" t="n"/>
      <c r="H233" s="15" t="n"/>
      <c r="I233" s="15" t="n"/>
      <c r="J233" s="15" t="n"/>
      <c r="K233" s="15" t="n"/>
      <c r="L233" s="15" t="n"/>
    </row>
    <row r="234" ht="33" customHeight="1">
      <c r="A234" s="24" t="inlineStr">
        <is>
          <t>2 단계</t>
        </is>
      </c>
      <c r="B234" s="15" t="n"/>
      <c r="C234" s="24" t="inlineStr">
        <is>
          <t>방지시설의 가동</t>
        </is>
      </c>
      <c r="D234" s="15" t="n"/>
      <c r="E234" s="15" t="n"/>
      <c r="F234" s="42" t="inlineStr">
        <is>
          <t>① 방지시설 처리효율 최적화 ② 정상운영 및 주기적 점검 ③ 배출오염물질 오염도 검사(자가측정)</t>
        </is>
      </c>
      <c r="G234" s="15" t="n"/>
      <c r="H234" s="15" t="n"/>
      <c r="I234" s="15" t="n"/>
      <c r="J234" s="15" t="n"/>
      <c r="K234" s="15" t="n"/>
      <c r="L234" s="15" t="n"/>
    </row>
    <row r="235" ht="24" customHeight="1">
      <c r="A235" s="24" t="inlineStr">
        <is>
          <t>3 단계</t>
        </is>
      </c>
      <c r="B235" s="15" t="n"/>
      <c r="C235" s="24" t="inlineStr">
        <is>
          <t>처리수의 재활용</t>
        </is>
      </c>
      <c r="D235" s="15" t="n"/>
      <c r="E235" s="15" t="n"/>
      <c r="F235" s="42" t="inlineStr">
        <is>
          <t>① 처리수의 재활용 ② 탈수 슬러지의 위탁처리</t>
        </is>
      </c>
      <c r="G235" s="15" t="n"/>
      <c r="H235" s="15" t="n"/>
      <c r="I235" s="15" t="n"/>
      <c r="J235" s="15" t="n"/>
      <c r="K235" s="15" t="n"/>
      <c r="L235" s="15" t="n"/>
    </row>
    <row r="236" ht="33" customHeight="1">
      <c r="A236" s="24" t="inlineStr">
        <is>
          <t>4 단계</t>
        </is>
      </c>
      <c r="B236" s="15" t="n"/>
      <c r="C236" s="24" t="inlineStr">
        <is>
          <t>처리결과 기록보존</t>
        </is>
      </c>
      <c r="D236" s="15" t="n"/>
      <c r="E236" s="15" t="n"/>
      <c r="F236" s="42" t="inlineStr">
        <is>
          <t>① 운영일지 · 자가 · 위탁처리 기록보존 ② 배출 · 방지시설 운영일지 작성</t>
        </is>
      </c>
      <c r="G236" s="15" t="n"/>
      <c r="H236" s="15" t="n"/>
      <c r="I236" s="15" t="n"/>
      <c r="J236" s="15" t="n"/>
      <c r="K236" s="15" t="n"/>
      <c r="L236" s="15" t="n"/>
    </row>
    <row r="237" ht="50.175" customHeight="1">
      <c r="A237" s="41" t="inlineStr">
        <is>
          <t>㉯ 토사유출 방지대책 : 강우 때 토사유출로 인근 수역이 오염되지 않도록, 절 · 성토면 안정화를 먼저 하고 유출 우려 부분은 덮개로 덮으며 상 · 하부에 가배수로 및 물막이를 설치한다. 공사지역 하류에 침사지를 설치하여 인근 수역으로 유입되는 토사량을 최소화한다.</t>
        </is>
      </c>
    </row>
    <row r="239" ht="19.5" customHeight="1">
      <c r="A239" s="9" t="inlineStr">
        <is>
          <t>이 시트는 작성 예시입니다(가상의 공사 · 회사 · 사람).</t>
        </is>
      </c>
    </row>
  </sheetData>
  <mergeCells count="385">
    <mergeCell ref="D21:L21"/>
    <mergeCell ref="A15:B15"/>
    <mergeCell ref="A21:C21"/>
    <mergeCell ref="A192:L192"/>
    <mergeCell ref="A23:C23"/>
    <mergeCell ref="A194:L194"/>
    <mergeCell ref="J75:L75"/>
    <mergeCell ref="A181:L181"/>
    <mergeCell ref="J50:L50"/>
    <mergeCell ref="A52:C52"/>
    <mergeCell ref="J52:L52"/>
    <mergeCell ref="A83:C83"/>
    <mergeCell ref="C112:L112"/>
    <mergeCell ref="A49:C49"/>
    <mergeCell ref="C114:L114"/>
    <mergeCell ref="A78:L78"/>
    <mergeCell ref="A205:L205"/>
    <mergeCell ref="J226:L226"/>
    <mergeCell ref="A80:L80"/>
    <mergeCell ref="C232:E232"/>
    <mergeCell ref="E88:L88"/>
    <mergeCell ref="A196:E196"/>
    <mergeCell ref="C233:E233"/>
    <mergeCell ref="A198:E198"/>
    <mergeCell ref="A136:B136"/>
    <mergeCell ref="D53:E53"/>
    <mergeCell ref="D47:E47"/>
    <mergeCell ref="F137:L137"/>
    <mergeCell ref="F47:G47"/>
    <mergeCell ref="A58:L58"/>
    <mergeCell ref="H75:I75"/>
    <mergeCell ref="F139:L139"/>
    <mergeCell ref="A24:C24"/>
    <mergeCell ref="A73:C73"/>
    <mergeCell ref="D18:K18"/>
    <mergeCell ref="F48:G48"/>
    <mergeCell ref="A60:L60"/>
    <mergeCell ref="D75:G75"/>
    <mergeCell ref="H48:I48"/>
    <mergeCell ref="J53:L53"/>
    <mergeCell ref="A84:C84"/>
    <mergeCell ref="A200:G200"/>
    <mergeCell ref="A50:C50"/>
    <mergeCell ref="A202:G202"/>
    <mergeCell ref="A86:L86"/>
    <mergeCell ref="H201:I201"/>
    <mergeCell ref="B210:L210"/>
    <mergeCell ref="D11:K11"/>
    <mergeCell ref="A92:D92"/>
    <mergeCell ref="A144:C144"/>
    <mergeCell ref="D83:L83"/>
    <mergeCell ref="A215:L215"/>
    <mergeCell ref="D143:L143"/>
    <mergeCell ref="B170:L170"/>
    <mergeCell ref="J71:L71"/>
    <mergeCell ref="E90:L90"/>
    <mergeCell ref="B172:L172"/>
    <mergeCell ref="J73:L73"/>
    <mergeCell ref="C235:E235"/>
    <mergeCell ref="A89:D89"/>
    <mergeCell ref="A156:B156"/>
    <mergeCell ref="E91:L91"/>
    <mergeCell ref="A79:C79"/>
    <mergeCell ref="A1:F1"/>
    <mergeCell ref="J229:L229"/>
    <mergeCell ref="A70:L70"/>
    <mergeCell ref="A220:B220"/>
    <mergeCell ref="E93:L93"/>
    <mergeCell ref="C120:L120"/>
    <mergeCell ref="C137:E137"/>
    <mergeCell ref="H196:I196"/>
    <mergeCell ref="A74:L74"/>
    <mergeCell ref="C149:L149"/>
    <mergeCell ref="C139:E139"/>
    <mergeCell ref="A101:L101"/>
    <mergeCell ref="C138:E138"/>
    <mergeCell ref="A76:L76"/>
    <mergeCell ref="F51:G51"/>
    <mergeCell ref="H51:I51"/>
    <mergeCell ref="A149:B149"/>
    <mergeCell ref="A140:L140"/>
    <mergeCell ref="G1:L1"/>
    <mergeCell ref="B147:L147"/>
    <mergeCell ref="A151:B151"/>
    <mergeCell ref="A150:B150"/>
    <mergeCell ref="D12:K12"/>
    <mergeCell ref="A152:B152"/>
    <mergeCell ref="D84:L84"/>
    <mergeCell ref="A94:L94"/>
    <mergeCell ref="D22:L22"/>
    <mergeCell ref="A216:L216"/>
    <mergeCell ref="D14:K14"/>
    <mergeCell ref="J198:K198"/>
    <mergeCell ref="A87:L87"/>
    <mergeCell ref="A218:L218"/>
    <mergeCell ref="B173:L173"/>
    <mergeCell ref="G161:H161"/>
    <mergeCell ref="A193:L193"/>
    <mergeCell ref="A226:B226"/>
    <mergeCell ref="A46:L46"/>
    <mergeCell ref="A26:C26"/>
    <mergeCell ref="B102:L102"/>
    <mergeCell ref="C161:F161"/>
    <mergeCell ref="A228:B228"/>
    <mergeCell ref="A71:C71"/>
    <mergeCell ref="C220:L220"/>
    <mergeCell ref="A184:L184"/>
    <mergeCell ref="C151:L151"/>
    <mergeCell ref="A236:B236"/>
    <mergeCell ref="A100:L100"/>
    <mergeCell ref="A163:B163"/>
    <mergeCell ref="A171:L171"/>
    <mergeCell ref="A165:L165"/>
    <mergeCell ref="A77:C77"/>
    <mergeCell ref="A166:L166"/>
    <mergeCell ref="D24:E24"/>
    <mergeCell ref="B63:L63"/>
    <mergeCell ref="F54:G54"/>
    <mergeCell ref="H54:I54"/>
    <mergeCell ref="A3:L3"/>
    <mergeCell ref="F136:L136"/>
    <mergeCell ref="A239:L239"/>
    <mergeCell ref="C229:I229"/>
    <mergeCell ref="A32:L32"/>
    <mergeCell ref="H49:I49"/>
    <mergeCell ref="G162:H162"/>
    <mergeCell ref="I160:L160"/>
    <mergeCell ref="D23:L23"/>
    <mergeCell ref="B116:L116"/>
    <mergeCell ref="B103:L103"/>
    <mergeCell ref="C162:F162"/>
    <mergeCell ref="B174:L174"/>
    <mergeCell ref="A234:B234"/>
    <mergeCell ref="B168:L168"/>
    <mergeCell ref="C221:L221"/>
    <mergeCell ref="A115:B115"/>
    <mergeCell ref="C223:L223"/>
    <mergeCell ref="I24:L24"/>
    <mergeCell ref="B169:L169"/>
    <mergeCell ref="A229:B229"/>
    <mergeCell ref="A237:L237"/>
    <mergeCell ref="A187:L187"/>
    <mergeCell ref="H200:I200"/>
    <mergeCell ref="J200:K200"/>
    <mergeCell ref="A91:D91"/>
    <mergeCell ref="G155:H155"/>
    <mergeCell ref="A18:C18"/>
    <mergeCell ref="B121:L121"/>
    <mergeCell ref="A189:L189"/>
    <mergeCell ref="H202:I202"/>
    <mergeCell ref="J202:K202"/>
    <mergeCell ref="A93:D93"/>
    <mergeCell ref="C155:F155"/>
    <mergeCell ref="G157:H157"/>
    <mergeCell ref="D52:E52"/>
    <mergeCell ref="A47:C47"/>
    <mergeCell ref="H73:I73"/>
    <mergeCell ref="A22:C22"/>
    <mergeCell ref="C157:F157"/>
    <mergeCell ref="J47:L47"/>
    <mergeCell ref="A120:B120"/>
    <mergeCell ref="J197:K197"/>
    <mergeCell ref="A134:L134"/>
    <mergeCell ref="A113:B113"/>
    <mergeCell ref="F233:L233"/>
    <mergeCell ref="A5:B5"/>
    <mergeCell ref="A219:B219"/>
    <mergeCell ref="F235:L235"/>
    <mergeCell ref="C148:L148"/>
    <mergeCell ref="I161:L161"/>
    <mergeCell ref="B213:L213"/>
    <mergeCell ref="A177:L177"/>
    <mergeCell ref="A164:L164"/>
    <mergeCell ref="A16:B16"/>
    <mergeCell ref="A195:L195"/>
    <mergeCell ref="A17:C17"/>
    <mergeCell ref="A188:L188"/>
    <mergeCell ref="A53:C53"/>
    <mergeCell ref="A118:B118"/>
    <mergeCell ref="F234:L234"/>
    <mergeCell ref="A109:L109"/>
    <mergeCell ref="A180:L180"/>
    <mergeCell ref="J51:L51"/>
    <mergeCell ref="A68:L68"/>
    <mergeCell ref="A190:L190"/>
    <mergeCell ref="F236:L236"/>
    <mergeCell ref="H47:I47"/>
    <mergeCell ref="A48:C48"/>
    <mergeCell ref="C226:I226"/>
    <mergeCell ref="C15:K15"/>
    <mergeCell ref="A142:C142"/>
    <mergeCell ref="J77:L77"/>
    <mergeCell ref="F196:G196"/>
    <mergeCell ref="A208:L208"/>
    <mergeCell ref="A162:B162"/>
    <mergeCell ref="A145:L145"/>
    <mergeCell ref="A185:L185"/>
    <mergeCell ref="A203:L203"/>
    <mergeCell ref="D48:E48"/>
    <mergeCell ref="D17:K17"/>
    <mergeCell ref="C113:L113"/>
    <mergeCell ref="J48:L48"/>
    <mergeCell ref="C118:L118"/>
    <mergeCell ref="C5:K5"/>
    <mergeCell ref="B64:L64"/>
    <mergeCell ref="D51:E51"/>
    <mergeCell ref="H71:I71"/>
    <mergeCell ref="A117:B117"/>
    <mergeCell ref="A111:B111"/>
    <mergeCell ref="I155:L155"/>
    <mergeCell ref="A69:C69"/>
    <mergeCell ref="D71:G71"/>
    <mergeCell ref="A183:L183"/>
    <mergeCell ref="C228:I228"/>
    <mergeCell ref="I157:L157"/>
    <mergeCell ref="D73:G73"/>
    <mergeCell ref="A137:B137"/>
    <mergeCell ref="F198:G198"/>
    <mergeCell ref="A209:L209"/>
    <mergeCell ref="A139:B139"/>
    <mergeCell ref="A13:C13"/>
    <mergeCell ref="D142:L142"/>
    <mergeCell ref="D7:K7"/>
    <mergeCell ref="A88:D88"/>
    <mergeCell ref="A67:L67"/>
    <mergeCell ref="D144:L144"/>
    <mergeCell ref="A90:D90"/>
    <mergeCell ref="G154:H154"/>
    <mergeCell ref="A51:C51"/>
    <mergeCell ref="A186:L186"/>
    <mergeCell ref="A82:C82"/>
    <mergeCell ref="C117:L117"/>
    <mergeCell ref="D8:K8"/>
    <mergeCell ref="D81:L81"/>
    <mergeCell ref="B95:L95"/>
    <mergeCell ref="J69:L69"/>
    <mergeCell ref="A146:L146"/>
    <mergeCell ref="C115:L115"/>
    <mergeCell ref="B97:L97"/>
    <mergeCell ref="B153:L153"/>
    <mergeCell ref="J225:L225"/>
    <mergeCell ref="C150:L150"/>
    <mergeCell ref="A119:B119"/>
    <mergeCell ref="A158:L158"/>
    <mergeCell ref="A197:E197"/>
    <mergeCell ref="J227:L227"/>
    <mergeCell ref="D79:G79"/>
    <mergeCell ref="D28:L28"/>
    <mergeCell ref="A141:C141"/>
    <mergeCell ref="D13:K13"/>
    <mergeCell ref="A135:L135"/>
    <mergeCell ref="A206:L206"/>
    <mergeCell ref="F50:G50"/>
    <mergeCell ref="A122:L122"/>
    <mergeCell ref="A28:C28"/>
    <mergeCell ref="G25:L25"/>
    <mergeCell ref="A72:L72"/>
    <mergeCell ref="A199:L199"/>
    <mergeCell ref="C136:E136"/>
    <mergeCell ref="B108:L108"/>
    <mergeCell ref="A59:L59"/>
    <mergeCell ref="F49:G49"/>
    <mergeCell ref="A61:L61"/>
    <mergeCell ref="A54:C54"/>
    <mergeCell ref="A148:B148"/>
    <mergeCell ref="C119:L119"/>
    <mergeCell ref="A217:L217"/>
    <mergeCell ref="D10:K10"/>
    <mergeCell ref="A27:C27"/>
    <mergeCell ref="A56:L56"/>
    <mergeCell ref="E92:L92"/>
    <mergeCell ref="A6:B6"/>
    <mergeCell ref="B96:L96"/>
    <mergeCell ref="B167:L167"/>
    <mergeCell ref="D69:G69"/>
    <mergeCell ref="B98:L98"/>
    <mergeCell ref="D82:L82"/>
    <mergeCell ref="B175:L175"/>
    <mergeCell ref="A230:L230"/>
    <mergeCell ref="A160:B160"/>
    <mergeCell ref="E89:L89"/>
    <mergeCell ref="A143:C143"/>
    <mergeCell ref="J228:L228"/>
    <mergeCell ref="A159:B159"/>
    <mergeCell ref="F52:G52"/>
    <mergeCell ref="A224:B224"/>
    <mergeCell ref="A11:C11"/>
    <mergeCell ref="A207:L207"/>
    <mergeCell ref="A182:L182"/>
    <mergeCell ref="A161:B161"/>
    <mergeCell ref="F197:G197"/>
    <mergeCell ref="F53:G53"/>
    <mergeCell ref="H197:I197"/>
    <mergeCell ref="H53:I53"/>
    <mergeCell ref="D141:L141"/>
    <mergeCell ref="G160:H160"/>
    <mergeCell ref="A179:L179"/>
    <mergeCell ref="H52:I52"/>
    <mergeCell ref="A154:B154"/>
    <mergeCell ref="H79:I79"/>
    <mergeCell ref="C225:I225"/>
    <mergeCell ref="I154:L154"/>
    <mergeCell ref="D77:G77"/>
    <mergeCell ref="D26:L26"/>
    <mergeCell ref="C227:I227"/>
    <mergeCell ref="G163:H163"/>
    <mergeCell ref="I156:L156"/>
    <mergeCell ref="F138:L138"/>
    <mergeCell ref="B211:L211"/>
    <mergeCell ref="J201:K201"/>
    <mergeCell ref="B104:L104"/>
    <mergeCell ref="C163:F163"/>
    <mergeCell ref="A9:B9"/>
    <mergeCell ref="B212:L212"/>
    <mergeCell ref="B106:L106"/>
    <mergeCell ref="A232:B232"/>
    <mergeCell ref="A75:C75"/>
    <mergeCell ref="C159:L159"/>
    <mergeCell ref="C219:L219"/>
    <mergeCell ref="C224:L224"/>
    <mergeCell ref="J79:L79"/>
    <mergeCell ref="A225:B225"/>
    <mergeCell ref="H50:I50"/>
    <mergeCell ref="A12:C12"/>
    <mergeCell ref="A227:B227"/>
    <mergeCell ref="A14:C14"/>
    <mergeCell ref="D25:F25"/>
    <mergeCell ref="A81:C81"/>
    <mergeCell ref="H69:I69"/>
    <mergeCell ref="G24:H24"/>
    <mergeCell ref="J196:K196"/>
    <mergeCell ref="A123:F132"/>
    <mergeCell ref="H198:I198"/>
    <mergeCell ref="I162:L162"/>
    <mergeCell ref="A155:B155"/>
    <mergeCell ref="A7:C7"/>
    <mergeCell ref="A25:C25"/>
    <mergeCell ref="A157:B157"/>
    <mergeCell ref="D27:L27"/>
    <mergeCell ref="A222:B222"/>
    <mergeCell ref="C236:E236"/>
    <mergeCell ref="B105:L105"/>
    <mergeCell ref="B214:L214"/>
    <mergeCell ref="J54:L54"/>
    <mergeCell ref="G123:L132"/>
    <mergeCell ref="D49:E49"/>
    <mergeCell ref="A201:G201"/>
    <mergeCell ref="B107:L107"/>
    <mergeCell ref="A233:B233"/>
    <mergeCell ref="C160:F160"/>
    <mergeCell ref="A20:L20"/>
    <mergeCell ref="A235:B235"/>
    <mergeCell ref="A176:L176"/>
    <mergeCell ref="F232:L232"/>
    <mergeCell ref="H77:I77"/>
    <mergeCell ref="A191:L191"/>
    <mergeCell ref="C234:E234"/>
    <mergeCell ref="A178:L178"/>
    <mergeCell ref="D54:E54"/>
    <mergeCell ref="C222:L222"/>
    <mergeCell ref="C16:K16"/>
    <mergeCell ref="J49:L49"/>
    <mergeCell ref="B62:L62"/>
    <mergeCell ref="C9:K9"/>
    <mergeCell ref="A138:B138"/>
    <mergeCell ref="C154:F154"/>
    <mergeCell ref="G156:H156"/>
    <mergeCell ref="C111:L111"/>
    <mergeCell ref="A33:L44"/>
    <mergeCell ref="A204:L204"/>
    <mergeCell ref="A221:B221"/>
    <mergeCell ref="A8:C8"/>
    <mergeCell ref="C156:F156"/>
    <mergeCell ref="A223:B223"/>
    <mergeCell ref="A231:L231"/>
    <mergeCell ref="A10:C10"/>
    <mergeCell ref="I163:L163"/>
    <mergeCell ref="C152:L152"/>
    <mergeCell ref="C6:K6"/>
    <mergeCell ref="A30:L30"/>
    <mergeCell ref="B65:L65"/>
    <mergeCell ref="A112:B112"/>
    <mergeCell ref="D50:E50"/>
    <mergeCell ref="B110:L110"/>
    <mergeCell ref="A114:B114"/>
  </mergeCells>
  <conditionalFormatting sqref="D48:D54">
    <cfRule type="expression" priority="1" dxfId="0">
      <formula>AND(ISNUMBER(D48),MOD(D48,1)=0)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0" manualBreakCount="10">
    <brk id="18" min="0" max="16383" man="1"/>
    <brk id="44" min="0" max="16383" man="1"/>
    <brk id="65" min="0" max="16383" man="1"/>
    <brk id="84" min="0" max="16383" man="1"/>
    <brk id="115" min="0" max="16383" man="1"/>
    <brk id="144" min="0" max="16383" man="1"/>
    <brk id="175" min="0" max="16383" man="1"/>
    <brk id="190" min="0" max="16383" man="1"/>
    <brk id="213" min="0" max="16383" man="1"/>
    <brk id="230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30" customHeight="1">
      <c r="A2" s="47" t="inlineStr">
        <is>
          <t>환 경 관 리  점 검 표</t>
        </is>
      </c>
      <c r="I2" s="25" t="inlineStr">
        <is>
          <t>작  성</t>
        </is>
      </c>
      <c r="J2" s="15" t="n"/>
      <c r="K2" s="25" t="inlineStr">
        <is>
          <t>승  인</t>
        </is>
      </c>
      <c r="L2" s="15" t="n"/>
    </row>
    <row r="3" ht="30" customHeight="1">
      <c r="A3" s="6" t="inlineStr"/>
      <c r="I3" s="48" t="inlineStr"/>
      <c r="J3" s="15" t="n"/>
      <c r="K3" s="48" t="inlineStr"/>
      <c r="L3" s="15" t="n"/>
    </row>
    <row r="4" ht="26" customHeight="1">
      <c r="A4" s="14" t="inlineStr">
        <is>
          <t>작성부서</t>
        </is>
      </c>
      <c r="B4" s="15" t="n"/>
      <c r="C4" s="36" t="inlineStr">
        <is>
          <t>공무팀</t>
        </is>
      </c>
      <c r="D4" s="15" t="n"/>
      <c r="E4" s="14" t="inlineStr">
        <is>
          <t>점검일</t>
        </is>
      </c>
      <c r="F4" s="49" t="n">
        <v>46150</v>
      </c>
      <c r="G4" s="15" t="n"/>
      <c r="H4" s="15" t="n"/>
      <c r="I4" s="14" t="inlineStr">
        <is>
          <t>작 성 자</t>
        </is>
      </c>
      <c r="J4" s="15" t="n"/>
      <c r="K4" s="36" t="inlineStr">
        <is>
          <t>박환경</t>
        </is>
      </c>
      <c r="L4" s="15" t="n"/>
    </row>
    <row r="5" ht="22" customHeight="1">
      <c r="A5" s="25" t="inlineStr">
        <is>
          <t>구분</t>
        </is>
      </c>
      <c r="B5" s="25" t="inlineStr">
        <is>
          <t>항  목</t>
        </is>
      </c>
      <c r="C5" s="15" t="n"/>
      <c r="D5" s="25" t="inlineStr">
        <is>
          <t>점  검  사  항</t>
        </is>
      </c>
      <c r="E5" s="15" t="n"/>
      <c r="F5" s="15" t="n"/>
      <c r="G5" s="15" t="n"/>
      <c r="H5" s="15" t="n"/>
      <c r="I5" s="25" t="inlineStr">
        <is>
          <t>실  시  사  항</t>
        </is>
      </c>
      <c r="J5" s="15" t="n"/>
      <c r="K5" s="15" t="n"/>
      <c r="L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25" t="inlineStr">
        <is>
          <t>결과</t>
        </is>
      </c>
      <c r="J6" s="25" t="inlineStr">
        <is>
          <t>부적합 장소 / 사항</t>
        </is>
      </c>
      <c r="K6" s="15" t="n"/>
      <c r="L6" s="25" t="inlineStr">
        <is>
          <t>대  책</t>
        </is>
      </c>
    </row>
    <row r="7" ht="26" customHeight="1">
      <c r="A7" s="50" t="inlineStr">
        <is>
          <t>환
경</t>
        </is>
      </c>
      <c r="B7" s="24" t="inlineStr">
        <is>
          <t>시설물</t>
        </is>
      </c>
      <c r="C7" s="15" t="n"/>
      <c r="D7" s="42" t="inlineStr">
        <is>
          <t>1. 사업장의 시설물은 적합하게 관리되고 있는가?</t>
        </is>
      </c>
      <c r="E7" s="15" t="n"/>
      <c r="F7" s="15" t="n"/>
      <c r="G7" s="15" t="n"/>
      <c r="H7" s="15" t="n"/>
      <c r="I7" s="36" t="inlineStr">
        <is>
          <t>○</t>
        </is>
      </c>
      <c r="J7" s="51" t="n"/>
      <c r="K7" s="15" t="n"/>
      <c r="L7" s="52" t="n"/>
    </row>
    <row r="8" ht="26" customHeight="1">
      <c r="A8" s="15" t="n"/>
      <c r="B8" s="24" t="inlineStr">
        <is>
          <t>소음 · 악취</t>
        </is>
      </c>
      <c r="C8" s="15" t="n"/>
      <c r="D8" s="42" t="inlineStr">
        <is>
          <t>1. 소음은 기준치에 적합하게 관리 · 측정되고 있는가?</t>
        </is>
      </c>
      <c r="E8" s="15" t="n"/>
      <c r="F8" s="15" t="n"/>
      <c r="G8" s="15" t="n"/>
      <c r="H8" s="15" t="n"/>
      <c r="I8" s="36" t="inlineStr">
        <is>
          <t>○</t>
        </is>
      </c>
      <c r="J8" s="51" t="n"/>
      <c r="K8" s="15" t="n"/>
      <c r="L8" s="52" t="n"/>
    </row>
    <row r="9" ht="26" customHeight="1">
      <c r="A9" s="15" t="n"/>
      <c r="B9" s="15" t="n"/>
      <c r="C9" s="15" t="n"/>
      <c r="D9" s="42" t="inlineStr">
        <is>
          <t>2. 소음으로 인한 작업자의 애로 및 민원은 없는가?</t>
        </is>
      </c>
      <c r="E9" s="15" t="n"/>
      <c r="F9" s="15" t="n"/>
      <c r="G9" s="15" t="n"/>
      <c r="H9" s="15" t="n"/>
      <c r="I9" s="36" t="inlineStr">
        <is>
          <t>○</t>
        </is>
      </c>
      <c r="J9" s="51" t="n"/>
      <c r="K9" s="15" t="n"/>
      <c r="L9" s="52" t="n"/>
    </row>
    <row r="10" ht="26" customHeight="1">
      <c r="A10" s="15" t="n"/>
      <c r="B10" s="15" t="n"/>
      <c r="C10" s="15" t="n"/>
      <c r="D10" s="42" t="inlineStr">
        <is>
          <t>3. 악취의 원인 제공 개소는 없는가?</t>
        </is>
      </c>
      <c r="E10" s="15" t="n"/>
      <c r="F10" s="15" t="n"/>
      <c r="G10" s="15" t="n"/>
      <c r="H10" s="15" t="n"/>
      <c r="I10" s="36" t="inlineStr">
        <is>
          <t>○</t>
        </is>
      </c>
      <c r="J10" s="51" t="n"/>
      <c r="K10" s="15" t="n"/>
      <c r="L10" s="52" t="n"/>
    </row>
    <row r="11" ht="26" customHeight="1">
      <c r="A11" s="15" t="n"/>
      <c r="B11" s="24" t="inlineStr">
        <is>
          <t>폐기물</t>
        </is>
      </c>
      <c r="C11" s="15" t="n"/>
      <c r="D11" s="42" t="inlineStr">
        <is>
          <t>1. 폐기물은 지정장소에 분리수거되고 있는가?</t>
        </is>
      </c>
      <c r="E11" s="15" t="n"/>
      <c r="F11" s="15" t="n"/>
      <c r="G11" s="15" t="n"/>
      <c r="H11" s="15" t="n"/>
      <c r="I11" s="36" t="n">
        <v>1</v>
      </c>
      <c r="J11" s="51" t="inlineStr">
        <is>
          <t>폐기물 보관장 뚜껑 파손</t>
        </is>
      </c>
      <c r="K11" s="15" t="n"/>
      <c r="L11" s="52" t="inlineStr">
        <is>
          <t>5/15까지 교체</t>
        </is>
      </c>
    </row>
    <row r="12" ht="26" customHeight="1">
      <c r="A12" s="15" t="n"/>
      <c r="B12" s="15" t="n"/>
      <c r="C12" s="15" t="n"/>
      <c r="D12" s="42" t="inlineStr">
        <is>
          <t>2. 폐기물은 적합하게 처리되고 기록관리되고 있는가?</t>
        </is>
      </c>
      <c r="E12" s="15" t="n"/>
      <c r="F12" s="15" t="n"/>
      <c r="G12" s="15" t="n"/>
      <c r="H12" s="15" t="n"/>
      <c r="I12" s="36" t="inlineStr">
        <is>
          <t>○</t>
        </is>
      </c>
      <c r="J12" s="51" t="n"/>
      <c r="K12" s="15" t="n"/>
      <c r="L12" s="52" t="n"/>
    </row>
    <row r="13" ht="26" customHeight="1">
      <c r="A13" s="15" t="n"/>
      <c r="B13" s="24" t="inlineStr">
        <is>
          <t>수 질</t>
        </is>
      </c>
      <c r="C13" s="15" t="n"/>
      <c r="D13" s="42" t="inlineStr">
        <is>
          <t>1. 오수 · 분뇨처리시설은 적합하게 작동 · 관리되고 있는가?</t>
        </is>
      </c>
      <c r="E13" s="15" t="n"/>
      <c r="F13" s="15" t="n"/>
      <c r="G13" s="15" t="n"/>
      <c r="H13" s="15" t="n"/>
      <c r="I13" s="36" t="inlineStr">
        <is>
          <t>○</t>
        </is>
      </c>
      <c r="J13" s="51" t="n"/>
      <c r="K13" s="15" t="n"/>
      <c r="L13" s="52" t="n"/>
    </row>
    <row r="14" ht="26" customHeight="1">
      <c r="A14" s="15" t="n"/>
      <c r="B14" s="15" t="n"/>
      <c r="C14" s="15" t="n"/>
      <c r="D14" s="42" t="inlineStr">
        <is>
          <t>2. 오수 · 분뇨처리시설은 정기적으로 청소 · 수거되고 있는가?</t>
        </is>
      </c>
      <c r="E14" s="15" t="n"/>
      <c r="F14" s="15" t="n"/>
      <c r="G14" s="15" t="n"/>
      <c r="H14" s="15" t="n"/>
      <c r="I14" s="36" t="inlineStr">
        <is>
          <t>○</t>
        </is>
      </c>
      <c r="J14" s="51" t="n"/>
      <c r="K14" s="15" t="n"/>
      <c r="L14" s="52" t="n"/>
    </row>
    <row r="15" ht="26" customHeight="1">
      <c r="A15" s="15" t="n"/>
      <c r="B15" s="15" t="n"/>
      <c r="C15" s="15" t="n"/>
      <c r="D15" s="42" t="inlineStr">
        <is>
          <t>3. 생활하수가 무단 방류되는 곳은 없는가?</t>
        </is>
      </c>
      <c r="E15" s="15" t="n"/>
      <c r="F15" s="15" t="n"/>
      <c r="G15" s="15" t="n"/>
      <c r="H15" s="15" t="n"/>
      <c r="I15" s="36" t="inlineStr">
        <is>
          <t>○</t>
        </is>
      </c>
      <c r="J15" s="51" t="n"/>
      <c r="K15" s="15" t="n"/>
      <c r="L15" s="52" t="n"/>
    </row>
    <row r="16" ht="26" customHeight="1">
      <c r="A16" s="15" t="n"/>
      <c r="B16" s="24" t="inlineStr">
        <is>
          <t>난방 · 냉방</t>
        </is>
      </c>
      <c r="C16" s="15" t="n"/>
      <c r="D16" s="42" t="inlineStr">
        <is>
          <t>1. 난방기기의 가동상태 및 관리상태는 양호한가?</t>
        </is>
      </c>
      <c r="E16" s="15" t="n"/>
      <c r="F16" s="15" t="n"/>
      <c r="G16" s="15" t="n"/>
      <c r="H16" s="15" t="n"/>
      <c r="I16" s="36" t="inlineStr">
        <is>
          <t>○</t>
        </is>
      </c>
      <c r="J16" s="51" t="n"/>
      <c r="K16" s="15" t="n"/>
      <c r="L16" s="52" t="n"/>
    </row>
    <row r="17" ht="26" customHeight="1">
      <c r="A17" s="15" t="n"/>
      <c r="B17" s="15" t="n"/>
      <c r="C17" s="15" t="n"/>
      <c r="D17" s="42" t="inlineStr">
        <is>
          <t>2. 에너지 절약을 위한 요소는 파악되고 관리되는가?</t>
        </is>
      </c>
      <c r="E17" s="15" t="n"/>
      <c r="F17" s="15" t="n"/>
      <c r="G17" s="15" t="n"/>
      <c r="H17" s="15" t="n"/>
      <c r="I17" s="36" t="inlineStr">
        <is>
          <t>○</t>
        </is>
      </c>
      <c r="J17" s="51" t="n"/>
      <c r="K17" s="15" t="n"/>
      <c r="L17" s="52" t="n"/>
    </row>
    <row r="18" ht="26" customHeight="1">
      <c r="A18" s="15" t="n"/>
      <c r="B18" s="24" t="inlineStr">
        <is>
          <t>조 명</t>
        </is>
      </c>
      <c r="C18" s="15" t="n"/>
      <c r="D18" s="42" t="inlineStr">
        <is>
          <t>1. 작업조명등의 조도 및 관리상태는 양호한가?</t>
        </is>
      </c>
      <c r="E18" s="15" t="n"/>
      <c r="F18" s="15" t="n"/>
      <c r="G18" s="15" t="n"/>
      <c r="H18" s="15" t="n"/>
      <c r="I18" s="36" t="inlineStr">
        <is>
          <t>○</t>
        </is>
      </c>
      <c r="J18" s="51" t="n"/>
      <c r="K18" s="15" t="n"/>
      <c r="L18" s="52" t="n"/>
    </row>
    <row r="19" ht="26" customHeight="1">
      <c r="A19" s="15" t="n"/>
      <c r="B19" s="15" t="n"/>
      <c r="C19" s="15" t="n"/>
      <c r="D19" s="42" t="inlineStr">
        <is>
          <t>2. 에너지 절약을 위한 절전요소는 파악되고 실천하는가?</t>
        </is>
      </c>
      <c r="E19" s="15" t="n"/>
      <c r="F19" s="15" t="n"/>
      <c r="G19" s="15" t="n"/>
      <c r="H19" s="15" t="n"/>
      <c r="I19" s="36" t="inlineStr">
        <is>
          <t>○</t>
        </is>
      </c>
      <c r="J19" s="51" t="n"/>
      <c r="K19" s="15" t="n"/>
      <c r="L19" s="52" t="n"/>
    </row>
    <row r="20" ht="26" customHeight="1">
      <c r="A20" s="15" t="n"/>
      <c r="B20" s="24" t="inlineStr">
        <is>
          <t>기 타</t>
        </is>
      </c>
      <c r="C20" s="15" t="n"/>
      <c r="D20" s="42" t="inlineStr">
        <is>
          <t>1. 유해지역은 경고표식이 부착되어 있는가?</t>
        </is>
      </c>
      <c r="E20" s="15" t="n"/>
      <c r="F20" s="15" t="n"/>
      <c r="G20" s="15" t="n"/>
      <c r="H20" s="15" t="n"/>
      <c r="I20" s="36" t="inlineStr">
        <is>
          <t>○</t>
        </is>
      </c>
      <c r="J20" s="51" t="n"/>
      <c r="K20" s="15" t="n"/>
      <c r="L20" s="52" t="n"/>
    </row>
    <row r="21" ht="26" customHeight="1">
      <c r="A21" s="15" t="n"/>
      <c r="B21" s="15" t="n"/>
      <c r="C21" s="15" t="n"/>
      <c r="D21" s="42" t="inlineStr">
        <is>
          <t>2. MSDS 관련 내용 숙지 및 교육상태는?</t>
        </is>
      </c>
      <c r="E21" s="15" t="n"/>
      <c r="F21" s="15" t="n"/>
      <c r="G21" s="15" t="n"/>
      <c r="H21" s="15" t="n"/>
      <c r="I21" s="36" t="inlineStr">
        <is>
          <t>○</t>
        </is>
      </c>
      <c r="J21" s="51" t="n"/>
      <c r="K21" s="15" t="n"/>
      <c r="L21" s="52" t="n"/>
    </row>
    <row r="22" ht="26" customHeight="1">
      <c r="A22" s="15" t="n"/>
      <c r="B22" s="15" t="n"/>
      <c r="C22" s="15" t="n"/>
      <c r="D22" s="42" t="inlineStr">
        <is>
          <t>3. 유기용제의 노출장소 관리상태는 양호한가?</t>
        </is>
      </c>
      <c r="E22" s="15" t="n"/>
      <c r="F22" s="15" t="n"/>
      <c r="G22" s="15" t="n"/>
      <c r="H22" s="15" t="n"/>
      <c r="I22" s="36" t="inlineStr">
        <is>
          <t>○</t>
        </is>
      </c>
      <c r="J22" s="51" t="n"/>
      <c r="K22" s="15" t="n"/>
      <c r="L22" s="52" t="n"/>
    </row>
    <row r="23" ht="26" customHeight="1">
      <c r="A23" s="15" t="n"/>
      <c r="B23" s="15" t="n"/>
      <c r="C23" s="15" t="n"/>
      <c r="D23" s="42" t="inlineStr">
        <is>
          <t>4. 환경 관련 시설의 관리상태는 이상이 없는가?</t>
        </is>
      </c>
      <c r="E23" s="15" t="n"/>
      <c r="F23" s="15" t="n"/>
      <c r="G23" s="15" t="n"/>
      <c r="H23" s="15" t="n"/>
      <c r="I23" s="36" t="inlineStr">
        <is>
          <t>○</t>
        </is>
      </c>
      <c r="J23" s="51" t="n"/>
      <c r="K23" s="15" t="n"/>
      <c r="L23" s="52" t="n"/>
    </row>
    <row r="24" ht="26" customHeight="1">
      <c r="A24" s="50" t="inlineStr">
        <is>
          <t>소
방</t>
        </is>
      </c>
      <c r="B24" s="24" t="inlineStr">
        <is>
          <t>소 방</t>
        </is>
      </c>
      <c r="C24" s="15" t="n"/>
      <c r="D24" s="42" t="inlineStr">
        <is>
          <t>1. 소화기는 지정된 위치에 있는가?</t>
        </is>
      </c>
      <c r="E24" s="15" t="n"/>
      <c r="F24" s="15" t="n"/>
      <c r="G24" s="15" t="n"/>
      <c r="H24" s="15" t="n"/>
      <c r="I24" s="36" t="n">
        <v>2</v>
      </c>
      <c r="J24" s="51" t="inlineStr">
        <is>
          <t>사무실 앞 소화기 2개 미비치</t>
        </is>
      </c>
      <c r="K24" s="15" t="n"/>
      <c r="L24" s="52" t="inlineStr">
        <is>
          <t>즉시 비치</t>
        </is>
      </c>
    </row>
    <row r="25" ht="26" customHeight="1">
      <c r="A25" s="15" t="n"/>
      <c r="B25" s="15" t="n"/>
      <c r="C25" s="15" t="n"/>
      <c r="D25" s="42" t="inlineStr">
        <is>
          <t>2. 누전의 위험장소는 없는가?</t>
        </is>
      </c>
      <c r="E25" s="15" t="n"/>
      <c r="F25" s="15" t="n"/>
      <c r="G25" s="15" t="n"/>
      <c r="H25" s="15" t="n"/>
      <c r="I25" s="36" t="inlineStr">
        <is>
          <t>○</t>
        </is>
      </c>
      <c r="J25" s="51" t="n"/>
      <c r="K25" s="15" t="n"/>
      <c r="L25" s="52" t="n"/>
    </row>
    <row r="26" ht="26" customHeight="1">
      <c r="A26" s="15" t="n"/>
      <c r="B26" s="15" t="n"/>
      <c r="C26" s="15" t="n"/>
      <c r="D26" s="42" t="inlineStr">
        <is>
          <t>3. 가연성 물질 사용장소의 관리상태는 양호한가?</t>
        </is>
      </c>
      <c r="E26" s="15" t="n"/>
      <c r="F26" s="15" t="n"/>
      <c r="G26" s="15" t="n"/>
      <c r="H26" s="15" t="n"/>
      <c r="I26" s="36" t="inlineStr">
        <is>
          <t>○</t>
        </is>
      </c>
      <c r="J26" s="51" t="n"/>
      <c r="K26" s="15" t="n"/>
      <c r="L26" s="52" t="n"/>
    </row>
    <row r="27" ht="26" customHeight="1">
      <c r="A27" s="29" t="inlineStr">
        <is>
          <t>점 검 결 과</t>
        </is>
      </c>
      <c r="B27" s="15" t="n"/>
      <c r="C27" s="15" t="n"/>
      <c r="D27" s="53">
        <f>IF(COUNTA(I7:I26)=0,"","양호(○) "&amp;COUNTIF(I7:I26,"○")&amp;"항목 · 부적합 "&amp;COUNT(I7:I26)&amp;"항목 "&amp;SUM(I7:I26)&amp;"건 · 빈칸 "&amp;(20-COUNTA(I7:I26))&amp;"항목")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4" customHeight="1">
      <c r="A28" s="14" t="inlineStr">
        <is>
          <t>특기사항</t>
        </is>
      </c>
      <c r="B28" s="15" t="n"/>
      <c r="C28" s="42" t="inlineStr">
        <is>
          <t>* 점검 결과가 양호하면 결과란에 «○» 를 적고, 부적합 사항이 있으면 «건수(숫자)» 로 적습니다.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30" ht="19.5" customHeight="1">
      <c r="A30" s="9" t="inlineStr">
        <is>
          <t>이 시트는 작성 예시입니다(가상의 점검).</t>
        </is>
      </c>
    </row>
  </sheetData>
  <mergeCells count="73">
    <mergeCell ref="D20:H20"/>
    <mergeCell ref="B7:C7"/>
    <mergeCell ref="D27:L27"/>
    <mergeCell ref="D10:H10"/>
    <mergeCell ref="I2:J2"/>
    <mergeCell ref="J14:K14"/>
    <mergeCell ref="K3:L3"/>
    <mergeCell ref="J10:K10"/>
    <mergeCell ref="D19:H19"/>
    <mergeCell ref="J19:K19"/>
    <mergeCell ref="A27:C27"/>
    <mergeCell ref="J13:K13"/>
    <mergeCell ref="D22:H22"/>
    <mergeCell ref="C28:L28"/>
    <mergeCell ref="C4:D4"/>
    <mergeCell ref="J9:K9"/>
    <mergeCell ref="D21:H21"/>
    <mergeCell ref="J17:K17"/>
    <mergeCell ref="B8:C10"/>
    <mergeCell ref="D26:H26"/>
    <mergeCell ref="J6:K6"/>
    <mergeCell ref="J24:K24"/>
    <mergeCell ref="J15:K15"/>
    <mergeCell ref="B5:C6"/>
    <mergeCell ref="D11:H11"/>
    <mergeCell ref="D13:H13"/>
    <mergeCell ref="A7:A23"/>
    <mergeCell ref="D5:H6"/>
    <mergeCell ref="A24:A26"/>
    <mergeCell ref="D17:H17"/>
    <mergeCell ref="I3:J3"/>
    <mergeCell ref="A5:A6"/>
    <mergeCell ref="G1:L1"/>
    <mergeCell ref="B13:C15"/>
    <mergeCell ref="A3:H3"/>
    <mergeCell ref="D7:H7"/>
    <mergeCell ref="J11:K11"/>
    <mergeCell ref="B20:C23"/>
    <mergeCell ref="B16:C17"/>
    <mergeCell ref="D16:H16"/>
    <mergeCell ref="J20:K20"/>
    <mergeCell ref="K2:L2"/>
    <mergeCell ref="A2:H2"/>
    <mergeCell ref="J16:K16"/>
    <mergeCell ref="J7:K7"/>
    <mergeCell ref="J25:K25"/>
    <mergeCell ref="J26:K26"/>
    <mergeCell ref="F4:H4"/>
    <mergeCell ref="J22:K22"/>
    <mergeCell ref="B18:C19"/>
    <mergeCell ref="D18:H18"/>
    <mergeCell ref="D9:H9"/>
    <mergeCell ref="A4:B4"/>
    <mergeCell ref="A30:L30"/>
    <mergeCell ref="D12:H12"/>
    <mergeCell ref="J21:K21"/>
    <mergeCell ref="I4:J4"/>
    <mergeCell ref="D8:H8"/>
    <mergeCell ref="J12:K12"/>
    <mergeCell ref="D15:H15"/>
    <mergeCell ref="B24:C26"/>
    <mergeCell ref="D25:H25"/>
    <mergeCell ref="D24:H24"/>
    <mergeCell ref="B11:C12"/>
    <mergeCell ref="A1:F1"/>
    <mergeCell ref="A28:B28"/>
    <mergeCell ref="J18:K18"/>
    <mergeCell ref="D23:H23"/>
    <mergeCell ref="D14:H14"/>
    <mergeCell ref="J23:K23"/>
    <mergeCell ref="K4:L4"/>
    <mergeCell ref="J8:K8"/>
    <mergeCell ref="I5:L5"/>
  </mergeCells>
  <printOptions horizontalCentered="1"/>
  <pageMargins left="0.7" right="0.6" top="0.6" bottom="0.6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4. 환경보전비 집행계획</t>
        </is>
      </c>
    </row>
    <row r="4" ht="3" customHeight="1"/>
    <row r="5" ht="21" customHeight="1">
      <c r="A5" s="23" t="inlineStr">
        <is>
          <t>가. 예산</t>
        </is>
      </c>
    </row>
    <row r="6" ht="26" customHeight="1">
      <c r="A6" s="32" t="inlineStr">
        <is>
          <t>① 도급내역서상 계상된 환경보전비 :</t>
        </is>
      </c>
      <c r="G6" s="54" t="n">
        <v>78500000</v>
      </c>
      <c r="H6" s="15" t="n"/>
      <c r="I6" s="15" t="n"/>
      <c r="J6" s="15" t="n"/>
      <c r="K6" s="6" t="inlineStr"/>
    </row>
    <row r="7" ht="3" customHeight="1"/>
    <row r="8" ht="21" customHeight="1">
      <c r="A8" s="23" t="inlineStr">
        <is>
          <t>나. 총괄 사용계획</t>
        </is>
      </c>
    </row>
    <row r="9" ht="24" customHeight="1">
      <c r="A9" s="25" t="inlineStr">
        <is>
          <t>사   용   계   획   금   액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4" customHeight="1">
      <c r="A10" s="25" t="inlineStr">
        <is>
          <t>항    목</t>
        </is>
      </c>
      <c r="B10" s="15" t="n"/>
      <c r="C10" s="15" t="n"/>
      <c r="D10" s="15" t="n"/>
      <c r="E10" s="15" t="n"/>
      <c r="F10" s="15" t="n"/>
      <c r="G10" s="25" t="inlineStr">
        <is>
          <t>금  액 (원)</t>
        </is>
      </c>
      <c r="H10" s="15" t="n"/>
      <c r="I10" s="15" t="n"/>
      <c r="J10" s="25" t="inlineStr">
        <is>
          <t>비율</t>
        </is>
      </c>
      <c r="K10" s="25" t="inlineStr">
        <is>
          <t>비  고</t>
        </is>
      </c>
      <c r="L10" s="15" t="n"/>
    </row>
    <row r="11" ht="26" customHeight="1">
      <c r="A11" s="39" t="inlineStr">
        <is>
          <t>1. 환경오염 방지시설 설치 및 운영비용</t>
        </is>
      </c>
      <c r="B11" s="15" t="n"/>
      <c r="C11" s="15" t="n"/>
      <c r="D11" s="15" t="n"/>
      <c r="E11" s="15" t="n"/>
      <c r="F11" s="15" t="n"/>
      <c r="G11" s="55">
        <f>IF(SUMIF(A24:A43,1,K24:K43)=0,"",SUMIF(A24:A43,1,K24:K43))</f>
        <v/>
      </c>
      <c r="H11" s="15" t="n"/>
      <c r="I11" s="15" t="n"/>
      <c r="J11" s="56">
        <f>IF(OR(G11="",N(G19)=0),"",G11/G19)</f>
        <v/>
      </c>
      <c r="K11" s="51" t="n"/>
      <c r="L11" s="15" t="n"/>
    </row>
    <row r="12" ht="26" customHeight="1">
      <c r="A12" s="39" t="inlineStr">
        <is>
          <t>2. 폐기물의 처리 및 재활용 비용</t>
        </is>
      </c>
      <c r="B12" s="15" t="n"/>
      <c r="C12" s="15" t="n"/>
      <c r="D12" s="15" t="n"/>
      <c r="E12" s="15" t="n"/>
      <c r="F12" s="15" t="n"/>
      <c r="G12" s="55">
        <f>IF(SUMIF(A24:A43,2,K24:K43)=0,"",SUMIF(A24:A43,2,K24:K43))</f>
        <v/>
      </c>
      <c r="H12" s="15" t="n"/>
      <c r="I12" s="15" t="n"/>
      <c r="J12" s="56">
        <f>IF(OR(G12="",N(G19)=0),"",G12/G19)</f>
        <v/>
      </c>
      <c r="K12" s="51" t="n"/>
      <c r="L12" s="15" t="n"/>
    </row>
    <row r="13" ht="26" customHeight="1">
      <c r="A13" s="39" t="inlineStr">
        <is>
          <t>3. 환경계측 비용</t>
        </is>
      </c>
      <c r="B13" s="15" t="n"/>
      <c r="C13" s="15" t="n"/>
      <c r="D13" s="15" t="n"/>
      <c r="E13" s="15" t="n"/>
      <c r="F13" s="15" t="n"/>
      <c r="G13" s="55">
        <f>IF(SUMIF(A24:A43,3,K24:K43)=0,"",SUMIF(A24:A43,3,K24:K43))</f>
        <v/>
      </c>
      <c r="H13" s="15" t="n"/>
      <c r="I13" s="15" t="n"/>
      <c r="J13" s="56">
        <f>IF(OR(G13="",N(G19)=0),"",G13/G19)</f>
        <v/>
      </c>
      <c r="K13" s="51" t="n"/>
      <c r="L13" s="15" t="n"/>
    </row>
    <row r="14" ht="26" customHeight="1">
      <c r="A14" s="39" t="inlineStr">
        <is>
          <t>4. 환경교육훈련 비용</t>
        </is>
      </c>
      <c r="B14" s="15" t="n"/>
      <c r="C14" s="15" t="n"/>
      <c r="D14" s="15" t="n"/>
      <c r="E14" s="15" t="n"/>
      <c r="F14" s="15" t="n"/>
      <c r="G14" s="55">
        <f>IF(SUMIF(A24:A43,4,K24:K43)=0,"",SUMIF(A24:A43,4,K24:K43))</f>
        <v/>
      </c>
      <c r="H14" s="15" t="n"/>
      <c r="I14" s="15" t="n"/>
      <c r="J14" s="56">
        <f>IF(OR(G14="",N(G19)=0),"",G14/G19)</f>
        <v/>
      </c>
      <c r="K14" s="51" t="n"/>
      <c r="L14" s="15" t="n"/>
    </row>
    <row r="15" ht="26" customHeight="1">
      <c r="A15" s="39" t="inlineStr">
        <is>
          <t>5. 현장 환경정리 비용</t>
        </is>
      </c>
      <c r="B15" s="15" t="n"/>
      <c r="C15" s="15" t="n"/>
      <c r="D15" s="15" t="n"/>
      <c r="E15" s="15" t="n"/>
      <c r="F15" s="15" t="n"/>
      <c r="G15" s="55">
        <f>IF(SUMIF(A24:A43,5,K24:K43)=0,"",SUMIF(A24:A43,5,K24:K43))</f>
        <v/>
      </c>
      <c r="H15" s="15" t="n"/>
      <c r="I15" s="15" t="n"/>
      <c r="J15" s="56">
        <f>IF(OR(G15="",N(G19)=0),"",G15/G19)</f>
        <v/>
      </c>
      <c r="K15" s="51" t="n"/>
      <c r="L15" s="15" t="n"/>
    </row>
    <row r="16" ht="26" customHeight="1">
      <c r="A16" s="39" t="inlineStr">
        <is>
          <t>6. 환경자료 및 홍보물 구입 비용</t>
        </is>
      </c>
      <c r="B16" s="15" t="n"/>
      <c r="C16" s="15" t="n"/>
      <c r="D16" s="15" t="n"/>
      <c r="E16" s="15" t="n"/>
      <c r="F16" s="15" t="n"/>
      <c r="G16" s="55">
        <f>IF(SUMIF(A24:A43,6,K24:K43)=0,"",SUMIF(A24:A43,6,K24:K43))</f>
        <v/>
      </c>
      <c r="H16" s="15" t="n"/>
      <c r="I16" s="15" t="n"/>
      <c r="J16" s="56">
        <f>IF(OR(G16="",N(G19)=0),"",G16/G19)</f>
        <v/>
      </c>
      <c r="K16" s="51" t="n"/>
      <c r="L16" s="15" t="n"/>
    </row>
    <row r="17" ht="26" customHeight="1">
      <c r="A17" s="39" t="inlineStr">
        <is>
          <t>7. 환경기술인 및 환경 관련 인건비용</t>
        </is>
      </c>
      <c r="B17" s="15" t="n"/>
      <c r="C17" s="15" t="n"/>
      <c r="D17" s="15" t="n"/>
      <c r="E17" s="15" t="n"/>
      <c r="F17" s="15" t="n"/>
      <c r="G17" s="55">
        <f>IF(SUMIF(A24:A43,7,K24:K43)=0,"",SUMIF(A24:A43,7,K24:K43))</f>
        <v/>
      </c>
      <c r="H17" s="15" t="n"/>
      <c r="I17" s="15" t="n"/>
      <c r="J17" s="56">
        <f>IF(OR(G17="",N(G19)=0),"",G17/G19)</f>
        <v/>
      </c>
      <c r="K17" s="51" t="n"/>
      <c r="L17" s="15" t="n"/>
    </row>
    <row r="18" ht="26" customHeight="1">
      <c r="A18" s="39" t="inlineStr">
        <is>
          <t>8. 기타</t>
        </is>
      </c>
      <c r="B18" s="15" t="n"/>
      <c r="C18" s="15" t="n"/>
      <c r="D18" s="15" t="n"/>
      <c r="E18" s="15" t="n"/>
      <c r="F18" s="15" t="n"/>
      <c r="G18" s="55">
        <f>IF(SUMIF(A24:A43,8,K24:K43)=0,"",SUMIF(A24:A43,8,K24:K43))</f>
        <v/>
      </c>
      <c r="H18" s="15" t="n"/>
      <c r="I18" s="15" t="n"/>
      <c r="J18" s="56">
        <f>IF(OR(G18="",N(G19)=0),"",G18/G19)</f>
        <v/>
      </c>
      <c r="K18" s="51" t="n"/>
      <c r="L18" s="15" t="n"/>
    </row>
    <row r="19" ht="26" customHeight="1">
      <c r="A19" s="29" t="inlineStr">
        <is>
          <t>합    계</t>
        </is>
      </c>
      <c r="B19" s="15" t="n"/>
      <c r="C19" s="15" t="n"/>
      <c r="D19" s="15" t="n"/>
      <c r="E19" s="15" t="n"/>
      <c r="F19" s="15" t="n"/>
      <c r="G19" s="57">
        <f>IF(SUM(G11:G18)=0,"",SUM(G11:G18))</f>
        <v/>
      </c>
      <c r="H19" s="15" t="n"/>
      <c r="I19" s="15" t="n"/>
      <c r="J19" s="58">
        <f>IF(G19="","",1)</f>
        <v/>
      </c>
      <c r="K19" s="29" t="inlineStr"/>
      <c r="L19" s="15" t="n"/>
    </row>
    <row r="20" ht="16" customHeight="1">
      <c r="A20" s="59">
        <f>IF(OR(N(G6)=0,G19=""),"",IF(G19&gt;G6,"⚠ 사용계획이 계상액보다 "&amp;(G19-G6)&amp;"원 많습니다.","※ 계상액 대비 "&amp;ROUND(G19/G6*100,1)&amp;"% 계획"))</f>
        <v/>
      </c>
    </row>
    <row r="21" ht="3" customHeight="1"/>
    <row r="22" ht="21" customHeight="1">
      <c r="A22" s="23" t="inlineStr">
        <is>
          <t>다. 환경보전비 항목별 사용내역</t>
        </is>
      </c>
    </row>
    <row r="23" ht="28" customHeight="1">
      <c r="A23" s="60" t="inlineStr">
        <is>
          <t>항목
번호</t>
        </is>
      </c>
      <c r="B23" s="25" t="inlineStr">
        <is>
          <t>사  용  내  역</t>
        </is>
      </c>
      <c r="C23" s="15" t="n"/>
      <c r="D23" s="15" t="n"/>
      <c r="E23" s="15" t="n"/>
      <c r="F23" s="15" t="n"/>
      <c r="G23" s="25" t="inlineStr">
        <is>
          <t>단위</t>
        </is>
      </c>
      <c r="H23" s="25" t="inlineStr">
        <is>
          <t>수량</t>
        </is>
      </c>
      <c r="I23" s="25" t="inlineStr">
        <is>
          <t>단  가</t>
        </is>
      </c>
      <c r="J23" s="15" t="n"/>
      <c r="K23" s="25" t="inlineStr">
        <is>
          <t>금  액</t>
        </is>
      </c>
      <c r="L23" s="15" t="n"/>
    </row>
    <row r="24" ht="21" customHeight="1">
      <c r="A24" s="61" t="n">
        <v>1</v>
      </c>
      <c r="B24" s="28" t="inlineStr">
        <is>
          <t>방진막 설치(H 1.8m)</t>
        </is>
      </c>
      <c r="C24" s="15" t="n"/>
      <c r="D24" s="15" t="n"/>
      <c r="E24" s="15" t="n"/>
      <c r="F24" s="15" t="n"/>
      <c r="G24" s="62" t="inlineStr">
        <is>
          <t>m</t>
        </is>
      </c>
      <c r="H24" s="63" t="n">
        <v>420</v>
      </c>
      <c r="I24" s="64" t="n">
        <v>12000</v>
      </c>
      <c r="J24" s="15" t="n"/>
      <c r="K24" s="65">
        <f>IF(OR(N(H24)=0,N(I24)=0),"",ROUND(H24*I24,0))</f>
        <v/>
      </c>
      <c r="L24" s="15" t="n"/>
    </row>
    <row r="25" ht="21" customHeight="1">
      <c r="A25" s="61" t="n">
        <v>1</v>
      </c>
      <c r="B25" s="28" t="inlineStr">
        <is>
          <t>이동식 살수차 운영</t>
        </is>
      </c>
      <c r="C25" s="15" t="n"/>
      <c r="D25" s="15" t="n"/>
      <c r="E25" s="15" t="n"/>
      <c r="F25" s="15" t="n"/>
      <c r="G25" s="62" t="inlineStr">
        <is>
          <t>일</t>
        </is>
      </c>
      <c r="H25" s="63" t="n">
        <v>60</v>
      </c>
      <c r="I25" s="64" t="n">
        <v>180000</v>
      </c>
      <c r="J25" s="15" t="n"/>
      <c r="K25" s="65">
        <f>IF(OR(N(H25)=0,N(I25)=0),"",ROUND(H25*I25,0))</f>
        <v/>
      </c>
      <c r="L25" s="15" t="n"/>
    </row>
    <row r="26" ht="21" customHeight="1">
      <c r="A26" s="61" t="n">
        <v>1</v>
      </c>
      <c r="B26" s="28" t="inlineStr">
        <is>
          <t>고압 살수기(세륜) 설치 · 운영</t>
        </is>
      </c>
      <c r="C26" s="15" t="n"/>
      <c r="D26" s="15" t="n"/>
      <c r="E26" s="15" t="n"/>
      <c r="F26" s="15" t="n"/>
      <c r="G26" s="62" t="inlineStr">
        <is>
          <t>식</t>
        </is>
      </c>
      <c r="H26" s="63" t="n">
        <v>1</v>
      </c>
      <c r="I26" s="64" t="n">
        <v>8500000</v>
      </c>
      <c r="J26" s="15" t="n"/>
      <c r="K26" s="65">
        <f>IF(OR(N(H26)=0,N(I26)=0),"",ROUND(H26*I26,0))</f>
        <v/>
      </c>
      <c r="L26" s="15" t="n"/>
    </row>
    <row r="27" ht="21" customHeight="1">
      <c r="A27" s="61" t="n">
        <v>2</v>
      </c>
      <c r="B27" s="28" t="inlineStr">
        <is>
          <t>건설폐기물 위탁처리(운반 · 처리)</t>
        </is>
      </c>
      <c r="C27" s="15" t="n"/>
      <c r="D27" s="15" t="n"/>
      <c r="E27" s="15" t="n"/>
      <c r="F27" s="15" t="n"/>
      <c r="G27" s="62" t="inlineStr">
        <is>
          <t>톤</t>
        </is>
      </c>
      <c r="H27" s="63" t="n">
        <v>380</v>
      </c>
      <c r="I27" s="64" t="n">
        <v>32000</v>
      </c>
      <c r="J27" s="15" t="n"/>
      <c r="K27" s="65">
        <f>IF(OR(N(H27)=0,N(I27)=0),"",ROUND(H27*I27,0))</f>
        <v/>
      </c>
      <c r="L27" s="15" t="n"/>
    </row>
    <row r="28" ht="21" customHeight="1">
      <c r="A28" s="61" t="n">
        <v>2</v>
      </c>
      <c r="B28" s="28" t="inlineStr">
        <is>
          <t>폐기물 분리수거함 설치</t>
        </is>
      </c>
      <c r="C28" s="15" t="n"/>
      <c r="D28" s="15" t="n"/>
      <c r="E28" s="15" t="n"/>
      <c r="F28" s="15" t="n"/>
      <c r="G28" s="62" t="inlineStr">
        <is>
          <t>개</t>
        </is>
      </c>
      <c r="H28" s="63" t="n">
        <v>6</v>
      </c>
      <c r="I28" s="64" t="n">
        <v>150000</v>
      </c>
      <c r="J28" s="15" t="n"/>
      <c r="K28" s="65">
        <f>IF(OR(N(H28)=0,N(I28)=0),"",ROUND(H28*I28,0))</f>
        <v/>
      </c>
      <c r="L28" s="15" t="n"/>
    </row>
    <row r="29" ht="21" customHeight="1">
      <c r="A29" s="61" t="n">
        <v>3</v>
      </c>
      <c r="B29" s="28" t="inlineStr">
        <is>
          <t>소음 · 진동 측정(위탁)</t>
        </is>
      </c>
      <c r="C29" s="15" t="n"/>
      <c r="D29" s="15" t="n"/>
      <c r="E29" s="15" t="n"/>
      <c r="F29" s="15" t="n"/>
      <c r="G29" s="62" t="inlineStr">
        <is>
          <t>회</t>
        </is>
      </c>
      <c r="H29" s="63" t="n">
        <v>8</v>
      </c>
      <c r="I29" s="64" t="n">
        <v>350000</v>
      </c>
      <c r="J29" s="15" t="n"/>
      <c r="K29" s="65">
        <f>IF(OR(N(H29)=0,N(I29)=0),"",ROUND(H29*I29,0))</f>
        <v/>
      </c>
      <c r="L29" s="15" t="n"/>
    </row>
    <row r="30" ht="21" customHeight="1">
      <c r="A30" s="61" t="n">
        <v>4</v>
      </c>
      <c r="B30" s="28" t="inlineStr">
        <is>
          <t>환경 정기교육 교재 · 강사료</t>
        </is>
      </c>
      <c r="C30" s="15" t="n"/>
      <c r="D30" s="15" t="n"/>
      <c r="E30" s="15" t="n"/>
      <c r="F30" s="15" t="n"/>
      <c r="G30" s="62" t="inlineStr">
        <is>
          <t>회</t>
        </is>
      </c>
      <c r="H30" s="63" t="n">
        <v>4</v>
      </c>
      <c r="I30" s="64" t="n">
        <v>200000</v>
      </c>
      <c r="J30" s="15" t="n"/>
      <c r="K30" s="65">
        <f>IF(OR(N(H30)=0,N(I30)=0),"",ROUND(H30*I30,0))</f>
        <v/>
      </c>
      <c r="L30" s="15" t="n"/>
    </row>
    <row r="31" ht="21" customHeight="1">
      <c r="A31" s="61" t="n">
        <v>5</v>
      </c>
      <c r="B31" s="28" t="inlineStr">
        <is>
          <t>현장 방역소독</t>
        </is>
      </c>
      <c r="C31" s="15" t="n"/>
      <c r="D31" s="15" t="n"/>
      <c r="E31" s="15" t="n"/>
      <c r="F31" s="15" t="n"/>
      <c r="G31" s="62" t="inlineStr">
        <is>
          <t>회</t>
        </is>
      </c>
      <c r="H31" s="63" t="n">
        <v>12</v>
      </c>
      <c r="I31" s="64" t="n">
        <v>120000</v>
      </c>
      <c r="J31" s="15" t="n"/>
      <c r="K31" s="65">
        <f>IF(OR(N(H31)=0,N(I31)=0),"",ROUND(H31*I31,0))</f>
        <v/>
      </c>
      <c r="L31" s="15" t="n"/>
    </row>
    <row r="32" ht="21" customHeight="1">
      <c r="A32" s="61" t="n">
        <v>6</v>
      </c>
      <c r="B32" s="28" t="inlineStr">
        <is>
          <t>환경 안내게시판 · 현수막</t>
        </is>
      </c>
      <c r="C32" s="15" t="n"/>
      <c r="D32" s="15" t="n"/>
      <c r="E32" s="15" t="n"/>
      <c r="F32" s="15" t="n"/>
      <c r="G32" s="62" t="inlineStr">
        <is>
          <t>식</t>
        </is>
      </c>
      <c r="H32" s="63" t="n">
        <v>1</v>
      </c>
      <c r="I32" s="64" t="n">
        <v>900000</v>
      </c>
      <c r="J32" s="15" t="n"/>
      <c r="K32" s="65">
        <f>IF(OR(N(H32)=0,N(I32)=0),"",ROUND(H32*I32,0))</f>
        <v/>
      </c>
      <c r="L32" s="15" t="n"/>
    </row>
    <row r="33" ht="21" customHeight="1">
      <c r="A33" s="61" t="n">
        <v>7</v>
      </c>
      <c r="B33" s="28" t="inlineStr">
        <is>
          <t>세륜시설 관리인 인건비</t>
        </is>
      </c>
      <c r="C33" s="15" t="n"/>
      <c r="D33" s="15" t="n"/>
      <c r="E33" s="15" t="n"/>
      <c r="F33" s="15" t="n"/>
      <c r="G33" s="62" t="inlineStr">
        <is>
          <t>월</t>
        </is>
      </c>
      <c r="H33" s="63" t="n">
        <v>12</v>
      </c>
      <c r="I33" s="64" t="n">
        <v>2600000</v>
      </c>
      <c r="J33" s="15" t="n"/>
      <c r="K33" s="65">
        <f>IF(OR(N(H33)=0,N(I33)=0),"",ROUND(H33*I33,0))</f>
        <v/>
      </c>
      <c r="L33" s="15" t="n"/>
    </row>
    <row r="34" ht="21" customHeight="1">
      <c r="A34" s="61" t="n">
        <v>8</v>
      </c>
      <c r="B34" s="28" t="inlineStr">
        <is>
          <t>세륜 오탁수 응집제</t>
        </is>
      </c>
      <c r="C34" s="15" t="n"/>
      <c r="D34" s="15" t="n"/>
      <c r="E34" s="15" t="n"/>
      <c r="F34" s="15" t="n"/>
      <c r="G34" s="62" t="inlineStr">
        <is>
          <t>kg</t>
        </is>
      </c>
      <c r="H34" s="63" t="n">
        <v>200</v>
      </c>
      <c r="I34" s="64" t="n">
        <v>3500</v>
      </c>
      <c r="J34" s="15" t="n"/>
      <c r="K34" s="65">
        <f>IF(OR(N(H34)=0,N(I34)=0),"",ROUND(H34*I34,0))</f>
        <v/>
      </c>
      <c r="L34" s="15" t="n"/>
    </row>
    <row r="35" ht="21" customHeight="1">
      <c r="A35" s="61" t="n"/>
      <c r="B35" s="28" t="n"/>
      <c r="C35" s="15" t="n"/>
      <c r="D35" s="15" t="n"/>
      <c r="E35" s="15" t="n"/>
      <c r="F35" s="15" t="n"/>
      <c r="G35" s="62" t="n"/>
      <c r="H35" s="63" t="n"/>
      <c r="I35" s="64" t="n"/>
      <c r="J35" s="15" t="n"/>
      <c r="K35" s="65">
        <f>IF(OR(N(H35)=0,N(I35)=0),"",ROUND(H35*I35,0))</f>
        <v/>
      </c>
      <c r="L35" s="15" t="n"/>
    </row>
    <row r="36" ht="21" customHeight="1">
      <c r="A36" s="61" t="n"/>
      <c r="B36" s="28" t="n"/>
      <c r="C36" s="15" t="n"/>
      <c r="D36" s="15" t="n"/>
      <c r="E36" s="15" t="n"/>
      <c r="F36" s="15" t="n"/>
      <c r="G36" s="62" t="n"/>
      <c r="H36" s="63" t="n"/>
      <c r="I36" s="64" t="n"/>
      <c r="J36" s="15" t="n"/>
      <c r="K36" s="65">
        <f>IF(OR(N(H36)=0,N(I36)=0),"",ROUND(H36*I36,0))</f>
        <v/>
      </c>
      <c r="L36" s="15" t="n"/>
    </row>
    <row r="37" ht="21" customHeight="1">
      <c r="A37" s="61" t="n"/>
      <c r="B37" s="28" t="n"/>
      <c r="C37" s="15" t="n"/>
      <c r="D37" s="15" t="n"/>
      <c r="E37" s="15" t="n"/>
      <c r="F37" s="15" t="n"/>
      <c r="G37" s="62" t="n"/>
      <c r="H37" s="63" t="n"/>
      <c r="I37" s="64" t="n"/>
      <c r="J37" s="15" t="n"/>
      <c r="K37" s="65">
        <f>IF(OR(N(H37)=0,N(I37)=0),"",ROUND(H37*I37,0))</f>
        <v/>
      </c>
      <c r="L37" s="15" t="n"/>
    </row>
    <row r="38" ht="21" customHeight="1">
      <c r="A38" s="61" t="n"/>
      <c r="B38" s="28" t="n"/>
      <c r="C38" s="15" t="n"/>
      <c r="D38" s="15" t="n"/>
      <c r="E38" s="15" t="n"/>
      <c r="F38" s="15" t="n"/>
      <c r="G38" s="62" t="n"/>
      <c r="H38" s="63" t="n"/>
      <c r="I38" s="64" t="n"/>
      <c r="J38" s="15" t="n"/>
      <c r="K38" s="65">
        <f>IF(OR(N(H38)=0,N(I38)=0),"",ROUND(H38*I38,0))</f>
        <v/>
      </c>
      <c r="L38" s="15" t="n"/>
    </row>
    <row r="39" ht="21" customHeight="1">
      <c r="A39" s="61" t="n"/>
      <c r="B39" s="28" t="n"/>
      <c r="C39" s="15" t="n"/>
      <c r="D39" s="15" t="n"/>
      <c r="E39" s="15" t="n"/>
      <c r="F39" s="15" t="n"/>
      <c r="G39" s="62" t="n"/>
      <c r="H39" s="63" t="n"/>
      <c r="I39" s="64" t="n"/>
      <c r="J39" s="15" t="n"/>
      <c r="K39" s="65">
        <f>IF(OR(N(H39)=0,N(I39)=0),"",ROUND(H39*I39,0))</f>
        <v/>
      </c>
      <c r="L39" s="15" t="n"/>
    </row>
    <row r="40" ht="21" customHeight="1">
      <c r="A40" s="61" t="n"/>
      <c r="B40" s="28" t="n"/>
      <c r="C40" s="15" t="n"/>
      <c r="D40" s="15" t="n"/>
      <c r="E40" s="15" t="n"/>
      <c r="F40" s="15" t="n"/>
      <c r="G40" s="62" t="n"/>
      <c r="H40" s="63" t="n"/>
      <c r="I40" s="64" t="n"/>
      <c r="J40" s="15" t="n"/>
      <c r="K40" s="65">
        <f>IF(OR(N(H40)=0,N(I40)=0),"",ROUND(H40*I40,0))</f>
        <v/>
      </c>
      <c r="L40" s="15" t="n"/>
    </row>
    <row r="41" ht="21" customHeight="1">
      <c r="A41" s="61" t="n"/>
      <c r="B41" s="28" t="n"/>
      <c r="C41" s="15" t="n"/>
      <c r="D41" s="15" t="n"/>
      <c r="E41" s="15" t="n"/>
      <c r="F41" s="15" t="n"/>
      <c r="G41" s="62" t="n"/>
      <c r="H41" s="63" t="n"/>
      <c r="I41" s="64" t="n"/>
      <c r="J41" s="15" t="n"/>
      <c r="K41" s="65">
        <f>IF(OR(N(H41)=0,N(I41)=0),"",ROUND(H41*I41,0))</f>
        <v/>
      </c>
      <c r="L41" s="15" t="n"/>
    </row>
    <row r="42" ht="21" customHeight="1">
      <c r="A42" s="61" t="n"/>
      <c r="B42" s="28" t="n"/>
      <c r="C42" s="15" t="n"/>
      <c r="D42" s="15" t="n"/>
      <c r="E42" s="15" t="n"/>
      <c r="F42" s="15" t="n"/>
      <c r="G42" s="62" t="n"/>
      <c r="H42" s="63" t="n"/>
      <c r="I42" s="64" t="n"/>
      <c r="J42" s="15" t="n"/>
      <c r="K42" s="65">
        <f>IF(OR(N(H42)=0,N(I42)=0),"",ROUND(H42*I42,0))</f>
        <v/>
      </c>
      <c r="L42" s="15" t="n"/>
    </row>
    <row r="43" ht="21" customHeight="1">
      <c r="A43" s="61" t="n"/>
      <c r="B43" s="28" t="n"/>
      <c r="C43" s="15" t="n"/>
      <c r="D43" s="15" t="n"/>
      <c r="E43" s="15" t="n"/>
      <c r="F43" s="15" t="n"/>
      <c r="G43" s="62" t="n"/>
      <c r="H43" s="63" t="n"/>
      <c r="I43" s="64" t="n"/>
      <c r="J43" s="15" t="n"/>
      <c r="K43" s="65">
        <f>IF(OR(N(H43)=0,N(I43)=0),"",ROUND(H43*I43,0))</f>
        <v/>
      </c>
      <c r="L43" s="15" t="n"/>
    </row>
    <row r="44" ht="24" customHeight="1">
      <c r="A44" s="29" t="inlineStr">
        <is>
          <t>계</t>
        </is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57">
        <f>IF(SUM(K24:K43)=0,"",SUM(K24:K43))</f>
        <v/>
      </c>
      <c r="L44" s="15" t="n"/>
    </row>
    <row r="45" ht="16" customHeight="1">
      <c r="A45" s="9" t="inlineStr">
        <is>
          <t>※ «항목 번호» 에 1~8 을 적으면 위 총괄표의 그 항목으로 모입니다. 항목별 쓰임 예:</t>
        </is>
      </c>
    </row>
    <row r="46" ht="28.65" customHeight="1">
      <c r="A46" s="6" t="inlineStr"/>
      <c r="B46" s="66" t="inlineStr">
        <is>
          <t>1. 대기(방진막 · 방진덮개 · 살수차 · 고압살수기) · 수질(오수처리 · 정화조 · 이동식 화장실 · 양생수조 중화) · 소음진동(방음벽 · 흡음) · 토양(침사지 · 오탁방지망) · 기타(수목 이식 · 비탈면 녹화)</t>
        </is>
      </c>
    </row>
    <row r="47" ht="28.65" customHeight="1">
      <c r="A47" s="6" t="inlineStr"/>
      <c r="B47" s="66" t="inlineStr">
        <is>
          <t>2. 순환골재 구입 · 건설(사업장)폐기물 위탁처리(수집 · 운반 · 처리) · 지정폐기물 위탁 · 재활용 폐기물 · 임시보관장소 · 분리수거함 · 폐유 보관함 · 파쇄기 살수시설</t>
        </is>
      </c>
    </row>
    <row r="48" ht="16.325" customHeight="1">
      <c r="A48" s="6" t="inlineStr"/>
      <c r="B48" s="66" t="inlineStr">
        <is>
          <t>3. 대기 · 수질 · 소음진동 측정(위탁 · 자가)</t>
        </is>
      </c>
    </row>
    <row r="49" ht="16.325" customHeight="1">
      <c r="A49" s="6" t="inlineStr"/>
      <c r="B49" s="66" t="inlineStr">
        <is>
          <t>4. 전문교육(외부기관) · 정기교육 · 수시교육(신입 · 일용직)</t>
        </is>
      </c>
    </row>
    <row r="50" ht="16.325" customHeight="1">
      <c r="A50" s="6" t="inlineStr"/>
      <c r="B50" s="66" t="inlineStr">
        <is>
          <t>5. 훼손 정비 · 복원 · 청소도구 · 귀마개 · 방진마스크 · 방역소독</t>
        </is>
      </c>
    </row>
    <row r="51" ht="16.325" customHeight="1">
      <c r="A51" s="6" t="inlineStr"/>
      <c r="B51" s="66" t="inlineStr">
        <is>
          <t>6. 환경법규 구입 · 안내게시판 · 현수막 · 자료 발간</t>
        </is>
      </c>
    </row>
    <row r="52" ht="16.325" customHeight="1">
      <c r="A52" s="6" t="inlineStr"/>
      <c r="B52" s="66" t="inlineStr">
        <is>
          <t>7. 법정 환경기술인 선임 · 화약류관리보안책임자 · 세륜시설 관리인 · 살수차 운영 인건비</t>
        </is>
      </c>
    </row>
    <row r="53" ht="16.325" customHeight="1">
      <c r="A53" s="6" t="inlineStr"/>
      <c r="B53" s="66" t="inlineStr">
        <is>
          <t>8. 환경처리 약품(세륜 오탁수 응집제 · 중화제) · 모니터링 · 환경 관련 부담금 등</t>
        </is>
      </c>
    </row>
    <row r="55" ht="19.5" customHeight="1">
      <c r="A55" s="9" t="inlineStr">
        <is>
          <t>이 시트는 작성 예시입니다(가상의 수량 · 단가).</t>
        </is>
      </c>
    </row>
  </sheetData>
  <mergeCells count="116">
    <mergeCell ref="G13:I13"/>
    <mergeCell ref="K24:L24"/>
    <mergeCell ref="B25:F25"/>
    <mergeCell ref="K33:L33"/>
    <mergeCell ref="B47:L47"/>
    <mergeCell ref="I26:J26"/>
    <mergeCell ref="B27:F27"/>
    <mergeCell ref="G15:I15"/>
    <mergeCell ref="K26:L26"/>
    <mergeCell ref="K35:L35"/>
    <mergeCell ref="I25:J25"/>
    <mergeCell ref="B42:F42"/>
    <mergeCell ref="G16:I16"/>
    <mergeCell ref="A13:F13"/>
    <mergeCell ref="B34:F34"/>
    <mergeCell ref="B28:F28"/>
    <mergeCell ref="I42:J42"/>
    <mergeCell ref="K42:L42"/>
    <mergeCell ref="B37:F37"/>
    <mergeCell ref="A15:F15"/>
    <mergeCell ref="B30:F30"/>
    <mergeCell ref="B49:L49"/>
    <mergeCell ref="K28:L28"/>
    <mergeCell ref="B51:L51"/>
    <mergeCell ref="K37:L37"/>
    <mergeCell ref="K13:L13"/>
    <mergeCell ref="I30:J30"/>
    <mergeCell ref="A16:F16"/>
    <mergeCell ref="B50:L50"/>
    <mergeCell ref="K30:L30"/>
    <mergeCell ref="K15:L15"/>
    <mergeCell ref="A18:F18"/>
    <mergeCell ref="A3:L3"/>
    <mergeCell ref="A55:L55"/>
    <mergeCell ref="A44:J44"/>
    <mergeCell ref="B43:F43"/>
    <mergeCell ref="G14:I14"/>
    <mergeCell ref="I32:J32"/>
    <mergeCell ref="A5:L5"/>
    <mergeCell ref="K32:L32"/>
    <mergeCell ref="I41:J41"/>
    <mergeCell ref="K41:L41"/>
    <mergeCell ref="B53:L53"/>
    <mergeCell ref="I43:J43"/>
    <mergeCell ref="K43:L43"/>
    <mergeCell ref="I24:J24"/>
    <mergeCell ref="I33:J33"/>
    <mergeCell ref="K27:L27"/>
    <mergeCell ref="K17:L17"/>
    <mergeCell ref="A11:F11"/>
    <mergeCell ref="I35:J35"/>
    <mergeCell ref="K10:L10"/>
    <mergeCell ref="K19:L19"/>
    <mergeCell ref="G17:I17"/>
    <mergeCell ref="K6:L6"/>
    <mergeCell ref="K16:L16"/>
    <mergeCell ref="K25:L25"/>
    <mergeCell ref="G10:I10"/>
    <mergeCell ref="G19:I19"/>
    <mergeCell ref="B31:F31"/>
    <mergeCell ref="K29:L29"/>
    <mergeCell ref="K11:L11"/>
    <mergeCell ref="B39:F39"/>
    <mergeCell ref="B52:L52"/>
    <mergeCell ref="K44:L44"/>
    <mergeCell ref="A17:F17"/>
    <mergeCell ref="A22:L22"/>
    <mergeCell ref="B23:F23"/>
    <mergeCell ref="K31:L31"/>
    <mergeCell ref="I37:J37"/>
    <mergeCell ref="K40:L40"/>
    <mergeCell ref="A20:L20"/>
    <mergeCell ref="A10:F10"/>
    <mergeCell ref="A19:F19"/>
    <mergeCell ref="I23:J23"/>
    <mergeCell ref="G12:I12"/>
    <mergeCell ref="K23:L23"/>
    <mergeCell ref="I40:J40"/>
    <mergeCell ref="A1:F1"/>
    <mergeCell ref="B36:F36"/>
    <mergeCell ref="K18:L18"/>
    <mergeCell ref="I34:J34"/>
    <mergeCell ref="K34:L34"/>
    <mergeCell ref="G18:I18"/>
    <mergeCell ref="I27:J27"/>
    <mergeCell ref="A12:F12"/>
    <mergeCell ref="I36:J36"/>
    <mergeCell ref="B46:L46"/>
    <mergeCell ref="K36:L36"/>
    <mergeCell ref="A14:F14"/>
    <mergeCell ref="B48:L48"/>
    <mergeCell ref="A8:L8"/>
    <mergeCell ref="I28:J28"/>
    <mergeCell ref="G1:L1"/>
    <mergeCell ref="B29:F29"/>
    <mergeCell ref="K12:L12"/>
    <mergeCell ref="B38:F38"/>
    <mergeCell ref="A9:L9"/>
    <mergeCell ref="I39:J39"/>
    <mergeCell ref="K39:L39"/>
    <mergeCell ref="K14:L14"/>
    <mergeCell ref="B40:F40"/>
    <mergeCell ref="G11:I11"/>
    <mergeCell ref="G6:J6"/>
    <mergeCell ref="I29:J29"/>
    <mergeCell ref="B24:F24"/>
    <mergeCell ref="I38:J38"/>
    <mergeCell ref="K38:L38"/>
    <mergeCell ref="B33:F33"/>
    <mergeCell ref="A45:L45"/>
    <mergeCell ref="A6:F6"/>
    <mergeCell ref="I31:J31"/>
    <mergeCell ref="B32:F32"/>
    <mergeCell ref="B26:F26"/>
    <mergeCell ref="B41:F41"/>
    <mergeCell ref="B35:F35"/>
  </mergeCells>
  <conditionalFormatting sqref="H24:H43">
    <cfRule type="expression" priority="1" dxfId="0">
      <formula>AND(ISNUMBER(H24),MOD(H24,1)=0)</formula>
    </cfRule>
  </conditionalFormatting>
  <printOptions horizontalCentered="1"/>
  <pageMargins left="0.7" right="0.6" top="0.6" bottom="0.6" header="0.2" footer="0.2"/>
  <pageSetup orientation="portrait" paperSize="9" fitToHeight="0" fitToWidth="1"/>
  <rowBreaks count="1" manualBreakCount="1">
    <brk id="20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7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5. 신고증명서</t>
        </is>
      </c>
    </row>
    <row r="4" ht="3" customHeight="1"/>
    <row r="5" ht="21" customHeight="1">
      <c r="A5" s="23" t="inlineStr">
        <is>
          <t>가. 비산먼지 발생사업 등 신고증명서</t>
        </is>
      </c>
    </row>
    <row r="6" ht="22" customHeight="1">
      <c r="A6" s="19" t="inlineStr">
        <is>
          <t>(신고증명서 사본을 붙이는 곳)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 ht="22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 ht="22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22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 ht="22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 ht="22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 ht="22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 ht="22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 ht="22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 ht="22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2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2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2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3" customHeight="1"/>
    <row r="21" ht="21" customHeight="1">
      <c r="A21" s="23" t="inlineStr">
        <is>
          <t>나. 특정공사 사전신고증명서</t>
        </is>
      </c>
    </row>
    <row r="22" ht="22" customHeight="1">
      <c r="A22" s="19" t="inlineStr">
        <is>
          <t>(신고증명서 사본을 붙이는 곳)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2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22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2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22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</sheetData>
  <mergeCells count="7">
    <mergeCell ref="G1:L1"/>
    <mergeCell ref="A1:F1"/>
    <mergeCell ref="A5:L5"/>
    <mergeCell ref="A22:L35"/>
    <mergeCell ref="A6:L19"/>
    <mergeCell ref="A3:L3"/>
    <mergeCell ref="A21:L21"/>
  </mergeCells>
  <printOptions horizontalCentered="1"/>
  <pageMargins left="0.7" right="0.6" top="0.6" bottom="0.6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환경관리계획서(LH 양식)</dc:title>
  <dcterms:created xmlns:dcterms="http://purl.org/dc/terms/" xmlns:xsi="http://www.w3.org/2001/XMLSchema-instance" xsi:type="dcterms:W3CDTF">2026-10-17T01:13:08Z</dcterms:created>
  <dcterms:modified xmlns:dcterms="http://purl.org/dc/terms/" xmlns:xsi="http://www.w3.org/2001/XMLSchema-instance" xsi:type="dcterms:W3CDTF">2026-10-17T01:13:08Z</dcterms:modified>
</cp:coreProperties>
</file>