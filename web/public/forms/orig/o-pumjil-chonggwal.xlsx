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과 총괄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'성과 총괄표'!$A$1:$H$22</definedName>
    <definedName name="_xlnm.Print_Area" localSheetId="1">'작성 예시'!$A$1:$H$22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. m. d.&quot;   ~&quot;"/>
    <numFmt numFmtId="165" formatCode="yyyy. m. d."/>
    <numFmt numFmtId="166" formatCode="&quot;공정 : &quot;0%;;&quot;공정 :      %&quot;"/>
    <numFmt numFmtId="167" formatCode="yyyy&quot;년&quot; m&quot;월&quot; d&quot;일&quot;"/>
    <numFmt numFmtId="168" formatCode="0.0%;[Red]-0.0%;&quot;&quot;"/>
    <numFmt numFmtId="169" formatCode="yyyy-mm-dd"/>
  </numFmts>
  <fonts count="16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color rgb="001F2937"/>
      <sz val="9"/>
    </font>
    <font>
      <name val="맑은 고딕"/>
      <b val="1"/>
      <color rgb="00111827"/>
      <sz val="18"/>
    </font>
    <font>
      <name val="맑은 고딕"/>
      <color rgb="001F2937"/>
      <sz val="10"/>
    </font>
    <font>
      <name val="맑은 고딕"/>
      <color rgb="00000000"/>
      <sz val="10"/>
    </font>
    <font>
      <name val="맑은 고딕"/>
      <color rgb="00000000"/>
      <sz val="9.5"/>
    </font>
    <font>
      <name val="맑은 고딕"/>
      <b val="1"/>
      <color rgb="001F2937"/>
      <sz val="9.5"/>
    </font>
    <font>
      <name val="맑은 고딕"/>
      <color rgb="00000000"/>
      <sz val="9"/>
    </font>
    <font>
      <name val="맑은 고딕"/>
      <color rgb="00000000"/>
      <sz val="8.5"/>
    </font>
    <font>
      <name val="맑은 고딕"/>
      <color rgb="001F2937"/>
      <sz val="9.5"/>
    </font>
    <font>
      <name val="맑은 고딕"/>
      <color rgb="001F2937"/>
      <sz val="8"/>
    </font>
    <font>
      <name val="맑은 고딕"/>
      <b val="1"/>
      <color rgb="001F2937"/>
      <sz val="10"/>
    </font>
    <font>
      <name val="맑은 고딕"/>
      <b val="1"/>
      <color rgb="001F2937"/>
      <sz val="9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7" fontId="6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0" fontId="13" fillId="3" borderId="1" applyAlignment="1" pivotButton="0" quotePrefix="0" xfId="0">
      <alignment horizontal="center" vertical="center" wrapText="1"/>
    </xf>
    <xf numFmtId="3" fontId="13" fillId="4" borderId="1" applyAlignment="1" pivotButton="0" quotePrefix="0" xfId="0">
      <alignment horizontal="center" vertical="center" shrinkToFit="1"/>
    </xf>
    <xf numFmtId="168" fontId="13" fillId="4" borderId="1" applyAlignment="1" pivotButton="0" quotePrefix="0" xfId="0">
      <alignment horizontal="center" vertical="center" shrinkToFit="1"/>
    </xf>
    <xf numFmtId="0" fontId="14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b val="1"/>
        <color rgb="00DC262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zoomScale="100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9.6" customWidth="1" min="3" max="3"/>
    <col width="9.6" customWidth="1" min="4" max="4"/>
    <col width="9.6" customWidth="1" min="5" max="5"/>
    <col width="9.6" customWidth="1" min="6" max="6"/>
    <col width="9.6" customWidth="1" min="7" max="7"/>
    <col width="11" customWidth="1" min="8" max="8"/>
  </cols>
  <sheetData>
    <row r="1" ht="20" customHeight="1">
      <c r="A1" s="1" t="inlineStr">
        <is>
          <t xml:space="preserve">  K-건설맵  |  k-conmap.com  건설 서식</t>
        </is>
      </c>
      <c r="E1" s="2" t="inlineStr">
        <is>
          <t xml:space="preserve">← 이 1행을 지우고 쓰셔도 됩니다  </t>
        </is>
      </c>
    </row>
    <row r="2" ht="18" customHeight="1">
      <c r="A2" s="3" t="inlineStr">
        <is>
          <t>■ 건설기술 진흥법 시행규칙 [별지 제43호서식]</t>
        </is>
      </c>
    </row>
    <row r="3" ht="46" customHeight="1">
      <c r="A3" s="4" t="inlineStr">
        <is>
          <t>품질검사 성과 총괄표</t>
        </is>
      </c>
    </row>
    <row r="4" ht="24" customHeight="1">
      <c r="A4" s="5" t="inlineStr">
        <is>
          <t>공사명 :</t>
        </is>
      </c>
      <c r="B4" s="6" t="n"/>
      <c r="C4" s="5" t="inlineStr">
        <is>
          <t>공사기간 :</t>
        </is>
      </c>
      <c r="D4" s="7" t="inlineStr">
        <is>
          <t xml:space="preserve">     .     .     .   ~</t>
        </is>
      </c>
      <c r="F4" s="8" t="inlineStr">
        <is>
          <t xml:space="preserve">     .     .     .</t>
        </is>
      </c>
      <c r="H4" s="9" t="n"/>
    </row>
    <row r="5" ht="4" customHeight="1"/>
    <row r="6" ht="26" customHeight="1">
      <c r="A6" s="10" t="inlineStr">
        <is>
          <t>공종</t>
        </is>
      </c>
      <c r="B6" s="10" t="inlineStr">
        <is>
          <t>시험ㆍ검사 종류(재료)</t>
        </is>
      </c>
      <c r="C6" s="10" t="inlineStr">
        <is>
          <t>시험ㆍ검사 횟수</t>
        </is>
      </c>
      <c r="D6" s="11" t="n"/>
      <c r="E6" s="11" t="n"/>
      <c r="F6" s="11" t="n"/>
      <c r="G6" s="11" t="n"/>
      <c r="H6" s="10" t="inlineStr">
        <is>
          <t>비고</t>
        </is>
      </c>
    </row>
    <row r="7" ht="24" customHeight="1">
      <c r="A7" s="11" t="n"/>
      <c r="B7" s="11" t="n"/>
      <c r="C7" s="10" t="inlineStr">
        <is>
          <t>계획</t>
        </is>
      </c>
      <c r="D7" s="10" t="inlineStr">
        <is>
          <t>실시</t>
        </is>
      </c>
      <c r="E7" s="10" t="inlineStr">
        <is>
          <t>합격</t>
        </is>
      </c>
      <c r="F7" s="10" t="inlineStr">
        <is>
          <t>불합격</t>
        </is>
      </c>
      <c r="G7" s="10" t="inlineStr">
        <is>
          <t>재시험</t>
        </is>
      </c>
      <c r="H7" s="11" t="n"/>
    </row>
    <row r="8" ht="40" customHeight="1">
      <c r="A8" s="12" t="n"/>
      <c r="B8" s="13" t="n"/>
      <c r="C8" s="14" t="n"/>
      <c r="D8" s="14" t="n"/>
      <c r="E8" s="14" t="n"/>
      <c r="F8" s="14" t="n"/>
      <c r="G8" s="14" t="n"/>
      <c r="H8" s="15" t="n"/>
    </row>
    <row r="9" ht="40" customHeight="1">
      <c r="A9" s="12" t="n"/>
      <c r="B9" s="13" t="n"/>
      <c r="C9" s="14" t="n"/>
      <c r="D9" s="14" t="n"/>
      <c r="E9" s="14" t="n"/>
      <c r="F9" s="14" t="n"/>
      <c r="G9" s="14" t="n"/>
      <c r="H9" s="15" t="n"/>
    </row>
    <row r="10" ht="40" customHeight="1">
      <c r="A10" s="12" t="n"/>
      <c r="B10" s="13" t="n"/>
      <c r="C10" s="14" t="n"/>
      <c r="D10" s="14" t="n"/>
      <c r="E10" s="14" t="n"/>
      <c r="F10" s="14" t="n"/>
      <c r="G10" s="14" t="n"/>
      <c r="H10" s="15" t="n"/>
    </row>
    <row r="11" ht="40" customHeight="1">
      <c r="A11" s="12" t="n"/>
      <c r="B11" s="13" t="n"/>
      <c r="C11" s="14" t="n"/>
      <c r="D11" s="14" t="n"/>
      <c r="E11" s="14" t="n"/>
      <c r="F11" s="14" t="n"/>
      <c r="G11" s="14" t="n"/>
      <c r="H11" s="15" t="n"/>
    </row>
    <row r="12" ht="40" customHeight="1">
      <c r="A12" s="12" t="n"/>
      <c r="B12" s="13" t="n"/>
      <c r="C12" s="14" t="n"/>
      <c r="D12" s="14" t="n"/>
      <c r="E12" s="14" t="n"/>
      <c r="F12" s="14" t="n"/>
      <c r="G12" s="14" t="n"/>
      <c r="H12" s="15" t="n"/>
    </row>
    <row r="13" ht="40" customHeight="1">
      <c r="A13" s="12" t="n"/>
      <c r="B13" s="13" t="n"/>
      <c r="C13" s="14" t="n"/>
      <c r="D13" s="14" t="n"/>
      <c r="E13" s="14" t="n"/>
      <c r="F13" s="14" t="n"/>
      <c r="G13" s="14" t="n"/>
      <c r="H13" s="15" t="n"/>
    </row>
    <row r="14" ht="40" customHeight="1">
      <c r="A14" s="12" t="n"/>
      <c r="B14" s="13" t="n"/>
      <c r="C14" s="14" t="n"/>
      <c r="D14" s="14" t="n"/>
      <c r="E14" s="14" t="n"/>
      <c r="F14" s="14" t="n"/>
      <c r="G14" s="14" t="n"/>
      <c r="H14" s="15" t="n"/>
    </row>
    <row r="15" ht="40" customHeight="1">
      <c r="A15" s="12" t="n"/>
      <c r="B15" s="13" t="n"/>
      <c r="C15" s="14" t="n"/>
      <c r="D15" s="14" t="n"/>
      <c r="E15" s="14" t="n"/>
      <c r="F15" s="14" t="n"/>
      <c r="G15" s="14" t="n"/>
      <c r="H15" s="15" t="n"/>
    </row>
    <row r="16" ht="40" customHeight="1">
      <c r="A16" s="12" t="n"/>
      <c r="B16" s="13" t="n"/>
      <c r="C16" s="14" t="n"/>
      <c r="D16" s="14" t="n"/>
      <c r="E16" s="14" t="n"/>
      <c r="F16" s="14" t="n"/>
      <c r="G16" s="14" t="n"/>
      <c r="H16" s="15" t="n"/>
    </row>
    <row r="17" ht="40" customHeight="1">
      <c r="A17" s="12" t="n"/>
      <c r="B17" s="13" t="n"/>
      <c r="C17" s="14" t="n"/>
      <c r="D17" s="14" t="n"/>
      <c r="E17" s="14" t="n"/>
      <c r="F17" s="14" t="n"/>
      <c r="G17" s="14" t="n"/>
      <c r="H17" s="15" t="n"/>
    </row>
    <row r="18" ht="6" customHeight="1"/>
    <row r="19" ht="24" customHeight="1">
      <c r="A19" s="16" t="inlineStr"/>
      <c r="C19" s="5" t="inlineStr">
        <is>
          <t>작성일시 :</t>
        </is>
      </c>
      <c r="D19" s="17" t="inlineStr">
        <is>
          <t xml:space="preserve">          년        월        일</t>
        </is>
      </c>
    </row>
    <row r="20" ht="24" customHeight="1">
      <c r="A20" s="16" t="inlineStr"/>
      <c r="C20" s="5" t="inlineStr">
        <is>
          <t>작성자 :</t>
        </is>
      </c>
      <c r="D20" s="18" t="inlineStr">
        <is>
          <t>소속 :</t>
        </is>
      </c>
      <c r="E20" s="19" t="n"/>
      <c r="G20" s="18" t="inlineStr">
        <is>
          <t>직위 :</t>
        </is>
      </c>
      <c r="H20" s="19" t="n"/>
    </row>
    <row r="21" ht="24" customHeight="1">
      <c r="A21" s="16" t="inlineStr"/>
      <c r="D21" s="18" t="inlineStr">
        <is>
          <t>성명 :</t>
        </is>
      </c>
      <c r="E21" s="19" t="n"/>
      <c r="G21" s="20" t="inlineStr">
        <is>
          <t>(서명 또는 인)</t>
        </is>
      </c>
    </row>
    <row r="22" ht="16" customHeight="1">
      <c r="A22" s="21" t="inlineStr">
        <is>
          <t>210㎜×297㎜[백상지 80g/㎡(재활용품)]</t>
        </is>
      </c>
    </row>
    <row r="23" ht="8" customHeight="1"/>
    <row r="24" ht="24" customHeight="1">
      <c r="A24" s="22" t="inlineStr">
        <is>
          <t>합계 (인쇄 안 됨)</t>
        </is>
      </c>
      <c r="B24" s="11" t="n"/>
      <c r="C24" s="23">
        <f>IF(COUNT(C8:C17)=0,"",SUM(C8:C17))</f>
        <v/>
      </c>
      <c r="D24" s="23">
        <f>IF(COUNT(D8:D17)=0,"",SUM(D8:D17))</f>
        <v/>
      </c>
      <c r="E24" s="23">
        <f>IF(COUNT(E8:E17)=0,"",SUM(E8:E17))</f>
        <v/>
      </c>
      <c r="F24" s="23">
        <f>IF(COUNT(F8:F17)=0,"",SUM(F8:F17))</f>
        <v/>
      </c>
      <c r="G24" s="23">
        <f>IF(COUNT(G8:G17)=0,"",SUM(G8:G17))</f>
        <v/>
      </c>
      <c r="H24" s="24">
        <f>IF(OR(C24="",D24=""),"",IF(C24=0,"",D24/C24))</f>
        <v/>
      </c>
    </row>
    <row r="25" ht="24" customHeight="1">
      <c r="A25" s="25" t="inlineStr">
        <is>
          <t>맞춰 보기</t>
        </is>
      </c>
      <c r="B25" s="11" t="n"/>
      <c r="C25" s="26">
        <f>IF(COUNT(D8:D17)=0,"",IF((IF(AND(ISNUMBER(D8),COUNT(E8,F8)&gt;0,N(E8)+N(F8)&lt;&gt;D8),1,0)+IF(AND(ISNUMBER(D9),COUNT(E9,F9)&gt;0,N(E9)+N(F9)&lt;&gt;D9),1,0)+IF(AND(ISNUMBER(D10),COUNT(E10,F10)&gt;0,N(E10)+N(F10)&lt;&gt;D10),1,0)+IF(AND(ISNUMBER(D11),COUNT(E11,F11)&gt;0,N(E11)+N(F11)&lt;&gt;D11),1,0)+IF(AND(ISNUMBER(D12),COUNT(E12,F12)&gt;0,N(E12)+N(F12)&lt;&gt;D12),1,0)+IF(AND(ISNUMBER(D13),COUNT(E13,F13)&gt;0,N(E13)+N(F13)&lt;&gt;D13),1,0)+IF(AND(ISNUMBER(D14),COUNT(E14,F14)&gt;0,N(E14)+N(F14)&lt;&gt;D14),1,0)+IF(AND(ISNUMBER(D15),COUNT(E15,F15)&gt;0,N(E15)+N(F15)&lt;&gt;D15),1,0)+IF(AND(ISNUMBER(D16),COUNT(E16,F16)&gt;0,N(E16)+N(F16)&lt;&gt;D16),1,0)+IF(AND(ISNUMBER(D17),COUNT(E17,F17)&gt;0,N(E17)+N(F17)&lt;&gt;D17),1,0))+(IF(AND(ISNUMBER(C8),ISNUMBER(D8),D8&gt;C8),1,0)+IF(AND(ISNUMBER(C9),ISNUMBER(D9),D9&gt;C9),1,0)+IF(AND(ISNUMBER(C10),ISNUMBER(D10),D10&gt;C10),1,0)+IF(AND(ISNUMBER(C11),ISNUMBER(D11),D11&gt;C11),1,0)+IF(AND(ISNUMBER(C12),ISNUMBER(D12),D12&gt;C12),1,0)+IF(AND(ISNUMBER(C13),ISNUMBER(D13),D13&gt;C13),1,0)+IF(AND(ISNUMBER(C14),ISNUMBER(D14),D14&gt;C14),1,0)+IF(AND(ISNUMBER(C15),ISNUMBER(D15),D15&gt;C15),1,0)+IF(AND(ISNUMBER(C16),ISNUMBER(D16),D16&gt;C16),1,0)+IF(AND(ISNUMBER(C17),ISNUMBER(D17),D17&gt;C17),1,0))=0,"✔ 합격 + 불합격 = 실시 · 실시 ≤ 계획",IF((IF(AND(ISNUMBER(D8),COUNT(E8,F8)&gt;0,N(E8)+N(F8)&lt;&gt;D8),1,0)+IF(AND(ISNUMBER(D9),COUNT(E9,F9)&gt;0,N(E9)+N(F9)&lt;&gt;D9),1,0)+IF(AND(ISNUMBER(D10),COUNT(E10,F10)&gt;0,N(E10)+N(F10)&lt;&gt;D10),1,0)+IF(AND(ISNUMBER(D11),COUNT(E11,F11)&gt;0,N(E11)+N(F11)&lt;&gt;D11),1,0)+IF(AND(ISNUMBER(D12),COUNT(E12,F12)&gt;0,N(E12)+N(F12)&lt;&gt;D12),1,0)+IF(AND(ISNUMBER(D13),COUNT(E13,F13)&gt;0,N(E13)+N(F13)&lt;&gt;D13),1,0)+IF(AND(ISNUMBER(D14),COUNT(E14,F14)&gt;0,N(E14)+N(F14)&lt;&gt;D14),1,0)+IF(AND(ISNUMBER(D15),COUNT(E15,F15)&gt;0,N(E15)+N(F15)&lt;&gt;D15),1,0)+IF(AND(ISNUMBER(D16),COUNT(E16,F16)&gt;0,N(E16)+N(F16)&lt;&gt;D16),1,0)+IF(AND(ISNUMBER(D17),COUNT(E17,F17)&gt;0,N(E17)+N(F17)&lt;&gt;D17),1,0))&gt;0,"합격 + 불합격 ≠ 실시인 줄 "&amp;(IF(AND(ISNUMBER(D8),COUNT(E8,F8)&gt;0,N(E8)+N(F8)&lt;&gt;D8),1,0)+IF(AND(ISNUMBER(D9),COUNT(E9,F9)&gt;0,N(E9)+N(F9)&lt;&gt;D9),1,0)+IF(AND(ISNUMBER(D10),COUNT(E10,F10)&gt;0,N(E10)+N(F10)&lt;&gt;D10),1,0)+IF(AND(ISNUMBER(D11),COUNT(E11,F11)&gt;0,N(E11)+N(F11)&lt;&gt;D11),1,0)+IF(AND(ISNUMBER(D12),COUNT(E12,F12)&gt;0,N(E12)+N(F12)&lt;&gt;D12),1,0)+IF(AND(ISNUMBER(D13),COUNT(E13,F13)&gt;0,N(E13)+N(F13)&lt;&gt;D13),1,0)+IF(AND(ISNUMBER(D14),COUNT(E14,F14)&gt;0,N(E14)+N(F14)&lt;&gt;D14),1,0)+IF(AND(ISNUMBER(D15),COUNT(E15,F15)&gt;0,N(E15)+N(F15)&lt;&gt;D15),1,0)+IF(AND(ISNUMBER(D16),COUNT(E16,F16)&gt;0,N(E16)+N(F16)&lt;&gt;D16),1,0)+IF(AND(ISNUMBER(D17),COUNT(E17,F17)&gt;0,N(E17)+N(F17)&lt;&gt;D17),1,0))&amp;"개","")&amp;IF((IF(AND(ISNUMBER(C8),ISNUMBER(D8),D8&gt;C8),1,0)+IF(AND(ISNUMBER(C9),ISNUMBER(D9),D9&gt;C9),1,0)+IF(AND(ISNUMBER(C10),ISNUMBER(D10),D10&gt;C10),1,0)+IF(AND(ISNUMBER(C11),ISNUMBER(D11),D11&gt;C11),1,0)+IF(AND(ISNUMBER(C12),ISNUMBER(D12),D12&gt;C12),1,0)+IF(AND(ISNUMBER(C13),ISNUMBER(D13),D13&gt;C13),1,0)+IF(AND(ISNUMBER(C14),ISNUMBER(D14),D14&gt;C14),1,0)+IF(AND(ISNUMBER(C15),ISNUMBER(D15),D15&gt;C15),1,0)+IF(AND(ISNUMBER(C16),ISNUMBER(D16),D16&gt;C16),1,0)+IF(AND(ISNUMBER(C17),ISNUMBER(D17),D17&gt;C17),1,0))&gt;0,IF((IF(AND(ISNUMBER(D8),COUNT(E8,F8)&gt;0,N(E8)+N(F8)&lt;&gt;D8),1,0)+IF(AND(ISNUMBER(D9),COUNT(E9,F9)&gt;0,N(E9)+N(F9)&lt;&gt;D9),1,0)+IF(AND(ISNUMBER(D10),COUNT(E10,F10)&gt;0,N(E10)+N(F10)&lt;&gt;D10),1,0)+IF(AND(ISNUMBER(D11),COUNT(E11,F11)&gt;0,N(E11)+N(F11)&lt;&gt;D11),1,0)+IF(AND(ISNUMBER(D12),COUNT(E12,F12)&gt;0,N(E12)+N(F12)&lt;&gt;D12),1,0)+IF(AND(ISNUMBER(D13),COUNT(E13,F13)&gt;0,N(E13)+N(F13)&lt;&gt;D13),1,0)+IF(AND(ISNUMBER(D14),COUNT(E14,F14)&gt;0,N(E14)+N(F14)&lt;&gt;D14),1,0)+IF(AND(ISNUMBER(D15),COUNT(E15,F15)&gt;0,N(E15)+N(F15)&lt;&gt;D15),1,0)+IF(AND(ISNUMBER(D16),COUNT(E16,F16)&gt;0,N(E16)+N(F16)&lt;&gt;D16),1,0)+IF(AND(ISNUMBER(D17),COUNT(E17,F17)&gt;0,N(E17)+N(F17)&lt;&gt;D17),1,0))&gt;0," · ","")&amp;"실시가 계획보다 많은 줄 "&amp;(IF(AND(ISNUMBER(C8),ISNUMBER(D8),D8&gt;C8),1,0)+IF(AND(ISNUMBER(C9),ISNUMBER(D9),D9&gt;C9),1,0)+IF(AND(ISNUMBER(C10),ISNUMBER(D10),D10&gt;C10),1,0)+IF(AND(ISNUMBER(C11),ISNUMBER(D11),D11&gt;C11),1,0)+IF(AND(ISNUMBER(C12),ISNUMBER(D12),D12&gt;C12),1,0)+IF(AND(ISNUMBER(C13),ISNUMBER(D13),D13&gt;C13),1,0)+IF(AND(ISNUMBER(C14),ISNUMBER(D14),D14&gt;C14),1,0)+IF(AND(ISNUMBER(C15),ISNUMBER(D15),D15&gt;C15),1,0)+IF(AND(ISNUMBER(C16),ISNUMBER(D16),D16&gt;C16),1,0)+IF(AND(ISNUMBER(C17),ISNUMBER(D17),D17&gt;C17),1,0))&amp;"개(계획 보완)","")))</f>
        <v/>
      </c>
      <c r="D25" s="11" t="n"/>
      <c r="E25" s="11" t="n"/>
      <c r="F25" s="11" t="n"/>
      <c r="G25" s="11" t="n"/>
      <c r="H25" s="11" t="n"/>
    </row>
    <row r="27" ht="34" customHeight="1">
      <c r="A27" s="27" t="inlineStr">
        <is>
          <t>하늘색 칸 = 자동(합계 · 실시율 · 맞춰 보기 — 인쇄되지 않음). 실시 칸이 빨간 글씨면 합격 + 불합격이 실시와 다른 줄입니다.</t>
        </is>
      </c>
    </row>
    <row r="28" ht="34" customHeight="1">
      <c r="A28" s="27" t="inlineStr">
        <is>
          <t>품질검사 대장(별지 제42호)에 적은 시험을 공종 · 종류(재료)별로 세어 적습니다. 재시험은 불합격 뒤 다시 한 횟수입니다.</t>
        </is>
      </c>
    </row>
    <row r="29" ht="19.5" customHeight="1">
      <c r="A29" s="27" t="inlineStr">
        <is>
          <t>공정 칸에는 비율(예: 42%)을 적습니다.</t>
        </is>
      </c>
    </row>
  </sheetData>
  <mergeCells count="24">
    <mergeCell ref="F4:G4"/>
    <mergeCell ref="G21:H21"/>
    <mergeCell ref="A24:B24"/>
    <mergeCell ref="C25:H25"/>
    <mergeCell ref="C6:G6"/>
    <mergeCell ref="D19:H19"/>
    <mergeCell ref="H6:H7"/>
    <mergeCell ref="A21:C21"/>
    <mergeCell ref="A6:A7"/>
    <mergeCell ref="E20:F20"/>
    <mergeCell ref="A25:B25"/>
    <mergeCell ref="B6:B7"/>
    <mergeCell ref="A27:H27"/>
    <mergeCell ref="A1:D1"/>
    <mergeCell ref="A3:H3"/>
    <mergeCell ref="A2:H2"/>
    <mergeCell ref="D4:E4"/>
    <mergeCell ref="E1:H1"/>
    <mergeCell ref="A22:H22"/>
    <mergeCell ref="A20:B20"/>
    <mergeCell ref="A29:H29"/>
    <mergeCell ref="A19:B19"/>
    <mergeCell ref="A28:H28"/>
    <mergeCell ref="E21:F21"/>
  </mergeCells>
  <conditionalFormatting sqref="D8:D17">
    <cfRule type="expression" priority="1" dxfId="0">
      <formula>AND(ISNUMBER(D8),COUNT(E8,F8)&gt;0,N(E8)+N(F8)&lt;&gt;D8)</formula>
    </cfRule>
  </conditionalFormatting>
  <printOptions horizontalCentered="1"/>
  <pageMargins left="0.45" right="0.4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H27"/>
  <sheetViews>
    <sheetView showGridLines="0" zoomScale="100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9.6" customWidth="1" min="3" max="3"/>
    <col width="9.6" customWidth="1" min="4" max="4"/>
    <col width="9.6" customWidth="1" min="5" max="5"/>
    <col width="9.6" customWidth="1" min="6" max="6"/>
    <col width="9.6" customWidth="1" min="7" max="7"/>
    <col width="11" customWidth="1" min="8" max="8"/>
  </cols>
  <sheetData>
    <row r="1" ht="20" customHeight="1">
      <c r="A1" s="1" t="inlineStr">
        <is>
          <t xml:space="preserve">  K-건설맵  |  k-conmap.com  건설 서식</t>
        </is>
      </c>
      <c r="E1" s="28" t="inlineStr">
        <is>
          <t xml:space="preserve">작성 예시 (가상의 현장)  </t>
        </is>
      </c>
    </row>
    <row r="2" ht="18" customHeight="1">
      <c r="A2" s="3" t="inlineStr">
        <is>
          <t>■ 건설기술 진흥법 시행규칙 [별지 제43호서식]</t>
        </is>
      </c>
    </row>
    <row r="3" ht="46" customHeight="1">
      <c r="A3" s="4" t="inlineStr">
        <is>
          <t>품질검사 성과 총괄표</t>
        </is>
      </c>
    </row>
    <row r="4" ht="24" customHeight="1">
      <c r="A4" s="5" t="inlineStr">
        <is>
          <t>공사명 :</t>
        </is>
      </c>
      <c r="B4" s="6" t="inlineStr">
        <is>
          <t>가나지구 배수개선사업</t>
        </is>
      </c>
      <c r="C4" s="5" t="inlineStr">
        <is>
          <t>공사기간 :</t>
        </is>
      </c>
      <c r="D4" s="7" t="n">
        <v>46083</v>
      </c>
      <c r="F4" s="8" t="n">
        <v>46444</v>
      </c>
      <c r="H4" s="9" t="n">
        <v>0.42</v>
      </c>
    </row>
    <row r="5" ht="4" customHeight="1"/>
    <row r="6" ht="26" customHeight="1">
      <c r="A6" s="10" t="inlineStr">
        <is>
          <t>공종</t>
        </is>
      </c>
      <c r="B6" s="10" t="inlineStr">
        <is>
          <t>시험ㆍ검사 종류(재료)</t>
        </is>
      </c>
      <c r="C6" s="10" t="inlineStr">
        <is>
          <t>시험ㆍ검사 횟수</t>
        </is>
      </c>
      <c r="D6" s="11" t="n"/>
      <c r="E6" s="11" t="n"/>
      <c r="F6" s="11" t="n"/>
      <c r="G6" s="11" t="n"/>
      <c r="H6" s="10" t="inlineStr">
        <is>
          <t>비고</t>
        </is>
      </c>
    </row>
    <row r="7" ht="24" customHeight="1">
      <c r="A7" s="11" t="n"/>
      <c r="B7" s="11" t="n"/>
      <c r="C7" s="10" t="inlineStr">
        <is>
          <t>계획</t>
        </is>
      </c>
      <c r="D7" s="10" t="inlineStr">
        <is>
          <t>실시</t>
        </is>
      </c>
      <c r="E7" s="10" t="inlineStr">
        <is>
          <t>합격</t>
        </is>
      </c>
      <c r="F7" s="10" t="inlineStr">
        <is>
          <t>불합격</t>
        </is>
      </c>
      <c r="G7" s="10" t="inlineStr">
        <is>
          <t>재시험</t>
        </is>
      </c>
      <c r="H7" s="11" t="n"/>
    </row>
    <row r="8" ht="40" customHeight="1">
      <c r="A8" s="12" t="inlineStr">
        <is>
          <t>토공</t>
        </is>
      </c>
      <c r="B8" s="13" t="inlineStr">
        <is>
          <t>성토 다짐도(현장밀도)</t>
        </is>
      </c>
      <c r="C8" s="14" t="n">
        <v>40</v>
      </c>
      <c r="D8" s="14" t="n">
        <v>24</v>
      </c>
      <c r="E8" s="14" t="n">
        <v>23</v>
      </c>
      <c r="F8" s="14" t="n">
        <v>1</v>
      </c>
      <c r="G8" s="14" t="n">
        <v>1</v>
      </c>
      <c r="H8" s="15" t="n"/>
    </row>
    <row r="9" ht="40" customHeight="1">
      <c r="A9" s="12" t="inlineStr">
        <is>
          <t>토공</t>
        </is>
      </c>
      <c r="B9" s="13" t="inlineStr">
        <is>
          <t>흙의 다짐시험(실내)</t>
        </is>
      </c>
      <c r="C9" s="14" t="n">
        <v>4</v>
      </c>
      <c r="D9" s="14" t="n">
        <v>3</v>
      </c>
      <c r="E9" s="14" t="n">
        <v>3</v>
      </c>
      <c r="F9" s="14" t="n">
        <v>0</v>
      </c>
      <c r="G9" s="14" t="n">
        <v>0</v>
      </c>
      <c r="H9" s="15" t="n"/>
    </row>
    <row r="10" ht="40" customHeight="1">
      <c r="A10" s="12" t="inlineStr">
        <is>
          <t>포장공</t>
        </is>
      </c>
      <c r="B10" s="13" t="inlineStr">
        <is>
          <t>보조기층 다짐도</t>
        </is>
      </c>
      <c r="C10" s="14" t="n">
        <v>12</v>
      </c>
      <c r="D10" s="14" t="n">
        <v>6</v>
      </c>
      <c r="E10" s="14" t="n">
        <v>6</v>
      </c>
      <c r="F10" s="14" t="n">
        <v>0</v>
      </c>
      <c r="G10" s="14" t="n">
        <v>0</v>
      </c>
      <c r="H10" s="15" t="n"/>
    </row>
    <row r="11" ht="40" customHeight="1">
      <c r="A11" s="12" t="inlineStr">
        <is>
          <t>포장공</t>
        </is>
      </c>
      <c r="B11" s="13" t="inlineStr">
        <is>
          <t>아스팔트 혼합물(밀도 · 함량)</t>
        </is>
      </c>
      <c r="C11" s="14" t="n">
        <v>8</v>
      </c>
      <c r="D11" s="14" t="n">
        <v>2</v>
      </c>
      <c r="E11" s="14" t="n">
        <v>2</v>
      </c>
      <c r="F11" s="14" t="n">
        <v>0</v>
      </c>
      <c r="G11" s="14" t="n">
        <v>0</v>
      </c>
      <c r="H11" s="15" t="n"/>
    </row>
    <row r="12" ht="40" customHeight="1">
      <c r="A12" s="12" t="inlineStr">
        <is>
          <t>구조물공</t>
        </is>
      </c>
      <c r="B12" s="13" t="inlineStr">
        <is>
          <t>레미콘 슬럼프 · 공기량 · 염화물</t>
        </is>
      </c>
      <c r="C12" s="14" t="n">
        <v>30</v>
      </c>
      <c r="D12" s="14" t="n">
        <v>18</v>
      </c>
      <c r="E12" s="14" t="n">
        <v>18</v>
      </c>
      <c r="F12" s="14" t="n">
        <v>0</v>
      </c>
      <c r="G12" s="14" t="n">
        <v>0</v>
      </c>
      <c r="H12" s="15" t="inlineStr">
        <is>
          <t>120㎥마다</t>
        </is>
      </c>
    </row>
    <row r="13" ht="40" customHeight="1">
      <c r="A13" s="12" t="inlineStr">
        <is>
          <t>구조물공</t>
        </is>
      </c>
      <c r="B13" s="13" t="inlineStr">
        <is>
          <t>레미콘 압축강도</t>
        </is>
      </c>
      <c r="C13" s="14" t="n">
        <v>30</v>
      </c>
      <c r="D13" s="14" t="n">
        <v>15</v>
      </c>
      <c r="E13" s="14" t="n">
        <v>15</v>
      </c>
      <c r="F13" s="14" t="n">
        <v>0</v>
      </c>
      <c r="G13" s="14" t="n">
        <v>0</v>
      </c>
      <c r="H13" s="15" t="n"/>
    </row>
    <row r="14" ht="40" customHeight="1">
      <c r="A14" s="12" t="inlineStr">
        <is>
          <t>구조물공</t>
        </is>
      </c>
      <c r="B14" s="13" t="inlineStr">
        <is>
          <t>철근 인장 · 굽힘</t>
        </is>
      </c>
      <c r="C14" s="14" t="n">
        <v>3</v>
      </c>
      <c r="D14" s="14" t="n">
        <v>2</v>
      </c>
      <c r="E14" s="14" t="n">
        <v>2</v>
      </c>
      <c r="F14" s="14" t="n">
        <v>0</v>
      </c>
      <c r="G14" s="14" t="n">
        <v>0</v>
      </c>
      <c r="H14" s="15" t="inlineStr">
        <is>
          <t>외부 의뢰</t>
        </is>
      </c>
    </row>
    <row r="15" ht="40" customHeight="1">
      <c r="A15" s="12" t="inlineStr">
        <is>
          <t>배수공</t>
        </is>
      </c>
      <c r="B15" s="13" t="inlineStr">
        <is>
          <t>PE관 외관 · 치수</t>
        </is>
      </c>
      <c r="C15" s="14" t="n">
        <v>6</v>
      </c>
      <c r="D15" s="14" t="n">
        <v>4</v>
      </c>
      <c r="E15" s="14" t="n">
        <v>4</v>
      </c>
      <c r="F15" s="14" t="n">
        <v>0</v>
      </c>
      <c r="G15" s="14" t="n">
        <v>0</v>
      </c>
      <c r="H15" s="15" t="n"/>
    </row>
    <row r="16" ht="40" customHeight="1">
      <c r="A16" s="12" t="n"/>
      <c r="B16" s="13" t="n"/>
      <c r="C16" s="14" t="n"/>
      <c r="D16" s="14" t="n"/>
      <c r="E16" s="14" t="n"/>
      <c r="F16" s="14" t="n"/>
      <c r="G16" s="14" t="n"/>
      <c r="H16" s="15" t="n"/>
    </row>
    <row r="17" ht="40" customHeight="1">
      <c r="A17" s="12" t="n"/>
      <c r="B17" s="13" t="n"/>
      <c r="C17" s="14" t="n"/>
      <c r="D17" s="14" t="n"/>
      <c r="E17" s="14" t="n"/>
      <c r="F17" s="14" t="n"/>
      <c r="G17" s="14" t="n"/>
      <c r="H17" s="15" t="n"/>
    </row>
    <row r="18" ht="6" customHeight="1"/>
    <row r="19" ht="24" customHeight="1">
      <c r="A19" s="16" t="inlineStr"/>
      <c r="C19" s="5" t="inlineStr">
        <is>
          <t>작성일시 :</t>
        </is>
      </c>
      <c r="D19" s="17" t="n">
        <v>46295</v>
      </c>
    </row>
    <row r="20" ht="24" customHeight="1">
      <c r="A20" s="16" t="inlineStr"/>
      <c r="C20" s="5" t="inlineStr">
        <is>
          <t>작성자 :</t>
        </is>
      </c>
      <c r="D20" s="18" t="inlineStr">
        <is>
          <t>소속 :</t>
        </is>
      </c>
      <c r="E20" s="19" t="inlineStr">
        <is>
          <t>가나건설(주)</t>
        </is>
      </c>
      <c r="G20" s="18" t="inlineStr">
        <is>
          <t>직위 :</t>
        </is>
      </c>
      <c r="H20" s="19" t="inlineStr">
        <is>
          <t>품질관리자</t>
        </is>
      </c>
    </row>
    <row r="21" ht="24" customHeight="1">
      <c r="A21" s="16" t="inlineStr"/>
      <c r="D21" s="18" t="inlineStr">
        <is>
          <t>성명 :</t>
        </is>
      </c>
      <c r="E21" s="19" t="inlineStr">
        <is>
          <t>김품질</t>
        </is>
      </c>
      <c r="G21" s="20" t="inlineStr">
        <is>
          <t>(서명 또는 인)</t>
        </is>
      </c>
    </row>
    <row r="22" ht="16" customHeight="1">
      <c r="A22" s="21" t="inlineStr">
        <is>
          <t>210㎜×297㎜[백상지 80g/㎡(재활용품)]</t>
        </is>
      </c>
    </row>
    <row r="23" ht="8" customHeight="1"/>
    <row r="24" ht="24" customHeight="1">
      <c r="A24" s="22" t="inlineStr">
        <is>
          <t>합계 (인쇄 안 됨)</t>
        </is>
      </c>
      <c r="B24" s="11" t="n"/>
      <c r="C24" s="23">
        <f>IF(COUNT(C8:C17)=0,"",SUM(C8:C17))</f>
        <v/>
      </c>
      <c r="D24" s="23">
        <f>IF(COUNT(D8:D17)=0,"",SUM(D8:D17))</f>
        <v/>
      </c>
      <c r="E24" s="23">
        <f>IF(COUNT(E8:E17)=0,"",SUM(E8:E17))</f>
        <v/>
      </c>
      <c r="F24" s="23">
        <f>IF(COUNT(F8:F17)=0,"",SUM(F8:F17))</f>
        <v/>
      </c>
      <c r="G24" s="23">
        <f>IF(COUNT(G8:G17)=0,"",SUM(G8:G17))</f>
        <v/>
      </c>
      <c r="H24" s="24">
        <f>IF(OR(C24="",D24=""),"",IF(C24=0,"",D24/C24))</f>
        <v/>
      </c>
    </row>
    <row r="25" ht="24" customHeight="1">
      <c r="A25" s="25" t="inlineStr">
        <is>
          <t>맞춰 보기</t>
        </is>
      </c>
      <c r="B25" s="11" t="n"/>
      <c r="C25" s="26">
        <f>IF(COUNT(D8:D17)=0,"",IF((IF(AND(ISNUMBER(D8),COUNT(E8,F8)&gt;0,N(E8)+N(F8)&lt;&gt;D8),1,0)+IF(AND(ISNUMBER(D9),COUNT(E9,F9)&gt;0,N(E9)+N(F9)&lt;&gt;D9),1,0)+IF(AND(ISNUMBER(D10),COUNT(E10,F10)&gt;0,N(E10)+N(F10)&lt;&gt;D10),1,0)+IF(AND(ISNUMBER(D11),COUNT(E11,F11)&gt;0,N(E11)+N(F11)&lt;&gt;D11),1,0)+IF(AND(ISNUMBER(D12),COUNT(E12,F12)&gt;0,N(E12)+N(F12)&lt;&gt;D12),1,0)+IF(AND(ISNUMBER(D13),COUNT(E13,F13)&gt;0,N(E13)+N(F13)&lt;&gt;D13),1,0)+IF(AND(ISNUMBER(D14),COUNT(E14,F14)&gt;0,N(E14)+N(F14)&lt;&gt;D14),1,0)+IF(AND(ISNUMBER(D15),COUNT(E15,F15)&gt;0,N(E15)+N(F15)&lt;&gt;D15),1,0)+IF(AND(ISNUMBER(D16),COUNT(E16,F16)&gt;0,N(E16)+N(F16)&lt;&gt;D16),1,0)+IF(AND(ISNUMBER(D17),COUNT(E17,F17)&gt;0,N(E17)+N(F17)&lt;&gt;D17),1,0))+(IF(AND(ISNUMBER(C8),ISNUMBER(D8),D8&gt;C8),1,0)+IF(AND(ISNUMBER(C9),ISNUMBER(D9),D9&gt;C9),1,0)+IF(AND(ISNUMBER(C10),ISNUMBER(D10),D10&gt;C10),1,0)+IF(AND(ISNUMBER(C11),ISNUMBER(D11),D11&gt;C11),1,0)+IF(AND(ISNUMBER(C12),ISNUMBER(D12),D12&gt;C12),1,0)+IF(AND(ISNUMBER(C13),ISNUMBER(D13),D13&gt;C13),1,0)+IF(AND(ISNUMBER(C14),ISNUMBER(D14),D14&gt;C14),1,0)+IF(AND(ISNUMBER(C15),ISNUMBER(D15),D15&gt;C15),1,0)+IF(AND(ISNUMBER(C16),ISNUMBER(D16),D16&gt;C16),1,0)+IF(AND(ISNUMBER(C17),ISNUMBER(D17),D17&gt;C17),1,0))=0,"✔ 합격 + 불합격 = 실시 · 실시 ≤ 계획",IF((IF(AND(ISNUMBER(D8),COUNT(E8,F8)&gt;0,N(E8)+N(F8)&lt;&gt;D8),1,0)+IF(AND(ISNUMBER(D9),COUNT(E9,F9)&gt;0,N(E9)+N(F9)&lt;&gt;D9),1,0)+IF(AND(ISNUMBER(D10),COUNT(E10,F10)&gt;0,N(E10)+N(F10)&lt;&gt;D10),1,0)+IF(AND(ISNUMBER(D11),COUNT(E11,F11)&gt;0,N(E11)+N(F11)&lt;&gt;D11),1,0)+IF(AND(ISNUMBER(D12),COUNT(E12,F12)&gt;0,N(E12)+N(F12)&lt;&gt;D12),1,0)+IF(AND(ISNUMBER(D13),COUNT(E13,F13)&gt;0,N(E13)+N(F13)&lt;&gt;D13),1,0)+IF(AND(ISNUMBER(D14),COUNT(E14,F14)&gt;0,N(E14)+N(F14)&lt;&gt;D14),1,0)+IF(AND(ISNUMBER(D15),COUNT(E15,F15)&gt;0,N(E15)+N(F15)&lt;&gt;D15),1,0)+IF(AND(ISNUMBER(D16),COUNT(E16,F16)&gt;0,N(E16)+N(F16)&lt;&gt;D16),1,0)+IF(AND(ISNUMBER(D17),COUNT(E17,F17)&gt;0,N(E17)+N(F17)&lt;&gt;D17),1,0))&gt;0,"합격 + 불합격 ≠ 실시인 줄 "&amp;(IF(AND(ISNUMBER(D8),COUNT(E8,F8)&gt;0,N(E8)+N(F8)&lt;&gt;D8),1,0)+IF(AND(ISNUMBER(D9),COUNT(E9,F9)&gt;0,N(E9)+N(F9)&lt;&gt;D9),1,0)+IF(AND(ISNUMBER(D10),COUNT(E10,F10)&gt;0,N(E10)+N(F10)&lt;&gt;D10),1,0)+IF(AND(ISNUMBER(D11),COUNT(E11,F11)&gt;0,N(E11)+N(F11)&lt;&gt;D11),1,0)+IF(AND(ISNUMBER(D12),COUNT(E12,F12)&gt;0,N(E12)+N(F12)&lt;&gt;D12),1,0)+IF(AND(ISNUMBER(D13),COUNT(E13,F13)&gt;0,N(E13)+N(F13)&lt;&gt;D13),1,0)+IF(AND(ISNUMBER(D14),COUNT(E14,F14)&gt;0,N(E14)+N(F14)&lt;&gt;D14),1,0)+IF(AND(ISNUMBER(D15),COUNT(E15,F15)&gt;0,N(E15)+N(F15)&lt;&gt;D15),1,0)+IF(AND(ISNUMBER(D16),COUNT(E16,F16)&gt;0,N(E16)+N(F16)&lt;&gt;D16),1,0)+IF(AND(ISNUMBER(D17),COUNT(E17,F17)&gt;0,N(E17)+N(F17)&lt;&gt;D17),1,0))&amp;"개","")&amp;IF((IF(AND(ISNUMBER(C8),ISNUMBER(D8),D8&gt;C8),1,0)+IF(AND(ISNUMBER(C9),ISNUMBER(D9),D9&gt;C9),1,0)+IF(AND(ISNUMBER(C10),ISNUMBER(D10),D10&gt;C10),1,0)+IF(AND(ISNUMBER(C11),ISNUMBER(D11),D11&gt;C11),1,0)+IF(AND(ISNUMBER(C12),ISNUMBER(D12),D12&gt;C12),1,0)+IF(AND(ISNUMBER(C13),ISNUMBER(D13),D13&gt;C13),1,0)+IF(AND(ISNUMBER(C14),ISNUMBER(D14),D14&gt;C14),1,0)+IF(AND(ISNUMBER(C15),ISNUMBER(D15),D15&gt;C15),1,0)+IF(AND(ISNUMBER(C16),ISNUMBER(D16),D16&gt;C16),1,0)+IF(AND(ISNUMBER(C17),ISNUMBER(D17),D17&gt;C17),1,0))&gt;0,IF((IF(AND(ISNUMBER(D8),COUNT(E8,F8)&gt;0,N(E8)+N(F8)&lt;&gt;D8),1,0)+IF(AND(ISNUMBER(D9),COUNT(E9,F9)&gt;0,N(E9)+N(F9)&lt;&gt;D9),1,0)+IF(AND(ISNUMBER(D10),COUNT(E10,F10)&gt;0,N(E10)+N(F10)&lt;&gt;D10),1,0)+IF(AND(ISNUMBER(D11),COUNT(E11,F11)&gt;0,N(E11)+N(F11)&lt;&gt;D11),1,0)+IF(AND(ISNUMBER(D12),COUNT(E12,F12)&gt;0,N(E12)+N(F12)&lt;&gt;D12),1,0)+IF(AND(ISNUMBER(D13),COUNT(E13,F13)&gt;0,N(E13)+N(F13)&lt;&gt;D13),1,0)+IF(AND(ISNUMBER(D14),COUNT(E14,F14)&gt;0,N(E14)+N(F14)&lt;&gt;D14),1,0)+IF(AND(ISNUMBER(D15),COUNT(E15,F15)&gt;0,N(E15)+N(F15)&lt;&gt;D15),1,0)+IF(AND(ISNUMBER(D16),COUNT(E16,F16)&gt;0,N(E16)+N(F16)&lt;&gt;D16),1,0)+IF(AND(ISNUMBER(D17),COUNT(E17,F17)&gt;0,N(E17)+N(F17)&lt;&gt;D17),1,0))&gt;0," · ","")&amp;"실시가 계획보다 많은 줄 "&amp;(IF(AND(ISNUMBER(C8),ISNUMBER(D8),D8&gt;C8),1,0)+IF(AND(ISNUMBER(C9),ISNUMBER(D9),D9&gt;C9),1,0)+IF(AND(ISNUMBER(C10),ISNUMBER(D10),D10&gt;C10),1,0)+IF(AND(ISNUMBER(C11),ISNUMBER(D11),D11&gt;C11),1,0)+IF(AND(ISNUMBER(C12),ISNUMBER(D12),D12&gt;C12),1,0)+IF(AND(ISNUMBER(C13),ISNUMBER(D13),D13&gt;C13),1,0)+IF(AND(ISNUMBER(C14),ISNUMBER(D14),D14&gt;C14),1,0)+IF(AND(ISNUMBER(C15),ISNUMBER(D15),D15&gt;C15),1,0)+IF(AND(ISNUMBER(C16),ISNUMBER(D16),D16&gt;C16),1,0)+IF(AND(ISNUMBER(C17),ISNUMBER(D17),D17&gt;C17),1,0))&amp;"개(계획 보완)","")))</f>
        <v/>
      </c>
      <c r="D25" s="11" t="n"/>
      <c r="E25" s="11" t="n"/>
      <c r="F25" s="11" t="n"/>
      <c r="G25" s="11" t="n"/>
      <c r="H25" s="11" t="n"/>
    </row>
    <row r="27" ht="19.5" customHeight="1">
      <c r="A27" s="27" t="inlineStr">
        <is>
          <t>이 시트는 작성 예시입니다(가상의 공사 · 회사 · 사람).</t>
        </is>
      </c>
    </row>
  </sheetData>
  <mergeCells count="22">
    <mergeCell ref="F4:G4"/>
    <mergeCell ref="G21:H21"/>
    <mergeCell ref="A24:B24"/>
    <mergeCell ref="C25:H25"/>
    <mergeCell ref="C6:G6"/>
    <mergeCell ref="D19:H19"/>
    <mergeCell ref="H6:H7"/>
    <mergeCell ref="A21:C21"/>
    <mergeCell ref="A6:A7"/>
    <mergeCell ref="E20:F20"/>
    <mergeCell ref="A25:B25"/>
    <mergeCell ref="B6:B7"/>
    <mergeCell ref="A27:H27"/>
    <mergeCell ref="A1:D1"/>
    <mergeCell ref="A3:H3"/>
    <mergeCell ref="A2:H2"/>
    <mergeCell ref="D4:E4"/>
    <mergeCell ref="E1:H1"/>
    <mergeCell ref="A22:H22"/>
    <mergeCell ref="A20:B20"/>
    <mergeCell ref="A19:B19"/>
    <mergeCell ref="E21:F21"/>
  </mergeCells>
  <conditionalFormatting sqref="D8:D17">
    <cfRule type="expression" priority="1" dxfId="0">
      <formula>AND(ISNUMBER(D8),COUNT(E8,F8)&gt;0,N(E8)+N(F8)&lt;&gt;D8)</formula>
    </cfRule>
  </conditionalFormatting>
  <printOptions horizontalCentered="1"/>
  <pageMargins left="0.45" right="0.4" top="0.45" bottom="0.4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품질검사 성과 총괄표</dc:title>
  <dcterms:created xmlns:dcterms="http://purl.org/dc/terms/" xmlns:xsi="http://www.w3.org/2001/XMLSchema-instance" xsi:type="dcterms:W3CDTF">2026-10-17T01:12:53Z</dcterms:created>
  <dcterms:modified xmlns:dcterms="http://purl.org/dc/terms/" xmlns:xsi="http://www.w3.org/2001/XMLSchema-instance" xsi:type="dcterms:W3CDTF">2026-10-17T01:12:54Z</dcterms:modified>
</cp:coreProperties>
</file>