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표" sheetId="1" state="visible" r:id="rId1"/>
    <sheet xmlns:r="http://schemas.openxmlformats.org/officeDocument/2006/relationships" name="예시-공정표" sheetId="2" state="visible" r:id="rId2"/>
  </sheets>
  <definedNames>
    <definedName name="_xlnm.Print_Area" localSheetId="0">'공정표'!$A$1:$AI$39</definedName>
    <definedName name="_xlnm.Print_Area" localSheetId="1">'예시-공정표'!$A$1:$AI$39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. m. d."/>
    <numFmt numFmtId="165" formatCode="d"/>
    <numFmt numFmtId="166" formatCode="#,##0.###;[Red]-#,##0.###;&quot;&quot;"/>
    <numFmt numFmtId="167" formatCode="m&quot;/&quot;d"/>
    <numFmt numFmtId="168" formatCode="0.0%;[Red]-0.0%;&quot;&quot;"/>
    <numFmt numFmtId="16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7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F2937"/>
      <sz val="8"/>
    </font>
    <font>
      <name val="맑은 고딕"/>
      <b val="1"/>
      <color rgb="002563EB"/>
      <sz val="8"/>
    </font>
    <font>
      <name val="맑은 고딕"/>
      <b val="1"/>
      <color rgb="00DC2626"/>
      <sz val="8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60A5FA"/>
      </patternFill>
    </fill>
    <fill>
      <patternFill patternType="solid">
        <fgColor rgb="00FACC15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center" vertical="center" shrinkToFit="1"/>
    </xf>
    <xf numFmtId="164" fontId="6" fillId="2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shrinkToFi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right" vertical="center" shrinkToFit="1"/>
    </xf>
    <xf numFmtId="0" fontId="13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166" fontId="8" fillId="2" borderId="1" applyAlignment="1" pivotButton="0" quotePrefix="0" xfId="0">
      <alignment horizontal="right" vertical="center" shrinkToFit="1"/>
    </xf>
    <xf numFmtId="168" fontId="8" fillId="2" borderId="1" applyAlignment="1" pivotButton="0" quotePrefix="0" xfId="0">
      <alignment horizontal="center" vertical="center" shrinkToFit="1"/>
    </xf>
    <xf numFmtId="0" fontId="7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ill>
        <patternFill patternType="solid">
          <bgColor rgb="0060A5FA"/>
        </patternFill>
      </fill>
    </dxf>
    <dxf>
      <fill>
        <patternFill patternType="solid">
          <bgColor rgb="00FACC15"/>
        </patternFill>
      </fill>
    </dxf>
    <dxf>
      <font>
        <b val="1"/>
        <color rgb="00B45309"/>
      </font>
      <fill>
        <patternFill patternType="solid">
          <bgColor rgb="00FDE68A"/>
        </patternFill>
      </fill>
    </dxf>
    <dxf>
      <font>
        <b val="1"/>
        <color rgb="00DC2626"/>
      </font>
    </dxf>
    <dxf>
      <font>
        <b val="1"/>
        <color rgb="0015803D"/>
      </font>
    </dxf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43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5" customWidth="1" min="4" max="4"/>
    <col width="4.6" customWidth="1" min="5" max="5"/>
    <col width="6.4" customWidth="1" min="6" max="6"/>
    <col width="6.4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7" customWidth="1" min="29" max="29"/>
    <col width="6.4" customWidth="1" min="30" max="30"/>
    <col width="7" customWidth="1" min="31" max="31"/>
    <col width="7" customWidth="1" min="32" max="32"/>
    <col width="7" customWidth="1" min="33" max="33"/>
    <col width="6.6" customWidth="1" min="34" max="34"/>
    <col width="10" customWidth="1" min="35" max="35"/>
  </cols>
  <sheetData>
    <row r="1" ht="20" customHeight="1">
      <c r="A1" s="1" t="inlineStr">
        <is>
          <t xml:space="preserve">  K-건설맵  |  k-conmap.com  무료 건설 서식</t>
        </is>
      </c>
      <c r="S1" s="2" t="inlineStr">
        <is>
          <t xml:space="preserve">← 이 1행을 지우고 쓰셔도 됩니다  </t>
        </is>
      </c>
    </row>
    <row r="2" ht="32" customHeight="1">
      <c r="A2" s="3" t="inlineStr">
        <is>
          <t>예  정  공  정  표</t>
        </is>
      </c>
    </row>
    <row r="3" ht="22" customHeight="1">
      <c r="A3" s="4" t="inlineStr">
        <is>
          <t>▣ 공 사 명 :</t>
        </is>
      </c>
      <c r="C3" s="5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7" t="inlineStr"/>
      <c r="R3" s="8" t="inlineStr">
        <is>
          <t>기준일(회의일)</t>
        </is>
      </c>
      <c r="V3" s="9" t="n"/>
      <c r="W3" s="6" t="n"/>
      <c r="X3" s="6" t="n"/>
      <c r="Y3" s="6" t="n"/>
      <c r="Z3" s="8" t="inlineStr">
        <is>
          <t>금주 시작</t>
        </is>
      </c>
      <c r="AC3" s="10">
        <f>IF(N(V3)=0,"",V3-WEEKDAY(V3,2)+1)</f>
        <v/>
      </c>
      <c r="AD3" s="6" t="n"/>
      <c r="AE3" s="6" t="n"/>
      <c r="AF3" s="11" t="inlineStr">
        <is>
          <t>계획</t>
        </is>
      </c>
      <c r="AG3" s="12" t="inlineStr"/>
      <c r="AH3" s="11" t="inlineStr">
        <is>
          <t>실적</t>
        </is>
      </c>
      <c r="AI3" s="13" t="inlineStr"/>
    </row>
    <row r="4" ht="4" customHeight="1"/>
    <row r="5" ht="20" customHeight="1">
      <c r="A5" s="14" t="inlineStr">
        <is>
          <t>공  종</t>
        </is>
      </c>
      <c r="B5" s="14" t="inlineStr">
        <is>
          <t>내    역</t>
        </is>
      </c>
      <c r="C5" s="14" t="inlineStr">
        <is>
          <t>수 량</t>
        </is>
      </c>
      <c r="D5" s="14" t="inlineStr">
        <is>
          <t>단위</t>
        </is>
      </c>
      <c r="E5" s="14" t="inlineStr">
        <is>
          <t>구분</t>
        </is>
      </c>
      <c r="F5" s="14" t="inlineStr">
        <is>
          <t>기    간</t>
        </is>
      </c>
      <c r="G5" s="6" t="n"/>
      <c r="H5" s="15">
        <f>"전 주"&amp;IF(N(AC3)=0,"(   /   ~   /   )","("&amp;MONTH(AC3+-7)&amp;"/"&amp;DAY(AC3+-7)&amp;"~"&amp;MONTH(AC3+-1)&amp;"/"&amp;DAY(AC3+-1)&amp;")")</f>
        <v/>
      </c>
      <c r="I5" s="6" t="n"/>
      <c r="J5" s="6" t="n"/>
      <c r="K5" s="6" t="n"/>
      <c r="L5" s="6" t="n"/>
      <c r="M5" s="6" t="n"/>
      <c r="N5" s="6" t="n"/>
      <c r="O5" s="15">
        <f>"금 주"&amp;IF(N(AC3)=0,"(   /   ~   /   )","("&amp;MONTH(AC3+0)&amp;"/"&amp;DAY(AC3+0)&amp;"~"&amp;MONTH(AC3+6)&amp;"/"&amp;DAY(AC3+6)&amp;")")</f>
        <v/>
      </c>
      <c r="P5" s="6" t="n"/>
      <c r="Q5" s="6" t="n"/>
      <c r="R5" s="6" t="n"/>
      <c r="S5" s="6" t="n"/>
      <c r="T5" s="6" t="n"/>
      <c r="U5" s="6" t="n"/>
      <c r="V5" s="15">
        <f>"내 주"&amp;IF(N(AC3)=0,"(   /   ~   /   )","("&amp;MONTH(AC3+7)&amp;"/"&amp;DAY(AC3+7)&amp;"~"&amp;MONTH(AC3+13)&amp;"/"&amp;DAY(AC3+13)&amp;")")</f>
        <v/>
      </c>
      <c r="W5" s="6" t="n"/>
      <c r="X5" s="6" t="n"/>
      <c r="Y5" s="6" t="n"/>
      <c r="Z5" s="6" t="n"/>
      <c r="AA5" s="6" t="n"/>
      <c r="AB5" s="6" t="n"/>
      <c r="AC5" s="14" t="inlineStr">
        <is>
          <t>수     량</t>
        </is>
      </c>
      <c r="AD5" s="6" t="n"/>
      <c r="AE5" s="6" t="n"/>
      <c r="AF5" s="14" t="inlineStr">
        <is>
          <t>잔여량</t>
        </is>
      </c>
      <c r="AG5" s="14" t="inlineStr">
        <is>
          <t>진척률</t>
        </is>
      </c>
      <c r="AH5" s="14" t="inlineStr">
        <is>
          <t>상  태</t>
        </is>
      </c>
      <c r="AI5" s="14" t="inlineStr">
        <is>
          <t>비   고</t>
        </is>
      </c>
    </row>
    <row r="6" ht="17" customHeight="1">
      <c r="A6" s="6" t="n"/>
      <c r="B6" s="6" t="n"/>
      <c r="C6" s="6" t="n"/>
      <c r="D6" s="6" t="n"/>
      <c r="E6" s="6" t="n"/>
      <c r="F6" s="14" t="inlineStr">
        <is>
          <t>시작</t>
        </is>
      </c>
      <c r="G6" s="14" t="inlineStr">
        <is>
          <t>끝</t>
        </is>
      </c>
      <c r="H6" s="16">
        <f>IF(N(AC3)=0,"",AC3+-7)</f>
        <v/>
      </c>
      <c r="I6" s="16">
        <f>IF(N(AC3)=0,"",AC3+-6)</f>
        <v/>
      </c>
      <c r="J6" s="16">
        <f>IF(N(AC3)=0,"",AC3+-5)</f>
        <v/>
      </c>
      <c r="K6" s="16">
        <f>IF(N(AC3)=0,"",AC3+-4)</f>
        <v/>
      </c>
      <c r="L6" s="16">
        <f>IF(N(AC3)=0,"",AC3+-3)</f>
        <v/>
      </c>
      <c r="M6" s="16">
        <f>IF(N(AC3)=0,"",AC3+-2)</f>
        <v/>
      </c>
      <c r="N6" s="16">
        <f>IF(N(AC3)=0,"",AC3+-1)</f>
        <v/>
      </c>
      <c r="O6" s="16">
        <f>IF(N(AC3)=0,"",AC3+0)</f>
        <v/>
      </c>
      <c r="P6" s="16">
        <f>IF(N(AC3)=0,"",AC3+1)</f>
        <v/>
      </c>
      <c r="Q6" s="16">
        <f>IF(N(AC3)=0,"",AC3+2)</f>
        <v/>
      </c>
      <c r="R6" s="16">
        <f>IF(N(AC3)=0,"",AC3+3)</f>
        <v/>
      </c>
      <c r="S6" s="16">
        <f>IF(N(AC3)=0,"",AC3+4)</f>
        <v/>
      </c>
      <c r="T6" s="16">
        <f>IF(N(AC3)=0,"",AC3+5)</f>
        <v/>
      </c>
      <c r="U6" s="16">
        <f>IF(N(AC3)=0,"",AC3+6)</f>
        <v/>
      </c>
      <c r="V6" s="16">
        <f>IF(N(AC3)=0,"",AC3+7)</f>
        <v/>
      </c>
      <c r="W6" s="16">
        <f>IF(N(AC3)=0,"",AC3+8)</f>
        <v/>
      </c>
      <c r="X6" s="16">
        <f>IF(N(AC3)=0,"",AC3+9)</f>
        <v/>
      </c>
      <c r="Y6" s="16">
        <f>IF(N(AC3)=0,"",AC3+10)</f>
        <v/>
      </c>
      <c r="Z6" s="16">
        <f>IF(N(AC3)=0,"",AC3+11)</f>
        <v/>
      </c>
      <c r="AA6" s="16">
        <f>IF(N(AC3)=0,"",AC3+12)</f>
        <v/>
      </c>
      <c r="AB6" s="16">
        <f>IF(N(AC3)=0,"",AC3+13)</f>
        <v/>
      </c>
      <c r="AC6" s="14" t="inlineStr">
        <is>
          <t>전주까지</t>
        </is>
      </c>
      <c r="AD6" s="14" t="inlineStr">
        <is>
          <t>금 주</t>
        </is>
      </c>
      <c r="AE6" s="14" t="inlineStr">
        <is>
          <t>누 계</t>
        </is>
      </c>
      <c r="AF6" s="6" t="n"/>
      <c r="AG6" s="6" t="n"/>
      <c r="AH6" s="6" t="n"/>
      <c r="AI6" s="6" t="n"/>
    </row>
    <row r="7" ht="15" customHeight="1">
      <c r="A7" s="6" t="n"/>
      <c r="B7" s="6" t="n"/>
      <c r="C7" s="6" t="n"/>
      <c r="D7" s="6" t="n"/>
      <c r="E7" s="6" t="n"/>
      <c r="F7" s="6" t="n"/>
      <c r="G7" s="6" t="n"/>
      <c r="H7" s="17" t="inlineStr">
        <is>
          <t>월</t>
        </is>
      </c>
      <c r="I7" s="17" t="inlineStr">
        <is>
          <t>화</t>
        </is>
      </c>
      <c r="J7" s="17" t="inlineStr">
        <is>
          <t>수</t>
        </is>
      </c>
      <c r="K7" s="17" t="inlineStr">
        <is>
          <t>목</t>
        </is>
      </c>
      <c r="L7" s="17" t="inlineStr">
        <is>
          <t>금</t>
        </is>
      </c>
      <c r="M7" s="18" t="inlineStr">
        <is>
          <t>토</t>
        </is>
      </c>
      <c r="N7" s="19" t="inlineStr">
        <is>
          <t>일</t>
        </is>
      </c>
      <c r="O7" s="17" t="inlineStr">
        <is>
          <t>월</t>
        </is>
      </c>
      <c r="P7" s="17" t="inlineStr">
        <is>
          <t>화</t>
        </is>
      </c>
      <c r="Q7" s="17" t="inlineStr">
        <is>
          <t>수</t>
        </is>
      </c>
      <c r="R7" s="17" t="inlineStr">
        <is>
          <t>목</t>
        </is>
      </c>
      <c r="S7" s="17" t="inlineStr">
        <is>
          <t>금</t>
        </is>
      </c>
      <c r="T7" s="18" t="inlineStr">
        <is>
          <t>토</t>
        </is>
      </c>
      <c r="U7" s="19" t="inlineStr">
        <is>
          <t>일</t>
        </is>
      </c>
      <c r="V7" s="17" t="inlineStr">
        <is>
          <t>월</t>
        </is>
      </c>
      <c r="W7" s="17" t="inlineStr">
        <is>
          <t>화</t>
        </is>
      </c>
      <c r="X7" s="17" t="inlineStr">
        <is>
          <t>수</t>
        </is>
      </c>
      <c r="Y7" s="17" t="inlineStr">
        <is>
          <t>목</t>
        </is>
      </c>
      <c r="Z7" s="17" t="inlineStr">
        <is>
          <t>금</t>
        </is>
      </c>
      <c r="AA7" s="18" t="inlineStr">
        <is>
          <t>토</t>
        </is>
      </c>
      <c r="AB7" s="19" t="inlineStr">
        <is>
          <t>일</t>
        </is>
      </c>
      <c r="AC7" s="6" t="n"/>
      <c r="AD7" s="6" t="n"/>
      <c r="AE7" s="6" t="n"/>
      <c r="AF7" s="6" t="n"/>
      <c r="AG7" s="6" t="n"/>
      <c r="AH7" s="6" t="n"/>
      <c r="AI7" s="6" t="n"/>
    </row>
    <row r="8" ht="16" customHeight="1">
      <c r="A8" s="20" t="n"/>
      <c r="B8" s="21" t="n"/>
      <c r="C8" s="22" t="n"/>
      <c r="D8" s="20" t="n"/>
      <c r="E8" s="23" t="inlineStr">
        <is>
          <t>계획</t>
        </is>
      </c>
      <c r="F8" s="24" t="n"/>
      <c r="G8" s="24" t="n"/>
      <c r="H8" s="25" t="inlineStr"/>
      <c r="I8" s="25" t="inlineStr"/>
      <c r="J8" s="25" t="inlineStr"/>
      <c r="K8" s="25" t="inlineStr"/>
      <c r="L8" s="25" t="inlineStr"/>
      <c r="M8" s="25" t="inlineStr"/>
      <c r="N8" s="25" t="inlineStr"/>
      <c r="O8" s="25" t="inlineStr"/>
      <c r="P8" s="25" t="inlineStr"/>
      <c r="Q8" s="25" t="inlineStr"/>
      <c r="R8" s="25" t="inlineStr"/>
      <c r="S8" s="25" t="inlineStr"/>
      <c r="T8" s="25" t="inlineStr"/>
      <c r="U8" s="25" t="inlineStr"/>
      <c r="V8" s="25" t="inlineStr"/>
      <c r="W8" s="25" t="inlineStr"/>
      <c r="X8" s="25" t="inlineStr"/>
      <c r="Y8" s="25" t="inlineStr"/>
      <c r="Z8" s="25" t="inlineStr"/>
      <c r="AA8" s="25" t="inlineStr"/>
      <c r="AB8" s="25" t="inlineStr"/>
      <c r="AC8" s="22" t="n"/>
      <c r="AD8" s="22" t="n"/>
      <c r="AE8" s="26">
        <f>IF(AND(AC8="",AD8=""),"",ROUND(N(AC8)+N(AD8),3))</f>
        <v/>
      </c>
      <c r="AF8" s="26">
        <f>IF(OR(N(C8)=0,AE8=""),"",ROUND(C8-AE8,3))</f>
        <v/>
      </c>
      <c r="AG8" s="27">
        <f>IF(OR(N(C8)=0,AE8=""),"",AE8/C8)</f>
        <v/>
      </c>
      <c r="AH8" s="28">
        <f>IF(AND(A8="",B8=""),"",IF(AND(N(C8)&gt;0,N(AE8)&gt;=N(C8)),"완료",IF(N(V3)=0,"",IF(AND(N(G8)&gt;0,V3&gt;G8),"지연",IF(N(F9)&gt;0,"진행",IF(AND(N(F8)&gt;0,V3&gt;F8),"착수 지연",IF(N(F8)&gt;0,"예정","")))))))</f>
        <v/>
      </c>
      <c r="AI8" s="29" t="n"/>
    </row>
    <row r="9" ht="16" customHeight="1">
      <c r="A9" s="6" t="n"/>
      <c r="B9" s="6" t="n"/>
      <c r="C9" s="6" t="n"/>
      <c r="D9" s="6" t="n"/>
      <c r="E9" s="23" t="inlineStr">
        <is>
          <t>실적</t>
        </is>
      </c>
      <c r="F9" s="24" t="n"/>
      <c r="G9" s="24" t="n"/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6" t="n"/>
      <c r="AD9" s="6" t="n"/>
      <c r="AE9" s="6" t="n"/>
      <c r="AF9" s="6" t="n"/>
      <c r="AG9" s="6" t="n"/>
      <c r="AH9" s="6" t="n"/>
      <c r="AI9" s="6" t="n"/>
    </row>
    <row r="10" ht="16" customHeight="1">
      <c r="A10" s="20" t="n"/>
      <c r="B10" s="21" t="n"/>
      <c r="C10" s="22" t="n"/>
      <c r="D10" s="20" t="n"/>
      <c r="E10" s="23" t="inlineStr">
        <is>
          <t>계획</t>
        </is>
      </c>
      <c r="F10" s="24" t="n"/>
      <c r="G10" s="24" t="n"/>
      <c r="H10" s="25" t="inlineStr"/>
      <c r="I10" s="25" t="inlineStr"/>
      <c r="J10" s="25" t="inlineStr"/>
      <c r="K10" s="25" t="inlineStr"/>
      <c r="L10" s="25" t="inlineStr"/>
      <c r="M10" s="25" t="inlineStr"/>
      <c r="N10" s="25" t="inlineStr"/>
      <c r="O10" s="25" t="inlineStr"/>
      <c r="P10" s="25" t="inlineStr"/>
      <c r="Q10" s="25" t="inlineStr"/>
      <c r="R10" s="25" t="inlineStr"/>
      <c r="S10" s="25" t="inlineStr"/>
      <c r="T10" s="25" t="inlineStr"/>
      <c r="U10" s="25" t="inlineStr"/>
      <c r="V10" s="25" t="inlineStr"/>
      <c r="W10" s="25" t="inlineStr"/>
      <c r="X10" s="25" t="inlineStr"/>
      <c r="Y10" s="25" t="inlineStr"/>
      <c r="Z10" s="25" t="inlineStr"/>
      <c r="AA10" s="25" t="inlineStr"/>
      <c r="AB10" s="25" t="inlineStr"/>
      <c r="AC10" s="22" t="n"/>
      <c r="AD10" s="22" t="n"/>
      <c r="AE10" s="26">
        <f>IF(AND(AC10="",AD10=""),"",ROUND(N(AC10)+N(AD10),3))</f>
        <v/>
      </c>
      <c r="AF10" s="26">
        <f>IF(OR(N(C10)=0,AE10=""),"",ROUND(C10-AE10,3))</f>
        <v/>
      </c>
      <c r="AG10" s="27">
        <f>IF(OR(N(C10)=0,AE10=""),"",AE10/C10)</f>
        <v/>
      </c>
      <c r="AH10" s="28">
        <f>IF(AND(A10="",B10=""),"",IF(AND(N(C10)&gt;0,N(AE10)&gt;=N(C10)),"완료",IF(N(V3)=0,"",IF(AND(N(G10)&gt;0,V3&gt;G10),"지연",IF(N(F11)&gt;0,"진행",IF(AND(N(F10)&gt;0,V3&gt;F10),"착수 지연",IF(N(F10)&gt;0,"예정","")))))))</f>
        <v/>
      </c>
      <c r="AI10" s="29" t="n"/>
    </row>
    <row r="11" ht="16" customHeight="1">
      <c r="A11" s="6" t="n"/>
      <c r="B11" s="6" t="n"/>
      <c r="C11" s="6" t="n"/>
      <c r="D11" s="6" t="n"/>
      <c r="E11" s="23" t="inlineStr">
        <is>
          <t>실적</t>
        </is>
      </c>
      <c r="F11" s="24" t="n"/>
      <c r="G11" s="24" t="n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6" t="n"/>
      <c r="AD11" s="6" t="n"/>
      <c r="AE11" s="6" t="n"/>
      <c r="AF11" s="6" t="n"/>
      <c r="AG11" s="6" t="n"/>
      <c r="AH11" s="6" t="n"/>
      <c r="AI11" s="6" t="n"/>
    </row>
    <row r="12" ht="16" customHeight="1">
      <c r="A12" s="20" t="n"/>
      <c r="B12" s="21" t="n"/>
      <c r="C12" s="22" t="n"/>
      <c r="D12" s="20" t="n"/>
      <c r="E12" s="23" t="inlineStr">
        <is>
          <t>계획</t>
        </is>
      </c>
      <c r="F12" s="24" t="n"/>
      <c r="G12" s="24" t="n"/>
      <c r="H12" s="25" t="inlineStr"/>
      <c r="I12" s="25" t="inlineStr"/>
      <c r="J12" s="25" t="inlineStr"/>
      <c r="K12" s="25" t="inlineStr"/>
      <c r="L12" s="25" t="inlineStr"/>
      <c r="M12" s="25" t="inlineStr"/>
      <c r="N12" s="25" t="inlineStr"/>
      <c r="O12" s="25" t="inlineStr"/>
      <c r="P12" s="25" t="inlineStr"/>
      <c r="Q12" s="25" t="inlineStr"/>
      <c r="R12" s="25" t="inlineStr"/>
      <c r="S12" s="25" t="inlineStr"/>
      <c r="T12" s="25" t="inlineStr"/>
      <c r="U12" s="25" t="inlineStr"/>
      <c r="V12" s="25" t="inlineStr"/>
      <c r="W12" s="25" t="inlineStr"/>
      <c r="X12" s="25" t="inlineStr"/>
      <c r="Y12" s="25" t="inlineStr"/>
      <c r="Z12" s="25" t="inlineStr"/>
      <c r="AA12" s="25" t="inlineStr"/>
      <c r="AB12" s="25" t="inlineStr"/>
      <c r="AC12" s="22" t="n"/>
      <c r="AD12" s="22" t="n"/>
      <c r="AE12" s="26">
        <f>IF(AND(AC12="",AD12=""),"",ROUND(N(AC12)+N(AD12),3))</f>
        <v/>
      </c>
      <c r="AF12" s="26">
        <f>IF(OR(N(C12)=0,AE12=""),"",ROUND(C12-AE12,3))</f>
        <v/>
      </c>
      <c r="AG12" s="27">
        <f>IF(OR(N(C12)=0,AE12=""),"",AE12/C12)</f>
        <v/>
      </c>
      <c r="AH12" s="28">
        <f>IF(AND(A12="",B12=""),"",IF(AND(N(C12)&gt;0,N(AE12)&gt;=N(C12)),"완료",IF(N(V3)=0,"",IF(AND(N(G12)&gt;0,V3&gt;G12),"지연",IF(N(F13)&gt;0,"진행",IF(AND(N(F12)&gt;0,V3&gt;F12),"착수 지연",IF(N(F12)&gt;0,"예정","")))))))</f>
        <v/>
      </c>
      <c r="AI12" s="29" t="n"/>
    </row>
    <row r="13" ht="16" customHeight="1">
      <c r="A13" s="6" t="n"/>
      <c r="B13" s="6" t="n"/>
      <c r="C13" s="6" t="n"/>
      <c r="D13" s="6" t="n"/>
      <c r="E13" s="23" t="inlineStr">
        <is>
          <t>실적</t>
        </is>
      </c>
      <c r="F13" s="24" t="n"/>
      <c r="G13" s="24" t="n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6" t="n"/>
      <c r="AD13" s="6" t="n"/>
      <c r="AE13" s="6" t="n"/>
      <c r="AF13" s="6" t="n"/>
      <c r="AG13" s="6" t="n"/>
      <c r="AH13" s="6" t="n"/>
      <c r="AI13" s="6" t="n"/>
    </row>
    <row r="14" ht="16" customHeight="1">
      <c r="A14" s="20" t="n"/>
      <c r="B14" s="21" t="n"/>
      <c r="C14" s="22" t="n"/>
      <c r="D14" s="20" t="n"/>
      <c r="E14" s="23" t="inlineStr">
        <is>
          <t>계획</t>
        </is>
      </c>
      <c r="F14" s="24" t="n"/>
      <c r="G14" s="24" t="n"/>
      <c r="H14" s="25" t="inlineStr"/>
      <c r="I14" s="25" t="inlineStr"/>
      <c r="J14" s="25" t="inlineStr"/>
      <c r="K14" s="25" t="inlineStr"/>
      <c r="L14" s="25" t="inlineStr"/>
      <c r="M14" s="25" t="inlineStr"/>
      <c r="N14" s="25" t="inlineStr"/>
      <c r="O14" s="25" t="inlineStr"/>
      <c r="P14" s="25" t="inlineStr"/>
      <c r="Q14" s="25" t="inlineStr"/>
      <c r="R14" s="25" t="inlineStr"/>
      <c r="S14" s="25" t="inlineStr"/>
      <c r="T14" s="25" t="inlineStr"/>
      <c r="U14" s="25" t="inlineStr"/>
      <c r="V14" s="25" t="inlineStr"/>
      <c r="W14" s="25" t="inlineStr"/>
      <c r="X14" s="25" t="inlineStr"/>
      <c r="Y14" s="25" t="inlineStr"/>
      <c r="Z14" s="25" t="inlineStr"/>
      <c r="AA14" s="25" t="inlineStr"/>
      <c r="AB14" s="25" t="inlineStr"/>
      <c r="AC14" s="22" t="n"/>
      <c r="AD14" s="22" t="n"/>
      <c r="AE14" s="26">
        <f>IF(AND(AC14="",AD14=""),"",ROUND(N(AC14)+N(AD14),3))</f>
        <v/>
      </c>
      <c r="AF14" s="26">
        <f>IF(OR(N(C14)=0,AE14=""),"",ROUND(C14-AE14,3))</f>
        <v/>
      </c>
      <c r="AG14" s="27">
        <f>IF(OR(N(C14)=0,AE14=""),"",AE14/C14)</f>
        <v/>
      </c>
      <c r="AH14" s="28">
        <f>IF(AND(A14="",B14=""),"",IF(AND(N(C14)&gt;0,N(AE14)&gt;=N(C14)),"완료",IF(N(V3)=0,"",IF(AND(N(G14)&gt;0,V3&gt;G14),"지연",IF(N(F15)&gt;0,"진행",IF(AND(N(F14)&gt;0,V3&gt;F14),"착수 지연",IF(N(F14)&gt;0,"예정","")))))))</f>
        <v/>
      </c>
      <c r="AI14" s="29" t="n"/>
    </row>
    <row r="15" ht="16" customHeight="1">
      <c r="A15" s="6" t="n"/>
      <c r="B15" s="6" t="n"/>
      <c r="C15" s="6" t="n"/>
      <c r="D15" s="6" t="n"/>
      <c r="E15" s="23" t="inlineStr">
        <is>
          <t>실적</t>
        </is>
      </c>
      <c r="F15" s="24" t="n"/>
      <c r="G15" s="24" t="n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6" t="n"/>
      <c r="AD15" s="6" t="n"/>
      <c r="AE15" s="6" t="n"/>
      <c r="AF15" s="6" t="n"/>
      <c r="AG15" s="6" t="n"/>
      <c r="AH15" s="6" t="n"/>
      <c r="AI15" s="6" t="n"/>
    </row>
    <row r="16" ht="16" customHeight="1">
      <c r="A16" s="20" t="n"/>
      <c r="B16" s="21" t="n"/>
      <c r="C16" s="22" t="n"/>
      <c r="D16" s="20" t="n"/>
      <c r="E16" s="23" t="inlineStr">
        <is>
          <t>계획</t>
        </is>
      </c>
      <c r="F16" s="24" t="n"/>
      <c r="G16" s="24" t="n"/>
      <c r="H16" s="25" t="inlineStr"/>
      <c r="I16" s="25" t="inlineStr"/>
      <c r="J16" s="25" t="inlineStr"/>
      <c r="K16" s="25" t="inlineStr"/>
      <c r="L16" s="25" t="inlineStr"/>
      <c r="M16" s="25" t="inlineStr"/>
      <c r="N16" s="25" t="inlineStr"/>
      <c r="O16" s="25" t="inlineStr"/>
      <c r="P16" s="25" t="inlineStr"/>
      <c r="Q16" s="25" t="inlineStr"/>
      <c r="R16" s="25" t="inlineStr"/>
      <c r="S16" s="25" t="inlineStr"/>
      <c r="T16" s="25" t="inlineStr"/>
      <c r="U16" s="25" t="inlineStr"/>
      <c r="V16" s="25" t="inlineStr"/>
      <c r="W16" s="25" t="inlineStr"/>
      <c r="X16" s="25" t="inlineStr"/>
      <c r="Y16" s="25" t="inlineStr"/>
      <c r="Z16" s="25" t="inlineStr"/>
      <c r="AA16" s="25" t="inlineStr"/>
      <c r="AB16" s="25" t="inlineStr"/>
      <c r="AC16" s="22" t="n"/>
      <c r="AD16" s="22" t="n"/>
      <c r="AE16" s="26">
        <f>IF(AND(AC16="",AD16=""),"",ROUND(N(AC16)+N(AD16),3))</f>
        <v/>
      </c>
      <c r="AF16" s="26">
        <f>IF(OR(N(C16)=0,AE16=""),"",ROUND(C16-AE16,3))</f>
        <v/>
      </c>
      <c r="AG16" s="27">
        <f>IF(OR(N(C16)=0,AE16=""),"",AE16/C16)</f>
        <v/>
      </c>
      <c r="AH16" s="28">
        <f>IF(AND(A16="",B16=""),"",IF(AND(N(C16)&gt;0,N(AE16)&gt;=N(C16)),"완료",IF(N(V3)=0,"",IF(AND(N(G16)&gt;0,V3&gt;G16),"지연",IF(N(F17)&gt;0,"진행",IF(AND(N(F16)&gt;0,V3&gt;F16),"착수 지연",IF(N(F16)&gt;0,"예정","")))))))</f>
        <v/>
      </c>
      <c r="AI16" s="29" t="n"/>
    </row>
    <row r="17" ht="16" customHeight="1">
      <c r="A17" s="6" t="n"/>
      <c r="B17" s="6" t="n"/>
      <c r="C17" s="6" t="n"/>
      <c r="D17" s="6" t="n"/>
      <c r="E17" s="23" t="inlineStr">
        <is>
          <t>실적</t>
        </is>
      </c>
      <c r="F17" s="24" t="n"/>
      <c r="G17" s="24" t="n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6" t="n"/>
      <c r="AD17" s="6" t="n"/>
      <c r="AE17" s="6" t="n"/>
      <c r="AF17" s="6" t="n"/>
      <c r="AG17" s="6" t="n"/>
      <c r="AH17" s="6" t="n"/>
      <c r="AI17" s="6" t="n"/>
    </row>
    <row r="18" ht="16" customHeight="1">
      <c r="A18" s="20" t="n"/>
      <c r="B18" s="21" t="n"/>
      <c r="C18" s="22" t="n"/>
      <c r="D18" s="20" t="n"/>
      <c r="E18" s="23" t="inlineStr">
        <is>
          <t>계획</t>
        </is>
      </c>
      <c r="F18" s="24" t="n"/>
      <c r="G18" s="24" t="n"/>
      <c r="H18" s="25" t="inlineStr"/>
      <c r="I18" s="25" t="inlineStr"/>
      <c r="J18" s="25" t="inlineStr"/>
      <c r="K18" s="25" t="inlineStr"/>
      <c r="L18" s="25" t="inlineStr"/>
      <c r="M18" s="25" t="inlineStr"/>
      <c r="N18" s="25" t="inlineStr"/>
      <c r="O18" s="25" t="inlineStr"/>
      <c r="P18" s="25" t="inlineStr"/>
      <c r="Q18" s="25" t="inlineStr"/>
      <c r="R18" s="25" t="inlineStr"/>
      <c r="S18" s="25" t="inlineStr"/>
      <c r="T18" s="25" t="inlineStr"/>
      <c r="U18" s="25" t="inlineStr"/>
      <c r="V18" s="25" t="inlineStr"/>
      <c r="W18" s="25" t="inlineStr"/>
      <c r="X18" s="25" t="inlineStr"/>
      <c r="Y18" s="25" t="inlineStr"/>
      <c r="Z18" s="25" t="inlineStr"/>
      <c r="AA18" s="25" t="inlineStr"/>
      <c r="AB18" s="25" t="inlineStr"/>
      <c r="AC18" s="22" t="n"/>
      <c r="AD18" s="22" t="n"/>
      <c r="AE18" s="26">
        <f>IF(AND(AC18="",AD18=""),"",ROUND(N(AC18)+N(AD18),3))</f>
        <v/>
      </c>
      <c r="AF18" s="26">
        <f>IF(OR(N(C18)=0,AE18=""),"",ROUND(C18-AE18,3))</f>
        <v/>
      </c>
      <c r="AG18" s="27">
        <f>IF(OR(N(C18)=0,AE18=""),"",AE18/C18)</f>
        <v/>
      </c>
      <c r="AH18" s="28">
        <f>IF(AND(A18="",B18=""),"",IF(AND(N(C18)&gt;0,N(AE18)&gt;=N(C18)),"완료",IF(N(V3)=0,"",IF(AND(N(G18)&gt;0,V3&gt;G18),"지연",IF(N(F19)&gt;0,"진행",IF(AND(N(F18)&gt;0,V3&gt;F18),"착수 지연",IF(N(F18)&gt;0,"예정","")))))))</f>
        <v/>
      </c>
      <c r="AI18" s="29" t="n"/>
    </row>
    <row r="19" ht="16" customHeight="1">
      <c r="A19" s="6" t="n"/>
      <c r="B19" s="6" t="n"/>
      <c r="C19" s="6" t="n"/>
      <c r="D19" s="6" t="n"/>
      <c r="E19" s="23" t="inlineStr">
        <is>
          <t>실적</t>
        </is>
      </c>
      <c r="F19" s="24" t="n"/>
      <c r="G19" s="24" t="n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6" t="n"/>
      <c r="AD19" s="6" t="n"/>
      <c r="AE19" s="6" t="n"/>
      <c r="AF19" s="6" t="n"/>
      <c r="AG19" s="6" t="n"/>
      <c r="AH19" s="6" t="n"/>
      <c r="AI19" s="6" t="n"/>
    </row>
    <row r="20" ht="16" customHeight="1">
      <c r="A20" s="20" t="n"/>
      <c r="B20" s="21" t="n"/>
      <c r="C20" s="22" t="n"/>
      <c r="D20" s="20" t="n"/>
      <c r="E20" s="23" t="inlineStr">
        <is>
          <t>계획</t>
        </is>
      </c>
      <c r="F20" s="24" t="n"/>
      <c r="G20" s="24" t="n"/>
      <c r="H20" s="25" t="inlineStr"/>
      <c r="I20" s="25" t="inlineStr"/>
      <c r="J20" s="25" t="inlineStr"/>
      <c r="K20" s="25" t="inlineStr"/>
      <c r="L20" s="25" t="inlineStr"/>
      <c r="M20" s="25" t="inlineStr"/>
      <c r="N20" s="25" t="inlineStr"/>
      <c r="O20" s="25" t="inlineStr"/>
      <c r="P20" s="25" t="inlineStr"/>
      <c r="Q20" s="25" t="inlineStr"/>
      <c r="R20" s="25" t="inlineStr"/>
      <c r="S20" s="25" t="inlineStr"/>
      <c r="T20" s="25" t="inlineStr"/>
      <c r="U20" s="25" t="inlineStr"/>
      <c r="V20" s="25" t="inlineStr"/>
      <c r="W20" s="25" t="inlineStr"/>
      <c r="X20" s="25" t="inlineStr"/>
      <c r="Y20" s="25" t="inlineStr"/>
      <c r="Z20" s="25" t="inlineStr"/>
      <c r="AA20" s="25" t="inlineStr"/>
      <c r="AB20" s="25" t="inlineStr"/>
      <c r="AC20" s="22" t="n"/>
      <c r="AD20" s="22" t="n"/>
      <c r="AE20" s="26">
        <f>IF(AND(AC20="",AD20=""),"",ROUND(N(AC20)+N(AD20),3))</f>
        <v/>
      </c>
      <c r="AF20" s="26">
        <f>IF(OR(N(C20)=0,AE20=""),"",ROUND(C20-AE20,3))</f>
        <v/>
      </c>
      <c r="AG20" s="27">
        <f>IF(OR(N(C20)=0,AE20=""),"",AE20/C20)</f>
        <v/>
      </c>
      <c r="AH20" s="28">
        <f>IF(AND(A20="",B20=""),"",IF(AND(N(C20)&gt;0,N(AE20)&gt;=N(C20)),"완료",IF(N(V3)=0,"",IF(AND(N(G20)&gt;0,V3&gt;G20),"지연",IF(N(F21)&gt;0,"진행",IF(AND(N(F20)&gt;0,V3&gt;F20),"착수 지연",IF(N(F20)&gt;0,"예정","")))))))</f>
        <v/>
      </c>
      <c r="AI20" s="29" t="n"/>
    </row>
    <row r="21" ht="16" customHeight="1">
      <c r="A21" s="6" t="n"/>
      <c r="B21" s="6" t="n"/>
      <c r="C21" s="6" t="n"/>
      <c r="D21" s="6" t="n"/>
      <c r="E21" s="23" t="inlineStr">
        <is>
          <t>실적</t>
        </is>
      </c>
      <c r="F21" s="24" t="n"/>
      <c r="G21" s="24" t="n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6" t="n"/>
      <c r="AD21" s="6" t="n"/>
      <c r="AE21" s="6" t="n"/>
      <c r="AF21" s="6" t="n"/>
      <c r="AG21" s="6" t="n"/>
      <c r="AH21" s="6" t="n"/>
      <c r="AI21" s="6" t="n"/>
    </row>
    <row r="22" ht="16" customHeight="1">
      <c r="A22" s="20" t="n"/>
      <c r="B22" s="21" t="n"/>
      <c r="C22" s="22" t="n"/>
      <c r="D22" s="20" t="n"/>
      <c r="E22" s="23" t="inlineStr">
        <is>
          <t>계획</t>
        </is>
      </c>
      <c r="F22" s="24" t="n"/>
      <c r="G22" s="24" t="n"/>
      <c r="H22" s="25" t="inlineStr"/>
      <c r="I22" s="25" t="inlineStr"/>
      <c r="J22" s="25" t="inlineStr"/>
      <c r="K22" s="25" t="inlineStr"/>
      <c r="L22" s="25" t="inlineStr"/>
      <c r="M22" s="25" t="inlineStr"/>
      <c r="N22" s="25" t="inlineStr"/>
      <c r="O22" s="25" t="inlineStr"/>
      <c r="P22" s="25" t="inlineStr"/>
      <c r="Q22" s="25" t="inlineStr"/>
      <c r="R22" s="25" t="inlineStr"/>
      <c r="S22" s="25" t="inlineStr"/>
      <c r="T22" s="25" t="inlineStr"/>
      <c r="U22" s="25" t="inlineStr"/>
      <c r="V22" s="25" t="inlineStr"/>
      <c r="W22" s="25" t="inlineStr"/>
      <c r="X22" s="25" t="inlineStr"/>
      <c r="Y22" s="25" t="inlineStr"/>
      <c r="Z22" s="25" t="inlineStr"/>
      <c r="AA22" s="25" t="inlineStr"/>
      <c r="AB22" s="25" t="inlineStr"/>
      <c r="AC22" s="22" t="n"/>
      <c r="AD22" s="22" t="n"/>
      <c r="AE22" s="26">
        <f>IF(AND(AC22="",AD22=""),"",ROUND(N(AC22)+N(AD22),3))</f>
        <v/>
      </c>
      <c r="AF22" s="26">
        <f>IF(OR(N(C22)=0,AE22=""),"",ROUND(C22-AE22,3))</f>
        <v/>
      </c>
      <c r="AG22" s="27">
        <f>IF(OR(N(C22)=0,AE22=""),"",AE22/C22)</f>
        <v/>
      </c>
      <c r="AH22" s="28">
        <f>IF(AND(A22="",B22=""),"",IF(AND(N(C22)&gt;0,N(AE22)&gt;=N(C22)),"완료",IF(N(V3)=0,"",IF(AND(N(G22)&gt;0,V3&gt;G22),"지연",IF(N(F23)&gt;0,"진행",IF(AND(N(F22)&gt;0,V3&gt;F22),"착수 지연",IF(N(F22)&gt;0,"예정","")))))))</f>
        <v/>
      </c>
      <c r="AI22" s="29" t="n"/>
    </row>
    <row r="23" ht="16" customHeight="1">
      <c r="A23" s="6" t="n"/>
      <c r="B23" s="6" t="n"/>
      <c r="C23" s="6" t="n"/>
      <c r="D23" s="6" t="n"/>
      <c r="E23" s="23" t="inlineStr">
        <is>
          <t>실적</t>
        </is>
      </c>
      <c r="F23" s="24" t="n"/>
      <c r="G23" s="24" t="n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6" t="n"/>
      <c r="AD23" s="6" t="n"/>
      <c r="AE23" s="6" t="n"/>
      <c r="AF23" s="6" t="n"/>
      <c r="AG23" s="6" t="n"/>
      <c r="AH23" s="6" t="n"/>
      <c r="AI23" s="6" t="n"/>
    </row>
    <row r="24" ht="16" customHeight="1">
      <c r="A24" s="20" t="n"/>
      <c r="B24" s="21" t="n"/>
      <c r="C24" s="22" t="n"/>
      <c r="D24" s="20" t="n"/>
      <c r="E24" s="23" t="inlineStr">
        <is>
          <t>계획</t>
        </is>
      </c>
      <c r="F24" s="24" t="n"/>
      <c r="G24" s="24" t="n"/>
      <c r="H24" s="25" t="inlineStr"/>
      <c r="I24" s="25" t="inlineStr"/>
      <c r="J24" s="25" t="inlineStr"/>
      <c r="K24" s="25" t="inlineStr"/>
      <c r="L24" s="25" t="inlineStr"/>
      <c r="M24" s="25" t="inlineStr"/>
      <c r="N24" s="25" t="inlineStr"/>
      <c r="O24" s="25" t="inlineStr"/>
      <c r="P24" s="25" t="inlineStr"/>
      <c r="Q24" s="25" t="inlineStr"/>
      <c r="R24" s="25" t="inlineStr"/>
      <c r="S24" s="25" t="inlineStr"/>
      <c r="T24" s="25" t="inlineStr"/>
      <c r="U24" s="25" t="inlineStr"/>
      <c r="V24" s="25" t="inlineStr"/>
      <c r="W24" s="25" t="inlineStr"/>
      <c r="X24" s="25" t="inlineStr"/>
      <c r="Y24" s="25" t="inlineStr"/>
      <c r="Z24" s="25" t="inlineStr"/>
      <c r="AA24" s="25" t="inlineStr"/>
      <c r="AB24" s="25" t="inlineStr"/>
      <c r="AC24" s="22" t="n"/>
      <c r="AD24" s="22" t="n"/>
      <c r="AE24" s="26">
        <f>IF(AND(AC24="",AD24=""),"",ROUND(N(AC24)+N(AD24),3))</f>
        <v/>
      </c>
      <c r="AF24" s="26">
        <f>IF(OR(N(C24)=0,AE24=""),"",ROUND(C24-AE24,3))</f>
        <v/>
      </c>
      <c r="AG24" s="27">
        <f>IF(OR(N(C24)=0,AE24=""),"",AE24/C24)</f>
        <v/>
      </c>
      <c r="AH24" s="28">
        <f>IF(AND(A24="",B24=""),"",IF(AND(N(C24)&gt;0,N(AE24)&gt;=N(C24)),"완료",IF(N(V3)=0,"",IF(AND(N(G24)&gt;0,V3&gt;G24),"지연",IF(N(F25)&gt;0,"진행",IF(AND(N(F24)&gt;0,V3&gt;F24),"착수 지연",IF(N(F24)&gt;0,"예정","")))))))</f>
        <v/>
      </c>
      <c r="AI24" s="29" t="n"/>
    </row>
    <row r="25" ht="16" customHeight="1">
      <c r="A25" s="6" t="n"/>
      <c r="B25" s="6" t="n"/>
      <c r="C25" s="6" t="n"/>
      <c r="D25" s="6" t="n"/>
      <c r="E25" s="23" t="inlineStr">
        <is>
          <t>실적</t>
        </is>
      </c>
      <c r="F25" s="24" t="n"/>
      <c r="G25" s="24" t="n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6" t="n"/>
      <c r="AD25" s="6" t="n"/>
      <c r="AE25" s="6" t="n"/>
      <c r="AF25" s="6" t="n"/>
      <c r="AG25" s="6" t="n"/>
      <c r="AH25" s="6" t="n"/>
      <c r="AI25" s="6" t="n"/>
    </row>
    <row r="26" ht="16" customHeight="1">
      <c r="A26" s="20" t="n"/>
      <c r="B26" s="21" t="n"/>
      <c r="C26" s="22" t="n"/>
      <c r="D26" s="20" t="n"/>
      <c r="E26" s="23" t="inlineStr">
        <is>
          <t>계획</t>
        </is>
      </c>
      <c r="F26" s="24" t="n"/>
      <c r="G26" s="24" t="n"/>
      <c r="H26" s="25" t="inlineStr"/>
      <c r="I26" s="25" t="inlineStr"/>
      <c r="J26" s="25" t="inlineStr"/>
      <c r="K26" s="25" t="inlineStr"/>
      <c r="L26" s="25" t="inlineStr"/>
      <c r="M26" s="25" t="inlineStr"/>
      <c r="N26" s="25" t="inlineStr"/>
      <c r="O26" s="25" t="inlineStr"/>
      <c r="P26" s="25" t="inlineStr"/>
      <c r="Q26" s="25" t="inlineStr"/>
      <c r="R26" s="25" t="inlineStr"/>
      <c r="S26" s="25" t="inlineStr"/>
      <c r="T26" s="25" t="inlineStr"/>
      <c r="U26" s="25" t="inlineStr"/>
      <c r="V26" s="25" t="inlineStr"/>
      <c r="W26" s="25" t="inlineStr"/>
      <c r="X26" s="25" t="inlineStr"/>
      <c r="Y26" s="25" t="inlineStr"/>
      <c r="Z26" s="25" t="inlineStr"/>
      <c r="AA26" s="25" t="inlineStr"/>
      <c r="AB26" s="25" t="inlineStr"/>
      <c r="AC26" s="22" t="n"/>
      <c r="AD26" s="22" t="n"/>
      <c r="AE26" s="26">
        <f>IF(AND(AC26="",AD26=""),"",ROUND(N(AC26)+N(AD26),3))</f>
        <v/>
      </c>
      <c r="AF26" s="26">
        <f>IF(OR(N(C26)=0,AE26=""),"",ROUND(C26-AE26,3))</f>
        <v/>
      </c>
      <c r="AG26" s="27">
        <f>IF(OR(N(C26)=0,AE26=""),"",AE26/C26)</f>
        <v/>
      </c>
      <c r="AH26" s="28">
        <f>IF(AND(A26="",B26=""),"",IF(AND(N(C26)&gt;0,N(AE26)&gt;=N(C26)),"완료",IF(N(V3)=0,"",IF(AND(N(G26)&gt;0,V3&gt;G26),"지연",IF(N(F27)&gt;0,"진행",IF(AND(N(F26)&gt;0,V3&gt;F26),"착수 지연",IF(N(F26)&gt;0,"예정","")))))))</f>
        <v/>
      </c>
      <c r="AI26" s="29" t="n"/>
    </row>
    <row r="27" ht="16" customHeight="1">
      <c r="A27" s="6" t="n"/>
      <c r="B27" s="6" t="n"/>
      <c r="C27" s="6" t="n"/>
      <c r="D27" s="6" t="n"/>
      <c r="E27" s="23" t="inlineStr">
        <is>
          <t>실적</t>
        </is>
      </c>
      <c r="F27" s="24" t="n"/>
      <c r="G27" s="24" t="n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6" t="n"/>
      <c r="AD27" s="6" t="n"/>
      <c r="AE27" s="6" t="n"/>
      <c r="AF27" s="6" t="n"/>
      <c r="AG27" s="6" t="n"/>
      <c r="AH27" s="6" t="n"/>
      <c r="AI27" s="6" t="n"/>
    </row>
    <row r="28" ht="16" customHeight="1">
      <c r="A28" s="20" t="n"/>
      <c r="B28" s="21" t="n"/>
      <c r="C28" s="22" t="n"/>
      <c r="D28" s="20" t="n"/>
      <c r="E28" s="23" t="inlineStr">
        <is>
          <t>계획</t>
        </is>
      </c>
      <c r="F28" s="24" t="n"/>
      <c r="G28" s="24" t="n"/>
      <c r="H28" s="25" t="inlineStr"/>
      <c r="I28" s="25" t="inlineStr"/>
      <c r="J28" s="25" t="inlineStr"/>
      <c r="K28" s="25" t="inlineStr"/>
      <c r="L28" s="25" t="inlineStr"/>
      <c r="M28" s="25" t="inlineStr"/>
      <c r="N28" s="25" t="inlineStr"/>
      <c r="O28" s="25" t="inlineStr"/>
      <c r="P28" s="25" t="inlineStr"/>
      <c r="Q28" s="25" t="inlineStr"/>
      <c r="R28" s="25" t="inlineStr"/>
      <c r="S28" s="25" t="inlineStr"/>
      <c r="T28" s="25" t="inlineStr"/>
      <c r="U28" s="25" t="inlineStr"/>
      <c r="V28" s="25" t="inlineStr"/>
      <c r="W28" s="25" t="inlineStr"/>
      <c r="X28" s="25" t="inlineStr"/>
      <c r="Y28" s="25" t="inlineStr"/>
      <c r="Z28" s="25" t="inlineStr"/>
      <c r="AA28" s="25" t="inlineStr"/>
      <c r="AB28" s="25" t="inlineStr"/>
      <c r="AC28" s="22" t="n"/>
      <c r="AD28" s="22" t="n"/>
      <c r="AE28" s="26">
        <f>IF(AND(AC28="",AD28=""),"",ROUND(N(AC28)+N(AD28),3))</f>
        <v/>
      </c>
      <c r="AF28" s="26">
        <f>IF(OR(N(C28)=0,AE28=""),"",ROUND(C28-AE28,3))</f>
        <v/>
      </c>
      <c r="AG28" s="27">
        <f>IF(OR(N(C28)=0,AE28=""),"",AE28/C28)</f>
        <v/>
      </c>
      <c r="AH28" s="28">
        <f>IF(AND(A28="",B28=""),"",IF(AND(N(C28)&gt;0,N(AE28)&gt;=N(C28)),"완료",IF(N(V3)=0,"",IF(AND(N(G28)&gt;0,V3&gt;G28),"지연",IF(N(F29)&gt;0,"진행",IF(AND(N(F28)&gt;0,V3&gt;F28),"착수 지연",IF(N(F28)&gt;0,"예정","")))))))</f>
        <v/>
      </c>
      <c r="AI28" s="29" t="n"/>
    </row>
    <row r="29" ht="16" customHeight="1">
      <c r="A29" s="6" t="n"/>
      <c r="B29" s="6" t="n"/>
      <c r="C29" s="6" t="n"/>
      <c r="D29" s="6" t="n"/>
      <c r="E29" s="23" t="inlineStr">
        <is>
          <t>실적</t>
        </is>
      </c>
      <c r="F29" s="24" t="n"/>
      <c r="G29" s="24" t="n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6" t="n"/>
      <c r="AD29" s="6" t="n"/>
      <c r="AE29" s="6" t="n"/>
      <c r="AF29" s="6" t="n"/>
      <c r="AG29" s="6" t="n"/>
      <c r="AH29" s="6" t="n"/>
      <c r="AI29" s="6" t="n"/>
    </row>
    <row r="30" ht="16" customHeight="1">
      <c r="A30" s="20" t="n"/>
      <c r="B30" s="21" t="n"/>
      <c r="C30" s="22" t="n"/>
      <c r="D30" s="20" t="n"/>
      <c r="E30" s="23" t="inlineStr">
        <is>
          <t>계획</t>
        </is>
      </c>
      <c r="F30" s="24" t="n"/>
      <c r="G30" s="24" t="n"/>
      <c r="H30" s="25" t="inlineStr"/>
      <c r="I30" s="25" t="inlineStr"/>
      <c r="J30" s="25" t="inlineStr"/>
      <c r="K30" s="25" t="inlineStr"/>
      <c r="L30" s="25" t="inlineStr"/>
      <c r="M30" s="25" t="inlineStr"/>
      <c r="N30" s="25" t="inlineStr"/>
      <c r="O30" s="25" t="inlineStr"/>
      <c r="P30" s="25" t="inlineStr"/>
      <c r="Q30" s="25" t="inlineStr"/>
      <c r="R30" s="25" t="inlineStr"/>
      <c r="S30" s="25" t="inlineStr"/>
      <c r="T30" s="25" t="inlineStr"/>
      <c r="U30" s="25" t="inlineStr"/>
      <c r="V30" s="25" t="inlineStr"/>
      <c r="W30" s="25" t="inlineStr"/>
      <c r="X30" s="25" t="inlineStr"/>
      <c r="Y30" s="25" t="inlineStr"/>
      <c r="Z30" s="25" t="inlineStr"/>
      <c r="AA30" s="25" t="inlineStr"/>
      <c r="AB30" s="25" t="inlineStr"/>
      <c r="AC30" s="22" t="n"/>
      <c r="AD30" s="22" t="n"/>
      <c r="AE30" s="26">
        <f>IF(AND(AC30="",AD30=""),"",ROUND(N(AC30)+N(AD30),3))</f>
        <v/>
      </c>
      <c r="AF30" s="26">
        <f>IF(OR(N(C30)=0,AE30=""),"",ROUND(C30-AE30,3))</f>
        <v/>
      </c>
      <c r="AG30" s="27">
        <f>IF(OR(N(C30)=0,AE30=""),"",AE30/C30)</f>
        <v/>
      </c>
      <c r="AH30" s="28">
        <f>IF(AND(A30="",B30=""),"",IF(AND(N(C30)&gt;0,N(AE30)&gt;=N(C30)),"완료",IF(N(V3)=0,"",IF(AND(N(G30)&gt;0,V3&gt;G30),"지연",IF(N(F31)&gt;0,"진행",IF(AND(N(F30)&gt;0,V3&gt;F30),"착수 지연",IF(N(F30)&gt;0,"예정","")))))))</f>
        <v/>
      </c>
      <c r="AI30" s="29" t="n"/>
    </row>
    <row r="31" ht="16" customHeight="1">
      <c r="A31" s="6" t="n"/>
      <c r="B31" s="6" t="n"/>
      <c r="C31" s="6" t="n"/>
      <c r="D31" s="6" t="n"/>
      <c r="E31" s="23" t="inlineStr">
        <is>
          <t>실적</t>
        </is>
      </c>
      <c r="F31" s="24" t="n"/>
      <c r="G31" s="24" t="n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6" t="n"/>
      <c r="AD31" s="6" t="n"/>
      <c r="AE31" s="6" t="n"/>
      <c r="AF31" s="6" t="n"/>
      <c r="AG31" s="6" t="n"/>
      <c r="AH31" s="6" t="n"/>
      <c r="AI31" s="6" t="n"/>
    </row>
    <row r="32" ht="16" customHeight="1">
      <c r="A32" s="20" t="n"/>
      <c r="B32" s="21" t="n"/>
      <c r="C32" s="22" t="n"/>
      <c r="D32" s="20" t="n"/>
      <c r="E32" s="23" t="inlineStr">
        <is>
          <t>계획</t>
        </is>
      </c>
      <c r="F32" s="24" t="n"/>
      <c r="G32" s="24" t="n"/>
      <c r="H32" s="25" t="inlineStr"/>
      <c r="I32" s="25" t="inlineStr"/>
      <c r="J32" s="25" t="inlineStr"/>
      <c r="K32" s="25" t="inlineStr"/>
      <c r="L32" s="25" t="inlineStr"/>
      <c r="M32" s="25" t="inlineStr"/>
      <c r="N32" s="25" t="inlineStr"/>
      <c r="O32" s="25" t="inlineStr"/>
      <c r="P32" s="25" t="inlineStr"/>
      <c r="Q32" s="25" t="inlineStr"/>
      <c r="R32" s="25" t="inlineStr"/>
      <c r="S32" s="25" t="inlineStr"/>
      <c r="T32" s="25" t="inlineStr"/>
      <c r="U32" s="25" t="inlineStr"/>
      <c r="V32" s="25" t="inlineStr"/>
      <c r="W32" s="25" t="inlineStr"/>
      <c r="X32" s="25" t="inlineStr"/>
      <c r="Y32" s="25" t="inlineStr"/>
      <c r="Z32" s="25" t="inlineStr"/>
      <c r="AA32" s="25" t="inlineStr"/>
      <c r="AB32" s="25" t="inlineStr"/>
      <c r="AC32" s="22" t="n"/>
      <c r="AD32" s="22" t="n"/>
      <c r="AE32" s="26">
        <f>IF(AND(AC32="",AD32=""),"",ROUND(N(AC32)+N(AD32),3))</f>
        <v/>
      </c>
      <c r="AF32" s="26">
        <f>IF(OR(N(C32)=0,AE32=""),"",ROUND(C32-AE32,3))</f>
        <v/>
      </c>
      <c r="AG32" s="27">
        <f>IF(OR(N(C32)=0,AE32=""),"",AE32/C32)</f>
        <v/>
      </c>
      <c r="AH32" s="28">
        <f>IF(AND(A32="",B32=""),"",IF(AND(N(C32)&gt;0,N(AE32)&gt;=N(C32)),"완료",IF(N(V3)=0,"",IF(AND(N(G32)&gt;0,V3&gt;G32),"지연",IF(N(F33)&gt;0,"진행",IF(AND(N(F32)&gt;0,V3&gt;F32),"착수 지연",IF(N(F32)&gt;0,"예정","")))))))</f>
        <v/>
      </c>
      <c r="AI32" s="29" t="n"/>
    </row>
    <row r="33" ht="16" customHeight="1">
      <c r="A33" s="6" t="n"/>
      <c r="B33" s="6" t="n"/>
      <c r="C33" s="6" t="n"/>
      <c r="D33" s="6" t="n"/>
      <c r="E33" s="23" t="inlineStr">
        <is>
          <t>실적</t>
        </is>
      </c>
      <c r="F33" s="24" t="n"/>
      <c r="G33" s="24" t="n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6" t="n"/>
      <c r="AD33" s="6" t="n"/>
      <c r="AE33" s="6" t="n"/>
      <c r="AF33" s="6" t="n"/>
      <c r="AG33" s="6" t="n"/>
      <c r="AH33" s="6" t="n"/>
      <c r="AI33" s="6" t="n"/>
    </row>
    <row r="34" ht="16" customHeight="1">
      <c r="A34" s="20" t="n"/>
      <c r="B34" s="21" t="n"/>
      <c r="C34" s="22" t="n"/>
      <c r="D34" s="20" t="n"/>
      <c r="E34" s="23" t="inlineStr">
        <is>
          <t>계획</t>
        </is>
      </c>
      <c r="F34" s="24" t="n"/>
      <c r="G34" s="24" t="n"/>
      <c r="H34" s="25" t="inlineStr"/>
      <c r="I34" s="25" t="inlineStr"/>
      <c r="J34" s="25" t="inlineStr"/>
      <c r="K34" s="25" t="inlineStr"/>
      <c r="L34" s="25" t="inlineStr"/>
      <c r="M34" s="25" t="inlineStr"/>
      <c r="N34" s="25" t="inlineStr"/>
      <c r="O34" s="25" t="inlineStr"/>
      <c r="P34" s="25" t="inlineStr"/>
      <c r="Q34" s="25" t="inlineStr"/>
      <c r="R34" s="25" t="inlineStr"/>
      <c r="S34" s="25" t="inlineStr"/>
      <c r="T34" s="25" t="inlineStr"/>
      <c r="U34" s="25" t="inlineStr"/>
      <c r="V34" s="25" t="inlineStr"/>
      <c r="W34" s="25" t="inlineStr"/>
      <c r="X34" s="25" t="inlineStr"/>
      <c r="Y34" s="25" t="inlineStr"/>
      <c r="Z34" s="25" t="inlineStr"/>
      <c r="AA34" s="25" t="inlineStr"/>
      <c r="AB34" s="25" t="inlineStr"/>
      <c r="AC34" s="22" t="n"/>
      <c r="AD34" s="22" t="n"/>
      <c r="AE34" s="26">
        <f>IF(AND(AC34="",AD34=""),"",ROUND(N(AC34)+N(AD34),3))</f>
        <v/>
      </c>
      <c r="AF34" s="26">
        <f>IF(OR(N(C34)=0,AE34=""),"",ROUND(C34-AE34,3))</f>
        <v/>
      </c>
      <c r="AG34" s="27">
        <f>IF(OR(N(C34)=0,AE34=""),"",AE34/C34)</f>
        <v/>
      </c>
      <c r="AH34" s="28">
        <f>IF(AND(A34="",B34=""),"",IF(AND(N(C34)&gt;0,N(AE34)&gt;=N(C34)),"완료",IF(N(V3)=0,"",IF(AND(N(G34)&gt;0,V3&gt;G34),"지연",IF(N(F35)&gt;0,"진행",IF(AND(N(F34)&gt;0,V3&gt;F34),"착수 지연",IF(N(F34)&gt;0,"예정","")))))))</f>
        <v/>
      </c>
      <c r="AI34" s="29" t="n"/>
    </row>
    <row r="35" ht="16" customHeight="1">
      <c r="A35" s="6" t="n"/>
      <c r="B35" s="6" t="n"/>
      <c r="C35" s="6" t="n"/>
      <c r="D35" s="6" t="n"/>
      <c r="E35" s="23" t="inlineStr">
        <is>
          <t>실적</t>
        </is>
      </c>
      <c r="F35" s="24" t="n"/>
      <c r="G35" s="24" t="n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6" t="n"/>
      <c r="AD35" s="6" t="n"/>
      <c r="AE35" s="6" t="n"/>
      <c r="AF35" s="6" t="n"/>
      <c r="AG35" s="6" t="n"/>
      <c r="AH35" s="6" t="n"/>
      <c r="AI35" s="6" t="n"/>
    </row>
    <row r="36" ht="16" customHeight="1">
      <c r="A36" s="20" t="n"/>
      <c r="B36" s="21" t="n"/>
      <c r="C36" s="22" t="n"/>
      <c r="D36" s="20" t="n"/>
      <c r="E36" s="23" t="inlineStr">
        <is>
          <t>계획</t>
        </is>
      </c>
      <c r="F36" s="24" t="n"/>
      <c r="G36" s="24" t="n"/>
      <c r="H36" s="25" t="inlineStr"/>
      <c r="I36" s="25" t="inlineStr"/>
      <c r="J36" s="25" t="inlineStr"/>
      <c r="K36" s="25" t="inlineStr"/>
      <c r="L36" s="25" t="inlineStr"/>
      <c r="M36" s="25" t="inlineStr"/>
      <c r="N36" s="25" t="inlineStr"/>
      <c r="O36" s="25" t="inlineStr"/>
      <c r="P36" s="25" t="inlineStr"/>
      <c r="Q36" s="25" t="inlineStr"/>
      <c r="R36" s="25" t="inlineStr"/>
      <c r="S36" s="25" t="inlineStr"/>
      <c r="T36" s="25" t="inlineStr"/>
      <c r="U36" s="25" t="inlineStr"/>
      <c r="V36" s="25" t="inlineStr"/>
      <c r="W36" s="25" t="inlineStr"/>
      <c r="X36" s="25" t="inlineStr"/>
      <c r="Y36" s="25" t="inlineStr"/>
      <c r="Z36" s="25" t="inlineStr"/>
      <c r="AA36" s="25" t="inlineStr"/>
      <c r="AB36" s="25" t="inlineStr"/>
      <c r="AC36" s="22" t="n"/>
      <c r="AD36" s="22" t="n"/>
      <c r="AE36" s="26">
        <f>IF(AND(AC36="",AD36=""),"",ROUND(N(AC36)+N(AD36),3))</f>
        <v/>
      </c>
      <c r="AF36" s="26">
        <f>IF(OR(N(C36)=0,AE36=""),"",ROUND(C36-AE36,3))</f>
        <v/>
      </c>
      <c r="AG36" s="27">
        <f>IF(OR(N(C36)=0,AE36=""),"",AE36/C36)</f>
        <v/>
      </c>
      <c r="AH36" s="28">
        <f>IF(AND(A36="",B36=""),"",IF(AND(N(C36)&gt;0,N(AE36)&gt;=N(C36)),"완료",IF(N(V3)=0,"",IF(AND(N(G36)&gt;0,V3&gt;G36),"지연",IF(N(F37)&gt;0,"진행",IF(AND(N(F36)&gt;0,V3&gt;F36),"착수 지연",IF(N(F36)&gt;0,"예정","")))))))</f>
        <v/>
      </c>
      <c r="AI36" s="29" t="n"/>
    </row>
    <row r="37" ht="16" customHeight="1">
      <c r="A37" s="6" t="n"/>
      <c r="B37" s="6" t="n"/>
      <c r="C37" s="6" t="n"/>
      <c r="D37" s="6" t="n"/>
      <c r="E37" s="23" t="inlineStr">
        <is>
          <t>실적</t>
        </is>
      </c>
      <c r="F37" s="24" t="n"/>
      <c r="G37" s="24" t="n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6" t="n"/>
      <c r="AD37" s="6" t="n"/>
      <c r="AE37" s="6" t="n"/>
      <c r="AF37" s="6" t="n"/>
      <c r="AG37" s="6" t="n"/>
      <c r="AH37" s="6" t="n"/>
      <c r="AI37" s="6" t="n"/>
    </row>
    <row r="38" ht="16" customHeight="1">
      <c r="A38" s="20" t="n"/>
      <c r="B38" s="21" t="n"/>
      <c r="C38" s="22" t="n"/>
      <c r="D38" s="20" t="n"/>
      <c r="E38" s="23" t="inlineStr">
        <is>
          <t>계획</t>
        </is>
      </c>
      <c r="F38" s="24" t="n"/>
      <c r="G38" s="24" t="n"/>
      <c r="H38" s="25" t="inlineStr"/>
      <c r="I38" s="25" t="inlineStr"/>
      <c r="J38" s="25" t="inlineStr"/>
      <c r="K38" s="25" t="inlineStr"/>
      <c r="L38" s="25" t="inlineStr"/>
      <c r="M38" s="25" t="inlineStr"/>
      <c r="N38" s="25" t="inlineStr"/>
      <c r="O38" s="25" t="inlineStr"/>
      <c r="P38" s="25" t="inlineStr"/>
      <c r="Q38" s="25" t="inlineStr"/>
      <c r="R38" s="25" t="inlineStr"/>
      <c r="S38" s="25" t="inlineStr"/>
      <c r="T38" s="25" t="inlineStr"/>
      <c r="U38" s="25" t="inlineStr"/>
      <c r="V38" s="25" t="inlineStr"/>
      <c r="W38" s="25" t="inlineStr"/>
      <c r="X38" s="25" t="inlineStr"/>
      <c r="Y38" s="25" t="inlineStr"/>
      <c r="Z38" s="25" t="inlineStr"/>
      <c r="AA38" s="25" t="inlineStr"/>
      <c r="AB38" s="25" t="inlineStr"/>
      <c r="AC38" s="22" t="n"/>
      <c r="AD38" s="22" t="n"/>
      <c r="AE38" s="26">
        <f>IF(AND(AC38="",AD38=""),"",ROUND(N(AC38)+N(AD38),3))</f>
        <v/>
      </c>
      <c r="AF38" s="26">
        <f>IF(OR(N(C38)=0,AE38=""),"",ROUND(C38-AE38,3))</f>
        <v/>
      </c>
      <c r="AG38" s="27">
        <f>IF(OR(N(C38)=0,AE38=""),"",AE38/C38)</f>
        <v/>
      </c>
      <c r="AH38" s="28">
        <f>IF(AND(A38="",B38=""),"",IF(AND(N(C38)&gt;0,N(AE38)&gt;=N(C38)),"완료",IF(N(V3)=0,"",IF(AND(N(G38)&gt;0,V3&gt;G38),"지연",IF(N(F39)&gt;0,"진행",IF(AND(N(F38)&gt;0,V3&gt;F38),"착수 지연",IF(N(F38)&gt;0,"예정","")))))))</f>
        <v/>
      </c>
      <c r="AI38" s="29" t="n"/>
    </row>
    <row r="39" ht="16" customHeight="1">
      <c r="A39" s="6" t="n"/>
      <c r="B39" s="6" t="n"/>
      <c r="C39" s="6" t="n"/>
      <c r="D39" s="6" t="n"/>
      <c r="E39" s="23" t="inlineStr">
        <is>
          <t>실적</t>
        </is>
      </c>
      <c r="F39" s="24" t="n"/>
      <c r="G39" s="24" t="n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6" t="n"/>
      <c r="AD39" s="6" t="n"/>
      <c r="AE39" s="6" t="n"/>
      <c r="AF39" s="6" t="n"/>
      <c r="AG39" s="6" t="n"/>
      <c r="AH39" s="6" t="n"/>
      <c r="AI39" s="6" t="n"/>
    </row>
    <row r="41" ht="19.5" customHeight="1">
      <c r="A41" s="30" t="inlineStr">
        <is>
          <t>기준일을 적으면 전주 월요일부터 3주(21일) 날짜가 붙고, 기준일 칸이 노랗게 표시됩니다. 주가 월요일에 시작하지 않으면 «금주 시작» 칸에 날짜를 직접 적으세요.</t>
        </is>
      </c>
    </row>
    <row r="42" ht="19.5" customHeight="1">
      <c r="A42" s="30" t="inlineStr">
        <is>
          <t>공종마다 계획·실적의 시작/끝(월/일)을 적으면 날짜 칸이 칠해집니다 — 계획 파랑 · 실적 노랑(실적 끝을 비우면 기준일까지 칠함).</t>
        </is>
      </c>
    </row>
    <row r="43" ht="34" customHeight="1">
      <c r="A43" s="30" t="inlineStr">
        <is>
          <t>수량: 누계 = 전주까지 + 금주 · 잔여량 = 수량 − 누계 · 진척률 = 누계 ÷ 수량. 상태: 누계가 수량에 닿으면 완료 · 계획 끝이 지났는데 남았으면 지연 · 계획 시작이 지났는데 실적 시작이 없으면 착수 지연.</t>
        </is>
      </c>
    </row>
  </sheetData>
  <mergeCells count="208">
    <mergeCell ref="R3:U3"/>
    <mergeCell ref="AD20:AD21"/>
    <mergeCell ref="C30:C31"/>
    <mergeCell ref="AD14:AD15"/>
    <mergeCell ref="AF36:AF37"/>
    <mergeCell ref="AC5:AE5"/>
    <mergeCell ref="D5:D7"/>
    <mergeCell ref="B12:B13"/>
    <mergeCell ref="A16:A17"/>
    <mergeCell ref="C10:C11"/>
    <mergeCell ref="Z3:AB3"/>
    <mergeCell ref="C16:C17"/>
    <mergeCell ref="AH20:AH21"/>
    <mergeCell ref="AC24:AC25"/>
    <mergeCell ref="D36:D37"/>
    <mergeCell ref="B14:B15"/>
    <mergeCell ref="B5:B7"/>
    <mergeCell ref="AD28:AD29"/>
    <mergeCell ref="AD6:AD7"/>
    <mergeCell ref="D32:D33"/>
    <mergeCell ref="AE8:AE9"/>
    <mergeCell ref="AF14:AF15"/>
    <mergeCell ref="AH34:AH35"/>
    <mergeCell ref="AC38:AC39"/>
    <mergeCell ref="D16:D17"/>
    <mergeCell ref="AF12:AF13"/>
    <mergeCell ref="AE38:AE39"/>
    <mergeCell ref="AC10:AC11"/>
    <mergeCell ref="B28:B29"/>
    <mergeCell ref="AG32:AG33"/>
    <mergeCell ref="AE10:AE11"/>
    <mergeCell ref="AI26:AI27"/>
    <mergeCell ref="AC26:AC27"/>
    <mergeCell ref="AD32:AD33"/>
    <mergeCell ref="A22:A23"/>
    <mergeCell ref="D18:D19"/>
    <mergeCell ref="AH30:AH31"/>
    <mergeCell ref="AF32:AF33"/>
    <mergeCell ref="N3:Q3"/>
    <mergeCell ref="D8:D9"/>
    <mergeCell ref="AG12:AG13"/>
    <mergeCell ref="A20:A21"/>
    <mergeCell ref="AI12:AI13"/>
    <mergeCell ref="AE24:AE25"/>
    <mergeCell ref="AH5:AH7"/>
    <mergeCell ref="AG18:AG19"/>
    <mergeCell ref="AE20:AE21"/>
    <mergeCell ref="AG20:AG21"/>
    <mergeCell ref="D10:D11"/>
    <mergeCell ref="AG14:AG15"/>
    <mergeCell ref="AD24:AD25"/>
    <mergeCell ref="AI14:AI15"/>
    <mergeCell ref="AD18:AD19"/>
    <mergeCell ref="D38:D39"/>
    <mergeCell ref="AD8:AD9"/>
    <mergeCell ref="AH32:AH33"/>
    <mergeCell ref="D34:D35"/>
    <mergeCell ref="AE36:AE37"/>
    <mergeCell ref="B26:B27"/>
    <mergeCell ref="C14:C15"/>
    <mergeCell ref="AH24:AH25"/>
    <mergeCell ref="A43:AI43"/>
    <mergeCell ref="AD10:AD11"/>
    <mergeCell ref="AH8:AH9"/>
    <mergeCell ref="AF10:AF11"/>
    <mergeCell ref="AF24:AF25"/>
    <mergeCell ref="A5:A7"/>
    <mergeCell ref="AC28:AC29"/>
    <mergeCell ref="AE22:AE23"/>
    <mergeCell ref="AF16:AF17"/>
    <mergeCell ref="AH10:AH11"/>
    <mergeCell ref="H5:N5"/>
    <mergeCell ref="AC30:AC31"/>
    <mergeCell ref="AI32:AI33"/>
    <mergeCell ref="A26:A27"/>
    <mergeCell ref="F5:G5"/>
    <mergeCell ref="AC14:AC15"/>
    <mergeCell ref="D12:D13"/>
    <mergeCell ref="AG16:AG17"/>
    <mergeCell ref="AI16:AI17"/>
    <mergeCell ref="AD36:AD37"/>
    <mergeCell ref="A8:A9"/>
    <mergeCell ref="AD30:AD31"/>
    <mergeCell ref="C8:C9"/>
    <mergeCell ref="AF30:AF31"/>
    <mergeCell ref="AI18:AI19"/>
    <mergeCell ref="AG8:AG9"/>
    <mergeCell ref="C32:C33"/>
    <mergeCell ref="AI8:AI9"/>
    <mergeCell ref="O5:U5"/>
    <mergeCell ref="A10:A11"/>
    <mergeCell ref="AH36:AH37"/>
    <mergeCell ref="B30:B31"/>
    <mergeCell ref="AD22:AD23"/>
    <mergeCell ref="D30:D31"/>
    <mergeCell ref="B32:B33"/>
    <mergeCell ref="D26:D27"/>
    <mergeCell ref="C34:C35"/>
    <mergeCell ref="A1:R1"/>
    <mergeCell ref="B16:B17"/>
    <mergeCell ref="AF28:AF29"/>
    <mergeCell ref="AH22:AH23"/>
    <mergeCell ref="C18:C19"/>
    <mergeCell ref="AH28:AH29"/>
    <mergeCell ref="AE26:AE27"/>
    <mergeCell ref="AC32:AC33"/>
    <mergeCell ref="AI34:AI35"/>
    <mergeCell ref="AG26:AG27"/>
    <mergeCell ref="AC16:AC17"/>
    <mergeCell ref="C3:M3"/>
    <mergeCell ref="AG22:AG23"/>
    <mergeCell ref="B18:B19"/>
    <mergeCell ref="C20:C21"/>
    <mergeCell ref="AC12:AC13"/>
    <mergeCell ref="AG34:AG35"/>
    <mergeCell ref="B8:B9"/>
    <mergeCell ref="AE12:AE13"/>
    <mergeCell ref="A36:A37"/>
    <mergeCell ref="AI28:AI29"/>
    <mergeCell ref="AD38:AD39"/>
    <mergeCell ref="AH14:AH15"/>
    <mergeCell ref="AC18:AC19"/>
    <mergeCell ref="AE18:AE19"/>
    <mergeCell ref="AD34:AD35"/>
    <mergeCell ref="C22:C23"/>
    <mergeCell ref="AC20:AC21"/>
    <mergeCell ref="AG36:AG37"/>
    <mergeCell ref="AE14:AE15"/>
    <mergeCell ref="AI36:AI37"/>
    <mergeCell ref="A12:A13"/>
    <mergeCell ref="AI30:AI31"/>
    <mergeCell ref="AH38:AH39"/>
    <mergeCell ref="C12:C13"/>
    <mergeCell ref="AI22:AI23"/>
    <mergeCell ref="G6:G7"/>
    <mergeCell ref="AG5:AG7"/>
    <mergeCell ref="B34:B35"/>
    <mergeCell ref="AI5:AI7"/>
    <mergeCell ref="C36:C37"/>
    <mergeCell ref="A3:B3"/>
    <mergeCell ref="D28:D29"/>
    <mergeCell ref="A14:A15"/>
    <mergeCell ref="AF20:AF21"/>
    <mergeCell ref="V5:AB5"/>
    <mergeCell ref="A41:AI41"/>
    <mergeCell ref="AD26:AD27"/>
    <mergeCell ref="B36:B37"/>
    <mergeCell ref="AF22:AF23"/>
    <mergeCell ref="B20:B21"/>
    <mergeCell ref="D20:D21"/>
    <mergeCell ref="AG24:AG25"/>
    <mergeCell ref="D14:D15"/>
    <mergeCell ref="AD12:AD13"/>
    <mergeCell ref="AH26:AH27"/>
    <mergeCell ref="A2:AI2"/>
    <mergeCell ref="A38:A39"/>
    <mergeCell ref="A42:AI42"/>
    <mergeCell ref="AE32:AE33"/>
    <mergeCell ref="C38:C39"/>
    <mergeCell ref="AH16:AH17"/>
    <mergeCell ref="B22:B23"/>
    <mergeCell ref="AH12:AH13"/>
    <mergeCell ref="AG38:AG39"/>
    <mergeCell ref="AE16:AE17"/>
    <mergeCell ref="AI38:AI39"/>
    <mergeCell ref="AG10:AG11"/>
    <mergeCell ref="AF18:AF19"/>
    <mergeCell ref="AI10:AI11"/>
    <mergeCell ref="F6:F7"/>
    <mergeCell ref="AH18:AH19"/>
    <mergeCell ref="AF5:AF7"/>
    <mergeCell ref="A24:A25"/>
    <mergeCell ref="AF34:AF35"/>
    <mergeCell ref="AC8:AC9"/>
    <mergeCell ref="AI24:AI25"/>
    <mergeCell ref="B38:B39"/>
    <mergeCell ref="C26:C27"/>
    <mergeCell ref="AI20:AI21"/>
    <mergeCell ref="V3:Y3"/>
    <mergeCell ref="B10:B11"/>
    <mergeCell ref="AF26:AF27"/>
    <mergeCell ref="A18:A19"/>
    <mergeCell ref="B24:B25"/>
    <mergeCell ref="D24:D25"/>
    <mergeCell ref="AD16:AD17"/>
    <mergeCell ref="A32:A33"/>
    <mergeCell ref="AC22:AC23"/>
    <mergeCell ref="AC34:AC35"/>
    <mergeCell ref="AF8:AF9"/>
    <mergeCell ref="AE34:AE35"/>
    <mergeCell ref="AC6:AC7"/>
    <mergeCell ref="C5:C7"/>
    <mergeCell ref="AE28:AE29"/>
    <mergeCell ref="AE6:AE7"/>
    <mergeCell ref="E5:E7"/>
    <mergeCell ref="AG28:AG29"/>
    <mergeCell ref="AC36:AC37"/>
    <mergeCell ref="AE30:AE31"/>
    <mergeCell ref="A34:A35"/>
    <mergeCell ref="A28:A29"/>
    <mergeCell ref="AG30:AG31"/>
    <mergeCell ref="AF38:AF39"/>
    <mergeCell ref="C28:C29"/>
    <mergeCell ref="AC3:AE3"/>
    <mergeCell ref="C24:C25"/>
    <mergeCell ref="S1:AI1"/>
    <mergeCell ref="A30:A31"/>
    <mergeCell ref="D22:D23"/>
  </mergeCells>
  <conditionalFormatting sqref="H8:AB39">
    <cfRule type="expression" priority="1" dxfId="0">
      <formula>AND($E8="계획",ISNUMBER(H$6),N($F8)&gt;0,H$6&gt;=$F8,H$6&lt;=IF(N($G8)=0,$F8,$G8))</formula>
    </cfRule>
    <cfRule type="expression" priority="2" dxfId="1">
      <formula>AND($E8="실적",ISNUMBER(H$6),N($F8)&gt;0,H$6&gt;=$F8,H$6&lt;=IF(N($G8)=0,IF(N($V$3)=0,$F8,MAX($F8,$V$3)),$G8))</formula>
    </cfRule>
  </conditionalFormatting>
  <conditionalFormatting sqref="H6:AB6">
    <cfRule type="expression" priority="3" dxfId="2">
      <formula>AND(ISNUMBER(H6),H6=$V$3)</formula>
    </cfRule>
  </conditionalFormatting>
  <conditionalFormatting sqref="AH8:AH38">
    <cfRule type="expression" priority="4" dxfId="3">
      <formula>OR(AH8="지연",AH8="착수 지연")</formula>
    </cfRule>
    <cfRule type="expression" priority="5" dxfId="4">
      <formula>AH8="완료"</formula>
    </cfRule>
  </conditionalFormatting>
  <conditionalFormatting sqref="C8">
    <cfRule type="expression" priority="6" dxfId="5">
      <formula>AND(ISNUMBER(C8),MOD(C8,1)=0)</formula>
    </cfRule>
  </conditionalFormatting>
  <conditionalFormatting sqref="C10">
    <cfRule type="expression" priority="7" dxfId="5">
      <formula>AND(ISNUMBER(C10),MOD(C10,1)=0)</formula>
    </cfRule>
  </conditionalFormatting>
  <conditionalFormatting sqref="C12">
    <cfRule type="expression" priority="8" dxfId="5">
      <formula>AND(ISNUMBER(C12),MOD(C12,1)=0)</formula>
    </cfRule>
  </conditionalFormatting>
  <conditionalFormatting sqref="C14">
    <cfRule type="expression" priority="9" dxfId="5">
      <formula>AND(ISNUMBER(C14),MOD(C14,1)=0)</formula>
    </cfRule>
  </conditionalFormatting>
  <conditionalFormatting sqref="C16">
    <cfRule type="expression" priority="10" dxfId="5">
      <formula>AND(ISNUMBER(C16),MOD(C16,1)=0)</formula>
    </cfRule>
  </conditionalFormatting>
  <conditionalFormatting sqref="C18">
    <cfRule type="expression" priority="11" dxfId="5">
      <formula>AND(ISNUMBER(C18),MOD(C18,1)=0)</formula>
    </cfRule>
  </conditionalFormatting>
  <conditionalFormatting sqref="C20">
    <cfRule type="expression" priority="12" dxfId="5">
      <formula>AND(ISNUMBER(C20),MOD(C20,1)=0)</formula>
    </cfRule>
  </conditionalFormatting>
  <conditionalFormatting sqref="C22">
    <cfRule type="expression" priority="13" dxfId="5">
      <formula>AND(ISNUMBER(C22),MOD(C22,1)=0)</formula>
    </cfRule>
  </conditionalFormatting>
  <conditionalFormatting sqref="C24">
    <cfRule type="expression" priority="14" dxfId="5">
      <formula>AND(ISNUMBER(C24),MOD(C24,1)=0)</formula>
    </cfRule>
  </conditionalFormatting>
  <conditionalFormatting sqref="C26">
    <cfRule type="expression" priority="15" dxfId="5">
      <formula>AND(ISNUMBER(C26),MOD(C26,1)=0)</formula>
    </cfRule>
  </conditionalFormatting>
  <conditionalFormatting sqref="C28">
    <cfRule type="expression" priority="16" dxfId="5">
      <formula>AND(ISNUMBER(C28),MOD(C28,1)=0)</formula>
    </cfRule>
  </conditionalFormatting>
  <conditionalFormatting sqref="C30">
    <cfRule type="expression" priority="17" dxfId="5">
      <formula>AND(ISNUMBER(C30),MOD(C30,1)=0)</formula>
    </cfRule>
  </conditionalFormatting>
  <conditionalFormatting sqref="C32">
    <cfRule type="expression" priority="18" dxfId="5">
      <formula>AND(ISNUMBER(C32),MOD(C32,1)=0)</formula>
    </cfRule>
  </conditionalFormatting>
  <conditionalFormatting sqref="C34">
    <cfRule type="expression" priority="19" dxfId="5">
      <formula>AND(ISNUMBER(C34),MOD(C34,1)=0)</formula>
    </cfRule>
  </conditionalFormatting>
  <conditionalFormatting sqref="C36">
    <cfRule type="expression" priority="20" dxfId="5">
      <formula>AND(ISNUMBER(C36),MOD(C36,1)=0)</formula>
    </cfRule>
  </conditionalFormatting>
  <conditionalFormatting sqref="C38">
    <cfRule type="expression" priority="21" dxfId="5">
      <formula>AND(ISNUMBER(C38),MOD(C38,1)=0)</formula>
    </cfRule>
  </conditionalFormatting>
  <conditionalFormatting sqref="AC8">
    <cfRule type="expression" priority="22" dxfId="5">
      <formula>AND(ISNUMBER(AC8),MOD(AC8,1)=0)</formula>
    </cfRule>
  </conditionalFormatting>
  <conditionalFormatting sqref="AC10">
    <cfRule type="expression" priority="23" dxfId="5">
      <formula>AND(ISNUMBER(AC10),MOD(AC10,1)=0)</formula>
    </cfRule>
  </conditionalFormatting>
  <conditionalFormatting sqref="AC12">
    <cfRule type="expression" priority="24" dxfId="5">
      <formula>AND(ISNUMBER(AC12),MOD(AC12,1)=0)</formula>
    </cfRule>
  </conditionalFormatting>
  <conditionalFormatting sqref="AC14">
    <cfRule type="expression" priority="25" dxfId="5">
      <formula>AND(ISNUMBER(AC14),MOD(AC14,1)=0)</formula>
    </cfRule>
  </conditionalFormatting>
  <conditionalFormatting sqref="AC16">
    <cfRule type="expression" priority="26" dxfId="5">
      <formula>AND(ISNUMBER(AC16),MOD(AC16,1)=0)</formula>
    </cfRule>
  </conditionalFormatting>
  <conditionalFormatting sqref="AC18">
    <cfRule type="expression" priority="27" dxfId="5">
      <formula>AND(ISNUMBER(AC18),MOD(AC18,1)=0)</formula>
    </cfRule>
  </conditionalFormatting>
  <conditionalFormatting sqref="AC20">
    <cfRule type="expression" priority="28" dxfId="5">
      <formula>AND(ISNUMBER(AC20),MOD(AC20,1)=0)</formula>
    </cfRule>
  </conditionalFormatting>
  <conditionalFormatting sqref="AC22">
    <cfRule type="expression" priority="29" dxfId="5">
      <formula>AND(ISNUMBER(AC22),MOD(AC22,1)=0)</formula>
    </cfRule>
  </conditionalFormatting>
  <conditionalFormatting sqref="AC24">
    <cfRule type="expression" priority="30" dxfId="5">
      <formula>AND(ISNUMBER(AC24),MOD(AC24,1)=0)</formula>
    </cfRule>
  </conditionalFormatting>
  <conditionalFormatting sqref="AC26">
    <cfRule type="expression" priority="31" dxfId="5">
      <formula>AND(ISNUMBER(AC26),MOD(AC26,1)=0)</formula>
    </cfRule>
  </conditionalFormatting>
  <conditionalFormatting sqref="AC28">
    <cfRule type="expression" priority="32" dxfId="5">
      <formula>AND(ISNUMBER(AC28),MOD(AC28,1)=0)</formula>
    </cfRule>
  </conditionalFormatting>
  <conditionalFormatting sqref="AC30">
    <cfRule type="expression" priority="33" dxfId="5">
      <formula>AND(ISNUMBER(AC30),MOD(AC30,1)=0)</formula>
    </cfRule>
  </conditionalFormatting>
  <conditionalFormatting sqref="AC32">
    <cfRule type="expression" priority="34" dxfId="5">
      <formula>AND(ISNUMBER(AC32),MOD(AC32,1)=0)</formula>
    </cfRule>
  </conditionalFormatting>
  <conditionalFormatting sqref="AC34">
    <cfRule type="expression" priority="35" dxfId="5">
      <formula>AND(ISNUMBER(AC34),MOD(AC34,1)=0)</formula>
    </cfRule>
  </conditionalFormatting>
  <conditionalFormatting sqref="AC36">
    <cfRule type="expression" priority="36" dxfId="5">
      <formula>AND(ISNUMBER(AC36),MOD(AC36,1)=0)</formula>
    </cfRule>
  </conditionalFormatting>
  <conditionalFormatting sqref="AC38">
    <cfRule type="expression" priority="37" dxfId="5">
      <formula>AND(ISNUMBER(AC38),MOD(AC38,1)=0)</formula>
    </cfRule>
  </conditionalFormatting>
  <conditionalFormatting sqref="AD8">
    <cfRule type="expression" priority="38" dxfId="5">
      <formula>AND(ISNUMBER(AD8),MOD(AD8,1)=0)</formula>
    </cfRule>
  </conditionalFormatting>
  <conditionalFormatting sqref="AD10">
    <cfRule type="expression" priority="39" dxfId="5">
      <formula>AND(ISNUMBER(AD10),MOD(AD10,1)=0)</formula>
    </cfRule>
  </conditionalFormatting>
  <conditionalFormatting sqref="AD12">
    <cfRule type="expression" priority="40" dxfId="5">
      <formula>AND(ISNUMBER(AD12),MOD(AD12,1)=0)</formula>
    </cfRule>
  </conditionalFormatting>
  <conditionalFormatting sqref="AD14">
    <cfRule type="expression" priority="41" dxfId="5">
      <formula>AND(ISNUMBER(AD14),MOD(AD14,1)=0)</formula>
    </cfRule>
  </conditionalFormatting>
  <conditionalFormatting sqref="AD16">
    <cfRule type="expression" priority="42" dxfId="5">
      <formula>AND(ISNUMBER(AD16),MOD(AD16,1)=0)</formula>
    </cfRule>
  </conditionalFormatting>
  <conditionalFormatting sqref="AD18">
    <cfRule type="expression" priority="43" dxfId="5">
      <formula>AND(ISNUMBER(AD18),MOD(AD18,1)=0)</formula>
    </cfRule>
  </conditionalFormatting>
  <conditionalFormatting sqref="AD20">
    <cfRule type="expression" priority="44" dxfId="5">
      <formula>AND(ISNUMBER(AD20),MOD(AD20,1)=0)</formula>
    </cfRule>
  </conditionalFormatting>
  <conditionalFormatting sqref="AD22">
    <cfRule type="expression" priority="45" dxfId="5">
      <formula>AND(ISNUMBER(AD22),MOD(AD22,1)=0)</formula>
    </cfRule>
  </conditionalFormatting>
  <conditionalFormatting sqref="AD24">
    <cfRule type="expression" priority="46" dxfId="5">
      <formula>AND(ISNUMBER(AD24),MOD(AD24,1)=0)</formula>
    </cfRule>
  </conditionalFormatting>
  <conditionalFormatting sqref="AD26">
    <cfRule type="expression" priority="47" dxfId="5">
      <formula>AND(ISNUMBER(AD26),MOD(AD26,1)=0)</formula>
    </cfRule>
  </conditionalFormatting>
  <conditionalFormatting sqref="AD28">
    <cfRule type="expression" priority="48" dxfId="5">
      <formula>AND(ISNUMBER(AD28),MOD(AD28,1)=0)</formula>
    </cfRule>
  </conditionalFormatting>
  <conditionalFormatting sqref="AD30">
    <cfRule type="expression" priority="49" dxfId="5">
      <formula>AND(ISNUMBER(AD30),MOD(AD30,1)=0)</formula>
    </cfRule>
  </conditionalFormatting>
  <conditionalFormatting sqref="AD32">
    <cfRule type="expression" priority="50" dxfId="5">
      <formula>AND(ISNUMBER(AD32),MOD(AD32,1)=0)</formula>
    </cfRule>
  </conditionalFormatting>
  <conditionalFormatting sqref="AD34">
    <cfRule type="expression" priority="51" dxfId="5">
      <formula>AND(ISNUMBER(AD34),MOD(AD34,1)=0)</formula>
    </cfRule>
  </conditionalFormatting>
  <conditionalFormatting sqref="AD36">
    <cfRule type="expression" priority="52" dxfId="5">
      <formula>AND(ISNUMBER(AD36),MOD(AD36,1)=0)</formula>
    </cfRule>
  </conditionalFormatting>
  <conditionalFormatting sqref="AD38">
    <cfRule type="expression" priority="53" dxfId="5">
      <formula>AND(ISNUMBER(AD38),MOD(AD38,1)=0)</formula>
    </cfRule>
  </conditionalFormatting>
  <conditionalFormatting sqref="AE8">
    <cfRule type="expression" priority="54" dxfId="5">
      <formula>AND(ISNUMBER(AE8),MOD(AE8,1)=0)</formula>
    </cfRule>
  </conditionalFormatting>
  <conditionalFormatting sqref="AE10">
    <cfRule type="expression" priority="55" dxfId="5">
      <formula>AND(ISNUMBER(AE10),MOD(AE10,1)=0)</formula>
    </cfRule>
  </conditionalFormatting>
  <conditionalFormatting sqref="AE12">
    <cfRule type="expression" priority="56" dxfId="5">
      <formula>AND(ISNUMBER(AE12),MOD(AE12,1)=0)</formula>
    </cfRule>
  </conditionalFormatting>
  <conditionalFormatting sqref="AE14">
    <cfRule type="expression" priority="57" dxfId="5">
      <formula>AND(ISNUMBER(AE14),MOD(AE14,1)=0)</formula>
    </cfRule>
  </conditionalFormatting>
  <conditionalFormatting sqref="AE16">
    <cfRule type="expression" priority="58" dxfId="5">
      <formula>AND(ISNUMBER(AE16),MOD(AE16,1)=0)</formula>
    </cfRule>
  </conditionalFormatting>
  <conditionalFormatting sqref="AE18">
    <cfRule type="expression" priority="59" dxfId="5">
      <formula>AND(ISNUMBER(AE18),MOD(AE18,1)=0)</formula>
    </cfRule>
  </conditionalFormatting>
  <conditionalFormatting sqref="AE20">
    <cfRule type="expression" priority="60" dxfId="5">
      <formula>AND(ISNUMBER(AE20),MOD(AE20,1)=0)</formula>
    </cfRule>
  </conditionalFormatting>
  <conditionalFormatting sqref="AE22">
    <cfRule type="expression" priority="61" dxfId="5">
      <formula>AND(ISNUMBER(AE22),MOD(AE22,1)=0)</formula>
    </cfRule>
  </conditionalFormatting>
  <conditionalFormatting sqref="AE24">
    <cfRule type="expression" priority="62" dxfId="5">
      <formula>AND(ISNUMBER(AE24),MOD(AE24,1)=0)</formula>
    </cfRule>
  </conditionalFormatting>
  <conditionalFormatting sqref="AE26">
    <cfRule type="expression" priority="63" dxfId="5">
      <formula>AND(ISNUMBER(AE26),MOD(AE26,1)=0)</formula>
    </cfRule>
  </conditionalFormatting>
  <conditionalFormatting sqref="AE28">
    <cfRule type="expression" priority="64" dxfId="5">
      <formula>AND(ISNUMBER(AE28),MOD(AE28,1)=0)</formula>
    </cfRule>
  </conditionalFormatting>
  <conditionalFormatting sqref="AE30">
    <cfRule type="expression" priority="65" dxfId="5">
      <formula>AND(ISNUMBER(AE30),MOD(AE30,1)=0)</formula>
    </cfRule>
  </conditionalFormatting>
  <conditionalFormatting sqref="AE32">
    <cfRule type="expression" priority="66" dxfId="5">
      <formula>AND(ISNUMBER(AE32),MOD(AE32,1)=0)</formula>
    </cfRule>
  </conditionalFormatting>
  <conditionalFormatting sqref="AE34">
    <cfRule type="expression" priority="67" dxfId="5">
      <formula>AND(ISNUMBER(AE34),MOD(AE34,1)=0)</formula>
    </cfRule>
  </conditionalFormatting>
  <conditionalFormatting sqref="AE36">
    <cfRule type="expression" priority="68" dxfId="5">
      <formula>AND(ISNUMBER(AE36),MOD(AE36,1)=0)</formula>
    </cfRule>
  </conditionalFormatting>
  <conditionalFormatting sqref="AE38">
    <cfRule type="expression" priority="69" dxfId="5">
      <formula>AND(ISNUMBER(AE38),MOD(AE38,1)=0)</formula>
    </cfRule>
  </conditionalFormatting>
  <conditionalFormatting sqref="AF8">
    <cfRule type="expression" priority="70" dxfId="5">
      <formula>AND(ISNUMBER(AF8),MOD(AF8,1)=0)</formula>
    </cfRule>
  </conditionalFormatting>
  <conditionalFormatting sqref="AF10">
    <cfRule type="expression" priority="71" dxfId="5">
      <formula>AND(ISNUMBER(AF10),MOD(AF10,1)=0)</formula>
    </cfRule>
  </conditionalFormatting>
  <conditionalFormatting sqref="AF12">
    <cfRule type="expression" priority="72" dxfId="5">
      <formula>AND(ISNUMBER(AF12),MOD(AF12,1)=0)</formula>
    </cfRule>
  </conditionalFormatting>
  <conditionalFormatting sqref="AF14">
    <cfRule type="expression" priority="73" dxfId="5">
      <formula>AND(ISNUMBER(AF14),MOD(AF14,1)=0)</formula>
    </cfRule>
  </conditionalFormatting>
  <conditionalFormatting sqref="AF16">
    <cfRule type="expression" priority="74" dxfId="5">
      <formula>AND(ISNUMBER(AF16),MOD(AF16,1)=0)</formula>
    </cfRule>
  </conditionalFormatting>
  <conditionalFormatting sqref="AF18">
    <cfRule type="expression" priority="75" dxfId="5">
      <formula>AND(ISNUMBER(AF18),MOD(AF18,1)=0)</formula>
    </cfRule>
  </conditionalFormatting>
  <conditionalFormatting sqref="AF20">
    <cfRule type="expression" priority="76" dxfId="5">
      <formula>AND(ISNUMBER(AF20),MOD(AF20,1)=0)</formula>
    </cfRule>
  </conditionalFormatting>
  <conditionalFormatting sqref="AF22">
    <cfRule type="expression" priority="77" dxfId="5">
      <formula>AND(ISNUMBER(AF22),MOD(AF22,1)=0)</formula>
    </cfRule>
  </conditionalFormatting>
  <conditionalFormatting sqref="AF24">
    <cfRule type="expression" priority="78" dxfId="5">
      <formula>AND(ISNUMBER(AF24),MOD(AF24,1)=0)</formula>
    </cfRule>
  </conditionalFormatting>
  <conditionalFormatting sqref="AF26">
    <cfRule type="expression" priority="79" dxfId="5">
      <formula>AND(ISNUMBER(AF26),MOD(AF26,1)=0)</formula>
    </cfRule>
  </conditionalFormatting>
  <conditionalFormatting sqref="AF28">
    <cfRule type="expression" priority="80" dxfId="5">
      <formula>AND(ISNUMBER(AF28),MOD(AF28,1)=0)</formula>
    </cfRule>
  </conditionalFormatting>
  <conditionalFormatting sqref="AF30">
    <cfRule type="expression" priority="81" dxfId="5">
      <formula>AND(ISNUMBER(AF30),MOD(AF30,1)=0)</formula>
    </cfRule>
  </conditionalFormatting>
  <conditionalFormatting sqref="AF32">
    <cfRule type="expression" priority="82" dxfId="5">
      <formula>AND(ISNUMBER(AF32),MOD(AF32,1)=0)</formula>
    </cfRule>
  </conditionalFormatting>
  <conditionalFormatting sqref="AF34">
    <cfRule type="expression" priority="83" dxfId="5">
      <formula>AND(ISNUMBER(AF34),MOD(AF34,1)=0)</formula>
    </cfRule>
  </conditionalFormatting>
  <conditionalFormatting sqref="AF36">
    <cfRule type="expression" priority="84" dxfId="5">
      <formula>AND(ISNUMBER(AF36),MOD(AF36,1)=0)</formula>
    </cfRule>
  </conditionalFormatting>
  <conditionalFormatting sqref="AF38">
    <cfRule type="expression" priority="85" dxfId="5">
      <formula>AND(ISNUMBER(AF38),MOD(AF38,1)=0)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I41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5" customWidth="1" min="4" max="4"/>
    <col width="4.6" customWidth="1" min="5" max="5"/>
    <col width="6.4" customWidth="1" min="6" max="6"/>
    <col width="6.4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7" customWidth="1" min="29" max="29"/>
    <col width="6.4" customWidth="1" min="30" max="30"/>
    <col width="7" customWidth="1" min="31" max="31"/>
    <col width="7" customWidth="1" min="32" max="32"/>
    <col width="7" customWidth="1" min="33" max="33"/>
    <col width="6.6" customWidth="1" min="34" max="34"/>
    <col width="10" customWidth="1" min="35" max="35"/>
  </cols>
  <sheetData>
    <row r="1" ht="20" customHeight="1">
      <c r="A1" s="1" t="inlineStr">
        <is>
          <t xml:space="preserve">  K-건설맵  |  k-conmap.com  무료 건설 서식</t>
        </is>
      </c>
      <c r="S1" s="31" t="inlineStr">
        <is>
          <t xml:space="preserve">작성 예시 (가상의 현장)  </t>
        </is>
      </c>
    </row>
    <row r="2" ht="32" customHeight="1">
      <c r="A2" s="3" t="inlineStr">
        <is>
          <t>예  정  공  정  표</t>
        </is>
      </c>
    </row>
    <row r="3" ht="22" customHeight="1">
      <c r="A3" s="4" t="inlineStr">
        <is>
          <t>▣ 공 사 명 :</t>
        </is>
      </c>
      <c r="C3" s="5" t="inlineStr">
        <is>
          <t>가나지구 배수로 정비공사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7" t="inlineStr"/>
      <c r="R3" s="8" t="inlineStr">
        <is>
          <t>기준일(회의일)</t>
        </is>
      </c>
      <c r="V3" s="9" t="n">
        <v>46155</v>
      </c>
      <c r="W3" s="6" t="n"/>
      <c r="X3" s="6" t="n"/>
      <c r="Y3" s="6" t="n"/>
      <c r="Z3" s="8" t="inlineStr">
        <is>
          <t>금주 시작</t>
        </is>
      </c>
      <c r="AC3" s="10">
        <f>IF(N(V3)=0,"",V3-WEEKDAY(V3,2)+1)</f>
        <v/>
      </c>
      <c r="AD3" s="6" t="n"/>
      <c r="AE3" s="6" t="n"/>
      <c r="AF3" s="11" t="inlineStr">
        <is>
          <t>계획</t>
        </is>
      </c>
      <c r="AG3" s="12" t="inlineStr"/>
      <c r="AH3" s="11" t="inlineStr">
        <is>
          <t>실적</t>
        </is>
      </c>
      <c r="AI3" s="13" t="inlineStr"/>
    </row>
    <row r="4" ht="4" customHeight="1"/>
    <row r="5" ht="20" customHeight="1">
      <c r="A5" s="14" t="inlineStr">
        <is>
          <t>공  종</t>
        </is>
      </c>
      <c r="B5" s="14" t="inlineStr">
        <is>
          <t>내    역</t>
        </is>
      </c>
      <c r="C5" s="14" t="inlineStr">
        <is>
          <t>수 량</t>
        </is>
      </c>
      <c r="D5" s="14" t="inlineStr">
        <is>
          <t>단위</t>
        </is>
      </c>
      <c r="E5" s="14" t="inlineStr">
        <is>
          <t>구분</t>
        </is>
      </c>
      <c r="F5" s="14" t="inlineStr">
        <is>
          <t>기    간</t>
        </is>
      </c>
      <c r="G5" s="6" t="n"/>
      <c r="H5" s="15">
        <f>"전 주"&amp;IF(N(AC3)=0,"(   /   ~   /   )","("&amp;MONTH(AC3+-7)&amp;"/"&amp;DAY(AC3+-7)&amp;"~"&amp;MONTH(AC3+-1)&amp;"/"&amp;DAY(AC3+-1)&amp;")")</f>
        <v/>
      </c>
      <c r="I5" s="6" t="n"/>
      <c r="J5" s="6" t="n"/>
      <c r="K5" s="6" t="n"/>
      <c r="L5" s="6" t="n"/>
      <c r="M5" s="6" t="n"/>
      <c r="N5" s="6" t="n"/>
      <c r="O5" s="15">
        <f>"금 주"&amp;IF(N(AC3)=0,"(   /   ~   /   )","("&amp;MONTH(AC3+0)&amp;"/"&amp;DAY(AC3+0)&amp;"~"&amp;MONTH(AC3+6)&amp;"/"&amp;DAY(AC3+6)&amp;")")</f>
        <v/>
      </c>
      <c r="P5" s="6" t="n"/>
      <c r="Q5" s="6" t="n"/>
      <c r="R5" s="6" t="n"/>
      <c r="S5" s="6" t="n"/>
      <c r="T5" s="6" t="n"/>
      <c r="U5" s="6" t="n"/>
      <c r="V5" s="15">
        <f>"내 주"&amp;IF(N(AC3)=0,"(   /   ~   /   )","("&amp;MONTH(AC3+7)&amp;"/"&amp;DAY(AC3+7)&amp;"~"&amp;MONTH(AC3+13)&amp;"/"&amp;DAY(AC3+13)&amp;")")</f>
        <v/>
      </c>
      <c r="W5" s="6" t="n"/>
      <c r="X5" s="6" t="n"/>
      <c r="Y5" s="6" t="n"/>
      <c r="Z5" s="6" t="n"/>
      <c r="AA5" s="6" t="n"/>
      <c r="AB5" s="6" t="n"/>
      <c r="AC5" s="14" t="inlineStr">
        <is>
          <t>수     량</t>
        </is>
      </c>
      <c r="AD5" s="6" t="n"/>
      <c r="AE5" s="6" t="n"/>
      <c r="AF5" s="14" t="inlineStr">
        <is>
          <t>잔여량</t>
        </is>
      </c>
      <c r="AG5" s="14" t="inlineStr">
        <is>
          <t>진척률</t>
        </is>
      </c>
      <c r="AH5" s="14" t="inlineStr">
        <is>
          <t>상  태</t>
        </is>
      </c>
      <c r="AI5" s="14" t="inlineStr">
        <is>
          <t>비   고</t>
        </is>
      </c>
    </row>
    <row r="6" ht="17" customHeight="1">
      <c r="A6" s="6" t="n"/>
      <c r="B6" s="6" t="n"/>
      <c r="C6" s="6" t="n"/>
      <c r="D6" s="6" t="n"/>
      <c r="E6" s="6" t="n"/>
      <c r="F6" s="14" t="inlineStr">
        <is>
          <t>시작</t>
        </is>
      </c>
      <c r="G6" s="14" t="inlineStr">
        <is>
          <t>끝</t>
        </is>
      </c>
      <c r="H6" s="16">
        <f>IF(N(AC3)=0,"",AC3+-7)</f>
        <v/>
      </c>
      <c r="I6" s="16">
        <f>IF(N(AC3)=0,"",AC3+-6)</f>
        <v/>
      </c>
      <c r="J6" s="16">
        <f>IF(N(AC3)=0,"",AC3+-5)</f>
        <v/>
      </c>
      <c r="K6" s="16">
        <f>IF(N(AC3)=0,"",AC3+-4)</f>
        <v/>
      </c>
      <c r="L6" s="16">
        <f>IF(N(AC3)=0,"",AC3+-3)</f>
        <v/>
      </c>
      <c r="M6" s="16">
        <f>IF(N(AC3)=0,"",AC3+-2)</f>
        <v/>
      </c>
      <c r="N6" s="16">
        <f>IF(N(AC3)=0,"",AC3+-1)</f>
        <v/>
      </c>
      <c r="O6" s="16">
        <f>IF(N(AC3)=0,"",AC3+0)</f>
        <v/>
      </c>
      <c r="P6" s="16">
        <f>IF(N(AC3)=0,"",AC3+1)</f>
        <v/>
      </c>
      <c r="Q6" s="16">
        <f>IF(N(AC3)=0,"",AC3+2)</f>
        <v/>
      </c>
      <c r="R6" s="16">
        <f>IF(N(AC3)=0,"",AC3+3)</f>
        <v/>
      </c>
      <c r="S6" s="16">
        <f>IF(N(AC3)=0,"",AC3+4)</f>
        <v/>
      </c>
      <c r="T6" s="16">
        <f>IF(N(AC3)=0,"",AC3+5)</f>
        <v/>
      </c>
      <c r="U6" s="16">
        <f>IF(N(AC3)=0,"",AC3+6)</f>
        <v/>
      </c>
      <c r="V6" s="16">
        <f>IF(N(AC3)=0,"",AC3+7)</f>
        <v/>
      </c>
      <c r="W6" s="16">
        <f>IF(N(AC3)=0,"",AC3+8)</f>
        <v/>
      </c>
      <c r="X6" s="16">
        <f>IF(N(AC3)=0,"",AC3+9)</f>
        <v/>
      </c>
      <c r="Y6" s="16">
        <f>IF(N(AC3)=0,"",AC3+10)</f>
        <v/>
      </c>
      <c r="Z6" s="16">
        <f>IF(N(AC3)=0,"",AC3+11)</f>
        <v/>
      </c>
      <c r="AA6" s="16">
        <f>IF(N(AC3)=0,"",AC3+12)</f>
        <v/>
      </c>
      <c r="AB6" s="16">
        <f>IF(N(AC3)=0,"",AC3+13)</f>
        <v/>
      </c>
      <c r="AC6" s="14" t="inlineStr">
        <is>
          <t>전주까지</t>
        </is>
      </c>
      <c r="AD6" s="14" t="inlineStr">
        <is>
          <t>금 주</t>
        </is>
      </c>
      <c r="AE6" s="14" t="inlineStr">
        <is>
          <t>누 계</t>
        </is>
      </c>
      <c r="AF6" s="6" t="n"/>
      <c r="AG6" s="6" t="n"/>
      <c r="AH6" s="6" t="n"/>
      <c r="AI6" s="6" t="n"/>
    </row>
    <row r="7" ht="15" customHeight="1">
      <c r="A7" s="6" t="n"/>
      <c r="B7" s="6" t="n"/>
      <c r="C7" s="6" t="n"/>
      <c r="D7" s="6" t="n"/>
      <c r="E7" s="6" t="n"/>
      <c r="F7" s="6" t="n"/>
      <c r="G7" s="6" t="n"/>
      <c r="H7" s="17" t="inlineStr">
        <is>
          <t>월</t>
        </is>
      </c>
      <c r="I7" s="17" t="inlineStr">
        <is>
          <t>화</t>
        </is>
      </c>
      <c r="J7" s="17" t="inlineStr">
        <is>
          <t>수</t>
        </is>
      </c>
      <c r="K7" s="17" t="inlineStr">
        <is>
          <t>목</t>
        </is>
      </c>
      <c r="L7" s="17" t="inlineStr">
        <is>
          <t>금</t>
        </is>
      </c>
      <c r="M7" s="18" t="inlineStr">
        <is>
          <t>토</t>
        </is>
      </c>
      <c r="N7" s="19" t="inlineStr">
        <is>
          <t>일</t>
        </is>
      </c>
      <c r="O7" s="17" t="inlineStr">
        <is>
          <t>월</t>
        </is>
      </c>
      <c r="P7" s="17" t="inlineStr">
        <is>
          <t>화</t>
        </is>
      </c>
      <c r="Q7" s="17" t="inlineStr">
        <is>
          <t>수</t>
        </is>
      </c>
      <c r="R7" s="17" t="inlineStr">
        <is>
          <t>목</t>
        </is>
      </c>
      <c r="S7" s="17" t="inlineStr">
        <is>
          <t>금</t>
        </is>
      </c>
      <c r="T7" s="18" t="inlineStr">
        <is>
          <t>토</t>
        </is>
      </c>
      <c r="U7" s="19" t="inlineStr">
        <is>
          <t>일</t>
        </is>
      </c>
      <c r="V7" s="17" t="inlineStr">
        <is>
          <t>월</t>
        </is>
      </c>
      <c r="W7" s="17" t="inlineStr">
        <is>
          <t>화</t>
        </is>
      </c>
      <c r="X7" s="17" t="inlineStr">
        <is>
          <t>수</t>
        </is>
      </c>
      <c r="Y7" s="17" t="inlineStr">
        <is>
          <t>목</t>
        </is>
      </c>
      <c r="Z7" s="17" t="inlineStr">
        <is>
          <t>금</t>
        </is>
      </c>
      <c r="AA7" s="18" t="inlineStr">
        <is>
          <t>토</t>
        </is>
      </c>
      <c r="AB7" s="19" t="inlineStr">
        <is>
          <t>일</t>
        </is>
      </c>
      <c r="AC7" s="6" t="n"/>
      <c r="AD7" s="6" t="n"/>
      <c r="AE7" s="6" t="n"/>
      <c r="AF7" s="6" t="n"/>
      <c r="AG7" s="6" t="n"/>
      <c r="AH7" s="6" t="n"/>
      <c r="AI7" s="6" t="n"/>
    </row>
    <row r="8" ht="16" customHeight="1">
      <c r="A8" s="20" t="inlineStr">
        <is>
          <t>가시설</t>
        </is>
      </c>
      <c r="B8" s="21" t="inlineStr">
        <is>
          <t>흙막이판 설치</t>
        </is>
      </c>
      <c r="C8" s="22" t="n">
        <v>180</v>
      </c>
      <c r="D8" s="20" t="inlineStr">
        <is>
          <t>m</t>
        </is>
      </c>
      <c r="E8" s="23" t="inlineStr">
        <is>
          <t>계획</t>
        </is>
      </c>
      <c r="F8" s="24" t="n">
        <v>46139</v>
      </c>
      <c r="G8" s="24" t="n">
        <v>46150</v>
      </c>
      <c r="H8" s="25" t="inlineStr"/>
      <c r="I8" s="25" t="inlineStr"/>
      <c r="J8" s="25" t="inlineStr"/>
      <c r="K8" s="25" t="inlineStr"/>
      <c r="L8" s="25" t="inlineStr"/>
      <c r="M8" s="25" t="inlineStr"/>
      <c r="N8" s="25" t="inlineStr"/>
      <c r="O8" s="25" t="inlineStr"/>
      <c r="P8" s="25" t="inlineStr"/>
      <c r="Q8" s="25" t="inlineStr"/>
      <c r="R8" s="25" t="inlineStr"/>
      <c r="S8" s="25" t="inlineStr"/>
      <c r="T8" s="25" t="inlineStr"/>
      <c r="U8" s="25" t="inlineStr"/>
      <c r="V8" s="25" t="inlineStr"/>
      <c r="W8" s="25" t="inlineStr"/>
      <c r="X8" s="25" t="inlineStr"/>
      <c r="Y8" s="25" t="inlineStr"/>
      <c r="Z8" s="25" t="inlineStr"/>
      <c r="AA8" s="25" t="inlineStr"/>
      <c r="AB8" s="25" t="inlineStr"/>
      <c r="AC8" s="22" t="n">
        <v>180</v>
      </c>
      <c r="AD8" s="22" t="n"/>
      <c r="AE8" s="26">
        <f>IF(AND(AC8="",AD8=""),"",ROUND(N(AC8)+N(AD8),3))</f>
        <v/>
      </c>
      <c r="AF8" s="26">
        <f>IF(OR(N(C8)=0,AE8=""),"",ROUND(C8-AE8,3))</f>
        <v/>
      </c>
      <c r="AG8" s="27">
        <f>IF(OR(N(C8)=0,AE8=""),"",AE8/C8)</f>
        <v/>
      </c>
      <c r="AH8" s="28">
        <f>IF(AND(A8="",B8=""),"",IF(AND(N(C8)&gt;0,N(AE8)&gt;=N(C8)),"완료",IF(N(V3)=0,"",IF(AND(N(G8)&gt;0,V3&gt;G8),"지연",IF(N(F9)&gt;0,"진행",IF(AND(N(F8)&gt;0,V3&gt;F8),"착수 지연",IF(N(F8)&gt;0,"예정","")))))))</f>
        <v/>
      </c>
      <c r="AI8" s="29" t="n"/>
    </row>
    <row r="9" ht="16" customHeight="1">
      <c r="A9" s="6" t="n"/>
      <c r="B9" s="6" t="n"/>
      <c r="C9" s="6" t="n"/>
      <c r="D9" s="6" t="n"/>
      <c r="E9" s="23" t="inlineStr">
        <is>
          <t>실적</t>
        </is>
      </c>
      <c r="F9" s="24" t="n">
        <v>46140</v>
      </c>
      <c r="G9" s="24" t="n">
        <v>46151</v>
      </c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6" t="n"/>
      <c r="AD9" s="6" t="n"/>
      <c r="AE9" s="6" t="n"/>
      <c r="AF9" s="6" t="n"/>
      <c r="AG9" s="6" t="n"/>
      <c r="AH9" s="6" t="n"/>
      <c r="AI9" s="6" t="n"/>
    </row>
    <row r="10" ht="16" customHeight="1">
      <c r="A10" s="20" t="inlineStr">
        <is>
          <t>토공</t>
        </is>
      </c>
      <c r="B10" s="21" t="inlineStr">
        <is>
          <t>터파기</t>
        </is>
      </c>
      <c r="C10" s="22" t="n">
        <v>3200</v>
      </c>
      <c r="D10" s="20" t="inlineStr">
        <is>
          <t>㎥</t>
        </is>
      </c>
      <c r="E10" s="23" t="inlineStr">
        <is>
          <t>계획</t>
        </is>
      </c>
      <c r="F10" s="24" t="n">
        <v>46146</v>
      </c>
      <c r="G10" s="24" t="n">
        <v>46154</v>
      </c>
      <c r="H10" s="25" t="inlineStr"/>
      <c r="I10" s="25" t="inlineStr"/>
      <c r="J10" s="25" t="inlineStr"/>
      <c r="K10" s="25" t="inlineStr"/>
      <c r="L10" s="25" t="inlineStr"/>
      <c r="M10" s="25" t="inlineStr"/>
      <c r="N10" s="25" t="inlineStr"/>
      <c r="O10" s="25" t="inlineStr"/>
      <c r="P10" s="25" t="inlineStr"/>
      <c r="Q10" s="25" t="inlineStr"/>
      <c r="R10" s="25" t="inlineStr"/>
      <c r="S10" s="25" t="inlineStr"/>
      <c r="T10" s="25" t="inlineStr"/>
      <c r="U10" s="25" t="inlineStr"/>
      <c r="V10" s="25" t="inlineStr"/>
      <c r="W10" s="25" t="inlineStr"/>
      <c r="X10" s="25" t="inlineStr"/>
      <c r="Y10" s="25" t="inlineStr"/>
      <c r="Z10" s="25" t="inlineStr"/>
      <c r="AA10" s="25" t="inlineStr"/>
      <c r="AB10" s="25" t="inlineStr"/>
      <c r="AC10" s="22" t="n">
        <v>1450</v>
      </c>
      <c r="AD10" s="22" t="n">
        <v>520</v>
      </c>
      <c r="AE10" s="26">
        <f>IF(AND(AC10="",AD10=""),"",ROUND(N(AC10)+N(AD10),3))</f>
        <v/>
      </c>
      <c r="AF10" s="26">
        <f>IF(OR(N(C10)=0,AE10=""),"",ROUND(C10-AE10,3))</f>
        <v/>
      </c>
      <c r="AG10" s="27">
        <f>IF(OR(N(C10)=0,AE10=""),"",AE10/C10)</f>
        <v/>
      </c>
      <c r="AH10" s="28">
        <f>IF(AND(A10="",B10=""),"",IF(AND(N(C10)&gt;0,N(AE10)&gt;=N(C10)),"완료",IF(N(V3)=0,"",IF(AND(N(G10)&gt;0,V3&gt;G10),"지연",IF(N(F11)&gt;0,"진행",IF(AND(N(F10)&gt;0,V3&gt;F10),"착수 지연",IF(N(F10)&gt;0,"예정","")))))))</f>
        <v/>
      </c>
      <c r="AI10" s="29" t="inlineStr">
        <is>
          <t>우천 1일</t>
        </is>
      </c>
    </row>
    <row r="11" ht="16" customHeight="1">
      <c r="A11" s="6" t="n"/>
      <c r="B11" s="6" t="n"/>
      <c r="C11" s="6" t="n"/>
      <c r="D11" s="6" t="n"/>
      <c r="E11" s="23" t="inlineStr">
        <is>
          <t>실적</t>
        </is>
      </c>
      <c r="F11" s="24" t="n">
        <v>46146</v>
      </c>
      <c r="G11" s="24" t="n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6" t="n"/>
      <c r="AD11" s="6" t="n"/>
      <c r="AE11" s="6" t="n"/>
      <c r="AF11" s="6" t="n"/>
      <c r="AG11" s="6" t="n"/>
      <c r="AH11" s="6" t="n"/>
      <c r="AI11" s="6" t="n"/>
    </row>
    <row r="12" ht="16" customHeight="1">
      <c r="A12" s="20" t="inlineStr">
        <is>
          <t>배수공</t>
        </is>
      </c>
      <c r="B12" s="21" t="inlineStr">
        <is>
          <t>PC 암거 거치</t>
        </is>
      </c>
      <c r="C12" s="22" t="n">
        <v>120</v>
      </c>
      <c r="D12" s="20" t="inlineStr">
        <is>
          <t>개</t>
        </is>
      </c>
      <c r="E12" s="23" t="inlineStr">
        <is>
          <t>계획</t>
        </is>
      </c>
      <c r="F12" s="24" t="n">
        <v>46148</v>
      </c>
      <c r="G12" s="24" t="n">
        <v>46164</v>
      </c>
      <c r="H12" s="25" t="inlineStr"/>
      <c r="I12" s="25" t="inlineStr"/>
      <c r="J12" s="25" t="inlineStr"/>
      <c r="K12" s="25" t="inlineStr"/>
      <c r="L12" s="25" t="inlineStr"/>
      <c r="M12" s="25" t="inlineStr"/>
      <c r="N12" s="25" t="inlineStr"/>
      <c r="O12" s="25" t="inlineStr"/>
      <c r="P12" s="25" t="inlineStr"/>
      <c r="Q12" s="25" t="inlineStr"/>
      <c r="R12" s="25" t="inlineStr"/>
      <c r="S12" s="25" t="inlineStr"/>
      <c r="T12" s="25" t="inlineStr"/>
      <c r="U12" s="25" t="inlineStr"/>
      <c r="V12" s="25" t="inlineStr"/>
      <c r="W12" s="25" t="inlineStr"/>
      <c r="X12" s="25" t="inlineStr"/>
      <c r="Y12" s="25" t="inlineStr"/>
      <c r="Z12" s="25" t="inlineStr"/>
      <c r="AA12" s="25" t="inlineStr"/>
      <c r="AB12" s="25" t="inlineStr"/>
      <c r="AC12" s="22" t="n">
        <v>38</v>
      </c>
      <c r="AD12" s="22" t="n">
        <v>16</v>
      </c>
      <c r="AE12" s="26">
        <f>IF(AND(AC12="",AD12=""),"",ROUND(N(AC12)+N(AD12),3))</f>
        <v/>
      </c>
      <c r="AF12" s="26">
        <f>IF(OR(N(C12)=0,AE12=""),"",ROUND(C12-AE12,3))</f>
        <v/>
      </c>
      <c r="AG12" s="27">
        <f>IF(OR(N(C12)=0,AE12=""),"",AE12/C12)</f>
        <v/>
      </c>
      <c r="AH12" s="28">
        <f>IF(AND(A12="",B12=""),"",IF(AND(N(C12)&gt;0,N(AE12)&gt;=N(C12)),"완료",IF(N(V3)=0,"",IF(AND(N(G12)&gt;0,V3&gt;G12),"지연",IF(N(F13)&gt;0,"진행",IF(AND(N(F12)&gt;0,V3&gt;F12),"착수 지연",IF(N(F12)&gt;0,"예정","")))))))</f>
        <v/>
      </c>
      <c r="AI12" s="29" t="n"/>
    </row>
    <row r="13" ht="16" customHeight="1">
      <c r="A13" s="6" t="n"/>
      <c r="B13" s="6" t="n"/>
      <c r="C13" s="6" t="n"/>
      <c r="D13" s="6" t="n"/>
      <c r="E13" s="23" t="inlineStr">
        <is>
          <t>실적</t>
        </is>
      </c>
      <c r="F13" s="24" t="n">
        <v>46149</v>
      </c>
      <c r="G13" s="24" t="n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6" t="n"/>
      <c r="AD13" s="6" t="n"/>
      <c r="AE13" s="6" t="n"/>
      <c r="AF13" s="6" t="n"/>
      <c r="AG13" s="6" t="n"/>
      <c r="AH13" s="6" t="n"/>
      <c r="AI13" s="6" t="n"/>
    </row>
    <row r="14" ht="16" customHeight="1">
      <c r="A14" s="20" t="inlineStr">
        <is>
          <t>토공</t>
        </is>
      </c>
      <c r="B14" s="21" t="inlineStr">
        <is>
          <t>되메우기</t>
        </is>
      </c>
      <c r="C14" s="22" t="n">
        <v>2100</v>
      </c>
      <c r="D14" s="20" t="inlineStr">
        <is>
          <t>㎥</t>
        </is>
      </c>
      <c r="E14" s="23" t="inlineStr">
        <is>
          <t>계획</t>
        </is>
      </c>
      <c r="F14" s="24" t="n">
        <v>46153</v>
      </c>
      <c r="G14" s="24" t="n">
        <v>46169</v>
      </c>
      <c r="H14" s="25" t="inlineStr"/>
      <c r="I14" s="25" t="inlineStr"/>
      <c r="J14" s="25" t="inlineStr"/>
      <c r="K14" s="25" t="inlineStr"/>
      <c r="L14" s="25" t="inlineStr"/>
      <c r="M14" s="25" t="inlineStr"/>
      <c r="N14" s="25" t="inlineStr"/>
      <c r="O14" s="25" t="inlineStr"/>
      <c r="P14" s="25" t="inlineStr"/>
      <c r="Q14" s="25" t="inlineStr"/>
      <c r="R14" s="25" t="inlineStr"/>
      <c r="S14" s="25" t="inlineStr"/>
      <c r="T14" s="25" t="inlineStr"/>
      <c r="U14" s="25" t="inlineStr"/>
      <c r="V14" s="25" t="inlineStr"/>
      <c r="W14" s="25" t="inlineStr"/>
      <c r="X14" s="25" t="inlineStr"/>
      <c r="Y14" s="25" t="inlineStr"/>
      <c r="Z14" s="25" t="inlineStr"/>
      <c r="AA14" s="25" t="inlineStr"/>
      <c r="AB14" s="25" t="inlineStr"/>
      <c r="AC14" s="22" t="n"/>
      <c r="AD14" s="22" t="n">
        <v>240</v>
      </c>
      <c r="AE14" s="26">
        <f>IF(AND(AC14="",AD14=""),"",ROUND(N(AC14)+N(AD14),3))</f>
        <v/>
      </c>
      <c r="AF14" s="26">
        <f>IF(OR(N(C14)=0,AE14=""),"",ROUND(C14-AE14,3))</f>
        <v/>
      </c>
      <c r="AG14" s="27">
        <f>IF(OR(N(C14)=0,AE14=""),"",AE14/C14)</f>
        <v/>
      </c>
      <c r="AH14" s="28">
        <f>IF(AND(A14="",B14=""),"",IF(AND(N(C14)&gt;0,N(AE14)&gt;=N(C14)),"완료",IF(N(V3)=0,"",IF(AND(N(G14)&gt;0,V3&gt;G14),"지연",IF(N(F15)&gt;0,"진행",IF(AND(N(F14)&gt;0,V3&gt;F14),"착수 지연",IF(N(F14)&gt;0,"예정","")))))))</f>
        <v/>
      </c>
      <c r="AI14" s="29" t="n"/>
    </row>
    <row r="15" ht="16" customHeight="1">
      <c r="A15" s="6" t="n"/>
      <c r="B15" s="6" t="n"/>
      <c r="C15" s="6" t="n"/>
      <c r="D15" s="6" t="n"/>
      <c r="E15" s="23" t="inlineStr">
        <is>
          <t>실적</t>
        </is>
      </c>
      <c r="F15" s="24" t="n">
        <v>46154</v>
      </c>
      <c r="G15" s="24" t="n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6" t="n"/>
      <c r="AD15" s="6" t="n"/>
      <c r="AE15" s="6" t="n"/>
      <c r="AF15" s="6" t="n"/>
      <c r="AG15" s="6" t="n"/>
      <c r="AH15" s="6" t="n"/>
      <c r="AI15" s="6" t="n"/>
    </row>
    <row r="16" ht="16" customHeight="1">
      <c r="A16" s="20" t="inlineStr">
        <is>
          <t>배수공</t>
        </is>
      </c>
      <c r="B16" s="21" t="inlineStr">
        <is>
          <t>PE 이중벽관 D300</t>
        </is>
      </c>
      <c r="C16" s="22" t="n">
        <v>460</v>
      </c>
      <c r="D16" s="20" t="inlineStr">
        <is>
          <t>m</t>
        </is>
      </c>
      <c r="E16" s="23" t="inlineStr">
        <is>
          <t>계획</t>
        </is>
      </c>
      <c r="F16" s="24" t="n">
        <v>46160</v>
      </c>
      <c r="G16" s="24" t="n">
        <v>46171</v>
      </c>
      <c r="H16" s="25" t="inlineStr"/>
      <c r="I16" s="25" t="inlineStr"/>
      <c r="J16" s="25" t="inlineStr"/>
      <c r="K16" s="25" t="inlineStr"/>
      <c r="L16" s="25" t="inlineStr"/>
      <c r="M16" s="25" t="inlineStr"/>
      <c r="N16" s="25" t="inlineStr"/>
      <c r="O16" s="25" t="inlineStr"/>
      <c r="P16" s="25" t="inlineStr"/>
      <c r="Q16" s="25" t="inlineStr"/>
      <c r="R16" s="25" t="inlineStr"/>
      <c r="S16" s="25" t="inlineStr"/>
      <c r="T16" s="25" t="inlineStr"/>
      <c r="U16" s="25" t="inlineStr"/>
      <c r="V16" s="25" t="inlineStr"/>
      <c r="W16" s="25" t="inlineStr"/>
      <c r="X16" s="25" t="inlineStr"/>
      <c r="Y16" s="25" t="inlineStr"/>
      <c r="Z16" s="25" t="inlineStr"/>
      <c r="AA16" s="25" t="inlineStr"/>
      <c r="AB16" s="25" t="inlineStr"/>
      <c r="AC16" s="22" t="n"/>
      <c r="AD16" s="22" t="n"/>
      <c r="AE16" s="26">
        <f>IF(AND(AC16="",AD16=""),"",ROUND(N(AC16)+N(AD16),3))</f>
        <v/>
      </c>
      <c r="AF16" s="26">
        <f>IF(OR(N(C16)=0,AE16=""),"",ROUND(C16-AE16,3))</f>
        <v/>
      </c>
      <c r="AG16" s="27">
        <f>IF(OR(N(C16)=0,AE16=""),"",AE16/C16)</f>
        <v/>
      </c>
      <c r="AH16" s="28">
        <f>IF(AND(A16="",B16=""),"",IF(AND(N(C16)&gt;0,N(AE16)&gt;=N(C16)),"완료",IF(N(V3)=0,"",IF(AND(N(G16)&gt;0,V3&gt;G16),"지연",IF(N(F17)&gt;0,"진행",IF(AND(N(F16)&gt;0,V3&gt;F16),"착수 지연",IF(N(F16)&gt;0,"예정","")))))))</f>
        <v/>
      </c>
      <c r="AI16" s="29" t="inlineStr">
        <is>
          <t>자재 반입 5/15</t>
        </is>
      </c>
    </row>
    <row r="17" ht="16" customHeight="1">
      <c r="A17" s="6" t="n"/>
      <c r="B17" s="6" t="n"/>
      <c r="C17" s="6" t="n"/>
      <c r="D17" s="6" t="n"/>
      <c r="E17" s="23" t="inlineStr">
        <is>
          <t>실적</t>
        </is>
      </c>
      <c r="F17" s="24" t="n"/>
      <c r="G17" s="24" t="n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6" t="n"/>
      <c r="AD17" s="6" t="n"/>
      <c r="AE17" s="6" t="n"/>
      <c r="AF17" s="6" t="n"/>
      <c r="AG17" s="6" t="n"/>
      <c r="AH17" s="6" t="n"/>
      <c r="AI17" s="6" t="n"/>
    </row>
    <row r="18" ht="16" customHeight="1">
      <c r="A18" s="20" t="inlineStr">
        <is>
          <t>포장공</t>
        </is>
      </c>
      <c r="B18" s="21" t="inlineStr">
        <is>
          <t>보도블록 포장</t>
        </is>
      </c>
      <c r="C18" s="22" t="n">
        <v>850</v>
      </c>
      <c r="D18" s="20" t="inlineStr">
        <is>
          <t>㎡</t>
        </is>
      </c>
      <c r="E18" s="23" t="inlineStr">
        <is>
          <t>계획</t>
        </is>
      </c>
      <c r="F18" s="24" t="n">
        <v>46167</v>
      </c>
      <c r="G18" s="24" t="n">
        <v>46178</v>
      </c>
      <c r="H18" s="25" t="inlineStr"/>
      <c r="I18" s="25" t="inlineStr"/>
      <c r="J18" s="25" t="inlineStr"/>
      <c r="K18" s="25" t="inlineStr"/>
      <c r="L18" s="25" t="inlineStr"/>
      <c r="M18" s="25" t="inlineStr"/>
      <c r="N18" s="25" t="inlineStr"/>
      <c r="O18" s="25" t="inlineStr"/>
      <c r="P18" s="25" t="inlineStr"/>
      <c r="Q18" s="25" t="inlineStr"/>
      <c r="R18" s="25" t="inlineStr"/>
      <c r="S18" s="25" t="inlineStr"/>
      <c r="T18" s="25" t="inlineStr"/>
      <c r="U18" s="25" t="inlineStr"/>
      <c r="V18" s="25" t="inlineStr"/>
      <c r="W18" s="25" t="inlineStr"/>
      <c r="X18" s="25" t="inlineStr"/>
      <c r="Y18" s="25" t="inlineStr"/>
      <c r="Z18" s="25" t="inlineStr"/>
      <c r="AA18" s="25" t="inlineStr"/>
      <c r="AB18" s="25" t="inlineStr"/>
      <c r="AC18" s="22" t="n"/>
      <c r="AD18" s="22" t="n"/>
      <c r="AE18" s="26">
        <f>IF(AND(AC18="",AD18=""),"",ROUND(N(AC18)+N(AD18),3))</f>
        <v/>
      </c>
      <c r="AF18" s="26">
        <f>IF(OR(N(C18)=0,AE18=""),"",ROUND(C18-AE18,3))</f>
        <v/>
      </c>
      <c r="AG18" s="27">
        <f>IF(OR(N(C18)=0,AE18=""),"",AE18/C18)</f>
        <v/>
      </c>
      <c r="AH18" s="28">
        <f>IF(AND(A18="",B18=""),"",IF(AND(N(C18)&gt;0,N(AE18)&gt;=N(C18)),"완료",IF(N(V3)=0,"",IF(AND(N(G18)&gt;0,V3&gt;G18),"지연",IF(N(F19)&gt;0,"진행",IF(AND(N(F18)&gt;0,V3&gt;F18),"착수 지연",IF(N(F18)&gt;0,"예정","")))))))</f>
        <v/>
      </c>
      <c r="AI18" s="29" t="n"/>
    </row>
    <row r="19" ht="16" customHeight="1">
      <c r="A19" s="6" t="n"/>
      <c r="B19" s="6" t="n"/>
      <c r="C19" s="6" t="n"/>
      <c r="D19" s="6" t="n"/>
      <c r="E19" s="23" t="inlineStr">
        <is>
          <t>실적</t>
        </is>
      </c>
      <c r="F19" s="24" t="n"/>
      <c r="G19" s="24" t="n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6" t="n"/>
      <c r="AD19" s="6" t="n"/>
      <c r="AE19" s="6" t="n"/>
      <c r="AF19" s="6" t="n"/>
      <c r="AG19" s="6" t="n"/>
      <c r="AH19" s="6" t="n"/>
      <c r="AI19" s="6" t="n"/>
    </row>
    <row r="20" ht="16" customHeight="1">
      <c r="A20" s="20" t="n"/>
      <c r="B20" s="21" t="n"/>
      <c r="C20" s="22" t="n"/>
      <c r="D20" s="20" t="n"/>
      <c r="E20" s="23" t="inlineStr">
        <is>
          <t>계획</t>
        </is>
      </c>
      <c r="F20" s="24" t="n"/>
      <c r="G20" s="24" t="n"/>
      <c r="H20" s="25" t="inlineStr"/>
      <c r="I20" s="25" t="inlineStr"/>
      <c r="J20" s="25" t="inlineStr"/>
      <c r="K20" s="25" t="inlineStr"/>
      <c r="L20" s="25" t="inlineStr"/>
      <c r="M20" s="25" t="inlineStr"/>
      <c r="N20" s="25" t="inlineStr"/>
      <c r="O20" s="25" t="inlineStr"/>
      <c r="P20" s="25" t="inlineStr"/>
      <c r="Q20" s="25" t="inlineStr"/>
      <c r="R20" s="25" t="inlineStr"/>
      <c r="S20" s="25" t="inlineStr"/>
      <c r="T20" s="25" t="inlineStr"/>
      <c r="U20" s="25" t="inlineStr"/>
      <c r="V20" s="25" t="inlineStr"/>
      <c r="W20" s="25" t="inlineStr"/>
      <c r="X20" s="25" t="inlineStr"/>
      <c r="Y20" s="25" t="inlineStr"/>
      <c r="Z20" s="25" t="inlineStr"/>
      <c r="AA20" s="25" t="inlineStr"/>
      <c r="AB20" s="25" t="inlineStr"/>
      <c r="AC20" s="22" t="n"/>
      <c r="AD20" s="22" t="n"/>
      <c r="AE20" s="26">
        <f>IF(AND(AC20="",AD20=""),"",ROUND(N(AC20)+N(AD20),3))</f>
        <v/>
      </c>
      <c r="AF20" s="26">
        <f>IF(OR(N(C20)=0,AE20=""),"",ROUND(C20-AE20,3))</f>
        <v/>
      </c>
      <c r="AG20" s="27">
        <f>IF(OR(N(C20)=0,AE20=""),"",AE20/C20)</f>
        <v/>
      </c>
      <c r="AH20" s="28">
        <f>IF(AND(A20="",B20=""),"",IF(AND(N(C20)&gt;0,N(AE20)&gt;=N(C20)),"완료",IF(N(V3)=0,"",IF(AND(N(G20)&gt;0,V3&gt;G20),"지연",IF(N(F21)&gt;0,"진행",IF(AND(N(F20)&gt;0,V3&gt;F20),"착수 지연",IF(N(F20)&gt;0,"예정","")))))))</f>
        <v/>
      </c>
      <c r="AI20" s="29" t="n"/>
    </row>
    <row r="21" ht="16" customHeight="1">
      <c r="A21" s="6" t="n"/>
      <c r="B21" s="6" t="n"/>
      <c r="C21" s="6" t="n"/>
      <c r="D21" s="6" t="n"/>
      <c r="E21" s="23" t="inlineStr">
        <is>
          <t>실적</t>
        </is>
      </c>
      <c r="F21" s="24" t="n"/>
      <c r="G21" s="24" t="n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6" t="n"/>
      <c r="AD21" s="6" t="n"/>
      <c r="AE21" s="6" t="n"/>
      <c r="AF21" s="6" t="n"/>
      <c r="AG21" s="6" t="n"/>
      <c r="AH21" s="6" t="n"/>
      <c r="AI21" s="6" t="n"/>
    </row>
    <row r="22" ht="16" customHeight="1">
      <c r="A22" s="20" t="n"/>
      <c r="B22" s="21" t="n"/>
      <c r="C22" s="22" t="n"/>
      <c r="D22" s="20" t="n"/>
      <c r="E22" s="23" t="inlineStr">
        <is>
          <t>계획</t>
        </is>
      </c>
      <c r="F22" s="24" t="n"/>
      <c r="G22" s="24" t="n"/>
      <c r="H22" s="25" t="inlineStr"/>
      <c r="I22" s="25" t="inlineStr"/>
      <c r="J22" s="25" t="inlineStr"/>
      <c r="K22" s="25" t="inlineStr"/>
      <c r="L22" s="25" t="inlineStr"/>
      <c r="M22" s="25" t="inlineStr"/>
      <c r="N22" s="25" t="inlineStr"/>
      <c r="O22" s="25" t="inlineStr"/>
      <c r="P22" s="25" t="inlineStr"/>
      <c r="Q22" s="25" t="inlineStr"/>
      <c r="R22" s="25" t="inlineStr"/>
      <c r="S22" s="25" t="inlineStr"/>
      <c r="T22" s="25" t="inlineStr"/>
      <c r="U22" s="25" t="inlineStr"/>
      <c r="V22" s="25" t="inlineStr"/>
      <c r="W22" s="25" t="inlineStr"/>
      <c r="X22" s="25" t="inlineStr"/>
      <c r="Y22" s="25" t="inlineStr"/>
      <c r="Z22" s="25" t="inlineStr"/>
      <c r="AA22" s="25" t="inlineStr"/>
      <c r="AB22" s="25" t="inlineStr"/>
      <c r="AC22" s="22" t="n"/>
      <c r="AD22" s="22" t="n"/>
      <c r="AE22" s="26">
        <f>IF(AND(AC22="",AD22=""),"",ROUND(N(AC22)+N(AD22),3))</f>
        <v/>
      </c>
      <c r="AF22" s="26">
        <f>IF(OR(N(C22)=0,AE22=""),"",ROUND(C22-AE22,3))</f>
        <v/>
      </c>
      <c r="AG22" s="27">
        <f>IF(OR(N(C22)=0,AE22=""),"",AE22/C22)</f>
        <v/>
      </c>
      <c r="AH22" s="28">
        <f>IF(AND(A22="",B22=""),"",IF(AND(N(C22)&gt;0,N(AE22)&gt;=N(C22)),"완료",IF(N(V3)=0,"",IF(AND(N(G22)&gt;0,V3&gt;G22),"지연",IF(N(F23)&gt;0,"진행",IF(AND(N(F22)&gt;0,V3&gt;F22),"착수 지연",IF(N(F22)&gt;0,"예정","")))))))</f>
        <v/>
      </c>
      <c r="AI22" s="29" t="n"/>
    </row>
    <row r="23" ht="16" customHeight="1">
      <c r="A23" s="6" t="n"/>
      <c r="B23" s="6" t="n"/>
      <c r="C23" s="6" t="n"/>
      <c r="D23" s="6" t="n"/>
      <c r="E23" s="23" t="inlineStr">
        <is>
          <t>실적</t>
        </is>
      </c>
      <c r="F23" s="24" t="n"/>
      <c r="G23" s="24" t="n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6" t="n"/>
      <c r="AD23" s="6" t="n"/>
      <c r="AE23" s="6" t="n"/>
      <c r="AF23" s="6" t="n"/>
      <c r="AG23" s="6" t="n"/>
      <c r="AH23" s="6" t="n"/>
      <c r="AI23" s="6" t="n"/>
    </row>
    <row r="24" ht="16" customHeight="1">
      <c r="A24" s="20" t="n"/>
      <c r="B24" s="21" t="n"/>
      <c r="C24" s="22" t="n"/>
      <c r="D24" s="20" t="n"/>
      <c r="E24" s="23" t="inlineStr">
        <is>
          <t>계획</t>
        </is>
      </c>
      <c r="F24" s="24" t="n"/>
      <c r="G24" s="24" t="n"/>
      <c r="H24" s="25" t="inlineStr"/>
      <c r="I24" s="25" t="inlineStr"/>
      <c r="J24" s="25" t="inlineStr"/>
      <c r="K24" s="25" t="inlineStr"/>
      <c r="L24" s="25" t="inlineStr"/>
      <c r="M24" s="25" t="inlineStr"/>
      <c r="N24" s="25" t="inlineStr"/>
      <c r="O24" s="25" t="inlineStr"/>
      <c r="P24" s="25" t="inlineStr"/>
      <c r="Q24" s="25" t="inlineStr"/>
      <c r="R24" s="25" t="inlineStr"/>
      <c r="S24" s="25" t="inlineStr"/>
      <c r="T24" s="25" t="inlineStr"/>
      <c r="U24" s="25" t="inlineStr"/>
      <c r="V24" s="25" t="inlineStr"/>
      <c r="W24" s="25" t="inlineStr"/>
      <c r="X24" s="25" t="inlineStr"/>
      <c r="Y24" s="25" t="inlineStr"/>
      <c r="Z24" s="25" t="inlineStr"/>
      <c r="AA24" s="25" t="inlineStr"/>
      <c r="AB24" s="25" t="inlineStr"/>
      <c r="AC24" s="22" t="n"/>
      <c r="AD24" s="22" t="n"/>
      <c r="AE24" s="26">
        <f>IF(AND(AC24="",AD24=""),"",ROUND(N(AC24)+N(AD24),3))</f>
        <v/>
      </c>
      <c r="AF24" s="26">
        <f>IF(OR(N(C24)=0,AE24=""),"",ROUND(C24-AE24,3))</f>
        <v/>
      </c>
      <c r="AG24" s="27">
        <f>IF(OR(N(C24)=0,AE24=""),"",AE24/C24)</f>
        <v/>
      </c>
      <c r="AH24" s="28">
        <f>IF(AND(A24="",B24=""),"",IF(AND(N(C24)&gt;0,N(AE24)&gt;=N(C24)),"완료",IF(N(V3)=0,"",IF(AND(N(G24)&gt;0,V3&gt;G24),"지연",IF(N(F25)&gt;0,"진행",IF(AND(N(F24)&gt;0,V3&gt;F24),"착수 지연",IF(N(F24)&gt;0,"예정","")))))))</f>
        <v/>
      </c>
      <c r="AI24" s="29" t="n"/>
    </row>
    <row r="25" ht="16" customHeight="1">
      <c r="A25" s="6" t="n"/>
      <c r="B25" s="6" t="n"/>
      <c r="C25" s="6" t="n"/>
      <c r="D25" s="6" t="n"/>
      <c r="E25" s="23" t="inlineStr">
        <is>
          <t>실적</t>
        </is>
      </c>
      <c r="F25" s="24" t="n"/>
      <c r="G25" s="24" t="n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6" t="n"/>
      <c r="AD25" s="6" t="n"/>
      <c r="AE25" s="6" t="n"/>
      <c r="AF25" s="6" t="n"/>
      <c r="AG25" s="6" t="n"/>
      <c r="AH25" s="6" t="n"/>
      <c r="AI25" s="6" t="n"/>
    </row>
    <row r="26" ht="16" customHeight="1">
      <c r="A26" s="20" t="n"/>
      <c r="B26" s="21" t="n"/>
      <c r="C26" s="22" t="n"/>
      <c r="D26" s="20" t="n"/>
      <c r="E26" s="23" t="inlineStr">
        <is>
          <t>계획</t>
        </is>
      </c>
      <c r="F26" s="24" t="n"/>
      <c r="G26" s="24" t="n"/>
      <c r="H26" s="25" t="inlineStr"/>
      <c r="I26" s="25" t="inlineStr"/>
      <c r="J26" s="25" t="inlineStr"/>
      <c r="K26" s="25" t="inlineStr"/>
      <c r="L26" s="25" t="inlineStr"/>
      <c r="M26" s="25" t="inlineStr"/>
      <c r="N26" s="25" t="inlineStr"/>
      <c r="O26" s="25" t="inlineStr"/>
      <c r="P26" s="25" t="inlineStr"/>
      <c r="Q26" s="25" t="inlineStr"/>
      <c r="R26" s="25" t="inlineStr"/>
      <c r="S26" s="25" t="inlineStr"/>
      <c r="T26" s="25" t="inlineStr"/>
      <c r="U26" s="25" t="inlineStr"/>
      <c r="V26" s="25" t="inlineStr"/>
      <c r="W26" s="25" t="inlineStr"/>
      <c r="X26" s="25" t="inlineStr"/>
      <c r="Y26" s="25" t="inlineStr"/>
      <c r="Z26" s="25" t="inlineStr"/>
      <c r="AA26" s="25" t="inlineStr"/>
      <c r="AB26" s="25" t="inlineStr"/>
      <c r="AC26" s="22" t="n"/>
      <c r="AD26" s="22" t="n"/>
      <c r="AE26" s="26">
        <f>IF(AND(AC26="",AD26=""),"",ROUND(N(AC26)+N(AD26),3))</f>
        <v/>
      </c>
      <c r="AF26" s="26">
        <f>IF(OR(N(C26)=0,AE26=""),"",ROUND(C26-AE26,3))</f>
        <v/>
      </c>
      <c r="AG26" s="27">
        <f>IF(OR(N(C26)=0,AE26=""),"",AE26/C26)</f>
        <v/>
      </c>
      <c r="AH26" s="28">
        <f>IF(AND(A26="",B26=""),"",IF(AND(N(C26)&gt;0,N(AE26)&gt;=N(C26)),"완료",IF(N(V3)=0,"",IF(AND(N(G26)&gt;0,V3&gt;G26),"지연",IF(N(F27)&gt;0,"진행",IF(AND(N(F26)&gt;0,V3&gt;F26),"착수 지연",IF(N(F26)&gt;0,"예정","")))))))</f>
        <v/>
      </c>
      <c r="AI26" s="29" t="n"/>
    </row>
    <row r="27" ht="16" customHeight="1">
      <c r="A27" s="6" t="n"/>
      <c r="B27" s="6" t="n"/>
      <c r="C27" s="6" t="n"/>
      <c r="D27" s="6" t="n"/>
      <c r="E27" s="23" t="inlineStr">
        <is>
          <t>실적</t>
        </is>
      </c>
      <c r="F27" s="24" t="n"/>
      <c r="G27" s="24" t="n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6" t="n"/>
      <c r="AD27" s="6" t="n"/>
      <c r="AE27" s="6" t="n"/>
      <c r="AF27" s="6" t="n"/>
      <c r="AG27" s="6" t="n"/>
      <c r="AH27" s="6" t="n"/>
      <c r="AI27" s="6" t="n"/>
    </row>
    <row r="28" ht="16" customHeight="1">
      <c r="A28" s="20" t="n"/>
      <c r="B28" s="21" t="n"/>
      <c r="C28" s="22" t="n"/>
      <c r="D28" s="20" t="n"/>
      <c r="E28" s="23" t="inlineStr">
        <is>
          <t>계획</t>
        </is>
      </c>
      <c r="F28" s="24" t="n"/>
      <c r="G28" s="24" t="n"/>
      <c r="H28" s="25" t="inlineStr"/>
      <c r="I28" s="25" t="inlineStr"/>
      <c r="J28" s="25" t="inlineStr"/>
      <c r="K28" s="25" t="inlineStr"/>
      <c r="L28" s="25" t="inlineStr"/>
      <c r="M28" s="25" t="inlineStr"/>
      <c r="N28" s="25" t="inlineStr"/>
      <c r="O28" s="25" t="inlineStr"/>
      <c r="P28" s="25" t="inlineStr"/>
      <c r="Q28" s="25" t="inlineStr"/>
      <c r="R28" s="25" t="inlineStr"/>
      <c r="S28" s="25" t="inlineStr"/>
      <c r="T28" s="25" t="inlineStr"/>
      <c r="U28" s="25" t="inlineStr"/>
      <c r="V28" s="25" t="inlineStr"/>
      <c r="W28" s="25" t="inlineStr"/>
      <c r="X28" s="25" t="inlineStr"/>
      <c r="Y28" s="25" t="inlineStr"/>
      <c r="Z28" s="25" t="inlineStr"/>
      <c r="AA28" s="25" t="inlineStr"/>
      <c r="AB28" s="25" t="inlineStr"/>
      <c r="AC28" s="22" t="n"/>
      <c r="AD28" s="22" t="n"/>
      <c r="AE28" s="26">
        <f>IF(AND(AC28="",AD28=""),"",ROUND(N(AC28)+N(AD28),3))</f>
        <v/>
      </c>
      <c r="AF28" s="26">
        <f>IF(OR(N(C28)=0,AE28=""),"",ROUND(C28-AE28,3))</f>
        <v/>
      </c>
      <c r="AG28" s="27">
        <f>IF(OR(N(C28)=0,AE28=""),"",AE28/C28)</f>
        <v/>
      </c>
      <c r="AH28" s="28">
        <f>IF(AND(A28="",B28=""),"",IF(AND(N(C28)&gt;0,N(AE28)&gt;=N(C28)),"완료",IF(N(V3)=0,"",IF(AND(N(G28)&gt;0,V3&gt;G28),"지연",IF(N(F29)&gt;0,"진행",IF(AND(N(F28)&gt;0,V3&gt;F28),"착수 지연",IF(N(F28)&gt;0,"예정","")))))))</f>
        <v/>
      </c>
      <c r="AI28" s="29" t="n"/>
    </row>
    <row r="29" ht="16" customHeight="1">
      <c r="A29" s="6" t="n"/>
      <c r="B29" s="6" t="n"/>
      <c r="C29" s="6" t="n"/>
      <c r="D29" s="6" t="n"/>
      <c r="E29" s="23" t="inlineStr">
        <is>
          <t>실적</t>
        </is>
      </c>
      <c r="F29" s="24" t="n"/>
      <c r="G29" s="24" t="n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6" t="n"/>
      <c r="AD29" s="6" t="n"/>
      <c r="AE29" s="6" t="n"/>
      <c r="AF29" s="6" t="n"/>
      <c r="AG29" s="6" t="n"/>
      <c r="AH29" s="6" t="n"/>
      <c r="AI29" s="6" t="n"/>
    </row>
    <row r="30" ht="16" customHeight="1">
      <c r="A30" s="20" t="n"/>
      <c r="B30" s="21" t="n"/>
      <c r="C30" s="22" t="n"/>
      <c r="D30" s="20" t="n"/>
      <c r="E30" s="23" t="inlineStr">
        <is>
          <t>계획</t>
        </is>
      </c>
      <c r="F30" s="24" t="n"/>
      <c r="G30" s="24" t="n"/>
      <c r="H30" s="25" t="inlineStr"/>
      <c r="I30" s="25" t="inlineStr"/>
      <c r="J30" s="25" t="inlineStr"/>
      <c r="K30" s="25" t="inlineStr"/>
      <c r="L30" s="25" t="inlineStr"/>
      <c r="M30" s="25" t="inlineStr"/>
      <c r="N30" s="25" t="inlineStr"/>
      <c r="O30" s="25" t="inlineStr"/>
      <c r="P30" s="25" t="inlineStr"/>
      <c r="Q30" s="25" t="inlineStr"/>
      <c r="R30" s="25" t="inlineStr"/>
      <c r="S30" s="25" t="inlineStr"/>
      <c r="T30" s="25" t="inlineStr"/>
      <c r="U30" s="25" t="inlineStr"/>
      <c r="V30" s="25" t="inlineStr"/>
      <c r="W30" s="25" t="inlineStr"/>
      <c r="X30" s="25" t="inlineStr"/>
      <c r="Y30" s="25" t="inlineStr"/>
      <c r="Z30" s="25" t="inlineStr"/>
      <c r="AA30" s="25" t="inlineStr"/>
      <c r="AB30" s="25" t="inlineStr"/>
      <c r="AC30" s="22" t="n"/>
      <c r="AD30" s="22" t="n"/>
      <c r="AE30" s="26">
        <f>IF(AND(AC30="",AD30=""),"",ROUND(N(AC30)+N(AD30),3))</f>
        <v/>
      </c>
      <c r="AF30" s="26">
        <f>IF(OR(N(C30)=0,AE30=""),"",ROUND(C30-AE30,3))</f>
        <v/>
      </c>
      <c r="AG30" s="27">
        <f>IF(OR(N(C30)=0,AE30=""),"",AE30/C30)</f>
        <v/>
      </c>
      <c r="AH30" s="28">
        <f>IF(AND(A30="",B30=""),"",IF(AND(N(C30)&gt;0,N(AE30)&gt;=N(C30)),"완료",IF(N(V3)=0,"",IF(AND(N(G30)&gt;0,V3&gt;G30),"지연",IF(N(F31)&gt;0,"진행",IF(AND(N(F30)&gt;0,V3&gt;F30),"착수 지연",IF(N(F30)&gt;0,"예정","")))))))</f>
        <v/>
      </c>
      <c r="AI30" s="29" t="n"/>
    </row>
    <row r="31" ht="16" customHeight="1">
      <c r="A31" s="6" t="n"/>
      <c r="B31" s="6" t="n"/>
      <c r="C31" s="6" t="n"/>
      <c r="D31" s="6" t="n"/>
      <c r="E31" s="23" t="inlineStr">
        <is>
          <t>실적</t>
        </is>
      </c>
      <c r="F31" s="24" t="n"/>
      <c r="G31" s="24" t="n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6" t="n"/>
      <c r="AD31" s="6" t="n"/>
      <c r="AE31" s="6" t="n"/>
      <c r="AF31" s="6" t="n"/>
      <c r="AG31" s="6" t="n"/>
      <c r="AH31" s="6" t="n"/>
      <c r="AI31" s="6" t="n"/>
    </row>
    <row r="32" ht="16" customHeight="1">
      <c r="A32" s="20" t="n"/>
      <c r="B32" s="21" t="n"/>
      <c r="C32" s="22" t="n"/>
      <c r="D32" s="20" t="n"/>
      <c r="E32" s="23" t="inlineStr">
        <is>
          <t>계획</t>
        </is>
      </c>
      <c r="F32" s="24" t="n"/>
      <c r="G32" s="24" t="n"/>
      <c r="H32" s="25" t="inlineStr"/>
      <c r="I32" s="25" t="inlineStr"/>
      <c r="J32" s="25" t="inlineStr"/>
      <c r="K32" s="25" t="inlineStr"/>
      <c r="L32" s="25" t="inlineStr"/>
      <c r="M32" s="25" t="inlineStr"/>
      <c r="N32" s="25" t="inlineStr"/>
      <c r="O32" s="25" t="inlineStr"/>
      <c r="P32" s="25" t="inlineStr"/>
      <c r="Q32" s="25" t="inlineStr"/>
      <c r="R32" s="25" t="inlineStr"/>
      <c r="S32" s="25" t="inlineStr"/>
      <c r="T32" s="25" t="inlineStr"/>
      <c r="U32" s="25" t="inlineStr"/>
      <c r="V32" s="25" t="inlineStr"/>
      <c r="W32" s="25" t="inlineStr"/>
      <c r="X32" s="25" t="inlineStr"/>
      <c r="Y32" s="25" t="inlineStr"/>
      <c r="Z32" s="25" t="inlineStr"/>
      <c r="AA32" s="25" t="inlineStr"/>
      <c r="AB32" s="25" t="inlineStr"/>
      <c r="AC32" s="22" t="n"/>
      <c r="AD32" s="22" t="n"/>
      <c r="AE32" s="26">
        <f>IF(AND(AC32="",AD32=""),"",ROUND(N(AC32)+N(AD32),3))</f>
        <v/>
      </c>
      <c r="AF32" s="26">
        <f>IF(OR(N(C32)=0,AE32=""),"",ROUND(C32-AE32,3))</f>
        <v/>
      </c>
      <c r="AG32" s="27">
        <f>IF(OR(N(C32)=0,AE32=""),"",AE32/C32)</f>
        <v/>
      </c>
      <c r="AH32" s="28">
        <f>IF(AND(A32="",B32=""),"",IF(AND(N(C32)&gt;0,N(AE32)&gt;=N(C32)),"완료",IF(N(V3)=0,"",IF(AND(N(G32)&gt;0,V3&gt;G32),"지연",IF(N(F33)&gt;0,"진행",IF(AND(N(F32)&gt;0,V3&gt;F32),"착수 지연",IF(N(F32)&gt;0,"예정","")))))))</f>
        <v/>
      </c>
      <c r="AI32" s="29" t="n"/>
    </row>
    <row r="33" ht="16" customHeight="1">
      <c r="A33" s="6" t="n"/>
      <c r="B33" s="6" t="n"/>
      <c r="C33" s="6" t="n"/>
      <c r="D33" s="6" t="n"/>
      <c r="E33" s="23" t="inlineStr">
        <is>
          <t>실적</t>
        </is>
      </c>
      <c r="F33" s="24" t="n"/>
      <c r="G33" s="24" t="n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6" t="n"/>
      <c r="AD33" s="6" t="n"/>
      <c r="AE33" s="6" t="n"/>
      <c r="AF33" s="6" t="n"/>
      <c r="AG33" s="6" t="n"/>
      <c r="AH33" s="6" t="n"/>
      <c r="AI33" s="6" t="n"/>
    </row>
    <row r="34" ht="16" customHeight="1">
      <c r="A34" s="20" t="n"/>
      <c r="B34" s="21" t="n"/>
      <c r="C34" s="22" t="n"/>
      <c r="D34" s="20" t="n"/>
      <c r="E34" s="23" t="inlineStr">
        <is>
          <t>계획</t>
        </is>
      </c>
      <c r="F34" s="24" t="n"/>
      <c r="G34" s="24" t="n"/>
      <c r="H34" s="25" t="inlineStr"/>
      <c r="I34" s="25" t="inlineStr"/>
      <c r="J34" s="25" t="inlineStr"/>
      <c r="K34" s="25" t="inlineStr"/>
      <c r="L34" s="25" t="inlineStr"/>
      <c r="M34" s="25" t="inlineStr"/>
      <c r="N34" s="25" t="inlineStr"/>
      <c r="O34" s="25" t="inlineStr"/>
      <c r="P34" s="25" t="inlineStr"/>
      <c r="Q34" s="25" t="inlineStr"/>
      <c r="R34" s="25" t="inlineStr"/>
      <c r="S34" s="25" t="inlineStr"/>
      <c r="T34" s="25" t="inlineStr"/>
      <c r="U34" s="25" t="inlineStr"/>
      <c r="V34" s="25" t="inlineStr"/>
      <c r="W34" s="25" t="inlineStr"/>
      <c r="X34" s="25" t="inlineStr"/>
      <c r="Y34" s="25" t="inlineStr"/>
      <c r="Z34" s="25" t="inlineStr"/>
      <c r="AA34" s="25" t="inlineStr"/>
      <c r="AB34" s="25" t="inlineStr"/>
      <c r="AC34" s="22" t="n"/>
      <c r="AD34" s="22" t="n"/>
      <c r="AE34" s="26">
        <f>IF(AND(AC34="",AD34=""),"",ROUND(N(AC34)+N(AD34),3))</f>
        <v/>
      </c>
      <c r="AF34" s="26">
        <f>IF(OR(N(C34)=0,AE34=""),"",ROUND(C34-AE34,3))</f>
        <v/>
      </c>
      <c r="AG34" s="27">
        <f>IF(OR(N(C34)=0,AE34=""),"",AE34/C34)</f>
        <v/>
      </c>
      <c r="AH34" s="28">
        <f>IF(AND(A34="",B34=""),"",IF(AND(N(C34)&gt;0,N(AE34)&gt;=N(C34)),"완료",IF(N(V3)=0,"",IF(AND(N(G34)&gt;0,V3&gt;G34),"지연",IF(N(F35)&gt;0,"진행",IF(AND(N(F34)&gt;0,V3&gt;F34),"착수 지연",IF(N(F34)&gt;0,"예정","")))))))</f>
        <v/>
      </c>
      <c r="AI34" s="29" t="n"/>
    </row>
    <row r="35" ht="16" customHeight="1">
      <c r="A35" s="6" t="n"/>
      <c r="B35" s="6" t="n"/>
      <c r="C35" s="6" t="n"/>
      <c r="D35" s="6" t="n"/>
      <c r="E35" s="23" t="inlineStr">
        <is>
          <t>실적</t>
        </is>
      </c>
      <c r="F35" s="24" t="n"/>
      <c r="G35" s="24" t="n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6" t="n"/>
      <c r="AD35" s="6" t="n"/>
      <c r="AE35" s="6" t="n"/>
      <c r="AF35" s="6" t="n"/>
      <c r="AG35" s="6" t="n"/>
      <c r="AH35" s="6" t="n"/>
      <c r="AI35" s="6" t="n"/>
    </row>
    <row r="36" ht="16" customHeight="1">
      <c r="A36" s="20" t="n"/>
      <c r="B36" s="21" t="n"/>
      <c r="C36" s="22" t="n"/>
      <c r="D36" s="20" t="n"/>
      <c r="E36" s="23" t="inlineStr">
        <is>
          <t>계획</t>
        </is>
      </c>
      <c r="F36" s="24" t="n"/>
      <c r="G36" s="24" t="n"/>
      <c r="H36" s="25" t="inlineStr"/>
      <c r="I36" s="25" t="inlineStr"/>
      <c r="J36" s="25" t="inlineStr"/>
      <c r="K36" s="25" t="inlineStr"/>
      <c r="L36" s="25" t="inlineStr"/>
      <c r="M36" s="25" t="inlineStr"/>
      <c r="N36" s="25" t="inlineStr"/>
      <c r="O36" s="25" t="inlineStr"/>
      <c r="P36" s="25" t="inlineStr"/>
      <c r="Q36" s="25" t="inlineStr"/>
      <c r="R36" s="25" t="inlineStr"/>
      <c r="S36" s="25" t="inlineStr"/>
      <c r="T36" s="25" t="inlineStr"/>
      <c r="U36" s="25" t="inlineStr"/>
      <c r="V36" s="25" t="inlineStr"/>
      <c r="W36" s="25" t="inlineStr"/>
      <c r="X36" s="25" t="inlineStr"/>
      <c r="Y36" s="25" t="inlineStr"/>
      <c r="Z36" s="25" t="inlineStr"/>
      <c r="AA36" s="25" t="inlineStr"/>
      <c r="AB36" s="25" t="inlineStr"/>
      <c r="AC36" s="22" t="n"/>
      <c r="AD36" s="22" t="n"/>
      <c r="AE36" s="26">
        <f>IF(AND(AC36="",AD36=""),"",ROUND(N(AC36)+N(AD36),3))</f>
        <v/>
      </c>
      <c r="AF36" s="26">
        <f>IF(OR(N(C36)=0,AE36=""),"",ROUND(C36-AE36,3))</f>
        <v/>
      </c>
      <c r="AG36" s="27">
        <f>IF(OR(N(C36)=0,AE36=""),"",AE36/C36)</f>
        <v/>
      </c>
      <c r="AH36" s="28">
        <f>IF(AND(A36="",B36=""),"",IF(AND(N(C36)&gt;0,N(AE36)&gt;=N(C36)),"완료",IF(N(V3)=0,"",IF(AND(N(G36)&gt;0,V3&gt;G36),"지연",IF(N(F37)&gt;0,"진행",IF(AND(N(F36)&gt;0,V3&gt;F36),"착수 지연",IF(N(F36)&gt;0,"예정","")))))))</f>
        <v/>
      </c>
      <c r="AI36" s="29" t="n"/>
    </row>
    <row r="37" ht="16" customHeight="1">
      <c r="A37" s="6" t="n"/>
      <c r="B37" s="6" t="n"/>
      <c r="C37" s="6" t="n"/>
      <c r="D37" s="6" t="n"/>
      <c r="E37" s="23" t="inlineStr">
        <is>
          <t>실적</t>
        </is>
      </c>
      <c r="F37" s="24" t="n"/>
      <c r="G37" s="24" t="n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6" t="n"/>
      <c r="AD37" s="6" t="n"/>
      <c r="AE37" s="6" t="n"/>
      <c r="AF37" s="6" t="n"/>
      <c r="AG37" s="6" t="n"/>
      <c r="AH37" s="6" t="n"/>
      <c r="AI37" s="6" t="n"/>
    </row>
    <row r="38" ht="16" customHeight="1">
      <c r="A38" s="20" t="n"/>
      <c r="B38" s="21" t="n"/>
      <c r="C38" s="22" t="n"/>
      <c r="D38" s="20" t="n"/>
      <c r="E38" s="23" t="inlineStr">
        <is>
          <t>계획</t>
        </is>
      </c>
      <c r="F38" s="24" t="n"/>
      <c r="G38" s="24" t="n"/>
      <c r="H38" s="25" t="inlineStr"/>
      <c r="I38" s="25" t="inlineStr"/>
      <c r="J38" s="25" t="inlineStr"/>
      <c r="K38" s="25" t="inlineStr"/>
      <c r="L38" s="25" t="inlineStr"/>
      <c r="M38" s="25" t="inlineStr"/>
      <c r="N38" s="25" t="inlineStr"/>
      <c r="O38" s="25" t="inlineStr"/>
      <c r="P38" s="25" t="inlineStr"/>
      <c r="Q38" s="25" t="inlineStr"/>
      <c r="R38" s="25" t="inlineStr"/>
      <c r="S38" s="25" t="inlineStr"/>
      <c r="T38" s="25" t="inlineStr"/>
      <c r="U38" s="25" t="inlineStr"/>
      <c r="V38" s="25" t="inlineStr"/>
      <c r="W38" s="25" t="inlineStr"/>
      <c r="X38" s="25" t="inlineStr"/>
      <c r="Y38" s="25" t="inlineStr"/>
      <c r="Z38" s="25" t="inlineStr"/>
      <c r="AA38" s="25" t="inlineStr"/>
      <c r="AB38" s="25" t="inlineStr"/>
      <c r="AC38" s="22" t="n"/>
      <c r="AD38" s="22" t="n"/>
      <c r="AE38" s="26">
        <f>IF(AND(AC38="",AD38=""),"",ROUND(N(AC38)+N(AD38),3))</f>
        <v/>
      </c>
      <c r="AF38" s="26">
        <f>IF(OR(N(C38)=0,AE38=""),"",ROUND(C38-AE38,3))</f>
        <v/>
      </c>
      <c r="AG38" s="27">
        <f>IF(OR(N(C38)=0,AE38=""),"",AE38/C38)</f>
        <v/>
      </c>
      <c r="AH38" s="28">
        <f>IF(AND(A38="",B38=""),"",IF(AND(N(C38)&gt;0,N(AE38)&gt;=N(C38)),"완료",IF(N(V3)=0,"",IF(AND(N(G38)&gt;0,V3&gt;G38),"지연",IF(N(F39)&gt;0,"진행",IF(AND(N(F38)&gt;0,V3&gt;F38),"착수 지연",IF(N(F38)&gt;0,"예정","")))))))</f>
        <v/>
      </c>
      <c r="AI38" s="29" t="n"/>
    </row>
    <row r="39" ht="16" customHeight="1">
      <c r="A39" s="6" t="n"/>
      <c r="B39" s="6" t="n"/>
      <c r="C39" s="6" t="n"/>
      <c r="D39" s="6" t="n"/>
      <c r="E39" s="23" t="inlineStr">
        <is>
          <t>실적</t>
        </is>
      </c>
      <c r="F39" s="24" t="n"/>
      <c r="G39" s="24" t="n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6" t="n"/>
      <c r="AD39" s="6" t="n"/>
      <c r="AE39" s="6" t="n"/>
      <c r="AF39" s="6" t="n"/>
      <c r="AG39" s="6" t="n"/>
      <c r="AH39" s="6" t="n"/>
      <c r="AI39" s="6" t="n"/>
    </row>
    <row r="41" ht="19.5" customHeight="1">
      <c r="A41" s="30" t="inlineStr">
        <is>
          <t>이 시트는 작성 예시입니다(가상의 공사). 기준일 2026. 5. 13.(수)</t>
        </is>
      </c>
    </row>
  </sheetData>
  <mergeCells count="206">
    <mergeCell ref="R3:U3"/>
    <mergeCell ref="AD20:AD21"/>
    <mergeCell ref="C30:C31"/>
    <mergeCell ref="AD14:AD15"/>
    <mergeCell ref="AF36:AF37"/>
    <mergeCell ref="AC5:AE5"/>
    <mergeCell ref="D5:D7"/>
    <mergeCell ref="B12:B13"/>
    <mergeCell ref="A16:A17"/>
    <mergeCell ref="C10:C11"/>
    <mergeCell ref="Z3:AB3"/>
    <mergeCell ref="C16:C17"/>
    <mergeCell ref="AH20:AH21"/>
    <mergeCell ref="AC24:AC25"/>
    <mergeCell ref="D36:D37"/>
    <mergeCell ref="B14:B15"/>
    <mergeCell ref="B5:B7"/>
    <mergeCell ref="AD28:AD29"/>
    <mergeCell ref="AD6:AD7"/>
    <mergeCell ref="D32:D33"/>
    <mergeCell ref="AE8:AE9"/>
    <mergeCell ref="AF14:AF15"/>
    <mergeCell ref="AH34:AH35"/>
    <mergeCell ref="AC38:AC39"/>
    <mergeCell ref="D16:D17"/>
    <mergeCell ref="AF12:AF13"/>
    <mergeCell ref="AE38:AE39"/>
    <mergeCell ref="AC10:AC11"/>
    <mergeCell ref="B28:B29"/>
    <mergeCell ref="AG32:AG33"/>
    <mergeCell ref="AE10:AE11"/>
    <mergeCell ref="AI26:AI27"/>
    <mergeCell ref="AC26:AC27"/>
    <mergeCell ref="AD32:AD33"/>
    <mergeCell ref="A22:A23"/>
    <mergeCell ref="D18:D19"/>
    <mergeCell ref="AH30:AH31"/>
    <mergeCell ref="AF32:AF33"/>
    <mergeCell ref="N3:Q3"/>
    <mergeCell ref="D8:D9"/>
    <mergeCell ref="AG12:AG13"/>
    <mergeCell ref="A20:A21"/>
    <mergeCell ref="AI12:AI13"/>
    <mergeCell ref="AE24:AE25"/>
    <mergeCell ref="AH5:AH7"/>
    <mergeCell ref="AG18:AG19"/>
    <mergeCell ref="AE20:AE21"/>
    <mergeCell ref="AG20:AG21"/>
    <mergeCell ref="D10:D11"/>
    <mergeCell ref="AG14:AG15"/>
    <mergeCell ref="AD24:AD25"/>
    <mergeCell ref="AI14:AI15"/>
    <mergeCell ref="AD18:AD19"/>
    <mergeCell ref="D38:D39"/>
    <mergeCell ref="AD8:AD9"/>
    <mergeCell ref="AH32:AH33"/>
    <mergeCell ref="D34:D35"/>
    <mergeCell ref="AE36:AE37"/>
    <mergeCell ref="B26:B27"/>
    <mergeCell ref="C14:C15"/>
    <mergeCell ref="AH24:AH25"/>
    <mergeCell ref="AD10:AD11"/>
    <mergeCell ref="AH8:AH9"/>
    <mergeCell ref="AF10:AF11"/>
    <mergeCell ref="AF24:AF25"/>
    <mergeCell ref="A5:A7"/>
    <mergeCell ref="AC28:AC29"/>
    <mergeCell ref="AE22:AE23"/>
    <mergeCell ref="AF16:AF17"/>
    <mergeCell ref="AH10:AH11"/>
    <mergeCell ref="H5:N5"/>
    <mergeCell ref="AC30:AC31"/>
    <mergeCell ref="AI32:AI33"/>
    <mergeCell ref="A26:A27"/>
    <mergeCell ref="F5:G5"/>
    <mergeCell ref="AC14:AC15"/>
    <mergeCell ref="D12:D13"/>
    <mergeCell ref="AG16:AG17"/>
    <mergeCell ref="AI16:AI17"/>
    <mergeCell ref="AD36:AD37"/>
    <mergeCell ref="A8:A9"/>
    <mergeCell ref="AD30:AD31"/>
    <mergeCell ref="C8:C9"/>
    <mergeCell ref="AF30:AF31"/>
    <mergeCell ref="AI18:AI19"/>
    <mergeCell ref="AG8:AG9"/>
    <mergeCell ref="C32:C33"/>
    <mergeCell ref="AI8:AI9"/>
    <mergeCell ref="O5:U5"/>
    <mergeCell ref="A10:A11"/>
    <mergeCell ref="AH36:AH37"/>
    <mergeCell ref="B30:B31"/>
    <mergeCell ref="AD22:AD23"/>
    <mergeCell ref="D30:D31"/>
    <mergeCell ref="B32:B33"/>
    <mergeCell ref="D26:D27"/>
    <mergeCell ref="C34:C35"/>
    <mergeCell ref="A1:R1"/>
    <mergeCell ref="B16:B17"/>
    <mergeCell ref="AF28:AF29"/>
    <mergeCell ref="AH22:AH23"/>
    <mergeCell ref="C18:C19"/>
    <mergeCell ref="AH28:AH29"/>
    <mergeCell ref="AE26:AE27"/>
    <mergeCell ref="AC32:AC33"/>
    <mergeCell ref="AI34:AI35"/>
    <mergeCell ref="AG26:AG27"/>
    <mergeCell ref="AC16:AC17"/>
    <mergeCell ref="C3:M3"/>
    <mergeCell ref="AG22:AG23"/>
    <mergeCell ref="B18:B19"/>
    <mergeCell ref="C20:C21"/>
    <mergeCell ref="AC12:AC13"/>
    <mergeCell ref="AG34:AG35"/>
    <mergeCell ref="B8:B9"/>
    <mergeCell ref="AE12:AE13"/>
    <mergeCell ref="A36:A37"/>
    <mergeCell ref="AI28:AI29"/>
    <mergeCell ref="AD38:AD39"/>
    <mergeCell ref="AH14:AH15"/>
    <mergeCell ref="AC18:AC19"/>
    <mergeCell ref="AE18:AE19"/>
    <mergeCell ref="AD34:AD35"/>
    <mergeCell ref="C22:C23"/>
    <mergeCell ref="AC20:AC21"/>
    <mergeCell ref="AG36:AG37"/>
    <mergeCell ref="AE14:AE15"/>
    <mergeCell ref="AI36:AI37"/>
    <mergeCell ref="A12:A13"/>
    <mergeCell ref="AI30:AI31"/>
    <mergeCell ref="AH38:AH39"/>
    <mergeCell ref="C12:C13"/>
    <mergeCell ref="AI22:AI23"/>
    <mergeCell ref="G6:G7"/>
    <mergeCell ref="AG5:AG7"/>
    <mergeCell ref="B34:B35"/>
    <mergeCell ref="AI5:AI7"/>
    <mergeCell ref="C36:C37"/>
    <mergeCell ref="A3:B3"/>
    <mergeCell ref="D28:D29"/>
    <mergeCell ref="A14:A15"/>
    <mergeCell ref="AF20:AF21"/>
    <mergeCell ref="V5:AB5"/>
    <mergeCell ref="A41:AI41"/>
    <mergeCell ref="AD26:AD27"/>
    <mergeCell ref="B36:B37"/>
    <mergeCell ref="AF22:AF23"/>
    <mergeCell ref="B20:B21"/>
    <mergeCell ref="D20:D21"/>
    <mergeCell ref="AG24:AG25"/>
    <mergeCell ref="D14:D15"/>
    <mergeCell ref="AD12:AD13"/>
    <mergeCell ref="AH26:AH27"/>
    <mergeCell ref="A2:AI2"/>
    <mergeCell ref="A38:A39"/>
    <mergeCell ref="AE32:AE33"/>
    <mergeCell ref="C38:C39"/>
    <mergeCell ref="AH16:AH17"/>
    <mergeCell ref="B22:B23"/>
    <mergeCell ref="AH12:AH13"/>
    <mergeCell ref="AG38:AG39"/>
    <mergeCell ref="AE16:AE17"/>
    <mergeCell ref="AI38:AI39"/>
    <mergeCell ref="AG10:AG11"/>
    <mergeCell ref="AF18:AF19"/>
    <mergeCell ref="AI10:AI11"/>
    <mergeCell ref="F6:F7"/>
    <mergeCell ref="AH18:AH19"/>
    <mergeCell ref="AF5:AF7"/>
    <mergeCell ref="A24:A25"/>
    <mergeCell ref="AF34:AF35"/>
    <mergeCell ref="AC8:AC9"/>
    <mergeCell ref="AI24:AI25"/>
    <mergeCell ref="B38:B39"/>
    <mergeCell ref="C26:C27"/>
    <mergeCell ref="AI20:AI21"/>
    <mergeCell ref="V3:Y3"/>
    <mergeCell ref="B10:B11"/>
    <mergeCell ref="AF26:AF27"/>
    <mergeCell ref="A18:A19"/>
    <mergeCell ref="B24:B25"/>
    <mergeCell ref="D24:D25"/>
    <mergeCell ref="AD16:AD17"/>
    <mergeCell ref="A32:A33"/>
    <mergeCell ref="AC22:AC23"/>
    <mergeCell ref="AC34:AC35"/>
    <mergeCell ref="AF8:AF9"/>
    <mergeCell ref="AE34:AE35"/>
    <mergeCell ref="AC6:AC7"/>
    <mergeCell ref="C5:C7"/>
    <mergeCell ref="AE28:AE29"/>
    <mergeCell ref="AE6:AE7"/>
    <mergeCell ref="E5:E7"/>
    <mergeCell ref="AG28:AG29"/>
    <mergeCell ref="AC36:AC37"/>
    <mergeCell ref="AE30:AE31"/>
    <mergeCell ref="A34:A35"/>
    <mergeCell ref="A28:A29"/>
    <mergeCell ref="AG30:AG31"/>
    <mergeCell ref="AF38:AF39"/>
    <mergeCell ref="C28:C29"/>
    <mergeCell ref="AC3:AE3"/>
    <mergeCell ref="C24:C25"/>
    <mergeCell ref="S1:AI1"/>
    <mergeCell ref="A30:A31"/>
    <mergeCell ref="D22:D23"/>
  </mergeCells>
  <conditionalFormatting sqref="H8:AB39">
    <cfRule type="expression" priority="1" dxfId="0">
      <formula>AND($E8="계획",ISNUMBER(H$6),N($F8)&gt;0,H$6&gt;=$F8,H$6&lt;=IF(N($G8)=0,$F8,$G8))</formula>
    </cfRule>
    <cfRule type="expression" priority="2" dxfId="1">
      <formula>AND($E8="실적",ISNUMBER(H$6),N($F8)&gt;0,H$6&gt;=$F8,H$6&lt;=IF(N($G8)=0,IF(N($V$3)=0,$F8,MAX($F8,$V$3)),$G8))</formula>
    </cfRule>
  </conditionalFormatting>
  <conditionalFormatting sqref="H6:AB6">
    <cfRule type="expression" priority="3" dxfId="2">
      <formula>AND(ISNUMBER(H6),H6=$V$3)</formula>
    </cfRule>
  </conditionalFormatting>
  <conditionalFormatting sqref="AH8:AH38">
    <cfRule type="expression" priority="4" dxfId="3">
      <formula>OR(AH8="지연",AH8="착수 지연")</formula>
    </cfRule>
    <cfRule type="expression" priority="5" dxfId="4">
      <formula>AH8="완료"</formula>
    </cfRule>
  </conditionalFormatting>
  <conditionalFormatting sqref="C8">
    <cfRule type="expression" priority="6" dxfId="5">
      <formula>AND(ISNUMBER(C8),MOD(C8,1)=0)</formula>
    </cfRule>
  </conditionalFormatting>
  <conditionalFormatting sqref="C10">
    <cfRule type="expression" priority="7" dxfId="5">
      <formula>AND(ISNUMBER(C10),MOD(C10,1)=0)</formula>
    </cfRule>
  </conditionalFormatting>
  <conditionalFormatting sqref="C12">
    <cfRule type="expression" priority="8" dxfId="5">
      <formula>AND(ISNUMBER(C12),MOD(C12,1)=0)</formula>
    </cfRule>
  </conditionalFormatting>
  <conditionalFormatting sqref="C14">
    <cfRule type="expression" priority="9" dxfId="5">
      <formula>AND(ISNUMBER(C14),MOD(C14,1)=0)</formula>
    </cfRule>
  </conditionalFormatting>
  <conditionalFormatting sqref="C16">
    <cfRule type="expression" priority="10" dxfId="5">
      <formula>AND(ISNUMBER(C16),MOD(C16,1)=0)</formula>
    </cfRule>
  </conditionalFormatting>
  <conditionalFormatting sqref="C18">
    <cfRule type="expression" priority="11" dxfId="5">
      <formula>AND(ISNUMBER(C18),MOD(C18,1)=0)</formula>
    </cfRule>
  </conditionalFormatting>
  <conditionalFormatting sqref="C20">
    <cfRule type="expression" priority="12" dxfId="5">
      <formula>AND(ISNUMBER(C20),MOD(C20,1)=0)</formula>
    </cfRule>
  </conditionalFormatting>
  <conditionalFormatting sqref="C22">
    <cfRule type="expression" priority="13" dxfId="5">
      <formula>AND(ISNUMBER(C22),MOD(C22,1)=0)</formula>
    </cfRule>
  </conditionalFormatting>
  <conditionalFormatting sqref="C24">
    <cfRule type="expression" priority="14" dxfId="5">
      <formula>AND(ISNUMBER(C24),MOD(C24,1)=0)</formula>
    </cfRule>
  </conditionalFormatting>
  <conditionalFormatting sqref="C26">
    <cfRule type="expression" priority="15" dxfId="5">
      <formula>AND(ISNUMBER(C26),MOD(C26,1)=0)</formula>
    </cfRule>
  </conditionalFormatting>
  <conditionalFormatting sqref="C28">
    <cfRule type="expression" priority="16" dxfId="5">
      <formula>AND(ISNUMBER(C28),MOD(C28,1)=0)</formula>
    </cfRule>
  </conditionalFormatting>
  <conditionalFormatting sqref="C30">
    <cfRule type="expression" priority="17" dxfId="5">
      <formula>AND(ISNUMBER(C30),MOD(C30,1)=0)</formula>
    </cfRule>
  </conditionalFormatting>
  <conditionalFormatting sqref="C32">
    <cfRule type="expression" priority="18" dxfId="5">
      <formula>AND(ISNUMBER(C32),MOD(C32,1)=0)</formula>
    </cfRule>
  </conditionalFormatting>
  <conditionalFormatting sqref="C34">
    <cfRule type="expression" priority="19" dxfId="5">
      <formula>AND(ISNUMBER(C34),MOD(C34,1)=0)</formula>
    </cfRule>
  </conditionalFormatting>
  <conditionalFormatting sqref="C36">
    <cfRule type="expression" priority="20" dxfId="5">
      <formula>AND(ISNUMBER(C36),MOD(C36,1)=0)</formula>
    </cfRule>
  </conditionalFormatting>
  <conditionalFormatting sqref="C38">
    <cfRule type="expression" priority="21" dxfId="5">
      <formula>AND(ISNUMBER(C38),MOD(C38,1)=0)</formula>
    </cfRule>
  </conditionalFormatting>
  <conditionalFormatting sqref="AC8">
    <cfRule type="expression" priority="22" dxfId="5">
      <formula>AND(ISNUMBER(AC8),MOD(AC8,1)=0)</formula>
    </cfRule>
  </conditionalFormatting>
  <conditionalFormatting sqref="AC10">
    <cfRule type="expression" priority="23" dxfId="5">
      <formula>AND(ISNUMBER(AC10),MOD(AC10,1)=0)</formula>
    </cfRule>
  </conditionalFormatting>
  <conditionalFormatting sqref="AC12">
    <cfRule type="expression" priority="24" dxfId="5">
      <formula>AND(ISNUMBER(AC12),MOD(AC12,1)=0)</formula>
    </cfRule>
  </conditionalFormatting>
  <conditionalFormatting sqref="AC14">
    <cfRule type="expression" priority="25" dxfId="5">
      <formula>AND(ISNUMBER(AC14),MOD(AC14,1)=0)</formula>
    </cfRule>
  </conditionalFormatting>
  <conditionalFormatting sqref="AC16">
    <cfRule type="expression" priority="26" dxfId="5">
      <formula>AND(ISNUMBER(AC16),MOD(AC16,1)=0)</formula>
    </cfRule>
  </conditionalFormatting>
  <conditionalFormatting sqref="AC18">
    <cfRule type="expression" priority="27" dxfId="5">
      <formula>AND(ISNUMBER(AC18),MOD(AC18,1)=0)</formula>
    </cfRule>
  </conditionalFormatting>
  <conditionalFormatting sqref="AC20">
    <cfRule type="expression" priority="28" dxfId="5">
      <formula>AND(ISNUMBER(AC20),MOD(AC20,1)=0)</formula>
    </cfRule>
  </conditionalFormatting>
  <conditionalFormatting sqref="AC22">
    <cfRule type="expression" priority="29" dxfId="5">
      <formula>AND(ISNUMBER(AC22),MOD(AC22,1)=0)</formula>
    </cfRule>
  </conditionalFormatting>
  <conditionalFormatting sqref="AC24">
    <cfRule type="expression" priority="30" dxfId="5">
      <formula>AND(ISNUMBER(AC24),MOD(AC24,1)=0)</formula>
    </cfRule>
  </conditionalFormatting>
  <conditionalFormatting sqref="AC26">
    <cfRule type="expression" priority="31" dxfId="5">
      <formula>AND(ISNUMBER(AC26),MOD(AC26,1)=0)</formula>
    </cfRule>
  </conditionalFormatting>
  <conditionalFormatting sqref="AC28">
    <cfRule type="expression" priority="32" dxfId="5">
      <formula>AND(ISNUMBER(AC28),MOD(AC28,1)=0)</formula>
    </cfRule>
  </conditionalFormatting>
  <conditionalFormatting sqref="AC30">
    <cfRule type="expression" priority="33" dxfId="5">
      <formula>AND(ISNUMBER(AC30),MOD(AC30,1)=0)</formula>
    </cfRule>
  </conditionalFormatting>
  <conditionalFormatting sqref="AC32">
    <cfRule type="expression" priority="34" dxfId="5">
      <formula>AND(ISNUMBER(AC32),MOD(AC32,1)=0)</formula>
    </cfRule>
  </conditionalFormatting>
  <conditionalFormatting sqref="AC34">
    <cfRule type="expression" priority="35" dxfId="5">
      <formula>AND(ISNUMBER(AC34),MOD(AC34,1)=0)</formula>
    </cfRule>
  </conditionalFormatting>
  <conditionalFormatting sqref="AC36">
    <cfRule type="expression" priority="36" dxfId="5">
      <formula>AND(ISNUMBER(AC36),MOD(AC36,1)=0)</formula>
    </cfRule>
  </conditionalFormatting>
  <conditionalFormatting sqref="AC38">
    <cfRule type="expression" priority="37" dxfId="5">
      <formula>AND(ISNUMBER(AC38),MOD(AC38,1)=0)</formula>
    </cfRule>
  </conditionalFormatting>
  <conditionalFormatting sqref="AD8">
    <cfRule type="expression" priority="38" dxfId="5">
      <formula>AND(ISNUMBER(AD8),MOD(AD8,1)=0)</formula>
    </cfRule>
  </conditionalFormatting>
  <conditionalFormatting sqref="AD10">
    <cfRule type="expression" priority="39" dxfId="5">
      <formula>AND(ISNUMBER(AD10),MOD(AD10,1)=0)</formula>
    </cfRule>
  </conditionalFormatting>
  <conditionalFormatting sqref="AD12">
    <cfRule type="expression" priority="40" dxfId="5">
      <formula>AND(ISNUMBER(AD12),MOD(AD12,1)=0)</formula>
    </cfRule>
  </conditionalFormatting>
  <conditionalFormatting sqref="AD14">
    <cfRule type="expression" priority="41" dxfId="5">
      <formula>AND(ISNUMBER(AD14),MOD(AD14,1)=0)</formula>
    </cfRule>
  </conditionalFormatting>
  <conditionalFormatting sqref="AD16">
    <cfRule type="expression" priority="42" dxfId="5">
      <formula>AND(ISNUMBER(AD16),MOD(AD16,1)=0)</formula>
    </cfRule>
  </conditionalFormatting>
  <conditionalFormatting sqref="AD18">
    <cfRule type="expression" priority="43" dxfId="5">
      <formula>AND(ISNUMBER(AD18),MOD(AD18,1)=0)</formula>
    </cfRule>
  </conditionalFormatting>
  <conditionalFormatting sqref="AD20">
    <cfRule type="expression" priority="44" dxfId="5">
      <formula>AND(ISNUMBER(AD20),MOD(AD20,1)=0)</formula>
    </cfRule>
  </conditionalFormatting>
  <conditionalFormatting sqref="AD22">
    <cfRule type="expression" priority="45" dxfId="5">
      <formula>AND(ISNUMBER(AD22),MOD(AD22,1)=0)</formula>
    </cfRule>
  </conditionalFormatting>
  <conditionalFormatting sqref="AD24">
    <cfRule type="expression" priority="46" dxfId="5">
      <formula>AND(ISNUMBER(AD24),MOD(AD24,1)=0)</formula>
    </cfRule>
  </conditionalFormatting>
  <conditionalFormatting sqref="AD26">
    <cfRule type="expression" priority="47" dxfId="5">
      <formula>AND(ISNUMBER(AD26),MOD(AD26,1)=0)</formula>
    </cfRule>
  </conditionalFormatting>
  <conditionalFormatting sqref="AD28">
    <cfRule type="expression" priority="48" dxfId="5">
      <formula>AND(ISNUMBER(AD28),MOD(AD28,1)=0)</formula>
    </cfRule>
  </conditionalFormatting>
  <conditionalFormatting sqref="AD30">
    <cfRule type="expression" priority="49" dxfId="5">
      <formula>AND(ISNUMBER(AD30),MOD(AD30,1)=0)</formula>
    </cfRule>
  </conditionalFormatting>
  <conditionalFormatting sqref="AD32">
    <cfRule type="expression" priority="50" dxfId="5">
      <formula>AND(ISNUMBER(AD32),MOD(AD32,1)=0)</formula>
    </cfRule>
  </conditionalFormatting>
  <conditionalFormatting sqref="AD34">
    <cfRule type="expression" priority="51" dxfId="5">
      <formula>AND(ISNUMBER(AD34),MOD(AD34,1)=0)</formula>
    </cfRule>
  </conditionalFormatting>
  <conditionalFormatting sqref="AD36">
    <cfRule type="expression" priority="52" dxfId="5">
      <formula>AND(ISNUMBER(AD36),MOD(AD36,1)=0)</formula>
    </cfRule>
  </conditionalFormatting>
  <conditionalFormatting sqref="AD38">
    <cfRule type="expression" priority="53" dxfId="5">
      <formula>AND(ISNUMBER(AD38),MOD(AD38,1)=0)</formula>
    </cfRule>
  </conditionalFormatting>
  <conditionalFormatting sqref="AE8">
    <cfRule type="expression" priority="54" dxfId="5">
      <formula>AND(ISNUMBER(AE8),MOD(AE8,1)=0)</formula>
    </cfRule>
  </conditionalFormatting>
  <conditionalFormatting sqref="AE10">
    <cfRule type="expression" priority="55" dxfId="5">
      <formula>AND(ISNUMBER(AE10),MOD(AE10,1)=0)</formula>
    </cfRule>
  </conditionalFormatting>
  <conditionalFormatting sqref="AE12">
    <cfRule type="expression" priority="56" dxfId="5">
      <formula>AND(ISNUMBER(AE12),MOD(AE12,1)=0)</formula>
    </cfRule>
  </conditionalFormatting>
  <conditionalFormatting sqref="AE14">
    <cfRule type="expression" priority="57" dxfId="5">
      <formula>AND(ISNUMBER(AE14),MOD(AE14,1)=0)</formula>
    </cfRule>
  </conditionalFormatting>
  <conditionalFormatting sqref="AE16">
    <cfRule type="expression" priority="58" dxfId="5">
      <formula>AND(ISNUMBER(AE16),MOD(AE16,1)=0)</formula>
    </cfRule>
  </conditionalFormatting>
  <conditionalFormatting sqref="AE18">
    <cfRule type="expression" priority="59" dxfId="5">
      <formula>AND(ISNUMBER(AE18),MOD(AE18,1)=0)</formula>
    </cfRule>
  </conditionalFormatting>
  <conditionalFormatting sqref="AE20">
    <cfRule type="expression" priority="60" dxfId="5">
      <formula>AND(ISNUMBER(AE20),MOD(AE20,1)=0)</formula>
    </cfRule>
  </conditionalFormatting>
  <conditionalFormatting sqref="AE22">
    <cfRule type="expression" priority="61" dxfId="5">
      <formula>AND(ISNUMBER(AE22),MOD(AE22,1)=0)</formula>
    </cfRule>
  </conditionalFormatting>
  <conditionalFormatting sqref="AE24">
    <cfRule type="expression" priority="62" dxfId="5">
      <formula>AND(ISNUMBER(AE24),MOD(AE24,1)=0)</formula>
    </cfRule>
  </conditionalFormatting>
  <conditionalFormatting sqref="AE26">
    <cfRule type="expression" priority="63" dxfId="5">
      <formula>AND(ISNUMBER(AE26),MOD(AE26,1)=0)</formula>
    </cfRule>
  </conditionalFormatting>
  <conditionalFormatting sqref="AE28">
    <cfRule type="expression" priority="64" dxfId="5">
      <formula>AND(ISNUMBER(AE28),MOD(AE28,1)=0)</formula>
    </cfRule>
  </conditionalFormatting>
  <conditionalFormatting sqref="AE30">
    <cfRule type="expression" priority="65" dxfId="5">
      <formula>AND(ISNUMBER(AE30),MOD(AE30,1)=0)</formula>
    </cfRule>
  </conditionalFormatting>
  <conditionalFormatting sqref="AE32">
    <cfRule type="expression" priority="66" dxfId="5">
      <formula>AND(ISNUMBER(AE32),MOD(AE32,1)=0)</formula>
    </cfRule>
  </conditionalFormatting>
  <conditionalFormatting sqref="AE34">
    <cfRule type="expression" priority="67" dxfId="5">
      <formula>AND(ISNUMBER(AE34),MOD(AE34,1)=0)</formula>
    </cfRule>
  </conditionalFormatting>
  <conditionalFormatting sqref="AE36">
    <cfRule type="expression" priority="68" dxfId="5">
      <formula>AND(ISNUMBER(AE36),MOD(AE36,1)=0)</formula>
    </cfRule>
  </conditionalFormatting>
  <conditionalFormatting sqref="AE38">
    <cfRule type="expression" priority="69" dxfId="5">
      <formula>AND(ISNUMBER(AE38),MOD(AE38,1)=0)</formula>
    </cfRule>
  </conditionalFormatting>
  <conditionalFormatting sqref="AF8">
    <cfRule type="expression" priority="70" dxfId="5">
      <formula>AND(ISNUMBER(AF8),MOD(AF8,1)=0)</formula>
    </cfRule>
  </conditionalFormatting>
  <conditionalFormatting sqref="AF10">
    <cfRule type="expression" priority="71" dxfId="5">
      <formula>AND(ISNUMBER(AF10),MOD(AF10,1)=0)</formula>
    </cfRule>
  </conditionalFormatting>
  <conditionalFormatting sqref="AF12">
    <cfRule type="expression" priority="72" dxfId="5">
      <formula>AND(ISNUMBER(AF12),MOD(AF12,1)=0)</formula>
    </cfRule>
  </conditionalFormatting>
  <conditionalFormatting sqref="AF14">
    <cfRule type="expression" priority="73" dxfId="5">
      <formula>AND(ISNUMBER(AF14),MOD(AF14,1)=0)</formula>
    </cfRule>
  </conditionalFormatting>
  <conditionalFormatting sqref="AF16">
    <cfRule type="expression" priority="74" dxfId="5">
      <formula>AND(ISNUMBER(AF16),MOD(AF16,1)=0)</formula>
    </cfRule>
  </conditionalFormatting>
  <conditionalFormatting sqref="AF18">
    <cfRule type="expression" priority="75" dxfId="5">
      <formula>AND(ISNUMBER(AF18),MOD(AF18,1)=0)</formula>
    </cfRule>
  </conditionalFormatting>
  <conditionalFormatting sqref="AF20">
    <cfRule type="expression" priority="76" dxfId="5">
      <formula>AND(ISNUMBER(AF20),MOD(AF20,1)=0)</formula>
    </cfRule>
  </conditionalFormatting>
  <conditionalFormatting sqref="AF22">
    <cfRule type="expression" priority="77" dxfId="5">
      <formula>AND(ISNUMBER(AF22),MOD(AF22,1)=0)</formula>
    </cfRule>
  </conditionalFormatting>
  <conditionalFormatting sqref="AF24">
    <cfRule type="expression" priority="78" dxfId="5">
      <formula>AND(ISNUMBER(AF24),MOD(AF24,1)=0)</formula>
    </cfRule>
  </conditionalFormatting>
  <conditionalFormatting sqref="AF26">
    <cfRule type="expression" priority="79" dxfId="5">
      <formula>AND(ISNUMBER(AF26),MOD(AF26,1)=0)</formula>
    </cfRule>
  </conditionalFormatting>
  <conditionalFormatting sqref="AF28">
    <cfRule type="expression" priority="80" dxfId="5">
      <formula>AND(ISNUMBER(AF28),MOD(AF28,1)=0)</formula>
    </cfRule>
  </conditionalFormatting>
  <conditionalFormatting sqref="AF30">
    <cfRule type="expression" priority="81" dxfId="5">
      <formula>AND(ISNUMBER(AF30),MOD(AF30,1)=0)</formula>
    </cfRule>
  </conditionalFormatting>
  <conditionalFormatting sqref="AF32">
    <cfRule type="expression" priority="82" dxfId="5">
      <formula>AND(ISNUMBER(AF32),MOD(AF32,1)=0)</formula>
    </cfRule>
  </conditionalFormatting>
  <conditionalFormatting sqref="AF34">
    <cfRule type="expression" priority="83" dxfId="5">
      <formula>AND(ISNUMBER(AF34),MOD(AF34,1)=0)</formula>
    </cfRule>
  </conditionalFormatting>
  <conditionalFormatting sqref="AF36">
    <cfRule type="expression" priority="84" dxfId="5">
      <formula>AND(ISNUMBER(AF36),MOD(AF36,1)=0)</formula>
    </cfRule>
  </conditionalFormatting>
  <conditionalFormatting sqref="AF38">
    <cfRule type="expression" priority="85" dxfId="5">
      <formula>AND(ISNUMBER(AF38),MOD(AF38,1)=0)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회의 공정표</dc:title>
  <dcterms:created xmlns:dcterms="http://purl.org/dc/terms/" xmlns:xsi="http://www.w3.org/2001/XMLSchema-instance" xsi:type="dcterms:W3CDTF">2026-09-29T08:50:36Z</dcterms:created>
  <dcterms:modified xmlns:dcterms="http://purl.org/dc/terms/" xmlns:xsi="http://www.w3.org/2001/XMLSchema-instance" xsi:type="dcterms:W3CDTF">2026-09-29T08:50:37Z</dcterms:modified>
</cp:coreProperties>
</file>