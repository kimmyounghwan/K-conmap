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(품질)" sheetId="1" state="visible" r:id="rId1"/>
    <sheet xmlns:r="http://schemas.openxmlformats.org/officeDocument/2006/relationships" name="품질관리비" sheetId="2" state="visible" r:id="rId2"/>
    <sheet xmlns:r="http://schemas.openxmlformats.org/officeDocument/2006/relationships" name="품질세부" sheetId="3" state="visible" r:id="rId3"/>
    <sheet xmlns:r="http://schemas.openxmlformats.org/officeDocument/2006/relationships" name="사진대지(품질)" sheetId="4" state="visible" r:id="rId4"/>
    <sheet xmlns:r="http://schemas.openxmlformats.org/officeDocument/2006/relationships" name="표지(안전)" sheetId="5" state="visible" r:id="rId5"/>
    <sheet xmlns:r="http://schemas.openxmlformats.org/officeDocument/2006/relationships" name="안전관리비" sheetId="6" state="visible" r:id="rId6"/>
    <sheet xmlns:r="http://schemas.openxmlformats.org/officeDocument/2006/relationships" name="안전세부" sheetId="7" state="visible" r:id="rId7"/>
    <sheet xmlns:r="http://schemas.openxmlformats.org/officeDocument/2006/relationships" name="사진대지(안전)" sheetId="8" state="visible" r:id="rId8"/>
    <sheet xmlns:r="http://schemas.openxmlformats.org/officeDocument/2006/relationships" name="노임명세서" sheetId="9" state="visible" r:id="rId9"/>
    <sheet xmlns:r="http://schemas.openxmlformats.org/officeDocument/2006/relationships" name="예시-표지(품질)" sheetId="10" state="visible" r:id="rId10"/>
    <sheet xmlns:r="http://schemas.openxmlformats.org/officeDocument/2006/relationships" name="예시-품질관리비" sheetId="11" state="visible" r:id="rId11"/>
    <sheet xmlns:r="http://schemas.openxmlformats.org/officeDocument/2006/relationships" name="예시-품질세부" sheetId="12" state="visible" r:id="rId12"/>
    <sheet xmlns:r="http://schemas.openxmlformats.org/officeDocument/2006/relationships" name="예시-사진대지(품질)" sheetId="13" state="visible" r:id="rId13"/>
    <sheet xmlns:r="http://schemas.openxmlformats.org/officeDocument/2006/relationships" name="예시-표지(안전)" sheetId="14" state="visible" r:id="rId14"/>
    <sheet xmlns:r="http://schemas.openxmlformats.org/officeDocument/2006/relationships" name="예시-안전관리비" sheetId="15" state="visible" r:id="rId15"/>
    <sheet xmlns:r="http://schemas.openxmlformats.org/officeDocument/2006/relationships" name="예시-안전세부" sheetId="16" state="visible" r:id="rId16"/>
    <sheet xmlns:r="http://schemas.openxmlformats.org/officeDocument/2006/relationships" name="예시-사진대지(안전)" sheetId="17" state="visible" r:id="rId17"/>
    <sheet xmlns:r="http://schemas.openxmlformats.org/officeDocument/2006/relationships" name="예시-노임명세서" sheetId="18" state="visible" r:id="rId18"/>
  </sheets>
  <definedNames>
    <definedName name="_xlnm.Print_Area" localSheetId="0">'표지(품질)'!$A$1:$L$9</definedName>
    <definedName name="_xlnm.Print_Area" localSheetId="1">'품질관리비'!$A$1:$L$28</definedName>
    <definedName name="_xlnm.Print_Area" localSheetId="2">'품질세부'!$A$1:$L$28</definedName>
    <definedName name="_xlnm.Print_Area" localSheetId="3">'사진대지(품질)'!$A$1:$L$75</definedName>
    <definedName name="_xlnm.Print_Area" localSheetId="4">'표지(안전)'!$A$1:$L$9</definedName>
    <definedName name="_xlnm.Print_Area" localSheetId="5">'안전관리비'!$A$1:$L$27</definedName>
    <definedName name="_xlnm.Print_Area" localSheetId="6">'안전세부'!$A$1:$L$28</definedName>
    <definedName name="_xlnm.Print_Area" localSheetId="7">'사진대지(안전)'!$A$1:$L$75</definedName>
    <definedName name="_xlnm.Print_Area" localSheetId="8">'노임명세서'!$A$1:$AB$33</definedName>
    <definedName name="_xlnm.Print_Area" localSheetId="9">'예시-표지(품질)'!$A$1:$L$9</definedName>
    <definedName name="_xlnm.Print_Area" localSheetId="10">'예시-품질관리비'!$A$1:$L$28</definedName>
    <definedName name="_xlnm.Print_Area" localSheetId="11">'예시-품질세부'!$A$1:$L$28</definedName>
    <definedName name="_xlnm.Print_Area" localSheetId="12">'예시-사진대지(품질)'!$A$1:$L$75</definedName>
    <definedName name="_xlnm.Print_Area" localSheetId="13">'예시-표지(안전)'!$A$1:$L$9</definedName>
    <definedName name="_xlnm.Print_Area" localSheetId="14">'예시-안전관리비'!$A$1:$L$27</definedName>
    <definedName name="_xlnm.Print_Area" localSheetId="15">'예시-안전세부'!$A$1:$L$28</definedName>
    <definedName name="_xlnm.Print_Area" localSheetId="16">'예시-사진대지(안전)'!$A$1:$L$75</definedName>
    <definedName name="_xlnm.Print_Area" localSheetId="17">'예시-노임명세서'!$A$1:$AB$33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&quot; 원&quot;"/>
    <numFmt numFmtId="165" formatCode="yyyy. m. d."/>
    <numFmt numFmtId="166" formatCode="yyyy&quot;년 &quot;m&quot;월&quot;"/>
    <numFmt numFmtId="167" formatCode="#,##0;[Red]-#,##0;&quot;&quot;"/>
    <numFmt numFmtId="168" formatCode="#,##0;[Red]-#,##0;0"/>
    <numFmt numFmtId="169" formatCode="m&quot;/&quot;d"/>
    <numFmt numFmtId="170" formatCode="#,##0.##"/>
    <numFmt numFmtId="171" formatCode="0.#"/>
    <numFmt numFmtId="172" formatCode="0.0%"/>
    <numFmt numFmtId="173" formatCode="0.000%"/>
    <numFmt numFmtId="174" formatCode="0&quot;일&quot;"/>
    <numFmt numFmtId="175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7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8.5"/>
    </font>
    <font>
      <name val="맑은 고딕"/>
      <b val="1"/>
      <color rgb="001F2937"/>
      <sz val="9.5"/>
    </font>
    <font>
      <name val="맑은 고딕"/>
      <color rgb="001F2937"/>
      <sz val="9"/>
    </font>
    <font>
      <name val="맑은 고딕"/>
      <color rgb="001F2937"/>
      <sz val="10"/>
    </font>
    <font>
      <name val="맑은 고딕"/>
      <color rgb="00000000"/>
      <sz val="8.5"/>
    </font>
    <font>
      <name val="맑은 고딕"/>
      <color rgb="00DC2626"/>
      <sz val="9"/>
    </font>
    <font>
      <name val="맑은 고딕"/>
      <color rgb="001F2937"/>
      <sz val="11"/>
    </font>
    <font>
      <name val="맑은 고딕"/>
      <b val="1"/>
      <color rgb="001F2937"/>
      <sz val="16"/>
    </font>
    <font>
      <name val="맑은 고딕"/>
      <b val="1"/>
      <color rgb="00111827"/>
      <sz val="26"/>
    </font>
    <font>
      <name val="맑은 고딕"/>
      <color rgb="001F2937"/>
      <sz val="14"/>
    </font>
    <font>
      <name val="맑은 고딕"/>
      <b val="1"/>
      <color rgb="00111827"/>
      <sz val="16"/>
    </font>
    <font>
      <name val="맑은 고딕"/>
      <b val="1"/>
      <color rgb="001F2937"/>
      <sz val="9"/>
    </font>
    <font>
      <name val="맑은 고딕"/>
      <color rgb="00000000"/>
      <sz val="7.5"/>
    </font>
    <font>
      <name val="맑은 고딕"/>
      <color rgb="00000000"/>
      <sz val="9"/>
    </font>
    <font>
      <name val="맑은 고딕"/>
      <b val="1"/>
      <color rgb="00111827"/>
      <sz val="18"/>
    </font>
    <font>
      <name val="맑은 고딕"/>
      <color rgb="001F2937"/>
      <sz val="9.5"/>
    </font>
    <font>
      <name val="맑은 고딕"/>
      <b val="1"/>
      <color rgb="001F2937"/>
      <sz val="8"/>
    </font>
    <font>
      <name val="맑은 고딕"/>
      <b val="1"/>
      <color rgb="001F2937"/>
      <sz val="8.5"/>
    </font>
    <font>
      <name val="맑은 고딕"/>
      <color rgb="00000000"/>
      <sz val="8"/>
    </font>
    <font>
      <name val="맑은 고딕"/>
      <color rgb="001F2937"/>
      <sz val="7.5"/>
    </font>
    <font>
      <name val="맑은 고딕"/>
      <color rgb="001F2937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0" borderId="1" applyAlignment="1" pivotButton="0" quotePrefix="0" xfId="0">
      <alignment horizontal="center" vertical="center" shrinkToFit="1"/>
    </xf>
    <xf numFmtId="10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168" fontId="10" fillId="3" borderId="1" applyAlignment="1" pivotButton="0" quotePrefix="0" xfId="0">
      <alignment horizontal="right" vertical="center" shrinkToFit="1"/>
    </xf>
    <xf numFmtId="0" fontId="11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 shrinkToFi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69" fontId="20" fillId="0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left" vertical="center" wrapText="1"/>
    </xf>
    <xf numFmtId="170" fontId="20" fillId="0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center" vertical="center" wrapText="1"/>
    </xf>
    <xf numFmtId="167" fontId="20" fillId="0" borderId="1" applyAlignment="1" pivotButton="0" quotePrefix="0" xfId="0">
      <alignment horizontal="right" vertical="center" shrinkToFit="1"/>
    </xf>
    <xf numFmtId="167" fontId="9" fillId="3" borderId="1" applyAlignment="1" pivotButton="0" quotePrefix="0" xfId="0">
      <alignment horizontal="right" vertical="center" shrinkToFit="1"/>
    </xf>
    <xf numFmtId="167" fontId="18" fillId="3" borderId="1" applyAlignment="1" pivotButton="0" quotePrefix="0" xfId="0">
      <alignment horizontal="right" vertical="center" shrinkToFit="1"/>
    </xf>
    <xf numFmtId="0" fontId="21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22" fillId="3" borderId="1" applyAlignment="1" pivotButton="0" quotePrefix="0" xfId="0">
      <alignment horizontal="left" vertical="center" wrapText="1"/>
    </xf>
    <xf numFmtId="164" fontId="10" fillId="3" borderId="1" applyAlignment="1" pivotButton="0" quotePrefix="0" xfId="0">
      <alignment horizontal="right" vertical="center" shrinkToFit="1"/>
    </xf>
    <xf numFmtId="0" fontId="22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10" fontId="10" fillId="3" borderId="1" applyAlignment="1" pivotButton="0" quotePrefix="0" xfId="0">
      <alignment horizontal="center" vertical="center" shrinkToFi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71" fontId="25" fillId="0" borderId="1" applyAlignment="1" pivotButton="0" quotePrefix="0" xfId="0">
      <alignment horizontal="center" vertical="center" shrinkToFit="1"/>
    </xf>
    <xf numFmtId="171" fontId="18" fillId="3" borderId="1" applyAlignment="1" pivotButton="0" quotePrefix="0" xfId="0">
      <alignment horizontal="center" vertical="center" shrinkToFit="1"/>
    </xf>
    <xf numFmtId="167" fontId="7" fillId="3" borderId="1" applyAlignment="1" pivotButton="0" quotePrefix="0" xfId="0">
      <alignment horizontal="right" vertical="center" shrinkToFit="1"/>
    </xf>
    <xf numFmtId="0" fontId="10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167" fontId="11" fillId="6" borderId="1" applyAlignment="1" pivotButton="0" quotePrefix="0" xfId="0">
      <alignment horizontal="right" vertical="center" shrinkToFit="1"/>
    </xf>
    <xf numFmtId="172" fontId="11" fillId="6" borderId="1" applyAlignment="1" pivotButton="0" quotePrefix="0" xfId="0">
      <alignment horizontal="right" vertical="center" shrinkToFit="1"/>
    </xf>
    <xf numFmtId="10" fontId="11" fillId="6" borderId="1" applyAlignment="1" pivotButton="0" quotePrefix="0" xfId="0">
      <alignment horizontal="right" vertical="center" shrinkToFit="1"/>
    </xf>
    <xf numFmtId="173" fontId="11" fillId="6" borderId="1" applyAlignment="1" pivotButton="0" quotePrefix="0" xfId="0">
      <alignment horizontal="right" vertical="center" shrinkToFit="1"/>
    </xf>
    <xf numFmtId="0" fontId="26" fillId="0" borderId="1" applyAlignment="1" pivotButton="0" quotePrefix="0" xfId="0">
      <alignment horizontal="left" vertical="center" wrapText="1"/>
    </xf>
    <xf numFmtId="10" fontId="25" fillId="6" borderId="1" applyAlignment="1" pivotButton="0" quotePrefix="0" xfId="0">
      <alignment horizontal="right" vertical="center" shrinkToFit="1"/>
    </xf>
    <xf numFmtId="0" fontId="27" fillId="0" borderId="1" applyAlignment="1" pivotButton="0" quotePrefix="0" xfId="0">
      <alignment horizontal="left" vertical="center" wrapText="1"/>
    </xf>
    <xf numFmtId="172" fontId="25" fillId="6" borderId="1" applyAlignment="1" pivotButton="0" quotePrefix="0" xfId="0">
      <alignment horizontal="right" vertical="center" shrinkToFit="1"/>
    </xf>
    <xf numFmtId="174" fontId="25" fillId="6" borderId="1" applyAlignment="1" pivotButton="0" quotePrefix="0" xfId="0">
      <alignment horizontal="right" vertical="center" shrinkToFi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"/>
    </dxf>
    <dxf>
      <numFmt numFmtId="301" formatCode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>
        <f>IF('품질관리비'!I4="","",'품질관리비'!I4)</f>
        <v/>
      </c>
    </row>
    <row r="4" ht="40" customHeight="1"/>
    <row r="5" ht="60" customHeight="1">
      <c r="A5" s="4" t="inlineStr">
        <is>
          <t>품질관리비 사용내역서</t>
        </is>
      </c>
    </row>
    <row r="6" ht="60" customHeight="1"/>
    <row r="7" ht="30" customHeight="1">
      <c r="A7" s="5">
        <f>IF(N('품질관리비'!C8)=0,"20    년    월분",IF(N('품질관리비'!C8)=0,"",YEAR('품질관리비'!C8)&amp;"년 "&amp;IF(MONTH('품질관리비'!C8)&lt;10,"0","")&amp;MONTH('품질관리비'!C8)&amp;"월")&amp;"분")</f>
        <v/>
      </c>
    </row>
    <row r="8" ht="230" customHeight="1"/>
    <row r="9" ht="40" customHeight="1">
      <c r="A9" s="3">
        <f>IF('품질관리비'!C4="","",'품질관리비'!C4)</f>
        <v/>
      </c>
    </row>
    <row r="11" ht="19.5" customHeight="1">
      <c r="A11" s="6" t="inlineStr">
        <is>
          <t>공사명 · 사용 월 · 업체는 «품질관리비» 시트에 한 번만 적으면 표지들에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>
      <c r="A2" s="7">
        <f>"품질관리비 사용내역서"&amp;IF(N(C8)=0,"","("&amp;IF(N(C8)=0,"",YEAR(C8)&amp;"년 "&amp;IF(MONTH(C8)&lt;10,"0","")&amp;MONTH(C8)&amp;"월")&amp;")")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10" t="n"/>
      <c r="D4" s="9" t="n"/>
      <c r="E4" s="9" t="n"/>
      <c r="F4" s="9" t="n"/>
      <c r="G4" s="8" t="inlineStr">
        <is>
          <t>공  사  명</t>
        </is>
      </c>
      <c r="H4" s="9" t="n"/>
      <c r="I4" s="11" t="n"/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11" t="n"/>
      <c r="D5" s="9" t="n"/>
      <c r="E5" s="9" t="n"/>
      <c r="F5" s="9" t="n"/>
      <c r="G5" s="8" t="inlineStr">
        <is>
          <t>대  표  자</t>
        </is>
      </c>
      <c r="H5" s="9" t="n"/>
      <c r="I5" s="10" t="n"/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12" t="n"/>
      <c r="D6" s="9" t="n"/>
      <c r="E6" s="9" t="n"/>
      <c r="F6" s="9" t="n"/>
      <c r="G6" s="8" t="inlineStr">
        <is>
          <t>공 사 기 간</t>
        </is>
      </c>
      <c r="H6" s="9" t="n"/>
      <c r="I6" s="13" t="n"/>
      <c r="J6" s="9" t="n"/>
      <c r="K6" s="13" t="n"/>
      <c r="L6" s="9" t="n"/>
    </row>
    <row r="7" ht="28" customHeight="1">
      <c r="A7" s="8" t="inlineStr">
        <is>
          <t>발  주  자</t>
        </is>
      </c>
      <c r="B7" s="9" t="n"/>
      <c r="C7" s="10" t="n"/>
      <c r="D7" s="9" t="n"/>
      <c r="E7" s="9" t="n"/>
      <c r="F7" s="9" t="n"/>
      <c r="G7" s="8" t="inlineStr">
        <is>
          <t>누계 공정률</t>
        </is>
      </c>
      <c r="H7" s="9" t="n"/>
      <c r="I7" s="14" t="n"/>
      <c r="J7" s="9" t="n"/>
      <c r="K7" s="9" t="n"/>
      <c r="L7" s="9" t="n"/>
    </row>
    <row r="8" ht="24" customHeight="1">
      <c r="A8" s="8" t="inlineStr">
        <is>
          <t>사 용 월</t>
        </is>
      </c>
      <c r="B8" s="9" t="n"/>
      <c r="C8" s="15" t="n"/>
      <c r="D8" s="9" t="n"/>
      <c r="E8" s="9" t="n"/>
      <c r="F8" s="9" t="n"/>
      <c r="G8" s="16" t="inlineStr">
        <is>
          <t>← 그 달 1일을 적으세요(제목 · 날짜 · 표지가 따라감)</t>
        </is>
      </c>
    </row>
    <row r="9" ht="30" customHeight="1">
      <c r="A9" s="17" t="inlineStr">
        <is>
          <t>계상된
품질관리비</t>
        </is>
      </c>
      <c r="B9" s="9" t="n"/>
      <c r="C9" s="12" t="n"/>
      <c r="D9" s="9" t="n"/>
      <c r="E9" s="9" t="n"/>
      <c r="F9" s="9" t="n"/>
      <c r="G9" s="8" t="inlineStr">
        <is>
          <t>사 용 률</t>
        </is>
      </c>
      <c r="H9" s="9" t="n"/>
      <c r="I9" s="18">
        <f>IF(OR(N(C9)=0,N(I21)=0),"",I21/C9)</f>
        <v/>
      </c>
      <c r="J9" s="9" t="n"/>
      <c r="K9" s="9" t="n"/>
      <c r="L9" s="9" t="n"/>
    </row>
    <row r="10" ht="6" customHeight="1"/>
    <row r="11" ht="26" customHeight="1">
      <c r="A11" s="19" t="inlineStr">
        <is>
          <t>사        용        금        액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4" customHeight="1">
      <c r="A12" s="19" t="inlineStr">
        <is>
          <t>항        목</t>
        </is>
      </c>
      <c r="B12" s="9" t="n"/>
      <c r="C12" s="9" t="n"/>
      <c r="D12" s="9" t="n"/>
      <c r="E12" s="20">
        <f>"전회 누계금액"&amp;CHAR(10)&amp;IF(N(C8)=0,"(전월까지)","("&amp;MONTH(C8-1)&amp;"월까지)")</f>
        <v/>
      </c>
      <c r="F12" s="9" t="n"/>
      <c r="G12" s="20">
        <f>"금회 금액"&amp;CHAR(10)&amp;IF(N(C8)=0,"(이번 달)","("&amp;MONTH(C8)&amp;"월)")</f>
        <v/>
      </c>
      <c r="H12" s="9" t="n"/>
      <c r="I12" s="19" t="inlineStr">
        <is>
          <t>누 계 금 액</t>
        </is>
      </c>
      <c r="J12" s="9" t="n"/>
      <c r="K12" s="19" t="inlineStr">
        <is>
          <t>비   고</t>
        </is>
      </c>
      <c r="L12" s="9" t="n"/>
    </row>
    <row r="13" ht="28" customHeight="1">
      <c r="A13" s="11" t="inlineStr">
        <is>
          <t>1. 품질시험비</t>
        </is>
      </c>
      <c r="B13" s="9" t="n"/>
      <c r="C13" s="9" t="n"/>
      <c r="D13" s="9" t="n"/>
      <c r="E13" s="21" t="n"/>
      <c r="F13" s="9" t="n"/>
      <c r="G13" s="22">
        <f>IF(A13="","",SUMIF('품질세부'!A5:A26,A13,'품질세부'!L5:L26))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28" customHeight="1">
      <c r="A14" s="11" t="inlineStr">
        <is>
          <t>2. 품질관리활동비</t>
        </is>
      </c>
      <c r="B14" s="9" t="n"/>
      <c r="C14" s="9" t="n"/>
      <c r="D14" s="9" t="n"/>
      <c r="E14" s="21" t="n"/>
      <c r="F14" s="9" t="n"/>
      <c r="G14" s="22">
        <f>IF(A14="","",SUMIF('품질세부'!A5:A26,A14,'품질세부'!L5:L26))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28" customHeight="1">
      <c r="A15" s="11" t="n"/>
      <c r="B15" s="9" t="n"/>
      <c r="C15" s="9" t="n"/>
      <c r="D15" s="9" t="n"/>
      <c r="E15" s="21" t="n"/>
      <c r="F15" s="9" t="n"/>
      <c r="G15" s="22">
        <f>IF(A15="","",SUMIF('품질세부'!A5:A26,A15,'품질세부'!L5:L26))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28" customHeight="1">
      <c r="A16" s="11" t="n"/>
      <c r="B16" s="9" t="n"/>
      <c r="C16" s="9" t="n"/>
      <c r="D16" s="9" t="n"/>
      <c r="E16" s="21" t="n"/>
      <c r="F16" s="9" t="n"/>
      <c r="G16" s="22">
        <f>IF(A16="","",SUMIF('품질세부'!A5:A26,A16,'품질세부'!L5:L26))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28" customHeight="1">
      <c r="A17" s="11" t="n"/>
      <c r="B17" s="9" t="n"/>
      <c r="C17" s="9" t="n"/>
      <c r="D17" s="9" t="n"/>
      <c r="E17" s="21" t="n"/>
      <c r="F17" s="9" t="n"/>
      <c r="G17" s="22">
        <f>IF(A17="","",SUMIF('품질세부'!A5:A26,A17,'품질세부'!L5:L26))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28" customHeight="1">
      <c r="A18" s="11" t="n"/>
      <c r="B18" s="9" t="n"/>
      <c r="C18" s="9" t="n"/>
      <c r="D18" s="9" t="n"/>
      <c r="E18" s="21" t="n"/>
      <c r="F18" s="9" t="n"/>
      <c r="G18" s="22">
        <f>IF(A18="","",SUMIF('품질세부'!A5:A26,A18,'품질세부'!L5:L26))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28" customHeight="1">
      <c r="A19" s="11" t="n"/>
      <c r="B19" s="9" t="n"/>
      <c r="C19" s="9" t="n"/>
      <c r="D19" s="9" t="n"/>
      <c r="E19" s="21" t="n"/>
      <c r="F19" s="9" t="n"/>
      <c r="G19" s="22">
        <f>IF(A19="","",SUMIF('품질세부'!A5:A26,A19,'품질세부'!L5:L26))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11" t="n"/>
      <c r="B20" s="9" t="n"/>
      <c r="C20" s="9" t="n"/>
      <c r="D20" s="9" t="n"/>
      <c r="E20" s="21" t="n"/>
      <c r="F20" s="9" t="n"/>
      <c r="G20" s="22">
        <f>IF(A20="","",SUMIF('품질세부'!A5:A26,A20,'품질세부'!L5:L26))</f>
        <v/>
      </c>
      <c r="H20" s="9" t="n"/>
      <c r="I20" s="22">
        <f>IF(A20="","",N(E20)+N(G20))</f>
        <v/>
      </c>
      <c r="J20" s="9" t="n"/>
      <c r="K20" s="23" t="n"/>
      <c r="L20" s="9" t="n"/>
    </row>
    <row r="21" ht="28" customHeight="1">
      <c r="A21" s="24" t="inlineStr">
        <is>
          <t>계</t>
        </is>
      </c>
      <c r="B21" s="9" t="n"/>
      <c r="C21" s="9" t="n"/>
      <c r="D21" s="9" t="n"/>
      <c r="E21" s="25">
        <f>SUM(E13:E20)</f>
        <v/>
      </c>
      <c r="F21" s="9" t="n"/>
      <c r="G21" s="25">
        <f>SUM(G13:G20)</f>
        <v/>
      </c>
      <c r="H21" s="9" t="n"/>
      <c r="I21" s="25">
        <f>SUM(I13:I20)</f>
        <v/>
      </c>
      <c r="J21" s="9" t="n"/>
      <c r="K21" s="24" t="inlineStr"/>
      <c r="L21" s="9" t="n"/>
    </row>
    <row r="22" ht="16" customHeight="1">
      <c r="A22" s="26">
        <f>IF(ROUND(SUM('품질세부'!L5:L26)-G21,0)&lt;&gt;0,"⚠ 항목별 사용내역서 합계와 금회 합계가 다릅니다 — 항목 이름이 위 표와 똑같은지 보세요.","")</f>
        <v/>
      </c>
    </row>
    <row r="23" ht="10" customHeight="1"/>
    <row r="24" ht="26" customHeight="1">
      <c r="A24" s="27" t="inlineStr">
        <is>
          <t xml:space="preserve">      건설공사 품질관리비 계상 및 사용기준에 의거 위와 같이 사용내역을 제출합니다.</t>
        </is>
      </c>
    </row>
    <row r="25" ht="10" customHeight="1"/>
    <row r="26" ht="26" customHeight="1">
      <c r="A26" s="28">
        <f>IF(N(C8)=0,"20     년      월      일",YEAR(C8)&amp;" 년  "&amp;MONTH(C8)&amp;" 월  "&amp;DAY(DATE(YEAR(C8),MONTH(C8)+1,0))&amp;" 일")</f>
        <v/>
      </c>
    </row>
    <row r="27" ht="16" customHeight="1"/>
    <row r="28" ht="28" customHeight="1">
      <c r="A28" s="29" t="inlineStr"/>
      <c r="D28" s="30" t="inlineStr">
        <is>
          <t>작 성 자 :</t>
        </is>
      </c>
      <c r="F28" s="31" t="n"/>
      <c r="H28" s="30" t="inlineStr">
        <is>
          <t>현장대리인</t>
        </is>
      </c>
      <c r="J28" s="31" t="n"/>
      <c r="L28" s="32" t="inlineStr">
        <is>
          <t>(인)</t>
        </is>
      </c>
    </row>
    <row r="30" ht="34" customHeight="1">
      <c r="A30" s="6" t="inlineStr">
        <is>
          <t>하늘색 칸 = 자동. 금회 금액은 «품질세부» 시트에서 항목 이름으로 모읍니다 — 전회 누계금액(지난달 표의 누계)만 옮겨 적으세요.</t>
        </is>
      </c>
    </row>
  </sheetData>
  <mergeCells count="87">
    <mergeCell ref="G21:H21"/>
    <mergeCell ref="A20:D20"/>
    <mergeCell ref="I4:L4"/>
    <mergeCell ref="J28:K28"/>
    <mergeCell ref="A13:D13"/>
    <mergeCell ref="A26:L26"/>
    <mergeCell ref="A7:B7"/>
    <mergeCell ref="I16:J16"/>
    <mergeCell ref="C6:F6"/>
    <mergeCell ref="A15:D15"/>
    <mergeCell ref="G18:H18"/>
    <mergeCell ref="I18:J18"/>
    <mergeCell ref="A16:D16"/>
    <mergeCell ref="G20:H20"/>
    <mergeCell ref="I20:J20"/>
    <mergeCell ref="G8:L8"/>
    <mergeCell ref="I13:J13"/>
    <mergeCell ref="A9:B9"/>
    <mergeCell ref="K13:L13"/>
    <mergeCell ref="E12:F12"/>
    <mergeCell ref="A17:D17"/>
    <mergeCell ref="G12:H12"/>
    <mergeCell ref="I6:J6"/>
    <mergeCell ref="I15:J15"/>
    <mergeCell ref="K15:L15"/>
    <mergeCell ref="E14:F14"/>
    <mergeCell ref="A19:D19"/>
    <mergeCell ref="K21:L21"/>
    <mergeCell ref="G7:H7"/>
    <mergeCell ref="C5:F5"/>
    <mergeCell ref="C4:F4"/>
    <mergeCell ref="F28:G28"/>
    <mergeCell ref="I7:L7"/>
    <mergeCell ref="H28:I28"/>
    <mergeCell ref="A8:B8"/>
    <mergeCell ref="I17:J17"/>
    <mergeCell ref="K17:L17"/>
    <mergeCell ref="A24:L24"/>
    <mergeCell ref="E16:F16"/>
    <mergeCell ref="G16:H16"/>
    <mergeCell ref="I19:J19"/>
    <mergeCell ref="K19:L19"/>
    <mergeCell ref="K6:L6"/>
    <mergeCell ref="G9:H9"/>
    <mergeCell ref="E18:F18"/>
    <mergeCell ref="K16:L16"/>
    <mergeCell ref="I5:L5"/>
    <mergeCell ref="C8:F8"/>
    <mergeCell ref="A2:L2"/>
    <mergeCell ref="E20:F20"/>
    <mergeCell ref="I9:L9"/>
    <mergeCell ref="E13:F13"/>
    <mergeCell ref="A22:L22"/>
    <mergeCell ref="G13:H13"/>
    <mergeCell ref="I21:J21"/>
    <mergeCell ref="A28:C28"/>
    <mergeCell ref="E15:F15"/>
    <mergeCell ref="G15:H15"/>
    <mergeCell ref="A5:B5"/>
    <mergeCell ref="D28:E28"/>
    <mergeCell ref="A4:B4"/>
    <mergeCell ref="A12:D12"/>
    <mergeCell ref="A1:F1"/>
    <mergeCell ref="A21:D21"/>
    <mergeCell ref="K18:L18"/>
    <mergeCell ref="A14:D14"/>
    <mergeCell ref="C7:F7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K12:L12"/>
    <mergeCell ref="G5:H5"/>
    <mergeCell ref="G14:H14"/>
    <mergeCell ref="I14:J14"/>
    <mergeCell ref="K14:L14"/>
    <mergeCell ref="G4:H4"/>
    <mergeCell ref="C9:F9"/>
    <mergeCell ref="A18:D18"/>
    <mergeCell ref="A30:L30"/>
    <mergeCell ref="A11:L11"/>
    <mergeCell ref="E21:F21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8" customHeight="1">
      <c r="A2" s="33">
        <f>"품질관리비 항목별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24" customHeight="1">
      <c r="A3" s="34" t="inlineStr">
        <is>
          <t>공 사 명 :</t>
        </is>
      </c>
      <c r="C3" s="29">
        <f>IF('품질관리비'!I4="","",'품질관리비'!I4)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n"/>
      <c r="B5" s="9" t="n"/>
      <c r="C5" s="9" t="n"/>
      <c r="D5" s="37" t="n"/>
      <c r="E5" s="38" t="n"/>
      <c r="F5" s="9" t="n"/>
      <c r="G5" s="23" t="n"/>
      <c r="H5" s="9" t="n"/>
      <c r="I5" s="39" t="n"/>
      <c r="J5" s="40" t="n"/>
      <c r="K5" s="41" t="n"/>
      <c r="L5" s="42">
        <f>IF(OR(N(I5)=0,N(K5)=0),"",ROUND(I5*K5,0))</f>
        <v/>
      </c>
    </row>
    <row r="6" ht="24" customHeight="1">
      <c r="A6" s="36" t="n"/>
      <c r="B6" s="9" t="n"/>
      <c r="C6" s="9" t="n"/>
      <c r="D6" s="37" t="n"/>
      <c r="E6" s="38" t="n"/>
      <c r="F6" s="9" t="n"/>
      <c r="G6" s="23" t="n"/>
      <c r="H6" s="9" t="n"/>
      <c r="I6" s="39" t="n"/>
      <c r="J6" s="40" t="n"/>
      <c r="K6" s="41" t="n"/>
      <c r="L6" s="42">
        <f>IF(OR(N(I6)=0,N(K6)=0),"",ROUND(I6*K6,0))</f>
        <v/>
      </c>
    </row>
    <row r="7" ht="24" customHeight="1">
      <c r="A7" s="36" t="n"/>
      <c r="B7" s="9" t="n"/>
      <c r="C7" s="9" t="n"/>
      <c r="D7" s="37" t="n"/>
      <c r="E7" s="38" t="n"/>
      <c r="F7" s="9" t="n"/>
      <c r="G7" s="23" t="n"/>
      <c r="H7" s="9" t="n"/>
      <c r="I7" s="39" t="n"/>
      <c r="J7" s="40" t="n"/>
      <c r="K7" s="41" t="n"/>
      <c r="L7" s="42">
        <f>IF(OR(N(I7)=0,N(K7)=0),"",ROUND(I7*K7,0))</f>
        <v/>
      </c>
    </row>
    <row r="8" ht="24" customHeight="1">
      <c r="A8" s="36" t="n"/>
      <c r="B8" s="9" t="n"/>
      <c r="C8" s="9" t="n"/>
      <c r="D8" s="37" t="n"/>
      <c r="E8" s="38" t="n"/>
      <c r="F8" s="9" t="n"/>
      <c r="G8" s="23" t="n"/>
      <c r="H8" s="9" t="n"/>
      <c r="I8" s="39" t="n"/>
      <c r="J8" s="40" t="n"/>
      <c r="K8" s="41" t="n"/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품질관리비 사용내역서의 항목 이름과 똑같이 적으세요(복사해 붙이기 권함). 금액 = 수량 × 단가(원 단위 반올림).</t>
        </is>
      </c>
    </row>
    <row r="30" ht="34" customHeight="1">
      <c r="A30" s="6" t="inlineStr">
        <is>
          <t>하늘색 칸 = 금액(자동). 인건비처럼 명세서가 따로 있으면 금액 칸에 직접 적거나 명세서 합계를 끌어오세요.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>
        <f>IF('품질관리비'!I4="","",'품질관리비'!I4)</f>
        <v/>
      </c>
    </row>
    <row r="4" ht="40" customHeight="1"/>
    <row r="5" ht="60" customHeight="1">
      <c r="A5" s="4" t="inlineStr">
        <is>
          <t>안전관리비 사용내역서</t>
        </is>
      </c>
    </row>
    <row r="6" ht="60" customHeight="1"/>
    <row r="7" ht="30" customHeight="1">
      <c r="A7" s="5">
        <f>IF(N('품질관리비'!C8)=0,"20    년    월분",IF(N('품질관리비'!C8)=0,"",YEAR('품질관리비'!C8)&amp;"년 "&amp;IF(MONTH('품질관리비'!C8)&lt;10,"0","")&amp;MONTH('품질관리비'!C8)&amp;"월")&amp;"분")</f>
        <v/>
      </c>
    </row>
    <row r="8" ht="230" customHeight="1"/>
    <row r="9" ht="40" customHeight="1">
      <c r="A9" s="3">
        <f>IF('품질관리비'!C4="","",'품질관리비'!C4)</f>
        <v/>
      </c>
    </row>
    <row r="11" ht="19.5" customHeight="1">
      <c r="A11" s="6" t="inlineStr">
        <is>
          <t>공사명 · 사용 월 · 업체는 «품질관리비» 시트에 한 번만 적으면 표지들에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0" customHeight="1">
      <c r="A2" s="7">
        <f>"안전관리비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47">
        <f>IF('품질관리비'!C4="","",'품질관리비'!C4)</f>
        <v/>
      </c>
      <c r="D4" s="9" t="n"/>
      <c r="E4" s="9" t="n"/>
      <c r="F4" s="9" t="n"/>
      <c r="G4" s="8" t="inlineStr">
        <is>
          <t>공  사  명</t>
        </is>
      </c>
      <c r="H4" s="9" t="n"/>
      <c r="I4" s="47">
        <f>IF('품질관리비'!I4="","",'품질관리비'!I4)</f>
        <v/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47">
        <f>IF('품질관리비'!C5="","",'품질관리비'!C5)</f>
        <v/>
      </c>
      <c r="D5" s="9" t="n"/>
      <c r="E5" s="9" t="n"/>
      <c r="F5" s="9" t="n"/>
      <c r="G5" s="8" t="inlineStr">
        <is>
          <t>대  표  자</t>
        </is>
      </c>
      <c r="H5" s="9" t="n"/>
      <c r="I5" s="47">
        <f>IF('품질관리비'!I5="","",'품질관리비'!I5)</f>
        <v/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48">
        <f>IF(N('품질관리비'!C6)=0,"",'품질관리비'!C6)</f>
        <v/>
      </c>
      <c r="D6" s="9" t="n"/>
      <c r="E6" s="9" t="n"/>
      <c r="F6" s="9" t="n"/>
      <c r="G6" s="8" t="inlineStr">
        <is>
          <t>공 사 기 간</t>
        </is>
      </c>
      <c r="H6" s="9" t="n"/>
      <c r="I6" s="49">
        <f>IF(N('품질관리비'!I6)=0,"",YEAR('품질관리비'!I6)&amp;". "&amp;MONTH('품질관리비'!I6)&amp;". "&amp;DAY('품질관리비'!I6)&amp;". ~ "&amp;YEAR('품질관리비'!K6)&amp;". "&amp;MONTH('품질관리비'!K6)&amp;". "&amp;DAY('품질관리비'!K6)&amp;".")</f>
        <v/>
      </c>
      <c r="J6" s="9" t="n"/>
      <c r="K6" s="9" t="n"/>
      <c r="L6" s="9" t="n"/>
    </row>
    <row r="7" ht="28" customHeight="1">
      <c r="A7" s="8" t="inlineStr">
        <is>
          <t>발  주  자</t>
        </is>
      </c>
      <c r="B7" s="9" t="n"/>
      <c r="C7" s="50">
        <f>IF('품질관리비'!C7="","",'품질관리비'!C7)</f>
        <v/>
      </c>
      <c r="D7" s="9" t="n"/>
      <c r="E7" s="9" t="n"/>
      <c r="F7" s="9" t="n"/>
      <c r="G7" s="8" t="inlineStr">
        <is>
          <t>누계 공정률</t>
        </is>
      </c>
      <c r="H7" s="9" t="n"/>
      <c r="I7" s="51">
        <f>IF(N('품질관리비'!I7)=0,"",'품질관리비'!I7)</f>
        <v/>
      </c>
      <c r="J7" s="9" t="n"/>
      <c r="K7" s="9" t="n"/>
      <c r="L7" s="9" t="n"/>
    </row>
    <row r="8" ht="30" customHeight="1">
      <c r="A8" s="17" t="inlineStr">
        <is>
          <t>계상된
안전관리비</t>
        </is>
      </c>
      <c r="B8" s="9" t="n"/>
      <c r="C8" s="12" t="n"/>
      <c r="D8" s="9" t="n"/>
      <c r="E8" s="9" t="n"/>
      <c r="F8" s="9" t="n"/>
      <c r="G8" s="8" t="inlineStr">
        <is>
          <t>사 용 률</t>
        </is>
      </c>
      <c r="H8" s="9" t="n"/>
      <c r="I8" s="18">
        <f>IF(OR(N(C8)=0,N(I20)=0),"",I20/C8)</f>
        <v/>
      </c>
      <c r="J8" s="9" t="n"/>
      <c r="K8" s="9" t="n"/>
      <c r="L8" s="9" t="n"/>
    </row>
    <row r="9" ht="6" customHeight="1"/>
    <row r="10" ht="26" customHeight="1">
      <c r="A10" s="19" t="inlineStr">
        <is>
          <t>사        용        금        액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4" customHeight="1">
      <c r="A11" s="19" t="inlineStr">
        <is>
          <t>항        목</t>
        </is>
      </c>
      <c r="B11" s="9" t="n"/>
      <c r="C11" s="9" t="n"/>
      <c r="D11" s="9" t="n"/>
      <c r="E11" s="20">
        <f>"전회 누계금액"&amp;CHAR(10)&amp;IF(N('품질관리비'!C8)=0,"(전월까지)","("&amp;MONTH('품질관리비'!C8-1)&amp;"월까지)")</f>
        <v/>
      </c>
      <c r="F11" s="9" t="n"/>
      <c r="G11" s="20">
        <f>"금회 금액"&amp;CHAR(10)&amp;IF(N('품질관리비'!C8)=0,"(이번 달)","("&amp;MONTH('품질관리비'!C8)&amp;"월)")</f>
        <v/>
      </c>
      <c r="H11" s="9" t="n"/>
      <c r="I11" s="19" t="inlineStr">
        <is>
          <t>누 계 금 액</t>
        </is>
      </c>
      <c r="J11" s="9" t="n"/>
      <c r="K11" s="19" t="inlineStr">
        <is>
          <t>비   고</t>
        </is>
      </c>
      <c r="L11" s="9" t="n"/>
    </row>
    <row r="12" ht="34" customHeight="1">
      <c r="A12" s="23" t="inlineStr">
        <is>
          <t>1. 안전관리계획서 작성비 및 검토비</t>
        </is>
      </c>
      <c r="B12" s="9" t="n"/>
      <c r="C12" s="9" t="n"/>
      <c r="D12" s="9" t="n"/>
      <c r="E12" s="21" t="n"/>
      <c r="F12" s="9" t="n"/>
      <c r="G12" s="22">
        <f>IF(A12="","",SUMIF('안전세부'!A5:A26,A12,'안전세부'!L5:L26))</f>
        <v/>
      </c>
      <c r="H12" s="9" t="n"/>
      <c r="I12" s="22">
        <f>IF(A12="","",N(E12)+N(G12))</f>
        <v/>
      </c>
      <c r="J12" s="9" t="n"/>
      <c r="K12" s="23" t="n"/>
      <c r="L12" s="9" t="n"/>
    </row>
    <row r="13" ht="34" customHeight="1">
      <c r="A13" s="23" t="inlineStr">
        <is>
          <t>2. 영 제100조제1항제1호 및 제3호에 따른 안전점검 비용</t>
        </is>
      </c>
      <c r="B13" s="9" t="n"/>
      <c r="C13" s="9" t="n"/>
      <c r="D13" s="9" t="n"/>
      <c r="E13" s="21" t="n"/>
      <c r="F13" s="9" t="n"/>
      <c r="G13" s="22">
        <f>IF(A13="","",SUMIF('안전세부'!A5:A26,A13,'안전세부'!L5:L26))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34" customHeight="1">
      <c r="A14" s="23" t="inlineStr">
        <is>
          <t>3. 발파 · 굴착 등의 건설공사로 인한 주변 건축물 등의 피해방지 대책 비용</t>
        </is>
      </c>
      <c r="B14" s="9" t="n"/>
      <c r="C14" s="9" t="n"/>
      <c r="D14" s="9" t="n"/>
      <c r="E14" s="21" t="n"/>
      <c r="F14" s="9" t="n"/>
      <c r="G14" s="22">
        <f>IF(A14="","",SUMIF('안전세부'!A5:A26,A14,'안전세부'!L5:L26))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34" customHeight="1">
      <c r="A15" s="23" t="inlineStr">
        <is>
          <t>4. 공사장 주변의 통행안전 및 교통소통을 위한 안전시설의 설치 및 유지관리 비용</t>
        </is>
      </c>
      <c r="B15" s="9" t="n"/>
      <c r="C15" s="9" t="n"/>
      <c r="D15" s="9" t="n"/>
      <c r="E15" s="21" t="n"/>
      <c r="F15" s="9" t="n"/>
      <c r="G15" s="22">
        <f>IF(A15="","",SUMIF('안전세부'!A5:A26,A15,'안전세부'!L5:L26))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34" customHeight="1">
      <c r="A16" s="23" t="inlineStr">
        <is>
          <t>5. 안전모니터링 장치의 설치 · 운용 비용</t>
        </is>
      </c>
      <c r="B16" s="9" t="n"/>
      <c r="C16" s="9" t="n"/>
      <c r="D16" s="9" t="n"/>
      <c r="E16" s="21" t="n"/>
      <c r="F16" s="9" t="n"/>
      <c r="G16" s="22">
        <f>IF(A16="","",SUMIF('안전세부'!A5:A26,A16,'안전세부'!L5:L26))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34" customHeight="1">
      <c r="A17" s="23" t="inlineStr">
        <is>
          <t>6. 공사 시행 중 구조적 안전성 확보 비용</t>
        </is>
      </c>
      <c r="B17" s="9" t="n"/>
      <c r="C17" s="9" t="n"/>
      <c r="D17" s="9" t="n"/>
      <c r="E17" s="21" t="n"/>
      <c r="F17" s="9" t="n"/>
      <c r="G17" s="22">
        <f>IF(A17="","",SUMIF('안전세부'!A5:A26,A17,'안전세부'!L5:L26))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34" customHeight="1">
      <c r="A18" s="23" t="inlineStr">
        <is>
          <t>7. 무선설비 및 무선통신을 이용한 건설공사 현장의 안전관리체계 구축 · 운용 비용</t>
        </is>
      </c>
      <c r="B18" s="9" t="n"/>
      <c r="C18" s="9" t="n"/>
      <c r="D18" s="9" t="n"/>
      <c r="E18" s="21" t="n"/>
      <c r="F18" s="9" t="n"/>
      <c r="G18" s="22">
        <f>IF(A18="","",SUMIF('안전세부'!A5:A26,A18,'안전세부'!L5:L26))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34" customHeight="1">
      <c r="A19" s="23" t="n"/>
      <c r="B19" s="9" t="n"/>
      <c r="C19" s="9" t="n"/>
      <c r="D19" s="9" t="n"/>
      <c r="E19" s="21" t="n"/>
      <c r="F19" s="9" t="n"/>
      <c r="G19" s="22">
        <f>IF(A19="","",SUMIF('안전세부'!A5:A26,A19,'안전세부'!L5:L26))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24" t="inlineStr">
        <is>
          <t>계</t>
        </is>
      </c>
      <c r="B20" s="9" t="n"/>
      <c r="C20" s="9" t="n"/>
      <c r="D20" s="9" t="n"/>
      <c r="E20" s="25">
        <f>SUM(E12:E19)</f>
        <v/>
      </c>
      <c r="F20" s="9" t="n"/>
      <c r="G20" s="25">
        <f>SUM(G12:G19)</f>
        <v/>
      </c>
      <c r="H20" s="9" t="n"/>
      <c r="I20" s="25">
        <f>SUM(I12:I19)</f>
        <v/>
      </c>
      <c r="J20" s="9" t="n"/>
      <c r="K20" s="24" t="inlineStr"/>
      <c r="L20" s="9" t="n"/>
    </row>
    <row r="21" ht="16" customHeight="1">
      <c r="A21" s="26">
        <f>IF(ROUND(SUM('안전세부'!L5:L26)-G20,0)&lt;&gt;0,"⚠ 항목별 사용내역서 합계와 금회 합계가 다릅니다 — 항목 이름이 위 표와 똑같은지 보세요.","")</f>
        <v/>
      </c>
    </row>
    <row r="22" ht="10" customHeight="1"/>
    <row r="23" ht="26" customHeight="1">
      <c r="A23" s="27" t="inlineStr">
        <is>
          <t xml:space="preserve">      건설공사 안전관리비 계상 및 사용기준에 의거 위와 같이 사용내역을 제출합니다.</t>
        </is>
      </c>
    </row>
    <row r="24" ht="10" customHeight="1"/>
    <row r="25" ht="26" customHeight="1">
      <c r="A25" s="28">
        <f>IF(N('품질관리비'!C8)=0,"20     년      월      일",YEAR('품질관리비'!C8)&amp;" 년  "&amp;MONTH('품질관리비'!C8)&amp;" 월  "&amp;DAY(DATE(YEAR('품질관리비'!C8),MONTH('품질관리비'!C8)+1,0))&amp;" 일")</f>
        <v/>
      </c>
    </row>
    <row r="26" ht="16" customHeight="1"/>
    <row r="27" ht="28" customHeight="1">
      <c r="A27" s="29" t="inlineStr"/>
      <c r="D27" s="30" t="inlineStr">
        <is>
          <t>작 성 자 :</t>
        </is>
      </c>
      <c r="F27" s="31" t="n"/>
      <c r="H27" s="30" t="inlineStr">
        <is>
          <t>현장대리인</t>
        </is>
      </c>
      <c r="J27" s="31" t="n"/>
      <c r="L27" s="32" t="inlineStr">
        <is>
          <t>(인)</t>
        </is>
      </c>
    </row>
    <row r="29" ht="34" customHeight="1">
      <c r="A29" s="6" t="inlineStr">
        <is>
          <t>하늘색 칸 = 자동. 금회 금액은 «안전세부» 시트에서 항목 이름으로 모읍니다 — 전회 누계금액(지난달 표의 누계)만 옮겨 적으세요.</t>
        </is>
      </c>
    </row>
    <row r="30" ht="34" customHeight="1">
      <c r="A30" s="6" t="inlineStr">
        <is>
          <t>안전관리비 항목은 건설기술 진흥법 시행규칙 제60조의 안전관리비 사용 항목입니다(원본 그대로, 오타만 고침).</t>
        </is>
      </c>
    </row>
  </sheetData>
  <mergeCells count="84">
    <mergeCell ref="A20:D20"/>
    <mergeCell ref="I4:L4"/>
    <mergeCell ref="A21:L21"/>
    <mergeCell ref="A13:D13"/>
    <mergeCell ref="A7:B7"/>
    <mergeCell ref="I16:J16"/>
    <mergeCell ref="A23:L23"/>
    <mergeCell ref="C6:F6"/>
    <mergeCell ref="A15:D15"/>
    <mergeCell ref="G18:H18"/>
    <mergeCell ref="I18:J18"/>
    <mergeCell ref="A16:D16"/>
    <mergeCell ref="G20:H20"/>
    <mergeCell ref="I20:J20"/>
    <mergeCell ref="I13:J13"/>
    <mergeCell ref="K13:L13"/>
    <mergeCell ref="E12:F12"/>
    <mergeCell ref="A17:D17"/>
    <mergeCell ref="G12:H12"/>
    <mergeCell ref="I15:J15"/>
    <mergeCell ref="K15:L15"/>
    <mergeCell ref="E14:F14"/>
    <mergeCell ref="A19:D19"/>
    <mergeCell ref="G7:H7"/>
    <mergeCell ref="I6:L6"/>
    <mergeCell ref="J27:K27"/>
    <mergeCell ref="A11:D11"/>
    <mergeCell ref="C5:F5"/>
    <mergeCell ref="C4:F4"/>
    <mergeCell ref="I7:L7"/>
    <mergeCell ref="A8:B8"/>
    <mergeCell ref="I17:J17"/>
    <mergeCell ref="K17:L17"/>
    <mergeCell ref="E16:F16"/>
    <mergeCell ref="G16:H16"/>
    <mergeCell ref="I19:J19"/>
    <mergeCell ref="K19:L19"/>
    <mergeCell ref="E18:F18"/>
    <mergeCell ref="K16:L16"/>
    <mergeCell ref="A25:L25"/>
    <mergeCell ref="C8:F8"/>
    <mergeCell ref="G11:H11"/>
    <mergeCell ref="I11:J11"/>
    <mergeCell ref="A2:L2"/>
    <mergeCell ref="K11:L11"/>
    <mergeCell ref="E20:F20"/>
    <mergeCell ref="D27:E27"/>
    <mergeCell ref="E13:F13"/>
    <mergeCell ref="G13:H13"/>
    <mergeCell ref="A29:L29"/>
    <mergeCell ref="E15:F15"/>
    <mergeCell ref="G15:H15"/>
    <mergeCell ref="A5:B5"/>
    <mergeCell ref="A4:B4"/>
    <mergeCell ref="A12:D12"/>
    <mergeCell ref="A1:F1"/>
    <mergeCell ref="K18:L18"/>
    <mergeCell ref="A14:D14"/>
    <mergeCell ref="I8:L8"/>
    <mergeCell ref="C7:F7"/>
    <mergeCell ref="A27:C27"/>
    <mergeCell ref="G8:H8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A10:L10"/>
    <mergeCell ref="K12:L12"/>
    <mergeCell ref="E11:F11"/>
    <mergeCell ref="G5:H5"/>
    <mergeCell ref="G14:H14"/>
    <mergeCell ref="I14:J14"/>
    <mergeCell ref="K14:L14"/>
    <mergeCell ref="F27:G27"/>
    <mergeCell ref="H27:I27"/>
    <mergeCell ref="G4:H4"/>
    <mergeCell ref="A30:L30"/>
    <mergeCell ref="A18:D18"/>
    <mergeCell ref="I5:L5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8" customHeight="1">
      <c r="A2" s="33">
        <f>"안전관리비 항목별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24" customHeight="1">
      <c r="A3" s="34" t="inlineStr">
        <is>
          <t>공 사 명 :</t>
        </is>
      </c>
      <c r="C3" s="29">
        <f>IF('품질관리비'!I4="","",'품질관리비'!I4)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n"/>
      <c r="B5" s="9" t="n"/>
      <c r="C5" s="9" t="n"/>
      <c r="D5" s="37" t="n"/>
      <c r="E5" s="38" t="n"/>
      <c r="F5" s="9" t="n"/>
      <c r="G5" s="23" t="n"/>
      <c r="H5" s="9" t="n"/>
      <c r="I5" s="39" t="n"/>
      <c r="J5" s="40" t="n"/>
      <c r="K5" s="41" t="n"/>
      <c r="L5" s="42">
        <f>IF(OR(N(I5)=0,N(K5)=0),"",ROUND(I5*K5,0))</f>
        <v/>
      </c>
    </row>
    <row r="6" ht="24" customHeight="1">
      <c r="A6" s="36" t="n"/>
      <c r="B6" s="9" t="n"/>
      <c r="C6" s="9" t="n"/>
      <c r="D6" s="37" t="n"/>
      <c r="E6" s="38" t="n"/>
      <c r="F6" s="9" t="n"/>
      <c r="G6" s="23" t="n"/>
      <c r="H6" s="9" t="n"/>
      <c r="I6" s="39" t="n"/>
      <c r="J6" s="40" t="n"/>
      <c r="K6" s="41" t="n"/>
      <c r="L6" s="42">
        <f>IF(OR(N(I6)=0,N(K6)=0),"",ROUND(I6*K6,0))</f>
        <v/>
      </c>
    </row>
    <row r="7" ht="24" customHeight="1">
      <c r="A7" s="36" t="n"/>
      <c r="B7" s="9" t="n"/>
      <c r="C7" s="9" t="n"/>
      <c r="D7" s="37" t="n"/>
      <c r="E7" s="38" t="n"/>
      <c r="F7" s="9" t="n"/>
      <c r="G7" s="23" t="n"/>
      <c r="H7" s="9" t="n"/>
      <c r="I7" s="39" t="n"/>
      <c r="J7" s="40" t="n"/>
      <c r="K7" s="41" t="n"/>
      <c r="L7" s="42">
        <f>IF(OR(N(I7)=0,N(K7)=0),"",ROUND(I7*K7,0))</f>
        <v/>
      </c>
    </row>
    <row r="8" ht="24" customHeight="1">
      <c r="A8" s="36" t="n"/>
      <c r="B8" s="9" t="n"/>
      <c r="C8" s="9" t="n"/>
      <c r="D8" s="37" t="n"/>
      <c r="E8" s="38" t="n"/>
      <c r="F8" s="9" t="n"/>
      <c r="G8" s="23" t="n"/>
      <c r="H8" s="9" t="n"/>
      <c r="I8" s="39" t="n"/>
      <c r="J8" s="40" t="n"/>
      <c r="K8" s="41" t="n"/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안전관리비 사용내역서의 항목 이름과 똑같이 적으세요(복사해 붙이기 권함). 금액 = 수량 × 단가(원 단위 반올림).</t>
        </is>
      </c>
    </row>
    <row r="30" ht="34" customHeight="1">
      <c r="A30" s="6" t="inlineStr">
        <is>
          <t>하늘색 칸 = 금액(자동). 인건비처럼 명세서가 따로 있으면 금액 칸에 직접 적거나 명세서 합계를 끌어오세요.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B37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6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4.4" customWidth="1" min="20" max="20"/>
    <col width="8.5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8.5" customWidth="1" min="27" max="27"/>
    <col width="9" customWidth="1" min="28" max="28"/>
  </cols>
  <sheetData>
    <row r="1" ht="20" customHeight="1">
      <c r="A1" s="1" t="inlineStr">
        <is>
          <t xml:space="preserve">  K-건설맵  |  k-conmap.com  무료 건설 서식</t>
        </is>
      </c>
      <c r="T1" s="2" t="inlineStr">
        <is>
          <t xml:space="preserve">← 이 1행을 지우고 쓰셔도 됩니다  </t>
        </is>
      </c>
    </row>
    <row r="2" ht="34" customHeight="1">
      <c r="A2" s="44" t="inlineStr">
        <is>
          <t>노  임  명  세  서</t>
        </is>
      </c>
    </row>
    <row r="3" ht="24" customHeight="1">
      <c r="A3" s="8" t="inlineStr">
        <is>
          <t>회 사 명</t>
        </is>
      </c>
      <c r="B3" s="9" t="n"/>
      <c r="C3" s="9" t="n"/>
      <c r="D3" s="50">
        <f>IF('품질관리비'!C4="","",'품질관리비'!C4)</f>
        <v/>
      </c>
      <c r="E3" s="9" t="n"/>
      <c r="F3" s="9" t="n"/>
      <c r="G3" s="9" t="n"/>
      <c r="H3" s="9" t="n"/>
      <c r="I3" s="9" t="n"/>
      <c r="J3" s="9" t="n"/>
      <c r="K3" s="9" t="n"/>
      <c r="L3" s="8" t="inlineStr">
        <is>
          <t>기 간</t>
        </is>
      </c>
      <c r="M3" s="9" t="n"/>
      <c r="N3" s="52">
        <f>IF(N('품질관리비'!C8)=0,"",YEAR('품질관리비'!C8)&amp;". "&amp;MONTH('품질관리비'!C8)&amp;". 1. ~ "&amp;MONTH('품질관리비'!C8)&amp;". "&amp;DAY(DATE(YEAR('품질관리비'!C8),MONTH('품질관리비'!C8)+1,0))&amp;".")</f>
        <v/>
      </c>
      <c r="O3" s="9" t="n"/>
      <c r="P3" s="9" t="n"/>
      <c r="Q3" s="9" t="n"/>
      <c r="R3" s="9" t="n"/>
      <c r="S3" s="9" t="n"/>
      <c r="T3" s="8" t="inlineStr">
        <is>
          <t>공 사 명</t>
        </is>
      </c>
      <c r="U3" s="9" t="n"/>
      <c r="V3" s="53">
        <f>IF('품질관리비'!I4="","",'품질관리비'!I4)</f>
        <v/>
      </c>
      <c r="W3" s="9" t="n"/>
      <c r="X3" s="9" t="n"/>
      <c r="Y3" s="9" t="n"/>
      <c r="Z3" s="9" t="n"/>
      <c r="AA3" s="9" t="n"/>
      <c r="AB3" s="9" t="n"/>
    </row>
    <row r="4" ht="4" customHeight="1"/>
    <row r="5" ht="18" customHeight="1">
      <c r="A5" s="19" t="inlineStr">
        <is>
          <t>NO.</t>
        </is>
      </c>
      <c r="B5" s="19" t="inlineStr">
        <is>
          <t>성 명</t>
        </is>
      </c>
      <c r="C5" s="19" t="inlineStr">
        <is>
          <t>직 종</t>
        </is>
      </c>
      <c r="D5" s="54" t="inlineStr">
        <is>
          <t>1</t>
        </is>
      </c>
      <c r="E5" s="54" t="inlineStr">
        <is>
          <t>2</t>
        </is>
      </c>
      <c r="F5" s="54" t="inlineStr">
        <is>
          <t>3</t>
        </is>
      </c>
      <c r="G5" s="54" t="inlineStr">
        <is>
          <t>4</t>
        </is>
      </c>
      <c r="H5" s="54" t="inlineStr">
        <is>
          <t>5</t>
        </is>
      </c>
      <c r="I5" s="54" t="inlineStr">
        <is>
          <t>6</t>
        </is>
      </c>
      <c r="J5" s="54" t="inlineStr">
        <is>
          <t>7</t>
        </is>
      </c>
      <c r="K5" s="54" t="inlineStr">
        <is>
          <t>8</t>
        </is>
      </c>
      <c r="L5" s="54" t="inlineStr">
        <is>
          <t>9</t>
        </is>
      </c>
      <c r="M5" s="54" t="inlineStr">
        <is>
          <t>10</t>
        </is>
      </c>
      <c r="N5" s="54" t="inlineStr">
        <is>
          <t>11</t>
        </is>
      </c>
      <c r="O5" s="54" t="inlineStr">
        <is>
          <t>12</t>
        </is>
      </c>
      <c r="P5" s="54" t="inlineStr">
        <is>
          <t>13</t>
        </is>
      </c>
      <c r="Q5" s="54" t="inlineStr">
        <is>
          <t>14</t>
        </is>
      </c>
      <c r="R5" s="54" t="inlineStr">
        <is>
          <t>15</t>
        </is>
      </c>
      <c r="S5" s="54" t="inlineStr">
        <is>
          <t>16</t>
        </is>
      </c>
      <c r="T5" s="35" t="inlineStr">
        <is>
          <t>공수</t>
        </is>
      </c>
      <c r="U5" s="19" t="inlineStr">
        <is>
          <t>노 무 비</t>
        </is>
      </c>
      <c r="V5" s="19" t="inlineStr">
        <is>
          <t>소득세</t>
        </is>
      </c>
      <c r="W5" s="19" t="inlineStr">
        <is>
          <t>국민연금</t>
        </is>
      </c>
      <c r="X5" s="19" t="inlineStr">
        <is>
          <t>고용보험</t>
        </is>
      </c>
      <c r="Y5" s="19" t="inlineStr"/>
      <c r="Z5" s="35" t="inlineStr">
        <is>
          <t>공제 총액</t>
        </is>
      </c>
      <c r="AA5" s="19" t="inlineStr">
        <is>
          <t>지 급 액</t>
        </is>
      </c>
      <c r="AB5" s="54" t="inlineStr">
        <is>
          <t>주민등록번호
(비고)</t>
        </is>
      </c>
    </row>
    <row r="6" ht="18" customHeight="1">
      <c r="A6" s="9" t="n"/>
      <c r="B6" s="9" t="n"/>
      <c r="C6" s="9" t="n"/>
      <c r="D6" s="54" t="inlineStr">
        <is>
          <t>17</t>
        </is>
      </c>
      <c r="E6" s="54" t="inlineStr">
        <is>
          <t>18</t>
        </is>
      </c>
      <c r="F6" s="54" t="inlineStr">
        <is>
          <t>19</t>
        </is>
      </c>
      <c r="G6" s="54" t="inlineStr">
        <is>
          <t>20</t>
        </is>
      </c>
      <c r="H6" s="54" t="inlineStr">
        <is>
          <t>21</t>
        </is>
      </c>
      <c r="I6" s="54" t="inlineStr">
        <is>
          <t>22</t>
        </is>
      </c>
      <c r="J6" s="54" t="inlineStr">
        <is>
          <t>23</t>
        </is>
      </c>
      <c r="K6" s="54" t="inlineStr">
        <is>
          <t>24</t>
        </is>
      </c>
      <c r="L6" s="54" t="inlineStr">
        <is>
          <t>25</t>
        </is>
      </c>
      <c r="M6" s="54" t="inlineStr">
        <is>
          <t>26</t>
        </is>
      </c>
      <c r="N6" s="54" t="inlineStr">
        <is>
          <t>27</t>
        </is>
      </c>
      <c r="O6" s="54" t="inlineStr">
        <is>
          <t>28</t>
        </is>
      </c>
      <c r="P6" s="54" t="inlineStr">
        <is>
          <t>29</t>
        </is>
      </c>
      <c r="Q6" s="54" t="inlineStr">
        <is>
          <t>30</t>
        </is>
      </c>
      <c r="R6" s="54" t="inlineStr">
        <is>
          <t>31</t>
        </is>
      </c>
      <c r="S6" s="19" t="inlineStr"/>
      <c r="T6" s="9" t="n"/>
      <c r="U6" s="19" t="inlineStr">
        <is>
          <t>단  가</t>
        </is>
      </c>
      <c r="V6" s="55" t="inlineStr">
        <is>
          <t>지방소득세</t>
        </is>
      </c>
      <c r="W6" s="19" t="inlineStr">
        <is>
          <t>건강보험</t>
        </is>
      </c>
      <c r="X6" s="19" t="inlineStr">
        <is>
          <t>장기요양</t>
        </is>
      </c>
      <c r="Y6" s="19" t="inlineStr"/>
      <c r="Z6" s="9" t="n"/>
      <c r="AA6" s="9" t="n"/>
      <c r="AB6" s="9" t="n"/>
    </row>
    <row r="7" ht="17" customHeight="1">
      <c r="A7" s="56">
        <f>IF(B7="","",1)</f>
        <v/>
      </c>
      <c r="B7" s="40" t="n"/>
      <c r="C7" s="57" t="n"/>
      <c r="D7" s="58" t="n"/>
      <c r="E7" s="58" t="n"/>
      <c r="F7" s="58" t="n"/>
      <c r="G7" s="58" t="n"/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9">
        <f>IF(SUM(D7:S7,D8:R8)=0,"",SUM(D7:S7,D8:R8))</f>
        <v/>
      </c>
      <c r="U7" s="42">
        <f>IF(OR(N(T7)=0,N(U8)=0),"",ROUND(T7*U8,0))</f>
        <v/>
      </c>
      <c r="V7" s="60">
        <f>IF(U7="","",IF(ROUNDDOWN(MAX(0,U8-H33)*M33*T7,-1)&lt;1000,0,ROUNDDOWN(MAX(0,U8-H33)*M33*T7,-1)))</f>
        <v/>
      </c>
      <c r="W7" s="60">
        <f>IF(U7="","",IF((COUNTIF(D7:S7,"&gt;0")+COUNTIF(D8:R8,"&gt;0"))&gt;=AB33,ROUNDDOWN(U7*Q33,-1),0))</f>
        <v/>
      </c>
      <c r="X7" s="60">
        <f>IF(U7="","",ROUNDDOWN(U7*Z33,-1))</f>
        <v/>
      </c>
      <c r="Y7" s="61" t="inlineStr"/>
      <c r="Z7" s="42">
        <f>IF(U7="","",V7+V8+W7+W8+X8+X7)</f>
        <v/>
      </c>
      <c r="AA7" s="43">
        <f>IF(U7="","",U7-Z7)</f>
        <v/>
      </c>
      <c r="AB7" s="36" t="n"/>
    </row>
    <row r="8" ht="17" customHeight="1">
      <c r="A8" s="9" t="n"/>
      <c r="B8" s="9" t="n"/>
      <c r="C8" s="9" t="n"/>
      <c r="D8" s="58" t="n"/>
      <c r="E8" s="58" t="n"/>
      <c r="F8" s="58" t="n"/>
      <c r="G8" s="58" t="n"/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61" t="inlineStr"/>
      <c r="T8" s="9" t="n"/>
      <c r="U8" s="62" t="n"/>
      <c r="V8" s="60">
        <f>IF(U7="","",ROUNDDOWN(V7*0.1,-1))</f>
        <v/>
      </c>
      <c r="W8" s="60">
        <f>IF(U7="","",IF((COUNTIF(D7:S7,"&gt;0")+COUNTIF(D8:R8,"&gt;0"))&gt;=AB33,ROUNDDOWN(U7*U33,-1),0))</f>
        <v/>
      </c>
      <c r="X8" s="60">
        <f>IF(U7="","",ROUNDDOWN(W8*X33,-1))</f>
        <v/>
      </c>
      <c r="Y8" s="61" t="inlineStr"/>
      <c r="Z8" s="9" t="n"/>
      <c r="AA8" s="9" t="n"/>
      <c r="AB8" s="9" t="n"/>
    </row>
    <row r="9" ht="17" customHeight="1">
      <c r="A9" s="56">
        <f>IF(B9="","",2)</f>
        <v/>
      </c>
      <c r="B9" s="40" t="n"/>
      <c r="C9" s="57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9">
        <f>IF(SUM(D9:S9,D10:R10)=0,"",SUM(D9:S9,D10:R10))</f>
        <v/>
      </c>
      <c r="U9" s="42">
        <f>IF(OR(N(T9)=0,N(U10)=0),"",ROUND(T9*U10,0))</f>
        <v/>
      </c>
      <c r="V9" s="60">
        <f>IF(U9="","",IF(ROUNDDOWN(MAX(0,U10-H33)*M33*T9,-1)&lt;1000,0,ROUNDDOWN(MAX(0,U10-H33)*M33*T9,-1)))</f>
        <v/>
      </c>
      <c r="W9" s="60">
        <f>IF(U9="","",IF((COUNTIF(D9:S9,"&gt;0")+COUNTIF(D10:R10,"&gt;0"))&gt;=AB33,ROUNDDOWN(U9*Q33,-1),0))</f>
        <v/>
      </c>
      <c r="X9" s="60">
        <f>IF(U9="","",ROUNDDOWN(U9*Z33,-1))</f>
        <v/>
      </c>
      <c r="Y9" s="61" t="inlineStr"/>
      <c r="Z9" s="42">
        <f>IF(U9="","",V9+V10+W9+W10+X10+X9)</f>
        <v/>
      </c>
      <c r="AA9" s="43">
        <f>IF(U9="","",U9-Z9)</f>
        <v/>
      </c>
      <c r="AB9" s="36" t="n"/>
    </row>
    <row r="10" ht="17" customHeight="1">
      <c r="A10" s="9" t="n"/>
      <c r="B10" s="9" t="n"/>
      <c r="C10" s="9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61" t="inlineStr"/>
      <c r="T10" s="9" t="n"/>
      <c r="U10" s="62" t="n"/>
      <c r="V10" s="60">
        <f>IF(U9="","",ROUNDDOWN(V9*0.1,-1))</f>
        <v/>
      </c>
      <c r="W10" s="60">
        <f>IF(U9="","",IF((COUNTIF(D9:S9,"&gt;0")+COUNTIF(D10:R10,"&gt;0"))&gt;=AB33,ROUNDDOWN(U9*U33,-1),0))</f>
        <v/>
      </c>
      <c r="X10" s="60">
        <f>IF(U9="","",ROUNDDOWN(W10*X33,-1))</f>
        <v/>
      </c>
      <c r="Y10" s="61" t="inlineStr"/>
      <c r="Z10" s="9" t="n"/>
      <c r="AA10" s="9" t="n"/>
      <c r="AB10" s="9" t="n"/>
    </row>
    <row r="11" ht="17" customHeight="1">
      <c r="A11" s="56">
        <f>IF(B11="","",3)</f>
        <v/>
      </c>
      <c r="B11" s="40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9">
        <f>IF(SUM(D11:S11,D12:R12)=0,"",SUM(D11:S11,D12:R12))</f>
        <v/>
      </c>
      <c r="U11" s="42">
        <f>IF(OR(N(T11)=0,N(U12)=0),"",ROUND(T11*U12,0))</f>
        <v/>
      </c>
      <c r="V11" s="60">
        <f>IF(U11="","",IF(ROUNDDOWN(MAX(0,U12-H33)*M33*T11,-1)&lt;1000,0,ROUNDDOWN(MAX(0,U12-H33)*M33*T11,-1)))</f>
        <v/>
      </c>
      <c r="W11" s="60">
        <f>IF(U11="","",IF((COUNTIF(D11:S11,"&gt;0")+COUNTIF(D12:R12,"&gt;0"))&gt;=AB33,ROUNDDOWN(U11*Q33,-1),0))</f>
        <v/>
      </c>
      <c r="X11" s="60">
        <f>IF(U11="","",ROUNDDOWN(U11*Z33,-1))</f>
        <v/>
      </c>
      <c r="Y11" s="61" t="inlineStr"/>
      <c r="Z11" s="42">
        <f>IF(U11="","",V11+V12+W11+W12+X12+X11)</f>
        <v/>
      </c>
      <c r="AA11" s="43">
        <f>IF(U11="","",U11-Z11)</f>
        <v/>
      </c>
      <c r="AB11" s="36" t="n"/>
    </row>
    <row r="12" ht="17" customHeight="1">
      <c r="A12" s="9" t="n"/>
      <c r="B12" s="9" t="n"/>
      <c r="C12" s="9" t="n"/>
      <c r="D12" s="58" t="n"/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61" t="inlineStr"/>
      <c r="T12" s="9" t="n"/>
      <c r="U12" s="62" t="n"/>
      <c r="V12" s="60">
        <f>IF(U11="","",ROUNDDOWN(V11*0.1,-1))</f>
        <v/>
      </c>
      <c r="W12" s="60">
        <f>IF(U11="","",IF((COUNTIF(D11:S11,"&gt;0")+COUNTIF(D12:R12,"&gt;0"))&gt;=AB33,ROUNDDOWN(U11*U33,-1),0))</f>
        <v/>
      </c>
      <c r="X12" s="60">
        <f>IF(U11="","",ROUNDDOWN(W12*X33,-1))</f>
        <v/>
      </c>
      <c r="Y12" s="61" t="inlineStr"/>
      <c r="Z12" s="9" t="n"/>
      <c r="AA12" s="9" t="n"/>
      <c r="AB12" s="9" t="n"/>
    </row>
    <row r="13" ht="17" customHeight="1">
      <c r="A13" s="56">
        <f>IF(B13="","",4)</f>
        <v/>
      </c>
      <c r="B13" s="40" t="n"/>
      <c r="C13" s="57" t="n"/>
      <c r="D13" s="58" t="n"/>
      <c r="E13" s="58" t="n"/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9">
        <f>IF(SUM(D13:S13,D14:R14)=0,"",SUM(D13:S13,D14:R14))</f>
        <v/>
      </c>
      <c r="U13" s="42">
        <f>IF(OR(N(T13)=0,N(U14)=0),"",ROUND(T13*U14,0))</f>
        <v/>
      </c>
      <c r="V13" s="60">
        <f>IF(U13="","",IF(ROUNDDOWN(MAX(0,U14-H33)*M33*T13,-1)&lt;1000,0,ROUNDDOWN(MAX(0,U14-H33)*M33*T13,-1)))</f>
        <v/>
      </c>
      <c r="W13" s="60">
        <f>IF(U13="","",IF((COUNTIF(D13:S13,"&gt;0")+COUNTIF(D14:R14,"&gt;0"))&gt;=AB33,ROUNDDOWN(U13*Q33,-1),0))</f>
        <v/>
      </c>
      <c r="X13" s="60">
        <f>IF(U13="","",ROUNDDOWN(U13*Z33,-1))</f>
        <v/>
      </c>
      <c r="Y13" s="61" t="inlineStr"/>
      <c r="Z13" s="42">
        <f>IF(U13="","",V13+V14+W13+W14+X14+X13)</f>
        <v/>
      </c>
      <c r="AA13" s="43">
        <f>IF(U13="","",U13-Z13)</f>
        <v/>
      </c>
      <c r="AB13" s="36" t="n"/>
    </row>
    <row r="14" ht="17" customHeight="1">
      <c r="A14" s="9" t="n"/>
      <c r="B14" s="9" t="n"/>
      <c r="C14" s="9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61" t="inlineStr"/>
      <c r="T14" s="9" t="n"/>
      <c r="U14" s="62" t="n"/>
      <c r="V14" s="60">
        <f>IF(U13="","",ROUNDDOWN(V13*0.1,-1))</f>
        <v/>
      </c>
      <c r="W14" s="60">
        <f>IF(U13="","",IF((COUNTIF(D13:S13,"&gt;0")+COUNTIF(D14:R14,"&gt;0"))&gt;=AB33,ROUNDDOWN(U13*U33,-1),0))</f>
        <v/>
      </c>
      <c r="X14" s="60">
        <f>IF(U13="","",ROUNDDOWN(W14*X33,-1))</f>
        <v/>
      </c>
      <c r="Y14" s="61" t="inlineStr"/>
      <c r="Z14" s="9" t="n"/>
      <c r="AA14" s="9" t="n"/>
      <c r="AB14" s="9" t="n"/>
    </row>
    <row r="15" ht="17" customHeight="1">
      <c r="A15" s="56">
        <f>IF(B15="","",5)</f>
        <v/>
      </c>
      <c r="B15" s="40" t="n"/>
      <c r="C15" s="57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9">
        <f>IF(SUM(D15:S15,D16:R16)=0,"",SUM(D15:S15,D16:R16))</f>
        <v/>
      </c>
      <c r="U15" s="42">
        <f>IF(OR(N(T15)=0,N(U16)=0),"",ROUND(T15*U16,0))</f>
        <v/>
      </c>
      <c r="V15" s="60">
        <f>IF(U15="","",IF(ROUNDDOWN(MAX(0,U16-H33)*M33*T15,-1)&lt;1000,0,ROUNDDOWN(MAX(0,U16-H33)*M33*T15,-1)))</f>
        <v/>
      </c>
      <c r="W15" s="60">
        <f>IF(U15="","",IF((COUNTIF(D15:S15,"&gt;0")+COUNTIF(D16:R16,"&gt;0"))&gt;=AB33,ROUNDDOWN(U15*Q33,-1),0))</f>
        <v/>
      </c>
      <c r="X15" s="60">
        <f>IF(U15="","",ROUNDDOWN(U15*Z33,-1))</f>
        <v/>
      </c>
      <c r="Y15" s="61" t="inlineStr"/>
      <c r="Z15" s="42">
        <f>IF(U15="","",V15+V16+W15+W16+X16+X15)</f>
        <v/>
      </c>
      <c r="AA15" s="43">
        <f>IF(U15="","",U15-Z15)</f>
        <v/>
      </c>
      <c r="AB15" s="36" t="n"/>
    </row>
    <row r="16" ht="17" customHeight="1">
      <c r="A16" s="9" t="n"/>
      <c r="B16" s="9" t="n"/>
      <c r="C16" s="9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61" t="inlineStr"/>
      <c r="T16" s="9" t="n"/>
      <c r="U16" s="62" t="n"/>
      <c r="V16" s="60">
        <f>IF(U15="","",ROUNDDOWN(V15*0.1,-1))</f>
        <v/>
      </c>
      <c r="W16" s="60">
        <f>IF(U15="","",IF((COUNTIF(D15:S15,"&gt;0")+COUNTIF(D16:R16,"&gt;0"))&gt;=AB33,ROUNDDOWN(U15*U33,-1),0))</f>
        <v/>
      </c>
      <c r="X16" s="60">
        <f>IF(U15="","",ROUNDDOWN(W16*X33,-1))</f>
        <v/>
      </c>
      <c r="Y16" s="61" t="inlineStr"/>
      <c r="Z16" s="9" t="n"/>
      <c r="AA16" s="9" t="n"/>
      <c r="AB16" s="9" t="n"/>
    </row>
    <row r="17" ht="17" customHeight="1">
      <c r="A17" s="56">
        <f>IF(B17="","",6)</f>
        <v/>
      </c>
      <c r="B17" s="40" t="n"/>
      <c r="C17" s="57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9">
        <f>IF(SUM(D17:S17,D18:R18)=0,"",SUM(D17:S17,D18:R18))</f>
        <v/>
      </c>
      <c r="U17" s="42">
        <f>IF(OR(N(T17)=0,N(U18)=0),"",ROUND(T17*U18,0))</f>
        <v/>
      </c>
      <c r="V17" s="60">
        <f>IF(U17="","",IF(ROUNDDOWN(MAX(0,U18-H33)*M33*T17,-1)&lt;1000,0,ROUNDDOWN(MAX(0,U18-H33)*M33*T17,-1)))</f>
        <v/>
      </c>
      <c r="W17" s="60">
        <f>IF(U17="","",IF((COUNTIF(D17:S17,"&gt;0")+COUNTIF(D18:R18,"&gt;0"))&gt;=AB33,ROUNDDOWN(U17*Q33,-1),0))</f>
        <v/>
      </c>
      <c r="X17" s="60">
        <f>IF(U17="","",ROUNDDOWN(U17*Z33,-1))</f>
        <v/>
      </c>
      <c r="Y17" s="61" t="inlineStr"/>
      <c r="Z17" s="42">
        <f>IF(U17="","",V17+V18+W17+W18+X18+X17)</f>
        <v/>
      </c>
      <c r="AA17" s="43">
        <f>IF(U17="","",U17-Z17)</f>
        <v/>
      </c>
      <c r="AB17" s="36" t="n"/>
    </row>
    <row r="18" ht="17" customHeight="1">
      <c r="A18" s="9" t="n"/>
      <c r="B18" s="9" t="n"/>
      <c r="C18" s="9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61" t="inlineStr"/>
      <c r="T18" s="9" t="n"/>
      <c r="U18" s="62" t="n"/>
      <c r="V18" s="60">
        <f>IF(U17="","",ROUNDDOWN(V17*0.1,-1))</f>
        <v/>
      </c>
      <c r="W18" s="60">
        <f>IF(U17="","",IF((COUNTIF(D17:S17,"&gt;0")+COUNTIF(D18:R18,"&gt;0"))&gt;=AB33,ROUNDDOWN(U17*U33,-1),0))</f>
        <v/>
      </c>
      <c r="X18" s="60">
        <f>IF(U17="","",ROUNDDOWN(W18*X33,-1))</f>
        <v/>
      </c>
      <c r="Y18" s="61" t="inlineStr"/>
      <c r="Z18" s="9" t="n"/>
      <c r="AA18" s="9" t="n"/>
      <c r="AB18" s="9" t="n"/>
    </row>
    <row r="19" ht="17" customHeight="1">
      <c r="A19" s="56">
        <f>IF(B19="","",7)</f>
        <v/>
      </c>
      <c r="B19" s="40" t="n"/>
      <c r="C19" s="57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9">
        <f>IF(SUM(D19:S19,D20:R20)=0,"",SUM(D19:S19,D20:R20))</f>
        <v/>
      </c>
      <c r="U19" s="42">
        <f>IF(OR(N(T19)=0,N(U20)=0),"",ROUND(T19*U20,0))</f>
        <v/>
      </c>
      <c r="V19" s="60">
        <f>IF(U19="","",IF(ROUNDDOWN(MAX(0,U20-H33)*M33*T19,-1)&lt;1000,0,ROUNDDOWN(MAX(0,U20-H33)*M33*T19,-1)))</f>
        <v/>
      </c>
      <c r="W19" s="60">
        <f>IF(U19="","",IF((COUNTIF(D19:S19,"&gt;0")+COUNTIF(D20:R20,"&gt;0"))&gt;=AB33,ROUNDDOWN(U19*Q33,-1),0))</f>
        <v/>
      </c>
      <c r="X19" s="60">
        <f>IF(U19="","",ROUNDDOWN(U19*Z33,-1))</f>
        <v/>
      </c>
      <c r="Y19" s="61" t="inlineStr"/>
      <c r="Z19" s="42">
        <f>IF(U19="","",V19+V20+W19+W20+X20+X19)</f>
        <v/>
      </c>
      <c r="AA19" s="43">
        <f>IF(U19="","",U19-Z19)</f>
        <v/>
      </c>
      <c r="AB19" s="36" t="n"/>
    </row>
    <row r="20" ht="17" customHeight="1">
      <c r="A20" s="9" t="n"/>
      <c r="B20" s="9" t="n"/>
      <c r="C20" s="9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61" t="inlineStr"/>
      <c r="T20" s="9" t="n"/>
      <c r="U20" s="62" t="n"/>
      <c r="V20" s="60">
        <f>IF(U19="","",ROUNDDOWN(V19*0.1,-1))</f>
        <v/>
      </c>
      <c r="W20" s="60">
        <f>IF(U19="","",IF((COUNTIF(D19:S19,"&gt;0")+COUNTIF(D20:R20,"&gt;0"))&gt;=AB33,ROUNDDOWN(U19*U33,-1),0))</f>
        <v/>
      </c>
      <c r="X20" s="60">
        <f>IF(U19="","",ROUNDDOWN(W20*X33,-1))</f>
        <v/>
      </c>
      <c r="Y20" s="61" t="inlineStr"/>
      <c r="Z20" s="9" t="n"/>
      <c r="AA20" s="9" t="n"/>
      <c r="AB20" s="9" t="n"/>
    </row>
    <row r="21" ht="17" customHeight="1">
      <c r="A21" s="56">
        <f>IF(B21="","",8)</f>
        <v/>
      </c>
      <c r="B21" s="40" t="n"/>
      <c r="C21" s="57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9">
        <f>IF(SUM(D21:S21,D22:R22)=0,"",SUM(D21:S21,D22:R22))</f>
        <v/>
      </c>
      <c r="U21" s="42">
        <f>IF(OR(N(T21)=0,N(U22)=0),"",ROUND(T21*U22,0))</f>
        <v/>
      </c>
      <c r="V21" s="60">
        <f>IF(U21="","",IF(ROUNDDOWN(MAX(0,U22-H33)*M33*T21,-1)&lt;1000,0,ROUNDDOWN(MAX(0,U22-H33)*M33*T21,-1)))</f>
        <v/>
      </c>
      <c r="W21" s="60">
        <f>IF(U21="","",IF((COUNTIF(D21:S21,"&gt;0")+COUNTIF(D22:R22,"&gt;0"))&gt;=AB33,ROUNDDOWN(U21*Q33,-1),0))</f>
        <v/>
      </c>
      <c r="X21" s="60">
        <f>IF(U21="","",ROUNDDOWN(U21*Z33,-1))</f>
        <v/>
      </c>
      <c r="Y21" s="61" t="inlineStr"/>
      <c r="Z21" s="42">
        <f>IF(U21="","",V21+V22+W21+W22+X22+X21)</f>
        <v/>
      </c>
      <c r="AA21" s="43">
        <f>IF(U21="","",U21-Z21)</f>
        <v/>
      </c>
      <c r="AB21" s="36" t="n"/>
    </row>
    <row r="22" ht="17" customHeight="1">
      <c r="A22" s="9" t="n"/>
      <c r="B22" s="9" t="n"/>
      <c r="C22" s="9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61" t="inlineStr"/>
      <c r="T22" s="9" t="n"/>
      <c r="U22" s="62" t="n"/>
      <c r="V22" s="60">
        <f>IF(U21="","",ROUNDDOWN(V21*0.1,-1))</f>
        <v/>
      </c>
      <c r="W22" s="60">
        <f>IF(U21="","",IF((COUNTIF(D21:S21,"&gt;0")+COUNTIF(D22:R22,"&gt;0"))&gt;=AB33,ROUNDDOWN(U21*U33,-1),0))</f>
        <v/>
      </c>
      <c r="X22" s="60">
        <f>IF(U21="","",ROUNDDOWN(W22*X33,-1))</f>
        <v/>
      </c>
      <c r="Y22" s="61" t="inlineStr"/>
      <c r="Z22" s="9" t="n"/>
      <c r="AA22" s="9" t="n"/>
      <c r="AB22" s="9" t="n"/>
    </row>
    <row r="23" ht="17" customHeight="1">
      <c r="A23" s="56">
        <f>IF(B23="","",9)</f>
        <v/>
      </c>
      <c r="B23" s="40" t="n"/>
      <c r="C23" s="57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9">
        <f>IF(SUM(D23:S23,D24:R24)=0,"",SUM(D23:S23,D24:R24))</f>
        <v/>
      </c>
      <c r="U23" s="42">
        <f>IF(OR(N(T23)=0,N(U24)=0),"",ROUND(T23*U24,0))</f>
        <v/>
      </c>
      <c r="V23" s="60">
        <f>IF(U23="","",IF(ROUNDDOWN(MAX(0,U24-H33)*M33*T23,-1)&lt;1000,0,ROUNDDOWN(MAX(0,U24-H33)*M33*T23,-1)))</f>
        <v/>
      </c>
      <c r="W23" s="60">
        <f>IF(U23="","",IF((COUNTIF(D23:S23,"&gt;0")+COUNTIF(D24:R24,"&gt;0"))&gt;=AB33,ROUNDDOWN(U23*Q33,-1),0))</f>
        <v/>
      </c>
      <c r="X23" s="60">
        <f>IF(U23="","",ROUNDDOWN(U23*Z33,-1))</f>
        <v/>
      </c>
      <c r="Y23" s="61" t="inlineStr"/>
      <c r="Z23" s="42">
        <f>IF(U23="","",V23+V24+W23+W24+X24+X23)</f>
        <v/>
      </c>
      <c r="AA23" s="43">
        <f>IF(U23="","",U23-Z23)</f>
        <v/>
      </c>
      <c r="AB23" s="36" t="n"/>
    </row>
    <row r="24" ht="17" customHeight="1">
      <c r="A24" s="9" t="n"/>
      <c r="B24" s="9" t="n"/>
      <c r="C24" s="9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61" t="inlineStr"/>
      <c r="T24" s="9" t="n"/>
      <c r="U24" s="62" t="n"/>
      <c r="V24" s="60">
        <f>IF(U23="","",ROUNDDOWN(V23*0.1,-1))</f>
        <v/>
      </c>
      <c r="W24" s="60">
        <f>IF(U23="","",IF((COUNTIF(D23:S23,"&gt;0")+COUNTIF(D24:R24,"&gt;0"))&gt;=AB33,ROUNDDOWN(U23*U33,-1),0))</f>
        <v/>
      </c>
      <c r="X24" s="60">
        <f>IF(U23="","",ROUNDDOWN(W24*X33,-1))</f>
        <v/>
      </c>
      <c r="Y24" s="61" t="inlineStr"/>
      <c r="Z24" s="9" t="n"/>
      <c r="AA24" s="9" t="n"/>
      <c r="AB24" s="9" t="n"/>
    </row>
    <row r="25" ht="17" customHeight="1">
      <c r="A25" s="56">
        <f>IF(B25="","",10)</f>
        <v/>
      </c>
      <c r="B25" s="40" t="n"/>
      <c r="C25" s="57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9">
        <f>IF(SUM(D25:S25,D26:R26)=0,"",SUM(D25:S25,D26:R26))</f>
        <v/>
      </c>
      <c r="U25" s="42">
        <f>IF(OR(N(T25)=0,N(U26)=0),"",ROUND(T25*U26,0))</f>
        <v/>
      </c>
      <c r="V25" s="60">
        <f>IF(U25="","",IF(ROUNDDOWN(MAX(0,U26-H33)*M33*T25,-1)&lt;1000,0,ROUNDDOWN(MAX(0,U26-H33)*M33*T25,-1)))</f>
        <v/>
      </c>
      <c r="W25" s="60">
        <f>IF(U25="","",IF((COUNTIF(D25:S25,"&gt;0")+COUNTIF(D26:R26,"&gt;0"))&gt;=AB33,ROUNDDOWN(U25*Q33,-1),0))</f>
        <v/>
      </c>
      <c r="X25" s="60">
        <f>IF(U25="","",ROUNDDOWN(U25*Z33,-1))</f>
        <v/>
      </c>
      <c r="Y25" s="61" t="inlineStr"/>
      <c r="Z25" s="42">
        <f>IF(U25="","",V25+V26+W25+W26+X26+X25)</f>
        <v/>
      </c>
      <c r="AA25" s="43">
        <f>IF(U25="","",U25-Z25)</f>
        <v/>
      </c>
      <c r="AB25" s="36" t="n"/>
    </row>
    <row r="26" ht="17" customHeight="1">
      <c r="A26" s="9" t="n"/>
      <c r="B26" s="9" t="n"/>
      <c r="C26" s="9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61" t="inlineStr"/>
      <c r="T26" s="9" t="n"/>
      <c r="U26" s="62" t="n"/>
      <c r="V26" s="60">
        <f>IF(U25="","",ROUNDDOWN(V25*0.1,-1))</f>
        <v/>
      </c>
      <c r="W26" s="60">
        <f>IF(U25="","",IF((COUNTIF(D25:S25,"&gt;0")+COUNTIF(D26:R26,"&gt;0"))&gt;=AB33,ROUNDDOWN(U25*U33,-1),0))</f>
        <v/>
      </c>
      <c r="X26" s="60">
        <f>IF(U25="","",ROUNDDOWN(W26*X33,-1))</f>
        <v/>
      </c>
      <c r="Y26" s="61" t="inlineStr"/>
      <c r="Z26" s="9" t="n"/>
      <c r="AA26" s="9" t="n"/>
      <c r="AB26" s="9" t="n"/>
    </row>
    <row r="27" ht="17" customHeight="1">
      <c r="A27" s="56">
        <f>IF(B27="","",11)</f>
        <v/>
      </c>
      <c r="B27" s="40" t="n"/>
      <c r="C27" s="57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9">
        <f>IF(SUM(D27:S27,D28:R28)=0,"",SUM(D27:S27,D28:R28))</f>
        <v/>
      </c>
      <c r="U27" s="42">
        <f>IF(OR(N(T27)=0,N(U28)=0),"",ROUND(T27*U28,0))</f>
        <v/>
      </c>
      <c r="V27" s="60">
        <f>IF(U27="","",IF(ROUNDDOWN(MAX(0,U28-H33)*M33*T27,-1)&lt;1000,0,ROUNDDOWN(MAX(0,U28-H33)*M33*T27,-1)))</f>
        <v/>
      </c>
      <c r="W27" s="60">
        <f>IF(U27="","",IF((COUNTIF(D27:S27,"&gt;0")+COUNTIF(D28:R28,"&gt;0"))&gt;=AB33,ROUNDDOWN(U27*Q33,-1),0))</f>
        <v/>
      </c>
      <c r="X27" s="60">
        <f>IF(U27="","",ROUNDDOWN(U27*Z33,-1))</f>
        <v/>
      </c>
      <c r="Y27" s="61" t="inlineStr"/>
      <c r="Z27" s="42">
        <f>IF(U27="","",V27+V28+W27+W28+X28+X27)</f>
        <v/>
      </c>
      <c r="AA27" s="43">
        <f>IF(U27="","",U27-Z27)</f>
        <v/>
      </c>
      <c r="AB27" s="36" t="n"/>
    </row>
    <row r="28" ht="17" customHeight="1">
      <c r="A28" s="9" t="n"/>
      <c r="B28" s="9" t="n"/>
      <c r="C28" s="9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1" t="inlineStr"/>
      <c r="T28" s="9" t="n"/>
      <c r="U28" s="62" t="n"/>
      <c r="V28" s="60">
        <f>IF(U27="","",ROUNDDOWN(V27*0.1,-1))</f>
        <v/>
      </c>
      <c r="W28" s="60">
        <f>IF(U27="","",IF((COUNTIF(D27:S27,"&gt;0")+COUNTIF(D28:R28,"&gt;0"))&gt;=AB33,ROUNDDOWN(U27*U33,-1),0))</f>
        <v/>
      </c>
      <c r="X28" s="60">
        <f>IF(U27="","",ROUNDDOWN(W28*X33,-1))</f>
        <v/>
      </c>
      <c r="Y28" s="61" t="inlineStr"/>
      <c r="Z28" s="9" t="n"/>
      <c r="AA28" s="9" t="n"/>
      <c r="AB28" s="9" t="n"/>
    </row>
    <row r="29" ht="17" customHeight="1">
      <c r="A29" s="56">
        <f>IF(B29="","",12)</f>
        <v/>
      </c>
      <c r="B29" s="40" t="n"/>
      <c r="C29" s="57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9">
        <f>IF(SUM(D29:S29,D30:R30)=0,"",SUM(D29:S29,D30:R30))</f>
        <v/>
      </c>
      <c r="U29" s="42">
        <f>IF(OR(N(T29)=0,N(U30)=0),"",ROUND(T29*U30,0))</f>
        <v/>
      </c>
      <c r="V29" s="60">
        <f>IF(U29="","",IF(ROUNDDOWN(MAX(0,U30-H33)*M33*T29,-1)&lt;1000,0,ROUNDDOWN(MAX(0,U30-H33)*M33*T29,-1)))</f>
        <v/>
      </c>
      <c r="W29" s="60">
        <f>IF(U29="","",IF((COUNTIF(D29:S29,"&gt;0")+COUNTIF(D30:R30,"&gt;0"))&gt;=AB33,ROUNDDOWN(U29*Q33,-1),0))</f>
        <v/>
      </c>
      <c r="X29" s="60">
        <f>IF(U29="","",ROUNDDOWN(U29*Z33,-1))</f>
        <v/>
      </c>
      <c r="Y29" s="61" t="inlineStr"/>
      <c r="Z29" s="42">
        <f>IF(U29="","",V29+V30+W29+W30+X30+X29)</f>
        <v/>
      </c>
      <c r="AA29" s="43">
        <f>IF(U29="","",U29-Z29)</f>
        <v/>
      </c>
      <c r="AB29" s="36" t="n"/>
    </row>
    <row r="30" ht="17" customHeight="1">
      <c r="A30" s="9" t="n"/>
      <c r="B30" s="9" t="n"/>
      <c r="C30" s="9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61" t="inlineStr"/>
      <c r="T30" s="9" t="n"/>
      <c r="U30" s="62" t="n"/>
      <c r="V30" s="60">
        <f>IF(U29="","",ROUNDDOWN(V29*0.1,-1))</f>
        <v/>
      </c>
      <c r="W30" s="60">
        <f>IF(U29="","",IF((COUNTIF(D29:S29,"&gt;0")+COUNTIF(D30:R30,"&gt;0"))&gt;=AB33,ROUNDDOWN(U29*U33,-1),0))</f>
        <v/>
      </c>
      <c r="X30" s="60">
        <f>IF(U29="","",ROUNDDOWN(W30*X33,-1))</f>
        <v/>
      </c>
      <c r="Y30" s="61" t="inlineStr"/>
      <c r="Z30" s="9" t="n"/>
      <c r="AA30" s="9" t="n"/>
      <c r="AB30" s="9" t="n"/>
    </row>
    <row r="31" ht="22" customHeight="1">
      <c r="A31" s="24" t="inlineStr">
        <is>
          <t>합   계</t>
        </is>
      </c>
      <c r="B31" s="9" t="n"/>
      <c r="C31" s="9" t="n"/>
      <c r="D31" s="24" t="inlineStr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59">
        <f>IF(SUM(T7:T30)=0,"",SUM(T7:T30))</f>
        <v/>
      </c>
      <c r="U31" s="43">
        <f>IF((N(U7)+N(U9)+N(U11)+N(U13)+N(U15)+N(U17)+N(U19)+N(U21)+N(U23)+N(U25)+N(U27)+N(U29))=0,"",N(U7)+N(U9)+N(U11)+N(U13)+N(U15)+N(U17)+N(U19)+N(U21)+N(U23)+N(U25)+N(U27)+N(U29))</f>
        <v/>
      </c>
      <c r="V31" s="24" t="inlineStr"/>
      <c r="W31" s="9" t="n"/>
      <c r="X31" s="9" t="n"/>
      <c r="Y31" s="9" t="n"/>
      <c r="Z31" s="43">
        <f>IF(SUM(Z7:Z30)=0,"",SUM(Z7:Z30))</f>
        <v/>
      </c>
      <c r="AA31" s="43">
        <f>IF(SUM(AA7:AA30)=0,"",SUM(AA7:AA30))</f>
        <v/>
      </c>
      <c r="AB31" s="24" t="inlineStr"/>
    </row>
    <row r="32" ht="4" customHeight="1"/>
    <row r="33" ht="22" customHeight="1">
      <c r="A33" s="8" t="inlineStr">
        <is>
          <t>공제 기준(2026년)</t>
        </is>
      </c>
      <c r="B33" s="9" t="n"/>
      <c r="C33" s="9" t="n"/>
      <c r="D33" s="9" t="n"/>
      <c r="E33" s="63" t="inlineStr">
        <is>
          <t>소득세 비과세 일급</t>
        </is>
      </c>
      <c r="F33" s="9" t="n"/>
      <c r="G33" s="9" t="n"/>
      <c r="H33" s="64" t="n">
        <v>150000</v>
      </c>
      <c r="I33" s="9" t="n"/>
      <c r="J33" s="63" t="inlineStr">
        <is>
          <t>소득세율(6%×45%)</t>
        </is>
      </c>
      <c r="K33" s="9" t="n"/>
      <c r="L33" s="9" t="n"/>
      <c r="M33" s="65" t="n">
        <v>0.027</v>
      </c>
      <c r="N33" s="9" t="n"/>
      <c r="O33" s="63" t="inlineStr">
        <is>
          <t>국민연금</t>
        </is>
      </c>
      <c r="P33" s="9" t="n"/>
      <c r="Q33" s="66" t="n">
        <v>0.0475</v>
      </c>
      <c r="R33" s="9" t="n"/>
      <c r="S33" s="63" t="inlineStr">
        <is>
          <t>건강보험</t>
        </is>
      </c>
      <c r="T33" s="9" t="n"/>
      <c r="U33" s="67" t="n">
        <v>0.03595</v>
      </c>
      <c r="V33" s="9" t="n"/>
      <c r="W33" s="68" t="inlineStr">
        <is>
          <t>요양/건강</t>
        </is>
      </c>
      <c r="X33" s="69" t="n">
        <v>0.1314</v>
      </c>
      <c r="Y33" s="70" t="inlineStr">
        <is>
          <t>고용</t>
        </is>
      </c>
      <c r="Z33" s="71" t="n">
        <v>0.008999999999999999</v>
      </c>
      <c r="AA33" s="68" t="inlineStr">
        <is>
          <t>8일↑</t>
        </is>
      </c>
      <c r="AB33" s="72" t="n">
        <v>8</v>
      </c>
    </row>
    <row r="35" ht="34" customHeight="1">
      <c r="A35" s="6" t="inlineStr">
        <is>
          <t>공수 칸에 1 · 0.5 · 1.5 처럼 적으세요. 노무비 = 공수 합 × 단가(일급). 소득세 = (일급 − 15만원) × 2.7% × 공수(1천원 미만은 안 뗌), 지방소득세 = 소득세의 10%.</t>
        </is>
      </c>
    </row>
    <row r="36" ht="34" customHeight="1">
      <c r="A36" s="6" t="inlineStr">
        <is>
          <t>국민연금 · 건강보험 · 장기요양은 이 현장에서 일한 날이 8일 이상인 사람만(1개월 이상 근로 · 다른 현장 합산 · 나이 등은 따로 확인 — 필요하면 칸을 고쳐 쓰세요). 10원 미만 버림.</t>
        </is>
      </c>
    </row>
    <row r="37" ht="19.5" customHeight="1">
      <c r="A37" s="6" t="inlineStr">
        <is>
          <t>주민등록번호 · 계좌는 이 파일에 적지 말고 따로 보관하는 것을 권합니다(개인정보).</t>
        </is>
      </c>
    </row>
  </sheetData>
  <mergeCells count="115">
    <mergeCell ref="AA27:AA28"/>
    <mergeCell ref="C29:C30"/>
    <mergeCell ref="A7:A8"/>
    <mergeCell ref="Z25:Z26"/>
    <mergeCell ref="B29:B30"/>
    <mergeCell ref="L3:M3"/>
    <mergeCell ref="B23:B24"/>
    <mergeCell ref="A27:A28"/>
    <mergeCell ref="T25:T26"/>
    <mergeCell ref="B13:B14"/>
    <mergeCell ref="T21:T22"/>
    <mergeCell ref="Z29:Z30"/>
    <mergeCell ref="B15:B16"/>
    <mergeCell ref="AB23:AB24"/>
    <mergeCell ref="T11:T12"/>
    <mergeCell ref="T13:T14"/>
    <mergeCell ref="A1:S1"/>
    <mergeCell ref="C27:C28"/>
    <mergeCell ref="T7:T8"/>
    <mergeCell ref="U33:V33"/>
    <mergeCell ref="A36:AB36"/>
    <mergeCell ref="M33:N33"/>
    <mergeCell ref="Z23:Z24"/>
    <mergeCell ref="T15:T16"/>
    <mergeCell ref="D3:K3"/>
    <mergeCell ref="T27:T28"/>
    <mergeCell ref="V31:Y31"/>
    <mergeCell ref="B25:B26"/>
    <mergeCell ref="A33:D33"/>
    <mergeCell ref="AA29:AA30"/>
    <mergeCell ref="N3:S3"/>
    <mergeCell ref="B27:B28"/>
    <mergeCell ref="AA19:AA20"/>
    <mergeCell ref="B17:B18"/>
    <mergeCell ref="B11:B12"/>
    <mergeCell ref="AB9:AB10"/>
    <mergeCell ref="A3:C3"/>
    <mergeCell ref="AA15:AA16"/>
    <mergeCell ref="T9:T10"/>
    <mergeCell ref="T17:T18"/>
    <mergeCell ref="AA7:AA8"/>
    <mergeCell ref="AB27:AB28"/>
    <mergeCell ref="Z5:Z6"/>
    <mergeCell ref="A21:A22"/>
    <mergeCell ref="J33:L33"/>
    <mergeCell ref="A17:A18"/>
    <mergeCell ref="C17:C18"/>
    <mergeCell ref="A31:C31"/>
    <mergeCell ref="Z13:Z14"/>
    <mergeCell ref="AB13:AB14"/>
    <mergeCell ref="A23:A24"/>
    <mergeCell ref="S33:T33"/>
    <mergeCell ref="A19:A20"/>
    <mergeCell ref="C19:C20"/>
    <mergeCell ref="Z15:Z16"/>
    <mergeCell ref="AB15:AB16"/>
    <mergeCell ref="E33:G33"/>
    <mergeCell ref="AA17:AA18"/>
    <mergeCell ref="A9:A10"/>
    <mergeCell ref="B7:B8"/>
    <mergeCell ref="A11:A12"/>
    <mergeCell ref="C5:C6"/>
    <mergeCell ref="A2:AB2"/>
    <mergeCell ref="AA9:AA10"/>
    <mergeCell ref="T29:T30"/>
    <mergeCell ref="AB25:AB26"/>
    <mergeCell ref="AA5:AA6"/>
    <mergeCell ref="V3:AB3"/>
    <mergeCell ref="C21:C22"/>
    <mergeCell ref="Z17:Z18"/>
    <mergeCell ref="AB17:AB18"/>
    <mergeCell ref="AB11:AB12"/>
    <mergeCell ref="B9:B10"/>
    <mergeCell ref="C23:C24"/>
    <mergeCell ref="Z19:Z20"/>
    <mergeCell ref="A13:A14"/>
    <mergeCell ref="AB19:AB20"/>
    <mergeCell ref="C7:C8"/>
    <mergeCell ref="T19:T20"/>
    <mergeCell ref="AA21:AA22"/>
    <mergeCell ref="T5:T6"/>
    <mergeCell ref="AA23:AA24"/>
    <mergeCell ref="T3:U3"/>
    <mergeCell ref="B21:B22"/>
    <mergeCell ref="AB29:AB30"/>
    <mergeCell ref="O33:P33"/>
    <mergeCell ref="Z7:Z8"/>
    <mergeCell ref="Q33:R33"/>
    <mergeCell ref="Z21:Z22"/>
    <mergeCell ref="AB21:AB22"/>
    <mergeCell ref="A35:AB35"/>
    <mergeCell ref="C9:C10"/>
    <mergeCell ref="T1:AB1"/>
    <mergeCell ref="A25:A26"/>
    <mergeCell ref="C25:C26"/>
    <mergeCell ref="C11:C12"/>
    <mergeCell ref="AB7:AB8"/>
    <mergeCell ref="B19:B20"/>
    <mergeCell ref="A5:A6"/>
    <mergeCell ref="AA25:AA26"/>
    <mergeCell ref="D31:S31"/>
    <mergeCell ref="A29:A30"/>
    <mergeCell ref="T23:T24"/>
    <mergeCell ref="B5:B6"/>
    <mergeCell ref="C13:C14"/>
    <mergeCell ref="Z9:Z10"/>
    <mergeCell ref="AA11:AA12"/>
    <mergeCell ref="Z27:Z28"/>
    <mergeCell ref="A37:AB37"/>
    <mergeCell ref="H33:I33"/>
    <mergeCell ref="A15:A16"/>
    <mergeCell ref="AA13:AA14"/>
    <mergeCell ref="C15:C16"/>
    <mergeCell ref="Z11:Z12"/>
    <mergeCell ref="AB5:AB6"/>
  </mergeCells>
  <conditionalFormatting sqref="D7:D30">
    <cfRule type="expression" priority="1" dxfId="1">
      <formula>AND(ISNUMBER(D7),MOD(D7,1)=0)</formula>
    </cfRule>
  </conditionalFormatting>
  <conditionalFormatting sqref="E7:E30">
    <cfRule type="expression" priority="2" dxfId="1">
      <formula>AND(ISNUMBER(E7),MOD(E7,1)=0)</formula>
    </cfRule>
  </conditionalFormatting>
  <conditionalFormatting sqref="F7:F30">
    <cfRule type="expression" priority="3" dxfId="1">
      <formula>AND(ISNUMBER(F7),MOD(F7,1)=0)</formula>
    </cfRule>
  </conditionalFormatting>
  <conditionalFormatting sqref="G7:G30">
    <cfRule type="expression" priority="4" dxfId="1">
      <formula>AND(ISNUMBER(G7),MOD(G7,1)=0)</formula>
    </cfRule>
  </conditionalFormatting>
  <conditionalFormatting sqref="H7:H30">
    <cfRule type="expression" priority="5" dxfId="1">
      <formula>AND(ISNUMBER(H7),MOD(H7,1)=0)</formula>
    </cfRule>
  </conditionalFormatting>
  <conditionalFormatting sqref="I7:I30">
    <cfRule type="expression" priority="6" dxfId="1">
      <formula>AND(ISNUMBER(I7),MOD(I7,1)=0)</formula>
    </cfRule>
  </conditionalFormatting>
  <conditionalFormatting sqref="J7:J30">
    <cfRule type="expression" priority="7" dxfId="1">
      <formula>AND(ISNUMBER(J7),MOD(J7,1)=0)</formula>
    </cfRule>
  </conditionalFormatting>
  <conditionalFormatting sqref="K7:K30">
    <cfRule type="expression" priority="8" dxfId="1">
      <formula>AND(ISNUMBER(K7),MOD(K7,1)=0)</formula>
    </cfRule>
  </conditionalFormatting>
  <conditionalFormatting sqref="L7:L30">
    <cfRule type="expression" priority="9" dxfId="1">
      <formula>AND(ISNUMBER(L7),MOD(L7,1)=0)</formula>
    </cfRule>
  </conditionalFormatting>
  <conditionalFormatting sqref="M7:M30">
    <cfRule type="expression" priority="10" dxfId="1">
      <formula>AND(ISNUMBER(M7),MOD(M7,1)=0)</formula>
    </cfRule>
  </conditionalFormatting>
  <conditionalFormatting sqref="N7:N30">
    <cfRule type="expression" priority="11" dxfId="1">
      <formula>AND(ISNUMBER(N7),MOD(N7,1)=0)</formula>
    </cfRule>
  </conditionalFormatting>
  <conditionalFormatting sqref="O7:O30">
    <cfRule type="expression" priority="12" dxfId="1">
      <formula>AND(ISNUMBER(O7),MOD(O7,1)=0)</formula>
    </cfRule>
  </conditionalFormatting>
  <conditionalFormatting sqref="P7:P30">
    <cfRule type="expression" priority="13" dxfId="1">
      <formula>AND(ISNUMBER(P7),MOD(P7,1)=0)</formula>
    </cfRule>
  </conditionalFormatting>
  <conditionalFormatting sqref="Q7:Q30">
    <cfRule type="expression" priority="14" dxfId="1">
      <formula>AND(ISNUMBER(Q7),MOD(Q7,1)=0)</formula>
    </cfRule>
  </conditionalFormatting>
  <conditionalFormatting sqref="R7:R30">
    <cfRule type="expression" priority="15" dxfId="1">
      <formula>AND(ISNUMBER(R7),MOD(R7,1)=0)</formula>
    </cfRule>
  </conditionalFormatting>
  <conditionalFormatting sqref="S7">
    <cfRule type="expression" priority="16" dxfId="1">
      <formula>AND(ISNUMBER(S7),MOD(S7,1)=0)</formula>
    </cfRule>
  </conditionalFormatting>
  <conditionalFormatting sqref="S9">
    <cfRule type="expression" priority="17" dxfId="1">
      <formula>AND(ISNUMBER(S9),MOD(S9,1)=0)</formula>
    </cfRule>
  </conditionalFormatting>
  <conditionalFormatting sqref="S11">
    <cfRule type="expression" priority="18" dxfId="1">
      <formula>AND(ISNUMBER(S11),MOD(S11,1)=0)</formula>
    </cfRule>
  </conditionalFormatting>
  <conditionalFormatting sqref="S13">
    <cfRule type="expression" priority="19" dxfId="1">
      <formula>AND(ISNUMBER(S13),MOD(S13,1)=0)</formula>
    </cfRule>
  </conditionalFormatting>
  <conditionalFormatting sqref="S15">
    <cfRule type="expression" priority="20" dxfId="1">
      <formula>AND(ISNUMBER(S15),MOD(S15,1)=0)</formula>
    </cfRule>
  </conditionalFormatting>
  <conditionalFormatting sqref="S17">
    <cfRule type="expression" priority="21" dxfId="1">
      <formula>AND(ISNUMBER(S17),MOD(S17,1)=0)</formula>
    </cfRule>
  </conditionalFormatting>
  <conditionalFormatting sqref="S19">
    <cfRule type="expression" priority="22" dxfId="1">
      <formula>AND(ISNUMBER(S19),MOD(S19,1)=0)</formula>
    </cfRule>
  </conditionalFormatting>
  <conditionalFormatting sqref="S21">
    <cfRule type="expression" priority="23" dxfId="1">
      <formula>AND(ISNUMBER(S21),MOD(S21,1)=0)</formula>
    </cfRule>
  </conditionalFormatting>
  <conditionalFormatting sqref="S23">
    <cfRule type="expression" priority="24" dxfId="1">
      <formula>AND(ISNUMBER(S23),MOD(S23,1)=0)</formula>
    </cfRule>
  </conditionalFormatting>
  <conditionalFormatting sqref="S25">
    <cfRule type="expression" priority="25" dxfId="1">
      <formula>AND(ISNUMBER(S25),MOD(S25,1)=0)</formula>
    </cfRule>
  </conditionalFormatting>
  <conditionalFormatting sqref="S27">
    <cfRule type="expression" priority="26" dxfId="1">
      <formula>AND(ISNUMBER(S27),MOD(S27,1)=0)</formula>
    </cfRule>
  </conditionalFormatting>
  <conditionalFormatting sqref="S29">
    <cfRule type="expression" priority="27" dxfId="1">
      <formula>AND(ISNUMBER(S29),MOD(S29,1)=0)</formula>
    </cfRule>
  </conditionalFormatting>
  <conditionalFormatting sqref="T7">
    <cfRule type="expression" priority="28" dxfId="1">
      <formula>AND(ISNUMBER(T7),MOD(T7,1)=0)</formula>
    </cfRule>
  </conditionalFormatting>
  <conditionalFormatting sqref="T9">
    <cfRule type="expression" priority="29" dxfId="1">
      <formula>AND(ISNUMBER(T9),MOD(T9,1)=0)</formula>
    </cfRule>
  </conditionalFormatting>
  <conditionalFormatting sqref="T11">
    <cfRule type="expression" priority="30" dxfId="1">
      <formula>AND(ISNUMBER(T11),MOD(T11,1)=0)</formula>
    </cfRule>
  </conditionalFormatting>
  <conditionalFormatting sqref="T13">
    <cfRule type="expression" priority="31" dxfId="1">
      <formula>AND(ISNUMBER(T13),MOD(T13,1)=0)</formula>
    </cfRule>
  </conditionalFormatting>
  <conditionalFormatting sqref="T15">
    <cfRule type="expression" priority="32" dxfId="1">
      <formula>AND(ISNUMBER(T15),MOD(T15,1)=0)</formula>
    </cfRule>
  </conditionalFormatting>
  <conditionalFormatting sqref="T17">
    <cfRule type="expression" priority="33" dxfId="1">
      <formula>AND(ISNUMBER(T17),MOD(T17,1)=0)</formula>
    </cfRule>
  </conditionalFormatting>
  <conditionalFormatting sqref="T19">
    <cfRule type="expression" priority="34" dxfId="1">
      <formula>AND(ISNUMBER(T19),MOD(T19,1)=0)</formula>
    </cfRule>
  </conditionalFormatting>
  <conditionalFormatting sqref="T21">
    <cfRule type="expression" priority="35" dxfId="1">
      <formula>AND(ISNUMBER(T21),MOD(T21,1)=0)</formula>
    </cfRule>
  </conditionalFormatting>
  <conditionalFormatting sqref="T23">
    <cfRule type="expression" priority="36" dxfId="1">
      <formula>AND(ISNUMBER(T23),MOD(T23,1)=0)</formula>
    </cfRule>
  </conditionalFormatting>
  <conditionalFormatting sqref="T25">
    <cfRule type="expression" priority="37" dxfId="1">
      <formula>AND(ISNUMBER(T25),MOD(T25,1)=0)</formula>
    </cfRule>
  </conditionalFormatting>
  <conditionalFormatting sqref="T27">
    <cfRule type="expression" priority="38" dxfId="1">
      <formula>AND(ISNUMBER(T27),MOD(T27,1)=0)</formula>
    </cfRule>
  </conditionalFormatting>
  <conditionalFormatting sqref="T29">
    <cfRule type="expression" priority="39" dxfId="1">
      <formula>AND(ISNUMBER(T29),MOD(T29,1)=0)</formula>
    </cfRule>
  </conditionalFormatting>
  <conditionalFormatting sqref="T31">
    <cfRule type="expression" priority="40" dxfId="1">
      <formula>AND(ISNUMBER(T31),MOD(T31,1)=0)</formula>
    </cfRule>
  </conditionalFormatting>
  <printOptions horizontalCentered="1"/>
  <pageMargins left="0.55" right="0.55" top="0.55" bottom="0.55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120" customHeight="1"/>
    <row r="3" ht="40" customHeight="1">
      <c r="A3" s="3">
        <f>IF('예시-품질관리비'!I4="","",'예시-품질관리비'!I4)</f>
        <v/>
      </c>
    </row>
    <row r="4" ht="40" customHeight="1"/>
    <row r="5" ht="60" customHeight="1">
      <c r="A5" s="4" t="inlineStr">
        <is>
          <t>품질관리비 사용내역서</t>
        </is>
      </c>
    </row>
    <row r="6" ht="60" customHeight="1"/>
    <row r="7" ht="30" customHeight="1">
      <c r="A7" s="5">
        <f>IF(N('예시-품질관리비'!C8)=0,"20    년    월분",IF(N('예시-품질관리비'!C8)=0,"",YEAR('예시-품질관리비'!C8)&amp;"년 "&amp;IF(MONTH('예시-품질관리비'!C8)&lt;10,"0","")&amp;MONTH('예시-품질관리비'!C8)&amp;"월")&amp;"분")</f>
        <v/>
      </c>
    </row>
    <row r="8" ht="230" customHeight="1"/>
    <row r="9" ht="40" customHeight="1">
      <c r="A9" s="3">
        <f>IF('예시-품질관리비'!C4="","",'예시-품질관리비'!C4)</f>
        <v/>
      </c>
    </row>
    <row r="11" ht="19.5" customHeight="1">
      <c r="A11" s="6" t="inlineStr">
        <is>
          <t>이 시트는 작성 예시입니다(가상의 공사 · 회사).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40" customHeight="1">
      <c r="A2" s="7">
        <f>"품질관리비 사용내역서"&amp;IF(N(C8)=0,"","("&amp;IF(N(C8)=0,"",YEAR(C8)&amp;"년 "&amp;IF(MONTH(C8)&lt;10,"0","")&amp;MONTH(C8)&amp;"월")&amp;")")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10" t="inlineStr">
        <is>
          <t>예시건설(주)</t>
        </is>
      </c>
      <c r="D4" s="9" t="n"/>
      <c r="E4" s="9" t="n"/>
      <c r="F4" s="9" t="n"/>
      <c r="G4" s="8" t="inlineStr">
        <is>
          <t>공  사  명</t>
        </is>
      </c>
      <c r="H4" s="9" t="n"/>
      <c r="I4" s="11" t="inlineStr">
        <is>
          <t>가나지구 배수로 정비공사</t>
        </is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11" t="inlineStr">
        <is>
          <t>가나시 가나로 10</t>
        </is>
      </c>
      <c r="D5" s="9" t="n"/>
      <c r="E5" s="9" t="n"/>
      <c r="F5" s="9" t="n"/>
      <c r="G5" s="8" t="inlineStr">
        <is>
          <t>대  표  자</t>
        </is>
      </c>
      <c r="H5" s="9" t="n"/>
      <c r="I5" s="10" t="inlineStr">
        <is>
          <t>김대표</t>
        </is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12" t="n">
        <v>3024841000</v>
      </c>
      <c r="D6" s="9" t="n"/>
      <c r="E6" s="9" t="n"/>
      <c r="F6" s="9" t="n"/>
      <c r="G6" s="8" t="inlineStr">
        <is>
          <t>공 사 기 간</t>
        </is>
      </c>
      <c r="H6" s="9" t="n"/>
      <c r="I6" s="13" t="n">
        <v>45831</v>
      </c>
      <c r="J6" s="9" t="n"/>
      <c r="K6" s="13" t="n">
        <v>46645</v>
      </c>
      <c r="L6" s="9" t="n"/>
    </row>
    <row r="7" ht="28" customHeight="1">
      <c r="A7" s="8" t="inlineStr">
        <is>
          <t>발  주  자</t>
        </is>
      </c>
      <c r="B7" s="9" t="n"/>
      <c r="C7" s="10" t="inlineStr">
        <is>
          <t>가나군</t>
        </is>
      </c>
      <c r="D7" s="9" t="n"/>
      <c r="E7" s="9" t="n"/>
      <c r="F7" s="9" t="n"/>
      <c r="G7" s="8" t="inlineStr">
        <is>
          <t>누계 공정률</t>
        </is>
      </c>
      <c r="H7" s="9" t="n"/>
      <c r="I7" s="14" t="n">
        <v>0.4532</v>
      </c>
      <c r="J7" s="9" t="n"/>
      <c r="K7" s="9" t="n"/>
      <c r="L7" s="9" t="n"/>
    </row>
    <row r="8" ht="24" customHeight="1">
      <c r="A8" s="8" t="inlineStr">
        <is>
          <t>사 용 월</t>
        </is>
      </c>
      <c r="B8" s="9" t="n"/>
      <c r="C8" s="15" t="n">
        <v>46082</v>
      </c>
      <c r="D8" s="9" t="n"/>
      <c r="E8" s="9" t="n"/>
      <c r="F8" s="9" t="n"/>
      <c r="G8" s="16" t="inlineStr">
        <is>
          <t>← 그 달 1일을 적으세요(제목 · 날짜 · 표지가 따라감)</t>
        </is>
      </c>
    </row>
    <row r="9" ht="30" customHeight="1">
      <c r="A9" s="17" t="inlineStr">
        <is>
          <t>계상된
품질관리비</t>
        </is>
      </c>
      <c r="B9" s="9" t="n"/>
      <c r="C9" s="12" t="n">
        <v>73377060</v>
      </c>
      <c r="D9" s="9" t="n"/>
      <c r="E9" s="9" t="n"/>
      <c r="F9" s="9" t="n"/>
      <c r="G9" s="8" t="inlineStr">
        <is>
          <t>사 용 률</t>
        </is>
      </c>
      <c r="H9" s="9" t="n"/>
      <c r="I9" s="18">
        <f>IF(OR(N(C9)=0,N(I21)=0),"",I21/C9)</f>
        <v/>
      </c>
      <c r="J9" s="9" t="n"/>
      <c r="K9" s="9" t="n"/>
      <c r="L9" s="9" t="n"/>
    </row>
    <row r="10" ht="6" customHeight="1"/>
    <row r="11" ht="26" customHeight="1">
      <c r="A11" s="19" t="inlineStr">
        <is>
          <t>사        용        금        액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4" customHeight="1">
      <c r="A12" s="19" t="inlineStr">
        <is>
          <t>항        목</t>
        </is>
      </c>
      <c r="B12" s="9" t="n"/>
      <c r="C12" s="9" t="n"/>
      <c r="D12" s="9" t="n"/>
      <c r="E12" s="20">
        <f>"전회 누계금액"&amp;CHAR(10)&amp;IF(N(C8)=0,"(전월까지)","("&amp;MONTH(C8-1)&amp;"월까지)")</f>
        <v/>
      </c>
      <c r="F12" s="9" t="n"/>
      <c r="G12" s="20">
        <f>"금회 금액"&amp;CHAR(10)&amp;IF(N(C8)=0,"(이번 달)","("&amp;MONTH(C8)&amp;"월)")</f>
        <v/>
      </c>
      <c r="H12" s="9" t="n"/>
      <c r="I12" s="19" t="inlineStr">
        <is>
          <t>누 계 금 액</t>
        </is>
      </c>
      <c r="J12" s="9" t="n"/>
      <c r="K12" s="19" t="inlineStr">
        <is>
          <t>비   고</t>
        </is>
      </c>
      <c r="L12" s="9" t="n"/>
    </row>
    <row r="13" ht="28" customHeight="1">
      <c r="A13" s="11" t="inlineStr">
        <is>
          <t>1. 품질시험비</t>
        </is>
      </c>
      <c r="B13" s="9" t="n"/>
      <c r="C13" s="9" t="n"/>
      <c r="D13" s="9" t="n"/>
      <c r="E13" s="21" t="n">
        <v>10898010</v>
      </c>
      <c r="F13" s="9" t="n"/>
      <c r="G13" s="22">
        <f>IF(A13="","",SUMIF('예시-품질세부'!A5:A26,A13,'예시-품질세부'!L5:L26))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28" customHeight="1">
      <c r="A14" s="11" t="inlineStr">
        <is>
          <t>2. 품질관리활동비</t>
        </is>
      </c>
      <c r="B14" s="9" t="n"/>
      <c r="C14" s="9" t="n"/>
      <c r="D14" s="9" t="n"/>
      <c r="E14" s="21" t="n">
        <v>0</v>
      </c>
      <c r="F14" s="9" t="n"/>
      <c r="G14" s="22">
        <f>IF(A14="","",SUMIF('예시-품질세부'!A5:A26,A14,'예시-품질세부'!L5:L26))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28" customHeight="1">
      <c r="A15" s="11" t="n"/>
      <c r="B15" s="9" t="n"/>
      <c r="C15" s="9" t="n"/>
      <c r="D15" s="9" t="n"/>
      <c r="E15" s="21" t="n"/>
      <c r="F15" s="9" t="n"/>
      <c r="G15" s="22">
        <f>IF(A15="","",SUMIF('예시-품질세부'!A5:A26,A15,'예시-품질세부'!L5:L26))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28" customHeight="1">
      <c r="A16" s="11" t="n"/>
      <c r="B16" s="9" t="n"/>
      <c r="C16" s="9" t="n"/>
      <c r="D16" s="9" t="n"/>
      <c r="E16" s="21" t="n"/>
      <c r="F16" s="9" t="n"/>
      <c r="G16" s="22">
        <f>IF(A16="","",SUMIF('예시-품질세부'!A5:A26,A16,'예시-품질세부'!L5:L26))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28" customHeight="1">
      <c r="A17" s="11" t="n"/>
      <c r="B17" s="9" t="n"/>
      <c r="C17" s="9" t="n"/>
      <c r="D17" s="9" t="n"/>
      <c r="E17" s="21" t="n"/>
      <c r="F17" s="9" t="n"/>
      <c r="G17" s="22">
        <f>IF(A17="","",SUMIF('예시-품질세부'!A5:A26,A17,'예시-품질세부'!L5:L26))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28" customHeight="1">
      <c r="A18" s="11" t="n"/>
      <c r="B18" s="9" t="n"/>
      <c r="C18" s="9" t="n"/>
      <c r="D18" s="9" t="n"/>
      <c r="E18" s="21" t="n"/>
      <c r="F18" s="9" t="n"/>
      <c r="G18" s="22">
        <f>IF(A18="","",SUMIF('예시-품질세부'!A5:A26,A18,'예시-품질세부'!L5:L26))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28" customHeight="1">
      <c r="A19" s="11" t="n"/>
      <c r="B19" s="9" t="n"/>
      <c r="C19" s="9" t="n"/>
      <c r="D19" s="9" t="n"/>
      <c r="E19" s="21" t="n"/>
      <c r="F19" s="9" t="n"/>
      <c r="G19" s="22">
        <f>IF(A19="","",SUMIF('예시-품질세부'!A5:A26,A19,'예시-품질세부'!L5:L26))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11" t="n"/>
      <c r="B20" s="9" t="n"/>
      <c r="C20" s="9" t="n"/>
      <c r="D20" s="9" t="n"/>
      <c r="E20" s="21" t="n"/>
      <c r="F20" s="9" t="n"/>
      <c r="G20" s="22">
        <f>IF(A20="","",SUMIF('예시-품질세부'!A5:A26,A20,'예시-품질세부'!L5:L26))</f>
        <v/>
      </c>
      <c r="H20" s="9" t="n"/>
      <c r="I20" s="22">
        <f>IF(A20="","",N(E20)+N(G20))</f>
        <v/>
      </c>
      <c r="J20" s="9" t="n"/>
      <c r="K20" s="23" t="n"/>
      <c r="L20" s="9" t="n"/>
    </row>
    <row r="21" ht="28" customHeight="1">
      <c r="A21" s="24" t="inlineStr">
        <is>
          <t>계</t>
        </is>
      </c>
      <c r="B21" s="9" t="n"/>
      <c r="C21" s="9" t="n"/>
      <c r="D21" s="9" t="n"/>
      <c r="E21" s="25">
        <f>SUM(E13:E20)</f>
        <v/>
      </c>
      <c r="F21" s="9" t="n"/>
      <c r="G21" s="25">
        <f>SUM(G13:G20)</f>
        <v/>
      </c>
      <c r="H21" s="9" t="n"/>
      <c r="I21" s="25">
        <f>SUM(I13:I20)</f>
        <v/>
      </c>
      <c r="J21" s="9" t="n"/>
      <c r="K21" s="24" t="inlineStr"/>
      <c r="L21" s="9" t="n"/>
    </row>
    <row r="22" ht="16" customHeight="1">
      <c r="A22" s="26">
        <f>IF(ROUND(SUM('예시-품질세부'!L5:L26)-G21,0)&lt;&gt;0,"⚠ 항목별 사용내역서 합계와 금회 합계가 다릅니다 — 항목 이름이 위 표와 똑같은지 보세요.","")</f>
        <v/>
      </c>
    </row>
    <row r="23" ht="10" customHeight="1"/>
    <row r="24" ht="26" customHeight="1">
      <c r="A24" s="27" t="inlineStr">
        <is>
          <t xml:space="preserve">      건설공사 품질관리비 계상 및 사용기준에 의거 위와 같이 사용내역을 제출합니다.</t>
        </is>
      </c>
    </row>
    <row r="25" ht="10" customHeight="1"/>
    <row r="26" ht="26" customHeight="1">
      <c r="A26" s="28">
        <f>IF(N(C8)=0,"20     년      월      일",YEAR(C8)&amp;" 년  "&amp;MONTH(C8)&amp;" 월  "&amp;DAY(DATE(YEAR(C8),MONTH(C8)+1,0))&amp;" 일")</f>
        <v/>
      </c>
    </row>
    <row r="27" ht="16" customHeight="1"/>
    <row r="28" ht="28" customHeight="1">
      <c r="A28" s="29" t="inlineStr"/>
      <c r="D28" s="30" t="inlineStr">
        <is>
          <t>작 성 자 :</t>
        </is>
      </c>
      <c r="F28" s="31" t="inlineStr">
        <is>
          <t>이공무</t>
        </is>
      </c>
      <c r="H28" s="30" t="inlineStr">
        <is>
          <t>현장대리인</t>
        </is>
      </c>
      <c r="J28" s="31" t="inlineStr">
        <is>
          <t>홍길동</t>
        </is>
      </c>
      <c r="L28" s="32" t="inlineStr">
        <is>
          <t>(인)</t>
        </is>
      </c>
    </row>
    <row r="30" ht="19.5" customHeight="1">
      <c r="A30" s="6" t="inlineStr">
        <is>
          <t>이 시트는 작성 예시입니다(가상의 공사 · 회사 · 금액).</t>
        </is>
      </c>
    </row>
  </sheetData>
  <mergeCells count="87">
    <mergeCell ref="G21:H21"/>
    <mergeCell ref="A20:D20"/>
    <mergeCell ref="I4:L4"/>
    <mergeCell ref="J28:K28"/>
    <mergeCell ref="A13:D13"/>
    <mergeCell ref="A26:L26"/>
    <mergeCell ref="A7:B7"/>
    <mergeCell ref="I16:J16"/>
    <mergeCell ref="C6:F6"/>
    <mergeCell ref="A15:D15"/>
    <mergeCell ref="G18:H18"/>
    <mergeCell ref="I18:J18"/>
    <mergeCell ref="A16:D16"/>
    <mergeCell ref="G20:H20"/>
    <mergeCell ref="I20:J20"/>
    <mergeCell ref="G8:L8"/>
    <mergeCell ref="I13:J13"/>
    <mergeCell ref="A9:B9"/>
    <mergeCell ref="K13:L13"/>
    <mergeCell ref="E12:F12"/>
    <mergeCell ref="A17:D17"/>
    <mergeCell ref="G12:H12"/>
    <mergeCell ref="I6:J6"/>
    <mergeCell ref="I15:J15"/>
    <mergeCell ref="K15:L15"/>
    <mergeCell ref="E14:F14"/>
    <mergeCell ref="A19:D19"/>
    <mergeCell ref="K21:L21"/>
    <mergeCell ref="G7:H7"/>
    <mergeCell ref="C5:F5"/>
    <mergeCell ref="C4:F4"/>
    <mergeCell ref="F28:G28"/>
    <mergeCell ref="I7:L7"/>
    <mergeCell ref="H28:I28"/>
    <mergeCell ref="A8:B8"/>
    <mergeCell ref="I17:J17"/>
    <mergeCell ref="K17:L17"/>
    <mergeCell ref="A24:L24"/>
    <mergeCell ref="E16:F16"/>
    <mergeCell ref="G16:H16"/>
    <mergeCell ref="I19:J19"/>
    <mergeCell ref="K19:L19"/>
    <mergeCell ref="K6:L6"/>
    <mergeCell ref="G9:H9"/>
    <mergeCell ref="E18:F18"/>
    <mergeCell ref="K16:L16"/>
    <mergeCell ref="I5:L5"/>
    <mergeCell ref="C8:F8"/>
    <mergeCell ref="A2:L2"/>
    <mergeCell ref="E20:F20"/>
    <mergeCell ref="I9:L9"/>
    <mergeCell ref="E13:F13"/>
    <mergeCell ref="A22:L22"/>
    <mergeCell ref="G13:H13"/>
    <mergeCell ref="I21:J21"/>
    <mergeCell ref="A28:C28"/>
    <mergeCell ref="E15:F15"/>
    <mergeCell ref="G15:H15"/>
    <mergeCell ref="A5:B5"/>
    <mergeCell ref="D28:E28"/>
    <mergeCell ref="A4:B4"/>
    <mergeCell ref="A12:D12"/>
    <mergeCell ref="A1:F1"/>
    <mergeCell ref="A21:D21"/>
    <mergeCell ref="K18:L18"/>
    <mergeCell ref="A14:D14"/>
    <mergeCell ref="C7:F7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K12:L12"/>
    <mergeCell ref="G5:H5"/>
    <mergeCell ref="G14:H14"/>
    <mergeCell ref="I14:J14"/>
    <mergeCell ref="K14:L14"/>
    <mergeCell ref="G4:H4"/>
    <mergeCell ref="C9:F9"/>
    <mergeCell ref="A18:D18"/>
    <mergeCell ref="A30:L30"/>
    <mergeCell ref="A11:L11"/>
    <mergeCell ref="E21:F21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38" customHeight="1">
      <c r="A2" s="33">
        <f>"품질관리비 항목별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24" customHeight="1">
      <c r="A3" s="34" t="inlineStr">
        <is>
          <t>공 사 명 :</t>
        </is>
      </c>
      <c r="C3" s="29">
        <f>IF('예시-품질관리비'!I4="","",'예시-품질관리비'!I4)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inlineStr">
        <is>
          <t>1. 품질시험비</t>
        </is>
      </c>
      <c r="B5" s="9" t="n"/>
      <c r="C5" s="9" t="n"/>
      <c r="D5" s="37" t="n">
        <v>46090</v>
      </c>
      <c r="E5" s="38" t="inlineStr">
        <is>
          <t>H-BEAM 품질검사</t>
        </is>
      </c>
      <c r="F5" s="9" t="n"/>
      <c r="G5" s="23" t="inlineStr">
        <is>
          <t>300×300×10×15</t>
        </is>
      </c>
      <c r="H5" s="9" t="n"/>
      <c r="I5" s="39" t="n">
        <v>1</v>
      </c>
      <c r="J5" s="40" t="inlineStr">
        <is>
          <t>식</t>
        </is>
      </c>
      <c r="K5" s="41" t="n">
        <v>270000</v>
      </c>
      <c r="L5" s="42">
        <f>IF(OR(N(I5)=0,N(K5)=0),"",ROUND(I5*K5,0))</f>
        <v/>
      </c>
    </row>
    <row r="6" ht="24" customHeight="1">
      <c r="A6" s="36" t="inlineStr">
        <is>
          <t>1. 품질시험비</t>
        </is>
      </c>
      <c r="B6" s="9" t="n"/>
      <c r="C6" s="9" t="n"/>
      <c r="D6" s="37" t="n">
        <v>46093</v>
      </c>
      <c r="E6" s="38" t="inlineStr">
        <is>
          <t>SHEET PILE 품질검사</t>
        </is>
      </c>
      <c r="F6" s="9" t="n"/>
      <c r="G6" s="23" t="inlineStr">
        <is>
          <t>400×150×13</t>
        </is>
      </c>
      <c r="H6" s="9" t="n"/>
      <c r="I6" s="39" t="n">
        <v>1</v>
      </c>
      <c r="J6" s="40" t="inlineStr">
        <is>
          <t>식</t>
        </is>
      </c>
      <c r="K6" s="41" t="n">
        <v>200000</v>
      </c>
      <c r="L6" s="42">
        <f>IF(OR(N(I6)=0,N(K6)=0),"",ROUND(I6*K6,0))</f>
        <v/>
      </c>
    </row>
    <row r="7" ht="24" customHeight="1">
      <c r="A7" s="36" t="inlineStr">
        <is>
          <t>1. 품질시험비</t>
        </is>
      </c>
      <c r="B7" s="9" t="n"/>
      <c r="C7" s="9" t="n"/>
      <c r="D7" s="37" t="n">
        <v>46101</v>
      </c>
      <c r="E7" s="38" t="inlineStr">
        <is>
          <t>레미콘 압축강도 시험</t>
        </is>
      </c>
      <c r="F7" s="9" t="n"/>
      <c r="G7" s="23" t="inlineStr">
        <is>
          <t>25-24-150</t>
        </is>
      </c>
      <c r="H7" s="9" t="n"/>
      <c r="I7" s="39" t="n">
        <v>6</v>
      </c>
      <c r="J7" s="40" t="inlineStr">
        <is>
          <t>회</t>
        </is>
      </c>
      <c r="K7" s="41" t="n">
        <v>45000</v>
      </c>
      <c r="L7" s="42">
        <f>IF(OR(N(I7)=0,N(K7)=0),"",ROUND(I7*K7,0))</f>
        <v/>
      </c>
    </row>
    <row r="8" ht="24" customHeight="1">
      <c r="A8" s="36" t="inlineStr">
        <is>
          <t>2. 품질관리활동비</t>
        </is>
      </c>
      <c r="B8" s="9" t="n"/>
      <c r="C8" s="9" t="n"/>
      <c r="D8" s="37" t="n">
        <v>46106</v>
      </c>
      <c r="E8" s="38" t="inlineStr">
        <is>
          <t>시험기구 검 · 교정</t>
        </is>
      </c>
      <c r="F8" s="9" t="n"/>
      <c r="G8" s="23" t="inlineStr">
        <is>
          <t>슬럼프 · 공기량</t>
        </is>
      </c>
      <c r="H8" s="9" t="n"/>
      <c r="I8" s="39" t="n">
        <v>1</v>
      </c>
      <c r="J8" s="40" t="inlineStr">
        <is>
          <t>식</t>
        </is>
      </c>
      <c r="K8" s="41" t="n">
        <v>180000</v>
      </c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품질관리비 사용내역서의 항목 이름과 똑같이 적으세요(복사해 붙이기 권함). 금액 = 수량 × 단가(원 단위 반올림).</t>
        </is>
      </c>
    </row>
    <row r="30" ht="19.5" customHeight="1">
      <c r="A30" s="6" t="inlineStr">
        <is>
          <t>이 시트는 작성 예시입니다. «신호수 인건비» 금액은 노임명세서의 노무비 합계를 끌어온 것입니다.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120" customHeight="1"/>
    <row r="3" ht="40" customHeight="1">
      <c r="A3" s="3">
        <f>IF('예시-품질관리비'!I4="","",'예시-품질관리비'!I4)</f>
        <v/>
      </c>
    </row>
    <row r="4" ht="40" customHeight="1"/>
    <row r="5" ht="60" customHeight="1">
      <c r="A5" s="4" t="inlineStr">
        <is>
          <t>안전관리비 사용내역서</t>
        </is>
      </c>
    </row>
    <row r="6" ht="60" customHeight="1"/>
    <row r="7" ht="30" customHeight="1">
      <c r="A7" s="5">
        <f>IF(N('예시-품질관리비'!C8)=0,"20    년    월분",IF(N('예시-품질관리비'!C8)=0,"",YEAR('예시-품질관리비'!C8)&amp;"년 "&amp;IF(MONTH('예시-품질관리비'!C8)&lt;10,"0","")&amp;MONTH('예시-품질관리비'!C8)&amp;"월")&amp;"분")</f>
        <v/>
      </c>
    </row>
    <row r="8" ht="230" customHeight="1"/>
    <row r="9" ht="40" customHeight="1">
      <c r="A9" s="3">
        <f>IF('예시-품질관리비'!C4="","",'예시-품질관리비'!C4)</f>
        <v/>
      </c>
    </row>
    <row r="11" ht="19.5" customHeight="1">
      <c r="A11" s="6" t="inlineStr">
        <is>
          <t>이 시트는 작성 예시입니다(가상의 공사 · 회사).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40" customHeight="1">
      <c r="A2" s="7">
        <f>"안전관리비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47">
        <f>IF('예시-품질관리비'!C4="","",'예시-품질관리비'!C4)</f>
        <v/>
      </c>
      <c r="D4" s="9" t="n"/>
      <c r="E4" s="9" t="n"/>
      <c r="F4" s="9" t="n"/>
      <c r="G4" s="8" t="inlineStr">
        <is>
          <t>공  사  명</t>
        </is>
      </c>
      <c r="H4" s="9" t="n"/>
      <c r="I4" s="47">
        <f>IF('예시-품질관리비'!I4="","",'예시-품질관리비'!I4)</f>
        <v/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47">
        <f>IF('예시-품질관리비'!C5="","",'예시-품질관리비'!C5)</f>
        <v/>
      </c>
      <c r="D5" s="9" t="n"/>
      <c r="E5" s="9" t="n"/>
      <c r="F5" s="9" t="n"/>
      <c r="G5" s="8" t="inlineStr">
        <is>
          <t>대  표  자</t>
        </is>
      </c>
      <c r="H5" s="9" t="n"/>
      <c r="I5" s="47">
        <f>IF('예시-품질관리비'!I5="","",'예시-품질관리비'!I5)</f>
        <v/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48">
        <f>IF(N('예시-품질관리비'!C6)=0,"",'예시-품질관리비'!C6)</f>
        <v/>
      </c>
      <c r="D6" s="9" t="n"/>
      <c r="E6" s="9" t="n"/>
      <c r="F6" s="9" t="n"/>
      <c r="G6" s="8" t="inlineStr">
        <is>
          <t>공 사 기 간</t>
        </is>
      </c>
      <c r="H6" s="9" t="n"/>
      <c r="I6" s="49">
        <f>IF(N('예시-품질관리비'!I6)=0,"",YEAR('예시-품질관리비'!I6)&amp;". "&amp;MONTH('예시-품질관리비'!I6)&amp;". "&amp;DAY('예시-품질관리비'!I6)&amp;". ~ "&amp;YEAR('예시-품질관리비'!K6)&amp;". "&amp;MONTH('예시-품질관리비'!K6)&amp;". "&amp;DAY('예시-품질관리비'!K6)&amp;".")</f>
        <v/>
      </c>
      <c r="J6" s="9" t="n"/>
      <c r="K6" s="9" t="n"/>
      <c r="L6" s="9" t="n"/>
    </row>
    <row r="7" ht="28" customHeight="1">
      <c r="A7" s="8" t="inlineStr">
        <is>
          <t>발  주  자</t>
        </is>
      </c>
      <c r="B7" s="9" t="n"/>
      <c r="C7" s="50">
        <f>IF('예시-품질관리비'!C7="","",'예시-품질관리비'!C7)</f>
        <v/>
      </c>
      <c r="D7" s="9" t="n"/>
      <c r="E7" s="9" t="n"/>
      <c r="F7" s="9" t="n"/>
      <c r="G7" s="8" t="inlineStr">
        <is>
          <t>누계 공정률</t>
        </is>
      </c>
      <c r="H7" s="9" t="n"/>
      <c r="I7" s="51">
        <f>IF(N('예시-품질관리비'!I7)=0,"",'예시-품질관리비'!I7)</f>
        <v/>
      </c>
      <c r="J7" s="9" t="n"/>
      <c r="K7" s="9" t="n"/>
      <c r="L7" s="9" t="n"/>
    </row>
    <row r="8" ht="30" customHeight="1">
      <c r="A8" s="17" t="inlineStr">
        <is>
          <t>계상된
안전관리비</t>
        </is>
      </c>
      <c r="B8" s="9" t="n"/>
      <c r="C8" s="12" t="n">
        <v>142898834</v>
      </c>
      <c r="D8" s="9" t="n"/>
      <c r="E8" s="9" t="n"/>
      <c r="F8" s="9" t="n"/>
      <c r="G8" s="8" t="inlineStr">
        <is>
          <t>사 용 률</t>
        </is>
      </c>
      <c r="H8" s="9" t="n"/>
      <c r="I8" s="18">
        <f>IF(OR(N(C8)=0,N(I20)=0),"",I20/C8)</f>
        <v/>
      </c>
      <c r="J8" s="9" t="n"/>
      <c r="K8" s="9" t="n"/>
      <c r="L8" s="9" t="n"/>
    </row>
    <row r="9" ht="6" customHeight="1"/>
    <row r="10" ht="26" customHeight="1">
      <c r="A10" s="19" t="inlineStr">
        <is>
          <t>사        용        금        액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4" customHeight="1">
      <c r="A11" s="19" t="inlineStr">
        <is>
          <t>항        목</t>
        </is>
      </c>
      <c r="B11" s="9" t="n"/>
      <c r="C11" s="9" t="n"/>
      <c r="D11" s="9" t="n"/>
      <c r="E11" s="20">
        <f>"전회 누계금액"&amp;CHAR(10)&amp;IF(N('예시-품질관리비'!C8)=0,"(전월까지)","("&amp;MONTH('예시-품질관리비'!C8-1)&amp;"월까지)")</f>
        <v/>
      </c>
      <c r="F11" s="9" t="n"/>
      <c r="G11" s="20">
        <f>"금회 금액"&amp;CHAR(10)&amp;IF(N('예시-품질관리비'!C8)=0,"(이번 달)","("&amp;MONTH('예시-품질관리비'!C8)&amp;"월)")</f>
        <v/>
      </c>
      <c r="H11" s="9" t="n"/>
      <c r="I11" s="19" t="inlineStr">
        <is>
          <t>누 계 금 액</t>
        </is>
      </c>
      <c r="J11" s="9" t="n"/>
      <c r="K11" s="19" t="inlineStr">
        <is>
          <t>비   고</t>
        </is>
      </c>
      <c r="L11" s="9" t="n"/>
    </row>
    <row r="12" ht="34" customHeight="1">
      <c r="A12" s="23" t="inlineStr">
        <is>
          <t>1. 안전관리계획서 작성비 및 검토비</t>
        </is>
      </c>
      <c r="B12" s="9" t="n"/>
      <c r="C12" s="9" t="n"/>
      <c r="D12" s="9" t="n"/>
      <c r="E12" s="21" t="n">
        <v>3000000</v>
      </c>
      <c r="F12" s="9" t="n"/>
      <c r="G12" s="22">
        <f>IF(A12="","",SUMIF('예시-안전세부'!A5:A26,A12,'예시-안전세부'!L5:L26))</f>
        <v/>
      </c>
      <c r="H12" s="9" t="n"/>
      <c r="I12" s="22">
        <f>IF(A12="","",N(E12)+N(G12))</f>
        <v/>
      </c>
      <c r="J12" s="9" t="n"/>
      <c r="K12" s="23" t="n"/>
      <c r="L12" s="9" t="n"/>
    </row>
    <row r="13" ht="34" customHeight="1">
      <c r="A13" s="23" t="inlineStr">
        <is>
          <t>2. 영 제100조제1항제1호 및 제3호에 따른 안전점검 비용</t>
        </is>
      </c>
      <c r="B13" s="9" t="n"/>
      <c r="C13" s="9" t="n"/>
      <c r="D13" s="9" t="n"/>
      <c r="E13" s="21" t="n">
        <v>17500000</v>
      </c>
      <c r="F13" s="9" t="n"/>
      <c r="G13" s="22">
        <f>IF(A13="","",SUMIF('예시-안전세부'!A5:A26,A13,'예시-안전세부'!L5:L26))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34" customHeight="1">
      <c r="A14" s="23" t="inlineStr">
        <is>
          <t>3. 발파 · 굴착 등의 건설공사로 인한 주변 건축물 등의 피해방지 대책 비용</t>
        </is>
      </c>
      <c r="B14" s="9" t="n"/>
      <c r="C14" s="9" t="n"/>
      <c r="D14" s="9" t="n"/>
      <c r="E14" s="21" t="n">
        <v>13144386</v>
      </c>
      <c r="F14" s="9" t="n"/>
      <c r="G14" s="22">
        <f>IF(A14="","",SUMIF('예시-안전세부'!A5:A26,A14,'예시-안전세부'!L5:L26))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34" customHeight="1">
      <c r="A15" s="23" t="inlineStr">
        <is>
          <t>4. 공사장 주변의 통행안전 및 교통소통을 위한 안전시설의 설치 및 유지관리 비용</t>
        </is>
      </c>
      <c r="B15" s="9" t="n"/>
      <c r="C15" s="9" t="n"/>
      <c r="D15" s="9" t="n"/>
      <c r="E15" s="21" t="n">
        <v>16031818</v>
      </c>
      <c r="F15" s="9" t="n"/>
      <c r="G15" s="22">
        <f>IF(A15="","",SUMIF('예시-안전세부'!A5:A26,A15,'예시-안전세부'!L5:L26))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34" customHeight="1">
      <c r="A16" s="23" t="inlineStr">
        <is>
          <t>5. 안전모니터링 장치의 설치 · 운용 비용</t>
        </is>
      </c>
      <c r="B16" s="9" t="n"/>
      <c r="C16" s="9" t="n"/>
      <c r="D16" s="9" t="n"/>
      <c r="E16" s="21" t="n">
        <v>0</v>
      </c>
      <c r="F16" s="9" t="n"/>
      <c r="G16" s="22">
        <f>IF(A16="","",SUMIF('예시-안전세부'!A5:A26,A16,'예시-안전세부'!L5:L26))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34" customHeight="1">
      <c r="A17" s="23" t="inlineStr">
        <is>
          <t>6. 공사 시행 중 구조적 안전성 확보 비용</t>
        </is>
      </c>
      <c r="B17" s="9" t="n"/>
      <c r="C17" s="9" t="n"/>
      <c r="D17" s="9" t="n"/>
      <c r="E17" s="21" t="n">
        <v>0</v>
      </c>
      <c r="F17" s="9" t="n"/>
      <c r="G17" s="22">
        <f>IF(A17="","",SUMIF('예시-안전세부'!A5:A26,A17,'예시-안전세부'!L5:L26))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34" customHeight="1">
      <c r="A18" s="23" t="inlineStr">
        <is>
          <t>7. 무선설비 및 무선통신을 이용한 건설공사 현장의 안전관리체계 구축 · 운용 비용</t>
        </is>
      </c>
      <c r="B18" s="9" t="n"/>
      <c r="C18" s="9" t="n"/>
      <c r="D18" s="9" t="n"/>
      <c r="E18" s="21" t="n">
        <v>0</v>
      </c>
      <c r="F18" s="9" t="n"/>
      <c r="G18" s="22">
        <f>IF(A18="","",SUMIF('예시-안전세부'!A5:A26,A18,'예시-안전세부'!L5:L26))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34" customHeight="1">
      <c r="A19" s="23" t="n"/>
      <c r="B19" s="9" t="n"/>
      <c r="C19" s="9" t="n"/>
      <c r="D19" s="9" t="n"/>
      <c r="E19" s="21" t="n"/>
      <c r="F19" s="9" t="n"/>
      <c r="G19" s="22">
        <f>IF(A19="","",SUMIF('예시-안전세부'!A5:A26,A19,'예시-안전세부'!L5:L26))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24" t="inlineStr">
        <is>
          <t>계</t>
        </is>
      </c>
      <c r="B20" s="9" t="n"/>
      <c r="C20" s="9" t="n"/>
      <c r="D20" s="9" t="n"/>
      <c r="E20" s="25">
        <f>SUM(E12:E19)</f>
        <v/>
      </c>
      <c r="F20" s="9" t="n"/>
      <c r="G20" s="25">
        <f>SUM(G12:G19)</f>
        <v/>
      </c>
      <c r="H20" s="9" t="n"/>
      <c r="I20" s="25">
        <f>SUM(I12:I19)</f>
        <v/>
      </c>
      <c r="J20" s="9" t="n"/>
      <c r="K20" s="24" t="inlineStr"/>
      <c r="L20" s="9" t="n"/>
    </row>
    <row r="21" ht="16" customHeight="1">
      <c r="A21" s="26">
        <f>IF(ROUND(SUM('예시-안전세부'!L5:L26)-G20,0)&lt;&gt;0,"⚠ 항목별 사용내역서 합계와 금회 합계가 다릅니다 — 항목 이름이 위 표와 똑같은지 보세요.","")</f>
        <v/>
      </c>
    </row>
    <row r="22" ht="10" customHeight="1"/>
    <row r="23" ht="26" customHeight="1">
      <c r="A23" s="27" t="inlineStr">
        <is>
          <t xml:space="preserve">      건설공사 안전관리비 계상 및 사용기준에 의거 위와 같이 사용내역을 제출합니다.</t>
        </is>
      </c>
    </row>
    <row r="24" ht="10" customHeight="1"/>
    <row r="25" ht="26" customHeight="1">
      <c r="A25" s="28">
        <f>IF(N('예시-품질관리비'!C8)=0,"20     년      월      일",YEAR('예시-품질관리비'!C8)&amp;" 년  "&amp;MONTH('예시-품질관리비'!C8)&amp;" 월  "&amp;DAY(DATE(YEAR('예시-품질관리비'!C8),MONTH('예시-품질관리비'!C8)+1,0))&amp;" 일")</f>
        <v/>
      </c>
    </row>
    <row r="26" ht="16" customHeight="1"/>
    <row r="27" ht="28" customHeight="1">
      <c r="A27" s="29" t="inlineStr"/>
      <c r="D27" s="30" t="inlineStr">
        <is>
          <t>작 성 자 :</t>
        </is>
      </c>
      <c r="F27" s="31" t="inlineStr">
        <is>
          <t>이공무</t>
        </is>
      </c>
      <c r="H27" s="30" t="inlineStr">
        <is>
          <t>현장대리인</t>
        </is>
      </c>
      <c r="J27" s="31" t="inlineStr">
        <is>
          <t>홍길동</t>
        </is>
      </c>
      <c r="L27" s="32" t="inlineStr">
        <is>
          <t>(인)</t>
        </is>
      </c>
    </row>
    <row r="29" ht="19.5" customHeight="1">
      <c r="A29" s="6" t="inlineStr">
        <is>
          <t>이 시트는 작성 예시입니다(가상의 공사 · 회사 · 금액).</t>
        </is>
      </c>
    </row>
  </sheetData>
  <mergeCells count="83">
    <mergeCell ref="A20:D20"/>
    <mergeCell ref="I4:L4"/>
    <mergeCell ref="A21:L21"/>
    <mergeCell ref="A13:D13"/>
    <mergeCell ref="A7:B7"/>
    <mergeCell ref="I16:J16"/>
    <mergeCell ref="A23:L23"/>
    <mergeCell ref="C6:F6"/>
    <mergeCell ref="A15:D15"/>
    <mergeCell ref="G18:H18"/>
    <mergeCell ref="I18:J18"/>
    <mergeCell ref="A16:D16"/>
    <mergeCell ref="G20:H20"/>
    <mergeCell ref="I20:J20"/>
    <mergeCell ref="I13:J13"/>
    <mergeCell ref="K13:L13"/>
    <mergeCell ref="E12:F12"/>
    <mergeCell ref="A17:D17"/>
    <mergeCell ref="G12:H12"/>
    <mergeCell ref="I15:J15"/>
    <mergeCell ref="K15:L15"/>
    <mergeCell ref="E14:F14"/>
    <mergeCell ref="A19:D19"/>
    <mergeCell ref="G7:H7"/>
    <mergeCell ref="I6:L6"/>
    <mergeCell ref="J27:K27"/>
    <mergeCell ref="A11:D11"/>
    <mergeCell ref="C5:F5"/>
    <mergeCell ref="C4:F4"/>
    <mergeCell ref="I7:L7"/>
    <mergeCell ref="A8:B8"/>
    <mergeCell ref="I17:J17"/>
    <mergeCell ref="K17:L17"/>
    <mergeCell ref="E16:F16"/>
    <mergeCell ref="G16:H16"/>
    <mergeCell ref="I19:J19"/>
    <mergeCell ref="K19:L19"/>
    <mergeCell ref="E18:F18"/>
    <mergeCell ref="K16:L16"/>
    <mergeCell ref="A25:L25"/>
    <mergeCell ref="C8:F8"/>
    <mergeCell ref="G11:H11"/>
    <mergeCell ref="I11:J11"/>
    <mergeCell ref="A2:L2"/>
    <mergeCell ref="K11:L11"/>
    <mergeCell ref="E20:F20"/>
    <mergeCell ref="D27:E27"/>
    <mergeCell ref="E13:F13"/>
    <mergeCell ref="G13:H13"/>
    <mergeCell ref="A29:L29"/>
    <mergeCell ref="E15:F15"/>
    <mergeCell ref="G15:H15"/>
    <mergeCell ref="A5:B5"/>
    <mergeCell ref="A4:B4"/>
    <mergeCell ref="A12:D12"/>
    <mergeCell ref="A1:F1"/>
    <mergeCell ref="K18:L18"/>
    <mergeCell ref="A14:D14"/>
    <mergeCell ref="I8:L8"/>
    <mergeCell ref="C7:F7"/>
    <mergeCell ref="A27:C27"/>
    <mergeCell ref="G8:H8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A10:L10"/>
    <mergeCell ref="K12:L12"/>
    <mergeCell ref="E11:F11"/>
    <mergeCell ref="G5:H5"/>
    <mergeCell ref="G14:H14"/>
    <mergeCell ref="I14:J14"/>
    <mergeCell ref="K14:L14"/>
    <mergeCell ref="F27:G27"/>
    <mergeCell ref="H27:I27"/>
    <mergeCell ref="G4:H4"/>
    <mergeCell ref="A18:D18"/>
    <mergeCell ref="I5:L5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38" customHeight="1">
      <c r="A2" s="33">
        <f>"안전관리비 항목별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24" customHeight="1">
      <c r="A3" s="34" t="inlineStr">
        <is>
          <t>공 사 명 :</t>
        </is>
      </c>
      <c r="C3" s="29">
        <f>IF('예시-품질관리비'!I4="","",'예시-품질관리비'!I4)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inlineStr">
        <is>
          <t>2. 영 제100조제1항제1호 및 제3호에 따른 안전점검 비용</t>
        </is>
      </c>
      <c r="B5" s="9" t="n"/>
      <c r="C5" s="9" t="n"/>
      <c r="D5" s="37" t="n">
        <v>46097</v>
      </c>
      <c r="E5" s="38" t="inlineStr">
        <is>
          <t>정기안전점검(1차)</t>
        </is>
      </c>
      <c r="F5" s="9" t="n"/>
      <c r="G5" s="23" t="n"/>
      <c r="H5" s="9" t="n"/>
      <c r="I5" s="39" t="n">
        <v>1</v>
      </c>
      <c r="J5" s="40" t="inlineStr">
        <is>
          <t>식</t>
        </is>
      </c>
      <c r="K5" s="41" t="n">
        <v>3500000</v>
      </c>
      <c r="L5" s="42">
        <f>IF(OR(N(I5)=0,N(K5)=0),"",ROUND(I5*K5,0))</f>
        <v/>
      </c>
    </row>
    <row r="6" ht="24" customHeight="1">
      <c r="A6" s="36" t="inlineStr">
        <is>
          <t>4. 공사장 주변의 통행안전 및 교통소통을 위한 안전시설의 설치 및 유지관리 비용</t>
        </is>
      </c>
      <c r="B6" s="9" t="n"/>
      <c r="C6" s="9" t="n"/>
      <c r="D6" s="37" t="n">
        <v>46086</v>
      </c>
      <c r="E6" s="38" t="inlineStr">
        <is>
          <t>PE 방호벽</t>
        </is>
      </c>
      <c r="F6" s="9" t="n"/>
      <c r="G6" s="23" t="inlineStr">
        <is>
          <t>1200×900×600</t>
        </is>
      </c>
      <c r="H6" s="9" t="n"/>
      <c r="I6" s="39" t="n">
        <v>20</v>
      </c>
      <c r="J6" s="40" t="inlineStr">
        <is>
          <t>EA</t>
        </is>
      </c>
      <c r="K6" s="41" t="n">
        <v>38000</v>
      </c>
      <c r="L6" s="42">
        <f>IF(OR(N(I6)=0,N(K6)=0),"",ROUND(I6*K6,0))</f>
        <v/>
      </c>
    </row>
    <row r="7" ht="24" customHeight="1">
      <c r="A7" s="36" t="inlineStr">
        <is>
          <t>4. 공사장 주변의 통행안전 및 교통소통을 위한 안전시설의 설치 및 유지관리 비용</t>
        </is>
      </c>
      <c r="B7" s="9" t="n"/>
      <c r="C7" s="9" t="n"/>
      <c r="D7" s="37" t="n">
        <v>46086</v>
      </c>
      <c r="E7" s="38" t="inlineStr">
        <is>
          <t>교통안내 표지판</t>
        </is>
      </c>
      <c r="F7" s="9" t="n"/>
      <c r="G7" s="23" t="inlineStr">
        <is>
          <t>1800×900</t>
        </is>
      </c>
      <c r="H7" s="9" t="n"/>
      <c r="I7" s="39" t="n">
        <v>4</v>
      </c>
      <c r="J7" s="40" t="inlineStr">
        <is>
          <t>EA</t>
        </is>
      </c>
      <c r="K7" s="41" t="n">
        <v>95000</v>
      </c>
      <c r="L7" s="42">
        <f>IF(OR(N(I7)=0,N(K7)=0),"",ROUND(I7*K7,0))</f>
        <v/>
      </c>
    </row>
    <row r="8" ht="24" customHeight="1">
      <c r="A8" s="36" t="inlineStr">
        <is>
          <t>4. 공사장 주변의 통행안전 및 교통소통을 위한 안전시설의 설치 및 유지관리 비용</t>
        </is>
      </c>
      <c r="B8" s="9" t="n"/>
      <c r="C8" s="9" t="n"/>
      <c r="D8" s="37" t="n">
        <v>46091</v>
      </c>
      <c r="E8" s="38" t="inlineStr">
        <is>
          <t>신호수 인건비</t>
        </is>
      </c>
      <c r="F8" s="9" t="n"/>
      <c r="G8" s="23" t="inlineStr">
        <is>
          <t>노임명세서</t>
        </is>
      </c>
      <c r="H8" s="9" t="n"/>
      <c r="I8" s="39" t="n">
        <v>1</v>
      </c>
      <c r="J8" s="40" t="inlineStr">
        <is>
          <t>식</t>
        </is>
      </c>
      <c r="K8" s="41" t="n"/>
      <c r="L8" s="42">
        <f>IF(N('예시-노임명세서'!U31)=0,"",'예시-노임명세서'!U31)</f>
        <v/>
      </c>
    </row>
    <row r="9" ht="24" customHeight="1">
      <c r="A9" s="36" t="inlineStr">
        <is>
          <t>3. 발파 · 굴착 등의 건설공사로 인한 주변 건축물 등의 피해방지 대책 비용</t>
        </is>
      </c>
      <c r="B9" s="9" t="n"/>
      <c r="C9" s="9" t="n"/>
      <c r="D9" s="37" t="n">
        <v>46099</v>
      </c>
      <c r="E9" s="38" t="inlineStr">
        <is>
          <t>인접 건물 균열 계측</t>
        </is>
      </c>
      <c r="F9" s="9" t="n"/>
      <c r="G9" s="23" t="n"/>
      <c r="H9" s="9" t="n"/>
      <c r="I9" s="39" t="n">
        <v>1</v>
      </c>
      <c r="J9" s="40" t="inlineStr">
        <is>
          <t>식</t>
        </is>
      </c>
      <c r="K9" s="41" t="n">
        <v>650000</v>
      </c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안전관리비 사용내역서의 항목 이름과 똑같이 적으세요(복사해 붙이기 권함). 금액 = 수량 × 단가(원 단위 반올림).</t>
        </is>
      </c>
    </row>
    <row r="30" ht="19.5" customHeight="1">
      <c r="A30" s="6" t="inlineStr">
        <is>
          <t>이 시트는 작성 예시입니다. «신호수 인건비» 금액은 노임명세서의 노무비 합계를 끌어온 것입니다.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3" t="inlineStr">
        <is>
          <t xml:space="preserve">작성 예시 (가상의 현장)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B3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6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4.4" customWidth="1" min="20" max="20"/>
    <col width="8.5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8.5" customWidth="1" min="27" max="27"/>
    <col width="9" customWidth="1" min="28" max="28"/>
  </cols>
  <sheetData>
    <row r="1" ht="20" customHeight="1">
      <c r="A1" s="1" t="inlineStr">
        <is>
          <t xml:space="preserve">  K-건설맵  |  k-conmap.com  무료 건설 서식</t>
        </is>
      </c>
      <c r="T1" s="73" t="inlineStr">
        <is>
          <t xml:space="preserve">작성 예시 (가상의 현장)  </t>
        </is>
      </c>
    </row>
    <row r="2" ht="34" customHeight="1">
      <c r="A2" s="44" t="inlineStr">
        <is>
          <t>노  임  명  세  서</t>
        </is>
      </c>
    </row>
    <row r="3" ht="24" customHeight="1">
      <c r="A3" s="8" t="inlineStr">
        <is>
          <t>회 사 명</t>
        </is>
      </c>
      <c r="B3" s="9" t="n"/>
      <c r="C3" s="9" t="n"/>
      <c r="D3" s="50">
        <f>IF('예시-품질관리비'!C4="","",'예시-품질관리비'!C4)</f>
        <v/>
      </c>
      <c r="E3" s="9" t="n"/>
      <c r="F3" s="9" t="n"/>
      <c r="G3" s="9" t="n"/>
      <c r="H3" s="9" t="n"/>
      <c r="I3" s="9" t="n"/>
      <c r="J3" s="9" t="n"/>
      <c r="K3" s="9" t="n"/>
      <c r="L3" s="8" t="inlineStr">
        <is>
          <t>기 간</t>
        </is>
      </c>
      <c r="M3" s="9" t="n"/>
      <c r="N3" s="52">
        <f>IF(N('예시-품질관리비'!C8)=0,"",YEAR('예시-품질관리비'!C8)&amp;". "&amp;MONTH('예시-품질관리비'!C8)&amp;". 1. ~ "&amp;MONTH('예시-품질관리비'!C8)&amp;". "&amp;DAY(DATE(YEAR('예시-품질관리비'!C8),MONTH('예시-품질관리비'!C8)+1,0))&amp;".")</f>
        <v/>
      </c>
      <c r="O3" s="9" t="n"/>
      <c r="P3" s="9" t="n"/>
      <c r="Q3" s="9" t="n"/>
      <c r="R3" s="9" t="n"/>
      <c r="S3" s="9" t="n"/>
      <c r="T3" s="8" t="inlineStr">
        <is>
          <t>공 사 명</t>
        </is>
      </c>
      <c r="U3" s="9" t="n"/>
      <c r="V3" s="53">
        <f>IF('예시-품질관리비'!I4="","",'예시-품질관리비'!I4)</f>
        <v/>
      </c>
      <c r="W3" s="9" t="n"/>
      <c r="X3" s="9" t="n"/>
      <c r="Y3" s="9" t="n"/>
      <c r="Z3" s="9" t="n"/>
      <c r="AA3" s="9" t="n"/>
      <c r="AB3" s="9" t="n"/>
    </row>
    <row r="4" ht="4" customHeight="1"/>
    <row r="5" ht="18" customHeight="1">
      <c r="A5" s="19" t="inlineStr">
        <is>
          <t>NO.</t>
        </is>
      </c>
      <c r="B5" s="19" t="inlineStr">
        <is>
          <t>성 명</t>
        </is>
      </c>
      <c r="C5" s="19" t="inlineStr">
        <is>
          <t>직 종</t>
        </is>
      </c>
      <c r="D5" s="54" t="inlineStr">
        <is>
          <t>1</t>
        </is>
      </c>
      <c r="E5" s="54" t="inlineStr">
        <is>
          <t>2</t>
        </is>
      </c>
      <c r="F5" s="54" t="inlineStr">
        <is>
          <t>3</t>
        </is>
      </c>
      <c r="G5" s="54" t="inlineStr">
        <is>
          <t>4</t>
        </is>
      </c>
      <c r="H5" s="54" t="inlineStr">
        <is>
          <t>5</t>
        </is>
      </c>
      <c r="I5" s="54" t="inlineStr">
        <is>
          <t>6</t>
        </is>
      </c>
      <c r="J5" s="54" t="inlineStr">
        <is>
          <t>7</t>
        </is>
      </c>
      <c r="K5" s="54" t="inlineStr">
        <is>
          <t>8</t>
        </is>
      </c>
      <c r="L5" s="54" t="inlineStr">
        <is>
          <t>9</t>
        </is>
      </c>
      <c r="M5" s="54" t="inlineStr">
        <is>
          <t>10</t>
        </is>
      </c>
      <c r="N5" s="54" t="inlineStr">
        <is>
          <t>11</t>
        </is>
      </c>
      <c r="O5" s="54" t="inlineStr">
        <is>
          <t>12</t>
        </is>
      </c>
      <c r="P5" s="54" t="inlineStr">
        <is>
          <t>13</t>
        </is>
      </c>
      <c r="Q5" s="54" t="inlineStr">
        <is>
          <t>14</t>
        </is>
      </c>
      <c r="R5" s="54" t="inlineStr">
        <is>
          <t>15</t>
        </is>
      </c>
      <c r="S5" s="54" t="inlineStr">
        <is>
          <t>16</t>
        </is>
      </c>
      <c r="T5" s="35" t="inlineStr">
        <is>
          <t>공수</t>
        </is>
      </c>
      <c r="U5" s="19" t="inlineStr">
        <is>
          <t>노 무 비</t>
        </is>
      </c>
      <c r="V5" s="19" t="inlineStr">
        <is>
          <t>소득세</t>
        </is>
      </c>
      <c r="W5" s="19" t="inlineStr">
        <is>
          <t>국민연금</t>
        </is>
      </c>
      <c r="X5" s="19" t="inlineStr">
        <is>
          <t>고용보험</t>
        </is>
      </c>
      <c r="Y5" s="19" t="inlineStr"/>
      <c r="Z5" s="35" t="inlineStr">
        <is>
          <t>공제 총액</t>
        </is>
      </c>
      <c r="AA5" s="19" t="inlineStr">
        <is>
          <t>지 급 액</t>
        </is>
      </c>
      <c r="AB5" s="54" t="inlineStr">
        <is>
          <t>주민등록번호
(비고)</t>
        </is>
      </c>
    </row>
    <row r="6" ht="18" customHeight="1">
      <c r="A6" s="9" t="n"/>
      <c r="B6" s="9" t="n"/>
      <c r="C6" s="9" t="n"/>
      <c r="D6" s="54" t="inlineStr">
        <is>
          <t>17</t>
        </is>
      </c>
      <c r="E6" s="54" t="inlineStr">
        <is>
          <t>18</t>
        </is>
      </c>
      <c r="F6" s="54" t="inlineStr">
        <is>
          <t>19</t>
        </is>
      </c>
      <c r="G6" s="54" t="inlineStr">
        <is>
          <t>20</t>
        </is>
      </c>
      <c r="H6" s="54" t="inlineStr">
        <is>
          <t>21</t>
        </is>
      </c>
      <c r="I6" s="54" t="inlineStr">
        <is>
          <t>22</t>
        </is>
      </c>
      <c r="J6" s="54" t="inlineStr">
        <is>
          <t>23</t>
        </is>
      </c>
      <c r="K6" s="54" t="inlineStr">
        <is>
          <t>24</t>
        </is>
      </c>
      <c r="L6" s="54" t="inlineStr">
        <is>
          <t>25</t>
        </is>
      </c>
      <c r="M6" s="54" t="inlineStr">
        <is>
          <t>26</t>
        </is>
      </c>
      <c r="N6" s="54" t="inlineStr">
        <is>
          <t>27</t>
        </is>
      </c>
      <c r="O6" s="54" t="inlineStr">
        <is>
          <t>28</t>
        </is>
      </c>
      <c r="P6" s="54" t="inlineStr">
        <is>
          <t>29</t>
        </is>
      </c>
      <c r="Q6" s="54" t="inlineStr">
        <is>
          <t>30</t>
        </is>
      </c>
      <c r="R6" s="54" t="inlineStr">
        <is>
          <t>31</t>
        </is>
      </c>
      <c r="S6" s="19" t="inlineStr"/>
      <c r="T6" s="9" t="n"/>
      <c r="U6" s="19" t="inlineStr">
        <is>
          <t>단  가</t>
        </is>
      </c>
      <c r="V6" s="55" t="inlineStr">
        <is>
          <t>지방소득세</t>
        </is>
      </c>
      <c r="W6" s="19" t="inlineStr">
        <is>
          <t>건강보험</t>
        </is>
      </c>
      <c r="X6" s="19" t="inlineStr">
        <is>
          <t>장기요양</t>
        </is>
      </c>
      <c r="Y6" s="19" t="inlineStr"/>
      <c r="Z6" s="9" t="n"/>
      <c r="AA6" s="9" t="n"/>
      <c r="AB6" s="9" t="n"/>
    </row>
    <row r="7" ht="17" customHeight="1">
      <c r="A7" s="56">
        <f>IF(B7="","",1)</f>
        <v/>
      </c>
      <c r="B7" s="40" t="inlineStr">
        <is>
          <t>김신호</t>
        </is>
      </c>
      <c r="C7" s="57" t="inlineStr">
        <is>
          <t>신호수</t>
        </is>
      </c>
      <c r="D7" s="58" t="n">
        <v>1</v>
      </c>
      <c r="E7" s="58" t="n">
        <v>1</v>
      </c>
      <c r="F7" s="58" t="n">
        <v>1</v>
      </c>
      <c r="G7" s="58" t="n">
        <v>1</v>
      </c>
      <c r="H7" s="58" t="n">
        <v>1</v>
      </c>
      <c r="I7" s="58" t="n"/>
      <c r="J7" s="58" t="n"/>
      <c r="K7" s="58" t="n">
        <v>1</v>
      </c>
      <c r="L7" s="58" t="n">
        <v>1</v>
      </c>
      <c r="M7" s="58" t="n">
        <v>1</v>
      </c>
      <c r="N7" s="58" t="n">
        <v>1</v>
      </c>
      <c r="O7" s="58" t="n">
        <v>1</v>
      </c>
      <c r="P7" s="58" t="n"/>
      <c r="Q7" s="58" t="n"/>
      <c r="R7" s="58" t="n">
        <v>1</v>
      </c>
      <c r="S7" s="58" t="n">
        <v>1</v>
      </c>
      <c r="T7" s="59">
        <f>IF(SUM(D7:S7,D8:R8)=0,"",SUM(D7:S7,D8:R8))</f>
        <v/>
      </c>
      <c r="U7" s="42">
        <f>IF(OR(N(T7)=0,N(U8)=0),"",ROUND(T7*U8,0))</f>
        <v/>
      </c>
      <c r="V7" s="60">
        <f>IF(U7="","",IF(ROUNDDOWN(MAX(0,U8-H33)*M33*T7,-1)&lt;1000,0,ROUNDDOWN(MAX(0,U8-H33)*M33*T7,-1)))</f>
        <v/>
      </c>
      <c r="W7" s="60">
        <f>IF(U7="","",IF((COUNTIF(D7:S7,"&gt;0")+COUNTIF(D8:R8,"&gt;0"))&gt;=AB33,ROUNDDOWN(U7*Q33,-1),0))</f>
        <v/>
      </c>
      <c r="X7" s="60">
        <f>IF(U7="","",ROUNDDOWN(U7*Z33,-1))</f>
        <v/>
      </c>
      <c r="Y7" s="61" t="inlineStr"/>
      <c r="Z7" s="42">
        <f>IF(U7="","",V7+V8+W7+W8+X8+X7)</f>
        <v/>
      </c>
      <c r="AA7" s="43">
        <f>IF(U7="","",U7-Z7)</f>
        <v/>
      </c>
      <c r="AB7" s="36" t="n"/>
    </row>
    <row r="8" ht="17" customHeight="1">
      <c r="A8" s="9" t="n"/>
      <c r="B8" s="9" t="n"/>
      <c r="C8" s="9" t="n"/>
      <c r="D8" s="58" t="n">
        <v>1</v>
      </c>
      <c r="E8" s="58" t="n">
        <v>1</v>
      </c>
      <c r="F8" s="58" t="n">
        <v>1</v>
      </c>
      <c r="G8" s="58" t="n"/>
      <c r="H8" s="58" t="n"/>
      <c r="I8" s="58" t="n">
        <v>1</v>
      </c>
      <c r="J8" s="58" t="n">
        <v>1</v>
      </c>
      <c r="K8" s="58" t="n">
        <v>1</v>
      </c>
      <c r="L8" s="58" t="n">
        <v>1</v>
      </c>
      <c r="M8" s="58" t="n">
        <v>1</v>
      </c>
      <c r="N8" s="58" t="n"/>
      <c r="O8" s="58" t="n"/>
      <c r="P8" s="58" t="n">
        <v>1</v>
      </c>
      <c r="Q8" s="58" t="n">
        <v>1</v>
      </c>
      <c r="R8" s="58" t="n">
        <v>1</v>
      </c>
      <c r="S8" s="61" t="inlineStr"/>
      <c r="T8" s="9" t="n"/>
      <c r="U8" s="62" t="n">
        <v>170000</v>
      </c>
      <c r="V8" s="60">
        <f>IF(U7="","",ROUNDDOWN(V7*0.1,-1))</f>
        <v/>
      </c>
      <c r="W8" s="60">
        <f>IF(U7="","",IF((COUNTIF(D7:S7,"&gt;0")+COUNTIF(D8:R8,"&gt;0"))&gt;=AB33,ROUNDDOWN(U7*U33,-1),0))</f>
        <v/>
      </c>
      <c r="X8" s="60">
        <f>IF(U7="","",ROUNDDOWN(W8*X33,-1))</f>
        <v/>
      </c>
      <c r="Y8" s="61" t="inlineStr"/>
      <c r="Z8" s="9" t="n"/>
      <c r="AA8" s="9" t="n"/>
      <c r="AB8" s="9" t="n"/>
    </row>
    <row r="9" ht="17" customHeight="1">
      <c r="A9" s="56">
        <f>IF(B9="","",2)</f>
        <v/>
      </c>
      <c r="B9" s="40" t="inlineStr">
        <is>
          <t>이안내</t>
        </is>
      </c>
      <c r="C9" s="57" t="inlineStr">
        <is>
          <t>신호수</t>
        </is>
      </c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>
        <v>1</v>
      </c>
      <c r="N9" s="58" t="n">
        <v>1</v>
      </c>
      <c r="O9" s="58" t="n">
        <v>1</v>
      </c>
      <c r="P9" s="58" t="n"/>
      <c r="Q9" s="58" t="n"/>
      <c r="R9" s="58" t="n"/>
      <c r="S9" s="58" t="n"/>
      <c r="T9" s="59">
        <f>IF(SUM(D9:S9,D10:R10)=0,"",SUM(D9:S9,D10:R10))</f>
        <v/>
      </c>
      <c r="U9" s="42">
        <f>IF(OR(N(T9)=0,N(U10)=0),"",ROUND(T9*U10,0))</f>
        <v/>
      </c>
      <c r="V9" s="60">
        <f>IF(U9="","",IF(ROUNDDOWN(MAX(0,U10-H33)*M33*T9,-1)&lt;1000,0,ROUNDDOWN(MAX(0,U10-H33)*M33*T9,-1)))</f>
        <v/>
      </c>
      <c r="W9" s="60">
        <f>IF(U9="","",IF((COUNTIF(D9:S9,"&gt;0")+COUNTIF(D10:R10,"&gt;0"))&gt;=AB33,ROUNDDOWN(U9*Q33,-1),0))</f>
        <v/>
      </c>
      <c r="X9" s="60">
        <f>IF(U9="","",ROUNDDOWN(U9*Z33,-1))</f>
        <v/>
      </c>
      <c r="Y9" s="61" t="inlineStr"/>
      <c r="Z9" s="42">
        <f>IF(U9="","",V9+V10+W9+W10+X10+X9)</f>
        <v/>
      </c>
      <c r="AA9" s="43">
        <f>IF(U9="","",U9-Z9)</f>
        <v/>
      </c>
      <c r="AB9" s="36" t="n"/>
    </row>
    <row r="10" ht="17" customHeight="1">
      <c r="A10" s="9" t="n"/>
      <c r="B10" s="9" t="n"/>
      <c r="C10" s="9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8" t="n">
        <v>1</v>
      </c>
      <c r="M10" s="58" t="n">
        <v>1</v>
      </c>
      <c r="N10" s="58" t="n"/>
      <c r="O10" s="58" t="n"/>
      <c r="P10" s="58" t="n"/>
      <c r="Q10" s="58" t="n"/>
      <c r="R10" s="58" t="n"/>
      <c r="S10" s="61" t="inlineStr"/>
      <c r="T10" s="9" t="n"/>
      <c r="U10" s="62" t="n">
        <v>160000</v>
      </c>
      <c r="V10" s="60">
        <f>IF(U9="","",ROUNDDOWN(V9*0.1,-1))</f>
        <v/>
      </c>
      <c r="W10" s="60">
        <f>IF(U9="","",IF((COUNTIF(D9:S9,"&gt;0")+COUNTIF(D10:R10,"&gt;0"))&gt;=AB33,ROUNDDOWN(U9*U33,-1),0))</f>
        <v/>
      </c>
      <c r="X10" s="60">
        <f>IF(U9="","",ROUNDDOWN(W10*X33,-1))</f>
        <v/>
      </c>
      <c r="Y10" s="61" t="inlineStr"/>
      <c r="Z10" s="9" t="n"/>
      <c r="AA10" s="9" t="n"/>
      <c r="AB10" s="9" t="n"/>
    </row>
    <row r="11" ht="17" customHeight="1">
      <c r="A11" s="56">
        <f>IF(B11="","",3)</f>
        <v/>
      </c>
      <c r="B11" s="40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9">
        <f>IF(SUM(D11:S11,D12:R12)=0,"",SUM(D11:S11,D12:R12))</f>
        <v/>
      </c>
      <c r="U11" s="42">
        <f>IF(OR(N(T11)=0,N(U12)=0),"",ROUND(T11*U12,0))</f>
        <v/>
      </c>
      <c r="V11" s="60">
        <f>IF(U11="","",IF(ROUNDDOWN(MAX(0,U12-H33)*M33*T11,-1)&lt;1000,0,ROUNDDOWN(MAX(0,U12-H33)*M33*T11,-1)))</f>
        <v/>
      </c>
      <c r="W11" s="60">
        <f>IF(U11="","",IF((COUNTIF(D11:S11,"&gt;0")+COUNTIF(D12:R12,"&gt;0"))&gt;=AB33,ROUNDDOWN(U11*Q33,-1),0))</f>
        <v/>
      </c>
      <c r="X11" s="60">
        <f>IF(U11="","",ROUNDDOWN(U11*Z33,-1))</f>
        <v/>
      </c>
      <c r="Y11" s="61" t="inlineStr"/>
      <c r="Z11" s="42">
        <f>IF(U11="","",V11+V12+W11+W12+X12+X11)</f>
        <v/>
      </c>
      <c r="AA11" s="43">
        <f>IF(U11="","",U11-Z11)</f>
        <v/>
      </c>
      <c r="AB11" s="36" t="n"/>
    </row>
    <row r="12" ht="17" customHeight="1">
      <c r="A12" s="9" t="n"/>
      <c r="B12" s="9" t="n"/>
      <c r="C12" s="9" t="n"/>
      <c r="D12" s="58" t="n"/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61" t="inlineStr"/>
      <c r="T12" s="9" t="n"/>
      <c r="U12" s="62" t="n"/>
      <c r="V12" s="60">
        <f>IF(U11="","",ROUNDDOWN(V11*0.1,-1))</f>
        <v/>
      </c>
      <c r="W12" s="60">
        <f>IF(U11="","",IF((COUNTIF(D11:S11,"&gt;0")+COUNTIF(D12:R12,"&gt;0"))&gt;=AB33,ROUNDDOWN(U11*U33,-1),0))</f>
        <v/>
      </c>
      <c r="X12" s="60">
        <f>IF(U11="","",ROUNDDOWN(W12*X33,-1))</f>
        <v/>
      </c>
      <c r="Y12" s="61" t="inlineStr"/>
      <c r="Z12" s="9" t="n"/>
      <c r="AA12" s="9" t="n"/>
      <c r="AB12" s="9" t="n"/>
    </row>
    <row r="13" ht="17" customHeight="1">
      <c r="A13" s="56">
        <f>IF(B13="","",4)</f>
        <v/>
      </c>
      <c r="B13" s="40" t="n"/>
      <c r="C13" s="57" t="n"/>
      <c r="D13" s="58" t="n"/>
      <c r="E13" s="58" t="n"/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9">
        <f>IF(SUM(D13:S13,D14:R14)=0,"",SUM(D13:S13,D14:R14))</f>
        <v/>
      </c>
      <c r="U13" s="42">
        <f>IF(OR(N(T13)=0,N(U14)=0),"",ROUND(T13*U14,0))</f>
        <v/>
      </c>
      <c r="V13" s="60">
        <f>IF(U13="","",IF(ROUNDDOWN(MAX(0,U14-H33)*M33*T13,-1)&lt;1000,0,ROUNDDOWN(MAX(0,U14-H33)*M33*T13,-1)))</f>
        <v/>
      </c>
      <c r="W13" s="60">
        <f>IF(U13="","",IF((COUNTIF(D13:S13,"&gt;0")+COUNTIF(D14:R14,"&gt;0"))&gt;=AB33,ROUNDDOWN(U13*Q33,-1),0))</f>
        <v/>
      </c>
      <c r="X13" s="60">
        <f>IF(U13="","",ROUNDDOWN(U13*Z33,-1))</f>
        <v/>
      </c>
      <c r="Y13" s="61" t="inlineStr"/>
      <c r="Z13" s="42">
        <f>IF(U13="","",V13+V14+W13+W14+X14+X13)</f>
        <v/>
      </c>
      <c r="AA13" s="43">
        <f>IF(U13="","",U13-Z13)</f>
        <v/>
      </c>
      <c r="AB13" s="36" t="n"/>
    </row>
    <row r="14" ht="17" customHeight="1">
      <c r="A14" s="9" t="n"/>
      <c r="B14" s="9" t="n"/>
      <c r="C14" s="9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61" t="inlineStr"/>
      <c r="T14" s="9" t="n"/>
      <c r="U14" s="62" t="n"/>
      <c r="V14" s="60">
        <f>IF(U13="","",ROUNDDOWN(V13*0.1,-1))</f>
        <v/>
      </c>
      <c r="W14" s="60">
        <f>IF(U13="","",IF((COUNTIF(D13:S13,"&gt;0")+COUNTIF(D14:R14,"&gt;0"))&gt;=AB33,ROUNDDOWN(U13*U33,-1),0))</f>
        <v/>
      </c>
      <c r="X14" s="60">
        <f>IF(U13="","",ROUNDDOWN(W14*X33,-1))</f>
        <v/>
      </c>
      <c r="Y14" s="61" t="inlineStr"/>
      <c r="Z14" s="9" t="n"/>
      <c r="AA14" s="9" t="n"/>
      <c r="AB14" s="9" t="n"/>
    </row>
    <row r="15" ht="17" customHeight="1">
      <c r="A15" s="56">
        <f>IF(B15="","",5)</f>
        <v/>
      </c>
      <c r="B15" s="40" t="n"/>
      <c r="C15" s="57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9">
        <f>IF(SUM(D15:S15,D16:R16)=0,"",SUM(D15:S15,D16:R16))</f>
        <v/>
      </c>
      <c r="U15" s="42">
        <f>IF(OR(N(T15)=0,N(U16)=0),"",ROUND(T15*U16,0))</f>
        <v/>
      </c>
      <c r="V15" s="60">
        <f>IF(U15="","",IF(ROUNDDOWN(MAX(0,U16-H33)*M33*T15,-1)&lt;1000,0,ROUNDDOWN(MAX(0,U16-H33)*M33*T15,-1)))</f>
        <v/>
      </c>
      <c r="W15" s="60">
        <f>IF(U15="","",IF((COUNTIF(D15:S15,"&gt;0")+COUNTIF(D16:R16,"&gt;0"))&gt;=AB33,ROUNDDOWN(U15*Q33,-1),0))</f>
        <v/>
      </c>
      <c r="X15" s="60">
        <f>IF(U15="","",ROUNDDOWN(U15*Z33,-1))</f>
        <v/>
      </c>
      <c r="Y15" s="61" t="inlineStr"/>
      <c r="Z15" s="42">
        <f>IF(U15="","",V15+V16+W15+W16+X16+X15)</f>
        <v/>
      </c>
      <c r="AA15" s="43">
        <f>IF(U15="","",U15-Z15)</f>
        <v/>
      </c>
      <c r="AB15" s="36" t="n"/>
    </row>
    <row r="16" ht="17" customHeight="1">
      <c r="A16" s="9" t="n"/>
      <c r="B16" s="9" t="n"/>
      <c r="C16" s="9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61" t="inlineStr"/>
      <c r="T16" s="9" t="n"/>
      <c r="U16" s="62" t="n"/>
      <c r="V16" s="60">
        <f>IF(U15="","",ROUNDDOWN(V15*0.1,-1))</f>
        <v/>
      </c>
      <c r="W16" s="60">
        <f>IF(U15="","",IF((COUNTIF(D15:S15,"&gt;0")+COUNTIF(D16:R16,"&gt;0"))&gt;=AB33,ROUNDDOWN(U15*U33,-1),0))</f>
        <v/>
      </c>
      <c r="X16" s="60">
        <f>IF(U15="","",ROUNDDOWN(W16*X33,-1))</f>
        <v/>
      </c>
      <c r="Y16" s="61" t="inlineStr"/>
      <c r="Z16" s="9" t="n"/>
      <c r="AA16" s="9" t="n"/>
      <c r="AB16" s="9" t="n"/>
    </row>
    <row r="17" ht="17" customHeight="1">
      <c r="A17" s="56">
        <f>IF(B17="","",6)</f>
        <v/>
      </c>
      <c r="B17" s="40" t="n"/>
      <c r="C17" s="57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9">
        <f>IF(SUM(D17:S17,D18:R18)=0,"",SUM(D17:S17,D18:R18))</f>
        <v/>
      </c>
      <c r="U17" s="42">
        <f>IF(OR(N(T17)=0,N(U18)=0),"",ROUND(T17*U18,0))</f>
        <v/>
      </c>
      <c r="V17" s="60">
        <f>IF(U17="","",IF(ROUNDDOWN(MAX(0,U18-H33)*M33*T17,-1)&lt;1000,0,ROUNDDOWN(MAX(0,U18-H33)*M33*T17,-1)))</f>
        <v/>
      </c>
      <c r="W17" s="60">
        <f>IF(U17="","",IF((COUNTIF(D17:S17,"&gt;0")+COUNTIF(D18:R18,"&gt;0"))&gt;=AB33,ROUNDDOWN(U17*Q33,-1),0))</f>
        <v/>
      </c>
      <c r="X17" s="60">
        <f>IF(U17="","",ROUNDDOWN(U17*Z33,-1))</f>
        <v/>
      </c>
      <c r="Y17" s="61" t="inlineStr"/>
      <c r="Z17" s="42">
        <f>IF(U17="","",V17+V18+W17+W18+X18+X17)</f>
        <v/>
      </c>
      <c r="AA17" s="43">
        <f>IF(U17="","",U17-Z17)</f>
        <v/>
      </c>
      <c r="AB17" s="36" t="n"/>
    </row>
    <row r="18" ht="17" customHeight="1">
      <c r="A18" s="9" t="n"/>
      <c r="B18" s="9" t="n"/>
      <c r="C18" s="9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61" t="inlineStr"/>
      <c r="T18" s="9" t="n"/>
      <c r="U18" s="62" t="n"/>
      <c r="V18" s="60">
        <f>IF(U17="","",ROUNDDOWN(V17*0.1,-1))</f>
        <v/>
      </c>
      <c r="W18" s="60">
        <f>IF(U17="","",IF((COUNTIF(D17:S17,"&gt;0")+COUNTIF(D18:R18,"&gt;0"))&gt;=AB33,ROUNDDOWN(U17*U33,-1),0))</f>
        <v/>
      </c>
      <c r="X18" s="60">
        <f>IF(U17="","",ROUNDDOWN(W18*X33,-1))</f>
        <v/>
      </c>
      <c r="Y18" s="61" t="inlineStr"/>
      <c r="Z18" s="9" t="n"/>
      <c r="AA18" s="9" t="n"/>
      <c r="AB18" s="9" t="n"/>
    </row>
    <row r="19" ht="17" customHeight="1">
      <c r="A19" s="56">
        <f>IF(B19="","",7)</f>
        <v/>
      </c>
      <c r="B19" s="40" t="n"/>
      <c r="C19" s="57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9">
        <f>IF(SUM(D19:S19,D20:R20)=0,"",SUM(D19:S19,D20:R20))</f>
        <v/>
      </c>
      <c r="U19" s="42">
        <f>IF(OR(N(T19)=0,N(U20)=0),"",ROUND(T19*U20,0))</f>
        <v/>
      </c>
      <c r="V19" s="60">
        <f>IF(U19="","",IF(ROUNDDOWN(MAX(0,U20-H33)*M33*T19,-1)&lt;1000,0,ROUNDDOWN(MAX(0,U20-H33)*M33*T19,-1)))</f>
        <v/>
      </c>
      <c r="W19" s="60">
        <f>IF(U19="","",IF((COUNTIF(D19:S19,"&gt;0")+COUNTIF(D20:R20,"&gt;0"))&gt;=AB33,ROUNDDOWN(U19*Q33,-1),0))</f>
        <v/>
      </c>
      <c r="X19" s="60">
        <f>IF(U19="","",ROUNDDOWN(U19*Z33,-1))</f>
        <v/>
      </c>
      <c r="Y19" s="61" t="inlineStr"/>
      <c r="Z19" s="42">
        <f>IF(U19="","",V19+V20+W19+W20+X20+X19)</f>
        <v/>
      </c>
      <c r="AA19" s="43">
        <f>IF(U19="","",U19-Z19)</f>
        <v/>
      </c>
      <c r="AB19" s="36" t="n"/>
    </row>
    <row r="20" ht="17" customHeight="1">
      <c r="A20" s="9" t="n"/>
      <c r="B20" s="9" t="n"/>
      <c r="C20" s="9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61" t="inlineStr"/>
      <c r="T20" s="9" t="n"/>
      <c r="U20" s="62" t="n"/>
      <c r="V20" s="60">
        <f>IF(U19="","",ROUNDDOWN(V19*0.1,-1))</f>
        <v/>
      </c>
      <c r="W20" s="60">
        <f>IF(U19="","",IF((COUNTIF(D19:S19,"&gt;0")+COUNTIF(D20:R20,"&gt;0"))&gt;=AB33,ROUNDDOWN(U19*U33,-1),0))</f>
        <v/>
      </c>
      <c r="X20" s="60">
        <f>IF(U19="","",ROUNDDOWN(W20*X33,-1))</f>
        <v/>
      </c>
      <c r="Y20" s="61" t="inlineStr"/>
      <c r="Z20" s="9" t="n"/>
      <c r="AA20" s="9" t="n"/>
      <c r="AB20" s="9" t="n"/>
    </row>
    <row r="21" ht="17" customHeight="1">
      <c r="A21" s="56">
        <f>IF(B21="","",8)</f>
        <v/>
      </c>
      <c r="B21" s="40" t="n"/>
      <c r="C21" s="57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9">
        <f>IF(SUM(D21:S21,D22:R22)=0,"",SUM(D21:S21,D22:R22))</f>
        <v/>
      </c>
      <c r="U21" s="42">
        <f>IF(OR(N(T21)=0,N(U22)=0),"",ROUND(T21*U22,0))</f>
        <v/>
      </c>
      <c r="V21" s="60">
        <f>IF(U21="","",IF(ROUNDDOWN(MAX(0,U22-H33)*M33*T21,-1)&lt;1000,0,ROUNDDOWN(MAX(0,U22-H33)*M33*T21,-1)))</f>
        <v/>
      </c>
      <c r="W21" s="60">
        <f>IF(U21="","",IF((COUNTIF(D21:S21,"&gt;0")+COUNTIF(D22:R22,"&gt;0"))&gt;=AB33,ROUNDDOWN(U21*Q33,-1),0))</f>
        <v/>
      </c>
      <c r="X21" s="60">
        <f>IF(U21="","",ROUNDDOWN(U21*Z33,-1))</f>
        <v/>
      </c>
      <c r="Y21" s="61" t="inlineStr"/>
      <c r="Z21" s="42">
        <f>IF(U21="","",V21+V22+W21+W22+X22+X21)</f>
        <v/>
      </c>
      <c r="AA21" s="43">
        <f>IF(U21="","",U21-Z21)</f>
        <v/>
      </c>
      <c r="AB21" s="36" t="n"/>
    </row>
    <row r="22" ht="17" customHeight="1">
      <c r="A22" s="9" t="n"/>
      <c r="B22" s="9" t="n"/>
      <c r="C22" s="9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61" t="inlineStr"/>
      <c r="T22" s="9" t="n"/>
      <c r="U22" s="62" t="n"/>
      <c r="V22" s="60">
        <f>IF(U21="","",ROUNDDOWN(V21*0.1,-1))</f>
        <v/>
      </c>
      <c r="W22" s="60">
        <f>IF(U21="","",IF((COUNTIF(D21:S21,"&gt;0")+COUNTIF(D22:R22,"&gt;0"))&gt;=AB33,ROUNDDOWN(U21*U33,-1),0))</f>
        <v/>
      </c>
      <c r="X22" s="60">
        <f>IF(U21="","",ROUNDDOWN(W22*X33,-1))</f>
        <v/>
      </c>
      <c r="Y22" s="61" t="inlineStr"/>
      <c r="Z22" s="9" t="n"/>
      <c r="AA22" s="9" t="n"/>
      <c r="AB22" s="9" t="n"/>
    </row>
    <row r="23" ht="17" customHeight="1">
      <c r="A23" s="56">
        <f>IF(B23="","",9)</f>
        <v/>
      </c>
      <c r="B23" s="40" t="n"/>
      <c r="C23" s="57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9">
        <f>IF(SUM(D23:S23,D24:R24)=0,"",SUM(D23:S23,D24:R24))</f>
        <v/>
      </c>
      <c r="U23" s="42">
        <f>IF(OR(N(T23)=0,N(U24)=0),"",ROUND(T23*U24,0))</f>
        <v/>
      </c>
      <c r="V23" s="60">
        <f>IF(U23="","",IF(ROUNDDOWN(MAX(0,U24-H33)*M33*T23,-1)&lt;1000,0,ROUNDDOWN(MAX(0,U24-H33)*M33*T23,-1)))</f>
        <v/>
      </c>
      <c r="W23" s="60">
        <f>IF(U23="","",IF((COUNTIF(D23:S23,"&gt;0")+COUNTIF(D24:R24,"&gt;0"))&gt;=AB33,ROUNDDOWN(U23*Q33,-1),0))</f>
        <v/>
      </c>
      <c r="X23" s="60">
        <f>IF(U23="","",ROUNDDOWN(U23*Z33,-1))</f>
        <v/>
      </c>
      <c r="Y23" s="61" t="inlineStr"/>
      <c r="Z23" s="42">
        <f>IF(U23="","",V23+V24+W23+W24+X24+X23)</f>
        <v/>
      </c>
      <c r="AA23" s="43">
        <f>IF(U23="","",U23-Z23)</f>
        <v/>
      </c>
      <c r="AB23" s="36" t="n"/>
    </row>
    <row r="24" ht="17" customHeight="1">
      <c r="A24" s="9" t="n"/>
      <c r="B24" s="9" t="n"/>
      <c r="C24" s="9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61" t="inlineStr"/>
      <c r="T24" s="9" t="n"/>
      <c r="U24" s="62" t="n"/>
      <c r="V24" s="60">
        <f>IF(U23="","",ROUNDDOWN(V23*0.1,-1))</f>
        <v/>
      </c>
      <c r="W24" s="60">
        <f>IF(U23="","",IF((COUNTIF(D23:S23,"&gt;0")+COUNTIF(D24:R24,"&gt;0"))&gt;=AB33,ROUNDDOWN(U23*U33,-1),0))</f>
        <v/>
      </c>
      <c r="X24" s="60">
        <f>IF(U23="","",ROUNDDOWN(W24*X33,-1))</f>
        <v/>
      </c>
      <c r="Y24" s="61" t="inlineStr"/>
      <c r="Z24" s="9" t="n"/>
      <c r="AA24" s="9" t="n"/>
      <c r="AB24" s="9" t="n"/>
    </row>
    <row r="25" ht="17" customHeight="1">
      <c r="A25" s="56">
        <f>IF(B25="","",10)</f>
        <v/>
      </c>
      <c r="B25" s="40" t="n"/>
      <c r="C25" s="57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9">
        <f>IF(SUM(D25:S25,D26:R26)=0,"",SUM(D25:S25,D26:R26))</f>
        <v/>
      </c>
      <c r="U25" s="42">
        <f>IF(OR(N(T25)=0,N(U26)=0),"",ROUND(T25*U26,0))</f>
        <v/>
      </c>
      <c r="V25" s="60">
        <f>IF(U25="","",IF(ROUNDDOWN(MAX(0,U26-H33)*M33*T25,-1)&lt;1000,0,ROUNDDOWN(MAX(0,U26-H33)*M33*T25,-1)))</f>
        <v/>
      </c>
      <c r="W25" s="60">
        <f>IF(U25="","",IF((COUNTIF(D25:S25,"&gt;0")+COUNTIF(D26:R26,"&gt;0"))&gt;=AB33,ROUNDDOWN(U25*Q33,-1),0))</f>
        <v/>
      </c>
      <c r="X25" s="60">
        <f>IF(U25="","",ROUNDDOWN(U25*Z33,-1))</f>
        <v/>
      </c>
      <c r="Y25" s="61" t="inlineStr"/>
      <c r="Z25" s="42">
        <f>IF(U25="","",V25+V26+W25+W26+X26+X25)</f>
        <v/>
      </c>
      <c r="AA25" s="43">
        <f>IF(U25="","",U25-Z25)</f>
        <v/>
      </c>
      <c r="AB25" s="36" t="n"/>
    </row>
    <row r="26" ht="17" customHeight="1">
      <c r="A26" s="9" t="n"/>
      <c r="B26" s="9" t="n"/>
      <c r="C26" s="9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61" t="inlineStr"/>
      <c r="T26" s="9" t="n"/>
      <c r="U26" s="62" t="n"/>
      <c r="V26" s="60">
        <f>IF(U25="","",ROUNDDOWN(V25*0.1,-1))</f>
        <v/>
      </c>
      <c r="W26" s="60">
        <f>IF(U25="","",IF((COUNTIF(D25:S25,"&gt;0")+COUNTIF(D26:R26,"&gt;0"))&gt;=AB33,ROUNDDOWN(U25*U33,-1),0))</f>
        <v/>
      </c>
      <c r="X26" s="60">
        <f>IF(U25="","",ROUNDDOWN(W26*X33,-1))</f>
        <v/>
      </c>
      <c r="Y26" s="61" t="inlineStr"/>
      <c r="Z26" s="9" t="n"/>
      <c r="AA26" s="9" t="n"/>
      <c r="AB26" s="9" t="n"/>
    </row>
    <row r="27" ht="17" customHeight="1">
      <c r="A27" s="56">
        <f>IF(B27="","",11)</f>
        <v/>
      </c>
      <c r="B27" s="40" t="n"/>
      <c r="C27" s="57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9">
        <f>IF(SUM(D27:S27,D28:R28)=0,"",SUM(D27:S27,D28:R28))</f>
        <v/>
      </c>
      <c r="U27" s="42">
        <f>IF(OR(N(T27)=0,N(U28)=0),"",ROUND(T27*U28,0))</f>
        <v/>
      </c>
      <c r="V27" s="60">
        <f>IF(U27="","",IF(ROUNDDOWN(MAX(0,U28-H33)*M33*T27,-1)&lt;1000,0,ROUNDDOWN(MAX(0,U28-H33)*M33*T27,-1)))</f>
        <v/>
      </c>
      <c r="W27" s="60">
        <f>IF(U27="","",IF((COUNTIF(D27:S27,"&gt;0")+COUNTIF(D28:R28,"&gt;0"))&gt;=AB33,ROUNDDOWN(U27*Q33,-1),0))</f>
        <v/>
      </c>
      <c r="X27" s="60">
        <f>IF(U27="","",ROUNDDOWN(U27*Z33,-1))</f>
        <v/>
      </c>
      <c r="Y27" s="61" t="inlineStr"/>
      <c r="Z27" s="42">
        <f>IF(U27="","",V27+V28+W27+W28+X28+X27)</f>
        <v/>
      </c>
      <c r="AA27" s="43">
        <f>IF(U27="","",U27-Z27)</f>
        <v/>
      </c>
      <c r="AB27" s="36" t="n"/>
    </row>
    <row r="28" ht="17" customHeight="1">
      <c r="A28" s="9" t="n"/>
      <c r="B28" s="9" t="n"/>
      <c r="C28" s="9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1" t="inlineStr"/>
      <c r="T28" s="9" t="n"/>
      <c r="U28" s="62" t="n"/>
      <c r="V28" s="60">
        <f>IF(U27="","",ROUNDDOWN(V27*0.1,-1))</f>
        <v/>
      </c>
      <c r="W28" s="60">
        <f>IF(U27="","",IF((COUNTIF(D27:S27,"&gt;0")+COUNTIF(D28:R28,"&gt;0"))&gt;=AB33,ROUNDDOWN(U27*U33,-1),0))</f>
        <v/>
      </c>
      <c r="X28" s="60">
        <f>IF(U27="","",ROUNDDOWN(W28*X33,-1))</f>
        <v/>
      </c>
      <c r="Y28" s="61" t="inlineStr"/>
      <c r="Z28" s="9" t="n"/>
      <c r="AA28" s="9" t="n"/>
      <c r="AB28" s="9" t="n"/>
    </row>
    <row r="29" ht="17" customHeight="1">
      <c r="A29" s="56">
        <f>IF(B29="","",12)</f>
        <v/>
      </c>
      <c r="B29" s="40" t="n"/>
      <c r="C29" s="57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9">
        <f>IF(SUM(D29:S29,D30:R30)=0,"",SUM(D29:S29,D30:R30))</f>
        <v/>
      </c>
      <c r="U29" s="42">
        <f>IF(OR(N(T29)=0,N(U30)=0),"",ROUND(T29*U30,0))</f>
        <v/>
      </c>
      <c r="V29" s="60">
        <f>IF(U29="","",IF(ROUNDDOWN(MAX(0,U30-H33)*M33*T29,-1)&lt;1000,0,ROUNDDOWN(MAX(0,U30-H33)*M33*T29,-1)))</f>
        <v/>
      </c>
      <c r="W29" s="60">
        <f>IF(U29="","",IF((COUNTIF(D29:S29,"&gt;0")+COUNTIF(D30:R30,"&gt;0"))&gt;=AB33,ROUNDDOWN(U29*Q33,-1),0))</f>
        <v/>
      </c>
      <c r="X29" s="60">
        <f>IF(U29="","",ROUNDDOWN(U29*Z33,-1))</f>
        <v/>
      </c>
      <c r="Y29" s="61" t="inlineStr"/>
      <c r="Z29" s="42">
        <f>IF(U29="","",V29+V30+W29+W30+X30+X29)</f>
        <v/>
      </c>
      <c r="AA29" s="43">
        <f>IF(U29="","",U29-Z29)</f>
        <v/>
      </c>
      <c r="AB29" s="36" t="n"/>
    </row>
    <row r="30" ht="17" customHeight="1">
      <c r="A30" s="9" t="n"/>
      <c r="B30" s="9" t="n"/>
      <c r="C30" s="9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61" t="inlineStr"/>
      <c r="T30" s="9" t="n"/>
      <c r="U30" s="62" t="n"/>
      <c r="V30" s="60">
        <f>IF(U29="","",ROUNDDOWN(V29*0.1,-1))</f>
        <v/>
      </c>
      <c r="W30" s="60">
        <f>IF(U29="","",IF((COUNTIF(D29:S29,"&gt;0")+COUNTIF(D30:R30,"&gt;0"))&gt;=AB33,ROUNDDOWN(U29*U33,-1),0))</f>
        <v/>
      </c>
      <c r="X30" s="60">
        <f>IF(U29="","",ROUNDDOWN(W30*X33,-1))</f>
        <v/>
      </c>
      <c r="Y30" s="61" t="inlineStr"/>
      <c r="Z30" s="9" t="n"/>
      <c r="AA30" s="9" t="n"/>
      <c r="AB30" s="9" t="n"/>
    </row>
    <row r="31" ht="22" customHeight="1">
      <c r="A31" s="24" t="inlineStr">
        <is>
          <t>합   계</t>
        </is>
      </c>
      <c r="B31" s="9" t="n"/>
      <c r="C31" s="9" t="n"/>
      <c r="D31" s="24" t="inlineStr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59">
        <f>IF(SUM(T7:T30)=0,"",SUM(T7:T30))</f>
        <v/>
      </c>
      <c r="U31" s="43">
        <f>IF((N(U7)+N(U9)+N(U11)+N(U13)+N(U15)+N(U17)+N(U19)+N(U21)+N(U23)+N(U25)+N(U27)+N(U29))=0,"",N(U7)+N(U9)+N(U11)+N(U13)+N(U15)+N(U17)+N(U19)+N(U21)+N(U23)+N(U25)+N(U27)+N(U29))</f>
        <v/>
      </c>
      <c r="V31" s="24" t="inlineStr"/>
      <c r="W31" s="9" t="n"/>
      <c r="X31" s="9" t="n"/>
      <c r="Y31" s="9" t="n"/>
      <c r="Z31" s="43">
        <f>IF(SUM(Z7:Z30)=0,"",SUM(Z7:Z30))</f>
        <v/>
      </c>
      <c r="AA31" s="43">
        <f>IF(SUM(AA7:AA30)=0,"",SUM(AA7:AA30))</f>
        <v/>
      </c>
      <c r="AB31" s="24" t="inlineStr"/>
    </row>
    <row r="32" ht="4" customHeight="1"/>
    <row r="33" ht="22" customHeight="1">
      <c r="A33" s="8" t="inlineStr">
        <is>
          <t>공제 기준(2026년)</t>
        </is>
      </c>
      <c r="B33" s="9" t="n"/>
      <c r="C33" s="9" t="n"/>
      <c r="D33" s="9" t="n"/>
      <c r="E33" s="63" t="inlineStr">
        <is>
          <t>소득세 비과세 일급</t>
        </is>
      </c>
      <c r="F33" s="9" t="n"/>
      <c r="G33" s="9" t="n"/>
      <c r="H33" s="64" t="n">
        <v>150000</v>
      </c>
      <c r="I33" s="9" t="n"/>
      <c r="J33" s="63" t="inlineStr">
        <is>
          <t>소득세율(6%×45%)</t>
        </is>
      </c>
      <c r="K33" s="9" t="n"/>
      <c r="L33" s="9" t="n"/>
      <c r="M33" s="65" t="n">
        <v>0.027</v>
      </c>
      <c r="N33" s="9" t="n"/>
      <c r="O33" s="63" t="inlineStr">
        <is>
          <t>국민연금</t>
        </is>
      </c>
      <c r="P33" s="9" t="n"/>
      <c r="Q33" s="66" t="n">
        <v>0.0475</v>
      </c>
      <c r="R33" s="9" t="n"/>
      <c r="S33" s="63" t="inlineStr">
        <is>
          <t>건강보험</t>
        </is>
      </c>
      <c r="T33" s="9" t="n"/>
      <c r="U33" s="67" t="n">
        <v>0.03595</v>
      </c>
      <c r="V33" s="9" t="n"/>
      <c r="W33" s="68" t="inlineStr">
        <is>
          <t>요양/건강</t>
        </is>
      </c>
      <c r="X33" s="69" t="n">
        <v>0.1314</v>
      </c>
      <c r="Y33" s="70" t="inlineStr">
        <is>
          <t>고용</t>
        </is>
      </c>
      <c r="Z33" s="71" t="n">
        <v>0.008999999999999999</v>
      </c>
      <c r="AA33" s="68" t="inlineStr">
        <is>
          <t>8일↑</t>
        </is>
      </c>
      <c r="AB33" s="72" t="n">
        <v>8</v>
      </c>
    </row>
    <row r="35" ht="19.5" customHeight="1">
      <c r="A35" s="6" t="inlineStr">
        <is>
          <t>이 시트는 작성 예시입니다(가상의 사람 · 금액). 주민등록번호는 예시에도 적지 않습니다.</t>
        </is>
      </c>
    </row>
  </sheetData>
  <mergeCells count="113">
    <mergeCell ref="AA27:AA28"/>
    <mergeCell ref="C29:C30"/>
    <mergeCell ref="A7:A8"/>
    <mergeCell ref="Z25:Z26"/>
    <mergeCell ref="B29:B30"/>
    <mergeCell ref="L3:M3"/>
    <mergeCell ref="B23:B24"/>
    <mergeCell ref="A27:A28"/>
    <mergeCell ref="T25:T26"/>
    <mergeCell ref="B13:B14"/>
    <mergeCell ref="T21:T22"/>
    <mergeCell ref="Z29:Z30"/>
    <mergeCell ref="B15:B16"/>
    <mergeCell ref="AB23:AB24"/>
    <mergeCell ref="T11:T12"/>
    <mergeCell ref="T13:T14"/>
    <mergeCell ref="A1:S1"/>
    <mergeCell ref="C27:C28"/>
    <mergeCell ref="T7:T8"/>
    <mergeCell ref="U33:V33"/>
    <mergeCell ref="M33:N33"/>
    <mergeCell ref="Z23:Z24"/>
    <mergeCell ref="T15:T16"/>
    <mergeCell ref="D3:K3"/>
    <mergeCell ref="T27:T28"/>
    <mergeCell ref="V31:Y31"/>
    <mergeCell ref="B25:B26"/>
    <mergeCell ref="A33:D33"/>
    <mergeCell ref="AA29:AA30"/>
    <mergeCell ref="N3:S3"/>
    <mergeCell ref="B27:B28"/>
    <mergeCell ref="AA19:AA20"/>
    <mergeCell ref="B17:B18"/>
    <mergeCell ref="B11:B12"/>
    <mergeCell ref="AB9:AB10"/>
    <mergeCell ref="A3:C3"/>
    <mergeCell ref="AA15:AA16"/>
    <mergeCell ref="T9:T10"/>
    <mergeCell ref="T17:T18"/>
    <mergeCell ref="AA7:AA8"/>
    <mergeCell ref="AB27:AB28"/>
    <mergeCell ref="Z5:Z6"/>
    <mergeCell ref="A21:A22"/>
    <mergeCell ref="J33:L33"/>
    <mergeCell ref="A17:A18"/>
    <mergeCell ref="C17:C18"/>
    <mergeCell ref="A31:C31"/>
    <mergeCell ref="Z13:Z14"/>
    <mergeCell ref="AB13:AB14"/>
    <mergeCell ref="A23:A24"/>
    <mergeCell ref="S33:T33"/>
    <mergeCell ref="A19:A20"/>
    <mergeCell ref="C19:C20"/>
    <mergeCell ref="Z15:Z16"/>
    <mergeCell ref="AB15:AB16"/>
    <mergeCell ref="E33:G33"/>
    <mergeCell ref="AA17:AA18"/>
    <mergeCell ref="A9:A10"/>
    <mergeCell ref="B7:B8"/>
    <mergeCell ref="A11:A12"/>
    <mergeCell ref="C5:C6"/>
    <mergeCell ref="A2:AB2"/>
    <mergeCell ref="AA9:AA10"/>
    <mergeCell ref="T29:T30"/>
    <mergeCell ref="AB25:AB26"/>
    <mergeCell ref="AA5:AA6"/>
    <mergeCell ref="V3:AB3"/>
    <mergeCell ref="C21:C22"/>
    <mergeCell ref="Z17:Z18"/>
    <mergeCell ref="AB17:AB18"/>
    <mergeCell ref="AB11:AB12"/>
    <mergeCell ref="B9:B10"/>
    <mergeCell ref="C23:C24"/>
    <mergeCell ref="Z19:Z20"/>
    <mergeCell ref="A13:A14"/>
    <mergeCell ref="AB19:AB20"/>
    <mergeCell ref="C7:C8"/>
    <mergeCell ref="T19:T20"/>
    <mergeCell ref="AA21:AA22"/>
    <mergeCell ref="T5:T6"/>
    <mergeCell ref="AA23:AA24"/>
    <mergeCell ref="T3:U3"/>
    <mergeCell ref="B21:B22"/>
    <mergeCell ref="AB29:AB30"/>
    <mergeCell ref="O33:P33"/>
    <mergeCell ref="Z7:Z8"/>
    <mergeCell ref="Q33:R33"/>
    <mergeCell ref="Z21:Z22"/>
    <mergeCell ref="AB21:AB22"/>
    <mergeCell ref="A35:AB35"/>
    <mergeCell ref="C9:C10"/>
    <mergeCell ref="T1:AB1"/>
    <mergeCell ref="A25:A26"/>
    <mergeCell ref="C25:C26"/>
    <mergeCell ref="C11:C12"/>
    <mergeCell ref="AB7:AB8"/>
    <mergeCell ref="B19:B20"/>
    <mergeCell ref="A5:A6"/>
    <mergeCell ref="AA25:AA26"/>
    <mergeCell ref="D31:S31"/>
    <mergeCell ref="A29:A30"/>
    <mergeCell ref="T23:T24"/>
    <mergeCell ref="B5:B6"/>
    <mergeCell ref="C13:C14"/>
    <mergeCell ref="Z9:Z10"/>
    <mergeCell ref="AA11:AA12"/>
    <mergeCell ref="Z27:Z28"/>
    <mergeCell ref="H33:I33"/>
    <mergeCell ref="A15:A16"/>
    <mergeCell ref="AA13:AA14"/>
    <mergeCell ref="C15:C16"/>
    <mergeCell ref="Z11:Z12"/>
    <mergeCell ref="AB5:AB6"/>
  </mergeCells>
  <conditionalFormatting sqref="D7:D30">
    <cfRule type="expression" priority="1" dxfId="1">
      <formula>AND(ISNUMBER(D7),MOD(D7,1)=0)</formula>
    </cfRule>
  </conditionalFormatting>
  <conditionalFormatting sqref="E7:E30">
    <cfRule type="expression" priority="2" dxfId="1">
      <formula>AND(ISNUMBER(E7),MOD(E7,1)=0)</formula>
    </cfRule>
  </conditionalFormatting>
  <conditionalFormatting sqref="F7:F30">
    <cfRule type="expression" priority="3" dxfId="1">
      <formula>AND(ISNUMBER(F7),MOD(F7,1)=0)</formula>
    </cfRule>
  </conditionalFormatting>
  <conditionalFormatting sqref="G7:G30">
    <cfRule type="expression" priority="4" dxfId="1">
      <formula>AND(ISNUMBER(G7),MOD(G7,1)=0)</formula>
    </cfRule>
  </conditionalFormatting>
  <conditionalFormatting sqref="H7:H30">
    <cfRule type="expression" priority="5" dxfId="1">
      <formula>AND(ISNUMBER(H7),MOD(H7,1)=0)</formula>
    </cfRule>
  </conditionalFormatting>
  <conditionalFormatting sqref="I7:I30">
    <cfRule type="expression" priority="6" dxfId="1">
      <formula>AND(ISNUMBER(I7),MOD(I7,1)=0)</formula>
    </cfRule>
  </conditionalFormatting>
  <conditionalFormatting sqref="J7:J30">
    <cfRule type="expression" priority="7" dxfId="1">
      <formula>AND(ISNUMBER(J7),MOD(J7,1)=0)</formula>
    </cfRule>
  </conditionalFormatting>
  <conditionalFormatting sqref="K7:K30">
    <cfRule type="expression" priority="8" dxfId="1">
      <formula>AND(ISNUMBER(K7),MOD(K7,1)=0)</formula>
    </cfRule>
  </conditionalFormatting>
  <conditionalFormatting sqref="L7:L30">
    <cfRule type="expression" priority="9" dxfId="1">
      <formula>AND(ISNUMBER(L7),MOD(L7,1)=0)</formula>
    </cfRule>
  </conditionalFormatting>
  <conditionalFormatting sqref="M7:M30">
    <cfRule type="expression" priority="10" dxfId="1">
      <formula>AND(ISNUMBER(M7),MOD(M7,1)=0)</formula>
    </cfRule>
  </conditionalFormatting>
  <conditionalFormatting sqref="N7:N30">
    <cfRule type="expression" priority="11" dxfId="1">
      <formula>AND(ISNUMBER(N7),MOD(N7,1)=0)</formula>
    </cfRule>
  </conditionalFormatting>
  <conditionalFormatting sqref="O7:O30">
    <cfRule type="expression" priority="12" dxfId="1">
      <formula>AND(ISNUMBER(O7),MOD(O7,1)=0)</formula>
    </cfRule>
  </conditionalFormatting>
  <conditionalFormatting sqref="P7:P30">
    <cfRule type="expression" priority="13" dxfId="1">
      <formula>AND(ISNUMBER(P7),MOD(P7,1)=0)</formula>
    </cfRule>
  </conditionalFormatting>
  <conditionalFormatting sqref="Q7:Q30">
    <cfRule type="expression" priority="14" dxfId="1">
      <formula>AND(ISNUMBER(Q7),MOD(Q7,1)=0)</formula>
    </cfRule>
  </conditionalFormatting>
  <conditionalFormatting sqref="R7:R30">
    <cfRule type="expression" priority="15" dxfId="1">
      <formula>AND(ISNUMBER(R7),MOD(R7,1)=0)</formula>
    </cfRule>
  </conditionalFormatting>
  <conditionalFormatting sqref="S7">
    <cfRule type="expression" priority="16" dxfId="1">
      <formula>AND(ISNUMBER(S7),MOD(S7,1)=0)</formula>
    </cfRule>
  </conditionalFormatting>
  <conditionalFormatting sqref="S9">
    <cfRule type="expression" priority="17" dxfId="1">
      <formula>AND(ISNUMBER(S9),MOD(S9,1)=0)</formula>
    </cfRule>
  </conditionalFormatting>
  <conditionalFormatting sqref="S11">
    <cfRule type="expression" priority="18" dxfId="1">
      <formula>AND(ISNUMBER(S11),MOD(S11,1)=0)</formula>
    </cfRule>
  </conditionalFormatting>
  <conditionalFormatting sqref="S13">
    <cfRule type="expression" priority="19" dxfId="1">
      <formula>AND(ISNUMBER(S13),MOD(S13,1)=0)</formula>
    </cfRule>
  </conditionalFormatting>
  <conditionalFormatting sqref="S15">
    <cfRule type="expression" priority="20" dxfId="1">
      <formula>AND(ISNUMBER(S15),MOD(S15,1)=0)</formula>
    </cfRule>
  </conditionalFormatting>
  <conditionalFormatting sqref="S17">
    <cfRule type="expression" priority="21" dxfId="1">
      <formula>AND(ISNUMBER(S17),MOD(S17,1)=0)</formula>
    </cfRule>
  </conditionalFormatting>
  <conditionalFormatting sqref="S19">
    <cfRule type="expression" priority="22" dxfId="1">
      <formula>AND(ISNUMBER(S19),MOD(S19,1)=0)</formula>
    </cfRule>
  </conditionalFormatting>
  <conditionalFormatting sqref="S21">
    <cfRule type="expression" priority="23" dxfId="1">
      <formula>AND(ISNUMBER(S21),MOD(S21,1)=0)</formula>
    </cfRule>
  </conditionalFormatting>
  <conditionalFormatting sqref="S23">
    <cfRule type="expression" priority="24" dxfId="1">
      <formula>AND(ISNUMBER(S23),MOD(S23,1)=0)</formula>
    </cfRule>
  </conditionalFormatting>
  <conditionalFormatting sqref="S25">
    <cfRule type="expression" priority="25" dxfId="1">
      <formula>AND(ISNUMBER(S25),MOD(S25,1)=0)</formula>
    </cfRule>
  </conditionalFormatting>
  <conditionalFormatting sqref="S27">
    <cfRule type="expression" priority="26" dxfId="1">
      <formula>AND(ISNUMBER(S27),MOD(S27,1)=0)</formula>
    </cfRule>
  </conditionalFormatting>
  <conditionalFormatting sqref="S29">
    <cfRule type="expression" priority="27" dxfId="1">
      <formula>AND(ISNUMBER(S29),MOD(S29,1)=0)</formula>
    </cfRule>
  </conditionalFormatting>
  <conditionalFormatting sqref="T7">
    <cfRule type="expression" priority="28" dxfId="1">
      <formula>AND(ISNUMBER(T7),MOD(T7,1)=0)</formula>
    </cfRule>
  </conditionalFormatting>
  <conditionalFormatting sqref="T9">
    <cfRule type="expression" priority="29" dxfId="1">
      <formula>AND(ISNUMBER(T9),MOD(T9,1)=0)</formula>
    </cfRule>
  </conditionalFormatting>
  <conditionalFormatting sqref="T11">
    <cfRule type="expression" priority="30" dxfId="1">
      <formula>AND(ISNUMBER(T11),MOD(T11,1)=0)</formula>
    </cfRule>
  </conditionalFormatting>
  <conditionalFormatting sqref="T13">
    <cfRule type="expression" priority="31" dxfId="1">
      <formula>AND(ISNUMBER(T13),MOD(T13,1)=0)</formula>
    </cfRule>
  </conditionalFormatting>
  <conditionalFormatting sqref="T15">
    <cfRule type="expression" priority="32" dxfId="1">
      <formula>AND(ISNUMBER(T15),MOD(T15,1)=0)</formula>
    </cfRule>
  </conditionalFormatting>
  <conditionalFormatting sqref="T17">
    <cfRule type="expression" priority="33" dxfId="1">
      <formula>AND(ISNUMBER(T17),MOD(T17,1)=0)</formula>
    </cfRule>
  </conditionalFormatting>
  <conditionalFormatting sqref="T19">
    <cfRule type="expression" priority="34" dxfId="1">
      <formula>AND(ISNUMBER(T19),MOD(T19,1)=0)</formula>
    </cfRule>
  </conditionalFormatting>
  <conditionalFormatting sqref="T21">
    <cfRule type="expression" priority="35" dxfId="1">
      <formula>AND(ISNUMBER(T21),MOD(T21,1)=0)</formula>
    </cfRule>
  </conditionalFormatting>
  <conditionalFormatting sqref="T23">
    <cfRule type="expression" priority="36" dxfId="1">
      <formula>AND(ISNUMBER(T23),MOD(T23,1)=0)</formula>
    </cfRule>
  </conditionalFormatting>
  <conditionalFormatting sqref="T25">
    <cfRule type="expression" priority="37" dxfId="1">
      <formula>AND(ISNUMBER(T25),MOD(T25,1)=0)</formula>
    </cfRule>
  </conditionalFormatting>
  <conditionalFormatting sqref="T27">
    <cfRule type="expression" priority="38" dxfId="1">
      <formula>AND(ISNUMBER(T27),MOD(T27,1)=0)</formula>
    </cfRule>
  </conditionalFormatting>
  <conditionalFormatting sqref="T29">
    <cfRule type="expression" priority="39" dxfId="1">
      <formula>AND(ISNUMBER(T29),MOD(T29,1)=0)</formula>
    </cfRule>
  </conditionalFormatting>
  <conditionalFormatting sqref="T31">
    <cfRule type="expression" priority="40" dxfId="1">
      <formula>AND(ISNUMBER(T31),MOD(T31,1)=0)</formula>
    </cfRule>
  </conditionalFormatting>
  <printOptions horizontalCentered="1"/>
  <pageMargins left="0.55" right="0.55" top="0.55" bottom="0.5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안전·품질관리비 사용내역서</dc:title>
  <dcterms:created xmlns:dcterms="http://purl.org/dc/terms/" xmlns:xsi="http://www.w3.org/2001/XMLSchema-instance" xsi:type="dcterms:W3CDTF">2026-09-29T10:56:47Z</dcterms:created>
  <dcterms:modified xmlns:dcterms="http://purl.org/dc/terms/" xmlns:xsi="http://www.w3.org/2001/XMLSchema-instance" xsi:type="dcterms:W3CDTF">2026-09-29T10:56:49Z</dcterms:modified>
</cp:coreProperties>
</file>