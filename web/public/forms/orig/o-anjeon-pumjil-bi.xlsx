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공유폴더\※회천하수관로정비사업\12.공무\7.월간공정보고\1.안전\"/>
    </mc:Choice>
  </mc:AlternateContent>
  <xr:revisionPtr revIDLastSave="0" documentId="13_ncr:1_{C7A1EA28-6132-4E85-87EF-DF89BF8DC4AA}" xr6:coauthVersionLast="47" xr6:coauthVersionMax="47" xr10:uidLastSave="{00000000-0000-0000-0000-000000000000}"/>
  <bookViews>
    <workbookView xWindow="-120" yWindow="-120" windowWidth="29040" windowHeight="15720" tabRatio="810" activeTab="5" xr2:uid="{00000000-000D-0000-FFFF-FFFF00000000}"/>
  </bookViews>
  <sheets>
    <sheet name="표지(품질)" sheetId="9" r:id="rId1"/>
    <sheet name="품질시험비" sheetId="1" r:id="rId2"/>
    <sheet name="세부사용(25년7월)" sheetId="10" r:id="rId3"/>
    <sheet name="사진대지 (품질)" sheetId="23" r:id="rId4"/>
    <sheet name="표지 (안전관리)" sheetId="18" r:id="rId5"/>
    <sheet name="안전" sheetId="19" r:id="rId6"/>
    <sheet name="안전 (2)" sheetId="27" r:id="rId7"/>
    <sheet name="안전관리내역 " sheetId="2" r:id="rId8"/>
    <sheet name="세부사용(25년07월) " sheetId="20" r:id="rId9"/>
    <sheet name="표지" sheetId="24" r:id="rId10"/>
    <sheet name="사진대지(안전)" sheetId="22" r:id="rId11"/>
    <sheet name="노임명세서 (4)" sheetId="25" r:id="rId12"/>
    <sheet name="4월 신분증 및 통장사본" sheetId="26" r:id="rId13"/>
    <sheet name="Sheet3" sheetId="16" r:id="rId14"/>
  </sheets>
  <definedNames>
    <definedName name="______________NEW1">#N/A</definedName>
    <definedName name="______________NEW2">#N/A</definedName>
    <definedName name="______________NEW3">#N/A</definedName>
    <definedName name="______________NEW5">#N/A</definedName>
    <definedName name="_____________NEW1">#N/A</definedName>
    <definedName name="_____________NEW2">#N/A</definedName>
    <definedName name="_____________NEW3">#N/A</definedName>
    <definedName name="_____________NEW5">#N/A</definedName>
    <definedName name="____________NEW1">#N/A</definedName>
    <definedName name="____________NEW2">#N/A</definedName>
    <definedName name="____________NEW3">#N/A</definedName>
    <definedName name="____________NEW5">#N/A</definedName>
    <definedName name="__________NEW1">#N/A</definedName>
    <definedName name="__________NEW2">#N/A</definedName>
    <definedName name="__________NEW3">#N/A</definedName>
    <definedName name="__________NEW5">#N/A</definedName>
    <definedName name="_________EE1" localSheetId="12" hidden="1">{#N/A,#N/A,FALSE,"단가표지"}</definedName>
    <definedName name="_________EE1" hidden="1">{#N/A,#N/A,FALSE,"단가표지"}</definedName>
    <definedName name="_________P3" localSheetId="12" hidden="1">{#N/A,#N/A,FALSE,"배수1"}</definedName>
    <definedName name="_________P3" hidden="1">{#N/A,#N/A,FALSE,"배수1"}</definedName>
    <definedName name="_________P4" localSheetId="12" hidden="1">{#N/A,#N/A,FALSE,"혼합골재"}</definedName>
    <definedName name="_________P4" hidden="1">{#N/A,#N/A,FALSE,"혼합골재"}</definedName>
    <definedName name="_________P5" localSheetId="12" hidden="1">{#N/A,#N/A,FALSE,"배수1"}</definedName>
    <definedName name="_________P5" hidden="1">{#N/A,#N/A,FALSE,"배수1"}</definedName>
    <definedName name="_________P6" localSheetId="12" hidden="1">{#N/A,#N/A,FALSE,"2~8번"}</definedName>
    <definedName name="_________P6" hidden="1">{#N/A,#N/A,FALSE,"2~8번"}</definedName>
    <definedName name="_________S3" localSheetId="12" hidden="1">{#N/A,#N/A,FALSE,"포장2"}</definedName>
    <definedName name="_________S3" hidden="1">{#N/A,#N/A,FALSE,"포장2"}</definedName>
    <definedName name="________P3" localSheetId="12" hidden="1">{#N/A,#N/A,FALSE,"배수1"}</definedName>
    <definedName name="________P3" hidden="1">{#N/A,#N/A,FALSE,"배수1"}</definedName>
    <definedName name="________P4" localSheetId="12" hidden="1">{#N/A,#N/A,FALSE,"혼합골재"}</definedName>
    <definedName name="________P4" hidden="1">{#N/A,#N/A,FALSE,"혼합골재"}</definedName>
    <definedName name="________P5" localSheetId="12" hidden="1">{#N/A,#N/A,FALSE,"배수1"}</definedName>
    <definedName name="________P5" hidden="1">{#N/A,#N/A,FALSE,"배수1"}</definedName>
    <definedName name="________P6" localSheetId="12" hidden="1">{#N/A,#N/A,FALSE,"2~8번"}</definedName>
    <definedName name="________P6" hidden="1">{#N/A,#N/A,FALSE,"2~8번"}</definedName>
    <definedName name="________S3" localSheetId="12" hidden="1">{#N/A,#N/A,FALSE,"포장2"}</definedName>
    <definedName name="________S3" hidden="1">{#N/A,#N/A,FALSE,"포장2"}</definedName>
    <definedName name="______EE1" localSheetId="12" hidden="1">{#N/A,#N/A,FALSE,"단가표지"}</definedName>
    <definedName name="______EE1" hidden="1">{#N/A,#N/A,FALSE,"단가표지"}</definedName>
    <definedName name="_____ST1">#N/A</definedName>
    <definedName name="____EE1" localSheetId="12" hidden="1">{#N/A,#N/A,FALSE,"단가표지"}</definedName>
    <definedName name="____EE1" hidden="1">{#N/A,#N/A,FALSE,"단가표지"}</definedName>
    <definedName name="____ST1">#N/A</definedName>
    <definedName name="___ST1">#N/A</definedName>
    <definedName name="__DemandLoad">TRUE</definedName>
    <definedName name="__EE1" localSheetId="12" hidden="1">{#N/A,#N/A,FALSE,"단가표지"}</definedName>
    <definedName name="__EE1" hidden="1">{#N/A,#N/A,FALSE,"단가표지"}</definedName>
    <definedName name="__IntlFixup" hidden="1">TRUE</definedName>
    <definedName name="__NEW1">#N/A</definedName>
    <definedName name="__NEW2">#N/A</definedName>
    <definedName name="__NEW3">#N/A</definedName>
    <definedName name="__NEW5">#N/A</definedName>
    <definedName name="__P3" localSheetId="12" hidden="1">{#N/A,#N/A,FALSE,"배수1"}</definedName>
    <definedName name="__P3" hidden="1">{#N/A,#N/A,FALSE,"배수1"}</definedName>
    <definedName name="__P4" localSheetId="12" hidden="1">{#N/A,#N/A,FALSE,"혼합골재"}</definedName>
    <definedName name="__P4" hidden="1">{#N/A,#N/A,FALSE,"혼합골재"}</definedName>
    <definedName name="__P5" localSheetId="12" hidden="1">{#N/A,#N/A,FALSE,"배수1"}</definedName>
    <definedName name="__P5" hidden="1">{#N/A,#N/A,FALSE,"배수1"}</definedName>
    <definedName name="__P6" localSheetId="12" hidden="1">{#N/A,#N/A,FALSE,"2~8번"}</definedName>
    <definedName name="__P6" hidden="1">{#N/A,#N/A,FALSE,"2~8번"}</definedName>
    <definedName name="__S3" localSheetId="12" hidden="1">{#N/A,#N/A,FALSE,"포장2"}</definedName>
    <definedName name="__S3" hidden="1">{#N/A,#N/A,FALSE,"포장2"}</definedName>
    <definedName name="__ST1">#N/A</definedName>
    <definedName name="_1" localSheetId="12">#N/A</definedName>
    <definedName name="_10">#N/A</definedName>
    <definedName name="_10C_81">#N/A</definedName>
    <definedName name="_11">#N/A</definedName>
    <definedName name="_112P3_" localSheetId="12" hidden="1">{#N/A,#N/A,FALSE,"배수1"}</definedName>
    <definedName name="_112P3_" hidden="1">{#N/A,#N/A,FALSE,"배수1"}</definedName>
    <definedName name="_115P4_" localSheetId="12" hidden="1">{#N/A,#N/A,FALSE,"혼합골재"}</definedName>
    <definedName name="_115P4_" hidden="1">{#N/A,#N/A,FALSE,"혼합골재"}</definedName>
    <definedName name="_118P5_" localSheetId="12" hidden="1">{#N/A,#N/A,FALSE,"배수1"}</definedName>
    <definedName name="_118P5_" hidden="1">{#N/A,#N/A,FALSE,"배수1"}</definedName>
    <definedName name="_11a10_" localSheetId="12">'4월 신분증 및 통장사본'!_11a10_</definedName>
    <definedName name="_11s3_" hidden="1">{#N/A,#N/A,FALSE,"전력간선"}</definedName>
    <definedName name="_12">#N/A</definedName>
    <definedName name="_121P6_" localSheetId="12" hidden="1">{#N/A,#N/A,FALSE,"2~8번"}</definedName>
    <definedName name="_121P6_" hidden="1">{#N/A,#N/A,FALSE,"2~8번"}</definedName>
    <definedName name="_12A_1">#N/A</definedName>
    <definedName name="_12A_10">#N/A</definedName>
    <definedName name="_12A_11">#N/A</definedName>
    <definedName name="_12A_12">#N/A</definedName>
    <definedName name="_12A_13">#N/A</definedName>
    <definedName name="_12A_14">#N/A</definedName>
    <definedName name="_12A_15">#N/A</definedName>
    <definedName name="_12A_16">#N/A</definedName>
    <definedName name="_12A_17">#N/A</definedName>
    <definedName name="_12A_18">#N/A</definedName>
    <definedName name="_12A_19">#N/A</definedName>
    <definedName name="_12A_2">#N/A</definedName>
    <definedName name="_12A_20">#N/A</definedName>
    <definedName name="_12A_21">#N/A</definedName>
    <definedName name="_12A_22">#N/A</definedName>
    <definedName name="_12A_23">#N/A</definedName>
    <definedName name="_12A_24">#N/A</definedName>
    <definedName name="_12A_25">#N/A</definedName>
    <definedName name="_12A_26">#N/A</definedName>
    <definedName name="_12A_27">#N/A</definedName>
    <definedName name="_12A_28">#N/A</definedName>
    <definedName name="_12A_29">#N/A</definedName>
    <definedName name="_12A_3">#N/A</definedName>
    <definedName name="_12A_30">#N/A</definedName>
    <definedName name="_12A_31">#N/A</definedName>
    <definedName name="_12A_32">#N/A</definedName>
    <definedName name="_12A_33">#N/A</definedName>
    <definedName name="_12A_34">#N/A</definedName>
    <definedName name="_12A_35">#N/A</definedName>
    <definedName name="_12A_36">#N/A</definedName>
    <definedName name="_12A_37">#N/A</definedName>
    <definedName name="_12A_38">#N/A</definedName>
    <definedName name="_12A_39">#N/A</definedName>
    <definedName name="_12A_4">#N/A</definedName>
    <definedName name="_12A_40">#N/A</definedName>
    <definedName name="_12A_41">#N/A</definedName>
    <definedName name="_12A_42">#N/A</definedName>
    <definedName name="_12A_43">#N/A</definedName>
    <definedName name="_12A_44">#N/A</definedName>
    <definedName name="_12A_45">#N/A</definedName>
    <definedName name="_12A_46">#N/A</definedName>
    <definedName name="_12A_47">#N/A</definedName>
    <definedName name="_12A_48">#N/A</definedName>
    <definedName name="_12A_49">#N/A</definedName>
    <definedName name="_12A_5">#N/A</definedName>
    <definedName name="_12A_50">#N/A</definedName>
    <definedName name="_12A_51">#N/A</definedName>
    <definedName name="_12A_52">#N/A</definedName>
    <definedName name="_12A_53">#N/A</definedName>
    <definedName name="_12A_54">#N/A</definedName>
    <definedName name="_12A_55">#N/A</definedName>
    <definedName name="_12A_56">#N/A</definedName>
    <definedName name="_12A_57">#N/A</definedName>
    <definedName name="_12A_58">#N/A</definedName>
    <definedName name="_12A_59">#N/A</definedName>
    <definedName name="_12A_6">#N/A</definedName>
    <definedName name="_12A_60">#N/A</definedName>
    <definedName name="_12A_61">#N/A</definedName>
    <definedName name="_12A_62">#N/A</definedName>
    <definedName name="_12A_63">#N/A</definedName>
    <definedName name="_12A_64">#N/A</definedName>
    <definedName name="_12A_65">#N/A</definedName>
    <definedName name="_12A_66">#N/A</definedName>
    <definedName name="_12A_67">#N/A</definedName>
    <definedName name="_12A_68">#N/A</definedName>
    <definedName name="_12A_69">#N/A</definedName>
    <definedName name="_12A_7">#N/A</definedName>
    <definedName name="_12A_70">#N/A</definedName>
    <definedName name="_12A_71">#N/A</definedName>
    <definedName name="_12A_72">#N/A</definedName>
    <definedName name="_12A_73">#N/A</definedName>
    <definedName name="_12A_74">#N/A</definedName>
    <definedName name="_12A_75">#N/A</definedName>
    <definedName name="_12A_76">#N/A</definedName>
    <definedName name="_12A_77">#N/A</definedName>
    <definedName name="_12A_78">#N/A</definedName>
    <definedName name="_12A_79">#N/A</definedName>
    <definedName name="_12A_8">#N/A</definedName>
    <definedName name="_12A_80">#N/A</definedName>
    <definedName name="_12A_81">#N/A</definedName>
    <definedName name="_12A_9">#N/A</definedName>
    <definedName name="_12a11_" localSheetId="12">'4월 신분증 및 통장사본'!_12a11_</definedName>
    <definedName name="_12B_1">#N/A</definedName>
    <definedName name="_12B_10">#N/A</definedName>
    <definedName name="_12B_11">#N/A</definedName>
    <definedName name="_12B_12">#N/A</definedName>
    <definedName name="_12B_13">#N/A</definedName>
    <definedName name="_12B_14">#N/A</definedName>
    <definedName name="_12B_15">#N/A</definedName>
    <definedName name="_12B_16">#N/A</definedName>
    <definedName name="_12B_17">#N/A</definedName>
    <definedName name="_12B_18">#N/A</definedName>
    <definedName name="_12B_19">#N/A</definedName>
    <definedName name="_12B_2">#N/A</definedName>
    <definedName name="_12B_20">#N/A</definedName>
    <definedName name="_12B_21">#N/A</definedName>
    <definedName name="_12B_22">#N/A</definedName>
    <definedName name="_12B_23">#N/A</definedName>
    <definedName name="_12B_24">#N/A</definedName>
    <definedName name="_12B_25">#N/A</definedName>
    <definedName name="_12B_26">#N/A</definedName>
    <definedName name="_12B_27">#N/A</definedName>
    <definedName name="_12B_28">#N/A</definedName>
    <definedName name="_12B_29">#N/A</definedName>
    <definedName name="_12B_3">#N/A</definedName>
    <definedName name="_12B_30">#N/A</definedName>
    <definedName name="_12B_31">#N/A</definedName>
    <definedName name="_12B_32">#N/A</definedName>
    <definedName name="_12B_33">#N/A</definedName>
    <definedName name="_12B_34">#N/A</definedName>
    <definedName name="_12B_35">#N/A</definedName>
    <definedName name="_12B_36">#N/A</definedName>
    <definedName name="_12B_37">#N/A</definedName>
    <definedName name="_12B_38">#N/A</definedName>
    <definedName name="_12B_39">#N/A</definedName>
    <definedName name="_12B_4">#N/A</definedName>
    <definedName name="_12B_40">#N/A</definedName>
    <definedName name="_12B_41">#N/A</definedName>
    <definedName name="_12B_42">#N/A</definedName>
    <definedName name="_12B_43">#N/A</definedName>
    <definedName name="_12B_44">#N/A</definedName>
    <definedName name="_12B_45">#N/A</definedName>
    <definedName name="_12B_46">#N/A</definedName>
    <definedName name="_12B_47">#N/A</definedName>
    <definedName name="_12B_48">#N/A</definedName>
    <definedName name="_12B_49">#N/A</definedName>
    <definedName name="_12B_5">#N/A</definedName>
    <definedName name="_12B_50">#N/A</definedName>
    <definedName name="_12B_51">#N/A</definedName>
    <definedName name="_12B_52">#N/A</definedName>
    <definedName name="_12B_53">#N/A</definedName>
    <definedName name="_12B_54">#N/A</definedName>
    <definedName name="_12B_55">#N/A</definedName>
    <definedName name="_12B_56">#N/A</definedName>
    <definedName name="_12B_57">#N/A</definedName>
    <definedName name="_12B_58">#N/A</definedName>
    <definedName name="_12B_59">#N/A</definedName>
    <definedName name="_12B_6">#N/A</definedName>
    <definedName name="_12B_60">#N/A</definedName>
    <definedName name="_12B_61">#N/A</definedName>
    <definedName name="_12B_62">#N/A</definedName>
    <definedName name="_12B_63">#N/A</definedName>
    <definedName name="_12B_64">#N/A</definedName>
    <definedName name="_12B_65">#N/A</definedName>
    <definedName name="_12B_66">#N/A</definedName>
    <definedName name="_12B_67">#N/A</definedName>
    <definedName name="_12B_68">#N/A</definedName>
    <definedName name="_12B_69">#N/A</definedName>
    <definedName name="_12B_7">#N/A</definedName>
    <definedName name="_12B_70">#N/A</definedName>
    <definedName name="_12B_71">#N/A</definedName>
    <definedName name="_12B_72">#N/A</definedName>
    <definedName name="_12B_73">#N/A</definedName>
    <definedName name="_12B_74">#N/A</definedName>
    <definedName name="_12B_75">#N/A</definedName>
    <definedName name="_12B_76">#N/A</definedName>
    <definedName name="_12B_77">#N/A</definedName>
    <definedName name="_12B_78">#N/A</definedName>
    <definedName name="_12B_79">#N/A</definedName>
    <definedName name="_12B_8">#N/A</definedName>
    <definedName name="_12B_80">#N/A</definedName>
    <definedName name="_12B_81">#N/A</definedName>
    <definedName name="_12B_9">#N/A</definedName>
    <definedName name="_12C_1">#N/A</definedName>
    <definedName name="_12C_10">#N/A</definedName>
    <definedName name="_12C_11">#N/A</definedName>
    <definedName name="_12C_12">#N/A</definedName>
    <definedName name="_12C_13">#N/A</definedName>
    <definedName name="_12C_14">#N/A</definedName>
    <definedName name="_12C_15">#N/A</definedName>
    <definedName name="_12C_16">#N/A</definedName>
    <definedName name="_12C_17">#N/A</definedName>
    <definedName name="_12C_18">#N/A</definedName>
    <definedName name="_12C_19">#N/A</definedName>
    <definedName name="_12C_2">#N/A</definedName>
    <definedName name="_12C_20">#N/A</definedName>
    <definedName name="_12C_21">#N/A</definedName>
    <definedName name="_12C_22">#N/A</definedName>
    <definedName name="_12C_23">#N/A</definedName>
    <definedName name="_12C_24">#N/A</definedName>
    <definedName name="_12C_25">#N/A</definedName>
    <definedName name="_12C_26">#N/A</definedName>
    <definedName name="_12C_27">#N/A</definedName>
    <definedName name="_12C_28">#N/A</definedName>
    <definedName name="_12C_29">#N/A</definedName>
    <definedName name="_12C_3">#N/A</definedName>
    <definedName name="_12C_30">#N/A</definedName>
    <definedName name="_12C_31">#N/A</definedName>
    <definedName name="_12C_32">#N/A</definedName>
    <definedName name="_12C_33">#N/A</definedName>
    <definedName name="_12C_34">#N/A</definedName>
    <definedName name="_12C_35">#N/A</definedName>
    <definedName name="_12C_36">#N/A</definedName>
    <definedName name="_12C_37">#N/A</definedName>
    <definedName name="_12C_38">#N/A</definedName>
    <definedName name="_12C_39">#N/A</definedName>
    <definedName name="_12C_4">#N/A</definedName>
    <definedName name="_12C_40">#N/A</definedName>
    <definedName name="_12C_41">#N/A</definedName>
    <definedName name="_12C_42">#N/A</definedName>
    <definedName name="_12C_43">#N/A</definedName>
    <definedName name="_12C_44">#N/A</definedName>
    <definedName name="_12C_45">#N/A</definedName>
    <definedName name="_12C_46">#N/A</definedName>
    <definedName name="_12C_47">#N/A</definedName>
    <definedName name="_12C_48">#N/A</definedName>
    <definedName name="_12C_49">#N/A</definedName>
    <definedName name="_12C_5">#N/A</definedName>
    <definedName name="_12C_50">#N/A</definedName>
    <definedName name="_12C_51">#N/A</definedName>
    <definedName name="_12C_52">#N/A</definedName>
    <definedName name="_12C_53">#N/A</definedName>
    <definedName name="_12C_54">#N/A</definedName>
    <definedName name="_12C_55">#N/A</definedName>
    <definedName name="_12C_56">#N/A</definedName>
    <definedName name="_12C_57">#N/A</definedName>
    <definedName name="_12C_58">#N/A</definedName>
    <definedName name="_12C_59">#N/A</definedName>
    <definedName name="_12C_6">#N/A</definedName>
    <definedName name="_12C_60">#N/A</definedName>
    <definedName name="_12C_61">#N/A</definedName>
    <definedName name="_12C_62">#N/A</definedName>
    <definedName name="_12C_63">#N/A</definedName>
    <definedName name="_12C_64">#N/A</definedName>
    <definedName name="_12C_65">#N/A</definedName>
    <definedName name="_12C_66">#N/A</definedName>
    <definedName name="_12C_67">#N/A</definedName>
    <definedName name="_12C_68">#N/A</definedName>
    <definedName name="_12C_69">#N/A</definedName>
    <definedName name="_12C_7">#N/A</definedName>
    <definedName name="_12C_70">#N/A</definedName>
    <definedName name="_12C_71">#N/A</definedName>
    <definedName name="_12C_72">#N/A</definedName>
    <definedName name="_12C_73">#N/A</definedName>
    <definedName name="_12C_74">#N/A</definedName>
    <definedName name="_12C_75">#N/A</definedName>
    <definedName name="_12C_76">#N/A</definedName>
    <definedName name="_12C_77">#N/A</definedName>
    <definedName name="_12C_78">#N/A</definedName>
    <definedName name="_12C_79">#N/A</definedName>
    <definedName name="_12C_8">#N/A</definedName>
    <definedName name="_12C_80">#N/A</definedName>
    <definedName name="_12C_81">#N/A</definedName>
    <definedName name="_12C_9">#N/A</definedName>
    <definedName name="_13">#N/A</definedName>
    <definedName name="_13a12_" localSheetId="12">'4월 신분증 및 통장사본'!_13a12_</definedName>
    <definedName name="_14">#N/A</definedName>
    <definedName name="_145S3_" localSheetId="12" hidden="1">{#N/A,#N/A,FALSE,"포장2"}</definedName>
    <definedName name="_145S3_" hidden="1">{#N/A,#N/A,FALSE,"포장2"}</definedName>
    <definedName name="_14A_1">#N/A</definedName>
    <definedName name="_14A_10">#N/A</definedName>
    <definedName name="_14A_11">#N/A</definedName>
    <definedName name="_14A_12">#N/A</definedName>
    <definedName name="_14A_13">#N/A</definedName>
    <definedName name="_14A_14">#N/A</definedName>
    <definedName name="_14A_15">#N/A</definedName>
    <definedName name="_14A_16">#N/A</definedName>
    <definedName name="_14A_17">#N/A</definedName>
    <definedName name="_14A_18">#N/A</definedName>
    <definedName name="_14A_19">#N/A</definedName>
    <definedName name="_14A_2">#N/A</definedName>
    <definedName name="_14A_20">#N/A</definedName>
    <definedName name="_14A_21">#N/A</definedName>
    <definedName name="_14A_22">#N/A</definedName>
    <definedName name="_14A_23">#N/A</definedName>
    <definedName name="_14A_24">#N/A</definedName>
    <definedName name="_14A_25">#N/A</definedName>
    <definedName name="_14A_26">#N/A</definedName>
    <definedName name="_14A_27">#N/A</definedName>
    <definedName name="_14A_28">#N/A</definedName>
    <definedName name="_14A_29">#N/A</definedName>
    <definedName name="_14A_3">#N/A</definedName>
    <definedName name="_14A_30">#N/A</definedName>
    <definedName name="_14A_4">#N/A</definedName>
    <definedName name="_14A_5">#N/A</definedName>
    <definedName name="_14A_6">#N/A</definedName>
    <definedName name="_14A_7">#N/A</definedName>
    <definedName name="_14A_8">#N/A</definedName>
    <definedName name="_14A_9">#N/A</definedName>
    <definedName name="_14a13_" localSheetId="12">'4월 신분증 및 통장사본'!_14a13_</definedName>
    <definedName name="_14B_1">#N/A</definedName>
    <definedName name="_14B_10">#N/A</definedName>
    <definedName name="_14B_11">#N/A</definedName>
    <definedName name="_14B_12">#N/A</definedName>
    <definedName name="_14B_13">#N/A</definedName>
    <definedName name="_14B_14">#N/A</definedName>
    <definedName name="_14B_15">#N/A</definedName>
    <definedName name="_14B_16">#N/A</definedName>
    <definedName name="_14B_17">#N/A</definedName>
    <definedName name="_14B_18">#N/A</definedName>
    <definedName name="_14B_19">#N/A</definedName>
    <definedName name="_14B_2">#N/A</definedName>
    <definedName name="_14B_20">#N/A</definedName>
    <definedName name="_14B_21">#N/A</definedName>
    <definedName name="_14B_22">#N/A</definedName>
    <definedName name="_14B_23">#N/A</definedName>
    <definedName name="_14B_24">#N/A</definedName>
    <definedName name="_14B_25">#N/A</definedName>
    <definedName name="_14B_26">#N/A</definedName>
    <definedName name="_14B_27">#N/A</definedName>
    <definedName name="_14B_28">#N/A</definedName>
    <definedName name="_14B_29">#N/A</definedName>
    <definedName name="_14B_3">#N/A</definedName>
    <definedName name="_14B_30">#N/A</definedName>
    <definedName name="_14B_4">#N/A</definedName>
    <definedName name="_14B_5">#N/A</definedName>
    <definedName name="_14B_6">#N/A</definedName>
    <definedName name="_14B_7">#N/A</definedName>
    <definedName name="_14B_8">#N/A</definedName>
    <definedName name="_14B_9">#N/A</definedName>
    <definedName name="_14C_1">#N/A</definedName>
    <definedName name="_14C_10">#N/A</definedName>
    <definedName name="_14C_11">#N/A</definedName>
    <definedName name="_14C_12">#N/A</definedName>
    <definedName name="_14C_13">#N/A</definedName>
    <definedName name="_14C_14">#N/A</definedName>
    <definedName name="_14C_15">#N/A</definedName>
    <definedName name="_14C_16">#N/A</definedName>
    <definedName name="_14C_17">#N/A</definedName>
    <definedName name="_14C_18">#N/A</definedName>
    <definedName name="_14C_19">#N/A</definedName>
    <definedName name="_14C_2">#N/A</definedName>
    <definedName name="_14C_20">#N/A</definedName>
    <definedName name="_14C_21">#N/A</definedName>
    <definedName name="_14C_22">#N/A</definedName>
    <definedName name="_14C_23">#N/A</definedName>
    <definedName name="_14C_24">#N/A</definedName>
    <definedName name="_14C_25">#N/A</definedName>
    <definedName name="_14C_26">#N/A</definedName>
    <definedName name="_14C_27">#N/A</definedName>
    <definedName name="_14C_28">#N/A</definedName>
    <definedName name="_14C_29">#N/A</definedName>
    <definedName name="_14C_3">#N/A</definedName>
    <definedName name="_14C_30">#N/A</definedName>
    <definedName name="_14C_4">#N/A</definedName>
    <definedName name="_14C_5">#N/A</definedName>
    <definedName name="_14C_6">#N/A</definedName>
    <definedName name="_14C_7">#N/A</definedName>
    <definedName name="_14C_8">#N/A</definedName>
    <definedName name="_14C_9">#N/A</definedName>
    <definedName name="_15">#N/A</definedName>
    <definedName name="_15A_1">#N/A</definedName>
    <definedName name="_15A_10">#N/A</definedName>
    <definedName name="_15A_11">#N/A</definedName>
    <definedName name="_15A_12">#N/A</definedName>
    <definedName name="_15A_13">#N/A</definedName>
    <definedName name="_15A_14">#N/A</definedName>
    <definedName name="_15A_15">#N/A</definedName>
    <definedName name="_15A_16">#N/A</definedName>
    <definedName name="_15A_17">#N/A</definedName>
    <definedName name="_15A_18">#N/A</definedName>
    <definedName name="_15A_19">#N/A</definedName>
    <definedName name="_15A_2">#N/A</definedName>
    <definedName name="_15A_20">#N/A</definedName>
    <definedName name="_15A_21">#N/A</definedName>
    <definedName name="_15A_22">#N/A</definedName>
    <definedName name="_15A_23">#N/A</definedName>
    <definedName name="_15A_24">#N/A</definedName>
    <definedName name="_15A_25">#N/A</definedName>
    <definedName name="_15A_26">#N/A</definedName>
    <definedName name="_15A_27">#N/A</definedName>
    <definedName name="_15A_28">#N/A</definedName>
    <definedName name="_15A_29">#N/A</definedName>
    <definedName name="_15A_3">#N/A</definedName>
    <definedName name="_15A_30">#N/A</definedName>
    <definedName name="_15A_31">#N/A</definedName>
    <definedName name="_15A_32">#N/A</definedName>
    <definedName name="_15A_33">#N/A</definedName>
    <definedName name="_15A_34">#N/A</definedName>
    <definedName name="_15A_35">#N/A</definedName>
    <definedName name="_15A_36">#N/A</definedName>
    <definedName name="_15A_37">#N/A</definedName>
    <definedName name="_15A_38">#N/A</definedName>
    <definedName name="_15A_39">#N/A</definedName>
    <definedName name="_15A_4">#N/A</definedName>
    <definedName name="_15A_40">#N/A</definedName>
    <definedName name="_15A_41">#N/A</definedName>
    <definedName name="_15A_42">#N/A</definedName>
    <definedName name="_15A_43">#N/A</definedName>
    <definedName name="_15A_44">#N/A</definedName>
    <definedName name="_15A_45">#N/A</definedName>
    <definedName name="_15A_46">#N/A</definedName>
    <definedName name="_15A_47">#N/A</definedName>
    <definedName name="_15A_48">#N/A</definedName>
    <definedName name="_15A_49">#N/A</definedName>
    <definedName name="_15A_5">#N/A</definedName>
    <definedName name="_15A_50">#N/A</definedName>
    <definedName name="_15A_51">#N/A</definedName>
    <definedName name="_15A_52">#N/A</definedName>
    <definedName name="_15A_53">#N/A</definedName>
    <definedName name="_15A_54">#N/A</definedName>
    <definedName name="_15A_55">#N/A</definedName>
    <definedName name="_15A_56">#N/A</definedName>
    <definedName name="_15A_57">#N/A</definedName>
    <definedName name="_15A_58">#N/A</definedName>
    <definedName name="_15A_59">#N/A</definedName>
    <definedName name="_15A_6">#N/A</definedName>
    <definedName name="_15A_60">#N/A</definedName>
    <definedName name="_15A_61">#N/A</definedName>
    <definedName name="_15A_62">#N/A</definedName>
    <definedName name="_15A_63">#N/A</definedName>
    <definedName name="_15A_64">#N/A</definedName>
    <definedName name="_15A_65">#N/A</definedName>
    <definedName name="_15A_66">#N/A</definedName>
    <definedName name="_15A_67">#N/A</definedName>
    <definedName name="_15A_68">#N/A</definedName>
    <definedName name="_15A_69">#N/A</definedName>
    <definedName name="_15A_7">#N/A</definedName>
    <definedName name="_15A_70">#N/A</definedName>
    <definedName name="_15A_71">#N/A</definedName>
    <definedName name="_15A_72">#N/A</definedName>
    <definedName name="_15A_73">#N/A</definedName>
    <definedName name="_15A_74">#N/A</definedName>
    <definedName name="_15A_75">#N/A</definedName>
    <definedName name="_15A_76">#N/A</definedName>
    <definedName name="_15A_77">#N/A</definedName>
    <definedName name="_15A_78">#N/A</definedName>
    <definedName name="_15A_79">#N/A</definedName>
    <definedName name="_15A_8">#N/A</definedName>
    <definedName name="_15A_80">#N/A</definedName>
    <definedName name="_15A_81">#N/A</definedName>
    <definedName name="_15A_82">#N/A</definedName>
    <definedName name="_15A_83">#N/A</definedName>
    <definedName name="_15A_84">#N/A</definedName>
    <definedName name="_15A_85">#N/A</definedName>
    <definedName name="_15A_86">#N/A</definedName>
    <definedName name="_15A_87">#N/A</definedName>
    <definedName name="_15A_88">#N/A</definedName>
    <definedName name="_15A_89">#N/A</definedName>
    <definedName name="_15A_9">#N/A</definedName>
    <definedName name="_15A_90">#N/A</definedName>
    <definedName name="_15a14_" localSheetId="12">'4월 신분증 및 통장사본'!_15a14_</definedName>
    <definedName name="_15B_1">#N/A</definedName>
    <definedName name="_15B_10">#N/A</definedName>
    <definedName name="_15B_11">#N/A</definedName>
    <definedName name="_15B_12">#N/A</definedName>
    <definedName name="_15B_13">#N/A</definedName>
    <definedName name="_15B_14">#N/A</definedName>
    <definedName name="_15B_15">#N/A</definedName>
    <definedName name="_15B_16">#N/A</definedName>
    <definedName name="_15B_17">#N/A</definedName>
    <definedName name="_15B_18">#N/A</definedName>
    <definedName name="_15B_19">#N/A</definedName>
    <definedName name="_15B_2">#N/A</definedName>
    <definedName name="_15B_20">#N/A</definedName>
    <definedName name="_15B_21">#N/A</definedName>
    <definedName name="_15B_22">#N/A</definedName>
    <definedName name="_15B_23">#N/A</definedName>
    <definedName name="_15B_24">#N/A</definedName>
    <definedName name="_15B_25">#N/A</definedName>
    <definedName name="_15B_26">#N/A</definedName>
    <definedName name="_15B_27">#N/A</definedName>
    <definedName name="_15B_28">#N/A</definedName>
    <definedName name="_15B_29">#N/A</definedName>
    <definedName name="_15B_3">#N/A</definedName>
    <definedName name="_15B_30">#N/A</definedName>
    <definedName name="_15B_31">#N/A</definedName>
    <definedName name="_15B_32">#N/A</definedName>
    <definedName name="_15B_33">#N/A</definedName>
    <definedName name="_15B_34">#N/A</definedName>
    <definedName name="_15B_35">#N/A</definedName>
    <definedName name="_15B_36">#N/A</definedName>
    <definedName name="_15B_37">#N/A</definedName>
    <definedName name="_15B_38">#N/A</definedName>
    <definedName name="_15B_39">#N/A</definedName>
    <definedName name="_15B_4">#N/A</definedName>
    <definedName name="_15B_40">#N/A</definedName>
    <definedName name="_15B_41">#N/A</definedName>
    <definedName name="_15B_42">#N/A</definedName>
    <definedName name="_15B_43">#N/A</definedName>
    <definedName name="_15B_44">#N/A</definedName>
    <definedName name="_15B_45">#N/A</definedName>
    <definedName name="_15B_46">#N/A</definedName>
    <definedName name="_15B_47">#N/A</definedName>
    <definedName name="_15B_48">#N/A</definedName>
    <definedName name="_15B_49">#N/A</definedName>
    <definedName name="_15B_5">#N/A</definedName>
    <definedName name="_15B_50">#N/A</definedName>
    <definedName name="_15B_51">#N/A</definedName>
    <definedName name="_15B_52">#N/A</definedName>
    <definedName name="_15B_53">#N/A</definedName>
    <definedName name="_15B_54">#N/A</definedName>
    <definedName name="_15B_55">#N/A</definedName>
    <definedName name="_15B_56">#N/A</definedName>
    <definedName name="_15B_57">#N/A</definedName>
    <definedName name="_15B_58">#N/A</definedName>
    <definedName name="_15B_59">#N/A</definedName>
    <definedName name="_15B_6">#N/A</definedName>
    <definedName name="_15B_60">#N/A</definedName>
    <definedName name="_15B_61">#N/A</definedName>
    <definedName name="_15B_62">#N/A</definedName>
    <definedName name="_15B_63">#N/A</definedName>
    <definedName name="_15B_64">#N/A</definedName>
    <definedName name="_15B_65">#N/A</definedName>
    <definedName name="_15B_66">#N/A</definedName>
    <definedName name="_15B_67">#N/A</definedName>
    <definedName name="_15B_68">#N/A</definedName>
    <definedName name="_15B_69">#N/A</definedName>
    <definedName name="_15B_7">#N/A</definedName>
    <definedName name="_15B_70">#N/A</definedName>
    <definedName name="_15B_71">#N/A</definedName>
    <definedName name="_15B_72">#N/A</definedName>
    <definedName name="_15B_73">#N/A</definedName>
    <definedName name="_15B_74">#N/A</definedName>
    <definedName name="_15B_75">#N/A</definedName>
    <definedName name="_15B_76">#N/A</definedName>
    <definedName name="_15B_77">#N/A</definedName>
    <definedName name="_15B_78">#N/A</definedName>
    <definedName name="_15B_79">#N/A</definedName>
    <definedName name="_15B_8">#N/A</definedName>
    <definedName name="_15B_80">#N/A</definedName>
    <definedName name="_15B_81">#N/A</definedName>
    <definedName name="_15B_82">#N/A</definedName>
    <definedName name="_15B_83">#N/A</definedName>
    <definedName name="_15B_84">#N/A</definedName>
    <definedName name="_15B_85">#N/A</definedName>
    <definedName name="_15B_86">#N/A</definedName>
    <definedName name="_15B_87">#N/A</definedName>
    <definedName name="_15B_88">#N/A</definedName>
    <definedName name="_15B_89">#N/A</definedName>
    <definedName name="_15B_9">#N/A</definedName>
    <definedName name="_15B_90">#N/A</definedName>
    <definedName name="_15C_1">#N/A</definedName>
    <definedName name="_15C_10">#N/A</definedName>
    <definedName name="_15C_11">#N/A</definedName>
    <definedName name="_15C_12">#N/A</definedName>
    <definedName name="_15C_13">#N/A</definedName>
    <definedName name="_15C_14">#N/A</definedName>
    <definedName name="_15C_15">#N/A</definedName>
    <definedName name="_15C_16">#N/A</definedName>
    <definedName name="_15C_17">#N/A</definedName>
    <definedName name="_15C_18">#N/A</definedName>
    <definedName name="_15C_19">#N/A</definedName>
    <definedName name="_15C_2">#N/A</definedName>
    <definedName name="_15C_20">#N/A</definedName>
    <definedName name="_15C_21">#N/A</definedName>
    <definedName name="_15C_22">#N/A</definedName>
    <definedName name="_15C_23">#N/A</definedName>
    <definedName name="_15C_24">#N/A</definedName>
    <definedName name="_15C_25">#N/A</definedName>
    <definedName name="_15C_26">#N/A</definedName>
    <definedName name="_15C_27">#N/A</definedName>
    <definedName name="_15C_28">#N/A</definedName>
    <definedName name="_15C_29">#N/A</definedName>
    <definedName name="_15C_3">#N/A</definedName>
    <definedName name="_15C_30">#N/A</definedName>
    <definedName name="_15C_31">#N/A</definedName>
    <definedName name="_15C_32">#N/A</definedName>
    <definedName name="_15C_33">#N/A</definedName>
    <definedName name="_15C_34">#N/A</definedName>
    <definedName name="_15C_35">#N/A</definedName>
    <definedName name="_15C_36">#N/A</definedName>
    <definedName name="_15C_37">#N/A</definedName>
    <definedName name="_15C_38">#N/A</definedName>
    <definedName name="_15C_39">#N/A</definedName>
    <definedName name="_15C_4">#N/A</definedName>
    <definedName name="_15C_40">#N/A</definedName>
    <definedName name="_15C_41">#N/A</definedName>
    <definedName name="_15C_42">#N/A</definedName>
    <definedName name="_15C_43">#N/A</definedName>
    <definedName name="_15C_44">#N/A</definedName>
    <definedName name="_15C_45">#N/A</definedName>
    <definedName name="_15C_46">#N/A</definedName>
    <definedName name="_15C_47">#N/A</definedName>
    <definedName name="_15C_48">#N/A</definedName>
    <definedName name="_15C_49">#N/A</definedName>
    <definedName name="_15C_5">#N/A</definedName>
    <definedName name="_15C_50">#N/A</definedName>
    <definedName name="_15C_51">#N/A</definedName>
    <definedName name="_15C_52">#N/A</definedName>
    <definedName name="_15C_53">#N/A</definedName>
    <definedName name="_15C_54">#N/A</definedName>
    <definedName name="_15C_55">#N/A</definedName>
    <definedName name="_15C_56">#N/A</definedName>
    <definedName name="_15C_57">#N/A</definedName>
    <definedName name="_15C_58">#N/A</definedName>
    <definedName name="_15C_59">#N/A</definedName>
    <definedName name="_15C_6">#N/A</definedName>
    <definedName name="_15C_60">#N/A</definedName>
    <definedName name="_15C_61">#N/A</definedName>
    <definedName name="_15C_62">#N/A</definedName>
    <definedName name="_15C_63">#N/A</definedName>
    <definedName name="_15C_64">#N/A</definedName>
    <definedName name="_15C_65">#N/A</definedName>
    <definedName name="_15C_66">#N/A</definedName>
    <definedName name="_15C_67">#N/A</definedName>
    <definedName name="_15C_68">#N/A</definedName>
    <definedName name="_15C_69">#N/A</definedName>
    <definedName name="_15C_7">#N/A</definedName>
    <definedName name="_15C_70">#N/A</definedName>
    <definedName name="_15C_71">#N/A</definedName>
    <definedName name="_15C_72">#N/A</definedName>
    <definedName name="_15C_73">#N/A</definedName>
    <definedName name="_15C_74">#N/A</definedName>
    <definedName name="_15C_75">#N/A</definedName>
    <definedName name="_15C_76">#N/A</definedName>
    <definedName name="_15C_77">#N/A</definedName>
    <definedName name="_15C_78">#N/A</definedName>
    <definedName name="_15C_79">#N/A</definedName>
    <definedName name="_15C_8">#N/A</definedName>
    <definedName name="_15C_80">#N/A</definedName>
    <definedName name="_15C_81">#N/A</definedName>
    <definedName name="_15C_82">#N/A</definedName>
    <definedName name="_15C_83">#N/A</definedName>
    <definedName name="_15C_84">#N/A</definedName>
    <definedName name="_15C_85">#N/A</definedName>
    <definedName name="_15C_86">#N/A</definedName>
    <definedName name="_15C_87">#N/A</definedName>
    <definedName name="_15C_88">#N/A</definedName>
    <definedName name="_15C_89">#N/A</definedName>
    <definedName name="_15C_9">#N/A</definedName>
    <definedName name="_15C_90">#N/A</definedName>
    <definedName name="_16">#N/A</definedName>
    <definedName name="_16a15_" localSheetId="12">'4월 신분증 및 통장사본'!_16a15_</definedName>
    <definedName name="_17">#N/A</definedName>
    <definedName name="_17A_1">#N/A</definedName>
    <definedName name="_17A_10">#N/A</definedName>
    <definedName name="_17A_11">#N/A</definedName>
    <definedName name="_17A_12">#N/A</definedName>
    <definedName name="_17A_13">#N/A</definedName>
    <definedName name="_17A_14">#N/A</definedName>
    <definedName name="_17A_15">#N/A</definedName>
    <definedName name="_17A_2">#N/A</definedName>
    <definedName name="_17A_3">#N/A</definedName>
    <definedName name="_17A_4">#N/A</definedName>
    <definedName name="_17A_5">#N/A</definedName>
    <definedName name="_17A_6">#N/A</definedName>
    <definedName name="_17A_7">#N/A</definedName>
    <definedName name="_17A_8">#N/A</definedName>
    <definedName name="_17A_9">#N/A</definedName>
    <definedName name="_17a16_" localSheetId="12">'4월 신분증 및 통장사본'!_17a16_</definedName>
    <definedName name="_17B_1">#N/A</definedName>
    <definedName name="_17B_10">#N/A</definedName>
    <definedName name="_17B_11">#N/A</definedName>
    <definedName name="_17B_12">#N/A</definedName>
    <definedName name="_17B_13">#N/A</definedName>
    <definedName name="_17B_14">#N/A</definedName>
    <definedName name="_17B_15">#N/A</definedName>
    <definedName name="_17B_2">#N/A</definedName>
    <definedName name="_17B_3">#N/A</definedName>
    <definedName name="_17B_4">#N/A</definedName>
    <definedName name="_17B_5">#N/A</definedName>
    <definedName name="_17B_6">#N/A</definedName>
    <definedName name="_17B_7">#N/A</definedName>
    <definedName name="_17B_8">#N/A</definedName>
    <definedName name="_17B_9">#N/A</definedName>
    <definedName name="_17C_1">#N/A</definedName>
    <definedName name="_17C_10">#N/A</definedName>
    <definedName name="_17C_11">#N/A</definedName>
    <definedName name="_17C_12">#N/A</definedName>
    <definedName name="_17C_13">#N/A</definedName>
    <definedName name="_17C_14">#N/A</definedName>
    <definedName name="_17C_15">#N/A</definedName>
    <definedName name="_17C_2">#N/A</definedName>
    <definedName name="_17C_3">#N/A</definedName>
    <definedName name="_17C_4">#N/A</definedName>
    <definedName name="_17C_5">#N/A</definedName>
    <definedName name="_17C_6">#N/A</definedName>
    <definedName name="_17C_7">#N/A</definedName>
    <definedName name="_17C_8">#N/A</definedName>
    <definedName name="_17C_9">#N/A</definedName>
    <definedName name="_18">#N/A</definedName>
    <definedName name="_18A_1">#N/A</definedName>
    <definedName name="_18A_10">#N/A</definedName>
    <definedName name="_18A_11">#N/A</definedName>
    <definedName name="_18A_12">#N/A</definedName>
    <definedName name="_18A_13">#N/A</definedName>
    <definedName name="_18A_14">#N/A</definedName>
    <definedName name="_18A_15">#N/A</definedName>
    <definedName name="_18A_2">#N/A</definedName>
    <definedName name="_18A_3">#N/A</definedName>
    <definedName name="_18A_4">#N/A</definedName>
    <definedName name="_18A_5">#N/A</definedName>
    <definedName name="_18A_6">#N/A</definedName>
    <definedName name="_18A_7">#N/A</definedName>
    <definedName name="_18A_8">#N/A</definedName>
    <definedName name="_18A_9">#N/A</definedName>
    <definedName name="_18a17_" localSheetId="12">'4월 신분증 및 통장사본'!_18a17_</definedName>
    <definedName name="_18B_1">#N/A</definedName>
    <definedName name="_18B_10">#N/A</definedName>
    <definedName name="_18B_11">#N/A</definedName>
    <definedName name="_18B_12">#N/A</definedName>
    <definedName name="_18B_13">#N/A</definedName>
    <definedName name="_18B_14">#N/A</definedName>
    <definedName name="_18B_15">#N/A</definedName>
    <definedName name="_18B_2">#N/A</definedName>
    <definedName name="_18B_3">#N/A</definedName>
    <definedName name="_18B_4">#N/A</definedName>
    <definedName name="_18B_5">#N/A</definedName>
    <definedName name="_18B_6">#N/A</definedName>
    <definedName name="_18B_7">#N/A</definedName>
    <definedName name="_18B_8">#N/A</definedName>
    <definedName name="_18B_9">#N/A</definedName>
    <definedName name="_18C_1">#N/A</definedName>
    <definedName name="_18C_10">#N/A</definedName>
    <definedName name="_18C_11">#N/A</definedName>
    <definedName name="_18C_12">#N/A</definedName>
    <definedName name="_18C_13">#N/A</definedName>
    <definedName name="_18C_14">#N/A</definedName>
    <definedName name="_18C_15">#N/A</definedName>
    <definedName name="_18C_2">#N/A</definedName>
    <definedName name="_18C_3">#N/A</definedName>
    <definedName name="_18C_4">#N/A</definedName>
    <definedName name="_18C_5">#N/A</definedName>
    <definedName name="_18C_6">#N/A</definedName>
    <definedName name="_18C_7">#N/A</definedName>
    <definedName name="_18C_8">#N/A</definedName>
    <definedName name="_18C_9">#N/A</definedName>
    <definedName name="_19">#N/A</definedName>
    <definedName name="_19a2_" localSheetId="12">'4월 신분증 및 통장사본'!_19a2_</definedName>
    <definedName name="_1차_94년">#N/A</definedName>
    <definedName name="_2" localSheetId="12">#N/A</definedName>
    <definedName name="_20">#N/A</definedName>
    <definedName name="_20a3_" localSheetId="12">'4월 신분증 및 통장사본'!_20a3_</definedName>
    <definedName name="_21">#N/A</definedName>
    <definedName name="_21a4_" localSheetId="12">'4월 신분증 및 통장사본'!_21a4_</definedName>
    <definedName name="_22">#N/A</definedName>
    <definedName name="_22a5_" localSheetId="12">'4월 신분증 및 통장사본'!_22a5_</definedName>
    <definedName name="_23">#N/A</definedName>
    <definedName name="_23a6_" localSheetId="12">'4월 신분증 및 통장사본'!_23a6_</definedName>
    <definedName name="_24">#N/A</definedName>
    <definedName name="_24a7_" localSheetId="12">'4월 신분증 및 통장사본'!_24a7_</definedName>
    <definedName name="_25">#N/A</definedName>
    <definedName name="_25a8_" localSheetId="12">'4월 신분증 및 통장사본'!_25a8_</definedName>
    <definedName name="_26">#N/A</definedName>
    <definedName name="_26a9_" localSheetId="12">'4월 신분증 및 통장사본'!_26a9_</definedName>
    <definedName name="_27">#N/A</definedName>
    <definedName name="_28">#N/A</definedName>
    <definedName name="_28bv3_" localSheetId="12">BlankMacro1</definedName>
    <definedName name="_28bv3_" localSheetId="6">BlankMacro1</definedName>
    <definedName name="_28bv3_">BlankMacro1</definedName>
    <definedName name="_29">#N/A</definedName>
    <definedName name="_2차결제일">#N/A</definedName>
    <definedName name="_3" localSheetId="12">#N/A</definedName>
    <definedName name="_30">#N/A</definedName>
    <definedName name="_31">#N/A</definedName>
    <definedName name="_32">#N/A</definedName>
    <definedName name="_33">#N/A</definedName>
    <definedName name="_34">#N/A</definedName>
    <definedName name="_35">#N/A</definedName>
    <definedName name="_36">#N/A</definedName>
    <definedName name="_37">#N/A</definedName>
    <definedName name="_38">#N/A</definedName>
    <definedName name="_39">#N/A</definedName>
    <definedName name="_39P3_" localSheetId="12" hidden="1">{#N/A,#N/A,FALSE,"배수1"}</definedName>
    <definedName name="_39P3_" hidden="1">{#N/A,#N/A,FALSE,"배수1"}</definedName>
    <definedName name="_4" localSheetId="12">#N/A</definedName>
    <definedName name="_40">#N/A</definedName>
    <definedName name="_40P4_" localSheetId="12" hidden="1">{#N/A,#N/A,FALSE,"혼합골재"}</definedName>
    <definedName name="_40P4_" hidden="1">{#N/A,#N/A,FALSE,"혼합골재"}</definedName>
    <definedName name="_41">#N/A</definedName>
    <definedName name="_41P5_" localSheetId="12" hidden="1">{#N/A,#N/A,FALSE,"배수1"}</definedName>
    <definedName name="_41P5_" hidden="1">{#N/A,#N/A,FALSE,"배수1"}</definedName>
    <definedName name="_42">#N/A</definedName>
    <definedName name="_42P6_" localSheetId="12" hidden="1">{#N/A,#N/A,FALSE,"2~8번"}</definedName>
    <definedName name="_42P6_" hidden="1">{#N/A,#N/A,FALSE,"2~8번"}</definedName>
    <definedName name="_43">#N/A</definedName>
    <definedName name="_44">#N/A</definedName>
    <definedName name="_45">#N/A</definedName>
    <definedName name="_46">#N/A</definedName>
    <definedName name="_47">#N/A</definedName>
    <definedName name="_48">#N/A</definedName>
    <definedName name="_49">#N/A</definedName>
    <definedName name="_5" localSheetId="12">#N/A</definedName>
    <definedName name="_50">#N/A</definedName>
    <definedName name="_50S3_" localSheetId="12" hidden="1">{#N/A,#N/A,FALSE,"포장2"}</definedName>
    <definedName name="_50S3_" hidden="1">{#N/A,#N/A,FALSE,"포장2"}</definedName>
    <definedName name="_51">#N/A</definedName>
    <definedName name="_52">#N/A</definedName>
    <definedName name="_53">#N/A</definedName>
    <definedName name="_54">#N/A</definedName>
    <definedName name="_55">#N/A</definedName>
    <definedName name="_56">#N/A</definedName>
    <definedName name="_57">#N/A</definedName>
    <definedName name="_58">#N/A</definedName>
    <definedName name="_59">#N/A</definedName>
    <definedName name="_59EE1_" localSheetId="12" hidden="1">{#N/A,#N/A,FALSE,"단가표지"}</definedName>
    <definedName name="_59EE1_" hidden="1">{#N/A,#N/A,FALSE,"단가표지"}</definedName>
    <definedName name="_6" localSheetId="12">#N/A</definedName>
    <definedName name="_60">#N/A</definedName>
    <definedName name="_61">#N/A</definedName>
    <definedName name="_62">#N/A</definedName>
    <definedName name="_63">#N/A</definedName>
    <definedName name="_64">#N/A</definedName>
    <definedName name="_65">#N/A</definedName>
    <definedName name="_65P3_" localSheetId="12" hidden="1">{#N/A,#N/A,FALSE,"배수1"}</definedName>
    <definedName name="_65P3_" hidden="1">{#N/A,#N/A,FALSE,"배수1"}</definedName>
    <definedName name="_66">#N/A</definedName>
    <definedName name="_67">#N/A</definedName>
    <definedName name="_67P4_" localSheetId="12" hidden="1">{#N/A,#N/A,FALSE,"혼합골재"}</definedName>
    <definedName name="_67P4_" hidden="1">{#N/A,#N/A,FALSE,"혼합골재"}</definedName>
    <definedName name="_68">#N/A</definedName>
    <definedName name="_69">#N/A</definedName>
    <definedName name="_69P5_" localSheetId="12" hidden="1">{#N/A,#N/A,FALSE,"배수1"}</definedName>
    <definedName name="_69P5_" hidden="1">{#N/A,#N/A,FALSE,"배수1"}</definedName>
    <definedName name="_6fg34444_" localSheetId="6">BlankMacro1</definedName>
    <definedName name="_6fg34444_">BlankMacro1</definedName>
    <definedName name="_7">#N/A</definedName>
    <definedName name="_70">#N/A</definedName>
    <definedName name="_71">#N/A</definedName>
    <definedName name="_71P6_" localSheetId="12" hidden="1">{#N/A,#N/A,FALSE,"2~8번"}</definedName>
    <definedName name="_71P6_" hidden="1">{#N/A,#N/A,FALSE,"2~8번"}</definedName>
    <definedName name="_72">#N/A</definedName>
    <definedName name="_73">#N/A</definedName>
    <definedName name="_74">#N/A</definedName>
    <definedName name="_75">#N/A</definedName>
    <definedName name="_76">#N/A</definedName>
    <definedName name="_77">#N/A</definedName>
    <definedName name="_78">#N/A</definedName>
    <definedName name="_79">#N/A</definedName>
    <definedName name="_8">#N/A</definedName>
    <definedName name="_80">#N/A</definedName>
    <definedName name="_81">#N/A</definedName>
    <definedName name="_82">#N/A</definedName>
    <definedName name="_83">#N/A</definedName>
    <definedName name="_84">#N/A</definedName>
    <definedName name="_85">#N/A</definedName>
    <definedName name="_86">#N/A</definedName>
    <definedName name="_87">#N/A</definedName>
    <definedName name="_87S3_" localSheetId="12" hidden="1">{#N/A,#N/A,FALSE,"포장2"}</definedName>
    <definedName name="_87S3_" hidden="1">{#N/A,#N/A,FALSE,"포장2"}</definedName>
    <definedName name="_88">#N/A</definedName>
    <definedName name="_89">#N/A</definedName>
    <definedName name="_9" localSheetId="12">#N/A</definedName>
    <definedName name="_90">#N/A</definedName>
    <definedName name="_91">#N/A</definedName>
    <definedName name="_92">#N/A</definedName>
    <definedName name="_93">#N/A</definedName>
    <definedName name="_94">#N/A</definedName>
    <definedName name="_95">#N/A</definedName>
    <definedName name="_96">#N/A</definedName>
    <definedName name="_97">#N/A</definedName>
    <definedName name="_98">#N/A</definedName>
    <definedName name="_99">#N/A</definedName>
    <definedName name="_EE1" localSheetId="12" hidden="1">{#N/A,#N/A,FALSE,"단가표지"}</definedName>
    <definedName name="_EE1" hidden="1">{#N/A,#N/A,FALSE,"단가표지"}</definedName>
    <definedName name="_fg34444" localSheetId="12">BlankMacro1</definedName>
    <definedName name="_fg34444" localSheetId="6">BlankMacro1</definedName>
    <definedName name="_fg34444">BlankMacro1</definedName>
    <definedName name="_JHY1" localSheetId="12">'4월 신분증 및 통장사본'!_JHY1</definedName>
    <definedName name="_JHY2" localSheetId="12">'4월 신분증 및 통장사본'!_JHY2</definedName>
    <definedName name="_LKS1" localSheetId="12">'4월 신분증 및 통장사본'!_LKS1</definedName>
    <definedName name="_LKS2" localSheetId="12">'4월 신분증 및 통장사본'!_LKS2</definedName>
    <definedName name="_NEW1">#N/A</definedName>
    <definedName name="_NEW2">#N/A</definedName>
    <definedName name="_NEW3">#N/A</definedName>
    <definedName name="_NEW5">#N/A</definedName>
    <definedName name="_Order1" localSheetId="12" hidden="1">255</definedName>
    <definedName name="_Order1" localSheetId="11" hidden="1">0</definedName>
    <definedName name="_Order1" hidden="1">255</definedName>
    <definedName name="_Order2" hidden="1">255</definedName>
    <definedName name="_QQ1" localSheetId="12" hidden="1">{#N/A,#N/A,FALSE,"단가표지"}</definedName>
    <definedName name="_QQ1" hidden="1">{#N/A,#N/A,FALSE,"단가표지"}</definedName>
    <definedName name="_QW1" localSheetId="12" hidden="1">{#N/A,#N/A,FALSE,"단가표지"}</definedName>
    <definedName name="_QW1" hidden="1">{#N/A,#N/A,FALSE,"단가표지"}</definedName>
    <definedName name="_Regression_Int" hidden="1">1</definedName>
    <definedName name="_S3" localSheetId="12" hidden="1">{#N/A,#N/A,FALSE,"포장2"}</definedName>
    <definedName name="_S3" hidden="1">{#N/A,#N/A,FALSE,"포장2"}</definedName>
    <definedName name="_ST1" localSheetId="12">#N/A</definedName>
    <definedName name="_wm2" hidden="1">{#N/A,#N/A,FALSE,"전력간선"}</definedName>
    <definedName name="\0" localSheetId="12">#N/A</definedName>
    <definedName name="\c" localSheetId="12">#N/A</definedName>
    <definedName name="\c">#N/A</definedName>
    <definedName name="\d" localSheetId="12">#N/A</definedName>
    <definedName name="\f" localSheetId="12">#N/A</definedName>
    <definedName name="\h" localSheetId="12">#N/A</definedName>
    <definedName name="\h" localSheetId="11">#N/A</definedName>
    <definedName name="\i" localSheetId="12">#N/A</definedName>
    <definedName name="\i" localSheetId="11">#N/A</definedName>
    <definedName name="\j" localSheetId="12">#N/A</definedName>
    <definedName name="\j" localSheetId="11">#N/A</definedName>
    <definedName name="\k" localSheetId="12">#N/A</definedName>
    <definedName name="\m" localSheetId="12">#N/A</definedName>
    <definedName name="\n">#N/A</definedName>
    <definedName name="\o">#N/A</definedName>
    <definedName name="\q" localSheetId="12">#N/A</definedName>
    <definedName name="\q" localSheetId="11">#N/A</definedName>
    <definedName name="\r" localSheetId="12">#N/A</definedName>
    <definedName name="\r">#N/A</definedName>
    <definedName name="\s" localSheetId="11">#N/A</definedName>
    <definedName name="\s" localSheetId="9">#N/A</definedName>
    <definedName name="\t" localSheetId="12">#N/A</definedName>
    <definedName name="\u">#N/A</definedName>
    <definedName name="\v" localSheetId="12">#N/A</definedName>
    <definedName name="\y">#N/A</definedName>
    <definedName name="A1..A2_">#N/A</definedName>
    <definedName name="A1..A200_">#N/A</definedName>
    <definedName name="A12..A13_">#N/A</definedName>
    <definedName name="A32Q" localSheetId="7" hidden="1">{#N/A,#N/A,FALSE,"표지목차"}</definedName>
    <definedName name="A32Q" localSheetId="4" hidden="1">{#N/A,#N/A,FALSE,"표지목차"}</definedName>
    <definedName name="A32Q" localSheetId="0" hidden="1">{#N/A,#N/A,FALSE,"표지목차"}</definedName>
    <definedName name="A32Q" hidden="1">{#N/A,#N/A,FALSE,"표지목차"}</definedName>
    <definedName name="aaa" localSheetId="12">#N/A</definedName>
    <definedName name="aaa" localSheetId="11">#N/A</definedName>
    <definedName name="aaaaa" localSheetId="12" hidden="1">{#N/A,#N/A,FALSE,"조골재"}</definedName>
    <definedName name="aaaaa" hidden="1">{#N/A,#N/A,FALSE,"조골재"}</definedName>
    <definedName name="aaaaaaaaaa" localSheetId="12" hidden="1">{#N/A,#N/A,FALSE,"운반시간"}</definedName>
    <definedName name="aaaaaaaaaa" hidden="1">{#N/A,#N/A,FALSE,"운반시간"}</definedName>
    <definedName name="abcde" localSheetId="12">BlankMacro1</definedName>
    <definedName name="abcde" localSheetId="6">BlankMacro1</definedName>
    <definedName name="abcde">BlankMacro1</definedName>
    <definedName name="abd" localSheetId="12" hidden="1">{#N/A,#N/A,FALSE,"골재소요량";#N/A,#N/A,FALSE,"골재소요량"}</definedName>
    <definedName name="abd" hidden="1">{#N/A,#N/A,FALSE,"골재소요량";#N/A,#N/A,FALSE,"골재소요량"}</definedName>
    <definedName name="Access_Button" hidden="1">"제당토적_제당토적_List"</definedName>
    <definedName name="AccessDatabase" localSheetId="12" hidden="1">"C:\My Documents\EXCEL\Insitu\내역서-금차분.mdb"</definedName>
    <definedName name="AccessDatabase" hidden="1">"C:\USER\NKD\제당토적.mdb"</definedName>
    <definedName name="adfdge" localSheetId="12" hidden="1">{#N/A,#N/A,FALSE,"2~8번"}</definedName>
    <definedName name="adfdge" hidden="1">{#N/A,#N/A,FALSE,"2~8번"}</definedName>
    <definedName name="adfvvv" localSheetId="12" hidden="1">{"'Firr(선)'!$AS$1:$AY$62","'Firr(사)'!$AS$1:$AY$62","'Firr(회)'!$AS$1:$AY$62","'Firr(선)'!$L$1:$V$62","'Firr(사)'!$L$1:$V$62","'Firr(회)'!$L$1:$V$62"}</definedName>
    <definedName name="adfvvv" hidden="1">{"'Firr(선)'!$AS$1:$AY$62","'Firr(사)'!$AS$1:$AY$62","'Firr(회)'!$AS$1:$AY$62","'Firr(선)'!$L$1:$V$62","'Firr(사)'!$L$1:$V$62","'Firr(회)'!$L$1:$V$62"}</definedName>
    <definedName name="aee" localSheetId="12">BlankMacro1</definedName>
    <definedName name="aee" localSheetId="11">BlankMacro1</definedName>
    <definedName name="aee" localSheetId="6">BlankMacro1</definedName>
    <definedName name="aee">BlankMacro1</definedName>
    <definedName name="AG" localSheetId="6">BlankMacro1</definedName>
    <definedName name="AG">BlankMacro1</definedName>
    <definedName name="ag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g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hh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hh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n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n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scount" hidden="1">1</definedName>
    <definedName name="AQZSD" localSheetId="12">BlankMacro1</definedName>
    <definedName name="AQZSD" localSheetId="6">BlankMacro1</definedName>
    <definedName name="AQZSD">BlankMacro1</definedName>
    <definedName name="arr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rr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sas" localSheetId="12">BlankMacro1</definedName>
    <definedName name="asas" localSheetId="6">BlankMacro1</definedName>
    <definedName name="asas">BlankMacro1</definedName>
    <definedName name="ASD" localSheetId="12">BlankMacro1</definedName>
    <definedName name="ASD" localSheetId="11">BlankMacro1</definedName>
    <definedName name="ASD" localSheetId="9">BlankMacro1</definedName>
    <definedName name="asda" localSheetId="12">BlankMacro1</definedName>
    <definedName name="asda" localSheetId="6">BlankMacro1</definedName>
    <definedName name="asda">BlankMacro1</definedName>
    <definedName name="asdasd" localSheetId="12">BlankMacro1</definedName>
    <definedName name="asdasd" localSheetId="6">BlankMacro1</definedName>
    <definedName name="asdasd">BlankMacro1</definedName>
    <definedName name="asddsfds" localSheetId="12">BlankMacro1</definedName>
    <definedName name="asddsfds" localSheetId="6">BlankMacro1</definedName>
    <definedName name="asddsfds">BlankMacro1</definedName>
    <definedName name="ASDFAD" localSheetId="12" hidden="1">{#N/A,#N/A,FALSE,"구조1"}</definedName>
    <definedName name="ASDFAD" hidden="1">{#N/A,#N/A,FALSE,"구조1"}</definedName>
    <definedName name="asdfasdf">#N/A</definedName>
    <definedName name="ASDFEW" localSheetId="12">BlankMacro1</definedName>
    <definedName name="ASDFEW" localSheetId="6">BlankMacro1</definedName>
    <definedName name="ASDFEW">BlankMacro1</definedName>
    <definedName name="asdfg" localSheetId="12">BlankMacro1</definedName>
    <definedName name="asdfg" localSheetId="11">BlankMacro1</definedName>
    <definedName name="asdfg" localSheetId="6">BlankMacro1</definedName>
    <definedName name="asdfg">BlankMacro1</definedName>
    <definedName name="ASDFWA" localSheetId="12">BlankMacro1</definedName>
    <definedName name="ASDFWA" localSheetId="6">BlankMacro1</definedName>
    <definedName name="ASDFWA">BlankMacro1</definedName>
    <definedName name="ASDSAFSD" localSheetId="12">BlankMacro1</definedName>
    <definedName name="ASDSAFSD" localSheetId="6">BlankMacro1</definedName>
    <definedName name="ASDSAFSD">BlankMacro1</definedName>
    <definedName name="asdw" localSheetId="12">BlankMacro1</definedName>
    <definedName name="asdw" localSheetId="6">BlankMacro1</definedName>
    <definedName name="asdw">BlankMacro1</definedName>
    <definedName name="ASFE" localSheetId="6">BlankMacro1</definedName>
    <definedName name="ASFE">BlankMacro1</definedName>
    <definedName name="ASFG" localSheetId="12">BlankMacro1</definedName>
    <definedName name="ASFG" localSheetId="11">BlankMacro1</definedName>
    <definedName name="ASFG" localSheetId="6">BlankMacro1</definedName>
    <definedName name="ASFG">BlankMacro1</definedName>
    <definedName name="asfwe" localSheetId="12" hidden="1">{"'Firr(선)'!$AS$1:$AY$62","'Firr(사)'!$AS$1:$AY$62","'Firr(회)'!$AS$1:$AY$62","'Firr(선)'!$L$1:$V$62","'Firr(사)'!$L$1:$V$62","'Firr(회)'!$L$1:$V$62"}</definedName>
    <definedName name="asfwe" hidden="1">{"'Firr(선)'!$AS$1:$AY$62","'Firr(사)'!$AS$1:$AY$62","'Firr(회)'!$AS$1:$AY$62","'Firr(선)'!$L$1:$V$62","'Firr(사)'!$L$1:$V$62","'Firr(회)'!$L$1:$V$62"}</definedName>
    <definedName name="ASX" localSheetId="12">BlankMacro1</definedName>
    <definedName name="ASX" localSheetId="11">BlankMacro1</definedName>
    <definedName name="ASX" localSheetId="6">BlankMacro1</definedName>
    <definedName name="ASX">BlankMacro1</definedName>
    <definedName name="avvv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W" localSheetId="12">BlankMacro1</definedName>
    <definedName name="AW" localSheetId="11">BlankMacro1</definedName>
    <definedName name="AW" localSheetId="6">BlankMacro1</definedName>
    <definedName name="AW">BlankMacro1</definedName>
    <definedName name="awer" localSheetId="12" hidden="1">{"'Firr(선)'!$AS$1:$AY$62","'Firr(사)'!$AS$1:$AY$62","'Firr(회)'!$AS$1:$AY$62","'Firr(선)'!$L$1:$V$62","'Firr(사)'!$L$1:$V$62","'Firr(회)'!$L$1:$V$62"}</definedName>
    <definedName name="awer" hidden="1">{"'Firr(선)'!$AS$1:$AY$62","'Firr(사)'!$AS$1:$AY$62","'Firr(회)'!$AS$1:$AY$62","'Firr(선)'!$L$1:$V$62","'Firr(사)'!$L$1:$V$62","'Firr(회)'!$L$1:$V$62"}</definedName>
    <definedName name="AX" localSheetId="12">BlankMacro1</definedName>
    <definedName name="AX" localSheetId="11">BlankMacro1</definedName>
    <definedName name="AX" localSheetId="6">BlankMacro1</definedName>
    <definedName name="AX">BlankMacro1</definedName>
    <definedName name="AZ" localSheetId="12">BlankMacro1</definedName>
    <definedName name="AZ" localSheetId="11">BlankMacro1</definedName>
    <definedName name="AZ" localSheetId="6">BlankMacro1</definedName>
    <definedName name="AZ">BlankMacro1</definedName>
    <definedName name="bbb" localSheetId="12" hidden="1">{#N/A,#N/A,FALSE,"속도"}</definedName>
    <definedName name="bbb" localSheetId="11" hidden="1">{#N/A,#N/A,FALSE,"속도"}</definedName>
    <definedName name="bbb" localSheetId="7" hidden="1">{#N/A,#N/A,FALSE,"속도"}</definedName>
    <definedName name="bbb" localSheetId="4" hidden="1">{#N/A,#N/A,FALSE,"속도"}</definedName>
    <definedName name="bbb" localSheetId="0" hidden="1">{#N/A,#N/A,FALSE,"속도"}</definedName>
    <definedName name="bbb" hidden="1">{#N/A,#N/A,FALSE,"속도"}</definedName>
    <definedName name="BBBBBBBBBB" localSheetId="12" hidden="1">{#N/A,#N/A,FALSE,"단면 제원"}</definedName>
    <definedName name="BBBBBBBBBB" hidden="1">{#N/A,#N/A,FALSE,"단면 제원"}</definedName>
    <definedName name="BDCODE" localSheetId="12">#N/A</definedName>
    <definedName name="BDCODE" localSheetId="11">#N/A</definedName>
    <definedName name="BDFTR" localSheetId="12">BlankMacro1</definedName>
    <definedName name="BDFTR" localSheetId="11">BlankMacro1</definedName>
    <definedName name="BDFTR" localSheetId="6">BlankMacro1</definedName>
    <definedName name="BDFTR">BlankMacro1</definedName>
    <definedName name="BE" localSheetId="12">BlankMacro1</definedName>
    <definedName name="BE" localSheetId="11">BlankMacro1</definedName>
    <definedName name="BE" localSheetId="6">BlankMacro1</definedName>
    <definedName name="BE">BlankMacro1</definedName>
    <definedName name="BG" localSheetId="12">BlankMacro1</definedName>
    <definedName name="BG" localSheetId="11">BlankMacro1</definedName>
    <definedName name="BG" localSheetId="6">BlankMacro1</definedName>
    <definedName name="BG">BlankMacro1</definedName>
    <definedName name="BH" localSheetId="12">BlankMacro1</definedName>
    <definedName name="BH" localSheetId="11">BlankMacro1</definedName>
    <definedName name="BH" localSheetId="6">BlankMacro1</definedName>
    <definedName name="BH">BlankMacro1</definedName>
    <definedName name="BHE" localSheetId="7" hidden="1">{#N/A,#N/A,FALSE,"조골재"}</definedName>
    <definedName name="BHE" localSheetId="4" hidden="1">{#N/A,#N/A,FALSE,"조골재"}</definedName>
    <definedName name="BHE" localSheetId="0" hidden="1">{#N/A,#N/A,FALSE,"조골재"}</definedName>
    <definedName name="BHE" hidden="1">{#N/A,#N/A,FALSE,"조골재"}</definedName>
    <definedName name="BM" localSheetId="6">BlankMacro1</definedName>
    <definedName name="BM">BlankMacro1</definedName>
    <definedName name="BN" localSheetId="12">BlankMacro1</definedName>
    <definedName name="BN" localSheetId="11">BlankMacro1</definedName>
    <definedName name="BN" localSheetId="6">BlankMacro1</definedName>
    <definedName name="BN">BlankMacro1</definedName>
    <definedName name="BND" localSheetId="12">BlankMacro1</definedName>
    <definedName name="BND" localSheetId="11">BlankMacro1</definedName>
    <definedName name="BND" localSheetId="6">BlankMacro1</definedName>
    <definedName name="BND">BlankMacro1</definedName>
    <definedName name="bnfghrt" localSheetId="12">BlankMacro1</definedName>
    <definedName name="bnfghrt" localSheetId="6">BlankMacro1</definedName>
    <definedName name="bnfghrt">BlankMacro1</definedName>
    <definedName name="BOX깨" localSheetId="7" hidden="1">{#N/A,#N/A,FALSE,"구조2"}</definedName>
    <definedName name="BOX깨" localSheetId="4" hidden="1">{#N/A,#N/A,FALSE,"구조2"}</definedName>
    <definedName name="BOX깨" localSheetId="0" hidden="1">{#N/A,#N/A,FALSE,"구조2"}</definedName>
    <definedName name="BOX깨" hidden="1">{#N/A,#N/A,FALSE,"구조2"}</definedName>
    <definedName name="BQ" localSheetId="12">BlankMacro1</definedName>
    <definedName name="BQ" localSheetId="11">BlankMacro1</definedName>
    <definedName name="BQ" localSheetId="6">BlankMacro1</definedName>
    <definedName name="BQ">BlankMacro1</definedName>
    <definedName name="BR" localSheetId="6">BlankMacro1</definedName>
    <definedName name="BR">BlankMacro1</definedName>
    <definedName name="BS" localSheetId="6">BlankMacro1</definedName>
    <definedName name="BS">BlankMacro1</definedName>
    <definedName name="BSB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BSB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BSX" localSheetId="12">BlankMacro1</definedName>
    <definedName name="BSX" localSheetId="11">BlankMacro1</definedName>
    <definedName name="BSX" localSheetId="6">BlankMacro1</definedName>
    <definedName name="BSX">BlankMacro1</definedName>
    <definedName name="BUI" localSheetId="12">BlankMacro1</definedName>
    <definedName name="BUI" localSheetId="11">BlankMacro1</definedName>
    <definedName name="BUI" localSheetId="6">BlankMacro1</definedName>
    <definedName name="BUI">BlankMacro1</definedName>
    <definedName name="BW" localSheetId="6">BlankMacro1</definedName>
    <definedName name="BW">BlankMacro1</definedName>
    <definedName name="BX" localSheetId="12">BlankMacro1</definedName>
    <definedName name="BX" localSheetId="11">BlankMacro1</definedName>
    <definedName name="BX" localSheetId="6">BlankMacro1</definedName>
    <definedName name="BX">BlankMacro1</definedName>
    <definedName name="BY" localSheetId="12">BlankMacro1</definedName>
    <definedName name="BY" localSheetId="11">BlankMacro1</definedName>
    <definedName name="BY" localSheetId="6">BlankMacro1</definedName>
    <definedName name="BY">BlankMacro1</definedName>
    <definedName name="C_">#N/A</definedName>
    <definedName name="CABLEMNO">#N/A</definedName>
    <definedName name="CABLENO">#N/A</definedName>
    <definedName name="CABLETYPE">#N/A</definedName>
    <definedName name="CALCU" localSheetId="12">'4월 신분증 및 통장사본'!CALCU</definedName>
    <definedName name="CALCUL" localSheetId="12">'4월 신분증 및 통장사본'!CALCUL</definedName>
    <definedName name="CALCULA" localSheetId="12">'4월 신분증 및 통장사본'!CALCULA</definedName>
    <definedName name="CALCULAT" localSheetId="12">'4월 신분증 및 통장사본'!CALCULAT</definedName>
    <definedName name="CALCULATI" localSheetId="12">'4월 신분증 및 통장사본'!CALCULATI</definedName>
    <definedName name="CALCULATION" localSheetId="12">'4월 신분증 및 통장사본'!CALCULATION</definedName>
    <definedName name="camberWork">#N/A</definedName>
    <definedName name="cbb" localSheetId="12">BlankMacro1</definedName>
    <definedName name="cbb" localSheetId="6">BlankMacro1</definedName>
    <definedName name="cbb">BlankMacro1</definedName>
    <definedName name="CBF" localSheetId="12">BlankMacro1</definedName>
    <definedName name="CBF" localSheetId="11">BlankMacro1</definedName>
    <definedName name="CBF" localSheetId="6">BlankMacro1</definedName>
    <definedName name="CBF">BlankMacro1</definedName>
    <definedName name="CCSB" localSheetId="12">BlankMacro1</definedName>
    <definedName name="CCSB" localSheetId="11">BlankMacro1</definedName>
    <definedName name="CCSB" localSheetId="6">BlankMacro1</definedName>
    <definedName name="CCSB">BlankMacro1</definedName>
    <definedName name="CF" localSheetId="12">BlankMacro1</definedName>
    <definedName name="CF" localSheetId="11">BlankMacro1</definedName>
    <definedName name="CF" localSheetId="6">BlankMacro1</definedName>
    <definedName name="CF">BlankMacro1</definedName>
    <definedName name="CFB" localSheetId="12">BlankMacro1</definedName>
    <definedName name="CFB" localSheetId="11">BlankMacro1</definedName>
    <definedName name="CFB" localSheetId="6">BlankMacro1</definedName>
    <definedName name="CFB">BlankMacro1</definedName>
    <definedName name="CHO" localSheetId="12">#N/A</definedName>
    <definedName name="CHO" localSheetId="11">#N/A</definedName>
    <definedName name="COMPANY">#N/A</definedName>
    <definedName name="CONC">#N/A</definedName>
    <definedName name="cvbdf" localSheetId="12">BlankMacro1</definedName>
    <definedName name="cvbdf" localSheetId="6">BlankMacro1</definedName>
    <definedName name="cvbdf">BlankMacro1</definedName>
    <definedName name="cvbrg" localSheetId="12">BlankMacro1</definedName>
    <definedName name="cvbrg" localSheetId="6">BlankMacro1</definedName>
    <definedName name="cvbrg">BlankMacro1</definedName>
    <definedName name="cxee" localSheetId="12" hidden="1">{"'Firr(선)'!$AS$1:$AY$62","'Firr(사)'!$AS$1:$AY$62","'Firr(회)'!$AS$1:$AY$62","'Firr(선)'!$L$1:$V$62","'Firr(사)'!$L$1:$V$62","'Firr(회)'!$L$1:$V$62"}</definedName>
    <definedName name="cxee" hidden="1">{"'Firr(선)'!$AS$1:$AY$62","'Firr(사)'!$AS$1:$AY$62","'Firr(회)'!$AS$1:$AY$62","'Firr(선)'!$L$1:$V$62","'Firr(사)'!$L$1:$V$62","'Firr(회)'!$L$1:$V$62"}</definedName>
    <definedName name="cxvdvc" localSheetId="12">BlankMacro1</definedName>
    <definedName name="cxvdvc" localSheetId="6">BlankMacro1</definedName>
    <definedName name="cxvdvc">BlankMacro1</definedName>
    <definedName name="cxvxcv" localSheetId="12">BlankMacro1</definedName>
    <definedName name="cxvxcv" localSheetId="6">BlankMacro1</definedName>
    <definedName name="cxvxcv">BlankMacro1</definedName>
    <definedName name="CXXV" localSheetId="12">BlankMacro1</definedName>
    <definedName name="CXXV" localSheetId="6">BlankMacro1</definedName>
    <definedName name="CXXV">BlankMacro1</definedName>
    <definedName name="czxcas" localSheetId="12">BlankMacro1</definedName>
    <definedName name="czxcas" localSheetId="6">BlankMacro1</definedName>
    <definedName name="czxcas">BlankMacro1</definedName>
    <definedName name="DAN_S">#N/A</definedName>
    <definedName name="dasf" localSheetId="12" hidden="1">{#N/A,#N/A,FALSE,"구조2"}</definedName>
    <definedName name="dasf" hidden="1">{#N/A,#N/A,FALSE,"구조2"}</definedName>
    <definedName name="DATA" localSheetId="12">#N/A</definedName>
    <definedName name="DAY">#N/A</definedName>
    <definedName name="DBBTY" localSheetId="7" hidden="1">{#N/A,#N/A,FALSE,"혼합골재"}</definedName>
    <definedName name="DBBTY" localSheetId="4" hidden="1">{#N/A,#N/A,FALSE,"혼합골재"}</definedName>
    <definedName name="DBBTY" localSheetId="0" hidden="1">{#N/A,#N/A,FALSE,"혼합골재"}</definedName>
    <definedName name="DBBTY" hidden="1">{#N/A,#N/A,FALSE,"혼합골재"}</definedName>
    <definedName name="DDDDA" localSheetId="12">BlankMacro1</definedName>
    <definedName name="DDDDA" localSheetId="6">BlankMacro1</definedName>
    <definedName name="DDDDA">BlankMacro1</definedName>
    <definedName name="DDDDD" localSheetId="12">BlankMacro1</definedName>
    <definedName name="DDDDD" localSheetId="6">BlankMacro1</definedName>
    <definedName name="DDDDD">BlankMacro1</definedName>
    <definedName name="dddddd" localSheetId="12" hidden="1">{#N/A,#N/A,FALSE,"이정표"}</definedName>
    <definedName name="dddddd" localSheetId="11" hidden="1">{#N/A,#N/A,FALSE,"이정표"}</definedName>
    <definedName name="dddddd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ddddd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DDDDDDDDD" localSheetId="7" hidden="1">{#N/A,#N/A,FALSE,"포장단가"}</definedName>
    <definedName name="DDDDDDDDDD" localSheetId="4" hidden="1">{#N/A,#N/A,FALSE,"포장단가"}</definedName>
    <definedName name="DDDDDDDDDD" localSheetId="0" hidden="1">{#N/A,#N/A,FALSE,"포장단가"}</definedName>
    <definedName name="DDDDDDDDDD" hidden="1">{#N/A,#N/A,FALSE,"포장단가"}</definedName>
    <definedName name="DDDDDDDDDDDDDDD" localSheetId="12">BlankMacro1</definedName>
    <definedName name="DDDDDDDDDDDDDDD" localSheetId="6">BlankMacro1</definedName>
    <definedName name="DDDDDDDDDDDDDDD">BlankMacro1</definedName>
    <definedName name="DDS" localSheetId="12">BlankMacro1</definedName>
    <definedName name="DDS" localSheetId="6">BlankMacro1</definedName>
    <definedName name="DDS">BlankMacro1</definedName>
    <definedName name="DDW" localSheetId="12">BlankMacro1</definedName>
    <definedName name="DDW" localSheetId="6">BlankMacro1</definedName>
    <definedName name="DDW">BlankMacro1</definedName>
    <definedName name="DE" localSheetId="12">BlankMacro1</definedName>
    <definedName name="DE" localSheetId="11">BlankMacro1</definedName>
    <definedName name="DE" localSheetId="6">BlankMacro1</definedName>
    <definedName name="DE">BlankMacro1</definedName>
    <definedName name="derwr" localSheetId="12" hidden="1">{"'Firr(선)'!$AS$1:$AY$62","'Firr(사)'!$AS$1:$AY$62","'Firr(회)'!$AS$1:$AY$62","'Firr(선)'!$L$1:$V$62","'Firr(사)'!$L$1:$V$62","'Firr(회)'!$L$1:$V$62"}</definedName>
    <definedName name="derwr" hidden="1">{"'Firr(선)'!$AS$1:$AY$62","'Firr(사)'!$AS$1:$AY$62","'Firr(회)'!$AS$1:$AY$62","'Firr(선)'!$L$1:$V$62","'Firr(사)'!$L$1:$V$62","'Firr(회)'!$L$1:$V$62"}</definedName>
    <definedName name="DES" localSheetId="12">BlankMacro1</definedName>
    <definedName name="DES" localSheetId="11">BlankMacro1</definedName>
    <definedName name="DES" localSheetId="6">BlankMacro1</definedName>
    <definedName name="DES">BlankMacro1</definedName>
    <definedName name="DFASDF" localSheetId="12">BlankMacro1</definedName>
    <definedName name="DFASDF" localSheetId="11">BlankMacro1</definedName>
    <definedName name="DFASF" localSheetId="12">BlankMacro1</definedName>
    <definedName name="DFASF" localSheetId="6">BlankMacro1</definedName>
    <definedName name="DFASF">BlankMacro1</definedName>
    <definedName name="DFASFD" localSheetId="12" hidden="1">{#N/A,#N/A,FALSE,"골재소요량";#N/A,#N/A,FALSE,"골재소요량"}</definedName>
    <definedName name="DFASFD" hidden="1">{#N/A,#N/A,FALSE,"골재소요량";#N/A,#N/A,FALSE,"골재소요량"}</definedName>
    <definedName name="DFBGHE" localSheetId="7" hidden="1">{#N/A,#N/A,FALSE,"골재소요량";#N/A,#N/A,FALSE,"골재소요량"}</definedName>
    <definedName name="DFBGHE" localSheetId="4" hidden="1">{#N/A,#N/A,FALSE,"골재소요량";#N/A,#N/A,FALSE,"골재소요량"}</definedName>
    <definedName name="DFBGHE" localSheetId="0" hidden="1">{#N/A,#N/A,FALSE,"골재소요량";#N/A,#N/A,FALSE,"골재소요량"}</definedName>
    <definedName name="DFBGHE" hidden="1">{#N/A,#N/A,FALSE,"골재소요량";#N/A,#N/A,FALSE,"골재소요량"}</definedName>
    <definedName name="DFDASFGDASG" localSheetId="12" hidden="1">{#N/A,#N/A,FALSE,"단가표지"}</definedName>
    <definedName name="DFDASFGDASG" hidden="1">{#N/A,#N/A,FALSE,"단가표지"}</definedName>
    <definedName name="DFDF" localSheetId="12" hidden="1">{#N/A,#N/A,FALSE,"조골재"}</definedName>
    <definedName name="DFDF" hidden="1">{#N/A,#N/A,FALSE,"조골재"}</definedName>
    <definedName name="DFDFDF" localSheetId="12" hidden="1">{#N/A,#N/A,FALSE,"단가표지"}</definedName>
    <definedName name="DFDFDF" hidden="1">{#N/A,#N/A,FALSE,"단가표지"}</definedName>
    <definedName name="DFDSADFADSF" localSheetId="12" hidden="1">{#N/A,#N/A,FALSE,"2~8번"}</definedName>
    <definedName name="DFDSADFADSF" hidden="1">{#N/A,#N/A,FALSE,"2~8번"}</definedName>
    <definedName name="DFDSAFDFD" localSheetId="12" hidden="1">{#N/A,#N/A,FALSE,"부대1"}</definedName>
    <definedName name="DFDSAFDFD" hidden="1">{#N/A,#N/A,FALSE,"부대1"}</definedName>
    <definedName name="DFDSAFSFG" localSheetId="12" hidden="1">{#N/A,#N/A,FALSE,"구조2"}</definedName>
    <definedName name="DFDSAFSFG" hidden="1">{#N/A,#N/A,FALSE,"구조2"}</definedName>
    <definedName name="DFDSAGFDSAG" localSheetId="12" hidden="1">{#N/A,#N/A,FALSE,"혼합골재"}</definedName>
    <definedName name="DFDSAGFDSAG" hidden="1">{#N/A,#N/A,FALSE,"혼합골재"}</definedName>
    <definedName name="dfdsf" localSheetId="12" hidden="1">{#N/A,#N/A,FALSE,"단면 제원"}</definedName>
    <definedName name="dfdsf" hidden="1">{#N/A,#N/A,FALSE,"단면 제원"}</definedName>
    <definedName name="DFDSFD" localSheetId="12" hidden="1">{#N/A,#N/A,FALSE,"속도"}</definedName>
    <definedName name="DFDSFD" hidden="1">{#N/A,#N/A,FALSE,"속도"}</definedName>
    <definedName name="DFDSFDFDFD" localSheetId="12" hidden="1">{#N/A,#N/A,FALSE,"구조1"}</definedName>
    <definedName name="DFDSFDFDFD" hidden="1">{#N/A,#N/A,FALSE,"구조1"}</definedName>
    <definedName name="DFDSFDS" localSheetId="12" hidden="1">{#N/A,#N/A,FALSE,"부대2"}</definedName>
    <definedName name="DFDSFDS" hidden="1">{#N/A,#N/A,FALSE,"부대2"}</definedName>
    <definedName name="dfdsgfhgfh" localSheetId="12">BlankMacro1</definedName>
    <definedName name="dfdsgfhgfh" localSheetId="6">BlankMacro1</definedName>
    <definedName name="dfdsgfhgfh">BlankMacro1</definedName>
    <definedName name="DFDSSF" localSheetId="12" hidden="1">{#N/A,#N/A,FALSE,"이정표"}</definedName>
    <definedName name="DFDSSF" hidden="1">{#N/A,#N/A,FALSE,"이정표"}</definedName>
    <definedName name="dfesdfsdf" localSheetId="12">BlankMacro1</definedName>
    <definedName name="dfesdfsdf" localSheetId="6">BlankMacro1</definedName>
    <definedName name="dfesdfsdf">BlankMacro1</definedName>
    <definedName name="dff" localSheetId="12">BlankMacro1</definedName>
    <definedName name="dff" localSheetId="6">BlankMacro1</definedName>
    <definedName name="dff">BlankMacro1</definedName>
    <definedName name="DFG" localSheetId="12">BlankMacro1</definedName>
    <definedName name="DFG" localSheetId="6">BlankMacro1</definedName>
    <definedName name="DFG">BlankMacro1</definedName>
    <definedName name="DFGADSGAFDG" localSheetId="12" hidden="1">{#N/A,#N/A,FALSE,"운반시간"}</definedName>
    <definedName name="DFGADSGAFDG" hidden="1">{#N/A,#N/A,FALSE,"운반시간"}</definedName>
    <definedName name="dfgdfgdfg" localSheetId="12">BlankMacro1</definedName>
    <definedName name="dfgdfgdfg" localSheetId="6">BlankMacro1</definedName>
    <definedName name="dfgdfgdfg">BlankMacro1</definedName>
    <definedName name="dfgdsfgdfg" localSheetId="12">BlankMacro1</definedName>
    <definedName name="dfgdsfgdfg" localSheetId="6">BlankMacro1</definedName>
    <definedName name="dfgdsfgdfg">BlankMacro1</definedName>
    <definedName name="DFGERGREG" localSheetId="12">BlankMacro1</definedName>
    <definedName name="DFGERGREG" localSheetId="6">BlankMacro1</definedName>
    <definedName name="DFGERGREG">BlankMacro1</definedName>
    <definedName name="DFGGDF" localSheetId="12">BlankMacro1</definedName>
    <definedName name="DFGGDF" localSheetId="6">BlankMacro1</definedName>
    <definedName name="DFGGDF">BlankMacro1</definedName>
    <definedName name="dfggh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fggh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fghr" localSheetId="12">BlankMacro1</definedName>
    <definedName name="dfghr" localSheetId="6">BlankMacro1</definedName>
    <definedName name="dfghr">BlankMacro1</definedName>
    <definedName name="DFGSD" localSheetId="12">BlankMacro1</definedName>
    <definedName name="DFGSD" localSheetId="6">BlankMacro1</definedName>
    <definedName name="DFGSD">BlankMacro1</definedName>
    <definedName name="DFGWEAG" localSheetId="12">BlankMacro1</definedName>
    <definedName name="DFGWEAG" localSheetId="6">BlankMacro1</definedName>
    <definedName name="DFGWEAG">BlankMacro1</definedName>
    <definedName name="dfjkklsf" localSheetId="12">BlankMacro1</definedName>
    <definedName name="dfjkklsf" localSheetId="6">BlankMacro1</definedName>
    <definedName name="dfjkklsf">BlankMacro1</definedName>
    <definedName name="dfsdf" localSheetId="12">BlankMacro1</definedName>
    <definedName name="dfsdf" localSheetId="6">BlankMacro1</definedName>
    <definedName name="dfsdf">BlankMacro1</definedName>
    <definedName name="dfwer" localSheetId="12" hidden="1">{"'Firr(선)'!$AS$1:$AY$62","'Firr(사)'!$AS$1:$AY$62","'Firr(회)'!$AS$1:$AY$62","'Firr(선)'!$L$1:$V$62","'Firr(사)'!$L$1:$V$62","'Firr(회)'!$L$1:$V$62"}</definedName>
    <definedName name="dfwer" hidden="1">{"'Firr(선)'!$AS$1:$AY$62","'Firr(사)'!$AS$1:$AY$62","'Firr(회)'!$AS$1:$AY$62","'Firr(선)'!$L$1:$V$62","'Firr(사)'!$L$1:$V$62","'Firr(회)'!$L$1:$V$62"}</definedName>
    <definedName name="dg" localSheetId="12">BlankMacro1</definedName>
    <definedName name="dg" localSheetId="11">BlankMacro1</definedName>
    <definedName name="dg" localSheetId="6">BlankMacro1</definedName>
    <definedName name="dg">BlankMacro1</definedName>
    <definedName name="dgasg" localSheetId="12" hidden="1">{#N/A,#N/A,FALSE,"조골재"}</definedName>
    <definedName name="dgasg" hidden="1">{#N/A,#N/A,FALSE,"조골재"}</definedName>
    <definedName name="DGBGHY" localSheetId="7" hidden="1">{#N/A,#N/A,FALSE,"단가표지"}</definedName>
    <definedName name="DGBGHY" localSheetId="4" hidden="1">{#N/A,#N/A,FALSE,"단가표지"}</definedName>
    <definedName name="DGBGHY" localSheetId="0" hidden="1">{#N/A,#N/A,FALSE,"단가표지"}</definedName>
    <definedName name="DGBGHY" hidden="1">{#N/A,#N/A,FALSE,"단가표지"}</definedName>
    <definedName name="DGF" localSheetId="12">BlankMacro1</definedName>
    <definedName name="DGF" localSheetId="11">BlankMacro1</definedName>
    <definedName name="DGF" localSheetId="6">BlankMacro1</definedName>
    <definedName name="DGF">BlankMacro1</definedName>
    <definedName name="DGG" localSheetId="12">BlankMacro1</definedName>
    <definedName name="DGG" localSheetId="11">BlankMacro1</definedName>
    <definedName name="DGG" localSheetId="6">BlankMacro1</definedName>
    <definedName name="DGG">BlankMacro1</definedName>
    <definedName name="dhsj">#N/A</definedName>
    <definedName name="DKD" localSheetId="12">BlankMacro1</definedName>
    <definedName name="DKD" localSheetId="6">BlankMacro1</definedName>
    <definedName name="DKD">BlankMacro1</definedName>
    <definedName name="dkdkdkdkd" localSheetId="12" hidden="1">{#N/A,#N/A,FALSE,"명세표"}</definedName>
    <definedName name="dkdkdkdkd" hidden="1">{#N/A,#N/A,FALSE,"명세표"}</definedName>
    <definedName name="DKE" localSheetId="12">BlankMacro1</definedName>
    <definedName name="DKE" localSheetId="6">BlankMacro1</definedName>
    <definedName name="DKE">BlankMacro1</definedName>
    <definedName name="DKFK">#N/A</definedName>
    <definedName name="DKJFL" localSheetId="12">BlankMacro1</definedName>
    <definedName name="DKJFL" localSheetId="6">BlankMacro1</definedName>
    <definedName name="DKJFL">BlankMacro1</definedName>
    <definedName name="dljsaldjfl">#N/A</definedName>
    <definedName name="Document_array" localSheetId="12">{"Book1","부대-(표지판,데리,가드).xls","부대-(낙,차,중분대).xls"}</definedName>
    <definedName name="Document_array">{"Book1","부대-(표지판,데리,가드).xls","부대-(낙,차,중분대).xls"}</definedName>
    <definedName name="dsa" localSheetId="12">BlankMacro1</definedName>
    <definedName name="dsa" localSheetId="6">BlankMacro1</definedName>
    <definedName name="dsa">BlankMacro1</definedName>
    <definedName name="dsaf" localSheetId="12" hidden="1">{#N/A,#N/A,FALSE,"조골재"}</definedName>
    <definedName name="dsaf" hidden="1">{#N/A,#N/A,FALSE,"조골재"}</definedName>
    <definedName name="DSDFSDFSDF">#N/A</definedName>
    <definedName name="DSF" localSheetId="12">BlankMacro1</definedName>
    <definedName name="DSF" localSheetId="6">BlankMacro1</definedName>
    <definedName name="DSF">BlankMacro1</definedName>
    <definedName name="dsfaa" localSheetId="12">BlankMacro1</definedName>
    <definedName name="dsfaa" localSheetId="6">BlankMacro1</definedName>
    <definedName name="dsfaa">BlankMacro1</definedName>
    <definedName name="DSFAESF" localSheetId="12">BlankMacro1</definedName>
    <definedName name="DSFAESF" localSheetId="6">BlankMacro1</definedName>
    <definedName name="DSFAESF">BlankMacro1</definedName>
    <definedName name="dsfasddsf" localSheetId="12">BlankMacro1</definedName>
    <definedName name="dsfasddsf" localSheetId="6">BlankMacro1</definedName>
    <definedName name="dsfasddsf">BlankMacro1</definedName>
    <definedName name="dsfds" localSheetId="12">BlankMacro1</definedName>
    <definedName name="dsfds" localSheetId="6">BlankMacro1</definedName>
    <definedName name="dsfds">BlankMacro1</definedName>
    <definedName name="dsfew" localSheetId="12">BlankMacro1</definedName>
    <definedName name="dsfew" localSheetId="6">BlankMacro1</definedName>
    <definedName name="dsfew">BlankMacro1</definedName>
    <definedName name="dsfsdf" localSheetId="12">BlankMacro1</definedName>
    <definedName name="dsfsdf" localSheetId="6">BlankMacro1</definedName>
    <definedName name="dsfsdf">BlankMacro1</definedName>
    <definedName name="dsfwsdf" localSheetId="12">BlankMacro1</definedName>
    <definedName name="dsfwsdf" localSheetId="6">BlankMacro1</definedName>
    <definedName name="dsfwsdf">BlankMacro1</definedName>
    <definedName name="dsg" localSheetId="12">BlankMacro1</definedName>
    <definedName name="dsg" localSheetId="11">BlankMacro1</definedName>
    <definedName name="dsg" localSheetId="6">BlankMacro1</definedName>
    <definedName name="dsg">BlankMacro1</definedName>
    <definedName name="DSSDS" localSheetId="12" hidden="1">{#N/A,#N/A,FALSE,"명세표"}</definedName>
    <definedName name="DSSDS" hidden="1">{#N/A,#N/A,FALSE,"명세표"}</definedName>
    <definedName name="DVR" localSheetId="7" hidden="1">{#N/A,#N/A,FALSE,"단가표지"}</definedName>
    <definedName name="DVR" localSheetId="4" hidden="1">{#N/A,#N/A,FALSE,"단가표지"}</definedName>
    <definedName name="DVR" localSheetId="0" hidden="1">{#N/A,#N/A,FALSE,"단가표지"}</definedName>
    <definedName name="DVR" hidden="1">{#N/A,#N/A,FALSE,"단가표지"}</definedName>
    <definedName name="DVZGZZT" localSheetId="7" hidden="1">{#N/A,#N/A,FALSE,"2~8번"}</definedName>
    <definedName name="DVZGZZT" localSheetId="4" hidden="1">{#N/A,#N/A,FALSE,"2~8번"}</definedName>
    <definedName name="DVZGZZT" localSheetId="0" hidden="1">{#N/A,#N/A,FALSE,"2~8번"}</definedName>
    <definedName name="DVZGZZT" hidden="1">{#N/A,#N/A,FALSE,"2~8번"}</definedName>
    <definedName name="DW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W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WS" localSheetId="12">BlankMacro1</definedName>
    <definedName name="DWS" localSheetId="6">BlankMacro1</definedName>
    <definedName name="DWS">BlankMacro1</definedName>
    <definedName name="DX" localSheetId="12">BlankMacro1</definedName>
    <definedName name="DX" localSheetId="11">BlankMacro1</definedName>
    <definedName name="DX" localSheetId="6">BlankMacro1</definedName>
    <definedName name="DX">BlankMacro1</definedName>
    <definedName name="DXZ" localSheetId="12">BlankMacro1</definedName>
    <definedName name="DXZ" localSheetId="11">BlankMacro1</definedName>
    <definedName name="DXZ" localSheetId="6">BlankMacro1</definedName>
    <definedName name="DXZ">BlankMacro1</definedName>
    <definedName name="DZ" localSheetId="12">BlankMacro1</definedName>
    <definedName name="DZ" localSheetId="11">BlankMacro1</definedName>
    <definedName name="DZ" localSheetId="6">BlankMacro1</definedName>
    <definedName name="DZ">BlankMacro1</definedName>
    <definedName name="ED" localSheetId="6">BlankMacro1</definedName>
    <definedName name="ED">BlankMacro1</definedName>
    <definedName name="ee" localSheetId="12" hidden="1">{#N/A,#N/A,FALSE,"단가표지"}</definedName>
    <definedName name="ee" localSheetId="11" hidden="1">{#N/A,#N/A,FALSE,"단가표지"}</definedName>
    <definedName name="EE" localSheetId="6">BlankMacro1</definedName>
    <definedName name="EE">BlankMacro1</definedName>
    <definedName name="eee" localSheetId="7" hidden="1">{#N/A,#N/A,FALSE,"2~8번"}</definedName>
    <definedName name="eee" localSheetId="9" hidden="1">{#N/A,#N/A,FALSE,"2~8번"}</definedName>
    <definedName name="eee" localSheetId="4" hidden="1">{#N/A,#N/A,FALSE,"2~8번"}</definedName>
    <definedName name="eee" localSheetId="0" hidden="1">{#N/A,#N/A,FALSE,"2~8번"}</definedName>
    <definedName name="eee" hidden="1">{#N/A,#N/A,FALSE,"2~8번"}</definedName>
    <definedName name="eee.송운" localSheetId="12" hidden="1">{#N/A,#N/A,FALSE,"운반시간"}</definedName>
    <definedName name="eee.송운" hidden="1">{#N/A,#N/A,FALSE,"운반시간"}</definedName>
    <definedName name="eeee2q" localSheetId="12">BlankMacro1</definedName>
    <definedName name="eeee2q" localSheetId="11">BlankMacro1</definedName>
    <definedName name="eeee2q" localSheetId="6">BlankMacro1</definedName>
    <definedName name="eeee2q">BlankMacro1</definedName>
    <definedName name="EEETG" localSheetId="12">BlankMacro1</definedName>
    <definedName name="EEETG" localSheetId="11">BlankMacro1</definedName>
    <definedName name="EEETG" localSheetId="6">BlankMacro1</definedName>
    <definedName name="EEETG">BlankMacro1</definedName>
    <definedName name="efd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efd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EKDKDKFO" localSheetId="12" hidden="1">{#N/A,#N/A,FALSE,"단면 제원"}</definedName>
    <definedName name="EKDKDKFO" hidden="1">{#N/A,#N/A,FALSE,"단면 제원"}</definedName>
    <definedName name="ENCOST">#N/A</definedName>
    <definedName name="ERBRE" localSheetId="12">BlankMacro1</definedName>
    <definedName name="ERBRE" localSheetId="6">BlankMacro1</definedName>
    <definedName name="ERBRE">BlankMacro1</definedName>
    <definedName name="ERBSTDT" localSheetId="7" hidden="1">{#N/A,#N/A,FALSE,"운반시간"}</definedName>
    <definedName name="ERBSTDT" localSheetId="4" hidden="1">{#N/A,#N/A,FALSE,"운반시간"}</definedName>
    <definedName name="ERBSTDT" localSheetId="0" hidden="1">{#N/A,#N/A,FALSE,"운반시간"}</definedName>
    <definedName name="ERBSTDT" hidden="1">{#N/A,#N/A,FALSE,"운반시간"}</definedName>
    <definedName name="ERC" localSheetId="12">BlankMacro1</definedName>
    <definedName name="ERC" localSheetId="6">BlankMacro1</definedName>
    <definedName name="ERC">BlankMacro1</definedName>
    <definedName name="erewr" localSheetId="12">BlankMacro1</definedName>
    <definedName name="erewr" localSheetId="6">BlankMacro1</definedName>
    <definedName name="erewr">BlankMacro1</definedName>
    <definedName name="ERGBERGBES" localSheetId="12">BlankMacro1</definedName>
    <definedName name="ERGBERGBES" localSheetId="6">BlankMacro1</definedName>
    <definedName name="ERGBERGBES">BlankMacro1</definedName>
    <definedName name="ERRR" localSheetId="12">BlankMacro1</definedName>
    <definedName name="ERRR" localSheetId="11">BlankMacro1</definedName>
    <definedName name="ERRR" localSheetId="6">BlankMacro1</definedName>
    <definedName name="ERRR">BlankMacro1</definedName>
    <definedName name="ertertert" localSheetId="12">BlankMacro1</definedName>
    <definedName name="ertertert" localSheetId="6">BlankMacro1</definedName>
    <definedName name="ertertert">BlankMacro1</definedName>
    <definedName name="ERTGESDF" localSheetId="12">BlankMacro1</definedName>
    <definedName name="ERTGESDF" localSheetId="6">BlankMacro1</definedName>
    <definedName name="ERTGESDF">BlankMacro1</definedName>
    <definedName name="ERTGTSWR" localSheetId="12">BlankMacro1</definedName>
    <definedName name="ERTGTSWR" localSheetId="6">BlankMacro1</definedName>
    <definedName name="ERTGTSWR">BlankMacro1</definedName>
    <definedName name="ERTRT" localSheetId="7" hidden="1">{#N/A,#N/A,FALSE,"2~8번"}</definedName>
    <definedName name="ERTRT" localSheetId="4" hidden="1">{#N/A,#N/A,FALSE,"2~8번"}</definedName>
    <definedName name="ERTRT" localSheetId="0" hidden="1">{#N/A,#N/A,FALSE,"2~8번"}</definedName>
    <definedName name="ERTRT" hidden="1">{#N/A,#N/A,FALSE,"2~8번"}</definedName>
    <definedName name="esa" localSheetId="12">BlankMacro1</definedName>
    <definedName name="esa" localSheetId="11">BlankMacro1</definedName>
    <definedName name="ESA" localSheetId="6">BlankMacro1</definedName>
    <definedName name="ESA">BlankMacro1</definedName>
    <definedName name="ESTAWEREW" localSheetId="12">BlankMacro1</definedName>
    <definedName name="ESTAWEREW" localSheetId="6">BlankMacro1</definedName>
    <definedName name="ESTAWEREW">BlankMacro1</definedName>
    <definedName name="ET" localSheetId="12">BlankMacro1</definedName>
    <definedName name="ET" localSheetId="6">BlankMacro1</definedName>
    <definedName name="ET">BlankMacro1</definedName>
    <definedName name="EVST6" localSheetId="7" hidden="1">{#N/A,#N/A,FALSE,"단가표지"}</definedName>
    <definedName name="EVST6" localSheetId="4" hidden="1">{#N/A,#N/A,FALSE,"단가표지"}</definedName>
    <definedName name="EVST6" localSheetId="0" hidden="1">{#N/A,#N/A,FALSE,"단가표지"}</definedName>
    <definedName name="EVST6" hidden="1">{#N/A,#N/A,FALSE,"단가표지"}</definedName>
    <definedName name="EW" localSheetId="11">BlankMacro1</definedName>
    <definedName name="EW" localSheetId="6">BlankMacro1</definedName>
    <definedName name="EW">BlankMacro1</definedName>
    <definedName name="EWDGF" localSheetId="12">BlankMacro1</definedName>
    <definedName name="EWDGF" localSheetId="6">BlankMacro1</definedName>
    <definedName name="EWDGF">BlankMacro1</definedName>
    <definedName name="EWE" localSheetId="12">BlankMacro1</definedName>
    <definedName name="EWE" localSheetId="11">BlankMacro1</definedName>
    <definedName name="EWE" localSheetId="6">BlankMacro1</definedName>
    <definedName name="EWE">BlankMacro1</definedName>
    <definedName name="EWQ" localSheetId="12">BlankMacro1</definedName>
    <definedName name="EWQ" localSheetId="11">BlankMacro1</definedName>
    <definedName name="EWQ" localSheetId="6">BlankMacro1</definedName>
    <definedName name="EWQ">BlankMacro1</definedName>
    <definedName name="ewr" localSheetId="12">BlankMacro1</definedName>
    <definedName name="ewr" localSheetId="6">BlankMacro1</definedName>
    <definedName name="ewr">BlankMacro1</definedName>
    <definedName name="EWT" localSheetId="12">BlankMacro1</definedName>
    <definedName name="EWT" localSheetId="11">BlankMacro1</definedName>
    <definedName name="EWT" localSheetId="6">BlankMacro1</definedName>
    <definedName name="EWT">BlankMacro1</definedName>
    <definedName name="EWTERDGD" localSheetId="12">BlankMacro1</definedName>
    <definedName name="EWTERDGD" localSheetId="6">BlankMacro1</definedName>
    <definedName name="EWTERDGD">BlankMacro1</definedName>
    <definedName name="EWVAW" localSheetId="12">BlankMacro1</definedName>
    <definedName name="EWVAW" localSheetId="6">BlankMacro1</definedName>
    <definedName name="EWVAW">BlankMacro1</definedName>
    <definedName name="EXE">#N/A</definedName>
    <definedName name="F_CHASU">#N/A</definedName>
    <definedName name="F_CODE">#N/A</definedName>
    <definedName name="F_CST">#N/A</definedName>
    <definedName name="F_DCST">#N/A</definedName>
    <definedName name="F_DESC">#N/A</definedName>
    <definedName name="F_DEXPEN">#N/A</definedName>
    <definedName name="F_DLABOR">#N/A</definedName>
    <definedName name="F_EQ">#N/A</definedName>
    <definedName name="F_EQ0">#N/A</definedName>
    <definedName name="F_EXPEN">#N/A</definedName>
    <definedName name="F_FORM">#N/A</definedName>
    <definedName name="F_GUBUN">#N/A</definedName>
    <definedName name="F_INT1">#N/A</definedName>
    <definedName name="F_LA">#N/A</definedName>
    <definedName name="F_LA0">#N/A</definedName>
    <definedName name="F_LABOR">#N/A</definedName>
    <definedName name="F_LVL">#N/A</definedName>
    <definedName name="F_MA">#N/A</definedName>
    <definedName name="F_MA0">#N/A</definedName>
    <definedName name="F_MEMO">#N/A</definedName>
    <definedName name="F_NAME">#N/A</definedName>
    <definedName name="F_PAGE">#N/A</definedName>
    <definedName name="F_QVAL">#N/A</definedName>
    <definedName name="F_REMK">#N/A</definedName>
    <definedName name="F_SCST1">#N/A</definedName>
    <definedName name="F_SCST2">#N/A</definedName>
    <definedName name="F_SCST3">#N/A</definedName>
    <definedName name="F_SCST4">#N/A</definedName>
    <definedName name="F_SCST5">#N/A</definedName>
    <definedName name="F_SCST6">#N/A</definedName>
    <definedName name="F_SCST7">#N/A</definedName>
    <definedName name="F_SEQ">#N/A</definedName>
    <definedName name="F_SIZE">#N/A</definedName>
    <definedName name="F_SOS">#N/A</definedName>
    <definedName name="F_SU">#N/A</definedName>
    <definedName name="F_SUBTOT">#N/A</definedName>
    <definedName name="F_TQTY">#N/A</definedName>
    <definedName name="F_UNIT">#N/A</definedName>
    <definedName name="FBALJUC">#N/A</definedName>
    <definedName name="fd" localSheetId="12">BlankMacro1</definedName>
    <definedName name="fd" localSheetId="6">BlankMacro1</definedName>
    <definedName name="fd">BlankMacro1</definedName>
    <definedName name="FDBHRTDBGRE" localSheetId="12">BlankMacro1</definedName>
    <definedName name="FDBHRTDBGRE" localSheetId="6">BlankMacro1</definedName>
    <definedName name="FDBHRTDBGRE">BlankMacro1</definedName>
    <definedName name="FDBSERHGB" localSheetId="12">BlankMacro1</definedName>
    <definedName name="FDBSERHGB" localSheetId="6">BlankMacro1</definedName>
    <definedName name="FDBSERHGB">BlankMacro1</definedName>
    <definedName name="FDCOMP1">#N/A</definedName>
    <definedName name="FDCOMP2">#N/A</definedName>
    <definedName name="FDCOST">#N/A</definedName>
    <definedName name="fdcvas" localSheetId="12">BlankMacro1</definedName>
    <definedName name="fdcvas" localSheetId="6">BlankMacro1</definedName>
    <definedName name="fdcvas">BlankMacro1</definedName>
    <definedName name="fdfe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dfe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DG" localSheetId="12">BlankMacro1</definedName>
    <definedName name="FDG" localSheetId="6">BlankMacro1</definedName>
    <definedName name="FDG">BlankMacro1</definedName>
    <definedName name="FDGDFAGFD" localSheetId="12" hidden="1">{#N/A,#N/A,FALSE,"포장1";#N/A,#N/A,FALSE,"포장1"}</definedName>
    <definedName name="FDGDFAGFD" hidden="1">{#N/A,#N/A,FALSE,"포장1";#N/A,#N/A,FALSE,"포장1"}</definedName>
    <definedName name="fdgfdg" localSheetId="12" hidden="1">{#N/A,#N/A,FALSE,"2~8번"}</definedName>
    <definedName name="fdgfdg" hidden="1">{#N/A,#N/A,FALSE,"2~8번"}</definedName>
    <definedName name="fdgfgf" localSheetId="12" hidden="1">{#N/A,#N/A,FALSE,"운반시간"}</definedName>
    <definedName name="fdgfgf" hidden="1">{#N/A,#N/A,FALSE,"운반시간"}</definedName>
    <definedName name="fdght" localSheetId="12">BlankMacro1</definedName>
    <definedName name="fdght" localSheetId="6">BlankMacro1</definedName>
    <definedName name="fdght">BlankMacro1</definedName>
    <definedName name="fdgsfdg" localSheetId="12">BlankMacro1</definedName>
    <definedName name="fdgsfdg" localSheetId="6">BlankMacro1</definedName>
    <definedName name="fdgsfdg">BlankMacro1</definedName>
    <definedName name="fdsa" localSheetId="12">BlankMacro1</definedName>
    <definedName name="fdsa" localSheetId="11">BlankMacro1</definedName>
    <definedName name="fdsa" localSheetId="6">BlankMacro1</definedName>
    <definedName name="fdsa">BlankMacro1</definedName>
    <definedName name="FE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E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E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" localSheetId="12" hidden="1">{#N/A,#N/A,FALSE,"운반시간"}</definedName>
    <definedName name="ff" localSheetId="7" hidden="1">{#N/A,#N/A,FALSE,"2~8번"}</definedName>
    <definedName name="ff" localSheetId="4" hidden="1">{#N/A,#N/A,FALSE,"2~8번"}</definedName>
    <definedName name="ff" localSheetId="0" hidden="1">{#N/A,#N/A,FALSE,"2~8번"}</definedName>
    <definedName name="ff" hidden="1">{#N/A,#N/A,FALSE,"2~8번"}</definedName>
    <definedName name="fff" localSheetId="7" hidden="1">{#N/A,#N/A,FALSE,"조골재"}</definedName>
    <definedName name="fff" localSheetId="9" hidden="1">{#N/A,#N/A,FALSE,"조골재"}</definedName>
    <definedName name="fff" localSheetId="4" hidden="1">{#N/A,#N/A,FALSE,"조골재"}</definedName>
    <definedName name="fff" localSheetId="0" hidden="1">{#N/A,#N/A,FALSE,"조골재"}</definedName>
    <definedName name="fff" hidden="1">{#N/A,#N/A,FALSE,"조골재"}</definedName>
    <definedName name="fffffff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fffff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ffffffff" localSheetId="12" hidden="1">{#N/A,#N/A,FALSE,"골재소요량";#N/A,#N/A,FALSE,"골재소요량"}</definedName>
    <definedName name="ffffffffff" localSheetId="11" hidden="1">{#N/A,#N/A,FALSE,"골재소요량";#N/A,#N/A,FALSE,"골재소요량"}</definedName>
    <definedName name="ffffffffff" localSheetId="7" hidden="1">{#N/A,#N/A,FALSE,"골재소요량";#N/A,#N/A,FALSE,"골재소요량"}</definedName>
    <definedName name="ffffffffff" localSheetId="9" hidden="1">{#N/A,#N/A,FALSE,"골재소요량";#N/A,#N/A,FALSE,"골재소요량"}</definedName>
    <definedName name="ffffffffff" localSheetId="4" hidden="1">{#N/A,#N/A,FALSE,"골재소요량";#N/A,#N/A,FALSE,"골재소요량"}</definedName>
    <definedName name="ffffffffff" localSheetId="0" hidden="1">{#N/A,#N/A,FALSE,"골재소요량";#N/A,#N/A,FALSE,"골재소요량"}</definedName>
    <definedName name="ffffffffff" hidden="1">{#N/A,#N/A,FALSE,"골재소요량";#N/A,#N/A,FALSE,"골재소요량"}</definedName>
    <definedName name="FGDAG" localSheetId="12" hidden="1">{#N/A,#N/A,FALSE,"포장2"}</definedName>
    <definedName name="FGDAG" hidden="1">{#N/A,#N/A,FALSE,"포장2"}</definedName>
    <definedName name="FGDAGFG" localSheetId="12" hidden="1">{#N/A,#N/A,FALSE,"혼합골재"}</definedName>
    <definedName name="FGDAGFG" hidden="1">{#N/A,#N/A,FALSE,"혼합골재"}</definedName>
    <definedName name="FG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G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gfadgf" localSheetId="12" hidden="1">{#N/A,#N/A,FALSE,"혼합골재"}</definedName>
    <definedName name="fgfadgf" hidden="1">{#N/A,#N/A,FALSE,"혼합골재"}</definedName>
    <definedName name="FGFDG" localSheetId="12" hidden="1">{#N/A,#N/A,FALSE,"표지목차"}</definedName>
    <definedName name="FGFDG" hidden="1">{#N/A,#N/A,FALSE,"표지목차"}</definedName>
    <definedName name="fgfdgffff" localSheetId="12" hidden="1">{#N/A,#N/A,FALSE,"부대2"}</definedName>
    <definedName name="fgfdgffff" hidden="1">{#N/A,#N/A,FALSE,"부대2"}</definedName>
    <definedName name="fgfdsgdfg" localSheetId="12" hidden="1">{#N/A,#N/A,FALSE,"혼합골재"}</definedName>
    <definedName name="fgfdsgdfg" hidden="1">{#N/A,#N/A,FALSE,"혼합골재"}</definedName>
    <definedName name="FGG" localSheetId="12">BlankMacro1</definedName>
    <definedName name="FGG" localSheetId="11">BlankMacro1</definedName>
    <definedName name="FGG" localSheetId="6">BlankMacro1</definedName>
    <definedName name="FGG">BlankMacro1</definedName>
    <definedName name="fgh" localSheetId="12">BlankMacro1</definedName>
    <definedName name="fgh" localSheetId="6">BlankMacro1</definedName>
    <definedName name="fgh">BlankMacro1</definedName>
    <definedName name="fghfdagfd" localSheetId="12" hidden="1">{#N/A,#N/A,FALSE,"표지목차"}</definedName>
    <definedName name="fghfdagfd" hidden="1">{#N/A,#N/A,FALSE,"표지목차"}</definedName>
    <definedName name="fghfgh" localSheetId="12">BlankMacro1</definedName>
    <definedName name="fghfgh" localSheetId="6">BlankMacro1</definedName>
    <definedName name="fghfgh">BlankMacro1</definedName>
    <definedName name="fghfghfgh" localSheetId="12">BlankMacro1</definedName>
    <definedName name="fghfghfgh" localSheetId="6">BlankMacro1</definedName>
    <definedName name="fghfghfgh">BlankMacro1</definedName>
    <definedName name="fghghf" localSheetId="12">BlankMacro1</definedName>
    <definedName name="fghghf" localSheetId="6">BlankMacro1</definedName>
    <definedName name="fghghf">BlankMacro1</definedName>
    <definedName name="fghrt" localSheetId="12">BlankMacro1</definedName>
    <definedName name="fghrt" localSheetId="6">BlankMacro1</definedName>
    <definedName name="fghrt">BlankMacro1</definedName>
    <definedName name="FGNNAME">#N/A</definedName>
    <definedName name="fgsdfgf" localSheetId="12">BlankMacro1</definedName>
    <definedName name="fgsdfgf" localSheetId="6">BlankMacro1</definedName>
    <definedName name="fgsdfgf">BlankMacro1</definedName>
    <definedName name="fhddg" localSheetId="12" hidden="1">{#N/A,#N/A,FALSE,"부대1"}</definedName>
    <definedName name="fhddg" hidden="1">{#N/A,#N/A,FALSE,"부대1"}</definedName>
    <definedName name="FIPDATE">#N/A</definedName>
    <definedName name="FJCOST">#N/A</definedName>
    <definedName name="fkdl.flfd." localSheetId="12" hidden="1">{#N/A,#N/A,FALSE,"포장단가"}</definedName>
    <definedName name="fkdl.flfd." hidden="1">{#N/A,#N/A,FALSE,"포장단가"}</definedName>
    <definedName name="FNCOST">#N/A</definedName>
    <definedName name="FPRINO">#N/A</definedName>
    <definedName name="FROM">#N/A</definedName>
    <definedName name="FSCOST">#N/A</definedName>
    <definedName name="fsdf" localSheetId="7" hidden="1">{#N/A,#N/A,FALSE,"전력간선"}</definedName>
    <definedName name="fsdf" localSheetId="4" hidden="1">{#N/A,#N/A,FALSE,"전력간선"}</definedName>
    <definedName name="fsdf" localSheetId="0" hidden="1">{#N/A,#N/A,FALSE,"전력간선"}</definedName>
    <definedName name="fsdf" hidden="1">{#N/A,#N/A,FALSE,"전력간선"}</definedName>
    <definedName name="FSUYOCH">#N/A</definedName>
    <definedName name="FTAG">#N/A</definedName>
    <definedName name="fwer" localSheetId="12">BlankMacro1</definedName>
    <definedName name="fwer" localSheetId="11">BlankMacro1</definedName>
    <definedName name="fwer" localSheetId="6">BlankMacro1</definedName>
    <definedName name="fwer">BlankMacro1</definedName>
    <definedName name="FYCOST">#N/A</definedName>
    <definedName name="g" localSheetId="11">BlankMacro1</definedName>
    <definedName name="gbc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bc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bgbgbgb" localSheetId="12">'4월 신분증 및 통장사본'!gbgbgbgb</definedName>
    <definedName name="GEW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EW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DG" localSheetId="12">BlankMacro1</definedName>
    <definedName name="GFDG" localSheetId="6">BlankMacro1</definedName>
    <definedName name="GFDG">BlankMacro1</definedName>
    <definedName name="gfdhrt" localSheetId="12">BlankMacro1</definedName>
    <definedName name="gfdhrt" localSheetId="6">BlankMacro1</definedName>
    <definedName name="gfdhrt">BlankMacro1</definedName>
    <definedName name="GF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e" localSheetId="12">BlankMacro1</definedName>
    <definedName name="gfge" localSheetId="6">BlankMacro1</definedName>
    <definedName name="gfge">BlankMacro1</definedName>
    <definedName name="gfgf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f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FHGFHF" localSheetId="12" hidden="1">{#N/A,#N/A,FALSE,"토공2"}</definedName>
    <definedName name="GFGFHGFHF" hidden="1">{#N/A,#N/A,FALSE,"토공2"}</definedName>
    <definedName name="gfh" localSheetId="12">BlankMacro1</definedName>
    <definedName name="gfh" localSheetId="6">BlankMacro1</definedName>
    <definedName name="gfh">BlankMacro1</definedName>
    <definedName name="gfhgfh" localSheetId="12">BlankMacro1</definedName>
    <definedName name="gfhgfh" localSheetId="6">BlankMacro1</definedName>
    <definedName name="gfhgfh">BlankMacro1</definedName>
    <definedName name="gfhgh" localSheetId="12" hidden="1">{#N/A,#N/A,FALSE,"배수2"}</definedName>
    <definedName name="gfhgh" hidden="1">{#N/A,#N/A,FALSE,"배수2"}</definedName>
    <definedName name="gfhrthfgh" localSheetId="12">BlankMacro1</definedName>
    <definedName name="gfhrthfgh" localSheetId="6">BlankMacro1</definedName>
    <definedName name="gfhrthfgh">BlankMacro1</definedName>
    <definedName name="gg" localSheetId="12" hidden="1">{#N/A,#N/A,FALSE,"운반시간"}</definedName>
    <definedName name="ggfhgfshgh" localSheetId="12" hidden="1">{#N/A,#N/A,FALSE,"포장2"}</definedName>
    <definedName name="ggfhgfshgh" hidden="1">{#N/A,#N/A,FALSE,"포장2"}</definedName>
    <definedName name="ggggg" localSheetId="12" hidden="1">{#N/A,#N/A,FALSE,"구조1"}</definedName>
    <definedName name="ggggg" hidden="1">{#N/A,#N/A,FALSE,"구조1"}</definedName>
    <definedName name="ggh" localSheetId="12" hidden="1">{#N/A,#N/A,FALSE,"표지목차"}</definedName>
    <definedName name="ggh" localSheetId="11" hidden="1">{#N/A,#N/A,FALSE,"표지목차"}</definedName>
    <definedName name="ggh" localSheetId="7" hidden="1">{#N/A,#N/A,FALSE,"표지목차"}</definedName>
    <definedName name="ggh" localSheetId="9" hidden="1">{#N/A,#N/A,FALSE,"표지목차"}</definedName>
    <definedName name="ggh" localSheetId="4" hidden="1">{#N/A,#N/A,FALSE,"표지목차"}</definedName>
    <definedName name="ggh" localSheetId="0" hidden="1">{#N/A,#N/A,FALSE,"표지목차"}</definedName>
    <definedName name="ggh" hidden="1">{#N/A,#N/A,FALSE,"표지목차"}</definedName>
    <definedName name="GH" localSheetId="6">BlankMacro1</definedName>
    <definedName name="GH">BlankMacro1</definedName>
    <definedName name="ghbnb" localSheetId="12">BlankMacro1</definedName>
    <definedName name="ghbnb" localSheetId="6">BlankMacro1</definedName>
    <definedName name="ghbnb">BlankMacro1</definedName>
    <definedName name="GHE" localSheetId="6">BlankMacro1</definedName>
    <definedName name="GHE">BlankMacro1</definedName>
    <definedName name="ghgbgbg" localSheetId="12">'4월 신분증 및 통장사본'!ghgbgbg</definedName>
    <definedName name="ghgfh" localSheetId="12" hidden="1">{#N/A,#N/A,FALSE,"포장2"}</definedName>
    <definedName name="ghgfh" hidden="1">{#N/A,#N/A,FALSE,"포장2"}</definedName>
    <definedName name="ghhdfh" localSheetId="12">BlankMacro1</definedName>
    <definedName name="ghhdfh" localSheetId="6">BlankMacro1</definedName>
    <definedName name="ghhdfh">BlankMacro1</definedName>
    <definedName name="ghjhjg" localSheetId="12">BlankMacro1</definedName>
    <definedName name="ghjhjg" localSheetId="6">BlankMacro1</definedName>
    <definedName name="ghjhjg">BlankMacro1</definedName>
    <definedName name="ghjk" localSheetId="12" hidden="1">{#N/A,#N/A,FALSE,"골재소요량";#N/A,#N/A,FALSE,"골재소요량"}</definedName>
    <definedName name="ghjk" hidden="1">{#N/A,#N/A,FALSE,"골재소요량";#N/A,#N/A,FALSE,"골재소요량"}</definedName>
    <definedName name="GHNRTDY" localSheetId="12">BlankMacro1</definedName>
    <definedName name="GHNRTDY" localSheetId="6">BlankMacro1</definedName>
    <definedName name="GHNRTDY">BlankMacro1</definedName>
    <definedName name="ghr" localSheetId="12">BlankMacro1</definedName>
    <definedName name="ghr" localSheetId="11">BlankMacro1</definedName>
    <definedName name="ghr" localSheetId="6">BlankMacro1</definedName>
    <definedName name="ghr">BlankMacro1</definedName>
    <definedName name="GJHGLI" localSheetId="12" hidden="1">{#N/A,#N/A,FALSE,"포장1";#N/A,#N/A,FALSE,"포장1"}</definedName>
    <definedName name="GJHGLI" hidden="1">{#N/A,#N/A,FALSE,"포장1";#N/A,#N/A,FALSE,"포장1"}</definedName>
    <definedName name="gkdksod" localSheetId="12" hidden="1">{#N/A,#N/A,FALSE,"포장2"}</definedName>
    <definedName name="gkdksod" hidden="1">{#N/A,#N/A,FALSE,"포장2"}</definedName>
    <definedName name="GR" localSheetId="12">BlankMacro1</definedName>
    <definedName name="GR" localSheetId="11">BlankMacro1</definedName>
    <definedName name="GR" localSheetId="6">BlankMacro1</definedName>
    <definedName name="GR">BlankMacro1</definedName>
    <definedName name="GUM_S">#N/A</definedName>
    <definedName name="GUS" localSheetId="12" hidden="1">{#N/A,#N/A,FALSE,"현장 NCR 분석";#N/A,#N/A,FALSE,"현장품질감사";#N/A,#N/A,FALSE,"현장품질감사"}</definedName>
    <definedName name="GUS" hidden="1">{#N/A,#N/A,FALSE,"현장 NCR 분석";#N/A,#N/A,FALSE,"현장품질감사";#N/A,#N/A,FALSE,"현장품질감사"}</definedName>
    <definedName name="GY" localSheetId="7" hidden="1">{#N/A,#N/A,FALSE,"조골재"}</definedName>
    <definedName name="GY" localSheetId="4" hidden="1">{#N/A,#N/A,FALSE,"조골재"}</definedName>
    <definedName name="GY" localSheetId="0" hidden="1">{#N/A,#N/A,FALSE,"조골재"}</definedName>
    <definedName name="GY" hidden="1">{#N/A,#N/A,FALSE,"조골재"}</definedName>
    <definedName name="HDATA">#N/A</definedName>
    <definedName name="HDGBG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DGBG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DRR" localSheetId="12">BlankMacro1</definedName>
    <definedName name="HDRR" localSheetId="11">BlankMacro1</definedName>
    <definedName name="HDRR" localSheetId="6">BlankMacro1</definedName>
    <definedName name="HDRR">BlankMacro1</definedName>
    <definedName name="herdsf" localSheetId="12">BlankMacro1</definedName>
    <definedName name="herdsf" localSheetId="6">BlankMacro1</definedName>
    <definedName name="herdsf">BlankMacro1</definedName>
    <definedName name="hgd" localSheetId="12" hidden="1">{#N/A,#N/A,FALSE,"배수2"}</definedName>
    <definedName name="hgd" hidden="1">{#N/A,#N/A,FALSE,"배수2"}</definedName>
    <definedName name="HGF" localSheetId="12">BlankMacro1</definedName>
    <definedName name="HGF" localSheetId="11">BlankMacro1</definedName>
    <definedName name="HGF" localSheetId="6">BlankMacro1</definedName>
    <definedName name="HGF">BlankMacro1</definedName>
    <definedName name="hhhh" localSheetId="7" hidden="1">{#N/A,#N/A,FALSE,"2~8번"}</definedName>
    <definedName name="hhhh" localSheetId="9" hidden="1">{#N/A,#N/A,FALSE,"2~8번"}</definedName>
    <definedName name="hhhh" localSheetId="4" hidden="1">{#N/A,#N/A,FALSE,"2~8번"}</definedName>
    <definedName name="hhhh" localSheetId="0" hidden="1">{#N/A,#N/A,FALSE,"2~8번"}</definedName>
    <definedName name="hhhh" hidden="1">{#N/A,#N/A,FALSE,"2~8번"}</definedName>
    <definedName name="hhhhhh" localSheetId="12" hidden="1">{#N/A,#N/A,FALSE,"골재소요량";#N/A,#N/A,FALSE,"골재소요량"}</definedName>
    <definedName name="hhhhhh" localSheetId="11" hidden="1">{#N/A,#N/A,FALSE,"골재소요량";#N/A,#N/A,FALSE,"골재소요량"}</definedName>
    <definedName name="hhhhhh" localSheetId="7" hidden="1">{#N/A,#N/A,FALSE,"골재소요량";#N/A,#N/A,FALSE,"골재소요량"}</definedName>
    <definedName name="hhhhhh" localSheetId="9" hidden="1">{#N/A,#N/A,FALSE,"골재소요량";#N/A,#N/A,FALSE,"골재소요량"}</definedName>
    <definedName name="hhhhhh" localSheetId="4" hidden="1">{#N/A,#N/A,FALSE,"골재소요량";#N/A,#N/A,FALSE,"골재소요량"}</definedName>
    <definedName name="hhhhhh" localSheetId="0" hidden="1">{#N/A,#N/A,FALSE,"골재소요량";#N/A,#N/A,FALSE,"골재소요량"}</definedName>
    <definedName name="hhhhhh" hidden="1">{#N/A,#N/A,FALSE,"골재소요량";#N/A,#N/A,FALSE,"골재소요량"}</definedName>
    <definedName name="hhj" localSheetId="12" hidden="1">{#N/A,#N/A,FALSE,"혼합골재"}</definedName>
    <definedName name="hhj" localSheetId="11" hidden="1">{#N/A,#N/A,FALSE,"혼합골재"}</definedName>
    <definedName name="hhj" localSheetId="7" hidden="1">{#N/A,#N/A,FALSE,"혼합골재"}</definedName>
    <definedName name="hhj" localSheetId="9" hidden="1">{#N/A,#N/A,FALSE,"혼합골재"}</definedName>
    <definedName name="hhj" localSheetId="4" hidden="1">{#N/A,#N/A,FALSE,"혼합골재"}</definedName>
    <definedName name="hhj" localSheetId="0" hidden="1">{#N/A,#N/A,FALSE,"혼합골재"}</definedName>
    <definedName name="hhj" hidden="1">{#N/A,#N/A,FALSE,"혼합골재"}</definedName>
    <definedName name="HJ" localSheetId="12">BlankMacro1</definedName>
    <definedName name="HJ" localSheetId="11">BlankMacro1</definedName>
    <definedName name="hj" localSheetId="7" hidden="1">{#N/A,#N/A,FALSE,"혼합골재"}</definedName>
    <definedName name="HJ" localSheetId="9">BlankMacro1</definedName>
    <definedName name="hj" localSheetId="4" hidden="1">{#N/A,#N/A,FALSE,"혼합골재"}</definedName>
    <definedName name="hj" localSheetId="0" hidden="1">{#N/A,#N/A,FALSE,"혼합골재"}</definedName>
    <definedName name="hj" hidden="1">{#N/A,#N/A,FALSE,"혼합골재"}</definedName>
    <definedName name="HJHG" localSheetId="12">BlankMacro1</definedName>
    <definedName name="HJHG" localSheetId="6">BlankMacro1</definedName>
    <definedName name="HJHG">BlankMacro1</definedName>
    <definedName name="HMAX">#N/A</definedName>
    <definedName name="HMHM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MHM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RTT" localSheetId="12">BlankMacro1</definedName>
    <definedName name="HRTT" localSheetId="11">BlankMacro1</definedName>
    <definedName name="HRTT" localSheetId="6">BlankMacro1</definedName>
    <definedName name="HRTT">BlankMacro1</definedName>
    <definedName name="HTHT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THT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TML_CodePage" hidden="1">949</definedName>
    <definedName name="HTML_Control" localSheetId="12" hidden="1">{"'제조(순번)'!$A$386:$A$387","'제조(순번)'!$A$1:$H$399"}</definedName>
    <definedName name="HTML_Control" hidden="1">{"'제조(순번)'!$A$386:$A$387","'제조(순번)'!$A$1:$H$399"}</definedName>
    <definedName name="HTML_Description" hidden="1">""</definedName>
    <definedName name="HTML_Email" hidden="1">""</definedName>
    <definedName name="HTML_Header" hidden="1">"공사부문시중노임단가"</definedName>
    <definedName name="HTML_LastUpdate" hidden="1">"01-09-01"</definedName>
    <definedName name="HTML_LineAfter" hidden="1">FALSE</definedName>
    <definedName name="HTML_LineBefore" hidden="1">FALSE</definedName>
    <definedName name="HTML_Name" hidden="1">"동양경제연구원"</definedName>
    <definedName name="HTML_OBDlg2" hidden="1">TRUE</definedName>
    <definedName name="HTML_OBDlg4" hidden="1">TRUE</definedName>
    <definedName name="HTML_OS" hidden="1">0</definedName>
    <definedName name="HTML_PathFile" hidden="1">"C:\자료방\시중노임단가\2001년\MyHTML.htm"</definedName>
    <definedName name="HTML_Title" hidden="1">"공사부문-시중노임단가(2001)"</definedName>
    <definedName name="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u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u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K" localSheetId="12">BlankMacro1</definedName>
    <definedName name="IK" localSheetId="11">BlankMacro1</definedName>
    <definedName name="IK" localSheetId="6">BlankMacro1</definedName>
    <definedName name="IK">BlankMacro1</definedName>
    <definedName name="IKJ" localSheetId="12">BlankMacro1</definedName>
    <definedName name="IKJ" localSheetId="11">BlankMacro1</definedName>
    <definedName name="IKJ" localSheetId="6">BlankMacro1</definedName>
    <definedName name="IKJ">BlankMacro1</definedName>
    <definedName name="IKL" localSheetId="12">BlankMacro1</definedName>
    <definedName name="IKL" localSheetId="11">BlankMacro1</definedName>
    <definedName name="IKL" localSheetId="6">BlankMacro1</definedName>
    <definedName name="IKL">BlankMacro1</definedName>
    <definedName name="IL" localSheetId="12">#N/A</definedName>
    <definedName name="ILK" localSheetId="12">BlankMacro1</definedName>
    <definedName name="ILK" localSheetId="11">BlankMacro1</definedName>
    <definedName name="ILK" localSheetId="6">BlankMacro1</definedName>
    <definedName name="ILK">BlankMacro1</definedName>
    <definedName name="ILLIL" localSheetId="7" hidden="1">{#N/A,#N/A,FALSE,"2~8번"}</definedName>
    <definedName name="ILLIL" localSheetId="4" hidden="1">{#N/A,#N/A,FALSE,"2~8번"}</definedName>
    <definedName name="ILLIL" localSheetId="0" hidden="1">{#N/A,#N/A,FALSE,"2~8번"}</definedName>
    <definedName name="ILLIL" hidden="1">{#N/A,#N/A,FALSE,"2~8번"}</definedName>
    <definedName name="ILULILI" localSheetId="7" hidden="1">{#N/A,#N/A,FALSE,"단가표지"}</definedName>
    <definedName name="ILULILI" localSheetId="4" hidden="1">{#N/A,#N/A,FALSE,"단가표지"}</definedName>
    <definedName name="ILULILI" localSheetId="0" hidden="1">{#N/A,#N/A,FALSE,"단가표지"}</definedName>
    <definedName name="ILULILI" hidden="1">{#N/A,#N/A,FALSE,"단가표지"}</definedName>
    <definedName name="IO" localSheetId="6">BlankMacro1</definedName>
    <definedName name="IO">BlankMacro1</definedName>
    <definedName name="IOIOIOIO" localSheetId="12" hidden="1">{#N/A,#N/A,FALSE,"표지목차"}</definedName>
    <definedName name="IOIOIOIO" hidden="1">{#N/A,#N/A,FALSE,"표지목차"}</definedName>
    <definedName name="IPOI" localSheetId="12">BlankMacro1</definedName>
    <definedName name="IPOI" localSheetId="6">BlankMacro1</definedName>
    <definedName name="IPOI">BlankMacro1</definedName>
    <definedName name="ITNUM">#N/A</definedName>
    <definedName name="ITU" localSheetId="7" hidden="1">{#N/A,#N/A,FALSE,"포장단가"}</definedName>
    <definedName name="ITU" localSheetId="4" hidden="1">{#N/A,#N/A,FALSE,"포장단가"}</definedName>
    <definedName name="ITU" localSheetId="0" hidden="1">{#N/A,#N/A,FALSE,"포장단가"}</definedName>
    <definedName name="ITU" hidden="1">{#N/A,#N/A,FALSE,"포장단가"}</definedName>
    <definedName name="IU" localSheetId="12">BlankMacro1</definedName>
    <definedName name="IU" localSheetId="11">BlankMacro1</definedName>
    <definedName name="IU" localSheetId="6">BlankMacro1</definedName>
    <definedName name="IU">BlankMacro1</definedName>
    <definedName name="IUOUIP" localSheetId="12">BlankMacro1</definedName>
    <definedName name="IUOUIP" localSheetId="6">BlankMacro1</definedName>
    <definedName name="IUOUIP">BlankMacro1</definedName>
    <definedName name="iuuu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uuu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" localSheetId="7" hidden="1">{#N/A,#N/A,FALSE,"단가표지"}</definedName>
    <definedName name="j" localSheetId="4" hidden="1">{#N/A,#N/A,FALSE,"단가표지"}</definedName>
    <definedName name="j" localSheetId="0" hidden="1">{#N/A,#N/A,FALSE,"단가표지"}</definedName>
    <definedName name="j" hidden="1">{#N/A,#N/A,FALSE,"단가표지"}</definedName>
    <definedName name="jgytj" localSheetId="12">BlankMacro1</definedName>
    <definedName name="jgytj" localSheetId="6">BlankMacro1</definedName>
    <definedName name="jgytj">BlankMacro1</definedName>
    <definedName name="JHY" localSheetId="12">'4월 신분증 및 통장사본'!JHY</definedName>
    <definedName name="JHYKING" localSheetId="12">'4월 신분증 및 통장사본'!JHYKING</definedName>
    <definedName name="JJJ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JJ" localSheetId="11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jj" localSheetId="7" hidden="1">{#N/A,#N/A,FALSE,"표지목차"}</definedName>
    <definedName name="jjj" localSheetId="9" hidden="1">{#N/A,#N/A,FALSE,"표지목차"}</definedName>
    <definedName name="jjj" localSheetId="4" hidden="1">{#N/A,#N/A,FALSE,"표지목차"}</definedName>
    <definedName name="jjj" localSheetId="0" hidden="1">{#N/A,#N/A,FALSE,"표지목차"}</definedName>
    <definedName name="jjj" hidden="1">{#N/A,#N/A,FALSE,"표지목차"}</definedName>
    <definedName name="jjjjj" localSheetId="7" hidden="1">{#N/A,#N/A,FALSE,"운반시간"}</definedName>
    <definedName name="jjjjj" localSheetId="9" hidden="1">{#N/A,#N/A,FALSE,"운반시간"}</definedName>
    <definedName name="jjjjj" localSheetId="4" hidden="1">{#N/A,#N/A,FALSE,"운반시간"}</definedName>
    <definedName name="jjjjj" localSheetId="0" hidden="1">{#N/A,#N/A,FALSE,"운반시간"}</definedName>
    <definedName name="jjjjj" hidden="1">{#N/A,#N/A,FALSE,"운반시간"}</definedName>
    <definedName name="jjk" localSheetId="12" hidden="1">{#N/A,#N/A,FALSE,"조골재"}</definedName>
    <definedName name="jjk" localSheetId="11" hidden="1">{#N/A,#N/A,FALSE,"조골재"}</definedName>
    <definedName name="jjk" localSheetId="7" hidden="1">{#N/A,#N/A,FALSE,"조골재"}</definedName>
    <definedName name="jjk" localSheetId="9" hidden="1">{#N/A,#N/A,FALSE,"조골재"}</definedName>
    <definedName name="jjk" localSheetId="4" hidden="1">{#N/A,#N/A,FALSE,"조골재"}</definedName>
    <definedName name="jjk" localSheetId="0" hidden="1">{#N/A,#N/A,FALSE,"조골재"}</definedName>
    <definedName name="jjk" hidden="1">{#N/A,#N/A,FALSE,"조골재"}</definedName>
    <definedName name="JK" localSheetId="12">BlankMacro1</definedName>
    <definedName name="JK" localSheetId="11">BlankMacro1</definedName>
    <definedName name="jk" localSheetId="7" hidden="1">{#N/A,#N/A,FALSE,"표지목차"}</definedName>
    <definedName name="JK" localSheetId="9">BlankMacro1</definedName>
    <definedName name="jk" localSheetId="4" hidden="1">{#N/A,#N/A,FALSE,"표지목차"}</definedName>
    <definedName name="jk" localSheetId="0" hidden="1">{#N/A,#N/A,FALSE,"표지목차"}</definedName>
    <definedName name="jk" hidden="1">{#N/A,#N/A,FALSE,"표지목차"}</definedName>
    <definedName name="JKJKJKJK" localSheetId="12" hidden="1">{#N/A,#N/A,FALSE,"포장1";#N/A,#N/A,FALSE,"포장1"}</definedName>
    <definedName name="JKJKJKJK" hidden="1">{#N/A,#N/A,FALSE,"포장1";#N/A,#N/A,FALSE,"포장1"}</definedName>
    <definedName name="jrygf" localSheetId="12">BlankMacro1</definedName>
    <definedName name="jrygf" localSheetId="6">BlankMacro1</definedName>
    <definedName name="jrygf">BlankMacro1</definedName>
    <definedName name="JUI" localSheetId="12">BlankMacro1</definedName>
    <definedName name="JUI" localSheetId="11">BlankMacro1</definedName>
    <definedName name="JUI" localSheetId="6">BlankMacro1</definedName>
    <definedName name="JUI">BlankMacro1</definedName>
    <definedName name="JY" localSheetId="12">BlankMacro1</definedName>
    <definedName name="JY" localSheetId="11">BlankMacro1</definedName>
    <definedName name="JY" localSheetId="6">BlankMacro1</definedName>
    <definedName name="JY">BlankMacro1</definedName>
    <definedName name="JYJY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YJY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hl" localSheetId="12" hidden="1">{#N/A,#N/A,FALSE,"2~8번"}</definedName>
    <definedName name="khl" hidden="1">{#N/A,#N/A,FALSE,"2~8번"}</definedName>
    <definedName name="KI" localSheetId="12">BlankMacro1</definedName>
    <definedName name="KI" localSheetId="11">BlankMacro1</definedName>
    <definedName name="KI" localSheetId="6">BlankMacro1</definedName>
    <definedName name="KI">BlankMacro1</definedName>
    <definedName name="KIMJT" localSheetId="12" hidden="1">{#N/A,#N/A,FALSE,"골재소요량";#N/A,#N/A,FALSE,"골재소요량"}</definedName>
    <definedName name="KIMJT" hidden="1">{#N/A,#N/A,FALSE,"골재소요량";#N/A,#N/A,FALSE,"골재소요량"}</definedName>
    <definedName name="KIU" localSheetId="12">BlankMacro1</definedName>
    <definedName name="KIU" localSheetId="11">BlankMacro1</definedName>
    <definedName name="KIU" localSheetId="6">BlankMacro1</definedName>
    <definedName name="KIU">BlankMacro1</definedName>
    <definedName name="kj" localSheetId="7" hidden="1">{#N/A,#N/A,FALSE,"운반시간"}</definedName>
    <definedName name="kj" localSheetId="9" hidden="1">{#N/A,#N/A,FALSE,"운반시간"}</definedName>
    <definedName name="kj" localSheetId="4" hidden="1">{#N/A,#N/A,FALSE,"운반시간"}</definedName>
    <definedName name="kj" localSheetId="0" hidden="1">{#N/A,#N/A,FALSE,"운반시간"}</definedName>
    <definedName name="kj" hidden="1">{#N/A,#N/A,FALSE,"운반시간"}</definedName>
    <definedName name="kjj" localSheetId="12" hidden="1">{#N/A,#N/A,FALSE,"조골재"}</definedName>
    <definedName name="kjj" localSheetId="11" hidden="1">{#N/A,#N/A,FALSE,"조골재"}</definedName>
    <definedName name="kjj" localSheetId="7" hidden="1">{#N/A,#N/A,FALSE,"조골재"}</definedName>
    <definedName name="kjj" localSheetId="9" hidden="1">{#N/A,#N/A,FALSE,"조골재"}</definedName>
    <definedName name="kjj" localSheetId="4" hidden="1">{#N/A,#N/A,FALSE,"조골재"}</definedName>
    <definedName name="kjj" localSheetId="0" hidden="1">{#N/A,#N/A,FALSE,"조골재"}</definedName>
    <definedName name="kjj" hidden="1">{#N/A,#N/A,FALSE,"조골재"}</definedName>
    <definedName name="kk" localSheetId="7" hidden="1">{#N/A,#N/A,FALSE,"단가표지"}</definedName>
    <definedName name="kk" localSheetId="9" hidden="1">{#N/A,#N/A,FALSE,"단가표지"}</definedName>
    <definedName name="kk" localSheetId="4" hidden="1">{#N/A,#N/A,FALSE,"단가표지"}</definedName>
    <definedName name="kk" localSheetId="0" hidden="1">{#N/A,#N/A,FALSE,"단가표지"}</definedName>
    <definedName name="kk" hidden="1">{#N/A,#N/A,FALSE,"단가표지"}</definedName>
    <definedName name="kl" localSheetId="7" hidden="1">{#N/A,#N/A,FALSE,"단가표지"}</definedName>
    <definedName name="kl" localSheetId="9" hidden="1">{#N/A,#N/A,FALSE,"단가표지"}</definedName>
    <definedName name="kl" localSheetId="4" hidden="1">{#N/A,#N/A,FALSE,"단가표지"}</definedName>
    <definedName name="kl" localSheetId="0" hidden="1">{#N/A,#N/A,FALSE,"단가표지"}</definedName>
    <definedName name="kl" hidden="1">{#N/A,#N/A,FALSE,"단가표지"}</definedName>
    <definedName name="klkjl" localSheetId="12">BlankMacro1</definedName>
    <definedName name="klkjl" localSheetId="6">BlankMacro1</definedName>
    <definedName name="klkjl">BlankMacro1</definedName>
    <definedName name="KLLKLKLK" localSheetId="12" hidden="1">{#N/A,#N/A,FALSE,"포장2"}</definedName>
    <definedName name="KLLKLKLK" hidden="1">{#N/A,#N/A,FALSE,"포장2"}</definedName>
    <definedName name="KU" localSheetId="12">BlankMacro1</definedName>
    <definedName name="KU" localSheetId="11">BlankMacro1</definedName>
    <definedName name="KU" localSheetId="6">BlankMacro1</definedName>
    <definedName name="KU">BlankMacro1</definedName>
    <definedName name="KUK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UK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asdjljds">#N/A</definedName>
    <definedName name="LENGTH">#N/A</definedName>
    <definedName name="LI" localSheetId="12">BlankMacro1</definedName>
    <definedName name="LI" localSheetId="11">BlankMacro1</definedName>
    <definedName name="LI" localSheetId="6">BlankMacro1</definedName>
    <definedName name="LI">BlankMacro1</definedName>
    <definedName name="line토공" localSheetId="12" hidden="1">{#N/A,#N/A,FALSE,"2~8번"}</definedName>
    <definedName name="line토공" hidden="1">{#N/A,#N/A,FALSE,"2~8번"}</definedName>
    <definedName name="lj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j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K" localSheetId="12">BlankMacro1</definedName>
    <definedName name="LK" localSheetId="11">BlankMacro1</definedName>
    <definedName name="LK" localSheetId="6">BlankMacro1</definedName>
    <definedName name="LK">BlankMacro1</definedName>
    <definedName name="LKI" localSheetId="12">BlankMacro1</definedName>
    <definedName name="LKI" localSheetId="11">BlankMacro1</definedName>
    <definedName name="LKI" localSheetId="6">BlankMacro1</definedName>
    <definedName name="LKI">BlankMacro1</definedName>
    <definedName name="LKJO" localSheetId="7" hidden="1">{#N/A,#N/A,FALSE,"혼합골재"}</definedName>
    <definedName name="LKJO" localSheetId="4" hidden="1">{#N/A,#N/A,FALSE,"혼합골재"}</definedName>
    <definedName name="LKJO" localSheetId="0" hidden="1">{#N/A,#N/A,FALSE,"혼합골재"}</definedName>
    <definedName name="LKJO" hidden="1">{#N/A,#N/A,FALSE,"혼합골재"}</definedName>
    <definedName name="lks" localSheetId="12">'4월 신분증 및 통장사본'!lks</definedName>
    <definedName name="LKU" localSheetId="12">BlankMacro1</definedName>
    <definedName name="LKU" localSheetId="11">BlankMacro1</definedName>
    <definedName name="LKU" localSheetId="6">BlankMacro1</definedName>
    <definedName name="LKU">BlankMacro1</definedName>
    <definedName name="LL" localSheetId="12">#N/A</definedName>
    <definedName name="LLFE">#N/A</definedName>
    <definedName name="llkj">#N/A</definedName>
    <definedName name="LLLL" localSheetId="12">#N/A</definedName>
    <definedName name="LLLL" localSheetId="11">BlankMacro1</definedName>
    <definedName name="LP" localSheetId="12">BlankMacro1</definedName>
    <definedName name="LP" localSheetId="11">BlankMacro1</definedName>
    <definedName name="LP" localSheetId="6">BlankMacro1</definedName>
    <definedName name="LP">BlankMacro1</definedName>
    <definedName name="Macro1" localSheetId="12">#N/A</definedName>
    <definedName name="Macro15">"'Macro1(작업순서 2)'!$E$1"</definedName>
    <definedName name="Macro4" localSheetId="12">#N/A</definedName>
    <definedName name="Macro5" localSheetId="12">#N/A</definedName>
    <definedName name="Macro6" localSheetId="12">#N/A</definedName>
    <definedName name="Macro7" localSheetId="12">#N/A</definedName>
    <definedName name="MB" localSheetId="6">BlankMacro1</definedName>
    <definedName name="MB">BlankMacro1</definedName>
    <definedName name="MC" localSheetId="6">BlankMacro1</definedName>
    <definedName name="MC">BlankMacro1</definedName>
    <definedName name="MF" localSheetId="6">BlankMacro1</definedName>
    <definedName name="MF">BlankMacro1</definedName>
    <definedName name="MG" localSheetId="12">BlankMacro1</definedName>
    <definedName name="MG" localSheetId="11">BlankMacro1</definedName>
    <definedName name="MG" localSheetId="6">BlankMacro1</definedName>
    <definedName name="MG">BlankMacro1</definedName>
    <definedName name="MH" localSheetId="12">BlankMacro1</definedName>
    <definedName name="MH" localSheetId="11">BlankMacro1</definedName>
    <definedName name="MH" localSheetId="6">BlankMacro1</definedName>
    <definedName name="MH">BlankMacro1</definedName>
    <definedName name="MJ" localSheetId="12">BlankMacro1</definedName>
    <definedName name="MJ" localSheetId="11">BlankMacro1</definedName>
    <definedName name="MJ" localSheetId="6">BlankMacro1</definedName>
    <definedName name="MJ">BlankMacro1</definedName>
    <definedName name="MK" localSheetId="12">BlankMacro1</definedName>
    <definedName name="MK" localSheetId="11">BlankMacro1</definedName>
    <definedName name="MK" localSheetId="6">BlankMacro1</definedName>
    <definedName name="MK">BlankMacro1</definedName>
    <definedName name="MKJ" localSheetId="12">BlankMacro1</definedName>
    <definedName name="MKJ" localSheetId="11">BlankMacro1</definedName>
    <definedName name="MKJ" localSheetId="6">BlankMacro1</definedName>
    <definedName name="MKJ">BlankMacro1</definedName>
    <definedName name="ML" localSheetId="12">BlankMacro1</definedName>
    <definedName name="ML" localSheetId="11">BlankMacro1</definedName>
    <definedName name="ML" localSheetId="6">BlankMacro1</definedName>
    <definedName name="ML">BlankMacro1</definedName>
    <definedName name="MM" hidden="1">{#N/A,#N/A,FALSE,"전력간선"}</definedName>
    <definedName name="MMD">#N/A</definedName>
    <definedName name="MMJ" localSheetId="12">BlankMacro1</definedName>
    <definedName name="MMJ" localSheetId="11">BlankMacro1</definedName>
    <definedName name="MMJ" localSheetId="6">BlankMacro1</definedName>
    <definedName name="MMJ">BlankMacro1</definedName>
    <definedName name="MQ" localSheetId="12">BlankMacro1</definedName>
    <definedName name="MQ" localSheetId="11">BlankMacro1</definedName>
    <definedName name="MQ" localSheetId="6">BlankMacro1</definedName>
    <definedName name="MQ">BlankMacro1</definedName>
    <definedName name="MR" localSheetId="12">BlankMacro1</definedName>
    <definedName name="MR" localSheetId="11">BlankMacro1</definedName>
    <definedName name="MR" localSheetId="6">BlankMacro1</definedName>
    <definedName name="MR">BlankMacro1</definedName>
    <definedName name="MV" localSheetId="12">BlankMacro1</definedName>
    <definedName name="MV" localSheetId="11">BlankMacro1</definedName>
    <definedName name="MV" localSheetId="6">BlankMacro1</definedName>
    <definedName name="MV">BlankMacro1</definedName>
    <definedName name="MW" localSheetId="12">BlankMacro1</definedName>
    <definedName name="MW" localSheetId="11">BlankMacro1</definedName>
    <definedName name="MW" localSheetId="6">BlankMacro1</definedName>
    <definedName name="MW">BlankMacro1</definedName>
    <definedName name="n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AK">#N/A</definedName>
    <definedName name="NAME" localSheetId="12">#N/A</definedName>
    <definedName name="NBV" localSheetId="12">BlankMacro1</definedName>
    <definedName name="NBV" localSheetId="11">BlankMacro1</definedName>
    <definedName name="NBV" localSheetId="6">BlankMacro1</definedName>
    <definedName name="NBV">BlankMacro1</definedName>
    <definedName name="NCV" localSheetId="12">BlankMacro1</definedName>
    <definedName name="NCV" localSheetId="11">BlankMacro1</definedName>
    <definedName name="NCV" localSheetId="6">BlankMacro1</definedName>
    <definedName name="NCV">BlankMacro1</definedName>
    <definedName name="NF" localSheetId="7" hidden="1">{#N/A,#N/A,FALSE,"표지목차"}</definedName>
    <definedName name="NF" localSheetId="4" hidden="1">{#N/A,#N/A,FALSE,"표지목차"}</definedName>
    <definedName name="NF" localSheetId="0" hidden="1">{#N/A,#N/A,FALSE,"표지목차"}</definedName>
    <definedName name="NF" hidden="1">{#N/A,#N/A,FALSE,"표지목차"}</definedName>
    <definedName name="NFG" localSheetId="12">BlankMacro1</definedName>
    <definedName name="NFG" localSheetId="11">BlankMacro1</definedName>
    <definedName name="NFG" localSheetId="6">BlankMacro1</definedName>
    <definedName name="NFG">BlankMacro1</definedName>
    <definedName name="NFGH" localSheetId="12">BlankMacro1</definedName>
    <definedName name="NFGH" localSheetId="11">BlankMacro1</definedName>
    <definedName name="NFGH" localSheetId="6">BlankMacro1</definedName>
    <definedName name="NFGH">BlankMacro1</definedName>
    <definedName name="ng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ng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nhgn" localSheetId="12">BlankMacro1</definedName>
    <definedName name="nhgn" localSheetId="6">BlankMacro1</definedName>
    <definedName name="nhgn">BlankMacro1</definedName>
    <definedName name="nhnt" localSheetId="12">BlankMacro1</definedName>
    <definedName name="nhnt" localSheetId="6">BlankMacro1</definedName>
    <definedName name="nhnt">BlankMacro1</definedName>
    <definedName name="NKL" localSheetId="12">BlankMacro1</definedName>
    <definedName name="NKL" localSheetId="11">BlankMacro1</definedName>
    <definedName name="NKL" localSheetId="6">BlankMacro1</definedName>
    <definedName name="NKL">BlankMacro1</definedName>
    <definedName name="NR" localSheetId="12">BlankMacro1</definedName>
    <definedName name="NR" localSheetId="11">BlankMacro1</definedName>
    <definedName name="NR" localSheetId="6">BlankMacro1</definedName>
    <definedName name="NR">BlankMacro1</definedName>
    <definedName name="NT" localSheetId="12">BlankMacro1</definedName>
    <definedName name="NT" localSheetId="11">BlankMacro1</definedName>
    <definedName name="NT" localSheetId="6">BlankMacro1</definedName>
    <definedName name="NT">BlankMacro1</definedName>
    <definedName name="NTFT" localSheetId="12">BlankMacro1</definedName>
    <definedName name="NTFT" localSheetId="11">BlankMacro1</definedName>
    <definedName name="NTFT" localSheetId="6">BlankMacro1</definedName>
    <definedName name="NTFT">BlankMacro1</definedName>
    <definedName name="NY" localSheetId="12">BlankMacro1</definedName>
    <definedName name="NY" localSheetId="11">BlankMacro1</definedName>
    <definedName name="NY" localSheetId="6">BlankMacro1</definedName>
    <definedName name="NY">BlankMacro1</definedName>
    <definedName name="ODD" localSheetId="12" hidden="1">{#N/A,#N/A,FALSE,"명세표"}</definedName>
    <definedName name="ODD" hidden="1">{#N/A,#N/A,FALSE,"명세표"}</definedName>
    <definedName name="OH" localSheetId="12" hidden="1">{#N/A,#N/A,FALSE,"명세표"}</definedName>
    <definedName name="OH" hidden="1">{#N/A,#N/A,FALSE,"명세표"}</definedName>
    <definedName name="OHH" localSheetId="12" hidden="1">{#N/A,#N/A,FALSE,"명세표"}</definedName>
    <definedName name="OHH" hidden="1">{#N/A,#N/A,FALSE,"명세표"}</definedName>
    <definedName name="OI" localSheetId="12">BlankMacro1</definedName>
    <definedName name="OI" localSheetId="11">BlankMacro1</definedName>
    <definedName name="OI" localSheetId="6">BlankMacro1</definedName>
    <definedName name="OI">BlankMacro1</definedName>
    <definedName name="OIOPOI" localSheetId="12">BlankMacro1</definedName>
    <definedName name="OIOPOI" localSheetId="6">BlankMacro1</definedName>
    <definedName name="OIOPOI">BlankMacro1</definedName>
    <definedName name="OIPUIOUI" localSheetId="12">BlankMacro1</definedName>
    <definedName name="OIPUIOUI" localSheetId="6">BlankMacro1</definedName>
    <definedName name="OIPUIOUI">BlankMacro1</definedName>
    <definedName name="OIU" localSheetId="12">BlankMacro1</definedName>
    <definedName name="OIU" localSheetId="11">BlankMacro1</definedName>
    <definedName name="OIU" localSheetId="6">BlankMacro1</definedName>
    <definedName name="OIU">BlankMacro1</definedName>
    <definedName name="OK" localSheetId="12">BlankMacro1</definedName>
    <definedName name="OK" localSheetId="11">BlankMacro1</definedName>
    <definedName name="OK" localSheetId="6">BlankMacro1</definedName>
    <definedName name="OK">BlankMacro1</definedName>
    <definedName name="OL" localSheetId="12">BlankMacro1</definedName>
    <definedName name="OL" localSheetId="11">BlankMacro1</definedName>
    <definedName name="OL" localSheetId="6">BlankMacro1</definedName>
    <definedName name="OL">BlankMacro1</definedName>
    <definedName name="OLD">#N/A</definedName>
    <definedName name="OO">#N/A</definedName>
    <definedName name="OOIY" localSheetId="12">BlankMacro1</definedName>
    <definedName name="OOIY" localSheetId="6">BlankMacro1</definedName>
    <definedName name="OOIY">BlankMacro1</definedName>
    <definedName name="PBD" localSheetId="12" hidden="1">{#N/A,#N/A,FALSE,"구조2"}</definedName>
    <definedName name="PBD" hidden="1">{#N/A,#N/A,FALSE,"구조2"}</definedName>
    <definedName name="PE" localSheetId="6">BlankMacro1</definedName>
    <definedName name="PE">BlankMacro1</definedName>
    <definedName name="PEAK">#N/A</definedName>
    <definedName name="PERHKS" localSheetId="6">BlankMacro1</definedName>
    <definedName name="PERHKS">BlankMacro1</definedName>
    <definedName name="PG" localSheetId="12">BlankMacro1</definedName>
    <definedName name="PG" localSheetId="11">BlankMacro1</definedName>
    <definedName name="PG" localSheetId="6">BlankMacro1</definedName>
    <definedName name="PG">BlankMacro1</definedName>
    <definedName name="pi" localSheetId="12">3.141592654</definedName>
    <definedName name="PJT">#N/A</definedName>
    <definedName name="PM" localSheetId="6">BlankMacro1</definedName>
    <definedName name="PM">BlankMacro1</definedName>
    <definedName name="PO" localSheetId="12">BlankMacro1</definedName>
    <definedName name="PO" localSheetId="11">BlankMacro1</definedName>
    <definedName name="PO" localSheetId="6">BlankMacro1</definedName>
    <definedName name="PO">BlankMacro1</definedName>
    <definedName name="ppppp" hidden="1">{#N/A,#N/A,FALSE,"전력간선"}</definedName>
    <definedName name="_xlnm.Print_Area" localSheetId="12">'4월 신분증 및 통장사본'!$A$1:$D$4</definedName>
    <definedName name="_xlnm.Print_Area" localSheetId="3">'사진대지 (품질)'!$A$1:$O$160</definedName>
    <definedName name="_xlnm.Print_Area" localSheetId="10">'사진대지(안전)'!$A$1:$O$280</definedName>
    <definedName name="_xlnm.Print_Area" localSheetId="8">'세부사용(25년07월) '!$A$1:$M$33</definedName>
    <definedName name="_xlnm.Print_Area" localSheetId="2">'세부사용(25년7월)'!$A$1:$M$30</definedName>
    <definedName name="_xlnm.Print_Area" localSheetId="5">안전!$A$32:$L$61</definedName>
    <definedName name="_xlnm.Print_Area" localSheetId="6">'안전 (2)'!$A$32:$L$61</definedName>
    <definedName name="_xlnm.Print_Area" localSheetId="7">'안전관리내역 '!$A$1:$J$125</definedName>
    <definedName name="_xlnm.Print_Area" localSheetId="4">'표지 (안전관리)'!$A$1:$L$31</definedName>
    <definedName name="_xlnm.Print_Area" localSheetId="0">'표지(품질)'!$A$1:$L$32</definedName>
    <definedName name="_xlnm.Print_Area" localSheetId="1">품질시험비!$A$32:$L$61</definedName>
    <definedName name="Print_Area1">#N/A</definedName>
    <definedName name="_xlnm.Print_Titles" localSheetId="12">'4월 신분증 및 통장사본'!$1:$1</definedName>
    <definedName name="_xlnm.Print_Titles" localSheetId="8">'세부사용(25년07월) '!$1:$4</definedName>
    <definedName name="_xlnm.Print_Titles" localSheetId="2">'세부사용(25년7월)'!$1:$4</definedName>
    <definedName name="_xlnm.Print_Titles">#N/A</definedName>
    <definedName name="Q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q3r" localSheetId="12">BlankMacro1</definedName>
    <definedName name="q3r" localSheetId="11">BlankMacro1</definedName>
    <definedName name="q3r" localSheetId="6">BlankMacro1</definedName>
    <definedName name="q3r">BlankMacro1</definedName>
    <definedName name="Q3WEE" localSheetId="12" hidden="1">{#N/A,#N/A,FALSE,"조골재"}</definedName>
    <definedName name="Q3WEE" localSheetId="11" hidden="1">{#N/A,#N/A,FALSE,"조골재"}</definedName>
    <definedName name="Q3WEE" localSheetId="7" hidden="1">{#N/A,#N/A,FALSE,"조골재"}</definedName>
    <definedName name="Q3WEE" localSheetId="9" hidden="1">{#N/A,#N/A,FALSE,"조골재"}</definedName>
    <definedName name="Q3WEE" localSheetId="4" hidden="1">{#N/A,#N/A,FALSE,"조골재"}</definedName>
    <definedName name="Q3WEE" localSheetId="0" hidden="1">{#N/A,#N/A,FALSE,"조골재"}</definedName>
    <definedName name="Q3WEE" hidden="1">{#N/A,#N/A,FALSE,"조골재"}</definedName>
    <definedName name="QAWE" localSheetId="12">BlankMacro1</definedName>
    <definedName name="QAWE" localSheetId="11">BlankMacro1</definedName>
    <definedName name="QAWE" localSheetId="6">BlankMacro1</definedName>
    <definedName name="QAWE">BlankMacro1</definedName>
    <definedName name="qkqh1" localSheetId="12" hidden="1">{#N/A,#N/A,FALSE,"명세표"}</definedName>
    <definedName name="qkqh1" hidden="1">{#N/A,#N/A,FALSE,"명세표"}</definedName>
    <definedName name="qq" localSheetId="12" hidden="1">{#N/A,#N/A,FALSE,"단가표지"}</definedName>
    <definedName name="qqqqq" localSheetId="7" hidden="1">{#N/A,#N/A,FALSE,"골재소요량";#N/A,#N/A,FALSE,"골재소요량"}</definedName>
    <definedName name="qqqqq" localSheetId="4" hidden="1">{#N/A,#N/A,FALSE,"골재소요량";#N/A,#N/A,FALSE,"골재소요량"}</definedName>
    <definedName name="qqqqq" localSheetId="0" hidden="1">{#N/A,#N/A,FALSE,"골재소요량";#N/A,#N/A,FALSE,"골재소요량"}</definedName>
    <definedName name="qqqqq" hidden="1">{#N/A,#N/A,FALSE,"골재소요량";#N/A,#N/A,FALSE,"골재소요량"}</definedName>
    <definedName name="qsdf" localSheetId="12" hidden="1">{"'Firr(선)'!$AS$1:$AY$62","'Firr(사)'!$AS$1:$AY$62","'Firr(회)'!$AS$1:$AY$62","'Firr(선)'!$L$1:$V$62","'Firr(사)'!$L$1:$V$62","'Firr(회)'!$L$1:$V$62"}</definedName>
    <definedName name="qsdf" hidden="1">{"'Firr(선)'!$AS$1:$AY$62","'Firr(사)'!$AS$1:$AY$62","'Firr(회)'!$AS$1:$AY$62","'Firr(선)'!$L$1:$V$62","'Firr(사)'!$L$1:$V$62","'Firr(회)'!$L$1:$V$62"}</definedName>
    <definedName name="QTY">#N/A</definedName>
    <definedName name="qw" localSheetId="12" hidden="1">{#N/A,#N/A,FALSE,"단가표지"}</definedName>
    <definedName name="qw" localSheetId="11" hidden="1">{#N/A,#N/A,FALSE,"단가표지"}</definedName>
    <definedName name="qw" localSheetId="7" hidden="1">{#N/A,#N/A,FALSE,"단가표지"}</definedName>
    <definedName name="qw" localSheetId="4" hidden="1">{#N/A,#N/A,FALSE,"단가표지"}</definedName>
    <definedName name="qw" localSheetId="0" hidden="1">{#N/A,#N/A,FALSE,"단가표지"}</definedName>
    <definedName name="qw" hidden="1">{#N/A,#N/A,FALSE,"단가표지"}</definedName>
    <definedName name="qwewe" localSheetId="12">BlankMacro1</definedName>
    <definedName name="qwewe" localSheetId="6">BlankMacro1</definedName>
    <definedName name="qwewe">BlankMacro1</definedName>
    <definedName name="RDGF" localSheetId="12">BlankMacro1</definedName>
    <definedName name="RDGF" localSheetId="6">BlankMacro1</definedName>
    <definedName name="RDGF">BlankMacro1</definedName>
    <definedName name="RDWET" localSheetId="12">BlankMacro1</definedName>
    <definedName name="RDWET" localSheetId="6">BlankMacro1</definedName>
    <definedName name="RDWET">BlankMacro1</definedName>
    <definedName name="REHGRE" localSheetId="7" hidden="1">{#N/A,#N/A,FALSE,"포장단가"}</definedName>
    <definedName name="REHGRE" localSheetId="4" hidden="1">{#N/A,#N/A,FALSE,"포장단가"}</definedName>
    <definedName name="REHGRE" localSheetId="0" hidden="1">{#N/A,#N/A,FALSE,"포장단가"}</definedName>
    <definedName name="REHGRE" hidden="1">{#N/A,#N/A,FALSE,"포장단가"}</definedName>
    <definedName name="REM">#N/A</definedName>
    <definedName name="REMARKS">#N/A</definedName>
    <definedName name="retert" localSheetId="12">BlankMacro1</definedName>
    <definedName name="retert" localSheetId="6">BlankMacro1</definedName>
    <definedName name="retert">BlankMacro1</definedName>
    <definedName name="retre" localSheetId="12">BlankMacro1</definedName>
    <definedName name="retre" localSheetId="6">BlankMacro1</definedName>
    <definedName name="retre">BlankMacro1</definedName>
    <definedName name="REW" localSheetId="12">BlankMacro1</definedName>
    <definedName name="REW" localSheetId="11">BlankMacro1</definedName>
    <definedName name="REW" localSheetId="6">BlankMacro1</definedName>
    <definedName name="REW">BlankMacro1</definedName>
    <definedName name="RF" localSheetId="12">BlankMacro1</definedName>
    <definedName name="RF" localSheetId="6">BlankMacro1</definedName>
    <definedName name="RF">BlankMacro1</definedName>
    <definedName name="rffff" localSheetId="12">'4월 신분증 및 통장사본'!rffff</definedName>
    <definedName name="RGDF" localSheetId="12">BlankMacro1</definedName>
    <definedName name="RGDF" localSheetId="6">BlankMacro1</definedName>
    <definedName name="RGDF">BlankMacro1</definedName>
    <definedName name="rgfd" localSheetId="12">BlankMacro1</definedName>
    <definedName name="rgfd" localSheetId="6">BlankMacro1</definedName>
    <definedName name="rgfd">BlankMacro1</definedName>
    <definedName name="RGR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RGR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RHGREBGHRE" localSheetId="12">BlankMacro1</definedName>
    <definedName name="RHGREBGHRE" localSheetId="6">BlankMacro1</definedName>
    <definedName name="RHGREBGHRE">BlankMacro1</definedName>
    <definedName name="risl" localSheetId="12" hidden="1">{#N/A,#N/A,FALSE,"속도"}</definedName>
    <definedName name="risl" hidden="1">{#N/A,#N/A,FALSE,"속도"}</definedName>
    <definedName name="RJRJ" localSheetId="12">BlankMacro1</definedName>
    <definedName name="RJRJ" localSheetId="6">BlankMacro1</definedName>
    <definedName name="RJRJ">BlankMacro1</definedName>
    <definedName name="RJRKJRKJR" localSheetId="12">BlankMacro1</definedName>
    <definedName name="RJRKJRKJR" localSheetId="6">BlankMacro1</definedName>
    <definedName name="RJRKJRKJR">BlankMacro1</definedName>
    <definedName name="RKDVKS" localSheetId="12">BLCH</definedName>
    <definedName name="RKDVKS" localSheetId="6">BLCH</definedName>
    <definedName name="RKDVKS">BLCH</definedName>
    <definedName name="rkfkdksk" localSheetId="12">BlankMacro1</definedName>
    <definedName name="rkfkdksk" localSheetId="6">BlankMacro1</definedName>
    <definedName name="rkfkdksk">BlankMacro1</definedName>
    <definedName name="rksk" localSheetId="12" hidden="1">{#N/A,#N/A,FALSE,"결의서";#N/A,#N/A,FALSE,"내역서";#N/A,#N/A,FALSE,"도급예상";#N/A,#N/A,FALSE,"시방서"}</definedName>
    <definedName name="rksk" hidden="1">{#N/A,#N/A,FALSE,"결의서";#N/A,#N/A,FALSE,"내역서";#N/A,#N/A,FALSE,"도급예상";#N/A,#N/A,FALSE,"시방서"}</definedName>
    <definedName name="RKSKSK" localSheetId="12">BlankMacro1</definedName>
    <definedName name="RKSKSK" localSheetId="6">BlankMacro1</definedName>
    <definedName name="RKSKSK">BlankMacro1</definedName>
    <definedName name="rksl">#N/A</definedName>
    <definedName name="RLA" localSheetId="7" hidden="1">{#N/A,#N/A,FALSE,"골재소요량";#N/A,#N/A,FALSE,"골재소요량"}</definedName>
    <definedName name="RLA" localSheetId="4" hidden="1">{#N/A,#N/A,FALSE,"골재소요량";#N/A,#N/A,FALSE,"골재소요량"}</definedName>
    <definedName name="RLA" localSheetId="0" hidden="1">{#N/A,#N/A,FALSE,"골재소요량";#N/A,#N/A,FALSE,"골재소요량"}</definedName>
    <definedName name="RLA" hidden="1">{#N/A,#N/A,FALSE,"골재소요량";#N/A,#N/A,FALSE,"골재소요량"}</definedName>
    <definedName name="RLTJD" localSheetId="12">BlankMacro1</definedName>
    <definedName name="RLTJD" localSheetId="6">BlankMacro1</definedName>
    <definedName name="RLTJD">BlankMacro1</definedName>
    <definedName name="rnwhwh" localSheetId="12" hidden="1">{#N/A,#N/A,FALSE,"구조2"}</definedName>
    <definedName name="rnwhwh" hidden="1">{#N/A,#N/A,FALSE,"구조2"}</definedName>
    <definedName name="RTV" localSheetId="7" hidden="1">{#N/A,#N/A,FALSE,"표지목차"}</definedName>
    <definedName name="RTV" localSheetId="4" hidden="1">{#N/A,#N/A,FALSE,"표지목차"}</definedName>
    <definedName name="RTV" localSheetId="0" hidden="1">{#N/A,#N/A,FALSE,"표지목차"}</definedName>
    <definedName name="RTV" hidden="1">{#N/A,#N/A,FALSE,"표지목차"}</definedName>
    <definedName name="RTYHERY" localSheetId="12">BlankMacro1</definedName>
    <definedName name="RTYHERY" localSheetId="6">BlankMacro1</definedName>
    <definedName name="RTYHERY">BlankMacro1</definedName>
    <definedName name="RWE" localSheetId="12">BlankMacro1</definedName>
    <definedName name="RWE" localSheetId="11">BlankMacro1</definedName>
    <definedName name="RWE" localSheetId="6">BlankMacro1</definedName>
    <definedName name="RWE">BlankMacro1</definedName>
    <definedName name="SA" localSheetId="12">BlankMacro1</definedName>
    <definedName name="SA" localSheetId="11">BlankMacro1</definedName>
    <definedName name="SA" localSheetId="6">BlankMacro1</definedName>
    <definedName name="SA">BlankMacro1</definedName>
    <definedName name="sadasd" localSheetId="12">BlankMacro1</definedName>
    <definedName name="sadasd" localSheetId="6">BlankMacro1</definedName>
    <definedName name="sadasd">BlankMacro1</definedName>
    <definedName name="SADF" localSheetId="12">BlankMacro1</definedName>
    <definedName name="SADF" localSheetId="11">BlankMacro1</definedName>
    <definedName name="SADF" localSheetId="6">BlankMacro1</definedName>
    <definedName name="SADF">BlankMacro1</definedName>
    <definedName name="sae" localSheetId="12">BlankMacro1</definedName>
    <definedName name="sae" localSheetId="11">BlankMacro1</definedName>
    <definedName name="sae" localSheetId="6">BlankMacro1</definedName>
    <definedName name="sae">BlankMacro1</definedName>
    <definedName name="safddsf" localSheetId="12">BlankMacro1</definedName>
    <definedName name="safddsf" localSheetId="6">BlankMacro1</definedName>
    <definedName name="safddsf">BlankMacro1</definedName>
    <definedName name="SD" localSheetId="11">BlankMacro1</definedName>
    <definedName name="SD" localSheetId="6">BlankMacro1</definedName>
    <definedName name="SD">BlankMacro1</definedName>
    <definedName name="SDAGG" localSheetId="6">BlankMacro1</definedName>
    <definedName name="SDAGG">BlankMacro1</definedName>
    <definedName name="SDAS" localSheetId="12" hidden="1">{"'Firr(선)'!$AS$1:$AY$62","'Firr(사)'!$AS$1:$AY$62","'Firr(회)'!$AS$1:$AY$62","'Firr(선)'!$L$1:$V$62","'Firr(사)'!$L$1:$V$62","'Firr(회)'!$L$1:$V$62"}</definedName>
    <definedName name="SDAS" localSheetId="11" hidden="1">{"'Firr(선)'!$AS$1:$AY$62","'Firr(사)'!$AS$1:$AY$62","'Firr(회)'!$AS$1:$AY$62","'Firr(선)'!$L$1:$V$62","'Firr(사)'!$L$1:$V$62","'Firr(회)'!$L$1:$V$62"}</definedName>
    <definedName name="SDCFG\" localSheetId="12" hidden="1">{#N/A,#N/A,FALSE,"운반시간"}</definedName>
    <definedName name="SDCFG\" localSheetId="11" hidden="1">{#N/A,#N/A,FALSE,"운반시간"}</definedName>
    <definedName name="SDCFG\" localSheetId="7" hidden="1">{#N/A,#N/A,FALSE,"운반시간"}</definedName>
    <definedName name="SDCFG\" localSheetId="4" hidden="1">{#N/A,#N/A,FALSE,"운반시간"}</definedName>
    <definedName name="SDCFG\" localSheetId="0" hidden="1">{#N/A,#N/A,FALSE,"운반시간"}</definedName>
    <definedName name="SDCFG\" hidden="1">{#N/A,#N/A,FALSE,"운반시간"}</definedName>
    <definedName name="SDD" localSheetId="12">BlankMacro1</definedName>
    <definedName name="SDD" localSheetId="11">BlankMacro1</definedName>
    <definedName name="SDD" localSheetId="6">BlankMacro1</definedName>
    <definedName name="SDD">BlankMacro1</definedName>
    <definedName name="SDDFD" localSheetId="12" hidden="1">{#N/A,#N/A,FALSE,"배수1"}</definedName>
    <definedName name="SDDFD" hidden="1">{#N/A,#N/A,FALSE,"배수1"}</definedName>
    <definedName name="SDDG" localSheetId="12">BlankMacro1</definedName>
    <definedName name="SDDG" localSheetId="11">BlankMacro1</definedName>
    <definedName name="SDDG" localSheetId="6">BlankMacro1</definedName>
    <definedName name="SDDG">BlankMacro1</definedName>
    <definedName name="sde" localSheetId="12">BlankMacro1</definedName>
    <definedName name="sde" localSheetId="11">BlankMacro1</definedName>
    <definedName name="SDE" localSheetId="6">BlankMacro1</definedName>
    <definedName name="SDE">BlankMacro1</definedName>
    <definedName name="SDF" localSheetId="11">BlankMacro1</definedName>
    <definedName name="sdfa" localSheetId="12">BlankMacro1</definedName>
    <definedName name="sdfa" localSheetId="11">BlankMacro1</definedName>
    <definedName name="sdfa" localSheetId="6">BlankMacro1</definedName>
    <definedName name="sdfa">BlankMacro1</definedName>
    <definedName name="sdfasad" localSheetId="12">BlankMacro1</definedName>
    <definedName name="sdfasad" localSheetId="6">BlankMacro1</definedName>
    <definedName name="sdfasad">BlankMacro1</definedName>
    <definedName name="sdfdf" localSheetId="12">BlankMacro1</definedName>
    <definedName name="sdfdf" localSheetId="6">BlankMacro1</definedName>
    <definedName name="sdfdf">BlankMacro1</definedName>
    <definedName name="SDFDFD" localSheetId="12" hidden="1">{#N/A,#N/A,FALSE,"운반시간"}</definedName>
    <definedName name="SDFDFD" hidden="1">{#N/A,#N/A,FALSE,"운반시간"}</definedName>
    <definedName name="sdfdfdfdfdf" localSheetId="12" hidden="1">{#N/A,#N/A,FALSE,"2~8번"}</definedName>
    <definedName name="sdfdfdfdfdf" hidden="1">{#N/A,#N/A,FALSE,"2~8번"}</definedName>
    <definedName name="sdfeer" localSheetId="12">BlankMacro1</definedName>
    <definedName name="sdfeer" localSheetId="6">BlankMacro1</definedName>
    <definedName name="sdfeer">BlankMacro1</definedName>
    <definedName name="SDFF" localSheetId="6">BlankMacro1</definedName>
    <definedName name="SDFF">BlankMacro1</definedName>
    <definedName name="sdfs" localSheetId="12">BlankMacro1</definedName>
    <definedName name="sdfs" localSheetId="6">BlankMacro1</definedName>
    <definedName name="sdfs">BlankMacro1</definedName>
    <definedName name="sdfsd" localSheetId="12">BlankMacro1</definedName>
    <definedName name="sdfsd" localSheetId="6">BlankMacro1</definedName>
    <definedName name="sdfsd">BlankMacro1</definedName>
    <definedName name="sdfsdf" localSheetId="12">BlankMacro1</definedName>
    <definedName name="sdfsdf" localSheetId="6">BlankMacro1</definedName>
    <definedName name="sdfsdf">BlankMacro1</definedName>
    <definedName name="sdfvcxv" localSheetId="12">BlankMacro1</definedName>
    <definedName name="sdfvcxv" localSheetId="6">BlankMacro1</definedName>
    <definedName name="sdfvcxv">BlankMacro1</definedName>
    <definedName name="SDFVDRF" localSheetId="12">BlankMacro1</definedName>
    <definedName name="SDFVDRF" localSheetId="6">BlankMacro1</definedName>
    <definedName name="SDFVDRF">BlankMacro1</definedName>
    <definedName name="SDFWE" localSheetId="12">BlankMacro1</definedName>
    <definedName name="SDFWE" localSheetId="6">BlankMacro1</definedName>
    <definedName name="SDFWE">BlankMacro1</definedName>
    <definedName name="SDFWEF" localSheetId="12">BlankMacro1</definedName>
    <definedName name="SDFWEF" localSheetId="6">BlankMacro1</definedName>
    <definedName name="SDFWEF">BlankMacro1</definedName>
    <definedName name="sdgdsa" localSheetId="12">BlankMacro1</definedName>
    <definedName name="sdgdsa" localSheetId="11">BlankMacro1</definedName>
    <definedName name="sdgdsa" localSheetId="6">BlankMacro1</definedName>
    <definedName name="sdgdsa">BlankMacro1</definedName>
    <definedName name="SDGFFD" localSheetId="12">BlankMacro1</definedName>
    <definedName name="SDGFFD" localSheetId="6">BlankMacro1</definedName>
    <definedName name="SDGFFD">BlankMacro1</definedName>
    <definedName name="SDRE" localSheetId="7" hidden="1">{#N/A,#N/A,FALSE,"골재소요량";#N/A,#N/A,FALSE,"골재소요량"}</definedName>
    <definedName name="SDRE" localSheetId="4" hidden="1">{#N/A,#N/A,FALSE,"골재소요량";#N/A,#N/A,FALSE,"골재소요량"}</definedName>
    <definedName name="SDRE" localSheetId="0" hidden="1">{#N/A,#N/A,FALSE,"골재소요량";#N/A,#N/A,FALSE,"골재소요량"}</definedName>
    <definedName name="SDRE" hidden="1">{#N/A,#N/A,FALSE,"골재소요량";#N/A,#N/A,FALSE,"골재소요량"}</definedName>
    <definedName name="SDS" hidden="1">{#N/A,#N/A,FALSE,"2~8번"}</definedName>
    <definedName name="sdsdddd" localSheetId="12" hidden="1">{#N/A,#N/A,FALSE,"토공2"}</definedName>
    <definedName name="sdsdddd" hidden="1">{#N/A,#N/A,FALSE,"토공2"}</definedName>
    <definedName name="SDX" localSheetId="12">BlankMacro1</definedName>
    <definedName name="SDX" localSheetId="11">BlankMacro1</definedName>
    <definedName name="SDX" localSheetId="6">BlankMacro1</definedName>
    <definedName name="SDX">BlankMacro1</definedName>
    <definedName name="SE" localSheetId="12">BlankMacro1</definedName>
    <definedName name="SE" localSheetId="11">BlankMacro1</definedName>
    <definedName name="SE" localSheetId="6">BlankMacro1</definedName>
    <definedName name="SE">BlankMacro1</definedName>
    <definedName name="SEGFDZRGREG" localSheetId="12">BlankMacro1</definedName>
    <definedName name="SEGFDZRGREG" localSheetId="6">BlankMacro1</definedName>
    <definedName name="SEGFDZRGREG">BlankMacro1</definedName>
    <definedName name="SELECT">#N/A</definedName>
    <definedName name="SER" localSheetId="12">BlankMacro1</definedName>
    <definedName name="SER" localSheetId="11">BlankMacro1</definedName>
    <definedName name="SER" localSheetId="6">BlankMacro1</definedName>
    <definedName name="SER">BlankMacro1</definedName>
    <definedName name="ses" localSheetId="12">BlankMacro1</definedName>
    <definedName name="ses" localSheetId="11">BlankMacro1</definedName>
    <definedName name="ses" localSheetId="6">BlankMacro1</definedName>
    <definedName name="ses">BlankMacro1</definedName>
    <definedName name="SET" localSheetId="12">BlankMacro1</definedName>
    <definedName name="SET" localSheetId="11">BlankMacro1</definedName>
    <definedName name="SET" localSheetId="6">BlankMacro1</definedName>
    <definedName name="SET">BlankMacro1</definedName>
    <definedName name="SEW" localSheetId="12">BlankMacro1</definedName>
    <definedName name="SEW" localSheetId="11">BlankMacro1</definedName>
    <definedName name="SEW" localSheetId="6">BlankMacro1</definedName>
    <definedName name="SEW">BlankMacro1</definedName>
    <definedName name="SEZ" localSheetId="6">BlankMacro1</definedName>
    <definedName name="SEZ">BlankMacro1</definedName>
    <definedName name="sf" localSheetId="12">BlankMacro1</definedName>
    <definedName name="sf" localSheetId="11">BlankMacro1</definedName>
    <definedName name="SF" localSheetId="6">BlankMacro1</definedName>
    <definedName name="SF">BlankMacro1</definedName>
    <definedName name="SFDG" localSheetId="6">BlankMacro1</definedName>
    <definedName name="SFDG">BlankMacro1</definedName>
    <definedName name="SFDGHG" localSheetId="6">BlankMacro1</definedName>
    <definedName name="SFDGHG">BlankMacro1</definedName>
    <definedName name="SFFFFFWE" localSheetId="12">BlankMacro1</definedName>
    <definedName name="SFFFFFWE" localSheetId="11">BlankMacro1</definedName>
    <definedName name="SFFFFFWE" localSheetId="6">BlankMacro1</definedName>
    <definedName name="SFFFFFWE">BlankMacro1</definedName>
    <definedName name="SFG" localSheetId="6">BlankMacro1</definedName>
    <definedName name="SFG">BlankMacro1</definedName>
    <definedName name="sfggf" localSheetId="12" hidden="1">{#N/A,#N/A,FALSE,"배수1"}</definedName>
    <definedName name="sfggf" hidden="1">{#N/A,#N/A,FALSE,"배수1"}</definedName>
    <definedName name="SFW" localSheetId="6">BlankMacro1</definedName>
    <definedName name="SFW">BlankMacro1</definedName>
    <definedName name="sfwe" localSheetId="12">BlankMacro1</definedName>
    <definedName name="sfwe" localSheetId="6">BlankMacro1</definedName>
    <definedName name="sfwe">BlankMacro1</definedName>
    <definedName name="S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gge" localSheetId="12">BlankMacro1</definedName>
    <definedName name="sgge" localSheetId="11">BlankMacro1</definedName>
    <definedName name="sgge" localSheetId="6">BlankMacro1</definedName>
    <definedName name="sgge">BlankMacro1</definedName>
    <definedName name="sheet" localSheetId="12" hidden="1">{#N/A,#N/A,FALSE,"골재소요량";#N/A,#N/A,FALSE,"골재소요량"}</definedName>
    <definedName name="sheet" hidden="1">{#N/A,#N/A,FALSE,"골재소요량";#N/A,#N/A,FALSE,"골재소요량"}</definedName>
    <definedName name="SO" localSheetId="12" hidden="1">{"SJ - 기본 보기",#N/A,FALSE,"공사별 외주견적"}</definedName>
    <definedName name="SO" hidden="1">{"SJ - 기본 보기",#N/A,FALSE,"공사별 외주견적"}</definedName>
    <definedName name="SODURTJ" localSheetId="12">Dlog_Show</definedName>
    <definedName name="SODURTJ" localSheetId="6">Dlog_Show</definedName>
    <definedName name="SODURTJ">Dlog_Show</definedName>
    <definedName name="SORTCODE" localSheetId="12">#N/A</definedName>
    <definedName name="SORTCODE" localSheetId="11">#N/A</definedName>
    <definedName name="sr" localSheetId="12">BlankMacro1</definedName>
    <definedName name="sr" localSheetId="11">BlankMacro1</definedName>
    <definedName name="sr" localSheetId="6">BlankMacro1</definedName>
    <definedName name="sr">BlankMacro1</definedName>
    <definedName name="SRDBRE" localSheetId="12">BlankMacro1</definedName>
    <definedName name="SRDBRE" localSheetId="6">BlankMacro1</definedName>
    <definedName name="SRDBRE">BlankMacro1</definedName>
    <definedName name="ss" localSheetId="12">#N/A</definedName>
    <definedName name="ss" localSheetId="9">표지!ss</definedName>
    <definedName name="SSD" localSheetId="6">BlankMacro1</definedName>
    <definedName name="SSD">BlankMacro1</definedName>
    <definedName name="sss" localSheetId="12" hidden="1">{#N/A,#N/A,FALSE,"전력간선"}</definedName>
    <definedName name="sss" localSheetId="11" hidden="1">{#N/A,#N/A,FALSE,"전력간선"}</definedName>
    <definedName name="SSSS" localSheetId="12">BlankMacro1</definedName>
    <definedName name="SSSS" localSheetId="11">BlankMacro1</definedName>
    <definedName name="SSSS" localSheetId="6">BlankMacro1</definedName>
    <definedName name="SSSS">BlankMacro1</definedName>
    <definedName name="ST" localSheetId="6">BlankMacro1</definedName>
    <definedName name="ST">BlankMacro1</definedName>
    <definedName name="SU_S">#N/A</definedName>
    <definedName name="SUYO">#N/A</definedName>
    <definedName name="SVS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VS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w" localSheetId="12">BlankMacro1</definedName>
    <definedName name="sw" localSheetId="11">BlankMacro1</definedName>
    <definedName name="sw" localSheetId="6">BlankMacro1</definedName>
    <definedName name="sw">BlankMacro1</definedName>
    <definedName name="sx" localSheetId="12">BlankMacro1</definedName>
    <definedName name="sx" localSheetId="11">BlankMacro1</definedName>
    <definedName name="sx" localSheetId="9">BlankMacro1</definedName>
    <definedName name="T_AMOUNT">#N/A</definedName>
    <definedName name="T_UPRICE">#N/A</definedName>
    <definedName name="T4ER" localSheetId="7" hidden="1">{#N/A,#N/A,FALSE,"조골재"}</definedName>
    <definedName name="T4ER" localSheetId="4" hidden="1">{#N/A,#N/A,FALSE,"조골재"}</definedName>
    <definedName name="T4ER" localSheetId="0" hidden="1">{#N/A,#N/A,FALSE,"조골재"}</definedName>
    <definedName name="T4ER" hidden="1">{#N/A,#N/A,FALSE,"조골재"}</definedName>
    <definedName name="TBTY" localSheetId="7" hidden="1">{#N/A,#N/A,FALSE,"2~8번"}</definedName>
    <definedName name="TBTY" localSheetId="4" hidden="1">{#N/A,#N/A,FALSE,"2~8번"}</definedName>
    <definedName name="TBTY" localSheetId="0" hidden="1">{#N/A,#N/A,FALSE,"2~8번"}</definedName>
    <definedName name="TBTY" hidden="1">{#N/A,#N/A,FALSE,"2~8번"}</definedName>
    <definedName name="TG" localSheetId="12">BlankMacro1</definedName>
    <definedName name="TG" localSheetId="11">BlankMacro1</definedName>
    <definedName name="TG" localSheetId="6">BlankMacro1</definedName>
    <definedName name="TG">BlankMacro1</definedName>
    <definedName name="THGB" localSheetId="12">BlankMacro1</definedName>
    <definedName name="THGB" localSheetId="6">BlankMacro1</definedName>
    <definedName name="THGB">BlankMacro1</definedName>
    <definedName name="TO">#N/A</definedName>
    <definedName name="TON">" Sheet1!$G$54"</definedName>
    <definedName name="TOO">#N/A</definedName>
    <definedName name="TRBY" localSheetId="7" hidden="1">{#N/A,#N/A,FALSE,"혼합골재"}</definedName>
    <definedName name="TRBY" localSheetId="4" hidden="1">{#N/A,#N/A,FALSE,"혼합골재"}</definedName>
    <definedName name="TRBY" localSheetId="0" hidden="1">{#N/A,#N/A,FALSE,"혼합골재"}</definedName>
    <definedName name="TRBY" hidden="1">{#N/A,#N/A,FALSE,"혼합골재"}</definedName>
    <definedName name="TRSH" localSheetId="7" hidden="1">{#N/A,#N/A,FALSE,"포장단가"}</definedName>
    <definedName name="TRSH" localSheetId="4" hidden="1">{#N/A,#N/A,FALSE,"포장단가"}</definedName>
    <definedName name="TRSH" localSheetId="0" hidden="1">{#N/A,#N/A,FALSE,"포장단가"}</definedName>
    <definedName name="TRSH" hidden="1">{#N/A,#N/A,FALSE,"포장단가"}</definedName>
    <definedName name="TRT" localSheetId="12">BlankMacro1</definedName>
    <definedName name="TRT" localSheetId="11">BlankMacro1</definedName>
    <definedName name="TRT" localSheetId="6">BlankMacro1</definedName>
    <definedName name="TRT">BlankMacro1</definedName>
    <definedName name="TRTRTR" localSheetId="7" hidden="1">{#N/A,#N/A,FALSE,"운반시간"}</definedName>
    <definedName name="TRTRTR" localSheetId="4" hidden="1">{#N/A,#N/A,FALSE,"운반시간"}</definedName>
    <definedName name="TRTRTR" localSheetId="0" hidden="1">{#N/A,#N/A,FALSE,"운반시간"}</definedName>
    <definedName name="TRTRTR" hidden="1">{#N/A,#N/A,FALSE,"운반시간"}</definedName>
    <definedName name="tt" localSheetId="12" hidden="1">{#N/A,#N/A,FALSE,"단가표지"}</definedName>
    <definedName name="tt" localSheetId="7" hidden="1">{#N/A,#N/A,FALSE,"골재소요량";#N/A,#N/A,FALSE,"골재소요량"}</definedName>
    <definedName name="tt" localSheetId="4" hidden="1">{#N/A,#N/A,FALSE,"골재소요량";#N/A,#N/A,FALSE,"골재소요량"}</definedName>
    <definedName name="tt" localSheetId="0" hidden="1">{#N/A,#N/A,FALSE,"골재소요량";#N/A,#N/A,FALSE,"골재소요량"}</definedName>
    <definedName name="tt" hidden="1">{#N/A,#N/A,FALSE,"골재소요량";#N/A,#N/A,FALSE,"골재소요량"}</definedName>
    <definedName name="tttt" localSheetId="7" hidden="1">{#N/A,#N/A,FALSE,"골재소요량";#N/A,#N/A,FALSE,"골재소요량"}</definedName>
    <definedName name="tttt" localSheetId="4" hidden="1">{#N/A,#N/A,FALSE,"골재소요량";#N/A,#N/A,FALSE,"골재소요량"}</definedName>
    <definedName name="tttt" localSheetId="0" hidden="1">{#N/A,#N/A,FALSE,"골재소요량";#N/A,#N/A,FALSE,"골재소요량"}</definedName>
    <definedName name="tttt" hidden="1">{#N/A,#N/A,FALSE,"골재소요량";#N/A,#N/A,FALSE,"골재소요량"}</definedName>
    <definedName name="tttttt" localSheetId="7" hidden="1">{#N/A,#N/A,FALSE,"골재소요량";#N/A,#N/A,FALSE,"골재소요량"}</definedName>
    <definedName name="tttttt" localSheetId="9" hidden="1">{#N/A,#N/A,FALSE,"골재소요량";#N/A,#N/A,FALSE,"골재소요량"}</definedName>
    <definedName name="tttttt" localSheetId="4" hidden="1">{#N/A,#N/A,FALSE,"골재소요량";#N/A,#N/A,FALSE,"골재소요량"}</definedName>
    <definedName name="tttttt" localSheetId="0" hidden="1">{#N/A,#N/A,FALSE,"골재소요량";#N/A,#N/A,FALSE,"골재소요량"}</definedName>
    <definedName name="tttttt" hidden="1">{#N/A,#N/A,FALSE,"골재소요량";#N/A,#N/A,FALSE,"골재소요량"}</definedName>
    <definedName name="TUYT" localSheetId="12">BlankMacro1</definedName>
    <definedName name="TUYT" localSheetId="6">BlankMacro1</definedName>
    <definedName name="TUYT">BlankMacro1</definedName>
    <definedName name="ty" localSheetId="12">BlankMacro1</definedName>
    <definedName name="ty" localSheetId="11">BlankMacro1</definedName>
    <definedName name="ty" localSheetId="6">BlankMacro1</definedName>
    <definedName name="ty">BlankMacro1</definedName>
    <definedName name="TYHFDGFD" localSheetId="12" hidden="1">{#N/A,#N/A,FALSE,"배수2"}</definedName>
    <definedName name="TYHFDGFD" hidden="1">{#N/A,#N/A,FALSE,"배수2"}</definedName>
    <definedName name="tyrrt" localSheetId="12">BlankMacro1</definedName>
    <definedName name="tyrrt" localSheetId="6">BlankMacro1</definedName>
    <definedName name="tyrrt">BlankMacro1</definedName>
    <definedName name="TYSEDRGS" localSheetId="12">BlankMacro1</definedName>
    <definedName name="TYSEDRGS" localSheetId="6">BlankMacro1</definedName>
    <definedName name="TYSEDRGS">BlankMacro1</definedName>
    <definedName name="TYT" localSheetId="12">BlankMacro1</definedName>
    <definedName name="TYT" localSheetId="11">BlankMacro1</definedName>
    <definedName name="TYT" localSheetId="6">BlankMacro1</definedName>
    <definedName name="TYT">BlankMacro1</definedName>
    <definedName name="TYU">#N/A</definedName>
    <definedName name="UJJ" localSheetId="12">BlankMacro1</definedName>
    <definedName name="UJJ" localSheetId="11">BlankMacro1</definedName>
    <definedName name="UJJ" localSheetId="6">BlankMacro1</definedName>
    <definedName name="UJJ">BlankMacro1</definedName>
    <definedName name="UUI" localSheetId="12">BlankMacro1</definedName>
    <definedName name="UUI" localSheetId="11">BlankMacro1</definedName>
    <definedName name="UUI" localSheetId="6">BlankMacro1</definedName>
    <definedName name="UUI">BlankMacro1</definedName>
    <definedName name="UUKYIK" localSheetId="7" hidden="1">{#N/A,#N/A,FALSE,"조골재"}</definedName>
    <definedName name="UUKYIK" localSheetId="4" hidden="1">{#N/A,#N/A,FALSE,"조골재"}</definedName>
    <definedName name="UUKYIK" localSheetId="0" hidden="1">{#N/A,#N/A,FALSE,"조골재"}</definedName>
    <definedName name="UUKYIK" hidden="1">{#N/A,#N/A,FALSE,"조골재"}</definedName>
    <definedName name="uuuu" localSheetId="12" hidden="1">{#N/A,#N/A,FALSE,"단가표지"}</definedName>
    <definedName name="uuuu" hidden="1">{#N/A,#N/A,FALSE,"단가표지"}</definedName>
    <definedName name="UY" localSheetId="12">BlankMacro1</definedName>
    <definedName name="UY" localSheetId="11">BlankMacro1</definedName>
    <definedName name="UY" localSheetId="6">BlankMacro1</definedName>
    <definedName name="UY">BlankMacro1</definedName>
    <definedName name="uyijh" localSheetId="12">BlankMacro1</definedName>
    <definedName name="uyijh" localSheetId="6">BlankMacro1</definedName>
    <definedName name="uyijh">BlankMacro1</definedName>
    <definedName name="UYIJRTFY" localSheetId="12">BlankMacro1</definedName>
    <definedName name="UYIJRTFY" localSheetId="6">BlankMacro1</definedName>
    <definedName name="UYIJRTFY">BlankMacro1</definedName>
    <definedName name="uyiy" localSheetId="12">BlankMacro1</definedName>
    <definedName name="uyiy" localSheetId="6">BlankMacro1</definedName>
    <definedName name="uyiy">BlankMacro1</definedName>
    <definedName name="u조서" localSheetId="6">BlankMacro1</definedName>
    <definedName name="u조서">BlankMacro1</definedName>
    <definedName name="U형측구수량산출조서" localSheetId="12">BlankMacro1</definedName>
    <definedName name="U형측구수량산출조서" localSheetId="6">BlankMacro1</definedName>
    <definedName name="U형측구수량산출조서">BlankMacro1</definedName>
    <definedName name="v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v" localSheetId="11">BlankMacro1</definedName>
    <definedName name="v" localSheetId="6">BlankMacro1</definedName>
    <definedName name="v">BlankMacro1</definedName>
    <definedName name="VAESFV" localSheetId="12">BlankMacro1</definedName>
    <definedName name="VAESFV" localSheetId="6">BlankMacro1</definedName>
    <definedName name="VAESFV">BlankMacro1</definedName>
    <definedName name="vbmnm" localSheetId="12">BlankMacro1</definedName>
    <definedName name="vbmnm" localSheetId="6">BlankMacro1</definedName>
    <definedName name="vbmnm">BlankMacro1</definedName>
    <definedName name="VBN" localSheetId="12">BlankMacro1</definedName>
    <definedName name="VBN" localSheetId="11">BlankMacro1</definedName>
    <definedName name="VBN" localSheetId="6">BlankMacro1</definedName>
    <definedName name="VBN">BlankMacro1</definedName>
    <definedName name="vbnvb" localSheetId="12">BlankMacro1</definedName>
    <definedName name="vbnvb" localSheetId="6">BlankMacro1</definedName>
    <definedName name="vbnvb">BlankMacro1</definedName>
    <definedName name="VC" localSheetId="12">BlankMacro1</definedName>
    <definedName name="VC" localSheetId="11">BlankMacro1</definedName>
    <definedName name="VC" localSheetId="6">BlankMacro1</definedName>
    <definedName name="VC">BlankMacro1</definedName>
    <definedName name="vcbc" localSheetId="12">BlankMacro1</definedName>
    <definedName name="vcbc" localSheetId="6">BlankMacro1</definedName>
    <definedName name="vcbc">BlankMacro1</definedName>
    <definedName name="vcbcvbdf" localSheetId="12">BlankMacro1</definedName>
    <definedName name="vcbcvbdf" localSheetId="6">BlankMacro1</definedName>
    <definedName name="vcbcvbdf">BlankMacro1</definedName>
    <definedName name="VD" localSheetId="12">BlankMacro1</definedName>
    <definedName name="VD" localSheetId="11">BlankMacro1</definedName>
    <definedName name="VD" localSheetId="6">BlankMacro1</definedName>
    <definedName name="VD">BlankMacro1</definedName>
    <definedName name="VDATA">#N/A</definedName>
    <definedName name="vddf" localSheetId="12">BlankMacro1</definedName>
    <definedName name="vddf" localSheetId="11">BlankMacro1</definedName>
    <definedName name="vddf" localSheetId="6">BlankMacro1</definedName>
    <definedName name="vddf">BlankMacro1</definedName>
    <definedName name="ve" localSheetId="12" hidden="1">{"'Firr(선)'!$AS$1:$AY$62","'Firr(사)'!$AS$1:$AY$62","'Firr(회)'!$AS$1:$AY$62","'Firr(선)'!$L$1:$V$62","'Firr(사)'!$L$1:$V$62","'Firr(회)'!$L$1:$V$62"}</definedName>
    <definedName name="ve" hidden="1">{"'Firr(선)'!$AS$1:$AY$62","'Firr(사)'!$AS$1:$AY$62","'Firr(회)'!$AS$1:$AY$62","'Firr(선)'!$L$1:$V$62","'Firr(사)'!$L$1:$V$62","'Firr(회)'!$L$1:$V$62"}</definedName>
    <definedName name="VG" localSheetId="12">BlankMacro1</definedName>
    <definedName name="VG" localSheetId="11">BlankMacro1</definedName>
    <definedName name="VG" localSheetId="6">BlankMacro1</definedName>
    <definedName name="VG">BlankMacro1</definedName>
    <definedName name="VGN" localSheetId="12">BlankMacro1</definedName>
    <definedName name="VGN" localSheetId="11">BlankMacro1</definedName>
    <definedName name="VGN" localSheetId="6">BlankMacro1</definedName>
    <definedName name="VGN">BlankMacro1</definedName>
    <definedName name="VHB" localSheetId="12">BlankMacro1</definedName>
    <definedName name="VHB" localSheetId="11">BlankMacro1</definedName>
    <definedName name="VHB" localSheetId="6">BlankMacro1</definedName>
    <definedName name="VHB">BlankMacro1</definedName>
    <definedName name="VMAX">#N/A</definedName>
    <definedName name="VRT" localSheetId="12">BlankMacro1</definedName>
    <definedName name="VRT" localSheetId="11">BlankMacro1</definedName>
    <definedName name="VRT" localSheetId="6">BlankMacro1</definedName>
    <definedName name="VRT">BlankMacro1</definedName>
    <definedName name="VS" localSheetId="12">BlankMacro1</definedName>
    <definedName name="VS" localSheetId="11">BlankMacro1</definedName>
    <definedName name="VS" localSheetId="6">BlankMacro1</definedName>
    <definedName name="VS">BlankMacro1</definedName>
    <definedName name="VSVS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VSVS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VU" localSheetId="12">BlankMacro1</definedName>
    <definedName name="VU" localSheetId="11">BlankMacro1</definedName>
    <definedName name="VU" localSheetId="6">BlankMacro1</definedName>
    <definedName name="VU">BlankMacro1</definedName>
    <definedName name="VX" localSheetId="12">BlankMacro1</definedName>
    <definedName name="VX" localSheetId="11">BlankMacro1</definedName>
    <definedName name="VX" localSheetId="6">BlankMacro1</definedName>
    <definedName name="VX">BlankMacro1</definedName>
    <definedName name="VY" localSheetId="12">BlankMacro1</definedName>
    <definedName name="VY" localSheetId="11">BlankMacro1</definedName>
    <definedName name="VY" localSheetId="6">BlankMacro1</definedName>
    <definedName name="VY">BlankMacro1</definedName>
    <definedName name="W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33W33W" localSheetId="7" hidden="1">{#N/A,#N/A,FALSE,"골재소요량";#N/A,#N/A,FALSE,"골재소요량"}</definedName>
    <definedName name="W33W33W" localSheetId="4" hidden="1">{#N/A,#N/A,FALSE,"골재소요량";#N/A,#N/A,FALSE,"골재소요량"}</definedName>
    <definedName name="W33W33W" localSheetId="0" hidden="1">{#N/A,#N/A,FALSE,"골재소요량";#N/A,#N/A,FALSE,"골재소요량"}</definedName>
    <definedName name="W33W33W" hidden="1">{#N/A,#N/A,FALSE,"골재소요량";#N/A,#N/A,FALSE,"골재소요량"}</definedName>
    <definedName name="WAFDREG" localSheetId="12">BlankMacro1</definedName>
    <definedName name="WAFDREG" localSheetId="6">BlankMacro1</definedName>
    <definedName name="WAFDREG">BlankMacro1</definedName>
    <definedName name="we" localSheetId="12">BlankMacro1</definedName>
    <definedName name="we" localSheetId="11">BlankMacro1</definedName>
    <definedName name="we" localSheetId="6">BlankMacro1</definedName>
    <definedName name="we">BlankMacro1</definedName>
    <definedName name="WEDDG" localSheetId="12">BlankMacro1</definedName>
    <definedName name="WEDDG" localSheetId="6">BlankMacro1</definedName>
    <definedName name="WEDDG">BlankMacro1</definedName>
    <definedName name="WER" localSheetId="12">BlankMacro1</definedName>
    <definedName name="WER" localSheetId="11">BlankMacro1</definedName>
    <definedName name="wer" localSheetId="7" hidden="1">{#N/A,#N/A,FALSE,"골재소요량";#N/A,#N/A,FALSE,"골재소요량"}</definedName>
    <definedName name="wer" localSheetId="9" hidden="1">{#N/A,#N/A,FALSE,"골재소요량";#N/A,#N/A,FALSE,"골재소요량"}</definedName>
    <definedName name="wer" localSheetId="4" hidden="1">{#N/A,#N/A,FALSE,"골재소요량";#N/A,#N/A,FALSE,"골재소요량"}</definedName>
    <definedName name="wer" localSheetId="0" hidden="1">{#N/A,#N/A,FALSE,"골재소요량";#N/A,#N/A,FALSE,"골재소요량"}</definedName>
    <definedName name="wer" hidden="1">{#N/A,#N/A,FALSE,"골재소요량";#N/A,#N/A,FALSE,"골재소요량"}</definedName>
    <definedName name="wert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rt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RWES" localSheetId="12">BlankMacro1</definedName>
    <definedName name="WERWES" localSheetId="6">BlankMacro1</definedName>
    <definedName name="WERWES">BlankMacro1</definedName>
    <definedName name="WERWVQ5R" localSheetId="7" hidden="1">{#N/A,#N/A,FALSE,"조골재"}</definedName>
    <definedName name="WERWVQ5R" localSheetId="4" hidden="1">{#N/A,#N/A,FALSE,"조골재"}</definedName>
    <definedName name="WERWVQ5R" localSheetId="0" hidden="1">{#N/A,#N/A,FALSE,"조골재"}</definedName>
    <definedName name="WERWVQ5R" hidden="1">{#N/A,#N/A,FALSE,"조골재"}</definedName>
    <definedName name="wes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s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ttt3" localSheetId="12">BlankMacro1</definedName>
    <definedName name="wettt3" localSheetId="11">BlankMacro1</definedName>
    <definedName name="wettt3" localSheetId="6">BlankMacro1</definedName>
    <definedName name="wettt3">BlankMacro1</definedName>
    <definedName name="WEVRW" localSheetId="7" hidden="1">{#N/A,#N/A,FALSE,"골재소요량";#N/A,#N/A,FALSE,"골재소요량"}</definedName>
    <definedName name="WEVRW" localSheetId="4" hidden="1">{#N/A,#N/A,FALSE,"골재소요량";#N/A,#N/A,FALSE,"골재소요량"}</definedName>
    <definedName name="WEVRW" localSheetId="0" hidden="1">{#N/A,#N/A,FALSE,"골재소요량";#N/A,#N/A,FALSE,"골재소요량"}</definedName>
    <definedName name="WEVRW" hidden="1">{#N/A,#N/A,FALSE,"골재소요량";#N/A,#N/A,FALSE,"골재소요량"}</definedName>
    <definedName name="wkdidsps" localSheetId="12" hidden="1">{#N/A,#N/A,FALSE,"배수2"}</definedName>
    <definedName name="wkdidsps" hidden="1">{#N/A,#N/A,FALSE,"배수2"}</definedName>
    <definedName name="WKDQL" localSheetId="12" hidden="1">{#N/A,#N/A,FALSE,"전력간선"}</definedName>
    <definedName name="WKDQL" hidden="1">{#N/A,#N/A,FALSE,"전력간선"}</definedName>
    <definedName name="WLQ" localSheetId="12" hidden="1">{#N/A,#N/A,FALSE,"명세표"}</definedName>
    <definedName name="WLQ" hidden="1">{#N/A,#N/A,FALSE,"명세표"}</definedName>
    <definedName name="wm.조골재1" localSheetId="12" hidden="1">{#N/A,#N/A,FALSE,"조골재"}</definedName>
    <definedName name="wm.조골재1" localSheetId="11" hidden="1">{#N/A,#N/A,FALSE,"조골재"}</definedName>
    <definedName name="wm.조골재1" localSheetId="7" hidden="1">{#N/A,#N/A,FALSE,"조골재"}</definedName>
    <definedName name="wm.조골재1" localSheetId="4" hidden="1">{#N/A,#N/A,FALSE,"조골재"}</definedName>
    <definedName name="wm.조골재1" localSheetId="0" hidden="1">{#N/A,#N/A,FALSE,"조골재"}</definedName>
    <definedName name="wm.조골재1" hidden="1">{#N/A,#N/A,FALSE,"조골재"}</definedName>
    <definedName name="wocld" localSheetId="12" hidden="1">{#N/A,#N/A,FALSE,"토공2"}</definedName>
    <definedName name="wocld" hidden="1">{#N/A,#N/A,FALSE,"토공2"}</definedName>
    <definedName name="WQ" localSheetId="12">BlankMacro1</definedName>
    <definedName name="WQ" localSheetId="11">BlankMacro1</definedName>
    <definedName name="WQ" localSheetId="6">BlankMacro1</definedName>
    <definedName name="WQ">BlankMacro1</definedName>
    <definedName name="WQR" localSheetId="12">BlankMacro1</definedName>
    <definedName name="WQR" localSheetId="11">BlankMacro1</definedName>
    <definedName name="WQR" localSheetId="6">BlankMacro1</definedName>
    <definedName name="WQR">BlankMacro1</definedName>
    <definedName name="WQRE" localSheetId="12">BlankMacro1</definedName>
    <definedName name="WQRE" localSheetId="11">BlankMacro1</definedName>
    <definedName name="WQRE" localSheetId="6">BlankMacro1</definedName>
    <definedName name="WQRE">BlankMacro1</definedName>
    <definedName name="wqsdf" localSheetId="12">BlankMacro1</definedName>
    <definedName name="wqsdf" localSheetId="6">BlankMacro1</definedName>
    <definedName name="wqsdf">BlankMacro1</definedName>
    <definedName name="WQW" localSheetId="12">BlankMacro1</definedName>
    <definedName name="WQW" localSheetId="11">BlankMacro1</definedName>
    <definedName name="WQW" localSheetId="6">BlankMacro1</definedName>
    <definedName name="WQW">BlankMacro1</definedName>
    <definedName name="WRBESTE" localSheetId="12">BlankMacro1</definedName>
    <definedName name="WRBESTE" localSheetId="6">BlankMacro1</definedName>
    <definedName name="WRBESTE">BlankMacro1</definedName>
    <definedName name="WRE" localSheetId="12">BlankMacro1</definedName>
    <definedName name="WRE" localSheetId="11">BlankMacro1</definedName>
    <definedName name="WRE" localSheetId="6">BlankMacro1</definedName>
    <definedName name="WRE">BlankMacro1</definedName>
    <definedName name="wreewq" localSheetId="12">BlankMacro1</definedName>
    <definedName name="wreewq" localSheetId="6">BlankMacro1</definedName>
    <definedName name="wreewq">BlankMacro1</definedName>
    <definedName name="wrn.2번." localSheetId="12" hidden="1">{#N/A,#N/A,FALSE,"2~8번"}</definedName>
    <definedName name="wrn.2번." localSheetId="11" hidden="1">{#N/A,#N/A,FALSE,"2~8번"}</definedName>
    <definedName name="wrn.2번." localSheetId="7" hidden="1">{#N/A,#N/A,FALSE,"2~8번"}</definedName>
    <definedName name="wrn.2번." localSheetId="9" hidden="1">{#N/A,#N/A,FALSE,"2~8번"}</definedName>
    <definedName name="wrn.2번." localSheetId="4" hidden="1">{#N/A,#N/A,FALSE,"2~8번"}</definedName>
    <definedName name="wrn.2번." localSheetId="0" hidden="1">{#N/A,#N/A,FALSE,"2~8번"}</definedName>
    <definedName name="wrn.2번." hidden="1">{#N/A,#N/A,FALSE,"2~8번"}</definedName>
    <definedName name="wrn.97년._.사업계획._.및._.예산지침." localSheetId="12" hidden="1">{#N/A,#N/A,TRUE,"1";#N/A,#N/A,TRUE,"2";#N/A,#N/A,TRUE,"3";#N/A,#N/A,TRUE,"4";#N/A,#N/A,TRUE,"5";#N/A,#N/A,TRUE,"6";#N/A,#N/A,TRUE,"7"}</definedName>
    <definedName name="wrn.97년._.사업계획._.및._.예산지침." hidden="1">{#N/A,#N/A,TRUE,"1";#N/A,#N/A,TRUE,"2";#N/A,#N/A,TRUE,"3";#N/A,#N/A,TRUE,"4";#N/A,#N/A,TRUE,"5";#N/A,#N/A,TRUE,"6";#N/A,#N/A,TRUE,"7"}</definedName>
    <definedName name="wrn.ac30prn." localSheetId="12" hidden="1">{#N/A,#N/A,FALSE,"별표20 ";#N/A,#N/A,FALSE,"부표";#N/A,#N/A,FALSE,"품셈내역";#N/A,#N/A,FALSE,"품셈집계";#N/A,#N/A,FALSE,"내역서";#N/A,#N/A,FALSE,"집계표";#N/A,#N/A,FALSE,"표지";#N/A,#N/A,FALSE,"별표총괄표"}</definedName>
    <definedName name="wrn.ac30prn." hidden="1">{#N/A,#N/A,FALSE,"별표20 ";#N/A,#N/A,FALSE,"부표";#N/A,#N/A,FALSE,"품셈내역";#N/A,#N/A,FALSE,"품셈집계";#N/A,#N/A,FALSE,"내역서";#N/A,#N/A,FALSE,"집계표";#N/A,#N/A,FALSE,"표지";#N/A,#N/A,FALSE,"별표총괄표"}</definedName>
    <definedName name="wrn.test1." localSheetId="12" hidden="1">{#N/A,#N/A,FALSE,"명세표"}</definedName>
    <definedName name="wrn.test1." hidden="1">{#N/A,#N/A,FALSE,"명세표"}</definedName>
    <definedName name="wrn.각종보고서._.전체인쇄._.기본형." localSheetId="7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localSheetId="4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localSheetId="0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수자원." localSheetId="7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localSheetId="4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localSheetId="0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7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4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0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7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4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0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수량집계._.전체인쇄." localSheetId="7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localSheetId="4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localSheetId="0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hidden="1">{#N/A,#N/A,FALSE,"일위대가목록";#N/A,#N/A,FALSE,"산출근거목록";#N/A,#N/A,FALSE,"노무비";#N/A,#N/A,FALSE,"재료비";#N/A,#N/A,FALSE,"경비";#N/A,#N/A,FALSE,"기타";#N/A,#N/A,FALSE,"중기목록"}</definedName>
    <definedName name="wrn.건물기초." localSheetId="1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경비인쇄." localSheetId="7" hidden="1">{#N/A,#N/A,FALSE,"경비"}</definedName>
    <definedName name="wrn.경비인쇄." localSheetId="4" hidden="1">{#N/A,#N/A,FALSE,"경비"}</definedName>
    <definedName name="wrn.경비인쇄." localSheetId="0" hidden="1">{#N/A,#N/A,FALSE,"경비"}</definedName>
    <definedName name="wrn.경비인쇄." hidden="1">{#N/A,#N/A,FALSE,"경비"}</definedName>
    <definedName name="wrn.골재소요량." localSheetId="12" hidden="1">{#N/A,#N/A,FALSE,"골재소요량";#N/A,#N/A,FALSE,"골재소요량"}</definedName>
    <definedName name="wrn.골재소요량." localSheetId="11" hidden="1">{#N/A,#N/A,FALSE,"골재소요량";#N/A,#N/A,FALSE,"골재소요량"}</definedName>
    <definedName name="wrn.골재소요량." localSheetId="7" hidden="1">{#N/A,#N/A,FALSE,"골재소요량";#N/A,#N/A,FALSE,"골재소요량"}</definedName>
    <definedName name="wrn.골재소요량." localSheetId="9" hidden="1">{#N/A,#N/A,FALSE,"골재소요량";#N/A,#N/A,FALSE,"골재소요량"}</definedName>
    <definedName name="wrn.골재소요량." localSheetId="4" hidden="1">{#N/A,#N/A,FALSE,"골재소요량";#N/A,#N/A,FALSE,"골재소요량"}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대구조계산.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rn.교대구조계산.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rn.교육청." localSheetId="12" hidden="1">{#N/A,#N/A,FALSE,"전력간선"}</definedName>
    <definedName name="wrn.교육청." localSheetId="11" hidden="1">{#N/A,#N/A,FALSE,"전력간선"}</definedName>
    <definedName name="wrn.교육청." localSheetId="7" hidden="1">{#N/A,#N/A,FALSE,"전력간선"}</definedName>
    <definedName name="wrn.교육청." localSheetId="9" hidden="1">{#N/A,#N/A,FALSE,"전력간선"}</definedName>
    <definedName name="wrn.교육청." localSheetId="4" hidden="1">{#N/A,#N/A,FALSE,"전력간선"}</definedName>
    <definedName name="wrn.교육청." localSheetId="0" hidden="1">{#N/A,#N/A,FALSE,"전력간선"}</definedName>
    <definedName name="wrn.교육청." hidden="1">{#N/A,#N/A,FALSE,"전력간선"}</definedName>
    <definedName name="wrn.구조2." localSheetId="12" hidden="1">{#N/A,#N/A,FALSE,"구조2"}</definedName>
    <definedName name="wrn.구조2." localSheetId="11" hidden="1">{#N/A,#N/A,FALSE,"구조2"}</definedName>
    <definedName name="wrn.구조2." localSheetId="7" hidden="1">{#N/A,#N/A,FALSE,"구조2"}</definedName>
    <definedName name="wrn.구조2." localSheetId="9" hidden="1">{#N/A,#N/A,FALSE,"구조2"}</definedName>
    <definedName name="wrn.구조2." localSheetId="4" hidden="1">{#N/A,#N/A,FALSE,"구조2"}</definedName>
    <definedName name="wrn.구조2." localSheetId="0" hidden="1">{#N/A,#N/A,FALSE,"구조2"}</definedName>
    <definedName name="wrn.구조2." hidden="1">{#N/A,#N/A,FALSE,"구조2"}</definedName>
    <definedName name="wrn.기성." localSheetId="12" hidden="1">{#N/A,#N/A,FALSE,"신청통보";#N/A,#N/A,FALSE,"기성확인서";#N/A,#N/A,FALSE,"기성내역서"}</definedName>
    <definedName name="wrn.기성." hidden="1">{#N/A,#N/A,FALSE,"신청통보";#N/A,#N/A,FALSE,"기성확인서";#N/A,#N/A,FALSE,"기성내역서"}</definedName>
    <definedName name="wrn.기타인쇄." localSheetId="7" hidden="1">{#N/A,#N/A,FALSE,"기타"}</definedName>
    <definedName name="wrn.기타인쇄." localSheetId="4" hidden="1">{#N/A,#N/A,FALSE,"기타"}</definedName>
    <definedName name="wrn.기타인쇄." localSheetId="0" hidden="1">{#N/A,#N/A,FALSE,"기타"}</definedName>
    <definedName name="wrn.기타인쇄." hidden="1">{#N/A,#N/A,FALSE,"기타"}</definedName>
    <definedName name="wrn.노무비인쇄." localSheetId="7" hidden="1">{#N/A,#N/A,FALSE,"노무비"}</definedName>
    <definedName name="wrn.노무비인쇄." localSheetId="4" hidden="1">{#N/A,#N/A,FALSE,"노무비"}</definedName>
    <definedName name="wrn.노무비인쇄." localSheetId="0" hidden="1">{#N/A,#N/A,FALSE,"노무비"}</definedName>
    <definedName name="wrn.노무비인쇄." hidden="1">{#N/A,#N/A,FALSE,"노무비"}</definedName>
    <definedName name="wrn.단가산출서.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wrn.단가산출서.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wrn.단가표지." localSheetId="12" hidden="1">{#N/A,#N/A,FALSE,"단가표지"}</definedName>
    <definedName name="wrn.단가표지." localSheetId="11" hidden="1">{#N/A,#N/A,FALSE,"단가표지"}</definedName>
    <definedName name="wrn.단가표지." localSheetId="7" hidden="1">{#N/A,#N/A,FALSE,"단가표지"}</definedName>
    <definedName name="wrn.단가표지." localSheetId="9" hidden="1">{#N/A,#N/A,FALSE,"단가표지"}</definedName>
    <definedName name="wrn.단가표지." localSheetId="4" hidden="1">{#N/A,#N/A,FALSE,"단가표지"}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12" hidden="1">{#N/A,#N/A,FALSE,"배수1"}</definedName>
    <definedName name="wrn.배수1." localSheetId="11" hidden="1">{#N/A,#N/A,FALSE,"배수1"}</definedName>
    <definedName name="wrn.배수1." localSheetId="7" hidden="1">{#N/A,#N/A,FALSE,"배수1"}</definedName>
    <definedName name="wrn.배수1." localSheetId="9" hidden="1">{#N/A,#N/A,FALSE,"배수1"}</definedName>
    <definedName name="wrn.배수1." localSheetId="4" hidden="1">{#N/A,#N/A,FALSE,"배수1"}</definedName>
    <definedName name="wrn.배수1." localSheetId="0" hidden="1">{#N/A,#N/A,FALSE,"배수1"}</definedName>
    <definedName name="wrn.배수1." hidden="1">{#N/A,#N/A,FALSE,"배수1"}</definedName>
    <definedName name="wrn.배수2." localSheetId="12" hidden="1">{#N/A,#N/A,FALSE,"배수2"}</definedName>
    <definedName name="wrn.배수2." localSheetId="11" hidden="1">{#N/A,#N/A,FALSE,"배수2"}</definedName>
    <definedName name="wrn.배수2." localSheetId="7" hidden="1">{#N/A,#N/A,FALSE,"배수2"}</definedName>
    <definedName name="wrn.배수2." localSheetId="9" hidden="1">{#N/A,#N/A,FALSE,"배수2"}</definedName>
    <definedName name="wrn.배수2." localSheetId="4" hidden="1">{#N/A,#N/A,FALSE,"배수2"}</definedName>
    <definedName name="wrn.배수2." localSheetId="0" hidden="1">{#N/A,#N/A,FALSE,"배수2"}</definedName>
    <definedName name="wrn.배수2." hidden="1">{#N/A,#N/A,FALSE,"배수2"}</definedName>
    <definedName name="wrn.부대1." localSheetId="12" hidden="1">{#N/A,#N/A,FALSE,"부대1"}</definedName>
    <definedName name="wrn.부대1." localSheetId="11" hidden="1">{#N/A,#N/A,FALSE,"부대1"}</definedName>
    <definedName name="wrn.부대1." localSheetId="7" hidden="1">{#N/A,#N/A,FALSE,"부대1"}</definedName>
    <definedName name="wrn.부대1." localSheetId="9" hidden="1">{#N/A,#N/A,FALSE,"부대1"}</definedName>
    <definedName name="wrn.부대1." localSheetId="4" hidden="1">{#N/A,#N/A,FALSE,"부대1"}</definedName>
    <definedName name="wrn.부대1." localSheetId="0" hidden="1">{#N/A,#N/A,FALSE,"부대1"}</definedName>
    <definedName name="wrn.부대1." hidden="1">{#N/A,#N/A,FALSE,"부대1"}</definedName>
    <definedName name="wrn.부대2." localSheetId="12" hidden="1">{#N/A,#N/A,FALSE,"부대2"}</definedName>
    <definedName name="wrn.부대2." localSheetId="11" hidden="1">{#N/A,#N/A,FALSE,"부대2"}</definedName>
    <definedName name="wrn.부대2." localSheetId="7" hidden="1">{#N/A,#N/A,FALSE,"부대2"}</definedName>
    <definedName name="wrn.부대2." localSheetId="9" hidden="1">{#N/A,#N/A,FALSE,"부대2"}</definedName>
    <definedName name="wrn.부대2." localSheetId="4" hidden="1">{#N/A,#N/A,FALSE,"부대2"}</definedName>
    <definedName name="wrn.부대2." localSheetId="0" hidden="1">{#N/A,#N/A,FALSE,"부대2"}</definedName>
    <definedName name="wrn.부대2." hidden="1">{#N/A,#N/A,FALSE,"부대2"}</definedName>
    <definedName name="wrn.부산주경기장.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산출근거목록인쇄." localSheetId="7" hidden="1">{#N/A,#N/A,FALSE,"산출근거목록"}</definedName>
    <definedName name="wrn.산출근거목록인쇄." localSheetId="4" hidden="1">{#N/A,#N/A,FALSE,"산출근거목록"}</definedName>
    <definedName name="wrn.산출근거목록인쇄." localSheetId="0" hidden="1">{#N/A,#N/A,FALSE,"산출근거목록"}</definedName>
    <definedName name="wrn.산출근거목록인쇄." hidden="1">{#N/A,#N/A,FALSE,"산출근거목록"}</definedName>
    <definedName name="wrn.산출근거인쇄." localSheetId="7" hidden="1">{#N/A,#N/A,FALSE,"산출근거"}</definedName>
    <definedName name="wrn.산출근거인쇄." localSheetId="4" hidden="1">{#N/A,#N/A,FALSE,"산출근거"}</definedName>
    <definedName name="wrn.산출근거인쇄." localSheetId="0" hidden="1">{#N/A,#N/A,FALSE,"산출근거"}</definedName>
    <definedName name="wrn.산출근거인쇄." hidden="1">{#N/A,#N/A,FALSE,"산출근거"}</definedName>
    <definedName name="wrn.산출근거인쇄._.토개공변환." localSheetId="7" hidden="1">{#N/A,#N/A,FALSE,"산출근거변환"}</definedName>
    <definedName name="wrn.산출근거인쇄._.토개공변환." localSheetId="4" hidden="1">{#N/A,#N/A,FALSE,"산출근거변환"}</definedName>
    <definedName name="wrn.산출근거인쇄._.토개공변환." localSheetId="0" hidden="1">{#N/A,#N/A,FALSE,"산출근거변환"}</definedName>
    <definedName name="wrn.산출근거인쇄._.토개공변환." hidden="1">{#N/A,#N/A,FALSE,"산출근거변환"}</definedName>
    <definedName name="wrn.설계내역서인쇄." localSheetId="7" hidden="1">{#N/A,#N/A,FALSE,"설계내역서"}</definedName>
    <definedName name="wrn.설계내역서인쇄." localSheetId="4" hidden="1">{#N/A,#N/A,FALSE,"설계내역서"}</definedName>
    <definedName name="wrn.설계내역서인쇄." localSheetId="0" hidden="1">{#N/A,#N/A,FALSE,"설계내역서"}</definedName>
    <definedName name="wrn.설계내역서인쇄." hidden="1">{#N/A,#N/A,FALSE,"설계내역서"}</definedName>
    <definedName name="wrn.속도." localSheetId="12" hidden="1">{#N/A,#N/A,FALSE,"속도"}</definedName>
    <definedName name="wrn.속도." localSheetId="11" hidden="1">{#N/A,#N/A,FALSE,"속도"}</definedName>
    <definedName name="wrn.속도." localSheetId="7" hidden="1">{#N/A,#N/A,FALSE,"속도"}</definedName>
    <definedName name="wrn.속도." localSheetId="9" hidden="1">{#N/A,#N/A,FALSE,"속도"}</definedName>
    <definedName name="wrn.속도." localSheetId="4" hidden="1">{#N/A,#N/A,FALSE,"속도"}</definedName>
    <definedName name="wrn.속도." localSheetId="0" hidden="1">{#N/A,#N/A,FALSE,"속도"}</definedName>
    <definedName name="wrn.속도." hidden="1">{#N/A,#N/A,FALSE,"속도"}</definedName>
    <definedName name="wrn.손익보고.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수." localSheetId="12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시행결의." localSheetId="12" hidden="1">{#N/A,#N/A,FALSE,"결의서";#N/A,#N/A,FALSE,"내역서";#N/A,#N/A,FALSE,"도급예상";#N/A,#N/A,FALSE,"시방서"}</definedName>
    <definedName name="wrn.시행결의." hidden="1">{#N/A,#N/A,FALSE,"결의서";#N/A,#N/A,FALSE,"내역서";#N/A,#N/A,FALSE,"도급예상";#N/A,#N/A,FALSE,"시방서"}</definedName>
    <definedName name="wrn.신용찬." localSheetId="12" hidden="1">{#N/A,#N/A,TRUE,"토적및재료집계";#N/A,#N/A,TRUE,"토적및재료집계";#N/A,#N/A,TRUE,"단위량"}</definedName>
    <definedName name="wrn.신용찬." hidden="1">{#N/A,#N/A,TRUE,"토적및재료집계";#N/A,#N/A,TRUE,"토적및재료집계";#N/A,#N/A,TRUE,"단위량"}</definedName>
    <definedName name="wrn.업체별._.견적공사명." localSheetId="12" hidden="1">{"SJ - 기본 보기",#N/A,FALSE,"공사별 외주견적"}</definedName>
    <definedName name="wrn.업체별._.견적공사명." hidden="1">{"SJ - 기본 보기",#N/A,FALSE,"공사별 외주견적"}</definedName>
    <definedName name="wrn.운반시간." localSheetId="12" hidden="1">{#N/A,#N/A,FALSE,"운반시간"}</definedName>
    <definedName name="wrn.운반시간." localSheetId="11" hidden="1">{#N/A,#N/A,FALSE,"운반시간"}</definedName>
    <definedName name="wrn.운반시간." localSheetId="7" hidden="1">{#N/A,#N/A,FALSE,"운반시간"}</definedName>
    <definedName name="wrn.운반시간." localSheetId="9" hidden="1">{#N/A,#N/A,FALSE,"운반시간"}</definedName>
    <definedName name="wrn.운반시간." localSheetId="4" hidden="1">{#N/A,#N/A,FALSE,"운반시간"}</definedName>
    <definedName name="wrn.운반시간." localSheetId="0" hidden="1">{#N/A,#N/A,FALSE,"운반시간"}</definedName>
    <definedName name="wrn.운반시간." hidden="1">{#N/A,#N/A,FALSE,"운반시간"}</definedName>
    <definedName name="wrn.원가계산서인쇄." localSheetId="7" hidden="1">{#N/A,#N/A,FALSE,"원가계산서"}</definedName>
    <definedName name="wrn.원가계산서인쇄." localSheetId="4" hidden="1">{#N/A,#N/A,FALSE,"원가계산서"}</definedName>
    <definedName name="wrn.원가계산서인쇄." localSheetId="0" hidden="1">{#N/A,#N/A,FALSE,"원가계산서"}</definedName>
    <definedName name="wrn.원가계산서인쇄." hidden="1">{#N/A,#N/A,FALSE,"원가계산서"}</definedName>
    <definedName name="wrn.이정표." localSheetId="12" hidden="1">{#N/A,#N/A,FALSE,"이정표"}</definedName>
    <definedName name="wrn.이정표." localSheetId="11" hidden="1">{#N/A,#N/A,FALSE,"이정표"}</definedName>
    <definedName name="wrn.이정표." localSheetId="7" hidden="1">{#N/A,#N/A,FALSE,"이정표"}</definedName>
    <definedName name="wrn.이정표." localSheetId="9" hidden="1">{#N/A,#N/A,FALSE,"이정표"}</definedName>
    <definedName name="wrn.이정표." localSheetId="4" hidden="1">{#N/A,#N/A,FALSE,"이정표"}</definedName>
    <definedName name="wrn.이정표." localSheetId="0" hidden="1">{#N/A,#N/A,FALSE,"이정표"}</definedName>
    <definedName name="wrn.이정표." hidden="1">{#N/A,#N/A,FALSE,"이정표"}</definedName>
    <definedName name="wrn.일위대가목록인쇄." localSheetId="7" hidden="1">{#N/A,#N/A,FALSE,"일위대가목록"}</definedName>
    <definedName name="wrn.일위대가목록인쇄." localSheetId="4" hidden="1">{#N/A,#N/A,FALSE,"일위대가목록"}</definedName>
    <definedName name="wrn.일위대가목록인쇄." localSheetId="0" hidden="1">{#N/A,#N/A,FALSE,"일위대가목록"}</definedName>
    <definedName name="wrn.일위대가목록인쇄." hidden="1">{#N/A,#N/A,FALSE,"일위대가목록"}</definedName>
    <definedName name="wrn.일위대가인쇄." localSheetId="7" hidden="1">{#N/A,#N/A,FALSE,"일위대가"}</definedName>
    <definedName name="wrn.일위대가인쇄." localSheetId="4" hidden="1">{#N/A,#N/A,FALSE,"일위대가"}</definedName>
    <definedName name="wrn.일위대가인쇄." localSheetId="0" hidden="1">{#N/A,#N/A,FALSE,"일위대가"}</definedName>
    <definedName name="wrn.일위대가인쇄." hidden="1">{#N/A,#N/A,FALSE,"일위대가"}</definedName>
    <definedName name="wrn.일위대가인쇄._.수자원변환." localSheetId="7" hidden="1">{#N/A,#N/A,FALSE,"일위대가변환"}</definedName>
    <definedName name="wrn.일위대가인쇄._.수자원변환." localSheetId="4" hidden="1">{#N/A,#N/A,FALSE,"일위대가변환"}</definedName>
    <definedName name="wrn.일위대가인쇄._.수자원변환." localSheetId="0" hidden="1">{#N/A,#N/A,FALSE,"일위대가변환"}</definedName>
    <definedName name="wrn.일위대가인쇄._.수자원변환." hidden="1">{#N/A,#N/A,FALSE,"일위대가변환"}</definedName>
    <definedName name="wrn.재료비인쇄." localSheetId="7" hidden="1">{#N/A,#N/A,FALSE,"재료비"}</definedName>
    <definedName name="wrn.재료비인쇄." localSheetId="4" hidden="1">{#N/A,#N/A,FALSE,"재료비"}</definedName>
    <definedName name="wrn.재료비인쇄." localSheetId="0" hidden="1">{#N/A,#N/A,FALSE,"재료비"}</definedName>
    <definedName name="wrn.재료비인쇄." hidden="1">{#N/A,#N/A,FALSE,"재료비"}</definedName>
    <definedName name="wrn.조골재." localSheetId="12" hidden="1">{#N/A,#N/A,FALSE,"조골재"}</definedName>
    <definedName name="wrn.조골재." localSheetId="11" hidden="1">{#N/A,#N/A,FALSE,"조골재"}</definedName>
    <definedName name="wrn.조골재." localSheetId="7" hidden="1">{#N/A,#N/A,FALSE,"조골재"}</definedName>
    <definedName name="wrn.조골재." localSheetId="9" hidden="1">{#N/A,#N/A,FALSE,"조골재"}</definedName>
    <definedName name="wrn.조골재." localSheetId="4" hidden="1">{#N/A,#N/A,FALSE,"조골재"}</definedName>
    <definedName name="wrn.조골재." localSheetId="0" hidden="1">{#N/A,#N/A,FALSE,"조골재"}</definedName>
    <definedName name="wrn.조골재." hidden="1">{#N/A,#N/A,FALSE,"조골재"}</definedName>
    <definedName name="wrn.중기목록인쇄." localSheetId="7" hidden="1">{#N/A,#N/A,FALSE,"중기목록"}</definedName>
    <definedName name="wrn.중기목록인쇄." localSheetId="4" hidden="1">{#N/A,#N/A,FALSE,"중기목록"}</definedName>
    <definedName name="wrn.중기목록인쇄." localSheetId="0" hidden="1">{#N/A,#N/A,FALSE,"중기목록"}</definedName>
    <definedName name="wrn.중기목록인쇄." hidden="1">{#N/A,#N/A,FALSE,"중기목록"}</definedName>
    <definedName name="wrn.중기산출기초인쇄." localSheetId="7" hidden="1">{#N/A,#N/A,FALSE,"중기산출기초"}</definedName>
    <definedName name="wrn.중기산출기초인쇄." localSheetId="4" hidden="1">{#N/A,#N/A,FALSE,"중기산출기초"}</definedName>
    <definedName name="wrn.중기산출기초인쇄." localSheetId="0" hidden="1">{#N/A,#N/A,FALSE,"중기산출기초"}</definedName>
    <definedName name="wrn.중기산출기초인쇄." hidden="1">{#N/A,#N/A,FALSE,"중기산출기초"}</definedName>
    <definedName name="wrn.중기인쇄." localSheetId="7" hidden="1">{#N/A,#N/A,FALSE,"중기"}</definedName>
    <definedName name="wrn.중기인쇄." localSheetId="4" hidden="1">{#N/A,#N/A,FALSE,"중기"}</definedName>
    <definedName name="wrn.중기인쇄." localSheetId="0" hidden="1">{#N/A,#N/A,FALSE,"중기"}</definedName>
    <definedName name="wrn.중기인쇄." hidden="1">{#N/A,#N/A,FALSE,"중기"}</definedName>
    <definedName name="wrn.중기인쇄._.일반형변환." localSheetId="7" hidden="1">{#N/A,#N/A,FALSE,"중기변환"}</definedName>
    <definedName name="wrn.중기인쇄._.일반형변환." localSheetId="4" hidden="1">{#N/A,#N/A,FALSE,"중기변환"}</definedName>
    <definedName name="wrn.중기인쇄._.일반형변환." localSheetId="0" hidden="1">{#N/A,#N/A,FALSE,"중기변환"}</definedName>
    <definedName name="wrn.중기인쇄._.일반형변환." hidden="1">{#N/A,#N/A,FALSE,"중기변환"}</definedName>
    <definedName name="wrn.지수1." localSheetId="12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지수1.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토공1." localSheetId="12" hidden="1">{#N/A,#N/A,FALSE,"구조1"}</definedName>
    <definedName name="wrn.토공1." localSheetId="11" hidden="1">{#N/A,#N/A,FALSE,"구조1"}</definedName>
    <definedName name="wrn.토공1." localSheetId="7" hidden="1">{#N/A,#N/A,FALSE,"구조1"}</definedName>
    <definedName name="wrn.토공1." localSheetId="9" hidden="1">{#N/A,#N/A,FALSE,"구조1"}</definedName>
    <definedName name="wrn.토공1." localSheetId="4" hidden="1">{#N/A,#N/A,FALSE,"구조1"}</definedName>
    <definedName name="wrn.토공1." localSheetId="0" hidden="1">{#N/A,#N/A,FALSE,"구조1"}</definedName>
    <definedName name="wrn.토공1." hidden="1">{#N/A,#N/A,FALSE,"구조1"}</definedName>
    <definedName name="wrn.토공2." localSheetId="12" hidden="1">{#N/A,#N/A,FALSE,"토공2"}</definedName>
    <definedName name="wrn.토공2." localSheetId="11" hidden="1">{#N/A,#N/A,FALSE,"토공2"}</definedName>
    <definedName name="wrn.토공2." localSheetId="7" hidden="1">{#N/A,#N/A,FALSE,"토공2"}</definedName>
    <definedName name="wrn.토공2." localSheetId="9" hidden="1">{#N/A,#N/A,FALSE,"토공2"}</definedName>
    <definedName name="wrn.토공2." localSheetId="4" hidden="1">{#N/A,#N/A,FALSE,"토공2"}</definedName>
    <definedName name="wrn.토공2." localSheetId="0" hidden="1">{#N/A,#N/A,FALSE,"토공2"}</definedName>
    <definedName name="wrn.토공2." hidden="1">{#N/A,#N/A,FALSE,"토공2"}</definedName>
    <definedName name="wrn.통신지." localSheetId="12" hidden="1">{#N/A,#N/A,FALSE,"기안지";#N/A,#N/A,FALSE,"통신지"}</definedName>
    <definedName name="wrn.통신지." hidden="1">{#N/A,#N/A,FALSE,"기안지";#N/A,#N/A,FALSE,"통신지"}</definedName>
    <definedName name="wrn.포장1." localSheetId="12" hidden="1">{#N/A,#N/A,FALSE,"포장1";#N/A,#N/A,FALSE,"포장1"}</definedName>
    <definedName name="wrn.포장1." localSheetId="11" hidden="1">{#N/A,#N/A,FALSE,"포장1";#N/A,#N/A,FALSE,"포장1"}</definedName>
    <definedName name="wrn.포장1." localSheetId="7" hidden="1">{#N/A,#N/A,FALSE,"포장1";#N/A,#N/A,FALSE,"포장1"}</definedName>
    <definedName name="wrn.포장1." localSheetId="9" hidden="1">{#N/A,#N/A,FALSE,"포장1";#N/A,#N/A,FALSE,"포장1"}</definedName>
    <definedName name="wrn.포장1." localSheetId="4" hidden="1">{#N/A,#N/A,FALSE,"포장1";#N/A,#N/A,FALSE,"포장1"}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12" hidden="1">{#N/A,#N/A,FALSE,"포장2"}</definedName>
    <definedName name="wrn.포장2." localSheetId="11" hidden="1">{#N/A,#N/A,FALSE,"포장2"}</definedName>
    <definedName name="wrn.포장2." localSheetId="7" hidden="1">{#N/A,#N/A,FALSE,"포장2"}</definedName>
    <definedName name="wrn.포장2." localSheetId="9" hidden="1">{#N/A,#N/A,FALSE,"포장2"}</definedName>
    <definedName name="wrn.포장2." localSheetId="4" hidden="1">{#N/A,#N/A,FALSE,"포장2"}</definedName>
    <definedName name="wrn.포장2." localSheetId="0" hidden="1">{#N/A,#N/A,FALSE,"포장2"}</definedName>
    <definedName name="wrn.포장2." hidden="1">{#N/A,#N/A,FALSE,"포장2"}</definedName>
    <definedName name="wrn.포장단가." localSheetId="12" hidden="1">{#N/A,#N/A,FALSE,"포장단가"}</definedName>
    <definedName name="wrn.포장단가." localSheetId="11" hidden="1">{#N/A,#N/A,FALSE,"포장단가"}</definedName>
    <definedName name="wrn.포장단가." localSheetId="7" hidden="1">{#N/A,#N/A,FALSE,"포장단가"}</definedName>
    <definedName name="wrn.포장단가." localSheetId="4" hidden="1">{#N/A,#N/A,FALSE,"포장단가"}</definedName>
    <definedName name="wrn.포장단가." localSheetId="0" hidden="1">{#N/A,#N/A,FALSE,"포장단가"}</definedName>
    <definedName name="wrn.포장단가." hidden="1">{#N/A,#N/A,FALSE,"포장단가"}</definedName>
    <definedName name="wrn.표지." localSheetId="12" hidden="1">{#N/A,#N/A,FALSE,"표지"}</definedName>
    <definedName name="wrn.표지." hidden="1">{#N/A,#N/A,FALSE,"표지"}</definedName>
    <definedName name="wrn.표지목차." localSheetId="12" hidden="1">{#N/A,#N/A,FALSE,"표지목차"}</definedName>
    <definedName name="wrn.표지목차." localSheetId="11" hidden="1">{#N/A,#N/A,FALSE,"표지목차"}</definedName>
    <definedName name="wrn.표지목차." localSheetId="7" hidden="1">{#N/A,#N/A,FALSE,"표지목차"}</definedName>
    <definedName name="wrn.표지목차." localSheetId="9" hidden="1">{#N/A,#N/A,FALSE,"표지목차"}</definedName>
    <definedName name="wrn.표지목차." localSheetId="4" hidden="1">{#N/A,#N/A,FALSE,"표지목차"}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12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12" hidden="1">{#N/A,#N/A,FALSE,"혼합골재"}</definedName>
    <definedName name="wrn.혼합골재." localSheetId="11" hidden="1">{#N/A,#N/A,FALSE,"혼합골재"}</definedName>
    <definedName name="wrn.혼합골재." localSheetId="7" hidden="1">{#N/A,#N/A,FALSE,"혼합골재"}</definedName>
    <definedName name="wrn.혼합골재." localSheetId="9" hidden="1">{#N/A,#N/A,FALSE,"혼합골재"}</definedName>
    <definedName name="wrn.혼합골재." localSheetId="4" hidden="1">{#N/A,#N/A,FALSE,"혼합골재"}</definedName>
    <definedName name="wrn.혼합골재." localSheetId="0" hidden="1">{#N/A,#N/A,FALSE,"혼합골재"}</definedName>
    <definedName name="wrn.혼합골재." hidden="1">{#N/A,#N/A,FALSE,"혼합골재"}</definedName>
    <definedName name="wrn.황금동." localSheetId="12" hidden="1">{#N/A,#N/A,FALSE,"단면 제원"}</definedName>
    <definedName name="wrn.황금동." hidden="1">{#N/A,#N/A,FALSE,"단면 제원"}</definedName>
    <definedName name="WRVFED" localSheetId="12">BlankMacro1</definedName>
    <definedName name="WRVFED" localSheetId="6">BlankMacro1</definedName>
    <definedName name="WRVFED">BlankMacro1</definedName>
    <definedName name="ww" localSheetId="12" hidden="1">{#N/A,#N/A,FALSE,"골재소요량";#N/A,#N/A,FALSE,"골재소요량"}</definedName>
    <definedName name="wwww" localSheetId="12">BLCH</definedName>
    <definedName name="wwww" localSheetId="6">BLCH</definedName>
    <definedName name="wwww">BLCH</definedName>
    <definedName name="WZ" localSheetId="6">BlankMacro1</definedName>
    <definedName name="WZ">BlankMacro1</definedName>
    <definedName name="x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x" localSheetId="11" hidden="1">{#N/A,#N/A,FALSE,"운반시간"}</definedName>
    <definedName name="x" localSheetId="6">BlankMacro1</definedName>
    <definedName name="x">BlankMacro1</definedName>
    <definedName name="xc" localSheetId="12">BlankMacro1</definedName>
    <definedName name="xc" localSheetId="11">BlankMacro1</definedName>
    <definedName name="xc" localSheetId="6">BlankMacro1</definedName>
    <definedName name="xc">BlankMacro1</definedName>
    <definedName name="XCDF" localSheetId="12">BlankMacro1</definedName>
    <definedName name="XCDF" localSheetId="11">BlankMacro1</definedName>
    <definedName name="XCDF" localSheetId="6">BlankMacro1</definedName>
    <definedName name="XCDF">BlankMacro1</definedName>
    <definedName name="xcv" localSheetId="12">BlankMacro1</definedName>
    <definedName name="xcv" localSheetId="6">BlankMacro1</definedName>
    <definedName name="xcv">BlankMacro1</definedName>
    <definedName name="xcvxcvxv" localSheetId="12">BlankMacro1</definedName>
    <definedName name="xcvxcvxv" localSheetId="6">BlankMacro1</definedName>
    <definedName name="xcvxcvxv">BlankMacro1</definedName>
    <definedName name="xd" localSheetId="12">BlankMacro1</definedName>
    <definedName name="xd" localSheetId="11">BlankMacro1</definedName>
    <definedName name="xd" localSheetId="6">BlankMacro1</definedName>
    <definedName name="xd">BlankMacro1</definedName>
    <definedName name="xdd" localSheetId="12">BlankMacro1</definedName>
    <definedName name="xdd" localSheetId="11">BlankMacro1</definedName>
    <definedName name="xdd" localSheetId="6">BlankMacro1</definedName>
    <definedName name="xdd">BlankMacro1</definedName>
    <definedName name="xddd" localSheetId="12">BlankMacro1</definedName>
    <definedName name="xddd" localSheetId="11">BlankMacro1</definedName>
    <definedName name="xddd" localSheetId="6">BlankMacro1</definedName>
    <definedName name="xddd">BlankMacro1</definedName>
    <definedName name="XDDDDW" localSheetId="12">BlankMacro1</definedName>
    <definedName name="XDDDDW" localSheetId="11">BlankMacro1</definedName>
    <definedName name="XDDDDW" localSheetId="6">BlankMacro1</definedName>
    <definedName name="XDDDDW">BlankMacro1</definedName>
    <definedName name="XDDFE" localSheetId="12">BlankMacro1</definedName>
    <definedName name="XDDFE" localSheetId="11">BlankMacro1</definedName>
    <definedName name="XDDFE" localSheetId="6">BlankMacro1</definedName>
    <definedName name="XDDFE">BlankMacro1</definedName>
    <definedName name="XDV" localSheetId="12">BlankMacro1</definedName>
    <definedName name="XDV" localSheetId="11">BlankMacro1</definedName>
    <definedName name="XDV" localSheetId="6">BlankMacro1</definedName>
    <definedName name="XDV">BlankMacro1</definedName>
    <definedName name="XG" localSheetId="12">BlankMacro1</definedName>
    <definedName name="XG" localSheetId="11">BlankMacro1</definedName>
    <definedName name="XG" localSheetId="6">BlankMacro1</definedName>
    <definedName name="XG">BlankMacro1</definedName>
    <definedName name="xs" localSheetId="12">BlankMacro1</definedName>
    <definedName name="xs" localSheetId="11">BlankMacro1</definedName>
    <definedName name="xs" localSheetId="6">BlankMacro1</definedName>
    <definedName name="xs">BlankMacro1</definedName>
    <definedName name="xsa" localSheetId="12">BlankMacro1</definedName>
    <definedName name="xsa" localSheetId="11">BlankMacro1</definedName>
    <definedName name="xsa" localSheetId="6">BlankMacro1</definedName>
    <definedName name="xsa">BlankMacro1</definedName>
    <definedName name="xsdf" localSheetId="12">BlankMacro1</definedName>
    <definedName name="xsdf" localSheetId="6">BlankMacro1</definedName>
    <definedName name="xsdf">BlankMacro1</definedName>
    <definedName name="xv" localSheetId="12">BlankMacro1</definedName>
    <definedName name="xv" localSheetId="11">BlankMacro1</definedName>
    <definedName name="xv" localSheetId="6">BlankMacro1</definedName>
    <definedName name="xv">BlankMacro1</definedName>
    <definedName name="xvb" localSheetId="12">BlankMacro1</definedName>
    <definedName name="xvb" localSheetId="11">BlankMacro1</definedName>
    <definedName name="xvb" localSheetId="6">BlankMacro1</definedName>
    <definedName name="xvb">BlankMacro1</definedName>
    <definedName name="XX" localSheetId="6">BlankMacro1</definedName>
    <definedName name="XX">BlankMacro1</definedName>
    <definedName name="xxca" localSheetId="12" hidden="1">{"'Firr(선)'!$AS$1:$AY$62","'Firr(사)'!$AS$1:$AY$62","'Firr(회)'!$AS$1:$AY$62","'Firr(선)'!$L$1:$V$62","'Firr(사)'!$L$1:$V$62","'Firr(회)'!$L$1:$V$62"}</definedName>
    <definedName name="xxca" hidden="1">{"'Firr(선)'!$AS$1:$AY$62","'Firr(사)'!$AS$1:$AY$62","'Firr(회)'!$AS$1:$AY$62","'Firr(선)'!$L$1:$V$62","'Firr(사)'!$L$1:$V$62","'Firr(회)'!$L$1:$V$62"}</definedName>
    <definedName name="xxxx" localSheetId="7" hidden="1">{#N/A,#N/A,FALSE,"표지목차"}</definedName>
    <definedName name="xxxx" localSheetId="9" hidden="1">{#N/A,#N/A,FALSE,"표지목차"}</definedName>
    <definedName name="xxxx" localSheetId="4" hidden="1">{#N/A,#N/A,FALSE,"표지목차"}</definedName>
    <definedName name="xxxx" localSheetId="0" hidden="1">{#N/A,#N/A,FALSE,"표지목차"}</definedName>
    <definedName name="xxxx" hidden="1">{#N/A,#N/A,FALSE,"표지목차"}</definedName>
    <definedName name="xxxxc" localSheetId="7" hidden="1">{#N/A,#N/A,FALSE,"조골재"}</definedName>
    <definedName name="xxxxc" localSheetId="9" hidden="1">{#N/A,#N/A,FALSE,"조골재"}</definedName>
    <definedName name="xxxxc" localSheetId="4" hidden="1">{#N/A,#N/A,FALSE,"조골재"}</definedName>
    <definedName name="xxxxc" localSheetId="0" hidden="1">{#N/A,#N/A,FALSE,"조골재"}</definedName>
    <definedName name="xxxxc" hidden="1">{#N/A,#N/A,FALSE,"조골재"}</definedName>
    <definedName name="xz" localSheetId="12">BlankMacro1</definedName>
    <definedName name="xz" localSheetId="11">BlankMacro1</definedName>
    <definedName name="xz" localSheetId="6">BlankMacro1</definedName>
    <definedName name="xz">BlankMacro1</definedName>
    <definedName name="xzcs" localSheetId="12">BlankMacro1</definedName>
    <definedName name="xzcs" localSheetId="6">BlankMacro1</definedName>
    <definedName name="xzcs">BlankMacro1</definedName>
    <definedName name="xzz" localSheetId="12">BlankMacro1</definedName>
    <definedName name="xzz" localSheetId="11">BlankMacro1</definedName>
    <definedName name="xzz" localSheetId="6">BlankMacro1</definedName>
    <definedName name="xzz">BlankMacro1</definedName>
    <definedName name="y" hidden="1">{#N/A,#N/A,FALSE,"운반시간"}</definedName>
    <definedName name="YE">#N/A</definedName>
    <definedName name="YEKA">#N/A</definedName>
    <definedName name="YESFF" localSheetId="12">BlankMacro1</definedName>
    <definedName name="YESFF" localSheetId="6">BlankMacro1</definedName>
    <definedName name="YESFF">BlankMacro1</definedName>
    <definedName name="YHFXD" localSheetId="12">BlankMacro1</definedName>
    <definedName name="YHFXD" localSheetId="6">BlankMacro1</definedName>
    <definedName name="YHFXD">BlankMacro1</definedName>
    <definedName name="YTERT" localSheetId="12">BlankMacro1</definedName>
    <definedName name="YTERT" localSheetId="6">BlankMacro1</definedName>
    <definedName name="YTERT">BlankMacro1</definedName>
    <definedName name="YTGEGER" localSheetId="12">BlankMacro1</definedName>
    <definedName name="YTGEGER" localSheetId="6">BlankMacro1</definedName>
    <definedName name="YTGEGER">BlankMacro1</definedName>
    <definedName name="YTHIKYUI" localSheetId="12">BlankMacro1</definedName>
    <definedName name="YTHIKYUI" localSheetId="6">BlankMacro1</definedName>
    <definedName name="YTHIKYUI">BlankMacro1</definedName>
    <definedName name="ytughjhg" localSheetId="12">BlankMacro1</definedName>
    <definedName name="ytughjhg" localSheetId="6">BlankMacro1</definedName>
    <definedName name="ytughjhg">BlankMacro1</definedName>
    <definedName name="YU" localSheetId="12">#N/A</definedName>
    <definedName name="YU" localSheetId="11">BlankMacro1</definedName>
    <definedName name="YU" localSheetId="6">BlankMacro1</definedName>
    <definedName name="YU">BlankMacro1</definedName>
    <definedName name="YUIKYUI" localSheetId="12">BlankMacro1</definedName>
    <definedName name="YUIKYUI" localSheetId="6">BlankMacro1</definedName>
    <definedName name="YUIKYUI">BlankMacro1</definedName>
    <definedName name="YUYUY" localSheetId="12" hidden="1">{#N/A,#N/A,FALSE,"혼합골재"}</definedName>
    <definedName name="YUYUY" hidden="1">{#N/A,#N/A,FALSE,"혼합골재"}</definedName>
    <definedName name="yy" localSheetId="7" hidden="1">{#N/A,#N/A,FALSE,"단가표지"}</definedName>
    <definedName name="yy" localSheetId="9" hidden="1">{#N/A,#N/A,FALSE,"단가표지"}</definedName>
    <definedName name="yy" localSheetId="4" hidden="1">{#N/A,#N/A,FALSE,"단가표지"}</definedName>
    <definedName name="yy" localSheetId="0" hidden="1">{#N/A,#N/A,FALSE,"단가표지"}</definedName>
    <definedName name="yy" hidden="1">{#N/A,#N/A,FALSE,"단가표지"}</definedName>
    <definedName name="yyyyyy" localSheetId="7" hidden="1">{#N/A,#N/A,FALSE,"조골재"}</definedName>
    <definedName name="yyyyyy" localSheetId="9" hidden="1">{#N/A,#N/A,FALSE,"조골재"}</definedName>
    <definedName name="yyyyyy" localSheetId="4" hidden="1">{#N/A,#N/A,FALSE,"조골재"}</definedName>
    <definedName name="yyyyyy" localSheetId="0" hidden="1">{#N/A,#N/A,FALSE,"조골재"}</definedName>
    <definedName name="yyyyyy" hidden="1">{#N/A,#N/A,FALSE,"조골재"}</definedName>
    <definedName name="z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za" localSheetId="12">BlankMacro1</definedName>
    <definedName name="za" localSheetId="11">BlankMacro1</definedName>
    <definedName name="ZA" localSheetId="6">BlankMacro1</definedName>
    <definedName name="ZA">BlankMacro1</definedName>
    <definedName name="zb" localSheetId="12">BlankMacro1</definedName>
    <definedName name="zb" localSheetId="11">BlankMacro1</definedName>
    <definedName name="zb" localSheetId="6">BlankMacro1</definedName>
    <definedName name="zb">BlankMacro1</definedName>
    <definedName name="zc" localSheetId="12">BlankMacro1</definedName>
    <definedName name="zc" localSheetId="11">BlankMacro1</definedName>
    <definedName name="zc" localSheetId="6">BlankMacro1</definedName>
    <definedName name="zc">BlankMacro1</definedName>
    <definedName name="zsddvc" localSheetId="12">BlankMacro1</definedName>
    <definedName name="zsddvc" localSheetId="11">BlankMacro1</definedName>
    <definedName name="zsddvc" localSheetId="6">BlankMacro1</definedName>
    <definedName name="zsddvc">BlankMacro1</definedName>
    <definedName name="ZSQ" localSheetId="6">BlankMacro1</definedName>
    <definedName name="ZSQ">BlankMacro1</definedName>
    <definedName name="zx" localSheetId="12">BlankMacro1</definedName>
    <definedName name="zx" localSheetId="11">BlankMacro1</definedName>
    <definedName name="zx" localSheetId="6">BlankMacro1</definedName>
    <definedName name="zx">BlankMacro1</definedName>
    <definedName name="zxc" localSheetId="12">BlankMacro1</definedName>
    <definedName name="zxc" localSheetId="11">BlankMacro1</definedName>
    <definedName name="zxc" localSheetId="6">BlankMacro1</definedName>
    <definedName name="zxc">BlankMacro1</definedName>
    <definedName name="zxcasdas" localSheetId="12">BlankMacro1</definedName>
    <definedName name="zxcasdas" localSheetId="6">BlankMacro1</definedName>
    <definedName name="zxcasdas">BlankMacro1</definedName>
    <definedName name="zxczxc" localSheetId="12">BlankMacro1</definedName>
    <definedName name="zxczxc" localSheetId="6">BlankMacro1</definedName>
    <definedName name="zxczxc">BlankMacro1</definedName>
    <definedName name="zxczxczxc" localSheetId="12">BlankMacro1</definedName>
    <definedName name="zxczxczxc" localSheetId="6">BlankMacro1</definedName>
    <definedName name="zxczxczxc">BlankMacro1</definedName>
    <definedName name="zzz" localSheetId="7" hidden="1">{#N/A,#N/A,FALSE,"2~8번"}</definedName>
    <definedName name="zzz" localSheetId="4" hidden="1">{#N/A,#N/A,FALSE,"2~8번"}</definedName>
    <definedName name="zzz" localSheetId="0" hidden="1">{#N/A,#N/A,FALSE,"2~8번"}</definedName>
    <definedName name="zzz" hidden="1">{#N/A,#N/A,FALSE,"2~8번"}</definedName>
    <definedName name="φ406.4" localSheetId="12" hidden="1">{#N/A,#N/A,FALSE,"2~8번"}</definedName>
    <definedName name="φ406.4" localSheetId="11" hidden="1">{#N/A,#N/A,FALSE,"2~8번"}</definedName>
    <definedName name="φ406.4" localSheetId="7" hidden="1">{#N/A,#N/A,FALSE,"2~8번"}</definedName>
    <definedName name="φ406.4" localSheetId="4" hidden="1">{#N/A,#N/A,FALSE,"2~8번"}</definedName>
    <definedName name="φ406.4" localSheetId="0" hidden="1">{#N/A,#N/A,FALSE,"2~8번"}</definedName>
    <definedName name="φ406.4" hidden="1">{#N/A,#N/A,FALSE,"2~8번"}</definedName>
    <definedName name="ㄱ10">#N/A</definedName>
    <definedName name="ㄱ11">#N/A</definedName>
    <definedName name="ㄱ12">#N/A</definedName>
    <definedName name="ㄱ13">#N/A</definedName>
    <definedName name="ㄱ14">#N/A</definedName>
    <definedName name="ㄱ15">#N/A</definedName>
    <definedName name="ㄱ16">#N/A</definedName>
    <definedName name="ㄱ17">#N/A</definedName>
    <definedName name="ㄱ3">#N/A</definedName>
    <definedName name="ㄱ4">#N/A</definedName>
    <definedName name="ㄱ5">#N/A</definedName>
    <definedName name="ㄱ6">#N/A</definedName>
    <definedName name="ㄱ7">#N/A</definedName>
    <definedName name="ㄱ8">#N/A</definedName>
    <definedName name="ㄱ9">#N/A</definedName>
    <definedName name="ㄱㄱ" localSheetId="7" hidden="1">{#N/A,#N/A,FALSE,"단가표지"}</definedName>
    <definedName name="ㄱㄱ" localSheetId="4" hidden="1">{#N/A,#N/A,FALSE,"단가표지"}</definedName>
    <definedName name="ㄱㄱ" localSheetId="0" hidden="1">{#N/A,#N/A,FALSE,"단가표지"}</definedName>
    <definedName name="ㄱㄱ" hidden="1">{#N/A,#N/A,FALSE,"단가표지"}</definedName>
    <definedName name="ㄱㄱㄱ" localSheetId="12" hidden="1">{#N/A,#N/A,FALSE,"표지목차"}</definedName>
    <definedName name="ㄱㄱㄱ" hidden="1">{#N/A,#N/A,FALSE,"조골재"}</definedName>
    <definedName name="ㄱㄱㄱㄱㄱ" localSheetId="7" hidden="1">{#N/A,#N/A,FALSE,"2~8번"}</definedName>
    <definedName name="ㄱㄱㄱㄱㄱ" localSheetId="4" hidden="1">{#N/A,#N/A,FALSE,"2~8번"}</definedName>
    <definedName name="ㄱㄱㄱㄱㄱ" localSheetId="0" hidden="1">{#N/A,#N/A,FALSE,"2~8번"}</definedName>
    <definedName name="ㄱㄱㄱㄱㄱ" hidden="1">{#N/A,#N/A,FALSE,"2~8번"}</definedName>
    <definedName name="ㄱㄱㄱㄱㄱㄱㄱㄱㄱㄱㄱㄱㄱ" localSheetId="12" hidden="1">{#N/A,#N/A,FALSE,"단가표지"}</definedName>
    <definedName name="ㄱㄱㄱㄱㄱㄱㄱㄱㄱㄱㄱㄱㄱ" localSheetId="11" hidden="1">{#N/A,#N/A,FALSE,"단가표지"}</definedName>
    <definedName name="ㄱㄱㄱㄱㄱㄱㄱㄱㄱㄱㄱㄱㄱ" localSheetId="7" hidden="1">{#N/A,#N/A,FALSE,"단가표지"}</definedName>
    <definedName name="ㄱㄱㄱㄱㄱㄱㄱㄱㄱㄱㄱㄱㄱ" localSheetId="9" hidden="1">{#N/A,#N/A,FALSE,"단가표지"}</definedName>
    <definedName name="ㄱㄱㄱㄱㄱㄱㄱㄱㄱㄱㄱㄱㄱ" localSheetId="4" hidden="1">{#N/A,#N/A,FALSE,"단가표지"}</definedName>
    <definedName name="ㄱㄱㄱㄱㄱㄱㄱㄱㄱㄱㄱㄱㄱ" localSheetId="0" hidden="1">{#N/A,#N/A,FALSE,"단가표지"}</definedName>
    <definedName name="ㄱㄱㄱㄱㄱㄱㄱㄱㄱㄱㄱㄱㄱ" hidden="1">{#N/A,#N/A,FALSE,"단가표지"}</definedName>
    <definedName name="ㄱㄱㄱㄱㄱㄱㄱㄱㄱㄱㄱㄱㄱㄱㄱㄱ" localSheetId="12" hidden="1">{#N/A,#N/A,FALSE,"골재소요량";#N/A,#N/A,FALSE,"골재소요량"}</definedName>
    <definedName name="ㄱㄱㄱㄱㄱㄱㄱㄱㄱㄱㄱㄱㄱㄱㄱㄱ" localSheetId="11" hidden="1">{#N/A,#N/A,FALSE,"골재소요량";#N/A,#N/A,FALSE,"골재소요량"}</definedName>
    <definedName name="ㄱㄱㄱㄱㄱㄱㄱㄱㄱㄱㄱㄱㄱㄱㄱㄱ" localSheetId="7" hidden="1">{#N/A,#N/A,FALSE,"골재소요량";#N/A,#N/A,FALSE,"골재소요량"}</definedName>
    <definedName name="ㄱㄱㄱㄱㄱㄱㄱㄱㄱㄱㄱㄱㄱㄱㄱㄱ" localSheetId="9" hidden="1">{#N/A,#N/A,FALSE,"골재소요량";#N/A,#N/A,FALSE,"골재소요량"}</definedName>
    <definedName name="ㄱㄱㄱㄱㄱㄱㄱㄱㄱㄱㄱㄱㄱㄱㄱㄱ" localSheetId="4" hidden="1">{#N/A,#N/A,FALSE,"골재소요량";#N/A,#N/A,FALSE,"골재소요량"}</definedName>
    <definedName name="ㄱㄱㄱㄱㄱㄱㄱㄱㄱㄱㄱㄱㄱㄱㄱㄱ" localSheetId="0" hidden="1">{#N/A,#N/A,FALSE,"골재소요량";#N/A,#N/A,FALSE,"골재소요량"}</definedName>
    <definedName name="ㄱㄱㄱㄱㄱㄱㄱㄱㄱㄱㄱㄱㄱㄱㄱㄱ" hidden="1">{#N/A,#N/A,FALSE,"골재소요량";#N/A,#N/A,FALSE,"골재소요량"}</definedName>
    <definedName name="ㄱㄱㄱㄱㄱㄱㄱㄱㄱㄱㄱㄱㄱㄱㄱㄱㄱㄱ" localSheetId="12" hidden="1">{#N/A,#N/A,FALSE,"조골재"}</definedName>
    <definedName name="ㄱㄱㄱㄱㄱㄱㄱㄱㄱㄱㄱㄱㄱㄱㄱㄱㄱㄱ" localSheetId="11" hidden="1">{#N/A,#N/A,FALSE,"조골재"}</definedName>
    <definedName name="ㄱㄱㄱㄱㄱㄱㄱㄱㄱㄱㄱㄱㄱㄱㄱㄱㄱㄱ" localSheetId="7" hidden="1">{#N/A,#N/A,FALSE,"조골재"}</definedName>
    <definedName name="ㄱㄱㄱㄱㄱㄱㄱㄱㄱㄱㄱㄱㄱㄱㄱㄱㄱㄱ" localSheetId="9" hidden="1">{#N/A,#N/A,FALSE,"조골재"}</definedName>
    <definedName name="ㄱㄱㄱㄱㄱㄱㄱㄱㄱㄱㄱㄱㄱㄱㄱㄱㄱㄱ" localSheetId="4" hidden="1">{#N/A,#N/A,FALSE,"조골재"}</definedName>
    <definedName name="ㄱㄱㄱㄱㄱㄱㄱㄱㄱㄱㄱㄱㄱㄱㄱㄱㄱㄱ" localSheetId="0" hidden="1">{#N/A,#N/A,FALSE,"조골재"}</definedName>
    <definedName name="ㄱㄱㄱㄱㄱㄱㄱㄱㄱㄱㄱㄱㄱㄱㄱㄱㄱㄱ" hidden="1">{#N/A,#N/A,FALSE,"조골재"}</definedName>
    <definedName name="ㄱㄳㄳ" localSheetId="12" hidden="1">{#N/A,#N/A,FALSE,"2~8번"}</definedName>
    <definedName name="ㄱㄳㄳ" localSheetId="11" hidden="1">{#N/A,#N/A,FALSE,"2~8번"}</definedName>
    <definedName name="ㄱㄳㄳ" localSheetId="7" hidden="1">{#N/A,#N/A,FALSE,"2~8번"}</definedName>
    <definedName name="ㄱㄳㄳ" localSheetId="9" hidden="1">{#N/A,#N/A,FALSE,"2~8번"}</definedName>
    <definedName name="ㄱㄳㄳ" localSheetId="4" hidden="1">{#N/A,#N/A,FALSE,"2~8번"}</definedName>
    <definedName name="ㄱㄳㄳ" localSheetId="0" hidden="1">{#N/A,#N/A,FALSE,"2~8번"}</definedName>
    <definedName name="ㄱㄳㄳ" hidden="1">{#N/A,#N/A,FALSE,"2~8번"}</definedName>
    <definedName name="ㄱㄴ" localSheetId="6">BlankMacro1</definedName>
    <definedName name="ㄱㄴ">BlankMacro1</definedName>
    <definedName name="ㄱㄴ슌ㄱ" localSheetId="12" hidden="1">{#N/A,#N/A,FALSE,"단가표지"}</definedName>
    <definedName name="ㄱㄴ슌ㄱ" localSheetId="11" hidden="1">{#N/A,#N/A,FALSE,"단가표지"}</definedName>
    <definedName name="ㄱㄴ슌ㄱ" localSheetId="7" hidden="1">{#N/A,#N/A,FALSE,"단가표지"}</definedName>
    <definedName name="ㄱㄴ슌ㄱ" localSheetId="9" hidden="1">{#N/A,#N/A,FALSE,"단가표지"}</definedName>
    <definedName name="ㄱㄴ슌ㄱ" localSheetId="4" hidden="1">{#N/A,#N/A,FALSE,"단가표지"}</definedName>
    <definedName name="ㄱㄴ슌ㄱ" localSheetId="0" hidden="1">{#N/A,#N/A,FALSE,"단가표지"}</definedName>
    <definedName name="ㄱㄴ슌ㄱ" hidden="1">{#N/A,#N/A,FALSE,"단가표지"}</definedName>
    <definedName name="ㄱㄷ" localSheetId="12">BlankMacro1</definedName>
    <definedName name="ㄱㄷ" localSheetId="6">BlankMacro1</definedName>
    <definedName name="ㄱㄷ">BlankMacro1</definedName>
    <definedName name="ㄱㄷㄴ슌ㄱ" localSheetId="12" hidden="1">{#N/A,#N/A,FALSE,"골재소요량";#N/A,#N/A,FALSE,"골재소요량"}</definedName>
    <definedName name="ㄱㄷㄴ슌ㄱ" localSheetId="11" hidden="1">{#N/A,#N/A,FALSE,"골재소요량";#N/A,#N/A,FALSE,"골재소요량"}</definedName>
    <definedName name="ㄱㄷㄴ슌ㄱ" localSheetId="7" hidden="1">{#N/A,#N/A,FALSE,"골재소요량";#N/A,#N/A,FALSE,"골재소요량"}</definedName>
    <definedName name="ㄱㄷㄴ슌ㄱ" localSheetId="9" hidden="1">{#N/A,#N/A,FALSE,"골재소요량";#N/A,#N/A,FALSE,"골재소요량"}</definedName>
    <definedName name="ㄱㄷㄴ슌ㄱ" localSheetId="4" hidden="1">{#N/A,#N/A,FALSE,"골재소요량";#N/A,#N/A,FALSE,"골재소요량"}</definedName>
    <definedName name="ㄱㄷㄴ슌ㄱ" localSheetId="0" hidden="1">{#N/A,#N/A,FALSE,"골재소요량";#N/A,#N/A,FALSE,"골재소요량"}</definedName>
    <definedName name="ㄱㄷㄴ슌ㄱ" hidden="1">{#N/A,#N/A,FALSE,"골재소요량";#N/A,#N/A,FALSE,"골재소요량"}</definedName>
    <definedName name="ㄱㄷㅁㅍㅅㅂ" localSheetId="12" hidden="1">{#N/A,#N/A,FALSE,"골재소요량";#N/A,#N/A,FALSE,"골재소요량"}</definedName>
    <definedName name="ㄱㄷㅁㅍㅅㅂ" localSheetId="11" hidden="1">{#N/A,#N/A,FALSE,"골재소요량";#N/A,#N/A,FALSE,"골재소요량"}</definedName>
    <definedName name="ㄱㄷㅁㅍㅅㅂ" localSheetId="7" hidden="1">{#N/A,#N/A,FALSE,"골재소요량";#N/A,#N/A,FALSE,"골재소요량"}</definedName>
    <definedName name="ㄱㄷㅁㅍㅅㅂ" localSheetId="9" hidden="1">{#N/A,#N/A,FALSE,"골재소요량";#N/A,#N/A,FALSE,"골재소요량"}</definedName>
    <definedName name="ㄱㄷㅁㅍㅅㅂ" localSheetId="4" hidden="1">{#N/A,#N/A,FALSE,"골재소요량";#N/A,#N/A,FALSE,"골재소요량"}</definedName>
    <definedName name="ㄱㄷㅁㅍㅅㅂ" localSheetId="0" hidden="1">{#N/A,#N/A,FALSE,"골재소요량";#N/A,#N/A,FALSE,"골재소요량"}</definedName>
    <definedName name="ㄱㄷㅁㅍㅅㅂ" hidden="1">{#N/A,#N/A,FALSE,"골재소요량";#N/A,#N/A,FALSE,"골재소요량"}</definedName>
    <definedName name="ㄱㄷㅈ" localSheetId="12" hidden="1">{#N/A,#N/A,FALSE,"골재소요량";#N/A,#N/A,FALSE,"골재소요량"}</definedName>
    <definedName name="ㄱㄷㅈ" localSheetId="11" hidden="1">{#N/A,#N/A,FALSE,"골재소요량";#N/A,#N/A,FALSE,"골재소요량"}</definedName>
    <definedName name="ㄱㄷㅈ" localSheetId="7" hidden="1">{#N/A,#N/A,FALSE,"골재소요량";#N/A,#N/A,FALSE,"골재소요량"}</definedName>
    <definedName name="ㄱㄷㅈ" localSheetId="9" hidden="1">{#N/A,#N/A,FALSE,"골재소요량";#N/A,#N/A,FALSE,"골재소요량"}</definedName>
    <definedName name="ㄱㄷㅈ" localSheetId="4" hidden="1">{#N/A,#N/A,FALSE,"골재소요량";#N/A,#N/A,FALSE,"골재소요량"}</definedName>
    <definedName name="ㄱㄷㅈ" localSheetId="0" hidden="1">{#N/A,#N/A,FALSE,"골재소요량";#N/A,#N/A,FALSE,"골재소요량"}</definedName>
    <definedName name="ㄱㄷㅈ" hidden="1">{#N/A,#N/A,FALSE,"골재소요량";#N/A,#N/A,FALSE,"골재소요량"}</definedName>
    <definedName name="ㄱㄷㅈㄷㄱㅁㄴㅇ" localSheetId="12">BlankMacro1</definedName>
    <definedName name="ㄱㄷㅈㄷㄱㅁㄴㅇ" localSheetId="6">BlankMacro1</definedName>
    <definedName name="ㄱㄷㅈㄷㄱㅁㄴㅇ">BlankMacro1</definedName>
    <definedName name="ㄱㄷㅎㅁㄴㅇㅎㅁㄴㅇ" localSheetId="12">BlankMacro1</definedName>
    <definedName name="ㄱㄷㅎㅁㄴㅇㅎㅁㄴㅇ" localSheetId="6">BlankMacro1</definedName>
    <definedName name="ㄱㄷㅎㅁㄴㅇㅎㅁㄴㅇ">BlankMacro1</definedName>
    <definedName name="ㄱㄷㅎㅅㄷ4" localSheetId="12" hidden="1">{#N/A,#N/A,FALSE,"운반시간"}</definedName>
    <definedName name="ㄱㄷㅎㅅㄷ4" localSheetId="11" hidden="1">{#N/A,#N/A,FALSE,"운반시간"}</definedName>
    <definedName name="ㄱㄷㅎㅅㄷ4" localSheetId="7" hidden="1">{#N/A,#N/A,FALSE,"운반시간"}</definedName>
    <definedName name="ㄱㄷㅎㅅㄷ4" localSheetId="9" hidden="1">{#N/A,#N/A,FALSE,"운반시간"}</definedName>
    <definedName name="ㄱㄷㅎㅅㄷ4" localSheetId="4" hidden="1">{#N/A,#N/A,FALSE,"운반시간"}</definedName>
    <definedName name="ㄱㄷㅎㅅㄷ4" localSheetId="0" hidden="1">{#N/A,#N/A,FALSE,"운반시간"}</definedName>
    <definedName name="ㄱㄷㅎㅅㄷ4" hidden="1">{#N/A,#N/A,FALSE,"운반시간"}</definedName>
    <definedName name="ㄱ됵ㄷ죧죠" localSheetId="12">BlankMacro1</definedName>
    <definedName name="ㄱ됵ㄷ죧죠" localSheetId="6">BlankMacro1</definedName>
    <definedName name="ㄱ됵ㄷ죧죠">BlankMacro1</definedName>
    <definedName name="ㄱㄹ" localSheetId="12" hidden="1">{#N/A,#N/A,FALSE,"배수1"}</definedName>
    <definedName name="ㄱㄹ" hidden="1">{#N/A,#N/A,FALSE,"배수1"}</definedName>
    <definedName name="ㄱㅂㅂㅂㅂㅂㅂㅂㅂㅂ" localSheetId="12">BlankMacro1</definedName>
    <definedName name="ㄱㅂㅂㅂㅂㅂㅂㅂㅂㅂ" localSheetId="6">BlankMacro1</definedName>
    <definedName name="ㄱㅂㅂㅂㅂㅂㅂㅂㅂㅂ">BlankMacro1</definedName>
    <definedName name="ㄱ서" localSheetId="12">BlankMacro1</definedName>
    <definedName name="ㄱ서" localSheetId="6">BlankMacro1</definedName>
    <definedName name="ㄱ서">BlankMacro1</definedName>
    <definedName name="ㄱ솏" localSheetId="7" hidden="1">{#N/A,#N/A,FALSE,"전력간선"}</definedName>
    <definedName name="ㄱ솏" localSheetId="4" hidden="1">{#N/A,#N/A,FALSE,"전력간선"}</definedName>
    <definedName name="ㄱ솏" localSheetId="0" hidden="1">{#N/A,#N/A,FALSE,"전력간선"}</definedName>
    <definedName name="ㄱ솏" hidden="1">{#N/A,#N/A,FALSE,"전력간선"}</definedName>
    <definedName name="ㄱ쇿" localSheetId="12">BlankMacro1</definedName>
    <definedName name="ㄱ쇿" localSheetId="6">BlankMacro1</definedName>
    <definedName name="ㄱ쇿">BlankMacro1</definedName>
    <definedName name="ㄱ숃" localSheetId="12">BlankMacro1</definedName>
    <definedName name="ㄱ숃" localSheetId="6">BlankMacro1</definedName>
    <definedName name="ㄱ숃">BlankMacro1</definedName>
    <definedName name="ㄱ슈" localSheetId="12" hidden="1">{#N/A,#N/A,FALSE,"혼합골재"}</definedName>
    <definedName name="ㄱ슈" localSheetId="11" hidden="1">{#N/A,#N/A,FALSE,"혼합골재"}</definedName>
    <definedName name="ㄱ슈" localSheetId="7" hidden="1">{#N/A,#N/A,FALSE,"혼합골재"}</definedName>
    <definedName name="ㄱ슈" localSheetId="9" hidden="1">{#N/A,#N/A,FALSE,"혼합골재"}</definedName>
    <definedName name="ㄱ슈" localSheetId="4" hidden="1">{#N/A,#N/A,FALSE,"혼합골재"}</definedName>
    <definedName name="ㄱ슈" localSheetId="0" hidden="1">{#N/A,#N/A,FALSE,"혼합골재"}</definedName>
    <definedName name="ㄱ슈" hidden="1">{#N/A,#N/A,FALSE,"혼합골재"}</definedName>
    <definedName name="ㄱㅇㅍㅇ" localSheetId="12" hidden="1">{#N/A,#N/A,FALSE,"골재소요량";#N/A,#N/A,FALSE,"골재소요량"}</definedName>
    <definedName name="ㄱㅇㅍㅇ" hidden="1">{#N/A,#N/A,FALSE,"골재소요량";#N/A,#N/A,FALSE,"골재소요량"}</definedName>
    <definedName name="ㄱㅈㄷㄱㅂ" localSheetId="12">BlankMacro1</definedName>
    <definedName name="ㄱㅈㄷㄱㅂ" localSheetId="6">BlankMacro1</definedName>
    <definedName name="ㄱㅈㄷㄱㅂ">BlankMacro1</definedName>
    <definedName name="ㄱㅈㄷㅂㅂㄱ" localSheetId="12">BlankMacro1</definedName>
    <definedName name="ㄱㅈㄷㅂㅂㄱ" localSheetId="6">BlankMacro1</definedName>
    <definedName name="ㄱㅈㄷㅂㅂㄱ">BlankMacro1</definedName>
    <definedName name="ㄱ호ㅗㅓㄱ">#N/A</definedName>
    <definedName name="가" localSheetId="12">#N/A</definedName>
    <definedName name="가가가가각">#N/A</definedName>
    <definedName name="가나다라마바사" localSheetId="12" hidden="1">{#N/A,#N/A,FALSE,"명세표"}</definedName>
    <definedName name="가나다라마바사" hidden="1">{#N/A,#N/A,FALSE,"명세표"}</definedName>
    <definedName name="가드레일집계" localSheetId="12" hidden="1">{#N/A,#N/A,FALSE,"2~8번"}</definedName>
    <definedName name="가드레일집계" localSheetId="11" hidden="1">{#N/A,#N/A,FALSE,"2~8번"}</definedName>
    <definedName name="가드레일집계" localSheetId="7" hidden="1">{#N/A,#N/A,FALSE,"2~8번"}</definedName>
    <definedName name="가드레일집계" localSheetId="4" hidden="1">{#N/A,#N/A,FALSE,"2~8번"}</definedName>
    <definedName name="가드레일집계" localSheetId="0" hidden="1">{#N/A,#N/A,FALSE,"2~8번"}</definedName>
    <definedName name="가드레일집계" hidden="1">{#N/A,#N/A,FALSE,"2~8번"}</definedName>
    <definedName name="가로" localSheetId="12" hidden="1">{#N/A,#N/A,FALSE,"전력간선"}</definedName>
    <definedName name="가로" hidden="1">{#N/A,#N/A,FALSE,"전력간선"}</definedName>
    <definedName name="가로등">#N/A</definedName>
    <definedName name="가로등입력">#N/A</definedName>
    <definedName name="가배수로위치도">#N/A</definedName>
    <definedName name="가자" localSheetId="12" hidden="1">{#N/A,#N/A,FALSE,"구조2"}</definedName>
    <definedName name="가자" hidden="1">{#N/A,#N/A,FALSE,"구조2"}</definedName>
    <definedName name="간" localSheetId="12" hidden="1">{#N/A,#N/A,FALSE,"명세표"}</definedName>
    <definedName name="간" localSheetId="11" hidden="1">{#N/A,#N/A,FALSE,"명세표"}</definedName>
    <definedName name="간입ㄴ다..">#N/A</definedName>
    <definedName name="감" localSheetId="12" hidden="1">{#N/A,#N/A,FALSE,"구조2"}</definedName>
    <definedName name="감" localSheetId="6">BlankMacro1</definedName>
    <definedName name="감">BlankMacro1</definedName>
    <definedName name="감나ㅏ">#N/A</definedName>
    <definedName name="갑니둉ㅇ">#N/A</definedName>
    <definedName name="강" localSheetId="12" hidden="1">{#N/A,#N/A,FALSE,"부대2"}</definedName>
    <definedName name="강" hidden="1">{#N/A,#N/A,FALSE,"부대2"}</definedName>
    <definedName name="개거단위" localSheetId="12">BlankMacro1</definedName>
    <definedName name="개거단위" localSheetId="6">BlankMacro1</definedName>
    <definedName name="개거단위">BlankMacro1</definedName>
    <definedName name="개소별명세표" localSheetId="12" hidden="1">{#N/A,#N/A,FALSE,"명세표"}</definedName>
    <definedName name="개소별명세표" hidden="1">{#N/A,#N/A,FALSE,"명세표"}</definedName>
    <definedName name="개착철근보강">#N/A</definedName>
    <definedName name="거" localSheetId="12" hidden="1">{#N/A,#N/A,FALSE,"구조2"}</definedName>
    <definedName name="건목">53461</definedName>
    <definedName name="건축" localSheetId="12">BlankMacro1</definedName>
    <definedName name="건축" localSheetId="6">BlankMacro1</definedName>
    <definedName name="건축">BlankMacro1</definedName>
    <definedName name="건축내역1" localSheetId="12">BlankMacro1</definedName>
    <definedName name="건축내역1" localSheetId="6">BlankMacro1</definedName>
    <definedName name="건축내역1">BlankMacro1</definedName>
    <definedName name="건축도급" localSheetId="12">BlankMacro1</definedName>
    <definedName name="건축도급" localSheetId="6">BlankMacro1</definedName>
    <definedName name="건축도급">BlankMacro1</definedName>
    <definedName name="것" localSheetId="12" hidden="1">{#N/A,#N/A,FALSE,"포장1";#N/A,#N/A,FALSE,"포장1"}</definedName>
    <definedName name="것" hidden="1">{#N/A,#N/A,FALSE,"포장1";#N/A,#N/A,FALSE,"포장1"}</definedName>
    <definedName name="겉지">#N/A</definedName>
    <definedName name="견적1" localSheetId="12">Dlog_Show</definedName>
    <definedName name="견적1" localSheetId="6">Dlog_Show</definedName>
    <definedName name="견적1">Dlog_Show</definedName>
    <definedName name="견적LIST" localSheetId="12">Dlog_Show</definedName>
    <definedName name="견적LIST" localSheetId="6">Dlog_Show</definedName>
    <definedName name="견적LIST">Dlog_Show</definedName>
    <definedName name="견적금액">#N/A</definedName>
    <definedName name="견적대비" localSheetId="12">BlankMacro1</definedName>
    <definedName name="견적대비" localSheetId="6">BlankMacro1</definedName>
    <definedName name="견적대비">BlankMacro1</definedName>
    <definedName name="견적서" localSheetId="12" hidden="1">{#N/A,#N/A,FALSE,"구조2"}</definedName>
    <definedName name="견적서" hidden="1">{#N/A,#N/A,FALSE,"구조2"}</definedName>
    <definedName name="결의" localSheetId="12" hidden="1">{#N/A,#N/A,FALSE,"결의서";#N/A,#N/A,FALSE,"내역서";#N/A,#N/A,FALSE,"도급예상";#N/A,#N/A,FALSE,"시방서"}</definedName>
    <definedName name="결의" hidden="1">{#N/A,#N/A,FALSE,"결의서";#N/A,#N/A,FALSE,"내역서";#N/A,#N/A,FALSE,"도급예상";#N/A,#N/A,FALSE,"시방서"}</definedName>
    <definedName name="결제">#N/A</definedName>
    <definedName name="결제금액">#N/A</definedName>
    <definedName name="경계휀스" localSheetId="12" hidden="1">{#N/A,#N/A,FALSE,"배수2"}</definedName>
    <definedName name="경계휀스" hidden="1">{#N/A,#N/A,FALSE,"배수2"}</definedName>
    <definedName name="경비성세부내역">#N/A</definedName>
    <definedName name="경비성세부내역2">#N/A</definedName>
    <definedName name="경순" localSheetId="12">BlankMacro1</definedName>
    <definedName name="경순" localSheetId="6">BlankMacro1</definedName>
    <definedName name="경순">BlankMacro1</definedName>
    <definedName name="계곡부침사지">#N/A</definedName>
    <definedName name="계정">#N/A</definedName>
    <definedName name="계정과목">#N/A</definedName>
    <definedName name="계정과목2">#N/A</definedName>
    <definedName name="계측기기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고" localSheetId="12" hidden="1">{#N/A,#N/A,FALSE,"조골재"}</definedName>
    <definedName name="고" localSheetId="7" hidden="1">{#N/A,#N/A,FALSE,"단가표지"}</definedName>
    <definedName name="고" localSheetId="9" hidden="1">{#N/A,#N/A,FALSE,"단가표지"}</definedName>
    <definedName name="고" localSheetId="4" hidden="1">{#N/A,#N/A,FALSE,"단가표지"}</definedName>
    <definedName name="고" localSheetId="0" hidden="1">{#N/A,#N/A,FALSE,"단가표지"}</definedName>
    <definedName name="고" hidden="1">{#N/A,#N/A,FALSE,"단가표지"}</definedName>
    <definedName name="고경준" localSheetId="12" hidden="1">{#N/A,#N/A,FALSE,"골재소요량";#N/A,#N/A,FALSE,"골재소요량"}</definedName>
    <definedName name="고경준" localSheetId="11" hidden="1">{#N/A,#N/A,FALSE,"골재소요량";#N/A,#N/A,FALSE,"골재소요량"}</definedName>
    <definedName name="고경준" localSheetId="7" hidden="1">{#N/A,#N/A,FALSE,"골재소요량";#N/A,#N/A,FALSE,"골재소요량"}</definedName>
    <definedName name="고경준" localSheetId="9" hidden="1">{#N/A,#N/A,FALSE,"골재소요량";#N/A,#N/A,FALSE,"골재소요량"}</definedName>
    <definedName name="고경준" localSheetId="4" hidden="1">{#N/A,#N/A,FALSE,"골재소요량";#N/A,#N/A,FALSE,"골재소요량"}</definedName>
    <definedName name="고경준" localSheetId="0" hidden="1">{#N/A,#N/A,FALSE,"골재소요량";#N/A,#N/A,FALSE,"골재소요량"}</definedName>
    <definedName name="고경준" hidden="1">{#N/A,#N/A,FALSE,"골재소요량";#N/A,#N/A,FALSE,"골재소요량"}</definedName>
    <definedName name="고고" localSheetId="12" hidden="1">{#N/A,#N/A,FALSE,"조골재"}</definedName>
    <definedName name="고고" localSheetId="11" hidden="1">{#N/A,#N/A,FALSE,"조골재"}</definedName>
    <definedName name="고고" localSheetId="7" hidden="1">{#N/A,#N/A,FALSE,"조골재"}</definedName>
    <definedName name="고고" localSheetId="9" hidden="1">{#N/A,#N/A,FALSE,"조골재"}</definedName>
    <definedName name="고고" localSheetId="4" hidden="1">{#N/A,#N/A,FALSE,"조골재"}</definedName>
    <definedName name="고고" localSheetId="0" hidden="1">{#N/A,#N/A,FALSE,"조골재"}</definedName>
    <definedName name="고고" hidden="1">{#N/A,#N/A,FALSE,"조골재"}</definedName>
    <definedName name="고고.." localSheetId="12" hidden="1">{#N/A,#N/A,FALSE,"골재소요량";#N/A,#N/A,FALSE,"골재소요량"}</definedName>
    <definedName name="고고.." localSheetId="11" hidden="1">{#N/A,#N/A,FALSE,"골재소요량";#N/A,#N/A,FALSE,"골재소요량"}</definedName>
    <definedName name="고고.." localSheetId="7" hidden="1">{#N/A,#N/A,FALSE,"골재소요량";#N/A,#N/A,FALSE,"골재소요량"}</definedName>
    <definedName name="고고.." localSheetId="9" hidden="1">{#N/A,#N/A,FALSE,"골재소요량";#N/A,#N/A,FALSE,"골재소요량"}</definedName>
    <definedName name="고고.." localSheetId="4" hidden="1">{#N/A,#N/A,FALSE,"골재소요량";#N/A,#N/A,FALSE,"골재소요량"}</definedName>
    <definedName name="고고.." localSheetId="0" hidden="1">{#N/A,#N/A,FALSE,"골재소요량";#N/A,#N/A,FALSE,"골재소요량"}</definedName>
    <definedName name="고고.." hidden="1">{#N/A,#N/A,FALSE,"골재소요량";#N/A,#N/A,FALSE,"골재소요량"}</definedName>
    <definedName name="고수여수토" hidden="1">{#N/A,#N/A,FALSE,"전력간선"}</definedName>
    <definedName name="고양시성라공원" localSheetId="12">Dlog_Show</definedName>
    <definedName name="고양시성라공원" localSheetId="6">Dlog_Show</definedName>
    <definedName name="고양시성라공원">Dlog_Show</definedName>
    <definedName name="곡동" localSheetId="12" hidden="1">{"'Firr(선)'!$AS$1:$AY$62","'Firr(사)'!$AS$1:$AY$62","'Firr(회)'!$AS$1:$AY$62","'Firr(선)'!$L$1:$V$62","'Firr(사)'!$L$1:$V$62","'Firr(회)'!$L$1:$V$62"}</definedName>
    <definedName name="곡동" hidden="1">{"'Firr(선)'!$AS$1:$AY$62","'Firr(사)'!$AS$1:$AY$62","'Firr(회)'!$AS$1:$AY$62","'Firr(선)'!$L$1:$V$62","'Firr(사)'!$L$1:$V$62","'Firr(회)'!$L$1:$V$62"}</definedName>
    <definedName name="골" localSheetId="12" hidden="1">{#N/A,#N/A,FALSE,"골재소요량";#N/A,#N/A,FALSE,"골재소요량"}</definedName>
    <definedName name="골" hidden="1">{#N/A,#N/A,FALSE,"골재소요량";#N/A,#N/A,FALSE,"골재소요량"}</definedName>
    <definedName name="골재" localSheetId="7" hidden="1">{#N/A,#N/A,FALSE,"골재소요량";#N/A,#N/A,FALSE,"골재소요량"}</definedName>
    <definedName name="골재" localSheetId="9" hidden="1">{#N/A,#N/A,FALSE,"골재소요량";#N/A,#N/A,FALSE,"골재소요량"}</definedName>
    <definedName name="골재" localSheetId="4" hidden="1">{#N/A,#N/A,FALSE,"골재소요량";#N/A,#N/A,FALSE,"골재소요량"}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공도서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구현황2">#N/A</definedName>
    <definedName name="공궝" localSheetId="12">BlankMacro1</definedName>
    <definedName name="공궝" localSheetId="6">BlankMacro1</definedName>
    <definedName name="공궝">BlankMacro1</definedName>
    <definedName name="공사시방서" localSheetId="12" hidden="1">{#N/A,#N/A,FALSE,"명세표"}</definedName>
    <definedName name="공사시방서" hidden="1">{#N/A,#N/A,FALSE,"명세표"}</definedName>
    <definedName name="공사시방서1" localSheetId="12" hidden="1">{#N/A,#N/A,FALSE,"명세표"}</definedName>
    <definedName name="공사시방서1" hidden="1">{#N/A,#N/A,FALSE,"명세표"}</definedName>
    <definedName name="공사원가계산서" localSheetId="12" hidden="1">{#N/A,#N/A,TRUE,"토적및재료집계";#N/A,#N/A,TRUE,"토적및재료집계";#N/A,#N/A,TRUE,"단위량"}</definedName>
    <definedName name="공사원가계산서" hidden="1">{#N/A,#N/A,TRUE,"토적및재료집계";#N/A,#N/A,TRUE,"토적및재료집계";#N/A,#N/A,TRUE,"단위량"}</definedName>
    <definedName name="공사원가계산서1" localSheetId="12">BlankMacro1</definedName>
    <definedName name="공사원가계산서1" localSheetId="6">BlankMacro1</definedName>
    <definedName name="공사원가계산서1">BlankMacro1</definedName>
    <definedName name="공사잔금">#N/A</definedName>
    <definedName name="공서" localSheetId="12" hidden="1">{#N/A,#N/A,FALSE,"골재소요량";#N/A,#N/A,FALSE,"골재소요량"}</definedName>
    <definedName name="공서" hidden="1">{#N/A,#N/A,FALSE,"골재소요량";#N/A,#N/A,FALSE,"골재소요량"}</definedName>
    <definedName name="공정표" localSheetId="12" hidden="1">{#N/A,#N/A,FALSE,"현장 NCR 분석";#N/A,#N/A,FALSE,"현장품질감사";#N/A,#N/A,FALSE,"현장품질감사"}</definedName>
    <definedName name="공정표" hidden="1">{#N/A,#N/A,FALSE,"현장 NCR 분석";#N/A,#N/A,FALSE,"현장품질감사";#N/A,#N/A,FALSE,"현장품질감사"}</definedName>
    <definedName name="공종" localSheetId="12">#N/A</definedName>
    <definedName name="공종" localSheetId="11">#N/A</definedName>
    <definedName name="곽동준" localSheetId="12" hidden="1">{"'Firr(선)'!$AS$1:$AY$62","'Firr(사)'!$AS$1:$AY$62","'Firr(회)'!$AS$1:$AY$62","'Firr(선)'!$L$1:$V$62","'Firr(사)'!$L$1:$V$62","'Firr(회)'!$L$1:$V$62"}</definedName>
    <definedName name="곽동준" hidden="1">{"'Firr(선)'!$AS$1:$AY$62","'Firr(사)'!$AS$1:$AY$62","'Firr(회)'!$AS$1:$AY$62","'Firr(선)'!$L$1:$V$62","'Firr(사)'!$L$1:$V$62","'Firr(회)'!$L$1:$V$62"}</definedName>
    <definedName name="곽동중" localSheetId="12" hidden="1">{"'Firr(선)'!$AS$1:$AY$62","'Firr(사)'!$AS$1:$AY$62","'Firr(회)'!$AS$1:$AY$62","'Firr(선)'!$L$1:$V$62","'Firr(사)'!$L$1:$V$62","'Firr(회)'!$L$1:$V$62"}</definedName>
    <definedName name="곽동중" hidden="1">{"'Firr(선)'!$AS$1:$AY$62","'Firr(사)'!$AS$1:$AY$62","'Firr(회)'!$AS$1:$AY$62","'Firr(선)'!$L$1:$V$62","'Firr(사)'!$L$1:$V$62","'Firr(회)'!$L$1:$V$62"}</definedName>
    <definedName name="관급자재" localSheetId="6">BlankMacro1</definedName>
    <definedName name="관급자재">BlankMacro1</definedName>
    <definedName name="관련서류">#N/A</definedName>
    <definedName name="관로토공" localSheetId="12" hidden="1">{#N/A,#N/A,FALSE,"골재소요량";#N/A,#N/A,FALSE,"골재소요량"}</definedName>
    <definedName name="관로토공" hidden="1">{#N/A,#N/A,FALSE,"골재소요량";#N/A,#N/A,FALSE,"골재소요량"}</definedName>
    <definedName name="광수" localSheetId="7" hidden="1">{#N/A,#N/A,FALSE,"단가표지"}</definedName>
    <definedName name="광수" localSheetId="4" hidden="1">{#N/A,#N/A,FALSE,"단가표지"}</definedName>
    <definedName name="광수" localSheetId="0" hidden="1">{#N/A,#N/A,FALSE,"단가표지"}</definedName>
    <definedName name="광수" hidden="1">{#N/A,#N/A,FALSE,"단가표지"}</definedName>
    <definedName name="교" hidden="1">{#N/A,#N/A,FALSE,"전력간선"}</definedName>
    <definedName name="교대공" localSheetId="12" hidden="1">{#N/A,#N/A,FALSE,"단면 제원"}</definedName>
    <definedName name="교대공" hidden="1">{#N/A,#N/A,FALSE,"단면 제원"}</definedName>
    <definedName name="교대펄근집계" localSheetId="12" hidden="1">{#N/A,#N/A,FALSE,"배수1"}</definedName>
    <definedName name="교대펄근집계" hidden="1">{#N/A,#N/A,FALSE,"배수1"}</definedName>
    <definedName name="교량받침">#N/A</definedName>
    <definedName name="교량받침1">#N/A</definedName>
    <definedName name="교ㅛㅛㅅ" localSheetId="12">BlankMacro1</definedName>
    <definedName name="교ㅛㅛㅅ" localSheetId="6">BlankMacro1</definedName>
    <definedName name="교ㅛㅛㅅ">BlankMacro1</definedName>
    <definedName name="구간삽도">#N/A</definedName>
    <definedName name="구분" localSheetId="12">BlankMacro1</definedName>
    <definedName name="구분" localSheetId="11">BlankMacro1</definedName>
    <definedName name="구분1" localSheetId="12">BlankMacro1</definedName>
    <definedName name="구분1" localSheetId="6">BlankMacro1</definedName>
    <definedName name="구분1">BlankMacro1</definedName>
    <definedName name="규격" localSheetId="12">#N/A</definedName>
    <definedName name="귯ㄳ" localSheetId="12" hidden="1">{#N/A,#N/A,FALSE,"표지목차"}</definedName>
    <definedName name="귯ㄳ" localSheetId="11" hidden="1">{#N/A,#N/A,FALSE,"표지목차"}</definedName>
    <definedName name="귯ㄳ" localSheetId="7" hidden="1">{#N/A,#N/A,FALSE,"표지목차"}</definedName>
    <definedName name="귯ㄳ" localSheetId="9" hidden="1">{#N/A,#N/A,FALSE,"표지목차"}</definedName>
    <definedName name="귯ㄳ" localSheetId="4" hidden="1">{#N/A,#N/A,FALSE,"표지목차"}</definedName>
    <definedName name="귯ㄳ" localSheetId="0" hidden="1">{#N/A,#N/A,FALSE,"표지목차"}</definedName>
    <definedName name="귯ㄳ" hidden="1">{#N/A,#N/A,FALSE,"표지목차"}</definedName>
    <definedName name="귯늇ㄳ" localSheetId="12" hidden="1">{#N/A,#N/A,FALSE,"단가표지"}</definedName>
    <definedName name="귯늇ㄳ" localSheetId="11" hidden="1">{#N/A,#N/A,FALSE,"단가표지"}</definedName>
    <definedName name="귯늇ㄳ" localSheetId="7" hidden="1">{#N/A,#N/A,FALSE,"단가표지"}</definedName>
    <definedName name="귯늇ㄳ" localSheetId="9" hidden="1">{#N/A,#N/A,FALSE,"단가표지"}</definedName>
    <definedName name="귯늇ㄳ" localSheetId="4" hidden="1">{#N/A,#N/A,FALSE,"단가표지"}</definedName>
    <definedName name="귯늇ㄳ" localSheetId="0" hidden="1">{#N/A,#N/A,FALSE,"단가표지"}</definedName>
    <definedName name="귯늇ㄳ" hidden="1">{#N/A,#N/A,FALSE,"단가표지"}</definedName>
    <definedName name="그레이더">350000</definedName>
    <definedName name="근거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융비용최종" localSheetId="12">BlankMacro1</definedName>
    <definedName name="금융비용최종" localSheetId="6">BlankMacro1</definedName>
    <definedName name="금융비용최종">BlankMacro1</definedName>
    <definedName name="기Q">"기성세부내역서!$B$89"</definedName>
    <definedName name="기계" localSheetId="11">BlankMacro1</definedName>
    <definedName name="기계3" localSheetId="12">BlankMacro1</definedName>
    <definedName name="기계3" localSheetId="11">BlankMacro1</definedName>
    <definedName name="기계4" localSheetId="12">BlankMacro1</definedName>
    <definedName name="기계4" localSheetId="6">BlankMacro1</definedName>
    <definedName name="기계4">BlankMacro1</definedName>
    <definedName name="기계5" localSheetId="12">BlankMacro1</definedName>
    <definedName name="기계5" localSheetId="6">BlankMacro1</definedName>
    <definedName name="기계5">BlankMacro1</definedName>
    <definedName name="기계수량산출서" localSheetId="12" hidden="1">{#N/A,#N/A,FALSE,"골재소요량";#N/A,#N/A,FALSE,"골재소요량"}</definedName>
    <definedName name="기계수량산출서" hidden="1">{#N/A,#N/A,FALSE,"골재소요량";#N/A,#N/A,FALSE,"골재소요량"}</definedName>
    <definedName name="기본서류">#N/A</definedName>
    <definedName name="기본서류1">#N/A</definedName>
    <definedName name="기성내역">#N/A</definedName>
    <definedName name="기성품" localSheetId="12">BlankMacro1</definedName>
    <definedName name="기성품" localSheetId="6">BlankMacro1</definedName>
    <definedName name="기성품">BlankMacro1</definedName>
    <definedName name="기타경비1" localSheetId="12" hidden="1">{#N/A,#N/A,TRUE,"토적및재료집계";#N/A,#N/A,TRUE,"토적및재료집계";#N/A,#N/A,TRUE,"단위량"}</definedName>
    <definedName name="기타경비1" hidden="1">{#N/A,#N/A,TRUE,"토적및재료집계";#N/A,#N/A,TRUE,"토적및재료집계";#N/A,#N/A,TRUE,"단위량"}</definedName>
    <definedName name="기타자재">#N/A</definedName>
    <definedName name="김1" localSheetId="12" hidden="1">{"'Firr(선)'!$AS$1:$AY$62","'Firr(사)'!$AS$1:$AY$62","'Firr(회)'!$AS$1:$AY$62","'Firr(선)'!$L$1:$V$62","'Firr(사)'!$L$1:$V$62","'Firr(회)'!$L$1:$V$62"}</definedName>
    <definedName name="김1" hidden="1">{"'Firr(선)'!$AS$1:$AY$62","'Firr(사)'!$AS$1:$AY$62","'Firr(회)'!$AS$1:$AY$62","'Firr(선)'!$L$1:$V$62","'Firr(사)'!$L$1:$V$62","'Firr(회)'!$L$1:$V$62"}</definedName>
    <definedName name="김동" localSheetId="12" hidden="1">{"'Firr(선)'!$AS$1:$AY$62","'Firr(사)'!$AS$1:$AY$62","'Firr(회)'!$AS$1:$AY$62","'Firr(선)'!$L$1:$V$62","'Firr(사)'!$L$1:$V$62","'Firr(회)'!$L$1:$V$62"}</definedName>
    <definedName name="김동" hidden="1">{"'Firr(선)'!$AS$1:$AY$62","'Firr(사)'!$AS$1:$AY$62","'Firr(회)'!$AS$1:$AY$62","'Firr(선)'!$L$1:$V$62","'Firr(사)'!$L$1:$V$62","'Firr(회)'!$L$1:$V$62"}</definedName>
    <definedName name="김동준" localSheetId="12" hidden="1">{"'Firr(선)'!$AS$1:$AY$62","'Firr(사)'!$AS$1:$AY$62","'Firr(회)'!$AS$1:$AY$62","'Firr(선)'!$L$1:$V$62","'Firr(사)'!$L$1:$V$62","'Firr(회)'!$L$1:$V$62"}</definedName>
    <definedName name="김동준" hidden="1">{"'Firr(선)'!$AS$1:$AY$62","'Firr(사)'!$AS$1:$AY$62","'Firr(회)'!$AS$1:$AY$62","'Firr(선)'!$L$1:$V$62","'Firr(사)'!$L$1:$V$62","'Firr(회)'!$L$1:$V$62"}</definedName>
    <definedName name="김미영">#N/A</definedName>
    <definedName name="김성희" localSheetId="12">BlankMacro1</definedName>
    <definedName name="김성희" localSheetId="6">BlankMacro1</definedName>
    <definedName name="김성희">BlankMacro1</definedName>
    <definedName name="김영락" localSheetId="12">BlankMacro1</definedName>
    <definedName name="김영락" localSheetId="6">BlankMacro1</definedName>
    <definedName name="김영락">BlankMacro1</definedName>
    <definedName name="김종복" localSheetId="12">BlankMacro1</definedName>
    <definedName name="김종복" localSheetId="6">BlankMacro1</definedName>
    <definedName name="김종복">BlankMacro1</definedName>
    <definedName name="김주택" localSheetId="12" hidden="1">{#N/A,#N/A,FALSE,"골재소요량";#N/A,#N/A,FALSE,"골재소요량"}</definedName>
    <definedName name="김주택" hidden="1">{#N/A,#N/A,FALSE,"골재소요량";#N/A,#N/A,FALSE,"골재소요량"}</definedName>
    <definedName name="김준형" localSheetId="12" hidden="1">{#N/A,#N/A,FALSE,"골재소요량";#N/A,#N/A,FALSE,"골재소요량"}</definedName>
    <definedName name="김준형" localSheetId="11" hidden="1">{#N/A,#N/A,FALSE,"골재소요량";#N/A,#N/A,FALSE,"골재소요량"}</definedName>
    <definedName name="김준형" localSheetId="7" hidden="1">{#N/A,#N/A,FALSE,"골재소요량";#N/A,#N/A,FALSE,"골재소요량"}</definedName>
    <definedName name="김준형" localSheetId="9" hidden="1">{#N/A,#N/A,FALSE,"골재소요량";#N/A,#N/A,FALSE,"골재소요량"}</definedName>
    <definedName name="김준형" localSheetId="4" hidden="1">{#N/A,#N/A,FALSE,"골재소요량";#N/A,#N/A,FALSE,"골재소요량"}</definedName>
    <definedName name="김준형" localSheetId="0" hidden="1">{#N/A,#N/A,FALSE,"골재소요량";#N/A,#N/A,FALSE,"골재소요량"}</definedName>
    <definedName name="김준형" hidden="1">{#N/A,#N/A,FALSE,"골재소요량";#N/A,#N/A,FALSE,"골재소요량"}</definedName>
    <definedName name="깨기수량2공구" localSheetId="12">BlankMacro1</definedName>
    <definedName name="깨기수량2공구" localSheetId="6">BlankMacro1</definedName>
    <definedName name="깨기수량2공구">BlankMacro1</definedName>
    <definedName name="ㄳㄳㅅ셔ㅛㅅ" localSheetId="12" hidden="1">{#N/A,#N/A,FALSE,"단가표지"}</definedName>
    <definedName name="ㄳㄳㅅ셔ㅛㅅ" localSheetId="11" hidden="1">{#N/A,#N/A,FALSE,"단가표지"}</definedName>
    <definedName name="ㄳㄳㅅ셔ㅛㅅ" localSheetId="7" hidden="1">{#N/A,#N/A,FALSE,"단가표지"}</definedName>
    <definedName name="ㄳㄳㅅ셔ㅛㅅ" localSheetId="9" hidden="1">{#N/A,#N/A,FALSE,"단가표지"}</definedName>
    <definedName name="ㄳㄳㅅ셔ㅛㅅ" localSheetId="4" hidden="1">{#N/A,#N/A,FALSE,"단가표지"}</definedName>
    <definedName name="ㄳㄳㅅ셔ㅛㅅ" localSheetId="0" hidden="1">{#N/A,#N/A,FALSE,"단가표지"}</definedName>
    <definedName name="ㄳㄳㅅ셔ㅛㅅ" hidden="1">{#N/A,#N/A,FALSE,"단가표지"}</definedName>
    <definedName name="ㄳㄳㅎㄱㅎㄱㄷ" localSheetId="12" hidden="1">{#N/A,#N/A,FALSE,"조골재"}</definedName>
    <definedName name="ㄳㄳㅎㄱㅎㄱㄷ" localSheetId="11" hidden="1">{#N/A,#N/A,FALSE,"조골재"}</definedName>
    <definedName name="ㄳㄳㅎㄱㅎㄱㄷ" localSheetId="7" hidden="1">{#N/A,#N/A,FALSE,"조골재"}</definedName>
    <definedName name="ㄳㄳㅎㄱㅎㄱㄷ" localSheetId="9" hidden="1">{#N/A,#N/A,FALSE,"조골재"}</definedName>
    <definedName name="ㄳㄳㅎㄱㅎㄱㄷ" localSheetId="4" hidden="1">{#N/A,#N/A,FALSE,"조골재"}</definedName>
    <definedName name="ㄳㄳㅎㄱㅎㄱㄷ" localSheetId="0" hidden="1">{#N/A,#N/A,FALSE,"조골재"}</definedName>
    <definedName name="ㄳㄳㅎㄱㅎㄱㄷ" hidden="1">{#N/A,#N/A,FALSE,"조골재"}</definedName>
    <definedName name="ㄳㄷ" localSheetId="12" hidden="1">{#N/A,#N/A,FALSE,"표지목차"}</definedName>
    <definedName name="ㄳㄷ" localSheetId="11" hidden="1">{#N/A,#N/A,FALSE,"표지목차"}</definedName>
    <definedName name="ㄳㄷ" localSheetId="7" hidden="1">{#N/A,#N/A,FALSE,"표지목차"}</definedName>
    <definedName name="ㄳㄷ" localSheetId="9" hidden="1">{#N/A,#N/A,FALSE,"표지목차"}</definedName>
    <definedName name="ㄳㄷ" localSheetId="4" hidden="1">{#N/A,#N/A,FALSE,"표지목차"}</definedName>
    <definedName name="ㄳㄷ" localSheetId="0" hidden="1">{#N/A,#N/A,FALSE,"표지목차"}</definedName>
    <definedName name="ㄳㄷ" hidden="1">{#N/A,#N/A,FALSE,"표지목차"}</definedName>
    <definedName name="ㄳㄷㅅㅅㄱ" localSheetId="12">BlankMacro1</definedName>
    <definedName name="ㄳㄷㅅㅅㄱ" localSheetId="6">BlankMacro1</definedName>
    <definedName name="ㄳㄷㅅㅅㄱ">BlankMacro1</definedName>
    <definedName name="ㄳㄷㅈㅅㄴㅇㅁㄹ" localSheetId="12">BlankMacro1</definedName>
    <definedName name="ㄳㄷㅈㅅㄴㅇㅁㄹ" localSheetId="6">BlankMacro1</definedName>
    <definedName name="ㄳㄷㅈㅅㄴㅇㅁㄹ">BlankMacro1</definedName>
    <definedName name="ㄳㅈㅎㅎㅎㄱㅈ" localSheetId="7" hidden="1">{#N/A,#N/A,FALSE,"전력간선"}</definedName>
    <definedName name="ㄳㅈㅎㅎㅎㄱㅈ" localSheetId="4" hidden="1">{#N/A,#N/A,FALSE,"전력간선"}</definedName>
    <definedName name="ㄳㅈㅎㅎㅎㄱㅈ" localSheetId="0" hidden="1">{#N/A,#N/A,FALSE,"전력간선"}</definedName>
    <definedName name="ㄳㅈㅎㅎㅎㄱㅈ" hidden="1">{#N/A,#N/A,FALSE,"전력간선"}</definedName>
    <definedName name="ㄳㅍㅁㅁ규" localSheetId="12" hidden="1">{#N/A,#N/A,FALSE,"표지목차"}</definedName>
    <definedName name="ㄳㅍㅁㅁ규" localSheetId="11" hidden="1">{#N/A,#N/A,FALSE,"표지목차"}</definedName>
    <definedName name="ㄳㅍㅁㅁ규" localSheetId="7" hidden="1">{#N/A,#N/A,FALSE,"표지목차"}</definedName>
    <definedName name="ㄳㅍㅁㅁ규" localSheetId="9" hidden="1">{#N/A,#N/A,FALSE,"표지목차"}</definedName>
    <definedName name="ㄳㅍㅁㅁ규" localSheetId="4" hidden="1">{#N/A,#N/A,FALSE,"표지목차"}</definedName>
    <definedName name="ㄳㅍㅁㅁ규" localSheetId="0" hidden="1">{#N/A,#N/A,FALSE,"표지목차"}</definedName>
    <definedName name="ㄳㅍㅁㅁ규" hidden="1">{#N/A,#N/A,FALSE,"표지목차"}</definedName>
    <definedName name="ㄴ3">#N/A</definedName>
    <definedName name="ㄴ4">#N/A</definedName>
    <definedName name="ㄴ5">#N/A</definedName>
    <definedName name="ㄴ6">#N/A</definedName>
    <definedName name="ㄴㄴ" localSheetId="7" hidden="1">{#N/A,#N/A,FALSE,"2~8번"}</definedName>
    <definedName name="ㄴㄴ" localSheetId="4" hidden="1">{#N/A,#N/A,FALSE,"2~8번"}</definedName>
    <definedName name="ㄴㄴ" localSheetId="0" hidden="1">{#N/A,#N/A,FALSE,"2~8번"}</definedName>
    <definedName name="ㄴㄴ" hidden="1">{#N/A,#N/A,FALSE,"2~8번"}</definedName>
    <definedName name="ㄴㄹㄴ" localSheetId="12" hidden="1">{#N/A,#N/A,FALSE,"운반시간"}</definedName>
    <definedName name="ㄴㄹㄴ" hidden="1">{#N/A,#N/A,FALSE,"운반시간"}</definedName>
    <definedName name="ㄴㄹㄴ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ㄴㄹㄴ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ㄴㄹㄴㅁㅎㅇㄹ" localSheetId="12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ㄹㅇ" localSheetId="12">BlankMacro1</definedName>
    <definedName name="ㄴㄹㅇ" localSheetId="6">BlankMacro1</definedName>
    <definedName name="ㄴㄹㅇ">BlankMacro1</definedName>
    <definedName name="ㄴㄹㅇㅁㅍㄹㄴㅇㄹ" localSheetId="6">BlankMacro1</definedName>
    <definedName name="ㄴㄹㅇㅁㅍㄹㄴㅇㄹ">BlankMacro1</definedName>
    <definedName name="ㄴㄹㅇㅎ" localSheetId="6">BlankMacro1</definedName>
    <definedName name="ㄴㄹㅇㅎ">BlankMacro1</definedName>
    <definedName name="ㄴ로노" localSheetId="12">BlankMacro1</definedName>
    <definedName name="ㄴ로노" localSheetId="6">BlankMacro1</definedName>
    <definedName name="ㄴ로노">BlankMacro1</definedName>
    <definedName name="ㄴㅀㅎㄹ노" localSheetId="7" hidden="1">{#N/A,#N/A,FALSE,"포장단가"}</definedName>
    <definedName name="ㄴㅀㅎㄹ노" localSheetId="4" hidden="1">{#N/A,#N/A,FALSE,"포장단가"}</definedName>
    <definedName name="ㄴㅀㅎㄹ노" localSheetId="0" hidden="1">{#N/A,#N/A,FALSE,"포장단가"}</definedName>
    <definedName name="ㄴㅀㅎㄹ노" hidden="1">{#N/A,#N/A,FALSE,"포장단가"}</definedName>
    <definedName name="ㄴㅁㄻㄴㅇㄹㅇㄴㄹ" localSheetId="12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ㅇㄹㄴ" localSheetId="12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ㄹㅇㄴ" localSheetId="12">BLCH</definedName>
    <definedName name="ㄴㅇㄹㅇㄴ" localSheetId="6">BLCH</definedName>
    <definedName name="ㄴㅇㄹㅇㄴ">BLCH</definedName>
    <definedName name="ㄴㅇㄹㅇㄹ">#N/A</definedName>
    <definedName name="ㄴㅇ로ㅗㄴㅇ" localSheetId="12">BlankMacro1</definedName>
    <definedName name="ㄴㅇ로ㅗㄴㅇ" localSheetId="6">BlankMacro1</definedName>
    <definedName name="ㄴㅇ로ㅗㄴㅇ">BlankMacro1</definedName>
    <definedName name="ㄴㅇㅀㅇㅁㄶ" localSheetId="12">BlankMacro1</definedName>
    <definedName name="ㄴㅇㅀㅇㅁㄶ" localSheetId="6">BlankMacro1</definedName>
    <definedName name="ㄴㅇㅀㅇㅁㄶ">BlankMacro1</definedName>
    <definedName name="ㄴㅇㅁㄴㅇ" localSheetId="12" hidden="1">{#N/A,#N/A,TRUE,"토적및재료집계";#N/A,#N/A,TRUE,"토적및재료집계";#N/A,#N/A,TRUE,"단위량"}</definedName>
    <definedName name="ㄴㅇㅁㄴㅇ" hidden="1">{#N/A,#N/A,TRUE,"토적및재료집계";#N/A,#N/A,TRUE,"토적및재료집계";#N/A,#N/A,TRUE,"단위량"}</definedName>
    <definedName name="ㄴㅇㅎㄹㄴㅇㅎ" localSheetId="12">BlankMacro1</definedName>
    <definedName name="ㄴㅇㅎㄹㄴㅇㅎ" localSheetId="6">BlankMacro1</definedName>
    <definedName name="ㄴㅇㅎㄹㄴㅇㅎ">BlankMacro1</definedName>
    <definedName name="ㄴㅇㅎㄹㅇㄴ" localSheetId="12">BlankMacro1</definedName>
    <definedName name="ㄴㅇㅎㄹㅇㄴ" localSheetId="6">BlankMacro1</definedName>
    <definedName name="ㄴㅇㅎㄹㅇㄴ">BlankMacro1</definedName>
    <definedName name="ㄴㅇㅎㅎㄹㄴㄹ" localSheetId="12">BlankMacro1</definedName>
    <definedName name="ㄴㅇㅎㅎㄹㄴㄹ" localSheetId="6">BlankMacro1</definedName>
    <definedName name="ㄴㅇㅎㅎㄹㄴㄹ">BlankMacro1</definedName>
    <definedName name="나" localSheetId="9">BlankMacro1</definedName>
    <definedName name="나ㅓㄳ러" localSheetId="12">BlankMacro1</definedName>
    <definedName name="나ㅓㄳ러" localSheetId="6">BlankMacro1</definedName>
    <definedName name="나ㅓㄳ러">BlankMacro1</definedName>
    <definedName name="낙차공기초단위수량" localSheetId="12">BlankMacro1</definedName>
    <definedName name="낙차공기초단위수량" localSheetId="6">BlankMacro1</definedName>
    <definedName name="낙차공기초단위수량">BlankMacro1</definedName>
    <definedName name="낙찰가">#N/A</definedName>
    <definedName name="낙책" localSheetId="12">{"Book1","부대-(표지판,데리,가드).xls","부대-(낙,차,중분대).xls"}</definedName>
    <definedName name="낙책">{"Book1","부대-(표지판,데리,가드).xls","부대-(낙,차,중분대).xls"}</definedName>
    <definedName name="날개">#N/A</definedName>
    <definedName name="날개벽" localSheetId="7" hidden="1">{#N/A,#N/A,FALSE,"표지목차"}</definedName>
    <definedName name="날개벽" localSheetId="4" hidden="1">{#N/A,#N/A,FALSE,"표지목차"}</definedName>
    <definedName name="날개벽" localSheetId="0" hidden="1">{#N/A,#N/A,FALSE,"표지목차"}</definedName>
    <definedName name="날개벽" hidden="1">{#N/A,#N/A,FALSE,"표지목차"}</definedName>
    <definedName name="남덕" localSheetId="12">BlankMacro1</definedName>
    <definedName name="남덕" localSheetId="6">BlankMacro1</definedName>
    <definedName name="남덕">BlankMacro1</definedName>
    <definedName name="남덕1" localSheetId="12">BlankMacro1</definedName>
    <definedName name="남덕1" localSheetId="6">BlankMacro1</definedName>
    <definedName name="남덕1">BlankMacro1</definedName>
    <definedName name="낭ㄹ">#N/A</definedName>
    <definedName name="내">#N/A</definedName>
    <definedName name="내역3" localSheetId="12">BlankMacro1</definedName>
    <definedName name="내역3" localSheetId="6">BlankMacro1</definedName>
    <definedName name="내역3">BlankMacro1</definedName>
    <definedName name="내역4" localSheetId="12">BlankMacro1</definedName>
    <definedName name="내역4" localSheetId="6">BlankMacro1</definedName>
    <definedName name="내역4">BlankMacro1</definedName>
    <definedName name="내역5" localSheetId="12">BlankMacro1</definedName>
    <definedName name="내역5" localSheetId="6">BlankMacro1</definedName>
    <definedName name="내역5">BlankMacro1</definedName>
    <definedName name="내역서" localSheetId="12">Dlog_Show</definedName>
    <definedName name="내역서1" localSheetId="11" hidden="1">{"'제조(순번)'!$A$386:$A$387","'제조(순번)'!$A$1:$H$399"}</definedName>
    <definedName name="내역서2" localSheetId="12" hidden="1">{"'단계별시설공사비'!$A$3:$K$51"}</definedName>
    <definedName name="내역서2" localSheetId="11" hidden="1">{"'단계별시설공사비'!$A$3:$K$51"}</definedName>
    <definedName name="내역서배수문2" hidden="1">{#N/A,#N/A,FALSE,"전력간선"}</definedName>
    <definedName name="내역집계" localSheetId="12" hidden="1">{#N/A,#N/A,FALSE,"포장단가"}</definedName>
    <definedName name="내역집계" hidden="1">{#N/A,#N/A,FALSE,"포장단가"}</definedName>
    <definedName name="너너ㅏ너ㅏㅓ" localSheetId="12" hidden="1">{#N/A,#N/A,FALSE,"골재소요량";#N/A,#N/A,FALSE,"골재소요량"}</definedName>
    <definedName name="너너ㅏ너ㅏㅓ" hidden="1">{#N/A,#N/A,FALSE,"골재소요량";#N/A,#N/A,FALSE,"골재소요량"}</definedName>
    <definedName name="넣ㄱ" localSheetId="12">BlankMacro1</definedName>
    <definedName name="넣ㄱ" localSheetId="6">BlankMacro1</definedName>
    <definedName name="넣ㄱ">BlankMacro1</definedName>
    <definedName name="노원문화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임1" localSheetId="12">BlankMacro1</definedName>
    <definedName name="노임1" localSheetId="6">BlankMacro1</definedName>
    <definedName name="노임1">BlankMacro1</definedName>
    <definedName name="노임10" localSheetId="12">BlankMacro1</definedName>
    <definedName name="노임10" localSheetId="6">BlankMacro1</definedName>
    <definedName name="노임10">BlankMacro1</definedName>
    <definedName name="노후관교체">#N/A</definedName>
    <definedName name="녹지떼조성집계" localSheetId="12">BlankMacro1</definedName>
    <definedName name="녹지떼조성집계" localSheetId="6">BlankMacro1</definedName>
    <definedName name="녹지떼조성집계">BlankMacro1</definedName>
    <definedName name="논산" localSheetId="12" hidden="1">{#N/A,#N/A,FALSE,"2~8번"}</definedName>
    <definedName name="논산" hidden="1">{#N/A,#N/A,FALSE,"2~8번"}</definedName>
    <definedName name="뉵ㅎㅅㄳㅁ" localSheetId="12" hidden="1">{#N/A,#N/A,FALSE,"혼합골재"}</definedName>
    <definedName name="뉵ㅎㅅㄳㅁ" localSheetId="11" hidden="1">{#N/A,#N/A,FALSE,"혼합골재"}</definedName>
    <definedName name="뉵ㅎㅅㄳㅁ" localSheetId="7" hidden="1">{#N/A,#N/A,FALSE,"혼합골재"}</definedName>
    <definedName name="뉵ㅎㅅㄳㅁ" localSheetId="9" hidden="1">{#N/A,#N/A,FALSE,"혼합골재"}</definedName>
    <definedName name="뉵ㅎㅅㄳㅁ" localSheetId="4" hidden="1">{#N/A,#N/A,FALSE,"혼합골재"}</definedName>
    <definedName name="뉵ㅎㅅㄳㅁ" localSheetId="0" hidden="1">{#N/A,#N/A,FALSE,"혼합골재"}</definedName>
    <definedName name="뉵ㅎㅅㄳㅁ" hidden="1">{#N/A,#N/A,FALSE,"혼합골재"}</definedName>
    <definedName name="ㄶㄹㅇㄶㄴㅇㅎ" localSheetId="12">BlankMacro1</definedName>
    <definedName name="ㄶㄹㅇㄶㄴㅇㅎ" localSheetId="6">BlankMacro1</definedName>
    <definedName name="ㄶㄹㅇㄶㄴㅇㅎ">BlankMacro1</definedName>
    <definedName name="ㄶㅇ" localSheetId="12">BlankMacro1</definedName>
    <definedName name="ㄶㅇ" localSheetId="6">BlankMacro1</definedName>
    <definedName name="ㄶㅇ">BlankMacro1</definedName>
    <definedName name="ㄶㅇㅀ" localSheetId="12">BlankMacro1</definedName>
    <definedName name="ㄶㅇㅀ" localSheetId="6">BlankMacro1</definedName>
    <definedName name="ㄶㅇㅀ">BlankMacro1</definedName>
    <definedName name="ㄶㅇㅎ" localSheetId="12">BlankMacro1</definedName>
    <definedName name="ㄶㅇㅎ" localSheetId="6">BlankMacro1</definedName>
    <definedName name="ㄶㅇㅎ">BlankMacro1</definedName>
    <definedName name="ㄷ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localSheetId="9" hidden="1">{#N/A,#N/A,FALSE,"표지목차"}</definedName>
    <definedName name="ㄷ3">#N/A</definedName>
    <definedName name="ㄷ4">#N/A</definedName>
    <definedName name="ㄷㄱ" localSheetId="6">BlankMacro1</definedName>
    <definedName name="ㄷㄱ">BlankMacro1</definedName>
    <definedName name="ㄷㄱㄱㅈㅍㄷ" localSheetId="12" hidden="1">{#N/A,#N/A,FALSE,"골재소요량";#N/A,#N/A,FALSE,"골재소요량"}</definedName>
    <definedName name="ㄷㄱㄱㅈㅍㄷ" localSheetId="11" hidden="1">{#N/A,#N/A,FALSE,"골재소요량";#N/A,#N/A,FALSE,"골재소요량"}</definedName>
    <definedName name="ㄷㄱㄱㅈㅍㄷ" localSheetId="7" hidden="1">{#N/A,#N/A,FALSE,"골재소요량";#N/A,#N/A,FALSE,"골재소요량"}</definedName>
    <definedName name="ㄷㄱㄱㅈㅍㄷ" localSheetId="9" hidden="1">{#N/A,#N/A,FALSE,"골재소요량";#N/A,#N/A,FALSE,"골재소요량"}</definedName>
    <definedName name="ㄷㄱㄱㅈㅍㄷ" localSheetId="4" hidden="1">{#N/A,#N/A,FALSE,"골재소요량";#N/A,#N/A,FALSE,"골재소요량"}</definedName>
    <definedName name="ㄷㄱㄱㅈㅍㄷ" localSheetId="0" hidden="1">{#N/A,#N/A,FALSE,"골재소요량";#N/A,#N/A,FALSE,"골재소요량"}</definedName>
    <definedName name="ㄷㄱㄱㅈㅍㄷ" hidden="1">{#N/A,#N/A,FALSE,"골재소요량";#N/A,#N/A,FALSE,"골재소요량"}</definedName>
    <definedName name="ㄷㄱㄴㄴㅁ" localSheetId="12" hidden="1">{#N/A,#N/A,FALSE,"단가표지"}</definedName>
    <definedName name="ㄷㄱㄴㄴㅁ" localSheetId="11" hidden="1">{#N/A,#N/A,FALSE,"단가표지"}</definedName>
    <definedName name="ㄷㄱㄴㄴㅁ" localSheetId="7" hidden="1">{#N/A,#N/A,FALSE,"단가표지"}</definedName>
    <definedName name="ㄷㄱㄴㄴㅁ" localSheetId="9" hidden="1">{#N/A,#N/A,FALSE,"단가표지"}</definedName>
    <definedName name="ㄷㄱㄴㄴㅁ" localSheetId="4" hidden="1">{#N/A,#N/A,FALSE,"단가표지"}</definedName>
    <definedName name="ㄷㄱㄴㄴㅁ" localSheetId="0" hidden="1">{#N/A,#N/A,FALSE,"단가표지"}</definedName>
    <definedName name="ㄷㄱㄴㄴㅁ" hidden="1">{#N/A,#N/A,FALSE,"단가표지"}</definedName>
    <definedName name="ㄷㄱㄹㄹㄷㄹ" localSheetId="12" hidden="1">{#N/A,"수불부",FALSE,"사급자재수불서";#N/A,"수불부",FALSE,"사급자재수불서"}</definedName>
    <definedName name="ㄷㄱㄹㄹㄷㄹ" hidden="1">{#N/A,"수불부",FALSE,"사급자재수불서";#N/A,"수불부",FALSE,"사급자재수불서"}</definedName>
    <definedName name="ㄷㄱㅈ" localSheetId="12" hidden="1">{#N/A,#N/A,FALSE,"운반시간"}</definedName>
    <definedName name="ㄷㄱㅈ" hidden="1">{#N/A,#N/A,FALSE,"운반시간"}</definedName>
    <definedName name="ㄷㄱㅈㄱㄷㅈㄷㄱㅈㅈㅂㄷㄱ" localSheetId="12">BlankMacro1</definedName>
    <definedName name="ㄷㄱㅈㄱㄷㅈㄷㄱㅈㅈㅂㄷㄱ" localSheetId="6">BlankMacro1</definedName>
    <definedName name="ㄷㄱㅈㄱㄷㅈㄷㄱㅈㅈㅂㄷㄱ">BlankMacro1</definedName>
    <definedName name="ㄷㄱㅈㅍ" localSheetId="12" hidden="1">{#N/A,#N/A,FALSE,"표지목차"}</definedName>
    <definedName name="ㄷㄱㅈㅍ" localSheetId="11" hidden="1">{#N/A,#N/A,FALSE,"표지목차"}</definedName>
    <definedName name="ㄷㄱㅈㅍ" localSheetId="7" hidden="1">{#N/A,#N/A,FALSE,"표지목차"}</definedName>
    <definedName name="ㄷㄱㅈㅍ" localSheetId="9" hidden="1">{#N/A,#N/A,FALSE,"표지목차"}</definedName>
    <definedName name="ㄷㄱㅈㅍ" localSheetId="4" hidden="1">{#N/A,#N/A,FALSE,"표지목차"}</definedName>
    <definedName name="ㄷㄱㅈㅍ" localSheetId="0" hidden="1">{#N/A,#N/A,FALSE,"표지목차"}</definedName>
    <definedName name="ㄷㄱㅈㅍ" hidden="1">{#N/A,#N/A,FALSE,"표지목차"}</definedName>
    <definedName name="ㄷㄱㅍㄷㄱ뮤" localSheetId="12" hidden="1">{#N/A,#N/A,FALSE,"2~8번"}</definedName>
    <definedName name="ㄷㄱㅍㄷㄱ뮤" localSheetId="11" hidden="1">{#N/A,#N/A,FALSE,"2~8번"}</definedName>
    <definedName name="ㄷㄱㅍㄷㄱ뮤" localSheetId="7" hidden="1">{#N/A,#N/A,FALSE,"2~8번"}</definedName>
    <definedName name="ㄷㄱㅍㄷㄱ뮤" localSheetId="9" hidden="1">{#N/A,#N/A,FALSE,"2~8번"}</definedName>
    <definedName name="ㄷㄱㅍㄷㄱ뮤" localSheetId="4" hidden="1">{#N/A,#N/A,FALSE,"2~8번"}</definedName>
    <definedName name="ㄷㄱㅍㄷㄱ뮤" localSheetId="0" hidden="1">{#N/A,#N/A,FALSE,"2~8번"}</definedName>
    <definedName name="ㄷㄱㅍㄷㄱ뮤" hidden="1">{#N/A,#N/A,FALSE,"2~8번"}</definedName>
    <definedName name="ㄷㄱㅍㅁㄷㄱ" localSheetId="12" hidden="1">{#N/A,#N/A,FALSE,"골재소요량";#N/A,#N/A,FALSE,"골재소요량"}</definedName>
    <definedName name="ㄷㄱㅍㅁㄷㄱ" localSheetId="11" hidden="1">{#N/A,#N/A,FALSE,"골재소요량";#N/A,#N/A,FALSE,"골재소요량"}</definedName>
    <definedName name="ㄷㄱㅍㅁㄷㄱ" localSheetId="7" hidden="1">{#N/A,#N/A,FALSE,"골재소요량";#N/A,#N/A,FALSE,"골재소요량"}</definedName>
    <definedName name="ㄷㄱㅍㅁㄷㄱ" localSheetId="9" hidden="1">{#N/A,#N/A,FALSE,"골재소요량";#N/A,#N/A,FALSE,"골재소요량"}</definedName>
    <definedName name="ㄷㄱㅍㅁㄷㄱ" localSheetId="4" hidden="1">{#N/A,#N/A,FALSE,"골재소요량";#N/A,#N/A,FALSE,"골재소요량"}</definedName>
    <definedName name="ㄷㄱㅍㅁㄷㄱ" localSheetId="0" hidden="1">{#N/A,#N/A,FALSE,"골재소요량";#N/A,#N/A,FALSE,"골재소요량"}</definedName>
    <definedName name="ㄷㄱㅍㅁㄷㄱ" hidden="1">{#N/A,#N/A,FALSE,"골재소요량";#N/A,#N/A,FALSE,"골재소요량"}</definedName>
    <definedName name="ㄷ교" localSheetId="12">BlankMacro1</definedName>
    <definedName name="ㄷ교" localSheetId="6">BlankMacro1</definedName>
    <definedName name="ㄷ교">BlankMacro1</definedName>
    <definedName name="ㄷ굗" localSheetId="12">BlankMacro1</definedName>
    <definedName name="ㄷ굗" localSheetId="6">BlankMacro1</definedName>
    <definedName name="ㄷ굗">BlankMacro1</definedName>
    <definedName name="ㄷㄴㅁㄱㅇ" localSheetId="12" hidden="1">{#N/A,#N/A,FALSE,"골재소요량";#N/A,#N/A,FALSE,"골재소요량"}</definedName>
    <definedName name="ㄷㄴㅁㄱㅇ" localSheetId="11" hidden="1">{#N/A,#N/A,FALSE,"골재소요량";#N/A,#N/A,FALSE,"골재소요량"}</definedName>
    <definedName name="ㄷㄴㅁㄱㅇ" localSheetId="7" hidden="1">{#N/A,#N/A,FALSE,"골재소요량";#N/A,#N/A,FALSE,"골재소요량"}</definedName>
    <definedName name="ㄷㄴㅁㄱㅇ" localSheetId="9" hidden="1">{#N/A,#N/A,FALSE,"골재소요량";#N/A,#N/A,FALSE,"골재소요량"}</definedName>
    <definedName name="ㄷㄴㅁㄱㅇ" localSheetId="4" hidden="1">{#N/A,#N/A,FALSE,"골재소요량";#N/A,#N/A,FALSE,"골재소요량"}</definedName>
    <definedName name="ㄷㄴㅁㄱㅇ" localSheetId="0" hidden="1">{#N/A,#N/A,FALSE,"골재소요량";#N/A,#N/A,FALSE,"골재소요량"}</definedName>
    <definedName name="ㄷㄴㅁㄱㅇ" hidden="1">{#N/A,#N/A,FALSE,"골재소요량";#N/A,#N/A,FALSE,"골재소요량"}</definedName>
    <definedName name="ㄷㄷ" hidden="1">{#N/A,#N/A,FALSE,"혼합골재"}</definedName>
    <definedName name="ㄷㄷㄷㄷㄷㄷ" localSheetId="12">BlankMacro1</definedName>
    <definedName name="ㄷㄷㄷㄷㄷㄷ" localSheetId="11">BlankMacro1</definedName>
    <definedName name="ㄷㄷㄷㄷㄷㄷ" localSheetId="7" hidden="1">{#N/A,#N/A,FALSE,"운반시간"}</definedName>
    <definedName name="ㄷㄷㄷㄷㄷㄷ" localSheetId="9" hidden="1">{#N/A,#N/A,FALSE,"운반시간"}</definedName>
    <definedName name="ㄷㄷㄷㄷㄷㄷ" localSheetId="4" hidden="1">{#N/A,#N/A,FALSE,"운반시간"}</definedName>
    <definedName name="ㄷㄷㄷㄷㄷㄷ" localSheetId="0" hidden="1">{#N/A,#N/A,FALSE,"운반시간"}</definedName>
    <definedName name="ㄷㄷㄷㄷㄷㄷ" hidden="1">{#N/A,#N/A,FALSE,"운반시간"}</definedName>
    <definedName name="ㄷㄷㅈㅅㄷㅈ" localSheetId="12">BlankMacro1</definedName>
    <definedName name="ㄷㄷㅈㅅㄷㅈ" localSheetId="6">BlankMacro1</definedName>
    <definedName name="ㄷㄷㅈㅅㄷㅈ">BlankMacro1</definedName>
    <definedName name="ㄷㄷㅈㅊㅍㅌㅋ" localSheetId="12" hidden="1">{#N/A,#N/A,FALSE,"조골재"}</definedName>
    <definedName name="ㄷㄷㅈㅊㅍㅌㅋ" localSheetId="11" hidden="1">{#N/A,#N/A,FALSE,"조골재"}</definedName>
    <definedName name="ㄷㄷㅈㅊㅍㅌㅋ" localSheetId="7" hidden="1">{#N/A,#N/A,FALSE,"조골재"}</definedName>
    <definedName name="ㄷㄷㅈㅊㅍㅌㅋ" localSheetId="9" hidden="1">{#N/A,#N/A,FALSE,"조골재"}</definedName>
    <definedName name="ㄷㄷㅈㅊㅍㅌㅋ" localSheetId="4" hidden="1">{#N/A,#N/A,FALSE,"조골재"}</definedName>
    <definedName name="ㄷㄷㅈㅊㅍㅌㅋ" localSheetId="0" hidden="1">{#N/A,#N/A,FALSE,"조골재"}</definedName>
    <definedName name="ㄷㄷㅈㅊㅍㅌㅋ" hidden="1">{#N/A,#N/A,FALSE,"조골재"}</definedName>
    <definedName name="ㄷㅂㅂㅂㅂㅂㅂㅂㅂㅂ" localSheetId="12">BlankMacro1</definedName>
    <definedName name="ㄷㅂㅂㅂㅂㅂㅂㅂㅂㅂ" localSheetId="6">BlankMacro1</definedName>
    <definedName name="ㄷㅂㅂㅂㅂㅂㅂㅂㅂㅂ">BlankMacro1</definedName>
    <definedName name="ㄷㅅ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ㄷㅅ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ㄷㅅㄱㄷㅈㅅ" localSheetId="12">BlankMacro1</definedName>
    <definedName name="ㄷㅅㄱㄷㅈㅅ" localSheetId="6">BlankMacro1</definedName>
    <definedName name="ㄷㅅㄱㄷㅈㅅ">BlankMacro1</definedName>
    <definedName name="ㄷㅅㄷㅅㄷㅅㄷ" localSheetId="12">BlankMacro1</definedName>
    <definedName name="ㄷㅅㄷㅅㄷㅅㄷ" localSheetId="6">BlankMacro1</definedName>
    <definedName name="ㄷㅅㄷㅅㄷㅅㄷ">BlankMacro1</definedName>
    <definedName name="ㄷㅅㄷㅅㄷㅅㅈㅄㄷㅈㄷ" localSheetId="12">BlankMacro1</definedName>
    <definedName name="ㄷㅅㄷㅅㄷㅅㅈㅄㄷㅈㄷ" localSheetId="6">BlankMacro1</definedName>
    <definedName name="ㄷㅅㄷㅅㄷㅅㅈㅄㄷㅈㄷ">BlankMacro1</definedName>
    <definedName name="ㄷㅅㄷㅅㅈㄷㅈㅅㄷㅅㅈ" localSheetId="12">BlankMacro1</definedName>
    <definedName name="ㄷㅅㄷㅅㅈㄷㅈㅅㄷㅅㅈ" localSheetId="6">BlankMacro1</definedName>
    <definedName name="ㄷㅅㄷㅅㅈㄷㅈㅅㄷㅅㅈ">BlankMacro1</definedName>
    <definedName name="ㄷㅅㄷㅅㅈㅂㅈㄷㅅ" localSheetId="12">BlankMacro1</definedName>
    <definedName name="ㄷㅅㄷㅅㅈㅂㅈㄷㅅ" localSheetId="6">BlankMacro1</definedName>
    <definedName name="ㄷㅅㄷㅅㅈㅂㅈㄷㅅ">BlankMacro1</definedName>
    <definedName name="ㄷㅅㅅㄷㄷㅅㅈㄷㅈ" localSheetId="12">BlankMacro1</definedName>
    <definedName name="ㄷㅅㅅㄷㄷㅅㅈㄷㅈ" localSheetId="6">BlankMacro1</definedName>
    <definedName name="ㄷㅅㅅㄷㄷㅅㅈㄷㅈ">BlankMacro1</definedName>
    <definedName name="ㄷㅅㅅㄷㅅㄷㅅㄷㅅㄷㄷㅈ" localSheetId="12">BlankMacro1</definedName>
    <definedName name="ㄷㅅㅅㄷㅅㄷㅅㄷㅅㄷㄷㅈ" localSheetId="6">BlankMacro1</definedName>
    <definedName name="ㄷㅅㅅㄷㅅㄷㅅㄷㅅㄷㄷㅈ">BlankMacro1</definedName>
    <definedName name="ㄷㅅㅅㄷㅈㅄㅈㅄ" localSheetId="12">BlankMacro1</definedName>
    <definedName name="ㄷㅅㅅㄷㅈㅄㅈㅄ" localSheetId="6">BlankMacro1</definedName>
    <definedName name="ㄷㅅㅅㄷㅈㅄㅈㅄ">BlankMacro1</definedName>
    <definedName name="ㄷㅅㅅㅈㅂㅂㅂㅂㅂㅂㅂㅂㅂㅂㅂㅂ" localSheetId="12">BlankMacro1</definedName>
    <definedName name="ㄷㅅㅅㅈㅂㅂㅂㅂㅂㅂㅂㅂㅂㅂㅂㅂ" localSheetId="6">BlankMacro1</definedName>
    <definedName name="ㄷㅅㅅㅈㅂㅂㅂㅂㅂㅂㅂㅂㅂㅂㅂㅂ">BlankMacro1</definedName>
    <definedName name="ㄷㅅㅈㄷㅅㄷㅅㅅㄷ" localSheetId="12">BlankMacro1</definedName>
    <definedName name="ㄷㅅㅈㄷㅅㄷㅅㅅㄷ" localSheetId="6">BlankMacro1</definedName>
    <definedName name="ㄷㅅㅈㄷㅅㄷㅅㅅㄷ">BlankMacro1</definedName>
    <definedName name="ㄷㅅㅈㄷㅅㅈㄷㅅㅈ" localSheetId="12">BlankMacro1</definedName>
    <definedName name="ㄷㅅㅈㄷㅅㅈㄷㅅㅈ" localSheetId="6">BlankMacro1</definedName>
    <definedName name="ㄷㅅㅈㄷㅅㅈㄷㅅㅈ">BlankMacro1</definedName>
    <definedName name="ㄷㅅㅈㄷㅅㅈㄷㅅㅈㅅㄷㅈ" localSheetId="12">BlankMacro1</definedName>
    <definedName name="ㄷㅅㅈㄷㅅㅈㄷㅅㅈㅅㄷㅈ" localSheetId="6">BlankMacro1</definedName>
    <definedName name="ㄷㅅㅈㄷㅅㅈㄷㅅㅈㅅㄷㅈ">BlankMacro1</definedName>
    <definedName name="ㄷㅅㅈㄷㅅㅈㄷㅅㅈㅅㄷㅈㅅㄷ" localSheetId="12">BlankMacro1</definedName>
    <definedName name="ㄷㅅㅈㄷㅅㅈㄷㅅㅈㅅㄷㅈㅅㄷ" localSheetId="6">BlankMacro1</definedName>
    <definedName name="ㄷㅅㅈㄷㅅㅈㄷㅅㅈㅅㄷㅈㅅㄷ">BlankMacro1</definedName>
    <definedName name="ㄷㅅㅈㄷㅅㅈㅅㄷㅈ" localSheetId="12">BlankMacro1</definedName>
    <definedName name="ㄷㅅㅈㄷㅅㅈㅅㄷㅈ" localSheetId="6">BlankMacro1</definedName>
    <definedName name="ㄷㅅㅈㄷㅅㅈㅅㄷㅈ">BlankMacro1</definedName>
    <definedName name="ㄷㅅㅈㅅ" localSheetId="12">BlankMacro1</definedName>
    <definedName name="ㄷㅅㅈㅅ" localSheetId="6">BlankMacro1</definedName>
    <definedName name="ㄷㅅㅈㅅ">BlankMacro1</definedName>
    <definedName name="ㄷㅅㅈㅅㄷㄷㅅㅈ" localSheetId="12">BlankMacro1</definedName>
    <definedName name="ㄷㅅㅈㅅㄷㄷㅅㅈ" localSheetId="6">BlankMacro1</definedName>
    <definedName name="ㄷㅅㅈㅅㄷㄷㅅㅈ">BlankMacro1</definedName>
    <definedName name="ㄷㅅㅈㅅㄷㅅㄷㅈ" localSheetId="12">BlankMacro1</definedName>
    <definedName name="ㄷㅅㅈㅅㄷㅅㄷㅈ" localSheetId="6">BlankMacro1</definedName>
    <definedName name="ㄷㅅㅈㅅㄷㅅㄷㅈ">BlankMacro1</definedName>
    <definedName name="ㄷㅅㅈㅅㄷㅅㅈ" localSheetId="12">BlankMacro1</definedName>
    <definedName name="ㄷㅅㅈㅅㄷㅅㅈ" localSheetId="6">BlankMacro1</definedName>
    <definedName name="ㄷㅅㅈㅅㄷㅅㅈ">BlankMacro1</definedName>
    <definedName name="ㄷㅅㅈㅅㄷㅈㅅㄷㅅㄷㄷㅈㅈ" localSheetId="12">BlankMacro1</definedName>
    <definedName name="ㄷㅅㅈㅅㄷㅈㅅㄷㅅㄷㄷㅈㅈ" localSheetId="6">BlankMacro1</definedName>
    <definedName name="ㄷㅅㅈㅅㄷㅈㅅㄷㅅㄷㄷㅈㅈ">BlankMacro1</definedName>
    <definedName name="ㄷㅅㅈㅅㄷㅈㅈ" localSheetId="12">BlankMacro1</definedName>
    <definedName name="ㄷㅅㅈㅅㄷㅈㅈ" localSheetId="6">BlankMacro1</definedName>
    <definedName name="ㄷㅅㅈㅅㄷㅈㅈ">BlankMacro1</definedName>
    <definedName name="ㄷㅇㄹ" localSheetId="7" hidden="1">{#N/A,#N/A,FALSE,"단가표지"}</definedName>
    <definedName name="ㄷㅇㄹ" localSheetId="9" hidden="1">{#N/A,#N/A,FALSE,"단가표지"}</definedName>
    <definedName name="ㄷㅇㄹ" localSheetId="4" hidden="1">{#N/A,#N/A,FALSE,"단가표지"}</definedName>
    <definedName name="ㄷㅇㄹ" localSheetId="0" hidden="1">{#N/A,#N/A,FALSE,"단가표지"}</definedName>
    <definedName name="ㄷㅇㄹ" hidden="1">{#N/A,#N/A,FALSE,"단가표지"}</definedName>
    <definedName name="ㄷㅈㄱㄱ" localSheetId="12" hidden="1">{#N/A,#N/A,FALSE,"조골재"}</definedName>
    <definedName name="ㄷㅈㄱㄱ" localSheetId="11" hidden="1">{#N/A,#N/A,FALSE,"조골재"}</definedName>
    <definedName name="ㄷㅈㄱㄱ" localSheetId="7" hidden="1">{#N/A,#N/A,FALSE,"조골재"}</definedName>
    <definedName name="ㄷㅈㄱㄱ" localSheetId="9" hidden="1">{#N/A,#N/A,FALSE,"조골재"}</definedName>
    <definedName name="ㄷㅈㄱㄱ" localSheetId="4" hidden="1">{#N/A,#N/A,FALSE,"조골재"}</definedName>
    <definedName name="ㄷㅈㄱㄱ" localSheetId="0" hidden="1">{#N/A,#N/A,FALSE,"조골재"}</definedName>
    <definedName name="ㄷㅈㄱㄱ" hidden="1">{#N/A,#N/A,FALSE,"조골재"}</definedName>
    <definedName name="ㄷㅈㄱㄷ" localSheetId="12">BlankMacro1</definedName>
    <definedName name="ㄷㅈㄱㄷ" localSheetId="6">BlankMacro1</definedName>
    <definedName name="ㄷㅈㄱㄷ">BlankMacro1</definedName>
    <definedName name="ㄷㅈㄱㅂ" localSheetId="12">BlankMacro1</definedName>
    <definedName name="ㄷㅈㄱㅂ" localSheetId="6">BlankMacro1</definedName>
    <definedName name="ㄷㅈㄱㅂ">BlankMacro1</definedName>
    <definedName name="ㄷㅈㄱㅈ" localSheetId="12">BlankMacro1</definedName>
    <definedName name="ㄷㅈㄱㅈ" localSheetId="6">BlankMacro1</definedName>
    <definedName name="ㄷㅈㄱㅈ">BlankMacro1</definedName>
    <definedName name="ㄷㅈㄱㅈㅂ" localSheetId="12">BlankMacro1</definedName>
    <definedName name="ㄷㅈㄱㅈㅂ" localSheetId="6">BlankMacro1</definedName>
    <definedName name="ㄷㅈㄱㅈㅂ">BlankMacro1</definedName>
    <definedName name="ㄷㅈㄷㅅㅈㅈㅅㅂㅈㅂ" localSheetId="12">BlankMacro1</definedName>
    <definedName name="ㄷㅈㄷㅅㅈㅈㅅㅂㅈㅂ" localSheetId="6">BlankMacro1</definedName>
    <definedName name="ㄷㅈㄷㅅㅈㅈㅅㅂㅈㅂ">BlankMacro1</definedName>
    <definedName name="ㄷㅈㄷㅈ">#N/A</definedName>
    <definedName name="ㄷㅈㄹㄹㄷㄹㅇㄴㅇㄴㄹ" localSheetId="12" hidden="1">{#N/A,#N/A,FALSE,"조골재"}</definedName>
    <definedName name="ㄷㅈㄹㄹㄷㄹㅇㄴㅇㄴㄹ" localSheetId="11" hidden="1">{#N/A,#N/A,FALSE,"조골재"}</definedName>
    <definedName name="ㄷㅈㄹㄹㄷㄹㅇㄴㅇㄴㄹ" localSheetId="7" hidden="1">{#N/A,#N/A,FALSE,"조골재"}</definedName>
    <definedName name="ㄷㅈㄹㄹㄷㄹㅇㄴㅇㄴㄹ" localSheetId="9" hidden="1">{#N/A,#N/A,FALSE,"조골재"}</definedName>
    <definedName name="ㄷㅈㄹㄹㄷㄹㅇㄴㅇㄴㄹ" localSheetId="4" hidden="1">{#N/A,#N/A,FALSE,"조골재"}</definedName>
    <definedName name="ㄷㅈㄹㄹㄷㄹㅇㄴㅇㄴㄹ" localSheetId="0" hidden="1">{#N/A,#N/A,FALSE,"조골재"}</definedName>
    <definedName name="ㄷㅈㄹㄹㄷㄹㅇㄴㅇㄴㄹ" hidden="1">{#N/A,#N/A,FALSE,"조골재"}</definedName>
    <definedName name="ㄷㅈㅅㄷㅅㅈㄷㅅㅈㅈ" localSheetId="12">BlankMacro1</definedName>
    <definedName name="ㄷㅈㅅㄷㅅㅈㄷㅅㅈㅈ" localSheetId="6">BlankMacro1</definedName>
    <definedName name="ㄷㅈㅅㄷㅅㅈㄷㅅㅈㅈ">BlankMacro1</definedName>
    <definedName name="ㄷㅈㅅㄷㅅㅈㅅㄷㄷㅅ" localSheetId="12">BlankMacro1</definedName>
    <definedName name="ㄷㅈㅅㄷㅅㅈㅅㄷㄷㅅ" localSheetId="6">BlankMacro1</definedName>
    <definedName name="ㄷㅈㅅㄷㅅㅈㅅㄷㄷㅅ">BlankMacro1</definedName>
    <definedName name="ㄷㅈㅅㄷㅅㅈㅅㅈ" localSheetId="12">BlankMacro1</definedName>
    <definedName name="ㄷㅈㅅㄷㅅㅈㅅㅈ" localSheetId="6">BlankMacro1</definedName>
    <definedName name="ㄷㅈㅅㄷㅅㅈㅅㅈ">BlankMacro1</definedName>
    <definedName name="ㄷㅈㅅㅂㅈㄷㅅㅈㅂㄷ" localSheetId="12">BlankMacro1</definedName>
    <definedName name="ㄷㅈㅅㅂㅈㄷㅅㅈㅂㄷ" localSheetId="6">BlankMacro1</definedName>
    <definedName name="ㄷㅈㅅㅂㅈㄷㅅㅈㅂㄷ">BlankMacro1</definedName>
    <definedName name="ㄷㅈㅅㅅㄷㅅㄷㅅㄷ" localSheetId="12">BlankMacro1</definedName>
    <definedName name="ㄷㅈㅅㅅㄷㅅㄷㅅㄷ" localSheetId="6">BlankMacro1</definedName>
    <definedName name="ㄷㅈㅅㅅㄷㅅㄷㅅㄷ">BlankMacro1</definedName>
    <definedName name="ㄷㅈㅅㅅㄷㅅㄷㅈ" localSheetId="12">BlankMacro1</definedName>
    <definedName name="ㄷㅈㅅㅅㄷㅅㄷㅈ" localSheetId="6">BlankMacro1</definedName>
    <definedName name="ㄷㅈㅅㅅㄷㅅㄷㅈ">BlankMacro1</definedName>
    <definedName name="ㄷㅈㅅㅅㄷㅈㅄㅂㅈ" localSheetId="12">BlankMacro1</definedName>
    <definedName name="ㄷㅈㅅㅅㄷㅈㅄㅂㅈ" localSheetId="6">BlankMacro1</definedName>
    <definedName name="ㄷㅈㅅㅅㄷㅈㅄㅂㅈ">BlankMacro1</definedName>
    <definedName name="ㄷㅈㅅㅈㅄㅂㅈㅅ" localSheetId="12">BlankMacro1</definedName>
    <definedName name="ㄷㅈㅅㅈㅄㅂㅈㅅ" localSheetId="6">BlankMacro1</definedName>
    <definedName name="ㄷㅈㅅㅈㅄㅂㅈㅅ">BlankMacro1</definedName>
    <definedName name="ㄷㅈㅈㄱㄷㄱㄷㅈ" localSheetId="12" hidden="1">{#N/A,#N/A,FALSE,"운반시간"}</definedName>
    <definedName name="ㄷㅈㅈㄱㄷㄱㄷㅈ" localSheetId="11" hidden="1">{#N/A,#N/A,FALSE,"운반시간"}</definedName>
    <definedName name="ㄷㅈㅈㄱㄷㄱㄷㅈ" localSheetId="7" hidden="1">{#N/A,#N/A,FALSE,"운반시간"}</definedName>
    <definedName name="ㄷㅈㅈㄱㄷㄱㄷㅈ" localSheetId="9" hidden="1">{#N/A,#N/A,FALSE,"운반시간"}</definedName>
    <definedName name="ㄷㅈㅈㄱㄷㄱㄷㅈ" localSheetId="4" hidden="1">{#N/A,#N/A,FALSE,"운반시간"}</definedName>
    <definedName name="ㄷㅈㅈㄱㄷㄱㄷㅈ" localSheetId="0" hidden="1">{#N/A,#N/A,FALSE,"운반시간"}</definedName>
    <definedName name="ㄷㅈㅈㄱㄷㄱㄷㅈ" hidden="1">{#N/A,#N/A,FALSE,"운반시간"}</definedName>
    <definedName name="ㄷㅈㅍㄱㄷㅈㄱ" localSheetId="12" hidden="1">{#N/A,#N/A,FALSE,"2~8번"}</definedName>
    <definedName name="ㄷㅈㅍㄱㄷㅈㄱ" localSheetId="11" hidden="1">{#N/A,#N/A,FALSE,"2~8번"}</definedName>
    <definedName name="ㄷㅈㅍㄱㄷㅈㄱ" localSheetId="7" hidden="1">{#N/A,#N/A,FALSE,"2~8번"}</definedName>
    <definedName name="ㄷㅈㅍㄱㄷㅈㄱ" localSheetId="9" hidden="1">{#N/A,#N/A,FALSE,"2~8번"}</definedName>
    <definedName name="ㄷㅈㅍㄱㄷㅈㄱ" localSheetId="4" hidden="1">{#N/A,#N/A,FALSE,"2~8번"}</definedName>
    <definedName name="ㄷㅈㅍㄱㄷㅈㄱ" localSheetId="0" hidden="1">{#N/A,#N/A,FALSE,"2~8번"}</definedName>
    <definedName name="ㄷㅈㅍㄱㄷㅈㄱ" hidden="1">{#N/A,#N/A,FALSE,"2~8번"}</definedName>
    <definedName name="다이크집계">#N/A</definedName>
    <definedName name="단가근거">#N/A</definedName>
    <definedName name="단가비교" hidden="1">{#N/A,#N/A,FALSE,"단가표지"}</definedName>
    <definedName name="단가사출" localSheetId="12" hidden="1">{#N/A,#N/A,FALSE,"골재소요량";#N/A,#N/A,FALSE,"골재소요량"}</definedName>
    <definedName name="단가사출" hidden="1">{#N/A,#N/A,FALSE,"골재소요량";#N/A,#N/A,FALSE,"골재소요량"}</definedName>
    <definedName name="단가산출서">#N/A</definedName>
    <definedName name="단같">#N/A</definedName>
    <definedName name="단같1">#N/A</definedName>
    <definedName name="단같2">#N/A</definedName>
    <definedName name="단같3">#N/A</definedName>
    <definedName name="단같4">#N/A</definedName>
    <definedName name="단뎀로라">250000</definedName>
    <definedName name="단위" localSheetId="12">#N/A</definedName>
    <definedName name="단위당중기사용료">#N/A</definedName>
    <definedName name="달래강돌">13326</definedName>
    <definedName name="당" localSheetId="12" hidden="1">{#N/A,#N/A,FALSE,"배수1"}</definedName>
    <definedName name="당" hidden="1">{#N/A,#N/A,FALSE,"배수1"}</definedName>
    <definedName name="대구경천공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대구경천공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대구공항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덤프">250000</definedName>
    <definedName name="도장수량">#N/A</definedName>
    <definedName name="도장수량1">#N/A</definedName>
    <definedName name="도쟈6P">250000</definedName>
    <definedName name="도표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도표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동광건설" localSheetId="12" hidden="1">{#N/A,#N/A,FALSE,"골재소요량";#N/A,#N/A,FALSE,"골재소요량"}</definedName>
    <definedName name="동광건설" localSheetId="11" hidden="1">{#N/A,#N/A,FALSE,"골재소요량";#N/A,#N/A,FALSE,"골재소요량"}</definedName>
    <definedName name="동광건설" localSheetId="7" hidden="1">{#N/A,#N/A,FALSE,"골재소요량";#N/A,#N/A,FALSE,"골재소요량"}</definedName>
    <definedName name="동광건설" localSheetId="9" hidden="1">{#N/A,#N/A,FALSE,"골재소요량";#N/A,#N/A,FALSE,"골재소요량"}</definedName>
    <definedName name="동광건설" localSheetId="4" hidden="1">{#N/A,#N/A,FALSE,"골재소요량";#N/A,#N/A,FALSE,"골재소요량"}</definedName>
    <definedName name="동광건설" localSheetId="0" hidden="1">{#N/A,#N/A,FALSE,"골재소요량";#N/A,#N/A,FALSE,"골재소요량"}</definedName>
    <definedName name="동광건설" hidden="1">{#N/A,#N/A,FALSE,"골재소요량";#N/A,#N/A,FALSE,"골재소요량"}</definedName>
    <definedName name="동준" localSheetId="12" hidden="1">{"'Firr(선)'!$AS$1:$AY$62","'Firr(사)'!$AS$1:$AY$62","'Firr(회)'!$AS$1:$AY$62","'Firr(선)'!$L$1:$V$62","'Firr(사)'!$L$1:$V$62","'Firr(회)'!$L$1:$V$62"}</definedName>
    <definedName name="동준" hidden="1">{"'Firr(선)'!$AS$1:$AY$62","'Firr(사)'!$AS$1:$AY$62","'Firr(회)'!$AS$1:$AY$62","'Firr(선)'!$L$1:$V$62","'Firr(사)'!$L$1:$V$62","'Firr(회)'!$L$1:$V$62"}</definedName>
    <definedName name="동준친" localSheetId="12" hidden="1">{"'Firr(선)'!$AS$1:$AY$62","'Firr(사)'!$AS$1:$AY$62","'Firr(회)'!$AS$1:$AY$62","'Firr(선)'!$L$1:$V$62","'Firr(사)'!$L$1:$V$62","'Firr(회)'!$L$1:$V$62"}</definedName>
    <definedName name="동준친" hidden="1">{"'Firr(선)'!$AS$1:$AY$62","'Firr(사)'!$AS$1:$AY$62","'Firr(회)'!$AS$1:$AY$62","'Firr(선)'!$L$1:$V$62","'Firr(사)'!$L$1:$V$62","'Firr(회)'!$L$1:$V$62"}</definedName>
    <definedName name="되메우기" localSheetId="12">#N/A</definedName>
    <definedName name="됴ㅠ굑ㅇ" localSheetId="12" hidden="1">{#N/A,#N/A,FALSE,"운반시간"}</definedName>
    <definedName name="됴ㅠ굑ㅇ" localSheetId="11" hidden="1">{#N/A,#N/A,FALSE,"운반시간"}</definedName>
    <definedName name="됴ㅠ굑ㅇ" localSheetId="7" hidden="1">{#N/A,#N/A,FALSE,"운반시간"}</definedName>
    <definedName name="됴ㅠ굑ㅇ" localSheetId="9" hidden="1">{#N/A,#N/A,FALSE,"운반시간"}</definedName>
    <definedName name="됴ㅠ굑ㅇ" localSheetId="4" hidden="1">{#N/A,#N/A,FALSE,"운반시간"}</definedName>
    <definedName name="됴ㅠ굑ㅇ" localSheetId="0" hidden="1">{#N/A,#N/A,FALSE,"운반시간"}</definedName>
    <definedName name="됴ㅠ굑ㅇ" hidden="1">{#N/A,#N/A,FALSE,"운반시간"}</definedName>
    <definedName name="됵죶됴" localSheetId="12">BlankMacro1</definedName>
    <definedName name="됵죶됴" localSheetId="6">BlankMacro1</definedName>
    <definedName name="됵죶됴">BlankMacro1</definedName>
    <definedName name="두영광수" localSheetId="7" hidden="1">{#N/A,#N/A,FALSE,"골재소요량";#N/A,#N/A,FALSE,"골재소요량"}</definedName>
    <definedName name="두영광수" localSheetId="4" hidden="1">{#N/A,#N/A,FALSE,"골재소요량";#N/A,#N/A,FALSE,"골재소요량"}</definedName>
    <definedName name="두영광수" localSheetId="0" hidden="1">{#N/A,#N/A,FALSE,"골재소요량";#N/A,#N/A,FALSE,"골재소요량"}</definedName>
    <definedName name="두영광수" hidden="1">{#N/A,#N/A,FALSE,"골재소요량";#N/A,#N/A,FALSE,"골재소요량"}</definedName>
    <definedName name="ㄹ3">#N/A</definedName>
    <definedName name="ㄹ4">#N/A</definedName>
    <definedName name="ㄹ고ㅎ샤ㄷ" localSheetId="7" hidden="1">{#N/A,#N/A,FALSE,"포장단가"}</definedName>
    <definedName name="ㄹ고ㅎ샤ㄷ" localSheetId="4" hidden="1">{#N/A,#N/A,FALSE,"포장단가"}</definedName>
    <definedName name="ㄹ고ㅎ샤ㄷ" localSheetId="0" hidden="1">{#N/A,#N/A,FALSE,"포장단가"}</definedName>
    <definedName name="ㄹ고ㅎ샤ㄷ" hidden="1">{#N/A,#N/A,FALSE,"포장단가"}</definedName>
    <definedName name="ㄹㄴ" hidden="1">{#N/A,#N/A,FALSE,"조골재"}</definedName>
    <definedName name="ㄹㄴㅁㄹㄴ" localSheetId="12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ㅁㄹㅇㄴ" localSheetId="12" hidden="1">{"'Sheet1'!$D$19","'Sheet1'!$B$22:$E$22"}</definedName>
    <definedName name="ㄹㄴㅁㄹㅇㄴ" hidden="1">{"'Sheet1'!$D$19","'Sheet1'!$B$22:$E$22"}</definedName>
    <definedName name="ㄹㄷ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ㄷ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ㄷㄹ">#N/A</definedName>
    <definedName name="ㄹㄹ" localSheetId="12">BlankMacro1</definedName>
    <definedName name="ㄹㄹ" localSheetId="11">BlankMacro1</definedName>
    <definedName name="ㄹㄹㄹㄹ" localSheetId="12">BlankMacro1</definedName>
    <definedName name="ㄹㄹㄹㄹ" localSheetId="11">BlankMacro1</definedName>
    <definedName name="ㄹㄹㄹㄹㄹ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ㄹㄹㄹㄹ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ㄹㄹㄹㄹㄹㄹㄹ" localSheetId="12">BlankMacro1</definedName>
    <definedName name="ㄹㄹㄹㄹㄹㄹㄹㄹ" localSheetId="6">BlankMacro1</definedName>
    <definedName name="ㄹㄹㄹㄹㄹㄹㄹㄹ">BlankMacro1</definedName>
    <definedName name="ㄹㄹㄹㅈㄹ" localSheetId="12" hidden="1">{#N/A,#N/A,FALSE,"혼합골재"}</definedName>
    <definedName name="ㄹㄹㄹㅈㄹ" localSheetId="11" hidden="1">{#N/A,#N/A,FALSE,"혼합골재"}</definedName>
    <definedName name="ㄹㄹㄹㅈㄹ" localSheetId="7" hidden="1">{#N/A,#N/A,FALSE,"혼합골재"}</definedName>
    <definedName name="ㄹㄹㄹㅈㄹ" localSheetId="9" hidden="1">{#N/A,#N/A,FALSE,"혼합골재"}</definedName>
    <definedName name="ㄹㄹㄹㅈㄹ" localSheetId="4" hidden="1">{#N/A,#N/A,FALSE,"혼합골재"}</definedName>
    <definedName name="ㄹㄹㄹㅈㄹ" localSheetId="0" hidden="1">{#N/A,#N/A,FALSE,"혼합골재"}</definedName>
    <definedName name="ㄹㄹㄹㅈㄹ" hidden="1">{#N/A,#N/A,FALSE,"혼합골재"}</definedName>
    <definedName name="ㄹㄹ로" localSheetId="12" hidden="1">{#N/A,#N/A,FALSE,"골재소요량";#N/A,#N/A,FALSE,"골재소요량"}</definedName>
    <definedName name="ㄹㄹ로" localSheetId="11" hidden="1">{#N/A,#N/A,FALSE,"골재소요량";#N/A,#N/A,FALSE,"골재소요량"}</definedName>
    <definedName name="ㄹㄹ로" localSheetId="7" hidden="1">{#N/A,#N/A,FALSE,"골재소요량";#N/A,#N/A,FALSE,"골재소요량"}</definedName>
    <definedName name="ㄹㄹ로" localSheetId="9" hidden="1">{#N/A,#N/A,FALSE,"골재소요량";#N/A,#N/A,FALSE,"골재소요량"}</definedName>
    <definedName name="ㄹㄹ로" localSheetId="4" hidden="1">{#N/A,#N/A,FALSE,"골재소요량";#N/A,#N/A,FALSE,"골재소요량"}</definedName>
    <definedName name="ㄹㄹ로" localSheetId="0" hidden="1">{#N/A,#N/A,FALSE,"골재소요량";#N/A,#N/A,FALSE,"골재소요량"}</definedName>
    <definedName name="ㄹㄹ로" hidden="1">{#N/A,#N/A,FALSE,"골재소요량";#N/A,#N/A,FALSE,"골재소요량"}</definedName>
    <definedName name="ㄹㅇㄴ" localSheetId="12">BlankMacro1</definedName>
    <definedName name="ㄹㅇㄴ" localSheetId="11">BlankMacro1</definedName>
    <definedName name="ㄹㅇㄴㄹ" localSheetId="12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ㄴㅁㄻㄴㄹ" localSheetId="12">BlankMacro1</definedName>
    <definedName name="ㄹㅇㄴㅁㄻㄴㄹ" localSheetId="6">BlankMacro1</definedName>
    <definedName name="ㄹㅇㄴㅁㄻㄴㄹ">BlankMacro1</definedName>
    <definedName name="ㄹㅇㄴㅂ" localSheetId="6">BlankMacro1</definedName>
    <definedName name="ㄹㅇㄴㅂ">BlankMacro1</definedName>
    <definedName name="ㄹㅇㄹㄷㅈㅍ" localSheetId="12" hidden="1">{#N/A,#N/A,FALSE,"혼합골재"}</definedName>
    <definedName name="ㄹㅇㄹㄷㅈㅍ" localSheetId="11" hidden="1">{#N/A,#N/A,FALSE,"혼합골재"}</definedName>
    <definedName name="ㄹㅇㄹㄷㅈㅍ" localSheetId="7" hidden="1">{#N/A,#N/A,FALSE,"혼합골재"}</definedName>
    <definedName name="ㄹㅇㄹㄷㅈㅍ" localSheetId="9" hidden="1">{#N/A,#N/A,FALSE,"혼합골재"}</definedName>
    <definedName name="ㄹㅇㄹㄷㅈㅍ" localSheetId="4" hidden="1">{#N/A,#N/A,FALSE,"혼합골재"}</definedName>
    <definedName name="ㄹㅇㄹㄷㅈㅍ" localSheetId="0" hidden="1">{#N/A,#N/A,FALSE,"혼합골재"}</definedName>
    <definedName name="ㄹㅇㄹㄷㅈㅍ" hidden="1">{#N/A,#N/A,FALSE,"혼합골재"}</definedName>
    <definedName name="ㄹㅇㄹㅇ" localSheetId="12">'4월 신분증 및 통장사본'!ㄹㅇㄹㅇ</definedName>
    <definedName name="ㄹㅇㄹㅇㄴ" localSheetId="12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어미ㅏㄹ" localSheetId="12" hidden="1">{"'Sheet1'!$D$19","'Sheet1'!$B$22:$E$22"}</definedName>
    <definedName name="ㄹ어미ㅏㄹ" hidden="1">{"'Sheet1'!$D$19","'Sheet1'!$B$22:$E$22"}</definedName>
    <definedName name="ㄹ하" localSheetId="12">BlankMacro1</definedName>
    <definedName name="ㄹ하" localSheetId="6">BlankMacro1</definedName>
    <definedName name="ㄹ하">BlankMacro1</definedName>
    <definedName name="라" localSheetId="12" hidden="1">{#N/A,#N/A,FALSE,"구조2"}</definedName>
    <definedName name="라라" localSheetId="12">BlankMacro1</definedName>
    <definedName name="라라" localSheetId="6">BlankMacro1</definedName>
    <definedName name="라라">BlankMacro1</definedName>
    <definedName name="라라라">#N/A</definedName>
    <definedName name="라바콘" localSheetId="12" hidden="1">{#N/A,#N/A,FALSE,"혼합골재"}</definedName>
    <definedName name="라바콘" localSheetId="11" hidden="1">{#N/A,#N/A,FALSE,"혼합골재"}</definedName>
    <definedName name="라ㅇ" localSheetId="12">BLCH</definedName>
    <definedName name="라ㅇ" localSheetId="6">BLCH</definedName>
    <definedName name="라ㅇ">BLCH</definedName>
    <definedName name="라이닝" localSheetId="12">BLCH</definedName>
    <definedName name="라이닝" localSheetId="6">BLCH</definedName>
    <definedName name="라이닝">BLCH</definedName>
    <definedName name="라이닝수량집계" localSheetId="12">BLCH</definedName>
    <definedName name="라이닝수량집계" localSheetId="6">BLCH</definedName>
    <definedName name="라이닝수량집계">BLCH</definedName>
    <definedName name="랄ㄹ하하ㅗ" localSheetId="12">BlankMacro1</definedName>
    <definedName name="랄ㄹ하하ㅗ" localSheetId="6">BlankMacro1</definedName>
    <definedName name="랄ㄹ하하ㅗ">BlankMacro1</definedName>
    <definedName name="레미콘" localSheetId="12">33172</definedName>
    <definedName name="레미콘" localSheetId="11">33172</definedName>
    <definedName name="레미콘수운반DT">#N/A</definedName>
    <definedName name="려ㅛㄹ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료ㅜㅇ교" localSheetId="12" hidden="1">{#N/A,#N/A,FALSE,"표지목차"}</definedName>
    <definedName name="료ㅜㅇ교" localSheetId="11" hidden="1">{#N/A,#N/A,FALSE,"표지목차"}</definedName>
    <definedName name="료ㅜㅇ교" localSheetId="7" hidden="1">{#N/A,#N/A,FALSE,"표지목차"}</definedName>
    <definedName name="료ㅜㅇ교" localSheetId="9" hidden="1">{#N/A,#N/A,FALSE,"표지목차"}</definedName>
    <definedName name="료ㅜㅇ교" localSheetId="4" hidden="1">{#N/A,#N/A,FALSE,"표지목차"}</definedName>
    <definedName name="료ㅜㅇ교" localSheetId="0" hidden="1">{#N/A,#N/A,FALSE,"표지목차"}</definedName>
    <definedName name="료ㅜㅇ교" hidden="1">{#N/A,#N/A,FALSE,"표지목차"}</definedName>
    <definedName name="룻우ㅕㄴ" localSheetId="12" hidden="1">{#N/A,#N/A,FALSE,"골재소요량";#N/A,#N/A,FALSE,"골재소요량"}</definedName>
    <definedName name="룻우ㅕㄴ" localSheetId="11" hidden="1">{#N/A,#N/A,FALSE,"골재소요량";#N/A,#N/A,FALSE,"골재소요량"}</definedName>
    <definedName name="룻우ㅕㄴ" localSheetId="7" hidden="1">{#N/A,#N/A,FALSE,"골재소요량";#N/A,#N/A,FALSE,"골재소요량"}</definedName>
    <definedName name="룻우ㅕㄴ" localSheetId="9" hidden="1">{#N/A,#N/A,FALSE,"골재소요량";#N/A,#N/A,FALSE,"골재소요량"}</definedName>
    <definedName name="룻우ㅕㄴ" localSheetId="4" hidden="1">{#N/A,#N/A,FALSE,"골재소요량";#N/A,#N/A,FALSE,"골재소요량"}</definedName>
    <definedName name="룻우ㅕㄴ" localSheetId="0" hidden="1">{#N/A,#N/A,FALSE,"골재소요량";#N/A,#N/A,FALSE,"골재소요량"}</definedName>
    <definedName name="룻우ㅕㄴ" hidden="1">{#N/A,#N/A,FALSE,"골재소요량";#N/A,#N/A,FALSE,"골재소요량"}</definedName>
    <definedName name="류효정" localSheetId="12" hidden="1">{"'Firr(선)'!$AS$1:$AY$62","'Firr(사)'!$AS$1:$AY$62","'Firr(회)'!$AS$1:$AY$62","'Firr(선)'!$L$1:$V$62","'Firr(사)'!$L$1:$V$62","'Firr(회)'!$L$1:$V$62"}</definedName>
    <definedName name="류효정" hidden="1">{"'Firr(선)'!$AS$1:$AY$62","'Firr(사)'!$AS$1:$AY$62","'Firr(회)'!$AS$1:$AY$62","'Firr(선)'!$L$1:$V$62","'Firr(사)'!$L$1:$V$62","'Firr(회)'!$L$1:$V$62"}</definedName>
    <definedName name="률류" localSheetId="12" hidden="1">{#N/A,#N/A,FALSE,"혼합골재"}</definedName>
    <definedName name="률류" localSheetId="11" hidden="1">{#N/A,#N/A,FALSE,"혼합골재"}</definedName>
    <definedName name="률류" localSheetId="7" hidden="1">{#N/A,#N/A,FALSE,"혼합골재"}</definedName>
    <definedName name="률류" localSheetId="9" hidden="1">{#N/A,#N/A,FALSE,"혼합골재"}</definedName>
    <definedName name="률류" localSheetId="4" hidden="1">{#N/A,#N/A,FALSE,"혼합골재"}</definedName>
    <definedName name="률류" localSheetId="0" hidden="1">{#N/A,#N/A,FALSE,"혼합골재"}</definedName>
    <definedName name="률류" hidden="1">{#N/A,#N/A,FALSE,"혼합골재"}</definedName>
    <definedName name="ㄻㄴㅇㄹㄴㅁㄹㄴㅁㅇㄹ" localSheetId="12">BlankMacro1</definedName>
    <definedName name="ㄻㄴㅇㄹㄴㅁㄹㄴㅁㅇㄹ" localSheetId="6">BlankMacro1</definedName>
    <definedName name="ㄻㄴㅇㄹㄴㅁㄹㄴㅁㅇㄹ">BlankMacro1</definedName>
    <definedName name="ㄻㄴㅇㄻㄴㄹ" localSheetId="12">BlankMacro1</definedName>
    <definedName name="ㄻㄴㅇㄻㄴㄹ" localSheetId="6">BlankMacro1</definedName>
    <definedName name="ㄻㄴㅇㄻㄴㄹ">BlankMacro1</definedName>
    <definedName name="ㄼㅂㅂㅂㅂㅂㅂㅂㅂ" localSheetId="12">BlankMacro1</definedName>
    <definedName name="ㄼㅂㅂㅂㅂㅂㅂㅂㅂ" localSheetId="6">BlankMacro1</definedName>
    <definedName name="ㄼㅂㅂㅂㅂㅂㅂㅂㅂ">BlankMacro1</definedName>
    <definedName name="ㄼㅈㄷ" localSheetId="12">BlankMacro1</definedName>
    <definedName name="ㄼㅈㄷ" localSheetId="6">BlankMacro1</definedName>
    <definedName name="ㄼㅈㄷ">BlankMacro1</definedName>
    <definedName name="ㅀ" localSheetId="12">BlankMacro1</definedName>
    <definedName name="ㅀ" localSheetId="11">BlankMacro1</definedName>
    <definedName name="ㅀㅀ" localSheetId="12" hidden="1">{"'Firr(선)'!$AS$1:$AY$62","'Firr(사)'!$AS$1:$AY$62","'Firr(회)'!$AS$1:$AY$62","'Firr(선)'!$L$1:$V$62","'Firr(사)'!$L$1:$V$62","'Firr(회)'!$L$1:$V$62"}</definedName>
    <definedName name="ㅀㅀ" hidden="1">{"'Firr(선)'!$AS$1:$AY$62","'Firr(사)'!$AS$1:$AY$62","'Firr(회)'!$AS$1:$AY$62","'Firr(선)'!$L$1:$V$62","'Firr(사)'!$L$1:$V$62","'Firr(회)'!$L$1:$V$62"}</definedName>
    <definedName name="ㅀㅁ" localSheetId="12" hidden="1">{#N/A,#N/A,FALSE,"조골재"}</definedName>
    <definedName name="ㅀㅁ" localSheetId="11" hidden="1">{#N/A,#N/A,FALSE,"조골재"}</definedName>
    <definedName name="ㅀㅁ" localSheetId="7" hidden="1">{#N/A,#N/A,FALSE,"조골재"}</definedName>
    <definedName name="ㅀㅁ" localSheetId="9" hidden="1">{#N/A,#N/A,FALSE,"조골재"}</definedName>
    <definedName name="ㅀㅁ" localSheetId="4" hidden="1">{#N/A,#N/A,FALSE,"조골재"}</definedName>
    <definedName name="ㅀㅁ" localSheetId="0" hidden="1">{#N/A,#N/A,FALSE,"조골재"}</definedName>
    <definedName name="ㅀㅁ" hidden="1">{#N/A,#N/A,FALSE,"조골재"}</definedName>
    <definedName name="ㅀㅎ허" localSheetId="7" hidden="1">{#N/A,#N/A,FALSE,"포장단가"}</definedName>
    <definedName name="ㅀㅎ허" localSheetId="4" hidden="1">{#N/A,#N/A,FALSE,"포장단가"}</definedName>
    <definedName name="ㅀㅎ허" localSheetId="0" hidden="1">{#N/A,#N/A,FALSE,"포장단가"}</definedName>
    <definedName name="ㅀㅎ허" hidden="1">{#N/A,#N/A,FALSE,"포장단가"}</definedName>
    <definedName name="ㅁ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4" localSheetId="12">'4월 신분증 및 통장사본'!ㅁ4</definedName>
    <definedName name="ㅁㄱㄷㅈㅁㅂㄱ" localSheetId="12">BlankMacro1</definedName>
    <definedName name="ㅁㄱㄷㅈㅁㅂㄱ" localSheetId="6">BlankMacro1</definedName>
    <definedName name="ㅁㄱㄷㅈㅁㅂㄱ">BlankMacro1</definedName>
    <definedName name="ㅁㄴ" localSheetId="7" hidden="1">{#N/A,#N/A,FALSE,"표지목차"}</definedName>
    <definedName name="ㅁㄴ" localSheetId="9" hidden="1">{#N/A,#N/A,FALSE,"표지목차"}</definedName>
    <definedName name="ㅁㄴ" localSheetId="4" hidden="1">{#N/A,#N/A,FALSE,"표지목차"}</definedName>
    <definedName name="ㅁㄴ" localSheetId="0" hidden="1">{#N/A,#N/A,FALSE,"표지목차"}</definedName>
    <definedName name="ㅁㄴ" hidden="1">{#N/A,#N/A,FALSE,"표지목차"}</definedName>
    <definedName name="ㅁㄴㄴ" localSheetId="12" hidden="1">{#N/A,#N/A,FALSE,"골재소요량";#N/A,#N/A,FALSE,"골재소요량"}</definedName>
    <definedName name="ㅁㄴㄴ" localSheetId="11" hidden="1">{#N/A,#N/A,FALSE,"골재소요량";#N/A,#N/A,FALSE,"골재소요량"}</definedName>
    <definedName name="ㅁㄴㄴ" localSheetId="7" hidden="1">{#N/A,#N/A,FALSE,"골재소요량";#N/A,#N/A,FALSE,"골재소요량"}</definedName>
    <definedName name="ㅁㄴㄴ" localSheetId="9" hidden="1">{#N/A,#N/A,FALSE,"골재소요량";#N/A,#N/A,FALSE,"골재소요량"}</definedName>
    <definedName name="ㅁㄴㄴ" localSheetId="4" hidden="1">{#N/A,#N/A,FALSE,"골재소요량";#N/A,#N/A,FALSE,"골재소요량"}</definedName>
    <definedName name="ㅁㄴㄴ" localSheetId="0" hidden="1">{#N/A,#N/A,FALSE,"골재소요량";#N/A,#N/A,FALSE,"골재소요량"}</definedName>
    <definedName name="ㅁㄴㄴ" hidden="1">{#N/A,#N/A,FALSE,"골재소요량";#N/A,#N/A,FALSE,"골재소요량"}</definedName>
    <definedName name="ㅁㄴㄹ" localSheetId="12">BLCH</definedName>
    <definedName name="ㅁㄴㄹ" localSheetId="6">BlankMacro1</definedName>
    <definedName name="ㅁㄴㄹ">BlankMacro1</definedName>
    <definedName name="ㅁㄴㄹㅇ" localSheetId="12">BlankMacro1</definedName>
    <definedName name="ㅁㄴㄹㅇ" localSheetId="6">BlankMacro1</definedName>
    <definedName name="ㅁㄴㄹㅇ">BlankMacro1</definedName>
    <definedName name="ㅁㄴㄹㅇㄴㅁㄹㄻㄴ" localSheetId="12">BlankMacro1</definedName>
    <definedName name="ㅁㄴㄹㅇㄴㅁㄹㄻㄴ" localSheetId="6">BlankMacro1</definedName>
    <definedName name="ㅁㄴㄹㅇㄴㅁㄹㄻㄴ">BlankMacro1</definedName>
    <definedName name="ㅁㄴㄹㅇㄴㅁㄹㅇㅁㄴㅇㅁㄴ" localSheetId="12">BlankMacro1</definedName>
    <definedName name="ㅁㄴㄹㅇㄴㅁㄹㅇㅁㄴㅇㅁㄴ" localSheetId="6">BlankMacro1</definedName>
    <definedName name="ㅁㄴㄹㅇㄴㅁㄹㅇㅁㄴㅇㅁㄴ">BlankMacro1</definedName>
    <definedName name="ㅁㄴㄹㅇㅁㄴㄹ" localSheetId="12">BlankMacro1</definedName>
    <definedName name="ㅁㄴㄹㅇㅁㄴㄹ" localSheetId="6">BlankMacro1</definedName>
    <definedName name="ㅁㄴㄹㅇㅁㄴㄹ">BlankMacro1</definedName>
    <definedName name="ㅁㄴㄹㅇㅁㄴㄻㄴㄹ" localSheetId="12">BlankMacro1</definedName>
    <definedName name="ㅁㄴㄹㅇㅁㄴㄻㄴㄹ" localSheetId="6">BlankMacro1</definedName>
    <definedName name="ㅁㄴㄹㅇㅁㄴㄻㄴㄹ">BlankMacro1</definedName>
    <definedName name="ㅁㄴㄹㅇㅁㄹ" localSheetId="12">BlankMacro1</definedName>
    <definedName name="ㅁㄴㄹㅇㅁㄹ" localSheetId="6">BlankMacro1</definedName>
    <definedName name="ㅁㄴㄹㅇㅁㄹ">BlankMacro1</definedName>
    <definedName name="ㅁㄴㄻㄴ" localSheetId="12">BlankMacro1</definedName>
    <definedName name="ㅁㄴㄻㄴ" localSheetId="6">BlankMacro1</definedName>
    <definedName name="ㅁㄴㄻㄴ">BlankMacro1</definedName>
    <definedName name="ㅁㄴㄻㄴㄹ" localSheetId="12">BlankMacro1</definedName>
    <definedName name="ㅁㄴㄻㄴㄹ" localSheetId="6">BlankMacro1</definedName>
    <definedName name="ㅁㄴㄻㄴㄹ">BlankMacro1</definedName>
    <definedName name="ㅁㄴㄻㄴㄻㄴㄹ" localSheetId="12">BlankMacro1</definedName>
    <definedName name="ㅁㄴㄻㄴㄻㄴㄹ" localSheetId="6">BlankMacro1</definedName>
    <definedName name="ㅁㄴㄻㄴㄻㄴㄹ">BlankMacro1</definedName>
    <definedName name="ㅁㄴㅁㅇㅁ" localSheetId="12">'4월 신분증 및 통장사본'!ㅁㄴㅁㅇㅁ</definedName>
    <definedName name="ㅁㄴㅇ" localSheetId="12">BlankMacro1</definedName>
    <definedName name="ㅁㄴㅇ" localSheetId="11">BlankMacro1</definedName>
    <definedName name="ㅁㄴㅇ" localSheetId="9" hidden="1">{#N/A,#N/A,FALSE,"혼합골재"}</definedName>
    <definedName name="ㅁㄴㅇ" hidden="1">{#N/A,#N/A,FALSE,"혼합골재"}</definedName>
    <definedName name="ㅁㄴㅇㄴ" localSheetId="12" hidden="1">{#N/A,#N/A,TRUE,"토적및재료집계";#N/A,#N/A,TRUE,"토적및재료집계";#N/A,#N/A,TRUE,"단위량"}</definedName>
    <definedName name="ㅁㄴㅇㄴ" hidden="1">{#N/A,#N/A,TRUE,"토적및재료집계";#N/A,#N/A,TRUE,"토적및재료집계";#N/A,#N/A,TRUE,"단위량"}</definedName>
    <definedName name="ㅁㄴㅇㄹ" localSheetId="12">BlankMacro1</definedName>
    <definedName name="ㅁㄴㅇㄹ" localSheetId="11">BlankMacro1</definedName>
    <definedName name="ㅁㄴㅇㄹㄴㄹ" localSheetId="12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ㄹㄴㅁ" localSheetId="12">BlankMacro1</definedName>
    <definedName name="ㅁㄴㅇㄹㄴㅁ" localSheetId="6">BlankMacro1</definedName>
    <definedName name="ㅁㄴㅇㄹㄴㅁ">BlankMacro1</definedName>
    <definedName name="ㅁㄴㅇㄹㄴㅁㄹ" localSheetId="12">BlankMacro1</definedName>
    <definedName name="ㅁㄴㅇㄹㄴㅁㄹ" localSheetId="6">BlankMacro1</definedName>
    <definedName name="ㅁㄴㅇㄹㄴㅁㄹ">BlankMacro1</definedName>
    <definedName name="ㅁㄴㅇㄹㅇㅁㄴㄹ" localSheetId="12">BlankMacro1</definedName>
    <definedName name="ㅁㄴㅇㄹㅇㅁㄴㄹ" localSheetId="6">BlankMacro1</definedName>
    <definedName name="ㅁㄴㅇㄹㅇㅁㄴㄹ">BlankMacro1</definedName>
    <definedName name="ㅁㄴㅇㄻㄴㄻㄴㄹ" localSheetId="12">BlankMacro1</definedName>
    <definedName name="ㅁㄴㅇㄻㄴㄻㄴㄹ" localSheetId="6">BlankMacro1</definedName>
    <definedName name="ㅁㄴㅇㄻㄴㄻㄴㄹ">BlankMacro1</definedName>
    <definedName name="ㅁㄴㅇㄻㄴㅍㅁㄴㅇ" localSheetId="12">BlankMacro1</definedName>
    <definedName name="ㅁㄴㅇㄻㄴㅍㅁㄴㅇ" localSheetId="6">BlankMacro1</definedName>
    <definedName name="ㅁㄴㅇㄻㄴㅍㅁㄴㅇ">BlankMacro1</definedName>
    <definedName name="ㅁㄴㅇㄻㄹ" localSheetId="12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ㄴㅇㅁㄴㅁㄴ" localSheetId="12">BlankMacro1</definedName>
    <definedName name="ㅁㄴㅇㅁㄴㅁㄴ" localSheetId="6">BlankMacro1</definedName>
    <definedName name="ㅁㄴㅇㅁㄴㅁㄴ">BlankMacro1</definedName>
    <definedName name="ㅁㄴㅇㅂㅈㄷ" localSheetId="12" hidden="1">{#N/A,#N/A,FALSE,"혼합골재"}</definedName>
    <definedName name="ㅁㄴㅇㅂㅈㄷ" hidden="1">{#N/A,#N/A,FALSE,"혼합골재"}</definedName>
    <definedName name="ㅁㄴㅍㅁㄴㅇㅇㅁㄴ" localSheetId="12">BlankMacro1</definedName>
    <definedName name="ㅁㄴㅍㅁㄴㅇㅇㅁㄴ" localSheetId="6">BlankMacro1</definedName>
    <definedName name="ㅁㄴㅍㅁㄴㅇㅇㅁㄴ">BlankMacro1</definedName>
    <definedName name="ㅁㄷㄱㅍㄱㅈㅁ" localSheetId="12" hidden="1">{#N/A,#N/A,FALSE,"골재소요량";#N/A,#N/A,FALSE,"골재소요량"}</definedName>
    <definedName name="ㅁㄷㄱㅍㄱㅈㅁ" localSheetId="11" hidden="1">{#N/A,#N/A,FALSE,"골재소요량";#N/A,#N/A,FALSE,"골재소요량"}</definedName>
    <definedName name="ㅁㄷㄱㅍㄱㅈㅁ" localSheetId="7" hidden="1">{#N/A,#N/A,FALSE,"골재소요량";#N/A,#N/A,FALSE,"골재소요량"}</definedName>
    <definedName name="ㅁㄷㄱㅍㄱㅈㅁ" localSheetId="9" hidden="1">{#N/A,#N/A,FALSE,"골재소요량";#N/A,#N/A,FALSE,"골재소요량"}</definedName>
    <definedName name="ㅁㄷㄱㅍㄱㅈㅁ" localSheetId="4" hidden="1">{#N/A,#N/A,FALSE,"골재소요량";#N/A,#N/A,FALSE,"골재소요량"}</definedName>
    <definedName name="ㅁㄷㄱㅍㄱㅈㅁ" localSheetId="0" hidden="1">{#N/A,#N/A,FALSE,"골재소요량";#N/A,#N/A,FALSE,"골재소요량"}</definedName>
    <definedName name="ㅁㄷㄱㅍㄱㅈㅁ" hidden="1">{#N/A,#N/A,FALSE,"골재소요량";#N/A,#N/A,FALSE,"골재소요량"}</definedName>
    <definedName name="ㅁㄷㅎㅁㅎㅁ" localSheetId="12" hidden="1">{#N/A,#N/A,FALSE,"조골재"}</definedName>
    <definedName name="ㅁㄷㅎㅁㅎㅁ" localSheetId="11" hidden="1">{#N/A,#N/A,FALSE,"조골재"}</definedName>
    <definedName name="ㅁㄷㅎㅁㅎㅁ" localSheetId="7" hidden="1">{#N/A,#N/A,FALSE,"조골재"}</definedName>
    <definedName name="ㅁㄷㅎㅁㅎㅁ" localSheetId="9" hidden="1">{#N/A,#N/A,FALSE,"조골재"}</definedName>
    <definedName name="ㅁㄷㅎㅁㅎㅁ" localSheetId="4" hidden="1">{#N/A,#N/A,FALSE,"조골재"}</definedName>
    <definedName name="ㅁㄷㅎㅁㅎㅁ" localSheetId="0" hidden="1">{#N/A,#N/A,FALSE,"조골재"}</definedName>
    <definedName name="ㅁㄷㅎㅁㅎㅁ" hidden="1">{#N/A,#N/A,FALSE,"조골재"}</definedName>
    <definedName name="ㅁㄹㄴㄹㄴㅇㅁㄹㄹ" localSheetId="12">BlankMacro1</definedName>
    <definedName name="ㅁㄹㄴㄹㄴㅇㅁㄹㄹ" localSheetId="6">BlankMacro1</definedName>
    <definedName name="ㅁㄹㄴㄹㄴㅇㅁㄹㄹ">BlankMacro1</definedName>
    <definedName name="ㅁㄹㄴㅇㄴㅁㄻㄴㄹ" localSheetId="12">BlankMacro1</definedName>
    <definedName name="ㅁㄹㄴㅇㄴㅁㄻㄴㄹ" localSheetId="6">BlankMacro1</definedName>
    <definedName name="ㅁㄹㄴㅇㄴㅁㄻㄴㄹ">BlankMacro1</definedName>
    <definedName name="ㅁㄹㄴㅇㄹ" localSheetId="12">BlankMacro1</definedName>
    <definedName name="ㅁㄹㄴㅇㄹ" localSheetId="6">BlankMacro1</definedName>
    <definedName name="ㅁㄹㄴㅇㄹ">BlankMacro1</definedName>
    <definedName name="ㅁㄹㅇㄴㅇㄹ" localSheetId="12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ㄹㅇㅁㄴ" localSheetId="12">BlankMacro1</definedName>
    <definedName name="ㅁㄹㅇㅁㄴ" localSheetId="6">BlankMacro1</definedName>
    <definedName name="ㅁㄹㅇㅁㄴ">BlankMacro1</definedName>
    <definedName name="ㅁㄻㄴㄻㄴㄻㄴㄻㄴㄹ" localSheetId="12">BlankMacro1</definedName>
    <definedName name="ㅁㄻㄴㄻㄴㄻㄴㄻㄴㄹ" localSheetId="6">BlankMacro1</definedName>
    <definedName name="ㅁㄻㄴㄻㄴㄻㄴㄻㄴㄹ">BlankMacro1</definedName>
    <definedName name="ㅁㄻㄴㄻㄴㄿㅍㅇㄴㅁ" localSheetId="12">BlankMacro1</definedName>
    <definedName name="ㅁㄻㄴㄻㄴㄿㅍㅇㄴㅁ" localSheetId="6">BlankMacro1</definedName>
    <definedName name="ㅁㄻㄴㄻㄴㄿㅍㅇㄴㅁ">BlankMacro1</definedName>
    <definedName name="ㅁㄻㅇㄹㄴ" localSheetId="12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9" hidden="1">{#N/A,#N/A,FALSE,"운반시간"}</definedName>
    <definedName name="ㅁㅁ" hidden="1">{#N/A,#N/A,FALSE,"운반시간"}</definedName>
    <definedName name="ㅁㅁㅁ" localSheetId="7" hidden="1">{#N/A,#N/A,FALSE,"조골재"}</definedName>
    <definedName name="ㅁㅁㅁ" localSheetId="9" hidden="1">{#N/A,#N/A,FALSE,"조골재"}</definedName>
    <definedName name="ㅁㅁㅁ" localSheetId="4" hidden="1">{#N/A,#N/A,FALSE,"조골재"}</definedName>
    <definedName name="ㅁㅁㅁ" localSheetId="0" hidden="1">{#N/A,#N/A,FALSE,"조골재"}</definedName>
    <definedName name="ㅁㅁㅁ" hidden="1">{#N/A,#N/A,FALSE,"조골재"}</definedName>
    <definedName name="ㅁㅁㅁㅁ" localSheetId="9" hidden="1">{#N/A,#N/A,FALSE,"표지목차"}</definedName>
    <definedName name="ㅁㅁㅁㅁ" hidden="1">{#N/A,#N/A,FALSE,"표지목차"}</definedName>
    <definedName name="ㅁㅁㅁㅁㅁㅁ" localSheetId="7" hidden="1">{#N/A,#N/A,FALSE,"혼합골재"}</definedName>
    <definedName name="ㅁㅁㅁㅁㅁㅁ" localSheetId="9" hidden="1">{#N/A,#N/A,FALSE,"혼합골재"}</definedName>
    <definedName name="ㅁㅁㅁㅁㅁㅁ" localSheetId="4" hidden="1">{#N/A,#N/A,FALSE,"혼합골재"}</definedName>
    <definedName name="ㅁㅁㅁㅁㅁㅁ" localSheetId="0" hidden="1">{#N/A,#N/A,FALSE,"혼합골재"}</definedName>
    <definedName name="ㅁㅁㅁㅁㅁㅁ" hidden="1">{#N/A,#N/A,FALSE,"혼합골재"}</definedName>
    <definedName name="ㅁㅁㅁㅁㅁㅁㅁㅁㅁ" localSheetId="12">BlankMacro1</definedName>
    <definedName name="ㅁㅁㅁㅁㅁㅁㅁㅁㅁ" localSheetId="6">BlankMacro1</definedName>
    <definedName name="ㅁㅁㅁㅁㅁㅁㅁㅁㅁ">BlankMacro1</definedName>
    <definedName name="ㅁㅁㅁㅁㅁㅁㅁㅁㅁㅁㅁㅁㅁ" localSheetId="12">BlankMacro1</definedName>
    <definedName name="ㅁㅁㅁㅁㅁㅁㅁㅁㅁㅁㅁㅁㅁ" localSheetId="6">BlankMacro1</definedName>
    <definedName name="ㅁㅁㅁㅁㅁㅁㅁㅁㅁㅁㅁㅁㅁ">BlankMacro1</definedName>
    <definedName name="ㅁㅂㅎㄱㅁㄷㅎ" localSheetId="12">BlankMacro1</definedName>
    <definedName name="ㅁㅂㅎㄱㅁㄷㅎ" localSheetId="6">BlankMacro1</definedName>
    <definedName name="ㅁㅂㅎㄱㅁㄷㅎ">BlankMacro1</definedName>
    <definedName name="ㅁㅇ" localSheetId="12">BlankMacro1</definedName>
    <definedName name="ㅁㅇ" localSheetId="6">BlankMacro1</definedName>
    <definedName name="ㅁㅇ">BlankMacro1</definedName>
    <definedName name="ㅁㅇㄴㄻㄴㄹ" localSheetId="12">BlankMacro1</definedName>
    <definedName name="ㅁㅇㄴㄻㄴㄹ" localSheetId="6">BlankMacro1</definedName>
    <definedName name="ㅁㅇㄴㄻㄴㄹ">BlankMacro1</definedName>
    <definedName name="ㅁㅇㄹㄴㄻ" localSheetId="12" hidden="1">{"'Sheet1'!$D$19","'Sheet1'!$B$22:$E$22"}</definedName>
    <definedName name="ㅁㅇㄹㄴㄻ" hidden="1">{"'Sheet1'!$D$19","'Sheet1'!$B$22:$E$22"}</definedName>
    <definedName name="ㅁㅇㄹㄴㅁㅇㄹㄴ" localSheetId="12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12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ㅁ아ㅣㅓ">#N/A</definedName>
    <definedName name="ㅁ옴ㅇㄹㄹㅇ" localSheetId="12">BlankMacro1</definedName>
    <definedName name="ㅁ옴ㅇㄹㄹㅇ" localSheetId="6">BlankMacro1</definedName>
    <definedName name="ㅁ옴ㅇㄹㄹㅇ">BlankMacro1</definedName>
    <definedName name="ㅁㅍㄴㅍㅇㅁㄴㅍ" localSheetId="12">BlankMacro1</definedName>
    <definedName name="ㅁㅍㄴㅍㅇㅁㄴㅍ" localSheetId="6">BlankMacro1</definedName>
    <definedName name="ㅁㅍㄴㅍㅇㅁㄴㅍ">BlankMacro1</definedName>
    <definedName name="ㅁㅎ" localSheetId="12">BlankMacro1</definedName>
    <definedName name="ㅁㅎ" localSheetId="6">BlankMacro1</definedName>
    <definedName name="ㅁㅎ">BlankMacro1</definedName>
    <definedName name="ㅁㅎㄹㅇㅁㅎㅁ" localSheetId="12">BlankMacro1</definedName>
    <definedName name="ㅁㅎㄹㅇㅁㅎㅁ" localSheetId="6">BlankMacro1</definedName>
    <definedName name="ㅁㅎㄹㅇㅁㅎㅁ">BlankMacro1</definedName>
    <definedName name="ㅁ허ㅓ" localSheetId="12">BlankMacro1</definedName>
    <definedName name="ㅁ허ㅓ" localSheetId="6">BlankMacro1</definedName>
    <definedName name="ㅁ허ㅓ">BlankMacro1</definedName>
    <definedName name="마" localSheetId="12">#N/A</definedName>
    <definedName name="마카담로라">250000</definedName>
    <definedName name="만득이" localSheetId="12" hidden="1">{#N/A,#N/A,FALSE,"2~8번"}</definedName>
    <definedName name="만득이" hidden="1">{#N/A,#N/A,FALSE,"2~8번"}</definedName>
    <definedName name="말" localSheetId="12">BlankMacro1</definedName>
    <definedName name="말" localSheetId="6">BlankMacro1</definedName>
    <definedName name="말">BlankMacro1</definedName>
    <definedName name="맨홀인상위치조서" localSheetId="7" hidden="1">{#N/A,#N/A,FALSE,"조골재"}</definedName>
    <definedName name="맨홀인상위치조서" localSheetId="4" hidden="1">{#N/A,#N/A,FALSE,"조골재"}</definedName>
    <definedName name="맨홀인상위치조서" localSheetId="0" hidden="1">{#N/A,#N/A,FALSE,"조골재"}</definedName>
    <definedName name="맨홀인상위치조서" hidden="1">{#N/A,#N/A,FALSE,"조골재"}</definedName>
    <definedName name="머" localSheetId="12">BlankMacro1</definedName>
    <definedName name="머" localSheetId="11">BlankMacro1</definedName>
    <definedName name="머머머머" localSheetId="12">BlankMacro1</definedName>
    <definedName name="머머머머" localSheetId="6">BlankMacro1</definedName>
    <definedName name="머머머머">BlankMacro1</definedName>
    <definedName name="머ㅓ" localSheetId="12">BlankMacro1</definedName>
    <definedName name="머ㅓ" localSheetId="6">BlankMacro1</definedName>
    <definedName name="머ㅓ">BlankMacro1</definedName>
    <definedName name="머ㅗㅁ" localSheetId="12">BlankMacro1</definedName>
    <definedName name="머ㅗㅁ" localSheetId="6">BlankMacro1</definedName>
    <definedName name="머ㅗㅁ">BlankMacro1</definedName>
    <definedName name="멈" localSheetId="12">BlankMacro1</definedName>
    <definedName name="멈" localSheetId="6">BlankMacro1</definedName>
    <definedName name="멈">BlankMacro1</definedName>
    <definedName name="멈ㄴ" localSheetId="12">BlankMacro1</definedName>
    <definedName name="멈ㄴ" localSheetId="6">BlankMacro1</definedName>
    <definedName name="멈ㄴ">BlankMacro1</definedName>
    <definedName name="면벽." localSheetId="7" hidden="1">{#N/A,#N/A,FALSE,"표지목차"}</definedName>
    <definedName name="면벽." localSheetId="4" hidden="1">{#N/A,#N/A,FALSE,"표지목차"}</definedName>
    <definedName name="면벽." localSheetId="0" hidden="1">{#N/A,#N/A,FALSE,"표지목차"}</definedName>
    <definedName name="면벽." hidden="1">{#N/A,#N/A,FALSE,"표지목차"}</definedName>
    <definedName name="면벽2" localSheetId="12">BLCH</definedName>
    <definedName name="면벽2" localSheetId="6">BLCH</definedName>
    <definedName name="면벽2">BLCH</definedName>
    <definedName name="명단" localSheetId="12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라" localSheetId="12">BlankMacro1</definedName>
    <definedName name="모라" localSheetId="6">BlankMacro1</definedName>
    <definedName name="모라">BlankMacro1</definedName>
    <definedName name="모래운반">#N/A</definedName>
    <definedName name="모올" localSheetId="12">BlankMacro1</definedName>
    <definedName name="모올" localSheetId="6">BlankMacro1</definedName>
    <definedName name="모올">BlankMacro1</definedName>
    <definedName name="몬" localSheetId="12" hidden="1">{#N/A,#N/A,FALSE,"표지목차"}</definedName>
    <definedName name="몬" hidden="1">{#N/A,#N/A,FALSE,"표지목차"}</definedName>
    <definedName name="몰1" localSheetId="12">BlankMacro1</definedName>
    <definedName name="몰1" localSheetId="6">BlankMacro1</definedName>
    <definedName name="몰1">BlankMacro1</definedName>
    <definedName name="몰2" localSheetId="12">BlankMacro1</definedName>
    <definedName name="몰2" localSheetId="6">BlankMacro1</definedName>
    <definedName name="몰2">BlankMacro1</definedName>
    <definedName name="몰3" localSheetId="12">BlankMacro1</definedName>
    <definedName name="몰3" localSheetId="6">BlankMacro1</definedName>
    <definedName name="몰3">BlankMacro1</definedName>
    <definedName name="몰4" localSheetId="12">BlankMacro1</definedName>
    <definedName name="몰4" localSheetId="6">BlankMacro1</definedName>
    <definedName name="몰4">BlankMacro1</definedName>
    <definedName name="몰5" localSheetId="12">BlankMacro1</definedName>
    <definedName name="몰5" localSheetId="6">BlankMacro1</definedName>
    <definedName name="몰5">BlankMacro1</definedName>
    <definedName name="몰6" localSheetId="12">BlankMacro1</definedName>
    <definedName name="몰6" localSheetId="6">BlankMacro1</definedName>
    <definedName name="몰6">BlankMacro1</definedName>
    <definedName name="몰라" localSheetId="12" hidden="1">{#N/A,#N/A,FALSE,"단가표지"}</definedName>
    <definedName name="몰라" localSheetId="11" hidden="1">{#N/A,#N/A,FALSE,"포장단가"}</definedName>
    <definedName name="몸오오" localSheetId="12">BlankMacro1</definedName>
    <definedName name="몸오오" localSheetId="6">BlankMacro1</definedName>
    <definedName name="몸오오">BlankMacro1</definedName>
    <definedName name="뫃" localSheetId="12">BlankMacro1</definedName>
    <definedName name="뫃" localSheetId="6">BlankMacro1</definedName>
    <definedName name="뫃">BlankMacro1</definedName>
    <definedName name="뫃ㅁㄴㅇㅎ" localSheetId="12">BlankMacro1</definedName>
    <definedName name="뫃ㅁㄴㅇㅎ" localSheetId="6">BlankMacro1</definedName>
    <definedName name="뫃ㅁㄴㅇㅎ">BlankMacro1</definedName>
    <definedName name="무근">2.3</definedName>
    <definedName name="무늬" localSheetId="12">BlankMacro1</definedName>
    <definedName name="무늬" localSheetId="6">BlankMacro1</definedName>
    <definedName name="무늬">BlankMacro1</definedName>
    <definedName name="무늬석산출" localSheetId="12">BlankMacro1</definedName>
    <definedName name="무늬석산출" localSheetId="6">BlankMacro1</definedName>
    <definedName name="무늬석산출">BlankMacro1</definedName>
    <definedName name="물1" localSheetId="12">BlankMacro1</definedName>
    <definedName name="물1" localSheetId="6">BlankMacro1</definedName>
    <definedName name="물1">BlankMacro1</definedName>
    <definedName name="ㅂ" hidden="1">{#N/A,#N/A,FALSE,"혼합골재"}</definedName>
    <definedName name="ㅂㄷ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ㄷ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ㄷㅅㄱ" localSheetId="12">BlankMacro1</definedName>
    <definedName name="ㅂㄷㅅㄱ" localSheetId="6">BlankMacro1</definedName>
    <definedName name="ㅂㄷㅅㄱ">BlankMacro1</definedName>
    <definedName name="ㅂㄷㅇ" localSheetId="12" hidden="1">{#N/A,#N/A,FALSE,"표지목차"}</definedName>
    <definedName name="ㅂㄷㅇ" localSheetId="11" hidden="1">{#N/A,#N/A,FALSE,"표지목차"}</definedName>
    <definedName name="ㅂㄷㅇ" localSheetId="7" hidden="1">{#N/A,#N/A,FALSE,"표지목차"}</definedName>
    <definedName name="ㅂㄷㅇ" localSheetId="9" hidden="1">{#N/A,#N/A,FALSE,"표지목차"}</definedName>
    <definedName name="ㅂㄷㅇ" localSheetId="4" hidden="1">{#N/A,#N/A,FALSE,"표지목차"}</definedName>
    <definedName name="ㅂㄷㅇ" localSheetId="0" hidden="1">{#N/A,#N/A,FALSE,"표지목차"}</definedName>
    <definedName name="ㅂㄷㅇ" hidden="1">{#N/A,#N/A,FALSE,"표지목차"}</definedName>
    <definedName name="ㅂㅁ" localSheetId="12" hidden="1">{#N/A,#N/A,FALSE,"명세표"}</definedName>
    <definedName name="ㅂㅁ" hidden="1">{#N/A,#N/A,FALSE,"명세표"}</definedName>
    <definedName name="ㅂㅂ" localSheetId="7" hidden="1">{#N/A,#N/A,FALSE,"표지목차"}</definedName>
    <definedName name="ㅂㅂ" localSheetId="9" hidden="1">{#N/A,#N/A,FALSE,"표지목차"}</definedName>
    <definedName name="ㅂㅂ" localSheetId="4" hidden="1">{#N/A,#N/A,FALSE,"표지목차"}</definedName>
    <definedName name="ㅂㅂ" localSheetId="0" hidden="1">{#N/A,#N/A,FALSE,"표지목차"}</definedName>
    <definedName name="ㅂㅂ" hidden="1">{#N/A,#N/A,FALSE,"표지목차"}</definedName>
    <definedName name="ㅂㅂㅂㅂ" localSheetId="9" hidden="1">{#N/A,#N/A,FALSE,"운반시간"}</definedName>
    <definedName name="ㅂㅂㅂㅂ" hidden="1">{#N/A,#N/A,FALSE,"운반시간"}</definedName>
    <definedName name="ㅂㅂㅂㅂㅂ" localSheetId="7" hidden="1">{#N/A,#N/A,FALSE,"혼합골재"}</definedName>
    <definedName name="ㅂㅂㅂㅂㅂ" localSheetId="4" hidden="1">{#N/A,#N/A,FALSE,"혼합골재"}</definedName>
    <definedName name="ㅂㅂㅂㅂㅂ" localSheetId="0" hidden="1">{#N/A,#N/A,FALSE,"혼합골재"}</definedName>
    <definedName name="ㅂㅂㅂㅂㅂ" hidden="1">{#N/A,#N/A,FALSE,"혼합골재"}</definedName>
    <definedName name="ㅂㅂㅂㅂㅂㅂㅂ" localSheetId="12" hidden="1">{#N/A,#N/A,FALSE,"명세표"}</definedName>
    <definedName name="ㅂㅂㅂㅂㅂㅂㅂ" hidden="1">{#N/A,#N/A,FALSE,"명세표"}</definedName>
    <definedName name="ㅂㅂㅂㅂㅂㅂㅂㅂㅂ" localSheetId="12" hidden="1">{#N/A,#N/A,FALSE,"표지목차"}</definedName>
    <definedName name="ㅂㅂㅂㅂㅂㅂㅂㅂㅂ" localSheetId="11" hidden="1">{#N/A,#N/A,FALSE,"표지목차"}</definedName>
    <definedName name="ㅂㅂㅂㅂㅂㅂㅂㅂㅂ" localSheetId="7" hidden="1">{#N/A,#N/A,FALSE,"표지목차"}</definedName>
    <definedName name="ㅂㅂㅂㅂㅂㅂㅂㅂㅂ" localSheetId="9" hidden="1">{#N/A,#N/A,FALSE,"표지목차"}</definedName>
    <definedName name="ㅂㅂㅂㅂㅂㅂㅂㅂㅂ" localSheetId="4" hidden="1">{#N/A,#N/A,FALSE,"표지목차"}</definedName>
    <definedName name="ㅂㅂㅂㅂㅂㅂㅂㅂㅂ" localSheetId="0" hidden="1">{#N/A,#N/A,FALSE,"표지목차"}</definedName>
    <definedName name="ㅂㅂㅂㅂㅂㅂㅂㅂㅂ" hidden="1">{#N/A,#N/A,FALSE,"표지목차"}</definedName>
    <definedName name="ㅂㅂㅈㅈ" localSheetId="12">BlankMacro1</definedName>
    <definedName name="ㅂㅂㅈㅈ" localSheetId="6">BlankMacro1</definedName>
    <definedName name="ㅂㅂㅈㅈ">BlankMacro1</definedName>
    <definedName name="ㅂㅈ" localSheetId="7" hidden="1">{#N/A,#N/A,FALSE,"표지목차"}</definedName>
    <definedName name="ㅂㅈ" localSheetId="9" hidden="1">{#N/A,#N/A,FALSE,"표지목차"}</definedName>
    <definedName name="ㅂㅈ" localSheetId="4" hidden="1">{#N/A,#N/A,FALSE,"표지목차"}</definedName>
    <definedName name="ㅂㅈ" localSheetId="0" hidden="1">{#N/A,#N/A,FALSE,"표지목차"}</definedName>
    <definedName name="ㅂㅈ" hidden="1">{#N/A,#N/A,FALSE,"표지목차"}</definedName>
    <definedName name="ㅂㅈㄱㄷㅈㅂㄱ" localSheetId="12">BlankMacro1</definedName>
    <definedName name="ㅂㅈㄱㄷㅈㅂㄱ" localSheetId="6">BlankMacro1</definedName>
    <definedName name="ㅂㅈㄱㄷㅈㅂㄱ">BlankMacro1</definedName>
    <definedName name="ㅂㅈㄷ" localSheetId="12">BlankMacro1</definedName>
    <definedName name="ㅂㅈㄷ" localSheetId="11">BlankMacro1</definedName>
    <definedName name="ㅂㅈㄷ" localSheetId="7" hidden="1">{#N/A,#N/A,FALSE,"2~8번"}</definedName>
    <definedName name="ㅂㅈㄷ" localSheetId="4" hidden="1">{#N/A,#N/A,FALSE,"2~8번"}</definedName>
    <definedName name="ㅂㅈㄷ" localSheetId="0" hidden="1">{#N/A,#N/A,FALSE,"2~8번"}</definedName>
    <definedName name="ㅂㅈㄷ" hidden="1">{#N/A,#N/A,FALSE,"2~8번"}</definedName>
    <definedName name="ㅂㅈㄷ23ㄱㄷㄱㄹ4" hidden="1">{#N/A,#N/A,FALSE,"전력간선"}</definedName>
    <definedName name="ㅂㅈㄷㄱㅂㅈㄱ" localSheetId="12">BlankMacro1</definedName>
    <definedName name="ㅂㅈㄷㄱㅂㅈㄱ" localSheetId="6">BlankMacro1</definedName>
    <definedName name="ㅂㅈㄷㄱㅂㅈㄱ">BlankMacro1</definedName>
    <definedName name="ㅂㅈㄷㄱㅈㅂㄱ" localSheetId="12">BlankMacro1</definedName>
    <definedName name="ㅂㅈㄷㄱㅈㅂㄱ" localSheetId="6">BlankMacro1</definedName>
    <definedName name="ㅂㅈㄷㄱㅈㅂㄱ">BlankMacro1</definedName>
    <definedName name="ㅂㅈㅈ" localSheetId="12" hidden="1">{#N/A,#N/A,FALSE,"운반시간"}</definedName>
    <definedName name="ㅂㅈㅈ" localSheetId="11" hidden="1">{#N/A,#N/A,FALSE,"운반시간"}</definedName>
    <definedName name="ㅂㅈㅈ" localSheetId="7" hidden="1">{#N/A,#N/A,FALSE,"운반시간"}</definedName>
    <definedName name="ㅂㅈㅈ" localSheetId="9" hidden="1">{#N/A,#N/A,FALSE,"운반시간"}</definedName>
    <definedName name="ㅂㅈㅈ" localSheetId="4" hidden="1">{#N/A,#N/A,FALSE,"운반시간"}</definedName>
    <definedName name="ㅂㅈㅈ" localSheetId="0" hidden="1">{#N/A,#N/A,FALSE,"운반시간"}</definedName>
    <definedName name="ㅂㅈㅈ" hidden="1">{#N/A,#N/A,FALSE,"운반시간"}</definedName>
    <definedName name="ㅂㅈㅎㄷㅂㄹ" localSheetId="12">BlankMacro1</definedName>
    <definedName name="ㅂㅈㅎㄷㅂㄹ" localSheetId="6">BlankMacro1</definedName>
    <definedName name="ㅂㅈㅎㄷㅂㄹ">BlankMacro1</definedName>
    <definedName name="ㅂㅍ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ㅍ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바" localSheetId="12">#N/A</definedName>
    <definedName name="바다" localSheetId="12" hidden="1">{#N/A,#N/A,FALSE,"구조2"}</definedName>
    <definedName name="바다" hidden="1">{#N/A,#N/A,FALSE,"구조2"}</definedName>
    <definedName name="바라" localSheetId="12" hidden="1">{#N/A,#N/A,FALSE,"배수2"}</definedName>
    <definedName name="바라" hidden="1">{#N/A,#N/A,FALSE,"배수2"}</definedName>
    <definedName name="박은하" localSheetId="12">Dlog_Show</definedName>
    <definedName name="박은하" localSheetId="6">Dlog_Show</definedName>
    <definedName name="박은하">Dlog_Show</definedName>
    <definedName name="반사경..." localSheetId="12">BlankMacro1</definedName>
    <definedName name="반사경..." localSheetId="6">BlankMacro1</definedName>
    <definedName name="반사경...">BlankMacro1</definedName>
    <definedName name="반사경현황" localSheetId="12">BlankMacro1</definedName>
    <definedName name="반사경현황" localSheetId="6">BlankMacro1</definedName>
    <definedName name="반사경현황">BlankMacro1</definedName>
    <definedName name="발주금액">#N/A</definedName>
    <definedName name="방부각재">931007</definedName>
    <definedName name="방부원주">1064010</definedName>
    <definedName name="방부판재">1037435</definedName>
    <definedName name="방송" localSheetId="6">BlankMacro1</definedName>
    <definedName name="방송">BlankMacro1</definedName>
    <definedName name="방음벽" localSheetId="12" hidden="1">{#N/A,#N/A,FALSE,"배수2"}</definedName>
    <definedName name="방음벽" hidden="1">{#N/A,#N/A,FALSE,"배수2"}</definedName>
    <definedName name="방음벽2" localSheetId="12">{"Book1","부대-(표지판,데리,가드).xls","부대-(낙,차,중분대).xls"}</definedName>
    <definedName name="방음벽2">{"Book1","부대-(표지판,데리,가드).xls","부대-(낙,차,중분대).xls"}</definedName>
    <definedName name="방음벽4.5" localSheetId="12">{"Book1","부대-(표지판,데리,가드).xls","부대-(낙,차,중분대).xls"}</definedName>
    <definedName name="방음벽4.5">{"Book1","부대-(표지판,데리,가드).xls","부대-(낙,차,중분대).xls"}</definedName>
    <definedName name="배수" localSheetId="6">BlankMacro1</definedName>
    <definedName name="배수">BlankMacro1</definedName>
    <definedName name="배수송">#N/A</definedName>
    <definedName name="배토판19ton">"Picture 11"</definedName>
    <definedName name="배토판32ton">"Picture 10"</definedName>
    <definedName name="백호02">230000</definedName>
    <definedName name="백호06">300000</definedName>
    <definedName name="백호10">250000</definedName>
    <definedName name="버버버법">#N/A</definedName>
    <definedName name="벽체" localSheetId="12" hidden="1">{#N/A,#N/A,FALSE,"혼합골재"}</definedName>
    <definedName name="벽체" hidden="1">{#N/A,#N/A,FALSE,"혼합골재"}</definedName>
    <definedName name="변경단가" localSheetId="12" hidden="1">{#N/A,#N/A,FALSE,"포장단가"}</definedName>
    <definedName name="변경단가" localSheetId="11" hidden="1">{#N/A,#N/A,FALSE,"포장단가"}</definedName>
    <definedName name="변경단가1" localSheetId="12" hidden="1">{#N/A,#N/A,FALSE,"포장단가"}</definedName>
    <definedName name="변경단가1" hidden="1">{#N/A,#N/A,FALSE,"포장단가"}</definedName>
    <definedName name="변경단가2" localSheetId="12" hidden="1">{#N/A,#N/A,FALSE,"포장단가"}</definedName>
    <definedName name="변경단가2" hidden="1">{#N/A,#N/A,FALSE,"포장단가"}</definedName>
    <definedName name="변경단가3" localSheetId="12" hidden="1">{#N/A,#N/A,FALSE,"포장단가"}</definedName>
    <definedName name="변경단가3" hidden="1">{#N/A,#N/A,FALSE,"포장단가"}</definedName>
    <definedName name="변경이유서">#N/A</definedName>
    <definedName name="변경이유서1">#N/A</definedName>
    <definedName name="보" localSheetId="12" hidden="1">{#N/A,#N/A,FALSE,"구조1"}</definedName>
    <definedName name="보오링그라우팅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보통">37483</definedName>
    <definedName name="부곡의왕" localSheetId="12">'4월 신분증 및 통장사본'!부곡의왕</definedName>
    <definedName name="부대공" localSheetId="12">#N/A</definedName>
    <definedName name="부대공" localSheetId="11">#N/A</definedName>
    <definedName name="부대공총괄수량집계" localSheetId="12" hidden="1">{#N/A,#N/A,FALSE,"2~8번"}</definedName>
    <definedName name="부대공총괄수량집계" localSheetId="11" hidden="1">{#N/A,#N/A,FALSE,"2~8번"}</definedName>
    <definedName name="부대공총괄수량집계" localSheetId="7" hidden="1">{#N/A,#N/A,FALSE,"2~8번"}</definedName>
    <definedName name="부대공총괄수량집계" localSheetId="4" hidden="1">{#N/A,#N/A,FALSE,"2~8번"}</definedName>
    <definedName name="부대공총괄수량집계" localSheetId="0" hidden="1">{#N/A,#N/A,FALSE,"2~8번"}</definedName>
    <definedName name="부대공총괄수량집계" hidden="1">{#N/A,#N/A,FALSE,"2~8번"}</definedName>
    <definedName name="부대구조" localSheetId="12" hidden="1">{#N/A,#N/A,FALSE,"골재소요량";#N/A,#N/A,FALSE,"골재소요량"}</definedName>
    <definedName name="부대구조" hidden="1">{#N/A,#N/A,FALSE,"골재소요량";#N/A,#N/A,FALSE,"골재소요량"}</definedName>
    <definedName name="부대내역">#N/A</definedName>
    <definedName name="부대방안" localSheetId="12" hidden="1">{#N/A,#N/A,FALSE,"단가표지"}</definedName>
    <definedName name="부대방안" hidden="1">{#N/A,#N/A,FALSE,"단가표지"}</definedName>
    <definedName name="부대수량">#N/A</definedName>
    <definedName name="부대원본" localSheetId="12" hidden="1">{#N/A,#N/A,FALSE,"토공2"}</definedName>
    <definedName name="부대원본" localSheetId="11" hidden="1">{#N/A,#N/A,FALSE,"토공2"}</definedName>
    <definedName name="부대원본" localSheetId="7" hidden="1">{#N/A,#N/A,FALSE,"토공2"}</definedName>
    <definedName name="부대원본" localSheetId="4" hidden="1">{#N/A,#N/A,FALSE,"토공2"}</definedName>
    <definedName name="부대원본" localSheetId="0" hidden="1">{#N/A,#N/A,FALSE,"토공2"}</definedName>
    <definedName name="부대원본" hidden="1">{#N/A,#N/A,FALSE,"토공2"}</definedName>
    <definedName name="부대일반">#N/A</definedName>
    <definedName name="부대입찰잡비" localSheetId="12">Dlog_Show</definedName>
    <definedName name="부대입찰잡비" localSheetId="6">Dlog_Show</definedName>
    <definedName name="부대입찰잡비">Dlog_Show</definedName>
    <definedName name="부대집" localSheetId="6">BlankMacro1</definedName>
    <definedName name="부대집">BlankMacro1</definedName>
    <definedName name="부대토공대비">#N/A</definedName>
    <definedName name="부손익" localSheetId="12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토" localSheetId="12">Dlog_Show</definedName>
    <definedName name="부토" localSheetId="6">Dlog_Show</definedName>
    <definedName name="부토">Dlog_Show</definedName>
    <definedName name="분전반" localSheetId="12">BlankMacro1</definedName>
    <definedName name="분전반" localSheetId="11">BlankMacro1</definedName>
    <definedName name="분전반">#N/A</definedName>
    <definedName name="분전반1" localSheetId="12">BlankMacro1</definedName>
    <definedName name="분전반1" localSheetId="6">BlankMacro1</definedName>
    <definedName name="분전반1">BlankMacro1</definedName>
    <definedName name="비" localSheetId="12">#N/A</definedName>
    <definedName name="비" hidden="1">{#N/A,#N/A,FALSE,"골재소요량";#N/A,#N/A,FALSE,"골재소요량"}</definedName>
    <definedName name="비교" hidden="1">255</definedName>
    <definedName name="비교5개">#N/A</definedName>
    <definedName name="비교표1" hidden="1">255</definedName>
    <definedName name="비유다">250000</definedName>
    <definedName name="ㅄ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ㅄ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ㅄㅈㅄㅈㅂㅈㅂ" localSheetId="12">BlankMacro1</definedName>
    <definedName name="ㅄㅈㅄㅈㅂㅈㅂ" localSheetId="6">BlankMacro1</definedName>
    <definedName name="ㅄㅈㅄㅈㅂㅈㅂ">BlankMacro1</definedName>
    <definedName name="ㅅ" localSheetId="7" hidden="1">{#N/A,#N/A,FALSE,"조골재"}</definedName>
    <definedName name="ㅅ" localSheetId="9" hidden="1">{#N/A,#N/A,FALSE,"혼합골재"}</definedName>
    <definedName name="ㅅ" localSheetId="4" hidden="1">{#N/A,#N/A,FALSE,"조골재"}</definedName>
    <definedName name="ㅅ" localSheetId="0" hidden="1">{#N/A,#N/A,FALSE,"조골재"}</definedName>
    <definedName name="ㅅ" hidden="1">{#N/A,#N/A,FALSE,"조골재"}</definedName>
    <definedName name="ㅅ.." localSheetId="12" hidden="1">{#N/A,#N/A,FALSE,"골재소요량";#N/A,#N/A,FALSE,"골재소요량"}</definedName>
    <definedName name="ㅅ.." localSheetId="11" hidden="1">{#N/A,#N/A,FALSE,"골재소요량";#N/A,#N/A,FALSE,"골재소요량"}</definedName>
    <definedName name="ㅅ.." localSheetId="7" hidden="1">{#N/A,#N/A,FALSE,"골재소요량";#N/A,#N/A,FALSE,"골재소요량"}</definedName>
    <definedName name="ㅅ.." localSheetId="9" hidden="1">{#N/A,#N/A,FALSE,"골재소요량";#N/A,#N/A,FALSE,"골재소요량"}</definedName>
    <definedName name="ㅅ.." localSheetId="4" hidden="1">{#N/A,#N/A,FALSE,"골재소요량";#N/A,#N/A,FALSE,"골재소요량"}</definedName>
    <definedName name="ㅅ.." localSheetId="0" hidden="1">{#N/A,#N/A,FALSE,"골재소요량";#N/A,#N/A,FALSE,"골재소요량"}</definedName>
    <definedName name="ㅅ.." hidden="1">{#N/A,#N/A,FALSE,"골재소요량";#N/A,#N/A,FALSE,"골재소요량"}</definedName>
    <definedName name="ㅅㄱ" localSheetId="12">BlankMacro1</definedName>
    <definedName name="ㅅㄱ" localSheetId="6">BlankMacro1</definedName>
    <definedName name="ㅅㄱ">BlankMacro1</definedName>
    <definedName name="ㅅ겨쇼" localSheetId="12">BlankMacro1</definedName>
    <definedName name="ㅅ겨쇼" localSheetId="6">BlankMacro1</definedName>
    <definedName name="ㅅ겨쇼">BlankMacro1</definedName>
    <definedName name="ㅅ고" localSheetId="7" hidden="1">{#N/A,#N/A,FALSE,"포장단가"}</definedName>
    <definedName name="ㅅ고" localSheetId="4" hidden="1">{#N/A,#N/A,FALSE,"포장단가"}</definedName>
    <definedName name="ㅅ고" localSheetId="0" hidden="1">{#N/A,#N/A,FALSE,"포장단가"}</definedName>
    <definedName name="ㅅ고" hidden="1">{#N/A,#N/A,FALSE,"포장단가"}</definedName>
    <definedName name="ㅅ곧고" localSheetId="7" hidden="1">{#N/A,#N/A,FALSE,"포장단가"}</definedName>
    <definedName name="ㅅ곧고" localSheetId="4" hidden="1">{#N/A,#N/A,FALSE,"포장단가"}</definedName>
    <definedName name="ㅅ곧고" localSheetId="0" hidden="1">{#N/A,#N/A,FALSE,"포장단가"}</definedName>
    <definedName name="ㅅ곧고" hidden="1">{#N/A,#N/A,FALSE,"포장단가"}</definedName>
    <definedName name="ㅅ곳ㄴ고" localSheetId="12" hidden="1">{#N/A,#N/A,FALSE,"2~8번"}</definedName>
    <definedName name="ㅅ곳ㄴ고" localSheetId="11" hidden="1">{#N/A,#N/A,FALSE,"2~8번"}</definedName>
    <definedName name="ㅅ곳ㄴ고" localSheetId="7" hidden="1">{#N/A,#N/A,FALSE,"2~8번"}</definedName>
    <definedName name="ㅅ곳ㄴ고" localSheetId="9" hidden="1">{#N/A,#N/A,FALSE,"2~8번"}</definedName>
    <definedName name="ㅅ곳ㄴ고" localSheetId="4" hidden="1">{#N/A,#N/A,FALSE,"2~8번"}</definedName>
    <definedName name="ㅅ곳ㄴ고" localSheetId="0" hidden="1">{#N/A,#N/A,FALSE,"2~8번"}</definedName>
    <definedName name="ㅅ곳ㄴ고" hidden="1">{#N/A,#N/A,FALSE,"2~8번"}</definedName>
    <definedName name="ㅅㄳ" localSheetId="12" hidden="1">{#N/A,#N/A,FALSE,"골재소요량";#N/A,#N/A,FALSE,"골재소요량"}</definedName>
    <definedName name="ㅅㄳ" localSheetId="11" hidden="1">{#N/A,#N/A,FALSE,"골재소요량";#N/A,#N/A,FALSE,"골재소요량"}</definedName>
    <definedName name="ㅅㄳ" localSheetId="7" hidden="1">{#N/A,#N/A,FALSE,"골재소요량";#N/A,#N/A,FALSE,"골재소요량"}</definedName>
    <definedName name="ㅅㄳ" localSheetId="9" hidden="1">{#N/A,#N/A,FALSE,"골재소요량";#N/A,#N/A,FALSE,"골재소요량"}</definedName>
    <definedName name="ㅅㄳ" localSheetId="4" hidden="1">{#N/A,#N/A,FALSE,"골재소요량";#N/A,#N/A,FALSE,"골재소요량"}</definedName>
    <definedName name="ㅅㄳ" localSheetId="0" hidden="1">{#N/A,#N/A,FALSE,"골재소요량";#N/A,#N/A,FALSE,"골재소요량"}</definedName>
    <definedName name="ㅅㄳ" hidden="1">{#N/A,#N/A,FALSE,"골재소요량";#N/A,#N/A,FALSE,"골재소요량"}</definedName>
    <definedName name="ㅅㄷㄷㅈㅅㅂㅈㄷㅅㅈㅄ" localSheetId="12">BlankMacro1</definedName>
    <definedName name="ㅅㄷㄷㅈㅅㅂㅈㄷㅅㅈㅄ" localSheetId="6">BlankMacro1</definedName>
    <definedName name="ㅅㄷㄷㅈㅅㅂㅈㄷㅅㅈㅄ">BlankMacro1</definedName>
    <definedName name="ㅅㄷㄷㅈㅅㅅㅈㄷㅅㄷㅈㅅㄷㅈ" localSheetId="12">BlankMacro1</definedName>
    <definedName name="ㅅㄷㄷㅈㅅㅅㅈㄷㅅㄷㅈㅅㄷㅈ" localSheetId="6">BlankMacro1</definedName>
    <definedName name="ㅅㄷㄷㅈㅅㅅㅈㄷㅅㄷㅈㅅㄷㅈ">BlankMacro1</definedName>
    <definedName name="ㅅㄷㅅㄷㄷㅅㅈ" localSheetId="12">BlankMacro1</definedName>
    <definedName name="ㅅㄷㅅㄷㄷㅅㅈ" localSheetId="6">BlankMacro1</definedName>
    <definedName name="ㅅㄷㅅㄷㄷㅅㅈ">BlankMacro1</definedName>
    <definedName name="ㅅㄷㅅㄷㅈㅅ" localSheetId="12">BlankMacro1</definedName>
    <definedName name="ㅅㄷㅅㄷㅈㅅ" localSheetId="6">BlankMacro1</definedName>
    <definedName name="ㅅㄷㅅㄷㅈㅅ">BlankMacro1</definedName>
    <definedName name="ㅅㄷㅅㄷㅈㅅㄷㅈㄷㅅ" localSheetId="12">BlankMacro1</definedName>
    <definedName name="ㅅㄷㅅㄷㅈㅅㄷㅈㄷㅅ" localSheetId="6">BlankMacro1</definedName>
    <definedName name="ㅅㄷㅅㄷㅈㅅㄷㅈㄷㅅ">BlankMacro1</definedName>
    <definedName name="ㅅㄷㅈㅅㄷ" localSheetId="12">BlankMacro1</definedName>
    <definedName name="ㅅㄷㅈㅅㄷ" localSheetId="6">BlankMacro1</definedName>
    <definedName name="ㅅㄷㅈㅅㄷ">BlankMacro1</definedName>
    <definedName name="ㅅㄷㅈㅅㄷㅅㅈ" localSheetId="12">BlankMacro1</definedName>
    <definedName name="ㅅㄷㅈㅅㄷㅅㅈ" localSheetId="6">BlankMacro1</definedName>
    <definedName name="ㅅㄷㅈㅅㄷㅅㅈ">BlankMacro1</definedName>
    <definedName name="ㅅㄷㅈㅅㄷㅈㄷㅈㅅㅅ" localSheetId="12">BlankMacro1</definedName>
    <definedName name="ㅅㄷㅈㅅㄷㅈㄷㅈㅅㅅ" localSheetId="6">BlankMacro1</definedName>
    <definedName name="ㅅㄷㅈㅅㄷㅈㄷㅈㅅㅅ">BlankMacro1</definedName>
    <definedName name="ㅅㄷㅈㅅㄷㅈㅄㄷㅂㅈ" localSheetId="12">BlankMacro1</definedName>
    <definedName name="ㅅㄷㅈㅅㄷㅈㅄㄷㅂㅈ" localSheetId="6">BlankMacro1</definedName>
    <definedName name="ㅅㄷㅈㅅㄷㅈㅄㄷㅂㅈ">BlankMacro1</definedName>
    <definedName name="ㅅㄷㅈㅅㄷㅈㅅㄷㅈㅈㅅ" localSheetId="12">BlankMacro1</definedName>
    <definedName name="ㅅㄷㅈㅅㄷㅈㅅㄷㅈㅈㅅ" localSheetId="6">BlankMacro1</definedName>
    <definedName name="ㅅㄷㅈㅅㄷㅈㅅㄷㅈㅈㅅ">BlankMacro1</definedName>
    <definedName name="ㅅㄷㅈㅅㄷㅈㅈ" localSheetId="12">BlankMacro1</definedName>
    <definedName name="ㅅㄷㅈㅅㄷㅈㅈ" localSheetId="6">BlankMacro1</definedName>
    <definedName name="ㅅㄷㅈㅅㄷㅈㅈ">BlankMacro1</definedName>
    <definedName name="ㅅㅅ" localSheetId="7" hidden="1">{#N/A,#N/A,FALSE,"골재소요량";#N/A,#N/A,FALSE,"골재소요량"}</definedName>
    <definedName name="ㅅㅅ" localSheetId="9" hidden="1">{#N/A,#N/A,FALSE,"골재소요량";#N/A,#N/A,FALSE,"골재소요량"}</definedName>
    <definedName name="ㅅㅅ" localSheetId="4" hidden="1">{#N/A,#N/A,FALSE,"골재소요량";#N/A,#N/A,FALSE,"골재소요량"}</definedName>
    <definedName name="ㅅㅅ" localSheetId="0" hidden="1">{#N/A,#N/A,FALSE,"골재소요량";#N/A,#N/A,FALSE,"골재소요량"}</definedName>
    <definedName name="ㅅㅅ" hidden="1">{#N/A,#N/A,FALSE,"골재소요량";#N/A,#N/A,FALSE,"골재소요량"}</definedName>
    <definedName name="ㅅㅅㅅ" localSheetId="7" hidden="1">{#N/A,#N/A,FALSE,"2~8번"}</definedName>
    <definedName name="ㅅㅅㅅ" localSheetId="9" hidden="1">{#N/A,#N/A,FALSE,"2~8번"}</definedName>
    <definedName name="ㅅㅅㅅ" localSheetId="4" hidden="1">{#N/A,#N/A,FALSE,"2~8번"}</definedName>
    <definedName name="ㅅㅅㅅ" localSheetId="0" hidden="1">{#N/A,#N/A,FALSE,"2~8번"}</definedName>
    <definedName name="ㅅㅅㅅ" hidden="1">{#N/A,#N/A,FALSE,"2~8번"}</definedName>
    <definedName name="ㅅㅅㅅㅅ" localSheetId="7" hidden="1">{#N/A,#N/A,FALSE,"2~8번"}</definedName>
    <definedName name="ㅅㅅㅅㅅ" localSheetId="9" hidden="1">{#N/A,#N/A,FALSE,"2~8번"}</definedName>
    <definedName name="ㅅㅅㅅㅅ" localSheetId="4" hidden="1">{#N/A,#N/A,FALSE,"2~8번"}</definedName>
    <definedName name="ㅅㅅㅅㅅ" localSheetId="0" hidden="1">{#N/A,#N/A,FALSE,"2~8번"}</definedName>
    <definedName name="ㅅㅅㅅㅅ" hidden="1">{#N/A,#N/A,FALSE,"2~8번"}</definedName>
    <definedName name="ㅅㅅㅅㅅㅅ" localSheetId="7" hidden="1">{#N/A,#N/A,FALSE,"골재소요량";#N/A,#N/A,FALSE,"골재소요량"}</definedName>
    <definedName name="ㅅㅅㅅㅅㅅ" localSheetId="9" hidden="1">{#N/A,#N/A,FALSE,"골재소요량";#N/A,#N/A,FALSE,"골재소요량"}</definedName>
    <definedName name="ㅅㅅㅅㅅㅅ" localSheetId="4" hidden="1">{#N/A,#N/A,FALSE,"골재소요량";#N/A,#N/A,FALSE,"골재소요량"}</definedName>
    <definedName name="ㅅㅅㅅㅅㅅ" localSheetId="0" hidden="1">{#N/A,#N/A,FALSE,"골재소요량";#N/A,#N/A,FALSE,"골재소요량"}</definedName>
    <definedName name="ㅅㅅㅅㅅㅅ" hidden="1">{#N/A,#N/A,FALSE,"골재소요량";#N/A,#N/A,FALSE,"골재소요량"}</definedName>
    <definedName name="ㅅㅅㅅㅅㅅㅅㅅ" localSheetId="12" hidden="1">{#N/A,#N/A,FALSE,"골재소요량";#N/A,#N/A,FALSE,"골재소요량"}</definedName>
    <definedName name="ㅅㅅㅅㅅㅅㅅㅅ" localSheetId="11" hidden="1">{#N/A,#N/A,FALSE,"골재소요량";#N/A,#N/A,FALSE,"골재소요량"}</definedName>
    <definedName name="ㅅㅅㅅㅅㅅㅅㅅ" localSheetId="7" hidden="1">{#N/A,#N/A,FALSE,"골재소요량";#N/A,#N/A,FALSE,"골재소요량"}</definedName>
    <definedName name="ㅅㅅㅅㅅㅅㅅㅅ" localSheetId="9" hidden="1">{#N/A,#N/A,FALSE,"골재소요량";#N/A,#N/A,FALSE,"골재소요량"}</definedName>
    <definedName name="ㅅㅅㅅㅅㅅㅅㅅ" localSheetId="4" hidden="1">{#N/A,#N/A,FALSE,"골재소요량";#N/A,#N/A,FALSE,"골재소요량"}</definedName>
    <definedName name="ㅅㅅㅅㅅㅅㅅㅅ" localSheetId="0" hidden="1">{#N/A,#N/A,FALSE,"골재소요량";#N/A,#N/A,FALSE,"골재소요량"}</definedName>
    <definedName name="ㅅㅅㅅㅅㅅㅅㅅ" hidden="1">{#N/A,#N/A,FALSE,"골재소요량";#N/A,#N/A,FALSE,"골재소요량"}</definedName>
    <definedName name="ㅅㅅㅅㅅㅅㅅㅅㅅㅅㅅㅅ" localSheetId="12" hidden="1">{#N/A,#N/A,FALSE,"골재소요량";#N/A,#N/A,FALSE,"골재소요량"}</definedName>
    <definedName name="ㅅㅅㅅㅅㅅㅅㅅㅅㅅㅅㅅ" localSheetId="11" hidden="1">{#N/A,#N/A,FALSE,"골재소요량";#N/A,#N/A,FALSE,"골재소요량"}</definedName>
    <definedName name="ㅅㅅㅅㅅㅅㅅㅅㅅㅅㅅㅅ" localSheetId="7" hidden="1">{#N/A,#N/A,FALSE,"골재소요량";#N/A,#N/A,FALSE,"골재소요량"}</definedName>
    <definedName name="ㅅㅅㅅㅅㅅㅅㅅㅅㅅㅅㅅ" localSheetId="9" hidden="1">{#N/A,#N/A,FALSE,"골재소요량";#N/A,#N/A,FALSE,"골재소요량"}</definedName>
    <definedName name="ㅅㅅㅅㅅㅅㅅㅅㅅㅅㅅㅅ" localSheetId="4" hidden="1">{#N/A,#N/A,FALSE,"골재소요량";#N/A,#N/A,FALSE,"골재소요량"}</definedName>
    <definedName name="ㅅㅅㅅㅅㅅㅅㅅㅅㅅㅅㅅ" localSheetId="0" hidden="1">{#N/A,#N/A,FALSE,"골재소요량";#N/A,#N/A,FALSE,"골재소요량"}</definedName>
    <definedName name="ㅅㅅㅅㅅㅅㅅㅅㅅㅅㅅㅅ" hidden="1">{#N/A,#N/A,FALSE,"골재소요량";#N/A,#N/A,FALSE,"골재소요량"}</definedName>
    <definedName name="ㅅ여ㅛ윣ㄴ" localSheetId="12" hidden="1">{#N/A,#N/A,FALSE,"조골재"}</definedName>
    <definedName name="ㅅ여ㅛ윣ㄴ" localSheetId="11" hidden="1">{#N/A,#N/A,FALSE,"조골재"}</definedName>
    <definedName name="ㅅ여ㅛ윣ㄴ" localSheetId="7" hidden="1">{#N/A,#N/A,FALSE,"조골재"}</definedName>
    <definedName name="ㅅ여ㅛ윣ㄴ" localSheetId="9" hidden="1">{#N/A,#N/A,FALSE,"조골재"}</definedName>
    <definedName name="ㅅ여ㅛ윣ㄴ" localSheetId="4" hidden="1">{#N/A,#N/A,FALSE,"조골재"}</definedName>
    <definedName name="ㅅ여ㅛ윣ㄴ" localSheetId="0" hidden="1">{#N/A,#N/A,FALSE,"조골재"}</definedName>
    <definedName name="ㅅ여ㅛ윣ㄴ" hidden="1">{#N/A,#N/A,FALSE,"조골재"}</definedName>
    <definedName name="ㅅ융ㄴㄳ" localSheetId="12" hidden="1">{#N/A,#N/A,FALSE,"조골재"}</definedName>
    <definedName name="ㅅ융ㄴㄳ" localSheetId="11" hidden="1">{#N/A,#N/A,FALSE,"조골재"}</definedName>
    <definedName name="ㅅ융ㄴㄳ" localSheetId="7" hidden="1">{#N/A,#N/A,FALSE,"조골재"}</definedName>
    <definedName name="ㅅ융ㄴㄳ" localSheetId="9" hidden="1">{#N/A,#N/A,FALSE,"조골재"}</definedName>
    <definedName name="ㅅ융ㄴㄳ" localSheetId="4" hidden="1">{#N/A,#N/A,FALSE,"조골재"}</definedName>
    <definedName name="ㅅ융ㄴㄳ" localSheetId="0" hidden="1">{#N/A,#N/A,FALSE,"조골재"}</definedName>
    <definedName name="ㅅ융ㄴㄳ" hidden="1">{#N/A,#N/A,FALSE,"조골재"}</definedName>
    <definedName name="ㅅㅈㄷㅄㄷㅅㄷㄷㅅㅈ" localSheetId="12">BlankMacro1</definedName>
    <definedName name="ㅅㅈㄷㅄㄷㅅㄷㄷㅅㅈ" localSheetId="6">BlankMacro1</definedName>
    <definedName name="ㅅㅈㄷㅄㄷㅅㄷㄷㅅㅈ">BlankMacro1</definedName>
    <definedName name="ㅅㅈㄷㅅㄷㅈㅅㄷㄷㅅㅈ" localSheetId="12">BlankMacro1</definedName>
    <definedName name="ㅅㅈㄷㅅㄷㅈㅅㄷㄷㅅㅈ" localSheetId="6">BlankMacro1</definedName>
    <definedName name="ㅅㅈㄷㅅㄷㅈㅅㄷㄷㅅㅈ">BlankMacro1</definedName>
    <definedName name="ㅅㅈㄷㅅㄷㅈㅅㄷㅈ" localSheetId="12">BlankMacro1</definedName>
    <definedName name="ㅅㅈㄷㅅㄷㅈㅅㄷㅈ" localSheetId="6">BlankMacro1</definedName>
    <definedName name="ㅅㅈㄷㅅㄷㅈㅅㄷㅈ">BlankMacro1</definedName>
    <definedName name="ㅅㅈㅅㄷㄷㅅㅈ" localSheetId="12">BlankMacro1</definedName>
    <definedName name="ㅅㅈㅅㄷㄷㅅㅈ" localSheetId="6">BlankMacro1</definedName>
    <definedName name="ㅅㅈㅅㄷㄷㅅㅈ">BlankMacro1</definedName>
    <definedName name="ㅅㅎ공ㅋ" localSheetId="12" hidden="1">{#N/A,#N/A,FALSE,"단가표지"}</definedName>
    <definedName name="ㅅㅎ공ㅋ" localSheetId="11" hidden="1">{#N/A,#N/A,FALSE,"단가표지"}</definedName>
    <definedName name="ㅅㅎ공ㅋ" localSheetId="7" hidden="1">{#N/A,#N/A,FALSE,"단가표지"}</definedName>
    <definedName name="ㅅㅎ공ㅋ" localSheetId="9" hidden="1">{#N/A,#N/A,FALSE,"단가표지"}</definedName>
    <definedName name="ㅅㅎ공ㅋ" localSheetId="4" hidden="1">{#N/A,#N/A,FALSE,"단가표지"}</definedName>
    <definedName name="ㅅㅎ공ㅋ" localSheetId="0" hidden="1">{#N/A,#N/A,FALSE,"단가표지"}</definedName>
    <definedName name="ㅅㅎ공ㅋ" hidden="1">{#N/A,#N/A,FALSE,"단가표지"}</definedName>
    <definedName name="사진대지">#N/A</definedName>
    <definedName name="산" localSheetId="6">BlankMacro1</definedName>
    <definedName name="산">BlankMacro1</definedName>
    <definedName name="산마루측구" localSheetId="12">BlankMacro1</definedName>
    <definedName name="산마루측구" localSheetId="11">BlankMacro1</definedName>
    <definedName name="산마루측구" localSheetId="6">BlankMacro1</definedName>
    <definedName name="산마루측구">BlankMacro1</definedName>
    <definedName name="산성비" localSheetId="12" hidden="1">{#N/A,#N/A,FALSE,"신청통보";#N/A,#N/A,FALSE,"기성확인서";#N/A,#N/A,FALSE,"기성내역서"}</definedName>
    <definedName name="산성비" hidden="1">{#N/A,#N/A,FALSE,"신청통보";#N/A,#N/A,FALSE,"기성확인서";#N/A,#N/A,FALSE,"기성내역서"}</definedName>
    <definedName name="산식">#N/A</definedName>
    <definedName name="산출근거" localSheetId="12">#N/A</definedName>
    <definedName name="산출근거" localSheetId="6">BlankMacro1</definedName>
    <definedName name="산출근거">BlankMacro1</definedName>
    <definedName name="산출근거자료" localSheetId="12">BlankMacro1</definedName>
    <definedName name="산출근거자료" localSheetId="6">BlankMacro1</definedName>
    <definedName name="산출근거자료">BlankMacro1</definedName>
    <definedName name="산출내역" localSheetId="12" hidden="1">{"'단계별시설공사비'!$A$3:$K$51"}</definedName>
    <definedName name="산출내역" hidden="1">{"'단계별시설공사비'!$A$3:$K$51"}</definedName>
    <definedName name="산출일위대가통신" localSheetId="12">BlankMacro1</definedName>
    <definedName name="산출일위대가통신" localSheetId="6">BlankMacro1</definedName>
    <definedName name="산출일위대가통신">BlankMacro1</definedName>
    <definedName name="산출하">#N/A</definedName>
    <definedName name="살수차">220000</definedName>
    <definedName name="삼왕교이설도로단가산출">#N/A</definedName>
    <definedName name="상수도2차" localSheetId="12" hidden="1">{#N/A,#N/A,FALSE,"결의서";#N/A,#N/A,FALSE,"내역서";#N/A,#N/A,FALSE,"도급예상";#N/A,#N/A,FALSE,"시방서"}</definedName>
    <definedName name="상수도2차" hidden="1">{#N/A,#N/A,FALSE,"결의서";#N/A,#N/A,FALSE,"내역서";#N/A,#N/A,FALSE,"도급예상";#N/A,#N/A,FALSE,"시방서"}</definedName>
    <definedName name="상태입다">#N/A</definedName>
    <definedName name="새로고침" localSheetId="12">BlankMacro1</definedName>
    <definedName name="새로고침" localSheetId="6">BlankMacro1</definedName>
    <definedName name="새로고침">BlankMacro1</definedName>
    <definedName name="생영" localSheetId="12" hidden="1">{#N/A,#N/A,FALSE,"결의서";#N/A,#N/A,FALSE,"내역서";#N/A,#N/A,FALSE,"도급예상";#N/A,#N/A,FALSE,"시방서"}</definedName>
    <definedName name="생영" hidden="1">{#N/A,#N/A,FALSE,"결의서";#N/A,#N/A,FALSE,"내역서";#N/A,#N/A,FALSE,"도급예상";#N/A,#N/A,FALSE,"시방서"}</definedName>
    <definedName name="서류3" localSheetId="12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12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12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재받은의뢰업체">255</definedName>
    <definedName name="석축헐기" localSheetId="12">BlankMacro1</definedName>
    <definedName name="석축헐기" localSheetId="6">BlankMacro1</definedName>
    <definedName name="석축헐기">BlankMacro1</definedName>
    <definedName name="석축헐기10" localSheetId="12">BlankMacro1</definedName>
    <definedName name="석축헐기10" localSheetId="6">BlankMacro1</definedName>
    <definedName name="석축헐기10">BlankMacro1</definedName>
    <definedName name="석축헐기11" localSheetId="12">BlankMacro1</definedName>
    <definedName name="석축헐기11" localSheetId="6">BlankMacro1</definedName>
    <definedName name="석축헐기11">BlankMacro1</definedName>
    <definedName name="석축헐기12" localSheetId="12">BlankMacro1</definedName>
    <definedName name="석축헐기12" localSheetId="6">BlankMacro1</definedName>
    <definedName name="석축헐기12">BlankMacro1</definedName>
    <definedName name="석축헐기13" localSheetId="12">BlankMacro1</definedName>
    <definedName name="석축헐기13" localSheetId="6">BlankMacro1</definedName>
    <definedName name="석축헐기13">BlankMacro1</definedName>
    <definedName name="석축헐기15" localSheetId="12">BlankMacro1</definedName>
    <definedName name="석축헐기15" localSheetId="6">BlankMacro1</definedName>
    <definedName name="석축헐기15">BlankMacro1</definedName>
    <definedName name="석축헐기16" localSheetId="12">BlankMacro1</definedName>
    <definedName name="석축헐기16" localSheetId="6">BlankMacro1</definedName>
    <definedName name="석축헐기16">BlankMacro1</definedName>
    <definedName name="석축헐기9" localSheetId="12">BlankMacro1</definedName>
    <definedName name="석축헐기9" localSheetId="6">BlankMacro1</definedName>
    <definedName name="석축헐기9">BlankMacro1</definedName>
    <definedName name="석출헐기" localSheetId="12">BlankMacro1</definedName>
    <definedName name="석출헐기" localSheetId="6">BlankMacro1</definedName>
    <definedName name="석출헐기">BlankMacro1</definedName>
    <definedName name="석출헐기2" localSheetId="12">BlankMacro1</definedName>
    <definedName name="석출헐기2" localSheetId="6">BlankMacro1</definedName>
    <definedName name="석출헐기2">BlankMacro1</definedName>
    <definedName name="석출헐기3" localSheetId="12">BlankMacro1</definedName>
    <definedName name="석출헐기3" localSheetId="6">BlankMacro1</definedName>
    <definedName name="석출헐기3">BlankMacro1</definedName>
    <definedName name="석출헐기4" localSheetId="12">BlankMacro1</definedName>
    <definedName name="석출헐기4" localSheetId="6">BlankMacro1</definedName>
    <definedName name="석출헐기4">BlankMacro1</definedName>
    <definedName name="석출헐기5" localSheetId="12">BlankMacro1</definedName>
    <definedName name="석출헐기5" localSheetId="6">BlankMacro1</definedName>
    <definedName name="석출헐기5">BlankMacro1</definedName>
    <definedName name="석출헐기6" localSheetId="12">BlankMacro1</definedName>
    <definedName name="석출헐기6" localSheetId="6">BlankMacro1</definedName>
    <definedName name="석출헐기6">BlankMacro1</definedName>
    <definedName name="석출헐기7" localSheetId="12">BlankMacro1</definedName>
    <definedName name="석출헐기7" localSheetId="6">BlankMacro1</definedName>
    <definedName name="석출헐기7">BlankMacro1</definedName>
    <definedName name="석출헐기8" localSheetId="12">BlankMacro1</definedName>
    <definedName name="석출헐기8" localSheetId="6">BlankMacro1</definedName>
    <definedName name="석출헐기8">BlankMacro1</definedName>
    <definedName name="석출헐기9" localSheetId="12">BlankMacro1</definedName>
    <definedName name="석출헐기9" localSheetId="6">BlankMacro1</definedName>
    <definedName name="석출헐기9">BlankMacro1</definedName>
    <definedName name="석항" localSheetId="12" hidden="1">{#N/A,#N/A,FALSE,"명세표"}</definedName>
    <definedName name="석항" hidden="1">{#N/A,#N/A,FALSE,"명세표"}</definedName>
    <definedName name="설계가">#N/A</definedName>
    <definedName name="설계내역서" localSheetId="12" hidden="1">{#N/A,#N/A,FALSE,"골재소요량";#N/A,#N/A,FALSE,"골재소요량"}</definedName>
    <definedName name="설계내역서" hidden="1">{#N/A,#N/A,FALSE,"골재소요량";#N/A,#N/A,FALSE,"골재소요량"}</definedName>
    <definedName name="설계단면력요약.SAP90Work">#N/A</definedName>
    <definedName name="성원" localSheetId="12">BlankMacro1</definedName>
    <definedName name="성원" localSheetId="6">BlankMacro1</definedName>
    <definedName name="성원">BlankMacro1</definedName>
    <definedName name="성토3">#N/A</definedName>
    <definedName name="성토도쟈">#N/A</definedName>
    <definedName name="세금계산서">#N/A</definedName>
    <definedName name="세로" localSheetId="12" hidden="1">{#N/A,#N/A,FALSE,"전력간선"}</definedName>
    <definedName name="세로" hidden="1">{#N/A,#N/A,FALSE,"전력간선"}</definedName>
    <definedName name="셋트앵커">2131</definedName>
    <definedName name="셋트앵커2">685.55</definedName>
    <definedName name="소방내역" localSheetId="12">BlankMacro1</definedName>
    <definedName name="소방내역" localSheetId="6">BlankMacro1</definedName>
    <definedName name="소방내역">BlankMacro1</definedName>
    <definedName name="쇼" localSheetId="12">BlankMacro1</definedName>
    <definedName name="쇼" localSheetId="6">BlankMacro1</definedName>
    <definedName name="쇼">BlankMacro1</definedName>
    <definedName name="쇼ㅑㅕ" localSheetId="12">BlankMacro1</definedName>
    <definedName name="쇼ㅑㅕ" localSheetId="6">BlankMacro1</definedName>
    <definedName name="쇼ㅑㅕ">BlankMacro1</definedName>
    <definedName name="쇼ㅓ" localSheetId="7" hidden="1">{#N/A,#N/A,FALSE,"포장단가"}</definedName>
    <definedName name="쇼ㅓ" localSheetId="4" hidden="1">{#N/A,#N/A,FALSE,"포장단가"}</definedName>
    <definedName name="쇼ㅓ" localSheetId="0" hidden="1">{#N/A,#N/A,FALSE,"포장단가"}</definedName>
    <definedName name="쇼ㅓ" hidden="1">{#N/A,#N/A,FALSE,"포장단가"}</definedName>
    <definedName name="쇼ㅕㄱ쇼ㅕㅅㄱ" localSheetId="12">BlankMacro1</definedName>
    <definedName name="쇼ㅕㄱ쇼ㅕㅅㄱ" localSheetId="6">BlankMacro1</definedName>
    <definedName name="쇼ㅕㄱ쇼ㅕㅅㄱ">BlankMacro1</definedName>
    <definedName name="쇼ㅗㅓ" localSheetId="12" hidden="1">{#N/A,#N/A,FALSE,"골재소요량";#N/A,#N/A,FALSE,"골재소요량"}</definedName>
    <definedName name="쇼ㅗㅓ" hidden="1">{#N/A,#N/A,FALSE,"골재소요량";#N/A,#N/A,FALSE,"골재소요량"}</definedName>
    <definedName name="수량" localSheetId="11" hidden="1">{#N/A,#N/A,FALSE,"포장단가"}</definedName>
    <definedName name="수량3" localSheetId="12" hidden="1">{#N/A,#N/A,FALSE,"포장단가"}</definedName>
    <definedName name="수량3" hidden="1">{#N/A,#N/A,FALSE,"포장단가"}</definedName>
    <definedName name="수량산출1" localSheetId="12">BlankMacro1</definedName>
    <definedName name="수량산출1" localSheetId="6">BlankMacro1</definedName>
    <definedName name="수량산출1">BlankMacro1</definedName>
    <definedName name="수량산출5" localSheetId="12">BlankMacro1</definedName>
    <definedName name="수량산출5" localSheetId="6">BlankMacro1</definedName>
    <definedName name="수량산출5">BlankMacro1</definedName>
    <definedName name="수량산출서표지" localSheetId="12">BlankMacro1</definedName>
    <definedName name="수량산출서표지" localSheetId="6">BlankMacro1</definedName>
    <definedName name="수량산출서표지">BlankMacro1</definedName>
    <definedName name="수량증감대비표">#N/A</definedName>
    <definedName name="수량집계" localSheetId="12">#N/A</definedName>
    <definedName name="수목자재">#N/A</definedName>
    <definedName name="수전단가대비" hidden="1">{#N/A,#N/A,FALSE,"조골재"}</definedName>
    <definedName name="순성토">#N/A</definedName>
    <definedName name="스텐레스판">2149455</definedName>
    <definedName name="승용교" localSheetId="12" hidden="1">{#N/A,#N/A,FALSE,"2~8번"}</definedName>
    <definedName name="승용교" hidden="1">{#N/A,#N/A,FALSE,"2~8번"}</definedName>
    <definedName name="시멘트" localSheetId="12">BlankMacro1</definedName>
    <definedName name="시멘트" localSheetId="6">BlankMacro1</definedName>
    <definedName name="시멘트">BlankMacro1</definedName>
    <definedName name="시멘트6" localSheetId="12">BlankMacro1</definedName>
    <definedName name="시멘트6" localSheetId="6">BlankMacro1</definedName>
    <definedName name="시멘트6">BlankMacro1</definedName>
    <definedName name="시멘트운반">#N/A</definedName>
    <definedName name="시발2" localSheetId="12">BlankMacro1</definedName>
    <definedName name="시발2" localSheetId="6">BlankMacro1</definedName>
    <definedName name="시발2">BlankMacro1</definedName>
    <definedName name="시중노임1">#N/A</definedName>
    <definedName name="시중단가" localSheetId="12" hidden="1">{"'단계별시설공사비'!$A$3:$K$51"}</definedName>
    <definedName name="시중단가" hidden="1">{"'단계별시설공사비'!$A$3:$K$51"}</definedName>
    <definedName name="식대">4000+1500*2</definedName>
    <definedName name="신축공사" localSheetId="12" hidden="1">{"'단계별시설공사비'!$A$3:$K$51"}</definedName>
    <definedName name="신축공사" hidden="1">{"'단계별시설공사비'!$A$3:$K$51"}</definedName>
    <definedName name="신호기">#N/A</definedName>
    <definedName name="신호등" localSheetId="12" hidden="1">{#N/A,#N/A,FALSE,"신청통보";#N/A,#N/A,FALSE,"기성확인서";#N/A,#N/A,FALSE,"기성내역서"}</definedName>
    <definedName name="실습동" localSheetId="12">BlankMacro1</definedName>
    <definedName name="실습동" localSheetId="6">BlankMacro1</definedName>
    <definedName name="실습동">BlankMacro1</definedName>
    <definedName name="실행" localSheetId="7" hidden="1">{#N/A,#N/A,FALSE,"일위대가목록"}</definedName>
    <definedName name="실행" localSheetId="4" hidden="1">{#N/A,#N/A,FALSE,"일위대가목록"}</definedName>
    <definedName name="실행" localSheetId="0" hidden="1">{#N/A,#N/A,FALSE,"일위대가목록"}</definedName>
    <definedName name="실행" hidden="1">{#N/A,#N/A,FALSE,"일위대가목록"}</definedName>
    <definedName name="실행대비" localSheetId="7" hidden="1">{#N/A,#N/A,FALSE,"설계내역서"}</definedName>
    <definedName name="실행대비" localSheetId="4" hidden="1">{#N/A,#N/A,FALSE,"설계내역서"}</definedName>
    <definedName name="실행대비" localSheetId="0" hidden="1">{#N/A,#N/A,FALSE,"설계내역서"}</definedName>
    <definedName name="실행대비" hidden="1">{#N/A,#N/A,FALSE,"설계내역서"}</definedName>
    <definedName name="실행변경3차">#N/A</definedName>
    <definedName name="십습동" localSheetId="12">BlankMacro1</definedName>
    <definedName name="십습동" localSheetId="6">BlankMacro1</definedName>
    <definedName name="십습동">BlankMacro1</definedName>
    <definedName name="싸" localSheetId="12" hidden="1">{#N/A,#N/A,FALSE,"골재소요량";#N/A,#N/A,FALSE,"골재소요량"}</definedName>
    <definedName name="싸" hidden="1">{#N/A,#N/A,FALSE,"골재소요량";#N/A,#N/A,FALSE,"골재소요량"}</definedName>
    <definedName name="싸이" localSheetId="12" hidden="1">{#N/A,#N/A,FALSE,"골재소요량";#N/A,#N/A,FALSE,"골재소요량"}</definedName>
    <definedName name="싸이" hidden="1">{#N/A,#N/A,FALSE,"골재소요량";#N/A,#N/A,FALSE,"골재소요량"}</definedName>
    <definedName name="쌍용정보" localSheetId="12">BlankMacro1</definedName>
    <definedName name="쌍용정보" localSheetId="6">BlankMacro1</definedName>
    <definedName name="쌍용정보">BlankMacro1</definedName>
    <definedName name="ㅇㄴㄹㄴㅇ" localSheetId="12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ㄹㄴㅇㄹ">#N/A</definedName>
    <definedName name="ㅇㄴㄹㄹㅇㄴㅇㄴㄹ" localSheetId="7" hidden="1">{#N/A,#N/A,FALSE,"전력간선"}</definedName>
    <definedName name="ㅇㄴㄹㄹㅇㄴㅇㄴㄹ" localSheetId="4" hidden="1">{#N/A,#N/A,FALSE,"전력간선"}</definedName>
    <definedName name="ㅇㄴㄹㄹㅇㄴㅇㄴㄹ" localSheetId="0" hidden="1">{#N/A,#N/A,FALSE,"전력간선"}</definedName>
    <definedName name="ㅇㄴㄹㄹㅇㄴㅇㄴㄹ" hidden="1">{#N/A,#N/A,FALSE,"전력간선"}</definedName>
    <definedName name="ㅇㄴㄹㅇㄴㄹㅇㄴ" localSheetId="12" hidden="1">{#N/A,#N/A,FALSE,"조골재"}</definedName>
    <definedName name="ㅇㄴㄹㅇㄴㄹㅇㄴ" localSheetId="11" hidden="1">{#N/A,#N/A,FALSE,"조골재"}</definedName>
    <definedName name="ㅇㄴㄹㅇㄴㄹㅇㄴ" localSheetId="7" hidden="1">{#N/A,#N/A,FALSE,"조골재"}</definedName>
    <definedName name="ㅇㄴㄹㅇㄴㄹㅇㄴ" localSheetId="9" hidden="1">{#N/A,#N/A,FALSE,"조골재"}</definedName>
    <definedName name="ㅇㄴㄹㅇㄴㄹㅇㄴ" localSheetId="4" hidden="1">{#N/A,#N/A,FALSE,"조골재"}</definedName>
    <definedName name="ㅇㄴㄹㅇㄴㄹㅇㄴ" localSheetId="0" hidden="1">{#N/A,#N/A,FALSE,"조골재"}</definedName>
    <definedName name="ㅇㄴㄹㅇㄴㄹㅇㄴ" hidden="1">{#N/A,#N/A,FALSE,"조골재"}</definedName>
    <definedName name="ㅇㄴㄻㅎㅈㄷㅈㄷㄴ" localSheetId="12" hidden="1">{"'Sheet1'!$D$19","'Sheet1'!$B$22:$E$22"}</definedName>
    <definedName name="ㅇㄴㄻㅎㅈㄷㅈㄷㄴ" hidden="1">{"'Sheet1'!$D$19","'Sheet1'!$B$22:$E$22"}</definedName>
    <definedName name="ㅇㄴㅀ" localSheetId="6">BlankMacro1</definedName>
    <definedName name="ㅇㄴㅀ">BlankMacro1</definedName>
    <definedName name="ㅇㄴㅁㄹㅇㄻㅇㄹㄴㅇ" localSheetId="12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ㄴㅁㅎ" localSheetId="12">BlankMacro1</definedName>
    <definedName name="ㅇㄴㅁㅎ" localSheetId="6">BlankMacro1</definedName>
    <definedName name="ㅇㄴㅁㅎ">BlankMacro1</definedName>
    <definedName name="ㅇㄴㅇㄴㅇㄴ">#N/A</definedName>
    <definedName name="ㅇㄴㅋㅋㅌ" localSheetId="12" hidden="1">{#N/A,#N/A,FALSE,"혼합골재"}</definedName>
    <definedName name="ㅇㄴㅋㅋㅌ" localSheetId="11" hidden="1">{#N/A,#N/A,FALSE,"혼합골재"}</definedName>
    <definedName name="ㅇㄴㅋㅋㅌ" localSheetId="7" hidden="1">{#N/A,#N/A,FALSE,"혼합골재"}</definedName>
    <definedName name="ㅇㄴㅋㅋㅌ" localSheetId="9" hidden="1">{#N/A,#N/A,FALSE,"혼합골재"}</definedName>
    <definedName name="ㅇㄴㅋㅋㅌ" localSheetId="4" hidden="1">{#N/A,#N/A,FALSE,"혼합골재"}</definedName>
    <definedName name="ㅇㄴㅋㅋㅌ" localSheetId="0" hidden="1">{#N/A,#N/A,FALSE,"혼합골재"}</definedName>
    <definedName name="ㅇㄴㅋㅋㅌ" hidden="1">{#N/A,#N/A,FALSE,"혼합골재"}</definedName>
    <definedName name="ㅇㄴㅍㄴㄱ" localSheetId="12" hidden="1">{#N/A,#N/A,FALSE,"골재소요량";#N/A,#N/A,FALSE,"골재소요량"}</definedName>
    <definedName name="ㅇㄴㅍㄴㄱ" localSheetId="11" hidden="1">{#N/A,#N/A,FALSE,"골재소요량";#N/A,#N/A,FALSE,"골재소요량"}</definedName>
    <definedName name="ㅇㄴㅍㄴㄱ" localSheetId="7" hidden="1">{#N/A,#N/A,FALSE,"골재소요량";#N/A,#N/A,FALSE,"골재소요량"}</definedName>
    <definedName name="ㅇㄴㅍㄴㄱ" localSheetId="9" hidden="1">{#N/A,#N/A,FALSE,"골재소요량";#N/A,#N/A,FALSE,"골재소요량"}</definedName>
    <definedName name="ㅇㄴㅍㄴㄱ" localSheetId="4" hidden="1">{#N/A,#N/A,FALSE,"골재소요량";#N/A,#N/A,FALSE,"골재소요량"}</definedName>
    <definedName name="ㅇㄴㅍㄴㄱ" localSheetId="0" hidden="1">{#N/A,#N/A,FALSE,"골재소요량";#N/A,#N/A,FALSE,"골재소요량"}</definedName>
    <definedName name="ㅇㄴㅍㄴㄱ" hidden="1">{#N/A,#N/A,FALSE,"골재소요량";#N/A,#N/A,FALSE,"골재소요량"}</definedName>
    <definedName name="ㅇㄶㄹㄷㄱㄹㅈ" localSheetId="12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12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12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돟ㅇ로" localSheetId="12">BlankMacro1</definedName>
    <definedName name="ㅇ돟ㅇ로" localSheetId="6">BlankMacro1</definedName>
    <definedName name="ㅇ돟ㅇ로">BlankMacro1</definedName>
    <definedName name="ㅇㄹ" localSheetId="12" hidden="1">{#N/A,#N/A,FALSE,"조골재"}</definedName>
    <definedName name="ㅇㄹ" localSheetId="11" hidden="1">{#N/A,#N/A,FALSE,"조골재"}</definedName>
    <definedName name="ㅇㄹㄴ" localSheetId="12" hidden="1">{#N/A,"수불부",FALSE,"사급자재수불서";#N/A,"수불부",FALSE,"사급자재수불서"}</definedName>
    <definedName name="ㅇㄹㄴ" localSheetId="11" hidden="1">{#N/A,"수불부",FALSE,"사급자재수불서";#N/A,"수불부",FALSE,"사급자재수불서"}</definedName>
    <definedName name="ㅇㄹㄴㄹ" localSheetId="12">BlankMacro1</definedName>
    <definedName name="ㅇㄹㄴㄹ" localSheetId="6">BlankMacro1</definedName>
    <definedName name="ㅇㄹㄴㄹ">BlankMacro1</definedName>
    <definedName name="ㅇㄹㄴㅁㅎㅁㄴ" localSheetId="12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ㅇ" localSheetId="12">BLCH</definedName>
    <definedName name="ㅇㄹㅇ" localSheetId="11">BLCH</definedName>
    <definedName name="ㅇㄹ허" localSheetId="12">BlankMacro1</definedName>
    <definedName name="ㅇㄹ허" localSheetId="6">BlankMacro1</definedName>
    <definedName name="ㅇㄹ허">BlankMacro1</definedName>
    <definedName name="ㅇ렇러" localSheetId="12">BlankMacro1</definedName>
    <definedName name="ㅇ렇러" localSheetId="6">BlankMacro1</definedName>
    <definedName name="ㅇ렇러">BlankMacro1</definedName>
    <definedName name="ㅇ렇ㅇ" localSheetId="12">BlankMacro1</definedName>
    <definedName name="ㅇ렇ㅇ" localSheetId="6">BlankMacro1</definedName>
    <definedName name="ㅇ렇ㅇ">BlankMacro1</definedName>
    <definedName name="ㅇㄺ" localSheetId="12" hidden="1">{#N/A,#N/A,FALSE,"혼합골재"}</definedName>
    <definedName name="ㅇㄺ" localSheetId="11" hidden="1">{#N/A,#N/A,FALSE,"혼합골재"}</definedName>
    <definedName name="ㅇㄺ" localSheetId="7" hidden="1">{#N/A,#N/A,FALSE,"혼합골재"}</definedName>
    <definedName name="ㅇㄺ" localSheetId="9" hidden="1">{#N/A,#N/A,FALSE,"혼합골재"}</definedName>
    <definedName name="ㅇㄺ" localSheetId="4" hidden="1">{#N/A,#N/A,FALSE,"혼합골재"}</definedName>
    <definedName name="ㅇㄺ" localSheetId="0" hidden="1">{#N/A,#N/A,FALSE,"혼합골재"}</definedName>
    <definedName name="ㅇㄺ" hidden="1">{#N/A,#N/A,FALSE,"혼합골재"}</definedName>
    <definedName name="ㅇㄻㄴㄹ" localSheetId="12">BlankMacro1</definedName>
    <definedName name="ㅇㄻㄴㄹ" localSheetId="6">BlankMacro1</definedName>
    <definedName name="ㅇㄻㄴㄹ">BlankMacro1</definedName>
    <definedName name="ㅇㄻㄴㅀ" localSheetId="12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ㄻㅁㅎ" localSheetId="12" hidden="1">{#N/A,#N/A,FALSE,"골재소요량";#N/A,#N/A,FALSE,"골재소요량"}</definedName>
    <definedName name="ㅇㄻㅁㅎ" hidden="1">{#N/A,#N/A,FALSE,"골재소요량";#N/A,#N/A,FALSE,"골재소요량"}</definedName>
    <definedName name="ㅇㅀㄴ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ㅇㅀㄴ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ㅇㅁㄶㄴㅇㅁㅀㅇㄴ" localSheetId="12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쇼뉴굔" localSheetId="12" hidden="1">{#N/A,#N/A,FALSE,"조골재"}</definedName>
    <definedName name="ㅇ쇼뉴굔" localSheetId="11" hidden="1">{#N/A,#N/A,FALSE,"조골재"}</definedName>
    <definedName name="ㅇ쇼뉴굔" localSheetId="7" hidden="1">{#N/A,#N/A,FALSE,"조골재"}</definedName>
    <definedName name="ㅇ쇼뉴굔" localSheetId="9" hidden="1">{#N/A,#N/A,FALSE,"조골재"}</definedName>
    <definedName name="ㅇ쇼뉴굔" localSheetId="4" hidden="1">{#N/A,#N/A,FALSE,"조골재"}</definedName>
    <definedName name="ㅇ쇼뉴굔" localSheetId="0" hidden="1">{#N/A,#N/A,FALSE,"조골재"}</definedName>
    <definedName name="ㅇ쇼뉴굔" hidden="1">{#N/A,#N/A,FALSE,"조골재"}</definedName>
    <definedName name="ㅇ수ㅕㅜㅇ" localSheetId="12" hidden="1">{#N/A,#N/A,FALSE,"단가표지"}</definedName>
    <definedName name="ㅇ수ㅕㅜㅇ" localSheetId="11" hidden="1">{#N/A,#N/A,FALSE,"단가표지"}</definedName>
    <definedName name="ㅇ수ㅕㅜㅇ" localSheetId="7" hidden="1">{#N/A,#N/A,FALSE,"단가표지"}</definedName>
    <definedName name="ㅇ수ㅕㅜㅇ" localSheetId="9" hidden="1">{#N/A,#N/A,FALSE,"단가표지"}</definedName>
    <definedName name="ㅇ수ㅕㅜㅇ" localSheetId="4" hidden="1">{#N/A,#N/A,FALSE,"단가표지"}</definedName>
    <definedName name="ㅇ수ㅕㅜㅇ" localSheetId="0" hidden="1">{#N/A,#N/A,FALSE,"단가표지"}</definedName>
    <definedName name="ㅇ수ㅕㅜㅇ" hidden="1">{#N/A,#N/A,FALSE,"단가표지"}</definedName>
    <definedName name="ㅇㅇ" localSheetId="11" hidden="1">{#N/A,#N/A,FALSE,"포장단가"}</definedName>
    <definedName name="ㅇㅇ" localSheetId="9">BlankMacro1</definedName>
    <definedName name="ㅇㅇ" hidden="1">{#N/A,#N/A,FALSE,"구조2"}</definedName>
    <definedName name="ㅇㅇㄹㄹㅇ" localSheetId="7" hidden="1">{#N/A,#N/A,FALSE,"전력간선"}</definedName>
    <definedName name="ㅇㅇㄹㄹㅇ" localSheetId="4" hidden="1">{#N/A,#N/A,FALSE,"전력간선"}</definedName>
    <definedName name="ㅇㅇㄹㄹㅇ" localSheetId="0" hidden="1">{#N/A,#N/A,FALSE,"전력간선"}</definedName>
    <definedName name="ㅇㅇㄹㄹㅇ" hidden="1">{#N/A,#N/A,FALSE,"전력간선"}</definedName>
    <definedName name="ㅇㅇㅇㅇ" localSheetId="12" hidden="1">{#N/A,#N/A,FALSE,"포장단가"}</definedName>
    <definedName name="ㅇㅇㅇㅇ" localSheetId="11" hidden="1">{#N/A,#N/A,FALSE,"포장단가"}</definedName>
    <definedName name="ㅇㅇㅇㅇ" localSheetId="7" hidden="1">{#N/A,#N/A,FALSE,"2~8번"}</definedName>
    <definedName name="ㅇㅇㅇㅇ" localSheetId="9" hidden="1">{#N/A,#N/A,FALSE,"2~8번"}</definedName>
    <definedName name="ㅇㅇㅇㅇ" localSheetId="4" hidden="1">{#N/A,#N/A,FALSE,"2~8번"}</definedName>
    <definedName name="ㅇㅇㅇㅇ" localSheetId="0" hidden="1">{#N/A,#N/A,FALSE,"2~8번"}</definedName>
    <definedName name="ㅇㅇㅇㅇ" hidden="1">{#N/A,#N/A,FALSE,"2~8번"}</definedName>
    <definedName name="ㅇㅇㅇㅇㅇ" hidden="1">{#N/A,#N/A,FALSE,"포장단가"}</definedName>
    <definedName name="ㅇㅇㅇㅇㅇㅇㅇㅇㅇ" localSheetId="7" hidden="1">{#N/A,#N/A,FALSE,"단가표지"}</definedName>
    <definedName name="ㅇㅇㅇㅇㅇㅇㅇㅇㅇ" localSheetId="4" hidden="1">{#N/A,#N/A,FALSE,"단가표지"}</definedName>
    <definedName name="ㅇㅇㅇㅇㅇㅇㅇㅇㅇ" localSheetId="0" hidden="1">{#N/A,#N/A,FALSE,"단가표지"}</definedName>
    <definedName name="ㅇㅇㅇㅇㅇㅇㅇㅇㅇ" hidden="1">{#N/A,#N/A,FALSE,"단가표지"}</definedName>
    <definedName name="ㅇㅇㅇㅇㅇㅇㅇㅇㅇㅇ" localSheetId="12">'4월 신분증 및 통장사본'!ㅇㅇㅇㅇㅇㅇㅇㅇㅇㅇ</definedName>
    <definedName name="ㅇㅍㄴㅁ3" localSheetId="12" hidden="1">{#N/A,#N/A,FALSE,"조골재"}</definedName>
    <definedName name="ㅇㅍㄴㅁ3" localSheetId="11" hidden="1">{#N/A,#N/A,FALSE,"조골재"}</definedName>
    <definedName name="ㅇㅍㄴㅁ3" localSheetId="7" hidden="1">{#N/A,#N/A,FALSE,"조골재"}</definedName>
    <definedName name="ㅇㅍㄴㅁ3" localSheetId="9" hidden="1">{#N/A,#N/A,FALSE,"조골재"}</definedName>
    <definedName name="ㅇㅍㄴㅁ3" localSheetId="4" hidden="1">{#N/A,#N/A,FALSE,"조골재"}</definedName>
    <definedName name="ㅇㅍㄴㅁ3" localSheetId="0" hidden="1">{#N/A,#N/A,FALSE,"조골재"}</definedName>
    <definedName name="ㅇㅍㄴㅁ3" hidden="1">{#N/A,#N/A,FALSE,"조골재"}</definedName>
    <definedName name="ㅇㅎ" localSheetId="12" hidden="1">{"'제조(순번)'!$A$386:$A$387","'제조(순번)'!$A$1:$H$399"}</definedName>
    <definedName name="ㅇㅎ" hidden="1">{"'제조(순번)'!$A$386:$A$387","'제조(순번)'!$A$1:$H$399"}</definedName>
    <definedName name="ㅇㅎㅁㅇㅎㄴㅇㅁ" localSheetId="12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늘믿" localSheetId="12">BlankMacro1</definedName>
    <definedName name="아늘믿" localSheetId="6">BlankMacro1</definedName>
    <definedName name="아늘믿">BlankMacro1</definedName>
    <definedName name="아니" localSheetId="12">BlankMacro1</definedName>
    <definedName name="아니" localSheetId="6">BlankMacro1</definedName>
    <definedName name="아니">BlankMacro1</definedName>
    <definedName name="아다" localSheetId="12">BlankMacro1</definedName>
    <definedName name="아다" localSheetId="6">BlankMacro1</definedName>
    <definedName name="아다">BlankMacro1</definedName>
    <definedName name="아디" localSheetId="12">BlankMacro1</definedName>
    <definedName name="아디" localSheetId="6">BlankMacro1</definedName>
    <definedName name="아디">BlankMacro1</definedName>
    <definedName name="아랑러ㅏㅇㄴㄹ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아랑러ㅏㅇㄴㄹ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아러ㅏ러" localSheetId="12" hidden="1">{"'Firr(선)'!$AS$1:$AY$62","'Firr(사)'!$AS$1:$AY$62","'Firr(회)'!$AS$1:$AY$62","'Firr(선)'!$L$1:$V$62","'Firr(사)'!$L$1:$V$62","'Firr(회)'!$L$1:$V$62"}</definedName>
    <definedName name="아러ㅏ러" hidden="1">{"'Firr(선)'!$AS$1:$AY$62","'Firr(사)'!$AS$1:$AY$62","'Firr(회)'!$AS$1:$AY$62","'Firr(선)'!$L$1:$V$62","'Firr(사)'!$L$1:$V$62","'Firr(회)'!$L$1:$V$62"}</definedName>
    <definedName name="아서" localSheetId="12">BlankMacro1</definedName>
    <definedName name="아서" localSheetId="6">BlankMacro1</definedName>
    <definedName name="아서">BlankMacro1</definedName>
    <definedName name="아아" localSheetId="7" hidden="1">{#N/A,#N/A,FALSE,"조골재"}</definedName>
    <definedName name="아아" localSheetId="4" hidden="1">{#N/A,#N/A,FALSE,"조골재"}</definedName>
    <definedName name="아아" localSheetId="0" hidden="1">{#N/A,#N/A,FALSE,"조골재"}</definedName>
    <definedName name="아아" hidden="1">{#N/A,#N/A,FALSE,"조골재"}</definedName>
    <definedName name="아처">17443</definedName>
    <definedName name="아침" localSheetId="12" hidden="1">{#N/A,#N/A,FALSE,"단면 제원"}</definedName>
    <definedName name="아침" hidden="1">{#N/A,#N/A,FALSE,"단면 제원"}</definedName>
    <definedName name="아ㅏ" localSheetId="12" hidden="1">{#N/A,#N/A,FALSE,"조골재"}</definedName>
    <definedName name="아ㅏ" hidden="1">{#N/A,#N/A,FALSE,"조골재"}</definedName>
    <definedName name="안전점검을" localSheetId="12" hidden="1">{#N/A,#N/A,FALSE,"결의서";#N/A,#N/A,FALSE,"내역서";#N/A,#N/A,FALSE,"도급예상";#N/A,#N/A,FALSE,"시방서"}</definedName>
    <definedName name="안전점검을" hidden="1">{#N/A,#N/A,FALSE,"결의서";#N/A,#N/A,FALSE,"내역서";#N/A,#N/A,FALSE,"도급예상";#N/A,#N/A,FALSE,"시방서"}</definedName>
    <definedName name="암거수량총괄집계" localSheetId="6">BlankMacro1</definedName>
    <definedName name="암거수량총괄집계">BlankMacro1</definedName>
    <definedName name="야" localSheetId="12">BlankMacro1</definedName>
    <definedName name="야" localSheetId="6">BlankMacro1</definedName>
    <definedName name="야">BlankMacro1</definedName>
    <definedName name="어" localSheetId="12">#N/A</definedName>
    <definedName name="어랑너ㅣㄹㄴㅇ" localSheetId="12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여ㅜㅅㅅㄱㅇ" localSheetId="12" hidden="1">{#N/A,#N/A,FALSE,"골재소요량";#N/A,#N/A,FALSE,"골재소요량"}</definedName>
    <definedName name="여ㅜㅅㅅㄱㅇ" localSheetId="11" hidden="1">{#N/A,#N/A,FALSE,"골재소요량";#N/A,#N/A,FALSE,"골재소요량"}</definedName>
    <definedName name="여ㅜㅅㅅㄱㅇ" localSheetId="7" hidden="1">{#N/A,#N/A,FALSE,"골재소요량";#N/A,#N/A,FALSE,"골재소요량"}</definedName>
    <definedName name="여ㅜㅅㅅㄱㅇ" localSheetId="9" hidden="1">{#N/A,#N/A,FALSE,"골재소요량";#N/A,#N/A,FALSE,"골재소요량"}</definedName>
    <definedName name="여ㅜㅅㅅㄱㅇ" localSheetId="4" hidden="1">{#N/A,#N/A,FALSE,"골재소요량";#N/A,#N/A,FALSE,"골재소요량"}</definedName>
    <definedName name="여ㅜㅅㅅㄱㅇ" localSheetId="0" hidden="1">{#N/A,#N/A,FALSE,"골재소요량";#N/A,#N/A,FALSE,"골재소요량"}</definedName>
    <definedName name="여ㅜㅅㅅㄱㅇ" hidden="1">{#N/A,#N/A,FALSE,"골재소요량";#N/A,#N/A,FALSE,"골재소요량"}</definedName>
    <definedName name="연결관집계표" localSheetId="12">BlankMacro1</definedName>
    <definedName name="연결관집계표" localSheetId="6">BlankMacro1</definedName>
    <definedName name="연결관집계표">BlankMacro1</definedName>
    <definedName name="연결단위1" localSheetId="12" hidden="1">{#N/A,#N/A,FALSE,"골재소요량";#N/A,#N/A,FALSE,"골재소요량"}</definedName>
    <definedName name="연결단위1" hidden="1">{#N/A,#N/A,FALSE,"골재소요량";#N/A,#N/A,FALSE,"골재소요량"}</definedName>
    <definedName name="연경1교" localSheetId="12" hidden="1">{#N/A,#N/A,FALSE,"단면 제원"}</definedName>
    <definedName name="연경1교" hidden="1">{#N/A,#N/A,FALSE,"단면 제원"}</definedName>
    <definedName name="연경1교1" localSheetId="12" hidden="1">{#N/A,#N/A,FALSE,"단면 제원"}</definedName>
    <definedName name="연경1교1" hidden="1">{#N/A,#N/A,FALSE,"단면 제원"}</definedName>
    <definedName name="연접물량">#N/A</definedName>
    <definedName name="연집계" localSheetId="12">BlankMacro1</definedName>
    <definedName name="연집계" localSheetId="6">BlankMacro1</definedName>
    <definedName name="연집계">BlankMacro1</definedName>
    <definedName name="영" localSheetId="12" hidden="1">{#N/A,#N/A,FALSE,"신청통보";#N/A,#N/A,FALSE,"기성확인서";#N/A,#N/A,FALSE,"기성내역서"}</definedName>
    <definedName name="영" hidden="1">{#N/A,#N/A,FALSE,"신청통보";#N/A,#N/A,FALSE,"기성확인서";#N/A,#N/A,FALSE,"기성내역서"}</definedName>
    <definedName name="예" localSheetId="6">BlankMacro1</definedName>
    <definedName name="예">BlankMacro1</definedName>
    <definedName name="예산서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오" localSheetId="7" hidden="1">{#N/A,#N/A,FALSE,"표지목차"}</definedName>
    <definedName name="오" localSheetId="4" hidden="1">{#N/A,#N/A,FALSE,"표지목차"}</definedName>
    <definedName name="오" localSheetId="0" hidden="1">{#N/A,#N/A,FALSE,"표지목차"}</definedName>
    <definedName name="오" hidden="1">{#N/A,#N/A,FALSE,"표지목차"}</definedName>
    <definedName name="오." localSheetId="7" hidden="1">{#N/A,#N/A,FALSE,"혼합골재"}</definedName>
    <definedName name="오." localSheetId="4" hidden="1">{#N/A,#N/A,FALSE,"혼합골재"}</definedName>
    <definedName name="오." localSheetId="0" hidden="1">{#N/A,#N/A,FALSE,"혼합골재"}</definedName>
    <definedName name="오." hidden="1">{#N/A,#N/A,FALSE,"혼합골재"}</definedName>
    <definedName name="오리지널" localSheetId="7" hidden="1">{#N/A,#N/A,FALSE,"토공2"}</definedName>
    <definedName name="오리지널" localSheetId="4" hidden="1">{#N/A,#N/A,FALSE,"토공2"}</definedName>
    <definedName name="오리지널" localSheetId="0" hidden="1">{#N/A,#N/A,FALSE,"토공2"}</definedName>
    <definedName name="오리지널" hidden="1">{#N/A,#N/A,FALSE,"토공2"}</definedName>
    <definedName name="오수관로연장조서2" localSheetId="12" hidden="1">{#N/A,#N/A,FALSE,"운반시간"}</definedName>
    <definedName name="오수관로연장조서2" hidden="1">{#N/A,#N/A,FALSE,"운반시간"}</definedName>
    <definedName name="오오오" localSheetId="12">#N/A</definedName>
    <definedName name="오오오" localSheetId="11">#N/A</definedName>
    <definedName name="오폐수시설" localSheetId="12" hidden="1">{#N/A,#N/A,FALSE,"명세표"}</definedName>
    <definedName name="오폐수시설" hidden="1">{#N/A,#N/A,FALSE,"명세표"}</definedName>
    <definedName name="옹" localSheetId="12" hidden="1">{#N/A,#N/A,FALSE,"골재소요량";#N/A,#N/A,FALSE,"골재소요량"}</definedName>
    <definedName name="옹" hidden="1">{#N/A,#N/A,FALSE,"골재소요량";#N/A,#N/A,FALSE,"골재소요량"}</definedName>
    <definedName name="옹벼집계" localSheetId="12" hidden="1">{#N/A,#N/A,FALSE,"혼합골재"}</definedName>
    <definedName name="옹벼집계" localSheetId="11" hidden="1">{#N/A,#N/A,FALSE,"혼합골재"}</definedName>
    <definedName name="옹벼집계" localSheetId="7" hidden="1">{#N/A,#N/A,FALSE,"혼합골재"}</definedName>
    <definedName name="옹벼집계" localSheetId="9" hidden="1">{#N/A,#N/A,FALSE,"혼합골재"}</definedName>
    <definedName name="옹벼집계" localSheetId="4" hidden="1">{#N/A,#N/A,FALSE,"혼합골재"}</definedName>
    <definedName name="옹벼집계" localSheetId="0" hidden="1">{#N/A,#N/A,FALSE,"혼합골재"}</definedName>
    <definedName name="옹벼집계" hidden="1">{#N/A,#N/A,FALSE,"혼합골재"}</definedName>
    <definedName name="옹벽" localSheetId="12" hidden="1">{#N/A,#N/A,FALSE,"혼합골재"}</definedName>
    <definedName name="옹벽" localSheetId="11" hidden="1">{#N/A,#N/A,FALSE,"혼합골재"}</definedName>
    <definedName name="옹벽" localSheetId="7" hidden="1">{#N/A,#N/A,FALSE,"표지목차"}</definedName>
    <definedName name="옹벽" localSheetId="9" hidden="1">{#N/A,#N/A,FALSE,"표지목차"}</definedName>
    <definedName name="옹벽" localSheetId="4" hidden="1">{#N/A,#N/A,FALSE,"표지목차"}</definedName>
    <definedName name="옹벽" localSheetId="0" hidden="1">{#N/A,#N/A,FALSE,"표지목차"}</definedName>
    <definedName name="옹벽" hidden="1">{#N/A,#N/A,FALSE,"표지목차"}</definedName>
    <definedName name="옹벽수량집계표" localSheetId="12" hidden="1">{#N/A,#N/A,FALSE,"2~8번"}</definedName>
    <definedName name="옹벽수량집계표" hidden="1">{#N/A,#N/A,FALSE,"2~8번"}</definedName>
    <definedName name="옹벽수량집계표총괄" localSheetId="12" hidden="1">{#N/A,#N/A,FALSE,"혼합골재"}</definedName>
    <definedName name="옹벽수량집계표총괄" hidden="1">{#N/A,#N/A,FALSE,"혼합골재"}</definedName>
    <definedName name="옹벽지" localSheetId="12" hidden="1">{#N/A,#N/A,FALSE,"혼합골재"}</definedName>
    <definedName name="옹벽지" localSheetId="11" hidden="1">{#N/A,#N/A,FALSE,"혼합골재"}</definedName>
    <definedName name="옹벽지" localSheetId="7" hidden="1">{#N/A,#N/A,FALSE,"혼합골재"}</definedName>
    <definedName name="옹벽지" localSheetId="9" hidden="1">{#N/A,#N/A,FALSE,"혼합골재"}</definedName>
    <definedName name="옹벽지" localSheetId="4" hidden="1">{#N/A,#N/A,FALSE,"혼합골재"}</definedName>
    <definedName name="옹벽지" localSheetId="0" hidden="1">{#N/A,#N/A,FALSE,"혼합골재"}</definedName>
    <definedName name="옹벽지" hidden="1">{#N/A,#N/A,FALSE,"혼합골재"}</definedName>
    <definedName name="요" localSheetId="12">BlankMacro1</definedName>
    <definedName name="요" localSheetId="6">BlankMacro1</definedName>
    <definedName name="요">BlankMacro1</definedName>
    <definedName name="우가">#N/A</definedName>
    <definedName name="우배수수량표" localSheetId="12">BlankMacro1</definedName>
    <definedName name="우배수수량표" localSheetId="6">BlankMacro1</definedName>
    <definedName name="우배수수량표">BlankMacro1</definedName>
    <definedName name="우수받이" localSheetId="12">BlankMacro1</definedName>
    <definedName name="우수받이" localSheetId="6">BlankMacro1</definedName>
    <definedName name="우수받이">BlankMacro1</definedName>
    <definedName name="우수받이위치조서" localSheetId="7" hidden="1">{#N/A,#N/A,FALSE,"단가표지"}</definedName>
    <definedName name="우수받이위치조서" localSheetId="4" hidden="1">{#N/A,#N/A,FALSE,"단가표지"}</definedName>
    <definedName name="우수받이위치조서" localSheetId="0" hidden="1">{#N/A,#N/A,FALSE,"단가표지"}</definedName>
    <definedName name="우수받이위치조서" hidden="1">{#N/A,#N/A,FALSE,"단가표지"}</definedName>
    <definedName name="우수원형맨홀단위수량" localSheetId="7" hidden="1">{#N/A,#N/A,FALSE,"단가표지"}</definedName>
    <definedName name="우수원형맨홀단위수량" localSheetId="4" hidden="1">{#N/A,#N/A,FALSE,"단가표지"}</definedName>
    <definedName name="우수원형맨홀단위수량" localSheetId="0" hidden="1">{#N/A,#N/A,FALSE,"단가표지"}</definedName>
    <definedName name="우수원형맨홀단위수량" hidden="1">{#N/A,#N/A,FALSE,"단가표지"}</definedName>
    <definedName name="웃ㅇ국ㅇ" localSheetId="12" hidden="1">{#N/A,#N/A,FALSE,"혼합골재"}</definedName>
    <definedName name="웃ㅇ국ㅇ" localSheetId="11" hidden="1">{#N/A,#N/A,FALSE,"혼합골재"}</definedName>
    <definedName name="웃ㅇ국ㅇ" localSheetId="7" hidden="1">{#N/A,#N/A,FALSE,"혼합골재"}</definedName>
    <definedName name="웃ㅇ국ㅇ" localSheetId="9" hidden="1">{#N/A,#N/A,FALSE,"혼합골재"}</definedName>
    <definedName name="웃ㅇ국ㅇ" localSheetId="4" hidden="1">{#N/A,#N/A,FALSE,"혼합골재"}</definedName>
    <definedName name="웃ㅇ국ㅇ" localSheetId="0" hidden="1">{#N/A,#N/A,FALSE,"혼합골재"}</definedName>
    <definedName name="웃ㅇ국ㅇ" hidden="1">{#N/A,#N/A,FALSE,"혼합골재"}</definedName>
    <definedName name="원가1" localSheetId="12" hidden="1">{#N/A,#N/A,FALSE,"현장 NCR 분석";#N/A,#N/A,FALSE,"현장품질감사";#N/A,#N/A,FALSE,"현장품질감사"}</definedName>
    <definedName name="원가1" hidden="1">{#N/A,#N/A,FALSE,"현장 NCR 분석";#N/A,#N/A,FALSE,"현장품질감사";#N/A,#N/A,FALSE,"현장품질감사"}</definedName>
    <definedName name="원가계산" localSheetId="12">#N/A</definedName>
    <definedName name="원가계산11">#N/A</definedName>
    <definedName name="원가계산창" localSheetId="12">#N/A</definedName>
    <definedName name="원가계산창" localSheetId="11">#N/A</definedName>
    <definedName name="위치" localSheetId="12">#N/A</definedName>
    <definedName name="위치">#N/A</definedName>
    <definedName name="유동">#N/A</definedName>
    <definedName name="유동표" localSheetId="12">#N/A</definedName>
    <definedName name="유지보수용">#N/A</definedName>
    <definedName name="이가" localSheetId="12" hidden="1">{"'Firr(선)'!$AS$1:$AY$62","'Firr(사)'!$AS$1:$AY$62","'Firr(회)'!$AS$1:$AY$62","'Firr(선)'!$L$1:$V$62","'Firr(사)'!$L$1:$V$62","'Firr(회)'!$L$1:$V$62"}</definedName>
    <definedName name="이가" hidden="1">{"'Firr(선)'!$AS$1:$AY$62","'Firr(사)'!$AS$1:$AY$62","'Firr(회)'!$AS$1:$AY$62","'Firr(선)'!$L$1:$V$62","'Firr(사)'!$L$1:$V$62","'Firr(회)'!$L$1:$V$62"}</definedName>
    <definedName name="이광훈11" localSheetId="12" hidden="1">{#N/A,#N/A,FALSE,"명세표"}</definedName>
    <definedName name="이광훈11" hidden="1">{#N/A,#N/A,FALSE,"명세표"}</definedName>
    <definedName name="이광훈13">#N/A</definedName>
    <definedName name="이광훈15" localSheetId="12" hidden="1">{#N/A,#N/A,FALSE,"명세표"}</definedName>
    <definedName name="이광훈15" hidden="1">{#N/A,#N/A,FALSE,"명세표"}</definedName>
    <definedName name="이광훈16" localSheetId="12" hidden="1">{#N/A,#N/A,FALSE,"명세표"}</definedName>
    <definedName name="이광훈16" hidden="1">{#N/A,#N/A,FALSE,"명세표"}</definedName>
    <definedName name="이광훈17" localSheetId="12" hidden="1">{#N/A,#N/A,FALSE,"명세표"}</definedName>
    <definedName name="이광훈17" hidden="1">{#N/A,#N/A,FALSE,"명세표"}</definedName>
    <definedName name="이광훈18" localSheetId="12" hidden="1">{#N/A,#N/A,FALSE,"명세표"}</definedName>
    <definedName name="이광훈18" hidden="1">{#N/A,#N/A,FALSE,"명세표"}</definedName>
    <definedName name="이광훈2" localSheetId="12" hidden="1">{#N/A,#N/A,FALSE,"명세표"}</definedName>
    <definedName name="이광훈2" hidden="1">{#N/A,#N/A,FALSE,"명세표"}</definedName>
    <definedName name="이광훈20" localSheetId="12" hidden="1">{#N/A,#N/A,FALSE,"명세표"}</definedName>
    <definedName name="이광훈20" hidden="1">{#N/A,#N/A,FALSE,"명세표"}</definedName>
    <definedName name="이광훈21" localSheetId="12" hidden="1">{#N/A,#N/A,FALSE,"명세표"}</definedName>
    <definedName name="이광훈21" hidden="1">{#N/A,#N/A,FALSE,"명세표"}</definedName>
    <definedName name="이광훈22" localSheetId="12" hidden="1">{#N/A,#N/A,FALSE,"명세표"}</definedName>
    <definedName name="이광훈22" hidden="1">{#N/A,#N/A,FALSE,"명세표"}</definedName>
    <definedName name="이광훈23" localSheetId="12" hidden="1">{#N/A,#N/A,FALSE,"명세표"}</definedName>
    <definedName name="이광훈23" hidden="1">{#N/A,#N/A,FALSE,"명세표"}</definedName>
    <definedName name="이광훈24" localSheetId="12" hidden="1">{#N/A,#N/A,FALSE,"명세표"}</definedName>
    <definedName name="이광훈24" hidden="1">{#N/A,#N/A,FALSE,"명세표"}</definedName>
    <definedName name="이광훈3">#N/A</definedName>
    <definedName name="이광훈4" localSheetId="12" hidden="1">{#N/A,#N/A,FALSE,"명세표"}</definedName>
    <definedName name="이광훈4" hidden="1">{#N/A,#N/A,FALSE,"명세표"}</definedName>
    <definedName name="이광훈5">#N/A</definedName>
    <definedName name="이광훈6" localSheetId="12" hidden="1">{#N/A,#N/A,FALSE,"명세표"}</definedName>
    <definedName name="이광훈6" hidden="1">{#N/A,#N/A,FALSE,"명세표"}</definedName>
    <definedName name="이광훈7" localSheetId="12" hidden="1">{#N/A,#N/A,FALSE,"명세표"}</definedName>
    <definedName name="이광훈7" hidden="1">{#N/A,#N/A,FALSE,"명세표"}</definedName>
    <definedName name="이광훈8" localSheetId="12" hidden="1">{#N/A,#N/A,FALSE,"명세표"}</definedName>
    <definedName name="이광훈8" hidden="1">{#N/A,#N/A,FALSE,"명세표"}</definedName>
    <definedName name="이광훈9" localSheetId="12" hidden="1">{#N/A,#N/A,FALSE,"명세표"}</definedName>
    <definedName name="이광훈9" hidden="1">{#N/A,#N/A,FALSE,"명세표"}</definedName>
    <definedName name="이력서" localSheetId="12" hidden="1">{#N/A,#N/A,FALSE,"구조2"}</definedName>
    <definedName name="이력서" hidden="1">{#N/A,#N/A,FALSE,"구조2"}</definedName>
    <definedName name="이름1">#N/A</definedName>
    <definedName name="이름ㅇㅇ" localSheetId="12" hidden="1">{#N/A,#N/A,FALSE,"포장단가"}</definedName>
    <definedName name="이름ㅇㅇ" hidden="1">{#N/A,#N/A,FALSE,"포장단가"}</definedName>
    <definedName name="이정" localSheetId="12" hidden="1">{#N/A,#N/A,FALSE,"2~8번"}</definedName>
    <definedName name="이정" hidden="1">{#N/A,#N/A,FALSE,"2~8번"}</definedName>
    <definedName name="이천순복음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이형철근">266523</definedName>
    <definedName name="이ㅓㅏ" localSheetId="12">BlankMacro1</definedName>
    <definedName name="이ㅓㅏ" localSheetId="6">BlankMacro1</definedName>
    <definedName name="이ㅓㅏ">BlankMacro1</definedName>
    <definedName name="인상익" localSheetId="12">BlankMacro1</definedName>
    <definedName name="인상익" localSheetId="6">BlankMacro1</definedName>
    <definedName name="인상익">BlankMacro1</definedName>
    <definedName name="인쇄양식">#N/A</definedName>
    <definedName name="인쇄양식1">#N/A</definedName>
    <definedName name="인천지검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일반" localSheetId="12">#N/A</definedName>
    <definedName name="일반부" localSheetId="12" hidden="1">{#N/A,#N/A,FALSE,"조골재"}</definedName>
    <definedName name="일반부" hidden="1">{#N/A,#N/A,FALSE,"조골재"}</definedName>
    <definedName name="일산사업팀" localSheetId="12">BlankMacro1</definedName>
    <definedName name="일산사업팀" localSheetId="6">BlankMacro1</definedName>
    <definedName name="일산사업팀">BlankMacro1</definedName>
    <definedName name="임시1" localSheetId="12" hidden="1">{#N/A,#N/A,FALSE,"전력간선"}</definedName>
    <definedName name="임시1" hidden="1">{#N/A,#N/A,FALSE,"전력간선"}</definedName>
    <definedName name="임시2" localSheetId="12" hidden="1">{#N/A,#N/A,FALSE,"전력간선"}</definedName>
    <definedName name="임시2" hidden="1">{#N/A,#N/A,FALSE,"전력간선"}</definedName>
    <definedName name="입력DATA" localSheetId="12" hidden="1">{#N/A,#N/A,FALSE,"단면 제원"}</definedName>
    <definedName name="입력DATA" hidden="1">{#N/A,#N/A,FALSE,"단면 제원"}</definedName>
    <definedName name="ㅈ" localSheetId="7" hidden="1">{#N/A,#N/A,FALSE,"골재소요량";#N/A,#N/A,FALSE,"골재소요량"}</definedName>
    <definedName name="ㅈ" localSheetId="9" hidden="1">{#N/A,#N/A,FALSE,"골재소요량";#N/A,#N/A,FALSE,"골재소요량"}</definedName>
    <definedName name="ㅈ" localSheetId="4" hidden="1">{#N/A,#N/A,FALSE,"골재소요량";#N/A,#N/A,FALSE,"골재소요량"}</definedName>
    <definedName name="ㅈ" localSheetId="0" hidden="1">{#N/A,#N/A,FALSE,"골재소요량";#N/A,#N/A,FALSE,"골재소요량"}</definedName>
    <definedName name="ㅈ" hidden="1">{#N/A,#N/A,FALSE,"골재소요량";#N/A,#N/A,FALSE,"골재소요량"}</definedName>
    <definedName name="ㅈ3ㅈㅈㄷㅈㅇ" localSheetId="12">BlankMacro1</definedName>
    <definedName name="ㅈ3ㅈㅈㄷㅈㅇ" localSheetId="6">BlankMacro1</definedName>
    <definedName name="ㅈ3ㅈㅈㄷㅈㅇ">BlankMacro1</definedName>
    <definedName name="ㅈㄱ" localSheetId="12" hidden="1">{#N/A,#N/A,FALSE,"조골재"}</definedName>
    <definedName name="ㅈㄱ" hidden="1">{#N/A,#N/A,FALSE,"조골재"}</definedName>
    <definedName name="ㅈㄱ됴" localSheetId="12">BlankMacro1</definedName>
    <definedName name="ㅈㄱ됴" localSheetId="6">BlankMacro1</definedName>
    <definedName name="ㅈㄱ됴">BlankMacro1</definedName>
    <definedName name="ㅈㄳ퓨ㅠㅠㄺ퓰" localSheetId="7" hidden="1">{#N/A,#N/A,FALSE,"포장단가"}</definedName>
    <definedName name="ㅈㄳ퓨ㅠㅠㄺ퓰" localSheetId="4" hidden="1">{#N/A,#N/A,FALSE,"포장단가"}</definedName>
    <definedName name="ㅈㄳ퓨ㅠㅠㄺ퓰" localSheetId="0" hidden="1">{#N/A,#N/A,FALSE,"포장단가"}</definedName>
    <definedName name="ㅈㄳ퓨ㅠㅠㄺ퓰" hidden="1">{#N/A,#N/A,FALSE,"포장단가"}</definedName>
    <definedName name="ㅈㄷ" localSheetId="12">BlankMacro1</definedName>
    <definedName name="ㅈㄷ" localSheetId="11">BlankMacro1</definedName>
    <definedName name="ㅈㄷㄱㄱ" localSheetId="12">BlankMacro1</definedName>
    <definedName name="ㅈㄷㄱㄱ" localSheetId="6">BlankMacro1</definedName>
    <definedName name="ㅈㄷㄱㄱ">BlankMacro1</definedName>
    <definedName name="ㅈㄷㄱㅂㄱㅂㄱㅈㅂㄱ" localSheetId="12">BlankMacro1</definedName>
    <definedName name="ㅈㄷㄱㅂㄱㅂㄱㅈㅂㄱ" localSheetId="6">BlankMacro1</definedName>
    <definedName name="ㅈㄷㄱㅂㄱㅂㄱㅈㅂㄱ">BlankMacro1</definedName>
    <definedName name="ㅈㄷㄳㅈㄷㅍㅎㄱ" localSheetId="12" hidden="1">{#N/A,#N/A,FALSE,"표지목차"}</definedName>
    <definedName name="ㅈㄷㄳㅈㄷㅍㅎㄱ" localSheetId="11" hidden="1">{#N/A,#N/A,FALSE,"표지목차"}</definedName>
    <definedName name="ㅈㄷㄳㅈㄷㅍㅎㄱ" localSheetId="7" hidden="1">{#N/A,#N/A,FALSE,"표지목차"}</definedName>
    <definedName name="ㅈㄷㄳㅈㄷㅍㅎㄱ" localSheetId="9" hidden="1">{#N/A,#N/A,FALSE,"표지목차"}</definedName>
    <definedName name="ㅈㄷㄳㅈㄷㅍㅎㄱ" localSheetId="4" hidden="1">{#N/A,#N/A,FALSE,"표지목차"}</definedName>
    <definedName name="ㅈㄷㄳㅈㄷㅍㅎㄱ" localSheetId="0" hidden="1">{#N/A,#N/A,FALSE,"표지목차"}</definedName>
    <definedName name="ㅈㄷㄳㅈㄷㅍㅎㄱ" hidden="1">{#N/A,#N/A,FALSE,"표지목차"}</definedName>
    <definedName name="ㅈㄷㄳㅎㅍㅂㅈㄱ" localSheetId="12" hidden="1">{#N/A,#N/A,FALSE,"골재소요량";#N/A,#N/A,FALSE,"골재소요량"}</definedName>
    <definedName name="ㅈㄷㄳㅎㅍㅂㅈㄱ" localSheetId="11" hidden="1">{#N/A,#N/A,FALSE,"골재소요량";#N/A,#N/A,FALSE,"골재소요량"}</definedName>
    <definedName name="ㅈㄷㄳㅎㅍㅂㅈㄱ" localSheetId="7" hidden="1">{#N/A,#N/A,FALSE,"골재소요량";#N/A,#N/A,FALSE,"골재소요량"}</definedName>
    <definedName name="ㅈㄷㄳㅎㅍㅂㅈㄱ" localSheetId="9" hidden="1">{#N/A,#N/A,FALSE,"골재소요량";#N/A,#N/A,FALSE,"골재소요량"}</definedName>
    <definedName name="ㅈㄷㄳㅎㅍㅂㅈㄱ" localSheetId="4" hidden="1">{#N/A,#N/A,FALSE,"골재소요량";#N/A,#N/A,FALSE,"골재소요량"}</definedName>
    <definedName name="ㅈㄷㄳㅎㅍㅂㅈㄱ" localSheetId="0" hidden="1">{#N/A,#N/A,FALSE,"골재소요량";#N/A,#N/A,FALSE,"골재소요량"}</definedName>
    <definedName name="ㅈㄷㄳㅎㅍㅂㅈㄱ" hidden="1">{#N/A,#N/A,FALSE,"골재소요량";#N/A,#N/A,FALSE,"골재소요량"}</definedName>
    <definedName name="ㅈㄷㅅㄷㅈㄷㅅㅈㅅ" localSheetId="12">BlankMacro1</definedName>
    <definedName name="ㅈㄷㅅㄷㅈㄷㅅㅈㅅ" localSheetId="6">BlankMacro1</definedName>
    <definedName name="ㅈㄷㅅㄷㅈㄷㅅㅈㅅ">BlankMacro1</definedName>
    <definedName name="ㅈㄷㅅㄷㅈㅄㅂㅈㅅㅈㅄ" localSheetId="12">BlankMacro1</definedName>
    <definedName name="ㅈㄷㅅㄷㅈㅄㅂㅈㅅㅈㅄ" localSheetId="6">BlankMacro1</definedName>
    <definedName name="ㅈㄷㅅㄷㅈㅄㅂㅈㅅㅈㅄ">BlankMacro1</definedName>
    <definedName name="ㅈㄷㅅㅅㄷㅅㄷㄷㅅㅈ" localSheetId="12">BlankMacro1</definedName>
    <definedName name="ㅈㄷㅅㅅㄷㅅㄷㄷㅅㅈ" localSheetId="6">BlankMacro1</definedName>
    <definedName name="ㅈㄷㅅㅅㄷㅅㄷㄷㅅㅈ">BlankMacro1</definedName>
    <definedName name="ㅈㄷㅅㅅㄷㅅㄷㅈ" localSheetId="12">BlankMacro1</definedName>
    <definedName name="ㅈㄷㅅㅅㄷㅅㄷㅈ" localSheetId="6">BlankMacro1</definedName>
    <definedName name="ㅈㄷㅅㅅㄷㅅㄷㅈ">BlankMacro1</definedName>
    <definedName name="ㅈㄷㅅㅈㄷㅅㅈㄷㅅㅈㅅ" localSheetId="12">BlankMacro1</definedName>
    <definedName name="ㅈㄷㅅㅈㄷㅅㅈㄷㅅㅈㅅ" localSheetId="6">BlankMacro1</definedName>
    <definedName name="ㅈㄷㅅㅈㄷㅅㅈㄷㅅㅈㅅ">BlankMacro1</definedName>
    <definedName name="ㅈㄷㅅㅈㅂㄱㅈㅂㄷㄱ" localSheetId="12">BlankMacro1</definedName>
    <definedName name="ㅈㄷㅅㅈㅂㄱㅈㅂㄷㄱ" localSheetId="6">BlankMacro1</definedName>
    <definedName name="ㅈㄷㅅㅈㅂㄱㅈㅂㄷㄱ">BlankMacro1</definedName>
    <definedName name="ㅈㄷㅅㅈㅂㄷㅅㅈㅄㅈ" localSheetId="12">BlankMacro1</definedName>
    <definedName name="ㅈㄷㅅㅈㅂㄷㅅㅈㅄㅈ" localSheetId="6">BlankMacro1</definedName>
    <definedName name="ㅈㄷㅅㅈㅂㄷㅅㅈㅄㅈ">BlankMacro1</definedName>
    <definedName name="ㅈㄷㅅㅈㅄㄷㅈㅄ" localSheetId="12">BlankMacro1</definedName>
    <definedName name="ㅈㄷㅅㅈㅄㄷㅈㅄ" localSheetId="6">BlankMacro1</definedName>
    <definedName name="ㅈㄷㅅㅈㅄㄷㅈㅄ">BlankMacro1</definedName>
    <definedName name="ㅈㄷㅅㅈㅄㅈㅄ" localSheetId="12">BlankMacro1</definedName>
    <definedName name="ㅈㄷㅅㅈㅄㅈㅄ" localSheetId="6">BlankMacro1</definedName>
    <definedName name="ㅈㄷㅅㅈㅄㅈㅄ">BlankMacro1</definedName>
    <definedName name="ㅈ됵ㄷ죠" localSheetId="12">BlankMacro1</definedName>
    <definedName name="ㅈ됵ㄷ죠" localSheetId="6">BlankMacro1</definedName>
    <definedName name="ㅈ됵ㄷ죠">BlankMacro1</definedName>
    <definedName name="ㅈㅁㄱㄷ" localSheetId="12" hidden="1">{#N/A,#N/A,FALSE,"단가표지"}</definedName>
    <definedName name="ㅈㅁㄱㄷ" localSheetId="11" hidden="1">{#N/A,#N/A,FALSE,"단가표지"}</definedName>
    <definedName name="ㅈㅁㄱㄷ" localSheetId="7" hidden="1">{#N/A,#N/A,FALSE,"단가표지"}</definedName>
    <definedName name="ㅈㅁㄱㄷ" localSheetId="9" hidden="1">{#N/A,#N/A,FALSE,"단가표지"}</definedName>
    <definedName name="ㅈㅁㄱㄷ" localSheetId="4" hidden="1">{#N/A,#N/A,FALSE,"단가표지"}</definedName>
    <definedName name="ㅈㅁㄱㄷ" localSheetId="0" hidden="1">{#N/A,#N/A,FALSE,"단가표지"}</definedName>
    <definedName name="ㅈㅁㄱㄷ" hidden="1">{#N/A,#N/A,FALSE,"단가표지"}</definedName>
    <definedName name="ㅈㅂㄱㄷㅂㅈ" localSheetId="12">BlankMacro1</definedName>
    <definedName name="ㅈㅂㄱㄷㅂㅈ" localSheetId="6">BlankMacro1</definedName>
    <definedName name="ㅈㅂㄱㄷㅂㅈ">BlankMacro1</definedName>
    <definedName name="ㅈㅂㄷㄱㅂㅈㄱㅂㅈㄷ" localSheetId="12">BlankMacro1</definedName>
    <definedName name="ㅈㅂㄷㄱㅂㅈㄱㅂㅈㄷ" localSheetId="6">BlankMacro1</definedName>
    <definedName name="ㅈㅂㄷㄱㅂㅈㄱㅂㅈㄷ">BlankMacro1</definedName>
    <definedName name="ㅈㅂㄷㄱㅈㅂㄱ" localSheetId="12">BlankMacro1</definedName>
    <definedName name="ㅈㅂㄷㄱㅈㅂㄱ" localSheetId="6">BlankMacro1</definedName>
    <definedName name="ㅈㅂㄷㄱㅈㅂㄱ">BlankMacro1</definedName>
    <definedName name="ㅈㅂㄷㅅ" localSheetId="12">BlankMacro1</definedName>
    <definedName name="ㅈㅂㄷㅅ" localSheetId="6">BlankMacro1</definedName>
    <definedName name="ㅈㅂㄷㅅ">BlankMacro1</definedName>
    <definedName name="ㅈㅂㄷㅅㄷㅅㅈㅅㅅㅈ" localSheetId="12">BlankMacro1</definedName>
    <definedName name="ㅈㅂㄷㅅㄷㅅㅈㅅㅅㅈ" localSheetId="6">BlankMacro1</definedName>
    <definedName name="ㅈㅂㄷㅅㄷㅅㅈㅅㅅㅈ">BlankMacro1</definedName>
    <definedName name="ㅈㅂㄷㅅㅈㅂㄷ" localSheetId="12">BlankMacro1</definedName>
    <definedName name="ㅈㅂㄷㅅㅈㅂㄷ" localSheetId="6">BlankMacro1</definedName>
    <definedName name="ㅈㅂㄷㅅㅈㅂㄷ">BlankMacro1</definedName>
    <definedName name="ㅈㅄㄷㅈㅄㅈㅄ" localSheetId="12">BlankMacro1</definedName>
    <definedName name="ㅈㅄㄷㅈㅄㅈㅄ" localSheetId="6">BlankMacro1</definedName>
    <definedName name="ㅈㅄㄷㅈㅄㅈㅄ">BlankMacro1</definedName>
    <definedName name="ㅈㅄㅅㄷㅂㅈㅅㄷㅈㅄ" localSheetId="12">BlankMacro1</definedName>
    <definedName name="ㅈㅄㅅㄷㅂㅈㅅㄷㅈㅄ" localSheetId="6">BlankMacro1</definedName>
    <definedName name="ㅈㅄㅅㄷㅂㅈㅅㄷㅈㅄ">BlankMacro1</definedName>
    <definedName name="ㅈㅅㄷㅂㅈㄷㅈㅂㄷㅅ" localSheetId="12">BlankMacro1</definedName>
    <definedName name="ㅈㅅㄷㅂㅈㄷㅈㅂㄷㅅ" localSheetId="6">BlankMacro1</definedName>
    <definedName name="ㅈㅅㄷㅂㅈㄷㅈㅂㄷㅅ">BlankMacro1</definedName>
    <definedName name="ㅈㅅㅂㄷㅅㄷㅅㄷㅈ" localSheetId="12">BlankMacro1</definedName>
    <definedName name="ㅈㅅㅂㄷㅅㄷㅅㄷㅈ" localSheetId="6">BlankMacro1</definedName>
    <definedName name="ㅈㅅㅂㄷㅅㄷㅅㄷㅈ">BlankMacro1</definedName>
    <definedName name="ㅈㅈ" localSheetId="9" hidden="1">{#N/A,#N/A,FALSE,"조골재"}</definedName>
    <definedName name="ㅈㅈ" hidden="1">{#N/A,#N/A,FALSE,"조골재"}</definedName>
    <definedName name="ㅈㅈㅈ" localSheetId="7" hidden="1">{#N/A,#N/A,FALSE,"조골재"}</definedName>
    <definedName name="ㅈㅈㅈ" localSheetId="4" hidden="1">{#N/A,#N/A,FALSE,"조골재"}</definedName>
    <definedName name="ㅈㅈㅈ" localSheetId="0" hidden="1">{#N/A,#N/A,FALSE,"조골재"}</definedName>
    <definedName name="ㅈㅈㅈ" hidden="1">{#N/A,#N/A,FALSE,"조골재"}</definedName>
    <definedName name="ㅈㅈㅈㅈ" localSheetId="9" hidden="1">{#N/A,#N/A,FALSE,"골재소요량";#N/A,#N/A,FALSE,"골재소요량"}</definedName>
    <definedName name="ㅈㅈㅈㅈ" hidden="1">{#N/A,#N/A,FALSE,"골재소요량";#N/A,#N/A,FALSE,"골재소요량"}</definedName>
    <definedName name="ㅈㅈㅈㅈㅈ" localSheetId="12">BLCH</definedName>
    <definedName name="ㅈㅈㅈㅈㅈ" localSheetId="11">BLCH</definedName>
    <definedName name="ㅈㅈㅈㅈㅈ" localSheetId="7" hidden="1">{#N/A,#N/A,FALSE,"혼합골재"}</definedName>
    <definedName name="ㅈㅈㅈㅈㅈ" localSheetId="9" hidden="1">{#N/A,#N/A,FALSE,"혼합골재"}</definedName>
    <definedName name="ㅈㅈㅈㅈㅈ" localSheetId="4" hidden="1">{#N/A,#N/A,FALSE,"혼합골재"}</definedName>
    <definedName name="ㅈㅈㅈㅈㅈ" localSheetId="0" hidden="1">{#N/A,#N/A,FALSE,"혼합골재"}</definedName>
    <definedName name="ㅈㅈㅈㅈㅈ" hidden="1">{#N/A,#N/A,FALSE,"혼합골재"}</definedName>
    <definedName name="ㅈㅎㅅㄱㄹ퓨" localSheetId="7" hidden="1">{#N/A,#N/A,FALSE,"포장단가"}</definedName>
    <definedName name="ㅈㅎㅅㄱㄹ퓨" localSheetId="4" hidden="1">{#N/A,#N/A,FALSE,"포장단가"}</definedName>
    <definedName name="ㅈㅎㅅㄱㄹ퓨" localSheetId="0" hidden="1">{#N/A,#N/A,FALSE,"포장단가"}</definedName>
    <definedName name="ㅈㅎㅅㄱㄹ퓨" hidden="1">{#N/A,#N/A,FALSE,"포장단가"}</definedName>
    <definedName name="자가">#N/A</definedName>
    <definedName name="자갈운반">#N/A</definedName>
    <definedName name="자동제어1차공량산출" localSheetId="12">BlankMacro1</definedName>
    <definedName name="자동제어1차공량산출" localSheetId="6">BlankMacro1</definedName>
    <definedName name="자동제어1차공량산출">BlankMacro1</definedName>
    <definedName name="자미" localSheetId="12" hidden="1">{#N/A,#N/A,FALSE,"명세표"}</definedName>
    <definedName name="자미" hidden="1">{#N/A,#N/A,FALSE,"명세표"}</definedName>
    <definedName name="자자잦">#N/A</definedName>
    <definedName name="자재인력조달">#N/A</definedName>
    <definedName name="자재집계">#N/A</definedName>
    <definedName name="자재집계5" localSheetId="12">BlankMacro1</definedName>
    <definedName name="자재집계5" localSheetId="6">BlankMacro1</definedName>
    <definedName name="자재집계5">BlankMacro1</definedName>
    <definedName name="자전거">#N/A</definedName>
    <definedName name="잔토처리" localSheetId="12">#N/A</definedName>
    <definedName name="잔토처리" localSheetId="11">#N/A</definedName>
    <definedName name="잡괴ㅣ">#N/A</definedName>
    <definedName name="장비" localSheetId="12" hidden="1">{#N/A,#N/A,FALSE,"단가표지"}</definedName>
    <definedName name="장비" hidden="1">{#N/A,#N/A,FALSE,"단가표지"}</definedName>
    <definedName name="재생골재" localSheetId="12" hidden="1">{#N/A,#N/A,FALSE,"단가표지"}</definedName>
    <definedName name="재생골재" hidden="1">{#N/A,#N/A,FALSE,"단가표지"}</definedName>
    <definedName name="전공">64000</definedName>
    <definedName name="전기공사원가" localSheetId="12">BlankMacro1</definedName>
    <definedName name="전기공사원가" localSheetId="6">BlankMacro1</definedName>
    <definedName name="전기공사원가">BlankMacro1</definedName>
    <definedName name="전기공사원가내역" localSheetId="12">BlankMacro1</definedName>
    <definedName name="전기공사원가내역" localSheetId="6">BlankMacro1</definedName>
    <definedName name="전기공사원가내역">BlankMacro1</definedName>
    <definedName name="전기변경1" localSheetId="12">BlankMacro1</definedName>
    <definedName name="전기변경1" localSheetId="6">BlankMacro1</definedName>
    <definedName name="전기변경1">BlankMacro1</definedName>
    <definedName name="전기변경3" localSheetId="12">BlankMacro1</definedName>
    <definedName name="전기변경3" localSheetId="6">BlankMacro1</definedName>
    <definedName name="전기변경3">BlankMacro1</definedName>
    <definedName name="전도금06년01월" localSheetId="12">#N/A</definedName>
    <definedName name="전도금06년01월">#N/A</definedName>
    <definedName name="전월">#N/A</definedName>
    <definedName name="절토" localSheetId="12">#N/A</definedName>
    <definedName name="점멸기입력">#N/A</definedName>
    <definedName name="제경비" localSheetId="7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localSheetId="4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localSheetId="0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조경변경">45400</definedName>
    <definedName name="조조조조" localSheetId="12">BlankMacro1</definedName>
    <definedName name="조조조조" localSheetId="6">BlankMacro1</definedName>
    <definedName name="조조조조">BlankMacro1</definedName>
    <definedName name="조조조조좆" localSheetId="12">BlankMacro1</definedName>
    <definedName name="조조조조좆" localSheetId="6">BlankMacro1</definedName>
    <definedName name="조조조조좆">BlankMacro1</definedName>
    <definedName name="조차장" localSheetId="12" hidden="1">{#N/A,#N/A,FALSE,"명세표"}</definedName>
    <definedName name="조차장" hidden="1">{#N/A,#N/A,FALSE,"명세표"}</definedName>
    <definedName name="조효" localSheetId="12" hidden="1">{"'Firr(선)'!$AS$1:$AY$62","'Firr(사)'!$AS$1:$AY$62","'Firr(회)'!$AS$1:$AY$62","'Firr(선)'!$L$1:$V$62","'Firr(사)'!$L$1:$V$62","'Firr(회)'!$L$1:$V$62"}</definedName>
    <definedName name="조효" hidden="1">{"'Firr(선)'!$AS$1:$AY$62","'Firr(사)'!$AS$1:$AY$62","'Firr(회)'!$AS$1:$AY$62","'Firr(선)'!$L$1:$V$62","'Firr(사)'!$L$1:$V$62","'Firr(회)'!$L$1:$V$62"}</definedName>
    <definedName name="조효석" localSheetId="12" hidden="1">{"'Firr(선)'!$AS$1:$AY$62","'Firr(사)'!$AS$1:$AY$62","'Firr(회)'!$AS$1:$AY$62","'Firr(선)'!$L$1:$V$62","'Firr(사)'!$L$1:$V$62","'Firr(회)'!$L$1:$V$62"}</definedName>
    <definedName name="조효석" hidden="1">{"'Firr(선)'!$AS$1:$AY$62","'Firr(사)'!$AS$1:$AY$62","'Firr(회)'!$AS$1:$AY$62","'Firr(선)'!$L$1:$V$62","'Firr(사)'!$L$1:$V$62","'Firr(회)'!$L$1:$V$62"}</definedName>
    <definedName name="종" localSheetId="12">BlankMacro1</definedName>
    <definedName name="종" localSheetId="11">BlankMacro1</definedName>
    <definedName name="종날개벽단위수량" localSheetId="6">BlankMacro1</definedName>
    <definedName name="종날개벽단위수량">BlankMacro1</definedName>
    <definedName name="종배수날개벽단위수량" localSheetId="12">BlankMacro1</definedName>
    <definedName name="종배수날개벽단위수량" localSheetId="11">BlankMacro1</definedName>
    <definedName name="종배수날개벽단위수량" localSheetId="6">BlankMacro1</definedName>
    <definedName name="종배수날개벽단위수량">BlankMacro1</definedName>
    <definedName name="종점부" localSheetId="12">'4월 신분증 및 통장사본'!종점부</definedName>
    <definedName name="종합청사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현" localSheetId="12">BlankMacro1</definedName>
    <definedName name="종현" localSheetId="6">BlankMacro1</definedName>
    <definedName name="종현">BlankMacro1</definedName>
    <definedName name="좋아" localSheetId="6">BlankMacro1</definedName>
    <definedName name="좋아">BlankMacro1</definedName>
    <definedName name="주" localSheetId="7" hidden="1">{#N/A,#N/A,FALSE,"단가표지"}</definedName>
    <definedName name="주" localSheetId="4" hidden="1">{#N/A,#N/A,FALSE,"단가표지"}</definedName>
    <definedName name="주" localSheetId="0" hidden="1">{#N/A,#N/A,FALSE,"단가표지"}</definedName>
    <definedName name="주" hidden="1">{#N/A,#N/A,FALSE,"단가표지"}</definedName>
    <definedName name="줄눈">46760</definedName>
    <definedName name="중기손료">#N/A</definedName>
    <definedName name="중대가시설2">#N/A</definedName>
    <definedName name="중앙선추가" localSheetId="12">{"Book1","부대-(표지판,데리,가드).xls","부대-(낙,차,중분대).xls"}</definedName>
    <definedName name="중앙선추가">{"Book1","부대-(표지판,데리,가드).xls","부대-(낙,차,중분대).xls"}</definedName>
    <definedName name="지" localSheetId="12" hidden="1">{#N/A,#N/A,FALSE,"이정표"}</definedName>
    <definedName name="지" localSheetId="6">BlankMacro1</definedName>
    <definedName name="지">BlankMacro1</definedName>
    <definedName name="지급" hidden="1">{"'제조(순번)'!$A$386:$A$387","'제조(순번)'!$A$1:$H$399"}</definedName>
    <definedName name="지말" localSheetId="12" hidden="1">{#N/A,#N/A,FALSE,"토공2"}</definedName>
    <definedName name="지말" hidden="1">{#N/A,#N/A,FALSE,"토공2"}</definedName>
    <definedName name="지역">#N/A</definedName>
    <definedName name="지우기" localSheetId="7" hidden="1">{#N/A,#N/A,FALSE,"포장2"}</definedName>
    <definedName name="지우기" localSheetId="4" hidden="1">{#N/A,#N/A,FALSE,"포장2"}</definedName>
    <definedName name="지우기" localSheetId="0" hidden="1">{#N/A,#N/A,FALSE,"포장2"}</definedName>
    <definedName name="지우기" hidden="1">{#N/A,#N/A,FALSE,"포장2"}</definedName>
    <definedName name="지주" localSheetId="12">BlankMacro1</definedName>
    <definedName name="지주" localSheetId="6">BlankMacro1</definedName>
    <definedName name="지주">BlankMacro1</definedName>
    <definedName name="지주목" localSheetId="12">BlankMacro1</definedName>
    <definedName name="지주목" localSheetId="6">BlankMacro1</definedName>
    <definedName name="지주목">BlankMacro1</definedName>
    <definedName name="지주목A" localSheetId="12">BlankMacro1</definedName>
    <definedName name="지주목A" localSheetId="6">BlankMacro1</definedName>
    <definedName name="지주목A">BlankMacro1</definedName>
    <definedName name="직매54P" localSheetId="12" hidden="1">{#N/A,#N/A,TRUE,"토적및재료집계";#N/A,#N/A,TRUE,"토적및재료집계";#N/A,#N/A,TRUE,"단위량"}</definedName>
    <definedName name="직매54P" hidden="1">{#N/A,#N/A,TRUE,"토적및재료집계";#N/A,#N/A,TRUE,"토적및재료집계";#N/A,#N/A,TRUE,"단위량"}</definedName>
    <definedName name="진동로라">250000</definedName>
    <definedName name="진짜원가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진짜원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집계2" localSheetId="6">BlankMacro1</definedName>
    <definedName name="집계2">BlankMacro1</definedName>
    <definedName name="집계표12" localSheetId="12">BlankMacro1</definedName>
    <definedName name="집계표12" localSheetId="6">BlankMacro1</definedName>
    <definedName name="집계표12">BlankMacro1</definedName>
    <definedName name="집수거">#N/A</definedName>
    <definedName name="집수정" localSheetId="12">BlankMacro1</definedName>
    <definedName name="집수정" localSheetId="11">BlankMacro1</definedName>
    <definedName name="집수정" localSheetId="7" hidden="1">{#N/A,#N/A,FALSE,"토공2"}</definedName>
    <definedName name="집수정" localSheetId="4" hidden="1">{#N/A,#N/A,FALSE,"토공2"}</definedName>
    <definedName name="집수정" localSheetId="0" hidden="1">{#N/A,#N/A,FALSE,"토공2"}</definedName>
    <definedName name="집수정" hidden="1">{#N/A,#N/A,FALSE,"토공2"}</definedName>
    <definedName name="집수정수량산출조서" localSheetId="12">BlankMacro1</definedName>
    <definedName name="집수정수량산출조서" localSheetId="6">BlankMacro1</definedName>
    <definedName name="집수정수량산출조서">BlankMacro1</definedName>
    <definedName name="ㅊ" localSheetId="12">BlankMacro1</definedName>
    <definedName name="ㅊ" localSheetId="11">BlankMacro1</definedName>
    <definedName name="ㅊ" hidden="1">{#N/A,#N/A,FALSE,"단가표지"}</definedName>
    <definedName name="ㅊㅊㅊ" localSheetId="12" hidden="1">{#N/A,#N/A,FALSE,"운반시간"}</definedName>
    <definedName name="ㅊㅊㅊ" localSheetId="11" hidden="1">{#N/A,#N/A,FALSE,"운반시간"}</definedName>
    <definedName name="ㅊㅊㅊ" localSheetId="7" hidden="1">{#N/A,#N/A,FALSE,"운반시간"}</definedName>
    <definedName name="ㅊㅊㅊ" localSheetId="9" hidden="1">{#N/A,#N/A,FALSE,"운반시간"}</definedName>
    <definedName name="ㅊㅊㅊ" localSheetId="4" hidden="1">{#N/A,#N/A,FALSE,"운반시간"}</definedName>
    <definedName name="ㅊㅊㅊ" localSheetId="0" hidden="1">{#N/A,#N/A,FALSE,"운반시간"}</definedName>
    <definedName name="ㅊㅊㅊ" hidden="1">{#N/A,#N/A,FALSE,"운반시간"}</definedName>
    <definedName name="ㅊㅊㅊㅊㅊ" localSheetId="12" hidden="1">{#N/A,#N/A,FALSE,"단가표지"}</definedName>
    <definedName name="ㅊㅊㅊㅊㅊ" localSheetId="11" hidden="1">{#N/A,#N/A,FALSE,"단가표지"}</definedName>
    <definedName name="ㅊㅊㅊㅊㅊ" localSheetId="7" hidden="1">{#N/A,#N/A,FALSE,"단가표지"}</definedName>
    <definedName name="ㅊㅊㅊㅊㅊ" localSheetId="9" hidden="1">{#N/A,#N/A,FALSE,"단가표지"}</definedName>
    <definedName name="ㅊㅊㅊㅊㅊ" localSheetId="4" hidden="1">{#N/A,#N/A,FALSE,"단가표지"}</definedName>
    <definedName name="ㅊㅊㅊㅊㅊ" localSheetId="0" hidden="1">{#N/A,#N/A,FALSE,"단가표지"}</definedName>
    <definedName name="ㅊㅊㅊㅊㅊ" hidden="1">{#N/A,#N/A,FALSE,"단가표지"}</definedName>
    <definedName name="ㅊㅊㅊㅊㅊㅊ" localSheetId="12" hidden="1">{#N/A,#N/A,FALSE,"조골재"}</definedName>
    <definedName name="ㅊㅊㅊㅊㅊㅊ" localSheetId="11" hidden="1">{#N/A,#N/A,FALSE,"조골재"}</definedName>
    <definedName name="ㅊㅊㅊㅊㅊㅊ" localSheetId="7" hidden="1">{#N/A,#N/A,FALSE,"조골재"}</definedName>
    <definedName name="ㅊㅊㅊㅊㅊㅊ" localSheetId="9" hidden="1">{#N/A,#N/A,FALSE,"조골재"}</definedName>
    <definedName name="ㅊㅊㅊㅊㅊㅊ" localSheetId="4" hidden="1">{#N/A,#N/A,FALSE,"조골재"}</definedName>
    <definedName name="ㅊㅊㅊㅊㅊㅊ" localSheetId="0" hidden="1">{#N/A,#N/A,FALSE,"조골재"}</definedName>
    <definedName name="ㅊㅊㅊㅊㅊㅊ" hidden="1">{#N/A,#N/A,FALSE,"조골재"}</definedName>
    <definedName name="ㅊㅊㅊㅊㅊㅊㅊ" localSheetId="12" hidden="1">{#N/A,#N/A,FALSE,"표지목차"}</definedName>
    <definedName name="ㅊㅊㅊㅊㅊㅊㅊ" localSheetId="11" hidden="1">{#N/A,#N/A,FALSE,"표지목차"}</definedName>
    <definedName name="ㅊㅊㅊㅊㅊㅊㅊ" localSheetId="7" hidden="1">{#N/A,#N/A,FALSE,"표지목차"}</definedName>
    <definedName name="ㅊㅊㅊㅊㅊㅊㅊ" localSheetId="9" hidden="1">{#N/A,#N/A,FALSE,"표지목차"}</definedName>
    <definedName name="ㅊㅊㅊㅊㅊㅊㅊ" localSheetId="4" hidden="1">{#N/A,#N/A,FALSE,"표지목차"}</definedName>
    <definedName name="ㅊㅊㅊㅊㅊㅊㅊ" localSheetId="0" hidden="1">{#N/A,#N/A,FALSE,"표지목차"}</definedName>
    <definedName name="ㅊㅊㅊㅊㅊㅊㅊ" hidden="1">{#N/A,#N/A,FALSE,"표지목차"}</definedName>
    <definedName name="ㅊㅌ퓨" localSheetId="12">BlankMacro1</definedName>
    <definedName name="ㅊㅌ퓨" localSheetId="6">BlankMacro1</definedName>
    <definedName name="ㅊㅌ퓨">BlankMacro1</definedName>
    <definedName name="ㅊㅍ" localSheetId="12">BlankMacro1</definedName>
    <definedName name="ㅊㅍ" localSheetId="11">BlankMacro1</definedName>
    <definedName name="ㅊㅍㅊ퓨" localSheetId="12">BlankMacro1</definedName>
    <definedName name="ㅊㅍㅊ퓨" localSheetId="6">BlankMacro1</definedName>
    <definedName name="ㅊㅍㅊ퓨">BlankMacro1</definedName>
    <definedName name="ㅊㅍㅌ" localSheetId="12">BlankMacro1</definedName>
    <definedName name="ㅊㅍㅌ" localSheetId="6">BlankMacro1</definedName>
    <definedName name="ㅊㅍㅌ">BlankMacro1</definedName>
    <definedName name="ㅊㅍㅌㅊㅌㅊㅋㅌㅊㅋ" localSheetId="12">BlankMacro1</definedName>
    <definedName name="ㅊㅍㅌㅊㅌㅊㅋㅌㅊㅋ" localSheetId="6">BlankMacro1</definedName>
    <definedName name="ㅊㅍㅌㅊㅌㅊㅋㅌㅊㅋ">BlankMacro1</definedName>
    <definedName name="ㅊㅍㅌㅋ" localSheetId="12">BlankMacro1</definedName>
    <definedName name="ㅊㅍㅌㅋ" localSheetId="6">BlankMacro1</definedName>
    <definedName name="ㅊㅍㅌㅋ">BlankMacro1</definedName>
    <definedName name="차" localSheetId="12" hidden="1">{#N/A,#N/A,FALSE,"배수2"}</definedName>
    <definedName name="차" localSheetId="11">BlankMacro1</definedName>
    <definedName name="차례">#N/A</definedName>
    <definedName name="차수별내역" localSheetId="6">BlankMacro1</definedName>
    <definedName name="차수별내역">BlankMacro1</definedName>
    <definedName name="참고" localSheetId="12" hidden="1">{#N/A,#N/A,FALSE,"구조2"}</definedName>
    <definedName name="참고" hidden="1">{#N/A,#N/A,FALSE,"구조2"}</definedName>
    <definedName name="천천천" localSheetId="12">BlankMacro1</definedName>
    <definedName name="천천천" localSheetId="6">BlankMacro1</definedName>
    <definedName name="천천천">BlankMacro1</definedName>
    <definedName name="철거">#N/A</definedName>
    <definedName name="철골협의" localSheetId="12" hidden="1">{#N/A,#N/A,FALSE,"현장 NCR 분석";#N/A,#N/A,FALSE,"현장품질감사";#N/A,#N/A,FALSE,"현장품질감사"}</definedName>
    <definedName name="철골협의" hidden="1">{#N/A,#N/A,FALSE,"현장 NCR 분석";#N/A,#N/A,FALSE,"현장품질감사";#N/A,#N/A,FALSE,"현장품질감사"}</definedName>
    <definedName name="철근" localSheetId="12">56509</definedName>
    <definedName name="철근" localSheetId="11">56509</definedName>
    <definedName name="철근">2.4</definedName>
    <definedName name="철근운반">#N/A</definedName>
    <definedName name="철근총괄1" localSheetId="12" hidden="1">{#N/A,#N/A,FALSE,"표지목차"}</definedName>
    <definedName name="철근총괄1" localSheetId="11" hidden="1">{#N/A,#N/A,FALSE,"표지목차"}</definedName>
    <definedName name="철근총괄1" localSheetId="7" hidden="1">{#N/A,#N/A,FALSE,"표지목차"}</definedName>
    <definedName name="철근총괄1" localSheetId="9" hidden="1">{#N/A,#N/A,FALSE,"표지목차"}</definedName>
    <definedName name="철근총괄1" localSheetId="4" hidden="1">{#N/A,#N/A,FALSE,"표지목차"}</definedName>
    <definedName name="철근총괄1" localSheetId="0" hidden="1">{#N/A,#N/A,FALSE,"표지목차"}</definedName>
    <definedName name="철근총괄1" hidden="1">{#N/A,#N/A,FALSE,"표지목차"}</definedName>
    <definedName name="청구" localSheetId="6">BlankMacro1</definedName>
    <definedName name="청구">BlankMacro1</definedName>
    <definedName name="청구서" localSheetId="12" hidden="1">{#N/A,#N/A,FALSE,"결의서";#N/A,#N/A,FALSE,"내역서";#N/A,#N/A,FALSE,"도급예상";#N/A,#N/A,FALSE,"시방서"}</definedName>
    <definedName name="청구서" hidden="1">{#N/A,#N/A,FALSE,"결의서";#N/A,#N/A,FALSE,"내역서";#N/A,#N/A,FALSE,"도급예상";#N/A,#N/A,FALSE,"시방서"}</definedName>
    <definedName name="총공" localSheetId="12" hidden="1">{#N/A,#N/A,FALSE,"운반시간"}</definedName>
    <definedName name="총공" localSheetId="11" hidden="1">{#N/A,#N/A,FALSE,"운반시간"}</definedName>
    <definedName name="총공" localSheetId="7" hidden="1">{#N/A,#N/A,FALSE,"운반시간"}</definedName>
    <definedName name="총공" localSheetId="4" hidden="1">{#N/A,#N/A,FALSE,"운반시간"}</definedName>
    <definedName name="총공" localSheetId="0" hidden="1">{#N/A,#N/A,FALSE,"운반시간"}</definedName>
    <definedName name="총공" hidden="1">{#N/A,#N/A,FALSE,"운반시간"}</definedName>
    <definedName name="총괄횡배수현황" localSheetId="12">BlankMacro1</definedName>
    <definedName name="총괄횡배수현황" localSheetId="11">BlankMacro1</definedName>
    <definedName name="총괄횡배수현황" localSheetId="6">BlankMacro1</definedName>
    <definedName name="총괄횡배수현황">BlankMacro1</definedName>
    <definedName name="총괄횡배수현황1" localSheetId="12">BlankMacro1</definedName>
    <definedName name="총괄횡배수현황1" localSheetId="11">BlankMacro1</definedName>
    <definedName name="총괄횡배수현황1" localSheetId="6">BlankMacro1</definedName>
    <definedName name="총괄횡배수현황1">BlankMacro1</definedName>
    <definedName name="총내역" localSheetId="7" hidden="1">{#N/A,#N/A,FALSE,"일위대가변환"}</definedName>
    <definedName name="총내역" localSheetId="4" hidden="1">{#N/A,#N/A,FALSE,"일위대가변환"}</definedName>
    <definedName name="총내역" localSheetId="0" hidden="1">{#N/A,#N/A,FALSE,"일위대가변환"}</definedName>
    <definedName name="총내역" hidden="1">{#N/A,#N/A,FALSE,"일위대가변환"}</definedName>
    <definedName name="추" localSheetId="12" hidden="1">{#N/A,#N/A,FALSE,"부대1"}</definedName>
    <definedName name="추" hidden="1">{#N/A,#N/A,FALSE,"부대1"}</definedName>
    <definedName name="출입통제내역" localSheetId="12">BlankMacro1</definedName>
    <definedName name="출입통제내역" localSheetId="6">BlankMacro1</definedName>
    <definedName name="출입통제내역">BlankMacro1</definedName>
    <definedName name="충돌" localSheetId="12">#N/A</definedName>
    <definedName name="충돌" localSheetId="11">#N/A</definedName>
    <definedName name="취소" localSheetId="12">BlankMacro1</definedName>
    <definedName name="취소" localSheetId="6">BlankMacro1</definedName>
    <definedName name="취소">BlankMacro1</definedName>
    <definedName name="츠츠" localSheetId="12">BlankMacro1</definedName>
    <definedName name="츠츠" localSheetId="6">BlankMacro1</definedName>
    <definedName name="츠츠">BlankMacro1</definedName>
    <definedName name="측구조서" localSheetId="7" hidden="1">{#N/A,#N/A,FALSE,"2~8번"}</definedName>
    <definedName name="측구조서" localSheetId="4" hidden="1">{#N/A,#N/A,FALSE,"2~8번"}</definedName>
    <definedName name="측구조서" localSheetId="0" hidden="1">{#N/A,#N/A,FALSE,"2~8번"}</definedName>
    <definedName name="측구조서" hidden="1">{#N/A,#N/A,FALSE,"2~8번"}</definedName>
    <definedName name="침사지">#N/A</definedName>
    <definedName name="ㅋ" hidden="1">{#N/A,#N/A,FALSE,"표지목차"}</definedName>
    <definedName name="ㅋㄴㅍㅇㅁㅇㄴ" localSheetId="12">BlankMacro1</definedName>
    <definedName name="ㅋㄴㅍㅇㅁㅇㄴ" localSheetId="6">BlankMacro1</definedName>
    <definedName name="ㅋㄴㅍㅇㅁㅇㄴ">BlankMacro1</definedName>
    <definedName name="ㅋㅁ" localSheetId="12" hidden="1">{#N/A,#N/A,FALSE,"명세표"}</definedName>
    <definedName name="ㅋㅁ" hidden="1">{#N/A,#N/A,FALSE,"명세표"}</definedName>
    <definedName name="ㅋㅇㅎㄹ" localSheetId="12">BlankMacro1</definedName>
    <definedName name="ㅋㅇㅎㄹ" localSheetId="6">BlankMacro1</definedName>
    <definedName name="ㅋㅇㅎㄹ">BlankMacro1</definedName>
    <definedName name="ㅋㅋ" localSheetId="7" hidden="1">{#N/A,#N/A,FALSE,"단가표지"}</definedName>
    <definedName name="ㅋㅋ" localSheetId="9" hidden="1">{#N/A,#N/A,FALSE,"단가표지"}</definedName>
    <definedName name="ㅋㅋ" localSheetId="4" hidden="1">{#N/A,#N/A,FALSE,"단가표지"}</definedName>
    <definedName name="ㅋㅋ" localSheetId="0" hidden="1">{#N/A,#N/A,FALSE,"단가표지"}</definedName>
    <definedName name="ㅋㅋ" hidden="1">{#N/A,#N/A,FALSE,"단가표지"}</definedName>
    <definedName name="ㅋㅋㅋ" localSheetId="12" hidden="1">{#N/A,#N/A,FALSE,"전력간선"}</definedName>
    <definedName name="ㅋㅋㅋㅋ" localSheetId="12">BlankMacro1</definedName>
    <definedName name="ㅋㅋㅋㅋ" localSheetId="11">BlankMacro1</definedName>
    <definedName name="ㅋㅋㅋㅋ" localSheetId="7" hidden="1">{#N/A,#N/A,FALSE,"조골재"}</definedName>
    <definedName name="ㅋㅋㅋㅋ" localSheetId="9" hidden="1">{#N/A,#N/A,FALSE,"조골재"}</definedName>
    <definedName name="ㅋㅋㅋㅋ" localSheetId="4" hidden="1">{#N/A,#N/A,FALSE,"조골재"}</definedName>
    <definedName name="ㅋㅋㅋㅋ" localSheetId="0" hidden="1">{#N/A,#N/A,FALSE,"조골재"}</definedName>
    <definedName name="ㅋㅋㅋㅋ" hidden="1">{#N/A,#N/A,FALSE,"조골재"}</definedName>
    <definedName name="ㅋㅋㅋㅋㅋㅋ" localSheetId="12" hidden="1">{#N/A,#N/A,FALSE,"골재소요량";#N/A,#N/A,FALSE,"골재소요량"}</definedName>
    <definedName name="ㅋㅋㅋㅋㅋㅋ" localSheetId="11" hidden="1">{#N/A,#N/A,FALSE,"골재소요량";#N/A,#N/A,FALSE,"골재소요량"}</definedName>
    <definedName name="ㅋㅋㅋㅋㅋㅋ" localSheetId="7" hidden="1">{#N/A,#N/A,FALSE,"골재소요량";#N/A,#N/A,FALSE,"골재소요량"}</definedName>
    <definedName name="ㅋㅋㅋㅋㅋㅋ" localSheetId="9" hidden="1">{#N/A,#N/A,FALSE,"2~8번"}</definedName>
    <definedName name="ㅋㅋㅋㅋㅋㅋ" localSheetId="4" hidden="1">{#N/A,#N/A,FALSE,"골재소요량";#N/A,#N/A,FALSE,"골재소요량"}</definedName>
    <definedName name="ㅋㅋㅋㅋㅋㅋ" localSheetId="0" hidden="1">{#N/A,#N/A,FALSE,"골재소요량";#N/A,#N/A,FALSE,"골재소요량"}</definedName>
    <definedName name="ㅋㅋㅋㅋㅋㅋ" hidden="1">{#N/A,#N/A,FALSE,"골재소요량";#N/A,#N/A,FALSE,"골재소요량"}</definedName>
    <definedName name="ㅋㅌ" localSheetId="12">BlankMacro1</definedName>
    <definedName name="ㅋㅌ" localSheetId="6">BlankMacro1</definedName>
    <definedName name="ㅋㅌ">BlankMacro1</definedName>
    <definedName name="ㅋㅌㅍㅍㅋ" localSheetId="12">BlankMacro1</definedName>
    <definedName name="ㅋㅌㅍㅍㅋ" localSheetId="6">BlankMacro1</definedName>
    <definedName name="ㅋㅌㅍㅍㅋ">BlankMacro1</definedName>
    <definedName name="ㅋㅍㅊㅌ" localSheetId="12">BlankMacro1</definedName>
    <definedName name="ㅋㅍㅊㅌ" localSheetId="6">BlankMacro1</definedName>
    <definedName name="ㅋㅍㅊㅌ">BlankMacro1</definedName>
    <definedName name="ㅋㅎㄹㅊㅌ" localSheetId="12">BlankMacro1</definedName>
    <definedName name="ㅋㅎㄹㅊㅌ" localSheetId="6">BlankMacro1</definedName>
    <definedName name="ㅋㅎㄹㅊㅌ">BlankMacro1</definedName>
    <definedName name="카">#N/A</definedName>
    <definedName name="케이블간지" localSheetId="12" hidden="1">{#N/A,#N/A,TRUE,"토적및재료집계";#N/A,#N/A,TRUE,"토적및재료집계";#N/A,#N/A,TRUE,"단위량"}</definedName>
    <definedName name="케이블간지" hidden="1">{#N/A,#N/A,TRUE,"토적및재료집계";#N/A,#N/A,TRUE,"토적및재료집계";#N/A,#N/A,TRUE,"단위량"}</definedName>
    <definedName name="코" localSheetId="12">BlankMacro1</definedName>
    <definedName name="코" localSheetId="6">BlankMacro1</definedName>
    <definedName name="코">BlankMacro1</definedName>
    <definedName name="콘" localSheetId="12">#N/A</definedName>
    <definedName name="콘운">9144</definedName>
    <definedName name="콘처">15896</definedName>
    <definedName name="콤팩터">#N/A</definedName>
    <definedName name="ㅌ" localSheetId="12">BlankMacro1</definedName>
    <definedName name="ㅌ" localSheetId="11">BlankMacro1</definedName>
    <definedName name="ㅌ" hidden="1">{#N/A,#N/A,FALSE,"골재소요량";#N/A,#N/A,FALSE,"골재소요량"}</definedName>
    <definedName name="ㅌㅊ픁ㅊ퓨" localSheetId="12">BlankMacro1</definedName>
    <definedName name="ㅌㅊ픁ㅊ퓨" localSheetId="6">BlankMacro1</definedName>
    <definedName name="ㅌㅊ픁ㅊ퓨">BlankMacro1</definedName>
    <definedName name="ㅌㅌ" localSheetId="7" hidden="1">{#N/A,#N/A,FALSE,"조골재"}</definedName>
    <definedName name="ㅌㅌ" localSheetId="9" hidden="1">{#N/A,#N/A,FALSE,"조골재"}</definedName>
    <definedName name="ㅌㅌ" localSheetId="4" hidden="1">{#N/A,#N/A,FALSE,"조골재"}</definedName>
    <definedName name="ㅌㅌ" localSheetId="0" hidden="1">{#N/A,#N/A,FALSE,"조골재"}</definedName>
    <definedName name="ㅌㅌ" hidden="1">{#N/A,#N/A,FALSE,"조골재"}</definedName>
    <definedName name="ㅌㅌㅌ" localSheetId="12" hidden="1">{#N/A,#N/A,FALSE,"골재소요량";#N/A,#N/A,FALSE,"골재소요량"}</definedName>
    <definedName name="ㅌㅌㅌ" localSheetId="11" hidden="1">{#N/A,#N/A,FALSE,"골재소요량";#N/A,#N/A,FALSE,"골재소요량"}</definedName>
    <definedName name="ㅌㅌㅌ" localSheetId="7" hidden="1">{#N/A,#N/A,FALSE,"골재소요량";#N/A,#N/A,FALSE,"골재소요량"}</definedName>
    <definedName name="ㅌㅌㅌ" localSheetId="9" hidden="1">{#N/A,#N/A,FALSE,"골재소요량";#N/A,#N/A,FALSE,"골재소요량"}</definedName>
    <definedName name="ㅌㅌㅌ" localSheetId="4" hidden="1">{#N/A,#N/A,FALSE,"골재소요량";#N/A,#N/A,FALSE,"골재소요량"}</definedName>
    <definedName name="ㅌㅌㅌ" localSheetId="0" hidden="1">{#N/A,#N/A,FALSE,"골재소요량";#N/A,#N/A,FALSE,"골재소요량"}</definedName>
    <definedName name="ㅌㅌㅌ" hidden="1">{#N/A,#N/A,FALSE,"골재소요량";#N/A,#N/A,FALSE,"골재소요량"}</definedName>
    <definedName name="ㅌㅌㅌㅌ" localSheetId="7" hidden="1">{#N/A,#N/A,FALSE,"2~8번"}</definedName>
    <definedName name="ㅌㅌㅌㅌ" localSheetId="9" hidden="1">{#N/A,#N/A,FALSE,"2~8번"}</definedName>
    <definedName name="ㅌㅌㅌㅌ" localSheetId="4" hidden="1">{#N/A,#N/A,FALSE,"2~8번"}</definedName>
    <definedName name="ㅌㅌㅌㅌ" localSheetId="0" hidden="1">{#N/A,#N/A,FALSE,"2~8번"}</definedName>
    <definedName name="ㅌㅌㅌㅌ" hidden="1">{#N/A,#N/A,FALSE,"2~8번"}</definedName>
    <definedName name="ㅌㅌㅌㅌㅌ" localSheetId="12" hidden="1">{#N/A,#N/A,FALSE,"골재소요량";#N/A,#N/A,FALSE,"골재소요량"}</definedName>
    <definedName name="ㅌㅌㅌㅌㅌ" localSheetId="11" hidden="1">{#N/A,#N/A,FALSE,"골재소요량";#N/A,#N/A,FALSE,"골재소요량"}</definedName>
    <definedName name="ㅌㅌㅌㅌㅌ" localSheetId="7" hidden="1">{#N/A,#N/A,FALSE,"골재소요량";#N/A,#N/A,FALSE,"골재소요량"}</definedName>
    <definedName name="ㅌㅌㅌㅌㅌ" localSheetId="9" hidden="1">{#N/A,#N/A,FALSE,"골재소요량";#N/A,#N/A,FALSE,"골재소요량"}</definedName>
    <definedName name="ㅌㅌㅌㅌㅌ" localSheetId="4" hidden="1">{#N/A,#N/A,FALSE,"골재소요량";#N/A,#N/A,FALSE,"골재소요량"}</definedName>
    <definedName name="ㅌㅌㅌㅌㅌ" localSheetId="0" hidden="1">{#N/A,#N/A,FALSE,"골재소요량";#N/A,#N/A,FALSE,"골재소요량"}</definedName>
    <definedName name="ㅌㅌㅌㅌㅌ" hidden="1">{#N/A,#N/A,FALSE,"골재소요량";#N/A,#N/A,FALSE,"골재소요량"}</definedName>
    <definedName name="ㅌㅌㅌㅌㅌㅌ" localSheetId="12" hidden="1">{#N/A,#N/A,FALSE,"조골재"}</definedName>
    <definedName name="ㅌㅌㅌㅌㅌㅌ" localSheetId="11" hidden="1">{#N/A,#N/A,FALSE,"조골재"}</definedName>
    <definedName name="ㅌㅌㅌㅌㅌㅌ" localSheetId="7" hidden="1">{#N/A,#N/A,FALSE,"조골재"}</definedName>
    <definedName name="ㅌㅌㅌㅌㅌㅌ" localSheetId="9" hidden="1">{#N/A,#N/A,FALSE,"조골재"}</definedName>
    <definedName name="ㅌㅌㅌㅌㅌㅌ" localSheetId="4" hidden="1">{#N/A,#N/A,FALSE,"조골재"}</definedName>
    <definedName name="ㅌㅌㅌㅌㅌㅌ" localSheetId="0" hidden="1">{#N/A,#N/A,FALSE,"조골재"}</definedName>
    <definedName name="ㅌㅌㅌㅌㅌㅌ" hidden="1">{#N/A,#N/A,FALSE,"조골재"}</definedName>
    <definedName name="ㅌ홀" localSheetId="12">BlankMacro1</definedName>
    <definedName name="ㅌ홀" localSheetId="6">BlankMacro1</definedName>
    <definedName name="ㅌ홀">BlankMacro1</definedName>
    <definedName name="타">#N/A</definedName>
    <definedName name="타이어로라">250000</definedName>
    <definedName name="태영" localSheetId="12" hidden="1">{#N/A,#N/A,FALSE,"골재소요량";#N/A,#N/A,FALSE,"골재소요량"}</definedName>
    <definedName name="태영" localSheetId="11" hidden="1">{#N/A,#N/A,FALSE,"골재소요량";#N/A,#N/A,FALSE,"골재소요량"}</definedName>
    <definedName name="태영" localSheetId="7" hidden="1">{#N/A,#N/A,FALSE,"골재소요량";#N/A,#N/A,FALSE,"골재소요량"}</definedName>
    <definedName name="태영" localSheetId="9" hidden="1">{#N/A,#N/A,FALSE,"골재소요량";#N/A,#N/A,FALSE,"골재소요량"}</definedName>
    <definedName name="태영" localSheetId="4" hidden="1">{#N/A,#N/A,FALSE,"골재소요량";#N/A,#N/A,FALSE,"골재소요량"}</definedName>
    <definedName name="태영" localSheetId="0" hidden="1">{#N/A,#N/A,FALSE,"골재소요량";#N/A,#N/A,FALSE,"골재소요량"}</definedName>
    <definedName name="태영" hidden="1">{#N/A,#N/A,FALSE,"골재소요량";#N/A,#N/A,FALSE,"골재소요량"}</definedName>
    <definedName name="템플리트모듈1" localSheetId="12">BlankMacro1</definedName>
    <definedName name="템플리트모듈1" localSheetId="11">BlankMacro1</definedName>
    <definedName name="템플리트모듈10" localSheetId="12">BlankMacro1</definedName>
    <definedName name="템플리트모듈10" localSheetId="6">BlankMacro1</definedName>
    <definedName name="템플리트모듈10">BlankMacro1</definedName>
    <definedName name="템플리트모듈2" localSheetId="12">BlankMacro1</definedName>
    <definedName name="템플리트모듈2" localSheetId="11">BlankMacro1</definedName>
    <definedName name="템플리트모듈2.xls" localSheetId="12">BlankMacro1</definedName>
    <definedName name="템플리트모듈2.xls" localSheetId="6">BlankMacro1</definedName>
    <definedName name="템플리트모듈2.xls">BlankMacro1</definedName>
    <definedName name="템플리트모듈3" localSheetId="12">BlankMacro1</definedName>
    <definedName name="템플리트모듈3" localSheetId="11">BlankMacro1</definedName>
    <definedName name="템플리트모듈4" localSheetId="12">BlankMacro1</definedName>
    <definedName name="템플리트모듈4" localSheetId="11">BlankMacro1</definedName>
    <definedName name="템플리트모듈5" localSheetId="12">BlankMacro1</definedName>
    <definedName name="템플리트모듈5" localSheetId="11">BlankMacro1</definedName>
    <definedName name="템플리트모듈6" localSheetId="12">Dlog_Show</definedName>
    <definedName name="템플리트모듈6" localSheetId="11">BlankMacro1</definedName>
    <definedName name="토공." localSheetId="12" hidden="1">{#N/A,#N/A,FALSE,"운반시간"}</definedName>
    <definedName name="토공." localSheetId="11" hidden="1">{#N/A,#N/A,FALSE,"운반시간"}</definedName>
    <definedName name="토공." localSheetId="7" hidden="1">{#N/A,#N/A,FALSE,"운반시간"}</definedName>
    <definedName name="토공." localSheetId="9" hidden="1">{#N/A,#N/A,FALSE,"운반시간"}</definedName>
    <definedName name="토공." localSheetId="4" hidden="1">{#N/A,#N/A,FALSE,"운반시간"}</definedName>
    <definedName name="토공." localSheetId="0" hidden="1">{#N/A,#N/A,FALSE,"운반시간"}</definedName>
    <definedName name="토공." hidden="1">{#N/A,#N/A,FALSE,"운반시간"}</definedName>
    <definedName name="토공1">#N/A</definedName>
    <definedName name="토공수량집계표2" localSheetId="12">BLCH</definedName>
    <definedName name="토공수량집계표2" localSheetId="6">BLCH</definedName>
    <definedName name="토공수량집계표2">BLCH</definedName>
    <definedName name="토공유동표" localSheetId="12">#N/A</definedName>
    <definedName name="토공일반">#N/A</definedName>
    <definedName name="토공집계" localSheetId="12" hidden="1">{#N/A,#N/A,FALSE,"단가표지"}</definedName>
    <definedName name="토공집계" localSheetId="11" hidden="1">{#N/A,#N/A,FALSE,"단가표지"}</definedName>
    <definedName name="토공집계" localSheetId="9" hidden="1">{#N/A,#N/A,FALSE,"단가표지"}</definedName>
    <definedName name="토공하도급1" localSheetId="7" hidden="1">{#N/A,#N/A,FALSE,"단가표지"}</definedName>
    <definedName name="토공하도급1" localSheetId="4" hidden="1">{#N/A,#N/A,FALSE,"단가표지"}</definedName>
    <definedName name="토공하도급1" localSheetId="0" hidden="1">{#N/A,#N/A,FALSE,"단가표지"}</definedName>
    <definedName name="토공하도급1" hidden="1">{#N/A,#N/A,FALSE,"단가표지"}</definedName>
    <definedName name="토목" localSheetId="12" hidden="1">{#N/A,#N/A,FALSE,"골재소요량";#N/A,#N/A,FALSE,"골재소요량"}</definedName>
    <definedName name="토목" hidden="1">{#N/A,#N/A,FALSE,"골재소요량";#N/A,#N/A,FALSE,"골재소요량"}</definedName>
    <definedName name="토목견적" localSheetId="12" hidden="1">{#N/A,#N/A,FALSE,"골재소요량";#N/A,#N/A,FALSE,"골재소요량"}</definedName>
    <definedName name="토목견적" hidden="1">{#N/A,#N/A,FALSE,"골재소요량";#N/A,#N/A,FALSE,"골재소요량"}</definedName>
    <definedName name="토목설계" localSheetId="12" hidden="1">{#N/A,#N/A,FALSE,"골재소요량";#N/A,#N/A,FALSE,"골재소요량"}</definedName>
    <definedName name="토목설계" localSheetId="11" hidden="1">{#N/A,#N/A,FALSE,"골재소요량";#N/A,#N/A,FALSE,"골재소요량"}</definedName>
    <definedName name="토목설계" localSheetId="7" hidden="1">{#N/A,#N/A,FALSE,"골재소요량";#N/A,#N/A,FALSE,"골재소요량"}</definedName>
    <definedName name="토목설계" localSheetId="4" hidden="1">{#N/A,#N/A,FALSE,"골재소요량";#N/A,#N/A,FALSE,"골재소요량"}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" localSheetId="12" hidden="1">{#N/A,#N/A,FALSE,"골재소요량";#N/A,#N/A,FALSE,"골재소요량"}</definedName>
    <definedName name="토목실행" hidden="1">{#N/A,#N/A,FALSE,"골재소요량";#N/A,#N/A,FALSE,"골재소요량"}</definedName>
    <definedName name="통신집계" localSheetId="12">BlankMacro1</definedName>
    <definedName name="통신집계" localSheetId="6">BlankMacro1</definedName>
    <definedName name="통신집계">BlankMacro1</definedName>
    <definedName name="통합">#N/A</definedName>
    <definedName name="투찰" localSheetId="12" hidden="1">{#N/A,#N/A,FALSE,"단가표지"}</definedName>
    <definedName name="투찰" hidden="1">{#N/A,#N/A,FALSE,"단가표지"}</definedName>
    <definedName name="투찰서_2">#N/A</definedName>
    <definedName name="투찰서_3">#N/A</definedName>
    <definedName name="투찰서2">#N/A</definedName>
    <definedName name="튜" localSheetId="6">BlankMacro1</definedName>
    <definedName name="튜">BlankMacro1</definedName>
    <definedName name="튳" localSheetId="12">BlankMacro1</definedName>
    <definedName name="튳" localSheetId="6">BlankMacro1</definedName>
    <definedName name="튳">BlankMacro1</definedName>
    <definedName name="특별">44562</definedName>
    <definedName name="특수인부">62000</definedName>
    <definedName name="ㅍ" localSheetId="12">#N/A</definedName>
    <definedName name="ㅍ" localSheetId="11">BlankMacro1</definedName>
    <definedName name="ㅍ" hidden="1">{#N/A,#N/A,FALSE,"혼합골재"}</definedName>
    <definedName name="ㅍㅁㄴㅍㄴㅍ" localSheetId="12">BlankMacro1</definedName>
    <definedName name="ㅍㅁㄴㅍㄴㅍ" localSheetId="6">BlankMacro1</definedName>
    <definedName name="ㅍㅁㄴㅍㄴㅍ">BlankMacro1</definedName>
    <definedName name="ㅍㅊㅌ" localSheetId="12">BlankMacro1</definedName>
    <definedName name="ㅍㅊㅌ" localSheetId="6">BlankMacro1</definedName>
    <definedName name="ㅍㅊㅌ">BlankMacro1</definedName>
    <definedName name="ㅍ츝ㅊㅍ" localSheetId="12">BlankMacro1</definedName>
    <definedName name="ㅍ츝ㅊㅍ" localSheetId="6">BlankMacro1</definedName>
    <definedName name="ㅍ츝ㅊㅍ">BlankMacro1</definedName>
    <definedName name="ㅍㅋㅌㅊㅍㅊㅌ" localSheetId="12">BlankMacro1</definedName>
    <definedName name="ㅍㅋㅌㅊㅍㅊㅌ" localSheetId="6">BlankMacro1</definedName>
    <definedName name="ㅍㅋㅌㅊㅍㅊㅌ">BlankMacro1</definedName>
    <definedName name="ㅍㅌㅊㅊㅌ" localSheetId="12">BlankMacro1</definedName>
    <definedName name="ㅍㅌㅊㅊㅌ" localSheetId="6">BlankMacro1</definedName>
    <definedName name="ㅍㅌㅊㅊㅌ">BlankMacro1</definedName>
    <definedName name="ㅍㅌㅊㅋㅌㅊ" localSheetId="12">BlankMacro1</definedName>
    <definedName name="ㅍㅌㅊㅋㅌㅊ" localSheetId="6">BlankMacro1</definedName>
    <definedName name="ㅍㅌㅊㅋㅌㅊ">BlankMacro1</definedName>
    <definedName name="ㅍㅍ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ㅍㅍ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ㅍㅍㅍ">#N/A</definedName>
    <definedName name="ㅍㅍㅍㅍㅍ" localSheetId="12" hidden="1">{#N/A,#N/A,FALSE,"표지목차"}</definedName>
    <definedName name="ㅍㅍㅍㅍㅍ" localSheetId="11" hidden="1">{#N/A,#N/A,FALSE,"표지목차"}</definedName>
    <definedName name="ㅍㅍㅍㅍㅍ" localSheetId="7" hidden="1">{#N/A,#N/A,FALSE,"표지목차"}</definedName>
    <definedName name="ㅍㅍㅍㅍㅍ" localSheetId="9" hidden="1">{#N/A,#N/A,FALSE,"표지목차"}</definedName>
    <definedName name="ㅍㅍㅍㅍㅍ" localSheetId="4" hidden="1">{#N/A,#N/A,FALSE,"표지목차"}</definedName>
    <definedName name="ㅍㅍㅍㅍㅍ" localSheetId="0" hidden="1">{#N/A,#N/A,FALSE,"표지목차"}</definedName>
    <definedName name="ㅍㅍㅍㅍㅍ" hidden="1">{#N/A,#N/A,FALSE,"표지목차"}</definedName>
    <definedName name="파" localSheetId="12">#N/A</definedName>
    <definedName name="파군재교" localSheetId="12" hidden="1">{#N/A,#N/A,FALSE,"단면 제원"}</definedName>
    <definedName name="파군재교" hidden="1">{#N/A,#N/A,FALSE,"단면 제원"}</definedName>
    <definedName name="판넬" localSheetId="12" hidden="1">{"'단계별시설공사비'!$A$3:$K$51"}</definedName>
    <definedName name="판넬" hidden="1">{"'단계별시설공사비'!$A$3:$K$51"}</definedName>
    <definedName name="페이지" localSheetId="12" hidden="1">{"'Firr(선)'!$AS$1:$AY$62","'Firr(사)'!$AS$1:$AY$62","'Firr(회)'!$AS$1:$AY$62","'Firr(선)'!$L$1:$V$62","'Firr(사)'!$L$1:$V$62","'Firr(회)'!$L$1:$V$62"}</definedName>
    <definedName name="페이지" hidden="1">{"'Firr(선)'!$AS$1:$AY$62","'Firr(사)'!$AS$1:$AY$62","'Firr(회)'!$AS$1:$AY$62","'Firr(선)'!$L$1:$V$62","'Firr(사)'!$L$1:$V$62","'Firr(회)'!$L$1:$V$62"}</definedName>
    <definedName name="편지기초" localSheetId="12" hidden="1">{#N/A,#N/A,FALSE,"배수2"}</definedName>
    <definedName name="편지기초" localSheetId="11" hidden="1">{#N/A,#N/A,FALSE,"배수2"}</definedName>
    <definedName name="편지기초" localSheetId="7" hidden="1">{#N/A,#N/A,FALSE,"배수2"}</definedName>
    <definedName name="편지기초" localSheetId="4" hidden="1">{#N/A,#N/A,FALSE,"배수2"}</definedName>
    <definedName name="편지기초" localSheetId="0" hidden="1">{#N/A,#N/A,FALSE,"배수2"}</definedName>
    <definedName name="편지기초" hidden="1">{#N/A,#N/A,FALSE,"배수2"}</definedName>
    <definedName name="폐기물" localSheetId="12">BlankMacro1</definedName>
    <definedName name="폐기물" localSheetId="6">BlankMacro1</definedName>
    <definedName name="폐기물">BlankMacro1</definedName>
    <definedName name="폐기물집계표" localSheetId="12">#N/A</definedName>
    <definedName name="폐기물집계표">#N/A</definedName>
    <definedName name="폐기수량" localSheetId="12">BlankMacro1</definedName>
    <definedName name="폐기수량" localSheetId="6">BlankMacro1</definedName>
    <definedName name="폐기수량">BlankMacro1</definedName>
    <definedName name="포기3" localSheetId="12" hidden="1">{#N/A,#N/A,FALSE,"표지목차"}</definedName>
    <definedName name="포기3" hidden="1">{#N/A,#N/A,FALSE,"표지목차"}</definedName>
    <definedName name="포장2" localSheetId="12" hidden="1">{#N/A,#N/A,FALSE,"포장1";#N/A,#N/A,FALSE,"포장1"}</definedName>
    <definedName name="포장2" hidden="1">{#N/A,#N/A,FALSE,"포장1";#N/A,#N/A,FALSE,"포장1"}</definedName>
    <definedName name="포장공1" localSheetId="12">BlankMacro1</definedName>
    <definedName name="포장공1" localSheetId="6">BlankMacro1</definedName>
    <definedName name="포장공1">BlankMacro1</definedName>
    <definedName name="포장단가" localSheetId="12" hidden="1">{#N/A,#N/A,FALSE,"포장단가"}</definedName>
    <definedName name="포장단가" hidden="1">{#N/A,#N/A,FALSE,"포장단가"}</definedName>
    <definedName name="포장단가1" localSheetId="12" hidden="1">{#N/A,#N/A,FALSE,"포장단가"}</definedName>
    <definedName name="포장단가1" hidden="1">{#N/A,#N/A,FALSE,"포장단가"}</definedName>
    <definedName name="포장단가3" localSheetId="12" hidden="1">{#N/A,#N/A,FALSE,"포장단가"}</definedName>
    <definedName name="포장단가3" hidden="1">{#N/A,#N/A,FALSE,"포장단가"}</definedName>
    <definedName name="포장단가4" localSheetId="12" hidden="1">{#N/A,#N/A,FALSE,"포장단가"}</definedName>
    <definedName name="포장단가4" hidden="1">{#N/A,#N/A,FALSE,"포장단가"}</definedName>
    <definedName name="포장설비" localSheetId="7" hidden="1">{#N/A,#N/A,FALSE,"포장단가"}</definedName>
    <definedName name="포장설비" localSheetId="4" hidden="1">{#N/A,#N/A,FALSE,"포장단가"}</definedName>
    <definedName name="포장설비" localSheetId="0" hidden="1">{#N/A,#N/A,FALSE,"포장단가"}</definedName>
    <definedName name="포장설비" hidden="1">{#N/A,#N/A,FALSE,"포장단가"}</definedName>
    <definedName name="표지14" localSheetId="12">BlankMacro1</definedName>
    <definedName name="표지14" localSheetId="6">BlankMacro1</definedName>
    <definedName name="표지14">BlankMacro1</definedName>
    <definedName name="표지3">#N/A</definedName>
    <definedName name="표지4">#N/A</definedName>
    <definedName name="표층">2.32</definedName>
    <definedName name="품위내역서" localSheetId="12">BlankMacro1</definedName>
    <definedName name="품위내역서" localSheetId="6">BlankMacro1</definedName>
    <definedName name="품위내역서">BlankMacro1</definedName>
    <definedName name="퓿튵츄" localSheetId="12">BlankMacro1</definedName>
    <definedName name="퓿튵츄" localSheetId="6">BlankMacro1</definedName>
    <definedName name="퓿튵츄">BlankMacro1</definedName>
    <definedName name="픁ㅊ퓨" localSheetId="12">BlankMacro1</definedName>
    <definedName name="픁ㅊ퓨" localSheetId="6">BlankMacro1</definedName>
    <definedName name="픁ㅊ퓨">BlankMacro1</definedName>
    <definedName name="ㅎ" hidden="1">{#N/A,#N/A,FALSE,"골재소요량";#N/A,#N/A,FALSE,"골재소요량"}</definedName>
    <definedName name="ㅎ5" localSheetId="12" hidden="1">{#N/A,#N/A,FALSE,"골재소요량";#N/A,#N/A,FALSE,"골재소요량"}</definedName>
    <definedName name="ㅎ5" hidden="1">{#N/A,#N/A,FALSE,"골재소요량";#N/A,#N/A,FALSE,"골재소요량"}</definedName>
    <definedName name="ㅎㄱ" localSheetId="12">BLCH</definedName>
    <definedName name="ㅎㄱ" localSheetId="11">BLCH</definedName>
    <definedName name="ㅎㄱㄷㅎ" localSheetId="12" hidden="1">{#N/A,#N/A,FALSE,"골재소요량";#N/A,#N/A,FALSE,"골재소요량"}</definedName>
    <definedName name="ㅎㄱㄷㅎ" localSheetId="11" hidden="1">{#N/A,#N/A,FALSE,"골재소요량";#N/A,#N/A,FALSE,"골재소요량"}</definedName>
    <definedName name="ㅎㄱㄷㅎ" localSheetId="7" hidden="1">{#N/A,#N/A,FALSE,"골재소요량";#N/A,#N/A,FALSE,"골재소요량"}</definedName>
    <definedName name="ㅎㄱㄷㅎ" localSheetId="9" hidden="1">{#N/A,#N/A,FALSE,"골재소요량";#N/A,#N/A,FALSE,"골재소요량"}</definedName>
    <definedName name="ㅎㄱㄷㅎ" localSheetId="4" hidden="1">{#N/A,#N/A,FALSE,"골재소요량";#N/A,#N/A,FALSE,"골재소요량"}</definedName>
    <definedName name="ㅎㄱㄷㅎ" localSheetId="0" hidden="1">{#N/A,#N/A,FALSE,"골재소요량";#N/A,#N/A,FALSE,"골재소요량"}</definedName>
    <definedName name="ㅎㄱㄷㅎ" hidden="1">{#N/A,#N/A,FALSE,"골재소요량";#N/A,#N/A,FALSE,"골재소요량"}</definedName>
    <definedName name="ㅎㄱㅎㅎㄷㄶ" localSheetId="12" hidden="1">{#N/A,#N/A,FALSE,"골재소요량";#N/A,#N/A,FALSE,"골재소요량"}</definedName>
    <definedName name="ㅎㄱㅎㅎㄷㄶ" localSheetId="11" hidden="1">{#N/A,#N/A,FALSE,"골재소요량";#N/A,#N/A,FALSE,"골재소요량"}</definedName>
    <definedName name="ㅎㄱㅎㅎㄷㄶ" localSheetId="7" hidden="1">{#N/A,#N/A,FALSE,"골재소요량";#N/A,#N/A,FALSE,"골재소요량"}</definedName>
    <definedName name="ㅎㄱㅎㅎㄷㄶ" localSheetId="9" hidden="1">{#N/A,#N/A,FALSE,"골재소요량";#N/A,#N/A,FALSE,"골재소요량"}</definedName>
    <definedName name="ㅎㄱㅎㅎㄷㄶ" localSheetId="4" hidden="1">{#N/A,#N/A,FALSE,"골재소요량";#N/A,#N/A,FALSE,"골재소요량"}</definedName>
    <definedName name="ㅎㄱㅎㅎㄷㄶ" localSheetId="0" hidden="1">{#N/A,#N/A,FALSE,"골재소요량";#N/A,#N/A,FALSE,"골재소요량"}</definedName>
    <definedName name="ㅎㄱㅎㅎㄷㄶ" hidden="1">{#N/A,#N/A,FALSE,"골재소요량";#N/A,#N/A,FALSE,"골재소요량"}</definedName>
    <definedName name="ㅎㄴㅁㄹㅇㄹㄴ" localSheetId="12" hidden="1">{#N/A,"수불부",FALSE,"사급자재수불서";#N/A,"수불부",FALSE,"사급자재수불서"}</definedName>
    <definedName name="ㅎㄴㅁㄹㅇㄹㄴ" hidden="1">{#N/A,"수불부",FALSE,"사급자재수불서";#N/A,"수불부",FALSE,"사급자재수불서"}</definedName>
    <definedName name="ㅎㄴㅇㅀ" localSheetId="12">BlankMacro1</definedName>
    <definedName name="ㅎㄴㅇㅀ" localSheetId="6">BlankMacro1</definedName>
    <definedName name="ㅎㄴㅇㅀ">BlankMacro1</definedName>
    <definedName name="ㅎㄷㅇ" localSheetId="7" hidden="1">{#N/A,#N/A,FALSE,"골재소요량";#N/A,#N/A,FALSE,"골재소요량"}</definedName>
    <definedName name="ㅎㄷㅇ" localSheetId="4" hidden="1">{#N/A,#N/A,FALSE,"골재소요량";#N/A,#N/A,FALSE,"골재소요량"}</definedName>
    <definedName name="ㅎㄷㅇ" localSheetId="0" hidden="1">{#N/A,#N/A,FALSE,"골재소요량";#N/A,#N/A,FALSE,"골재소요량"}</definedName>
    <definedName name="ㅎㄷㅇ" hidden="1">{#N/A,#N/A,FALSE,"골재소요량";#N/A,#N/A,FALSE,"골재소요량"}</definedName>
    <definedName name="ㅎㄹ" localSheetId="12">BLCH</definedName>
    <definedName name="ㅎㄹ" localSheetId="6">BlankMacro1</definedName>
    <definedName name="ㅎㄹ">BlankMacro1</definedName>
    <definedName name="ㅎㄹㄴ" localSheetId="12" hidden="1">{#N/A,#N/A,FALSE,"2~8번"}</definedName>
    <definedName name="ㅎㄹㄴ" localSheetId="11" hidden="1">{#N/A,#N/A,FALSE,"2~8번"}</definedName>
    <definedName name="ㅎㄹㄴ" localSheetId="7" hidden="1">{#N/A,#N/A,FALSE,"2~8번"}</definedName>
    <definedName name="ㅎㄹㄴ" localSheetId="9" hidden="1">{#N/A,#N/A,FALSE,"2~8번"}</definedName>
    <definedName name="ㅎㄹㄴ" localSheetId="4" hidden="1">{#N/A,#N/A,FALSE,"2~8번"}</definedName>
    <definedName name="ㅎㄹㄴ" localSheetId="0" hidden="1">{#N/A,#N/A,FALSE,"2~8번"}</definedName>
    <definedName name="ㅎㄹㄴ" hidden="1">{#N/A,#N/A,FALSE,"2~8번"}</definedName>
    <definedName name="ㅎㄹㄹㅇㄶ" localSheetId="12">BlankMacro1</definedName>
    <definedName name="ㅎㄹㄹㅇㄶ" localSheetId="6">BlankMacro1</definedName>
    <definedName name="ㅎㄹㄹㅇㄶ">BlankMacro1</definedName>
    <definedName name="ㅎㄹㅇㄴ" localSheetId="12">BlankMacro1</definedName>
    <definedName name="ㅎㄹㅇㄴ" localSheetId="6">BlankMacro1</definedName>
    <definedName name="ㅎㄹㅇㄴ">BlankMacro1</definedName>
    <definedName name="ㅎㄹㅇㄹㄴㅇㄴㄹ" localSheetId="12" hidden="1">{#N/A,#N/A,FALSE,"표지목차"}</definedName>
    <definedName name="ㅎㄹㅇㄹㄴㅇㄴㄹ" localSheetId="11" hidden="1">{#N/A,#N/A,FALSE,"표지목차"}</definedName>
    <definedName name="ㅎㄹㅇㄹㄴㅇㄴㄹ" localSheetId="7" hidden="1">{#N/A,#N/A,FALSE,"표지목차"}</definedName>
    <definedName name="ㅎㄹㅇㄹㄴㅇㄴㄹ" localSheetId="9" hidden="1">{#N/A,#N/A,FALSE,"표지목차"}</definedName>
    <definedName name="ㅎㄹㅇㄹㄴㅇㄴㄹ" localSheetId="4" hidden="1">{#N/A,#N/A,FALSE,"표지목차"}</definedName>
    <definedName name="ㅎㄹㅇㄹㄴㅇㄴㄹ" localSheetId="0" hidden="1">{#N/A,#N/A,FALSE,"표지목차"}</definedName>
    <definedName name="ㅎㄹㅇㄹㄴㅇㄴㄹ" hidden="1">{#N/A,#N/A,FALSE,"표지목차"}</definedName>
    <definedName name="ㅎㄹ오하ㅓ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류휴ㅠㅎ휴" localSheetId="12" hidden="1">{#N/A,#N/A,FALSE,"골재소요량";#N/A,#N/A,FALSE,"골재소요량"}</definedName>
    <definedName name="ㅎ류휴ㅠㅎ휴" localSheetId="11" hidden="1">{#N/A,#N/A,FALSE,"골재소요량";#N/A,#N/A,FALSE,"골재소요량"}</definedName>
    <definedName name="ㅎ류휴ㅠㅎ휴" localSheetId="7" hidden="1">{#N/A,#N/A,FALSE,"골재소요량";#N/A,#N/A,FALSE,"골재소요량"}</definedName>
    <definedName name="ㅎ류휴ㅠㅎ휴" localSheetId="9" hidden="1">{#N/A,#N/A,FALSE,"골재소요량";#N/A,#N/A,FALSE,"골재소요량"}</definedName>
    <definedName name="ㅎ류휴ㅠㅎ휴" localSheetId="4" hidden="1">{#N/A,#N/A,FALSE,"골재소요량";#N/A,#N/A,FALSE,"골재소요량"}</definedName>
    <definedName name="ㅎ류휴ㅠㅎ휴" localSheetId="0" hidden="1">{#N/A,#N/A,FALSE,"골재소요량";#N/A,#N/A,FALSE,"골재소요량"}</definedName>
    <definedName name="ㅎ류휴ㅠㅎ휴" hidden="1">{#N/A,#N/A,FALSE,"골재소요량";#N/A,#N/A,FALSE,"골재소요량"}</definedName>
    <definedName name="ㅎ류ㅠㅍㅎㅇㅎ" localSheetId="12" hidden="1">{#N/A,#N/A,FALSE,"골재소요량";#N/A,#N/A,FALSE,"골재소요량"}</definedName>
    <definedName name="ㅎ류ㅠㅍㅎㅇㅎ" localSheetId="11" hidden="1">{#N/A,#N/A,FALSE,"골재소요량";#N/A,#N/A,FALSE,"골재소요량"}</definedName>
    <definedName name="ㅎ류ㅠㅍㅎㅇㅎ" localSheetId="7" hidden="1">{#N/A,#N/A,FALSE,"골재소요량";#N/A,#N/A,FALSE,"골재소요량"}</definedName>
    <definedName name="ㅎ류ㅠㅍㅎㅇㅎ" localSheetId="9" hidden="1">{#N/A,#N/A,FALSE,"골재소요량";#N/A,#N/A,FALSE,"골재소요량"}</definedName>
    <definedName name="ㅎ류ㅠㅍㅎㅇㅎ" localSheetId="4" hidden="1">{#N/A,#N/A,FALSE,"골재소요량";#N/A,#N/A,FALSE,"골재소요량"}</definedName>
    <definedName name="ㅎ류ㅠㅍㅎㅇㅎ" localSheetId="0" hidden="1">{#N/A,#N/A,FALSE,"골재소요량";#N/A,#N/A,FALSE,"골재소요량"}</definedName>
    <definedName name="ㅎ류ㅠㅍㅎㅇㅎ" hidden="1">{#N/A,#N/A,FALSE,"골재소요량";#N/A,#N/A,FALSE,"골재소요량"}</definedName>
    <definedName name="ㅎ률" localSheetId="12" hidden="1">{#N/A,#N/A,FALSE,"조골재"}</definedName>
    <definedName name="ㅎ률" localSheetId="11" hidden="1">{#N/A,#N/A,FALSE,"조골재"}</definedName>
    <definedName name="ㅎ률" localSheetId="7" hidden="1">{#N/A,#N/A,FALSE,"조골재"}</definedName>
    <definedName name="ㅎ률" localSheetId="9" hidden="1">{#N/A,#N/A,FALSE,"조골재"}</definedName>
    <definedName name="ㅎ률" localSheetId="4" hidden="1">{#N/A,#N/A,FALSE,"조골재"}</definedName>
    <definedName name="ㅎ률" localSheetId="0" hidden="1">{#N/A,#N/A,FALSE,"조골재"}</definedName>
    <definedName name="ㅎ률" hidden="1">{#N/A,#N/A,FALSE,"조골재"}</definedName>
    <definedName name="ㅎㅀ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ㅎㅀ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ㅎㅂㅂㅂㅂㅂㅂㅂㅂ" localSheetId="12">BlankMacro1</definedName>
    <definedName name="ㅎㅂㅂㅂㅂㅂㅂㅂㅂ" localSheetId="6">BlankMacro1</definedName>
    <definedName name="ㅎㅂㅂㅂㅂㅂㅂㅂㅂ">BlankMacro1</definedName>
    <definedName name="ㅎㅂㅂㅂㅂㅂㅂㅂㅂㅁ" localSheetId="12">BlankMacro1</definedName>
    <definedName name="ㅎㅂㅂㅂㅂㅂㅂㅂㅂㅁ" localSheetId="6">BlankMacro1</definedName>
    <definedName name="ㅎㅂㅂㅂㅂㅂㅂㅂㅂㅁ">BlankMacro1</definedName>
    <definedName name="ㅎㅅ" localSheetId="12">BlankMacro1</definedName>
    <definedName name="ㅎㅅ" localSheetId="6">BlankMacro1</definedName>
    <definedName name="ㅎㅅ">BlankMacro1</definedName>
    <definedName name="ㅎㅇㄴ" localSheetId="12" hidden="1">{#N/A,#N/A,FALSE,"2~8번"}</definedName>
    <definedName name="ㅎㅇㄴ" localSheetId="11" hidden="1">{#N/A,#N/A,FALSE,"2~8번"}</definedName>
    <definedName name="ㅎㅇㄴ" localSheetId="7" hidden="1">{#N/A,#N/A,FALSE,"2~8번"}</definedName>
    <definedName name="ㅎㅇㄴ" localSheetId="9" hidden="1">{#N/A,#N/A,FALSE,"2~8번"}</definedName>
    <definedName name="ㅎㅇㄴ" localSheetId="4" hidden="1">{#N/A,#N/A,FALSE,"2~8번"}</definedName>
    <definedName name="ㅎㅇㄴ" localSheetId="0" hidden="1">{#N/A,#N/A,FALSE,"2~8번"}</definedName>
    <definedName name="ㅎㅇㄴ" hidden="1">{#N/A,#N/A,FALSE,"2~8번"}</definedName>
    <definedName name="ㅎㅇㄴㅀ" localSheetId="12">BlankMacro1</definedName>
    <definedName name="ㅎㅇㄴㅀ" localSheetId="6">BlankMacro1</definedName>
    <definedName name="ㅎㅇㄴㅀ">BlankMacro1</definedName>
    <definedName name="ㅎㅇㄹ" localSheetId="12">BlankMacro1</definedName>
    <definedName name="ㅎㅇㄹ" localSheetId="6">BlankMacro1</definedName>
    <definedName name="ㅎㅇㄹ">BlankMacro1</definedName>
    <definedName name="ㅎㅎ" localSheetId="7" hidden="1">{#N/A,#N/A,FALSE,"표지목차"}</definedName>
    <definedName name="ㅎㅎ" localSheetId="9" hidden="1">{#N/A,#N/A,FALSE,"단가표지"}</definedName>
    <definedName name="ㅎㅎ" localSheetId="4" hidden="1">{#N/A,#N/A,FALSE,"표지목차"}</definedName>
    <definedName name="ㅎㅎ" localSheetId="0" hidden="1">{#N/A,#N/A,FALSE,"표지목차"}</definedName>
    <definedName name="ㅎㅎ" hidden="1">{#N/A,#N/A,FALSE,"표지목차"}</definedName>
    <definedName name="ㅎㅎㅎ" localSheetId="12" hidden="1">{#N/A,#N/A,FALSE,"혼합골재"}</definedName>
    <definedName name="ㅎㅎㅎ" localSheetId="11" hidden="1">{#N/A,#N/A,FALSE,"혼합골재"}</definedName>
    <definedName name="ㅎㅎㅎ" localSheetId="7" hidden="1">{#N/A,#N/A,FALSE,"혼합골재"}</definedName>
    <definedName name="ㅎㅎㅎ" localSheetId="9" hidden="1">{#N/A,#N/A,FALSE,"혼합골재"}</definedName>
    <definedName name="ㅎㅎㅎ" localSheetId="4" hidden="1">{#N/A,#N/A,FALSE,"혼합골재"}</definedName>
    <definedName name="ㅎㅎㅎ" localSheetId="0" hidden="1">{#N/A,#N/A,FALSE,"혼합골재"}</definedName>
    <definedName name="ㅎㅎㅎ" hidden="1">{#N/A,#N/A,FALSE,"혼합골재"}</definedName>
    <definedName name="ㅎㅎㅎㅇㄴ" localSheetId="12" hidden="1">{#N/A,#N/A,FALSE,"표지목차"}</definedName>
    <definedName name="ㅎㅎㅎㅇㄴ" localSheetId="11" hidden="1">{#N/A,#N/A,FALSE,"표지목차"}</definedName>
    <definedName name="ㅎㅎㅎㅇㄴ" localSheetId="7" hidden="1">{#N/A,#N/A,FALSE,"표지목차"}</definedName>
    <definedName name="ㅎㅎㅎㅇㄴ" localSheetId="9" hidden="1">{#N/A,#N/A,FALSE,"표지목차"}</definedName>
    <definedName name="ㅎㅎㅎㅇㄴ" localSheetId="4" hidden="1">{#N/A,#N/A,FALSE,"표지목차"}</definedName>
    <definedName name="ㅎㅎㅎㅇㄴ" localSheetId="0" hidden="1">{#N/A,#N/A,FALSE,"표지목차"}</definedName>
    <definedName name="ㅎㅎㅎㅇㄴ" hidden="1">{#N/A,#N/A,FALSE,"표지목차"}</definedName>
    <definedName name="ㅎㅎㅎㅎ" localSheetId="7" hidden="1">{#N/A,#N/A,FALSE,"2~8번"}</definedName>
    <definedName name="ㅎㅎㅎㅎ" localSheetId="9" hidden="1">{#N/A,#N/A,FALSE,"2~8번"}</definedName>
    <definedName name="ㅎㅎㅎㅎ" localSheetId="4" hidden="1">{#N/A,#N/A,FALSE,"2~8번"}</definedName>
    <definedName name="ㅎㅎㅎㅎ" localSheetId="0" hidden="1">{#N/A,#N/A,FALSE,"2~8번"}</definedName>
    <definedName name="ㅎㅎㅎㅎ" hidden="1">{#N/A,#N/A,FALSE,"2~8번"}</definedName>
    <definedName name="ㅎㅎㅎㅎㅎ" localSheetId="12" hidden="1">{#N/A,#N/A,FALSE,"단가표지"}</definedName>
    <definedName name="ㅎㅎㅎㅎㅎ" localSheetId="11" hidden="1">{#N/A,#N/A,FALSE,"단가표지"}</definedName>
    <definedName name="ㅎㅎㅎㅎㅎ" localSheetId="7" hidden="1">{#N/A,#N/A,FALSE,"단가표지"}</definedName>
    <definedName name="ㅎㅎㅎㅎㅎ" localSheetId="9" hidden="1">{#N/A,#N/A,FALSE,"골재소요량";#N/A,#N/A,FALSE,"골재소요량"}</definedName>
    <definedName name="ㅎㅎㅎㅎㅎ" localSheetId="4" hidden="1">{#N/A,#N/A,FALSE,"단가표지"}</definedName>
    <definedName name="ㅎㅎㅎㅎㅎ" localSheetId="0" hidden="1">{#N/A,#N/A,FALSE,"단가표지"}</definedName>
    <definedName name="ㅎㅎㅎㅎㅎ" hidden="1">{#N/A,#N/A,FALSE,"단가표지"}</definedName>
    <definedName name="ㅎㅎㅎㅎㅎㅜㅜ" localSheetId="12" hidden="1">{#N/A,#N/A,FALSE,"조골재"}</definedName>
    <definedName name="ㅎㅎㅎㅎㅎㅜㅜ" localSheetId="11" hidden="1">{#N/A,#N/A,FALSE,"조골재"}</definedName>
    <definedName name="ㅎㅎㅎㅎㅎㅜㅜ" localSheetId="7" hidden="1">{#N/A,#N/A,FALSE,"조골재"}</definedName>
    <definedName name="ㅎㅎㅎㅎㅎㅜㅜ" localSheetId="9" hidden="1">{#N/A,#N/A,FALSE,"조골재"}</definedName>
    <definedName name="ㅎㅎㅎㅎㅎㅜㅜ" localSheetId="4" hidden="1">{#N/A,#N/A,FALSE,"조골재"}</definedName>
    <definedName name="ㅎㅎㅎㅎㅎㅜㅜ" localSheetId="0" hidden="1">{#N/A,#N/A,FALSE,"조골재"}</definedName>
    <definedName name="ㅎㅎㅎㅎㅎㅜㅜ" hidden="1">{#N/A,#N/A,FALSE,"조골재"}</definedName>
    <definedName name="하도급" localSheetId="12">#N/A</definedName>
    <definedName name="하도대상" localSheetId="12" hidden="1">{#N/A,#N/A,FALSE,"골재소요량";#N/A,#N/A,FALSE,"골재소요량"}</definedName>
    <definedName name="하도대상" hidden="1">{#N/A,#N/A,FALSE,"골재소요량";#N/A,#N/A,FALSE,"골재소요량"}</definedName>
    <definedName name="하도사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업체명">#N/A</definedName>
    <definedName name="하하하" localSheetId="12" hidden="1">{#N/A,#N/A,FALSE,"명세표"}</definedName>
    <definedName name="하하하" hidden="1">{#N/A,#N/A,FALSE,"명세표"}</definedName>
    <definedName name="하화" localSheetId="12">BlankMacro1</definedName>
    <definedName name="하화" localSheetId="6">BlankMacro1</definedName>
    <definedName name="하화">BlankMacro1</definedName>
    <definedName name="한" localSheetId="11">BlankMacro1</definedName>
    <definedName name="한" localSheetId="6">BlankMacro1</definedName>
    <definedName name="한">BlankMacro1</definedName>
    <definedName name="한동" localSheetId="12" hidden="1">{#N/A,#N/A,FALSE,"단가표지"}</definedName>
    <definedName name="한동" hidden="1">{#N/A,#N/A,FALSE,"단가표지"}</definedName>
    <definedName name="한전수" localSheetId="12" hidden="1">{#N/A,#N/A,FALSE,"명세표"}</definedName>
    <definedName name="한전수" hidden="1">{#N/A,#N/A,FALSE,"명세표"}</definedName>
    <definedName name="항나" localSheetId="12" hidden="1">{"'급수관로수리계산서'!$A$1:$V$45"}</definedName>
    <definedName name="항나" hidden="1">{"'급수관로수리계산서'!$A$1:$V$45"}</definedName>
    <definedName name="해" localSheetId="12">BlankMacro1</definedName>
    <definedName name="해" localSheetId="11">BlankMacro1</definedName>
    <definedName name="해" localSheetId="6">BlankMacro1</definedName>
    <definedName name="해">BlankMacro1</definedName>
    <definedName name="해룡" localSheetId="12">BlankMacro1</definedName>
    <definedName name="해룡" localSheetId="11">BlankMacro1</definedName>
    <definedName name="해룡" localSheetId="6">BlankMacro1</definedName>
    <definedName name="해룡">BlankMacro1</definedName>
    <definedName name="헐기" localSheetId="12">BlankMacro1</definedName>
    <definedName name="헐기" localSheetId="6">BlankMacro1</definedName>
    <definedName name="헐기">BlankMacro1</definedName>
    <definedName name="헐기16" localSheetId="12">BlankMacro1</definedName>
    <definedName name="헐기16" localSheetId="6">BlankMacro1</definedName>
    <definedName name="헐기16">BlankMacro1</definedName>
    <definedName name="헐기17" localSheetId="12">BlankMacro1</definedName>
    <definedName name="헐기17" localSheetId="6">BlankMacro1</definedName>
    <definedName name="헐기17">BlankMacro1</definedName>
    <definedName name="현대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찰계약금">#N/A</definedName>
    <definedName name="호ㅎ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호ㅎ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호호호" localSheetId="12" hidden="1">{#N/A,#N/A,FALSE,"명세표"}</definedName>
    <definedName name="호호호" hidden="1">{#N/A,#N/A,FALSE,"명세표"}</definedName>
    <definedName name="호ㅠ포" localSheetId="12" hidden="1">{#N/A,#N/A,FALSE,"표지목차"}</definedName>
    <definedName name="호ㅠ포" localSheetId="11" hidden="1">{#N/A,#N/A,FALSE,"표지목차"}</definedName>
    <definedName name="호ㅠ포" localSheetId="7" hidden="1">{#N/A,#N/A,FALSE,"표지목차"}</definedName>
    <definedName name="호ㅠ포" localSheetId="9" hidden="1">{#N/A,#N/A,FALSE,"표지목차"}</definedName>
    <definedName name="호ㅠ포" localSheetId="4" hidden="1">{#N/A,#N/A,FALSE,"표지목차"}</definedName>
    <definedName name="호ㅠ포" localSheetId="0" hidden="1">{#N/A,#N/A,FALSE,"표지목차"}</definedName>
    <definedName name="호ㅠ포" hidden="1">{#N/A,#N/A,FALSE,"표지목차"}</definedName>
    <definedName name="혼처">230000</definedName>
    <definedName name="홍ㄹ" localSheetId="12">BlankMacro1</definedName>
    <definedName name="홍ㄹ" localSheetId="6">BlankMacro1</definedName>
    <definedName name="홍ㄹ">BlankMacro1</definedName>
    <definedName name="화강석두껍돌">15992</definedName>
    <definedName name="화강석두껍돌100">29319</definedName>
    <definedName name="화강석판석30">53306</definedName>
    <definedName name="환경정산2" localSheetId="6">BlankMacro1</definedName>
    <definedName name="환경정산2">BlankMacro1</definedName>
    <definedName name="횡면벽2" localSheetId="12">BlankMacro1</definedName>
    <definedName name="횡면벽2" localSheetId="11">BlankMacro1</definedName>
    <definedName name="횡면벽2" localSheetId="6">BlankMacro1</definedName>
    <definedName name="횡면벽2">BlankMacro1</definedName>
    <definedName name="횡배수관집계본선" localSheetId="12">BlankMacro1</definedName>
    <definedName name="횡배수관집계본선" localSheetId="11">BlankMacro1</definedName>
    <definedName name="횡배수관집계본선" localSheetId="6">BlankMacro1</definedName>
    <definedName name="횡배수관집계본선">BlankMacro1</definedName>
    <definedName name="횡현황본선" localSheetId="12">BlankMacro1</definedName>
    <definedName name="횡현황본선" localSheetId="11">BlankMacro1</definedName>
    <definedName name="횡현황본선" localSheetId="6">BlankMacro1</definedName>
    <definedName name="횡현황본선">BlankMacro1</definedName>
    <definedName name="횡현황부체" localSheetId="12">BlankMacro1</definedName>
    <definedName name="횡현황부체" localSheetId="11">BlankMacro1</definedName>
    <definedName name="횡현황부체" localSheetId="6">BlankMacro1</definedName>
    <definedName name="횡현황부체">BlankMacro1</definedName>
    <definedName name="효구" localSheetId="12">Dlog_Show</definedName>
    <definedName name="효구" localSheetId="6">Dlog_Show</definedName>
    <definedName name="효구">Dlog_Show</definedName>
    <definedName name="효석" localSheetId="12" hidden="1">{"'Firr(선)'!$AS$1:$AY$62","'Firr(사)'!$AS$1:$AY$62","'Firr(회)'!$AS$1:$AY$62","'Firr(선)'!$L$1:$V$62","'Firr(사)'!$L$1:$V$62","'Firr(회)'!$L$1:$V$62"}</definedName>
    <definedName name="효석" hidden="1">{"'Firr(선)'!$AS$1:$AY$62","'Firr(사)'!$AS$1:$AY$62","'Firr(회)'!$AS$1:$AY$62","'Firr(선)'!$L$1:$V$62","'Firr(사)'!$L$1:$V$62","'Firr(회)'!$L$1:$V$62"}</definedName>
    <definedName name="효자" localSheetId="12">Dlog_Show</definedName>
    <definedName name="효자" localSheetId="6">Dlog_Show</definedName>
    <definedName name="효자">Dlog_Show</definedName>
    <definedName name="효자건설" localSheetId="12">Dlog_Show</definedName>
    <definedName name="효자건설" localSheetId="6">Dlog_Show</definedName>
    <definedName name="효자건설">Dlog_Show</definedName>
    <definedName name="효ㅛㅛㅛㅛ" localSheetId="12" hidden="1">{#N/A,#N/A,FALSE,"조골재"}</definedName>
    <definedName name="효ㅛㅛㅛㅛ" localSheetId="11" hidden="1">{#N/A,#N/A,FALSE,"조골재"}</definedName>
    <definedName name="효ㅛㅛㅛㅛ" localSheetId="7" hidden="1">{#N/A,#N/A,FALSE,"조골재"}</definedName>
    <definedName name="효ㅛㅛㅛㅛ" localSheetId="9" hidden="1">{#N/A,#N/A,FALSE,"조골재"}</definedName>
    <definedName name="효ㅛㅛㅛㅛ" localSheetId="4" hidden="1">{#N/A,#N/A,FALSE,"조골재"}</definedName>
    <definedName name="효ㅛㅛㅛㅛ" localSheetId="0" hidden="1">{#N/A,#N/A,FALSE,"조골재"}</definedName>
    <definedName name="효ㅛㅛㅛㅛ" hidden="1">{#N/A,#N/A,FALSE,"조골재"}</definedName>
    <definedName name="후다">#N/A</definedName>
    <definedName name="휘니셔">750000</definedName>
    <definedName name="흄관깨기" localSheetId="7" hidden="1">{#N/A,#N/A,FALSE,"포장1";#N/A,#N/A,FALSE,"포장1"}</definedName>
    <definedName name="흄관깨기" localSheetId="4" hidden="1">{#N/A,#N/A,FALSE,"포장1";#N/A,#N/A,FALSE,"포장1"}</definedName>
    <definedName name="흄관깨기" localSheetId="0" hidden="1">{#N/A,#N/A,FALSE,"포장1";#N/A,#N/A,FALSE,"포장1"}</definedName>
    <definedName name="흄관깨기" hidden="1">{#N/A,#N/A,FALSE,"포장1";#N/A,#N/A,FALSE,"포장1"}</definedName>
    <definedName name="흄관운반">#N/A</definedName>
    <definedName name="희성" localSheetId="12" hidden="1">{#N/A,#N/A,FALSE,"명세표"}</definedName>
    <definedName name="희성" hidden="1">{#N/A,#N/A,FALSE,"명세표"}</definedName>
    <definedName name="히트펌프내역서" localSheetId="12" hidden="1">{"SJ - 기본 보기",#N/A,FALSE,"공사별 외주견적"}</definedName>
    <definedName name="히트펌프내역서" hidden="1">{"SJ - 기본 보기",#N/A,FALSE,"공사별 외주견적"}</definedName>
    <definedName name="ㅏ" localSheetId="12">#N/A</definedName>
    <definedName name="ㅏ" localSheetId="7" hidden="1">{#N/A,#N/A,FALSE,"골재소요량";#N/A,#N/A,FALSE,"골재소요량"}</definedName>
    <definedName name="ㅏ" localSheetId="9" hidden="1">{#N/A,#N/A,FALSE,"운반시간"}</definedName>
    <definedName name="ㅏ" localSheetId="4" hidden="1">{#N/A,#N/A,FALSE,"골재소요량";#N/A,#N/A,FALSE,"골재소요량"}</definedName>
    <definedName name="ㅏ" localSheetId="0" hidden="1">{#N/A,#N/A,FALSE,"골재소요량";#N/A,#N/A,FALSE,"골재소요량"}</definedName>
    <definedName name="ㅏ" hidden="1">{#N/A,#N/A,FALSE,"골재소요량";#N/A,#N/A,FALSE,"골재소요량"}</definedName>
    <definedName name="ㅏㄹ하ㅗㄹ홓" localSheetId="12">BlankMacro1</definedName>
    <definedName name="ㅏㄹ하ㅗㄹ홓" localSheetId="6">BlankMacro1</definedName>
    <definedName name="ㅏㄹ하ㅗㄹ홓">BlankMacro1</definedName>
    <definedName name="ㅏㄹ하ㅗㅎㅎ랗" localSheetId="12">BlankMacro1</definedName>
    <definedName name="ㅏㄹ하ㅗㅎㅎ랗" localSheetId="6">BlankMacro1</definedName>
    <definedName name="ㅏㄹ하ㅗㅎㅎ랗">BlankMacro1</definedName>
    <definedName name="ㅏㅀ" localSheetId="12">BlankMacro1</definedName>
    <definedName name="ㅏㅀ" localSheetId="6">BlankMacro1</definedName>
    <definedName name="ㅏㅀ">BlankMacro1</definedName>
    <definedName name="ㅏㅏ" localSheetId="7" hidden="1">{#N/A,#N/A,FALSE,"2~8번"}</definedName>
    <definedName name="ㅏㅏ" localSheetId="9" hidden="1">{#N/A,#N/A,FALSE,"2~8번"}</definedName>
    <definedName name="ㅏㅏ" localSheetId="4" hidden="1">{#N/A,#N/A,FALSE,"2~8번"}</definedName>
    <definedName name="ㅏㅏ" localSheetId="0" hidden="1">{#N/A,#N/A,FALSE,"2~8번"}</definedName>
    <definedName name="ㅏㅏ" hidden="1">{#N/A,#N/A,FALSE,"2~8번"}</definedName>
    <definedName name="ㅏㅏㅏ" localSheetId="7" hidden="1">{#N/A,#N/A,FALSE,"골재소요량";#N/A,#N/A,FALSE,"골재소요량"}</definedName>
    <definedName name="ㅏㅏㅏ" localSheetId="9" hidden="1">{#N/A,#N/A,FALSE,"골재소요량";#N/A,#N/A,FALSE,"골재소요량"}</definedName>
    <definedName name="ㅏㅏㅏ" localSheetId="4" hidden="1">{#N/A,#N/A,FALSE,"골재소요량";#N/A,#N/A,FALSE,"골재소요량"}</definedName>
    <definedName name="ㅏㅏㅏ" localSheetId="0" hidden="1">{#N/A,#N/A,FALSE,"골재소요량";#N/A,#N/A,FALSE,"골재소요량"}</definedName>
    <definedName name="ㅏㅏㅏ" hidden="1">{#N/A,#N/A,FALSE,"골재소요량";#N/A,#N/A,FALSE,"골재소요량"}</definedName>
    <definedName name="ㅏㅏㅏㅏㅏ" localSheetId="12" hidden="1">{#N/A,#N/A,FALSE,"단가표지"}</definedName>
    <definedName name="ㅏㅏㅏㅏㅏ" localSheetId="11" hidden="1">{#N/A,#N/A,FALSE,"단가표지"}</definedName>
    <definedName name="ㅏㅏㅏㅏㅏ" localSheetId="7" hidden="1">{#N/A,#N/A,FALSE,"단가표지"}</definedName>
    <definedName name="ㅏㅏㅏㅏㅏ" localSheetId="9" hidden="1">{#N/A,#N/A,FALSE,"단가표지"}</definedName>
    <definedName name="ㅏㅏㅏㅏㅏ" localSheetId="4" hidden="1">{#N/A,#N/A,FALSE,"단가표지"}</definedName>
    <definedName name="ㅏㅏㅏㅏㅏ" localSheetId="0" hidden="1">{#N/A,#N/A,FALSE,"단가표지"}</definedName>
    <definedName name="ㅏㅏㅏㅏㅏ" hidden="1">{#N/A,#N/A,FALSE,"단가표지"}</definedName>
    <definedName name="ㅏㅏㅏㅏㅏㅏㅏ" localSheetId="12" hidden="1">{#N/A,#N/A,FALSE,"운반시간"}</definedName>
    <definedName name="ㅏㅏㅏㅏㅏㅏㅏ" localSheetId="11" hidden="1">{#N/A,#N/A,FALSE,"운반시간"}</definedName>
    <definedName name="ㅏㅏㅏㅏㅏㅏㅏ" localSheetId="7" hidden="1">{#N/A,#N/A,FALSE,"운반시간"}</definedName>
    <definedName name="ㅏㅏㅏㅏㅏㅏㅏ" localSheetId="9" hidden="1">{#N/A,#N/A,FALSE,"운반시간"}</definedName>
    <definedName name="ㅏㅏㅏㅏㅏㅏㅏ" localSheetId="4" hidden="1">{#N/A,#N/A,FALSE,"운반시간"}</definedName>
    <definedName name="ㅏㅏㅏㅏㅏㅏㅏ" localSheetId="0" hidden="1">{#N/A,#N/A,FALSE,"운반시간"}</definedName>
    <definedName name="ㅏㅏㅏㅏㅏㅏㅏ" hidden="1">{#N/A,#N/A,FALSE,"운반시간"}</definedName>
    <definedName name="ㅏㅏㅏㅏㅏㅏㅏㅏㅏㅏㅏㅏㅏㅏㅏㅏㅏㅏㅏㅏㅏㅏㅏㅏㅏㅏㅏ" localSheetId="12" hidden="1">{#N/A,#N/A,FALSE,"단가표지"}</definedName>
    <definedName name="ㅏㅏㅏㅏㅏㅏㅏㅏㅏㅏㅏㅏㅏㅏㅏㅏㅏㅏㅏㅏㅏㅏㅏㅏㅏㅏㅏ" localSheetId="11" hidden="1">{#N/A,#N/A,FALSE,"단가표지"}</definedName>
    <definedName name="ㅏㅏㅏㅏㅏㅏㅏㅏㅏㅏㅏㅏㅏㅏㅏㅏㅏㅏㅏㅏㅏㅏㅏㅏㅏㅏㅏ" localSheetId="7" hidden="1">{#N/A,#N/A,FALSE,"단가표지"}</definedName>
    <definedName name="ㅏㅏㅏㅏㅏㅏㅏㅏㅏㅏㅏㅏㅏㅏㅏㅏㅏㅏㅏㅏㅏㅏㅏㅏㅏㅏㅏ" localSheetId="9" hidden="1">{#N/A,#N/A,FALSE,"단가표지"}</definedName>
    <definedName name="ㅏㅏㅏㅏㅏㅏㅏㅏㅏㅏㅏㅏㅏㅏㅏㅏㅏㅏㅏㅏㅏㅏㅏㅏㅏㅏㅏ" localSheetId="4" hidden="1">{#N/A,#N/A,FALSE,"단가표지"}</definedName>
    <definedName name="ㅏㅏㅏㅏㅏㅏㅏㅏㅏㅏㅏㅏㅏㅏㅏㅏㅏㅏㅏㅏㅏㅏㅏㅏㅏㅏㅏ" localSheetId="0" hidden="1">{#N/A,#N/A,FALSE,"단가표지"}</definedName>
    <definedName name="ㅏㅏㅏㅏㅏㅏㅏㅏㅏㅏㅏㅏㅏㅏㅏㅏㅏㅏㅏㅏㅏㅏㅏㅏㅏㅏㅏ" hidden="1">{#N/A,#N/A,FALSE,"단가표지"}</definedName>
    <definedName name="ㅏㅓ" localSheetId="12">BlankMacro1</definedName>
    <definedName name="ㅏㅓ" localSheetId="11">BlankMacro1</definedName>
    <definedName name="ㅏㅓㅓㅎㅎ">#N/A</definedName>
    <definedName name="ㅏㅓㅗ" localSheetId="12" hidden="1">{#N/A,#N/A,FALSE,"골재소요량";#N/A,#N/A,FALSE,"골재소요량"}</definedName>
    <definedName name="ㅏㅓㅗ" hidden="1">{#N/A,#N/A,FALSE,"골재소요량";#N/A,#N/A,FALSE,"골재소요량"}</definedName>
    <definedName name="ㅏㅓㅘㅓㅘㅓㅘㅓㅘㅓㅘㅓㅘ" localSheetId="12" hidden="1">{#N/A,#N/A,FALSE,"단가표지"}</definedName>
    <definedName name="ㅏㅓㅘㅓㅘㅓㅘㅓㅘㅓㅘㅓㅘ" hidden="1">{#N/A,#N/A,FALSE,"단가표지"}</definedName>
    <definedName name="ㅏㅓㅜㅑ" localSheetId="12" hidden="1">{#N/A,#N/A,FALSE,"표지목차"}</definedName>
    <definedName name="ㅏㅓㅜㅑ" hidden="1">{#N/A,#N/A,FALSE,"표지목차"}</definedName>
    <definedName name="ㅏㅓㅠㅟㅓ우" localSheetId="12" hidden="1">{#N/A,#N/A,FALSE,"표지목차"}</definedName>
    <definedName name="ㅏㅓㅠㅟㅓ우" hidden="1">{#N/A,#N/A,FALSE,"표지목차"}</definedName>
    <definedName name="ㅏㅓㅣ허" localSheetId="12">BlankMacro1</definedName>
    <definedName name="ㅏㅓㅣ허" localSheetId="6">BlankMacro1</definedName>
    <definedName name="ㅏㅓㅣ허">BlankMacro1</definedName>
    <definedName name="ㅏㅗ햐" localSheetId="12" hidden="1">{#N/A,#N/A,FALSE,"이정표"}</definedName>
    <definedName name="ㅏㅗ햐" hidden="1">{#N/A,#N/A,FALSE,"이정표"}</definedName>
    <definedName name="ㅐㅐ" hidden="1">{#N/A,#N/A,FALSE,"2~8번"}</definedName>
    <definedName name="ㅐㅐㅐㅐㅐ" localSheetId="7" hidden="1">{#N/A,#N/A,FALSE,"단가표지"}</definedName>
    <definedName name="ㅐㅐㅐㅐㅐ" localSheetId="4" hidden="1">{#N/A,#N/A,FALSE,"단가표지"}</definedName>
    <definedName name="ㅐㅐㅐㅐㅐ" localSheetId="0" hidden="1">{#N/A,#N/A,FALSE,"단가표지"}</definedName>
    <definedName name="ㅐㅐㅐㅐㅐ" hidden="1">{#N/A,#N/A,FALSE,"단가표지"}</definedName>
    <definedName name="ㅑㅕ사" localSheetId="12" hidden="1">{#N/A,#N/A,FALSE,"혼합골재"}</definedName>
    <definedName name="ㅑㅕ사" localSheetId="11" hidden="1">{#N/A,#N/A,FALSE,"혼합골재"}</definedName>
    <definedName name="ㅑㅕ사" localSheetId="7" hidden="1">{#N/A,#N/A,FALSE,"혼합골재"}</definedName>
    <definedName name="ㅑㅕ사" localSheetId="9" hidden="1">{#N/A,#N/A,FALSE,"혼합골재"}</definedName>
    <definedName name="ㅑㅕ사" localSheetId="4" hidden="1">{#N/A,#N/A,FALSE,"혼합골재"}</definedName>
    <definedName name="ㅑㅕ사" localSheetId="0" hidden="1">{#N/A,#N/A,FALSE,"혼합골재"}</definedName>
    <definedName name="ㅑㅕ사" hidden="1">{#N/A,#N/A,FALSE,"혼합골재"}</definedName>
    <definedName name="ㅑㅕㅛㅑ" localSheetId="12">BlankMacro1</definedName>
    <definedName name="ㅑㅕㅛㅑ" localSheetId="6">BlankMacro1</definedName>
    <definedName name="ㅑㅕㅛㅑ">BlankMacro1</definedName>
    <definedName name="ㅑㅣㅕㅕㅣㅏㅎ" localSheetId="12" hidden="1">{#N/A,#N/A,FALSE,"골재소요량";#N/A,#N/A,FALSE,"골재소요량"}</definedName>
    <definedName name="ㅑㅣㅕㅕㅣㅏㅎ" localSheetId="11" hidden="1">{#N/A,#N/A,FALSE,"골재소요량";#N/A,#N/A,FALSE,"골재소요량"}</definedName>
    <definedName name="ㅑㅣㅕㅕㅣㅏㅎ" localSheetId="7" hidden="1">{#N/A,#N/A,FALSE,"골재소요량";#N/A,#N/A,FALSE,"골재소요량"}</definedName>
    <definedName name="ㅑㅣㅕㅕㅣㅏㅎ" localSheetId="9" hidden="1">{#N/A,#N/A,FALSE,"골재소요량";#N/A,#N/A,FALSE,"골재소요량"}</definedName>
    <definedName name="ㅑㅣㅕㅕㅣㅏㅎ" localSheetId="4" hidden="1">{#N/A,#N/A,FALSE,"골재소요량";#N/A,#N/A,FALSE,"골재소요량"}</definedName>
    <definedName name="ㅑㅣㅕㅕㅣㅏㅎ" localSheetId="0" hidden="1">{#N/A,#N/A,FALSE,"골재소요량";#N/A,#N/A,FALSE,"골재소요량"}</definedName>
    <definedName name="ㅑㅣㅕㅕㅣㅏㅎ" hidden="1">{#N/A,#N/A,FALSE,"골재소요량";#N/A,#N/A,FALSE,"골재소요량"}</definedName>
    <definedName name="ㅓ" localSheetId="12" hidden="1">{#N/A,#N/A,FALSE,"단가표지"}</definedName>
    <definedName name="ㅓ" localSheetId="7" hidden="1">{#N/A,#N/A,FALSE,"표지목차"}</definedName>
    <definedName name="ㅓ" localSheetId="9" hidden="1">{#N/A,#N/A,FALSE,"표지목차"}</definedName>
    <definedName name="ㅓ" localSheetId="4" hidden="1">{#N/A,#N/A,FALSE,"표지목차"}</definedName>
    <definedName name="ㅓ" localSheetId="0" hidden="1">{#N/A,#N/A,FALSE,"표지목차"}</definedName>
    <definedName name="ㅓ" hidden="1">{#N/A,#N/A,FALSE,"표지목차"}</definedName>
    <definedName name="ㅓ7" localSheetId="12" hidden="1">{#N/A,#N/A,FALSE,"단가표지"}</definedName>
    <definedName name="ㅓ7" hidden="1">{#N/A,#N/A,FALSE,"단가표지"}</definedName>
    <definedName name="ㅓ76ㅕㅛㅑㅓ" localSheetId="12">BlankMacro1</definedName>
    <definedName name="ㅓ76ㅕㅛㅑㅓ" localSheetId="6">BlankMacro1</definedName>
    <definedName name="ㅓ76ㅕㅛㅑㅓ">BlankMacro1</definedName>
    <definedName name="ㅓㄴㅇㄹ" localSheetId="12">BlankMacro1</definedName>
    <definedName name="ㅓㄴㅇㄹ" localSheetId="6">BlankMacro1</definedName>
    <definedName name="ㅓㄴㅇㄹ">BlankMacro1</definedName>
    <definedName name="ㅓ링너링ㅁㄴ" hidden="1">{#N/A,#N/A,FALSE,"전력간선"}</definedName>
    <definedName name="ㅓㅀ" localSheetId="12">BlankMacro1</definedName>
    <definedName name="ㅓㅀ" localSheetId="6">BlankMacro1</definedName>
    <definedName name="ㅓㅀ">BlankMacro1</definedName>
    <definedName name="ㅓㅎ" localSheetId="12">BlankMacro1</definedName>
    <definedName name="ㅓㅎ" localSheetId="6">BlankMacro1</definedName>
    <definedName name="ㅓㅎ">BlankMacro1</definedName>
    <definedName name="ㅓㅎㄹㅇ헐" localSheetId="12">BlankMacro1</definedName>
    <definedName name="ㅓㅎㄹㅇ헐" localSheetId="6">BlankMacro1</definedName>
    <definedName name="ㅓㅎㄹㅇ헐">BlankMacro1</definedName>
    <definedName name="ㅓㅏ" localSheetId="7" hidden="1">{#N/A,#N/A,FALSE,"표지목차"}</definedName>
    <definedName name="ㅓㅏ" localSheetId="9" hidden="1">{#N/A,#N/A,FALSE,"표지목차"}</definedName>
    <definedName name="ㅓㅏ" localSheetId="4" hidden="1">{#N/A,#N/A,FALSE,"표지목차"}</definedName>
    <definedName name="ㅓㅏ" localSheetId="0" hidden="1">{#N/A,#N/A,FALSE,"표지목차"}</definedName>
    <definedName name="ㅓㅏ" hidden="1">{#N/A,#N/A,FALSE,"표지목차"}</definedName>
    <definedName name="ㅓㅏㅓㅎ" localSheetId="12" hidden="1">{#N/A,#N/A,FALSE,"단가표지"}</definedName>
    <definedName name="ㅓㅏㅓㅎ" localSheetId="11" hidden="1">{#N/A,#N/A,FALSE,"단가표지"}</definedName>
    <definedName name="ㅓㅏㅓㅎ" localSheetId="7" hidden="1">{#N/A,#N/A,FALSE,"단가표지"}</definedName>
    <definedName name="ㅓㅏㅓㅎ" localSheetId="9" hidden="1">{#N/A,#N/A,FALSE,"단가표지"}</definedName>
    <definedName name="ㅓㅏㅓㅎ" localSheetId="4" hidden="1">{#N/A,#N/A,FALSE,"단가표지"}</definedName>
    <definedName name="ㅓㅏㅓㅎ" localSheetId="0" hidden="1">{#N/A,#N/A,FALSE,"단가표지"}</definedName>
    <definedName name="ㅓㅏㅓㅎ" hidden="1">{#N/A,#N/A,FALSE,"단가표지"}</definedName>
    <definedName name="ㅓㅏㅣ" localSheetId="12">BlankMacro1</definedName>
    <definedName name="ㅓㅏㅣ" localSheetId="6">BlankMacro1</definedName>
    <definedName name="ㅓㅏㅣ">BlankMacro1</definedName>
    <definedName name="ㅓㅏㅣㅏㅓ" localSheetId="12">BlankMacro1</definedName>
    <definedName name="ㅓㅏㅣㅏㅓ" localSheetId="6">BlankMacro1</definedName>
    <definedName name="ㅓㅏㅣㅏㅓ">BlankMacro1</definedName>
    <definedName name="ㅓㅏㅣㅣㅓㅣㅏㅓ" localSheetId="12">BlankMacro1</definedName>
    <definedName name="ㅓㅏㅣㅣㅓㅣㅏㅓ" localSheetId="6">BlankMacro1</definedName>
    <definedName name="ㅓㅏㅣㅣㅓㅣㅏㅓ">BlankMacro1</definedName>
    <definedName name="ㅓㅓ" localSheetId="11">BlankMacro1</definedName>
    <definedName name="ㅓㅓㅓㅓㅓㅓㅓㅓㅓㅓㅓ" localSheetId="12" hidden="1">{#N/A,#N/A,FALSE,"골재소요량";#N/A,#N/A,FALSE,"골재소요량"}</definedName>
    <definedName name="ㅓㅓㅓㅓㅓㅓㅓㅓㅓㅓㅓ" localSheetId="11" hidden="1">{#N/A,#N/A,FALSE,"골재소요량";#N/A,#N/A,FALSE,"골재소요량"}</definedName>
    <definedName name="ㅓㅓㅓㅓㅓㅓㅓㅓㅓㅓㅓ" localSheetId="7" hidden="1">{#N/A,#N/A,FALSE,"골재소요량";#N/A,#N/A,FALSE,"골재소요량"}</definedName>
    <definedName name="ㅓㅓㅓㅓㅓㅓㅓㅓㅓㅓㅓ" localSheetId="9" hidden="1">{#N/A,#N/A,FALSE,"골재소요량";#N/A,#N/A,FALSE,"골재소요량"}</definedName>
    <definedName name="ㅓㅓㅓㅓㅓㅓㅓㅓㅓㅓㅓ" localSheetId="4" hidden="1">{#N/A,#N/A,FALSE,"골재소요량";#N/A,#N/A,FALSE,"골재소요량"}</definedName>
    <definedName name="ㅓㅓㅓㅓㅓㅓㅓㅓㅓㅓㅓ" localSheetId="0" hidden="1">{#N/A,#N/A,FALSE,"골재소요량";#N/A,#N/A,FALSE,"골재소요량"}</definedName>
    <definedName name="ㅓㅓㅓㅓㅓㅓㅓㅓㅓㅓㅓ" hidden="1">{#N/A,#N/A,FALSE,"골재소요량";#N/A,#N/A,FALSE,"골재소요량"}</definedName>
    <definedName name="ㅓㅕ" localSheetId="7" hidden="1">{#N/A,#N/A,FALSE,"조골재"}</definedName>
    <definedName name="ㅓㅕ" localSheetId="9" hidden="1">{#N/A,#N/A,FALSE,"조골재"}</definedName>
    <definedName name="ㅓㅕ" localSheetId="4" hidden="1">{#N/A,#N/A,FALSE,"조골재"}</definedName>
    <definedName name="ㅓㅕ" localSheetId="0" hidden="1">{#N/A,#N/A,FALSE,"조골재"}</definedName>
    <definedName name="ㅓㅕ" hidden="1">{#N/A,#N/A,FALSE,"조골재"}</definedName>
    <definedName name="ㅓㅗㅇ러ㅗㅎㄹ" localSheetId="12">BlankMacro1</definedName>
    <definedName name="ㅓㅗㅇ러ㅗㅎㄹ" localSheetId="6">BlankMacro1</definedName>
    <definedName name="ㅓㅗㅇ러ㅗㅎㄹ">BlankMacro1</definedName>
    <definedName name="ㅓㅗ허" localSheetId="12">BlankMacro1</definedName>
    <definedName name="ㅓㅗ허" localSheetId="6">BlankMacro1</definedName>
    <definedName name="ㅓㅗ허">BlankMacro1</definedName>
    <definedName name="ㅓㅘㅣ" localSheetId="12">BlankMacro1</definedName>
    <definedName name="ㅓㅘㅣ" localSheetId="6">BlankMacro1</definedName>
    <definedName name="ㅓㅘㅣ">BlankMacro1</definedName>
    <definedName name="ㅓㅚㅗㅓㅣㅗㅓ" localSheetId="12">BlankMacro1</definedName>
    <definedName name="ㅓㅚㅗㅓㅣㅗㅓ" localSheetId="6">BlankMacro1</definedName>
    <definedName name="ㅓㅚㅗㅓㅣㅗㅓ">BlankMacro1</definedName>
    <definedName name="ㅔ" localSheetId="7" hidden="1">{#N/A,#N/A,FALSE,"운반시간"}</definedName>
    <definedName name="ㅔ" localSheetId="4" hidden="1">{#N/A,#N/A,FALSE,"운반시간"}</definedName>
    <definedName name="ㅔ" localSheetId="0" hidden="1">{#N/A,#N/A,FALSE,"운반시간"}</definedName>
    <definedName name="ㅔ" hidden="1">{#N/A,#N/A,FALSE,"운반시간"}</definedName>
    <definedName name="ㅔ3" localSheetId="12" hidden="1">{#N/A,#N/A,FALSE,"배수1"}</definedName>
    <definedName name="ㅔ3" hidden="1">{#N/A,#N/A,FALSE,"배수1"}</definedName>
    <definedName name="ㅔㅐㅔ" localSheetId="12" hidden="1">{#N/A,"수불부",FALSE,"사급자재수불서";#N/A,"수불부",FALSE,"사급자재수불서"}</definedName>
    <definedName name="ㅔㅐㅔ" hidden="1">{#N/A,"수불부",FALSE,"사급자재수불서";#N/A,"수불부",FALSE,"사급자재수불서"}</definedName>
    <definedName name="ㅔㅔ" localSheetId="7" hidden="1">{#N/A,#N/A,FALSE,"조골재"}</definedName>
    <definedName name="ㅔㅔ" localSheetId="4" hidden="1">{#N/A,#N/A,FALSE,"조골재"}</definedName>
    <definedName name="ㅔㅔ" localSheetId="0" hidden="1">{#N/A,#N/A,FALSE,"조골재"}</definedName>
    <definedName name="ㅔㅔ" hidden="1">{#N/A,#N/A,FALSE,"조골재"}</definedName>
    <definedName name="ㅕ46ㅅㄱ" localSheetId="12">BlankMacro1</definedName>
    <definedName name="ㅕ46ㅅㄱ" localSheetId="6">BlankMacro1</definedName>
    <definedName name="ㅕ46ㅅㄱ">BlankMacro1</definedName>
    <definedName name="ㅕ거ㅕㅛㅓ" localSheetId="7" hidden="1">{#N/A,#N/A,FALSE,"포장단가"}</definedName>
    <definedName name="ㅕ거ㅕㅛㅓ" localSheetId="4" hidden="1">{#N/A,#N/A,FALSE,"포장단가"}</definedName>
    <definedName name="ㅕ거ㅕㅛㅓ" localSheetId="0" hidden="1">{#N/A,#N/A,FALSE,"포장단가"}</definedName>
    <definedName name="ㅕ거ㅕㅛㅓ" hidden="1">{#N/A,#N/A,FALSE,"포장단가"}</definedName>
    <definedName name="ㅕ쇼" localSheetId="12">BlankMacro1</definedName>
    <definedName name="ㅕ쇼" localSheetId="6">BlankMacro1</definedName>
    <definedName name="ㅕ쇼">BlankMacro1</definedName>
    <definedName name="ㅕㅑ" localSheetId="12" hidden="1">{#N/A,#N/A,FALSE,"2~8번"}</definedName>
    <definedName name="ㅕㅑ" localSheetId="11" hidden="1">{#N/A,#N/A,FALSE,"2~8번"}</definedName>
    <definedName name="ㅕㅑ" localSheetId="7" hidden="1">{#N/A,#N/A,FALSE,"2~8번"}</definedName>
    <definedName name="ㅕㅑ" localSheetId="9" hidden="1">{#N/A,#N/A,FALSE,"2~8번"}</definedName>
    <definedName name="ㅕㅑ" localSheetId="4" hidden="1">{#N/A,#N/A,FALSE,"2~8번"}</definedName>
    <definedName name="ㅕㅑ" localSheetId="0" hidden="1">{#N/A,#N/A,FALSE,"2~8번"}</definedName>
    <definedName name="ㅕㅑ" hidden="1">{#N/A,#N/A,FALSE,"2~8번"}</definedName>
    <definedName name="ㅕㅑㅅ" localSheetId="12">BlankMacro1</definedName>
    <definedName name="ㅕㅑㅅ" localSheetId="6">BlankMacro1</definedName>
    <definedName name="ㅕㅑㅅ">BlankMacro1</definedName>
    <definedName name="ㅕㅑㅐㅕ" localSheetId="12">BlankMacro1</definedName>
    <definedName name="ㅕㅑㅐㅕ" localSheetId="6">BlankMacro1</definedName>
    <definedName name="ㅕㅑㅐㅕ">BlankMacro1</definedName>
    <definedName name="ㅕㅑㅑㅑ" localSheetId="12" hidden="1">{#N/A,#N/A,FALSE,"조골재"}</definedName>
    <definedName name="ㅕㅑㅑㅑ" localSheetId="11" hidden="1">{#N/A,#N/A,FALSE,"조골재"}</definedName>
    <definedName name="ㅕㅑㅑㅑ" localSheetId="7" hidden="1">{#N/A,#N/A,FALSE,"조골재"}</definedName>
    <definedName name="ㅕㅑㅑㅑ" localSheetId="9" hidden="1">{#N/A,#N/A,FALSE,"조골재"}</definedName>
    <definedName name="ㅕㅑㅑㅑ" localSheetId="4" hidden="1">{#N/A,#N/A,FALSE,"조골재"}</definedName>
    <definedName name="ㅕㅑㅑㅑ" localSheetId="0" hidden="1">{#N/A,#N/A,FALSE,"조골재"}</definedName>
    <definedName name="ㅕㅑㅑㅑ" hidden="1">{#N/A,#N/A,FALSE,"조골재"}</definedName>
    <definedName name="ㅕㅑㅕㅑ">#N/A</definedName>
    <definedName name="ㅕㅕ" localSheetId="7" hidden="1">{#N/A,#N/A,FALSE,"표지목차"}</definedName>
    <definedName name="ㅕㅕ" localSheetId="4" hidden="1">{#N/A,#N/A,FALSE,"표지목차"}</definedName>
    <definedName name="ㅕㅕ" localSheetId="0" hidden="1">{#N/A,#N/A,FALSE,"표지목차"}</definedName>
    <definedName name="ㅕㅕ" hidden="1">{#N/A,#N/A,FALSE,"표지목차"}</definedName>
    <definedName name="ㅕㅕㅕ" localSheetId="7" hidden="1">{#N/A,#N/A,FALSE,"혼합골재"}</definedName>
    <definedName name="ㅕㅕㅕ" localSheetId="9" hidden="1">{#N/A,#N/A,FALSE,"혼합골재"}</definedName>
    <definedName name="ㅕㅕㅕ" localSheetId="4" hidden="1">{#N/A,#N/A,FALSE,"혼합골재"}</definedName>
    <definedName name="ㅕㅕㅕ" localSheetId="0" hidden="1">{#N/A,#N/A,FALSE,"혼합골재"}</definedName>
    <definedName name="ㅕㅕㅕ" hidden="1">{#N/A,#N/A,FALSE,"혼합골재"}</definedName>
    <definedName name="ㅕㅕㅕㄱㄱ" localSheetId="12">BlankMacro1</definedName>
    <definedName name="ㅕㅕㅕㄱㄱ" localSheetId="6">BlankMacro1</definedName>
    <definedName name="ㅕㅕㅕㄱㄱ">BlankMacro1</definedName>
    <definedName name="ㅕㅕㅕㅕ" localSheetId="12" hidden="1">{#N/A,#N/A,FALSE,"표지목차"}</definedName>
    <definedName name="ㅕㅕㅕㅕ" localSheetId="11" hidden="1">{#N/A,#N/A,FALSE,"표지목차"}</definedName>
    <definedName name="ㅕㅕㅕㅕ" localSheetId="7" hidden="1">{#N/A,#N/A,FALSE,"표지목차"}</definedName>
    <definedName name="ㅕㅕㅕㅕ" localSheetId="9" hidden="1">{#N/A,#N/A,FALSE,"표지목차"}</definedName>
    <definedName name="ㅕㅕㅕㅕ" localSheetId="4" hidden="1">{#N/A,#N/A,FALSE,"표지목차"}</definedName>
    <definedName name="ㅕㅕㅕㅕ" localSheetId="0" hidden="1">{#N/A,#N/A,FALSE,"표지목차"}</definedName>
    <definedName name="ㅕㅕㅕㅕ" hidden="1">{#N/A,#N/A,FALSE,"표지목차"}</definedName>
    <definedName name="ㅕㅕㅕㅕㅕ" localSheetId="12" hidden="1">{#N/A,#N/A,FALSE,"운반시간"}</definedName>
    <definedName name="ㅕㅕㅕㅕㅕ" localSheetId="11" hidden="1">{#N/A,#N/A,FALSE,"운반시간"}</definedName>
    <definedName name="ㅕㅕㅕㅕㅕ" localSheetId="7" hidden="1">{#N/A,#N/A,FALSE,"운반시간"}</definedName>
    <definedName name="ㅕㅕㅕㅕㅕ" localSheetId="9" hidden="1">{#N/A,#N/A,FALSE,"운반시간"}</definedName>
    <definedName name="ㅕㅕㅕㅕㅕ" localSheetId="4" hidden="1">{#N/A,#N/A,FALSE,"운반시간"}</definedName>
    <definedName name="ㅕㅕㅕㅕㅕ" localSheetId="0" hidden="1">{#N/A,#N/A,FALSE,"운반시간"}</definedName>
    <definedName name="ㅕㅕㅕㅕㅕ" hidden="1">{#N/A,#N/A,FALSE,"운반시간"}</definedName>
    <definedName name="ㅕㅕㅕㅕㅕㅕ" localSheetId="12" hidden="1">{#N/A,#N/A,FALSE,"단가표지"}</definedName>
    <definedName name="ㅕㅕㅕㅕㅕㅕ" localSheetId="11" hidden="1">{#N/A,#N/A,FALSE,"단가표지"}</definedName>
    <definedName name="ㅕㅕㅕㅕㅕㅕ" localSheetId="7" hidden="1">{#N/A,#N/A,FALSE,"단가표지"}</definedName>
    <definedName name="ㅕㅕㅕㅕㅕㅕ" localSheetId="9" hidden="1">{#N/A,#N/A,FALSE,"단가표지"}</definedName>
    <definedName name="ㅕㅕㅕㅕㅕㅕ" localSheetId="4" hidden="1">{#N/A,#N/A,FALSE,"단가표지"}</definedName>
    <definedName name="ㅕㅕㅕㅕㅕㅕ" localSheetId="0" hidden="1">{#N/A,#N/A,FALSE,"단가표지"}</definedName>
    <definedName name="ㅕㅕㅕㅕㅕㅕ" hidden="1">{#N/A,#N/A,FALSE,"단가표지"}</definedName>
    <definedName name="ㅕㅕㅕㅕㅕㅕㅕㅕ" localSheetId="12" hidden="1">{#N/A,#N/A,FALSE,"조골재"}</definedName>
    <definedName name="ㅕㅕㅕㅕㅕㅕㅕㅕ" localSheetId="11" hidden="1">{#N/A,#N/A,FALSE,"조골재"}</definedName>
    <definedName name="ㅕㅕㅕㅕㅕㅕㅕㅕ" localSheetId="7" hidden="1">{#N/A,#N/A,FALSE,"조골재"}</definedName>
    <definedName name="ㅕㅕㅕㅕㅕㅕㅕㅕ" localSheetId="9" hidden="1">{#N/A,#N/A,FALSE,"조골재"}</definedName>
    <definedName name="ㅕㅕㅕㅕㅕㅕㅕㅕ" localSheetId="4" hidden="1">{#N/A,#N/A,FALSE,"조골재"}</definedName>
    <definedName name="ㅕㅕㅕㅕㅕㅕㅕㅕ" localSheetId="0" hidden="1">{#N/A,#N/A,FALSE,"조골재"}</definedName>
    <definedName name="ㅕㅕㅕㅕㅕㅕㅕㅕ" hidden="1">{#N/A,#N/A,FALSE,"조골재"}</definedName>
    <definedName name="ㅕㅛㅑ쇼ㅕ" localSheetId="12">BlankMacro1</definedName>
    <definedName name="ㅕㅛㅑ쇼ㅕ" localSheetId="6">BlankMacro1</definedName>
    <definedName name="ㅕㅛㅑ쇼ㅕ">BlankMacro1</definedName>
    <definedName name="ㅕㅛㅑㅛㅑ" localSheetId="12">BlankMacro1</definedName>
    <definedName name="ㅕㅛㅑㅛㅑ" localSheetId="6">BlankMacro1</definedName>
    <definedName name="ㅕㅛㅑㅛㅑ">BlankMacro1</definedName>
    <definedName name="ㅕㅛㅓㅕㅛㅓㅜ" localSheetId="7" hidden="1">{#N/A,#N/A,FALSE,"포장단가"}</definedName>
    <definedName name="ㅕㅛㅓㅕㅛㅓㅜ" localSheetId="4" hidden="1">{#N/A,#N/A,FALSE,"포장단가"}</definedName>
    <definedName name="ㅕㅛㅓㅕㅛㅓㅜ" localSheetId="0" hidden="1">{#N/A,#N/A,FALSE,"포장단가"}</definedName>
    <definedName name="ㅕㅛㅓㅕㅛㅓㅜ" hidden="1">{#N/A,#N/A,FALSE,"포장단가"}</definedName>
    <definedName name="ㅗ" localSheetId="7" hidden="1">{#N/A,#N/A,FALSE,"조골재"}</definedName>
    <definedName name="ㅗ" localSheetId="9" hidden="1">{#N/A,#N/A,FALSE,"조골재"}</definedName>
    <definedName name="ㅗ" localSheetId="4" hidden="1">{#N/A,#N/A,FALSE,"조골재"}</definedName>
    <definedName name="ㅗ" localSheetId="0" hidden="1">{#N/A,#N/A,FALSE,"조골재"}</definedName>
    <definedName name="ㅗ" hidden="1">{#N/A,#N/A,FALSE,"조골재"}</definedName>
    <definedName name="ㅗㄹㅇㄴ" localSheetId="12">BlankMacro1</definedName>
    <definedName name="ㅗㄹㅇㄴ" localSheetId="6">BlankMacro1</definedName>
    <definedName name="ㅗㄹㅇㄴ">BlankMacro1</definedName>
    <definedName name="ㅗㅅ" localSheetId="12">BLCH</definedName>
    <definedName name="ㅗㅅ" localSheetId="6">BLCH</definedName>
    <definedName name="ㅗㅅ">BLCH</definedName>
    <definedName name="ㅗㅅㄱ" localSheetId="12" hidden="1">{#N/A,#N/A,TRUE,"토적및재료집계";#N/A,#N/A,TRUE,"토적및재료집계";#N/A,#N/A,TRUE,"단위량"}</definedName>
    <definedName name="ㅗㅅㄱ" hidden="1">{#N/A,#N/A,TRUE,"토적및재료집계";#N/A,#N/A,TRUE,"토적및재료집계";#N/A,#N/A,TRUE,"단위량"}</definedName>
    <definedName name="ㅗㅇㄴㄹ" localSheetId="12">BlankMacro1</definedName>
    <definedName name="ㅗㅇㄴㄹ" localSheetId="6">BlankMacro1</definedName>
    <definedName name="ㅗㅇㄴㄹ">BlankMacro1</definedName>
    <definedName name="ㅗㅇㄴ롤ㄴ온온ㅇㄹㄴㅇㄴㅇ" localSheetId="12">BlankMacro1</definedName>
    <definedName name="ㅗㅇㄴ롤ㄴ온온ㅇㄹㄴㅇㄴㅇ" localSheetId="6">BlankMacro1</definedName>
    <definedName name="ㅗㅇㄴ롤ㄴ온온ㅇㄹㄴㅇㄴㅇ">BlankMacro1</definedName>
    <definedName name="ㅗㅇㄹ" localSheetId="12">BlankMacro1</definedName>
    <definedName name="ㅗㅇㄹ" localSheetId="6">BlankMacro1</definedName>
    <definedName name="ㅗㅇㄹ">BlankMacro1</definedName>
    <definedName name="ㅗ옹" localSheetId="12" hidden="1">{"'제조(순번)'!$A$386:$A$387","'제조(순번)'!$A$1:$H$399"}</definedName>
    <definedName name="ㅗ옹" hidden="1">{"'제조(순번)'!$A$386:$A$387","'제조(순번)'!$A$1:$H$399"}</definedName>
    <definedName name="ㅗㅍ초" localSheetId="12" hidden="1">{#N/A,#N/A,FALSE,"2~8번"}</definedName>
    <definedName name="ㅗㅍ초" localSheetId="11" hidden="1">{#N/A,#N/A,FALSE,"2~8번"}</definedName>
    <definedName name="ㅗㅍ초" localSheetId="7" hidden="1">{#N/A,#N/A,FALSE,"2~8번"}</definedName>
    <definedName name="ㅗㅍ초" localSheetId="9" hidden="1">{#N/A,#N/A,FALSE,"2~8번"}</definedName>
    <definedName name="ㅗㅍ초" localSheetId="4" hidden="1">{#N/A,#N/A,FALSE,"2~8번"}</definedName>
    <definedName name="ㅗㅍ초" localSheetId="0" hidden="1">{#N/A,#N/A,FALSE,"2~8번"}</definedName>
    <definedName name="ㅗㅍ초" hidden="1">{#N/A,#N/A,FALSE,"2~8번"}</definedName>
    <definedName name="ㅗㅎㄹ" localSheetId="12">BlankMacro1</definedName>
    <definedName name="ㅗㅎㄹ" localSheetId="6">BlankMacro1</definedName>
    <definedName name="ㅗㅎㄹ">BlankMacro1</definedName>
    <definedName name="ㅗㅎㅇㄴㅀ" localSheetId="12">BlankMacro1</definedName>
    <definedName name="ㅗㅎㅇㄴㅀ" localSheetId="6">BlankMacro1</definedName>
    <definedName name="ㅗㅎㅇㄴㅀ">BlankMacro1</definedName>
    <definedName name="ㅗㅎㅇㅁㄹㅇㅎ" localSheetId="12" hidden="1">{#N/A,"수불부",FALSE,"사급자재수불서";#N/A,"수불부",FALSE,"사급자재수불서"}</definedName>
    <definedName name="ㅗㅎㅇㅁㄹㅇㅎ" hidden="1">{#N/A,"수불부",FALSE,"사급자재수불서";#N/A,"수불부",FALSE,"사급자재수불서"}</definedName>
    <definedName name="ㅗㅎㅎㅌㄹㅋㅅ" localSheetId="12" hidden="1">{#N/A,#N/A,FALSE,"2~8번"}</definedName>
    <definedName name="ㅗㅎㅎㅌㄹㅋㅅ" localSheetId="11" hidden="1">{#N/A,#N/A,FALSE,"2~8번"}</definedName>
    <definedName name="ㅗㅎㅎㅌㄹㅋㅅ" localSheetId="7" hidden="1">{#N/A,#N/A,FALSE,"2~8번"}</definedName>
    <definedName name="ㅗㅎㅎㅌㄹㅋㅅ" localSheetId="9" hidden="1">{#N/A,#N/A,FALSE,"2~8번"}</definedName>
    <definedName name="ㅗㅎㅎㅌㄹㅋㅅ" localSheetId="4" hidden="1">{#N/A,#N/A,FALSE,"2~8번"}</definedName>
    <definedName name="ㅗㅎㅎㅌㄹㅋㅅ" localSheetId="0" hidden="1">{#N/A,#N/A,FALSE,"2~8번"}</definedName>
    <definedName name="ㅗㅎㅎㅌㄹㅋㅅ" hidden="1">{#N/A,#N/A,FALSE,"2~8번"}</definedName>
    <definedName name="ㅗ허ㅡ호" localSheetId="12" hidden="1">{#N/A,#N/A,FALSE,"구조2"}</definedName>
    <definedName name="ㅗ허ㅡ호" hidden="1">{#N/A,#N/A,FALSE,"구조2"}</definedName>
    <definedName name="ㅗㅓㅀ" localSheetId="12" hidden="1">{#N/A,#N/A,FALSE,"표지목차"}</definedName>
    <definedName name="ㅗㅓㅀ" hidden="1">{#N/A,#N/A,FALSE,"표지목차"}</definedName>
    <definedName name="ㅗㅓㅣㅏㅗ" localSheetId="12">BlankMacro1</definedName>
    <definedName name="ㅗㅓㅣㅏㅗ" localSheetId="6">BlankMacro1</definedName>
    <definedName name="ㅗㅓㅣㅏㅗ">BlankMacro1</definedName>
    <definedName name="ㅗㅓㅣㅓㅚㅗㅓ" localSheetId="12">BlankMacro1</definedName>
    <definedName name="ㅗㅓㅣㅓㅚㅗㅓ" localSheetId="6">BlankMacro1</definedName>
    <definedName name="ㅗㅓㅣㅓㅚㅗㅓ">BlankMacro1</definedName>
    <definedName name="ㅗㅓㅣㅗㅓㅣ" localSheetId="12">BlankMacro1</definedName>
    <definedName name="ㅗㅓㅣㅗㅓㅣ" localSheetId="6">BlankMacro1</definedName>
    <definedName name="ㅗㅓㅣㅗㅓㅣ">BlankMacro1</definedName>
    <definedName name="ㅗㅓㅣㅗㅓㅣㅘ" localSheetId="12">BlankMacro1</definedName>
    <definedName name="ㅗㅓㅣㅗㅓㅣㅘ" localSheetId="6">BlankMacro1</definedName>
    <definedName name="ㅗㅓㅣㅗㅓㅣㅘ">BlankMacro1</definedName>
    <definedName name="ㅗㅗㅗ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ㅗㅗㅗ" localSheetId="11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ㅗㅗㅗㅗㅗㅗ" localSheetId="12" hidden="1">{#N/A,#N/A,FALSE,"2~8번"}</definedName>
    <definedName name="ㅗㅗㅗㅗㅗㅗ" localSheetId="11" hidden="1">{#N/A,#N/A,FALSE,"2~8번"}</definedName>
    <definedName name="ㅗㅗㅗㅗㅗㅗ" localSheetId="7" hidden="1">{#N/A,#N/A,FALSE,"2~8번"}</definedName>
    <definedName name="ㅗㅗㅗㅗㅗㅗ" localSheetId="9" hidden="1">{#N/A,#N/A,FALSE,"2~8번"}</definedName>
    <definedName name="ㅗㅗㅗㅗㅗㅗ" localSheetId="4" hidden="1">{#N/A,#N/A,FALSE,"2~8번"}</definedName>
    <definedName name="ㅗㅗㅗㅗㅗㅗ" localSheetId="0" hidden="1">{#N/A,#N/A,FALSE,"2~8번"}</definedName>
    <definedName name="ㅗㅗㅗㅗㅗㅗ" hidden="1">{#N/A,#N/A,FALSE,"2~8번"}</definedName>
    <definedName name="ㅛ" localSheetId="12">BlankMacro1</definedName>
    <definedName name="ㅛ" localSheetId="11">BlankMacro1</definedName>
    <definedName name="ㅛ" localSheetId="6">BlankMacro1</definedName>
    <definedName name="ㅛ">BlankMacro1</definedName>
    <definedName name="ㅛㄷㄱ죡ㄷ죠" localSheetId="12">BlankMacro1</definedName>
    <definedName name="ㅛㄷㄱ죡ㄷ죠" localSheetId="6">BlankMacro1</definedName>
    <definedName name="ㅛㄷㄱ죡ㄷ죠">BlankMacro1</definedName>
    <definedName name="ㅛㄷ굑ㄷ죧죠" localSheetId="12">BlankMacro1</definedName>
    <definedName name="ㅛㄷ굑ㄷ죧죠" localSheetId="6">BlankMacro1</definedName>
    <definedName name="ㅛㄷ굑ㄷ죧죠">BlankMacro1</definedName>
    <definedName name="ㅛㅅ" localSheetId="12">BlankMacro1</definedName>
    <definedName name="ㅛㅅ" localSheetId="6">BlankMacro1</definedName>
    <definedName name="ㅛㅅ">BlankMacro1</definedName>
    <definedName name="ㅛ샤ㅕ" localSheetId="12">BlankMacro1</definedName>
    <definedName name="ㅛ샤ㅕ" localSheetId="6">BlankMacro1</definedName>
    <definedName name="ㅛ샤ㅕ">BlankMacro1</definedName>
    <definedName name="ㅛ셔됴ㅕ" localSheetId="12" hidden="1">{#N/A,#N/A,FALSE,"운반시간"}</definedName>
    <definedName name="ㅛ셔됴ㅕ" localSheetId="11" hidden="1">{#N/A,#N/A,FALSE,"운반시간"}</definedName>
    <definedName name="ㅛ셔됴ㅕ" localSheetId="7" hidden="1">{#N/A,#N/A,FALSE,"운반시간"}</definedName>
    <definedName name="ㅛ셔됴ㅕ" localSheetId="9" hidden="1">{#N/A,#N/A,FALSE,"운반시간"}</definedName>
    <definedName name="ㅛ셔됴ㅕ" localSheetId="4" hidden="1">{#N/A,#N/A,FALSE,"운반시간"}</definedName>
    <definedName name="ㅛ셔됴ㅕ" localSheetId="0" hidden="1">{#N/A,#N/A,FALSE,"운반시간"}</definedName>
    <definedName name="ㅛ셔됴ㅕ" hidden="1">{#N/A,#N/A,FALSE,"운반시간"}</definedName>
    <definedName name="ㅛ셔으ㅜㅅ구" localSheetId="12" hidden="1">{#N/A,#N/A,FALSE,"2~8번"}</definedName>
    <definedName name="ㅛ셔으ㅜㅅ구" localSheetId="11" hidden="1">{#N/A,#N/A,FALSE,"2~8번"}</definedName>
    <definedName name="ㅛ셔으ㅜㅅ구" localSheetId="7" hidden="1">{#N/A,#N/A,FALSE,"2~8번"}</definedName>
    <definedName name="ㅛ셔으ㅜㅅ구" localSheetId="9" hidden="1">{#N/A,#N/A,FALSE,"2~8번"}</definedName>
    <definedName name="ㅛ셔으ㅜㅅ구" localSheetId="4" hidden="1">{#N/A,#N/A,FALSE,"2~8번"}</definedName>
    <definedName name="ㅛ셔으ㅜㅅ구" localSheetId="0" hidden="1">{#N/A,#N/A,FALSE,"2~8번"}</definedName>
    <definedName name="ㅛ셔으ㅜㅅ구" hidden="1">{#N/A,#N/A,FALSE,"2~8번"}</definedName>
    <definedName name="ㅛㅇ수ㅜㅛㅅㅇ" localSheetId="12" hidden="1">{#N/A,#N/A,FALSE,"2~8번"}</definedName>
    <definedName name="ㅛㅇ수ㅜㅛㅅㅇ" localSheetId="11" hidden="1">{#N/A,#N/A,FALSE,"2~8번"}</definedName>
    <definedName name="ㅛㅇ수ㅜㅛㅅㅇ" localSheetId="7" hidden="1">{#N/A,#N/A,FALSE,"2~8번"}</definedName>
    <definedName name="ㅛㅇ수ㅜㅛㅅㅇ" localSheetId="9" hidden="1">{#N/A,#N/A,FALSE,"2~8번"}</definedName>
    <definedName name="ㅛㅇ수ㅜㅛㅅㅇ" localSheetId="4" hidden="1">{#N/A,#N/A,FALSE,"2~8번"}</definedName>
    <definedName name="ㅛㅇ수ㅜㅛㅅㅇ" localSheetId="0" hidden="1">{#N/A,#N/A,FALSE,"2~8번"}</definedName>
    <definedName name="ㅛㅇ수ㅜㅛㅅㅇ" hidden="1">{#N/A,#N/A,FALSE,"2~8번"}</definedName>
    <definedName name="ㅛㅓㄴㄱ5" localSheetId="12" hidden="1">{#N/A,#N/A,FALSE,"단가표지"}</definedName>
    <definedName name="ㅛㅓㄴㄱ5" localSheetId="11" hidden="1">{#N/A,#N/A,FALSE,"단가표지"}</definedName>
    <definedName name="ㅛㅓㄴㄱ5" localSheetId="7" hidden="1">{#N/A,#N/A,FALSE,"단가표지"}</definedName>
    <definedName name="ㅛㅓㄴㄱ5" localSheetId="9" hidden="1">{#N/A,#N/A,FALSE,"단가표지"}</definedName>
    <definedName name="ㅛㅓㄴㄱ5" localSheetId="4" hidden="1">{#N/A,#N/A,FALSE,"단가표지"}</definedName>
    <definedName name="ㅛㅓㄴㄱ5" localSheetId="0" hidden="1">{#N/A,#N/A,FALSE,"단가표지"}</definedName>
    <definedName name="ㅛㅓㄴㄱ5" hidden="1">{#N/A,#N/A,FALSE,"단가표지"}</definedName>
    <definedName name="ㅛㅕ샤" localSheetId="12">BlankMacro1</definedName>
    <definedName name="ㅛㅕ샤" localSheetId="6">BlankMacro1</definedName>
    <definedName name="ㅛㅕ샤">BlankMacro1</definedName>
    <definedName name="ㅛㅕㅑㅅ" localSheetId="12">BlankMacro1</definedName>
    <definedName name="ㅛㅕㅑㅅ" localSheetId="6">BlankMacro1</definedName>
    <definedName name="ㅛㅕㅑㅅ">BlankMacro1</definedName>
    <definedName name="ㅛㅕㅕㅑㅓ" localSheetId="12" hidden="1">{#N/A,#N/A,FALSE,"표지목차"}</definedName>
    <definedName name="ㅛㅕㅕㅑㅓ" localSheetId="11" hidden="1">{#N/A,#N/A,FALSE,"표지목차"}</definedName>
    <definedName name="ㅛㅕㅕㅑㅓ" localSheetId="7" hidden="1">{#N/A,#N/A,FALSE,"표지목차"}</definedName>
    <definedName name="ㅛㅕㅕㅑㅓ" localSheetId="9" hidden="1">{#N/A,#N/A,FALSE,"표지목차"}</definedName>
    <definedName name="ㅛㅕㅕㅑㅓ" localSheetId="4" hidden="1">{#N/A,#N/A,FALSE,"표지목차"}</definedName>
    <definedName name="ㅛㅕㅕㅑㅓ" localSheetId="0" hidden="1">{#N/A,#N/A,FALSE,"표지목차"}</definedName>
    <definedName name="ㅛㅕㅕㅑㅓ" hidden="1">{#N/A,#N/A,FALSE,"표지목차"}</definedName>
    <definedName name="ㅛㅛ" localSheetId="7" hidden="1">{#N/A,#N/A,FALSE,"골재소요량";#N/A,#N/A,FALSE,"골재소요량"}</definedName>
    <definedName name="ㅛㅛ" localSheetId="9" hidden="1">{#N/A,#N/A,FALSE,"골재소요량";#N/A,#N/A,FALSE,"골재소요량"}</definedName>
    <definedName name="ㅛㅛ" localSheetId="4" hidden="1">{#N/A,#N/A,FALSE,"골재소요량";#N/A,#N/A,FALSE,"골재소요량"}</definedName>
    <definedName name="ㅛㅛ" localSheetId="0" hidden="1">{#N/A,#N/A,FALSE,"골재소요량";#N/A,#N/A,FALSE,"골재소요량"}</definedName>
    <definedName name="ㅛㅛ" hidden="1">{#N/A,#N/A,FALSE,"골재소요량";#N/A,#N/A,FALSE,"골재소요량"}</definedName>
    <definedName name="ㅛㅛㅛㅛ" localSheetId="7" hidden="1">{#N/A,#N/A,FALSE,"표지목차"}</definedName>
    <definedName name="ㅛㅛㅛㅛ" localSheetId="9" hidden="1">{#N/A,#N/A,FALSE,"표지목차"}</definedName>
    <definedName name="ㅛㅛㅛㅛ" localSheetId="4" hidden="1">{#N/A,#N/A,FALSE,"표지목차"}</definedName>
    <definedName name="ㅛㅛㅛㅛ" localSheetId="0" hidden="1">{#N/A,#N/A,FALSE,"표지목차"}</definedName>
    <definedName name="ㅛㅛㅛㅛ" hidden="1">{#N/A,#N/A,FALSE,"표지목차"}</definedName>
    <definedName name="ㅛㅛㅛㅛㅛㅛ" localSheetId="12" hidden="1">{#N/A,#N/A,FALSE,"골재소요량";#N/A,#N/A,FALSE,"골재소요량"}</definedName>
    <definedName name="ㅛㅛㅛㅛㅛㅛ" localSheetId="11" hidden="1">{#N/A,#N/A,FALSE,"골재소요량";#N/A,#N/A,FALSE,"골재소요량"}</definedName>
    <definedName name="ㅛㅛㅛㅛㅛㅛ" localSheetId="7" hidden="1">{#N/A,#N/A,FALSE,"골재소요량";#N/A,#N/A,FALSE,"골재소요량"}</definedName>
    <definedName name="ㅛㅛㅛㅛㅛㅛ" localSheetId="9" hidden="1">{#N/A,#N/A,FALSE,"골재소요량";#N/A,#N/A,FALSE,"골재소요량"}</definedName>
    <definedName name="ㅛㅛㅛㅛㅛㅛ" localSheetId="4" hidden="1">{#N/A,#N/A,FALSE,"골재소요량";#N/A,#N/A,FALSE,"골재소요량"}</definedName>
    <definedName name="ㅛㅛㅛㅛㅛㅛ" localSheetId="0" hidden="1">{#N/A,#N/A,FALSE,"골재소요량";#N/A,#N/A,FALSE,"골재소요량"}</definedName>
    <definedName name="ㅛㅛㅛㅛㅛㅛ" hidden="1">{#N/A,#N/A,FALSE,"골재소요량";#N/A,#N/A,FALSE,"골재소요량"}</definedName>
    <definedName name="ㅛㅛㅛㅛㅛㅛㅛ" localSheetId="12" hidden="1">{#N/A,#N/A,FALSE,"단가표지"}</definedName>
    <definedName name="ㅛㅛㅛㅛㅛㅛㅛ" localSheetId="11" hidden="1">{#N/A,#N/A,FALSE,"단가표지"}</definedName>
    <definedName name="ㅛㅛㅛㅛㅛㅛㅛ" localSheetId="7" hidden="1">{#N/A,#N/A,FALSE,"단가표지"}</definedName>
    <definedName name="ㅛㅛㅛㅛㅛㅛㅛ" localSheetId="9" hidden="1">{#N/A,#N/A,FALSE,"단가표지"}</definedName>
    <definedName name="ㅛㅛㅛㅛㅛㅛㅛ" localSheetId="4" hidden="1">{#N/A,#N/A,FALSE,"단가표지"}</definedName>
    <definedName name="ㅛㅛㅛㅛㅛㅛㅛ" localSheetId="0" hidden="1">{#N/A,#N/A,FALSE,"단가표지"}</definedName>
    <definedName name="ㅛㅛㅛㅛㅛㅛㅛ" hidden="1">{#N/A,#N/A,FALSE,"단가표지"}</definedName>
    <definedName name="ㅛㅛㅛㅛㅛㅛㅛㅛㅛㅛㅛㅛㅛㅛㅛㅛㅛㅛㅛㅛㅛㅛㅛㅛ" localSheetId="7" hidden="1">{#N/A,#N/A,FALSE,"표지목차"}</definedName>
    <definedName name="ㅛㅛㅛㅛㅛㅛㅛㅛㅛㅛㅛㅛㅛㅛㅛㅛㅛㅛㅛㅛㅛㅛㅛㅛ" localSheetId="4" hidden="1">{#N/A,#N/A,FALSE,"표지목차"}</definedName>
    <definedName name="ㅛㅛㅛㅛㅛㅛㅛㅛㅛㅛㅛㅛㅛㅛㅛㅛㅛㅛㅛㅛㅛㅛㅛㅛ" localSheetId="0" hidden="1">{#N/A,#N/A,FALSE,"표지목차"}</definedName>
    <definedName name="ㅛㅛㅛㅛㅛㅛㅛㅛㅛㅛㅛㅛㅛㅛㅛㅛㅛㅛㅛㅛㅛㅛㅛㅛ" hidden="1">{#N/A,#N/A,FALSE,"표지목차"}</definedName>
    <definedName name="ㅛㅠㅗㄱ셔ㅛ" localSheetId="12" hidden="1">{#N/A,#N/A,FALSE,"조골재"}</definedName>
    <definedName name="ㅛㅠㅗㄱ셔ㅛ" localSheetId="11" hidden="1">{#N/A,#N/A,FALSE,"조골재"}</definedName>
    <definedName name="ㅛㅠㅗㄱ셔ㅛ" localSheetId="7" hidden="1">{#N/A,#N/A,FALSE,"조골재"}</definedName>
    <definedName name="ㅛㅠㅗㄱ셔ㅛ" localSheetId="9" hidden="1">{#N/A,#N/A,FALSE,"조골재"}</definedName>
    <definedName name="ㅛㅠㅗㄱ셔ㅛ" localSheetId="4" hidden="1">{#N/A,#N/A,FALSE,"조골재"}</definedName>
    <definedName name="ㅛㅠㅗㄱ셔ㅛ" localSheetId="0" hidden="1">{#N/A,#N/A,FALSE,"조골재"}</definedName>
    <definedName name="ㅛㅠㅗㄱ셔ㅛ" hidden="1">{#N/A,#N/A,FALSE,"조골재"}</definedName>
    <definedName name="ㅜ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ㅜ" localSheetId="7" hidden="1">{#N/A,#N/A,FALSE,"혼합골재"}</definedName>
    <definedName name="ㅜ" localSheetId="9" hidden="1">{#N/A,#N/A,FALSE,"혼합골재"}</definedName>
    <definedName name="ㅜ" localSheetId="4" hidden="1">{#N/A,#N/A,FALSE,"혼합골재"}</definedName>
    <definedName name="ㅜ" localSheetId="0" hidden="1">{#N/A,#N/A,FALSE,"혼합골재"}</definedName>
    <definedName name="ㅜ" hidden="1">{#N/A,#N/A,FALSE,"혼합골재"}</definedName>
    <definedName name="ㅜㄴ" localSheetId="12" hidden="1">{#N/A,#N/A,FALSE,"운반시간"}</definedName>
    <definedName name="ㅜㄴ" localSheetId="11" hidden="1">{#N/A,#N/A,FALSE,"운반시간"}</definedName>
    <definedName name="ㅜㄴ" localSheetId="7" hidden="1">{#N/A,#N/A,FALSE,"운반시간"}</definedName>
    <definedName name="ㅜㄴ" localSheetId="9" hidden="1">{#N/A,#N/A,FALSE,"운반시간"}</definedName>
    <definedName name="ㅜㄴ" localSheetId="4" hidden="1">{#N/A,#N/A,FALSE,"운반시간"}</definedName>
    <definedName name="ㅜㄴ" localSheetId="0" hidden="1">{#N/A,#N/A,FALSE,"운반시간"}</definedName>
    <definedName name="ㅜㄴ" hidden="1">{#N/A,#N/A,FALSE,"운반시간"}</definedName>
    <definedName name="ㅜㄴㄹ오" localSheetId="12">BlankMacro1</definedName>
    <definedName name="ㅜㄴㄹ오" localSheetId="6">BlankMacro1</definedName>
    <definedName name="ㅜㄴㄹ오">BlankMacro1</definedName>
    <definedName name="ㅜ여숫유" localSheetId="12" hidden="1">{#N/A,#N/A,FALSE,"운반시간"}</definedName>
    <definedName name="ㅜ여숫유" localSheetId="11" hidden="1">{#N/A,#N/A,FALSE,"운반시간"}</definedName>
    <definedName name="ㅜ여숫유" localSheetId="7" hidden="1">{#N/A,#N/A,FALSE,"운반시간"}</definedName>
    <definedName name="ㅜ여숫유" localSheetId="9" hidden="1">{#N/A,#N/A,FALSE,"운반시간"}</definedName>
    <definedName name="ㅜ여숫유" localSheetId="4" hidden="1">{#N/A,#N/A,FALSE,"운반시간"}</definedName>
    <definedName name="ㅜ여숫유" localSheetId="0" hidden="1">{#N/A,#N/A,FALSE,"운반시간"}</definedName>
    <definedName name="ㅜ여숫유" hidden="1">{#N/A,#N/A,FALSE,"운반시간"}</definedName>
    <definedName name="ㅜ후ㅗㅜㅗ" localSheetId="12" hidden="1">{#N/A,#N/A,FALSE,"단가표지"}</definedName>
    <definedName name="ㅜ후ㅗㅜㅗ" localSheetId="11" hidden="1">{#N/A,#N/A,FALSE,"단가표지"}</definedName>
    <definedName name="ㅜ후ㅗㅜㅗ" localSheetId="7" hidden="1">{#N/A,#N/A,FALSE,"단가표지"}</definedName>
    <definedName name="ㅜ후ㅗㅜㅗ" localSheetId="9" hidden="1">{#N/A,#N/A,FALSE,"단가표지"}</definedName>
    <definedName name="ㅜ후ㅗㅜㅗ" localSheetId="4" hidden="1">{#N/A,#N/A,FALSE,"단가표지"}</definedName>
    <definedName name="ㅜ후ㅗㅜㅗ" localSheetId="0" hidden="1">{#N/A,#N/A,FALSE,"단가표지"}</definedName>
    <definedName name="ㅜ후ㅗㅜㅗ" hidden="1">{#N/A,#N/A,FALSE,"단가표지"}</definedName>
    <definedName name="ㅜㅜ" localSheetId="12" hidden="1">{#N/A,#N/A,TRUE,"1";#N/A,#N/A,TRUE,"2";#N/A,#N/A,TRUE,"3";#N/A,#N/A,TRUE,"4";#N/A,#N/A,TRUE,"5";#N/A,#N/A,TRUE,"6";#N/A,#N/A,TRUE,"7"}</definedName>
    <definedName name="ㅜㅜ" localSheetId="11" hidden="1">{#N/A,#N/A,TRUE,"1";#N/A,#N/A,TRUE,"2";#N/A,#N/A,TRUE,"3";#N/A,#N/A,TRUE,"4";#N/A,#N/A,TRUE,"5";#N/A,#N/A,TRUE,"6";#N/A,#N/A,TRUE,"7"}</definedName>
    <definedName name="ㅜㅜ" localSheetId="7" hidden="1">{#N/A,#N/A,FALSE,"골재소요량";#N/A,#N/A,FALSE,"골재소요량"}</definedName>
    <definedName name="ㅜㅜ" localSheetId="4" hidden="1">{#N/A,#N/A,FALSE,"골재소요량";#N/A,#N/A,FALSE,"골재소요량"}</definedName>
    <definedName name="ㅜㅜ" localSheetId="0" hidden="1">{#N/A,#N/A,FALSE,"골재소요량";#N/A,#N/A,FALSE,"골재소요량"}</definedName>
    <definedName name="ㅜㅜ" hidden="1">{#N/A,#N/A,FALSE,"골재소요량";#N/A,#N/A,FALSE,"골재소요량"}</definedName>
    <definedName name="ㅜㅜㅜㅜㅜㅜㅜㅜㅜㅜㅜㅜㅜㅜㅜㅜㅜㅜㅜㅜㅜㅜㅜㅜㅜ" localSheetId="12" hidden="1">{#N/A,#N/A,FALSE,"포장2"}</definedName>
    <definedName name="ㅜㅜㅜㅜㅜㅜㅜㅜㅜㅜㅜㅜㅜㅜㅜㅜㅜㅜㅜㅜㅜㅜㅜㅜㅜ" hidden="1">{#N/A,#N/A,FALSE,"포장2"}</definedName>
    <definedName name="ㅜㅡㅠ" localSheetId="12">BlankMacro1</definedName>
    <definedName name="ㅜㅡㅠ" localSheetId="6">BlankMacro1</definedName>
    <definedName name="ㅜㅡㅠ">BlankMacro1</definedName>
    <definedName name="ㅝㅎㄹ촉ㅇ" localSheetId="12" hidden="1">{#N/A,#N/A,FALSE,"조골재"}</definedName>
    <definedName name="ㅝㅎㄹ촉ㅇ" localSheetId="11" hidden="1">{#N/A,#N/A,FALSE,"조골재"}</definedName>
    <definedName name="ㅝㅎㄹ촉ㅇ" localSheetId="7" hidden="1">{#N/A,#N/A,FALSE,"조골재"}</definedName>
    <definedName name="ㅝㅎㄹ촉ㅇ" localSheetId="9" hidden="1">{#N/A,#N/A,FALSE,"조골재"}</definedName>
    <definedName name="ㅝㅎㄹ촉ㅇ" localSheetId="4" hidden="1">{#N/A,#N/A,FALSE,"조골재"}</definedName>
    <definedName name="ㅝㅎㄹ촉ㅇ" localSheetId="0" hidden="1">{#N/A,#N/A,FALSE,"조골재"}</definedName>
    <definedName name="ㅝㅎㄹ촉ㅇ" hidden="1">{#N/A,#N/A,FALSE,"조골재"}</definedName>
    <definedName name="ㅠ" localSheetId="12">BlankMacro1</definedName>
    <definedName name="ㅠ" localSheetId="11">BlankMacro1</definedName>
    <definedName name="ㅠ" hidden="1">{#N/A,#N/A,FALSE,"표지목차"}</definedName>
    <definedName name="ㅠㄱ소슈" localSheetId="12" hidden="1">{#N/A,#N/A,FALSE,"골재소요량";#N/A,#N/A,FALSE,"골재소요량"}</definedName>
    <definedName name="ㅠㄱ소슈" localSheetId="11" hidden="1">{#N/A,#N/A,FALSE,"골재소요량";#N/A,#N/A,FALSE,"골재소요량"}</definedName>
    <definedName name="ㅠㄱ소슈" localSheetId="7" hidden="1">{#N/A,#N/A,FALSE,"골재소요량";#N/A,#N/A,FALSE,"골재소요량"}</definedName>
    <definedName name="ㅠㄱ소슈" localSheetId="9" hidden="1">{#N/A,#N/A,FALSE,"골재소요량";#N/A,#N/A,FALSE,"골재소요량"}</definedName>
    <definedName name="ㅠㄱ소슈" localSheetId="4" hidden="1">{#N/A,#N/A,FALSE,"골재소요량";#N/A,#N/A,FALSE,"골재소요량"}</definedName>
    <definedName name="ㅠㄱ소슈" localSheetId="0" hidden="1">{#N/A,#N/A,FALSE,"골재소요량";#N/A,#N/A,FALSE,"골재소요량"}</definedName>
    <definedName name="ㅠㄱ소슈" hidden="1">{#N/A,#N/A,FALSE,"골재소요량";#N/A,#N/A,FALSE,"골재소요량"}</definedName>
    <definedName name="ㅠㅅ롯고" localSheetId="12" hidden="1">{#N/A,#N/A,FALSE,"골재소요량";#N/A,#N/A,FALSE,"골재소요량"}</definedName>
    <definedName name="ㅠㅅ롯고" localSheetId="11" hidden="1">{#N/A,#N/A,FALSE,"골재소요량";#N/A,#N/A,FALSE,"골재소요량"}</definedName>
    <definedName name="ㅠㅅ롯고" localSheetId="7" hidden="1">{#N/A,#N/A,FALSE,"골재소요량";#N/A,#N/A,FALSE,"골재소요량"}</definedName>
    <definedName name="ㅠㅅ롯고" localSheetId="9" hidden="1">{#N/A,#N/A,FALSE,"골재소요량";#N/A,#N/A,FALSE,"골재소요량"}</definedName>
    <definedName name="ㅠㅅ롯고" localSheetId="4" hidden="1">{#N/A,#N/A,FALSE,"골재소요량";#N/A,#N/A,FALSE,"골재소요량"}</definedName>
    <definedName name="ㅠㅅ롯고" localSheetId="0" hidden="1">{#N/A,#N/A,FALSE,"골재소요량";#N/A,#N/A,FALSE,"골재소요량"}</definedName>
    <definedName name="ㅠㅅ롯고" hidden="1">{#N/A,#N/A,FALSE,"골재소요량";#N/A,#N/A,FALSE,"골재소요량"}</definedName>
    <definedName name="ㅠ숑ㄱ쇼ㅠㅠㅅ" localSheetId="12" hidden="1">{#N/A,#N/A,FALSE,"단가표지"}</definedName>
    <definedName name="ㅠ숑ㄱ쇼ㅠㅠㅅ" localSheetId="11" hidden="1">{#N/A,#N/A,FALSE,"단가표지"}</definedName>
    <definedName name="ㅠ숑ㄱ쇼ㅠㅠㅅ" localSheetId="7" hidden="1">{#N/A,#N/A,FALSE,"단가표지"}</definedName>
    <definedName name="ㅠ숑ㄱ쇼ㅠㅠㅅ" localSheetId="9" hidden="1">{#N/A,#N/A,FALSE,"단가표지"}</definedName>
    <definedName name="ㅠ숑ㄱ쇼ㅠㅠㅅ" localSheetId="4" hidden="1">{#N/A,#N/A,FALSE,"단가표지"}</definedName>
    <definedName name="ㅠ숑ㄱ쇼ㅠㅠㅅ" localSheetId="0" hidden="1">{#N/A,#N/A,FALSE,"단가표지"}</definedName>
    <definedName name="ㅠ숑ㄱ쇼ㅠㅠㅅ" hidden="1">{#N/A,#N/A,FALSE,"단가표지"}</definedName>
    <definedName name="ㅠㅍ" localSheetId="12">BlankMacro1</definedName>
    <definedName name="ㅠㅍ" localSheetId="6">BlankMacro1</definedName>
    <definedName name="ㅠㅍ">BlankMacro1</definedName>
    <definedName name="ㅠㅍㅊ" localSheetId="12">BlankMacro1</definedName>
    <definedName name="ㅠㅍㅊ" localSheetId="6">BlankMacro1</definedName>
    <definedName name="ㅠㅍㅊ">BlankMacro1</definedName>
    <definedName name="ㅠㅎㄹ호" localSheetId="12" hidden="1">{#N/A,#N/A,FALSE,"2~8번"}</definedName>
    <definedName name="ㅠㅎㄹ호" hidden="1">{#N/A,#N/A,FALSE,"2~8번"}</definedName>
    <definedName name="ㅠ화호" localSheetId="12">BlankMacro1</definedName>
    <definedName name="ㅠ화호" localSheetId="6">BlankMacro1</definedName>
    <definedName name="ㅠ화호">BlankMacro1</definedName>
    <definedName name="ㅠㅗ하ㅓ" localSheetId="12">BlankMacro1</definedName>
    <definedName name="ㅠㅗ하ㅓ" localSheetId="6">BlankMacro1</definedName>
    <definedName name="ㅠㅗ하ㅓ">BlankMacro1</definedName>
    <definedName name="ㅠㅠㅠ">#N/A</definedName>
    <definedName name="ㅠㅠㅠㅠ" localSheetId="12" hidden="1">{#N/A,#N/A,FALSE,"운반시간"}</definedName>
    <definedName name="ㅠㅠㅠㅠ" localSheetId="11" hidden="1">{#N/A,#N/A,FALSE,"운반시간"}</definedName>
    <definedName name="ㅠㅠㅠㅠ" localSheetId="7" hidden="1">{#N/A,#N/A,FALSE,"운반시간"}</definedName>
    <definedName name="ㅠㅠㅠㅠ" localSheetId="9" hidden="1">{#N/A,#N/A,FALSE,"운반시간"}</definedName>
    <definedName name="ㅠㅠㅠㅠ" localSheetId="4" hidden="1">{#N/A,#N/A,FALSE,"운반시간"}</definedName>
    <definedName name="ㅠㅠㅠㅠ" localSheetId="0" hidden="1">{#N/A,#N/A,FALSE,"운반시간"}</definedName>
    <definedName name="ㅠㅠㅠㅠ" hidden="1">{#N/A,#N/A,FALSE,"운반시간"}</definedName>
    <definedName name="ㅡ" localSheetId="11">BlankMacro1</definedName>
    <definedName name="ㅡ" localSheetId="7" hidden="1">{#N/A,#N/A,FALSE,"조골재"}</definedName>
    <definedName name="ㅡ" localSheetId="9" hidden="1">{#N/A,#N/A,FALSE,"조골재"}</definedName>
    <definedName name="ㅡ" localSheetId="4" hidden="1">{#N/A,#N/A,FALSE,"조골재"}</definedName>
    <definedName name="ㅡ" localSheetId="0" hidden="1">{#N/A,#N/A,FALSE,"조골재"}</definedName>
    <definedName name="ㅡ" hidden="1">{#N/A,#N/A,FALSE,"조골재"}</definedName>
    <definedName name="ㅡ퓨" localSheetId="12">BlankMacro1</definedName>
    <definedName name="ㅡ퓨" localSheetId="6">BlankMacro1</definedName>
    <definedName name="ㅡ퓨">BlankMacro1</definedName>
    <definedName name="ㅡㅗㅓㅓㅡㅗㅗㅓㅓㅗ" localSheetId="12" hidden="1">{#N/A,#N/A,FALSE,"운반시간"}</definedName>
    <definedName name="ㅡㅗㅓㅓㅡㅗㅗㅓㅓㅗ" localSheetId="11" hidden="1">{#N/A,#N/A,FALSE,"운반시간"}</definedName>
    <definedName name="ㅡㅗㅓㅓㅡㅗㅗㅓㅓㅗ" localSheetId="7" hidden="1">{#N/A,#N/A,FALSE,"운반시간"}</definedName>
    <definedName name="ㅡㅗㅓㅓㅡㅗㅗㅓㅓㅗ" localSheetId="9" hidden="1">{#N/A,#N/A,FALSE,"운반시간"}</definedName>
    <definedName name="ㅡㅗㅓㅓㅡㅗㅗㅓㅓㅗ" localSheetId="4" hidden="1">{#N/A,#N/A,FALSE,"운반시간"}</definedName>
    <definedName name="ㅡㅗㅓㅓㅡㅗㅗㅓㅓㅗ" localSheetId="0" hidden="1">{#N/A,#N/A,FALSE,"운반시간"}</definedName>
    <definedName name="ㅡㅗㅓㅓㅡㅗㅗㅓㅓㅗ" hidden="1">{#N/A,#N/A,FALSE,"운반시간"}</definedName>
    <definedName name="ㅡㅜㅠㅡㅠ프" localSheetId="12">BlankMacro1</definedName>
    <definedName name="ㅡㅜㅠㅡㅠ프" localSheetId="6">BlankMacro1</definedName>
    <definedName name="ㅡㅜㅠㅡㅠ프">BlankMacro1</definedName>
    <definedName name="ㅡㅡ" localSheetId="12" hidden="1">{"'Sheet1'!$D$19","'Sheet1'!$B$22:$E$22"}</definedName>
    <definedName name="ㅡㅡ" localSheetId="11" hidden="1">{"'Sheet1'!$D$19","'Sheet1'!$B$22:$E$22"}</definedName>
    <definedName name="ㅡㅡ" localSheetId="7" hidden="1">{#N/A,#N/A,FALSE,"표지목차"}</definedName>
    <definedName name="ㅡㅡ" localSheetId="9" hidden="1">{#N/A,#N/A,FALSE,"표지목차"}</definedName>
    <definedName name="ㅡㅡ" localSheetId="4" hidden="1">{#N/A,#N/A,FALSE,"표지목차"}</definedName>
    <definedName name="ㅡㅡ" localSheetId="0" hidden="1">{#N/A,#N/A,FALSE,"표지목차"}</definedName>
    <definedName name="ㅡㅡ" hidden="1">{#N/A,#N/A,FALSE,"표지목차"}</definedName>
    <definedName name="ㅡㅡㅡ" localSheetId="12" hidden="1">{#N/A,#N/A,FALSE,"골재소요량";#N/A,#N/A,FALSE,"골재소요량"}</definedName>
    <definedName name="ㅡㅡㅡ" localSheetId="11" hidden="1">{#N/A,#N/A,FALSE,"골재소요량";#N/A,#N/A,FALSE,"골재소요량"}</definedName>
    <definedName name="ㅡㅡㅡ" localSheetId="7" hidden="1">{#N/A,#N/A,FALSE,"골재소요량";#N/A,#N/A,FALSE,"골재소요량"}</definedName>
    <definedName name="ㅡㅡㅡ" localSheetId="9" hidden="1">{#N/A,#N/A,FALSE,"골재소요량";#N/A,#N/A,FALSE,"골재소요량"}</definedName>
    <definedName name="ㅡㅡㅡ" localSheetId="4" hidden="1">{#N/A,#N/A,FALSE,"골재소요량";#N/A,#N/A,FALSE,"골재소요량"}</definedName>
    <definedName name="ㅡㅡㅡ" localSheetId="0" hidden="1">{#N/A,#N/A,FALSE,"골재소요량";#N/A,#N/A,FALSE,"골재소요량"}</definedName>
    <definedName name="ㅡㅡㅡ" hidden="1">{#N/A,#N/A,FALSE,"골재소요량";#N/A,#N/A,FALSE,"골재소요량"}</definedName>
    <definedName name="ㅡㅡㅡㅡㅡ" localSheetId="12" hidden="1">{#N/A,#N/A,FALSE,"운반시간"}</definedName>
    <definedName name="ㅡㅡㅡㅡㅡ" localSheetId="11" hidden="1">{#N/A,#N/A,FALSE,"운반시간"}</definedName>
    <definedName name="ㅡㅡㅡㅡㅡ" localSheetId="7" hidden="1">{#N/A,#N/A,FALSE,"운반시간"}</definedName>
    <definedName name="ㅡㅡㅡㅡㅡ" localSheetId="9" hidden="1">{#N/A,#N/A,FALSE,"운반시간"}</definedName>
    <definedName name="ㅡㅡㅡㅡㅡ" localSheetId="4" hidden="1">{#N/A,#N/A,FALSE,"운반시간"}</definedName>
    <definedName name="ㅡㅡㅡㅡㅡ" localSheetId="0" hidden="1">{#N/A,#N/A,FALSE,"운반시간"}</definedName>
    <definedName name="ㅡㅡㅡㅡㅡ" hidden="1">{#N/A,#N/A,FALSE,"운반시간"}</definedName>
    <definedName name="ㅢ" localSheetId="12">{"Book1","부대-(표지판,데리,가드).xls","부대-(낙,차,중분대).xls"}</definedName>
    <definedName name="ㅢ">{"Book1","부대-(표지판,데리,가드).xls","부대-(낙,차,중분대).xls"}</definedName>
    <definedName name="ㅣㅇ라ㅓㅣ" localSheetId="12">BlankMacro1</definedName>
    <definedName name="ㅣㅇ라ㅓㅣ" localSheetId="6">BlankMacro1</definedName>
    <definedName name="ㅣㅇ라ㅓㅣ">BlankMacro1</definedName>
    <definedName name="ㅣㅏ어ㅏ리" localSheetId="12">BlankMacro1</definedName>
    <definedName name="ㅣㅏ어ㅏ리" localSheetId="6">BlankMacro1</definedName>
    <definedName name="ㅣㅏ어ㅏ리">BlankMacro1</definedName>
    <definedName name="ㅣㅑㅑ" localSheetId="12" hidden="1">{#N/A,#N/A,FALSE,"단가표지"}</definedName>
    <definedName name="ㅣㅑㅑ" hidden="1">{#N/A,#N/A,FALSE,"단가표지"}</definedName>
    <definedName name="ㅣㅓㅏㅓ" localSheetId="12">BlankMacro1</definedName>
    <definedName name="ㅣㅓㅏㅓ" localSheetId="6">BlankMacro1</definedName>
    <definedName name="ㅣㅓㅏㅓ">BlankMacro1</definedName>
    <definedName name="ㅣㅓㅚㅓㅏ" localSheetId="12">BlankMacro1</definedName>
    <definedName name="ㅣㅓㅚㅓㅏ" localSheetId="6">BlankMacro1</definedName>
    <definedName name="ㅣㅓㅚㅓㅏ">BlankMacro1</definedName>
    <definedName name="ㅣㅣㅣ" localSheetId="7" hidden="1">{#N/A,#N/A,FALSE,"조골재"}</definedName>
    <definedName name="ㅣㅣㅣ" localSheetId="9" hidden="1">{#N/A,#N/A,FALSE,"조골재"}</definedName>
    <definedName name="ㅣㅣㅣ" localSheetId="4" hidden="1">{#N/A,#N/A,FALSE,"조골재"}</definedName>
    <definedName name="ㅣㅣㅣ" localSheetId="0" hidden="1">{#N/A,#N/A,FALSE,"조골재"}</definedName>
    <definedName name="ㅣㅣㅣ" hidden="1">{#N/A,#N/A,FALSE,"조골재"}</definedName>
  </definedNames>
  <calcPr calcId="181029"/>
</workbook>
</file>

<file path=xl/calcChain.xml><?xml version="1.0" encoding="utf-8"?>
<calcChain xmlns="http://schemas.openxmlformats.org/spreadsheetml/2006/main">
  <c r="E52" i="27" l="1"/>
  <c r="P51" i="27"/>
  <c r="P50" i="27"/>
  <c r="P49" i="27"/>
  <c r="P48" i="27"/>
  <c r="I47" i="27"/>
  <c r="P47" i="27" s="1"/>
  <c r="I46" i="27"/>
  <c r="P46" i="27" s="1"/>
  <c r="G46" i="27"/>
  <c r="G45" i="27"/>
  <c r="G52" i="27" s="1"/>
  <c r="I44" i="27"/>
  <c r="G43" i="27"/>
  <c r="E43" i="27"/>
  <c r="I39" i="27"/>
  <c r="I35" i="27"/>
  <c r="C35" i="27"/>
  <c r="P43" i="19"/>
  <c r="I52" i="27" l="1"/>
  <c r="I45" i="27"/>
  <c r="P45" i="27" s="1"/>
  <c r="P44" i="27"/>
  <c r="P43" i="1"/>
  <c r="G45" i="19"/>
  <c r="H29" i="2"/>
  <c r="P52" i="27" l="1"/>
  <c r="P54" i="27" s="1"/>
  <c r="P43" i="27"/>
  <c r="I40" i="27"/>
  <c r="Y30" i="25"/>
  <c r="Y29" i="25"/>
  <c r="X30" i="25"/>
  <c r="X29" i="25"/>
  <c r="W30" i="25"/>
  <c r="W29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30" i="25"/>
  <c r="E29" i="25"/>
  <c r="B2" i="26"/>
  <c r="AC27" i="25"/>
  <c r="AC25" i="25"/>
  <c r="AC23" i="25"/>
  <c r="AC21" i="25"/>
  <c r="AC19" i="25"/>
  <c r="AC17" i="25"/>
  <c r="AC15" i="25"/>
  <c r="AC13" i="25"/>
  <c r="AC11" i="25"/>
  <c r="AC9" i="25"/>
  <c r="AC7" i="25"/>
  <c r="AC5" i="25"/>
  <c r="U5" i="25"/>
  <c r="W5" i="25" s="1"/>
  <c r="U29" i="25" l="1"/>
  <c r="W6" i="25"/>
  <c r="V5" i="25"/>
  <c r="X6" i="25"/>
  <c r="Y5" i="25" l="1"/>
  <c r="V29" i="25"/>
  <c r="X5" i="25"/>
  <c r="Y6" i="25"/>
  <c r="Z29" i="25" l="1"/>
  <c r="AA29" i="25" s="1"/>
  <c r="Z5" i="25"/>
  <c r="AA5" i="25" s="1"/>
  <c r="E52" i="1" l="1"/>
  <c r="I25" i="2"/>
  <c r="I34" i="2"/>
  <c r="E52" i="19" l="1"/>
  <c r="I6" i="2" l="1"/>
  <c r="I5" i="2"/>
  <c r="I7" i="2" s="1"/>
  <c r="I46" i="2" l="1"/>
  <c r="P51" i="19" l="1"/>
  <c r="P50" i="19"/>
  <c r="P49" i="19"/>
  <c r="P48" i="19"/>
  <c r="P51" i="1"/>
  <c r="P50" i="1"/>
  <c r="P49" i="1"/>
  <c r="P48" i="1"/>
  <c r="P47" i="1"/>
  <c r="P46" i="1"/>
  <c r="K32" i="20"/>
  <c r="I47" i="19" l="1"/>
  <c r="P47" i="19" s="1"/>
  <c r="K23" i="20" l="1"/>
  <c r="G46" i="19" s="1"/>
  <c r="I39" i="19"/>
  <c r="A19" i="18"/>
  <c r="K16" i="20" l="1"/>
  <c r="K29" i="10"/>
  <c r="K30" i="10" s="1"/>
  <c r="G52" i="1" s="1"/>
  <c r="I35" i="1"/>
  <c r="C35" i="1"/>
  <c r="I45" i="19" l="1"/>
  <c r="P45" i="19" s="1"/>
  <c r="K9" i="20"/>
  <c r="K33" i="20" l="1"/>
  <c r="O32" i="20"/>
  <c r="I44" i="19" l="1"/>
  <c r="I45" i="1"/>
  <c r="P45" i="1" s="1"/>
  <c r="P44" i="19" l="1"/>
  <c r="F4" i="16" l="1"/>
  <c r="F5" i="16" s="1"/>
  <c r="F6" i="16" s="1"/>
  <c r="F7" i="16" s="1"/>
  <c r="F8" i="16" s="1"/>
  <c r="F9" i="16" l="1"/>
  <c r="F10" i="16" s="1"/>
  <c r="F11" i="16" s="1"/>
  <c r="J8" i="16"/>
  <c r="I44" i="1" l="1"/>
  <c r="I43" i="2"/>
  <c r="I45" i="2"/>
  <c r="I14" i="2"/>
  <c r="I30" i="2"/>
  <c r="I50" i="2"/>
  <c r="I51" i="2"/>
  <c r="I49" i="2"/>
  <c r="I52" i="1" l="1"/>
  <c r="P44" i="1"/>
  <c r="I17" i="2"/>
  <c r="I18" i="2"/>
  <c r="I28" i="2"/>
  <c r="I29" i="2"/>
  <c r="I31" i="2"/>
  <c r="I12" i="2"/>
  <c r="I13" i="2"/>
  <c r="I15" i="2"/>
  <c r="I11" i="2" s="1"/>
  <c r="I16" i="2"/>
  <c r="I19" i="2"/>
  <c r="I21" i="2"/>
  <c r="I22" i="2"/>
  <c r="I23" i="2"/>
  <c r="I24" i="2"/>
  <c r="I40" i="1" l="1"/>
  <c r="P52" i="1"/>
  <c r="I125" i="2"/>
  <c r="I118" i="2"/>
  <c r="I120" i="2" s="1"/>
  <c r="I113" i="2"/>
  <c r="I114" i="2" s="1"/>
  <c r="I100" i="2"/>
  <c r="I99" i="2"/>
  <c r="I94" i="2"/>
  <c r="I93" i="2"/>
  <c r="I92" i="2"/>
  <c r="I91" i="2"/>
  <c r="I90" i="2"/>
  <c r="I89" i="2"/>
  <c r="I88" i="2"/>
  <c r="I78" i="2"/>
  <c r="I76" i="2"/>
  <c r="I69" i="2"/>
  <c r="I68" i="2"/>
  <c r="I67" i="2"/>
  <c r="I66" i="2"/>
  <c r="I65" i="2"/>
  <c r="I63" i="2"/>
  <c r="I62" i="2"/>
  <c r="I61" i="2"/>
  <c r="I59" i="2"/>
  <c r="I58" i="2"/>
  <c r="I57" i="2"/>
  <c r="I44" i="2"/>
  <c r="I42" i="2"/>
  <c r="I41" i="2"/>
  <c r="I35" i="2"/>
  <c r="I33" i="2"/>
  <c r="I32" i="2" s="1"/>
  <c r="I36" i="2" s="1"/>
  <c r="I27" i="2"/>
  <c r="I53" i="2" l="1"/>
  <c r="I70" i="2"/>
  <c r="I104" i="2"/>
  <c r="I46" i="19" l="1"/>
  <c r="G52" i="19"/>
  <c r="P54" i="1"/>
  <c r="P46" i="19" l="1"/>
  <c r="I52" i="19"/>
  <c r="I40" i="19" l="1"/>
  <c r="P52" i="19"/>
  <c r="P54" i="19" s="1"/>
</calcChain>
</file>

<file path=xl/sharedStrings.xml><?xml version="1.0" encoding="utf-8"?>
<sst xmlns="http://schemas.openxmlformats.org/spreadsheetml/2006/main" count="643" uniqueCount="326">
  <si>
    <t xml:space="preserve"> </t>
    <phoneticPr fontId="9" type="noConversion"/>
  </si>
  <si>
    <t>발   주   자</t>
    <phoneticPr fontId="9" type="noConversion"/>
  </si>
  <si>
    <t>누계공정율</t>
    <phoneticPr fontId="9" type="noConversion"/>
  </si>
  <si>
    <t>사        용        금        액</t>
    <phoneticPr fontId="9" type="noConversion"/>
  </si>
  <si>
    <t>항       목</t>
    <phoneticPr fontId="9" type="noConversion"/>
  </si>
  <si>
    <t>계</t>
  </si>
  <si>
    <t xml:space="preserve"> </t>
    <phoneticPr fontId="114" type="noConversion"/>
  </si>
  <si>
    <t>2. 세부 사용 내역</t>
    <phoneticPr fontId="114" type="noConversion"/>
  </si>
  <si>
    <t>(1) 안전보건 관계자의 인건비 및 각종 업무 수당 등</t>
    <phoneticPr fontId="114" type="noConversion"/>
  </si>
  <si>
    <t>구                        분</t>
  </si>
  <si>
    <t>단위</t>
  </si>
  <si>
    <t>수 량</t>
  </si>
  <si>
    <t>단  가</t>
  </si>
  <si>
    <t>금   액</t>
  </si>
  <si>
    <t>비  고</t>
  </si>
  <si>
    <t>관리감독자 인건비</t>
    <phoneticPr fontId="9" type="noConversion"/>
  </si>
  <si>
    <t>월*인</t>
    <phoneticPr fontId="114" type="noConversion"/>
  </si>
  <si>
    <t xml:space="preserve"> </t>
    <phoneticPr fontId="9" type="noConversion"/>
  </si>
  <si>
    <t>(2) 안전시설비 등</t>
    <phoneticPr fontId="114" type="noConversion"/>
  </si>
  <si>
    <t xml:space="preserve">구                       분  </t>
  </si>
  <si>
    <t>[추락방지용 안전시설비]</t>
    <phoneticPr fontId="9" type="noConversion"/>
  </si>
  <si>
    <t>롤</t>
    <phoneticPr fontId="114" type="noConversion"/>
  </si>
  <si>
    <t>EA</t>
  </si>
  <si>
    <t>안전발판</t>
    <phoneticPr fontId="114" type="noConversion"/>
  </si>
  <si>
    <t>[낙하, 비래물 보호용 시설비]</t>
    <phoneticPr fontId="9" type="noConversion"/>
  </si>
  <si>
    <t>방호선반</t>
  </si>
  <si>
    <t>개소</t>
    <phoneticPr fontId="114" type="noConversion"/>
  </si>
  <si>
    <t>낙하물방지망</t>
  </si>
  <si>
    <t>[각종 안전표시판]</t>
  </si>
  <si>
    <t>공사안전수칙판</t>
    <phoneticPr fontId="114" type="noConversion"/>
  </si>
  <si>
    <t>R/L</t>
  </si>
  <si>
    <t>안전모 걸이대</t>
    <phoneticPr fontId="114" type="noConversion"/>
  </si>
  <si>
    <t>4구</t>
    <phoneticPr fontId="114" type="noConversion"/>
  </si>
  <si>
    <t>EA</t>
    <phoneticPr fontId="114" type="noConversion"/>
  </si>
  <si>
    <t>[각종 안전장치]</t>
  </si>
  <si>
    <t>조</t>
    <phoneticPr fontId="114" type="noConversion"/>
  </si>
  <si>
    <t>(3) 개인 보호구 및 안전장구 구입비 등</t>
    <phoneticPr fontId="114" type="noConversion"/>
  </si>
  <si>
    <t xml:space="preserve">구                     분  </t>
  </si>
  <si>
    <t>수  량</t>
  </si>
  <si>
    <t>단    가</t>
  </si>
  <si>
    <t>금      액</t>
  </si>
  <si>
    <t>[안전보호구 구입비]</t>
  </si>
  <si>
    <t>안전벨트</t>
    <phoneticPr fontId="114" type="noConversion"/>
  </si>
  <si>
    <t>안전모</t>
  </si>
  <si>
    <t>안전화</t>
  </si>
  <si>
    <t>각반</t>
    <phoneticPr fontId="114" type="noConversion"/>
  </si>
  <si>
    <t>[위생보호구 구입비]</t>
  </si>
  <si>
    <t xml:space="preserve">             계</t>
  </si>
  <si>
    <t>(4) 사업장 안전진단비 등</t>
    <phoneticPr fontId="114" type="noConversion"/>
  </si>
  <si>
    <t>--------</t>
    <phoneticPr fontId="114" type="noConversion"/>
  </si>
  <si>
    <t>(없음)</t>
    <phoneticPr fontId="114" type="noConversion"/>
  </si>
  <si>
    <t>구                    분</t>
  </si>
  <si>
    <t>단   가</t>
  </si>
  <si>
    <t>금     액</t>
  </si>
  <si>
    <t>사업장 안전,보건진단비(법49조)</t>
  </si>
  <si>
    <t>식</t>
    <phoneticPr fontId="114" type="noConversion"/>
  </si>
  <si>
    <t>유해,위험방지계획서 작성,심사비</t>
  </si>
  <si>
    <t>식</t>
  </si>
  <si>
    <t>작업환경 측정비(분진,소음)</t>
  </si>
  <si>
    <t>회</t>
  </si>
  <si>
    <t>[기계,기구 완성검사 및 정기검사 비용(법34조)]</t>
  </si>
  <si>
    <t>크레인</t>
  </si>
  <si>
    <t>리프트</t>
  </si>
  <si>
    <t>기타 장비</t>
  </si>
  <si>
    <t>[기계,기구 자체검사 비용(법36조)]</t>
  </si>
  <si>
    <t>월</t>
    <phoneticPr fontId="114" type="noConversion"/>
  </si>
  <si>
    <t>안전차량 유지비</t>
  </si>
  <si>
    <t>안전경영 진단비 및 협력업체 안전관리 진단비</t>
  </si>
  <si>
    <t xml:space="preserve"> </t>
  </si>
  <si>
    <t>(5) 안전보건 교육비 및 행사비 등</t>
    <phoneticPr fontId="114" type="noConversion"/>
  </si>
  <si>
    <t>[안전보건관리책임자 교육]</t>
  </si>
  <si>
    <t>신규 및 보수 교육</t>
  </si>
  <si>
    <t>[안전관리자 교육]</t>
  </si>
  <si>
    <t>신규 및 보수교육</t>
  </si>
  <si>
    <t>[사내 자체안전보건교육]</t>
  </si>
  <si>
    <t>관리감독자 정기교육</t>
  </si>
  <si>
    <t>근로자 정기교육</t>
  </si>
  <si>
    <t>신규 채용시 교육</t>
  </si>
  <si>
    <t>인</t>
  </si>
  <si>
    <t>특별 안전교육</t>
  </si>
  <si>
    <t>[교육기자재구입 및 초빙강사료]</t>
  </si>
  <si>
    <t>교육 교재</t>
  </si>
  <si>
    <t>권</t>
  </si>
  <si>
    <t>교육용 팜프렛</t>
  </si>
  <si>
    <t>궤도 및 궤도걸이</t>
  </si>
  <si>
    <t>SET</t>
  </si>
  <si>
    <t>초빙 강사료</t>
  </si>
  <si>
    <t>교육, 세미나, 국내견학 및 시찰</t>
  </si>
  <si>
    <t>해외견학 및 연수비</t>
  </si>
  <si>
    <t>안전교육장 설치비용</t>
  </si>
  <si>
    <t>안전교육장 비품 및 집기 유지비</t>
  </si>
  <si>
    <t>교육장 냉,난방 설비 및 유지비</t>
  </si>
  <si>
    <t>안전관계자 출장비</t>
  </si>
  <si>
    <t>안전보건정보 교류비(자료수집,모임)</t>
  </si>
  <si>
    <t>안전기원제 (연 1회)</t>
    <phoneticPr fontId="114" type="noConversion"/>
  </si>
  <si>
    <t>[안전보건 행사비]</t>
  </si>
  <si>
    <t>안전점검의 날 행사비</t>
  </si>
  <si>
    <t>무재해 관련행사</t>
  </si>
  <si>
    <t>산업안전 강조기간 행사등</t>
  </si>
  <si>
    <t>안전보건 행사장 설치,포상비</t>
  </si>
  <si>
    <t>안전관련 사진 및 인화비</t>
  </si>
  <si>
    <t>각종 서식비등</t>
  </si>
  <si>
    <t>(6) 근로자의 건강진단비 등</t>
    <phoneticPr fontId="114" type="noConversion"/>
  </si>
  <si>
    <t>구                       분</t>
  </si>
  <si>
    <t>수   량</t>
  </si>
  <si>
    <t>금         액</t>
  </si>
  <si>
    <t>구급기재비등 비용</t>
  </si>
  <si>
    <t>정기 건강진단비</t>
  </si>
  <si>
    <t>신규채용시 신체검사비</t>
  </si>
  <si>
    <t>작업장 방역,방충 소독비</t>
  </si>
  <si>
    <t>탈수방지 정제소금</t>
  </si>
  <si>
    <t>기타 비용(약품구입비등)</t>
  </si>
  <si>
    <t>(7) 건설재해예방 기술지도비 등</t>
    <phoneticPr fontId="114" type="noConversion"/>
  </si>
  <si>
    <t xml:space="preserve">구                   분  </t>
  </si>
  <si>
    <t>금        액</t>
  </si>
  <si>
    <t>기술지도 수수료 (대가기준)</t>
  </si>
  <si>
    <r>
      <t>(</t>
    </r>
    <r>
      <rPr>
        <b/>
        <sz val="10"/>
        <rFont val="굴림체"/>
        <family val="3"/>
        <charset val="129"/>
      </rPr>
      <t>8</t>
    </r>
    <r>
      <rPr>
        <b/>
        <sz val="10"/>
        <rFont val="굴림체"/>
        <family val="3"/>
        <charset val="129"/>
      </rPr>
      <t>) 본사 관리비</t>
    </r>
    <r>
      <rPr>
        <b/>
        <sz val="10"/>
        <rFont val="굴림체"/>
        <family val="3"/>
        <charset val="129"/>
      </rPr>
      <t xml:space="preserve"> </t>
    </r>
    <phoneticPr fontId="114" type="noConversion"/>
  </si>
  <si>
    <t>본사 사용비</t>
    <phoneticPr fontId="114" type="noConversion"/>
  </si>
  <si>
    <t>월</t>
    <phoneticPr fontId="9" type="noConversion"/>
  </si>
  <si>
    <t>신호수 인건비</t>
    <phoneticPr fontId="9" type="noConversion"/>
  </si>
  <si>
    <t>○○○</t>
    <phoneticPr fontId="3" type="noConversion"/>
  </si>
  <si>
    <t>○○○</t>
    <phoneticPr fontId="3" type="noConversion"/>
  </si>
  <si>
    <t>○○○</t>
    <phoneticPr fontId="3" type="noConversion"/>
  </si>
  <si>
    <t>○○○</t>
    <phoneticPr fontId="3" type="noConversion"/>
  </si>
  <si>
    <t>공 사 금  액</t>
    <phoneticPr fontId="9" type="noConversion"/>
  </si>
  <si>
    <t>공 사 기 간</t>
    <phoneticPr fontId="9" type="noConversion"/>
  </si>
  <si>
    <t>안전조끼</t>
    <phoneticPr fontId="114" type="noConversion"/>
  </si>
  <si>
    <t>조</t>
    <phoneticPr fontId="3" type="noConversion"/>
  </si>
  <si>
    <t>족</t>
    <phoneticPr fontId="3" type="noConversion"/>
  </si>
  <si>
    <t>.</t>
    <phoneticPr fontId="3" type="noConversion"/>
  </si>
  <si>
    <t>보안경</t>
    <phoneticPr fontId="114" type="noConversion"/>
  </si>
  <si>
    <t>식염포도당</t>
    <phoneticPr fontId="3" type="noConversion"/>
  </si>
  <si>
    <t>구급함</t>
    <phoneticPr fontId="3" type="noConversion"/>
  </si>
  <si>
    <t>개</t>
    <phoneticPr fontId="3" type="noConversion"/>
  </si>
  <si>
    <t>통</t>
    <phoneticPr fontId="3" type="noConversion"/>
  </si>
  <si>
    <t>칼라콘</t>
    <phoneticPr fontId="3" type="noConversion"/>
  </si>
  <si>
    <t>안전화</t>
    <phoneticPr fontId="3" type="noConversion"/>
  </si>
  <si>
    <t>족</t>
    <phoneticPr fontId="3" type="noConversion"/>
  </si>
  <si>
    <t>안전모</t>
    <phoneticPr fontId="3" type="noConversion"/>
  </si>
  <si>
    <t>안전로프(와이어)</t>
    <phoneticPr fontId="114" type="noConversion"/>
  </si>
  <si>
    <t xml:space="preserve">항        목 </t>
  </si>
  <si>
    <t>사용일자</t>
  </si>
  <si>
    <t>=</t>
    <phoneticPr fontId="12" type="noConversion"/>
  </si>
  <si>
    <t>*</t>
  </si>
  <si>
    <t>17년</t>
    <phoneticPr fontId="3" type="noConversion"/>
  </si>
  <si>
    <t>12월</t>
    <phoneticPr fontId="3" type="noConversion"/>
  </si>
  <si>
    <t>18년</t>
    <phoneticPr fontId="3" type="noConversion"/>
  </si>
  <si>
    <t>3월</t>
  </si>
  <si>
    <t>3월</t>
    <phoneticPr fontId="3" type="noConversion"/>
  </si>
  <si>
    <t>6월</t>
    <phoneticPr fontId="3" type="noConversion"/>
  </si>
  <si>
    <t>7월</t>
    <phoneticPr fontId="3" type="noConversion"/>
  </si>
  <si>
    <t>11월</t>
    <phoneticPr fontId="3" type="noConversion"/>
  </si>
  <si>
    <t>19년</t>
    <phoneticPr fontId="3" type="noConversion"/>
  </si>
  <si>
    <t>1월</t>
    <phoneticPr fontId="3" type="noConversion"/>
  </si>
  <si>
    <t>2월</t>
  </si>
  <si>
    <t>신양안전관리비(1차분)-
10,134,681</t>
    <phoneticPr fontId="3" type="noConversion"/>
  </si>
  <si>
    <t>신양안전관리비(2차분)-
1,813,489</t>
    <phoneticPr fontId="3" type="noConversion"/>
  </si>
  <si>
    <t>기</t>
    <phoneticPr fontId="12" type="noConversion"/>
  </si>
  <si>
    <t>간</t>
    <phoneticPr fontId="12" type="noConversion"/>
  </si>
  <si>
    <t>일수</t>
    <phoneticPr fontId="12" type="noConversion"/>
  </si>
  <si>
    <t>건강보험</t>
    <phoneticPr fontId="12" type="noConversion"/>
  </si>
  <si>
    <t>국민연금</t>
    <phoneticPr fontId="12" type="noConversion"/>
  </si>
  <si>
    <t>고용보험</t>
    <phoneticPr fontId="12" type="noConversion"/>
  </si>
  <si>
    <t>지급액</t>
    <phoneticPr fontId="12" type="noConversion"/>
  </si>
  <si>
    <t>주민세</t>
    <phoneticPr fontId="12" type="noConversion"/>
  </si>
  <si>
    <t>장기요양보험</t>
    <phoneticPr fontId="12" type="noConversion"/>
  </si>
  <si>
    <t>보 성 군</t>
    <phoneticPr fontId="9" type="noConversion"/>
  </si>
  <si>
    <t>비고</t>
    <phoneticPr fontId="12" type="noConversion"/>
  </si>
  <si>
    <t>누계금액</t>
    <phoneticPr fontId="12" type="noConversion"/>
  </si>
  <si>
    <t>사 용 율</t>
    <phoneticPr fontId="12" type="noConversion"/>
  </si>
  <si>
    <t>계상된 
품질관리비</t>
    <phoneticPr fontId="9" type="noConversion"/>
  </si>
  <si>
    <t>계</t>
    <phoneticPr fontId="12" type="noConversion"/>
  </si>
  <si>
    <t xml:space="preserve">    건설공사 품질관리비 계상 및 사용기준  의거 위와 같이 </t>
    <phoneticPr fontId="9" type="noConversion"/>
  </si>
  <si>
    <t>품  목</t>
    <phoneticPr fontId="3" type="noConversion"/>
  </si>
  <si>
    <t>수량</t>
    <phoneticPr fontId="3" type="noConversion"/>
  </si>
  <si>
    <t>단가</t>
    <phoneticPr fontId="3" type="noConversion"/>
  </si>
  <si>
    <t>단위</t>
    <phoneticPr fontId="3" type="noConversion"/>
  </si>
  <si>
    <t>비 고</t>
    <phoneticPr fontId="3" type="noConversion"/>
  </si>
  <si>
    <t>금    액</t>
    <phoneticPr fontId="3" type="noConversion"/>
  </si>
  <si>
    <t>총   계</t>
    <phoneticPr fontId="3" type="noConversion"/>
  </si>
  <si>
    <t>계</t>
    <phoneticPr fontId="3" type="noConversion"/>
  </si>
  <si>
    <t>계</t>
    <phoneticPr fontId="12" type="noConversion"/>
  </si>
  <si>
    <t>계상된 
교통안전시설</t>
    <phoneticPr fontId="9" type="noConversion"/>
  </si>
  <si>
    <t>규  격</t>
    <phoneticPr fontId="3" type="noConversion"/>
  </si>
  <si>
    <t xml:space="preserve">건설업체명 </t>
    <phoneticPr fontId="9" type="noConversion"/>
  </si>
  <si>
    <t>공  사  명</t>
    <phoneticPr fontId="9" type="noConversion"/>
  </si>
  <si>
    <t>소   재   지</t>
    <phoneticPr fontId="9" type="noConversion"/>
  </si>
  <si>
    <t>○○○</t>
    <phoneticPr fontId="12" type="noConversion"/>
  </si>
  <si>
    <t>대  표  자</t>
    <phoneticPr fontId="9" type="noConversion"/>
  </si>
  <si>
    <t>○○○</t>
    <phoneticPr fontId="12" type="noConversion"/>
  </si>
  <si>
    <t>2023 년  06 월  23 일 ~</t>
    <phoneticPr fontId="12" type="noConversion"/>
  </si>
  <si>
    <t>공 사 명 : ○○○</t>
    <phoneticPr fontId="12" type="noConversion"/>
  </si>
  <si>
    <t>공 사 명 : ○○○</t>
    <phoneticPr fontId="12" type="noConversion"/>
  </si>
  <si>
    <t>○○○</t>
    <phoneticPr fontId="12" type="noConversion"/>
  </si>
  <si>
    <t>품질시험비</t>
  </si>
  <si>
    <t>식</t>
    <phoneticPr fontId="3" type="noConversion"/>
  </si>
  <si>
    <t>H-BEAM 품질검사</t>
    <phoneticPr fontId="3" type="noConversion"/>
  </si>
  <si>
    <t>300x300x10x15</t>
    <phoneticPr fontId="3" type="noConversion"/>
  </si>
  <si>
    <t>SHEET PILE 품질검사</t>
    <phoneticPr fontId="3" type="noConversion"/>
  </si>
  <si>
    <t>400x150x13</t>
    <phoneticPr fontId="3" type="noConversion"/>
  </si>
  <si>
    <t>시스템동바리</t>
    <phoneticPr fontId="3" type="noConversion"/>
  </si>
  <si>
    <t>1. 품질시험비</t>
    <phoneticPr fontId="12" type="noConversion"/>
  </si>
  <si>
    <t xml:space="preserve"> 1.안전관리</t>
    <phoneticPr fontId="12" type="noConversion"/>
  </si>
  <si>
    <t>계획서 작성비</t>
    <phoneticPr fontId="3" type="noConversion"/>
  </si>
  <si>
    <t>2. 가설시설물</t>
    <phoneticPr fontId="3" type="noConversion"/>
  </si>
  <si>
    <t>안전성확인비용</t>
    <phoneticPr fontId="3" type="noConversion"/>
  </si>
  <si>
    <t>3. 공사장 통행</t>
    <phoneticPr fontId="3" type="noConversion"/>
  </si>
  <si>
    <t>안전시설</t>
    <phoneticPr fontId="3" type="noConversion"/>
  </si>
  <si>
    <t>4.교통통제 및</t>
    <phoneticPr fontId="3" type="noConversion"/>
  </si>
  <si>
    <t>안전처리</t>
    <phoneticPr fontId="3" type="noConversion"/>
  </si>
  <si>
    <t>2. 가설시설물안전성확인비용</t>
    <phoneticPr fontId="3" type="noConversion"/>
  </si>
  <si>
    <t>3. 공사장 통행안전시설</t>
    <phoneticPr fontId="3" type="noConversion"/>
  </si>
  <si>
    <t>4. 교통통제 및 안전처리</t>
    <phoneticPr fontId="3" type="noConversion"/>
  </si>
  <si>
    <t>소 계</t>
    <phoneticPr fontId="3" type="noConversion"/>
  </si>
  <si>
    <t>작 성 자 : ○○○   현장대리인  ○○○ (인)</t>
    <phoneticPr fontId="12" type="noConversion"/>
  </si>
  <si>
    <r>
      <rPr>
        <sz val="22"/>
        <color indexed="8"/>
        <rFont val="돋움"/>
        <family val="3"/>
        <charset val="129"/>
      </rPr>
      <t>사</t>
    </r>
    <r>
      <rPr>
        <sz val="22"/>
        <color indexed="8"/>
        <rFont val="Arial Narrow"/>
        <family val="2"/>
      </rPr>
      <t xml:space="preserve">      </t>
    </r>
    <r>
      <rPr>
        <sz val="22"/>
        <color indexed="8"/>
        <rFont val="돋움"/>
        <family val="3"/>
        <charset val="129"/>
      </rPr>
      <t>진</t>
    </r>
    <r>
      <rPr>
        <sz val="22"/>
        <color indexed="8"/>
        <rFont val="Arial Narrow"/>
        <family val="2"/>
      </rPr>
      <t xml:space="preserve">     </t>
    </r>
    <r>
      <rPr>
        <sz val="22"/>
        <color indexed="8"/>
        <rFont val="돋움"/>
        <family val="3"/>
        <charset val="129"/>
      </rPr>
      <t>대</t>
    </r>
    <r>
      <rPr>
        <sz val="22"/>
        <color indexed="8"/>
        <rFont val="Arial Narrow"/>
        <family val="2"/>
      </rPr>
      <t xml:space="preserve">     </t>
    </r>
    <r>
      <rPr>
        <sz val="22"/>
        <color indexed="8"/>
        <rFont val="돋움"/>
        <family val="3"/>
        <charset val="129"/>
      </rPr>
      <t>지</t>
    </r>
    <phoneticPr fontId="12" type="noConversion"/>
  </si>
  <si>
    <r>
      <t xml:space="preserve">  </t>
    </r>
    <r>
      <rPr>
        <sz val="11"/>
        <color indexed="8"/>
        <rFont val="돋움"/>
        <family val="3"/>
        <charset val="129"/>
      </rPr>
      <t>현장명</t>
    </r>
    <r>
      <rPr>
        <sz val="11"/>
        <color indexed="8"/>
        <rFont val="Arial Narrow"/>
        <family val="2"/>
      </rPr>
      <t xml:space="preserve"> : </t>
    </r>
    <r>
      <rPr>
        <sz val="11"/>
        <color indexed="8"/>
        <rFont val="돋움"/>
        <family val="3"/>
        <charset val="129"/>
      </rPr>
      <t>○○○</t>
    </r>
    <r>
      <rPr>
        <sz val="11"/>
        <color indexed="8"/>
        <rFont val="Arial Narrow"/>
        <family val="2"/>
      </rPr>
      <t xml:space="preserve"> </t>
    </r>
    <r>
      <rPr>
        <sz val="11"/>
        <color indexed="8"/>
        <rFont val="돋움"/>
        <family val="3"/>
        <charset val="129"/>
      </rPr>
      <t>○○○</t>
    </r>
    <r>
      <rPr>
        <sz val="11"/>
        <color indexed="8"/>
        <rFont val="Arial Narrow"/>
        <family val="2"/>
      </rPr>
      <t xml:space="preserve"> </t>
    </r>
    <r>
      <rPr>
        <sz val="11"/>
        <color indexed="8"/>
        <rFont val="돋움"/>
        <family val="3"/>
        <charset val="129"/>
      </rPr>
      <t>정비사업</t>
    </r>
    <phoneticPr fontId="132" type="noConversion"/>
  </si>
  <si>
    <r>
      <rPr>
        <sz val="11"/>
        <color indexed="8"/>
        <rFont val="돋움"/>
        <family val="3"/>
        <charset val="129"/>
      </rPr>
      <t>공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종</t>
    </r>
    <phoneticPr fontId="132" type="noConversion"/>
  </si>
  <si>
    <r>
      <rPr>
        <sz val="11"/>
        <color indexed="8"/>
        <rFont val="돋움"/>
        <family val="3"/>
        <charset val="129"/>
      </rPr>
      <t>날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짜</t>
    </r>
    <phoneticPr fontId="132" type="noConversion"/>
  </si>
  <si>
    <r>
      <rPr>
        <sz val="11"/>
        <color indexed="8"/>
        <rFont val="돋움"/>
        <family val="3"/>
        <charset val="129"/>
      </rPr>
      <t>내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용</t>
    </r>
    <phoneticPr fontId="132" type="noConversion"/>
  </si>
  <si>
    <t>PE 방호벽( 중형 1200×900×600 )</t>
    <phoneticPr fontId="114" type="noConversion"/>
  </si>
  <si>
    <t>교통 안내 표지판</t>
    <phoneticPr fontId="114" type="noConversion"/>
  </si>
  <si>
    <t>윙카호스</t>
    <phoneticPr fontId="114" type="noConversion"/>
  </si>
  <si>
    <t>경광등/드럼용</t>
    <phoneticPr fontId="114" type="noConversion"/>
  </si>
  <si>
    <t>교통안내 현수막</t>
    <phoneticPr fontId="114" type="noConversion"/>
  </si>
  <si>
    <t>안전테이프 (고휘도)</t>
    <phoneticPr fontId="114" type="noConversion"/>
  </si>
  <si>
    <t>안전로프</t>
    <phoneticPr fontId="114" type="noConversion"/>
  </si>
  <si>
    <t>교 통 안 내 표 지 판 설 치</t>
    <phoneticPr fontId="12" type="noConversion"/>
  </si>
  <si>
    <t>보   성   군</t>
    <phoneticPr fontId="12" type="noConversion"/>
  </si>
  <si>
    <t>인</t>
    <phoneticPr fontId="9" type="noConversion"/>
  </si>
  <si>
    <t>교통안내 요원(신호수:○○○)</t>
    <phoneticPr fontId="9" type="noConversion"/>
  </si>
  <si>
    <t>안내 표지판( 우회 600×900 )</t>
    <phoneticPr fontId="3" type="noConversion"/>
  </si>
  <si>
    <t xml:space="preserve"> </t>
    <phoneticPr fontId="3" type="noConversion"/>
  </si>
  <si>
    <t>교통 안내 표지판(1800×900)</t>
    <phoneticPr fontId="114" type="noConversion"/>
  </si>
  <si>
    <t>교통통행 안전시설물</t>
    <phoneticPr fontId="132" type="noConversion"/>
  </si>
  <si>
    <t xml:space="preserve">    건설공사 안전관리비 계상 및 사용기준  의거 위와 같이 </t>
    <phoneticPr fontId="9" type="noConversion"/>
  </si>
  <si>
    <t xml:space="preserve">              사 용 내 역 을  제 출 합 니 다 .</t>
    <phoneticPr fontId="9" type="noConversion"/>
  </si>
  <si>
    <t>품질관리비 의뢰시험</t>
    <phoneticPr fontId="132" type="noConversion"/>
  </si>
  <si>
    <t>1. 안전관리계획서 작성비</t>
    <phoneticPr fontId="12" type="noConversion"/>
  </si>
  <si>
    <t>보행자 통행금지및 우회도로차단 유턴 교통안내표지판 설치</t>
    <phoneticPr fontId="132" type="noConversion"/>
  </si>
  <si>
    <t>2025 년   04 월   28  일</t>
    <phoneticPr fontId="132" type="noConversion"/>
  </si>
  <si>
    <t>복개 box 1block(우측) 보조기층 들밀도시험</t>
    <phoneticPr fontId="132" type="noConversion"/>
  </si>
  <si>
    <t>복개 box 1block(좌측) 보조기층 들밀도시험</t>
    <phoneticPr fontId="132" type="noConversion"/>
  </si>
  <si>
    <t>교통안내 요원및 시설물설치(신호수:○○○)</t>
    <phoneticPr fontId="9" type="noConversion"/>
  </si>
  <si>
    <t>안전PE방호벽</t>
    <phoneticPr fontId="9" type="noConversion"/>
  </si>
  <si>
    <t>회사명</t>
    <phoneticPr fontId="12" type="noConversion"/>
  </si>
  <si>
    <t>공 사 명</t>
    <phoneticPr fontId="12" type="noConversion"/>
  </si>
  <si>
    <t>관리번호</t>
    <phoneticPr fontId="12" type="noConversion"/>
  </si>
  <si>
    <t>NO.</t>
    <phoneticPr fontId="12" type="noConversion"/>
  </si>
  <si>
    <t>성명</t>
    <phoneticPr fontId="12" type="noConversion"/>
  </si>
  <si>
    <t>직종</t>
    <phoneticPr fontId="12" type="noConversion"/>
  </si>
  <si>
    <t>주 민 등 록 번 호</t>
    <phoneticPr fontId="12" type="noConversion"/>
  </si>
  <si>
    <t>노무비</t>
    <phoneticPr fontId="12" type="noConversion"/>
  </si>
  <si>
    <t>갑근세</t>
    <phoneticPr fontId="12" type="noConversion"/>
  </si>
  <si>
    <t>공제총액</t>
    <phoneticPr fontId="12" type="noConversion"/>
  </si>
  <si>
    <t>주                소</t>
    <phoneticPr fontId="12" type="noConversion"/>
  </si>
  <si>
    <t>단가</t>
    <phoneticPr fontId="12" type="noConversion"/>
  </si>
  <si>
    <t>○○○</t>
    <phoneticPr fontId="12" type="noConversion"/>
  </si>
  <si>
    <t>보인</t>
    <phoneticPr fontId="12" type="noConversion"/>
  </si>
  <si>
    <t>○○○○○○-○○○○○○○</t>
    <phoneticPr fontId="12" type="noConversion"/>
  </si>
  <si>
    <t>우체국</t>
    <phoneticPr fontId="12" type="noConversion"/>
  </si>
  <si>
    <t>60세이상 면제</t>
    <phoneticPr fontId="12" type="noConversion"/>
  </si>
  <si>
    <t>○○○</t>
    <phoneticPr fontId="12" type="noConversion"/>
  </si>
  <si>
    <t>○○○○○○-○○-○○○○○○</t>
    <phoneticPr fontId="12" type="noConversion"/>
  </si>
  <si>
    <t>신협</t>
    <phoneticPr fontId="12" type="noConversion"/>
  </si>
  <si>
    <t>○○○-○○○-○○○○○○</t>
    <phoneticPr fontId="12" type="noConversion"/>
  </si>
  <si>
    <t>SUB - TOTAL
( 소          계 )</t>
    <phoneticPr fontId="12" type="noConversion"/>
  </si>
  <si>
    <t>번호</t>
    <phoneticPr fontId="147" type="noConversion"/>
  </si>
  <si>
    <t>성명</t>
    <phoneticPr fontId="147" type="noConversion"/>
  </si>
  <si>
    <t>신   분   증</t>
    <phoneticPr fontId="3" type="noConversion"/>
  </si>
  <si>
    <t>통  장  사  본</t>
    <phoneticPr fontId="3" type="noConversion"/>
  </si>
  <si>
    <t xml:space="preserve"> </t>
    <phoneticPr fontId="118" type="noConversion"/>
  </si>
  <si>
    <t>2025년04월 01일</t>
    <phoneticPr fontId="12" type="noConversion"/>
  </si>
  <si>
    <t>2025년04월 30일</t>
    <phoneticPr fontId="12" type="noConversion"/>
  </si>
  <si>
    <t>○○○</t>
    <phoneticPr fontId="12" type="noConversion"/>
  </si>
  <si>
    <t>2025 년   04 월  29  일</t>
    <phoneticPr fontId="132" type="noConversion"/>
  </si>
  <si>
    <t>2025 년   04 월  30  일</t>
    <phoneticPr fontId="132" type="noConversion"/>
  </si>
  <si>
    <t>2025 년   04 월  25  일</t>
    <phoneticPr fontId="132" type="noConversion"/>
  </si>
  <si>
    <t>안전시설물 〔 안전 PE방호벽 〕 설치</t>
    <phoneticPr fontId="132" type="noConversion"/>
  </si>
  <si>
    <t>안전시설물 〔 안전 PE방호벽,윙카,경광등 〕 설치</t>
    <phoneticPr fontId="132" type="noConversion"/>
  </si>
  <si>
    <t>안전시설물 〔 안전 난간및 비계 〕 설치</t>
    <phoneticPr fontId="132" type="noConversion"/>
  </si>
  <si>
    <t>안전시설물 〔 안전 PE방호벽 물채움 〕 설치</t>
    <phoneticPr fontId="132" type="noConversion"/>
  </si>
  <si>
    <t>안전시설물 〔 안전 PE방호벽  〕 설치</t>
    <phoneticPr fontId="132" type="noConversion"/>
  </si>
  <si>
    <t>2025 년   04 월  24  일</t>
    <phoneticPr fontId="132" type="noConversion"/>
  </si>
  <si>
    <t>수신호 경광등</t>
    <phoneticPr fontId="114" type="noConversion"/>
  </si>
  <si>
    <t xml:space="preserve"> </t>
    <phoneticPr fontId="132" type="noConversion"/>
  </si>
  <si>
    <t>가로등 이설</t>
    <phoneticPr fontId="114" type="noConversion"/>
  </si>
  <si>
    <t>안전관리비 항목별 사용내역서(25년 07월)</t>
    <phoneticPr fontId="77" type="noConversion"/>
  </si>
  <si>
    <t>계측관리</t>
    <phoneticPr fontId="3" type="noConversion"/>
  </si>
  <si>
    <t>흙막이 안전점검</t>
    <phoneticPr fontId="3" type="noConversion"/>
  </si>
  <si>
    <t>6월 29일</t>
    <phoneticPr fontId="3" type="noConversion"/>
  </si>
  <si>
    <t>6월 30일</t>
    <phoneticPr fontId="3" type="noConversion"/>
  </si>
  <si>
    <t>품질관리비 사용내역서(25년07월)</t>
    <phoneticPr fontId="9" type="noConversion"/>
  </si>
  <si>
    <t>전회 누계금액
(25년06월까지)</t>
    <phoneticPr fontId="12" type="noConversion"/>
  </si>
  <si>
    <t>금회누계금액
(25년07월)</t>
    <phoneticPr fontId="12" type="noConversion"/>
  </si>
  <si>
    <t>2025 년  09 월  15 일</t>
    <phoneticPr fontId="12" type="noConversion"/>
  </si>
  <si>
    <t>품질관리비 항목별 사용내역서(25년 07월)</t>
    <phoneticPr fontId="77" type="noConversion"/>
  </si>
  <si>
    <t>안전관리비 사용내역서(25년07월)</t>
    <phoneticPr fontId="9" type="noConversion"/>
  </si>
  <si>
    <t>2025 년  09 월  15 일</t>
    <phoneticPr fontId="3" type="noConversion"/>
  </si>
  <si>
    <t>2025 년   07 월  31 일</t>
    <phoneticPr fontId="3" type="noConversion"/>
  </si>
  <si>
    <t>기성청구금액</t>
    <phoneticPr fontId="12" type="noConversion"/>
  </si>
  <si>
    <t>기성청구금액</t>
    <phoneticPr fontId="3" type="noConversion"/>
  </si>
  <si>
    <t>2025 년   07 월  31 일</t>
    <phoneticPr fontId="9" type="noConversion"/>
  </si>
  <si>
    <t>○○○</t>
    <phoneticPr fontId="3" type="noConversion"/>
  </si>
  <si>
    <t>2026년  03월분</t>
    <phoneticPr fontId="3" type="noConversion"/>
  </si>
  <si>
    <t>○○○</t>
    <phoneticPr fontId="3" type="noConversion"/>
  </si>
  <si>
    <t>안전관리비 사용내역서(26년03월)</t>
    <phoneticPr fontId="9" type="noConversion"/>
  </si>
  <si>
    <t>○○○</t>
    <phoneticPr fontId="12" type="noConversion"/>
  </si>
  <si>
    <t>○○○</t>
    <phoneticPr fontId="9" type="noConversion"/>
  </si>
  <si>
    <t>계상된 
안전관리비</t>
    <phoneticPr fontId="9" type="noConversion"/>
  </si>
  <si>
    <t>○○○</t>
    <phoneticPr fontId="3" type="noConversion"/>
  </si>
  <si>
    <t xml:space="preserve">  총 괄   6,239,084,290 원</t>
    <phoneticPr fontId="3" type="noConversion"/>
  </si>
  <si>
    <t>1  차   4,196,698,300 원</t>
    <phoneticPr fontId="3" type="noConversion"/>
  </si>
  <si>
    <t>1. 안전관리계획서 작성비및 검토비</t>
    <phoneticPr fontId="12" type="noConversion"/>
  </si>
  <si>
    <t>2. 영 제100조제1항제1호및제3호에 따른 언전점검비용</t>
    <phoneticPr fontId="3" type="noConversion"/>
  </si>
  <si>
    <t>3. 발파,굴착등의 건설공사로 인한 주변건축물등의 피해방지 대책비용</t>
    <phoneticPr fontId="3" type="noConversion"/>
  </si>
  <si>
    <t>4. 공사장 주변의 통행안전및 교통소통을 위한 안전시설의 설치및 유지관리비용</t>
    <phoneticPr fontId="3" type="noConversion"/>
  </si>
  <si>
    <t>5.안전모니터링장치의 설치운행비용</t>
    <phoneticPr fontId="3" type="noConversion"/>
  </si>
  <si>
    <t>6.공사시행중 구조적안전성확보비용</t>
    <phoneticPr fontId="3" type="noConversion"/>
  </si>
  <si>
    <t>7.무선설비및무선통신을이용한 건설공사현장의 안전관리체계구축운용비용</t>
    <phoneticPr fontId="3" type="noConversion"/>
  </si>
  <si>
    <t>전회 누계금액
(26년02월까지)</t>
    <phoneticPr fontId="3" type="noConversion"/>
  </si>
  <si>
    <t>금회누계금액
(26년03월)</t>
    <phoneticPr fontId="3" type="noConversion"/>
  </si>
  <si>
    <t>2026 년   03 월  31 일</t>
    <phoneticPr fontId="3" type="noConversion"/>
  </si>
  <si>
    <t>작 성 자 : ○○○   현장대리인  ○○○ (인)</t>
    <phoneticPr fontId="12" type="noConversion"/>
  </si>
  <si>
    <t>2025년 12월  30일 ~ 2027년 12월 29일</t>
    <phoneticPr fontId="12" type="noConversion"/>
  </si>
  <si>
    <t>2025년  12월  30일 ~ 2026년 12월 29일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</si>
</sst>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0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yy&quot;년&quot;\ mm&quot;월&quot;\ dd&quot;일  ~ &quot;"/>
    <numFmt numFmtId="177" formatCode="yy&quot;년&quot;\ mm&quot;월&quot;\ dd&quot;일&quot;"/>
    <numFmt numFmtId="178" formatCode="&quot;₩&quot;#,##0;;\-\ "/>
    <numFmt numFmtId="179" formatCode="_ * #,##0.00_ ;_ * \-#,##0.00_ ;_ * &quot;-&quot;??_ ;_ @_ "/>
    <numFmt numFmtId="180" formatCode="&quot;₩&quot;\!\$#,##0_);[Red]&quot;₩&quot;\!\(&quot;₩&quot;\!\$#,##0&quot;₩&quot;\!\)"/>
    <numFmt numFmtId="181" formatCode="yy&quot;₩&quot;/mm&quot;₩&quot;/dd"/>
    <numFmt numFmtId="182" formatCode="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\$#,##0;[Red]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"/>
    <numFmt numFmtId="183" formatCode="_-* #,##0.00\ _F_B_-;\-* #,##0.00\ _F_B_-;_-* &quot;-&quot;??\ _F_B_-;_-@_-"/>
    <numFmt numFmtId="184" formatCode="_-* #,##0\ _F_B_-;\-* #,##0\ _F_B_-;_-* &quot;-&quot;\ _F_B_-;_-@_-"/>
    <numFmt numFmtId="185" formatCode="0.00000000"/>
    <numFmt numFmtId="186" formatCode="_(* #,##0_);_(* \(#,##0\);_(* &quot;-&quot;_);_(@_)"/>
    <numFmt numFmtId="187" formatCode="0.000"/>
    <numFmt numFmtId="188" formatCode="#,##0.000\ &quot;10공/㎥ &quot;"/>
    <numFmt numFmtId="189" formatCode="&quot;₩&quot;#,##0.00;&quot;₩&quot;\-#,##0.00"/>
    <numFmt numFmtId="190" formatCode="#,##0.00\ &quot;개 &quot;"/>
    <numFmt numFmtId="191" formatCode="#,###\ &quot;개&quot;"/>
    <numFmt numFmtId="192" formatCode="0.0_ "/>
    <numFmt numFmtId="193" formatCode="_-* #,##0.00_-;\-* #,##0.00_-;_-* &quot;-&quot;_-;_-@_-"/>
    <numFmt numFmtId="194" formatCode="0_ "/>
    <numFmt numFmtId="195" formatCode="_-* #,##0.000_-;\-* #,##0.000_-;_-* &quot;-&quot;_-;_-@_-"/>
    <numFmt numFmtId="196" formatCode="#,##0.000"/>
    <numFmt numFmtId="197" formatCode="_(&quot;$&quot;* #,##0.00_);_(&quot;$&quot;* \(#,##0.00\);_(&quot;$&quot;* &quot;-&quot;??_);_(@_)"/>
    <numFmt numFmtId="198" formatCode="#,##0.0\ &quot;개소 &quot;"/>
    <numFmt numFmtId="199" formatCode="_ * #,##0.0000000_ ;_ * \-#,##0.0000000_ ;_ * &quot;-&quot;_ ;_ @_ "/>
    <numFmt numFmtId="200" formatCode="&quot;₩&quot;#,##0;&quot;₩&quot;&quot;₩&quot;&quot;₩&quot;&quot;₩&quot;\-#,##0"/>
    <numFmt numFmtId="201" formatCode="General_)"/>
    <numFmt numFmtId="202" formatCode="&quot; &quot;@"/>
    <numFmt numFmtId="203" formatCode="_ * #,##0_ ;_ * \-#,##0_ ;_ * &quot;-&quot;_ ;_ @_ "/>
    <numFmt numFmtId="204" formatCode="#,###.00\ &quot;매 &quot;"/>
    <numFmt numFmtId="205" formatCode="#,##0.0000"/>
    <numFmt numFmtId="206" formatCode="#,##0.000_ "/>
    <numFmt numFmtId="207" formatCode="_ * #,##0_ ;_ * &quot;₩&quot;\!\-#,##0_ ;_ * &quot;-&quot;_ ;_ @_ "/>
    <numFmt numFmtId="208" formatCode="0.0"/>
    <numFmt numFmtId="209" formatCode="[Red]#,##0"/>
    <numFmt numFmtId="210" formatCode="0.000_ "/>
    <numFmt numFmtId="211" formatCode="0.000000"/>
    <numFmt numFmtId="212" formatCode="#,##0&quot;칸&quot;"/>
    <numFmt numFmtId="213" formatCode="#,##0;[Red]&quot;-&quot;#,##0"/>
    <numFmt numFmtId="214" formatCode="0.000\ "/>
    <numFmt numFmtId="215" formatCode="&quot;  &quot;@"/>
    <numFmt numFmtId="216" formatCode="&quot;     &quot;@"/>
    <numFmt numFmtId="217" formatCode="#,##0;&quot;-&quot;#,##0"/>
    <numFmt numFmtId="218" formatCode="&quot;?#,##0;\-&quot;&quot;?&quot;#,##0"/>
    <numFmt numFmtId="219" formatCode="&quot;₩&quot;\!\(#,##0.000&quot;₩&quot;\!\)"/>
    <numFmt numFmtId="220" formatCode="_-* #,##0.0000_-;&quot;₩&quot;\!\-* #,##0.0000_-;_-* &quot;-&quot;_-;_-@_-"/>
    <numFmt numFmtId="221" formatCode="\(#,##0.000\)"/>
    <numFmt numFmtId="222" formatCode="#,##0.00;[Red]&quot;-&quot;#,##0.00"/>
    <numFmt numFmtId="223" formatCode="0.00&quot;KW&quot;"/>
    <numFmt numFmtId="224" formatCode="m\/dd"/>
    <numFmt numFmtId="225" formatCode="#,##0.00\ &quot;F&quot;;[Red]\-#,##0.00\ &quot;F&quot;"/>
    <numFmt numFmtId="226" formatCode="0.0000_);[Red]\(0.0000\)"/>
    <numFmt numFmtId="227" formatCode="&quot;kr&quot;\ #,##0;&quot;kr&quot;\ \-#,##0"/>
    <numFmt numFmtId="228" formatCode="0.00_ "/>
    <numFmt numFmtId="229" formatCode="yy&quot;년&quot;&quot;₩&quot;&quot;₩&quot;&quot;₩&quot;&quot;₩&quot;&quot;₩&quot;&quot;₩&quot;\ mm&quot;월&quot;&quot;₩&quot;&quot;₩&quot;&quot;₩&quot;&quot;₩&quot;&quot;₩&quot;&quot;₩&quot;\ dd&quot;일&quot;"/>
    <numFmt numFmtId="230" formatCode="&quot;₩&quot;#,##0.00;\!\-&quot;₩&quot;#,##0.00"/>
    <numFmt numFmtId="231" formatCode="&quot;₩&quot;#,##0.00;&quot;₩&quot;\!\!\-&quot;₩&quot;#,##0.00"/>
    <numFmt numFmtId="232" formatCode="0.00_);[Red]\(0.00\)"/>
    <numFmt numFmtId="233" formatCode="0.00_);[Red]&quot;₩&quot;\!\(0.00&quot;₩&quot;\!\)"/>
    <numFmt numFmtId="234" formatCode="&quot;$&quot;#,##0_);[Red]\(&quot;$&quot;#,##0\)"/>
    <numFmt numFmtId="235" formatCode="\_x0000_;;"/>
    <numFmt numFmtId="236" formatCode="&quot;*&quot;#,##0\ &quot;일 (월)&quot;\ \ "/>
    <numFmt numFmtId="237" formatCode="m/dd"/>
    <numFmt numFmtId="238" formatCode="#,##0;\(#,##0\)"/>
    <numFmt numFmtId="239" formatCode="&quot;?#,##0.00;\-&quot;&quot;?&quot;#,##0.00"/>
    <numFmt numFmtId="240" formatCode="#,##0;[Red]\(#,##0\)"/>
    <numFmt numFmtId="241" formatCode="0.0%;\(0.0%\)"/>
    <numFmt numFmtId="242" formatCode="&quot;₩&quot;#,##0;[Red]&quot;₩&quot;&quot;₩&quot;&quot;₩&quot;&quot;₩&quot;\-#,##0"/>
    <numFmt numFmtId="243" formatCode="_ * #,##0.0000_ ;_ * \-#,##0.0000_ ;_ * &quot;-&quot;_ ;_ @_ "/>
    <numFmt numFmtId="244" formatCode="#,##0.0"/>
    <numFmt numFmtId="245" formatCode="0.0000"/>
    <numFmt numFmtId="246" formatCode="0.00000"/>
    <numFmt numFmtId="247" formatCode="&quot;$&quot;#,##0.00_);[Red]\(&quot;$&quot;#,##0.00\)"/>
    <numFmt numFmtId="248" formatCode="#,##0\ ;[Red]&quot;-&quot;#,##0\ "/>
    <numFmt numFmtId="249" formatCode="* #,##0\ ;[Red]* &quot;-&quot;#,##0\ "/>
    <numFmt numFmtId="250" formatCode="#,##0.####;[Red]&quot;-&quot;#,##0.####"/>
    <numFmt numFmtId="251" formatCode="#,##0.0###\ ;[Red]&quot;-&quot;#,##0.0###\ "/>
    <numFmt numFmtId="252" formatCode="_-* #,##0.00_-;&quot;₩&quot;&quot;₩&quot;\-* #,##0.00_-;_-* &quot;-&quot;??_-;_-@_-"/>
    <numFmt numFmtId="253" formatCode="_-&quot;₩&quot;* #,##0.00_-;&quot;₩&quot;&quot;₩&quot;\-&quot;₩&quot;* #,##0.00_-;_-&quot;₩&quot;* &quot;-&quot;??_-;_-@_-"/>
    <numFmt numFmtId="254" formatCode="&quot;₩&quot;#,##0.00;&quot;₩&quot;&quot;₩&quot;&quot;₩&quot;&quot;₩&quot;\-#,##0.00"/>
    <numFmt numFmtId="255" formatCode="0%\ "/>
    <numFmt numFmtId="256" formatCode="_-* #,##0.0000_-;\-* #,##0.0000_-;_-* &quot;-&quot;_-;_-@_-"/>
    <numFmt numFmtId="257" formatCode="_ * #,##0.00_ ;_ * &quot;₩&quot;\!\-#,##0.00_ ;_ * &quot;-&quot;??_ ;_ @_ "/>
    <numFmt numFmtId="258" formatCode="#."/>
    <numFmt numFmtId="259" formatCode="_ &quot;₩&quot;* #,##0_ ;_ &quot;₩&quot;* \-#,##0_ ;_ &quot;₩&quot;* &quot;-&quot;_ ;_ @_ "/>
    <numFmt numFmtId="260" formatCode="_ &quot;₩&quot;* #,##0.00_ ;_ &quot;₩&quot;* \-#,##0.00_ ;_ &quot;₩&quot;* &quot;-&quot;??_ ;_ @_ "/>
    <numFmt numFmtId="261" formatCode="_-&quot;₩&quot;* #,##0.00_-;&quot;₩&quot;&quot;₩&quot;&quot;₩&quot;\-&quot;₩&quot;* #,##0.00_-;_-&quot;₩&quot;* &quot;-&quot;??_-;_-@_-"/>
    <numFmt numFmtId="262" formatCode="_-* #,##0.00_-;&quot;₩&quot;&quot;₩&quot;&quot;₩&quot;\-* #,##0.00_-;_-* &quot;-&quot;??_-;_-@_-"/>
    <numFmt numFmtId="263" formatCode="&quot;₩&quot;#,##0;&quot;₩&quot;&quot;₩&quot;&quot;₩&quot;&quot;₩&quot;\-&quot;₩&quot;#,##0"/>
    <numFmt numFmtId="264" formatCode="&quot;₩&quot;#,##0;[Red]&quot;₩&quot;&quot;₩&quot;&quot;₩&quot;&quot;₩&quot;\-&quot;₩&quot;#,##0"/>
    <numFmt numFmtId="265" formatCode="_(&quot;$&quot;* #,##0_);_(&quot;$&quot;* &quot;₩&quot;&quot;₩&quot;&quot;₩&quot;&quot;₩&quot;&quot;₩&quot;&quot;₩&quot;&quot;₩&quot;&quot;₩&quot;&quot;₩&quot;\(#,##0&quot;₩&quot;&quot;₩&quot;&quot;₩&quot;&quot;₩&quot;&quot;₩&quot;&quot;₩&quot;&quot;₩&quot;&quot;₩&quot;&quot;₩&quot;\);_(&quot;$&quot;* &quot;-&quot;_);_(@_)"/>
    <numFmt numFmtId="266" formatCode="&quot;₩&quot;#,##0.00;&quot;₩&quot;&quot;₩&quot;&quot;₩&quot;&quot;₩&quot;\-&quot;₩&quot;#,##0.00"/>
    <numFmt numFmtId="267" formatCode="#,##0.00_ "/>
    <numFmt numFmtId="268" formatCode="_-&quot;S&quot;&quot;₩&quot;\!\ * #,##0_-;&quot;₩&quot;\!\-&quot;S&quot;&quot;₩&quot;\!\ * #,##0_-;_-&quot;S&quot;&quot;₩&quot;\!\ * &quot;-&quot;_-;_-@_-"/>
    <numFmt numFmtId="269" formatCode="#,##0.000_);\(#,##0.000\)"/>
    <numFmt numFmtId="270" formatCode="_ &quot;₩&quot;* #,##0.00_ ;_ &quot;₩&quot;* &quot;₩&quot;&quot;₩&quot;&quot;₩&quot;&quot;₩&quot;\-#,##0.00_ ;_ &quot;₩&quot;* &quot;-&quot;??_ ;_ @_ "/>
    <numFmt numFmtId="271" formatCode="_-* #,##0.0_-;\-* #,##0.0_-;_-* &quot;-&quot;??_-;_-@_-"/>
    <numFmt numFmtId="272" formatCode="&quot;$&quot;#,##0.00;;"/>
    <numFmt numFmtId="273" formatCode="#,##0.0;[Red]\(#,##0.0\)"/>
    <numFmt numFmtId="274" formatCode="#,##0.000\ &quot;EA &quot;"/>
    <numFmt numFmtId="275" formatCode="_-[$€-2]* #,##0.00_-;\-[$€-2]* #,##0.00_-;_-[$€-2]* &quot;-&quot;??_-"/>
    <numFmt numFmtId="276" formatCode="#,##0.000\ &quot;㎏ &quot;"/>
    <numFmt numFmtId="277" formatCode="#,##0.00\ &quot;ℓ &quot;"/>
    <numFmt numFmtId="278" formatCode="yyyy&quot;년&quot;\ m&quot;월&quot;\ d&quot;일&quot;"/>
    <numFmt numFmtId="279" formatCode="#,##0.000\ &quot;m  &quot;"/>
    <numFmt numFmtId="280" formatCode="&quot;₩&quot;#,##0.00"/>
    <numFmt numFmtId="281" formatCode="&quot;₩&quot;#,##0"/>
    <numFmt numFmtId="282" formatCode="0.00000_ "/>
    <numFmt numFmtId="283" formatCode="#,##0.000\ &quot;㎡ &quot;"/>
    <numFmt numFmtId="284" formatCode="#,##0.000\ &quot;㎥ &quot;"/>
    <numFmt numFmtId="285" formatCode="&quot;SFr.&quot;#,##0;[Red]&quot;SFr.&quot;\-#,##0"/>
    <numFmt numFmtId="286" formatCode="&quot;$&quot;#,##0.00"/>
    <numFmt numFmtId="287" formatCode="&quot;₩&quot;\$#,##0.00_);&quot;₩&quot;\(&quot;₩&quot;\$#,##0.00&quot;₩&quot;\)"/>
    <numFmt numFmtId="288" formatCode="&quot;₩&quot;#,##0.00;[Red]&quot;₩&quot;&quot;₩&quot;&quot;₩&quot;&quot;₩&quot;\-&quot;₩&quot;#,##0.00"/>
    <numFmt numFmtId="289" formatCode="&quot;$&quot;#,##0_);\(&quot;$&quot;#,##0\)"/>
    <numFmt numFmtId="290" formatCode="0.0_)"/>
    <numFmt numFmtId="291" formatCode="_-&quot;₩&quot;* #,##0_-;&quot;₩&quot;&quot;₩&quot;&quot;₩&quot;&quot;₩&quot;\-&quot;₩&quot;* #,##0_-;_-&quot;₩&quot;* &quot;-&quot;_-;_-@_-"/>
    <numFmt numFmtId="292" formatCode="#,##0.000\ &quot;ton &quot;"/>
    <numFmt numFmtId="293" formatCode="m&quot;월&quot;\ d&quot;일&quot;"/>
    <numFmt numFmtId="294" formatCode="_ * #,##0&quot;원&quot;_ ;_ * \-#,##0_ ;_ * &quot;-&quot;_ ;_ @_ "/>
    <numFmt numFmtId="295" formatCode="_ * #,##0\ &quot; 식&quot;_ ;_ * \-#,##0_ ;_ * &quot;-&quot;_ ;_ @_ "/>
    <numFmt numFmtId="296" formatCode="0.0_);[Red]\(0.0\)"/>
    <numFmt numFmtId="297" formatCode="#,##0_);[Red]\(#,##0\)"/>
    <numFmt numFmtId="298" formatCode="#,##0_ "/>
    <numFmt numFmtId="299" formatCode="yyyy&quot;년&quot;\ m&quot;월&quot;\ d&quot;일&quot;;@"/>
    <numFmt numFmtId="300" formatCode="#,##0.00\ &quot;원&quot;"/>
  </numFmts>
  <fonts count="151">
    <font>
      <sz val="11"/>
      <color theme="1"/>
      <name val="맑은 고딕"/>
      <family val="2"/>
      <charset val="129"/>
      <scheme val="minor"/>
    </font>
    <font>
      <sz val="12"/>
      <name val="바탕체"/>
      <family val="1"/>
      <charset val="129"/>
    </font>
    <font>
      <b/>
      <sz val="22"/>
      <color rgb="FF000000"/>
      <name val="HY견명조"/>
      <family val="1"/>
      <charset val="129"/>
    </font>
    <font>
      <sz val="8"/>
      <name val="맑은 고딕"/>
      <family val="2"/>
      <charset val="129"/>
      <scheme val="minor"/>
    </font>
    <font>
      <sz val="12"/>
      <name val="굴림"/>
      <family val="3"/>
      <charset val="129"/>
    </font>
    <font>
      <sz val="16"/>
      <color rgb="FF000000"/>
      <name val="HY견명조"/>
      <family val="1"/>
      <charset val="129"/>
    </font>
    <font>
      <sz val="14"/>
      <color rgb="FF000000"/>
      <name val="HY견명조"/>
      <family val="1"/>
      <charset val="129"/>
    </font>
    <font>
      <sz val="12"/>
      <color rgb="FF000000"/>
      <name val="굴림"/>
      <family val="3"/>
      <charset val="129"/>
    </font>
    <font>
      <sz val="22"/>
      <color rgb="FF000000"/>
      <name val="HY견명조"/>
      <family val="1"/>
      <charset val="129"/>
    </font>
    <font>
      <sz val="8"/>
      <name val="바탕체"/>
      <family val="1"/>
      <charset val="129"/>
    </font>
    <font>
      <sz val="11.5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1.5"/>
      <color rgb="FF000000"/>
      <name val="굴림"/>
      <family val="3"/>
      <charset val="129"/>
    </font>
    <font>
      <sz val="11"/>
      <name val="돋움"/>
      <family val="3"/>
      <charset val="129"/>
    </font>
    <font>
      <b/>
      <sz val="12"/>
      <color rgb="FF000000"/>
      <name val="굴림"/>
      <family val="3"/>
      <charset val="129"/>
    </font>
    <font>
      <sz val="10"/>
      <name val="Times New Roman"/>
      <family val="1"/>
    </font>
    <font>
      <sz val="12"/>
      <name val="돋움체"/>
      <family val="3"/>
      <charset val="129"/>
    </font>
    <font>
      <sz val="10"/>
      <name val="MS Sans Serif"/>
      <family val="2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color indexed="19"/>
      <name val="돋움체"/>
      <family val="3"/>
      <charset val="129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굴림체"/>
      <family val="3"/>
      <charset val="129"/>
    </font>
    <font>
      <sz val="12"/>
      <name val="Arial"/>
      <family val="2"/>
    </font>
    <font>
      <sz val="8"/>
      <color indexed="8"/>
      <name val="돋움"/>
      <family val="3"/>
      <charset val="129"/>
    </font>
    <font>
      <b/>
      <sz val="11"/>
      <name val="Helv"/>
      <family val="2"/>
    </font>
    <font>
      <sz val="12"/>
      <name val="Times New Roman"/>
      <family val="1"/>
    </font>
    <font>
      <sz val="11"/>
      <name val="굴림체"/>
      <family val="3"/>
      <charset val="129"/>
    </font>
    <font>
      <sz val="10"/>
      <name val="Courier New"/>
      <family val="3"/>
    </font>
    <font>
      <sz val="10"/>
      <name val="바탕체"/>
      <family val="1"/>
      <charset val="129"/>
    </font>
    <font>
      <sz val="12"/>
      <name val="견명조"/>
      <family val="1"/>
      <charset val="129"/>
    </font>
    <font>
      <b/>
      <sz val="8"/>
      <name val="돋움"/>
      <family val="3"/>
      <charset val="129"/>
    </font>
    <font>
      <sz val="10"/>
      <name val="굴림"/>
      <family val="3"/>
      <charset val="129"/>
    </font>
    <font>
      <b/>
      <sz val="1"/>
      <color indexed="8"/>
      <name val="Courier"/>
      <family val="3"/>
    </font>
    <font>
      <sz val="12"/>
      <name val="명조"/>
      <family val="3"/>
      <charset val="129"/>
    </font>
    <font>
      <sz val="12"/>
      <name val="Courier"/>
      <family val="3"/>
    </font>
    <font>
      <sz val="12"/>
      <name val="궁서체"/>
      <family val="1"/>
      <charset val="129"/>
    </font>
    <font>
      <sz val="1"/>
      <color indexed="8"/>
      <name val="Courier"/>
      <family val="3"/>
    </font>
    <font>
      <u/>
      <sz val="8.25"/>
      <color indexed="36"/>
      <name val="돋움"/>
      <family val="3"/>
      <charset val="129"/>
    </font>
    <font>
      <sz val="14"/>
      <name val="뼥?ⓒ"/>
      <family val="3"/>
      <charset val="129"/>
    </font>
    <font>
      <u/>
      <sz val="10"/>
      <color indexed="14"/>
      <name val="MS Sans Serif"/>
      <family val="2"/>
    </font>
    <font>
      <b/>
      <sz val="18"/>
      <name val="(한)신중명조"/>
      <family val="1"/>
      <charset val="129"/>
    </font>
    <font>
      <sz val="10"/>
      <name val="돋움체"/>
      <family val="3"/>
      <charset val="129"/>
    </font>
    <font>
      <sz val="11"/>
      <color theme="1"/>
      <name val="굴림체"/>
      <family val="3"/>
      <charset val="129"/>
    </font>
    <font>
      <sz val="11"/>
      <name val="굴림"/>
      <family val="3"/>
      <charset val="129"/>
    </font>
    <font>
      <b/>
      <u/>
      <sz val="16"/>
      <name val="굴림"/>
      <family val="3"/>
      <charset val="129"/>
    </font>
    <font>
      <u/>
      <sz val="10"/>
      <color indexed="12"/>
      <name val="MS Sans Serif"/>
      <family val="2"/>
    </font>
    <font>
      <sz val="11"/>
      <name val="바탕체"/>
      <family val="1"/>
      <charset val="129"/>
    </font>
    <font>
      <b/>
      <sz val="11"/>
      <color indexed="10"/>
      <name val="굴림"/>
      <family val="3"/>
      <charset val="129"/>
    </font>
    <font>
      <sz val="12"/>
      <name val="뼻뮝"/>
      <family val="1"/>
      <charset val="129"/>
    </font>
    <font>
      <sz val="9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u/>
      <sz val="9"/>
      <color indexed="36"/>
      <name val="돋음"/>
      <family val="3"/>
      <charset val="129"/>
    </font>
    <font>
      <sz val="10"/>
      <name val="돋움"/>
      <family val="3"/>
      <charset val="129"/>
    </font>
    <font>
      <b/>
      <sz val="18"/>
      <name val="굴림체"/>
      <family val="3"/>
      <charset val="129"/>
    </font>
    <font>
      <b/>
      <sz val="16"/>
      <name val="돋움체"/>
      <family val="3"/>
      <charset val="129"/>
    </font>
    <font>
      <sz val="11"/>
      <name val="돋움체"/>
      <family val="3"/>
      <charset val="129"/>
    </font>
    <font>
      <i/>
      <outline/>
      <shadow/>
      <u/>
      <sz val="1"/>
      <color indexed="24"/>
      <name val="Courier"/>
      <family val="3"/>
    </font>
    <font>
      <sz val="12"/>
      <name val="ⓒoUAAA¨u"/>
      <family val="1"/>
      <charset val="129"/>
    </font>
    <font>
      <sz val="9"/>
      <name val="굴림체"/>
      <family val="3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1"/>
      <name val="µ¸¿ò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b/>
      <sz val="12"/>
      <name val="Arial MT"/>
      <family val="2"/>
    </font>
    <font>
      <sz val="9"/>
      <name val="Arial"/>
      <family val="2"/>
    </font>
    <font>
      <b/>
      <sz val="8"/>
      <name val="Arial"/>
      <family val="2"/>
    </font>
    <font>
      <sz val="12"/>
      <name val="System"/>
      <family val="2"/>
      <charset val="129"/>
    </font>
    <font>
      <sz val="8"/>
      <name val="¹UAAA¼"/>
      <family val="1"/>
      <charset val="129"/>
    </font>
    <font>
      <sz val="11"/>
      <name val="μ¸¿o"/>
      <family val="1"/>
      <charset val="129"/>
    </font>
    <font>
      <sz val="10"/>
      <name val="±¼¸²Ã¼"/>
      <family val="3"/>
      <charset val="129"/>
    </font>
    <font>
      <sz val="10"/>
      <name val="Helv"/>
      <family val="2"/>
    </font>
    <font>
      <b/>
      <sz val="10"/>
      <name val="Helv"/>
      <family val="2"/>
    </font>
    <font>
      <sz val="10"/>
      <color indexed="9"/>
      <name val="Arial"/>
      <family val="2"/>
    </font>
    <font>
      <sz val="12"/>
      <name val="Arial MT"/>
      <family val="2"/>
    </font>
    <font>
      <b/>
      <sz val="11"/>
      <color indexed="16"/>
      <name val="Arial"/>
      <family val="2"/>
    </font>
    <font>
      <b/>
      <sz val="10"/>
      <color indexed="17"/>
      <name val="Arial"/>
      <family val="2"/>
    </font>
    <font>
      <b/>
      <sz val="9"/>
      <name val="Arial"/>
      <family val="2"/>
    </font>
    <font>
      <sz val="10"/>
      <name val="MS Serif"/>
      <family val="1"/>
    </font>
    <font>
      <b/>
      <i/>
      <sz val="14"/>
      <name val="Times New Roman"/>
      <family val="1"/>
    </font>
    <font>
      <sz val="8"/>
      <name val="Arial"/>
      <family val="2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8.5"/>
      <color indexed="36"/>
      <name val="바탕체"/>
      <family val="1"/>
      <charset val="129"/>
    </font>
    <font>
      <b/>
      <i/>
      <sz val="11"/>
      <name val="Times New Roman"/>
      <family val="1"/>
    </font>
    <font>
      <b/>
      <sz val="10"/>
      <name val="Arial"/>
      <family val="2"/>
    </font>
    <font>
      <b/>
      <i/>
      <sz val="10"/>
      <name val="Times New Roman"/>
      <family val="1"/>
    </font>
    <font>
      <b/>
      <sz val="12"/>
      <name val="Helv"/>
      <family val="2"/>
    </font>
    <font>
      <b/>
      <sz val="12"/>
      <name val="Arial"/>
      <family val="2"/>
    </font>
    <font>
      <b/>
      <sz val="9"/>
      <color indexed="9"/>
      <name val="Arial"/>
      <family val="2"/>
    </font>
    <font>
      <b/>
      <sz val="18"/>
      <name val="Arial"/>
      <family val="2"/>
    </font>
    <font>
      <b/>
      <i/>
      <sz val="12"/>
      <color indexed="16"/>
      <name val="Times New Roman"/>
      <family val="1"/>
    </font>
    <font>
      <sz val="10"/>
      <name val="Univers (WN)"/>
      <family val="2"/>
    </font>
    <font>
      <u/>
      <sz val="8.5"/>
      <color indexed="12"/>
      <name val="바탕체"/>
      <family val="1"/>
      <charset val="129"/>
    </font>
    <font>
      <b/>
      <i/>
      <sz val="12"/>
      <name val="Times New Roman"/>
      <family val="1"/>
    </font>
    <font>
      <sz val="7"/>
      <name val="Small Fonts"/>
      <family val="2"/>
    </font>
    <font>
      <sz val="10"/>
      <name val="Tms Rmn"/>
      <family val="1"/>
    </font>
    <font>
      <b/>
      <sz val="16"/>
      <name val="Times New Roman"/>
      <family val="1"/>
    </font>
    <font>
      <sz val="8"/>
      <name val="Helv"/>
      <family val="2"/>
    </font>
    <font>
      <b/>
      <sz val="12"/>
      <color indexed="16"/>
      <name val="Arial"/>
      <family val="2"/>
    </font>
    <font>
      <b/>
      <i/>
      <sz val="18"/>
      <color indexed="16"/>
      <name val="Times New Roman"/>
      <family val="1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b/>
      <sz val="8"/>
      <color indexed="32"/>
      <name val="Arial"/>
      <family val="2"/>
    </font>
    <font>
      <b/>
      <sz val="12"/>
      <name val="바탕체"/>
      <family val="1"/>
      <charset val="129"/>
    </font>
    <font>
      <b/>
      <sz val="14"/>
      <name val="굴림체"/>
      <family val="3"/>
      <charset val="129"/>
    </font>
    <font>
      <sz val="8"/>
      <name val="바탕"/>
      <family val="1"/>
      <charset val="129"/>
    </font>
    <font>
      <b/>
      <sz val="13"/>
      <name val="굴림체"/>
      <family val="3"/>
      <charset val="129"/>
    </font>
    <font>
      <b/>
      <sz val="10"/>
      <name val="굴림체"/>
      <family val="3"/>
      <charset val="129"/>
    </font>
    <font>
      <b/>
      <sz val="10"/>
      <color indexed="8"/>
      <name val="굴림체"/>
      <family val="3"/>
      <charset val="129"/>
    </font>
    <font>
      <sz val="8"/>
      <name val="굴림체"/>
      <family val="3"/>
      <charset val="129"/>
    </font>
    <font>
      <b/>
      <u/>
      <sz val="18"/>
      <name val="굴림체"/>
      <family val="3"/>
      <charset val="129"/>
    </font>
    <font>
      <b/>
      <sz val="10"/>
      <color rgb="FF000000"/>
      <name val="굴림"/>
      <family val="3"/>
      <charset val="129"/>
    </font>
    <font>
      <sz val="18"/>
      <color rgb="FF000000"/>
      <name val="HY견고딕"/>
      <family val="1"/>
      <charset val="129"/>
    </font>
    <font>
      <sz val="16"/>
      <color rgb="FF000000"/>
      <name val="HY견고딕"/>
      <family val="1"/>
      <charset val="129"/>
    </font>
    <font>
      <sz val="17"/>
      <color rgb="FF000000"/>
      <name val="HY견고딕"/>
      <family val="1"/>
      <charset val="129"/>
    </font>
    <font>
      <sz val="12"/>
      <name val="HY견고딕"/>
      <family val="1"/>
      <charset val="129"/>
    </font>
    <font>
      <sz val="14"/>
      <color rgb="FF000000"/>
      <name val="HY견고딕"/>
      <family val="1"/>
      <charset val="129"/>
    </font>
    <font>
      <sz val="12"/>
      <color rgb="FF000000"/>
      <name val="HY견고딕"/>
      <family val="1"/>
      <charset val="129"/>
    </font>
    <font>
      <sz val="11"/>
      <color indexed="8"/>
      <name val="맑은 고딕"/>
      <family val="3"/>
      <charset val="129"/>
    </font>
    <font>
      <sz val="22"/>
      <color indexed="8"/>
      <name val="Arial Narrow"/>
      <family val="2"/>
    </font>
    <font>
      <sz val="22"/>
      <color indexed="8"/>
      <name val="돋움"/>
      <family val="3"/>
      <charset val="129"/>
    </font>
    <font>
      <sz val="11"/>
      <color indexed="8"/>
      <name val="Arial Narrow"/>
      <family val="2"/>
    </font>
    <font>
      <sz val="11"/>
      <color indexed="8"/>
      <name val="돋움"/>
      <family val="3"/>
      <charset val="129"/>
    </font>
    <font>
      <sz val="8"/>
      <name val="맑은 고딕"/>
      <family val="3"/>
      <charset val="129"/>
    </font>
    <font>
      <sz val="12"/>
      <color rgb="FF000000"/>
      <name val="HY헤드라인M"/>
      <family val="1"/>
      <charset val="129"/>
    </font>
    <font>
      <b/>
      <sz val="20"/>
      <name val="돋움"/>
      <family val="3"/>
      <charset val="129"/>
    </font>
    <font>
      <b/>
      <sz val="11"/>
      <name val="돋움"/>
      <family val="3"/>
      <charset val="129"/>
    </font>
    <font>
      <b/>
      <sz val="1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0"/>
      <name val="굴림 "/>
      <family val="2"/>
    </font>
    <font>
      <b/>
      <sz val="10"/>
      <name val="돋움"/>
      <family val="3"/>
      <charset val="129"/>
    </font>
    <font>
      <b/>
      <sz val="15"/>
      <name val="돋움"/>
      <family val="3"/>
      <charset val="129"/>
    </font>
    <font>
      <b/>
      <sz val="9"/>
      <name val="돋움"/>
      <family val="3"/>
      <charset val="129"/>
    </font>
    <font>
      <sz val="9"/>
      <name val="돋움체"/>
      <family val="3"/>
      <charset val="129"/>
    </font>
    <font>
      <sz val="6"/>
      <name val="돋움체"/>
      <family val="3"/>
      <charset val="129"/>
    </font>
    <font>
      <sz val="9"/>
      <color theme="0"/>
      <name val="돋움체"/>
      <family val="3"/>
      <charset val="129"/>
    </font>
    <font>
      <sz val="8"/>
      <name val="돋움체"/>
      <family val="3"/>
      <charset val="129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7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ck">
        <color indexed="51"/>
      </left>
      <right/>
      <top style="thick">
        <color indexed="51"/>
      </top>
      <bottom style="thick">
        <color indexed="51"/>
      </bottom>
      <diagonal/>
    </border>
    <border>
      <left style="thick">
        <color indexed="9"/>
      </left>
      <right/>
      <top style="thick">
        <color indexed="9"/>
      </top>
      <bottom style="thick">
        <color indexed="2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9"/>
      </right>
      <top style="thin">
        <color indexed="9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 style="thin">
        <color indexed="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015">
    <xf numFmtId="0" fontId="0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/>
    <xf numFmtId="179" fontId="16" fillId="0" borderId="0" applyFont="0" applyFill="0" applyBorder="0" applyAlignment="0" applyProtection="0"/>
    <xf numFmtId="3" fontId="17" fillId="0" borderId="13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7" fillId="0" borderId="0" applyFont="0" applyFill="0" applyBorder="0" applyAlignment="0" applyProtection="0"/>
    <xf numFmtId="24" fontId="17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1" fontId="14" fillId="0" borderId="0" applyNumberFormat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2" fontId="18" fillId="0" borderId="0" applyNumberFormat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7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4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7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24" fontId="18" fillId="0" borderId="0" applyFont="0" applyFill="0" applyBorder="0" applyAlignment="0" applyProtection="0"/>
    <xf numFmtId="181" fontId="14" fillId="0" borderId="0" applyNumberFormat="0" applyFont="0" applyFill="0" applyBorder="0" applyAlignment="0" applyProtection="0"/>
    <xf numFmtId="182" fontId="18" fillId="0" borderId="0" applyNumberFormat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0" fontId="19" fillId="0" borderId="0">
      <alignment vertical="center"/>
    </xf>
    <xf numFmtId="40" fontId="1" fillId="0" borderId="14"/>
    <xf numFmtId="0" fontId="20" fillId="0" borderId="0">
      <alignment vertical="center"/>
    </xf>
    <xf numFmtId="0" fontId="19" fillId="0" borderId="0">
      <alignment vertical="center"/>
    </xf>
    <xf numFmtId="38" fontId="1" fillId="0" borderId="15">
      <alignment horizontal="right"/>
    </xf>
    <xf numFmtId="185" fontId="21" fillId="0" borderId="0" applyNumberFormat="0">
      <alignment horizontal="center" vertical="center"/>
      <protection locked="0" hidden="1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3" fillId="0" borderId="0"/>
    <xf numFmtId="0" fontId="23" fillId="0" borderId="0"/>
    <xf numFmtId="0" fontId="14" fillId="0" borderId="0"/>
    <xf numFmtId="0" fontId="24" fillId="0" borderId="0" applyFont="0" applyFill="0" applyBorder="0" applyAlignment="0" applyProtection="0"/>
    <xf numFmtId="0" fontId="22" fillId="0" borderId="0"/>
    <xf numFmtId="0" fontId="14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2" fillId="0" borderId="0"/>
    <xf numFmtId="0" fontId="25" fillId="0" borderId="0"/>
    <xf numFmtId="0" fontId="22" fillId="0" borderId="0"/>
    <xf numFmtId="0" fontId="14" fillId="0" borderId="0"/>
    <xf numFmtId="0" fontId="14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4" fillId="0" borderId="0" applyFont="0" applyFill="0" applyBorder="0" applyAlignment="0" applyProtection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5" fillId="0" borderId="0"/>
    <xf numFmtId="0" fontId="25" fillId="0" borderId="0"/>
    <xf numFmtId="0" fontId="18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6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17" fillId="0" borderId="0"/>
    <xf numFmtId="0" fontId="23" fillId="0" borderId="0"/>
    <xf numFmtId="0" fontId="23" fillId="0" borderId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4" fillId="0" borderId="0"/>
    <xf numFmtId="0" fontId="22" fillId="0" borderId="0"/>
    <xf numFmtId="0" fontId="22" fillId="0" borderId="0"/>
    <xf numFmtId="0" fontId="1" fillId="0" borderId="0"/>
    <xf numFmtId="0" fontId="14" fillId="0" borderId="0"/>
    <xf numFmtId="0" fontId="24" fillId="0" borderId="0"/>
    <xf numFmtId="0" fontId="23" fillId="0" borderId="0"/>
    <xf numFmtId="0" fontId="17" fillId="0" borderId="0"/>
    <xf numFmtId="0" fontId="23" fillId="0" borderId="0"/>
    <xf numFmtId="0" fontId="14" fillId="0" borderId="0"/>
    <xf numFmtId="0" fontId="14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16" fillId="0" borderId="0"/>
    <xf numFmtId="0" fontId="27" fillId="0" borderId="16"/>
    <xf numFmtId="0" fontId="22" fillId="0" borderId="0"/>
    <xf numFmtId="0" fontId="1" fillId="0" borderId="0" applyFont="0" applyFill="0" applyBorder="0" applyAlignment="0" applyProtection="0"/>
    <xf numFmtId="0" fontId="25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16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/>
    <xf numFmtId="0" fontId="18" fillId="0" borderId="0"/>
    <xf numFmtId="0" fontId="1" fillId="0" borderId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9" fillId="0" borderId="0">
      <alignment vertical="center"/>
    </xf>
    <xf numFmtId="0" fontId="19" fillId="0" borderId="0">
      <alignment vertical="center"/>
    </xf>
    <xf numFmtId="0" fontId="28" fillId="0" borderId="0"/>
    <xf numFmtId="0" fontId="1" fillId="0" borderId="0" applyFont="0" applyFill="0" applyBorder="0" applyAlignment="0" applyProtection="0"/>
    <xf numFmtId="3" fontId="17" fillId="0" borderId="13"/>
    <xf numFmtId="3" fontId="17" fillId="0" borderId="13"/>
    <xf numFmtId="0" fontId="29" fillId="0" borderId="0">
      <alignment horizontal="center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1" fillId="0" borderId="12">
      <alignment horizontal="right" vertical="center"/>
    </xf>
    <xf numFmtId="3" fontId="30" fillId="0" borderId="12">
      <alignment horizontal="right" vertical="center"/>
    </xf>
    <xf numFmtId="41" fontId="1" fillId="0" borderId="0">
      <alignment horizontal="center" vertical="center"/>
    </xf>
    <xf numFmtId="41" fontId="1" fillId="0" borderId="0">
      <alignment horizontal="center" vertical="center"/>
    </xf>
    <xf numFmtId="186" fontId="1" fillId="0" borderId="0">
      <alignment horizontal="center" vertical="center"/>
    </xf>
    <xf numFmtId="187" fontId="32" fillId="0" borderId="0">
      <alignment horizontal="center" vertical="center"/>
    </xf>
    <xf numFmtId="41" fontId="1" fillId="0" borderId="0">
      <alignment horizontal="center" vertical="center"/>
    </xf>
    <xf numFmtId="0" fontId="19" fillId="0" borderId="0"/>
    <xf numFmtId="188" fontId="33" fillId="0" borderId="17" applyBorder="0">
      <alignment vertical="center" wrapText="1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2" fontId="30" fillId="0" borderId="12">
      <alignment horizontal="right" vertical="center"/>
    </xf>
    <xf numFmtId="0" fontId="1" fillId="0" borderId="18">
      <alignment horizontal="center"/>
    </xf>
    <xf numFmtId="9" fontId="1" fillId="0" borderId="0">
      <protection locked="0"/>
    </xf>
    <xf numFmtId="0" fontId="25" fillId="0" borderId="0"/>
    <xf numFmtId="0" fontId="1" fillId="0" borderId="0"/>
    <xf numFmtId="49" fontId="33" fillId="0" borderId="13">
      <alignment horizontal="center" vertical="center"/>
    </xf>
    <xf numFmtId="190" fontId="33" fillId="0" borderId="13">
      <alignment vertical="center"/>
    </xf>
    <xf numFmtId="191" fontId="33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8" fontId="33" fillId="0" borderId="13">
      <alignment vertical="center"/>
    </xf>
    <xf numFmtId="199" fontId="1" fillId="0" borderId="0"/>
    <xf numFmtId="200" fontId="1" fillId="0" borderId="0">
      <protection locked="0"/>
    </xf>
    <xf numFmtId="0" fontId="35" fillId="0" borderId="0">
      <protection locked="0"/>
    </xf>
    <xf numFmtId="0" fontId="35" fillId="0" borderId="0">
      <protection locked="0"/>
    </xf>
    <xf numFmtId="0" fontId="36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0" fontId="29" fillId="0" borderId="0"/>
    <xf numFmtId="0" fontId="38" fillId="0" borderId="1">
      <alignment horizontal="center" vertical="center"/>
    </xf>
    <xf numFmtId="202" fontId="1" fillId="0" borderId="0"/>
    <xf numFmtId="0" fontId="14" fillId="0" borderId="0">
      <protection locked="0"/>
    </xf>
    <xf numFmtId="0" fontId="39" fillId="0" borderId="0">
      <protection locked="0"/>
    </xf>
    <xf numFmtId="49" fontId="14" fillId="0" borderId="0" applyFont="0" applyFill="0" applyBorder="0" applyAlignment="0" applyProtection="0"/>
    <xf numFmtId="3" fontId="18" fillId="0" borderId="19">
      <alignment horizontal="center"/>
    </xf>
    <xf numFmtId="3" fontId="12" fillId="0" borderId="14" applyNumberFormat="0" applyFill="0" applyBorder="0" applyProtection="0">
      <alignment horizontal="center" vertical="center"/>
    </xf>
    <xf numFmtId="0" fontId="39" fillId="0" borderId="0"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40" fontId="41" fillId="0" borderId="0" applyFont="0" applyFill="0" applyBorder="0" applyAlignment="0" applyProtection="0"/>
    <xf numFmtId="38" fontId="4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3" fontId="42" fillId="0" borderId="11">
      <alignment vertical="center"/>
    </xf>
    <xf numFmtId="204" fontId="33" fillId="0" borderId="0">
      <alignment vertical="center"/>
    </xf>
    <xf numFmtId="204" fontId="33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" fontId="43" fillId="0" borderId="20" applyFont="0" applyBorder="0" applyAlignment="0">
      <alignment vertical="center"/>
    </xf>
    <xf numFmtId="41" fontId="44" fillId="0" borderId="13" applyNumberFormat="0" applyFont="0" applyFill="0" applyBorder="0" applyProtection="0">
      <alignment horizontal="distributed"/>
    </xf>
    <xf numFmtId="40" fontId="1" fillId="0" borderId="0">
      <protection locked="0"/>
    </xf>
    <xf numFmtId="40" fontId="1" fillId="0" borderId="0">
      <protection locked="0"/>
    </xf>
    <xf numFmtId="9" fontId="29" fillId="2" borderId="0" applyFill="0" applyBorder="0" applyProtection="0">
      <alignment horizontal="right"/>
    </xf>
    <xf numFmtId="10" fontId="29" fillId="0" borderId="0" applyFill="0" applyBorder="0" applyProtection="0">
      <alignment horizontal="right"/>
    </xf>
    <xf numFmtId="9" fontId="4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187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0" fontId="47" fillId="0" borderId="0" applyNumberFormat="0" applyFill="0" applyBorder="0" applyProtection="0">
      <alignment horizontal="centerContinuous"/>
    </xf>
    <xf numFmtId="0" fontId="1" fillId="0" borderId="0"/>
    <xf numFmtId="209" fontId="36" fillId="0" borderId="21" applyBorder="0"/>
    <xf numFmtId="49" fontId="14" fillId="0" borderId="0" applyFont="0" applyFill="0" applyBorder="0" applyProtection="0">
      <alignment vertical="center"/>
    </xf>
    <xf numFmtId="0" fontId="48" fillId="0" borderId="0" applyNumberFormat="0" applyFont="0" applyFill="0" applyBorder="0" applyProtection="0">
      <alignment horizontal="centerContinuous" vertical="center"/>
    </xf>
    <xf numFmtId="210" fontId="48" fillId="0" borderId="0" applyFill="0" applyBorder="0" applyProtection="0">
      <alignment horizontal="centerContinuous" vertical="center"/>
    </xf>
    <xf numFmtId="194" fontId="48" fillId="0" borderId="0" applyNumberFormat="0" applyFont="0" applyFill="0" applyBorder="0" applyProtection="0">
      <alignment horizontal="centerContinuous"/>
    </xf>
    <xf numFmtId="0" fontId="33" fillId="0" borderId="0" applyNumberFormat="0" applyFont="0" applyFill="0" applyBorder="0" applyProtection="0">
      <alignment horizontal="centerContinuous" vertical="center"/>
    </xf>
    <xf numFmtId="187" fontId="1" fillId="0" borderId="0" applyNumberFormat="0" applyFont="0" applyFill="0" applyBorder="0" applyProtection="0">
      <alignment horizontal="centerContinuous"/>
    </xf>
    <xf numFmtId="194" fontId="48" fillId="0" borderId="0" applyNumberFormat="0" applyFont="0" applyFill="0" applyBorder="0" applyProtection="0">
      <alignment horizontal="centerContinuous" vertical="center"/>
    </xf>
    <xf numFmtId="211" fontId="46" fillId="0" borderId="22" applyNumberFormat="0" applyBorder="0" applyAlignment="0"/>
    <xf numFmtId="38" fontId="49" fillId="0" borderId="0">
      <alignment vertical="center" wrapText="1"/>
    </xf>
    <xf numFmtId="0" fontId="36" fillId="0" borderId="23"/>
    <xf numFmtId="4" fontId="36" fillId="0" borderId="21"/>
    <xf numFmtId="212" fontId="14" fillId="0" borderId="21"/>
    <xf numFmtId="0" fontId="14" fillId="0" borderId="21"/>
    <xf numFmtId="49" fontId="50" fillId="0" borderId="24" applyFont="0" applyFill="0" applyBorder="0" applyProtection="0">
      <alignment horizontal="right" vertical="center"/>
    </xf>
    <xf numFmtId="194" fontId="51" fillId="0" borderId="2" applyFont="0" applyFill="0" applyBorder="0" applyAlignment="0" applyProtection="0">
      <alignment vertical="center"/>
    </xf>
    <xf numFmtId="210" fontId="51" fillId="0" borderId="2" applyFont="0" applyFill="0" applyBorder="0" applyAlignment="0" applyProtection="0">
      <alignment vertical="center"/>
    </xf>
    <xf numFmtId="49" fontId="14" fillId="0" borderId="0" applyFont="0" applyFill="0" applyBorder="0" applyAlignment="0" applyProtection="0"/>
    <xf numFmtId="1" fontId="1" fillId="0" borderId="0"/>
    <xf numFmtId="0" fontId="52" fillId="0" borderId="0" applyProtection="0">
      <alignment horizontal="center" vertical="center"/>
    </xf>
    <xf numFmtId="194" fontId="48" fillId="0" borderId="0" applyFont="0" applyFill="0" applyBorder="0" applyProtection="0">
      <alignment horizontal="centerContinuous" vertical="center"/>
    </xf>
    <xf numFmtId="213" fontId="53" fillId="0" borderId="0">
      <alignment vertical="center"/>
    </xf>
    <xf numFmtId="0" fontId="53" fillId="0" borderId="13" applyFont="0" applyFill="0" applyBorder="0" applyAlignment="0" applyProtection="0">
      <alignment horizontal="centerContinuous" vertical="center"/>
    </xf>
    <xf numFmtId="208" fontId="48" fillId="0" borderId="0" applyFont="0" applyFill="0" applyBorder="0" applyProtection="0">
      <alignment horizontal="centerContinuous" vertical="center"/>
    </xf>
    <xf numFmtId="187" fontId="48" fillId="0" borderId="0" applyFont="0" applyFill="0" applyBorder="0" applyProtection="0">
      <alignment horizontal="centerContinuous" vertical="center"/>
    </xf>
    <xf numFmtId="214" fontId="42" fillId="0" borderId="0" applyFont="0" applyFill="0" applyBorder="0" applyAlignment="0" applyProtection="0">
      <alignment vertical="center"/>
    </xf>
    <xf numFmtId="214" fontId="48" fillId="0" borderId="1" applyFont="0" applyFill="0" applyBorder="0" applyProtection="0">
      <alignment horizontal="right" vertical="center"/>
      <protection locked="0"/>
    </xf>
    <xf numFmtId="0" fontId="14" fillId="0" borderId="0" applyFont="0" applyFill="0" applyBorder="0" applyAlignment="0" applyProtection="0"/>
    <xf numFmtId="41" fontId="54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203" fontId="1" fillId="0" borderId="0" applyFont="0" applyFill="0" applyBorder="0" applyAlignment="0" applyProtection="0"/>
    <xf numFmtId="41" fontId="46" fillId="0" borderId="0" applyFont="0" applyFill="0" applyBorder="0" applyAlignment="0" applyProtection="0">
      <alignment vertical="center"/>
    </xf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5" fillId="0" borderId="10"/>
    <xf numFmtId="0" fontId="33" fillId="0" borderId="25">
      <alignment vertical="center"/>
    </xf>
    <xf numFmtId="215" fontId="33" fillId="0" borderId="13" applyBorder="0">
      <alignment vertical="center"/>
    </xf>
    <xf numFmtId="216" fontId="33" fillId="0" borderId="13" applyBorder="0">
      <alignment horizontal="left" vertical="center"/>
    </xf>
    <xf numFmtId="217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17" fontId="57" fillId="0" borderId="0" applyFont="0" applyFill="0" applyBorder="0" applyAlignment="0" applyProtection="0"/>
    <xf numFmtId="218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20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0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22" fontId="14" fillId="0" borderId="0" applyFont="0" applyFill="0" applyBorder="0" applyAlignment="0" applyProtection="0"/>
    <xf numFmtId="194" fontId="19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5" fontId="18" fillId="0" borderId="0" applyFont="0" applyFill="0" applyBorder="0" applyAlignment="0" applyProtection="0"/>
    <xf numFmtId="225" fontId="29" fillId="0" borderId="0" applyFont="0" applyFill="0" applyBorder="0" applyAlignment="0" applyProtection="0"/>
    <xf numFmtId="226" fontId="14" fillId="0" borderId="0" applyFont="0" applyFill="0" applyBorder="0" applyAlignment="0" applyProtection="0"/>
    <xf numFmtId="225" fontId="29" fillId="0" borderId="0" applyFont="0" applyFill="0" applyBorder="0" applyAlignment="0" applyProtection="0"/>
    <xf numFmtId="219" fontId="1" fillId="0" borderId="0" applyFont="0" applyFill="0" applyBorder="0" applyAlignment="0" applyProtection="0"/>
    <xf numFmtId="226" fontId="14" fillId="0" borderId="0" applyFont="0" applyFill="0" applyBorder="0" applyAlignment="0" applyProtection="0"/>
    <xf numFmtId="217" fontId="56" fillId="0" borderId="0" applyFont="0" applyFill="0" applyBorder="0" applyAlignment="0" applyProtection="0"/>
    <xf numFmtId="221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17" fontId="56" fillId="0" borderId="0" applyFont="0" applyFill="0" applyBorder="0" applyAlignment="0" applyProtection="0"/>
    <xf numFmtId="227" fontId="29" fillId="0" borderId="0" applyFont="0" applyFill="0" applyBorder="0" applyAlignment="0" applyProtection="0"/>
    <xf numFmtId="228" fontId="1" fillId="0" borderId="0" applyFont="0" applyFill="0" applyBorder="0" applyAlignment="0" applyProtection="0"/>
    <xf numFmtId="229" fontId="29" fillId="0" borderId="0" applyFont="0" applyFill="0" applyBorder="0" applyAlignment="0" applyProtection="0"/>
    <xf numFmtId="194" fontId="19" fillId="0" borderId="0" applyFont="0" applyFill="0" applyBorder="0" applyAlignment="0" applyProtection="0"/>
    <xf numFmtId="226" fontId="1" fillId="0" borderId="0" applyFont="0" applyFill="0" applyBorder="0" applyAlignment="0" applyProtection="0"/>
    <xf numFmtId="230" fontId="58" fillId="0" borderId="0" applyFont="0" applyFill="0" applyBorder="0" applyAlignment="0" applyProtection="0"/>
    <xf numFmtId="230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1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1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4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35" fontId="57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36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19" fontId="1" fillId="0" borderId="0" applyFont="0" applyFill="0" applyBorder="0" applyAlignment="0" applyProtection="0"/>
    <xf numFmtId="237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29" fontId="29" fillId="0" borderId="0" applyFont="0" applyFill="0" applyBorder="0" applyAlignment="0" applyProtection="0"/>
    <xf numFmtId="229" fontId="29" fillId="0" borderId="0" applyFont="0" applyFill="0" applyBorder="0" applyAlignment="0" applyProtection="0"/>
    <xf numFmtId="218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36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3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0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40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0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24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194" fontId="19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48" fillId="0" borderId="0" applyNumberFormat="0" applyFont="0" applyFill="0" applyBorder="0" applyProtection="0">
      <alignment vertical="center"/>
    </xf>
    <xf numFmtId="4" fontId="39" fillId="0" borderId="0">
      <protection locked="0"/>
    </xf>
    <xf numFmtId="242" fontId="1" fillId="0" borderId="0">
      <protection locked="0"/>
    </xf>
    <xf numFmtId="0" fontId="1" fillId="0" borderId="13">
      <alignment horizontal="distributed" vertical="center"/>
    </xf>
    <xf numFmtId="0" fontId="1" fillId="0" borderId="21">
      <alignment horizontal="distributed" vertical="top"/>
    </xf>
    <xf numFmtId="0" fontId="1" fillId="0" borderId="22">
      <alignment horizontal="distributed"/>
    </xf>
    <xf numFmtId="37" fontId="60" fillId="0" borderId="0">
      <alignment vertical="center"/>
    </xf>
    <xf numFmtId="0" fontId="14" fillId="0" borderId="0"/>
    <xf numFmtId="0" fontId="1" fillId="0" borderId="0"/>
    <xf numFmtId="40" fontId="1" fillId="0" borderId="0">
      <protection locked="0"/>
    </xf>
    <xf numFmtId="40" fontId="1" fillId="0" borderId="0">
      <protection locked="0"/>
    </xf>
    <xf numFmtId="0" fontId="1" fillId="0" borderId="0" applyFont="0" applyFill="0" applyBorder="0" applyAlignment="0" applyProtection="0"/>
    <xf numFmtId="213" fontId="34" fillId="0" borderId="0" applyFont="0" applyFill="0" applyBorder="0" applyAlignment="0" applyProtection="0">
      <alignment vertical="center"/>
    </xf>
    <xf numFmtId="40" fontId="1" fillId="0" borderId="0">
      <protection locked="0"/>
    </xf>
    <xf numFmtId="243" fontId="14" fillId="0" borderId="0" applyFont="0" applyFill="0" applyBorder="0" applyProtection="0">
      <alignment vertical="center"/>
    </xf>
    <xf numFmtId="38" fontId="44" fillId="0" borderId="0" applyFont="0" applyFill="0" applyBorder="0" applyProtection="0">
      <alignment vertical="center"/>
    </xf>
    <xf numFmtId="40" fontId="1" fillId="0" borderId="0">
      <protection locked="0"/>
    </xf>
    <xf numFmtId="41" fontId="14" fillId="0" borderId="0" applyFont="0" applyFill="0" applyBorder="0" applyAlignment="0" applyProtection="0"/>
    <xf numFmtId="203" fontId="1" fillId="0" borderId="0" applyNumberFormat="0" applyFont="0" applyFill="0" applyBorder="0" applyProtection="0">
      <alignment vertical="center"/>
    </xf>
    <xf numFmtId="244" fontId="1" fillId="2" borderId="0" applyFill="0" applyBorder="0" applyProtection="0">
      <alignment horizontal="right"/>
    </xf>
    <xf numFmtId="203" fontId="58" fillId="0" borderId="0"/>
    <xf numFmtId="38" fontId="44" fillId="0" borderId="0" applyFont="0" applyFill="0" applyBorder="0" applyAlignment="0" applyProtection="0">
      <alignment vertical="center"/>
    </xf>
    <xf numFmtId="245" fontId="1" fillId="0" borderId="0" applyFont="0" applyFill="0" applyBorder="0" applyAlignment="0" applyProtection="0">
      <alignment vertical="center"/>
    </xf>
    <xf numFmtId="246" fontId="1" fillId="0" borderId="0" applyFont="0" applyFill="0" applyBorder="0" applyAlignment="0" applyProtection="0">
      <alignment vertical="center"/>
    </xf>
    <xf numFmtId="247" fontId="14" fillId="0" borderId="26"/>
    <xf numFmtId="40" fontId="1" fillId="0" borderId="14"/>
    <xf numFmtId="248" fontId="24" fillId="0" borderId="0" applyFont="0" applyFill="0" applyBorder="0" applyAlignment="0" applyProtection="0">
      <alignment textRotation="255"/>
    </xf>
    <xf numFmtId="249" fontId="24" fillId="0" borderId="0" applyFont="0" applyFill="0" applyBorder="0" applyAlignment="0" applyProtection="0">
      <alignment textRotation="255"/>
    </xf>
    <xf numFmtId="195" fontId="61" fillId="0" borderId="13">
      <alignment vertical="center"/>
    </xf>
    <xf numFmtId="250" fontId="24" fillId="0" borderId="0" applyFont="0" applyFill="0" applyBorder="0" applyAlignment="0" applyProtection="0">
      <alignment textRotation="255"/>
    </xf>
    <xf numFmtId="251" fontId="24" fillId="0" borderId="0" applyFont="0" applyFill="0" applyBorder="0" applyAlignment="0" applyProtection="0">
      <alignment textRotation="255"/>
    </xf>
    <xf numFmtId="0" fontId="1" fillId="0" borderId="0" applyFont="0" applyFill="0" applyBorder="0" applyAlignment="0" applyProtection="0"/>
    <xf numFmtId="0" fontId="1" fillId="0" borderId="0"/>
    <xf numFmtId="40" fontId="1" fillId="0" borderId="0">
      <protection locked="0"/>
    </xf>
    <xf numFmtId="40" fontId="1" fillId="0" borderId="0">
      <protection locked="0"/>
    </xf>
    <xf numFmtId="40" fontId="1" fillId="0" borderId="0">
      <protection locked="0"/>
    </xf>
    <xf numFmtId="0" fontId="29" fillId="0" borderId="0" applyFont="0" applyFill="0" applyBorder="0" applyAlignment="0" applyProtection="0"/>
    <xf numFmtId="252" fontId="1" fillId="0" borderId="0">
      <protection locked="0"/>
    </xf>
    <xf numFmtId="40" fontId="1" fillId="0" borderId="0">
      <protection locked="0"/>
    </xf>
    <xf numFmtId="0" fontId="58" fillId="0" borderId="1">
      <alignment horizontal="center" vertical="center"/>
    </xf>
    <xf numFmtId="0" fontId="58" fillId="0" borderId="1">
      <alignment horizontal="left" vertical="center"/>
    </xf>
    <xf numFmtId="0" fontId="58" fillId="0" borderId="1">
      <alignment vertical="center" textRotation="255"/>
    </xf>
    <xf numFmtId="40" fontId="1" fillId="0" borderId="0">
      <protection locked="0"/>
    </xf>
    <xf numFmtId="0" fontId="22" fillId="0" borderId="0"/>
    <xf numFmtId="0" fontId="24" fillId="0" borderId="0"/>
    <xf numFmtId="0" fontId="45" fillId="0" borderId="0">
      <alignment vertical="center"/>
    </xf>
    <xf numFmtId="0" fontId="14" fillId="0" borderId="0"/>
    <xf numFmtId="0" fontId="14" fillId="0" borderId="0"/>
    <xf numFmtId="0" fontId="1" fillId="0" borderId="1">
      <alignment vertical="center" wrapText="1"/>
    </xf>
    <xf numFmtId="0" fontId="14" fillId="0" borderId="13" applyNumberFormat="0" applyFill="0" applyProtection="0">
      <alignment vertical="center"/>
    </xf>
    <xf numFmtId="0" fontId="1" fillId="0" borderId="0"/>
    <xf numFmtId="0" fontId="39" fillId="0" borderId="27">
      <protection locked="0"/>
    </xf>
    <xf numFmtId="253" fontId="1" fillId="0" borderId="0">
      <protection locked="0"/>
    </xf>
    <xf numFmtId="254" fontId="1" fillId="0" borderId="0">
      <protection locked="0"/>
    </xf>
    <xf numFmtId="0" fontId="62" fillId="0" borderId="0">
      <protection locked="0"/>
    </xf>
    <xf numFmtId="255" fontId="1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5" fillId="0" borderId="0"/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40" fontId="1" fillId="0" borderId="0">
      <protection locked="0"/>
    </xf>
    <xf numFmtId="40" fontId="1" fillId="0" borderId="0">
      <protection locked="0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0" fontId="63" fillId="0" borderId="0" applyFont="0" applyFill="0" applyBorder="0" applyAlignment="0" applyProtection="0"/>
    <xf numFmtId="0" fontId="63" fillId="0" borderId="0" applyFont="0" applyFill="0" applyBorder="0" applyAlignment="0" applyProtection="0"/>
    <xf numFmtId="40" fontId="1" fillId="0" borderId="0">
      <protection locked="0"/>
    </xf>
    <xf numFmtId="258" fontId="35" fillId="0" borderId="0">
      <protection locked="0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5" fillId="0" borderId="0" applyFont="0" applyFill="0" applyBorder="0" applyAlignment="0" applyProtection="0"/>
    <xf numFmtId="259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59" fontId="67" fillId="0" borderId="0" applyFont="0" applyFill="0" applyBorder="0" applyAlignment="0" applyProtection="0"/>
    <xf numFmtId="40" fontId="1" fillId="0" borderId="0">
      <protection locked="0"/>
    </xf>
    <xf numFmtId="0" fontId="65" fillId="0" borderId="0" applyFont="0" applyFill="0" applyBorder="0" applyAlignment="0" applyProtection="0"/>
    <xf numFmtId="26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60" fontId="67" fillId="0" borderId="0" applyFont="0" applyFill="0" applyBorder="0" applyAlignment="0" applyProtection="0"/>
    <xf numFmtId="40" fontId="1" fillId="0" borderId="0">
      <protection locked="0"/>
    </xf>
    <xf numFmtId="258" fontId="39" fillId="0" borderId="0">
      <protection locked="0"/>
    </xf>
    <xf numFmtId="0" fontId="63" fillId="0" borderId="0" applyFont="0" applyFill="0" applyBorder="0" applyAlignment="0" applyProtection="0"/>
    <xf numFmtId="0" fontId="63" fillId="0" borderId="0" applyFont="0" applyFill="0" applyBorder="0" applyAlignment="0" applyProtection="0"/>
    <xf numFmtId="0" fontId="18" fillId="0" borderId="0"/>
    <xf numFmtId="0" fontId="65" fillId="0" borderId="0"/>
    <xf numFmtId="0" fontId="68" fillId="0" borderId="0">
      <alignment horizontal="center" wrapText="1"/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9" fillId="0" borderId="0" applyFont="0" applyFill="0" applyBorder="0" applyAlignment="0" applyProtection="0"/>
    <xf numFmtId="203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60" fontId="14" fillId="0" borderId="0" applyFont="0" applyFill="0" applyBorder="0" applyAlignment="0" applyProtection="0"/>
    <xf numFmtId="0" fontId="65" fillId="0" borderId="0" applyFont="0" applyFill="0" applyBorder="0" applyAlignment="0" applyProtection="0"/>
    <xf numFmtId="179" fontId="66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179" fontId="67" fillId="0" borderId="0" applyFont="0" applyFill="0" applyBorder="0" applyAlignment="0" applyProtection="0"/>
    <xf numFmtId="58" fontId="14" fillId="0" borderId="0" applyFont="0" applyFill="0" applyBorder="0" applyAlignment="0" applyProtection="0"/>
    <xf numFmtId="179" fontId="22" fillId="0" borderId="0" applyFont="0" applyFill="0" applyBorder="0" applyAlignment="0" applyProtection="0"/>
    <xf numFmtId="0" fontId="22" fillId="2" borderId="0" applyBorder="0" applyAlignment="0" applyProtection="0"/>
    <xf numFmtId="0" fontId="14" fillId="0" borderId="0" applyFont="0" applyFill="0" applyBorder="0" applyAlignment="0" applyProtection="0">
      <alignment horizontal="right"/>
    </xf>
    <xf numFmtId="0" fontId="70" fillId="0" borderId="0"/>
    <xf numFmtId="0" fontId="71" fillId="0" borderId="0"/>
    <xf numFmtId="49" fontId="72" fillId="3" borderId="0" applyBorder="0">
      <alignment horizontal="right"/>
    </xf>
    <xf numFmtId="40" fontId="1" fillId="0" borderId="0">
      <protection locked="0"/>
    </xf>
    <xf numFmtId="40" fontId="1" fillId="0" borderId="0">
      <protection locked="0"/>
    </xf>
    <xf numFmtId="258" fontId="35" fillId="0" borderId="0">
      <protection locked="0"/>
    </xf>
    <xf numFmtId="0" fontId="73" fillId="0" borderId="0"/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74" fillId="0" borderId="0"/>
    <xf numFmtId="0" fontId="66" fillId="0" borderId="0"/>
    <xf numFmtId="0" fontId="75" fillId="0" borderId="0"/>
    <xf numFmtId="0" fontId="67" fillId="0" borderId="0"/>
    <xf numFmtId="0" fontId="73" fillId="0" borderId="0"/>
    <xf numFmtId="0" fontId="66" fillId="0" borderId="0"/>
    <xf numFmtId="0" fontId="65" fillId="0" borderId="0"/>
    <xf numFmtId="0" fontId="66" fillId="0" borderId="0"/>
    <xf numFmtId="0" fontId="65" fillId="0" borderId="0"/>
    <xf numFmtId="0" fontId="76" fillId="0" borderId="0"/>
    <xf numFmtId="0" fontId="14" fillId="0" borderId="0" applyFill="0" applyBorder="0" applyAlignment="0"/>
    <xf numFmtId="261" fontId="77" fillId="0" borderId="0" applyFill="0" applyBorder="0" applyAlignment="0"/>
    <xf numFmtId="262" fontId="77" fillId="0" borderId="0" applyFill="0" applyBorder="0" applyAlignment="0"/>
    <xf numFmtId="263" fontId="77" fillId="0" borderId="0" applyFill="0" applyBorder="0" applyAlignment="0"/>
    <xf numFmtId="264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0" fontId="78" fillId="0" borderId="0"/>
    <xf numFmtId="40" fontId="1" fillId="0" borderId="0">
      <protection locked="0"/>
    </xf>
    <xf numFmtId="258" fontId="35" fillId="0" borderId="0">
      <protection locked="0"/>
    </xf>
    <xf numFmtId="0" fontId="72" fillId="4" borderId="13">
      <alignment horizontal="center"/>
    </xf>
    <xf numFmtId="0" fontId="79" fillId="5" borderId="28" applyNumberFormat="0" applyBorder="0" applyAlignment="0">
      <alignment horizontal="left" wrapText="1"/>
    </xf>
    <xf numFmtId="267" fontId="14" fillId="0" borderId="0">
      <protection locked="0"/>
    </xf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186" fontId="25" fillId="0" borderId="0" applyFont="0" applyFill="0" applyBorder="0" applyAlignment="0" applyProtection="0"/>
    <xf numFmtId="265" fontId="14" fillId="0" borderId="0" applyFont="0" applyFill="0" applyBorder="0" applyAlignment="0" applyProtection="0"/>
    <xf numFmtId="268" fontId="14" fillId="0" borderId="0" applyFont="0" applyFill="0" applyBorder="0" applyAlignment="0" applyProtection="0"/>
    <xf numFmtId="269" fontId="14" fillId="0" borderId="0"/>
    <xf numFmtId="0" fontId="22" fillId="0" borderId="0" applyFont="0" applyFill="0" applyBorder="0" applyAlignment="0" applyProtection="0"/>
    <xf numFmtId="1" fontId="14" fillId="0" borderId="0" applyFont="0" applyFill="0" applyBorder="0" applyAlignment="0" applyProtection="0"/>
    <xf numFmtId="0" fontId="71" fillId="3" borderId="0"/>
    <xf numFmtId="0" fontId="81" fillId="3" borderId="0" applyNumberFormat="0" applyFill="0" applyBorder="0"/>
    <xf numFmtId="0" fontId="82" fillId="3" borderId="0" applyNumberFormat="0" applyFill="0" applyBorder="0"/>
    <xf numFmtId="0" fontId="83" fillId="3" borderId="0" applyNumberFormat="0" applyFill="0" applyBorder="0"/>
    <xf numFmtId="0" fontId="84" fillId="0" borderId="0" applyNumberFormat="0" applyAlignment="0">
      <alignment horizontal="left"/>
    </xf>
    <xf numFmtId="0" fontId="85" fillId="4" borderId="29" applyFont="0" applyBorder="0">
      <alignment horizontal="centerContinuous" vertical="center"/>
    </xf>
    <xf numFmtId="247" fontId="86" fillId="3" borderId="30" applyBorder="0"/>
    <xf numFmtId="0" fontId="24" fillId="0" borderId="0" applyFont="0" applyFill="0" applyBorder="0" applyAlignment="0" applyProtection="0"/>
    <xf numFmtId="267" fontId="14" fillId="0" borderId="0">
      <protection locked="0"/>
    </xf>
    <xf numFmtId="0" fontId="25" fillId="0" borderId="0" applyFont="0" applyFill="0" applyBorder="0" applyAlignment="0" applyProtection="0"/>
    <xf numFmtId="0" fontId="1" fillId="0" borderId="0" applyFont="0" applyFill="0" applyBorder="0" applyAlignment="0" applyProtection="0"/>
    <xf numFmtId="261" fontId="77" fillId="0" borderId="0" applyFont="0" applyFill="0" applyBorder="0" applyAlignment="0" applyProtection="0"/>
    <xf numFmtId="0" fontId="1" fillId="0" borderId="13" applyFill="0" applyBorder="0" applyAlignment="0"/>
    <xf numFmtId="270" fontId="14" fillId="0" borderId="0"/>
    <xf numFmtId="0" fontId="19" fillId="0" borderId="0" applyFont="0" applyFill="0" applyBorder="0" applyAlignment="0" applyProtection="0"/>
    <xf numFmtId="1" fontId="14" fillId="0" borderId="0" applyFont="0" applyFill="0" applyBorder="0" applyAlignment="0" applyProtection="0"/>
    <xf numFmtId="271" fontId="14" fillId="0" borderId="0"/>
    <xf numFmtId="0" fontId="22" fillId="0" borderId="0"/>
    <xf numFmtId="267" fontId="14" fillId="0" borderId="0">
      <protection locked="0"/>
    </xf>
    <xf numFmtId="14" fontId="23" fillId="0" borderId="0" applyFill="0" applyBorder="0" applyAlignment="0"/>
    <xf numFmtId="267" fontId="14" fillId="0" borderId="0">
      <protection locked="0"/>
    </xf>
    <xf numFmtId="41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6" borderId="31" applyBorder="0"/>
    <xf numFmtId="272" fontId="22" fillId="6" borderId="32" applyBorder="0">
      <alignment horizontal="center"/>
    </xf>
    <xf numFmtId="0" fontId="23" fillId="6" borderId="31" applyBorder="0"/>
    <xf numFmtId="273" fontId="14" fillId="0" borderId="0"/>
    <xf numFmtId="274" fontId="33" fillId="0" borderId="13">
      <alignment vertical="center"/>
    </xf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0" fontId="87" fillId="0" borderId="0" applyNumberFormat="0" applyAlignment="0">
      <alignment horizontal="left"/>
    </xf>
    <xf numFmtId="275" fontId="58" fillId="0" borderId="0" applyFont="0" applyFill="0" applyBorder="0" applyAlignment="0" applyProtection="0"/>
    <xf numFmtId="0" fontId="39" fillId="0" borderId="0">
      <protection locked="0"/>
    </xf>
    <xf numFmtId="0" fontId="39" fillId="0" borderId="0">
      <protection locked="0"/>
    </xf>
    <xf numFmtId="0" fontId="88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88" fillId="0" borderId="0">
      <protection locked="0"/>
    </xf>
    <xf numFmtId="0" fontId="86" fillId="3" borderId="0"/>
    <xf numFmtId="267" fontId="14" fillId="0" borderId="0"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38" fontId="86" fillId="3" borderId="0" applyNumberFormat="0" applyBorder="0" applyAlignment="0" applyProtection="0"/>
    <xf numFmtId="3" fontId="31" fillId="0" borderId="11">
      <alignment horizontal="right" vertical="center"/>
    </xf>
    <xf numFmtId="4" fontId="31" fillId="0" borderId="11">
      <alignment horizontal="right" vertical="center"/>
    </xf>
    <xf numFmtId="0" fontId="90" fillId="0" borderId="0" applyAlignment="0">
      <alignment horizontal="right"/>
    </xf>
    <xf numFmtId="0" fontId="91" fillId="0" borderId="0"/>
    <xf numFmtId="0" fontId="92" fillId="0" borderId="0"/>
    <xf numFmtId="0" fontId="93" fillId="0" borderId="0">
      <alignment horizontal="left"/>
    </xf>
    <xf numFmtId="0" fontId="94" fillId="0" borderId="33" applyNumberFormat="0" applyAlignment="0" applyProtection="0">
      <alignment horizontal="left" vertical="center"/>
    </xf>
    <xf numFmtId="0" fontId="94" fillId="0" borderId="34">
      <alignment horizontal="left" vertical="center"/>
    </xf>
    <xf numFmtId="0" fontId="95" fillId="7" borderId="22" applyBorder="0" applyAlignment="0"/>
    <xf numFmtId="0" fontId="96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7" fillId="3" borderId="0" applyNumberFormat="0" applyFill="0" applyBorder="0"/>
    <xf numFmtId="0" fontId="94" fillId="7" borderId="22" applyBorder="0" applyAlignment="0"/>
    <xf numFmtId="267" fontId="14" fillId="0" borderId="0">
      <protection locked="0"/>
    </xf>
    <xf numFmtId="267" fontId="14" fillId="0" borderId="0">
      <protection locked="0"/>
    </xf>
    <xf numFmtId="12" fontId="22" fillId="2" borderId="35" applyNumberFormat="0" applyBorder="0" applyAlignment="0" applyProtection="0">
      <alignment horizontal="center"/>
    </xf>
    <xf numFmtId="0" fontId="98" fillId="0" borderId="0" applyNumberForma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22" fillId="8" borderId="36" applyBorder="0">
      <protection locked="0"/>
    </xf>
    <xf numFmtId="10" fontId="86" fillId="6" borderId="13" applyNumberFormat="0" applyBorder="0" applyAlignment="0" applyProtection="0"/>
    <xf numFmtId="272" fontId="22" fillId="8" borderId="37" applyBorder="0">
      <alignment horizontal="center"/>
      <protection locked="0"/>
    </xf>
    <xf numFmtId="12" fontId="22" fillId="8" borderId="37" applyBorder="0">
      <alignment horizontal="center"/>
      <protection locked="0"/>
    </xf>
    <xf numFmtId="0" fontId="91" fillId="8" borderId="38">
      <alignment horizontal="center" vertical="center"/>
      <protection locked="0"/>
    </xf>
    <xf numFmtId="0" fontId="23" fillId="8" borderId="36" applyBorder="0">
      <protection locked="0"/>
    </xf>
    <xf numFmtId="247" fontId="86" fillId="6" borderId="0" applyBorder="0">
      <protection locked="0"/>
    </xf>
    <xf numFmtId="15" fontId="86" fillId="6" borderId="0" applyBorder="0">
      <protection locked="0"/>
    </xf>
    <xf numFmtId="49" fontId="86" fillId="6" borderId="0" applyBorder="0">
      <protection locked="0"/>
    </xf>
    <xf numFmtId="49" fontId="86" fillId="6" borderId="17" applyNumberFormat="0" applyBorder="0"/>
    <xf numFmtId="0" fontId="71" fillId="6" borderId="37" applyBorder="0">
      <alignment horizontal="left"/>
    </xf>
    <xf numFmtId="0" fontId="71" fillId="8" borderId="0">
      <alignment horizontal="left"/>
    </xf>
    <xf numFmtId="0" fontId="16" fillId="6" borderId="37" applyBorder="0">
      <alignment horizontal="left"/>
    </xf>
    <xf numFmtId="276" fontId="33" fillId="0" borderId="13">
      <alignment vertical="center"/>
    </xf>
    <xf numFmtId="277" fontId="33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0" fontId="14" fillId="0" borderId="16">
      <protection locked="0"/>
    </xf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279" fontId="33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3" fontId="33" fillId="0" borderId="13">
      <alignment vertical="center"/>
    </xf>
    <xf numFmtId="284" fontId="33" fillId="0" borderId="13">
      <alignment vertical="center"/>
    </xf>
    <xf numFmtId="201" fontId="100" fillId="0" borderId="0">
      <alignment horizontal="left"/>
    </xf>
    <xf numFmtId="41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16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37" fontId="101" fillId="0" borderId="0"/>
    <xf numFmtId="0" fontId="17" fillId="0" borderId="39" applyNumberFormat="0" applyFont="0" applyBorder="0" applyProtection="0">
      <alignment horizontal="center" vertical="center"/>
    </xf>
    <xf numFmtId="0" fontId="22" fillId="0" borderId="0" applyNumberFormat="0" applyFill="0" applyBorder="0" applyAlignment="0" applyProtection="0"/>
    <xf numFmtId="0" fontId="1" fillId="0" borderId="0"/>
    <xf numFmtId="285" fontId="14" fillId="0" borderId="0"/>
    <xf numFmtId="0" fontId="22" fillId="0" borderId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/>
    <xf numFmtId="179" fontId="44" fillId="0" borderId="0">
      <alignment vertical="center"/>
    </xf>
    <xf numFmtId="286" fontId="91" fillId="6" borderId="38">
      <alignment horizontal="center"/>
    </xf>
    <xf numFmtId="0" fontId="22" fillId="3" borderId="37" applyBorder="0">
      <alignment horizontal="center"/>
      <protection locked="0"/>
    </xf>
    <xf numFmtId="267" fontId="14" fillId="0" borderId="0">
      <protection locked="0"/>
    </xf>
    <xf numFmtId="264" fontId="77" fillId="0" borderId="0" applyFont="0" applyFill="0" applyBorder="0" applyAlignment="0" applyProtection="0"/>
    <xf numFmtId="287" fontId="77" fillId="0" borderId="0" applyFont="0" applyFill="0" applyBorder="0" applyAlignment="0" applyProtection="0"/>
    <xf numFmtId="10" fontId="22" fillId="0" borderId="0" applyFont="0" applyFill="0" applyBorder="0" applyAlignment="0" applyProtection="0"/>
    <xf numFmtId="288" fontId="77" fillId="0" borderId="0" applyFont="0" applyFill="0" applyBorder="0" applyAlignment="0" applyProtection="0"/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289" fontId="102" fillId="0" borderId="0"/>
    <xf numFmtId="0" fontId="100" fillId="3" borderId="0"/>
    <xf numFmtId="0" fontId="16" fillId="0" borderId="0"/>
    <xf numFmtId="0" fontId="103" fillId="3" borderId="0"/>
    <xf numFmtId="0" fontId="25" fillId="0" borderId="0"/>
    <xf numFmtId="286" fontId="22" fillId="0" borderId="0"/>
    <xf numFmtId="30" fontId="104" fillId="0" borderId="0" applyNumberFormat="0" applyFill="0" applyBorder="0" applyAlignment="0" applyProtection="0">
      <alignment horizontal="left"/>
    </xf>
    <xf numFmtId="49" fontId="105" fillId="3" borderId="0" applyBorder="0">
      <alignment horizontal="centerContinuous"/>
    </xf>
    <xf numFmtId="179" fontId="22" fillId="0" borderId="0" applyFont="0" applyFill="0" applyBorder="0" applyAlignment="0" applyProtection="0"/>
    <xf numFmtId="0" fontId="1" fillId="0" borderId="0"/>
    <xf numFmtId="0" fontId="22" fillId="9" borderId="0"/>
    <xf numFmtId="0" fontId="27" fillId="0" borderId="0"/>
    <xf numFmtId="0" fontId="106" fillId="3" borderId="0" applyProtection="0">
      <alignment horizontal="centerContinuous" vertical="center"/>
      <protection hidden="1"/>
    </xf>
    <xf numFmtId="40" fontId="107" fillId="0" borderId="0" applyBorder="0">
      <alignment horizontal="right"/>
    </xf>
    <xf numFmtId="0" fontId="22" fillId="3" borderId="37" applyBorder="0">
      <alignment horizontal="center"/>
    </xf>
    <xf numFmtId="0" fontId="22" fillId="3" borderId="37" applyBorder="0">
      <alignment horizontal="center"/>
    </xf>
    <xf numFmtId="290" fontId="108" fillId="0" borderId="0">
      <alignment horizontal="center"/>
    </xf>
    <xf numFmtId="49" fontId="23" fillId="0" borderId="0" applyFill="0" applyBorder="0" applyAlignment="0"/>
    <xf numFmtId="288" fontId="77" fillId="0" borderId="0" applyFill="0" applyBorder="0" applyAlignment="0"/>
    <xf numFmtId="291" fontId="77" fillId="0" borderId="0" applyFill="0" applyBorder="0" applyAlignment="0"/>
    <xf numFmtId="0" fontId="109" fillId="3" borderId="0">
      <alignment horizontal="centerContinuous"/>
    </xf>
    <xf numFmtId="0" fontId="110" fillId="0" borderId="0" applyFill="0" applyBorder="0" applyProtection="0">
      <alignment horizontal="centerContinuous" vertical="center"/>
    </xf>
    <xf numFmtId="0" fontId="19" fillId="2" borderId="0" applyFill="0" applyBorder="0" applyProtection="0">
      <alignment horizontal="center" vertical="center"/>
    </xf>
    <xf numFmtId="49" fontId="48" fillId="0" borderId="0" applyBorder="0">
      <alignment horizontal="right"/>
    </xf>
    <xf numFmtId="292" fontId="33" fillId="0" borderId="13">
      <alignment vertical="center"/>
    </xf>
    <xf numFmtId="267" fontId="14" fillId="0" borderId="40">
      <protection locked="0"/>
    </xf>
    <xf numFmtId="247" fontId="72" fillId="3" borderId="0"/>
    <xf numFmtId="49" fontId="111" fillId="3" borderId="0" applyBorder="0">
      <alignment horizontal="right"/>
    </xf>
    <xf numFmtId="0" fontId="9" fillId="0" borderId="18">
      <alignment horizontal="left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12" fillId="0" borderId="0" applyNumberFormat="0" applyFill="0" applyBorder="0" applyAlignment="0" applyProtection="0"/>
    <xf numFmtId="41" fontId="14" fillId="0" borderId="0" applyFont="0" applyFill="0" applyBorder="0" applyAlignment="0" applyProtection="0"/>
    <xf numFmtId="42" fontId="14" fillId="0" borderId="0" applyFont="0" applyFill="0" applyBorder="0" applyAlignment="0" applyProtection="0"/>
    <xf numFmtId="0" fontId="1" fillId="0" borderId="0"/>
    <xf numFmtId="203" fontId="1" fillId="0" borderId="0" applyFont="0" applyFill="0" applyBorder="0" applyAlignment="0" applyProtection="0"/>
    <xf numFmtId="0" fontId="14" fillId="0" borderId="0">
      <alignment vertical="center"/>
    </xf>
    <xf numFmtId="0" fontId="14" fillId="0" borderId="0"/>
    <xf numFmtId="41" fontId="14" fillId="0" borderId="0" applyFont="0" applyFill="0" applyBorder="0" applyAlignment="0" applyProtection="0"/>
    <xf numFmtId="0" fontId="127" fillId="0" borderId="0">
      <alignment vertical="center"/>
    </xf>
    <xf numFmtId="0" fontId="14" fillId="0" borderId="0"/>
    <xf numFmtId="0" fontId="14" fillId="0" borderId="0"/>
    <xf numFmtId="0" fontId="127" fillId="0" borderId="0">
      <alignment vertical="center"/>
    </xf>
    <xf numFmtId="0" fontId="138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37" fillId="0" borderId="0">
      <alignment vertical="center"/>
    </xf>
    <xf numFmtId="0" fontId="14" fillId="0" borderId="0">
      <alignment vertical="center"/>
    </xf>
    <xf numFmtId="0" fontId="54" fillId="0" borderId="0">
      <alignment vertical="center"/>
    </xf>
  </cellStyleXfs>
  <cellXfs count="561">
    <xf numFmtId="0" fontId="0" fillId="0" borderId="0" xfId="0">
      <alignment vertical="center"/>
    </xf>
    <xf numFmtId="0" fontId="2" fillId="0" borderId="0" xfId="2" applyFont="1" applyAlignment="1">
      <alignment vertical="center"/>
    </xf>
    <xf numFmtId="0" fontId="4" fillId="0" borderId="0" xfId="2" applyFont="1" applyAlignment="1">
      <alignment horizontal="left" vertical="center"/>
    </xf>
    <xf numFmtId="0" fontId="2" fillId="0" borderId="0" xfId="2" applyFont="1" applyAlignment="1">
      <alignment horizontal="distributed" vertical="center" indent="7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15" fillId="0" borderId="0" xfId="2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5" fillId="0" borderId="0" xfId="2" applyFont="1" applyAlignment="1">
      <alignment horizontal="left" vertical="center"/>
    </xf>
    <xf numFmtId="177" fontId="7" fillId="0" borderId="0" xfId="2" applyNumberFormat="1" applyFont="1" applyAlignment="1">
      <alignment horizontal="center" vertical="center"/>
    </xf>
    <xf numFmtId="0" fontId="113" fillId="0" borderId="0" xfId="2" applyFont="1"/>
    <xf numFmtId="0" fontId="115" fillId="0" borderId="0" xfId="2" applyFont="1"/>
    <xf numFmtId="0" fontId="24" fillId="0" borderId="0" xfId="2" applyFont="1"/>
    <xf numFmtId="0" fontId="116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49" fontId="24" fillId="0" borderId="0" xfId="2" applyNumberFormat="1" applyFont="1" applyAlignment="1">
      <alignment horizontal="right" vertical="center"/>
    </xf>
    <xf numFmtId="0" fontId="24" fillId="0" borderId="0" xfId="2" quotePrefix="1" applyFont="1" applyAlignment="1">
      <alignment vertical="center"/>
    </xf>
    <xf numFmtId="0" fontId="116" fillId="10" borderId="45" xfId="2" applyFont="1" applyFill="1" applyBorder="1" applyAlignment="1">
      <alignment horizontal="center" vertical="center"/>
    </xf>
    <xf numFmtId="10" fontId="24" fillId="0" borderId="0" xfId="2" applyNumberFormat="1" applyFont="1"/>
    <xf numFmtId="0" fontId="24" fillId="0" borderId="46" xfId="2" applyFont="1" applyBorder="1" applyAlignment="1">
      <alignment horizontal="centerContinuous" vertical="center"/>
    </xf>
    <xf numFmtId="0" fontId="64" fillId="0" borderId="47" xfId="2" applyFont="1" applyBorder="1" applyAlignment="1">
      <alignment vertical="center"/>
    </xf>
    <xf numFmtId="0" fontId="24" fillId="0" borderId="25" xfId="2" applyFont="1" applyBorder="1" applyAlignment="1">
      <alignment vertical="center"/>
    </xf>
    <xf numFmtId="0" fontId="24" fillId="0" borderId="14" xfId="2" applyFont="1" applyBorder="1" applyAlignment="1">
      <alignment vertical="center"/>
    </xf>
    <xf numFmtId="0" fontId="118" fillId="0" borderId="14" xfId="2" applyFont="1" applyBorder="1" applyAlignment="1">
      <alignment horizontal="center" vertical="center"/>
    </xf>
    <xf numFmtId="203" fontId="64" fillId="0" borderId="14" xfId="2014" applyFont="1" applyBorder="1" applyAlignment="1">
      <alignment vertical="center"/>
    </xf>
    <xf numFmtId="203" fontId="24" fillId="0" borderId="14" xfId="2014" applyFont="1" applyBorder="1" applyAlignment="1">
      <alignment vertical="center"/>
    </xf>
    <xf numFmtId="203" fontId="24" fillId="0" borderId="13" xfId="2014" applyFont="1" applyBorder="1" applyAlignment="1">
      <alignment vertical="center"/>
    </xf>
    <xf numFmtId="0" fontId="118" fillId="0" borderId="48" xfId="2" applyFont="1" applyBorder="1" applyAlignment="1">
      <alignment horizontal="center"/>
    </xf>
    <xf numFmtId="0" fontId="24" fillId="0" borderId="49" xfId="2" applyFont="1" applyBorder="1" applyAlignment="1">
      <alignment horizontal="centerContinuous" vertical="center"/>
    </xf>
    <xf numFmtId="0" fontId="24" fillId="0" borderId="16" xfId="2" applyFont="1" applyBorder="1" applyAlignment="1">
      <alignment horizontal="centerContinuous" vertical="center"/>
    </xf>
    <xf numFmtId="0" fontId="24" fillId="0" borderId="50" xfId="2" applyFont="1" applyBorder="1" applyAlignment="1">
      <alignment horizontal="centerContinuous" vertical="center"/>
    </xf>
    <xf numFmtId="0" fontId="24" fillId="0" borderId="50" xfId="2" applyFont="1" applyBorder="1" applyAlignment="1">
      <alignment horizontal="center" vertical="center"/>
    </xf>
    <xf numFmtId="0" fontId="24" fillId="0" borderId="50" xfId="2" applyFont="1" applyBorder="1" applyAlignment="1">
      <alignment vertical="center"/>
    </xf>
    <xf numFmtId="0" fontId="24" fillId="0" borderId="52" xfId="2" applyFont="1" applyBorder="1"/>
    <xf numFmtId="0" fontId="24" fillId="0" borderId="0" xfId="2" applyFont="1" applyAlignment="1">
      <alignment horizontal="centerContinuous" vertical="center"/>
    </xf>
    <xf numFmtId="0" fontId="24" fillId="0" borderId="0" xfId="2" applyFont="1" applyAlignment="1">
      <alignment horizontal="center" vertical="center"/>
    </xf>
    <xf numFmtId="203" fontId="24" fillId="0" borderId="0" xfId="2" applyNumberFormat="1" applyFont="1" applyAlignment="1">
      <alignment vertical="center"/>
    </xf>
    <xf numFmtId="0" fontId="116" fillId="0" borderId="41" xfId="2" applyFont="1" applyBorder="1" applyAlignment="1">
      <alignment horizontal="centerContinuous" vertical="center"/>
    </xf>
    <xf numFmtId="0" fontId="116" fillId="0" borderId="42" xfId="2" applyFont="1" applyBorder="1" applyAlignment="1">
      <alignment horizontal="centerContinuous" vertical="center"/>
    </xf>
    <xf numFmtId="0" fontId="116" fillId="0" borderId="43" xfId="2" applyFont="1" applyBorder="1" applyAlignment="1">
      <alignment horizontal="centerContinuous" vertical="center"/>
    </xf>
    <xf numFmtId="0" fontId="116" fillId="0" borderId="44" xfId="2" applyFont="1" applyBorder="1" applyAlignment="1">
      <alignment horizontal="centerContinuous" vertical="center"/>
    </xf>
    <xf numFmtId="0" fontId="116" fillId="0" borderId="45" xfId="2" applyFont="1" applyBorder="1" applyAlignment="1">
      <alignment horizontal="center" vertical="center"/>
    </xf>
    <xf numFmtId="203" fontId="24" fillId="0" borderId="0" xfId="2014" applyFont="1" applyFill="1"/>
    <xf numFmtId="0" fontId="24" fillId="0" borderId="53" xfId="2" applyFont="1" applyBorder="1" applyAlignment="1">
      <alignment vertical="center"/>
    </xf>
    <xf numFmtId="0" fontId="24" fillId="0" borderId="34" xfId="2" applyFont="1" applyBorder="1" applyAlignment="1">
      <alignment vertical="center"/>
    </xf>
    <xf numFmtId="0" fontId="24" fillId="0" borderId="17" xfId="2" applyFont="1" applyBorder="1" applyAlignment="1">
      <alignment vertical="center"/>
    </xf>
    <xf numFmtId="41" fontId="24" fillId="0" borderId="17" xfId="1" applyFont="1" applyBorder="1" applyAlignment="1">
      <alignment vertical="center"/>
    </xf>
    <xf numFmtId="41" fontId="24" fillId="0" borderId="13" xfId="2" applyNumberFormat="1" applyFont="1" applyBorder="1" applyAlignment="1">
      <alignment vertical="center"/>
    </xf>
    <xf numFmtId="0" fontId="24" fillId="0" borderId="48" xfId="2" applyFont="1" applyBorder="1"/>
    <xf numFmtId="203" fontId="24" fillId="0" borderId="0" xfId="2014" applyFont="1"/>
    <xf numFmtId="0" fontId="24" fillId="0" borderId="54" xfId="2" applyFont="1" applyBorder="1" applyAlignment="1">
      <alignment horizontal="centerContinuous" vertical="center"/>
    </xf>
    <xf numFmtId="0" fontId="24" fillId="0" borderId="14" xfId="2" applyFont="1" applyBorder="1" applyAlignment="1">
      <alignment horizontal="centerContinuous" vertical="center"/>
    </xf>
    <xf numFmtId="203" fontId="24" fillId="0" borderId="53" xfId="2014" applyFont="1" applyBorder="1"/>
    <xf numFmtId="0" fontId="24" fillId="0" borderId="55" xfId="2" applyFont="1" applyBorder="1" applyAlignment="1">
      <alignment vertical="center"/>
    </xf>
    <xf numFmtId="0" fontId="24" fillId="0" borderId="20" xfId="2" applyFont="1" applyBorder="1" applyAlignment="1">
      <alignment vertical="center"/>
    </xf>
    <xf numFmtId="0" fontId="24" fillId="0" borderId="17" xfId="2" applyFont="1" applyBorder="1" applyAlignment="1">
      <alignment horizontal="centerContinuous" vertical="center"/>
    </xf>
    <xf numFmtId="203" fontId="24" fillId="0" borderId="17" xfId="2014" applyFont="1" applyBorder="1" applyAlignment="1">
      <alignment vertical="center"/>
    </xf>
    <xf numFmtId="0" fontId="24" fillId="0" borderId="13" xfId="2" applyFont="1" applyBorder="1" applyAlignment="1">
      <alignment horizontal="centerContinuous" vertical="center"/>
    </xf>
    <xf numFmtId="0" fontId="24" fillId="0" borderId="13" xfId="2" applyFont="1" applyBorder="1" applyAlignment="1">
      <alignment vertical="center"/>
    </xf>
    <xf numFmtId="0" fontId="31" fillId="0" borderId="0" xfId="2" applyFont="1"/>
    <xf numFmtId="0" fontId="24" fillId="0" borderId="56" xfId="2" applyFont="1" applyBorder="1" applyAlignment="1">
      <alignment vertical="center"/>
    </xf>
    <xf numFmtId="0" fontId="24" fillId="0" borderId="57" xfId="2" applyFont="1" applyBorder="1" applyAlignment="1">
      <alignment horizontal="centerContinuous" vertical="center"/>
    </xf>
    <xf numFmtId="0" fontId="24" fillId="0" borderId="58" xfId="2" applyFont="1" applyBorder="1" applyAlignment="1">
      <alignment horizontal="centerContinuous" vertical="center"/>
    </xf>
    <xf numFmtId="0" fontId="24" fillId="0" borderId="59" xfId="2" applyFont="1" applyBorder="1" applyAlignment="1">
      <alignment horizontal="centerContinuous" vertical="center"/>
    </xf>
    <xf numFmtId="0" fontId="24" fillId="0" borderId="51" xfId="2" applyFont="1" applyBorder="1" applyAlignment="1">
      <alignment vertical="center"/>
    </xf>
    <xf numFmtId="203" fontId="24" fillId="0" borderId="51" xfId="2014" applyFont="1" applyFill="1" applyBorder="1" applyAlignment="1">
      <alignment vertical="center"/>
    </xf>
    <xf numFmtId="203" fontId="24" fillId="0" borderId="51" xfId="2" applyNumberFormat="1" applyFont="1" applyBorder="1" applyAlignment="1">
      <alignment vertical="center"/>
    </xf>
    <xf numFmtId="203" fontId="24" fillId="0" borderId="0" xfId="2014" applyFont="1" applyBorder="1" applyAlignment="1">
      <alignment vertical="center"/>
    </xf>
    <xf numFmtId="0" fontId="116" fillId="0" borderId="41" xfId="2" applyFont="1" applyBorder="1" applyAlignment="1">
      <alignment vertical="center"/>
    </xf>
    <xf numFmtId="0" fontId="116" fillId="0" borderId="60" xfId="2" applyFont="1" applyBorder="1" applyAlignment="1">
      <alignment vertical="center"/>
    </xf>
    <xf numFmtId="0" fontId="24" fillId="0" borderId="60" xfId="2" applyFont="1" applyBorder="1" applyAlignment="1">
      <alignment vertical="center"/>
    </xf>
    <xf numFmtId="0" fontId="116" fillId="0" borderId="61" xfId="2" applyFont="1" applyBorder="1" applyAlignment="1">
      <alignment horizontal="centerContinuous" vertical="center"/>
    </xf>
    <xf numFmtId="1" fontId="24" fillId="0" borderId="54" xfId="2" applyNumberFormat="1" applyFont="1" applyBorder="1" applyAlignment="1">
      <alignment horizontal="centerContinuous" vertical="center"/>
    </xf>
    <xf numFmtId="203" fontId="24" fillId="0" borderId="13" xfId="2014" applyFont="1" applyBorder="1" applyAlignment="1">
      <alignment horizontal="right" vertical="center"/>
    </xf>
    <xf numFmtId="0" fontId="24" fillId="0" borderId="13" xfId="2" applyFont="1" applyBorder="1" applyAlignment="1">
      <alignment horizontal="right" vertical="center"/>
    </xf>
    <xf numFmtId="0" fontId="24" fillId="0" borderId="49" xfId="2" applyFont="1" applyBorder="1" applyAlignment="1">
      <alignment vertical="center"/>
    </xf>
    <xf numFmtId="0" fontId="116" fillId="0" borderId="16" xfId="2" applyFont="1" applyBorder="1" applyAlignment="1">
      <alignment vertical="center"/>
    </xf>
    <xf numFmtId="0" fontId="24" fillId="0" borderId="58" xfId="2" applyFont="1" applyBorder="1" applyAlignment="1">
      <alignment vertical="center"/>
    </xf>
    <xf numFmtId="0" fontId="24" fillId="0" borderId="16" xfId="2" applyFont="1" applyBorder="1" applyAlignment="1">
      <alignment vertical="center"/>
    </xf>
    <xf numFmtId="0" fontId="24" fillId="0" borderId="51" xfId="2" applyFont="1" applyBorder="1" applyAlignment="1">
      <alignment horizontal="centerContinuous" vertical="center"/>
    </xf>
    <xf numFmtId="203" fontId="24" fillId="0" borderId="51" xfId="2" applyNumberFormat="1" applyFont="1" applyBorder="1" applyAlignment="1">
      <alignment horizontal="right" vertical="center"/>
    </xf>
    <xf numFmtId="203" fontId="24" fillId="0" borderId="0" xfId="2" applyNumberFormat="1" applyFont="1" applyAlignment="1">
      <alignment horizontal="right" vertical="center"/>
    </xf>
    <xf numFmtId="0" fontId="116" fillId="0" borderId="0" xfId="2" applyFont="1" applyAlignment="1">
      <alignment horizontal="centerContinuous" vertical="center"/>
    </xf>
    <xf numFmtId="0" fontId="116" fillId="10" borderId="41" xfId="2" applyFont="1" applyFill="1" applyBorder="1" applyAlignment="1">
      <alignment horizontal="centerContinuous" vertical="center"/>
    </xf>
    <xf numFmtId="203" fontId="116" fillId="10" borderId="42" xfId="2014" applyFont="1" applyFill="1" applyBorder="1" applyAlignment="1">
      <alignment horizontal="centerContinuous" vertical="center"/>
    </xf>
    <xf numFmtId="0" fontId="116" fillId="10" borderId="42" xfId="2" applyFont="1" applyFill="1" applyBorder="1" applyAlignment="1">
      <alignment horizontal="centerContinuous" vertical="center"/>
    </xf>
    <xf numFmtId="0" fontId="24" fillId="10" borderId="60" xfId="2" applyFont="1" applyFill="1" applyBorder="1" applyAlignment="1">
      <alignment vertical="center"/>
    </xf>
    <xf numFmtId="0" fontId="116" fillId="10" borderId="43" xfId="2" applyFont="1" applyFill="1" applyBorder="1" applyAlignment="1">
      <alignment horizontal="centerContinuous" vertical="center"/>
    </xf>
    <xf numFmtId="0" fontId="116" fillId="10" borderId="44" xfId="2" applyFont="1" applyFill="1" applyBorder="1" applyAlignment="1">
      <alignment horizontal="centerContinuous" vertical="center"/>
    </xf>
    <xf numFmtId="0" fontId="24" fillId="0" borderId="62" xfId="2" applyFont="1" applyBorder="1" applyAlignment="1">
      <alignment horizontal="centerContinuous" vertical="center"/>
    </xf>
    <xf numFmtId="0" fontId="24" fillId="0" borderId="63" xfId="2" applyFont="1" applyBorder="1" applyAlignment="1">
      <alignment vertical="center"/>
    </xf>
    <xf numFmtId="0" fontId="24" fillId="0" borderId="30" xfId="2" applyFont="1" applyBorder="1" applyAlignment="1">
      <alignment vertical="center"/>
    </xf>
    <xf numFmtId="0" fontId="24" fillId="0" borderId="13" xfId="2" applyFont="1" applyBorder="1" applyAlignment="1">
      <alignment horizontal="center" vertical="center"/>
    </xf>
    <xf numFmtId="0" fontId="116" fillId="0" borderId="34" xfId="2" applyFont="1" applyBorder="1" applyAlignment="1">
      <alignment vertical="center"/>
    </xf>
    <xf numFmtId="0" fontId="24" fillId="0" borderId="55" xfId="2" quotePrefix="1" applyFont="1" applyBorder="1" applyAlignment="1">
      <alignment horizontal="left" vertical="center"/>
    </xf>
    <xf numFmtId="0" fontId="116" fillId="0" borderId="25" xfId="2" applyFont="1" applyBorder="1" applyAlignment="1">
      <alignment vertical="center"/>
    </xf>
    <xf numFmtId="0" fontId="24" fillId="0" borderId="34" xfId="2" applyFont="1" applyBorder="1" applyAlignment="1">
      <alignment horizontal="center" vertical="center"/>
    </xf>
    <xf numFmtId="0" fontId="24" fillId="0" borderId="64" xfId="2" applyFont="1" applyBorder="1" applyAlignment="1">
      <alignment horizontal="centerContinuous" vertical="center"/>
    </xf>
    <xf numFmtId="0" fontId="1" fillId="0" borderId="0" xfId="2"/>
    <xf numFmtId="0" fontId="118" fillId="0" borderId="15" xfId="2" quotePrefix="1" applyFont="1" applyBorder="1" applyAlignment="1">
      <alignment horizontal="left" vertical="center"/>
    </xf>
    <xf numFmtId="0" fontId="116" fillId="0" borderId="65" xfId="2" applyFont="1" applyBorder="1" applyAlignment="1">
      <alignment horizontal="centerContinuous" vertical="center"/>
    </xf>
    <xf numFmtId="0" fontId="116" fillId="0" borderId="58" xfId="2" applyFont="1" applyBorder="1" applyAlignment="1">
      <alignment horizontal="centerContinuous" vertical="center"/>
    </xf>
    <xf numFmtId="0" fontId="116" fillId="0" borderId="59" xfId="2" applyFont="1" applyBorder="1" applyAlignment="1">
      <alignment horizontal="centerContinuous" vertical="center"/>
    </xf>
    <xf numFmtId="0" fontId="24" fillId="0" borderId="51" xfId="2" applyFont="1" applyBorder="1" applyAlignment="1">
      <alignment horizontal="center" vertical="center"/>
    </xf>
    <xf numFmtId="203" fontId="24" fillId="10" borderId="51" xfId="2014" applyFont="1" applyFill="1" applyBorder="1" applyAlignment="1">
      <alignment horizontal="right" vertical="center"/>
    </xf>
    <xf numFmtId="203" fontId="24" fillId="2" borderId="0" xfId="2014" applyFont="1" applyFill="1" applyBorder="1" applyAlignment="1">
      <alignment horizontal="right" vertical="center"/>
    </xf>
    <xf numFmtId="0" fontId="24" fillId="10" borderId="42" xfId="2" applyFont="1" applyFill="1" applyBorder="1" applyAlignment="1">
      <alignment vertical="center"/>
    </xf>
    <xf numFmtId="0" fontId="24" fillId="0" borderId="54" xfId="2" applyFont="1" applyBorder="1" applyAlignment="1">
      <alignment vertical="center"/>
    </xf>
    <xf numFmtId="0" fontId="64" fillId="0" borderId="34" xfId="2" applyFont="1" applyBorder="1" applyAlignment="1">
      <alignment vertical="center"/>
    </xf>
    <xf numFmtId="203" fontId="24" fillId="0" borderId="13" xfId="2014" applyFont="1" applyBorder="1" applyAlignment="1">
      <alignment horizontal="center" vertical="center"/>
    </xf>
    <xf numFmtId="0" fontId="24" fillId="0" borderId="65" xfId="2" applyFont="1" applyBorder="1" applyAlignment="1">
      <alignment vertical="center"/>
    </xf>
    <xf numFmtId="0" fontId="116" fillId="0" borderId="58" xfId="2" applyFont="1" applyBorder="1" applyAlignment="1">
      <alignment horizontal="center" vertical="center"/>
    </xf>
    <xf numFmtId="203" fontId="24" fillId="0" borderId="51" xfId="2014" applyFont="1" applyBorder="1" applyAlignment="1">
      <alignment vertical="center"/>
    </xf>
    <xf numFmtId="203" fontId="24" fillId="6" borderId="51" xfId="2014" applyFont="1" applyFill="1" applyBorder="1" applyAlignment="1">
      <alignment vertical="center"/>
    </xf>
    <xf numFmtId="0" fontId="116" fillId="0" borderId="42" xfId="2" quotePrefix="1" applyFont="1" applyBorder="1" applyAlignment="1">
      <alignment horizontal="left" vertical="center"/>
    </xf>
    <xf numFmtId="0" fontId="116" fillId="0" borderId="42" xfId="2" applyFont="1" applyBorder="1" applyAlignment="1">
      <alignment vertical="center"/>
    </xf>
    <xf numFmtId="0" fontId="116" fillId="0" borderId="43" xfId="2" applyFont="1" applyBorder="1" applyAlignment="1">
      <alignment vertical="center"/>
    </xf>
    <xf numFmtId="0" fontId="116" fillId="0" borderId="44" xfId="2" applyFont="1" applyBorder="1" applyAlignment="1">
      <alignment horizontal="center" vertical="center"/>
    </xf>
    <xf numFmtId="0" fontId="24" fillId="0" borderId="65" xfId="2" applyFont="1" applyBorder="1" applyAlignment="1">
      <alignment horizontal="centerContinuous" vertical="center"/>
    </xf>
    <xf numFmtId="0" fontId="116" fillId="10" borderId="41" xfId="2" applyFont="1" applyFill="1" applyBorder="1" applyAlignment="1">
      <alignment horizontal="center" vertical="center"/>
    </xf>
    <xf numFmtId="0" fontId="116" fillId="10" borderId="42" xfId="2" applyFont="1" applyFill="1" applyBorder="1" applyAlignment="1">
      <alignment horizontal="center" vertical="center"/>
    </xf>
    <xf numFmtId="0" fontId="116" fillId="10" borderId="42" xfId="2" quotePrefix="1" applyFont="1" applyFill="1" applyBorder="1" applyAlignment="1">
      <alignment horizontal="center" vertical="center"/>
    </xf>
    <xf numFmtId="0" fontId="116" fillId="10" borderId="60" xfId="2" applyFont="1" applyFill="1" applyBorder="1" applyAlignment="1">
      <alignment vertical="center"/>
    </xf>
    <xf numFmtId="0" fontId="116" fillId="10" borderId="43" xfId="2" applyFont="1" applyFill="1" applyBorder="1" applyAlignment="1">
      <alignment horizontal="center" vertical="center"/>
    </xf>
    <xf numFmtId="0" fontId="116" fillId="10" borderId="44" xfId="2" quotePrefix="1" applyFont="1" applyFill="1" applyBorder="1" applyAlignment="1">
      <alignment horizontal="center" vertical="center"/>
    </xf>
    <xf numFmtId="0" fontId="24" fillId="0" borderId="22" xfId="2" applyFont="1" applyBorder="1" applyAlignment="1">
      <alignment horizontal="center" vertical="center"/>
    </xf>
    <xf numFmtId="203" fontId="24" fillId="0" borderId="22" xfId="2014" applyFont="1" applyBorder="1" applyAlignment="1">
      <alignment vertical="center"/>
    </xf>
    <xf numFmtId="0" fontId="118" fillId="0" borderId="66" xfId="2" applyFont="1" applyBorder="1"/>
    <xf numFmtId="0" fontId="24" fillId="0" borderId="67" xfId="2" applyFont="1" applyBorder="1" applyAlignment="1">
      <alignment horizontal="centerContinuous" vertical="center"/>
    </xf>
    <xf numFmtId="0" fontId="24" fillId="0" borderId="33" xfId="2" applyFont="1" applyBorder="1" applyAlignment="1">
      <alignment vertical="center"/>
    </xf>
    <xf numFmtId="0" fontId="24" fillId="0" borderId="68" xfId="2" applyFont="1" applyBorder="1" applyAlignment="1">
      <alignment horizontal="center" vertical="center"/>
    </xf>
    <xf numFmtId="203" fontId="24" fillId="0" borderId="68" xfId="2014" applyFont="1" applyBorder="1" applyAlignment="1">
      <alignment vertical="center"/>
    </xf>
    <xf numFmtId="0" fontId="118" fillId="0" borderId="69" xfId="2" applyFont="1" applyBorder="1"/>
    <xf numFmtId="0" fontId="116" fillId="0" borderId="16" xfId="2" applyFont="1" applyBorder="1" applyAlignment="1">
      <alignment horizontal="centerContinuous" vertical="center"/>
    </xf>
    <xf numFmtId="0" fontId="24" fillId="0" borderId="70" xfId="2" applyFont="1" applyBorder="1" applyAlignment="1">
      <alignment horizontal="center" vertical="center"/>
    </xf>
    <xf numFmtId="0" fontId="24" fillId="0" borderId="70" xfId="2" applyFont="1" applyBorder="1" applyAlignment="1">
      <alignment vertical="center"/>
    </xf>
    <xf numFmtId="203" fontId="24" fillId="0" borderId="70" xfId="2014" applyFont="1" applyBorder="1" applyAlignment="1">
      <alignment vertical="center"/>
    </xf>
    <xf numFmtId="0" fontId="118" fillId="0" borderId="71" xfId="2" applyFont="1" applyBorder="1" applyAlignment="1">
      <alignment vertical="top"/>
    </xf>
    <xf numFmtId="203" fontId="24" fillId="0" borderId="0" xfId="2014" applyFont="1" applyFill="1" applyBorder="1" applyAlignment="1">
      <alignment vertical="center"/>
    </xf>
    <xf numFmtId="0" fontId="118" fillId="0" borderId="0" xfId="2" applyFont="1" applyAlignment="1">
      <alignment vertical="top"/>
    </xf>
    <xf numFmtId="203" fontId="24" fillId="0" borderId="0" xfId="2" applyNumberFormat="1" applyFont="1"/>
    <xf numFmtId="0" fontId="116" fillId="10" borderId="21" xfId="2" quotePrefix="1" applyFont="1" applyFill="1" applyBorder="1" applyAlignment="1">
      <alignment horizontal="center" vertical="center"/>
    </xf>
    <xf numFmtId="41" fontId="24" fillId="0" borderId="0" xfId="1" quotePrefix="1" applyFont="1" applyAlignment="1">
      <alignment vertical="center"/>
    </xf>
    <xf numFmtId="41" fontId="24" fillId="0" borderId="0" xfId="1" applyFont="1" applyAlignment="1">
      <alignment vertical="center"/>
    </xf>
    <xf numFmtId="0" fontId="19" fillId="0" borderId="0" xfId="3001" applyFont="1" applyAlignment="1">
      <alignment vertical="center"/>
    </xf>
    <xf numFmtId="41" fontId="19" fillId="0" borderId="0" xfId="3001" applyNumberFormat="1" applyFont="1" applyAlignment="1">
      <alignment vertical="center"/>
    </xf>
    <xf numFmtId="0" fontId="19" fillId="0" borderId="0" xfId="3001" applyFont="1" applyAlignment="1">
      <alignment vertical="center" shrinkToFit="1"/>
    </xf>
    <xf numFmtId="0" fontId="24" fillId="0" borderId="0" xfId="3001" applyFont="1" applyAlignment="1">
      <alignment vertical="center"/>
    </xf>
    <xf numFmtId="41" fontId="24" fillId="0" borderId="0" xfId="3001" applyNumberFormat="1" applyFont="1" applyAlignment="1">
      <alignment vertical="center"/>
    </xf>
    <xf numFmtId="203" fontId="64" fillId="0" borderId="63" xfId="3002" applyFont="1" applyBorder="1" applyAlignment="1">
      <alignment horizontal="center" vertical="center"/>
    </xf>
    <xf numFmtId="295" fontId="64" fillId="0" borderId="63" xfId="3002" applyNumberFormat="1" applyFont="1" applyBorder="1" applyAlignment="1">
      <alignment horizontal="center" vertical="center"/>
    </xf>
    <xf numFmtId="203" fontId="24" fillId="0" borderId="63" xfId="3002" applyFont="1" applyBorder="1" applyAlignment="1">
      <alignment horizontal="center" vertical="center"/>
    </xf>
    <xf numFmtId="41" fontId="4" fillId="0" borderId="0" xfId="2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3" xfId="0" applyBorder="1">
      <alignment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>
      <alignment vertical="center"/>
    </xf>
    <xf numFmtId="41" fontId="0" fillId="0" borderId="0" xfId="0" applyNumberFormat="1">
      <alignment vertical="center"/>
    </xf>
    <xf numFmtId="0" fontId="11" fillId="0" borderId="1" xfId="2" applyFont="1" applyBorder="1" applyAlignment="1">
      <alignment horizontal="center" vertical="center" wrapText="1"/>
    </xf>
    <xf numFmtId="0" fontId="6" fillId="0" borderId="0" xfId="2" applyFont="1" applyAlignment="1">
      <alignment horizontal="left" vertical="center"/>
    </xf>
    <xf numFmtId="0" fontId="6" fillId="0" borderId="0" xfId="2" applyFont="1" applyAlignment="1">
      <alignment horizontal="distributed" vertical="center"/>
    </xf>
    <xf numFmtId="203" fontId="24" fillId="0" borderId="72" xfId="3002" applyFont="1" applyBorder="1" applyAlignment="1">
      <alignment horizontal="center" vertical="center"/>
    </xf>
    <xf numFmtId="203" fontId="24" fillId="0" borderId="23" xfId="3002" applyFont="1" applyBorder="1" applyAlignment="1">
      <alignment horizontal="center" vertical="center"/>
    </xf>
    <xf numFmtId="0" fontId="11" fillId="0" borderId="1" xfId="2" applyFont="1" applyBorder="1" applyAlignment="1">
      <alignment vertical="center" wrapText="1"/>
    </xf>
    <xf numFmtId="293" fontId="24" fillId="0" borderId="63" xfId="3001" applyNumberFormat="1" applyFont="1" applyBorder="1" applyAlignment="1">
      <alignment horizontal="right" vertical="center" shrinkToFit="1"/>
    </xf>
    <xf numFmtId="0" fontId="64" fillId="0" borderId="63" xfId="3001" applyFont="1" applyBorder="1" applyAlignment="1">
      <alignment vertical="center"/>
    </xf>
    <xf numFmtId="203" fontId="24" fillId="0" borderId="1" xfId="3002" applyFont="1" applyBorder="1" applyAlignment="1">
      <alignment horizontal="center" vertical="center"/>
    </xf>
    <xf numFmtId="294" fontId="24" fillId="0" borderId="1" xfId="3002" applyNumberFormat="1" applyFont="1" applyBorder="1" applyAlignment="1">
      <alignment horizontal="center" vertical="center" shrinkToFit="1"/>
    </xf>
    <xf numFmtId="203" fontId="24" fillId="0" borderId="94" xfId="3002" applyFont="1" applyBorder="1" applyAlignment="1">
      <alignment horizontal="center" vertical="center"/>
    </xf>
    <xf numFmtId="298" fontId="24" fillId="0" borderId="90" xfId="3002" applyNumberFormat="1" applyFont="1" applyBorder="1" applyAlignment="1">
      <alignment horizontal="center" vertical="center" shrinkToFit="1"/>
    </xf>
    <xf numFmtId="203" fontId="24" fillId="0" borderId="84" xfId="3002" applyFont="1" applyBorder="1" applyAlignment="1">
      <alignment horizontal="center" vertical="center"/>
    </xf>
    <xf numFmtId="298" fontId="24" fillId="0" borderId="1" xfId="3002" applyNumberFormat="1" applyFont="1" applyBorder="1" applyAlignment="1">
      <alignment horizontal="center" vertical="center" shrinkToFit="1"/>
    </xf>
    <xf numFmtId="203" fontId="24" fillId="0" borderId="12" xfId="3002" applyFont="1" applyBorder="1" applyAlignment="1">
      <alignment horizontal="center" vertical="center"/>
    </xf>
    <xf numFmtId="203" fontId="24" fillId="0" borderId="8" xfId="3002" applyFont="1" applyBorder="1" applyAlignment="1">
      <alignment vertical="center"/>
    </xf>
    <xf numFmtId="298" fontId="24" fillId="0" borderId="98" xfId="3002" applyNumberFormat="1" applyFont="1" applyBorder="1" applyAlignment="1">
      <alignment horizontal="center" vertical="center" shrinkToFit="1"/>
    </xf>
    <xf numFmtId="298" fontId="24" fillId="0" borderId="4" xfId="3002" applyNumberFormat="1" applyFont="1" applyBorder="1" applyAlignment="1">
      <alignment horizontal="center" vertical="center" shrinkToFit="1"/>
    </xf>
    <xf numFmtId="203" fontId="24" fillId="0" borderId="0" xfId="3001" applyNumberFormat="1" applyFont="1" applyAlignment="1">
      <alignment vertical="center"/>
    </xf>
    <xf numFmtId="0" fontId="122" fillId="0" borderId="0" xfId="2" applyFont="1" applyAlignment="1">
      <alignment horizontal="center" vertical="center"/>
    </xf>
    <xf numFmtId="0" fontId="124" fillId="0" borderId="0" xfId="2" applyFont="1" applyAlignment="1">
      <alignment horizontal="left" vertical="center"/>
    </xf>
    <xf numFmtId="0" fontId="126" fillId="0" borderId="0" xfId="2" applyFont="1" applyAlignment="1">
      <alignment horizontal="left" vertical="center"/>
    </xf>
    <xf numFmtId="0" fontId="24" fillId="0" borderId="25" xfId="3001" quotePrefix="1" applyFont="1" applyBorder="1" applyAlignment="1">
      <alignment vertical="center" wrapText="1"/>
    </xf>
    <xf numFmtId="0" fontId="24" fillId="0" borderId="25" xfId="3001" quotePrefix="1" applyFont="1" applyBorder="1" applyAlignment="1">
      <alignment horizontal="left" vertical="center"/>
    </xf>
    <xf numFmtId="0" fontId="24" fillId="0" borderId="25" xfId="3001" quotePrefix="1" applyFont="1" applyBorder="1" applyAlignment="1">
      <alignment vertical="center"/>
    </xf>
    <xf numFmtId="203" fontId="24" fillId="0" borderId="0" xfId="3002" applyFont="1" applyBorder="1" applyAlignment="1">
      <alignment horizontal="center" vertical="center"/>
    </xf>
    <xf numFmtId="41" fontId="58" fillId="0" borderId="0" xfId="3003" applyNumberFormat="1" applyFont="1">
      <alignment vertical="center"/>
    </xf>
    <xf numFmtId="41" fontId="58" fillId="0" borderId="0" xfId="3003" applyNumberFormat="1" applyFont="1" applyAlignment="1">
      <alignment horizontal="center" vertical="center"/>
    </xf>
    <xf numFmtId="0" fontId="24" fillId="0" borderId="0" xfId="3001" applyFont="1" applyAlignment="1">
      <alignment vertical="center" shrinkToFit="1"/>
    </xf>
    <xf numFmtId="294" fontId="24" fillId="0" borderId="0" xfId="3002" applyNumberFormat="1" applyFont="1" applyBorder="1" applyAlignment="1">
      <alignment horizontal="center" vertical="center" shrinkToFit="1"/>
    </xf>
    <xf numFmtId="0" fontId="24" fillId="0" borderId="0" xfId="3001" applyFont="1" applyAlignment="1">
      <alignment horizontal="left" vertical="center"/>
    </xf>
    <xf numFmtId="0" fontId="24" fillId="0" borderId="0" xfId="3001" quotePrefix="1" applyFont="1" applyAlignment="1">
      <alignment horizontal="left" vertical="center"/>
    </xf>
    <xf numFmtId="0" fontId="121" fillId="0" borderId="0" xfId="2" applyFont="1" applyAlignment="1">
      <alignment horizontal="center" vertical="center"/>
    </xf>
    <xf numFmtId="0" fontId="29" fillId="0" borderId="0" xfId="3007" applyFont="1" applyAlignment="1">
      <alignment vertical="center"/>
    </xf>
    <xf numFmtId="0" fontId="29" fillId="0" borderId="0" xfId="3006" applyFont="1">
      <alignment vertical="center"/>
    </xf>
    <xf numFmtId="0" fontId="29" fillId="0" borderId="0" xfId="3006" applyFont="1" applyAlignment="1"/>
    <xf numFmtId="0" fontId="127" fillId="0" borderId="0" xfId="3006">
      <alignment vertical="center"/>
    </xf>
    <xf numFmtId="0" fontId="29" fillId="0" borderId="0" xfId="3006" applyFont="1" applyAlignment="1">
      <alignment horizontal="center" vertical="center" wrapText="1"/>
    </xf>
    <xf numFmtId="0" fontId="29" fillId="0" borderId="0" xfId="3006" applyFont="1" applyAlignment="1">
      <alignment horizontal="center" vertical="center"/>
    </xf>
    <xf numFmtId="0" fontId="130" fillId="0" borderId="15" xfId="3006" applyFont="1" applyBorder="1" applyAlignment="1">
      <alignment horizontal="center" vertical="center" wrapText="1"/>
    </xf>
    <xf numFmtId="0" fontId="130" fillId="0" borderId="63" xfId="3006" applyFont="1" applyBorder="1" applyAlignment="1">
      <alignment horizontal="center" vertical="center" wrapText="1"/>
    </xf>
    <xf numFmtId="0" fontId="130" fillId="0" borderId="63" xfId="3006" applyFont="1" applyBorder="1" applyAlignment="1">
      <alignment vertical="center" wrapText="1"/>
    </xf>
    <xf numFmtId="0" fontId="130" fillId="0" borderId="30" xfId="3006" applyFont="1" applyBorder="1" applyAlignment="1">
      <alignment horizontal="center" vertical="center" wrapText="1"/>
    </xf>
    <xf numFmtId="0" fontId="130" fillId="0" borderId="72" xfId="3006" applyFont="1" applyBorder="1" applyAlignment="1">
      <alignment horizontal="center" vertical="center"/>
    </xf>
    <xf numFmtId="0" fontId="130" fillId="0" borderId="0" xfId="3006" applyFont="1" applyAlignment="1">
      <alignment horizontal="center" vertical="center"/>
    </xf>
    <xf numFmtId="0" fontId="130" fillId="0" borderId="23" xfId="3006" applyFont="1" applyBorder="1" applyAlignment="1">
      <alignment horizontal="center" vertical="center"/>
    </xf>
    <xf numFmtId="0" fontId="130" fillId="0" borderId="25" xfId="3006" applyFont="1" applyBorder="1" applyAlignment="1">
      <alignment vertical="center" wrapText="1"/>
    </xf>
    <xf numFmtId="0" fontId="130" fillId="0" borderId="72" xfId="3006" applyFont="1" applyBorder="1" applyAlignment="1">
      <alignment horizontal="center" vertical="center" wrapText="1"/>
    </xf>
    <xf numFmtId="0" fontId="130" fillId="0" borderId="0" xfId="3006" applyFont="1" applyAlignment="1">
      <alignment horizontal="center" vertical="center" wrapText="1"/>
    </xf>
    <xf numFmtId="0" fontId="130" fillId="0" borderId="0" xfId="3006" applyFont="1" applyAlignment="1">
      <alignment vertical="center" wrapText="1"/>
    </xf>
    <xf numFmtId="0" fontId="130" fillId="0" borderId="23" xfId="3006" applyFont="1" applyBorder="1" applyAlignment="1">
      <alignment horizontal="center" vertical="center" wrapText="1"/>
    </xf>
    <xf numFmtId="203" fontId="24" fillId="11" borderId="14" xfId="2014" applyFont="1" applyFill="1" applyBorder="1" applyAlignment="1">
      <alignment vertical="center"/>
    </xf>
    <xf numFmtId="203" fontId="24" fillId="11" borderId="13" xfId="2014" applyFont="1" applyFill="1" applyBorder="1" applyAlignment="1">
      <alignment vertical="center"/>
    </xf>
    <xf numFmtId="0" fontId="14" fillId="0" borderId="0" xfId="3008"/>
    <xf numFmtId="0" fontId="117" fillId="0" borderId="41" xfId="2" applyFont="1" applyBorder="1" applyAlignment="1">
      <alignment horizontal="centerContinuous" vertical="center"/>
    </xf>
    <xf numFmtId="0" fontId="117" fillId="0" borderId="42" xfId="2" applyFont="1" applyBorder="1" applyAlignment="1">
      <alignment horizontal="centerContinuous" vertical="center"/>
    </xf>
    <xf numFmtId="0" fontId="117" fillId="0" borderId="43" xfId="2" applyFont="1" applyBorder="1" applyAlignment="1">
      <alignment horizontal="centerContinuous" vertical="center"/>
    </xf>
    <xf numFmtId="0" fontId="117" fillId="0" borderId="44" xfId="2" applyFont="1" applyBorder="1" applyAlignment="1">
      <alignment horizontal="centerContinuous" vertical="center"/>
    </xf>
    <xf numFmtId="298" fontId="24" fillId="0" borderId="74" xfId="3002" applyNumberFormat="1" applyFont="1" applyBorder="1" applyAlignment="1">
      <alignment horizontal="center" vertical="center" shrinkToFit="1"/>
    </xf>
    <xf numFmtId="0" fontId="24" fillId="0" borderId="83" xfId="3001" applyFont="1" applyBorder="1" applyAlignment="1">
      <alignment horizontal="center" vertical="center"/>
    </xf>
    <xf numFmtId="293" fontId="24" fillId="0" borderId="1" xfId="3001" applyNumberFormat="1" applyFont="1" applyBorder="1" applyAlignment="1">
      <alignment vertical="center" shrinkToFit="1"/>
    </xf>
    <xf numFmtId="0" fontId="24" fillId="0" borderId="94" xfId="3001" applyFont="1" applyBorder="1" applyAlignment="1">
      <alignment vertical="center"/>
    </xf>
    <xf numFmtId="293" fontId="24" fillId="0" borderId="1" xfId="3001" applyNumberFormat="1" applyFont="1" applyBorder="1" applyAlignment="1">
      <alignment horizontal="center" vertical="center" shrinkToFit="1"/>
    </xf>
    <xf numFmtId="298" fontId="24" fillId="0" borderId="12" xfId="3002" applyNumberFormat="1" applyFont="1" applyBorder="1" applyAlignment="1">
      <alignment horizontal="center" vertical="center" shrinkToFit="1"/>
    </xf>
    <xf numFmtId="294" fontId="24" fillId="0" borderId="12" xfId="3002" applyNumberFormat="1" applyFont="1" applyBorder="1" applyAlignment="1">
      <alignment horizontal="center" vertical="center" shrinkToFit="1"/>
    </xf>
    <xf numFmtId="0" fontId="24" fillId="0" borderId="80" xfId="3001" applyFont="1" applyBorder="1" applyAlignment="1">
      <alignment vertical="center"/>
    </xf>
    <xf numFmtId="293" fontId="24" fillId="0" borderId="1" xfId="3001" quotePrefix="1" applyNumberFormat="1" applyFont="1" applyBorder="1" applyAlignment="1">
      <alignment horizontal="center" vertical="center" shrinkToFit="1"/>
    </xf>
    <xf numFmtId="203" fontId="24" fillId="0" borderId="94" xfId="3001" applyNumberFormat="1" applyFont="1" applyBorder="1" applyAlignment="1">
      <alignment vertical="center"/>
    </xf>
    <xf numFmtId="293" fontId="24" fillId="0" borderId="107" xfId="3001" quotePrefix="1" applyNumberFormat="1" applyFont="1" applyBorder="1" applyAlignment="1">
      <alignment horizontal="right" vertical="center" shrinkToFit="1"/>
    </xf>
    <xf numFmtId="0" fontId="24" fillId="0" borderId="108" xfId="3001" applyFont="1" applyBorder="1" applyAlignment="1">
      <alignment vertical="center"/>
    </xf>
    <xf numFmtId="293" fontId="24" fillId="0" borderId="1" xfId="3001" quotePrefix="1" applyNumberFormat="1" applyFont="1" applyBorder="1" applyAlignment="1">
      <alignment horizontal="right" vertical="center" shrinkToFit="1"/>
    </xf>
    <xf numFmtId="0" fontId="24" fillId="0" borderId="77" xfId="3001" applyFont="1" applyBorder="1" applyAlignment="1">
      <alignment vertical="center"/>
    </xf>
    <xf numFmtId="0" fontId="24" fillId="0" borderId="83" xfId="3001" applyFont="1" applyBorder="1" applyAlignment="1">
      <alignment horizontal="centerContinuous" vertical="center" shrinkToFit="1"/>
    </xf>
    <xf numFmtId="0" fontId="24" fillId="0" borderId="87" xfId="3001" applyFont="1" applyBorder="1" applyAlignment="1">
      <alignment horizontal="center" vertical="center"/>
    </xf>
    <xf numFmtId="293" fontId="24" fillId="0" borderId="8" xfId="3001" quotePrefix="1" applyNumberFormat="1" applyFont="1" applyBorder="1" applyAlignment="1">
      <alignment horizontal="center" vertical="center" shrinkToFit="1"/>
    </xf>
    <xf numFmtId="0" fontId="24" fillId="0" borderId="76" xfId="3001" applyFont="1" applyBorder="1" applyAlignment="1">
      <alignment vertical="center"/>
    </xf>
    <xf numFmtId="0" fontId="24" fillId="0" borderId="0" xfId="3001" applyFont="1" applyAlignment="1">
      <alignment horizontal="center" vertical="center"/>
    </xf>
    <xf numFmtId="293" fontId="24" fillId="0" borderId="74" xfId="3001" quotePrefix="1" applyNumberFormat="1" applyFont="1" applyBorder="1" applyAlignment="1">
      <alignment horizontal="center" vertical="center" shrinkToFit="1"/>
    </xf>
    <xf numFmtId="298" fontId="24" fillId="0" borderId="0" xfId="3001" applyNumberFormat="1" applyFont="1" applyAlignment="1">
      <alignment vertical="center"/>
    </xf>
    <xf numFmtId="0" fontId="139" fillId="0" borderId="60" xfId="3010" applyFont="1" applyBorder="1" applyAlignment="1">
      <alignment horizontal="center" vertical="center" wrapText="1"/>
    </xf>
    <xf numFmtId="0" fontId="139" fillId="0" borderId="110" xfId="3010" applyFont="1" applyBorder="1" applyAlignment="1">
      <alignment horizontal="center" vertical="center" shrinkToFit="1"/>
    </xf>
    <xf numFmtId="0" fontId="139" fillId="0" borderId="0" xfId="3010" applyFont="1" applyAlignment="1">
      <alignment horizontal="center" vertical="center"/>
    </xf>
    <xf numFmtId="0" fontId="139" fillId="0" borderId="25" xfId="3010" applyFont="1" applyBorder="1" applyAlignment="1">
      <alignment horizontal="center" vertical="center" wrapText="1"/>
    </xf>
    <xf numFmtId="0" fontId="135" fillId="0" borderId="21" xfId="3010" applyFont="1" applyBorder="1" applyAlignment="1">
      <alignment horizontal="center" vertical="center" shrinkToFit="1"/>
    </xf>
    <xf numFmtId="0" fontId="52" fillId="2" borderId="88" xfId="3010" applyFont="1" applyFill="1" applyBorder="1" applyAlignment="1">
      <alignment horizontal="center" vertical="center" shrinkToFit="1"/>
    </xf>
    <xf numFmtId="0" fontId="52" fillId="0" borderId="88" xfId="3010" applyFont="1" applyBorder="1" applyAlignment="1">
      <alignment horizontal="center" vertical="center" shrinkToFit="1"/>
    </xf>
    <xf numFmtId="0" fontId="52" fillId="0" borderId="96" xfId="3010" applyFont="1" applyBorder="1" applyAlignment="1">
      <alignment horizontal="center" vertical="center" shrinkToFit="1"/>
    </xf>
    <xf numFmtId="0" fontId="52" fillId="2" borderId="62" xfId="3010" applyFont="1" applyFill="1" applyBorder="1" applyAlignment="1">
      <alignment horizontal="center" vertical="center" shrinkToFit="1"/>
    </xf>
    <xf numFmtId="0" fontId="12" fillId="2" borderId="88" xfId="3010" applyFont="1" applyFill="1" applyBorder="1" applyAlignment="1">
      <alignment horizontal="center" vertical="center" shrinkToFit="1"/>
    </xf>
    <xf numFmtId="0" fontId="58" fillId="2" borderId="0" xfId="3010" applyFont="1" applyFill="1" applyAlignment="1">
      <alignment horizontal="center" vertical="center"/>
    </xf>
    <xf numFmtId="0" fontId="52" fillId="2" borderId="21" xfId="3010" applyFont="1" applyFill="1" applyBorder="1" applyAlignment="1">
      <alignment horizontal="center" vertical="center" shrinkToFit="1"/>
    </xf>
    <xf numFmtId="0" fontId="52" fillId="0" borderId="21" xfId="3010" applyFont="1" applyBorder="1" applyAlignment="1">
      <alignment horizontal="center" vertical="center" shrinkToFit="1"/>
    </xf>
    <xf numFmtId="0" fontId="52" fillId="0" borderId="47" xfId="3010" applyFont="1" applyBorder="1" applyAlignment="1">
      <alignment horizontal="center" vertical="center" shrinkToFit="1"/>
    </xf>
    <xf numFmtId="0" fontId="52" fillId="2" borderId="64" xfId="3010" applyFont="1" applyFill="1" applyBorder="1" applyAlignment="1">
      <alignment horizontal="center" vertical="center" shrinkToFit="1"/>
    </xf>
    <xf numFmtId="0" fontId="12" fillId="2" borderId="21" xfId="3010" applyFont="1" applyFill="1" applyBorder="1" applyAlignment="1">
      <alignment horizontal="center" vertical="center" shrinkToFit="1"/>
    </xf>
    <xf numFmtId="0" fontId="142" fillId="0" borderId="88" xfId="3010" applyFont="1" applyBorder="1" applyAlignment="1">
      <alignment horizontal="center" vertical="center" shrinkToFit="1"/>
    </xf>
    <xf numFmtId="296" fontId="143" fillId="0" borderId="116" xfId="3010" applyNumberFormat="1" applyFont="1" applyBorder="1" applyAlignment="1">
      <alignment horizontal="center" vertical="center" shrinkToFit="1"/>
    </xf>
    <xf numFmtId="296" fontId="143" fillId="0" borderId="117" xfId="3010" applyNumberFormat="1" applyFont="1" applyBorder="1" applyAlignment="1">
      <alignment horizontal="center" vertical="center" shrinkToFit="1"/>
    </xf>
    <xf numFmtId="296" fontId="44" fillId="0" borderId="118" xfId="3011" applyNumberFormat="1" applyFont="1" applyBorder="1" applyAlignment="1">
      <alignment vertical="center" shrinkToFit="1"/>
    </xf>
    <xf numFmtId="41" fontId="44" fillId="0" borderId="88" xfId="3010" applyNumberFormat="1" applyFont="1" applyBorder="1" applyAlignment="1">
      <alignment horizontal="right" vertical="center" shrinkToFit="1"/>
    </xf>
    <xf numFmtId="41" fontId="44" fillId="0" borderId="88" xfId="3011" applyFont="1" applyBorder="1" applyAlignment="1">
      <alignment horizontal="right" vertical="center" shrinkToFit="1"/>
    </xf>
    <xf numFmtId="0" fontId="144" fillId="0" borderId="119" xfId="3010" applyFont="1" applyBorder="1" applyAlignment="1">
      <alignment horizontal="center" vertical="center" shrinkToFit="1"/>
    </xf>
    <xf numFmtId="192" fontId="52" fillId="0" borderId="0" xfId="3010" applyNumberFormat="1" applyFont="1" applyAlignment="1">
      <alignment horizontal="center" vertical="center"/>
    </xf>
    <xf numFmtId="0" fontId="52" fillId="0" borderId="0" xfId="3010" applyFont="1">
      <alignment vertical="center"/>
    </xf>
    <xf numFmtId="41" fontId="52" fillId="0" borderId="0" xfId="3011" applyFont="1" applyAlignment="1">
      <alignment vertical="center"/>
    </xf>
    <xf numFmtId="0" fontId="145" fillId="0" borderId="120" xfId="3010" applyFont="1" applyBorder="1" applyAlignment="1">
      <alignment horizontal="center" vertical="center" wrapText="1"/>
    </xf>
    <xf numFmtId="296" fontId="143" fillId="0" borderId="21" xfId="3010" applyNumberFormat="1" applyFont="1" applyBorder="1" applyAlignment="1">
      <alignment horizontal="center" vertical="center" shrinkToFit="1"/>
    </xf>
    <xf numFmtId="296" fontId="143" fillId="0" borderId="47" xfId="3010" applyNumberFormat="1" applyFont="1" applyBorder="1" applyAlignment="1">
      <alignment horizontal="center" vertical="center" shrinkToFit="1"/>
    </xf>
    <xf numFmtId="298" fontId="44" fillId="0" borderId="64" xfId="3011" applyNumberFormat="1" applyFont="1" applyBorder="1" applyAlignment="1">
      <alignment vertical="center" shrinkToFit="1"/>
    </xf>
    <xf numFmtId="41" fontId="58" fillId="0" borderId="21" xfId="3011" applyFont="1" applyFill="1" applyBorder="1" applyAlignment="1">
      <alignment horizontal="right" vertical="center" shrinkToFit="1"/>
    </xf>
    <xf numFmtId="41" fontId="44" fillId="0" borderId="81" xfId="3010" applyNumberFormat="1" applyFont="1" applyBorder="1" applyAlignment="1">
      <alignment horizontal="right" vertical="center" shrinkToFit="1"/>
    </xf>
    <xf numFmtId="41" fontId="44" fillId="0" borderId="21" xfId="3011" applyFont="1" applyBorder="1" applyAlignment="1">
      <alignment horizontal="right" vertical="center" shrinkToFit="1"/>
    </xf>
    <xf numFmtId="0" fontId="144" fillId="0" borderId="121" xfId="3010" applyFont="1" applyBorder="1" applyAlignment="1">
      <alignment horizontal="center" vertical="center" shrinkToFit="1"/>
    </xf>
    <xf numFmtId="0" fontId="52" fillId="0" borderId="0" xfId="3010" applyFont="1" applyAlignment="1">
      <alignment horizontal="center" vertical="center"/>
    </xf>
    <xf numFmtId="0" fontId="142" fillId="0" borderId="119" xfId="3010" applyFont="1" applyBorder="1" applyAlignment="1">
      <alignment horizontal="center" vertical="center" shrinkToFit="1"/>
    </xf>
    <xf numFmtId="0" fontId="142" fillId="0" borderId="121" xfId="3010" applyFont="1" applyBorder="1" applyAlignment="1">
      <alignment horizontal="center" vertical="center" shrinkToFit="1"/>
    </xf>
    <xf numFmtId="43" fontId="52" fillId="0" borderId="0" xfId="3010" applyNumberFormat="1" applyFont="1">
      <alignment vertical="center"/>
    </xf>
    <xf numFmtId="41" fontId="52" fillId="0" borderId="0" xfId="3010" applyNumberFormat="1" applyFont="1">
      <alignment vertical="center"/>
    </xf>
    <xf numFmtId="0" fontId="145" fillId="0" borderId="120" xfId="3010" applyFont="1" applyBorder="1" applyAlignment="1">
      <alignment horizontal="left" vertical="center" wrapText="1"/>
    </xf>
    <xf numFmtId="296" fontId="143" fillId="0" borderId="96" xfId="3010" applyNumberFormat="1" applyFont="1" applyBorder="1" applyAlignment="1">
      <alignment horizontal="center" vertical="center" shrinkToFit="1"/>
    </xf>
    <xf numFmtId="296" fontId="143" fillId="0" borderId="88" xfId="3010" applyNumberFormat="1" applyFont="1" applyBorder="1" applyAlignment="1">
      <alignment horizontal="center" vertical="center" shrinkToFit="1"/>
    </xf>
    <xf numFmtId="296" fontId="143" fillId="0" borderId="119" xfId="3010" applyNumberFormat="1" applyFont="1" applyBorder="1" applyAlignment="1">
      <alignment horizontal="center" vertical="center" shrinkToFit="1"/>
    </xf>
    <xf numFmtId="296" fontId="143" fillId="0" borderId="72" xfId="3010" applyNumberFormat="1" applyFont="1" applyBorder="1" applyAlignment="1">
      <alignment horizontal="center" vertical="center" shrinkToFit="1"/>
    </xf>
    <xf numFmtId="296" fontId="143" fillId="0" borderId="120" xfId="3010" applyNumberFormat="1" applyFont="1" applyBorder="1" applyAlignment="1">
      <alignment horizontal="center" vertical="center" shrinkToFit="1"/>
    </xf>
    <xf numFmtId="0" fontId="142" fillId="0" borderId="120" xfId="3010" applyFont="1" applyBorder="1" applyAlignment="1">
      <alignment horizontal="left" vertical="center" wrapText="1"/>
    </xf>
    <xf numFmtId="41" fontId="145" fillId="0" borderId="78" xfId="3011" applyFont="1" applyFill="1" applyBorder="1" applyAlignment="1">
      <alignment horizontal="center" vertical="center" shrinkToFit="1"/>
    </xf>
    <xf numFmtId="41" fontId="44" fillId="0" borderId="78" xfId="3011" applyFont="1" applyBorder="1" applyAlignment="1">
      <alignment horizontal="right" vertical="center" shrinkToFit="1"/>
    </xf>
    <xf numFmtId="192" fontId="139" fillId="0" borderId="0" xfId="3010" applyNumberFormat="1" applyFont="1" applyAlignment="1">
      <alignment horizontal="center" vertical="center"/>
    </xf>
    <xf numFmtId="0" fontId="139" fillId="0" borderId="0" xfId="3010" applyFont="1">
      <alignment vertical="center"/>
    </xf>
    <xf numFmtId="41" fontId="145" fillId="0" borderId="70" xfId="3011" applyFont="1" applyFill="1" applyBorder="1" applyAlignment="1">
      <alignment horizontal="center" vertical="center" shrinkToFit="1"/>
    </xf>
    <xf numFmtId="41" fontId="44" fillId="0" borderId="70" xfId="3011" applyFont="1" applyBorder="1" applyAlignment="1">
      <alignment horizontal="right" vertical="center" shrinkToFit="1"/>
    </xf>
    <xf numFmtId="0" fontId="58" fillId="0" borderId="0" xfId="3010" applyFont="1" applyAlignment="1">
      <alignment horizontal="center" vertical="center"/>
    </xf>
    <xf numFmtId="0" fontId="58" fillId="0" borderId="0" xfId="3010" applyFont="1">
      <alignment vertical="center"/>
    </xf>
    <xf numFmtId="0" fontId="58" fillId="0" borderId="0" xfId="3010" applyFont="1" applyAlignment="1">
      <alignment vertical="center" shrinkToFit="1"/>
    </xf>
    <xf numFmtId="297" fontId="58" fillId="0" borderId="0" xfId="3010" applyNumberFormat="1" applyFont="1" applyAlignment="1">
      <alignment vertical="center" shrinkToFit="1"/>
    </xf>
    <xf numFmtId="0" fontId="146" fillId="0" borderId="13" xfId="3012" applyFont="1" applyBorder="1" applyAlignment="1">
      <alignment horizontal="center" vertical="center"/>
    </xf>
    <xf numFmtId="0" fontId="137" fillId="0" borderId="0" xfId="3012">
      <alignment vertical="center"/>
    </xf>
    <xf numFmtId="0" fontId="148" fillId="0" borderId="13" xfId="3012" applyFont="1" applyBorder="1" applyAlignment="1">
      <alignment horizontal="center" vertical="center"/>
    </xf>
    <xf numFmtId="0" fontId="149" fillId="0" borderId="13" xfId="3012" applyFont="1" applyBorder="1" applyAlignment="1">
      <alignment horizontal="center" vertical="center"/>
    </xf>
    <xf numFmtId="0" fontId="137" fillId="0" borderId="13" xfId="3012" applyBorder="1">
      <alignment vertical="center"/>
    </xf>
    <xf numFmtId="0" fontId="150" fillId="0" borderId="13" xfId="3012" applyFont="1" applyBorder="1" applyAlignment="1">
      <alignment horizontal="center" vertical="center" wrapText="1"/>
    </xf>
    <xf numFmtId="0" fontId="149" fillId="0" borderId="0" xfId="3012" applyFont="1" applyAlignment="1">
      <alignment horizontal="center" vertical="center"/>
    </xf>
    <xf numFmtId="0" fontId="121" fillId="0" borderId="0" xfId="2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122" fillId="0" borderId="0" xfId="2" applyFont="1" applyAlignment="1">
      <alignment horizontal="distributed" vertical="center"/>
    </xf>
    <xf numFmtId="0" fontId="6" fillId="0" borderId="0" xfId="2" applyFont="1" applyAlignment="1">
      <alignment horizontal="distributed" vertical="center"/>
    </xf>
    <xf numFmtId="0" fontId="123" fillId="0" borderId="0" xfId="2" applyFont="1" applyAlignment="1">
      <alignment horizontal="center" vertical="center"/>
    </xf>
    <xf numFmtId="0" fontId="11" fillId="0" borderId="5" xfId="2" applyFont="1" applyBorder="1" applyAlignment="1">
      <alignment horizontal="center" vertical="center" wrapText="1" justifyLastLine="1"/>
    </xf>
    <xf numFmtId="0" fontId="11" fillId="0" borderId="7" xfId="2" applyFont="1" applyBorder="1" applyAlignment="1">
      <alignment horizontal="center" vertical="center" wrapText="1" justifyLastLine="1"/>
    </xf>
    <xf numFmtId="0" fontId="11" fillId="0" borderId="75" xfId="2" applyFont="1" applyBorder="1" applyAlignment="1">
      <alignment horizontal="center" vertical="center" wrapText="1" justifyLastLine="1"/>
    </xf>
    <xf numFmtId="0" fontId="11" fillId="0" borderId="26" xfId="2" applyFont="1" applyBorder="1" applyAlignment="1">
      <alignment horizontal="center" vertical="center" wrapText="1" justifyLastLine="1"/>
    </xf>
    <xf numFmtId="41" fontId="11" fillId="0" borderId="5" xfId="2" applyNumberFormat="1" applyFont="1" applyBorder="1" applyAlignment="1">
      <alignment horizontal="center" vertical="center" wrapText="1"/>
    </xf>
    <xf numFmtId="41" fontId="11" fillId="0" borderId="6" xfId="2" applyNumberFormat="1" applyFont="1" applyBorder="1" applyAlignment="1">
      <alignment horizontal="center" vertical="center" wrapText="1"/>
    </xf>
    <xf numFmtId="41" fontId="11" fillId="0" borderId="7" xfId="2" applyNumberFormat="1" applyFont="1" applyBorder="1" applyAlignment="1">
      <alignment horizontal="center" vertical="center" wrapText="1"/>
    </xf>
    <xf numFmtId="41" fontId="11" fillId="0" borderId="75" xfId="2" applyNumberFormat="1" applyFont="1" applyBorder="1" applyAlignment="1">
      <alignment horizontal="center" vertical="center" wrapText="1"/>
    </xf>
    <xf numFmtId="41" fontId="11" fillId="0" borderId="0" xfId="2" applyNumberFormat="1" applyFont="1" applyAlignment="1">
      <alignment horizontal="center" vertical="center" wrapText="1"/>
    </xf>
    <xf numFmtId="41" fontId="11" fillId="0" borderId="26" xfId="2" applyNumberFormat="1" applyFont="1" applyBorder="1" applyAlignment="1">
      <alignment horizontal="center" vertical="center" wrapText="1"/>
    </xf>
    <xf numFmtId="0" fontId="11" fillId="0" borderId="9" xfId="2" applyFont="1" applyBorder="1" applyAlignment="1">
      <alignment horizontal="center" vertical="center" wrapText="1" justifyLastLine="1"/>
    </xf>
    <xf numFmtId="0" fontId="11" fillId="0" borderId="11" xfId="2" applyFont="1" applyBorder="1" applyAlignment="1">
      <alignment horizontal="center" vertical="center" wrapText="1" justifyLastLine="1"/>
    </xf>
    <xf numFmtId="10" fontId="11" fillId="0" borderId="5" xfId="2" applyNumberFormat="1" applyFont="1" applyBorder="1" applyAlignment="1">
      <alignment horizontal="center" vertical="center" wrapText="1"/>
    </xf>
    <xf numFmtId="10" fontId="11" fillId="0" borderId="6" xfId="2" applyNumberFormat="1" applyFont="1" applyBorder="1" applyAlignment="1">
      <alignment horizontal="center" vertical="center" wrapText="1"/>
    </xf>
    <xf numFmtId="10" fontId="11" fillId="0" borderId="7" xfId="2" applyNumberFormat="1" applyFont="1" applyBorder="1" applyAlignment="1">
      <alignment horizontal="center" vertical="center" wrapText="1"/>
    </xf>
    <xf numFmtId="10" fontId="11" fillId="0" borderId="9" xfId="2" applyNumberFormat="1" applyFont="1" applyBorder="1" applyAlignment="1">
      <alignment horizontal="center" vertical="center" wrapText="1"/>
    </xf>
    <xf numFmtId="10" fontId="11" fillId="0" borderId="10" xfId="2" applyNumberFormat="1" applyFont="1" applyBorder="1" applyAlignment="1">
      <alignment horizontal="center" vertical="center" wrapText="1"/>
    </xf>
    <xf numFmtId="10" fontId="11" fillId="0" borderId="11" xfId="2" applyNumberFormat="1" applyFont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76" fontId="11" fillId="0" borderId="8" xfId="2" quotePrefix="1" applyNumberFormat="1" applyFont="1" applyBorder="1" applyAlignment="1">
      <alignment horizontal="left" vertical="center" wrapText="1"/>
    </xf>
    <xf numFmtId="176" fontId="11" fillId="0" borderId="8" xfId="2" applyNumberFormat="1" applyFont="1" applyBorder="1" applyAlignment="1">
      <alignment horizontal="left" vertical="center" wrapText="1"/>
    </xf>
    <xf numFmtId="176" fontId="11" fillId="0" borderId="2" xfId="2" quotePrefix="1" applyNumberFormat="1" applyFont="1" applyBorder="1" applyAlignment="1">
      <alignment horizontal="right" vertical="center" wrapText="1"/>
    </xf>
    <xf numFmtId="176" fontId="11" fillId="0" borderId="3" xfId="2" quotePrefix="1" applyNumberFormat="1" applyFont="1" applyBorder="1" applyAlignment="1">
      <alignment horizontal="right" vertical="center" wrapText="1"/>
    </xf>
    <xf numFmtId="176" fontId="11" fillId="0" borderId="3" xfId="2" applyNumberFormat="1" applyFont="1" applyBorder="1" applyAlignment="1">
      <alignment horizontal="right" vertical="center" wrapText="1"/>
    </xf>
    <xf numFmtId="176" fontId="11" fillId="0" borderId="4" xfId="2" applyNumberFormat="1" applyFont="1" applyBorder="1" applyAlignment="1">
      <alignment horizontal="right" vertical="center" wrapText="1"/>
    </xf>
    <xf numFmtId="0" fontId="11" fillId="0" borderId="1" xfId="2" applyFont="1" applyBorder="1" applyAlignment="1">
      <alignment horizontal="distributed" vertical="center" wrapText="1" justifyLastLine="1"/>
    </xf>
    <xf numFmtId="0" fontId="11" fillId="0" borderId="2" xfId="2" applyFont="1" applyBorder="1" applyAlignment="1">
      <alignment horizontal="distributed" vertical="center" wrapText="1"/>
    </xf>
    <xf numFmtId="0" fontId="11" fillId="0" borderId="3" xfId="2" applyFont="1" applyBorder="1" applyAlignment="1">
      <alignment horizontal="distributed" vertical="center" wrapText="1"/>
    </xf>
    <xf numFmtId="0" fontId="11" fillId="0" borderId="4" xfId="2" applyFont="1" applyBorder="1" applyAlignment="1">
      <alignment horizontal="distributed" vertical="center" wrapText="1"/>
    </xf>
    <xf numFmtId="0" fontId="11" fillId="0" borderId="2" xfId="2" applyFont="1" applyBorder="1" applyAlignment="1">
      <alignment horizontal="center" vertical="center" wrapText="1" shrinkToFit="1"/>
    </xf>
    <xf numFmtId="0" fontId="11" fillId="0" borderId="3" xfId="2" applyFont="1" applyBorder="1" applyAlignment="1">
      <alignment horizontal="center" vertical="center" wrapText="1" shrinkToFit="1"/>
    </xf>
    <xf numFmtId="0" fontId="11" fillId="0" borderId="4" xfId="2" applyFont="1" applyBorder="1" applyAlignment="1">
      <alignment horizontal="center" vertical="center" wrapText="1" shrinkToFit="1"/>
    </xf>
    <xf numFmtId="0" fontId="11" fillId="0" borderId="2" xfId="2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6" fontId="11" fillId="0" borderId="6" xfId="2" applyNumberFormat="1" applyFont="1" applyBorder="1" applyAlignment="1">
      <alignment horizontal="center" vertical="center" wrapText="1"/>
    </xf>
    <xf numFmtId="6" fontId="11" fillId="0" borderId="7" xfId="2" applyNumberFormat="1" applyFont="1" applyBorder="1" applyAlignment="1">
      <alignment horizontal="center" vertical="center" wrapText="1"/>
    </xf>
    <xf numFmtId="6" fontId="11" fillId="0" borderId="9" xfId="2" applyNumberFormat="1" applyFont="1" applyBorder="1" applyAlignment="1">
      <alignment horizontal="center" vertical="center" wrapText="1"/>
    </xf>
    <xf numFmtId="6" fontId="11" fillId="0" borderId="10" xfId="2" applyNumberFormat="1" applyFont="1" applyBorder="1" applyAlignment="1">
      <alignment horizontal="center" vertical="center" wrapText="1"/>
    </xf>
    <xf numFmtId="6" fontId="11" fillId="0" borderId="11" xfId="2" applyNumberFormat="1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distributed" vertical="center" indent="3"/>
    </xf>
    <xf numFmtId="0" fontId="11" fillId="0" borderId="1" xfId="2" applyFont="1" applyBorder="1" applyAlignment="1">
      <alignment horizontal="center" vertical="center" wrapText="1"/>
    </xf>
    <xf numFmtId="10" fontId="11" fillId="0" borderId="2" xfId="2" applyNumberFormat="1" applyFont="1" applyBorder="1" applyAlignment="1">
      <alignment horizontal="center" vertical="center" wrapText="1"/>
    </xf>
    <xf numFmtId="10" fontId="11" fillId="0" borderId="3" xfId="2" applyNumberFormat="1" applyFont="1" applyBorder="1" applyAlignment="1">
      <alignment horizontal="center" vertical="center" wrapText="1"/>
    </xf>
    <xf numFmtId="10" fontId="11" fillId="0" borderId="4" xfId="2" applyNumberFormat="1" applyFont="1" applyBorder="1" applyAlignment="1">
      <alignment horizontal="center" vertical="center" wrapText="1"/>
    </xf>
    <xf numFmtId="0" fontId="11" fillId="0" borderId="2" xfId="2" applyFont="1" applyBorder="1" applyAlignment="1">
      <alignment horizontal="left" vertical="center" wrapText="1"/>
    </xf>
    <xf numFmtId="0" fontId="11" fillId="0" borderId="3" xfId="2" applyFont="1" applyBorder="1" applyAlignment="1">
      <alignment horizontal="left" vertical="center" wrapText="1"/>
    </xf>
    <xf numFmtId="0" fontId="11" fillId="0" borderId="4" xfId="2" applyFont="1" applyBorder="1" applyAlignment="1">
      <alignment horizontal="left" vertical="center" wrapText="1"/>
    </xf>
    <xf numFmtId="41" fontId="11" fillId="0" borderId="2" xfId="2" applyNumberFormat="1" applyFont="1" applyBorder="1" applyAlignment="1">
      <alignment horizontal="center" vertical="center" wrapText="1"/>
    </xf>
    <xf numFmtId="41" fontId="11" fillId="0" borderId="4" xfId="2" applyNumberFormat="1" applyFont="1" applyBorder="1" applyAlignment="1">
      <alignment horizontal="center" vertical="center" wrapText="1"/>
    </xf>
    <xf numFmtId="41" fontId="11" fillId="0" borderId="2" xfId="1" applyFont="1" applyBorder="1" applyAlignment="1">
      <alignment horizontal="center" vertical="center" wrapText="1"/>
    </xf>
    <xf numFmtId="41" fontId="11" fillId="0" borderId="4" xfId="1" applyFont="1" applyBorder="1" applyAlignment="1">
      <alignment horizontal="center" vertical="center" wrapText="1"/>
    </xf>
    <xf numFmtId="0" fontId="4" fillId="0" borderId="0" xfId="2" applyFont="1" applyAlignment="1">
      <alignment horizontal="center" vertical="center"/>
    </xf>
    <xf numFmtId="0" fontId="120" fillId="0" borderId="2" xfId="2" applyFont="1" applyBorder="1" applyAlignment="1">
      <alignment horizontal="center" vertical="center" wrapText="1"/>
    </xf>
    <xf numFmtId="0" fontId="120" fillId="0" borderId="3" xfId="2" applyFont="1" applyBorder="1" applyAlignment="1">
      <alignment horizontal="center" vertical="center" wrapText="1"/>
    </xf>
    <xf numFmtId="0" fontId="120" fillId="0" borderId="4" xfId="2" applyFont="1" applyBorder="1" applyAlignment="1">
      <alignment horizontal="center" vertical="center" wrapText="1"/>
    </xf>
    <xf numFmtId="41" fontId="11" fillId="0" borderId="2" xfId="1" applyFont="1" applyFill="1" applyBorder="1" applyAlignment="1">
      <alignment horizontal="center" vertical="center" wrapText="1"/>
    </xf>
    <xf numFmtId="41" fontId="11" fillId="0" borderId="4" xfId="1" applyFont="1" applyFill="1" applyBorder="1" applyAlignment="1">
      <alignment horizontal="center" vertical="center" wrapText="1"/>
    </xf>
    <xf numFmtId="0" fontId="7" fillId="0" borderId="0" xfId="2" applyFont="1" applyAlignment="1">
      <alignment horizontal="left" vertical="center"/>
    </xf>
    <xf numFmtId="31" fontId="7" fillId="0" borderId="0" xfId="2" applyNumberFormat="1" applyFont="1" applyAlignment="1">
      <alignment horizontal="center" vertical="center"/>
    </xf>
    <xf numFmtId="0" fontId="120" fillId="0" borderId="1" xfId="2" applyFont="1" applyBorder="1" applyAlignment="1">
      <alignment horizontal="center" vertical="center" wrapText="1"/>
    </xf>
    <xf numFmtId="41" fontId="11" fillId="0" borderId="3" xfId="1" applyFont="1" applyBorder="1" applyAlignment="1">
      <alignment horizontal="center" vertical="center" wrapText="1"/>
    </xf>
    <xf numFmtId="41" fontId="4" fillId="0" borderId="0" xfId="2" applyNumberFormat="1" applyFont="1" applyAlignment="1">
      <alignment horizontal="center" vertical="center"/>
    </xf>
    <xf numFmtId="0" fontId="24" fillId="0" borderId="1" xfId="3001" applyFont="1" applyBorder="1" applyAlignment="1">
      <alignment horizontal="center" vertical="center" shrinkToFit="1"/>
    </xf>
    <xf numFmtId="0" fontId="24" fillId="0" borderId="1" xfId="3001" applyFont="1" applyBorder="1" applyAlignment="1">
      <alignment horizontal="center" vertical="center" wrapText="1"/>
    </xf>
    <xf numFmtId="0" fontId="24" fillId="0" borderId="106" xfId="3001" quotePrefix="1" applyFont="1" applyBorder="1" applyAlignment="1">
      <alignment horizontal="left" vertical="center"/>
    </xf>
    <xf numFmtId="0" fontId="24" fillId="0" borderId="74" xfId="3001" quotePrefix="1" applyFont="1" applyBorder="1" applyAlignment="1">
      <alignment horizontal="left" vertical="center"/>
    </xf>
    <xf numFmtId="203" fontId="24" fillId="0" borderId="72" xfId="3002" applyFont="1" applyBorder="1" applyAlignment="1">
      <alignment horizontal="center" vertical="center"/>
    </xf>
    <xf numFmtId="203" fontId="24" fillId="0" borderId="23" xfId="3002" applyFont="1" applyBorder="1" applyAlignment="1">
      <alignment horizontal="center" vertical="center"/>
    </xf>
    <xf numFmtId="203" fontId="24" fillId="0" borderId="1" xfId="3002" applyFont="1" applyBorder="1" applyAlignment="1">
      <alignment horizontal="center" vertical="center" shrinkToFit="1"/>
    </xf>
    <xf numFmtId="203" fontId="24" fillId="0" borderId="1" xfId="3002" applyFont="1" applyBorder="1" applyAlignment="1">
      <alignment horizontal="center" vertical="center"/>
    </xf>
    <xf numFmtId="203" fontId="24" fillId="0" borderId="107" xfId="3002" applyFont="1" applyBorder="1" applyAlignment="1">
      <alignment horizontal="center" vertical="center"/>
    </xf>
    <xf numFmtId="0" fontId="24" fillId="0" borderId="106" xfId="3001" applyFont="1" applyBorder="1" applyAlignment="1">
      <alignment horizontal="left" vertical="center"/>
    </xf>
    <xf numFmtId="0" fontId="24" fillId="0" borderId="74" xfId="3001" applyFont="1" applyBorder="1" applyAlignment="1">
      <alignment horizontal="left" vertical="center"/>
    </xf>
    <xf numFmtId="203" fontId="24" fillId="0" borderId="8" xfId="3002" applyFont="1" applyBorder="1" applyAlignment="1">
      <alignment horizontal="center" vertical="center"/>
    </xf>
    <xf numFmtId="0" fontId="24" fillId="0" borderId="1" xfId="3001" applyFont="1" applyBorder="1" applyAlignment="1">
      <alignment horizontal="center" vertical="center"/>
    </xf>
    <xf numFmtId="0" fontId="24" fillId="0" borderId="107" xfId="3001" quotePrefix="1" applyFont="1" applyBorder="1" applyAlignment="1">
      <alignment horizontal="center" vertical="center"/>
    </xf>
    <xf numFmtId="0" fontId="24" fillId="0" borderId="18" xfId="3001" quotePrefix="1" applyFont="1" applyBorder="1" applyAlignment="1">
      <alignment horizontal="center" vertical="center"/>
    </xf>
    <xf numFmtId="0" fontId="24" fillId="0" borderId="1" xfId="3001" quotePrefix="1" applyFont="1" applyBorder="1" applyAlignment="1">
      <alignment horizontal="center" vertical="center"/>
    </xf>
    <xf numFmtId="0" fontId="24" fillId="0" borderId="89" xfId="3001" quotePrefix="1" applyFont="1" applyBorder="1" applyAlignment="1">
      <alignment horizontal="center" vertical="center"/>
    </xf>
    <xf numFmtId="0" fontId="24" fillId="0" borderId="106" xfId="3001" applyFont="1" applyBorder="1" applyAlignment="1">
      <alignment horizontal="center" vertical="center"/>
    </xf>
    <xf numFmtId="0" fontId="24" fillId="0" borderId="74" xfId="3001" applyFont="1" applyBorder="1" applyAlignment="1">
      <alignment horizontal="center" vertical="center"/>
    </xf>
    <xf numFmtId="203" fontId="24" fillId="0" borderId="12" xfId="3002" applyFont="1" applyBorder="1" applyAlignment="1">
      <alignment horizontal="center" vertical="center" shrinkToFit="1"/>
    </xf>
    <xf numFmtId="0" fontId="24" fillId="0" borderId="12" xfId="3001" applyFont="1" applyBorder="1" applyAlignment="1">
      <alignment horizontal="center" vertical="center" wrapText="1" shrinkToFit="1"/>
    </xf>
    <xf numFmtId="0" fontId="24" fillId="0" borderId="12" xfId="3001" applyFont="1" applyBorder="1" applyAlignment="1">
      <alignment horizontal="center" vertical="center" shrinkToFit="1"/>
    </xf>
    <xf numFmtId="0" fontId="64" fillId="0" borderId="12" xfId="3001" applyFont="1" applyBorder="1" applyAlignment="1">
      <alignment horizontal="left" vertical="center" wrapText="1"/>
    </xf>
    <xf numFmtId="0" fontId="24" fillId="0" borderId="96" xfId="3001" applyFont="1" applyBorder="1" applyAlignment="1">
      <alignment horizontal="center" vertical="center" shrinkToFit="1"/>
    </xf>
    <xf numFmtId="0" fontId="24" fillId="0" borderId="97" xfId="3001" applyFont="1" applyBorder="1" applyAlignment="1">
      <alignment horizontal="center" vertical="center" shrinkToFit="1"/>
    </xf>
    <xf numFmtId="0" fontId="24" fillId="0" borderId="96" xfId="3001" applyFont="1" applyBorder="1" applyAlignment="1">
      <alignment horizontal="center" vertical="center" wrapText="1"/>
    </xf>
    <xf numFmtId="0" fontId="24" fillId="0" borderId="97" xfId="3001" applyFont="1" applyBorder="1" applyAlignment="1">
      <alignment horizontal="center" vertical="center" wrapText="1"/>
    </xf>
    <xf numFmtId="0" fontId="24" fillId="0" borderId="91" xfId="3001" applyFont="1" applyBorder="1" applyAlignment="1">
      <alignment horizontal="center" vertical="center" shrinkToFit="1"/>
    </xf>
    <xf numFmtId="0" fontId="24" fillId="0" borderId="92" xfId="3001" applyFont="1" applyBorder="1" applyAlignment="1">
      <alignment horizontal="center" vertical="center" shrinkToFit="1"/>
    </xf>
    <xf numFmtId="0" fontId="24" fillId="0" borderId="91" xfId="3001" applyFont="1" applyBorder="1" applyAlignment="1">
      <alignment horizontal="center" vertical="center" wrapText="1"/>
    </xf>
    <xf numFmtId="0" fontId="24" fillId="0" borderId="92" xfId="3001" applyFont="1" applyBorder="1" applyAlignment="1">
      <alignment horizontal="center" vertical="center" wrapText="1"/>
    </xf>
    <xf numFmtId="0" fontId="24" fillId="0" borderId="82" xfId="3001" applyFont="1" applyBorder="1" applyAlignment="1">
      <alignment horizontal="center" vertical="center"/>
    </xf>
    <xf numFmtId="0" fontId="24" fillId="0" borderId="83" xfId="3001" applyFont="1" applyBorder="1" applyAlignment="1">
      <alignment horizontal="center" vertical="center"/>
    </xf>
    <xf numFmtId="0" fontId="119" fillId="0" borderId="0" xfId="3001" applyFont="1" applyAlignment="1">
      <alignment horizontal="center" vertical="center"/>
    </xf>
    <xf numFmtId="0" fontId="130" fillId="0" borderId="13" xfId="3006" applyFont="1" applyBorder="1" applyAlignment="1">
      <alignment horizontal="center" vertical="center" wrapText="1"/>
    </xf>
    <xf numFmtId="0" fontId="131" fillId="0" borderId="20" xfId="3006" applyFont="1" applyBorder="1" applyAlignment="1">
      <alignment horizontal="left" vertical="center" wrapText="1" indent="2"/>
    </xf>
    <xf numFmtId="0" fontId="130" fillId="0" borderId="34" xfId="3006" applyFont="1" applyBorder="1" applyAlignment="1">
      <alignment horizontal="left" vertical="center" wrapText="1" indent="2"/>
    </xf>
    <xf numFmtId="0" fontId="130" fillId="0" borderId="17" xfId="3006" applyFont="1" applyBorder="1" applyAlignment="1">
      <alignment horizontal="left" vertical="center" wrapText="1" indent="2"/>
    </xf>
    <xf numFmtId="0" fontId="130" fillId="0" borderId="0" xfId="3006" applyFont="1" applyAlignment="1">
      <alignment horizontal="center" vertical="center"/>
    </xf>
    <xf numFmtId="0" fontId="131" fillId="0" borderId="13" xfId="3006" applyFont="1" applyBorder="1" applyAlignment="1">
      <alignment horizontal="left" vertical="center" wrapText="1" indent="2"/>
    </xf>
    <xf numFmtId="0" fontId="130" fillId="0" borderId="13" xfId="3006" applyFont="1" applyBorder="1" applyAlignment="1">
      <alignment horizontal="left" vertical="center" wrapText="1" indent="2"/>
    </xf>
    <xf numFmtId="0" fontId="131" fillId="0" borderId="13" xfId="3006" applyFont="1" applyBorder="1" applyAlignment="1">
      <alignment horizontal="center" vertical="center" wrapText="1"/>
    </xf>
    <xf numFmtId="0" fontId="128" fillId="0" borderId="0" xfId="3006" applyFont="1" applyAlignment="1">
      <alignment horizontal="center" vertical="center"/>
    </xf>
    <xf numFmtId="0" fontId="29" fillId="0" borderId="0" xfId="3006" applyFont="1" applyAlignment="1">
      <alignment horizontal="center" vertical="center" wrapText="1"/>
    </xf>
    <xf numFmtId="0" fontId="29" fillId="0" borderId="0" xfId="3006" applyFont="1" applyAlignment="1">
      <alignment horizontal="center" vertical="center"/>
    </xf>
    <xf numFmtId="0" fontId="130" fillId="0" borderId="25" xfId="3006" applyFont="1" applyBorder="1" applyAlignment="1">
      <alignment horizontal="left" vertical="center"/>
    </xf>
    <xf numFmtId="0" fontId="4" fillId="0" borderId="0" xfId="2" applyFont="1" applyAlignment="1">
      <alignment horizontal="distributed" vertical="center"/>
    </xf>
    <xf numFmtId="0" fontId="13" fillId="0" borderId="1" xfId="2" applyFont="1" applyBorder="1" applyAlignment="1">
      <alignment horizontal="center" vertical="center" wrapText="1"/>
    </xf>
    <xf numFmtId="41" fontId="13" fillId="0" borderId="1" xfId="1" applyFont="1" applyFill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5" fillId="0" borderId="0" xfId="2" applyFont="1" applyAlignment="1">
      <alignment horizontal="left" vertical="center"/>
    </xf>
    <xf numFmtId="0" fontId="10" fillId="0" borderId="1" xfId="2" applyFont="1" applyBorder="1" applyAlignment="1">
      <alignment horizontal="left" vertical="center" wrapText="1"/>
    </xf>
    <xf numFmtId="41" fontId="10" fillId="0" borderId="1" xfId="1" applyFont="1" applyBorder="1" applyAlignment="1">
      <alignment horizontal="center" vertical="center" wrapText="1"/>
    </xf>
    <xf numFmtId="0" fontId="10" fillId="0" borderId="1" xfId="2" applyFont="1" applyBorder="1" applyAlignment="1">
      <alignment horizontal="distributed" vertical="center" wrapText="1"/>
    </xf>
    <xf numFmtId="178" fontId="13" fillId="0" borderId="1" xfId="2" applyNumberFormat="1" applyFont="1" applyBorder="1" applyAlignment="1">
      <alignment horizontal="center" vertical="center" wrapText="1" justifyLastLine="1"/>
    </xf>
    <xf numFmtId="0" fontId="10" fillId="0" borderId="1" xfId="2" applyFont="1" applyBorder="1" applyAlignment="1">
      <alignment horizontal="distributed" vertical="center" wrapText="1" justifyLastLine="1"/>
    </xf>
    <xf numFmtId="10" fontId="10" fillId="0" borderId="2" xfId="2" applyNumberFormat="1" applyFont="1" applyBorder="1" applyAlignment="1">
      <alignment horizontal="center" vertical="center" wrapText="1"/>
    </xf>
    <xf numFmtId="10" fontId="10" fillId="0" borderId="3" xfId="2" applyNumberFormat="1" applyFont="1" applyBorder="1" applyAlignment="1">
      <alignment horizontal="center" vertical="center" wrapText="1"/>
    </xf>
    <xf numFmtId="10" fontId="10" fillId="0" borderId="4" xfId="2" applyNumberFormat="1" applyFont="1" applyBorder="1" applyAlignment="1">
      <alignment horizontal="center" vertical="center" wrapText="1"/>
    </xf>
    <xf numFmtId="41" fontId="13" fillId="0" borderId="5" xfId="2" applyNumberFormat="1" applyFont="1" applyBorder="1" applyAlignment="1">
      <alignment horizontal="left" vertical="center" wrapText="1"/>
    </xf>
    <xf numFmtId="6" fontId="13" fillId="0" borderId="6" xfId="2" applyNumberFormat="1" applyFont="1" applyBorder="1" applyAlignment="1">
      <alignment horizontal="left" vertical="center" wrapText="1"/>
    </xf>
    <xf numFmtId="6" fontId="13" fillId="0" borderId="7" xfId="2" applyNumberFormat="1" applyFont="1" applyBorder="1" applyAlignment="1">
      <alignment horizontal="left" vertical="center" wrapText="1"/>
    </xf>
    <xf numFmtId="6" fontId="13" fillId="0" borderId="9" xfId="2" applyNumberFormat="1" applyFont="1" applyBorder="1" applyAlignment="1">
      <alignment horizontal="left" vertical="center" wrapText="1"/>
    </xf>
    <xf numFmtId="6" fontId="13" fillId="0" borderId="10" xfId="2" applyNumberFormat="1" applyFont="1" applyBorder="1" applyAlignment="1">
      <alignment horizontal="left" vertical="center" wrapText="1"/>
    </xf>
    <xf numFmtId="6" fontId="13" fillId="0" borderId="11" xfId="2" applyNumberFormat="1" applyFont="1" applyBorder="1" applyAlignment="1">
      <alignment horizontal="left" vertical="center" wrapText="1"/>
    </xf>
    <xf numFmtId="0" fontId="10" fillId="0" borderId="2" xfId="2" applyFont="1" applyBorder="1" applyAlignment="1">
      <alignment horizontal="distributed" vertical="center" wrapText="1"/>
    </xf>
    <xf numFmtId="0" fontId="10" fillId="0" borderId="3" xfId="2" applyFont="1" applyBorder="1" applyAlignment="1">
      <alignment horizontal="distributed" vertical="center" wrapText="1"/>
    </xf>
    <xf numFmtId="0" fontId="10" fillId="0" borderId="4" xfId="2" applyFont="1" applyBorder="1" applyAlignment="1">
      <alignment horizontal="distributed" vertical="center" wrapText="1"/>
    </xf>
    <xf numFmtId="0" fontId="10" fillId="0" borderId="2" xfId="2" applyFont="1" applyBorder="1" applyAlignment="1">
      <alignment horizontal="center" vertical="center" wrapText="1"/>
    </xf>
    <xf numFmtId="0" fontId="10" fillId="0" borderId="3" xfId="2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 wrapText="1"/>
    </xf>
    <xf numFmtId="0" fontId="125" fillId="0" borderId="0" xfId="2" applyFont="1" applyAlignment="1">
      <alignment horizontal="left" vertical="center"/>
    </xf>
    <xf numFmtId="0" fontId="125" fillId="0" borderId="0" xfId="2" applyFont="1" applyAlignment="1">
      <alignment horizontal="distributed" vertical="center"/>
    </xf>
    <xf numFmtId="41" fontId="4" fillId="0" borderId="5" xfId="1" applyFont="1" applyBorder="1" applyAlignment="1">
      <alignment horizontal="center" vertical="center"/>
    </xf>
    <xf numFmtId="41" fontId="4" fillId="0" borderId="6" xfId="1" applyFont="1" applyBorder="1" applyAlignment="1">
      <alignment horizontal="center" vertical="center"/>
    </xf>
    <xf numFmtId="41" fontId="4" fillId="0" borderId="7" xfId="1" applyFont="1" applyBorder="1" applyAlignment="1">
      <alignment horizontal="center" vertical="center"/>
    </xf>
    <xf numFmtId="41" fontId="4" fillId="0" borderId="75" xfId="1" applyFont="1" applyBorder="1" applyAlignment="1">
      <alignment horizontal="center" vertical="center"/>
    </xf>
    <xf numFmtId="41" fontId="4" fillId="0" borderId="0" xfId="1" applyFont="1" applyBorder="1" applyAlignment="1">
      <alignment horizontal="center" vertical="center"/>
    </xf>
    <xf numFmtId="41" fontId="4" fillId="0" borderId="26" xfId="1" applyFont="1" applyBorder="1" applyAlignment="1">
      <alignment horizontal="center" vertical="center"/>
    </xf>
    <xf numFmtId="41" fontId="120" fillId="0" borderId="2" xfId="2" applyNumberFormat="1" applyFont="1" applyBorder="1" applyAlignment="1">
      <alignment horizontal="center" vertical="center" wrapText="1"/>
    </xf>
    <xf numFmtId="41" fontId="120" fillId="0" borderId="4" xfId="2" applyNumberFormat="1" applyFont="1" applyBorder="1" applyAlignment="1">
      <alignment horizontal="center" vertical="center" wrapText="1"/>
    </xf>
    <xf numFmtId="41" fontId="120" fillId="0" borderId="2" xfId="1" applyFont="1" applyFill="1" applyBorder="1" applyAlignment="1">
      <alignment horizontal="center" vertical="center" wrapText="1"/>
    </xf>
    <xf numFmtId="41" fontId="120" fillId="0" borderId="4" xfId="1" applyFont="1" applyFill="1" applyBorder="1" applyAlignment="1">
      <alignment horizontal="center" vertical="center" wrapText="1"/>
    </xf>
    <xf numFmtId="41" fontId="120" fillId="0" borderId="2" xfId="1" applyFont="1" applyBorder="1" applyAlignment="1">
      <alignment horizontal="center" vertical="center" wrapText="1"/>
    </xf>
    <xf numFmtId="41" fontId="120" fillId="0" borderId="3" xfId="1" applyFont="1" applyBorder="1" applyAlignment="1">
      <alignment horizontal="center" vertical="center" wrapText="1"/>
    </xf>
    <xf numFmtId="41" fontId="120" fillId="0" borderId="4" xfId="1" applyFont="1" applyBorder="1" applyAlignment="1">
      <alignment horizontal="center" vertical="center" wrapText="1"/>
    </xf>
    <xf numFmtId="0" fontId="24" fillId="0" borderId="93" xfId="3001" applyFont="1" applyBorder="1" applyAlignment="1">
      <alignment horizontal="center" vertical="center"/>
    </xf>
    <xf numFmtId="0" fontId="24" fillId="0" borderId="79" xfId="3001" applyFont="1" applyBorder="1" applyAlignment="1">
      <alignment horizontal="center" vertical="center"/>
    </xf>
    <xf numFmtId="0" fontId="24" fillId="0" borderId="72" xfId="3001" applyFont="1" applyBorder="1" applyAlignment="1">
      <alignment horizontal="center" vertical="center"/>
    </xf>
    <xf numFmtId="0" fontId="24" fillId="0" borderId="26" xfId="3001" applyFont="1" applyBorder="1" applyAlignment="1">
      <alignment horizontal="center" vertical="center"/>
    </xf>
    <xf numFmtId="0" fontId="24" fillId="0" borderId="95" xfId="3001" applyFont="1" applyBorder="1" applyAlignment="1">
      <alignment horizontal="center" vertical="center"/>
    </xf>
    <xf numFmtId="0" fontId="24" fillId="0" borderId="11" xfId="3001" applyFont="1" applyBorder="1" applyAlignment="1">
      <alignment horizontal="center" vertical="center"/>
    </xf>
    <xf numFmtId="0" fontId="24" fillId="0" borderId="1" xfId="3001" applyFont="1" applyBorder="1" applyAlignment="1">
      <alignment vertical="center" shrinkToFit="1"/>
    </xf>
    <xf numFmtId="0" fontId="24" fillId="0" borderId="106" xfId="3001" quotePrefix="1" applyFont="1" applyBorder="1" applyAlignment="1">
      <alignment horizontal="right" vertical="center"/>
    </xf>
    <xf numFmtId="0" fontId="24" fillId="0" borderId="74" xfId="3001" quotePrefix="1" applyFont="1" applyBorder="1" applyAlignment="1">
      <alignment horizontal="right" vertical="center"/>
    </xf>
    <xf numFmtId="0" fontId="24" fillId="0" borderId="63" xfId="3001" quotePrefix="1" applyFont="1" applyBorder="1" applyAlignment="1">
      <alignment horizontal="left" vertical="center"/>
    </xf>
    <xf numFmtId="203" fontId="24" fillId="0" borderId="63" xfId="3002" applyFont="1" applyBorder="1" applyAlignment="1">
      <alignment horizontal="center" vertical="center"/>
    </xf>
    <xf numFmtId="0" fontId="24" fillId="0" borderId="1" xfId="3001" applyFont="1" applyBorder="1" applyAlignment="1">
      <alignment horizontal="left" vertical="center" wrapText="1"/>
    </xf>
    <xf numFmtId="0" fontId="24" fillId="0" borderId="1" xfId="3001" applyFont="1" applyBorder="1" applyAlignment="1">
      <alignment horizontal="left" vertical="center"/>
    </xf>
    <xf numFmtId="0" fontId="24" fillId="0" borderId="12" xfId="3001" applyFont="1" applyBorder="1" applyAlignment="1">
      <alignment horizontal="left" vertical="center" wrapText="1"/>
    </xf>
    <xf numFmtId="0" fontId="24" fillId="0" borderId="12" xfId="3001" applyFont="1" applyBorder="1" applyAlignment="1">
      <alignment horizontal="left" vertical="center"/>
    </xf>
    <xf numFmtId="0" fontId="24" fillId="0" borderId="12" xfId="3001" applyFont="1" applyBorder="1" applyAlignment="1">
      <alignment vertical="center" shrinkToFit="1"/>
    </xf>
    <xf numFmtId="0" fontId="24" fillId="0" borderId="12" xfId="3001" applyFont="1" applyBorder="1" applyAlignment="1">
      <alignment horizontal="left" vertical="center" wrapText="1" shrinkToFit="1"/>
    </xf>
    <xf numFmtId="0" fontId="24" fillId="0" borderId="12" xfId="3001" applyFont="1" applyBorder="1" applyAlignment="1">
      <alignment horizontal="left" vertical="center" shrinkToFit="1"/>
    </xf>
    <xf numFmtId="203" fontId="24" fillId="0" borderId="74" xfId="3002" applyFont="1" applyBorder="1" applyAlignment="1">
      <alignment horizontal="center" vertical="center" shrinkToFit="1"/>
    </xf>
    <xf numFmtId="0" fontId="24" fillId="0" borderId="1" xfId="3001" applyFont="1" applyBorder="1" applyAlignment="1">
      <alignment horizontal="left" vertical="center" indent="1"/>
    </xf>
    <xf numFmtId="0" fontId="24" fillId="0" borderId="12" xfId="3001" applyFont="1" applyBorder="1" applyAlignment="1">
      <alignment vertical="center"/>
    </xf>
    <xf numFmtId="0" fontId="24" fillId="0" borderId="1" xfId="3001" applyFont="1" applyBorder="1" applyAlignment="1">
      <alignment horizontal="left" vertical="center" shrinkToFit="1"/>
    </xf>
    <xf numFmtId="0" fontId="24" fillId="0" borderId="106" xfId="3001" applyFont="1" applyBorder="1" applyAlignment="1">
      <alignment horizontal="right" vertical="center"/>
    </xf>
    <xf numFmtId="0" fontId="24" fillId="0" borderId="74" xfId="3001" applyFont="1" applyBorder="1" applyAlignment="1">
      <alignment horizontal="right" vertical="center"/>
    </xf>
    <xf numFmtId="0" fontId="134" fillId="0" borderId="100" xfId="3008" applyFont="1" applyBorder="1" applyAlignment="1">
      <alignment horizontal="center" vertical="center"/>
    </xf>
    <xf numFmtId="0" fontId="134" fillId="0" borderId="27" xfId="3008" applyFont="1" applyBorder="1" applyAlignment="1">
      <alignment horizontal="center" vertical="center"/>
    </xf>
    <xf numFmtId="0" fontId="134" fillId="0" borderId="101" xfId="3008" applyFont="1" applyBorder="1" applyAlignment="1">
      <alignment horizontal="center" vertical="center"/>
    </xf>
    <xf numFmtId="0" fontId="134" fillId="0" borderId="102" xfId="3008" applyFont="1" applyBorder="1" applyAlignment="1">
      <alignment horizontal="center" vertical="center"/>
    </xf>
    <xf numFmtId="0" fontId="134" fillId="0" borderId="0" xfId="3008" applyFont="1" applyAlignment="1">
      <alignment horizontal="center" vertical="center"/>
    </xf>
    <xf numFmtId="0" fontId="134" fillId="0" borderId="103" xfId="3008" applyFont="1" applyBorder="1" applyAlignment="1">
      <alignment horizontal="center" vertical="center"/>
    </xf>
    <xf numFmtId="0" fontId="134" fillId="0" borderId="104" xfId="3008" applyFont="1" applyBorder="1" applyAlignment="1">
      <alignment horizontal="center" vertical="center"/>
    </xf>
    <xf numFmtId="0" fontId="134" fillId="0" borderId="99" xfId="3008" applyFont="1" applyBorder="1" applyAlignment="1">
      <alignment horizontal="center" vertical="center"/>
    </xf>
    <xf numFmtId="0" fontId="134" fillId="0" borderId="105" xfId="3008" applyFont="1" applyBorder="1" applyAlignment="1">
      <alignment horizontal="center" vertical="center"/>
    </xf>
    <xf numFmtId="0" fontId="135" fillId="0" borderId="0" xfId="3008" applyFont="1" applyAlignment="1">
      <alignment horizontal="center" vertical="center"/>
    </xf>
    <xf numFmtId="0" fontId="127" fillId="0" borderId="0" xfId="3009">
      <alignment vertical="center"/>
    </xf>
    <xf numFmtId="0" fontId="136" fillId="0" borderId="0" xfId="3008" applyFont="1" applyAlignment="1">
      <alignment horizontal="center" vertical="center"/>
    </xf>
    <xf numFmtId="0" fontId="139" fillId="0" borderId="0" xfId="3010" applyFont="1" applyAlignment="1">
      <alignment horizontal="left" vertical="center"/>
    </xf>
    <xf numFmtId="0" fontId="135" fillId="0" borderId="0" xfId="3010" applyFont="1" applyAlignment="1">
      <alignment horizontal="left" vertical="center"/>
    </xf>
    <xf numFmtId="0" fontId="139" fillId="0" borderId="39" xfId="3010" applyFont="1" applyBorder="1" applyAlignment="1">
      <alignment horizontal="center" vertical="center" wrapText="1"/>
    </xf>
    <xf numFmtId="0" fontId="135" fillId="0" borderId="60" xfId="3010" applyFont="1" applyBorder="1">
      <alignment vertical="center"/>
    </xf>
    <xf numFmtId="0" fontId="135" fillId="0" borderId="109" xfId="3010" applyFont="1" applyBorder="1">
      <alignment vertical="center"/>
    </xf>
    <xf numFmtId="0" fontId="139" fillId="0" borderId="49" xfId="3010" applyFont="1" applyBorder="1" applyAlignment="1">
      <alignment horizontal="center" vertical="center"/>
    </xf>
    <xf numFmtId="0" fontId="135" fillId="0" borderId="16" xfId="3010" applyFont="1" applyBorder="1">
      <alignment vertical="center"/>
    </xf>
    <xf numFmtId="0" fontId="135" fillId="0" borderId="50" xfId="3010" applyFont="1" applyBorder="1">
      <alignment vertical="center"/>
    </xf>
    <xf numFmtId="296" fontId="142" fillId="0" borderId="110" xfId="3011" applyNumberFormat="1" applyFont="1" applyBorder="1" applyAlignment="1">
      <alignment horizontal="center" vertical="center" shrinkToFit="1"/>
    </xf>
    <xf numFmtId="296" fontId="142" fillId="0" borderId="70" xfId="3011" applyNumberFormat="1" applyFont="1" applyBorder="1" applyAlignment="1">
      <alignment horizontal="center" vertical="center" shrinkToFit="1"/>
    </xf>
    <xf numFmtId="41" fontId="142" fillId="0" borderId="110" xfId="3011" applyFont="1" applyBorder="1" applyAlignment="1">
      <alignment horizontal="right" vertical="center" shrinkToFit="1"/>
    </xf>
    <xf numFmtId="41" fontId="142" fillId="0" borderId="70" xfId="3011" applyFont="1" applyBorder="1" applyAlignment="1">
      <alignment horizontal="right" vertical="center" shrinkToFit="1"/>
    </xf>
    <xf numFmtId="41" fontId="142" fillId="0" borderId="122" xfId="3011" applyFont="1" applyBorder="1" applyAlignment="1">
      <alignment horizontal="center" vertical="center" shrinkToFit="1"/>
    </xf>
    <xf numFmtId="41" fontId="142" fillId="0" borderId="123" xfId="3011" applyFont="1" applyBorder="1" applyAlignment="1">
      <alignment horizontal="center" vertical="center" shrinkToFit="1"/>
    </xf>
    <xf numFmtId="41" fontId="44" fillId="0" borderId="22" xfId="3011" applyFont="1" applyBorder="1" applyAlignment="1">
      <alignment horizontal="right" vertical="center" shrinkToFit="1"/>
    </xf>
    <xf numFmtId="41" fontId="44" fillId="0" borderId="21" xfId="3011" applyFont="1" applyBorder="1" applyAlignment="1">
      <alignment horizontal="right" vertical="center" shrinkToFit="1"/>
    </xf>
    <xf numFmtId="0" fontId="52" fillId="0" borderId="62" xfId="3010" applyFont="1" applyBorder="1" applyAlignment="1">
      <alignment horizontal="center" vertical="center"/>
    </xf>
    <xf numFmtId="0" fontId="52" fillId="0" borderId="64" xfId="3010" applyFont="1" applyBorder="1" applyAlignment="1">
      <alignment horizontal="center" vertical="center"/>
    </xf>
    <xf numFmtId="0" fontId="142" fillId="0" borderId="13" xfId="3010" applyFont="1" applyBorder="1" applyAlignment="1">
      <alignment horizontal="center" vertical="center" shrinkToFit="1"/>
    </xf>
    <xf numFmtId="0" fontId="142" fillId="0" borderId="15" xfId="3010" applyFont="1" applyBorder="1" applyAlignment="1">
      <alignment horizontal="center" vertical="center" wrapText="1" shrinkToFit="1"/>
    </xf>
    <xf numFmtId="0" fontId="142" fillId="0" borderId="47" xfId="3010" applyFont="1" applyBorder="1" applyAlignment="1">
      <alignment horizontal="center" vertical="center" shrinkToFit="1"/>
    </xf>
    <xf numFmtId="41" fontId="44" fillId="0" borderId="13" xfId="3011" applyFont="1" applyBorder="1" applyAlignment="1">
      <alignment horizontal="right" vertical="center" shrinkToFit="1"/>
    </xf>
    <xf numFmtId="0" fontId="142" fillId="0" borderId="22" xfId="3010" applyFont="1" applyBorder="1" applyAlignment="1">
      <alignment horizontal="center" vertical="center" wrapText="1" shrinkToFit="1"/>
    </xf>
    <xf numFmtId="0" fontId="142" fillId="0" borderId="21" xfId="3010" applyFont="1" applyBorder="1" applyAlignment="1">
      <alignment horizontal="center" vertical="center" shrinkToFit="1"/>
    </xf>
    <xf numFmtId="0" fontId="142" fillId="0" borderId="22" xfId="3010" applyFont="1" applyBorder="1" applyAlignment="1">
      <alignment horizontal="center" vertical="center" shrinkToFit="1"/>
    </xf>
    <xf numFmtId="0" fontId="12" fillId="2" borderId="62" xfId="3010" applyFont="1" applyFill="1" applyBorder="1" applyAlignment="1">
      <alignment horizontal="center" vertical="center"/>
    </xf>
    <xf numFmtId="0" fontId="12" fillId="2" borderId="64" xfId="3010" applyFont="1" applyFill="1" applyBorder="1" applyAlignment="1">
      <alignment horizontal="center" vertical="center"/>
    </xf>
    <xf numFmtId="0" fontId="52" fillId="2" borderId="22" xfId="3010" applyFont="1" applyFill="1" applyBorder="1" applyAlignment="1">
      <alignment horizontal="center" vertical="center"/>
    </xf>
    <xf numFmtId="0" fontId="52" fillId="2" borderId="21" xfId="3010" applyFont="1" applyFill="1" applyBorder="1" applyAlignment="1">
      <alignment horizontal="center" vertical="center"/>
    </xf>
    <xf numFmtId="0" fontId="52" fillId="2" borderId="13" xfId="3010" applyFont="1" applyFill="1" applyBorder="1" applyAlignment="1">
      <alignment horizontal="center" vertical="center" shrinkToFit="1"/>
    </xf>
    <xf numFmtId="297" fontId="52" fillId="2" borderId="22" xfId="3010" applyNumberFormat="1" applyFont="1" applyFill="1" applyBorder="1" applyAlignment="1">
      <alignment horizontal="center" vertical="center" shrinkToFit="1"/>
    </xf>
    <xf numFmtId="297" fontId="52" fillId="2" borderId="21" xfId="3010" applyNumberFormat="1" applyFont="1" applyFill="1" applyBorder="1" applyAlignment="1">
      <alignment horizontal="center" vertical="center" shrinkToFit="1"/>
    </xf>
    <xf numFmtId="0" fontId="52" fillId="2" borderId="22" xfId="3010" applyFont="1" applyFill="1" applyBorder="1" applyAlignment="1">
      <alignment horizontal="center" vertical="center" shrinkToFit="1"/>
    </xf>
    <xf numFmtId="0" fontId="52" fillId="2" borderId="21" xfId="3010" applyFont="1" applyFill="1" applyBorder="1" applyAlignment="1">
      <alignment horizontal="center" vertical="center" shrinkToFit="1"/>
    </xf>
    <xf numFmtId="0" fontId="141" fillId="0" borderId="60" xfId="3010" applyFont="1" applyBorder="1" applyAlignment="1">
      <alignment horizontal="center" vertical="center" shrinkToFit="1"/>
    </xf>
    <xf numFmtId="0" fontId="141" fillId="0" borderId="73" xfId="3010" applyFont="1" applyBorder="1" applyAlignment="1">
      <alignment horizontal="center" vertical="center" shrinkToFit="1"/>
    </xf>
    <xf numFmtId="299" fontId="141" fillId="2" borderId="47" xfId="3010" applyNumberFormat="1" applyFont="1" applyFill="1" applyBorder="1" applyAlignment="1">
      <alignment horizontal="center" vertical="center" shrinkToFit="1"/>
    </xf>
    <xf numFmtId="299" fontId="141" fillId="2" borderId="14" xfId="3010" applyNumberFormat="1" applyFont="1" applyFill="1" applyBorder="1" applyAlignment="1">
      <alignment horizontal="center" vertical="center" shrinkToFit="1"/>
    </xf>
    <xf numFmtId="0" fontId="139" fillId="0" borderId="93" xfId="3010" applyFont="1" applyBorder="1" applyAlignment="1">
      <alignment horizontal="center" vertical="center" shrinkToFit="1"/>
    </xf>
    <xf numFmtId="0" fontId="139" fillId="0" borderId="113" xfId="3010" applyFont="1" applyBorder="1" applyAlignment="1">
      <alignment horizontal="center" vertical="center" shrinkToFit="1"/>
    </xf>
    <xf numFmtId="0" fontId="139" fillId="0" borderId="114" xfId="3010" applyFont="1" applyBorder="1" applyAlignment="1">
      <alignment horizontal="center" vertical="center" shrinkToFit="1"/>
    </xf>
    <xf numFmtId="0" fontId="139" fillId="0" borderId="115" xfId="3010" applyFont="1" applyBorder="1" applyAlignment="1">
      <alignment horizontal="center" vertical="center" shrinkToFit="1"/>
    </xf>
    <xf numFmtId="0" fontId="139" fillId="0" borderId="109" xfId="3010" applyFont="1" applyBorder="1" applyAlignment="1">
      <alignment horizontal="center" vertical="center" wrapText="1"/>
    </xf>
    <xf numFmtId="0" fontId="139" fillId="0" borderId="46" xfId="3010" applyFont="1" applyBorder="1" applyAlignment="1">
      <alignment horizontal="center" vertical="center" wrapText="1"/>
    </xf>
    <xf numFmtId="0" fontId="139" fillId="0" borderId="14" xfId="3010" applyFont="1" applyBorder="1" applyAlignment="1">
      <alignment horizontal="center" vertical="center" wrapText="1"/>
    </xf>
    <xf numFmtId="0" fontId="140" fillId="0" borderId="61" xfId="3010" applyFont="1" applyBorder="1" applyAlignment="1">
      <alignment horizontal="center" vertical="center" shrinkToFit="1"/>
    </xf>
    <xf numFmtId="0" fontId="140" fillId="0" borderId="47" xfId="3010" applyFont="1" applyBorder="1" applyAlignment="1">
      <alignment horizontal="center" vertical="center" shrinkToFit="1"/>
    </xf>
    <xf numFmtId="0" fontId="140" fillId="0" borderId="60" xfId="3010" applyFont="1" applyBorder="1" applyAlignment="1">
      <alignment horizontal="center" vertical="center" shrinkToFit="1"/>
    </xf>
    <xf numFmtId="0" fontId="140" fillId="0" borderId="109" xfId="3010" applyFont="1" applyBorder="1" applyAlignment="1">
      <alignment horizontal="center" vertical="center" shrinkToFit="1"/>
    </xf>
    <xf numFmtId="0" fontId="140" fillId="0" borderId="25" xfId="3010" applyFont="1" applyBorder="1" applyAlignment="1">
      <alignment horizontal="center" vertical="center" shrinkToFit="1"/>
    </xf>
    <xf numFmtId="0" fontId="140" fillId="0" borderId="14" xfId="3010" applyFont="1" applyBorder="1" applyAlignment="1">
      <alignment horizontal="center" vertical="center" shrinkToFit="1"/>
    </xf>
    <xf numFmtId="299" fontId="141" fillId="2" borderId="111" xfId="3010" applyNumberFormat="1" applyFont="1" applyFill="1" applyBorder="1" applyAlignment="1">
      <alignment horizontal="center" vertical="center" shrinkToFit="1"/>
    </xf>
    <xf numFmtId="299" fontId="141" fillId="2" borderId="112" xfId="3010" applyNumberFormat="1" applyFont="1" applyFill="1" applyBorder="1" applyAlignment="1">
      <alignment horizontal="center" vertical="center" shrinkToFit="1"/>
    </xf>
    <xf numFmtId="0" fontId="139" fillId="0" borderId="61" xfId="3010" applyFont="1" applyBorder="1" applyAlignment="1">
      <alignment horizontal="center" vertical="center" shrinkToFit="1"/>
    </xf>
    <xf numFmtId="0" fontId="139" fillId="0" borderId="109" xfId="3010" applyFont="1" applyBorder="1" applyAlignment="1">
      <alignment horizontal="center" vertical="center" shrinkToFit="1"/>
    </xf>
    <xf numFmtId="0" fontId="52" fillId="2" borderId="85" xfId="3010" applyFont="1" applyFill="1" applyBorder="1" applyAlignment="1">
      <alignment horizontal="center" vertical="center" shrinkToFit="1"/>
    </xf>
    <xf numFmtId="0" fontId="52" fillId="2" borderId="86" xfId="3010" applyFont="1" applyFill="1" applyBorder="1" applyAlignment="1">
      <alignment horizontal="center" vertical="center" shrinkToFit="1"/>
    </xf>
    <xf numFmtId="0" fontId="0" fillId="0" borderId="13" xfId="0" applyBorder="1" applyAlignment="1">
      <alignment horizontal="center" vertical="center" wrapText="1"/>
    </xf>
    <xf numFmtId="0" fontId="121" fillId="0" borderId="0" xfId="2" applyFont="1" applyAlignment="1">
      <alignment horizontal="distributed" vertical="center"/>
    </xf>
    <xf numFmtId="41" fontId="11" fillId="0" borderId="5" xfId="2" applyNumberFormat="1" applyFont="1" applyBorder="1" applyAlignment="1">
      <alignment horizontal="right" vertical="center" wrapText="1" indent="2"/>
    </xf>
    <xf numFmtId="41" fontId="11" fillId="0" borderId="6" xfId="2" applyNumberFormat="1" applyFont="1" applyBorder="1" applyAlignment="1">
      <alignment horizontal="right" vertical="center" wrapText="1" indent="2"/>
    </xf>
    <xf numFmtId="41" fontId="11" fillId="0" borderId="7" xfId="2" applyNumberFormat="1" applyFont="1" applyBorder="1" applyAlignment="1">
      <alignment horizontal="right" vertical="center" wrapText="1" indent="2"/>
    </xf>
    <xf numFmtId="0" fontId="11" fillId="0" borderId="1" xfId="2" applyFont="1" applyBorder="1" applyAlignment="1">
      <alignment horizontal="right" vertical="center" wrapText="1" indent="2"/>
    </xf>
    <xf numFmtId="300" fontId="4" fillId="0" borderId="5" xfId="1" applyNumberFormat="1" applyFont="1" applyBorder="1" applyAlignment="1">
      <alignment horizontal="right" vertical="center" indent="2"/>
    </xf>
    <xf numFmtId="300" fontId="4" fillId="0" borderId="6" xfId="1" applyNumberFormat="1" applyFont="1" applyBorder="1" applyAlignment="1">
      <alignment horizontal="right" vertical="center" indent="2"/>
    </xf>
    <xf numFmtId="300" fontId="4" fillId="0" borderId="7" xfId="1" applyNumberFormat="1" applyFont="1" applyBorder="1" applyAlignment="1">
      <alignment horizontal="right" vertical="center" indent="2"/>
    </xf>
    <xf numFmtId="300" fontId="4" fillId="0" borderId="75" xfId="1" applyNumberFormat="1" applyFont="1" applyBorder="1" applyAlignment="1">
      <alignment horizontal="right" vertical="center" indent="2"/>
    </xf>
    <xf numFmtId="300" fontId="4" fillId="0" borderId="0" xfId="1" applyNumberFormat="1" applyFont="1" applyBorder="1" applyAlignment="1">
      <alignment horizontal="right" vertical="center" indent="2"/>
    </xf>
    <xf numFmtId="300" fontId="4" fillId="0" borderId="26" xfId="1" applyNumberFormat="1" applyFont="1" applyBorder="1" applyAlignment="1">
      <alignment horizontal="right" vertical="center" indent="2"/>
    </xf>
  </cellXfs>
  <cellStyles count="3015">
    <cellStyle name="스타일 1" xfId="3" xr:uid="{00000000-0005-0000-0000-000000000000}"/>
    <cellStyle name="스타일 2" xfId="4" xr:uid="{00000000-0005-0000-0000-000001000000}"/>
    <cellStyle name="스타일 3" xfId="5" xr:uid="{00000000-0005-0000-0000-000002000000}"/>
    <cellStyle name="스타일 4" xfId="6" xr:uid="{00000000-0005-0000-0000-000003000000}"/>
    <cellStyle name="스타일 5" xfId="7" xr:uid="{00000000-0005-0000-0000-000004000000}"/>
    <cellStyle name="스타일 6" xfId="8" xr:uid="{00000000-0005-0000-0000-000005000000}"/>
    <cellStyle name="스타일 7" xfId="9" xr:uid="{00000000-0005-0000-0000-000006000000}"/>
    <cellStyle name="스타일 8" xfId="10" xr:uid="{00000000-0005-0000-0000-000007000000}"/>
    <cellStyle name="스타일 9" xfId="11" xr:uid="{00000000-0005-0000-0000-000008000000}"/>
    <cellStyle name="스타일 10" xfId="12" xr:uid="{00000000-0005-0000-0000-000009000000}"/>
    <cellStyle name="스타일 11" xfId="13" xr:uid="{00000000-0005-0000-0000-00000A000000}"/>
    <cellStyle name="스타일 12" xfId="14" xr:uid="{00000000-0005-0000-0000-00000B000000}"/>
    <cellStyle name="스타일 13" xfId="15" xr:uid="{00000000-0005-0000-0000-00000C000000}"/>
    <cellStyle name="스타일 14" xfId="16" xr:uid="{00000000-0005-0000-0000-00000D000000}"/>
    <cellStyle name="스타일 15" xfId="17" xr:uid="{00000000-0005-0000-0000-00000E000000}"/>
    <cellStyle name="스타일 16" xfId="18" xr:uid="{00000000-0005-0000-0000-00000F000000}"/>
    <cellStyle name="스타일 17" xfId="76" xr:uid="{00000000-0005-0000-0000-000010000000}"/>
    <cellStyle name="스타일 18" xfId="77" xr:uid="{00000000-0005-0000-0000-000011000000}"/>
    <cellStyle name="스타일 19" xfId="78" xr:uid="{00000000-0005-0000-0000-000012000000}"/>
    <cellStyle name="스타일 20" xfId="79" xr:uid="{00000000-0005-0000-0000-000013000000}"/>
    <cellStyle name="스타일 21" xfId="19" xr:uid="{00000000-0005-0000-0000-000014000000}"/>
    <cellStyle name="스타일 22" xfId="20" xr:uid="{00000000-0005-0000-0000-000015000000}"/>
    <cellStyle name="스타일 23" xfId="21" xr:uid="{00000000-0005-0000-0000-000016000000}"/>
    <cellStyle name="스타일 24" xfId="22" xr:uid="{00000000-0005-0000-0000-000017000000}"/>
    <cellStyle name="스타일 25" xfId="23" xr:uid="{00000000-0005-0000-0000-000018000000}"/>
    <cellStyle name="스타일 26" xfId="24" xr:uid="{00000000-0005-0000-0000-000019000000}"/>
    <cellStyle name="스타일 27" xfId="25" xr:uid="{00000000-0005-0000-0000-00001A000000}"/>
    <cellStyle name="스타일 28" xfId="26" xr:uid="{00000000-0005-0000-0000-00001B000000}"/>
    <cellStyle name="스타일 29" xfId="27" xr:uid="{00000000-0005-0000-0000-00001C000000}"/>
    <cellStyle name="스타일 30" xfId="28" xr:uid="{00000000-0005-0000-0000-00001D000000}"/>
    <cellStyle name="스타일 31" xfId="29" xr:uid="{00000000-0005-0000-0000-00001E000000}"/>
    <cellStyle name="스타일 32" xfId="30" xr:uid="{00000000-0005-0000-0000-00001F000000}"/>
    <cellStyle name="스타일 33" xfId="31" xr:uid="{00000000-0005-0000-0000-000020000000}"/>
    <cellStyle name="스타일 34" xfId="32" xr:uid="{00000000-0005-0000-0000-000021000000}"/>
    <cellStyle name="스타일 35" xfId="33" xr:uid="{00000000-0005-0000-0000-000022000000}"/>
    <cellStyle name="스타일 36" xfId="34" xr:uid="{00000000-0005-0000-0000-000023000000}"/>
    <cellStyle name="스타일 37" xfId="35" xr:uid="{00000000-0005-0000-0000-000024000000}"/>
    <cellStyle name="스타일 38" xfId="36" xr:uid="{00000000-0005-0000-0000-000025000000}"/>
    <cellStyle name="스타일 39" xfId="37" xr:uid="{00000000-0005-0000-0000-000026000000}"/>
    <cellStyle name="스타일 40" xfId="38" xr:uid="{00000000-0005-0000-0000-000027000000}"/>
    <cellStyle name="스타일 41" xfId="39" xr:uid="{00000000-0005-0000-0000-000028000000}"/>
    <cellStyle name="스타일 42" xfId="40" xr:uid="{00000000-0005-0000-0000-000029000000}"/>
    <cellStyle name="스타일 43" xfId="41" xr:uid="{00000000-0005-0000-0000-00002A000000}"/>
    <cellStyle name="스타일 44" xfId="42" xr:uid="{00000000-0005-0000-0000-00002B000000}"/>
    <cellStyle name="스타일 45" xfId="43" xr:uid="{00000000-0005-0000-0000-00002C000000}"/>
    <cellStyle name="스타일 46" xfId="44" xr:uid="{00000000-0005-0000-0000-00002D000000}"/>
    <cellStyle name="스타일 47" xfId="45" xr:uid="{00000000-0005-0000-0000-00002E000000}"/>
    <cellStyle name="스타일 48" xfId="46" xr:uid="{00000000-0005-0000-0000-00002F000000}"/>
    <cellStyle name="스타일 49" xfId="47" xr:uid="{00000000-0005-0000-0000-000030000000}"/>
    <cellStyle name="스타일 50" xfId="48" xr:uid="{00000000-0005-0000-0000-000031000000}"/>
    <cellStyle name="스타일 51" xfId="49" xr:uid="{00000000-0005-0000-0000-000032000000}"/>
    <cellStyle name="스타일 52" xfId="50" xr:uid="{00000000-0005-0000-0000-000033000000}"/>
    <cellStyle name="스타일 53" xfId="51" xr:uid="{00000000-0005-0000-0000-000034000000}"/>
    <cellStyle name="스타일 54" xfId="52" xr:uid="{00000000-0005-0000-0000-000035000000}"/>
    <cellStyle name="스타일 55" xfId="53" xr:uid="{00000000-0005-0000-0000-000036000000}"/>
    <cellStyle name="스타일 56" xfId="54" xr:uid="{00000000-0005-0000-0000-000037000000}"/>
    <cellStyle name="스타일 57" xfId="55" xr:uid="{00000000-0005-0000-0000-000038000000}"/>
    <cellStyle name="스타일 58" xfId="56" xr:uid="{00000000-0005-0000-0000-000039000000}"/>
    <cellStyle name="스타일 59" xfId="57" xr:uid="{00000000-0005-0000-0000-00003A000000}"/>
    <cellStyle name="스타일 60" xfId="58" xr:uid="{00000000-0005-0000-0000-00003B000000}"/>
    <cellStyle name="스타일 61" xfId="59" xr:uid="{00000000-0005-0000-0000-00003C000000}"/>
    <cellStyle name="스타일 62" xfId="60" xr:uid="{00000000-0005-0000-0000-00003D000000}"/>
    <cellStyle name="스타일 63" xfId="61" xr:uid="{00000000-0005-0000-0000-00003E000000}"/>
    <cellStyle name="스타일 64" xfId="62" xr:uid="{00000000-0005-0000-0000-00003F000000}"/>
    <cellStyle name="스타일 65" xfId="63" xr:uid="{00000000-0005-0000-0000-000040000000}"/>
    <cellStyle name="스타일 66" xfId="64" xr:uid="{00000000-0005-0000-0000-000041000000}"/>
    <cellStyle name="스타일 67" xfId="65" xr:uid="{00000000-0005-0000-0000-000042000000}"/>
    <cellStyle name="스타일 68" xfId="66" xr:uid="{00000000-0005-0000-0000-000043000000}"/>
    <cellStyle name="스타일 69" xfId="67" xr:uid="{00000000-0005-0000-0000-000044000000}"/>
    <cellStyle name="스타일 70" xfId="68" xr:uid="{00000000-0005-0000-0000-000045000000}"/>
    <cellStyle name="스타일 71" xfId="69" xr:uid="{00000000-0005-0000-0000-000046000000}"/>
    <cellStyle name="스타일 72" xfId="70" xr:uid="{00000000-0005-0000-0000-000047000000}"/>
    <cellStyle name="스타일 73" xfId="71" xr:uid="{00000000-0005-0000-0000-000048000000}"/>
    <cellStyle name="스타일 74" xfId="72" xr:uid="{00000000-0005-0000-0000-000049000000}"/>
    <cellStyle name="스타일 75" xfId="73" xr:uid="{00000000-0005-0000-0000-00004A000000}"/>
    <cellStyle name="스타일 76" xfId="74" xr:uid="{00000000-0005-0000-0000-00004B000000}"/>
    <cellStyle name="스타일 77" xfId="75" xr:uid="{00000000-0005-0000-0000-00004C000000}"/>
    <cellStyle name="스타일 78" xfId="80" xr:uid="{00000000-0005-0000-0000-00004D000000}"/>
    <cellStyle name="스타일 79" xfId="81" xr:uid="{00000000-0005-0000-0000-00004E000000}"/>
    <cellStyle name="스타일 80" xfId="82" xr:uid="{00000000-0005-0000-0000-00004F000000}"/>
    <cellStyle name="스타일 81" xfId="83" xr:uid="{00000000-0005-0000-0000-000050000000}"/>
    <cellStyle name="스타일 82" xfId="84" xr:uid="{00000000-0005-0000-0000-000051000000}"/>
    <cellStyle name="스타일 83" xfId="85" xr:uid="{00000000-0005-0000-0000-000052000000}"/>
    <cellStyle name="스타일 84" xfId="86" xr:uid="{00000000-0005-0000-0000-000053000000}"/>
    <cellStyle name="스타일 85" xfId="87" xr:uid="{00000000-0005-0000-0000-000054000000}"/>
    <cellStyle name="스타일 86" xfId="89" xr:uid="{00000000-0005-0000-0000-000055000000}"/>
    <cellStyle name="스타일 87" xfId="90" xr:uid="{00000000-0005-0000-0000-000056000000}"/>
    <cellStyle name="스타일 88" xfId="88" xr:uid="{00000000-0005-0000-0000-000057000000}"/>
    <cellStyle name="스타일 89" xfId="92" xr:uid="{00000000-0005-0000-0000-000058000000}"/>
    <cellStyle name="스타일 90" xfId="91" xr:uid="{00000000-0005-0000-0000-000059000000}"/>
    <cellStyle name="스타일 91" xfId="93" xr:uid="{00000000-0005-0000-0000-00005A000000}"/>
    <cellStyle name="스타일 92" xfId="94" xr:uid="{00000000-0005-0000-0000-00005B000000}"/>
    <cellStyle name="스타일 93" xfId="95" xr:uid="{00000000-0005-0000-0000-00005C000000}"/>
    <cellStyle name="스타일 94" xfId="96" xr:uid="{00000000-0005-0000-0000-00005D000000}"/>
    <cellStyle name="스타일 95" xfId="97" xr:uid="{00000000-0005-0000-0000-00005E000000}"/>
    <cellStyle name="스타일 96" xfId="98" xr:uid="{00000000-0005-0000-0000-00005F000000}"/>
    <cellStyle name="스타일 97" xfId="99" xr:uid="{00000000-0005-0000-0000-000060000000}"/>
    <cellStyle name="스타일 98" xfId="100" xr:uid="{00000000-0005-0000-0000-000061000000}"/>
    <cellStyle name="스타일 99" xfId="101" xr:uid="{00000000-0005-0000-0000-000062000000}"/>
    <cellStyle name="스타일 100" xfId="102" xr:uid="{00000000-0005-0000-0000-000063000000}"/>
    <cellStyle name="스타일 101" xfId="103" xr:uid="{00000000-0005-0000-0000-000064000000}"/>
    <cellStyle name="스타일 102" xfId="104" xr:uid="{00000000-0005-0000-0000-000065000000}"/>
    <cellStyle name="스타일 103" xfId="105" xr:uid="{00000000-0005-0000-0000-000066000000}"/>
    <cellStyle name="스타일 104" xfId="106" xr:uid="{00000000-0005-0000-0000-000067000000}"/>
    <cellStyle name="스타일 105" xfId="107" xr:uid="{00000000-0005-0000-0000-000068000000}"/>
    <cellStyle name="스타일 106" xfId="108" xr:uid="{00000000-0005-0000-0000-000069000000}"/>
    <cellStyle name="스타일 107" xfId="109" xr:uid="{00000000-0005-0000-0000-00006A000000}"/>
    <cellStyle name="스타일 108" xfId="110" xr:uid="{00000000-0005-0000-0000-00006B000000}"/>
    <cellStyle name="스타일 109" xfId="111" xr:uid="{00000000-0005-0000-0000-00006C000000}"/>
    <cellStyle name="스타일 110" xfId="112" xr:uid="{00000000-0005-0000-0000-00006D000000}"/>
    <cellStyle name="스타일 111" xfId="113" xr:uid="{00000000-0005-0000-0000-00006E000000}"/>
    <cellStyle name="스타일 112" xfId="114" xr:uid="{00000000-0005-0000-0000-00006F000000}"/>
    <cellStyle name="스타일 113" xfId="115" xr:uid="{00000000-0005-0000-0000-000070000000}"/>
    <cellStyle name="스타일 114" xfId="116" xr:uid="{00000000-0005-0000-0000-000071000000}"/>
    <cellStyle name="스타일 115" xfId="117" xr:uid="{00000000-0005-0000-0000-000072000000}"/>
    <cellStyle name="스타일 116" xfId="1622" xr:uid="{00000000-0005-0000-0000-000073000000}"/>
    <cellStyle name="스타일 117" xfId="1623" xr:uid="{00000000-0005-0000-0000-000074000000}"/>
    <cellStyle name="스타일 118" xfId="1624" xr:uid="{00000000-0005-0000-0000-000075000000}"/>
    <cellStyle name="스타일 119" xfId="1625" xr:uid="{00000000-0005-0000-0000-000076000000}"/>
    <cellStyle name="스타일 120" xfId="1626" xr:uid="{00000000-0005-0000-0000-000077000000}"/>
    <cellStyle name="스타일 121" xfId="1627" xr:uid="{00000000-0005-0000-0000-000078000000}"/>
    <cellStyle name="스타일 122" xfId="1628" xr:uid="{00000000-0005-0000-0000-000079000000}"/>
    <cellStyle name="스타일 123" xfId="1629" xr:uid="{00000000-0005-0000-0000-00007A000000}"/>
    <cellStyle name="스타일 124" xfId="1630" xr:uid="{00000000-0005-0000-0000-00007B000000}"/>
    <cellStyle name="스타일 125" xfId="1631" xr:uid="{00000000-0005-0000-0000-00007C000000}"/>
    <cellStyle name="스타일 126" xfId="1632" xr:uid="{00000000-0005-0000-0000-00007D000000}"/>
    <cellStyle name="스타일 127" xfId="1633" xr:uid="{00000000-0005-0000-0000-00007E000000}"/>
    <cellStyle name="스타일 128" xfId="1634" xr:uid="{00000000-0005-0000-0000-00007F000000}"/>
    <cellStyle name="스타일 129" xfId="1635" xr:uid="{00000000-0005-0000-0000-000080000000}"/>
    <cellStyle name="스타일 130" xfId="1636" xr:uid="{00000000-0005-0000-0000-000081000000}"/>
    <cellStyle name="스타일 131" xfId="1637" xr:uid="{00000000-0005-0000-0000-000082000000}"/>
    <cellStyle name="스타일 132" xfId="1638" xr:uid="{00000000-0005-0000-0000-000083000000}"/>
    <cellStyle name="스타일 133" xfId="1639" xr:uid="{00000000-0005-0000-0000-000084000000}"/>
    <cellStyle name="스타일 134" xfId="1640" xr:uid="{00000000-0005-0000-0000-000085000000}"/>
    <cellStyle name="스타일 135" xfId="118" xr:uid="{00000000-0005-0000-0000-000086000000}"/>
    <cellStyle name="스타일 136" xfId="119" xr:uid="{00000000-0005-0000-0000-000087000000}"/>
    <cellStyle name="스타일 137" xfId="120" xr:uid="{00000000-0005-0000-0000-000088000000}"/>
    <cellStyle name="스타일 138" xfId="121" xr:uid="{00000000-0005-0000-0000-000089000000}"/>
    <cellStyle name="스타일 139" xfId="122" xr:uid="{00000000-0005-0000-0000-00008A000000}"/>
    <cellStyle name="스타일 140" xfId="123" xr:uid="{00000000-0005-0000-0000-00008B000000}"/>
    <cellStyle name="스타일 141" xfId="124" xr:uid="{00000000-0005-0000-0000-00008C000000}"/>
    <cellStyle name="스타일 142" xfId="125" xr:uid="{00000000-0005-0000-0000-00008D000000}"/>
    <cellStyle name="스타일 143" xfId="126" xr:uid="{00000000-0005-0000-0000-00008E000000}"/>
    <cellStyle name="스타일 144" xfId="127" xr:uid="{00000000-0005-0000-0000-00008F000000}"/>
    <cellStyle name="스타일 145" xfId="128" xr:uid="{00000000-0005-0000-0000-000090000000}"/>
    <cellStyle name="스타일 146" xfId="129" xr:uid="{00000000-0005-0000-0000-000091000000}"/>
    <cellStyle name="스타일 147" xfId="130" xr:uid="{00000000-0005-0000-0000-000092000000}"/>
    <cellStyle name="스타일 148" xfId="131" xr:uid="{00000000-0005-0000-0000-000093000000}"/>
    <cellStyle name="스타일 149" xfId="132" xr:uid="{00000000-0005-0000-0000-000094000000}"/>
    <cellStyle name="스타일 150" xfId="133" xr:uid="{00000000-0005-0000-0000-000095000000}"/>
    <cellStyle name="스타일 151" xfId="134" xr:uid="{00000000-0005-0000-0000-000096000000}"/>
    <cellStyle name="스타일 152" xfId="135" xr:uid="{00000000-0005-0000-0000-000097000000}"/>
    <cellStyle name="스타일 153" xfId="136" xr:uid="{00000000-0005-0000-0000-000098000000}"/>
    <cellStyle name="스타일 154" xfId="137" xr:uid="{00000000-0005-0000-0000-000099000000}"/>
    <cellStyle name="스타일 155" xfId="138" xr:uid="{00000000-0005-0000-0000-00009A000000}"/>
    <cellStyle name="스타일 156" xfId="139" xr:uid="{00000000-0005-0000-0000-00009B000000}"/>
    <cellStyle name="스타일 157" xfId="140" xr:uid="{00000000-0005-0000-0000-00009C000000}"/>
    <cellStyle name="스타일 158" xfId="141" xr:uid="{00000000-0005-0000-0000-00009D000000}"/>
    <cellStyle name="스타일 159" xfId="142" xr:uid="{00000000-0005-0000-0000-00009E000000}"/>
    <cellStyle name="스타일 160" xfId="143" xr:uid="{00000000-0005-0000-0000-00009F000000}"/>
    <cellStyle name="스타일 161" xfId="144" xr:uid="{00000000-0005-0000-0000-0000A0000000}"/>
    <cellStyle name="스타일 162" xfId="145" xr:uid="{00000000-0005-0000-0000-0000A1000000}"/>
    <cellStyle name="스타일 163" xfId="146" xr:uid="{00000000-0005-0000-0000-0000A2000000}"/>
    <cellStyle name="스타일 164" xfId="147" xr:uid="{00000000-0005-0000-0000-0000A3000000}"/>
    <cellStyle name="스타일 165" xfId="148" xr:uid="{00000000-0005-0000-0000-0000A4000000}"/>
    <cellStyle name="스타일 166" xfId="149" xr:uid="{00000000-0005-0000-0000-0000A5000000}"/>
    <cellStyle name="스타일 167" xfId="150" xr:uid="{00000000-0005-0000-0000-0000A6000000}"/>
    <cellStyle name="스타일 168" xfId="151" xr:uid="{00000000-0005-0000-0000-0000A7000000}"/>
    <cellStyle name="스타일 169" xfId="152" xr:uid="{00000000-0005-0000-0000-0000A8000000}"/>
    <cellStyle name="스타일 170" xfId="153" xr:uid="{00000000-0005-0000-0000-0000A9000000}"/>
    <cellStyle name="스타일 171" xfId="154" xr:uid="{00000000-0005-0000-0000-0000AA000000}"/>
    <cellStyle name="스타일 172" xfId="155" xr:uid="{00000000-0005-0000-0000-0000AB000000}"/>
    <cellStyle name="스타일 173" xfId="156" xr:uid="{00000000-0005-0000-0000-0000AC000000}"/>
    <cellStyle name="스타일 174" xfId="157" xr:uid="{00000000-0005-0000-0000-0000AD000000}"/>
    <cellStyle name="스타일 175" xfId="158" xr:uid="{00000000-0005-0000-0000-0000AE000000}"/>
    <cellStyle name="스타일 176" xfId="159" xr:uid="{00000000-0005-0000-0000-0000AF000000}"/>
    <cellStyle name="스타일 177" xfId="160" xr:uid="{00000000-0005-0000-0000-0000B0000000}"/>
    <cellStyle name="스타일 178" xfId="161" xr:uid="{00000000-0005-0000-0000-0000B1000000}"/>
    <cellStyle name="스타일 179" xfId="162" xr:uid="{00000000-0005-0000-0000-0000B2000000}"/>
    <cellStyle name="스타일 180" xfId="163" xr:uid="{00000000-0005-0000-0000-0000B3000000}"/>
    <cellStyle name="스타일 181" xfId="164" xr:uid="{00000000-0005-0000-0000-0000B4000000}"/>
    <cellStyle name="스타일 182" xfId="165" xr:uid="{00000000-0005-0000-0000-0000B5000000}"/>
    <cellStyle name="스타일 183" xfId="166" xr:uid="{00000000-0005-0000-0000-0000B6000000}"/>
    <cellStyle name="스타일 184" xfId="167" xr:uid="{00000000-0005-0000-0000-0000B7000000}"/>
    <cellStyle name="스타일 185" xfId="168" xr:uid="{00000000-0005-0000-0000-0000B8000000}"/>
    <cellStyle name="스타일 186" xfId="169" xr:uid="{00000000-0005-0000-0000-0000B9000000}"/>
    <cellStyle name="스타일 187" xfId="170" xr:uid="{00000000-0005-0000-0000-0000BA000000}"/>
    <cellStyle name="스타일 188" xfId="171" xr:uid="{00000000-0005-0000-0000-0000BB000000}"/>
    <cellStyle name="스타일 189" xfId="172" xr:uid="{00000000-0005-0000-0000-0000BC000000}"/>
    <cellStyle name="스타일 190" xfId="173" xr:uid="{00000000-0005-0000-0000-0000BD000000}"/>
    <cellStyle name="스타일 191" xfId="174" xr:uid="{00000000-0005-0000-0000-0000BE000000}"/>
    <cellStyle name="스타일 192" xfId="175" xr:uid="{00000000-0005-0000-0000-0000BF000000}"/>
    <cellStyle name="스타일 193" xfId="176" xr:uid="{00000000-0005-0000-0000-0000C0000000}"/>
    <cellStyle name="스타일 194" xfId="177" xr:uid="{00000000-0005-0000-0000-0000C1000000}"/>
    <cellStyle name="스타일 195" xfId="178" xr:uid="{00000000-0005-0000-0000-0000C2000000}"/>
    <cellStyle name="스타일 196" xfId="179" xr:uid="{00000000-0005-0000-0000-0000C3000000}"/>
    <cellStyle name="스타일 197" xfId="180" xr:uid="{00000000-0005-0000-0000-0000C4000000}"/>
    <cellStyle name="스타일 198" xfId="181" xr:uid="{00000000-0005-0000-0000-0000C5000000}"/>
    <cellStyle name="스타일 199" xfId="182" xr:uid="{00000000-0005-0000-0000-0000C6000000}"/>
    <cellStyle name="스타일 200" xfId="183" xr:uid="{00000000-0005-0000-0000-0000C7000000}"/>
    <cellStyle name="스타일 201" xfId="184" xr:uid="{00000000-0005-0000-0000-0000C8000000}"/>
    <cellStyle name="스타일 202" xfId="185" xr:uid="{00000000-0005-0000-0000-0000C9000000}"/>
    <cellStyle name="스타일 203" xfId="186" xr:uid="{00000000-0005-0000-0000-0000CA000000}"/>
    <cellStyle name="스타일 204" xfId="187" xr:uid="{00000000-0005-0000-0000-0000CB000000}"/>
    <cellStyle name="스타일 205" xfId="188" xr:uid="{00000000-0005-0000-0000-0000CC000000}"/>
    <cellStyle name="스타일 206" xfId="189" xr:uid="{00000000-0005-0000-0000-0000CD000000}"/>
    <cellStyle name="스타일 207" xfId="190" xr:uid="{00000000-0005-0000-0000-0000CE000000}"/>
    <cellStyle name="스타일 208" xfId="191" xr:uid="{00000000-0005-0000-0000-0000CF000000}"/>
    <cellStyle name="스타일 209" xfId="192" xr:uid="{00000000-0005-0000-0000-0000D0000000}"/>
    <cellStyle name="스타일 210" xfId="193" xr:uid="{00000000-0005-0000-0000-0000D1000000}"/>
    <cellStyle name="스타일 211" xfId="194" xr:uid="{00000000-0005-0000-0000-0000D2000000}"/>
    <cellStyle name="스타일 212" xfId="195" xr:uid="{00000000-0005-0000-0000-0000D3000000}"/>
    <cellStyle name="스타일 213" xfId="196" xr:uid="{00000000-0005-0000-0000-0000D4000000}"/>
    <cellStyle name="스타일 214" xfId="197" xr:uid="{00000000-0005-0000-0000-0000D5000000}"/>
    <cellStyle name="스타일 215" xfId="198" xr:uid="{00000000-0005-0000-0000-0000D6000000}"/>
    <cellStyle name="스타일 216" xfId="199" xr:uid="{00000000-0005-0000-0000-0000D7000000}"/>
    <cellStyle name="스타일 217" xfId="200" xr:uid="{00000000-0005-0000-0000-0000D8000000}"/>
    <cellStyle name="스타일 218" xfId="201" xr:uid="{00000000-0005-0000-0000-0000D9000000}"/>
    <cellStyle name="스타일 219" xfId="202" xr:uid="{00000000-0005-0000-0000-0000DA000000}"/>
    <cellStyle name="스타일 220" xfId="203" xr:uid="{00000000-0005-0000-0000-0000DB000000}"/>
    <cellStyle name="스타일 221" xfId="204" xr:uid="{00000000-0005-0000-0000-0000DC000000}"/>
    <cellStyle name="스타일 222" xfId="205" xr:uid="{00000000-0005-0000-0000-0000DD000000}"/>
    <cellStyle name="스타일 223" xfId="206" xr:uid="{00000000-0005-0000-0000-0000DE000000}"/>
    <cellStyle name="스타일 224" xfId="207" xr:uid="{00000000-0005-0000-0000-0000DF000000}"/>
    <cellStyle name="스타일 225" xfId="208" xr:uid="{00000000-0005-0000-0000-0000E0000000}"/>
    <cellStyle name="스타일 226" xfId="209" xr:uid="{00000000-0005-0000-0000-0000E1000000}"/>
    <cellStyle name="스타일 227" xfId="210" xr:uid="{00000000-0005-0000-0000-0000E2000000}"/>
    <cellStyle name="스타일 228" xfId="211" xr:uid="{00000000-0005-0000-0000-0000E3000000}"/>
    <cellStyle name="스타일 229" xfId="212" xr:uid="{00000000-0005-0000-0000-0000E4000000}"/>
    <cellStyle name="스타일 230" xfId="213" xr:uid="{00000000-0005-0000-0000-0000E5000000}"/>
    <cellStyle name="스타일 231" xfId="214" xr:uid="{00000000-0005-0000-0000-0000E6000000}"/>
    <cellStyle name="스타일 232" xfId="215" xr:uid="{00000000-0005-0000-0000-0000E7000000}"/>
    <cellStyle name="스타일 233" xfId="216" xr:uid="{00000000-0005-0000-0000-0000E8000000}"/>
    <cellStyle name="스타일 234" xfId="217" xr:uid="{00000000-0005-0000-0000-0000E9000000}"/>
    <cellStyle name="스타일 235" xfId="218" xr:uid="{00000000-0005-0000-0000-0000EA000000}"/>
    <cellStyle name="스타일 236" xfId="219" xr:uid="{00000000-0005-0000-0000-0000EB000000}"/>
    <cellStyle name="스타일 237" xfId="220" xr:uid="{00000000-0005-0000-0000-0000EC000000}"/>
    <cellStyle name="스타일 238" xfId="221" xr:uid="{00000000-0005-0000-0000-0000ED000000}"/>
    <cellStyle name="스타일 239" xfId="222" xr:uid="{00000000-0005-0000-0000-0000EE000000}"/>
    <cellStyle name="스타일 240" xfId="223" xr:uid="{00000000-0005-0000-0000-0000EF000000}"/>
    <cellStyle name="스타일 241" xfId="224" xr:uid="{00000000-0005-0000-0000-0000F0000000}"/>
    <cellStyle name="스타일 242" xfId="225" xr:uid="{00000000-0005-0000-0000-0000F1000000}"/>
    <cellStyle name="스타일 243" xfId="226" xr:uid="{00000000-0005-0000-0000-0000F2000000}"/>
    <cellStyle name="스타일 244" xfId="227" xr:uid="{00000000-0005-0000-0000-0000F3000000}"/>
    <cellStyle name="스타일 245" xfId="228" xr:uid="{00000000-0005-0000-0000-0000F4000000}"/>
    <cellStyle name="스타일 246" xfId="229" xr:uid="{00000000-0005-0000-0000-0000F5000000}"/>
    <cellStyle name="스타일 247" xfId="230" xr:uid="{00000000-0005-0000-0000-0000F6000000}"/>
    <cellStyle name="스타일 248" xfId="231" xr:uid="{00000000-0005-0000-0000-0000F7000000}"/>
    <cellStyle name="스타일 249" xfId="232" xr:uid="{00000000-0005-0000-0000-0000F8000000}"/>
    <cellStyle name="스타일 250" xfId="233" xr:uid="{00000000-0005-0000-0000-0000F9000000}"/>
    <cellStyle name="스타일 251" xfId="234" xr:uid="{00000000-0005-0000-0000-0000FA000000}"/>
    <cellStyle name="스타일 252" xfId="235" xr:uid="{00000000-0005-0000-0000-0000FB000000}"/>
    <cellStyle name="스타일 253" xfId="236" xr:uid="{00000000-0005-0000-0000-0000FC000000}"/>
    <cellStyle name="스타일 254" xfId="237" xr:uid="{00000000-0005-0000-0000-0000FD000000}"/>
    <cellStyle name="스타일 255" xfId="238" xr:uid="{00000000-0005-0000-0000-0000FE000000}"/>
    <cellStyle name="스타일 256" xfId="239" xr:uid="{00000000-0005-0000-0000-0000FF000000}"/>
    <cellStyle name="스타일 257" xfId="240" xr:uid="{00000000-0005-0000-0000-000000010000}"/>
    <cellStyle name="스타일 258" xfId="241" xr:uid="{00000000-0005-0000-0000-000001010000}"/>
    <cellStyle name="스타일 259" xfId="242" xr:uid="{00000000-0005-0000-0000-000002010000}"/>
    <cellStyle name="스타일 260" xfId="243" xr:uid="{00000000-0005-0000-0000-000003010000}"/>
    <cellStyle name="스타일 261" xfId="244" xr:uid="{00000000-0005-0000-0000-000004010000}"/>
    <cellStyle name="스타일 262" xfId="245" xr:uid="{00000000-0005-0000-0000-000005010000}"/>
    <cellStyle name="스타일 263" xfId="246" xr:uid="{00000000-0005-0000-0000-000006010000}"/>
    <cellStyle name="스타일 264" xfId="247" xr:uid="{00000000-0005-0000-0000-000007010000}"/>
    <cellStyle name="스타일 265" xfId="248" xr:uid="{00000000-0005-0000-0000-000008010000}"/>
    <cellStyle name="스타일 266" xfId="249" xr:uid="{00000000-0005-0000-0000-000009010000}"/>
    <cellStyle name="스타일 267" xfId="250" xr:uid="{00000000-0005-0000-0000-00000A010000}"/>
    <cellStyle name="스타일 268" xfId="251" xr:uid="{00000000-0005-0000-0000-00000B010000}"/>
    <cellStyle name="스타일 269" xfId="252" xr:uid="{00000000-0005-0000-0000-00000C010000}"/>
    <cellStyle name="스타일 270" xfId="253" xr:uid="{00000000-0005-0000-0000-00000D010000}"/>
    <cellStyle name="스타일 271" xfId="254" xr:uid="{00000000-0005-0000-0000-00000E010000}"/>
    <cellStyle name="스타일 272" xfId="255" xr:uid="{00000000-0005-0000-0000-00000F010000}"/>
    <cellStyle name="스타일 273" xfId="256" xr:uid="{00000000-0005-0000-0000-000010010000}"/>
    <cellStyle name="스타일 274" xfId="257" xr:uid="{00000000-0005-0000-0000-000011010000}"/>
    <cellStyle name="스타일 275" xfId="258" xr:uid="{00000000-0005-0000-0000-000012010000}"/>
    <cellStyle name="스타일 276" xfId="259" xr:uid="{00000000-0005-0000-0000-000013010000}"/>
    <cellStyle name="스타일 277" xfId="260" xr:uid="{00000000-0005-0000-0000-000014010000}"/>
    <cellStyle name="스타일 278" xfId="261" xr:uid="{00000000-0005-0000-0000-000015010000}"/>
    <cellStyle name="스타일 279" xfId="262" xr:uid="{00000000-0005-0000-0000-000016010000}"/>
    <cellStyle name="스타일 280" xfId="263" xr:uid="{00000000-0005-0000-0000-000017010000}"/>
    <cellStyle name="스타일 281" xfId="264" xr:uid="{00000000-0005-0000-0000-000018010000}"/>
    <cellStyle name="스타일 282" xfId="265" xr:uid="{00000000-0005-0000-0000-000019010000}"/>
    <cellStyle name="스타일 283" xfId="266" xr:uid="{00000000-0005-0000-0000-00001A010000}"/>
    <cellStyle name="스타일 284" xfId="267" xr:uid="{00000000-0005-0000-0000-00001B010000}"/>
    <cellStyle name="스타일 285" xfId="268" xr:uid="{00000000-0005-0000-0000-00001C010000}"/>
    <cellStyle name="스타일 286" xfId="269" xr:uid="{00000000-0005-0000-0000-00001D010000}"/>
    <cellStyle name="스타일 287" xfId="270" xr:uid="{00000000-0005-0000-0000-00001E010000}"/>
    <cellStyle name="스타일 288" xfId="271" xr:uid="{00000000-0005-0000-0000-00001F010000}"/>
    <cellStyle name="스타일 289" xfId="272" xr:uid="{00000000-0005-0000-0000-000020010000}"/>
    <cellStyle name="스타일 290" xfId="273" xr:uid="{00000000-0005-0000-0000-000021010000}"/>
    <cellStyle name="스타일 291" xfId="274" xr:uid="{00000000-0005-0000-0000-000022010000}"/>
    <cellStyle name="스타일 292" xfId="275" xr:uid="{00000000-0005-0000-0000-000023010000}"/>
    <cellStyle name="스타일 293" xfId="276" xr:uid="{00000000-0005-0000-0000-000024010000}"/>
    <cellStyle name="스타일 294" xfId="277" xr:uid="{00000000-0005-0000-0000-000025010000}"/>
    <cellStyle name="스타일 295" xfId="278" xr:uid="{00000000-0005-0000-0000-000026010000}"/>
    <cellStyle name="스타일 296" xfId="279" xr:uid="{00000000-0005-0000-0000-000027010000}"/>
    <cellStyle name="스타일 297" xfId="280" xr:uid="{00000000-0005-0000-0000-000028010000}"/>
    <cellStyle name="스타일 298" xfId="281" xr:uid="{00000000-0005-0000-0000-000029010000}"/>
    <cellStyle name="스타일 299" xfId="282" xr:uid="{00000000-0005-0000-0000-00002A010000}"/>
    <cellStyle name="스타일 300" xfId="283" xr:uid="{00000000-0005-0000-0000-00002B010000}"/>
    <cellStyle name="스타일 301" xfId="284" xr:uid="{00000000-0005-0000-0000-00002C010000}"/>
    <cellStyle name="스타일 302" xfId="285" xr:uid="{00000000-0005-0000-0000-00002D010000}"/>
    <cellStyle name="스타일 303" xfId="286" xr:uid="{00000000-0005-0000-0000-00002E010000}"/>
    <cellStyle name="스타일 304" xfId="287" xr:uid="{00000000-0005-0000-0000-00002F010000}"/>
    <cellStyle name="스타일 305" xfId="288" xr:uid="{00000000-0005-0000-0000-000030010000}"/>
    <cellStyle name="스타일 306" xfId="289" xr:uid="{00000000-0005-0000-0000-000031010000}"/>
    <cellStyle name="스타일 307" xfId="290" xr:uid="{00000000-0005-0000-0000-000032010000}"/>
    <cellStyle name="스타일 308" xfId="291" xr:uid="{00000000-0005-0000-0000-000033010000}"/>
    <cellStyle name="스타일 309" xfId="292" xr:uid="{00000000-0005-0000-0000-000034010000}"/>
    <cellStyle name="스타일 310" xfId="293" xr:uid="{00000000-0005-0000-0000-000035010000}"/>
    <cellStyle name="스타일 311" xfId="294" xr:uid="{00000000-0005-0000-0000-000036010000}"/>
    <cellStyle name="스타일 312" xfId="295" xr:uid="{00000000-0005-0000-0000-000037010000}"/>
    <cellStyle name="스타일 313" xfId="296" xr:uid="{00000000-0005-0000-0000-000038010000}"/>
    <cellStyle name="스타일 314" xfId="297" xr:uid="{00000000-0005-0000-0000-000039010000}"/>
    <cellStyle name="스타일 315" xfId="298" xr:uid="{00000000-0005-0000-0000-00003A010000}"/>
    <cellStyle name="스타일 316" xfId="299" xr:uid="{00000000-0005-0000-0000-00003B010000}"/>
    <cellStyle name="스타일 317" xfId="300" xr:uid="{00000000-0005-0000-0000-00003C010000}"/>
    <cellStyle name="스타일 318" xfId="301" xr:uid="{00000000-0005-0000-0000-00003D010000}"/>
    <cellStyle name="스타일 319" xfId="302" xr:uid="{00000000-0005-0000-0000-00003E010000}"/>
    <cellStyle name="스타일 320" xfId="303" xr:uid="{00000000-0005-0000-0000-00003F010000}"/>
    <cellStyle name="스타일 321" xfId="304" xr:uid="{00000000-0005-0000-0000-000040010000}"/>
    <cellStyle name="스타일 322" xfId="305" xr:uid="{00000000-0005-0000-0000-000041010000}"/>
    <cellStyle name="스타일 323" xfId="306" xr:uid="{00000000-0005-0000-0000-000042010000}"/>
    <cellStyle name="스타일 324" xfId="307" xr:uid="{00000000-0005-0000-0000-000043010000}"/>
    <cellStyle name="스타일 325" xfId="308" xr:uid="{00000000-0005-0000-0000-000044010000}"/>
    <cellStyle name="스타일 326" xfId="309" xr:uid="{00000000-0005-0000-0000-000045010000}"/>
    <cellStyle name="스타일 327" xfId="310" xr:uid="{00000000-0005-0000-0000-000046010000}"/>
    <cellStyle name="스타일 328" xfId="311" xr:uid="{00000000-0005-0000-0000-000047010000}"/>
    <cellStyle name="스타일 329" xfId="312" xr:uid="{00000000-0005-0000-0000-000048010000}"/>
    <cellStyle name="스타일 330" xfId="313" xr:uid="{00000000-0005-0000-0000-000049010000}"/>
    <cellStyle name="스타일 331" xfId="314" xr:uid="{00000000-0005-0000-0000-00004A010000}"/>
    <cellStyle name="스타일 332" xfId="315" xr:uid="{00000000-0005-0000-0000-00004B010000}"/>
    <cellStyle name="스타일 333" xfId="316" xr:uid="{00000000-0005-0000-0000-00004C010000}"/>
    <cellStyle name="스타일 334" xfId="317" xr:uid="{00000000-0005-0000-0000-00004D010000}"/>
    <cellStyle name="스타일 335" xfId="318" xr:uid="{00000000-0005-0000-0000-00004E010000}"/>
    <cellStyle name="스타일 336" xfId="319" xr:uid="{00000000-0005-0000-0000-00004F010000}"/>
    <cellStyle name="스타일 337" xfId="320" xr:uid="{00000000-0005-0000-0000-000050010000}"/>
    <cellStyle name="스타일 338" xfId="321" xr:uid="{00000000-0005-0000-0000-000051010000}"/>
    <cellStyle name="스타일 339" xfId="322" xr:uid="{00000000-0005-0000-0000-000052010000}"/>
    <cellStyle name="스타일 340" xfId="323" xr:uid="{00000000-0005-0000-0000-000053010000}"/>
    <cellStyle name="스타일 341" xfId="324" xr:uid="{00000000-0005-0000-0000-000054010000}"/>
    <cellStyle name="스타일 342" xfId="325" xr:uid="{00000000-0005-0000-0000-000055010000}"/>
    <cellStyle name="스타일 343" xfId="326" xr:uid="{00000000-0005-0000-0000-000056010000}"/>
    <cellStyle name="스타일 344" xfId="327" xr:uid="{00000000-0005-0000-0000-000057010000}"/>
    <cellStyle name="스타일 345" xfId="328" xr:uid="{00000000-0005-0000-0000-000058010000}"/>
    <cellStyle name="스타일 346" xfId="329" xr:uid="{00000000-0005-0000-0000-000059010000}"/>
    <cellStyle name="스타일 347" xfId="330" xr:uid="{00000000-0005-0000-0000-00005A010000}"/>
    <cellStyle name="스타일 348" xfId="331" xr:uid="{00000000-0005-0000-0000-00005B010000}"/>
    <cellStyle name="스타일 349" xfId="332" xr:uid="{00000000-0005-0000-0000-00005C010000}"/>
    <cellStyle name="스타일 350" xfId="333" xr:uid="{00000000-0005-0000-0000-00005D010000}"/>
    <cellStyle name="스타일 351" xfId="334" xr:uid="{00000000-0005-0000-0000-00005E010000}"/>
    <cellStyle name="스타일 352" xfId="335" xr:uid="{00000000-0005-0000-0000-00005F010000}"/>
    <cellStyle name="스타일 353" xfId="336" xr:uid="{00000000-0005-0000-0000-000060010000}"/>
    <cellStyle name="스타일 354" xfId="337" xr:uid="{00000000-0005-0000-0000-000061010000}"/>
    <cellStyle name="스타일 355" xfId="338" xr:uid="{00000000-0005-0000-0000-000062010000}"/>
    <cellStyle name="스타일 356" xfId="339" xr:uid="{00000000-0005-0000-0000-000063010000}"/>
    <cellStyle name="스타일 357" xfId="340" xr:uid="{00000000-0005-0000-0000-000064010000}"/>
    <cellStyle name="스타일 358" xfId="341" xr:uid="{00000000-0005-0000-0000-000065010000}"/>
    <cellStyle name="스타일 359" xfId="342" xr:uid="{00000000-0005-0000-0000-000066010000}"/>
    <cellStyle name="스타일 360" xfId="343" xr:uid="{00000000-0005-0000-0000-000067010000}"/>
    <cellStyle name="스타일 361" xfId="344" xr:uid="{00000000-0005-0000-0000-000068010000}"/>
    <cellStyle name="스타일 362" xfId="345" xr:uid="{00000000-0005-0000-0000-000069010000}"/>
    <cellStyle name="스타일 363" xfId="346" xr:uid="{00000000-0005-0000-0000-00006A010000}"/>
    <cellStyle name="스타일 364" xfId="347" xr:uid="{00000000-0005-0000-0000-00006B010000}"/>
    <cellStyle name="스타일 365" xfId="348" xr:uid="{00000000-0005-0000-0000-00006C010000}"/>
    <cellStyle name="스타일 366" xfId="349" xr:uid="{00000000-0005-0000-0000-00006D010000}"/>
    <cellStyle name="스타일 367" xfId="350" xr:uid="{00000000-0005-0000-0000-00006E010000}"/>
    <cellStyle name="스타일 368" xfId="351" xr:uid="{00000000-0005-0000-0000-00006F010000}"/>
    <cellStyle name="스타일 369" xfId="352" xr:uid="{00000000-0005-0000-0000-000070010000}"/>
    <cellStyle name="스타일 370" xfId="353" xr:uid="{00000000-0005-0000-0000-000071010000}"/>
    <cellStyle name="스타일 371" xfId="354" xr:uid="{00000000-0005-0000-0000-000072010000}"/>
    <cellStyle name="스타일 372" xfId="355" xr:uid="{00000000-0005-0000-0000-000073010000}"/>
    <cellStyle name="스타일 373" xfId="356" xr:uid="{00000000-0005-0000-0000-000074010000}"/>
    <cellStyle name="스타일 374" xfId="357" xr:uid="{00000000-0005-0000-0000-000075010000}"/>
    <cellStyle name="스타일 375" xfId="358" xr:uid="{00000000-0005-0000-0000-000076010000}"/>
    <cellStyle name="스타일 376" xfId="359" xr:uid="{00000000-0005-0000-0000-000077010000}"/>
    <cellStyle name="스타일 377" xfId="360" xr:uid="{00000000-0005-0000-0000-000078010000}"/>
    <cellStyle name="스타일 378" xfId="361" xr:uid="{00000000-0005-0000-0000-000079010000}"/>
    <cellStyle name="스타일 379" xfId="362" xr:uid="{00000000-0005-0000-0000-00007A010000}"/>
    <cellStyle name="스타일 380" xfId="363" xr:uid="{00000000-0005-0000-0000-00007B010000}"/>
    <cellStyle name="스타일 381" xfId="364" xr:uid="{00000000-0005-0000-0000-00007C010000}"/>
    <cellStyle name="스타일 382" xfId="365" xr:uid="{00000000-0005-0000-0000-00007D010000}"/>
    <cellStyle name="스타일 383" xfId="366" xr:uid="{00000000-0005-0000-0000-00007E010000}"/>
    <cellStyle name="스타일 384" xfId="367" xr:uid="{00000000-0005-0000-0000-00007F010000}"/>
    <cellStyle name="스타일 385" xfId="368" xr:uid="{00000000-0005-0000-0000-000080010000}"/>
    <cellStyle name="스타일 386" xfId="369" xr:uid="{00000000-0005-0000-0000-000081010000}"/>
    <cellStyle name="스타일 387" xfId="370" xr:uid="{00000000-0005-0000-0000-000082010000}"/>
    <cellStyle name="스타일 388" xfId="371" xr:uid="{00000000-0005-0000-0000-000083010000}"/>
    <cellStyle name="스타일 389" xfId="372" xr:uid="{00000000-0005-0000-0000-000084010000}"/>
    <cellStyle name="스타일 390" xfId="373" xr:uid="{00000000-0005-0000-0000-000085010000}"/>
    <cellStyle name="스타일 391" xfId="374" xr:uid="{00000000-0005-0000-0000-000086010000}"/>
    <cellStyle name="스타일 392" xfId="375" xr:uid="{00000000-0005-0000-0000-000087010000}"/>
    <cellStyle name="스타일 393" xfId="376" xr:uid="{00000000-0005-0000-0000-000088010000}"/>
    <cellStyle name="스타일 394" xfId="377" xr:uid="{00000000-0005-0000-0000-000089010000}"/>
    <cellStyle name="스타일 395" xfId="378" xr:uid="{00000000-0005-0000-0000-00008A010000}"/>
    <cellStyle name="스타일 396" xfId="379" xr:uid="{00000000-0005-0000-0000-00008B010000}"/>
    <cellStyle name="스타일 397" xfId="380" xr:uid="{00000000-0005-0000-0000-00008C010000}"/>
    <cellStyle name="스타일 398" xfId="381" xr:uid="{00000000-0005-0000-0000-00008D010000}"/>
    <cellStyle name="스타일 399" xfId="382" xr:uid="{00000000-0005-0000-0000-00008E010000}"/>
    <cellStyle name="스타일 400" xfId="383" xr:uid="{00000000-0005-0000-0000-00008F010000}"/>
    <cellStyle name="스타일 401" xfId="384" xr:uid="{00000000-0005-0000-0000-000090010000}"/>
    <cellStyle name="스타일 402" xfId="385" xr:uid="{00000000-0005-0000-0000-000091010000}"/>
    <cellStyle name="스타일 403" xfId="386" xr:uid="{00000000-0005-0000-0000-000092010000}"/>
    <cellStyle name="스타일 404" xfId="387" xr:uid="{00000000-0005-0000-0000-000093010000}"/>
    <cellStyle name="스타일 405" xfId="388" xr:uid="{00000000-0005-0000-0000-000094010000}"/>
    <cellStyle name="스타일 406" xfId="389" xr:uid="{00000000-0005-0000-0000-000095010000}"/>
    <cellStyle name="스타일 407" xfId="390" xr:uid="{00000000-0005-0000-0000-000096010000}"/>
    <cellStyle name="스타일 408" xfId="391" xr:uid="{00000000-0005-0000-0000-000097010000}"/>
    <cellStyle name="스타일 409" xfId="392" xr:uid="{00000000-0005-0000-0000-000098010000}"/>
    <cellStyle name="스타일 410" xfId="393" xr:uid="{00000000-0005-0000-0000-000099010000}"/>
    <cellStyle name="스타일 411" xfId="394" xr:uid="{00000000-0005-0000-0000-00009A010000}"/>
    <cellStyle name="스타일 412" xfId="395" xr:uid="{00000000-0005-0000-0000-00009B010000}"/>
    <cellStyle name="스타일 413" xfId="396" xr:uid="{00000000-0005-0000-0000-00009C010000}"/>
    <cellStyle name="스타일 414" xfId="397" xr:uid="{00000000-0005-0000-0000-00009D010000}"/>
    <cellStyle name="스타일 415" xfId="398" xr:uid="{00000000-0005-0000-0000-00009E010000}"/>
    <cellStyle name="스타일 416" xfId="399" xr:uid="{00000000-0005-0000-0000-00009F010000}"/>
    <cellStyle name="스타일 417" xfId="400" xr:uid="{00000000-0005-0000-0000-0000A0010000}"/>
    <cellStyle name="스타일 418" xfId="401" xr:uid="{00000000-0005-0000-0000-0000A1010000}"/>
    <cellStyle name="스타일 419" xfId="402" xr:uid="{00000000-0005-0000-0000-0000A2010000}"/>
    <cellStyle name="스타일 420" xfId="403" xr:uid="{00000000-0005-0000-0000-0000A3010000}"/>
    <cellStyle name="스타일 421" xfId="404" xr:uid="{00000000-0005-0000-0000-0000A4010000}"/>
    <cellStyle name="스타일 422" xfId="405" xr:uid="{00000000-0005-0000-0000-0000A5010000}"/>
    <cellStyle name="스타일 423" xfId="406" xr:uid="{00000000-0005-0000-0000-0000A6010000}"/>
    <cellStyle name="스타일 424" xfId="407" xr:uid="{00000000-0005-0000-0000-0000A7010000}"/>
    <cellStyle name="스타일 425" xfId="408" xr:uid="{00000000-0005-0000-0000-0000A8010000}"/>
    <cellStyle name="스타일 426" xfId="409" xr:uid="{00000000-0005-0000-0000-0000A9010000}"/>
    <cellStyle name="스타일 427" xfId="410" xr:uid="{00000000-0005-0000-0000-0000AA010000}"/>
    <cellStyle name="스타일 428" xfId="411" xr:uid="{00000000-0005-0000-0000-0000AB010000}"/>
    <cellStyle name="스타일 429" xfId="412" xr:uid="{00000000-0005-0000-0000-0000AC010000}"/>
    <cellStyle name="스타일 430" xfId="413" xr:uid="{00000000-0005-0000-0000-0000AD010000}"/>
    <cellStyle name="스타일 431" xfId="414" xr:uid="{00000000-0005-0000-0000-0000AE010000}"/>
    <cellStyle name="스타일 432" xfId="415" xr:uid="{00000000-0005-0000-0000-0000AF010000}"/>
    <cellStyle name="스타일 433" xfId="416" xr:uid="{00000000-0005-0000-0000-0000B0010000}"/>
    <cellStyle name="스타일 434" xfId="417" xr:uid="{00000000-0005-0000-0000-0000B1010000}"/>
    <cellStyle name="스타일 435" xfId="418" xr:uid="{00000000-0005-0000-0000-0000B2010000}"/>
    <cellStyle name="스타일 436" xfId="419" xr:uid="{00000000-0005-0000-0000-0000B3010000}"/>
    <cellStyle name="스타일 437" xfId="420" xr:uid="{00000000-0005-0000-0000-0000B4010000}"/>
    <cellStyle name="스타일 438" xfId="421" xr:uid="{00000000-0005-0000-0000-0000B5010000}"/>
    <cellStyle name="스타일 439" xfId="422" xr:uid="{00000000-0005-0000-0000-0000B6010000}"/>
    <cellStyle name="스타일 440" xfId="423" xr:uid="{00000000-0005-0000-0000-0000B7010000}"/>
    <cellStyle name="스타일 441" xfId="424" xr:uid="{00000000-0005-0000-0000-0000B8010000}"/>
    <cellStyle name="스타일 442" xfId="425" xr:uid="{00000000-0005-0000-0000-0000B9010000}"/>
    <cellStyle name="스타일 443" xfId="426" xr:uid="{00000000-0005-0000-0000-0000BA010000}"/>
    <cellStyle name="스타일 444" xfId="427" xr:uid="{00000000-0005-0000-0000-0000BB010000}"/>
    <cellStyle name="스타일 445" xfId="428" xr:uid="{00000000-0005-0000-0000-0000BC010000}"/>
    <cellStyle name="스타일 446" xfId="429" xr:uid="{00000000-0005-0000-0000-0000BD010000}"/>
    <cellStyle name="스타일 447" xfId="430" xr:uid="{00000000-0005-0000-0000-0000BE010000}"/>
    <cellStyle name="스타일 448" xfId="431" xr:uid="{00000000-0005-0000-0000-0000BF010000}"/>
    <cellStyle name="스타일 449" xfId="432" xr:uid="{00000000-0005-0000-0000-0000C0010000}"/>
    <cellStyle name="스타일 450" xfId="433" xr:uid="{00000000-0005-0000-0000-0000C1010000}"/>
    <cellStyle name="스타일 451" xfId="434" xr:uid="{00000000-0005-0000-0000-0000C2010000}"/>
    <cellStyle name="스타일 452" xfId="435" xr:uid="{00000000-0005-0000-0000-0000C3010000}"/>
    <cellStyle name="스타일 453" xfId="436" xr:uid="{00000000-0005-0000-0000-0000C4010000}"/>
    <cellStyle name="스타일 454" xfId="437" xr:uid="{00000000-0005-0000-0000-0000C5010000}"/>
    <cellStyle name="스타일 455" xfId="438" xr:uid="{00000000-0005-0000-0000-0000C6010000}"/>
    <cellStyle name="스타일 456" xfId="439" xr:uid="{00000000-0005-0000-0000-0000C7010000}"/>
    <cellStyle name="스타일 457" xfId="440" xr:uid="{00000000-0005-0000-0000-0000C8010000}"/>
    <cellStyle name="스타일 458" xfId="441" xr:uid="{00000000-0005-0000-0000-0000C9010000}"/>
    <cellStyle name="스타일 459" xfId="442" xr:uid="{00000000-0005-0000-0000-0000CA010000}"/>
    <cellStyle name="스타일 460" xfId="443" xr:uid="{00000000-0005-0000-0000-0000CB010000}"/>
    <cellStyle name="스타일 461" xfId="444" xr:uid="{00000000-0005-0000-0000-0000CC010000}"/>
    <cellStyle name="스타일 462" xfId="445" xr:uid="{00000000-0005-0000-0000-0000CD010000}"/>
    <cellStyle name="스타일 463" xfId="446" xr:uid="{00000000-0005-0000-0000-0000CE010000}"/>
    <cellStyle name="스타일 464" xfId="447" xr:uid="{00000000-0005-0000-0000-0000CF010000}"/>
    <cellStyle name="스타일 465" xfId="448" xr:uid="{00000000-0005-0000-0000-0000D0010000}"/>
    <cellStyle name="스타일 466" xfId="449" xr:uid="{00000000-0005-0000-0000-0000D1010000}"/>
    <cellStyle name="스타일 467" xfId="450" xr:uid="{00000000-0005-0000-0000-0000D2010000}"/>
    <cellStyle name="스타일 468" xfId="451" xr:uid="{00000000-0005-0000-0000-0000D3010000}"/>
    <cellStyle name="스타일 469" xfId="452" xr:uid="{00000000-0005-0000-0000-0000D4010000}"/>
    <cellStyle name="스타일 470" xfId="453" xr:uid="{00000000-0005-0000-0000-0000D5010000}"/>
    <cellStyle name="스타일 471" xfId="454" xr:uid="{00000000-0005-0000-0000-0000D6010000}"/>
    <cellStyle name="스타일 472" xfId="455" xr:uid="{00000000-0005-0000-0000-0000D7010000}"/>
    <cellStyle name="스타일 473" xfId="456" xr:uid="{00000000-0005-0000-0000-0000D8010000}"/>
    <cellStyle name="스타일 474" xfId="457" xr:uid="{00000000-0005-0000-0000-0000D9010000}"/>
    <cellStyle name="스타일 475" xfId="458" xr:uid="{00000000-0005-0000-0000-0000DA010000}"/>
    <cellStyle name="스타일 476" xfId="459" xr:uid="{00000000-0005-0000-0000-0000DB010000}"/>
    <cellStyle name="스타일 477" xfId="460" xr:uid="{00000000-0005-0000-0000-0000DC010000}"/>
    <cellStyle name="스타일 478" xfId="461" xr:uid="{00000000-0005-0000-0000-0000DD010000}"/>
    <cellStyle name="스타일 479" xfId="462" xr:uid="{00000000-0005-0000-0000-0000DE010000}"/>
    <cellStyle name="스타일 480" xfId="463" xr:uid="{00000000-0005-0000-0000-0000DF010000}"/>
    <cellStyle name="스타일 481" xfId="464" xr:uid="{00000000-0005-0000-0000-0000E0010000}"/>
    <cellStyle name="스타일 482" xfId="465" xr:uid="{00000000-0005-0000-0000-0000E1010000}"/>
    <cellStyle name="스타일 483" xfId="466" xr:uid="{00000000-0005-0000-0000-0000E2010000}"/>
    <cellStyle name="스타일 484" xfId="467" xr:uid="{00000000-0005-0000-0000-0000E3010000}"/>
    <cellStyle name="스타일 485" xfId="468" xr:uid="{00000000-0005-0000-0000-0000E4010000}"/>
    <cellStyle name="스타일 486" xfId="469" xr:uid="{00000000-0005-0000-0000-0000E5010000}"/>
    <cellStyle name="스타일 487" xfId="470" xr:uid="{00000000-0005-0000-0000-0000E6010000}"/>
    <cellStyle name="스타일 488" xfId="471" xr:uid="{00000000-0005-0000-0000-0000E7010000}"/>
    <cellStyle name="스타일 489" xfId="472" xr:uid="{00000000-0005-0000-0000-0000E8010000}"/>
    <cellStyle name="스타일 490" xfId="473" xr:uid="{00000000-0005-0000-0000-0000E9010000}"/>
    <cellStyle name="스타일 491" xfId="474" xr:uid="{00000000-0005-0000-0000-0000EA010000}"/>
    <cellStyle name="스타일 492" xfId="475" xr:uid="{00000000-0005-0000-0000-0000EB010000}"/>
    <cellStyle name="스타일 493" xfId="476" xr:uid="{00000000-0005-0000-0000-0000EC010000}"/>
    <cellStyle name="스타일 494" xfId="477" xr:uid="{00000000-0005-0000-0000-0000ED010000}"/>
    <cellStyle name="스타일 495" xfId="478" xr:uid="{00000000-0005-0000-0000-0000EE010000}"/>
    <cellStyle name="스타일 496" xfId="479" xr:uid="{00000000-0005-0000-0000-0000EF010000}"/>
    <cellStyle name="스타일 497" xfId="480" xr:uid="{00000000-0005-0000-0000-0000F0010000}"/>
    <cellStyle name="스타일 498" xfId="481" xr:uid="{00000000-0005-0000-0000-0000F1010000}"/>
    <cellStyle name="스타일 499" xfId="482" xr:uid="{00000000-0005-0000-0000-0000F2010000}"/>
    <cellStyle name="스타일 500" xfId="483" xr:uid="{00000000-0005-0000-0000-0000F3010000}"/>
    <cellStyle name="스타일 501" xfId="484" xr:uid="{00000000-0005-0000-0000-0000F4010000}"/>
    <cellStyle name="스타일 502" xfId="485" xr:uid="{00000000-0005-0000-0000-0000F5010000}"/>
    <cellStyle name="스타일 503" xfId="486" xr:uid="{00000000-0005-0000-0000-0000F6010000}"/>
    <cellStyle name="스타일 504" xfId="487" xr:uid="{00000000-0005-0000-0000-0000F7010000}"/>
    <cellStyle name="스타일 505" xfId="488" xr:uid="{00000000-0005-0000-0000-0000F8010000}"/>
    <cellStyle name="스타일 506" xfId="489" xr:uid="{00000000-0005-0000-0000-0000F9010000}"/>
    <cellStyle name="스타일 507" xfId="490" xr:uid="{00000000-0005-0000-0000-0000FA010000}"/>
    <cellStyle name="스타일 508" xfId="491" xr:uid="{00000000-0005-0000-0000-0000FB010000}"/>
    <cellStyle name="스타일 509" xfId="492" xr:uid="{00000000-0005-0000-0000-0000FC010000}"/>
    <cellStyle name="스타일 510" xfId="493" xr:uid="{00000000-0005-0000-0000-0000FD010000}"/>
    <cellStyle name="스타일 511" xfId="494" xr:uid="{00000000-0005-0000-0000-0000FE010000}"/>
    <cellStyle name="스타일 512" xfId="495" xr:uid="{00000000-0005-0000-0000-0000FF010000}"/>
    <cellStyle name="스타일 513" xfId="496" xr:uid="{00000000-0005-0000-0000-000000020000}"/>
    <cellStyle name="스타일 514" xfId="497" xr:uid="{00000000-0005-0000-0000-000001020000}"/>
    <cellStyle name="스타일 515" xfId="498" xr:uid="{00000000-0005-0000-0000-000002020000}"/>
    <cellStyle name="스타일 516" xfId="499" xr:uid="{00000000-0005-0000-0000-000003020000}"/>
    <cellStyle name="스타일 517" xfId="500" xr:uid="{00000000-0005-0000-0000-000004020000}"/>
    <cellStyle name="스타일 518" xfId="501" xr:uid="{00000000-0005-0000-0000-000005020000}"/>
    <cellStyle name="스타일 519" xfId="502" xr:uid="{00000000-0005-0000-0000-000006020000}"/>
    <cellStyle name="스타일 520" xfId="503" xr:uid="{00000000-0005-0000-0000-000007020000}"/>
    <cellStyle name="스타일 521" xfId="504" xr:uid="{00000000-0005-0000-0000-000008020000}"/>
    <cellStyle name="스타일 522" xfId="505" xr:uid="{00000000-0005-0000-0000-000009020000}"/>
    <cellStyle name="스타일 523" xfId="506" xr:uid="{00000000-0005-0000-0000-00000A020000}"/>
    <cellStyle name="스타일 524" xfId="507" xr:uid="{00000000-0005-0000-0000-00000B020000}"/>
    <cellStyle name="스타일 525" xfId="508" xr:uid="{00000000-0005-0000-0000-00000C020000}"/>
    <cellStyle name="스타일 526" xfId="509" xr:uid="{00000000-0005-0000-0000-00000D020000}"/>
    <cellStyle name="스타일 527" xfId="510" xr:uid="{00000000-0005-0000-0000-00000E020000}"/>
    <cellStyle name="스타일 528" xfId="511" xr:uid="{00000000-0005-0000-0000-00000F020000}"/>
    <cellStyle name="스타일 529" xfId="512" xr:uid="{00000000-0005-0000-0000-000010020000}"/>
    <cellStyle name="스타일 530" xfId="513" xr:uid="{00000000-0005-0000-0000-000011020000}"/>
    <cellStyle name="스타일 531" xfId="514" xr:uid="{00000000-0005-0000-0000-000012020000}"/>
    <cellStyle name="스타일 532" xfId="515" xr:uid="{00000000-0005-0000-0000-000013020000}"/>
    <cellStyle name="스타일 533" xfId="516" xr:uid="{00000000-0005-0000-0000-000014020000}"/>
    <cellStyle name="스타일 534" xfId="517" xr:uid="{00000000-0005-0000-0000-000015020000}"/>
    <cellStyle name="스타일 535" xfId="518" xr:uid="{00000000-0005-0000-0000-000016020000}"/>
    <cellStyle name="스타일 536" xfId="519" xr:uid="{00000000-0005-0000-0000-000017020000}"/>
    <cellStyle name="스타일 537" xfId="520" xr:uid="{00000000-0005-0000-0000-000018020000}"/>
    <cellStyle name="스타일 538" xfId="521" xr:uid="{00000000-0005-0000-0000-000019020000}"/>
    <cellStyle name="스타일 539" xfId="522" xr:uid="{00000000-0005-0000-0000-00001A020000}"/>
    <cellStyle name="스타일 540" xfId="523" xr:uid="{00000000-0005-0000-0000-00001B020000}"/>
    <cellStyle name="스타일 541" xfId="524" xr:uid="{00000000-0005-0000-0000-00001C020000}"/>
    <cellStyle name="스타일 542" xfId="525" xr:uid="{00000000-0005-0000-0000-00001D020000}"/>
    <cellStyle name="스타일 543" xfId="526" xr:uid="{00000000-0005-0000-0000-00001E020000}"/>
    <cellStyle name="스타일 544" xfId="527" xr:uid="{00000000-0005-0000-0000-00001F020000}"/>
    <cellStyle name="스타일 545" xfId="528" xr:uid="{00000000-0005-0000-0000-000020020000}"/>
    <cellStyle name="스타일 546" xfId="529" xr:uid="{00000000-0005-0000-0000-000021020000}"/>
    <cellStyle name="스타일 547" xfId="530" xr:uid="{00000000-0005-0000-0000-000022020000}"/>
    <cellStyle name="스타일 548" xfId="531" xr:uid="{00000000-0005-0000-0000-000023020000}"/>
    <cellStyle name="스타일 549" xfId="532" xr:uid="{00000000-0005-0000-0000-000024020000}"/>
    <cellStyle name="스타일 550" xfId="533" xr:uid="{00000000-0005-0000-0000-000025020000}"/>
    <cellStyle name="스타일 551" xfId="534" xr:uid="{00000000-0005-0000-0000-000026020000}"/>
    <cellStyle name="스타일 552" xfId="535" xr:uid="{00000000-0005-0000-0000-000027020000}"/>
    <cellStyle name="스타일 553" xfId="536" xr:uid="{00000000-0005-0000-0000-000028020000}"/>
    <cellStyle name="스타일 554" xfId="537" xr:uid="{00000000-0005-0000-0000-000029020000}"/>
    <cellStyle name="스타일 555" xfId="538" xr:uid="{00000000-0005-0000-0000-00002A020000}"/>
    <cellStyle name="스타일 556" xfId="539" xr:uid="{00000000-0005-0000-0000-00002B020000}"/>
    <cellStyle name="스타일 557" xfId="540" xr:uid="{00000000-0005-0000-0000-00002C020000}"/>
    <cellStyle name="스타일 558" xfId="541" xr:uid="{00000000-0005-0000-0000-00002D020000}"/>
    <cellStyle name="스타일 559" xfId="542" xr:uid="{00000000-0005-0000-0000-00002E020000}"/>
    <cellStyle name="스타일 560" xfId="543" xr:uid="{00000000-0005-0000-0000-00002F020000}"/>
    <cellStyle name="스타일 561" xfId="544" xr:uid="{00000000-0005-0000-0000-000030020000}"/>
    <cellStyle name="스타일 562" xfId="545" xr:uid="{00000000-0005-0000-0000-000031020000}"/>
    <cellStyle name="스타일 563" xfId="546" xr:uid="{00000000-0005-0000-0000-000032020000}"/>
    <cellStyle name="스타일 564" xfId="547" xr:uid="{00000000-0005-0000-0000-000033020000}"/>
    <cellStyle name="스타일 565" xfId="548" xr:uid="{00000000-0005-0000-0000-000034020000}"/>
    <cellStyle name="스타일 566" xfId="549" xr:uid="{00000000-0005-0000-0000-000035020000}"/>
    <cellStyle name="스타일 567" xfId="550" xr:uid="{00000000-0005-0000-0000-000036020000}"/>
    <cellStyle name="스타일 568" xfId="551" xr:uid="{00000000-0005-0000-0000-000037020000}"/>
    <cellStyle name="스타일 569" xfId="552" xr:uid="{00000000-0005-0000-0000-000038020000}"/>
    <cellStyle name="스타일 570" xfId="553" xr:uid="{00000000-0005-0000-0000-000039020000}"/>
    <cellStyle name="스타일 571" xfId="554" xr:uid="{00000000-0005-0000-0000-00003A020000}"/>
    <cellStyle name="스타일 572" xfId="555" xr:uid="{00000000-0005-0000-0000-00003B020000}"/>
    <cellStyle name="스타일 573" xfId="556" xr:uid="{00000000-0005-0000-0000-00003C020000}"/>
    <cellStyle name="스타일 574" xfId="557" xr:uid="{00000000-0005-0000-0000-00003D020000}"/>
    <cellStyle name="스타일 575" xfId="558" xr:uid="{00000000-0005-0000-0000-00003E020000}"/>
    <cellStyle name="스타일 576" xfId="559" xr:uid="{00000000-0005-0000-0000-00003F020000}"/>
    <cellStyle name="스타일 577" xfId="560" xr:uid="{00000000-0005-0000-0000-000040020000}"/>
    <cellStyle name="스타일 578" xfId="561" xr:uid="{00000000-0005-0000-0000-000041020000}"/>
    <cellStyle name="스타일 579" xfId="562" xr:uid="{00000000-0005-0000-0000-000042020000}"/>
    <cellStyle name="스타일 580" xfId="563" xr:uid="{00000000-0005-0000-0000-000043020000}"/>
    <cellStyle name="스타일 581" xfId="564" xr:uid="{00000000-0005-0000-0000-000044020000}"/>
    <cellStyle name="스타일 582" xfId="565" xr:uid="{00000000-0005-0000-0000-000045020000}"/>
    <cellStyle name="스타일 583" xfId="566" xr:uid="{00000000-0005-0000-0000-000046020000}"/>
    <cellStyle name="스타일 584" xfId="567" xr:uid="{00000000-0005-0000-0000-000047020000}"/>
    <cellStyle name="스타일 585" xfId="568" xr:uid="{00000000-0005-0000-0000-000048020000}"/>
    <cellStyle name="스타일 586" xfId="569" xr:uid="{00000000-0005-0000-0000-000049020000}"/>
    <cellStyle name="스타일 587" xfId="570" xr:uid="{00000000-0005-0000-0000-00004A020000}"/>
    <cellStyle name="스타일 588" xfId="571" xr:uid="{00000000-0005-0000-0000-00004B020000}"/>
    <cellStyle name="스타일 589" xfId="572" xr:uid="{00000000-0005-0000-0000-00004C020000}"/>
    <cellStyle name="스타일 590" xfId="573" xr:uid="{00000000-0005-0000-0000-00004D020000}"/>
    <cellStyle name="스타일 591" xfId="574" xr:uid="{00000000-0005-0000-0000-00004E020000}"/>
    <cellStyle name="스타일 592" xfId="575" xr:uid="{00000000-0005-0000-0000-00004F020000}"/>
    <cellStyle name="스타일 593" xfId="576" xr:uid="{00000000-0005-0000-0000-000050020000}"/>
    <cellStyle name="스타일 594" xfId="577" xr:uid="{00000000-0005-0000-0000-000051020000}"/>
    <cellStyle name="스타일 595" xfId="578" xr:uid="{00000000-0005-0000-0000-000052020000}"/>
    <cellStyle name="스타일 596" xfId="579" xr:uid="{00000000-0005-0000-0000-000053020000}"/>
    <cellStyle name="스타일 597" xfId="580" xr:uid="{00000000-0005-0000-0000-000054020000}"/>
    <cellStyle name="스타일 598" xfId="581" xr:uid="{00000000-0005-0000-0000-000055020000}"/>
    <cellStyle name="스타일 599" xfId="582" xr:uid="{00000000-0005-0000-0000-000056020000}"/>
    <cellStyle name="스타일 600" xfId="583" xr:uid="{00000000-0005-0000-0000-000057020000}"/>
    <cellStyle name="스타일 601" xfId="584" xr:uid="{00000000-0005-0000-0000-000058020000}"/>
    <cellStyle name="스타일 602" xfId="585" xr:uid="{00000000-0005-0000-0000-000059020000}"/>
    <cellStyle name="스타일 603" xfId="586" xr:uid="{00000000-0005-0000-0000-00005A020000}"/>
    <cellStyle name="스타일 604" xfId="587" xr:uid="{00000000-0005-0000-0000-00005B020000}"/>
    <cellStyle name="스타일 605" xfId="588" xr:uid="{00000000-0005-0000-0000-00005C020000}"/>
    <cellStyle name="스타일 606" xfId="589" xr:uid="{00000000-0005-0000-0000-00005D020000}"/>
    <cellStyle name="스타일 607" xfId="590" xr:uid="{00000000-0005-0000-0000-00005E020000}"/>
    <cellStyle name="스타일 608" xfId="591" xr:uid="{00000000-0005-0000-0000-00005F020000}"/>
    <cellStyle name="스타일 609" xfId="592" xr:uid="{00000000-0005-0000-0000-000060020000}"/>
    <cellStyle name="스타일 610" xfId="593" xr:uid="{00000000-0005-0000-0000-000061020000}"/>
    <cellStyle name="스타일 611" xfId="594" xr:uid="{00000000-0005-0000-0000-000062020000}"/>
    <cellStyle name="스타일 612" xfId="595" xr:uid="{00000000-0005-0000-0000-000063020000}"/>
    <cellStyle name="스타일 613" xfId="596" xr:uid="{00000000-0005-0000-0000-000064020000}"/>
    <cellStyle name="스타일 614" xfId="597" xr:uid="{00000000-0005-0000-0000-000065020000}"/>
    <cellStyle name="스타일 615" xfId="598" xr:uid="{00000000-0005-0000-0000-000066020000}"/>
    <cellStyle name="스타일 616" xfId="599" xr:uid="{00000000-0005-0000-0000-000067020000}"/>
    <cellStyle name="스타일 617" xfId="600" xr:uid="{00000000-0005-0000-0000-000068020000}"/>
    <cellStyle name="스타일 618" xfId="601" xr:uid="{00000000-0005-0000-0000-000069020000}"/>
    <cellStyle name="스타일 619" xfId="602" xr:uid="{00000000-0005-0000-0000-00006A020000}"/>
    <cellStyle name="스타일 620" xfId="603" xr:uid="{00000000-0005-0000-0000-00006B020000}"/>
    <cellStyle name="스타일 621" xfId="604" xr:uid="{00000000-0005-0000-0000-00006C020000}"/>
    <cellStyle name="스타일 622" xfId="605" xr:uid="{00000000-0005-0000-0000-00006D020000}"/>
    <cellStyle name="스타일 623" xfId="606" xr:uid="{00000000-0005-0000-0000-00006E020000}"/>
    <cellStyle name="스타일 624" xfId="607" xr:uid="{00000000-0005-0000-0000-00006F020000}"/>
    <cellStyle name="스타일 625" xfId="608" xr:uid="{00000000-0005-0000-0000-000070020000}"/>
    <cellStyle name="스타일 626" xfId="609" xr:uid="{00000000-0005-0000-0000-000071020000}"/>
    <cellStyle name="스타일 627" xfId="610" xr:uid="{00000000-0005-0000-0000-000072020000}"/>
    <cellStyle name="스타일 628" xfId="611" xr:uid="{00000000-0005-0000-0000-000073020000}"/>
    <cellStyle name="스타일 629" xfId="612" xr:uid="{00000000-0005-0000-0000-000074020000}"/>
    <cellStyle name="스타일 630" xfId="613" xr:uid="{00000000-0005-0000-0000-000075020000}"/>
    <cellStyle name="스타일 631" xfId="614" xr:uid="{00000000-0005-0000-0000-000076020000}"/>
    <cellStyle name="스타일 632" xfId="615" xr:uid="{00000000-0005-0000-0000-000077020000}"/>
    <cellStyle name="스타일 633" xfId="616" xr:uid="{00000000-0005-0000-0000-000078020000}"/>
    <cellStyle name="스타일 634" xfId="617" xr:uid="{00000000-0005-0000-0000-000079020000}"/>
    <cellStyle name="스타일 635" xfId="618" xr:uid="{00000000-0005-0000-0000-00007A020000}"/>
    <cellStyle name="스타일 636" xfId="619" xr:uid="{00000000-0005-0000-0000-00007B020000}"/>
    <cellStyle name="스타일 637" xfId="620" xr:uid="{00000000-0005-0000-0000-00007C020000}"/>
    <cellStyle name="스타일 638" xfId="621" xr:uid="{00000000-0005-0000-0000-00007D020000}"/>
    <cellStyle name="스타일 639" xfId="622" xr:uid="{00000000-0005-0000-0000-00007E020000}"/>
    <cellStyle name="스타일 640" xfId="623" xr:uid="{00000000-0005-0000-0000-00007F020000}"/>
    <cellStyle name="스타일 641" xfId="624" xr:uid="{00000000-0005-0000-0000-000080020000}"/>
    <cellStyle name="스타일 642" xfId="625" xr:uid="{00000000-0005-0000-0000-000081020000}"/>
    <cellStyle name="스타일 643" xfId="626" xr:uid="{00000000-0005-0000-0000-000082020000}"/>
    <cellStyle name="스타일 644" xfId="627" xr:uid="{00000000-0005-0000-0000-000083020000}"/>
    <cellStyle name="스타일 645" xfId="628" xr:uid="{00000000-0005-0000-0000-000084020000}"/>
    <cellStyle name="스타일 646" xfId="629" xr:uid="{00000000-0005-0000-0000-000085020000}"/>
    <cellStyle name="스타일 647" xfId="630" xr:uid="{00000000-0005-0000-0000-000086020000}"/>
    <cellStyle name="스타일 648" xfId="631" xr:uid="{00000000-0005-0000-0000-000087020000}"/>
    <cellStyle name="스타일 649" xfId="632" xr:uid="{00000000-0005-0000-0000-000088020000}"/>
    <cellStyle name="스타일 650" xfId="633" xr:uid="{00000000-0005-0000-0000-000089020000}"/>
    <cellStyle name="스타일 651" xfId="634" xr:uid="{00000000-0005-0000-0000-00008A020000}"/>
    <cellStyle name="스타일 652" xfId="635" xr:uid="{00000000-0005-0000-0000-00008B020000}"/>
    <cellStyle name="스타일 653" xfId="636" xr:uid="{00000000-0005-0000-0000-00008C020000}"/>
    <cellStyle name="스타일 654" xfId="637" xr:uid="{00000000-0005-0000-0000-00008D020000}"/>
    <cellStyle name="스타일 655" xfId="638" xr:uid="{00000000-0005-0000-0000-00008E020000}"/>
    <cellStyle name="스타일 656" xfId="639" xr:uid="{00000000-0005-0000-0000-00008F020000}"/>
    <cellStyle name="스타일 657" xfId="640" xr:uid="{00000000-0005-0000-0000-000090020000}"/>
    <cellStyle name="스타일 658" xfId="641" xr:uid="{00000000-0005-0000-0000-000091020000}"/>
    <cellStyle name="스타일 659" xfId="642" xr:uid="{00000000-0005-0000-0000-000092020000}"/>
    <cellStyle name="스타일 660" xfId="643" xr:uid="{00000000-0005-0000-0000-000093020000}"/>
    <cellStyle name="스타일 661" xfId="644" xr:uid="{00000000-0005-0000-0000-000094020000}"/>
    <cellStyle name="스타일 662" xfId="645" xr:uid="{00000000-0005-0000-0000-000095020000}"/>
    <cellStyle name="스타일 663" xfId="646" xr:uid="{00000000-0005-0000-0000-000096020000}"/>
    <cellStyle name="스타일 664" xfId="647" xr:uid="{00000000-0005-0000-0000-000097020000}"/>
    <cellStyle name="스타일 665" xfId="648" xr:uid="{00000000-0005-0000-0000-000098020000}"/>
    <cellStyle name="스타일 666" xfId="649" xr:uid="{00000000-0005-0000-0000-000099020000}"/>
    <cellStyle name="스타일 667" xfId="650" xr:uid="{00000000-0005-0000-0000-00009A020000}"/>
    <cellStyle name="스타일 668" xfId="651" xr:uid="{00000000-0005-0000-0000-00009B020000}"/>
    <cellStyle name="스타일 669" xfId="652" xr:uid="{00000000-0005-0000-0000-00009C020000}"/>
    <cellStyle name="스타일 670" xfId="653" xr:uid="{00000000-0005-0000-0000-00009D020000}"/>
    <cellStyle name="스타일 671" xfId="654" xr:uid="{00000000-0005-0000-0000-00009E020000}"/>
    <cellStyle name="스타일 672" xfId="655" xr:uid="{00000000-0005-0000-0000-00009F020000}"/>
    <cellStyle name="스타일 673" xfId="656" xr:uid="{00000000-0005-0000-0000-0000A0020000}"/>
    <cellStyle name="스타일 674" xfId="657" xr:uid="{00000000-0005-0000-0000-0000A1020000}"/>
    <cellStyle name="스타일 675" xfId="658" xr:uid="{00000000-0005-0000-0000-0000A2020000}"/>
    <cellStyle name="스타일 676" xfId="659" xr:uid="{00000000-0005-0000-0000-0000A3020000}"/>
    <cellStyle name="스타일 677" xfId="660" xr:uid="{00000000-0005-0000-0000-0000A4020000}"/>
    <cellStyle name="스타일 678" xfId="661" xr:uid="{00000000-0005-0000-0000-0000A5020000}"/>
    <cellStyle name="스타일 679" xfId="662" xr:uid="{00000000-0005-0000-0000-0000A6020000}"/>
    <cellStyle name="스타일 680" xfId="663" xr:uid="{00000000-0005-0000-0000-0000A7020000}"/>
    <cellStyle name="스타일 681" xfId="664" xr:uid="{00000000-0005-0000-0000-0000A8020000}"/>
    <cellStyle name="스타일 682" xfId="665" xr:uid="{00000000-0005-0000-0000-0000A9020000}"/>
    <cellStyle name="스타일 683" xfId="666" xr:uid="{00000000-0005-0000-0000-0000AA020000}"/>
    <cellStyle name="스타일 684" xfId="667" xr:uid="{00000000-0005-0000-0000-0000AB020000}"/>
    <cellStyle name="스타일 685" xfId="668" xr:uid="{00000000-0005-0000-0000-0000AC020000}"/>
    <cellStyle name="스타일 686" xfId="669" xr:uid="{00000000-0005-0000-0000-0000AD020000}"/>
    <cellStyle name="스타일 687" xfId="670" xr:uid="{00000000-0005-0000-0000-0000AE020000}"/>
    <cellStyle name="스타일 688" xfId="671" xr:uid="{00000000-0005-0000-0000-0000AF020000}"/>
    <cellStyle name="스타일 689" xfId="672" xr:uid="{00000000-0005-0000-0000-0000B0020000}"/>
    <cellStyle name="스타일 690" xfId="673" xr:uid="{00000000-0005-0000-0000-0000B1020000}"/>
    <cellStyle name="스타일 691" xfId="674" xr:uid="{00000000-0005-0000-0000-0000B2020000}"/>
    <cellStyle name="스타일 692" xfId="675" xr:uid="{00000000-0005-0000-0000-0000B3020000}"/>
    <cellStyle name="스타일 693" xfId="676" xr:uid="{00000000-0005-0000-0000-0000B4020000}"/>
    <cellStyle name="스타일 694" xfId="677" xr:uid="{00000000-0005-0000-0000-0000B5020000}"/>
    <cellStyle name="스타일 695" xfId="678" xr:uid="{00000000-0005-0000-0000-0000B6020000}"/>
    <cellStyle name="스타일 696" xfId="679" xr:uid="{00000000-0005-0000-0000-0000B7020000}"/>
    <cellStyle name="스타일 697" xfId="680" xr:uid="{00000000-0005-0000-0000-0000B8020000}"/>
    <cellStyle name="스타일 698" xfId="681" xr:uid="{00000000-0005-0000-0000-0000B9020000}"/>
    <cellStyle name="스타일 699" xfId="682" xr:uid="{00000000-0005-0000-0000-0000BA020000}"/>
    <cellStyle name="스타일 700" xfId="683" xr:uid="{00000000-0005-0000-0000-0000BB020000}"/>
    <cellStyle name="스타일 701" xfId="684" xr:uid="{00000000-0005-0000-0000-0000BC020000}"/>
    <cellStyle name="스타일 702" xfId="685" xr:uid="{00000000-0005-0000-0000-0000BD020000}"/>
    <cellStyle name="스타일 703" xfId="686" xr:uid="{00000000-0005-0000-0000-0000BE020000}"/>
    <cellStyle name="스타일 704" xfId="687" xr:uid="{00000000-0005-0000-0000-0000BF020000}"/>
    <cellStyle name="스타일 705" xfId="688" xr:uid="{00000000-0005-0000-0000-0000C0020000}"/>
    <cellStyle name="스타일 706" xfId="689" xr:uid="{00000000-0005-0000-0000-0000C1020000}"/>
    <cellStyle name="스타일 707" xfId="690" xr:uid="{00000000-0005-0000-0000-0000C2020000}"/>
    <cellStyle name="스타일 708" xfId="691" xr:uid="{00000000-0005-0000-0000-0000C3020000}"/>
    <cellStyle name="스타일 709" xfId="692" xr:uid="{00000000-0005-0000-0000-0000C4020000}"/>
    <cellStyle name="스타일 710" xfId="693" xr:uid="{00000000-0005-0000-0000-0000C5020000}"/>
    <cellStyle name="스타일 711" xfId="694" xr:uid="{00000000-0005-0000-0000-0000C6020000}"/>
    <cellStyle name="스타일 712" xfId="695" xr:uid="{00000000-0005-0000-0000-0000C7020000}"/>
    <cellStyle name="스타일 713" xfId="696" xr:uid="{00000000-0005-0000-0000-0000C8020000}"/>
    <cellStyle name="스타일 714" xfId="697" xr:uid="{00000000-0005-0000-0000-0000C9020000}"/>
    <cellStyle name="스타일 715" xfId="698" xr:uid="{00000000-0005-0000-0000-0000CA020000}"/>
    <cellStyle name="스타일 716" xfId="699" xr:uid="{00000000-0005-0000-0000-0000CB020000}"/>
    <cellStyle name="스타일 717" xfId="700" xr:uid="{00000000-0005-0000-0000-0000CC020000}"/>
    <cellStyle name="스타일 718" xfId="701" xr:uid="{00000000-0005-0000-0000-0000CD020000}"/>
    <cellStyle name="스타일 719" xfId="702" xr:uid="{00000000-0005-0000-0000-0000CE020000}"/>
    <cellStyle name="스타일 720" xfId="703" xr:uid="{00000000-0005-0000-0000-0000CF020000}"/>
    <cellStyle name="스타일 721" xfId="704" xr:uid="{00000000-0005-0000-0000-0000D0020000}"/>
    <cellStyle name="스타일 722" xfId="705" xr:uid="{00000000-0005-0000-0000-0000D1020000}"/>
    <cellStyle name="스타일 723" xfId="706" xr:uid="{00000000-0005-0000-0000-0000D2020000}"/>
    <cellStyle name="스타일 724" xfId="707" xr:uid="{00000000-0005-0000-0000-0000D3020000}"/>
    <cellStyle name="스타일 725" xfId="708" xr:uid="{00000000-0005-0000-0000-0000D4020000}"/>
    <cellStyle name="스타일 726" xfId="709" xr:uid="{00000000-0005-0000-0000-0000D5020000}"/>
    <cellStyle name="스타일 727" xfId="710" xr:uid="{00000000-0005-0000-0000-0000D6020000}"/>
    <cellStyle name="스타일 728" xfId="711" xr:uid="{00000000-0005-0000-0000-0000D7020000}"/>
    <cellStyle name="스타일 729" xfId="712" xr:uid="{00000000-0005-0000-0000-0000D8020000}"/>
    <cellStyle name="스타일 730" xfId="713" xr:uid="{00000000-0005-0000-0000-0000D9020000}"/>
    <cellStyle name="스타일 731" xfId="714" xr:uid="{00000000-0005-0000-0000-0000DA020000}"/>
    <cellStyle name="스타일 732" xfId="715" xr:uid="{00000000-0005-0000-0000-0000DB020000}"/>
    <cellStyle name="스타일 733" xfId="716" xr:uid="{00000000-0005-0000-0000-0000DC020000}"/>
    <cellStyle name="스타일 734" xfId="717" xr:uid="{00000000-0005-0000-0000-0000DD020000}"/>
    <cellStyle name="스타일 735" xfId="718" xr:uid="{00000000-0005-0000-0000-0000DE020000}"/>
    <cellStyle name="스타일 736" xfId="719" xr:uid="{00000000-0005-0000-0000-0000DF020000}"/>
    <cellStyle name="스타일 737" xfId="720" xr:uid="{00000000-0005-0000-0000-0000E0020000}"/>
    <cellStyle name="스타일 738" xfId="721" xr:uid="{00000000-0005-0000-0000-0000E1020000}"/>
    <cellStyle name="스타일 739" xfId="722" xr:uid="{00000000-0005-0000-0000-0000E2020000}"/>
    <cellStyle name="스타일 740" xfId="723" xr:uid="{00000000-0005-0000-0000-0000E3020000}"/>
    <cellStyle name="스타일 741" xfId="724" xr:uid="{00000000-0005-0000-0000-0000E4020000}"/>
    <cellStyle name="스타일 742" xfId="725" xr:uid="{00000000-0005-0000-0000-0000E5020000}"/>
    <cellStyle name="스타일 743" xfId="726" xr:uid="{00000000-0005-0000-0000-0000E6020000}"/>
    <cellStyle name="스타일 744" xfId="727" xr:uid="{00000000-0005-0000-0000-0000E7020000}"/>
    <cellStyle name="스타일 745" xfId="728" xr:uid="{00000000-0005-0000-0000-0000E8020000}"/>
    <cellStyle name="스타일 746" xfId="729" xr:uid="{00000000-0005-0000-0000-0000E9020000}"/>
    <cellStyle name="스타일 747" xfId="730" xr:uid="{00000000-0005-0000-0000-0000EA020000}"/>
    <cellStyle name="스타일 748" xfId="731" xr:uid="{00000000-0005-0000-0000-0000EB020000}"/>
    <cellStyle name="스타일 749" xfId="732" xr:uid="{00000000-0005-0000-0000-0000EC020000}"/>
    <cellStyle name="스타일 750" xfId="733" xr:uid="{00000000-0005-0000-0000-0000ED020000}"/>
    <cellStyle name="스타일 751" xfId="734" xr:uid="{00000000-0005-0000-0000-0000EE020000}"/>
    <cellStyle name="스타일 752" xfId="735" xr:uid="{00000000-0005-0000-0000-0000EF020000}"/>
    <cellStyle name="스타일 753" xfId="736" xr:uid="{00000000-0005-0000-0000-0000F0020000}"/>
    <cellStyle name="스타일 754" xfId="737" xr:uid="{00000000-0005-0000-0000-0000F1020000}"/>
    <cellStyle name="스타일 755" xfId="738" xr:uid="{00000000-0005-0000-0000-0000F2020000}"/>
    <cellStyle name="스타일 756" xfId="739" xr:uid="{00000000-0005-0000-0000-0000F3020000}"/>
    <cellStyle name="스타일 757" xfId="740" xr:uid="{00000000-0005-0000-0000-0000F4020000}"/>
    <cellStyle name="스타일 758" xfId="741" xr:uid="{00000000-0005-0000-0000-0000F5020000}"/>
    <cellStyle name="스타일 759" xfId="742" xr:uid="{00000000-0005-0000-0000-0000F6020000}"/>
    <cellStyle name="스타일 760" xfId="743" xr:uid="{00000000-0005-0000-0000-0000F7020000}"/>
    <cellStyle name="스타일 761" xfId="744" xr:uid="{00000000-0005-0000-0000-0000F8020000}"/>
    <cellStyle name="스타일 762" xfId="745" xr:uid="{00000000-0005-0000-0000-0000F9020000}"/>
    <cellStyle name="스타일 763" xfId="746" xr:uid="{00000000-0005-0000-0000-0000FA020000}"/>
    <cellStyle name="스타일 764" xfId="747" xr:uid="{00000000-0005-0000-0000-0000FB020000}"/>
    <cellStyle name="스타일 765" xfId="748" xr:uid="{00000000-0005-0000-0000-0000FC020000}"/>
    <cellStyle name="스타일 766" xfId="749" xr:uid="{00000000-0005-0000-0000-0000FD020000}"/>
    <cellStyle name="스타일 767" xfId="750" xr:uid="{00000000-0005-0000-0000-0000FE020000}"/>
    <cellStyle name="스타일 768" xfId="751" xr:uid="{00000000-0005-0000-0000-0000FF020000}"/>
    <cellStyle name="스타일 769" xfId="752" xr:uid="{00000000-0005-0000-0000-000000030000}"/>
    <cellStyle name="스타일 770" xfId="753" xr:uid="{00000000-0005-0000-0000-000001030000}"/>
    <cellStyle name="스타일 771" xfId="754" xr:uid="{00000000-0005-0000-0000-000002030000}"/>
    <cellStyle name="스타일 772" xfId="755" xr:uid="{00000000-0005-0000-0000-000003030000}"/>
    <cellStyle name="스타일 773" xfId="756" xr:uid="{00000000-0005-0000-0000-000004030000}"/>
    <cellStyle name="스타일 774" xfId="757" xr:uid="{00000000-0005-0000-0000-000005030000}"/>
    <cellStyle name="스타일 775" xfId="758" xr:uid="{00000000-0005-0000-0000-000006030000}"/>
    <cellStyle name="스타일 776" xfId="759" xr:uid="{00000000-0005-0000-0000-000007030000}"/>
    <cellStyle name="스타일 777" xfId="760" xr:uid="{00000000-0005-0000-0000-000008030000}"/>
    <cellStyle name="스타일 778" xfId="761" xr:uid="{00000000-0005-0000-0000-000009030000}"/>
    <cellStyle name="스타일 779" xfId="762" xr:uid="{00000000-0005-0000-0000-00000A030000}"/>
    <cellStyle name="스타일 780" xfId="763" xr:uid="{00000000-0005-0000-0000-00000B030000}"/>
    <cellStyle name="스타일 781" xfId="764" xr:uid="{00000000-0005-0000-0000-00000C030000}"/>
    <cellStyle name="스타일 782" xfId="765" xr:uid="{00000000-0005-0000-0000-00000D030000}"/>
    <cellStyle name="스타일 783" xfId="766" xr:uid="{00000000-0005-0000-0000-00000E030000}"/>
    <cellStyle name="스타일 784" xfId="767" xr:uid="{00000000-0005-0000-0000-00000F030000}"/>
    <cellStyle name="스타일 785" xfId="768" xr:uid="{00000000-0005-0000-0000-000010030000}"/>
    <cellStyle name="스타일 786" xfId="769" xr:uid="{00000000-0005-0000-0000-000011030000}"/>
    <cellStyle name="스타일 787" xfId="770" xr:uid="{00000000-0005-0000-0000-000012030000}"/>
    <cellStyle name="스타일 788" xfId="771" xr:uid="{00000000-0005-0000-0000-000013030000}"/>
    <cellStyle name="스타일 789" xfId="772" xr:uid="{00000000-0005-0000-0000-000014030000}"/>
    <cellStyle name="스타일 790" xfId="773" xr:uid="{00000000-0005-0000-0000-000015030000}"/>
    <cellStyle name="스타일 791" xfId="774" xr:uid="{00000000-0005-0000-0000-000016030000}"/>
    <cellStyle name="스타일 792" xfId="775" xr:uid="{00000000-0005-0000-0000-000017030000}"/>
    <cellStyle name="스타일 793" xfId="776" xr:uid="{00000000-0005-0000-0000-000018030000}"/>
    <cellStyle name="스타일 794" xfId="777" xr:uid="{00000000-0005-0000-0000-000019030000}"/>
    <cellStyle name="스타일 795" xfId="778" xr:uid="{00000000-0005-0000-0000-00001A030000}"/>
    <cellStyle name="스타일 796" xfId="779" xr:uid="{00000000-0005-0000-0000-00001B030000}"/>
    <cellStyle name="스타일 797" xfId="780" xr:uid="{00000000-0005-0000-0000-00001C030000}"/>
    <cellStyle name="스타일 798" xfId="781" xr:uid="{00000000-0005-0000-0000-00001D030000}"/>
    <cellStyle name="스타일 799" xfId="782" xr:uid="{00000000-0005-0000-0000-00001E030000}"/>
    <cellStyle name="스타일 800" xfId="783" xr:uid="{00000000-0005-0000-0000-00001F030000}"/>
    <cellStyle name="스타일 801" xfId="784" xr:uid="{00000000-0005-0000-0000-000020030000}"/>
    <cellStyle name="스타일 802" xfId="785" xr:uid="{00000000-0005-0000-0000-000021030000}"/>
    <cellStyle name="스타일 803" xfId="786" xr:uid="{00000000-0005-0000-0000-000022030000}"/>
    <cellStyle name="스타일 804" xfId="787" xr:uid="{00000000-0005-0000-0000-000023030000}"/>
    <cellStyle name="스타일 805" xfId="788" xr:uid="{00000000-0005-0000-0000-000024030000}"/>
    <cellStyle name="스타일 806" xfId="789" xr:uid="{00000000-0005-0000-0000-000025030000}"/>
    <cellStyle name="스타일 807" xfId="790" xr:uid="{00000000-0005-0000-0000-000026030000}"/>
    <cellStyle name="스타일 808" xfId="791" xr:uid="{00000000-0005-0000-0000-000027030000}"/>
    <cellStyle name="스타일 809" xfId="792" xr:uid="{00000000-0005-0000-0000-000028030000}"/>
    <cellStyle name="스타일 810" xfId="793" xr:uid="{00000000-0005-0000-0000-000029030000}"/>
    <cellStyle name="스타일 811" xfId="794" xr:uid="{00000000-0005-0000-0000-00002A030000}"/>
    <cellStyle name="스타일 812" xfId="795" xr:uid="{00000000-0005-0000-0000-00002B030000}"/>
    <cellStyle name="스타일 813" xfId="796" xr:uid="{00000000-0005-0000-0000-00002C030000}"/>
    <cellStyle name="스타일 814" xfId="797" xr:uid="{00000000-0005-0000-0000-00002D030000}"/>
    <cellStyle name="스타일 815" xfId="798" xr:uid="{00000000-0005-0000-0000-00002E030000}"/>
    <cellStyle name="스타일 816" xfId="799" xr:uid="{00000000-0005-0000-0000-00002F030000}"/>
    <cellStyle name="스타일 817" xfId="800" xr:uid="{00000000-0005-0000-0000-000030030000}"/>
    <cellStyle name="스타일 818" xfId="801" xr:uid="{00000000-0005-0000-0000-000031030000}"/>
    <cellStyle name="스타일 819" xfId="802" xr:uid="{00000000-0005-0000-0000-000032030000}"/>
    <cellStyle name="스타일 820" xfId="803" xr:uid="{00000000-0005-0000-0000-000033030000}"/>
    <cellStyle name="스타일 821" xfId="804" xr:uid="{00000000-0005-0000-0000-000034030000}"/>
    <cellStyle name="스타일 822" xfId="805" xr:uid="{00000000-0005-0000-0000-000035030000}"/>
    <cellStyle name="스타일 823" xfId="806" xr:uid="{00000000-0005-0000-0000-000036030000}"/>
    <cellStyle name="스타일 824" xfId="807" xr:uid="{00000000-0005-0000-0000-000037030000}"/>
    <cellStyle name="스타일 825" xfId="808" xr:uid="{00000000-0005-0000-0000-000038030000}"/>
    <cellStyle name="스타일 826" xfId="809" xr:uid="{00000000-0005-0000-0000-000039030000}"/>
    <cellStyle name="스타일 827" xfId="810" xr:uid="{00000000-0005-0000-0000-00003A030000}"/>
    <cellStyle name="스타일 828" xfId="811" xr:uid="{00000000-0005-0000-0000-00003B030000}"/>
    <cellStyle name="스타일 829" xfId="812" xr:uid="{00000000-0005-0000-0000-00003C030000}"/>
    <cellStyle name="스타일 830" xfId="813" xr:uid="{00000000-0005-0000-0000-00003D030000}"/>
    <cellStyle name="스타일 831" xfId="814" xr:uid="{00000000-0005-0000-0000-00003E030000}"/>
    <cellStyle name="스타일 832" xfId="815" xr:uid="{00000000-0005-0000-0000-00003F030000}"/>
    <cellStyle name="스타일 833" xfId="816" xr:uid="{00000000-0005-0000-0000-000040030000}"/>
    <cellStyle name="스타일 834" xfId="817" xr:uid="{00000000-0005-0000-0000-000041030000}"/>
    <cellStyle name="스타일 835" xfId="818" xr:uid="{00000000-0005-0000-0000-000042030000}"/>
    <cellStyle name="스타일 836" xfId="819" xr:uid="{00000000-0005-0000-0000-000043030000}"/>
    <cellStyle name="스타일 837" xfId="820" xr:uid="{00000000-0005-0000-0000-000044030000}"/>
    <cellStyle name="스타일 838" xfId="821" xr:uid="{00000000-0005-0000-0000-000045030000}"/>
    <cellStyle name="스타일 839" xfId="822" xr:uid="{00000000-0005-0000-0000-000046030000}"/>
    <cellStyle name="스타일 840" xfId="823" xr:uid="{00000000-0005-0000-0000-000047030000}"/>
    <cellStyle name="스타일 841" xfId="824" xr:uid="{00000000-0005-0000-0000-000048030000}"/>
    <cellStyle name="스타일 842" xfId="825" xr:uid="{00000000-0005-0000-0000-000049030000}"/>
    <cellStyle name="스타일 843" xfId="826" xr:uid="{00000000-0005-0000-0000-00004A030000}"/>
    <cellStyle name="스타일 844" xfId="827" xr:uid="{00000000-0005-0000-0000-00004B030000}"/>
    <cellStyle name="스타일 845" xfId="828" xr:uid="{00000000-0005-0000-0000-00004C030000}"/>
    <cellStyle name="스타일 846" xfId="829" xr:uid="{00000000-0005-0000-0000-00004D030000}"/>
    <cellStyle name="스타일 847" xfId="830" xr:uid="{00000000-0005-0000-0000-00004E030000}"/>
    <cellStyle name="스타일 848" xfId="831" xr:uid="{00000000-0005-0000-0000-00004F030000}"/>
    <cellStyle name="스타일 849" xfId="832" xr:uid="{00000000-0005-0000-0000-000050030000}"/>
    <cellStyle name="스타일 850" xfId="833" xr:uid="{00000000-0005-0000-0000-000051030000}"/>
    <cellStyle name="스타일 851" xfId="834" xr:uid="{00000000-0005-0000-0000-000052030000}"/>
    <cellStyle name="스타일 852" xfId="835" xr:uid="{00000000-0005-0000-0000-000053030000}"/>
    <cellStyle name="스타일 853" xfId="836" xr:uid="{00000000-0005-0000-0000-000054030000}"/>
    <cellStyle name="스타일 854" xfId="837" xr:uid="{00000000-0005-0000-0000-000055030000}"/>
    <cellStyle name="스타일 855" xfId="838" xr:uid="{00000000-0005-0000-0000-000056030000}"/>
    <cellStyle name="스타일 856" xfId="839" xr:uid="{00000000-0005-0000-0000-000057030000}"/>
    <cellStyle name="스타일 857" xfId="840" xr:uid="{00000000-0005-0000-0000-000058030000}"/>
    <cellStyle name="스타일 858" xfId="841" xr:uid="{00000000-0005-0000-0000-000059030000}"/>
    <cellStyle name="스타일 859" xfId="842" xr:uid="{00000000-0005-0000-0000-00005A030000}"/>
    <cellStyle name="스타일 860" xfId="843" xr:uid="{00000000-0005-0000-0000-00005B030000}"/>
    <cellStyle name="스타일 861" xfId="844" xr:uid="{00000000-0005-0000-0000-00005C030000}"/>
    <cellStyle name="스타일 862" xfId="845" xr:uid="{00000000-0005-0000-0000-00005D030000}"/>
    <cellStyle name="스타일 863" xfId="846" xr:uid="{00000000-0005-0000-0000-00005E030000}"/>
    <cellStyle name="스타일 864" xfId="847" xr:uid="{00000000-0005-0000-0000-00005F030000}"/>
    <cellStyle name="스타일 865" xfId="848" xr:uid="{00000000-0005-0000-0000-000060030000}"/>
    <cellStyle name="스타일 866" xfId="849" xr:uid="{00000000-0005-0000-0000-000061030000}"/>
    <cellStyle name="스타일 867" xfId="850" xr:uid="{00000000-0005-0000-0000-000062030000}"/>
    <cellStyle name="스타일 868" xfId="851" xr:uid="{00000000-0005-0000-0000-000063030000}"/>
    <cellStyle name="스타일 869" xfId="852" xr:uid="{00000000-0005-0000-0000-000064030000}"/>
    <cellStyle name="스타일 870" xfId="853" xr:uid="{00000000-0005-0000-0000-000065030000}"/>
    <cellStyle name="스타일 871" xfId="854" xr:uid="{00000000-0005-0000-0000-000066030000}"/>
    <cellStyle name="스타일 872" xfId="855" xr:uid="{00000000-0005-0000-0000-000067030000}"/>
    <cellStyle name="스타일 873" xfId="856" xr:uid="{00000000-0005-0000-0000-000068030000}"/>
    <cellStyle name="스타일 874" xfId="857" xr:uid="{00000000-0005-0000-0000-000069030000}"/>
    <cellStyle name="스타일 875" xfId="858" xr:uid="{00000000-0005-0000-0000-00006A030000}"/>
    <cellStyle name="스타일 876" xfId="859" xr:uid="{00000000-0005-0000-0000-00006B030000}"/>
    <cellStyle name="스타일 877" xfId="860" xr:uid="{00000000-0005-0000-0000-00006C030000}"/>
    <cellStyle name="스타일 878" xfId="861" xr:uid="{00000000-0005-0000-0000-00006D030000}"/>
    <cellStyle name="스타일 879" xfId="862" xr:uid="{00000000-0005-0000-0000-00006E030000}"/>
    <cellStyle name="스타일 880" xfId="863" xr:uid="{00000000-0005-0000-0000-00006F030000}"/>
    <cellStyle name="스타일 881" xfId="864" xr:uid="{00000000-0005-0000-0000-000070030000}"/>
    <cellStyle name="스타일 882" xfId="865" xr:uid="{00000000-0005-0000-0000-000071030000}"/>
    <cellStyle name="스타일 883" xfId="866" xr:uid="{00000000-0005-0000-0000-000072030000}"/>
    <cellStyle name="스타일 884" xfId="867" xr:uid="{00000000-0005-0000-0000-000073030000}"/>
    <cellStyle name="스타일 885" xfId="868" xr:uid="{00000000-0005-0000-0000-000074030000}"/>
    <cellStyle name="스타일 886" xfId="869" xr:uid="{00000000-0005-0000-0000-000075030000}"/>
    <cellStyle name="스타일 887" xfId="870" xr:uid="{00000000-0005-0000-0000-000076030000}"/>
    <cellStyle name="스타일 888" xfId="871" xr:uid="{00000000-0005-0000-0000-000077030000}"/>
    <cellStyle name="스타일 889" xfId="872" xr:uid="{00000000-0005-0000-0000-000078030000}"/>
    <cellStyle name="스타일 890" xfId="873" xr:uid="{00000000-0005-0000-0000-000079030000}"/>
    <cellStyle name="스타일 891" xfId="874" xr:uid="{00000000-0005-0000-0000-00007A030000}"/>
    <cellStyle name="스타일 892" xfId="875" xr:uid="{00000000-0005-0000-0000-00007B030000}"/>
    <cellStyle name="스타일 893" xfId="876" xr:uid="{00000000-0005-0000-0000-00007C030000}"/>
    <cellStyle name="스타일 894" xfId="877" xr:uid="{00000000-0005-0000-0000-00007D030000}"/>
    <cellStyle name="스타일 895" xfId="878" xr:uid="{00000000-0005-0000-0000-00007E030000}"/>
    <cellStyle name="스타일 896" xfId="879" xr:uid="{00000000-0005-0000-0000-00007F030000}"/>
    <cellStyle name="스타일 897" xfId="880" xr:uid="{00000000-0005-0000-0000-000080030000}"/>
    <cellStyle name="스타일 898" xfId="881" xr:uid="{00000000-0005-0000-0000-000081030000}"/>
    <cellStyle name="스타일 899" xfId="882" xr:uid="{00000000-0005-0000-0000-000082030000}"/>
    <cellStyle name="스타일 900" xfId="883" xr:uid="{00000000-0005-0000-0000-000083030000}"/>
    <cellStyle name="스타일 901" xfId="884" xr:uid="{00000000-0005-0000-0000-000084030000}"/>
    <cellStyle name="스타일 902" xfId="885" xr:uid="{00000000-0005-0000-0000-000085030000}"/>
    <cellStyle name="스타일 903" xfId="886" xr:uid="{00000000-0005-0000-0000-000086030000}"/>
    <cellStyle name="스타일 904" xfId="887" xr:uid="{00000000-0005-0000-0000-000087030000}"/>
    <cellStyle name="스타일 905" xfId="888" xr:uid="{00000000-0005-0000-0000-000088030000}"/>
    <cellStyle name="스타일 906" xfId="889" xr:uid="{00000000-0005-0000-0000-000089030000}"/>
    <cellStyle name="스타일 907" xfId="890" xr:uid="{00000000-0005-0000-0000-00008A030000}"/>
    <cellStyle name="스타일 908" xfId="891" xr:uid="{00000000-0005-0000-0000-00008B030000}"/>
    <cellStyle name="스타일 909" xfId="892" xr:uid="{00000000-0005-0000-0000-00008C030000}"/>
    <cellStyle name="스타일 910" xfId="893" xr:uid="{00000000-0005-0000-0000-00008D030000}"/>
    <cellStyle name="스타일 911" xfId="894" xr:uid="{00000000-0005-0000-0000-00008E030000}"/>
    <cellStyle name="스타일 912" xfId="895" xr:uid="{00000000-0005-0000-0000-00008F030000}"/>
    <cellStyle name="스타일 913" xfId="896" xr:uid="{00000000-0005-0000-0000-000090030000}"/>
    <cellStyle name="스타일 914" xfId="897" xr:uid="{00000000-0005-0000-0000-000091030000}"/>
    <cellStyle name="스타일 915" xfId="898" xr:uid="{00000000-0005-0000-0000-000092030000}"/>
    <cellStyle name="스타일 916" xfId="899" xr:uid="{00000000-0005-0000-0000-000093030000}"/>
    <cellStyle name="스타일 917" xfId="900" xr:uid="{00000000-0005-0000-0000-000094030000}"/>
    <cellStyle name="스타일 918" xfId="901" xr:uid="{00000000-0005-0000-0000-000095030000}"/>
    <cellStyle name="스타일 919" xfId="902" xr:uid="{00000000-0005-0000-0000-000096030000}"/>
    <cellStyle name="스타일 920" xfId="903" xr:uid="{00000000-0005-0000-0000-000097030000}"/>
    <cellStyle name="스타일 921" xfId="904" xr:uid="{00000000-0005-0000-0000-000098030000}"/>
    <cellStyle name="스타일 922" xfId="905" xr:uid="{00000000-0005-0000-0000-000099030000}"/>
    <cellStyle name="스타일 923" xfId="906" xr:uid="{00000000-0005-0000-0000-00009A030000}"/>
    <cellStyle name="스타일 924" xfId="907" xr:uid="{00000000-0005-0000-0000-00009B030000}"/>
    <cellStyle name="스타일 925" xfId="908" xr:uid="{00000000-0005-0000-0000-00009C030000}"/>
    <cellStyle name="스타일 926" xfId="909" xr:uid="{00000000-0005-0000-0000-00009D030000}"/>
    <cellStyle name="스타일 927" xfId="910" xr:uid="{00000000-0005-0000-0000-00009E030000}"/>
    <cellStyle name="스타일 928" xfId="911" xr:uid="{00000000-0005-0000-0000-00009F030000}"/>
    <cellStyle name="스타일 929" xfId="912" xr:uid="{00000000-0005-0000-0000-0000A0030000}"/>
    <cellStyle name="스타일 930" xfId="913" xr:uid="{00000000-0005-0000-0000-0000A1030000}"/>
    <cellStyle name="스타일 931" xfId="914" xr:uid="{00000000-0005-0000-0000-0000A2030000}"/>
    <cellStyle name="스타일 932" xfId="915" xr:uid="{00000000-0005-0000-0000-0000A3030000}"/>
    <cellStyle name="스타일 933" xfId="916" xr:uid="{00000000-0005-0000-0000-0000A4030000}"/>
    <cellStyle name="스타일 934" xfId="917" xr:uid="{00000000-0005-0000-0000-0000A5030000}"/>
    <cellStyle name="스타일 935" xfId="918" xr:uid="{00000000-0005-0000-0000-0000A6030000}"/>
    <cellStyle name="스타일 936" xfId="919" xr:uid="{00000000-0005-0000-0000-0000A7030000}"/>
    <cellStyle name="스타일 937" xfId="920" xr:uid="{00000000-0005-0000-0000-0000A8030000}"/>
    <cellStyle name="스타일 938" xfId="921" xr:uid="{00000000-0005-0000-0000-0000A9030000}"/>
    <cellStyle name="스타일 939" xfId="922" xr:uid="{00000000-0005-0000-0000-0000AA030000}"/>
    <cellStyle name="스타일 940" xfId="923" xr:uid="{00000000-0005-0000-0000-0000AB030000}"/>
    <cellStyle name="스타일 941" xfId="924" xr:uid="{00000000-0005-0000-0000-0000AC030000}"/>
    <cellStyle name="스타일 942" xfId="925" xr:uid="{00000000-0005-0000-0000-0000AD030000}"/>
    <cellStyle name="스타일 943" xfId="926" xr:uid="{00000000-0005-0000-0000-0000AE030000}"/>
    <cellStyle name="스타일 944" xfId="927" xr:uid="{00000000-0005-0000-0000-0000AF030000}"/>
    <cellStyle name="스타일 945" xfId="928" xr:uid="{00000000-0005-0000-0000-0000B0030000}"/>
    <cellStyle name="스타일 946" xfId="929" xr:uid="{00000000-0005-0000-0000-0000B1030000}"/>
    <cellStyle name="스타일 947" xfId="930" xr:uid="{00000000-0005-0000-0000-0000B2030000}"/>
    <cellStyle name="스타일 948" xfId="931" xr:uid="{00000000-0005-0000-0000-0000B3030000}"/>
    <cellStyle name="스타일 949" xfId="932" xr:uid="{00000000-0005-0000-0000-0000B4030000}"/>
    <cellStyle name="스타일 950" xfId="933" xr:uid="{00000000-0005-0000-0000-0000B5030000}"/>
    <cellStyle name="스타일 951" xfId="934" xr:uid="{00000000-0005-0000-0000-0000B6030000}"/>
    <cellStyle name="스타일 952" xfId="935" xr:uid="{00000000-0005-0000-0000-0000B7030000}"/>
    <cellStyle name="스타일 953" xfId="936" xr:uid="{00000000-0005-0000-0000-0000B8030000}"/>
    <cellStyle name="스타일 954" xfId="937" xr:uid="{00000000-0005-0000-0000-0000B9030000}"/>
    <cellStyle name="스타일 955" xfId="938" xr:uid="{00000000-0005-0000-0000-0000BA030000}"/>
    <cellStyle name="스타일 956" xfId="939" xr:uid="{00000000-0005-0000-0000-0000BB030000}"/>
    <cellStyle name="스타일 957" xfId="940" xr:uid="{00000000-0005-0000-0000-0000BC030000}"/>
    <cellStyle name="스타일 958" xfId="941" xr:uid="{00000000-0005-0000-0000-0000BD030000}"/>
    <cellStyle name="스타일 959" xfId="942" xr:uid="{00000000-0005-0000-0000-0000BE030000}"/>
    <cellStyle name="스타일 960" xfId="943" xr:uid="{00000000-0005-0000-0000-0000BF030000}"/>
    <cellStyle name="스타일 961" xfId="944" xr:uid="{00000000-0005-0000-0000-0000C0030000}"/>
    <cellStyle name="스타일 962" xfId="945" xr:uid="{00000000-0005-0000-0000-0000C1030000}"/>
    <cellStyle name="스타일 963" xfId="946" xr:uid="{00000000-0005-0000-0000-0000C2030000}"/>
    <cellStyle name="스타일 964" xfId="947" xr:uid="{00000000-0005-0000-0000-0000C3030000}"/>
    <cellStyle name="스타일 965" xfId="948" xr:uid="{00000000-0005-0000-0000-0000C4030000}"/>
    <cellStyle name="스타일 966" xfId="949" xr:uid="{00000000-0005-0000-0000-0000C5030000}"/>
    <cellStyle name="스타일 967" xfId="950" xr:uid="{00000000-0005-0000-0000-0000C6030000}"/>
    <cellStyle name="스타일 968" xfId="951" xr:uid="{00000000-0005-0000-0000-0000C7030000}"/>
    <cellStyle name="스타일 969" xfId="952" xr:uid="{00000000-0005-0000-0000-0000C8030000}"/>
    <cellStyle name="스타일 970" xfId="953" xr:uid="{00000000-0005-0000-0000-0000C9030000}"/>
    <cellStyle name="스타일 971" xfId="954" xr:uid="{00000000-0005-0000-0000-0000CA030000}"/>
    <cellStyle name="스타일 972" xfId="955" xr:uid="{00000000-0005-0000-0000-0000CB030000}"/>
    <cellStyle name="스타일 973" xfId="956" xr:uid="{00000000-0005-0000-0000-0000CC030000}"/>
    <cellStyle name="스타일 974" xfId="957" xr:uid="{00000000-0005-0000-0000-0000CD030000}"/>
    <cellStyle name="스타일 975" xfId="958" xr:uid="{00000000-0005-0000-0000-0000CE030000}"/>
    <cellStyle name="스타일 976" xfId="959" xr:uid="{00000000-0005-0000-0000-0000CF030000}"/>
    <cellStyle name="스타일 977" xfId="960" xr:uid="{00000000-0005-0000-0000-0000D0030000}"/>
    <cellStyle name="스타일 978" xfId="961" xr:uid="{00000000-0005-0000-0000-0000D1030000}"/>
    <cellStyle name="스타일 979" xfId="962" xr:uid="{00000000-0005-0000-0000-0000D2030000}"/>
    <cellStyle name="스타일 980" xfId="963" xr:uid="{00000000-0005-0000-0000-0000D3030000}"/>
    <cellStyle name="스타일 981" xfId="964" xr:uid="{00000000-0005-0000-0000-0000D4030000}"/>
    <cellStyle name="스타일 982" xfId="965" xr:uid="{00000000-0005-0000-0000-0000D5030000}"/>
    <cellStyle name="스타일 983" xfId="966" xr:uid="{00000000-0005-0000-0000-0000D6030000}"/>
    <cellStyle name="스타일 984" xfId="967" xr:uid="{00000000-0005-0000-0000-0000D7030000}"/>
    <cellStyle name="스타일 985" xfId="968" xr:uid="{00000000-0005-0000-0000-0000D8030000}"/>
    <cellStyle name="스타일 986" xfId="969" xr:uid="{00000000-0005-0000-0000-0000D9030000}"/>
    <cellStyle name="스타일 987" xfId="970" xr:uid="{00000000-0005-0000-0000-0000DA030000}"/>
    <cellStyle name="스타일 988" xfId="971" xr:uid="{00000000-0005-0000-0000-0000DB030000}"/>
    <cellStyle name="스타일 989" xfId="972" xr:uid="{00000000-0005-0000-0000-0000DC030000}"/>
    <cellStyle name="스타일 990" xfId="973" xr:uid="{00000000-0005-0000-0000-0000DD030000}"/>
    <cellStyle name="스타일 991" xfId="974" xr:uid="{00000000-0005-0000-0000-0000DE030000}"/>
    <cellStyle name="스타일 992" xfId="975" xr:uid="{00000000-0005-0000-0000-0000DF030000}"/>
    <cellStyle name="스타일 993" xfId="976" xr:uid="{00000000-0005-0000-0000-0000E0030000}"/>
    <cellStyle name="스타일 994" xfId="977" xr:uid="{00000000-0005-0000-0000-0000E1030000}"/>
    <cellStyle name="스타일 995" xfId="978" xr:uid="{00000000-0005-0000-0000-0000E2030000}"/>
    <cellStyle name="스타일 996" xfId="979" xr:uid="{00000000-0005-0000-0000-0000E3030000}"/>
    <cellStyle name="스타일 997" xfId="980" xr:uid="{00000000-0005-0000-0000-0000E4030000}"/>
    <cellStyle name="스타일 998" xfId="981" xr:uid="{00000000-0005-0000-0000-0000E5030000}"/>
    <cellStyle name="스타일 999" xfId="982" xr:uid="{00000000-0005-0000-0000-0000E6030000}"/>
    <cellStyle name="스타일 1000" xfId="983" xr:uid="{00000000-0005-0000-0000-0000E7030000}"/>
    <cellStyle name="스타일 1001" xfId="984" xr:uid="{00000000-0005-0000-0000-0000E8030000}"/>
    <cellStyle name="스타일 1002" xfId="985" xr:uid="{00000000-0005-0000-0000-0000E9030000}"/>
    <cellStyle name="스타일 1003" xfId="986" xr:uid="{00000000-0005-0000-0000-0000EA030000}"/>
    <cellStyle name="스타일 1004" xfId="987" xr:uid="{00000000-0005-0000-0000-0000EB030000}"/>
    <cellStyle name="스타일 1005" xfId="988" xr:uid="{00000000-0005-0000-0000-0000EC030000}"/>
    <cellStyle name="스타일 1006" xfId="989" xr:uid="{00000000-0005-0000-0000-0000ED030000}"/>
    <cellStyle name="스타일 1007" xfId="990" xr:uid="{00000000-0005-0000-0000-0000EE030000}"/>
    <cellStyle name="스타일 1008" xfId="991" xr:uid="{00000000-0005-0000-0000-0000EF030000}"/>
    <cellStyle name="스타일 1009" xfId="992" xr:uid="{00000000-0005-0000-0000-0000F0030000}"/>
    <cellStyle name="스타일 1010" xfId="993" xr:uid="{00000000-0005-0000-0000-0000F1030000}"/>
    <cellStyle name="스타일 1011" xfId="994" xr:uid="{00000000-0005-0000-0000-0000F2030000}"/>
    <cellStyle name="스타일 1012" xfId="995" xr:uid="{00000000-0005-0000-0000-0000F3030000}"/>
    <cellStyle name="스타일 1013" xfId="996" xr:uid="{00000000-0005-0000-0000-0000F4030000}"/>
    <cellStyle name="스타일 1014" xfId="997" xr:uid="{00000000-0005-0000-0000-0000F5030000}"/>
    <cellStyle name="스타일 1015" xfId="998" xr:uid="{00000000-0005-0000-0000-0000F6030000}"/>
    <cellStyle name="스타일 1016" xfId="999" xr:uid="{00000000-0005-0000-0000-0000F7030000}"/>
    <cellStyle name="스타일 1017" xfId="1000" xr:uid="{00000000-0005-0000-0000-0000F8030000}"/>
    <cellStyle name="스타일 1018" xfId="1001" xr:uid="{00000000-0005-0000-0000-0000F9030000}"/>
    <cellStyle name="스타일 1019" xfId="1002" xr:uid="{00000000-0005-0000-0000-0000FA030000}"/>
    <cellStyle name="스타일 1020" xfId="1003" xr:uid="{00000000-0005-0000-0000-0000FB030000}"/>
    <cellStyle name="스타일 1021" xfId="1004" xr:uid="{00000000-0005-0000-0000-0000FC030000}"/>
    <cellStyle name="스타일 1022" xfId="1005" xr:uid="{00000000-0005-0000-0000-0000FD030000}"/>
    <cellStyle name="스타일 1023" xfId="1006" xr:uid="{00000000-0005-0000-0000-0000FE030000}"/>
    <cellStyle name="스타일 1024" xfId="1007" xr:uid="{00000000-0005-0000-0000-0000FF030000}"/>
    <cellStyle name="스타일 1025" xfId="1008" xr:uid="{00000000-0005-0000-0000-000000040000}"/>
    <cellStyle name="스타일 1026" xfId="1009" xr:uid="{00000000-0005-0000-0000-000001040000}"/>
    <cellStyle name="스타일 1027" xfId="1010" xr:uid="{00000000-0005-0000-0000-000002040000}"/>
    <cellStyle name="스타일 1028" xfId="1011" xr:uid="{00000000-0005-0000-0000-000003040000}"/>
    <cellStyle name="스타일 1029" xfId="1012" xr:uid="{00000000-0005-0000-0000-000004040000}"/>
    <cellStyle name="스타일 1030" xfId="1013" xr:uid="{00000000-0005-0000-0000-000005040000}"/>
    <cellStyle name="스타일 1031" xfId="1014" xr:uid="{00000000-0005-0000-0000-000006040000}"/>
    <cellStyle name="스타일 1032" xfId="1015" xr:uid="{00000000-0005-0000-0000-000007040000}"/>
    <cellStyle name="스타일 1033" xfId="1016" xr:uid="{00000000-0005-0000-0000-000008040000}"/>
    <cellStyle name="스타일 1034" xfId="1017" xr:uid="{00000000-0005-0000-0000-000009040000}"/>
    <cellStyle name="스타일 1035" xfId="1018" xr:uid="{00000000-0005-0000-0000-00000A040000}"/>
    <cellStyle name="스타일 1036" xfId="1019" xr:uid="{00000000-0005-0000-0000-00000B040000}"/>
    <cellStyle name="스타일 1037" xfId="1020" xr:uid="{00000000-0005-0000-0000-00000C040000}"/>
    <cellStyle name="스타일 1038" xfId="1021" xr:uid="{00000000-0005-0000-0000-00000D040000}"/>
    <cellStyle name="스타일 1039" xfId="1022" xr:uid="{00000000-0005-0000-0000-00000E040000}"/>
    <cellStyle name="스타일 1040" xfId="1023" xr:uid="{00000000-0005-0000-0000-00000F040000}"/>
    <cellStyle name="스타일 1041" xfId="1024" xr:uid="{00000000-0005-0000-0000-000010040000}"/>
    <cellStyle name="스타일 1042" xfId="1025" xr:uid="{00000000-0005-0000-0000-000011040000}"/>
    <cellStyle name="스타일 1043" xfId="1026" xr:uid="{00000000-0005-0000-0000-000012040000}"/>
    <cellStyle name="스타일 1044" xfId="1027" xr:uid="{00000000-0005-0000-0000-000013040000}"/>
    <cellStyle name="스타일 1045" xfId="1028" xr:uid="{00000000-0005-0000-0000-000014040000}"/>
    <cellStyle name="스타일 1046" xfId="1029" xr:uid="{00000000-0005-0000-0000-000015040000}"/>
    <cellStyle name="스타일 1047" xfId="1030" xr:uid="{00000000-0005-0000-0000-000016040000}"/>
    <cellStyle name="스타일 1048" xfId="1031" xr:uid="{00000000-0005-0000-0000-000017040000}"/>
    <cellStyle name="스타일 1049" xfId="1032" xr:uid="{00000000-0005-0000-0000-000018040000}"/>
    <cellStyle name="스타일 1050" xfId="1033" xr:uid="{00000000-0005-0000-0000-000019040000}"/>
    <cellStyle name="스타일 1051" xfId="1034" xr:uid="{00000000-0005-0000-0000-00001A040000}"/>
    <cellStyle name="스타일 1052" xfId="1035" xr:uid="{00000000-0005-0000-0000-00001B040000}"/>
    <cellStyle name="스타일 1053" xfId="1036" xr:uid="{00000000-0005-0000-0000-00001C040000}"/>
    <cellStyle name="스타일 1054" xfId="1037" xr:uid="{00000000-0005-0000-0000-00001D040000}"/>
    <cellStyle name="스타일 1055" xfId="1038" xr:uid="{00000000-0005-0000-0000-00001E040000}"/>
    <cellStyle name="스타일 1056" xfId="1039" xr:uid="{00000000-0005-0000-0000-00001F040000}"/>
    <cellStyle name="스타일 1057" xfId="1040" xr:uid="{00000000-0005-0000-0000-000020040000}"/>
    <cellStyle name="스타일 1058" xfId="1041" xr:uid="{00000000-0005-0000-0000-000021040000}"/>
    <cellStyle name="스타일 1059" xfId="1042" xr:uid="{00000000-0005-0000-0000-000022040000}"/>
    <cellStyle name="스타일 1060" xfId="1043" xr:uid="{00000000-0005-0000-0000-000023040000}"/>
    <cellStyle name="스타일 1061" xfId="1044" xr:uid="{00000000-0005-0000-0000-000024040000}"/>
    <cellStyle name="스타일 1062" xfId="1045" xr:uid="{00000000-0005-0000-0000-000025040000}"/>
    <cellStyle name="스타일 1063" xfId="1046" xr:uid="{00000000-0005-0000-0000-000026040000}"/>
    <cellStyle name="스타일 1064" xfId="1047" xr:uid="{00000000-0005-0000-0000-000027040000}"/>
    <cellStyle name="스타일 1065" xfId="1048" xr:uid="{00000000-0005-0000-0000-000028040000}"/>
    <cellStyle name="스타일 1066" xfId="1049" xr:uid="{00000000-0005-0000-0000-000029040000}"/>
    <cellStyle name="스타일 1067" xfId="1050" xr:uid="{00000000-0005-0000-0000-00002A040000}"/>
    <cellStyle name="스타일 1068" xfId="1051" xr:uid="{00000000-0005-0000-0000-00002B040000}"/>
    <cellStyle name="스타일 1069" xfId="1052" xr:uid="{00000000-0005-0000-0000-00002C040000}"/>
    <cellStyle name="스타일 1070" xfId="1053" xr:uid="{00000000-0005-0000-0000-00002D040000}"/>
    <cellStyle name="스타일 1071" xfId="1054" xr:uid="{00000000-0005-0000-0000-00002E040000}"/>
    <cellStyle name="스타일 1072" xfId="1055" xr:uid="{00000000-0005-0000-0000-00002F040000}"/>
    <cellStyle name="스타일 1073" xfId="1056" xr:uid="{00000000-0005-0000-0000-000030040000}"/>
    <cellStyle name="스타일 1074" xfId="1057" xr:uid="{00000000-0005-0000-0000-000031040000}"/>
    <cellStyle name="스타일 1075" xfId="1058" xr:uid="{00000000-0005-0000-0000-000032040000}"/>
    <cellStyle name="스타일 1076" xfId="1059" xr:uid="{00000000-0005-0000-0000-000033040000}"/>
    <cellStyle name="스타일 1077" xfId="1060" xr:uid="{00000000-0005-0000-0000-000034040000}"/>
    <cellStyle name="스타일 1078" xfId="1061" xr:uid="{00000000-0005-0000-0000-000035040000}"/>
    <cellStyle name="스타일 1079" xfId="1062" xr:uid="{00000000-0005-0000-0000-000036040000}"/>
    <cellStyle name="스타일 1080" xfId="1063" xr:uid="{00000000-0005-0000-0000-000037040000}"/>
    <cellStyle name="스타일 1081" xfId="1064" xr:uid="{00000000-0005-0000-0000-000038040000}"/>
    <cellStyle name="스타일 1082" xfId="1065" xr:uid="{00000000-0005-0000-0000-000039040000}"/>
    <cellStyle name="스타일 1083" xfId="1066" xr:uid="{00000000-0005-0000-0000-00003A040000}"/>
    <cellStyle name="스타일 1084" xfId="1067" xr:uid="{00000000-0005-0000-0000-00003B040000}"/>
    <cellStyle name="스타일 1085" xfId="1068" xr:uid="{00000000-0005-0000-0000-00003C040000}"/>
    <cellStyle name="스타일 1086" xfId="1069" xr:uid="{00000000-0005-0000-0000-00003D040000}"/>
    <cellStyle name="스타일 1087" xfId="1070" xr:uid="{00000000-0005-0000-0000-00003E040000}"/>
    <cellStyle name="스타일 1088" xfId="1071" xr:uid="{00000000-0005-0000-0000-00003F040000}"/>
    <cellStyle name="스타일 1089" xfId="1072" xr:uid="{00000000-0005-0000-0000-000040040000}"/>
    <cellStyle name="스타일 1090" xfId="1073" xr:uid="{00000000-0005-0000-0000-000041040000}"/>
    <cellStyle name="스타일 1091" xfId="1074" xr:uid="{00000000-0005-0000-0000-000042040000}"/>
    <cellStyle name="스타일 1092" xfId="1075" xr:uid="{00000000-0005-0000-0000-000043040000}"/>
    <cellStyle name="스타일 1093" xfId="1076" xr:uid="{00000000-0005-0000-0000-000044040000}"/>
    <cellStyle name="스타일 1094" xfId="1077" xr:uid="{00000000-0005-0000-0000-000045040000}"/>
    <cellStyle name="스타일 1095" xfId="1078" xr:uid="{00000000-0005-0000-0000-000046040000}"/>
    <cellStyle name="스타일 1096" xfId="1079" xr:uid="{00000000-0005-0000-0000-000047040000}"/>
    <cellStyle name="스타일 1097" xfId="1080" xr:uid="{00000000-0005-0000-0000-000048040000}"/>
    <cellStyle name="스타일 1098" xfId="1081" xr:uid="{00000000-0005-0000-0000-000049040000}"/>
    <cellStyle name="스타일 1099" xfId="1082" xr:uid="{00000000-0005-0000-0000-00004A040000}"/>
    <cellStyle name="스타일 1100" xfId="1083" xr:uid="{00000000-0005-0000-0000-00004B040000}"/>
    <cellStyle name="스타일 1101" xfId="1084" xr:uid="{00000000-0005-0000-0000-00004C040000}"/>
    <cellStyle name="스타일 1102" xfId="1085" xr:uid="{00000000-0005-0000-0000-00004D040000}"/>
    <cellStyle name="스타일 1103" xfId="1086" xr:uid="{00000000-0005-0000-0000-00004E040000}"/>
    <cellStyle name="스타일 1104" xfId="1087" xr:uid="{00000000-0005-0000-0000-00004F040000}"/>
    <cellStyle name="스타일 1105" xfId="1088" xr:uid="{00000000-0005-0000-0000-000050040000}"/>
    <cellStyle name="스타일 1106" xfId="1089" xr:uid="{00000000-0005-0000-0000-000051040000}"/>
    <cellStyle name="스타일 1107" xfId="1090" xr:uid="{00000000-0005-0000-0000-000052040000}"/>
    <cellStyle name="스타일 1108" xfId="1091" xr:uid="{00000000-0005-0000-0000-000053040000}"/>
    <cellStyle name="스타일 1109" xfId="1092" xr:uid="{00000000-0005-0000-0000-000054040000}"/>
    <cellStyle name="스타일 1110" xfId="1093" xr:uid="{00000000-0005-0000-0000-000055040000}"/>
    <cellStyle name="스타일 1111" xfId="1094" xr:uid="{00000000-0005-0000-0000-000056040000}"/>
    <cellStyle name="스타일 1112" xfId="1095" xr:uid="{00000000-0005-0000-0000-000057040000}"/>
    <cellStyle name="스타일 1113" xfId="1096" xr:uid="{00000000-0005-0000-0000-000058040000}"/>
    <cellStyle name="스타일 1114" xfId="1097" xr:uid="{00000000-0005-0000-0000-000059040000}"/>
    <cellStyle name="스타일 1115" xfId="1098" xr:uid="{00000000-0005-0000-0000-00005A040000}"/>
    <cellStyle name="스타일 1116" xfId="1099" xr:uid="{00000000-0005-0000-0000-00005B040000}"/>
    <cellStyle name="스타일 1117" xfId="1100" xr:uid="{00000000-0005-0000-0000-00005C040000}"/>
    <cellStyle name="스타일 1118" xfId="1101" xr:uid="{00000000-0005-0000-0000-00005D040000}"/>
    <cellStyle name="스타일 1119" xfId="1102" xr:uid="{00000000-0005-0000-0000-00005E040000}"/>
    <cellStyle name="스타일 1120" xfId="1103" xr:uid="{00000000-0005-0000-0000-00005F040000}"/>
    <cellStyle name="스타일 1121" xfId="1104" xr:uid="{00000000-0005-0000-0000-000060040000}"/>
    <cellStyle name="스타일 1122" xfId="1105" xr:uid="{00000000-0005-0000-0000-000061040000}"/>
    <cellStyle name="스타일 1123" xfId="1106" xr:uid="{00000000-0005-0000-0000-000062040000}"/>
    <cellStyle name="스타일 1124" xfId="1107" xr:uid="{00000000-0005-0000-0000-000063040000}"/>
    <cellStyle name="스타일 1125" xfId="1108" xr:uid="{00000000-0005-0000-0000-000064040000}"/>
    <cellStyle name="스타일 1126" xfId="1109" xr:uid="{00000000-0005-0000-0000-000065040000}"/>
    <cellStyle name="스타일 1127" xfId="1110" xr:uid="{00000000-0005-0000-0000-000066040000}"/>
    <cellStyle name="스타일 1128" xfId="1111" xr:uid="{00000000-0005-0000-0000-000067040000}"/>
    <cellStyle name="스타일 1129" xfId="1112" xr:uid="{00000000-0005-0000-0000-000068040000}"/>
    <cellStyle name="스타일 1130" xfId="1113" xr:uid="{00000000-0005-0000-0000-000069040000}"/>
    <cellStyle name="스타일 1131" xfId="1114" xr:uid="{00000000-0005-0000-0000-00006A040000}"/>
    <cellStyle name="스타일 1132" xfId="1115" xr:uid="{00000000-0005-0000-0000-00006B040000}"/>
    <cellStyle name="스타일 1133" xfId="1116" xr:uid="{00000000-0005-0000-0000-00006C040000}"/>
    <cellStyle name="스타일 1134" xfId="1117" xr:uid="{00000000-0005-0000-0000-00006D040000}"/>
    <cellStyle name="스타일 1135" xfId="1118" xr:uid="{00000000-0005-0000-0000-00006E040000}"/>
    <cellStyle name="스타일 1136" xfId="1119" xr:uid="{00000000-0005-0000-0000-00006F040000}"/>
    <cellStyle name="스타일 1137" xfId="1120" xr:uid="{00000000-0005-0000-0000-000070040000}"/>
    <cellStyle name="스타일 1138" xfId="1121" xr:uid="{00000000-0005-0000-0000-000071040000}"/>
    <cellStyle name="스타일 1139" xfId="1122" xr:uid="{00000000-0005-0000-0000-000072040000}"/>
    <cellStyle name="스타일 1140" xfId="1123" xr:uid="{00000000-0005-0000-0000-000073040000}"/>
    <cellStyle name="스타일 1141" xfId="1124" xr:uid="{00000000-0005-0000-0000-000074040000}"/>
    <cellStyle name="스타일 1142" xfId="1125" xr:uid="{00000000-0005-0000-0000-000075040000}"/>
    <cellStyle name="스타일 1143" xfId="1126" xr:uid="{00000000-0005-0000-0000-000076040000}"/>
    <cellStyle name="스타일 1144" xfId="1127" xr:uid="{00000000-0005-0000-0000-000077040000}"/>
    <cellStyle name="스타일 1145" xfId="1128" xr:uid="{00000000-0005-0000-0000-000078040000}"/>
    <cellStyle name="스타일 1146" xfId="1129" xr:uid="{00000000-0005-0000-0000-000079040000}"/>
    <cellStyle name="스타일 1147" xfId="1130" xr:uid="{00000000-0005-0000-0000-00007A040000}"/>
    <cellStyle name="스타일 1148" xfId="1131" xr:uid="{00000000-0005-0000-0000-00007B040000}"/>
    <cellStyle name="스타일 1149" xfId="1132" xr:uid="{00000000-0005-0000-0000-00007C040000}"/>
    <cellStyle name="스타일 1150" xfId="1133" xr:uid="{00000000-0005-0000-0000-00007D040000}"/>
    <cellStyle name="스타일 1151" xfId="1134" xr:uid="{00000000-0005-0000-0000-00007E040000}"/>
    <cellStyle name="스타일 1152" xfId="1135" xr:uid="{00000000-0005-0000-0000-00007F040000}"/>
    <cellStyle name="스타일 1153" xfId="1136" xr:uid="{00000000-0005-0000-0000-000080040000}"/>
    <cellStyle name="스타일 1154" xfId="1137" xr:uid="{00000000-0005-0000-0000-000081040000}"/>
    <cellStyle name="스타일 1155" xfId="1138" xr:uid="{00000000-0005-0000-0000-000082040000}"/>
    <cellStyle name="스타일 1156" xfId="1139" xr:uid="{00000000-0005-0000-0000-000083040000}"/>
    <cellStyle name="스타일 1157" xfId="1140" xr:uid="{00000000-0005-0000-0000-000084040000}"/>
    <cellStyle name="스타일 1158" xfId="1141" xr:uid="{00000000-0005-0000-0000-000085040000}"/>
    <cellStyle name="스타일 1159" xfId="1142" xr:uid="{00000000-0005-0000-0000-000086040000}"/>
    <cellStyle name="스타일 1160" xfId="1143" xr:uid="{00000000-0005-0000-0000-000087040000}"/>
    <cellStyle name="스타일 1161" xfId="1144" xr:uid="{00000000-0005-0000-0000-000088040000}"/>
    <cellStyle name="스타일 1162" xfId="1145" xr:uid="{00000000-0005-0000-0000-000089040000}"/>
    <cellStyle name="스타일 1163" xfId="1146" xr:uid="{00000000-0005-0000-0000-00008A040000}"/>
    <cellStyle name="스타일 1164" xfId="1147" xr:uid="{00000000-0005-0000-0000-00008B040000}"/>
    <cellStyle name="스타일 1165" xfId="1148" xr:uid="{00000000-0005-0000-0000-00008C040000}"/>
    <cellStyle name="스타일 1166" xfId="1149" xr:uid="{00000000-0005-0000-0000-00008D040000}"/>
    <cellStyle name="스타일 1167" xfId="1150" xr:uid="{00000000-0005-0000-0000-00008E040000}"/>
    <cellStyle name="스타일 1168" xfId="1151" xr:uid="{00000000-0005-0000-0000-00008F040000}"/>
    <cellStyle name="스타일 1169" xfId="1152" xr:uid="{00000000-0005-0000-0000-000090040000}"/>
    <cellStyle name="스타일 1170" xfId="1153" xr:uid="{00000000-0005-0000-0000-000091040000}"/>
    <cellStyle name="스타일 1171" xfId="1154" xr:uid="{00000000-0005-0000-0000-000092040000}"/>
    <cellStyle name="스타일 1172" xfId="1155" xr:uid="{00000000-0005-0000-0000-000093040000}"/>
    <cellStyle name="스타일 1173" xfId="1156" xr:uid="{00000000-0005-0000-0000-000094040000}"/>
    <cellStyle name="스타일 1174" xfId="1157" xr:uid="{00000000-0005-0000-0000-000095040000}"/>
    <cellStyle name="스타일 1175" xfId="1158" xr:uid="{00000000-0005-0000-0000-000096040000}"/>
    <cellStyle name="스타일 1176" xfId="1159" xr:uid="{00000000-0005-0000-0000-000097040000}"/>
    <cellStyle name="스타일 1177" xfId="1160" xr:uid="{00000000-0005-0000-0000-000098040000}"/>
    <cellStyle name="스타일 1178" xfId="1161" xr:uid="{00000000-0005-0000-0000-000099040000}"/>
    <cellStyle name="스타일 1179" xfId="1162" xr:uid="{00000000-0005-0000-0000-00009A040000}"/>
    <cellStyle name="스타일 1180" xfId="1163" xr:uid="{00000000-0005-0000-0000-00009B040000}"/>
    <cellStyle name="스타일 1181" xfId="1164" xr:uid="{00000000-0005-0000-0000-00009C040000}"/>
    <cellStyle name="스타일 1182" xfId="1165" xr:uid="{00000000-0005-0000-0000-00009D040000}"/>
    <cellStyle name="스타일 1183" xfId="1166" xr:uid="{00000000-0005-0000-0000-00009E040000}"/>
    <cellStyle name="스타일 1184" xfId="1167" xr:uid="{00000000-0005-0000-0000-00009F040000}"/>
    <cellStyle name="스타일 1185" xfId="1168" xr:uid="{00000000-0005-0000-0000-0000A0040000}"/>
    <cellStyle name="스타일 1186" xfId="1169" xr:uid="{00000000-0005-0000-0000-0000A1040000}"/>
    <cellStyle name="스타일 1187" xfId="1170" xr:uid="{00000000-0005-0000-0000-0000A2040000}"/>
    <cellStyle name="스타일 1188" xfId="1171" xr:uid="{00000000-0005-0000-0000-0000A3040000}"/>
    <cellStyle name="스타일 1189" xfId="1172" xr:uid="{00000000-0005-0000-0000-0000A4040000}"/>
    <cellStyle name="스타일 1190" xfId="1173" xr:uid="{00000000-0005-0000-0000-0000A5040000}"/>
    <cellStyle name="스타일 1191" xfId="1174" xr:uid="{00000000-0005-0000-0000-0000A6040000}"/>
    <cellStyle name="스타일 1192" xfId="1175" xr:uid="{00000000-0005-0000-0000-0000A7040000}"/>
    <cellStyle name="스타일 1193" xfId="1176" xr:uid="{00000000-0005-0000-0000-0000A8040000}"/>
    <cellStyle name="스타일 1194" xfId="1177" xr:uid="{00000000-0005-0000-0000-0000A9040000}"/>
    <cellStyle name="스타일 1195" xfId="1178" xr:uid="{00000000-0005-0000-0000-0000AA040000}"/>
    <cellStyle name="스타일 1196" xfId="1179" xr:uid="{00000000-0005-0000-0000-0000AB040000}"/>
    <cellStyle name="스타일 1197" xfId="1180" xr:uid="{00000000-0005-0000-0000-0000AC040000}"/>
    <cellStyle name="스타일 1198" xfId="1181" xr:uid="{00000000-0005-0000-0000-0000AD040000}"/>
    <cellStyle name="스타일 1199" xfId="1182" xr:uid="{00000000-0005-0000-0000-0000AE040000}"/>
    <cellStyle name="스타일 1200" xfId="1183" xr:uid="{00000000-0005-0000-0000-0000AF040000}"/>
    <cellStyle name="스타일 1201" xfId="1184" xr:uid="{00000000-0005-0000-0000-0000B0040000}"/>
    <cellStyle name="스타일 1202" xfId="1185" xr:uid="{00000000-0005-0000-0000-0000B1040000}"/>
    <cellStyle name="스타일 1203" xfId="1186" xr:uid="{00000000-0005-0000-0000-0000B2040000}"/>
    <cellStyle name="스타일 1204" xfId="1187" xr:uid="{00000000-0005-0000-0000-0000B3040000}"/>
    <cellStyle name="스타일 1205" xfId="1188" xr:uid="{00000000-0005-0000-0000-0000B4040000}"/>
    <cellStyle name="스타일 1206" xfId="1189" xr:uid="{00000000-0005-0000-0000-0000B5040000}"/>
    <cellStyle name="스타일 1207" xfId="1190" xr:uid="{00000000-0005-0000-0000-0000B6040000}"/>
    <cellStyle name="스타일 1208" xfId="1191" xr:uid="{00000000-0005-0000-0000-0000B7040000}"/>
    <cellStyle name="스타일 1209" xfId="1192" xr:uid="{00000000-0005-0000-0000-0000B8040000}"/>
    <cellStyle name="스타일 1210" xfId="1193" xr:uid="{00000000-0005-0000-0000-0000B9040000}"/>
    <cellStyle name="스타일 1211" xfId="1194" xr:uid="{00000000-0005-0000-0000-0000BA040000}"/>
    <cellStyle name="스타일 1212" xfId="1195" xr:uid="{00000000-0005-0000-0000-0000BB040000}"/>
    <cellStyle name="스타일 1213" xfId="1196" xr:uid="{00000000-0005-0000-0000-0000BC040000}"/>
    <cellStyle name="스타일 1214" xfId="1197" xr:uid="{00000000-0005-0000-0000-0000BD040000}"/>
    <cellStyle name="스타일 1215" xfId="1198" xr:uid="{00000000-0005-0000-0000-0000BE040000}"/>
    <cellStyle name="스타일 1216" xfId="1199" xr:uid="{00000000-0005-0000-0000-0000BF040000}"/>
    <cellStyle name="스타일 1217" xfId="1200" xr:uid="{00000000-0005-0000-0000-0000C0040000}"/>
    <cellStyle name="스타일 1218" xfId="1201" xr:uid="{00000000-0005-0000-0000-0000C1040000}"/>
    <cellStyle name="스타일 1219" xfId="1202" xr:uid="{00000000-0005-0000-0000-0000C2040000}"/>
    <cellStyle name="스타일 1220" xfId="1203" xr:uid="{00000000-0005-0000-0000-0000C3040000}"/>
    <cellStyle name="스타일 1221" xfId="1204" xr:uid="{00000000-0005-0000-0000-0000C4040000}"/>
    <cellStyle name="스타일 1222" xfId="1205" xr:uid="{00000000-0005-0000-0000-0000C5040000}"/>
    <cellStyle name="스타일 1223" xfId="1206" xr:uid="{00000000-0005-0000-0000-0000C6040000}"/>
    <cellStyle name="스타일 1224" xfId="1207" xr:uid="{00000000-0005-0000-0000-0000C7040000}"/>
    <cellStyle name="스타일 1225" xfId="1208" xr:uid="{00000000-0005-0000-0000-0000C8040000}"/>
    <cellStyle name="스타일 1226" xfId="1209" xr:uid="{00000000-0005-0000-0000-0000C9040000}"/>
    <cellStyle name="스타일 1227" xfId="1210" xr:uid="{00000000-0005-0000-0000-0000CA040000}"/>
    <cellStyle name="스타일 1228" xfId="1211" xr:uid="{00000000-0005-0000-0000-0000CB040000}"/>
    <cellStyle name="스타일 1229" xfId="1212" xr:uid="{00000000-0005-0000-0000-0000CC040000}"/>
    <cellStyle name="스타일 1230" xfId="1213" xr:uid="{00000000-0005-0000-0000-0000CD040000}"/>
    <cellStyle name="스타일 1231" xfId="1214" xr:uid="{00000000-0005-0000-0000-0000CE040000}"/>
    <cellStyle name="스타일 1232" xfId="1215" xr:uid="{00000000-0005-0000-0000-0000CF040000}"/>
    <cellStyle name="스타일 1233" xfId="1216" xr:uid="{00000000-0005-0000-0000-0000D0040000}"/>
    <cellStyle name="스타일 1234" xfId="1217" xr:uid="{00000000-0005-0000-0000-0000D1040000}"/>
    <cellStyle name="스타일 1235" xfId="1218" xr:uid="{00000000-0005-0000-0000-0000D2040000}"/>
    <cellStyle name="스타일 1236" xfId="1219" xr:uid="{00000000-0005-0000-0000-0000D3040000}"/>
    <cellStyle name="스타일 1237" xfId="1220" xr:uid="{00000000-0005-0000-0000-0000D4040000}"/>
    <cellStyle name="스타일 1238" xfId="1221" xr:uid="{00000000-0005-0000-0000-0000D5040000}"/>
    <cellStyle name="스타일 1239" xfId="1222" xr:uid="{00000000-0005-0000-0000-0000D6040000}"/>
    <cellStyle name="스타일 1240" xfId="1223" xr:uid="{00000000-0005-0000-0000-0000D7040000}"/>
    <cellStyle name="스타일 1241" xfId="1224" xr:uid="{00000000-0005-0000-0000-0000D8040000}"/>
    <cellStyle name="스타일 1242" xfId="1225" xr:uid="{00000000-0005-0000-0000-0000D9040000}"/>
    <cellStyle name="스타일 1243" xfId="1226" xr:uid="{00000000-0005-0000-0000-0000DA040000}"/>
    <cellStyle name="스타일 1244" xfId="1227" xr:uid="{00000000-0005-0000-0000-0000DB040000}"/>
    <cellStyle name="스타일 1245" xfId="1228" xr:uid="{00000000-0005-0000-0000-0000DC040000}"/>
    <cellStyle name="스타일 1246" xfId="1229" xr:uid="{00000000-0005-0000-0000-0000DD040000}"/>
    <cellStyle name="스타일 1247" xfId="1230" xr:uid="{00000000-0005-0000-0000-0000DE040000}"/>
    <cellStyle name="스타일 1248" xfId="1231" xr:uid="{00000000-0005-0000-0000-0000DF040000}"/>
    <cellStyle name="스타일 1249" xfId="1232" xr:uid="{00000000-0005-0000-0000-0000E0040000}"/>
    <cellStyle name="스타일 1250" xfId="1233" xr:uid="{00000000-0005-0000-0000-0000E1040000}"/>
    <cellStyle name="스타일 1251" xfId="1234" xr:uid="{00000000-0005-0000-0000-0000E2040000}"/>
    <cellStyle name="스타일 1252" xfId="1235" xr:uid="{00000000-0005-0000-0000-0000E3040000}"/>
    <cellStyle name="스타일 1253" xfId="1236" xr:uid="{00000000-0005-0000-0000-0000E4040000}"/>
    <cellStyle name="스타일 1254" xfId="1237" xr:uid="{00000000-0005-0000-0000-0000E5040000}"/>
    <cellStyle name="스타일 1255" xfId="1238" xr:uid="{00000000-0005-0000-0000-0000E6040000}"/>
    <cellStyle name="스타일 1256" xfId="1239" xr:uid="{00000000-0005-0000-0000-0000E7040000}"/>
    <cellStyle name="스타일 1257" xfId="1240" xr:uid="{00000000-0005-0000-0000-0000E8040000}"/>
    <cellStyle name="스타일 1258" xfId="1241" xr:uid="{00000000-0005-0000-0000-0000E9040000}"/>
    <cellStyle name="스타일 1259" xfId="1242" xr:uid="{00000000-0005-0000-0000-0000EA040000}"/>
    <cellStyle name="스타일 1260" xfId="1243" xr:uid="{00000000-0005-0000-0000-0000EB040000}"/>
    <cellStyle name="스타일 1261" xfId="1244" xr:uid="{00000000-0005-0000-0000-0000EC040000}"/>
    <cellStyle name="스타일 1262" xfId="1245" xr:uid="{00000000-0005-0000-0000-0000ED040000}"/>
    <cellStyle name="스타일 1263" xfId="1246" xr:uid="{00000000-0005-0000-0000-0000EE040000}"/>
    <cellStyle name="스타일 1264" xfId="1247" xr:uid="{00000000-0005-0000-0000-0000EF040000}"/>
    <cellStyle name="스타일 1265" xfId="1248" xr:uid="{00000000-0005-0000-0000-0000F0040000}"/>
    <cellStyle name="스타일 1266" xfId="1249" xr:uid="{00000000-0005-0000-0000-0000F1040000}"/>
    <cellStyle name="스타일 1267" xfId="1250" xr:uid="{00000000-0005-0000-0000-0000F2040000}"/>
    <cellStyle name="스타일 1268" xfId="1251" xr:uid="{00000000-0005-0000-0000-0000F3040000}"/>
    <cellStyle name="스타일 1269" xfId="1252" xr:uid="{00000000-0005-0000-0000-0000F4040000}"/>
    <cellStyle name="스타일 1270" xfId="1253" xr:uid="{00000000-0005-0000-0000-0000F5040000}"/>
    <cellStyle name="스타일 1271" xfId="1254" xr:uid="{00000000-0005-0000-0000-0000F6040000}"/>
    <cellStyle name="스타일 1272" xfId="1255" xr:uid="{00000000-0005-0000-0000-0000F7040000}"/>
    <cellStyle name="스타일 1273" xfId="1256" xr:uid="{00000000-0005-0000-0000-0000F8040000}"/>
    <cellStyle name="스타일 1274" xfId="1257" xr:uid="{00000000-0005-0000-0000-0000F9040000}"/>
    <cellStyle name="스타일 1275" xfId="1258" xr:uid="{00000000-0005-0000-0000-0000FA040000}"/>
    <cellStyle name="스타일 1276" xfId="1259" xr:uid="{00000000-0005-0000-0000-0000FB040000}"/>
    <cellStyle name="스타일 1277" xfId="1260" xr:uid="{00000000-0005-0000-0000-0000FC040000}"/>
    <cellStyle name="스타일 1278" xfId="1261" xr:uid="{00000000-0005-0000-0000-0000FD040000}"/>
    <cellStyle name="스타일 1279" xfId="1262" xr:uid="{00000000-0005-0000-0000-0000FE040000}"/>
    <cellStyle name="스타일 1280" xfId="1263" xr:uid="{00000000-0005-0000-0000-0000FF040000}"/>
    <cellStyle name="스타일 1281" xfId="1264" xr:uid="{00000000-0005-0000-0000-000000050000}"/>
    <cellStyle name="스타일 1282" xfId="1265" xr:uid="{00000000-0005-0000-0000-000001050000}"/>
    <cellStyle name="스타일 1283" xfId="1266" xr:uid="{00000000-0005-0000-0000-000002050000}"/>
    <cellStyle name="스타일 1284" xfId="1267" xr:uid="{00000000-0005-0000-0000-000003050000}"/>
    <cellStyle name="스타일 1285" xfId="1268" xr:uid="{00000000-0005-0000-0000-000004050000}"/>
    <cellStyle name="스타일 1286" xfId="1269" xr:uid="{00000000-0005-0000-0000-000005050000}"/>
    <cellStyle name="스타일 1287" xfId="1270" xr:uid="{00000000-0005-0000-0000-000006050000}"/>
    <cellStyle name="스타일 1288" xfId="1271" xr:uid="{00000000-0005-0000-0000-000007050000}"/>
    <cellStyle name="스타일 1289" xfId="1272" xr:uid="{00000000-0005-0000-0000-000008050000}"/>
    <cellStyle name="스타일 1290" xfId="1273" xr:uid="{00000000-0005-0000-0000-000009050000}"/>
    <cellStyle name="스타일 1291" xfId="1274" xr:uid="{00000000-0005-0000-0000-00000A050000}"/>
    <cellStyle name="스타일 1292" xfId="1275" xr:uid="{00000000-0005-0000-0000-00000B050000}"/>
    <cellStyle name="스타일 1293" xfId="1276" xr:uid="{00000000-0005-0000-0000-00000C050000}"/>
    <cellStyle name="스타일 1294" xfId="1277" xr:uid="{00000000-0005-0000-0000-00000D050000}"/>
    <cellStyle name="스타일 1295" xfId="1278" xr:uid="{00000000-0005-0000-0000-00000E050000}"/>
    <cellStyle name="스타일 1296" xfId="1279" xr:uid="{00000000-0005-0000-0000-00000F050000}"/>
    <cellStyle name="스타일 1297" xfId="1280" xr:uid="{00000000-0005-0000-0000-000010050000}"/>
    <cellStyle name="스타일 1298" xfId="1281" xr:uid="{00000000-0005-0000-0000-000011050000}"/>
    <cellStyle name="스타일 1299" xfId="1282" xr:uid="{00000000-0005-0000-0000-000012050000}"/>
    <cellStyle name="스타일 1300" xfId="1283" xr:uid="{00000000-0005-0000-0000-000013050000}"/>
    <cellStyle name="스타일 1301" xfId="1284" xr:uid="{00000000-0005-0000-0000-000014050000}"/>
    <cellStyle name="스타일 1302" xfId="1285" xr:uid="{00000000-0005-0000-0000-000015050000}"/>
    <cellStyle name="스타일 1303" xfId="1286" xr:uid="{00000000-0005-0000-0000-000016050000}"/>
    <cellStyle name="스타일 1304" xfId="1287" xr:uid="{00000000-0005-0000-0000-000017050000}"/>
    <cellStyle name="스타일 1305" xfId="1288" xr:uid="{00000000-0005-0000-0000-000018050000}"/>
    <cellStyle name="스타일 1306" xfId="1289" xr:uid="{00000000-0005-0000-0000-000019050000}"/>
    <cellStyle name="스타일 1307" xfId="1290" xr:uid="{00000000-0005-0000-0000-00001A050000}"/>
    <cellStyle name="스타일 1308" xfId="1291" xr:uid="{00000000-0005-0000-0000-00001B050000}"/>
    <cellStyle name="스타일 1309" xfId="1292" xr:uid="{00000000-0005-0000-0000-00001C050000}"/>
    <cellStyle name="스타일 1310" xfId="1293" xr:uid="{00000000-0005-0000-0000-00001D050000}"/>
    <cellStyle name="스타일 1311" xfId="1294" xr:uid="{00000000-0005-0000-0000-00001E050000}"/>
    <cellStyle name="스타일 1312" xfId="1295" xr:uid="{00000000-0005-0000-0000-00001F050000}"/>
    <cellStyle name="스타일 1313" xfId="1296" xr:uid="{00000000-0005-0000-0000-000020050000}"/>
    <cellStyle name="스타일 1314" xfId="1297" xr:uid="{00000000-0005-0000-0000-000021050000}"/>
    <cellStyle name="스타일 1315" xfId="1298" xr:uid="{00000000-0005-0000-0000-000022050000}"/>
    <cellStyle name="스타일 1316" xfId="1299" xr:uid="{00000000-0005-0000-0000-000023050000}"/>
    <cellStyle name="스타일 1317" xfId="1300" xr:uid="{00000000-0005-0000-0000-000024050000}"/>
    <cellStyle name="스타일 1318" xfId="1301" xr:uid="{00000000-0005-0000-0000-000025050000}"/>
    <cellStyle name="스타일 1319" xfId="1302" xr:uid="{00000000-0005-0000-0000-000026050000}"/>
    <cellStyle name="스타일 1320" xfId="1303" xr:uid="{00000000-0005-0000-0000-000027050000}"/>
    <cellStyle name="스타일 1321" xfId="1304" xr:uid="{00000000-0005-0000-0000-000028050000}"/>
    <cellStyle name="스타일 1322" xfId="1305" xr:uid="{00000000-0005-0000-0000-000029050000}"/>
    <cellStyle name="스타일 1323" xfId="1306" xr:uid="{00000000-0005-0000-0000-00002A050000}"/>
    <cellStyle name="스타일 1324" xfId="1307" xr:uid="{00000000-0005-0000-0000-00002B050000}"/>
    <cellStyle name="스타일 1325" xfId="1308" xr:uid="{00000000-0005-0000-0000-00002C050000}"/>
    <cellStyle name="스타일 1326" xfId="1309" xr:uid="{00000000-0005-0000-0000-00002D050000}"/>
    <cellStyle name="스타일 1327" xfId="1310" xr:uid="{00000000-0005-0000-0000-00002E050000}"/>
    <cellStyle name="스타일 1328" xfId="1311" xr:uid="{00000000-0005-0000-0000-00002F050000}"/>
    <cellStyle name="스타일 1329" xfId="1312" xr:uid="{00000000-0005-0000-0000-000030050000}"/>
    <cellStyle name="스타일 1330" xfId="1313" xr:uid="{00000000-0005-0000-0000-000031050000}"/>
    <cellStyle name="스타일 1331" xfId="1314" xr:uid="{00000000-0005-0000-0000-000032050000}"/>
    <cellStyle name="스타일 1332" xfId="1315" xr:uid="{00000000-0005-0000-0000-000033050000}"/>
    <cellStyle name="스타일 1333" xfId="1316" xr:uid="{00000000-0005-0000-0000-000034050000}"/>
    <cellStyle name="스타일 1334" xfId="1317" xr:uid="{00000000-0005-0000-0000-000035050000}"/>
    <cellStyle name="스타일 1335" xfId="1318" xr:uid="{00000000-0005-0000-0000-000036050000}"/>
    <cellStyle name="스타일 1336" xfId="1319" xr:uid="{00000000-0005-0000-0000-000037050000}"/>
    <cellStyle name="스타일 1337" xfId="1320" xr:uid="{00000000-0005-0000-0000-000038050000}"/>
    <cellStyle name="스타일 1338" xfId="1321" xr:uid="{00000000-0005-0000-0000-000039050000}"/>
    <cellStyle name="스타일 1339" xfId="1322" xr:uid="{00000000-0005-0000-0000-00003A050000}"/>
    <cellStyle name="스타일 1340" xfId="1323" xr:uid="{00000000-0005-0000-0000-00003B050000}"/>
    <cellStyle name="스타일 1341" xfId="1324" xr:uid="{00000000-0005-0000-0000-00003C050000}"/>
    <cellStyle name="스타일 1342" xfId="1325" xr:uid="{00000000-0005-0000-0000-00003D050000}"/>
    <cellStyle name="스타일 1343" xfId="1326" xr:uid="{00000000-0005-0000-0000-00003E050000}"/>
    <cellStyle name="스타일 1344" xfId="1327" xr:uid="{00000000-0005-0000-0000-00003F050000}"/>
    <cellStyle name="스타일 1345" xfId="1328" xr:uid="{00000000-0005-0000-0000-000040050000}"/>
    <cellStyle name="스타일 1346" xfId="1329" xr:uid="{00000000-0005-0000-0000-000041050000}"/>
    <cellStyle name="스타일 1347" xfId="1330" xr:uid="{00000000-0005-0000-0000-000042050000}"/>
    <cellStyle name="스타일 1348" xfId="1331" xr:uid="{00000000-0005-0000-0000-000043050000}"/>
    <cellStyle name="스타일 1349" xfId="1332" xr:uid="{00000000-0005-0000-0000-000044050000}"/>
    <cellStyle name="스타일 1350" xfId="1333" xr:uid="{00000000-0005-0000-0000-000045050000}"/>
    <cellStyle name="스타일 1351" xfId="1334" xr:uid="{00000000-0005-0000-0000-000046050000}"/>
    <cellStyle name="스타일 1352" xfId="1335" xr:uid="{00000000-0005-0000-0000-000047050000}"/>
    <cellStyle name="스타일 1353" xfId="1336" xr:uid="{00000000-0005-0000-0000-000048050000}"/>
    <cellStyle name="스타일 1354" xfId="1337" xr:uid="{00000000-0005-0000-0000-000049050000}"/>
    <cellStyle name="스타일 1355" xfId="1338" xr:uid="{00000000-0005-0000-0000-00004A050000}"/>
    <cellStyle name="스타일 1356" xfId="1339" xr:uid="{00000000-0005-0000-0000-00004B050000}"/>
    <cellStyle name="스타일 1357" xfId="1340" xr:uid="{00000000-0005-0000-0000-00004C050000}"/>
    <cellStyle name="스타일 1358" xfId="1341" xr:uid="{00000000-0005-0000-0000-00004D050000}"/>
    <cellStyle name="스타일 1359" xfId="1342" xr:uid="{00000000-0005-0000-0000-00004E050000}"/>
    <cellStyle name="스타일 1360" xfId="1343" xr:uid="{00000000-0005-0000-0000-00004F050000}"/>
    <cellStyle name="스타일 1361" xfId="1344" xr:uid="{00000000-0005-0000-0000-000050050000}"/>
    <cellStyle name="스타일 1362" xfId="1345" xr:uid="{00000000-0005-0000-0000-000051050000}"/>
    <cellStyle name="스타일 1363" xfId="1346" xr:uid="{00000000-0005-0000-0000-000052050000}"/>
    <cellStyle name="스타일 1364" xfId="1347" xr:uid="{00000000-0005-0000-0000-000053050000}"/>
    <cellStyle name="스타일 1365" xfId="1348" xr:uid="{00000000-0005-0000-0000-000054050000}"/>
    <cellStyle name="스타일 1366" xfId="1349" xr:uid="{00000000-0005-0000-0000-000055050000}"/>
    <cellStyle name="스타일 1367" xfId="1350" xr:uid="{00000000-0005-0000-0000-000056050000}"/>
    <cellStyle name="스타일 1368" xfId="1351" xr:uid="{00000000-0005-0000-0000-000057050000}"/>
    <cellStyle name="스타일 1369" xfId="1352" xr:uid="{00000000-0005-0000-0000-000058050000}"/>
    <cellStyle name="스타일 1370" xfId="1353" xr:uid="{00000000-0005-0000-0000-000059050000}"/>
    <cellStyle name="스타일 1371" xfId="1354" xr:uid="{00000000-0005-0000-0000-00005A050000}"/>
    <cellStyle name="스타일 1372" xfId="1355" xr:uid="{00000000-0005-0000-0000-00005B050000}"/>
    <cellStyle name="스타일 1373" xfId="1356" xr:uid="{00000000-0005-0000-0000-00005C050000}"/>
    <cellStyle name="스타일 1374" xfId="1357" xr:uid="{00000000-0005-0000-0000-00005D050000}"/>
    <cellStyle name="스타일 1375" xfId="1358" xr:uid="{00000000-0005-0000-0000-00005E050000}"/>
    <cellStyle name="스타일 1376" xfId="1359" xr:uid="{00000000-0005-0000-0000-00005F050000}"/>
    <cellStyle name="스타일 1377" xfId="1360" xr:uid="{00000000-0005-0000-0000-000060050000}"/>
    <cellStyle name="스타일 1378" xfId="1361" xr:uid="{00000000-0005-0000-0000-000061050000}"/>
    <cellStyle name="스타일 1379" xfId="1362" xr:uid="{00000000-0005-0000-0000-000062050000}"/>
    <cellStyle name="스타일 1380" xfId="1363" xr:uid="{00000000-0005-0000-0000-000063050000}"/>
    <cellStyle name="스타일 1381" xfId="1364" xr:uid="{00000000-0005-0000-0000-000064050000}"/>
    <cellStyle name="스타일 1382" xfId="1365" xr:uid="{00000000-0005-0000-0000-000065050000}"/>
    <cellStyle name="스타일 1383" xfId="1366" xr:uid="{00000000-0005-0000-0000-000066050000}"/>
    <cellStyle name="스타일 1384" xfId="1367" xr:uid="{00000000-0005-0000-0000-000067050000}"/>
    <cellStyle name="스타일 1385" xfId="1368" xr:uid="{00000000-0005-0000-0000-000068050000}"/>
    <cellStyle name="스타일 1386" xfId="1369" xr:uid="{00000000-0005-0000-0000-000069050000}"/>
    <cellStyle name="스타일 1387" xfId="1370" xr:uid="{00000000-0005-0000-0000-00006A050000}"/>
    <cellStyle name="스타일 1388" xfId="1371" xr:uid="{00000000-0005-0000-0000-00006B050000}"/>
    <cellStyle name="스타일 1389" xfId="1372" xr:uid="{00000000-0005-0000-0000-00006C050000}"/>
    <cellStyle name="스타일 1390" xfId="1373" xr:uid="{00000000-0005-0000-0000-00006D050000}"/>
    <cellStyle name="스타일 1391" xfId="1374" xr:uid="{00000000-0005-0000-0000-00006E050000}"/>
    <cellStyle name="스타일 1392" xfId="1375" xr:uid="{00000000-0005-0000-0000-00006F050000}"/>
    <cellStyle name="스타일 1393" xfId="1376" xr:uid="{00000000-0005-0000-0000-000070050000}"/>
    <cellStyle name="스타일 1394" xfId="1377" xr:uid="{00000000-0005-0000-0000-000071050000}"/>
    <cellStyle name="스타일 1395" xfId="1378" xr:uid="{00000000-0005-0000-0000-000072050000}"/>
    <cellStyle name="스타일 1396" xfId="1379" xr:uid="{00000000-0005-0000-0000-000073050000}"/>
    <cellStyle name="스타일 1397" xfId="1380" xr:uid="{00000000-0005-0000-0000-000074050000}"/>
    <cellStyle name="스타일 1398" xfId="1381" xr:uid="{00000000-0005-0000-0000-000075050000}"/>
    <cellStyle name="스타일 1399" xfId="1382" xr:uid="{00000000-0005-0000-0000-000076050000}"/>
    <cellStyle name="스타일 1400" xfId="1383" xr:uid="{00000000-0005-0000-0000-000077050000}"/>
    <cellStyle name="스타일 1401" xfId="1384" xr:uid="{00000000-0005-0000-0000-000078050000}"/>
    <cellStyle name="스타일 1402" xfId="1385" xr:uid="{00000000-0005-0000-0000-000079050000}"/>
    <cellStyle name="스타일 1403" xfId="1386" xr:uid="{00000000-0005-0000-0000-00007A050000}"/>
    <cellStyle name="스타일 1404" xfId="1387" xr:uid="{00000000-0005-0000-0000-00007B050000}"/>
    <cellStyle name="스타일 1405" xfId="1388" xr:uid="{00000000-0005-0000-0000-00007C050000}"/>
    <cellStyle name="스타일 1406" xfId="1389" xr:uid="{00000000-0005-0000-0000-00007D050000}"/>
    <cellStyle name="스타일 1407" xfId="1390" xr:uid="{00000000-0005-0000-0000-00007E050000}"/>
    <cellStyle name="스타일 1408" xfId="1391" xr:uid="{00000000-0005-0000-0000-00007F050000}"/>
    <cellStyle name="스타일 1409" xfId="1392" xr:uid="{00000000-0005-0000-0000-000080050000}"/>
    <cellStyle name="스타일 1410" xfId="1393" xr:uid="{00000000-0005-0000-0000-000081050000}"/>
    <cellStyle name="스타일 1411" xfId="1394" xr:uid="{00000000-0005-0000-0000-000082050000}"/>
    <cellStyle name="스타일 1412" xfId="1395" xr:uid="{00000000-0005-0000-0000-000083050000}"/>
    <cellStyle name="스타일 1413" xfId="1396" xr:uid="{00000000-0005-0000-0000-000084050000}"/>
    <cellStyle name="스타일 1414" xfId="1397" xr:uid="{00000000-0005-0000-0000-000085050000}"/>
    <cellStyle name="스타일 1415" xfId="1398" xr:uid="{00000000-0005-0000-0000-000086050000}"/>
    <cellStyle name="스타일 1416" xfId="1399" xr:uid="{00000000-0005-0000-0000-000087050000}"/>
    <cellStyle name="스타일 1417" xfId="1400" xr:uid="{00000000-0005-0000-0000-000088050000}"/>
    <cellStyle name="스타일 1418" xfId="1401" xr:uid="{00000000-0005-0000-0000-000089050000}"/>
    <cellStyle name="스타일 1419" xfId="1402" xr:uid="{00000000-0005-0000-0000-00008A050000}"/>
    <cellStyle name="스타일 1420" xfId="1403" xr:uid="{00000000-0005-0000-0000-00008B050000}"/>
    <cellStyle name="스타일 1421" xfId="1404" xr:uid="{00000000-0005-0000-0000-00008C050000}"/>
    <cellStyle name="스타일 1422" xfId="1405" xr:uid="{00000000-0005-0000-0000-00008D050000}"/>
    <cellStyle name="스타일 1423" xfId="1406" xr:uid="{00000000-0005-0000-0000-00008E050000}"/>
    <cellStyle name="스타일 1424" xfId="1407" xr:uid="{00000000-0005-0000-0000-00008F050000}"/>
    <cellStyle name="스타일 1425" xfId="1408" xr:uid="{00000000-0005-0000-0000-000090050000}"/>
    <cellStyle name="스타일 1426" xfId="1409" xr:uid="{00000000-0005-0000-0000-000091050000}"/>
    <cellStyle name="스타일 1427" xfId="1410" xr:uid="{00000000-0005-0000-0000-000092050000}"/>
    <cellStyle name="스타일 1428" xfId="1411" xr:uid="{00000000-0005-0000-0000-000093050000}"/>
    <cellStyle name="스타일 1429" xfId="1412" xr:uid="{00000000-0005-0000-0000-000094050000}"/>
    <cellStyle name="스타일 1430" xfId="1413" xr:uid="{00000000-0005-0000-0000-000095050000}"/>
    <cellStyle name="스타일 1431" xfId="1414" xr:uid="{00000000-0005-0000-0000-000096050000}"/>
    <cellStyle name="스타일 1432" xfId="1415" xr:uid="{00000000-0005-0000-0000-000097050000}"/>
    <cellStyle name="스타일 1433" xfId="1416" xr:uid="{00000000-0005-0000-0000-000098050000}"/>
    <cellStyle name="스타일 1434" xfId="1417" xr:uid="{00000000-0005-0000-0000-000099050000}"/>
    <cellStyle name="스타일 1435" xfId="1418" xr:uid="{00000000-0005-0000-0000-00009A050000}"/>
    <cellStyle name="스타일 1436" xfId="1419" xr:uid="{00000000-0005-0000-0000-00009B050000}"/>
    <cellStyle name="스타일 1437" xfId="1420" xr:uid="{00000000-0005-0000-0000-00009C050000}"/>
    <cellStyle name="스타일 1438" xfId="1421" xr:uid="{00000000-0005-0000-0000-00009D050000}"/>
    <cellStyle name="스타일 1439" xfId="1422" xr:uid="{00000000-0005-0000-0000-00009E050000}"/>
    <cellStyle name="스타일 1440" xfId="1423" xr:uid="{00000000-0005-0000-0000-00009F050000}"/>
    <cellStyle name="스타일 1441" xfId="1424" xr:uid="{00000000-0005-0000-0000-0000A0050000}"/>
    <cellStyle name="스타일 1442" xfId="1425" xr:uid="{00000000-0005-0000-0000-0000A1050000}"/>
    <cellStyle name="스타일 1443" xfId="1426" xr:uid="{00000000-0005-0000-0000-0000A2050000}"/>
    <cellStyle name="스타일 1444" xfId="1427" xr:uid="{00000000-0005-0000-0000-0000A3050000}"/>
    <cellStyle name="스타일 1445" xfId="1428" xr:uid="{00000000-0005-0000-0000-0000A4050000}"/>
    <cellStyle name="스타일 1446" xfId="1429" xr:uid="{00000000-0005-0000-0000-0000A5050000}"/>
    <cellStyle name="스타일 1447" xfId="1430" xr:uid="{00000000-0005-0000-0000-0000A6050000}"/>
    <cellStyle name="스타일 1448" xfId="1431" xr:uid="{00000000-0005-0000-0000-0000A7050000}"/>
    <cellStyle name="스타일 1449" xfId="1432" xr:uid="{00000000-0005-0000-0000-0000A8050000}"/>
    <cellStyle name="스타일 1450" xfId="1433" xr:uid="{00000000-0005-0000-0000-0000A9050000}"/>
    <cellStyle name="스타일 1451" xfId="1434" xr:uid="{00000000-0005-0000-0000-0000AA050000}"/>
    <cellStyle name="스타일 1452" xfId="1435" xr:uid="{00000000-0005-0000-0000-0000AB050000}"/>
    <cellStyle name="스타일 1453" xfId="1436" xr:uid="{00000000-0005-0000-0000-0000AC050000}"/>
    <cellStyle name="스타일 1454" xfId="1437" xr:uid="{00000000-0005-0000-0000-0000AD050000}"/>
    <cellStyle name="스타일 1455" xfId="1438" xr:uid="{00000000-0005-0000-0000-0000AE050000}"/>
    <cellStyle name="스타일 1456" xfId="1439" xr:uid="{00000000-0005-0000-0000-0000AF050000}"/>
    <cellStyle name="스타일 1457" xfId="1440" xr:uid="{00000000-0005-0000-0000-0000B0050000}"/>
    <cellStyle name="스타일 1458" xfId="1441" xr:uid="{00000000-0005-0000-0000-0000B1050000}"/>
    <cellStyle name="스타일 1459" xfId="1442" xr:uid="{00000000-0005-0000-0000-0000B2050000}"/>
    <cellStyle name="스타일 1460" xfId="1443" xr:uid="{00000000-0005-0000-0000-0000B3050000}"/>
    <cellStyle name="스타일 1461" xfId="1444" xr:uid="{00000000-0005-0000-0000-0000B4050000}"/>
    <cellStyle name="스타일 1462" xfId="1445" xr:uid="{00000000-0005-0000-0000-0000B5050000}"/>
    <cellStyle name="스타일 1463" xfId="1446" xr:uid="{00000000-0005-0000-0000-0000B6050000}"/>
    <cellStyle name="스타일 1464" xfId="1447" xr:uid="{00000000-0005-0000-0000-0000B7050000}"/>
    <cellStyle name="스타일 1465" xfId="1448" xr:uid="{00000000-0005-0000-0000-0000B8050000}"/>
    <cellStyle name="스타일 1466" xfId="1449" xr:uid="{00000000-0005-0000-0000-0000B9050000}"/>
    <cellStyle name="스타일 1467" xfId="1450" xr:uid="{00000000-0005-0000-0000-0000BA050000}"/>
    <cellStyle name="스타일 1468" xfId="1451" xr:uid="{00000000-0005-0000-0000-0000BB050000}"/>
    <cellStyle name="스타일 1469" xfId="1452" xr:uid="{00000000-0005-0000-0000-0000BC050000}"/>
    <cellStyle name="스타일 1470" xfId="1453" xr:uid="{00000000-0005-0000-0000-0000BD050000}"/>
    <cellStyle name="스타일 1471" xfId="1454" xr:uid="{00000000-0005-0000-0000-0000BE050000}"/>
    <cellStyle name="스타일 1472" xfId="1455" xr:uid="{00000000-0005-0000-0000-0000BF050000}"/>
    <cellStyle name="스타일 1473" xfId="1456" xr:uid="{00000000-0005-0000-0000-0000C0050000}"/>
    <cellStyle name="스타일 1474" xfId="1457" xr:uid="{00000000-0005-0000-0000-0000C1050000}"/>
    <cellStyle name="스타일 1475" xfId="1458" xr:uid="{00000000-0005-0000-0000-0000C2050000}"/>
    <cellStyle name="스타일 1476" xfId="1459" xr:uid="{00000000-0005-0000-0000-0000C3050000}"/>
    <cellStyle name="스타일 1477" xfId="1460" xr:uid="{00000000-0005-0000-0000-0000C4050000}"/>
    <cellStyle name="스타일 1478" xfId="1461" xr:uid="{00000000-0005-0000-0000-0000C5050000}"/>
    <cellStyle name="스타일 1479" xfId="1462" xr:uid="{00000000-0005-0000-0000-0000C6050000}"/>
    <cellStyle name="스타일 1480" xfId="1463" xr:uid="{00000000-0005-0000-0000-0000C7050000}"/>
    <cellStyle name="스타일 1481" xfId="1464" xr:uid="{00000000-0005-0000-0000-0000C8050000}"/>
    <cellStyle name="스타일 1482" xfId="1465" xr:uid="{00000000-0005-0000-0000-0000C9050000}"/>
    <cellStyle name="스타일 1483" xfId="1466" xr:uid="{00000000-0005-0000-0000-0000CA050000}"/>
    <cellStyle name="스타일 1484" xfId="1467" xr:uid="{00000000-0005-0000-0000-0000CB050000}"/>
    <cellStyle name="스타일 1485" xfId="1468" xr:uid="{00000000-0005-0000-0000-0000CC050000}"/>
    <cellStyle name="스타일 1486" xfId="1469" xr:uid="{00000000-0005-0000-0000-0000CD050000}"/>
    <cellStyle name="스타일 1487" xfId="1470" xr:uid="{00000000-0005-0000-0000-0000CE050000}"/>
    <cellStyle name="스타일 1488" xfId="1471" xr:uid="{00000000-0005-0000-0000-0000CF050000}"/>
    <cellStyle name="스타일 1489" xfId="1472" xr:uid="{00000000-0005-0000-0000-0000D0050000}"/>
    <cellStyle name="스타일 1490" xfId="1473" xr:uid="{00000000-0005-0000-0000-0000D1050000}"/>
    <cellStyle name="스타일 1491" xfId="1474" xr:uid="{00000000-0005-0000-0000-0000D2050000}"/>
    <cellStyle name="스타일 1492" xfId="1475" xr:uid="{00000000-0005-0000-0000-0000D3050000}"/>
    <cellStyle name="스타일 1493" xfId="1476" xr:uid="{00000000-0005-0000-0000-0000D4050000}"/>
    <cellStyle name="스타일 1494" xfId="1477" xr:uid="{00000000-0005-0000-0000-0000D5050000}"/>
    <cellStyle name="스타일 1495" xfId="1478" xr:uid="{00000000-0005-0000-0000-0000D6050000}"/>
    <cellStyle name="스타일 1496" xfId="1479" xr:uid="{00000000-0005-0000-0000-0000D7050000}"/>
    <cellStyle name="스타일 1497" xfId="1480" xr:uid="{00000000-0005-0000-0000-0000D8050000}"/>
    <cellStyle name="스타일 1498" xfId="1481" xr:uid="{00000000-0005-0000-0000-0000D9050000}"/>
    <cellStyle name="스타일 1499" xfId="1482" xr:uid="{00000000-0005-0000-0000-0000DA050000}"/>
    <cellStyle name="스타일 1500" xfId="1483" xr:uid="{00000000-0005-0000-0000-0000DB050000}"/>
    <cellStyle name="스타일 1501" xfId="1484" xr:uid="{00000000-0005-0000-0000-0000DC050000}"/>
    <cellStyle name="스타일 1502" xfId="1485" xr:uid="{00000000-0005-0000-0000-0000DD050000}"/>
    <cellStyle name="스타일 1503" xfId="1486" xr:uid="{00000000-0005-0000-0000-0000DE050000}"/>
    <cellStyle name="스타일 1504" xfId="1487" xr:uid="{00000000-0005-0000-0000-0000DF050000}"/>
    <cellStyle name="스타일 1505" xfId="1488" xr:uid="{00000000-0005-0000-0000-0000E0050000}"/>
    <cellStyle name="스타일 1506" xfId="1489" xr:uid="{00000000-0005-0000-0000-0000E1050000}"/>
    <cellStyle name="스타일 1507" xfId="1490" xr:uid="{00000000-0005-0000-0000-0000E2050000}"/>
    <cellStyle name="스타일 1508" xfId="1491" xr:uid="{00000000-0005-0000-0000-0000E3050000}"/>
    <cellStyle name="스타일 1509" xfId="1492" xr:uid="{00000000-0005-0000-0000-0000E4050000}"/>
    <cellStyle name="스타일 1510" xfId="1493" xr:uid="{00000000-0005-0000-0000-0000E5050000}"/>
    <cellStyle name="스타일 1511" xfId="1494" xr:uid="{00000000-0005-0000-0000-0000E6050000}"/>
    <cellStyle name="스타일 1512" xfId="1495" xr:uid="{00000000-0005-0000-0000-0000E7050000}"/>
    <cellStyle name="스타일 1513" xfId="1496" xr:uid="{00000000-0005-0000-0000-0000E8050000}"/>
    <cellStyle name="스타일 1514" xfId="1497" xr:uid="{00000000-0005-0000-0000-0000E9050000}"/>
    <cellStyle name="스타일 1515" xfId="1498" xr:uid="{00000000-0005-0000-0000-0000EA050000}"/>
    <cellStyle name="스타일 1516" xfId="1499" xr:uid="{00000000-0005-0000-0000-0000EB050000}"/>
    <cellStyle name="스타일 1517" xfId="1500" xr:uid="{00000000-0005-0000-0000-0000EC050000}"/>
    <cellStyle name="스타일 1518" xfId="1501" xr:uid="{00000000-0005-0000-0000-0000ED050000}"/>
    <cellStyle name="스타일 1519" xfId="1502" xr:uid="{00000000-0005-0000-0000-0000EE050000}"/>
    <cellStyle name="스타일 1520" xfId="1503" xr:uid="{00000000-0005-0000-0000-0000EF050000}"/>
    <cellStyle name="스타일 1521" xfId="1504" xr:uid="{00000000-0005-0000-0000-0000F0050000}"/>
    <cellStyle name="스타일 1522" xfId="1505" xr:uid="{00000000-0005-0000-0000-0000F1050000}"/>
    <cellStyle name="스타일 1523" xfId="1506" xr:uid="{00000000-0005-0000-0000-0000F2050000}"/>
    <cellStyle name="스타일 1524" xfId="1507" xr:uid="{00000000-0005-0000-0000-0000F3050000}"/>
    <cellStyle name="스타일 1525" xfId="1508" xr:uid="{00000000-0005-0000-0000-0000F4050000}"/>
    <cellStyle name="스타일 1526" xfId="1509" xr:uid="{00000000-0005-0000-0000-0000F5050000}"/>
    <cellStyle name="스타일 1527" xfId="1510" xr:uid="{00000000-0005-0000-0000-0000F6050000}"/>
    <cellStyle name="스타일 1528" xfId="1511" xr:uid="{00000000-0005-0000-0000-0000F7050000}"/>
    <cellStyle name="스타일 1529" xfId="1512" xr:uid="{00000000-0005-0000-0000-0000F8050000}"/>
    <cellStyle name="스타일 1530" xfId="1513" xr:uid="{00000000-0005-0000-0000-0000F9050000}"/>
    <cellStyle name="스타일 1531" xfId="1514" xr:uid="{00000000-0005-0000-0000-0000FA050000}"/>
    <cellStyle name="스타일 1532" xfId="1515" xr:uid="{00000000-0005-0000-0000-0000FB050000}"/>
    <cellStyle name="스타일 1533" xfId="1516" xr:uid="{00000000-0005-0000-0000-0000FC050000}"/>
    <cellStyle name="스타일 1534" xfId="1517" xr:uid="{00000000-0005-0000-0000-0000FD050000}"/>
    <cellStyle name="스타일 1535" xfId="1518" xr:uid="{00000000-0005-0000-0000-0000FE050000}"/>
    <cellStyle name="스타일 1536" xfId="1519" xr:uid="{00000000-0005-0000-0000-0000FF050000}"/>
    <cellStyle name="스타일 1537" xfId="1520" xr:uid="{00000000-0005-0000-0000-000000060000}"/>
    <cellStyle name="스타일 1538" xfId="1521" xr:uid="{00000000-0005-0000-0000-000001060000}"/>
    <cellStyle name="스타일 1539" xfId="1522" xr:uid="{00000000-0005-0000-0000-000002060000}"/>
    <cellStyle name="스타일 1540" xfId="1523" xr:uid="{00000000-0005-0000-0000-000003060000}"/>
    <cellStyle name="스타일 1541" xfId="1524" xr:uid="{00000000-0005-0000-0000-000004060000}"/>
    <cellStyle name="스타일 1542" xfId="1525" xr:uid="{00000000-0005-0000-0000-000005060000}"/>
    <cellStyle name="스타일 1543" xfId="1526" xr:uid="{00000000-0005-0000-0000-000006060000}"/>
    <cellStyle name="스타일 1544" xfId="1527" xr:uid="{00000000-0005-0000-0000-000007060000}"/>
    <cellStyle name="스타일 1545" xfId="1528" xr:uid="{00000000-0005-0000-0000-000008060000}"/>
    <cellStyle name="스타일 1546" xfId="1529" xr:uid="{00000000-0005-0000-0000-000009060000}"/>
    <cellStyle name="스타일 1547" xfId="1530" xr:uid="{00000000-0005-0000-0000-00000A060000}"/>
    <cellStyle name="스타일 1548" xfId="1531" xr:uid="{00000000-0005-0000-0000-00000B060000}"/>
    <cellStyle name="스타일 1549" xfId="1532" xr:uid="{00000000-0005-0000-0000-00000C060000}"/>
    <cellStyle name="스타일 1550" xfId="1533" xr:uid="{00000000-0005-0000-0000-00000D060000}"/>
    <cellStyle name="스타일 1551" xfId="1534" xr:uid="{00000000-0005-0000-0000-00000E060000}"/>
    <cellStyle name="스타일 1552" xfId="1535" xr:uid="{00000000-0005-0000-0000-00000F060000}"/>
    <cellStyle name="스타일 1553" xfId="1536" xr:uid="{00000000-0005-0000-0000-000010060000}"/>
    <cellStyle name="스타일 1554" xfId="1537" xr:uid="{00000000-0005-0000-0000-000011060000}"/>
    <cellStyle name="스타일 1555" xfId="1538" xr:uid="{00000000-0005-0000-0000-000012060000}"/>
    <cellStyle name="스타일 1556" xfId="1539" xr:uid="{00000000-0005-0000-0000-000013060000}"/>
    <cellStyle name="스타일 1557" xfId="1540" xr:uid="{00000000-0005-0000-0000-000014060000}"/>
    <cellStyle name="스타일 1558" xfId="1541" xr:uid="{00000000-0005-0000-0000-000015060000}"/>
    <cellStyle name="스타일 1559" xfId="1542" xr:uid="{00000000-0005-0000-0000-000016060000}"/>
    <cellStyle name="스타일 1560" xfId="1543" xr:uid="{00000000-0005-0000-0000-000017060000}"/>
    <cellStyle name="스타일 1561" xfId="1544" xr:uid="{00000000-0005-0000-0000-000018060000}"/>
    <cellStyle name="스타일 1562" xfId="1545" xr:uid="{00000000-0005-0000-0000-000019060000}"/>
    <cellStyle name="스타일 1563" xfId="1546" xr:uid="{00000000-0005-0000-0000-00001A060000}"/>
    <cellStyle name="스타일 1564" xfId="1547" xr:uid="{00000000-0005-0000-0000-00001B060000}"/>
    <cellStyle name="스타일 1565" xfId="1548" xr:uid="{00000000-0005-0000-0000-00001C060000}"/>
    <cellStyle name="스타일 1566" xfId="1549" xr:uid="{00000000-0005-0000-0000-00001D060000}"/>
    <cellStyle name="스타일 1567" xfId="1550" xr:uid="{00000000-0005-0000-0000-00001E060000}"/>
    <cellStyle name="스타일 1568" xfId="1551" xr:uid="{00000000-0005-0000-0000-00001F060000}"/>
    <cellStyle name="스타일 1569" xfId="1552" xr:uid="{00000000-0005-0000-0000-000020060000}"/>
    <cellStyle name="스타일 1570" xfId="1553" xr:uid="{00000000-0005-0000-0000-000021060000}"/>
    <cellStyle name="스타일 1571" xfId="1554" xr:uid="{00000000-0005-0000-0000-000022060000}"/>
    <cellStyle name="스타일 1572" xfId="1555" xr:uid="{00000000-0005-0000-0000-000023060000}"/>
    <cellStyle name="스타일 1573" xfId="1556" xr:uid="{00000000-0005-0000-0000-000024060000}"/>
    <cellStyle name="스타일 1574" xfId="1557" xr:uid="{00000000-0005-0000-0000-000025060000}"/>
    <cellStyle name="스타일 1575" xfId="1558" xr:uid="{00000000-0005-0000-0000-000026060000}"/>
    <cellStyle name="스타일 1576" xfId="1559" xr:uid="{00000000-0005-0000-0000-000027060000}"/>
    <cellStyle name="스타일 1577" xfId="1560" xr:uid="{00000000-0005-0000-0000-000028060000}"/>
    <cellStyle name="스타일 1578" xfId="1561" xr:uid="{00000000-0005-0000-0000-000029060000}"/>
    <cellStyle name="스타일 1579" xfId="1577" xr:uid="{00000000-0005-0000-0000-00002A060000}"/>
    <cellStyle name="스타일 1580" xfId="1578" xr:uid="{00000000-0005-0000-0000-00002B060000}"/>
    <cellStyle name="스타일 1581" xfId="1579" xr:uid="{00000000-0005-0000-0000-00002C060000}"/>
    <cellStyle name="스타일 1582" xfId="1580" xr:uid="{00000000-0005-0000-0000-00002D060000}"/>
    <cellStyle name="스타일 1583" xfId="1562" xr:uid="{00000000-0005-0000-0000-00002E060000}"/>
    <cellStyle name="스타일 1584" xfId="1563" xr:uid="{00000000-0005-0000-0000-00002F060000}"/>
    <cellStyle name="스타일 1585" xfId="1564" xr:uid="{00000000-0005-0000-0000-000030060000}"/>
    <cellStyle name="스타일 1586" xfId="1565" xr:uid="{00000000-0005-0000-0000-000031060000}"/>
    <cellStyle name="스타일 1587" xfId="1566" xr:uid="{00000000-0005-0000-0000-000032060000}"/>
    <cellStyle name="스타일 1588" xfId="1567" xr:uid="{00000000-0005-0000-0000-000033060000}"/>
    <cellStyle name="스타일 1589" xfId="1568" xr:uid="{00000000-0005-0000-0000-000034060000}"/>
    <cellStyle name="스타일 1590" xfId="1569" xr:uid="{00000000-0005-0000-0000-000035060000}"/>
    <cellStyle name="스타일 1591" xfId="1570" xr:uid="{00000000-0005-0000-0000-000036060000}"/>
    <cellStyle name="스타일 1592" xfId="1571" xr:uid="{00000000-0005-0000-0000-000037060000}"/>
    <cellStyle name="스타일 1593" xfId="1572" xr:uid="{00000000-0005-0000-0000-000038060000}"/>
    <cellStyle name="스타일 1594" xfId="1573" xr:uid="{00000000-0005-0000-0000-000039060000}"/>
    <cellStyle name="스타일 1595" xfId="1574" xr:uid="{00000000-0005-0000-0000-00003A060000}"/>
    <cellStyle name="스타일 1596" xfId="1575" xr:uid="{00000000-0005-0000-0000-00003B060000}"/>
    <cellStyle name="스타일 1597" xfId="1576" xr:uid="{00000000-0005-0000-0000-00003C060000}"/>
    <cellStyle name="스타일 1598" xfId="1581" xr:uid="{00000000-0005-0000-0000-00003D060000}"/>
    <cellStyle name="스타일 1599" xfId="1582" xr:uid="{00000000-0005-0000-0000-00003E060000}"/>
    <cellStyle name="스타일 1600" xfId="1583" xr:uid="{00000000-0005-0000-0000-00003F060000}"/>
    <cellStyle name="스타일 1601" xfId="1584" xr:uid="{00000000-0005-0000-0000-000040060000}"/>
    <cellStyle name="스타일 1602" xfId="1585" xr:uid="{00000000-0005-0000-0000-000041060000}"/>
    <cellStyle name="스타일 1603" xfId="1586" xr:uid="{00000000-0005-0000-0000-000042060000}"/>
    <cellStyle name="스타일 1604" xfId="1587" xr:uid="{00000000-0005-0000-0000-000043060000}"/>
    <cellStyle name="스타일 1605" xfId="1588" xr:uid="{00000000-0005-0000-0000-000044060000}"/>
    <cellStyle name="스타일 1606" xfId="1589" xr:uid="{00000000-0005-0000-0000-000045060000}"/>
    <cellStyle name="스타일 1607" xfId="1590" xr:uid="{00000000-0005-0000-0000-000046060000}"/>
    <cellStyle name="스타일 1608" xfId="1591" xr:uid="{00000000-0005-0000-0000-000047060000}"/>
    <cellStyle name="스타일 1609" xfId="1592" xr:uid="{00000000-0005-0000-0000-000048060000}"/>
    <cellStyle name="스타일 1610" xfId="1593" xr:uid="{00000000-0005-0000-0000-000049060000}"/>
    <cellStyle name="스타일 1611" xfId="1594" xr:uid="{00000000-0005-0000-0000-00004A060000}"/>
    <cellStyle name="스타일 1612" xfId="1595" xr:uid="{00000000-0005-0000-0000-00004B060000}"/>
    <cellStyle name="스타일 1613" xfId="1596" xr:uid="{00000000-0005-0000-0000-00004C060000}"/>
    <cellStyle name="스타일 1614" xfId="1597" xr:uid="{00000000-0005-0000-0000-00004D060000}"/>
    <cellStyle name="스타일 1615" xfId="1598" xr:uid="{00000000-0005-0000-0000-00004E060000}"/>
    <cellStyle name="스타일 1616" xfId="1599" xr:uid="{00000000-0005-0000-0000-00004F060000}"/>
    <cellStyle name="스타일 1617" xfId="1600" xr:uid="{00000000-0005-0000-0000-000050060000}"/>
    <cellStyle name="스타일 1618" xfId="1601" xr:uid="{00000000-0005-0000-0000-000051060000}"/>
    <cellStyle name="스타일 1619" xfId="1602" xr:uid="{00000000-0005-0000-0000-000052060000}"/>
    <cellStyle name="스타일 1620" xfId="1603" xr:uid="{00000000-0005-0000-0000-000053060000}"/>
    <cellStyle name="스타일 1621" xfId="1604" xr:uid="{00000000-0005-0000-0000-000054060000}"/>
    <cellStyle name="스타일 1622" xfId="1605" xr:uid="{00000000-0005-0000-0000-000055060000}"/>
    <cellStyle name="스타일 1623" xfId="1606" xr:uid="{00000000-0005-0000-0000-000056060000}"/>
    <cellStyle name="스타일 1624" xfId="1607" xr:uid="{00000000-0005-0000-0000-000057060000}"/>
    <cellStyle name="스타일 1625" xfId="1608" xr:uid="{00000000-0005-0000-0000-000058060000}"/>
    <cellStyle name="스타일 1626" xfId="1609" xr:uid="{00000000-0005-0000-0000-000059060000}"/>
    <cellStyle name="스타일 1627" xfId="1610" xr:uid="{00000000-0005-0000-0000-00005A060000}"/>
    <cellStyle name="스타일 1628" xfId="1611" xr:uid="{00000000-0005-0000-0000-00005B060000}"/>
    <cellStyle name="스타일 1629" xfId="1612" xr:uid="{00000000-0005-0000-0000-00005C060000}"/>
    <cellStyle name="스타일 1630" xfId="1613" xr:uid="{00000000-0005-0000-0000-00005D060000}"/>
    <cellStyle name="스타일 1631" xfId="1614" xr:uid="{00000000-0005-0000-0000-00005E060000}"/>
    <cellStyle name="스타일 1632" xfId="1615" xr:uid="{00000000-0005-0000-0000-00005F060000}"/>
    <cellStyle name="스타일 1633" xfId="1616" xr:uid="{00000000-0005-0000-0000-000060060000}"/>
    <cellStyle name="스타일 1634" xfId="1617" xr:uid="{00000000-0005-0000-0000-000061060000}"/>
    <cellStyle name="스타일 1635" xfId="1618" xr:uid="{00000000-0005-0000-0000-000062060000}"/>
    <cellStyle name="스타일 1636" xfId="1619" xr:uid="{00000000-0005-0000-0000-000063060000}"/>
    <cellStyle name="스타일 1637" xfId="1620" xr:uid="{00000000-0005-0000-0000-000064060000}"/>
    <cellStyle name="스타일 1638" xfId="1621" xr:uid="{00000000-0005-0000-0000-000065060000}"/>
    <cellStyle name="스타일 1639" xfId="1641" xr:uid="{00000000-0005-0000-0000-000066060000}"/>
    <cellStyle name="스타일 1640" xfId="1642" xr:uid="{00000000-0005-0000-0000-000067060000}"/>
    <cellStyle name="스타일 1641" xfId="1643" xr:uid="{00000000-0005-0000-0000-000068060000}"/>
    <cellStyle name="스타일 1642" xfId="1646" xr:uid="{00000000-0005-0000-0000-000069060000}"/>
    <cellStyle name="스타일 1643" xfId="1647" xr:uid="{00000000-0005-0000-0000-00006A060000}"/>
    <cellStyle name="스타일 1644" xfId="1644" xr:uid="{00000000-0005-0000-0000-00006B060000}"/>
    <cellStyle name="스타일 1645" xfId="1645" xr:uid="{00000000-0005-0000-0000-00006C060000}"/>
    <cellStyle name="스타일 1646" xfId="1648" xr:uid="{00000000-0005-0000-0000-00006D060000}"/>
    <cellStyle name="스타일 1647" xfId="1649" xr:uid="{00000000-0005-0000-0000-00006E060000}"/>
    <cellStyle name="스타일 1648" xfId="1650" xr:uid="{00000000-0005-0000-0000-00006F060000}"/>
    <cellStyle name="스타일 1649" xfId="1651" xr:uid="{00000000-0005-0000-0000-000070060000}"/>
    <cellStyle name="스타일 1650" xfId="1652" xr:uid="{00000000-0005-0000-0000-000071060000}"/>
    <cellStyle name="스타일 1651" xfId="1653" xr:uid="{00000000-0005-0000-0000-000072060000}"/>
    <cellStyle name="스타일 1652" xfId="1663" xr:uid="{00000000-0005-0000-0000-000073060000}"/>
    <cellStyle name="스타일 1653" xfId="1654" xr:uid="{00000000-0005-0000-0000-000074060000}"/>
    <cellStyle name="스타일 1654" xfId="1655" xr:uid="{00000000-0005-0000-0000-000075060000}"/>
    <cellStyle name="스타일 1655" xfId="1656" xr:uid="{00000000-0005-0000-0000-000076060000}"/>
    <cellStyle name="스타일 1656" xfId="1657" xr:uid="{00000000-0005-0000-0000-000077060000}"/>
    <cellStyle name="스타일 1657" xfId="1658" xr:uid="{00000000-0005-0000-0000-000078060000}"/>
    <cellStyle name="스타일 1658" xfId="1659" xr:uid="{00000000-0005-0000-0000-000079060000}"/>
    <cellStyle name="스타일 1659" xfId="1662" xr:uid="{00000000-0005-0000-0000-00007A060000}"/>
    <cellStyle name="스타일 1660" xfId="1660" xr:uid="{00000000-0005-0000-0000-00007B060000}"/>
    <cellStyle name="스타일 1661" xfId="1661" xr:uid="{00000000-0005-0000-0000-00007C060000}"/>
    <cellStyle name="스타일 1662" xfId="1664" xr:uid="{00000000-0005-0000-0000-00007D060000}"/>
    <cellStyle name="스타일 1663" xfId="1665" xr:uid="{00000000-0005-0000-0000-00007E060000}"/>
    <cellStyle name="스타일 1664" xfId="1666" xr:uid="{00000000-0005-0000-0000-00007F060000}"/>
    <cellStyle name="스타일 1665" xfId="1667" xr:uid="{00000000-0005-0000-0000-000080060000}"/>
    <cellStyle name="스타일 1666" xfId="1668" xr:uid="{00000000-0005-0000-0000-000081060000}"/>
    <cellStyle name="스타일 1667" xfId="1669" xr:uid="{00000000-0005-0000-0000-000082060000}"/>
    <cellStyle name="스타일 1668" xfId="1670" xr:uid="{00000000-0005-0000-0000-000083060000}"/>
    <cellStyle name="스타일 1669" xfId="1671" xr:uid="{00000000-0005-0000-0000-000084060000}"/>
    <cellStyle name="스타일 1670" xfId="1672" xr:uid="{00000000-0005-0000-0000-000085060000}"/>
    <cellStyle name="스타일 1671" xfId="1673" xr:uid="{00000000-0005-0000-0000-000086060000}"/>
    <cellStyle name="스타일 1672" xfId="1674" xr:uid="{00000000-0005-0000-0000-000087060000}"/>
    <cellStyle name="스타일 1673" xfId="2538" xr:uid="{00000000-0005-0000-0000-000088060000}"/>
    <cellStyle name="스타일 1674" xfId="2539" xr:uid="{00000000-0005-0000-0000-000089060000}"/>
    <cellStyle name="스타일 1675" xfId="2540" xr:uid="{00000000-0005-0000-0000-00008A060000}"/>
    <cellStyle name="스타일 1676" xfId="2559" xr:uid="{00000000-0005-0000-0000-00008B060000}"/>
    <cellStyle name="스타일 1677" xfId="2560" xr:uid="{00000000-0005-0000-0000-00008C060000}"/>
    <cellStyle name="스타일 1678" xfId="2561" xr:uid="{00000000-0005-0000-0000-00008D060000}"/>
    <cellStyle name="스타일 1679" xfId="2562" xr:uid="{00000000-0005-0000-0000-00008E060000}"/>
    <cellStyle name="스타일 1680" xfId="2563" xr:uid="{00000000-0005-0000-0000-00008F060000}"/>
    <cellStyle name="스타일 1681" xfId="2564" xr:uid="{00000000-0005-0000-0000-000090060000}"/>
    <cellStyle name="스타일 1682" xfId="2565" xr:uid="{00000000-0005-0000-0000-000091060000}"/>
    <cellStyle name="스타일 1683" xfId="2566" xr:uid="{00000000-0005-0000-0000-000092060000}"/>
    <cellStyle name="스타일 1684" xfId="2567" xr:uid="{00000000-0005-0000-0000-000093060000}"/>
    <cellStyle name="스타일 1685" xfId="2568" xr:uid="{00000000-0005-0000-0000-000094060000}"/>
    <cellStyle name="스타일 1686" xfId="2569" xr:uid="{00000000-0005-0000-0000-000095060000}"/>
    <cellStyle name="스타일 1687" xfId="2570" xr:uid="{00000000-0005-0000-0000-000096060000}"/>
    <cellStyle name="스타일 1688" xfId="2571" xr:uid="{00000000-0005-0000-0000-000097060000}"/>
    <cellStyle name="스타일 1689" xfId="2572" xr:uid="{00000000-0005-0000-0000-000098060000}"/>
    <cellStyle name="스타일 1690" xfId="2573" xr:uid="{00000000-0005-0000-0000-000099060000}"/>
    <cellStyle name="스타일 1691" xfId="2574" xr:uid="{00000000-0005-0000-0000-00009A060000}"/>
    <cellStyle name="스타일 1692" xfId="2575" xr:uid="{00000000-0005-0000-0000-00009B060000}"/>
    <cellStyle name="스타일 1693" xfId="2576" xr:uid="{00000000-0005-0000-0000-00009C060000}"/>
    <cellStyle name="스타일 1694" xfId="2577" xr:uid="{00000000-0005-0000-0000-00009D060000}"/>
    <cellStyle name="스타일 1695" xfId="2578" xr:uid="{00000000-0005-0000-0000-00009E060000}"/>
    <cellStyle name="스타일 1696" xfId="2579" xr:uid="{00000000-0005-0000-0000-00009F060000}"/>
    <cellStyle name="스타일 1697" xfId="2580" xr:uid="{00000000-0005-0000-0000-0000A0060000}"/>
    <cellStyle name="스타일 1698" xfId="2581" xr:uid="{00000000-0005-0000-0000-0000A1060000}"/>
    <cellStyle name="스타일 1699" xfId="2582" xr:uid="{00000000-0005-0000-0000-0000A2060000}"/>
    <cellStyle name="스타일 1700" xfId="2583" xr:uid="{00000000-0005-0000-0000-0000A3060000}"/>
    <cellStyle name="스타일 1701" xfId="2584" xr:uid="{00000000-0005-0000-0000-0000A4060000}"/>
    <cellStyle name="스타일 1702" xfId="2585" xr:uid="{00000000-0005-0000-0000-0000A5060000}"/>
    <cellStyle name="스타일 1703" xfId="2586" xr:uid="{00000000-0005-0000-0000-0000A6060000}"/>
    <cellStyle name="스타일 1704" xfId="2587" xr:uid="{00000000-0005-0000-0000-0000A7060000}"/>
    <cellStyle name="스타일 1705" xfId="2588" xr:uid="{00000000-0005-0000-0000-0000A8060000}"/>
    <cellStyle name="스타일 1706" xfId="2589" xr:uid="{00000000-0005-0000-0000-0000A9060000}"/>
    <cellStyle name="스타일 1707" xfId="2590" xr:uid="{00000000-0005-0000-0000-0000AA060000}"/>
    <cellStyle name="스타일 1708" xfId="2591" xr:uid="{00000000-0005-0000-0000-0000AB060000}"/>
    <cellStyle name="스타일 1709" xfId="2592" xr:uid="{00000000-0005-0000-0000-0000AC060000}"/>
    <cellStyle name="스타일 1710" xfId="2593" xr:uid="{00000000-0005-0000-0000-0000AD060000}"/>
    <cellStyle name="스타일 1711" xfId="2594" xr:uid="{00000000-0005-0000-0000-0000AE060000}"/>
    <cellStyle name="스타일 1712" xfId="2595" xr:uid="{00000000-0005-0000-0000-0000AF060000}"/>
    <cellStyle name="스타일 1713" xfId="2596" xr:uid="{00000000-0005-0000-0000-0000B0060000}"/>
    <cellStyle name="스타일 1714" xfId="2597" xr:uid="{00000000-0005-0000-0000-0000B1060000}"/>
    <cellStyle name="스타일 1715" xfId="2598" xr:uid="{00000000-0005-0000-0000-0000B2060000}"/>
    <cellStyle name="스타일 1716" xfId="2599" xr:uid="{00000000-0005-0000-0000-0000B3060000}"/>
    <cellStyle name="스타일 1717" xfId="2600" xr:uid="{00000000-0005-0000-0000-0000B4060000}"/>
    <cellStyle name="스타일 1718" xfId="2601" xr:uid="{00000000-0005-0000-0000-0000B5060000}"/>
    <cellStyle name="스타일 1719" xfId="2602" xr:uid="{00000000-0005-0000-0000-0000B6060000}"/>
    <cellStyle name="스타일 1720" xfId="2603" xr:uid="{00000000-0005-0000-0000-0000B7060000}"/>
    <cellStyle name="스타일 1721" xfId="2604" xr:uid="{00000000-0005-0000-0000-0000B8060000}"/>
    <cellStyle name="스타일 1722" xfId="2605" xr:uid="{00000000-0005-0000-0000-0000B9060000}"/>
    <cellStyle name="스타일 1723" xfId="2606" xr:uid="{00000000-0005-0000-0000-0000BA060000}"/>
    <cellStyle name="스타일 1724" xfId="2541" xr:uid="{00000000-0005-0000-0000-0000BB060000}"/>
    <cellStyle name="스타일 1725" xfId="2542" xr:uid="{00000000-0005-0000-0000-0000BC060000}"/>
    <cellStyle name="스타일 1726" xfId="2543" xr:uid="{00000000-0005-0000-0000-0000BD060000}"/>
    <cellStyle name="스타일 1727" xfId="2544" xr:uid="{00000000-0005-0000-0000-0000BE060000}"/>
    <cellStyle name="스타일 1728" xfId="2545" xr:uid="{00000000-0005-0000-0000-0000BF060000}"/>
    <cellStyle name="스타일 1729" xfId="2546" xr:uid="{00000000-0005-0000-0000-0000C0060000}"/>
    <cellStyle name="스타일 1730" xfId="2547" xr:uid="{00000000-0005-0000-0000-0000C1060000}"/>
    <cellStyle name="스타일 1731" xfId="2548" xr:uid="{00000000-0005-0000-0000-0000C2060000}"/>
    <cellStyle name="스타일 1732" xfId="2549" xr:uid="{00000000-0005-0000-0000-0000C3060000}"/>
    <cellStyle name="스타일 1733" xfId="2550" xr:uid="{00000000-0005-0000-0000-0000C4060000}"/>
    <cellStyle name="스타일 1734" xfId="2551" xr:uid="{00000000-0005-0000-0000-0000C5060000}"/>
    <cellStyle name="스타일 1735" xfId="2552" xr:uid="{00000000-0005-0000-0000-0000C6060000}"/>
    <cellStyle name="스타일 1736" xfId="2553" xr:uid="{00000000-0005-0000-0000-0000C7060000}"/>
    <cellStyle name="스타일 1737" xfId="2554" xr:uid="{00000000-0005-0000-0000-0000C8060000}"/>
    <cellStyle name="스타일 1738" xfId="2555" xr:uid="{00000000-0005-0000-0000-0000C9060000}"/>
    <cellStyle name="스타일 1739" xfId="2556" xr:uid="{00000000-0005-0000-0000-0000CA060000}"/>
    <cellStyle name="스타일 1740" xfId="2557" xr:uid="{00000000-0005-0000-0000-0000CB060000}"/>
    <cellStyle name="스타일 1741" xfId="2558" xr:uid="{00000000-0005-0000-0000-0000CC060000}"/>
    <cellStyle name="스타일 1742" xfId="2607" xr:uid="{00000000-0005-0000-0000-0000CD060000}"/>
    <cellStyle name="스타일 1743" xfId="2608" xr:uid="{00000000-0005-0000-0000-0000CE060000}"/>
    <cellStyle name="스타일 1744" xfId="2609" xr:uid="{00000000-0005-0000-0000-0000CF060000}"/>
    <cellStyle name="스타일 1745" xfId="2610" xr:uid="{00000000-0005-0000-0000-0000D0060000}"/>
    <cellStyle name="스타일 1746" xfId="2611" xr:uid="{00000000-0005-0000-0000-0000D1060000}"/>
    <cellStyle name="스타일 1747" xfId="2612" xr:uid="{00000000-0005-0000-0000-0000D2060000}"/>
    <cellStyle name="스타일 1748" xfId="2613" xr:uid="{00000000-0005-0000-0000-0000D3060000}"/>
    <cellStyle name="스타일 1749" xfId="2614" xr:uid="{00000000-0005-0000-0000-0000D4060000}"/>
    <cellStyle name="스타일 1750" xfId="2615" xr:uid="{00000000-0005-0000-0000-0000D5060000}"/>
    <cellStyle name="스타일 1751" xfId="2616" xr:uid="{00000000-0005-0000-0000-0000D6060000}"/>
    <cellStyle name="스타일 1752" xfId="2617" xr:uid="{00000000-0005-0000-0000-0000D7060000}"/>
    <cellStyle name="스타일 1753" xfId="2618" xr:uid="{00000000-0005-0000-0000-0000D8060000}"/>
    <cellStyle name="스타일 1754" xfId="2619" xr:uid="{00000000-0005-0000-0000-0000D9060000}"/>
    <cellStyle name="스타일 1755" xfId="2620" xr:uid="{00000000-0005-0000-0000-0000DA060000}"/>
    <cellStyle name="스타일 1756" xfId="2621" xr:uid="{00000000-0005-0000-0000-0000DB060000}"/>
    <cellStyle name="스타일 1757" xfId="2622" xr:uid="{00000000-0005-0000-0000-0000DC060000}"/>
    <cellStyle name="스타일 1758" xfId="2623" xr:uid="{00000000-0005-0000-0000-0000DD060000}"/>
    <cellStyle name="스타일 1759" xfId="2624" xr:uid="{00000000-0005-0000-0000-0000DE060000}"/>
    <cellStyle name="스타일 1760" xfId="2625" xr:uid="{00000000-0005-0000-0000-0000DF060000}"/>
    <cellStyle name="스타일 1761" xfId="2626" xr:uid="{00000000-0005-0000-0000-0000E0060000}"/>
    <cellStyle name="스타일 1762" xfId="2627" xr:uid="{00000000-0005-0000-0000-0000E1060000}"/>
    <cellStyle name="스타일 1763" xfId="2628" xr:uid="{00000000-0005-0000-0000-0000E2060000}"/>
    <cellStyle name="스타일 1764" xfId="2629" xr:uid="{00000000-0005-0000-0000-0000E3060000}"/>
    <cellStyle name="스타일 1765" xfId="2630" xr:uid="{00000000-0005-0000-0000-0000E4060000}"/>
    <cellStyle name="스타일 1766" xfId="2631" xr:uid="{00000000-0005-0000-0000-0000E5060000}"/>
    <cellStyle name="스타일 1767" xfId="2632" xr:uid="{00000000-0005-0000-0000-0000E6060000}"/>
    <cellStyle name="스타일 1768" xfId="2633" xr:uid="{00000000-0005-0000-0000-0000E7060000}"/>
    <cellStyle name="스타일 1769" xfId="2634" xr:uid="{00000000-0005-0000-0000-0000E8060000}"/>
    <cellStyle name="스타일 1770" xfId="2635" xr:uid="{00000000-0005-0000-0000-0000E9060000}"/>
    <cellStyle name="스타일 1771" xfId="2636" xr:uid="{00000000-0005-0000-0000-0000EA060000}"/>
    <cellStyle name="스타일 1772" xfId="2637" xr:uid="{00000000-0005-0000-0000-0000EB060000}"/>
    <cellStyle name="스타일 1773" xfId="2638" xr:uid="{00000000-0005-0000-0000-0000EC060000}"/>
    <cellStyle name="스타일 1774" xfId="2639" xr:uid="{00000000-0005-0000-0000-0000ED060000}"/>
    <cellStyle name="스타일 1775" xfId="2640" xr:uid="{00000000-0005-0000-0000-0000EE060000}"/>
    <cellStyle name="스타일 1776" xfId="2641" xr:uid="{00000000-0005-0000-0000-0000EF060000}"/>
    <cellStyle name="스타일 1777" xfId="2642" xr:uid="{00000000-0005-0000-0000-0000F0060000}"/>
    <cellStyle name="스타일 1778" xfId="2643" xr:uid="{00000000-0005-0000-0000-0000F1060000}"/>
    <cellStyle name="스타일 1779" xfId="2644" xr:uid="{00000000-0005-0000-0000-0000F2060000}"/>
    <cellStyle name="스타일 1780" xfId="2645" xr:uid="{00000000-0005-0000-0000-0000F3060000}"/>
    <cellStyle name="스타일 1781" xfId="2646" xr:uid="{00000000-0005-0000-0000-0000F4060000}"/>
    <cellStyle name="스타일 1782" xfId="2647" xr:uid="{00000000-0005-0000-0000-0000F5060000}"/>
    <cellStyle name="스타일 1783" xfId="2648" xr:uid="{00000000-0005-0000-0000-0000F6060000}"/>
    <cellStyle name="스타일 1784" xfId="2649" xr:uid="{00000000-0005-0000-0000-0000F7060000}"/>
    <cellStyle name="스타일 1785" xfId="2650" xr:uid="{00000000-0005-0000-0000-0000F8060000}"/>
    <cellStyle name="스타일 1786" xfId="2651" xr:uid="{00000000-0005-0000-0000-0000F9060000}"/>
    <cellStyle name="스타일 1787" xfId="2652" xr:uid="{00000000-0005-0000-0000-0000FA060000}"/>
    <cellStyle name="스타일 1788" xfId="2653" xr:uid="{00000000-0005-0000-0000-0000FB060000}"/>
    <cellStyle name="스타일 1789" xfId="2654" xr:uid="{00000000-0005-0000-0000-0000FC060000}"/>
    <cellStyle name="스타일 1790" xfId="2655" xr:uid="{00000000-0005-0000-0000-0000FD060000}"/>
    <cellStyle name="스타일 1791" xfId="2656" xr:uid="{00000000-0005-0000-0000-0000FE060000}"/>
    <cellStyle name="스타일 1792" xfId="2657" xr:uid="{00000000-0005-0000-0000-0000FF060000}"/>
    <cellStyle name="스타일 1793" xfId="2658" xr:uid="{00000000-0005-0000-0000-000000070000}"/>
    <cellStyle name="스타일 1794" xfId="2659" xr:uid="{00000000-0005-0000-0000-000001070000}"/>
    <cellStyle name="스타일 1795" xfId="2660" xr:uid="{00000000-0005-0000-0000-000002070000}"/>
    <cellStyle name="스타일 1796" xfId="2661" xr:uid="{00000000-0005-0000-0000-000003070000}"/>
    <cellStyle name="스타일 1797" xfId="2662" xr:uid="{00000000-0005-0000-0000-000004070000}"/>
    <cellStyle name="스타일 1798" xfId="2663" xr:uid="{00000000-0005-0000-0000-000005070000}"/>
    <cellStyle name="스타일 1799" xfId="2664" xr:uid="{00000000-0005-0000-0000-000006070000}"/>
    <cellStyle name="스타일 1800" xfId="2665" xr:uid="{00000000-0005-0000-0000-000007070000}"/>
    <cellStyle name="스타일 1801" xfId="2666" xr:uid="{00000000-0005-0000-0000-000008070000}"/>
    <cellStyle name="스타일 1802" xfId="2667" xr:uid="{00000000-0005-0000-0000-000009070000}"/>
    <cellStyle name="스타일 1803" xfId="2668" xr:uid="{00000000-0005-0000-0000-00000A070000}"/>
    <cellStyle name="스타일 1804" xfId="2669" xr:uid="{00000000-0005-0000-0000-00000B070000}"/>
    <cellStyle name="스타일 1805" xfId="2671" xr:uid="{00000000-0005-0000-0000-00000C070000}"/>
    <cellStyle name="스타일 1806" xfId="2672" xr:uid="{00000000-0005-0000-0000-00000D070000}"/>
    <cellStyle name="스타일 1807" xfId="2673" xr:uid="{00000000-0005-0000-0000-00000E070000}"/>
    <cellStyle name="스타일 1808" xfId="2674" xr:uid="{00000000-0005-0000-0000-00000F070000}"/>
    <cellStyle name="스타일 1809" xfId="2675" xr:uid="{00000000-0005-0000-0000-000010070000}"/>
    <cellStyle name="스타일 1810" xfId="2670" xr:uid="{00000000-0005-0000-0000-000011070000}"/>
    <cellStyle name="스타일 1811" xfId="2676" xr:uid="{00000000-0005-0000-0000-000012070000}"/>
    <cellStyle name="스타일 1812" xfId="2677" xr:uid="{00000000-0005-0000-0000-000013070000}"/>
    <cellStyle name="스타일 1813" xfId="2678" xr:uid="{00000000-0005-0000-0000-000014070000}"/>
    <cellStyle name="스타일 1814" xfId="2679" xr:uid="{00000000-0005-0000-0000-000015070000}"/>
    <cellStyle name="스타일 1815" xfId="2680" xr:uid="{00000000-0005-0000-0000-000016070000}"/>
    <cellStyle name="스타일 1816" xfId="2681" xr:uid="{00000000-0005-0000-0000-000017070000}"/>
    <cellStyle name="스타일 1817" xfId="2682" xr:uid="{00000000-0005-0000-0000-000018070000}"/>
    <cellStyle name="스타일 1818" xfId="2683" xr:uid="{00000000-0005-0000-0000-000019070000}"/>
    <cellStyle name="스타일 1819" xfId="2684" xr:uid="{00000000-0005-0000-0000-00001A070000}"/>
    <cellStyle name="스타일 1820" xfId="2685" xr:uid="{00000000-0005-0000-0000-00001B070000}"/>
    <cellStyle name="스타일 1821" xfId="2686" xr:uid="{00000000-0005-0000-0000-00001C070000}"/>
    <cellStyle name="스타일 1822" xfId="2687" xr:uid="{00000000-0005-0000-0000-00001D070000}"/>
    <cellStyle name="스타일 1823" xfId="2688" xr:uid="{00000000-0005-0000-0000-00001E070000}"/>
    <cellStyle name="스타일 1824" xfId="2689" xr:uid="{00000000-0005-0000-0000-00001F070000}"/>
    <cellStyle name="스타일 1825" xfId="2690" xr:uid="{00000000-0005-0000-0000-000020070000}"/>
    <cellStyle name="스타일 1826" xfId="2691" xr:uid="{00000000-0005-0000-0000-000021070000}"/>
    <cellStyle name="스타일 1827" xfId="2692" xr:uid="{00000000-0005-0000-0000-000022070000}"/>
    <cellStyle name="스타일 1828" xfId="2693" xr:uid="{00000000-0005-0000-0000-000023070000}"/>
    <cellStyle name="스타일 1829" xfId="2694" xr:uid="{00000000-0005-0000-0000-000024070000}"/>
    <cellStyle name="스타일 1830" xfId="2695" xr:uid="{00000000-0005-0000-0000-000025070000}"/>
    <cellStyle name="스타일 1831" xfId="2696" xr:uid="{00000000-0005-0000-0000-000026070000}"/>
    <cellStyle name="스타일 1832" xfId="2697" xr:uid="{00000000-0005-0000-0000-000027070000}"/>
    <cellStyle name="스타일 1833" xfId="2698" xr:uid="{00000000-0005-0000-0000-000028070000}"/>
    <cellStyle name="스타일 1834" xfId="2699" xr:uid="{00000000-0005-0000-0000-000029070000}"/>
    <cellStyle name="스타일 1835" xfId="2700" xr:uid="{00000000-0005-0000-0000-00002A070000}"/>
    <cellStyle name="스타일 1836" xfId="2701" xr:uid="{00000000-0005-0000-0000-00002B070000}"/>
    <cellStyle name="스타일 1837" xfId="2702" xr:uid="{00000000-0005-0000-0000-00002C070000}"/>
    <cellStyle name="스타일 1838" xfId="2703" xr:uid="{00000000-0005-0000-0000-00002D070000}"/>
    <cellStyle name="스타일 1839" xfId="2704" xr:uid="{00000000-0005-0000-0000-00002E070000}"/>
    <cellStyle name="스타일 1840" xfId="2705" xr:uid="{00000000-0005-0000-0000-00002F070000}"/>
    <cellStyle name="스타일 1841" xfId="2706" xr:uid="{00000000-0005-0000-0000-000030070000}"/>
    <cellStyle name="스타일 1842" xfId="2707" xr:uid="{00000000-0005-0000-0000-000031070000}"/>
    <cellStyle name="스타일 1843" xfId="2708" xr:uid="{00000000-0005-0000-0000-000032070000}"/>
    <cellStyle name="스타일 1844" xfId="2709" xr:uid="{00000000-0005-0000-0000-000033070000}"/>
    <cellStyle name="스타일 1845" xfId="2710" xr:uid="{00000000-0005-0000-0000-000034070000}"/>
    <cellStyle name="스타일 1846" xfId="2711" xr:uid="{00000000-0005-0000-0000-000035070000}"/>
    <cellStyle name="스타일 1847" xfId="2712" xr:uid="{00000000-0005-0000-0000-000036070000}"/>
    <cellStyle name="스타일 1848" xfId="2713" xr:uid="{00000000-0005-0000-0000-000037070000}"/>
    <cellStyle name="스타일 1849" xfId="2714" xr:uid="{00000000-0005-0000-0000-000038070000}"/>
    <cellStyle name="스타일 1850" xfId="2715" xr:uid="{00000000-0005-0000-0000-000039070000}"/>
    <cellStyle name="스타일 1851" xfId="2716" xr:uid="{00000000-0005-0000-0000-00003A070000}"/>
    <cellStyle name="스타일 1852" xfId="2718" xr:uid="{00000000-0005-0000-0000-00003B070000}"/>
    <cellStyle name="스타일 1853" xfId="2717" xr:uid="{00000000-0005-0000-0000-00003C070000}"/>
    <cellStyle name="스타일 1854" xfId="2719" xr:uid="{00000000-0005-0000-0000-00003D070000}"/>
    <cellStyle name="스타일 1855" xfId="2720" xr:uid="{00000000-0005-0000-0000-00003E070000}"/>
    <cellStyle name="스타일 1856" xfId="2721" xr:uid="{00000000-0005-0000-0000-00003F070000}"/>
    <cellStyle name="스타일 1857" xfId="2722" xr:uid="{00000000-0005-0000-0000-000040070000}"/>
    <cellStyle name="스타일 1858" xfId="2723" xr:uid="{00000000-0005-0000-0000-000041070000}"/>
    <cellStyle name="스타일 1859" xfId="2724" xr:uid="{00000000-0005-0000-0000-000042070000}"/>
    <cellStyle name="스타일 1860" xfId="2725" xr:uid="{00000000-0005-0000-0000-000043070000}"/>
    <cellStyle name="스타일 1861" xfId="2726" xr:uid="{00000000-0005-0000-0000-000044070000}"/>
    <cellStyle name="스타일 1862" xfId="2727" xr:uid="{00000000-0005-0000-0000-000045070000}"/>
    <cellStyle name="스타일 1863" xfId="2728" xr:uid="{00000000-0005-0000-0000-000046070000}"/>
    <cellStyle name="스타일 1864" xfId="2729" xr:uid="{00000000-0005-0000-0000-000047070000}"/>
    <cellStyle name="스타일 1865" xfId="2730" xr:uid="{00000000-0005-0000-0000-000048070000}"/>
    <cellStyle name="스타일 1866" xfId="2731" xr:uid="{00000000-0005-0000-0000-000049070000}"/>
    <cellStyle name="스타일 1867" xfId="2732" xr:uid="{00000000-0005-0000-0000-00004A070000}"/>
    <cellStyle name="스타일 1868" xfId="2733" xr:uid="{00000000-0005-0000-0000-00004B070000}"/>
    <cellStyle name="스타일 1869" xfId="2734" xr:uid="{00000000-0005-0000-0000-00004C070000}"/>
    <cellStyle name="스타일 1870" xfId="2735" xr:uid="{00000000-0005-0000-0000-00004D070000}"/>
    <cellStyle name="스타일 1871" xfId="2736" xr:uid="{00000000-0005-0000-0000-00004E070000}"/>
    <cellStyle name="스타일 1872" xfId="2737" xr:uid="{00000000-0005-0000-0000-00004F070000}"/>
    <cellStyle name="스타일 1873" xfId="2738" xr:uid="{00000000-0005-0000-0000-000050070000}"/>
    <cellStyle name="스타일 1874" xfId="2739" xr:uid="{00000000-0005-0000-0000-000051070000}"/>
    <cellStyle name="스타일 1875" xfId="2740" xr:uid="{00000000-0005-0000-0000-000052070000}"/>
    <cellStyle name="스타일 1876" xfId="2741" xr:uid="{00000000-0005-0000-0000-000053070000}"/>
    <cellStyle name="스타일 1877" xfId="2742" xr:uid="{00000000-0005-0000-0000-000054070000}"/>
    <cellStyle name="스타일 1878" xfId="2743" xr:uid="{00000000-0005-0000-0000-000055070000}"/>
    <cellStyle name="스타일 1879" xfId="2744" xr:uid="{00000000-0005-0000-0000-000056070000}"/>
    <cellStyle name="스타일 1880" xfId="2745" xr:uid="{00000000-0005-0000-0000-000057070000}"/>
    <cellStyle name="스타일 1881" xfId="2746" xr:uid="{00000000-0005-0000-0000-000058070000}"/>
    <cellStyle name="스타일 1882" xfId="2747" xr:uid="{00000000-0005-0000-0000-000059070000}"/>
    <cellStyle name="스타일 1883" xfId="2748" xr:uid="{00000000-0005-0000-0000-00005A070000}"/>
    <cellStyle name="스타일 1884" xfId="2749" xr:uid="{00000000-0005-0000-0000-00005B070000}"/>
    <cellStyle name="스타일 1885" xfId="2750" xr:uid="{00000000-0005-0000-0000-00005C070000}"/>
    <cellStyle name="스타일 1886" xfId="2751" xr:uid="{00000000-0005-0000-0000-00005D070000}"/>
    <cellStyle name="스타일 1887" xfId="2752" xr:uid="{00000000-0005-0000-0000-00005E070000}"/>
    <cellStyle name="스타일 1888" xfId="2753" xr:uid="{00000000-0005-0000-0000-00005F070000}"/>
    <cellStyle name="스타일 1889" xfId="2754" xr:uid="{00000000-0005-0000-0000-000060070000}"/>
    <cellStyle name="스타일 1890" xfId="2755" xr:uid="{00000000-0005-0000-0000-000061070000}"/>
    <cellStyle name="스타일 1891" xfId="2756" xr:uid="{00000000-0005-0000-0000-000062070000}"/>
    <cellStyle name="스타일 1892" xfId="2757" xr:uid="{00000000-0005-0000-0000-000063070000}"/>
    <cellStyle name="스타일 1893" xfId="2758" xr:uid="{00000000-0005-0000-0000-000064070000}"/>
    <cellStyle name="스타일 1894" xfId="2759" xr:uid="{00000000-0005-0000-0000-000065070000}"/>
    <cellStyle name="스타일 1895" xfId="2760" xr:uid="{00000000-0005-0000-0000-000066070000}"/>
    <cellStyle name="스타일 1896" xfId="2761" xr:uid="{00000000-0005-0000-0000-000067070000}"/>
    <cellStyle name="스타일 1897" xfId="2762" xr:uid="{00000000-0005-0000-0000-000068070000}"/>
    <cellStyle name="스타일 1898" xfId="2763" xr:uid="{00000000-0005-0000-0000-000069070000}"/>
    <cellStyle name="스타일 1899" xfId="2764" xr:uid="{00000000-0005-0000-0000-00006A070000}"/>
    <cellStyle name="스타일 1900" xfId="2765" xr:uid="{00000000-0005-0000-0000-00006B070000}"/>
    <cellStyle name="스타일 1901" xfId="2766" xr:uid="{00000000-0005-0000-0000-00006C070000}"/>
    <cellStyle name="스타일 1902" xfId="2767" xr:uid="{00000000-0005-0000-0000-00006D070000}"/>
    <cellStyle name="스타일 1903" xfId="2768" xr:uid="{00000000-0005-0000-0000-00006E070000}"/>
    <cellStyle name="스타일 1904" xfId="2769" xr:uid="{00000000-0005-0000-0000-00006F070000}"/>
    <cellStyle name="스타일 1905" xfId="2770" xr:uid="{00000000-0005-0000-0000-000070070000}"/>
    <cellStyle name="스타일 1906" xfId="2771" xr:uid="{00000000-0005-0000-0000-000071070000}"/>
    <cellStyle name="스타일 1907" xfId="2772" xr:uid="{00000000-0005-0000-0000-000072070000}"/>
    <cellStyle name="스타일 1908" xfId="2773" xr:uid="{00000000-0005-0000-0000-000073070000}"/>
    <cellStyle name="스타일 1909" xfId="2774" xr:uid="{00000000-0005-0000-0000-000074070000}"/>
    <cellStyle name="스타일 1910" xfId="2775" xr:uid="{00000000-0005-0000-0000-000075070000}"/>
    <cellStyle name="스타일 1911" xfId="2776" xr:uid="{00000000-0005-0000-0000-000076070000}"/>
    <cellStyle name="스타일 1912" xfId="2777" xr:uid="{00000000-0005-0000-0000-000077070000}"/>
    <cellStyle name="스타일 1913" xfId="2778" xr:uid="{00000000-0005-0000-0000-000078070000}"/>
    <cellStyle name="스타일 1914" xfId="2779" xr:uid="{00000000-0005-0000-0000-000079070000}"/>
    <cellStyle name="스타일 1915" xfId="2780" xr:uid="{00000000-0005-0000-0000-00007A070000}"/>
    <cellStyle name="스타일 1916" xfId="2781" xr:uid="{00000000-0005-0000-0000-00007B070000}"/>
    <cellStyle name="스타일 1917" xfId="2782" xr:uid="{00000000-0005-0000-0000-00007C070000}"/>
    <cellStyle name="스타일 1918" xfId="2783" xr:uid="{00000000-0005-0000-0000-00007D070000}"/>
    <cellStyle name="스타일 1919" xfId="2784" xr:uid="{00000000-0005-0000-0000-00007E070000}"/>
    <cellStyle name="스타일 1920" xfId="2785" xr:uid="{00000000-0005-0000-0000-00007F070000}"/>
    <cellStyle name="스타일 1921" xfId="2786" xr:uid="{00000000-0005-0000-0000-000080070000}"/>
    <cellStyle name="스타일 1922" xfId="2787" xr:uid="{00000000-0005-0000-0000-000081070000}"/>
    <cellStyle name="스타일 1923" xfId="2788" xr:uid="{00000000-0005-0000-0000-000082070000}"/>
    <cellStyle name="스타일 1924" xfId="2789" xr:uid="{00000000-0005-0000-0000-000083070000}"/>
    <cellStyle name="스타일 1925" xfId="2790" xr:uid="{00000000-0005-0000-0000-000084070000}"/>
    <cellStyle name="스타일 1926" xfId="2791" xr:uid="{00000000-0005-0000-0000-000085070000}"/>
    <cellStyle name="스타일 1927" xfId="2792" xr:uid="{00000000-0005-0000-0000-000086070000}"/>
    <cellStyle name="스타일 1928" xfId="2793" xr:uid="{00000000-0005-0000-0000-000087070000}"/>
    <cellStyle name="스타일 1929" xfId="2794" xr:uid="{00000000-0005-0000-0000-000088070000}"/>
    <cellStyle name="스타일 1930" xfId="2795" xr:uid="{00000000-0005-0000-0000-000089070000}"/>
    <cellStyle name="스타일 1931" xfId="2796" xr:uid="{00000000-0005-0000-0000-00008A070000}"/>
    <cellStyle name="스타일 1932" xfId="2797" xr:uid="{00000000-0005-0000-0000-00008B070000}"/>
    <cellStyle name="스타일 1933" xfId="2798" xr:uid="{00000000-0005-0000-0000-00008C070000}"/>
    <cellStyle name="스타일 1934" xfId="2799" xr:uid="{00000000-0005-0000-0000-00008D070000}"/>
    <cellStyle name="스타일 1935" xfId="2816" xr:uid="{00000000-0005-0000-0000-00008E070000}"/>
    <cellStyle name="스타일 1936" xfId="2817" xr:uid="{00000000-0005-0000-0000-00008F070000}"/>
    <cellStyle name="스타일 1937" xfId="2818" xr:uid="{00000000-0005-0000-0000-000090070000}"/>
    <cellStyle name="스타일 1938" xfId="2819" xr:uid="{00000000-0005-0000-0000-000091070000}"/>
    <cellStyle name="스타일 1939" xfId="2820" xr:uid="{00000000-0005-0000-0000-000092070000}"/>
    <cellStyle name="스타일 1940" xfId="2821" xr:uid="{00000000-0005-0000-0000-000093070000}"/>
    <cellStyle name="스타일 1941" xfId="2822" xr:uid="{00000000-0005-0000-0000-000094070000}"/>
    <cellStyle name="스타일 1942" xfId="2823" xr:uid="{00000000-0005-0000-0000-000095070000}"/>
    <cellStyle name="스타일 1943" xfId="2824" xr:uid="{00000000-0005-0000-0000-000096070000}"/>
    <cellStyle name="스타일 1944" xfId="2825" xr:uid="{00000000-0005-0000-0000-000097070000}"/>
    <cellStyle name="스타일 1945" xfId="2826" xr:uid="{00000000-0005-0000-0000-000098070000}"/>
    <cellStyle name="스타일 1946" xfId="2827" xr:uid="{00000000-0005-0000-0000-000099070000}"/>
    <cellStyle name="스타일 1947" xfId="2828" xr:uid="{00000000-0005-0000-0000-00009A070000}"/>
    <cellStyle name="스타일 1948" xfId="2829" xr:uid="{00000000-0005-0000-0000-00009B070000}"/>
    <cellStyle name="스타일 1949" xfId="2830" xr:uid="{00000000-0005-0000-0000-00009C070000}"/>
    <cellStyle name="스타일 1950" xfId="2831" xr:uid="{00000000-0005-0000-0000-00009D070000}"/>
    <cellStyle name="스타일 1951" xfId="2832" xr:uid="{00000000-0005-0000-0000-00009E070000}"/>
    <cellStyle name="스타일 1952" xfId="2833" xr:uid="{00000000-0005-0000-0000-00009F070000}"/>
    <cellStyle name="스타일 1953" xfId="2834" xr:uid="{00000000-0005-0000-0000-0000A0070000}"/>
    <cellStyle name="스타일 1954" xfId="2835" xr:uid="{00000000-0005-0000-0000-0000A1070000}"/>
    <cellStyle name="스타일 1955" xfId="2836" xr:uid="{00000000-0005-0000-0000-0000A2070000}"/>
    <cellStyle name="스타일 1956" xfId="2837" xr:uid="{00000000-0005-0000-0000-0000A3070000}"/>
    <cellStyle name="스타일 1957" xfId="2838" xr:uid="{00000000-0005-0000-0000-0000A4070000}"/>
    <cellStyle name="스타일 1958" xfId="2839" xr:uid="{00000000-0005-0000-0000-0000A5070000}"/>
    <cellStyle name="스타일 1959" xfId="2840" xr:uid="{00000000-0005-0000-0000-0000A6070000}"/>
    <cellStyle name="스타일 1960" xfId="2841" xr:uid="{00000000-0005-0000-0000-0000A7070000}"/>
    <cellStyle name="스타일 1961" xfId="2842" xr:uid="{00000000-0005-0000-0000-0000A8070000}"/>
    <cellStyle name="스타일 1962" xfId="2843" xr:uid="{00000000-0005-0000-0000-0000A9070000}"/>
    <cellStyle name="스타일 1963" xfId="2844" xr:uid="{00000000-0005-0000-0000-0000AA070000}"/>
    <cellStyle name="스타일 1964" xfId="2845" xr:uid="{00000000-0005-0000-0000-0000AB070000}"/>
    <cellStyle name="스타일 1965" xfId="2846" xr:uid="{00000000-0005-0000-0000-0000AC070000}"/>
    <cellStyle name="스타일 1966" xfId="2847" xr:uid="{00000000-0005-0000-0000-0000AD070000}"/>
    <cellStyle name="스타일 1967" xfId="2848" xr:uid="{00000000-0005-0000-0000-0000AE070000}"/>
    <cellStyle name="스타일 1968" xfId="2849" xr:uid="{00000000-0005-0000-0000-0000AF070000}"/>
    <cellStyle name="스타일 1969" xfId="2850" xr:uid="{00000000-0005-0000-0000-0000B0070000}"/>
    <cellStyle name="스타일 1970" xfId="2851" xr:uid="{00000000-0005-0000-0000-0000B1070000}"/>
    <cellStyle name="스타일 1971" xfId="2852" xr:uid="{00000000-0005-0000-0000-0000B2070000}"/>
    <cellStyle name="스타일 1972" xfId="2853" xr:uid="{00000000-0005-0000-0000-0000B3070000}"/>
    <cellStyle name="스타일 1973" xfId="2854" xr:uid="{00000000-0005-0000-0000-0000B4070000}"/>
    <cellStyle name="스타일 1974" xfId="2855" xr:uid="{00000000-0005-0000-0000-0000B5070000}"/>
    <cellStyle name="스타일 1975" xfId="2856" xr:uid="{00000000-0005-0000-0000-0000B6070000}"/>
    <cellStyle name="스타일 1976" xfId="2857" xr:uid="{00000000-0005-0000-0000-0000B7070000}"/>
    <cellStyle name="스타일 1977" xfId="2858" xr:uid="{00000000-0005-0000-0000-0000B8070000}"/>
    <cellStyle name="스타일 1978" xfId="2859" xr:uid="{00000000-0005-0000-0000-0000B9070000}"/>
    <cellStyle name="스타일 1979" xfId="2860" xr:uid="{00000000-0005-0000-0000-0000BA070000}"/>
    <cellStyle name="스타일 1980" xfId="2861" xr:uid="{00000000-0005-0000-0000-0000BB070000}"/>
    <cellStyle name="스타일 1981" xfId="2862" xr:uid="{00000000-0005-0000-0000-0000BC070000}"/>
    <cellStyle name="스타일 1982" xfId="2863" xr:uid="{00000000-0005-0000-0000-0000BD070000}"/>
    <cellStyle name="스타일 1983" xfId="2800" xr:uid="{00000000-0005-0000-0000-0000BE070000}"/>
    <cellStyle name="스타일 1984" xfId="2801" xr:uid="{00000000-0005-0000-0000-0000BF070000}"/>
    <cellStyle name="스타일 1985" xfId="2802" xr:uid="{00000000-0005-0000-0000-0000C0070000}"/>
    <cellStyle name="스타일 1986" xfId="2803" xr:uid="{00000000-0005-0000-0000-0000C1070000}"/>
    <cellStyle name="스타일 1987" xfId="2804" xr:uid="{00000000-0005-0000-0000-0000C2070000}"/>
    <cellStyle name="스타일 1988" xfId="2805" xr:uid="{00000000-0005-0000-0000-0000C3070000}"/>
    <cellStyle name="스타일 1989" xfId="2806" xr:uid="{00000000-0005-0000-0000-0000C4070000}"/>
    <cellStyle name="스타일 1990" xfId="2807" xr:uid="{00000000-0005-0000-0000-0000C5070000}"/>
    <cellStyle name="스타일 1991" xfId="2808" xr:uid="{00000000-0005-0000-0000-0000C6070000}"/>
    <cellStyle name="스타일 1992" xfId="2809" xr:uid="{00000000-0005-0000-0000-0000C7070000}"/>
    <cellStyle name="스타일 1993" xfId="2810" xr:uid="{00000000-0005-0000-0000-0000C8070000}"/>
    <cellStyle name="스타일 1994" xfId="2811" xr:uid="{00000000-0005-0000-0000-0000C9070000}"/>
    <cellStyle name="스타일 1995" xfId="2812" xr:uid="{00000000-0005-0000-0000-0000CA070000}"/>
    <cellStyle name="스타일 1996" xfId="2813" xr:uid="{00000000-0005-0000-0000-0000CB070000}"/>
    <cellStyle name="스타일 1997" xfId="2814" xr:uid="{00000000-0005-0000-0000-0000CC070000}"/>
    <cellStyle name="스타일 1998" xfId="2815" xr:uid="{00000000-0005-0000-0000-0000CD070000}"/>
    <cellStyle name="스타일 1999" xfId="2864" xr:uid="{00000000-0005-0000-0000-0000CE070000}"/>
    <cellStyle name="스타일 2000" xfId="2865" xr:uid="{00000000-0005-0000-0000-0000CF070000}"/>
    <cellStyle name="스타일 2001" xfId="2866" xr:uid="{00000000-0005-0000-0000-0000D0070000}"/>
    <cellStyle name="스타일 2002" xfId="2867" xr:uid="{00000000-0005-0000-0000-0000D1070000}"/>
    <cellStyle name="스타일 2003" xfId="2868" xr:uid="{00000000-0005-0000-0000-0000D2070000}"/>
    <cellStyle name="스타일 2004" xfId="2869" xr:uid="{00000000-0005-0000-0000-0000D3070000}"/>
    <cellStyle name="스타일 2005" xfId="2870" xr:uid="{00000000-0005-0000-0000-0000D4070000}"/>
    <cellStyle name="스타일 2006" xfId="2887" xr:uid="{00000000-0005-0000-0000-0000D5070000}"/>
    <cellStyle name="스타일 2007" xfId="2888" xr:uid="{00000000-0005-0000-0000-0000D6070000}"/>
    <cellStyle name="스타일 2008" xfId="2889" xr:uid="{00000000-0005-0000-0000-0000D7070000}"/>
    <cellStyle name="스타일 2009" xfId="2890" xr:uid="{00000000-0005-0000-0000-0000D8070000}"/>
    <cellStyle name="스타일 2010" xfId="2891" xr:uid="{00000000-0005-0000-0000-0000D9070000}"/>
    <cellStyle name="스타일 2011" xfId="2892" xr:uid="{00000000-0005-0000-0000-0000DA070000}"/>
    <cellStyle name="스타일 2012" xfId="2893" xr:uid="{00000000-0005-0000-0000-0000DB070000}"/>
    <cellStyle name="스타일 2013" xfId="2894" xr:uid="{00000000-0005-0000-0000-0000DC070000}"/>
    <cellStyle name="스타일 2014" xfId="2895" xr:uid="{00000000-0005-0000-0000-0000DD070000}"/>
    <cellStyle name="스타일 2015" xfId="2896" xr:uid="{00000000-0005-0000-0000-0000DE070000}"/>
    <cellStyle name="스타일 2016" xfId="2897" xr:uid="{00000000-0005-0000-0000-0000DF070000}"/>
    <cellStyle name="스타일 2017" xfId="2898" xr:uid="{00000000-0005-0000-0000-0000E0070000}"/>
    <cellStyle name="스타일 2018" xfId="2899" xr:uid="{00000000-0005-0000-0000-0000E1070000}"/>
    <cellStyle name="스타일 2019" xfId="2900" xr:uid="{00000000-0005-0000-0000-0000E2070000}"/>
    <cellStyle name="스타일 2020" xfId="2901" xr:uid="{00000000-0005-0000-0000-0000E3070000}"/>
    <cellStyle name="스타일 2021" xfId="2902" xr:uid="{00000000-0005-0000-0000-0000E4070000}"/>
    <cellStyle name="스타일 2022" xfId="2903" xr:uid="{00000000-0005-0000-0000-0000E5070000}"/>
    <cellStyle name="스타일 2023" xfId="2904" xr:uid="{00000000-0005-0000-0000-0000E6070000}"/>
    <cellStyle name="스타일 2024" xfId="2905" xr:uid="{00000000-0005-0000-0000-0000E7070000}"/>
    <cellStyle name="스타일 2025" xfId="2906" xr:uid="{00000000-0005-0000-0000-0000E8070000}"/>
    <cellStyle name="스타일 2026" xfId="2907" xr:uid="{00000000-0005-0000-0000-0000E9070000}"/>
    <cellStyle name="스타일 2027" xfId="2908" xr:uid="{00000000-0005-0000-0000-0000EA070000}"/>
    <cellStyle name="스타일 2028" xfId="2909" xr:uid="{00000000-0005-0000-0000-0000EB070000}"/>
    <cellStyle name="스타일 2029" xfId="2910" xr:uid="{00000000-0005-0000-0000-0000EC070000}"/>
    <cellStyle name="스타일 2030" xfId="2911" xr:uid="{00000000-0005-0000-0000-0000ED070000}"/>
    <cellStyle name="스타일 2031" xfId="2912" xr:uid="{00000000-0005-0000-0000-0000EE070000}"/>
    <cellStyle name="스타일 2032" xfId="2913" xr:uid="{00000000-0005-0000-0000-0000EF070000}"/>
    <cellStyle name="스타일 2033" xfId="2914" xr:uid="{00000000-0005-0000-0000-0000F0070000}"/>
    <cellStyle name="스타일 2034" xfId="2915" xr:uid="{00000000-0005-0000-0000-0000F1070000}"/>
    <cellStyle name="스타일 2035" xfId="2916" xr:uid="{00000000-0005-0000-0000-0000F2070000}"/>
    <cellStyle name="스타일 2036" xfId="2917" xr:uid="{00000000-0005-0000-0000-0000F3070000}"/>
    <cellStyle name="스타일 2037" xfId="2918" xr:uid="{00000000-0005-0000-0000-0000F4070000}"/>
    <cellStyle name="스타일 2038" xfId="2919" xr:uid="{00000000-0005-0000-0000-0000F5070000}"/>
    <cellStyle name="스타일 2039" xfId="2920" xr:uid="{00000000-0005-0000-0000-0000F6070000}"/>
    <cellStyle name="스타일 2040" xfId="2921" xr:uid="{00000000-0005-0000-0000-0000F7070000}"/>
    <cellStyle name="스타일 2041" xfId="2922" xr:uid="{00000000-0005-0000-0000-0000F8070000}"/>
    <cellStyle name="스타일 2042" xfId="2923" xr:uid="{00000000-0005-0000-0000-0000F9070000}"/>
    <cellStyle name="스타일 2043" xfId="2924" xr:uid="{00000000-0005-0000-0000-0000FA070000}"/>
    <cellStyle name="스타일 2044" xfId="2925" xr:uid="{00000000-0005-0000-0000-0000FB070000}"/>
    <cellStyle name="스타일 2045" xfId="2926" xr:uid="{00000000-0005-0000-0000-0000FC070000}"/>
    <cellStyle name="스타일 2046" xfId="2927" xr:uid="{00000000-0005-0000-0000-0000FD070000}"/>
    <cellStyle name="스타일 2047" xfId="2928" xr:uid="{00000000-0005-0000-0000-0000FE070000}"/>
    <cellStyle name="스타일 2048" xfId="2929" xr:uid="{00000000-0005-0000-0000-0000FF070000}"/>
    <cellStyle name="스타일 2049" xfId="2930" xr:uid="{00000000-0005-0000-0000-000000080000}"/>
    <cellStyle name="스타일 2050" xfId="2931" xr:uid="{00000000-0005-0000-0000-000001080000}"/>
    <cellStyle name="스타일 2051" xfId="2932" xr:uid="{00000000-0005-0000-0000-000002080000}"/>
    <cellStyle name="스타일 2052" xfId="2933" xr:uid="{00000000-0005-0000-0000-000003080000}"/>
    <cellStyle name="스타일 2053" xfId="2934" xr:uid="{00000000-0005-0000-0000-000004080000}"/>
    <cellStyle name="스타일 2054" xfId="2871" xr:uid="{00000000-0005-0000-0000-000005080000}"/>
    <cellStyle name="스타일 2055" xfId="2872" xr:uid="{00000000-0005-0000-0000-000006080000}"/>
    <cellStyle name="스타일 2056" xfId="2873" xr:uid="{00000000-0005-0000-0000-000007080000}"/>
    <cellStyle name="스타일 2057" xfId="2874" xr:uid="{00000000-0005-0000-0000-000008080000}"/>
    <cellStyle name="스타일 2058" xfId="2875" xr:uid="{00000000-0005-0000-0000-000009080000}"/>
    <cellStyle name="스타일 2059" xfId="2876" xr:uid="{00000000-0005-0000-0000-00000A080000}"/>
    <cellStyle name="스타일 2060" xfId="2877" xr:uid="{00000000-0005-0000-0000-00000B080000}"/>
    <cellStyle name="스타일 2061" xfId="2878" xr:uid="{00000000-0005-0000-0000-00000C080000}"/>
    <cellStyle name="스타일 2062" xfId="2879" xr:uid="{00000000-0005-0000-0000-00000D080000}"/>
    <cellStyle name="스타일 2063" xfId="2880" xr:uid="{00000000-0005-0000-0000-00000E080000}"/>
    <cellStyle name="스타일 2064" xfId="2881" xr:uid="{00000000-0005-0000-0000-00000F080000}"/>
    <cellStyle name="스타일 2065" xfId="2882" xr:uid="{00000000-0005-0000-0000-000010080000}"/>
    <cellStyle name="스타일 2066" xfId="2883" xr:uid="{00000000-0005-0000-0000-000011080000}"/>
    <cellStyle name="스타일 2067" xfId="2884" xr:uid="{00000000-0005-0000-0000-000012080000}"/>
    <cellStyle name="스타일 2068" xfId="2885" xr:uid="{00000000-0005-0000-0000-000013080000}"/>
    <cellStyle name="스타일 2069" xfId="2886" xr:uid="{00000000-0005-0000-0000-000014080000}"/>
    <cellStyle name="스타일 2070" xfId="2935" xr:uid="{00000000-0005-0000-0000-000015080000}"/>
    <cellStyle name="스타일 2071" xfId="2936" xr:uid="{00000000-0005-0000-0000-000016080000}"/>
    <cellStyle name="스타일 2072" xfId="2937" xr:uid="{00000000-0005-0000-0000-000017080000}"/>
    <cellStyle name="스타일 2073" xfId="2938" xr:uid="{00000000-0005-0000-0000-000018080000}"/>
    <cellStyle name="스타일 2074" xfId="2939" xr:uid="{00000000-0005-0000-0000-000019080000}"/>
    <cellStyle name="스타일 2075" xfId="2940" xr:uid="{00000000-0005-0000-0000-00001A080000}"/>
    <cellStyle name="스타일 2076" xfId="2941" xr:uid="{00000000-0005-0000-0000-00001B080000}"/>
    <cellStyle name="스타일 2077" xfId="2942" xr:uid="{00000000-0005-0000-0000-00001C080000}"/>
    <cellStyle name="스타일 2078" xfId="2943" xr:uid="{00000000-0005-0000-0000-00001D080000}"/>
    <cellStyle name="스타일 2079" xfId="2944" xr:uid="{00000000-0005-0000-0000-00001E080000}"/>
    <cellStyle name="스타일 2080" xfId="2945" xr:uid="{00000000-0005-0000-0000-00001F080000}"/>
    <cellStyle name="스타일 2081" xfId="2946" xr:uid="{00000000-0005-0000-0000-000020080000}"/>
    <cellStyle name="스타일 2082" xfId="2948" xr:uid="{00000000-0005-0000-0000-000021080000}"/>
    <cellStyle name="스타일 2083" xfId="2947" xr:uid="{00000000-0005-0000-0000-000022080000}"/>
    <cellStyle name="스타일 2084" xfId="2949" xr:uid="{00000000-0005-0000-0000-000023080000}"/>
    <cellStyle name="스타일 2085" xfId="2950" xr:uid="{00000000-0005-0000-0000-000024080000}"/>
    <cellStyle name="스타일 2086" xfId="2951" xr:uid="{00000000-0005-0000-0000-000025080000}"/>
    <cellStyle name="스타일 2087" xfId="2952" xr:uid="{00000000-0005-0000-0000-000026080000}"/>
    <cellStyle name="스타일 2088" xfId="2953" xr:uid="{00000000-0005-0000-0000-000027080000}"/>
    <cellStyle name="스타일 2089" xfId="2954" xr:uid="{00000000-0005-0000-0000-000028080000}"/>
    <cellStyle name="스타일 2090" xfId="2955" xr:uid="{00000000-0005-0000-0000-000029080000}"/>
    <cellStyle name="스타일 2091" xfId="2956" xr:uid="{00000000-0005-0000-0000-00002A080000}"/>
    <cellStyle name="스타일 2092" xfId="2957" xr:uid="{00000000-0005-0000-0000-00002B080000}"/>
    <cellStyle name="스타일 2093" xfId="2958" xr:uid="{00000000-0005-0000-0000-00002C080000}"/>
    <cellStyle name="스타일 2094" xfId="2959" xr:uid="{00000000-0005-0000-0000-00002D080000}"/>
    <cellStyle name="스타일 2095" xfId="2960" xr:uid="{00000000-0005-0000-0000-00002E080000}"/>
    <cellStyle name="스타일 2096" xfId="2961" xr:uid="{00000000-0005-0000-0000-00002F080000}"/>
    <cellStyle name="스타일 2097" xfId="2962" xr:uid="{00000000-0005-0000-0000-000030080000}"/>
    <cellStyle name="스타일 2098" xfId="2963" xr:uid="{00000000-0005-0000-0000-000031080000}"/>
    <cellStyle name="스타일 2099" xfId="2964" xr:uid="{00000000-0005-0000-0000-000032080000}"/>
    <cellStyle name="스타일 2100" xfId="2965" xr:uid="{00000000-0005-0000-0000-000033080000}"/>
    <cellStyle name="스타일 2101" xfId="2966" xr:uid="{00000000-0005-0000-0000-000034080000}"/>
    <cellStyle name="스타일 2102" xfId="2967" xr:uid="{00000000-0005-0000-0000-000035080000}"/>
    <cellStyle name="스타일 2103" xfId="2968" xr:uid="{00000000-0005-0000-0000-000036080000}"/>
    <cellStyle name="스타일 2104" xfId="2969" xr:uid="{00000000-0005-0000-0000-000037080000}"/>
    <cellStyle name="스타일 2105" xfId="2970" xr:uid="{00000000-0005-0000-0000-000038080000}"/>
    <cellStyle name="스타일 2106" xfId="2971" xr:uid="{00000000-0005-0000-0000-000039080000}"/>
    <cellStyle name="스타일 2107" xfId="2972" xr:uid="{00000000-0005-0000-0000-00003A080000}"/>
    <cellStyle name="스타일 2108" xfId="2973" xr:uid="{00000000-0005-0000-0000-00003B080000}"/>
    <cellStyle name="스타일 2109" xfId="2974" xr:uid="{00000000-0005-0000-0000-00003C080000}"/>
    <cellStyle name="스타일 2110" xfId="2975" xr:uid="{00000000-0005-0000-0000-00003D080000}"/>
    <cellStyle name="스타일 2111" xfId="2976" xr:uid="{00000000-0005-0000-0000-00003E080000}"/>
    <cellStyle name="스타일 2112" xfId="2977" xr:uid="{00000000-0005-0000-0000-00003F080000}"/>
    <cellStyle name="스타일 2113" xfId="2978" xr:uid="{00000000-0005-0000-0000-000040080000}"/>
    <cellStyle name="스타일 2114" xfId="2979" xr:uid="{00000000-0005-0000-0000-000041080000}"/>
    <cellStyle name="스타일 2115" xfId="2980" xr:uid="{00000000-0005-0000-0000-000042080000}"/>
    <cellStyle name="스타일 2116" xfId="2981" xr:uid="{00000000-0005-0000-0000-000043080000}"/>
    <cellStyle name="스타일 2117" xfId="2982" xr:uid="{00000000-0005-0000-0000-000044080000}"/>
    <cellStyle name="스타일 2118" xfId="2983" xr:uid="{00000000-0005-0000-0000-000045080000}"/>
    <cellStyle name="스타일 2119" xfId="2984" xr:uid="{00000000-0005-0000-0000-000046080000}"/>
    <cellStyle name="스타일 2120" xfId="2985" xr:uid="{00000000-0005-0000-0000-000047080000}"/>
    <cellStyle name="스타일 2121" xfId="2986" xr:uid="{00000000-0005-0000-0000-000048080000}"/>
    <cellStyle name="스타일 2122" xfId="2987" xr:uid="{00000000-0005-0000-0000-000049080000}"/>
    <cellStyle name="스타일 2123" xfId="2988" xr:uid="{00000000-0005-0000-0000-00004A080000}"/>
    <cellStyle name="스타일 2124" xfId="2989" xr:uid="{00000000-0005-0000-0000-00004B080000}"/>
    <cellStyle name="스타일 2125" xfId="2990" xr:uid="{00000000-0005-0000-0000-00004C080000}"/>
    <cellStyle name="스타일 2126" xfId="2991" xr:uid="{00000000-0005-0000-0000-00004D080000}"/>
    <cellStyle name="스타일 2127" xfId="2992" xr:uid="{00000000-0005-0000-0000-00004E080000}"/>
    <cellStyle name="스타일 2128" xfId="2993" xr:uid="{00000000-0005-0000-0000-00004F080000}"/>
    <cellStyle name="스타일 2129" xfId="2994" xr:uid="{00000000-0005-0000-0000-000050080000}"/>
    <cellStyle name="스타일 2130" xfId="2995" xr:uid="{00000000-0005-0000-0000-000051080000}"/>
    <cellStyle name="스타일 2131" xfId="2996" xr:uid="{00000000-0005-0000-0000-000052080000}"/>
    <cellStyle name="스타일 2132" xfId="2997" xr:uid="{00000000-0005-0000-0000-000053080000}"/>
    <cellStyle name="스타일 2133" xfId="2537" xr:uid="{00000000-0005-0000-0000-000054080000}"/>
    <cellStyle name="스타일 2134" xfId="2998" xr:uid="{00000000-0005-0000-0000-000055080000}"/>
    <cellStyle name="스타일 2135" xfId="1675" xr:uid="{00000000-0005-0000-0000-000056080000}"/>
    <cellStyle name="스타일 2136" xfId="1676" xr:uid="{00000000-0005-0000-0000-000057080000}"/>
    <cellStyle name="스타일 2137" xfId="1677" xr:uid="{00000000-0005-0000-0000-000058080000}"/>
    <cellStyle name="스타일 2138" xfId="1694" xr:uid="{00000000-0005-0000-0000-000059080000}"/>
    <cellStyle name="스타일 2139" xfId="1695" xr:uid="{00000000-0005-0000-0000-00005A080000}"/>
    <cellStyle name="스타일 2140" xfId="1696" xr:uid="{00000000-0005-0000-0000-00005B080000}"/>
    <cellStyle name="스타일 2141" xfId="1697" xr:uid="{00000000-0005-0000-0000-00005C080000}"/>
    <cellStyle name="스타일 2142" xfId="1698" xr:uid="{00000000-0005-0000-0000-00005D080000}"/>
    <cellStyle name="스타일 2143" xfId="1699" xr:uid="{00000000-0005-0000-0000-00005E080000}"/>
    <cellStyle name="스타일 2144" xfId="1700" xr:uid="{00000000-0005-0000-0000-00005F080000}"/>
    <cellStyle name="스타일 2145" xfId="1701" xr:uid="{00000000-0005-0000-0000-000060080000}"/>
    <cellStyle name="스타일 2146" xfId="1702" xr:uid="{00000000-0005-0000-0000-000061080000}"/>
    <cellStyle name="스타일 2147" xfId="1703" xr:uid="{00000000-0005-0000-0000-000062080000}"/>
    <cellStyle name="스타일 2148" xfId="1704" xr:uid="{00000000-0005-0000-0000-000063080000}"/>
    <cellStyle name="스타일 2149" xfId="1705" xr:uid="{00000000-0005-0000-0000-000064080000}"/>
    <cellStyle name="스타일 2150" xfId="1706" xr:uid="{00000000-0005-0000-0000-000065080000}"/>
    <cellStyle name="스타일 2151" xfId="1707" xr:uid="{00000000-0005-0000-0000-000066080000}"/>
    <cellStyle name="스타일 2152" xfId="1708" xr:uid="{00000000-0005-0000-0000-000067080000}"/>
    <cellStyle name="스타일 2153" xfId="1709" xr:uid="{00000000-0005-0000-0000-000068080000}"/>
    <cellStyle name="스타일 2154" xfId="1710" xr:uid="{00000000-0005-0000-0000-000069080000}"/>
    <cellStyle name="스타일 2155" xfId="1711" xr:uid="{00000000-0005-0000-0000-00006A080000}"/>
    <cellStyle name="스타일 2156" xfId="1712" xr:uid="{00000000-0005-0000-0000-00006B080000}"/>
    <cellStyle name="스타일 2157" xfId="1713" xr:uid="{00000000-0005-0000-0000-00006C080000}"/>
    <cellStyle name="스타일 2158" xfId="1714" xr:uid="{00000000-0005-0000-0000-00006D080000}"/>
    <cellStyle name="스타일 2159" xfId="1715" xr:uid="{00000000-0005-0000-0000-00006E080000}"/>
    <cellStyle name="스타일 2160" xfId="1716" xr:uid="{00000000-0005-0000-0000-00006F080000}"/>
    <cellStyle name="스타일 2161" xfId="1717" xr:uid="{00000000-0005-0000-0000-000070080000}"/>
    <cellStyle name="스타일 2162" xfId="1718" xr:uid="{00000000-0005-0000-0000-000071080000}"/>
    <cellStyle name="스타일 2163" xfId="1719" xr:uid="{00000000-0005-0000-0000-000072080000}"/>
    <cellStyle name="스타일 2164" xfId="1720" xr:uid="{00000000-0005-0000-0000-000073080000}"/>
    <cellStyle name="스타일 2165" xfId="1721" xr:uid="{00000000-0005-0000-0000-000074080000}"/>
    <cellStyle name="스타일 2166" xfId="1722" xr:uid="{00000000-0005-0000-0000-000075080000}"/>
    <cellStyle name="스타일 2167" xfId="1723" xr:uid="{00000000-0005-0000-0000-000076080000}"/>
    <cellStyle name="스타일 2168" xfId="1724" xr:uid="{00000000-0005-0000-0000-000077080000}"/>
    <cellStyle name="스타일 2169" xfId="1725" xr:uid="{00000000-0005-0000-0000-000078080000}"/>
    <cellStyle name="스타일 2170" xfId="1726" xr:uid="{00000000-0005-0000-0000-000079080000}"/>
    <cellStyle name="스타일 2171" xfId="1727" xr:uid="{00000000-0005-0000-0000-00007A080000}"/>
    <cellStyle name="스타일 2172" xfId="1728" xr:uid="{00000000-0005-0000-0000-00007B080000}"/>
    <cellStyle name="스타일 2173" xfId="1729" xr:uid="{00000000-0005-0000-0000-00007C080000}"/>
    <cellStyle name="스타일 2174" xfId="1730" xr:uid="{00000000-0005-0000-0000-00007D080000}"/>
    <cellStyle name="스타일 2175" xfId="1731" xr:uid="{00000000-0005-0000-0000-00007E080000}"/>
    <cellStyle name="스타일 2176" xfId="1732" xr:uid="{00000000-0005-0000-0000-00007F080000}"/>
    <cellStyle name="스타일 2177" xfId="1733" xr:uid="{00000000-0005-0000-0000-000080080000}"/>
    <cellStyle name="스타일 2178" xfId="1734" xr:uid="{00000000-0005-0000-0000-000081080000}"/>
    <cellStyle name="스타일 2179" xfId="1735" xr:uid="{00000000-0005-0000-0000-000082080000}"/>
    <cellStyle name="스타일 2180" xfId="1736" xr:uid="{00000000-0005-0000-0000-000083080000}"/>
    <cellStyle name="스타일 2181" xfId="1737" xr:uid="{00000000-0005-0000-0000-000084080000}"/>
    <cellStyle name="스타일 2182" xfId="1738" xr:uid="{00000000-0005-0000-0000-000085080000}"/>
    <cellStyle name="스타일 2183" xfId="1739" xr:uid="{00000000-0005-0000-0000-000086080000}"/>
    <cellStyle name="스타일 2184" xfId="1740" xr:uid="{00000000-0005-0000-0000-000087080000}"/>
    <cellStyle name="스타일 2185" xfId="1741" xr:uid="{00000000-0005-0000-0000-000088080000}"/>
    <cellStyle name="스타일 2186" xfId="1678" xr:uid="{00000000-0005-0000-0000-000089080000}"/>
    <cellStyle name="스타일 2187" xfId="1679" xr:uid="{00000000-0005-0000-0000-00008A080000}"/>
    <cellStyle name="스타일 2188" xfId="1680" xr:uid="{00000000-0005-0000-0000-00008B080000}"/>
    <cellStyle name="스타일 2189" xfId="1681" xr:uid="{00000000-0005-0000-0000-00008C080000}"/>
    <cellStyle name="스타일 2190" xfId="1682" xr:uid="{00000000-0005-0000-0000-00008D080000}"/>
    <cellStyle name="스타일 2191" xfId="1683" xr:uid="{00000000-0005-0000-0000-00008E080000}"/>
    <cellStyle name="스타일 2192" xfId="1684" xr:uid="{00000000-0005-0000-0000-00008F080000}"/>
    <cellStyle name="스타일 2193" xfId="1685" xr:uid="{00000000-0005-0000-0000-000090080000}"/>
    <cellStyle name="스타일 2194" xfId="1686" xr:uid="{00000000-0005-0000-0000-000091080000}"/>
    <cellStyle name="스타일 2195" xfId="1687" xr:uid="{00000000-0005-0000-0000-000092080000}"/>
    <cellStyle name="스타일 2196" xfId="1688" xr:uid="{00000000-0005-0000-0000-000093080000}"/>
    <cellStyle name="스타일 2197" xfId="1689" xr:uid="{00000000-0005-0000-0000-000094080000}"/>
    <cellStyle name="스타일 2198" xfId="1690" xr:uid="{00000000-0005-0000-0000-000095080000}"/>
    <cellStyle name="스타일 2199" xfId="1691" xr:uid="{00000000-0005-0000-0000-000096080000}"/>
    <cellStyle name="스타일 2200" xfId="1692" xr:uid="{00000000-0005-0000-0000-000097080000}"/>
    <cellStyle name="스타일 2201" xfId="1693" xr:uid="{00000000-0005-0000-0000-000098080000}"/>
    <cellStyle name="스타일 2202" xfId="1758" xr:uid="{00000000-0005-0000-0000-000099080000}"/>
    <cellStyle name="스타일 2203" xfId="1759" xr:uid="{00000000-0005-0000-0000-00009A080000}"/>
    <cellStyle name="스타일 2204" xfId="1760" xr:uid="{00000000-0005-0000-0000-00009B080000}"/>
    <cellStyle name="스타일 2205" xfId="1761" xr:uid="{00000000-0005-0000-0000-00009C080000}"/>
    <cellStyle name="스타일 2206" xfId="1762" xr:uid="{00000000-0005-0000-0000-00009D080000}"/>
    <cellStyle name="스타일 2207" xfId="1763" xr:uid="{00000000-0005-0000-0000-00009E080000}"/>
    <cellStyle name="스타일 2208" xfId="1764" xr:uid="{00000000-0005-0000-0000-00009F080000}"/>
    <cellStyle name="스타일 2209" xfId="1765" xr:uid="{00000000-0005-0000-0000-0000A0080000}"/>
    <cellStyle name="스타일 2210" xfId="1766" xr:uid="{00000000-0005-0000-0000-0000A1080000}"/>
    <cellStyle name="스타일 2211" xfId="1767" xr:uid="{00000000-0005-0000-0000-0000A2080000}"/>
    <cellStyle name="스타일 2212" xfId="1768" xr:uid="{00000000-0005-0000-0000-0000A3080000}"/>
    <cellStyle name="스타일 2213" xfId="1769" xr:uid="{00000000-0005-0000-0000-0000A4080000}"/>
    <cellStyle name="스타일 2214" xfId="1770" xr:uid="{00000000-0005-0000-0000-0000A5080000}"/>
    <cellStyle name="스타일 2215" xfId="1771" xr:uid="{00000000-0005-0000-0000-0000A6080000}"/>
    <cellStyle name="스타일 2216" xfId="1772" xr:uid="{00000000-0005-0000-0000-0000A7080000}"/>
    <cellStyle name="스타일 2217" xfId="1773" xr:uid="{00000000-0005-0000-0000-0000A8080000}"/>
    <cellStyle name="스타일 2218" xfId="1774" xr:uid="{00000000-0005-0000-0000-0000A9080000}"/>
    <cellStyle name="스타일 2219" xfId="1775" xr:uid="{00000000-0005-0000-0000-0000AA080000}"/>
    <cellStyle name="스타일 2220" xfId="1776" xr:uid="{00000000-0005-0000-0000-0000AB080000}"/>
    <cellStyle name="스타일 2221" xfId="1777" xr:uid="{00000000-0005-0000-0000-0000AC080000}"/>
    <cellStyle name="스타일 2222" xfId="1778" xr:uid="{00000000-0005-0000-0000-0000AD080000}"/>
    <cellStyle name="스타일 2223" xfId="1779" xr:uid="{00000000-0005-0000-0000-0000AE080000}"/>
    <cellStyle name="스타일 2224" xfId="1780" xr:uid="{00000000-0005-0000-0000-0000AF080000}"/>
    <cellStyle name="스타일 2225" xfId="1781" xr:uid="{00000000-0005-0000-0000-0000B0080000}"/>
    <cellStyle name="스타일 2226" xfId="1782" xr:uid="{00000000-0005-0000-0000-0000B1080000}"/>
    <cellStyle name="스타일 2227" xfId="1783" xr:uid="{00000000-0005-0000-0000-0000B2080000}"/>
    <cellStyle name="스타일 2228" xfId="1784" xr:uid="{00000000-0005-0000-0000-0000B3080000}"/>
    <cellStyle name="스타일 2229" xfId="1785" xr:uid="{00000000-0005-0000-0000-0000B4080000}"/>
    <cellStyle name="스타일 2230" xfId="1786" xr:uid="{00000000-0005-0000-0000-0000B5080000}"/>
    <cellStyle name="스타일 2231" xfId="1787" xr:uid="{00000000-0005-0000-0000-0000B6080000}"/>
    <cellStyle name="스타일 2232" xfId="1788" xr:uid="{00000000-0005-0000-0000-0000B7080000}"/>
    <cellStyle name="스타일 2233" xfId="1789" xr:uid="{00000000-0005-0000-0000-0000B8080000}"/>
    <cellStyle name="스타일 2234" xfId="1790" xr:uid="{00000000-0005-0000-0000-0000B9080000}"/>
    <cellStyle name="스타일 2235" xfId="1791" xr:uid="{00000000-0005-0000-0000-0000BA080000}"/>
    <cellStyle name="스타일 2236" xfId="1792" xr:uid="{00000000-0005-0000-0000-0000BB080000}"/>
    <cellStyle name="스타일 2237" xfId="1793" xr:uid="{00000000-0005-0000-0000-0000BC080000}"/>
    <cellStyle name="스타일 2238" xfId="1794" xr:uid="{00000000-0005-0000-0000-0000BD080000}"/>
    <cellStyle name="스타일 2239" xfId="1795" xr:uid="{00000000-0005-0000-0000-0000BE080000}"/>
    <cellStyle name="스타일 2240" xfId="1796" xr:uid="{00000000-0005-0000-0000-0000BF080000}"/>
    <cellStyle name="스타일 2241" xfId="1797" xr:uid="{00000000-0005-0000-0000-0000C0080000}"/>
    <cellStyle name="스타일 2242" xfId="1798" xr:uid="{00000000-0005-0000-0000-0000C1080000}"/>
    <cellStyle name="스타일 2243" xfId="1799" xr:uid="{00000000-0005-0000-0000-0000C2080000}"/>
    <cellStyle name="스타일 2244" xfId="1800" xr:uid="{00000000-0005-0000-0000-0000C3080000}"/>
    <cellStyle name="스타일 2245" xfId="1801" xr:uid="{00000000-0005-0000-0000-0000C4080000}"/>
    <cellStyle name="스타일 2246" xfId="1802" xr:uid="{00000000-0005-0000-0000-0000C5080000}"/>
    <cellStyle name="스타일 2247" xfId="1803" xr:uid="{00000000-0005-0000-0000-0000C6080000}"/>
    <cellStyle name="스타일 2248" xfId="1804" xr:uid="{00000000-0005-0000-0000-0000C7080000}"/>
    <cellStyle name="스타일 2249" xfId="1805" xr:uid="{00000000-0005-0000-0000-0000C8080000}"/>
    <cellStyle name="스타일 2250" xfId="1742" xr:uid="{00000000-0005-0000-0000-0000C9080000}"/>
    <cellStyle name="스타일 2251" xfId="1743" xr:uid="{00000000-0005-0000-0000-0000CA080000}"/>
    <cellStyle name="스타일 2252" xfId="1744" xr:uid="{00000000-0005-0000-0000-0000CB080000}"/>
    <cellStyle name="스타일 2253" xfId="1745" xr:uid="{00000000-0005-0000-0000-0000CC080000}"/>
    <cellStyle name="스타일 2254" xfId="1746" xr:uid="{00000000-0005-0000-0000-0000CD080000}"/>
    <cellStyle name="스타일 2255" xfId="1747" xr:uid="{00000000-0005-0000-0000-0000CE080000}"/>
    <cellStyle name="스타일 2256" xfId="1748" xr:uid="{00000000-0005-0000-0000-0000CF080000}"/>
    <cellStyle name="스타일 2257" xfId="1749" xr:uid="{00000000-0005-0000-0000-0000D0080000}"/>
    <cellStyle name="스타일 2258" xfId="1750" xr:uid="{00000000-0005-0000-0000-0000D1080000}"/>
    <cellStyle name="스타일 2259" xfId="1751" xr:uid="{00000000-0005-0000-0000-0000D2080000}"/>
    <cellStyle name="스타일 2260" xfId="1752" xr:uid="{00000000-0005-0000-0000-0000D3080000}"/>
    <cellStyle name="스타일 2261" xfId="1753" xr:uid="{00000000-0005-0000-0000-0000D4080000}"/>
    <cellStyle name="스타일 2262" xfId="1754" xr:uid="{00000000-0005-0000-0000-0000D5080000}"/>
    <cellStyle name="스타일 2263" xfId="1755" xr:uid="{00000000-0005-0000-0000-0000D6080000}"/>
    <cellStyle name="스타일 2264" xfId="1756" xr:uid="{00000000-0005-0000-0000-0000D7080000}"/>
    <cellStyle name="스타일 2265" xfId="1757" xr:uid="{00000000-0005-0000-0000-0000D8080000}"/>
    <cellStyle name="스타일 2266" xfId="1806" xr:uid="{00000000-0005-0000-0000-0000D9080000}"/>
    <cellStyle name="스타일 2267" xfId="1807" xr:uid="{00000000-0005-0000-0000-0000DA080000}"/>
    <cellStyle name="스타일 2268" xfId="1808" xr:uid="{00000000-0005-0000-0000-0000DB080000}"/>
    <cellStyle name="스타일 2269" xfId="1809" xr:uid="{00000000-0005-0000-0000-0000DC080000}"/>
    <cellStyle name="스타일 2270" xfId="1810" xr:uid="{00000000-0005-0000-0000-0000DD080000}"/>
    <cellStyle name="스타일 2271" xfId="1811" xr:uid="{00000000-0005-0000-0000-0000DE080000}"/>
    <cellStyle name="스타일 2272" xfId="1812" xr:uid="{00000000-0005-0000-0000-0000DF080000}"/>
    <cellStyle name="스타일 2273" xfId="1813" xr:uid="{00000000-0005-0000-0000-0000E0080000}"/>
    <cellStyle name="스타일 2274" xfId="1814" xr:uid="{00000000-0005-0000-0000-0000E1080000}"/>
    <cellStyle name="스타일 2275" xfId="1815" xr:uid="{00000000-0005-0000-0000-0000E2080000}"/>
    <cellStyle name="스타일 2276" xfId="1816" xr:uid="{00000000-0005-0000-0000-0000E3080000}"/>
    <cellStyle name="스타일 2277" xfId="1817" xr:uid="{00000000-0005-0000-0000-0000E4080000}"/>
    <cellStyle name="스타일 2278" xfId="1818" xr:uid="{00000000-0005-0000-0000-0000E5080000}"/>
    <cellStyle name="스타일 2279" xfId="1819" xr:uid="{00000000-0005-0000-0000-0000E6080000}"/>
    <cellStyle name="스타일 2280" xfId="1820" xr:uid="{00000000-0005-0000-0000-0000E7080000}"/>
    <cellStyle name="스타일 2281" xfId="1821" xr:uid="{00000000-0005-0000-0000-0000E8080000}"/>
    <cellStyle name="스타일 2282" xfId="1822" xr:uid="{00000000-0005-0000-0000-0000E9080000}"/>
    <cellStyle name="스타일 2283" xfId="1823" xr:uid="{00000000-0005-0000-0000-0000EA080000}"/>
    <cellStyle name="스타일 2284" xfId="1824" xr:uid="{00000000-0005-0000-0000-0000EB080000}"/>
    <cellStyle name="스타일 2285" xfId="1825" xr:uid="{00000000-0005-0000-0000-0000EC080000}"/>
    <cellStyle name="스타일 2286" xfId="1826" xr:uid="{00000000-0005-0000-0000-0000ED080000}"/>
    <cellStyle name="스타일 2287" xfId="1827" xr:uid="{00000000-0005-0000-0000-0000EE080000}"/>
    <cellStyle name="스타일 2288" xfId="1828" xr:uid="{00000000-0005-0000-0000-0000EF080000}"/>
    <cellStyle name="스타일 2289" xfId="1829" xr:uid="{00000000-0005-0000-0000-0000F0080000}"/>
    <cellStyle name="스타일 2290" xfId="1830" xr:uid="{00000000-0005-0000-0000-0000F1080000}"/>
    <cellStyle name="스타일 2291" xfId="1831" xr:uid="{00000000-0005-0000-0000-0000F2080000}"/>
    <cellStyle name="스타일 2292" xfId="1832" xr:uid="{00000000-0005-0000-0000-0000F3080000}"/>
    <cellStyle name="스타일 2293" xfId="1833" xr:uid="{00000000-0005-0000-0000-0000F4080000}"/>
    <cellStyle name="스타일 2294" xfId="1834" xr:uid="{00000000-0005-0000-0000-0000F5080000}"/>
    <cellStyle name="스타일 2295" xfId="1835" xr:uid="{00000000-0005-0000-0000-0000F6080000}"/>
    <cellStyle name="스타일 2296" xfId="1836" xr:uid="{00000000-0005-0000-0000-0000F7080000}"/>
    <cellStyle name="스타일 2297" xfId="1837" xr:uid="{00000000-0005-0000-0000-0000F8080000}"/>
    <cellStyle name="스타일 2298" xfId="1838" xr:uid="{00000000-0005-0000-0000-0000F9080000}"/>
    <cellStyle name="스타일 2299" xfId="1839" xr:uid="{00000000-0005-0000-0000-0000FA080000}"/>
    <cellStyle name="스타일 2300" xfId="1856" xr:uid="{00000000-0005-0000-0000-0000FB080000}"/>
    <cellStyle name="스타일 2301" xfId="1857" xr:uid="{00000000-0005-0000-0000-0000FC080000}"/>
    <cellStyle name="스타일 2302" xfId="1858" xr:uid="{00000000-0005-0000-0000-0000FD080000}"/>
    <cellStyle name="스타일 2303" xfId="1859" xr:uid="{00000000-0005-0000-0000-0000FE080000}"/>
    <cellStyle name="스타일 2304" xfId="1860" xr:uid="{00000000-0005-0000-0000-0000FF080000}"/>
    <cellStyle name="스타일 2305" xfId="1861" xr:uid="{00000000-0005-0000-0000-000000090000}"/>
    <cellStyle name="스타일 2306" xfId="1862" xr:uid="{00000000-0005-0000-0000-000001090000}"/>
    <cellStyle name="스타일 2307" xfId="1863" xr:uid="{00000000-0005-0000-0000-000002090000}"/>
    <cellStyle name="스타일 2308" xfId="1864" xr:uid="{00000000-0005-0000-0000-000003090000}"/>
    <cellStyle name="스타일 2309" xfId="1865" xr:uid="{00000000-0005-0000-0000-000004090000}"/>
    <cellStyle name="스타일 2310" xfId="1866" xr:uid="{00000000-0005-0000-0000-000005090000}"/>
    <cellStyle name="스타일 2311" xfId="1867" xr:uid="{00000000-0005-0000-0000-000006090000}"/>
    <cellStyle name="스타일 2312" xfId="1868" xr:uid="{00000000-0005-0000-0000-000007090000}"/>
    <cellStyle name="스타일 2313" xfId="1869" xr:uid="{00000000-0005-0000-0000-000008090000}"/>
    <cellStyle name="스타일 2314" xfId="1870" xr:uid="{00000000-0005-0000-0000-000009090000}"/>
    <cellStyle name="스타일 2315" xfId="1871" xr:uid="{00000000-0005-0000-0000-00000A090000}"/>
    <cellStyle name="스타일 2316" xfId="1872" xr:uid="{00000000-0005-0000-0000-00000B090000}"/>
    <cellStyle name="스타일 2317" xfId="1873" xr:uid="{00000000-0005-0000-0000-00000C090000}"/>
    <cellStyle name="스타일 2318" xfId="1874" xr:uid="{00000000-0005-0000-0000-00000D090000}"/>
    <cellStyle name="스타일 2319" xfId="1875" xr:uid="{00000000-0005-0000-0000-00000E090000}"/>
    <cellStyle name="스타일 2320" xfId="1876" xr:uid="{00000000-0005-0000-0000-00000F090000}"/>
    <cellStyle name="스타일 2321" xfId="1877" xr:uid="{00000000-0005-0000-0000-000010090000}"/>
    <cellStyle name="스타일 2322" xfId="1878" xr:uid="{00000000-0005-0000-0000-000011090000}"/>
    <cellStyle name="스타일 2323" xfId="1879" xr:uid="{00000000-0005-0000-0000-000012090000}"/>
    <cellStyle name="스타일 2324" xfId="1880" xr:uid="{00000000-0005-0000-0000-000013090000}"/>
    <cellStyle name="스타일 2325" xfId="1881" xr:uid="{00000000-0005-0000-0000-000014090000}"/>
    <cellStyle name="스타일 2326" xfId="1882" xr:uid="{00000000-0005-0000-0000-000015090000}"/>
    <cellStyle name="스타일 2327" xfId="1883" xr:uid="{00000000-0005-0000-0000-000016090000}"/>
    <cellStyle name="스타일 2328" xfId="1884" xr:uid="{00000000-0005-0000-0000-000017090000}"/>
    <cellStyle name="스타일 2329" xfId="1885" xr:uid="{00000000-0005-0000-0000-000018090000}"/>
    <cellStyle name="스타일 2330" xfId="1886" xr:uid="{00000000-0005-0000-0000-000019090000}"/>
    <cellStyle name="스타일 2331" xfId="1887" xr:uid="{00000000-0005-0000-0000-00001A090000}"/>
    <cellStyle name="스타일 2332" xfId="1888" xr:uid="{00000000-0005-0000-0000-00001B090000}"/>
    <cellStyle name="스타일 2333" xfId="1889" xr:uid="{00000000-0005-0000-0000-00001C090000}"/>
    <cellStyle name="스타일 2334" xfId="1890" xr:uid="{00000000-0005-0000-0000-00001D090000}"/>
    <cellStyle name="스타일 2335" xfId="1891" xr:uid="{00000000-0005-0000-0000-00001E090000}"/>
    <cellStyle name="스타일 2336" xfId="1892" xr:uid="{00000000-0005-0000-0000-00001F090000}"/>
    <cellStyle name="스타일 2337" xfId="1893" xr:uid="{00000000-0005-0000-0000-000020090000}"/>
    <cellStyle name="스타일 2338" xfId="1894" xr:uid="{00000000-0005-0000-0000-000021090000}"/>
    <cellStyle name="스타일 2339" xfId="1895" xr:uid="{00000000-0005-0000-0000-000022090000}"/>
    <cellStyle name="스타일 2340" xfId="1896" xr:uid="{00000000-0005-0000-0000-000023090000}"/>
    <cellStyle name="스타일 2341" xfId="1897" xr:uid="{00000000-0005-0000-0000-000024090000}"/>
    <cellStyle name="스타일 2342" xfId="1898" xr:uid="{00000000-0005-0000-0000-000025090000}"/>
    <cellStyle name="스타일 2343" xfId="1899" xr:uid="{00000000-0005-0000-0000-000026090000}"/>
    <cellStyle name="스타일 2344" xfId="1900" xr:uid="{00000000-0005-0000-0000-000027090000}"/>
    <cellStyle name="스타일 2345" xfId="1901" xr:uid="{00000000-0005-0000-0000-000028090000}"/>
    <cellStyle name="스타일 2346" xfId="1902" xr:uid="{00000000-0005-0000-0000-000029090000}"/>
    <cellStyle name="스타일 2347" xfId="1903" xr:uid="{00000000-0005-0000-0000-00002A090000}"/>
    <cellStyle name="스타일 2348" xfId="1840" xr:uid="{00000000-0005-0000-0000-00002B090000}"/>
    <cellStyle name="스타일 2349" xfId="1841" xr:uid="{00000000-0005-0000-0000-00002C090000}"/>
    <cellStyle name="스타일 2350" xfId="1842" xr:uid="{00000000-0005-0000-0000-00002D090000}"/>
    <cellStyle name="스타일 2351" xfId="1843" xr:uid="{00000000-0005-0000-0000-00002E090000}"/>
    <cellStyle name="스타일 2352" xfId="1844" xr:uid="{00000000-0005-0000-0000-00002F090000}"/>
    <cellStyle name="스타일 2353" xfId="1845" xr:uid="{00000000-0005-0000-0000-000030090000}"/>
    <cellStyle name="스타일 2354" xfId="1846" xr:uid="{00000000-0005-0000-0000-000031090000}"/>
    <cellStyle name="스타일 2355" xfId="1847" xr:uid="{00000000-0005-0000-0000-000032090000}"/>
    <cellStyle name="스타일 2356" xfId="1848" xr:uid="{00000000-0005-0000-0000-000033090000}"/>
    <cellStyle name="스타일 2357" xfId="1849" xr:uid="{00000000-0005-0000-0000-000034090000}"/>
    <cellStyle name="스타일 2358" xfId="1850" xr:uid="{00000000-0005-0000-0000-000035090000}"/>
    <cellStyle name="스타일 2359" xfId="1851" xr:uid="{00000000-0005-0000-0000-000036090000}"/>
    <cellStyle name="스타일 2360" xfId="1852" xr:uid="{00000000-0005-0000-0000-000037090000}"/>
    <cellStyle name="스타일 2361" xfId="1853" xr:uid="{00000000-0005-0000-0000-000038090000}"/>
    <cellStyle name="스타일 2362" xfId="1854" xr:uid="{00000000-0005-0000-0000-000039090000}"/>
    <cellStyle name="스타일 2363" xfId="1855" xr:uid="{00000000-0005-0000-0000-00003A090000}"/>
    <cellStyle name="스타일 2364" xfId="1920" xr:uid="{00000000-0005-0000-0000-00003B090000}"/>
    <cellStyle name="스타일 2365" xfId="1921" xr:uid="{00000000-0005-0000-0000-00003C090000}"/>
    <cellStyle name="스타일 2366" xfId="1922" xr:uid="{00000000-0005-0000-0000-00003D090000}"/>
    <cellStyle name="스타일 2367" xfId="1923" xr:uid="{00000000-0005-0000-0000-00003E090000}"/>
    <cellStyle name="스타일 2368" xfId="1924" xr:uid="{00000000-0005-0000-0000-00003F090000}"/>
    <cellStyle name="스타일 2369" xfId="1925" xr:uid="{00000000-0005-0000-0000-000040090000}"/>
    <cellStyle name="스타일 2370" xfId="1926" xr:uid="{00000000-0005-0000-0000-000041090000}"/>
    <cellStyle name="스타일 2371" xfId="1927" xr:uid="{00000000-0005-0000-0000-000042090000}"/>
    <cellStyle name="스타일 2372" xfId="1928" xr:uid="{00000000-0005-0000-0000-000043090000}"/>
    <cellStyle name="스타일 2373" xfId="1929" xr:uid="{00000000-0005-0000-0000-000044090000}"/>
    <cellStyle name="스타일 2374" xfId="1930" xr:uid="{00000000-0005-0000-0000-000045090000}"/>
    <cellStyle name="스타일 2375" xfId="1931" xr:uid="{00000000-0005-0000-0000-000046090000}"/>
    <cellStyle name="스타일 2376" xfId="1932" xr:uid="{00000000-0005-0000-0000-000047090000}"/>
    <cellStyle name="스타일 2377" xfId="1933" xr:uid="{00000000-0005-0000-0000-000048090000}"/>
    <cellStyle name="스타일 2378" xfId="1934" xr:uid="{00000000-0005-0000-0000-000049090000}"/>
    <cellStyle name="스타일 2379" xfId="1935" xr:uid="{00000000-0005-0000-0000-00004A090000}"/>
    <cellStyle name="스타일 2380" xfId="1936" xr:uid="{00000000-0005-0000-0000-00004B090000}"/>
    <cellStyle name="스타일 2381" xfId="1937" xr:uid="{00000000-0005-0000-0000-00004C090000}"/>
    <cellStyle name="스타일 2382" xfId="1938" xr:uid="{00000000-0005-0000-0000-00004D090000}"/>
    <cellStyle name="스타일 2383" xfId="1939" xr:uid="{00000000-0005-0000-0000-00004E090000}"/>
    <cellStyle name="스타일 2384" xfId="1940" xr:uid="{00000000-0005-0000-0000-00004F090000}"/>
    <cellStyle name="스타일 2385" xfId="1941" xr:uid="{00000000-0005-0000-0000-000050090000}"/>
    <cellStyle name="스타일 2386" xfId="1942" xr:uid="{00000000-0005-0000-0000-000051090000}"/>
    <cellStyle name="스타일 2387" xfId="1943" xr:uid="{00000000-0005-0000-0000-000052090000}"/>
    <cellStyle name="스타일 2388" xfId="1944" xr:uid="{00000000-0005-0000-0000-000053090000}"/>
    <cellStyle name="스타일 2389" xfId="1945" xr:uid="{00000000-0005-0000-0000-000054090000}"/>
    <cellStyle name="스타일 2390" xfId="1946" xr:uid="{00000000-0005-0000-0000-000055090000}"/>
    <cellStyle name="스타일 2391" xfId="1947" xr:uid="{00000000-0005-0000-0000-000056090000}"/>
    <cellStyle name="스타일 2392" xfId="1948" xr:uid="{00000000-0005-0000-0000-000057090000}"/>
    <cellStyle name="스타일 2393" xfId="1949" xr:uid="{00000000-0005-0000-0000-000058090000}"/>
    <cellStyle name="스타일 2394" xfId="1950" xr:uid="{00000000-0005-0000-0000-000059090000}"/>
    <cellStyle name="스타일 2395" xfId="1951" xr:uid="{00000000-0005-0000-0000-00005A090000}"/>
    <cellStyle name="스타일 2396" xfId="1952" xr:uid="{00000000-0005-0000-0000-00005B090000}"/>
    <cellStyle name="스타일 2397" xfId="1953" xr:uid="{00000000-0005-0000-0000-00005C090000}"/>
    <cellStyle name="스타일 2398" xfId="1954" xr:uid="{00000000-0005-0000-0000-00005D090000}"/>
    <cellStyle name="스타일 2399" xfId="1955" xr:uid="{00000000-0005-0000-0000-00005E090000}"/>
    <cellStyle name="스타일 2400" xfId="1956" xr:uid="{00000000-0005-0000-0000-00005F090000}"/>
    <cellStyle name="스타일 2401" xfId="1957" xr:uid="{00000000-0005-0000-0000-000060090000}"/>
    <cellStyle name="스타일 2402" xfId="1958" xr:uid="{00000000-0005-0000-0000-000061090000}"/>
    <cellStyle name="스타일 2403" xfId="1959" xr:uid="{00000000-0005-0000-0000-000062090000}"/>
    <cellStyle name="스타일 2404" xfId="1960" xr:uid="{00000000-0005-0000-0000-000063090000}"/>
    <cellStyle name="스타일 2405" xfId="1961" xr:uid="{00000000-0005-0000-0000-000064090000}"/>
    <cellStyle name="스타일 2406" xfId="1962" xr:uid="{00000000-0005-0000-0000-000065090000}"/>
    <cellStyle name="스타일 2407" xfId="1963" xr:uid="{00000000-0005-0000-0000-000066090000}"/>
    <cellStyle name="스타일 2408" xfId="1964" xr:uid="{00000000-0005-0000-0000-000067090000}"/>
    <cellStyle name="스타일 2409" xfId="1965" xr:uid="{00000000-0005-0000-0000-000068090000}"/>
    <cellStyle name="스타일 2410" xfId="1966" xr:uid="{00000000-0005-0000-0000-000069090000}"/>
    <cellStyle name="스타일 2411" xfId="1967" xr:uid="{00000000-0005-0000-0000-00006A090000}"/>
    <cellStyle name="스타일 2412" xfId="1904" xr:uid="{00000000-0005-0000-0000-00006B090000}"/>
    <cellStyle name="스타일 2413" xfId="1905" xr:uid="{00000000-0005-0000-0000-00006C090000}"/>
    <cellStyle name="스타일 2414" xfId="1906" xr:uid="{00000000-0005-0000-0000-00006D090000}"/>
    <cellStyle name="스타일 2415" xfId="1907" xr:uid="{00000000-0005-0000-0000-00006E090000}"/>
    <cellStyle name="스타일 2416" xfId="1908" xr:uid="{00000000-0005-0000-0000-00006F090000}"/>
    <cellStyle name="스타일 2417" xfId="1909" xr:uid="{00000000-0005-0000-0000-000070090000}"/>
    <cellStyle name="스타일 2418" xfId="1910" xr:uid="{00000000-0005-0000-0000-000071090000}"/>
    <cellStyle name="스타일 2419" xfId="1911" xr:uid="{00000000-0005-0000-0000-000072090000}"/>
    <cellStyle name="스타일 2420" xfId="1912" xr:uid="{00000000-0005-0000-0000-000073090000}"/>
    <cellStyle name="스타일 2421" xfId="1913" xr:uid="{00000000-0005-0000-0000-000074090000}"/>
    <cellStyle name="스타일 2422" xfId="1914" xr:uid="{00000000-0005-0000-0000-000075090000}"/>
    <cellStyle name="스타일 2423" xfId="1915" xr:uid="{00000000-0005-0000-0000-000076090000}"/>
    <cellStyle name="스타일 2424" xfId="1916" xr:uid="{00000000-0005-0000-0000-000077090000}"/>
    <cellStyle name="스타일 2425" xfId="1917" xr:uid="{00000000-0005-0000-0000-000078090000}"/>
    <cellStyle name="스타일 2426" xfId="1918" xr:uid="{00000000-0005-0000-0000-000079090000}"/>
    <cellStyle name="스타일 2427" xfId="1919" xr:uid="{00000000-0005-0000-0000-00007A090000}"/>
    <cellStyle name="스타일 2428" xfId="1968" xr:uid="{00000000-0005-0000-0000-00007B090000}"/>
    <cellStyle name="스타일 2429" xfId="1969" xr:uid="{00000000-0005-0000-0000-00007C090000}"/>
    <cellStyle name="스타일 2430" xfId="1970" xr:uid="{00000000-0005-0000-0000-00007D090000}"/>
    <cellStyle name="스타일 2431" xfId="1971" xr:uid="{00000000-0005-0000-0000-00007E090000}"/>
    <cellStyle name="스타일 2432" xfId="1972" xr:uid="{00000000-0005-0000-0000-00007F090000}"/>
    <cellStyle name="스타일 2433" xfId="1973" xr:uid="{00000000-0005-0000-0000-000080090000}"/>
    <cellStyle name="스타일 2434" xfId="1974" xr:uid="{00000000-0005-0000-0000-000081090000}"/>
    <cellStyle name="스타일 2435" xfId="1975" xr:uid="{00000000-0005-0000-0000-000082090000}"/>
    <cellStyle name="스타일 2436" xfId="1976" xr:uid="{00000000-0005-0000-0000-000083090000}"/>
    <cellStyle name="스타일 2437" xfId="1977" xr:uid="{00000000-0005-0000-0000-000084090000}"/>
    <cellStyle name="스타일 2438" xfId="1978" xr:uid="{00000000-0005-0000-0000-000085090000}"/>
    <cellStyle name="스타일 2439" xfId="1979" xr:uid="{00000000-0005-0000-0000-000086090000}"/>
    <cellStyle name="스타일 2440" xfId="1980" xr:uid="{00000000-0005-0000-0000-000087090000}"/>
    <cellStyle name="스타일 2441" xfId="1981" xr:uid="{00000000-0005-0000-0000-000088090000}"/>
    <cellStyle name="스타일 2442" xfId="1982" xr:uid="{00000000-0005-0000-0000-000089090000}"/>
    <cellStyle name="스타일 2443" xfId="1983" xr:uid="{00000000-0005-0000-0000-00008A090000}"/>
    <cellStyle name="스타일 2444" xfId="1984" xr:uid="{00000000-0005-0000-0000-00008B090000}"/>
    <cellStyle name="스타일 2445" xfId="1985" xr:uid="{00000000-0005-0000-0000-00008C090000}"/>
    <cellStyle name="스타일 2446" xfId="1986" xr:uid="{00000000-0005-0000-0000-00008D090000}"/>
    <cellStyle name="스타일 2447" xfId="1987" xr:uid="{00000000-0005-0000-0000-00008E090000}"/>
    <cellStyle name="스타일 2448" xfId="1988" xr:uid="{00000000-0005-0000-0000-00008F090000}"/>
    <cellStyle name="스타일 2449" xfId="1989" xr:uid="{00000000-0005-0000-0000-000090090000}"/>
    <cellStyle name="스타일 2450" xfId="1990" xr:uid="{00000000-0005-0000-0000-000091090000}"/>
    <cellStyle name="스타일 2451" xfId="1991" xr:uid="{00000000-0005-0000-0000-000092090000}"/>
    <cellStyle name="스타일 2452" xfId="1992" xr:uid="{00000000-0005-0000-0000-000093090000}"/>
    <cellStyle name="스타일 2453" xfId="1993" xr:uid="{00000000-0005-0000-0000-000094090000}"/>
    <cellStyle name="스타일 2454" xfId="1994" xr:uid="{00000000-0005-0000-0000-000095090000}"/>
    <cellStyle name="스타일 2455" xfId="1995" xr:uid="{00000000-0005-0000-0000-000096090000}"/>
    <cellStyle name="스타일 2456" xfId="1996" xr:uid="{00000000-0005-0000-0000-000097090000}"/>
    <cellStyle name="스타일 2457" xfId="1997" xr:uid="{00000000-0005-0000-0000-000098090000}"/>
    <cellStyle name="스타일 2458" xfId="1998" xr:uid="{00000000-0005-0000-0000-000099090000}"/>
    <cellStyle name="스타일 2459" xfId="1999" xr:uid="{00000000-0005-0000-0000-00009A090000}"/>
    <cellStyle name="스타일 2460" xfId="2000" xr:uid="{00000000-0005-0000-0000-00009B090000}"/>
    <cellStyle name="스타일 2461" xfId="2001" xr:uid="{00000000-0005-0000-0000-00009C090000}"/>
    <cellStyle name="스타일 2462" xfId="2002" xr:uid="{00000000-0005-0000-0000-00009D090000}"/>
    <cellStyle name="스타일 2463" xfId="2003" xr:uid="{00000000-0005-0000-0000-00009E090000}"/>
    <cellStyle name="스타일 2464" xfId="2004" xr:uid="{00000000-0005-0000-0000-00009F090000}"/>
    <cellStyle name="스타일 2465" xfId="2005" xr:uid="{00000000-0005-0000-0000-0000A0090000}"/>
    <cellStyle name="스타일 2466" xfId="2006" xr:uid="{00000000-0005-0000-0000-0000A1090000}"/>
    <cellStyle name="스타일 2467" xfId="2007" xr:uid="{00000000-0005-0000-0000-0000A2090000}"/>
    <cellStyle name="스타일 2468" xfId="2008" xr:uid="{00000000-0005-0000-0000-0000A3090000}"/>
    <cellStyle name="스타일 2469" xfId="2010" xr:uid="{00000000-0005-0000-0000-0000A4090000}"/>
    <cellStyle name="스타일 2470" xfId="2009" xr:uid="{00000000-0005-0000-0000-0000A5090000}"/>
    <cellStyle name="쉼표 [0]" xfId="1" builtinId="6"/>
    <cellStyle name="스타일 2471" xfId="2011" xr:uid="{00000000-0005-0000-0000-0000A7090000}"/>
    <cellStyle name="스타일 2472" xfId="3005" xr:uid="{00000000-0005-0000-0000-0000A8090000}"/>
    <cellStyle name="스타일 2473" xfId="3011" xr:uid="{29D6C304-B165-4209-9371-15ABAF1E9FA2}"/>
    <cellStyle name="스타일 2474" xfId="2012" xr:uid="{00000000-0005-0000-0000-0000A9090000}"/>
    <cellStyle name="스타일 2475" xfId="2013" xr:uid="{00000000-0005-0000-0000-0000AA090000}"/>
    <cellStyle name="스타일 2476" xfId="2014" xr:uid="{00000000-0005-0000-0000-0000AB090000}"/>
    <cellStyle name="스타일 2477" xfId="2015" xr:uid="{00000000-0005-0000-0000-0000AC090000}"/>
    <cellStyle name="스타일 2478" xfId="2999" xr:uid="{00000000-0005-0000-0000-0000AD090000}"/>
    <cellStyle name="스타일 2479" xfId="2016" xr:uid="{00000000-0005-0000-0000-0000AE090000}"/>
    <cellStyle name="스타일 2480" xfId="2017" xr:uid="{00000000-0005-0000-0000-0000AF090000}"/>
    <cellStyle name="스타일 2481" xfId="2018" xr:uid="{00000000-0005-0000-0000-0000B0090000}"/>
    <cellStyle name="스타일 2482" xfId="2019" xr:uid="{00000000-0005-0000-0000-0000B1090000}"/>
    <cellStyle name="스타일 2483" xfId="2020" xr:uid="{00000000-0005-0000-0000-0000B2090000}"/>
    <cellStyle name="스타일 2484" xfId="2021" xr:uid="{00000000-0005-0000-0000-0000B3090000}"/>
    <cellStyle name="스타일 2485" xfId="2022" xr:uid="{00000000-0005-0000-0000-0000B4090000}"/>
    <cellStyle name="스타일 2486" xfId="2023" xr:uid="{00000000-0005-0000-0000-0000B5090000}"/>
    <cellStyle name="스타일 2487" xfId="2024" xr:uid="{00000000-0005-0000-0000-0000B6090000}"/>
    <cellStyle name="스타일 2488" xfId="2025" xr:uid="{00000000-0005-0000-0000-0000B7090000}"/>
    <cellStyle name="스타일 2489" xfId="2026" xr:uid="{00000000-0005-0000-0000-0000B8090000}"/>
    <cellStyle name="스타일 2490" xfId="2027" xr:uid="{00000000-0005-0000-0000-0000B9090000}"/>
    <cellStyle name="스타일 2491" xfId="2028" xr:uid="{00000000-0005-0000-0000-0000BA090000}"/>
    <cellStyle name="스타일 2492" xfId="2029" xr:uid="{00000000-0005-0000-0000-0000BB090000}"/>
    <cellStyle name="스타일 2493" xfId="2030" xr:uid="{00000000-0005-0000-0000-0000BC090000}"/>
    <cellStyle name="스타일 2494" xfId="2031" xr:uid="{00000000-0005-0000-0000-0000BD090000}"/>
    <cellStyle name="스타일 2495" xfId="2032" xr:uid="{00000000-0005-0000-0000-0000BE090000}"/>
    <cellStyle name="스타일 2496" xfId="2033" xr:uid="{00000000-0005-0000-0000-0000BF090000}"/>
    <cellStyle name="스타일 2497" xfId="2034" xr:uid="{00000000-0005-0000-0000-0000C0090000}"/>
    <cellStyle name="스타일 2498" xfId="2035" xr:uid="{00000000-0005-0000-0000-0000C1090000}"/>
    <cellStyle name="스타일 2499" xfId="2036" xr:uid="{00000000-0005-0000-0000-0000C2090000}"/>
    <cellStyle name="스타일 2500" xfId="2037" xr:uid="{00000000-0005-0000-0000-0000C3090000}"/>
    <cellStyle name="스타일 2501" xfId="2038" xr:uid="{00000000-0005-0000-0000-0000C4090000}"/>
    <cellStyle name="스타일 2502" xfId="2039" xr:uid="{00000000-0005-0000-0000-0000C5090000}"/>
    <cellStyle name="스타일 2503" xfId="2040" xr:uid="{00000000-0005-0000-0000-0000C6090000}"/>
    <cellStyle name="스타일 2504" xfId="2041" xr:uid="{00000000-0005-0000-0000-0000C7090000}"/>
    <cellStyle name="스타일 2505" xfId="2042" xr:uid="{00000000-0005-0000-0000-0000C8090000}"/>
    <cellStyle name="스타일 2506" xfId="2043" xr:uid="{00000000-0005-0000-0000-0000C9090000}"/>
    <cellStyle name="스타일 2507" xfId="2044" xr:uid="{00000000-0005-0000-0000-0000CA090000}"/>
    <cellStyle name="스타일 2508" xfId="2045" xr:uid="{00000000-0005-0000-0000-0000CB090000}"/>
    <cellStyle name="스타일 2509" xfId="2046" xr:uid="{00000000-0005-0000-0000-0000CC090000}"/>
    <cellStyle name="스타일 2510" xfId="2047" xr:uid="{00000000-0005-0000-0000-0000CD090000}"/>
    <cellStyle name="스타일 2511" xfId="2048" xr:uid="{00000000-0005-0000-0000-0000CE090000}"/>
    <cellStyle name="스타일 2512" xfId="2049" xr:uid="{00000000-0005-0000-0000-0000CF090000}"/>
    <cellStyle name="스타일 2513" xfId="2050" xr:uid="{00000000-0005-0000-0000-0000D0090000}"/>
    <cellStyle name="스타일 2514" xfId="2051" xr:uid="{00000000-0005-0000-0000-0000D1090000}"/>
    <cellStyle name="스타일 2515" xfId="2052" xr:uid="{00000000-0005-0000-0000-0000D2090000}"/>
    <cellStyle name="스타일 2516" xfId="2053" xr:uid="{00000000-0005-0000-0000-0000D3090000}"/>
    <cellStyle name="스타일 2517" xfId="2054" xr:uid="{00000000-0005-0000-0000-0000D4090000}"/>
    <cellStyle name="스타일 2518" xfId="2055" xr:uid="{00000000-0005-0000-0000-0000D5090000}"/>
    <cellStyle name="스타일 2519" xfId="2056" xr:uid="{00000000-0005-0000-0000-0000D6090000}"/>
    <cellStyle name="스타일 2520" xfId="2057" xr:uid="{00000000-0005-0000-0000-0000D7090000}"/>
    <cellStyle name="스타일 2521" xfId="2058" xr:uid="{00000000-0005-0000-0000-0000D8090000}"/>
    <cellStyle name="스타일 2522" xfId="2059" xr:uid="{00000000-0005-0000-0000-0000D9090000}"/>
    <cellStyle name="스타일 2523" xfId="2060" xr:uid="{00000000-0005-0000-0000-0000DA090000}"/>
    <cellStyle name="스타일 2524" xfId="2061" xr:uid="{00000000-0005-0000-0000-0000DB090000}"/>
    <cellStyle name="스타일 2525" xfId="2062" xr:uid="{00000000-0005-0000-0000-0000DC090000}"/>
    <cellStyle name="스타일 2526" xfId="2063" xr:uid="{00000000-0005-0000-0000-0000DD090000}"/>
    <cellStyle name="스타일 2527" xfId="2064" xr:uid="{00000000-0005-0000-0000-0000DE090000}"/>
    <cellStyle name="스타일 2528" xfId="2065" xr:uid="{00000000-0005-0000-0000-0000DF090000}"/>
    <cellStyle name="스타일 2529" xfId="2066" xr:uid="{00000000-0005-0000-0000-0000E0090000}"/>
    <cellStyle name="스타일 2530" xfId="2067" xr:uid="{00000000-0005-0000-0000-0000E1090000}"/>
    <cellStyle name="스타일 2531" xfId="2068" xr:uid="{00000000-0005-0000-0000-0000E2090000}"/>
    <cellStyle name="스타일 2532" xfId="2069" xr:uid="{00000000-0005-0000-0000-0000E3090000}"/>
    <cellStyle name="스타일 2533" xfId="2070" xr:uid="{00000000-0005-0000-0000-0000E4090000}"/>
    <cellStyle name="스타일 2534" xfId="2071" xr:uid="{00000000-0005-0000-0000-0000E5090000}"/>
    <cellStyle name="스타일 2535" xfId="2072" xr:uid="{00000000-0005-0000-0000-0000E6090000}"/>
    <cellStyle name="스타일 2536" xfId="2073" xr:uid="{00000000-0005-0000-0000-0000E7090000}"/>
    <cellStyle name="스타일 2537" xfId="2074" xr:uid="{00000000-0005-0000-0000-0000E8090000}"/>
    <cellStyle name="스타일 2538" xfId="2075" xr:uid="{00000000-0005-0000-0000-0000E9090000}"/>
    <cellStyle name="스타일 2539" xfId="2076" xr:uid="{00000000-0005-0000-0000-0000EA090000}"/>
    <cellStyle name="스타일 2540" xfId="2077" xr:uid="{00000000-0005-0000-0000-0000EB090000}"/>
    <cellStyle name="스타일 2541" xfId="2078" xr:uid="{00000000-0005-0000-0000-0000EC090000}"/>
    <cellStyle name="스타일 2542" xfId="2079" xr:uid="{00000000-0005-0000-0000-0000ED090000}"/>
    <cellStyle name="스타일 2543" xfId="2080" xr:uid="{00000000-0005-0000-0000-0000EE090000}"/>
    <cellStyle name="스타일 2544" xfId="2081" xr:uid="{00000000-0005-0000-0000-0000EF090000}"/>
    <cellStyle name="스타일 2545" xfId="2082" xr:uid="{00000000-0005-0000-0000-0000F0090000}"/>
    <cellStyle name="스타일 2546" xfId="2083" xr:uid="{00000000-0005-0000-0000-0000F1090000}"/>
    <cellStyle name="스타일 2547" xfId="2084" xr:uid="{00000000-0005-0000-0000-0000F2090000}"/>
    <cellStyle name="스타일 2548" xfId="2085" xr:uid="{00000000-0005-0000-0000-0000F3090000}"/>
    <cellStyle name="스타일 2549" xfId="2086" xr:uid="{00000000-0005-0000-0000-0000F4090000}"/>
    <cellStyle name="스타일 2550" xfId="2087" xr:uid="{00000000-0005-0000-0000-0000F5090000}"/>
    <cellStyle name="스타일 2551" xfId="2088" xr:uid="{00000000-0005-0000-0000-0000F6090000}"/>
    <cellStyle name="스타일 2552" xfId="2089" xr:uid="{00000000-0005-0000-0000-0000F7090000}"/>
    <cellStyle name="스타일 2553" xfId="2090" xr:uid="{00000000-0005-0000-0000-0000F8090000}"/>
    <cellStyle name="스타일 2554" xfId="2091" xr:uid="{00000000-0005-0000-0000-0000F9090000}"/>
    <cellStyle name="스타일 2555" xfId="2092" xr:uid="{00000000-0005-0000-0000-0000FA090000}"/>
    <cellStyle name="스타일 2556" xfId="2093" xr:uid="{00000000-0005-0000-0000-0000FB090000}"/>
    <cellStyle name="스타일 2557" xfId="2094" xr:uid="{00000000-0005-0000-0000-0000FC090000}"/>
    <cellStyle name="스타일 2558" xfId="2095" xr:uid="{00000000-0005-0000-0000-0000FD090000}"/>
    <cellStyle name="스타일 2559" xfId="2096" xr:uid="{00000000-0005-0000-0000-0000FE090000}"/>
    <cellStyle name="스타일 2560" xfId="2097" xr:uid="{00000000-0005-0000-0000-0000FF090000}"/>
    <cellStyle name="스타일 2561" xfId="2098" xr:uid="{00000000-0005-0000-0000-0000000A0000}"/>
    <cellStyle name="스타일 2562" xfId="2099" xr:uid="{00000000-0005-0000-0000-0000010A0000}"/>
    <cellStyle name="스타일 2563" xfId="2100" xr:uid="{00000000-0005-0000-0000-0000020A0000}"/>
    <cellStyle name="스타일 2564" xfId="2101" xr:uid="{00000000-0005-0000-0000-0000030A0000}"/>
    <cellStyle name="스타일 2565" xfId="2102" xr:uid="{00000000-0005-0000-0000-0000040A0000}"/>
    <cellStyle name="스타일 2566" xfId="2103" xr:uid="{00000000-0005-0000-0000-0000050A0000}"/>
    <cellStyle name="스타일 2567" xfId="2104" xr:uid="{00000000-0005-0000-0000-0000060A0000}"/>
    <cellStyle name="스타일 2568" xfId="2105" xr:uid="{00000000-0005-0000-0000-0000070A0000}"/>
    <cellStyle name="스타일 2569" xfId="2106" xr:uid="{00000000-0005-0000-0000-0000080A0000}"/>
    <cellStyle name="스타일 2570" xfId="2107" xr:uid="{00000000-0005-0000-0000-0000090A0000}"/>
    <cellStyle name="스타일 2571" xfId="2108" xr:uid="{00000000-0005-0000-0000-00000A0A0000}"/>
    <cellStyle name="스타일 2572" xfId="2109" xr:uid="{00000000-0005-0000-0000-00000B0A0000}"/>
    <cellStyle name="스타일 2573" xfId="2110" xr:uid="{00000000-0005-0000-0000-00000C0A0000}"/>
    <cellStyle name="스타일 2574" xfId="2111" xr:uid="{00000000-0005-0000-0000-00000D0A0000}"/>
    <cellStyle name="스타일 2575" xfId="2112" xr:uid="{00000000-0005-0000-0000-00000E0A0000}"/>
    <cellStyle name="스타일 2576" xfId="2113" xr:uid="{00000000-0005-0000-0000-00000F0A0000}"/>
    <cellStyle name="스타일 2577" xfId="2114" xr:uid="{00000000-0005-0000-0000-0000100A0000}"/>
    <cellStyle name="스타일 2578" xfId="2115" xr:uid="{00000000-0005-0000-0000-0000110A0000}"/>
    <cellStyle name="스타일 2579" xfId="2116" xr:uid="{00000000-0005-0000-0000-0000120A0000}"/>
    <cellStyle name="스타일 2580" xfId="2117" xr:uid="{00000000-0005-0000-0000-0000130A0000}"/>
    <cellStyle name="스타일 2581" xfId="2118" xr:uid="{00000000-0005-0000-0000-0000140A0000}"/>
    <cellStyle name="스타일 2582" xfId="2119" xr:uid="{00000000-0005-0000-0000-0000150A0000}"/>
    <cellStyle name="스타일 2583" xfId="2120" xr:uid="{00000000-0005-0000-0000-0000160A0000}"/>
    <cellStyle name="스타일 2584" xfId="2121" xr:uid="{00000000-0005-0000-0000-0000170A0000}"/>
    <cellStyle name="스타일 2585" xfId="2122" xr:uid="{00000000-0005-0000-0000-0000180A0000}"/>
    <cellStyle name="스타일 2586" xfId="2123" xr:uid="{00000000-0005-0000-0000-0000190A0000}"/>
    <cellStyle name="스타일 2587" xfId="2124" xr:uid="{00000000-0005-0000-0000-00001A0A0000}"/>
    <cellStyle name="스타일 2588" xfId="2125" xr:uid="{00000000-0005-0000-0000-00001B0A0000}"/>
    <cellStyle name="스타일 2589" xfId="2126" xr:uid="{00000000-0005-0000-0000-00001C0A0000}"/>
    <cellStyle name="스타일 2590" xfId="2127" xr:uid="{00000000-0005-0000-0000-00001D0A0000}"/>
    <cellStyle name="스타일 2591" xfId="2128" xr:uid="{00000000-0005-0000-0000-00001E0A0000}"/>
    <cellStyle name="스타일 2592" xfId="2129" xr:uid="{00000000-0005-0000-0000-00001F0A0000}"/>
    <cellStyle name="스타일 2593" xfId="2130" xr:uid="{00000000-0005-0000-0000-0000200A0000}"/>
    <cellStyle name="스타일 2594" xfId="2131" xr:uid="{00000000-0005-0000-0000-0000210A0000}"/>
    <cellStyle name="스타일 2595" xfId="2132" xr:uid="{00000000-0005-0000-0000-0000220A0000}"/>
    <cellStyle name="스타일 2596" xfId="2133" xr:uid="{00000000-0005-0000-0000-0000230A0000}"/>
    <cellStyle name="스타일 2597" xfId="2134" xr:uid="{00000000-0005-0000-0000-0000240A0000}"/>
    <cellStyle name="스타일 2598" xfId="2135" xr:uid="{00000000-0005-0000-0000-0000250A0000}"/>
    <cellStyle name="스타일 2599" xfId="2136" xr:uid="{00000000-0005-0000-0000-0000260A0000}"/>
    <cellStyle name="스타일 2600" xfId="2137" xr:uid="{00000000-0005-0000-0000-0000270A0000}"/>
    <cellStyle name="스타일 2601" xfId="2138" xr:uid="{00000000-0005-0000-0000-0000280A0000}"/>
    <cellStyle name="스타일 2602" xfId="2139" xr:uid="{00000000-0005-0000-0000-0000290A0000}"/>
    <cellStyle name="스타일 2603" xfId="2140" xr:uid="{00000000-0005-0000-0000-00002A0A0000}"/>
    <cellStyle name="스타일 2604" xfId="2141" xr:uid="{00000000-0005-0000-0000-00002B0A0000}"/>
    <cellStyle name="스타일 2605" xfId="2142" xr:uid="{00000000-0005-0000-0000-00002C0A0000}"/>
    <cellStyle name="스타일 2606" xfId="2143" xr:uid="{00000000-0005-0000-0000-00002D0A0000}"/>
    <cellStyle name="스타일 2607" xfId="2144" xr:uid="{00000000-0005-0000-0000-00002E0A0000}"/>
    <cellStyle name="스타일 2608" xfId="2145" xr:uid="{00000000-0005-0000-0000-00002F0A0000}"/>
    <cellStyle name="스타일 2609" xfId="2146" xr:uid="{00000000-0005-0000-0000-0000300A0000}"/>
    <cellStyle name="스타일 2610" xfId="2147" xr:uid="{00000000-0005-0000-0000-0000310A0000}"/>
    <cellStyle name="스타일 2611" xfId="2148" xr:uid="{00000000-0005-0000-0000-0000320A0000}"/>
    <cellStyle name="스타일 2612" xfId="2149" xr:uid="{00000000-0005-0000-0000-0000330A0000}"/>
    <cellStyle name="스타일 2613" xfId="2150" xr:uid="{00000000-0005-0000-0000-0000340A0000}"/>
    <cellStyle name="스타일 2614" xfId="2151" xr:uid="{00000000-0005-0000-0000-0000350A0000}"/>
    <cellStyle name="스타일 2615" xfId="2152" xr:uid="{00000000-0005-0000-0000-0000360A0000}"/>
    <cellStyle name="스타일 2616" xfId="2153" xr:uid="{00000000-0005-0000-0000-0000370A0000}"/>
    <cellStyle name="스타일 2617" xfId="2154" xr:uid="{00000000-0005-0000-0000-0000380A0000}"/>
    <cellStyle name="스타일 2618" xfId="2155" xr:uid="{00000000-0005-0000-0000-0000390A0000}"/>
    <cellStyle name="스타일 2619" xfId="2156" xr:uid="{00000000-0005-0000-0000-00003A0A0000}"/>
    <cellStyle name="스타일 2620" xfId="2157" xr:uid="{00000000-0005-0000-0000-00003B0A0000}"/>
    <cellStyle name="스타일 2621" xfId="2158" xr:uid="{00000000-0005-0000-0000-00003C0A0000}"/>
    <cellStyle name="스타일 2622" xfId="2159" xr:uid="{00000000-0005-0000-0000-00003D0A0000}"/>
    <cellStyle name="스타일 2623" xfId="2160" xr:uid="{00000000-0005-0000-0000-00003E0A0000}"/>
    <cellStyle name="스타일 2624" xfId="2161" xr:uid="{00000000-0005-0000-0000-00003F0A0000}"/>
    <cellStyle name="스타일 2625" xfId="2162" xr:uid="{00000000-0005-0000-0000-0000400A0000}"/>
    <cellStyle name="스타일 2626" xfId="2163" xr:uid="{00000000-0005-0000-0000-0000410A0000}"/>
    <cellStyle name="스타일 2627" xfId="2164" xr:uid="{00000000-0005-0000-0000-0000420A0000}"/>
    <cellStyle name="스타일 2628" xfId="2165" xr:uid="{00000000-0005-0000-0000-0000430A0000}"/>
    <cellStyle name="스타일 2629" xfId="2166" xr:uid="{00000000-0005-0000-0000-0000440A0000}"/>
    <cellStyle name="스타일 2630" xfId="2167" xr:uid="{00000000-0005-0000-0000-0000450A0000}"/>
    <cellStyle name="스타일 2631" xfId="2168" xr:uid="{00000000-0005-0000-0000-0000460A0000}"/>
    <cellStyle name="스타일 2632" xfId="2169" xr:uid="{00000000-0005-0000-0000-0000470A0000}"/>
    <cellStyle name="스타일 2633" xfId="2170" xr:uid="{00000000-0005-0000-0000-0000480A0000}"/>
    <cellStyle name="스타일 2634" xfId="2171" xr:uid="{00000000-0005-0000-0000-0000490A0000}"/>
    <cellStyle name="스타일 2635" xfId="2172" xr:uid="{00000000-0005-0000-0000-00004A0A0000}"/>
    <cellStyle name="스타일 2636" xfId="2173" xr:uid="{00000000-0005-0000-0000-00004B0A0000}"/>
    <cellStyle name="스타일 2637" xfId="2174" xr:uid="{00000000-0005-0000-0000-00004C0A0000}"/>
    <cellStyle name="스타일 2638" xfId="2175" xr:uid="{00000000-0005-0000-0000-00004D0A0000}"/>
    <cellStyle name="스타일 2639" xfId="2176" xr:uid="{00000000-0005-0000-0000-00004E0A0000}"/>
    <cellStyle name="스타일 2640" xfId="2177" xr:uid="{00000000-0005-0000-0000-00004F0A0000}"/>
    <cellStyle name="스타일 2641" xfId="2178" xr:uid="{00000000-0005-0000-0000-0000500A0000}"/>
    <cellStyle name="스타일 2642" xfId="2179" xr:uid="{00000000-0005-0000-0000-0000510A0000}"/>
    <cellStyle name="스타일 2643" xfId="2180" xr:uid="{00000000-0005-0000-0000-0000520A0000}"/>
    <cellStyle name="스타일 2644" xfId="2181" xr:uid="{00000000-0005-0000-0000-0000530A0000}"/>
    <cellStyle name="스타일 2645" xfId="2182" xr:uid="{00000000-0005-0000-0000-0000540A0000}"/>
    <cellStyle name="스타일 2646" xfId="2183" xr:uid="{00000000-0005-0000-0000-0000550A0000}"/>
    <cellStyle name="스타일 2647" xfId="2184" xr:uid="{00000000-0005-0000-0000-0000560A0000}"/>
    <cellStyle name="스타일 2648" xfId="2185" xr:uid="{00000000-0005-0000-0000-0000570A0000}"/>
    <cellStyle name="스타일 2649" xfId="2186" xr:uid="{00000000-0005-0000-0000-0000580A0000}"/>
    <cellStyle name="스타일 2650" xfId="2187" xr:uid="{00000000-0005-0000-0000-0000590A0000}"/>
    <cellStyle name="스타일 2651" xfId="2188" xr:uid="{00000000-0005-0000-0000-00005A0A0000}"/>
    <cellStyle name="스타일 2652" xfId="2189" xr:uid="{00000000-0005-0000-0000-00005B0A0000}"/>
    <cellStyle name="스타일 2653" xfId="2190" xr:uid="{00000000-0005-0000-0000-00005C0A0000}"/>
    <cellStyle name="스타일 2654" xfId="2191" xr:uid="{00000000-0005-0000-0000-00005D0A0000}"/>
    <cellStyle name="스타일 2655" xfId="2192" xr:uid="{00000000-0005-0000-0000-00005E0A0000}"/>
    <cellStyle name="스타일 2656" xfId="2193" xr:uid="{00000000-0005-0000-0000-00005F0A0000}"/>
    <cellStyle name="스타일 2657" xfId="2194" xr:uid="{00000000-0005-0000-0000-0000600A0000}"/>
    <cellStyle name="스타일 2658" xfId="2195" xr:uid="{00000000-0005-0000-0000-0000610A0000}"/>
    <cellStyle name="스타일 2659" xfId="2196" xr:uid="{00000000-0005-0000-0000-0000620A0000}"/>
    <cellStyle name="스타일 2660" xfId="2197" xr:uid="{00000000-0005-0000-0000-0000630A0000}"/>
    <cellStyle name="스타일 2661" xfId="2198" xr:uid="{00000000-0005-0000-0000-0000640A0000}"/>
    <cellStyle name="스타일 2662" xfId="2199" xr:uid="{00000000-0005-0000-0000-0000650A0000}"/>
    <cellStyle name="스타일 2663" xfId="2200" xr:uid="{00000000-0005-0000-0000-0000660A0000}"/>
    <cellStyle name="스타일 2664" xfId="2201" xr:uid="{00000000-0005-0000-0000-0000670A0000}"/>
    <cellStyle name="스타일 2665" xfId="2202" xr:uid="{00000000-0005-0000-0000-0000680A0000}"/>
    <cellStyle name="스타일 2666" xfId="2203" xr:uid="{00000000-0005-0000-0000-0000690A0000}"/>
    <cellStyle name="스타일 2667" xfId="2204" xr:uid="{00000000-0005-0000-0000-00006A0A0000}"/>
    <cellStyle name="스타일 2668" xfId="2205" xr:uid="{00000000-0005-0000-0000-00006B0A0000}"/>
    <cellStyle name="스타일 2669" xfId="2206" xr:uid="{00000000-0005-0000-0000-00006C0A0000}"/>
    <cellStyle name="스타일 2670" xfId="2207" xr:uid="{00000000-0005-0000-0000-00006D0A0000}"/>
    <cellStyle name="스타일 2671" xfId="2208" xr:uid="{00000000-0005-0000-0000-00006E0A0000}"/>
    <cellStyle name="스타일 2672" xfId="2209" xr:uid="{00000000-0005-0000-0000-00006F0A0000}"/>
    <cellStyle name="스타일 2673" xfId="2210" xr:uid="{00000000-0005-0000-0000-0000700A0000}"/>
    <cellStyle name="스타일 2674" xfId="2211" xr:uid="{00000000-0005-0000-0000-0000710A0000}"/>
    <cellStyle name="스타일 2675" xfId="2212" xr:uid="{00000000-0005-0000-0000-0000720A0000}"/>
    <cellStyle name="스타일 2676" xfId="2213" xr:uid="{00000000-0005-0000-0000-0000730A0000}"/>
    <cellStyle name="스타일 2677" xfId="2214" xr:uid="{00000000-0005-0000-0000-0000740A0000}"/>
    <cellStyle name="스타일 2678" xfId="2215" xr:uid="{00000000-0005-0000-0000-0000750A0000}"/>
    <cellStyle name="스타일 2679" xfId="2216" xr:uid="{00000000-0005-0000-0000-0000760A0000}"/>
    <cellStyle name="스타일 2680" xfId="2217" xr:uid="{00000000-0005-0000-0000-0000770A0000}"/>
    <cellStyle name="스타일 2681" xfId="2218" xr:uid="{00000000-0005-0000-0000-0000780A0000}"/>
    <cellStyle name="스타일 2682" xfId="2219" xr:uid="{00000000-0005-0000-0000-0000790A0000}"/>
    <cellStyle name="스타일 2683" xfId="2220" xr:uid="{00000000-0005-0000-0000-00007A0A0000}"/>
    <cellStyle name="스타일 2684" xfId="2221" xr:uid="{00000000-0005-0000-0000-00007B0A0000}"/>
    <cellStyle name="스타일 2685" xfId="2222" xr:uid="{00000000-0005-0000-0000-00007C0A0000}"/>
    <cellStyle name="스타일 2686" xfId="2223" xr:uid="{00000000-0005-0000-0000-00007D0A0000}"/>
    <cellStyle name="스타일 2687" xfId="2224" xr:uid="{00000000-0005-0000-0000-00007E0A0000}"/>
    <cellStyle name="스타일 2688" xfId="2225" xr:uid="{00000000-0005-0000-0000-00007F0A0000}"/>
    <cellStyle name="스타일 2689" xfId="2226" xr:uid="{00000000-0005-0000-0000-0000800A0000}"/>
    <cellStyle name="스타일 2690" xfId="2227" xr:uid="{00000000-0005-0000-0000-0000810A0000}"/>
    <cellStyle name="스타일 2691" xfId="2228" xr:uid="{00000000-0005-0000-0000-0000820A0000}"/>
    <cellStyle name="스타일 2692" xfId="2229" xr:uid="{00000000-0005-0000-0000-0000830A0000}"/>
    <cellStyle name="스타일 2693" xfId="2230" xr:uid="{00000000-0005-0000-0000-0000840A0000}"/>
    <cellStyle name="스타일 2694" xfId="2231" xr:uid="{00000000-0005-0000-0000-0000850A0000}"/>
    <cellStyle name="스타일 2695" xfId="2232" xr:uid="{00000000-0005-0000-0000-0000860A0000}"/>
    <cellStyle name="스타일 2696" xfId="2233" xr:uid="{00000000-0005-0000-0000-0000870A0000}"/>
    <cellStyle name="스타일 2697" xfId="2234" xr:uid="{00000000-0005-0000-0000-0000880A0000}"/>
    <cellStyle name="스타일 2698" xfId="2235" xr:uid="{00000000-0005-0000-0000-0000890A0000}"/>
    <cellStyle name="스타일 2699" xfId="2236" xr:uid="{00000000-0005-0000-0000-00008A0A0000}"/>
    <cellStyle name="스타일 2700" xfId="2237" xr:uid="{00000000-0005-0000-0000-00008B0A0000}"/>
    <cellStyle name="스타일 2701" xfId="2238" xr:uid="{00000000-0005-0000-0000-00008C0A0000}"/>
    <cellStyle name="스타일 2702" xfId="2239" xr:uid="{00000000-0005-0000-0000-00008D0A0000}"/>
    <cellStyle name="스타일 2703" xfId="2240" xr:uid="{00000000-0005-0000-0000-00008E0A0000}"/>
    <cellStyle name="스타일 2704" xfId="2241" xr:uid="{00000000-0005-0000-0000-00008F0A0000}"/>
    <cellStyle name="스타일 2705" xfId="2242" xr:uid="{00000000-0005-0000-0000-0000900A0000}"/>
    <cellStyle name="스타일 2706" xfId="2243" xr:uid="{00000000-0005-0000-0000-0000910A0000}"/>
    <cellStyle name="스타일 2707" xfId="2244" xr:uid="{00000000-0005-0000-0000-0000920A0000}"/>
    <cellStyle name="스타일 2708" xfId="2245" xr:uid="{00000000-0005-0000-0000-0000930A0000}"/>
    <cellStyle name="스타일 2709" xfId="2246" xr:uid="{00000000-0005-0000-0000-0000940A0000}"/>
    <cellStyle name="스타일 2710" xfId="2247" xr:uid="{00000000-0005-0000-0000-0000950A0000}"/>
    <cellStyle name="스타일 2711" xfId="2248" xr:uid="{00000000-0005-0000-0000-0000960A0000}"/>
    <cellStyle name="스타일 2712" xfId="2249" xr:uid="{00000000-0005-0000-0000-0000970A0000}"/>
    <cellStyle name="스타일 2713" xfId="2250" xr:uid="{00000000-0005-0000-0000-0000980A0000}"/>
    <cellStyle name="스타일 2714" xfId="2251" xr:uid="{00000000-0005-0000-0000-0000990A0000}"/>
    <cellStyle name="스타일 2715" xfId="2252" xr:uid="{00000000-0005-0000-0000-00009A0A0000}"/>
    <cellStyle name="스타일 2716" xfId="2253" xr:uid="{00000000-0005-0000-0000-00009B0A0000}"/>
    <cellStyle name="스타일 2717" xfId="2254" xr:uid="{00000000-0005-0000-0000-00009C0A0000}"/>
    <cellStyle name="스타일 2718" xfId="2255" xr:uid="{00000000-0005-0000-0000-00009D0A0000}"/>
    <cellStyle name="스타일 2719" xfId="2256" xr:uid="{00000000-0005-0000-0000-00009E0A0000}"/>
    <cellStyle name="스타일 2720" xfId="2257" xr:uid="{00000000-0005-0000-0000-00009F0A0000}"/>
    <cellStyle name="스타일 2721" xfId="2258" xr:uid="{00000000-0005-0000-0000-0000A00A0000}"/>
    <cellStyle name="스타일 2722" xfId="2259" xr:uid="{00000000-0005-0000-0000-0000A10A0000}"/>
    <cellStyle name="스타일 2723" xfId="2260" xr:uid="{00000000-0005-0000-0000-0000A20A0000}"/>
    <cellStyle name="스타일 2724" xfId="2261" xr:uid="{00000000-0005-0000-0000-0000A30A0000}"/>
    <cellStyle name="스타일 2725" xfId="2262" xr:uid="{00000000-0005-0000-0000-0000A40A0000}"/>
    <cellStyle name="스타일 2726" xfId="2263" xr:uid="{00000000-0005-0000-0000-0000A50A0000}"/>
    <cellStyle name="스타일 2727" xfId="2264" xr:uid="{00000000-0005-0000-0000-0000A60A0000}"/>
    <cellStyle name="스타일 2728" xfId="2265" xr:uid="{00000000-0005-0000-0000-0000A70A0000}"/>
    <cellStyle name="스타일 2729" xfId="2266" xr:uid="{00000000-0005-0000-0000-0000A80A0000}"/>
    <cellStyle name="스타일 2730" xfId="2267" xr:uid="{00000000-0005-0000-0000-0000A90A0000}"/>
    <cellStyle name="스타일 2731" xfId="2268" xr:uid="{00000000-0005-0000-0000-0000AA0A0000}"/>
    <cellStyle name="스타일 2732" xfId="2269" xr:uid="{00000000-0005-0000-0000-0000AB0A0000}"/>
    <cellStyle name="스타일 2733" xfId="2270" xr:uid="{00000000-0005-0000-0000-0000AC0A0000}"/>
    <cellStyle name="스타일 2734" xfId="2271" xr:uid="{00000000-0005-0000-0000-0000AD0A0000}"/>
    <cellStyle name="스타일 2735" xfId="2272" xr:uid="{00000000-0005-0000-0000-0000AE0A0000}"/>
    <cellStyle name="스타일 2736" xfId="2273" xr:uid="{00000000-0005-0000-0000-0000AF0A0000}"/>
    <cellStyle name="스타일 2737" xfId="2274" xr:uid="{00000000-0005-0000-0000-0000B00A0000}"/>
    <cellStyle name="스타일 2738" xfId="2275" xr:uid="{00000000-0005-0000-0000-0000B10A0000}"/>
    <cellStyle name="스타일 2739" xfId="2276" xr:uid="{00000000-0005-0000-0000-0000B20A0000}"/>
    <cellStyle name="스타일 2740" xfId="2277" xr:uid="{00000000-0005-0000-0000-0000B30A0000}"/>
    <cellStyle name="스타일 2741" xfId="2278" xr:uid="{00000000-0005-0000-0000-0000B40A0000}"/>
    <cellStyle name="스타일 2742" xfId="2279" xr:uid="{00000000-0005-0000-0000-0000B50A0000}"/>
    <cellStyle name="스타일 2743" xfId="2280" xr:uid="{00000000-0005-0000-0000-0000B60A0000}"/>
    <cellStyle name="스타일 2744" xfId="2281" xr:uid="{00000000-0005-0000-0000-0000B70A0000}"/>
    <cellStyle name="스타일 2745" xfId="2282" xr:uid="{00000000-0005-0000-0000-0000B80A0000}"/>
    <cellStyle name="스타일 2746" xfId="2283" xr:uid="{00000000-0005-0000-0000-0000B90A0000}"/>
    <cellStyle name="스타일 2747" xfId="2284" xr:uid="{00000000-0005-0000-0000-0000BA0A0000}"/>
    <cellStyle name="스타일 2748" xfId="2285" xr:uid="{00000000-0005-0000-0000-0000BB0A0000}"/>
    <cellStyle name="스타일 2749" xfId="2286" xr:uid="{00000000-0005-0000-0000-0000BC0A0000}"/>
    <cellStyle name="스타일 2750" xfId="2287" xr:uid="{00000000-0005-0000-0000-0000BD0A0000}"/>
    <cellStyle name="스타일 2751" xfId="2288" xr:uid="{00000000-0005-0000-0000-0000BE0A0000}"/>
    <cellStyle name="스타일 2752" xfId="2289" xr:uid="{00000000-0005-0000-0000-0000BF0A0000}"/>
    <cellStyle name="스타일 2753" xfId="2290" xr:uid="{00000000-0005-0000-0000-0000C00A0000}"/>
    <cellStyle name="스타일 2754" xfId="2291" xr:uid="{00000000-0005-0000-0000-0000C10A0000}"/>
    <cellStyle name="스타일 2755" xfId="2292" xr:uid="{00000000-0005-0000-0000-0000C20A0000}"/>
    <cellStyle name="스타일 2756" xfId="2293" xr:uid="{00000000-0005-0000-0000-0000C30A0000}"/>
    <cellStyle name="스타일 2757" xfId="2481" xr:uid="{00000000-0005-0000-0000-0000C40A0000}"/>
    <cellStyle name="스타일 2758" xfId="2482" xr:uid="{00000000-0005-0000-0000-0000C50A0000}"/>
    <cellStyle name="스타일 2759" xfId="2294" xr:uid="{00000000-0005-0000-0000-0000C60A0000}"/>
    <cellStyle name="스타일 2760" xfId="2295" xr:uid="{00000000-0005-0000-0000-0000C70A0000}"/>
    <cellStyle name="스타일 2761" xfId="2296" xr:uid="{00000000-0005-0000-0000-0000C80A0000}"/>
    <cellStyle name="스타일 2762" xfId="2297" xr:uid="{00000000-0005-0000-0000-0000C90A0000}"/>
    <cellStyle name="스타일 2763" xfId="2298" xr:uid="{00000000-0005-0000-0000-0000CA0A0000}"/>
    <cellStyle name="스타일 2764" xfId="2299" xr:uid="{00000000-0005-0000-0000-0000CB0A0000}"/>
    <cellStyle name="스타일 2765" xfId="2300" xr:uid="{00000000-0005-0000-0000-0000CC0A0000}"/>
    <cellStyle name="스타일 2766" xfId="2301" xr:uid="{00000000-0005-0000-0000-0000CD0A0000}"/>
    <cellStyle name="스타일 2767" xfId="2302" xr:uid="{00000000-0005-0000-0000-0000CE0A0000}"/>
    <cellStyle name="스타일 2768" xfId="2303" xr:uid="{00000000-0005-0000-0000-0000CF0A0000}"/>
    <cellStyle name="스타일 2769" xfId="2304" xr:uid="{00000000-0005-0000-0000-0000D00A0000}"/>
    <cellStyle name="스타일 2770" xfId="2305" xr:uid="{00000000-0005-0000-0000-0000D10A0000}"/>
    <cellStyle name="스타일 2771" xfId="2306" xr:uid="{00000000-0005-0000-0000-0000D20A0000}"/>
    <cellStyle name="스타일 2772" xfId="2307" xr:uid="{00000000-0005-0000-0000-0000D30A0000}"/>
    <cellStyle name="스타일 2773" xfId="2308" xr:uid="{00000000-0005-0000-0000-0000D40A0000}"/>
    <cellStyle name="스타일 2774" xfId="2309" xr:uid="{00000000-0005-0000-0000-0000D50A0000}"/>
    <cellStyle name="스타일 2775" xfId="2310" xr:uid="{00000000-0005-0000-0000-0000D60A0000}"/>
    <cellStyle name="스타일 2776" xfId="2311" xr:uid="{00000000-0005-0000-0000-0000D70A0000}"/>
    <cellStyle name="스타일 2777" xfId="2312" xr:uid="{00000000-0005-0000-0000-0000D80A0000}"/>
    <cellStyle name="스타일 2778" xfId="2313" xr:uid="{00000000-0005-0000-0000-0000D90A0000}"/>
    <cellStyle name="스타일 2779" xfId="2314" xr:uid="{00000000-0005-0000-0000-0000DA0A0000}"/>
    <cellStyle name="스타일 2780" xfId="2315" xr:uid="{00000000-0005-0000-0000-0000DB0A0000}"/>
    <cellStyle name="스타일 2781" xfId="2316" xr:uid="{00000000-0005-0000-0000-0000DC0A0000}"/>
    <cellStyle name="스타일 2782" xfId="2317" xr:uid="{00000000-0005-0000-0000-0000DD0A0000}"/>
    <cellStyle name="스타일 2783" xfId="2318" xr:uid="{00000000-0005-0000-0000-0000DE0A0000}"/>
    <cellStyle name="스타일 2784" xfId="2319" xr:uid="{00000000-0005-0000-0000-0000DF0A0000}"/>
    <cellStyle name="스타일 2785" xfId="2320" xr:uid="{00000000-0005-0000-0000-0000E00A0000}"/>
    <cellStyle name="스타일 2786" xfId="2321" xr:uid="{00000000-0005-0000-0000-0000E10A0000}"/>
    <cellStyle name="스타일 2787" xfId="2322" xr:uid="{00000000-0005-0000-0000-0000E20A0000}"/>
    <cellStyle name="스타일 2788" xfId="2323" xr:uid="{00000000-0005-0000-0000-0000E30A0000}"/>
    <cellStyle name="스타일 2789" xfId="2324" xr:uid="{00000000-0005-0000-0000-0000E40A0000}"/>
    <cellStyle name="스타일 2790" xfId="2325" xr:uid="{00000000-0005-0000-0000-0000E50A0000}"/>
    <cellStyle name="스타일 2791" xfId="2326" xr:uid="{00000000-0005-0000-0000-0000E60A0000}"/>
    <cellStyle name="스타일 2792" xfId="2327" xr:uid="{00000000-0005-0000-0000-0000E70A0000}"/>
    <cellStyle name="스타일 2793" xfId="2328" xr:uid="{00000000-0005-0000-0000-0000E80A0000}"/>
    <cellStyle name="스타일 2794" xfId="2329" xr:uid="{00000000-0005-0000-0000-0000E90A0000}"/>
    <cellStyle name="스타일 2795" xfId="2330" xr:uid="{00000000-0005-0000-0000-0000EA0A0000}"/>
    <cellStyle name="스타일 2796" xfId="2331" xr:uid="{00000000-0005-0000-0000-0000EB0A0000}"/>
    <cellStyle name="스타일 2797" xfId="2332" xr:uid="{00000000-0005-0000-0000-0000EC0A0000}"/>
    <cellStyle name="스타일 2798" xfId="2333" xr:uid="{00000000-0005-0000-0000-0000ED0A0000}"/>
    <cellStyle name="스타일 2799" xfId="2334" xr:uid="{00000000-0005-0000-0000-0000EE0A0000}"/>
    <cellStyle name="스타일 2800" xfId="2335" xr:uid="{00000000-0005-0000-0000-0000EF0A0000}"/>
    <cellStyle name="스타일 2801" xfId="2336" xr:uid="{00000000-0005-0000-0000-0000F00A0000}"/>
    <cellStyle name="스타일 2802" xfId="2337" xr:uid="{00000000-0005-0000-0000-0000F10A0000}"/>
    <cellStyle name="스타일 2803" xfId="2338" xr:uid="{00000000-0005-0000-0000-0000F20A0000}"/>
    <cellStyle name="스타일 2804" xfId="2339" xr:uid="{00000000-0005-0000-0000-0000F30A0000}"/>
    <cellStyle name="스타일 2805" xfId="2340" xr:uid="{00000000-0005-0000-0000-0000F40A0000}"/>
    <cellStyle name="스타일 2806" xfId="2341" xr:uid="{00000000-0005-0000-0000-0000F50A0000}"/>
    <cellStyle name="스타일 2807" xfId="2342" xr:uid="{00000000-0005-0000-0000-0000F60A0000}"/>
    <cellStyle name="스타일 2808" xfId="2343" xr:uid="{00000000-0005-0000-0000-0000F70A0000}"/>
    <cellStyle name="스타일 2809" xfId="2344" xr:uid="{00000000-0005-0000-0000-0000F80A0000}"/>
    <cellStyle name="스타일 2810" xfId="2345" xr:uid="{00000000-0005-0000-0000-0000F90A0000}"/>
    <cellStyle name="스타일 2811" xfId="2346" xr:uid="{00000000-0005-0000-0000-0000FA0A0000}"/>
    <cellStyle name="스타일 2812" xfId="2347" xr:uid="{00000000-0005-0000-0000-0000FB0A0000}"/>
    <cellStyle name="스타일 2813" xfId="2348" xr:uid="{00000000-0005-0000-0000-0000FC0A0000}"/>
    <cellStyle name="스타일 2814" xfId="2349" xr:uid="{00000000-0005-0000-0000-0000FD0A0000}"/>
    <cellStyle name="스타일 2815" xfId="2350" xr:uid="{00000000-0005-0000-0000-0000FE0A0000}"/>
    <cellStyle name="스타일 2816" xfId="2351" xr:uid="{00000000-0005-0000-0000-0000FF0A0000}"/>
    <cellStyle name="스타일 2817" xfId="2352" xr:uid="{00000000-0005-0000-0000-0000000B0000}"/>
    <cellStyle name="스타일 2818" xfId="2353" xr:uid="{00000000-0005-0000-0000-0000010B0000}"/>
    <cellStyle name="스타일 2819" xfId="2354" xr:uid="{00000000-0005-0000-0000-0000020B0000}"/>
    <cellStyle name="스타일 2820" xfId="2355" xr:uid="{00000000-0005-0000-0000-0000030B0000}"/>
    <cellStyle name="스타일 2821" xfId="2356" xr:uid="{00000000-0005-0000-0000-0000040B0000}"/>
    <cellStyle name="스타일 2822" xfId="2357" xr:uid="{00000000-0005-0000-0000-0000050B0000}"/>
    <cellStyle name="스타일 2823" xfId="2358" xr:uid="{00000000-0005-0000-0000-0000060B0000}"/>
    <cellStyle name="스타일 2824" xfId="2359" xr:uid="{00000000-0005-0000-0000-0000070B0000}"/>
    <cellStyle name="스타일 2825" xfId="2360" xr:uid="{00000000-0005-0000-0000-0000080B0000}"/>
    <cellStyle name="스타일 2826" xfId="2361" xr:uid="{00000000-0005-0000-0000-0000090B0000}"/>
    <cellStyle name="스타일 2827" xfId="2362" xr:uid="{00000000-0005-0000-0000-00000A0B0000}"/>
    <cellStyle name="스타일 2828" xfId="2363" xr:uid="{00000000-0005-0000-0000-00000B0B0000}"/>
    <cellStyle name="스타일 2829" xfId="2364" xr:uid="{00000000-0005-0000-0000-00000C0B0000}"/>
    <cellStyle name="스타일 2830" xfId="2365" xr:uid="{00000000-0005-0000-0000-00000D0B0000}"/>
    <cellStyle name="스타일 2831" xfId="2381" xr:uid="{00000000-0005-0000-0000-00000E0B0000}"/>
    <cellStyle name="스타일 2832" xfId="2382" xr:uid="{00000000-0005-0000-0000-00000F0B0000}"/>
    <cellStyle name="스타일 2833" xfId="2366" xr:uid="{00000000-0005-0000-0000-0000100B0000}"/>
    <cellStyle name="스타일 2834" xfId="2367" xr:uid="{00000000-0005-0000-0000-0000110B0000}"/>
    <cellStyle name="스타일 2835" xfId="2368" xr:uid="{00000000-0005-0000-0000-0000120B0000}"/>
    <cellStyle name="스타일 2836" xfId="2369" xr:uid="{00000000-0005-0000-0000-0000130B0000}"/>
    <cellStyle name="스타일 2837" xfId="2370" xr:uid="{00000000-0005-0000-0000-0000140B0000}"/>
    <cellStyle name="스타일 2838" xfId="2371" xr:uid="{00000000-0005-0000-0000-0000150B0000}"/>
    <cellStyle name="스타일 2839" xfId="2372" xr:uid="{00000000-0005-0000-0000-0000160B0000}"/>
    <cellStyle name="스타일 2840" xfId="2373" xr:uid="{00000000-0005-0000-0000-0000170B0000}"/>
    <cellStyle name="스타일 2841" xfId="2374" xr:uid="{00000000-0005-0000-0000-0000180B0000}"/>
    <cellStyle name="스타일 2842" xfId="2375" xr:uid="{00000000-0005-0000-0000-0000190B0000}"/>
    <cellStyle name="스타일 2843" xfId="2376" xr:uid="{00000000-0005-0000-0000-00001A0B0000}"/>
    <cellStyle name="스타일 2844" xfId="2377" xr:uid="{00000000-0005-0000-0000-00001B0B0000}"/>
    <cellStyle name="스타일 2845" xfId="2378" xr:uid="{00000000-0005-0000-0000-00001C0B0000}"/>
    <cellStyle name="스타일 2846" xfId="2379" xr:uid="{00000000-0005-0000-0000-00001D0B0000}"/>
    <cellStyle name="스타일 2847" xfId="2380" xr:uid="{00000000-0005-0000-0000-00001E0B0000}"/>
    <cellStyle name="스타일 2848" xfId="2383" xr:uid="{00000000-0005-0000-0000-00001F0B0000}"/>
    <cellStyle name="스타일 2849" xfId="2384" xr:uid="{00000000-0005-0000-0000-0000200B0000}"/>
    <cellStyle name="스타일 2850" xfId="2385" xr:uid="{00000000-0005-0000-0000-0000210B0000}"/>
    <cellStyle name="스타일 2851" xfId="2386" xr:uid="{00000000-0005-0000-0000-0000220B0000}"/>
    <cellStyle name="스타일 2852" xfId="2387" xr:uid="{00000000-0005-0000-0000-0000230B0000}"/>
    <cellStyle name="스타일 2853" xfId="2388" xr:uid="{00000000-0005-0000-0000-0000240B0000}"/>
    <cellStyle name="스타일 2854" xfId="2389" xr:uid="{00000000-0005-0000-0000-0000250B0000}"/>
    <cellStyle name="스타일 2855" xfId="2390" xr:uid="{00000000-0005-0000-0000-0000260B0000}"/>
    <cellStyle name="스타일 2856" xfId="2391" xr:uid="{00000000-0005-0000-0000-0000270B0000}"/>
    <cellStyle name="스타일 2857" xfId="2392" xr:uid="{00000000-0005-0000-0000-0000280B0000}"/>
    <cellStyle name="스타일 2858" xfId="2393" xr:uid="{00000000-0005-0000-0000-0000290B0000}"/>
    <cellStyle name="스타일 2859" xfId="2394" xr:uid="{00000000-0005-0000-0000-00002A0B0000}"/>
    <cellStyle name="스타일 2860" xfId="2395" xr:uid="{00000000-0005-0000-0000-00002B0B0000}"/>
    <cellStyle name="스타일 2861" xfId="2396" xr:uid="{00000000-0005-0000-0000-00002C0B0000}"/>
    <cellStyle name="스타일 2862" xfId="2397" xr:uid="{00000000-0005-0000-0000-00002D0B0000}"/>
    <cellStyle name="스타일 2863" xfId="2398" xr:uid="{00000000-0005-0000-0000-00002E0B0000}"/>
    <cellStyle name="스타일 2864" xfId="2399" xr:uid="{00000000-0005-0000-0000-00002F0B0000}"/>
    <cellStyle name="스타일 2865" xfId="2400" xr:uid="{00000000-0005-0000-0000-0000300B0000}"/>
    <cellStyle name="스타일 2866" xfId="2401" xr:uid="{00000000-0005-0000-0000-0000310B0000}"/>
    <cellStyle name="스타일 2867" xfId="2402" xr:uid="{00000000-0005-0000-0000-0000320B0000}"/>
    <cellStyle name="스타일 2868" xfId="2403" xr:uid="{00000000-0005-0000-0000-0000330B0000}"/>
    <cellStyle name="스타일 2869" xfId="2404" xr:uid="{00000000-0005-0000-0000-0000340B0000}"/>
    <cellStyle name="스타일 2870" xfId="2405" xr:uid="{00000000-0005-0000-0000-0000350B0000}"/>
    <cellStyle name="스타일 2871" xfId="2406" xr:uid="{00000000-0005-0000-0000-0000360B0000}"/>
    <cellStyle name="스타일 2872" xfId="2407" xr:uid="{00000000-0005-0000-0000-0000370B0000}"/>
    <cellStyle name="스타일 2873" xfId="2408" xr:uid="{00000000-0005-0000-0000-0000380B0000}"/>
    <cellStyle name="스타일 2874" xfId="2409" xr:uid="{00000000-0005-0000-0000-0000390B0000}"/>
    <cellStyle name="스타일 2875" xfId="2410" xr:uid="{00000000-0005-0000-0000-00003A0B0000}"/>
    <cellStyle name="스타일 2876" xfId="2411" xr:uid="{00000000-0005-0000-0000-00003B0B0000}"/>
    <cellStyle name="스타일 2877" xfId="2412" xr:uid="{00000000-0005-0000-0000-00003C0B0000}"/>
    <cellStyle name="스타일 2878" xfId="2413" xr:uid="{00000000-0005-0000-0000-00003D0B0000}"/>
    <cellStyle name="스타일 2879" xfId="2414" xr:uid="{00000000-0005-0000-0000-00003E0B0000}"/>
    <cellStyle name="스타일 2880" xfId="2415" xr:uid="{00000000-0005-0000-0000-00003F0B0000}"/>
    <cellStyle name="스타일 2881" xfId="2416" xr:uid="{00000000-0005-0000-0000-0000400B0000}"/>
    <cellStyle name="스타일 2882" xfId="2417" xr:uid="{00000000-0005-0000-0000-0000410B0000}"/>
    <cellStyle name="스타일 2883" xfId="2418" xr:uid="{00000000-0005-0000-0000-0000420B0000}"/>
    <cellStyle name="스타일 2884" xfId="2419" xr:uid="{00000000-0005-0000-0000-0000430B0000}"/>
    <cellStyle name="스타일 2885" xfId="2420" xr:uid="{00000000-0005-0000-0000-0000440B0000}"/>
    <cellStyle name="스타일 2886" xfId="2421" xr:uid="{00000000-0005-0000-0000-0000450B0000}"/>
    <cellStyle name="스타일 2887" xfId="2422" xr:uid="{00000000-0005-0000-0000-0000460B0000}"/>
    <cellStyle name="스타일 2888" xfId="2423" xr:uid="{00000000-0005-0000-0000-0000470B0000}"/>
    <cellStyle name="스타일 2889" xfId="2424" xr:uid="{00000000-0005-0000-0000-0000480B0000}"/>
    <cellStyle name="스타일 2890" xfId="2425" xr:uid="{00000000-0005-0000-0000-0000490B0000}"/>
    <cellStyle name="스타일 2891" xfId="2426" xr:uid="{00000000-0005-0000-0000-00004A0B0000}"/>
    <cellStyle name="스타일 2892" xfId="2427" xr:uid="{00000000-0005-0000-0000-00004B0B0000}"/>
    <cellStyle name="스타일 2893" xfId="2428" xr:uid="{00000000-0005-0000-0000-00004C0B0000}"/>
    <cellStyle name="스타일 2894" xfId="2429" xr:uid="{00000000-0005-0000-0000-00004D0B0000}"/>
    <cellStyle name="스타일 2895" xfId="2430" xr:uid="{00000000-0005-0000-0000-00004E0B0000}"/>
    <cellStyle name="스타일 2896" xfId="2431" xr:uid="{00000000-0005-0000-0000-00004F0B0000}"/>
    <cellStyle name="스타일 2897" xfId="2432" xr:uid="{00000000-0005-0000-0000-0000500B0000}"/>
    <cellStyle name="스타일 2898" xfId="2433" xr:uid="{00000000-0005-0000-0000-0000510B0000}"/>
    <cellStyle name="스타일 2899" xfId="2434" xr:uid="{00000000-0005-0000-0000-0000520B0000}"/>
    <cellStyle name="스타일 2900" xfId="2435" xr:uid="{00000000-0005-0000-0000-0000530B0000}"/>
    <cellStyle name="스타일 2901" xfId="2436" xr:uid="{00000000-0005-0000-0000-0000540B0000}"/>
    <cellStyle name="스타일 2902" xfId="2437" xr:uid="{00000000-0005-0000-0000-0000550B0000}"/>
    <cellStyle name="스타일 2903" xfId="2438" xr:uid="{00000000-0005-0000-0000-0000560B0000}"/>
    <cellStyle name="스타일 2904" xfId="2439" xr:uid="{00000000-0005-0000-0000-0000570B0000}"/>
    <cellStyle name="스타일 2905" xfId="2440" xr:uid="{00000000-0005-0000-0000-0000580B0000}"/>
    <cellStyle name="스타일 2906" xfId="2441" xr:uid="{00000000-0005-0000-0000-0000590B0000}"/>
    <cellStyle name="스타일 2907" xfId="2442" xr:uid="{00000000-0005-0000-0000-00005A0B0000}"/>
    <cellStyle name="스타일 2908" xfId="2443" xr:uid="{00000000-0005-0000-0000-00005B0B0000}"/>
    <cellStyle name="스타일 2909" xfId="2444" xr:uid="{00000000-0005-0000-0000-00005C0B0000}"/>
    <cellStyle name="스타일 2910" xfId="2445" xr:uid="{00000000-0005-0000-0000-00005D0B0000}"/>
    <cellStyle name="스타일 2911" xfId="2446" xr:uid="{00000000-0005-0000-0000-00005E0B0000}"/>
    <cellStyle name="스타일 2912" xfId="2447" xr:uid="{00000000-0005-0000-0000-00005F0B0000}"/>
    <cellStyle name="스타일 2913" xfId="2448" xr:uid="{00000000-0005-0000-0000-0000600B0000}"/>
    <cellStyle name="스타일 2914" xfId="2449" xr:uid="{00000000-0005-0000-0000-0000610B0000}"/>
    <cellStyle name="스타일 2915" xfId="2450" xr:uid="{00000000-0005-0000-0000-0000620B0000}"/>
    <cellStyle name="스타일 2916" xfId="2451" xr:uid="{00000000-0005-0000-0000-0000630B0000}"/>
    <cellStyle name="스타일 2917" xfId="2452" xr:uid="{00000000-0005-0000-0000-0000640B0000}"/>
    <cellStyle name="스타일 2918" xfId="2453" xr:uid="{00000000-0005-0000-0000-0000650B0000}"/>
    <cellStyle name="스타일 2919" xfId="2454" xr:uid="{00000000-0005-0000-0000-0000660B0000}"/>
    <cellStyle name="스타일 2920" xfId="2455" xr:uid="{00000000-0005-0000-0000-0000670B0000}"/>
    <cellStyle name="스타일 2921" xfId="2456" xr:uid="{00000000-0005-0000-0000-0000680B0000}"/>
    <cellStyle name="스타일 2922" xfId="2457" xr:uid="{00000000-0005-0000-0000-0000690B0000}"/>
    <cellStyle name="스타일 2923" xfId="2458" xr:uid="{00000000-0005-0000-0000-00006A0B0000}"/>
    <cellStyle name="스타일 2924" xfId="2459" xr:uid="{00000000-0005-0000-0000-00006B0B0000}"/>
    <cellStyle name="스타일 2925" xfId="2460" xr:uid="{00000000-0005-0000-0000-00006C0B0000}"/>
    <cellStyle name="스타일 2926" xfId="2461" xr:uid="{00000000-0005-0000-0000-00006D0B0000}"/>
    <cellStyle name="스타일 2927" xfId="2462" xr:uid="{00000000-0005-0000-0000-00006E0B0000}"/>
    <cellStyle name="스타일 2928" xfId="2463" xr:uid="{00000000-0005-0000-0000-00006F0B0000}"/>
    <cellStyle name="스타일 2929" xfId="2464" xr:uid="{00000000-0005-0000-0000-0000700B0000}"/>
    <cellStyle name="스타일 2930" xfId="2465" xr:uid="{00000000-0005-0000-0000-0000710B0000}"/>
    <cellStyle name="스타일 2931" xfId="2466" xr:uid="{00000000-0005-0000-0000-0000720B0000}"/>
    <cellStyle name="스타일 2932" xfId="2467" xr:uid="{00000000-0005-0000-0000-0000730B0000}"/>
    <cellStyle name="스타일 2933" xfId="2468" xr:uid="{00000000-0005-0000-0000-0000740B0000}"/>
    <cellStyle name="스타일 2934" xfId="2469" xr:uid="{00000000-0005-0000-0000-0000750B0000}"/>
    <cellStyle name="스타일 2935" xfId="2470" xr:uid="{00000000-0005-0000-0000-0000760B0000}"/>
    <cellStyle name="스타일 2936" xfId="2471" xr:uid="{00000000-0005-0000-0000-0000770B0000}"/>
    <cellStyle name="스타일 2937" xfId="2472" xr:uid="{00000000-0005-0000-0000-0000780B0000}"/>
    <cellStyle name="스타일 2938" xfId="2473" xr:uid="{00000000-0005-0000-0000-0000790B0000}"/>
    <cellStyle name="스타일 2939" xfId="2474" xr:uid="{00000000-0005-0000-0000-00007A0B0000}"/>
    <cellStyle name="스타일 2940" xfId="2475" xr:uid="{00000000-0005-0000-0000-00007B0B0000}"/>
    <cellStyle name="스타일 2941" xfId="2476" xr:uid="{00000000-0005-0000-0000-00007C0B0000}"/>
    <cellStyle name="스타일 2942" xfId="2477" xr:uid="{00000000-0005-0000-0000-00007D0B0000}"/>
    <cellStyle name="스타일 2943" xfId="2478" xr:uid="{00000000-0005-0000-0000-00007E0B0000}"/>
    <cellStyle name="스타일 2944" xfId="2479" xr:uid="{00000000-0005-0000-0000-00007F0B0000}"/>
    <cellStyle name="스타일 2945" xfId="2480" xr:uid="{00000000-0005-0000-0000-0000800B0000}"/>
    <cellStyle name="스타일 2946" xfId="2483" xr:uid="{00000000-0005-0000-0000-0000810B0000}"/>
    <cellStyle name="스타일 2947" xfId="2484" xr:uid="{00000000-0005-0000-0000-0000820B0000}"/>
    <cellStyle name="스타일 2948" xfId="2485" xr:uid="{00000000-0005-0000-0000-0000830B0000}"/>
    <cellStyle name="스타일 2949" xfId="2486" xr:uid="{00000000-0005-0000-0000-0000840B0000}"/>
    <cellStyle name="스타일 2950" xfId="2487" xr:uid="{00000000-0005-0000-0000-0000850B0000}"/>
    <cellStyle name="스타일 2951" xfId="2488" xr:uid="{00000000-0005-0000-0000-0000860B0000}"/>
    <cellStyle name="스타일 2952" xfId="2489" xr:uid="{00000000-0005-0000-0000-0000870B0000}"/>
    <cellStyle name="스타일 2953" xfId="2490" xr:uid="{00000000-0005-0000-0000-0000880B0000}"/>
    <cellStyle name="스타일 2954" xfId="2491" xr:uid="{00000000-0005-0000-0000-0000890B0000}"/>
    <cellStyle name="스타일 2955" xfId="2492" xr:uid="{00000000-0005-0000-0000-00008A0B0000}"/>
    <cellStyle name="스타일 2956" xfId="2493" xr:uid="{00000000-0005-0000-0000-00008B0B0000}"/>
    <cellStyle name="스타일 2957" xfId="2494" xr:uid="{00000000-0005-0000-0000-00008C0B0000}"/>
    <cellStyle name="스타일 2958" xfId="2495" xr:uid="{00000000-0005-0000-0000-00008D0B0000}"/>
    <cellStyle name="스타일 2959" xfId="2496" xr:uid="{00000000-0005-0000-0000-00008E0B0000}"/>
    <cellStyle name="스타일 2960" xfId="2497" xr:uid="{00000000-0005-0000-0000-00008F0B0000}"/>
    <cellStyle name="스타일 2961" xfId="2498" xr:uid="{00000000-0005-0000-0000-0000900B0000}"/>
    <cellStyle name="스타일 2962" xfId="2499" xr:uid="{00000000-0005-0000-0000-0000910B0000}"/>
    <cellStyle name="스타일 2963" xfId="2500" xr:uid="{00000000-0005-0000-0000-0000920B0000}"/>
    <cellStyle name="스타일 2964" xfId="3002" xr:uid="{00000000-0005-0000-0000-0000930B0000}"/>
    <cellStyle name="스타일 2965" xfId="2501" xr:uid="{00000000-0005-0000-0000-0000940B0000}"/>
    <cellStyle name="스타일 2966" xfId="2502" xr:uid="{00000000-0005-0000-0000-0000950B0000}"/>
    <cellStyle name="스타일 2967" xfId="2503" xr:uid="{00000000-0005-0000-0000-0000960B0000}"/>
    <cellStyle name="스타일 2968" xfId="2504" xr:uid="{00000000-0005-0000-0000-0000970B0000}"/>
    <cellStyle name="스타일 2969" xfId="2505" xr:uid="{00000000-0005-0000-0000-0000980B0000}"/>
    <cellStyle name="스타일 2970" xfId="2506" xr:uid="{00000000-0005-0000-0000-0000990B0000}"/>
    <cellStyle name="스타일 2971" xfId="2507" xr:uid="{00000000-0005-0000-0000-00009A0B0000}"/>
    <cellStyle name="스타일 2972" xfId="2508" xr:uid="{00000000-0005-0000-0000-00009B0B0000}"/>
    <cellStyle name="스타일 2973" xfId="2509" xr:uid="{00000000-0005-0000-0000-00009C0B0000}"/>
    <cellStyle name="스타일 2974" xfId="2510" xr:uid="{00000000-0005-0000-0000-00009D0B0000}"/>
    <cellStyle name="스타일 2975" xfId="2511" xr:uid="{00000000-0005-0000-0000-00009E0B0000}"/>
    <cellStyle name="스타일 2976" xfId="2512" xr:uid="{00000000-0005-0000-0000-00009F0B0000}"/>
    <cellStyle name="스타일 2977" xfId="2513" xr:uid="{00000000-0005-0000-0000-0000A00B0000}"/>
    <cellStyle name="스타일 2978" xfId="2514" xr:uid="{00000000-0005-0000-0000-0000A10B0000}"/>
    <cellStyle name="스타일 2979" xfId="2515" xr:uid="{00000000-0005-0000-0000-0000A20B0000}"/>
    <cellStyle name="스타일 2980" xfId="2516" xr:uid="{00000000-0005-0000-0000-0000A30B0000}"/>
    <cellStyle name="스타일 2981" xfId="2517" xr:uid="{00000000-0005-0000-0000-0000A40B0000}"/>
    <cellStyle name="스타일 2982" xfId="2518" xr:uid="{00000000-0005-0000-0000-0000A50B0000}"/>
    <cellStyle name="스타일 2983" xfId="3000" xr:uid="{00000000-0005-0000-0000-0000A60B0000}"/>
    <cellStyle name="스타일 2984" xfId="2519" xr:uid="{00000000-0005-0000-0000-0000A70B0000}"/>
    <cellStyle name="스타일 2985" xfId="2520" xr:uid="{00000000-0005-0000-0000-0000A80B0000}"/>
    <cellStyle name="스타일 2986" xfId="2521" xr:uid="{00000000-0005-0000-0000-0000A90B0000}"/>
    <cellStyle name="스타일 2987" xfId="2522" xr:uid="{00000000-0005-0000-0000-0000AA0B0000}"/>
    <cellStyle name="스타일 2988" xfId="2523" xr:uid="{00000000-0005-0000-0000-0000AB0B0000}"/>
    <cellStyle name="스타일 2989" xfId="2524" xr:uid="{00000000-0005-0000-0000-0000AC0B0000}"/>
    <cellStyle name="스타일 2990" xfId="2525" xr:uid="{00000000-0005-0000-0000-0000AD0B0000}"/>
    <cellStyle name="표준" xfId="0" builtinId="0"/>
    <cellStyle name="스타일 2991" xfId="2526" xr:uid="{00000000-0005-0000-0000-0000AF0B0000}"/>
    <cellStyle name="스타일 2992" xfId="2" xr:uid="{00000000-0005-0000-0000-0000B00B0000}"/>
    <cellStyle name="스타일 2993" xfId="3004" xr:uid="{00000000-0005-0000-0000-0000B10B0000}"/>
    <cellStyle name="스타일 2994" xfId="3013" xr:uid="{13B8EC3D-9A9E-4519-A216-31D1290C213C}"/>
    <cellStyle name="스타일 2995" xfId="2527" xr:uid="{00000000-0005-0000-0000-0000B20B0000}"/>
    <cellStyle name="스타일 2996" xfId="3014" xr:uid="{901F3825-D9F8-4A71-A1FC-7FA70D88A595}"/>
    <cellStyle name="스타일 2997" xfId="2528" xr:uid="{00000000-0005-0000-0000-0000B30B0000}"/>
    <cellStyle name="스타일 2998" xfId="2529" xr:uid="{00000000-0005-0000-0000-0000B40B0000}"/>
    <cellStyle name="스타일 2999" xfId="3012" xr:uid="{6D5AEE4F-C109-4C66-B20A-54647904E1BE}"/>
    <cellStyle name="스타일 3000" xfId="3003" xr:uid="{00000000-0005-0000-0000-0000B50B0000}"/>
    <cellStyle name="스타일 3001" xfId="3010" xr:uid="{A540897C-16BB-4C7B-84A6-59E8410023BE}"/>
    <cellStyle name="스타일 3002" xfId="3009" xr:uid="{E818C9FB-673F-41C3-84DD-AF2A71704738}"/>
    <cellStyle name="스타일 3003" xfId="3007" xr:uid="{5CED0811-9DDA-47D5-80E2-A6217A63004A}"/>
    <cellStyle name="스타일 3004" xfId="2530" xr:uid="{00000000-0005-0000-0000-0000B60B0000}"/>
    <cellStyle name="스타일 3005" xfId="3006" xr:uid="{394F3ABD-B138-47E5-AD7E-2BC7DBEF937F}"/>
    <cellStyle name="스타일 3006" xfId="3001" xr:uid="{00000000-0005-0000-0000-0000B70B0000}"/>
    <cellStyle name="스타일 3007" xfId="3008" xr:uid="{8958247D-45B0-4555-85D1-33329C14ED6D}"/>
    <cellStyle name="스타일 3008" xfId="2531" xr:uid="{00000000-0005-0000-0000-0000B80B0000}"/>
    <cellStyle name="스타일 3009" xfId="2532" xr:uid="{00000000-0005-0000-0000-0000B90B0000}"/>
    <cellStyle name="스타일 3010" xfId="2533" xr:uid="{00000000-0005-0000-0000-0000BA0B0000}"/>
    <cellStyle name="스타일 3011" xfId="2534" xr:uid="{00000000-0005-0000-0000-0000BB0B0000}"/>
    <cellStyle name="스타일 3012" xfId="2535" xr:uid="{00000000-0005-0000-0000-0000BC0B0000}"/>
    <cellStyle name="스타일 3013" xfId="2536" xr:uid="{00000000-0005-0000-0000-0000BD0B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worksheet" Target="worksheets/sheet7.xml"/><Relationship Id="rId14" Type="http://schemas.openxmlformats.org/officeDocument/2006/relationships/worksheet" Target="worksheets/sheet14.xml"/><Relationship Id="rId9" Type="http://schemas.openxmlformats.org/officeDocument/2006/relationships/worksheet" Target="worksheets/sheet9.xml"/><Relationship Id="rId2" Type="http://schemas.openxmlformats.org/officeDocument/2006/relationships/worksheet" Target="worksheets/sheet2.xml"/><Relationship Id="rId592" Type="http://schemas.openxmlformats.org/officeDocument/2006/relationships/styles" Target="styles.xml"/><Relationship Id="rId4" Type="http://schemas.openxmlformats.org/officeDocument/2006/relationships/worksheet" Target="worksheets/sheet4.xml"/><Relationship Id="rId594" Type="http://schemas.openxmlformats.org/officeDocument/2006/relationships/calcChain" Target="calcChain.xml"/><Relationship Id="rId11" Type="http://schemas.openxmlformats.org/officeDocument/2006/relationships/worksheet" Target="worksheets/sheet11.xml"/><Relationship Id="rId6" Type="http://schemas.openxmlformats.org/officeDocument/2006/relationships/worksheet" Target="worksheets/sheet6.xml"/><Relationship Id="rId13" Type="http://schemas.openxmlformats.org/officeDocument/2006/relationships/worksheet" Target="worksheets/sheet13.xml"/><Relationship Id="rId8" Type="http://schemas.openxmlformats.org/officeDocument/2006/relationships/worksheet" Target="worksheets/sheet8.xml"/><Relationship Id="rId1" Type="http://schemas.openxmlformats.org/officeDocument/2006/relationships/worksheet" Target="worksheets/sheet1.xml"/><Relationship Id="rId591" Type="http://schemas.openxmlformats.org/officeDocument/2006/relationships/theme" Target="theme/theme1.xml"/><Relationship Id="rId3" Type="http://schemas.openxmlformats.org/officeDocument/2006/relationships/worksheet" Target="worksheets/sheet3.xml"/><Relationship Id="rId59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2" Type="http://schemas.openxmlformats.org/officeDocument/2006/relationships/worksheet" Target="worksheets/sheet12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121755</xdr:colOff>
      <xdr:row>1</xdr:row>
      <xdr:rowOff>43899</xdr:rowOff>
    </xdr:from>
    <xdr:to>
      <xdr:col>10</xdr:col>
      <xdr:colOff>450160</xdr:colOff>
      <xdr:row>4</xdr:row>
      <xdr:rowOff>41414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607530" y="329649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600" b="1">
              <a:solidFill>
                <a:sysClr val="windowText" lastClr="000000"/>
              </a:solidFill>
              <a:latin typeface="HY견고딕" panose="02030600000101010101" pitchFamily="18" charset="-127"/>
              <a:ea typeface="HY견고딕" panose="02030600000101010101" pitchFamily="18" charset="-127"/>
            </a:rPr>
            <a:t>품 질 관 리 비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21805" y="1663149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13</xdr:col>
      <xdr:colOff>333375</xdr:colOff>
      <xdr:row>58</xdr:row>
      <xdr:rowOff>76200</xdr:rowOff>
    </xdr:from>
    <xdr:to>
      <xdr:col>15</xdr:col>
      <xdr:colOff>218320</xdr:colOff>
      <xdr:row>61</xdr:row>
      <xdr:rowOff>188554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7296250-8431-4E86-A210-9FE5F76C0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7100" y="8524875"/>
          <a:ext cx="856495" cy="8553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10</xdr:col>
      <xdr:colOff>9525</xdr:colOff>
      <xdr:row>0</xdr:row>
      <xdr:rowOff>0</xdr:rowOff>
    </xdr:to>
    <xdr:sp macro="" textlink="">
      <xdr:nvSpPr>
        <xdr:cNvPr id="2" name="Text 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>
          <a:spLocks noChangeArrowheads="1"/>
        </xdr:cNvSpPr>
      </xdr:nvSpPr>
      <xdr:spPr bwMode="auto">
        <a:xfrm>
          <a:off x="5610225" y="0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3" name="Text 10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4" name="Text 1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5" name="Text 1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6" name="Text 13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7" name="Text 1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8" name="Text 1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9" name="Text 16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0" name="Text 17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1" name="Text 18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2" name="Text 19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3" name="Text 20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4" name="Text 21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5" name="Text 2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6" name="Text 23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7" name="Text 24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30</xdr:row>
      <xdr:rowOff>0</xdr:rowOff>
    </xdr:from>
    <xdr:to>
      <xdr:col>10</xdr:col>
      <xdr:colOff>9525</xdr:colOff>
      <xdr:row>30</xdr:row>
      <xdr:rowOff>0</xdr:rowOff>
    </xdr:to>
    <xdr:sp macro="" textlink="">
      <xdr:nvSpPr>
        <xdr:cNvPr id="18" name="Text 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>
          <a:spLocks noChangeArrowheads="1"/>
        </xdr:cNvSpPr>
      </xdr:nvSpPr>
      <xdr:spPr bwMode="auto">
        <a:xfrm>
          <a:off x="5610225" y="2092642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19" name="Text 1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0" name="Text 1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1" name="Text 1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2" name="Text 1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3" name="Text 14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4" name="Text 15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5" name="Text 16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6" name="Text 17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7" name="Text 18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8" name="Text 19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9" name="Text 20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0" name="Text 21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1" name="Text 22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2" name="Text 23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3" name="Text 24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30</xdr:row>
      <xdr:rowOff>0</xdr:rowOff>
    </xdr:from>
    <xdr:to>
      <xdr:col>10</xdr:col>
      <xdr:colOff>9525</xdr:colOff>
      <xdr:row>30</xdr:row>
      <xdr:rowOff>0</xdr:rowOff>
    </xdr:to>
    <xdr:sp macro="" textlink="">
      <xdr:nvSpPr>
        <xdr:cNvPr id="34" name="Text 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 txBox="1">
          <a:spLocks noChangeArrowheads="1"/>
        </xdr:cNvSpPr>
      </xdr:nvSpPr>
      <xdr:spPr bwMode="auto">
        <a:xfrm>
          <a:off x="5610225" y="2092642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5" name="Text 10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6" name="Text 11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7" name="Text 12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8" name="Text 13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9" name="Text 14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0" name="Text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1" name="Text 16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2" name="Text 17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3" name="Text 18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4" name="Text 19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5" name="Text 20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6" name="Text 21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7" name="Text 22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8" name="Text 23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9" name="Text 24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</xdr:row>
          <xdr:rowOff>123825</xdr:rowOff>
        </xdr:from>
        <xdr:to>
          <xdr:col>17</xdr:col>
          <xdr:colOff>228600</xdr:colOff>
          <xdr:row>3</xdr:row>
          <xdr:rowOff>66675</xdr:rowOff>
        </xdr:to>
        <xdr:sp macro="" textlink="">
          <xdr:nvSpPr>
            <xdr:cNvPr id="19457" name="Butto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3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</xdr:row>
      <xdr:rowOff>224118</xdr:rowOff>
    </xdr:from>
    <xdr:to>
      <xdr:col>10</xdr:col>
      <xdr:colOff>89647</xdr:colOff>
      <xdr:row>1</xdr:row>
      <xdr:rowOff>224118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7DDB7D77-2EF9-43D5-BAD2-7B072179C037}"/>
            </a:ext>
          </a:extLst>
        </xdr:cNvPr>
        <xdr:cNvCxnSpPr/>
      </xdr:nvCxnSpPr>
      <xdr:spPr>
        <a:xfrm>
          <a:off x="2009775" y="490818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</xdr:row>
      <xdr:rowOff>257735</xdr:rowOff>
    </xdr:from>
    <xdr:to>
      <xdr:col>10</xdr:col>
      <xdr:colOff>100857</xdr:colOff>
      <xdr:row>1</xdr:row>
      <xdr:rowOff>257735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FEBE62AD-0F6D-4024-B708-2833977F0E2F}"/>
            </a:ext>
          </a:extLst>
        </xdr:cNvPr>
        <xdr:cNvCxnSpPr/>
      </xdr:nvCxnSpPr>
      <xdr:spPr>
        <a:xfrm>
          <a:off x="2020985" y="524435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41</xdr:row>
          <xdr:rowOff>123825</xdr:rowOff>
        </xdr:from>
        <xdr:to>
          <xdr:col>17</xdr:col>
          <xdr:colOff>228600</xdr:colOff>
          <xdr:row>43</xdr:row>
          <xdr:rowOff>66675</xdr:rowOff>
        </xdr:to>
        <xdr:sp macro="" textlink="">
          <xdr:nvSpPr>
            <xdr:cNvPr id="19461" name="Button 5" hidden="1">
              <a:extLst>
                <a:ext uri="{63B3BB69-23CF-44E3-9099-C40C66FF867C}">
                  <a14:compatExt spid="_x0000_s19461"/>
                </a:ext>
                <a:ext uri="{FF2B5EF4-FFF2-40B4-BE49-F238E27FC236}">
                  <a16:creationId xmlns:a16="http://schemas.microsoft.com/office/drawing/2014/main" id="{00000000-0008-0000-0300-000005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41</xdr:row>
      <xdr:rowOff>224118</xdr:rowOff>
    </xdr:from>
    <xdr:to>
      <xdr:col>10</xdr:col>
      <xdr:colOff>89647</xdr:colOff>
      <xdr:row>41</xdr:row>
      <xdr:rowOff>224118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789E9B99-D462-4581-B056-8BDA949C670A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41</xdr:row>
      <xdr:rowOff>257735</xdr:rowOff>
    </xdr:from>
    <xdr:to>
      <xdr:col>10</xdr:col>
      <xdr:colOff>100857</xdr:colOff>
      <xdr:row>41</xdr:row>
      <xdr:rowOff>257735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5BA37FCF-ACC1-4B34-9D54-20BF24875AA2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81</xdr:row>
          <xdr:rowOff>123825</xdr:rowOff>
        </xdr:from>
        <xdr:to>
          <xdr:col>17</xdr:col>
          <xdr:colOff>228600</xdr:colOff>
          <xdr:row>83</xdr:row>
          <xdr:rowOff>66675</xdr:rowOff>
        </xdr:to>
        <xdr:sp macro="" textlink="">
          <xdr:nvSpPr>
            <xdr:cNvPr id="19462" name="Button 6" hidden="1">
              <a:extLst>
                <a:ext uri="{63B3BB69-23CF-44E3-9099-C40C66FF867C}">
                  <a14:compatExt spid="_x0000_s19462"/>
                </a:ext>
                <a:ext uri="{FF2B5EF4-FFF2-40B4-BE49-F238E27FC236}">
                  <a16:creationId xmlns:a16="http://schemas.microsoft.com/office/drawing/2014/main" id="{00000000-0008-0000-0300-000006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81</xdr:row>
      <xdr:rowOff>224118</xdr:rowOff>
    </xdr:from>
    <xdr:to>
      <xdr:col>10</xdr:col>
      <xdr:colOff>89647</xdr:colOff>
      <xdr:row>81</xdr:row>
      <xdr:rowOff>224118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FF14B318-5B69-4F06-8C5A-A3C8621CB300}"/>
            </a:ext>
          </a:extLst>
        </xdr:cNvPr>
        <xdr:cNvCxnSpPr/>
      </xdr:nvCxnSpPr>
      <xdr:spPr>
        <a:xfrm>
          <a:off x="2017059" y="992841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81</xdr:row>
      <xdr:rowOff>257735</xdr:rowOff>
    </xdr:from>
    <xdr:to>
      <xdr:col>10</xdr:col>
      <xdr:colOff>100857</xdr:colOff>
      <xdr:row>81</xdr:row>
      <xdr:rowOff>257735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BFA88FC8-12E4-42D7-8E43-750AC667D2E5}"/>
            </a:ext>
          </a:extLst>
        </xdr:cNvPr>
        <xdr:cNvCxnSpPr/>
      </xdr:nvCxnSpPr>
      <xdr:spPr>
        <a:xfrm>
          <a:off x="2028269" y="996202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121</xdr:row>
          <xdr:rowOff>123825</xdr:rowOff>
        </xdr:from>
        <xdr:to>
          <xdr:col>17</xdr:col>
          <xdr:colOff>228600</xdr:colOff>
          <xdr:row>123</xdr:row>
          <xdr:rowOff>66675</xdr:rowOff>
        </xdr:to>
        <xdr:sp macro="" textlink="">
          <xdr:nvSpPr>
            <xdr:cNvPr id="19463" name="Button 7" hidden="1">
              <a:extLst>
                <a:ext uri="{63B3BB69-23CF-44E3-9099-C40C66FF867C}">
                  <a14:compatExt spid="_x0000_s19463"/>
                </a:ext>
                <a:ext uri="{FF2B5EF4-FFF2-40B4-BE49-F238E27FC236}">
                  <a16:creationId xmlns:a16="http://schemas.microsoft.com/office/drawing/2014/main" id="{00000000-0008-0000-0300-000007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121</xdr:row>
      <xdr:rowOff>224118</xdr:rowOff>
    </xdr:from>
    <xdr:to>
      <xdr:col>10</xdr:col>
      <xdr:colOff>89647</xdr:colOff>
      <xdr:row>121</xdr:row>
      <xdr:rowOff>224118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96D0DFFA-027D-46E4-9584-0241727EA1C9}"/>
            </a:ext>
          </a:extLst>
        </xdr:cNvPr>
        <xdr:cNvCxnSpPr/>
      </xdr:nvCxnSpPr>
      <xdr:spPr>
        <a:xfrm>
          <a:off x="2017059" y="992841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121</xdr:row>
      <xdr:rowOff>257735</xdr:rowOff>
    </xdr:from>
    <xdr:to>
      <xdr:col>10</xdr:col>
      <xdr:colOff>100857</xdr:colOff>
      <xdr:row>121</xdr:row>
      <xdr:rowOff>257735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AAE3867A-3A65-4432-80F7-33A4FFB0B2B1}"/>
            </a:ext>
          </a:extLst>
        </xdr:cNvPr>
        <xdr:cNvCxnSpPr/>
      </xdr:nvCxnSpPr>
      <xdr:spPr>
        <a:xfrm>
          <a:off x="2028269" y="996202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180975</xdr:colOff>
      <xdr:row>1</xdr:row>
      <xdr:rowOff>133350</xdr:rowOff>
    </xdr:from>
    <xdr:to>
      <xdr:col>11</xdr:col>
      <xdr:colOff>23605</xdr:colOff>
      <xdr:row>4</xdr:row>
      <xdr:rowOff>130865</xdr:rowOff>
    </xdr:to>
    <xdr:sp macro="" textlink="">
      <xdr:nvSpPr>
        <xdr:cNvPr id="3" name="위쪽 리본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 bwMode="auto">
        <a:xfrm>
          <a:off x="666750" y="419100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600" b="1">
              <a:solidFill>
                <a:sysClr val="windowText" lastClr="000000"/>
              </a:solidFill>
              <a:latin typeface="HY견고딕" panose="02030600000101010101" pitchFamily="18" charset="-127"/>
              <a:ea typeface="HY견고딕" panose="02030600000101010101" pitchFamily="18" charset="-127"/>
            </a:rPr>
            <a:t>안  전  관  리  비</a:t>
          </a:r>
        </a:p>
      </xdr:txBody>
    </xdr:sp>
    <xdr:clientData/>
  </xdr:twoCellAnchor>
  <xdr:twoCellAnchor editAs="oneCell">
    <xdr:from>
      <xdr:col>2</xdr:col>
      <xdr:colOff>19050</xdr:colOff>
      <xdr:row>28</xdr:row>
      <xdr:rowOff>9525</xdr:rowOff>
    </xdr:from>
    <xdr:to>
      <xdr:col>2</xdr:col>
      <xdr:colOff>390525</xdr:colOff>
      <xdr:row>28</xdr:row>
      <xdr:rowOff>361950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B038AF30-C8F8-4470-BF92-87E62FA36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0600" y="8010525"/>
          <a:ext cx="371475" cy="352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 bwMode="auto">
        <a:xfrm>
          <a:off x="483705" y="0"/>
          <a:ext cx="5374170" cy="0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14</xdr:col>
      <xdr:colOff>76200</xdr:colOff>
      <xdr:row>57</xdr:row>
      <xdr:rowOff>57150</xdr:rowOff>
    </xdr:from>
    <xdr:to>
      <xdr:col>15</xdr:col>
      <xdr:colOff>446920</xdr:colOff>
      <xdr:row>60</xdr:row>
      <xdr:rowOff>283804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8E87001-B5B9-4E24-86EC-E761A8D43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700047">
          <a:off x="7505700" y="8324850"/>
          <a:ext cx="856495" cy="85530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C7427E49-7113-416E-9CC1-37D9E6523BA1}"/>
            </a:ext>
          </a:extLst>
        </xdr:cNvPr>
        <xdr:cNvSpPr/>
      </xdr:nvSpPr>
      <xdr:spPr bwMode="auto">
        <a:xfrm>
          <a:off x="483705" y="0"/>
          <a:ext cx="5374170" cy="0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14</xdr:col>
      <xdr:colOff>76200</xdr:colOff>
      <xdr:row>57</xdr:row>
      <xdr:rowOff>57150</xdr:rowOff>
    </xdr:from>
    <xdr:to>
      <xdr:col>15</xdr:col>
      <xdr:colOff>446920</xdr:colOff>
      <xdr:row>60</xdr:row>
      <xdr:rowOff>283804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52F532-7799-46B0-9B9F-A3E51AA84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700047">
          <a:off x="7505700" y="8324850"/>
          <a:ext cx="856495" cy="85530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10</xdr:col>
      <xdr:colOff>9525</xdr:colOff>
      <xdr:row>0</xdr:row>
      <xdr:rowOff>0</xdr:rowOff>
    </xdr:to>
    <xdr:sp macro="" textlink="">
      <xdr:nvSpPr>
        <xdr:cNvPr id="2" name="Text 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05450" y="0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3" name="Text 10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4" name="Text 1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5" name="Text 12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6" name="Text 13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7" name="Text 1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8" name="Text 15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9" name="Text 16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0" name="Text 17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1" name="Text 18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2" name="Text 19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3" name="Text 20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4" name="Text 21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5" name="Text 2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6" name="Text 23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7" name="Text 24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34</xdr:row>
      <xdr:rowOff>0</xdr:rowOff>
    </xdr:from>
    <xdr:to>
      <xdr:col>10</xdr:col>
      <xdr:colOff>9525</xdr:colOff>
      <xdr:row>34</xdr:row>
      <xdr:rowOff>0</xdr:rowOff>
    </xdr:to>
    <xdr:sp macro="" textlink="">
      <xdr:nvSpPr>
        <xdr:cNvPr id="18" name="Text 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5505450" y="985837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19" name="Text 10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0" name="Text 11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1" name="Text 1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2" name="Text 13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3" name="Text 14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4" name="Text 15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5" name="Text 16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6" name="Text 17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7" name="Text 18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8" name="Text 19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9" name="Text 20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0" name="Text 21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1" name="Text 2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2" name="Text 23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3" name="Text 24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34</xdr:row>
      <xdr:rowOff>0</xdr:rowOff>
    </xdr:from>
    <xdr:to>
      <xdr:col>10</xdr:col>
      <xdr:colOff>9525</xdr:colOff>
      <xdr:row>34</xdr:row>
      <xdr:rowOff>0</xdr:rowOff>
    </xdr:to>
    <xdr:sp macro="" textlink="">
      <xdr:nvSpPr>
        <xdr:cNvPr id="34" name="Text 7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5505450" y="985837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5" name="Text 1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6" name="Text 1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7" name="Text 1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8" name="Text 1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9" name="Text 1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0" name="Text 1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1" name="Text 1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2" name="Text 1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3" name="Text 1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4" name="Text 1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5" name="Text 2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6" name="Text 2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7" name="Text 2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8" name="Text 2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9" name="Text 2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</xdr:row>
          <xdr:rowOff>123825</xdr:rowOff>
        </xdr:from>
        <xdr:to>
          <xdr:col>17</xdr:col>
          <xdr:colOff>228600</xdr:colOff>
          <xdr:row>3</xdr:row>
          <xdr:rowOff>66675</xdr:rowOff>
        </xdr:to>
        <xdr:sp macro="" textlink="">
          <xdr:nvSpPr>
            <xdr:cNvPr id="17409" name="Button 1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A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</xdr:row>
      <xdr:rowOff>224118</xdr:rowOff>
    </xdr:from>
    <xdr:to>
      <xdr:col>10</xdr:col>
      <xdr:colOff>89647</xdr:colOff>
      <xdr:row>1</xdr:row>
      <xdr:rowOff>224118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C944E398-3B2C-4976-9D3B-83BED23E267A}"/>
            </a:ext>
          </a:extLst>
        </xdr:cNvPr>
        <xdr:cNvCxnSpPr/>
      </xdr:nvCxnSpPr>
      <xdr:spPr>
        <a:xfrm>
          <a:off x="2009775" y="490818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</xdr:row>
      <xdr:rowOff>257735</xdr:rowOff>
    </xdr:from>
    <xdr:to>
      <xdr:col>10</xdr:col>
      <xdr:colOff>100857</xdr:colOff>
      <xdr:row>1</xdr:row>
      <xdr:rowOff>257735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FDE5FAC4-94A1-477E-8A25-20D5ABE3469E}"/>
            </a:ext>
          </a:extLst>
        </xdr:cNvPr>
        <xdr:cNvCxnSpPr/>
      </xdr:nvCxnSpPr>
      <xdr:spPr>
        <a:xfrm>
          <a:off x="2020985" y="524435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41</xdr:row>
          <xdr:rowOff>123825</xdr:rowOff>
        </xdr:from>
        <xdr:to>
          <xdr:col>17</xdr:col>
          <xdr:colOff>228600</xdr:colOff>
          <xdr:row>43</xdr:row>
          <xdr:rowOff>66675</xdr:rowOff>
        </xdr:to>
        <xdr:sp macro="" textlink="">
          <xdr:nvSpPr>
            <xdr:cNvPr id="17410" name="Button 2" hidden="1">
              <a:extLst>
                <a:ext uri="{63B3BB69-23CF-44E3-9099-C40C66FF867C}">
                  <a14:compatExt spid="_x0000_s17410"/>
                </a:ext>
                <a:ext uri="{FF2B5EF4-FFF2-40B4-BE49-F238E27FC236}">
                  <a16:creationId xmlns:a16="http://schemas.microsoft.com/office/drawing/2014/main" id="{00000000-0008-0000-0A00-000002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41</xdr:row>
      <xdr:rowOff>224118</xdr:rowOff>
    </xdr:from>
    <xdr:to>
      <xdr:col>10</xdr:col>
      <xdr:colOff>89647</xdr:colOff>
      <xdr:row>41</xdr:row>
      <xdr:rowOff>224118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44AF2703-ADAB-44F1-B89F-C2E7A7CB7668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41</xdr:row>
      <xdr:rowOff>257735</xdr:rowOff>
    </xdr:from>
    <xdr:to>
      <xdr:col>10</xdr:col>
      <xdr:colOff>100857</xdr:colOff>
      <xdr:row>41</xdr:row>
      <xdr:rowOff>257735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7B2E6BF8-1F2E-4E32-8E80-CC5CD61422B7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81</xdr:row>
          <xdr:rowOff>123825</xdr:rowOff>
        </xdr:from>
        <xdr:to>
          <xdr:col>17</xdr:col>
          <xdr:colOff>228600</xdr:colOff>
          <xdr:row>83</xdr:row>
          <xdr:rowOff>66675</xdr:rowOff>
        </xdr:to>
        <xdr:sp macro="" textlink="">
          <xdr:nvSpPr>
            <xdr:cNvPr id="17411" name="Button 3" hidden="1">
              <a:extLst>
                <a:ext uri="{63B3BB69-23CF-44E3-9099-C40C66FF867C}">
                  <a14:compatExt spid="_x0000_s17411"/>
                </a:ext>
                <a:ext uri="{FF2B5EF4-FFF2-40B4-BE49-F238E27FC236}">
                  <a16:creationId xmlns:a16="http://schemas.microsoft.com/office/drawing/2014/main" id="{00000000-0008-0000-0A00-000003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81</xdr:row>
      <xdr:rowOff>224118</xdr:rowOff>
    </xdr:from>
    <xdr:to>
      <xdr:col>10</xdr:col>
      <xdr:colOff>89647</xdr:colOff>
      <xdr:row>81</xdr:row>
      <xdr:rowOff>224118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46E0862E-1380-4FBE-B497-3E87F5A729D6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81</xdr:row>
      <xdr:rowOff>257735</xdr:rowOff>
    </xdr:from>
    <xdr:to>
      <xdr:col>10</xdr:col>
      <xdr:colOff>100857</xdr:colOff>
      <xdr:row>81</xdr:row>
      <xdr:rowOff>257735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24173055-1FA2-46C6-AC9B-1D3C6BA0F710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121</xdr:row>
          <xdr:rowOff>123825</xdr:rowOff>
        </xdr:from>
        <xdr:to>
          <xdr:col>17</xdr:col>
          <xdr:colOff>228600</xdr:colOff>
          <xdr:row>123</xdr:row>
          <xdr:rowOff>66675</xdr:rowOff>
        </xdr:to>
        <xdr:sp macro="" textlink="">
          <xdr:nvSpPr>
            <xdr:cNvPr id="17418" name="Button 10" hidden="1">
              <a:extLst>
                <a:ext uri="{63B3BB69-23CF-44E3-9099-C40C66FF867C}">
                  <a14:compatExt spid="_x0000_s17418"/>
                </a:ext>
                <a:ext uri="{FF2B5EF4-FFF2-40B4-BE49-F238E27FC236}">
                  <a16:creationId xmlns:a16="http://schemas.microsoft.com/office/drawing/2014/main" id="{00000000-0008-0000-0A00-00000A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121</xdr:row>
      <xdr:rowOff>224118</xdr:rowOff>
    </xdr:from>
    <xdr:to>
      <xdr:col>10</xdr:col>
      <xdr:colOff>89647</xdr:colOff>
      <xdr:row>121</xdr:row>
      <xdr:rowOff>224118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FD011FAA-76F3-4C1A-9FAA-30FA1CFEDF37}"/>
            </a:ext>
          </a:extLst>
        </xdr:cNvPr>
        <xdr:cNvCxnSpPr/>
      </xdr:nvCxnSpPr>
      <xdr:spPr>
        <a:xfrm>
          <a:off x="2017059" y="19363765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121</xdr:row>
      <xdr:rowOff>257735</xdr:rowOff>
    </xdr:from>
    <xdr:to>
      <xdr:col>10</xdr:col>
      <xdr:colOff>100857</xdr:colOff>
      <xdr:row>121</xdr:row>
      <xdr:rowOff>257735</xdr:rowOff>
    </xdr:to>
    <xdr:cxnSp macro="">
      <xdr:nvCxnSpPr>
        <xdr:cNvPr id="9" name="직선 연결선 8">
          <a:extLst>
            <a:ext uri="{FF2B5EF4-FFF2-40B4-BE49-F238E27FC236}">
              <a16:creationId xmlns:a16="http://schemas.microsoft.com/office/drawing/2014/main" id="{BCCB9955-9381-4FAD-B3B1-A96E2DD677B5}"/>
            </a:ext>
          </a:extLst>
        </xdr:cNvPr>
        <xdr:cNvCxnSpPr/>
      </xdr:nvCxnSpPr>
      <xdr:spPr>
        <a:xfrm>
          <a:off x="2028269" y="1939738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161</xdr:row>
          <xdr:rowOff>123825</xdr:rowOff>
        </xdr:from>
        <xdr:to>
          <xdr:col>17</xdr:col>
          <xdr:colOff>228600</xdr:colOff>
          <xdr:row>163</xdr:row>
          <xdr:rowOff>66675</xdr:rowOff>
        </xdr:to>
        <xdr:sp macro="" textlink="">
          <xdr:nvSpPr>
            <xdr:cNvPr id="17419" name="Button 11" hidden="1">
              <a:extLst>
                <a:ext uri="{63B3BB69-23CF-44E3-9099-C40C66FF867C}">
                  <a14:compatExt spid="_x0000_s17419"/>
                </a:ext>
                <a:ext uri="{FF2B5EF4-FFF2-40B4-BE49-F238E27FC236}">
                  <a16:creationId xmlns:a16="http://schemas.microsoft.com/office/drawing/2014/main" id="{00000000-0008-0000-0A00-00000B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161</xdr:row>
      <xdr:rowOff>224118</xdr:rowOff>
    </xdr:from>
    <xdr:to>
      <xdr:col>10</xdr:col>
      <xdr:colOff>89647</xdr:colOff>
      <xdr:row>161</xdr:row>
      <xdr:rowOff>224118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A865EDC1-8097-49F6-BB18-7D4DEC7D1868}"/>
            </a:ext>
          </a:extLst>
        </xdr:cNvPr>
        <xdr:cNvCxnSpPr/>
      </xdr:nvCxnSpPr>
      <xdr:spPr>
        <a:xfrm>
          <a:off x="2017059" y="19363765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161</xdr:row>
      <xdr:rowOff>257735</xdr:rowOff>
    </xdr:from>
    <xdr:to>
      <xdr:col>10</xdr:col>
      <xdr:colOff>100857</xdr:colOff>
      <xdr:row>161</xdr:row>
      <xdr:rowOff>257735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65E0AED2-C7F8-4844-87DF-221668B2FF83}"/>
            </a:ext>
          </a:extLst>
        </xdr:cNvPr>
        <xdr:cNvCxnSpPr/>
      </xdr:nvCxnSpPr>
      <xdr:spPr>
        <a:xfrm>
          <a:off x="2028269" y="1939738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201</xdr:row>
          <xdr:rowOff>123825</xdr:rowOff>
        </xdr:from>
        <xdr:to>
          <xdr:col>17</xdr:col>
          <xdr:colOff>228600</xdr:colOff>
          <xdr:row>203</xdr:row>
          <xdr:rowOff>66675</xdr:rowOff>
        </xdr:to>
        <xdr:sp macro="" textlink="">
          <xdr:nvSpPr>
            <xdr:cNvPr id="17431" name="Button 23" hidden="1">
              <a:extLst>
                <a:ext uri="{63B3BB69-23CF-44E3-9099-C40C66FF867C}">
                  <a14:compatExt spid="_x0000_s17431"/>
                </a:ext>
                <a:ext uri="{FF2B5EF4-FFF2-40B4-BE49-F238E27FC236}">
                  <a16:creationId xmlns:a16="http://schemas.microsoft.com/office/drawing/2014/main" id="{00000000-0008-0000-0A00-000017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201</xdr:row>
      <xdr:rowOff>224118</xdr:rowOff>
    </xdr:from>
    <xdr:to>
      <xdr:col>10</xdr:col>
      <xdr:colOff>89647</xdr:colOff>
      <xdr:row>201</xdr:row>
      <xdr:rowOff>224118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396FF5E1-8294-4EEE-92CB-E27AFB05D8F9}"/>
            </a:ext>
          </a:extLst>
        </xdr:cNvPr>
        <xdr:cNvCxnSpPr/>
      </xdr:nvCxnSpPr>
      <xdr:spPr>
        <a:xfrm>
          <a:off x="2017059" y="38234471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201</xdr:row>
      <xdr:rowOff>257735</xdr:rowOff>
    </xdr:from>
    <xdr:to>
      <xdr:col>10</xdr:col>
      <xdr:colOff>100857</xdr:colOff>
      <xdr:row>201</xdr:row>
      <xdr:rowOff>257735</xdr:rowOff>
    </xdr:to>
    <xdr:cxnSp macro="">
      <xdr:nvCxnSpPr>
        <xdr:cNvPr id="17" name="직선 연결선 16">
          <a:extLst>
            <a:ext uri="{FF2B5EF4-FFF2-40B4-BE49-F238E27FC236}">
              <a16:creationId xmlns:a16="http://schemas.microsoft.com/office/drawing/2014/main" id="{854411A8-03AC-4DB4-BC99-13753D7E3B35}"/>
            </a:ext>
          </a:extLst>
        </xdr:cNvPr>
        <xdr:cNvCxnSpPr/>
      </xdr:nvCxnSpPr>
      <xdr:spPr>
        <a:xfrm>
          <a:off x="2028269" y="38268088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241</xdr:row>
          <xdr:rowOff>123825</xdr:rowOff>
        </xdr:from>
        <xdr:to>
          <xdr:col>17</xdr:col>
          <xdr:colOff>228600</xdr:colOff>
          <xdr:row>243</xdr:row>
          <xdr:rowOff>66675</xdr:rowOff>
        </xdr:to>
        <xdr:sp macro="" textlink="">
          <xdr:nvSpPr>
            <xdr:cNvPr id="17432" name="Button 24" hidden="1">
              <a:extLst>
                <a:ext uri="{63B3BB69-23CF-44E3-9099-C40C66FF867C}">
                  <a14:compatExt spid="_x0000_s17432"/>
                </a:ext>
                <a:ext uri="{FF2B5EF4-FFF2-40B4-BE49-F238E27FC236}">
                  <a16:creationId xmlns:a16="http://schemas.microsoft.com/office/drawing/2014/main" id="{00000000-0008-0000-0A00-000018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241</xdr:row>
      <xdr:rowOff>224118</xdr:rowOff>
    </xdr:from>
    <xdr:to>
      <xdr:col>10</xdr:col>
      <xdr:colOff>89647</xdr:colOff>
      <xdr:row>241</xdr:row>
      <xdr:rowOff>224118</xdr:rowOff>
    </xdr:to>
    <xdr:cxnSp macro="">
      <xdr:nvCxnSpPr>
        <xdr:cNvPr id="20" name="직선 연결선 19">
          <a:extLst>
            <a:ext uri="{FF2B5EF4-FFF2-40B4-BE49-F238E27FC236}">
              <a16:creationId xmlns:a16="http://schemas.microsoft.com/office/drawing/2014/main" id="{BF6DFFE9-7501-4B6C-A2DF-0D5C75165180}"/>
            </a:ext>
          </a:extLst>
        </xdr:cNvPr>
        <xdr:cNvCxnSpPr/>
      </xdr:nvCxnSpPr>
      <xdr:spPr>
        <a:xfrm>
          <a:off x="2017059" y="47669824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241</xdr:row>
      <xdr:rowOff>257735</xdr:rowOff>
    </xdr:from>
    <xdr:to>
      <xdr:col>10</xdr:col>
      <xdr:colOff>100857</xdr:colOff>
      <xdr:row>241</xdr:row>
      <xdr:rowOff>257735</xdr:rowOff>
    </xdr:to>
    <xdr:cxnSp macro="">
      <xdr:nvCxnSpPr>
        <xdr:cNvPr id="21" name="직선 연결선 20">
          <a:extLst>
            <a:ext uri="{FF2B5EF4-FFF2-40B4-BE49-F238E27FC236}">
              <a16:creationId xmlns:a16="http://schemas.microsoft.com/office/drawing/2014/main" id="{311E11E6-A594-4571-A468-85C1A004B0BA}"/>
            </a:ext>
          </a:extLst>
        </xdr:cNvPr>
        <xdr:cNvCxnSpPr/>
      </xdr:nvCxnSpPr>
      <xdr:spPr>
        <a:xfrm>
          <a:off x="2028269" y="47703441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1</xdr:row>
      <xdr:rowOff>47624</xdr:rowOff>
    </xdr:from>
    <xdr:to>
      <xdr:col>2</xdr:col>
      <xdr:colOff>3400425</xdr:colOff>
      <xdr:row>1</xdr:row>
      <xdr:rowOff>2562225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A09A91B8-431F-4AD9-A1E0-67F27341443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98" t="62984" r="17544" b="326"/>
        <a:stretch/>
      </xdr:blipFill>
      <xdr:spPr bwMode="auto">
        <a:xfrm>
          <a:off x="1676401" y="65693924"/>
          <a:ext cx="3352799" cy="25146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85725</xdr:colOff>
      <xdr:row>1</xdr:row>
      <xdr:rowOff>66675</xdr:rowOff>
    </xdr:from>
    <xdr:to>
      <xdr:col>3</xdr:col>
      <xdr:colOff>3752850</xdr:colOff>
      <xdr:row>1</xdr:row>
      <xdr:rowOff>2552700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829A5BD-9C5F-4EF5-8398-E18989D4048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0" b="61231"/>
        <a:stretch/>
      </xdr:blipFill>
      <xdr:spPr bwMode="auto">
        <a:xfrm>
          <a:off x="5191125" y="65712975"/>
          <a:ext cx="3667125" cy="2486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9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10" Type="http://schemas.openxmlformats.org/officeDocument/2006/relationships/ctrlProp" Target="../ctrlProps/ctrlProp11.xml"/><Relationship Id="rId4" Type="http://schemas.openxmlformats.org/officeDocument/2006/relationships/ctrlProp" Target="../ctrlProps/ctrlProp5.xml"/><Relationship Id="rId9" Type="http://schemas.openxmlformats.org/officeDocument/2006/relationships/ctrlProp" Target="../ctrlProps/ctrlProp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L33"/>
  <sheetViews>
    <sheetView view="pageBreakPreview" topLeftCell="A13" zoomScaleSheetLayoutView="100" workbookViewId="0">
      <selection activeCell="C28" sqref="C28"/>
    </sheetView>
  </sheetViews>
  <sheetFormatPr defaultColWidth="6.375" defaultRowHeight="22.5" customHeight="1"/>
  <cols>
    <col min="1" max="16384" width="6.375" style="2"/>
  </cols>
  <sheetData>
    <row r="6" spans="1:12" ht="22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customHeight="1">
      <c r="A8" s="300" t="s">
        <v>303</v>
      </c>
      <c r="B8" s="300"/>
      <c r="C8" s="300"/>
      <c r="D8" s="300"/>
      <c r="E8" s="300"/>
      <c r="F8" s="300"/>
      <c r="G8" s="300"/>
      <c r="H8" s="300"/>
      <c r="I8" s="300"/>
      <c r="J8" s="300"/>
      <c r="K8" s="300"/>
      <c r="L8" s="300"/>
    </row>
    <row r="9" spans="1:12" ht="22.5" customHeight="1">
      <c r="A9" s="190"/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</row>
    <row r="10" spans="1:12" ht="22.5" customHeight="1">
      <c r="A10" s="190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ht="22.5" customHeight="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</row>
    <row r="12" spans="1:12" ht="22.5" customHeight="1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</row>
    <row r="13" spans="1:12" ht="22.5" customHeight="1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</row>
    <row r="14" spans="1:12" ht="22.5" customHeight="1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</row>
    <row r="15" spans="1:12" ht="22.5" customHeight="1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</row>
    <row r="16" spans="1:12" ht="22.5" customHeight="1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</row>
    <row r="17" spans="1:12" ht="22.5" customHeight="1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</row>
    <row r="18" spans="1:12" ht="22.5" customHeight="1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</row>
    <row r="19" spans="1:12" ht="22.5" customHeight="1">
      <c r="A19" s="304" t="s">
        <v>304</v>
      </c>
      <c r="B19" s="304"/>
      <c r="C19" s="304"/>
      <c r="D19" s="304"/>
      <c r="E19" s="304"/>
      <c r="F19" s="304"/>
      <c r="G19" s="304"/>
      <c r="H19" s="304"/>
      <c r="I19" s="304"/>
      <c r="J19" s="304"/>
      <c r="K19" s="304"/>
      <c r="L19" s="304"/>
    </row>
    <row r="20" spans="1:12" ht="22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 ht="22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 ht="22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ht="22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ht="22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 ht="22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 ht="22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ht="22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ht="22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 ht="22.5" customHeight="1">
      <c r="A29" s="4"/>
      <c r="B29" s="4"/>
      <c r="C29" s="4"/>
      <c r="D29" s="301"/>
      <c r="E29" s="301"/>
      <c r="F29" s="301"/>
      <c r="G29" s="301"/>
      <c r="H29" s="301"/>
      <c r="I29" s="301"/>
      <c r="J29" s="4"/>
      <c r="K29" s="4"/>
      <c r="L29" s="4"/>
    </row>
    <row r="30" spans="1:12" ht="22.5" customHeight="1">
      <c r="A30" s="4"/>
      <c r="B30" s="4"/>
      <c r="C30" s="4"/>
      <c r="D30" s="302" t="s">
        <v>305</v>
      </c>
      <c r="E30" s="302"/>
      <c r="F30" s="302"/>
      <c r="G30" s="302"/>
      <c r="H30" s="302"/>
      <c r="I30" s="302"/>
      <c r="J30" s="4"/>
      <c r="K30" s="4"/>
      <c r="L30" s="4"/>
    </row>
    <row r="31" spans="1:12" ht="22.5" customHeight="1">
      <c r="A31" s="5"/>
      <c r="B31" s="5"/>
      <c r="D31" s="303"/>
      <c r="E31" s="303"/>
      <c r="F31" s="303"/>
      <c r="G31" s="303"/>
      <c r="H31" s="303"/>
      <c r="I31" s="303"/>
    </row>
    <row r="32" spans="1:12" ht="22.5" customHeight="1">
      <c r="A32" s="5"/>
      <c r="B32" s="5"/>
    </row>
    <row r="33" spans="1:2" ht="22.5" customHeight="1">
      <c r="A33" s="8"/>
      <c r="B33" s="8"/>
    </row>
  </sheetData>
  <mergeCells count="5">
    <mergeCell ref="A8:L8"/>
    <mergeCell ref="D29:I29"/>
    <mergeCell ref="D30:I30"/>
    <mergeCell ref="D31:I31"/>
    <mergeCell ref="A19:L19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&amp;R&amp;"맑은 고딕,보통"&amp;8&amp;K808080K-건설맵 · k-conmap.com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4">
    <tabColor rgb="FFFF0000"/>
  </sheetPr>
  <dimension ref="A1:Q61"/>
  <sheetViews>
    <sheetView view="pageBreakPreview" topLeftCell="A38" zoomScaleSheetLayoutView="100" workbookViewId="0">
      <selection activeCell="I44" sqref="I44:K44"/>
    </sheetView>
  </sheetViews>
  <sheetFormatPr defaultColWidth="6.375" defaultRowHeight="22.5" customHeight="1"/>
  <cols>
    <col min="1" max="2" width="5.875" style="2" customWidth="1"/>
    <col min="3" max="6" width="7.125" style="2" customWidth="1"/>
    <col min="7" max="8" width="6.5" style="2" customWidth="1"/>
    <col min="9" max="12" width="7.875" style="2" customWidth="1"/>
    <col min="13" max="15" width="6.375" style="2"/>
    <col min="16" max="16" width="13.2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292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0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0.75" customHeight="1">
      <c r="A35" s="330" t="s">
        <v>184</v>
      </c>
      <c r="B35" s="330"/>
      <c r="C35" s="331" t="str">
        <v>○○○</v>
      </c>
      <c r="D35" s="332"/>
      <c r="E35" s="332"/>
      <c r="F35" s="333"/>
      <c r="G35" s="330" t="s">
        <v>185</v>
      </c>
      <c r="H35" s="330"/>
      <c r="I35" s="334" t="str">
        <v>○○○</v>
      </c>
      <c r="J35" s="335"/>
      <c r="K35" s="335"/>
      <c r="L35" s="336"/>
    </row>
    <row r="36" spans="1:17" ht="30.7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189</v>
      </c>
      <c r="J36" s="338"/>
      <c r="K36" s="338"/>
      <c r="L36" s="339"/>
    </row>
    <row r="37" spans="1:17" ht="24.75" customHeight="1">
      <c r="A37" s="330" t="s">
        <v>124</v>
      </c>
      <c r="B37" s="330"/>
      <c r="C37" s="309">
        <v>3024841000</v>
      </c>
      <c r="D37" s="340"/>
      <c r="E37" s="340"/>
      <c r="F37" s="341"/>
      <c r="G37" s="330" t="s">
        <v>125</v>
      </c>
      <c r="H37" s="330"/>
      <c r="I37" s="324" t="s">
        <v>190</v>
      </c>
      <c r="J37" s="324"/>
      <c r="K37" s="325"/>
      <c r="L37" s="325"/>
    </row>
    <row r="38" spans="1:17" ht="24.75" customHeight="1">
      <c r="A38" s="330"/>
      <c r="B38" s="330"/>
      <c r="C38" s="342"/>
      <c r="D38" s="343"/>
      <c r="E38" s="343"/>
      <c r="F38" s="344"/>
      <c r="G38" s="330"/>
      <c r="H38" s="330"/>
      <c r="I38" s="326" t="s">
        <v>295</v>
      </c>
      <c r="J38" s="327"/>
      <c r="K38" s="328"/>
      <c r="L38" s="329"/>
    </row>
    <row r="39" spans="1:17" ht="27.75" customHeight="1">
      <c r="A39" s="330" t="s">
        <v>1</v>
      </c>
      <c r="B39" s="330"/>
      <c r="C39" s="347" t="s">
        <v>166</v>
      </c>
      <c r="D39" s="347"/>
      <c r="E39" s="347"/>
      <c r="F39" s="347"/>
      <c r="G39" s="330" t="s">
        <v>2</v>
      </c>
      <c r="H39" s="330"/>
      <c r="I39" s="348">
        <v>0.85319999999999996</v>
      </c>
      <c r="J39" s="349"/>
      <c r="K39" s="349"/>
      <c r="L39" s="350"/>
    </row>
    <row r="40" spans="1:17" ht="16.5" customHeight="1">
      <c r="A40" s="305" t="s">
        <v>170</v>
      </c>
      <c r="B40" s="306"/>
      <c r="C40" s="309">
        <v>73377060</v>
      </c>
      <c r="D40" s="310"/>
      <c r="E40" s="310"/>
      <c r="F40" s="311"/>
      <c r="G40" s="305" t="s">
        <v>169</v>
      </c>
      <c r="H40" s="306"/>
      <c r="I40" s="317">
        <f>I52/C40</f>
        <v>0.14852066844869499</v>
      </c>
      <c r="J40" s="318"/>
      <c r="K40" s="318"/>
      <c r="L40" s="319"/>
    </row>
    <row r="41" spans="1:17" ht="23.25" customHeight="1">
      <c r="A41" s="307"/>
      <c r="B41" s="308"/>
      <c r="C41" s="312"/>
      <c r="D41" s="313"/>
      <c r="E41" s="313"/>
      <c r="F41" s="314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300</v>
      </c>
    </row>
    <row r="43" spans="1:17" ht="29.25" customHeight="1">
      <c r="A43" s="337" t="s">
        <v>4</v>
      </c>
      <c r="B43" s="338"/>
      <c r="C43" s="338"/>
      <c r="D43" s="339"/>
      <c r="E43" s="337" t="s">
        <v>293</v>
      </c>
      <c r="F43" s="339"/>
      <c r="G43" s="337" t="s">
        <v>294</v>
      </c>
      <c r="H43" s="339"/>
      <c r="I43" s="337" t="s">
        <v>168</v>
      </c>
      <c r="J43" s="338"/>
      <c r="K43" s="339"/>
      <c r="L43" s="158" t="s">
        <v>167</v>
      </c>
      <c r="P43" s="152">
        <v>4603010</v>
      </c>
    </row>
    <row r="44" spans="1:17" ht="29.25" customHeight="1">
      <c r="A44" s="351" t="s">
        <v>201</v>
      </c>
      <c r="B44" s="352"/>
      <c r="C44" s="352"/>
      <c r="D44" s="353"/>
      <c r="E44" s="354">
        <v>10898010</v>
      </c>
      <c r="F44" s="355"/>
      <c r="G44" s="356">
        <v>0</v>
      </c>
      <c r="H44" s="357"/>
      <c r="I44" s="356">
        <f>E44+G44</f>
        <v>10898010</v>
      </c>
      <c r="J44" s="367"/>
      <c r="K44" s="357"/>
      <c r="L44" s="163"/>
      <c r="P44" s="368">
        <f>I44</f>
        <v>10898010</v>
      </c>
      <c r="Q44" s="358"/>
    </row>
    <row r="45" spans="1:17" ht="29.25" customHeight="1">
      <c r="A45" s="351"/>
      <c r="B45" s="352"/>
      <c r="C45" s="352"/>
      <c r="D45" s="353"/>
      <c r="E45" s="354">
        <v>0</v>
      </c>
      <c r="F45" s="355"/>
      <c r="G45" s="356">
        <v>0</v>
      </c>
      <c r="H45" s="357"/>
      <c r="I45" s="356">
        <f>E45+G45</f>
        <v>0</v>
      </c>
      <c r="J45" s="367"/>
      <c r="K45" s="357"/>
      <c r="L45" s="163"/>
      <c r="P45" s="368">
        <f t="shared" ref="P45:P51" si="0">I45</f>
        <v>0</v>
      </c>
      <c r="Q45" s="358"/>
    </row>
    <row r="46" spans="1:17" ht="29.25" customHeight="1">
      <c r="A46" s="351"/>
      <c r="B46" s="352"/>
      <c r="C46" s="352"/>
      <c r="D46" s="353"/>
      <c r="E46" s="354">
        <v>0</v>
      </c>
      <c r="F46" s="355"/>
      <c r="G46" s="356"/>
      <c r="H46" s="357"/>
      <c r="I46" s="356"/>
      <c r="J46" s="367"/>
      <c r="K46" s="357"/>
      <c r="L46" s="163"/>
      <c r="P46" s="368">
        <f t="shared" si="0"/>
        <v>0</v>
      </c>
      <c r="Q46" s="358"/>
    </row>
    <row r="47" spans="1:17" ht="29.25" customHeight="1">
      <c r="A47" s="351"/>
      <c r="B47" s="352"/>
      <c r="C47" s="352"/>
      <c r="D47" s="353"/>
      <c r="E47" s="354">
        <v>0</v>
      </c>
      <c r="F47" s="355"/>
      <c r="G47" s="356"/>
      <c r="H47" s="357"/>
      <c r="I47" s="356"/>
      <c r="J47" s="367"/>
      <c r="K47" s="357"/>
      <c r="L47" s="163"/>
      <c r="P47" s="368">
        <f t="shared" si="0"/>
        <v>0</v>
      </c>
      <c r="Q47" s="358"/>
    </row>
    <row r="48" spans="1:17" ht="29.25" customHeight="1">
      <c r="A48" s="351"/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0"/>
        <v>0</v>
      </c>
      <c r="Q48" s="358"/>
    </row>
    <row r="49" spans="1:17" ht="29.25" customHeight="1">
      <c r="A49" s="351"/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0"/>
        <v>0</v>
      </c>
      <c r="Q49" s="358"/>
    </row>
    <row r="50" spans="1:17" ht="29.25" customHeight="1">
      <c r="A50" s="351"/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0"/>
        <v>0</v>
      </c>
      <c r="Q50" s="358"/>
    </row>
    <row r="51" spans="1:17" ht="29.25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0"/>
        <v>0</v>
      </c>
      <c r="Q51" s="358"/>
    </row>
    <row r="52" spans="1:17" ht="29.25" customHeight="1">
      <c r="A52" s="359" t="s">
        <v>181</v>
      </c>
      <c r="B52" s="360"/>
      <c r="C52" s="360"/>
      <c r="D52" s="361"/>
      <c r="E52" s="354">
        <f>SUM(E44:F51)</f>
        <v>10898010</v>
      </c>
      <c r="F52" s="355"/>
      <c r="G52" s="362">
        <f>SUM(G44:G51)</f>
        <v>0</v>
      </c>
      <c r="H52" s="363"/>
      <c r="I52" s="356">
        <f>SUM(I44:I51)</f>
        <v>10898010</v>
      </c>
      <c r="J52" s="367"/>
      <c r="K52" s="357"/>
      <c r="L52" s="163"/>
      <c r="P52" s="368">
        <f t="shared" ref="P52" si="1">I52</f>
        <v>10898010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  <c r="P53" s="152"/>
    </row>
    <row r="54" spans="1:17" ht="22.5" customHeight="1">
      <c r="A54" s="346" t="s">
        <v>172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302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214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0">
    <mergeCell ref="P49:Q49"/>
    <mergeCell ref="P50:Q50"/>
    <mergeCell ref="P51:Q51"/>
    <mergeCell ref="P52:Q52"/>
    <mergeCell ref="P44:Q44"/>
    <mergeCell ref="P45:Q45"/>
    <mergeCell ref="P46:Q46"/>
    <mergeCell ref="P47:Q47"/>
    <mergeCell ref="P48:Q48"/>
    <mergeCell ref="I44:K44"/>
    <mergeCell ref="I52:K52"/>
    <mergeCell ref="I51:K51"/>
    <mergeCell ref="I50:K50"/>
    <mergeCell ref="I49:K49"/>
    <mergeCell ref="I48:K48"/>
    <mergeCell ref="G50:H50"/>
    <mergeCell ref="A42:L42"/>
    <mergeCell ref="A43:D43"/>
    <mergeCell ref="A44:D44"/>
    <mergeCell ref="G43:H43"/>
    <mergeCell ref="E44:F44"/>
    <mergeCell ref="E43:F43"/>
    <mergeCell ref="G44:H44"/>
    <mergeCell ref="I43:K43"/>
    <mergeCell ref="G49:H49"/>
    <mergeCell ref="G48:H48"/>
    <mergeCell ref="G47:H47"/>
    <mergeCell ref="G46:H46"/>
    <mergeCell ref="I47:K47"/>
    <mergeCell ref="I46:K46"/>
    <mergeCell ref="I45:K45"/>
    <mergeCell ref="A48:D48"/>
    <mergeCell ref="A47:D47"/>
    <mergeCell ref="A46:D46"/>
    <mergeCell ref="E50:F50"/>
    <mergeCell ref="E49:F49"/>
    <mergeCell ref="E48:F48"/>
    <mergeCell ref="E47:F47"/>
    <mergeCell ref="E46:F46"/>
    <mergeCell ref="D60:L60"/>
    <mergeCell ref="A52:D52"/>
    <mergeCell ref="A51:D51"/>
    <mergeCell ref="E52:F52"/>
    <mergeCell ref="E51:F51"/>
    <mergeCell ref="G52:H52"/>
    <mergeCell ref="G51:H51"/>
    <mergeCell ref="A55:L55"/>
    <mergeCell ref="A57:L57"/>
    <mergeCell ref="D28:I28"/>
    <mergeCell ref="A14:L14"/>
    <mergeCell ref="A54:L54"/>
    <mergeCell ref="D30:I30"/>
    <mergeCell ref="A39:B39"/>
    <mergeCell ref="C39:F39"/>
    <mergeCell ref="G39:H39"/>
    <mergeCell ref="I39:L39"/>
    <mergeCell ref="A36:B36"/>
    <mergeCell ref="C36:F36"/>
    <mergeCell ref="G36:H36"/>
    <mergeCell ref="A45:D45"/>
    <mergeCell ref="E45:F45"/>
    <mergeCell ref="G45:H45"/>
    <mergeCell ref="A50:D50"/>
    <mergeCell ref="A49:D49"/>
    <mergeCell ref="A40:B41"/>
    <mergeCell ref="C40:F41"/>
    <mergeCell ref="G40:H41"/>
    <mergeCell ref="I40:L41"/>
    <mergeCell ref="D29:I29"/>
    <mergeCell ref="A32:L34"/>
    <mergeCell ref="I37:L37"/>
    <mergeCell ref="I38:L38"/>
    <mergeCell ref="A35:B35"/>
    <mergeCell ref="C35:F35"/>
    <mergeCell ref="G35:H35"/>
    <mergeCell ref="I35:L35"/>
    <mergeCell ref="I36:L36"/>
    <mergeCell ref="A37:B38"/>
    <mergeCell ref="C37:F38"/>
    <mergeCell ref="G37:H38"/>
  </mergeCells>
  <phoneticPr fontId="12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U30"/>
  <sheetViews>
    <sheetView view="pageBreakPreview" zoomScaleNormal="100" zoomScaleSheetLayoutView="100" workbookViewId="0">
      <selection activeCell="F9" sqref="F9:G9"/>
    </sheetView>
  </sheetViews>
  <sheetFormatPr defaultColWidth="9" defaultRowHeight="14.25"/>
  <cols>
    <col min="1" max="1" width="7.625" style="144" customWidth="1"/>
    <col min="2" max="2" width="4.875" style="144" customWidth="1"/>
    <col min="3" max="3" width="8.125" style="146" customWidth="1"/>
    <col min="4" max="4" width="9.5" style="144" customWidth="1"/>
    <col min="5" max="5" width="5.375" style="144" customWidth="1"/>
    <col min="6" max="6" width="5.875" style="144" customWidth="1"/>
    <col min="7" max="7" width="9.125" style="144" customWidth="1"/>
    <col min="8" max="8" width="5.375" style="144" customWidth="1"/>
    <col min="9" max="9" width="4.5" style="144" customWidth="1"/>
    <col min="10" max="10" width="10.5" style="144" customWidth="1"/>
    <col min="11" max="12" width="6.125" style="144" customWidth="1"/>
    <col min="13" max="13" width="8" style="144" customWidth="1"/>
    <col min="14" max="14" width="15.875" style="145" customWidth="1"/>
    <col min="15" max="15" width="9" style="144"/>
    <col min="16" max="16" width="13.125" style="144" bestFit="1" customWidth="1"/>
    <col min="17" max="17" width="14.25" style="144" bestFit="1" customWidth="1"/>
    <col min="18" max="18" width="12.125" style="144" bestFit="1" customWidth="1"/>
    <col min="19" max="19" width="9" style="144"/>
    <col min="20" max="22" width="11.25" style="144" bestFit="1" customWidth="1"/>
    <col min="23" max="258" width="9" style="144"/>
    <col min="259" max="260" width="12.125" style="144" customWidth="1"/>
    <col min="261" max="261" width="8.125" style="144" customWidth="1"/>
    <col min="262" max="262" width="12.125" style="144" customWidth="1"/>
    <col min="263" max="263" width="6.5" style="144" customWidth="1"/>
    <col min="264" max="264" width="5.875" style="144" customWidth="1"/>
    <col min="265" max="265" width="10.125" style="144" customWidth="1"/>
    <col min="266" max="266" width="6.625" style="144" customWidth="1"/>
    <col min="267" max="267" width="13.25" style="144" customWidth="1"/>
    <col min="268" max="268" width="1.75" style="144" customWidth="1"/>
    <col min="269" max="269" width="9" style="144" customWidth="1"/>
    <col min="270" max="270" width="15.875" style="144" customWidth="1"/>
    <col min="271" max="271" width="9" style="144"/>
    <col min="272" max="272" width="11.125" style="144" bestFit="1" customWidth="1"/>
    <col min="273" max="273" width="14.25" style="144" bestFit="1" customWidth="1"/>
    <col min="274" max="274" width="12.125" style="144" bestFit="1" customWidth="1"/>
    <col min="275" max="514" width="9" style="144"/>
    <col min="515" max="516" width="12.125" style="144" customWidth="1"/>
    <col min="517" max="517" width="8.125" style="144" customWidth="1"/>
    <col min="518" max="518" width="12.125" style="144" customWidth="1"/>
    <col min="519" max="519" width="6.5" style="144" customWidth="1"/>
    <col min="520" max="520" width="5.875" style="144" customWidth="1"/>
    <col min="521" max="521" width="10.125" style="144" customWidth="1"/>
    <col min="522" max="522" width="6.625" style="144" customWidth="1"/>
    <col min="523" max="523" width="13.25" style="144" customWidth="1"/>
    <col min="524" max="524" width="1.75" style="144" customWidth="1"/>
    <col min="525" max="525" width="9" style="144" customWidth="1"/>
    <col min="526" max="526" width="15.875" style="144" customWidth="1"/>
    <col min="527" max="527" width="9" style="144"/>
    <col min="528" max="528" width="11.125" style="144" bestFit="1" customWidth="1"/>
    <col min="529" max="529" width="14.25" style="144" bestFit="1" customWidth="1"/>
    <col min="530" max="530" width="12.125" style="144" bestFit="1" customWidth="1"/>
    <col min="531" max="770" width="9" style="144"/>
    <col min="771" max="772" width="12.125" style="144" customWidth="1"/>
    <col min="773" max="773" width="8.125" style="144" customWidth="1"/>
    <col min="774" max="774" width="12.125" style="144" customWidth="1"/>
    <col min="775" max="775" width="6.5" style="144" customWidth="1"/>
    <col min="776" max="776" width="5.875" style="144" customWidth="1"/>
    <col min="777" max="777" width="10.125" style="144" customWidth="1"/>
    <col min="778" max="778" width="6.625" style="144" customWidth="1"/>
    <col min="779" max="779" width="13.25" style="144" customWidth="1"/>
    <col min="780" max="780" width="1.75" style="144" customWidth="1"/>
    <col min="781" max="781" width="9" style="144" customWidth="1"/>
    <col min="782" max="782" width="15.875" style="144" customWidth="1"/>
    <col min="783" max="783" width="9" style="144"/>
    <col min="784" max="784" width="11.125" style="144" bestFit="1" customWidth="1"/>
    <col min="785" max="785" width="14.25" style="144" bestFit="1" customWidth="1"/>
    <col min="786" max="786" width="12.125" style="144" bestFit="1" customWidth="1"/>
    <col min="787" max="1026" width="9" style="144"/>
    <col min="1027" max="1028" width="12.125" style="144" customWidth="1"/>
    <col min="1029" max="1029" width="8.125" style="144" customWidth="1"/>
    <col min="1030" max="1030" width="12.125" style="144" customWidth="1"/>
    <col min="1031" max="1031" width="6.5" style="144" customWidth="1"/>
    <col min="1032" max="1032" width="5.875" style="144" customWidth="1"/>
    <col min="1033" max="1033" width="10.125" style="144" customWidth="1"/>
    <col min="1034" max="1034" width="6.625" style="144" customWidth="1"/>
    <col min="1035" max="1035" width="13.25" style="144" customWidth="1"/>
    <col min="1036" max="1036" width="1.75" style="144" customWidth="1"/>
    <col min="1037" max="1037" width="9" style="144" customWidth="1"/>
    <col min="1038" max="1038" width="15.875" style="144" customWidth="1"/>
    <col min="1039" max="1039" width="9" style="144"/>
    <col min="1040" max="1040" width="11.125" style="144" bestFit="1" customWidth="1"/>
    <col min="1041" max="1041" width="14.25" style="144" bestFit="1" customWidth="1"/>
    <col min="1042" max="1042" width="12.125" style="144" bestFit="1" customWidth="1"/>
    <col min="1043" max="1282" width="9" style="144"/>
    <col min="1283" max="1284" width="12.125" style="144" customWidth="1"/>
    <col min="1285" max="1285" width="8.125" style="144" customWidth="1"/>
    <col min="1286" max="1286" width="12.125" style="144" customWidth="1"/>
    <col min="1287" max="1287" width="6.5" style="144" customWidth="1"/>
    <col min="1288" max="1288" width="5.875" style="144" customWidth="1"/>
    <col min="1289" max="1289" width="10.125" style="144" customWidth="1"/>
    <col min="1290" max="1290" width="6.625" style="144" customWidth="1"/>
    <col min="1291" max="1291" width="13.25" style="144" customWidth="1"/>
    <col min="1292" max="1292" width="1.75" style="144" customWidth="1"/>
    <col min="1293" max="1293" width="9" style="144" customWidth="1"/>
    <col min="1294" max="1294" width="15.875" style="144" customWidth="1"/>
    <col min="1295" max="1295" width="9" style="144"/>
    <col min="1296" max="1296" width="11.125" style="144" bestFit="1" customWidth="1"/>
    <col min="1297" max="1297" width="14.25" style="144" bestFit="1" customWidth="1"/>
    <col min="1298" max="1298" width="12.125" style="144" bestFit="1" customWidth="1"/>
    <col min="1299" max="1538" width="9" style="144"/>
    <col min="1539" max="1540" width="12.125" style="144" customWidth="1"/>
    <col min="1541" max="1541" width="8.125" style="144" customWidth="1"/>
    <col min="1542" max="1542" width="12.125" style="144" customWidth="1"/>
    <col min="1543" max="1543" width="6.5" style="144" customWidth="1"/>
    <col min="1544" max="1544" width="5.875" style="144" customWidth="1"/>
    <col min="1545" max="1545" width="10.125" style="144" customWidth="1"/>
    <col min="1546" max="1546" width="6.625" style="144" customWidth="1"/>
    <col min="1547" max="1547" width="13.25" style="144" customWidth="1"/>
    <col min="1548" max="1548" width="1.75" style="144" customWidth="1"/>
    <col min="1549" max="1549" width="9" style="144" customWidth="1"/>
    <col min="1550" max="1550" width="15.875" style="144" customWidth="1"/>
    <col min="1551" max="1551" width="9" style="144"/>
    <col min="1552" max="1552" width="11.125" style="144" bestFit="1" customWidth="1"/>
    <col min="1553" max="1553" width="14.25" style="144" bestFit="1" customWidth="1"/>
    <col min="1554" max="1554" width="12.125" style="144" bestFit="1" customWidth="1"/>
    <col min="1555" max="1794" width="9" style="144"/>
    <col min="1795" max="1796" width="12.125" style="144" customWidth="1"/>
    <col min="1797" max="1797" width="8.125" style="144" customWidth="1"/>
    <col min="1798" max="1798" width="12.125" style="144" customWidth="1"/>
    <col min="1799" max="1799" width="6.5" style="144" customWidth="1"/>
    <col min="1800" max="1800" width="5.875" style="144" customWidth="1"/>
    <col min="1801" max="1801" width="10.125" style="144" customWidth="1"/>
    <col min="1802" max="1802" width="6.625" style="144" customWidth="1"/>
    <col min="1803" max="1803" width="13.25" style="144" customWidth="1"/>
    <col min="1804" max="1804" width="1.75" style="144" customWidth="1"/>
    <col min="1805" max="1805" width="9" style="144" customWidth="1"/>
    <col min="1806" max="1806" width="15.875" style="144" customWidth="1"/>
    <col min="1807" max="1807" width="9" style="144"/>
    <col min="1808" max="1808" width="11.125" style="144" bestFit="1" customWidth="1"/>
    <col min="1809" max="1809" width="14.25" style="144" bestFit="1" customWidth="1"/>
    <col min="1810" max="1810" width="12.125" style="144" bestFit="1" customWidth="1"/>
    <col min="1811" max="2050" width="9" style="144"/>
    <col min="2051" max="2052" width="12.125" style="144" customWidth="1"/>
    <col min="2053" max="2053" width="8.125" style="144" customWidth="1"/>
    <col min="2054" max="2054" width="12.125" style="144" customWidth="1"/>
    <col min="2055" max="2055" width="6.5" style="144" customWidth="1"/>
    <col min="2056" max="2056" width="5.875" style="144" customWidth="1"/>
    <col min="2057" max="2057" width="10.125" style="144" customWidth="1"/>
    <col min="2058" max="2058" width="6.625" style="144" customWidth="1"/>
    <col min="2059" max="2059" width="13.25" style="144" customWidth="1"/>
    <col min="2060" max="2060" width="1.75" style="144" customWidth="1"/>
    <col min="2061" max="2061" width="9" style="144" customWidth="1"/>
    <col min="2062" max="2062" width="15.875" style="144" customWidth="1"/>
    <col min="2063" max="2063" width="9" style="144"/>
    <col min="2064" max="2064" width="11.125" style="144" bestFit="1" customWidth="1"/>
    <col min="2065" max="2065" width="14.25" style="144" bestFit="1" customWidth="1"/>
    <col min="2066" max="2066" width="12.125" style="144" bestFit="1" customWidth="1"/>
    <col min="2067" max="2306" width="9" style="144"/>
    <col min="2307" max="2308" width="12.125" style="144" customWidth="1"/>
    <col min="2309" max="2309" width="8.125" style="144" customWidth="1"/>
    <col min="2310" max="2310" width="12.125" style="144" customWidth="1"/>
    <col min="2311" max="2311" width="6.5" style="144" customWidth="1"/>
    <col min="2312" max="2312" width="5.875" style="144" customWidth="1"/>
    <col min="2313" max="2313" width="10.125" style="144" customWidth="1"/>
    <col min="2314" max="2314" width="6.625" style="144" customWidth="1"/>
    <col min="2315" max="2315" width="13.25" style="144" customWidth="1"/>
    <col min="2316" max="2316" width="1.75" style="144" customWidth="1"/>
    <col min="2317" max="2317" width="9" style="144" customWidth="1"/>
    <col min="2318" max="2318" width="15.875" style="144" customWidth="1"/>
    <col min="2319" max="2319" width="9" style="144"/>
    <col min="2320" max="2320" width="11.125" style="144" bestFit="1" customWidth="1"/>
    <col min="2321" max="2321" width="14.25" style="144" bestFit="1" customWidth="1"/>
    <col min="2322" max="2322" width="12.125" style="144" bestFit="1" customWidth="1"/>
    <col min="2323" max="2562" width="9" style="144"/>
    <col min="2563" max="2564" width="12.125" style="144" customWidth="1"/>
    <col min="2565" max="2565" width="8.125" style="144" customWidth="1"/>
    <col min="2566" max="2566" width="12.125" style="144" customWidth="1"/>
    <col min="2567" max="2567" width="6.5" style="144" customWidth="1"/>
    <col min="2568" max="2568" width="5.875" style="144" customWidth="1"/>
    <col min="2569" max="2569" width="10.125" style="144" customWidth="1"/>
    <col min="2570" max="2570" width="6.625" style="144" customWidth="1"/>
    <col min="2571" max="2571" width="13.25" style="144" customWidth="1"/>
    <col min="2572" max="2572" width="1.75" style="144" customWidth="1"/>
    <col min="2573" max="2573" width="9" style="144" customWidth="1"/>
    <col min="2574" max="2574" width="15.875" style="144" customWidth="1"/>
    <col min="2575" max="2575" width="9" style="144"/>
    <col min="2576" max="2576" width="11.125" style="144" bestFit="1" customWidth="1"/>
    <col min="2577" max="2577" width="14.25" style="144" bestFit="1" customWidth="1"/>
    <col min="2578" max="2578" width="12.125" style="144" bestFit="1" customWidth="1"/>
    <col min="2579" max="2818" width="9" style="144"/>
    <col min="2819" max="2820" width="12.125" style="144" customWidth="1"/>
    <col min="2821" max="2821" width="8.125" style="144" customWidth="1"/>
    <col min="2822" max="2822" width="12.125" style="144" customWidth="1"/>
    <col min="2823" max="2823" width="6.5" style="144" customWidth="1"/>
    <col min="2824" max="2824" width="5.875" style="144" customWidth="1"/>
    <col min="2825" max="2825" width="10.125" style="144" customWidth="1"/>
    <col min="2826" max="2826" width="6.625" style="144" customWidth="1"/>
    <col min="2827" max="2827" width="13.25" style="144" customWidth="1"/>
    <col min="2828" max="2828" width="1.75" style="144" customWidth="1"/>
    <col min="2829" max="2829" width="9" style="144" customWidth="1"/>
    <col min="2830" max="2830" width="15.875" style="144" customWidth="1"/>
    <col min="2831" max="2831" width="9" style="144"/>
    <col min="2832" max="2832" width="11.125" style="144" bestFit="1" customWidth="1"/>
    <col min="2833" max="2833" width="14.25" style="144" bestFit="1" customWidth="1"/>
    <col min="2834" max="2834" width="12.125" style="144" bestFit="1" customWidth="1"/>
    <col min="2835" max="3074" width="9" style="144"/>
    <col min="3075" max="3076" width="12.125" style="144" customWidth="1"/>
    <col min="3077" max="3077" width="8.125" style="144" customWidth="1"/>
    <col min="3078" max="3078" width="12.125" style="144" customWidth="1"/>
    <col min="3079" max="3079" width="6.5" style="144" customWidth="1"/>
    <col min="3080" max="3080" width="5.875" style="144" customWidth="1"/>
    <col min="3081" max="3081" width="10.125" style="144" customWidth="1"/>
    <col min="3082" max="3082" width="6.625" style="144" customWidth="1"/>
    <col min="3083" max="3083" width="13.25" style="144" customWidth="1"/>
    <col min="3084" max="3084" width="1.75" style="144" customWidth="1"/>
    <col min="3085" max="3085" width="9" style="144" customWidth="1"/>
    <col min="3086" max="3086" width="15.875" style="144" customWidth="1"/>
    <col min="3087" max="3087" width="9" style="144"/>
    <col min="3088" max="3088" width="11.125" style="144" bestFit="1" customWidth="1"/>
    <col min="3089" max="3089" width="14.25" style="144" bestFit="1" customWidth="1"/>
    <col min="3090" max="3090" width="12.125" style="144" bestFit="1" customWidth="1"/>
    <col min="3091" max="3330" width="9" style="144"/>
    <col min="3331" max="3332" width="12.125" style="144" customWidth="1"/>
    <col min="3333" max="3333" width="8.125" style="144" customWidth="1"/>
    <col min="3334" max="3334" width="12.125" style="144" customWidth="1"/>
    <col min="3335" max="3335" width="6.5" style="144" customWidth="1"/>
    <col min="3336" max="3336" width="5.875" style="144" customWidth="1"/>
    <col min="3337" max="3337" width="10.125" style="144" customWidth="1"/>
    <col min="3338" max="3338" width="6.625" style="144" customWidth="1"/>
    <col min="3339" max="3339" width="13.25" style="144" customWidth="1"/>
    <col min="3340" max="3340" width="1.75" style="144" customWidth="1"/>
    <col min="3341" max="3341" width="9" style="144" customWidth="1"/>
    <col min="3342" max="3342" width="15.875" style="144" customWidth="1"/>
    <col min="3343" max="3343" width="9" style="144"/>
    <col min="3344" max="3344" width="11.125" style="144" bestFit="1" customWidth="1"/>
    <col min="3345" max="3345" width="14.25" style="144" bestFit="1" customWidth="1"/>
    <col min="3346" max="3346" width="12.125" style="144" bestFit="1" customWidth="1"/>
    <col min="3347" max="3586" width="9" style="144"/>
    <col min="3587" max="3588" width="12.125" style="144" customWidth="1"/>
    <col min="3589" max="3589" width="8.125" style="144" customWidth="1"/>
    <col min="3590" max="3590" width="12.125" style="144" customWidth="1"/>
    <col min="3591" max="3591" width="6.5" style="144" customWidth="1"/>
    <col min="3592" max="3592" width="5.875" style="144" customWidth="1"/>
    <col min="3593" max="3593" width="10.125" style="144" customWidth="1"/>
    <col min="3594" max="3594" width="6.625" style="144" customWidth="1"/>
    <col min="3595" max="3595" width="13.25" style="144" customWidth="1"/>
    <col min="3596" max="3596" width="1.75" style="144" customWidth="1"/>
    <col min="3597" max="3597" width="9" style="144" customWidth="1"/>
    <col min="3598" max="3598" width="15.875" style="144" customWidth="1"/>
    <col min="3599" max="3599" width="9" style="144"/>
    <col min="3600" max="3600" width="11.125" style="144" bestFit="1" customWidth="1"/>
    <col min="3601" max="3601" width="14.25" style="144" bestFit="1" customWidth="1"/>
    <col min="3602" max="3602" width="12.125" style="144" bestFit="1" customWidth="1"/>
    <col min="3603" max="3842" width="9" style="144"/>
    <col min="3843" max="3844" width="12.125" style="144" customWidth="1"/>
    <col min="3845" max="3845" width="8.125" style="144" customWidth="1"/>
    <col min="3846" max="3846" width="12.125" style="144" customWidth="1"/>
    <col min="3847" max="3847" width="6.5" style="144" customWidth="1"/>
    <col min="3848" max="3848" width="5.875" style="144" customWidth="1"/>
    <col min="3849" max="3849" width="10.125" style="144" customWidth="1"/>
    <col min="3850" max="3850" width="6.625" style="144" customWidth="1"/>
    <col min="3851" max="3851" width="13.25" style="144" customWidth="1"/>
    <col min="3852" max="3852" width="1.75" style="144" customWidth="1"/>
    <col min="3853" max="3853" width="9" style="144" customWidth="1"/>
    <col min="3854" max="3854" width="15.875" style="144" customWidth="1"/>
    <col min="3855" max="3855" width="9" style="144"/>
    <col min="3856" max="3856" width="11.125" style="144" bestFit="1" customWidth="1"/>
    <col min="3857" max="3857" width="14.25" style="144" bestFit="1" customWidth="1"/>
    <col min="3858" max="3858" width="12.125" style="144" bestFit="1" customWidth="1"/>
    <col min="3859" max="4098" width="9" style="144"/>
    <col min="4099" max="4100" width="12.125" style="144" customWidth="1"/>
    <col min="4101" max="4101" width="8.125" style="144" customWidth="1"/>
    <col min="4102" max="4102" width="12.125" style="144" customWidth="1"/>
    <col min="4103" max="4103" width="6.5" style="144" customWidth="1"/>
    <col min="4104" max="4104" width="5.875" style="144" customWidth="1"/>
    <col min="4105" max="4105" width="10.125" style="144" customWidth="1"/>
    <col min="4106" max="4106" width="6.625" style="144" customWidth="1"/>
    <col min="4107" max="4107" width="13.25" style="144" customWidth="1"/>
    <col min="4108" max="4108" width="1.75" style="144" customWidth="1"/>
    <col min="4109" max="4109" width="9" style="144" customWidth="1"/>
    <col min="4110" max="4110" width="15.875" style="144" customWidth="1"/>
    <col min="4111" max="4111" width="9" style="144"/>
    <col min="4112" max="4112" width="11.125" style="144" bestFit="1" customWidth="1"/>
    <col min="4113" max="4113" width="14.25" style="144" bestFit="1" customWidth="1"/>
    <col min="4114" max="4114" width="12.125" style="144" bestFit="1" customWidth="1"/>
    <col min="4115" max="4354" width="9" style="144"/>
    <col min="4355" max="4356" width="12.125" style="144" customWidth="1"/>
    <col min="4357" max="4357" width="8.125" style="144" customWidth="1"/>
    <col min="4358" max="4358" width="12.125" style="144" customWidth="1"/>
    <col min="4359" max="4359" width="6.5" style="144" customWidth="1"/>
    <col min="4360" max="4360" width="5.875" style="144" customWidth="1"/>
    <col min="4361" max="4361" width="10.125" style="144" customWidth="1"/>
    <col min="4362" max="4362" width="6.625" style="144" customWidth="1"/>
    <col min="4363" max="4363" width="13.25" style="144" customWidth="1"/>
    <col min="4364" max="4364" width="1.75" style="144" customWidth="1"/>
    <col min="4365" max="4365" width="9" style="144" customWidth="1"/>
    <col min="4366" max="4366" width="15.875" style="144" customWidth="1"/>
    <col min="4367" max="4367" width="9" style="144"/>
    <col min="4368" max="4368" width="11.125" style="144" bestFit="1" customWidth="1"/>
    <col min="4369" max="4369" width="14.25" style="144" bestFit="1" customWidth="1"/>
    <col min="4370" max="4370" width="12.125" style="144" bestFit="1" customWidth="1"/>
    <col min="4371" max="4610" width="9" style="144"/>
    <col min="4611" max="4612" width="12.125" style="144" customWidth="1"/>
    <col min="4613" max="4613" width="8.125" style="144" customWidth="1"/>
    <col min="4614" max="4614" width="12.125" style="144" customWidth="1"/>
    <col min="4615" max="4615" width="6.5" style="144" customWidth="1"/>
    <col min="4616" max="4616" width="5.875" style="144" customWidth="1"/>
    <col min="4617" max="4617" width="10.125" style="144" customWidth="1"/>
    <col min="4618" max="4618" width="6.625" style="144" customWidth="1"/>
    <col min="4619" max="4619" width="13.25" style="144" customWidth="1"/>
    <col min="4620" max="4620" width="1.75" style="144" customWidth="1"/>
    <col min="4621" max="4621" width="9" style="144" customWidth="1"/>
    <col min="4622" max="4622" width="15.875" style="144" customWidth="1"/>
    <col min="4623" max="4623" width="9" style="144"/>
    <col min="4624" max="4624" width="11.125" style="144" bestFit="1" customWidth="1"/>
    <col min="4625" max="4625" width="14.25" style="144" bestFit="1" customWidth="1"/>
    <col min="4626" max="4626" width="12.125" style="144" bestFit="1" customWidth="1"/>
    <col min="4627" max="4866" width="9" style="144"/>
    <col min="4867" max="4868" width="12.125" style="144" customWidth="1"/>
    <col min="4869" max="4869" width="8.125" style="144" customWidth="1"/>
    <col min="4870" max="4870" width="12.125" style="144" customWidth="1"/>
    <col min="4871" max="4871" width="6.5" style="144" customWidth="1"/>
    <col min="4872" max="4872" width="5.875" style="144" customWidth="1"/>
    <col min="4873" max="4873" width="10.125" style="144" customWidth="1"/>
    <col min="4874" max="4874" width="6.625" style="144" customWidth="1"/>
    <col min="4875" max="4875" width="13.25" style="144" customWidth="1"/>
    <col min="4876" max="4876" width="1.75" style="144" customWidth="1"/>
    <col min="4877" max="4877" width="9" style="144" customWidth="1"/>
    <col min="4878" max="4878" width="15.875" style="144" customWidth="1"/>
    <col min="4879" max="4879" width="9" style="144"/>
    <col min="4880" max="4880" width="11.125" style="144" bestFit="1" customWidth="1"/>
    <col min="4881" max="4881" width="14.25" style="144" bestFit="1" customWidth="1"/>
    <col min="4882" max="4882" width="12.125" style="144" bestFit="1" customWidth="1"/>
    <col min="4883" max="5122" width="9" style="144"/>
    <col min="5123" max="5124" width="12.125" style="144" customWidth="1"/>
    <col min="5125" max="5125" width="8.125" style="144" customWidth="1"/>
    <col min="5126" max="5126" width="12.125" style="144" customWidth="1"/>
    <col min="5127" max="5127" width="6.5" style="144" customWidth="1"/>
    <col min="5128" max="5128" width="5.875" style="144" customWidth="1"/>
    <col min="5129" max="5129" width="10.125" style="144" customWidth="1"/>
    <col min="5130" max="5130" width="6.625" style="144" customWidth="1"/>
    <col min="5131" max="5131" width="13.25" style="144" customWidth="1"/>
    <col min="5132" max="5132" width="1.75" style="144" customWidth="1"/>
    <col min="5133" max="5133" width="9" style="144" customWidth="1"/>
    <col min="5134" max="5134" width="15.875" style="144" customWidth="1"/>
    <col min="5135" max="5135" width="9" style="144"/>
    <col min="5136" max="5136" width="11.125" style="144" bestFit="1" customWidth="1"/>
    <col min="5137" max="5137" width="14.25" style="144" bestFit="1" customWidth="1"/>
    <col min="5138" max="5138" width="12.125" style="144" bestFit="1" customWidth="1"/>
    <col min="5139" max="5378" width="9" style="144"/>
    <col min="5379" max="5380" width="12.125" style="144" customWidth="1"/>
    <col min="5381" max="5381" width="8.125" style="144" customWidth="1"/>
    <col min="5382" max="5382" width="12.125" style="144" customWidth="1"/>
    <col min="5383" max="5383" width="6.5" style="144" customWidth="1"/>
    <col min="5384" max="5384" width="5.875" style="144" customWidth="1"/>
    <col min="5385" max="5385" width="10.125" style="144" customWidth="1"/>
    <col min="5386" max="5386" width="6.625" style="144" customWidth="1"/>
    <col min="5387" max="5387" width="13.25" style="144" customWidth="1"/>
    <col min="5388" max="5388" width="1.75" style="144" customWidth="1"/>
    <col min="5389" max="5389" width="9" style="144" customWidth="1"/>
    <col min="5390" max="5390" width="15.875" style="144" customWidth="1"/>
    <col min="5391" max="5391" width="9" style="144"/>
    <col min="5392" max="5392" width="11.125" style="144" bestFit="1" customWidth="1"/>
    <col min="5393" max="5393" width="14.25" style="144" bestFit="1" customWidth="1"/>
    <col min="5394" max="5394" width="12.125" style="144" bestFit="1" customWidth="1"/>
    <col min="5395" max="5634" width="9" style="144"/>
    <col min="5635" max="5636" width="12.125" style="144" customWidth="1"/>
    <col min="5637" max="5637" width="8.125" style="144" customWidth="1"/>
    <col min="5638" max="5638" width="12.125" style="144" customWidth="1"/>
    <col min="5639" max="5639" width="6.5" style="144" customWidth="1"/>
    <col min="5640" max="5640" width="5.875" style="144" customWidth="1"/>
    <col min="5641" max="5641" width="10.125" style="144" customWidth="1"/>
    <col min="5642" max="5642" width="6.625" style="144" customWidth="1"/>
    <col min="5643" max="5643" width="13.25" style="144" customWidth="1"/>
    <col min="5644" max="5644" width="1.75" style="144" customWidth="1"/>
    <col min="5645" max="5645" width="9" style="144" customWidth="1"/>
    <col min="5646" max="5646" width="15.875" style="144" customWidth="1"/>
    <col min="5647" max="5647" width="9" style="144"/>
    <col min="5648" max="5648" width="11.125" style="144" bestFit="1" customWidth="1"/>
    <col min="5649" max="5649" width="14.25" style="144" bestFit="1" customWidth="1"/>
    <col min="5650" max="5650" width="12.125" style="144" bestFit="1" customWidth="1"/>
    <col min="5651" max="5890" width="9" style="144"/>
    <col min="5891" max="5892" width="12.125" style="144" customWidth="1"/>
    <col min="5893" max="5893" width="8.125" style="144" customWidth="1"/>
    <col min="5894" max="5894" width="12.125" style="144" customWidth="1"/>
    <col min="5895" max="5895" width="6.5" style="144" customWidth="1"/>
    <col min="5896" max="5896" width="5.875" style="144" customWidth="1"/>
    <col min="5897" max="5897" width="10.125" style="144" customWidth="1"/>
    <col min="5898" max="5898" width="6.625" style="144" customWidth="1"/>
    <col min="5899" max="5899" width="13.25" style="144" customWidth="1"/>
    <col min="5900" max="5900" width="1.75" style="144" customWidth="1"/>
    <col min="5901" max="5901" width="9" style="144" customWidth="1"/>
    <col min="5902" max="5902" width="15.875" style="144" customWidth="1"/>
    <col min="5903" max="5903" width="9" style="144"/>
    <col min="5904" max="5904" width="11.125" style="144" bestFit="1" customWidth="1"/>
    <col min="5905" max="5905" width="14.25" style="144" bestFit="1" customWidth="1"/>
    <col min="5906" max="5906" width="12.125" style="144" bestFit="1" customWidth="1"/>
    <col min="5907" max="6146" width="9" style="144"/>
    <col min="6147" max="6148" width="12.125" style="144" customWidth="1"/>
    <col min="6149" max="6149" width="8.125" style="144" customWidth="1"/>
    <col min="6150" max="6150" width="12.125" style="144" customWidth="1"/>
    <col min="6151" max="6151" width="6.5" style="144" customWidth="1"/>
    <col min="6152" max="6152" width="5.875" style="144" customWidth="1"/>
    <col min="6153" max="6153" width="10.125" style="144" customWidth="1"/>
    <col min="6154" max="6154" width="6.625" style="144" customWidth="1"/>
    <col min="6155" max="6155" width="13.25" style="144" customWidth="1"/>
    <col min="6156" max="6156" width="1.75" style="144" customWidth="1"/>
    <col min="6157" max="6157" width="9" style="144" customWidth="1"/>
    <col min="6158" max="6158" width="15.875" style="144" customWidth="1"/>
    <col min="6159" max="6159" width="9" style="144"/>
    <col min="6160" max="6160" width="11.125" style="144" bestFit="1" customWidth="1"/>
    <col min="6161" max="6161" width="14.25" style="144" bestFit="1" customWidth="1"/>
    <col min="6162" max="6162" width="12.125" style="144" bestFit="1" customWidth="1"/>
    <col min="6163" max="6402" width="9" style="144"/>
    <col min="6403" max="6404" width="12.125" style="144" customWidth="1"/>
    <col min="6405" max="6405" width="8.125" style="144" customWidth="1"/>
    <col min="6406" max="6406" width="12.125" style="144" customWidth="1"/>
    <col min="6407" max="6407" width="6.5" style="144" customWidth="1"/>
    <col min="6408" max="6408" width="5.875" style="144" customWidth="1"/>
    <col min="6409" max="6409" width="10.125" style="144" customWidth="1"/>
    <col min="6410" max="6410" width="6.625" style="144" customWidth="1"/>
    <col min="6411" max="6411" width="13.25" style="144" customWidth="1"/>
    <col min="6412" max="6412" width="1.75" style="144" customWidth="1"/>
    <col min="6413" max="6413" width="9" style="144" customWidth="1"/>
    <col min="6414" max="6414" width="15.875" style="144" customWidth="1"/>
    <col min="6415" max="6415" width="9" style="144"/>
    <col min="6416" max="6416" width="11.125" style="144" bestFit="1" customWidth="1"/>
    <col min="6417" max="6417" width="14.25" style="144" bestFit="1" customWidth="1"/>
    <col min="6418" max="6418" width="12.125" style="144" bestFit="1" customWidth="1"/>
    <col min="6419" max="6658" width="9" style="144"/>
    <col min="6659" max="6660" width="12.125" style="144" customWidth="1"/>
    <col min="6661" max="6661" width="8.125" style="144" customWidth="1"/>
    <col min="6662" max="6662" width="12.125" style="144" customWidth="1"/>
    <col min="6663" max="6663" width="6.5" style="144" customWidth="1"/>
    <col min="6664" max="6664" width="5.875" style="144" customWidth="1"/>
    <col min="6665" max="6665" width="10.125" style="144" customWidth="1"/>
    <col min="6666" max="6666" width="6.625" style="144" customWidth="1"/>
    <col min="6667" max="6667" width="13.25" style="144" customWidth="1"/>
    <col min="6668" max="6668" width="1.75" style="144" customWidth="1"/>
    <col min="6669" max="6669" width="9" style="144" customWidth="1"/>
    <col min="6670" max="6670" width="15.875" style="144" customWidth="1"/>
    <col min="6671" max="6671" width="9" style="144"/>
    <col min="6672" max="6672" width="11.125" style="144" bestFit="1" customWidth="1"/>
    <col min="6673" max="6673" width="14.25" style="144" bestFit="1" customWidth="1"/>
    <col min="6674" max="6674" width="12.125" style="144" bestFit="1" customWidth="1"/>
    <col min="6675" max="6914" width="9" style="144"/>
    <col min="6915" max="6916" width="12.125" style="144" customWidth="1"/>
    <col min="6917" max="6917" width="8.125" style="144" customWidth="1"/>
    <col min="6918" max="6918" width="12.125" style="144" customWidth="1"/>
    <col min="6919" max="6919" width="6.5" style="144" customWidth="1"/>
    <col min="6920" max="6920" width="5.875" style="144" customWidth="1"/>
    <col min="6921" max="6921" width="10.125" style="144" customWidth="1"/>
    <col min="6922" max="6922" width="6.625" style="144" customWidth="1"/>
    <col min="6923" max="6923" width="13.25" style="144" customWidth="1"/>
    <col min="6924" max="6924" width="1.75" style="144" customWidth="1"/>
    <col min="6925" max="6925" width="9" style="144" customWidth="1"/>
    <col min="6926" max="6926" width="15.875" style="144" customWidth="1"/>
    <col min="6927" max="6927" width="9" style="144"/>
    <col min="6928" max="6928" width="11.125" style="144" bestFit="1" customWidth="1"/>
    <col min="6929" max="6929" width="14.25" style="144" bestFit="1" customWidth="1"/>
    <col min="6930" max="6930" width="12.125" style="144" bestFit="1" customWidth="1"/>
    <col min="6931" max="7170" width="9" style="144"/>
    <col min="7171" max="7172" width="12.125" style="144" customWidth="1"/>
    <col min="7173" max="7173" width="8.125" style="144" customWidth="1"/>
    <col min="7174" max="7174" width="12.125" style="144" customWidth="1"/>
    <col min="7175" max="7175" width="6.5" style="144" customWidth="1"/>
    <col min="7176" max="7176" width="5.875" style="144" customWidth="1"/>
    <col min="7177" max="7177" width="10.125" style="144" customWidth="1"/>
    <col min="7178" max="7178" width="6.625" style="144" customWidth="1"/>
    <col min="7179" max="7179" width="13.25" style="144" customWidth="1"/>
    <col min="7180" max="7180" width="1.75" style="144" customWidth="1"/>
    <col min="7181" max="7181" width="9" style="144" customWidth="1"/>
    <col min="7182" max="7182" width="15.875" style="144" customWidth="1"/>
    <col min="7183" max="7183" width="9" style="144"/>
    <col min="7184" max="7184" width="11.125" style="144" bestFit="1" customWidth="1"/>
    <col min="7185" max="7185" width="14.25" style="144" bestFit="1" customWidth="1"/>
    <col min="7186" max="7186" width="12.125" style="144" bestFit="1" customWidth="1"/>
    <col min="7187" max="7426" width="9" style="144"/>
    <col min="7427" max="7428" width="12.125" style="144" customWidth="1"/>
    <col min="7429" max="7429" width="8.125" style="144" customWidth="1"/>
    <col min="7430" max="7430" width="12.125" style="144" customWidth="1"/>
    <col min="7431" max="7431" width="6.5" style="144" customWidth="1"/>
    <col min="7432" max="7432" width="5.875" style="144" customWidth="1"/>
    <col min="7433" max="7433" width="10.125" style="144" customWidth="1"/>
    <col min="7434" max="7434" width="6.625" style="144" customWidth="1"/>
    <col min="7435" max="7435" width="13.25" style="144" customWidth="1"/>
    <col min="7436" max="7436" width="1.75" style="144" customWidth="1"/>
    <col min="7437" max="7437" width="9" style="144" customWidth="1"/>
    <col min="7438" max="7438" width="15.875" style="144" customWidth="1"/>
    <col min="7439" max="7439" width="9" style="144"/>
    <col min="7440" max="7440" width="11.125" style="144" bestFit="1" customWidth="1"/>
    <col min="7441" max="7441" width="14.25" style="144" bestFit="1" customWidth="1"/>
    <col min="7442" max="7442" width="12.125" style="144" bestFit="1" customWidth="1"/>
    <col min="7443" max="7682" width="9" style="144"/>
    <col min="7683" max="7684" width="12.125" style="144" customWidth="1"/>
    <col min="7685" max="7685" width="8.125" style="144" customWidth="1"/>
    <col min="7686" max="7686" width="12.125" style="144" customWidth="1"/>
    <col min="7687" max="7687" width="6.5" style="144" customWidth="1"/>
    <col min="7688" max="7688" width="5.875" style="144" customWidth="1"/>
    <col min="7689" max="7689" width="10.125" style="144" customWidth="1"/>
    <col min="7690" max="7690" width="6.625" style="144" customWidth="1"/>
    <col min="7691" max="7691" width="13.25" style="144" customWidth="1"/>
    <col min="7692" max="7692" width="1.75" style="144" customWidth="1"/>
    <col min="7693" max="7693" width="9" style="144" customWidth="1"/>
    <col min="7694" max="7694" width="15.875" style="144" customWidth="1"/>
    <col min="7695" max="7695" width="9" style="144"/>
    <col min="7696" max="7696" width="11.125" style="144" bestFit="1" customWidth="1"/>
    <col min="7697" max="7697" width="14.25" style="144" bestFit="1" customWidth="1"/>
    <col min="7698" max="7698" width="12.125" style="144" bestFit="1" customWidth="1"/>
    <col min="7699" max="7938" width="9" style="144"/>
    <col min="7939" max="7940" width="12.125" style="144" customWidth="1"/>
    <col min="7941" max="7941" width="8.125" style="144" customWidth="1"/>
    <col min="7942" max="7942" width="12.125" style="144" customWidth="1"/>
    <col min="7943" max="7943" width="6.5" style="144" customWidth="1"/>
    <col min="7944" max="7944" width="5.875" style="144" customWidth="1"/>
    <col min="7945" max="7945" width="10.125" style="144" customWidth="1"/>
    <col min="7946" max="7946" width="6.625" style="144" customWidth="1"/>
    <col min="7947" max="7947" width="13.25" style="144" customWidth="1"/>
    <col min="7948" max="7948" width="1.75" style="144" customWidth="1"/>
    <col min="7949" max="7949" width="9" style="144" customWidth="1"/>
    <col min="7950" max="7950" width="15.875" style="144" customWidth="1"/>
    <col min="7951" max="7951" width="9" style="144"/>
    <col min="7952" max="7952" width="11.125" style="144" bestFit="1" customWidth="1"/>
    <col min="7953" max="7953" width="14.25" style="144" bestFit="1" customWidth="1"/>
    <col min="7954" max="7954" width="12.125" style="144" bestFit="1" customWidth="1"/>
    <col min="7955" max="8194" width="9" style="144"/>
    <col min="8195" max="8196" width="12.125" style="144" customWidth="1"/>
    <col min="8197" max="8197" width="8.125" style="144" customWidth="1"/>
    <col min="8198" max="8198" width="12.125" style="144" customWidth="1"/>
    <col min="8199" max="8199" width="6.5" style="144" customWidth="1"/>
    <col min="8200" max="8200" width="5.875" style="144" customWidth="1"/>
    <col min="8201" max="8201" width="10.125" style="144" customWidth="1"/>
    <col min="8202" max="8202" width="6.625" style="144" customWidth="1"/>
    <col min="8203" max="8203" width="13.25" style="144" customWidth="1"/>
    <col min="8204" max="8204" width="1.75" style="144" customWidth="1"/>
    <col min="8205" max="8205" width="9" style="144" customWidth="1"/>
    <col min="8206" max="8206" width="15.875" style="144" customWidth="1"/>
    <col min="8207" max="8207" width="9" style="144"/>
    <col min="8208" max="8208" width="11.125" style="144" bestFit="1" customWidth="1"/>
    <col min="8209" max="8209" width="14.25" style="144" bestFit="1" customWidth="1"/>
    <col min="8210" max="8210" width="12.125" style="144" bestFit="1" customWidth="1"/>
    <col min="8211" max="8450" width="9" style="144"/>
    <col min="8451" max="8452" width="12.125" style="144" customWidth="1"/>
    <col min="8453" max="8453" width="8.125" style="144" customWidth="1"/>
    <col min="8454" max="8454" width="12.125" style="144" customWidth="1"/>
    <col min="8455" max="8455" width="6.5" style="144" customWidth="1"/>
    <col min="8456" max="8456" width="5.875" style="144" customWidth="1"/>
    <col min="8457" max="8457" width="10.125" style="144" customWidth="1"/>
    <col min="8458" max="8458" width="6.625" style="144" customWidth="1"/>
    <col min="8459" max="8459" width="13.25" style="144" customWidth="1"/>
    <col min="8460" max="8460" width="1.75" style="144" customWidth="1"/>
    <col min="8461" max="8461" width="9" style="144" customWidth="1"/>
    <col min="8462" max="8462" width="15.875" style="144" customWidth="1"/>
    <col min="8463" max="8463" width="9" style="144"/>
    <col min="8464" max="8464" width="11.125" style="144" bestFit="1" customWidth="1"/>
    <col min="8465" max="8465" width="14.25" style="144" bestFit="1" customWidth="1"/>
    <col min="8466" max="8466" width="12.125" style="144" bestFit="1" customWidth="1"/>
    <col min="8467" max="8706" width="9" style="144"/>
    <col min="8707" max="8708" width="12.125" style="144" customWidth="1"/>
    <col min="8709" max="8709" width="8.125" style="144" customWidth="1"/>
    <col min="8710" max="8710" width="12.125" style="144" customWidth="1"/>
    <col min="8711" max="8711" width="6.5" style="144" customWidth="1"/>
    <col min="8712" max="8712" width="5.875" style="144" customWidth="1"/>
    <col min="8713" max="8713" width="10.125" style="144" customWidth="1"/>
    <col min="8714" max="8714" width="6.625" style="144" customWidth="1"/>
    <col min="8715" max="8715" width="13.25" style="144" customWidth="1"/>
    <col min="8716" max="8716" width="1.75" style="144" customWidth="1"/>
    <col min="8717" max="8717" width="9" style="144" customWidth="1"/>
    <col min="8718" max="8718" width="15.875" style="144" customWidth="1"/>
    <col min="8719" max="8719" width="9" style="144"/>
    <col min="8720" max="8720" width="11.125" style="144" bestFit="1" customWidth="1"/>
    <col min="8721" max="8721" width="14.25" style="144" bestFit="1" customWidth="1"/>
    <col min="8722" max="8722" width="12.125" style="144" bestFit="1" customWidth="1"/>
    <col min="8723" max="8962" width="9" style="144"/>
    <col min="8963" max="8964" width="12.125" style="144" customWidth="1"/>
    <col min="8965" max="8965" width="8.125" style="144" customWidth="1"/>
    <col min="8966" max="8966" width="12.125" style="144" customWidth="1"/>
    <col min="8967" max="8967" width="6.5" style="144" customWidth="1"/>
    <col min="8968" max="8968" width="5.875" style="144" customWidth="1"/>
    <col min="8969" max="8969" width="10.125" style="144" customWidth="1"/>
    <col min="8970" max="8970" width="6.625" style="144" customWidth="1"/>
    <col min="8971" max="8971" width="13.25" style="144" customWidth="1"/>
    <col min="8972" max="8972" width="1.75" style="144" customWidth="1"/>
    <col min="8973" max="8973" width="9" style="144" customWidth="1"/>
    <col min="8974" max="8974" width="15.875" style="144" customWidth="1"/>
    <col min="8975" max="8975" width="9" style="144"/>
    <col min="8976" max="8976" width="11.125" style="144" bestFit="1" customWidth="1"/>
    <col min="8977" max="8977" width="14.25" style="144" bestFit="1" customWidth="1"/>
    <col min="8978" max="8978" width="12.125" style="144" bestFit="1" customWidth="1"/>
    <col min="8979" max="9218" width="9" style="144"/>
    <col min="9219" max="9220" width="12.125" style="144" customWidth="1"/>
    <col min="9221" max="9221" width="8.125" style="144" customWidth="1"/>
    <col min="9222" max="9222" width="12.125" style="144" customWidth="1"/>
    <col min="9223" max="9223" width="6.5" style="144" customWidth="1"/>
    <col min="9224" max="9224" width="5.875" style="144" customWidth="1"/>
    <col min="9225" max="9225" width="10.125" style="144" customWidth="1"/>
    <col min="9226" max="9226" width="6.625" style="144" customWidth="1"/>
    <col min="9227" max="9227" width="13.25" style="144" customWidth="1"/>
    <col min="9228" max="9228" width="1.75" style="144" customWidth="1"/>
    <col min="9229" max="9229" width="9" style="144" customWidth="1"/>
    <col min="9230" max="9230" width="15.875" style="144" customWidth="1"/>
    <col min="9231" max="9231" width="9" style="144"/>
    <col min="9232" max="9232" width="11.125" style="144" bestFit="1" customWidth="1"/>
    <col min="9233" max="9233" width="14.25" style="144" bestFit="1" customWidth="1"/>
    <col min="9234" max="9234" width="12.125" style="144" bestFit="1" customWidth="1"/>
    <col min="9235" max="9474" width="9" style="144"/>
    <col min="9475" max="9476" width="12.125" style="144" customWidth="1"/>
    <col min="9477" max="9477" width="8.125" style="144" customWidth="1"/>
    <col min="9478" max="9478" width="12.125" style="144" customWidth="1"/>
    <col min="9479" max="9479" width="6.5" style="144" customWidth="1"/>
    <col min="9480" max="9480" width="5.875" style="144" customWidth="1"/>
    <col min="9481" max="9481" width="10.125" style="144" customWidth="1"/>
    <col min="9482" max="9482" width="6.625" style="144" customWidth="1"/>
    <col min="9483" max="9483" width="13.25" style="144" customWidth="1"/>
    <col min="9484" max="9484" width="1.75" style="144" customWidth="1"/>
    <col min="9485" max="9485" width="9" style="144" customWidth="1"/>
    <col min="9486" max="9486" width="15.875" style="144" customWidth="1"/>
    <col min="9487" max="9487" width="9" style="144"/>
    <col min="9488" max="9488" width="11.125" style="144" bestFit="1" customWidth="1"/>
    <col min="9489" max="9489" width="14.25" style="144" bestFit="1" customWidth="1"/>
    <col min="9490" max="9490" width="12.125" style="144" bestFit="1" customWidth="1"/>
    <col min="9491" max="9730" width="9" style="144"/>
    <col min="9731" max="9732" width="12.125" style="144" customWidth="1"/>
    <col min="9733" max="9733" width="8.125" style="144" customWidth="1"/>
    <col min="9734" max="9734" width="12.125" style="144" customWidth="1"/>
    <col min="9735" max="9735" width="6.5" style="144" customWidth="1"/>
    <col min="9736" max="9736" width="5.875" style="144" customWidth="1"/>
    <col min="9737" max="9737" width="10.125" style="144" customWidth="1"/>
    <col min="9738" max="9738" width="6.625" style="144" customWidth="1"/>
    <col min="9739" max="9739" width="13.25" style="144" customWidth="1"/>
    <col min="9740" max="9740" width="1.75" style="144" customWidth="1"/>
    <col min="9741" max="9741" width="9" style="144" customWidth="1"/>
    <col min="9742" max="9742" width="15.875" style="144" customWidth="1"/>
    <col min="9743" max="9743" width="9" style="144"/>
    <col min="9744" max="9744" width="11.125" style="144" bestFit="1" customWidth="1"/>
    <col min="9745" max="9745" width="14.25" style="144" bestFit="1" customWidth="1"/>
    <col min="9746" max="9746" width="12.125" style="144" bestFit="1" customWidth="1"/>
    <col min="9747" max="9986" width="9" style="144"/>
    <col min="9987" max="9988" width="12.125" style="144" customWidth="1"/>
    <col min="9989" max="9989" width="8.125" style="144" customWidth="1"/>
    <col min="9990" max="9990" width="12.125" style="144" customWidth="1"/>
    <col min="9991" max="9991" width="6.5" style="144" customWidth="1"/>
    <col min="9992" max="9992" width="5.875" style="144" customWidth="1"/>
    <col min="9993" max="9993" width="10.125" style="144" customWidth="1"/>
    <col min="9994" max="9994" width="6.625" style="144" customWidth="1"/>
    <col min="9995" max="9995" width="13.25" style="144" customWidth="1"/>
    <col min="9996" max="9996" width="1.75" style="144" customWidth="1"/>
    <col min="9997" max="9997" width="9" style="144" customWidth="1"/>
    <col min="9998" max="9998" width="15.875" style="144" customWidth="1"/>
    <col min="9999" max="9999" width="9" style="144"/>
    <col min="10000" max="10000" width="11.125" style="144" bestFit="1" customWidth="1"/>
    <col min="10001" max="10001" width="14.25" style="144" bestFit="1" customWidth="1"/>
    <col min="10002" max="10002" width="12.125" style="144" bestFit="1" customWidth="1"/>
    <col min="10003" max="10242" width="9" style="144"/>
    <col min="10243" max="10244" width="12.125" style="144" customWidth="1"/>
    <col min="10245" max="10245" width="8.125" style="144" customWidth="1"/>
    <col min="10246" max="10246" width="12.125" style="144" customWidth="1"/>
    <col min="10247" max="10247" width="6.5" style="144" customWidth="1"/>
    <col min="10248" max="10248" width="5.875" style="144" customWidth="1"/>
    <col min="10249" max="10249" width="10.125" style="144" customWidth="1"/>
    <col min="10250" max="10250" width="6.625" style="144" customWidth="1"/>
    <col min="10251" max="10251" width="13.25" style="144" customWidth="1"/>
    <col min="10252" max="10252" width="1.75" style="144" customWidth="1"/>
    <col min="10253" max="10253" width="9" style="144" customWidth="1"/>
    <col min="10254" max="10254" width="15.875" style="144" customWidth="1"/>
    <col min="10255" max="10255" width="9" style="144"/>
    <col min="10256" max="10256" width="11.125" style="144" bestFit="1" customWidth="1"/>
    <col min="10257" max="10257" width="14.25" style="144" bestFit="1" customWidth="1"/>
    <col min="10258" max="10258" width="12.125" style="144" bestFit="1" customWidth="1"/>
    <col min="10259" max="10498" width="9" style="144"/>
    <col min="10499" max="10500" width="12.125" style="144" customWidth="1"/>
    <col min="10501" max="10501" width="8.125" style="144" customWidth="1"/>
    <col min="10502" max="10502" width="12.125" style="144" customWidth="1"/>
    <col min="10503" max="10503" width="6.5" style="144" customWidth="1"/>
    <col min="10504" max="10504" width="5.875" style="144" customWidth="1"/>
    <col min="10505" max="10505" width="10.125" style="144" customWidth="1"/>
    <col min="10506" max="10506" width="6.625" style="144" customWidth="1"/>
    <col min="10507" max="10507" width="13.25" style="144" customWidth="1"/>
    <col min="10508" max="10508" width="1.75" style="144" customWidth="1"/>
    <col min="10509" max="10509" width="9" style="144" customWidth="1"/>
    <col min="10510" max="10510" width="15.875" style="144" customWidth="1"/>
    <col min="10511" max="10511" width="9" style="144"/>
    <col min="10512" max="10512" width="11.125" style="144" bestFit="1" customWidth="1"/>
    <col min="10513" max="10513" width="14.25" style="144" bestFit="1" customWidth="1"/>
    <col min="10514" max="10514" width="12.125" style="144" bestFit="1" customWidth="1"/>
    <col min="10515" max="10754" width="9" style="144"/>
    <col min="10755" max="10756" width="12.125" style="144" customWidth="1"/>
    <col min="10757" max="10757" width="8.125" style="144" customWidth="1"/>
    <col min="10758" max="10758" width="12.125" style="144" customWidth="1"/>
    <col min="10759" max="10759" width="6.5" style="144" customWidth="1"/>
    <col min="10760" max="10760" width="5.875" style="144" customWidth="1"/>
    <col min="10761" max="10761" width="10.125" style="144" customWidth="1"/>
    <col min="10762" max="10762" width="6.625" style="144" customWidth="1"/>
    <col min="10763" max="10763" width="13.25" style="144" customWidth="1"/>
    <col min="10764" max="10764" width="1.75" style="144" customWidth="1"/>
    <col min="10765" max="10765" width="9" style="144" customWidth="1"/>
    <col min="10766" max="10766" width="15.875" style="144" customWidth="1"/>
    <col min="10767" max="10767" width="9" style="144"/>
    <col min="10768" max="10768" width="11.125" style="144" bestFit="1" customWidth="1"/>
    <col min="10769" max="10769" width="14.25" style="144" bestFit="1" customWidth="1"/>
    <col min="10770" max="10770" width="12.125" style="144" bestFit="1" customWidth="1"/>
    <col min="10771" max="11010" width="9" style="144"/>
    <col min="11011" max="11012" width="12.125" style="144" customWidth="1"/>
    <col min="11013" max="11013" width="8.125" style="144" customWidth="1"/>
    <col min="11014" max="11014" width="12.125" style="144" customWidth="1"/>
    <col min="11015" max="11015" width="6.5" style="144" customWidth="1"/>
    <col min="11016" max="11016" width="5.875" style="144" customWidth="1"/>
    <col min="11017" max="11017" width="10.125" style="144" customWidth="1"/>
    <col min="11018" max="11018" width="6.625" style="144" customWidth="1"/>
    <col min="11019" max="11019" width="13.25" style="144" customWidth="1"/>
    <col min="11020" max="11020" width="1.75" style="144" customWidth="1"/>
    <col min="11021" max="11021" width="9" style="144" customWidth="1"/>
    <col min="11022" max="11022" width="15.875" style="144" customWidth="1"/>
    <col min="11023" max="11023" width="9" style="144"/>
    <col min="11024" max="11024" width="11.125" style="144" bestFit="1" customWidth="1"/>
    <col min="11025" max="11025" width="14.25" style="144" bestFit="1" customWidth="1"/>
    <col min="11026" max="11026" width="12.125" style="144" bestFit="1" customWidth="1"/>
    <col min="11027" max="11266" width="9" style="144"/>
    <col min="11267" max="11268" width="12.125" style="144" customWidth="1"/>
    <col min="11269" max="11269" width="8.125" style="144" customWidth="1"/>
    <col min="11270" max="11270" width="12.125" style="144" customWidth="1"/>
    <col min="11271" max="11271" width="6.5" style="144" customWidth="1"/>
    <col min="11272" max="11272" width="5.875" style="144" customWidth="1"/>
    <col min="11273" max="11273" width="10.125" style="144" customWidth="1"/>
    <col min="11274" max="11274" width="6.625" style="144" customWidth="1"/>
    <col min="11275" max="11275" width="13.25" style="144" customWidth="1"/>
    <col min="11276" max="11276" width="1.75" style="144" customWidth="1"/>
    <col min="11277" max="11277" width="9" style="144" customWidth="1"/>
    <col min="11278" max="11278" width="15.875" style="144" customWidth="1"/>
    <col min="11279" max="11279" width="9" style="144"/>
    <col min="11280" max="11280" width="11.125" style="144" bestFit="1" customWidth="1"/>
    <col min="11281" max="11281" width="14.25" style="144" bestFit="1" customWidth="1"/>
    <col min="11282" max="11282" width="12.125" style="144" bestFit="1" customWidth="1"/>
    <col min="11283" max="11522" width="9" style="144"/>
    <col min="11523" max="11524" width="12.125" style="144" customWidth="1"/>
    <col min="11525" max="11525" width="8.125" style="144" customWidth="1"/>
    <col min="11526" max="11526" width="12.125" style="144" customWidth="1"/>
    <col min="11527" max="11527" width="6.5" style="144" customWidth="1"/>
    <col min="11528" max="11528" width="5.875" style="144" customWidth="1"/>
    <col min="11529" max="11529" width="10.125" style="144" customWidth="1"/>
    <col min="11530" max="11530" width="6.625" style="144" customWidth="1"/>
    <col min="11531" max="11531" width="13.25" style="144" customWidth="1"/>
    <col min="11532" max="11532" width="1.75" style="144" customWidth="1"/>
    <col min="11533" max="11533" width="9" style="144" customWidth="1"/>
    <col min="11534" max="11534" width="15.875" style="144" customWidth="1"/>
    <col min="11535" max="11535" width="9" style="144"/>
    <col min="11536" max="11536" width="11.125" style="144" bestFit="1" customWidth="1"/>
    <col min="11537" max="11537" width="14.25" style="144" bestFit="1" customWidth="1"/>
    <col min="11538" max="11538" width="12.125" style="144" bestFit="1" customWidth="1"/>
    <col min="11539" max="11778" width="9" style="144"/>
    <col min="11779" max="11780" width="12.125" style="144" customWidth="1"/>
    <col min="11781" max="11781" width="8.125" style="144" customWidth="1"/>
    <col min="11782" max="11782" width="12.125" style="144" customWidth="1"/>
    <col min="11783" max="11783" width="6.5" style="144" customWidth="1"/>
    <col min="11784" max="11784" width="5.875" style="144" customWidth="1"/>
    <col min="11785" max="11785" width="10.125" style="144" customWidth="1"/>
    <col min="11786" max="11786" width="6.625" style="144" customWidth="1"/>
    <col min="11787" max="11787" width="13.25" style="144" customWidth="1"/>
    <col min="11788" max="11788" width="1.75" style="144" customWidth="1"/>
    <col min="11789" max="11789" width="9" style="144" customWidth="1"/>
    <col min="11790" max="11790" width="15.875" style="144" customWidth="1"/>
    <col min="11791" max="11791" width="9" style="144"/>
    <col min="11792" max="11792" width="11.125" style="144" bestFit="1" customWidth="1"/>
    <col min="11793" max="11793" width="14.25" style="144" bestFit="1" customWidth="1"/>
    <col min="11794" max="11794" width="12.125" style="144" bestFit="1" customWidth="1"/>
    <col min="11795" max="12034" width="9" style="144"/>
    <col min="12035" max="12036" width="12.125" style="144" customWidth="1"/>
    <col min="12037" max="12037" width="8.125" style="144" customWidth="1"/>
    <col min="12038" max="12038" width="12.125" style="144" customWidth="1"/>
    <col min="12039" max="12039" width="6.5" style="144" customWidth="1"/>
    <col min="12040" max="12040" width="5.875" style="144" customWidth="1"/>
    <col min="12041" max="12041" width="10.125" style="144" customWidth="1"/>
    <col min="12042" max="12042" width="6.625" style="144" customWidth="1"/>
    <col min="12043" max="12043" width="13.25" style="144" customWidth="1"/>
    <col min="12044" max="12044" width="1.75" style="144" customWidth="1"/>
    <col min="12045" max="12045" width="9" style="144" customWidth="1"/>
    <col min="12046" max="12046" width="15.875" style="144" customWidth="1"/>
    <col min="12047" max="12047" width="9" style="144"/>
    <col min="12048" max="12048" width="11.125" style="144" bestFit="1" customWidth="1"/>
    <col min="12049" max="12049" width="14.25" style="144" bestFit="1" customWidth="1"/>
    <col min="12050" max="12050" width="12.125" style="144" bestFit="1" customWidth="1"/>
    <col min="12051" max="12290" width="9" style="144"/>
    <col min="12291" max="12292" width="12.125" style="144" customWidth="1"/>
    <col min="12293" max="12293" width="8.125" style="144" customWidth="1"/>
    <col min="12294" max="12294" width="12.125" style="144" customWidth="1"/>
    <col min="12295" max="12295" width="6.5" style="144" customWidth="1"/>
    <col min="12296" max="12296" width="5.875" style="144" customWidth="1"/>
    <col min="12297" max="12297" width="10.125" style="144" customWidth="1"/>
    <col min="12298" max="12298" width="6.625" style="144" customWidth="1"/>
    <col min="12299" max="12299" width="13.25" style="144" customWidth="1"/>
    <col min="12300" max="12300" width="1.75" style="144" customWidth="1"/>
    <col min="12301" max="12301" width="9" style="144" customWidth="1"/>
    <col min="12302" max="12302" width="15.875" style="144" customWidth="1"/>
    <col min="12303" max="12303" width="9" style="144"/>
    <col min="12304" max="12304" width="11.125" style="144" bestFit="1" customWidth="1"/>
    <col min="12305" max="12305" width="14.25" style="144" bestFit="1" customWidth="1"/>
    <col min="12306" max="12306" width="12.125" style="144" bestFit="1" customWidth="1"/>
    <col min="12307" max="12546" width="9" style="144"/>
    <col min="12547" max="12548" width="12.125" style="144" customWidth="1"/>
    <col min="12549" max="12549" width="8.125" style="144" customWidth="1"/>
    <col min="12550" max="12550" width="12.125" style="144" customWidth="1"/>
    <col min="12551" max="12551" width="6.5" style="144" customWidth="1"/>
    <col min="12552" max="12552" width="5.875" style="144" customWidth="1"/>
    <col min="12553" max="12553" width="10.125" style="144" customWidth="1"/>
    <col min="12554" max="12554" width="6.625" style="144" customWidth="1"/>
    <col min="12555" max="12555" width="13.25" style="144" customWidth="1"/>
    <col min="12556" max="12556" width="1.75" style="144" customWidth="1"/>
    <col min="12557" max="12557" width="9" style="144" customWidth="1"/>
    <col min="12558" max="12558" width="15.875" style="144" customWidth="1"/>
    <col min="12559" max="12559" width="9" style="144"/>
    <col min="12560" max="12560" width="11.125" style="144" bestFit="1" customWidth="1"/>
    <col min="12561" max="12561" width="14.25" style="144" bestFit="1" customWidth="1"/>
    <col min="12562" max="12562" width="12.125" style="144" bestFit="1" customWidth="1"/>
    <col min="12563" max="12802" width="9" style="144"/>
    <col min="12803" max="12804" width="12.125" style="144" customWidth="1"/>
    <col min="12805" max="12805" width="8.125" style="144" customWidth="1"/>
    <col min="12806" max="12806" width="12.125" style="144" customWidth="1"/>
    <col min="12807" max="12807" width="6.5" style="144" customWidth="1"/>
    <col min="12808" max="12808" width="5.875" style="144" customWidth="1"/>
    <col min="12809" max="12809" width="10.125" style="144" customWidth="1"/>
    <col min="12810" max="12810" width="6.625" style="144" customWidth="1"/>
    <col min="12811" max="12811" width="13.25" style="144" customWidth="1"/>
    <col min="12812" max="12812" width="1.75" style="144" customWidth="1"/>
    <col min="12813" max="12813" width="9" style="144" customWidth="1"/>
    <col min="12814" max="12814" width="15.875" style="144" customWidth="1"/>
    <col min="12815" max="12815" width="9" style="144"/>
    <col min="12816" max="12816" width="11.125" style="144" bestFit="1" customWidth="1"/>
    <col min="12817" max="12817" width="14.25" style="144" bestFit="1" customWidth="1"/>
    <col min="12818" max="12818" width="12.125" style="144" bestFit="1" customWidth="1"/>
    <col min="12819" max="13058" width="9" style="144"/>
    <col min="13059" max="13060" width="12.125" style="144" customWidth="1"/>
    <col min="13061" max="13061" width="8.125" style="144" customWidth="1"/>
    <col min="13062" max="13062" width="12.125" style="144" customWidth="1"/>
    <col min="13063" max="13063" width="6.5" style="144" customWidth="1"/>
    <col min="13064" max="13064" width="5.875" style="144" customWidth="1"/>
    <col min="13065" max="13065" width="10.125" style="144" customWidth="1"/>
    <col min="13066" max="13066" width="6.625" style="144" customWidth="1"/>
    <col min="13067" max="13067" width="13.25" style="144" customWidth="1"/>
    <col min="13068" max="13068" width="1.75" style="144" customWidth="1"/>
    <col min="13069" max="13069" width="9" style="144" customWidth="1"/>
    <col min="13070" max="13070" width="15.875" style="144" customWidth="1"/>
    <col min="13071" max="13071" width="9" style="144"/>
    <col min="13072" max="13072" width="11.125" style="144" bestFit="1" customWidth="1"/>
    <col min="13073" max="13073" width="14.25" style="144" bestFit="1" customWidth="1"/>
    <col min="13074" max="13074" width="12.125" style="144" bestFit="1" customWidth="1"/>
    <col min="13075" max="13314" width="9" style="144"/>
    <col min="13315" max="13316" width="12.125" style="144" customWidth="1"/>
    <col min="13317" max="13317" width="8.125" style="144" customWidth="1"/>
    <col min="13318" max="13318" width="12.125" style="144" customWidth="1"/>
    <col min="13319" max="13319" width="6.5" style="144" customWidth="1"/>
    <col min="13320" max="13320" width="5.875" style="144" customWidth="1"/>
    <col min="13321" max="13321" width="10.125" style="144" customWidth="1"/>
    <col min="13322" max="13322" width="6.625" style="144" customWidth="1"/>
    <col min="13323" max="13323" width="13.25" style="144" customWidth="1"/>
    <col min="13324" max="13324" width="1.75" style="144" customWidth="1"/>
    <col min="13325" max="13325" width="9" style="144" customWidth="1"/>
    <col min="13326" max="13326" width="15.875" style="144" customWidth="1"/>
    <col min="13327" max="13327" width="9" style="144"/>
    <col min="13328" max="13328" width="11.125" style="144" bestFit="1" customWidth="1"/>
    <col min="13329" max="13329" width="14.25" style="144" bestFit="1" customWidth="1"/>
    <col min="13330" max="13330" width="12.125" style="144" bestFit="1" customWidth="1"/>
    <col min="13331" max="13570" width="9" style="144"/>
    <col min="13571" max="13572" width="12.125" style="144" customWidth="1"/>
    <col min="13573" max="13573" width="8.125" style="144" customWidth="1"/>
    <col min="13574" max="13574" width="12.125" style="144" customWidth="1"/>
    <col min="13575" max="13575" width="6.5" style="144" customWidth="1"/>
    <col min="13576" max="13576" width="5.875" style="144" customWidth="1"/>
    <col min="13577" max="13577" width="10.125" style="144" customWidth="1"/>
    <col min="13578" max="13578" width="6.625" style="144" customWidth="1"/>
    <col min="13579" max="13579" width="13.25" style="144" customWidth="1"/>
    <col min="13580" max="13580" width="1.75" style="144" customWidth="1"/>
    <col min="13581" max="13581" width="9" style="144" customWidth="1"/>
    <col min="13582" max="13582" width="15.875" style="144" customWidth="1"/>
    <col min="13583" max="13583" width="9" style="144"/>
    <col min="13584" max="13584" width="11.125" style="144" bestFit="1" customWidth="1"/>
    <col min="13585" max="13585" width="14.25" style="144" bestFit="1" customWidth="1"/>
    <col min="13586" max="13586" width="12.125" style="144" bestFit="1" customWidth="1"/>
    <col min="13587" max="13826" width="9" style="144"/>
    <col min="13827" max="13828" width="12.125" style="144" customWidth="1"/>
    <col min="13829" max="13829" width="8.125" style="144" customWidth="1"/>
    <col min="13830" max="13830" width="12.125" style="144" customWidth="1"/>
    <col min="13831" max="13831" width="6.5" style="144" customWidth="1"/>
    <col min="13832" max="13832" width="5.875" style="144" customWidth="1"/>
    <col min="13833" max="13833" width="10.125" style="144" customWidth="1"/>
    <col min="13834" max="13834" width="6.625" style="144" customWidth="1"/>
    <col min="13835" max="13835" width="13.25" style="144" customWidth="1"/>
    <col min="13836" max="13836" width="1.75" style="144" customWidth="1"/>
    <col min="13837" max="13837" width="9" style="144" customWidth="1"/>
    <col min="13838" max="13838" width="15.875" style="144" customWidth="1"/>
    <col min="13839" max="13839" width="9" style="144"/>
    <col min="13840" max="13840" width="11.125" style="144" bestFit="1" customWidth="1"/>
    <col min="13841" max="13841" width="14.25" style="144" bestFit="1" customWidth="1"/>
    <col min="13842" max="13842" width="12.125" style="144" bestFit="1" customWidth="1"/>
    <col min="13843" max="14082" width="9" style="144"/>
    <col min="14083" max="14084" width="12.125" style="144" customWidth="1"/>
    <col min="14085" max="14085" width="8.125" style="144" customWidth="1"/>
    <col min="14086" max="14086" width="12.125" style="144" customWidth="1"/>
    <col min="14087" max="14087" width="6.5" style="144" customWidth="1"/>
    <col min="14088" max="14088" width="5.875" style="144" customWidth="1"/>
    <col min="14089" max="14089" width="10.125" style="144" customWidth="1"/>
    <col min="14090" max="14090" width="6.625" style="144" customWidth="1"/>
    <col min="14091" max="14091" width="13.25" style="144" customWidth="1"/>
    <col min="14092" max="14092" width="1.75" style="144" customWidth="1"/>
    <col min="14093" max="14093" width="9" style="144" customWidth="1"/>
    <col min="14094" max="14094" width="15.875" style="144" customWidth="1"/>
    <col min="14095" max="14095" width="9" style="144"/>
    <col min="14096" max="14096" width="11.125" style="144" bestFit="1" customWidth="1"/>
    <col min="14097" max="14097" width="14.25" style="144" bestFit="1" customWidth="1"/>
    <col min="14098" max="14098" width="12.125" style="144" bestFit="1" customWidth="1"/>
    <col min="14099" max="14338" width="9" style="144"/>
    <col min="14339" max="14340" width="12.125" style="144" customWidth="1"/>
    <col min="14341" max="14341" width="8.125" style="144" customWidth="1"/>
    <col min="14342" max="14342" width="12.125" style="144" customWidth="1"/>
    <col min="14343" max="14343" width="6.5" style="144" customWidth="1"/>
    <col min="14344" max="14344" width="5.875" style="144" customWidth="1"/>
    <col min="14345" max="14345" width="10.125" style="144" customWidth="1"/>
    <col min="14346" max="14346" width="6.625" style="144" customWidth="1"/>
    <col min="14347" max="14347" width="13.25" style="144" customWidth="1"/>
    <col min="14348" max="14348" width="1.75" style="144" customWidth="1"/>
    <col min="14349" max="14349" width="9" style="144" customWidth="1"/>
    <col min="14350" max="14350" width="15.875" style="144" customWidth="1"/>
    <col min="14351" max="14351" width="9" style="144"/>
    <col min="14352" max="14352" width="11.125" style="144" bestFit="1" customWidth="1"/>
    <col min="14353" max="14353" width="14.25" style="144" bestFit="1" customWidth="1"/>
    <col min="14354" max="14354" width="12.125" style="144" bestFit="1" customWidth="1"/>
    <col min="14355" max="14594" width="9" style="144"/>
    <col min="14595" max="14596" width="12.125" style="144" customWidth="1"/>
    <col min="14597" max="14597" width="8.125" style="144" customWidth="1"/>
    <col min="14598" max="14598" width="12.125" style="144" customWidth="1"/>
    <col min="14599" max="14599" width="6.5" style="144" customWidth="1"/>
    <col min="14600" max="14600" width="5.875" style="144" customWidth="1"/>
    <col min="14601" max="14601" width="10.125" style="144" customWidth="1"/>
    <col min="14602" max="14602" width="6.625" style="144" customWidth="1"/>
    <col min="14603" max="14603" width="13.25" style="144" customWidth="1"/>
    <col min="14604" max="14604" width="1.75" style="144" customWidth="1"/>
    <col min="14605" max="14605" width="9" style="144" customWidth="1"/>
    <col min="14606" max="14606" width="15.875" style="144" customWidth="1"/>
    <col min="14607" max="14607" width="9" style="144"/>
    <col min="14608" max="14608" width="11.125" style="144" bestFit="1" customWidth="1"/>
    <col min="14609" max="14609" width="14.25" style="144" bestFit="1" customWidth="1"/>
    <col min="14610" max="14610" width="12.125" style="144" bestFit="1" customWidth="1"/>
    <col min="14611" max="14850" width="9" style="144"/>
    <col min="14851" max="14852" width="12.125" style="144" customWidth="1"/>
    <col min="14853" max="14853" width="8.125" style="144" customWidth="1"/>
    <col min="14854" max="14854" width="12.125" style="144" customWidth="1"/>
    <col min="14855" max="14855" width="6.5" style="144" customWidth="1"/>
    <col min="14856" max="14856" width="5.875" style="144" customWidth="1"/>
    <col min="14857" max="14857" width="10.125" style="144" customWidth="1"/>
    <col min="14858" max="14858" width="6.625" style="144" customWidth="1"/>
    <col min="14859" max="14859" width="13.25" style="144" customWidth="1"/>
    <col min="14860" max="14860" width="1.75" style="144" customWidth="1"/>
    <col min="14861" max="14861" width="9" style="144" customWidth="1"/>
    <col min="14862" max="14862" width="15.875" style="144" customWidth="1"/>
    <col min="14863" max="14863" width="9" style="144"/>
    <col min="14864" max="14864" width="11.125" style="144" bestFit="1" customWidth="1"/>
    <col min="14865" max="14865" width="14.25" style="144" bestFit="1" customWidth="1"/>
    <col min="14866" max="14866" width="12.125" style="144" bestFit="1" customWidth="1"/>
    <col min="14867" max="15106" width="9" style="144"/>
    <col min="15107" max="15108" width="12.125" style="144" customWidth="1"/>
    <col min="15109" max="15109" width="8.125" style="144" customWidth="1"/>
    <col min="15110" max="15110" width="12.125" style="144" customWidth="1"/>
    <col min="15111" max="15111" width="6.5" style="144" customWidth="1"/>
    <col min="15112" max="15112" width="5.875" style="144" customWidth="1"/>
    <col min="15113" max="15113" width="10.125" style="144" customWidth="1"/>
    <col min="15114" max="15114" width="6.625" style="144" customWidth="1"/>
    <col min="15115" max="15115" width="13.25" style="144" customWidth="1"/>
    <col min="15116" max="15116" width="1.75" style="144" customWidth="1"/>
    <col min="15117" max="15117" width="9" style="144" customWidth="1"/>
    <col min="15118" max="15118" width="15.875" style="144" customWidth="1"/>
    <col min="15119" max="15119" width="9" style="144"/>
    <col min="15120" max="15120" width="11.125" style="144" bestFit="1" customWidth="1"/>
    <col min="15121" max="15121" width="14.25" style="144" bestFit="1" customWidth="1"/>
    <col min="15122" max="15122" width="12.125" style="144" bestFit="1" customWidth="1"/>
    <col min="15123" max="15362" width="9" style="144"/>
    <col min="15363" max="15364" width="12.125" style="144" customWidth="1"/>
    <col min="15365" max="15365" width="8.125" style="144" customWidth="1"/>
    <col min="15366" max="15366" width="12.125" style="144" customWidth="1"/>
    <col min="15367" max="15367" width="6.5" style="144" customWidth="1"/>
    <col min="15368" max="15368" width="5.875" style="144" customWidth="1"/>
    <col min="15369" max="15369" width="10.125" style="144" customWidth="1"/>
    <col min="15370" max="15370" width="6.625" style="144" customWidth="1"/>
    <col min="15371" max="15371" width="13.25" style="144" customWidth="1"/>
    <col min="15372" max="15372" width="1.75" style="144" customWidth="1"/>
    <col min="15373" max="15373" width="9" style="144" customWidth="1"/>
    <col min="15374" max="15374" width="15.875" style="144" customWidth="1"/>
    <col min="15375" max="15375" width="9" style="144"/>
    <col min="15376" max="15376" width="11.125" style="144" bestFit="1" customWidth="1"/>
    <col min="15377" max="15377" width="14.25" style="144" bestFit="1" customWidth="1"/>
    <col min="15378" max="15378" width="12.125" style="144" bestFit="1" customWidth="1"/>
    <col min="15379" max="15618" width="9" style="144"/>
    <col min="15619" max="15620" width="12.125" style="144" customWidth="1"/>
    <col min="15621" max="15621" width="8.125" style="144" customWidth="1"/>
    <col min="15622" max="15622" width="12.125" style="144" customWidth="1"/>
    <col min="15623" max="15623" width="6.5" style="144" customWidth="1"/>
    <col min="15624" max="15624" width="5.875" style="144" customWidth="1"/>
    <col min="15625" max="15625" width="10.125" style="144" customWidth="1"/>
    <col min="15626" max="15626" width="6.625" style="144" customWidth="1"/>
    <col min="15627" max="15627" width="13.25" style="144" customWidth="1"/>
    <col min="15628" max="15628" width="1.75" style="144" customWidth="1"/>
    <col min="15629" max="15629" width="9" style="144" customWidth="1"/>
    <col min="15630" max="15630" width="15.875" style="144" customWidth="1"/>
    <col min="15631" max="15631" width="9" style="144"/>
    <col min="15632" max="15632" width="11.125" style="144" bestFit="1" customWidth="1"/>
    <col min="15633" max="15633" width="14.25" style="144" bestFit="1" customWidth="1"/>
    <col min="15634" max="15634" width="12.125" style="144" bestFit="1" customWidth="1"/>
    <col min="15635" max="15874" width="9" style="144"/>
    <col min="15875" max="15876" width="12.125" style="144" customWidth="1"/>
    <col min="15877" max="15877" width="8.125" style="144" customWidth="1"/>
    <col min="15878" max="15878" width="12.125" style="144" customWidth="1"/>
    <col min="15879" max="15879" width="6.5" style="144" customWidth="1"/>
    <col min="15880" max="15880" width="5.875" style="144" customWidth="1"/>
    <col min="15881" max="15881" width="10.125" style="144" customWidth="1"/>
    <col min="15882" max="15882" width="6.625" style="144" customWidth="1"/>
    <col min="15883" max="15883" width="13.25" style="144" customWidth="1"/>
    <col min="15884" max="15884" width="1.75" style="144" customWidth="1"/>
    <col min="15885" max="15885" width="9" style="144" customWidth="1"/>
    <col min="15886" max="15886" width="15.875" style="144" customWidth="1"/>
    <col min="15887" max="15887" width="9" style="144"/>
    <col min="15888" max="15888" width="11.125" style="144" bestFit="1" customWidth="1"/>
    <col min="15889" max="15889" width="14.25" style="144" bestFit="1" customWidth="1"/>
    <col min="15890" max="15890" width="12.125" style="144" bestFit="1" customWidth="1"/>
    <col min="15891" max="16130" width="9" style="144"/>
    <col min="16131" max="16132" width="12.125" style="144" customWidth="1"/>
    <col min="16133" max="16133" width="8.125" style="144" customWidth="1"/>
    <col min="16134" max="16134" width="12.125" style="144" customWidth="1"/>
    <col min="16135" max="16135" width="6.5" style="144" customWidth="1"/>
    <col min="16136" max="16136" width="5.875" style="144" customWidth="1"/>
    <col min="16137" max="16137" width="10.125" style="144" customWidth="1"/>
    <col min="16138" max="16138" width="6.625" style="144" customWidth="1"/>
    <col min="16139" max="16139" width="13.25" style="144" customWidth="1"/>
    <col min="16140" max="16140" width="1.75" style="144" customWidth="1"/>
    <col min="16141" max="16141" width="9" style="144" customWidth="1"/>
    <col min="16142" max="16142" width="15.875" style="144" customWidth="1"/>
    <col min="16143" max="16143" width="9" style="144"/>
    <col min="16144" max="16144" width="11.125" style="144" bestFit="1" customWidth="1"/>
    <col min="16145" max="16145" width="14.25" style="144" bestFit="1" customWidth="1"/>
    <col min="16146" max="16146" width="12.125" style="144" bestFit="1" customWidth="1"/>
    <col min="16147" max="16384" width="9" style="144"/>
  </cols>
  <sheetData>
    <row r="1" spans="1:21" ht="35.1" customHeight="1">
      <c r="A1" s="402" t="s">
        <v>296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</row>
    <row r="2" spans="1:21" ht="15" customHeight="1"/>
    <row r="3" spans="1:21" s="147" customFormat="1" ht="24.95" customHeight="1">
      <c r="A3" s="181" t="s">
        <v>191</v>
      </c>
      <c r="B3" s="182"/>
      <c r="C3" s="182"/>
      <c r="D3" s="182"/>
      <c r="E3" s="182"/>
      <c r="F3" s="182"/>
      <c r="G3" s="182"/>
      <c r="H3" s="182"/>
      <c r="I3" s="182"/>
      <c r="J3" s="180"/>
      <c r="K3" s="180"/>
      <c r="L3" s="180"/>
      <c r="N3" s="148"/>
    </row>
    <row r="4" spans="1:21" s="147" customFormat="1" ht="24.75" customHeight="1">
      <c r="A4" s="400" t="s">
        <v>140</v>
      </c>
      <c r="B4" s="401"/>
      <c r="C4" s="230" t="s">
        <v>141</v>
      </c>
      <c r="D4" s="401" t="s">
        <v>173</v>
      </c>
      <c r="E4" s="401"/>
      <c r="F4" s="401" t="s">
        <v>183</v>
      </c>
      <c r="G4" s="401"/>
      <c r="H4" s="217" t="s">
        <v>174</v>
      </c>
      <c r="I4" s="217" t="s">
        <v>176</v>
      </c>
      <c r="J4" s="217" t="s">
        <v>175</v>
      </c>
      <c r="K4" s="401" t="s">
        <v>178</v>
      </c>
      <c r="L4" s="401"/>
      <c r="M4" s="231" t="s">
        <v>177</v>
      </c>
      <c r="N4" s="148"/>
      <c r="S4" s="162" t="s">
        <v>142</v>
      </c>
    </row>
    <row r="5" spans="1:21" s="147" customFormat="1" ht="24.75" customHeight="1">
      <c r="A5" s="371" t="s">
        <v>194</v>
      </c>
      <c r="B5" s="372"/>
      <c r="C5" s="235"/>
      <c r="D5" s="390"/>
      <c r="E5" s="390"/>
      <c r="F5" s="391"/>
      <c r="G5" s="391"/>
      <c r="H5" s="221"/>
      <c r="I5" s="221"/>
      <c r="J5" s="172"/>
      <c r="K5" s="388"/>
      <c r="L5" s="388"/>
      <c r="M5" s="229"/>
      <c r="N5" s="148"/>
      <c r="O5" s="392" t="s">
        <v>196</v>
      </c>
      <c r="P5" s="393"/>
      <c r="Q5" s="394" t="s">
        <v>197</v>
      </c>
      <c r="R5" s="395"/>
      <c r="S5" s="174"/>
      <c r="T5" s="169" t="s">
        <v>195</v>
      </c>
      <c r="U5" s="170">
        <v>270000</v>
      </c>
    </row>
    <row r="6" spans="1:21" s="147" customFormat="1" ht="24.75" customHeight="1">
      <c r="A6" s="386"/>
      <c r="B6" s="387"/>
      <c r="C6" s="235"/>
      <c r="D6" s="389"/>
      <c r="E6" s="390"/>
      <c r="F6" s="391"/>
      <c r="G6" s="391"/>
      <c r="H6" s="221"/>
      <c r="I6" s="221"/>
      <c r="J6" s="172"/>
      <c r="K6" s="388"/>
      <c r="L6" s="388"/>
      <c r="M6" s="219"/>
      <c r="N6" s="148"/>
      <c r="O6" s="396" t="s">
        <v>198</v>
      </c>
      <c r="P6" s="397"/>
      <c r="Q6" s="398" t="s">
        <v>199</v>
      </c>
      <c r="R6" s="399"/>
      <c r="S6" s="175"/>
      <c r="T6" s="171" t="s">
        <v>195</v>
      </c>
      <c r="U6" s="168">
        <v>200000</v>
      </c>
    </row>
    <row r="7" spans="1:21" s="147" customFormat="1" ht="24.75" customHeight="1">
      <c r="A7" s="371"/>
      <c r="B7" s="372"/>
      <c r="C7" s="235"/>
      <c r="D7" s="390"/>
      <c r="E7" s="390"/>
      <c r="F7" s="391"/>
      <c r="G7" s="391"/>
      <c r="H7" s="221"/>
      <c r="I7" s="221"/>
      <c r="J7" s="172"/>
      <c r="K7" s="388"/>
      <c r="L7" s="388"/>
      <c r="M7" s="219"/>
      <c r="N7" s="148"/>
      <c r="O7" s="396" t="s">
        <v>200</v>
      </c>
      <c r="P7" s="397"/>
      <c r="Q7" s="398"/>
      <c r="R7" s="399"/>
      <c r="S7" s="175"/>
      <c r="T7" s="167" t="s">
        <v>195</v>
      </c>
      <c r="U7" s="168">
        <v>1350000</v>
      </c>
    </row>
    <row r="8" spans="1:21" s="147" customFormat="1" ht="24.75" customHeight="1">
      <c r="A8" s="371"/>
      <c r="B8" s="372"/>
      <c r="C8" s="218"/>
      <c r="D8" s="369"/>
      <c r="E8" s="369"/>
      <c r="F8" s="370"/>
      <c r="G8" s="370"/>
      <c r="H8" s="171"/>
      <c r="I8" s="171"/>
      <c r="J8" s="166"/>
      <c r="K8" s="375"/>
      <c r="L8" s="375"/>
      <c r="M8" s="219"/>
      <c r="N8" s="148"/>
      <c r="Q8" s="183"/>
    </row>
    <row r="9" spans="1:21" s="147" customFormat="1" ht="24.75" customHeight="1">
      <c r="A9" s="371"/>
      <c r="B9" s="372"/>
      <c r="C9" s="218"/>
      <c r="D9" s="369"/>
      <c r="E9" s="369"/>
      <c r="F9" s="370"/>
      <c r="G9" s="370"/>
      <c r="H9" s="171"/>
      <c r="I9" s="171"/>
      <c r="J9" s="166"/>
      <c r="K9" s="375"/>
      <c r="L9" s="375"/>
      <c r="M9" s="219"/>
      <c r="N9" s="148"/>
      <c r="O9" s="184"/>
      <c r="P9" s="185"/>
      <c r="Q9" s="183"/>
    </row>
    <row r="10" spans="1:21" s="147" customFormat="1" ht="24.75" customHeight="1">
      <c r="A10" s="371"/>
      <c r="B10" s="372"/>
      <c r="C10" s="218"/>
      <c r="D10" s="369"/>
      <c r="E10" s="369"/>
      <c r="F10" s="370"/>
      <c r="G10" s="370"/>
      <c r="H10" s="171"/>
      <c r="I10" s="171"/>
      <c r="J10" s="166"/>
      <c r="K10" s="375"/>
      <c r="L10" s="375"/>
      <c r="M10" s="219"/>
      <c r="N10" s="148"/>
      <c r="O10" s="184"/>
      <c r="P10" s="185"/>
      <c r="Q10" s="183"/>
    </row>
    <row r="11" spans="1:21" s="147" customFormat="1" ht="24.75" customHeight="1">
      <c r="A11" s="371"/>
      <c r="B11" s="372"/>
      <c r="C11" s="218"/>
      <c r="D11" s="369"/>
      <c r="E11" s="369"/>
      <c r="F11" s="370"/>
      <c r="G11" s="370"/>
      <c r="H11" s="171"/>
      <c r="I11" s="171"/>
      <c r="J11" s="166"/>
      <c r="K11" s="375"/>
      <c r="L11" s="375"/>
      <c r="M11" s="219"/>
      <c r="O11" s="183"/>
      <c r="P11" s="183"/>
      <c r="Q11" s="183"/>
      <c r="R11" s="162"/>
      <c r="S11" s="373"/>
      <c r="T11" s="374"/>
    </row>
    <row r="12" spans="1:21" s="147" customFormat="1" ht="24.75" customHeight="1">
      <c r="A12" s="371"/>
      <c r="B12" s="372"/>
      <c r="C12" s="218"/>
      <c r="D12" s="369"/>
      <c r="E12" s="369"/>
      <c r="F12" s="370"/>
      <c r="G12" s="370"/>
      <c r="H12" s="171"/>
      <c r="I12" s="171"/>
      <c r="J12" s="166"/>
      <c r="K12" s="375"/>
      <c r="L12" s="375"/>
      <c r="M12" s="219"/>
      <c r="O12" s="183"/>
      <c r="P12" s="183"/>
      <c r="Q12" s="183"/>
      <c r="R12" s="162"/>
      <c r="S12" s="161"/>
      <c r="T12" s="162"/>
    </row>
    <row r="13" spans="1:21" s="147" customFormat="1" ht="24.75" customHeight="1">
      <c r="A13" s="371"/>
      <c r="B13" s="372"/>
      <c r="C13" s="218"/>
      <c r="D13" s="369"/>
      <c r="E13" s="369"/>
      <c r="F13" s="370"/>
      <c r="G13" s="370"/>
      <c r="H13" s="171"/>
      <c r="I13" s="171"/>
      <c r="J13" s="166"/>
      <c r="K13" s="375"/>
      <c r="L13" s="375"/>
      <c r="M13" s="219"/>
      <c r="O13" s="183"/>
      <c r="P13" s="183"/>
      <c r="Q13" s="183"/>
      <c r="R13" s="162"/>
      <c r="S13" s="161"/>
      <c r="T13" s="162"/>
    </row>
    <row r="14" spans="1:21" s="147" customFormat="1" ht="24.75" customHeight="1">
      <c r="A14" s="371"/>
      <c r="B14" s="372"/>
      <c r="C14" s="218"/>
      <c r="D14" s="369"/>
      <c r="E14" s="369"/>
      <c r="F14" s="370"/>
      <c r="G14" s="370"/>
      <c r="H14" s="171"/>
      <c r="I14" s="171"/>
      <c r="J14" s="166"/>
      <c r="K14" s="375"/>
      <c r="L14" s="375"/>
      <c r="M14" s="219"/>
      <c r="O14" s="183"/>
      <c r="P14" s="183"/>
      <c r="Q14" s="183"/>
      <c r="R14" s="162"/>
      <c r="S14" s="161"/>
      <c r="T14" s="162"/>
    </row>
    <row r="15" spans="1:21" s="147" customFormat="1" ht="24.75" customHeight="1">
      <c r="A15" s="371"/>
      <c r="B15" s="372"/>
      <c r="C15" s="218"/>
      <c r="D15" s="369"/>
      <c r="E15" s="369"/>
      <c r="F15" s="370"/>
      <c r="G15" s="370"/>
      <c r="H15" s="171"/>
      <c r="I15" s="171"/>
      <c r="J15" s="166"/>
      <c r="K15" s="375"/>
      <c r="L15" s="375"/>
      <c r="M15" s="219"/>
      <c r="N15" s="186"/>
      <c r="O15" s="183"/>
      <c r="P15" s="183"/>
      <c r="Q15" s="183"/>
      <c r="R15" s="162"/>
      <c r="S15" s="161"/>
      <c r="T15" s="162"/>
    </row>
    <row r="16" spans="1:21" s="147" customFormat="1" ht="24.75" customHeight="1">
      <c r="A16" s="371"/>
      <c r="B16" s="372"/>
      <c r="C16" s="218"/>
      <c r="D16" s="369"/>
      <c r="E16" s="369"/>
      <c r="F16" s="370"/>
      <c r="G16" s="370"/>
      <c r="H16" s="171"/>
      <c r="I16" s="171"/>
      <c r="J16" s="166"/>
      <c r="K16" s="375"/>
      <c r="L16" s="375"/>
      <c r="M16" s="219"/>
      <c r="N16" s="186"/>
      <c r="O16" s="183"/>
      <c r="P16" s="183"/>
      <c r="Q16" s="183"/>
      <c r="R16" s="162"/>
      <c r="S16" s="161"/>
      <c r="T16" s="162"/>
    </row>
    <row r="17" spans="1:20" s="147" customFormat="1" ht="24.75" customHeight="1">
      <c r="A17" s="371"/>
      <c r="B17" s="372"/>
      <c r="C17" s="218"/>
      <c r="D17" s="369"/>
      <c r="E17" s="369"/>
      <c r="F17" s="370"/>
      <c r="G17" s="370"/>
      <c r="H17" s="171"/>
      <c r="I17" s="171"/>
      <c r="J17" s="166"/>
      <c r="K17" s="375"/>
      <c r="L17" s="375"/>
      <c r="M17" s="219"/>
      <c r="N17" s="186"/>
      <c r="O17" s="183"/>
      <c r="P17" s="183"/>
      <c r="Q17" s="183"/>
      <c r="R17" s="162"/>
      <c r="S17" s="161"/>
      <c r="T17" s="162"/>
    </row>
    <row r="18" spans="1:20" s="147" customFormat="1" ht="24.75" customHeight="1">
      <c r="A18" s="371"/>
      <c r="B18" s="372"/>
      <c r="C18" s="218"/>
      <c r="D18" s="369"/>
      <c r="E18" s="369"/>
      <c r="F18" s="370"/>
      <c r="G18" s="370"/>
      <c r="H18" s="171"/>
      <c r="I18" s="171"/>
      <c r="J18" s="166"/>
      <c r="K18" s="375"/>
      <c r="L18" s="375"/>
      <c r="M18" s="219"/>
      <c r="N18" s="186"/>
      <c r="O18" s="183"/>
      <c r="P18" s="183"/>
      <c r="Q18" s="187"/>
      <c r="R18" s="162"/>
      <c r="S18" s="161"/>
      <c r="T18" s="162"/>
    </row>
    <row r="19" spans="1:20" s="147" customFormat="1" ht="24.75" customHeight="1">
      <c r="A19" s="371"/>
      <c r="B19" s="372"/>
      <c r="C19" s="218"/>
      <c r="D19" s="369"/>
      <c r="E19" s="369"/>
      <c r="F19" s="370"/>
      <c r="G19" s="370"/>
      <c r="H19" s="171"/>
      <c r="I19" s="171"/>
      <c r="J19" s="166"/>
      <c r="K19" s="375"/>
      <c r="L19" s="375"/>
      <c r="M19" s="219"/>
      <c r="N19" s="186"/>
      <c r="O19" s="183"/>
      <c r="P19" s="183"/>
      <c r="Q19" s="187"/>
      <c r="R19" s="162"/>
      <c r="S19" s="161"/>
      <c r="T19" s="162"/>
    </row>
    <row r="20" spans="1:20" s="147" customFormat="1" ht="24.75" customHeight="1">
      <c r="A20" s="371"/>
      <c r="B20" s="372"/>
      <c r="C20" s="218"/>
      <c r="D20" s="369"/>
      <c r="E20" s="369"/>
      <c r="F20" s="370"/>
      <c r="G20" s="370"/>
      <c r="H20" s="171"/>
      <c r="I20" s="171"/>
      <c r="J20" s="166"/>
      <c r="K20" s="375"/>
      <c r="L20" s="375"/>
      <c r="M20" s="219"/>
      <c r="N20" s="186"/>
      <c r="O20" s="183"/>
      <c r="P20" s="183"/>
      <c r="Q20" s="187"/>
      <c r="R20" s="162"/>
      <c r="S20" s="373"/>
      <c r="T20" s="374"/>
    </row>
    <row r="21" spans="1:20" s="147" customFormat="1" ht="24.75" customHeight="1">
      <c r="A21" s="371"/>
      <c r="B21" s="372"/>
      <c r="C21" s="218"/>
      <c r="D21" s="369"/>
      <c r="E21" s="369"/>
      <c r="F21" s="370"/>
      <c r="G21" s="370"/>
      <c r="H21" s="171"/>
      <c r="I21" s="171"/>
      <c r="J21" s="166"/>
      <c r="K21" s="375"/>
      <c r="L21" s="375"/>
      <c r="M21" s="219"/>
      <c r="N21" s="189"/>
      <c r="O21" s="183"/>
      <c r="P21" s="183"/>
      <c r="Q21" s="187"/>
      <c r="R21" s="162"/>
      <c r="S21" s="161"/>
      <c r="T21" s="162"/>
    </row>
    <row r="22" spans="1:20" s="147" customFormat="1" ht="24.75" customHeight="1">
      <c r="A22" s="371"/>
      <c r="B22" s="372"/>
      <c r="C22" s="218"/>
      <c r="D22" s="369"/>
      <c r="E22" s="369"/>
      <c r="F22" s="370"/>
      <c r="G22" s="370"/>
      <c r="H22" s="171"/>
      <c r="I22" s="171"/>
      <c r="J22" s="166"/>
      <c r="K22" s="375"/>
      <c r="L22" s="375"/>
      <c r="M22" s="219"/>
      <c r="N22" s="189"/>
      <c r="O22" s="183"/>
      <c r="P22" s="183"/>
      <c r="Q22" s="187"/>
      <c r="R22" s="162"/>
      <c r="S22" s="161"/>
      <c r="T22" s="162"/>
    </row>
    <row r="23" spans="1:20" s="147" customFormat="1" ht="24.75" customHeight="1">
      <c r="A23" s="371"/>
      <c r="B23" s="372"/>
      <c r="C23" s="218"/>
      <c r="D23" s="369"/>
      <c r="E23" s="369"/>
      <c r="F23" s="370"/>
      <c r="G23" s="370"/>
      <c r="H23" s="171"/>
      <c r="I23" s="171"/>
      <c r="J23" s="166"/>
      <c r="K23" s="375"/>
      <c r="L23" s="375"/>
      <c r="M23" s="219"/>
      <c r="N23" s="189"/>
      <c r="O23" s="183"/>
      <c r="P23" s="183"/>
      <c r="Q23" s="187"/>
      <c r="R23" s="162"/>
      <c r="S23" s="161"/>
      <c r="T23" s="162"/>
    </row>
    <row r="24" spans="1:20" s="147" customFormat="1" ht="24.75" customHeight="1">
      <c r="A24" s="371"/>
      <c r="B24" s="372"/>
      <c r="C24" s="218"/>
      <c r="D24" s="369"/>
      <c r="E24" s="369"/>
      <c r="F24" s="370"/>
      <c r="G24" s="370"/>
      <c r="H24" s="171"/>
      <c r="I24" s="171"/>
      <c r="J24" s="166"/>
      <c r="K24" s="375"/>
      <c r="L24" s="375"/>
      <c r="M24" s="219"/>
      <c r="N24" s="148"/>
    </row>
    <row r="25" spans="1:20" s="147" customFormat="1" ht="24.75" customHeight="1">
      <c r="A25" s="371"/>
      <c r="B25" s="372"/>
      <c r="C25" s="218"/>
      <c r="D25" s="369"/>
      <c r="E25" s="369"/>
      <c r="F25" s="370"/>
      <c r="G25" s="370"/>
      <c r="H25" s="171"/>
      <c r="I25" s="171"/>
      <c r="J25" s="166"/>
      <c r="K25" s="375"/>
      <c r="L25" s="375"/>
      <c r="M25" s="219"/>
      <c r="N25" s="148"/>
    </row>
    <row r="26" spans="1:20" s="147" customFormat="1" ht="24.75" customHeight="1">
      <c r="A26" s="371"/>
      <c r="B26" s="372"/>
      <c r="C26" s="218"/>
      <c r="D26" s="369"/>
      <c r="E26" s="369"/>
      <c r="F26" s="370"/>
      <c r="G26" s="370"/>
      <c r="H26" s="171"/>
      <c r="I26" s="171"/>
      <c r="J26" s="166"/>
      <c r="K26" s="375"/>
      <c r="L26" s="375"/>
      <c r="M26" s="219"/>
      <c r="N26" s="148"/>
    </row>
    <row r="27" spans="1:20" s="147" customFormat="1" ht="24.75" customHeight="1">
      <c r="A27" s="371"/>
      <c r="B27" s="372"/>
      <c r="C27" s="218"/>
      <c r="D27" s="369"/>
      <c r="E27" s="369"/>
      <c r="F27" s="370"/>
      <c r="G27" s="370"/>
      <c r="H27" s="171"/>
      <c r="I27" s="171"/>
      <c r="J27" s="166"/>
      <c r="K27" s="375"/>
      <c r="L27" s="375"/>
      <c r="M27" s="219"/>
      <c r="N27" s="148"/>
    </row>
    <row r="28" spans="1:20" s="147" customFormat="1" ht="24.75" customHeight="1">
      <c r="A28" s="378"/>
      <c r="B28" s="379"/>
      <c r="C28" s="232"/>
      <c r="D28" s="369"/>
      <c r="E28" s="369"/>
      <c r="F28" s="381"/>
      <c r="G28" s="381"/>
      <c r="H28" s="173"/>
      <c r="I28" s="173"/>
      <c r="J28" s="173"/>
      <c r="K28" s="380"/>
      <c r="L28" s="380"/>
      <c r="M28" s="233"/>
      <c r="N28" s="148"/>
    </row>
    <row r="29" spans="1:20" s="147" customFormat="1" ht="24.75" customHeight="1">
      <c r="A29" s="383"/>
      <c r="B29" s="384"/>
      <c r="C29" s="228"/>
      <c r="D29" s="381" t="s">
        <v>180</v>
      </c>
      <c r="E29" s="381"/>
      <c r="F29" s="381"/>
      <c r="G29" s="381"/>
      <c r="H29" s="381"/>
      <c r="I29" s="381"/>
      <c r="J29" s="381"/>
      <c r="K29" s="376">
        <f>SUM(K5:K28)</f>
        <v>0</v>
      </c>
      <c r="L29" s="376"/>
      <c r="M29" s="219"/>
      <c r="N29" s="148"/>
    </row>
    <row r="30" spans="1:20" s="147" customFormat="1" ht="24.75" customHeight="1">
      <c r="A30" s="385"/>
      <c r="B30" s="382"/>
      <c r="C30" s="226"/>
      <c r="D30" s="382" t="s">
        <v>179</v>
      </c>
      <c r="E30" s="382"/>
      <c r="F30" s="382"/>
      <c r="G30" s="382"/>
      <c r="H30" s="382"/>
      <c r="I30" s="382"/>
      <c r="J30" s="382"/>
      <c r="K30" s="377">
        <f>K29</f>
        <v>0</v>
      </c>
      <c r="L30" s="377"/>
      <c r="M30" s="227"/>
      <c r="N30" s="148"/>
    </row>
  </sheetData>
  <mergeCells count="115">
    <mergeCell ref="A18:B18"/>
    <mergeCell ref="A19:B19"/>
    <mergeCell ref="A13:B13"/>
    <mergeCell ref="A14:B14"/>
    <mergeCell ref="A15:B15"/>
    <mergeCell ref="A16:B16"/>
    <mergeCell ref="A17:B17"/>
    <mergeCell ref="A8:B8"/>
    <mergeCell ref="A9:B9"/>
    <mergeCell ref="A10:B10"/>
    <mergeCell ref="A11:B11"/>
    <mergeCell ref="A12:B12"/>
    <mergeCell ref="A4:B4"/>
    <mergeCell ref="K4:L4"/>
    <mergeCell ref="A1:M1"/>
    <mergeCell ref="A5:B5"/>
    <mergeCell ref="K5:L5"/>
    <mergeCell ref="D4:E4"/>
    <mergeCell ref="F4:G4"/>
    <mergeCell ref="D5:E5"/>
    <mergeCell ref="F5:G5"/>
    <mergeCell ref="D18:E18"/>
    <mergeCell ref="O5:P5"/>
    <mergeCell ref="Q5:R5"/>
    <mergeCell ref="O6:P6"/>
    <mergeCell ref="Q6:R6"/>
    <mergeCell ref="O7:P7"/>
    <mergeCell ref="Q7:R7"/>
    <mergeCell ref="F9:G9"/>
    <mergeCell ref="D13:E13"/>
    <mergeCell ref="F13:G13"/>
    <mergeCell ref="K8:L8"/>
    <mergeCell ref="K9:L9"/>
    <mergeCell ref="K10:L10"/>
    <mergeCell ref="F17:G17"/>
    <mergeCell ref="D11:E11"/>
    <mergeCell ref="F11:G11"/>
    <mergeCell ref="D12:E12"/>
    <mergeCell ref="F12:G12"/>
    <mergeCell ref="F14:G14"/>
    <mergeCell ref="D15:E15"/>
    <mergeCell ref="F15:G15"/>
    <mergeCell ref="D16:E16"/>
    <mergeCell ref="F16:G16"/>
    <mergeCell ref="A6:B6"/>
    <mergeCell ref="K6:L6"/>
    <mergeCell ref="K7:L7"/>
    <mergeCell ref="D6:E6"/>
    <mergeCell ref="F6:G6"/>
    <mergeCell ref="A7:B7"/>
    <mergeCell ref="D7:E7"/>
    <mergeCell ref="D10:E10"/>
    <mergeCell ref="F10:G10"/>
    <mergeCell ref="F7:G7"/>
    <mergeCell ref="D8:E8"/>
    <mergeCell ref="F8:G8"/>
    <mergeCell ref="D9:E9"/>
    <mergeCell ref="K29:L29"/>
    <mergeCell ref="K30:L30"/>
    <mergeCell ref="A25:B25"/>
    <mergeCell ref="K25:L25"/>
    <mergeCell ref="K26:L26"/>
    <mergeCell ref="K27:L27"/>
    <mergeCell ref="A28:B28"/>
    <mergeCell ref="K28:L28"/>
    <mergeCell ref="D27:E27"/>
    <mergeCell ref="F27:G27"/>
    <mergeCell ref="D28:E28"/>
    <mergeCell ref="F28:G28"/>
    <mergeCell ref="D29:J29"/>
    <mergeCell ref="D30:J30"/>
    <mergeCell ref="D25:E25"/>
    <mergeCell ref="F25:G25"/>
    <mergeCell ref="A26:B26"/>
    <mergeCell ref="D26:E26"/>
    <mergeCell ref="F26:G26"/>
    <mergeCell ref="A27:B27"/>
    <mergeCell ref="A29:B29"/>
    <mergeCell ref="A30:B30"/>
    <mergeCell ref="A24:B24"/>
    <mergeCell ref="D21:E21"/>
    <mergeCell ref="F21:G21"/>
    <mergeCell ref="D24:E24"/>
    <mergeCell ref="F24:G24"/>
    <mergeCell ref="S20:T20"/>
    <mergeCell ref="K24:L24"/>
    <mergeCell ref="K11:L11"/>
    <mergeCell ref="K18:L18"/>
    <mergeCell ref="K19:L19"/>
    <mergeCell ref="K22:L22"/>
    <mergeCell ref="K23:L23"/>
    <mergeCell ref="K21:L21"/>
    <mergeCell ref="K17:L17"/>
    <mergeCell ref="K12:L12"/>
    <mergeCell ref="K20:L20"/>
    <mergeCell ref="K13:L13"/>
    <mergeCell ref="K14:L14"/>
    <mergeCell ref="K15:L15"/>
    <mergeCell ref="K16:L16"/>
    <mergeCell ref="S11:T11"/>
    <mergeCell ref="D14:E14"/>
    <mergeCell ref="F18:G18"/>
    <mergeCell ref="D17:E17"/>
    <mergeCell ref="D19:E19"/>
    <mergeCell ref="F19:G19"/>
    <mergeCell ref="D20:E20"/>
    <mergeCell ref="F20:G20"/>
    <mergeCell ref="A20:B20"/>
    <mergeCell ref="A21:B21"/>
    <mergeCell ref="D22:E22"/>
    <mergeCell ref="F22:G22"/>
    <mergeCell ref="D23:E23"/>
    <mergeCell ref="F23:G23"/>
    <mergeCell ref="A23:B23"/>
    <mergeCell ref="A22:B22"/>
  </mergeCells>
  <phoneticPr fontId="3" type="noConversion"/>
  <printOptions horizontalCentered="1"/>
  <pageMargins left="0.59055118110236227" right="0.51181102362204722" top="1.1023622047244095" bottom="0.55118110236220474" header="0.51181102362204722" footer="0.51181102362204722"/>
  <pageSetup paperSize="9" scale="92" orientation="portrait" r:id="rId1"/>
  <headerFooter alignWithMargins="0">
    <oddHeader>&amp;R&amp;"맑은 고딕,보통"&amp;8&amp;K808080K-건설맵 · k-conmap.com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C7954-B2EA-4350-A6B9-1D246AC3FBE0}">
  <dimension ref="A1:X160"/>
  <sheetViews>
    <sheetView view="pageBreakPreview" zoomScale="85" zoomScaleNormal="85" zoomScaleSheetLayoutView="85" workbookViewId="0">
      <selection activeCell="S79" sqref="S79"/>
    </sheetView>
  </sheetViews>
  <sheetFormatPr defaultRowHeight="16.5"/>
  <cols>
    <col min="1" max="1" width="2.625" style="194" customWidth="1"/>
    <col min="2" max="2" width="6.125" style="194" customWidth="1"/>
    <col min="3" max="14" width="5.875" style="194" customWidth="1"/>
    <col min="15" max="15" width="2.625" style="194" customWidth="1"/>
    <col min="16" max="256" width="9" style="194"/>
    <col min="257" max="257" width="2.625" style="194" customWidth="1"/>
    <col min="258" max="258" width="6.125" style="194" customWidth="1"/>
    <col min="259" max="270" width="5.875" style="194" customWidth="1"/>
    <col min="271" max="271" width="2.625" style="194" customWidth="1"/>
    <col min="272" max="512" width="9" style="194"/>
    <col min="513" max="513" width="2.625" style="194" customWidth="1"/>
    <col min="514" max="514" width="6.125" style="194" customWidth="1"/>
    <col min="515" max="526" width="5.875" style="194" customWidth="1"/>
    <col min="527" max="527" width="2.625" style="194" customWidth="1"/>
    <col min="528" max="768" width="9" style="194"/>
    <col min="769" max="769" width="2.625" style="194" customWidth="1"/>
    <col min="770" max="770" width="6.125" style="194" customWidth="1"/>
    <col min="771" max="782" width="5.875" style="194" customWidth="1"/>
    <col min="783" max="783" width="2.625" style="194" customWidth="1"/>
    <col min="784" max="1024" width="9" style="194"/>
    <col min="1025" max="1025" width="2.625" style="194" customWidth="1"/>
    <col min="1026" max="1026" width="6.125" style="194" customWidth="1"/>
    <col min="1027" max="1038" width="5.875" style="194" customWidth="1"/>
    <col min="1039" max="1039" width="2.625" style="194" customWidth="1"/>
    <col min="1040" max="1280" width="9" style="194"/>
    <col min="1281" max="1281" width="2.625" style="194" customWidth="1"/>
    <col min="1282" max="1282" width="6.125" style="194" customWidth="1"/>
    <col min="1283" max="1294" width="5.875" style="194" customWidth="1"/>
    <col min="1295" max="1295" width="2.625" style="194" customWidth="1"/>
    <col min="1296" max="1536" width="9" style="194"/>
    <col min="1537" max="1537" width="2.625" style="194" customWidth="1"/>
    <col min="1538" max="1538" width="6.125" style="194" customWidth="1"/>
    <col min="1539" max="1550" width="5.875" style="194" customWidth="1"/>
    <col min="1551" max="1551" width="2.625" style="194" customWidth="1"/>
    <col min="1552" max="1792" width="9" style="194"/>
    <col min="1793" max="1793" width="2.625" style="194" customWidth="1"/>
    <col min="1794" max="1794" width="6.125" style="194" customWidth="1"/>
    <col min="1795" max="1806" width="5.875" style="194" customWidth="1"/>
    <col min="1807" max="1807" width="2.625" style="194" customWidth="1"/>
    <col min="1808" max="2048" width="9" style="194"/>
    <col min="2049" max="2049" width="2.625" style="194" customWidth="1"/>
    <col min="2050" max="2050" width="6.125" style="194" customWidth="1"/>
    <col min="2051" max="2062" width="5.875" style="194" customWidth="1"/>
    <col min="2063" max="2063" width="2.625" style="194" customWidth="1"/>
    <col min="2064" max="2304" width="9" style="194"/>
    <col min="2305" max="2305" width="2.625" style="194" customWidth="1"/>
    <col min="2306" max="2306" width="6.125" style="194" customWidth="1"/>
    <col min="2307" max="2318" width="5.875" style="194" customWidth="1"/>
    <col min="2319" max="2319" width="2.625" style="194" customWidth="1"/>
    <col min="2320" max="2560" width="9" style="194"/>
    <col min="2561" max="2561" width="2.625" style="194" customWidth="1"/>
    <col min="2562" max="2562" width="6.125" style="194" customWidth="1"/>
    <col min="2563" max="2574" width="5.875" style="194" customWidth="1"/>
    <col min="2575" max="2575" width="2.625" style="194" customWidth="1"/>
    <col min="2576" max="2816" width="9" style="194"/>
    <col min="2817" max="2817" width="2.625" style="194" customWidth="1"/>
    <col min="2818" max="2818" width="6.125" style="194" customWidth="1"/>
    <col min="2819" max="2830" width="5.875" style="194" customWidth="1"/>
    <col min="2831" max="2831" width="2.625" style="194" customWidth="1"/>
    <col min="2832" max="3072" width="9" style="194"/>
    <col min="3073" max="3073" width="2.625" style="194" customWidth="1"/>
    <col min="3074" max="3074" width="6.125" style="194" customWidth="1"/>
    <col min="3075" max="3086" width="5.875" style="194" customWidth="1"/>
    <col min="3087" max="3087" width="2.625" style="194" customWidth="1"/>
    <col min="3088" max="3328" width="9" style="194"/>
    <col min="3329" max="3329" width="2.625" style="194" customWidth="1"/>
    <col min="3330" max="3330" width="6.125" style="194" customWidth="1"/>
    <col min="3331" max="3342" width="5.875" style="194" customWidth="1"/>
    <col min="3343" max="3343" width="2.625" style="194" customWidth="1"/>
    <col min="3344" max="3584" width="9" style="194"/>
    <col min="3585" max="3585" width="2.625" style="194" customWidth="1"/>
    <col min="3586" max="3586" width="6.125" style="194" customWidth="1"/>
    <col min="3587" max="3598" width="5.875" style="194" customWidth="1"/>
    <col min="3599" max="3599" width="2.625" style="194" customWidth="1"/>
    <col min="3600" max="3840" width="9" style="194"/>
    <col min="3841" max="3841" width="2.625" style="194" customWidth="1"/>
    <col min="3842" max="3842" width="6.125" style="194" customWidth="1"/>
    <col min="3843" max="3854" width="5.875" style="194" customWidth="1"/>
    <col min="3855" max="3855" width="2.625" style="194" customWidth="1"/>
    <col min="3856" max="4096" width="9" style="194"/>
    <col min="4097" max="4097" width="2.625" style="194" customWidth="1"/>
    <col min="4098" max="4098" width="6.125" style="194" customWidth="1"/>
    <col min="4099" max="4110" width="5.875" style="194" customWidth="1"/>
    <col min="4111" max="4111" width="2.625" style="194" customWidth="1"/>
    <col min="4112" max="4352" width="9" style="194"/>
    <col min="4353" max="4353" width="2.625" style="194" customWidth="1"/>
    <col min="4354" max="4354" width="6.125" style="194" customWidth="1"/>
    <col min="4355" max="4366" width="5.875" style="194" customWidth="1"/>
    <col min="4367" max="4367" width="2.625" style="194" customWidth="1"/>
    <col min="4368" max="4608" width="9" style="194"/>
    <col min="4609" max="4609" width="2.625" style="194" customWidth="1"/>
    <col min="4610" max="4610" width="6.125" style="194" customWidth="1"/>
    <col min="4611" max="4622" width="5.875" style="194" customWidth="1"/>
    <col min="4623" max="4623" width="2.625" style="194" customWidth="1"/>
    <col min="4624" max="4864" width="9" style="194"/>
    <col min="4865" max="4865" width="2.625" style="194" customWidth="1"/>
    <col min="4866" max="4866" width="6.125" style="194" customWidth="1"/>
    <col min="4867" max="4878" width="5.875" style="194" customWidth="1"/>
    <col min="4879" max="4879" width="2.625" style="194" customWidth="1"/>
    <col min="4880" max="5120" width="9" style="194"/>
    <col min="5121" max="5121" width="2.625" style="194" customWidth="1"/>
    <col min="5122" max="5122" width="6.125" style="194" customWidth="1"/>
    <col min="5123" max="5134" width="5.875" style="194" customWidth="1"/>
    <col min="5135" max="5135" width="2.625" style="194" customWidth="1"/>
    <col min="5136" max="5376" width="9" style="194"/>
    <col min="5377" max="5377" width="2.625" style="194" customWidth="1"/>
    <col min="5378" max="5378" width="6.125" style="194" customWidth="1"/>
    <col min="5379" max="5390" width="5.875" style="194" customWidth="1"/>
    <col min="5391" max="5391" width="2.625" style="194" customWidth="1"/>
    <col min="5392" max="5632" width="9" style="194"/>
    <col min="5633" max="5633" width="2.625" style="194" customWidth="1"/>
    <col min="5634" max="5634" width="6.125" style="194" customWidth="1"/>
    <col min="5635" max="5646" width="5.875" style="194" customWidth="1"/>
    <col min="5647" max="5647" width="2.625" style="194" customWidth="1"/>
    <col min="5648" max="5888" width="9" style="194"/>
    <col min="5889" max="5889" width="2.625" style="194" customWidth="1"/>
    <col min="5890" max="5890" width="6.125" style="194" customWidth="1"/>
    <col min="5891" max="5902" width="5.875" style="194" customWidth="1"/>
    <col min="5903" max="5903" width="2.625" style="194" customWidth="1"/>
    <col min="5904" max="6144" width="9" style="194"/>
    <col min="6145" max="6145" width="2.625" style="194" customWidth="1"/>
    <col min="6146" max="6146" width="6.125" style="194" customWidth="1"/>
    <col min="6147" max="6158" width="5.875" style="194" customWidth="1"/>
    <col min="6159" max="6159" width="2.625" style="194" customWidth="1"/>
    <col min="6160" max="6400" width="9" style="194"/>
    <col min="6401" max="6401" width="2.625" style="194" customWidth="1"/>
    <col min="6402" max="6402" width="6.125" style="194" customWidth="1"/>
    <col min="6403" max="6414" width="5.875" style="194" customWidth="1"/>
    <col min="6415" max="6415" width="2.625" style="194" customWidth="1"/>
    <col min="6416" max="6656" width="9" style="194"/>
    <col min="6657" max="6657" width="2.625" style="194" customWidth="1"/>
    <col min="6658" max="6658" width="6.125" style="194" customWidth="1"/>
    <col min="6659" max="6670" width="5.875" style="194" customWidth="1"/>
    <col min="6671" max="6671" width="2.625" style="194" customWidth="1"/>
    <col min="6672" max="6912" width="9" style="194"/>
    <col min="6913" max="6913" width="2.625" style="194" customWidth="1"/>
    <col min="6914" max="6914" width="6.125" style="194" customWidth="1"/>
    <col min="6915" max="6926" width="5.875" style="194" customWidth="1"/>
    <col min="6927" max="6927" width="2.625" style="194" customWidth="1"/>
    <col min="6928" max="7168" width="9" style="194"/>
    <col min="7169" max="7169" width="2.625" style="194" customWidth="1"/>
    <col min="7170" max="7170" width="6.125" style="194" customWidth="1"/>
    <col min="7171" max="7182" width="5.875" style="194" customWidth="1"/>
    <col min="7183" max="7183" width="2.625" style="194" customWidth="1"/>
    <col min="7184" max="7424" width="9" style="194"/>
    <col min="7425" max="7425" width="2.625" style="194" customWidth="1"/>
    <col min="7426" max="7426" width="6.125" style="194" customWidth="1"/>
    <col min="7427" max="7438" width="5.875" style="194" customWidth="1"/>
    <col min="7439" max="7439" width="2.625" style="194" customWidth="1"/>
    <col min="7440" max="7680" width="9" style="194"/>
    <col min="7681" max="7681" width="2.625" style="194" customWidth="1"/>
    <col min="7682" max="7682" width="6.125" style="194" customWidth="1"/>
    <col min="7683" max="7694" width="5.875" style="194" customWidth="1"/>
    <col min="7695" max="7695" width="2.625" style="194" customWidth="1"/>
    <col min="7696" max="7936" width="9" style="194"/>
    <col min="7937" max="7937" width="2.625" style="194" customWidth="1"/>
    <col min="7938" max="7938" width="6.125" style="194" customWidth="1"/>
    <col min="7939" max="7950" width="5.875" style="194" customWidth="1"/>
    <col min="7951" max="7951" width="2.625" style="194" customWidth="1"/>
    <col min="7952" max="8192" width="9" style="194"/>
    <col min="8193" max="8193" width="2.625" style="194" customWidth="1"/>
    <col min="8194" max="8194" width="6.125" style="194" customWidth="1"/>
    <col min="8195" max="8206" width="5.875" style="194" customWidth="1"/>
    <col min="8207" max="8207" width="2.625" style="194" customWidth="1"/>
    <col min="8208" max="8448" width="9" style="194"/>
    <col min="8449" max="8449" width="2.625" style="194" customWidth="1"/>
    <col min="8450" max="8450" width="6.125" style="194" customWidth="1"/>
    <col min="8451" max="8462" width="5.875" style="194" customWidth="1"/>
    <col min="8463" max="8463" width="2.625" style="194" customWidth="1"/>
    <col min="8464" max="8704" width="9" style="194"/>
    <col min="8705" max="8705" width="2.625" style="194" customWidth="1"/>
    <col min="8706" max="8706" width="6.125" style="194" customWidth="1"/>
    <col min="8707" max="8718" width="5.875" style="194" customWidth="1"/>
    <col min="8719" max="8719" width="2.625" style="194" customWidth="1"/>
    <col min="8720" max="8960" width="9" style="194"/>
    <col min="8961" max="8961" width="2.625" style="194" customWidth="1"/>
    <col min="8962" max="8962" width="6.125" style="194" customWidth="1"/>
    <col min="8963" max="8974" width="5.875" style="194" customWidth="1"/>
    <col min="8975" max="8975" width="2.625" style="194" customWidth="1"/>
    <col min="8976" max="9216" width="9" style="194"/>
    <col min="9217" max="9217" width="2.625" style="194" customWidth="1"/>
    <col min="9218" max="9218" width="6.125" style="194" customWidth="1"/>
    <col min="9219" max="9230" width="5.875" style="194" customWidth="1"/>
    <col min="9231" max="9231" width="2.625" style="194" customWidth="1"/>
    <col min="9232" max="9472" width="9" style="194"/>
    <col min="9473" max="9473" width="2.625" style="194" customWidth="1"/>
    <col min="9474" max="9474" width="6.125" style="194" customWidth="1"/>
    <col min="9475" max="9486" width="5.875" style="194" customWidth="1"/>
    <col min="9487" max="9487" width="2.625" style="194" customWidth="1"/>
    <col min="9488" max="9728" width="9" style="194"/>
    <col min="9729" max="9729" width="2.625" style="194" customWidth="1"/>
    <col min="9730" max="9730" width="6.125" style="194" customWidth="1"/>
    <col min="9731" max="9742" width="5.875" style="194" customWidth="1"/>
    <col min="9743" max="9743" width="2.625" style="194" customWidth="1"/>
    <col min="9744" max="9984" width="9" style="194"/>
    <col min="9985" max="9985" width="2.625" style="194" customWidth="1"/>
    <col min="9986" max="9986" width="6.125" style="194" customWidth="1"/>
    <col min="9987" max="9998" width="5.875" style="194" customWidth="1"/>
    <col min="9999" max="9999" width="2.625" style="194" customWidth="1"/>
    <col min="10000" max="10240" width="9" style="194"/>
    <col min="10241" max="10241" width="2.625" style="194" customWidth="1"/>
    <col min="10242" max="10242" width="6.125" style="194" customWidth="1"/>
    <col min="10243" max="10254" width="5.875" style="194" customWidth="1"/>
    <col min="10255" max="10255" width="2.625" style="194" customWidth="1"/>
    <col min="10256" max="10496" width="9" style="194"/>
    <col min="10497" max="10497" width="2.625" style="194" customWidth="1"/>
    <col min="10498" max="10498" width="6.125" style="194" customWidth="1"/>
    <col min="10499" max="10510" width="5.875" style="194" customWidth="1"/>
    <col min="10511" max="10511" width="2.625" style="194" customWidth="1"/>
    <col min="10512" max="10752" width="9" style="194"/>
    <col min="10753" max="10753" width="2.625" style="194" customWidth="1"/>
    <col min="10754" max="10754" width="6.125" style="194" customWidth="1"/>
    <col min="10755" max="10766" width="5.875" style="194" customWidth="1"/>
    <col min="10767" max="10767" width="2.625" style="194" customWidth="1"/>
    <col min="10768" max="11008" width="9" style="194"/>
    <col min="11009" max="11009" width="2.625" style="194" customWidth="1"/>
    <col min="11010" max="11010" width="6.125" style="194" customWidth="1"/>
    <col min="11011" max="11022" width="5.875" style="194" customWidth="1"/>
    <col min="11023" max="11023" width="2.625" style="194" customWidth="1"/>
    <col min="11024" max="11264" width="9" style="194"/>
    <col min="11265" max="11265" width="2.625" style="194" customWidth="1"/>
    <col min="11266" max="11266" width="6.125" style="194" customWidth="1"/>
    <col min="11267" max="11278" width="5.875" style="194" customWidth="1"/>
    <col min="11279" max="11279" width="2.625" style="194" customWidth="1"/>
    <col min="11280" max="11520" width="9" style="194"/>
    <col min="11521" max="11521" width="2.625" style="194" customWidth="1"/>
    <col min="11522" max="11522" width="6.125" style="194" customWidth="1"/>
    <col min="11523" max="11534" width="5.875" style="194" customWidth="1"/>
    <col min="11535" max="11535" width="2.625" style="194" customWidth="1"/>
    <col min="11536" max="11776" width="9" style="194"/>
    <col min="11777" max="11777" width="2.625" style="194" customWidth="1"/>
    <col min="11778" max="11778" width="6.125" style="194" customWidth="1"/>
    <col min="11779" max="11790" width="5.875" style="194" customWidth="1"/>
    <col min="11791" max="11791" width="2.625" style="194" customWidth="1"/>
    <col min="11792" max="12032" width="9" style="194"/>
    <col min="12033" max="12033" width="2.625" style="194" customWidth="1"/>
    <col min="12034" max="12034" width="6.125" style="194" customWidth="1"/>
    <col min="12035" max="12046" width="5.875" style="194" customWidth="1"/>
    <col min="12047" max="12047" width="2.625" style="194" customWidth="1"/>
    <col min="12048" max="12288" width="9" style="194"/>
    <col min="12289" max="12289" width="2.625" style="194" customWidth="1"/>
    <col min="12290" max="12290" width="6.125" style="194" customWidth="1"/>
    <col min="12291" max="12302" width="5.875" style="194" customWidth="1"/>
    <col min="12303" max="12303" width="2.625" style="194" customWidth="1"/>
    <col min="12304" max="12544" width="9" style="194"/>
    <col min="12545" max="12545" width="2.625" style="194" customWidth="1"/>
    <col min="12546" max="12546" width="6.125" style="194" customWidth="1"/>
    <col min="12547" max="12558" width="5.875" style="194" customWidth="1"/>
    <col min="12559" max="12559" width="2.625" style="194" customWidth="1"/>
    <col min="12560" max="12800" width="9" style="194"/>
    <col min="12801" max="12801" width="2.625" style="194" customWidth="1"/>
    <col min="12802" max="12802" width="6.125" style="194" customWidth="1"/>
    <col min="12803" max="12814" width="5.875" style="194" customWidth="1"/>
    <col min="12815" max="12815" width="2.625" style="194" customWidth="1"/>
    <col min="12816" max="13056" width="9" style="194"/>
    <col min="13057" max="13057" width="2.625" style="194" customWidth="1"/>
    <col min="13058" max="13058" width="6.125" style="194" customWidth="1"/>
    <col min="13059" max="13070" width="5.875" style="194" customWidth="1"/>
    <col min="13071" max="13071" width="2.625" style="194" customWidth="1"/>
    <col min="13072" max="13312" width="9" style="194"/>
    <col min="13313" max="13313" width="2.625" style="194" customWidth="1"/>
    <col min="13314" max="13314" width="6.125" style="194" customWidth="1"/>
    <col min="13315" max="13326" width="5.875" style="194" customWidth="1"/>
    <col min="13327" max="13327" width="2.625" style="194" customWidth="1"/>
    <col min="13328" max="13568" width="9" style="194"/>
    <col min="13569" max="13569" width="2.625" style="194" customWidth="1"/>
    <col min="13570" max="13570" width="6.125" style="194" customWidth="1"/>
    <col min="13571" max="13582" width="5.875" style="194" customWidth="1"/>
    <col min="13583" max="13583" width="2.625" style="194" customWidth="1"/>
    <col min="13584" max="13824" width="9" style="194"/>
    <col min="13825" max="13825" width="2.625" style="194" customWidth="1"/>
    <col min="13826" max="13826" width="6.125" style="194" customWidth="1"/>
    <col min="13827" max="13838" width="5.875" style="194" customWidth="1"/>
    <col min="13839" max="13839" width="2.625" style="194" customWidth="1"/>
    <col min="13840" max="14080" width="9" style="194"/>
    <col min="14081" max="14081" width="2.625" style="194" customWidth="1"/>
    <col min="14082" max="14082" width="6.125" style="194" customWidth="1"/>
    <col min="14083" max="14094" width="5.875" style="194" customWidth="1"/>
    <col min="14095" max="14095" width="2.625" style="194" customWidth="1"/>
    <col min="14096" max="14336" width="9" style="194"/>
    <col min="14337" max="14337" width="2.625" style="194" customWidth="1"/>
    <col min="14338" max="14338" width="6.125" style="194" customWidth="1"/>
    <col min="14339" max="14350" width="5.875" style="194" customWidth="1"/>
    <col min="14351" max="14351" width="2.625" style="194" customWidth="1"/>
    <col min="14352" max="14592" width="9" style="194"/>
    <col min="14593" max="14593" width="2.625" style="194" customWidth="1"/>
    <col min="14594" max="14594" width="6.125" style="194" customWidth="1"/>
    <col min="14595" max="14606" width="5.875" style="194" customWidth="1"/>
    <col min="14607" max="14607" width="2.625" style="194" customWidth="1"/>
    <col min="14608" max="14848" width="9" style="194"/>
    <col min="14849" max="14849" width="2.625" style="194" customWidth="1"/>
    <col min="14850" max="14850" width="6.125" style="194" customWidth="1"/>
    <col min="14851" max="14862" width="5.875" style="194" customWidth="1"/>
    <col min="14863" max="14863" width="2.625" style="194" customWidth="1"/>
    <col min="14864" max="15104" width="9" style="194"/>
    <col min="15105" max="15105" width="2.625" style="194" customWidth="1"/>
    <col min="15106" max="15106" width="6.125" style="194" customWidth="1"/>
    <col min="15107" max="15118" width="5.875" style="194" customWidth="1"/>
    <col min="15119" max="15119" width="2.625" style="194" customWidth="1"/>
    <col min="15120" max="15360" width="9" style="194"/>
    <col min="15361" max="15361" width="2.625" style="194" customWidth="1"/>
    <col min="15362" max="15362" width="6.125" style="194" customWidth="1"/>
    <col min="15363" max="15374" width="5.875" style="194" customWidth="1"/>
    <col min="15375" max="15375" width="2.625" style="194" customWidth="1"/>
    <col min="15376" max="15616" width="9" style="194"/>
    <col min="15617" max="15617" width="2.625" style="194" customWidth="1"/>
    <col min="15618" max="15618" width="6.125" style="194" customWidth="1"/>
    <col min="15619" max="15630" width="5.875" style="194" customWidth="1"/>
    <col min="15631" max="15631" width="2.625" style="194" customWidth="1"/>
    <col min="15632" max="15872" width="9" style="194"/>
    <col min="15873" max="15873" width="2.625" style="194" customWidth="1"/>
    <col min="15874" max="15874" width="6.125" style="194" customWidth="1"/>
    <col min="15875" max="15886" width="5.875" style="194" customWidth="1"/>
    <col min="15887" max="15887" width="2.625" style="194" customWidth="1"/>
    <col min="15888" max="16128" width="9" style="194"/>
    <col min="16129" max="16129" width="2.625" style="194" customWidth="1"/>
    <col min="16130" max="16130" width="6.125" style="194" customWidth="1"/>
    <col min="16131" max="16142" width="5.875" style="194" customWidth="1"/>
    <col min="16143" max="16143" width="2.625" style="194" customWidth="1"/>
    <col min="16144" max="16384" width="9" style="194"/>
  </cols>
  <sheetData>
    <row r="1" spans="1:24" ht="21" customHeight="1">
      <c r="A1" s="411" t="s">
        <v>215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191"/>
      <c r="Q1" s="191"/>
      <c r="R1" s="192"/>
      <c r="S1" s="192"/>
      <c r="T1" s="193"/>
      <c r="U1" s="193"/>
      <c r="V1" s="193"/>
      <c r="W1" s="193"/>
      <c r="X1" s="193"/>
    </row>
    <row r="2" spans="1:24" ht="21" customHeight="1">
      <c r="A2" s="411"/>
      <c r="B2" s="411"/>
      <c r="C2" s="411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191"/>
      <c r="Q2" s="191"/>
      <c r="R2" s="192"/>
      <c r="S2" s="412"/>
      <c r="T2" s="413"/>
      <c r="U2" s="413"/>
      <c r="V2" s="413"/>
      <c r="W2" s="413"/>
      <c r="X2" s="413"/>
    </row>
    <row r="3" spans="1:24" ht="20.100000000000001" customHeight="1">
      <c r="A3" s="414" t="s">
        <v>216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414"/>
      <c r="O3" s="414"/>
      <c r="P3" s="191"/>
      <c r="Q3" s="191"/>
      <c r="R3" s="192"/>
      <c r="S3" s="195"/>
      <c r="T3" s="196"/>
      <c r="U3" s="196"/>
      <c r="V3" s="196"/>
      <c r="W3" s="196"/>
      <c r="X3" s="196"/>
    </row>
    <row r="4" spans="1:24" ht="18" customHeight="1">
      <c r="A4" s="197"/>
      <c r="B4" s="198"/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200"/>
      <c r="Q4" s="192"/>
      <c r="R4" s="192"/>
      <c r="S4" s="413"/>
      <c r="T4" s="413"/>
      <c r="U4" s="413"/>
      <c r="V4" s="413"/>
      <c r="W4" s="413"/>
      <c r="X4" s="413"/>
    </row>
    <row r="5" spans="1:24" ht="18" customHeight="1">
      <c r="A5" s="201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203"/>
      <c r="Q5" s="192"/>
      <c r="R5" s="192"/>
      <c r="S5" s="192"/>
      <c r="T5" s="193"/>
      <c r="U5" s="193"/>
      <c r="V5" s="193"/>
      <c r="W5" s="193"/>
      <c r="X5" s="193"/>
    </row>
    <row r="6" spans="1:24" ht="18" customHeight="1">
      <c r="A6" s="201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203"/>
      <c r="Q6" s="192"/>
      <c r="R6" s="192"/>
      <c r="S6" s="192"/>
      <c r="T6" s="192"/>
      <c r="U6" s="192"/>
      <c r="V6" s="192"/>
      <c r="W6" s="192"/>
      <c r="X6" s="192"/>
    </row>
    <row r="7" spans="1:24" ht="18" customHeight="1">
      <c r="A7" s="201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203"/>
    </row>
    <row r="8" spans="1:24" ht="18" customHeight="1">
      <c r="A8" s="201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203"/>
    </row>
    <row r="9" spans="1:24" ht="18" customHeight="1">
      <c r="A9" s="201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203"/>
    </row>
    <row r="10" spans="1:24" ht="18" customHeight="1">
      <c r="A10" s="201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203"/>
    </row>
    <row r="11" spans="1:24" ht="18" customHeight="1">
      <c r="A11" s="201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203"/>
    </row>
    <row r="12" spans="1:24" ht="18" customHeight="1">
      <c r="A12" s="201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203"/>
    </row>
    <row r="13" spans="1:24" ht="18" customHeight="1">
      <c r="A13" s="201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203"/>
    </row>
    <row r="14" spans="1:24" ht="18" customHeight="1">
      <c r="A14" s="201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203"/>
    </row>
    <row r="15" spans="1:24" ht="18" customHeight="1">
      <c r="A15" s="201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203"/>
    </row>
    <row r="16" spans="1:24" ht="18" customHeight="1">
      <c r="A16" s="201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203"/>
    </row>
    <row r="17" spans="1:15" ht="18" customHeight="1">
      <c r="A17" s="201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203"/>
    </row>
    <row r="18" spans="1:15" ht="18" customHeight="1">
      <c r="A18" s="201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203"/>
    </row>
    <row r="19" spans="1:15" ht="18" customHeight="1">
      <c r="A19" s="201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203"/>
    </row>
    <row r="20" spans="1:15" ht="18" customHeight="1">
      <c r="A20" s="201"/>
      <c r="B20" s="202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3"/>
    </row>
    <row r="21" spans="1:15" ht="24.95" customHeight="1">
      <c r="A21" s="403" t="s">
        <v>217</v>
      </c>
      <c r="B21" s="403"/>
      <c r="C21" s="403"/>
      <c r="D21" s="408" t="s">
        <v>237</v>
      </c>
      <c r="E21" s="409"/>
      <c r="F21" s="409"/>
      <c r="G21" s="409"/>
      <c r="H21" s="409"/>
      <c r="I21" s="403" t="s">
        <v>218</v>
      </c>
      <c r="J21" s="403"/>
      <c r="K21" s="410" t="s">
        <v>285</v>
      </c>
      <c r="L21" s="403"/>
      <c r="M21" s="403"/>
      <c r="N21" s="403"/>
      <c r="O21" s="403"/>
    </row>
    <row r="22" spans="1:15" ht="24.95" customHeight="1">
      <c r="A22" s="403" t="s">
        <v>219</v>
      </c>
      <c r="B22" s="403"/>
      <c r="C22" s="403"/>
      <c r="D22" s="404" t="s">
        <v>285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6"/>
    </row>
    <row r="23" spans="1:15" ht="18" customHeight="1">
      <c r="A23" s="205"/>
      <c r="B23" s="206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8"/>
    </row>
    <row r="24" spans="1:15" ht="18" customHeight="1">
      <c r="A24" s="201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203"/>
    </row>
    <row r="25" spans="1:15" ht="18" customHeight="1">
      <c r="A25" s="201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203"/>
    </row>
    <row r="26" spans="1:15" ht="18" customHeight="1">
      <c r="A26" s="201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203"/>
    </row>
    <row r="27" spans="1:15" ht="18" customHeight="1">
      <c r="A27" s="201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203"/>
    </row>
    <row r="28" spans="1:15" ht="18" customHeight="1">
      <c r="A28" s="201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203"/>
    </row>
    <row r="29" spans="1:15" ht="18" customHeight="1">
      <c r="A29" s="201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203"/>
    </row>
    <row r="30" spans="1:15" ht="18" customHeight="1">
      <c r="A30" s="201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203"/>
    </row>
    <row r="31" spans="1:15" ht="18" customHeight="1">
      <c r="A31" s="201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203"/>
    </row>
    <row r="32" spans="1:15" ht="18" customHeight="1">
      <c r="A32" s="201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203"/>
    </row>
    <row r="33" spans="1:24" ht="18" customHeight="1">
      <c r="A33" s="201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203"/>
    </row>
    <row r="34" spans="1:24" ht="18" customHeight="1">
      <c r="A34" s="201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203"/>
    </row>
    <row r="35" spans="1:24" ht="18" customHeight="1">
      <c r="A35" s="201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203"/>
    </row>
    <row r="36" spans="1:24" ht="18" customHeight="1">
      <c r="A36" s="201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203"/>
    </row>
    <row r="37" spans="1:24" ht="18" customHeight="1">
      <c r="A37" s="201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203"/>
    </row>
    <row r="38" spans="1:24" ht="18" customHeight="1">
      <c r="A38" s="201"/>
      <c r="B38" s="202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3"/>
    </row>
    <row r="39" spans="1:24" ht="24.95" customHeight="1">
      <c r="A39" s="403" t="s">
        <v>217</v>
      </c>
      <c r="B39" s="403"/>
      <c r="C39" s="403"/>
      <c r="D39" s="408" t="s">
        <v>237</v>
      </c>
      <c r="E39" s="409"/>
      <c r="F39" s="409"/>
      <c r="G39" s="409"/>
      <c r="H39" s="409"/>
      <c r="I39" s="403" t="s">
        <v>218</v>
      </c>
      <c r="J39" s="403"/>
      <c r="K39" s="410" t="s">
        <v>285</v>
      </c>
      <c r="L39" s="403"/>
      <c r="M39" s="403"/>
      <c r="N39" s="403"/>
      <c r="O39" s="403"/>
    </row>
    <row r="40" spans="1:24" ht="24.95" customHeight="1">
      <c r="A40" s="403" t="s">
        <v>219</v>
      </c>
      <c r="B40" s="403"/>
      <c r="C40" s="403"/>
      <c r="D40" s="404" t="s">
        <v>285</v>
      </c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6"/>
    </row>
    <row r="41" spans="1:24" ht="21" customHeight="1">
      <c r="A41" s="411" t="s">
        <v>215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1"/>
      <c r="N41" s="411"/>
      <c r="O41" s="411"/>
      <c r="P41" s="191"/>
      <c r="Q41" s="191"/>
      <c r="R41" s="192"/>
      <c r="S41" s="192"/>
      <c r="T41" s="193"/>
      <c r="U41" s="193"/>
      <c r="V41" s="193"/>
      <c r="W41" s="193"/>
      <c r="X41" s="193"/>
    </row>
    <row r="42" spans="1:24" ht="21" customHeight="1">
      <c r="A42" s="411"/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1"/>
      <c r="P42" s="191"/>
      <c r="Q42" s="191"/>
      <c r="R42" s="192"/>
      <c r="S42" s="412"/>
      <c r="T42" s="413"/>
      <c r="U42" s="413"/>
      <c r="V42" s="413"/>
      <c r="W42" s="413"/>
      <c r="X42" s="413"/>
    </row>
    <row r="43" spans="1:24" ht="20.100000000000001" customHeight="1">
      <c r="A43" s="414" t="s">
        <v>216</v>
      </c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191"/>
      <c r="Q43" s="191"/>
      <c r="R43" s="192"/>
      <c r="S43" s="195"/>
      <c r="T43" s="196"/>
      <c r="U43" s="196"/>
      <c r="V43" s="196"/>
      <c r="W43" s="196"/>
      <c r="X43" s="196"/>
    </row>
    <row r="44" spans="1:24" ht="18" customHeight="1">
      <c r="A44" s="197"/>
      <c r="B44" s="198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200"/>
      <c r="Q44" s="192"/>
      <c r="R44" s="192"/>
      <c r="S44" s="413"/>
      <c r="T44" s="413"/>
      <c r="U44" s="413"/>
      <c r="V44" s="413"/>
      <c r="W44" s="413"/>
      <c r="X44" s="413"/>
    </row>
    <row r="45" spans="1:24" ht="18" customHeight="1">
      <c r="A45" s="201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203"/>
      <c r="Q45" s="192"/>
      <c r="R45" s="192"/>
      <c r="S45" s="192"/>
      <c r="T45" s="193"/>
      <c r="U45" s="193"/>
      <c r="V45" s="193"/>
      <c r="W45" s="193"/>
      <c r="X45" s="193"/>
    </row>
    <row r="46" spans="1:24" ht="18" customHeight="1">
      <c r="A46" s="201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203"/>
      <c r="Q46" s="192"/>
      <c r="R46" s="192"/>
      <c r="S46" s="192"/>
      <c r="T46" s="192"/>
      <c r="U46" s="192"/>
      <c r="V46" s="192"/>
      <c r="W46" s="192"/>
      <c r="X46" s="192"/>
    </row>
    <row r="47" spans="1:24" ht="18" customHeight="1">
      <c r="A47" s="201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203"/>
    </row>
    <row r="48" spans="1:24" ht="18" customHeight="1">
      <c r="A48" s="201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203"/>
    </row>
    <row r="49" spans="1:15" ht="18" customHeight="1">
      <c r="A49" s="201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203"/>
    </row>
    <row r="50" spans="1:15" ht="18" customHeight="1">
      <c r="A50" s="201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203"/>
    </row>
    <row r="51" spans="1:15" ht="18" customHeight="1">
      <c r="A51" s="201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203"/>
    </row>
    <row r="52" spans="1:15" ht="18" customHeight="1">
      <c r="A52" s="201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203"/>
    </row>
    <row r="53" spans="1:15" ht="18" customHeight="1">
      <c r="A53" s="201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203"/>
    </row>
    <row r="54" spans="1:15" ht="18" customHeight="1">
      <c r="A54" s="201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203"/>
    </row>
    <row r="55" spans="1:15" ht="18" customHeight="1">
      <c r="A55" s="201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203"/>
    </row>
    <row r="56" spans="1:15" ht="18" customHeight="1">
      <c r="A56" s="201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203"/>
    </row>
    <row r="57" spans="1:15" ht="18" customHeight="1">
      <c r="A57" s="201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203"/>
    </row>
    <row r="58" spans="1:15" ht="18" customHeight="1">
      <c r="A58" s="201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203"/>
    </row>
    <row r="59" spans="1:15" ht="18" customHeight="1">
      <c r="A59" s="201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203"/>
    </row>
    <row r="60" spans="1:15" ht="18" customHeight="1">
      <c r="A60" s="201"/>
      <c r="B60" s="202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3"/>
    </row>
    <row r="61" spans="1:15" ht="24.95" customHeight="1">
      <c r="A61" s="403" t="s">
        <v>217</v>
      </c>
      <c r="B61" s="403"/>
      <c r="C61" s="403"/>
      <c r="D61" s="408" t="s">
        <v>237</v>
      </c>
      <c r="E61" s="409"/>
      <c r="F61" s="409"/>
      <c r="G61" s="409"/>
      <c r="H61" s="409"/>
      <c r="I61" s="403" t="s">
        <v>218</v>
      </c>
      <c r="J61" s="403"/>
      <c r="K61" s="410" t="s">
        <v>285</v>
      </c>
      <c r="L61" s="403"/>
      <c r="M61" s="403"/>
      <c r="N61" s="403"/>
      <c r="O61" s="403"/>
    </row>
    <row r="62" spans="1:15" ht="24.95" customHeight="1">
      <c r="A62" s="403" t="s">
        <v>219</v>
      </c>
      <c r="B62" s="403"/>
      <c r="C62" s="403"/>
      <c r="D62" s="404" t="s">
        <v>285</v>
      </c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6"/>
    </row>
    <row r="63" spans="1:15" ht="18" customHeight="1">
      <c r="A63" s="205"/>
      <c r="B63" s="206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8"/>
    </row>
    <row r="64" spans="1:15" ht="18" customHeight="1">
      <c r="A64" s="201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203"/>
    </row>
    <row r="65" spans="1:15" ht="18" customHeight="1">
      <c r="A65" s="201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203"/>
    </row>
    <row r="66" spans="1:15" ht="18" customHeight="1">
      <c r="A66" s="201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203"/>
    </row>
    <row r="67" spans="1:15" ht="18" customHeight="1">
      <c r="A67" s="201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203"/>
    </row>
    <row r="68" spans="1:15" ht="18" customHeight="1">
      <c r="A68" s="201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203"/>
    </row>
    <row r="69" spans="1:15" ht="18" customHeight="1">
      <c r="A69" s="201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203"/>
    </row>
    <row r="70" spans="1:15" ht="18" customHeight="1">
      <c r="A70" s="201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203"/>
    </row>
    <row r="71" spans="1:15" ht="18" customHeight="1">
      <c r="A71" s="201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203"/>
    </row>
    <row r="72" spans="1:15" ht="18" customHeight="1">
      <c r="A72" s="201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203"/>
    </row>
    <row r="73" spans="1:15" ht="18" customHeight="1">
      <c r="A73" s="201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203"/>
    </row>
    <row r="74" spans="1:15" ht="18" customHeight="1">
      <c r="A74" s="201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203"/>
    </row>
    <row r="75" spans="1:15" ht="18" customHeight="1">
      <c r="A75" s="201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203"/>
    </row>
    <row r="76" spans="1:15" ht="18" customHeight="1">
      <c r="A76" s="201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203"/>
    </row>
    <row r="77" spans="1:15" ht="18" customHeight="1">
      <c r="A77" s="201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203"/>
    </row>
    <row r="78" spans="1:15" ht="18" customHeight="1">
      <c r="A78" s="201"/>
      <c r="B78" s="202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3"/>
    </row>
    <row r="79" spans="1:15" ht="24.95" customHeight="1">
      <c r="A79" s="403" t="s">
        <v>217</v>
      </c>
      <c r="B79" s="403"/>
      <c r="C79" s="403"/>
      <c r="D79" s="408" t="s">
        <v>237</v>
      </c>
      <c r="E79" s="409"/>
      <c r="F79" s="409"/>
      <c r="G79" s="409"/>
      <c r="H79" s="409"/>
      <c r="I79" s="403" t="s">
        <v>218</v>
      </c>
      <c r="J79" s="403"/>
      <c r="K79" s="410" t="s">
        <v>285</v>
      </c>
      <c r="L79" s="403"/>
      <c r="M79" s="403"/>
      <c r="N79" s="403"/>
      <c r="O79" s="403"/>
    </row>
    <row r="80" spans="1:15" ht="24.95" customHeight="1">
      <c r="A80" s="403" t="s">
        <v>219</v>
      </c>
      <c r="B80" s="403"/>
      <c r="C80" s="403"/>
      <c r="D80" s="404" t="s">
        <v>285</v>
      </c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6"/>
    </row>
    <row r="81" spans="1:24" ht="21" hidden="1" customHeight="1">
      <c r="A81" s="411" t="s">
        <v>215</v>
      </c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191"/>
      <c r="Q81" s="191"/>
      <c r="R81" s="192"/>
      <c r="S81" s="192"/>
      <c r="T81" s="193"/>
      <c r="U81" s="193"/>
      <c r="V81" s="193"/>
      <c r="W81" s="193"/>
      <c r="X81" s="193"/>
    </row>
    <row r="82" spans="1:24" ht="21" hidden="1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191"/>
      <c r="Q82" s="191"/>
      <c r="R82" s="192"/>
      <c r="S82" s="412"/>
      <c r="T82" s="413"/>
      <c r="U82" s="413"/>
      <c r="V82" s="413"/>
      <c r="W82" s="413"/>
      <c r="X82" s="413"/>
    </row>
    <row r="83" spans="1:24" ht="20.100000000000001" hidden="1" customHeight="1">
      <c r="A83" s="414" t="s">
        <v>216</v>
      </c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191"/>
      <c r="Q83" s="191"/>
      <c r="R83" s="192"/>
      <c r="S83" s="195"/>
      <c r="T83" s="196"/>
      <c r="U83" s="196"/>
      <c r="V83" s="196"/>
      <c r="W83" s="196"/>
      <c r="X83" s="196"/>
    </row>
    <row r="84" spans="1:24" ht="18" hidden="1" customHeight="1">
      <c r="A84" s="197"/>
      <c r="B84" s="198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200"/>
      <c r="Q84" s="192"/>
      <c r="R84" s="192"/>
      <c r="S84" s="413"/>
      <c r="T84" s="413"/>
      <c r="U84" s="413"/>
      <c r="V84" s="413"/>
      <c r="W84" s="413"/>
      <c r="X84" s="413"/>
    </row>
    <row r="85" spans="1:24" ht="18" hidden="1" customHeight="1">
      <c r="A85" s="201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203"/>
      <c r="Q85" s="192"/>
      <c r="R85" s="192"/>
      <c r="S85" s="192"/>
      <c r="T85" s="193"/>
      <c r="U85" s="193"/>
      <c r="V85" s="193"/>
      <c r="W85" s="193"/>
      <c r="X85" s="193"/>
    </row>
    <row r="86" spans="1:24" ht="18" hidden="1" customHeight="1">
      <c r="A86" s="201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203"/>
      <c r="Q86" s="192"/>
      <c r="R86" s="192"/>
      <c r="S86" s="192"/>
      <c r="T86" s="192"/>
      <c r="U86" s="192"/>
      <c r="V86" s="192"/>
      <c r="W86" s="192"/>
      <c r="X86" s="192"/>
    </row>
    <row r="87" spans="1:24" ht="18" hidden="1" customHeight="1">
      <c r="A87" s="201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203"/>
    </row>
    <row r="88" spans="1:24" ht="18" hidden="1" customHeight="1">
      <c r="A88" s="201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203"/>
    </row>
    <row r="89" spans="1:24" ht="18" hidden="1" customHeight="1">
      <c r="A89" s="201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203"/>
    </row>
    <row r="90" spans="1:24" ht="18" hidden="1" customHeight="1">
      <c r="A90" s="201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203"/>
    </row>
    <row r="91" spans="1:24" ht="18" hidden="1" customHeight="1">
      <c r="A91" s="201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203"/>
    </row>
    <row r="92" spans="1:24" ht="18" hidden="1" customHeight="1">
      <c r="A92" s="201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203"/>
    </row>
    <row r="93" spans="1:24" ht="18" hidden="1" customHeight="1">
      <c r="A93" s="201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203"/>
    </row>
    <row r="94" spans="1:24" ht="18" hidden="1" customHeight="1">
      <c r="A94" s="201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203"/>
    </row>
    <row r="95" spans="1:24" ht="18" hidden="1" customHeight="1">
      <c r="A95" s="201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203"/>
    </row>
    <row r="96" spans="1:24" ht="18" hidden="1" customHeight="1">
      <c r="A96" s="201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203"/>
    </row>
    <row r="97" spans="1:15" ht="18" hidden="1" customHeight="1">
      <c r="A97" s="201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203"/>
    </row>
    <row r="98" spans="1:15" ht="18" hidden="1" customHeight="1">
      <c r="A98" s="201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203"/>
    </row>
    <row r="99" spans="1:15" ht="18" hidden="1" customHeight="1">
      <c r="A99" s="201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203"/>
    </row>
    <row r="100" spans="1:15" ht="18" hidden="1" customHeight="1">
      <c r="A100" s="201"/>
      <c r="B100" s="202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3"/>
    </row>
    <row r="101" spans="1:15" ht="24.95" hidden="1" customHeight="1">
      <c r="A101" s="403" t="s">
        <v>217</v>
      </c>
      <c r="B101" s="403"/>
      <c r="C101" s="403"/>
      <c r="D101" s="408" t="s">
        <v>237</v>
      </c>
      <c r="E101" s="409"/>
      <c r="F101" s="409"/>
      <c r="G101" s="409"/>
      <c r="H101" s="409"/>
      <c r="I101" s="403" t="s">
        <v>218</v>
      </c>
      <c r="J101" s="403"/>
      <c r="K101" s="410" t="s">
        <v>240</v>
      </c>
      <c r="L101" s="403"/>
      <c r="M101" s="403"/>
      <c r="N101" s="403"/>
      <c r="O101" s="403"/>
    </row>
    <row r="102" spans="1:15" ht="24.95" hidden="1" customHeight="1">
      <c r="A102" s="403" t="s">
        <v>219</v>
      </c>
      <c r="B102" s="403"/>
      <c r="C102" s="403"/>
      <c r="D102" s="404" t="s">
        <v>242</v>
      </c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6"/>
    </row>
    <row r="103" spans="1:15" ht="18" hidden="1" customHeight="1">
      <c r="A103" s="205"/>
      <c r="B103" s="206"/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8"/>
    </row>
    <row r="104" spans="1:15" ht="18" hidden="1" customHeight="1">
      <c r="A104" s="201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203"/>
    </row>
    <row r="105" spans="1:15" ht="18" hidden="1" customHeight="1">
      <c r="A105" s="201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203"/>
    </row>
    <row r="106" spans="1:15" ht="18" hidden="1" customHeight="1">
      <c r="A106" s="201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203"/>
    </row>
    <row r="107" spans="1:15" ht="18" hidden="1" customHeight="1">
      <c r="A107" s="201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203"/>
    </row>
    <row r="108" spans="1:15" ht="18" hidden="1" customHeight="1">
      <c r="A108" s="201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203"/>
    </row>
    <row r="109" spans="1:15" ht="18" hidden="1" customHeight="1">
      <c r="A109" s="201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203"/>
    </row>
    <row r="110" spans="1:15" ht="18" hidden="1" customHeight="1">
      <c r="A110" s="201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203"/>
    </row>
    <row r="111" spans="1:15" ht="18" hidden="1" customHeight="1">
      <c r="A111" s="201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203"/>
    </row>
    <row r="112" spans="1:15" ht="18" hidden="1" customHeight="1">
      <c r="A112" s="201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203"/>
    </row>
    <row r="113" spans="1:24" ht="18" hidden="1" customHeight="1">
      <c r="A113" s="201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203"/>
    </row>
    <row r="114" spans="1:24" ht="18" hidden="1" customHeight="1">
      <c r="A114" s="201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203"/>
    </row>
    <row r="115" spans="1:24" ht="18" hidden="1" customHeight="1">
      <c r="A115" s="201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203"/>
    </row>
    <row r="116" spans="1:24" ht="18" hidden="1" customHeight="1">
      <c r="A116" s="201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203"/>
    </row>
    <row r="117" spans="1:24" ht="18" hidden="1" customHeight="1">
      <c r="A117" s="201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203"/>
    </row>
    <row r="118" spans="1:24" ht="18" hidden="1" customHeight="1">
      <c r="A118" s="201"/>
      <c r="B118" s="202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3"/>
    </row>
    <row r="119" spans="1:24" ht="24.95" hidden="1" customHeight="1">
      <c r="A119" s="403" t="s">
        <v>217</v>
      </c>
      <c r="B119" s="403"/>
      <c r="C119" s="403"/>
      <c r="D119" s="408" t="s">
        <v>237</v>
      </c>
      <c r="E119" s="409"/>
      <c r="F119" s="409"/>
      <c r="G119" s="409"/>
      <c r="H119" s="409"/>
      <c r="I119" s="403" t="s">
        <v>218</v>
      </c>
      <c r="J119" s="403"/>
      <c r="K119" s="410" t="s">
        <v>240</v>
      </c>
      <c r="L119" s="403"/>
      <c r="M119" s="403"/>
      <c r="N119" s="403"/>
      <c r="O119" s="403"/>
    </row>
    <row r="120" spans="1:24" ht="24.95" hidden="1" customHeight="1">
      <c r="A120" s="403" t="s">
        <v>219</v>
      </c>
      <c r="B120" s="403"/>
      <c r="C120" s="403"/>
      <c r="D120" s="404" t="s">
        <v>242</v>
      </c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6"/>
    </row>
    <row r="121" spans="1:24" ht="21" hidden="1" customHeight="1">
      <c r="A121" s="411" t="s">
        <v>215</v>
      </c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191"/>
      <c r="Q121" s="191"/>
      <c r="R121" s="192"/>
      <c r="S121" s="192"/>
      <c r="T121" s="193"/>
      <c r="U121" s="193"/>
      <c r="V121" s="193"/>
      <c r="W121" s="193"/>
      <c r="X121" s="193"/>
    </row>
    <row r="122" spans="1:24" ht="21" hidden="1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191"/>
      <c r="Q122" s="191"/>
      <c r="R122" s="192"/>
      <c r="S122" s="412"/>
      <c r="T122" s="413"/>
      <c r="U122" s="413"/>
      <c r="V122" s="413"/>
      <c r="W122" s="413"/>
      <c r="X122" s="413"/>
    </row>
    <row r="123" spans="1:24" ht="20.100000000000001" hidden="1" customHeight="1">
      <c r="A123" s="414" t="s">
        <v>216</v>
      </c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191"/>
      <c r="Q123" s="191"/>
      <c r="R123" s="192"/>
      <c r="S123" s="195"/>
      <c r="T123" s="196"/>
      <c r="U123" s="196"/>
      <c r="V123" s="196"/>
      <c r="W123" s="196"/>
      <c r="X123" s="196"/>
    </row>
    <row r="124" spans="1:24" ht="18" hidden="1" customHeight="1">
      <c r="A124" s="197"/>
      <c r="B124" s="198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200"/>
      <c r="Q124" s="192"/>
      <c r="R124" s="192"/>
      <c r="S124" s="413"/>
      <c r="T124" s="413"/>
      <c r="U124" s="413"/>
      <c r="V124" s="413"/>
      <c r="W124" s="413"/>
      <c r="X124" s="413"/>
    </row>
    <row r="125" spans="1:24" ht="18" hidden="1" customHeight="1">
      <c r="A125" s="201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203"/>
      <c r="Q125" s="192"/>
      <c r="R125" s="192"/>
      <c r="S125" s="192"/>
      <c r="T125" s="193"/>
      <c r="U125" s="193"/>
      <c r="V125" s="193"/>
      <c r="W125" s="193"/>
      <c r="X125" s="193"/>
    </row>
    <row r="126" spans="1:24" ht="18" hidden="1" customHeight="1">
      <c r="A126" s="201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203"/>
      <c r="Q126" s="192"/>
      <c r="R126" s="192"/>
      <c r="S126" s="192"/>
      <c r="T126" s="192"/>
      <c r="U126" s="192"/>
      <c r="V126" s="192"/>
      <c r="W126" s="192"/>
      <c r="X126" s="192"/>
    </row>
    <row r="127" spans="1:24" ht="18" hidden="1" customHeight="1">
      <c r="A127" s="201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203"/>
    </row>
    <row r="128" spans="1:24" ht="18" hidden="1" customHeight="1">
      <c r="A128" s="201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203"/>
    </row>
    <row r="129" spans="1:15" ht="18" hidden="1" customHeight="1">
      <c r="A129" s="201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203"/>
    </row>
    <row r="130" spans="1:15" ht="18" hidden="1" customHeight="1">
      <c r="A130" s="201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203"/>
    </row>
    <row r="131" spans="1:15" ht="18" hidden="1" customHeight="1">
      <c r="A131" s="201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203"/>
    </row>
    <row r="132" spans="1:15" ht="18" hidden="1" customHeight="1">
      <c r="A132" s="201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203"/>
    </row>
    <row r="133" spans="1:15" ht="18" hidden="1" customHeight="1">
      <c r="A133" s="201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203"/>
    </row>
    <row r="134" spans="1:15" ht="18" hidden="1" customHeight="1">
      <c r="A134" s="201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203"/>
    </row>
    <row r="135" spans="1:15" ht="18" hidden="1" customHeight="1">
      <c r="A135" s="201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203"/>
    </row>
    <row r="136" spans="1:15" ht="18" hidden="1" customHeight="1">
      <c r="A136" s="201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203"/>
    </row>
    <row r="137" spans="1:15" ht="18" hidden="1" customHeight="1">
      <c r="A137" s="201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203"/>
    </row>
    <row r="138" spans="1:15" ht="18" hidden="1" customHeight="1">
      <c r="A138" s="201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203"/>
    </row>
    <row r="139" spans="1:15" ht="18" hidden="1" customHeight="1">
      <c r="A139" s="201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203"/>
    </row>
    <row r="140" spans="1:15" ht="18" hidden="1" customHeight="1">
      <c r="A140" s="201"/>
      <c r="B140" s="202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3"/>
    </row>
    <row r="141" spans="1:15" ht="24.95" hidden="1" customHeight="1">
      <c r="A141" s="403" t="s">
        <v>217</v>
      </c>
      <c r="B141" s="403"/>
      <c r="C141" s="403"/>
      <c r="D141" s="408" t="s">
        <v>237</v>
      </c>
      <c r="E141" s="409"/>
      <c r="F141" s="409"/>
      <c r="G141" s="409"/>
      <c r="H141" s="409"/>
      <c r="I141" s="403" t="s">
        <v>218</v>
      </c>
      <c r="J141" s="403"/>
      <c r="K141" s="410" t="s">
        <v>240</v>
      </c>
      <c r="L141" s="403"/>
      <c r="M141" s="403"/>
      <c r="N141" s="403"/>
      <c r="O141" s="403"/>
    </row>
    <row r="142" spans="1:15" ht="24.95" hidden="1" customHeight="1">
      <c r="A142" s="403" t="s">
        <v>219</v>
      </c>
      <c r="B142" s="403"/>
      <c r="C142" s="403"/>
      <c r="D142" s="404" t="s">
        <v>241</v>
      </c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6"/>
    </row>
    <row r="143" spans="1:15" ht="18" hidden="1" customHeight="1">
      <c r="A143" s="205"/>
      <c r="B143" s="206"/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8"/>
    </row>
    <row r="144" spans="1:15" ht="18" hidden="1" customHeight="1">
      <c r="A144" s="201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203"/>
    </row>
    <row r="145" spans="1:15" ht="18" hidden="1" customHeight="1">
      <c r="A145" s="201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203"/>
    </row>
    <row r="146" spans="1:15" ht="18" hidden="1" customHeight="1">
      <c r="A146" s="201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203"/>
    </row>
    <row r="147" spans="1:15" ht="18" hidden="1" customHeight="1">
      <c r="A147" s="201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203"/>
    </row>
    <row r="148" spans="1:15" ht="18" hidden="1" customHeight="1">
      <c r="A148" s="201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203"/>
    </row>
    <row r="149" spans="1:15" ht="18" hidden="1" customHeight="1">
      <c r="A149" s="201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203"/>
    </row>
    <row r="150" spans="1:15" ht="18" hidden="1" customHeight="1">
      <c r="A150" s="201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203"/>
    </row>
    <row r="151" spans="1:15" ht="18" hidden="1" customHeight="1">
      <c r="A151" s="201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203"/>
    </row>
    <row r="152" spans="1:15" ht="18" hidden="1" customHeight="1">
      <c r="A152" s="201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203"/>
    </row>
    <row r="153" spans="1:15" ht="18" hidden="1" customHeight="1">
      <c r="A153" s="201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203"/>
    </row>
    <row r="154" spans="1:15" ht="18" hidden="1" customHeight="1">
      <c r="A154" s="201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203"/>
    </row>
    <row r="155" spans="1:15" ht="18" hidden="1" customHeight="1">
      <c r="A155" s="201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203"/>
    </row>
    <row r="156" spans="1:15" ht="18" hidden="1" customHeight="1">
      <c r="A156" s="201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203"/>
    </row>
    <row r="157" spans="1:15" ht="18" hidden="1" customHeight="1">
      <c r="A157" s="201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203"/>
    </row>
    <row r="158" spans="1:15" ht="18" hidden="1" customHeight="1">
      <c r="A158" s="201"/>
      <c r="B158" s="202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3"/>
    </row>
    <row r="159" spans="1:15" ht="24.95" hidden="1" customHeight="1">
      <c r="A159" s="403" t="s">
        <v>217</v>
      </c>
      <c r="B159" s="403"/>
      <c r="C159" s="403"/>
      <c r="D159" s="408" t="s">
        <v>237</v>
      </c>
      <c r="E159" s="409"/>
      <c r="F159" s="409"/>
      <c r="G159" s="409"/>
      <c r="H159" s="409"/>
      <c r="I159" s="403" t="s">
        <v>218</v>
      </c>
      <c r="J159" s="403"/>
      <c r="K159" s="410" t="s">
        <v>240</v>
      </c>
      <c r="L159" s="403"/>
      <c r="M159" s="403"/>
      <c r="N159" s="403"/>
      <c r="O159" s="403"/>
    </row>
    <row r="160" spans="1:15" ht="24.95" hidden="1" customHeight="1">
      <c r="A160" s="403" t="s">
        <v>219</v>
      </c>
      <c r="B160" s="403"/>
      <c r="C160" s="403"/>
      <c r="D160" s="404" t="s">
        <v>241</v>
      </c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6"/>
    </row>
  </sheetData>
  <mergeCells count="72">
    <mergeCell ref="A160:C160"/>
    <mergeCell ref="D160:O160"/>
    <mergeCell ref="A142:C142"/>
    <mergeCell ref="D142:O142"/>
    <mergeCell ref="B144:N157"/>
    <mergeCell ref="A159:C159"/>
    <mergeCell ref="D159:H159"/>
    <mergeCell ref="I159:J159"/>
    <mergeCell ref="K159:O159"/>
    <mergeCell ref="S124:X124"/>
    <mergeCell ref="B125:N139"/>
    <mergeCell ref="A141:C141"/>
    <mergeCell ref="D141:H141"/>
    <mergeCell ref="I141:J141"/>
    <mergeCell ref="K141:O141"/>
    <mergeCell ref="A120:C120"/>
    <mergeCell ref="D120:O120"/>
    <mergeCell ref="A121:O122"/>
    <mergeCell ref="S122:X122"/>
    <mergeCell ref="A123:O123"/>
    <mergeCell ref="B104:N117"/>
    <mergeCell ref="A119:C119"/>
    <mergeCell ref="D119:H119"/>
    <mergeCell ref="I119:J119"/>
    <mergeCell ref="K119:O119"/>
    <mergeCell ref="A101:C101"/>
    <mergeCell ref="D101:H101"/>
    <mergeCell ref="I101:J101"/>
    <mergeCell ref="K101:O101"/>
    <mergeCell ref="A102:C102"/>
    <mergeCell ref="D102:O102"/>
    <mergeCell ref="A81:O82"/>
    <mergeCell ref="S82:X82"/>
    <mergeCell ref="A83:O83"/>
    <mergeCell ref="S84:X84"/>
    <mergeCell ref="B85:N99"/>
    <mergeCell ref="K21:O21"/>
    <mergeCell ref="A1:O2"/>
    <mergeCell ref="S2:X2"/>
    <mergeCell ref="A3:O3"/>
    <mergeCell ref="S4:X4"/>
    <mergeCell ref="B5:N19"/>
    <mergeCell ref="A21:C21"/>
    <mergeCell ref="D21:H21"/>
    <mergeCell ref="I21:J21"/>
    <mergeCell ref="A40:C40"/>
    <mergeCell ref="D40:O40"/>
    <mergeCell ref="A22:C22"/>
    <mergeCell ref="D22:O22"/>
    <mergeCell ref="B24:N37"/>
    <mergeCell ref="A39:C39"/>
    <mergeCell ref="D39:H39"/>
    <mergeCell ref="I39:J39"/>
    <mergeCell ref="K39:O39"/>
    <mergeCell ref="A41:O42"/>
    <mergeCell ref="S42:X42"/>
    <mergeCell ref="A43:O43"/>
    <mergeCell ref="S44:X44"/>
    <mergeCell ref="B45:N59"/>
    <mergeCell ref="A61:C61"/>
    <mergeCell ref="D61:H61"/>
    <mergeCell ref="I61:J61"/>
    <mergeCell ref="K61:O61"/>
    <mergeCell ref="A62:C62"/>
    <mergeCell ref="D62:O62"/>
    <mergeCell ref="A80:C80"/>
    <mergeCell ref="D80:O80"/>
    <mergeCell ref="B64:N77"/>
    <mergeCell ref="A79:C79"/>
    <mergeCell ref="D79:H79"/>
    <mergeCell ref="I79:J79"/>
    <mergeCell ref="K79:O79"/>
  </mergeCells>
  <phoneticPr fontId="3" type="noConversion"/>
  <printOptions horizontalCentered="1"/>
  <pageMargins left="0.39370078740157483" right="0.39370078740157483" top="0.59055118110236227" bottom="0.39370078740157483" header="0.31496062992125984" footer="0.31496062992125984"/>
  <pageSetup paperSize="9" orientation="portrait" r:id="rId1"/>
  <headerFooter alignWithMargins="0">
    <oddHeader>&amp;R&amp;"맑은 고딕,보통"&amp;8&amp;K808080K-건설맵 · k-conmap.com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Button 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</xdr:row>
                    <xdr:rowOff>123825</xdr:rowOff>
                  </from>
                  <to>
                    <xdr:col>17</xdr:col>
                    <xdr:colOff>228600</xdr:colOff>
                    <xdr:row>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1" r:id="rId5" name="Button 5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41</xdr:row>
                    <xdr:rowOff>123825</xdr:rowOff>
                  </from>
                  <to>
                    <xdr:col>17</xdr:col>
                    <xdr:colOff>228600</xdr:colOff>
                    <xdr:row>43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2" r:id="rId6" name="Button 6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81</xdr:row>
                    <xdr:rowOff>123825</xdr:rowOff>
                  </from>
                  <to>
                    <xdr:col>17</xdr:col>
                    <xdr:colOff>228600</xdr:colOff>
                    <xdr:row>83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3" r:id="rId7" name="Button 7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121</xdr:row>
                    <xdr:rowOff>123825</xdr:rowOff>
                  </from>
                  <to>
                    <xdr:col>17</xdr:col>
                    <xdr:colOff>228600</xdr:colOff>
                    <xdr:row>123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6:L63"/>
  <sheetViews>
    <sheetView view="pageBreakPreview" topLeftCell="A10" zoomScaleSheetLayoutView="100" workbookViewId="0">
      <selection activeCell="I23" sqref="I23"/>
    </sheetView>
  </sheetViews>
  <sheetFormatPr defaultColWidth="6.375" defaultRowHeight="22.5" customHeight="1"/>
  <cols>
    <col min="1" max="16384" width="6.375" style="2"/>
  </cols>
  <sheetData>
    <row r="6" spans="1:12" ht="22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s="178" customFormat="1" ht="22.5" customHeight="1">
      <c r="A8" s="300" t="s">
        <v>303</v>
      </c>
      <c r="B8" s="300"/>
      <c r="C8" s="300"/>
      <c r="D8" s="300"/>
      <c r="E8" s="300"/>
      <c r="F8" s="300"/>
      <c r="G8" s="300"/>
      <c r="H8" s="300"/>
      <c r="I8" s="300"/>
      <c r="J8" s="300"/>
      <c r="K8" s="300"/>
      <c r="L8" s="300"/>
    </row>
    <row r="9" spans="1:12" s="178" customFormat="1" ht="22.5" customHeight="1">
      <c r="A9" s="190"/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</row>
    <row r="10" spans="1:12" s="178" customFormat="1" ht="22.5" customHeight="1">
      <c r="A10" s="190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s="178" customFormat="1" ht="22.5" customHeight="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</row>
    <row r="12" spans="1:12" s="178" customFormat="1" ht="22.5" customHeight="1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</row>
    <row r="13" spans="1:12" s="178" customFormat="1" ht="22.5" customHeight="1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</row>
    <row r="14" spans="1:12" s="178" customFormat="1" ht="22.5" customHeight="1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</row>
    <row r="15" spans="1:12" s="178" customFormat="1" ht="22.5" customHeight="1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</row>
    <row r="16" spans="1:12" s="178" customFormat="1" ht="22.5" customHeight="1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</row>
    <row r="17" spans="1:12" s="178" customFormat="1" ht="22.5" customHeight="1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</row>
    <row r="18" spans="1:12" s="178" customFormat="1" ht="22.5" customHeight="1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</row>
    <row r="19" spans="1:12" s="178" customFormat="1" ht="27.75" customHeight="1">
      <c r="A19" s="304" t="str">
        <f>+'표지(품질)'!A19:L19</f>
        <v>2026년  03월분</v>
      </c>
      <c r="B19" s="304"/>
      <c r="C19" s="304"/>
      <c r="D19" s="304"/>
      <c r="E19" s="304"/>
      <c r="F19" s="304"/>
      <c r="G19" s="304"/>
      <c r="H19" s="304"/>
      <c r="I19" s="304"/>
      <c r="J19" s="304"/>
      <c r="K19" s="304"/>
      <c r="L19" s="304"/>
    </row>
    <row r="20" spans="1:12" s="178" customFormat="1" ht="22.5" customHeight="1">
      <c r="A20" s="177"/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</row>
    <row r="21" spans="1:12" s="178" customFormat="1" ht="22.5" customHeight="1">
      <c r="A21" s="177"/>
      <c r="B21" s="177"/>
      <c r="C21" s="177"/>
      <c r="D21" s="177"/>
      <c r="E21" s="177"/>
      <c r="F21" s="177"/>
      <c r="G21" s="177"/>
      <c r="H21" s="177"/>
      <c r="I21" s="177"/>
      <c r="J21" s="177"/>
      <c r="K21" s="177"/>
      <c r="L21" s="177"/>
    </row>
    <row r="22" spans="1:12" s="178" customFormat="1" ht="22.5" customHeight="1">
      <c r="A22" s="177"/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</row>
    <row r="23" spans="1:12" s="178" customFormat="1" ht="22.5" customHeight="1">
      <c r="A23" s="177"/>
      <c r="B23" s="177"/>
      <c r="C23" s="177"/>
      <c r="D23" s="177"/>
      <c r="E23" s="177"/>
      <c r="F23" s="177"/>
      <c r="G23" s="177"/>
      <c r="H23" s="177"/>
      <c r="I23" s="177"/>
      <c r="J23" s="177"/>
      <c r="K23" s="177"/>
      <c r="L23" s="177"/>
    </row>
    <row r="24" spans="1:12" s="178" customFormat="1" ht="22.5" customHeight="1">
      <c r="A24" s="177"/>
      <c r="B24" s="177"/>
      <c r="C24" s="177"/>
      <c r="D24" s="177"/>
      <c r="E24" s="177"/>
      <c r="F24" s="177"/>
      <c r="G24" s="177"/>
      <c r="H24" s="177"/>
      <c r="I24" s="177"/>
      <c r="J24" s="177"/>
      <c r="K24" s="177"/>
      <c r="L24" s="177"/>
    </row>
    <row r="25" spans="1:12" s="178" customFormat="1" ht="22.5" customHeight="1">
      <c r="A25" s="177"/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</row>
    <row r="26" spans="1:12" s="178" customFormat="1" ht="22.5" customHeight="1">
      <c r="A26" s="177"/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</row>
    <row r="27" spans="1:12" s="178" customFormat="1" ht="22.5" customHeight="1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</row>
    <row r="28" spans="1:12" s="178" customFormat="1" ht="22.5" customHeight="1">
      <c r="A28" s="177"/>
      <c r="B28" s="177"/>
      <c r="C28" s="177"/>
      <c r="D28" s="441"/>
      <c r="E28" s="441"/>
      <c r="F28" s="441"/>
      <c r="G28" s="441"/>
      <c r="H28" s="441"/>
      <c r="I28" s="441"/>
      <c r="J28" s="177"/>
      <c r="K28" s="177"/>
      <c r="L28" s="177"/>
    </row>
    <row r="29" spans="1:12" s="178" customFormat="1" ht="40.5" customHeight="1">
      <c r="A29" s="177"/>
      <c r="B29" s="177"/>
      <c r="C29" s="177"/>
      <c r="D29" s="550" t="s">
        <v>305</v>
      </c>
      <c r="E29" s="550"/>
      <c r="F29" s="550"/>
      <c r="G29" s="550"/>
      <c r="H29" s="550"/>
      <c r="I29" s="550"/>
      <c r="J29" s="177"/>
      <c r="K29" s="177"/>
      <c r="L29" s="177"/>
    </row>
    <row r="30" spans="1:12" s="178" customFormat="1" ht="22.5" customHeight="1">
      <c r="A30" s="179"/>
      <c r="B30" s="179"/>
      <c r="D30" s="442"/>
      <c r="E30" s="442"/>
      <c r="F30" s="442"/>
      <c r="G30" s="442"/>
      <c r="H30" s="442"/>
      <c r="I30" s="442"/>
    </row>
    <row r="31" spans="1:12" s="178" customFormat="1" ht="22.5" customHeight="1">
      <c r="A31" s="179"/>
      <c r="B31" s="179"/>
    </row>
    <row r="32" spans="1:12" ht="22.5" customHeight="1">
      <c r="A32" s="323"/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</row>
    <row r="33" spans="1:12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2" ht="6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2" ht="33.75" customHeight="1">
      <c r="A35" s="425"/>
      <c r="B35" s="425"/>
      <c r="C35" s="435"/>
      <c r="D35" s="436"/>
      <c r="E35" s="436"/>
      <c r="F35" s="437"/>
      <c r="G35" s="425"/>
      <c r="H35" s="425"/>
      <c r="I35" s="347"/>
      <c r="J35" s="347"/>
      <c r="K35" s="347"/>
      <c r="L35" s="347"/>
    </row>
    <row r="36" spans="1:12" ht="22.5" customHeight="1">
      <c r="A36" s="425"/>
      <c r="B36" s="425"/>
      <c r="C36" s="347"/>
      <c r="D36" s="347"/>
      <c r="E36" s="347"/>
      <c r="F36" s="347"/>
      <c r="G36" s="425"/>
      <c r="H36" s="425"/>
      <c r="I36" s="438"/>
      <c r="J36" s="439"/>
      <c r="K36" s="439"/>
      <c r="L36" s="440"/>
    </row>
    <row r="37" spans="1:12" ht="19.5" customHeight="1">
      <c r="A37" s="425"/>
      <c r="B37" s="425"/>
      <c r="C37" s="429"/>
      <c r="D37" s="430"/>
      <c r="E37" s="430"/>
      <c r="F37" s="431"/>
      <c r="G37" s="425"/>
      <c r="H37" s="425"/>
      <c r="I37" s="324"/>
      <c r="J37" s="325"/>
      <c r="K37" s="325"/>
      <c r="L37" s="325"/>
    </row>
    <row r="38" spans="1:12" ht="19.5" customHeight="1">
      <c r="A38" s="425"/>
      <c r="B38" s="425"/>
      <c r="C38" s="432"/>
      <c r="D38" s="433"/>
      <c r="E38" s="433"/>
      <c r="F38" s="434"/>
      <c r="G38" s="425"/>
      <c r="H38" s="425"/>
      <c r="I38" s="324"/>
      <c r="J38" s="325"/>
      <c r="K38" s="325"/>
      <c r="L38" s="325"/>
    </row>
    <row r="39" spans="1:12" ht="22.5" customHeight="1">
      <c r="A39" s="425"/>
      <c r="B39" s="425"/>
      <c r="C39" s="347"/>
      <c r="D39" s="347"/>
      <c r="E39" s="347"/>
      <c r="F39" s="347"/>
      <c r="G39" s="425"/>
      <c r="H39" s="425"/>
      <c r="I39" s="426"/>
      <c r="J39" s="427"/>
      <c r="K39" s="427"/>
      <c r="L39" s="428"/>
    </row>
    <row r="40" spans="1:12" ht="22.5" customHeight="1">
      <c r="A40" s="423"/>
      <c r="B40" s="423"/>
      <c r="C40" s="423"/>
      <c r="D40" s="423"/>
      <c r="E40" s="423"/>
      <c r="F40" s="423"/>
      <c r="G40" s="424"/>
      <c r="H40" s="424"/>
      <c r="I40" s="424"/>
      <c r="J40" s="424"/>
      <c r="K40" s="424"/>
      <c r="L40" s="424"/>
    </row>
    <row r="41" spans="1:12" ht="22.5" customHeight="1">
      <c r="A41" s="416"/>
      <c r="B41" s="416"/>
      <c r="C41" s="416"/>
      <c r="D41" s="416"/>
      <c r="E41" s="416"/>
      <c r="F41" s="416"/>
      <c r="G41" s="416"/>
      <c r="H41" s="416"/>
      <c r="I41" s="416"/>
      <c r="J41" s="416"/>
      <c r="K41" s="416"/>
      <c r="L41" s="416"/>
    </row>
    <row r="42" spans="1:12" ht="22.5" customHeight="1">
      <c r="A42" s="418"/>
      <c r="B42" s="418"/>
      <c r="C42" s="418"/>
      <c r="D42" s="418"/>
      <c r="E42" s="418"/>
      <c r="F42" s="418"/>
      <c r="G42" s="418"/>
      <c r="H42" s="418"/>
      <c r="I42" s="418"/>
      <c r="J42" s="418"/>
      <c r="K42" s="418"/>
      <c r="L42" s="418"/>
    </row>
    <row r="43" spans="1:12" ht="22.5" customHeight="1">
      <c r="A43" s="421"/>
      <c r="B43" s="421"/>
      <c r="C43" s="421"/>
      <c r="D43" s="421"/>
      <c r="E43" s="421"/>
      <c r="F43" s="421"/>
      <c r="G43" s="422"/>
      <c r="H43" s="422"/>
      <c r="I43" s="422"/>
      <c r="J43" s="418"/>
      <c r="K43" s="418"/>
      <c r="L43" s="418"/>
    </row>
    <row r="44" spans="1:12" ht="22.5" customHeight="1">
      <c r="A44" s="421"/>
      <c r="B44" s="421"/>
      <c r="C44" s="421"/>
      <c r="D44" s="421"/>
      <c r="E44" s="421"/>
      <c r="F44" s="421"/>
      <c r="G44" s="422"/>
      <c r="H44" s="422"/>
      <c r="I44" s="422"/>
      <c r="J44" s="418"/>
      <c r="K44" s="418"/>
      <c r="L44" s="418"/>
    </row>
    <row r="45" spans="1:12" ht="22.5" customHeight="1">
      <c r="A45" s="421"/>
      <c r="B45" s="421"/>
      <c r="C45" s="421"/>
      <c r="D45" s="421"/>
      <c r="E45" s="421"/>
      <c r="F45" s="421"/>
      <c r="G45" s="422"/>
      <c r="H45" s="422"/>
      <c r="I45" s="422"/>
      <c r="J45" s="418"/>
      <c r="K45" s="418"/>
      <c r="L45" s="418"/>
    </row>
    <row r="46" spans="1:12" ht="22.5" customHeight="1">
      <c r="A46" s="421"/>
      <c r="B46" s="421"/>
      <c r="C46" s="421"/>
      <c r="D46" s="421"/>
      <c r="E46" s="421"/>
      <c r="F46" s="421"/>
      <c r="G46" s="422"/>
      <c r="H46" s="422"/>
      <c r="I46" s="422"/>
      <c r="J46" s="418"/>
      <c r="K46" s="418"/>
      <c r="L46" s="418"/>
    </row>
    <row r="47" spans="1:12" ht="22.5" customHeight="1">
      <c r="A47" s="421"/>
      <c r="B47" s="421"/>
      <c r="C47" s="421"/>
      <c r="D47" s="421"/>
      <c r="E47" s="421"/>
      <c r="F47" s="421"/>
      <c r="G47" s="422"/>
      <c r="H47" s="422"/>
      <c r="I47" s="422"/>
      <c r="J47" s="418"/>
      <c r="K47" s="418"/>
      <c r="L47" s="418"/>
    </row>
    <row r="48" spans="1:12" ht="22.5" customHeight="1">
      <c r="A48" s="421"/>
      <c r="B48" s="421"/>
      <c r="C48" s="421"/>
      <c r="D48" s="421"/>
      <c r="E48" s="421"/>
      <c r="F48" s="421"/>
      <c r="G48" s="422"/>
      <c r="H48" s="422"/>
      <c r="I48" s="422"/>
      <c r="J48" s="418"/>
      <c r="K48" s="418"/>
      <c r="L48" s="418"/>
    </row>
    <row r="49" spans="1:12" ht="22.5" customHeight="1">
      <c r="A49" s="421"/>
      <c r="B49" s="421"/>
      <c r="C49" s="421"/>
      <c r="D49" s="421"/>
      <c r="E49" s="421"/>
      <c r="F49" s="421"/>
      <c r="G49" s="422"/>
      <c r="H49" s="422"/>
      <c r="I49" s="422"/>
      <c r="J49" s="418"/>
      <c r="K49" s="418"/>
      <c r="L49" s="418"/>
    </row>
    <row r="50" spans="1:12" ht="22.5" customHeight="1">
      <c r="A50" s="421"/>
      <c r="B50" s="421"/>
      <c r="C50" s="421"/>
      <c r="D50" s="421"/>
      <c r="E50" s="421"/>
      <c r="F50" s="421"/>
      <c r="G50" s="422"/>
      <c r="H50" s="422"/>
      <c r="I50" s="422"/>
      <c r="J50" s="418"/>
      <c r="K50" s="418"/>
      <c r="L50" s="418"/>
    </row>
    <row r="51" spans="1:12" ht="22.5" customHeight="1">
      <c r="A51" s="416"/>
      <c r="B51" s="416"/>
      <c r="C51" s="416"/>
      <c r="D51" s="416"/>
      <c r="E51" s="416"/>
      <c r="F51" s="416"/>
      <c r="G51" s="417"/>
      <c r="H51" s="417"/>
      <c r="I51" s="417"/>
      <c r="J51" s="418"/>
      <c r="K51" s="418"/>
      <c r="L51" s="418"/>
    </row>
    <row r="52" spans="1:12" ht="22.5" customHeight="1">
      <c r="A52" s="6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</row>
    <row r="53" spans="1:12" ht="22.5" customHeight="1">
      <c r="A53" s="419"/>
      <c r="B53" s="419"/>
      <c r="C53" s="419"/>
      <c r="D53" s="419"/>
      <c r="E53" s="419"/>
      <c r="F53" s="419"/>
      <c r="G53" s="419"/>
      <c r="H53" s="419"/>
      <c r="I53" s="419"/>
      <c r="J53" s="419"/>
      <c r="K53" s="419"/>
      <c r="L53" s="419"/>
    </row>
    <row r="54" spans="1:12" ht="22.5" customHeight="1">
      <c r="A54" s="420"/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</row>
    <row r="55" spans="1:12" ht="22.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spans="1:12" ht="22.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</row>
    <row r="57" spans="1:12" ht="22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22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22.5" customHeight="1">
      <c r="A59" s="8"/>
      <c r="B59" s="8"/>
    </row>
    <row r="60" spans="1:12" ht="22.5" customHeight="1">
      <c r="A60" s="5"/>
      <c r="B60" s="5"/>
      <c r="F60" s="415"/>
      <c r="G60" s="415"/>
      <c r="H60" s="415"/>
      <c r="I60" s="415"/>
      <c r="J60" s="415"/>
      <c r="K60" s="415"/>
    </row>
    <row r="61" spans="1:12" ht="22.5" customHeight="1">
      <c r="A61" s="5"/>
      <c r="B61" s="5"/>
      <c r="F61" s="415"/>
      <c r="G61" s="415"/>
      <c r="H61" s="415"/>
      <c r="I61" s="415"/>
      <c r="J61" s="415"/>
      <c r="K61" s="415"/>
    </row>
    <row r="62" spans="1:12" ht="22.5" customHeight="1">
      <c r="A62" s="5"/>
      <c r="B62" s="5"/>
    </row>
    <row r="63" spans="1:12" ht="22.5" customHeight="1">
      <c r="A63" s="8"/>
      <c r="B63" s="8"/>
    </row>
  </sheetData>
  <mergeCells count="61">
    <mergeCell ref="A32:L34"/>
    <mergeCell ref="A8:L8"/>
    <mergeCell ref="A19:L19"/>
    <mergeCell ref="D28:I28"/>
    <mergeCell ref="D29:I29"/>
    <mergeCell ref="D30:I30"/>
    <mergeCell ref="A35:B35"/>
    <mergeCell ref="C35:F35"/>
    <mergeCell ref="G35:H35"/>
    <mergeCell ref="I35:L35"/>
    <mergeCell ref="A36:B36"/>
    <mergeCell ref="C36:F36"/>
    <mergeCell ref="G36:H36"/>
    <mergeCell ref="I36:L36"/>
    <mergeCell ref="I38:L38"/>
    <mergeCell ref="A40:F40"/>
    <mergeCell ref="G40:L40"/>
    <mergeCell ref="A41:L41"/>
    <mergeCell ref="A42:F42"/>
    <mergeCell ref="G42:I42"/>
    <mergeCell ref="J42:L42"/>
    <mergeCell ref="A39:B39"/>
    <mergeCell ref="C39:F39"/>
    <mergeCell ref="G39:H39"/>
    <mergeCell ref="I39:L39"/>
    <mergeCell ref="A37:B38"/>
    <mergeCell ref="C37:F38"/>
    <mergeCell ref="G37:H38"/>
    <mergeCell ref="I37:L37"/>
    <mergeCell ref="A43:F43"/>
    <mergeCell ref="G43:I43"/>
    <mergeCell ref="J43:L43"/>
    <mergeCell ref="A44:F44"/>
    <mergeCell ref="G44:I44"/>
    <mergeCell ref="J44:L44"/>
    <mergeCell ref="A45:F45"/>
    <mergeCell ref="G45:I45"/>
    <mergeCell ref="J45:L45"/>
    <mergeCell ref="A46:F46"/>
    <mergeCell ref="G46:I46"/>
    <mergeCell ref="J46:L46"/>
    <mergeCell ref="A47:F47"/>
    <mergeCell ref="G47:I47"/>
    <mergeCell ref="J47:L47"/>
    <mergeCell ref="A48:F48"/>
    <mergeCell ref="G48:I48"/>
    <mergeCell ref="J48:L48"/>
    <mergeCell ref="A49:F49"/>
    <mergeCell ref="G49:I49"/>
    <mergeCell ref="J49:L49"/>
    <mergeCell ref="A50:F50"/>
    <mergeCell ref="G50:I50"/>
    <mergeCell ref="J50:L50"/>
    <mergeCell ref="F60:K60"/>
    <mergeCell ref="F61:K61"/>
    <mergeCell ref="A51:F51"/>
    <mergeCell ref="G51:I51"/>
    <mergeCell ref="J51:L51"/>
    <mergeCell ref="A53:L53"/>
    <mergeCell ref="A54:L54"/>
    <mergeCell ref="A56:L56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Q61"/>
  <sheetViews>
    <sheetView tabSelected="1" view="pageBreakPreview" topLeftCell="A32" zoomScaleSheetLayoutView="100" workbookViewId="0">
      <selection activeCell="G48" sqref="G48:H48"/>
    </sheetView>
  </sheetViews>
  <sheetFormatPr defaultColWidth="6.375" defaultRowHeight="22.5" customHeight="1"/>
  <cols>
    <col min="1" max="2" width="5.875" style="2" customWidth="1"/>
    <col min="3" max="3" width="7.125" style="2" customWidth="1"/>
    <col min="4" max="4" width="12.25" style="2" customWidth="1"/>
    <col min="5" max="8" width="6.125" style="2" customWidth="1"/>
    <col min="9" max="11" width="7.25" style="2" customWidth="1"/>
    <col min="12" max="12" width="9.25" style="2" customWidth="1"/>
    <col min="13" max="15" width="6.375" style="2"/>
    <col min="16" max="16" width="13.7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306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3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1.5" customHeight="1">
      <c r="A35" s="330" t="s">
        <v>184</v>
      </c>
      <c r="B35" s="330"/>
      <c r="C35" s="331" t="s">
        <v>305</v>
      </c>
      <c r="D35" s="332"/>
      <c r="E35" s="332"/>
      <c r="F35" s="333"/>
      <c r="G35" s="330" t="s">
        <v>185</v>
      </c>
      <c r="H35" s="330"/>
      <c r="I35" s="334" t="s">
        <v>310</v>
      </c>
      <c r="J35" s="335"/>
      <c r="K35" s="335"/>
      <c r="L35" s="336"/>
    </row>
    <row r="36" spans="1:17" ht="29.2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307</v>
      </c>
      <c r="J36" s="338"/>
      <c r="K36" s="338"/>
      <c r="L36" s="339"/>
    </row>
    <row r="37" spans="1:17" ht="21" customHeight="1">
      <c r="A37" s="330" t="s">
        <v>124</v>
      </c>
      <c r="B37" s="330"/>
      <c r="C37" s="551" t="s">
        <v>311</v>
      </c>
      <c r="D37" s="552"/>
      <c r="E37" s="552"/>
      <c r="F37" s="553"/>
      <c r="G37" s="330" t="s">
        <v>125</v>
      </c>
      <c r="H37" s="330"/>
      <c r="I37" s="324" t="s">
        <v>324</v>
      </c>
      <c r="J37" s="324"/>
      <c r="K37" s="325"/>
      <c r="L37" s="325"/>
    </row>
    <row r="38" spans="1:17" ht="21" customHeight="1">
      <c r="A38" s="330"/>
      <c r="B38" s="330"/>
      <c r="C38" s="551" t="s">
        <v>312</v>
      </c>
      <c r="D38" s="552"/>
      <c r="E38" s="552"/>
      <c r="F38" s="553"/>
      <c r="G38" s="330"/>
      <c r="H38" s="330"/>
      <c r="I38" s="324" t="s">
        <v>325</v>
      </c>
      <c r="J38" s="324"/>
      <c r="K38" s="325"/>
      <c r="L38" s="325"/>
    </row>
    <row r="39" spans="1:17" ht="31.5" customHeight="1">
      <c r="A39" s="330" t="s">
        <v>1</v>
      </c>
      <c r="B39" s="330"/>
      <c r="C39" s="554" t="s">
        <v>308</v>
      </c>
      <c r="D39" s="554"/>
      <c r="E39" s="554"/>
      <c r="F39" s="554"/>
      <c r="G39" s="330" t="s">
        <v>2</v>
      </c>
      <c r="H39" s="330"/>
      <c r="I39" s="348">
        <f>+품질시험비!I39</f>
        <v>0.85319999999999996</v>
      </c>
      <c r="J39" s="349"/>
      <c r="K39" s="349"/>
      <c r="L39" s="350"/>
    </row>
    <row r="40" spans="1:17" ht="16.5" customHeight="1">
      <c r="A40" s="305" t="s">
        <v>309</v>
      </c>
      <c r="B40" s="306"/>
      <c r="C40" s="555">
        <v>142898834</v>
      </c>
      <c r="D40" s="556"/>
      <c r="E40" s="556"/>
      <c r="F40" s="557"/>
      <c r="G40" s="305" t="s">
        <v>169</v>
      </c>
      <c r="H40" s="306"/>
      <c r="I40" s="317">
        <f>I52/C40</f>
        <v>0.41201318689556277</v>
      </c>
      <c r="J40" s="318"/>
      <c r="K40" s="318"/>
      <c r="L40" s="319"/>
    </row>
    <row r="41" spans="1:17" ht="16.5" customHeight="1">
      <c r="A41" s="307"/>
      <c r="B41" s="308"/>
      <c r="C41" s="558"/>
      <c r="D41" s="559"/>
      <c r="E41" s="559"/>
      <c r="F41" s="560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301</v>
      </c>
    </row>
    <row r="43" spans="1:17" ht="30" customHeight="1">
      <c r="A43" s="337" t="s">
        <v>4</v>
      </c>
      <c r="B43" s="338"/>
      <c r="C43" s="338"/>
      <c r="D43" s="339"/>
      <c r="E43" s="337" t="s">
        <v>320</v>
      </c>
      <c r="F43" s="339"/>
      <c r="G43" s="337" t="s">
        <v>321</v>
      </c>
      <c r="H43" s="339"/>
      <c r="I43" s="337" t="s">
        <v>168</v>
      </c>
      <c r="J43" s="338"/>
      <c r="K43" s="339"/>
      <c r="L43" s="158" t="s">
        <v>167</v>
      </c>
      <c r="P43" s="152">
        <v>48328454</v>
      </c>
    </row>
    <row r="44" spans="1:17" ht="30" customHeight="1">
      <c r="A44" s="351" t="s">
        <v>313</v>
      </c>
      <c r="B44" s="352"/>
      <c r="C44" s="352"/>
      <c r="D44" s="353"/>
      <c r="E44" s="354">
        <v>3000000</v>
      </c>
      <c r="F44" s="355"/>
      <c r="G44" s="356">
        <v>0</v>
      </c>
      <c r="H44" s="357"/>
      <c r="I44" s="356">
        <f>E44+G44</f>
        <v>3000000</v>
      </c>
      <c r="J44" s="367"/>
      <c r="K44" s="357"/>
      <c r="L44" s="163"/>
      <c r="P44" s="368">
        <f>I44</f>
        <v>3000000</v>
      </c>
      <c r="Q44" s="358"/>
    </row>
    <row r="45" spans="1:17" ht="30" customHeight="1">
      <c r="A45" s="351" t="s">
        <v>314</v>
      </c>
      <c r="B45" s="352"/>
      <c r="C45" s="352"/>
      <c r="D45" s="353"/>
      <c r="E45" s="354">
        <v>17500000</v>
      </c>
      <c r="F45" s="355"/>
      <c r="G45" s="356">
        <f>'세부사용(25년07월) '!K16</f>
        <v>9200000</v>
      </c>
      <c r="H45" s="357"/>
      <c r="I45" s="356">
        <f t="shared" ref="I45:I47" si="0">E45+G45</f>
        <v>26700000</v>
      </c>
      <c r="J45" s="367"/>
      <c r="K45" s="357"/>
      <c r="L45" s="163"/>
      <c r="P45" s="368">
        <f t="shared" ref="P45:P52" si="1">I45</f>
        <v>26700000</v>
      </c>
      <c r="Q45" s="358"/>
    </row>
    <row r="46" spans="1:17" ht="30" customHeight="1">
      <c r="A46" s="351" t="s">
        <v>315</v>
      </c>
      <c r="B46" s="352"/>
      <c r="C46" s="352"/>
      <c r="D46" s="353"/>
      <c r="E46" s="354">
        <v>13144386</v>
      </c>
      <c r="F46" s="355"/>
      <c r="G46" s="356">
        <f>'세부사용(25년07월) '!K23</f>
        <v>0</v>
      </c>
      <c r="H46" s="357"/>
      <c r="I46" s="356">
        <f t="shared" si="0"/>
        <v>13144386</v>
      </c>
      <c r="J46" s="367"/>
      <c r="K46" s="357"/>
      <c r="L46" s="163"/>
      <c r="P46" s="368">
        <f t="shared" si="1"/>
        <v>13144386</v>
      </c>
      <c r="Q46" s="358"/>
    </row>
    <row r="47" spans="1:17" ht="30" customHeight="1">
      <c r="A47" s="351" t="s">
        <v>316</v>
      </c>
      <c r="B47" s="352"/>
      <c r="C47" s="352"/>
      <c r="D47" s="353"/>
      <c r="E47" s="354">
        <v>16031818</v>
      </c>
      <c r="F47" s="355"/>
      <c r="G47" s="356">
        <v>0</v>
      </c>
      <c r="H47" s="357"/>
      <c r="I47" s="356">
        <f t="shared" si="0"/>
        <v>16031818</v>
      </c>
      <c r="J47" s="367"/>
      <c r="K47" s="357"/>
      <c r="L47" s="163"/>
      <c r="P47" s="368">
        <f t="shared" si="1"/>
        <v>16031818</v>
      </c>
      <c r="Q47" s="358"/>
    </row>
    <row r="48" spans="1:17" ht="30" customHeight="1">
      <c r="A48" s="351" t="s">
        <v>317</v>
      </c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1"/>
        <v>0</v>
      </c>
      <c r="Q48" s="358"/>
    </row>
    <row r="49" spans="1:17" ht="30" customHeight="1">
      <c r="A49" s="351" t="s">
        <v>318</v>
      </c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1"/>
        <v>0</v>
      </c>
      <c r="Q49" s="358"/>
    </row>
    <row r="50" spans="1:17" ht="30" customHeight="1">
      <c r="A50" s="351" t="s">
        <v>319</v>
      </c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1"/>
        <v>0</v>
      </c>
      <c r="Q50" s="358"/>
    </row>
    <row r="51" spans="1:17" ht="30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1"/>
        <v>0</v>
      </c>
      <c r="Q51" s="358"/>
    </row>
    <row r="52" spans="1:17" ht="30" customHeight="1">
      <c r="A52" s="359" t="s">
        <v>171</v>
      </c>
      <c r="B52" s="360"/>
      <c r="C52" s="360"/>
      <c r="D52" s="361"/>
      <c r="E52" s="449">
        <f>E44+E45+E46+E47</f>
        <v>49676204</v>
      </c>
      <c r="F52" s="450"/>
      <c r="G52" s="451">
        <f>SUM(G44:G51)</f>
        <v>9200000</v>
      </c>
      <c r="H52" s="452"/>
      <c r="I52" s="453">
        <f>SUM(I44:I51)</f>
        <v>58876204</v>
      </c>
      <c r="J52" s="454"/>
      <c r="K52" s="455"/>
      <c r="L52" s="163"/>
      <c r="P52" s="368">
        <f t="shared" si="1"/>
        <v>58876204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7" ht="22.5" customHeight="1">
      <c r="A54" s="346" t="s">
        <v>235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322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323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1">
    <mergeCell ref="P49:Q49"/>
    <mergeCell ref="P50:Q50"/>
    <mergeCell ref="P51:Q51"/>
    <mergeCell ref="P52:Q52"/>
    <mergeCell ref="P44:Q44"/>
    <mergeCell ref="P45:Q45"/>
    <mergeCell ref="P46:Q46"/>
    <mergeCell ref="P47:Q47"/>
    <mergeCell ref="P48:Q48"/>
    <mergeCell ref="A35:B35"/>
    <mergeCell ref="C35:F35"/>
    <mergeCell ref="G35:H35"/>
    <mergeCell ref="I35:L35"/>
    <mergeCell ref="A14:L14"/>
    <mergeCell ref="D28:I28"/>
    <mergeCell ref="D29:I29"/>
    <mergeCell ref="D30:I30"/>
    <mergeCell ref="A32:L34"/>
    <mergeCell ref="A36:B36"/>
    <mergeCell ref="C36:F36"/>
    <mergeCell ref="G36:H36"/>
    <mergeCell ref="I36:L36"/>
    <mergeCell ref="A37:B38"/>
    <mergeCell ref="G37:H38"/>
    <mergeCell ref="I37:L37"/>
    <mergeCell ref="I38:L38"/>
    <mergeCell ref="C37:F37"/>
    <mergeCell ref="C38:F38"/>
    <mergeCell ref="A39:B39"/>
    <mergeCell ref="C39:F39"/>
    <mergeCell ref="G39:H39"/>
    <mergeCell ref="I39:L39"/>
    <mergeCell ref="A40:B41"/>
    <mergeCell ref="G40:H41"/>
    <mergeCell ref="I40:L41"/>
    <mergeCell ref="A42:L42"/>
    <mergeCell ref="A43:D43"/>
    <mergeCell ref="E43:F43"/>
    <mergeCell ref="G43:H43"/>
    <mergeCell ref="I43:K43"/>
    <mergeCell ref="A44:D44"/>
    <mergeCell ref="E44:F44"/>
    <mergeCell ref="G44:H44"/>
    <mergeCell ref="I44:K44"/>
    <mergeCell ref="A45:D45"/>
    <mergeCell ref="E45:F45"/>
    <mergeCell ref="G45:H45"/>
    <mergeCell ref="I45:K45"/>
    <mergeCell ref="A46:D46"/>
    <mergeCell ref="E46:F46"/>
    <mergeCell ref="G46:H46"/>
    <mergeCell ref="I46:K46"/>
    <mergeCell ref="A47:D47"/>
    <mergeCell ref="E47:F47"/>
    <mergeCell ref="G47:H47"/>
    <mergeCell ref="I47:K47"/>
    <mergeCell ref="I51:K51"/>
    <mergeCell ref="A48:D48"/>
    <mergeCell ref="E48:F48"/>
    <mergeCell ref="G48:H48"/>
    <mergeCell ref="I48:K48"/>
    <mergeCell ref="A49:D49"/>
    <mergeCell ref="E49:F49"/>
    <mergeCell ref="G49:H49"/>
    <mergeCell ref="I49:K49"/>
    <mergeCell ref="A57:L57"/>
    <mergeCell ref="D60:L60"/>
    <mergeCell ref="C40:F41"/>
    <mergeCell ref="A52:D52"/>
    <mergeCell ref="E52:F52"/>
    <mergeCell ref="G52:H52"/>
    <mergeCell ref="I52:K52"/>
    <mergeCell ref="A54:L54"/>
    <mergeCell ref="A55:L55"/>
    <mergeCell ref="A50:D50"/>
    <mergeCell ref="E50:F50"/>
    <mergeCell ref="G50:H50"/>
    <mergeCell ref="I50:K50"/>
    <mergeCell ref="A51:D51"/>
    <mergeCell ref="E51:F51"/>
    <mergeCell ref="G51:H51"/>
  </mergeCells>
  <phoneticPr fontId="3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A24A-4BEC-46C7-B5C2-B14BE6160117}">
  <sheetPr>
    <tabColor rgb="FFFFFF00"/>
  </sheetPr>
  <dimension ref="A1:Q61"/>
  <sheetViews>
    <sheetView view="pageBreakPreview" topLeftCell="A32" zoomScaleSheetLayoutView="100" workbookViewId="0">
      <selection activeCell="E47" sqref="E47:F47"/>
    </sheetView>
  </sheetViews>
  <sheetFormatPr defaultColWidth="6.375" defaultRowHeight="22.5" customHeight="1"/>
  <cols>
    <col min="1" max="2" width="5.875" style="2" customWidth="1"/>
    <col min="3" max="6" width="7.125" style="2" customWidth="1"/>
    <col min="7" max="8" width="6.5" style="2" customWidth="1"/>
    <col min="9" max="12" width="7.875" style="2" customWidth="1"/>
    <col min="13" max="15" width="6.375" style="2"/>
    <col min="16" max="16" width="13.7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297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3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1.5" customHeight="1">
      <c r="A35" s="330" t="s">
        <v>184</v>
      </c>
      <c r="B35" s="330"/>
      <c r="C35" s="331" t="str">
        <v>○○○</v>
      </c>
      <c r="D35" s="332"/>
      <c r="E35" s="332"/>
      <c r="F35" s="333"/>
      <c r="G35" s="330" t="s">
        <v>185</v>
      </c>
      <c r="H35" s="330"/>
      <c r="I35" s="334" t="str">
        <v>○○○</v>
      </c>
      <c r="J35" s="335"/>
      <c r="K35" s="335"/>
      <c r="L35" s="336"/>
    </row>
    <row r="36" spans="1:17" ht="29.2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189</v>
      </c>
      <c r="J36" s="338"/>
      <c r="K36" s="338"/>
      <c r="L36" s="339"/>
    </row>
    <row r="37" spans="1:17" ht="21" customHeight="1">
      <c r="A37" s="330" t="s">
        <v>124</v>
      </c>
      <c r="B37" s="330"/>
      <c r="C37" s="309">
        <v>3024841000</v>
      </c>
      <c r="D37" s="340"/>
      <c r="E37" s="340"/>
      <c r="F37" s="341"/>
      <c r="G37" s="330" t="s">
        <v>125</v>
      </c>
      <c r="H37" s="330"/>
      <c r="I37" s="324" t="s">
        <v>190</v>
      </c>
      <c r="J37" s="324"/>
      <c r="K37" s="325"/>
      <c r="L37" s="325"/>
    </row>
    <row r="38" spans="1:17" ht="21" customHeight="1">
      <c r="A38" s="330"/>
      <c r="B38" s="330"/>
      <c r="C38" s="342"/>
      <c r="D38" s="343"/>
      <c r="E38" s="343"/>
      <c r="F38" s="344"/>
      <c r="G38" s="330"/>
      <c r="H38" s="330"/>
      <c r="I38" s="326" t="s">
        <v>298</v>
      </c>
      <c r="J38" s="327"/>
      <c r="K38" s="328"/>
      <c r="L38" s="329"/>
    </row>
    <row r="39" spans="1:17" ht="31.5" customHeight="1">
      <c r="A39" s="330" t="s">
        <v>1</v>
      </c>
      <c r="B39" s="330"/>
      <c r="C39" s="347" t="s">
        <v>166</v>
      </c>
      <c r="D39" s="347"/>
      <c r="E39" s="347"/>
      <c r="F39" s="347"/>
      <c r="G39" s="330" t="s">
        <v>2</v>
      </c>
      <c r="H39" s="330"/>
      <c r="I39" s="348">
        <f>+품질시험비!I39</f>
        <v>0.85319999999999996</v>
      </c>
      <c r="J39" s="349"/>
      <c r="K39" s="349"/>
      <c r="L39" s="350"/>
    </row>
    <row r="40" spans="1:17" ht="16.5" customHeight="1">
      <c r="A40" s="305" t="s">
        <v>182</v>
      </c>
      <c r="B40" s="306"/>
      <c r="C40" s="443">
        <v>86660008</v>
      </c>
      <c r="D40" s="444"/>
      <c r="E40" s="444"/>
      <c r="F40" s="445"/>
      <c r="G40" s="305" t="s">
        <v>169</v>
      </c>
      <c r="H40" s="306"/>
      <c r="I40" s="317">
        <f>I52/C40</f>
        <v>0.68654176676281864</v>
      </c>
      <c r="J40" s="318"/>
      <c r="K40" s="318"/>
      <c r="L40" s="319"/>
    </row>
    <row r="41" spans="1:17" ht="16.5" customHeight="1">
      <c r="A41" s="307"/>
      <c r="B41" s="308"/>
      <c r="C41" s="446"/>
      <c r="D41" s="447"/>
      <c r="E41" s="447"/>
      <c r="F41" s="448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301</v>
      </c>
    </row>
    <row r="43" spans="1:17" ht="30" customHeight="1">
      <c r="A43" s="337" t="s">
        <v>4</v>
      </c>
      <c r="B43" s="338"/>
      <c r="C43" s="338"/>
      <c r="D43" s="339"/>
      <c r="E43" s="337" t="str">
        <f>+품질시험비!E43</f>
        <v>전회 누계금액
(25년06월까지)</v>
      </c>
      <c r="F43" s="339"/>
      <c r="G43" s="337" t="str">
        <f>+품질시험비!G43</f>
        <v>금회누계금액
(25년07월)</v>
      </c>
      <c r="H43" s="339"/>
      <c r="I43" s="337" t="s">
        <v>168</v>
      </c>
      <c r="J43" s="338"/>
      <c r="K43" s="339"/>
      <c r="L43" s="158" t="s">
        <v>167</v>
      </c>
      <c r="P43" s="152">
        <v>48947965</v>
      </c>
    </row>
    <row r="44" spans="1:17" ht="30" customHeight="1">
      <c r="A44" s="351" t="s">
        <v>238</v>
      </c>
      <c r="B44" s="352"/>
      <c r="C44" s="352"/>
      <c r="D44" s="353"/>
      <c r="E44" s="354">
        <v>3000000</v>
      </c>
      <c r="F44" s="355"/>
      <c r="G44" s="356">
        <v>0</v>
      </c>
      <c r="H44" s="357"/>
      <c r="I44" s="356">
        <f>E44+G44</f>
        <v>3000000</v>
      </c>
      <c r="J44" s="367"/>
      <c r="K44" s="357"/>
      <c r="L44" s="163"/>
      <c r="P44" s="368">
        <f>I44</f>
        <v>3000000</v>
      </c>
      <c r="Q44" s="358"/>
    </row>
    <row r="45" spans="1:17" ht="30" customHeight="1">
      <c r="A45" s="351" t="s">
        <v>210</v>
      </c>
      <c r="B45" s="352"/>
      <c r="C45" s="352"/>
      <c r="D45" s="353"/>
      <c r="E45" s="354">
        <v>17500000</v>
      </c>
      <c r="F45" s="355"/>
      <c r="G45" s="356">
        <f>'세부사용(25년07월) '!K16</f>
        <v>9200000</v>
      </c>
      <c r="H45" s="357"/>
      <c r="I45" s="356">
        <f t="shared" ref="I45:I47" si="0">E45+G45</f>
        <v>26700000</v>
      </c>
      <c r="J45" s="367"/>
      <c r="K45" s="357"/>
      <c r="L45" s="163"/>
      <c r="P45" s="368">
        <f t="shared" ref="P45:P52" si="1">I45</f>
        <v>26700000</v>
      </c>
      <c r="Q45" s="358"/>
    </row>
    <row r="46" spans="1:17" ht="30" customHeight="1">
      <c r="A46" s="351" t="s">
        <v>211</v>
      </c>
      <c r="B46" s="352"/>
      <c r="C46" s="352"/>
      <c r="D46" s="353"/>
      <c r="E46" s="354">
        <v>13763897</v>
      </c>
      <c r="F46" s="355"/>
      <c r="G46" s="356">
        <f>'세부사용(25년07월) '!K23</f>
        <v>0</v>
      </c>
      <c r="H46" s="357"/>
      <c r="I46" s="356">
        <f t="shared" si="0"/>
        <v>13763897</v>
      </c>
      <c r="J46" s="367"/>
      <c r="K46" s="357"/>
      <c r="L46" s="163"/>
      <c r="P46" s="368">
        <f t="shared" si="1"/>
        <v>13763897</v>
      </c>
      <c r="Q46" s="358"/>
    </row>
    <row r="47" spans="1:17" ht="30" customHeight="1">
      <c r="A47" s="351" t="s">
        <v>212</v>
      </c>
      <c r="B47" s="352"/>
      <c r="C47" s="352"/>
      <c r="D47" s="353"/>
      <c r="E47" s="354">
        <v>16031818</v>
      </c>
      <c r="F47" s="355"/>
      <c r="G47" s="356">
        <v>0</v>
      </c>
      <c r="H47" s="357"/>
      <c r="I47" s="356">
        <f t="shared" si="0"/>
        <v>16031818</v>
      </c>
      <c r="J47" s="367"/>
      <c r="K47" s="357"/>
      <c r="L47" s="163"/>
      <c r="P47" s="368">
        <f t="shared" si="1"/>
        <v>16031818</v>
      </c>
      <c r="Q47" s="358"/>
    </row>
    <row r="48" spans="1:17" ht="30" customHeight="1">
      <c r="A48" s="351"/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1"/>
        <v>0</v>
      </c>
      <c r="Q48" s="358"/>
    </row>
    <row r="49" spans="1:17" ht="30" customHeight="1">
      <c r="A49" s="351"/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1"/>
        <v>0</v>
      </c>
      <c r="Q49" s="358"/>
    </row>
    <row r="50" spans="1:17" ht="30" customHeight="1">
      <c r="A50" s="351"/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1"/>
        <v>0</v>
      </c>
      <c r="Q50" s="358"/>
    </row>
    <row r="51" spans="1:17" ht="30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1"/>
        <v>0</v>
      </c>
      <c r="Q51" s="358"/>
    </row>
    <row r="52" spans="1:17" ht="30" customHeight="1">
      <c r="A52" s="359" t="s">
        <v>171</v>
      </c>
      <c r="B52" s="360"/>
      <c r="C52" s="360"/>
      <c r="D52" s="361"/>
      <c r="E52" s="449">
        <f>E44+E45+E46+E47</f>
        <v>50295715</v>
      </c>
      <c r="F52" s="450"/>
      <c r="G52" s="451">
        <f>SUM(G44:G51)</f>
        <v>9200000</v>
      </c>
      <c r="H52" s="452"/>
      <c r="I52" s="453">
        <f>SUM(I44:I51)</f>
        <v>59495715</v>
      </c>
      <c r="J52" s="454"/>
      <c r="K52" s="455"/>
      <c r="L52" s="163"/>
      <c r="P52" s="368">
        <f t="shared" si="1"/>
        <v>59495715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7" ht="22.5" customHeight="1">
      <c r="A54" s="346" t="s">
        <v>235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299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214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0">
    <mergeCell ref="A35:B35"/>
    <mergeCell ref="C35:F35"/>
    <mergeCell ref="G35:H35"/>
    <mergeCell ref="I35:L35"/>
    <mergeCell ref="A14:L14"/>
    <mergeCell ref="D28:I28"/>
    <mergeCell ref="D29:I29"/>
    <mergeCell ref="D30:I30"/>
    <mergeCell ref="A32:L34"/>
    <mergeCell ref="A36:B36"/>
    <mergeCell ref="C36:F36"/>
    <mergeCell ref="G36:H36"/>
    <mergeCell ref="I36:L36"/>
    <mergeCell ref="A37:B38"/>
    <mergeCell ref="C37:F38"/>
    <mergeCell ref="G37:H38"/>
    <mergeCell ref="I37:L37"/>
    <mergeCell ref="I38:L38"/>
    <mergeCell ref="A39:B39"/>
    <mergeCell ref="C39:F39"/>
    <mergeCell ref="G39:H39"/>
    <mergeCell ref="I39:L39"/>
    <mergeCell ref="A40:B41"/>
    <mergeCell ref="C40:F41"/>
    <mergeCell ref="G40:H41"/>
    <mergeCell ref="I40:L41"/>
    <mergeCell ref="A42:L42"/>
    <mergeCell ref="A43:D43"/>
    <mergeCell ref="E43:F43"/>
    <mergeCell ref="G43:H43"/>
    <mergeCell ref="I43:K43"/>
    <mergeCell ref="P44:Q44"/>
    <mergeCell ref="A45:D45"/>
    <mergeCell ref="E45:F45"/>
    <mergeCell ref="G45:H45"/>
    <mergeCell ref="I45:K45"/>
    <mergeCell ref="P45:Q45"/>
    <mergeCell ref="A44:D44"/>
    <mergeCell ref="E44:F44"/>
    <mergeCell ref="G44:H44"/>
    <mergeCell ref="I44:K44"/>
    <mergeCell ref="A47:D47"/>
    <mergeCell ref="E47:F47"/>
    <mergeCell ref="G47:H47"/>
    <mergeCell ref="I47:K47"/>
    <mergeCell ref="P47:Q47"/>
    <mergeCell ref="A46:D46"/>
    <mergeCell ref="E46:F46"/>
    <mergeCell ref="G46:H46"/>
    <mergeCell ref="I46:K46"/>
    <mergeCell ref="P46:Q46"/>
    <mergeCell ref="A49:D49"/>
    <mergeCell ref="E49:F49"/>
    <mergeCell ref="G49:H49"/>
    <mergeCell ref="I49:K49"/>
    <mergeCell ref="P49:Q49"/>
    <mergeCell ref="A48:D48"/>
    <mergeCell ref="E48:F48"/>
    <mergeCell ref="G48:H48"/>
    <mergeCell ref="I48:K48"/>
    <mergeCell ref="P48:Q48"/>
    <mergeCell ref="P52:Q52"/>
    <mergeCell ref="A54:L54"/>
    <mergeCell ref="A50:D50"/>
    <mergeCell ref="E50:F50"/>
    <mergeCell ref="G50:H50"/>
    <mergeCell ref="I50:K50"/>
    <mergeCell ref="P50:Q50"/>
    <mergeCell ref="A51:D51"/>
    <mergeCell ref="E51:F51"/>
    <mergeCell ref="G51:H51"/>
    <mergeCell ref="I51:K51"/>
    <mergeCell ref="P51:Q51"/>
    <mergeCell ref="A55:L55"/>
    <mergeCell ref="A57:L57"/>
    <mergeCell ref="D60:L60"/>
    <mergeCell ref="A52:D52"/>
    <mergeCell ref="E52:F52"/>
    <mergeCell ref="G52:H52"/>
    <mergeCell ref="I52:K52"/>
  </mergeCells>
  <phoneticPr fontId="3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L125"/>
  <sheetViews>
    <sheetView view="pageBreakPreview" zoomScale="88" zoomScaleSheetLayoutView="88" workbookViewId="0">
      <pane xSplit="6" ySplit="3" topLeftCell="G5" activePane="bottomRight" state="frozen"/>
      <selection pane="topRight" activeCell="G1" sqref="G1"/>
      <selection pane="bottomLeft" activeCell="A4" sqref="A4"/>
      <selection pane="bottomRight" activeCell="I23" sqref="I23"/>
    </sheetView>
  </sheetViews>
  <sheetFormatPr defaultColWidth="8.75" defaultRowHeight="12"/>
  <cols>
    <col min="1" max="1" width="2.75" style="12" customWidth="1"/>
    <col min="2" max="3" width="8.75" style="12" customWidth="1"/>
    <col min="4" max="4" width="6.875" style="12" customWidth="1"/>
    <col min="5" max="5" width="6.75" style="12" customWidth="1"/>
    <col min="6" max="6" width="5" style="12" customWidth="1"/>
    <col min="7" max="7" width="10.875" style="12" customWidth="1"/>
    <col min="8" max="8" width="11.75" style="12" customWidth="1"/>
    <col min="9" max="9" width="13.5" style="12" customWidth="1"/>
    <col min="10" max="10" width="11.875" style="12" customWidth="1"/>
    <col min="11" max="11" width="8.75" style="12" customWidth="1"/>
    <col min="12" max="12" width="17.375" style="12" customWidth="1"/>
    <col min="13" max="14" width="8.75" style="12" customWidth="1"/>
    <col min="15" max="15" width="5.625" style="12" customWidth="1"/>
    <col min="16" max="16" width="6.625" style="12" customWidth="1"/>
    <col min="17" max="17" width="11.375" style="12" customWidth="1"/>
    <col min="18" max="18" width="11.625" style="12" customWidth="1"/>
    <col min="19" max="16384" width="8.75" style="12"/>
  </cols>
  <sheetData>
    <row r="1" spans="1:12" ht="25.5" customHeight="1">
      <c r="A1" s="10" t="s">
        <v>6</v>
      </c>
      <c r="B1" s="11" t="s">
        <v>7</v>
      </c>
    </row>
    <row r="2" spans="1:12" ht="21.75" customHeight="1" thickBot="1">
      <c r="A2" s="13" t="s">
        <v>8</v>
      </c>
      <c r="B2" s="14"/>
      <c r="C2" s="14"/>
      <c r="D2" s="14"/>
      <c r="E2" s="14"/>
      <c r="F2" s="14"/>
      <c r="G2" s="14"/>
      <c r="H2" s="15"/>
      <c r="I2" s="16"/>
    </row>
    <row r="3" spans="1:12" ht="21" customHeight="1">
      <c r="A3" s="212" t="s">
        <v>9</v>
      </c>
      <c r="B3" s="213"/>
      <c r="C3" s="213"/>
      <c r="D3" s="213"/>
      <c r="E3" s="214"/>
      <c r="F3" s="214" t="s">
        <v>10</v>
      </c>
      <c r="G3" s="214" t="s">
        <v>11</v>
      </c>
      <c r="H3" s="214" t="s">
        <v>12</v>
      </c>
      <c r="I3" s="215" t="s">
        <v>13</v>
      </c>
      <c r="J3" s="41" t="s">
        <v>14</v>
      </c>
      <c r="L3" s="18"/>
    </row>
    <row r="4" spans="1:12" ht="21" customHeight="1">
      <c r="A4" s="19">
        <v>1</v>
      </c>
      <c r="B4" s="20" t="s">
        <v>15</v>
      </c>
      <c r="C4" s="21"/>
      <c r="D4" s="21"/>
      <c r="E4" s="22"/>
      <c r="F4" s="23" t="s">
        <v>16</v>
      </c>
      <c r="G4" s="24"/>
      <c r="H4" s="25" t="s">
        <v>17</v>
      </c>
      <c r="I4" s="26"/>
      <c r="J4" s="27"/>
    </row>
    <row r="5" spans="1:12" ht="21" customHeight="1">
      <c r="A5" s="19">
        <v>2</v>
      </c>
      <c r="B5" s="20" t="s">
        <v>243</v>
      </c>
      <c r="C5" s="21"/>
      <c r="D5" s="21"/>
      <c r="E5" s="22"/>
      <c r="F5" s="23" t="s">
        <v>229</v>
      </c>
      <c r="G5" s="24">
        <v>0</v>
      </c>
      <c r="H5" s="25">
        <v>0</v>
      </c>
      <c r="I5" s="26">
        <f t="shared" ref="I5:I6" si="0">G5*H5</f>
        <v>0</v>
      </c>
      <c r="J5" s="27"/>
    </row>
    <row r="6" spans="1:12" ht="21" customHeight="1">
      <c r="A6" s="19">
        <v>3</v>
      </c>
      <c r="B6" s="20" t="s">
        <v>230</v>
      </c>
      <c r="C6" s="21"/>
      <c r="D6" s="21"/>
      <c r="E6" s="22"/>
      <c r="F6" s="23"/>
      <c r="G6" s="24"/>
      <c r="H6" s="25"/>
      <c r="I6" s="26">
        <f t="shared" si="0"/>
        <v>0</v>
      </c>
      <c r="J6" s="27"/>
    </row>
    <row r="7" spans="1:12" ht="21" customHeight="1" thickBot="1">
      <c r="A7" s="28" t="s">
        <v>5</v>
      </c>
      <c r="B7" s="29"/>
      <c r="C7" s="29"/>
      <c r="D7" s="29"/>
      <c r="E7" s="30"/>
      <c r="F7" s="31"/>
      <c r="G7" s="32"/>
      <c r="H7" s="32"/>
      <c r="I7" s="66">
        <f>I5+I6</f>
        <v>0</v>
      </c>
      <c r="J7" s="33"/>
    </row>
    <row r="8" spans="1:12" ht="9" customHeight="1">
      <c r="A8" s="34"/>
      <c r="B8" s="34"/>
      <c r="C8" s="34"/>
      <c r="D8" s="34"/>
      <c r="E8" s="34"/>
      <c r="F8" s="35"/>
      <c r="G8" s="14"/>
      <c r="H8" s="14"/>
      <c r="I8" s="36"/>
    </row>
    <row r="9" spans="1:12" ht="30.6" customHeight="1" thickBot="1">
      <c r="A9" s="13" t="s">
        <v>18</v>
      </c>
      <c r="B9" s="14"/>
      <c r="C9" s="14"/>
      <c r="D9" s="14"/>
      <c r="E9" s="14"/>
      <c r="F9" s="14"/>
      <c r="G9" s="14"/>
      <c r="H9" s="14"/>
      <c r="I9" s="14"/>
    </row>
    <row r="10" spans="1:12" ht="23.25" customHeight="1">
      <c r="A10" s="37" t="s">
        <v>19</v>
      </c>
      <c r="B10" s="38"/>
      <c r="C10" s="38"/>
      <c r="D10" s="38"/>
      <c r="E10" s="39"/>
      <c r="F10" s="39" t="s">
        <v>10</v>
      </c>
      <c r="G10" s="39" t="s">
        <v>11</v>
      </c>
      <c r="H10" s="39" t="s">
        <v>12</v>
      </c>
      <c r="I10" s="40" t="s">
        <v>13</v>
      </c>
      <c r="J10" s="41" t="s">
        <v>14</v>
      </c>
      <c r="K10" s="42"/>
    </row>
    <row r="11" spans="1:12" ht="23.25" customHeight="1">
      <c r="A11" s="43" t="s">
        <v>20</v>
      </c>
      <c r="B11" s="44"/>
      <c r="C11" s="44"/>
      <c r="D11" s="44"/>
      <c r="E11" s="45"/>
      <c r="F11" s="45"/>
      <c r="G11" s="45"/>
      <c r="H11" s="46"/>
      <c r="I11" s="47">
        <f>I15</f>
        <v>0</v>
      </c>
      <c r="J11" s="48"/>
      <c r="K11" s="49"/>
    </row>
    <row r="12" spans="1:12" ht="23.25" customHeight="1">
      <c r="A12" s="50">
        <v>1</v>
      </c>
      <c r="B12" s="21" t="s">
        <v>119</v>
      </c>
      <c r="C12" s="21"/>
      <c r="D12" s="21"/>
      <c r="E12" s="22"/>
      <c r="F12" s="51" t="s">
        <v>118</v>
      </c>
      <c r="G12" s="209"/>
      <c r="H12" s="209"/>
      <c r="I12" s="210">
        <f t="shared" ref="I12:I24" si="1">G12*H12</f>
        <v>0</v>
      </c>
      <c r="J12" s="48"/>
      <c r="K12" s="52"/>
    </row>
    <row r="13" spans="1:12" ht="23.25" customHeight="1">
      <c r="A13" s="50">
        <v>2</v>
      </c>
      <c r="B13" s="21" t="s">
        <v>139</v>
      </c>
      <c r="C13" s="21"/>
      <c r="D13" s="21"/>
      <c r="E13" s="22"/>
      <c r="F13" s="51" t="s">
        <v>21</v>
      </c>
      <c r="G13" s="209"/>
      <c r="H13" s="209"/>
      <c r="I13" s="210">
        <f t="shared" si="1"/>
        <v>0</v>
      </c>
      <c r="J13" s="48"/>
      <c r="K13" s="49"/>
    </row>
    <row r="14" spans="1:12" ht="23.25" customHeight="1">
      <c r="A14" s="50">
        <v>3</v>
      </c>
      <c r="B14" s="21" t="s">
        <v>226</v>
      </c>
      <c r="C14" s="21"/>
      <c r="D14" s="21"/>
      <c r="E14" s="22"/>
      <c r="F14" s="51" t="s">
        <v>22</v>
      </c>
      <c r="G14" s="209"/>
      <c r="H14" s="209"/>
      <c r="I14" s="210">
        <f t="shared" si="1"/>
        <v>0</v>
      </c>
      <c r="J14" s="48"/>
      <c r="K14" s="49"/>
    </row>
    <row r="15" spans="1:12" ht="23.25" customHeight="1">
      <c r="A15" s="50">
        <v>4</v>
      </c>
      <c r="B15" s="21" t="s">
        <v>244</v>
      </c>
      <c r="C15" s="21"/>
      <c r="D15" s="21"/>
      <c r="E15" s="22"/>
      <c r="F15" s="51" t="s">
        <v>127</v>
      </c>
      <c r="G15" s="209">
        <v>0</v>
      </c>
      <c r="H15" s="209">
        <v>0</v>
      </c>
      <c r="I15" s="210">
        <f t="shared" si="1"/>
        <v>0</v>
      </c>
      <c r="J15" s="48"/>
      <c r="K15" s="49"/>
    </row>
    <row r="16" spans="1:12" ht="23.25" customHeight="1">
      <c r="A16" s="50">
        <v>5</v>
      </c>
      <c r="B16" s="21" t="s">
        <v>23</v>
      </c>
      <c r="C16" s="21"/>
      <c r="D16" s="21"/>
      <c r="E16" s="22"/>
      <c r="F16" s="51" t="s">
        <v>22</v>
      </c>
      <c r="G16" s="209"/>
      <c r="H16" s="209"/>
      <c r="I16" s="210">
        <f t="shared" si="1"/>
        <v>0</v>
      </c>
      <c r="J16" s="48"/>
    </row>
    <row r="17" spans="1:10" ht="23.25" customHeight="1">
      <c r="A17" s="53" t="s">
        <v>24</v>
      </c>
      <c r="B17" s="44"/>
      <c r="C17" s="44"/>
      <c r="D17" s="44"/>
      <c r="E17" s="45"/>
      <c r="F17" s="51"/>
      <c r="G17" s="209"/>
      <c r="H17" s="209"/>
      <c r="I17" s="210">
        <f t="shared" si="1"/>
        <v>0</v>
      </c>
      <c r="J17" s="48"/>
    </row>
    <row r="18" spans="1:10" ht="23.25" customHeight="1">
      <c r="A18" s="50">
        <v>1</v>
      </c>
      <c r="B18" s="21" t="s">
        <v>25</v>
      </c>
      <c r="C18" s="21"/>
      <c r="D18" s="21"/>
      <c r="E18" s="22"/>
      <c r="F18" s="51" t="s">
        <v>26</v>
      </c>
      <c r="G18" s="209"/>
      <c r="H18" s="209"/>
      <c r="I18" s="210">
        <f t="shared" si="1"/>
        <v>0</v>
      </c>
      <c r="J18" s="48"/>
    </row>
    <row r="19" spans="1:10" ht="23.25" customHeight="1">
      <c r="A19" s="50">
        <v>2</v>
      </c>
      <c r="B19" s="21" t="s">
        <v>27</v>
      </c>
      <c r="C19" s="21"/>
      <c r="D19" s="21"/>
      <c r="E19" s="22"/>
      <c r="F19" s="51" t="s">
        <v>21</v>
      </c>
      <c r="G19" s="209"/>
      <c r="H19" s="209"/>
      <c r="I19" s="210">
        <f t="shared" si="1"/>
        <v>0</v>
      </c>
      <c r="J19" s="48"/>
    </row>
    <row r="20" spans="1:10" ht="23.25" customHeight="1">
      <c r="A20" s="53" t="s">
        <v>28</v>
      </c>
      <c r="B20" s="44"/>
      <c r="C20" s="44"/>
      <c r="D20" s="44"/>
      <c r="E20" s="45"/>
      <c r="F20" s="51"/>
      <c r="G20" s="25"/>
      <c r="H20" s="25"/>
      <c r="I20" s="26"/>
      <c r="J20" s="48"/>
    </row>
    <row r="21" spans="1:10" ht="23.25" customHeight="1">
      <c r="A21" s="50">
        <v>1</v>
      </c>
      <c r="B21" s="21" t="s">
        <v>233</v>
      </c>
      <c r="C21" s="21"/>
      <c r="D21" s="21"/>
      <c r="E21" s="22"/>
      <c r="F21" s="51" t="s">
        <v>22</v>
      </c>
      <c r="G21" s="25">
        <v>0</v>
      </c>
      <c r="H21" s="25">
        <v>0</v>
      </c>
      <c r="I21" s="26">
        <f t="shared" si="1"/>
        <v>0</v>
      </c>
      <c r="J21" s="48"/>
    </row>
    <row r="22" spans="1:10" ht="23.25" customHeight="1">
      <c r="A22" s="50">
        <v>2</v>
      </c>
      <c r="B22" s="21" t="s">
        <v>231</v>
      </c>
      <c r="C22" s="21"/>
      <c r="D22" s="21"/>
      <c r="E22" s="22"/>
      <c r="F22" s="51" t="s">
        <v>22</v>
      </c>
      <c r="G22" s="25"/>
      <c r="H22" s="25"/>
      <c r="I22" s="26">
        <f t="shared" si="1"/>
        <v>0</v>
      </c>
      <c r="J22" s="48"/>
    </row>
    <row r="23" spans="1:10" ht="23.25" customHeight="1">
      <c r="A23" s="50">
        <v>3</v>
      </c>
      <c r="B23" s="21" t="s">
        <v>29</v>
      </c>
      <c r="C23" s="21"/>
      <c r="D23" s="21"/>
      <c r="E23" s="22"/>
      <c r="F23" s="51" t="s">
        <v>22</v>
      </c>
      <c r="G23" s="25"/>
      <c r="H23" s="25"/>
      <c r="I23" s="26">
        <f t="shared" si="1"/>
        <v>0</v>
      </c>
      <c r="J23" s="48"/>
    </row>
    <row r="24" spans="1:10" ht="23.25" customHeight="1">
      <c r="A24" s="50">
        <v>4</v>
      </c>
      <c r="B24" s="21" t="s">
        <v>221</v>
      </c>
      <c r="C24" s="21"/>
      <c r="D24" s="21"/>
      <c r="E24" s="22"/>
      <c r="F24" s="55" t="s">
        <v>22</v>
      </c>
      <c r="G24" s="25"/>
      <c r="H24" s="25"/>
      <c r="I24" s="26">
        <f t="shared" si="1"/>
        <v>0</v>
      </c>
      <c r="J24" s="48"/>
    </row>
    <row r="25" spans="1:10" ht="23.25" customHeight="1">
      <c r="A25" s="50">
        <v>5</v>
      </c>
      <c r="B25" s="21" t="s">
        <v>220</v>
      </c>
      <c r="C25" s="21"/>
      <c r="D25" s="21"/>
      <c r="E25" s="22"/>
      <c r="F25" s="55" t="s">
        <v>22</v>
      </c>
      <c r="G25" s="25"/>
      <c r="H25" s="25"/>
      <c r="I25" s="26">
        <f t="shared" ref="I25" si="2">G25*H25</f>
        <v>0</v>
      </c>
      <c r="J25" s="48"/>
    </row>
    <row r="26" spans="1:10" ht="23.25" customHeight="1">
      <c r="A26" s="50">
        <v>6</v>
      </c>
      <c r="B26" s="54" t="s">
        <v>284</v>
      </c>
      <c r="C26" s="44"/>
      <c r="D26" s="44"/>
      <c r="E26" s="45"/>
      <c r="F26" s="55" t="s">
        <v>22</v>
      </c>
      <c r="G26" s="56"/>
      <c r="H26" s="56"/>
      <c r="I26" s="26"/>
      <c r="J26" s="48"/>
    </row>
    <row r="27" spans="1:10" ht="23.25" customHeight="1">
      <c r="A27" s="50">
        <v>7</v>
      </c>
      <c r="B27" s="21" t="s">
        <v>225</v>
      </c>
      <c r="C27" s="21"/>
      <c r="D27" s="21"/>
      <c r="E27" s="22"/>
      <c r="F27" s="51" t="s">
        <v>30</v>
      </c>
      <c r="G27" s="25"/>
      <c r="H27" s="25"/>
      <c r="I27" s="26">
        <f t="shared" ref="I27:I35" si="3">G27*H27</f>
        <v>0</v>
      </c>
      <c r="J27" s="48"/>
    </row>
    <row r="28" spans="1:10" ht="23.25" customHeight="1">
      <c r="A28" s="50">
        <v>8</v>
      </c>
      <c r="B28" s="21" t="s">
        <v>31</v>
      </c>
      <c r="C28" s="21"/>
      <c r="D28" s="21"/>
      <c r="E28" s="22"/>
      <c r="F28" s="51" t="s">
        <v>32</v>
      </c>
      <c r="G28" s="25"/>
      <c r="H28" s="25"/>
      <c r="I28" s="26">
        <f t="shared" si="3"/>
        <v>0</v>
      </c>
      <c r="J28" s="48"/>
    </row>
    <row r="29" spans="1:10" ht="23.25" customHeight="1">
      <c r="A29" s="50">
        <v>9</v>
      </c>
      <c r="B29" s="21" t="s">
        <v>286</v>
      </c>
      <c r="C29" s="21"/>
      <c r="D29" s="21"/>
      <c r="E29" s="22"/>
      <c r="F29" s="51" t="s">
        <v>55</v>
      </c>
      <c r="G29" s="25">
        <v>1</v>
      </c>
      <c r="H29" s="25">
        <f>'세부사용(25년07월) '!J17</f>
        <v>0</v>
      </c>
      <c r="I29" s="26">
        <f t="shared" si="3"/>
        <v>0</v>
      </c>
      <c r="J29" s="48"/>
    </row>
    <row r="30" spans="1:10" ht="23.25" hidden="1" customHeight="1">
      <c r="A30" s="50">
        <v>10</v>
      </c>
      <c r="B30" s="21" t="s">
        <v>135</v>
      </c>
      <c r="C30" s="21"/>
      <c r="D30" s="21"/>
      <c r="E30" s="22"/>
      <c r="F30" s="51" t="s">
        <v>133</v>
      </c>
      <c r="G30" s="25"/>
      <c r="H30" s="25"/>
      <c r="I30" s="26">
        <f t="shared" si="3"/>
        <v>0</v>
      </c>
      <c r="J30" s="48"/>
    </row>
    <row r="31" spans="1:10" ht="23.25" hidden="1" customHeight="1">
      <c r="A31" s="50">
        <v>11</v>
      </c>
      <c r="B31" s="21" t="s">
        <v>126</v>
      </c>
      <c r="C31" s="21"/>
      <c r="D31" s="21"/>
      <c r="E31" s="22"/>
      <c r="F31" s="51" t="s">
        <v>33</v>
      </c>
      <c r="G31" s="25"/>
      <c r="H31" s="25"/>
      <c r="I31" s="26">
        <f t="shared" si="3"/>
        <v>0</v>
      </c>
      <c r="J31" s="48"/>
    </row>
    <row r="32" spans="1:10" ht="23.25" customHeight="1">
      <c r="A32" s="53" t="s">
        <v>34</v>
      </c>
      <c r="B32" s="44"/>
      <c r="C32" s="44"/>
      <c r="D32" s="44"/>
      <c r="E32" s="45"/>
      <c r="F32" s="57"/>
      <c r="G32" s="58"/>
      <c r="H32" s="58"/>
      <c r="I32" s="26">
        <f>I33+I34</f>
        <v>0</v>
      </c>
      <c r="J32" s="48"/>
    </row>
    <row r="33" spans="1:12" ht="23.25" customHeight="1">
      <c r="A33" s="50">
        <v>1</v>
      </c>
      <c r="B33" s="54" t="s">
        <v>222</v>
      </c>
      <c r="C33" s="44"/>
      <c r="D33" s="44"/>
      <c r="E33" s="45"/>
      <c r="F33" s="57" t="s">
        <v>35</v>
      </c>
      <c r="G33" s="26">
        <v>0</v>
      </c>
      <c r="H33" s="26">
        <v>0</v>
      </c>
      <c r="I33" s="26">
        <f t="shared" si="3"/>
        <v>0</v>
      </c>
      <c r="J33" s="48"/>
    </row>
    <row r="34" spans="1:12" ht="23.25" customHeight="1">
      <c r="A34" s="50">
        <v>2</v>
      </c>
      <c r="B34" s="54" t="s">
        <v>223</v>
      </c>
      <c r="C34" s="44"/>
      <c r="D34" s="44"/>
      <c r="E34" s="45"/>
      <c r="F34" s="57" t="s">
        <v>33</v>
      </c>
      <c r="G34" s="25">
        <v>0</v>
      </c>
      <c r="H34" s="25">
        <v>0</v>
      </c>
      <c r="I34" s="26">
        <f t="shared" si="3"/>
        <v>0</v>
      </c>
      <c r="J34" s="48"/>
    </row>
    <row r="35" spans="1:12" ht="23.25" customHeight="1">
      <c r="A35" s="50">
        <v>3</v>
      </c>
      <c r="B35" s="54" t="s">
        <v>224</v>
      </c>
      <c r="C35" s="44"/>
      <c r="D35" s="44"/>
      <c r="E35" s="45"/>
      <c r="F35" s="57" t="s">
        <v>33</v>
      </c>
      <c r="G35" s="26"/>
      <c r="H35" s="26"/>
      <c r="I35" s="26">
        <f t="shared" si="3"/>
        <v>0</v>
      </c>
      <c r="J35" s="48"/>
      <c r="K35" s="59"/>
    </row>
    <row r="36" spans="1:12" ht="23.25" customHeight="1" thickBot="1">
      <c r="A36" s="60"/>
      <c r="B36" s="61" t="s">
        <v>5</v>
      </c>
      <c r="C36" s="62"/>
      <c r="D36" s="29"/>
      <c r="E36" s="63"/>
      <c r="F36" s="64"/>
      <c r="G36" s="65"/>
      <c r="H36" s="65"/>
      <c r="I36" s="66">
        <f>I11+I17+I20+I32</f>
        <v>0</v>
      </c>
      <c r="J36" s="33"/>
      <c r="K36" s="59"/>
      <c r="L36" s="18"/>
    </row>
    <row r="37" spans="1:12" ht="18" customHeight="1">
      <c r="A37" s="14"/>
      <c r="B37" s="34"/>
      <c r="C37" s="34"/>
      <c r="D37" s="14"/>
      <c r="E37" s="34"/>
      <c r="F37" s="34"/>
      <c r="G37" s="67"/>
      <c r="H37" s="67"/>
      <c r="I37" s="36"/>
      <c r="K37" s="59"/>
    </row>
    <row r="38" spans="1:12" ht="27.6" customHeight="1" thickBot="1">
      <c r="A38" s="13" t="s">
        <v>36</v>
      </c>
      <c r="B38" s="14"/>
      <c r="C38" s="14"/>
      <c r="D38" s="34"/>
      <c r="E38" s="14"/>
      <c r="F38" s="14"/>
      <c r="G38" s="16"/>
      <c r="H38" s="14"/>
      <c r="I38" s="14"/>
      <c r="J38" s="59"/>
      <c r="K38" s="59"/>
    </row>
    <row r="39" spans="1:12" ht="21" customHeight="1">
      <c r="A39" s="68" t="s">
        <v>37</v>
      </c>
      <c r="B39" s="69"/>
      <c r="C39" s="69"/>
      <c r="D39" s="69"/>
      <c r="E39" s="70"/>
      <c r="F39" s="71" t="s">
        <v>10</v>
      </c>
      <c r="G39" s="40" t="s">
        <v>38</v>
      </c>
      <c r="H39" s="40" t="s">
        <v>39</v>
      </c>
      <c r="I39" s="40" t="s">
        <v>40</v>
      </c>
      <c r="J39" s="41" t="s">
        <v>14</v>
      </c>
    </row>
    <row r="40" spans="1:12" ht="21" customHeight="1">
      <c r="A40" s="53"/>
      <c r="B40" s="44" t="s">
        <v>41</v>
      </c>
      <c r="C40" s="44"/>
      <c r="D40" s="44"/>
      <c r="E40" s="44"/>
      <c r="F40" s="58"/>
      <c r="G40" s="26"/>
      <c r="H40" s="26"/>
      <c r="I40" s="58"/>
      <c r="J40" s="48"/>
    </row>
    <row r="41" spans="1:12" ht="21" customHeight="1">
      <c r="A41" s="72">
        <v>1</v>
      </c>
      <c r="B41" s="44" t="s">
        <v>42</v>
      </c>
      <c r="C41" s="44"/>
      <c r="D41" s="44"/>
      <c r="E41" s="44"/>
      <c r="F41" s="57" t="s">
        <v>22</v>
      </c>
      <c r="G41" s="26"/>
      <c r="H41" s="26"/>
      <c r="I41" s="73">
        <f t="shared" ref="I41:I45" si="4">G41*H41</f>
        <v>0</v>
      </c>
      <c r="J41" s="48"/>
    </row>
    <row r="42" spans="1:12" ht="21" customHeight="1">
      <c r="A42" s="72">
        <v>2</v>
      </c>
      <c r="B42" s="44" t="s">
        <v>43</v>
      </c>
      <c r="C42" s="44"/>
      <c r="D42" s="44"/>
      <c r="E42" s="44"/>
      <c r="F42" s="57" t="s">
        <v>22</v>
      </c>
      <c r="G42" s="26"/>
      <c r="H42" s="26"/>
      <c r="I42" s="73">
        <f t="shared" si="4"/>
        <v>0</v>
      </c>
      <c r="J42" s="48"/>
    </row>
    <row r="43" spans="1:12" ht="21" customHeight="1">
      <c r="A43" s="72">
        <v>3</v>
      </c>
      <c r="B43" s="44" t="s">
        <v>138</v>
      </c>
      <c r="C43" s="44"/>
      <c r="D43" s="44"/>
      <c r="E43" s="44"/>
      <c r="F43" s="57" t="s">
        <v>22</v>
      </c>
      <c r="G43" s="26"/>
      <c r="H43" s="26"/>
      <c r="I43" s="73">
        <f t="shared" si="4"/>
        <v>0</v>
      </c>
      <c r="J43" s="48"/>
    </row>
    <row r="44" spans="1:12" ht="21" customHeight="1">
      <c r="A44" s="72">
        <v>4</v>
      </c>
      <c r="B44" s="44" t="s">
        <v>44</v>
      </c>
      <c r="C44" s="44"/>
      <c r="D44" s="44"/>
      <c r="E44" s="44"/>
      <c r="F44" s="57" t="s">
        <v>128</v>
      </c>
      <c r="G44" s="26"/>
      <c r="H44" s="26"/>
      <c r="I44" s="73">
        <f t="shared" si="4"/>
        <v>0</v>
      </c>
      <c r="J44" s="48"/>
    </row>
    <row r="45" spans="1:12" ht="21" customHeight="1">
      <c r="A45" s="72">
        <v>5</v>
      </c>
      <c r="B45" s="44" t="s">
        <v>136</v>
      </c>
      <c r="C45" s="44"/>
      <c r="D45" s="44"/>
      <c r="E45" s="44"/>
      <c r="F45" s="57" t="s">
        <v>137</v>
      </c>
      <c r="G45" s="26"/>
      <c r="H45" s="26"/>
      <c r="I45" s="73">
        <f t="shared" si="4"/>
        <v>0</v>
      </c>
      <c r="J45" s="48"/>
    </row>
    <row r="46" spans="1:12" ht="21" customHeight="1">
      <c r="A46" s="72">
        <v>6</v>
      </c>
      <c r="B46" s="44" t="s">
        <v>45</v>
      </c>
      <c r="C46" s="44"/>
      <c r="D46" s="44"/>
      <c r="E46" s="44"/>
      <c r="F46" s="57" t="s">
        <v>22</v>
      </c>
      <c r="G46" s="26"/>
      <c r="H46" s="26"/>
      <c r="I46" s="73">
        <f>G46*H46</f>
        <v>0</v>
      </c>
      <c r="J46" s="48"/>
    </row>
    <row r="47" spans="1:12" ht="21" customHeight="1">
      <c r="A47" s="72"/>
      <c r="B47" s="44"/>
      <c r="C47" s="44"/>
      <c r="D47" s="44"/>
      <c r="E47" s="44"/>
      <c r="F47" s="57"/>
      <c r="G47" s="26"/>
      <c r="H47" s="26"/>
      <c r="I47" s="73"/>
      <c r="J47" s="48"/>
    </row>
    <row r="48" spans="1:12" ht="21" customHeight="1">
      <c r="A48" s="53" t="s">
        <v>46</v>
      </c>
      <c r="B48" s="14"/>
      <c r="C48" s="44"/>
      <c r="D48" s="44"/>
      <c r="E48" s="44"/>
      <c r="F48" s="57"/>
      <c r="G48" s="58"/>
      <c r="H48" s="58"/>
      <c r="I48" s="74"/>
      <c r="J48" s="48"/>
    </row>
    <row r="49" spans="1:12" ht="21" customHeight="1">
      <c r="A49" s="72">
        <v>1</v>
      </c>
      <c r="B49" s="44" t="s">
        <v>130</v>
      </c>
      <c r="C49" s="44"/>
      <c r="D49" s="44"/>
      <c r="E49" s="44"/>
      <c r="F49" s="57" t="s">
        <v>133</v>
      </c>
      <c r="G49" s="26"/>
      <c r="H49" s="26"/>
      <c r="I49" s="73">
        <f>G49*H49</f>
        <v>0</v>
      </c>
      <c r="J49" s="48"/>
    </row>
    <row r="50" spans="1:12" ht="21" customHeight="1">
      <c r="A50" s="72">
        <v>2</v>
      </c>
      <c r="B50" s="44" t="s">
        <v>131</v>
      </c>
      <c r="C50" s="44"/>
      <c r="D50" s="44"/>
      <c r="E50" s="44"/>
      <c r="F50" s="57" t="s">
        <v>134</v>
      </c>
      <c r="G50" s="26"/>
      <c r="H50" s="26"/>
      <c r="I50" s="73">
        <f t="shared" ref="I50:I51" si="5">G50*H50</f>
        <v>0</v>
      </c>
      <c r="J50" s="48"/>
    </row>
    <row r="51" spans="1:12" ht="21" customHeight="1">
      <c r="A51" s="72">
        <v>3</v>
      </c>
      <c r="B51" s="44" t="s">
        <v>132</v>
      </c>
      <c r="C51" s="44"/>
      <c r="D51" s="44"/>
      <c r="E51" s="44"/>
      <c r="F51" s="57" t="s">
        <v>133</v>
      </c>
      <c r="G51" s="26"/>
      <c r="H51" s="26"/>
      <c r="I51" s="73">
        <f t="shared" si="5"/>
        <v>0</v>
      </c>
      <c r="J51" s="48"/>
    </row>
    <row r="52" spans="1:12" ht="21" customHeight="1">
      <c r="A52" s="72"/>
      <c r="B52" s="44"/>
      <c r="C52" s="44"/>
      <c r="D52" s="44"/>
      <c r="E52" s="44"/>
      <c r="F52" s="57"/>
      <c r="G52" s="26"/>
      <c r="H52" s="26"/>
      <c r="I52" s="73"/>
      <c r="J52" s="48"/>
    </row>
    <row r="53" spans="1:12" ht="21" customHeight="1" thickBot="1">
      <c r="A53" s="75"/>
      <c r="B53" s="76" t="s">
        <v>47</v>
      </c>
      <c r="C53" s="77"/>
      <c r="D53" s="78"/>
      <c r="E53" s="77"/>
      <c r="F53" s="79"/>
      <c r="G53" s="64"/>
      <c r="H53" s="64"/>
      <c r="I53" s="80">
        <f>SUM(I41:I52)</f>
        <v>0</v>
      </c>
      <c r="J53" s="33"/>
      <c r="L53" s="140"/>
    </row>
    <row r="54" spans="1:12" ht="15" customHeight="1">
      <c r="A54" s="14"/>
      <c r="B54" s="14"/>
      <c r="C54" s="14"/>
      <c r="D54" s="14"/>
      <c r="E54" s="14"/>
      <c r="F54" s="34"/>
      <c r="G54" s="14"/>
      <c r="H54" s="14"/>
      <c r="I54" s="81"/>
    </row>
    <row r="55" spans="1:12" ht="29.45" customHeight="1">
      <c r="A55" s="13" t="s">
        <v>48</v>
      </c>
      <c r="B55" s="14"/>
      <c r="C55" s="14"/>
      <c r="D55" s="82"/>
      <c r="E55" s="14"/>
      <c r="F55" s="14"/>
      <c r="G55" s="16" t="s">
        <v>49</v>
      </c>
      <c r="H55" s="14" t="s">
        <v>50</v>
      </c>
      <c r="I55" s="67"/>
    </row>
    <row r="56" spans="1:12" ht="21" hidden="1" customHeight="1">
      <c r="A56" s="83"/>
      <c r="B56" s="84"/>
      <c r="C56" s="85" t="s">
        <v>51</v>
      </c>
      <c r="D56" s="86"/>
      <c r="E56" s="87"/>
      <c r="F56" s="88" t="s">
        <v>10</v>
      </c>
      <c r="G56" s="88" t="s">
        <v>11</v>
      </c>
      <c r="H56" s="88" t="s">
        <v>52</v>
      </c>
      <c r="I56" s="88" t="s">
        <v>53</v>
      </c>
      <c r="J56" s="17" t="s">
        <v>14</v>
      </c>
    </row>
    <row r="57" spans="1:12" ht="21" hidden="1" customHeight="1">
      <c r="A57" s="89">
        <v>1</v>
      </c>
      <c r="B57" s="90" t="s">
        <v>54</v>
      </c>
      <c r="C57" s="44"/>
      <c r="D57" s="44"/>
      <c r="E57" s="91"/>
      <c r="F57" s="92" t="s">
        <v>55</v>
      </c>
      <c r="G57" s="57"/>
      <c r="H57" s="26"/>
      <c r="I57" s="73">
        <f>H57*G57</f>
        <v>0</v>
      </c>
      <c r="J57" s="48"/>
    </row>
    <row r="58" spans="1:12" ht="21" hidden="1" customHeight="1">
      <c r="A58" s="89">
        <v>1</v>
      </c>
      <c r="B58" s="44" t="s">
        <v>56</v>
      </c>
      <c r="C58" s="90"/>
      <c r="D58" s="21"/>
      <c r="E58" s="45"/>
      <c r="F58" s="92" t="s">
        <v>57</v>
      </c>
      <c r="G58" s="92"/>
      <c r="H58" s="73"/>
      <c r="I58" s="73">
        <f>H58*G58</f>
        <v>0</v>
      </c>
      <c r="J58" s="48"/>
    </row>
    <row r="59" spans="1:12" ht="21" hidden="1" customHeight="1">
      <c r="A59" s="50">
        <v>2</v>
      </c>
      <c r="B59" s="21" t="s">
        <v>58</v>
      </c>
      <c r="C59" s="44"/>
      <c r="D59" s="93"/>
      <c r="E59" s="22"/>
      <c r="F59" s="92" t="s">
        <v>59</v>
      </c>
      <c r="G59" s="73"/>
      <c r="H59" s="73"/>
      <c r="I59" s="73">
        <f>H59*G59</f>
        <v>0</v>
      </c>
      <c r="J59" s="48"/>
    </row>
    <row r="60" spans="1:12" ht="21" hidden="1" customHeight="1">
      <c r="A60" s="94" t="s">
        <v>60</v>
      </c>
      <c r="B60" s="93"/>
      <c r="C60" s="95"/>
      <c r="D60" s="90"/>
      <c r="E60" s="93"/>
      <c r="F60" s="96"/>
      <c r="G60" s="96"/>
      <c r="H60" s="73"/>
      <c r="I60" s="73"/>
      <c r="J60" s="48"/>
    </row>
    <row r="61" spans="1:12" ht="21" hidden="1" customHeight="1">
      <c r="A61" s="89">
        <v>1</v>
      </c>
      <c r="B61" s="90" t="s">
        <v>61</v>
      </c>
      <c r="C61" s="44"/>
      <c r="D61" s="44"/>
      <c r="E61" s="91"/>
      <c r="F61" s="92" t="s">
        <v>59</v>
      </c>
      <c r="G61" s="92"/>
      <c r="H61" s="73"/>
      <c r="I61" s="73">
        <f>G61*H61</f>
        <v>0</v>
      </c>
      <c r="J61" s="48"/>
    </row>
    <row r="62" spans="1:12" ht="21" hidden="1" customHeight="1">
      <c r="A62" s="50">
        <v>2</v>
      </c>
      <c r="B62" s="44" t="s">
        <v>62</v>
      </c>
      <c r="C62" s="14"/>
      <c r="D62" s="21"/>
      <c r="E62" s="45"/>
      <c r="F62" s="92" t="s">
        <v>59</v>
      </c>
      <c r="G62" s="92"/>
      <c r="H62" s="73"/>
      <c r="I62" s="73">
        <f>G62*H62</f>
        <v>0</v>
      </c>
      <c r="J62" s="48"/>
    </row>
    <row r="63" spans="1:12" ht="21" hidden="1" customHeight="1">
      <c r="A63" s="97">
        <v>3</v>
      </c>
      <c r="B63" s="21" t="s">
        <v>63</v>
      </c>
      <c r="C63" s="44"/>
      <c r="D63" s="93"/>
      <c r="E63" s="22"/>
      <c r="F63" s="92" t="s">
        <v>59</v>
      </c>
      <c r="G63" s="73"/>
      <c r="H63" s="73"/>
      <c r="I63" s="73">
        <f>G63*H63</f>
        <v>0</v>
      </c>
      <c r="J63" s="48"/>
    </row>
    <row r="64" spans="1:12" ht="21" hidden="1" customHeight="1">
      <c r="A64" s="53" t="s">
        <v>64</v>
      </c>
      <c r="B64" s="93"/>
      <c r="C64" s="93"/>
      <c r="D64" s="14"/>
      <c r="E64" s="44"/>
      <c r="F64" s="92"/>
      <c r="G64" s="92"/>
      <c r="H64" s="73"/>
      <c r="I64" s="73"/>
      <c r="J64" s="48"/>
    </row>
    <row r="65" spans="1:12" ht="21" hidden="1" customHeight="1">
      <c r="A65" s="50">
        <v>1</v>
      </c>
      <c r="B65" s="14" t="s">
        <v>61</v>
      </c>
      <c r="C65" s="14"/>
      <c r="D65" s="44"/>
      <c r="E65" s="14"/>
      <c r="F65" s="92" t="s">
        <v>59</v>
      </c>
      <c r="G65" s="92"/>
      <c r="H65" s="73"/>
      <c r="I65" s="73">
        <f>G65*H65</f>
        <v>0</v>
      </c>
      <c r="J65" s="48"/>
    </row>
    <row r="66" spans="1:12" ht="21" hidden="1" customHeight="1">
      <c r="A66" s="50">
        <v>2</v>
      </c>
      <c r="B66" s="54" t="s">
        <v>62</v>
      </c>
      <c r="C66" s="44"/>
      <c r="D66" s="44"/>
      <c r="E66" s="45"/>
      <c r="F66" s="92" t="s">
        <v>65</v>
      </c>
      <c r="G66" s="92"/>
      <c r="H66" s="73"/>
      <c r="I66" s="73">
        <f>G66*H66</f>
        <v>0</v>
      </c>
      <c r="J66" s="48"/>
    </row>
    <row r="67" spans="1:12" ht="21" hidden="1" customHeight="1">
      <c r="A67" s="50">
        <v>3</v>
      </c>
      <c r="B67" s="54" t="s">
        <v>63</v>
      </c>
      <c r="C67" s="21"/>
      <c r="D67" s="14"/>
      <c r="E67" s="45"/>
      <c r="F67" s="92" t="s">
        <v>59</v>
      </c>
      <c r="G67" s="92"/>
      <c r="H67" s="73"/>
      <c r="I67" s="73">
        <f>+H67*G67</f>
        <v>0</v>
      </c>
      <c r="J67" s="48"/>
    </row>
    <row r="68" spans="1:12" ht="21" hidden="1" customHeight="1">
      <c r="A68" s="50">
        <v>4</v>
      </c>
      <c r="B68" s="21" t="s">
        <v>66</v>
      </c>
      <c r="C68" s="44"/>
      <c r="D68" s="44"/>
      <c r="E68" s="14"/>
      <c r="F68" s="92" t="s">
        <v>59</v>
      </c>
      <c r="G68" s="73"/>
      <c r="H68" s="98"/>
      <c r="I68" s="73">
        <f>G68*G63</f>
        <v>0</v>
      </c>
      <c r="J68" s="48"/>
    </row>
    <row r="69" spans="1:12" ht="21" hidden="1" customHeight="1">
      <c r="A69" s="89">
        <v>5</v>
      </c>
      <c r="B69" s="99" t="s">
        <v>67</v>
      </c>
      <c r="C69" s="90"/>
      <c r="D69" s="90"/>
      <c r="E69" s="91"/>
      <c r="F69" s="92" t="s">
        <v>59</v>
      </c>
      <c r="G69" s="73"/>
      <c r="H69" s="73"/>
      <c r="I69" s="73">
        <f>+H69*G69</f>
        <v>0</v>
      </c>
      <c r="J69" s="48"/>
    </row>
    <row r="70" spans="1:12" ht="21" hidden="1" customHeight="1" thickBot="1">
      <c r="A70" s="100" t="s">
        <v>68</v>
      </c>
      <c r="B70" s="101"/>
      <c r="C70" s="101" t="s">
        <v>5</v>
      </c>
      <c r="D70" s="77"/>
      <c r="E70" s="102"/>
      <c r="F70" s="103"/>
      <c r="G70" s="64"/>
      <c r="H70" s="77"/>
      <c r="I70" s="104">
        <f>SUM(I57:I69)</f>
        <v>0</v>
      </c>
      <c r="J70" s="33"/>
      <c r="L70" s="18"/>
    </row>
    <row r="71" spans="1:12" ht="21" customHeight="1">
      <c r="A71" s="82"/>
      <c r="B71" s="82"/>
      <c r="C71" s="82"/>
      <c r="D71" s="14"/>
      <c r="E71" s="82"/>
      <c r="F71" s="35"/>
      <c r="G71" s="14"/>
      <c r="H71" s="14"/>
      <c r="I71" s="105"/>
      <c r="L71" s="18"/>
    </row>
    <row r="72" spans="1:12" ht="21" hidden="1" customHeight="1">
      <c r="A72" s="82"/>
      <c r="B72" s="82"/>
      <c r="C72" s="82"/>
      <c r="D72" s="14"/>
      <c r="E72" s="82"/>
      <c r="F72" s="35"/>
      <c r="G72" s="14"/>
      <c r="H72" s="14"/>
      <c r="I72" s="105"/>
      <c r="L72" s="18"/>
    </row>
    <row r="73" spans="1:12" ht="29.45" customHeight="1">
      <c r="A73" s="13" t="s">
        <v>69</v>
      </c>
      <c r="B73" s="14"/>
      <c r="C73" s="14"/>
      <c r="D73" s="82"/>
      <c r="E73" s="14"/>
      <c r="F73" s="14"/>
      <c r="G73" s="16" t="s">
        <v>49</v>
      </c>
      <c r="H73" s="14" t="s">
        <v>50</v>
      </c>
      <c r="I73" s="14"/>
    </row>
    <row r="74" spans="1:12" ht="21" hidden="1" customHeight="1">
      <c r="A74" s="83"/>
      <c r="B74" s="84"/>
      <c r="C74" s="85" t="s">
        <v>51</v>
      </c>
      <c r="D74" s="106"/>
      <c r="E74" s="87"/>
      <c r="F74" s="88" t="s">
        <v>10</v>
      </c>
      <c r="G74" s="88" t="s">
        <v>38</v>
      </c>
      <c r="H74" s="88" t="s">
        <v>52</v>
      </c>
      <c r="I74" s="88" t="s">
        <v>40</v>
      </c>
      <c r="J74" s="17" t="s">
        <v>14</v>
      </c>
    </row>
    <row r="75" spans="1:12" ht="21" hidden="1" customHeight="1">
      <c r="A75" s="53" t="s">
        <v>70</v>
      </c>
      <c r="B75" s="44"/>
      <c r="C75" s="44"/>
      <c r="D75" s="44"/>
      <c r="E75" s="45"/>
      <c r="F75" s="57"/>
      <c r="G75" s="26"/>
      <c r="H75" s="26"/>
      <c r="I75" s="26"/>
      <c r="J75" s="48"/>
    </row>
    <row r="76" spans="1:12" ht="21" hidden="1" customHeight="1">
      <c r="A76" s="50">
        <v>1</v>
      </c>
      <c r="B76" s="44" t="s">
        <v>71</v>
      </c>
      <c r="C76" s="44"/>
      <c r="D76" s="44"/>
      <c r="E76" s="45"/>
      <c r="F76" s="57" t="s">
        <v>59</v>
      </c>
      <c r="G76" s="26"/>
      <c r="H76" s="73"/>
      <c r="I76" s="73">
        <f>+H76*G76</f>
        <v>0</v>
      </c>
      <c r="J76" s="48"/>
    </row>
    <row r="77" spans="1:12" ht="21" hidden="1" customHeight="1">
      <c r="A77" s="53" t="s">
        <v>72</v>
      </c>
      <c r="B77" s="44"/>
      <c r="C77" s="44"/>
      <c r="D77" s="44"/>
      <c r="E77" s="45"/>
      <c r="F77" s="57"/>
      <c r="G77" s="26"/>
      <c r="H77" s="26"/>
      <c r="I77" s="73"/>
      <c r="J77" s="48"/>
    </row>
    <row r="78" spans="1:12" ht="21" hidden="1" customHeight="1">
      <c r="A78" s="50">
        <v>1</v>
      </c>
      <c r="B78" s="44" t="s">
        <v>73</v>
      </c>
      <c r="C78" s="44"/>
      <c r="D78" s="44"/>
      <c r="E78" s="45"/>
      <c r="F78" s="57" t="s">
        <v>59</v>
      </c>
      <c r="G78" s="26"/>
      <c r="H78" s="73"/>
      <c r="I78" s="73">
        <f>+H78*G78</f>
        <v>0</v>
      </c>
      <c r="J78" s="48"/>
    </row>
    <row r="79" spans="1:12" ht="21" hidden="1" customHeight="1">
      <c r="A79" s="53" t="s">
        <v>74</v>
      </c>
      <c r="B79" s="44"/>
      <c r="C79" s="44"/>
      <c r="D79" s="44"/>
      <c r="E79" s="45"/>
      <c r="F79" s="57"/>
      <c r="G79" s="26"/>
      <c r="H79" s="26"/>
      <c r="I79" s="73"/>
      <c r="J79" s="48"/>
    </row>
    <row r="80" spans="1:12" ht="21" hidden="1" customHeight="1">
      <c r="A80" s="50">
        <v>1</v>
      </c>
      <c r="B80" s="44" t="s">
        <v>75</v>
      </c>
      <c r="C80" s="44"/>
      <c r="D80" s="44"/>
      <c r="E80" s="44"/>
      <c r="F80" s="57" t="s">
        <v>59</v>
      </c>
      <c r="G80" s="26"/>
      <c r="H80" s="26"/>
      <c r="I80" s="73"/>
      <c r="J80" s="48"/>
    </row>
    <row r="81" spans="1:10" ht="21" hidden="1" customHeight="1">
      <c r="A81" s="50">
        <v>2</v>
      </c>
      <c r="B81" s="44" t="s">
        <v>76</v>
      </c>
      <c r="C81" s="44"/>
      <c r="D81" s="44"/>
      <c r="E81" s="44"/>
      <c r="F81" s="57" t="s">
        <v>59</v>
      </c>
      <c r="G81" s="26"/>
      <c r="H81" s="26"/>
      <c r="I81" s="73"/>
      <c r="J81" s="48"/>
    </row>
    <row r="82" spans="1:10" ht="21" hidden="1" customHeight="1">
      <c r="A82" s="50">
        <v>3</v>
      </c>
      <c r="B82" s="44" t="s">
        <v>77</v>
      </c>
      <c r="C82" s="44"/>
      <c r="D82" s="44"/>
      <c r="E82" s="44"/>
      <c r="F82" s="57" t="s">
        <v>78</v>
      </c>
      <c r="G82" s="26"/>
      <c r="H82" s="26"/>
      <c r="I82" s="73"/>
      <c r="J82" s="48"/>
    </row>
    <row r="83" spans="1:10" ht="21" hidden="1" customHeight="1">
      <c r="A83" s="50">
        <v>4</v>
      </c>
      <c r="B83" s="44" t="s">
        <v>79</v>
      </c>
      <c r="C83" s="44"/>
      <c r="D83" s="44"/>
      <c r="E83" s="44"/>
      <c r="F83" s="57" t="s">
        <v>78</v>
      </c>
      <c r="G83" s="26"/>
      <c r="H83" s="26"/>
      <c r="I83" s="73"/>
      <c r="J83" s="48"/>
    </row>
    <row r="84" spans="1:10" ht="21" hidden="1" customHeight="1">
      <c r="A84" s="107" t="s">
        <v>80</v>
      </c>
      <c r="B84" s="44"/>
      <c r="C84" s="44"/>
      <c r="D84" s="44"/>
      <c r="E84" s="44"/>
      <c r="F84" s="57"/>
      <c r="G84" s="26"/>
      <c r="H84" s="26"/>
      <c r="I84" s="73"/>
      <c r="J84" s="48"/>
    </row>
    <row r="85" spans="1:10" ht="21" hidden="1" customHeight="1">
      <c r="A85" s="50">
        <v>1</v>
      </c>
      <c r="B85" s="44" t="s">
        <v>81</v>
      </c>
      <c r="C85" s="44"/>
      <c r="D85" s="44"/>
      <c r="E85" s="44"/>
      <c r="F85" s="57" t="s">
        <v>82</v>
      </c>
      <c r="G85" s="26"/>
      <c r="H85" s="26"/>
      <c r="I85" s="73"/>
      <c r="J85" s="48"/>
    </row>
    <row r="86" spans="1:10" ht="21" hidden="1" customHeight="1">
      <c r="A86" s="50">
        <v>2</v>
      </c>
      <c r="B86" s="44" t="s">
        <v>83</v>
      </c>
      <c r="C86" s="44"/>
      <c r="D86" s="44"/>
      <c r="E86" s="44"/>
      <c r="F86" s="57" t="s">
        <v>82</v>
      </c>
      <c r="G86" s="26"/>
      <c r="H86" s="26"/>
      <c r="I86" s="73"/>
      <c r="J86" s="48"/>
    </row>
    <row r="87" spans="1:10" ht="21" hidden="1" customHeight="1">
      <c r="A87" s="50">
        <v>3</v>
      </c>
      <c r="B87" s="44" t="s">
        <v>84</v>
      </c>
      <c r="C87" s="44"/>
      <c r="D87" s="44"/>
      <c r="E87" s="44"/>
      <c r="F87" s="57" t="s">
        <v>85</v>
      </c>
      <c r="G87" s="26"/>
      <c r="H87" s="26"/>
      <c r="I87" s="73"/>
      <c r="J87" s="48"/>
    </row>
    <row r="88" spans="1:10" ht="21" hidden="1" customHeight="1">
      <c r="A88" s="50">
        <v>4</v>
      </c>
      <c r="B88" s="44" t="s">
        <v>86</v>
      </c>
      <c r="C88" s="44"/>
      <c r="D88" s="44"/>
      <c r="E88" s="44"/>
      <c r="F88" s="57" t="s">
        <v>59</v>
      </c>
      <c r="G88" s="26"/>
      <c r="H88" s="26"/>
      <c r="I88" s="73">
        <f t="shared" ref="I88:I94" si="6">+H88*G88</f>
        <v>0</v>
      </c>
      <c r="J88" s="48"/>
    </row>
    <row r="89" spans="1:10" ht="21" hidden="1" customHeight="1">
      <c r="A89" s="50">
        <v>5</v>
      </c>
      <c r="B89" s="44" t="s">
        <v>87</v>
      </c>
      <c r="C89" s="44"/>
      <c r="D89" s="44"/>
      <c r="E89" s="44"/>
      <c r="F89" s="57" t="s">
        <v>59</v>
      </c>
      <c r="G89" s="26"/>
      <c r="H89" s="26"/>
      <c r="I89" s="73">
        <f t="shared" si="6"/>
        <v>0</v>
      </c>
      <c r="J89" s="48"/>
    </row>
    <row r="90" spans="1:10" ht="21" hidden="1" customHeight="1">
      <c r="A90" s="50">
        <v>6</v>
      </c>
      <c r="B90" s="44" t="s">
        <v>88</v>
      </c>
      <c r="C90" s="44"/>
      <c r="D90" s="44"/>
      <c r="E90" s="44"/>
      <c r="F90" s="57" t="s">
        <v>59</v>
      </c>
      <c r="G90" s="26">
        <v>0</v>
      </c>
      <c r="H90" s="26"/>
      <c r="I90" s="73">
        <f t="shared" si="6"/>
        <v>0</v>
      </c>
      <c r="J90" s="48"/>
    </row>
    <row r="91" spans="1:10" ht="21" hidden="1" customHeight="1">
      <c r="A91" s="50">
        <v>7</v>
      </c>
      <c r="B91" s="44" t="s">
        <v>89</v>
      </c>
      <c r="C91" s="44"/>
      <c r="D91" s="44"/>
      <c r="E91" s="44"/>
      <c r="F91" s="57" t="s">
        <v>57</v>
      </c>
      <c r="G91" s="26"/>
      <c r="H91" s="26"/>
      <c r="I91" s="73">
        <f t="shared" si="6"/>
        <v>0</v>
      </c>
      <c r="J91" s="48"/>
    </row>
    <row r="92" spans="1:10" ht="21" hidden="1" customHeight="1">
      <c r="A92" s="50">
        <v>8</v>
      </c>
      <c r="B92" s="54" t="s">
        <v>90</v>
      </c>
      <c r="C92" s="44"/>
      <c r="D92" s="44"/>
      <c r="E92" s="45"/>
      <c r="F92" s="57" t="s">
        <v>57</v>
      </c>
      <c r="G92" s="26"/>
      <c r="H92" s="26"/>
      <c r="I92" s="73">
        <f t="shared" si="6"/>
        <v>0</v>
      </c>
      <c r="J92" s="48"/>
    </row>
    <row r="93" spans="1:10" ht="21" hidden="1" customHeight="1">
      <c r="A93" s="50">
        <v>9</v>
      </c>
      <c r="B93" s="44" t="s">
        <v>91</v>
      </c>
      <c r="C93" s="44"/>
      <c r="D93" s="44"/>
      <c r="E93" s="44"/>
      <c r="F93" s="57" t="s">
        <v>57</v>
      </c>
      <c r="G93" s="26"/>
      <c r="H93" s="26"/>
      <c r="I93" s="73">
        <f t="shared" si="6"/>
        <v>0</v>
      </c>
      <c r="J93" s="48"/>
    </row>
    <row r="94" spans="1:10" ht="21" hidden="1" customHeight="1">
      <c r="A94" s="50">
        <v>10</v>
      </c>
      <c r="B94" s="44" t="s">
        <v>92</v>
      </c>
      <c r="C94" s="44"/>
      <c r="D94" s="44"/>
      <c r="E94" s="44"/>
      <c r="F94" s="57" t="s">
        <v>57</v>
      </c>
      <c r="G94" s="26"/>
      <c r="H94" s="26"/>
      <c r="I94" s="73">
        <f t="shared" si="6"/>
        <v>0</v>
      </c>
      <c r="J94" s="48"/>
    </row>
    <row r="95" spans="1:10" ht="21" hidden="1" customHeight="1">
      <c r="A95" s="50">
        <v>11</v>
      </c>
      <c r="B95" s="108" t="s">
        <v>93</v>
      </c>
      <c r="C95" s="44"/>
      <c r="D95" s="14"/>
      <c r="E95" s="44"/>
      <c r="F95" s="57" t="s">
        <v>57</v>
      </c>
      <c r="G95" s="26"/>
      <c r="H95" s="26"/>
      <c r="I95" s="73"/>
      <c r="J95" s="48"/>
    </row>
    <row r="96" spans="1:10" ht="21" hidden="1" customHeight="1">
      <c r="A96" s="50">
        <v>12</v>
      </c>
      <c r="B96" s="54" t="s">
        <v>94</v>
      </c>
      <c r="C96" s="44"/>
      <c r="D96" s="44"/>
      <c r="E96" s="45"/>
      <c r="F96" s="57" t="s">
        <v>59</v>
      </c>
      <c r="G96" s="26"/>
      <c r="H96" s="26"/>
      <c r="I96" s="73"/>
      <c r="J96" s="48"/>
    </row>
    <row r="97" spans="1:12" ht="21" hidden="1" customHeight="1">
      <c r="A97" s="53" t="s">
        <v>95</v>
      </c>
      <c r="B97" s="44"/>
      <c r="C97" s="44"/>
      <c r="D97" s="44"/>
      <c r="E97" s="45"/>
      <c r="F97" s="58"/>
      <c r="G97" s="58"/>
      <c r="H97" s="58"/>
      <c r="I97" s="58"/>
      <c r="J97" s="48"/>
    </row>
    <row r="98" spans="1:12" ht="21" hidden="1" customHeight="1">
      <c r="A98" s="50">
        <v>1</v>
      </c>
      <c r="B98" s="44" t="s">
        <v>96</v>
      </c>
      <c r="C98" s="44"/>
      <c r="D98" s="44"/>
      <c r="E98" s="45"/>
      <c r="F98" s="109" t="s">
        <v>59</v>
      </c>
      <c r="G98" s="26"/>
      <c r="H98" s="26"/>
      <c r="I98" s="73"/>
      <c r="J98" s="48"/>
    </row>
    <row r="99" spans="1:12" ht="21" hidden="1" customHeight="1">
      <c r="A99" s="50">
        <v>2</v>
      </c>
      <c r="B99" s="44" t="s">
        <v>97</v>
      </c>
      <c r="C99" s="44"/>
      <c r="D99" s="44"/>
      <c r="E99" s="45"/>
      <c r="F99" s="109" t="s">
        <v>59</v>
      </c>
      <c r="G99" s="26"/>
      <c r="H99" s="26"/>
      <c r="I99" s="73">
        <f>+H99*G99</f>
        <v>0</v>
      </c>
      <c r="J99" s="48"/>
    </row>
    <row r="100" spans="1:12" ht="21" hidden="1" customHeight="1">
      <c r="A100" s="50">
        <v>3</v>
      </c>
      <c r="B100" s="44" t="s">
        <v>98</v>
      </c>
      <c r="C100" s="44"/>
      <c r="D100" s="44"/>
      <c r="E100" s="45"/>
      <c r="F100" s="109" t="s">
        <v>59</v>
      </c>
      <c r="G100" s="26"/>
      <c r="H100" s="26"/>
      <c r="I100" s="73">
        <f>+H100*G100</f>
        <v>0</v>
      </c>
      <c r="J100" s="48"/>
    </row>
    <row r="101" spans="1:12" ht="21" hidden="1" customHeight="1">
      <c r="A101" s="50">
        <v>4</v>
      </c>
      <c r="B101" s="44" t="s">
        <v>99</v>
      </c>
      <c r="C101" s="44"/>
      <c r="D101" s="44"/>
      <c r="E101" s="45"/>
      <c r="F101" s="109" t="s">
        <v>57</v>
      </c>
      <c r="G101" s="26"/>
      <c r="H101" s="26"/>
      <c r="I101" s="73"/>
      <c r="J101" s="48"/>
    </row>
    <row r="102" spans="1:12" ht="21" hidden="1" customHeight="1">
      <c r="A102" s="50">
        <v>5</v>
      </c>
      <c r="B102" s="44" t="s">
        <v>100</v>
      </c>
      <c r="C102" s="44"/>
      <c r="D102" s="44"/>
      <c r="E102" s="45"/>
      <c r="F102" s="109" t="s">
        <v>57</v>
      </c>
      <c r="G102" s="26"/>
      <c r="H102" s="26"/>
      <c r="I102" s="73"/>
      <c r="J102" s="48"/>
    </row>
    <row r="103" spans="1:12" ht="21" hidden="1" customHeight="1">
      <c r="A103" s="50">
        <v>6</v>
      </c>
      <c r="B103" s="44" t="s">
        <v>101</v>
      </c>
      <c r="C103" s="44"/>
      <c r="D103" s="44"/>
      <c r="E103" s="45"/>
      <c r="F103" s="109" t="s">
        <v>57</v>
      </c>
      <c r="G103" s="26"/>
      <c r="H103" s="26"/>
      <c r="I103" s="73"/>
      <c r="J103" s="48"/>
    </row>
    <row r="104" spans="1:12" ht="21" hidden="1" customHeight="1" thickBot="1">
      <c r="A104" s="110"/>
      <c r="B104" s="78"/>
      <c r="C104" s="111" t="s">
        <v>5</v>
      </c>
      <c r="D104" s="77"/>
      <c r="E104" s="78"/>
      <c r="F104" s="112"/>
      <c r="G104" s="112"/>
      <c r="H104" s="78"/>
      <c r="I104" s="113">
        <f>SUM(I76:I103)</f>
        <v>0</v>
      </c>
      <c r="J104" s="33"/>
      <c r="L104" s="18"/>
    </row>
    <row r="105" spans="1:12" ht="18.75" customHeight="1">
      <c r="A105" s="14"/>
      <c r="B105" s="14"/>
      <c r="C105" s="14"/>
      <c r="D105" s="14"/>
      <c r="E105" s="14"/>
      <c r="F105" s="14"/>
      <c r="G105" s="14"/>
      <c r="H105" s="14"/>
      <c r="I105" s="14"/>
    </row>
    <row r="106" spans="1:12" ht="27" customHeight="1" thickBot="1">
      <c r="A106" s="13" t="s">
        <v>102</v>
      </c>
      <c r="B106" s="14"/>
      <c r="C106" s="14"/>
      <c r="D106" s="14"/>
      <c r="E106" s="14"/>
      <c r="F106" s="14"/>
      <c r="G106" s="14"/>
      <c r="H106" s="14"/>
      <c r="I106" s="14"/>
    </row>
    <row r="107" spans="1:12" ht="21" customHeight="1">
      <c r="A107" s="68"/>
      <c r="B107" s="114" t="s">
        <v>103</v>
      </c>
      <c r="C107" s="115"/>
      <c r="D107" s="115"/>
      <c r="E107" s="116"/>
      <c r="F107" s="117" t="s">
        <v>10</v>
      </c>
      <c r="G107" s="117" t="s">
        <v>104</v>
      </c>
      <c r="H107" s="117" t="s">
        <v>39</v>
      </c>
      <c r="I107" s="117" t="s">
        <v>105</v>
      </c>
      <c r="J107" s="41" t="s">
        <v>14</v>
      </c>
    </row>
    <row r="108" spans="1:12" ht="21" customHeight="1">
      <c r="A108" s="50">
        <v>1</v>
      </c>
      <c r="B108" s="44" t="s">
        <v>106</v>
      </c>
      <c r="C108" s="44"/>
      <c r="D108" s="44"/>
      <c r="E108" s="44"/>
      <c r="F108" s="92" t="s">
        <v>85</v>
      </c>
      <c r="G108" s="58"/>
      <c r="H108" s="26"/>
      <c r="I108" s="73"/>
      <c r="J108" s="48"/>
    </row>
    <row r="109" spans="1:12" ht="21" customHeight="1">
      <c r="A109" s="50">
        <v>2</v>
      </c>
      <c r="B109" s="44" t="s">
        <v>107</v>
      </c>
      <c r="C109" s="44"/>
      <c r="D109" s="44"/>
      <c r="E109" s="44"/>
      <c r="F109" s="92" t="s">
        <v>78</v>
      </c>
      <c r="G109" s="58"/>
      <c r="H109" s="26"/>
      <c r="I109" s="73"/>
      <c r="J109" s="48"/>
    </row>
    <row r="110" spans="1:12" ht="21" customHeight="1">
      <c r="A110" s="50">
        <v>3</v>
      </c>
      <c r="B110" s="44" t="s">
        <v>108</v>
      </c>
      <c r="C110" s="44"/>
      <c r="D110" s="44"/>
      <c r="E110" s="44"/>
      <c r="F110" s="92" t="s">
        <v>78</v>
      </c>
      <c r="G110" s="58"/>
      <c r="H110" s="26"/>
      <c r="I110" s="73"/>
      <c r="J110" s="48"/>
    </row>
    <row r="111" spans="1:12" ht="21" customHeight="1">
      <c r="A111" s="50">
        <v>4</v>
      </c>
      <c r="B111" s="44" t="s">
        <v>109</v>
      </c>
      <c r="C111" s="44"/>
      <c r="D111" s="44"/>
      <c r="E111" s="44"/>
      <c r="F111" s="92" t="s">
        <v>59</v>
      </c>
      <c r="G111" s="58"/>
      <c r="H111" s="26"/>
      <c r="I111" s="73"/>
      <c r="J111" s="48"/>
    </row>
    <row r="112" spans="1:12" ht="21" customHeight="1">
      <c r="A112" s="50">
        <v>5</v>
      </c>
      <c r="B112" s="44" t="s">
        <v>110</v>
      </c>
      <c r="C112" s="44"/>
      <c r="D112" s="44"/>
      <c r="E112" s="44"/>
      <c r="F112" s="92" t="s">
        <v>57</v>
      </c>
      <c r="G112" s="58"/>
      <c r="H112" s="26"/>
      <c r="I112" s="73"/>
      <c r="J112" s="48"/>
    </row>
    <row r="113" spans="1:12" ht="21" customHeight="1">
      <c r="A113" s="50">
        <v>6</v>
      </c>
      <c r="B113" s="44" t="s">
        <v>111</v>
      </c>
      <c r="C113" s="44"/>
      <c r="D113" s="44"/>
      <c r="E113" s="44"/>
      <c r="F113" s="92" t="s">
        <v>57</v>
      </c>
      <c r="G113" s="58"/>
      <c r="H113" s="26"/>
      <c r="I113" s="73">
        <f>G113*H113</f>
        <v>0</v>
      </c>
      <c r="J113" s="48"/>
    </row>
    <row r="114" spans="1:12" ht="21" customHeight="1" thickBot="1">
      <c r="A114" s="118"/>
      <c r="B114" s="62" t="s">
        <v>5</v>
      </c>
      <c r="C114" s="62"/>
      <c r="D114" s="29"/>
      <c r="E114" s="63"/>
      <c r="F114" s="64"/>
      <c r="G114" s="64"/>
      <c r="H114" s="112"/>
      <c r="I114" s="65">
        <f>SUM(I108:I113)</f>
        <v>0</v>
      </c>
      <c r="J114" s="33"/>
      <c r="L114" s="18"/>
    </row>
    <row r="115" spans="1:12" ht="15.75" customHeight="1">
      <c r="A115" s="14"/>
      <c r="B115" s="14"/>
      <c r="C115" s="14"/>
      <c r="D115" s="14"/>
      <c r="E115" s="14"/>
      <c r="F115" s="14"/>
      <c r="G115" s="14"/>
      <c r="H115" s="14"/>
      <c r="I115" s="14"/>
    </row>
    <row r="116" spans="1:12" ht="31.9" customHeight="1">
      <c r="A116" s="13" t="s">
        <v>112</v>
      </c>
      <c r="B116" s="14"/>
      <c r="C116" s="14"/>
      <c r="D116" s="35"/>
      <c r="E116" s="14"/>
      <c r="F116" s="14"/>
      <c r="G116" s="142">
        <v>0</v>
      </c>
      <c r="H116" s="143"/>
      <c r="I116" s="14"/>
    </row>
    <row r="117" spans="1:12" ht="21" hidden="1" customHeight="1">
      <c r="A117" s="119"/>
      <c r="B117" s="120"/>
      <c r="C117" s="121" t="s">
        <v>113</v>
      </c>
      <c r="D117" s="122"/>
      <c r="E117" s="123"/>
      <c r="F117" s="124" t="s">
        <v>10</v>
      </c>
      <c r="G117" s="141" t="s">
        <v>38</v>
      </c>
      <c r="H117" s="141" t="s">
        <v>39</v>
      </c>
      <c r="I117" s="124" t="s">
        <v>114</v>
      </c>
      <c r="J117" s="17" t="s">
        <v>14</v>
      </c>
    </row>
    <row r="118" spans="1:12" ht="21" hidden="1" customHeight="1" thickBot="1">
      <c r="A118" s="89">
        <v>1</v>
      </c>
      <c r="B118" s="14" t="s">
        <v>115</v>
      </c>
      <c r="C118" s="14"/>
      <c r="D118" s="90"/>
      <c r="E118" s="14"/>
      <c r="F118" s="125" t="s">
        <v>59</v>
      </c>
      <c r="G118" s="126"/>
      <c r="H118" s="126"/>
      <c r="I118" s="126">
        <f>G118*H118</f>
        <v>0</v>
      </c>
      <c r="J118" s="127"/>
    </row>
    <row r="119" spans="1:12" ht="21" hidden="1" customHeight="1" thickBot="1">
      <c r="A119" s="128"/>
      <c r="B119" s="129"/>
      <c r="C119" s="129"/>
      <c r="D119" s="129"/>
      <c r="E119" s="129"/>
      <c r="F119" s="130"/>
      <c r="G119" s="131"/>
      <c r="H119" s="131"/>
      <c r="I119" s="131"/>
      <c r="J119" s="132"/>
    </row>
    <row r="120" spans="1:12" ht="21" hidden="1" customHeight="1" thickBot="1">
      <c r="A120" s="28"/>
      <c r="B120" s="133" t="s">
        <v>5</v>
      </c>
      <c r="C120" s="29"/>
      <c r="D120" s="29"/>
      <c r="E120" s="30"/>
      <c r="F120" s="134"/>
      <c r="G120" s="135"/>
      <c r="H120" s="136"/>
      <c r="I120" s="131">
        <f>SUM(I118:I119)</f>
        <v>0</v>
      </c>
      <c r="J120" s="137"/>
    </row>
    <row r="121" spans="1:12" ht="21" customHeight="1">
      <c r="A121" s="34"/>
      <c r="B121" s="82"/>
      <c r="C121" s="34"/>
      <c r="D121" s="34"/>
      <c r="E121" s="34"/>
      <c r="F121" s="35"/>
      <c r="G121" s="14" t="s">
        <v>129</v>
      </c>
      <c r="H121" s="67"/>
      <c r="I121" s="138"/>
      <c r="J121" s="139"/>
    </row>
    <row r="122" spans="1:12" ht="31.9" customHeight="1">
      <c r="A122" s="13" t="s">
        <v>116</v>
      </c>
      <c r="B122" s="14"/>
      <c r="C122" s="14"/>
      <c r="D122" s="35"/>
      <c r="E122" s="14"/>
      <c r="F122" s="14"/>
      <c r="G122" s="16" t="s">
        <v>49</v>
      </c>
      <c r="H122" s="14" t="s">
        <v>50</v>
      </c>
      <c r="I122" s="14"/>
    </row>
    <row r="123" spans="1:12" ht="21" hidden="1" customHeight="1">
      <c r="A123" s="119"/>
      <c r="B123" s="120"/>
      <c r="C123" s="121" t="s">
        <v>113</v>
      </c>
      <c r="D123" s="122"/>
      <c r="E123" s="123"/>
      <c r="F123" s="124" t="s">
        <v>10</v>
      </c>
      <c r="G123" s="124" t="s">
        <v>38</v>
      </c>
      <c r="H123" s="124" t="s">
        <v>39</v>
      </c>
      <c r="I123" s="124" t="s">
        <v>114</v>
      </c>
      <c r="J123" s="17" t="s">
        <v>14</v>
      </c>
    </row>
    <row r="124" spans="1:12" ht="21" hidden="1" customHeight="1">
      <c r="A124" s="50">
        <v>1</v>
      </c>
      <c r="B124" s="14" t="s">
        <v>117</v>
      </c>
      <c r="C124" s="14"/>
      <c r="D124" s="44"/>
      <c r="E124" s="14"/>
      <c r="F124" s="92" t="s">
        <v>55</v>
      </c>
      <c r="G124" s="26"/>
      <c r="H124" s="26">
        <v>0</v>
      </c>
      <c r="I124" s="26">
        <v>0</v>
      </c>
      <c r="J124" s="127"/>
    </row>
    <row r="125" spans="1:12" ht="21" hidden="1" customHeight="1" thickBot="1">
      <c r="A125" s="118"/>
      <c r="B125" s="101" t="s">
        <v>5</v>
      </c>
      <c r="C125" s="62"/>
      <c r="D125" s="29"/>
      <c r="E125" s="63"/>
      <c r="F125" s="103"/>
      <c r="G125" s="64"/>
      <c r="H125" s="112"/>
      <c r="I125" s="113">
        <f>G125*H125</f>
        <v>0</v>
      </c>
      <c r="J125" s="137"/>
    </row>
  </sheetData>
  <phoneticPr fontId="9" type="noConversion"/>
  <printOptions horizontalCentered="1" gridLinesSet="0"/>
  <pageMargins left="0.39370078740157483" right="0.39370078740157483" top="0.8" bottom="0.70866141732283472" header="0.43307086614173229" footer="0.43307086614173229"/>
  <pageSetup paperSize="9" scale="91" orientation="portrait" horizontalDpi="200" verticalDpi="200" r:id="rId1"/>
  <headerFooter alignWithMargins="0">
    <oddHeader>&amp;R&amp;"맑은 고딕,보통"&amp;8&amp;K808080K-건설맵 · k-conmap.com</oddHeader>
  </headerFooter>
  <rowBreaks count="1" manualBreakCount="1">
    <brk id="37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T34"/>
  <sheetViews>
    <sheetView view="pageBreakPreview" zoomScaleNormal="100" zoomScaleSheetLayoutView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2" sqref="H12"/>
    </sheetView>
  </sheetViews>
  <sheetFormatPr defaultColWidth="9" defaultRowHeight="14.25"/>
  <cols>
    <col min="1" max="1" width="4.125" style="144" customWidth="1"/>
    <col min="2" max="2" width="11.5" style="144" customWidth="1"/>
    <col min="3" max="3" width="7.5" style="146" customWidth="1"/>
    <col min="4" max="4" width="9.5" style="144" customWidth="1"/>
    <col min="5" max="5" width="5.5" style="144" customWidth="1"/>
    <col min="6" max="6" width="5.875" style="144" customWidth="1"/>
    <col min="7" max="7" width="7.125" style="144" customWidth="1"/>
    <col min="8" max="8" width="5.375" style="144" customWidth="1"/>
    <col min="9" max="9" width="4.875" style="144" customWidth="1"/>
    <col min="10" max="10" width="10.25" style="144" customWidth="1"/>
    <col min="11" max="12" width="6.125" style="144" customWidth="1"/>
    <col min="13" max="13" width="7.75" style="144" customWidth="1"/>
    <col min="14" max="14" width="15.875" style="145" customWidth="1"/>
    <col min="15" max="15" width="11.25" style="144" bestFit="1" customWidth="1"/>
    <col min="16" max="16" width="13.125" style="144" bestFit="1" customWidth="1"/>
    <col min="17" max="17" width="14.25" style="144" bestFit="1" customWidth="1"/>
    <col min="18" max="18" width="12.125" style="144" bestFit="1" customWidth="1"/>
    <col min="19" max="19" width="9" style="144"/>
    <col min="20" max="22" width="11.25" style="144" bestFit="1" customWidth="1"/>
    <col min="23" max="258" width="9" style="144"/>
    <col min="259" max="260" width="12.125" style="144" customWidth="1"/>
    <col min="261" max="261" width="8.125" style="144" customWidth="1"/>
    <col min="262" max="262" width="12.125" style="144" customWidth="1"/>
    <col min="263" max="263" width="6.5" style="144" customWidth="1"/>
    <col min="264" max="264" width="5.875" style="144" customWidth="1"/>
    <col min="265" max="265" width="10.125" style="144" customWidth="1"/>
    <col min="266" max="266" width="6.625" style="144" customWidth="1"/>
    <col min="267" max="267" width="13.25" style="144" customWidth="1"/>
    <col min="268" max="268" width="1.75" style="144" customWidth="1"/>
    <col min="269" max="269" width="9" style="144" customWidth="1"/>
    <col min="270" max="270" width="15.875" style="144" customWidth="1"/>
    <col min="271" max="271" width="9" style="144"/>
    <col min="272" max="272" width="11.125" style="144" bestFit="1" customWidth="1"/>
    <col min="273" max="273" width="14.25" style="144" bestFit="1" customWidth="1"/>
    <col min="274" max="274" width="12.125" style="144" bestFit="1" customWidth="1"/>
    <col min="275" max="514" width="9" style="144"/>
    <col min="515" max="516" width="12.125" style="144" customWidth="1"/>
    <col min="517" max="517" width="8.125" style="144" customWidth="1"/>
    <col min="518" max="518" width="12.125" style="144" customWidth="1"/>
    <col min="519" max="519" width="6.5" style="144" customWidth="1"/>
    <col min="520" max="520" width="5.875" style="144" customWidth="1"/>
    <col min="521" max="521" width="10.125" style="144" customWidth="1"/>
    <col min="522" max="522" width="6.625" style="144" customWidth="1"/>
    <col min="523" max="523" width="13.25" style="144" customWidth="1"/>
    <col min="524" max="524" width="1.75" style="144" customWidth="1"/>
    <col min="525" max="525" width="9" style="144" customWidth="1"/>
    <col min="526" max="526" width="15.875" style="144" customWidth="1"/>
    <col min="527" max="527" width="9" style="144"/>
    <col min="528" max="528" width="11.125" style="144" bestFit="1" customWidth="1"/>
    <col min="529" max="529" width="14.25" style="144" bestFit="1" customWidth="1"/>
    <col min="530" max="530" width="12.125" style="144" bestFit="1" customWidth="1"/>
    <col min="531" max="770" width="9" style="144"/>
    <col min="771" max="772" width="12.125" style="144" customWidth="1"/>
    <col min="773" max="773" width="8.125" style="144" customWidth="1"/>
    <col min="774" max="774" width="12.125" style="144" customWidth="1"/>
    <col min="775" max="775" width="6.5" style="144" customWidth="1"/>
    <col min="776" max="776" width="5.875" style="144" customWidth="1"/>
    <col min="777" max="777" width="10.125" style="144" customWidth="1"/>
    <col min="778" max="778" width="6.625" style="144" customWidth="1"/>
    <col min="779" max="779" width="13.25" style="144" customWidth="1"/>
    <col min="780" max="780" width="1.75" style="144" customWidth="1"/>
    <col min="781" max="781" width="9" style="144" customWidth="1"/>
    <col min="782" max="782" width="15.875" style="144" customWidth="1"/>
    <col min="783" max="783" width="9" style="144"/>
    <col min="784" max="784" width="11.125" style="144" bestFit="1" customWidth="1"/>
    <col min="785" max="785" width="14.25" style="144" bestFit="1" customWidth="1"/>
    <col min="786" max="786" width="12.125" style="144" bestFit="1" customWidth="1"/>
    <col min="787" max="1026" width="9" style="144"/>
    <col min="1027" max="1028" width="12.125" style="144" customWidth="1"/>
    <col min="1029" max="1029" width="8.125" style="144" customWidth="1"/>
    <col min="1030" max="1030" width="12.125" style="144" customWidth="1"/>
    <col min="1031" max="1031" width="6.5" style="144" customWidth="1"/>
    <col min="1032" max="1032" width="5.875" style="144" customWidth="1"/>
    <col min="1033" max="1033" width="10.125" style="144" customWidth="1"/>
    <col min="1034" max="1034" width="6.625" style="144" customWidth="1"/>
    <col min="1035" max="1035" width="13.25" style="144" customWidth="1"/>
    <col min="1036" max="1036" width="1.75" style="144" customWidth="1"/>
    <col min="1037" max="1037" width="9" style="144" customWidth="1"/>
    <col min="1038" max="1038" width="15.875" style="144" customWidth="1"/>
    <col min="1039" max="1039" width="9" style="144"/>
    <col min="1040" max="1040" width="11.125" style="144" bestFit="1" customWidth="1"/>
    <col min="1041" max="1041" width="14.25" style="144" bestFit="1" customWidth="1"/>
    <col min="1042" max="1042" width="12.125" style="144" bestFit="1" customWidth="1"/>
    <col min="1043" max="1282" width="9" style="144"/>
    <col min="1283" max="1284" width="12.125" style="144" customWidth="1"/>
    <col min="1285" max="1285" width="8.125" style="144" customWidth="1"/>
    <col min="1286" max="1286" width="12.125" style="144" customWidth="1"/>
    <col min="1287" max="1287" width="6.5" style="144" customWidth="1"/>
    <col min="1288" max="1288" width="5.875" style="144" customWidth="1"/>
    <col min="1289" max="1289" width="10.125" style="144" customWidth="1"/>
    <col min="1290" max="1290" width="6.625" style="144" customWidth="1"/>
    <col min="1291" max="1291" width="13.25" style="144" customWidth="1"/>
    <col min="1292" max="1292" width="1.75" style="144" customWidth="1"/>
    <col min="1293" max="1293" width="9" style="144" customWidth="1"/>
    <col min="1294" max="1294" width="15.875" style="144" customWidth="1"/>
    <col min="1295" max="1295" width="9" style="144"/>
    <col min="1296" max="1296" width="11.125" style="144" bestFit="1" customWidth="1"/>
    <col min="1297" max="1297" width="14.25" style="144" bestFit="1" customWidth="1"/>
    <col min="1298" max="1298" width="12.125" style="144" bestFit="1" customWidth="1"/>
    <col min="1299" max="1538" width="9" style="144"/>
    <col min="1539" max="1540" width="12.125" style="144" customWidth="1"/>
    <col min="1541" max="1541" width="8.125" style="144" customWidth="1"/>
    <col min="1542" max="1542" width="12.125" style="144" customWidth="1"/>
    <col min="1543" max="1543" width="6.5" style="144" customWidth="1"/>
    <col min="1544" max="1544" width="5.875" style="144" customWidth="1"/>
    <col min="1545" max="1545" width="10.125" style="144" customWidth="1"/>
    <col min="1546" max="1546" width="6.625" style="144" customWidth="1"/>
    <col min="1547" max="1547" width="13.25" style="144" customWidth="1"/>
    <col min="1548" max="1548" width="1.75" style="144" customWidth="1"/>
    <col min="1549" max="1549" width="9" style="144" customWidth="1"/>
    <col min="1550" max="1550" width="15.875" style="144" customWidth="1"/>
    <col min="1551" max="1551" width="9" style="144"/>
    <col min="1552" max="1552" width="11.125" style="144" bestFit="1" customWidth="1"/>
    <col min="1553" max="1553" width="14.25" style="144" bestFit="1" customWidth="1"/>
    <col min="1554" max="1554" width="12.125" style="144" bestFit="1" customWidth="1"/>
    <col min="1555" max="1794" width="9" style="144"/>
    <col min="1795" max="1796" width="12.125" style="144" customWidth="1"/>
    <col min="1797" max="1797" width="8.125" style="144" customWidth="1"/>
    <col min="1798" max="1798" width="12.125" style="144" customWidth="1"/>
    <col min="1799" max="1799" width="6.5" style="144" customWidth="1"/>
    <col min="1800" max="1800" width="5.875" style="144" customWidth="1"/>
    <col min="1801" max="1801" width="10.125" style="144" customWidth="1"/>
    <col min="1802" max="1802" width="6.625" style="144" customWidth="1"/>
    <col min="1803" max="1803" width="13.25" style="144" customWidth="1"/>
    <col min="1804" max="1804" width="1.75" style="144" customWidth="1"/>
    <col min="1805" max="1805" width="9" style="144" customWidth="1"/>
    <col min="1806" max="1806" width="15.875" style="144" customWidth="1"/>
    <col min="1807" max="1807" width="9" style="144"/>
    <col min="1808" max="1808" width="11.125" style="144" bestFit="1" customWidth="1"/>
    <col min="1809" max="1809" width="14.25" style="144" bestFit="1" customWidth="1"/>
    <col min="1810" max="1810" width="12.125" style="144" bestFit="1" customWidth="1"/>
    <col min="1811" max="2050" width="9" style="144"/>
    <col min="2051" max="2052" width="12.125" style="144" customWidth="1"/>
    <col min="2053" max="2053" width="8.125" style="144" customWidth="1"/>
    <col min="2054" max="2054" width="12.125" style="144" customWidth="1"/>
    <col min="2055" max="2055" width="6.5" style="144" customWidth="1"/>
    <col min="2056" max="2056" width="5.875" style="144" customWidth="1"/>
    <col min="2057" max="2057" width="10.125" style="144" customWidth="1"/>
    <col min="2058" max="2058" width="6.625" style="144" customWidth="1"/>
    <col min="2059" max="2059" width="13.25" style="144" customWidth="1"/>
    <col min="2060" max="2060" width="1.75" style="144" customWidth="1"/>
    <col min="2061" max="2061" width="9" style="144" customWidth="1"/>
    <col min="2062" max="2062" width="15.875" style="144" customWidth="1"/>
    <col min="2063" max="2063" width="9" style="144"/>
    <col min="2064" max="2064" width="11.125" style="144" bestFit="1" customWidth="1"/>
    <col min="2065" max="2065" width="14.25" style="144" bestFit="1" customWidth="1"/>
    <col min="2066" max="2066" width="12.125" style="144" bestFit="1" customWidth="1"/>
    <col min="2067" max="2306" width="9" style="144"/>
    <col min="2307" max="2308" width="12.125" style="144" customWidth="1"/>
    <col min="2309" max="2309" width="8.125" style="144" customWidth="1"/>
    <col min="2310" max="2310" width="12.125" style="144" customWidth="1"/>
    <col min="2311" max="2311" width="6.5" style="144" customWidth="1"/>
    <col min="2312" max="2312" width="5.875" style="144" customWidth="1"/>
    <col min="2313" max="2313" width="10.125" style="144" customWidth="1"/>
    <col min="2314" max="2314" width="6.625" style="144" customWidth="1"/>
    <col min="2315" max="2315" width="13.25" style="144" customWidth="1"/>
    <col min="2316" max="2316" width="1.75" style="144" customWidth="1"/>
    <col min="2317" max="2317" width="9" style="144" customWidth="1"/>
    <col min="2318" max="2318" width="15.875" style="144" customWidth="1"/>
    <col min="2319" max="2319" width="9" style="144"/>
    <col min="2320" max="2320" width="11.125" style="144" bestFit="1" customWidth="1"/>
    <col min="2321" max="2321" width="14.25" style="144" bestFit="1" customWidth="1"/>
    <col min="2322" max="2322" width="12.125" style="144" bestFit="1" customWidth="1"/>
    <col min="2323" max="2562" width="9" style="144"/>
    <col min="2563" max="2564" width="12.125" style="144" customWidth="1"/>
    <col min="2565" max="2565" width="8.125" style="144" customWidth="1"/>
    <col min="2566" max="2566" width="12.125" style="144" customWidth="1"/>
    <col min="2567" max="2567" width="6.5" style="144" customWidth="1"/>
    <col min="2568" max="2568" width="5.875" style="144" customWidth="1"/>
    <col min="2569" max="2569" width="10.125" style="144" customWidth="1"/>
    <col min="2570" max="2570" width="6.625" style="144" customWidth="1"/>
    <col min="2571" max="2571" width="13.25" style="144" customWidth="1"/>
    <col min="2572" max="2572" width="1.75" style="144" customWidth="1"/>
    <col min="2573" max="2573" width="9" style="144" customWidth="1"/>
    <col min="2574" max="2574" width="15.875" style="144" customWidth="1"/>
    <col min="2575" max="2575" width="9" style="144"/>
    <col min="2576" max="2576" width="11.125" style="144" bestFit="1" customWidth="1"/>
    <col min="2577" max="2577" width="14.25" style="144" bestFit="1" customWidth="1"/>
    <col min="2578" max="2578" width="12.125" style="144" bestFit="1" customWidth="1"/>
    <col min="2579" max="2818" width="9" style="144"/>
    <col min="2819" max="2820" width="12.125" style="144" customWidth="1"/>
    <col min="2821" max="2821" width="8.125" style="144" customWidth="1"/>
    <col min="2822" max="2822" width="12.125" style="144" customWidth="1"/>
    <col min="2823" max="2823" width="6.5" style="144" customWidth="1"/>
    <col min="2824" max="2824" width="5.875" style="144" customWidth="1"/>
    <col min="2825" max="2825" width="10.125" style="144" customWidth="1"/>
    <col min="2826" max="2826" width="6.625" style="144" customWidth="1"/>
    <col min="2827" max="2827" width="13.25" style="144" customWidth="1"/>
    <col min="2828" max="2828" width="1.75" style="144" customWidth="1"/>
    <col min="2829" max="2829" width="9" style="144" customWidth="1"/>
    <col min="2830" max="2830" width="15.875" style="144" customWidth="1"/>
    <col min="2831" max="2831" width="9" style="144"/>
    <col min="2832" max="2832" width="11.125" style="144" bestFit="1" customWidth="1"/>
    <col min="2833" max="2833" width="14.25" style="144" bestFit="1" customWidth="1"/>
    <col min="2834" max="2834" width="12.125" style="144" bestFit="1" customWidth="1"/>
    <col min="2835" max="3074" width="9" style="144"/>
    <col min="3075" max="3076" width="12.125" style="144" customWidth="1"/>
    <col min="3077" max="3077" width="8.125" style="144" customWidth="1"/>
    <col min="3078" max="3078" width="12.125" style="144" customWidth="1"/>
    <col min="3079" max="3079" width="6.5" style="144" customWidth="1"/>
    <col min="3080" max="3080" width="5.875" style="144" customWidth="1"/>
    <col min="3081" max="3081" width="10.125" style="144" customWidth="1"/>
    <col min="3082" max="3082" width="6.625" style="144" customWidth="1"/>
    <col min="3083" max="3083" width="13.25" style="144" customWidth="1"/>
    <col min="3084" max="3084" width="1.75" style="144" customWidth="1"/>
    <col min="3085" max="3085" width="9" style="144" customWidth="1"/>
    <col min="3086" max="3086" width="15.875" style="144" customWidth="1"/>
    <col min="3087" max="3087" width="9" style="144"/>
    <col min="3088" max="3088" width="11.125" style="144" bestFit="1" customWidth="1"/>
    <col min="3089" max="3089" width="14.25" style="144" bestFit="1" customWidth="1"/>
    <col min="3090" max="3090" width="12.125" style="144" bestFit="1" customWidth="1"/>
    <col min="3091" max="3330" width="9" style="144"/>
    <col min="3331" max="3332" width="12.125" style="144" customWidth="1"/>
    <col min="3333" max="3333" width="8.125" style="144" customWidth="1"/>
    <col min="3334" max="3334" width="12.125" style="144" customWidth="1"/>
    <col min="3335" max="3335" width="6.5" style="144" customWidth="1"/>
    <col min="3336" max="3336" width="5.875" style="144" customWidth="1"/>
    <col min="3337" max="3337" width="10.125" style="144" customWidth="1"/>
    <col min="3338" max="3338" width="6.625" style="144" customWidth="1"/>
    <col min="3339" max="3339" width="13.25" style="144" customWidth="1"/>
    <col min="3340" max="3340" width="1.75" style="144" customWidth="1"/>
    <col min="3341" max="3341" width="9" style="144" customWidth="1"/>
    <col min="3342" max="3342" width="15.875" style="144" customWidth="1"/>
    <col min="3343" max="3343" width="9" style="144"/>
    <col min="3344" max="3344" width="11.125" style="144" bestFit="1" customWidth="1"/>
    <col min="3345" max="3345" width="14.25" style="144" bestFit="1" customWidth="1"/>
    <col min="3346" max="3346" width="12.125" style="144" bestFit="1" customWidth="1"/>
    <col min="3347" max="3586" width="9" style="144"/>
    <col min="3587" max="3588" width="12.125" style="144" customWidth="1"/>
    <col min="3589" max="3589" width="8.125" style="144" customWidth="1"/>
    <col min="3590" max="3590" width="12.125" style="144" customWidth="1"/>
    <col min="3591" max="3591" width="6.5" style="144" customWidth="1"/>
    <col min="3592" max="3592" width="5.875" style="144" customWidth="1"/>
    <col min="3593" max="3593" width="10.125" style="144" customWidth="1"/>
    <col min="3594" max="3594" width="6.625" style="144" customWidth="1"/>
    <col min="3595" max="3595" width="13.25" style="144" customWidth="1"/>
    <col min="3596" max="3596" width="1.75" style="144" customWidth="1"/>
    <col min="3597" max="3597" width="9" style="144" customWidth="1"/>
    <col min="3598" max="3598" width="15.875" style="144" customWidth="1"/>
    <col min="3599" max="3599" width="9" style="144"/>
    <col min="3600" max="3600" width="11.125" style="144" bestFit="1" customWidth="1"/>
    <col min="3601" max="3601" width="14.25" style="144" bestFit="1" customWidth="1"/>
    <col min="3602" max="3602" width="12.125" style="144" bestFit="1" customWidth="1"/>
    <col min="3603" max="3842" width="9" style="144"/>
    <col min="3843" max="3844" width="12.125" style="144" customWidth="1"/>
    <col min="3845" max="3845" width="8.125" style="144" customWidth="1"/>
    <col min="3846" max="3846" width="12.125" style="144" customWidth="1"/>
    <col min="3847" max="3847" width="6.5" style="144" customWidth="1"/>
    <col min="3848" max="3848" width="5.875" style="144" customWidth="1"/>
    <col min="3849" max="3849" width="10.125" style="144" customWidth="1"/>
    <col min="3850" max="3850" width="6.625" style="144" customWidth="1"/>
    <col min="3851" max="3851" width="13.25" style="144" customWidth="1"/>
    <col min="3852" max="3852" width="1.75" style="144" customWidth="1"/>
    <col min="3853" max="3853" width="9" style="144" customWidth="1"/>
    <col min="3854" max="3854" width="15.875" style="144" customWidth="1"/>
    <col min="3855" max="3855" width="9" style="144"/>
    <col min="3856" max="3856" width="11.125" style="144" bestFit="1" customWidth="1"/>
    <col min="3857" max="3857" width="14.25" style="144" bestFit="1" customWidth="1"/>
    <col min="3858" max="3858" width="12.125" style="144" bestFit="1" customWidth="1"/>
    <col min="3859" max="4098" width="9" style="144"/>
    <col min="4099" max="4100" width="12.125" style="144" customWidth="1"/>
    <col min="4101" max="4101" width="8.125" style="144" customWidth="1"/>
    <col min="4102" max="4102" width="12.125" style="144" customWidth="1"/>
    <col min="4103" max="4103" width="6.5" style="144" customWidth="1"/>
    <col min="4104" max="4104" width="5.875" style="144" customWidth="1"/>
    <col min="4105" max="4105" width="10.125" style="144" customWidth="1"/>
    <col min="4106" max="4106" width="6.625" style="144" customWidth="1"/>
    <col min="4107" max="4107" width="13.25" style="144" customWidth="1"/>
    <col min="4108" max="4108" width="1.75" style="144" customWidth="1"/>
    <col min="4109" max="4109" width="9" style="144" customWidth="1"/>
    <col min="4110" max="4110" width="15.875" style="144" customWidth="1"/>
    <col min="4111" max="4111" width="9" style="144"/>
    <col min="4112" max="4112" width="11.125" style="144" bestFit="1" customWidth="1"/>
    <col min="4113" max="4113" width="14.25" style="144" bestFit="1" customWidth="1"/>
    <col min="4114" max="4114" width="12.125" style="144" bestFit="1" customWidth="1"/>
    <col min="4115" max="4354" width="9" style="144"/>
    <col min="4355" max="4356" width="12.125" style="144" customWidth="1"/>
    <col min="4357" max="4357" width="8.125" style="144" customWidth="1"/>
    <col min="4358" max="4358" width="12.125" style="144" customWidth="1"/>
    <col min="4359" max="4359" width="6.5" style="144" customWidth="1"/>
    <col min="4360" max="4360" width="5.875" style="144" customWidth="1"/>
    <col min="4361" max="4361" width="10.125" style="144" customWidth="1"/>
    <col min="4362" max="4362" width="6.625" style="144" customWidth="1"/>
    <col min="4363" max="4363" width="13.25" style="144" customWidth="1"/>
    <col min="4364" max="4364" width="1.75" style="144" customWidth="1"/>
    <col min="4365" max="4365" width="9" style="144" customWidth="1"/>
    <col min="4366" max="4366" width="15.875" style="144" customWidth="1"/>
    <col min="4367" max="4367" width="9" style="144"/>
    <col min="4368" max="4368" width="11.125" style="144" bestFit="1" customWidth="1"/>
    <col min="4369" max="4369" width="14.25" style="144" bestFit="1" customWidth="1"/>
    <col min="4370" max="4370" width="12.125" style="144" bestFit="1" customWidth="1"/>
    <col min="4371" max="4610" width="9" style="144"/>
    <col min="4611" max="4612" width="12.125" style="144" customWidth="1"/>
    <col min="4613" max="4613" width="8.125" style="144" customWidth="1"/>
    <col min="4614" max="4614" width="12.125" style="144" customWidth="1"/>
    <col min="4615" max="4615" width="6.5" style="144" customWidth="1"/>
    <col min="4616" max="4616" width="5.875" style="144" customWidth="1"/>
    <col min="4617" max="4617" width="10.125" style="144" customWidth="1"/>
    <col min="4618" max="4618" width="6.625" style="144" customWidth="1"/>
    <col min="4619" max="4619" width="13.25" style="144" customWidth="1"/>
    <col min="4620" max="4620" width="1.75" style="144" customWidth="1"/>
    <col min="4621" max="4621" width="9" style="144" customWidth="1"/>
    <col min="4622" max="4622" width="15.875" style="144" customWidth="1"/>
    <col min="4623" max="4623" width="9" style="144"/>
    <col min="4624" max="4624" width="11.125" style="144" bestFit="1" customWidth="1"/>
    <col min="4625" max="4625" width="14.25" style="144" bestFit="1" customWidth="1"/>
    <col min="4626" max="4626" width="12.125" style="144" bestFit="1" customWidth="1"/>
    <col min="4627" max="4866" width="9" style="144"/>
    <col min="4867" max="4868" width="12.125" style="144" customWidth="1"/>
    <col min="4869" max="4869" width="8.125" style="144" customWidth="1"/>
    <col min="4870" max="4870" width="12.125" style="144" customWidth="1"/>
    <col min="4871" max="4871" width="6.5" style="144" customWidth="1"/>
    <col min="4872" max="4872" width="5.875" style="144" customWidth="1"/>
    <col min="4873" max="4873" width="10.125" style="144" customWidth="1"/>
    <col min="4874" max="4874" width="6.625" style="144" customWidth="1"/>
    <col min="4875" max="4875" width="13.25" style="144" customWidth="1"/>
    <col min="4876" max="4876" width="1.75" style="144" customWidth="1"/>
    <col min="4877" max="4877" width="9" style="144" customWidth="1"/>
    <col min="4878" max="4878" width="15.875" style="144" customWidth="1"/>
    <col min="4879" max="4879" width="9" style="144"/>
    <col min="4880" max="4880" width="11.125" style="144" bestFit="1" customWidth="1"/>
    <col min="4881" max="4881" width="14.25" style="144" bestFit="1" customWidth="1"/>
    <col min="4882" max="4882" width="12.125" style="144" bestFit="1" customWidth="1"/>
    <col min="4883" max="5122" width="9" style="144"/>
    <col min="5123" max="5124" width="12.125" style="144" customWidth="1"/>
    <col min="5125" max="5125" width="8.125" style="144" customWidth="1"/>
    <col min="5126" max="5126" width="12.125" style="144" customWidth="1"/>
    <col min="5127" max="5127" width="6.5" style="144" customWidth="1"/>
    <col min="5128" max="5128" width="5.875" style="144" customWidth="1"/>
    <col min="5129" max="5129" width="10.125" style="144" customWidth="1"/>
    <col min="5130" max="5130" width="6.625" style="144" customWidth="1"/>
    <col min="5131" max="5131" width="13.25" style="144" customWidth="1"/>
    <col min="5132" max="5132" width="1.75" style="144" customWidth="1"/>
    <col min="5133" max="5133" width="9" style="144" customWidth="1"/>
    <col min="5134" max="5134" width="15.875" style="144" customWidth="1"/>
    <col min="5135" max="5135" width="9" style="144"/>
    <col min="5136" max="5136" width="11.125" style="144" bestFit="1" customWidth="1"/>
    <col min="5137" max="5137" width="14.25" style="144" bestFit="1" customWidth="1"/>
    <col min="5138" max="5138" width="12.125" style="144" bestFit="1" customWidth="1"/>
    <col min="5139" max="5378" width="9" style="144"/>
    <col min="5379" max="5380" width="12.125" style="144" customWidth="1"/>
    <col min="5381" max="5381" width="8.125" style="144" customWidth="1"/>
    <col min="5382" max="5382" width="12.125" style="144" customWidth="1"/>
    <col min="5383" max="5383" width="6.5" style="144" customWidth="1"/>
    <col min="5384" max="5384" width="5.875" style="144" customWidth="1"/>
    <col min="5385" max="5385" width="10.125" style="144" customWidth="1"/>
    <col min="5386" max="5386" width="6.625" style="144" customWidth="1"/>
    <col min="5387" max="5387" width="13.25" style="144" customWidth="1"/>
    <col min="5388" max="5388" width="1.75" style="144" customWidth="1"/>
    <col min="5389" max="5389" width="9" style="144" customWidth="1"/>
    <col min="5390" max="5390" width="15.875" style="144" customWidth="1"/>
    <col min="5391" max="5391" width="9" style="144"/>
    <col min="5392" max="5392" width="11.125" style="144" bestFit="1" customWidth="1"/>
    <col min="5393" max="5393" width="14.25" style="144" bestFit="1" customWidth="1"/>
    <col min="5394" max="5394" width="12.125" style="144" bestFit="1" customWidth="1"/>
    <col min="5395" max="5634" width="9" style="144"/>
    <col min="5635" max="5636" width="12.125" style="144" customWidth="1"/>
    <col min="5637" max="5637" width="8.125" style="144" customWidth="1"/>
    <col min="5638" max="5638" width="12.125" style="144" customWidth="1"/>
    <col min="5639" max="5639" width="6.5" style="144" customWidth="1"/>
    <col min="5640" max="5640" width="5.875" style="144" customWidth="1"/>
    <col min="5641" max="5641" width="10.125" style="144" customWidth="1"/>
    <col min="5642" max="5642" width="6.625" style="144" customWidth="1"/>
    <col min="5643" max="5643" width="13.25" style="144" customWidth="1"/>
    <col min="5644" max="5644" width="1.75" style="144" customWidth="1"/>
    <col min="5645" max="5645" width="9" style="144" customWidth="1"/>
    <col min="5646" max="5646" width="15.875" style="144" customWidth="1"/>
    <col min="5647" max="5647" width="9" style="144"/>
    <col min="5648" max="5648" width="11.125" style="144" bestFit="1" customWidth="1"/>
    <col min="5649" max="5649" width="14.25" style="144" bestFit="1" customWidth="1"/>
    <col min="5650" max="5650" width="12.125" style="144" bestFit="1" customWidth="1"/>
    <col min="5651" max="5890" width="9" style="144"/>
    <col min="5891" max="5892" width="12.125" style="144" customWidth="1"/>
    <col min="5893" max="5893" width="8.125" style="144" customWidth="1"/>
    <col min="5894" max="5894" width="12.125" style="144" customWidth="1"/>
    <col min="5895" max="5895" width="6.5" style="144" customWidth="1"/>
    <col min="5896" max="5896" width="5.875" style="144" customWidth="1"/>
    <col min="5897" max="5897" width="10.125" style="144" customWidth="1"/>
    <col min="5898" max="5898" width="6.625" style="144" customWidth="1"/>
    <col min="5899" max="5899" width="13.25" style="144" customWidth="1"/>
    <col min="5900" max="5900" width="1.75" style="144" customWidth="1"/>
    <col min="5901" max="5901" width="9" style="144" customWidth="1"/>
    <col min="5902" max="5902" width="15.875" style="144" customWidth="1"/>
    <col min="5903" max="5903" width="9" style="144"/>
    <col min="5904" max="5904" width="11.125" style="144" bestFit="1" customWidth="1"/>
    <col min="5905" max="5905" width="14.25" style="144" bestFit="1" customWidth="1"/>
    <col min="5906" max="5906" width="12.125" style="144" bestFit="1" customWidth="1"/>
    <col min="5907" max="6146" width="9" style="144"/>
    <col min="6147" max="6148" width="12.125" style="144" customWidth="1"/>
    <col min="6149" max="6149" width="8.125" style="144" customWidth="1"/>
    <col min="6150" max="6150" width="12.125" style="144" customWidth="1"/>
    <col min="6151" max="6151" width="6.5" style="144" customWidth="1"/>
    <col min="6152" max="6152" width="5.875" style="144" customWidth="1"/>
    <col min="6153" max="6153" width="10.125" style="144" customWidth="1"/>
    <col min="6154" max="6154" width="6.625" style="144" customWidth="1"/>
    <col min="6155" max="6155" width="13.25" style="144" customWidth="1"/>
    <col min="6156" max="6156" width="1.75" style="144" customWidth="1"/>
    <col min="6157" max="6157" width="9" style="144" customWidth="1"/>
    <col min="6158" max="6158" width="15.875" style="144" customWidth="1"/>
    <col min="6159" max="6159" width="9" style="144"/>
    <col min="6160" max="6160" width="11.125" style="144" bestFit="1" customWidth="1"/>
    <col min="6161" max="6161" width="14.25" style="144" bestFit="1" customWidth="1"/>
    <col min="6162" max="6162" width="12.125" style="144" bestFit="1" customWidth="1"/>
    <col min="6163" max="6402" width="9" style="144"/>
    <col min="6403" max="6404" width="12.125" style="144" customWidth="1"/>
    <col min="6405" max="6405" width="8.125" style="144" customWidth="1"/>
    <col min="6406" max="6406" width="12.125" style="144" customWidth="1"/>
    <col min="6407" max="6407" width="6.5" style="144" customWidth="1"/>
    <col min="6408" max="6408" width="5.875" style="144" customWidth="1"/>
    <col min="6409" max="6409" width="10.125" style="144" customWidth="1"/>
    <col min="6410" max="6410" width="6.625" style="144" customWidth="1"/>
    <col min="6411" max="6411" width="13.25" style="144" customWidth="1"/>
    <col min="6412" max="6412" width="1.75" style="144" customWidth="1"/>
    <col min="6413" max="6413" width="9" style="144" customWidth="1"/>
    <col min="6414" max="6414" width="15.875" style="144" customWidth="1"/>
    <col min="6415" max="6415" width="9" style="144"/>
    <col min="6416" max="6416" width="11.125" style="144" bestFit="1" customWidth="1"/>
    <col min="6417" max="6417" width="14.25" style="144" bestFit="1" customWidth="1"/>
    <col min="6418" max="6418" width="12.125" style="144" bestFit="1" customWidth="1"/>
    <col min="6419" max="6658" width="9" style="144"/>
    <col min="6659" max="6660" width="12.125" style="144" customWidth="1"/>
    <col min="6661" max="6661" width="8.125" style="144" customWidth="1"/>
    <col min="6662" max="6662" width="12.125" style="144" customWidth="1"/>
    <col min="6663" max="6663" width="6.5" style="144" customWidth="1"/>
    <col min="6664" max="6664" width="5.875" style="144" customWidth="1"/>
    <col min="6665" max="6665" width="10.125" style="144" customWidth="1"/>
    <col min="6666" max="6666" width="6.625" style="144" customWidth="1"/>
    <col min="6667" max="6667" width="13.25" style="144" customWidth="1"/>
    <col min="6668" max="6668" width="1.75" style="144" customWidth="1"/>
    <col min="6669" max="6669" width="9" style="144" customWidth="1"/>
    <col min="6670" max="6670" width="15.875" style="144" customWidth="1"/>
    <col min="6671" max="6671" width="9" style="144"/>
    <col min="6672" max="6672" width="11.125" style="144" bestFit="1" customWidth="1"/>
    <col min="6673" max="6673" width="14.25" style="144" bestFit="1" customWidth="1"/>
    <col min="6674" max="6674" width="12.125" style="144" bestFit="1" customWidth="1"/>
    <col min="6675" max="6914" width="9" style="144"/>
    <col min="6915" max="6916" width="12.125" style="144" customWidth="1"/>
    <col min="6917" max="6917" width="8.125" style="144" customWidth="1"/>
    <col min="6918" max="6918" width="12.125" style="144" customWidth="1"/>
    <col min="6919" max="6919" width="6.5" style="144" customWidth="1"/>
    <col min="6920" max="6920" width="5.875" style="144" customWidth="1"/>
    <col min="6921" max="6921" width="10.125" style="144" customWidth="1"/>
    <col min="6922" max="6922" width="6.625" style="144" customWidth="1"/>
    <col min="6923" max="6923" width="13.25" style="144" customWidth="1"/>
    <col min="6924" max="6924" width="1.75" style="144" customWidth="1"/>
    <col min="6925" max="6925" width="9" style="144" customWidth="1"/>
    <col min="6926" max="6926" width="15.875" style="144" customWidth="1"/>
    <col min="6927" max="6927" width="9" style="144"/>
    <col min="6928" max="6928" width="11.125" style="144" bestFit="1" customWidth="1"/>
    <col min="6929" max="6929" width="14.25" style="144" bestFit="1" customWidth="1"/>
    <col min="6930" max="6930" width="12.125" style="144" bestFit="1" customWidth="1"/>
    <col min="6931" max="7170" width="9" style="144"/>
    <col min="7171" max="7172" width="12.125" style="144" customWidth="1"/>
    <col min="7173" max="7173" width="8.125" style="144" customWidth="1"/>
    <col min="7174" max="7174" width="12.125" style="144" customWidth="1"/>
    <col min="7175" max="7175" width="6.5" style="144" customWidth="1"/>
    <col min="7176" max="7176" width="5.875" style="144" customWidth="1"/>
    <col min="7177" max="7177" width="10.125" style="144" customWidth="1"/>
    <col min="7178" max="7178" width="6.625" style="144" customWidth="1"/>
    <col min="7179" max="7179" width="13.25" style="144" customWidth="1"/>
    <col min="7180" max="7180" width="1.75" style="144" customWidth="1"/>
    <col min="7181" max="7181" width="9" style="144" customWidth="1"/>
    <col min="7182" max="7182" width="15.875" style="144" customWidth="1"/>
    <col min="7183" max="7183" width="9" style="144"/>
    <col min="7184" max="7184" width="11.125" style="144" bestFit="1" customWidth="1"/>
    <col min="7185" max="7185" width="14.25" style="144" bestFit="1" customWidth="1"/>
    <col min="7186" max="7186" width="12.125" style="144" bestFit="1" customWidth="1"/>
    <col min="7187" max="7426" width="9" style="144"/>
    <col min="7427" max="7428" width="12.125" style="144" customWidth="1"/>
    <col min="7429" max="7429" width="8.125" style="144" customWidth="1"/>
    <col min="7430" max="7430" width="12.125" style="144" customWidth="1"/>
    <col min="7431" max="7431" width="6.5" style="144" customWidth="1"/>
    <col min="7432" max="7432" width="5.875" style="144" customWidth="1"/>
    <col min="7433" max="7433" width="10.125" style="144" customWidth="1"/>
    <col min="7434" max="7434" width="6.625" style="144" customWidth="1"/>
    <col min="7435" max="7435" width="13.25" style="144" customWidth="1"/>
    <col min="7436" max="7436" width="1.75" style="144" customWidth="1"/>
    <col min="7437" max="7437" width="9" style="144" customWidth="1"/>
    <col min="7438" max="7438" width="15.875" style="144" customWidth="1"/>
    <col min="7439" max="7439" width="9" style="144"/>
    <col min="7440" max="7440" width="11.125" style="144" bestFit="1" customWidth="1"/>
    <col min="7441" max="7441" width="14.25" style="144" bestFit="1" customWidth="1"/>
    <col min="7442" max="7442" width="12.125" style="144" bestFit="1" customWidth="1"/>
    <col min="7443" max="7682" width="9" style="144"/>
    <col min="7683" max="7684" width="12.125" style="144" customWidth="1"/>
    <col min="7685" max="7685" width="8.125" style="144" customWidth="1"/>
    <col min="7686" max="7686" width="12.125" style="144" customWidth="1"/>
    <col min="7687" max="7687" width="6.5" style="144" customWidth="1"/>
    <col min="7688" max="7688" width="5.875" style="144" customWidth="1"/>
    <col min="7689" max="7689" width="10.125" style="144" customWidth="1"/>
    <col min="7690" max="7690" width="6.625" style="144" customWidth="1"/>
    <col min="7691" max="7691" width="13.25" style="144" customWidth="1"/>
    <col min="7692" max="7692" width="1.75" style="144" customWidth="1"/>
    <col min="7693" max="7693" width="9" style="144" customWidth="1"/>
    <col min="7694" max="7694" width="15.875" style="144" customWidth="1"/>
    <col min="7695" max="7695" width="9" style="144"/>
    <col min="7696" max="7696" width="11.125" style="144" bestFit="1" customWidth="1"/>
    <col min="7697" max="7697" width="14.25" style="144" bestFit="1" customWidth="1"/>
    <col min="7698" max="7698" width="12.125" style="144" bestFit="1" customWidth="1"/>
    <col min="7699" max="7938" width="9" style="144"/>
    <col min="7939" max="7940" width="12.125" style="144" customWidth="1"/>
    <col min="7941" max="7941" width="8.125" style="144" customWidth="1"/>
    <col min="7942" max="7942" width="12.125" style="144" customWidth="1"/>
    <col min="7943" max="7943" width="6.5" style="144" customWidth="1"/>
    <col min="7944" max="7944" width="5.875" style="144" customWidth="1"/>
    <col min="7945" max="7945" width="10.125" style="144" customWidth="1"/>
    <col min="7946" max="7946" width="6.625" style="144" customWidth="1"/>
    <col min="7947" max="7947" width="13.25" style="144" customWidth="1"/>
    <col min="7948" max="7948" width="1.75" style="144" customWidth="1"/>
    <col min="7949" max="7949" width="9" style="144" customWidth="1"/>
    <col min="7950" max="7950" width="15.875" style="144" customWidth="1"/>
    <col min="7951" max="7951" width="9" style="144"/>
    <col min="7952" max="7952" width="11.125" style="144" bestFit="1" customWidth="1"/>
    <col min="7953" max="7953" width="14.25" style="144" bestFit="1" customWidth="1"/>
    <col min="7954" max="7954" width="12.125" style="144" bestFit="1" customWidth="1"/>
    <col min="7955" max="8194" width="9" style="144"/>
    <col min="8195" max="8196" width="12.125" style="144" customWidth="1"/>
    <col min="8197" max="8197" width="8.125" style="144" customWidth="1"/>
    <col min="8198" max="8198" width="12.125" style="144" customWidth="1"/>
    <col min="8199" max="8199" width="6.5" style="144" customWidth="1"/>
    <col min="8200" max="8200" width="5.875" style="144" customWidth="1"/>
    <col min="8201" max="8201" width="10.125" style="144" customWidth="1"/>
    <col min="8202" max="8202" width="6.625" style="144" customWidth="1"/>
    <col min="8203" max="8203" width="13.25" style="144" customWidth="1"/>
    <col min="8204" max="8204" width="1.75" style="144" customWidth="1"/>
    <col min="8205" max="8205" width="9" style="144" customWidth="1"/>
    <col min="8206" max="8206" width="15.875" style="144" customWidth="1"/>
    <col min="8207" max="8207" width="9" style="144"/>
    <col min="8208" max="8208" width="11.125" style="144" bestFit="1" customWidth="1"/>
    <col min="8209" max="8209" width="14.25" style="144" bestFit="1" customWidth="1"/>
    <col min="8210" max="8210" width="12.125" style="144" bestFit="1" customWidth="1"/>
    <col min="8211" max="8450" width="9" style="144"/>
    <col min="8451" max="8452" width="12.125" style="144" customWidth="1"/>
    <col min="8453" max="8453" width="8.125" style="144" customWidth="1"/>
    <col min="8454" max="8454" width="12.125" style="144" customWidth="1"/>
    <col min="8455" max="8455" width="6.5" style="144" customWidth="1"/>
    <col min="8456" max="8456" width="5.875" style="144" customWidth="1"/>
    <col min="8457" max="8457" width="10.125" style="144" customWidth="1"/>
    <col min="8458" max="8458" width="6.625" style="144" customWidth="1"/>
    <col min="8459" max="8459" width="13.25" style="144" customWidth="1"/>
    <col min="8460" max="8460" width="1.75" style="144" customWidth="1"/>
    <col min="8461" max="8461" width="9" style="144" customWidth="1"/>
    <col min="8462" max="8462" width="15.875" style="144" customWidth="1"/>
    <col min="8463" max="8463" width="9" style="144"/>
    <col min="8464" max="8464" width="11.125" style="144" bestFit="1" customWidth="1"/>
    <col min="8465" max="8465" width="14.25" style="144" bestFit="1" customWidth="1"/>
    <col min="8466" max="8466" width="12.125" style="144" bestFit="1" customWidth="1"/>
    <col min="8467" max="8706" width="9" style="144"/>
    <col min="8707" max="8708" width="12.125" style="144" customWidth="1"/>
    <col min="8709" max="8709" width="8.125" style="144" customWidth="1"/>
    <col min="8710" max="8710" width="12.125" style="144" customWidth="1"/>
    <col min="8711" max="8711" width="6.5" style="144" customWidth="1"/>
    <col min="8712" max="8712" width="5.875" style="144" customWidth="1"/>
    <col min="8713" max="8713" width="10.125" style="144" customWidth="1"/>
    <col min="8714" max="8714" width="6.625" style="144" customWidth="1"/>
    <col min="8715" max="8715" width="13.25" style="144" customWidth="1"/>
    <col min="8716" max="8716" width="1.75" style="144" customWidth="1"/>
    <col min="8717" max="8717" width="9" style="144" customWidth="1"/>
    <col min="8718" max="8718" width="15.875" style="144" customWidth="1"/>
    <col min="8719" max="8719" width="9" style="144"/>
    <col min="8720" max="8720" width="11.125" style="144" bestFit="1" customWidth="1"/>
    <col min="8721" max="8721" width="14.25" style="144" bestFit="1" customWidth="1"/>
    <col min="8722" max="8722" width="12.125" style="144" bestFit="1" customWidth="1"/>
    <col min="8723" max="8962" width="9" style="144"/>
    <col min="8963" max="8964" width="12.125" style="144" customWidth="1"/>
    <col min="8965" max="8965" width="8.125" style="144" customWidth="1"/>
    <col min="8966" max="8966" width="12.125" style="144" customWidth="1"/>
    <col min="8967" max="8967" width="6.5" style="144" customWidth="1"/>
    <col min="8968" max="8968" width="5.875" style="144" customWidth="1"/>
    <col min="8969" max="8969" width="10.125" style="144" customWidth="1"/>
    <col min="8970" max="8970" width="6.625" style="144" customWidth="1"/>
    <col min="8971" max="8971" width="13.25" style="144" customWidth="1"/>
    <col min="8972" max="8972" width="1.75" style="144" customWidth="1"/>
    <col min="8973" max="8973" width="9" style="144" customWidth="1"/>
    <col min="8974" max="8974" width="15.875" style="144" customWidth="1"/>
    <col min="8975" max="8975" width="9" style="144"/>
    <col min="8976" max="8976" width="11.125" style="144" bestFit="1" customWidth="1"/>
    <col min="8977" max="8977" width="14.25" style="144" bestFit="1" customWidth="1"/>
    <col min="8978" max="8978" width="12.125" style="144" bestFit="1" customWidth="1"/>
    <col min="8979" max="9218" width="9" style="144"/>
    <col min="9219" max="9220" width="12.125" style="144" customWidth="1"/>
    <col min="9221" max="9221" width="8.125" style="144" customWidth="1"/>
    <col min="9222" max="9222" width="12.125" style="144" customWidth="1"/>
    <col min="9223" max="9223" width="6.5" style="144" customWidth="1"/>
    <col min="9224" max="9224" width="5.875" style="144" customWidth="1"/>
    <col min="9225" max="9225" width="10.125" style="144" customWidth="1"/>
    <col min="9226" max="9226" width="6.625" style="144" customWidth="1"/>
    <col min="9227" max="9227" width="13.25" style="144" customWidth="1"/>
    <col min="9228" max="9228" width="1.75" style="144" customWidth="1"/>
    <col min="9229" max="9229" width="9" style="144" customWidth="1"/>
    <col min="9230" max="9230" width="15.875" style="144" customWidth="1"/>
    <col min="9231" max="9231" width="9" style="144"/>
    <col min="9232" max="9232" width="11.125" style="144" bestFit="1" customWidth="1"/>
    <col min="9233" max="9233" width="14.25" style="144" bestFit="1" customWidth="1"/>
    <col min="9234" max="9234" width="12.125" style="144" bestFit="1" customWidth="1"/>
    <col min="9235" max="9474" width="9" style="144"/>
    <col min="9475" max="9476" width="12.125" style="144" customWidth="1"/>
    <col min="9477" max="9477" width="8.125" style="144" customWidth="1"/>
    <col min="9478" max="9478" width="12.125" style="144" customWidth="1"/>
    <col min="9479" max="9479" width="6.5" style="144" customWidth="1"/>
    <col min="9480" max="9480" width="5.875" style="144" customWidth="1"/>
    <col min="9481" max="9481" width="10.125" style="144" customWidth="1"/>
    <col min="9482" max="9482" width="6.625" style="144" customWidth="1"/>
    <col min="9483" max="9483" width="13.25" style="144" customWidth="1"/>
    <col min="9484" max="9484" width="1.75" style="144" customWidth="1"/>
    <col min="9485" max="9485" width="9" style="144" customWidth="1"/>
    <col min="9486" max="9486" width="15.875" style="144" customWidth="1"/>
    <col min="9487" max="9487" width="9" style="144"/>
    <col min="9488" max="9488" width="11.125" style="144" bestFit="1" customWidth="1"/>
    <col min="9489" max="9489" width="14.25" style="144" bestFit="1" customWidth="1"/>
    <col min="9490" max="9490" width="12.125" style="144" bestFit="1" customWidth="1"/>
    <col min="9491" max="9730" width="9" style="144"/>
    <col min="9731" max="9732" width="12.125" style="144" customWidth="1"/>
    <col min="9733" max="9733" width="8.125" style="144" customWidth="1"/>
    <col min="9734" max="9734" width="12.125" style="144" customWidth="1"/>
    <col min="9735" max="9735" width="6.5" style="144" customWidth="1"/>
    <col min="9736" max="9736" width="5.875" style="144" customWidth="1"/>
    <col min="9737" max="9737" width="10.125" style="144" customWidth="1"/>
    <col min="9738" max="9738" width="6.625" style="144" customWidth="1"/>
    <col min="9739" max="9739" width="13.25" style="144" customWidth="1"/>
    <col min="9740" max="9740" width="1.75" style="144" customWidth="1"/>
    <col min="9741" max="9741" width="9" style="144" customWidth="1"/>
    <col min="9742" max="9742" width="15.875" style="144" customWidth="1"/>
    <col min="9743" max="9743" width="9" style="144"/>
    <col min="9744" max="9744" width="11.125" style="144" bestFit="1" customWidth="1"/>
    <col min="9745" max="9745" width="14.25" style="144" bestFit="1" customWidth="1"/>
    <col min="9746" max="9746" width="12.125" style="144" bestFit="1" customWidth="1"/>
    <col min="9747" max="9986" width="9" style="144"/>
    <col min="9987" max="9988" width="12.125" style="144" customWidth="1"/>
    <col min="9989" max="9989" width="8.125" style="144" customWidth="1"/>
    <col min="9990" max="9990" width="12.125" style="144" customWidth="1"/>
    <col min="9991" max="9991" width="6.5" style="144" customWidth="1"/>
    <col min="9992" max="9992" width="5.875" style="144" customWidth="1"/>
    <col min="9993" max="9993" width="10.125" style="144" customWidth="1"/>
    <col min="9994" max="9994" width="6.625" style="144" customWidth="1"/>
    <col min="9995" max="9995" width="13.25" style="144" customWidth="1"/>
    <col min="9996" max="9996" width="1.75" style="144" customWidth="1"/>
    <col min="9997" max="9997" width="9" style="144" customWidth="1"/>
    <col min="9998" max="9998" width="15.875" style="144" customWidth="1"/>
    <col min="9999" max="9999" width="9" style="144"/>
    <col min="10000" max="10000" width="11.125" style="144" bestFit="1" customWidth="1"/>
    <col min="10001" max="10001" width="14.25" style="144" bestFit="1" customWidth="1"/>
    <col min="10002" max="10002" width="12.125" style="144" bestFit="1" customWidth="1"/>
    <col min="10003" max="10242" width="9" style="144"/>
    <col min="10243" max="10244" width="12.125" style="144" customWidth="1"/>
    <col min="10245" max="10245" width="8.125" style="144" customWidth="1"/>
    <col min="10246" max="10246" width="12.125" style="144" customWidth="1"/>
    <col min="10247" max="10247" width="6.5" style="144" customWidth="1"/>
    <col min="10248" max="10248" width="5.875" style="144" customWidth="1"/>
    <col min="10249" max="10249" width="10.125" style="144" customWidth="1"/>
    <col min="10250" max="10250" width="6.625" style="144" customWidth="1"/>
    <col min="10251" max="10251" width="13.25" style="144" customWidth="1"/>
    <col min="10252" max="10252" width="1.75" style="144" customWidth="1"/>
    <col min="10253" max="10253" width="9" style="144" customWidth="1"/>
    <col min="10254" max="10254" width="15.875" style="144" customWidth="1"/>
    <col min="10255" max="10255" width="9" style="144"/>
    <col min="10256" max="10256" width="11.125" style="144" bestFit="1" customWidth="1"/>
    <col min="10257" max="10257" width="14.25" style="144" bestFit="1" customWidth="1"/>
    <col min="10258" max="10258" width="12.125" style="144" bestFit="1" customWidth="1"/>
    <col min="10259" max="10498" width="9" style="144"/>
    <col min="10499" max="10500" width="12.125" style="144" customWidth="1"/>
    <col min="10501" max="10501" width="8.125" style="144" customWidth="1"/>
    <col min="10502" max="10502" width="12.125" style="144" customWidth="1"/>
    <col min="10503" max="10503" width="6.5" style="144" customWidth="1"/>
    <col min="10504" max="10504" width="5.875" style="144" customWidth="1"/>
    <col min="10505" max="10505" width="10.125" style="144" customWidth="1"/>
    <col min="10506" max="10506" width="6.625" style="144" customWidth="1"/>
    <col min="10507" max="10507" width="13.25" style="144" customWidth="1"/>
    <col min="10508" max="10508" width="1.75" style="144" customWidth="1"/>
    <col min="10509" max="10509" width="9" style="144" customWidth="1"/>
    <col min="10510" max="10510" width="15.875" style="144" customWidth="1"/>
    <col min="10511" max="10511" width="9" style="144"/>
    <col min="10512" max="10512" width="11.125" style="144" bestFit="1" customWidth="1"/>
    <col min="10513" max="10513" width="14.25" style="144" bestFit="1" customWidth="1"/>
    <col min="10514" max="10514" width="12.125" style="144" bestFit="1" customWidth="1"/>
    <col min="10515" max="10754" width="9" style="144"/>
    <col min="10755" max="10756" width="12.125" style="144" customWidth="1"/>
    <col min="10757" max="10757" width="8.125" style="144" customWidth="1"/>
    <col min="10758" max="10758" width="12.125" style="144" customWidth="1"/>
    <col min="10759" max="10759" width="6.5" style="144" customWidth="1"/>
    <col min="10760" max="10760" width="5.875" style="144" customWidth="1"/>
    <col min="10761" max="10761" width="10.125" style="144" customWidth="1"/>
    <col min="10762" max="10762" width="6.625" style="144" customWidth="1"/>
    <col min="10763" max="10763" width="13.25" style="144" customWidth="1"/>
    <col min="10764" max="10764" width="1.75" style="144" customWidth="1"/>
    <col min="10765" max="10765" width="9" style="144" customWidth="1"/>
    <col min="10766" max="10766" width="15.875" style="144" customWidth="1"/>
    <col min="10767" max="10767" width="9" style="144"/>
    <col min="10768" max="10768" width="11.125" style="144" bestFit="1" customWidth="1"/>
    <col min="10769" max="10769" width="14.25" style="144" bestFit="1" customWidth="1"/>
    <col min="10770" max="10770" width="12.125" style="144" bestFit="1" customWidth="1"/>
    <col min="10771" max="11010" width="9" style="144"/>
    <col min="11011" max="11012" width="12.125" style="144" customWidth="1"/>
    <col min="11013" max="11013" width="8.125" style="144" customWidth="1"/>
    <col min="11014" max="11014" width="12.125" style="144" customWidth="1"/>
    <col min="11015" max="11015" width="6.5" style="144" customWidth="1"/>
    <col min="11016" max="11016" width="5.875" style="144" customWidth="1"/>
    <col min="11017" max="11017" width="10.125" style="144" customWidth="1"/>
    <col min="11018" max="11018" width="6.625" style="144" customWidth="1"/>
    <col min="11019" max="11019" width="13.25" style="144" customWidth="1"/>
    <col min="11020" max="11020" width="1.75" style="144" customWidth="1"/>
    <col min="11021" max="11021" width="9" style="144" customWidth="1"/>
    <col min="11022" max="11022" width="15.875" style="144" customWidth="1"/>
    <col min="11023" max="11023" width="9" style="144"/>
    <col min="11024" max="11024" width="11.125" style="144" bestFit="1" customWidth="1"/>
    <col min="11025" max="11025" width="14.25" style="144" bestFit="1" customWidth="1"/>
    <col min="11026" max="11026" width="12.125" style="144" bestFit="1" customWidth="1"/>
    <col min="11027" max="11266" width="9" style="144"/>
    <col min="11267" max="11268" width="12.125" style="144" customWidth="1"/>
    <col min="11269" max="11269" width="8.125" style="144" customWidth="1"/>
    <col min="11270" max="11270" width="12.125" style="144" customWidth="1"/>
    <col min="11271" max="11271" width="6.5" style="144" customWidth="1"/>
    <col min="11272" max="11272" width="5.875" style="144" customWidth="1"/>
    <col min="11273" max="11273" width="10.125" style="144" customWidth="1"/>
    <col min="11274" max="11274" width="6.625" style="144" customWidth="1"/>
    <col min="11275" max="11275" width="13.25" style="144" customWidth="1"/>
    <col min="11276" max="11276" width="1.75" style="144" customWidth="1"/>
    <col min="11277" max="11277" width="9" style="144" customWidth="1"/>
    <col min="11278" max="11278" width="15.875" style="144" customWidth="1"/>
    <col min="11279" max="11279" width="9" style="144"/>
    <col min="11280" max="11280" width="11.125" style="144" bestFit="1" customWidth="1"/>
    <col min="11281" max="11281" width="14.25" style="144" bestFit="1" customWidth="1"/>
    <col min="11282" max="11282" width="12.125" style="144" bestFit="1" customWidth="1"/>
    <col min="11283" max="11522" width="9" style="144"/>
    <col min="11523" max="11524" width="12.125" style="144" customWidth="1"/>
    <col min="11525" max="11525" width="8.125" style="144" customWidth="1"/>
    <col min="11526" max="11526" width="12.125" style="144" customWidth="1"/>
    <col min="11527" max="11527" width="6.5" style="144" customWidth="1"/>
    <col min="11528" max="11528" width="5.875" style="144" customWidth="1"/>
    <col min="11529" max="11529" width="10.125" style="144" customWidth="1"/>
    <col min="11530" max="11530" width="6.625" style="144" customWidth="1"/>
    <col min="11531" max="11531" width="13.25" style="144" customWidth="1"/>
    <col min="11532" max="11532" width="1.75" style="144" customWidth="1"/>
    <col min="11533" max="11533" width="9" style="144" customWidth="1"/>
    <col min="11534" max="11534" width="15.875" style="144" customWidth="1"/>
    <col min="11535" max="11535" width="9" style="144"/>
    <col min="11536" max="11536" width="11.125" style="144" bestFit="1" customWidth="1"/>
    <col min="11537" max="11537" width="14.25" style="144" bestFit="1" customWidth="1"/>
    <col min="11538" max="11538" width="12.125" style="144" bestFit="1" customWidth="1"/>
    <col min="11539" max="11778" width="9" style="144"/>
    <col min="11779" max="11780" width="12.125" style="144" customWidth="1"/>
    <col min="11781" max="11781" width="8.125" style="144" customWidth="1"/>
    <col min="11782" max="11782" width="12.125" style="144" customWidth="1"/>
    <col min="11783" max="11783" width="6.5" style="144" customWidth="1"/>
    <col min="11784" max="11784" width="5.875" style="144" customWidth="1"/>
    <col min="11785" max="11785" width="10.125" style="144" customWidth="1"/>
    <col min="11786" max="11786" width="6.625" style="144" customWidth="1"/>
    <col min="11787" max="11787" width="13.25" style="144" customWidth="1"/>
    <col min="11788" max="11788" width="1.75" style="144" customWidth="1"/>
    <col min="11789" max="11789" width="9" style="144" customWidth="1"/>
    <col min="11790" max="11790" width="15.875" style="144" customWidth="1"/>
    <col min="11791" max="11791" width="9" style="144"/>
    <col min="11792" max="11792" width="11.125" style="144" bestFit="1" customWidth="1"/>
    <col min="11793" max="11793" width="14.25" style="144" bestFit="1" customWidth="1"/>
    <col min="11794" max="11794" width="12.125" style="144" bestFit="1" customWidth="1"/>
    <col min="11795" max="12034" width="9" style="144"/>
    <col min="12035" max="12036" width="12.125" style="144" customWidth="1"/>
    <col min="12037" max="12037" width="8.125" style="144" customWidth="1"/>
    <col min="12038" max="12038" width="12.125" style="144" customWidth="1"/>
    <col min="12039" max="12039" width="6.5" style="144" customWidth="1"/>
    <col min="12040" max="12040" width="5.875" style="144" customWidth="1"/>
    <col min="12041" max="12041" width="10.125" style="144" customWidth="1"/>
    <col min="12042" max="12042" width="6.625" style="144" customWidth="1"/>
    <col min="12043" max="12043" width="13.25" style="144" customWidth="1"/>
    <col min="12044" max="12044" width="1.75" style="144" customWidth="1"/>
    <col min="12045" max="12045" width="9" style="144" customWidth="1"/>
    <col min="12046" max="12046" width="15.875" style="144" customWidth="1"/>
    <col min="12047" max="12047" width="9" style="144"/>
    <col min="12048" max="12048" width="11.125" style="144" bestFit="1" customWidth="1"/>
    <col min="12049" max="12049" width="14.25" style="144" bestFit="1" customWidth="1"/>
    <col min="12050" max="12050" width="12.125" style="144" bestFit="1" customWidth="1"/>
    <col min="12051" max="12290" width="9" style="144"/>
    <col min="12291" max="12292" width="12.125" style="144" customWidth="1"/>
    <col min="12293" max="12293" width="8.125" style="144" customWidth="1"/>
    <col min="12294" max="12294" width="12.125" style="144" customWidth="1"/>
    <col min="12295" max="12295" width="6.5" style="144" customWidth="1"/>
    <col min="12296" max="12296" width="5.875" style="144" customWidth="1"/>
    <col min="12297" max="12297" width="10.125" style="144" customWidth="1"/>
    <col min="12298" max="12298" width="6.625" style="144" customWidth="1"/>
    <col min="12299" max="12299" width="13.25" style="144" customWidth="1"/>
    <col min="12300" max="12300" width="1.75" style="144" customWidth="1"/>
    <col min="12301" max="12301" width="9" style="144" customWidth="1"/>
    <col min="12302" max="12302" width="15.875" style="144" customWidth="1"/>
    <col min="12303" max="12303" width="9" style="144"/>
    <col min="12304" max="12304" width="11.125" style="144" bestFit="1" customWidth="1"/>
    <col min="12305" max="12305" width="14.25" style="144" bestFit="1" customWidth="1"/>
    <col min="12306" max="12306" width="12.125" style="144" bestFit="1" customWidth="1"/>
    <col min="12307" max="12546" width="9" style="144"/>
    <col min="12547" max="12548" width="12.125" style="144" customWidth="1"/>
    <col min="12549" max="12549" width="8.125" style="144" customWidth="1"/>
    <col min="12550" max="12550" width="12.125" style="144" customWidth="1"/>
    <col min="12551" max="12551" width="6.5" style="144" customWidth="1"/>
    <col min="12552" max="12552" width="5.875" style="144" customWidth="1"/>
    <col min="12553" max="12553" width="10.125" style="144" customWidth="1"/>
    <col min="12554" max="12554" width="6.625" style="144" customWidth="1"/>
    <col min="12555" max="12555" width="13.25" style="144" customWidth="1"/>
    <col min="12556" max="12556" width="1.75" style="144" customWidth="1"/>
    <col min="12557" max="12557" width="9" style="144" customWidth="1"/>
    <col min="12558" max="12558" width="15.875" style="144" customWidth="1"/>
    <col min="12559" max="12559" width="9" style="144"/>
    <col min="12560" max="12560" width="11.125" style="144" bestFit="1" customWidth="1"/>
    <col min="12561" max="12561" width="14.25" style="144" bestFit="1" customWidth="1"/>
    <col min="12562" max="12562" width="12.125" style="144" bestFit="1" customWidth="1"/>
    <col min="12563" max="12802" width="9" style="144"/>
    <col min="12803" max="12804" width="12.125" style="144" customWidth="1"/>
    <col min="12805" max="12805" width="8.125" style="144" customWidth="1"/>
    <col min="12806" max="12806" width="12.125" style="144" customWidth="1"/>
    <col min="12807" max="12807" width="6.5" style="144" customWidth="1"/>
    <col min="12808" max="12808" width="5.875" style="144" customWidth="1"/>
    <col min="12809" max="12809" width="10.125" style="144" customWidth="1"/>
    <col min="12810" max="12810" width="6.625" style="144" customWidth="1"/>
    <col min="12811" max="12811" width="13.25" style="144" customWidth="1"/>
    <col min="12812" max="12812" width="1.75" style="144" customWidth="1"/>
    <col min="12813" max="12813" width="9" style="144" customWidth="1"/>
    <col min="12814" max="12814" width="15.875" style="144" customWidth="1"/>
    <col min="12815" max="12815" width="9" style="144"/>
    <col min="12816" max="12816" width="11.125" style="144" bestFit="1" customWidth="1"/>
    <col min="12817" max="12817" width="14.25" style="144" bestFit="1" customWidth="1"/>
    <col min="12818" max="12818" width="12.125" style="144" bestFit="1" customWidth="1"/>
    <col min="12819" max="13058" width="9" style="144"/>
    <col min="13059" max="13060" width="12.125" style="144" customWidth="1"/>
    <col min="13061" max="13061" width="8.125" style="144" customWidth="1"/>
    <col min="13062" max="13062" width="12.125" style="144" customWidth="1"/>
    <col min="13063" max="13063" width="6.5" style="144" customWidth="1"/>
    <col min="13064" max="13064" width="5.875" style="144" customWidth="1"/>
    <col min="13065" max="13065" width="10.125" style="144" customWidth="1"/>
    <col min="13066" max="13066" width="6.625" style="144" customWidth="1"/>
    <col min="13067" max="13067" width="13.25" style="144" customWidth="1"/>
    <col min="13068" max="13068" width="1.75" style="144" customWidth="1"/>
    <col min="13069" max="13069" width="9" style="144" customWidth="1"/>
    <col min="13070" max="13070" width="15.875" style="144" customWidth="1"/>
    <col min="13071" max="13071" width="9" style="144"/>
    <col min="13072" max="13072" width="11.125" style="144" bestFit="1" customWidth="1"/>
    <col min="13073" max="13073" width="14.25" style="144" bestFit="1" customWidth="1"/>
    <col min="13074" max="13074" width="12.125" style="144" bestFit="1" customWidth="1"/>
    <col min="13075" max="13314" width="9" style="144"/>
    <col min="13315" max="13316" width="12.125" style="144" customWidth="1"/>
    <col min="13317" max="13317" width="8.125" style="144" customWidth="1"/>
    <col min="13318" max="13318" width="12.125" style="144" customWidth="1"/>
    <col min="13319" max="13319" width="6.5" style="144" customWidth="1"/>
    <col min="13320" max="13320" width="5.875" style="144" customWidth="1"/>
    <col min="13321" max="13321" width="10.125" style="144" customWidth="1"/>
    <col min="13322" max="13322" width="6.625" style="144" customWidth="1"/>
    <col min="13323" max="13323" width="13.25" style="144" customWidth="1"/>
    <col min="13324" max="13324" width="1.75" style="144" customWidth="1"/>
    <col min="13325" max="13325" width="9" style="144" customWidth="1"/>
    <col min="13326" max="13326" width="15.875" style="144" customWidth="1"/>
    <col min="13327" max="13327" width="9" style="144"/>
    <col min="13328" max="13328" width="11.125" style="144" bestFit="1" customWidth="1"/>
    <col min="13329" max="13329" width="14.25" style="144" bestFit="1" customWidth="1"/>
    <col min="13330" max="13330" width="12.125" style="144" bestFit="1" customWidth="1"/>
    <col min="13331" max="13570" width="9" style="144"/>
    <col min="13571" max="13572" width="12.125" style="144" customWidth="1"/>
    <col min="13573" max="13573" width="8.125" style="144" customWidth="1"/>
    <col min="13574" max="13574" width="12.125" style="144" customWidth="1"/>
    <col min="13575" max="13575" width="6.5" style="144" customWidth="1"/>
    <col min="13576" max="13576" width="5.875" style="144" customWidth="1"/>
    <col min="13577" max="13577" width="10.125" style="144" customWidth="1"/>
    <col min="13578" max="13578" width="6.625" style="144" customWidth="1"/>
    <col min="13579" max="13579" width="13.25" style="144" customWidth="1"/>
    <col min="13580" max="13580" width="1.75" style="144" customWidth="1"/>
    <col min="13581" max="13581" width="9" style="144" customWidth="1"/>
    <col min="13582" max="13582" width="15.875" style="144" customWidth="1"/>
    <col min="13583" max="13583" width="9" style="144"/>
    <col min="13584" max="13584" width="11.125" style="144" bestFit="1" customWidth="1"/>
    <col min="13585" max="13585" width="14.25" style="144" bestFit="1" customWidth="1"/>
    <col min="13586" max="13586" width="12.125" style="144" bestFit="1" customWidth="1"/>
    <col min="13587" max="13826" width="9" style="144"/>
    <col min="13827" max="13828" width="12.125" style="144" customWidth="1"/>
    <col min="13829" max="13829" width="8.125" style="144" customWidth="1"/>
    <col min="13830" max="13830" width="12.125" style="144" customWidth="1"/>
    <col min="13831" max="13831" width="6.5" style="144" customWidth="1"/>
    <col min="13832" max="13832" width="5.875" style="144" customWidth="1"/>
    <col min="13833" max="13833" width="10.125" style="144" customWidth="1"/>
    <col min="13834" max="13834" width="6.625" style="144" customWidth="1"/>
    <col min="13835" max="13835" width="13.25" style="144" customWidth="1"/>
    <col min="13836" max="13836" width="1.75" style="144" customWidth="1"/>
    <col min="13837" max="13837" width="9" style="144" customWidth="1"/>
    <col min="13838" max="13838" width="15.875" style="144" customWidth="1"/>
    <col min="13839" max="13839" width="9" style="144"/>
    <col min="13840" max="13840" width="11.125" style="144" bestFit="1" customWidth="1"/>
    <col min="13841" max="13841" width="14.25" style="144" bestFit="1" customWidth="1"/>
    <col min="13842" max="13842" width="12.125" style="144" bestFit="1" customWidth="1"/>
    <col min="13843" max="14082" width="9" style="144"/>
    <col min="14083" max="14084" width="12.125" style="144" customWidth="1"/>
    <col min="14085" max="14085" width="8.125" style="144" customWidth="1"/>
    <col min="14086" max="14086" width="12.125" style="144" customWidth="1"/>
    <col min="14087" max="14087" width="6.5" style="144" customWidth="1"/>
    <col min="14088" max="14088" width="5.875" style="144" customWidth="1"/>
    <col min="14089" max="14089" width="10.125" style="144" customWidth="1"/>
    <col min="14090" max="14090" width="6.625" style="144" customWidth="1"/>
    <col min="14091" max="14091" width="13.25" style="144" customWidth="1"/>
    <col min="14092" max="14092" width="1.75" style="144" customWidth="1"/>
    <col min="14093" max="14093" width="9" style="144" customWidth="1"/>
    <col min="14094" max="14094" width="15.875" style="144" customWidth="1"/>
    <col min="14095" max="14095" width="9" style="144"/>
    <col min="14096" max="14096" width="11.125" style="144" bestFit="1" customWidth="1"/>
    <col min="14097" max="14097" width="14.25" style="144" bestFit="1" customWidth="1"/>
    <col min="14098" max="14098" width="12.125" style="144" bestFit="1" customWidth="1"/>
    <col min="14099" max="14338" width="9" style="144"/>
    <col min="14339" max="14340" width="12.125" style="144" customWidth="1"/>
    <col min="14341" max="14341" width="8.125" style="144" customWidth="1"/>
    <col min="14342" max="14342" width="12.125" style="144" customWidth="1"/>
    <col min="14343" max="14343" width="6.5" style="144" customWidth="1"/>
    <col min="14344" max="14344" width="5.875" style="144" customWidth="1"/>
    <col min="14345" max="14345" width="10.125" style="144" customWidth="1"/>
    <col min="14346" max="14346" width="6.625" style="144" customWidth="1"/>
    <col min="14347" max="14347" width="13.25" style="144" customWidth="1"/>
    <col min="14348" max="14348" width="1.75" style="144" customWidth="1"/>
    <col min="14349" max="14349" width="9" style="144" customWidth="1"/>
    <col min="14350" max="14350" width="15.875" style="144" customWidth="1"/>
    <col min="14351" max="14351" width="9" style="144"/>
    <col min="14352" max="14352" width="11.125" style="144" bestFit="1" customWidth="1"/>
    <col min="14353" max="14353" width="14.25" style="144" bestFit="1" customWidth="1"/>
    <col min="14354" max="14354" width="12.125" style="144" bestFit="1" customWidth="1"/>
    <col min="14355" max="14594" width="9" style="144"/>
    <col min="14595" max="14596" width="12.125" style="144" customWidth="1"/>
    <col min="14597" max="14597" width="8.125" style="144" customWidth="1"/>
    <col min="14598" max="14598" width="12.125" style="144" customWidth="1"/>
    <col min="14599" max="14599" width="6.5" style="144" customWidth="1"/>
    <col min="14600" max="14600" width="5.875" style="144" customWidth="1"/>
    <col min="14601" max="14601" width="10.125" style="144" customWidth="1"/>
    <col min="14602" max="14602" width="6.625" style="144" customWidth="1"/>
    <col min="14603" max="14603" width="13.25" style="144" customWidth="1"/>
    <col min="14604" max="14604" width="1.75" style="144" customWidth="1"/>
    <col min="14605" max="14605" width="9" style="144" customWidth="1"/>
    <col min="14606" max="14606" width="15.875" style="144" customWidth="1"/>
    <col min="14607" max="14607" width="9" style="144"/>
    <col min="14608" max="14608" width="11.125" style="144" bestFit="1" customWidth="1"/>
    <col min="14609" max="14609" width="14.25" style="144" bestFit="1" customWidth="1"/>
    <col min="14610" max="14610" width="12.125" style="144" bestFit="1" customWidth="1"/>
    <col min="14611" max="14850" width="9" style="144"/>
    <col min="14851" max="14852" width="12.125" style="144" customWidth="1"/>
    <col min="14853" max="14853" width="8.125" style="144" customWidth="1"/>
    <col min="14854" max="14854" width="12.125" style="144" customWidth="1"/>
    <col min="14855" max="14855" width="6.5" style="144" customWidth="1"/>
    <col min="14856" max="14856" width="5.875" style="144" customWidth="1"/>
    <col min="14857" max="14857" width="10.125" style="144" customWidth="1"/>
    <col min="14858" max="14858" width="6.625" style="144" customWidth="1"/>
    <col min="14859" max="14859" width="13.25" style="144" customWidth="1"/>
    <col min="14860" max="14860" width="1.75" style="144" customWidth="1"/>
    <col min="14861" max="14861" width="9" style="144" customWidth="1"/>
    <col min="14862" max="14862" width="15.875" style="144" customWidth="1"/>
    <col min="14863" max="14863" width="9" style="144"/>
    <col min="14864" max="14864" width="11.125" style="144" bestFit="1" customWidth="1"/>
    <col min="14865" max="14865" width="14.25" style="144" bestFit="1" customWidth="1"/>
    <col min="14866" max="14866" width="12.125" style="144" bestFit="1" customWidth="1"/>
    <col min="14867" max="15106" width="9" style="144"/>
    <col min="15107" max="15108" width="12.125" style="144" customWidth="1"/>
    <col min="15109" max="15109" width="8.125" style="144" customWidth="1"/>
    <col min="15110" max="15110" width="12.125" style="144" customWidth="1"/>
    <col min="15111" max="15111" width="6.5" style="144" customWidth="1"/>
    <col min="15112" max="15112" width="5.875" style="144" customWidth="1"/>
    <col min="15113" max="15113" width="10.125" style="144" customWidth="1"/>
    <col min="15114" max="15114" width="6.625" style="144" customWidth="1"/>
    <col min="15115" max="15115" width="13.25" style="144" customWidth="1"/>
    <col min="15116" max="15116" width="1.75" style="144" customWidth="1"/>
    <col min="15117" max="15117" width="9" style="144" customWidth="1"/>
    <col min="15118" max="15118" width="15.875" style="144" customWidth="1"/>
    <col min="15119" max="15119" width="9" style="144"/>
    <col min="15120" max="15120" width="11.125" style="144" bestFit="1" customWidth="1"/>
    <col min="15121" max="15121" width="14.25" style="144" bestFit="1" customWidth="1"/>
    <col min="15122" max="15122" width="12.125" style="144" bestFit="1" customWidth="1"/>
    <col min="15123" max="15362" width="9" style="144"/>
    <col min="15363" max="15364" width="12.125" style="144" customWidth="1"/>
    <col min="15365" max="15365" width="8.125" style="144" customWidth="1"/>
    <col min="15366" max="15366" width="12.125" style="144" customWidth="1"/>
    <col min="15367" max="15367" width="6.5" style="144" customWidth="1"/>
    <col min="15368" max="15368" width="5.875" style="144" customWidth="1"/>
    <col min="15369" max="15369" width="10.125" style="144" customWidth="1"/>
    <col min="15370" max="15370" width="6.625" style="144" customWidth="1"/>
    <col min="15371" max="15371" width="13.25" style="144" customWidth="1"/>
    <col min="15372" max="15372" width="1.75" style="144" customWidth="1"/>
    <col min="15373" max="15373" width="9" style="144" customWidth="1"/>
    <col min="15374" max="15374" width="15.875" style="144" customWidth="1"/>
    <col min="15375" max="15375" width="9" style="144"/>
    <col min="15376" max="15376" width="11.125" style="144" bestFit="1" customWidth="1"/>
    <col min="15377" max="15377" width="14.25" style="144" bestFit="1" customWidth="1"/>
    <col min="15378" max="15378" width="12.125" style="144" bestFit="1" customWidth="1"/>
    <col min="15379" max="15618" width="9" style="144"/>
    <col min="15619" max="15620" width="12.125" style="144" customWidth="1"/>
    <col min="15621" max="15621" width="8.125" style="144" customWidth="1"/>
    <col min="15622" max="15622" width="12.125" style="144" customWidth="1"/>
    <col min="15623" max="15623" width="6.5" style="144" customWidth="1"/>
    <col min="15624" max="15624" width="5.875" style="144" customWidth="1"/>
    <col min="15625" max="15625" width="10.125" style="144" customWidth="1"/>
    <col min="15626" max="15626" width="6.625" style="144" customWidth="1"/>
    <col min="15627" max="15627" width="13.25" style="144" customWidth="1"/>
    <col min="15628" max="15628" width="1.75" style="144" customWidth="1"/>
    <col min="15629" max="15629" width="9" style="144" customWidth="1"/>
    <col min="15630" max="15630" width="15.875" style="144" customWidth="1"/>
    <col min="15631" max="15631" width="9" style="144"/>
    <col min="15632" max="15632" width="11.125" style="144" bestFit="1" customWidth="1"/>
    <col min="15633" max="15633" width="14.25" style="144" bestFit="1" customWidth="1"/>
    <col min="15634" max="15634" width="12.125" style="144" bestFit="1" customWidth="1"/>
    <col min="15635" max="15874" width="9" style="144"/>
    <col min="15875" max="15876" width="12.125" style="144" customWidth="1"/>
    <col min="15877" max="15877" width="8.125" style="144" customWidth="1"/>
    <col min="15878" max="15878" width="12.125" style="144" customWidth="1"/>
    <col min="15879" max="15879" width="6.5" style="144" customWidth="1"/>
    <col min="15880" max="15880" width="5.875" style="144" customWidth="1"/>
    <col min="15881" max="15881" width="10.125" style="144" customWidth="1"/>
    <col min="15882" max="15882" width="6.625" style="144" customWidth="1"/>
    <col min="15883" max="15883" width="13.25" style="144" customWidth="1"/>
    <col min="15884" max="15884" width="1.75" style="144" customWidth="1"/>
    <col min="15885" max="15885" width="9" style="144" customWidth="1"/>
    <col min="15886" max="15886" width="15.875" style="144" customWidth="1"/>
    <col min="15887" max="15887" width="9" style="144"/>
    <col min="15888" max="15888" width="11.125" style="144" bestFit="1" customWidth="1"/>
    <col min="15889" max="15889" width="14.25" style="144" bestFit="1" customWidth="1"/>
    <col min="15890" max="15890" width="12.125" style="144" bestFit="1" customWidth="1"/>
    <col min="15891" max="16130" width="9" style="144"/>
    <col min="16131" max="16132" width="12.125" style="144" customWidth="1"/>
    <col min="16133" max="16133" width="8.125" style="144" customWidth="1"/>
    <col min="16134" max="16134" width="12.125" style="144" customWidth="1"/>
    <col min="16135" max="16135" width="6.5" style="144" customWidth="1"/>
    <col min="16136" max="16136" width="5.875" style="144" customWidth="1"/>
    <col min="16137" max="16137" width="10.125" style="144" customWidth="1"/>
    <col min="16138" max="16138" width="6.625" style="144" customWidth="1"/>
    <col min="16139" max="16139" width="13.25" style="144" customWidth="1"/>
    <col min="16140" max="16140" width="1.75" style="144" customWidth="1"/>
    <col min="16141" max="16141" width="9" style="144" customWidth="1"/>
    <col min="16142" max="16142" width="15.875" style="144" customWidth="1"/>
    <col min="16143" max="16143" width="9" style="144"/>
    <col min="16144" max="16144" width="11.125" style="144" bestFit="1" customWidth="1"/>
    <col min="16145" max="16145" width="14.25" style="144" bestFit="1" customWidth="1"/>
    <col min="16146" max="16146" width="12.125" style="144" bestFit="1" customWidth="1"/>
    <col min="16147" max="16384" width="9" style="144"/>
  </cols>
  <sheetData>
    <row r="1" spans="1:20" ht="35.1" customHeight="1">
      <c r="A1" s="402" t="s">
        <v>287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</row>
    <row r="2" spans="1:20" ht="15" customHeight="1"/>
    <row r="3" spans="1:20" s="147" customFormat="1" ht="24.95" customHeight="1">
      <c r="A3" s="181" t="s">
        <v>192</v>
      </c>
      <c r="B3" s="182"/>
      <c r="C3" s="182"/>
      <c r="D3" s="182"/>
      <c r="E3" s="182"/>
      <c r="F3" s="182"/>
      <c r="G3" s="182"/>
      <c r="H3" s="182"/>
      <c r="I3" s="182"/>
      <c r="J3" s="180"/>
      <c r="K3" s="180"/>
      <c r="L3" s="180"/>
      <c r="N3" s="148"/>
    </row>
    <row r="4" spans="1:20" s="147" customFormat="1" ht="24.95" customHeight="1">
      <c r="A4" s="400" t="s">
        <v>140</v>
      </c>
      <c r="B4" s="401"/>
      <c r="C4" s="230" t="s">
        <v>141</v>
      </c>
      <c r="D4" s="401" t="s">
        <v>173</v>
      </c>
      <c r="E4" s="401"/>
      <c r="F4" s="401" t="s">
        <v>183</v>
      </c>
      <c r="G4" s="401"/>
      <c r="H4" s="217" t="s">
        <v>174</v>
      </c>
      <c r="I4" s="217" t="s">
        <v>176</v>
      </c>
      <c r="J4" s="217" t="s">
        <v>175</v>
      </c>
      <c r="K4" s="401" t="s">
        <v>178</v>
      </c>
      <c r="L4" s="401"/>
      <c r="M4" s="231" t="s">
        <v>177</v>
      </c>
      <c r="N4" s="148"/>
      <c r="S4" s="162" t="s">
        <v>142</v>
      </c>
    </row>
    <row r="5" spans="1:20" s="147" customFormat="1" ht="22.5" customHeight="1">
      <c r="A5" s="371" t="s">
        <v>202</v>
      </c>
      <c r="B5" s="372"/>
      <c r="C5" s="224"/>
      <c r="D5" s="472"/>
      <c r="E5" s="473"/>
      <c r="F5" s="476"/>
      <c r="G5" s="476"/>
      <c r="H5" s="216"/>
      <c r="I5" s="216"/>
      <c r="J5" s="166"/>
      <c r="K5" s="474"/>
      <c r="L5" s="474"/>
      <c r="M5" s="229"/>
      <c r="N5" s="148"/>
    </row>
    <row r="6" spans="1:20" s="147" customFormat="1" ht="22.5" customHeight="1">
      <c r="A6" s="478" t="s">
        <v>203</v>
      </c>
      <c r="B6" s="479"/>
      <c r="C6" s="224" t="s">
        <v>232</v>
      </c>
      <c r="D6" s="477" t="s">
        <v>232</v>
      </c>
      <c r="E6" s="477"/>
      <c r="F6" s="476" t="s">
        <v>232</v>
      </c>
      <c r="G6" s="476"/>
      <c r="H6" s="171"/>
      <c r="I6" s="171"/>
      <c r="J6" s="166"/>
      <c r="K6" s="474"/>
      <c r="L6" s="474"/>
      <c r="M6" s="219"/>
      <c r="N6" s="148"/>
    </row>
    <row r="7" spans="1:20" s="147" customFormat="1" ht="22.5" customHeight="1">
      <c r="A7" s="478"/>
      <c r="B7" s="479"/>
      <c r="C7" s="218"/>
      <c r="D7" s="369"/>
      <c r="E7" s="369"/>
      <c r="F7" s="381"/>
      <c r="G7" s="381"/>
      <c r="H7" s="171"/>
      <c r="I7" s="171"/>
      <c r="J7" s="166"/>
      <c r="K7" s="375"/>
      <c r="L7" s="375"/>
      <c r="M7" s="219"/>
      <c r="N7" s="148"/>
    </row>
    <row r="8" spans="1:20" s="147" customFormat="1" ht="22.5" customHeight="1">
      <c r="A8" s="478" t="s">
        <v>232</v>
      </c>
      <c r="B8" s="479"/>
      <c r="C8" s="218"/>
      <c r="D8" s="369"/>
      <c r="E8" s="369"/>
      <c r="F8" s="381"/>
      <c r="G8" s="381"/>
      <c r="H8" s="171"/>
      <c r="I8" s="171"/>
      <c r="J8" s="166"/>
      <c r="K8" s="375"/>
      <c r="L8" s="375"/>
      <c r="M8" s="219"/>
      <c r="N8" s="148"/>
    </row>
    <row r="9" spans="1:20" s="147" customFormat="1" ht="22.5" customHeight="1">
      <c r="A9" s="460"/>
      <c r="B9" s="461"/>
      <c r="C9" s="224"/>
      <c r="D9" s="369" t="s">
        <v>213</v>
      </c>
      <c r="E9" s="369"/>
      <c r="F9" s="369"/>
      <c r="G9" s="369"/>
      <c r="H9" s="369"/>
      <c r="I9" s="369"/>
      <c r="J9" s="369"/>
      <c r="K9" s="375">
        <f>SUM(K5:L8)</f>
        <v>0</v>
      </c>
      <c r="L9" s="375"/>
      <c r="M9" s="225"/>
      <c r="N9" s="148"/>
      <c r="O9" s="184"/>
      <c r="P9" s="185"/>
      <c r="Q9" s="183" t="s">
        <v>143</v>
      </c>
    </row>
    <row r="10" spans="1:20" s="147" customFormat="1" ht="29.25" customHeight="1">
      <c r="A10" s="371" t="s">
        <v>204</v>
      </c>
      <c r="B10" s="372"/>
      <c r="C10" s="224" t="s">
        <v>290</v>
      </c>
      <c r="D10" s="477" t="s">
        <v>288</v>
      </c>
      <c r="E10" s="477"/>
      <c r="F10" s="475"/>
      <c r="G10" s="475"/>
      <c r="H10" s="171">
        <v>1</v>
      </c>
      <c r="I10" s="171" t="s">
        <v>195</v>
      </c>
      <c r="J10" s="166"/>
      <c r="K10" s="474">
        <v>7000000</v>
      </c>
      <c r="L10" s="474"/>
      <c r="M10" s="223"/>
      <c r="O10" s="183"/>
      <c r="P10" s="183"/>
      <c r="Q10" s="183" t="s">
        <v>143</v>
      </c>
      <c r="R10" s="162"/>
      <c r="S10" s="373"/>
      <c r="T10" s="374"/>
    </row>
    <row r="11" spans="1:20" s="147" customFormat="1" ht="29.25" customHeight="1">
      <c r="A11" s="463" t="s">
        <v>205</v>
      </c>
      <c r="B11" s="464"/>
      <c r="C11" s="224" t="s">
        <v>291</v>
      </c>
      <c r="D11" s="477" t="s">
        <v>289</v>
      </c>
      <c r="E11" s="477"/>
      <c r="F11" s="475"/>
      <c r="G11" s="475"/>
      <c r="H11" s="171">
        <v>1</v>
      </c>
      <c r="I11" s="171" t="s">
        <v>195</v>
      </c>
      <c r="J11" s="166"/>
      <c r="K11" s="474">
        <v>2200000</v>
      </c>
      <c r="L11" s="474"/>
      <c r="M11" s="219"/>
      <c r="O11" s="183"/>
      <c r="P11" s="183"/>
      <c r="Q11" s="183" t="s">
        <v>143</v>
      </c>
      <c r="R11" s="162"/>
      <c r="S11" s="161"/>
      <c r="T11" s="162"/>
    </row>
    <row r="12" spans="1:20" s="147" customFormat="1" ht="22.5" customHeight="1">
      <c r="A12" s="458"/>
      <c r="B12" s="459"/>
      <c r="C12" s="220"/>
      <c r="D12" s="369"/>
      <c r="E12" s="369"/>
      <c r="F12" s="370"/>
      <c r="G12" s="381"/>
      <c r="H12" s="171"/>
      <c r="I12" s="167"/>
      <c r="J12" s="166"/>
      <c r="K12" s="375"/>
      <c r="L12" s="375"/>
      <c r="M12" s="219"/>
      <c r="O12" s="183"/>
      <c r="P12" s="183"/>
      <c r="Q12" s="183" t="s">
        <v>143</v>
      </c>
      <c r="R12" s="162"/>
      <c r="S12" s="161"/>
      <c r="T12" s="162"/>
    </row>
    <row r="13" spans="1:20" s="147" customFormat="1" ht="22.5" customHeight="1">
      <c r="A13" s="458"/>
      <c r="B13" s="459"/>
      <c r="C13" s="220"/>
      <c r="D13" s="369"/>
      <c r="E13" s="369"/>
      <c r="F13" s="370"/>
      <c r="G13" s="381"/>
      <c r="H13" s="171"/>
      <c r="I13" s="167"/>
      <c r="J13" s="166"/>
      <c r="K13" s="375"/>
      <c r="L13" s="375"/>
      <c r="M13" s="219"/>
      <c r="O13" s="183"/>
      <c r="P13" s="183"/>
      <c r="Q13" s="183" t="s">
        <v>143</v>
      </c>
      <c r="R13" s="162"/>
      <c r="S13" s="161"/>
      <c r="T13" s="162"/>
    </row>
    <row r="14" spans="1:20" s="147" customFormat="1" ht="22.5" customHeight="1">
      <c r="A14" s="458"/>
      <c r="B14" s="459"/>
      <c r="C14" s="220"/>
      <c r="D14" s="369"/>
      <c r="E14" s="369"/>
      <c r="F14" s="370"/>
      <c r="G14" s="381"/>
      <c r="H14" s="171"/>
      <c r="I14" s="167"/>
      <c r="J14" s="166"/>
      <c r="K14" s="375"/>
      <c r="L14" s="375"/>
      <c r="M14" s="219"/>
      <c r="O14" s="183"/>
      <c r="P14" s="183"/>
      <c r="Q14" s="183" t="s">
        <v>143</v>
      </c>
      <c r="R14" s="162"/>
      <c r="S14" s="161"/>
      <c r="T14" s="162"/>
    </row>
    <row r="15" spans="1:20" s="147" customFormat="1" ht="22.5" customHeight="1">
      <c r="A15" s="458"/>
      <c r="B15" s="459"/>
      <c r="C15" s="220"/>
      <c r="D15" s="369"/>
      <c r="E15" s="369"/>
      <c r="F15" s="370"/>
      <c r="G15" s="381"/>
      <c r="H15" s="171"/>
      <c r="I15" s="167"/>
      <c r="J15" s="166"/>
      <c r="K15" s="375"/>
      <c r="L15" s="375"/>
      <c r="M15" s="219"/>
      <c r="O15" s="183"/>
      <c r="P15" s="183"/>
      <c r="Q15" s="183" t="s">
        <v>143</v>
      </c>
      <c r="R15" s="162"/>
      <c r="S15" s="161"/>
      <c r="T15" s="162"/>
    </row>
    <row r="16" spans="1:20" s="147" customFormat="1" ht="22.5" customHeight="1">
      <c r="A16" s="460"/>
      <c r="B16" s="461"/>
      <c r="C16" s="220"/>
      <c r="D16" s="369" t="s">
        <v>213</v>
      </c>
      <c r="E16" s="369"/>
      <c r="F16" s="369"/>
      <c r="G16" s="369"/>
      <c r="H16" s="369"/>
      <c r="I16" s="369"/>
      <c r="J16" s="369"/>
      <c r="K16" s="376">
        <f>SUM(K10:L12)</f>
        <v>9200000</v>
      </c>
      <c r="L16" s="376"/>
      <c r="M16" s="219"/>
      <c r="O16" s="183"/>
      <c r="P16" s="183"/>
      <c r="Q16" s="183" t="s">
        <v>143</v>
      </c>
      <c r="R16" s="162"/>
      <c r="S16" s="161"/>
      <c r="T16" s="162"/>
    </row>
    <row r="17" spans="1:20" s="147" customFormat="1" ht="22.5" customHeight="1">
      <c r="A17" s="371" t="s">
        <v>206</v>
      </c>
      <c r="B17" s="372"/>
      <c r="C17" s="224"/>
      <c r="I17" s="234"/>
      <c r="J17" s="236"/>
      <c r="K17" s="388"/>
      <c r="L17" s="388"/>
      <c r="M17" s="223"/>
      <c r="N17" s="186"/>
      <c r="O17" s="183"/>
      <c r="P17" s="183"/>
      <c r="Q17" s="183" t="s">
        <v>143</v>
      </c>
      <c r="R17" s="162"/>
      <c r="S17" s="161"/>
      <c r="T17" s="162"/>
    </row>
    <row r="18" spans="1:20" s="147" customFormat="1" ht="22.5" customHeight="1">
      <c r="A18" s="463" t="s">
        <v>207</v>
      </c>
      <c r="B18" s="464"/>
      <c r="C18" s="220"/>
      <c r="D18" s="462"/>
      <c r="E18" s="462"/>
      <c r="F18" s="370"/>
      <c r="G18" s="381"/>
      <c r="H18" s="171"/>
      <c r="I18" s="167"/>
      <c r="J18" s="166"/>
      <c r="K18" s="375"/>
      <c r="L18" s="375"/>
      <c r="M18" s="219"/>
      <c r="N18" s="186"/>
      <c r="O18" s="183"/>
      <c r="P18" s="183"/>
      <c r="Q18" s="183" t="s">
        <v>143</v>
      </c>
      <c r="R18" s="162"/>
      <c r="S18" s="161"/>
      <c r="T18" s="162"/>
    </row>
    <row r="19" spans="1:20" s="147" customFormat="1" ht="22.5" customHeight="1">
      <c r="A19" s="458"/>
      <c r="B19" s="459"/>
      <c r="C19" s="220"/>
      <c r="D19" s="462"/>
      <c r="E19" s="462"/>
      <c r="F19" s="370"/>
      <c r="G19" s="381"/>
      <c r="H19" s="171"/>
      <c r="I19" s="167"/>
      <c r="J19" s="166"/>
      <c r="K19" s="375"/>
      <c r="L19" s="375"/>
      <c r="M19" s="219"/>
      <c r="N19" s="186"/>
      <c r="O19" s="183"/>
      <c r="P19" s="183"/>
      <c r="Q19" s="183" t="s">
        <v>143</v>
      </c>
      <c r="R19" s="162"/>
      <c r="S19" s="161"/>
      <c r="T19" s="162"/>
    </row>
    <row r="20" spans="1:20" s="147" customFormat="1" ht="22.5" customHeight="1">
      <c r="A20" s="458"/>
      <c r="B20" s="459"/>
      <c r="C20" s="220"/>
      <c r="D20" s="462"/>
      <c r="E20" s="462"/>
      <c r="F20" s="370"/>
      <c r="G20" s="381"/>
      <c r="H20" s="171"/>
      <c r="I20" s="167"/>
      <c r="J20" s="166"/>
      <c r="K20" s="375"/>
      <c r="L20" s="375"/>
      <c r="M20" s="219"/>
      <c r="N20" s="186"/>
      <c r="O20" s="183"/>
      <c r="P20" s="183"/>
      <c r="Q20" s="183"/>
      <c r="R20" s="162"/>
      <c r="S20" s="161"/>
      <c r="T20" s="162"/>
    </row>
    <row r="21" spans="1:20" s="147" customFormat="1" ht="22.5" customHeight="1">
      <c r="A21" s="458"/>
      <c r="B21" s="459"/>
      <c r="C21" s="220"/>
      <c r="D21" s="462"/>
      <c r="E21" s="462"/>
      <c r="F21" s="370"/>
      <c r="G21" s="381"/>
      <c r="H21" s="171"/>
      <c r="I21" s="167"/>
      <c r="J21" s="166"/>
      <c r="K21" s="375"/>
      <c r="L21" s="375"/>
      <c r="M21" s="219"/>
      <c r="N21" s="186"/>
      <c r="O21" s="183"/>
      <c r="P21" s="183"/>
      <c r="Q21" s="183"/>
      <c r="R21" s="162"/>
      <c r="S21" s="161"/>
      <c r="T21" s="162"/>
    </row>
    <row r="22" spans="1:20" s="147" customFormat="1" ht="22.5" customHeight="1">
      <c r="A22" s="458"/>
      <c r="B22" s="459"/>
      <c r="C22" s="220"/>
      <c r="D22" s="462"/>
      <c r="E22" s="462"/>
      <c r="F22" s="370"/>
      <c r="G22" s="381"/>
      <c r="H22" s="171"/>
      <c r="I22" s="167"/>
      <c r="J22" s="166"/>
      <c r="K22" s="375"/>
      <c r="L22" s="375"/>
      <c r="M22" s="219"/>
      <c r="N22" s="186"/>
      <c r="O22" s="183"/>
      <c r="P22" s="183"/>
      <c r="Q22" s="183"/>
      <c r="R22" s="162"/>
      <c r="S22" s="161"/>
      <c r="T22" s="162"/>
    </row>
    <row r="23" spans="1:20" s="147" customFormat="1" ht="22.5" customHeight="1">
      <c r="A23" s="460"/>
      <c r="B23" s="461"/>
      <c r="C23" s="220"/>
      <c r="D23" s="369" t="s">
        <v>213</v>
      </c>
      <c r="E23" s="369"/>
      <c r="F23" s="369"/>
      <c r="G23" s="369"/>
      <c r="H23" s="369"/>
      <c r="I23" s="369"/>
      <c r="J23" s="369"/>
      <c r="K23" s="376">
        <f>SUM(K17:L22)</f>
        <v>0</v>
      </c>
      <c r="L23" s="376"/>
      <c r="M23" s="219"/>
      <c r="N23" s="186"/>
      <c r="O23" s="183"/>
      <c r="P23" s="183"/>
      <c r="Q23" s="187"/>
      <c r="R23" s="162"/>
      <c r="S23" s="161"/>
      <c r="T23" s="162"/>
    </row>
    <row r="24" spans="1:20" s="147" customFormat="1" ht="22.5" customHeight="1">
      <c r="A24" s="371" t="s">
        <v>208</v>
      </c>
      <c r="B24" s="372"/>
      <c r="C24" s="224"/>
      <c r="D24" s="471"/>
      <c r="E24" s="471"/>
      <c r="F24" s="469"/>
      <c r="G24" s="470"/>
      <c r="H24" s="221"/>
      <c r="I24" s="222"/>
      <c r="J24" s="172"/>
      <c r="K24" s="388"/>
      <c r="L24" s="388"/>
      <c r="M24" s="223"/>
      <c r="N24" s="186"/>
      <c r="O24" s="183"/>
      <c r="P24" s="183"/>
      <c r="Q24" s="187"/>
      <c r="R24" s="162"/>
      <c r="S24" s="373"/>
      <c r="T24" s="374"/>
    </row>
    <row r="25" spans="1:20" s="147" customFormat="1" ht="22.5" customHeight="1">
      <c r="A25" s="463" t="s">
        <v>209</v>
      </c>
      <c r="B25" s="464"/>
      <c r="C25" s="224"/>
      <c r="D25" s="462"/>
      <c r="E25" s="462"/>
      <c r="F25" s="467"/>
      <c r="G25" s="468"/>
      <c r="H25" s="221"/>
      <c r="I25" s="222"/>
      <c r="J25" s="172"/>
      <c r="K25" s="388"/>
      <c r="L25" s="388"/>
      <c r="M25" s="219"/>
      <c r="N25" s="186"/>
      <c r="O25" s="183"/>
      <c r="P25" s="183"/>
      <c r="Q25" s="187"/>
      <c r="R25" s="162"/>
      <c r="S25" s="161"/>
      <c r="T25" s="162"/>
    </row>
    <row r="26" spans="1:20" s="147" customFormat="1" ht="22.5" customHeight="1">
      <c r="A26" s="458"/>
      <c r="B26" s="459"/>
      <c r="C26" s="224"/>
      <c r="D26" s="462"/>
      <c r="E26" s="462"/>
      <c r="F26" s="467"/>
      <c r="G26" s="468"/>
      <c r="H26" s="221"/>
      <c r="I26" s="222"/>
      <c r="J26" s="172"/>
      <c r="K26" s="388"/>
      <c r="L26" s="388"/>
      <c r="M26" s="219"/>
      <c r="N26" s="186"/>
      <c r="O26" s="183"/>
      <c r="P26" s="183"/>
      <c r="Q26" s="187"/>
      <c r="R26" s="162"/>
      <c r="S26" s="161"/>
      <c r="T26" s="162"/>
    </row>
    <row r="27" spans="1:20" s="147" customFormat="1" ht="22.5" customHeight="1">
      <c r="A27" s="458"/>
      <c r="B27" s="459"/>
      <c r="C27" s="220"/>
      <c r="D27" s="462"/>
      <c r="E27" s="462"/>
      <c r="F27" s="370"/>
      <c r="G27" s="381"/>
      <c r="H27" s="221"/>
      <c r="I27" s="222"/>
      <c r="J27" s="172"/>
      <c r="K27" s="388"/>
      <c r="L27" s="388"/>
      <c r="M27" s="219"/>
      <c r="N27" s="186"/>
      <c r="O27" s="183"/>
      <c r="P27" s="183"/>
      <c r="Q27" s="187"/>
      <c r="R27" s="162"/>
      <c r="S27" s="161"/>
      <c r="T27" s="162"/>
    </row>
    <row r="28" spans="1:20" s="147" customFormat="1" ht="22.5" customHeight="1">
      <c r="A28" s="458"/>
      <c r="B28" s="459"/>
      <c r="C28" s="220"/>
      <c r="D28" s="462"/>
      <c r="E28" s="462"/>
      <c r="F28" s="370"/>
      <c r="G28" s="381"/>
      <c r="H28" s="171"/>
      <c r="I28" s="167"/>
      <c r="J28" s="166"/>
      <c r="K28" s="375"/>
      <c r="L28" s="375"/>
      <c r="M28" s="219"/>
      <c r="N28" s="186"/>
      <c r="O28" s="183"/>
      <c r="P28" s="183"/>
      <c r="Q28" s="187"/>
      <c r="R28" s="162"/>
      <c r="S28" s="161"/>
      <c r="T28" s="162"/>
    </row>
    <row r="29" spans="1:20" s="147" customFormat="1" ht="22.5" customHeight="1">
      <c r="A29" s="458"/>
      <c r="B29" s="459"/>
      <c r="C29" s="220"/>
      <c r="D29" s="462"/>
      <c r="E29" s="462"/>
      <c r="F29" s="370"/>
      <c r="G29" s="381"/>
      <c r="H29" s="171"/>
      <c r="I29" s="167"/>
      <c r="J29" s="166"/>
      <c r="K29" s="375"/>
      <c r="L29" s="375"/>
      <c r="M29" s="219"/>
      <c r="N29" s="186"/>
      <c r="O29" s="183"/>
      <c r="P29" s="183"/>
      <c r="Q29" s="187"/>
      <c r="R29" s="162"/>
      <c r="S29" s="161"/>
      <c r="T29" s="162"/>
    </row>
    <row r="30" spans="1:20" s="147" customFormat="1" ht="22.5" customHeight="1">
      <c r="A30" s="458"/>
      <c r="B30" s="459"/>
      <c r="C30" s="220"/>
      <c r="D30" s="462"/>
      <c r="E30" s="462"/>
      <c r="F30" s="370"/>
      <c r="G30" s="381"/>
      <c r="H30" s="171"/>
      <c r="I30" s="167"/>
      <c r="J30" s="166"/>
      <c r="K30" s="375"/>
      <c r="L30" s="375"/>
      <c r="M30" s="219"/>
      <c r="N30" s="186"/>
      <c r="O30" s="183"/>
      <c r="P30" s="183"/>
      <c r="Q30" s="187"/>
      <c r="R30" s="162"/>
      <c r="S30" s="161"/>
      <c r="T30" s="162"/>
    </row>
    <row r="31" spans="1:20" s="147" customFormat="1" ht="22.5" customHeight="1">
      <c r="A31" s="463" t="s">
        <v>232</v>
      </c>
      <c r="B31" s="464"/>
      <c r="C31" s="220"/>
      <c r="D31" s="462"/>
      <c r="E31" s="462"/>
      <c r="F31" s="370"/>
      <c r="G31" s="381"/>
      <c r="H31" s="171"/>
      <c r="I31" s="167"/>
      <c r="J31" s="166"/>
      <c r="K31" s="375"/>
      <c r="L31" s="375"/>
      <c r="M31" s="219"/>
      <c r="N31" s="188"/>
      <c r="O31" s="183"/>
      <c r="P31" s="183"/>
      <c r="Q31" s="187"/>
      <c r="R31" s="162"/>
      <c r="S31" s="373"/>
      <c r="T31" s="374"/>
    </row>
    <row r="32" spans="1:20" s="147" customFormat="1" ht="22.5" customHeight="1">
      <c r="A32" s="460"/>
      <c r="B32" s="461"/>
      <c r="C32" s="228"/>
      <c r="D32" s="369" t="s">
        <v>213</v>
      </c>
      <c r="E32" s="369"/>
      <c r="F32" s="369"/>
      <c r="G32" s="369"/>
      <c r="H32" s="369"/>
      <c r="I32" s="369"/>
      <c r="J32" s="369"/>
      <c r="K32" s="376">
        <f>SUM(K24:L31)</f>
        <v>0</v>
      </c>
      <c r="L32" s="376"/>
      <c r="M32" s="219"/>
      <c r="N32" s="148"/>
      <c r="O32" s="176" t="e">
        <f>K32-#REF!</f>
        <v>#REF!</v>
      </c>
    </row>
    <row r="33" spans="1:14" s="147" customFormat="1" ht="22.5" customHeight="1">
      <c r="A33" s="456"/>
      <c r="B33" s="457"/>
      <c r="C33" s="226"/>
      <c r="D33" s="382" t="s">
        <v>179</v>
      </c>
      <c r="E33" s="382"/>
      <c r="F33" s="382"/>
      <c r="G33" s="382"/>
      <c r="H33" s="382"/>
      <c r="I33" s="382"/>
      <c r="J33" s="382"/>
      <c r="K33" s="377">
        <f>+K32+K23+K16+K9</f>
        <v>9200000</v>
      </c>
      <c r="L33" s="377"/>
      <c r="M33" s="227"/>
      <c r="N33" s="148"/>
    </row>
    <row r="34" spans="1:14" s="147" customFormat="1" ht="20.100000000000001" customHeight="1">
      <c r="A34" s="465"/>
      <c r="B34" s="465"/>
      <c r="C34" s="164"/>
      <c r="D34" s="165"/>
      <c r="E34" s="150"/>
      <c r="F34" s="149"/>
      <c r="G34" s="151"/>
      <c r="H34" s="151"/>
      <c r="I34" s="151"/>
      <c r="J34" s="149"/>
      <c r="K34" s="466"/>
      <c r="L34" s="466"/>
      <c r="N34" s="148"/>
    </row>
  </sheetData>
  <mergeCells count="119">
    <mergeCell ref="A1:M1"/>
    <mergeCell ref="A4:B4"/>
    <mergeCell ref="K4:L4"/>
    <mergeCell ref="A5:B5"/>
    <mergeCell ref="K5:L5"/>
    <mergeCell ref="F4:G4"/>
    <mergeCell ref="F5:G5"/>
    <mergeCell ref="D11:E11"/>
    <mergeCell ref="D12:E12"/>
    <mergeCell ref="A11:B11"/>
    <mergeCell ref="K12:L12"/>
    <mergeCell ref="K9:L9"/>
    <mergeCell ref="K10:L10"/>
    <mergeCell ref="A8:B8"/>
    <mergeCell ref="K8:L8"/>
    <mergeCell ref="F8:G8"/>
    <mergeCell ref="D8:E8"/>
    <mergeCell ref="D9:J9"/>
    <mergeCell ref="D10:E10"/>
    <mergeCell ref="D6:E6"/>
    <mergeCell ref="F6:G6"/>
    <mergeCell ref="K6:L6"/>
    <mergeCell ref="A6:B6"/>
    <mergeCell ref="A7:B7"/>
    <mergeCell ref="A18:B18"/>
    <mergeCell ref="D13:E13"/>
    <mergeCell ref="D16:J16"/>
    <mergeCell ref="K13:L13"/>
    <mergeCell ref="K16:L16"/>
    <mergeCell ref="D14:E14"/>
    <mergeCell ref="F14:G14"/>
    <mergeCell ref="K14:L14"/>
    <mergeCell ref="D15:E15"/>
    <mergeCell ref="F15:G15"/>
    <mergeCell ref="K15:L15"/>
    <mergeCell ref="F13:G13"/>
    <mergeCell ref="S10:T10"/>
    <mergeCell ref="D4:E4"/>
    <mergeCell ref="D5:E5"/>
    <mergeCell ref="A10:B10"/>
    <mergeCell ref="K11:L11"/>
    <mergeCell ref="F10:G10"/>
    <mergeCell ref="F11:G11"/>
    <mergeCell ref="F12:G12"/>
    <mergeCell ref="A17:B17"/>
    <mergeCell ref="D7:E7"/>
    <mergeCell ref="F7:G7"/>
    <mergeCell ref="K7:L7"/>
    <mergeCell ref="A9:B9"/>
    <mergeCell ref="A12:B12"/>
    <mergeCell ref="A13:B13"/>
    <mergeCell ref="A14:B14"/>
    <mergeCell ref="A15:B15"/>
    <mergeCell ref="A16:B16"/>
    <mergeCell ref="K17:L17"/>
    <mergeCell ref="K23:L23"/>
    <mergeCell ref="K24:L24"/>
    <mergeCell ref="K18:L18"/>
    <mergeCell ref="K19:L19"/>
    <mergeCell ref="F24:G24"/>
    <mergeCell ref="F18:G18"/>
    <mergeCell ref="F19:G19"/>
    <mergeCell ref="D24:E24"/>
    <mergeCell ref="D18:E18"/>
    <mergeCell ref="D19:E19"/>
    <mergeCell ref="D23:J23"/>
    <mergeCell ref="D20:E20"/>
    <mergeCell ref="F20:G20"/>
    <mergeCell ref="K20:L20"/>
    <mergeCell ref="D21:E21"/>
    <mergeCell ref="F21:G21"/>
    <mergeCell ref="K21:L21"/>
    <mergeCell ref="D22:E22"/>
    <mergeCell ref="F22:G22"/>
    <mergeCell ref="K22:L22"/>
    <mergeCell ref="S24:T24"/>
    <mergeCell ref="A31:B31"/>
    <mergeCell ref="K31:L31"/>
    <mergeCell ref="S31:T31"/>
    <mergeCell ref="D31:E31"/>
    <mergeCell ref="A34:B34"/>
    <mergeCell ref="K34:L34"/>
    <mergeCell ref="D32:J32"/>
    <mergeCell ref="K32:L32"/>
    <mergeCell ref="F31:G31"/>
    <mergeCell ref="D33:J33"/>
    <mergeCell ref="K33:L33"/>
    <mergeCell ref="A25:B25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A30:B30"/>
    <mergeCell ref="A32:B32"/>
    <mergeCell ref="A33:B33"/>
    <mergeCell ref="A19:B19"/>
    <mergeCell ref="A20:B20"/>
    <mergeCell ref="A21:B21"/>
    <mergeCell ref="A22:B22"/>
    <mergeCell ref="A23:B23"/>
    <mergeCell ref="A26:B26"/>
    <mergeCell ref="A27:B27"/>
    <mergeCell ref="A28:B28"/>
    <mergeCell ref="A29:B29"/>
    <mergeCell ref="A24:B24"/>
  </mergeCells>
  <phoneticPr fontId="3" type="noConversion"/>
  <printOptions horizontalCentered="1"/>
  <pageMargins left="0.51181102362204722" right="0.43307086614173229" top="0.74803149606299213" bottom="0.55118110236220474" header="0.51181102362204722" footer="0.51181102362204722"/>
  <pageSetup paperSize="9" scale="92" orientation="portrait" r:id="rId1"/>
  <headerFooter alignWithMargins="0">
    <oddHeader>&amp;R&amp;"맑은 고딕,보통"&amp;8&amp;K808080K-건설맵 · k-conmap.com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9DA7F-C711-42F5-8682-804F3C5D8BB0}">
  <dimension ref="A5:H45"/>
  <sheetViews>
    <sheetView workbookViewId="0">
      <selection activeCell="M38" sqref="M38"/>
    </sheetView>
  </sheetViews>
  <sheetFormatPr defaultColWidth="10" defaultRowHeight="13.5"/>
  <cols>
    <col min="1" max="10" width="10" style="211"/>
    <col min="11" max="11" width="10.75" style="211" bestFit="1" customWidth="1"/>
    <col min="12" max="16384" width="10" style="211"/>
  </cols>
  <sheetData>
    <row r="5" spans="2:7" ht="14.25" thickBot="1"/>
    <row r="6" spans="2:7" ht="14.25" thickTop="1">
      <c r="B6" s="480" t="s">
        <v>227</v>
      </c>
      <c r="C6" s="481"/>
      <c r="D6" s="481"/>
      <c r="E6" s="481"/>
      <c r="F6" s="481"/>
      <c r="G6" s="482"/>
    </row>
    <row r="7" spans="2:7">
      <c r="B7" s="483"/>
      <c r="C7" s="484"/>
      <c r="D7" s="484"/>
      <c r="E7" s="484"/>
      <c r="F7" s="484"/>
      <c r="G7" s="485"/>
    </row>
    <row r="8" spans="2:7" ht="14.25" thickBot="1">
      <c r="B8" s="486"/>
      <c r="C8" s="487"/>
      <c r="D8" s="487"/>
      <c r="E8" s="487"/>
      <c r="F8" s="487"/>
      <c r="G8" s="488"/>
    </row>
    <row r="9" spans="2:7" ht="14.25" thickTop="1"/>
    <row r="23" spans="1:8" ht="13.5" customHeight="1">
      <c r="A23" s="489" t="s">
        <v>191</v>
      </c>
      <c r="B23" s="490"/>
      <c r="C23" s="490"/>
      <c r="D23" s="490"/>
      <c r="E23" s="490"/>
      <c r="F23" s="490"/>
      <c r="G23" s="490"/>
      <c r="H23" s="490"/>
    </row>
    <row r="24" spans="1:8" ht="13.5" customHeight="1">
      <c r="A24" s="490"/>
      <c r="B24" s="490"/>
      <c r="C24" s="490"/>
      <c r="D24" s="490"/>
      <c r="E24" s="490"/>
      <c r="F24" s="490"/>
      <c r="G24" s="490"/>
      <c r="H24" s="490"/>
    </row>
    <row r="43" spans="3:6" ht="13.5" customHeight="1">
      <c r="C43" s="491" t="s">
        <v>228</v>
      </c>
      <c r="D43" s="491"/>
      <c r="E43" s="491"/>
      <c r="F43" s="491"/>
    </row>
    <row r="44" spans="3:6" ht="13.5" customHeight="1">
      <c r="C44" s="491"/>
      <c r="D44" s="491"/>
      <c r="E44" s="491"/>
      <c r="F44" s="491"/>
    </row>
    <row r="45" spans="3:6" ht="13.5" customHeight="1">
      <c r="C45" s="491"/>
      <c r="D45" s="491"/>
      <c r="E45" s="491"/>
      <c r="F45" s="491"/>
    </row>
  </sheetData>
  <mergeCells count="3">
    <mergeCell ref="B6:G8"/>
    <mergeCell ref="A23:H24"/>
    <mergeCell ref="C43:F45"/>
  </mergeCells>
  <phoneticPr fontId="3" type="noConversion"/>
  <pageMargins left="0.75" right="0.75" top="1" bottom="1" header="0.5" footer="0.5"/>
  <pageSetup paperSize="9" orientation="portrait" r:id="rId1"/>
  <headerFooter alignWithMargins="0">
    <oddHeader>&amp;R&amp;"맑은 고딕,보통"&amp;8&amp;K808080K-건설맵 · k-conmap.com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38F2-27EF-4C5C-8E36-F2B21FC1D59D}">
  <sheetPr codeName="Sheet10"/>
  <dimension ref="A1:X280"/>
  <sheetViews>
    <sheetView view="pageBreakPreview" topLeftCell="A175" zoomScale="85" zoomScaleNormal="85" zoomScaleSheetLayoutView="85" workbookViewId="0">
      <selection activeCell="Q23" sqref="Q23"/>
    </sheetView>
  </sheetViews>
  <sheetFormatPr defaultRowHeight="16.5"/>
  <cols>
    <col min="1" max="1" width="2.625" style="194" customWidth="1"/>
    <col min="2" max="2" width="6.125" style="194" customWidth="1"/>
    <col min="3" max="14" width="5.875" style="194" customWidth="1"/>
    <col min="15" max="15" width="2.625" style="194" customWidth="1"/>
    <col min="16" max="256" width="9" style="194"/>
    <col min="257" max="257" width="2.625" style="194" customWidth="1"/>
    <col min="258" max="258" width="6.125" style="194" customWidth="1"/>
    <col min="259" max="270" width="5.875" style="194" customWidth="1"/>
    <col min="271" max="271" width="2.625" style="194" customWidth="1"/>
    <col min="272" max="512" width="9" style="194"/>
    <col min="513" max="513" width="2.625" style="194" customWidth="1"/>
    <col min="514" max="514" width="6.125" style="194" customWidth="1"/>
    <col min="515" max="526" width="5.875" style="194" customWidth="1"/>
    <col min="527" max="527" width="2.625" style="194" customWidth="1"/>
    <col min="528" max="768" width="9" style="194"/>
    <col min="769" max="769" width="2.625" style="194" customWidth="1"/>
    <col min="770" max="770" width="6.125" style="194" customWidth="1"/>
    <col min="771" max="782" width="5.875" style="194" customWidth="1"/>
    <col min="783" max="783" width="2.625" style="194" customWidth="1"/>
    <col min="784" max="1024" width="9" style="194"/>
    <col min="1025" max="1025" width="2.625" style="194" customWidth="1"/>
    <col min="1026" max="1026" width="6.125" style="194" customWidth="1"/>
    <col min="1027" max="1038" width="5.875" style="194" customWidth="1"/>
    <col min="1039" max="1039" width="2.625" style="194" customWidth="1"/>
    <col min="1040" max="1280" width="9" style="194"/>
    <col min="1281" max="1281" width="2.625" style="194" customWidth="1"/>
    <col min="1282" max="1282" width="6.125" style="194" customWidth="1"/>
    <col min="1283" max="1294" width="5.875" style="194" customWidth="1"/>
    <col min="1295" max="1295" width="2.625" style="194" customWidth="1"/>
    <col min="1296" max="1536" width="9" style="194"/>
    <col min="1537" max="1537" width="2.625" style="194" customWidth="1"/>
    <col min="1538" max="1538" width="6.125" style="194" customWidth="1"/>
    <col min="1539" max="1550" width="5.875" style="194" customWidth="1"/>
    <col min="1551" max="1551" width="2.625" style="194" customWidth="1"/>
    <col min="1552" max="1792" width="9" style="194"/>
    <col min="1793" max="1793" width="2.625" style="194" customWidth="1"/>
    <col min="1794" max="1794" width="6.125" style="194" customWidth="1"/>
    <col min="1795" max="1806" width="5.875" style="194" customWidth="1"/>
    <col min="1807" max="1807" width="2.625" style="194" customWidth="1"/>
    <col min="1808" max="2048" width="9" style="194"/>
    <col min="2049" max="2049" width="2.625" style="194" customWidth="1"/>
    <col min="2050" max="2050" width="6.125" style="194" customWidth="1"/>
    <col min="2051" max="2062" width="5.875" style="194" customWidth="1"/>
    <col min="2063" max="2063" width="2.625" style="194" customWidth="1"/>
    <col min="2064" max="2304" width="9" style="194"/>
    <col min="2305" max="2305" width="2.625" style="194" customWidth="1"/>
    <col min="2306" max="2306" width="6.125" style="194" customWidth="1"/>
    <col min="2307" max="2318" width="5.875" style="194" customWidth="1"/>
    <col min="2319" max="2319" width="2.625" style="194" customWidth="1"/>
    <col min="2320" max="2560" width="9" style="194"/>
    <col min="2561" max="2561" width="2.625" style="194" customWidth="1"/>
    <col min="2562" max="2562" width="6.125" style="194" customWidth="1"/>
    <col min="2563" max="2574" width="5.875" style="194" customWidth="1"/>
    <col min="2575" max="2575" width="2.625" style="194" customWidth="1"/>
    <col min="2576" max="2816" width="9" style="194"/>
    <col min="2817" max="2817" width="2.625" style="194" customWidth="1"/>
    <col min="2818" max="2818" width="6.125" style="194" customWidth="1"/>
    <col min="2819" max="2830" width="5.875" style="194" customWidth="1"/>
    <col min="2831" max="2831" width="2.625" style="194" customWidth="1"/>
    <col min="2832" max="3072" width="9" style="194"/>
    <col min="3073" max="3073" width="2.625" style="194" customWidth="1"/>
    <col min="3074" max="3074" width="6.125" style="194" customWidth="1"/>
    <col min="3075" max="3086" width="5.875" style="194" customWidth="1"/>
    <col min="3087" max="3087" width="2.625" style="194" customWidth="1"/>
    <col min="3088" max="3328" width="9" style="194"/>
    <col min="3329" max="3329" width="2.625" style="194" customWidth="1"/>
    <col min="3330" max="3330" width="6.125" style="194" customWidth="1"/>
    <col min="3331" max="3342" width="5.875" style="194" customWidth="1"/>
    <col min="3343" max="3343" width="2.625" style="194" customWidth="1"/>
    <col min="3344" max="3584" width="9" style="194"/>
    <col min="3585" max="3585" width="2.625" style="194" customWidth="1"/>
    <col min="3586" max="3586" width="6.125" style="194" customWidth="1"/>
    <col min="3587" max="3598" width="5.875" style="194" customWidth="1"/>
    <col min="3599" max="3599" width="2.625" style="194" customWidth="1"/>
    <col min="3600" max="3840" width="9" style="194"/>
    <col min="3841" max="3841" width="2.625" style="194" customWidth="1"/>
    <col min="3842" max="3842" width="6.125" style="194" customWidth="1"/>
    <col min="3843" max="3854" width="5.875" style="194" customWidth="1"/>
    <col min="3855" max="3855" width="2.625" style="194" customWidth="1"/>
    <col min="3856" max="4096" width="9" style="194"/>
    <col min="4097" max="4097" width="2.625" style="194" customWidth="1"/>
    <col min="4098" max="4098" width="6.125" style="194" customWidth="1"/>
    <col min="4099" max="4110" width="5.875" style="194" customWidth="1"/>
    <col min="4111" max="4111" width="2.625" style="194" customWidth="1"/>
    <col min="4112" max="4352" width="9" style="194"/>
    <col min="4353" max="4353" width="2.625" style="194" customWidth="1"/>
    <col min="4354" max="4354" width="6.125" style="194" customWidth="1"/>
    <col min="4355" max="4366" width="5.875" style="194" customWidth="1"/>
    <col min="4367" max="4367" width="2.625" style="194" customWidth="1"/>
    <col min="4368" max="4608" width="9" style="194"/>
    <col min="4609" max="4609" width="2.625" style="194" customWidth="1"/>
    <col min="4610" max="4610" width="6.125" style="194" customWidth="1"/>
    <col min="4611" max="4622" width="5.875" style="194" customWidth="1"/>
    <col min="4623" max="4623" width="2.625" style="194" customWidth="1"/>
    <col min="4624" max="4864" width="9" style="194"/>
    <col min="4865" max="4865" width="2.625" style="194" customWidth="1"/>
    <col min="4866" max="4866" width="6.125" style="194" customWidth="1"/>
    <col min="4867" max="4878" width="5.875" style="194" customWidth="1"/>
    <col min="4879" max="4879" width="2.625" style="194" customWidth="1"/>
    <col min="4880" max="5120" width="9" style="194"/>
    <col min="5121" max="5121" width="2.625" style="194" customWidth="1"/>
    <col min="5122" max="5122" width="6.125" style="194" customWidth="1"/>
    <col min="5123" max="5134" width="5.875" style="194" customWidth="1"/>
    <col min="5135" max="5135" width="2.625" style="194" customWidth="1"/>
    <col min="5136" max="5376" width="9" style="194"/>
    <col min="5377" max="5377" width="2.625" style="194" customWidth="1"/>
    <col min="5378" max="5378" width="6.125" style="194" customWidth="1"/>
    <col min="5379" max="5390" width="5.875" style="194" customWidth="1"/>
    <col min="5391" max="5391" width="2.625" style="194" customWidth="1"/>
    <col min="5392" max="5632" width="9" style="194"/>
    <col min="5633" max="5633" width="2.625" style="194" customWidth="1"/>
    <col min="5634" max="5634" width="6.125" style="194" customWidth="1"/>
    <col min="5635" max="5646" width="5.875" style="194" customWidth="1"/>
    <col min="5647" max="5647" width="2.625" style="194" customWidth="1"/>
    <col min="5648" max="5888" width="9" style="194"/>
    <col min="5889" max="5889" width="2.625" style="194" customWidth="1"/>
    <col min="5890" max="5890" width="6.125" style="194" customWidth="1"/>
    <col min="5891" max="5902" width="5.875" style="194" customWidth="1"/>
    <col min="5903" max="5903" width="2.625" style="194" customWidth="1"/>
    <col min="5904" max="6144" width="9" style="194"/>
    <col min="6145" max="6145" width="2.625" style="194" customWidth="1"/>
    <col min="6146" max="6146" width="6.125" style="194" customWidth="1"/>
    <col min="6147" max="6158" width="5.875" style="194" customWidth="1"/>
    <col min="6159" max="6159" width="2.625" style="194" customWidth="1"/>
    <col min="6160" max="6400" width="9" style="194"/>
    <col min="6401" max="6401" width="2.625" style="194" customWidth="1"/>
    <col min="6402" max="6402" width="6.125" style="194" customWidth="1"/>
    <col min="6403" max="6414" width="5.875" style="194" customWidth="1"/>
    <col min="6415" max="6415" width="2.625" style="194" customWidth="1"/>
    <col min="6416" max="6656" width="9" style="194"/>
    <col min="6657" max="6657" width="2.625" style="194" customWidth="1"/>
    <col min="6658" max="6658" width="6.125" style="194" customWidth="1"/>
    <col min="6659" max="6670" width="5.875" style="194" customWidth="1"/>
    <col min="6671" max="6671" width="2.625" style="194" customWidth="1"/>
    <col min="6672" max="6912" width="9" style="194"/>
    <col min="6913" max="6913" width="2.625" style="194" customWidth="1"/>
    <col min="6914" max="6914" width="6.125" style="194" customWidth="1"/>
    <col min="6915" max="6926" width="5.875" style="194" customWidth="1"/>
    <col min="6927" max="6927" width="2.625" style="194" customWidth="1"/>
    <col min="6928" max="7168" width="9" style="194"/>
    <col min="7169" max="7169" width="2.625" style="194" customWidth="1"/>
    <col min="7170" max="7170" width="6.125" style="194" customWidth="1"/>
    <col min="7171" max="7182" width="5.875" style="194" customWidth="1"/>
    <col min="7183" max="7183" width="2.625" style="194" customWidth="1"/>
    <col min="7184" max="7424" width="9" style="194"/>
    <col min="7425" max="7425" width="2.625" style="194" customWidth="1"/>
    <col min="7426" max="7426" width="6.125" style="194" customWidth="1"/>
    <col min="7427" max="7438" width="5.875" style="194" customWidth="1"/>
    <col min="7439" max="7439" width="2.625" style="194" customWidth="1"/>
    <col min="7440" max="7680" width="9" style="194"/>
    <col min="7681" max="7681" width="2.625" style="194" customWidth="1"/>
    <col min="7682" max="7682" width="6.125" style="194" customWidth="1"/>
    <col min="7683" max="7694" width="5.875" style="194" customWidth="1"/>
    <col min="7695" max="7695" width="2.625" style="194" customWidth="1"/>
    <col min="7696" max="7936" width="9" style="194"/>
    <col min="7937" max="7937" width="2.625" style="194" customWidth="1"/>
    <col min="7938" max="7938" width="6.125" style="194" customWidth="1"/>
    <col min="7939" max="7950" width="5.875" style="194" customWidth="1"/>
    <col min="7951" max="7951" width="2.625" style="194" customWidth="1"/>
    <col min="7952" max="8192" width="9" style="194"/>
    <col min="8193" max="8193" width="2.625" style="194" customWidth="1"/>
    <col min="8194" max="8194" width="6.125" style="194" customWidth="1"/>
    <col min="8195" max="8206" width="5.875" style="194" customWidth="1"/>
    <col min="8207" max="8207" width="2.625" style="194" customWidth="1"/>
    <col min="8208" max="8448" width="9" style="194"/>
    <col min="8449" max="8449" width="2.625" style="194" customWidth="1"/>
    <col min="8450" max="8450" width="6.125" style="194" customWidth="1"/>
    <col min="8451" max="8462" width="5.875" style="194" customWidth="1"/>
    <col min="8463" max="8463" width="2.625" style="194" customWidth="1"/>
    <col min="8464" max="8704" width="9" style="194"/>
    <col min="8705" max="8705" width="2.625" style="194" customWidth="1"/>
    <col min="8706" max="8706" width="6.125" style="194" customWidth="1"/>
    <col min="8707" max="8718" width="5.875" style="194" customWidth="1"/>
    <col min="8719" max="8719" width="2.625" style="194" customWidth="1"/>
    <col min="8720" max="8960" width="9" style="194"/>
    <col min="8961" max="8961" width="2.625" style="194" customWidth="1"/>
    <col min="8962" max="8962" width="6.125" style="194" customWidth="1"/>
    <col min="8963" max="8974" width="5.875" style="194" customWidth="1"/>
    <col min="8975" max="8975" width="2.625" style="194" customWidth="1"/>
    <col min="8976" max="9216" width="9" style="194"/>
    <col min="9217" max="9217" width="2.625" style="194" customWidth="1"/>
    <col min="9218" max="9218" width="6.125" style="194" customWidth="1"/>
    <col min="9219" max="9230" width="5.875" style="194" customWidth="1"/>
    <col min="9231" max="9231" width="2.625" style="194" customWidth="1"/>
    <col min="9232" max="9472" width="9" style="194"/>
    <col min="9473" max="9473" width="2.625" style="194" customWidth="1"/>
    <col min="9474" max="9474" width="6.125" style="194" customWidth="1"/>
    <col min="9475" max="9486" width="5.875" style="194" customWidth="1"/>
    <col min="9487" max="9487" width="2.625" style="194" customWidth="1"/>
    <col min="9488" max="9728" width="9" style="194"/>
    <col min="9729" max="9729" width="2.625" style="194" customWidth="1"/>
    <col min="9730" max="9730" width="6.125" style="194" customWidth="1"/>
    <col min="9731" max="9742" width="5.875" style="194" customWidth="1"/>
    <col min="9743" max="9743" width="2.625" style="194" customWidth="1"/>
    <col min="9744" max="9984" width="9" style="194"/>
    <col min="9985" max="9985" width="2.625" style="194" customWidth="1"/>
    <col min="9986" max="9986" width="6.125" style="194" customWidth="1"/>
    <col min="9987" max="9998" width="5.875" style="194" customWidth="1"/>
    <col min="9999" max="9999" width="2.625" style="194" customWidth="1"/>
    <col min="10000" max="10240" width="9" style="194"/>
    <col min="10241" max="10241" width="2.625" style="194" customWidth="1"/>
    <col min="10242" max="10242" width="6.125" style="194" customWidth="1"/>
    <col min="10243" max="10254" width="5.875" style="194" customWidth="1"/>
    <col min="10255" max="10255" width="2.625" style="194" customWidth="1"/>
    <col min="10256" max="10496" width="9" style="194"/>
    <col min="10497" max="10497" width="2.625" style="194" customWidth="1"/>
    <col min="10498" max="10498" width="6.125" style="194" customWidth="1"/>
    <col min="10499" max="10510" width="5.875" style="194" customWidth="1"/>
    <col min="10511" max="10511" width="2.625" style="194" customWidth="1"/>
    <col min="10512" max="10752" width="9" style="194"/>
    <col min="10753" max="10753" width="2.625" style="194" customWidth="1"/>
    <col min="10754" max="10754" width="6.125" style="194" customWidth="1"/>
    <col min="10755" max="10766" width="5.875" style="194" customWidth="1"/>
    <col min="10767" max="10767" width="2.625" style="194" customWidth="1"/>
    <col min="10768" max="11008" width="9" style="194"/>
    <col min="11009" max="11009" width="2.625" style="194" customWidth="1"/>
    <col min="11010" max="11010" width="6.125" style="194" customWidth="1"/>
    <col min="11011" max="11022" width="5.875" style="194" customWidth="1"/>
    <col min="11023" max="11023" width="2.625" style="194" customWidth="1"/>
    <col min="11024" max="11264" width="9" style="194"/>
    <col min="11265" max="11265" width="2.625" style="194" customWidth="1"/>
    <col min="11266" max="11266" width="6.125" style="194" customWidth="1"/>
    <col min="11267" max="11278" width="5.875" style="194" customWidth="1"/>
    <col min="11279" max="11279" width="2.625" style="194" customWidth="1"/>
    <col min="11280" max="11520" width="9" style="194"/>
    <col min="11521" max="11521" width="2.625" style="194" customWidth="1"/>
    <col min="11522" max="11522" width="6.125" style="194" customWidth="1"/>
    <col min="11523" max="11534" width="5.875" style="194" customWidth="1"/>
    <col min="11535" max="11535" width="2.625" style="194" customWidth="1"/>
    <col min="11536" max="11776" width="9" style="194"/>
    <col min="11777" max="11777" width="2.625" style="194" customWidth="1"/>
    <col min="11778" max="11778" width="6.125" style="194" customWidth="1"/>
    <col min="11779" max="11790" width="5.875" style="194" customWidth="1"/>
    <col min="11791" max="11791" width="2.625" style="194" customWidth="1"/>
    <col min="11792" max="12032" width="9" style="194"/>
    <col min="12033" max="12033" width="2.625" style="194" customWidth="1"/>
    <col min="12034" max="12034" width="6.125" style="194" customWidth="1"/>
    <col min="12035" max="12046" width="5.875" style="194" customWidth="1"/>
    <col min="12047" max="12047" width="2.625" style="194" customWidth="1"/>
    <col min="12048" max="12288" width="9" style="194"/>
    <col min="12289" max="12289" width="2.625" style="194" customWidth="1"/>
    <col min="12290" max="12290" width="6.125" style="194" customWidth="1"/>
    <col min="12291" max="12302" width="5.875" style="194" customWidth="1"/>
    <col min="12303" max="12303" width="2.625" style="194" customWidth="1"/>
    <col min="12304" max="12544" width="9" style="194"/>
    <col min="12545" max="12545" width="2.625" style="194" customWidth="1"/>
    <col min="12546" max="12546" width="6.125" style="194" customWidth="1"/>
    <col min="12547" max="12558" width="5.875" style="194" customWidth="1"/>
    <col min="12559" max="12559" width="2.625" style="194" customWidth="1"/>
    <col min="12560" max="12800" width="9" style="194"/>
    <col min="12801" max="12801" width="2.625" style="194" customWidth="1"/>
    <col min="12802" max="12802" width="6.125" style="194" customWidth="1"/>
    <col min="12803" max="12814" width="5.875" style="194" customWidth="1"/>
    <col min="12815" max="12815" width="2.625" style="194" customWidth="1"/>
    <col min="12816" max="13056" width="9" style="194"/>
    <col min="13057" max="13057" width="2.625" style="194" customWidth="1"/>
    <col min="13058" max="13058" width="6.125" style="194" customWidth="1"/>
    <col min="13059" max="13070" width="5.875" style="194" customWidth="1"/>
    <col min="13071" max="13071" width="2.625" style="194" customWidth="1"/>
    <col min="13072" max="13312" width="9" style="194"/>
    <col min="13313" max="13313" width="2.625" style="194" customWidth="1"/>
    <col min="13314" max="13314" width="6.125" style="194" customWidth="1"/>
    <col min="13315" max="13326" width="5.875" style="194" customWidth="1"/>
    <col min="13327" max="13327" width="2.625" style="194" customWidth="1"/>
    <col min="13328" max="13568" width="9" style="194"/>
    <col min="13569" max="13569" width="2.625" style="194" customWidth="1"/>
    <col min="13570" max="13570" width="6.125" style="194" customWidth="1"/>
    <col min="13571" max="13582" width="5.875" style="194" customWidth="1"/>
    <col min="13583" max="13583" width="2.625" style="194" customWidth="1"/>
    <col min="13584" max="13824" width="9" style="194"/>
    <col min="13825" max="13825" width="2.625" style="194" customWidth="1"/>
    <col min="13826" max="13826" width="6.125" style="194" customWidth="1"/>
    <col min="13827" max="13838" width="5.875" style="194" customWidth="1"/>
    <col min="13839" max="13839" width="2.625" style="194" customWidth="1"/>
    <col min="13840" max="14080" width="9" style="194"/>
    <col min="14081" max="14081" width="2.625" style="194" customWidth="1"/>
    <col min="14082" max="14082" width="6.125" style="194" customWidth="1"/>
    <col min="14083" max="14094" width="5.875" style="194" customWidth="1"/>
    <col min="14095" max="14095" width="2.625" style="194" customWidth="1"/>
    <col min="14096" max="14336" width="9" style="194"/>
    <col min="14337" max="14337" width="2.625" style="194" customWidth="1"/>
    <col min="14338" max="14338" width="6.125" style="194" customWidth="1"/>
    <col min="14339" max="14350" width="5.875" style="194" customWidth="1"/>
    <col min="14351" max="14351" width="2.625" style="194" customWidth="1"/>
    <col min="14352" max="14592" width="9" style="194"/>
    <col min="14593" max="14593" width="2.625" style="194" customWidth="1"/>
    <col min="14594" max="14594" width="6.125" style="194" customWidth="1"/>
    <col min="14595" max="14606" width="5.875" style="194" customWidth="1"/>
    <col min="14607" max="14607" width="2.625" style="194" customWidth="1"/>
    <col min="14608" max="14848" width="9" style="194"/>
    <col min="14849" max="14849" width="2.625" style="194" customWidth="1"/>
    <col min="14850" max="14850" width="6.125" style="194" customWidth="1"/>
    <col min="14851" max="14862" width="5.875" style="194" customWidth="1"/>
    <col min="14863" max="14863" width="2.625" style="194" customWidth="1"/>
    <col min="14864" max="15104" width="9" style="194"/>
    <col min="15105" max="15105" width="2.625" style="194" customWidth="1"/>
    <col min="15106" max="15106" width="6.125" style="194" customWidth="1"/>
    <col min="15107" max="15118" width="5.875" style="194" customWidth="1"/>
    <col min="15119" max="15119" width="2.625" style="194" customWidth="1"/>
    <col min="15120" max="15360" width="9" style="194"/>
    <col min="15361" max="15361" width="2.625" style="194" customWidth="1"/>
    <col min="15362" max="15362" width="6.125" style="194" customWidth="1"/>
    <col min="15363" max="15374" width="5.875" style="194" customWidth="1"/>
    <col min="15375" max="15375" width="2.625" style="194" customWidth="1"/>
    <col min="15376" max="15616" width="9" style="194"/>
    <col min="15617" max="15617" width="2.625" style="194" customWidth="1"/>
    <col min="15618" max="15618" width="6.125" style="194" customWidth="1"/>
    <col min="15619" max="15630" width="5.875" style="194" customWidth="1"/>
    <col min="15631" max="15631" width="2.625" style="194" customWidth="1"/>
    <col min="15632" max="15872" width="9" style="194"/>
    <col min="15873" max="15873" width="2.625" style="194" customWidth="1"/>
    <col min="15874" max="15874" width="6.125" style="194" customWidth="1"/>
    <col min="15875" max="15886" width="5.875" style="194" customWidth="1"/>
    <col min="15887" max="15887" width="2.625" style="194" customWidth="1"/>
    <col min="15888" max="16128" width="9" style="194"/>
    <col min="16129" max="16129" width="2.625" style="194" customWidth="1"/>
    <col min="16130" max="16130" width="6.125" style="194" customWidth="1"/>
    <col min="16131" max="16142" width="5.875" style="194" customWidth="1"/>
    <col min="16143" max="16143" width="2.625" style="194" customWidth="1"/>
    <col min="16144" max="16384" width="9" style="194"/>
  </cols>
  <sheetData>
    <row r="1" spans="1:24" ht="21" customHeight="1">
      <c r="A1" s="411" t="s">
        <v>215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191"/>
      <c r="Q1" s="191"/>
      <c r="R1" s="192"/>
      <c r="S1" s="192"/>
      <c r="T1" s="193"/>
      <c r="U1" s="193"/>
      <c r="V1" s="193"/>
      <c r="W1" s="193"/>
      <c r="X1" s="193"/>
    </row>
    <row r="2" spans="1:24" ht="21" customHeight="1">
      <c r="A2" s="411"/>
      <c r="B2" s="411"/>
      <c r="C2" s="411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191"/>
      <c r="Q2" s="191"/>
      <c r="R2" s="192"/>
      <c r="S2" s="412"/>
      <c r="T2" s="413"/>
      <c r="U2" s="413"/>
      <c r="V2" s="413"/>
      <c r="W2" s="413"/>
      <c r="X2" s="413"/>
    </row>
    <row r="3" spans="1:24" ht="20.100000000000001" customHeight="1">
      <c r="A3" s="414" t="s">
        <v>216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414"/>
      <c r="O3" s="414"/>
      <c r="P3" s="191"/>
      <c r="Q3" s="191"/>
      <c r="R3" s="192"/>
      <c r="S3" s="195"/>
      <c r="T3" s="196"/>
      <c r="U3" s="196"/>
      <c r="V3" s="196"/>
      <c r="W3" s="196"/>
      <c r="X3" s="196"/>
    </row>
    <row r="4" spans="1:24" ht="18" customHeight="1">
      <c r="A4" s="197"/>
      <c r="B4" s="198"/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200"/>
      <c r="Q4" s="192"/>
      <c r="R4" s="192"/>
      <c r="S4" s="413"/>
      <c r="T4" s="413"/>
      <c r="U4" s="413"/>
      <c r="V4" s="413"/>
      <c r="W4" s="413"/>
      <c r="X4" s="413"/>
    </row>
    <row r="5" spans="1:24" ht="18" customHeight="1">
      <c r="A5" s="201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203"/>
      <c r="Q5" s="192"/>
      <c r="R5" s="192"/>
      <c r="S5" s="192"/>
      <c r="T5" s="193"/>
      <c r="U5" s="193"/>
      <c r="V5" s="193"/>
      <c r="W5" s="193"/>
      <c r="X5" s="193"/>
    </row>
    <row r="6" spans="1:24" ht="18" customHeight="1">
      <c r="A6" s="201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203"/>
      <c r="Q6" s="192"/>
      <c r="R6" s="192"/>
      <c r="S6" s="192"/>
      <c r="T6" s="192"/>
      <c r="U6" s="192"/>
      <c r="V6" s="192"/>
      <c r="W6" s="192"/>
      <c r="X6" s="192"/>
    </row>
    <row r="7" spans="1:24" ht="18" customHeight="1">
      <c r="A7" s="201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203"/>
    </row>
    <row r="8" spans="1:24" ht="18" customHeight="1">
      <c r="A8" s="201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203"/>
    </row>
    <row r="9" spans="1:24" ht="18" customHeight="1">
      <c r="A9" s="201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203"/>
    </row>
    <row r="10" spans="1:24" ht="18" customHeight="1">
      <c r="A10" s="201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203"/>
    </row>
    <row r="11" spans="1:24" ht="18" customHeight="1">
      <c r="A11" s="201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203"/>
    </row>
    <row r="12" spans="1:24" ht="18" customHeight="1">
      <c r="A12" s="201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203"/>
    </row>
    <row r="13" spans="1:24" ht="18" customHeight="1">
      <c r="A13" s="201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203"/>
    </row>
    <row r="14" spans="1:24" ht="18" customHeight="1">
      <c r="A14" s="201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203"/>
    </row>
    <row r="15" spans="1:24" ht="18" customHeight="1">
      <c r="A15" s="201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203"/>
    </row>
    <row r="16" spans="1:24" ht="18" customHeight="1">
      <c r="A16" s="201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203"/>
    </row>
    <row r="17" spans="1:15" ht="18" customHeight="1">
      <c r="A17" s="201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203"/>
    </row>
    <row r="18" spans="1:15" ht="18" customHeight="1">
      <c r="A18" s="201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203"/>
    </row>
    <row r="19" spans="1:15" ht="18" customHeight="1">
      <c r="A19" s="201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203"/>
    </row>
    <row r="20" spans="1:15" ht="18" customHeight="1">
      <c r="A20" s="201"/>
      <c r="B20" s="202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3"/>
    </row>
    <row r="21" spans="1:15" ht="24.95" customHeight="1">
      <c r="A21" s="403" t="s">
        <v>217</v>
      </c>
      <c r="B21" s="403"/>
      <c r="C21" s="403"/>
      <c r="D21" s="408" t="s">
        <v>234</v>
      </c>
      <c r="E21" s="409"/>
      <c r="F21" s="409"/>
      <c r="G21" s="409"/>
      <c r="H21" s="409"/>
      <c r="I21" s="403" t="s">
        <v>218</v>
      </c>
      <c r="J21" s="403"/>
      <c r="K21" s="410" t="s">
        <v>275</v>
      </c>
      <c r="L21" s="403"/>
      <c r="M21" s="403"/>
      <c r="N21" s="403"/>
      <c r="O21" s="403"/>
    </row>
    <row r="22" spans="1:15" ht="24.95" customHeight="1">
      <c r="A22" s="403" t="s">
        <v>219</v>
      </c>
      <c r="B22" s="403"/>
      <c r="C22" s="403"/>
      <c r="D22" s="404" t="s">
        <v>278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6"/>
    </row>
    <row r="23" spans="1:15" ht="18" customHeight="1">
      <c r="A23" s="205"/>
      <c r="B23" s="206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8"/>
    </row>
    <row r="24" spans="1:15" ht="18" customHeight="1">
      <c r="A24" s="201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203"/>
    </row>
    <row r="25" spans="1:15" ht="18" customHeight="1">
      <c r="A25" s="201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203"/>
    </row>
    <row r="26" spans="1:15" ht="18" customHeight="1">
      <c r="A26" s="201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203"/>
    </row>
    <row r="27" spans="1:15" ht="18" customHeight="1">
      <c r="A27" s="201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203"/>
    </row>
    <row r="28" spans="1:15" ht="18" customHeight="1">
      <c r="A28" s="201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203"/>
    </row>
    <row r="29" spans="1:15" ht="18" customHeight="1">
      <c r="A29" s="201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203"/>
    </row>
    <row r="30" spans="1:15" ht="18" customHeight="1">
      <c r="A30" s="201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203"/>
    </row>
    <row r="31" spans="1:15" ht="18" customHeight="1">
      <c r="A31" s="201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203"/>
    </row>
    <row r="32" spans="1:15" ht="18" customHeight="1">
      <c r="A32" s="201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203"/>
    </row>
    <row r="33" spans="1:24" ht="18" customHeight="1">
      <c r="A33" s="201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203"/>
    </row>
    <row r="34" spans="1:24" ht="18" customHeight="1">
      <c r="A34" s="201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203"/>
    </row>
    <row r="35" spans="1:24" ht="18" customHeight="1">
      <c r="A35" s="201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203"/>
    </row>
    <row r="36" spans="1:24" ht="18" customHeight="1">
      <c r="A36" s="201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203"/>
    </row>
    <row r="37" spans="1:24" ht="18" customHeight="1">
      <c r="A37" s="201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203"/>
    </row>
    <row r="38" spans="1:24" ht="18" customHeight="1">
      <c r="A38" s="201"/>
      <c r="B38" s="202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3"/>
    </row>
    <row r="39" spans="1:24" ht="24.95" customHeight="1">
      <c r="A39" s="403" t="s">
        <v>217</v>
      </c>
      <c r="B39" s="403"/>
      <c r="C39" s="403"/>
      <c r="D39" s="408" t="s">
        <v>234</v>
      </c>
      <c r="E39" s="409"/>
      <c r="F39" s="409"/>
      <c r="G39" s="409"/>
      <c r="H39" s="409"/>
      <c r="I39" s="403" t="s">
        <v>218</v>
      </c>
      <c r="J39" s="403"/>
      <c r="K39" s="410" t="s">
        <v>275</v>
      </c>
      <c r="L39" s="403"/>
      <c r="M39" s="403"/>
      <c r="N39" s="403"/>
      <c r="O39" s="403"/>
    </row>
    <row r="40" spans="1:24" ht="24.95" customHeight="1">
      <c r="A40" s="403" t="s">
        <v>219</v>
      </c>
      <c r="B40" s="403"/>
      <c r="C40" s="403"/>
      <c r="D40" s="404" t="s">
        <v>278</v>
      </c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6"/>
    </row>
    <row r="41" spans="1:24" ht="21" customHeight="1">
      <c r="A41" s="411" t="s">
        <v>215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1"/>
      <c r="N41" s="411"/>
      <c r="O41" s="411"/>
      <c r="P41" s="191"/>
      <c r="Q41" s="191"/>
      <c r="R41" s="192"/>
      <c r="S41" s="192"/>
      <c r="T41" s="193"/>
      <c r="U41" s="193"/>
      <c r="V41" s="193"/>
      <c r="W41" s="193"/>
      <c r="X41" s="193"/>
    </row>
    <row r="42" spans="1:24" ht="21" customHeight="1">
      <c r="A42" s="411"/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1"/>
      <c r="P42" s="191"/>
      <c r="Q42" s="191"/>
      <c r="R42" s="192"/>
      <c r="S42" s="412"/>
      <c r="T42" s="413"/>
      <c r="U42" s="413"/>
      <c r="V42" s="413"/>
      <c r="W42" s="413"/>
      <c r="X42" s="413"/>
    </row>
    <row r="43" spans="1:24" ht="20.100000000000001" customHeight="1">
      <c r="A43" s="414" t="s">
        <v>216</v>
      </c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191"/>
      <c r="Q43" s="191"/>
      <c r="R43" s="192"/>
      <c r="S43" s="195"/>
      <c r="T43" s="196"/>
      <c r="U43" s="196"/>
      <c r="V43" s="196"/>
      <c r="W43" s="196"/>
      <c r="X43" s="196"/>
    </row>
    <row r="44" spans="1:24" ht="18" customHeight="1">
      <c r="A44" s="197"/>
      <c r="B44" s="198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200"/>
      <c r="Q44" s="192"/>
      <c r="R44" s="192"/>
      <c r="S44" s="413"/>
      <c r="T44" s="413"/>
      <c r="U44" s="413"/>
      <c r="V44" s="413"/>
      <c r="W44" s="413"/>
      <c r="X44" s="413"/>
    </row>
    <row r="45" spans="1:24" ht="18" customHeight="1">
      <c r="A45" s="201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203"/>
      <c r="Q45" s="192"/>
      <c r="R45" s="192"/>
      <c r="S45" s="192"/>
      <c r="T45" s="193"/>
      <c r="U45" s="193"/>
      <c r="V45" s="193"/>
      <c r="W45" s="193"/>
      <c r="X45" s="193"/>
    </row>
    <row r="46" spans="1:24" ht="18" customHeight="1">
      <c r="A46" s="201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203"/>
      <c r="Q46" s="192"/>
      <c r="R46" s="192"/>
      <c r="S46" s="192"/>
      <c r="T46" s="192"/>
      <c r="U46" s="192"/>
      <c r="V46" s="192"/>
      <c r="W46" s="192"/>
      <c r="X46" s="192"/>
    </row>
    <row r="47" spans="1:24" ht="18" customHeight="1">
      <c r="A47" s="201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203"/>
    </row>
    <row r="48" spans="1:24" ht="18" customHeight="1">
      <c r="A48" s="201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203"/>
    </row>
    <row r="49" spans="1:15" ht="18" customHeight="1">
      <c r="A49" s="201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203"/>
    </row>
    <row r="50" spans="1:15" ht="18" customHeight="1">
      <c r="A50" s="201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203"/>
    </row>
    <row r="51" spans="1:15" ht="18" customHeight="1">
      <c r="A51" s="201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203"/>
    </row>
    <row r="52" spans="1:15" ht="18" customHeight="1">
      <c r="A52" s="201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203"/>
    </row>
    <row r="53" spans="1:15" ht="18" customHeight="1">
      <c r="A53" s="201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203"/>
    </row>
    <row r="54" spans="1:15" ht="18" customHeight="1">
      <c r="A54" s="201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203"/>
    </row>
    <row r="55" spans="1:15" ht="18" customHeight="1">
      <c r="A55" s="201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203"/>
    </row>
    <row r="56" spans="1:15" ht="18" customHeight="1">
      <c r="A56" s="201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203"/>
    </row>
    <row r="57" spans="1:15" ht="18" customHeight="1">
      <c r="A57" s="201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203"/>
    </row>
    <row r="58" spans="1:15" ht="18" customHeight="1">
      <c r="A58" s="201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203"/>
    </row>
    <row r="59" spans="1:15" ht="18" customHeight="1">
      <c r="A59" s="201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203"/>
    </row>
    <row r="60" spans="1:15" ht="18" customHeight="1">
      <c r="A60" s="201"/>
      <c r="B60" s="202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3"/>
    </row>
    <row r="61" spans="1:15" ht="24.95" customHeight="1">
      <c r="A61" s="403" t="s">
        <v>217</v>
      </c>
      <c r="B61" s="403"/>
      <c r="C61" s="403"/>
      <c r="D61" s="408" t="s">
        <v>234</v>
      </c>
      <c r="E61" s="409"/>
      <c r="F61" s="409"/>
      <c r="G61" s="409"/>
      <c r="H61" s="409"/>
      <c r="I61" s="403" t="s">
        <v>218</v>
      </c>
      <c r="J61" s="403"/>
      <c r="K61" s="410" t="s">
        <v>275</v>
      </c>
      <c r="L61" s="403"/>
      <c r="M61" s="403"/>
      <c r="N61" s="403"/>
      <c r="O61" s="403"/>
    </row>
    <row r="62" spans="1:15" ht="24.95" customHeight="1">
      <c r="A62" s="403" t="s">
        <v>219</v>
      </c>
      <c r="B62" s="403"/>
      <c r="C62" s="403"/>
      <c r="D62" s="404" t="s">
        <v>278</v>
      </c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6"/>
    </row>
    <row r="63" spans="1:15" ht="18" customHeight="1">
      <c r="A63" s="205"/>
      <c r="B63" s="206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8"/>
    </row>
    <row r="64" spans="1:15" ht="18" customHeight="1">
      <c r="A64" s="201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203"/>
    </row>
    <row r="65" spans="1:15" ht="18" customHeight="1">
      <c r="A65" s="201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203"/>
    </row>
    <row r="66" spans="1:15" ht="18" customHeight="1">
      <c r="A66" s="201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203"/>
    </row>
    <row r="67" spans="1:15" ht="18" customHeight="1">
      <c r="A67" s="201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203"/>
    </row>
    <row r="68" spans="1:15" ht="18" customHeight="1">
      <c r="A68" s="201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203"/>
    </row>
    <row r="69" spans="1:15" ht="18" customHeight="1">
      <c r="A69" s="201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203"/>
    </row>
    <row r="70" spans="1:15" ht="18" customHeight="1">
      <c r="A70" s="201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203"/>
    </row>
    <row r="71" spans="1:15" ht="18" customHeight="1">
      <c r="A71" s="201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203"/>
    </row>
    <row r="72" spans="1:15" ht="18" customHeight="1">
      <c r="A72" s="201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203"/>
    </row>
    <row r="73" spans="1:15" ht="18" customHeight="1">
      <c r="A73" s="201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203"/>
    </row>
    <row r="74" spans="1:15" ht="18" customHeight="1">
      <c r="A74" s="201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203"/>
    </row>
    <row r="75" spans="1:15" ht="18" customHeight="1">
      <c r="A75" s="201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203"/>
    </row>
    <row r="76" spans="1:15" ht="18" customHeight="1">
      <c r="A76" s="201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203"/>
    </row>
    <row r="77" spans="1:15" ht="18" customHeight="1">
      <c r="A77" s="201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203"/>
    </row>
    <row r="78" spans="1:15" ht="18" customHeight="1">
      <c r="A78" s="201"/>
      <c r="B78" s="202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3"/>
    </row>
    <row r="79" spans="1:15" ht="24.95" customHeight="1">
      <c r="A79" s="403" t="s">
        <v>217</v>
      </c>
      <c r="B79" s="403"/>
      <c r="C79" s="403"/>
      <c r="D79" s="408" t="s">
        <v>234</v>
      </c>
      <c r="E79" s="409"/>
      <c r="F79" s="409"/>
      <c r="G79" s="409"/>
      <c r="H79" s="409"/>
      <c r="I79" s="403" t="s">
        <v>218</v>
      </c>
      <c r="J79" s="403"/>
      <c r="K79" s="410" t="s">
        <v>275</v>
      </c>
      <c r="L79" s="403"/>
      <c r="M79" s="403"/>
      <c r="N79" s="403"/>
      <c r="O79" s="403"/>
    </row>
    <row r="80" spans="1:15" ht="24.95" customHeight="1">
      <c r="A80" s="403" t="s">
        <v>219</v>
      </c>
      <c r="B80" s="403"/>
      <c r="C80" s="403"/>
      <c r="D80" s="404" t="s">
        <v>239</v>
      </c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6"/>
    </row>
    <row r="81" spans="1:24" ht="21" customHeight="1">
      <c r="A81" s="411" t="s">
        <v>215</v>
      </c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191"/>
      <c r="Q81" s="191"/>
      <c r="R81" s="192"/>
      <c r="S81" s="192"/>
      <c r="T81" s="193"/>
      <c r="U81" s="193"/>
      <c r="V81" s="193"/>
      <c r="W81" s="193"/>
      <c r="X81" s="193"/>
    </row>
    <row r="82" spans="1:24" ht="21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191"/>
      <c r="Q82" s="191"/>
      <c r="R82" s="192"/>
      <c r="S82" s="412"/>
      <c r="T82" s="413"/>
      <c r="U82" s="413"/>
      <c r="V82" s="413"/>
      <c r="W82" s="413"/>
      <c r="X82" s="413"/>
    </row>
    <row r="83" spans="1:24" ht="20.100000000000001" customHeight="1">
      <c r="A83" s="414" t="s">
        <v>216</v>
      </c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191"/>
      <c r="Q83" s="191"/>
      <c r="R83" s="192"/>
      <c r="S83" s="195"/>
      <c r="T83" s="196"/>
      <c r="U83" s="196"/>
      <c r="V83" s="196"/>
      <c r="W83" s="196"/>
      <c r="X83" s="196"/>
    </row>
    <row r="84" spans="1:24" ht="18" customHeight="1">
      <c r="A84" s="197"/>
      <c r="B84" s="198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200"/>
      <c r="Q84" s="192"/>
      <c r="R84" s="192"/>
      <c r="S84" s="413"/>
      <c r="T84" s="413"/>
      <c r="U84" s="413"/>
      <c r="V84" s="413"/>
      <c r="W84" s="413"/>
      <c r="X84" s="413"/>
    </row>
    <row r="85" spans="1:24" ht="18" customHeight="1">
      <c r="A85" s="201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203"/>
      <c r="Q85" s="192"/>
      <c r="R85" s="192"/>
      <c r="S85" s="192"/>
      <c r="T85" s="193"/>
      <c r="U85" s="193"/>
      <c r="V85" s="193"/>
      <c r="W85" s="193"/>
      <c r="X85" s="193"/>
    </row>
    <row r="86" spans="1:24" ht="18" customHeight="1">
      <c r="A86" s="201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203"/>
      <c r="Q86" s="192"/>
      <c r="R86" s="192"/>
      <c r="S86" s="192"/>
      <c r="T86" s="192"/>
      <c r="U86" s="192"/>
      <c r="V86" s="192"/>
      <c r="W86" s="192"/>
      <c r="X86" s="192"/>
    </row>
    <row r="87" spans="1:24" ht="18" customHeight="1">
      <c r="A87" s="201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203"/>
    </row>
    <row r="88" spans="1:24" ht="18" customHeight="1">
      <c r="A88" s="201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203"/>
    </row>
    <row r="89" spans="1:24" ht="18" customHeight="1">
      <c r="A89" s="201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203"/>
    </row>
    <row r="90" spans="1:24" ht="18" customHeight="1">
      <c r="A90" s="201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203"/>
    </row>
    <row r="91" spans="1:24" ht="18" customHeight="1">
      <c r="A91" s="201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203"/>
    </row>
    <row r="92" spans="1:24" ht="18" customHeight="1">
      <c r="A92" s="201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203"/>
    </row>
    <row r="93" spans="1:24" ht="18" customHeight="1">
      <c r="A93" s="201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203"/>
    </row>
    <row r="94" spans="1:24" ht="18" customHeight="1">
      <c r="A94" s="201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203"/>
    </row>
    <row r="95" spans="1:24" ht="18" customHeight="1">
      <c r="A95" s="201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203"/>
    </row>
    <row r="96" spans="1:24" ht="18" customHeight="1">
      <c r="A96" s="201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203"/>
    </row>
    <row r="97" spans="1:15" ht="18" customHeight="1">
      <c r="A97" s="201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203"/>
    </row>
    <row r="98" spans="1:15" ht="18" customHeight="1">
      <c r="A98" s="201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203"/>
    </row>
    <row r="99" spans="1:15" ht="18" customHeight="1">
      <c r="A99" s="201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203"/>
    </row>
    <row r="100" spans="1:15" ht="18" customHeight="1">
      <c r="A100" s="201"/>
      <c r="B100" s="202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3"/>
    </row>
    <row r="101" spans="1:15" ht="24.95" customHeight="1">
      <c r="A101" s="403" t="s">
        <v>217</v>
      </c>
      <c r="B101" s="403"/>
      <c r="C101" s="403"/>
      <c r="D101" s="408" t="s">
        <v>234</v>
      </c>
      <c r="E101" s="409"/>
      <c r="F101" s="409"/>
      <c r="G101" s="409"/>
      <c r="H101" s="409"/>
      <c r="I101" s="403" t="s">
        <v>218</v>
      </c>
      <c r="J101" s="403"/>
      <c r="K101" s="410" t="s">
        <v>276</v>
      </c>
      <c r="L101" s="403"/>
      <c r="M101" s="403"/>
      <c r="N101" s="403"/>
      <c r="O101" s="403"/>
    </row>
    <row r="102" spans="1:15" ht="24.95" customHeight="1">
      <c r="A102" s="403" t="s">
        <v>219</v>
      </c>
      <c r="B102" s="403"/>
      <c r="C102" s="403"/>
      <c r="D102" s="404" t="s">
        <v>279</v>
      </c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6"/>
    </row>
    <row r="103" spans="1:15" ht="18" customHeight="1">
      <c r="A103" s="205"/>
      <c r="B103" s="206"/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8"/>
    </row>
    <row r="104" spans="1:15" ht="18" customHeight="1">
      <c r="A104" s="201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203"/>
    </row>
    <row r="105" spans="1:15" ht="18" customHeight="1">
      <c r="A105" s="201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203"/>
    </row>
    <row r="106" spans="1:15" ht="18" customHeight="1">
      <c r="A106" s="201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203"/>
    </row>
    <row r="107" spans="1:15" ht="18" customHeight="1">
      <c r="A107" s="201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203"/>
    </row>
    <row r="108" spans="1:15" ht="18" customHeight="1">
      <c r="A108" s="201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203"/>
    </row>
    <row r="109" spans="1:15" ht="18" customHeight="1">
      <c r="A109" s="201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203"/>
    </row>
    <row r="110" spans="1:15" ht="18" customHeight="1">
      <c r="A110" s="201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203"/>
    </row>
    <row r="111" spans="1:15" ht="18" customHeight="1">
      <c r="A111" s="201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203"/>
    </row>
    <row r="112" spans="1:15" ht="18" customHeight="1">
      <c r="A112" s="201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203"/>
    </row>
    <row r="113" spans="1:24" ht="18" customHeight="1">
      <c r="A113" s="201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203"/>
    </row>
    <row r="114" spans="1:24" ht="18" customHeight="1">
      <c r="A114" s="201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203"/>
    </row>
    <row r="115" spans="1:24" ht="18" customHeight="1">
      <c r="A115" s="201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203"/>
    </row>
    <row r="116" spans="1:24" ht="18" customHeight="1">
      <c r="A116" s="201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203"/>
    </row>
    <row r="117" spans="1:24" ht="18" customHeight="1">
      <c r="A117" s="201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203"/>
    </row>
    <row r="118" spans="1:24" ht="18" customHeight="1">
      <c r="A118" s="201"/>
      <c r="B118" s="202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3"/>
    </row>
    <row r="119" spans="1:24" ht="24.95" customHeight="1">
      <c r="A119" s="403" t="s">
        <v>217</v>
      </c>
      <c r="B119" s="403"/>
      <c r="C119" s="403"/>
      <c r="D119" s="408" t="s">
        <v>234</v>
      </c>
      <c r="E119" s="409"/>
      <c r="F119" s="409"/>
      <c r="G119" s="409"/>
      <c r="H119" s="409"/>
      <c r="I119" s="403" t="s">
        <v>218</v>
      </c>
      <c r="J119" s="403"/>
      <c r="K119" s="410" t="s">
        <v>276</v>
      </c>
      <c r="L119" s="403"/>
      <c r="M119" s="403"/>
      <c r="N119" s="403"/>
      <c r="O119" s="403"/>
    </row>
    <row r="120" spans="1:24" ht="24.75" customHeight="1">
      <c r="A120" s="403" t="s">
        <v>219</v>
      </c>
      <c r="B120" s="403"/>
      <c r="C120" s="403"/>
      <c r="D120" s="404" t="s">
        <v>279</v>
      </c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6"/>
    </row>
    <row r="121" spans="1:24" ht="21" customHeight="1">
      <c r="A121" s="411" t="s">
        <v>215</v>
      </c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191"/>
      <c r="Q121" s="191"/>
      <c r="R121" s="192"/>
      <c r="S121" s="192"/>
      <c r="T121" s="193"/>
      <c r="U121" s="193"/>
      <c r="V121" s="193"/>
      <c r="W121" s="193"/>
      <c r="X121" s="193"/>
    </row>
    <row r="122" spans="1:24" ht="21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191"/>
      <c r="Q122" s="191"/>
      <c r="R122" s="192"/>
      <c r="S122" s="412"/>
      <c r="T122" s="413"/>
      <c r="U122" s="413"/>
      <c r="V122" s="413"/>
      <c r="W122" s="413"/>
      <c r="X122" s="413"/>
    </row>
    <row r="123" spans="1:24" ht="20.100000000000001" customHeight="1">
      <c r="A123" s="414" t="s">
        <v>216</v>
      </c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191"/>
      <c r="Q123" s="191"/>
      <c r="R123" s="192"/>
      <c r="S123" s="195"/>
      <c r="T123" s="196"/>
      <c r="U123" s="196"/>
      <c r="V123" s="196"/>
      <c r="W123" s="196"/>
      <c r="X123" s="196"/>
    </row>
    <row r="124" spans="1:24" ht="18" customHeight="1">
      <c r="A124" s="197"/>
      <c r="B124" s="198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200"/>
      <c r="Q124" s="192"/>
      <c r="R124" s="192"/>
      <c r="S124" s="413"/>
      <c r="T124" s="413"/>
      <c r="U124" s="413"/>
      <c r="V124" s="413"/>
      <c r="W124" s="413"/>
      <c r="X124" s="413"/>
    </row>
    <row r="125" spans="1:24" ht="18" customHeight="1">
      <c r="A125" s="201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203"/>
      <c r="Q125" s="192"/>
      <c r="R125" s="192"/>
      <c r="S125" s="192"/>
      <c r="T125" s="193"/>
      <c r="U125" s="193"/>
      <c r="V125" s="193"/>
      <c r="W125" s="193"/>
      <c r="X125" s="193"/>
    </row>
    <row r="126" spans="1:24" ht="18" customHeight="1">
      <c r="A126" s="201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203"/>
      <c r="Q126" s="192"/>
      <c r="R126" s="192"/>
      <c r="S126" s="192"/>
      <c r="T126" s="192"/>
      <c r="U126" s="192"/>
      <c r="V126" s="192"/>
      <c r="W126" s="192"/>
      <c r="X126" s="192"/>
    </row>
    <row r="127" spans="1:24" ht="18" customHeight="1">
      <c r="A127" s="201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203"/>
    </row>
    <row r="128" spans="1:24" ht="18" customHeight="1">
      <c r="A128" s="201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203"/>
    </row>
    <row r="129" spans="1:15" ht="18" customHeight="1">
      <c r="A129" s="201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203"/>
    </row>
    <row r="130" spans="1:15" ht="18" customHeight="1">
      <c r="A130" s="201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203"/>
    </row>
    <row r="131" spans="1:15" ht="18" customHeight="1">
      <c r="A131" s="201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203"/>
    </row>
    <row r="132" spans="1:15" ht="18" customHeight="1">
      <c r="A132" s="201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203"/>
    </row>
    <row r="133" spans="1:15" ht="18" customHeight="1">
      <c r="A133" s="201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203"/>
    </row>
    <row r="134" spans="1:15" ht="18" customHeight="1">
      <c r="A134" s="201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203"/>
    </row>
    <row r="135" spans="1:15" ht="18" customHeight="1">
      <c r="A135" s="201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203"/>
    </row>
    <row r="136" spans="1:15" ht="18" customHeight="1">
      <c r="A136" s="201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203"/>
    </row>
    <row r="137" spans="1:15" ht="18" customHeight="1">
      <c r="A137" s="201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203"/>
    </row>
    <row r="138" spans="1:15" ht="18" customHeight="1">
      <c r="A138" s="201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203"/>
    </row>
    <row r="139" spans="1:15" ht="18" customHeight="1">
      <c r="A139" s="201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203"/>
    </row>
    <row r="140" spans="1:15" ht="18" customHeight="1">
      <c r="A140" s="201"/>
      <c r="B140" s="202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3"/>
    </row>
    <row r="141" spans="1:15" ht="24.95" customHeight="1">
      <c r="A141" s="403" t="s">
        <v>217</v>
      </c>
      <c r="B141" s="403"/>
      <c r="C141" s="403"/>
      <c r="D141" s="408" t="s">
        <v>234</v>
      </c>
      <c r="E141" s="409"/>
      <c r="F141" s="409"/>
      <c r="G141" s="409"/>
      <c r="H141" s="409"/>
      <c r="I141" s="403" t="s">
        <v>218</v>
      </c>
      <c r="J141" s="403"/>
      <c r="K141" s="410" t="s">
        <v>277</v>
      </c>
      <c r="L141" s="403"/>
      <c r="M141" s="403"/>
      <c r="N141" s="403"/>
      <c r="O141" s="403"/>
    </row>
    <row r="142" spans="1:15" ht="24.95" customHeight="1">
      <c r="A142" s="403" t="s">
        <v>219</v>
      </c>
      <c r="B142" s="403"/>
      <c r="C142" s="403"/>
      <c r="D142" s="404" t="s">
        <v>278</v>
      </c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6"/>
    </row>
    <row r="143" spans="1:15" ht="18" customHeight="1">
      <c r="A143" s="205"/>
      <c r="B143" s="206"/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8"/>
    </row>
    <row r="144" spans="1:15" ht="18" customHeight="1">
      <c r="A144" s="201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203"/>
    </row>
    <row r="145" spans="1:15" ht="18" customHeight="1">
      <c r="A145" s="201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203"/>
    </row>
    <row r="146" spans="1:15" ht="18" customHeight="1">
      <c r="A146" s="201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203"/>
    </row>
    <row r="147" spans="1:15" ht="18" customHeight="1">
      <c r="A147" s="201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203"/>
    </row>
    <row r="148" spans="1:15" ht="18" customHeight="1">
      <c r="A148" s="201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203"/>
    </row>
    <row r="149" spans="1:15" ht="18" customHeight="1">
      <c r="A149" s="201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203"/>
    </row>
    <row r="150" spans="1:15" ht="18" customHeight="1">
      <c r="A150" s="201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203"/>
    </row>
    <row r="151" spans="1:15" ht="18" customHeight="1">
      <c r="A151" s="201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203"/>
    </row>
    <row r="152" spans="1:15" ht="18" customHeight="1">
      <c r="A152" s="201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203"/>
    </row>
    <row r="153" spans="1:15" ht="18" customHeight="1">
      <c r="A153" s="201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203"/>
    </row>
    <row r="154" spans="1:15" ht="18" customHeight="1">
      <c r="A154" s="201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203"/>
    </row>
    <row r="155" spans="1:15" ht="18" customHeight="1">
      <c r="A155" s="201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203"/>
    </row>
    <row r="156" spans="1:15" ht="18" customHeight="1">
      <c r="A156" s="201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203"/>
    </row>
    <row r="157" spans="1:15" ht="18" customHeight="1">
      <c r="A157" s="201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203"/>
    </row>
    <row r="158" spans="1:15" ht="18" customHeight="1">
      <c r="A158" s="201"/>
      <c r="B158" s="202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3"/>
    </row>
    <row r="159" spans="1:15" ht="24.95" customHeight="1">
      <c r="A159" s="403" t="s">
        <v>217</v>
      </c>
      <c r="B159" s="403"/>
      <c r="C159" s="403"/>
      <c r="D159" s="408" t="s">
        <v>234</v>
      </c>
      <c r="E159" s="409"/>
      <c r="F159" s="409"/>
      <c r="G159" s="409"/>
      <c r="H159" s="409"/>
      <c r="I159" s="403" t="s">
        <v>218</v>
      </c>
      <c r="J159" s="403"/>
      <c r="K159" s="410" t="s">
        <v>277</v>
      </c>
      <c r="L159" s="403"/>
      <c r="M159" s="403"/>
      <c r="N159" s="403"/>
      <c r="O159" s="403"/>
    </row>
    <row r="160" spans="1:15" ht="24.75" customHeight="1">
      <c r="A160" s="403" t="s">
        <v>219</v>
      </c>
      <c r="B160" s="403"/>
      <c r="C160" s="403"/>
      <c r="D160" s="404" t="s">
        <v>278</v>
      </c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6"/>
    </row>
    <row r="161" spans="1:24" ht="21" customHeight="1">
      <c r="A161" s="411" t="s">
        <v>215</v>
      </c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191"/>
      <c r="Q161" s="191"/>
      <c r="R161" s="192"/>
      <c r="S161" s="192"/>
      <c r="T161" s="193"/>
      <c r="U161" s="193"/>
      <c r="V161" s="193"/>
      <c r="W161" s="193"/>
      <c r="X161" s="193"/>
    </row>
    <row r="162" spans="1:24" ht="21" customHeight="1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191"/>
      <c r="Q162" s="191"/>
      <c r="R162" s="192"/>
      <c r="S162" s="412"/>
      <c r="T162" s="413"/>
      <c r="U162" s="413"/>
      <c r="V162" s="413"/>
      <c r="W162" s="413"/>
      <c r="X162" s="413"/>
    </row>
    <row r="163" spans="1:24" ht="20.100000000000001" customHeight="1">
      <c r="A163" s="414" t="s">
        <v>216</v>
      </c>
      <c r="B163" s="414"/>
      <c r="C163" s="414"/>
      <c r="D163" s="414"/>
      <c r="E163" s="414"/>
      <c r="F163" s="414"/>
      <c r="G163" s="414"/>
      <c r="H163" s="414"/>
      <c r="I163" s="414"/>
      <c r="J163" s="414"/>
      <c r="K163" s="414"/>
      <c r="L163" s="414"/>
      <c r="M163" s="414"/>
      <c r="N163" s="414"/>
      <c r="O163" s="414"/>
      <c r="P163" s="191"/>
      <c r="Q163" s="191"/>
      <c r="R163" s="192"/>
      <c r="S163" s="195"/>
      <c r="T163" s="196"/>
      <c r="U163" s="196"/>
      <c r="V163" s="196"/>
      <c r="W163" s="196"/>
      <c r="X163" s="196"/>
    </row>
    <row r="164" spans="1:24" ht="18" customHeight="1">
      <c r="A164" s="197"/>
      <c r="B164" s="198"/>
      <c r="C164" s="199"/>
      <c r="D164" s="199"/>
      <c r="E164" s="199"/>
      <c r="F164" s="199"/>
      <c r="G164" s="199"/>
      <c r="H164" s="199"/>
      <c r="I164" s="199"/>
      <c r="J164" s="199"/>
      <c r="K164" s="199"/>
      <c r="L164" s="199"/>
      <c r="M164" s="199"/>
      <c r="N164" s="199"/>
      <c r="O164" s="200"/>
      <c r="Q164" s="192"/>
      <c r="R164" s="192"/>
      <c r="S164" s="413"/>
      <c r="T164" s="413"/>
      <c r="U164" s="413"/>
      <c r="V164" s="413"/>
      <c r="W164" s="413"/>
      <c r="X164" s="413"/>
    </row>
    <row r="165" spans="1:24" ht="18" customHeight="1">
      <c r="A165" s="201"/>
      <c r="B165" s="407"/>
      <c r="C165" s="407"/>
      <c r="D165" s="407"/>
      <c r="E165" s="407"/>
      <c r="F165" s="407"/>
      <c r="G165" s="407"/>
      <c r="H165" s="407"/>
      <c r="I165" s="407"/>
      <c r="J165" s="407"/>
      <c r="K165" s="407"/>
      <c r="L165" s="407"/>
      <c r="M165" s="407"/>
      <c r="N165" s="407"/>
      <c r="O165" s="203"/>
      <c r="Q165" s="192"/>
      <c r="R165" s="192"/>
      <c r="S165" s="192"/>
      <c r="T165" s="193"/>
      <c r="U165" s="193"/>
      <c r="V165" s="193"/>
      <c r="W165" s="193"/>
      <c r="X165" s="193"/>
    </row>
    <row r="166" spans="1:24" ht="18" customHeight="1">
      <c r="A166" s="201"/>
      <c r="B166" s="407"/>
      <c r="C166" s="407"/>
      <c r="D166" s="407"/>
      <c r="E166" s="407"/>
      <c r="F166" s="407"/>
      <c r="G166" s="407"/>
      <c r="H166" s="407"/>
      <c r="I166" s="407"/>
      <c r="J166" s="407"/>
      <c r="K166" s="407"/>
      <c r="L166" s="407"/>
      <c r="M166" s="407"/>
      <c r="N166" s="407"/>
      <c r="O166" s="203"/>
      <c r="Q166" s="192"/>
      <c r="R166" s="192"/>
      <c r="S166" s="192"/>
      <c r="T166" s="192"/>
      <c r="U166" s="192"/>
      <c r="V166" s="192"/>
      <c r="W166" s="192"/>
      <c r="X166" s="192"/>
    </row>
    <row r="167" spans="1:24" ht="18" customHeight="1">
      <c r="A167" s="201"/>
      <c r="B167" s="407"/>
      <c r="C167" s="407"/>
      <c r="D167" s="407"/>
      <c r="E167" s="407"/>
      <c r="F167" s="407"/>
      <c r="G167" s="407"/>
      <c r="H167" s="407"/>
      <c r="I167" s="407"/>
      <c r="J167" s="407"/>
      <c r="K167" s="407"/>
      <c r="L167" s="407"/>
      <c r="M167" s="407"/>
      <c r="N167" s="407"/>
      <c r="O167" s="203"/>
    </row>
    <row r="168" spans="1:24" ht="18" customHeight="1">
      <c r="A168" s="201"/>
      <c r="B168" s="407"/>
      <c r="C168" s="407"/>
      <c r="D168" s="407"/>
      <c r="E168" s="407"/>
      <c r="F168" s="407"/>
      <c r="G168" s="407"/>
      <c r="H168" s="407"/>
      <c r="I168" s="407"/>
      <c r="J168" s="407"/>
      <c r="K168" s="407"/>
      <c r="L168" s="407"/>
      <c r="M168" s="407"/>
      <c r="N168" s="407"/>
      <c r="O168" s="203"/>
    </row>
    <row r="169" spans="1:24" ht="18" customHeight="1">
      <c r="A169" s="201"/>
      <c r="B169" s="407"/>
      <c r="C169" s="407"/>
      <c r="D169" s="407"/>
      <c r="E169" s="407"/>
      <c r="F169" s="407"/>
      <c r="G169" s="407"/>
      <c r="H169" s="407"/>
      <c r="I169" s="407"/>
      <c r="J169" s="407"/>
      <c r="K169" s="407"/>
      <c r="L169" s="407"/>
      <c r="M169" s="407"/>
      <c r="N169" s="407"/>
      <c r="O169" s="203"/>
    </row>
    <row r="170" spans="1:24" ht="18" customHeight="1">
      <c r="A170" s="201"/>
      <c r="B170" s="407"/>
      <c r="C170" s="407"/>
      <c r="D170" s="407"/>
      <c r="E170" s="407"/>
      <c r="F170" s="407"/>
      <c r="G170" s="407"/>
      <c r="H170" s="407"/>
      <c r="I170" s="407"/>
      <c r="J170" s="407"/>
      <c r="K170" s="407"/>
      <c r="L170" s="407"/>
      <c r="M170" s="407"/>
      <c r="N170" s="407"/>
      <c r="O170" s="203"/>
    </row>
    <row r="171" spans="1:24" ht="18" customHeight="1">
      <c r="A171" s="201"/>
      <c r="B171" s="407"/>
      <c r="C171" s="407"/>
      <c r="D171" s="407"/>
      <c r="E171" s="407"/>
      <c r="F171" s="407"/>
      <c r="G171" s="407"/>
      <c r="H171" s="407"/>
      <c r="I171" s="407"/>
      <c r="J171" s="407"/>
      <c r="K171" s="407"/>
      <c r="L171" s="407"/>
      <c r="M171" s="407"/>
      <c r="N171" s="407"/>
      <c r="O171" s="203"/>
    </row>
    <row r="172" spans="1:24" ht="18" customHeight="1">
      <c r="A172" s="201"/>
      <c r="B172" s="407"/>
      <c r="C172" s="407"/>
      <c r="D172" s="407"/>
      <c r="E172" s="407"/>
      <c r="F172" s="407"/>
      <c r="G172" s="407"/>
      <c r="H172" s="407"/>
      <c r="I172" s="407"/>
      <c r="J172" s="407"/>
      <c r="K172" s="407"/>
      <c r="L172" s="407"/>
      <c r="M172" s="407"/>
      <c r="N172" s="407"/>
      <c r="O172" s="203"/>
    </row>
    <row r="173" spans="1:24" ht="18" customHeight="1">
      <c r="A173" s="201"/>
      <c r="B173" s="407"/>
      <c r="C173" s="407"/>
      <c r="D173" s="407"/>
      <c r="E173" s="407"/>
      <c r="F173" s="407"/>
      <c r="G173" s="407"/>
      <c r="H173" s="407"/>
      <c r="I173" s="407"/>
      <c r="J173" s="407"/>
      <c r="K173" s="407"/>
      <c r="L173" s="407"/>
      <c r="M173" s="407"/>
      <c r="N173" s="407"/>
      <c r="O173" s="203"/>
    </row>
    <row r="174" spans="1:24" ht="18" customHeight="1">
      <c r="A174" s="201"/>
      <c r="B174" s="407"/>
      <c r="C174" s="407"/>
      <c r="D174" s="407"/>
      <c r="E174" s="407"/>
      <c r="F174" s="407"/>
      <c r="G174" s="407"/>
      <c r="H174" s="407"/>
      <c r="I174" s="407"/>
      <c r="J174" s="407"/>
      <c r="K174" s="407"/>
      <c r="L174" s="407"/>
      <c r="M174" s="407"/>
      <c r="N174" s="407"/>
      <c r="O174" s="203"/>
    </row>
    <row r="175" spans="1:24" ht="18" customHeight="1">
      <c r="A175" s="201"/>
      <c r="B175" s="407"/>
      <c r="C175" s="407"/>
      <c r="D175" s="407"/>
      <c r="E175" s="407"/>
      <c r="F175" s="407"/>
      <c r="G175" s="407"/>
      <c r="H175" s="407"/>
      <c r="I175" s="407"/>
      <c r="J175" s="407"/>
      <c r="K175" s="407"/>
      <c r="L175" s="407"/>
      <c r="M175" s="407"/>
      <c r="N175" s="407"/>
      <c r="O175" s="203"/>
    </row>
    <row r="176" spans="1:24" ht="18" customHeight="1">
      <c r="A176" s="201"/>
      <c r="B176" s="407"/>
      <c r="C176" s="407"/>
      <c r="D176" s="407"/>
      <c r="E176" s="407"/>
      <c r="F176" s="407"/>
      <c r="G176" s="407"/>
      <c r="H176" s="407"/>
      <c r="I176" s="407"/>
      <c r="J176" s="407"/>
      <c r="K176" s="407"/>
      <c r="L176" s="407"/>
      <c r="M176" s="407"/>
      <c r="N176" s="407"/>
      <c r="O176" s="203"/>
    </row>
    <row r="177" spans="1:15" ht="18" customHeight="1">
      <c r="A177" s="201"/>
      <c r="B177" s="407"/>
      <c r="C177" s="407"/>
      <c r="D177" s="407"/>
      <c r="E177" s="407"/>
      <c r="F177" s="407"/>
      <c r="G177" s="407"/>
      <c r="H177" s="407"/>
      <c r="I177" s="407"/>
      <c r="J177" s="407"/>
      <c r="K177" s="407"/>
      <c r="L177" s="407"/>
      <c r="M177" s="407"/>
      <c r="N177" s="407"/>
      <c r="O177" s="203"/>
    </row>
    <row r="178" spans="1:15" ht="18" customHeight="1">
      <c r="A178" s="201"/>
      <c r="B178" s="407"/>
      <c r="C178" s="407"/>
      <c r="D178" s="407"/>
      <c r="E178" s="407"/>
      <c r="F178" s="407"/>
      <c r="G178" s="407"/>
      <c r="H178" s="407"/>
      <c r="I178" s="407"/>
      <c r="J178" s="407"/>
      <c r="K178" s="407"/>
      <c r="L178" s="407"/>
      <c r="M178" s="407"/>
      <c r="N178" s="407"/>
      <c r="O178" s="203"/>
    </row>
    <row r="179" spans="1:15" ht="18" customHeight="1">
      <c r="A179" s="201"/>
      <c r="B179" s="407"/>
      <c r="C179" s="407"/>
      <c r="D179" s="407"/>
      <c r="E179" s="407"/>
      <c r="F179" s="407"/>
      <c r="G179" s="407"/>
      <c r="H179" s="407"/>
      <c r="I179" s="407"/>
      <c r="J179" s="407"/>
      <c r="K179" s="407"/>
      <c r="L179" s="407"/>
      <c r="M179" s="407"/>
      <c r="N179" s="407"/>
      <c r="O179" s="203"/>
    </row>
    <row r="180" spans="1:15" ht="18" customHeight="1">
      <c r="A180" s="201"/>
      <c r="B180" s="202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3"/>
    </row>
    <row r="181" spans="1:15" ht="24.95" customHeight="1">
      <c r="A181" s="403" t="s">
        <v>217</v>
      </c>
      <c r="B181" s="403"/>
      <c r="C181" s="403"/>
      <c r="D181" s="408" t="s">
        <v>234</v>
      </c>
      <c r="E181" s="409"/>
      <c r="F181" s="409"/>
      <c r="G181" s="409"/>
      <c r="H181" s="409"/>
      <c r="I181" s="403" t="s">
        <v>218</v>
      </c>
      <c r="J181" s="403"/>
      <c r="K181" s="410" t="s">
        <v>277</v>
      </c>
      <c r="L181" s="403"/>
      <c r="M181" s="403"/>
      <c r="N181" s="403"/>
      <c r="O181" s="403"/>
    </row>
    <row r="182" spans="1:15" ht="24.95" customHeight="1">
      <c r="A182" s="403" t="s">
        <v>219</v>
      </c>
      <c r="B182" s="403"/>
      <c r="C182" s="403"/>
      <c r="D182" s="404" t="s">
        <v>280</v>
      </c>
      <c r="E182" s="405"/>
      <c r="F182" s="405"/>
      <c r="G182" s="405"/>
      <c r="H182" s="405"/>
      <c r="I182" s="405"/>
      <c r="J182" s="405"/>
      <c r="K182" s="405"/>
      <c r="L182" s="405"/>
      <c r="M182" s="405"/>
      <c r="N182" s="405"/>
      <c r="O182" s="406"/>
    </row>
    <row r="183" spans="1:15" ht="18" customHeight="1">
      <c r="A183" s="205"/>
      <c r="B183" s="206"/>
      <c r="C183" s="207"/>
      <c r="D183" s="207"/>
      <c r="E183" s="207"/>
      <c r="F183" s="207"/>
      <c r="G183" s="207"/>
      <c r="H183" s="207"/>
      <c r="I183" s="207"/>
      <c r="J183" s="207"/>
      <c r="K183" s="207"/>
      <c r="L183" s="207"/>
      <c r="M183" s="207"/>
      <c r="N183" s="207"/>
      <c r="O183" s="208"/>
    </row>
    <row r="184" spans="1:15" ht="18" customHeight="1">
      <c r="A184" s="201"/>
      <c r="B184" s="407"/>
      <c r="C184" s="407"/>
      <c r="D184" s="407"/>
      <c r="E184" s="407"/>
      <c r="F184" s="407"/>
      <c r="G184" s="407"/>
      <c r="H184" s="407"/>
      <c r="I184" s="407"/>
      <c r="J184" s="407"/>
      <c r="K184" s="407"/>
      <c r="L184" s="407"/>
      <c r="M184" s="407"/>
      <c r="N184" s="407"/>
      <c r="O184" s="203"/>
    </row>
    <row r="185" spans="1:15" ht="18" customHeight="1">
      <c r="A185" s="201"/>
      <c r="B185" s="407"/>
      <c r="C185" s="407"/>
      <c r="D185" s="407"/>
      <c r="E185" s="407"/>
      <c r="F185" s="407"/>
      <c r="G185" s="407"/>
      <c r="H185" s="407"/>
      <c r="I185" s="407"/>
      <c r="J185" s="407"/>
      <c r="K185" s="407"/>
      <c r="L185" s="407"/>
      <c r="M185" s="407"/>
      <c r="N185" s="407"/>
      <c r="O185" s="203"/>
    </row>
    <row r="186" spans="1:15" ht="18" customHeight="1">
      <c r="A186" s="201"/>
      <c r="B186" s="407"/>
      <c r="C186" s="407"/>
      <c r="D186" s="407"/>
      <c r="E186" s="407"/>
      <c r="F186" s="407"/>
      <c r="G186" s="407"/>
      <c r="H186" s="407"/>
      <c r="I186" s="407"/>
      <c r="J186" s="407"/>
      <c r="K186" s="407"/>
      <c r="L186" s="407"/>
      <c r="M186" s="407"/>
      <c r="N186" s="407"/>
      <c r="O186" s="203"/>
    </row>
    <row r="187" spans="1:15" ht="18" customHeight="1">
      <c r="A187" s="201"/>
      <c r="B187" s="407"/>
      <c r="C187" s="407"/>
      <c r="D187" s="407"/>
      <c r="E187" s="407"/>
      <c r="F187" s="407"/>
      <c r="G187" s="407"/>
      <c r="H187" s="407"/>
      <c r="I187" s="407"/>
      <c r="J187" s="407"/>
      <c r="K187" s="407"/>
      <c r="L187" s="407"/>
      <c r="M187" s="407"/>
      <c r="N187" s="407"/>
      <c r="O187" s="203"/>
    </row>
    <row r="188" spans="1:15" ht="18" customHeight="1">
      <c r="A188" s="201"/>
      <c r="B188" s="407"/>
      <c r="C188" s="407"/>
      <c r="D188" s="407"/>
      <c r="E188" s="407"/>
      <c r="F188" s="407"/>
      <c r="G188" s="407"/>
      <c r="H188" s="407"/>
      <c r="I188" s="407"/>
      <c r="J188" s="407"/>
      <c r="K188" s="407"/>
      <c r="L188" s="407"/>
      <c r="M188" s="407"/>
      <c r="N188" s="407"/>
      <c r="O188" s="203"/>
    </row>
    <row r="189" spans="1:15" ht="18" customHeight="1">
      <c r="A189" s="201"/>
      <c r="B189" s="407"/>
      <c r="C189" s="407"/>
      <c r="D189" s="407"/>
      <c r="E189" s="407"/>
      <c r="F189" s="407"/>
      <c r="G189" s="407"/>
      <c r="H189" s="407"/>
      <c r="I189" s="407"/>
      <c r="J189" s="407"/>
      <c r="K189" s="407"/>
      <c r="L189" s="407"/>
      <c r="M189" s="407"/>
      <c r="N189" s="407"/>
      <c r="O189" s="203"/>
    </row>
    <row r="190" spans="1:15" ht="18" customHeight="1">
      <c r="A190" s="201"/>
      <c r="B190" s="407"/>
      <c r="C190" s="407"/>
      <c r="D190" s="407"/>
      <c r="E190" s="407"/>
      <c r="F190" s="407"/>
      <c r="G190" s="407"/>
      <c r="H190" s="407"/>
      <c r="I190" s="407"/>
      <c r="J190" s="407"/>
      <c r="K190" s="407"/>
      <c r="L190" s="407"/>
      <c r="M190" s="407"/>
      <c r="N190" s="407"/>
      <c r="O190" s="203"/>
    </row>
    <row r="191" spans="1:15" ht="18" customHeight="1">
      <c r="A191" s="201"/>
      <c r="B191" s="407"/>
      <c r="C191" s="407"/>
      <c r="D191" s="407"/>
      <c r="E191" s="407"/>
      <c r="F191" s="407"/>
      <c r="G191" s="407"/>
      <c r="H191" s="407"/>
      <c r="I191" s="407"/>
      <c r="J191" s="407"/>
      <c r="K191" s="407"/>
      <c r="L191" s="407"/>
      <c r="M191" s="407"/>
      <c r="N191" s="407"/>
      <c r="O191" s="203"/>
    </row>
    <row r="192" spans="1:15" ht="18" customHeight="1">
      <c r="A192" s="201"/>
      <c r="B192" s="407"/>
      <c r="C192" s="407"/>
      <c r="D192" s="407"/>
      <c r="E192" s="407"/>
      <c r="F192" s="407"/>
      <c r="G192" s="407"/>
      <c r="H192" s="407"/>
      <c r="I192" s="407"/>
      <c r="J192" s="407"/>
      <c r="K192" s="407"/>
      <c r="L192" s="407"/>
      <c r="M192" s="407"/>
      <c r="N192" s="407"/>
      <c r="O192" s="203"/>
    </row>
    <row r="193" spans="1:24" ht="18" customHeight="1">
      <c r="A193" s="201"/>
      <c r="B193" s="407"/>
      <c r="C193" s="407"/>
      <c r="D193" s="407"/>
      <c r="E193" s="407"/>
      <c r="F193" s="407"/>
      <c r="G193" s="407"/>
      <c r="H193" s="407"/>
      <c r="I193" s="407"/>
      <c r="J193" s="407"/>
      <c r="K193" s="407"/>
      <c r="L193" s="407"/>
      <c r="M193" s="407"/>
      <c r="N193" s="407"/>
      <c r="O193" s="203"/>
    </row>
    <row r="194" spans="1:24" ht="18" customHeight="1">
      <c r="A194" s="201"/>
      <c r="B194" s="407"/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203"/>
    </row>
    <row r="195" spans="1:24" ht="18" customHeight="1">
      <c r="A195" s="201"/>
      <c r="B195" s="407"/>
      <c r="C195" s="407"/>
      <c r="D195" s="407"/>
      <c r="E195" s="407"/>
      <c r="F195" s="407"/>
      <c r="G195" s="407"/>
      <c r="H195" s="407"/>
      <c r="I195" s="407"/>
      <c r="J195" s="407"/>
      <c r="K195" s="407"/>
      <c r="L195" s="407"/>
      <c r="M195" s="407"/>
      <c r="N195" s="407"/>
      <c r="O195" s="203"/>
    </row>
    <row r="196" spans="1:24" ht="18" customHeight="1">
      <c r="A196" s="201"/>
      <c r="B196" s="407"/>
      <c r="C196" s="407"/>
      <c r="D196" s="407"/>
      <c r="E196" s="407"/>
      <c r="F196" s="407"/>
      <c r="G196" s="407"/>
      <c r="H196" s="407"/>
      <c r="I196" s="407"/>
      <c r="J196" s="407"/>
      <c r="K196" s="407"/>
      <c r="L196" s="407"/>
      <c r="M196" s="407"/>
      <c r="N196" s="407"/>
      <c r="O196" s="203"/>
    </row>
    <row r="197" spans="1:24" ht="18" customHeight="1">
      <c r="A197" s="201"/>
      <c r="B197" s="407"/>
      <c r="C197" s="407"/>
      <c r="D197" s="407"/>
      <c r="E197" s="407"/>
      <c r="F197" s="407"/>
      <c r="G197" s="407"/>
      <c r="H197" s="407"/>
      <c r="I197" s="407"/>
      <c r="J197" s="407"/>
      <c r="K197" s="407"/>
      <c r="L197" s="407"/>
      <c r="M197" s="407"/>
      <c r="N197" s="407"/>
      <c r="O197" s="203"/>
    </row>
    <row r="198" spans="1:24" ht="18" customHeight="1">
      <c r="A198" s="201"/>
      <c r="B198" s="202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3"/>
    </row>
    <row r="199" spans="1:24" ht="24.95" customHeight="1">
      <c r="A199" s="403" t="s">
        <v>217</v>
      </c>
      <c r="B199" s="403"/>
      <c r="C199" s="403"/>
      <c r="D199" s="408" t="s">
        <v>234</v>
      </c>
      <c r="E199" s="409"/>
      <c r="F199" s="409"/>
      <c r="G199" s="409"/>
      <c r="H199" s="409"/>
      <c r="I199" s="403" t="s">
        <v>218</v>
      </c>
      <c r="J199" s="403"/>
      <c r="K199" s="410" t="s">
        <v>276</v>
      </c>
      <c r="L199" s="403"/>
      <c r="M199" s="403"/>
      <c r="N199" s="403"/>
      <c r="O199" s="403"/>
    </row>
    <row r="200" spans="1:24" ht="24.75" customHeight="1">
      <c r="A200" s="403" t="s">
        <v>219</v>
      </c>
      <c r="B200" s="403"/>
      <c r="C200" s="403"/>
      <c r="D200" s="404" t="s">
        <v>281</v>
      </c>
      <c r="E200" s="405"/>
      <c r="F200" s="405"/>
      <c r="G200" s="405"/>
      <c r="H200" s="405"/>
      <c r="I200" s="405"/>
      <c r="J200" s="405"/>
      <c r="K200" s="405"/>
      <c r="L200" s="405"/>
      <c r="M200" s="405"/>
      <c r="N200" s="405"/>
      <c r="O200" s="406"/>
    </row>
    <row r="201" spans="1:24" ht="21" customHeight="1">
      <c r="A201" s="411" t="s">
        <v>215</v>
      </c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191"/>
      <c r="Q201" s="191"/>
      <c r="R201" s="192"/>
      <c r="S201" s="192"/>
      <c r="T201" s="193"/>
      <c r="U201" s="193"/>
      <c r="V201" s="193"/>
      <c r="W201" s="193"/>
      <c r="X201" s="193"/>
    </row>
    <row r="202" spans="1:24" ht="21" customHeight="1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191"/>
      <c r="Q202" s="191"/>
      <c r="R202" s="192"/>
      <c r="S202" s="412"/>
      <c r="T202" s="413"/>
      <c r="U202" s="413"/>
      <c r="V202" s="413"/>
      <c r="W202" s="413"/>
      <c r="X202" s="413"/>
    </row>
    <row r="203" spans="1:24" ht="20.100000000000001" customHeight="1">
      <c r="A203" s="414" t="s">
        <v>216</v>
      </c>
      <c r="B203" s="414"/>
      <c r="C203" s="414"/>
      <c r="D203" s="414"/>
      <c r="E203" s="414"/>
      <c r="F203" s="414"/>
      <c r="G203" s="414"/>
      <c r="H203" s="414"/>
      <c r="I203" s="414"/>
      <c r="J203" s="414"/>
      <c r="K203" s="414"/>
      <c r="L203" s="414"/>
      <c r="M203" s="414"/>
      <c r="N203" s="414"/>
      <c r="O203" s="414"/>
      <c r="P203" s="191"/>
      <c r="Q203" s="191"/>
      <c r="R203" s="192"/>
      <c r="S203" s="195"/>
      <c r="T203" s="196"/>
      <c r="U203" s="196"/>
      <c r="V203" s="196"/>
      <c r="W203" s="196"/>
      <c r="X203" s="196"/>
    </row>
    <row r="204" spans="1:24" ht="18" customHeight="1">
      <c r="A204" s="197"/>
      <c r="B204" s="198"/>
      <c r="C204" s="199"/>
      <c r="D204" s="199"/>
      <c r="E204" s="199"/>
      <c r="F204" s="199"/>
      <c r="G204" s="199"/>
      <c r="H204" s="199"/>
      <c r="I204" s="199"/>
      <c r="J204" s="199"/>
      <c r="K204" s="199"/>
      <c r="L204" s="199"/>
      <c r="M204" s="199"/>
      <c r="N204" s="199"/>
      <c r="O204" s="200"/>
      <c r="Q204" s="192"/>
      <c r="R204" s="192"/>
      <c r="S204" s="413"/>
      <c r="T204" s="413"/>
      <c r="U204" s="413"/>
      <c r="V204" s="413"/>
      <c r="W204" s="413"/>
      <c r="X204" s="413"/>
    </row>
    <row r="205" spans="1:24" ht="18" customHeight="1">
      <c r="A205" s="201"/>
      <c r="B205" s="407"/>
      <c r="C205" s="407"/>
      <c r="D205" s="407"/>
      <c r="E205" s="407"/>
      <c r="F205" s="407"/>
      <c r="G205" s="407"/>
      <c r="H205" s="407"/>
      <c r="I205" s="407"/>
      <c r="J205" s="407"/>
      <c r="K205" s="407"/>
      <c r="L205" s="407"/>
      <c r="M205" s="407"/>
      <c r="N205" s="407"/>
      <c r="O205" s="203"/>
      <c r="Q205" s="192"/>
      <c r="R205" s="192"/>
      <c r="S205" s="192"/>
      <c r="T205" s="193"/>
      <c r="U205" s="193"/>
      <c r="V205" s="193"/>
      <c r="W205" s="193"/>
      <c r="X205" s="193"/>
    </row>
    <row r="206" spans="1:24" ht="18" customHeight="1">
      <c r="A206" s="201"/>
      <c r="B206" s="407"/>
      <c r="C206" s="407"/>
      <c r="D206" s="407"/>
      <c r="E206" s="407"/>
      <c r="F206" s="407"/>
      <c r="G206" s="407"/>
      <c r="H206" s="407"/>
      <c r="I206" s="407"/>
      <c r="J206" s="407"/>
      <c r="K206" s="407"/>
      <c r="L206" s="407"/>
      <c r="M206" s="407"/>
      <c r="N206" s="407"/>
      <c r="O206" s="203"/>
      <c r="Q206" s="192"/>
      <c r="R206" s="192"/>
      <c r="S206" s="192"/>
      <c r="T206" s="192"/>
      <c r="U206" s="192"/>
      <c r="V206" s="192"/>
      <c r="W206" s="192"/>
      <c r="X206" s="192"/>
    </row>
    <row r="207" spans="1:24" ht="18" customHeight="1">
      <c r="A207" s="201"/>
      <c r="B207" s="407"/>
      <c r="C207" s="407"/>
      <c r="D207" s="407"/>
      <c r="E207" s="407"/>
      <c r="F207" s="407"/>
      <c r="G207" s="407"/>
      <c r="H207" s="407"/>
      <c r="I207" s="407"/>
      <c r="J207" s="407"/>
      <c r="K207" s="407"/>
      <c r="L207" s="407"/>
      <c r="M207" s="407"/>
      <c r="N207" s="407"/>
      <c r="O207" s="203"/>
    </row>
    <row r="208" spans="1:24" ht="18" customHeight="1">
      <c r="A208" s="201"/>
      <c r="B208" s="407"/>
      <c r="C208" s="407"/>
      <c r="D208" s="407"/>
      <c r="E208" s="407"/>
      <c r="F208" s="407"/>
      <c r="G208" s="407"/>
      <c r="H208" s="407"/>
      <c r="I208" s="407"/>
      <c r="J208" s="407"/>
      <c r="K208" s="407"/>
      <c r="L208" s="407"/>
      <c r="M208" s="407"/>
      <c r="N208" s="407"/>
      <c r="O208" s="203"/>
    </row>
    <row r="209" spans="1:15" ht="18" customHeight="1">
      <c r="A209" s="201"/>
      <c r="B209" s="407"/>
      <c r="C209" s="407"/>
      <c r="D209" s="407"/>
      <c r="E209" s="407"/>
      <c r="F209" s="407"/>
      <c r="G209" s="407"/>
      <c r="H209" s="407"/>
      <c r="I209" s="407"/>
      <c r="J209" s="407"/>
      <c r="K209" s="407"/>
      <c r="L209" s="407"/>
      <c r="M209" s="407"/>
      <c r="N209" s="407"/>
      <c r="O209" s="203"/>
    </row>
    <row r="210" spans="1:15" ht="18" customHeight="1">
      <c r="A210" s="201"/>
      <c r="B210" s="407"/>
      <c r="C210" s="407"/>
      <c r="D210" s="407"/>
      <c r="E210" s="407"/>
      <c r="F210" s="407"/>
      <c r="G210" s="407"/>
      <c r="H210" s="407"/>
      <c r="I210" s="407"/>
      <c r="J210" s="407"/>
      <c r="K210" s="407"/>
      <c r="L210" s="407"/>
      <c r="M210" s="407"/>
      <c r="N210" s="407"/>
      <c r="O210" s="203"/>
    </row>
    <row r="211" spans="1:15" ht="18" customHeight="1">
      <c r="A211" s="201"/>
      <c r="B211" s="407"/>
      <c r="C211" s="407"/>
      <c r="D211" s="407"/>
      <c r="E211" s="407"/>
      <c r="F211" s="407"/>
      <c r="G211" s="407"/>
      <c r="H211" s="407"/>
      <c r="I211" s="407"/>
      <c r="J211" s="407"/>
      <c r="K211" s="407"/>
      <c r="L211" s="407"/>
      <c r="M211" s="407"/>
      <c r="N211" s="407"/>
      <c r="O211" s="203"/>
    </row>
    <row r="212" spans="1:15" ht="18" customHeight="1">
      <c r="A212" s="201"/>
      <c r="B212" s="407"/>
      <c r="C212" s="407"/>
      <c r="D212" s="407"/>
      <c r="E212" s="407"/>
      <c r="F212" s="407"/>
      <c r="G212" s="407"/>
      <c r="H212" s="407"/>
      <c r="I212" s="407"/>
      <c r="J212" s="407"/>
      <c r="K212" s="407"/>
      <c r="L212" s="407"/>
      <c r="M212" s="407"/>
      <c r="N212" s="407"/>
      <c r="O212" s="203"/>
    </row>
    <row r="213" spans="1:15" ht="18" customHeight="1">
      <c r="A213" s="201"/>
      <c r="B213" s="407"/>
      <c r="C213" s="407"/>
      <c r="D213" s="407"/>
      <c r="E213" s="407"/>
      <c r="F213" s="407"/>
      <c r="G213" s="407"/>
      <c r="H213" s="407"/>
      <c r="I213" s="407"/>
      <c r="J213" s="407"/>
      <c r="K213" s="407"/>
      <c r="L213" s="407"/>
      <c r="M213" s="407"/>
      <c r="N213" s="407"/>
      <c r="O213" s="203"/>
    </row>
    <row r="214" spans="1:15" ht="18" customHeight="1">
      <c r="A214" s="201"/>
      <c r="B214" s="407"/>
      <c r="C214" s="407"/>
      <c r="D214" s="407"/>
      <c r="E214" s="407"/>
      <c r="F214" s="407"/>
      <c r="G214" s="407"/>
      <c r="H214" s="407"/>
      <c r="I214" s="407"/>
      <c r="J214" s="407"/>
      <c r="K214" s="407"/>
      <c r="L214" s="407"/>
      <c r="M214" s="407"/>
      <c r="N214" s="407"/>
      <c r="O214" s="203"/>
    </row>
    <row r="215" spans="1:15" ht="18" customHeight="1">
      <c r="A215" s="201"/>
      <c r="B215" s="407"/>
      <c r="C215" s="407"/>
      <c r="D215" s="407"/>
      <c r="E215" s="407"/>
      <c r="F215" s="407"/>
      <c r="G215" s="407"/>
      <c r="H215" s="407"/>
      <c r="I215" s="407"/>
      <c r="J215" s="407"/>
      <c r="K215" s="407"/>
      <c r="L215" s="407"/>
      <c r="M215" s="407"/>
      <c r="N215" s="407"/>
      <c r="O215" s="203"/>
    </row>
    <row r="216" spans="1:15" ht="18" customHeight="1">
      <c r="A216" s="201"/>
      <c r="B216" s="407"/>
      <c r="C216" s="407"/>
      <c r="D216" s="407"/>
      <c r="E216" s="407"/>
      <c r="F216" s="407"/>
      <c r="G216" s="407"/>
      <c r="H216" s="407"/>
      <c r="I216" s="407"/>
      <c r="J216" s="407"/>
      <c r="K216" s="407"/>
      <c r="L216" s="407"/>
      <c r="M216" s="407"/>
      <c r="N216" s="407"/>
      <c r="O216" s="203"/>
    </row>
    <row r="217" spans="1:15" ht="18" customHeight="1">
      <c r="A217" s="201"/>
      <c r="B217" s="407"/>
      <c r="C217" s="407"/>
      <c r="D217" s="407"/>
      <c r="E217" s="407"/>
      <c r="F217" s="407"/>
      <c r="G217" s="407"/>
      <c r="H217" s="407"/>
      <c r="I217" s="407"/>
      <c r="J217" s="407"/>
      <c r="K217" s="407"/>
      <c r="L217" s="407"/>
      <c r="M217" s="407"/>
      <c r="N217" s="407"/>
      <c r="O217" s="203"/>
    </row>
    <row r="218" spans="1:15" ht="18" customHeight="1">
      <c r="A218" s="201"/>
      <c r="B218" s="407"/>
      <c r="C218" s="407"/>
      <c r="D218" s="407"/>
      <c r="E218" s="407"/>
      <c r="F218" s="407"/>
      <c r="G218" s="407"/>
      <c r="H218" s="407"/>
      <c r="I218" s="407"/>
      <c r="J218" s="407"/>
      <c r="K218" s="407"/>
      <c r="L218" s="407"/>
      <c r="M218" s="407"/>
      <c r="N218" s="407"/>
      <c r="O218" s="203"/>
    </row>
    <row r="219" spans="1:15" ht="18" customHeight="1">
      <c r="A219" s="201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203"/>
    </row>
    <row r="220" spans="1:15" ht="18" customHeight="1">
      <c r="A220" s="201"/>
      <c r="B220" s="202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3"/>
    </row>
    <row r="221" spans="1:15" ht="24.95" customHeight="1">
      <c r="A221" s="403" t="s">
        <v>217</v>
      </c>
      <c r="B221" s="403"/>
      <c r="C221" s="403"/>
      <c r="D221" s="408" t="s">
        <v>234</v>
      </c>
      <c r="E221" s="409"/>
      <c r="F221" s="409"/>
      <c r="G221" s="409"/>
      <c r="H221" s="409"/>
      <c r="I221" s="403" t="s">
        <v>218</v>
      </c>
      <c r="J221" s="403"/>
      <c r="K221" s="410" t="s">
        <v>275</v>
      </c>
      <c r="L221" s="403"/>
      <c r="M221" s="403"/>
      <c r="N221" s="403"/>
      <c r="O221" s="403"/>
    </row>
    <row r="222" spans="1:15" ht="24.95" customHeight="1">
      <c r="A222" s="403" t="s">
        <v>219</v>
      </c>
      <c r="B222" s="403"/>
      <c r="C222" s="403"/>
      <c r="D222" s="404" t="s">
        <v>280</v>
      </c>
      <c r="E222" s="405"/>
      <c r="F222" s="405"/>
      <c r="G222" s="405"/>
      <c r="H222" s="405"/>
      <c r="I222" s="405"/>
      <c r="J222" s="405"/>
      <c r="K222" s="405"/>
      <c r="L222" s="405"/>
      <c r="M222" s="405"/>
      <c r="N222" s="405"/>
      <c r="O222" s="406"/>
    </row>
    <row r="223" spans="1:15" ht="18" customHeight="1">
      <c r="A223" s="205"/>
      <c r="B223" s="206"/>
      <c r="C223" s="207"/>
      <c r="D223" s="207"/>
      <c r="E223" s="207"/>
      <c r="F223" s="207"/>
      <c r="G223" s="207"/>
      <c r="H223" s="207"/>
      <c r="I223" s="207"/>
      <c r="J223" s="207"/>
      <c r="K223" s="207"/>
      <c r="L223" s="207"/>
      <c r="M223" s="207"/>
      <c r="N223" s="207"/>
      <c r="O223" s="208"/>
    </row>
    <row r="224" spans="1:15" ht="18" customHeight="1">
      <c r="A224" s="201"/>
      <c r="B224" s="407"/>
      <c r="C224" s="407"/>
      <c r="D224" s="407"/>
      <c r="E224" s="407"/>
      <c r="F224" s="407"/>
      <c r="G224" s="407"/>
      <c r="H224" s="407"/>
      <c r="I224" s="407"/>
      <c r="J224" s="407"/>
      <c r="K224" s="407"/>
      <c r="L224" s="407"/>
      <c r="M224" s="407"/>
      <c r="N224" s="407"/>
      <c r="O224" s="203"/>
    </row>
    <row r="225" spans="1:15" ht="18" customHeight="1">
      <c r="A225" s="201"/>
      <c r="B225" s="407"/>
      <c r="C225" s="407"/>
      <c r="D225" s="407"/>
      <c r="E225" s="407"/>
      <c r="F225" s="407"/>
      <c r="G225" s="407"/>
      <c r="H225" s="407"/>
      <c r="I225" s="407"/>
      <c r="J225" s="407"/>
      <c r="K225" s="407"/>
      <c r="L225" s="407"/>
      <c r="M225" s="407"/>
      <c r="N225" s="407"/>
      <c r="O225" s="203"/>
    </row>
    <row r="226" spans="1:15" ht="18" customHeight="1">
      <c r="A226" s="201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203"/>
    </row>
    <row r="227" spans="1:15" ht="18" customHeight="1">
      <c r="A227" s="201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203"/>
    </row>
    <row r="228" spans="1:15" ht="18" customHeight="1">
      <c r="A228" s="201"/>
      <c r="B228" s="407"/>
      <c r="C228" s="407"/>
      <c r="D228" s="407"/>
      <c r="E228" s="407"/>
      <c r="F228" s="407"/>
      <c r="G228" s="407"/>
      <c r="H228" s="407"/>
      <c r="I228" s="407"/>
      <c r="J228" s="407"/>
      <c r="K228" s="407"/>
      <c r="L228" s="407"/>
      <c r="M228" s="407"/>
      <c r="N228" s="407"/>
      <c r="O228" s="203"/>
    </row>
    <row r="229" spans="1:15" ht="18" customHeight="1">
      <c r="A229" s="201"/>
      <c r="B229" s="407"/>
      <c r="C229" s="407"/>
      <c r="D229" s="407"/>
      <c r="E229" s="407"/>
      <c r="F229" s="407"/>
      <c r="G229" s="407"/>
      <c r="H229" s="407"/>
      <c r="I229" s="407"/>
      <c r="J229" s="407"/>
      <c r="K229" s="407"/>
      <c r="L229" s="407"/>
      <c r="M229" s="407"/>
      <c r="N229" s="407"/>
      <c r="O229" s="203"/>
    </row>
    <row r="230" spans="1:15" ht="18" customHeight="1">
      <c r="A230" s="201"/>
      <c r="B230" s="407"/>
      <c r="C230" s="407"/>
      <c r="D230" s="407"/>
      <c r="E230" s="407"/>
      <c r="F230" s="407"/>
      <c r="G230" s="407"/>
      <c r="H230" s="407"/>
      <c r="I230" s="407"/>
      <c r="J230" s="407"/>
      <c r="K230" s="407"/>
      <c r="L230" s="407"/>
      <c r="M230" s="407"/>
      <c r="N230" s="407"/>
      <c r="O230" s="203"/>
    </row>
    <row r="231" spans="1:15" ht="18" customHeight="1">
      <c r="A231" s="201"/>
      <c r="B231" s="407"/>
      <c r="C231" s="407"/>
      <c r="D231" s="407"/>
      <c r="E231" s="407"/>
      <c r="F231" s="407"/>
      <c r="G231" s="407"/>
      <c r="H231" s="407"/>
      <c r="I231" s="407"/>
      <c r="J231" s="407"/>
      <c r="K231" s="407"/>
      <c r="L231" s="407"/>
      <c r="M231" s="407"/>
      <c r="N231" s="407"/>
      <c r="O231" s="203"/>
    </row>
    <row r="232" spans="1:15" ht="18" customHeight="1">
      <c r="A232" s="201"/>
      <c r="B232" s="407"/>
      <c r="C232" s="407"/>
      <c r="D232" s="407"/>
      <c r="E232" s="407"/>
      <c r="F232" s="407"/>
      <c r="G232" s="407"/>
      <c r="H232" s="407"/>
      <c r="I232" s="407"/>
      <c r="J232" s="407"/>
      <c r="K232" s="407"/>
      <c r="L232" s="407"/>
      <c r="M232" s="407"/>
      <c r="N232" s="407"/>
      <c r="O232" s="203"/>
    </row>
    <row r="233" spans="1:15" ht="18" customHeight="1">
      <c r="A233" s="201"/>
      <c r="B233" s="407"/>
      <c r="C233" s="407"/>
      <c r="D233" s="407"/>
      <c r="E233" s="407"/>
      <c r="F233" s="407"/>
      <c r="G233" s="407"/>
      <c r="H233" s="407"/>
      <c r="I233" s="407"/>
      <c r="J233" s="407"/>
      <c r="K233" s="407"/>
      <c r="L233" s="407"/>
      <c r="M233" s="407"/>
      <c r="N233" s="407"/>
      <c r="O233" s="203"/>
    </row>
    <row r="234" spans="1:15" ht="18" customHeight="1">
      <c r="A234" s="201"/>
      <c r="B234" s="407"/>
      <c r="C234" s="407"/>
      <c r="D234" s="407"/>
      <c r="E234" s="407"/>
      <c r="F234" s="407"/>
      <c r="G234" s="407"/>
      <c r="H234" s="407"/>
      <c r="I234" s="407"/>
      <c r="J234" s="407"/>
      <c r="K234" s="407"/>
      <c r="L234" s="407"/>
      <c r="M234" s="407"/>
      <c r="N234" s="407"/>
      <c r="O234" s="203"/>
    </row>
    <row r="235" spans="1:15" ht="18" customHeight="1">
      <c r="A235" s="201"/>
      <c r="B235" s="407"/>
      <c r="C235" s="407"/>
      <c r="D235" s="407"/>
      <c r="E235" s="407"/>
      <c r="F235" s="407"/>
      <c r="G235" s="407"/>
      <c r="H235" s="407"/>
      <c r="I235" s="407"/>
      <c r="J235" s="407"/>
      <c r="K235" s="407"/>
      <c r="L235" s="407"/>
      <c r="M235" s="407"/>
      <c r="N235" s="407"/>
      <c r="O235" s="203"/>
    </row>
    <row r="236" spans="1:15" ht="18" customHeight="1">
      <c r="A236" s="201"/>
      <c r="B236" s="407"/>
      <c r="C236" s="407"/>
      <c r="D236" s="407"/>
      <c r="E236" s="407"/>
      <c r="F236" s="407"/>
      <c r="G236" s="407"/>
      <c r="H236" s="407"/>
      <c r="I236" s="407"/>
      <c r="J236" s="407"/>
      <c r="K236" s="407"/>
      <c r="L236" s="407"/>
      <c r="M236" s="407"/>
      <c r="N236" s="407"/>
      <c r="O236" s="203"/>
    </row>
    <row r="237" spans="1:15" ht="18" customHeight="1">
      <c r="A237" s="201"/>
      <c r="B237" s="407"/>
      <c r="C237" s="407"/>
      <c r="D237" s="407"/>
      <c r="E237" s="407"/>
      <c r="F237" s="407"/>
      <c r="G237" s="407"/>
      <c r="H237" s="407"/>
      <c r="I237" s="407"/>
      <c r="J237" s="407"/>
      <c r="K237" s="407"/>
      <c r="L237" s="407"/>
      <c r="M237" s="407"/>
      <c r="N237" s="407"/>
      <c r="O237" s="203"/>
    </row>
    <row r="238" spans="1:15" ht="18" customHeight="1">
      <c r="A238" s="201"/>
      <c r="B238" s="202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3"/>
    </row>
    <row r="239" spans="1:15" ht="24.95" customHeight="1">
      <c r="A239" s="403" t="s">
        <v>217</v>
      </c>
      <c r="B239" s="403"/>
      <c r="C239" s="403"/>
      <c r="D239" s="408" t="s">
        <v>234</v>
      </c>
      <c r="E239" s="409"/>
      <c r="F239" s="409"/>
      <c r="G239" s="409"/>
      <c r="H239" s="409"/>
      <c r="I239" s="403" t="s">
        <v>218</v>
      </c>
      <c r="J239" s="403"/>
      <c r="K239" s="410" t="s">
        <v>275</v>
      </c>
      <c r="L239" s="403"/>
      <c r="M239" s="403"/>
      <c r="N239" s="403"/>
      <c r="O239" s="403"/>
    </row>
    <row r="240" spans="1:15" ht="24.75" customHeight="1">
      <c r="A240" s="403" t="s">
        <v>219</v>
      </c>
      <c r="B240" s="403"/>
      <c r="C240" s="403"/>
      <c r="D240" s="404" t="s">
        <v>280</v>
      </c>
      <c r="E240" s="405"/>
      <c r="F240" s="405"/>
      <c r="G240" s="405"/>
      <c r="H240" s="405"/>
      <c r="I240" s="405"/>
      <c r="J240" s="405"/>
      <c r="K240" s="405"/>
      <c r="L240" s="405"/>
      <c r="M240" s="405"/>
      <c r="N240" s="405"/>
      <c r="O240" s="406"/>
    </row>
    <row r="241" spans="1:24" ht="21" customHeight="1">
      <c r="A241" s="411" t="s">
        <v>215</v>
      </c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191"/>
      <c r="Q241" s="191"/>
      <c r="R241" s="192"/>
      <c r="S241" s="192"/>
      <c r="T241" s="193"/>
      <c r="U241" s="193"/>
      <c r="V241" s="193"/>
      <c r="W241" s="193"/>
      <c r="X241" s="193"/>
    </row>
    <row r="242" spans="1:24" ht="21" customHeight="1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191"/>
      <c r="Q242" s="191"/>
      <c r="R242" s="192"/>
      <c r="S242" s="412"/>
      <c r="T242" s="413"/>
      <c r="U242" s="413"/>
      <c r="V242" s="413"/>
      <c r="W242" s="413"/>
      <c r="X242" s="413"/>
    </row>
    <row r="243" spans="1:24" ht="20.100000000000001" customHeight="1">
      <c r="A243" s="414" t="s">
        <v>216</v>
      </c>
      <c r="B243" s="414"/>
      <c r="C243" s="414"/>
      <c r="D243" s="414"/>
      <c r="E243" s="414"/>
      <c r="F243" s="414"/>
      <c r="G243" s="414"/>
      <c r="H243" s="414"/>
      <c r="I243" s="414"/>
      <c r="J243" s="414"/>
      <c r="K243" s="414"/>
      <c r="L243" s="414"/>
      <c r="M243" s="414"/>
      <c r="N243" s="414"/>
      <c r="O243" s="414"/>
      <c r="P243" s="191"/>
      <c r="Q243" s="191"/>
      <c r="R243" s="192"/>
      <c r="S243" s="195"/>
      <c r="T243" s="196"/>
      <c r="U243" s="196"/>
      <c r="V243" s="196"/>
      <c r="W243" s="196"/>
      <c r="X243" s="196"/>
    </row>
    <row r="244" spans="1:24" ht="18" customHeight="1">
      <c r="A244" s="197"/>
      <c r="B244" s="198"/>
      <c r="C244" s="199"/>
      <c r="D244" s="199"/>
      <c r="E244" s="199"/>
      <c r="F244" s="199"/>
      <c r="G244" s="199"/>
      <c r="H244" s="199"/>
      <c r="I244" s="199"/>
      <c r="J244" s="199"/>
      <c r="K244" s="199"/>
      <c r="L244" s="199"/>
      <c r="M244" s="199"/>
      <c r="N244" s="199"/>
      <c r="O244" s="200"/>
      <c r="Q244" s="192"/>
      <c r="R244" s="192"/>
      <c r="S244" s="413"/>
      <c r="T244" s="413"/>
      <c r="U244" s="413"/>
      <c r="V244" s="413"/>
      <c r="W244" s="413"/>
      <c r="X244" s="413"/>
    </row>
    <row r="245" spans="1:24" ht="18" customHeight="1">
      <c r="A245" s="201"/>
      <c r="B245" s="407"/>
      <c r="C245" s="407"/>
      <c r="D245" s="407"/>
      <c r="E245" s="407"/>
      <c r="F245" s="407"/>
      <c r="G245" s="407"/>
      <c r="H245" s="407"/>
      <c r="I245" s="407"/>
      <c r="J245" s="407"/>
      <c r="K245" s="407"/>
      <c r="L245" s="407"/>
      <c r="M245" s="407"/>
      <c r="N245" s="407"/>
      <c r="O245" s="203"/>
      <c r="Q245" s="192"/>
      <c r="R245" s="192"/>
      <c r="S245" s="192"/>
      <c r="T245" s="193"/>
      <c r="U245" s="193"/>
      <c r="V245" s="193"/>
      <c r="W245" s="193"/>
      <c r="X245" s="193"/>
    </row>
    <row r="246" spans="1:24" ht="18" customHeight="1">
      <c r="A246" s="201"/>
      <c r="B246" s="407"/>
      <c r="C246" s="407"/>
      <c r="D246" s="407"/>
      <c r="E246" s="407"/>
      <c r="F246" s="407"/>
      <c r="G246" s="407"/>
      <c r="H246" s="407"/>
      <c r="I246" s="407"/>
      <c r="J246" s="407"/>
      <c r="K246" s="407"/>
      <c r="L246" s="407"/>
      <c r="M246" s="407"/>
      <c r="N246" s="407"/>
      <c r="O246" s="203"/>
      <c r="Q246" s="192"/>
      <c r="R246" s="192"/>
      <c r="S246" s="192"/>
      <c r="T246" s="192"/>
      <c r="U246" s="192"/>
      <c r="V246" s="192"/>
      <c r="W246" s="192"/>
      <c r="X246" s="192"/>
    </row>
    <row r="247" spans="1:24" ht="18" customHeight="1">
      <c r="A247" s="201"/>
      <c r="B247" s="407"/>
      <c r="C247" s="407"/>
      <c r="D247" s="407"/>
      <c r="E247" s="407"/>
      <c r="F247" s="407"/>
      <c r="G247" s="407"/>
      <c r="H247" s="407"/>
      <c r="I247" s="407"/>
      <c r="J247" s="407"/>
      <c r="K247" s="407"/>
      <c r="L247" s="407"/>
      <c r="M247" s="407"/>
      <c r="N247" s="407"/>
      <c r="O247" s="203"/>
    </row>
    <row r="248" spans="1:24" ht="18" customHeight="1">
      <c r="A248" s="201"/>
      <c r="B248" s="407"/>
      <c r="C248" s="407"/>
      <c r="D248" s="407"/>
      <c r="E248" s="407"/>
      <c r="F248" s="407"/>
      <c r="G248" s="407"/>
      <c r="H248" s="407"/>
      <c r="I248" s="407"/>
      <c r="J248" s="407"/>
      <c r="K248" s="407"/>
      <c r="L248" s="407"/>
      <c r="M248" s="407"/>
      <c r="N248" s="407"/>
      <c r="O248" s="203"/>
    </row>
    <row r="249" spans="1:24" ht="18" customHeight="1">
      <c r="A249" s="201"/>
      <c r="B249" s="407"/>
      <c r="C249" s="407"/>
      <c r="D249" s="407"/>
      <c r="E249" s="407"/>
      <c r="F249" s="407"/>
      <c r="G249" s="407"/>
      <c r="H249" s="407"/>
      <c r="I249" s="407"/>
      <c r="J249" s="407"/>
      <c r="K249" s="407"/>
      <c r="L249" s="407"/>
      <c r="M249" s="407"/>
      <c r="N249" s="407"/>
      <c r="O249" s="203"/>
    </row>
    <row r="250" spans="1:24" ht="18" customHeight="1">
      <c r="A250" s="201"/>
      <c r="B250" s="407"/>
      <c r="C250" s="407"/>
      <c r="D250" s="407"/>
      <c r="E250" s="407"/>
      <c r="F250" s="407"/>
      <c r="G250" s="407"/>
      <c r="H250" s="407"/>
      <c r="I250" s="407"/>
      <c r="J250" s="407"/>
      <c r="K250" s="407"/>
      <c r="L250" s="407"/>
      <c r="M250" s="407"/>
      <c r="N250" s="407"/>
      <c r="O250" s="203"/>
    </row>
    <row r="251" spans="1:24" ht="18" customHeight="1">
      <c r="A251" s="201"/>
      <c r="B251" s="407"/>
      <c r="C251" s="407"/>
      <c r="D251" s="407"/>
      <c r="E251" s="407"/>
      <c r="F251" s="407"/>
      <c r="G251" s="407"/>
      <c r="H251" s="407"/>
      <c r="I251" s="407"/>
      <c r="J251" s="407"/>
      <c r="K251" s="407"/>
      <c r="L251" s="407"/>
      <c r="M251" s="407"/>
      <c r="N251" s="407"/>
      <c r="O251" s="203"/>
    </row>
    <row r="252" spans="1:24" ht="18" customHeight="1">
      <c r="A252" s="201"/>
      <c r="B252" s="407"/>
      <c r="C252" s="407"/>
      <c r="D252" s="407"/>
      <c r="E252" s="407"/>
      <c r="F252" s="407"/>
      <c r="G252" s="407"/>
      <c r="H252" s="407"/>
      <c r="I252" s="407"/>
      <c r="J252" s="407"/>
      <c r="K252" s="407"/>
      <c r="L252" s="407"/>
      <c r="M252" s="407"/>
      <c r="N252" s="407"/>
      <c r="O252" s="203"/>
    </row>
    <row r="253" spans="1:24" ht="18" customHeight="1">
      <c r="A253" s="201"/>
      <c r="B253" s="407"/>
      <c r="C253" s="407"/>
      <c r="D253" s="407"/>
      <c r="E253" s="407"/>
      <c r="F253" s="407"/>
      <c r="G253" s="407"/>
      <c r="H253" s="407"/>
      <c r="I253" s="407"/>
      <c r="J253" s="407"/>
      <c r="K253" s="407"/>
      <c r="L253" s="407"/>
      <c r="M253" s="407"/>
      <c r="N253" s="407"/>
      <c r="O253" s="203"/>
    </row>
    <row r="254" spans="1:24" ht="18" customHeight="1">
      <c r="A254" s="201"/>
      <c r="B254" s="407"/>
      <c r="C254" s="407"/>
      <c r="D254" s="407"/>
      <c r="E254" s="407"/>
      <c r="F254" s="407"/>
      <c r="G254" s="407"/>
      <c r="H254" s="407"/>
      <c r="I254" s="407"/>
      <c r="J254" s="407"/>
      <c r="K254" s="407"/>
      <c r="L254" s="407"/>
      <c r="M254" s="407"/>
      <c r="N254" s="407"/>
      <c r="O254" s="203"/>
    </row>
    <row r="255" spans="1:24" ht="18" customHeight="1">
      <c r="A255" s="201"/>
      <c r="B255" s="407"/>
      <c r="C255" s="407"/>
      <c r="D255" s="407"/>
      <c r="E255" s="407"/>
      <c r="F255" s="407"/>
      <c r="G255" s="407"/>
      <c r="H255" s="407"/>
      <c r="I255" s="407"/>
      <c r="J255" s="407"/>
      <c r="K255" s="407"/>
      <c r="L255" s="407"/>
      <c r="M255" s="407"/>
      <c r="N255" s="407"/>
      <c r="O255" s="203"/>
    </row>
    <row r="256" spans="1:24" ht="18" customHeight="1">
      <c r="A256" s="201"/>
      <c r="B256" s="407"/>
      <c r="C256" s="407"/>
      <c r="D256" s="407"/>
      <c r="E256" s="407"/>
      <c r="F256" s="407"/>
      <c r="G256" s="407"/>
      <c r="H256" s="407"/>
      <c r="I256" s="407"/>
      <c r="J256" s="407"/>
      <c r="K256" s="407"/>
      <c r="L256" s="407"/>
      <c r="M256" s="407"/>
      <c r="N256" s="407"/>
      <c r="O256" s="203"/>
    </row>
    <row r="257" spans="1:15" ht="18" customHeight="1">
      <c r="A257" s="201"/>
      <c r="B257" s="407"/>
      <c r="C257" s="407"/>
      <c r="D257" s="407"/>
      <c r="E257" s="407"/>
      <c r="F257" s="407"/>
      <c r="G257" s="407"/>
      <c r="H257" s="407"/>
      <c r="I257" s="407"/>
      <c r="J257" s="407"/>
      <c r="K257" s="407"/>
      <c r="L257" s="407"/>
      <c r="M257" s="407"/>
      <c r="N257" s="407"/>
      <c r="O257" s="203"/>
    </row>
    <row r="258" spans="1:15" ht="18" customHeight="1">
      <c r="A258" s="201"/>
      <c r="B258" s="407"/>
      <c r="C258" s="407"/>
      <c r="D258" s="407"/>
      <c r="E258" s="407"/>
      <c r="F258" s="407"/>
      <c r="G258" s="407"/>
      <c r="H258" s="407"/>
      <c r="I258" s="407"/>
      <c r="J258" s="407"/>
      <c r="K258" s="407"/>
      <c r="L258" s="407"/>
      <c r="M258" s="407"/>
      <c r="N258" s="407"/>
      <c r="O258" s="203"/>
    </row>
    <row r="259" spans="1:15" ht="18" customHeight="1">
      <c r="A259" s="201"/>
      <c r="B259" s="407"/>
      <c r="C259" s="407"/>
      <c r="D259" s="407"/>
      <c r="E259" s="407"/>
      <c r="F259" s="407"/>
      <c r="G259" s="407"/>
      <c r="H259" s="407"/>
      <c r="I259" s="407"/>
      <c r="J259" s="407"/>
      <c r="K259" s="407"/>
      <c r="L259" s="407"/>
      <c r="M259" s="407"/>
      <c r="N259" s="407"/>
      <c r="O259" s="203"/>
    </row>
    <row r="260" spans="1:15" ht="18" customHeight="1">
      <c r="A260" s="201"/>
      <c r="B260" s="202"/>
      <c r="C260" s="204"/>
      <c r="D260" s="204"/>
      <c r="E260" s="204"/>
      <c r="F260" s="204"/>
      <c r="G260" s="204"/>
      <c r="H260" s="204"/>
      <c r="I260" s="204"/>
      <c r="J260" s="204"/>
      <c r="K260" s="204"/>
      <c r="L260" s="204"/>
      <c r="M260" s="204"/>
      <c r="N260" s="204"/>
      <c r="O260" s="203"/>
    </row>
    <row r="261" spans="1:15" ht="24.95" customHeight="1">
      <c r="A261" s="403" t="s">
        <v>217</v>
      </c>
      <c r="B261" s="403"/>
      <c r="C261" s="403"/>
      <c r="D261" s="408" t="s">
        <v>234</v>
      </c>
      <c r="E261" s="409"/>
      <c r="F261" s="409"/>
      <c r="G261" s="409"/>
      <c r="H261" s="409"/>
      <c r="I261" s="403" t="s">
        <v>218</v>
      </c>
      <c r="J261" s="403"/>
      <c r="K261" s="410" t="s">
        <v>283</v>
      </c>
      <c r="L261" s="403"/>
      <c r="M261" s="403"/>
      <c r="N261" s="403"/>
      <c r="O261" s="403"/>
    </row>
    <row r="262" spans="1:15" ht="24.95" customHeight="1">
      <c r="A262" s="403" t="s">
        <v>219</v>
      </c>
      <c r="B262" s="403"/>
      <c r="C262" s="403"/>
      <c r="D262" s="404" t="s">
        <v>282</v>
      </c>
      <c r="E262" s="405"/>
      <c r="F262" s="405"/>
      <c r="G262" s="405"/>
      <c r="H262" s="405"/>
      <c r="I262" s="405"/>
      <c r="J262" s="405"/>
      <c r="K262" s="405"/>
      <c r="L262" s="405"/>
      <c r="M262" s="405"/>
      <c r="N262" s="405"/>
      <c r="O262" s="406"/>
    </row>
    <row r="263" spans="1:15" ht="18" customHeight="1">
      <c r="A263" s="205"/>
      <c r="B263" s="206"/>
      <c r="C263" s="207"/>
      <c r="D263" s="207"/>
      <c r="E263" s="207"/>
      <c r="F263" s="207"/>
      <c r="G263" s="207"/>
      <c r="H263" s="207"/>
      <c r="I263" s="207"/>
      <c r="J263" s="207"/>
      <c r="K263" s="207"/>
      <c r="L263" s="207"/>
      <c r="M263" s="207"/>
      <c r="N263" s="207"/>
      <c r="O263" s="208"/>
    </row>
    <row r="264" spans="1:15" ht="18" customHeight="1">
      <c r="A264" s="201"/>
      <c r="B264" s="407"/>
      <c r="C264" s="407"/>
      <c r="D264" s="407"/>
      <c r="E264" s="407"/>
      <c r="F264" s="407"/>
      <c r="G264" s="407"/>
      <c r="H264" s="407"/>
      <c r="I264" s="407"/>
      <c r="J264" s="407"/>
      <c r="K264" s="407"/>
      <c r="L264" s="407"/>
      <c r="M264" s="407"/>
      <c r="N264" s="407"/>
      <c r="O264" s="203"/>
    </row>
    <row r="265" spans="1:15" ht="18" customHeight="1">
      <c r="A265" s="201"/>
      <c r="B265" s="407"/>
      <c r="C265" s="407"/>
      <c r="D265" s="407"/>
      <c r="E265" s="407"/>
      <c r="F265" s="407"/>
      <c r="G265" s="407"/>
      <c r="H265" s="407"/>
      <c r="I265" s="407"/>
      <c r="J265" s="407"/>
      <c r="K265" s="407"/>
      <c r="L265" s="407"/>
      <c r="M265" s="407"/>
      <c r="N265" s="407"/>
      <c r="O265" s="203"/>
    </row>
    <row r="266" spans="1:15" ht="18" customHeight="1">
      <c r="A266" s="201"/>
      <c r="B266" s="407"/>
      <c r="C266" s="407"/>
      <c r="D266" s="407"/>
      <c r="E266" s="407"/>
      <c r="F266" s="407"/>
      <c r="G266" s="407"/>
      <c r="H266" s="407"/>
      <c r="I266" s="407"/>
      <c r="J266" s="407"/>
      <c r="K266" s="407"/>
      <c r="L266" s="407"/>
      <c r="M266" s="407"/>
      <c r="N266" s="407"/>
      <c r="O266" s="203"/>
    </row>
    <row r="267" spans="1:15" ht="18" customHeight="1">
      <c r="A267" s="201"/>
      <c r="B267" s="407"/>
      <c r="C267" s="407"/>
      <c r="D267" s="407"/>
      <c r="E267" s="407"/>
      <c r="F267" s="407"/>
      <c r="G267" s="407"/>
      <c r="H267" s="407"/>
      <c r="I267" s="407"/>
      <c r="J267" s="407"/>
      <c r="K267" s="407"/>
      <c r="L267" s="407"/>
      <c r="M267" s="407"/>
      <c r="N267" s="407"/>
      <c r="O267" s="203"/>
    </row>
    <row r="268" spans="1:15" ht="18" customHeight="1">
      <c r="A268" s="201"/>
      <c r="B268" s="407"/>
      <c r="C268" s="407"/>
      <c r="D268" s="407"/>
      <c r="E268" s="407"/>
      <c r="F268" s="407"/>
      <c r="G268" s="407"/>
      <c r="H268" s="407"/>
      <c r="I268" s="407"/>
      <c r="J268" s="407"/>
      <c r="K268" s="407"/>
      <c r="L268" s="407"/>
      <c r="M268" s="407"/>
      <c r="N268" s="407"/>
      <c r="O268" s="203"/>
    </row>
    <row r="269" spans="1:15" ht="18" customHeight="1">
      <c r="A269" s="201"/>
      <c r="B269" s="407"/>
      <c r="C269" s="407"/>
      <c r="D269" s="407"/>
      <c r="E269" s="407"/>
      <c r="F269" s="407"/>
      <c r="G269" s="407"/>
      <c r="H269" s="407"/>
      <c r="I269" s="407"/>
      <c r="J269" s="407"/>
      <c r="K269" s="407"/>
      <c r="L269" s="407"/>
      <c r="M269" s="407"/>
      <c r="N269" s="407"/>
      <c r="O269" s="203"/>
    </row>
    <row r="270" spans="1:15" ht="18" customHeight="1">
      <c r="A270" s="201"/>
      <c r="B270" s="407"/>
      <c r="C270" s="407"/>
      <c r="D270" s="407"/>
      <c r="E270" s="407"/>
      <c r="F270" s="407"/>
      <c r="G270" s="407"/>
      <c r="H270" s="407"/>
      <c r="I270" s="407"/>
      <c r="J270" s="407"/>
      <c r="K270" s="407"/>
      <c r="L270" s="407"/>
      <c r="M270" s="407"/>
      <c r="N270" s="407"/>
      <c r="O270" s="203"/>
    </row>
    <row r="271" spans="1:15" ht="18" customHeight="1">
      <c r="A271" s="201"/>
      <c r="B271" s="407"/>
      <c r="C271" s="407"/>
      <c r="D271" s="407"/>
      <c r="E271" s="407"/>
      <c r="F271" s="407"/>
      <c r="G271" s="407"/>
      <c r="H271" s="407"/>
      <c r="I271" s="407"/>
      <c r="J271" s="407"/>
      <c r="K271" s="407"/>
      <c r="L271" s="407"/>
      <c r="M271" s="407"/>
      <c r="N271" s="407"/>
      <c r="O271" s="203"/>
    </row>
    <row r="272" spans="1:15" ht="18" customHeight="1">
      <c r="A272" s="201"/>
      <c r="B272" s="407"/>
      <c r="C272" s="407"/>
      <c r="D272" s="407"/>
      <c r="E272" s="407"/>
      <c r="F272" s="407"/>
      <c r="G272" s="407"/>
      <c r="H272" s="407"/>
      <c r="I272" s="407"/>
      <c r="J272" s="407"/>
      <c r="K272" s="407"/>
      <c r="L272" s="407"/>
      <c r="M272" s="407"/>
      <c r="N272" s="407"/>
      <c r="O272" s="203"/>
    </row>
    <row r="273" spans="1:15" ht="18" customHeight="1">
      <c r="A273" s="201"/>
      <c r="B273" s="407"/>
      <c r="C273" s="407"/>
      <c r="D273" s="407"/>
      <c r="E273" s="407"/>
      <c r="F273" s="407"/>
      <c r="G273" s="407"/>
      <c r="H273" s="407"/>
      <c r="I273" s="407"/>
      <c r="J273" s="407"/>
      <c r="K273" s="407"/>
      <c r="L273" s="407"/>
      <c r="M273" s="407"/>
      <c r="N273" s="407"/>
      <c r="O273" s="203"/>
    </row>
    <row r="274" spans="1:15" ht="18" customHeight="1">
      <c r="A274" s="201"/>
      <c r="B274" s="407"/>
      <c r="C274" s="407"/>
      <c r="D274" s="407"/>
      <c r="E274" s="407"/>
      <c r="F274" s="407"/>
      <c r="G274" s="407"/>
      <c r="H274" s="407"/>
      <c r="I274" s="407"/>
      <c r="J274" s="407"/>
      <c r="K274" s="407"/>
      <c r="L274" s="407"/>
      <c r="M274" s="407"/>
      <c r="N274" s="407"/>
      <c r="O274" s="203"/>
    </row>
    <row r="275" spans="1:15" ht="18" customHeight="1">
      <c r="A275" s="201"/>
      <c r="B275" s="407"/>
      <c r="C275" s="407"/>
      <c r="D275" s="407"/>
      <c r="E275" s="407"/>
      <c r="F275" s="407"/>
      <c r="G275" s="407"/>
      <c r="H275" s="407"/>
      <c r="I275" s="407"/>
      <c r="J275" s="407"/>
      <c r="K275" s="407"/>
      <c r="L275" s="407"/>
      <c r="M275" s="407"/>
      <c r="N275" s="407"/>
      <c r="O275" s="203"/>
    </row>
    <row r="276" spans="1:15" ht="18" customHeight="1">
      <c r="A276" s="201"/>
      <c r="B276" s="407"/>
      <c r="C276" s="407"/>
      <c r="D276" s="407"/>
      <c r="E276" s="407"/>
      <c r="F276" s="407"/>
      <c r="G276" s="407"/>
      <c r="H276" s="407"/>
      <c r="I276" s="407"/>
      <c r="J276" s="407"/>
      <c r="K276" s="407"/>
      <c r="L276" s="407"/>
      <c r="M276" s="407"/>
      <c r="N276" s="407"/>
      <c r="O276" s="203"/>
    </row>
    <row r="277" spans="1:15" ht="18" customHeight="1">
      <c r="A277" s="201"/>
      <c r="B277" s="407"/>
      <c r="C277" s="407"/>
      <c r="D277" s="407"/>
      <c r="E277" s="407"/>
      <c r="F277" s="407"/>
      <c r="G277" s="407"/>
      <c r="H277" s="407"/>
      <c r="I277" s="407"/>
      <c r="J277" s="407"/>
      <c r="K277" s="407"/>
      <c r="L277" s="407"/>
      <c r="M277" s="407"/>
      <c r="N277" s="407"/>
      <c r="O277" s="203"/>
    </row>
    <row r="278" spans="1:15" ht="18" customHeight="1">
      <c r="A278" s="201"/>
      <c r="B278" s="202"/>
      <c r="C278" s="204"/>
      <c r="D278" s="204"/>
      <c r="E278" s="204"/>
      <c r="F278" s="204"/>
      <c r="G278" s="204"/>
      <c r="H278" s="204"/>
      <c r="I278" s="204"/>
      <c r="J278" s="204"/>
      <c r="K278" s="204"/>
      <c r="L278" s="204"/>
      <c r="M278" s="204"/>
      <c r="N278" s="204"/>
      <c r="O278" s="203"/>
    </row>
    <row r="279" spans="1:15" ht="24.95" customHeight="1">
      <c r="A279" s="403" t="s">
        <v>217</v>
      </c>
      <c r="B279" s="403"/>
      <c r="C279" s="403"/>
      <c r="D279" s="408" t="s">
        <v>234</v>
      </c>
      <c r="E279" s="409"/>
      <c r="F279" s="409"/>
      <c r="G279" s="409"/>
      <c r="H279" s="409"/>
      <c r="I279" s="403" t="s">
        <v>218</v>
      </c>
      <c r="J279" s="403"/>
      <c r="K279" s="410" t="s">
        <v>283</v>
      </c>
      <c r="L279" s="403"/>
      <c r="M279" s="403"/>
      <c r="N279" s="403"/>
      <c r="O279" s="403"/>
    </row>
    <row r="280" spans="1:15" ht="24.75" customHeight="1">
      <c r="A280" s="403" t="s">
        <v>219</v>
      </c>
      <c r="B280" s="403"/>
      <c r="C280" s="403"/>
      <c r="D280" s="404" t="s">
        <v>282</v>
      </c>
      <c r="E280" s="405"/>
      <c r="F280" s="405"/>
      <c r="G280" s="405"/>
      <c r="H280" s="405"/>
      <c r="I280" s="405"/>
      <c r="J280" s="405"/>
      <c r="K280" s="405"/>
      <c r="L280" s="405"/>
      <c r="M280" s="405"/>
      <c r="N280" s="405"/>
      <c r="O280" s="406"/>
    </row>
  </sheetData>
  <mergeCells count="126">
    <mergeCell ref="A1:O2"/>
    <mergeCell ref="S2:X2"/>
    <mergeCell ref="A3:O3"/>
    <mergeCell ref="S4:X4"/>
    <mergeCell ref="B5:N19"/>
    <mergeCell ref="A21:C21"/>
    <mergeCell ref="D21:H21"/>
    <mergeCell ref="I21:J21"/>
    <mergeCell ref="K21:O21"/>
    <mergeCell ref="A40:C40"/>
    <mergeCell ref="D40:O40"/>
    <mergeCell ref="A22:C22"/>
    <mergeCell ref="D22:O22"/>
    <mergeCell ref="B24:N37"/>
    <mergeCell ref="A39:C39"/>
    <mergeCell ref="D39:H39"/>
    <mergeCell ref="I39:J39"/>
    <mergeCell ref="K39:O39"/>
    <mergeCell ref="A62:C62"/>
    <mergeCell ref="D62:O62"/>
    <mergeCell ref="B64:N77"/>
    <mergeCell ref="A79:C79"/>
    <mergeCell ref="D79:H79"/>
    <mergeCell ref="I79:J79"/>
    <mergeCell ref="K79:O79"/>
    <mergeCell ref="S42:X42"/>
    <mergeCell ref="A43:O43"/>
    <mergeCell ref="S44:X44"/>
    <mergeCell ref="B45:N59"/>
    <mergeCell ref="A61:C61"/>
    <mergeCell ref="D61:H61"/>
    <mergeCell ref="I61:J61"/>
    <mergeCell ref="K61:O61"/>
    <mergeCell ref="A41:O42"/>
    <mergeCell ref="S84:X84"/>
    <mergeCell ref="B85:N99"/>
    <mergeCell ref="A101:C101"/>
    <mergeCell ref="D101:H101"/>
    <mergeCell ref="I101:J101"/>
    <mergeCell ref="K101:O101"/>
    <mergeCell ref="A80:C80"/>
    <mergeCell ref="D80:O80"/>
    <mergeCell ref="A81:O82"/>
    <mergeCell ref="S82:X82"/>
    <mergeCell ref="A83:O83"/>
    <mergeCell ref="A121:O122"/>
    <mergeCell ref="S122:X122"/>
    <mergeCell ref="A123:O123"/>
    <mergeCell ref="S124:X124"/>
    <mergeCell ref="B125:N139"/>
    <mergeCell ref="A120:C120"/>
    <mergeCell ref="D120:O120"/>
    <mergeCell ref="A102:C102"/>
    <mergeCell ref="D102:O102"/>
    <mergeCell ref="B104:N117"/>
    <mergeCell ref="A119:C119"/>
    <mergeCell ref="D119:H119"/>
    <mergeCell ref="I119:J119"/>
    <mergeCell ref="K119:O119"/>
    <mergeCell ref="B144:N157"/>
    <mergeCell ref="A159:C159"/>
    <mergeCell ref="D159:H159"/>
    <mergeCell ref="I159:J159"/>
    <mergeCell ref="K159:O159"/>
    <mergeCell ref="A141:C141"/>
    <mergeCell ref="D141:H141"/>
    <mergeCell ref="I141:J141"/>
    <mergeCell ref="K141:O141"/>
    <mergeCell ref="A142:C142"/>
    <mergeCell ref="D142:O142"/>
    <mergeCell ref="S164:X164"/>
    <mergeCell ref="B165:N179"/>
    <mergeCell ref="A181:C181"/>
    <mergeCell ref="D181:H181"/>
    <mergeCell ref="I181:J181"/>
    <mergeCell ref="K181:O181"/>
    <mergeCell ref="A160:C160"/>
    <mergeCell ref="D160:O160"/>
    <mergeCell ref="A161:O162"/>
    <mergeCell ref="S162:X162"/>
    <mergeCell ref="A163:O163"/>
    <mergeCell ref="A201:O202"/>
    <mergeCell ref="S202:X202"/>
    <mergeCell ref="A203:O203"/>
    <mergeCell ref="S204:X204"/>
    <mergeCell ref="B205:N219"/>
    <mergeCell ref="A200:C200"/>
    <mergeCell ref="D200:O200"/>
    <mergeCell ref="A182:C182"/>
    <mergeCell ref="D182:O182"/>
    <mergeCell ref="B184:N197"/>
    <mergeCell ref="A199:C199"/>
    <mergeCell ref="D199:H199"/>
    <mergeCell ref="I199:J199"/>
    <mergeCell ref="K199:O199"/>
    <mergeCell ref="B224:N237"/>
    <mergeCell ref="A239:C239"/>
    <mergeCell ref="D239:H239"/>
    <mergeCell ref="I239:J239"/>
    <mergeCell ref="K239:O239"/>
    <mergeCell ref="A221:C221"/>
    <mergeCell ref="D221:H221"/>
    <mergeCell ref="I221:J221"/>
    <mergeCell ref="K221:O221"/>
    <mergeCell ref="A222:C222"/>
    <mergeCell ref="D222:O222"/>
    <mergeCell ref="S244:X244"/>
    <mergeCell ref="B245:N259"/>
    <mergeCell ref="A261:C261"/>
    <mergeCell ref="D261:H261"/>
    <mergeCell ref="I261:J261"/>
    <mergeCell ref="K261:O261"/>
    <mergeCell ref="A240:C240"/>
    <mergeCell ref="D240:O240"/>
    <mergeCell ref="A241:O242"/>
    <mergeCell ref="S242:X242"/>
    <mergeCell ref="A243:O243"/>
    <mergeCell ref="A280:C280"/>
    <mergeCell ref="D280:O280"/>
    <mergeCell ref="A262:C262"/>
    <mergeCell ref="D262:O262"/>
    <mergeCell ref="B264:N277"/>
    <mergeCell ref="A279:C279"/>
    <mergeCell ref="D279:H279"/>
    <mergeCell ref="I279:J279"/>
    <mergeCell ref="K279:O279"/>
  </mergeCells>
  <phoneticPr fontId="3" type="noConversion"/>
  <printOptions horizontalCentered="1"/>
  <pageMargins left="0.39370078740157483" right="0.39370078740157483" top="0.59055118110236227" bottom="0.39370078740157483" header="0.31496062992125984" footer="0.31496062992125984"/>
  <pageSetup paperSize="9" orientation="portrait" r:id="rId1"/>
  <headerFooter alignWithMargins="0">
    <oddHeader>&amp;R&amp;"맑은 고딕,보통"&amp;8&amp;K808080K-건설맵 · k-conmap.com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utton 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</xdr:row>
                    <xdr:rowOff>123825</xdr:rowOff>
                  </from>
                  <to>
                    <xdr:col>17</xdr:col>
                    <xdr:colOff>228600</xdr:colOff>
                    <xdr:row>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0" r:id="rId5" name="Button 2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41</xdr:row>
                    <xdr:rowOff>123825</xdr:rowOff>
                  </from>
                  <to>
                    <xdr:col>17</xdr:col>
                    <xdr:colOff>228600</xdr:colOff>
                    <xdr:row>43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1" r:id="rId6" name="Button 3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81</xdr:row>
                    <xdr:rowOff>123825</xdr:rowOff>
                  </from>
                  <to>
                    <xdr:col>17</xdr:col>
                    <xdr:colOff>228600</xdr:colOff>
                    <xdr:row>83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8" r:id="rId7" name="Button 10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121</xdr:row>
                    <xdr:rowOff>123825</xdr:rowOff>
                  </from>
                  <to>
                    <xdr:col>17</xdr:col>
                    <xdr:colOff>228600</xdr:colOff>
                    <xdr:row>123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9" r:id="rId8" name="Button 1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161</xdr:row>
                    <xdr:rowOff>123825</xdr:rowOff>
                  </from>
                  <to>
                    <xdr:col>17</xdr:col>
                    <xdr:colOff>228600</xdr:colOff>
                    <xdr:row>163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1" r:id="rId9" name="Button 23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201</xdr:row>
                    <xdr:rowOff>123825</xdr:rowOff>
                  </from>
                  <to>
                    <xdr:col>17</xdr:col>
                    <xdr:colOff>228600</xdr:colOff>
                    <xdr:row>203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2" r:id="rId10" name="Button 24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241</xdr:row>
                    <xdr:rowOff>123825</xdr:rowOff>
                  </from>
                  <to>
                    <xdr:col>17</xdr:col>
                    <xdr:colOff>228600</xdr:colOff>
                    <xdr:row>243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6E596-746D-4A83-B097-287AD8F52902}">
  <dimension ref="A1:WWQ31"/>
  <sheetViews>
    <sheetView workbookViewId="0">
      <pane xSplit="4" ySplit="4" topLeftCell="E5" activePane="bottomRight" state="frozen"/>
      <selection pane="topRight" activeCell="F1" sqref="F1"/>
      <selection pane="bottomLeft" activeCell="A5" sqref="A5"/>
      <selection pane="bottomRight" activeCell="V11" sqref="V11:V12"/>
    </sheetView>
  </sheetViews>
  <sheetFormatPr defaultColWidth="3.125" defaultRowHeight="12"/>
  <cols>
    <col min="1" max="1" width="3.75" style="289" customWidth="1"/>
    <col min="2" max="2" width="9.5" style="290" customWidth="1"/>
    <col min="3" max="3" width="7.125" style="291" customWidth="1"/>
    <col min="4" max="4" width="21.25" style="291" customWidth="1"/>
    <col min="5" max="14" width="2.875" style="291" customWidth="1"/>
    <col min="15" max="15" width="3.125" style="291" customWidth="1"/>
    <col min="16" max="20" width="2.875" style="291" customWidth="1"/>
    <col min="21" max="21" width="8.75" style="291" customWidth="1"/>
    <col min="22" max="22" width="9.75" style="292" bestFit="1" customWidth="1"/>
    <col min="23" max="25" width="9.625" style="291" customWidth="1"/>
    <col min="26" max="26" width="8.75" style="291" customWidth="1"/>
    <col min="27" max="27" width="8.875" style="291" customWidth="1"/>
    <col min="28" max="28" width="11.25" style="291" customWidth="1"/>
    <col min="29" max="29" width="7.5" style="289" customWidth="1"/>
    <col min="30" max="30" width="3.125" style="290" customWidth="1"/>
    <col min="31" max="31" width="11.25" style="290" bestFit="1" customWidth="1"/>
    <col min="32" max="34" width="3.125" style="290"/>
    <col min="35" max="35" width="6" style="290" bestFit="1" customWidth="1"/>
    <col min="36" max="256" width="3.125" style="290"/>
    <col min="257" max="257" width="3.75" style="290" customWidth="1"/>
    <col min="258" max="258" width="9.5" style="290" customWidth="1"/>
    <col min="259" max="259" width="7.125" style="290" customWidth="1"/>
    <col min="260" max="260" width="23.5" style="290" customWidth="1"/>
    <col min="261" max="270" width="2.875" style="290" customWidth="1"/>
    <col min="271" max="271" width="3.125" style="290"/>
    <col min="272" max="276" width="2.875" style="290" customWidth="1"/>
    <col min="277" max="277" width="8.5" style="290" customWidth="1"/>
    <col min="278" max="278" width="9.75" style="290" bestFit="1" customWidth="1"/>
    <col min="279" max="281" width="8.5" style="290" customWidth="1"/>
    <col min="282" max="282" width="8.75" style="290" customWidth="1"/>
    <col min="283" max="283" width="8.875" style="290" customWidth="1"/>
    <col min="284" max="284" width="13.75" style="290" bestFit="1" customWidth="1"/>
    <col min="285" max="285" width="7.5" style="290" customWidth="1"/>
    <col min="286" max="286" width="3.125" style="290"/>
    <col min="287" max="287" width="11.25" style="290" bestFit="1" customWidth="1"/>
    <col min="288" max="290" width="3.125" style="290"/>
    <col min="291" max="291" width="6" style="290" bestFit="1" customWidth="1"/>
    <col min="292" max="512" width="3.125" style="290"/>
    <col min="513" max="513" width="3.75" style="290" customWidth="1"/>
    <col min="514" max="514" width="9.5" style="290" customWidth="1"/>
    <col min="515" max="515" width="7.125" style="290" customWidth="1"/>
    <col min="516" max="516" width="23.5" style="290" customWidth="1"/>
    <col min="517" max="526" width="2.875" style="290" customWidth="1"/>
    <col min="527" max="527" width="3.125" style="290"/>
    <col min="528" max="532" width="2.875" style="290" customWidth="1"/>
    <col min="533" max="533" width="8.5" style="290" customWidth="1"/>
    <col min="534" max="534" width="9.75" style="290" bestFit="1" customWidth="1"/>
    <col min="535" max="537" width="8.5" style="290" customWidth="1"/>
    <col min="538" max="538" width="8.75" style="290" customWidth="1"/>
    <col min="539" max="539" width="8.875" style="290" customWidth="1"/>
    <col min="540" max="540" width="13.75" style="290" bestFit="1" customWidth="1"/>
    <col min="541" max="541" width="7.5" style="290" customWidth="1"/>
    <col min="542" max="542" width="3.125" style="290"/>
    <col min="543" max="543" width="11.25" style="290" bestFit="1" customWidth="1"/>
    <col min="544" max="546" width="3.125" style="290"/>
    <col min="547" max="547" width="6" style="290" bestFit="1" customWidth="1"/>
    <col min="548" max="768" width="3.125" style="290"/>
    <col min="769" max="769" width="3.75" style="290" customWidth="1"/>
    <col min="770" max="770" width="9.5" style="290" customWidth="1"/>
    <col min="771" max="771" width="7.125" style="290" customWidth="1"/>
    <col min="772" max="772" width="23.5" style="290" customWidth="1"/>
    <col min="773" max="782" width="2.875" style="290" customWidth="1"/>
    <col min="783" max="783" width="3.125" style="290"/>
    <col min="784" max="788" width="2.875" style="290" customWidth="1"/>
    <col min="789" max="789" width="8.5" style="290" customWidth="1"/>
    <col min="790" max="790" width="9.75" style="290" bestFit="1" customWidth="1"/>
    <col min="791" max="793" width="8.5" style="290" customWidth="1"/>
    <col min="794" max="794" width="8.75" style="290" customWidth="1"/>
    <col min="795" max="795" width="8.875" style="290" customWidth="1"/>
    <col min="796" max="796" width="13.75" style="290" bestFit="1" customWidth="1"/>
    <col min="797" max="797" width="7.5" style="290" customWidth="1"/>
    <col min="798" max="798" width="3.125" style="290"/>
    <col min="799" max="799" width="11.25" style="290" bestFit="1" customWidth="1"/>
    <col min="800" max="802" width="3.125" style="290"/>
    <col min="803" max="803" width="6" style="290" bestFit="1" customWidth="1"/>
    <col min="804" max="1024" width="3.125" style="290"/>
    <col min="1025" max="1025" width="3.75" style="290" customWidth="1"/>
    <col min="1026" max="1026" width="9.5" style="290" customWidth="1"/>
    <col min="1027" max="1027" width="7.125" style="290" customWidth="1"/>
    <col min="1028" max="1028" width="23.5" style="290" customWidth="1"/>
    <col min="1029" max="1038" width="2.875" style="290" customWidth="1"/>
    <col min="1039" max="1039" width="3.125" style="290"/>
    <col min="1040" max="1044" width="2.875" style="290" customWidth="1"/>
    <col min="1045" max="1045" width="8.5" style="290" customWidth="1"/>
    <col min="1046" max="1046" width="9.75" style="290" bestFit="1" customWidth="1"/>
    <col min="1047" max="1049" width="8.5" style="290" customWidth="1"/>
    <col min="1050" max="1050" width="8.75" style="290" customWidth="1"/>
    <col min="1051" max="1051" width="8.875" style="290" customWidth="1"/>
    <col min="1052" max="1052" width="13.75" style="290" bestFit="1" customWidth="1"/>
    <col min="1053" max="1053" width="7.5" style="290" customWidth="1"/>
    <col min="1054" max="1054" width="3.125" style="290"/>
    <col min="1055" max="1055" width="11.25" style="290" bestFit="1" customWidth="1"/>
    <col min="1056" max="1058" width="3.125" style="290"/>
    <col min="1059" max="1059" width="6" style="290" bestFit="1" customWidth="1"/>
    <col min="1060" max="1280" width="3.125" style="290"/>
    <col min="1281" max="1281" width="3.75" style="290" customWidth="1"/>
    <col min="1282" max="1282" width="9.5" style="290" customWidth="1"/>
    <col min="1283" max="1283" width="7.125" style="290" customWidth="1"/>
    <col min="1284" max="1284" width="23.5" style="290" customWidth="1"/>
    <col min="1285" max="1294" width="2.875" style="290" customWidth="1"/>
    <col min="1295" max="1295" width="3.125" style="290"/>
    <col min="1296" max="1300" width="2.875" style="290" customWidth="1"/>
    <col min="1301" max="1301" width="8.5" style="290" customWidth="1"/>
    <col min="1302" max="1302" width="9.75" style="290" bestFit="1" customWidth="1"/>
    <col min="1303" max="1305" width="8.5" style="290" customWidth="1"/>
    <col min="1306" max="1306" width="8.75" style="290" customWidth="1"/>
    <col min="1307" max="1307" width="8.875" style="290" customWidth="1"/>
    <col min="1308" max="1308" width="13.75" style="290" bestFit="1" customWidth="1"/>
    <col min="1309" max="1309" width="7.5" style="290" customWidth="1"/>
    <col min="1310" max="1310" width="3.125" style="290"/>
    <col min="1311" max="1311" width="11.25" style="290" bestFit="1" customWidth="1"/>
    <col min="1312" max="1314" width="3.125" style="290"/>
    <col min="1315" max="1315" width="6" style="290" bestFit="1" customWidth="1"/>
    <col min="1316" max="1536" width="3.125" style="290"/>
    <col min="1537" max="1537" width="3.75" style="290" customWidth="1"/>
    <col min="1538" max="1538" width="9.5" style="290" customWidth="1"/>
    <col min="1539" max="1539" width="7.125" style="290" customWidth="1"/>
    <col min="1540" max="1540" width="23.5" style="290" customWidth="1"/>
    <col min="1541" max="1550" width="2.875" style="290" customWidth="1"/>
    <col min="1551" max="1551" width="3.125" style="290"/>
    <col min="1552" max="1556" width="2.875" style="290" customWidth="1"/>
    <col min="1557" max="1557" width="8.5" style="290" customWidth="1"/>
    <col min="1558" max="1558" width="9.75" style="290" bestFit="1" customWidth="1"/>
    <col min="1559" max="1561" width="8.5" style="290" customWidth="1"/>
    <col min="1562" max="1562" width="8.75" style="290" customWidth="1"/>
    <col min="1563" max="1563" width="8.875" style="290" customWidth="1"/>
    <col min="1564" max="1564" width="13.75" style="290" bestFit="1" customWidth="1"/>
    <col min="1565" max="1565" width="7.5" style="290" customWidth="1"/>
    <col min="1566" max="1566" width="3.125" style="290"/>
    <col min="1567" max="1567" width="11.25" style="290" bestFit="1" customWidth="1"/>
    <col min="1568" max="1570" width="3.125" style="290"/>
    <col min="1571" max="1571" width="6" style="290" bestFit="1" customWidth="1"/>
    <col min="1572" max="1792" width="3.125" style="290"/>
    <col min="1793" max="1793" width="3.75" style="290" customWidth="1"/>
    <col min="1794" max="1794" width="9.5" style="290" customWidth="1"/>
    <col min="1795" max="1795" width="7.125" style="290" customWidth="1"/>
    <col min="1796" max="1796" width="23.5" style="290" customWidth="1"/>
    <col min="1797" max="1806" width="2.875" style="290" customWidth="1"/>
    <col min="1807" max="1807" width="3.125" style="290"/>
    <col min="1808" max="1812" width="2.875" style="290" customWidth="1"/>
    <col min="1813" max="1813" width="8.5" style="290" customWidth="1"/>
    <col min="1814" max="1814" width="9.75" style="290" bestFit="1" customWidth="1"/>
    <col min="1815" max="1817" width="8.5" style="290" customWidth="1"/>
    <col min="1818" max="1818" width="8.75" style="290" customWidth="1"/>
    <col min="1819" max="1819" width="8.875" style="290" customWidth="1"/>
    <col min="1820" max="1820" width="13.75" style="290" bestFit="1" customWidth="1"/>
    <col min="1821" max="1821" width="7.5" style="290" customWidth="1"/>
    <col min="1822" max="1822" width="3.125" style="290"/>
    <col min="1823" max="1823" width="11.25" style="290" bestFit="1" customWidth="1"/>
    <col min="1824" max="1826" width="3.125" style="290"/>
    <col min="1827" max="1827" width="6" style="290" bestFit="1" customWidth="1"/>
    <col min="1828" max="2048" width="3.125" style="290"/>
    <col min="2049" max="2049" width="3.75" style="290" customWidth="1"/>
    <col min="2050" max="2050" width="9.5" style="290" customWidth="1"/>
    <col min="2051" max="2051" width="7.125" style="290" customWidth="1"/>
    <col min="2052" max="2052" width="23.5" style="290" customWidth="1"/>
    <col min="2053" max="2062" width="2.875" style="290" customWidth="1"/>
    <col min="2063" max="2063" width="3.125" style="290"/>
    <col min="2064" max="2068" width="2.875" style="290" customWidth="1"/>
    <col min="2069" max="2069" width="8.5" style="290" customWidth="1"/>
    <col min="2070" max="2070" width="9.75" style="290" bestFit="1" customWidth="1"/>
    <col min="2071" max="2073" width="8.5" style="290" customWidth="1"/>
    <col min="2074" max="2074" width="8.75" style="290" customWidth="1"/>
    <col min="2075" max="2075" width="8.875" style="290" customWidth="1"/>
    <col min="2076" max="2076" width="13.75" style="290" bestFit="1" customWidth="1"/>
    <col min="2077" max="2077" width="7.5" style="290" customWidth="1"/>
    <col min="2078" max="2078" width="3.125" style="290"/>
    <col min="2079" max="2079" width="11.25" style="290" bestFit="1" customWidth="1"/>
    <col min="2080" max="2082" width="3.125" style="290"/>
    <col min="2083" max="2083" width="6" style="290" bestFit="1" customWidth="1"/>
    <col min="2084" max="2304" width="3.125" style="290"/>
    <col min="2305" max="2305" width="3.75" style="290" customWidth="1"/>
    <col min="2306" max="2306" width="9.5" style="290" customWidth="1"/>
    <col min="2307" max="2307" width="7.125" style="290" customWidth="1"/>
    <col min="2308" max="2308" width="23.5" style="290" customWidth="1"/>
    <col min="2309" max="2318" width="2.875" style="290" customWidth="1"/>
    <col min="2319" max="2319" width="3.125" style="290"/>
    <col min="2320" max="2324" width="2.875" style="290" customWidth="1"/>
    <col min="2325" max="2325" width="8.5" style="290" customWidth="1"/>
    <col min="2326" max="2326" width="9.75" style="290" bestFit="1" customWidth="1"/>
    <col min="2327" max="2329" width="8.5" style="290" customWidth="1"/>
    <col min="2330" max="2330" width="8.75" style="290" customWidth="1"/>
    <col min="2331" max="2331" width="8.875" style="290" customWidth="1"/>
    <col min="2332" max="2332" width="13.75" style="290" bestFit="1" customWidth="1"/>
    <col min="2333" max="2333" width="7.5" style="290" customWidth="1"/>
    <col min="2334" max="2334" width="3.125" style="290"/>
    <col min="2335" max="2335" width="11.25" style="290" bestFit="1" customWidth="1"/>
    <col min="2336" max="2338" width="3.125" style="290"/>
    <col min="2339" max="2339" width="6" style="290" bestFit="1" customWidth="1"/>
    <col min="2340" max="2560" width="3.125" style="290"/>
    <col min="2561" max="2561" width="3.75" style="290" customWidth="1"/>
    <col min="2562" max="2562" width="9.5" style="290" customWidth="1"/>
    <col min="2563" max="2563" width="7.125" style="290" customWidth="1"/>
    <col min="2564" max="2564" width="23.5" style="290" customWidth="1"/>
    <col min="2565" max="2574" width="2.875" style="290" customWidth="1"/>
    <col min="2575" max="2575" width="3.125" style="290"/>
    <col min="2576" max="2580" width="2.875" style="290" customWidth="1"/>
    <col min="2581" max="2581" width="8.5" style="290" customWidth="1"/>
    <col min="2582" max="2582" width="9.75" style="290" bestFit="1" customWidth="1"/>
    <col min="2583" max="2585" width="8.5" style="290" customWidth="1"/>
    <col min="2586" max="2586" width="8.75" style="290" customWidth="1"/>
    <col min="2587" max="2587" width="8.875" style="290" customWidth="1"/>
    <col min="2588" max="2588" width="13.75" style="290" bestFit="1" customWidth="1"/>
    <col min="2589" max="2589" width="7.5" style="290" customWidth="1"/>
    <col min="2590" max="2590" width="3.125" style="290"/>
    <col min="2591" max="2591" width="11.25" style="290" bestFit="1" customWidth="1"/>
    <col min="2592" max="2594" width="3.125" style="290"/>
    <col min="2595" max="2595" width="6" style="290" bestFit="1" customWidth="1"/>
    <col min="2596" max="2816" width="3.125" style="290"/>
    <col min="2817" max="2817" width="3.75" style="290" customWidth="1"/>
    <col min="2818" max="2818" width="9.5" style="290" customWidth="1"/>
    <col min="2819" max="2819" width="7.125" style="290" customWidth="1"/>
    <col min="2820" max="2820" width="23.5" style="290" customWidth="1"/>
    <col min="2821" max="2830" width="2.875" style="290" customWidth="1"/>
    <col min="2831" max="2831" width="3.125" style="290"/>
    <col min="2832" max="2836" width="2.875" style="290" customWidth="1"/>
    <col min="2837" max="2837" width="8.5" style="290" customWidth="1"/>
    <col min="2838" max="2838" width="9.75" style="290" bestFit="1" customWidth="1"/>
    <col min="2839" max="2841" width="8.5" style="290" customWidth="1"/>
    <col min="2842" max="2842" width="8.75" style="290" customWidth="1"/>
    <col min="2843" max="2843" width="8.875" style="290" customWidth="1"/>
    <col min="2844" max="2844" width="13.75" style="290" bestFit="1" customWidth="1"/>
    <col min="2845" max="2845" width="7.5" style="290" customWidth="1"/>
    <col min="2846" max="2846" width="3.125" style="290"/>
    <col min="2847" max="2847" width="11.25" style="290" bestFit="1" customWidth="1"/>
    <col min="2848" max="2850" width="3.125" style="290"/>
    <col min="2851" max="2851" width="6" style="290" bestFit="1" customWidth="1"/>
    <col min="2852" max="3072" width="3.125" style="290"/>
    <col min="3073" max="3073" width="3.75" style="290" customWidth="1"/>
    <col min="3074" max="3074" width="9.5" style="290" customWidth="1"/>
    <col min="3075" max="3075" width="7.125" style="290" customWidth="1"/>
    <col min="3076" max="3076" width="23.5" style="290" customWidth="1"/>
    <col min="3077" max="3086" width="2.875" style="290" customWidth="1"/>
    <col min="3087" max="3087" width="3.125" style="290"/>
    <col min="3088" max="3092" width="2.875" style="290" customWidth="1"/>
    <col min="3093" max="3093" width="8.5" style="290" customWidth="1"/>
    <col min="3094" max="3094" width="9.75" style="290" bestFit="1" customWidth="1"/>
    <col min="3095" max="3097" width="8.5" style="290" customWidth="1"/>
    <col min="3098" max="3098" width="8.75" style="290" customWidth="1"/>
    <col min="3099" max="3099" width="8.875" style="290" customWidth="1"/>
    <col min="3100" max="3100" width="13.75" style="290" bestFit="1" customWidth="1"/>
    <col min="3101" max="3101" width="7.5" style="290" customWidth="1"/>
    <col min="3102" max="3102" width="3.125" style="290"/>
    <col min="3103" max="3103" width="11.25" style="290" bestFit="1" customWidth="1"/>
    <col min="3104" max="3106" width="3.125" style="290"/>
    <col min="3107" max="3107" width="6" style="290" bestFit="1" customWidth="1"/>
    <col min="3108" max="3328" width="3.125" style="290"/>
    <col min="3329" max="3329" width="3.75" style="290" customWidth="1"/>
    <col min="3330" max="3330" width="9.5" style="290" customWidth="1"/>
    <col min="3331" max="3331" width="7.125" style="290" customWidth="1"/>
    <col min="3332" max="3332" width="23.5" style="290" customWidth="1"/>
    <col min="3333" max="3342" width="2.875" style="290" customWidth="1"/>
    <col min="3343" max="3343" width="3.125" style="290"/>
    <col min="3344" max="3348" width="2.875" style="290" customWidth="1"/>
    <col min="3349" max="3349" width="8.5" style="290" customWidth="1"/>
    <col min="3350" max="3350" width="9.75" style="290" bestFit="1" customWidth="1"/>
    <col min="3351" max="3353" width="8.5" style="290" customWidth="1"/>
    <col min="3354" max="3354" width="8.75" style="290" customWidth="1"/>
    <col min="3355" max="3355" width="8.875" style="290" customWidth="1"/>
    <col min="3356" max="3356" width="13.75" style="290" bestFit="1" customWidth="1"/>
    <col min="3357" max="3357" width="7.5" style="290" customWidth="1"/>
    <col min="3358" max="3358" width="3.125" style="290"/>
    <col min="3359" max="3359" width="11.25" style="290" bestFit="1" customWidth="1"/>
    <col min="3360" max="3362" width="3.125" style="290"/>
    <col min="3363" max="3363" width="6" style="290" bestFit="1" customWidth="1"/>
    <col min="3364" max="3584" width="3.125" style="290"/>
    <col min="3585" max="3585" width="3.75" style="290" customWidth="1"/>
    <col min="3586" max="3586" width="9.5" style="290" customWidth="1"/>
    <col min="3587" max="3587" width="7.125" style="290" customWidth="1"/>
    <col min="3588" max="3588" width="23.5" style="290" customWidth="1"/>
    <col min="3589" max="3598" width="2.875" style="290" customWidth="1"/>
    <col min="3599" max="3599" width="3.125" style="290"/>
    <col min="3600" max="3604" width="2.875" style="290" customWidth="1"/>
    <col min="3605" max="3605" width="8.5" style="290" customWidth="1"/>
    <col min="3606" max="3606" width="9.75" style="290" bestFit="1" customWidth="1"/>
    <col min="3607" max="3609" width="8.5" style="290" customWidth="1"/>
    <col min="3610" max="3610" width="8.75" style="290" customWidth="1"/>
    <col min="3611" max="3611" width="8.875" style="290" customWidth="1"/>
    <col min="3612" max="3612" width="13.75" style="290" bestFit="1" customWidth="1"/>
    <col min="3613" max="3613" width="7.5" style="290" customWidth="1"/>
    <col min="3614" max="3614" width="3.125" style="290"/>
    <col min="3615" max="3615" width="11.25" style="290" bestFit="1" customWidth="1"/>
    <col min="3616" max="3618" width="3.125" style="290"/>
    <col min="3619" max="3619" width="6" style="290" bestFit="1" customWidth="1"/>
    <col min="3620" max="3840" width="3.125" style="290"/>
    <col min="3841" max="3841" width="3.75" style="290" customWidth="1"/>
    <col min="3842" max="3842" width="9.5" style="290" customWidth="1"/>
    <col min="3843" max="3843" width="7.125" style="290" customWidth="1"/>
    <col min="3844" max="3844" width="23.5" style="290" customWidth="1"/>
    <col min="3845" max="3854" width="2.875" style="290" customWidth="1"/>
    <col min="3855" max="3855" width="3.125" style="290"/>
    <col min="3856" max="3860" width="2.875" style="290" customWidth="1"/>
    <col min="3861" max="3861" width="8.5" style="290" customWidth="1"/>
    <col min="3862" max="3862" width="9.75" style="290" bestFit="1" customWidth="1"/>
    <col min="3863" max="3865" width="8.5" style="290" customWidth="1"/>
    <col min="3866" max="3866" width="8.75" style="290" customWidth="1"/>
    <col min="3867" max="3867" width="8.875" style="290" customWidth="1"/>
    <col min="3868" max="3868" width="13.75" style="290" bestFit="1" customWidth="1"/>
    <col min="3869" max="3869" width="7.5" style="290" customWidth="1"/>
    <col min="3870" max="3870" width="3.125" style="290"/>
    <col min="3871" max="3871" width="11.25" style="290" bestFit="1" customWidth="1"/>
    <col min="3872" max="3874" width="3.125" style="290"/>
    <col min="3875" max="3875" width="6" style="290" bestFit="1" customWidth="1"/>
    <col min="3876" max="4096" width="3.125" style="290"/>
    <col min="4097" max="4097" width="3.75" style="290" customWidth="1"/>
    <col min="4098" max="4098" width="9.5" style="290" customWidth="1"/>
    <col min="4099" max="4099" width="7.125" style="290" customWidth="1"/>
    <col min="4100" max="4100" width="23.5" style="290" customWidth="1"/>
    <col min="4101" max="4110" width="2.875" style="290" customWidth="1"/>
    <col min="4111" max="4111" width="3.125" style="290"/>
    <col min="4112" max="4116" width="2.875" style="290" customWidth="1"/>
    <col min="4117" max="4117" width="8.5" style="290" customWidth="1"/>
    <col min="4118" max="4118" width="9.75" style="290" bestFit="1" customWidth="1"/>
    <col min="4119" max="4121" width="8.5" style="290" customWidth="1"/>
    <col min="4122" max="4122" width="8.75" style="290" customWidth="1"/>
    <col min="4123" max="4123" width="8.875" style="290" customWidth="1"/>
    <col min="4124" max="4124" width="13.75" style="290" bestFit="1" customWidth="1"/>
    <col min="4125" max="4125" width="7.5" style="290" customWidth="1"/>
    <col min="4126" max="4126" width="3.125" style="290"/>
    <col min="4127" max="4127" width="11.25" style="290" bestFit="1" customWidth="1"/>
    <col min="4128" max="4130" width="3.125" style="290"/>
    <col min="4131" max="4131" width="6" style="290" bestFit="1" customWidth="1"/>
    <col min="4132" max="4352" width="3.125" style="290"/>
    <col min="4353" max="4353" width="3.75" style="290" customWidth="1"/>
    <col min="4354" max="4354" width="9.5" style="290" customWidth="1"/>
    <col min="4355" max="4355" width="7.125" style="290" customWidth="1"/>
    <col min="4356" max="4356" width="23.5" style="290" customWidth="1"/>
    <col min="4357" max="4366" width="2.875" style="290" customWidth="1"/>
    <col min="4367" max="4367" width="3.125" style="290"/>
    <col min="4368" max="4372" width="2.875" style="290" customWidth="1"/>
    <col min="4373" max="4373" width="8.5" style="290" customWidth="1"/>
    <col min="4374" max="4374" width="9.75" style="290" bestFit="1" customWidth="1"/>
    <col min="4375" max="4377" width="8.5" style="290" customWidth="1"/>
    <col min="4378" max="4378" width="8.75" style="290" customWidth="1"/>
    <col min="4379" max="4379" width="8.875" style="290" customWidth="1"/>
    <col min="4380" max="4380" width="13.75" style="290" bestFit="1" customWidth="1"/>
    <col min="4381" max="4381" width="7.5" style="290" customWidth="1"/>
    <col min="4382" max="4382" width="3.125" style="290"/>
    <col min="4383" max="4383" width="11.25" style="290" bestFit="1" customWidth="1"/>
    <col min="4384" max="4386" width="3.125" style="290"/>
    <col min="4387" max="4387" width="6" style="290" bestFit="1" customWidth="1"/>
    <col min="4388" max="4608" width="3.125" style="290"/>
    <col min="4609" max="4609" width="3.75" style="290" customWidth="1"/>
    <col min="4610" max="4610" width="9.5" style="290" customWidth="1"/>
    <col min="4611" max="4611" width="7.125" style="290" customWidth="1"/>
    <col min="4612" max="4612" width="23.5" style="290" customWidth="1"/>
    <col min="4613" max="4622" width="2.875" style="290" customWidth="1"/>
    <col min="4623" max="4623" width="3.125" style="290"/>
    <col min="4624" max="4628" width="2.875" style="290" customWidth="1"/>
    <col min="4629" max="4629" width="8.5" style="290" customWidth="1"/>
    <col min="4630" max="4630" width="9.75" style="290" bestFit="1" customWidth="1"/>
    <col min="4631" max="4633" width="8.5" style="290" customWidth="1"/>
    <col min="4634" max="4634" width="8.75" style="290" customWidth="1"/>
    <col min="4635" max="4635" width="8.875" style="290" customWidth="1"/>
    <col min="4636" max="4636" width="13.75" style="290" bestFit="1" customWidth="1"/>
    <col min="4637" max="4637" width="7.5" style="290" customWidth="1"/>
    <col min="4638" max="4638" width="3.125" style="290"/>
    <col min="4639" max="4639" width="11.25" style="290" bestFit="1" customWidth="1"/>
    <col min="4640" max="4642" width="3.125" style="290"/>
    <col min="4643" max="4643" width="6" style="290" bestFit="1" customWidth="1"/>
    <col min="4644" max="4864" width="3.125" style="290"/>
    <col min="4865" max="4865" width="3.75" style="290" customWidth="1"/>
    <col min="4866" max="4866" width="9.5" style="290" customWidth="1"/>
    <col min="4867" max="4867" width="7.125" style="290" customWidth="1"/>
    <col min="4868" max="4868" width="23.5" style="290" customWidth="1"/>
    <col min="4869" max="4878" width="2.875" style="290" customWidth="1"/>
    <col min="4879" max="4879" width="3.125" style="290"/>
    <col min="4880" max="4884" width="2.875" style="290" customWidth="1"/>
    <col min="4885" max="4885" width="8.5" style="290" customWidth="1"/>
    <col min="4886" max="4886" width="9.75" style="290" bestFit="1" customWidth="1"/>
    <col min="4887" max="4889" width="8.5" style="290" customWidth="1"/>
    <col min="4890" max="4890" width="8.75" style="290" customWidth="1"/>
    <col min="4891" max="4891" width="8.875" style="290" customWidth="1"/>
    <col min="4892" max="4892" width="13.75" style="290" bestFit="1" customWidth="1"/>
    <col min="4893" max="4893" width="7.5" style="290" customWidth="1"/>
    <col min="4894" max="4894" width="3.125" style="290"/>
    <col min="4895" max="4895" width="11.25" style="290" bestFit="1" customWidth="1"/>
    <col min="4896" max="4898" width="3.125" style="290"/>
    <col min="4899" max="4899" width="6" style="290" bestFit="1" customWidth="1"/>
    <col min="4900" max="5120" width="3.125" style="290"/>
    <col min="5121" max="5121" width="3.75" style="290" customWidth="1"/>
    <col min="5122" max="5122" width="9.5" style="290" customWidth="1"/>
    <col min="5123" max="5123" width="7.125" style="290" customWidth="1"/>
    <col min="5124" max="5124" width="23.5" style="290" customWidth="1"/>
    <col min="5125" max="5134" width="2.875" style="290" customWidth="1"/>
    <col min="5135" max="5135" width="3.125" style="290"/>
    <col min="5136" max="5140" width="2.875" style="290" customWidth="1"/>
    <col min="5141" max="5141" width="8.5" style="290" customWidth="1"/>
    <col min="5142" max="5142" width="9.75" style="290" bestFit="1" customWidth="1"/>
    <col min="5143" max="5145" width="8.5" style="290" customWidth="1"/>
    <col min="5146" max="5146" width="8.75" style="290" customWidth="1"/>
    <col min="5147" max="5147" width="8.875" style="290" customWidth="1"/>
    <col min="5148" max="5148" width="13.75" style="290" bestFit="1" customWidth="1"/>
    <col min="5149" max="5149" width="7.5" style="290" customWidth="1"/>
    <col min="5150" max="5150" width="3.125" style="290"/>
    <col min="5151" max="5151" width="11.25" style="290" bestFit="1" customWidth="1"/>
    <col min="5152" max="5154" width="3.125" style="290"/>
    <col min="5155" max="5155" width="6" style="290" bestFit="1" customWidth="1"/>
    <col min="5156" max="5376" width="3.125" style="290"/>
    <col min="5377" max="5377" width="3.75" style="290" customWidth="1"/>
    <col min="5378" max="5378" width="9.5" style="290" customWidth="1"/>
    <col min="5379" max="5379" width="7.125" style="290" customWidth="1"/>
    <col min="5380" max="5380" width="23.5" style="290" customWidth="1"/>
    <col min="5381" max="5390" width="2.875" style="290" customWidth="1"/>
    <col min="5391" max="5391" width="3.125" style="290"/>
    <col min="5392" max="5396" width="2.875" style="290" customWidth="1"/>
    <col min="5397" max="5397" width="8.5" style="290" customWidth="1"/>
    <col min="5398" max="5398" width="9.75" style="290" bestFit="1" customWidth="1"/>
    <col min="5399" max="5401" width="8.5" style="290" customWidth="1"/>
    <col min="5402" max="5402" width="8.75" style="290" customWidth="1"/>
    <col min="5403" max="5403" width="8.875" style="290" customWidth="1"/>
    <col min="5404" max="5404" width="13.75" style="290" bestFit="1" customWidth="1"/>
    <col min="5405" max="5405" width="7.5" style="290" customWidth="1"/>
    <col min="5406" max="5406" width="3.125" style="290"/>
    <col min="5407" max="5407" width="11.25" style="290" bestFit="1" customWidth="1"/>
    <col min="5408" max="5410" width="3.125" style="290"/>
    <col min="5411" max="5411" width="6" style="290" bestFit="1" customWidth="1"/>
    <col min="5412" max="5632" width="3.125" style="290"/>
    <col min="5633" max="5633" width="3.75" style="290" customWidth="1"/>
    <col min="5634" max="5634" width="9.5" style="290" customWidth="1"/>
    <col min="5635" max="5635" width="7.125" style="290" customWidth="1"/>
    <col min="5636" max="5636" width="23.5" style="290" customWidth="1"/>
    <col min="5637" max="5646" width="2.875" style="290" customWidth="1"/>
    <col min="5647" max="5647" width="3.125" style="290"/>
    <col min="5648" max="5652" width="2.875" style="290" customWidth="1"/>
    <col min="5653" max="5653" width="8.5" style="290" customWidth="1"/>
    <col min="5654" max="5654" width="9.75" style="290" bestFit="1" customWidth="1"/>
    <col min="5655" max="5657" width="8.5" style="290" customWidth="1"/>
    <col min="5658" max="5658" width="8.75" style="290" customWidth="1"/>
    <col min="5659" max="5659" width="8.875" style="290" customWidth="1"/>
    <col min="5660" max="5660" width="13.75" style="290" bestFit="1" customWidth="1"/>
    <col min="5661" max="5661" width="7.5" style="290" customWidth="1"/>
    <col min="5662" max="5662" width="3.125" style="290"/>
    <col min="5663" max="5663" width="11.25" style="290" bestFit="1" customWidth="1"/>
    <col min="5664" max="5666" width="3.125" style="290"/>
    <col min="5667" max="5667" width="6" style="290" bestFit="1" customWidth="1"/>
    <col min="5668" max="5888" width="3.125" style="290"/>
    <col min="5889" max="5889" width="3.75" style="290" customWidth="1"/>
    <col min="5890" max="5890" width="9.5" style="290" customWidth="1"/>
    <col min="5891" max="5891" width="7.125" style="290" customWidth="1"/>
    <col min="5892" max="5892" width="23.5" style="290" customWidth="1"/>
    <col min="5893" max="5902" width="2.875" style="290" customWidth="1"/>
    <col min="5903" max="5903" width="3.125" style="290"/>
    <col min="5904" max="5908" width="2.875" style="290" customWidth="1"/>
    <col min="5909" max="5909" width="8.5" style="290" customWidth="1"/>
    <col min="5910" max="5910" width="9.75" style="290" bestFit="1" customWidth="1"/>
    <col min="5911" max="5913" width="8.5" style="290" customWidth="1"/>
    <col min="5914" max="5914" width="8.75" style="290" customWidth="1"/>
    <col min="5915" max="5915" width="8.875" style="290" customWidth="1"/>
    <col min="5916" max="5916" width="13.75" style="290" bestFit="1" customWidth="1"/>
    <col min="5917" max="5917" width="7.5" style="290" customWidth="1"/>
    <col min="5918" max="5918" width="3.125" style="290"/>
    <col min="5919" max="5919" width="11.25" style="290" bestFit="1" customWidth="1"/>
    <col min="5920" max="5922" width="3.125" style="290"/>
    <col min="5923" max="5923" width="6" style="290" bestFit="1" customWidth="1"/>
    <col min="5924" max="6144" width="3.125" style="290"/>
    <col min="6145" max="6145" width="3.75" style="290" customWidth="1"/>
    <col min="6146" max="6146" width="9.5" style="290" customWidth="1"/>
    <col min="6147" max="6147" width="7.125" style="290" customWidth="1"/>
    <col min="6148" max="6148" width="23.5" style="290" customWidth="1"/>
    <col min="6149" max="6158" width="2.875" style="290" customWidth="1"/>
    <col min="6159" max="6159" width="3.125" style="290"/>
    <col min="6160" max="6164" width="2.875" style="290" customWidth="1"/>
    <col min="6165" max="6165" width="8.5" style="290" customWidth="1"/>
    <col min="6166" max="6166" width="9.75" style="290" bestFit="1" customWidth="1"/>
    <col min="6167" max="6169" width="8.5" style="290" customWidth="1"/>
    <col min="6170" max="6170" width="8.75" style="290" customWidth="1"/>
    <col min="6171" max="6171" width="8.875" style="290" customWidth="1"/>
    <col min="6172" max="6172" width="13.75" style="290" bestFit="1" customWidth="1"/>
    <col min="6173" max="6173" width="7.5" style="290" customWidth="1"/>
    <col min="6174" max="6174" width="3.125" style="290"/>
    <col min="6175" max="6175" width="11.25" style="290" bestFit="1" customWidth="1"/>
    <col min="6176" max="6178" width="3.125" style="290"/>
    <col min="6179" max="6179" width="6" style="290" bestFit="1" customWidth="1"/>
    <col min="6180" max="6400" width="3.125" style="290"/>
    <col min="6401" max="6401" width="3.75" style="290" customWidth="1"/>
    <col min="6402" max="6402" width="9.5" style="290" customWidth="1"/>
    <col min="6403" max="6403" width="7.125" style="290" customWidth="1"/>
    <col min="6404" max="6404" width="23.5" style="290" customWidth="1"/>
    <col min="6405" max="6414" width="2.875" style="290" customWidth="1"/>
    <col min="6415" max="6415" width="3.125" style="290"/>
    <col min="6416" max="6420" width="2.875" style="290" customWidth="1"/>
    <col min="6421" max="6421" width="8.5" style="290" customWidth="1"/>
    <col min="6422" max="6422" width="9.75" style="290" bestFit="1" customWidth="1"/>
    <col min="6423" max="6425" width="8.5" style="290" customWidth="1"/>
    <col min="6426" max="6426" width="8.75" style="290" customWidth="1"/>
    <col min="6427" max="6427" width="8.875" style="290" customWidth="1"/>
    <col min="6428" max="6428" width="13.75" style="290" bestFit="1" customWidth="1"/>
    <col min="6429" max="6429" width="7.5" style="290" customWidth="1"/>
    <col min="6430" max="6430" width="3.125" style="290"/>
    <col min="6431" max="6431" width="11.25" style="290" bestFit="1" customWidth="1"/>
    <col min="6432" max="6434" width="3.125" style="290"/>
    <col min="6435" max="6435" width="6" style="290" bestFit="1" customWidth="1"/>
    <col min="6436" max="6656" width="3.125" style="290"/>
    <col min="6657" max="6657" width="3.75" style="290" customWidth="1"/>
    <col min="6658" max="6658" width="9.5" style="290" customWidth="1"/>
    <col min="6659" max="6659" width="7.125" style="290" customWidth="1"/>
    <col min="6660" max="6660" width="23.5" style="290" customWidth="1"/>
    <col min="6661" max="6670" width="2.875" style="290" customWidth="1"/>
    <col min="6671" max="6671" width="3.125" style="290"/>
    <col min="6672" max="6676" width="2.875" style="290" customWidth="1"/>
    <col min="6677" max="6677" width="8.5" style="290" customWidth="1"/>
    <col min="6678" max="6678" width="9.75" style="290" bestFit="1" customWidth="1"/>
    <col min="6679" max="6681" width="8.5" style="290" customWidth="1"/>
    <col min="6682" max="6682" width="8.75" style="290" customWidth="1"/>
    <col min="6683" max="6683" width="8.875" style="290" customWidth="1"/>
    <col min="6684" max="6684" width="13.75" style="290" bestFit="1" customWidth="1"/>
    <col min="6685" max="6685" width="7.5" style="290" customWidth="1"/>
    <col min="6686" max="6686" width="3.125" style="290"/>
    <col min="6687" max="6687" width="11.25" style="290" bestFit="1" customWidth="1"/>
    <col min="6688" max="6690" width="3.125" style="290"/>
    <col min="6691" max="6691" width="6" style="290" bestFit="1" customWidth="1"/>
    <col min="6692" max="6912" width="3.125" style="290"/>
    <col min="6913" max="6913" width="3.75" style="290" customWidth="1"/>
    <col min="6914" max="6914" width="9.5" style="290" customWidth="1"/>
    <col min="6915" max="6915" width="7.125" style="290" customWidth="1"/>
    <col min="6916" max="6916" width="23.5" style="290" customWidth="1"/>
    <col min="6917" max="6926" width="2.875" style="290" customWidth="1"/>
    <col min="6927" max="6927" width="3.125" style="290"/>
    <col min="6928" max="6932" width="2.875" style="290" customWidth="1"/>
    <col min="6933" max="6933" width="8.5" style="290" customWidth="1"/>
    <col min="6934" max="6934" width="9.75" style="290" bestFit="1" customWidth="1"/>
    <col min="6935" max="6937" width="8.5" style="290" customWidth="1"/>
    <col min="6938" max="6938" width="8.75" style="290" customWidth="1"/>
    <col min="6939" max="6939" width="8.875" style="290" customWidth="1"/>
    <col min="6940" max="6940" width="13.75" style="290" bestFit="1" customWidth="1"/>
    <col min="6941" max="6941" width="7.5" style="290" customWidth="1"/>
    <col min="6942" max="6942" width="3.125" style="290"/>
    <col min="6943" max="6943" width="11.25" style="290" bestFit="1" customWidth="1"/>
    <col min="6944" max="6946" width="3.125" style="290"/>
    <col min="6947" max="6947" width="6" style="290" bestFit="1" customWidth="1"/>
    <col min="6948" max="7168" width="3.125" style="290"/>
    <col min="7169" max="7169" width="3.75" style="290" customWidth="1"/>
    <col min="7170" max="7170" width="9.5" style="290" customWidth="1"/>
    <col min="7171" max="7171" width="7.125" style="290" customWidth="1"/>
    <col min="7172" max="7172" width="23.5" style="290" customWidth="1"/>
    <col min="7173" max="7182" width="2.875" style="290" customWidth="1"/>
    <col min="7183" max="7183" width="3.125" style="290"/>
    <col min="7184" max="7188" width="2.875" style="290" customWidth="1"/>
    <col min="7189" max="7189" width="8.5" style="290" customWidth="1"/>
    <col min="7190" max="7190" width="9.75" style="290" bestFit="1" customWidth="1"/>
    <col min="7191" max="7193" width="8.5" style="290" customWidth="1"/>
    <col min="7194" max="7194" width="8.75" style="290" customWidth="1"/>
    <col min="7195" max="7195" width="8.875" style="290" customWidth="1"/>
    <col min="7196" max="7196" width="13.75" style="290" bestFit="1" customWidth="1"/>
    <col min="7197" max="7197" width="7.5" style="290" customWidth="1"/>
    <col min="7198" max="7198" width="3.125" style="290"/>
    <col min="7199" max="7199" width="11.25" style="290" bestFit="1" customWidth="1"/>
    <col min="7200" max="7202" width="3.125" style="290"/>
    <col min="7203" max="7203" width="6" style="290" bestFit="1" customWidth="1"/>
    <col min="7204" max="7424" width="3.125" style="290"/>
    <col min="7425" max="7425" width="3.75" style="290" customWidth="1"/>
    <col min="7426" max="7426" width="9.5" style="290" customWidth="1"/>
    <col min="7427" max="7427" width="7.125" style="290" customWidth="1"/>
    <col min="7428" max="7428" width="23.5" style="290" customWidth="1"/>
    <col min="7429" max="7438" width="2.875" style="290" customWidth="1"/>
    <col min="7439" max="7439" width="3.125" style="290"/>
    <col min="7440" max="7444" width="2.875" style="290" customWidth="1"/>
    <col min="7445" max="7445" width="8.5" style="290" customWidth="1"/>
    <col min="7446" max="7446" width="9.75" style="290" bestFit="1" customWidth="1"/>
    <col min="7447" max="7449" width="8.5" style="290" customWidth="1"/>
    <col min="7450" max="7450" width="8.75" style="290" customWidth="1"/>
    <col min="7451" max="7451" width="8.875" style="290" customWidth="1"/>
    <col min="7452" max="7452" width="13.75" style="290" bestFit="1" customWidth="1"/>
    <col min="7453" max="7453" width="7.5" style="290" customWidth="1"/>
    <col min="7454" max="7454" width="3.125" style="290"/>
    <col min="7455" max="7455" width="11.25" style="290" bestFit="1" customWidth="1"/>
    <col min="7456" max="7458" width="3.125" style="290"/>
    <col min="7459" max="7459" width="6" style="290" bestFit="1" customWidth="1"/>
    <col min="7460" max="7680" width="3.125" style="290"/>
    <col min="7681" max="7681" width="3.75" style="290" customWidth="1"/>
    <col min="7682" max="7682" width="9.5" style="290" customWidth="1"/>
    <col min="7683" max="7683" width="7.125" style="290" customWidth="1"/>
    <col min="7684" max="7684" width="23.5" style="290" customWidth="1"/>
    <col min="7685" max="7694" width="2.875" style="290" customWidth="1"/>
    <col min="7695" max="7695" width="3.125" style="290"/>
    <col min="7696" max="7700" width="2.875" style="290" customWidth="1"/>
    <col min="7701" max="7701" width="8.5" style="290" customWidth="1"/>
    <col min="7702" max="7702" width="9.75" style="290" bestFit="1" customWidth="1"/>
    <col min="7703" max="7705" width="8.5" style="290" customWidth="1"/>
    <col min="7706" max="7706" width="8.75" style="290" customWidth="1"/>
    <col min="7707" max="7707" width="8.875" style="290" customWidth="1"/>
    <col min="7708" max="7708" width="13.75" style="290" bestFit="1" customWidth="1"/>
    <col min="7709" max="7709" width="7.5" style="290" customWidth="1"/>
    <col min="7710" max="7710" width="3.125" style="290"/>
    <col min="7711" max="7711" width="11.25" style="290" bestFit="1" customWidth="1"/>
    <col min="7712" max="7714" width="3.125" style="290"/>
    <col min="7715" max="7715" width="6" style="290" bestFit="1" customWidth="1"/>
    <col min="7716" max="7936" width="3.125" style="290"/>
    <col min="7937" max="7937" width="3.75" style="290" customWidth="1"/>
    <col min="7938" max="7938" width="9.5" style="290" customWidth="1"/>
    <col min="7939" max="7939" width="7.125" style="290" customWidth="1"/>
    <col min="7940" max="7940" width="23.5" style="290" customWidth="1"/>
    <col min="7941" max="7950" width="2.875" style="290" customWidth="1"/>
    <col min="7951" max="7951" width="3.125" style="290"/>
    <col min="7952" max="7956" width="2.875" style="290" customWidth="1"/>
    <col min="7957" max="7957" width="8.5" style="290" customWidth="1"/>
    <col min="7958" max="7958" width="9.75" style="290" bestFit="1" customWidth="1"/>
    <col min="7959" max="7961" width="8.5" style="290" customWidth="1"/>
    <col min="7962" max="7962" width="8.75" style="290" customWidth="1"/>
    <col min="7963" max="7963" width="8.875" style="290" customWidth="1"/>
    <col min="7964" max="7964" width="13.75" style="290" bestFit="1" customWidth="1"/>
    <col min="7965" max="7965" width="7.5" style="290" customWidth="1"/>
    <col min="7966" max="7966" width="3.125" style="290"/>
    <col min="7967" max="7967" width="11.25" style="290" bestFit="1" customWidth="1"/>
    <col min="7968" max="7970" width="3.125" style="290"/>
    <col min="7971" max="7971" width="6" style="290" bestFit="1" customWidth="1"/>
    <col min="7972" max="8192" width="3.125" style="290"/>
    <col min="8193" max="8193" width="3.75" style="290" customWidth="1"/>
    <col min="8194" max="8194" width="9.5" style="290" customWidth="1"/>
    <col min="8195" max="8195" width="7.125" style="290" customWidth="1"/>
    <col min="8196" max="8196" width="23.5" style="290" customWidth="1"/>
    <col min="8197" max="8206" width="2.875" style="290" customWidth="1"/>
    <col min="8207" max="8207" width="3.125" style="290"/>
    <col min="8208" max="8212" width="2.875" style="290" customWidth="1"/>
    <col min="8213" max="8213" width="8.5" style="290" customWidth="1"/>
    <col min="8214" max="8214" width="9.75" style="290" bestFit="1" customWidth="1"/>
    <col min="8215" max="8217" width="8.5" style="290" customWidth="1"/>
    <col min="8218" max="8218" width="8.75" style="290" customWidth="1"/>
    <col min="8219" max="8219" width="8.875" style="290" customWidth="1"/>
    <col min="8220" max="8220" width="13.75" style="290" bestFit="1" customWidth="1"/>
    <col min="8221" max="8221" width="7.5" style="290" customWidth="1"/>
    <col min="8222" max="8222" width="3.125" style="290"/>
    <col min="8223" max="8223" width="11.25" style="290" bestFit="1" customWidth="1"/>
    <col min="8224" max="8226" width="3.125" style="290"/>
    <col min="8227" max="8227" width="6" style="290" bestFit="1" customWidth="1"/>
    <col min="8228" max="8448" width="3.125" style="290"/>
    <col min="8449" max="8449" width="3.75" style="290" customWidth="1"/>
    <col min="8450" max="8450" width="9.5" style="290" customWidth="1"/>
    <col min="8451" max="8451" width="7.125" style="290" customWidth="1"/>
    <col min="8452" max="8452" width="23.5" style="290" customWidth="1"/>
    <col min="8453" max="8462" width="2.875" style="290" customWidth="1"/>
    <col min="8463" max="8463" width="3.125" style="290"/>
    <col min="8464" max="8468" width="2.875" style="290" customWidth="1"/>
    <col min="8469" max="8469" width="8.5" style="290" customWidth="1"/>
    <col min="8470" max="8470" width="9.75" style="290" bestFit="1" customWidth="1"/>
    <col min="8471" max="8473" width="8.5" style="290" customWidth="1"/>
    <col min="8474" max="8474" width="8.75" style="290" customWidth="1"/>
    <col min="8475" max="8475" width="8.875" style="290" customWidth="1"/>
    <col min="8476" max="8476" width="13.75" style="290" bestFit="1" customWidth="1"/>
    <col min="8477" max="8477" width="7.5" style="290" customWidth="1"/>
    <col min="8478" max="8478" width="3.125" style="290"/>
    <col min="8479" max="8479" width="11.25" style="290" bestFit="1" customWidth="1"/>
    <col min="8480" max="8482" width="3.125" style="290"/>
    <col min="8483" max="8483" width="6" style="290" bestFit="1" customWidth="1"/>
    <col min="8484" max="8704" width="3.125" style="290"/>
    <col min="8705" max="8705" width="3.75" style="290" customWidth="1"/>
    <col min="8706" max="8706" width="9.5" style="290" customWidth="1"/>
    <col min="8707" max="8707" width="7.125" style="290" customWidth="1"/>
    <col min="8708" max="8708" width="23.5" style="290" customWidth="1"/>
    <col min="8709" max="8718" width="2.875" style="290" customWidth="1"/>
    <col min="8719" max="8719" width="3.125" style="290"/>
    <col min="8720" max="8724" width="2.875" style="290" customWidth="1"/>
    <col min="8725" max="8725" width="8.5" style="290" customWidth="1"/>
    <col min="8726" max="8726" width="9.75" style="290" bestFit="1" customWidth="1"/>
    <col min="8727" max="8729" width="8.5" style="290" customWidth="1"/>
    <col min="8730" max="8730" width="8.75" style="290" customWidth="1"/>
    <col min="8731" max="8731" width="8.875" style="290" customWidth="1"/>
    <col min="8732" max="8732" width="13.75" style="290" bestFit="1" customWidth="1"/>
    <col min="8733" max="8733" width="7.5" style="290" customWidth="1"/>
    <col min="8734" max="8734" width="3.125" style="290"/>
    <col min="8735" max="8735" width="11.25" style="290" bestFit="1" customWidth="1"/>
    <col min="8736" max="8738" width="3.125" style="290"/>
    <col min="8739" max="8739" width="6" style="290" bestFit="1" customWidth="1"/>
    <col min="8740" max="8960" width="3.125" style="290"/>
    <col min="8961" max="8961" width="3.75" style="290" customWidth="1"/>
    <col min="8962" max="8962" width="9.5" style="290" customWidth="1"/>
    <col min="8963" max="8963" width="7.125" style="290" customWidth="1"/>
    <col min="8964" max="8964" width="23.5" style="290" customWidth="1"/>
    <col min="8965" max="8974" width="2.875" style="290" customWidth="1"/>
    <col min="8975" max="8975" width="3.125" style="290"/>
    <col min="8976" max="8980" width="2.875" style="290" customWidth="1"/>
    <col min="8981" max="8981" width="8.5" style="290" customWidth="1"/>
    <col min="8982" max="8982" width="9.75" style="290" bestFit="1" customWidth="1"/>
    <col min="8983" max="8985" width="8.5" style="290" customWidth="1"/>
    <col min="8986" max="8986" width="8.75" style="290" customWidth="1"/>
    <col min="8987" max="8987" width="8.875" style="290" customWidth="1"/>
    <col min="8988" max="8988" width="13.75" style="290" bestFit="1" customWidth="1"/>
    <col min="8989" max="8989" width="7.5" style="290" customWidth="1"/>
    <col min="8990" max="8990" width="3.125" style="290"/>
    <col min="8991" max="8991" width="11.25" style="290" bestFit="1" customWidth="1"/>
    <col min="8992" max="8994" width="3.125" style="290"/>
    <col min="8995" max="8995" width="6" style="290" bestFit="1" customWidth="1"/>
    <col min="8996" max="9216" width="3.125" style="290"/>
    <col min="9217" max="9217" width="3.75" style="290" customWidth="1"/>
    <col min="9218" max="9218" width="9.5" style="290" customWidth="1"/>
    <col min="9219" max="9219" width="7.125" style="290" customWidth="1"/>
    <col min="9220" max="9220" width="23.5" style="290" customWidth="1"/>
    <col min="9221" max="9230" width="2.875" style="290" customWidth="1"/>
    <col min="9231" max="9231" width="3.125" style="290"/>
    <col min="9232" max="9236" width="2.875" style="290" customWidth="1"/>
    <col min="9237" max="9237" width="8.5" style="290" customWidth="1"/>
    <col min="9238" max="9238" width="9.75" style="290" bestFit="1" customWidth="1"/>
    <col min="9239" max="9241" width="8.5" style="290" customWidth="1"/>
    <col min="9242" max="9242" width="8.75" style="290" customWidth="1"/>
    <col min="9243" max="9243" width="8.875" style="290" customWidth="1"/>
    <col min="9244" max="9244" width="13.75" style="290" bestFit="1" customWidth="1"/>
    <col min="9245" max="9245" width="7.5" style="290" customWidth="1"/>
    <col min="9246" max="9246" width="3.125" style="290"/>
    <col min="9247" max="9247" width="11.25" style="290" bestFit="1" customWidth="1"/>
    <col min="9248" max="9250" width="3.125" style="290"/>
    <col min="9251" max="9251" width="6" style="290" bestFit="1" customWidth="1"/>
    <col min="9252" max="9472" width="3.125" style="290"/>
    <col min="9473" max="9473" width="3.75" style="290" customWidth="1"/>
    <col min="9474" max="9474" width="9.5" style="290" customWidth="1"/>
    <col min="9475" max="9475" width="7.125" style="290" customWidth="1"/>
    <col min="9476" max="9476" width="23.5" style="290" customWidth="1"/>
    <col min="9477" max="9486" width="2.875" style="290" customWidth="1"/>
    <col min="9487" max="9487" width="3.125" style="290"/>
    <col min="9488" max="9492" width="2.875" style="290" customWidth="1"/>
    <col min="9493" max="9493" width="8.5" style="290" customWidth="1"/>
    <col min="9494" max="9494" width="9.75" style="290" bestFit="1" customWidth="1"/>
    <col min="9495" max="9497" width="8.5" style="290" customWidth="1"/>
    <col min="9498" max="9498" width="8.75" style="290" customWidth="1"/>
    <col min="9499" max="9499" width="8.875" style="290" customWidth="1"/>
    <col min="9500" max="9500" width="13.75" style="290" bestFit="1" customWidth="1"/>
    <col min="9501" max="9501" width="7.5" style="290" customWidth="1"/>
    <col min="9502" max="9502" width="3.125" style="290"/>
    <col min="9503" max="9503" width="11.25" style="290" bestFit="1" customWidth="1"/>
    <col min="9504" max="9506" width="3.125" style="290"/>
    <col min="9507" max="9507" width="6" style="290" bestFit="1" customWidth="1"/>
    <col min="9508" max="9728" width="3.125" style="290"/>
    <col min="9729" max="9729" width="3.75" style="290" customWidth="1"/>
    <col min="9730" max="9730" width="9.5" style="290" customWidth="1"/>
    <col min="9731" max="9731" width="7.125" style="290" customWidth="1"/>
    <col min="9732" max="9732" width="23.5" style="290" customWidth="1"/>
    <col min="9733" max="9742" width="2.875" style="290" customWidth="1"/>
    <col min="9743" max="9743" width="3.125" style="290"/>
    <col min="9744" max="9748" width="2.875" style="290" customWidth="1"/>
    <col min="9749" max="9749" width="8.5" style="290" customWidth="1"/>
    <col min="9750" max="9750" width="9.75" style="290" bestFit="1" customWidth="1"/>
    <col min="9751" max="9753" width="8.5" style="290" customWidth="1"/>
    <col min="9754" max="9754" width="8.75" style="290" customWidth="1"/>
    <col min="9755" max="9755" width="8.875" style="290" customWidth="1"/>
    <col min="9756" max="9756" width="13.75" style="290" bestFit="1" customWidth="1"/>
    <col min="9757" max="9757" width="7.5" style="290" customWidth="1"/>
    <col min="9758" max="9758" width="3.125" style="290"/>
    <col min="9759" max="9759" width="11.25" style="290" bestFit="1" customWidth="1"/>
    <col min="9760" max="9762" width="3.125" style="290"/>
    <col min="9763" max="9763" width="6" style="290" bestFit="1" customWidth="1"/>
    <col min="9764" max="9984" width="3.125" style="290"/>
    <col min="9985" max="9985" width="3.75" style="290" customWidth="1"/>
    <col min="9986" max="9986" width="9.5" style="290" customWidth="1"/>
    <col min="9987" max="9987" width="7.125" style="290" customWidth="1"/>
    <col min="9988" max="9988" width="23.5" style="290" customWidth="1"/>
    <col min="9989" max="9998" width="2.875" style="290" customWidth="1"/>
    <col min="9999" max="9999" width="3.125" style="290"/>
    <col min="10000" max="10004" width="2.875" style="290" customWidth="1"/>
    <col min="10005" max="10005" width="8.5" style="290" customWidth="1"/>
    <col min="10006" max="10006" width="9.75" style="290" bestFit="1" customWidth="1"/>
    <col min="10007" max="10009" width="8.5" style="290" customWidth="1"/>
    <col min="10010" max="10010" width="8.75" style="290" customWidth="1"/>
    <col min="10011" max="10011" width="8.875" style="290" customWidth="1"/>
    <col min="10012" max="10012" width="13.75" style="290" bestFit="1" customWidth="1"/>
    <col min="10013" max="10013" width="7.5" style="290" customWidth="1"/>
    <col min="10014" max="10014" width="3.125" style="290"/>
    <col min="10015" max="10015" width="11.25" style="290" bestFit="1" customWidth="1"/>
    <col min="10016" max="10018" width="3.125" style="290"/>
    <col min="10019" max="10019" width="6" style="290" bestFit="1" customWidth="1"/>
    <col min="10020" max="10240" width="3.125" style="290"/>
    <col min="10241" max="10241" width="3.75" style="290" customWidth="1"/>
    <col min="10242" max="10242" width="9.5" style="290" customWidth="1"/>
    <col min="10243" max="10243" width="7.125" style="290" customWidth="1"/>
    <col min="10244" max="10244" width="23.5" style="290" customWidth="1"/>
    <col min="10245" max="10254" width="2.875" style="290" customWidth="1"/>
    <col min="10255" max="10255" width="3.125" style="290"/>
    <col min="10256" max="10260" width="2.875" style="290" customWidth="1"/>
    <col min="10261" max="10261" width="8.5" style="290" customWidth="1"/>
    <col min="10262" max="10262" width="9.75" style="290" bestFit="1" customWidth="1"/>
    <col min="10263" max="10265" width="8.5" style="290" customWidth="1"/>
    <col min="10266" max="10266" width="8.75" style="290" customWidth="1"/>
    <col min="10267" max="10267" width="8.875" style="290" customWidth="1"/>
    <col min="10268" max="10268" width="13.75" style="290" bestFit="1" customWidth="1"/>
    <col min="10269" max="10269" width="7.5" style="290" customWidth="1"/>
    <col min="10270" max="10270" width="3.125" style="290"/>
    <col min="10271" max="10271" width="11.25" style="290" bestFit="1" customWidth="1"/>
    <col min="10272" max="10274" width="3.125" style="290"/>
    <col min="10275" max="10275" width="6" style="290" bestFit="1" customWidth="1"/>
    <col min="10276" max="10496" width="3.125" style="290"/>
    <col min="10497" max="10497" width="3.75" style="290" customWidth="1"/>
    <col min="10498" max="10498" width="9.5" style="290" customWidth="1"/>
    <col min="10499" max="10499" width="7.125" style="290" customWidth="1"/>
    <col min="10500" max="10500" width="23.5" style="290" customWidth="1"/>
    <col min="10501" max="10510" width="2.875" style="290" customWidth="1"/>
    <col min="10511" max="10511" width="3.125" style="290"/>
    <col min="10512" max="10516" width="2.875" style="290" customWidth="1"/>
    <col min="10517" max="10517" width="8.5" style="290" customWidth="1"/>
    <col min="10518" max="10518" width="9.75" style="290" bestFit="1" customWidth="1"/>
    <col min="10519" max="10521" width="8.5" style="290" customWidth="1"/>
    <col min="10522" max="10522" width="8.75" style="290" customWidth="1"/>
    <col min="10523" max="10523" width="8.875" style="290" customWidth="1"/>
    <col min="10524" max="10524" width="13.75" style="290" bestFit="1" customWidth="1"/>
    <col min="10525" max="10525" width="7.5" style="290" customWidth="1"/>
    <col min="10526" max="10526" width="3.125" style="290"/>
    <col min="10527" max="10527" width="11.25" style="290" bestFit="1" customWidth="1"/>
    <col min="10528" max="10530" width="3.125" style="290"/>
    <col min="10531" max="10531" width="6" style="290" bestFit="1" customWidth="1"/>
    <col min="10532" max="10752" width="3.125" style="290"/>
    <col min="10753" max="10753" width="3.75" style="290" customWidth="1"/>
    <col min="10754" max="10754" width="9.5" style="290" customWidth="1"/>
    <col min="10755" max="10755" width="7.125" style="290" customWidth="1"/>
    <col min="10756" max="10756" width="23.5" style="290" customWidth="1"/>
    <col min="10757" max="10766" width="2.875" style="290" customWidth="1"/>
    <col min="10767" max="10767" width="3.125" style="290"/>
    <col min="10768" max="10772" width="2.875" style="290" customWidth="1"/>
    <col min="10773" max="10773" width="8.5" style="290" customWidth="1"/>
    <col min="10774" max="10774" width="9.75" style="290" bestFit="1" customWidth="1"/>
    <col min="10775" max="10777" width="8.5" style="290" customWidth="1"/>
    <col min="10778" max="10778" width="8.75" style="290" customWidth="1"/>
    <col min="10779" max="10779" width="8.875" style="290" customWidth="1"/>
    <col min="10780" max="10780" width="13.75" style="290" bestFit="1" customWidth="1"/>
    <col min="10781" max="10781" width="7.5" style="290" customWidth="1"/>
    <col min="10782" max="10782" width="3.125" style="290"/>
    <col min="10783" max="10783" width="11.25" style="290" bestFit="1" customWidth="1"/>
    <col min="10784" max="10786" width="3.125" style="290"/>
    <col min="10787" max="10787" width="6" style="290" bestFit="1" customWidth="1"/>
    <col min="10788" max="11008" width="3.125" style="290"/>
    <col min="11009" max="11009" width="3.75" style="290" customWidth="1"/>
    <col min="11010" max="11010" width="9.5" style="290" customWidth="1"/>
    <col min="11011" max="11011" width="7.125" style="290" customWidth="1"/>
    <col min="11012" max="11012" width="23.5" style="290" customWidth="1"/>
    <col min="11013" max="11022" width="2.875" style="290" customWidth="1"/>
    <col min="11023" max="11023" width="3.125" style="290"/>
    <col min="11024" max="11028" width="2.875" style="290" customWidth="1"/>
    <col min="11029" max="11029" width="8.5" style="290" customWidth="1"/>
    <col min="11030" max="11030" width="9.75" style="290" bestFit="1" customWidth="1"/>
    <col min="11031" max="11033" width="8.5" style="290" customWidth="1"/>
    <col min="11034" max="11034" width="8.75" style="290" customWidth="1"/>
    <col min="11035" max="11035" width="8.875" style="290" customWidth="1"/>
    <col min="11036" max="11036" width="13.75" style="290" bestFit="1" customWidth="1"/>
    <col min="11037" max="11037" width="7.5" style="290" customWidth="1"/>
    <col min="11038" max="11038" width="3.125" style="290"/>
    <col min="11039" max="11039" width="11.25" style="290" bestFit="1" customWidth="1"/>
    <col min="11040" max="11042" width="3.125" style="290"/>
    <col min="11043" max="11043" width="6" style="290" bestFit="1" customWidth="1"/>
    <col min="11044" max="11264" width="3.125" style="290"/>
    <col min="11265" max="11265" width="3.75" style="290" customWidth="1"/>
    <col min="11266" max="11266" width="9.5" style="290" customWidth="1"/>
    <col min="11267" max="11267" width="7.125" style="290" customWidth="1"/>
    <col min="11268" max="11268" width="23.5" style="290" customWidth="1"/>
    <col min="11269" max="11278" width="2.875" style="290" customWidth="1"/>
    <col min="11279" max="11279" width="3.125" style="290"/>
    <col min="11280" max="11284" width="2.875" style="290" customWidth="1"/>
    <col min="11285" max="11285" width="8.5" style="290" customWidth="1"/>
    <col min="11286" max="11286" width="9.75" style="290" bestFit="1" customWidth="1"/>
    <col min="11287" max="11289" width="8.5" style="290" customWidth="1"/>
    <col min="11290" max="11290" width="8.75" style="290" customWidth="1"/>
    <col min="11291" max="11291" width="8.875" style="290" customWidth="1"/>
    <col min="11292" max="11292" width="13.75" style="290" bestFit="1" customWidth="1"/>
    <col min="11293" max="11293" width="7.5" style="290" customWidth="1"/>
    <col min="11294" max="11294" width="3.125" style="290"/>
    <col min="11295" max="11295" width="11.25" style="290" bestFit="1" customWidth="1"/>
    <col min="11296" max="11298" width="3.125" style="290"/>
    <col min="11299" max="11299" width="6" style="290" bestFit="1" customWidth="1"/>
    <col min="11300" max="11520" width="3.125" style="290"/>
    <col min="11521" max="11521" width="3.75" style="290" customWidth="1"/>
    <col min="11522" max="11522" width="9.5" style="290" customWidth="1"/>
    <col min="11523" max="11523" width="7.125" style="290" customWidth="1"/>
    <col min="11524" max="11524" width="23.5" style="290" customWidth="1"/>
    <col min="11525" max="11534" width="2.875" style="290" customWidth="1"/>
    <col min="11535" max="11535" width="3.125" style="290"/>
    <col min="11536" max="11540" width="2.875" style="290" customWidth="1"/>
    <col min="11541" max="11541" width="8.5" style="290" customWidth="1"/>
    <col min="11542" max="11542" width="9.75" style="290" bestFit="1" customWidth="1"/>
    <col min="11543" max="11545" width="8.5" style="290" customWidth="1"/>
    <col min="11546" max="11546" width="8.75" style="290" customWidth="1"/>
    <col min="11547" max="11547" width="8.875" style="290" customWidth="1"/>
    <col min="11548" max="11548" width="13.75" style="290" bestFit="1" customWidth="1"/>
    <col min="11549" max="11549" width="7.5" style="290" customWidth="1"/>
    <col min="11550" max="11550" width="3.125" style="290"/>
    <col min="11551" max="11551" width="11.25" style="290" bestFit="1" customWidth="1"/>
    <col min="11552" max="11554" width="3.125" style="290"/>
    <col min="11555" max="11555" width="6" style="290" bestFit="1" customWidth="1"/>
    <col min="11556" max="11776" width="3.125" style="290"/>
    <col min="11777" max="11777" width="3.75" style="290" customWidth="1"/>
    <col min="11778" max="11778" width="9.5" style="290" customWidth="1"/>
    <col min="11779" max="11779" width="7.125" style="290" customWidth="1"/>
    <col min="11780" max="11780" width="23.5" style="290" customWidth="1"/>
    <col min="11781" max="11790" width="2.875" style="290" customWidth="1"/>
    <col min="11791" max="11791" width="3.125" style="290"/>
    <col min="11792" max="11796" width="2.875" style="290" customWidth="1"/>
    <col min="11797" max="11797" width="8.5" style="290" customWidth="1"/>
    <col min="11798" max="11798" width="9.75" style="290" bestFit="1" customWidth="1"/>
    <col min="11799" max="11801" width="8.5" style="290" customWidth="1"/>
    <col min="11802" max="11802" width="8.75" style="290" customWidth="1"/>
    <col min="11803" max="11803" width="8.875" style="290" customWidth="1"/>
    <col min="11804" max="11804" width="13.75" style="290" bestFit="1" customWidth="1"/>
    <col min="11805" max="11805" width="7.5" style="290" customWidth="1"/>
    <col min="11806" max="11806" width="3.125" style="290"/>
    <col min="11807" max="11807" width="11.25" style="290" bestFit="1" customWidth="1"/>
    <col min="11808" max="11810" width="3.125" style="290"/>
    <col min="11811" max="11811" width="6" style="290" bestFit="1" customWidth="1"/>
    <col min="11812" max="12032" width="3.125" style="290"/>
    <col min="12033" max="12033" width="3.75" style="290" customWidth="1"/>
    <col min="12034" max="12034" width="9.5" style="290" customWidth="1"/>
    <col min="12035" max="12035" width="7.125" style="290" customWidth="1"/>
    <col min="12036" max="12036" width="23.5" style="290" customWidth="1"/>
    <col min="12037" max="12046" width="2.875" style="290" customWidth="1"/>
    <col min="12047" max="12047" width="3.125" style="290"/>
    <col min="12048" max="12052" width="2.875" style="290" customWidth="1"/>
    <col min="12053" max="12053" width="8.5" style="290" customWidth="1"/>
    <col min="12054" max="12054" width="9.75" style="290" bestFit="1" customWidth="1"/>
    <col min="12055" max="12057" width="8.5" style="290" customWidth="1"/>
    <col min="12058" max="12058" width="8.75" style="290" customWidth="1"/>
    <col min="12059" max="12059" width="8.875" style="290" customWidth="1"/>
    <col min="12060" max="12060" width="13.75" style="290" bestFit="1" customWidth="1"/>
    <col min="12061" max="12061" width="7.5" style="290" customWidth="1"/>
    <col min="12062" max="12062" width="3.125" style="290"/>
    <col min="12063" max="12063" width="11.25" style="290" bestFit="1" customWidth="1"/>
    <col min="12064" max="12066" width="3.125" style="290"/>
    <col min="12067" max="12067" width="6" style="290" bestFit="1" customWidth="1"/>
    <col min="12068" max="12288" width="3.125" style="290"/>
    <col min="12289" max="12289" width="3.75" style="290" customWidth="1"/>
    <col min="12290" max="12290" width="9.5" style="290" customWidth="1"/>
    <col min="12291" max="12291" width="7.125" style="290" customWidth="1"/>
    <col min="12292" max="12292" width="23.5" style="290" customWidth="1"/>
    <col min="12293" max="12302" width="2.875" style="290" customWidth="1"/>
    <col min="12303" max="12303" width="3.125" style="290"/>
    <col min="12304" max="12308" width="2.875" style="290" customWidth="1"/>
    <col min="12309" max="12309" width="8.5" style="290" customWidth="1"/>
    <col min="12310" max="12310" width="9.75" style="290" bestFit="1" customWidth="1"/>
    <col min="12311" max="12313" width="8.5" style="290" customWidth="1"/>
    <col min="12314" max="12314" width="8.75" style="290" customWidth="1"/>
    <col min="12315" max="12315" width="8.875" style="290" customWidth="1"/>
    <col min="12316" max="12316" width="13.75" style="290" bestFit="1" customWidth="1"/>
    <col min="12317" max="12317" width="7.5" style="290" customWidth="1"/>
    <col min="12318" max="12318" width="3.125" style="290"/>
    <col min="12319" max="12319" width="11.25" style="290" bestFit="1" customWidth="1"/>
    <col min="12320" max="12322" width="3.125" style="290"/>
    <col min="12323" max="12323" width="6" style="290" bestFit="1" customWidth="1"/>
    <col min="12324" max="12544" width="3.125" style="290"/>
    <col min="12545" max="12545" width="3.75" style="290" customWidth="1"/>
    <col min="12546" max="12546" width="9.5" style="290" customWidth="1"/>
    <col min="12547" max="12547" width="7.125" style="290" customWidth="1"/>
    <col min="12548" max="12548" width="23.5" style="290" customWidth="1"/>
    <col min="12549" max="12558" width="2.875" style="290" customWidth="1"/>
    <col min="12559" max="12559" width="3.125" style="290"/>
    <col min="12560" max="12564" width="2.875" style="290" customWidth="1"/>
    <col min="12565" max="12565" width="8.5" style="290" customWidth="1"/>
    <col min="12566" max="12566" width="9.75" style="290" bestFit="1" customWidth="1"/>
    <col min="12567" max="12569" width="8.5" style="290" customWidth="1"/>
    <col min="12570" max="12570" width="8.75" style="290" customWidth="1"/>
    <col min="12571" max="12571" width="8.875" style="290" customWidth="1"/>
    <col min="12572" max="12572" width="13.75" style="290" bestFit="1" customWidth="1"/>
    <col min="12573" max="12573" width="7.5" style="290" customWidth="1"/>
    <col min="12574" max="12574" width="3.125" style="290"/>
    <col min="12575" max="12575" width="11.25" style="290" bestFit="1" customWidth="1"/>
    <col min="12576" max="12578" width="3.125" style="290"/>
    <col min="12579" max="12579" width="6" style="290" bestFit="1" customWidth="1"/>
    <col min="12580" max="12800" width="3.125" style="290"/>
    <col min="12801" max="12801" width="3.75" style="290" customWidth="1"/>
    <col min="12802" max="12802" width="9.5" style="290" customWidth="1"/>
    <col min="12803" max="12803" width="7.125" style="290" customWidth="1"/>
    <col min="12804" max="12804" width="23.5" style="290" customWidth="1"/>
    <col min="12805" max="12814" width="2.875" style="290" customWidth="1"/>
    <col min="12815" max="12815" width="3.125" style="290"/>
    <col min="12816" max="12820" width="2.875" style="290" customWidth="1"/>
    <col min="12821" max="12821" width="8.5" style="290" customWidth="1"/>
    <col min="12822" max="12822" width="9.75" style="290" bestFit="1" customWidth="1"/>
    <col min="12823" max="12825" width="8.5" style="290" customWidth="1"/>
    <col min="12826" max="12826" width="8.75" style="290" customWidth="1"/>
    <col min="12827" max="12827" width="8.875" style="290" customWidth="1"/>
    <col min="12828" max="12828" width="13.75" style="290" bestFit="1" customWidth="1"/>
    <col min="12829" max="12829" width="7.5" style="290" customWidth="1"/>
    <col min="12830" max="12830" width="3.125" style="290"/>
    <col min="12831" max="12831" width="11.25" style="290" bestFit="1" customWidth="1"/>
    <col min="12832" max="12834" width="3.125" style="290"/>
    <col min="12835" max="12835" width="6" style="290" bestFit="1" customWidth="1"/>
    <col min="12836" max="13056" width="3.125" style="290"/>
    <col min="13057" max="13057" width="3.75" style="290" customWidth="1"/>
    <col min="13058" max="13058" width="9.5" style="290" customWidth="1"/>
    <col min="13059" max="13059" width="7.125" style="290" customWidth="1"/>
    <col min="13060" max="13060" width="23.5" style="290" customWidth="1"/>
    <col min="13061" max="13070" width="2.875" style="290" customWidth="1"/>
    <col min="13071" max="13071" width="3.125" style="290"/>
    <col min="13072" max="13076" width="2.875" style="290" customWidth="1"/>
    <col min="13077" max="13077" width="8.5" style="290" customWidth="1"/>
    <col min="13078" max="13078" width="9.75" style="290" bestFit="1" customWidth="1"/>
    <col min="13079" max="13081" width="8.5" style="290" customWidth="1"/>
    <col min="13082" max="13082" width="8.75" style="290" customWidth="1"/>
    <col min="13083" max="13083" width="8.875" style="290" customWidth="1"/>
    <col min="13084" max="13084" width="13.75" style="290" bestFit="1" customWidth="1"/>
    <col min="13085" max="13085" width="7.5" style="290" customWidth="1"/>
    <col min="13086" max="13086" width="3.125" style="290"/>
    <col min="13087" max="13087" width="11.25" style="290" bestFit="1" customWidth="1"/>
    <col min="13088" max="13090" width="3.125" style="290"/>
    <col min="13091" max="13091" width="6" style="290" bestFit="1" customWidth="1"/>
    <col min="13092" max="13312" width="3.125" style="290"/>
    <col min="13313" max="13313" width="3.75" style="290" customWidth="1"/>
    <col min="13314" max="13314" width="9.5" style="290" customWidth="1"/>
    <col min="13315" max="13315" width="7.125" style="290" customWidth="1"/>
    <col min="13316" max="13316" width="23.5" style="290" customWidth="1"/>
    <col min="13317" max="13326" width="2.875" style="290" customWidth="1"/>
    <col min="13327" max="13327" width="3.125" style="290"/>
    <col min="13328" max="13332" width="2.875" style="290" customWidth="1"/>
    <col min="13333" max="13333" width="8.5" style="290" customWidth="1"/>
    <col min="13334" max="13334" width="9.75" style="290" bestFit="1" customWidth="1"/>
    <col min="13335" max="13337" width="8.5" style="290" customWidth="1"/>
    <col min="13338" max="13338" width="8.75" style="290" customWidth="1"/>
    <col min="13339" max="13339" width="8.875" style="290" customWidth="1"/>
    <col min="13340" max="13340" width="13.75" style="290" bestFit="1" customWidth="1"/>
    <col min="13341" max="13341" width="7.5" style="290" customWidth="1"/>
    <col min="13342" max="13342" width="3.125" style="290"/>
    <col min="13343" max="13343" width="11.25" style="290" bestFit="1" customWidth="1"/>
    <col min="13344" max="13346" width="3.125" style="290"/>
    <col min="13347" max="13347" width="6" style="290" bestFit="1" customWidth="1"/>
    <col min="13348" max="13568" width="3.125" style="290"/>
    <col min="13569" max="13569" width="3.75" style="290" customWidth="1"/>
    <col min="13570" max="13570" width="9.5" style="290" customWidth="1"/>
    <col min="13571" max="13571" width="7.125" style="290" customWidth="1"/>
    <col min="13572" max="13572" width="23.5" style="290" customWidth="1"/>
    <col min="13573" max="13582" width="2.875" style="290" customWidth="1"/>
    <col min="13583" max="13583" width="3.125" style="290"/>
    <col min="13584" max="13588" width="2.875" style="290" customWidth="1"/>
    <col min="13589" max="13589" width="8.5" style="290" customWidth="1"/>
    <col min="13590" max="13590" width="9.75" style="290" bestFit="1" customWidth="1"/>
    <col min="13591" max="13593" width="8.5" style="290" customWidth="1"/>
    <col min="13594" max="13594" width="8.75" style="290" customWidth="1"/>
    <col min="13595" max="13595" width="8.875" style="290" customWidth="1"/>
    <col min="13596" max="13596" width="13.75" style="290" bestFit="1" customWidth="1"/>
    <col min="13597" max="13597" width="7.5" style="290" customWidth="1"/>
    <col min="13598" max="13598" width="3.125" style="290"/>
    <col min="13599" max="13599" width="11.25" style="290" bestFit="1" customWidth="1"/>
    <col min="13600" max="13602" width="3.125" style="290"/>
    <col min="13603" max="13603" width="6" style="290" bestFit="1" customWidth="1"/>
    <col min="13604" max="13824" width="3.125" style="290"/>
    <col min="13825" max="13825" width="3.75" style="290" customWidth="1"/>
    <col min="13826" max="13826" width="9.5" style="290" customWidth="1"/>
    <col min="13827" max="13827" width="7.125" style="290" customWidth="1"/>
    <col min="13828" max="13828" width="23.5" style="290" customWidth="1"/>
    <col min="13829" max="13838" width="2.875" style="290" customWidth="1"/>
    <col min="13839" max="13839" width="3.125" style="290"/>
    <col min="13840" max="13844" width="2.875" style="290" customWidth="1"/>
    <col min="13845" max="13845" width="8.5" style="290" customWidth="1"/>
    <col min="13846" max="13846" width="9.75" style="290" bestFit="1" customWidth="1"/>
    <col min="13847" max="13849" width="8.5" style="290" customWidth="1"/>
    <col min="13850" max="13850" width="8.75" style="290" customWidth="1"/>
    <col min="13851" max="13851" width="8.875" style="290" customWidth="1"/>
    <col min="13852" max="13852" width="13.75" style="290" bestFit="1" customWidth="1"/>
    <col min="13853" max="13853" width="7.5" style="290" customWidth="1"/>
    <col min="13854" max="13854" width="3.125" style="290"/>
    <col min="13855" max="13855" width="11.25" style="290" bestFit="1" customWidth="1"/>
    <col min="13856" max="13858" width="3.125" style="290"/>
    <col min="13859" max="13859" width="6" style="290" bestFit="1" customWidth="1"/>
    <col min="13860" max="14080" width="3.125" style="290"/>
    <col min="14081" max="14081" width="3.75" style="290" customWidth="1"/>
    <col min="14082" max="14082" width="9.5" style="290" customWidth="1"/>
    <col min="14083" max="14083" width="7.125" style="290" customWidth="1"/>
    <col min="14084" max="14084" width="23.5" style="290" customWidth="1"/>
    <col min="14085" max="14094" width="2.875" style="290" customWidth="1"/>
    <col min="14095" max="14095" width="3.125" style="290"/>
    <col min="14096" max="14100" width="2.875" style="290" customWidth="1"/>
    <col min="14101" max="14101" width="8.5" style="290" customWidth="1"/>
    <col min="14102" max="14102" width="9.75" style="290" bestFit="1" customWidth="1"/>
    <col min="14103" max="14105" width="8.5" style="290" customWidth="1"/>
    <col min="14106" max="14106" width="8.75" style="290" customWidth="1"/>
    <col min="14107" max="14107" width="8.875" style="290" customWidth="1"/>
    <col min="14108" max="14108" width="13.75" style="290" bestFit="1" customWidth="1"/>
    <col min="14109" max="14109" width="7.5" style="290" customWidth="1"/>
    <col min="14110" max="14110" width="3.125" style="290"/>
    <col min="14111" max="14111" width="11.25" style="290" bestFit="1" customWidth="1"/>
    <col min="14112" max="14114" width="3.125" style="290"/>
    <col min="14115" max="14115" width="6" style="290" bestFit="1" customWidth="1"/>
    <col min="14116" max="14336" width="3.125" style="290"/>
    <col min="14337" max="14337" width="3.75" style="290" customWidth="1"/>
    <col min="14338" max="14338" width="9.5" style="290" customWidth="1"/>
    <col min="14339" max="14339" width="7.125" style="290" customWidth="1"/>
    <col min="14340" max="14340" width="23.5" style="290" customWidth="1"/>
    <col min="14341" max="14350" width="2.875" style="290" customWidth="1"/>
    <col min="14351" max="14351" width="3.125" style="290"/>
    <col min="14352" max="14356" width="2.875" style="290" customWidth="1"/>
    <col min="14357" max="14357" width="8.5" style="290" customWidth="1"/>
    <col min="14358" max="14358" width="9.75" style="290" bestFit="1" customWidth="1"/>
    <col min="14359" max="14361" width="8.5" style="290" customWidth="1"/>
    <col min="14362" max="14362" width="8.75" style="290" customWidth="1"/>
    <col min="14363" max="14363" width="8.875" style="290" customWidth="1"/>
    <col min="14364" max="14364" width="13.75" style="290" bestFit="1" customWidth="1"/>
    <col min="14365" max="14365" width="7.5" style="290" customWidth="1"/>
    <col min="14366" max="14366" width="3.125" style="290"/>
    <col min="14367" max="14367" width="11.25" style="290" bestFit="1" customWidth="1"/>
    <col min="14368" max="14370" width="3.125" style="290"/>
    <col min="14371" max="14371" width="6" style="290" bestFit="1" customWidth="1"/>
    <col min="14372" max="14592" width="3.125" style="290"/>
    <col min="14593" max="14593" width="3.75" style="290" customWidth="1"/>
    <col min="14594" max="14594" width="9.5" style="290" customWidth="1"/>
    <col min="14595" max="14595" width="7.125" style="290" customWidth="1"/>
    <col min="14596" max="14596" width="23.5" style="290" customWidth="1"/>
    <col min="14597" max="14606" width="2.875" style="290" customWidth="1"/>
    <col min="14607" max="14607" width="3.125" style="290"/>
    <col min="14608" max="14612" width="2.875" style="290" customWidth="1"/>
    <col min="14613" max="14613" width="8.5" style="290" customWidth="1"/>
    <col min="14614" max="14614" width="9.75" style="290" bestFit="1" customWidth="1"/>
    <col min="14615" max="14617" width="8.5" style="290" customWidth="1"/>
    <col min="14618" max="14618" width="8.75" style="290" customWidth="1"/>
    <col min="14619" max="14619" width="8.875" style="290" customWidth="1"/>
    <col min="14620" max="14620" width="13.75" style="290" bestFit="1" customWidth="1"/>
    <col min="14621" max="14621" width="7.5" style="290" customWidth="1"/>
    <col min="14622" max="14622" width="3.125" style="290"/>
    <col min="14623" max="14623" width="11.25" style="290" bestFit="1" customWidth="1"/>
    <col min="14624" max="14626" width="3.125" style="290"/>
    <col min="14627" max="14627" width="6" style="290" bestFit="1" customWidth="1"/>
    <col min="14628" max="14848" width="3.125" style="290"/>
    <col min="14849" max="14849" width="3.75" style="290" customWidth="1"/>
    <col min="14850" max="14850" width="9.5" style="290" customWidth="1"/>
    <col min="14851" max="14851" width="7.125" style="290" customWidth="1"/>
    <col min="14852" max="14852" width="23.5" style="290" customWidth="1"/>
    <col min="14853" max="14862" width="2.875" style="290" customWidth="1"/>
    <col min="14863" max="14863" width="3.125" style="290"/>
    <col min="14864" max="14868" width="2.875" style="290" customWidth="1"/>
    <col min="14869" max="14869" width="8.5" style="290" customWidth="1"/>
    <col min="14870" max="14870" width="9.75" style="290" bestFit="1" customWidth="1"/>
    <col min="14871" max="14873" width="8.5" style="290" customWidth="1"/>
    <col min="14874" max="14874" width="8.75" style="290" customWidth="1"/>
    <col min="14875" max="14875" width="8.875" style="290" customWidth="1"/>
    <col min="14876" max="14876" width="13.75" style="290" bestFit="1" customWidth="1"/>
    <col min="14877" max="14877" width="7.5" style="290" customWidth="1"/>
    <col min="14878" max="14878" width="3.125" style="290"/>
    <col min="14879" max="14879" width="11.25" style="290" bestFit="1" customWidth="1"/>
    <col min="14880" max="14882" width="3.125" style="290"/>
    <col min="14883" max="14883" width="6" style="290" bestFit="1" customWidth="1"/>
    <col min="14884" max="15104" width="3.125" style="290"/>
    <col min="15105" max="15105" width="3.75" style="290" customWidth="1"/>
    <col min="15106" max="15106" width="9.5" style="290" customWidth="1"/>
    <col min="15107" max="15107" width="7.125" style="290" customWidth="1"/>
    <col min="15108" max="15108" width="23.5" style="290" customWidth="1"/>
    <col min="15109" max="15118" width="2.875" style="290" customWidth="1"/>
    <col min="15119" max="15119" width="3.125" style="290"/>
    <col min="15120" max="15124" width="2.875" style="290" customWidth="1"/>
    <col min="15125" max="15125" width="8.5" style="290" customWidth="1"/>
    <col min="15126" max="15126" width="9.75" style="290" bestFit="1" customWidth="1"/>
    <col min="15127" max="15129" width="8.5" style="290" customWidth="1"/>
    <col min="15130" max="15130" width="8.75" style="290" customWidth="1"/>
    <col min="15131" max="15131" width="8.875" style="290" customWidth="1"/>
    <col min="15132" max="15132" width="13.75" style="290" bestFit="1" customWidth="1"/>
    <col min="15133" max="15133" width="7.5" style="290" customWidth="1"/>
    <col min="15134" max="15134" width="3.125" style="290"/>
    <col min="15135" max="15135" width="11.25" style="290" bestFit="1" customWidth="1"/>
    <col min="15136" max="15138" width="3.125" style="290"/>
    <col min="15139" max="15139" width="6" style="290" bestFit="1" customWidth="1"/>
    <col min="15140" max="15360" width="3.125" style="290"/>
    <col min="15361" max="15361" width="3.75" style="290" customWidth="1"/>
    <col min="15362" max="15362" width="9.5" style="290" customWidth="1"/>
    <col min="15363" max="15363" width="7.125" style="290" customWidth="1"/>
    <col min="15364" max="15364" width="23.5" style="290" customWidth="1"/>
    <col min="15365" max="15374" width="2.875" style="290" customWidth="1"/>
    <col min="15375" max="15375" width="3.125" style="290"/>
    <col min="15376" max="15380" width="2.875" style="290" customWidth="1"/>
    <col min="15381" max="15381" width="8.5" style="290" customWidth="1"/>
    <col min="15382" max="15382" width="9.75" style="290" bestFit="1" customWidth="1"/>
    <col min="15383" max="15385" width="8.5" style="290" customWidth="1"/>
    <col min="15386" max="15386" width="8.75" style="290" customWidth="1"/>
    <col min="15387" max="15387" width="8.875" style="290" customWidth="1"/>
    <col min="15388" max="15388" width="13.75" style="290" bestFit="1" customWidth="1"/>
    <col min="15389" max="15389" width="7.5" style="290" customWidth="1"/>
    <col min="15390" max="15390" width="3.125" style="290"/>
    <col min="15391" max="15391" width="11.25" style="290" bestFit="1" customWidth="1"/>
    <col min="15392" max="15394" width="3.125" style="290"/>
    <col min="15395" max="15395" width="6" style="290" bestFit="1" customWidth="1"/>
    <col min="15396" max="15616" width="3.125" style="290"/>
    <col min="15617" max="15617" width="3.75" style="290" customWidth="1"/>
    <col min="15618" max="15618" width="9.5" style="290" customWidth="1"/>
    <col min="15619" max="15619" width="7.125" style="290" customWidth="1"/>
    <col min="15620" max="15620" width="23.5" style="290" customWidth="1"/>
    <col min="15621" max="15630" width="2.875" style="290" customWidth="1"/>
    <col min="15631" max="15631" width="3.125" style="290"/>
    <col min="15632" max="15636" width="2.875" style="290" customWidth="1"/>
    <col min="15637" max="15637" width="8.5" style="290" customWidth="1"/>
    <col min="15638" max="15638" width="9.75" style="290" bestFit="1" customWidth="1"/>
    <col min="15639" max="15641" width="8.5" style="290" customWidth="1"/>
    <col min="15642" max="15642" width="8.75" style="290" customWidth="1"/>
    <col min="15643" max="15643" width="8.875" style="290" customWidth="1"/>
    <col min="15644" max="15644" width="13.75" style="290" bestFit="1" customWidth="1"/>
    <col min="15645" max="15645" width="7.5" style="290" customWidth="1"/>
    <col min="15646" max="15646" width="3.125" style="290"/>
    <col min="15647" max="15647" width="11.25" style="290" bestFit="1" customWidth="1"/>
    <col min="15648" max="15650" width="3.125" style="290"/>
    <col min="15651" max="15651" width="6" style="290" bestFit="1" customWidth="1"/>
    <col min="15652" max="15872" width="3.125" style="290"/>
    <col min="15873" max="15873" width="3.75" style="290" customWidth="1"/>
    <col min="15874" max="15874" width="9.5" style="290" customWidth="1"/>
    <col min="15875" max="15875" width="7.125" style="290" customWidth="1"/>
    <col min="15876" max="15876" width="23.5" style="290" customWidth="1"/>
    <col min="15877" max="15886" width="2.875" style="290" customWidth="1"/>
    <col min="15887" max="15887" width="3.125" style="290"/>
    <col min="15888" max="15892" width="2.875" style="290" customWidth="1"/>
    <col min="15893" max="15893" width="8.5" style="290" customWidth="1"/>
    <col min="15894" max="15894" width="9.75" style="290" bestFit="1" customWidth="1"/>
    <col min="15895" max="15897" width="8.5" style="290" customWidth="1"/>
    <col min="15898" max="15898" width="8.75" style="290" customWidth="1"/>
    <col min="15899" max="15899" width="8.875" style="290" customWidth="1"/>
    <col min="15900" max="15900" width="13.75" style="290" bestFit="1" customWidth="1"/>
    <col min="15901" max="15901" width="7.5" style="290" customWidth="1"/>
    <col min="15902" max="15902" width="3.125" style="290"/>
    <col min="15903" max="15903" width="11.25" style="290" bestFit="1" customWidth="1"/>
    <col min="15904" max="15906" width="3.125" style="290"/>
    <col min="15907" max="15907" width="6" style="290" bestFit="1" customWidth="1"/>
    <col min="15908" max="16128" width="3.125" style="290"/>
    <col min="16129" max="16129" width="3.75" style="290" customWidth="1"/>
    <col min="16130" max="16130" width="9.5" style="290" customWidth="1"/>
    <col min="16131" max="16131" width="7.125" style="290" customWidth="1"/>
    <col min="16132" max="16132" width="23.5" style="290" customWidth="1"/>
    <col min="16133" max="16142" width="2.875" style="290" customWidth="1"/>
    <col min="16143" max="16143" width="3.125" style="290"/>
    <col min="16144" max="16148" width="2.875" style="290" customWidth="1"/>
    <col min="16149" max="16149" width="8.5" style="290" customWidth="1"/>
    <col min="16150" max="16150" width="9.75" style="290" bestFit="1" customWidth="1"/>
    <col min="16151" max="16153" width="8.5" style="290" customWidth="1"/>
    <col min="16154" max="16154" width="8.75" style="290" customWidth="1"/>
    <col min="16155" max="16155" width="8.875" style="290" customWidth="1"/>
    <col min="16156" max="16156" width="13.75" style="290" bestFit="1" customWidth="1"/>
    <col min="16157" max="16157" width="7.5" style="290" customWidth="1"/>
    <col min="16158" max="16158" width="3.125" style="290"/>
    <col min="16159" max="16159" width="11.25" style="290" bestFit="1" customWidth="1"/>
    <col min="16160" max="16162" width="3.125" style="290"/>
    <col min="16163" max="16163" width="6" style="290" bestFit="1" customWidth="1"/>
    <col min="16164" max="16384" width="3.125" style="290"/>
  </cols>
  <sheetData>
    <row r="1" spans="1:31" s="239" customFormat="1" ht="20.100000000000001" customHeight="1">
      <c r="A1" s="494" t="s">
        <v>245</v>
      </c>
      <c r="B1" s="534"/>
      <c r="C1" s="237"/>
      <c r="D1" s="537" t="s">
        <v>274</v>
      </c>
      <c r="E1" s="539"/>
      <c r="F1" s="539"/>
      <c r="G1" s="539"/>
      <c r="H1" s="539"/>
      <c r="I1" s="539"/>
      <c r="J1" s="539"/>
      <c r="K1" s="539"/>
      <c r="L1" s="539"/>
      <c r="M1" s="539"/>
      <c r="N1" s="539"/>
      <c r="O1" s="539"/>
      <c r="P1" s="539"/>
      <c r="Q1" s="539"/>
      <c r="R1" s="539"/>
      <c r="S1" s="539"/>
      <c r="T1" s="540"/>
      <c r="U1" s="238" t="s">
        <v>157</v>
      </c>
      <c r="V1" s="543" t="s">
        <v>272</v>
      </c>
      <c r="W1" s="544"/>
      <c r="X1" s="545" t="s">
        <v>246</v>
      </c>
      <c r="Y1" s="546"/>
      <c r="Z1" s="526" t="s">
        <v>193</v>
      </c>
      <c r="AA1" s="526"/>
      <c r="AB1" s="527"/>
    </row>
    <row r="2" spans="1:31" s="239" customFormat="1" ht="20.100000000000001" customHeight="1">
      <c r="A2" s="535"/>
      <c r="B2" s="536"/>
      <c r="C2" s="240"/>
      <c r="D2" s="538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2"/>
      <c r="U2" s="241" t="s">
        <v>158</v>
      </c>
      <c r="V2" s="528" t="s">
        <v>273</v>
      </c>
      <c r="W2" s="529"/>
      <c r="X2" s="530" t="s">
        <v>247</v>
      </c>
      <c r="Y2" s="531"/>
      <c r="Z2" s="532"/>
      <c r="AA2" s="532"/>
      <c r="AB2" s="533"/>
    </row>
    <row r="3" spans="1:31" s="247" customFormat="1" ht="21" customHeight="1">
      <c r="A3" s="517" t="s">
        <v>248</v>
      </c>
      <c r="B3" s="519" t="s">
        <v>249</v>
      </c>
      <c r="C3" s="521" t="s">
        <v>250</v>
      </c>
      <c r="D3" s="242" t="s">
        <v>251</v>
      </c>
      <c r="E3" s="243">
        <v>1</v>
      </c>
      <c r="F3" s="243">
        <v>2</v>
      </c>
      <c r="G3" s="243">
        <v>3</v>
      </c>
      <c r="H3" s="243">
        <v>4</v>
      </c>
      <c r="I3" s="244">
        <v>5</v>
      </c>
      <c r="J3" s="243">
        <v>6</v>
      </c>
      <c r="K3" s="243">
        <v>7</v>
      </c>
      <c r="L3" s="243">
        <v>8</v>
      </c>
      <c r="M3" s="243">
        <v>9</v>
      </c>
      <c r="N3" s="244">
        <v>10</v>
      </c>
      <c r="O3" s="243">
        <v>11</v>
      </c>
      <c r="P3" s="243">
        <v>12</v>
      </c>
      <c r="Q3" s="243">
        <v>13</v>
      </c>
      <c r="R3" s="243">
        <v>14</v>
      </c>
      <c r="S3" s="243">
        <v>15</v>
      </c>
      <c r="T3" s="243"/>
      <c r="U3" s="245" t="s">
        <v>159</v>
      </c>
      <c r="V3" s="522" t="s">
        <v>252</v>
      </c>
      <c r="W3" s="246" t="s">
        <v>253</v>
      </c>
      <c r="X3" s="246" t="s">
        <v>161</v>
      </c>
      <c r="Y3" s="246" t="s">
        <v>162</v>
      </c>
      <c r="Z3" s="524" t="s">
        <v>254</v>
      </c>
      <c r="AA3" s="524" t="s">
        <v>163</v>
      </c>
      <c r="AB3" s="547" t="s">
        <v>167</v>
      </c>
    </row>
    <row r="4" spans="1:31" s="247" customFormat="1" ht="21" customHeight="1">
      <c r="A4" s="518"/>
      <c r="B4" s="520"/>
      <c r="C4" s="521"/>
      <c r="D4" s="248" t="s">
        <v>255</v>
      </c>
      <c r="E4" s="249">
        <v>16</v>
      </c>
      <c r="F4" s="249">
        <v>17</v>
      </c>
      <c r="G4" s="249">
        <v>18</v>
      </c>
      <c r="H4" s="249">
        <v>19</v>
      </c>
      <c r="I4" s="250">
        <v>20</v>
      </c>
      <c r="J4" s="249">
        <v>21</v>
      </c>
      <c r="K4" s="249">
        <v>22</v>
      </c>
      <c r="L4" s="249">
        <v>23</v>
      </c>
      <c r="M4" s="249">
        <v>24</v>
      </c>
      <c r="N4" s="250">
        <v>25</v>
      </c>
      <c r="O4" s="249">
        <v>26</v>
      </c>
      <c r="P4" s="249">
        <v>27</v>
      </c>
      <c r="Q4" s="249">
        <v>28</v>
      </c>
      <c r="R4" s="249">
        <v>29</v>
      </c>
      <c r="S4" s="249">
        <v>30</v>
      </c>
      <c r="T4" s="249">
        <v>31</v>
      </c>
      <c r="U4" s="251" t="s">
        <v>256</v>
      </c>
      <c r="V4" s="523"/>
      <c r="W4" s="252" t="s">
        <v>164</v>
      </c>
      <c r="X4" s="252" t="s">
        <v>160</v>
      </c>
      <c r="Y4" s="252" t="s">
        <v>165</v>
      </c>
      <c r="Z4" s="525"/>
      <c r="AA4" s="525"/>
      <c r="AB4" s="548"/>
    </row>
    <row r="5" spans="1:31" s="261" customFormat="1" ht="21" customHeight="1">
      <c r="A5" s="508">
        <v>1</v>
      </c>
      <c r="B5" s="516" t="s">
        <v>257</v>
      </c>
      <c r="C5" s="511" t="s">
        <v>258</v>
      </c>
      <c r="D5" s="253" t="s">
        <v>259</v>
      </c>
      <c r="E5" s="254"/>
      <c r="F5" s="254"/>
      <c r="G5" s="254"/>
      <c r="H5" s="254"/>
      <c r="I5" s="255"/>
      <c r="J5" s="254"/>
      <c r="K5" s="254"/>
      <c r="L5" s="254"/>
      <c r="M5" s="254"/>
      <c r="N5" s="255"/>
      <c r="O5" s="255"/>
      <c r="P5" s="255"/>
      <c r="Q5" s="254"/>
      <c r="R5" s="254"/>
      <c r="S5" s="254"/>
      <c r="T5" s="254"/>
      <c r="U5" s="256">
        <f>SUM(E5:T5,E6:T6)</f>
        <v>7</v>
      </c>
      <c r="V5" s="513">
        <f>IFERROR(U5*U6,0)</f>
        <v>1190000</v>
      </c>
      <c r="W5" s="257">
        <f>ROUNDDOWN(IF(U6&gt;150000,(U6-150000)*2.7%*U5),-1)</f>
        <v>3780</v>
      </c>
      <c r="X5" s="257">
        <f>ROUNDDOWN(IF(AC5&gt;=8,(V5*4.5%)),-1)*0</f>
        <v>0</v>
      </c>
      <c r="Y5" s="258">
        <f>ROUNDDOWN(V5*0.9%,-1)</f>
        <v>10710</v>
      </c>
      <c r="Z5" s="506">
        <f>SUM(W5:Y6)</f>
        <v>14860</v>
      </c>
      <c r="AA5" s="506">
        <f>V5-Z5</f>
        <v>1175140</v>
      </c>
      <c r="AB5" s="259" t="s">
        <v>260</v>
      </c>
      <c r="AC5" s="260">
        <f>COUNT(E5:T6)</f>
        <v>7</v>
      </c>
      <c r="AE5" s="262" t="s">
        <v>261</v>
      </c>
    </row>
    <row r="6" spans="1:31" s="261" customFormat="1" ht="21" customHeight="1">
      <c r="A6" s="509"/>
      <c r="B6" s="515"/>
      <c r="C6" s="512"/>
      <c r="D6" s="263" t="s">
        <v>262</v>
      </c>
      <c r="E6" s="264">
        <v>1</v>
      </c>
      <c r="F6" s="264">
        <v>1</v>
      </c>
      <c r="G6" s="264">
        <v>1</v>
      </c>
      <c r="H6" s="264"/>
      <c r="I6" s="264"/>
      <c r="J6" s="264"/>
      <c r="K6" s="264"/>
      <c r="L6" s="264"/>
      <c r="M6" s="264">
        <v>1</v>
      </c>
      <c r="N6" s="265">
        <v>1</v>
      </c>
      <c r="O6" s="265"/>
      <c r="P6" s="265"/>
      <c r="Q6" s="265"/>
      <c r="R6" s="265">
        <v>1</v>
      </c>
      <c r="S6" s="265">
        <v>1</v>
      </c>
      <c r="T6" s="264"/>
      <c r="U6" s="266">
        <v>170000</v>
      </c>
      <c r="V6" s="513"/>
      <c r="W6" s="267">
        <f>ROUNDDOWN(W5*10%/10,0)*10</f>
        <v>370</v>
      </c>
      <c r="X6" s="268">
        <f>ROUNDDOWN(IF(AC5&gt;=8,(V5*3.545%)),-1)</f>
        <v>0</v>
      </c>
      <c r="Y6" s="269">
        <f>ROUNDDOWN(X6*12.595%,-1)</f>
        <v>0</v>
      </c>
      <c r="Z6" s="507"/>
      <c r="AA6" s="507"/>
      <c r="AB6" s="270" t="s">
        <v>263</v>
      </c>
      <c r="AC6" s="271"/>
    </row>
    <row r="7" spans="1:31" s="261" customFormat="1" ht="21" customHeight="1">
      <c r="A7" s="508"/>
      <c r="B7" s="510"/>
      <c r="C7" s="511"/>
      <c r="D7" s="253"/>
      <c r="E7" s="254"/>
      <c r="F7" s="254"/>
      <c r="G7" s="254"/>
      <c r="H7" s="254"/>
      <c r="I7" s="255"/>
      <c r="J7" s="254"/>
      <c r="K7" s="254"/>
      <c r="L7" s="254"/>
      <c r="M7" s="254"/>
      <c r="N7" s="255"/>
      <c r="O7" s="255"/>
      <c r="P7" s="255"/>
      <c r="Q7" s="254"/>
      <c r="R7" s="254"/>
      <c r="S7" s="254"/>
      <c r="T7" s="254"/>
      <c r="U7" s="256"/>
      <c r="V7" s="513"/>
      <c r="W7" s="257"/>
      <c r="X7" s="257"/>
      <c r="Y7" s="258"/>
      <c r="Z7" s="506"/>
      <c r="AA7" s="506"/>
      <c r="AB7" s="259" t="s">
        <v>264</v>
      </c>
      <c r="AC7" s="260">
        <f>COUNT(E7:T8)</f>
        <v>0</v>
      </c>
    </row>
    <row r="8" spans="1:31" s="261" customFormat="1" ht="21" customHeight="1">
      <c r="A8" s="509"/>
      <c r="B8" s="510"/>
      <c r="C8" s="512"/>
      <c r="D8" s="263"/>
      <c r="E8" s="264"/>
      <c r="F8" s="264"/>
      <c r="G8" s="264"/>
      <c r="H8" s="264"/>
      <c r="I8" s="264"/>
      <c r="J8" s="264"/>
      <c r="K8" s="264"/>
      <c r="L8" s="264"/>
      <c r="M8" s="264"/>
      <c r="N8" s="265"/>
      <c r="O8" s="265"/>
      <c r="P8" s="265"/>
      <c r="Q8" s="265"/>
      <c r="R8" s="265"/>
      <c r="S8" s="265"/>
      <c r="T8" s="264"/>
      <c r="U8" s="266"/>
      <c r="V8" s="513"/>
      <c r="W8" s="267"/>
      <c r="X8" s="268"/>
      <c r="Y8" s="269"/>
      <c r="Z8" s="507"/>
      <c r="AA8" s="507"/>
      <c r="AB8" s="270" t="s">
        <v>265</v>
      </c>
      <c r="AC8" s="271"/>
      <c r="AE8" s="262"/>
    </row>
    <row r="9" spans="1:31" s="261" customFormat="1" ht="21" customHeight="1">
      <c r="A9" s="508"/>
      <c r="B9" s="516"/>
      <c r="C9" s="511"/>
      <c r="D9" s="253"/>
      <c r="E9" s="254"/>
      <c r="F9" s="254"/>
      <c r="G9" s="254"/>
      <c r="H9" s="254"/>
      <c r="I9" s="255"/>
      <c r="J9" s="254"/>
      <c r="K9" s="254"/>
      <c r="L9" s="254"/>
      <c r="M9" s="254"/>
      <c r="N9" s="255"/>
      <c r="O9" s="255"/>
      <c r="P9" s="255"/>
      <c r="Q9" s="254"/>
      <c r="R9" s="254"/>
      <c r="S9" s="254"/>
      <c r="T9" s="254"/>
      <c r="U9" s="256"/>
      <c r="V9" s="513"/>
      <c r="W9" s="257"/>
      <c r="X9" s="257"/>
      <c r="Y9" s="258"/>
      <c r="Z9" s="506"/>
      <c r="AA9" s="506"/>
      <c r="AB9" s="272"/>
      <c r="AC9" s="260">
        <f>COUNT(E9:T10)</f>
        <v>0</v>
      </c>
      <c r="AE9" s="262"/>
    </row>
    <row r="10" spans="1:31" s="261" customFormat="1" ht="21" customHeight="1">
      <c r="A10" s="509"/>
      <c r="B10" s="515"/>
      <c r="C10" s="512"/>
      <c r="D10" s="263"/>
      <c r="E10" s="264"/>
      <c r="F10" s="264"/>
      <c r="G10" s="264"/>
      <c r="H10" s="264"/>
      <c r="I10" s="264"/>
      <c r="J10" s="264"/>
      <c r="K10" s="264"/>
      <c r="L10" s="264"/>
      <c r="M10" s="264"/>
      <c r="N10" s="265"/>
      <c r="O10" s="265"/>
      <c r="P10" s="265"/>
      <c r="Q10" s="265"/>
      <c r="R10" s="265"/>
      <c r="S10" s="265"/>
      <c r="T10" s="264"/>
      <c r="U10" s="266"/>
      <c r="V10" s="513"/>
      <c r="W10" s="267"/>
      <c r="X10" s="268"/>
      <c r="Y10" s="269"/>
      <c r="Z10" s="507"/>
      <c r="AA10" s="507"/>
      <c r="AB10" s="273"/>
      <c r="AC10" s="271"/>
      <c r="AE10" s="262"/>
    </row>
    <row r="11" spans="1:31" s="261" customFormat="1" ht="21" customHeight="1">
      <c r="A11" s="508"/>
      <c r="B11" s="510"/>
      <c r="C11" s="511"/>
      <c r="D11" s="253"/>
      <c r="E11" s="255"/>
      <c r="F11" s="254"/>
      <c r="G11" s="255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6"/>
      <c r="V11" s="513"/>
      <c r="W11" s="257"/>
      <c r="X11" s="257"/>
      <c r="Y11" s="258"/>
      <c r="Z11" s="506"/>
      <c r="AA11" s="506"/>
      <c r="AB11" s="272"/>
      <c r="AC11" s="260">
        <f>COUNT(E11:T12)</f>
        <v>0</v>
      </c>
      <c r="AE11" s="262"/>
    </row>
    <row r="12" spans="1:31" s="261" customFormat="1" ht="21" customHeight="1">
      <c r="A12" s="509"/>
      <c r="B12" s="510"/>
      <c r="C12" s="512"/>
      <c r="D12" s="263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6"/>
      <c r="V12" s="513"/>
      <c r="W12" s="267"/>
      <c r="X12" s="268"/>
      <c r="Y12" s="269"/>
      <c r="Z12" s="507"/>
      <c r="AA12" s="507"/>
      <c r="AB12" s="273"/>
      <c r="AC12" s="271"/>
      <c r="AE12" s="274"/>
    </row>
    <row r="13" spans="1:31" s="261" customFormat="1" ht="21" customHeight="1">
      <c r="A13" s="508"/>
      <c r="B13" s="510"/>
      <c r="C13" s="511"/>
      <c r="D13" s="253"/>
      <c r="E13" s="255"/>
      <c r="F13" s="254"/>
      <c r="G13" s="255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6"/>
      <c r="V13" s="513"/>
      <c r="W13" s="257"/>
      <c r="X13" s="257"/>
      <c r="Y13" s="258"/>
      <c r="Z13" s="506"/>
      <c r="AA13" s="506"/>
      <c r="AB13" s="272"/>
      <c r="AC13" s="260">
        <f>COUNT(E13:T14)</f>
        <v>0</v>
      </c>
    </row>
    <row r="14" spans="1:31" s="261" customFormat="1" ht="21" customHeight="1">
      <c r="A14" s="509"/>
      <c r="B14" s="510"/>
      <c r="C14" s="512"/>
      <c r="D14" s="263"/>
      <c r="E14" s="264"/>
      <c r="F14" s="264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4"/>
      <c r="S14" s="264"/>
      <c r="T14" s="264"/>
      <c r="U14" s="266"/>
      <c r="V14" s="513"/>
      <c r="W14" s="267"/>
      <c r="X14" s="268"/>
      <c r="Y14" s="269"/>
      <c r="Z14" s="507"/>
      <c r="AA14" s="507"/>
      <c r="AB14" s="273"/>
      <c r="AC14" s="271"/>
      <c r="AE14" s="275"/>
    </row>
    <row r="15" spans="1:31" s="261" customFormat="1" ht="21" customHeight="1">
      <c r="A15" s="508"/>
      <c r="B15" s="510"/>
      <c r="C15" s="511"/>
      <c r="D15" s="253"/>
      <c r="E15" s="255"/>
      <c r="F15" s="254"/>
      <c r="G15" s="255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6"/>
      <c r="V15" s="513"/>
      <c r="W15" s="257"/>
      <c r="X15" s="257"/>
      <c r="Y15" s="258"/>
      <c r="Z15" s="506"/>
      <c r="AA15" s="506"/>
      <c r="AB15" s="272"/>
      <c r="AC15" s="260">
        <f>COUNT(E15:T16)</f>
        <v>0</v>
      </c>
      <c r="AE15" s="275"/>
    </row>
    <row r="16" spans="1:31" s="261" customFormat="1" ht="21" customHeight="1">
      <c r="A16" s="509"/>
      <c r="B16" s="510"/>
      <c r="C16" s="512"/>
      <c r="D16" s="263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6"/>
      <c r="V16" s="513"/>
      <c r="W16" s="267"/>
      <c r="X16" s="268"/>
      <c r="Y16" s="269"/>
      <c r="Z16" s="507"/>
      <c r="AA16" s="507"/>
      <c r="AB16" s="273"/>
      <c r="AC16" s="271"/>
    </row>
    <row r="17" spans="1:16163" s="261" customFormat="1" ht="21" customHeight="1">
      <c r="A17" s="508"/>
      <c r="B17" s="510"/>
      <c r="C17" s="511"/>
      <c r="D17" s="253"/>
      <c r="E17" s="255"/>
      <c r="F17" s="254"/>
      <c r="G17" s="255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6"/>
      <c r="V17" s="513"/>
      <c r="W17" s="257"/>
      <c r="X17" s="257"/>
      <c r="Y17" s="258"/>
      <c r="Z17" s="506"/>
      <c r="AA17" s="506"/>
      <c r="AB17" s="272"/>
      <c r="AC17" s="260">
        <f>COUNT(E17:T18)</f>
        <v>0</v>
      </c>
      <c r="AE17" s="275"/>
    </row>
    <row r="18" spans="1:16163" s="261" customFormat="1" ht="21" customHeight="1">
      <c r="A18" s="509"/>
      <c r="B18" s="510"/>
      <c r="C18" s="512"/>
      <c r="D18" s="263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  <c r="Q18" s="264"/>
      <c r="R18" s="264"/>
      <c r="S18" s="264"/>
      <c r="T18" s="264"/>
      <c r="U18" s="266"/>
      <c r="V18" s="513"/>
      <c r="W18" s="267"/>
      <c r="X18" s="268"/>
      <c r="Y18" s="269"/>
      <c r="Z18" s="507"/>
      <c r="AA18" s="507"/>
      <c r="AB18" s="273"/>
      <c r="AC18" s="271"/>
    </row>
    <row r="19" spans="1:16163" s="261" customFormat="1" ht="21" customHeight="1">
      <c r="A19" s="508"/>
      <c r="B19" s="510"/>
      <c r="C19" s="511"/>
      <c r="D19" s="253"/>
      <c r="E19" s="255"/>
      <c r="F19" s="254"/>
      <c r="G19" s="255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6"/>
      <c r="V19" s="513"/>
      <c r="W19" s="257"/>
      <c r="X19" s="257"/>
      <c r="Y19" s="258"/>
      <c r="Z19" s="506"/>
      <c r="AA19" s="506"/>
      <c r="AB19" s="272"/>
      <c r="AC19" s="260">
        <f>COUNT(E19:T20)</f>
        <v>0</v>
      </c>
      <c r="AE19" s="275"/>
    </row>
    <row r="20" spans="1:16163" s="261" customFormat="1" ht="21" customHeight="1">
      <c r="A20" s="509"/>
      <c r="B20" s="510"/>
      <c r="C20" s="512"/>
      <c r="D20" s="276"/>
      <c r="E20" s="264"/>
      <c r="F20" s="264"/>
      <c r="G20" s="264"/>
      <c r="H20" s="264"/>
      <c r="I20" s="264"/>
      <c r="J20" s="264"/>
      <c r="K20" s="264"/>
      <c r="L20" s="264"/>
      <c r="M20" s="264"/>
      <c r="N20" s="264"/>
      <c r="O20" s="264"/>
      <c r="P20" s="264"/>
      <c r="Q20" s="264"/>
      <c r="R20" s="264"/>
      <c r="S20" s="264"/>
      <c r="T20" s="264"/>
      <c r="U20" s="266"/>
      <c r="V20" s="513"/>
      <c r="W20" s="267"/>
      <c r="X20" s="268"/>
      <c r="Y20" s="269"/>
      <c r="Z20" s="507"/>
      <c r="AA20" s="507"/>
      <c r="AB20" s="273"/>
      <c r="AC20" s="271"/>
    </row>
    <row r="21" spans="1:16163" s="261" customFormat="1" ht="21" customHeight="1">
      <c r="A21" s="508"/>
      <c r="B21" s="510"/>
      <c r="C21" s="511"/>
      <c r="D21" s="253"/>
      <c r="E21" s="255"/>
      <c r="F21" s="254"/>
      <c r="G21" s="255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6"/>
      <c r="V21" s="513"/>
      <c r="W21" s="257"/>
      <c r="X21" s="257"/>
      <c r="Y21" s="258"/>
      <c r="Z21" s="506"/>
      <c r="AA21" s="506"/>
      <c r="AB21" s="272"/>
      <c r="AC21" s="260">
        <f>COUNT(E21:T22)</f>
        <v>0</v>
      </c>
    </row>
    <row r="22" spans="1:16163" s="261" customFormat="1" ht="21" customHeight="1">
      <c r="A22" s="509"/>
      <c r="B22" s="510"/>
      <c r="C22" s="512"/>
      <c r="D22" s="276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66"/>
      <c r="V22" s="513"/>
      <c r="W22" s="267"/>
      <c r="X22" s="268"/>
      <c r="Y22" s="269"/>
      <c r="Z22" s="507"/>
      <c r="AA22" s="507"/>
      <c r="AB22" s="273"/>
      <c r="AC22" s="271"/>
    </row>
    <row r="23" spans="1:16163" s="261" customFormat="1" ht="21" customHeight="1">
      <c r="A23" s="508"/>
      <c r="B23" s="510"/>
      <c r="C23" s="511"/>
      <c r="D23" s="253"/>
      <c r="E23" s="277"/>
      <c r="F23" s="278"/>
      <c r="G23" s="277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9"/>
      <c r="U23" s="256"/>
      <c r="V23" s="513"/>
      <c r="W23" s="257"/>
      <c r="X23" s="257"/>
      <c r="Y23" s="258"/>
      <c r="Z23" s="506"/>
      <c r="AA23" s="506"/>
      <c r="AB23" s="272"/>
      <c r="AC23" s="260">
        <f>COUNT(E23:T24)</f>
        <v>0</v>
      </c>
    </row>
    <row r="24" spans="1:16163" s="261" customFormat="1" ht="21" customHeight="1">
      <c r="A24" s="509"/>
      <c r="B24" s="510"/>
      <c r="C24" s="512"/>
      <c r="D24" s="276"/>
      <c r="E24" s="280"/>
      <c r="F24" s="281"/>
      <c r="G24" s="280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66"/>
      <c r="V24" s="513"/>
      <c r="W24" s="267"/>
      <c r="X24" s="268"/>
      <c r="Y24" s="269"/>
      <c r="Z24" s="507"/>
      <c r="AA24" s="507"/>
      <c r="AB24" s="273"/>
      <c r="AC24" s="271"/>
    </row>
    <row r="25" spans="1:16163" s="261" customFormat="1" ht="21" customHeight="1">
      <c r="A25" s="508"/>
      <c r="B25" s="510"/>
      <c r="C25" s="511"/>
      <c r="D25" s="253"/>
      <c r="E25" s="255"/>
      <c r="F25" s="254"/>
      <c r="G25" s="255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6"/>
      <c r="V25" s="513"/>
      <c r="W25" s="257"/>
      <c r="X25" s="257"/>
      <c r="Y25" s="258"/>
      <c r="Z25" s="506"/>
      <c r="AA25" s="506"/>
      <c r="AB25" s="272"/>
      <c r="AC25" s="260">
        <f>COUNT(E25:T26)</f>
        <v>0</v>
      </c>
    </row>
    <row r="26" spans="1:16163" s="261" customFormat="1" ht="21" customHeight="1">
      <c r="A26" s="509"/>
      <c r="B26" s="510"/>
      <c r="C26" s="512"/>
      <c r="D26" s="282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264"/>
      <c r="R26" s="264"/>
      <c r="S26" s="264"/>
      <c r="T26" s="264"/>
      <c r="U26" s="266"/>
      <c r="V26" s="513"/>
      <c r="W26" s="267"/>
      <c r="X26" s="268"/>
      <c r="Y26" s="269"/>
      <c r="Z26" s="507"/>
      <c r="AA26" s="507"/>
      <c r="AB26" s="273"/>
      <c r="AC26" s="271"/>
    </row>
    <row r="27" spans="1:16163" s="261" customFormat="1" ht="21" customHeight="1">
      <c r="A27" s="508"/>
      <c r="B27" s="514"/>
      <c r="C27" s="511"/>
      <c r="D27" s="253"/>
      <c r="E27" s="254"/>
      <c r="F27" s="254"/>
      <c r="G27" s="255"/>
      <c r="H27" s="254"/>
      <c r="I27" s="255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6"/>
      <c r="V27" s="513"/>
      <c r="W27" s="257"/>
      <c r="X27" s="257"/>
      <c r="Y27" s="258"/>
      <c r="Z27" s="506"/>
      <c r="AA27" s="506"/>
      <c r="AB27" s="272"/>
      <c r="AC27" s="260">
        <f>COUNT(E27:T28)</f>
        <v>0</v>
      </c>
    </row>
    <row r="28" spans="1:16163" s="261" customFormat="1" ht="21" customHeight="1" thickBot="1">
      <c r="A28" s="509"/>
      <c r="B28" s="515"/>
      <c r="C28" s="512"/>
      <c r="D28" s="282"/>
      <c r="E28" s="264"/>
      <c r="F28" s="264"/>
      <c r="G28" s="264"/>
      <c r="H28" s="264"/>
      <c r="I28" s="264"/>
      <c r="J28" s="264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6"/>
      <c r="V28" s="513"/>
      <c r="W28" s="267"/>
      <c r="X28" s="268"/>
      <c r="Y28" s="269"/>
      <c r="Z28" s="507"/>
      <c r="AA28" s="507"/>
      <c r="AB28" s="273"/>
      <c r="AC28" s="271"/>
    </row>
    <row r="29" spans="1:16163" s="286" customFormat="1" ht="21" customHeight="1">
      <c r="A29" s="494" t="s">
        <v>266</v>
      </c>
      <c r="B29" s="495"/>
      <c r="C29" s="495"/>
      <c r="D29" s="496"/>
      <c r="E29" s="283">
        <f>E5+E7+E9+E11+E13+E15+E17+E19+E21+E23+E25+E27</f>
        <v>0</v>
      </c>
      <c r="F29" s="283">
        <f t="shared" ref="F29:T29" si="0">F5+F7+F9+F11+F13+F15+F17+F19+F21+F23+F25+F27</f>
        <v>0</v>
      </c>
      <c r="G29" s="283">
        <f t="shared" si="0"/>
        <v>0</v>
      </c>
      <c r="H29" s="283">
        <f t="shared" si="0"/>
        <v>0</v>
      </c>
      <c r="I29" s="283">
        <f t="shared" si="0"/>
        <v>0</v>
      </c>
      <c r="J29" s="283">
        <f t="shared" si="0"/>
        <v>0</v>
      </c>
      <c r="K29" s="283">
        <f t="shared" si="0"/>
        <v>0</v>
      </c>
      <c r="L29" s="283">
        <f t="shared" si="0"/>
        <v>0</v>
      </c>
      <c r="M29" s="283">
        <f t="shared" si="0"/>
        <v>0</v>
      </c>
      <c r="N29" s="283">
        <f t="shared" si="0"/>
        <v>0</v>
      </c>
      <c r="O29" s="283">
        <f t="shared" si="0"/>
        <v>0</v>
      </c>
      <c r="P29" s="283">
        <f t="shared" si="0"/>
        <v>0</v>
      </c>
      <c r="Q29" s="283">
        <f t="shared" si="0"/>
        <v>0</v>
      </c>
      <c r="R29" s="283">
        <f t="shared" si="0"/>
        <v>0</v>
      </c>
      <c r="S29" s="283">
        <f t="shared" si="0"/>
        <v>0</v>
      </c>
      <c r="T29" s="283">
        <f t="shared" si="0"/>
        <v>0</v>
      </c>
      <c r="U29" s="500">
        <f>E29+F29+G29+H29+I29+J29+K29+L29+M29+N29+O29+P29+Q29+R29+S29+T29+E30+F30+G30+H30+I30+J30+K30+L30+M30+N30+O30+P30+Q30+R30+S30+T30</f>
        <v>7</v>
      </c>
      <c r="V29" s="502">
        <f>SUM(V5:V28)</f>
        <v>1190000</v>
      </c>
      <c r="W29" s="284">
        <f t="shared" ref="W29:Y30" si="1">SUM(W5,W7,W9,W11,W13,W15,W17,W19,W21,W23,W25,W27)</f>
        <v>3780</v>
      </c>
      <c r="X29" s="284">
        <f t="shared" si="1"/>
        <v>0</v>
      </c>
      <c r="Y29" s="284">
        <f t="shared" si="1"/>
        <v>10710</v>
      </c>
      <c r="Z29" s="502">
        <f>SUM(W29:Y30)</f>
        <v>14860</v>
      </c>
      <c r="AA29" s="502">
        <f>V29-Z29</f>
        <v>1175140</v>
      </c>
      <c r="AB29" s="504"/>
      <c r="AC29" s="285"/>
    </row>
    <row r="30" spans="1:16163" s="286" customFormat="1" ht="21" customHeight="1" thickBot="1">
      <c r="A30" s="497"/>
      <c r="B30" s="498"/>
      <c r="C30" s="498"/>
      <c r="D30" s="499"/>
      <c r="E30" s="287">
        <f>E6+E8+E10+E12+E14+E16+E18+E20+E22+E24+E26+E28</f>
        <v>1</v>
      </c>
      <c r="F30" s="287">
        <f t="shared" ref="F30:T30" si="2">F6+F8+F10+F12+F14+F16+F18+F20+F22+F24+F26+F28</f>
        <v>1</v>
      </c>
      <c r="G30" s="287">
        <f t="shared" si="2"/>
        <v>1</v>
      </c>
      <c r="H30" s="287">
        <f t="shared" si="2"/>
        <v>0</v>
      </c>
      <c r="I30" s="287">
        <f t="shared" si="2"/>
        <v>0</v>
      </c>
      <c r="J30" s="287">
        <f t="shared" si="2"/>
        <v>0</v>
      </c>
      <c r="K30" s="287">
        <f t="shared" si="2"/>
        <v>0</v>
      </c>
      <c r="L30" s="287">
        <f t="shared" si="2"/>
        <v>0</v>
      </c>
      <c r="M30" s="287">
        <f t="shared" si="2"/>
        <v>1</v>
      </c>
      <c r="N30" s="287">
        <f t="shared" si="2"/>
        <v>1</v>
      </c>
      <c r="O30" s="287">
        <f t="shared" si="2"/>
        <v>0</v>
      </c>
      <c r="P30" s="287">
        <f t="shared" si="2"/>
        <v>0</v>
      </c>
      <c r="Q30" s="287">
        <f t="shared" si="2"/>
        <v>0</v>
      </c>
      <c r="R30" s="287">
        <f t="shared" si="2"/>
        <v>1</v>
      </c>
      <c r="S30" s="287">
        <f t="shared" si="2"/>
        <v>1</v>
      </c>
      <c r="T30" s="287">
        <f t="shared" si="2"/>
        <v>0</v>
      </c>
      <c r="U30" s="501"/>
      <c r="V30" s="503"/>
      <c r="W30" s="288">
        <f t="shared" si="1"/>
        <v>370</v>
      </c>
      <c r="X30" s="288">
        <f t="shared" si="1"/>
        <v>0</v>
      </c>
      <c r="Y30" s="288">
        <f t="shared" si="1"/>
        <v>0</v>
      </c>
      <c r="Z30" s="503"/>
      <c r="AA30" s="503"/>
      <c r="AB30" s="505"/>
      <c r="AC30" s="239"/>
    </row>
    <row r="31" spans="1:16163" s="289" customFormat="1" ht="18.75" customHeight="1">
      <c r="A31" s="492"/>
      <c r="B31" s="493"/>
      <c r="C31" s="493"/>
      <c r="D31" s="493"/>
      <c r="E31" s="493"/>
      <c r="F31" s="493"/>
      <c r="G31" s="493"/>
      <c r="H31" s="493"/>
      <c r="I31" s="493"/>
      <c r="J31" s="493"/>
      <c r="K31" s="493"/>
      <c r="L31" s="493"/>
      <c r="M31" s="493"/>
      <c r="N31" s="493"/>
      <c r="O31" s="493"/>
      <c r="P31" s="493"/>
      <c r="Q31" s="493"/>
      <c r="R31" s="493"/>
      <c r="S31" s="493"/>
      <c r="T31" s="493"/>
      <c r="U31" s="493"/>
      <c r="V31" s="493"/>
      <c r="W31" s="493"/>
      <c r="X31" s="493"/>
      <c r="Y31" s="493"/>
      <c r="Z31" s="493"/>
      <c r="AA31" s="493"/>
      <c r="AB31" s="493"/>
      <c r="AD31" s="290"/>
      <c r="AE31" s="290"/>
      <c r="AF31" s="290"/>
      <c r="AG31" s="290"/>
      <c r="AH31" s="290"/>
      <c r="AI31" s="290"/>
      <c r="AJ31" s="290"/>
      <c r="AK31" s="290"/>
      <c r="AL31" s="290"/>
      <c r="AM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M31" s="290"/>
      <c r="BN31" s="290"/>
      <c r="BO31" s="290"/>
      <c r="BP31" s="290"/>
      <c r="BQ31" s="290"/>
      <c r="BR31" s="290"/>
      <c r="BS31" s="290"/>
      <c r="BT31" s="290"/>
      <c r="BU31" s="290"/>
      <c r="BV31" s="290"/>
      <c r="BW31" s="290"/>
      <c r="BX31" s="290"/>
      <c r="BY31" s="290"/>
      <c r="BZ31" s="290"/>
      <c r="CA31" s="290"/>
      <c r="CB31" s="290"/>
      <c r="CC31" s="290"/>
      <c r="CD31" s="290"/>
      <c r="CE31" s="290"/>
      <c r="CF31" s="290"/>
      <c r="CG31" s="290"/>
      <c r="CH31" s="290"/>
      <c r="CI31" s="290"/>
      <c r="CJ31" s="290"/>
      <c r="CK31" s="290"/>
      <c r="CL31" s="290"/>
      <c r="CM31" s="290"/>
      <c r="CN31" s="290"/>
      <c r="CO31" s="290"/>
      <c r="CP31" s="290"/>
      <c r="CQ31" s="290"/>
      <c r="CR31" s="290"/>
      <c r="CS31" s="290"/>
      <c r="CT31" s="290"/>
      <c r="CU31" s="290"/>
      <c r="CV31" s="290"/>
      <c r="CW31" s="290"/>
      <c r="CX31" s="290"/>
      <c r="CY31" s="290"/>
      <c r="CZ31" s="290"/>
      <c r="DA31" s="290"/>
      <c r="DB31" s="290"/>
      <c r="DC31" s="290"/>
      <c r="DD31" s="290"/>
      <c r="DE31" s="290"/>
      <c r="DF31" s="290"/>
      <c r="DG31" s="290"/>
      <c r="DH31" s="290"/>
      <c r="DI31" s="290"/>
      <c r="DJ31" s="290"/>
      <c r="DK31" s="290"/>
      <c r="DL31" s="290"/>
      <c r="DM31" s="290"/>
      <c r="DN31" s="290"/>
      <c r="DO31" s="290"/>
      <c r="DP31" s="290"/>
      <c r="DQ31" s="290"/>
      <c r="DR31" s="290"/>
      <c r="DS31" s="290"/>
      <c r="DT31" s="290"/>
      <c r="DU31" s="290"/>
      <c r="DV31" s="290"/>
      <c r="DW31" s="290"/>
      <c r="DX31" s="290"/>
      <c r="DY31" s="290"/>
      <c r="DZ31" s="290"/>
      <c r="EA31" s="290"/>
      <c r="EB31" s="290"/>
      <c r="EC31" s="290"/>
      <c r="ED31" s="290"/>
      <c r="EE31" s="290"/>
      <c r="EF31" s="290"/>
      <c r="EG31" s="290"/>
      <c r="EH31" s="290"/>
      <c r="EI31" s="290"/>
      <c r="EJ31" s="290"/>
      <c r="EK31" s="290"/>
      <c r="EL31" s="290"/>
      <c r="EM31" s="290"/>
      <c r="EN31" s="290"/>
      <c r="EO31" s="290"/>
      <c r="EP31" s="290"/>
      <c r="EQ31" s="290"/>
      <c r="ER31" s="290"/>
      <c r="ES31" s="290"/>
      <c r="ET31" s="290"/>
      <c r="EU31" s="290"/>
      <c r="EV31" s="290"/>
      <c r="EW31" s="290"/>
      <c r="EX31" s="290"/>
      <c r="EY31" s="290"/>
      <c r="EZ31" s="290"/>
      <c r="FA31" s="290"/>
      <c r="FB31" s="290"/>
      <c r="FC31" s="290"/>
      <c r="FD31" s="290"/>
      <c r="FE31" s="290"/>
      <c r="FF31" s="290"/>
      <c r="FG31" s="290"/>
      <c r="FH31" s="290"/>
      <c r="FI31" s="290"/>
      <c r="FJ31" s="290"/>
      <c r="FK31" s="290"/>
      <c r="FL31" s="290"/>
      <c r="FM31" s="290"/>
      <c r="FN31" s="290"/>
      <c r="FO31" s="290"/>
      <c r="FP31" s="290"/>
      <c r="FQ31" s="290"/>
      <c r="FR31" s="290"/>
      <c r="FS31" s="290"/>
      <c r="FT31" s="290"/>
      <c r="FU31" s="290"/>
      <c r="FV31" s="290"/>
      <c r="FW31" s="290"/>
      <c r="FX31" s="290"/>
      <c r="FY31" s="290"/>
      <c r="FZ31" s="290"/>
      <c r="GA31" s="290"/>
      <c r="GB31" s="290"/>
      <c r="GC31" s="290"/>
      <c r="GD31" s="290"/>
      <c r="GE31" s="290"/>
      <c r="GF31" s="290"/>
      <c r="GG31" s="290"/>
      <c r="GH31" s="290"/>
      <c r="GI31" s="290"/>
      <c r="GJ31" s="290"/>
      <c r="GK31" s="290"/>
      <c r="GL31" s="290"/>
      <c r="GM31" s="290"/>
      <c r="GN31" s="290"/>
      <c r="GO31" s="290"/>
      <c r="GP31" s="290"/>
      <c r="GQ31" s="290"/>
      <c r="GR31" s="290"/>
      <c r="GS31" s="290"/>
      <c r="GT31" s="290"/>
      <c r="GU31" s="290"/>
      <c r="GV31" s="290"/>
      <c r="GW31" s="290"/>
      <c r="GX31" s="290"/>
      <c r="GY31" s="290"/>
      <c r="GZ31" s="290"/>
      <c r="HA31" s="290"/>
      <c r="HB31" s="290"/>
      <c r="HC31" s="290"/>
      <c r="HD31" s="290"/>
      <c r="HE31" s="290"/>
      <c r="HF31" s="290"/>
      <c r="HG31" s="290"/>
      <c r="HH31" s="290"/>
      <c r="HI31" s="290"/>
      <c r="HJ31" s="290"/>
      <c r="HK31" s="290"/>
      <c r="HL31" s="290"/>
      <c r="HM31" s="290"/>
      <c r="HN31" s="290"/>
      <c r="HO31" s="290"/>
      <c r="HP31" s="290"/>
      <c r="HQ31" s="290"/>
      <c r="HR31" s="290"/>
      <c r="HS31" s="290"/>
      <c r="HT31" s="290"/>
      <c r="HU31" s="290"/>
      <c r="HV31" s="290"/>
      <c r="HW31" s="290"/>
      <c r="HX31" s="290"/>
      <c r="HY31" s="290"/>
      <c r="HZ31" s="290"/>
      <c r="IA31" s="290"/>
      <c r="IB31" s="290"/>
      <c r="IC31" s="290"/>
      <c r="ID31" s="290"/>
      <c r="IE31" s="290"/>
      <c r="IF31" s="290"/>
      <c r="IG31" s="290"/>
      <c r="IH31" s="290"/>
      <c r="II31" s="290"/>
      <c r="IJ31" s="290"/>
      <c r="IK31" s="290"/>
      <c r="IL31" s="290"/>
      <c r="IM31" s="290"/>
      <c r="IN31" s="290"/>
      <c r="IO31" s="290"/>
      <c r="IP31" s="290"/>
      <c r="IQ31" s="290"/>
      <c r="IR31" s="290"/>
      <c r="IS31" s="290"/>
      <c r="IT31" s="290"/>
      <c r="IU31" s="290"/>
      <c r="IV31" s="290"/>
      <c r="IW31" s="290"/>
      <c r="IX31" s="290"/>
      <c r="IY31" s="290"/>
      <c r="IZ31" s="290"/>
      <c r="JA31" s="290"/>
      <c r="JB31" s="290"/>
      <c r="JC31" s="290"/>
      <c r="JD31" s="290"/>
      <c r="JE31" s="290"/>
      <c r="JF31" s="290"/>
      <c r="JG31" s="290"/>
      <c r="JH31" s="290"/>
      <c r="JI31" s="290"/>
      <c r="JJ31" s="290"/>
      <c r="JK31" s="290"/>
      <c r="JL31" s="290"/>
      <c r="JM31" s="290"/>
      <c r="JN31" s="290"/>
      <c r="JO31" s="290"/>
      <c r="JP31" s="290"/>
      <c r="JQ31" s="290"/>
      <c r="JR31" s="290"/>
      <c r="JS31" s="290"/>
      <c r="JT31" s="290"/>
      <c r="JU31" s="290"/>
      <c r="JV31" s="290"/>
      <c r="JW31" s="290"/>
      <c r="JX31" s="290"/>
      <c r="JY31" s="290"/>
      <c r="JZ31" s="290"/>
      <c r="KA31" s="290"/>
      <c r="KB31" s="290"/>
      <c r="KC31" s="290"/>
      <c r="KD31" s="290"/>
      <c r="KE31" s="290"/>
      <c r="KF31" s="290"/>
      <c r="KG31" s="290"/>
      <c r="KH31" s="290"/>
      <c r="KI31" s="290"/>
      <c r="KJ31" s="290"/>
      <c r="KK31" s="290"/>
      <c r="KL31" s="290"/>
      <c r="KM31" s="290"/>
      <c r="KN31" s="290"/>
      <c r="KO31" s="290"/>
      <c r="KP31" s="290"/>
      <c r="KQ31" s="290"/>
      <c r="KR31" s="290"/>
      <c r="KS31" s="290"/>
      <c r="KT31" s="290"/>
      <c r="KU31" s="290"/>
      <c r="KV31" s="290"/>
      <c r="KW31" s="290"/>
      <c r="KX31" s="290"/>
      <c r="KY31" s="290"/>
      <c r="KZ31" s="290"/>
      <c r="LA31" s="290"/>
      <c r="LB31" s="290"/>
      <c r="LC31" s="290"/>
      <c r="LD31" s="290"/>
      <c r="LE31" s="290"/>
      <c r="LF31" s="290"/>
      <c r="LG31" s="290"/>
      <c r="LH31" s="290"/>
      <c r="LI31" s="290"/>
      <c r="LJ31" s="290"/>
      <c r="LK31" s="290"/>
      <c r="LL31" s="290"/>
      <c r="LM31" s="290"/>
      <c r="LN31" s="290"/>
      <c r="LO31" s="290"/>
      <c r="LP31" s="290"/>
      <c r="LQ31" s="290"/>
      <c r="LR31" s="290"/>
      <c r="LS31" s="290"/>
      <c r="LT31" s="290"/>
      <c r="LU31" s="290"/>
      <c r="LV31" s="290"/>
      <c r="LW31" s="290"/>
      <c r="LX31" s="290"/>
      <c r="LY31" s="290"/>
      <c r="LZ31" s="290"/>
      <c r="MA31" s="290"/>
      <c r="MB31" s="290"/>
      <c r="MC31" s="290"/>
      <c r="MD31" s="290"/>
      <c r="ME31" s="290"/>
      <c r="MF31" s="290"/>
      <c r="MG31" s="290"/>
      <c r="MH31" s="290"/>
      <c r="MI31" s="290"/>
      <c r="MJ31" s="290"/>
      <c r="MK31" s="290"/>
      <c r="ML31" s="290"/>
      <c r="MM31" s="290"/>
      <c r="MN31" s="290"/>
      <c r="MO31" s="290"/>
      <c r="MP31" s="290"/>
      <c r="MQ31" s="290"/>
      <c r="MR31" s="290"/>
      <c r="MS31" s="290"/>
      <c r="MT31" s="290"/>
      <c r="MU31" s="290"/>
      <c r="MV31" s="290"/>
      <c r="MW31" s="290"/>
      <c r="MX31" s="290"/>
      <c r="MY31" s="290"/>
      <c r="MZ31" s="290"/>
      <c r="NA31" s="290"/>
      <c r="NB31" s="290"/>
      <c r="NC31" s="290"/>
      <c r="ND31" s="290"/>
      <c r="NE31" s="290"/>
      <c r="NF31" s="290"/>
      <c r="NG31" s="290"/>
      <c r="NH31" s="290"/>
      <c r="NI31" s="290"/>
      <c r="NJ31" s="290"/>
      <c r="NK31" s="290"/>
      <c r="NL31" s="290"/>
      <c r="NM31" s="290"/>
      <c r="NN31" s="290"/>
      <c r="NO31" s="290"/>
      <c r="NP31" s="290"/>
      <c r="NQ31" s="290"/>
      <c r="NR31" s="290"/>
      <c r="NS31" s="290"/>
      <c r="NT31" s="290"/>
      <c r="NU31" s="290"/>
      <c r="NV31" s="290"/>
      <c r="NW31" s="290"/>
      <c r="NX31" s="290"/>
      <c r="NY31" s="290"/>
      <c r="NZ31" s="290"/>
      <c r="OA31" s="290"/>
      <c r="OB31" s="290"/>
      <c r="OC31" s="290"/>
      <c r="OD31" s="290"/>
      <c r="OE31" s="290"/>
      <c r="OF31" s="290"/>
      <c r="OG31" s="290"/>
      <c r="OH31" s="290"/>
      <c r="OI31" s="290"/>
      <c r="OJ31" s="290"/>
      <c r="OK31" s="290"/>
      <c r="OL31" s="290"/>
      <c r="OM31" s="290"/>
      <c r="ON31" s="290"/>
      <c r="OO31" s="290"/>
      <c r="OP31" s="290"/>
      <c r="OQ31" s="290"/>
      <c r="OR31" s="290"/>
      <c r="OS31" s="290"/>
      <c r="OT31" s="290"/>
      <c r="OU31" s="290"/>
      <c r="OV31" s="290"/>
      <c r="OW31" s="290"/>
      <c r="OX31" s="290"/>
      <c r="OY31" s="290"/>
      <c r="OZ31" s="290"/>
      <c r="PA31" s="290"/>
      <c r="PB31" s="290"/>
      <c r="PC31" s="290"/>
      <c r="PD31" s="290"/>
      <c r="PE31" s="290"/>
      <c r="PF31" s="290"/>
      <c r="PG31" s="290"/>
      <c r="PH31" s="290"/>
      <c r="PI31" s="290"/>
      <c r="PJ31" s="290"/>
      <c r="PK31" s="290"/>
      <c r="PL31" s="290"/>
      <c r="PM31" s="290"/>
      <c r="PN31" s="290"/>
      <c r="PO31" s="290"/>
      <c r="PP31" s="290"/>
      <c r="PQ31" s="290"/>
      <c r="PR31" s="290"/>
      <c r="PS31" s="290"/>
      <c r="PT31" s="290"/>
      <c r="PU31" s="290"/>
      <c r="PV31" s="290"/>
      <c r="PW31" s="290"/>
      <c r="PX31" s="290"/>
      <c r="PY31" s="290"/>
      <c r="PZ31" s="290"/>
      <c r="QA31" s="290"/>
      <c r="QB31" s="290"/>
      <c r="QC31" s="290"/>
      <c r="QD31" s="290"/>
      <c r="QE31" s="290"/>
      <c r="QF31" s="290"/>
      <c r="QG31" s="290"/>
      <c r="QH31" s="290"/>
      <c r="QI31" s="290"/>
      <c r="QJ31" s="290"/>
      <c r="QK31" s="290"/>
      <c r="QL31" s="290"/>
      <c r="QM31" s="290"/>
      <c r="QN31" s="290"/>
      <c r="QO31" s="290"/>
      <c r="QP31" s="290"/>
      <c r="QQ31" s="290"/>
      <c r="QR31" s="290"/>
      <c r="QS31" s="290"/>
      <c r="QT31" s="290"/>
      <c r="QU31" s="290"/>
      <c r="QV31" s="290"/>
      <c r="QW31" s="290"/>
      <c r="QX31" s="290"/>
      <c r="QY31" s="290"/>
      <c r="QZ31" s="290"/>
      <c r="RA31" s="290"/>
      <c r="RB31" s="290"/>
      <c r="RC31" s="290"/>
      <c r="RD31" s="290"/>
      <c r="RE31" s="290"/>
      <c r="RF31" s="290"/>
      <c r="RG31" s="290"/>
      <c r="RH31" s="290"/>
      <c r="RI31" s="290"/>
      <c r="RJ31" s="290"/>
      <c r="RK31" s="290"/>
      <c r="RL31" s="290"/>
      <c r="RM31" s="290"/>
      <c r="RN31" s="290"/>
      <c r="RO31" s="290"/>
      <c r="RP31" s="290"/>
      <c r="RQ31" s="290"/>
      <c r="RR31" s="290"/>
      <c r="RS31" s="290"/>
      <c r="RT31" s="290"/>
      <c r="RU31" s="290"/>
      <c r="RV31" s="290"/>
      <c r="RW31" s="290"/>
      <c r="RX31" s="290"/>
      <c r="RY31" s="290"/>
      <c r="RZ31" s="290"/>
      <c r="SA31" s="290"/>
      <c r="SB31" s="290"/>
      <c r="SC31" s="290"/>
      <c r="SD31" s="290"/>
      <c r="SE31" s="290"/>
      <c r="SF31" s="290"/>
      <c r="SG31" s="290"/>
      <c r="SH31" s="290"/>
      <c r="SI31" s="290"/>
      <c r="SJ31" s="290"/>
      <c r="SK31" s="290"/>
      <c r="SL31" s="290"/>
      <c r="SM31" s="290"/>
      <c r="SN31" s="290"/>
      <c r="SO31" s="290"/>
      <c r="SP31" s="290"/>
      <c r="SQ31" s="290"/>
      <c r="SR31" s="290"/>
      <c r="SS31" s="290"/>
      <c r="ST31" s="290"/>
      <c r="SU31" s="290"/>
      <c r="SV31" s="290"/>
      <c r="SW31" s="290"/>
      <c r="SX31" s="290"/>
      <c r="SY31" s="290"/>
      <c r="SZ31" s="290"/>
      <c r="TA31" s="290"/>
      <c r="TB31" s="290"/>
      <c r="TC31" s="290"/>
      <c r="TD31" s="290"/>
      <c r="TE31" s="290"/>
      <c r="TF31" s="290"/>
      <c r="TG31" s="290"/>
      <c r="TH31" s="290"/>
      <c r="TI31" s="290"/>
      <c r="TJ31" s="290"/>
      <c r="TK31" s="290"/>
      <c r="TL31" s="290"/>
      <c r="TM31" s="290"/>
      <c r="TN31" s="290"/>
      <c r="TO31" s="290"/>
      <c r="TP31" s="290"/>
      <c r="TQ31" s="290"/>
      <c r="TR31" s="290"/>
      <c r="TS31" s="290"/>
      <c r="TT31" s="290"/>
      <c r="TU31" s="290"/>
      <c r="TV31" s="290"/>
      <c r="TW31" s="290"/>
      <c r="TX31" s="290"/>
      <c r="TY31" s="290"/>
      <c r="TZ31" s="290"/>
      <c r="UA31" s="290"/>
      <c r="UB31" s="290"/>
      <c r="UC31" s="290"/>
      <c r="UD31" s="290"/>
      <c r="UE31" s="290"/>
      <c r="UF31" s="290"/>
      <c r="UG31" s="290"/>
      <c r="UH31" s="290"/>
      <c r="UI31" s="290"/>
      <c r="UJ31" s="290"/>
      <c r="UK31" s="290"/>
      <c r="UL31" s="290"/>
      <c r="UM31" s="290"/>
      <c r="UN31" s="290"/>
      <c r="UO31" s="290"/>
      <c r="UP31" s="290"/>
      <c r="UQ31" s="290"/>
      <c r="UR31" s="290"/>
      <c r="US31" s="290"/>
      <c r="UT31" s="290"/>
      <c r="UU31" s="290"/>
      <c r="UV31" s="290"/>
      <c r="UW31" s="290"/>
      <c r="UX31" s="290"/>
      <c r="UY31" s="290"/>
      <c r="UZ31" s="290"/>
      <c r="VA31" s="290"/>
      <c r="VB31" s="290"/>
      <c r="VC31" s="290"/>
      <c r="VD31" s="290"/>
      <c r="VE31" s="290"/>
      <c r="VF31" s="290"/>
      <c r="VG31" s="290"/>
      <c r="VH31" s="290"/>
      <c r="VI31" s="290"/>
      <c r="VJ31" s="290"/>
      <c r="VK31" s="290"/>
      <c r="VL31" s="290"/>
      <c r="VM31" s="290"/>
      <c r="VN31" s="290"/>
      <c r="VO31" s="290"/>
      <c r="VP31" s="290"/>
      <c r="VQ31" s="290"/>
      <c r="VR31" s="290"/>
      <c r="VS31" s="290"/>
      <c r="VT31" s="290"/>
      <c r="VU31" s="290"/>
      <c r="VV31" s="290"/>
      <c r="VW31" s="290"/>
      <c r="VX31" s="290"/>
      <c r="VY31" s="290"/>
      <c r="VZ31" s="290"/>
      <c r="WA31" s="290"/>
      <c r="WB31" s="290"/>
      <c r="WC31" s="290"/>
      <c r="WD31" s="290"/>
      <c r="WE31" s="290"/>
      <c r="WF31" s="290"/>
      <c r="WG31" s="290"/>
      <c r="WH31" s="290"/>
      <c r="WI31" s="290"/>
      <c r="WJ31" s="290"/>
      <c r="WK31" s="290"/>
      <c r="WL31" s="290"/>
      <c r="WM31" s="290"/>
      <c r="WN31" s="290"/>
      <c r="WO31" s="290"/>
      <c r="WP31" s="290"/>
      <c r="WQ31" s="290"/>
      <c r="WR31" s="290"/>
      <c r="WS31" s="290"/>
      <c r="WT31" s="290"/>
      <c r="WU31" s="290"/>
      <c r="WV31" s="290"/>
      <c r="WW31" s="290"/>
      <c r="WX31" s="290"/>
      <c r="WY31" s="290"/>
      <c r="WZ31" s="290"/>
      <c r="XA31" s="290"/>
      <c r="XB31" s="290"/>
      <c r="XC31" s="290"/>
      <c r="XD31" s="290"/>
      <c r="XE31" s="290"/>
      <c r="XF31" s="290"/>
      <c r="XG31" s="290"/>
      <c r="XH31" s="290"/>
      <c r="XI31" s="290"/>
      <c r="XJ31" s="290"/>
      <c r="XK31" s="290"/>
      <c r="XL31" s="290"/>
      <c r="XM31" s="290"/>
      <c r="XN31" s="290"/>
      <c r="XO31" s="290"/>
      <c r="XP31" s="290"/>
      <c r="XQ31" s="290"/>
      <c r="XR31" s="290"/>
      <c r="XS31" s="290"/>
      <c r="XT31" s="290"/>
      <c r="XU31" s="290"/>
      <c r="XV31" s="290"/>
      <c r="XW31" s="290"/>
      <c r="XX31" s="290"/>
      <c r="XY31" s="290"/>
      <c r="XZ31" s="290"/>
      <c r="YA31" s="290"/>
      <c r="YB31" s="290"/>
      <c r="YC31" s="290"/>
      <c r="YD31" s="290"/>
      <c r="YE31" s="290"/>
      <c r="YF31" s="290"/>
      <c r="YG31" s="290"/>
      <c r="YH31" s="290"/>
      <c r="YI31" s="290"/>
      <c r="YJ31" s="290"/>
      <c r="YK31" s="290"/>
      <c r="YL31" s="290"/>
      <c r="YM31" s="290"/>
      <c r="YN31" s="290"/>
      <c r="YO31" s="290"/>
      <c r="YP31" s="290"/>
      <c r="YQ31" s="290"/>
      <c r="YR31" s="290"/>
      <c r="YS31" s="290"/>
      <c r="YT31" s="290"/>
      <c r="YU31" s="290"/>
      <c r="YV31" s="290"/>
      <c r="YW31" s="290"/>
      <c r="YX31" s="290"/>
      <c r="YY31" s="290"/>
      <c r="YZ31" s="290"/>
      <c r="ZA31" s="290"/>
      <c r="ZB31" s="290"/>
      <c r="ZC31" s="290"/>
      <c r="ZD31" s="290"/>
      <c r="ZE31" s="290"/>
      <c r="ZF31" s="290"/>
      <c r="ZG31" s="290"/>
      <c r="ZH31" s="290"/>
      <c r="ZI31" s="290"/>
      <c r="ZJ31" s="290"/>
      <c r="ZK31" s="290"/>
      <c r="ZL31" s="290"/>
      <c r="ZM31" s="290"/>
      <c r="ZN31" s="290"/>
      <c r="ZO31" s="290"/>
      <c r="ZP31" s="290"/>
      <c r="ZQ31" s="290"/>
      <c r="ZR31" s="290"/>
      <c r="ZS31" s="290"/>
      <c r="ZT31" s="290"/>
      <c r="ZU31" s="290"/>
      <c r="ZV31" s="290"/>
      <c r="ZW31" s="290"/>
      <c r="ZX31" s="290"/>
      <c r="ZY31" s="290"/>
      <c r="ZZ31" s="290"/>
      <c r="AAA31" s="290"/>
      <c r="AAB31" s="290"/>
      <c r="AAC31" s="290"/>
      <c r="AAD31" s="290"/>
      <c r="AAE31" s="290"/>
      <c r="AAF31" s="290"/>
      <c r="AAG31" s="290"/>
      <c r="AAH31" s="290"/>
      <c r="AAI31" s="290"/>
      <c r="AAJ31" s="290"/>
      <c r="AAK31" s="290"/>
      <c r="AAL31" s="290"/>
      <c r="AAM31" s="290"/>
      <c r="AAN31" s="290"/>
      <c r="AAO31" s="290"/>
      <c r="AAP31" s="290"/>
      <c r="AAQ31" s="290"/>
      <c r="AAR31" s="290"/>
      <c r="AAS31" s="290"/>
      <c r="AAT31" s="290"/>
      <c r="AAU31" s="290"/>
      <c r="AAV31" s="290"/>
      <c r="AAW31" s="290"/>
      <c r="AAX31" s="290"/>
      <c r="AAY31" s="290"/>
      <c r="AAZ31" s="290"/>
      <c r="ABA31" s="290"/>
      <c r="ABB31" s="290"/>
      <c r="ABC31" s="290"/>
      <c r="ABD31" s="290"/>
      <c r="ABE31" s="290"/>
      <c r="ABF31" s="290"/>
      <c r="ABG31" s="290"/>
      <c r="ABH31" s="290"/>
      <c r="ABI31" s="290"/>
      <c r="ABJ31" s="290"/>
      <c r="ABK31" s="290"/>
      <c r="ABL31" s="290"/>
      <c r="ABM31" s="290"/>
      <c r="ABN31" s="290"/>
      <c r="ABO31" s="290"/>
      <c r="ABP31" s="290"/>
      <c r="ABQ31" s="290"/>
      <c r="ABR31" s="290"/>
      <c r="ABS31" s="290"/>
      <c r="ABT31" s="290"/>
      <c r="ABU31" s="290"/>
      <c r="ABV31" s="290"/>
      <c r="ABW31" s="290"/>
      <c r="ABX31" s="290"/>
      <c r="ABY31" s="290"/>
      <c r="ABZ31" s="290"/>
      <c r="ACA31" s="290"/>
      <c r="ACB31" s="290"/>
      <c r="ACC31" s="290"/>
      <c r="ACD31" s="290"/>
      <c r="ACE31" s="290"/>
      <c r="ACF31" s="290"/>
      <c r="ACG31" s="290"/>
      <c r="ACH31" s="290"/>
      <c r="ACI31" s="290"/>
      <c r="ACJ31" s="290"/>
      <c r="ACK31" s="290"/>
      <c r="ACL31" s="290"/>
      <c r="ACM31" s="290"/>
      <c r="ACN31" s="290"/>
      <c r="ACO31" s="290"/>
      <c r="ACP31" s="290"/>
      <c r="ACQ31" s="290"/>
      <c r="ACR31" s="290"/>
      <c r="ACS31" s="290"/>
      <c r="ACT31" s="290"/>
      <c r="ACU31" s="290"/>
      <c r="ACV31" s="290"/>
      <c r="ACW31" s="290"/>
      <c r="ACX31" s="290"/>
      <c r="ACY31" s="290"/>
      <c r="ACZ31" s="290"/>
      <c r="ADA31" s="290"/>
      <c r="ADB31" s="290"/>
      <c r="ADC31" s="290"/>
      <c r="ADD31" s="290"/>
      <c r="ADE31" s="290"/>
      <c r="ADF31" s="290"/>
      <c r="ADG31" s="290"/>
      <c r="ADH31" s="290"/>
      <c r="ADI31" s="290"/>
      <c r="ADJ31" s="290"/>
      <c r="ADK31" s="290"/>
      <c r="ADL31" s="290"/>
      <c r="ADM31" s="290"/>
      <c r="ADN31" s="290"/>
      <c r="ADO31" s="290"/>
      <c r="ADP31" s="290"/>
      <c r="ADQ31" s="290"/>
      <c r="ADR31" s="290"/>
      <c r="ADS31" s="290"/>
      <c r="ADT31" s="290"/>
      <c r="ADU31" s="290"/>
      <c r="ADV31" s="290"/>
      <c r="ADW31" s="290"/>
      <c r="ADX31" s="290"/>
      <c r="ADY31" s="290"/>
      <c r="ADZ31" s="290"/>
      <c r="AEA31" s="290"/>
      <c r="AEB31" s="290"/>
      <c r="AEC31" s="290"/>
      <c r="AED31" s="290"/>
      <c r="AEE31" s="290"/>
      <c r="AEF31" s="290"/>
      <c r="AEG31" s="290"/>
      <c r="AEH31" s="290"/>
      <c r="AEI31" s="290"/>
      <c r="AEJ31" s="290"/>
      <c r="AEK31" s="290"/>
      <c r="AEL31" s="290"/>
      <c r="AEM31" s="290"/>
      <c r="AEN31" s="290"/>
      <c r="AEO31" s="290"/>
      <c r="AEP31" s="290"/>
      <c r="AEQ31" s="290"/>
      <c r="AER31" s="290"/>
      <c r="AES31" s="290"/>
      <c r="AET31" s="290"/>
      <c r="AEU31" s="290"/>
      <c r="AEV31" s="290"/>
      <c r="AEW31" s="290"/>
      <c r="AEX31" s="290"/>
      <c r="AEY31" s="290"/>
      <c r="AEZ31" s="290"/>
      <c r="AFA31" s="290"/>
      <c r="AFB31" s="290"/>
      <c r="AFC31" s="290"/>
      <c r="AFD31" s="290"/>
      <c r="AFE31" s="290"/>
      <c r="AFF31" s="290"/>
      <c r="AFG31" s="290"/>
      <c r="AFH31" s="290"/>
      <c r="AFI31" s="290"/>
      <c r="AFJ31" s="290"/>
      <c r="AFK31" s="290"/>
      <c r="AFL31" s="290"/>
      <c r="AFM31" s="290"/>
      <c r="AFN31" s="290"/>
      <c r="AFO31" s="290"/>
      <c r="AFP31" s="290"/>
      <c r="AFQ31" s="290"/>
      <c r="AFR31" s="290"/>
      <c r="AFS31" s="290"/>
      <c r="AFT31" s="290"/>
      <c r="AFU31" s="290"/>
      <c r="AFV31" s="290"/>
      <c r="AFW31" s="290"/>
      <c r="AFX31" s="290"/>
      <c r="AFY31" s="290"/>
      <c r="AFZ31" s="290"/>
      <c r="AGA31" s="290"/>
      <c r="AGB31" s="290"/>
      <c r="AGC31" s="290"/>
      <c r="AGD31" s="290"/>
      <c r="AGE31" s="290"/>
      <c r="AGF31" s="290"/>
      <c r="AGG31" s="290"/>
      <c r="AGH31" s="290"/>
      <c r="AGI31" s="290"/>
      <c r="AGJ31" s="290"/>
      <c r="AGK31" s="290"/>
      <c r="AGL31" s="290"/>
      <c r="AGM31" s="290"/>
      <c r="AGN31" s="290"/>
      <c r="AGO31" s="290"/>
      <c r="AGP31" s="290"/>
      <c r="AGQ31" s="290"/>
      <c r="AGR31" s="290"/>
      <c r="AGS31" s="290"/>
      <c r="AGT31" s="290"/>
      <c r="AGU31" s="290"/>
      <c r="AGV31" s="290"/>
      <c r="AGW31" s="290"/>
      <c r="AGX31" s="290"/>
      <c r="AGY31" s="290"/>
      <c r="AGZ31" s="290"/>
      <c r="AHA31" s="290"/>
      <c r="AHB31" s="290"/>
      <c r="AHC31" s="290"/>
      <c r="AHD31" s="290"/>
      <c r="AHE31" s="290"/>
      <c r="AHF31" s="290"/>
      <c r="AHG31" s="290"/>
      <c r="AHH31" s="290"/>
      <c r="AHI31" s="290"/>
      <c r="AHJ31" s="290"/>
      <c r="AHK31" s="290"/>
      <c r="AHL31" s="290"/>
      <c r="AHM31" s="290"/>
      <c r="AHN31" s="290"/>
      <c r="AHO31" s="290"/>
      <c r="AHP31" s="290"/>
      <c r="AHQ31" s="290"/>
      <c r="AHR31" s="290"/>
      <c r="AHS31" s="290"/>
      <c r="AHT31" s="290"/>
      <c r="AHU31" s="290"/>
      <c r="AHV31" s="290"/>
      <c r="AHW31" s="290"/>
      <c r="AHX31" s="290"/>
      <c r="AHY31" s="290"/>
      <c r="AHZ31" s="290"/>
      <c r="AIA31" s="290"/>
      <c r="AIB31" s="290"/>
      <c r="AIC31" s="290"/>
      <c r="AID31" s="290"/>
      <c r="AIE31" s="290"/>
      <c r="AIF31" s="290"/>
      <c r="AIG31" s="290"/>
      <c r="AIH31" s="290"/>
      <c r="AII31" s="290"/>
      <c r="AIJ31" s="290"/>
      <c r="AIK31" s="290"/>
      <c r="AIL31" s="290"/>
      <c r="AIM31" s="290"/>
      <c r="AIN31" s="290"/>
      <c r="AIO31" s="290"/>
      <c r="AIP31" s="290"/>
      <c r="AIQ31" s="290"/>
      <c r="AIR31" s="290"/>
      <c r="AIS31" s="290"/>
      <c r="AIT31" s="290"/>
      <c r="AIU31" s="290"/>
      <c r="AIV31" s="290"/>
      <c r="AIW31" s="290"/>
      <c r="AIX31" s="290"/>
      <c r="AIY31" s="290"/>
      <c r="AIZ31" s="290"/>
      <c r="AJA31" s="290"/>
      <c r="AJB31" s="290"/>
      <c r="AJC31" s="290"/>
      <c r="AJD31" s="290"/>
      <c r="AJE31" s="290"/>
      <c r="AJF31" s="290"/>
      <c r="AJG31" s="290"/>
      <c r="AJH31" s="290"/>
      <c r="AJI31" s="290"/>
      <c r="AJJ31" s="290"/>
      <c r="AJK31" s="290"/>
      <c r="AJL31" s="290"/>
      <c r="AJM31" s="290"/>
      <c r="AJN31" s="290"/>
      <c r="AJO31" s="290"/>
      <c r="AJP31" s="290"/>
      <c r="AJQ31" s="290"/>
      <c r="AJR31" s="290"/>
      <c r="AJS31" s="290"/>
      <c r="AJT31" s="290"/>
      <c r="AJU31" s="290"/>
      <c r="AJV31" s="290"/>
      <c r="AJW31" s="290"/>
      <c r="AJX31" s="290"/>
      <c r="AJY31" s="290"/>
      <c r="AJZ31" s="290"/>
      <c r="AKA31" s="290"/>
      <c r="AKB31" s="290"/>
      <c r="AKC31" s="290"/>
      <c r="AKD31" s="290"/>
      <c r="AKE31" s="290"/>
      <c r="AKF31" s="290"/>
      <c r="AKG31" s="290"/>
      <c r="AKH31" s="290"/>
      <c r="AKI31" s="290"/>
      <c r="AKJ31" s="290"/>
      <c r="AKK31" s="290"/>
      <c r="AKL31" s="290"/>
      <c r="AKM31" s="290"/>
      <c r="AKN31" s="290"/>
      <c r="AKO31" s="290"/>
      <c r="AKP31" s="290"/>
      <c r="AKQ31" s="290"/>
      <c r="AKR31" s="290"/>
      <c r="AKS31" s="290"/>
      <c r="AKT31" s="290"/>
      <c r="AKU31" s="290"/>
      <c r="AKV31" s="290"/>
      <c r="AKW31" s="290"/>
      <c r="AKX31" s="290"/>
      <c r="AKY31" s="290"/>
      <c r="AKZ31" s="290"/>
      <c r="ALA31" s="290"/>
      <c r="ALB31" s="290"/>
      <c r="ALC31" s="290"/>
      <c r="ALD31" s="290"/>
      <c r="ALE31" s="290"/>
      <c r="ALF31" s="290"/>
      <c r="ALG31" s="290"/>
      <c r="ALH31" s="290"/>
      <c r="ALI31" s="290"/>
      <c r="ALJ31" s="290"/>
      <c r="ALK31" s="290"/>
      <c r="ALL31" s="290"/>
      <c r="ALM31" s="290"/>
      <c r="ALN31" s="290"/>
      <c r="ALO31" s="290"/>
      <c r="ALP31" s="290"/>
      <c r="ALQ31" s="290"/>
      <c r="ALR31" s="290"/>
      <c r="ALS31" s="290"/>
      <c r="ALT31" s="290"/>
      <c r="ALU31" s="290"/>
      <c r="ALV31" s="290"/>
      <c r="ALW31" s="290"/>
      <c r="ALX31" s="290"/>
      <c r="ALY31" s="290"/>
      <c r="ALZ31" s="290"/>
      <c r="AMA31" s="290"/>
      <c r="AMB31" s="290"/>
      <c r="AMC31" s="290"/>
      <c r="AMD31" s="290"/>
      <c r="AME31" s="290"/>
      <c r="AMF31" s="290"/>
      <c r="AMG31" s="290"/>
      <c r="AMH31" s="290"/>
      <c r="AMI31" s="290"/>
      <c r="AMJ31" s="290"/>
      <c r="AMK31" s="290"/>
      <c r="AML31" s="290"/>
      <c r="AMM31" s="290"/>
      <c r="AMN31" s="290"/>
      <c r="AMO31" s="290"/>
      <c r="AMP31" s="290"/>
      <c r="AMQ31" s="290"/>
      <c r="AMR31" s="290"/>
      <c r="AMS31" s="290"/>
      <c r="AMT31" s="290"/>
      <c r="AMU31" s="290"/>
      <c r="AMV31" s="290"/>
      <c r="AMW31" s="290"/>
      <c r="AMX31" s="290"/>
      <c r="AMY31" s="290"/>
      <c r="AMZ31" s="290"/>
      <c r="ANA31" s="290"/>
      <c r="ANB31" s="290"/>
      <c r="ANC31" s="290"/>
      <c r="AND31" s="290"/>
      <c r="ANE31" s="290"/>
      <c r="ANF31" s="290"/>
      <c r="ANG31" s="290"/>
      <c r="ANH31" s="290"/>
      <c r="ANI31" s="290"/>
      <c r="ANJ31" s="290"/>
      <c r="ANK31" s="290"/>
      <c r="ANL31" s="290"/>
      <c r="ANM31" s="290"/>
      <c r="ANN31" s="290"/>
      <c r="ANO31" s="290"/>
      <c r="ANP31" s="290"/>
      <c r="ANQ31" s="290"/>
      <c r="ANR31" s="290"/>
      <c r="ANS31" s="290"/>
      <c r="ANT31" s="290"/>
      <c r="ANU31" s="290"/>
      <c r="ANV31" s="290"/>
      <c r="ANW31" s="290"/>
      <c r="ANX31" s="290"/>
      <c r="ANY31" s="290"/>
      <c r="ANZ31" s="290"/>
      <c r="AOA31" s="290"/>
      <c r="AOB31" s="290"/>
      <c r="AOC31" s="290"/>
      <c r="AOD31" s="290"/>
      <c r="AOE31" s="290"/>
      <c r="AOF31" s="290"/>
      <c r="AOG31" s="290"/>
      <c r="AOH31" s="290"/>
      <c r="AOI31" s="290"/>
      <c r="AOJ31" s="290"/>
      <c r="AOK31" s="290"/>
      <c r="AOL31" s="290"/>
      <c r="AOM31" s="290"/>
      <c r="AON31" s="290"/>
      <c r="AOO31" s="290"/>
      <c r="AOP31" s="290"/>
      <c r="AOQ31" s="290"/>
      <c r="AOR31" s="290"/>
      <c r="AOS31" s="290"/>
      <c r="AOT31" s="290"/>
      <c r="AOU31" s="290"/>
      <c r="AOV31" s="290"/>
      <c r="AOW31" s="290"/>
      <c r="AOX31" s="290"/>
      <c r="AOY31" s="290"/>
      <c r="AOZ31" s="290"/>
      <c r="APA31" s="290"/>
      <c r="APB31" s="290"/>
      <c r="APC31" s="290"/>
      <c r="APD31" s="290"/>
      <c r="APE31" s="290"/>
      <c r="APF31" s="290"/>
      <c r="APG31" s="290"/>
      <c r="APH31" s="290"/>
      <c r="API31" s="290"/>
      <c r="APJ31" s="290"/>
      <c r="APK31" s="290"/>
      <c r="APL31" s="290"/>
      <c r="APM31" s="290"/>
      <c r="APN31" s="290"/>
      <c r="APO31" s="290"/>
      <c r="APP31" s="290"/>
      <c r="APQ31" s="290"/>
      <c r="APR31" s="290"/>
      <c r="APS31" s="290"/>
      <c r="APT31" s="290"/>
      <c r="APU31" s="290"/>
      <c r="APV31" s="290"/>
      <c r="APW31" s="290"/>
      <c r="APX31" s="290"/>
      <c r="APY31" s="290"/>
      <c r="APZ31" s="290"/>
      <c r="AQA31" s="290"/>
      <c r="AQB31" s="290"/>
      <c r="AQC31" s="290"/>
      <c r="AQD31" s="290"/>
      <c r="AQE31" s="290"/>
      <c r="AQF31" s="290"/>
      <c r="AQG31" s="290"/>
      <c r="AQH31" s="290"/>
      <c r="AQI31" s="290"/>
      <c r="AQJ31" s="290"/>
      <c r="AQK31" s="290"/>
      <c r="AQL31" s="290"/>
      <c r="AQM31" s="290"/>
      <c r="AQN31" s="290"/>
      <c r="AQO31" s="290"/>
      <c r="AQP31" s="290"/>
      <c r="AQQ31" s="290"/>
      <c r="AQR31" s="290"/>
      <c r="AQS31" s="290"/>
      <c r="AQT31" s="290"/>
      <c r="AQU31" s="290"/>
      <c r="AQV31" s="290"/>
      <c r="AQW31" s="290"/>
      <c r="AQX31" s="290"/>
      <c r="AQY31" s="290"/>
      <c r="AQZ31" s="290"/>
      <c r="ARA31" s="290"/>
      <c r="ARB31" s="290"/>
      <c r="ARC31" s="290"/>
      <c r="ARD31" s="290"/>
      <c r="ARE31" s="290"/>
      <c r="ARF31" s="290"/>
      <c r="ARG31" s="290"/>
      <c r="ARH31" s="290"/>
      <c r="ARI31" s="290"/>
      <c r="ARJ31" s="290"/>
      <c r="ARK31" s="290"/>
      <c r="ARL31" s="290"/>
      <c r="ARM31" s="290"/>
      <c r="ARN31" s="290"/>
      <c r="ARO31" s="290"/>
      <c r="ARP31" s="290"/>
      <c r="ARQ31" s="290"/>
      <c r="ARR31" s="290"/>
      <c r="ARS31" s="290"/>
      <c r="ART31" s="290"/>
      <c r="ARU31" s="290"/>
      <c r="ARV31" s="290"/>
      <c r="ARW31" s="290"/>
      <c r="ARX31" s="290"/>
      <c r="ARY31" s="290"/>
      <c r="ARZ31" s="290"/>
      <c r="ASA31" s="290"/>
      <c r="ASB31" s="290"/>
      <c r="ASC31" s="290"/>
      <c r="ASD31" s="290"/>
      <c r="ASE31" s="290"/>
      <c r="ASF31" s="290"/>
      <c r="ASG31" s="290"/>
      <c r="ASH31" s="290"/>
      <c r="ASI31" s="290"/>
      <c r="ASJ31" s="290"/>
      <c r="ASK31" s="290"/>
      <c r="ASL31" s="290"/>
      <c r="ASM31" s="290"/>
      <c r="ASN31" s="290"/>
      <c r="ASO31" s="290"/>
      <c r="ASP31" s="290"/>
      <c r="ASQ31" s="290"/>
      <c r="ASR31" s="290"/>
      <c r="ASS31" s="290"/>
      <c r="AST31" s="290"/>
      <c r="ASU31" s="290"/>
      <c r="ASV31" s="290"/>
      <c r="ASW31" s="290"/>
      <c r="ASX31" s="290"/>
      <c r="ASY31" s="290"/>
      <c r="ASZ31" s="290"/>
      <c r="ATA31" s="290"/>
      <c r="ATB31" s="290"/>
      <c r="ATC31" s="290"/>
      <c r="ATD31" s="290"/>
      <c r="ATE31" s="290"/>
      <c r="ATF31" s="290"/>
      <c r="ATG31" s="290"/>
      <c r="ATH31" s="290"/>
      <c r="ATI31" s="290"/>
      <c r="ATJ31" s="290"/>
      <c r="ATK31" s="290"/>
      <c r="ATL31" s="290"/>
      <c r="ATM31" s="290"/>
      <c r="ATN31" s="290"/>
      <c r="ATO31" s="290"/>
      <c r="ATP31" s="290"/>
      <c r="ATQ31" s="290"/>
      <c r="ATR31" s="290"/>
      <c r="ATS31" s="290"/>
      <c r="ATT31" s="290"/>
      <c r="ATU31" s="290"/>
      <c r="ATV31" s="290"/>
      <c r="ATW31" s="290"/>
      <c r="ATX31" s="290"/>
      <c r="ATY31" s="290"/>
      <c r="ATZ31" s="290"/>
      <c r="AUA31" s="290"/>
      <c r="AUB31" s="290"/>
      <c r="AUC31" s="290"/>
      <c r="AUD31" s="290"/>
      <c r="AUE31" s="290"/>
      <c r="AUF31" s="290"/>
      <c r="AUG31" s="290"/>
      <c r="AUH31" s="290"/>
      <c r="AUI31" s="290"/>
      <c r="AUJ31" s="290"/>
      <c r="AUK31" s="290"/>
      <c r="AUL31" s="290"/>
      <c r="AUM31" s="290"/>
      <c r="AUN31" s="290"/>
      <c r="AUO31" s="290"/>
      <c r="AUP31" s="290"/>
      <c r="AUQ31" s="290"/>
      <c r="AUR31" s="290"/>
      <c r="AUS31" s="290"/>
      <c r="AUT31" s="290"/>
      <c r="AUU31" s="290"/>
      <c r="AUV31" s="290"/>
      <c r="AUW31" s="290"/>
      <c r="AUX31" s="290"/>
      <c r="AUY31" s="290"/>
      <c r="AUZ31" s="290"/>
      <c r="AVA31" s="290"/>
      <c r="AVB31" s="290"/>
      <c r="AVC31" s="290"/>
      <c r="AVD31" s="290"/>
      <c r="AVE31" s="290"/>
      <c r="AVF31" s="290"/>
      <c r="AVG31" s="290"/>
      <c r="AVH31" s="290"/>
      <c r="AVI31" s="290"/>
      <c r="AVJ31" s="290"/>
      <c r="AVK31" s="290"/>
      <c r="AVL31" s="290"/>
      <c r="AVM31" s="290"/>
      <c r="AVN31" s="290"/>
      <c r="AVO31" s="290"/>
      <c r="AVP31" s="290"/>
      <c r="AVQ31" s="290"/>
      <c r="AVR31" s="290"/>
      <c r="AVS31" s="290"/>
      <c r="AVT31" s="290"/>
      <c r="AVU31" s="290"/>
      <c r="AVV31" s="290"/>
      <c r="AVW31" s="290"/>
      <c r="AVX31" s="290"/>
      <c r="AVY31" s="290"/>
      <c r="AVZ31" s="290"/>
      <c r="AWA31" s="290"/>
      <c r="AWB31" s="290"/>
      <c r="AWC31" s="290"/>
      <c r="AWD31" s="290"/>
      <c r="AWE31" s="290"/>
      <c r="AWF31" s="290"/>
      <c r="AWG31" s="290"/>
      <c r="AWH31" s="290"/>
      <c r="AWI31" s="290"/>
      <c r="AWJ31" s="290"/>
      <c r="AWK31" s="290"/>
      <c r="AWL31" s="290"/>
      <c r="AWM31" s="290"/>
      <c r="AWN31" s="290"/>
      <c r="AWO31" s="290"/>
      <c r="AWP31" s="290"/>
      <c r="AWQ31" s="290"/>
      <c r="AWR31" s="290"/>
      <c r="AWS31" s="290"/>
      <c r="AWT31" s="290"/>
      <c r="AWU31" s="290"/>
      <c r="AWV31" s="290"/>
      <c r="AWW31" s="290"/>
      <c r="AWX31" s="290"/>
      <c r="AWY31" s="290"/>
      <c r="AWZ31" s="290"/>
      <c r="AXA31" s="290"/>
      <c r="AXB31" s="290"/>
      <c r="AXC31" s="290"/>
      <c r="AXD31" s="290"/>
      <c r="AXE31" s="290"/>
      <c r="AXF31" s="290"/>
      <c r="AXG31" s="290"/>
      <c r="AXH31" s="290"/>
      <c r="AXI31" s="290"/>
      <c r="AXJ31" s="290"/>
      <c r="AXK31" s="290"/>
      <c r="AXL31" s="290"/>
      <c r="AXM31" s="290"/>
      <c r="AXN31" s="290"/>
      <c r="AXO31" s="290"/>
      <c r="AXP31" s="290"/>
      <c r="AXQ31" s="290"/>
      <c r="AXR31" s="290"/>
      <c r="AXS31" s="290"/>
      <c r="AXT31" s="290"/>
      <c r="AXU31" s="290"/>
      <c r="AXV31" s="290"/>
      <c r="AXW31" s="290"/>
      <c r="AXX31" s="290"/>
      <c r="AXY31" s="290"/>
      <c r="AXZ31" s="290"/>
      <c r="AYA31" s="290"/>
      <c r="AYB31" s="290"/>
      <c r="AYC31" s="290"/>
      <c r="AYD31" s="290"/>
      <c r="AYE31" s="290"/>
      <c r="AYF31" s="290"/>
      <c r="AYG31" s="290"/>
      <c r="AYH31" s="290"/>
      <c r="AYI31" s="290"/>
      <c r="AYJ31" s="290"/>
      <c r="AYK31" s="290"/>
      <c r="AYL31" s="290"/>
      <c r="AYM31" s="290"/>
      <c r="AYN31" s="290"/>
      <c r="AYO31" s="290"/>
      <c r="AYP31" s="290"/>
      <c r="AYQ31" s="290"/>
      <c r="AYR31" s="290"/>
      <c r="AYS31" s="290"/>
      <c r="AYT31" s="290"/>
      <c r="AYU31" s="290"/>
      <c r="AYV31" s="290"/>
      <c r="AYW31" s="290"/>
      <c r="AYX31" s="290"/>
      <c r="AYY31" s="290"/>
      <c r="AYZ31" s="290"/>
      <c r="AZA31" s="290"/>
      <c r="AZB31" s="290"/>
      <c r="AZC31" s="290"/>
      <c r="AZD31" s="290"/>
      <c r="AZE31" s="290"/>
      <c r="AZF31" s="290"/>
      <c r="AZG31" s="290"/>
      <c r="AZH31" s="290"/>
      <c r="AZI31" s="290"/>
      <c r="AZJ31" s="290"/>
      <c r="AZK31" s="290"/>
      <c r="AZL31" s="290"/>
      <c r="AZM31" s="290"/>
      <c r="AZN31" s="290"/>
      <c r="AZO31" s="290"/>
      <c r="AZP31" s="290"/>
      <c r="AZQ31" s="290"/>
      <c r="AZR31" s="290"/>
      <c r="AZS31" s="290"/>
      <c r="AZT31" s="290"/>
      <c r="AZU31" s="290"/>
      <c r="AZV31" s="290"/>
      <c r="AZW31" s="290"/>
      <c r="AZX31" s="290"/>
      <c r="AZY31" s="290"/>
      <c r="AZZ31" s="290"/>
      <c r="BAA31" s="290"/>
      <c r="BAB31" s="290"/>
      <c r="BAC31" s="290"/>
      <c r="BAD31" s="290"/>
      <c r="BAE31" s="290"/>
      <c r="BAF31" s="290"/>
      <c r="BAG31" s="290"/>
      <c r="BAH31" s="290"/>
      <c r="BAI31" s="290"/>
      <c r="BAJ31" s="290"/>
      <c r="BAK31" s="290"/>
      <c r="BAL31" s="290"/>
      <c r="BAM31" s="290"/>
      <c r="BAN31" s="290"/>
      <c r="BAO31" s="290"/>
      <c r="BAP31" s="290"/>
      <c r="BAQ31" s="290"/>
      <c r="BAR31" s="290"/>
      <c r="BAS31" s="290"/>
      <c r="BAT31" s="290"/>
      <c r="BAU31" s="290"/>
      <c r="BAV31" s="290"/>
      <c r="BAW31" s="290"/>
      <c r="BAX31" s="290"/>
      <c r="BAY31" s="290"/>
      <c r="BAZ31" s="290"/>
      <c r="BBA31" s="290"/>
      <c r="BBB31" s="290"/>
      <c r="BBC31" s="290"/>
      <c r="BBD31" s="290"/>
      <c r="BBE31" s="290"/>
      <c r="BBF31" s="290"/>
      <c r="BBG31" s="290"/>
      <c r="BBH31" s="290"/>
      <c r="BBI31" s="290"/>
      <c r="BBJ31" s="290"/>
      <c r="BBK31" s="290"/>
      <c r="BBL31" s="290"/>
      <c r="BBM31" s="290"/>
      <c r="BBN31" s="290"/>
      <c r="BBO31" s="290"/>
      <c r="BBP31" s="290"/>
      <c r="BBQ31" s="290"/>
      <c r="BBR31" s="290"/>
      <c r="BBS31" s="290"/>
      <c r="BBT31" s="290"/>
      <c r="BBU31" s="290"/>
      <c r="BBV31" s="290"/>
      <c r="BBW31" s="290"/>
      <c r="BBX31" s="290"/>
      <c r="BBY31" s="290"/>
      <c r="BBZ31" s="290"/>
      <c r="BCA31" s="290"/>
      <c r="BCB31" s="290"/>
      <c r="BCC31" s="290"/>
      <c r="BCD31" s="290"/>
      <c r="BCE31" s="290"/>
      <c r="BCF31" s="290"/>
      <c r="BCG31" s="290"/>
      <c r="BCH31" s="290"/>
      <c r="BCI31" s="290"/>
      <c r="BCJ31" s="290"/>
      <c r="BCK31" s="290"/>
      <c r="BCL31" s="290"/>
      <c r="BCM31" s="290"/>
      <c r="BCN31" s="290"/>
      <c r="BCO31" s="290"/>
      <c r="BCP31" s="290"/>
      <c r="BCQ31" s="290"/>
      <c r="BCR31" s="290"/>
      <c r="BCS31" s="290"/>
      <c r="BCT31" s="290"/>
      <c r="BCU31" s="290"/>
      <c r="BCV31" s="290"/>
      <c r="BCW31" s="290"/>
      <c r="BCX31" s="290"/>
      <c r="BCY31" s="290"/>
      <c r="BCZ31" s="290"/>
      <c r="BDA31" s="290"/>
      <c r="BDB31" s="290"/>
      <c r="BDC31" s="290"/>
      <c r="BDD31" s="290"/>
      <c r="BDE31" s="290"/>
      <c r="BDF31" s="290"/>
      <c r="BDG31" s="290"/>
      <c r="BDH31" s="290"/>
      <c r="BDI31" s="290"/>
      <c r="BDJ31" s="290"/>
      <c r="BDK31" s="290"/>
      <c r="BDL31" s="290"/>
      <c r="BDM31" s="290"/>
      <c r="BDN31" s="290"/>
      <c r="BDO31" s="290"/>
      <c r="BDP31" s="290"/>
      <c r="BDQ31" s="290"/>
      <c r="BDR31" s="290"/>
      <c r="BDS31" s="290"/>
      <c r="BDT31" s="290"/>
      <c r="BDU31" s="290"/>
      <c r="BDV31" s="290"/>
      <c r="BDW31" s="290"/>
      <c r="BDX31" s="290"/>
      <c r="BDY31" s="290"/>
      <c r="BDZ31" s="290"/>
      <c r="BEA31" s="290"/>
      <c r="BEB31" s="290"/>
      <c r="BEC31" s="290"/>
      <c r="BED31" s="290"/>
      <c r="BEE31" s="290"/>
      <c r="BEF31" s="290"/>
      <c r="BEG31" s="290"/>
      <c r="BEH31" s="290"/>
      <c r="BEI31" s="290"/>
      <c r="BEJ31" s="290"/>
      <c r="BEK31" s="290"/>
      <c r="BEL31" s="290"/>
      <c r="BEM31" s="290"/>
      <c r="BEN31" s="290"/>
      <c r="BEO31" s="290"/>
      <c r="BEP31" s="290"/>
      <c r="BEQ31" s="290"/>
      <c r="BER31" s="290"/>
      <c r="BES31" s="290"/>
      <c r="BET31" s="290"/>
      <c r="BEU31" s="290"/>
      <c r="BEV31" s="290"/>
      <c r="BEW31" s="290"/>
      <c r="BEX31" s="290"/>
      <c r="BEY31" s="290"/>
      <c r="BEZ31" s="290"/>
      <c r="BFA31" s="290"/>
      <c r="BFB31" s="290"/>
      <c r="BFC31" s="290"/>
      <c r="BFD31" s="290"/>
      <c r="BFE31" s="290"/>
      <c r="BFF31" s="290"/>
      <c r="BFG31" s="290"/>
      <c r="BFH31" s="290"/>
      <c r="BFI31" s="290"/>
      <c r="BFJ31" s="290"/>
      <c r="BFK31" s="290"/>
      <c r="BFL31" s="290"/>
      <c r="BFM31" s="290"/>
      <c r="BFN31" s="290"/>
      <c r="BFO31" s="290"/>
      <c r="BFP31" s="290"/>
      <c r="BFQ31" s="290"/>
      <c r="BFR31" s="290"/>
      <c r="BFS31" s="290"/>
      <c r="BFT31" s="290"/>
      <c r="BFU31" s="290"/>
      <c r="BFV31" s="290"/>
      <c r="BFW31" s="290"/>
      <c r="BFX31" s="290"/>
      <c r="BFY31" s="290"/>
      <c r="BFZ31" s="290"/>
      <c r="BGA31" s="290"/>
      <c r="BGB31" s="290"/>
      <c r="BGC31" s="290"/>
      <c r="BGD31" s="290"/>
      <c r="BGE31" s="290"/>
      <c r="BGF31" s="290"/>
      <c r="BGG31" s="290"/>
      <c r="BGH31" s="290"/>
      <c r="BGI31" s="290"/>
      <c r="BGJ31" s="290"/>
      <c r="BGK31" s="290"/>
      <c r="BGL31" s="290"/>
      <c r="BGM31" s="290"/>
      <c r="BGN31" s="290"/>
      <c r="BGO31" s="290"/>
      <c r="BGP31" s="290"/>
      <c r="BGQ31" s="290"/>
      <c r="BGR31" s="290"/>
      <c r="BGS31" s="290"/>
      <c r="BGT31" s="290"/>
      <c r="BGU31" s="290"/>
      <c r="BGV31" s="290"/>
      <c r="BGW31" s="290"/>
      <c r="BGX31" s="290"/>
      <c r="BGY31" s="290"/>
      <c r="BGZ31" s="290"/>
      <c r="BHA31" s="290"/>
      <c r="BHB31" s="290"/>
      <c r="BHC31" s="290"/>
      <c r="BHD31" s="290"/>
      <c r="BHE31" s="290"/>
      <c r="BHF31" s="290"/>
      <c r="BHG31" s="290"/>
      <c r="BHH31" s="290"/>
      <c r="BHI31" s="290"/>
      <c r="BHJ31" s="290"/>
      <c r="BHK31" s="290"/>
      <c r="BHL31" s="290"/>
      <c r="BHM31" s="290"/>
      <c r="BHN31" s="290"/>
      <c r="BHO31" s="290"/>
      <c r="BHP31" s="290"/>
      <c r="BHQ31" s="290"/>
      <c r="BHR31" s="290"/>
      <c r="BHS31" s="290"/>
      <c r="BHT31" s="290"/>
      <c r="BHU31" s="290"/>
      <c r="BHV31" s="290"/>
      <c r="BHW31" s="290"/>
      <c r="BHX31" s="290"/>
      <c r="BHY31" s="290"/>
      <c r="BHZ31" s="290"/>
      <c r="BIA31" s="290"/>
      <c r="BIB31" s="290"/>
      <c r="BIC31" s="290"/>
      <c r="BID31" s="290"/>
      <c r="BIE31" s="290"/>
      <c r="BIF31" s="290"/>
      <c r="BIG31" s="290"/>
      <c r="BIH31" s="290"/>
      <c r="BII31" s="290"/>
      <c r="BIJ31" s="290"/>
      <c r="BIK31" s="290"/>
      <c r="BIL31" s="290"/>
      <c r="BIM31" s="290"/>
      <c r="BIN31" s="290"/>
      <c r="BIO31" s="290"/>
      <c r="BIP31" s="290"/>
      <c r="BIQ31" s="290"/>
      <c r="BIR31" s="290"/>
      <c r="BIS31" s="290"/>
      <c r="BIT31" s="290"/>
      <c r="BIU31" s="290"/>
      <c r="BIV31" s="290"/>
      <c r="BIW31" s="290"/>
      <c r="BIX31" s="290"/>
      <c r="BIY31" s="290"/>
      <c r="BIZ31" s="290"/>
      <c r="BJA31" s="290"/>
      <c r="BJB31" s="290"/>
      <c r="BJC31" s="290"/>
      <c r="BJD31" s="290"/>
      <c r="BJE31" s="290"/>
      <c r="BJF31" s="290"/>
      <c r="BJG31" s="290"/>
      <c r="BJH31" s="290"/>
      <c r="BJI31" s="290"/>
      <c r="BJJ31" s="290"/>
      <c r="BJK31" s="290"/>
      <c r="BJL31" s="290"/>
      <c r="BJM31" s="290"/>
      <c r="BJN31" s="290"/>
      <c r="BJO31" s="290"/>
      <c r="BJP31" s="290"/>
      <c r="BJQ31" s="290"/>
      <c r="BJR31" s="290"/>
      <c r="BJS31" s="290"/>
      <c r="BJT31" s="290"/>
      <c r="BJU31" s="290"/>
      <c r="BJV31" s="290"/>
      <c r="BJW31" s="290"/>
      <c r="BJX31" s="290"/>
      <c r="BJY31" s="290"/>
      <c r="BJZ31" s="290"/>
      <c r="BKA31" s="290"/>
      <c r="BKB31" s="290"/>
      <c r="BKC31" s="290"/>
      <c r="BKD31" s="290"/>
      <c r="BKE31" s="290"/>
      <c r="BKF31" s="290"/>
      <c r="BKG31" s="290"/>
      <c r="BKH31" s="290"/>
      <c r="BKI31" s="290"/>
      <c r="BKJ31" s="290"/>
      <c r="BKK31" s="290"/>
      <c r="BKL31" s="290"/>
      <c r="BKM31" s="290"/>
      <c r="BKN31" s="290"/>
      <c r="BKO31" s="290"/>
      <c r="BKP31" s="290"/>
      <c r="BKQ31" s="290"/>
      <c r="BKR31" s="290"/>
      <c r="BKS31" s="290"/>
      <c r="BKT31" s="290"/>
      <c r="BKU31" s="290"/>
      <c r="BKV31" s="290"/>
      <c r="BKW31" s="290"/>
      <c r="BKX31" s="290"/>
      <c r="BKY31" s="290"/>
      <c r="BKZ31" s="290"/>
      <c r="BLA31" s="290"/>
      <c r="BLB31" s="290"/>
      <c r="BLC31" s="290"/>
      <c r="BLD31" s="290"/>
      <c r="BLE31" s="290"/>
      <c r="BLF31" s="290"/>
      <c r="BLG31" s="290"/>
      <c r="BLH31" s="290"/>
      <c r="BLI31" s="290"/>
      <c r="BLJ31" s="290"/>
      <c r="BLK31" s="290"/>
      <c r="BLL31" s="290"/>
      <c r="BLM31" s="290"/>
      <c r="BLN31" s="290"/>
      <c r="BLO31" s="290"/>
      <c r="BLP31" s="290"/>
      <c r="BLQ31" s="290"/>
      <c r="BLR31" s="290"/>
      <c r="BLS31" s="290"/>
      <c r="BLT31" s="290"/>
      <c r="BLU31" s="290"/>
      <c r="BLV31" s="290"/>
      <c r="BLW31" s="290"/>
      <c r="BLX31" s="290"/>
      <c r="BLY31" s="290"/>
      <c r="BLZ31" s="290"/>
      <c r="BMA31" s="290"/>
      <c r="BMB31" s="290"/>
      <c r="BMC31" s="290"/>
      <c r="BMD31" s="290"/>
      <c r="BME31" s="290"/>
      <c r="BMF31" s="290"/>
      <c r="BMG31" s="290"/>
      <c r="BMH31" s="290"/>
      <c r="BMI31" s="290"/>
      <c r="BMJ31" s="290"/>
      <c r="BMK31" s="290"/>
      <c r="BML31" s="290"/>
      <c r="BMM31" s="290"/>
      <c r="BMN31" s="290"/>
      <c r="BMO31" s="290"/>
      <c r="BMP31" s="290"/>
      <c r="BMQ31" s="290"/>
      <c r="BMR31" s="290"/>
      <c r="BMS31" s="290"/>
      <c r="BMT31" s="290"/>
      <c r="BMU31" s="290"/>
      <c r="BMV31" s="290"/>
      <c r="BMW31" s="290"/>
      <c r="BMX31" s="290"/>
      <c r="BMY31" s="290"/>
      <c r="BMZ31" s="290"/>
      <c r="BNA31" s="290"/>
      <c r="BNB31" s="290"/>
      <c r="BNC31" s="290"/>
      <c r="BND31" s="290"/>
      <c r="BNE31" s="290"/>
      <c r="BNF31" s="290"/>
      <c r="BNG31" s="290"/>
      <c r="BNH31" s="290"/>
      <c r="BNI31" s="290"/>
      <c r="BNJ31" s="290"/>
      <c r="BNK31" s="290"/>
      <c r="BNL31" s="290"/>
      <c r="BNM31" s="290"/>
      <c r="BNN31" s="290"/>
      <c r="BNO31" s="290"/>
      <c r="BNP31" s="290"/>
      <c r="BNQ31" s="290"/>
      <c r="BNR31" s="290"/>
      <c r="BNS31" s="290"/>
      <c r="BNT31" s="290"/>
      <c r="BNU31" s="290"/>
      <c r="BNV31" s="290"/>
      <c r="BNW31" s="290"/>
      <c r="BNX31" s="290"/>
      <c r="BNY31" s="290"/>
      <c r="BNZ31" s="290"/>
      <c r="BOA31" s="290"/>
      <c r="BOB31" s="290"/>
      <c r="BOC31" s="290"/>
      <c r="BOD31" s="290"/>
      <c r="BOE31" s="290"/>
      <c r="BOF31" s="290"/>
      <c r="BOG31" s="290"/>
      <c r="BOH31" s="290"/>
      <c r="BOI31" s="290"/>
      <c r="BOJ31" s="290"/>
      <c r="BOK31" s="290"/>
      <c r="BOL31" s="290"/>
      <c r="BOM31" s="290"/>
      <c r="BON31" s="290"/>
      <c r="BOO31" s="290"/>
      <c r="BOP31" s="290"/>
      <c r="BOQ31" s="290"/>
      <c r="BOR31" s="290"/>
      <c r="BOS31" s="290"/>
      <c r="BOT31" s="290"/>
      <c r="BOU31" s="290"/>
      <c r="BOV31" s="290"/>
      <c r="BOW31" s="290"/>
      <c r="BOX31" s="290"/>
      <c r="BOY31" s="290"/>
      <c r="BOZ31" s="290"/>
      <c r="BPA31" s="290"/>
      <c r="BPB31" s="290"/>
      <c r="BPC31" s="290"/>
      <c r="BPD31" s="290"/>
      <c r="BPE31" s="290"/>
      <c r="BPF31" s="290"/>
      <c r="BPG31" s="290"/>
      <c r="BPH31" s="290"/>
      <c r="BPI31" s="290"/>
      <c r="BPJ31" s="290"/>
      <c r="BPK31" s="290"/>
      <c r="BPL31" s="290"/>
      <c r="BPM31" s="290"/>
      <c r="BPN31" s="290"/>
      <c r="BPO31" s="290"/>
      <c r="BPP31" s="290"/>
      <c r="BPQ31" s="290"/>
      <c r="BPR31" s="290"/>
      <c r="BPS31" s="290"/>
      <c r="BPT31" s="290"/>
      <c r="BPU31" s="290"/>
      <c r="BPV31" s="290"/>
      <c r="BPW31" s="290"/>
      <c r="BPX31" s="290"/>
      <c r="BPY31" s="290"/>
      <c r="BPZ31" s="290"/>
      <c r="BQA31" s="290"/>
      <c r="BQB31" s="290"/>
      <c r="BQC31" s="290"/>
      <c r="BQD31" s="290"/>
      <c r="BQE31" s="290"/>
      <c r="BQF31" s="290"/>
      <c r="BQG31" s="290"/>
      <c r="BQH31" s="290"/>
      <c r="BQI31" s="290"/>
      <c r="BQJ31" s="290"/>
      <c r="BQK31" s="290"/>
      <c r="BQL31" s="290"/>
      <c r="BQM31" s="290"/>
      <c r="BQN31" s="290"/>
      <c r="BQO31" s="290"/>
      <c r="BQP31" s="290"/>
      <c r="BQQ31" s="290"/>
      <c r="BQR31" s="290"/>
      <c r="BQS31" s="290"/>
      <c r="BQT31" s="290"/>
      <c r="BQU31" s="290"/>
      <c r="BQV31" s="290"/>
      <c r="BQW31" s="290"/>
      <c r="BQX31" s="290"/>
      <c r="BQY31" s="290"/>
      <c r="BQZ31" s="290"/>
      <c r="BRA31" s="290"/>
      <c r="BRB31" s="290"/>
      <c r="BRC31" s="290"/>
      <c r="BRD31" s="290"/>
      <c r="BRE31" s="290"/>
      <c r="BRF31" s="290"/>
      <c r="BRG31" s="290"/>
      <c r="BRH31" s="290"/>
      <c r="BRI31" s="290"/>
      <c r="BRJ31" s="290"/>
      <c r="BRK31" s="290"/>
      <c r="BRL31" s="290"/>
      <c r="BRM31" s="290"/>
      <c r="BRN31" s="290"/>
      <c r="BRO31" s="290"/>
      <c r="BRP31" s="290"/>
      <c r="BRQ31" s="290"/>
      <c r="BRR31" s="290"/>
      <c r="BRS31" s="290"/>
      <c r="BRT31" s="290"/>
      <c r="BRU31" s="290"/>
      <c r="BRV31" s="290"/>
      <c r="BRW31" s="290"/>
      <c r="BRX31" s="290"/>
      <c r="BRY31" s="290"/>
      <c r="BRZ31" s="290"/>
      <c r="BSA31" s="290"/>
      <c r="BSB31" s="290"/>
      <c r="BSC31" s="290"/>
      <c r="BSD31" s="290"/>
      <c r="BSE31" s="290"/>
      <c r="BSF31" s="290"/>
      <c r="BSG31" s="290"/>
      <c r="BSH31" s="290"/>
      <c r="BSI31" s="290"/>
      <c r="BSJ31" s="290"/>
      <c r="BSK31" s="290"/>
      <c r="BSL31" s="290"/>
      <c r="BSM31" s="290"/>
      <c r="BSN31" s="290"/>
      <c r="BSO31" s="290"/>
      <c r="BSP31" s="290"/>
      <c r="BSQ31" s="290"/>
      <c r="BSR31" s="290"/>
      <c r="BSS31" s="290"/>
      <c r="BST31" s="290"/>
      <c r="BSU31" s="290"/>
      <c r="BSV31" s="290"/>
      <c r="BSW31" s="290"/>
      <c r="BSX31" s="290"/>
      <c r="BSY31" s="290"/>
      <c r="BSZ31" s="290"/>
      <c r="BTA31" s="290"/>
      <c r="BTB31" s="290"/>
      <c r="BTC31" s="290"/>
      <c r="BTD31" s="290"/>
      <c r="BTE31" s="290"/>
      <c r="BTF31" s="290"/>
      <c r="BTG31" s="290"/>
      <c r="BTH31" s="290"/>
      <c r="BTI31" s="290"/>
      <c r="BTJ31" s="290"/>
      <c r="BTK31" s="290"/>
      <c r="BTL31" s="290"/>
      <c r="BTM31" s="290"/>
      <c r="BTN31" s="290"/>
      <c r="BTO31" s="290"/>
      <c r="BTP31" s="290"/>
      <c r="BTQ31" s="290"/>
      <c r="BTR31" s="290"/>
      <c r="BTS31" s="290"/>
      <c r="BTT31" s="290"/>
      <c r="BTU31" s="290"/>
      <c r="BTV31" s="290"/>
      <c r="BTW31" s="290"/>
      <c r="BTX31" s="290"/>
      <c r="BTY31" s="290"/>
      <c r="BTZ31" s="290"/>
      <c r="BUA31" s="290"/>
      <c r="BUB31" s="290"/>
      <c r="BUC31" s="290"/>
      <c r="BUD31" s="290"/>
      <c r="BUE31" s="290"/>
      <c r="BUF31" s="290"/>
      <c r="BUG31" s="290"/>
      <c r="BUH31" s="290"/>
      <c r="BUI31" s="290"/>
      <c r="BUJ31" s="290"/>
      <c r="BUK31" s="290"/>
      <c r="BUL31" s="290"/>
      <c r="BUM31" s="290"/>
      <c r="BUN31" s="290"/>
      <c r="BUO31" s="290"/>
      <c r="BUP31" s="290"/>
      <c r="BUQ31" s="290"/>
      <c r="BUR31" s="290"/>
      <c r="BUS31" s="290"/>
      <c r="BUT31" s="290"/>
      <c r="BUU31" s="290"/>
      <c r="BUV31" s="290"/>
      <c r="BUW31" s="290"/>
      <c r="BUX31" s="290"/>
      <c r="BUY31" s="290"/>
      <c r="BUZ31" s="290"/>
      <c r="BVA31" s="290"/>
      <c r="BVB31" s="290"/>
      <c r="BVC31" s="290"/>
      <c r="BVD31" s="290"/>
      <c r="BVE31" s="290"/>
      <c r="BVF31" s="290"/>
      <c r="BVG31" s="290"/>
      <c r="BVH31" s="290"/>
      <c r="BVI31" s="290"/>
      <c r="BVJ31" s="290"/>
      <c r="BVK31" s="290"/>
      <c r="BVL31" s="290"/>
      <c r="BVM31" s="290"/>
      <c r="BVN31" s="290"/>
      <c r="BVO31" s="290"/>
      <c r="BVP31" s="290"/>
      <c r="BVQ31" s="290"/>
      <c r="BVR31" s="290"/>
      <c r="BVS31" s="290"/>
      <c r="BVT31" s="290"/>
      <c r="BVU31" s="290"/>
      <c r="BVV31" s="290"/>
      <c r="BVW31" s="290"/>
      <c r="BVX31" s="290"/>
      <c r="BVY31" s="290"/>
      <c r="BVZ31" s="290"/>
      <c r="BWA31" s="290"/>
      <c r="BWB31" s="290"/>
      <c r="BWC31" s="290"/>
      <c r="BWD31" s="290"/>
      <c r="BWE31" s="290"/>
      <c r="BWF31" s="290"/>
      <c r="BWG31" s="290"/>
      <c r="BWH31" s="290"/>
      <c r="BWI31" s="290"/>
      <c r="BWJ31" s="290"/>
      <c r="BWK31" s="290"/>
      <c r="BWL31" s="290"/>
      <c r="BWM31" s="290"/>
      <c r="BWN31" s="290"/>
      <c r="BWO31" s="290"/>
      <c r="BWP31" s="290"/>
      <c r="BWQ31" s="290"/>
      <c r="BWR31" s="290"/>
      <c r="BWS31" s="290"/>
      <c r="BWT31" s="290"/>
      <c r="BWU31" s="290"/>
      <c r="BWV31" s="290"/>
      <c r="BWW31" s="290"/>
      <c r="BWX31" s="290"/>
      <c r="BWY31" s="290"/>
      <c r="BWZ31" s="290"/>
      <c r="BXA31" s="290"/>
      <c r="BXB31" s="290"/>
      <c r="BXC31" s="290"/>
      <c r="BXD31" s="290"/>
      <c r="BXE31" s="290"/>
      <c r="BXF31" s="290"/>
      <c r="BXG31" s="290"/>
      <c r="BXH31" s="290"/>
      <c r="BXI31" s="290"/>
      <c r="BXJ31" s="290"/>
      <c r="BXK31" s="290"/>
      <c r="BXL31" s="290"/>
      <c r="BXM31" s="290"/>
      <c r="BXN31" s="290"/>
      <c r="BXO31" s="290"/>
      <c r="BXP31" s="290"/>
      <c r="BXQ31" s="290"/>
      <c r="BXR31" s="290"/>
      <c r="BXS31" s="290"/>
      <c r="BXT31" s="290"/>
      <c r="BXU31" s="290"/>
      <c r="BXV31" s="290"/>
      <c r="BXW31" s="290"/>
      <c r="BXX31" s="290"/>
      <c r="BXY31" s="290"/>
      <c r="BXZ31" s="290"/>
      <c r="BYA31" s="290"/>
      <c r="BYB31" s="290"/>
      <c r="BYC31" s="290"/>
      <c r="BYD31" s="290"/>
      <c r="BYE31" s="290"/>
      <c r="BYF31" s="290"/>
      <c r="BYG31" s="290"/>
      <c r="BYH31" s="290"/>
      <c r="BYI31" s="290"/>
      <c r="BYJ31" s="290"/>
      <c r="BYK31" s="290"/>
      <c r="BYL31" s="290"/>
      <c r="BYM31" s="290"/>
      <c r="BYN31" s="290"/>
      <c r="BYO31" s="290"/>
      <c r="BYP31" s="290"/>
      <c r="BYQ31" s="290"/>
      <c r="BYR31" s="290"/>
      <c r="BYS31" s="290"/>
      <c r="BYT31" s="290"/>
      <c r="BYU31" s="290"/>
      <c r="BYV31" s="290"/>
      <c r="BYW31" s="290"/>
      <c r="BYX31" s="290"/>
      <c r="BYY31" s="290"/>
      <c r="BYZ31" s="290"/>
      <c r="BZA31" s="290"/>
      <c r="BZB31" s="290"/>
      <c r="BZC31" s="290"/>
      <c r="BZD31" s="290"/>
      <c r="BZE31" s="290"/>
      <c r="BZF31" s="290"/>
      <c r="BZG31" s="290"/>
      <c r="BZH31" s="290"/>
      <c r="BZI31" s="290"/>
      <c r="BZJ31" s="290"/>
      <c r="BZK31" s="290"/>
      <c r="BZL31" s="290"/>
      <c r="BZM31" s="290"/>
      <c r="BZN31" s="290"/>
      <c r="BZO31" s="290"/>
      <c r="BZP31" s="290"/>
      <c r="BZQ31" s="290"/>
      <c r="BZR31" s="290"/>
      <c r="BZS31" s="290"/>
      <c r="BZT31" s="290"/>
      <c r="BZU31" s="290"/>
      <c r="BZV31" s="290"/>
      <c r="BZW31" s="290"/>
      <c r="BZX31" s="290"/>
      <c r="BZY31" s="290"/>
      <c r="BZZ31" s="290"/>
      <c r="CAA31" s="290"/>
      <c r="CAB31" s="290"/>
      <c r="CAC31" s="290"/>
      <c r="CAD31" s="290"/>
      <c r="CAE31" s="290"/>
      <c r="CAF31" s="290"/>
      <c r="CAG31" s="290"/>
      <c r="CAH31" s="290"/>
      <c r="CAI31" s="290"/>
      <c r="CAJ31" s="290"/>
      <c r="CAK31" s="290"/>
      <c r="CAL31" s="290"/>
      <c r="CAM31" s="290"/>
      <c r="CAN31" s="290"/>
      <c r="CAO31" s="290"/>
      <c r="CAP31" s="290"/>
      <c r="CAQ31" s="290"/>
      <c r="CAR31" s="290"/>
      <c r="CAS31" s="290"/>
      <c r="CAT31" s="290"/>
      <c r="CAU31" s="290"/>
      <c r="CAV31" s="290"/>
      <c r="CAW31" s="290"/>
      <c r="CAX31" s="290"/>
      <c r="CAY31" s="290"/>
      <c r="CAZ31" s="290"/>
      <c r="CBA31" s="290"/>
      <c r="CBB31" s="290"/>
      <c r="CBC31" s="290"/>
      <c r="CBD31" s="290"/>
      <c r="CBE31" s="290"/>
      <c r="CBF31" s="290"/>
      <c r="CBG31" s="290"/>
      <c r="CBH31" s="290"/>
      <c r="CBI31" s="290"/>
      <c r="CBJ31" s="290"/>
      <c r="CBK31" s="290"/>
      <c r="CBL31" s="290"/>
      <c r="CBM31" s="290"/>
      <c r="CBN31" s="290"/>
      <c r="CBO31" s="290"/>
      <c r="CBP31" s="290"/>
      <c r="CBQ31" s="290"/>
      <c r="CBR31" s="290"/>
      <c r="CBS31" s="290"/>
      <c r="CBT31" s="290"/>
      <c r="CBU31" s="290"/>
      <c r="CBV31" s="290"/>
      <c r="CBW31" s="290"/>
      <c r="CBX31" s="290"/>
      <c r="CBY31" s="290"/>
      <c r="CBZ31" s="290"/>
      <c r="CCA31" s="290"/>
      <c r="CCB31" s="290"/>
      <c r="CCC31" s="290"/>
      <c r="CCD31" s="290"/>
      <c r="CCE31" s="290"/>
      <c r="CCF31" s="290"/>
      <c r="CCG31" s="290"/>
      <c r="CCH31" s="290"/>
      <c r="CCI31" s="290"/>
      <c r="CCJ31" s="290"/>
      <c r="CCK31" s="290"/>
      <c r="CCL31" s="290"/>
      <c r="CCM31" s="290"/>
      <c r="CCN31" s="290"/>
      <c r="CCO31" s="290"/>
      <c r="CCP31" s="290"/>
      <c r="CCQ31" s="290"/>
      <c r="CCR31" s="290"/>
      <c r="CCS31" s="290"/>
      <c r="CCT31" s="290"/>
      <c r="CCU31" s="290"/>
      <c r="CCV31" s="290"/>
      <c r="CCW31" s="290"/>
      <c r="CCX31" s="290"/>
      <c r="CCY31" s="290"/>
      <c r="CCZ31" s="290"/>
      <c r="CDA31" s="290"/>
      <c r="CDB31" s="290"/>
      <c r="CDC31" s="290"/>
      <c r="CDD31" s="290"/>
      <c r="CDE31" s="290"/>
      <c r="CDF31" s="290"/>
      <c r="CDG31" s="290"/>
      <c r="CDH31" s="290"/>
      <c r="CDI31" s="290"/>
      <c r="CDJ31" s="290"/>
      <c r="CDK31" s="290"/>
      <c r="CDL31" s="290"/>
      <c r="CDM31" s="290"/>
      <c r="CDN31" s="290"/>
      <c r="CDO31" s="290"/>
      <c r="CDP31" s="290"/>
      <c r="CDQ31" s="290"/>
      <c r="CDR31" s="290"/>
      <c r="CDS31" s="290"/>
      <c r="CDT31" s="290"/>
      <c r="CDU31" s="290"/>
      <c r="CDV31" s="290"/>
      <c r="CDW31" s="290"/>
      <c r="CDX31" s="290"/>
      <c r="CDY31" s="290"/>
      <c r="CDZ31" s="290"/>
      <c r="CEA31" s="290"/>
      <c r="CEB31" s="290"/>
      <c r="CEC31" s="290"/>
      <c r="CED31" s="290"/>
      <c r="CEE31" s="290"/>
      <c r="CEF31" s="290"/>
      <c r="CEG31" s="290"/>
      <c r="CEH31" s="290"/>
      <c r="CEI31" s="290"/>
      <c r="CEJ31" s="290"/>
      <c r="CEK31" s="290"/>
      <c r="CEL31" s="290"/>
      <c r="CEM31" s="290"/>
      <c r="CEN31" s="290"/>
      <c r="CEO31" s="290"/>
      <c r="CEP31" s="290"/>
      <c r="CEQ31" s="290"/>
      <c r="CER31" s="290"/>
      <c r="CES31" s="290"/>
      <c r="CET31" s="290"/>
      <c r="CEU31" s="290"/>
      <c r="CEV31" s="290"/>
      <c r="CEW31" s="290"/>
      <c r="CEX31" s="290"/>
      <c r="CEY31" s="290"/>
      <c r="CEZ31" s="290"/>
      <c r="CFA31" s="290"/>
      <c r="CFB31" s="290"/>
      <c r="CFC31" s="290"/>
      <c r="CFD31" s="290"/>
      <c r="CFE31" s="290"/>
      <c r="CFF31" s="290"/>
      <c r="CFG31" s="290"/>
      <c r="CFH31" s="290"/>
      <c r="CFI31" s="290"/>
      <c r="CFJ31" s="290"/>
      <c r="CFK31" s="290"/>
      <c r="CFL31" s="290"/>
      <c r="CFM31" s="290"/>
      <c r="CFN31" s="290"/>
      <c r="CFO31" s="290"/>
      <c r="CFP31" s="290"/>
      <c r="CFQ31" s="290"/>
      <c r="CFR31" s="290"/>
      <c r="CFS31" s="290"/>
      <c r="CFT31" s="290"/>
      <c r="CFU31" s="290"/>
      <c r="CFV31" s="290"/>
      <c r="CFW31" s="290"/>
      <c r="CFX31" s="290"/>
      <c r="CFY31" s="290"/>
      <c r="CFZ31" s="290"/>
      <c r="CGA31" s="290"/>
      <c r="CGB31" s="290"/>
      <c r="CGC31" s="290"/>
      <c r="CGD31" s="290"/>
      <c r="CGE31" s="290"/>
      <c r="CGF31" s="290"/>
      <c r="CGG31" s="290"/>
      <c r="CGH31" s="290"/>
      <c r="CGI31" s="290"/>
      <c r="CGJ31" s="290"/>
      <c r="CGK31" s="290"/>
      <c r="CGL31" s="290"/>
      <c r="CGM31" s="290"/>
      <c r="CGN31" s="290"/>
      <c r="CGO31" s="290"/>
      <c r="CGP31" s="290"/>
      <c r="CGQ31" s="290"/>
      <c r="CGR31" s="290"/>
      <c r="CGS31" s="290"/>
      <c r="CGT31" s="290"/>
      <c r="CGU31" s="290"/>
      <c r="CGV31" s="290"/>
      <c r="CGW31" s="290"/>
      <c r="CGX31" s="290"/>
      <c r="CGY31" s="290"/>
      <c r="CGZ31" s="290"/>
      <c r="CHA31" s="290"/>
      <c r="CHB31" s="290"/>
      <c r="CHC31" s="290"/>
      <c r="CHD31" s="290"/>
      <c r="CHE31" s="290"/>
      <c r="CHF31" s="290"/>
      <c r="CHG31" s="290"/>
      <c r="CHH31" s="290"/>
      <c r="CHI31" s="290"/>
      <c r="CHJ31" s="290"/>
      <c r="CHK31" s="290"/>
      <c r="CHL31" s="290"/>
      <c r="CHM31" s="290"/>
      <c r="CHN31" s="290"/>
      <c r="CHO31" s="290"/>
      <c r="CHP31" s="290"/>
      <c r="CHQ31" s="290"/>
      <c r="CHR31" s="290"/>
      <c r="CHS31" s="290"/>
      <c r="CHT31" s="290"/>
      <c r="CHU31" s="290"/>
      <c r="CHV31" s="290"/>
      <c r="CHW31" s="290"/>
      <c r="CHX31" s="290"/>
      <c r="CHY31" s="290"/>
      <c r="CHZ31" s="290"/>
      <c r="CIA31" s="290"/>
      <c r="CIB31" s="290"/>
      <c r="CIC31" s="290"/>
      <c r="CID31" s="290"/>
      <c r="CIE31" s="290"/>
      <c r="CIF31" s="290"/>
      <c r="CIG31" s="290"/>
      <c r="CIH31" s="290"/>
      <c r="CII31" s="290"/>
      <c r="CIJ31" s="290"/>
      <c r="CIK31" s="290"/>
      <c r="CIL31" s="290"/>
      <c r="CIM31" s="290"/>
      <c r="CIN31" s="290"/>
      <c r="CIO31" s="290"/>
      <c r="CIP31" s="290"/>
      <c r="CIQ31" s="290"/>
      <c r="CIR31" s="290"/>
      <c r="CIS31" s="290"/>
      <c r="CIT31" s="290"/>
      <c r="CIU31" s="290"/>
      <c r="CIV31" s="290"/>
      <c r="CIW31" s="290"/>
      <c r="CIX31" s="290"/>
      <c r="CIY31" s="290"/>
      <c r="CIZ31" s="290"/>
      <c r="CJA31" s="290"/>
      <c r="CJB31" s="290"/>
      <c r="CJC31" s="290"/>
      <c r="CJD31" s="290"/>
      <c r="CJE31" s="290"/>
      <c r="CJF31" s="290"/>
      <c r="CJG31" s="290"/>
      <c r="CJH31" s="290"/>
      <c r="CJI31" s="290"/>
      <c r="CJJ31" s="290"/>
      <c r="CJK31" s="290"/>
      <c r="CJL31" s="290"/>
      <c r="CJM31" s="290"/>
      <c r="CJN31" s="290"/>
      <c r="CJO31" s="290"/>
      <c r="CJP31" s="290"/>
      <c r="CJQ31" s="290"/>
      <c r="CJR31" s="290"/>
      <c r="CJS31" s="290"/>
      <c r="CJT31" s="290"/>
      <c r="CJU31" s="290"/>
      <c r="CJV31" s="290"/>
      <c r="CJW31" s="290"/>
      <c r="CJX31" s="290"/>
      <c r="CJY31" s="290"/>
      <c r="CJZ31" s="290"/>
      <c r="CKA31" s="290"/>
      <c r="CKB31" s="290"/>
      <c r="CKC31" s="290"/>
      <c r="CKD31" s="290"/>
      <c r="CKE31" s="290"/>
      <c r="CKF31" s="290"/>
      <c r="CKG31" s="290"/>
      <c r="CKH31" s="290"/>
      <c r="CKI31" s="290"/>
      <c r="CKJ31" s="290"/>
      <c r="CKK31" s="290"/>
      <c r="CKL31" s="290"/>
      <c r="CKM31" s="290"/>
      <c r="CKN31" s="290"/>
      <c r="CKO31" s="290"/>
      <c r="CKP31" s="290"/>
      <c r="CKQ31" s="290"/>
      <c r="CKR31" s="290"/>
      <c r="CKS31" s="290"/>
      <c r="CKT31" s="290"/>
      <c r="CKU31" s="290"/>
      <c r="CKV31" s="290"/>
      <c r="CKW31" s="290"/>
      <c r="CKX31" s="290"/>
      <c r="CKY31" s="290"/>
      <c r="CKZ31" s="290"/>
      <c r="CLA31" s="290"/>
      <c r="CLB31" s="290"/>
      <c r="CLC31" s="290"/>
      <c r="CLD31" s="290"/>
      <c r="CLE31" s="290"/>
      <c r="CLF31" s="290"/>
      <c r="CLG31" s="290"/>
      <c r="CLH31" s="290"/>
      <c r="CLI31" s="290"/>
      <c r="CLJ31" s="290"/>
      <c r="CLK31" s="290"/>
      <c r="CLL31" s="290"/>
      <c r="CLM31" s="290"/>
      <c r="CLN31" s="290"/>
      <c r="CLO31" s="290"/>
      <c r="CLP31" s="290"/>
      <c r="CLQ31" s="290"/>
      <c r="CLR31" s="290"/>
      <c r="CLS31" s="290"/>
      <c r="CLT31" s="290"/>
      <c r="CLU31" s="290"/>
      <c r="CLV31" s="290"/>
      <c r="CLW31" s="290"/>
      <c r="CLX31" s="290"/>
      <c r="CLY31" s="290"/>
      <c r="CLZ31" s="290"/>
      <c r="CMA31" s="290"/>
      <c r="CMB31" s="290"/>
      <c r="CMC31" s="290"/>
      <c r="CMD31" s="290"/>
      <c r="CME31" s="290"/>
      <c r="CMF31" s="290"/>
      <c r="CMG31" s="290"/>
      <c r="CMH31" s="290"/>
      <c r="CMI31" s="290"/>
      <c r="CMJ31" s="290"/>
      <c r="CMK31" s="290"/>
      <c r="CML31" s="290"/>
      <c r="CMM31" s="290"/>
      <c r="CMN31" s="290"/>
      <c r="CMO31" s="290"/>
      <c r="CMP31" s="290"/>
      <c r="CMQ31" s="290"/>
      <c r="CMR31" s="290"/>
      <c r="CMS31" s="290"/>
      <c r="CMT31" s="290"/>
      <c r="CMU31" s="290"/>
      <c r="CMV31" s="290"/>
      <c r="CMW31" s="290"/>
      <c r="CMX31" s="290"/>
      <c r="CMY31" s="290"/>
      <c r="CMZ31" s="290"/>
      <c r="CNA31" s="290"/>
      <c r="CNB31" s="290"/>
      <c r="CNC31" s="290"/>
      <c r="CND31" s="290"/>
      <c r="CNE31" s="290"/>
      <c r="CNF31" s="290"/>
      <c r="CNG31" s="290"/>
      <c r="CNH31" s="290"/>
      <c r="CNI31" s="290"/>
      <c r="CNJ31" s="290"/>
      <c r="CNK31" s="290"/>
      <c r="CNL31" s="290"/>
      <c r="CNM31" s="290"/>
      <c r="CNN31" s="290"/>
      <c r="CNO31" s="290"/>
      <c r="CNP31" s="290"/>
      <c r="CNQ31" s="290"/>
      <c r="CNR31" s="290"/>
      <c r="CNS31" s="290"/>
      <c r="CNT31" s="290"/>
      <c r="CNU31" s="290"/>
      <c r="CNV31" s="290"/>
      <c r="CNW31" s="290"/>
      <c r="CNX31" s="290"/>
      <c r="CNY31" s="290"/>
      <c r="CNZ31" s="290"/>
      <c r="COA31" s="290"/>
      <c r="COB31" s="290"/>
      <c r="COC31" s="290"/>
      <c r="COD31" s="290"/>
      <c r="COE31" s="290"/>
      <c r="COF31" s="290"/>
      <c r="COG31" s="290"/>
      <c r="COH31" s="290"/>
      <c r="COI31" s="290"/>
      <c r="COJ31" s="290"/>
      <c r="COK31" s="290"/>
      <c r="COL31" s="290"/>
      <c r="COM31" s="290"/>
      <c r="CON31" s="290"/>
      <c r="COO31" s="290"/>
      <c r="COP31" s="290"/>
      <c r="COQ31" s="290"/>
      <c r="COR31" s="290"/>
      <c r="COS31" s="290"/>
      <c r="COT31" s="290"/>
      <c r="COU31" s="290"/>
      <c r="COV31" s="290"/>
      <c r="COW31" s="290"/>
      <c r="COX31" s="290"/>
      <c r="COY31" s="290"/>
      <c r="COZ31" s="290"/>
      <c r="CPA31" s="290"/>
      <c r="CPB31" s="290"/>
      <c r="CPC31" s="290"/>
      <c r="CPD31" s="290"/>
      <c r="CPE31" s="290"/>
      <c r="CPF31" s="290"/>
      <c r="CPG31" s="290"/>
      <c r="CPH31" s="290"/>
      <c r="CPI31" s="290"/>
      <c r="CPJ31" s="290"/>
      <c r="CPK31" s="290"/>
      <c r="CPL31" s="290"/>
      <c r="CPM31" s="290"/>
      <c r="CPN31" s="290"/>
      <c r="CPO31" s="290"/>
      <c r="CPP31" s="290"/>
      <c r="CPQ31" s="290"/>
      <c r="CPR31" s="290"/>
      <c r="CPS31" s="290"/>
      <c r="CPT31" s="290"/>
      <c r="CPU31" s="290"/>
      <c r="CPV31" s="290"/>
      <c r="CPW31" s="290"/>
      <c r="CPX31" s="290"/>
      <c r="CPY31" s="290"/>
      <c r="CPZ31" s="290"/>
      <c r="CQA31" s="290"/>
      <c r="CQB31" s="290"/>
      <c r="CQC31" s="290"/>
      <c r="CQD31" s="290"/>
      <c r="CQE31" s="290"/>
      <c r="CQF31" s="290"/>
      <c r="CQG31" s="290"/>
      <c r="CQH31" s="290"/>
      <c r="CQI31" s="290"/>
      <c r="CQJ31" s="290"/>
      <c r="CQK31" s="290"/>
      <c r="CQL31" s="290"/>
      <c r="CQM31" s="290"/>
      <c r="CQN31" s="290"/>
      <c r="CQO31" s="290"/>
      <c r="CQP31" s="290"/>
      <c r="CQQ31" s="290"/>
      <c r="CQR31" s="290"/>
      <c r="CQS31" s="290"/>
      <c r="CQT31" s="290"/>
      <c r="CQU31" s="290"/>
      <c r="CQV31" s="290"/>
      <c r="CQW31" s="290"/>
      <c r="CQX31" s="290"/>
      <c r="CQY31" s="290"/>
      <c r="CQZ31" s="290"/>
      <c r="CRA31" s="290"/>
      <c r="CRB31" s="290"/>
      <c r="CRC31" s="290"/>
      <c r="CRD31" s="290"/>
      <c r="CRE31" s="290"/>
      <c r="CRF31" s="290"/>
      <c r="CRG31" s="290"/>
      <c r="CRH31" s="290"/>
      <c r="CRI31" s="290"/>
      <c r="CRJ31" s="290"/>
      <c r="CRK31" s="290"/>
      <c r="CRL31" s="290"/>
      <c r="CRM31" s="290"/>
      <c r="CRN31" s="290"/>
      <c r="CRO31" s="290"/>
      <c r="CRP31" s="290"/>
      <c r="CRQ31" s="290"/>
      <c r="CRR31" s="290"/>
      <c r="CRS31" s="290"/>
      <c r="CRT31" s="290"/>
      <c r="CRU31" s="290"/>
      <c r="CRV31" s="290"/>
      <c r="CRW31" s="290"/>
      <c r="CRX31" s="290"/>
      <c r="CRY31" s="290"/>
      <c r="CRZ31" s="290"/>
      <c r="CSA31" s="290"/>
      <c r="CSB31" s="290"/>
      <c r="CSC31" s="290"/>
      <c r="CSD31" s="290"/>
      <c r="CSE31" s="290"/>
      <c r="CSF31" s="290"/>
      <c r="CSG31" s="290"/>
      <c r="CSH31" s="290"/>
      <c r="CSI31" s="290"/>
      <c r="CSJ31" s="290"/>
      <c r="CSK31" s="290"/>
      <c r="CSL31" s="290"/>
      <c r="CSM31" s="290"/>
      <c r="CSN31" s="290"/>
      <c r="CSO31" s="290"/>
      <c r="CSP31" s="290"/>
      <c r="CSQ31" s="290"/>
      <c r="CSR31" s="290"/>
      <c r="CSS31" s="290"/>
      <c r="CST31" s="290"/>
      <c r="CSU31" s="290"/>
      <c r="CSV31" s="290"/>
      <c r="CSW31" s="290"/>
      <c r="CSX31" s="290"/>
      <c r="CSY31" s="290"/>
      <c r="CSZ31" s="290"/>
      <c r="CTA31" s="290"/>
      <c r="CTB31" s="290"/>
      <c r="CTC31" s="290"/>
      <c r="CTD31" s="290"/>
      <c r="CTE31" s="290"/>
      <c r="CTF31" s="290"/>
      <c r="CTG31" s="290"/>
      <c r="CTH31" s="290"/>
      <c r="CTI31" s="290"/>
      <c r="CTJ31" s="290"/>
      <c r="CTK31" s="290"/>
      <c r="CTL31" s="290"/>
      <c r="CTM31" s="290"/>
      <c r="CTN31" s="290"/>
      <c r="CTO31" s="290"/>
      <c r="CTP31" s="290"/>
      <c r="CTQ31" s="290"/>
      <c r="CTR31" s="290"/>
      <c r="CTS31" s="290"/>
      <c r="CTT31" s="290"/>
      <c r="CTU31" s="290"/>
      <c r="CTV31" s="290"/>
      <c r="CTW31" s="290"/>
      <c r="CTX31" s="290"/>
      <c r="CTY31" s="290"/>
      <c r="CTZ31" s="290"/>
      <c r="CUA31" s="290"/>
      <c r="CUB31" s="290"/>
      <c r="CUC31" s="290"/>
      <c r="CUD31" s="290"/>
      <c r="CUE31" s="290"/>
      <c r="CUF31" s="290"/>
      <c r="CUG31" s="290"/>
      <c r="CUH31" s="290"/>
      <c r="CUI31" s="290"/>
      <c r="CUJ31" s="290"/>
      <c r="CUK31" s="290"/>
      <c r="CUL31" s="290"/>
      <c r="CUM31" s="290"/>
      <c r="CUN31" s="290"/>
      <c r="CUO31" s="290"/>
      <c r="CUP31" s="290"/>
      <c r="CUQ31" s="290"/>
      <c r="CUR31" s="290"/>
      <c r="CUS31" s="290"/>
      <c r="CUT31" s="290"/>
      <c r="CUU31" s="290"/>
      <c r="CUV31" s="290"/>
      <c r="CUW31" s="290"/>
      <c r="CUX31" s="290"/>
      <c r="CUY31" s="290"/>
      <c r="CUZ31" s="290"/>
      <c r="CVA31" s="290"/>
      <c r="CVB31" s="290"/>
      <c r="CVC31" s="290"/>
      <c r="CVD31" s="290"/>
      <c r="CVE31" s="290"/>
      <c r="CVF31" s="290"/>
      <c r="CVG31" s="290"/>
      <c r="CVH31" s="290"/>
      <c r="CVI31" s="290"/>
      <c r="CVJ31" s="290"/>
      <c r="CVK31" s="290"/>
      <c r="CVL31" s="290"/>
      <c r="CVM31" s="290"/>
      <c r="CVN31" s="290"/>
      <c r="CVO31" s="290"/>
      <c r="CVP31" s="290"/>
      <c r="CVQ31" s="290"/>
      <c r="CVR31" s="290"/>
      <c r="CVS31" s="290"/>
      <c r="CVT31" s="290"/>
      <c r="CVU31" s="290"/>
      <c r="CVV31" s="290"/>
      <c r="CVW31" s="290"/>
      <c r="CVX31" s="290"/>
      <c r="CVY31" s="290"/>
      <c r="CVZ31" s="290"/>
      <c r="CWA31" s="290"/>
      <c r="CWB31" s="290"/>
      <c r="CWC31" s="290"/>
      <c r="CWD31" s="290"/>
      <c r="CWE31" s="290"/>
      <c r="CWF31" s="290"/>
      <c r="CWG31" s="290"/>
      <c r="CWH31" s="290"/>
      <c r="CWI31" s="290"/>
      <c r="CWJ31" s="290"/>
      <c r="CWK31" s="290"/>
      <c r="CWL31" s="290"/>
      <c r="CWM31" s="290"/>
      <c r="CWN31" s="290"/>
      <c r="CWO31" s="290"/>
      <c r="CWP31" s="290"/>
      <c r="CWQ31" s="290"/>
      <c r="CWR31" s="290"/>
      <c r="CWS31" s="290"/>
      <c r="CWT31" s="290"/>
      <c r="CWU31" s="290"/>
      <c r="CWV31" s="290"/>
      <c r="CWW31" s="290"/>
      <c r="CWX31" s="290"/>
      <c r="CWY31" s="290"/>
      <c r="CWZ31" s="290"/>
      <c r="CXA31" s="290"/>
      <c r="CXB31" s="290"/>
      <c r="CXC31" s="290"/>
      <c r="CXD31" s="290"/>
      <c r="CXE31" s="290"/>
      <c r="CXF31" s="290"/>
      <c r="CXG31" s="290"/>
      <c r="CXH31" s="290"/>
      <c r="CXI31" s="290"/>
      <c r="CXJ31" s="290"/>
      <c r="CXK31" s="290"/>
      <c r="CXL31" s="290"/>
      <c r="CXM31" s="290"/>
      <c r="CXN31" s="290"/>
      <c r="CXO31" s="290"/>
      <c r="CXP31" s="290"/>
      <c r="CXQ31" s="290"/>
      <c r="CXR31" s="290"/>
      <c r="CXS31" s="290"/>
      <c r="CXT31" s="290"/>
      <c r="CXU31" s="290"/>
      <c r="CXV31" s="290"/>
      <c r="CXW31" s="290"/>
      <c r="CXX31" s="290"/>
      <c r="CXY31" s="290"/>
      <c r="CXZ31" s="290"/>
      <c r="CYA31" s="290"/>
      <c r="CYB31" s="290"/>
      <c r="CYC31" s="290"/>
      <c r="CYD31" s="290"/>
      <c r="CYE31" s="290"/>
      <c r="CYF31" s="290"/>
      <c r="CYG31" s="290"/>
      <c r="CYH31" s="290"/>
      <c r="CYI31" s="290"/>
      <c r="CYJ31" s="290"/>
      <c r="CYK31" s="290"/>
      <c r="CYL31" s="290"/>
      <c r="CYM31" s="290"/>
      <c r="CYN31" s="290"/>
      <c r="CYO31" s="290"/>
      <c r="CYP31" s="290"/>
      <c r="CYQ31" s="290"/>
      <c r="CYR31" s="290"/>
      <c r="CYS31" s="290"/>
      <c r="CYT31" s="290"/>
      <c r="CYU31" s="290"/>
      <c r="CYV31" s="290"/>
      <c r="CYW31" s="290"/>
      <c r="CYX31" s="290"/>
      <c r="CYY31" s="290"/>
      <c r="CYZ31" s="290"/>
      <c r="CZA31" s="290"/>
      <c r="CZB31" s="290"/>
      <c r="CZC31" s="290"/>
      <c r="CZD31" s="290"/>
      <c r="CZE31" s="290"/>
      <c r="CZF31" s="290"/>
      <c r="CZG31" s="290"/>
      <c r="CZH31" s="290"/>
      <c r="CZI31" s="290"/>
      <c r="CZJ31" s="290"/>
      <c r="CZK31" s="290"/>
      <c r="CZL31" s="290"/>
      <c r="CZM31" s="290"/>
      <c r="CZN31" s="290"/>
      <c r="CZO31" s="290"/>
      <c r="CZP31" s="290"/>
      <c r="CZQ31" s="290"/>
      <c r="CZR31" s="290"/>
      <c r="CZS31" s="290"/>
      <c r="CZT31" s="290"/>
      <c r="CZU31" s="290"/>
      <c r="CZV31" s="290"/>
      <c r="CZW31" s="290"/>
      <c r="CZX31" s="290"/>
      <c r="CZY31" s="290"/>
      <c r="CZZ31" s="290"/>
      <c r="DAA31" s="290"/>
      <c r="DAB31" s="290"/>
      <c r="DAC31" s="290"/>
      <c r="DAD31" s="290"/>
      <c r="DAE31" s="290"/>
      <c r="DAF31" s="290"/>
      <c r="DAG31" s="290"/>
      <c r="DAH31" s="290"/>
      <c r="DAI31" s="290"/>
      <c r="DAJ31" s="290"/>
      <c r="DAK31" s="290"/>
      <c r="DAL31" s="290"/>
      <c r="DAM31" s="290"/>
      <c r="DAN31" s="290"/>
      <c r="DAO31" s="290"/>
      <c r="DAP31" s="290"/>
      <c r="DAQ31" s="290"/>
      <c r="DAR31" s="290"/>
      <c r="DAS31" s="290"/>
      <c r="DAT31" s="290"/>
      <c r="DAU31" s="290"/>
      <c r="DAV31" s="290"/>
      <c r="DAW31" s="290"/>
      <c r="DAX31" s="290"/>
      <c r="DAY31" s="290"/>
      <c r="DAZ31" s="290"/>
      <c r="DBA31" s="290"/>
      <c r="DBB31" s="290"/>
      <c r="DBC31" s="290"/>
      <c r="DBD31" s="290"/>
      <c r="DBE31" s="290"/>
      <c r="DBF31" s="290"/>
      <c r="DBG31" s="290"/>
      <c r="DBH31" s="290"/>
      <c r="DBI31" s="290"/>
      <c r="DBJ31" s="290"/>
      <c r="DBK31" s="290"/>
      <c r="DBL31" s="290"/>
      <c r="DBM31" s="290"/>
      <c r="DBN31" s="290"/>
      <c r="DBO31" s="290"/>
      <c r="DBP31" s="290"/>
      <c r="DBQ31" s="290"/>
      <c r="DBR31" s="290"/>
      <c r="DBS31" s="290"/>
      <c r="DBT31" s="290"/>
      <c r="DBU31" s="290"/>
      <c r="DBV31" s="290"/>
      <c r="DBW31" s="290"/>
      <c r="DBX31" s="290"/>
      <c r="DBY31" s="290"/>
      <c r="DBZ31" s="290"/>
      <c r="DCA31" s="290"/>
      <c r="DCB31" s="290"/>
      <c r="DCC31" s="290"/>
      <c r="DCD31" s="290"/>
      <c r="DCE31" s="290"/>
      <c r="DCF31" s="290"/>
      <c r="DCG31" s="290"/>
      <c r="DCH31" s="290"/>
      <c r="DCI31" s="290"/>
      <c r="DCJ31" s="290"/>
      <c r="DCK31" s="290"/>
      <c r="DCL31" s="290"/>
      <c r="DCM31" s="290"/>
      <c r="DCN31" s="290"/>
      <c r="DCO31" s="290"/>
      <c r="DCP31" s="290"/>
      <c r="DCQ31" s="290"/>
      <c r="DCR31" s="290"/>
      <c r="DCS31" s="290"/>
      <c r="DCT31" s="290"/>
      <c r="DCU31" s="290"/>
      <c r="DCV31" s="290"/>
      <c r="DCW31" s="290"/>
      <c r="DCX31" s="290"/>
      <c r="DCY31" s="290"/>
      <c r="DCZ31" s="290"/>
      <c r="DDA31" s="290"/>
      <c r="DDB31" s="290"/>
      <c r="DDC31" s="290"/>
      <c r="DDD31" s="290"/>
      <c r="DDE31" s="290"/>
      <c r="DDF31" s="290"/>
      <c r="DDG31" s="290"/>
      <c r="DDH31" s="290"/>
      <c r="DDI31" s="290"/>
      <c r="DDJ31" s="290"/>
      <c r="DDK31" s="290"/>
      <c r="DDL31" s="290"/>
      <c r="DDM31" s="290"/>
      <c r="DDN31" s="290"/>
      <c r="DDO31" s="290"/>
      <c r="DDP31" s="290"/>
      <c r="DDQ31" s="290"/>
      <c r="DDR31" s="290"/>
      <c r="DDS31" s="290"/>
      <c r="DDT31" s="290"/>
      <c r="DDU31" s="290"/>
      <c r="DDV31" s="290"/>
      <c r="DDW31" s="290"/>
      <c r="DDX31" s="290"/>
      <c r="DDY31" s="290"/>
      <c r="DDZ31" s="290"/>
      <c r="DEA31" s="290"/>
      <c r="DEB31" s="290"/>
      <c r="DEC31" s="290"/>
      <c r="DED31" s="290"/>
      <c r="DEE31" s="290"/>
      <c r="DEF31" s="290"/>
      <c r="DEG31" s="290"/>
      <c r="DEH31" s="290"/>
      <c r="DEI31" s="290"/>
      <c r="DEJ31" s="290"/>
      <c r="DEK31" s="290"/>
      <c r="DEL31" s="290"/>
      <c r="DEM31" s="290"/>
      <c r="DEN31" s="290"/>
      <c r="DEO31" s="290"/>
      <c r="DEP31" s="290"/>
      <c r="DEQ31" s="290"/>
      <c r="DER31" s="290"/>
      <c r="DES31" s="290"/>
      <c r="DET31" s="290"/>
      <c r="DEU31" s="290"/>
      <c r="DEV31" s="290"/>
      <c r="DEW31" s="290"/>
      <c r="DEX31" s="290"/>
      <c r="DEY31" s="290"/>
      <c r="DEZ31" s="290"/>
      <c r="DFA31" s="290"/>
      <c r="DFB31" s="290"/>
      <c r="DFC31" s="290"/>
      <c r="DFD31" s="290"/>
      <c r="DFE31" s="290"/>
      <c r="DFF31" s="290"/>
      <c r="DFG31" s="290"/>
      <c r="DFH31" s="290"/>
      <c r="DFI31" s="290"/>
      <c r="DFJ31" s="290"/>
      <c r="DFK31" s="290"/>
      <c r="DFL31" s="290"/>
      <c r="DFM31" s="290"/>
      <c r="DFN31" s="290"/>
      <c r="DFO31" s="290"/>
      <c r="DFP31" s="290"/>
      <c r="DFQ31" s="290"/>
      <c r="DFR31" s="290"/>
      <c r="DFS31" s="290"/>
      <c r="DFT31" s="290"/>
      <c r="DFU31" s="290"/>
      <c r="DFV31" s="290"/>
      <c r="DFW31" s="290"/>
      <c r="DFX31" s="290"/>
      <c r="DFY31" s="290"/>
      <c r="DFZ31" s="290"/>
      <c r="DGA31" s="290"/>
      <c r="DGB31" s="290"/>
      <c r="DGC31" s="290"/>
      <c r="DGD31" s="290"/>
      <c r="DGE31" s="290"/>
      <c r="DGF31" s="290"/>
      <c r="DGG31" s="290"/>
      <c r="DGH31" s="290"/>
      <c r="DGI31" s="290"/>
      <c r="DGJ31" s="290"/>
      <c r="DGK31" s="290"/>
      <c r="DGL31" s="290"/>
      <c r="DGM31" s="290"/>
      <c r="DGN31" s="290"/>
      <c r="DGO31" s="290"/>
      <c r="DGP31" s="290"/>
      <c r="DGQ31" s="290"/>
      <c r="DGR31" s="290"/>
      <c r="DGS31" s="290"/>
      <c r="DGT31" s="290"/>
      <c r="DGU31" s="290"/>
      <c r="DGV31" s="290"/>
      <c r="DGW31" s="290"/>
      <c r="DGX31" s="290"/>
      <c r="DGY31" s="290"/>
      <c r="DGZ31" s="290"/>
      <c r="DHA31" s="290"/>
      <c r="DHB31" s="290"/>
      <c r="DHC31" s="290"/>
      <c r="DHD31" s="290"/>
      <c r="DHE31" s="290"/>
      <c r="DHF31" s="290"/>
      <c r="DHG31" s="290"/>
      <c r="DHH31" s="290"/>
      <c r="DHI31" s="290"/>
      <c r="DHJ31" s="290"/>
      <c r="DHK31" s="290"/>
      <c r="DHL31" s="290"/>
      <c r="DHM31" s="290"/>
      <c r="DHN31" s="290"/>
      <c r="DHO31" s="290"/>
      <c r="DHP31" s="290"/>
      <c r="DHQ31" s="290"/>
      <c r="DHR31" s="290"/>
      <c r="DHS31" s="290"/>
      <c r="DHT31" s="290"/>
      <c r="DHU31" s="290"/>
      <c r="DHV31" s="290"/>
      <c r="DHW31" s="290"/>
      <c r="DHX31" s="290"/>
      <c r="DHY31" s="290"/>
      <c r="DHZ31" s="290"/>
      <c r="DIA31" s="290"/>
      <c r="DIB31" s="290"/>
      <c r="DIC31" s="290"/>
      <c r="DID31" s="290"/>
      <c r="DIE31" s="290"/>
      <c r="DIF31" s="290"/>
      <c r="DIG31" s="290"/>
      <c r="DIH31" s="290"/>
      <c r="DII31" s="290"/>
      <c r="DIJ31" s="290"/>
      <c r="DIK31" s="290"/>
      <c r="DIL31" s="290"/>
      <c r="DIM31" s="290"/>
      <c r="DIN31" s="290"/>
      <c r="DIO31" s="290"/>
      <c r="DIP31" s="290"/>
      <c r="DIQ31" s="290"/>
      <c r="DIR31" s="290"/>
      <c r="DIS31" s="290"/>
      <c r="DIT31" s="290"/>
      <c r="DIU31" s="290"/>
      <c r="DIV31" s="290"/>
      <c r="DIW31" s="290"/>
      <c r="DIX31" s="290"/>
      <c r="DIY31" s="290"/>
      <c r="DIZ31" s="290"/>
      <c r="DJA31" s="290"/>
      <c r="DJB31" s="290"/>
      <c r="DJC31" s="290"/>
      <c r="DJD31" s="290"/>
      <c r="DJE31" s="290"/>
      <c r="DJF31" s="290"/>
      <c r="DJG31" s="290"/>
      <c r="DJH31" s="290"/>
      <c r="DJI31" s="290"/>
      <c r="DJJ31" s="290"/>
      <c r="DJK31" s="290"/>
      <c r="DJL31" s="290"/>
      <c r="DJM31" s="290"/>
      <c r="DJN31" s="290"/>
      <c r="DJO31" s="290"/>
      <c r="DJP31" s="290"/>
      <c r="DJQ31" s="290"/>
      <c r="DJR31" s="290"/>
      <c r="DJS31" s="290"/>
      <c r="DJT31" s="290"/>
      <c r="DJU31" s="290"/>
      <c r="DJV31" s="290"/>
      <c r="DJW31" s="290"/>
      <c r="DJX31" s="290"/>
      <c r="DJY31" s="290"/>
      <c r="DJZ31" s="290"/>
      <c r="DKA31" s="290"/>
      <c r="DKB31" s="290"/>
      <c r="DKC31" s="290"/>
      <c r="DKD31" s="290"/>
      <c r="DKE31" s="290"/>
      <c r="DKF31" s="290"/>
      <c r="DKG31" s="290"/>
      <c r="DKH31" s="290"/>
      <c r="DKI31" s="290"/>
      <c r="DKJ31" s="290"/>
      <c r="DKK31" s="290"/>
      <c r="DKL31" s="290"/>
      <c r="DKM31" s="290"/>
      <c r="DKN31" s="290"/>
      <c r="DKO31" s="290"/>
      <c r="DKP31" s="290"/>
      <c r="DKQ31" s="290"/>
      <c r="DKR31" s="290"/>
      <c r="DKS31" s="290"/>
      <c r="DKT31" s="290"/>
      <c r="DKU31" s="290"/>
      <c r="DKV31" s="290"/>
      <c r="DKW31" s="290"/>
      <c r="DKX31" s="290"/>
      <c r="DKY31" s="290"/>
      <c r="DKZ31" s="290"/>
      <c r="DLA31" s="290"/>
      <c r="DLB31" s="290"/>
      <c r="DLC31" s="290"/>
      <c r="DLD31" s="290"/>
      <c r="DLE31" s="290"/>
      <c r="DLF31" s="290"/>
      <c r="DLG31" s="290"/>
      <c r="DLH31" s="290"/>
      <c r="DLI31" s="290"/>
      <c r="DLJ31" s="290"/>
      <c r="DLK31" s="290"/>
      <c r="DLL31" s="290"/>
      <c r="DLM31" s="290"/>
      <c r="DLN31" s="290"/>
      <c r="DLO31" s="290"/>
      <c r="DLP31" s="290"/>
      <c r="DLQ31" s="290"/>
      <c r="DLR31" s="290"/>
      <c r="DLS31" s="290"/>
      <c r="DLT31" s="290"/>
      <c r="DLU31" s="290"/>
      <c r="DLV31" s="290"/>
      <c r="DLW31" s="290"/>
      <c r="DLX31" s="290"/>
      <c r="DLY31" s="290"/>
      <c r="DLZ31" s="290"/>
      <c r="DMA31" s="290"/>
      <c r="DMB31" s="290"/>
      <c r="DMC31" s="290"/>
      <c r="DMD31" s="290"/>
      <c r="DME31" s="290"/>
      <c r="DMF31" s="290"/>
      <c r="DMG31" s="290"/>
      <c r="DMH31" s="290"/>
      <c r="DMI31" s="290"/>
      <c r="DMJ31" s="290"/>
      <c r="DMK31" s="290"/>
      <c r="DML31" s="290"/>
      <c r="DMM31" s="290"/>
      <c r="DMN31" s="290"/>
      <c r="DMO31" s="290"/>
      <c r="DMP31" s="290"/>
      <c r="DMQ31" s="290"/>
      <c r="DMR31" s="290"/>
      <c r="DMS31" s="290"/>
      <c r="DMT31" s="290"/>
      <c r="DMU31" s="290"/>
      <c r="DMV31" s="290"/>
      <c r="DMW31" s="290"/>
      <c r="DMX31" s="290"/>
      <c r="DMY31" s="290"/>
      <c r="DMZ31" s="290"/>
      <c r="DNA31" s="290"/>
      <c r="DNB31" s="290"/>
      <c r="DNC31" s="290"/>
      <c r="DND31" s="290"/>
      <c r="DNE31" s="290"/>
      <c r="DNF31" s="290"/>
      <c r="DNG31" s="290"/>
      <c r="DNH31" s="290"/>
      <c r="DNI31" s="290"/>
      <c r="DNJ31" s="290"/>
      <c r="DNK31" s="290"/>
      <c r="DNL31" s="290"/>
      <c r="DNM31" s="290"/>
      <c r="DNN31" s="290"/>
      <c r="DNO31" s="290"/>
      <c r="DNP31" s="290"/>
      <c r="DNQ31" s="290"/>
      <c r="DNR31" s="290"/>
      <c r="DNS31" s="290"/>
      <c r="DNT31" s="290"/>
      <c r="DNU31" s="290"/>
      <c r="DNV31" s="290"/>
      <c r="DNW31" s="290"/>
      <c r="DNX31" s="290"/>
      <c r="DNY31" s="290"/>
      <c r="DNZ31" s="290"/>
      <c r="DOA31" s="290"/>
      <c r="DOB31" s="290"/>
      <c r="DOC31" s="290"/>
      <c r="DOD31" s="290"/>
      <c r="DOE31" s="290"/>
      <c r="DOF31" s="290"/>
      <c r="DOG31" s="290"/>
      <c r="DOH31" s="290"/>
      <c r="DOI31" s="290"/>
      <c r="DOJ31" s="290"/>
      <c r="DOK31" s="290"/>
      <c r="DOL31" s="290"/>
      <c r="DOM31" s="290"/>
      <c r="DON31" s="290"/>
      <c r="DOO31" s="290"/>
      <c r="DOP31" s="290"/>
      <c r="DOQ31" s="290"/>
      <c r="DOR31" s="290"/>
      <c r="DOS31" s="290"/>
      <c r="DOT31" s="290"/>
      <c r="DOU31" s="290"/>
      <c r="DOV31" s="290"/>
      <c r="DOW31" s="290"/>
      <c r="DOX31" s="290"/>
      <c r="DOY31" s="290"/>
      <c r="DOZ31" s="290"/>
      <c r="DPA31" s="290"/>
      <c r="DPB31" s="290"/>
      <c r="DPC31" s="290"/>
      <c r="DPD31" s="290"/>
      <c r="DPE31" s="290"/>
      <c r="DPF31" s="290"/>
      <c r="DPG31" s="290"/>
      <c r="DPH31" s="290"/>
      <c r="DPI31" s="290"/>
      <c r="DPJ31" s="290"/>
      <c r="DPK31" s="290"/>
      <c r="DPL31" s="290"/>
      <c r="DPM31" s="290"/>
      <c r="DPN31" s="290"/>
      <c r="DPO31" s="290"/>
      <c r="DPP31" s="290"/>
      <c r="DPQ31" s="290"/>
      <c r="DPR31" s="290"/>
      <c r="DPS31" s="290"/>
      <c r="DPT31" s="290"/>
      <c r="DPU31" s="290"/>
      <c r="DPV31" s="290"/>
      <c r="DPW31" s="290"/>
      <c r="DPX31" s="290"/>
      <c r="DPY31" s="290"/>
      <c r="DPZ31" s="290"/>
      <c r="DQA31" s="290"/>
      <c r="DQB31" s="290"/>
      <c r="DQC31" s="290"/>
      <c r="DQD31" s="290"/>
      <c r="DQE31" s="290"/>
      <c r="DQF31" s="290"/>
      <c r="DQG31" s="290"/>
      <c r="DQH31" s="290"/>
      <c r="DQI31" s="290"/>
      <c r="DQJ31" s="290"/>
      <c r="DQK31" s="290"/>
      <c r="DQL31" s="290"/>
      <c r="DQM31" s="290"/>
      <c r="DQN31" s="290"/>
      <c r="DQO31" s="290"/>
      <c r="DQP31" s="290"/>
      <c r="DQQ31" s="290"/>
      <c r="DQR31" s="290"/>
      <c r="DQS31" s="290"/>
      <c r="DQT31" s="290"/>
      <c r="DQU31" s="290"/>
      <c r="DQV31" s="290"/>
      <c r="DQW31" s="290"/>
      <c r="DQX31" s="290"/>
      <c r="DQY31" s="290"/>
      <c r="DQZ31" s="290"/>
      <c r="DRA31" s="290"/>
      <c r="DRB31" s="290"/>
      <c r="DRC31" s="290"/>
      <c r="DRD31" s="290"/>
      <c r="DRE31" s="290"/>
      <c r="DRF31" s="290"/>
      <c r="DRG31" s="290"/>
      <c r="DRH31" s="290"/>
      <c r="DRI31" s="290"/>
      <c r="DRJ31" s="290"/>
      <c r="DRK31" s="290"/>
      <c r="DRL31" s="290"/>
      <c r="DRM31" s="290"/>
      <c r="DRN31" s="290"/>
      <c r="DRO31" s="290"/>
      <c r="DRP31" s="290"/>
      <c r="DRQ31" s="290"/>
      <c r="DRR31" s="290"/>
      <c r="DRS31" s="290"/>
      <c r="DRT31" s="290"/>
      <c r="DRU31" s="290"/>
      <c r="DRV31" s="290"/>
      <c r="DRW31" s="290"/>
      <c r="DRX31" s="290"/>
      <c r="DRY31" s="290"/>
      <c r="DRZ31" s="290"/>
      <c r="DSA31" s="290"/>
      <c r="DSB31" s="290"/>
      <c r="DSC31" s="290"/>
      <c r="DSD31" s="290"/>
      <c r="DSE31" s="290"/>
      <c r="DSF31" s="290"/>
      <c r="DSG31" s="290"/>
      <c r="DSH31" s="290"/>
      <c r="DSI31" s="290"/>
      <c r="DSJ31" s="290"/>
      <c r="DSK31" s="290"/>
      <c r="DSL31" s="290"/>
      <c r="DSM31" s="290"/>
      <c r="DSN31" s="290"/>
      <c r="DSO31" s="290"/>
      <c r="DSP31" s="290"/>
      <c r="DSQ31" s="290"/>
      <c r="DSR31" s="290"/>
      <c r="DSS31" s="290"/>
      <c r="DST31" s="290"/>
      <c r="DSU31" s="290"/>
      <c r="DSV31" s="290"/>
      <c r="DSW31" s="290"/>
      <c r="DSX31" s="290"/>
      <c r="DSY31" s="290"/>
      <c r="DSZ31" s="290"/>
      <c r="DTA31" s="290"/>
      <c r="DTB31" s="290"/>
      <c r="DTC31" s="290"/>
      <c r="DTD31" s="290"/>
      <c r="DTE31" s="290"/>
      <c r="DTF31" s="290"/>
      <c r="DTG31" s="290"/>
      <c r="DTH31" s="290"/>
      <c r="DTI31" s="290"/>
      <c r="DTJ31" s="290"/>
      <c r="DTK31" s="290"/>
      <c r="DTL31" s="290"/>
      <c r="DTM31" s="290"/>
      <c r="DTN31" s="290"/>
      <c r="DTO31" s="290"/>
      <c r="DTP31" s="290"/>
      <c r="DTQ31" s="290"/>
      <c r="DTR31" s="290"/>
      <c r="DTS31" s="290"/>
      <c r="DTT31" s="290"/>
      <c r="DTU31" s="290"/>
      <c r="DTV31" s="290"/>
      <c r="DTW31" s="290"/>
      <c r="DTX31" s="290"/>
      <c r="DTY31" s="290"/>
      <c r="DTZ31" s="290"/>
      <c r="DUA31" s="290"/>
      <c r="DUB31" s="290"/>
      <c r="DUC31" s="290"/>
      <c r="DUD31" s="290"/>
      <c r="DUE31" s="290"/>
      <c r="DUF31" s="290"/>
      <c r="DUG31" s="290"/>
      <c r="DUH31" s="290"/>
      <c r="DUI31" s="290"/>
      <c r="DUJ31" s="290"/>
      <c r="DUK31" s="290"/>
      <c r="DUL31" s="290"/>
      <c r="DUM31" s="290"/>
      <c r="DUN31" s="290"/>
      <c r="DUO31" s="290"/>
      <c r="DUP31" s="290"/>
      <c r="DUQ31" s="290"/>
      <c r="DUR31" s="290"/>
      <c r="DUS31" s="290"/>
      <c r="DUT31" s="290"/>
      <c r="DUU31" s="290"/>
      <c r="DUV31" s="290"/>
      <c r="DUW31" s="290"/>
      <c r="DUX31" s="290"/>
      <c r="DUY31" s="290"/>
      <c r="DUZ31" s="290"/>
      <c r="DVA31" s="290"/>
      <c r="DVB31" s="290"/>
      <c r="DVC31" s="290"/>
      <c r="DVD31" s="290"/>
      <c r="DVE31" s="290"/>
      <c r="DVF31" s="290"/>
      <c r="DVG31" s="290"/>
      <c r="DVH31" s="290"/>
      <c r="DVI31" s="290"/>
      <c r="DVJ31" s="290"/>
      <c r="DVK31" s="290"/>
      <c r="DVL31" s="290"/>
      <c r="DVM31" s="290"/>
      <c r="DVN31" s="290"/>
      <c r="DVO31" s="290"/>
      <c r="DVP31" s="290"/>
      <c r="DVQ31" s="290"/>
      <c r="DVR31" s="290"/>
      <c r="DVS31" s="290"/>
      <c r="DVT31" s="290"/>
      <c r="DVU31" s="290"/>
      <c r="DVV31" s="290"/>
      <c r="DVW31" s="290"/>
      <c r="DVX31" s="290"/>
      <c r="DVY31" s="290"/>
      <c r="DVZ31" s="290"/>
      <c r="DWA31" s="290"/>
      <c r="DWB31" s="290"/>
      <c r="DWC31" s="290"/>
      <c r="DWD31" s="290"/>
      <c r="DWE31" s="290"/>
      <c r="DWF31" s="290"/>
      <c r="DWG31" s="290"/>
      <c r="DWH31" s="290"/>
      <c r="DWI31" s="290"/>
      <c r="DWJ31" s="290"/>
      <c r="DWK31" s="290"/>
      <c r="DWL31" s="290"/>
      <c r="DWM31" s="290"/>
      <c r="DWN31" s="290"/>
      <c r="DWO31" s="290"/>
      <c r="DWP31" s="290"/>
      <c r="DWQ31" s="290"/>
      <c r="DWR31" s="290"/>
      <c r="DWS31" s="290"/>
      <c r="DWT31" s="290"/>
      <c r="DWU31" s="290"/>
      <c r="DWV31" s="290"/>
      <c r="DWW31" s="290"/>
      <c r="DWX31" s="290"/>
      <c r="DWY31" s="290"/>
      <c r="DWZ31" s="290"/>
      <c r="DXA31" s="290"/>
      <c r="DXB31" s="290"/>
      <c r="DXC31" s="290"/>
      <c r="DXD31" s="290"/>
      <c r="DXE31" s="290"/>
      <c r="DXF31" s="290"/>
      <c r="DXG31" s="290"/>
      <c r="DXH31" s="290"/>
      <c r="DXI31" s="290"/>
      <c r="DXJ31" s="290"/>
      <c r="DXK31" s="290"/>
      <c r="DXL31" s="290"/>
      <c r="DXM31" s="290"/>
      <c r="DXN31" s="290"/>
      <c r="DXO31" s="290"/>
      <c r="DXP31" s="290"/>
      <c r="DXQ31" s="290"/>
      <c r="DXR31" s="290"/>
      <c r="DXS31" s="290"/>
      <c r="DXT31" s="290"/>
      <c r="DXU31" s="290"/>
      <c r="DXV31" s="290"/>
      <c r="DXW31" s="290"/>
      <c r="DXX31" s="290"/>
      <c r="DXY31" s="290"/>
      <c r="DXZ31" s="290"/>
      <c r="DYA31" s="290"/>
      <c r="DYB31" s="290"/>
      <c r="DYC31" s="290"/>
      <c r="DYD31" s="290"/>
      <c r="DYE31" s="290"/>
      <c r="DYF31" s="290"/>
      <c r="DYG31" s="290"/>
      <c r="DYH31" s="290"/>
      <c r="DYI31" s="290"/>
      <c r="DYJ31" s="290"/>
      <c r="DYK31" s="290"/>
      <c r="DYL31" s="290"/>
      <c r="DYM31" s="290"/>
      <c r="DYN31" s="290"/>
      <c r="DYO31" s="290"/>
      <c r="DYP31" s="290"/>
      <c r="DYQ31" s="290"/>
      <c r="DYR31" s="290"/>
      <c r="DYS31" s="290"/>
      <c r="DYT31" s="290"/>
      <c r="DYU31" s="290"/>
      <c r="DYV31" s="290"/>
      <c r="DYW31" s="290"/>
      <c r="DYX31" s="290"/>
      <c r="DYY31" s="290"/>
      <c r="DYZ31" s="290"/>
      <c r="DZA31" s="290"/>
      <c r="DZB31" s="290"/>
      <c r="DZC31" s="290"/>
      <c r="DZD31" s="290"/>
      <c r="DZE31" s="290"/>
      <c r="DZF31" s="290"/>
      <c r="DZG31" s="290"/>
      <c r="DZH31" s="290"/>
      <c r="DZI31" s="290"/>
      <c r="DZJ31" s="290"/>
      <c r="DZK31" s="290"/>
      <c r="DZL31" s="290"/>
      <c r="DZM31" s="290"/>
      <c r="DZN31" s="290"/>
      <c r="DZO31" s="290"/>
      <c r="DZP31" s="290"/>
      <c r="DZQ31" s="290"/>
      <c r="DZR31" s="290"/>
      <c r="DZS31" s="290"/>
      <c r="DZT31" s="290"/>
      <c r="DZU31" s="290"/>
      <c r="DZV31" s="290"/>
      <c r="DZW31" s="290"/>
      <c r="DZX31" s="290"/>
      <c r="DZY31" s="290"/>
      <c r="DZZ31" s="290"/>
      <c r="EAA31" s="290"/>
      <c r="EAB31" s="290"/>
      <c r="EAC31" s="290"/>
      <c r="EAD31" s="290"/>
      <c r="EAE31" s="290"/>
      <c r="EAF31" s="290"/>
      <c r="EAG31" s="290"/>
      <c r="EAH31" s="290"/>
      <c r="EAI31" s="290"/>
      <c r="EAJ31" s="290"/>
      <c r="EAK31" s="290"/>
      <c r="EAL31" s="290"/>
      <c r="EAM31" s="290"/>
      <c r="EAN31" s="290"/>
      <c r="EAO31" s="290"/>
      <c r="EAP31" s="290"/>
      <c r="EAQ31" s="290"/>
      <c r="EAR31" s="290"/>
      <c r="EAS31" s="290"/>
      <c r="EAT31" s="290"/>
      <c r="EAU31" s="290"/>
      <c r="EAV31" s="290"/>
      <c r="EAW31" s="290"/>
      <c r="EAX31" s="290"/>
      <c r="EAY31" s="290"/>
      <c r="EAZ31" s="290"/>
      <c r="EBA31" s="290"/>
      <c r="EBB31" s="290"/>
      <c r="EBC31" s="290"/>
      <c r="EBD31" s="290"/>
      <c r="EBE31" s="290"/>
      <c r="EBF31" s="290"/>
      <c r="EBG31" s="290"/>
      <c r="EBH31" s="290"/>
      <c r="EBI31" s="290"/>
      <c r="EBJ31" s="290"/>
      <c r="EBK31" s="290"/>
      <c r="EBL31" s="290"/>
      <c r="EBM31" s="290"/>
      <c r="EBN31" s="290"/>
      <c r="EBO31" s="290"/>
      <c r="EBP31" s="290"/>
      <c r="EBQ31" s="290"/>
      <c r="EBR31" s="290"/>
      <c r="EBS31" s="290"/>
      <c r="EBT31" s="290"/>
      <c r="EBU31" s="290"/>
      <c r="EBV31" s="290"/>
      <c r="EBW31" s="290"/>
      <c r="EBX31" s="290"/>
      <c r="EBY31" s="290"/>
      <c r="EBZ31" s="290"/>
      <c r="ECA31" s="290"/>
      <c r="ECB31" s="290"/>
      <c r="ECC31" s="290"/>
      <c r="ECD31" s="290"/>
      <c r="ECE31" s="290"/>
      <c r="ECF31" s="290"/>
      <c r="ECG31" s="290"/>
      <c r="ECH31" s="290"/>
      <c r="ECI31" s="290"/>
      <c r="ECJ31" s="290"/>
      <c r="ECK31" s="290"/>
      <c r="ECL31" s="290"/>
      <c r="ECM31" s="290"/>
      <c r="ECN31" s="290"/>
      <c r="ECO31" s="290"/>
      <c r="ECP31" s="290"/>
      <c r="ECQ31" s="290"/>
      <c r="ECR31" s="290"/>
      <c r="ECS31" s="290"/>
      <c r="ECT31" s="290"/>
      <c r="ECU31" s="290"/>
      <c r="ECV31" s="290"/>
      <c r="ECW31" s="290"/>
      <c r="ECX31" s="290"/>
      <c r="ECY31" s="290"/>
      <c r="ECZ31" s="290"/>
      <c r="EDA31" s="290"/>
      <c r="EDB31" s="290"/>
      <c r="EDC31" s="290"/>
      <c r="EDD31" s="290"/>
      <c r="EDE31" s="290"/>
      <c r="EDF31" s="290"/>
      <c r="EDG31" s="290"/>
      <c r="EDH31" s="290"/>
      <c r="EDI31" s="290"/>
      <c r="EDJ31" s="290"/>
      <c r="EDK31" s="290"/>
      <c r="EDL31" s="290"/>
      <c r="EDM31" s="290"/>
      <c r="EDN31" s="290"/>
      <c r="EDO31" s="290"/>
      <c r="EDP31" s="290"/>
      <c r="EDQ31" s="290"/>
      <c r="EDR31" s="290"/>
      <c r="EDS31" s="290"/>
      <c r="EDT31" s="290"/>
      <c r="EDU31" s="290"/>
      <c r="EDV31" s="290"/>
      <c r="EDW31" s="290"/>
      <c r="EDX31" s="290"/>
      <c r="EDY31" s="290"/>
      <c r="EDZ31" s="290"/>
      <c r="EEA31" s="290"/>
      <c r="EEB31" s="290"/>
      <c r="EEC31" s="290"/>
      <c r="EED31" s="290"/>
      <c r="EEE31" s="290"/>
      <c r="EEF31" s="290"/>
      <c r="EEG31" s="290"/>
      <c r="EEH31" s="290"/>
      <c r="EEI31" s="290"/>
      <c r="EEJ31" s="290"/>
      <c r="EEK31" s="290"/>
      <c r="EEL31" s="290"/>
      <c r="EEM31" s="290"/>
      <c r="EEN31" s="290"/>
      <c r="EEO31" s="290"/>
      <c r="EEP31" s="290"/>
      <c r="EEQ31" s="290"/>
      <c r="EER31" s="290"/>
      <c r="EES31" s="290"/>
      <c r="EET31" s="290"/>
      <c r="EEU31" s="290"/>
      <c r="EEV31" s="290"/>
      <c r="EEW31" s="290"/>
      <c r="EEX31" s="290"/>
      <c r="EEY31" s="290"/>
      <c r="EEZ31" s="290"/>
      <c r="EFA31" s="290"/>
      <c r="EFB31" s="290"/>
      <c r="EFC31" s="290"/>
      <c r="EFD31" s="290"/>
      <c r="EFE31" s="290"/>
      <c r="EFF31" s="290"/>
      <c r="EFG31" s="290"/>
      <c r="EFH31" s="290"/>
      <c r="EFI31" s="290"/>
      <c r="EFJ31" s="290"/>
      <c r="EFK31" s="290"/>
      <c r="EFL31" s="290"/>
      <c r="EFM31" s="290"/>
      <c r="EFN31" s="290"/>
      <c r="EFO31" s="290"/>
      <c r="EFP31" s="290"/>
      <c r="EFQ31" s="290"/>
      <c r="EFR31" s="290"/>
      <c r="EFS31" s="290"/>
      <c r="EFT31" s="290"/>
      <c r="EFU31" s="290"/>
      <c r="EFV31" s="290"/>
      <c r="EFW31" s="290"/>
      <c r="EFX31" s="290"/>
      <c r="EFY31" s="290"/>
      <c r="EFZ31" s="290"/>
      <c r="EGA31" s="290"/>
      <c r="EGB31" s="290"/>
      <c r="EGC31" s="290"/>
      <c r="EGD31" s="290"/>
      <c r="EGE31" s="290"/>
      <c r="EGF31" s="290"/>
      <c r="EGG31" s="290"/>
      <c r="EGH31" s="290"/>
      <c r="EGI31" s="290"/>
      <c r="EGJ31" s="290"/>
      <c r="EGK31" s="290"/>
      <c r="EGL31" s="290"/>
      <c r="EGM31" s="290"/>
      <c r="EGN31" s="290"/>
      <c r="EGO31" s="290"/>
      <c r="EGP31" s="290"/>
      <c r="EGQ31" s="290"/>
      <c r="EGR31" s="290"/>
      <c r="EGS31" s="290"/>
      <c r="EGT31" s="290"/>
      <c r="EGU31" s="290"/>
      <c r="EGV31" s="290"/>
      <c r="EGW31" s="290"/>
      <c r="EGX31" s="290"/>
      <c r="EGY31" s="290"/>
      <c r="EGZ31" s="290"/>
      <c r="EHA31" s="290"/>
      <c r="EHB31" s="290"/>
      <c r="EHC31" s="290"/>
      <c r="EHD31" s="290"/>
      <c r="EHE31" s="290"/>
      <c r="EHF31" s="290"/>
      <c r="EHG31" s="290"/>
      <c r="EHH31" s="290"/>
      <c r="EHI31" s="290"/>
      <c r="EHJ31" s="290"/>
      <c r="EHK31" s="290"/>
      <c r="EHL31" s="290"/>
      <c r="EHM31" s="290"/>
      <c r="EHN31" s="290"/>
      <c r="EHO31" s="290"/>
      <c r="EHP31" s="290"/>
      <c r="EHQ31" s="290"/>
      <c r="EHR31" s="290"/>
      <c r="EHS31" s="290"/>
      <c r="EHT31" s="290"/>
      <c r="EHU31" s="290"/>
      <c r="EHV31" s="290"/>
      <c r="EHW31" s="290"/>
      <c r="EHX31" s="290"/>
      <c r="EHY31" s="290"/>
      <c r="EHZ31" s="290"/>
      <c r="EIA31" s="290"/>
      <c r="EIB31" s="290"/>
      <c r="EIC31" s="290"/>
      <c r="EID31" s="290"/>
      <c r="EIE31" s="290"/>
      <c r="EIF31" s="290"/>
      <c r="EIG31" s="290"/>
      <c r="EIH31" s="290"/>
      <c r="EII31" s="290"/>
      <c r="EIJ31" s="290"/>
      <c r="EIK31" s="290"/>
      <c r="EIL31" s="290"/>
      <c r="EIM31" s="290"/>
      <c r="EIN31" s="290"/>
      <c r="EIO31" s="290"/>
      <c r="EIP31" s="290"/>
      <c r="EIQ31" s="290"/>
      <c r="EIR31" s="290"/>
      <c r="EIS31" s="290"/>
      <c r="EIT31" s="290"/>
      <c r="EIU31" s="290"/>
      <c r="EIV31" s="290"/>
      <c r="EIW31" s="290"/>
      <c r="EIX31" s="290"/>
      <c r="EIY31" s="290"/>
      <c r="EIZ31" s="290"/>
      <c r="EJA31" s="290"/>
      <c r="EJB31" s="290"/>
      <c r="EJC31" s="290"/>
      <c r="EJD31" s="290"/>
      <c r="EJE31" s="290"/>
      <c r="EJF31" s="290"/>
      <c r="EJG31" s="290"/>
      <c r="EJH31" s="290"/>
      <c r="EJI31" s="290"/>
      <c r="EJJ31" s="290"/>
      <c r="EJK31" s="290"/>
      <c r="EJL31" s="290"/>
      <c r="EJM31" s="290"/>
      <c r="EJN31" s="290"/>
      <c r="EJO31" s="290"/>
      <c r="EJP31" s="290"/>
      <c r="EJQ31" s="290"/>
      <c r="EJR31" s="290"/>
      <c r="EJS31" s="290"/>
      <c r="EJT31" s="290"/>
      <c r="EJU31" s="290"/>
      <c r="EJV31" s="290"/>
      <c r="EJW31" s="290"/>
      <c r="EJX31" s="290"/>
      <c r="EJY31" s="290"/>
      <c r="EJZ31" s="290"/>
      <c r="EKA31" s="290"/>
      <c r="EKB31" s="290"/>
      <c r="EKC31" s="290"/>
      <c r="EKD31" s="290"/>
      <c r="EKE31" s="290"/>
      <c r="EKF31" s="290"/>
      <c r="EKG31" s="290"/>
      <c r="EKH31" s="290"/>
      <c r="EKI31" s="290"/>
      <c r="EKJ31" s="290"/>
      <c r="EKK31" s="290"/>
      <c r="EKL31" s="290"/>
      <c r="EKM31" s="290"/>
      <c r="EKN31" s="290"/>
      <c r="EKO31" s="290"/>
      <c r="EKP31" s="290"/>
      <c r="EKQ31" s="290"/>
      <c r="EKR31" s="290"/>
      <c r="EKS31" s="290"/>
      <c r="EKT31" s="290"/>
      <c r="EKU31" s="290"/>
      <c r="EKV31" s="290"/>
      <c r="EKW31" s="290"/>
      <c r="EKX31" s="290"/>
      <c r="EKY31" s="290"/>
      <c r="EKZ31" s="290"/>
      <c r="ELA31" s="290"/>
      <c r="ELB31" s="290"/>
      <c r="ELC31" s="290"/>
      <c r="ELD31" s="290"/>
      <c r="ELE31" s="290"/>
      <c r="ELF31" s="290"/>
      <c r="ELG31" s="290"/>
      <c r="ELH31" s="290"/>
      <c r="ELI31" s="290"/>
      <c r="ELJ31" s="290"/>
      <c r="ELK31" s="290"/>
      <c r="ELL31" s="290"/>
      <c r="ELM31" s="290"/>
      <c r="ELN31" s="290"/>
      <c r="ELO31" s="290"/>
      <c r="ELP31" s="290"/>
      <c r="ELQ31" s="290"/>
      <c r="ELR31" s="290"/>
      <c r="ELS31" s="290"/>
      <c r="ELT31" s="290"/>
      <c r="ELU31" s="290"/>
      <c r="ELV31" s="290"/>
      <c r="ELW31" s="290"/>
      <c r="ELX31" s="290"/>
      <c r="ELY31" s="290"/>
      <c r="ELZ31" s="290"/>
      <c r="EMA31" s="290"/>
      <c r="EMB31" s="290"/>
      <c r="EMC31" s="290"/>
      <c r="EMD31" s="290"/>
      <c r="EME31" s="290"/>
      <c r="EMF31" s="290"/>
      <c r="EMG31" s="290"/>
      <c r="EMH31" s="290"/>
      <c r="EMI31" s="290"/>
      <c r="EMJ31" s="290"/>
      <c r="EMK31" s="290"/>
      <c r="EML31" s="290"/>
      <c r="EMM31" s="290"/>
      <c r="EMN31" s="290"/>
      <c r="EMO31" s="290"/>
      <c r="EMP31" s="290"/>
      <c r="EMQ31" s="290"/>
      <c r="EMR31" s="290"/>
      <c r="EMS31" s="290"/>
      <c r="EMT31" s="290"/>
      <c r="EMU31" s="290"/>
      <c r="EMV31" s="290"/>
      <c r="EMW31" s="290"/>
      <c r="EMX31" s="290"/>
      <c r="EMY31" s="290"/>
      <c r="EMZ31" s="290"/>
      <c r="ENA31" s="290"/>
      <c r="ENB31" s="290"/>
      <c r="ENC31" s="290"/>
      <c r="END31" s="290"/>
      <c r="ENE31" s="290"/>
      <c r="ENF31" s="290"/>
      <c r="ENG31" s="290"/>
      <c r="ENH31" s="290"/>
      <c r="ENI31" s="290"/>
      <c r="ENJ31" s="290"/>
      <c r="ENK31" s="290"/>
      <c r="ENL31" s="290"/>
      <c r="ENM31" s="290"/>
      <c r="ENN31" s="290"/>
      <c r="ENO31" s="290"/>
      <c r="ENP31" s="290"/>
      <c r="ENQ31" s="290"/>
      <c r="ENR31" s="290"/>
      <c r="ENS31" s="290"/>
      <c r="ENT31" s="290"/>
      <c r="ENU31" s="290"/>
      <c r="ENV31" s="290"/>
      <c r="ENW31" s="290"/>
      <c r="ENX31" s="290"/>
      <c r="ENY31" s="290"/>
      <c r="ENZ31" s="290"/>
      <c r="EOA31" s="290"/>
      <c r="EOB31" s="290"/>
      <c r="EOC31" s="290"/>
      <c r="EOD31" s="290"/>
      <c r="EOE31" s="290"/>
      <c r="EOF31" s="290"/>
      <c r="EOG31" s="290"/>
      <c r="EOH31" s="290"/>
      <c r="EOI31" s="290"/>
      <c r="EOJ31" s="290"/>
      <c r="EOK31" s="290"/>
      <c r="EOL31" s="290"/>
      <c r="EOM31" s="290"/>
      <c r="EON31" s="290"/>
      <c r="EOO31" s="290"/>
      <c r="EOP31" s="290"/>
      <c r="EOQ31" s="290"/>
      <c r="EOR31" s="290"/>
      <c r="EOS31" s="290"/>
      <c r="EOT31" s="290"/>
      <c r="EOU31" s="290"/>
      <c r="EOV31" s="290"/>
      <c r="EOW31" s="290"/>
      <c r="EOX31" s="290"/>
      <c r="EOY31" s="290"/>
      <c r="EOZ31" s="290"/>
      <c r="EPA31" s="290"/>
      <c r="EPB31" s="290"/>
      <c r="EPC31" s="290"/>
      <c r="EPD31" s="290"/>
      <c r="EPE31" s="290"/>
      <c r="EPF31" s="290"/>
      <c r="EPG31" s="290"/>
      <c r="EPH31" s="290"/>
      <c r="EPI31" s="290"/>
      <c r="EPJ31" s="290"/>
      <c r="EPK31" s="290"/>
      <c r="EPL31" s="290"/>
      <c r="EPM31" s="290"/>
      <c r="EPN31" s="290"/>
      <c r="EPO31" s="290"/>
      <c r="EPP31" s="290"/>
      <c r="EPQ31" s="290"/>
      <c r="EPR31" s="290"/>
      <c r="EPS31" s="290"/>
      <c r="EPT31" s="290"/>
      <c r="EPU31" s="290"/>
      <c r="EPV31" s="290"/>
      <c r="EPW31" s="290"/>
      <c r="EPX31" s="290"/>
      <c r="EPY31" s="290"/>
      <c r="EPZ31" s="290"/>
      <c r="EQA31" s="290"/>
      <c r="EQB31" s="290"/>
      <c r="EQC31" s="290"/>
      <c r="EQD31" s="290"/>
      <c r="EQE31" s="290"/>
      <c r="EQF31" s="290"/>
      <c r="EQG31" s="290"/>
      <c r="EQH31" s="290"/>
      <c r="EQI31" s="290"/>
      <c r="EQJ31" s="290"/>
      <c r="EQK31" s="290"/>
      <c r="EQL31" s="290"/>
      <c r="EQM31" s="290"/>
      <c r="EQN31" s="290"/>
      <c r="EQO31" s="290"/>
      <c r="EQP31" s="290"/>
      <c r="EQQ31" s="290"/>
      <c r="EQR31" s="290"/>
      <c r="EQS31" s="290"/>
      <c r="EQT31" s="290"/>
      <c r="EQU31" s="290"/>
      <c r="EQV31" s="290"/>
      <c r="EQW31" s="290"/>
      <c r="EQX31" s="290"/>
      <c r="EQY31" s="290"/>
      <c r="EQZ31" s="290"/>
      <c r="ERA31" s="290"/>
      <c r="ERB31" s="290"/>
      <c r="ERC31" s="290"/>
      <c r="ERD31" s="290"/>
      <c r="ERE31" s="290"/>
      <c r="ERF31" s="290"/>
      <c r="ERG31" s="290"/>
      <c r="ERH31" s="290"/>
      <c r="ERI31" s="290"/>
      <c r="ERJ31" s="290"/>
      <c r="ERK31" s="290"/>
      <c r="ERL31" s="290"/>
      <c r="ERM31" s="290"/>
      <c r="ERN31" s="290"/>
      <c r="ERO31" s="290"/>
      <c r="ERP31" s="290"/>
      <c r="ERQ31" s="290"/>
      <c r="ERR31" s="290"/>
      <c r="ERS31" s="290"/>
      <c r="ERT31" s="290"/>
      <c r="ERU31" s="290"/>
      <c r="ERV31" s="290"/>
      <c r="ERW31" s="290"/>
      <c r="ERX31" s="290"/>
      <c r="ERY31" s="290"/>
      <c r="ERZ31" s="290"/>
      <c r="ESA31" s="290"/>
      <c r="ESB31" s="290"/>
      <c r="ESC31" s="290"/>
      <c r="ESD31" s="290"/>
      <c r="ESE31" s="290"/>
      <c r="ESF31" s="290"/>
      <c r="ESG31" s="290"/>
      <c r="ESH31" s="290"/>
      <c r="ESI31" s="290"/>
      <c r="ESJ31" s="290"/>
      <c r="ESK31" s="290"/>
      <c r="ESL31" s="290"/>
      <c r="ESM31" s="290"/>
      <c r="ESN31" s="290"/>
      <c r="ESO31" s="290"/>
      <c r="ESP31" s="290"/>
      <c r="ESQ31" s="290"/>
      <c r="ESR31" s="290"/>
      <c r="ESS31" s="290"/>
      <c r="EST31" s="290"/>
      <c r="ESU31" s="290"/>
      <c r="ESV31" s="290"/>
      <c r="ESW31" s="290"/>
      <c r="ESX31" s="290"/>
      <c r="ESY31" s="290"/>
      <c r="ESZ31" s="290"/>
      <c r="ETA31" s="290"/>
      <c r="ETB31" s="290"/>
      <c r="ETC31" s="290"/>
      <c r="ETD31" s="290"/>
      <c r="ETE31" s="290"/>
      <c r="ETF31" s="290"/>
      <c r="ETG31" s="290"/>
      <c r="ETH31" s="290"/>
      <c r="ETI31" s="290"/>
      <c r="ETJ31" s="290"/>
      <c r="ETK31" s="290"/>
      <c r="ETL31" s="290"/>
      <c r="ETM31" s="290"/>
      <c r="ETN31" s="290"/>
      <c r="ETO31" s="290"/>
      <c r="ETP31" s="290"/>
      <c r="ETQ31" s="290"/>
      <c r="ETR31" s="290"/>
      <c r="ETS31" s="290"/>
      <c r="ETT31" s="290"/>
      <c r="ETU31" s="290"/>
      <c r="ETV31" s="290"/>
      <c r="ETW31" s="290"/>
      <c r="ETX31" s="290"/>
      <c r="ETY31" s="290"/>
      <c r="ETZ31" s="290"/>
      <c r="EUA31" s="290"/>
      <c r="EUB31" s="290"/>
      <c r="EUC31" s="290"/>
      <c r="EUD31" s="290"/>
      <c r="EUE31" s="290"/>
      <c r="EUF31" s="290"/>
      <c r="EUG31" s="290"/>
      <c r="EUH31" s="290"/>
      <c r="EUI31" s="290"/>
      <c r="EUJ31" s="290"/>
      <c r="EUK31" s="290"/>
      <c r="EUL31" s="290"/>
      <c r="EUM31" s="290"/>
      <c r="EUN31" s="290"/>
      <c r="EUO31" s="290"/>
      <c r="EUP31" s="290"/>
      <c r="EUQ31" s="290"/>
      <c r="EUR31" s="290"/>
      <c r="EUS31" s="290"/>
      <c r="EUT31" s="290"/>
      <c r="EUU31" s="290"/>
      <c r="EUV31" s="290"/>
      <c r="EUW31" s="290"/>
      <c r="EUX31" s="290"/>
      <c r="EUY31" s="290"/>
      <c r="EUZ31" s="290"/>
      <c r="EVA31" s="290"/>
      <c r="EVB31" s="290"/>
      <c r="EVC31" s="290"/>
      <c r="EVD31" s="290"/>
      <c r="EVE31" s="290"/>
      <c r="EVF31" s="290"/>
      <c r="EVG31" s="290"/>
      <c r="EVH31" s="290"/>
      <c r="EVI31" s="290"/>
      <c r="EVJ31" s="290"/>
      <c r="EVK31" s="290"/>
      <c r="EVL31" s="290"/>
      <c r="EVM31" s="290"/>
      <c r="EVN31" s="290"/>
      <c r="EVO31" s="290"/>
      <c r="EVP31" s="290"/>
      <c r="EVQ31" s="290"/>
      <c r="EVR31" s="290"/>
      <c r="EVS31" s="290"/>
      <c r="EVT31" s="290"/>
      <c r="EVU31" s="290"/>
      <c r="EVV31" s="290"/>
      <c r="EVW31" s="290"/>
      <c r="EVX31" s="290"/>
      <c r="EVY31" s="290"/>
      <c r="EVZ31" s="290"/>
      <c r="EWA31" s="290"/>
      <c r="EWB31" s="290"/>
      <c r="EWC31" s="290"/>
      <c r="EWD31" s="290"/>
      <c r="EWE31" s="290"/>
      <c r="EWF31" s="290"/>
      <c r="EWG31" s="290"/>
      <c r="EWH31" s="290"/>
      <c r="EWI31" s="290"/>
      <c r="EWJ31" s="290"/>
      <c r="EWK31" s="290"/>
      <c r="EWL31" s="290"/>
      <c r="EWM31" s="290"/>
      <c r="EWN31" s="290"/>
      <c r="EWO31" s="290"/>
      <c r="EWP31" s="290"/>
      <c r="EWQ31" s="290"/>
      <c r="EWR31" s="290"/>
      <c r="EWS31" s="290"/>
      <c r="EWT31" s="290"/>
      <c r="EWU31" s="290"/>
      <c r="EWV31" s="290"/>
      <c r="EWW31" s="290"/>
      <c r="EWX31" s="290"/>
      <c r="EWY31" s="290"/>
      <c r="EWZ31" s="290"/>
      <c r="EXA31" s="290"/>
      <c r="EXB31" s="290"/>
      <c r="EXC31" s="290"/>
      <c r="EXD31" s="290"/>
      <c r="EXE31" s="290"/>
      <c r="EXF31" s="290"/>
      <c r="EXG31" s="290"/>
      <c r="EXH31" s="290"/>
      <c r="EXI31" s="290"/>
      <c r="EXJ31" s="290"/>
      <c r="EXK31" s="290"/>
      <c r="EXL31" s="290"/>
      <c r="EXM31" s="290"/>
      <c r="EXN31" s="290"/>
      <c r="EXO31" s="290"/>
      <c r="EXP31" s="290"/>
      <c r="EXQ31" s="290"/>
      <c r="EXR31" s="290"/>
      <c r="EXS31" s="290"/>
      <c r="EXT31" s="290"/>
      <c r="EXU31" s="290"/>
      <c r="EXV31" s="290"/>
      <c r="EXW31" s="290"/>
      <c r="EXX31" s="290"/>
      <c r="EXY31" s="290"/>
      <c r="EXZ31" s="290"/>
      <c r="EYA31" s="290"/>
      <c r="EYB31" s="290"/>
      <c r="EYC31" s="290"/>
      <c r="EYD31" s="290"/>
      <c r="EYE31" s="290"/>
      <c r="EYF31" s="290"/>
      <c r="EYG31" s="290"/>
      <c r="EYH31" s="290"/>
      <c r="EYI31" s="290"/>
      <c r="EYJ31" s="290"/>
      <c r="EYK31" s="290"/>
      <c r="EYL31" s="290"/>
      <c r="EYM31" s="290"/>
      <c r="EYN31" s="290"/>
      <c r="EYO31" s="290"/>
      <c r="EYP31" s="290"/>
      <c r="EYQ31" s="290"/>
      <c r="EYR31" s="290"/>
      <c r="EYS31" s="290"/>
      <c r="EYT31" s="290"/>
      <c r="EYU31" s="290"/>
      <c r="EYV31" s="290"/>
      <c r="EYW31" s="290"/>
      <c r="EYX31" s="290"/>
      <c r="EYY31" s="290"/>
      <c r="EYZ31" s="290"/>
      <c r="EZA31" s="290"/>
      <c r="EZB31" s="290"/>
      <c r="EZC31" s="290"/>
      <c r="EZD31" s="290"/>
      <c r="EZE31" s="290"/>
      <c r="EZF31" s="290"/>
      <c r="EZG31" s="290"/>
      <c r="EZH31" s="290"/>
      <c r="EZI31" s="290"/>
      <c r="EZJ31" s="290"/>
      <c r="EZK31" s="290"/>
      <c r="EZL31" s="290"/>
      <c r="EZM31" s="290"/>
      <c r="EZN31" s="290"/>
      <c r="EZO31" s="290"/>
      <c r="EZP31" s="290"/>
      <c r="EZQ31" s="290"/>
      <c r="EZR31" s="290"/>
      <c r="EZS31" s="290"/>
      <c r="EZT31" s="290"/>
      <c r="EZU31" s="290"/>
      <c r="EZV31" s="290"/>
      <c r="EZW31" s="290"/>
      <c r="EZX31" s="290"/>
      <c r="EZY31" s="290"/>
      <c r="EZZ31" s="290"/>
      <c r="FAA31" s="290"/>
      <c r="FAB31" s="290"/>
      <c r="FAC31" s="290"/>
      <c r="FAD31" s="290"/>
      <c r="FAE31" s="290"/>
      <c r="FAF31" s="290"/>
      <c r="FAG31" s="290"/>
      <c r="FAH31" s="290"/>
      <c r="FAI31" s="290"/>
      <c r="FAJ31" s="290"/>
      <c r="FAK31" s="290"/>
      <c r="FAL31" s="290"/>
      <c r="FAM31" s="290"/>
      <c r="FAN31" s="290"/>
      <c r="FAO31" s="290"/>
      <c r="FAP31" s="290"/>
      <c r="FAQ31" s="290"/>
      <c r="FAR31" s="290"/>
      <c r="FAS31" s="290"/>
      <c r="FAT31" s="290"/>
      <c r="FAU31" s="290"/>
      <c r="FAV31" s="290"/>
      <c r="FAW31" s="290"/>
      <c r="FAX31" s="290"/>
      <c r="FAY31" s="290"/>
      <c r="FAZ31" s="290"/>
      <c r="FBA31" s="290"/>
      <c r="FBB31" s="290"/>
      <c r="FBC31" s="290"/>
      <c r="FBD31" s="290"/>
      <c r="FBE31" s="290"/>
      <c r="FBF31" s="290"/>
      <c r="FBG31" s="290"/>
      <c r="FBH31" s="290"/>
      <c r="FBI31" s="290"/>
      <c r="FBJ31" s="290"/>
      <c r="FBK31" s="290"/>
      <c r="FBL31" s="290"/>
      <c r="FBM31" s="290"/>
      <c r="FBN31" s="290"/>
      <c r="FBO31" s="290"/>
      <c r="FBP31" s="290"/>
      <c r="FBQ31" s="290"/>
      <c r="FBR31" s="290"/>
      <c r="FBS31" s="290"/>
      <c r="FBT31" s="290"/>
      <c r="FBU31" s="290"/>
      <c r="FBV31" s="290"/>
      <c r="FBW31" s="290"/>
      <c r="FBX31" s="290"/>
      <c r="FBY31" s="290"/>
      <c r="FBZ31" s="290"/>
      <c r="FCA31" s="290"/>
      <c r="FCB31" s="290"/>
      <c r="FCC31" s="290"/>
      <c r="FCD31" s="290"/>
      <c r="FCE31" s="290"/>
      <c r="FCF31" s="290"/>
      <c r="FCG31" s="290"/>
      <c r="FCH31" s="290"/>
      <c r="FCI31" s="290"/>
      <c r="FCJ31" s="290"/>
      <c r="FCK31" s="290"/>
      <c r="FCL31" s="290"/>
      <c r="FCM31" s="290"/>
      <c r="FCN31" s="290"/>
      <c r="FCO31" s="290"/>
      <c r="FCP31" s="290"/>
      <c r="FCQ31" s="290"/>
      <c r="FCR31" s="290"/>
      <c r="FCS31" s="290"/>
      <c r="FCT31" s="290"/>
      <c r="FCU31" s="290"/>
      <c r="FCV31" s="290"/>
      <c r="FCW31" s="290"/>
      <c r="FCX31" s="290"/>
      <c r="FCY31" s="290"/>
      <c r="FCZ31" s="290"/>
      <c r="FDA31" s="290"/>
      <c r="FDB31" s="290"/>
      <c r="FDC31" s="290"/>
      <c r="FDD31" s="290"/>
      <c r="FDE31" s="290"/>
      <c r="FDF31" s="290"/>
      <c r="FDG31" s="290"/>
      <c r="FDH31" s="290"/>
      <c r="FDI31" s="290"/>
      <c r="FDJ31" s="290"/>
      <c r="FDK31" s="290"/>
      <c r="FDL31" s="290"/>
      <c r="FDM31" s="290"/>
      <c r="FDN31" s="290"/>
      <c r="FDO31" s="290"/>
      <c r="FDP31" s="290"/>
      <c r="FDQ31" s="290"/>
      <c r="FDR31" s="290"/>
      <c r="FDS31" s="290"/>
      <c r="FDT31" s="290"/>
      <c r="FDU31" s="290"/>
      <c r="FDV31" s="290"/>
      <c r="FDW31" s="290"/>
      <c r="FDX31" s="290"/>
      <c r="FDY31" s="290"/>
      <c r="FDZ31" s="290"/>
      <c r="FEA31" s="290"/>
      <c r="FEB31" s="290"/>
      <c r="FEC31" s="290"/>
      <c r="FED31" s="290"/>
      <c r="FEE31" s="290"/>
      <c r="FEF31" s="290"/>
      <c r="FEG31" s="290"/>
      <c r="FEH31" s="290"/>
      <c r="FEI31" s="290"/>
      <c r="FEJ31" s="290"/>
      <c r="FEK31" s="290"/>
      <c r="FEL31" s="290"/>
      <c r="FEM31" s="290"/>
      <c r="FEN31" s="290"/>
      <c r="FEO31" s="290"/>
      <c r="FEP31" s="290"/>
      <c r="FEQ31" s="290"/>
      <c r="FER31" s="290"/>
      <c r="FES31" s="290"/>
      <c r="FET31" s="290"/>
      <c r="FEU31" s="290"/>
      <c r="FEV31" s="290"/>
      <c r="FEW31" s="290"/>
      <c r="FEX31" s="290"/>
      <c r="FEY31" s="290"/>
      <c r="FEZ31" s="290"/>
      <c r="FFA31" s="290"/>
      <c r="FFB31" s="290"/>
      <c r="FFC31" s="290"/>
      <c r="FFD31" s="290"/>
      <c r="FFE31" s="290"/>
      <c r="FFF31" s="290"/>
      <c r="FFG31" s="290"/>
      <c r="FFH31" s="290"/>
      <c r="FFI31" s="290"/>
      <c r="FFJ31" s="290"/>
      <c r="FFK31" s="290"/>
      <c r="FFL31" s="290"/>
      <c r="FFM31" s="290"/>
      <c r="FFN31" s="290"/>
      <c r="FFO31" s="290"/>
      <c r="FFP31" s="290"/>
      <c r="FFQ31" s="290"/>
      <c r="FFR31" s="290"/>
      <c r="FFS31" s="290"/>
      <c r="FFT31" s="290"/>
      <c r="FFU31" s="290"/>
      <c r="FFV31" s="290"/>
      <c r="FFW31" s="290"/>
      <c r="FFX31" s="290"/>
      <c r="FFY31" s="290"/>
      <c r="FFZ31" s="290"/>
      <c r="FGA31" s="290"/>
      <c r="FGB31" s="290"/>
      <c r="FGC31" s="290"/>
      <c r="FGD31" s="290"/>
      <c r="FGE31" s="290"/>
      <c r="FGF31" s="290"/>
      <c r="FGG31" s="290"/>
      <c r="FGH31" s="290"/>
      <c r="FGI31" s="290"/>
      <c r="FGJ31" s="290"/>
      <c r="FGK31" s="290"/>
      <c r="FGL31" s="290"/>
      <c r="FGM31" s="290"/>
      <c r="FGN31" s="290"/>
      <c r="FGO31" s="290"/>
      <c r="FGP31" s="290"/>
      <c r="FGQ31" s="290"/>
      <c r="FGR31" s="290"/>
      <c r="FGS31" s="290"/>
      <c r="FGT31" s="290"/>
      <c r="FGU31" s="290"/>
      <c r="FGV31" s="290"/>
      <c r="FGW31" s="290"/>
      <c r="FGX31" s="290"/>
      <c r="FGY31" s="290"/>
      <c r="FGZ31" s="290"/>
      <c r="FHA31" s="290"/>
      <c r="FHB31" s="290"/>
      <c r="FHC31" s="290"/>
      <c r="FHD31" s="290"/>
      <c r="FHE31" s="290"/>
      <c r="FHF31" s="290"/>
      <c r="FHG31" s="290"/>
      <c r="FHH31" s="290"/>
      <c r="FHI31" s="290"/>
      <c r="FHJ31" s="290"/>
      <c r="FHK31" s="290"/>
      <c r="FHL31" s="290"/>
      <c r="FHM31" s="290"/>
      <c r="FHN31" s="290"/>
      <c r="FHO31" s="290"/>
      <c r="FHP31" s="290"/>
      <c r="FHQ31" s="290"/>
      <c r="FHR31" s="290"/>
      <c r="FHS31" s="290"/>
      <c r="FHT31" s="290"/>
      <c r="FHU31" s="290"/>
      <c r="FHV31" s="290"/>
      <c r="FHW31" s="290"/>
      <c r="FHX31" s="290"/>
      <c r="FHY31" s="290"/>
      <c r="FHZ31" s="290"/>
      <c r="FIA31" s="290"/>
      <c r="FIB31" s="290"/>
      <c r="FIC31" s="290"/>
      <c r="FID31" s="290"/>
      <c r="FIE31" s="290"/>
      <c r="FIF31" s="290"/>
      <c r="FIG31" s="290"/>
      <c r="FIH31" s="290"/>
      <c r="FII31" s="290"/>
      <c r="FIJ31" s="290"/>
      <c r="FIK31" s="290"/>
      <c r="FIL31" s="290"/>
      <c r="FIM31" s="290"/>
      <c r="FIN31" s="290"/>
      <c r="FIO31" s="290"/>
      <c r="FIP31" s="290"/>
      <c r="FIQ31" s="290"/>
      <c r="FIR31" s="290"/>
      <c r="FIS31" s="290"/>
      <c r="FIT31" s="290"/>
      <c r="FIU31" s="290"/>
      <c r="FIV31" s="290"/>
      <c r="FIW31" s="290"/>
      <c r="FIX31" s="290"/>
      <c r="FIY31" s="290"/>
      <c r="FIZ31" s="290"/>
      <c r="FJA31" s="290"/>
      <c r="FJB31" s="290"/>
      <c r="FJC31" s="290"/>
      <c r="FJD31" s="290"/>
      <c r="FJE31" s="290"/>
      <c r="FJF31" s="290"/>
      <c r="FJG31" s="290"/>
      <c r="FJH31" s="290"/>
      <c r="FJI31" s="290"/>
      <c r="FJJ31" s="290"/>
      <c r="FJK31" s="290"/>
      <c r="FJL31" s="290"/>
      <c r="FJM31" s="290"/>
      <c r="FJN31" s="290"/>
      <c r="FJO31" s="290"/>
      <c r="FJP31" s="290"/>
      <c r="FJQ31" s="290"/>
      <c r="FJR31" s="290"/>
      <c r="FJS31" s="290"/>
      <c r="FJT31" s="290"/>
      <c r="FJU31" s="290"/>
      <c r="FJV31" s="290"/>
      <c r="FJW31" s="290"/>
      <c r="FJX31" s="290"/>
      <c r="FJY31" s="290"/>
      <c r="FJZ31" s="290"/>
      <c r="FKA31" s="290"/>
      <c r="FKB31" s="290"/>
      <c r="FKC31" s="290"/>
      <c r="FKD31" s="290"/>
      <c r="FKE31" s="290"/>
      <c r="FKF31" s="290"/>
      <c r="FKG31" s="290"/>
      <c r="FKH31" s="290"/>
      <c r="FKI31" s="290"/>
      <c r="FKJ31" s="290"/>
      <c r="FKK31" s="290"/>
      <c r="FKL31" s="290"/>
      <c r="FKM31" s="290"/>
      <c r="FKN31" s="290"/>
      <c r="FKO31" s="290"/>
      <c r="FKP31" s="290"/>
      <c r="FKQ31" s="290"/>
      <c r="FKR31" s="290"/>
      <c r="FKS31" s="290"/>
      <c r="FKT31" s="290"/>
      <c r="FKU31" s="290"/>
      <c r="FKV31" s="290"/>
      <c r="FKW31" s="290"/>
      <c r="FKX31" s="290"/>
      <c r="FKY31" s="290"/>
      <c r="FKZ31" s="290"/>
      <c r="FLA31" s="290"/>
      <c r="FLB31" s="290"/>
      <c r="FLC31" s="290"/>
      <c r="FLD31" s="290"/>
      <c r="FLE31" s="290"/>
      <c r="FLF31" s="290"/>
      <c r="FLG31" s="290"/>
      <c r="FLH31" s="290"/>
      <c r="FLI31" s="290"/>
      <c r="FLJ31" s="290"/>
      <c r="FLK31" s="290"/>
      <c r="FLL31" s="290"/>
      <c r="FLM31" s="290"/>
      <c r="FLN31" s="290"/>
      <c r="FLO31" s="290"/>
      <c r="FLP31" s="290"/>
      <c r="FLQ31" s="290"/>
      <c r="FLR31" s="290"/>
      <c r="FLS31" s="290"/>
      <c r="FLT31" s="290"/>
      <c r="FLU31" s="290"/>
      <c r="FLV31" s="290"/>
      <c r="FLW31" s="290"/>
      <c r="FLX31" s="290"/>
      <c r="FLY31" s="290"/>
      <c r="FLZ31" s="290"/>
      <c r="FMA31" s="290"/>
      <c r="FMB31" s="290"/>
      <c r="FMC31" s="290"/>
      <c r="FMD31" s="290"/>
      <c r="FME31" s="290"/>
      <c r="FMF31" s="290"/>
      <c r="FMG31" s="290"/>
      <c r="FMH31" s="290"/>
      <c r="FMI31" s="290"/>
      <c r="FMJ31" s="290"/>
      <c r="FMK31" s="290"/>
      <c r="FML31" s="290"/>
      <c r="FMM31" s="290"/>
      <c r="FMN31" s="290"/>
      <c r="FMO31" s="290"/>
      <c r="FMP31" s="290"/>
      <c r="FMQ31" s="290"/>
      <c r="FMR31" s="290"/>
      <c r="FMS31" s="290"/>
      <c r="FMT31" s="290"/>
      <c r="FMU31" s="290"/>
      <c r="FMV31" s="290"/>
      <c r="FMW31" s="290"/>
      <c r="FMX31" s="290"/>
      <c r="FMY31" s="290"/>
      <c r="FMZ31" s="290"/>
      <c r="FNA31" s="290"/>
      <c r="FNB31" s="290"/>
      <c r="FNC31" s="290"/>
      <c r="FND31" s="290"/>
      <c r="FNE31" s="290"/>
      <c r="FNF31" s="290"/>
      <c r="FNG31" s="290"/>
      <c r="FNH31" s="290"/>
      <c r="FNI31" s="290"/>
      <c r="FNJ31" s="290"/>
      <c r="FNK31" s="290"/>
      <c r="FNL31" s="290"/>
      <c r="FNM31" s="290"/>
      <c r="FNN31" s="290"/>
      <c r="FNO31" s="290"/>
      <c r="FNP31" s="290"/>
      <c r="FNQ31" s="290"/>
      <c r="FNR31" s="290"/>
      <c r="FNS31" s="290"/>
      <c r="FNT31" s="290"/>
      <c r="FNU31" s="290"/>
      <c r="FNV31" s="290"/>
      <c r="FNW31" s="290"/>
      <c r="FNX31" s="290"/>
      <c r="FNY31" s="290"/>
      <c r="FNZ31" s="290"/>
      <c r="FOA31" s="290"/>
      <c r="FOB31" s="290"/>
      <c r="FOC31" s="290"/>
      <c r="FOD31" s="290"/>
      <c r="FOE31" s="290"/>
      <c r="FOF31" s="290"/>
      <c r="FOG31" s="290"/>
      <c r="FOH31" s="290"/>
      <c r="FOI31" s="290"/>
      <c r="FOJ31" s="290"/>
      <c r="FOK31" s="290"/>
      <c r="FOL31" s="290"/>
      <c r="FOM31" s="290"/>
      <c r="FON31" s="290"/>
      <c r="FOO31" s="290"/>
      <c r="FOP31" s="290"/>
      <c r="FOQ31" s="290"/>
      <c r="FOR31" s="290"/>
      <c r="FOS31" s="290"/>
      <c r="FOT31" s="290"/>
      <c r="FOU31" s="290"/>
      <c r="FOV31" s="290"/>
      <c r="FOW31" s="290"/>
      <c r="FOX31" s="290"/>
      <c r="FOY31" s="290"/>
      <c r="FOZ31" s="290"/>
      <c r="FPA31" s="290"/>
      <c r="FPB31" s="290"/>
      <c r="FPC31" s="290"/>
      <c r="FPD31" s="290"/>
      <c r="FPE31" s="290"/>
      <c r="FPF31" s="290"/>
      <c r="FPG31" s="290"/>
      <c r="FPH31" s="290"/>
      <c r="FPI31" s="290"/>
      <c r="FPJ31" s="290"/>
      <c r="FPK31" s="290"/>
      <c r="FPL31" s="290"/>
      <c r="FPM31" s="290"/>
      <c r="FPN31" s="290"/>
      <c r="FPO31" s="290"/>
      <c r="FPP31" s="290"/>
      <c r="FPQ31" s="290"/>
      <c r="FPR31" s="290"/>
      <c r="FPS31" s="290"/>
      <c r="FPT31" s="290"/>
      <c r="FPU31" s="290"/>
      <c r="FPV31" s="290"/>
      <c r="FPW31" s="290"/>
      <c r="FPX31" s="290"/>
      <c r="FPY31" s="290"/>
      <c r="FPZ31" s="290"/>
      <c r="FQA31" s="290"/>
      <c r="FQB31" s="290"/>
      <c r="FQC31" s="290"/>
      <c r="FQD31" s="290"/>
      <c r="FQE31" s="290"/>
      <c r="FQF31" s="290"/>
      <c r="FQG31" s="290"/>
      <c r="FQH31" s="290"/>
      <c r="FQI31" s="290"/>
      <c r="FQJ31" s="290"/>
      <c r="FQK31" s="290"/>
      <c r="FQL31" s="290"/>
      <c r="FQM31" s="290"/>
      <c r="FQN31" s="290"/>
      <c r="FQO31" s="290"/>
      <c r="FQP31" s="290"/>
      <c r="FQQ31" s="290"/>
      <c r="FQR31" s="290"/>
      <c r="FQS31" s="290"/>
      <c r="FQT31" s="290"/>
      <c r="FQU31" s="290"/>
      <c r="FQV31" s="290"/>
      <c r="FQW31" s="290"/>
      <c r="FQX31" s="290"/>
      <c r="FQY31" s="290"/>
      <c r="FQZ31" s="290"/>
      <c r="FRA31" s="290"/>
      <c r="FRB31" s="290"/>
      <c r="FRC31" s="290"/>
      <c r="FRD31" s="290"/>
      <c r="FRE31" s="290"/>
      <c r="FRF31" s="290"/>
      <c r="FRG31" s="290"/>
      <c r="FRH31" s="290"/>
      <c r="FRI31" s="290"/>
      <c r="FRJ31" s="290"/>
      <c r="FRK31" s="290"/>
      <c r="FRL31" s="290"/>
      <c r="FRM31" s="290"/>
      <c r="FRN31" s="290"/>
      <c r="FRO31" s="290"/>
      <c r="FRP31" s="290"/>
      <c r="FRQ31" s="290"/>
      <c r="FRR31" s="290"/>
      <c r="FRS31" s="290"/>
      <c r="FRT31" s="290"/>
      <c r="FRU31" s="290"/>
      <c r="FRV31" s="290"/>
      <c r="FRW31" s="290"/>
      <c r="FRX31" s="290"/>
      <c r="FRY31" s="290"/>
      <c r="FRZ31" s="290"/>
      <c r="FSA31" s="290"/>
      <c r="FSB31" s="290"/>
      <c r="FSC31" s="290"/>
      <c r="FSD31" s="290"/>
      <c r="FSE31" s="290"/>
      <c r="FSF31" s="290"/>
      <c r="FSG31" s="290"/>
      <c r="FSH31" s="290"/>
      <c r="FSI31" s="290"/>
      <c r="FSJ31" s="290"/>
      <c r="FSK31" s="290"/>
      <c r="FSL31" s="290"/>
      <c r="FSM31" s="290"/>
      <c r="FSN31" s="290"/>
      <c r="FSO31" s="290"/>
      <c r="FSP31" s="290"/>
      <c r="FSQ31" s="290"/>
      <c r="FSR31" s="290"/>
      <c r="FSS31" s="290"/>
      <c r="FST31" s="290"/>
      <c r="FSU31" s="290"/>
      <c r="FSV31" s="290"/>
      <c r="FSW31" s="290"/>
      <c r="FSX31" s="290"/>
      <c r="FSY31" s="290"/>
      <c r="FSZ31" s="290"/>
      <c r="FTA31" s="290"/>
      <c r="FTB31" s="290"/>
      <c r="FTC31" s="290"/>
      <c r="FTD31" s="290"/>
      <c r="FTE31" s="290"/>
      <c r="FTF31" s="290"/>
      <c r="FTG31" s="290"/>
      <c r="FTH31" s="290"/>
      <c r="FTI31" s="290"/>
      <c r="FTJ31" s="290"/>
      <c r="FTK31" s="290"/>
      <c r="FTL31" s="290"/>
      <c r="FTM31" s="290"/>
      <c r="FTN31" s="290"/>
      <c r="FTO31" s="290"/>
      <c r="FTP31" s="290"/>
      <c r="FTQ31" s="290"/>
      <c r="FTR31" s="290"/>
      <c r="FTS31" s="290"/>
      <c r="FTT31" s="290"/>
      <c r="FTU31" s="290"/>
      <c r="FTV31" s="290"/>
      <c r="FTW31" s="290"/>
      <c r="FTX31" s="290"/>
      <c r="FTY31" s="290"/>
      <c r="FTZ31" s="290"/>
      <c r="FUA31" s="290"/>
      <c r="FUB31" s="290"/>
      <c r="FUC31" s="290"/>
      <c r="FUD31" s="290"/>
      <c r="FUE31" s="290"/>
      <c r="FUF31" s="290"/>
      <c r="FUG31" s="290"/>
      <c r="FUH31" s="290"/>
      <c r="FUI31" s="290"/>
      <c r="FUJ31" s="290"/>
      <c r="FUK31" s="290"/>
      <c r="FUL31" s="290"/>
      <c r="FUM31" s="290"/>
      <c r="FUN31" s="290"/>
      <c r="FUO31" s="290"/>
      <c r="FUP31" s="290"/>
      <c r="FUQ31" s="290"/>
      <c r="FUR31" s="290"/>
      <c r="FUS31" s="290"/>
      <c r="FUT31" s="290"/>
      <c r="FUU31" s="290"/>
      <c r="FUV31" s="290"/>
      <c r="FUW31" s="290"/>
      <c r="FUX31" s="290"/>
      <c r="FUY31" s="290"/>
      <c r="FUZ31" s="290"/>
      <c r="FVA31" s="290"/>
      <c r="FVB31" s="290"/>
      <c r="FVC31" s="290"/>
      <c r="FVD31" s="290"/>
      <c r="FVE31" s="290"/>
      <c r="FVF31" s="290"/>
      <c r="FVG31" s="290"/>
      <c r="FVH31" s="290"/>
      <c r="FVI31" s="290"/>
      <c r="FVJ31" s="290"/>
      <c r="FVK31" s="290"/>
      <c r="FVL31" s="290"/>
      <c r="FVM31" s="290"/>
      <c r="FVN31" s="290"/>
      <c r="FVO31" s="290"/>
      <c r="FVP31" s="290"/>
      <c r="FVQ31" s="290"/>
      <c r="FVR31" s="290"/>
      <c r="FVS31" s="290"/>
      <c r="FVT31" s="290"/>
      <c r="FVU31" s="290"/>
      <c r="FVV31" s="290"/>
      <c r="FVW31" s="290"/>
      <c r="FVX31" s="290"/>
      <c r="FVY31" s="290"/>
      <c r="FVZ31" s="290"/>
      <c r="FWA31" s="290"/>
      <c r="FWB31" s="290"/>
      <c r="FWC31" s="290"/>
      <c r="FWD31" s="290"/>
      <c r="FWE31" s="290"/>
      <c r="FWF31" s="290"/>
      <c r="FWG31" s="290"/>
      <c r="FWH31" s="290"/>
      <c r="FWI31" s="290"/>
      <c r="FWJ31" s="290"/>
      <c r="FWK31" s="290"/>
      <c r="FWL31" s="290"/>
      <c r="FWM31" s="290"/>
      <c r="FWN31" s="290"/>
      <c r="FWO31" s="290"/>
      <c r="FWP31" s="290"/>
      <c r="FWQ31" s="290"/>
      <c r="FWR31" s="290"/>
      <c r="FWS31" s="290"/>
      <c r="FWT31" s="290"/>
      <c r="FWU31" s="290"/>
      <c r="FWV31" s="290"/>
      <c r="FWW31" s="290"/>
      <c r="FWX31" s="290"/>
      <c r="FWY31" s="290"/>
      <c r="FWZ31" s="290"/>
      <c r="FXA31" s="290"/>
      <c r="FXB31" s="290"/>
      <c r="FXC31" s="290"/>
      <c r="FXD31" s="290"/>
      <c r="FXE31" s="290"/>
      <c r="FXF31" s="290"/>
      <c r="FXG31" s="290"/>
      <c r="FXH31" s="290"/>
      <c r="FXI31" s="290"/>
      <c r="FXJ31" s="290"/>
      <c r="FXK31" s="290"/>
      <c r="FXL31" s="290"/>
      <c r="FXM31" s="290"/>
      <c r="FXN31" s="290"/>
      <c r="FXO31" s="290"/>
      <c r="FXP31" s="290"/>
      <c r="FXQ31" s="290"/>
      <c r="FXR31" s="290"/>
      <c r="FXS31" s="290"/>
      <c r="FXT31" s="290"/>
      <c r="FXU31" s="290"/>
      <c r="FXV31" s="290"/>
      <c r="FXW31" s="290"/>
      <c r="FXX31" s="290"/>
      <c r="FXY31" s="290"/>
      <c r="FXZ31" s="290"/>
      <c r="FYA31" s="290"/>
      <c r="FYB31" s="290"/>
      <c r="FYC31" s="290"/>
      <c r="FYD31" s="290"/>
      <c r="FYE31" s="290"/>
      <c r="FYF31" s="290"/>
      <c r="FYG31" s="290"/>
      <c r="FYH31" s="290"/>
      <c r="FYI31" s="290"/>
      <c r="FYJ31" s="290"/>
      <c r="FYK31" s="290"/>
      <c r="FYL31" s="290"/>
      <c r="FYM31" s="290"/>
      <c r="FYN31" s="290"/>
      <c r="FYO31" s="290"/>
      <c r="FYP31" s="290"/>
      <c r="FYQ31" s="290"/>
      <c r="FYR31" s="290"/>
      <c r="FYS31" s="290"/>
      <c r="FYT31" s="290"/>
      <c r="FYU31" s="290"/>
      <c r="FYV31" s="290"/>
      <c r="FYW31" s="290"/>
      <c r="FYX31" s="290"/>
      <c r="FYY31" s="290"/>
      <c r="FYZ31" s="290"/>
      <c r="FZA31" s="290"/>
      <c r="FZB31" s="290"/>
      <c r="FZC31" s="290"/>
      <c r="FZD31" s="290"/>
      <c r="FZE31" s="290"/>
      <c r="FZF31" s="290"/>
      <c r="FZG31" s="290"/>
      <c r="FZH31" s="290"/>
      <c r="FZI31" s="290"/>
      <c r="FZJ31" s="290"/>
      <c r="FZK31" s="290"/>
      <c r="FZL31" s="290"/>
      <c r="FZM31" s="290"/>
      <c r="FZN31" s="290"/>
      <c r="FZO31" s="290"/>
      <c r="FZP31" s="290"/>
      <c r="FZQ31" s="290"/>
      <c r="FZR31" s="290"/>
      <c r="FZS31" s="290"/>
      <c r="FZT31" s="290"/>
      <c r="FZU31" s="290"/>
      <c r="FZV31" s="290"/>
      <c r="FZW31" s="290"/>
      <c r="FZX31" s="290"/>
      <c r="FZY31" s="290"/>
      <c r="FZZ31" s="290"/>
      <c r="GAA31" s="290"/>
      <c r="GAB31" s="290"/>
      <c r="GAC31" s="290"/>
      <c r="GAD31" s="290"/>
      <c r="GAE31" s="290"/>
      <c r="GAF31" s="290"/>
      <c r="GAG31" s="290"/>
      <c r="GAH31" s="290"/>
      <c r="GAI31" s="290"/>
      <c r="GAJ31" s="290"/>
      <c r="GAK31" s="290"/>
      <c r="GAL31" s="290"/>
      <c r="GAM31" s="290"/>
      <c r="GAN31" s="290"/>
      <c r="GAO31" s="290"/>
      <c r="GAP31" s="290"/>
      <c r="GAQ31" s="290"/>
      <c r="GAR31" s="290"/>
      <c r="GAS31" s="290"/>
      <c r="GAT31" s="290"/>
      <c r="GAU31" s="290"/>
      <c r="GAV31" s="290"/>
      <c r="GAW31" s="290"/>
      <c r="GAX31" s="290"/>
      <c r="GAY31" s="290"/>
      <c r="GAZ31" s="290"/>
      <c r="GBA31" s="290"/>
      <c r="GBB31" s="290"/>
      <c r="GBC31" s="290"/>
      <c r="GBD31" s="290"/>
      <c r="GBE31" s="290"/>
      <c r="GBF31" s="290"/>
      <c r="GBG31" s="290"/>
      <c r="GBH31" s="290"/>
      <c r="GBI31" s="290"/>
      <c r="GBJ31" s="290"/>
      <c r="GBK31" s="290"/>
      <c r="GBL31" s="290"/>
      <c r="GBM31" s="290"/>
      <c r="GBN31" s="290"/>
      <c r="GBO31" s="290"/>
      <c r="GBP31" s="290"/>
      <c r="GBQ31" s="290"/>
      <c r="GBR31" s="290"/>
      <c r="GBS31" s="290"/>
      <c r="GBT31" s="290"/>
      <c r="GBU31" s="290"/>
      <c r="GBV31" s="290"/>
      <c r="GBW31" s="290"/>
      <c r="GBX31" s="290"/>
      <c r="GBY31" s="290"/>
      <c r="GBZ31" s="290"/>
      <c r="GCA31" s="290"/>
      <c r="GCB31" s="290"/>
      <c r="GCC31" s="290"/>
      <c r="GCD31" s="290"/>
      <c r="GCE31" s="290"/>
      <c r="GCF31" s="290"/>
      <c r="GCG31" s="290"/>
      <c r="GCH31" s="290"/>
      <c r="GCI31" s="290"/>
      <c r="GCJ31" s="290"/>
      <c r="GCK31" s="290"/>
      <c r="GCL31" s="290"/>
      <c r="GCM31" s="290"/>
      <c r="GCN31" s="290"/>
      <c r="GCO31" s="290"/>
      <c r="GCP31" s="290"/>
      <c r="GCQ31" s="290"/>
      <c r="GCR31" s="290"/>
      <c r="GCS31" s="290"/>
      <c r="GCT31" s="290"/>
      <c r="GCU31" s="290"/>
      <c r="GCV31" s="290"/>
      <c r="GCW31" s="290"/>
      <c r="GCX31" s="290"/>
      <c r="GCY31" s="290"/>
      <c r="GCZ31" s="290"/>
      <c r="GDA31" s="290"/>
      <c r="GDB31" s="290"/>
      <c r="GDC31" s="290"/>
      <c r="GDD31" s="290"/>
      <c r="GDE31" s="290"/>
      <c r="GDF31" s="290"/>
      <c r="GDG31" s="290"/>
      <c r="GDH31" s="290"/>
      <c r="GDI31" s="290"/>
      <c r="GDJ31" s="290"/>
      <c r="GDK31" s="290"/>
      <c r="GDL31" s="290"/>
      <c r="GDM31" s="290"/>
      <c r="GDN31" s="290"/>
      <c r="GDO31" s="290"/>
      <c r="GDP31" s="290"/>
      <c r="GDQ31" s="290"/>
      <c r="GDR31" s="290"/>
      <c r="GDS31" s="290"/>
      <c r="GDT31" s="290"/>
      <c r="GDU31" s="290"/>
      <c r="GDV31" s="290"/>
      <c r="GDW31" s="290"/>
      <c r="GDX31" s="290"/>
      <c r="GDY31" s="290"/>
      <c r="GDZ31" s="290"/>
      <c r="GEA31" s="290"/>
      <c r="GEB31" s="290"/>
      <c r="GEC31" s="290"/>
      <c r="GED31" s="290"/>
      <c r="GEE31" s="290"/>
      <c r="GEF31" s="290"/>
      <c r="GEG31" s="290"/>
      <c r="GEH31" s="290"/>
      <c r="GEI31" s="290"/>
      <c r="GEJ31" s="290"/>
      <c r="GEK31" s="290"/>
      <c r="GEL31" s="290"/>
      <c r="GEM31" s="290"/>
      <c r="GEN31" s="290"/>
      <c r="GEO31" s="290"/>
      <c r="GEP31" s="290"/>
      <c r="GEQ31" s="290"/>
      <c r="GER31" s="290"/>
      <c r="GES31" s="290"/>
      <c r="GET31" s="290"/>
      <c r="GEU31" s="290"/>
      <c r="GEV31" s="290"/>
      <c r="GEW31" s="290"/>
      <c r="GEX31" s="290"/>
      <c r="GEY31" s="290"/>
      <c r="GEZ31" s="290"/>
      <c r="GFA31" s="290"/>
      <c r="GFB31" s="290"/>
      <c r="GFC31" s="290"/>
      <c r="GFD31" s="290"/>
      <c r="GFE31" s="290"/>
      <c r="GFF31" s="290"/>
      <c r="GFG31" s="290"/>
      <c r="GFH31" s="290"/>
      <c r="GFI31" s="290"/>
      <c r="GFJ31" s="290"/>
      <c r="GFK31" s="290"/>
      <c r="GFL31" s="290"/>
      <c r="GFM31" s="290"/>
      <c r="GFN31" s="290"/>
      <c r="GFO31" s="290"/>
      <c r="GFP31" s="290"/>
      <c r="GFQ31" s="290"/>
      <c r="GFR31" s="290"/>
      <c r="GFS31" s="290"/>
      <c r="GFT31" s="290"/>
      <c r="GFU31" s="290"/>
      <c r="GFV31" s="290"/>
      <c r="GFW31" s="290"/>
      <c r="GFX31" s="290"/>
      <c r="GFY31" s="290"/>
      <c r="GFZ31" s="290"/>
      <c r="GGA31" s="290"/>
      <c r="GGB31" s="290"/>
      <c r="GGC31" s="290"/>
      <c r="GGD31" s="290"/>
      <c r="GGE31" s="290"/>
      <c r="GGF31" s="290"/>
      <c r="GGG31" s="290"/>
      <c r="GGH31" s="290"/>
      <c r="GGI31" s="290"/>
      <c r="GGJ31" s="290"/>
      <c r="GGK31" s="290"/>
      <c r="GGL31" s="290"/>
      <c r="GGM31" s="290"/>
      <c r="GGN31" s="290"/>
      <c r="GGO31" s="290"/>
      <c r="GGP31" s="290"/>
      <c r="GGQ31" s="290"/>
      <c r="GGR31" s="290"/>
      <c r="GGS31" s="290"/>
      <c r="GGT31" s="290"/>
      <c r="GGU31" s="290"/>
      <c r="GGV31" s="290"/>
      <c r="GGW31" s="290"/>
      <c r="GGX31" s="290"/>
      <c r="GGY31" s="290"/>
      <c r="GGZ31" s="290"/>
      <c r="GHA31" s="290"/>
      <c r="GHB31" s="290"/>
      <c r="GHC31" s="290"/>
      <c r="GHD31" s="290"/>
      <c r="GHE31" s="290"/>
      <c r="GHF31" s="290"/>
      <c r="GHG31" s="290"/>
      <c r="GHH31" s="290"/>
      <c r="GHI31" s="290"/>
      <c r="GHJ31" s="290"/>
      <c r="GHK31" s="290"/>
      <c r="GHL31" s="290"/>
      <c r="GHM31" s="290"/>
      <c r="GHN31" s="290"/>
      <c r="GHO31" s="290"/>
      <c r="GHP31" s="290"/>
      <c r="GHQ31" s="290"/>
      <c r="GHR31" s="290"/>
      <c r="GHS31" s="290"/>
      <c r="GHT31" s="290"/>
      <c r="GHU31" s="290"/>
      <c r="GHV31" s="290"/>
      <c r="GHW31" s="290"/>
      <c r="GHX31" s="290"/>
      <c r="GHY31" s="290"/>
      <c r="GHZ31" s="290"/>
      <c r="GIA31" s="290"/>
      <c r="GIB31" s="290"/>
      <c r="GIC31" s="290"/>
      <c r="GID31" s="290"/>
      <c r="GIE31" s="290"/>
      <c r="GIF31" s="290"/>
      <c r="GIG31" s="290"/>
      <c r="GIH31" s="290"/>
      <c r="GII31" s="290"/>
      <c r="GIJ31" s="290"/>
      <c r="GIK31" s="290"/>
      <c r="GIL31" s="290"/>
      <c r="GIM31" s="290"/>
      <c r="GIN31" s="290"/>
      <c r="GIO31" s="290"/>
      <c r="GIP31" s="290"/>
      <c r="GIQ31" s="290"/>
      <c r="GIR31" s="290"/>
      <c r="GIS31" s="290"/>
      <c r="GIT31" s="290"/>
      <c r="GIU31" s="290"/>
      <c r="GIV31" s="290"/>
      <c r="GIW31" s="290"/>
      <c r="GIX31" s="290"/>
      <c r="GIY31" s="290"/>
      <c r="GIZ31" s="290"/>
      <c r="GJA31" s="290"/>
      <c r="GJB31" s="290"/>
      <c r="GJC31" s="290"/>
      <c r="GJD31" s="290"/>
      <c r="GJE31" s="290"/>
      <c r="GJF31" s="290"/>
      <c r="GJG31" s="290"/>
      <c r="GJH31" s="290"/>
      <c r="GJI31" s="290"/>
      <c r="GJJ31" s="290"/>
      <c r="GJK31" s="290"/>
      <c r="GJL31" s="290"/>
      <c r="GJM31" s="290"/>
      <c r="GJN31" s="290"/>
      <c r="GJO31" s="290"/>
      <c r="GJP31" s="290"/>
      <c r="GJQ31" s="290"/>
      <c r="GJR31" s="290"/>
      <c r="GJS31" s="290"/>
      <c r="GJT31" s="290"/>
      <c r="GJU31" s="290"/>
      <c r="GJV31" s="290"/>
      <c r="GJW31" s="290"/>
      <c r="GJX31" s="290"/>
      <c r="GJY31" s="290"/>
      <c r="GJZ31" s="290"/>
      <c r="GKA31" s="290"/>
      <c r="GKB31" s="290"/>
      <c r="GKC31" s="290"/>
      <c r="GKD31" s="290"/>
      <c r="GKE31" s="290"/>
      <c r="GKF31" s="290"/>
      <c r="GKG31" s="290"/>
      <c r="GKH31" s="290"/>
      <c r="GKI31" s="290"/>
      <c r="GKJ31" s="290"/>
      <c r="GKK31" s="290"/>
      <c r="GKL31" s="290"/>
      <c r="GKM31" s="290"/>
      <c r="GKN31" s="290"/>
      <c r="GKO31" s="290"/>
      <c r="GKP31" s="290"/>
      <c r="GKQ31" s="290"/>
      <c r="GKR31" s="290"/>
      <c r="GKS31" s="290"/>
      <c r="GKT31" s="290"/>
      <c r="GKU31" s="290"/>
      <c r="GKV31" s="290"/>
      <c r="GKW31" s="290"/>
      <c r="GKX31" s="290"/>
      <c r="GKY31" s="290"/>
      <c r="GKZ31" s="290"/>
      <c r="GLA31" s="290"/>
      <c r="GLB31" s="290"/>
      <c r="GLC31" s="290"/>
      <c r="GLD31" s="290"/>
      <c r="GLE31" s="290"/>
      <c r="GLF31" s="290"/>
      <c r="GLG31" s="290"/>
      <c r="GLH31" s="290"/>
      <c r="GLI31" s="290"/>
      <c r="GLJ31" s="290"/>
      <c r="GLK31" s="290"/>
      <c r="GLL31" s="290"/>
      <c r="GLM31" s="290"/>
      <c r="GLN31" s="290"/>
      <c r="GLO31" s="290"/>
      <c r="GLP31" s="290"/>
      <c r="GLQ31" s="290"/>
      <c r="GLR31" s="290"/>
      <c r="GLS31" s="290"/>
      <c r="GLT31" s="290"/>
      <c r="GLU31" s="290"/>
      <c r="GLV31" s="290"/>
      <c r="GLW31" s="290"/>
      <c r="GLX31" s="290"/>
      <c r="GLY31" s="290"/>
      <c r="GLZ31" s="290"/>
      <c r="GMA31" s="290"/>
      <c r="GMB31" s="290"/>
      <c r="GMC31" s="290"/>
      <c r="GMD31" s="290"/>
      <c r="GME31" s="290"/>
      <c r="GMF31" s="290"/>
      <c r="GMG31" s="290"/>
      <c r="GMH31" s="290"/>
      <c r="GMI31" s="290"/>
      <c r="GMJ31" s="290"/>
      <c r="GMK31" s="290"/>
      <c r="GML31" s="290"/>
      <c r="GMM31" s="290"/>
      <c r="GMN31" s="290"/>
      <c r="GMO31" s="290"/>
      <c r="GMP31" s="290"/>
      <c r="GMQ31" s="290"/>
      <c r="GMR31" s="290"/>
      <c r="GMS31" s="290"/>
      <c r="GMT31" s="290"/>
      <c r="GMU31" s="290"/>
      <c r="GMV31" s="290"/>
      <c r="GMW31" s="290"/>
      <c r="GMX31" s="290"/>
      <c r="GMY31" s="290"/>
      <c r="GMZ31" s="290"/>
      <c r="GNA31" s="290"/>
      <c r="GNB31" s="290"/>
      <c r="GNC31" s="290"/>
      <c r="GND31" s="290"/>
      <c r="GNE31" s="290"/>
      <c r="GNF31" s="290"/>
      <c r="GNG31" s="290"/>
      <c r="GNH31" s="290"/>
      <c r="GNI31" s="290"/>
      <c r="GNJ31" s="290"/>
      <c r="GNK31" s="290"/>
      <c r="GNL31" s="290"/>
      <c r="GNM31" s="290"/>
      <c r="GNN31" s="290"/>
      <c r="GNO31" s="290"/>
      <c r="GNP31" s="290"/>
      <c r="GNQ31" s="290"/>
      <c r="GNR31" s="290"/>
      <c r="GNS31" s="290"/>
      <c r="GNT31" s="290"/>
      <c r="GNU31" s="290"/>
      <c r="GNV31" s="290"/>
      <c r="GNW31" s="290"/>
      <c r="GNX31" s="290"/>
      <c r="GNY31" s="290"/>
      <c r="GNZ31" s="290"/>
      <c r="GOA31" s="290"/>
      <c r="GOB31" s="290"/>
      <c r="GOC31" s="290"/>
      <c r="GOD31" s="290"/>
      <c r="GOE31" s="290"/>
      <c r="GOF31" s="290"/>
      <c r="GOG31" s="290"/>
      <c r="GOH31" s="290"/>
      <c r="GOI31" s="290"/>
      <c r="GOJ31" s="290"/>
      <c r="GOK31" s="290"/>
      <c r="GOL31" s="290"/>
      <c r="GOM31" s="290"/>
      <c r="GON31" s="290"/>
      <c r="GOO31" s="290"/>
      <c r="GOP31" s="290"/>
      <c r="GOQ31" s="290"/>
      <c r="GOR31" s="290"/>
      <c r="GOS31" s="290"/>
      <c r="GOT31" s="290"/>
      <c r="GOU31" s="290"/>
      <c r="GOV31" s="290"/>
      <c r="GOW31" s="290"/>
      <c r="GOX31" s="290"/>
      <c r="GOY31" s="290"/>
      <c r="GOZ31" s="290"/>
      <c r="GPA31" s="290"/>
      <c r="GPB31" s="290"/>
      <c r="GPC31" s="290"/>
      <c r="GPD31" s="290"/>
      <c r="GPE31" s="290"/>
      <c r="GPF31" s="290"/>
      <c r="GPG31" s="290"/>
      <c r="GPH31" s="290"/>
      <c r="GPI31" s="290"/>
      <c r="GPJ31" s="290"/>
      <c r="GPK31" s="290"/>
      <c r="GPL31" s="290"/>
      <c r="GPM31" s="290"/>
      <c r="GPN31" s="290"/>
      <c r="GPO31" s="290"/>
      <c r="GPP31" s="290"/>
      <c r="GPQ31" s="290"/>
      <c r="GPR31" s="290"/>
      <c r="GPS31" s="290"/>
      <c r="GPT31" s="290"/>
      <c r="GPU31" s="290"/>
      <c r="GPV31" s="290"/>
      <c r="GPW31" s="290"/>
      <c r="GPX31" s="290"/>
      <c r="GPY31" s="290"/>
      <c r="GPZ31" s="290"/>
      <c r="GQA31" s="290"/>
      <c r="GQB31" s="290"/>
      <c r="GQC31" s="290"/>
      <c r="GQD31" s="290"/>
      <c r="GQE31" s="290"/>
      <c r="GQF31" s="290"/>
      <c r="GQG31" s="290"/>
      <c r="GQH31" s="290"/>
      <c r="GQI31" s="290"/>
      <c r="GQJ31" s="290"/>
      <c r="GQK31" s="290"/>
      <c r="GQL31" s="290"/>
      <c r="GQM31" s="290"/>
      <c r="GQN31" s="290"/>
      <c r="GQO31" s="290"/>
      <c r="GQP31" s="290"/>
      <c r="GQQ31" s="290"/>
      <c r="GQR31" s="290"/>
      <c r="GQS31" s="290"/>
      <c r="GQT31" s="290"/>
      <c r="GQU31" s="290"/>
      <c r="GQV31" s="290"/>
      <c r="GQW31" s="290"/>
      <c r="GQX31" s="290"/>
      <c r="GQY31" s="290"/>
      <c r="GQZ31" s="290"/>
      <c r="GRA31" s="290"/>
      <c r="GRB31" s="290"/>
      <c r="GRC31" s="290"/>
      <c r="GRD31" s="290"/>
      <c r="GRE31" s="290"/>
      <c r="GRF31" s="290"/>
      <c r="GRG31" s="290"/>
      <c r="GRH31" s="290"/>
      <c r="GRI31" s="290"/>
      <c r="GRJ31" s="290"/>
      <c r="GRK31" s="290"/>
      <c r="GRL31" s="290"/>
      <c r="GRM31" s="290"/>
      <c r="GRN31" s="290"/>
      <c r="GRO31" s="290"/>
      <c r="GRP31" s="290"/>
      <c r="GRQ31" s="290"/>
      <c r="GRR31" s="290"/>
      <c r="GRS31" s="290"/>
      <c r="GRT31" s="290"/>
      <c r="GRU31" s="290"/>
      <c r="GRV31" s="290"/>
      <c r="GRW31" s="290"/>
      <c r="GRX31" s="290"/>
      <c r="GRY31" s="290"/>
      <c r="GRZ31" s="290"/>
      <c r="GSA31" s="290"/>
      <c r="GSB31" s="290"/>
      <c r="GSC31" s="290"/>
      <c r="GSD31" s="290"/>
      <c r="GSE31" s="290"/>
      <c r="GSF31" s="290"/>
      <c r="GSG31" s="290"/>
      <c r="GSH31" s="290"/>
      <c r="GSI31" s="290"/>
      <c r="GSJ31" s="290"/>
      <c r="GSK31" s="290"/>
      <c r="GSL31" s="290"/>
      <c r="GSM31" s="290"/>
      <c r="GSN31" s="290"/>
      <c r="GSO31" s="290"/>
      <c r="GSP31" s="290"/>
      <c r="GSQ31" s="290"/>
      <c r="GSR31" s="290"/>
      <c r="GSS31" s="290"/>
      <c r="GST31" s="290"/>
      <c r="GSU31" s="290"/>
      <c r="GSV31" s="290"/>
      <c r="GSW31" s="290"/>
      <c r="GSX31" s="290"/>
      <c r="GSY31" s="290"/>
      <c r="GSZ31" s="290"/>
      <c r="GTA31" s="290"/>
      <c r="GTB31" s="290"/>
      <c r="GTC31" s="290"/>
      <c r="GTD31" s="290"/>
      <c r="GTE31" s="290"/>
      <c r="GTF31" s="290"/>
      <c r="GTG31" s="290"/>
      <c r="GTH31" s="290"/>
      <c r="GTI31" s="290"/>
      <c r="GTJ31" s="290"/>
      <c r="GTK31" s="290"/>
      <c r="GTL31" s="290"/>
      <c r="GTM31" s="290"/>
      <c r="GTN31" s="290"/>
      <c r="GTO31" s="290"/>
      <c r="GTP31" s="290"/>
      <c r="GTQ31" s="290"/>
      <c r="GTR31" s="290"/>
      <c r="GTS31" s="290"/>
      <c r="GTT31" s="290"/>
      <c r="GTU31" s="290"/>
      <c r="GTV31" s="290"/>
      <c r="GTW31" s="290"/>
      <c r="GTX31" s="290"/>
      <c r="GTY31" s="290"/>
      <c r="GTZ31" s="290"/>
      <c r="GUA31" s="290"/>
      <c r="GUB31" s="290"/>
      <c r="GUC31" s="290"/>
      <c r="GUD31" s="290"/>
      <c r="GUE31" s="290"/>
      <c r="GUF31" s="290"/>
      <c r="GUG31" s="290"/>
      <c r="GUH31" s="290"/>
      <c r="GUI31" s="290"/>
      <c r="GUJ31" s="290"/>
      <c r="GUK31" s="290"/>
      <c r="GUL31" s="290"/>
      <c r="GUM31" s="290"/>
      <c r="GUN31" s="290"/>
      <c r="GUO31" s="290"/>
      <c r="GUP31" s="290"/>
      <c r="GUQ31" s="290"/>
      <c r="GUR31" s="290"/>
      <c r="GUS31" s="290"/>
      <c r="GUT31" s="290"/>
      <c r="GUU31" s="290"/>
      <c r="GUV31" s="290"/>
      <c r="GUW31" s="290"/>
      <c r="GUX31" s="290"/>
      <c r="GUY31" s="290"/>
      <c r="GUZ31" s="290"/>
      <c r="GVA31" s="290"/>
      <c r="GVB31" s="290"/>
      <c r="GVC31" s="290"/>
      <c r="GVD31" s="290"/>
      <c r="GVE31" s="290"/>
      <c r="GVF31" s="290"/>
      <c r="GVG31" s="290"/>
      <c r="GVH31" s="290"/>
      <c r="GVI31" s="290"/>
      <c r="GVJ31" s="290"/>
      <c r="GVK31" s="290"/>
      <c r="GVL31" s="290"/>
      <c r="GVM31" s="290"/>
      <c r="GVN31" s="290"/>
      <c r="GVO31" s="290"/>
      <c r="GVP31" s="290"/>
      <c r="GVQ31" s="290"/>
      <c r="GVR31" s="290"/>
      <c r="GVS31" s="290"/>
      <c r="GVT31" s="290"/>
      <c r="GVU31" s="290"/>
      <c r="GVV31" s="290"/>
      <c r="GVW31" s="290"/>
      <c r="GVX31" s="290"/>
      <c r="GVY31" s="290"/>
      <c r="GVZ31" s="290"/>
      <c r="GWA31" s="290"/>
      <c r="GWB31" s="290"/>
      <c r="GWC31" s="290"/>
      <c r="GWD31" s="290"/>
      <c r="GWE31" s="290"/>
      <c r="GWF31" s="290"/>
      <c r="GWG31" s="290"/>
      <c r="GWH31" s="290"/>
      <c r="GWI31" s="290"/>
      <c r="GWJ31" s="290"/>
      <c r="GWK31" s="290"/>
      <c r="GWL31" s="290"/>
      <c r="GWM31" s="290"/>
      <c r="GWN31" s="290"/>
      <c r="GWO31" s="290"/>
      <c r="GWP31" s="290"/>
      <c r="GWQ31" s="290"/>
      <c r="GWR31" s="290"/>
      <c r="GWS31" s="290"/>
      <c r="GWT31" s="290"/>
      <c r="GWU31" s="290"/>
      <c r="GWV31" s="290"/>
      <c r="GWW31" s="290"/>
      <c r="GWX31" s="290"/>
      <c r="GWY31" s="290"/>
      <c r="GWZ31" s="290"/>
      <c r="GXA31" s="290"/>
      <c r="GXB31" s="290"/>
      <c r="GXC31" s="290"/>
      <c r="GXD31" s="290"/>
      <c r="GXE31" s="290"/>
      <c r="GXF31" s="290"/>
      <c r="GXG31" s="290"/>
      <c r="GXH31" s="290"/>
      <c r="GXI31" s="290"/>
      <c r="GXJ31" s="290"/>
      <c r="GXK31" s="290"/>
      <c r="GXL31" s="290"/>
      <c r="GXM31" s="290"/>
      <c r="GXN31" s="290"/>
      <c r="GXO31" s="290"/>
      <c r="GXP31" s="290"/>
      <c r="GXQ31" s="290"/>
      <c r="GXR31" s="290"/>
      <c r="GXS31" s="290"/>
      <c r="GXT31" s="290"/>
      <c r="GXU31" s="290"/>
      <c r="GXV31" s="290"/>
      <c r="GXW31" s="290"/>
      <c r="GXX31" s="290"/>
      <c r="GXY31" s="290"/>
      <c r="GXZ31" s="290"/>
      <c r="GYA31" s="290"/>
      <c r="GYB31" s="290"/>
      <c r="GYC31" s="290"/>
      <c r="GYD31" s="290"/>
      <c r="GYE31" s="290"/>
      <c r="GYF31" s="290"/>
      <c r="GYG31" s="290"/>
      <c r="GYH31" s="290"/>
      <c r="GYI31" s="290"/>
      <c r="GYJ31" s="290"/>
      <c r="GYK31" s="290"/>
      <c r="GYL31" s="290"/>
      <c r="GYM31" s="290"/>
      <c r="GYN31" s="290"/>
      <c r="GYO31" s="290"/>
      <c r="GYP31" s="290"/>
      <c r="GYQ31" s="290"/>
      <c r="GYR31" s="290"/>
      <c r="GYS31" s="290"/>
      <c r="GYT31" s="290"/>
      <c r="GYU31" s="290"/>
      <c r="GYV31" s="290"/>
      <c r="GYW31" s="290"/>
      <c r="GYX31" s="290"/>
      <c r="GYY31" s="290"/>
      <c r="GYZ31" s="290"/>
      <c r="GZA31" s="290"/>
      <c r="GZB31" s="290"/>
      <c r="GZC31" s="290"/>
      <c r="GZD31" s="290"/>
      <c r="GZE31" s="290"/>
      <c r="GZF31" s="290"/>
      <c r="GZG31" s="290"/>
      <c r="GZH31" s="290"/>
      <c r="GZI31" s="290"/>
      <c r="GZJ31" s="290"/>
      <c r="GZK31" s="290"/>
      <c r="GZL31" s="290"/>
      <c r="GZM31" s="290"/>
      <c r="GZN31" s="290"/>
      <c r="GZO31" s="290"/>
      <c r="GZP31" s="290"/>
      <c r="GZQ31" s="290"/>
      <c r="GZR31" s="290"/>
      <c r="GZS31" s="290"/>
      <c r="GZT31" s="290"/>
      <c r="GZU31" s="290"/>
      <c r="GZV31" s="290"/>
      <c r="GZW31" s="290"/>
      <c r="GZX31" s="290"/>
      <c r="GZY31" s="290"/>
      <c r="GZZ31" s="290"/>
      <c r="HAA31" s="290"/>
      <c r="HAB31" s="290"/>
      <c r="HAC31" s="290"/>
      <c r="HAD31" s="290"/>
      <c r="HAE31" s="290"/>
      <c r="HAF31" s="290"/>
      <c r="HAG31" s="290"/>
      <c r="HAH31" s="290"/>
      <c r="HAI31" s="290"/>
      <c r="HAJ31" s="290"/>
      <c r="HAK31" s="290"/>
      <c r="HAL31" s="290"/>
      <c r="HAM31" s="290"/>
      <c r="HAN31" s="290"/>
      <c r="HAO31" s="290"/>
      <c r="HAP31" s="290"/>
      <c r="HAQ31" s="290"/>
      <c r="HAR31" s="290"/>
      <c r="HAS31" s="290"/>
      <c r="HAT31" s="290"/>
      <c r="HAU31" s="290"/>
      <c r="HAV31" s="290"/>
      <c r="HAW31" s="290"/>
      <c r="HAX31" s="290"/>
      <c r="HAY31" s="290"/>
      <c r="HAZ31" s="290"/>
      <c r="HBA31" s="290"/>
      <c r="HBB31" s="290"/>
      <c r="HBC31" s="290"/>
      <c r="HBD31" s="290"/>
      <c r="HBE31" s="290"/>
      <c r="HBF31" s="290"/>
      <c r="HBG31" s="290"/>
      <c r="HBH31" s="290"/>
      <c r="HBI31" s="290"/>
      <c r="HBJ31" s="290"/>
      <c r="HBK31" s="290"/>
      <c r="HBL31" s="290"/>
      <c r="HBM31" s="290"/>
      <c r="HBN31" s="290"/>
      <c r="HBO31" s="290"/>
      <c r="HBP31" s="290"/>
      <c r="HBQ31" s="290"/>
      <c r="HBR31" s="290"/>
      <c r="HBS31" s="290"/>
      <c r="HBT31" s="290"/>
      <c r="HBU31" s="290"/>
      <c r="HBV31" s="290"/>
      <c r="HBW31" s="290"/>
      <c r="HBX31" s="290"/>
      <c r="HBY31" s="290"/>
      <c r="HBZ31" s="290"/>
      <c r="HCA31" s="290"/>
      <c r="HCB31" s="290"/>
      <c r="HCC31" s="290"/>
      <c r="HCD31" s="290"/>
      <c r="HCE31" s="290"/>
      <c r="HCF31" s="290"/>
      <c r="HCG31" s="290"/>
      <c r="HCH31" s="290"/>
      <c r="HCI31" s="290"/>
      <c r="HCJ31" s="290"/>
      <c r="HCK31" s="290"/>
      <c r="HCL31" s="290"/>
      <c r="HCM31" s="290"/>
      <c r="HCN31" s="290"/>
      <c r="HCO31" s="290"/>
      <c r="HCP31" s="290"/>
      <c r="HCQ31" s="290"/>
      <c r="HCR31" s="290"/>
      <c r="HCS31" s="290"/>
      <c r="HCT31" s="290"/>
      <c r="HCU31" s="290"/>
      <c r="HCV31" s="290"/>
      <c r="HCW31" s="290"/>
      <c r="HCX31" s="290"/>
      <c r="HCY31" s="290"/>
      <c r="HCZ31" s="290"/>
      <c r="HDA31" s="290"/>
      <c r="HDB31" s="290"/>
      <c r="HDC31" s="290"/>
      <c r="HDD31" s="290"/>
      <c r="HDE31" s="290"/>
      <c r="HDF31" s="290"/>
      <c r="HDG31" s="290"/>
      <c r="HDH31" s="290"/>
      <c r="HDI31" s="290"/>
      <c r="HDJ31" s="290"/>
      <c r="HDK31" s="290"/>
      <c r="HDL31" s="290"/>
      <c r="HDM31" s="290"/>
      <c r="HDN31" s="290"/>
      <c r="HDO31" s="290"/>
      <c r="HDP31" s="290"/>
      <c r="HDQ31" s="290"/>
      <c r="HDR31" s="290"/>
      <c r="HDS31" s="290"/>
      <c r="HDT31" s="290"/>
      <c r="HDU31" s="290"/>
      <c r="HDV31" s="290"/>
      <c r="HDW31" s="290"/>
      <c r="HDX31" s="290"/>
      <c r="HDY31" s="290"/>
      <c r="HDZ31" s="290"/>
      <c r="HEA31" s="290"/>
      <c r="HEB31" s="290"/>
      <c r="HEC31" s="290"/>
      <c r="HED31" s="290"/>
      <c r="HEE31" s="290"/>
      <c r="HEF31" s="290"/>
      <c r="HEG31" s="290"/>
      <c r="HEH31" s="290"/>
      <c r="HEI31" s="290"/>
      <c r="HEJ31" s="290"/>
      <c r="HEK31" s="290"/>
      <c r="HEL31" s="290"/>
      <c r="HEM31" s="290"/>
      <c r="HEN31" s="290"/>
      <c r="HEO31" s="290"/>
      <c r="HEP31" s="290"/>
      <c r="HEQ31" s="290"/>
      <c r="HER31" s="290"/>
      <c r="HES31" s="290"/>
      <c r="HET31" s="290"/>
      <c r="HEU31" s="290"/>
      <c r="HEV31" s="290"/>
      <c r="HEW31" s="290"/>
      <c r="HEX31" s="290"/>
      <c r="HEY31" s="290"/>
      <c r="HEZ31" s="290"/>
      <c r="HFA31" s="290"/>
      <c r="HFB31" s="290"/>
      <c r="HFC31" s="290"/>
      <c r="HFD31" s="290"/>
      <c r="HFE31" s="290"/>
      <c r="HFF31" s="290"/>
      <c r="HFG31" s="290"/>
      <c r="HFH31" s="290"/>
      <c r="HFI31" s="290"/>
      <c r="HFJ31" s="290"/>
      <c r="HFK31" s="290"/>
      <c r="HFL31" s="290"/>
      <c r="HFM31" s="290"/>
      <c r="HFN31" s="290"/>
      <c r="HFO31" s="290"/>
      <c r="HFP31" s="290"/>
      <c r="HFQ31" s="290"/>
      <c r="HFR31" s="290"/>
      <c r="HFS31" s="290"/>
      <c r="HFT31" s="290"/>
      <c r="HFU31" s="290"/>
      <c r="HFV31" s="290"/>
      <c r="HFW31" s="290"/>
      <c r="HFX31" s="290"/>
      <c r="HFY31" s="290"/>
      <c r="HFZ31" s="290"/>
      <c r="HGA31" s="290"/>
      <c r="HGB31" s="290"/>
      <c r="HGC31" s="290"/>
      <c r="HGD31" s="290"/>
      <c r="HGE31" s="290"/>
      <c r="HGF31" s="290"/>
      <c r="HGG31" s="290"/>
      <c r="HGH31" s="290"/>
      <c r="HGI31" s="290"/>
      <c r="HGJ31" s="290"/>
      <c r="HGK31" s="290"/>
      <c r="HGL31" s="290"/>
      <c r="HGM31" s="290"/>
      <c r="HGN31" s="290"/>
      <c r="HGO31" s="290"/>
      <c r="HGP31" s="290"/>
      <c r="HGQ31" s="290"/>
      <c r="HGR31" s="290"/>
      <c r="HGS31" s="290"/>
      <c r="HGT31" s="290"/>
      <c r="HGU31" s="290"/>
      <c r="HGV31" s="290"/>
      <c r="HGW31" s="290"/>
      <c r="HGX31" s="290"/>
      <c r="HGY31" s="290"/>
      <c r="HGZ31" s="290"/>
      <c r="HHA31" s="290"/>
      <c r="HHB31" s="290"/>
      <c r="HHC31" s="290"/>
      <c r="HHD31" s="290"/>
      <c r="HHE31" s="290"/>
      <c r="HHF31" s="290"/>
      <c r="HHG31" s="290"/>
      <c r="HHH31" s="290"/>
      <c r="HHI31" s="290"/>
      <c r="HHJ31" s="290"/>
      <c r="HHK31" s="290"/>
      <c r="HHL31" s="290"/>
      <c r="HHM31" s="290"/>
      <c r="HHN31" s="290"/>
      <c r="HHO31" s="290"/>
      <c r="HHP31" s="290"/>
      <c r="HHQ31" s="290"/>
      <c r="HHR31" s="290"/>
      <c r="HHS31" s="290"/>
      <c r="HHT31" s="290"/>
      <c r="HHU31" s="290"/>
      <c r="HHV31" s="290"/>
      <c r="HHW31" s="290"/>
      <c r="HHX31" s="290"/>
      <c r="HHY31" s="290"/>
      <c r="HHZ31" s="290"/>
      <c r="HIA31" s="290"/>
      <c r="HIB31" s="290"/>
      <c r="HIC31" s="290"/>
      <c r="HID31" s="290"/>
      <c r="HIE31" s="290"/>
      <c r="HIF31" s="290"/>
      <c r="HIG31" s="290"/>
      <c r="HIH31" s="290"/>
      <c r="HII31" s="290"/>
      <c r="HIJ31" s="290"/>
      <c r="HIK31" s="290"/>
      <c r="HIL31" s="290"/>
      <c r="HIM31" s="290"/>
      <c r="HIN31" s="290"/>
      <c r="HIO31" s="290"/>
      <c r="HIP31" s="290"/>
      <c r="HIQ31" s="290"/>
      <c r="HIR31" s="290"/>
      <c r="HIS31" s="290"/>
      <c r="HIT31" s="290"/>
      <c r="HIU31" s="290"/>
      <c r="HIV31" s="290"/>
      <c r="HIW31" s="290"/>
      <c r="HIX31" s="290"/>
      <c r="HIY31" s="290"/>
      <c r="HIZ31" s="290"/>
      <c r="HJA31" s="290"/>
      <c r="HJB31" s="290"/>
      <c r="HJC31" s="290"/>
      <c r="HJD31" s="290"/>
      <c r="HJE31" s="290"/>
      <c r="HJF31" s="290"/>
      <c r="HJG31" s="290"/>
      <c r="HJH31" s="290"/>
      <c r="HJI31" s="290"/>
      <c r="HJJ31" s="290"/>
      <c r="HJK31" s="290"/>
      <c r="HJL31" s="290"/>
      <c r="HJM31" s="290"/>
      <c r="HJN31" s="290"/>
      <c r="HJO31" s="290"/>
      <c r="HJP31" s="290"/>
      <c r="HJQ31" s="290"/>
      <c r="HJR31" s="290"/>
      <c r="HJS31" s="290"/>
      <c r="HJT31" s="290"/>
      <c r="HJU31" s="290"/>
      <c r="HJV31" s="290"/>
      <c r="HJW31" s="290"/>
      <c r="HJX31" s="290"/>
      <c r="HJY31" s="290"/>
      <c r="HJZ31" s="290"/>
      <c r="HKA31" s="290"/>
      <c r="HKB31" s="290"/>
      <c r="HKC31" s="290"/>
      <c r="HKD31" s="290"/>
      <c r="HKE31" s="290"/>
      <c r="HKF31" s="290"/>
      <c r="HKG31" s="290"/>
      <c r="HKH31" s="290"/>
      <c r="HKI31" s="290"/>
      <c r="HKJ31" s="290"/>
      <c r="HKK31" s="290"/>
      <c r="HKL31" s="290"/>
      <c r="HKM31" s="290"/>
      <c r="HKN31" s="290"/>
      <c r="HKO31" s="290"/>
      <c r="HKP31" s="290"/>
      <c r="HKQ31" s="290"/>
      <c r="HKR31" s="290"/>
      <c r="HKS31" s="290"/>
      <c r="HKT31" s="290"/>
      <c r="HKU31" s="290"/>
      <c r="HKV31" s="290"/>
      <c r="HKW31" s="290"/>
      <c r="HKX31" s="290"/>
      <c r="HKY31" s="290"/>
      <c r="HKZ31" s="290"/>
      <c r="HLA31" s="290"/>
      <c r="HLB31" s="290"/>
      <c r="HLC31" s="290"/>
      <c r="HLD31" s="290"/>
      <c r="HLE31" s="290"/>
      <c r="HLF31" s="290"/>
      <c r="HLG31" s="290"/>
      <c r="HLH31" s="290"/>
      <c r="HLI31" s="290"/>
      <c r="HLJ31" s="290"/>
      <c r="HLK31" s="290"/>
      <c r="HLL31" s="290"/>
      <c r="HLM31" s="290"/>
      <c r="HLN31" s="290"/>
      <c r="HLO31" s="290"/>
      <c r="HLP31" s="290"/>
      <c r="HLQ31" s="290"/>
      <c r="HLR31" s="290"/>
      <c r="HLS31" s="290"/>
      <c r="HLT31" s="290"/>
      <c r="HLU31" s="290"/>
      <c r="HLV31" s="290"/>
      <c r="HLW31" s="290"/>
      <c r="HLX31" s="290"/>
      <c r="HLY31" s="290"/>
      <c r="HLZ31" s="290"/>
      <c r="HMA31" s="290"/>
      <c r="HMB31" s="290"/>
      <c r="HMC31" s="290"/>
      <c r="HMD31" s="290"/>
      <c r="HME31" s="290"/>
      <c r="HMF31" s="290"/>
      <c r="HMG31" s="290"/>
      <c r="HMH31" s="290"/>
      <c r="HMI31" s="290"/>
      <c r="HMJ31" s="290"/>
      <c r="HMK31" s="290"/>
      <c r="HML31" s="290"/>
      <c r="HMM31" s="290"/>
      <c r="HMN31" s="290"/>
      <c r="HMO31" s="290"/>
      <c r="HMP31" s="290"/>
      <c r="HMQ31" s="290"/>
      <c r="HMR31" s="290"/>
      <c r="HMS31" s="290"/>
      <c r="HMT31" s="290"/>
      <c r="HMU31" s="290"/>
      <c r="HMV31" s="290"/>
      <c r="HMW31" s="290"/>
      <c r="HMX31" s="290"/>
      <c r="HMY31" s="290"/>
      <c r="HMZ31" s="290"/>
      <c r="HNA31" s="290"/>
      <c r="HNB31" s="290"/>
      <c r="HNC31" s="290"/>
      <c r="HND31" s="290"/>
      <c r="HNE31" s="290"/>
      <c r="HNF31" s="290"/>
      <c r="HNG31" s="290"/>
      <c r="HNH31" s="290"/>
      <c r="HNI31" s="290"/>
      <c r="HNJ31" s="290"/>
      <c r="HNK31" s="290"/>
      <c r="HNL31" s="290"/>
      <c r="HNM31" s="290"/>
      <c r="HNN31" s="290"/>
      <c r="HNO31" s="290"/>
      <c r="HNP31" s="290"/>
      <c r="HNQ31" s="290"/>
      <c r="HNR31" s="290"/>
      <c r="HNS31" s="290"/>
      <c r="HNT31" s="290"/>
      <c r="HNU31" s="290"/>
      <c r="HNV31" s="290"/>
      <c r="HNW31" s="290"/>
      <c r="HNX31" s="290"/>
      <c r="HNY31" s="290"/>
      <c r="HNZ31" s="290"/>
      <c r="HOA31" s="290"/>
      <c r="HOB31" s="290"/>
      <c r="HOC31" s="290"/>
      <c r="HOD31" s="290"/>
      <c r="HOE31" s="290"/>
      <c r="HOF31" s="290"/>
      <c r="HOG31" s="290"/>
      <c r="HOH31" s="290"/>
      <c r="HOI31" s="290"/>
      <c r="HOJ31" s="290"/>
      <c r="HOK31" s="290"/>
      <c r="HOL31" s="290"/>
      <c r="HOM31" s="290"/>
      <c r="HON31" s="290"/>
      <c r="HOO31" s="290"/>
      <c r="HOP31" s="290"/>
      <c r="HOQ31" s="290"/>
      <c r="HOR31" s="290"/>
      <c r="HOS31" s="290"/>
      <c r="HOT31" s="290"/>
      <c r="HOU31" s="290"/>
      <c r="HOV31" s="290"/>
      <c r="HOW31" s="290"/>
      <c r="HOX31" s="290"/>
      <c r="HOY31" s="290"/>
      <c r="HOZ31" s="290"/>
      <c r="HPA31" s="290"/>
      <c r="HPB31" s="290"/>
      <c r="HPC31" s="290"/>
      <c r="HPD31" s="290"/>
      <c r="HPE31" s="290"/>
      <c r="HPF31" s="290"/>
      <c r="HPG31" s="290"/>
      <c r="HPH31" s="290"/>
      <c r="HPI31" s="290"/>
      <c r="HPJ31" s="290"/>
      <c r="HPK31" s="290"/>
      <c r="HPL31" s="290"/>
      <c r="HPM31" s="290"/>
      <c r="HPN31" s="290"/>
      <c r="HPO31" s="290"/>
      <c r="HPP31" s="290"/>
      <c r="HPQ31" s="290"/>
      <c r="HPR31" s="290"/>
      <c r="HPS31" s="290"/>
      <c r="HPT31" s="290"/>
      <c r="HPU31" s="290"/>
      <c r="HPV31" s="290"/>
      <c r="HPW31" s="290"/>
      <c r="HPX31" s="290"/>
      <c r="HPY31" s="290"/>
      <c r="HPZ31" s="290"/>
      <c r="HQA31" s="290"/>
      <c r="HQB31" s="290"/>
      <c r="HQC31" s="290"/>
      <c r="HQD31" s="290"/>
      <c r="HQE31" s="290"/>
      <c r="HQF31" s="290"/>
      <c r="HQG31" s="290"/>
      <c r="HQH31" s="290"/>
      <c r="HQI31" s="290"/>
      <c r="HQJ31" s="290"/>
      <c r="HQK31" s="290"/>
      <c r="HQL31" s="290"/>
      <c r="HQM31" s="290"/>
      <c r="HQN31" s="290"/>
      <c r="HQO31" s="290"/>
      <c r="HQP31" s="290"/>
      <c r="HQQ31" s="290"/>
      <c r="HQR31" s="290"/>
      <c r="HQS31" s="290"/>
      <c r="HQT31" s="290"/>
      <c r="HQU31" s="290"/>
      <c r="HQV31" s="290"/>
      <c r="HQW31" s="290"/>
      <c r="HQX31" s="290"/>
      <c r="HQY31" s="290"/>
      <c r="HQZ31" s="290"/>
      <c r="HRA31" s="290"/>
      <c r="HRB31" s="290"/>
      <c r="HRC31" s="290"/>
      <c r="HRD31" s="290"/>
      <c r="HRE31" s="290"/>
      <c r="HRF31" s="290"/>
      <c r="HRG31" s="290"/>
      <c r="HRH31" s="290"/>
      <c r="HRI31" s="290"/>
      <c r="HRJ31" s="290"/>
      <c r="HRK31" s="290"/>
      <c r="HRL31" s="290"/>
      <c r="HRM31" s="290"/>
      <c r="HRN31" s="290"/>
      <c r="HRO31" s="290"/>
      <c r="HRP31" s="290"/>
      <c r="HRQ31" s="290"/>
      <c r="HRR31" s="290"/>
      <c r="HRS31" s="290"/>
      <c r="HRT31" s="290"/>
      <c r="HRU31" s="290"/>
      <c r="HRV31" s="290"/>
      <c r="HRW31" s="290"/>
      <c r="HRX31" s="290"/>
      <c r="HRY31" s="290"/>
      <c r="HRZ31" s="290"/>
      <c r="HSA31" s="290"/>
      <c r="HSB31" s="290"/>
      <c r="HSC31" s="290"/>
      <c r="HSD31" s="290"/>
      <c r="HSE31" s="290"/>
      <c r="HSF31" s="290"/>
      <c r="HSG31" s="290"/>
      <c r="HSH31" s="290"/>
      <c r="HSI31" s="290"/>
      <c r="HSJ31" s="290"/>
      <c r="HSK31" s="290"/>
      <c r="HSL31" s="290"/>
      <c r="HSM31" s="290"/>
      <c r="HSN31" s="290"/>
      <c r="HSO31" s="290"/>
      <c r="HSP31" s="290"/>
      <c r="HSQ31" s="290"/>
      <c r="HSR31" s="290"/>
      <c r="HSS31" s="290"/>
      <c r="HST31" s="290"/>
      <c r="HSU31" s="290"/>
      <c r="HSV31" s="290"/>
      <c r="HSW31" s="290"/>
      <c r="HSX31" s="290"/>
      <c r="HSY31" s="290"/>
      <c r="HSZ31" s="290"/>
      <c r="HTA31" s="290"/>
      <c r="HTB31" s="290"/>
      <c r="HTC31" s="290"/>
      <c r="HTD31" s="290"/>
      <c r="HTE31" s="290"/>
      <c r="HTF31" s="290"/>
      <c r="HTG31" s="290"/>
      <c r="HTH31" s="290"/>
      <c r="HTI31" s="290"/>
      <c r="HTJ31" s="290"/>
      <c r="HTK31" s="290"/>
      <c r="HTL31" s="290"/>
      <c r="HTM31" s="290"/>
      <c r="HTN31" s="290"/>
      <c r="HTO31" s="290"/>
      <c r="HTP31" s="290"/>
      <c r="HTQ31" s="290"/>
      <c r="HTR31" s="290"/>
      <c r="HTS31" s="290"/>
      <c r="HTT31" s="290"/>
      <c r="HTU31" s="290"/>
      <c r="HTV31" s="290"/>
      <c r="HTW31" s="290"/>
      <c r="HTX31" s="290"/>
      <c r="HTY31" s="290"/>
      <c r="HTZ31" s="290"/>
      <c r="HUA31" s="290"/>
      <c r="HUB31" s="290"/>
      <c r="HUC31" s="290"/>
      <c r="HUD31" s="290"/>
      <c r="HUE31" s="290"/>
      <c r="HUF31" s="290"/>
      <c r="HUG31" s="290"/>
      <c r="HUH31" s="290"/>
      <c r="HUI31" s="290"/>
      <c r="HUJ31" s="290"/>
      <c r="HUK31" s="290"/>
      <c r="HUL31" s="290"/>
      <c r="HUM31" s="290"/>
      <c r="HUN31" s="290"/>
      <c r="HUO31" s="290"/>
      <c r="HUP31" s="290"/>
      <c r="HUQ31" s="290"/>
      <c r="HUR31" s="290"/>
      <c r="HUS31" s="290"/>
      <c r="HUT31" s="290"/>
      <c r="HUU31" s="290"/>
      <c r="HUV31" s="290"/>
      <c r="HUW31" s="290"/>
      <c r="HUX31" s="290"/>
      <c r="HUY31" s="290"/>
      <c r="HUZ31" s="290"/>
      <c r="HVA31" s="290"/>
      <c r="HVB31" s="290"/>
      <c r="HVC31" s="290"/>
      <c r="HVD31" s="290"/>
      <c r="HVE31" s="290"/>
      <c r="HVF31" s="290"/>
      <c r="HVG31" s="290"/>
      <c r="HVH31" s="290"/>
      <c r="HVI31" s="290"/>
      <c r="HVJ31" s="290"/>
      <c r="HVK31" s="290"/>
      <c r="HVL31" s="290"/>
      <c r="HVM31" s="290"/>
      <c r="HVN31" s="290"/>
      <c r="HVO31" s="290"/>
      <c r="HVP31" s="290"/>
      <c r="HVQ31" s="290"/>
      <c r="HVR31" s="290"/>
      <c r="HVS31" s="290"/>
      <c r="HVT31" s="290"/>
      <c r="HVU31" s="290"/>
      <c r="HVV31" s="290"/>
      <c r="HVW31" s="290"/>
      <c r="HVX31" s="290"/>
      <c r="HVY31" s="290"/>
      <c r="HVZ31" s="290"/>
      <c r="HWA31" s="290"/>
      <c r="HWB31" s="290"/>
      <c r="HWC31" s="290"/>
      <c r="HWD31" s="290"/>
      <c r="HWE31" s="290"/>
      <c r="HWF31" s="290"/>
      <c r="HWG31" s="290"/>
      <c r="HWH31" s="290"/>
      <c r="HWI31" s="290"/>
      <c r="HWJ31" s="290"/>
      <c r="HWK31" s="290"/>
      <c r="HWL31" s="290"/>
      <c r="HWM31" s="290"/>
      <c r="HWN31" s="290"/>
      <c r="HWO31" s="290"/>
      <c r="HWP31" s="290"/>
      <c r="HWQ31" s="290"/>
      <c r="HWR31" s="290"/>
      <c r="HWS31" s="290"/>
      <c r="HWT31" s="290"/>
      <c r="HWU31" s="290"/>
      <c r="HWV31" s="290"/>
      <c r="HWW31" s="290"/>
      <c r="HWX31" s="290"/>
      <c r="HWY31" s="290"/>
      <c r="HWZ31" s="290"/>
      <c r="HXA31" s="290"/>
      <c r="HXB31" s="290"/>
      <c r="HXC31" s="290"/>
      <c r="HXD31" s="290"/>
      <c r="HXE31" s="290"/>
      <c r="HXF31" s="290"/>
      <c r="HXG31" s="290"/>
      <c r="HXH31" s="290"/>
      <c r="HXI31" s="290"/>
      <c r="HXJ31" s="290"/>
      <c r="HXK31" s="290"/>
      <c r="HXL31" s="290"/>
      <c r="HXM31" s="290"/>
      <c r="HXN31" s="290"/>
      <c r="HXO31" s="290"/>
      <c r="HXP31" s="290"/>
      <c r="HXQ31" s="290"/>
      <c r="HXR31" s="290"/>
      <c r="HXS31" s="290"/>
      <c r="HXT31" s="290"/>
      <c r="HXU31" s="290"/>
      <c r="HXV31" s="290"/>
      <c r="HXW31" s="290"/>
      <c r="HXX31" s="290"/>
      <c r="HXY31" s="290"/>
      <c r="HXZ31" s="290"/>
      <c r="HYA31" s="290"/>
      <c r="HYB31" s="290"/>
      <c r="HYC31" s="290"/>
      <c r="HYD31" s="290"/>
      <c r="HYE31" s="290"/>
      <c r="HYF31" s="290"/>
      <c r="HYG31" s="290"/>
      <c r="HYH31" s="290"/>
      <c r="HYI31" s="290"/>
      <c r="HYJ31" s="290"/>
      <c r="HYK31" s="290"/>
      <c r="HYL31" s="290"/>
      <c r="HYM31" s="290"/>
      <c r="HYN31" s="290"/>
      <c r="HYO31" s="290"/>
      <c r="HYP31" s="290"/>
      <c r="HYQ31" s="290"/>
      <c r="HYR31" s="290"/>
      <c r="HYS31" s="290"/>
      <c r="HYT31" s="290"/>
      <c r="HYU31" s="290"/>
      <c r="HYV31" s="290"/>
      <c r="HYW31" s="290"/>
      <c r="HYX31" s="290"/>
      <c r="HYY31" s="290"/>
      <c r="HYZ31" s="290"/>
      <c r="HZA31" s="290"/>
      <c r="HZB31" s="290"/>
      <c r="HZC31" s="290"/>
      <c r="HZD31" s="290"/>
      <c r="HZE31" s="290"/>
      <c r="HZF31" s="290"/>
      <c r="HZG31" s="290"/>
      <c r="HZH31" s="290"/>
      <c r="HZI31" s="290"/>
      <c r="HZJ31" s="290"/>
      <c r="HZK31" s="290"/>
      <c r="HZL31" s="290"/>
      <c r="HZM31" s="290"/>
      <c r="HZN31" s="290"/>
      <c r="HZO31" s="290"/>
      <c r="HZP31" s="290"/>
      <c r="HZQ31" s="290"/>
      <c r="HZR31" s="290"/>
      <c r="HZS31" s="290"/>
      <c r="HZT31" s="290"/>
      <c r="HZU31" s="290"/>
      <c r="HZV31" s="290"/>
      <c r="HZW31" s="290"/>
      <c r="HZX31" s="290"/>
      <c r="HZY31" s="290"/>
      <c r="HZZ31" s="290"/>
      <c r="IAA31" s="290"/>
      <c r="IAB31" s="290"/>
      <c r="IAC31" s="290"/>
      <c r="IAD31" s="290"/>
      <c r="IAE31" s="290"/>
      <c r="IAF31" s="290"/>
      <c r="IAG31" s="290"/>
      <c r="IAH31" s="290"/>
      <c r="IAI31" s="290"/>
      <c r="IAJ31" s="290"/>
      <c r="IAK31" s="290"/>
      <c r="IAL31" s="290"/>
      <c r="IAM31" s="290"/>
      <c r="IAN31" s="290"/>
      <c r="IAO31" s="290"/>
      <c r="IAP31" s="290"/>
      <c r="IAQ31" s="290"/>
      <c r="IAR31" s="290"/>
      <c r="IAS31" s="290"/>
      <c r="IAT31" s="290"/>
      <c r="IAU31" s="290"/>
      <c r="IAV31" s="290"/>
      <c r="IAW31" s="290"/>
      <c r="IAX31" s="290"/>
      <c r="IAY31" s="290"/>
      <c r="IAZ31" s="290"/>
      <c r="IBA31" s="290"/>
      <c r="IBB31" s="290"/>
      <c r="IBC31" s="290"/>
      <c r="IBD31" s="290"/>
      <c r="IBE31" s="290"/>
      <c r="IBF31" s="290"/>
      <c r="IBG31" s="290"/>
      <c r="IBH31" s="290"/>
      <c r="IBI31" s="290"/>
      <c r="IBJ31" s="290"/>
      <c r="IBK31" s="290"/>
      <c r="IBL31" s="290"/>
      <c r="IBM31" s="290"/>
      <c r="IBN31" s="290"/>
      <c r="IBO31" s="290"/>
      <c r="IBP31" s="290"/>
      <c r="IBQ31" s="290"/>
      <c r="IBR31" s="290"/>
      <c r="IBS31" s="290"/>
      <c r="IBT31" s="290"/>
      <c r="IBU31" s="290"/>
      <c r="IBV31" s="290"/>
      <c r="IBW31" s="290"/>
      <c r="IBX31" s="290"/>
      <c r="IBY31" s="290"/>
      <c r="IBZ31" s="290"/>
      <c r="ICA31" s="290"/>
      <c r="ICB31" s="290"/>
      <c r="ICC31" s="290"/>
      <c r="ICD31" s="290"/>
      <c r="ICE31" s="290"/>
      <c r="ICF31" s="290"/>
      <c r="ICG31" s="290"/>
      <c r="ICH31" s="290"/>
      <c r="ICI31" s="290"/>
      <c r="ICJ31" s="290"/>
      <c r="ICK31" s="290"/>
      <c r="ICL31" s="290"/>
      <c r="ICM31" s="290"/>
      <c r="ICN31" s="290"/>
      <c r="ICO31" s="290"/>
      <c r="ICP31" s="290"/>
      <c r="ICQ31" s="290"/>
      <c r="ICR31" s="290"/>
      <c r="ICS31" s="290"/>
      <c r="ICT31" s="290"/>
      <c r="ICU31" s="290"/>
      <c r="ICV31" s="290"/>
      <c r="ICW31" s="290"/>
      <c r="ICX31" s="290"/>
      <c r="ICY31" s="290"/>
      <c r="ICZ31" s="290"/>
      <c r="IDA31" s="290"/>
      <c r="IDB31" s="290"/>
      <c r="IDC31" s="290"/>
      <c r="IDD31" s="290"/>
      <c r="IDE31" s="290"/>
      <c r="IDF31" s="290"/>
      <c r="IDG31" s="290"/>
      <c r="IDH31" s="290"/>
      <c r="IDI31" s="290"/>
      <c r="IDJ31" s="290"/>
      <c r="IDK31" s="290"/>
      <c r="IDL31" s="290"/>
      <c r="IDM31" s="290"/>
      <c r="IDN31" s="290"/>
      <c r="IDO31" s="290"/>
      <c r="IDP31" s="290"/>
      <c r="IDQ31" s="290"/>
      <c r="IDR31" s="290"/>
      <c r="IDS31" s="290"/>
      <c r="IDT31" s="290"/>
      <c r="IDU31" s="290"/>
      <c r="IDV31" s="290"/>
      <c r="IDW31" s="290"/>
      <c r="IDX31" s="290"/>
      <c r="IDY31" s="290"/>
      <c r="IDZ31" s="290"/>
      <c r="IEA31" s="290"/>
      <c r="IEB31" s="290"/>
      <c r="IEC31" s="290"/>
      <c r="IED31" s="290"/>
      <c r="IEE31" s="290"/>
      <c r="IEF31" s="290"/>
      <c r="IEG31" s="290"/>
      <c r="IEH31" s="290"/>
      <c r="IEI31" s="290"/>
      <c r="IEJ31" s="290"/>
      <c r="IEK31" s="290"/>
      <c r="IEL31" s="290"/>
      <c r="IEM31" s="290"/>
      <c r="IEN31" s="290"/>
      <c r="IEO31" s="290"/>
      <c r="IEP31" s="290"/>
      <c r="IEQ31" s="290"/>
      <c r="IER31" s="290"/>
      <c r="IES31" s="290"/>
      <c r="IET31" s="290"/>
      <c r="IEU31" s="290"/>
      <c r="IEV31" s="290"/>
      <c r="IEW31" s="290"/>
      <c r="IEX31" s="290"/>
      <c r="IEY31" s="290"/>
      <c r="IEZ31" s="290"/>
      <c r="IFA31" s="290"/>
      <c r="IFB31" s="290"/>
      <c r="IFC31" s="290"/>
      <c r="IFD31" s="290"/>
      <c r="IFE31" s="290"/>
      <c r="IFF31" s="290"/>
      <c r="IFG31" s="290"/>
      <c r="IFH31" s="290"/>
      <c r="IFI31" s="290"/>
      <c r="IFJ31" s="290"/>
      <c r="IFK31" s="290"/>
      <c r="IFL31" s="290"/>
      <c r="IFM31" s="290"/>
      <c r="IFN31" s="290"/>
      <c r="IFO31" s="290"/>
      <c r="IFP31" s="290"/>
      <c r="IFQ31" s="290"/>
      <c r="IFR31" s="290"/>
      <c r="IFS31" s="290"/>
      <c r="IFT31" s="290"/>
      <c r="IFU31" s="290"/>
      <c r="IFV31" s="290"/>
      <c r="IFW31" s="290"/>
      <c r="IFX31" s="290"/>
      <c r="IFY31" s="290"/>
      <c r="IFZ31" s="290"/>
      <c r="IGA31" s="290"/>
      <c r="IGB31" s="290"/>
      <c r="IGC31" s="290"/>
      <c r="IGD31" s="290"/>
      <c r="IGE31" s="290"/>
      <c r="IGF31" s="290"/>
      <c r="IGG31" s="290"/>
      <c r="IGH31" s="290"/>
      <c r="IGI31" s="290"/>
      <c r="IGJ31" s="290"/>
      <c r="IGK31" s="290"/>
      <c r="IGL31" s="290"/>
      <c r="IGM31" s="290"/>
      <c r="IGN31" s="290"/>
      <c r="IGO31" s="290"/>
      <c r="IGP31" s="290"/>
      <c r="IGQ31" s="290"/>
      <c r="IGR31" s="290"/>
      <c r="IGS31" s="290"/>
      <c r="IGT31" s="290"/>
      <c r="IGU31" s="290"/>
      <c r="IGV31" s="290"/>
      <c r="IGW31" s="290"/>
      <c r="IGX31" s="290"/>
      <c r="IGY31" s="290"/>
      <c r="IGZ31" s="290"/>
      <c r="IHA31" s="290"/>
      <c r="IHB31" s="290"/>
      <c r="IHC31" s="290"/>
      <c r="IHD31" s="290"/>
      <c r="IHE31" s="290"/>
      <c r="IHF31" s="290"/>
      <c r="IHG31" s="290"/>
      <c r="IHH31" s="290"/>
      <c r="IHI31" s="290"/>
      <c r="IHJ31" s="290"/>
      <c r="IHK31" s="290"/>
      <c r="IHL31" s="290"/>
      <c r="IHM31" s="290"/>
      <c r="IHN31" s="290"/>
      <c r="IHO31" s="290"/>
      <c r="IHP31" s="290"/>
      <c r="IHQ31" s="290"/>
      <c r="IHR31" s="290"/>
      <c r="IHS31" s="290"/>
      <c r="IHT31" s="290"/>
      <c r="IHU31" s="290"/>
      <c r="IHV31" s="290"/>
      <c r="IHW31" s="290"/>
      <c r="IHX31" s="290"/>
      <c r="IHY31" s="290"/>
      <c r="IHZ31" s="290"/>
      <c r="IIA31" s="290"/>
      <c r="IIB31" s="290"/>
      <c r="IIC31" s="290"/>
      <c r="IID31" s="290"/>
      <c r="IIE31" s="290"/>
      <c r="IIF31" s="290"/>
      <c r="IIG31" s="290"/>
      <c r="IIH31" s="290"/>
      <c r="III31" s="290"/>
      <c r="IIJ31" s="290"/>
      <c r="IIK31" s="290"/>
      <c r="IIL31" s="290"/>
      <c r="IIM31" s="290"/>
      <c r="IIN31" s="290"/>
      <c r="IIO31" s="290"/>
      <c r="IIP31" s="290"/>
      <c r="IIQ31" s="290"/>
      <c r="IIR31" s="290"/>
      <c r="IIS31" s="290"/>
      <c r="IIT31" s="290"/>
      <c r="IIU31" s="290"/>
      <c r="IIV31" s="290"/>
      <c r="IIW31" s="290"/>
      <c r="IIX31" s="290"/>
      <c r="IIY31" s="290"/>
      <c r="IIZ31" s="290"/>
      <c r="IJA31" s="290"/>
      <c r="IJB31" s="290"/>
      <c r="IJC31" s="290"/>
      <c r="IJD31" s="290"/>
      <c r="IJE31" s="290"/>
      <c r="IJF31" s="290"/>
      <c r="IJG31" s="290"/>
      <c r="IJH31" s="290"/>
      <c r="IJI31" s="290"/>
      <c r="IJJ31" s="290"/>
      <c r="IJK31" s="290"/>
      <c r="IJL31" s="290"/>
      <c r="IJM31" s="290"/>
      <c r="IJN31" s="290"/>
      <c r="IJO31" s="290"/>
      <c r="IJP31" s="290"/>
      <c r="IJQ31" s="290"/>
      <c r="IJR31" s="290"/>
      <c r="IJS31" s="290"/>
      <c r="IJT31" s="290"/>
      <c r="IJU31" s="290"/>
      <c r="IJV31" s="290"/>
      <c r="IJW31" s="290"/>
      <c r="IJX31" s="290"/>
      <c r="IJY31" s="290"/>
      <c r="IJZ31" s="290"/>
      <c r="IKA31" s="290"/>
      <c r="IKB31" s="290"/>
      <c r="IKC31" s="290"/>
      <c r="IKD31" s="290"/>
      <c r="IKE31" s="290"/>
      <c r="IKF31" s="290"/>
      <c r="IKG31" s="290"/>
      <c r="IKH31" s="290"/>
      <c r="IKI31" s="290"/>
      <c r="IKJ31" s="290"/>
      <c r="IKK31" s="290"/>
      <c r="IKL31" s="290"/>
      <c r="IKM31" s="290"/>
      <c r="IKN31" s="290"/>
      <c r="IKO31" s="290"/>
      <c r="IKP31" s="290"/>
      <c r="IKQ31" s="290"/>
      <c r="IKR31" s="290"/>
      <c r="IKS31" s="290"/>
      <c r="IKT31" s="290"/>
      <c r="IKU31" s="290"/>
      <c r="IKV31" s="290"/>
      <c r="IKW31" s="290"/>
      <c r="IKX31" s="290"/>
      <c r="IKY31" s="290"/>
      <c r="IKZ31" s="290"/>
      <c r="ILA31" s="290"/>
      <c r="ILB31" s="290"/>
      <c r="ILC31" s="290"/>
      <c r="ILD31" s="290"/>
      <c r="ILE31" s="290"/>
      <c r="ILF31" s="290"/>
      <c r="ILG31" s="290"/>
      <c r="ILH31" s="290"/>
      <c r="ILI31" s="290"/>
      <c r="ILJ31" s="290"/>
      <c r="ILK31" s="290"/>
      <c r="ILL31" s="290"/>
      <c r="ILM31" s="290"/>
      <c r="ILN31" s="290"/>
      <c r="ILO31" s="290"/>
      <c r="ILP31" s="290"/>
      <c r="ILQ31" s="290"/>
      <c r="ILR31" s="290"/>
      <c r="ILS31" s="290"/>
      <c r="ILT31" s="290"/>
      <c r="ILU31" s="290"/>
      <c r="ILV31" s="290"/>
      <c r="ILW31" s="290"/>
      <c r="ILX31" s="290"/>
      <c r="ILY31" s="290"/>
      <c r="ILZ31" s="290"/>
      <c r="IMA31" s="290"/>
      <c r="IMB31" s="290"/>
      <c r="IMC31" s="290"/>
      <c r="IMD31" s="290"/>
      <c r="IME31" s="290"/>
      <c r="IMF31" s="290"/>
      <c r="IMG31" s="290"/>
      <c r="IMH31" s="290"/>
      <c r="IMI31" s="290"/>
      <c r="IMJ31" s="290"/>
      <c r="IMK31" s="290"/>
      <c r="IML31" s="290"/>
      <c r="IMM31" s="290"/>
      <c r="IMN31" s="290"/>
      <c r="IMO31" s="290"/>
      <c r="IMP31" s="290"/>
      <c r="IMQ31" s="290"/>
      <c r="IMR31" s="290"/>
      <c r="IMS31" s="290"/>
      <c r="IMT31" s="290"/>
      <c r="IMU31" s="290"/>
      <c r="IMV31" s="290"/>
      <c r="IMW31" s="290"/>
      <c r="IMX31" s="290"/>
      <c r="IMY31" s="290"/>
      <c r="IMZ31" s="290"/>
      <c r="INA31" s="290"/>
      <c r="INB31" s="290"/>
      <c r="INC31" s="290"/>
      <c r="IND31" s="290"/>
      <c r="INE31" s="290"/>
      <c r="INF31" s="290"/>
      <c r="ING31" s="290"/>
      <c r="INH31" s="290"/>
      <c r="INI31" s="290"/>
      <c r="INJ31" s="290"/>
      <c r="INK31" s="290"/>
      <c r="INL31" s="290"/>
      <c r="INM31" s="290"/>
      <c r="INN31" s="290"/>
      <c r="INO31" s="290"/>
      <c r="INP31" s="290"/>
      <c r="INQ31" s="290"/>
      <c r="INR31" s="290"/>
      <c r="INS31" s="290"/>
      <c r="INT31" s="290"/>
      <c r="INU31" s="290"/>
      <c r="INV31" s="290"/>
      <c r="INW31" s="290"/>
      <c r="INX31" s="290"/>
      <c r="INY31" s="290"/>
      <c r="INZ31" s="290"/>
      <c r="IOA31" s="290"/>
      <c r="IOB31" s="290"/>
      <c r="IOC31" s="290"/>
      <c r="IOD31" s="290"/>
      <c r="IOE31" s="290"/>
      <c r="IOF31" s="290"/>
      <c r="IOG31" s="290"/>
      <c r="IOH31" s="290"/>
      <c r="IOI31" s="290"/>
      <c r="IOJ31" s="290"/>
      <c r="IOK31" s="290"/>
      <c r="IOL31" s="290"/>
      <c r="IOM31" s="290"/>
      <c r="ION31" s="290"/>
      <c r="IOO31" s="290"/>
      <c r="IOP31" s="290"/>
      <c r="IOQ31" s="290"/>
      <c r="IOR31" s="290"/>
      <c r="IOS31" s="290"/>
      <c r="IOT31" s="290"/>
      <c r="IOU31" s="290"/>
      <c r="IOV31" s="290"/>
      <c r="IOW31" s="290"/>
      <c r="IOX31" s="290"/>
      <c r="IOY31" s="290"/>
      <c r="IOZ31" s="290"/>
      <c r="IPA31" s="290"/>
      <c r="IPB31" s="290"/>
      <c r="IPC31" s="290"/>
      <c r="IPD31" s="290"/>
      <c r="IPE31" s="290"/>
      <c r="IPF31" s="290"/>
      <c r="IPG31" s="290"/>
      <c r="IPH31" s="290"/>
      <c r="IPI31" s="290"/>
      <c r="IPJ31" s="290"/>
      <c r="IPK31" s="290"/>
      <c r="IPL31" s="290"/>
      <c r="IPM31" s="290"/>
      <c r="IPN31" s="290"/>
      <c r="IPO31" s="290"/>
      <c r="IPP31" s="290"/>
      <c r="IPQ31" s="290"/>
      <c r="IPR31" s="290"/>
      <c r="IPS31" s="290"/>
      <c r="IPT31" s="290"/>
      <c r="IPU31" s="290"/>
      <c r="IPV31" s="290"/>
      <c r="IPW31" s="290"/>
      <c r="IPX31" s="290"/>
      <c r="IPY31" s="290"/>
      <c r="IPZ31" s="290"/>
      <c r="IQA31" s="290"/>
      <c r="IQB31" s="290"/>
      <c r="IQC31" s="290"/>
      <c r="IQD31" s="290"/>
      <c r="IQE31" s="290"/>
      <c r="IQF31" s="290"/>
      <c r="IQG31" s="290"/>
      <c r="IQH31" s="290"/>
      <c r="IQI31" s="290"/>
      <c r="IQJ31" s="290"/>
      <c r="IQK31" s="290"/>
      <c r="IQL31" s="290"/>
      <c r="IQM31" s="290"/>
      <c r="IQN31" s="290"/>
      <c r="IQO31" s="290"/>
      <c r="IQP31" s="290"/>
      <c r="IQQ31" s="290"/>
      <c r="IQR31" s="290"/>
      <c r="IQS31" s="290"/>
      <c r="IQT31" s="290"/>
      <c r="IQU31" s="290"/>
      <c r="IQV31" s="290"/>
      <c r="IQW31" s="290"/>
      <c r="IQX31" s="290"/>
      <c r="IQY31" s="290"/>
      <c r="IQZ31" s="290"/>
      <c r="IRA31" s="290"/>
      <c r="IRB31" s="290"/>
      <c r="IRC31" s="290"/>
      <c r="IRD31" s="290"/>
      <c r="IRE31" s="290"/>
      <c r="IRF31" s="290"/>
      <c r="IRG31" s="290"/>
      <c r="IRH31" s="290"/>
      <c r="IRI31" s="290"/>
      <c r="IRJ31" s="290"/>
      <c r="IRK31" s="290"/>
      <c r="IRL31" s="290"/>
      <c r="IRM31" s="290"/>
      <c r="IRN31" s="290"/>
      <c r="IRO31" s="290"/>
      <c r="IRP31" s="290"/>
      <c r="IRQ31" s="290"/>
      <c r="IRR31" s="290"/>
      <c r="IRS31" s="290"/>
      <c r="IRT31" s="290"/>
      <c r="IRU31" s="290"/>
      <c r="IRV31" s="290"/>
      <c r="IRW31" s="290"/>
      <c r="IRX31" s="290"/>
      <c r="IRY31" s="290"/>
      <c r="IRZ31" s="290"/>
      <c r="ISA31" s="290"/>
      <c r="ISB31" s="290"/>
      <c r="ISC31" s="290"/>
      <c r="ISD31" s="290"/>
      <c r="ISE31" s="290"/>
      <c r="ISF31" s="290"/>
      <c r="ISG31" s="290"/>
      <c r="ISH31" s="290"/>
      <c r="ISI31" s="290"/>
      <c r="ISJ31" s="290"/>
      <c r="ISK31" s="290"/>
      <c r="ISL31" s="290"/>
      <c r="ISM31" s="290"/>
      <c r="ISN31" s="290"/>
      <c r="ISO31" s="290"/>
      <c r="ISP31" s="290"/>
      <c r="ISQ31" s="290"/>
      <c r="ISR31" s="290"/>
      <c r="ISS31" s="290"/>
      <c r="IST31" s="290"/>
      <c r="ISU31" s="290"/>
      <c r="ISV31" s="290"/>
      <c r="ISW31" s="290"/>
      <c r="ISX31" s="290"/>
      <c r="ISY31" s="290"/>
      <c r="ISZ31" s="290"/>
      <c r="ITA31" s="290"/>
      <c r="ITB31" s="290"/>
      <c r="ITC31" s="290"/>
      <c r="ITD31" s="290"/>
      <c r="ITE31" s="290"/>
      <c r="ITF31" s="290"/>
      <c r="ITG31" s="290"/>
      <c r="ITH31" s="290"/>
      <c r="ITI31" s="290"/>
      <c r="ITJ31" s="290"/>
      <c r="ITK31" s="290"/>
      <c r="ITL31" s="290"/>
      <c r="ITM31" s="290"/>
      <c r="ITN31" s="290"/>
      <c r="ITO31" s="290"/>
      <c r="ITP31" s="290"/>
      <c r="ITQ31" s="290"/>
      <c r="ITR31" s="290"/>
      <c r="ITS31" s="290"/>
      <c r="ITT31" s="290"/>
      <c r="ITU31" s="290"/>
      <c r="ITV31" s="290"/>
      <c r="ITW31" s="290"/>
      <c r="ITX31" s="290"/>
      <c r="ITY31" s="290"/>
      <c r="ITZ31" s="290"/>
      <c r="IUA31" s="290"/>
      <c r="IUB31" s="290"/>
      <c r="IUC31" s="290"/>
      <c r="IUD31" s="290"/>
      <c r="IUE31" s="290"/>
      <c r="IUF31" s="290"/>
      <c r="IUG31" s="290"/>
      <c r="IUH31" s="290"/>
      <c r="IUI31" s="290"/>
      <c r="IUJ31" s="290"/>
      <c r="IUK31" s="290"/>
      <c r="IUL31" s="290"/>
      <c r="IUM31" s="290"/>
      <c r="IUN31" s="290"/>
      <c r="IUO31" s="290"/>
      <c r="IUP31" s="290"/>
      <c r="IUQ31" s="290"/>
      <c r="IUR31" s="290"/>
      <c r="IUS31" s="290"/>
      <c r="IUT31" s="290"/>
      <c r="IUU31" s="290"/>
      <c r="IUV31" s="290"/>
      <c r="IUW31" s="290"/>
      <c r="IUX31" s="290"/>
      <c r="IUY31" s="290"/>
      <c r="IUZ31" s="290"/>
      <c r="IVA31" s="290"/>
      <c r="IVB31" s="290"/>
      <c r="IVC31" s="290"/>
      <c r="IVD31" s="290"/>
      <c r="IVE31" s="290"/>
      <c r="IVF31" s="290"/>
      <c r="IVG31" s="290"/>
      <c r="IVH31" s="290"/>
      <c r="IVI31" s="290"/>
      <c r="IVJ31" s="290"/>
      <c r="IVK31" s="290"/>
      <c r="IVL31" s="290"/>
      <c r="IVM31" s="290"/>
      <c r="IVN31" s="290"/>
      <c r="IVO31" s="290"/>
      <c r="IVP31" s="290"/>
      <c r="IVQ31" s="290"/>
      <c r="IVR31" s="290"/>
      <c r="IVS31" s="290"/>
      <c r="IVT31" s="290"/>
      <c r="IVU31" s="290"/>
      <c r="IVV31" s="290"/>
      <c r="IVW31" s="290"/>
      <c r="IVX31" s="290"/>
      <c r="IVY31" s="290"/>
      <c r="IVZ31" s="290"/>
      <c r="IWA31" s="290"/>
      <c r="IWB31" s="290"/>
      <c r="IWC31" s="290"/>
      <c r="IWD31" s="290"/>
      <c r="IWE31" s="290"/>
      <c r="IWF31" s="290"/>
      <c r="IWG31" s="290"/>
      <c r="IWH31" s="290"/>
      <c r="IWI31" s="290"/>
      <c r="IWJ31" s="290"/>
      <c r="IWK31" s="290"/>
      <c r="IWL31" s="290"/>
      <c r="IWM31" s="290"/>
      <c r="IWN31" s="290"/>
      <c r="IWO31" s="290"/>
      <c r="IWP31" s="290"/>
      <c r="IWQ31" s="290"/>
      <c r="IWR31" s="290"/>
      <c r="IWS31" s="290"/>
      <c r="IWT31" s="290"/>
      <c r="IWU31" s="290"/>
      <c r="IWV31" s="290"/>
      <c r="IWW31" s="290"/>
      <c r="IWX31" s="290"/>
      <c r="IWY31" s="290"/>
      <c r="IWZ31" s="290"/>
      <c r="IXA31" s="290"/>
      <c r="IXB31" s="290"/>
      <c r="IXC31" s="290"/>
      <c r="IXD31" s="290"/>
      <c r="IXE31" s="290"/>
      <c r="IXF31" s="290"/>
      <c r="IXG31" s="290"/>
      <c r="IXH31" s="290"/>
      <c r="IXI31" s="290"/>
      <c r="IXJ31" s="290"/>
      <c r="IXK31" s="290"/>
      <c r="IXL31" s="290"/>
      <c r="IXM31" s="290"/>
      <c r="IXN31" s="290"/>
      <c r="IXO31" s="290"/>
      <c r="IXP31" s="290"/>
      <c r="IXQ31" s="290"/>
      <c r="IXR31" s="290"/>
      <c r="IXS31" s="290"/>
      <c r="IXT31" s="290"/>
      <c r="IXU31" s="290"/>
      <c r="IXV31" s="290"/>
      <c r="IXW31" s="290"/>
      <c r="IXX31" s="290"/>
      <c r="IXY31" s="290"/>
      <c r="IXZ31" s="290"/>
      <c r="IYA31" s="290"/>
      <c r="IYB31" s="290"/>
      <c r="IYC31" s="290"/>
      <c r="IYD31" s="290"/>
      <c r="IYE31" s="290"/>
      <c r="IYF31" s="290"/>
      <c r="IYG31" s="290"/>
      <c r="IYH31" s="290"/>
      <c r="IYI31" s="290"/>
      <c r="IYJ31" s="290"/>
      <c r="IYK31" s="290"/>
      <c r="IYL31" s="290"/>
      <c r="IYM31" s="290"/>
      <c r="IYN31" s="290"/>
      <c r="IYO31" s="290"/>
      <c r="IYP31" s="290"/>
      <c r="IYQ31" s="290"/>
      <c r="IYR31" s="290"/>
      <c r="IYS31" s="290"/>
      <c r="IYT31" s="290"/>
      <c r="IYU31" s="290"/>
      <c r="IYV31" s="290"/>
      <c r="IYW31" s="290"/>
      <c r="IYX31" s="290"/>
      <c r="IYY31" s="290"/>
      <c r="IYZ31" s="290"/>
      <c r="IZA31" s="290"/>
      <c r="IZB31" s="290"/>
      <c r="IZC31" s="290"/>
      <c r="IZD31" s="290"/>
      <c r="IZE31" s="290"/>
      <c r="IZF31" s="290"/>
      <c r="IZG31" s="290"/>
      <c r="IZH31" s="290"/>
      <c r="IZI31" s="290"/>
      <c r="IZJ31" s="290"/>
      <c r="IZK31" s="290"/>
      <c r="IZL31" s="290"/>
      <c r="IZM31" s="290"/>
      <c r="IZN31" s="290"/>
      <c r="IZO31" s="290"/>
      <c r="IZP31" s="290"/>
      <c r="IZQ31" s="290"/>
      <c r="IZR31" s="290"/>
      <c r="IZS31" s="290"/>
      <c r="IZT31" s="290"/>
      <c r="IZU31" s="290"/>
      <c r="IZV31" s="290"/>
      <c r="IZW31" s="290"/>
      <c r="IZX31" s="290"/>
      <c r="IZY31" s="290"/>
      <c r="IZZ31" s="290"/>
      <c r="JAA31" s="290"/>
      <c r="JAB31" s="290"/>
      <c r="JAC31" s="290"/>
      <c r="JAD31" s="290"/>
      <c r="JAE31" s="290"/>
      <c r="JAF31" s="290"/>
      <c r="JAG31" s="290"/>
      <c r="JAH31" s="290"/>
      <c r="JAI31" s="290"/>
      <c r="JAJ31" s="290"/>
      <c r="JAK31" s="290"/>
      <c r="JAL31" s="290"/>
      <c r="JAM31" s="290"/>
      <c r="JAN31" s="290"/>
      <c r="JAO31" s="290"/>
      <c r="JAP31" s="290"/>
      <c r="JAQ31" s="290"/>
      <c r="JAR31" s="290"/>
      <c r="JAS31" s="290"/>
      <c r="JAT31" s="290"/>
      <c r="JAU31" s="290"/>
      <c r="JAV31" s="290"/>
      <c r="JAW31" s="290"/>
      <c r="JAX31" s="290"/>
      <c r="JAY31" s="290"/>
      <c r="JAZ31" s="290"/>
      <c r="JBA31" s="290"/>
      <c r="JBB31" s="290"/>
      <c r="JBC31" s="290"/>
      <c r="JBD31" s="290"/>
      <c r="JBE31" s="290"/>
      <c r="JBF31" s="290"/>
      <c r="JBG31" s="290"/>
      <c r="JBH31" s="290"/>
      <c r="JBI31" s="290"/>
      <c r="JBJ31" s="290"/>
      <c r="JBK31" s="290"/>
      <c r="JBL31" s="290"/>
      <c r="JBM31" s="290"/>
      <c r="JBN31" s="290"/>
      <c r="JBO31" s="290"/>
      <c r="JBP31" s="290"/>
      <c r="JBQ31" s="290"/>
      <c r="JBR31" s="290"/>
      <c r="JBS31" s="290"/>
      <c r="JBT31" s="290"/>
      <c r="JBU31" s="290"/>
      <c r="JBV31" s="290"/>
      <c r="JBW31" s="290"/>
      <c r="JBX31" s="290"/>
      <c r="JBY31" s="290"/>
      <c r="JBZ31" s="290"/>
      <c r="JCA31" s="290"/>
      <c r="JCB31" s="290"/>
      <c r="JCC31" s="290"/>
      <c r="JCD31" s="290"/>
      <c r="JCE31" s="290"/>
      <c r="JCF31" s="290"/>
      <c r="JCG31" s="290"/>
      <c r="JCH31" s="290"/>
      <c r="JCI31" s="290"/>
      <c r="JCJ31" s="290"/>
      <c r="JCK31" s="290"/>
      <c r="JCL31" s="290"/>
      <c r="JCM31" s="290"/>
      <c r="JCN31" s="290"/>
      <c r="JCO31" s="290"/>
      <c r="JCP31" s="290"/>
      <c r="JCQ31" s="290"/>
      <c r="JCR31" s="290"/>
      <c r="JCS31" s="290"/>
      <c r="JCT31" s="290"/>
      <c r="JCU31" s="290"/>
      <c r="JCV31" s="290"/>
      <c r="JCW31" s="290"/>
      <c r="JCX31" s="290"/>
      <c r="JCY31" s="290"/>
      <c r="JCZ31" s="290"/>
      <c r="JDA31" s="290"/>
      <c r="JDB31" s="290"/>
      <c r="JDC31" s="290"/>
      <c r="JDD31" s="290"/>
      <c r="JDE31" s="290"/>
      <c r="JDF31" s="290"/>
      <c r="JDG31" s="290"/>
      <c r="JDH31" s="290"/>
      <c r="JDI31" s="290"/>
      <c r="JDJ31" s="290"/>
      <c r="JDK31" s="290"/>
      <c r="JDL31" s="290"/>
      <c r="JDM31" s="290"/>
      <c r="JDN31" s="290"/>
      <c r="JDO31" s="290"/>
      <c r="JDP31" s="290"/>
      <c r="JDQ31" s="290"/>
      <c r="JDR31" s="290"/>
      <c r="JDS31" s="290"/>
      <c r="JDT31" s="290"/>
      <c r="JDU31" s="290"/>
      <c r="JDV31" s="290"/>
      <c r="JDW31" s="290"/>
      <c r="JDX31" s="290"/>
      <c r="JDY31" s="290"/>
      <c r="JDZ31" s="290"/>
      <c r="JEA31" s="290"/>
      <c r="JEB31" s="290"/>
      <c r="JEC31" s="290"/>
      <c r="JED31" s="290"/>
      <c r="JEE31" s="290"/>
      <c r="JEF31" s="290"/>
      <c r="JEG31" s="290"/>
      <c r="JEH31" s="290"/>
      <c r="JEI31" s="290"/>
      <c r="JEJ31" s="290"/>
      <c r="JEK31" s="290"/>
      <c r="JEL31" s="290"/>
      <c r="JEM31" s="290"/>
      <c r="JEN31" s="290"/>
      <c r="JEO31" s="290"/>
      <c r="JEP31" s="290"/>
      <c r="JEQ31" s="290"/>
      <c r="JER31" s="290"/>
      <c r="JES31" s="290"/>
      <c r="JET31" s="290"/>
      <c r="JEU31" s="290"/>
      <c r="JEV31" s="290"/>
      <c r="JEW31" s="290"/>
      <c r="JEX31" s="290"/>
      <c r="JEY31" s="290"/>
      <c r="JEZ31" s="290"/>
      <c r="JFA31" s="290"/>
      <c r="JFB31" s="290"/>
      <c r="JFC31" s="290"/>
      <c r="JFD31" s="290"/>
      <c r="JFE31" s="290"/>
      <c r="JFF31" s="290"/>
      <c r="JFG31" s="290"/>
      <c r="JFH31" s="290"/>
      <c r="JFI31" s="290"/>
      <c r="JFJ31" s="290"/>
      <c r="JFK31" s="290"/>
      <c r="JFL31" s="290"/>
      <c r="JFM31" s="290"/>
      <c r="JFN31" s="290"/>
      <c r="JFO31" s="290"/>
      <c r="JFP31" s="290"/>
      <c r="JFQ31" s="290"/>
      <c r="JFR31" s="290"/>
      <c r="JFS31" s="290"/>
      <c r="JFT31" s="290"/>
      <c r="JFU31" s="290"/>
      <c r="JFV31" s="290"/>
      <c r="JFW31" s="290"/>
      <c r="JFX31" s="290"/>
      <c r="JFY31" s="290"/>
      <c r="JFZ31" s="290"/>
      <c r="JGA31" s="290"/>
      <c r="JGB31" s="290"/>
      <c r="JGC31" s="290"/>
      <c r="JGD31" s="290"/>
      <c r="JGE31" s="290"/>
      <c r="JGF31" s="290"/>
      <c r="JGG31" s="290"/>
      <c r="JGH31" s="290"/>
      <c r="JGI31" s="290"/>
      <c r="JGJ31" s="290"/>
      <c r="JGK31" s="290"/>
      <c r="JGL31" s="290"/>
      <c r="JGM31" s="290"/>
      <c r="JGN31" s="290"/>
      <c r="JGO31" s="290"/>
      <c r="JGP31" s="290"/>
      <c r="JGQ31" s="290"/>
      <c r="JGR31" s="290"/>
      <c r="JGS31" s="290"/>
      <c r="JGT31" s="290"/>
      <c r="JGU31" s="290"/>
      <c r="JGV31" s="290"/>
      <c r="JGW31" s="290"/>
      <c r="JGX31" s="290"/>
      <c r="JGY31" s="290"/>
      <c r="JGZ31" s="290"/>
      <c r="JHA31" s="290"/>
      <c r="JHB31" s="290"/>
      <c r="JHC31" s="290"/>
      <c r="JHD31" s="290"/>
      <c r="JHE31" s="290"/>
      <c r="JHF31" s="290"/>
      <c r="JHG31" s="290"/>
      <c r="JHH31" s="290"/>
      <c r="JHI31" s="290"/>
      <c r="JHJ31" s="290"/>
      <c r="JHK31" s="290"/>
      <c r="JHL31" s="290"/>
      <c r="JHM31" s="290"/>
      <c r="JHN31" s="290"/>
      <c r="JHO31" s="290"/>
      <c r="JHP31" s="290"/>
      <c r="JHQ31" s="290"/>
      <c r="JHR31" s="290"/>
      <c r="JHS31" s="290"/>
      <c r="JHT31" s="290"/>
      <c r="JHU31" s="290"/>
      <c r="JHV31" s="290"/>
      <c r="JHW31" s="290"/>
      <c r="JHX31" s="290"/>
      <c r="JHY31" s="290"/>
      <c r="JHZ31" s="290"/>
      <c r="JIA31" s="290"/>
      <c r="JIB31" s="290"/>
      <c r="JIC31" s="290"/>
      <c r="JID31" s="290"/>
      <c r="JIE31" s="290"/>
      <c r="JIF31" s="290"/>
      <c r="JIG31" s="290"/>
      <c r="JIH31" s="290"/>
      <c r="JII31" s="290"/>
      <c r="JIJ31" s="290"/>
      <c r="JIK31" s="290"/>
      <c r="JIL31" s="290"/>
      <c r="JIM31" s="290"/>
      <c r="JIN31" s="290"/>
      <c r="JIO31" s="290"/>
      <c r="JIP31" s="290"/>
      <c r="JIQ31" s="290"/>
      <c r="JIR31" s="290"/>
      <c r="JIS31" s="290"/>
      <c r="JIT31" s="290"/>
      <c r="JIU31" s="290"/>
      <c r="JIV31" s="290"/>
      <c r="JIW31" s="290"/>
      <c r="JIX31" s="290"/>
      <c r="JIY31" s="290"/>
      <c r="JIZ31" s="290"/>
      <c r="JJA31" s="290"/>
      <c r="JJB31" s="290"/>
      <c r="JJC31" s="290"/>
      <c r="JJD31" s="290"/>
      <c r="JJE31" s="290"/>
      <c r="JJF31" s="290"/>
      <c r="JJG31" s="290"/>
      <c r="JJH31" s="290"/>
      <c r="JJI31" s="290"/>
      <c r="JJJ31" s="290"/>
      <c r="JJK31" s="290"/>
      <c r="JJL31" s="290"/>
      <c r="JJM31" s="290"/>
      <c r="JJN31" s="290"/>
      <c r="JJO31" s="290"/>
      <c r="JJP31" s="290"/>
      <c r="JJQ31" s="290"/>
      <c r="JJR31" s="290"/>
      <c r="JJS31" s="290"/>
      <c r="JJT31" s="290"/>
      <c r="JJU31" s="290"/>
      <c r="JJV31" s="290"/>
      <c r="JJW31" s="290"/>
      <c r="JJX31" s="290"/>
      <c r="JJY31" s="290"/>
      <c r="JJZ31" s="290"/>
      <c r="JKA31" s="290"/>
      <c r="JKB31" s="290"/>
      <c r="JKC31" s="290"/>
      <c r="JKD31" s="290"/>
      <c r="JKE31" s="290"/>
      <c r="JKF31" s="290"/>
      <c r="JKG31" s="290"/>
      <c r="JKH31" s="290"/>
      <c r="JKI31" s="290"/>
      <c r="JKJ31" s="290"/>
      <c r="JKK31" s="290"/>
      <c r="JKL31" s="290"/>
      <c r="JKM31" s="290"/>
      <c r="JKN31" s="290"/>
      <c r="JKO31" s="290"/>
      <c r="JKP31" s="290"/>
      <c r="JKQ31" s="290"/>
      <c r="JKR31" s="290"/>
      <c r="JKS31" s="290"/>
      <c r="JKT31" s="290"/>
      <c r="JKU31" s="290"/>
      <c r="JKV31" s="290"/>
      <c r="JKW31" s="290"/>
      <c r="JKX31" s="290"/>
      <c r="JKY31" s="290"/>
      <c r="JKZ31" s="290"/>
      <c r="JLA31" s="290"/>
      <c r="JLB31" s="290"/>
      <c r="JLC31" s="290"/>
      <c r="JLD31" s="290"/>
      <c r="JLE31" s="290"/>
      <c r="JLF31" s="290"/>
      <c r="JLG31" s="290"/>
      <c r="JLH31" s="290"/>
      <c r="JLI31" s="290"/>
      <c r="JLJ31" s="290"/>
      <c r="JLK31" s="290"/>
      <c r="JLL31" s="290"/>
      <c r="JLM31" s="290"/>
      <c r="JLN31" s="290"/>
      <c r="JLO31" s="290"/>
      <c r="JLP31" s="290"/>
      <c r="JLQ31" s="290"/>
      <c r="JLR31" s="290"/>
      <c r="JLS31" s="290"/>
      <c r="JLT31" s="290"/>
      <c r="JLU31" s="290"/>
      <c r="JLV31" s="290"/>
      <c r="JLW31" s="290"/>
      <c r="JLX31" s="290"/>
      <c r="JLY31" s="290"/>
      <c r="JLZ31" s="290"/>
      <c r="JMA31" s="290"/>
      <c r="JMB31" s="290"/>
      <c r="JMC31" s="290"/>
      <c r="JMD31" s="290"/>
      <c r="JME31" s="290"/>
      <c r="JMF31" s="290"/>
      <c r="JMG31" s="290"/>
      <c r="JMH31" s="290"/>
      <c r="JMI31" s="290"/>
      <c r="JMJ31" s="290"/>
      <c r="JMK31" s="290"/>
      <c r="JML31" s="290"/>
      <c r="JMM31" s="290"/>
      <c r="JMN31" s="290"/>
      <c r="JMO31" s="290"/>
      <c r="JMP31" s="290"/>
      <c r="JMQ31" s="290"/>
      <c r="JMR31" s="290"/>
      <c r="JMS31" s="290"/>
      <c r="JMT31" s="290"/>
      <c r="JMU31" s="290"/>
      <c r="JMV31" s="290"/>
      <c r="JMW31" s="290"/>
      <c r="JMX31" s="290"/>
      <c r="JMY31" s="290"/>
      <c r="JMZ31" s="290"/>
      <c r="JNA31" s="290"/>
      <c r="JNB31" s="290"/>
      <c r="JNC31" s="290"/>
      <c r="JND31" s="290"/>
      <c r="JNE31" s="290"/>
      <c r="JNF31" s="290"/>
      <c r="JNG31" s="290"/>
      <c r="JNH31" s="290"/>
      <c r="JNI31" s="290"/>
      <c r="JNJ31" s="290"/>
      <c r="JNK31" s="290"/>
      <c r="JNL31" s="290"/>
      <c r="JNM31" s="290"/>
      <c r="JNN31" s="290"/>
      <c r="JNO31" s="290"/>
      <c r="JNP31" s="290"/>
      <c r="JNQ31" s="290"/>
      <c r="JNR31" s="290"/>
      <c r="JNS31" s="290"/>
      <c r="JNT31" s="290"/>
      <c r="JNU31" s="290"/>
      <c r="JNV31" s="290"/>
      <c r="JNW31" s="290"/>
      <c r="JNX31" s="290"/>
      <c r="JNY31" s="290"/>
      <c r="JNZ31" s="290"/>
      <c r="JOA31" s="290"/>
      <c r="JOB31" s="290"/>
      <c r="JOC31" s="290"/>
      <c r="JOD31" s="290"/>
      <c r="JOE31" s="290"/>
      <c r="JOF31" s="290"/>
      <c r="JOG31" s="290"/>
      <c r="JOH31" s="290"/>
      <c r="JOI31" s="290"/>
      <c r="JOJ31" s="290"/>
      <c r="JOK31" s="290"/>
      <c r="JOL31" s="290"/>
      <c r="JOM31" s="290"/>
      <c r="JON31" s="290"/>
      <c r="JOO31" s="290"/>
      <c r="JOP31" s="290"/>
      <c r="JOQ31" s="290"/>
      <c r="JOR31" s="290"/>
      <c r="JOS31" s="290"/>
      <c r="JOT31" s="290"/>
      <c r="JOU31" s="290"/>
      <c r="JOV31" s="290"/>
      <c r="JOW31" s="290"/>
      <c r="JOX31" s="290"/>
      <c r="JOY31" s="290"/>
      <c r="JOZ31" s="290"/>
      <c r="JPA31" s="290"/>
      <c r="JPB31" s="290"/>
      <c r="JPC31" s="290"/>
      <c r="JPD31" s="290"/>
      <c r="JPE31" s="290"/>
      <c r="JPF31" s="290"/>
      <c r="JPG31" s="290"/>
      <c r="JPH31" s="290"/>
      <c r="JPI31" s="290"/>
      <c r="JPJ31" s="290"/>
      <c r="JPK31" s="290"/>
      <c r="JPL31" s="290"/>
      <c r="JPM31" s="290"/>
      <c r="JPN31" s="290"/>
      <c r="JPO31" s="290"/>
      <c r="JPP31" s="290"/>
      <c r="JPQ31" s="290"/>
      <c r="JPR31" s="290"/>
      <c r="JPS31" s="290"/>
      <c r="JPT31" s="290"/>
      <c r="JPU31" s="290"/>
      <c r="JPV31" s="290"/>
      <c r="JPW31" s="290"/>
      <c r="JPX31" s="290"/>
      <c r="JPY31" s="290"/>
      <c r="JPZ31" s="290"/>
      <c r="JQA31" s="290"/>
      <c r="JQB31" s="290"/>
      <c r="JQC31" s="290"/>
      <c r="JQD31" s="290"/>
      <c r="JQE31" s="290"/>
      <c r="JQF31" s="290"/>
      <c r="JQG31" s="290"/>
      <c r="JQH31" s="290"/>
      <c r="JQI31" s="290"/>
      <c r="JQJ31" s="290"/>
      <c r="JQK31" s="290"/>
      <c r="JQL31" s="290"/>
      <c r="JQM31" s="290"/>
      <c r="JQN31" s="290"/>
      <c r="JQO31" s="290"/>
      <c r="JQP31" s="290"/>
      <c r="JQQ31" s="290"/>
      <c r="JQR31" s="290"/>
      <c r="JQS31" s="290"/>
      <c r="JQT31" s="290"/>
      <c r="JQU31" s="290"/>
      <c r="JQV31" s="290"/>
      <c r="JQW31" s="290"/>
      <c r="JQX31" s="290"/>
      <c r="JQY31" s="290"/>
      <c r="JQZ31" s="290"/>
      <c r="JRA31" s="290"/>
      <c r="JRB31" s="290"/>
      <c r="JRC31" s="290"/>
      <c r="JRD31" s="290"/>
      <c r="JRE31" s="290"/>
      <c r="JRF31" s="290"/>
      <c r="JRG31" s="290"/>
      <c r="JRH31" s="290"/>
      <c r="JRI31" s="290"/>
      <c r="JRJ31" s="290"/>
      <c r="JRK31" s="290"/>
      <c r="JRL31" s="290"/>
      <c r="JRM31" s="290"/>
      <c r="JRN31" s="290"/>
      <c r="JRO31" s="290"/>
      <c r="JRP31" s="290"/>
      <c r="JRQ31" s="290"/>
      <c r="JRR31" s="290"/>
      <c r="JRS31" s="290"/>
      <c r="JRT31" s="290"/>
      <c r="JRU31" s="290"/>
      <c r="JRV31" s="290"/>
      <c r="JRW31" s="290"/>
      <c r="JRX31" s="290"/>
      <c r="JRY31" s="290"/>
      <c r="JRZ31" s="290"/>
      <c r="JSA31" s="290"/>
      <c r="JSB31" s="290"/>
      <c r="JSC31" s="290"/>
      <c r="JSD31" s="290"/>
      <c r="JSE31" s="290"/>
      <c r="JSF31" s="290"/>
      <c r="JSG31" s="290"/>
      <c r="JSH31" s="290"/>
      <c r="JSI31" s="290"/>
      <c r="JSJ31" s="290"/>
      <c r="JSK31" s="290"/>
      <c r="JSL31" s="290"/>
      <c r="JSM31" s="290"/>
      <c r="JSN31" s="290"/>
      <c r="JSO31" s="290"/>
      <c r="JSP31" s="290"/>
      <c r="JSQ31" s="290"/>
      <c r="JSR31" s="290"/>
      <c r="JSS31" s="290"/>
      <c r="JST31" s="290"/>
      <c r="JSU31" s="290"/>
      <c r="JSV31" s="290"/>
      <c r="JSW31" s="290"/>
      <c r="JSX31" s="290"/>
      <c r="JSY31" s="290"/>
      <c r="JSZ31" s="290"/>
      <c r="JTA31" s="290"/>
      <c r="JTB31" s="290"/>
      <c r="JTC31" s="290"/>
      <c r="JTD31" s="290"/>
      <c r="JTE31" s="290"/>
      <c r="JTF31" s="290"/>
      <c r="JTG31" s="290"/>
      <c r="JTH31" s="290"/>
      <c r="JTI31" s="290"/>
      <c r="JTJ31" s="290"/>
      <c r="JTK31" s="290"/>
      <c r="JTL31" s="290"/>
      <c r="JTM31" s="290"/>
      <c r="JTN31" s="290"/>
      <c r="JTO31" s="290"/>
      <c r="JTP31" s="290"/>
      <c r="JTQ31" s="290"/>
      <c r="JTR31" s="290"/>
      <c r="JTS31" s="290"/>
      <c r="JTT31" s="290"/>
      <c r="JTU31" s="290"/>
      <c r="JTV31" s="290"/>
      <c r="JTW31" s="290"/>
      <c r="JTX31" s="290"/>
      <c r="JTY31" s="290"/>
      <c r="JTZ31" s="290"/>
      <c r="JUA31" s="290"/>
      <c r="JUB31" s="290"/>
      <c r="JUC31" s="290"/>
      <c r="JUD31" s="290"/>
      <c r="JUE31" s="290"/>
      <c r="JUF31" s="290"/>
      <c r="JUG31" s="290"/>
      <c r="JUH31" s="290"/>
      <c r="JUI31" s="290"/>
      <c r="JUJ31" s="290"/>
      <c r="JUK31" s="290"/>
      <c r="JUL31" s="290"/>
      <c r="JUM31" s="290"/>
      <c r="JUN31" s="290"/>
      <c r="JUO31" s="290"/>
      <c r="JUP31" s="290"/>
      <c r="JUQ31" s="290"/>
      <c r="JUR31" s="290"/>
      <c r="JUS31" s="290"/>
      <c r="JUT31" s="290"/>
      <c r="JUU31" s="290"/>
      <c r="JUV31" s="290"/>
      <c r="JUW31" s="290"/>
      <c r="JUX31" s="290"/>
      <c r="JUY31" s="290"/>
      <c r="JUZ31" s="290"/>
      <c r="JVA31" s="290"/>
      <c r="JVB31" s="290"/>
      <c r="JVC31" s="290"/>
      <c r="JVD31" s="290"/>
      <c r="JVE31" s="290"/>
      <c r="JVF31" s="290"/>
      <c r="JVG31" s="290"/>
      <c r="JVH31" s="290"/>
      <c r="JVI31" s="290"/>
      <c r="JVJ31" s="290"/>
      <c r="JVK31" s="290"/>
      <c r="JVL31" s="290"/>
      <c r="JVM31" s="290"/>
      <c r="JVN31" s="290"/>
      <c r="JVO31" s="290"/>
      <c r="JVP31" s="290"/>
      <c r="JVQ31" s="290"/>
      <c r="JVR31" s="290"/>
      <c r="JVS31" s="290"/>
      <c r="JVT31" s="290"/>
      <c r="JVU31" s="290"/>
      <c r="JVV31" s="290"/>
      <c r="JVW31" s="290"/>
      <c r="JVX31" s="290"/>
      <c r="JVY31" s="290"/>
      <c r="JVZ31" s="290"/>
      <c r="JWA31" s="290"/>
      <c r="JWB31" s="290"/>
      <c r="JWC31" s="290"/>
      <c r="JWD31" s="290"/>
      <c r="JWE31" s="290"/>
      <c r="JWF31" s="290"/>
      <c r="JWG31" s="290"/>
      <c r="JWH31" s="290"/>
      <c r="JWI31" s="290"/>
      <c r="JWJ31" s="290"/>
      <c r="JWK31" s="290"/>
      <c r="JWL31" s="290"/>
      <c r="JWM31" s="290"/>
      <c r="JWN31" s="290"/>
      <c r="JWO31" s="290"/>
      <c r="JWP31" s="290"/>
      <c r="JWQ31" s="290"/>
      <c r="JWR31" s="290"/>
      <c r="JWS31" s="290"/>
      <c r="JWT31" s="290"/>
      <c r="JWU31" s="290"/>
      <c r="JWV31" s="290"/>
      <c r="JWW31" s="290"/>
      <c r="JWX31" s="290"/>
      <c r="JWY31" s="290"/>
      <c r="JWZ31" s="290"/>
      <c r="JXA31" s="290"/>
      <c r="JXB31" s="290"/>
      <c r="JXC31" s="290"/>
      <c r="JXD31" s="290"/>
      <c r="JXE31" s="290"/>
      <c r="JXF31" s="290"/>
      <c r="JXG31" s="290"/>
      <c r="JXH31" s="290"/>
      <c r="JXI31" s="290"/>
      <c r="JXJ31" s="290"/>
      <c r="JXK31" s="290"/>
      <c r="JXL31" s="290"/>
      <c r="JXM31" s="290"/>
      <c r="JXN31" s="290"/>
      <c r="JXO31" s="290"/>
      <c r="JXP31" s="290"/>
      <c r="JXQ31" s="290"/>
      <c r="JXR31" s="290"/>
      <c r="JXS31" s="290"/>
      <c r="JXT31" s="290"/>
      <c r="JXU31" s="290"/>
      <c r="JXV31" s="290"/>
      <c r="JXW31" s="290"/>
      <c r="JXX31" s="290"/>
      <c r="JXY31" s="290"/>
      <c r="JXZ31" s="290"/>
      <c r="JYA31" s="290"/>
      <c r="JYB31" s="290"/>
      <c r="JYC31" s="290"/>
      <c r="JYD31" s="290"/>
      <c r="JYE31" s="290"/>
      <c r="JYF31" s="290"/>
      <c r="JYG31" s="290"/>
      <c r="JYH31" s="290"/>
      <c r="JYI31" s="290"/>
      <c r="JYJ31" s="290"/>
      <c r="JYK31" s="290"/>
      <c r="JYL31" s="290"/>
      <c r="JYM31" s="290"/>
      <c r="JYN31" s="290"/>
      <c r="JYO31" s="290"/>
      <c r="JYP31" s="290"/>
      <c r="JYQ31" s="290"/>
      <c r="JYR31" s="290"/>
      <c r="JYS31" s="290"/>
      <c r="JYT31" s="290"/>
      <c r="JYU31" s="290"/>
      <c r="JYV31" s="290"/>
      <c r="JYW31" s="290"/>
      <c r="JYX31" s="290"/>
      <c r="JYY31" s="290"/>
      <c r="JYZ31" s="290"/>
      <c r="JZA31" s="290"/>
      <c r="JZB31" s="290"/>
      <c r="JZC31" s="290"/>
      <c r="JZD31" s="290"/>
      <c r="JZE31" s="290"/>
      <c r="JZF31" s="290"/>
      <c r="JZG31" s="290"/>
      <c r="JZH31" s="290"/>
      <c r="JZI31" s="290"/>
      <c r="JZJ31" s="290"/>
      <c r="JZK31" s="290"/>
      <c r="JZL31" s="290"/>
      <c r="JZM31" s="290"/>
      <c r="JZN31" s="290"/>
      <c r="JZO31" s="290"/>
      <c r="JZP31" s="290"/>
      <c r="JZQ31" s="290"/>
      <c r="JZR31" s="290"/>
      <c r="JZS31" s="290"/>
      <c r="JZT31" s="290"/>
      <c r="JZU31" s="290"/>
      <c r="JZV31" s="290"/>
      <c r="JZW31" s="290"/>
      <c r="JZX31" s="290"/>
      <c r="JZY31" s="290"/>
      <c r="JZZ31" s="290"/>
      <c r="KAA31" s="290"/>
      <c r="KAB31" s="290"/>
      <c r="KAC31" s="290"/>
      <c r="KAD31" s="290"/>
      <c r="KAE31" s="290"/>
      <c r="KAF31" s="290"/>
      <c r="KAG31" s="290"/>
      <c r="KAH31" s="290"/>
      <c r="KAI31" s="290"/>
      <c r="KAJ31" s="290"/>
      <c r="KAK31" s="290"/>
      <c r="KAL31" s="290"/>
      <c r="KAM31" s="290"/>
      <c r="KAN31" s="290"/>
      <c r="KAO31" s="290"/>
      <c r="KAP31" s="290"/>
      <c r="KAQ31" s="290"/>
      <c r="KAR31" s="290"/>
      <c r="KAS31" s="290"/>
      <c r="KAT31" s="290"/>
      <c r="KAU31" s="290"/>
      <c r="KAV31" s="290"/>
      <c r="KAW31" s="290"/>
      <c r="KAX31" s="290"/>
      <c r="KAY31" s="290"/>
      <c r="KAZ31" s="290"/>
      <c r="KBA31" s="290"/>
      <c r="KBB31" s="290"/>
      <c r="KBC31" s="290"/>
      <c r="KBD31" s="290"/>
      <c r="KBE31" s="290"/>
      <c r="KBF31" s="290"/>
      <c r="KBG31" s="290"/>
      <c r="KBH31" s="290"/>
      <c r="KBI31" s="290"/>
      <c r="KBJ31" s="290"/>
      <c r="KBK31" s="290"/>
      <c r="KBL31" s="290"/>
      <c r="KBM31" s="290"/>
      <c r="KBN31" s="290"/>
      <c r="KBO31" s="290"/>
      <c r="KBP31" s="290"/>
      <c r="KBQ31" s="290"/>
      <c r="KBR31" s="290"/>
      <c r="KBS31" s="290"/>
      <c r="KBT31" s="290"/>
      <c r="KBU31" s="290"/>
      <c r="KBV31" s="290"/>
      <c r="KBW31" s="290"/>
      <c r="KBX31" s="290"/>
      <c r="KBY31" s="290"/>
      <c r="KBZ31" s="290"/>
      <c r="KCA31" s="290"/>
      <c r="KCB31" s="290"/>
      <c r="KCC31" s="290"/>
      <c r="KCD31" s="290"/>
      <c r="KCE31" s="290"/>
      <c r="KCF31" s="290"/>
      <c r="KCG31" s="290"/>
      <c r="KCH31" s="290"/>
      <c r="KCI31" s="290"/>
      <c r="KCJ31" s="290"/>
      <c r="KCK31" s="290"/>
      <c r="KCL31" s="290"/>
      <c r="KCM31" s="290"/>
      <c r="KCN31" s="290"/>
      <c r="KCO31" s="290"/>
      <c r="KCP31" s="290"/>
      <c r="KCQ31" s="290"/>
      <c r="KCR31" s="290"/>
      <c r="KCS31" s="290"/>
      <c r="KCT31" s="290"/>
      <c r="KCU31" s="290"/>
      <c r="KCV31" s="290"/>
      <c r="KCW31" s="290"/>
      <c r="KCX31" s="290"/>
      <c r="KCY31" s="290"/>
      <c r="KCZ31" s="290"/>
      <c r="KDA31" s="290"/>
      <c r="KDB31" s="290"/>
      <c r="KDC31" s="290"/>
      <c r="KDD31" s="290"/>
      <c r="KDE31" s="290"/>
      <c r="KDF31" s="290"/>
      <c r="KDG31" s="290"/>
      <c r="KDH31" s="290"/>
      <c r="KDI31" s="290"/>
      <c r="KDJ31" s="290"/>
      <c r="KDK31" s="290"/>
      <c r="KDL31" s="290"/>
      <c r="KDM31" s="290"/>
      <c r="KDN31" s="290"/>
      <c r="KDO31" s="290"/>
      <c r="KDP31" s="290"/>
      <c r="KDQ31" s="290"/>
      <c r="KDR31" s="290"/>
      <c r="KDS31" s="290"/>
      <c r="KDT31" s="290"/>
      <c r="KDU31" s="290"/>
      <c r="KDV31" s="290"/>
      <c r="KDW31" s="290"/>
      <c r="KDX31" s="290"/>
      <c r="KDY31" s="290"/>
      <c r="KDZ31" s="290"/>
      <c r="KEA31" s="290"/>
      <c r="KEB31" s="290"/>
      <c r="KEC31" s="290"/>
      <c r="KED31" s="290"/>
      <c r="KEE31" s="290"/>
      <c r="KEF31" s="290"/>
      <c r="KEG31" s="290"/>
      <c r="KEH31" s="290"/>
      <c r="KEI31" s="290"/>
      <c r="KEJ31" s="290"/>
      <c r="KEK31" s="290"/>
      <c r="KEL31" s="290"/>
      <c r="KEM31" s="290"/>
      <c r="KEN31" s="290"/>
      <c r="KEO31" s="290"/>
      <c r="KEP31" s="290"/>
      <c r="KEQ31" s="290"/>
      <c r="KER31" s="290"/>
      <c r="KES31" s="290"/>
      <c r="KET31" s="290"/>
      <c r="KEU31" s="290"/>
      <c r="KEV31" s="290"/>
      <c r="KEW31" s="290"/>
      <c r="KEX31" s="290"/>
      <c r="KEY31" s="290"/>
      <c r="KEZ31" s="290"/>
      <c r="KFA31" s="290"/>
      <c r="KFB31" s="290"/>
      <c r="KFC31" s="290"/>
      <c r="KFD31" s="290"/>
      <c r="KFE31" s="290"/>
      <c r="KFF31" s="290"/>
      <c r="KFG31" s="290"/>
      <c r="KFH31" s="290"/>
      <c r="KFI31" s="290"/>
      <c r="KFJ31" s="290"/>
      <c r="KFK31" s="290"/>
      <c r="KFL31" s="290"/>
      <c r="KFM31" s="290"/>
      <c r="KFN31" s="290"/>
      <c r="KFO31" s="290"/>
      <c r="KFP31" s="290"/>
      <c r="KFQ31" s="290"/>
      <c r="KFR31" s="290"/>
      <c r="KFS31" s="290"/>
      <c r="KFT31" s="290"/>
      <c r="KFU31" s="290"/>
      <c r="KFV31" s="290"/>
      <c r="KFW31" s="290"/>
      <c r="KFX31" s="290"/>
      <c r="KFY31" s="290"/>
      <c r="KFZ31" s="290"/>
      <c r="KGA31" s="290"/>
      <c r="KGB31" s="290"/>
      <c r="KGC31" s="290"/>
      <c r="KGD31" s="290"/>
      <c r="KGE31" s="290"/>
      <c r="KGF31" s="290"/>
      <c r="KGG31" s="290"/>
      <c r="KGH31" s="290"/>
      <c r="KGI31" s="290"/>
      <c r="KGJ31" s="290"/>
      <c r="KGK31" s="290"/>
      <c r="KGL31" s="290"/>
      <c r="KGM31" s="290"/>
      <c r="KGN31" s="290"/>
      <c r="KGO31" s="290"/>
      <c r="KGP31" s="290"/>
      <c r="KGQ31" s="290"/>
      <c r="KGR31" s="290"/>
      <c r="KGS31" s="290"/>
      <c r="KGT31" s="290"/>
      <c r="KGU31" s="290"/>
      <c r="KGV31" s="290"/>
      <c r="KGW31" s="290"/>
      <c r="KGX31" s="290"/>
      <c r="KGY31" s="290"/>
      <c r="KGZ31" s="290"/>
      <c r="KHA31" s="290"/>
      <c r="KHB31" s="290"/>
      <c r="KHC31" s="290"/>
      <c r="KHD31" s="290"/>
      <c r="KHE31" s="290"/>
      <c r="KHF31" s="290"/>
      <c r="KHG31" s="290"/>
      <c r="KHH31" s="290"/>
      <c r="KHI31" s="290"/>
      <c r="KHJ31" s="290"/>
      <c r="KHK31" s="290"/>
      <c r="KHL31" s="290"/>
      <c r="KHM31" s="290"/>
      <c r="KHN31" s="290"/>
      <c r="KHO31" s="290"/>
      <c r="KHP31" s="290"/>
      <c r="KHQ31" s="290"/>
      <c r="KHR31" s="290"/>
      <c r="KHS31" s="290"/>
      <c r="KHT31" s="290"/>
      <c r="KHU31" s="290"/>
      <c r="KHV31" s="290"/>
      <c r="KHW31" s="290"/>
      <c r="KHX31" s="290"/>
      <c r="KHY31" s="290"/>
      <c r="KHZ31" s="290"/>
      <c r="KIA31" s="290"/>
      <c r="KIB31" s="290"/>
      <c r="KIC31" s="290"/>
      <c r="KID31" s="290"/>
      <c r="KIE31" s="290"/>
      <c r="KIF31" s="290"/>
      <c r="KIG31" s="290"/>
      <c r="KIH31" s="290"/>
      <c r="KII31" s="290"/>
      <c r="KIJ31" s="290"/>
      <c r="KIK31" s="290"/>
      <c r="KIL31" s="290"/>
      <c r="KIM31" s="290"/>
      <c r="KIN31" s="290"/>
      <c r="KIO31" s="290"/>
      <c r="KIP31" s="290"/>
      <c r="KIQ31" s="290"/>
      <c r="KIR31" s="290"/>
      <c r="KIS31" s="290"/>
      <c r="KIT31" s="290"/>
      <c r="KIU31" s="290"/>
      <c r="KIV31" s="290"/>
      <c r="KIW31" s="290"/>
      <c r="KIX31" s="290"/>
      <c r="KIY31" s="290"/>
      <c r="KIZ31" s="290"/>
      <c r="KJA31" s="290"/>
      <c r="KJB31" s="290"/>
      <c r="KJC31" s="290"/>
      <c r="KJD31" s="290"/>
      <c r="KJE31" s="290"/>
      <c r="KJF31" s="290"/>
      <c r="KJG31" s="290"/>
      <c r="KJH31" s="290"/>
      <c r="KJI31" s="290"/>
      <c r="KJJ31" s="290"/>
      <c r="KJK31" s="290"/>
      <c r="KJL31" s="290"/>
      <c r="KJM31" s="290"/>
      <c r="KJN31" s="290"/>
      <c r="KJO31" s="290"/>
      <c r="KJP31" s="290"/>
      <c r="KJQ31" s="290"/>
      <c r="KJR31" s="290"/>
      <c r="KJS31" s="290"/>
      <c r="KJT31" s="290"/>
      <c r="KJU31" s="290"/>
      <c r="KJV31" s="290"/>
      <c r="KJW31" s="290"/>
      <c r="KJX31" s="290"/>
      <c r="KJY31" s="290"/>
      <c r="KJZ31" s="290"/>
      <c r="KKA31" s="290"/>
      <c r="KKB31" s="290"/>
      <c r="KKC31" s="290"/>
      <c r="KKD31" s="290"/>
      <c r="KKE31" s="290"/>
      <c r="KKF31" s="290"/>
      <c r="KKG31" s="290"/>
      <c r="KKH31" s="290"/>
      <c r="KKI31" s="290"/>
      <c r="KKJ31" s="290"/>
      <c r="KKK31" s="290"/>
      <c r="KKL31" s="290"/>
      <c r="KKM31" s="290"/>
      <c r="KKN31" s="290"/>
      <c r="KKO31" s="290"/>
      <c r="KKP31" s="290"/>
      <c r="KKQ31" s="290"/>
      <c r="KKR31" s="290"/>
      <c r="KKS31" s="290"/>
      <c r="KKT31" s="290"/>
      <c r="KKU31" s="290"/>
      <c r="KKV31" s="290"/>
      <c r="KKW31" s="290"/>
      <c r="KKX31" s="290"/>
      <c r="KKY31" s="290"/>
      <c r="KKZ31" s="290"/>
      <c r="KLA31" s="290"/>
      <c r="KLB31" s="290"/>
      <c r="KLC31" s="290"/>
      <c r="KLD31" s="290"/>
      <c r="KLE31" s="290"/>
      <c r="KLF31" s="290"/>
      <c r="KLG31" s="290"/>
      <c r="KLH31" s="290"/>
      <c r="KLI31" s="290"/>
      <c r="KLJ31" s="290"/>
      <c r="KLK31" s="290"/>
      <c r="KLL31" s="290"/>
      <c r="KLM31" s="290"/>
      <c r="KLN31" s="290"/>
      <c r="KLO31" s="290"/>
      <c r="KLP31" s="290"/>
      <c r="KLQ31" s="290"/>
      <c r="KLR31" s="290"/>
      <c r="KLS31" s="290"/>
      <c r="KLT31" s="290"/>
      <c r="KLU31" s="290"/>
      <c r="KLV31" s="290"/>
      <c r="KLW31" s="290"/>
      <c r="KLX31" s="290"/>
      <c r="KLY31" s="290"/>
      <c r="KLZ31" s="290"/>
      <c r="KMA31" s="290"/>
      <c r="KMB31" s="290"/>
      <c r="KMC31" s="290"/>
      <c r="KMD31" s="290"/>
      <c r="KME31" s="290"/>
      <c r="KMF31" s="290"/>
      <c r="KMG31" s="290"/>
      <c r="KMH31" s="290"/>
      <c r="KMI31" s="290"/>
      <c r="KMJ31" s="290"/>
      <c r="KMK31" s="290"/>
      <c r="KML31" s="290"/>
      <c r="KMM31" s="290"/>
      <c r="KMN31" s="290"/>
      <c r="KMO31" s="290"/>
      <c r="KMP31" s="290"/>
      <c r="KMQ31" s="290"/>
      <c r="KMR31" s="290"/>
      <c r="KMS31" s="290"/>
      <c r="KMT31" s="290"/>
      <c r="KMU31" s="290"/>
      <c r="KMV31" s="290"/>
      <c r="KMW31" s="290"/>
      <c r="KMX31" s="290"/>
      <c r="KMY31" s="290"/>
      <c r="KMZ31" s="290"/>
      <c r="KNA31" s="290"/>
      <c r="KNB31" s="290"/>
      <c r="KNC31" s="290"/>
      <c r="KND31" s="290"/>
      <c r="KNE31" s="290"/>
      <c r="KNF31" s="290"/>
      <c r="KNG31" s="290"/>
      <c r="KNH31" s="290"/>
      <c r="KNI31" s="290"/>
      <c r="KNJ31" s="290"/>
      <c r="KNK31" s="290"/>
      <c r="KNL31" s="290"/>
      <c r="KNM31" s="290"/>
      <c r="KNN31" s="290"/>
      <c r="KNO31" s="290"/>
      <c r="KNP31" s="290"/>
      <c r="KNQ31" s="290"/>
      <c r="KNR31" s="290"/>
      <c r="KNS31" s="290"/>
      <c r="KNT31" s="290"/>
      <c r="KNU31" s="290"/>
      <c r="KNV31" s="290"/>
      <c r="KNW31" s="290"/>
      <c r="KNX31" s="290"/>
      <c r="KNY31" s="290"/>
      <c r="KNZ31" s="290"/>
      <c r="KOA31" s="290"/>
      <c r="KOB31" s="290"/>
      <c r="KOC31" s="290"/>
      <c r="KOD31" s="290"/>
      <c r="KOE31" s="290"/>
      <c r="KOF31" s="290"/>
      <c r="KOG31" s="290"/>
      <c r="KOH31" s="290"/>
      <c r="KOI31" s="290"/>
      <c r="KOJ31" s="290"/>
      <c r="KOK31" s="290"/>
      <c r="KOL31" s="290"/>
      <c r="KOM31" s="290"/>
      <c r="KON31" s="290"/>
      <c r="KOO31" s="290"/>
      <c r="KOP31" s="290"/>
      <c r="KOQ31" s="290"/>
      <c r="KOR31" s="290"/>
      <c r="KOS31" s="290"/>
      <c r="KOT31" s="290"/>
      <c r="KOU31" s="290"/>
      <c r="KOV31" s="290"/>
      <c r="KOW31" s="290"/>
      <c r="KOX31" s="290"/>
      <c r="KOY31" s="290"/>
      <c r="KOZ31" s="290"/>
      <c r="KPA31" s="290"/>
      <c r="KPB31" s="290"/>
      <c r="KPC31" s="290"/>
      <c r="KPD31" s="290"/>
      <c r="KPE31" s="290"/>
      <c r="KPF31" s="290"/>
      <c r="KPG31" s="290"/>
      <c r="KPH31" s="290"/>
      <c r="KPI31" s="290"/>
      <c r="KPJ31" s="290"/>
      <c r="KPK31" s="290"/>
      <c r="KPL31" s="290"/>
      <c r="KPM31" s="290"/>
      <c r="KPN31" s="290"/>
      <c r="KPO31" s="290"/>
      <c r="KPP31" s="290"/>
      <c r="KPQ31" s="290"/>
      <c r="KPR31" s="290"/>
      <c r="KPS31" s="290"/>
      <c r="KPT31" s="290"/>
      <c r="KPU31" s="290"/>
      <c r="KPV31" s="290"/>
      <c r="KPW31" s="290"/>
      <c r="KPX31" s="290"/>
      <c r="KPY31" s="290"/>
      <c r="KPZ31" s="290"/>
      <c r="KQA31" s="290"/>
      <c r="KQB31" s="290"/>
      <c r="KQC31" s="290"/>
      <c r="KQD31" s="290"/>
      <c r="KQE31" s="290"/>
      <c r="KQF31" s="290"/>
      <c r="KQG31" s="290"/>
      <c r="KQH31" s="290"/>
      <c r="KQI31" s="290"/>
      <c r="KQJ31" s="290"/>
      <c r="KQK31" s="290"/>
      <c r="KQL31" s="290"/>
      <c r="KQM31" s="290"/>
      <c r="KQN31" s="290"/>
      <c r="KQO31" s="290"/>
      <c r="KQP31" s="290"/>
      <c r="KQQ31" s="290"/>
      <c r="KQR31" s="290"/>
      <c r="KQS31" s="290"/>
      <c r="KQT31" s="290"/>
      <c r="KQU31" s="290"/>
      <c r="KQV31" s="290"/>
      <c r="KQW31" s="290"/>
      <c r="KQX31" s="290"/>
      <c r="KQY31" s="290"/>
      <c r="KQZ31" s="290"/>
      <c r="KRA31" s="290"/>
      <c r="KRB31" s="290"/>
      <c r="KRC31" s="290"/>
      <c r="KRD31" s="290"/>
      <c r="KRE31" s="290"/>
      <c r="KRF31" s="290"/>
      <c r="KRG31" s="290"/>
      <c r="KRH31" s="290"/>
      <c r="KRI31" s="290"/>
      <c r="KRJ31" s="290"/>
      <c r="KRK31" s="290"/>
      <c r="KRL31" s="290"/>
      <c r="KRM31" s="290"/>
      <c r="KRN31" s="290"/>
      <c r="KRO31" s="290"/>
      <c r="KRP31" s="290"/>
      <c r="KRQ31" s="290"/>
      <c r="KRR31" s="290"/>
      <c r="KRS31" s="290"/>
      <c r="KRT31" s="290"/>
      <c r="KRU31" s="290"/>
      <c r="KRV31" s="290"/>
      <c r="KRW31" s="290"/>
      <c r="KRX31" s="290"/>
      <c r="KRY31" s="290"/>
      <c r="KRZ31" s="290"/>
      <c r="KSA31" s="290"/>
      <c r="KSB31" s="290"/>
      <c r="KSC31" s="290"/>
      <c r="KSD31" s="290"/>
      <c r="KSE31" s="290"/>
      <c r="KSF31" s="290"/>
      <c r="KSG31" s="290"/>
      <c r="KSH31" s="290"/>
      <c r="KSI31" s="290"/>
      <c r="KSJ31" s="290"/>
      <c r="KSK31" s="290"/>
      <c r="KSL31" s="290"/>
      <c r="KSM31" s="290"/>
      <c r="KSN31" s="290"/>
      <c r="KSO31" s="290"/>
      <c r="KSP31" s="290"/>
      <c r="KSQ31" s="290"/>
      <c r="KSR31" s="290"/>
      <c r="KSS31" s="290"/>
      <c r="KST31" s="290"/>
      <c r="KSU31" s="290"/>
      <c r="KSV31" s="290"/>
      <c r="KSW31" s="290"/>
      <c r="KSX31" s="290"/>
      <c r="KSY31" s="290"/>
      <c r="KSZ31" s="290"/>
      <c r="KTA31" s="290"/>
      <c r="KTB31" s="290"/>
      <c r="KTC31" s="290"/>
      <c r="KTD31" s="290"/>
      <c r="KTE31" s="290"/>
      <c r="KTF31" s="290"/>
      <c r="KTG31" s="290"/>
      <c r="KTH31" s="290"/>
      <c r="KTI31" s="290"/>
      <c r="KTJ31" s="290"/>
      <c r="KTK31" s="290"/>
      <c r="KTL31" s="290"/>
      <c r="KTM31" s="290"/>
      <c r="KTN31" s="290"/>
      <c r="KTO31" s="290"/>
      <c r="KTP31" s="290"/>
      <c r="KTQ31" s="290"/>
      <c r="KTR31" s="290"/>
      <c r="KTS31" s="290"/>
      <c r="KTT31" s="290"/>
      <c r="KTU31" s="290"/>
      <c r="KTV31" s="290"/>
      <c r="KTW31" s="290"/>
      <c r="KTX31" s="290"/>
      <c r="KTY31" s="290"/>
      <c r="KTZ31" s="290"/>
      <c r="KUA31" s="290"/>
      <c r="KUB31" s="290"/>
      <c r="KUC31" s="290"/>
      <c r="KUD31" s="290"/>
      <c r="KUE31" s="290"/>
      <c r="KUF31" s="290"/>
      <c r="KUG31" s="290"/>
      <c r="KUH31" s="290"/>
      <c r="KUI31" s="290"/>
      <c r="KUJ31" s="290"/>
      <c r="KUK31" s="290"/>
      <c r="KUL31" s="290"/>
      <c r="KUM31" s="290"/>
      <c r="KUN31" s="290"/>
      <c r="KUO31" s="290"/>
      <c r="KUP31" s="290"/>
      <c r="KUQ31" s="290"/>
      <c r="KUR31" s="290"/>
      <c r="KUS31" s="290"/>
      <c r="KUT31" s="290"/>
      <c r="KUU31" s="290"/>
      <c r="KUV31" s="290"/>
      <c r="KUW31" s="290"/>
      <c r="KUX31" s="290"/>
      <c r="KUY31" s="290"/>
      <c r="KUZ31" s="290"/>
      <c r="KVA31" s="290"/>
      <c r="KVB31" s="290"/>
      <c r="KVC31" s="290"/>
      <c r="KVD31" s="290"/>
      <c r="KVE31" s="290"/>
      <c r="KVF31" s="290"/>
      <c r="KVG31" s="290"/>
      <c r="KVH31" s="290"/>
      <c r="KVI31" s="290"/>
      <c r="KVJ31" s="290"/>
      <c r="KVK31" s="290"/>
      <c r="KVL31" s="290"/>
      <c r="KVM31" s="290"/>
      <c r="KVN31" s="290"/>
      <c r="KVO31" s="290"/>
      <c r="KVP31" s="290"/>
      <c r="KVQ31" s="290"/>
      <c r="KVR31" s="290"/>
      <c r="KVS31" s="290"/>
      <c r="KVT31" s="290"/>
      <c r="KVU31" s="290"/>
      <c r="KVV31" s="290"/>
      <c r="KVW31" s="290"/>
      <c r="KVX31" s="290"/>
      <c r="KVY31" s="290"/>
      <c r="KVZ31" s="290"/>
      <c r="KWA31" s="290"/>
      <c r="KWB31" s="290"/>
      <c r="KWC31" s="290"/>
      <c r="KWD31" s="290"/>
      <c r="KWE31" s="290"/>
      <c r="KWF31" s="290"/>
      <c r="KWG31" s="290"/>
      <c r="KWH31" s="290"/>
      <c r="KWI31" s="290"/>
      <c r="KWJ31" s="290"/>
      <c r="KWK31" s="290"/>
      <c r="KWL31" s="290"/>
      <c r="KWM31" s="290"/>
      <c r="KWN31" s="290"/>
      <c r="KWO31" s="290"/>
      <c r="KWP31" s="290"/>
      <c r="KWQ31" s="290"/>
      <c r="KWR31" s="290"/>
      <c r="KWS31" s="290"/>
      <c r="KWT31" s="290"/>
      <c r="KWU31" s="290"/>
      <c r="KWV31" s="290"/>
      <c r="KWW31" s="290"/>
      <c r="KWX31" s="290"/>
      <c r="KWY31" s="290"/>
      <c r="KWZ31" s="290"/>
      <c r="KXA31" s="290"/>
      <c r="KXB31" s="290"/>
      <c r="KXC31" s="290"/>
      <c r="KXD31" s="290"/>
      <c r="KXE31" s="290"/>
      <c r="KXF31" s="290"/>
      <c r="KXG31" s="290"/>
      <c r="KXH31" s="290"/>
      <c r="KXI31" s="290"/>
      <c r="KXJ31" s="290"/>
      <c r="KXK31" s="290"/>
      <c r="KXL31" s="290"/>
      <c r="KXM31" s="290"/>
      <c r="KXN31" s="290"/>
      <c r="KXO31" s="290"/>
      <c r="KXP31" s="290"/>
      <c r="KXQ31" s="290"/>
      <c r="KXR31" s="290"/>
      <c r="KXS31" s="290"/>
      <c r="KXT31" s="290"/>
      <c r="KXU31" s="290"/>
      <c r="KXV31" s="290"/>
      <c r="KXW31" s="290"/>
      <c r="KXX31" s="290"/>
      <c r="KXY31" s="290"/>
      <c r="KXZ31" s="290"/>
      <c r="KYA31" s="290"/>
      <c r="KYB31" s="290"/>
      <c r="KYC31" s="290"/>
      <c r="KYD31" s="290"/>
      <c r="KYE31" s="290"/>
      <c r="KYF31" s="290"/>
      <c r="KYG31" s="290"/>
      <c r="KYH31" s="290"/>
      <c r="KYI31" s="290"/>
      <c r="KYJ31" s="290"/>
      <c r="KYK31" s="290"/>
      <c r="KYL31" s="290"/>
      <c r="KYM31" s="290"/>
      <c r="KYN31" s="290"/>
      <c r="KYO31" s="290"/>
      <c r="KYP31" s="290"/>
      <c r="KYQ31" s="290"/>
      <c r="KYR31" s="290"/>
      <c r="KYS31" s="290"/>
      <c r="KYT31" s="290"/>
      <c r="KYU31" s="290"/>
      <c r="KYV31" s="290"/>
      <c r="KYW31" s="290"/>
      <c r="KYX31" s="290"/>
      <c r="KYY31" s="290"/>
      <c r="KYZ31" s="290"/>
      <c r="KZA31" s="290"/>
      <c r="KZB31" s="290"/>
      <c r="KZC31" s="290"/>
      <c r="KZD31" s="290"/>
      <c r="KZE31" s="290"/>
      <c r="KZF31" s="290"/>
      <c r="KZG31" s="290"/>
      <c r="KZH31" s="290"/>
      <c r="KZI31" s="290"/>
      <c r="KZJ31" s="290"/>
      <c r="KZK31" s="290"/>
      <c r="KZL31" s="290"/>
      <c r="KZM31" s="290"/>
      <c r="KZN31" s="290"/>
      <c r="KZO31" s="290"/>
      <c r="KZP31" s="290"/>
      <c r="KZQ31" s="290"/>
      <c r="KZR31" s="290"/>
      <c r="KZS31" s="290"/>
      <c r="KZT31" s="290"/>
      <c r="KZU31" s="290"/>
      <c r="KZV31" s="290"/>
      <c r="KZW31" s="290"/>
      <c r="KZX31" s="290"/>
      <c r="KZY31" s="290"/>
      <c r="KZZ31" s="290"/>
      <c r="LAA31" s="290"/>
      <c r="LAB31" s="290"/>
      <c r="LAC31" s="290"/>
      <c r="LAD31" s="290"/>
      <c r="LAE31" s="290"/>
      <c r="LAF31" s="290"/>
      <c r="LAG31" s="290"/>
      <c r="LAH31" s="290"/>
      <c r="LAI31" s="290"/>
      <c r="LAJ31" s="290"/>
      <c r="LAK31" s="290"/>
      <c r="LAL31" s="290"/>
      <c r="LAM31" s="290"/>
      <c r="LAN31" s="290"/>
      <c r="LAO31" s="290"/>
      <c r="LAP31" s="290"/>
      <c r="LAQ31" s="290"/>
      <c r="LAR31" s="290"/>
      <c r="LAS31" s="290"/>
      <c r="LAT31" s="290"/>
      <c r="LAU31" s="290"/>
      <c r="LAV31" s="290"/>
      <c r="LAW31" s="290"/>
      <c r="LAX31" s="290"/>
      <c r="LAY31" s="290"/>
      <c r="LAZ31" s="290"/>
      <c r="LBA31" s="290"/>
      <c r="LBB31" s="290"/>
      <c r="LBC31" s="290"/>
      <c r="LBD31" s="290"/>
      <c r="LBE31" s="290"/>
      <c r="LBF31" s="290"/>
      <c r="LBG31" s="290"/>
      <c r="LBH31" s="290"/>
      <c r="LBI31" s="290"/>
      <c r="LBJ31" s="290"/>
      <c r="LBK31" s="290"/>
      <c r="LBL31" s="290"/>
      <c r="LBM31" s="290"/>
      <c r="LBN31" s="290"/>
      <c r="LBO31" s="290"/>
      <c r="LBP31" s="290"/>
      <c r="LBQ31" s="290"/>
      <c r="LBR31" s="290"/>
      <c r="LBS31" s="290"/>
      <c r="LBT31" s="290"/>
      <c r="LBU31" s="290"/>
      <c r="LBV31" s="290"/>
      <c r="LBW31" s="290"/>
      <c r="LBX31" s="290"/>
      <c r="LBY31" s="290"/>
      <c r="LBZ31" s="290"/>
      <c r="LCA31" s="290"/>
      <c r="LCB31" s="290"/>
      <c r="LCC31" s="290"/>
      <c r="LCD31" s="290"/>
      <c r="LCE31" s="290"/>
      <c r="LCF31" s="290"/>
      <c r="LCG31" s="290"/>
      <c r="LCH31" s="290"/>
      <c r="LCI31" s="290"/>
      <c r="LCJ31" s="290"/>
      <c r="LCK31" s="290"/>
      <c r="LCL31" s="290"/>
      <c r="LCM31" s="290"/>
      <c r="LCN31" s="290"/>
      <c r="LCO31" s="290"/>
      <c r="LCP31" s="290"/>
      <c r="LCQ31" s="290"/>
      <c r="LCR31" s="290"/>
      <c r="LCS31" s="290"/>
      <c r="LCT31" s="290"/>
      <c r="LCU31" s="290"/>
      <c r="LCV31" s="290"/>
      <c r="LCW31" s="290"/>
      <c r="LCX31" s="290"/>
      <c r="LCY31" s="290"/>
      <c r="LCZ31" s="290"/>
      <c r="LDA31" s="290"/>
      <c r="LDB31" s="290"/>
      <c r="LDC31" s="290"/>
      <c r="LDD31" s="290"/>
      <c r="LDE31" s="290"/>
      <c r="LDF31" s="290"/>
      <c r="LDG31" s="290"/>
      <c r="LDH31" s="290"/>
      <c r="LDI31" s="290"/>
      <c r="LDJ31" s="290"/>
      <c r="LDK31" s="290"/>
      <c r="LDL31" s="290"/>
      <c r="LDM31" s="290"/>
      <c r="LDN31" s="290"/>
      <c r="LDO31" s="290"/>
      <c r="LDP31" s="290"/>
      <c r="LDQ31" s="290"/>
      <c r="LDR31" s="290"/>
      <c r="LDS31" s="290"/>
      <c r="LDT31" s="290"/>
      <c r="LDU31" s="290"/>
      <c r="LDV31" s="290"/>
      <c r="LDW31" s="290"/>
      <c r="LDX31" s="290"/>
      <c r="LDY31" s="290"/>
      <c r="LDZ31" s="290"/>
      <c r="LEA31" s="290"/>
      <c r="LEB31" s="290"/>
      <c r="LEC31" s="290"/>
      <c r="LED31" s="290"/>
      <c r="LEE31" s="290"/>
      <c r="LEF31" s="290"/>
      <c r="LEG31" s="290"/>
      <c r="LEH31" s="290"/>
      <c r="LEI31" s="290"/>
      <c r="LEJ31" s="290"/>
      <c r="LEK31" s="290"/>
      <c r="LEL31" s="290"/>
      <c r="LEM31" s="290"/>
      <c r="LEN31" s="290"/>
      <c r="LEO31" s="290"/>
      <c r="LEP31" s="290"/>
      <c r="LEQ31" s="290"/>
      <c r="LER31" s="290"/>
      <c r="LES31" s="290"/>
      <c r="LET31" s="290"/>
      <c r="LEU31" s="290"/>
      <c r="LEV31" s="290"/>
      <c r="LEW31" s="290"/>
      <c r="LEX31" s="290"/>
      <c r="LEY31" s="290"/>
      <c r="LEZ31" s="290"/>
      <c r="LFA31" s="290"/>
      <c r="LFB31" s="290"/>
      <c r="LFC31" s="290"/>
      <c r="LFD31" s="290"/>
      <c r="LFE31" s="290"/>
      <c r="LFF31" s="290"/>
      <c r="LFG31" s="290"/>
      <c r="LFH31" s="290"/>
      <c r="LFI31" s="290"/>
      <c r="LFJ31" s="290"/>
      <c r="LFK31" s="290"/>
      <c r="LFL31" s="290"/>
      <c r="LFM31" s="290"/>
      <c r="LFN31" s="290"/>
      <c r="LFO31" s="290"/>
      <c r="LFP31" s="290"/>
      <c r="LFQ31" s="290"/>
      <c r="LFR31" s="290"/>
      <c r="LFS31" s="290"/>
      <c r="LFT31" s="290"/>
      <c r="LFU31" s="290"/>
      <c r="LFV31" s="290"/>
      <c r="LFW31" s="290"/>
      <c r="LFX31" s="290"/>
      <c r="LFY31" s="290"/>
      <c r="LFZ31" s="290"/>
      <c r="LGA31" s="290"/>
      <c r="LGB31" s="290"/>
      <c r="LGC31" s="290"/>
      <c r="LGD31" s="290"/>
      <c r="LGE31" s="290"/>
      <c r="LGF31" s="290"/>
      <c r="LGG31" s="290"/>
      <c r="LGH31" s="290"/>
      <c r="LGI31" s="290"/>
      <c r="LGJ31" s="290"/>
      <c r="LGK31" s="290"/>
      <c r="LGL31" s="290"/>
      <c r="LGM31" s="290"/>
      <c r="LGN31" s="290"/>
      <c r="LGO31" s="290"/>
      <c r="LGP31" s="290"/>
      <c r="LGQ31" s="290"/>
      <c r="LGR31" s="290"/>
      <c r="LGS31" s="290"/>
      <c r="LGT31" s="290"/>
      <c r="LGU31" s="290"/>
      <c r="LGV31" s="290"/>
      <c r="LGW31" s="290"/>
      <c r="LGX31" s="290"/>
      <c r="LGY31" s="290"/>
      <c r="LGZ31" s="290"/>
      <c r="LHA31" s="290"/>
      <c r="LHB31" s="290"/>
      <c r="LHC31" s="290"/>
      <c r="LHD31" s="290"/>
      <c r="LHE31" s="290"/>
      <c r="LHF31" s="290"/>
      <c r="LHG31" s="290"/>
      <c r="LHH31" s="290"/>
      <c r="LHI31" s="290"/>
      <c r="LHJ31" s="290"/>
      <c r="LHK31" s="290"/>
      <c r="LHL31" s="290"/>
      <c r="LHM31" s="290"/>
      <c r="LHN31" s="290"/>
      <c r="LHO31" s="290"/>
      <c r="LHP31" s="290"/>
      <c r="LHQ31" s="290"/>
      <c r="LHR31" s="290"/>
      <c r="LHS31" s="290"/>
      <c r="LHT31" s="290"/>
      <c r="LHU31" s="290"/>
      <c r="LHV31" s="290"/>
      <c r="LHW31" s="290"/>
      <c r="LHX31" s="290"/>
      <c r="LHY31" s="290"/>
      <c r="LHZ31" s="290"/>
      <c r="LIA31" s="290"/>
      <c r="LIB31" s="290"/>
      <c r="LIC31" s="290"/>
      <c r="LID31" s="290"/>
      <c r="LIE31" s="290"/>
      <c r="LIF31" s="290"/>
      <c r="LIG31" s="290"/>
      <c r="LIH31" s="290"/>
      <c r="LII31" s="290"/>
      <c r="LIJ31" s="290"/>
      <c r="LIK31" s="290"/>
      <c r="LIL31" s="290"/>
      <c r="LIM31" s="290"/>
      <c r="LIN31" s="290"/>
      <c r="LIO31" s="290"/>
      <c r="LIP31" s="290"/>
      <c r="LIQ31" s="290"/>
      <c r="LIR31" s="290"/>
      <c r="LIS31" s="290"/>
      <c r="LIT31" s="290"/>
      <c r="LIU31" s="290"/>
      <c r="LIV31" s="290"/>
      <c r="LIW31" s="290"/>
      <c r="LIX31" s="290"/>
      <c r="LIY31" s="290"/>
      <c r="LIZ31" s="290"/>
      <c r="LJA31" s="290"/>
      <c r="LJB31" s="290"/>
      <c r="LJC31" s="290"/>
      <c r="LJD31" s="290"/>
      <c r="LJE31" s="290"/>
      <c r="LJF31" s="290"/>
      <c r="LJG31" s="290"/>
      <c r="LJH31" s="290"/>
      <c r="LJI31" s="290"/>
      <c r="LJJ31" s="290"/>
      <c r="LJK31" s="290"/>
      <c r="LJL31" s="290"/>
      <c r="LJM31" s="290"/>
      <c r="LJN31" s="290"/>
      <c r="LJO31" s="290"/>
      <c r="LJP31" s="290"/>
      <c r="LJQ31" s="290"/>
      <c r="LJR31" s="290"/>
      <c r="LJS31" s="290"/>
      <c r="LJT31" s="290"/>
      <c r="LJU31" s="290"/>
      <c r="LJV31" s="290"/>
      <c r="LJW31" s="290"/>
      <c r="LJX31" s="290"/>
      <c r="LJY31" s="290"/>
      <c r="LJZ31" s="290"/>
      <c r="LKA31" s="290"/>
      <c r="LKB31" s="290"/>
      <c r="LKC31" s="290"/>
      <c r="LKD31" s="290"/>
      <c r="LKE31" s="290"/>
      <c r="LKF31" s="290"/>
      <c r="LKG31" s="290"/>
      <c r="LKH31" s="290"/>
      <c r="LKI31" s="290"/>
      <c r="LKJ31" s="290"/>
      <c r="LKK31" s="290"/>
      <c r="LKL31" s="290"/>
      <c r="LKM31" s="290"/>
      <c r="LKN31" s="290"/>
      <c r="LKO31" s="290"/>
      <c r="LKP31" s="290"/>
      <c r="LKQ31" s="290"/>
      <c r="LKR31" s="290"/>
      <c r="LKS31" s="290"/>
      <c r="LKT31" s="290"/>
      <c r="LKU31" s="290"/>
      <c r="LKV31" s="290"/>
      <c r="LKW31" s="290"/>
      <c r="LKX31" s="290"/>
      <c r="LKY31" s="290"/>
      <c r="LKZ31" s="290"/>
      <c r="LLA31" s="290"/>
      <c r="LLB31" s="290"/>
      <c r="LLC31" s="290"/>
      <c r="LLD31" s="290"/>
      <c r="LLE31" s="290"/>
      <c r="LLF31" s="290"/>
      <c r="LLG31" s="290"/>
      <c r="LLH31" s="290"/>
      <c r="LLI31" s="290"/>
      <c r="LLJ31" s="290"/>
      <c r="LLK31" s="290"/>
      <c r="LLL31" s="290"/>
      <c r="LLM31" s="290"/>
      <c r="LLN31" s="290"/>
      <c r="LLO31" s="290"/>
      <c r="LLP31" s="290"/>
      <c r="LLQ31" s="290"/>
      <c r="LLR31" s="290"/>
      <c r="LLS31" s="290"/>
      <c r="LLT31" s="290"/>
      <c r="LLU31" s="290"/>
      <c r="LLV31" s="290"/>
      <c r="LLW31" s="290"/>
      <c r="LLX31" s="290"/>
      <c r="LLY31" s="290"/>
      <c r="LLZ31" s="290"/>
      <c r="LMA31" s="290"/>
      <c r="LMB31" s="290"/>
      <c r="LMC31" s="290"/>
      <c r="LMD31" s="290"/>
      <c r="LME31" s="290"/>
      <c r="LMF31" s="290"/>
      <c r="LMG31" s="290"/>
      <c r="LMH31" s="290"/>
      <c r="LMI31" s="290"/>
      <c r="LMJ31" s="290"/>
      <c r="LMK31" s="290"/>
      <c r="LML31" s="290"/>
      <c r="LMM31" s="290"/>
      <c r="LMN31" s="290"/>
      <c r="LMO31" s="290"/>
      <c r="LMP31" s="290"/>
      <c r="LMQ31" s="290"/>
      <c r="LMR31" s="290"/>
      <c r="LMS31" s="290"/>
      <c r="LMT31" s="290"/>
      <c r="LMU31" s="290"/>
      <c r="LMV31" s="290"/>
      <c r="LMW31" s="290"/>
      <c r="LMX31" s="290"/>
      <c r="LMY31" s="290"/>
      <c r="LMZ31" s="290"/>
      <c r="LNA31" s="290"/>
      <c r="LNB31" s="290"/>
      <c r="LNC31" s="290"/>
      <c r="LND31" s="290"/>
      <c r="LNE31" s="290"/>
      <c r="LNF31" s="290"/>
      <c r="LNG31" s="290"/>
      <c r="LNH31" s="290"/>
      <c r="LNI31" s="290"/>
      <c r="LNJ31" s="290"/>
      <c r="LNK31" s="290"/>
      <c r="LNL31" s="290"/>
      <c r="LNM31" s="290"/>
      <c r="LNN31" s="290"/>
      <c r="LNO31" s="290"/>
      <c r="LNP31" s="290"/>
      <c r="LNQ31" s="290"/>
      <c r="LNR31" s="290"/>
      <c r="LNS31" s="290"/>
      <c r="LNT31" s="290"/>
      <c r="LNU31" s="290"/>
      <c r="LNV31" s="290"/>
      <c r="LNW31" s="290"/>
      <c r="LNX31" s="290"/>
      <c r="LNY31" s="290"/>
      <c r="LNZ31" s="290"/>
      <c r="LOA31" s="290"/>
      <c r="LOB31" s="290"/>
      <c r="LOC31" s="290"/>
      <c r="LOD31" s="290"/>
      <c r="LOE31" s="290"/>
      <c r="LOF31" s="290"/>
      <c r="LOG31" s="290"/>
      <c r="LOH31" s="290"/>
      <c r="LOI31" s="290"/>
      <c r="LOJ31" s="290"/>
      <c r="LOK31" s="290"/>
      <c r="LOL31" s="290"/>
      <c r="LOM31" s="290"/>
      <c r="LON31" s="290"/>
      <c r="LOO31" s="290"/>
      <c r="LOP31" s="290"/>
      <c r="LOQ31" s="290"/>
      <c r="LOR31" s="290"/>
      <c r="LOS31" s="290"/>
      <c r="LOT31" s="290"/>
      <c r="LOU31" s="290"/>
      <c r="LOV31" s="290"/>
      <c r="LOW31" s="290"/>
      <c r="LOX31" s="290"/>
      <c r="LOY31" s="290"/>
      <c r="LOZ31" s="290"/>
      <c r="LPA31" s="290"/>
      <c r="LPB31" s="290"/>
      <c r="LPC31" s="290"/>
      <c r="LPD31" s="290"/>
      <c r="LPE31" s="290"/>
      <c r="LPF31" s="290"/>
      <c r="LPG31" s="290"/>
      <c r="LPH31" s="290"/>
      <c r="LPI31" s="290"/>
      <c r="LPJ31" s="290"/>
      <c r="LPK31" s="290"/>
      <c r="LPL31" s="290"/>
      <c r="LPM31" s="290"/>
      <c r="LPN31" s="290"/>
      <c r="LPO31" s="290"/>
      <c r="LPP31" s="290"/>
      <c r="LPQ31" s="290"/>
      <c r="LPR31" s="290"/>
      <c r="LPS31" s="290"/>
      <c r="LPT31" s="290"/>
      <c r="LPU31" s="290"/>
      <c r="LPV31" s="290"/>
      <c r="LPW31" s="290"/>
      <c r="LPX31" s="290"/>
      <c r="LPY31" s="290"/>
      <c r="LPZ31" s="290"/>
      <c r="LQA31" s="290"/>
      <c r="LQB31" s="290"/>
      <c r="LQC31" s="290"/>
      <c r="LQD31" s="290"/>
      <c r="LQE31" s="290"/>
      <c r="LQF31" s="290"/>
      <c r="LQG31" s="290"/>
      <c r="LQH31" s="290"/>
      <c r="LQI31" s="290"/>
      <c r="LQJ31" s="290"/>
      <c r="LQK31" s="290"/>
      <c r="LQL31" s="290"/>
      <c r="LQM31" s="290"/>
      <c r="LQN31" s="290"/>
      <c r="LQO31" s="290"/>
      <c r="LQP31" s="290"/>
      <c r="LQQ31" s="290"/>
      <c r="LQR31" s="290"/>
      <c r="LQS31" s="290"/>
      <c r="LQT31" s="290"/>
      <c r="LQU31" s="290"/>
      <c r="LQV31" s="290"/>
      <c r="LQW31" s="290"/>
      <c r="LQX31" s="290"/>
      <c r="LQY31" s="290"/>
      <c r="LQZ31" s="290"/>
      <c r="LRA31" s="290"/>
      <c r="LRB31" s="290"/>
      <c r="LRC31" s="290"/>
      <c r="LRD31" s="290"/>
      <c r="LRE31" s="290"/>
      <c r="LRF31" s="290"/>
      <c r="LRG31" s="290"/>
      <c r="LRH31" s="290"/>
      <c r="LRI31" s="290"/>
      <c r="LRJ31" s="290"/>
      <c r="LRK31" s="290"/>
      <c r="LRL31" s="290"/>
      <c r="LRM31" s="290"/>
      <c r="LRN31" s="290"/>
      <c r="LRO31" s="290"/>
      <c r="LRP31" s="290"/>
      <c r="LRQ31" s="290"/>
      <c r="LRR31" s="290"/>
      <c r="LRS31" s="290"/>
      <c r="LRT31" s="290"/>
      <c r="LRU31" s="290"/>
      <c r="LRV31" s="290"/>
      <c r="LRW31" s="290"/>
      <c r="LRX31" s="290"/>
      <c r="LRY31" s="290"/>
      <c r="LRZ31" s="290"/>
      <c r="LSA31" s="290"/>
      <c r="LSB31" s="290"/>
      <c r="LSC31" s="290"/>
      <c r="LSD31" s="290"/>
      <c r="LSE31" s="290"/>
      <c r="LSF31" s="290"/>
      <c r="LSG31" s="290"/>
      <c r="LSH31" s="290"/>
      <c r="LSI31" s="290"/>
      <c r="LSJ31" s="290"/>
      <c r="LSK31" s="290"/>
      <c r="LSL31" s="290"/>
      <c r="LSM31" s="290"/>
      <c r="LSN31" s="290"/>
      <c r="LSO31" s="290"/>
      <c r="LSP31" s="290"/>
      <c r="LSQ31" s="290"/>
      <c r="LSR31" s="290"/>
      <c r="LSS31" s="290"/>
      <c r="LST31" s="290"/>
      <c r="LSU31" s="290"/>
      <c r="LSV31" s="290"/>
      <c r="LSW31" s="290"/>
      <c r="LSX31" s="290"/>
      <c r="LSY31" s="290"/>
      <c r="LSZ31" s="290"/>
      <c r="LTA31" s="290"/>
      <c r="LTB31" s="290"/>
      <c r="LTC31" s="290"/>
      <c r="LTD31" s="290"/>
      <c r="LTE31" s="290"/>
      <c r="LTF31" s="290"/>
      <c r="LTG31" s="290"/>
      <c r="LTH31" s="290"/>
      <c r="LTI31" s="290"/>
      <c r="LTJ31" s="290"/>
      <c r="LTK31" s="290"/>
      <c r="LTL31" s="290"/>
      <c r="LTM31" s="290"/>
      <c r="LTN31" s="290"/>
      <c r="LTO31" s="290"/>
      <c r="LTP31" s="290"/>
      <c r="LTQ31" s="290"/>
      <c r="LTR31" s="290"/>
      <c r="LTS31" s="290"/>
      <c r="LTT31" s="290"/>
      <c r="LTU31" s="290"/>
      <c r="LTV31" s="290"/>
      <c r="LTW31" s="290"/>
      <c r="LTX31" s="290"/>
      <c r="LTY31" s="290"/>
      <c r="LTZ31" s="290"/>
      <c r="LUA31" s="290"/>
      <c r="LUB31" s="290"/>
      <c r="LUC31" s="290"/>
      <c r="LUD31" s="290"/>
      <c r="LUE31" s="290"/>
      <c r="LUF31" s="290"/>
      <c r="LUG31" s="290"/>
      <c r="LUH31" s="290"/>
      <c r="LUI31" s="290"/>
      <c r="LUJ31" s="290"/>
      <c r="LUK31" s="290"/>
      <c r="LUL31" s="290"/>
      <c r="LUM31" s="290"/>
      <c r="LUN31" s="290"/>
      <c r="LUO31" s="290"/>
      <c r="LUP31" s="290"/>
      <c r="LUQ31" s="290"/>
      <c r="LUR31" s="290"/>
      <c r="LUS31" s="290"/>
      <c r="LUT31" s="290"/>
      <c r="LUU31" s="290"/>
      <c r="LUV31" s="290"/>
      <c r="LUW31" s="290"/>
      <c r="LUX31" s="290"/>
      <c r="LUY31" s="290"/>
      <c r="LUZ31" s="290"/>
      <c r="LVA31" s="290"/>
      <c r="LVB31" s="290"/>
      <c r="LVC31" s="290"/>
      <c r="LVD31" s="290"/>
      <c r="LVE31" s="290"/>
      <c r="LVF31" s="290"/>
      <c r="LVG31" s="290"/>
      <c r="LVH31" s="290"/>
      <c r="LVI31" s="290"/>
      <c r="LVJ31" s="290"/>
      <c r="LVK31" s="290"/>
      <c r="LVL31" s="290"/>
      <c r="LVM31" s="290"/>
      <c r="LVN31" s="290"/>
      <c r="LVO31" s="290"/>
      <c r="LVP31" s="290"/>
      <c r="LVQ31" s="290"/>
      <c r="LVR31" s="290"/>
      <c r="LVS31" s="290"/>
      <c r="LVT31" s="290"/>
      <c r="LVU31" s="290"/>
      <c r="LVV31" s="290"/>
      <c r="LVW31" s="290"/>
      <c r="LVX31" s="290"/>
      <c r="LVY31" s="290"/>
      <c r="LVZ31" s="290"/>
      <c r="LWA31" s="290"/>
      <c r="LWB31" s="290"/>
      <c r="LWC31" s="290"/>
      <c r="LWD31" s="290"/>
      <c r="LWE31" s="290"/>
      <c r="LWF31" s="290"/>
      <c r="LWG31" s="290"/>
      <c r="LWH31" s="290"/>
      <c r="LWI31" s="290"/>
      <c r="LWJ31" s="290"/>
      <c r="LWK31" s="290"/>
      <c r="LWL31" s="290"/>
      <c r="LWM31" s="290"/>
      <c r="LWN31" s="290"/>
      <c r="LWO31" s="290"/>
      <c r="LWP31" s="290"/>
      <c r="LWQ31" s="290"/>
      <c r="LWR31" s="290"/>
      <c r="LWS31" s="290"/>
      <c r="LWT31" s="290"/>
      <c r="LWU31" s="290"/>
      <c r="LWV31" s="290"/>
      <c r="LWW31" s="290"/>
      <c r="LWX31" s="290"/>
      <c r="LWY31" s="290"/>
      <c r="LWZ31" s="290"/>
      <c r="LXA31" s="290"/>
      <c r="LXB31" s="290"/>
      <c r="LXC31" s="290"/>
      <c r="LXD31" s="290"/>
      <c r="LXE31" s="290"/>
      <c r="LXF31" s="290"/>
      <c r="LXG31" s="290"/>
      <c r="LXH31" s="290"/>
      <c r="LXI31" s="290"/>
      <c r="LXJ31" s="290"/>
      <c r="LXK31" s="290"/>
      <c r="LXL31" s="290"/>
      <c r="LXM31" s="290"/>
      <c r="LXN31" s="290"/>
      <c r="LXO31" s="290"/>
      <c r="LXP31" s="290"/>
      <c r="LXQ31" s="290"/>
      <c r="LXR31" s="290"/>
      <c r="LXS31" s="290"/>
      <c r="LXT31" s="290"/>
      <c r="LXU31" s="290"/>
      <c r="LXV31" s="290"/>
      <c r="LXW31" s="290"/>
      <c r="LXX31" s="290"/>
      <c r="LXY31" s="290"/>
      <c r="LXZ31" s="290"/>
      <c r="LYA31" s="290"/>
      <c r="LYB31" s="290"/>
      <c r="LYC31" s="290"/>
      <c r="LYD31" s="290"/>
      <c r="LYE31" s="290"/>
      <c r="LYF31" s="290"/>
      <c r="LYG31" s="290"/>
      <c r="LYH31" s="290"/>
      <c r="LYI31" s="290"/>
      <c r="LYJ31" s="290"/>
      <c r="LYK31" s="290"/>
      <c r="LYL31" s="290"/>
      <c r="LYM31" s="290"/>
      <c r="LYN31" s="290"/>
      <c r="LYO31" s="290"/>
      <c r="LYP31" s="290"/>
      <c r="LYQ31" s="290"/>
      <c r="LYR31" s="290"/>
      <c r="LYS31" s="290"/>
      <c r="LYT31" s="290"/>
      <c r="LYU31" s="290"/>
      <c r="LYV31" s="290"/>
      <c r="LYW31" s="290"/>
      <c r="LYX31" s="290"/>
      <c r="LYY31" s="290"/>
      <c r="LYZ31" s="290"/>
      <c r="LZA31" s="290"/>
      <c r="LZB31" s="290"/>
      <c r="LZC31" s="290"/>
      <c r="LZD31" s="290"/>
      <c r="LZE31" s="290"/>
      <c r="LZF31" s="290"/>
      <c r="LZG31" s="290"/>
      <c r="LZH31" s="290"/>
      <c r="LZI31" s="290"/>
      <c r="LZJ31" s="290"/>
      <c r="LZK31" s="290"/>
      <c r="LZL31" s="290"/>
      <c r="LZM31" s="290"/>
      <c r="LZN31" s="290"/>
      <c r="LZO31" s="290"/>
      <c r="LZP31" s="290"/>
      <c r="LZQ31" s="290"/>
      <c r="LZR31" s="290"/>
      <c r="LZS31" s="290"/>
      <c r="LZT31" s="290"/>
      <c r="LZU31" s="290"/>
      <c r="LZV31" s="290"/>
      <c r="LZW31" s="290"/>
      <c r="LZX31" s="290"/>
      <c r="LZY31" s="290"/>
      <c r="LZZ31" s="290"/>
      <c r="MAA31" s="290"/>
      <c r="MAB31" s="290"/>
      <c r="MAC31" s="290"/>
      <c r="MAD31" s="290"/>
      <c r="MAE31" s="290"/>
      <c r="MAF31" s="290"/>
      <c r="MAG31" s="290"/>
      <c r="MAH31" s="290"/>
      <c r="MAI31" s="290"/>
      <c r="MAJ31" s="290"/>
      <c r="MAK31" s="290"/>
      <c r="MAL31" s="290"/>
      <c r="MAM31" s="290"/>
      <c r="MAN31" s="290"/>
      <c r="MAO31" s="290"/>
      <c r="MAP31" s="290"/>
      <c r="MAQ31" s="290"/>
      <c r="MAR31" s="290"/>
      <c r="MAS31" s="290"/>
      <c r="MAT31" s="290"/>
      <c r="MAU31" s="290"/>
      <c r="MAV31" s="290"/>
      <c r="MAW31" s="290"/>
      <c r="MAX31" s="290"/>
      <c r="MAY31" s="290"/>
      <c r="MAZ31" s="290"/>
      <c r="MBA31" s="290"/>
      <c r="MBB31" s="290"/>
      <c r="MBC31" s="290"/>
      <c r="MBD31" s="290"/>
      <c r="MBE31" s="290"/>
      <c r="MBF31" s="290"/>
      <c r="MBG31" s="290"/>
      <c r="MBH31" s="290"/>
      <c r="MBI31" s="290"/>
      <c r="MBJ31" s="290"/>
      <c r="MBK31" s="290"/>
      <c r="MBL31" s="290"/>
      <c r="MBM31" s="290"/>
      <c r="MBN31" s="290"/>
      <c r="MBO31" s="290"/>
      <c r="MBP31" s="290"/>
      <c r="MBQ31" s="290"/>
      <c r="MBR31" s="290"/>
      <c r="MBS31" s="290"/>
      <c r="MBT31" s="290"/>
      <c r="MBU31" s="290"/>
      <c r="MBV31" s="290"/>
      <c r="MBW31" s="290"/>
      <c r="MBX31" s="290"/>
      <c r="MBY31" s="290"/>
      <c r="MBZ31" s="290"/>
      <c r="MCA31" s="290"/>
      <c r="MCB31" s="290"/>
      <c r="MCC31" s="290"/>
      <c r="MCD31" s="290"/>
      <c r="MCE31" s="290"/>
      <c r="MCF31" s="290"/>
      <c r="MCG31" s="290"/>
      <c r="MCH31" s="290"/>
      <c r="MCI31" s="290"/>
      <c r="MCJ31" s="290"/>
      <c r="MCK31" s="290"/>
      <c r="MCL31" s="290"/>
      <c r="MCM31" s="290"/>
      <c r="MCN31" s="290"/>
      <c r="MCO31" s="290"/>
      <c r="MCP31" s="290"/>
      <c r="MCQ31" s="290"/>
      <c r="MCR31" s="290"/>
      <c r="MCS31" s="290"/>
      <c r="MCT31" s="290"/>
      <c r="MCU31" s="290"/>
      <c r="MCV31" s="290"/>
      <c r="MCW31" s="290"/>
      <c r="MCX31" s="290"/>
      <c r="MCY31" s="290"/>
      <c r="MCZ31" s="290"/>
      <c r="MDA31" s="290"/>
      <c r="MDB31" s="290"/>
      <c r="MDC31" s="290"/>
      <c r="MDD31" s="290"/>
      <c r="MDE31" s="290"/>
      <c r="MDF31" s="290"/>
      <c r="MDG31" s="290"/>
      <c r="MDH31" s="290"/>
      <c r="MDI31" s="290"/>
      <c r="MDJ31" s="290"/>
      <c r="MDK31" s="290"/>
      <c r="MDL31" s="290"/>
      <c r="MDM31" s="290"/>
      <c r="MDN31" s="290"/>
      <c r="MDO31" s="290"/>
      <c r="MDP31" s="290"/>
      <c r="MDQ31" s="290"/>
      <c r="MDR31" s="290"/>
      <c r="MDS31" s="290"/>
      <c r="MDT31" s="290"/>
      <c r="MDU31" s="290"/>
      <c r="MDV31" s="290"/>
      <c r="MDW31" s="290"/>
      <c r="MDX31" s="290"/>
      <c r="MDY31" s="290"/>
      <c r="MDZ31" s="290"/>
      <c r="MEA31" s="290"/>
      <c r="MEB31" s="290"/>
      <c r="MEC31" s="290"/>
      <c r="MED31" s="290"/>
      <c r="MEE31" s="290"/>
      <c r="MEF31" s="290"/>
      <c r="MEG31" s="290"/>
      <c r="MEH31" s="290"/>
      <c r="MEI31" s="290"/>
      <c r="MEJ31" s="290"/>
      <c r="MEK31" s="290"/>
      <c r="MEL31" s="290"/>
      <c r="MEM31" s="290"/>
      <c r="MEN31" s="290"/>
      <c r="MEO31" s="290"/>
      <c r="MEP31" s="290"/>
      <c r="MEQ31" s="290"/>
      <c r="MER31" s="290"/>
      <c r="MES31" s="290"/>
      <c r="MET31" s="290"/>
      <c r="MEU31" s="290"/>
      <c r="MEV31" s="290"/>
      <c r="MEW31" s="290"/>
      <c r="MEX31" s="290"/>
      <c r="MEY31" s="290"/>
      <c r="MEZ31" s="290"/>
      <c r="MFA31" s="290"/>
      <c r="MFB31" s="290"/>
      <c r="MFC31" s="290"/>
      <c r="MFD31" s="290"/>
      <c r="MFE31" s="290"/>
      <c r="MFF31" s="290"/>
      <c r="MFG31" s="290"/>
      <c r="MFH31" s="290"/>
      <c r="MFI31" s="290"/>
      <c r="MFJ31" s="290"/>
      <c r="MFK31" s="290"/>
      <c r="MFL31" s="290"/>
      <c r="MFM31" s="290"/>
      <c r="MFN31" s="290"/>
      <c r="MFO31" s="290"/>
      <c r="MFP31" s="290"/>
      <c r="MFQ31" s="290"/>
      <c r="MFR31" s="290"/>
      <c r="MFS31" s="290"/>
      <c r="MFT31" s="290"/>
      <c r="MFU31" s="290"/>
      <c r="MFV31" s="290"/>
      <c r="MFW31" s="290"/>
      <c r="MFX31" s="290"/>
      <c r="MFY31" s="290"/>
      <c r="MFZ31" s="290"/>
      <c r="MGA31" s="290"/>
      <c r="MGB31" s="290"/>
      <c r="MGC31" s="290"/>
      <c r="MGD31" s="290"/>
      <c r="MGE31" s="290"/>
      <c r="MGF31" s="290"/>
      <c r="MGG31" s="290"/>
      <c r="MGH31" s="290"/>
      <c r="MGI31" s="290"/>
      <c r="MGJ31" s="290"/>
      <c r="MGK31" s="290"/>
      <c r="MGL31" s="290"/>
      <c r="MGM31" s="290"/>
      <c r="MGN31" s="290"/>
      <c r="MGO31" s="290"/>
      <c r="MGP31" s="290"/>
      <c r="MGQ31" s="290"/>
      <c r="MGR31" s="290"/>
      <c r="MGS31" s="290"/>
      <c r="MGT31" s="290"/>
      <c r="MGU31" s="290"/>
      <c r="MGV31" s="290"/>
      <c r="MGW31" s="290"/>
      <c r="MGX31" s="290"/>
      <c r="MGY31" s="290"/>
      <c r="MGZ31" s="290"/>
      <c r="MHA31" s="290"/>
      <c r="MHB31" s="290"/>
      <c r="MHC31" s="290"/>
      <c r="MHD31" s="290"/>
      <c r="MHE31" s="290"/>
      <c r="MHF31" s="290"/>
      <c r="MHG31" s="290"/>
      <c r="MHH31" s="290"/>
      <c r="MHI31" s="290"/>
      <c r="MHJ31" s="290"/>
      <c r="MHK31" s="290"/>
      <c r="MHL31" s="290"/>
      <c r="MHM31" s="290"/>
      <c r="MHN31" s="290"/>
      <c r="MHO31" s="290"/>
      <c r="MHP31" s="290"/>
      <c r="MHQ31" s="290"/>
      <c r="MHR31" s="290"/>
      <c r="MHS31" s="290"/>
      <c r="MHT31" s="290"/>
      <c r="MHU31" s="290"/>
      <c r="MHV31" s="290"/>
      <c r="MHW31" s="290"/>
      <c r="MHX31" s="290"/>
      <c r="MHY31" s="290"/>
      <c r="MHZ31" s="290"/>
      <c r="MIA31" s="290"/>
      <c r="MIB31" s="290"/>
      <c r="MIC31" s="290"/>
      <c r="MID31" s="290"/>
      <c r="MIE31" s="290"/>
      <c r="MIF31" s="290"/>
      <c r="MIG31" s="290"/>
      <c r="MIH31" s="290"/>
      <c r="MII31" s="290"/>
      <c r="MIJ31" s="290"/>
      <c r="MIK31" s="290"/>
      <c r="MIL31" s="290"/>
      <c r="MIM31" s="290"/>
      <c r="MIN31" s="290"/>
      <c r="MIO31" s="290"/>
      <c r="MIP31" s="290"/>
      <c r="MIQ31" s="290"/>
      <c r="MIR31" s="290"/>
      <c r="MIS31" s="290"/>
      <c r="MIT31" s="290"/>
      <c r="MIU31" s="290"/>
      <c r="MIV31" s="290"/>
      <c r="MIW31" s="290"/>
      <c r="MIX31" s="290"/>
      <c r="MIY31" s="290"/>
      <c r="MIZ31" s="290"/>
      <c r="MJA31" s="290"/>
      <c r="MJB31" s="290"/>
      <c r="MJC31" s="290"/>
      <c r="MJD31" s="290"/>
      <c r="MJE31" s="290"/>
      <c r="MJF31" s="290"/>
      <c r="MJG31" s="290"/>
      <c r="MJH31" s="290"/>
      <c r="MJI31" s="290"/>
      <c r="MJJ31" s="290"/>
      <c r="MJK31" s="290"/>
      <c r="MJL31" s="290"/>
      <c r="MJM31" s="290"/>
      <c r="MJN31" s="290"/>
      <c r="MJO31" s="290"/>
      <c r="MJP31" s="290"/>
      <c r="MJQ31" s="290"/>
      <c r="MJR31" s="290"/>
      <c r="MJS31" s="290"/>
      <c r="MJT31" s="290"/>
      <c r="MJU31" s="290"/>
      <c r="MJV31" s="290"/>
      <c r="MJW31" s="290"/>
      <c r="MJX31" s="290"/>
      <c r="MJY31" s="290"/>
      <c r="MJZ31" s="290"/>
      <c r="MKA31" s="290"/>
      <c r="MKB31" s="290"/>
      <c r="MKC31" s="290"/>
      <c r="MKD31" s="290"/>
      <c r="MKE31" s="290"/>
      <c r="MKF31" s="290"/>
      <c r="MKG31" s="290"/>
      <c r="MKH31" s="290"/>
      <c r="MKI31" s="290"/>
      <c r="MKJ31" s="290"/>
      <c r="MKK31" s="290"/>
      <c r="MKL31" s="290"/>
      <c r="MKM31" s="290"/>
      <c r="MKN31" s="290"/>
      <c r="MKO31" s="290"/>
      <c r="MKP31" s="290"/>
      <c r="MKQ31" s="290"/>
      <c r="MKR31" s="290"/>
      <c r="MKS31" s="290"/>
      <c r="MKT31" s="290"/>
      <c r="MKU31" s="290"/>
      <c r="MKV31" s="290"/>
      <c r="MKW31" s="290"/>
      <c r="MKX31" s="290"/>
      <c r="MKY31" s="290"/>
      <c r="MKZ31" s="290"/>
      <c r="MLA31" s="290"/>
      <c r="MLB31" s="290"/>
      <c r="MLC31" s="290"/>
      <c r="MLD31" s="290"/>
      <c r="MLE31" s="290"/>
      <c r="MLF31" s="290"/>
      <c r="MLG31" s="290"/>
      <c r="MLH31" s="290"/>
      <c r="MLI31" s="290"/>
      <c r="MLJ31" s="290"/>
      <c r="MLK31" s="290"/>
      <c r="MLL31" s="290"/>
      <c r="MLM31" s="290"/>
      <c r="MLN31" s="290"/>
      <c r="MLO31" s="290"/>
      <c r="MLP31" s="290"/>
      <c r="MLQ31" s="290"/>
      <c r="MLR31" s="290"/>
      <c r="MLS31" s="290"/>
      <c r="MLT31" s="290"/>
      <c r="MLU31" s="290"/>
      <c r="MLV31" s="290"/>
      <c r="MLW31" s="290"/>
      <c r="MLX31" s="290"/>
      <c r="MLY31" s="290"/>
      <c r="MLZ31" s="290"/>
      <c r="MMA31" s="290"/>
      <c r="MMB31" s="290"/>
      <c r="MMC31" s="290"/>
      <c r="MMD31" s="290"/>
      <c r="MME31" s="290"/>
      <c r="MMF31" s="290"/>
      <c r="MMG31" s="290"/>
      <c r="MMH31" s="290"/>
      <c r="MMI31" s="290"/>
      <c r="MMJ31" s="290"/>
      <c r="MMK31" s="290"/>
      <c r="MML31" s="290"/>
      <c r="MMM31" s="290"/>
      <c r="MMN31" s="290"/>
      <c r="MMO31" s="290"/>
      <c r="MMP31" s="290"/>
      <c r="MMQ31" s="290"/>
      <c r="MMR31" s="290"/>
      <c r="MMS31" s="290"/>
      <c r="MMT31" s="290"/>
      <c r="MMU31" s="290"/>
      <c r="MMV31" s="290"/>
      <c r="MMW31" s="290"/>
      <c r="MMX31" s="290"/>
      <c r="MMY31" s="290"/>
      <c r="MMZ31" s="290"/>
      <c r="MNA31" s="290"/>
      <c r="MNB31" s="290"/>
      <c r="MNC31" s="290"/>
      <c r="MND31" s="290"/>
      <c r="MNE31" s="290"/>
      <c r="MNF31" s="290"/>
      <c r="MNG31" s="290"/>
      <c r="MNH31" s="290"/>
      <c r="MNI31" s="290"/>
      <c r="MNJ31" s="290"/>
      <c r="MNK31" s="290"/>
      <c r="MNL31" s="290"/>
      <c r="MNM31" s="290"/>
      <c r="MNN31" s="290"/>
      <c r="MNO31" s="290"/>
      <c r="MNP31" s="290"/>
      <c r="MNQ31" s="290"/>
      <c r="MNR31" s="290"/>
      <c r="MNS31" s="290"/>
      <c r="MNT31" s="290"/>
      <c r="MNU31" s="290"/>
      <c r="MNV31" s="290"/>
      <c r="MNW31" s="290"/>
      <c r="MNX31" s="290"/>
      <c r="MNY31" s="290"/>
      <c r="MNZ31" s="290"/>
      <c r="MOA31" s="290"/>
      <c r="MOB31" s="290"/>
      <c r="MOC31" s="290"/>
      <c r="MOD31" s="290"/>
      <c r="MOE31" s="290"/>
      <c r="MOF31" s="290"/>
      <c r="MOG31" s="290"/>
      <c r="MOH31" s="290"/>
      <c r="MOI31" s="290"/>
      <c r="MOJ31" s="290"/>
      <c r="MOK31" s="290"/>
      <c r="MOL31" s="290"/>
      <c r="MOM31" s="290"/>
      <c r="MON31" s="290"/>
      <c r="MOO31" s="290"/>
      <c r="MOP31" s="290"/>
      <c r="MOQ31" s="290"/>
      <c r="MOR31" s="290"/>
      <c r="MOS31" s="290"/>
      <c r="MOT31" s="290"/>
      <c r="MOU31" s="290"/>
      <c r="MOV31" s="290"/>
      <c r="MOW31" s="290"/>
      <c r="MOX31" s="290"/>
      <c r="MOY31" s="290"/>
      <c r="MOZ31" s="290"/>
      <c r="MPA31" s="290"/>
      <c r="MPB31" s="290"/>
      <c r="MPC31" s="290"/>
      <c r="MPD31" s="290"/>
      <c r="MPE31" s="290"/>
      <c r="MPF31" s="290"/>
      <c r="MPG31" s="290"/>
      <c r="MPH31" s="290"/>
      <c r="MPI31" s="290"/>
      <c r="MPJ31" s="290"/>
      <c r="MPK31" s="290"/>
      <c r="MPL31" s="290"/>
      <c r="MPM31" s="290"/>
      <c r="MPN31" s="290"/>
      <c r="MPO31" s="290"/>
      <c r="MPP31" s="290"/>
      <c r="MPQ31" s="290"/>
      <c r="MPR31" s="290"/>
      <c r="MPS31" s="290"/>
      <c r="MPT31" s="290"/>
      <c r="MPU31" s="290"/>
      <c r="MPV31" s="290"/>
      <c r="MPW31" s="290"/>
      <c r="MPX31" s="290"/>
      <c r="MPY31" s="290"/>
      <c r="MPZ31" s="290"/>
      <c r="MQA31" s="290"/>
      <c r="MQB31" s="290"/>
      <c r="MQC31" s="290"/>
      <c r="MQD31" s="290"/>
      <c r="MQE31" s="290"/>
      <c r="MQF31" s="290"/>
      <c r="MQG31" s="290"/>
      <c r="MQH31" s="290"/>
      <c r="MQI31" s="290"/>
      <c r="MQJ31" s="290"/>
      <c r="MQK31" s="290"/>
      <c r="MQL31" s="290"/>
      <c r="MQM31" s="290"/>
      <c r="MQN31" s="290"/>
      <c r="MQO31" s="290"/>
      <c r="MQP31" s="290"/>
      <c r="MQQ31" s="290"/>
      <c r="MQR31" s="290"/>
      <c r="MQS31" s="290"/>
      <c r="MQT31" s="290"/>
      <c r="MQU31" s="290"/>
      <c r="MQV31" s="290"/>
      <c r="MQW31" s="290"/>
      <c r="MQX31" s="290"/>
      <c r="MQY31" s="290"/>
      <c r="MQZ31" s="290"/>
      <c r="MRA31" s="290"/>
      <c r="MRB31" s="290"/>
      <c r="MRC31" s="290"/>
      <c r="MRD31" s="290"/>
      <c r="MRE31" s="290"/>
      <c r="MRF31" s="290"/>
      <c r="MRG31" s="290"/>
      <c r="MRH31" s="290"/>
      <c r="MRI31" s="290"/>
      <c r="MRJ31" s="290"/>
      <c r="MRK31" s="290"/>
      <c r="MRL31" s="290"/>
      <c r="MRM31" s="290"/>
      <c r="MRN31" s="290"/>
      <c r="MRO31" s="290"/>
      <c r="MRP31" s="290"/>
      <c r="MRQ31" s="290"/>
      <c r="MRR31" s="290"/>
      <c r="MRS31" s="290"/>
      <c r="MRT31" s="290"/>
      <c r="MRU31" s="290"/>
      <c r="MRV31" s="290"/>
      <c r="MRW31" s="290"/>
      <c r="MRX31" s="290"/>
      <c r="MRY31" s="290"/>
      <c r="MRZ31" s="290"/>
      <c r="MSA31" s="290"/>
      <c r="MSB31" s="290"/>
      <c r="MSC31" s="290"/>
      <c r="MSD31" s="290"/>
      <c r="MSE31" s="290"/>
      <c r="MSF31" s="290"/>
      <c r="MSG31" s="290"/>
      <c r="MSH31" s="290"/>
      <c r="MSI31" s="290"/>
      <c r="MSJ31" s="290"/>
      <c r="MSK31" s="290"/>
      <c r="MSL31" s="290"/>
      <c r="MSM31" s="290"/>
      <c r="MSN31" s="290"/>
      <c r="MSO31" s="290"/>
      <c r="MSP31" s="290"/>
      <c r="MSQ31" s="290"/>
      <c r="MSR31" s="290"/>
      <c r="MSS31" s="290"/>
      <c r="MST31" s="290"/>
      <c r="MSU31" s="290"/>
      <c r="MSV31" s="290"/>
      <c r="MSW31" s="290"/>
      <c r="MSX31" s="290"/>
      <c r="MSY31" s="290"/>
      <c r="MSZ31" s="290"/>
      <c r="MTA31" s="290"/>
      <c r="MTB31" s="290"/>
      <c r="MTC31" s="290"/>
      <c r="MTD31" s="290"/>
      <c r="MTE31" s="290"/>
      <c r="MTF31" s="290"/>
      <c r="MTG31" s="290"/>
      <c r="MTH31" s="290"/>
      <c r="MTI31" s="290"/>
      <c r="MTJ31" s="290"/>
      <c r="MTK31" s="290"/>
      <c r="MTL31" s="290"/>
      <c r="MTM31" s="290"/>
      <c r="MTN31" s="290"/>
      <c r="MTO31" s="290"/>
      <c r="MTP31" s="290"/>
      <c r="MTQ31" s="290"/>
      <c r="MTR31" s="290"/>
      <c r="MTS31" s="290"/>
      <c r="MTT31" s="290"/>
      <c r="MTU31" s="290"/>
      <c r="MTV31" s="290"/>
      <c r="MTW31" s="290"/>
      <c r="MTX31" s="290"/>
      <c r="MTY31" s="290"/>
      <c r="MTZ31" s="290"/>
      <c r="MUA31" s="290"/>
      <c r="MUB31" s="290"/>
      <c r="MUC31" s="290"/>
      <c r="MUD31" s="290"/>
      <c r="MUE31" s="290"/>
      <c r="MUF31" s="290"/>
      <c r="MUG31" s="290"/>
      <c r="MUH31" s="290"/>
      <c r="MUI31" s="290"/>
      <c r="MUJ31" s="290"/>
      <c r="MUK31" s="290"/>
      <c r="MUL31" s="290"/>
      <c r="MUM31" s="290"/>
      <c r="MUN31" s="290"/>
      <c r="MUO31" s="290"/>
      <c r="MUP31" s="290"/>
      <c r="MUQ31" s="290"/>
      <c r="MUR31" s="290"/>
      <c r="MUS31" s="290"/>
      <c r="MUT31" s="290"/>
      <c r="MUU31" s="290"/>
      <c r="MUV31" s="290"/>
      <c r="MUW31" s="290"/>
      <c r="MUX31" s="290"/>
      <c r="MUY31" s="290"/>
      <c r="MUZ31" s="290"/>
      <c r="MVA31" s="290"/>
      <c r="MVB31" s="290"/>
      <c r="MVC31" s="290"/>
      <c r="MVD31" s="290"/>
      <c r="MVE31" s="290"/>
      <c r="MVF31" s="290"/>
      <c r="MVG31" s="290"/>
      <c r="MVH31" s="290"/>
      <c r="MVI31" s="290"/>
      <c r="MVJ31" s="290"/>
      <c r="MVK31" s="290"/>
      <c r="MVL31" s="290"/>
      <c r="MVM31" s="290"/>
      <c r="MVN31" s="290"/>
      <c r="MVO31" s="290"/>
      <c r="MVP31" s="290"/>
      <c r="MVQ31" s="290"/>
      <c r="MVR31" s="290"/>
      <c r="MVS31" s="290"/>
      <c r="MVT31" s="290"/>
      <c r="MVU31" s="290"/>
      <c r="MVV31" s="290"/>
      <c r="MVW31" s="290"/>
      <c r="MVX31" s="290"/>
      <c r="MVY31" s="290"/>
      <c r="MVZ31" s="290"/>
      <c r="MWA31" s="290"/>
      <c r="MWB31" s="290"/>
      <c r="MWC31" s="290"/>
      <c r="MWD31" s="290"/>
      <c r="MWE31" s="290"/>
      <c r="MWF31" s="290"/>
      <c r="MWG31" s="290"/>
      <c r="MWH31" s="290"/>
      <c r="MWI31" s="290"/>
      <c r="MWJ31" s="290"/>
      <c r="MWK31" s="290"/>
      <c r="MWL31" s="290"/>
      <c r="MWM31" s="290"/>
      <c r="MWN31" s="290"/>
      <c r="MWO31" s="290"/>
      <c r="MWP31" s="290"/>
      <c r="MWQ31" s="290"/>
      <c r="MWR31" s="290"/>
      <c r="MWS31" s="290"/>
      <c r="MWT31" s="290"/>
      <c r="MWU31" s="290"/>
      <c r="MWV31" s="290"/>
      <c r="MWW31" s="290"/>
      <c r="MWX31" s="290"/>
      <c r="MWY31" s="290"/>
      <c r="MWZ31" s="290"/>
      <c r="MXA31" s="290"/>
      <c r="MXB31" s="290"/>
      <c r="MXC31" s="290"/>
      <c r="MXD31" s="290"/>
      <c r="MXE31" s="290"/>
      <c r="MXF31" s="290"/>
      <c r="MXG31" s="290"/>
      <c r="MXH31" s="290"/>
      <c r="MXI31" s="290"/>
      <c r="MXJ31" s="290"/>
      <c r="MXK31" s="290"/>
      <c r="MXL31" s="290"/>
      <c r="MXM31" s="290"/>
      <c r="MXN31" s="290"/>
      <c r="MXO31" s="290"/>
      <c r="MXP31" s="290"/>
      <c r="MXQ31" s="290"/>
      <c r="MXR31" s="290"/>
      <c r="MXS31" s="290"/>
      <c r="MXT31" s="290"/>
      <c r="MXU31" s="290"/>
      <c r="MXV31" s="290"/>
      <c r="MXW31" s="290"/>
      <c r="MXX31" s="290"/>
      <c r="MXY31" s="290"/>
      <c r="MXZ31" s="290"/>
      <c r="MYA31" s="290"/>
      <c r="MYB31" s="290"/>
      <c r="MYC31" s="290"/>
      <c r="MYD31" s="290"/>
      <c r="MYE31" s="290"/>
      <c r="MYF31" s="290"/>
      <c r="MYG31" s="290"/>
      <c r="MYH31" s="290"/>
      <c r="MYI31" s="290"/>
      <c r="MYJ31" s="290"/>
      <c r="MYK31" s="290"/>
      <c r="MYL31" s="290"/>
      <c r="MYM31" s="290"/>
      <c r="MYN31" s="290"/>
      <c r="MYO31" s="290"/>
      <c r="MYP31" s="290"/>
      <c r="MYQ31" s="290"/>
      <c r="MYR31" s="290"/>
      <c r="MYS31" s="290"/>
      <c r="MYT31" s="290"/>
      <c r="MYU31" s="290"/>
      <c r="MYV31" s="290"/>
      <c r="MYW31" s="290"/>
      <c r="MYX31" s="290"/>
      <c r="MYY31" s="290"/>
      <c r="MYZ31" s="290"/>
      <c r="MZA31" s="290"/>
      <c r="MZB31" s="290"/>
      <c r="MZC31" s="290"/>
      <c r="MZD31" s="290"/>
      <c r="MZE31" s="290"/>
      <c r="MZF31" s="290"/>
      <c r="MZG31" s="290"/>
      <c r="MZH31" s="290"/>
      <c r="MZI31" s="290"/>
      <c r="MZJ31" s="290"/>
      <c r="MZK31" s="290"/>
      <c r="MZL31" s="290"/>
      <c r="MZM31" s="290"/>
      <c r="MZN31" s="290"/>
      <c r="MZO31" s="290"/>
      <c r="MZP31" s="290"/>
      <c r="MZQ31" s="290"/>
      <c r="MZR31" s="290"/>
      <c r="MZS31" s="290"/>
      <c r="MZT31" s="290"/>
      <c r="MZU31" s="290"/>
      <c r="MZV31" s="290"/>
      <c r="MZW31" s="290"/>
      <c r="MZX31" s="290"/>
      <c r="MZY31" s="290"/>
      <c r="MZZ31" s="290"/>
      <c r="NAA31" s="290"/>
      <c r="NAB31" s="290"/>
      <c r="NAC31" s="290"/>
      <c r="NAD31" s="290"/>
      <c r="NAE31" s="290"/>
      <c r="NAF31" s="290"/>
      <c r="NAG31" s="290"/>
      <c r="NAH31" s="290"/>
      <c r="NAI31" s="290"/>
      <c r="NAJ31" s="290"/>
      <c r="NAK31" s="290"/>
      <c r="NAL31" s="290"/>
      <c r="NAM31" s="290"/>
      <c r="NAN31" s="290"/>
      <c r="NAO31" s="290"/>
      <c r="NAP31" s="290"/>
      <c r="NAQ31" s="290"/>
      <c r="NAR31" s="290"/>
      <c r="NAS31" s="290"/>
      <c r="NAT31" s="290"/>
      <c r="NAU31" s="290"/>
      <c r="NAV31" s="290"/>
      <c r="NAW31" s="290"/>
      <c r="NAX31" s="290"/>
      <c r="NAY31" s="290"/>
      <c r="NAZ31" s="290"/>
      <c r="NBA31" s="290"/>
      <c r="NBB31" s="290"/>
      <c r="NBC31" s="290"/>
      <c r="NBD31" s="290"/>
      <c r="NBE31" s="290"/>
      <c r="NBF31" s="290"/>
      <c r="NBG31" s="290"/>
      <c r="NBH31" s="290"/>
      <c r="NBI31" s="290"/>
      <c r="NBJ31" s="290"/>
      <c r="NBK31" s="290"/>
      <c r="NBL31" s="290"/>
      <c r="NBM31" s="290"/>
      <c r="NBN31" s="290"/>
      <c r="NBO31" s="290"/>
      <c r="NBP31" s="290"/>
      <c r="NBQ31" s="290"/>
      <c r="NBR31" s="290"/>
      <c r="NBS31" s="290"/>
      <c r="NBT31" s="290"/>
      <c r="NBU31" s="290"/>
      <c r="NBV31" s="290"/>
      <c r="NBW31" s="290"/>
      <c r="NBX31" s="290"/>
      <c r="NBY31" s="290"/>
      <c r="NBZ31" s="290"/>
      <c r="NCA31" s="290"/>
      <c r="NCB31" s="290"/>
      <c r="NCC31" s="290"/>
      <c r="NCD31" s="290"/>
      <c r="NCE31" s="290"/>
      <c r="NCF31" s="290"/>
      <c r="NCG31" s="290"/>
      <c r="NCH31" s="290"/>
      <c r="NCI31" s="290"/>
      <c r="NCJ31" s="290"/>
      <c r="NCK31" s="290"/>
      <c r="NCL31" s="290"/>
      <c r="NCM31" s="290"/>
      <c r="NCN31" s="290"/>
      <c r="NCO31" s="290"/>
      <c r="NCP31" s="290"/>
      <c r="NCQ31" s="290"/>
      <c r="NCR31" s="290"/>
      <c r="NCS31" s="290"/>
      <c r="NCT31" s="290"/>
      <c r="NCU31" s="290"/>
      <c r="NCV31" s="290"/>
      <c r="NCW31" s="290"/>
      <c r="NCX31" s="290"/>
      <c r="NCY31" s="290"/>
      <c r="NCZ31" s="290"/>
      <c r="NDA31" s="290"/>
      <c r="NDB31" s="290"/>
      <c r="NDC31" s="290"/>
      <c r="NDD31" s="290"/>
      <c r="NDE31" s="290"/>
      <c r="NDF31" s="290"/>
      <c r="NDG31" s="290"/>
      <c r="NDH31" s="290"/>
      <c r="NDI31" s="290"/>
      <c r="NDJ31" s="290"/>
      <c r="NDK31" s="290"/>
      <c r="NDL31" s="290"/>
      <c r="NDM31" s="290"/>
      <c r="NDN31" s="290"/>
      <c r="NDO31" s="290"/>
      <c r="NDP31" s="290"/>
      <c r="NDQ31" s="290"/>
      <c r="NDR31" s="290"/>
      <c r="NDS31" s="290"/>
      <c r="NDT31" s="290"/>
      <c r="NDU31" s="290"/>
      <c r="NDV31" s="290"/>
      <c r="NDW31" s="290"/>
      <c r="NDX31" s="290"/>
      <c r="NDY31" s="290"/>
      <c r="NDZ31" s="290"/>
      <c r="NEA31" s="290"/>
      <c r="NEB31" s="290"/>
      <c r="NEC31" s="290"/>
      <c r="NED31" s="290"/>
      <c r="NEE31" s="290"/>
      <c r="NEF31" s="290"/>
      <c r="NEG31" s="290"/>
      <c r="NEH31" s="290"/>
      <c r="NEI31" s="290"/>
      <c r="NEJ31" s="290"/>
      <c r="NEK31" s="290"/>
      <c r="NEL31" s="290"/>
      <c r="NEM31" s="290"/>
      <c r="NEN31" s="290"/>
      <c r="NEO31" s="290"/>
      <c r="NEP31" s="290"/>
      <c r="NEQ31" s="290"/>
      <c r="NER31" s="290"/>
      <c r="NES31" s="290"/>
      <c r="NET31" s="290"/>
      <c r="NEU31" s="290"/>
      <c r="NEV31" s="290"/>
      <c r="NEW31" s="290"/>
      <c r="NEX31" s="290"/>
      <c r="NEY31" s="290"/>
      <c r="NEZ31" s="290"/>
      <c r="NFA31" s="290"/>
      <c r="NFB31" s="290"/>
      <c r="NFC31" s="290"/>
      <c r="NFD31" s="290"/>
      <c r="NFE31" s="290"/>
      <c r="NFF31" s="290"/>
      <c r="NFG31" s="290"/>
      <c r="NFH31" s="290"/>
      <c r="NFI31" s="290"/>
      <c r="NFJ31" s="290"/>
      <c r="NFK31" s="290"/>
      <c r="NFL31" s="290"/>
      <c r="NFM31" s="290"/>
      <c r="NFN31" s="290"/>
      <c r="NFO31" s="290"/>
      <c r="NFP31" s="290"/>
      <c r="NFQ31" s="290"/>
      <c r="NFR31" s="290"/>
      <c r="NFS31" s="290"/>
      <c r="NFT31" s="290"/>
      <c r="NFU31" s="290"/>
      <c r="NFV31" s="290"/>
      <c r="NFW31" s="290"/>
      <c r="NFX31" s="290"/>
      <c r="NFY31" s="290"/>
      <c r="NFZ31" s="290"/>
      <c r="NGA31" s="290"/>
      <c r="NGB31" s="290"/>
      <c r="NGC31" s="290"/>
      <c r="NGD31" s="290"/>
      <c r="NGE31" s="290"/>
      <c r="NGF31" s="290"/>
      <c r="NGG31" s="290"/>
      <c r="NGH31" s="290"/>
      <c r="NGI31" s="290"/>
      <c r="NGJ31" s="290"/>
      <c r="NGK31" s="290"/>
      <c r="NGL31" s="290"/>
      <c r="NGM31" s="290"/>
      <c r="NGN31" s="290"/>
      <c r="NGO31" s="290"/>
      <c r="NGP31" s="290"/>
      <c r="NGQ31" s="290"/>
      <c r="NGR31" s="290"/>
      <c r="NGS31" s="290"/>
      <c r="NGT31" s="290"/>
      <c r="NGU31" s="290"/>
      <c r="NGV31" s="290"/>
      <c r="NGW31" s="290"/>
      <c r="NGX31" s="290"/>
      <c r="NGY31" s="290"/>
      <c r="NGZ31" s="290"/>
      <c r="NHA31" s="290"/>
      <c r="NHB31" s="290"/>
      <c r="NHC31" s="290"/>
      <c r="NHD31" s="290"/>
      <c r="NHE31" s="290"/>
      <c r="NHF31" s="290"/>
      <c r="NHG31" s="290"/>
      <c r="NHH31" s="290"/>
      <c r="NHI31" s="290"/>
      <c r="NHJ31" s="290"/>
      <c r="NHK31" s="290"/>
      <c r="NHL31" s="290"/>
      <c r="NHM31" s="290"/>
      <c r="NHN31" s="290"/>
      <c r="NHO31" s="290"/>
      <c r="NHP31" s="290"/>
      <c r="NHQ31" s="290"/>
      <c r="NHR31" s="290"/>
      <c r="NHS31" s="290"/>
      <c r="NHT31" s="290"/>
      <c r="NHU31" s="290"/>
      <c r="NHV31" s="290"/>
      <c r="NHW31" s="290"/>
      <c r="NHX31" s="290"/>
      <c r="NHY31" s="290"/>
      <c r="NHZ31" s="290"/>
      <c r="NIA31" s="290"/>
      <c r="NIB31" s="290"/>
      <c r="NIC31" s="290"/>
      <c r="NID31" s="290"/>
      <c r="NIE31" s="290"/>
      <c r="NIF31" s="290"/>
      <c r="NIG31" s="290"/>
      <c r="NIH31" s="290"/>
      <c r="NII31" s="290"/>
      <c r="NIJ31" s="290"/>
      <c r="NIK31" s="290"/>
      <c r="NIL31" s="290"/>
      <c r="NIM31" s="290"/>
      <c r="NIN31" s="290"/>
      <c r="NIO31" s="290"/>
      <c r="NIP31" s="290"/>
      <c r="NIQ31" s="290"/>
      <c r="NIR31" s="290"/>
      <c r="NIS31" s="290"/>
      <c r="NIT31" s="290"/>
      <c r="NIU31" s="290"/>
      <c r="NIV31" s="290"/>
      <c r="NIW31" s="290"/>
      <c r="NIX31" s="290"/>
      <c r="NIY31" s="290"/>
      <c r="NIZ31" s="290"/>
      <c r="NJA31" s="290"/>
      <c r="NJB31" s="290"/>
      <c r="NJC31" s="290"/>
      <c r="NJD31" s="290"/>
      <c r="NJE31" s="290"/>
      <c r="NJF31" s="290"/>
      <c r="NJG31" s="290"/>
      <c r="NJH31" s="290"/>
      <c r="NJI31" s="290"/>
      <c r="NJJ31" s="290"/>
      <c r="NJK31" s="290"/>
      <c r="NJL31" s="290"/>
      <c r="NJM31" s="290"/>
      <c r="NJN31" s="290"/>
      <c r="NJO31" s="290"/>
      <c r="NJP31" s="290"/>
      <c r="NJQ31" s="290"/>
      <c r="NJR31" s="290"/>
      <c r="NJS31" s="290"/>
      <c r="NJT31" s="290"/>
      <c r="NJU31" s="290"/>
      <c r="NJV31" s="290"/>
      <c r="NJW31" s="290"/>
      <c r="NJX31" s="290"/>
      <c r="NJY31" s="290"/>
      <c r="NJZ31" s="290"/>
      <c r="NKA31" s="290"/>
      <c r="NKB31" s="290"/>
      <c r="NKC31" s="290"/>
      <c r="NKD31" s="290"/>
      <c r="NKE31" s="290"/>
      <c r="NKF31" s="290"/>
      <c r="NKG31" s="290"/>
      <c r="NKH31" s="290"/>
      <c r="NKI31" s="290"/>
      <c r="NKJ31" s="290"/>
      <c r="NKK31" s="290"/>
      <c r="NKL31" s="290"/>
      <c r="NKM31" s="290"/>
      <c r="NKN31" s="290"/>
      <c r="NKO31" s="290"/>
      <c r="NKP31" s="290"/>
      <c r="NKQ31" s="290"/>
      <c r="NKR31" s="290"/>
      <c r="NKS31" s="290"/>
      <c r="NKT31" s="290"/>
      <c r="NKU31" s="290"/>
      <c r="NKV31" s="290"/>
      <c r="NKW31" s="290"/>
      <c r="NKX31" s="290"/>
      <c r="NKY31" s="290"/>
      <c r="NKZ31" s="290"/>
      <c r="NLA31" s="290"/>
      <c r="NLB31" s="290"/>
      <c r="NLC31" s="290"/>
      <c r="NLD31" s="290"/>
      <c r="NLE31" s="290"/>
      <c r="NLF31" s="290"/>
      <c r="NLG31" s="290"/>
      <c r="NLH31" s="290"/>
      <c r="NLI31" s="290"/>
      <c r="NLJ31" s="290"/>
      <c r="NLK31" s="290"/>
      <c r="NLL31" s="290"/>
      <c r="NLM31" s="290"/>
      <c r="NLN31" s="290"/>
      <c r="NLO31" s="290"/>
      <c r="NLP31" s="290"/>
      <c r="NLQ31" s="290"/>
      <c r="NLR31" s="290"/>
      <c r="NLS31" s="290"/>
      <c r="NLT31" s="290"/>
      <c r="NLU31" s="290"/>
      <c r="NLV31" s="290"/>
      <c r="NLW31" s="290"/>
      <c r="NLX31" s="290"/>
      <c r="NLY31" s="290"/>
      <c r="NLZ31" s="290"/>
      <c r="NMA31" s="290"/>
      <c r="NMB31" s="290"/>
      <c r="NMC31" s="290"/>
      <c r="NMD31" s="290"/>
      <c r="NME31" s="290"/>
      <c r="NMF31" s="290"/>
      <c r="NMG31" s="290"/>
      <c r="NMH31" s="290"/>
      <c r="NMI31" s="290"/>
      <c r="NMJ31" s="290"/>
      <c r="NMK31" s="290"/>
      <c r="NML31" s="290"/>
      <c r="NMM31" s="290"/>
      <c r="NMN31" s="290"/>
      <c r="NMO31" s="290"/>
      <c r="NMP31" s="290"/>
      <c r="NMQ31" s="290"/>
      <c r="NMR31" s="290"/>
      <c r="NMS31" s="290"/>
      <c r="NMT31" s="290"/>
      <c r="NMU31" s="290"/>
      <c r="NMV31" s="290"/>
      <c r="NMW31" s="290"/>
      <c r="NMX31" s="290"/>
      <c r="NMY31" s="290"/>
      <c r="NMZ31" s="290"/>
      <c r="NNA31" s="290"/>
      <c r="NNB31" s="290"/>
      <c r="NNC31" s="290"/>
      <c r="NND31" s="290"/>
      <c r="NNE31" s="290"/>
      <c r="NNF31" s="290"/>
      <c r="NNG31" s="290"/>
      <c r="NNH31" s="290"/>
      <c r="NNI31" s="290"/>
      <c r="NNJ31" s="290"/>
      <c r="NNK31" s="290"/>
      <c r="NNL31" s="290"/>
      <c r="NNM31" s="290"/>
      <c r="NNN31" s="290"/>
      <c r="NNO31" s="290"/>
      <c r="NNP31" s="290"/>
      <c r="NNQ31" s="290"/>
      <c r="NNR31" s="290"/>
      <c r="NNS31" s="290"/>
      <c r="NNT31" s="290"/>
      <c r="NNU31" s="290"/>
      <c r="NNV31" s="290"/>
      <c r="NNW31" s="290"/>
      <c r="NNX31" s="290"/>
      <c r="NNY31" s="290"/>
      <c r="NNZ31" s="290"/>
      <c r="NOA31" s="290"/>
      <c r="NOB31" s="290"/>
      <c r="NOC31" s="290"/>
      <c r="NOD31" s="290"/>
      <c r="NOE31" s="290"/>
      <c r="NOF31" s="290"/>
      <c r="NOG31" s="290"/>
      <c r="NOH31" s="290"/>
      <c r="NOI31" s="290"/>
      <c r="NOJ31" s="290"/>
      <c r="NOK31" s="290"/>
      <c r="NOL31" s="290"/>
      <c r="NOM31" s="290"/>
      <c r="NON31" s="290"/>
      <c r="NOO31" s="290"/>
      <c r="NOP31" s="290"/>
      <c r="NOQ31" s="290"/>
      <c r="NOR31" s="290"/>
      <c r="NOS31" s="290"/>
      <c r="NOT31" s="290"/>
      <c r="NOU31" s="290"/>
      <c r="NOV31" s="290"/>
      <c r="NOW31" s="290"/>
      <c r="NOX31" s="290"/>
      <c r="NOY31" s="290"/>
      <c r="NOZ31" s="290"/>
      <c r="NPA31" s="290"/>
      <c r="NPB31" s="290"/>
      <c r="NPC31" s="290"/>
      <c r="NPD31" s="290"/>
      <c r="NPE31" s="290"/>
      <c r="NPF31" s="290"/>
      <c r="NPG31" s="290"/>
      <c r="NPH31" s="290"/>
      <c r="NPI31" s="290"/>
      <c r="NPJ31" s="290"/>
      <c r="NPK31" s="290"/>
      <c r="NPL31" s="290"/>
      <c r="NPM31" s="290"/>
      <c r="NPN31" s="290"/>
      <c r="NPO31" s="290"/>
      <c r="NPP31" s="290"/>
      <c r="NPQ31" s="290"/>
      <c r="NPR31" s="290"/>
      <c r="NPS31" s="290"/>
      <c r="NPT31" s="290"/>
      <c r="NPU31" s="290"/>
      <c r="NPV31" s="290"/>
      <c r="NPW31" s="290"/>
      <c r="NPX31" s="290"/>
      <c r="NPY31" s="290"/>
      <c r="NPZ31" s="290"/>
      <c r="NQA31" s="290"/>
      <c r="NQB31" s="290"/>
      <c r="NQC31" s="290"/>
      <c r="NQD31" s="290"/>
      <c r="NQE31" s="290"/>
      <c r="NQF31" s="290"/>
      <c r="NQG31" s="290"/>
      <c r="NQH31" s="290"/>
      <c r="NQI31" s="290"/>
      <c r="NQJ31" s="290"/>
      <c r="NQK31" s="290"/>
      <c r="NQL31" s="290"/>
      <c r="NQM31" s="290"/>
      <c r="NQN31" s="290"/>
      <c r="NQO31" s="290"/>
      <c r="NQP31" s="290"/>
      <c r="NQQ31" s="290"/>
      <c r="NQR31" s="290"/>
      <c r="NQS31" s="290"/>
      <c r="NQT31" s="290"/>
      <c r="NQU31" s="290"/>
      <c r="NQV31" s="290"/>
      <c r="NQW31" s="290"/>
      <c r="NQX31" s="290"/>
      <c r="NQY31" s="290"/>
      <c r="NQZ31" s="290"/>
      <c r="NRA31" s="290"/>
      <c r="NRB31" s="290"/>
      <c r="NRC31" s="290"/>
      <c r="NRD31" s="290"/>
      <c r="NRE31" s="290"/>
      <c r="NRF31" s="290"/>
      <c r="NRG31" s="290"/>
      <c r="NRH31" s="290"/>
      <c r="NRI31" s="290"/>
      <c r="NRJ31" s="290"/>
      <c r="NRK31" s="290"/>
      <c r="NRL31" s="290"/>
      <c r="NRM31" s="290"/>
      <c r="NRN31" s="290"/>
      <c r="NRO31" s="290"/>
      <c r="NRP31" s="290"/>
      <c r="NRQ31" s="290"/>
      <c r="NRR31" s="290"/>
      <c r="NRS31" s="290"/>
      <c r="NRT31" s="290"/>
      <c r="NRU31" s="290"/>
      <c r="NRV31" s="290"/>
      <c r="NRW31" s="290"/>
      <c r="NRX31" s="290"/>
      <c r="NRY31" s="290"/>
      <c r="NRZ31" s="290"/>
      <c r="NSA31" s="290"/>
      <c r="NSB31" s="290"/>
      <c r="NSC31" s="290"/>
      <c r="NSD31" s="290"/>
      <c r="NSE31" s="290"/>
      <c r="NSF31" s="290"/>
      <c r="NSG31" s="290"/>
      <c r="NSH31" s="290"/>
      <c r="NSI31" s="290"/>
      <c r="NSJ31" s="290"/>
      <c r="NSK31" s="290"/>
      <c r="NSL31" s="290"/>
      <c r="NSM31" s="290"/>
      <c r="NSN31" s="290"/>
      <c r="NSO31" s="290"/>
      <c r="NSP31" s="290"/>
      <c r="NSQ31" s="290"/>
      <c r="NSR31" s="290"/>
      <c r="NSS31" s="290"/>
      <c r="NST31" s="290"/>
      <c r="NSU31" s="290"/>
      <c r="NSV31" s="290"/>
      <c r="NSW31" s="290"/>
      <c r="NSX31" s="290"/>
      <c r="NSY31" s="290"/>
      <c r="NSZ31" s="290"/>
      <c r="NTA31" s="290"/>
      <c r="NTB31" s="290"/>
      <c r="NTC31" s="290"/>
      <c r="NTD31" s="290"/>
      <c r="NTE31" s="290"/>
      <c r="NTF31" s="290"/>
      <c r="NTG31" s="290"/>
      <c r="NTH31" s="290"/>
      <c r="NTI31" s="290"/>
      <c r="NTJ31" s="290"/>
      <c r="NTK31" s="290"/>
      <c r="NTL31" s="290"/>
      <c r="NTM31" s="290"/>
      <c r="NTN31" s="290"/>
      <c r="NTO31" s="290"/>
      <c r="NTP31" s="290"/>
      <c r="NTQ31" s="290"/>
      <c r="NTR31" s="290"/>
      <c r="NTS31" s="290"/>
      <c r="NTT31" s="290"/>
      <c r="NTU31" s="290"/>
      <c r="NTV31" s="290"/>
      <c r="NTW31" s="290"/>
      <c r="NTX31" s="290"/>
      <c r="NTY31" s="290"/>
      <c r="NTZ31" s="290"/>
      <c r="NUA31" s="290"/>
      <c r="NUB31" s="290"/>
      <c r="NUC31" s="290"/>
      <c r="NUD31" s="290"/>
      <c r="NUE31" s="290"/>
      <c r="NUF31" s="290"/>
      <c r="NUG31" s="290"/>
      <c r="NUH31" s="290"/>
      <c r="NUI31" s="290"/>
      <c r="NUJ31" s="290"/>
      <c r="NUK31" s="290"/>
      <c r="NUL31" s="290"/>
      <c r="NUM31" s="290"/>
      <c r="NUN31" s="290"/>
      <c r="NUO31" s="290"/>
      <c r="NUP31" s="290"/>
      <c r="NUQ31" s="290"/>
      <c r="NUR31" s="290"/>
      <c r="NUS31" s="290"/>
      <c r="NUT31" s="290"/>
      <c r="NUU31" s="290"/>
      <c r="NUV31" s="290"/>
      <c r="NUW31" s="290"/>
      <c r="NUX31" s="290"/>
      <c r="NUY31" s="290"/>
      <c r="NUZ31" s="290"/>
      <c r="NVA31" s="290"/>
      <c r="NVB31" s="290"/>
      <c r="NVC31" s="290"/>
      <c r="NVD31" s="290"/>
      <c r="NVE31" s="290"/>
      <c r="NVF31" s="290"/>
      <c r="NVG31" s="290"/>
      <c r="NVH31" s="290"/>
      <c r="NVI31" s="290"/>
      <c r="NVJ31" s="290"/>
      <c r="NVK31" s="290"/>
      <c r="NVL31" s="290"/>
      <c r="NVM31" s="290"/>
      <c r="NVN31" s="290"/>
      <c r="NVO31" s="290"/>
      <c r="NVP31" s="290"/>
      <c r="NVQ31" s="290"/>
      <c r="NVR31" s="290"/>
      <c r="NVS31" s="290"/>
      <c r="NVT31" s="290"/>
      <c r="NVU31" s="290"/>
      <c r="NVV31" s="290"/>
      <c r="NVW31" s="290"/>
      <c r="NVX31" s="290"/>
      <c r="NVY31" s="290"/>
      <c r="NVZ31" s="290"/>
      <c r="NWA31" s="290"/>
      <c r="NWB31" s="290"/>
      <c r="NWC31" s="290"/>
      <c r="NWD31" s="290"/>
      <c r="NWE31" s="290"/>
      <c r="NWF31" s="290"/>
      <c r="NWG31" s="290"/>
      <c r="NWH31" s="290"/>
      <c r="NWI31" s="290"/>
      <c r="NWJ31" s="290"/>
      <c r="NWK31" s="290"/>
      <c r="NWL31" s="290"/>
      <c r="NWM31" s="290"/>
      <c r="NWN31" s="290"/>
      <c r="NWO31" s="290"/>
      <c r="NWP31" s="290"/>
      <c r="NWQ31" s="290"/>
      <c r="NWR31" s="290"/>
      <c r="NWS31" s="290"/>
      <c r="NWT31" s="290"/>
      <c r="NWU31" s="290"/>
      <c r="NWV31" s="290"/>
      <c r="NWW31" s="290"/>
      <c r="NWX31" s="290"/>
      <c r="NWY31" s="290"/>
      <c r="NWZ31" s="290"/>
      <c r="NXA31" s="290"/>
      <c r="NXB31" s="290"/>
      <c r="NXC31" s="290"/>
      <c r="NXD31" s="290"/>
      <c r="NXE31" s="290"/>
      <c r="NXF31" s="290"/>
      <c r="NXG31" s="290"/>
      <c r="NXH31" s="290"/>
      <c r="NXI31" s="290"/>
      <c r="NXJ31" s="290"/>
      <c r="NXK31" s="290"/>
      <c r="NXL31" s="290"/>
      <c r="NXM31" s="290"/>
      <c r="NXN31" s="290"/>
      <c r="NXO31" s="290"/>
      <c r="NXP31" s="290"/>
      <c r="NXQ31" s="290"/>
      <c r="NXR31" s="290"/>
      <c r="NXS31" s="290"/>
      <c r="NXT31" s="290"/>
      <c r="NXU31" s="290"/>
      <c r="NXV31" s="290"/>
      <c r="NXW31" s="290"/>
      <c r="NXX31" s="290"/>
      <c r="NXY31" s="290"/>
      <c r="NXZ31" s="290"/>
      <c r="NYA31" s="290"/>
      <c r="NYB31" s="290"/>
      <c r="NYC31" s="290"/>
      <c r="NYD31" s="290"/>
      <c r="NYE31" s="290"/>
      <c r="NYF31" s="290"/>
      <c r="NYG31" s="290"/>
      <c r="NYH31" s="290"/>
      <c r="NYI31" s="290"/>
      <c r="NYJ31" s="290"/>
      <c r="NYK31" s="290"/>
      <c r="NYL31" s="290"/>
      <c r="NYM31" s="290"/>
      <c r="NYN31" s="290"/>
      <c r="NYO31" s="290"/>
      <c r="NYP31" s="290"/>
      <c r="NYQ31" s="290"/>
      <c r="NYR31" s="290"/>
      <c r="NYS31" s="290"/>
      <c r="NYT31" s="290"/>
      <c r="NYU31" s="290"/>
      <c r="NYV31" s="290"/>
      <c r="NYW31" s="290"/>
      <c r="NYX31" s="290"/>
      <c r="NYY31" s="290"/>
      <c r="NYZ31" s="290"/>
      <c r="NZA31" s="290"/>
      <c r="NZB31" s="290"/>
      <c r="NZC31" s="290"/>
      <c r="NZD31" s="290"/>
      <c r="NZE31" s="290"/>
      <c r="NZF31" s="290"/>
      <c r="NZG31" s="290"/>
      <c r="NZH31" s="290"/>
      <c r="NZI31" s="290"/>
      <c r="NZJ31" s="290"/>
      <c r="NZK31" s="290"/>
      <c r="NZL31" s="290"/>
      <c r="NZM31" s="290"/>
      <c r="NZN31" s="290"/>
      <c r="NZO31" s="290"/>
      <c r="NZP31" s="290"/>
      <c r="NZQ31" s="290"/>
      <c r="NZR31" s="290"/>
      <c r="NZS31" s="290"/>
      <c r="NZT31" s="290"/>
      <c r="NZU31" s="290"/>
      <c r="NZV31" s="290"/>
      <c r="NZW31" s="290"/>
      <c r="NZX31" s="290"/>
      <c r="NZY31" s="290"/>
      <c r="NZZ31" s="290"/>
      <c r="OAA31" s="290"/>
      <c r="OAB31" s="290"/>
      <c r="OAC31" s="290"/>
      <c r="OAD31" s="290"/>
      <c r="OAE31" s="290"/>
      <c r="OAF31" s="290"/>
      <c r="OAG31" s="290"/>
      <c r="OAH31" s="290"/>
      <c r="OAI31" s="290"/>
      <c r="OAJ31" s="290"/>
      <c r="OAK31" s="290"/>
      <c r="OAL31" s="290"/>
      <c r="OAM31" s="290"/>
      <c r="OAN31" s="290"/>
      <c r="OAO31" s="290"/>
      <c r="OAP31" s="290"/>
      <c r="OAQ31" s="290"/>
      <c r="OAR31" s="290"/>
      <c r="OAS31" s="290"/>
      <c r="OAT31" s="290"/>
      <c r="OAU31" s="290"/>
      <c r="OAV31" s="290"/>
      <c r="OAW31" s="290"/>
      <c r="OAX31" s="290"/>
      <c r="OAY31" s="290"/>
      <c r="OAZ31" s="290"/>
      <c r="OBA31" s="290"/>
      <c r="OBB31" s="290"/>
      <c r="OBC31" s="290"/>
      <c r="OBD31" s="290"/>
      <c r="OBE31" s="290"/>
      <c r="OBF31" s="290"/>
      <c r="OBG31" s="290"/>
      <c r="OBH31" s="290"/>
      <c r="OBI31" s="290"/>
      <c r="OBJ31" s="290"/>
      <c r="OBK31" s="290"/>
      <c r="OBL31" s="290"/>
      <c r="OBM31" s="290"/>
      <c r="OBN31" s="290"/>
      <c r="OBO31" s="290"/>
      <c r="OBP31" s="290"/>
      <c r="OBQ31" s="290"/>
      <c r="OBR31" s="290"/>
      <c r="OBS31" s="290"/>
      <c r="OBT31" s="290"/>
      <c r="OBU31" s="290"/>
      <c r="OBV31" s="290"/>
      <c r="OBW31" s="290"/>
      <c r="OBX31" s="290"/>
      <c r="OBY31" s="290"/>
      <c r="OBZ31" s="290"/>
      <c r="OCA31" s="290"/>
      <c r="OCB31" s="290"/>
      <c r="OCC31" s="290"/>
      <c r="OCD31" s="290"/>
      <c r="OCE31" s="290"/>
      <c r="OCF31" s="290"/>
      <c r="OCG31" s="290"/>
      <c r="OCH31" s="290"/>
      <c r="OCI31" s="290"/>
      <c r="OCJ31" s="290"/>
      <c r="OCK31" s="290"/>
      <c r="OCL31" s="290"/>
      <c r="OCM31" s="290"/>
      <c r="OCN31" s="290"/>
      <c r="OCO31" s="290"/>
      <c r="OCP31" s="290"/>
      <c r="OCQ31" s="290"/>
      <c r="OCR31" s="290"/>
      <c r="OCS31" s="290"/>
      <c r="OCT31" s="290"/>
      <c r="OCU31" s="290"/>
      <c r="OCV31" s="290"/>
      <c r="OCW31" s="290"/>
      <c r="OCX31" s="290"/>
      <c r="OCY31" s="290"/>
      <c r="OCZ31" s="290"/>
      <c r="ODA31" s="290"/>
      <c r="ODB31" s="290"/>
      <c r="ODC31" s="290"/>
      <c r="ODD31" s="290"/>
      <c r="ODE31" s="290"/>
      <c r="ODF31" s="290"/>
      <c r="ODG31" s="290"/>
      <c r="ODH31" s="290"/>
      <c r="ODI31" s="290"/>
      <c r="ODJ31" s="290"/>
      <c r="ODK31" s="290"/>
      <c r="ODL31" s="290"/>
      <c r="ODM31" s="290"/>
      <c r="ODN31" s="290"/>
      <c r="ODO31" s="290"/>
      <c r="ODP31" s="290"/>
      <c r="ODQ31" s="290"/>
      <c r="ODR31" s="290"/>
      <c r="ODS31" s="290"/>
      <c r="ODT31" s="290"/>
      <c r="ODU31" s="290"/>
      <c r="ODV31" s="290"/>
      <c r="ODW31" s="290"/>
      <c r="ODX31" s="290"/>
      <c r="ODY31" s="290"/>
      <c r="ODZ31" s="290"/>
      <c r="OEA31" s="290"/>
      <c r="OEB31" s="290"/>
      <c r="OEC31" s="290"/>
      <c r="OED31" s="290"/>
      <c r="OEE31" s="290"/>
      <c r="OEF31" s="290"/>
      <c r="OEG31" s="290"/>
      <c r="OEH31" s="290"/>
      <c r="OEI31" s="290"/>
      <c r="OEJ31" s="290"/>
      <c r="OEK31" s="290"/>
      <c r="OEL31" s="290"/>
      <c r="OEM31" s="290"/>
      <c r="OEN31" s="290"/>
      <c r="OEO31" s="290"/>
      <c r="OEP31" s="290"/>
      <c r="OEQ31" s="290"/>
      <c r="OER31" s="290"/>
      <c r="OES31" s="290"/>
      <c r="OET31" s="290"/>
      <c r="OEU31" s="290"/>
      <c r="OEV31" s="290"/>
      <c r="OEW31" s="290"/>
      <c r="OEX31" s="290"/>
      <c r="OEY31" s="290"/>
      <c r="OEZ31" s="290"/>
      <c r="OFA31" s="290"/>
      <c r="OFB31" s="290"/>
      <c r="OFC31" s="290"/>
      <c r="OFD31" s="290"/>
      <c r="OFE31" s="290"/>
      <c r="OFF31" s="290"/>
      <c r="OFG31" s="290"/>
      <c r="OFH31" s="290"/>
      <c r="OFI31" s="290"/>
      <c r="OFJ31" s="290"/>
      <c r="OFK31" s="290"/>
      <c r="OFL31" s="290"/>
      <c r="OFM31" s="290"/>
      <c r="OFN31" s="290"/>
      <c r="OFO31" s="290"/>
      <c r="OFP31" s="290"/>
      <c r="OFQ31" s="290"/>
      <c r="OFR31" s="290"/>
      <c r="OFS31" s="290"/>
      <c r="OFT31" s="290"/>
      <c r="OFU31" s="290"/>
      <c r="OFV31" s="290"/>
      <c r="OFW31" s="290"/>
      <c r="OFX31" s="290"/>
      <c r="OFY31" s="290"/>
      <c r="OFZ31" s="290"/>
      <c r="OGA31" s="290"/>
      <c r="OGB31" s="290"/>
      <c r="OGC31" s="290"/>
      <c r="OGD31" s="290"/>
      <c r="OGE31" s="290"/>
      <c r="OGF31" s="290"/>
      <c r="OGG31" s="290"/>
      <c r="OGH31" s="290"/>
      <c r="OGI31" s="290"/>
      <c r="OGJ31" s="290"/>
      <c r="OGK31" s="290"/>
      <c r="OGL31" s="290"/>
      <c r="OGM31" s="290"/>
      <c r="OGN31" s="290"/>
      <c r="OGO31" s="290"/>
      <c r="OGP31" s="290"/>
      <c r="OGQ31" s="290"/>
      <c r="OGR31" s="290"/>
      <c r="OGS31" s="290"/>
      <c r="OGT31" s="290"/>
      <c r="OGU31" s="290"/>
      <c r="OGV31" s="290"/>
      <c r="OGW31" s="290"/>
      <c r="OGX31" s="290"/>
      <c r="OGY31" s="290"/>
      <c r="OGZ31" s="290"/>
      <c r="OHA31" s="290"/>
      <c r="OHB31" s="290"/>
      <c r="OHC31" s="290"/>
      <c r="OHD31" s="290"/>
      <c r="OHE31" s="290"/>
      <c r="OHF31" s="290"/>
      <c r="OHG31" s="290"/>
      <c r="OHH31" s="290"/>
      <c r="OHI31" s="290"/>
      <c r="OHJ31" s="290"/>
      <c r="OHK31" s="290"/>
      <c r="OHL31" s="290"/>
      <c r="OHM31" s="290"/>
      <c r="OHN31" s="290"/>
      <c r="OHO31" s="290"/>
      <c r="OHP31" s="290"/>
      <c r="OHQ31" s="290"/>
      <c r="OHR31" s="290"/>
      <c r="OHS31" s="290"/>
      <c r="OHT31" s="290"/>
      <c r="OHU31" s="290"/>
      <c r="OHV31" s="290"/>
      <c r="OHW31" s="290"/>
      <c r="OHX31" s="290"/>
      <c r="OHY31" s="290"/>
      <c r="OHZ31" s="290"/>
      <c r="OIA31" s="290"/>
      <c r="OIB31" s="290"/>
      <c r="OIC31" s="290"/>
      <c r="OID31" s="290"/>
      <c r="OIE31" s="290"/>
      <c r="OIF31" s="290"/>
      <c r="OIG31" s="290"/>
      <c r="OIH31" s="290"/>
      <c r="OII31" s="290"/>
      <c r="OIJ31" s="290"/>
      <c r="OIK31" s="290"/>
      <c r="OIL31" s="290"/>
      <c r="OIM31" s="290"/>
      <c r="OIN31" s="290"/>
      <c r="OIO31" s="290"/>
      <c r="OIP31" s="290"/>
      <c r="OIQ31" s="290"/>
      <c r="OIR31" s="290"/>
      <c r="OIS31" s="290"/>
      <c r="OIT31" s="290"/>
      <c r="OIU31" s="290"/>
      <c r="OIV31" s="290"/>
      <c r="OIW31" s="290"/>
      <c r="OIX31" s="290"/>
      <c r="OIY31" s="290"/>
      <c r="OIZ31" s="290"/>
      <c r="OJA31" s="290"/>
      <c r="OJB31" s="290"/>
      <c r="OJC31" s="290"/>
      <c r="OJD31" s="290"/>
      <c r="OJE31" s="290"/>
      <c r="OJF31" s="290"/>
      <c r="OJG31" s="290"/>
      <c r="OJH31" s="290"/>
      <c r="OJI31" s="290"/>
      <c r="OJJ31" s="290"/>
      <c r="OJK31" s="290"/>
      <c r="OJL31" s="290"/>
      <c r="OJM31" s="290"/>
      <c r="OJN31" s="290"/>
      <c r="OJO31" s="290"/>
      <c r="OJP31" s="290"/>
      <c r="OJQ31" s="290"/>
      <c r="OJR31" s="290"/>
      <c r="OJS31" s="290"/>
      <c r="OJT31" s="290"/>
      <c r="OJU31" s="290"/>
      <c r="OJV31" s="290"/>
      <c r="OJW31" s="290"/>
      <c r="OJX31" s="290"/>
      <c r="OJY31" s="290"/>
      <c r="OJZ31" s="290"/>
      <c r="OKA31" s="290"/>
      <c r="OKB31" s="290"/>
      <c r="OKC31" s="290"/>
      <c r="OKD31" s="290"/>
      <c r="OKE31" s="290"/>
      <c r="OKF31" s="290"/>
      <c r="OKG31" s="290"/>
      <c r="OKH31" s="290"/>
      <c r="OKI31" s="290"/>
      <c r="OKJ31" s="290"/>
      <c r="OKK31" s="290"/>
      <c r="OKL31" s="290"/>
      <c r="OKM31" s="290"/>
      <c r="OKN31" s="290"/>
      <c r="OKO31" s="290"/>
      <c r="OKP31" s="290"/>
      <c r="OKQ31" s="290"/>
      <c r="OKR31" s="290"/>
      <c r="OKS31" s="290"/>
      <c r="OKT31" s="290"/>
      <c r="OKU31" s="290"/>
      <c r="OKV31" s="290"/>
      <c r="OKW31" s="290"/>
      <c r="OKX31" s="290"/>
      <c r="OKY31" s="290"/>
      <c r="OKZ31" s="290"/>
      <c r="OLA31" s="290"/>
      <c r="OLB31" s="290"/>
      <c r="OLC31" s="290"/>
      <c r="OLD31" s="290"/>
      <c r="OLE31" s="290"/>
      <c r="OLF31" s="290"/>
      <c r="OLG31" s="290"/>
      <c r="OLH31" s="290"/>
      <c r="OLI31" s="290"/>
      <c r="OLJ31" s="290"/>
      <c r="OLK31" s="290"/>
      <c r="OLL31" s="290"/>
      <c r="OLM31" s="290"/>
      <c r="OLN31" s="290"/>
      <c r="OLO31" s="290"/>
      <c r="OLP31" s="290"/>
      <c r="OLQ31" s="290"/>
      <c r="OLR31" s="290"/>
      <c r="OLS31" s="290"/>
      <c r="OLT31" s="290"/>
      <c r="OLU31" s="290"/>
      <c r="OLV31" s="290"/>
      <c r="OLW31" s="290"/>
      <c r="OLX31" s="290"/>
      <c r="OLY31" s="290"/>
      <c r="OLZ31" s="290"/>
      <c r="OMA31" s="290"/>
      <c r="OMB31" s="290"/>
      <c r="OMC31" s="290"/>
      <c r="OMD31" s="290"/>
      <c r="OME31" s="290"/>
      <c r="OMF31" s="290"/>
      <c r="OMG31" s="290"/>
      <c r="OMH31" s="290"/>
      <c r="OMI31" s="290"/>
      <c r="OMJ31" s="290"/>
      <c r="OMK31" s="290"/>
      <c r="OML31" s="290"/>
      <c r="OMM31" s="290"/>
      <c r="OMN31" s="290"/>
      <c r="OMO31" s="290"/>
      <c r="OMP31" s="290"/>
      <c r="OMQ31" s="290"/>
      <c r="OMR31" s="290"/>
      <c r="OMS31" s="290"/>
      <c r="OMT31" s="290"/>
      <c r="OMU31" s="290"/>
      <c r="OMV31" s="290"/>
      <c r="OMW31" s="290"/>
      <c r="OMX31" s="290"/>
      <c r="OMY31" s="290"/>
      <c r="OMZ31" s="290"/>
      <c r="ONA31" s="290"/>
      <c r="ONB31" s="290"/>
      <c r="ONC31" s="290"/>
      <c r="OND31" s="290"/>
      <c r="ONE31" s="290"/>
      <c r="ONF31" s="290"/>
      <c r="ONG31" s="290"/>
      <c r="ONH31" s="290"/>
      <c r="ONI31" s="290"/>
      <c r="ONJ31" s="290"/>
      <c r="ONK31" s="290"/>
      <c r="ONL31" s="290"/>
      <c r="ONM31" s="290"/>
      <c r="ONN31" s="290"/>
      <c r="ONO31" s="290"/>
      <c r="ONP31" s="290"/>
      <c r="ONQ31" s="290"/>
      <c r="ONR31" s="290"/>
      <c r="ONS31" s="290"/>
      <c r="ONT31" s="290"/>
      <c r="ONU31" s="290"/>
      <c r="ONV31" s="290"/>
      <c r="ONW31" s="290"/>
      <c r="ONX31" s="290"/>
      <c r="ONY31" s="290"/>
      <c r="ONZ31" s="290"/>
      <c r="OOA31" s="290"/>
      <c r="OOB31" s="290"/>
      <c r="OOC31" s="290"/>
      <c r="OOD31" s="290"/>
      <c r="OOE31" s="290"/>
      <c r="OOF31" s="290"/>
      <c r="OOG31" s="290"/>
      <c r="OOH31" s="290"/>
      <c r="OOI31" s="290"/>
      <c r="OOJ31" s="290"/>
      <c r="OOK31" s="290"/>
      <c r="OOL31" s="290"/>
      <c r="OOM31" s="290"/>
      <c r="OON31" s="290"/>
      <c r="OOO31" s="290"/>
      <c r="OOP31" s="290"/>
      <c r="OOQ31" s="290"/>
      <c r="OOR31" s="290"/>
      <c r="OOS31" s="290"/>
      <c r="OOT31" s="290"/>
      <c r="OOU31" s="290"/>
      <c r="OOV31" s="290"/>
      <c r="OOW31" s="290"/>
      <c r="OOX31" s="290"/>
      <c r="OOY31" s="290"/>
      <c r="OOZ31" s="290"/>
      <c r="OPA31" s="290"/>
      <c r="OPB31" s="290"/>
      <c r="OPC31" s="290"/>
      <c r="OPD31" s="290"/>
      <c r="OPE31" s="290"/>
      <c r="OPF31" s="290"/>
      <c r="OPG31" s="290"/>
      <c r="OPH31" s="290"/>
      <c r="OPI31" s="290"/>
      <c r="OPJ31" s="290"/>
      <c r="OPK31" s="290"/>
      <c r="OPL31" s="290"/>
      <c r="OPM31" s="290"/>
      <c r="OPN31" s="290"/>
      <c r="OPO31" s="290"/>
      <c r="OPP31" s="290"/>
      <c r="OPQ31" s="290"/>
      <c r="OPR31" s="290"/>
      <c r="OPS31" s="290"/>
      <c r="OPT31" s="290"/>
      <c r="OPU31" s="290"/>
      <c r="OPV31" s="290"/>
      <c r="OPW31" s="290"/>
      <c r="OPX31" s="290"/>
      <c r="OPY31" s="290"/>
      <c r="OPZ31" s="290"/>
      <c r="OQA31" s="290"/>
      <c r="OQB31" s="290"/>
      <c r="OQC31" s="290"/>
      <c r="OQD31" s="290"/>
      <c r="OQE31" s="290"/>
      <c r="OQF31" s="290"/>
      <c r="OQG31" s="290"/>
      <c r="OQH31" s="290"/>
      <c r="OQI31" s="290"/>
      <c r="OQJ31" s="290"/>
      <c r="OQK31" s="290"/>
      <c r="OQL31" s="290"/>
      <c r="OQM31" s="290"/>
      <c r="OQN31" s="290"/>
      <c r="OQO31" s="290"/>
      <c r="OQP31" s="290"/>
      <c r="OQQ31" s="290"/>
      <c r="OQR31" s="290"/>
      <c r="OQS31" s="290"/>
      <c r="OQT31" s="290"/>
      <c r="OQU31" s="290"/>
      <c r="OQV31" s="290"/>
      <c r="OQW31" s="290"/>
      <c r="OQX31" s="290"/>
      <c r="OQY31" s="290"/>
      <c r="OQZ31" s="290"/>
      <c r="ORA31" s="290"/>
      <c r="ORB31" s="290"/>
      <c r="ORC31" s="290"/>
      <c r="ORD31" s="290"/>
      <c r="ORE31" s="290"/>
      <c r="ORF31" s="290"/>
      <c r="ORG31" s="290"/>
      <c r="ORH31" s="290"/>
      <c r="ORI31" s="290"/>
      <c r="ORJ31" s="290"/>
      <c r="ORK31" s="290"/>
      <c r="ORL31" s="290"/>
      <c r="ORM31" s="290"/>
      <c r="ORN31" s="290"/>
      <c r="ORO31" s="290"/>
      <c r="ORP31" s="290"/>
      <c r="ORQ31" s="290"/>
      <c r="ORR31" s="290"/>
      <c r="ORS31" s="290"/>
      <c r="ORT31" s="290"/>
      <c r="ORU31" s="290"/>
      <c r="ORV31" s="290"/>
      <c r="ORW31" s="290"/>
      <c r="ORX31" s="290"/>
      <c r="ORY31" s="290"/>
      <c r="ORZ31" s="290"/>
      <c r="OSA31" s="290"/>
      <c r="OSB31" s="290"/>
      <c r="OSC31" s="290"/>
      <c r="OSD31" s="290"/>
      <c r="OSE31" s="290"/>
      <c r="OSF31" s="290"/>
      <c r="OSG31" s="290"/>
      <c r="OSH31" s="290"/>
      <c r="OSI31" s="290"/>
      <c r="OSJ31" s="290"/>
      <c r="OSK31" s="290"/>
      <c r="OSL31" s="290"/>
      <c r="OSM31" s="290"/>
      <c r="OSN31" s="290"/>
      <c r="OSO31" s="290"/>
      <c r="OSP31" s="290"/>
      <c r="OSQ31" s="290"/>
      <c r="OSR31" s="290"/>
      <c r="OSS31" s="290"/>
      <c r="OST31" s="290"/>
      <c r="OSU31" s="290"/>
      <c r="OSV31" s="290"/>
      <c r="OSW31" s="290"/>
      <c r="OSX31" s="290"/>
      <c r="OSY31" s="290"/>
      <c r="OSZ31" s="290"/>
      <c r="OTA31" s="290"/>
      <c r="OTB31" s="290"/>
      <c r="OTC31" s="290"/>
      <c r="OTD31" s="290"/>
      <c r="OTE31" s="290"/>
      <c r="OTF31" s="290"/>
      <c r="OTG31" s="290"/>
      <c r="OTH31" s="290"/>
      <c r="OTI31" s="290"/>
      <c r="OTJ31" s="290"/>
      <c r="OTK31" s="290"/>
      <c r="OTL31" s="290"/>
      <c r="OTM31" s="290"/>
      <c r="OTN31" s="290"/>
      <c r="OTO31" s="290"/>
      <c r="OTP31" s="290"/>
      <c r="OTQ31" s="290"/>
      <c r="OTR31" s="290"/>
      <c r="OTS31" s="290"/>
      <c r="OTT31" s="290"/>
      <c r="OTU31" s="290"/>
      <c r="OTV31" s="290"/>
      <c r="OTW31" s="290"/>
      <c r="OTX31" s="290"/>
      <c r="OTY31" s="290"/>
      <c r="OTZ31" s="290"/>
      <c r="OUA31" s="290"/>
      <c r="OUB31" s="290"/>
      <c r="OUC31" s="290"/>
      <c r="OUD31" s="290"/>
      <c r="OUE31" s="290"/>
      <c r="OUF31" s="290"/>
      <c r="OUG31" s="290"/>
      <c r="OUH31" s="290"/>
      <c r="OUI31" s="290"/>
      <c r="OUJ31" s="290"/>
      <c r="OUK31" s="290"/>
      <c r="OUL31" s="290"/>
      <c r="OUM31" s="290"/>
      <c r="OUN31" s="290"/>
      <c r="OUO31" s="290"/>
      <c r="OUP31" s="290"/>
      <c r="OUQ31" s="290"/>
      <c r="OUR31" s="290"/>
      <c r="OUS31" s="290"/>
      <c r="OUT31" s="290"/>
      <c r="OUU31" s="290"/>
      <c r="OUV31" s="290"/>
      <c r="OUW31" s="290"/>
      <c r="OUX31" s="290"/>
      <c r="OUY31" s="290"/>
      <c r="OUZ31" s="290"/>
      <c r="OVA31" s="290"/>
      <c r="OVB31" s="290"/>
      <c r="OVC31" s="290"/>
      <c r="OVD31" s="290"/>
      <c r="OVE31" s="290"/>
      <c r="OVF31" s="290"/>
      <c r="OVG31" s="290"/>
      <c r="OVH31" s="290"/>
      <c r="OVI31" s="290"/>
      <c r="OVJ31" s="290"/>
      <c r="OVK31" s="290"/>
      <c r="OVL31" s="290"/>
      <c r="OVM31" s="290"/>
      <c r="OVN31" s="290"/>
      <c r="OVO31" s="290"/>
      <c r="OVP31" s="290"/>
      <c r="OVQ31" s="290"/>
      <c r="OVR31" s="290"/>
      <c r="OVS31" s="290"/>
      <c r="OVT31" s="290"/>
      <c r="OVU31" s="290"/>
      <c r="OVV31" s="290"/>
      <c r="OVW31" s="290"/>
      <c r="OVX31" s="290"/>
      <c r="OVY31" s="290"/>
      <c r="OVZ31" s="290"/>
      <c r="OWA31" s="290"/>
      <c r="OWB31" s="290"/>
      <c r="OWC31" s="290"/>
      <c r="OWD31" s="290"/>
      <c r="OWE31" s="290"/>
      <c r="OWF31" s="290"/>
      <c r="OWG31" s="290"/>
      <c r="OWH31" s="290"/>
      <c r="OWI31" s="290"/>
      <c r="OWJ31" s="290"/>
      <c r="OWK31" s="290"/>
      <c r="OWL31" s="290"/>
      <c r="OWM31" s="290"/>
      <c r="OWN31" s="290"/>
      <c r="OWO31" s="290"/>
      <c r="OWP31" s="290"/>
      <c r="OWQ31" s="290"/>
      <c r="OWR31" s="290"/>
      <c r="OWS31" s="290"/>
      <c r="OWT31" s="290"/>
      <c r="OWU31" s="290"/>
      <c r="OWV31" s="290"/>
      <c r="OWW31" s="290"/>
      <c r="OWX31" s="290"/>
      <c r="OWY31" s="290"/>
      <c r="OWZ31" s="290"/>
      <c r="OXA31" s="290"/>
      <c r="OXB31" s="290"/>
      <c r="OXC31" s="290"/>
      <c r="OXD31" s="290"/>
      <c r="OXE31" s="290"/>
      <c r="OXF31" s="290"/>
      <c r="OXG31" s="290"/>
      <c r="OXH31" s="290"/>
      <c r="OXI31" s="290"/>
      <c r="OXJ31" s="290"/>
      <c r="OXK31" s="290"/>
      <c r="OXL31" s="290"/>
      <c r="OXM31" s="290"/>
      <c r="OXN31" s="290"/>
      <c r="OXO31" s="290"/>
      <c r="OXP31" s="290"/>
      <c r="OXQ31" s="290"/>
      <c r="OXR31" s="290"/>
      <c r="OXS31" s="290"/>
      <c r="OXT31" s="290"/>
      <c r="OXU31" s="290"/>
      <c r="OXV31" s="290"/>
      <c r="OXW31" s="290"/>
      <c r="OXX31" s="290"/>
      <c r="OXY31" s="290"/>
      <c r="OXZ31" s="290"/>
      <c r="OYA31" s="290"/>
      <c r="OYB31" s="290"/>
      <c r="OYC31" s="290"/>
      <c r="OYD31" s="290"/>
      <c r="OYE31" s="290"/>
      <c r="OYF31" s="290"/>
      <c r="OYG31" s="290"/>
      <c r="OYH31" s="290"/>
      <c r="OYI31" s="290"/>
      <c r="OYJ31" s="290"/>
      <c r="OYK31" s="290"/>
      <c r="OYL31" s="290"/>
      <c r="OYM31" s="290"/>
      <c r="OYN31" s="290"/>
      <c r="OYO31" s="290"/>
      <c r="OYP31" s="290"/>
      <c r="OYQ31" s="290"/>
      <c r="OYR31" s="290"/>
      <c r="OYS31" s="290"/>
      <c r="OYT31" s="290"/>
      <c r="OYU31" s="290"/>
      <c r="OYV31" s="290"/>
      <c r="OYW31" s="290"/>
      <c r="OYX31" s="290"/>
      <c r="OYY31" s="290"/>
      <c r="OYZ31" s="290"/>
      <c r="OZA31" s="290"/>
      <c r="OZB31" s="290"/>
      <c r="OZC31" s="290"/>
      <c r="OZD31" s="290"/>
      <c r="OZE31" s="290"/>
      <c r="OZF31" s="290"/>
      <c r="OZG31" s="290"/>
      <c r="OZH31" s="290"/>
      <c r="OZI31" s="290"/>
      <c r="OZJ31" s="290"/>
      <c r="OZK31" s="290"/>
      <c r="OZL31" s="290"/>
      <c r="OZM31" s="290"/>
      <c r="OZN31" s="290"/>
      <c r="OZO31" s="290"/>
      <c r="OZP31" s="290"/>
      <c r="OZQ31" s="290"/>
      <c r="OZR31" s="290"/>
      <c r="OZS31" s="290"/>
      <c r="OZT31" s="290"/>
      <c r="OZU31" s="290"/>
      <c r="OZV31" s="290"/>
      <c r="OZW31" s="290"/>
      <c r="OZX31" s="290"/>
      <c r="OZY31" s="290"/>
      <c r="OZZ31" s="290"/>
      <c r="PAA31" s="290"/>
      <c r="PAB31" s="290"/>
      <c r="PAC31" s="290"/>
      <c r="PAD31" s="290"/>
      <c r="PAE31" s="290"/>
      <c r="PAF31" s="290"/>
      <c r="PAG31" s="290"/>
      <c r="PAH31" s="290"/>
      <c r="PAI31" s="290"/>
      <c r="PAJ31" s="290"/>
      <c r="PAK31" s="290"/>
      <c r="PAL31" s="290"/>
      <c r="PAM31" s="290"/>
      <c r="PAN31" s="290"/>
      <c r="PAO31" s="290"/>
      <c r="PAP31" s="290"/>
      <c r="PAQ31" s="290"/>
      <c r="PAR31" s="290"/>
      <c r="PAS31" s="290"/>
      <c r="PAT31" s="290"/>
      <c r="PAU31" s="290"/>
      <c r="PAV31" s="290"/>
      <c r="PAW31" s="290"/>
      <c r="PAX31" s="290"/>
      <c r="PAY31" s="290"/>
      <c r="PAZ31" s="290"/>
      <c r="PBA31" s="290"/>
      <c r="PBB31" s="290"/>
      <c r="PBC31" s="290"/>
      <c r="PBD31" s="290"/>
      <c r="PBE31" s="290"/>
      <c r="PBF31" s="290"/>
      <c r="PBG31" s="290"/>
      <c r="PBH31" s="290"/>
      <c r="PBI31" s="290"/>
      <c r="PBJ31" s="290"/>
      <c r="PBK31" s="290"/>
      <c r="PBL31" s="290"/>
      <c r="PBM31" s="290"/>
      <c r="PBN31" s="290"/>
      <c r="PBO31" s="290"/>
      <c r="PBP31" s="290"/>
      <c r="PBQ31" s="290"/>
      <c r="PBR31" s="290"/>
      <c r="PBS31" s="290"/>
      <c r="PBT31" s="290"/>
      <c r="PBU31" s="290"/>
      <c r="PBV31" s="290"/>
      <c r="PBW31" s="290"/>
      <c r="PBX31" s="290"/>
      <c r="PBY31" s="290"/>
      <c r="PBZ31" s="290"/>
      <c r="PCA31" s="290"/>
      <c r="PCB31" s="290"/>
      <c r="PCC31" s="290"/>
      <c r="PCD31" s="290"/>
      <c r="PCE31" s="290"/>
      <c r="PCF31" s="290"/>
      <c r="PCG31" s="290"/>
      <c r="PCH31" s="290"/>
      <c r="PCI31" s="290"/>
      <c r="PCJ31" s="290"/>
      <c r="PCK31" s="290"/>
      <c r="PCL31" s="290"/>
      <c r="PCM31" s="290"/>
      <c r="PCN31" s="290"/>
      <c r="PCO31" s="290"/>
      <c r="PCP31" s="290"/>
      <c r="PCQ31" s="290"/>
      <c r="PCR31" s="290"/>
      <c r="PCS31" s="290"/>
      <c r="PCT31" s="290"/>
      <c r="PCU31" s="290"/>
      <c r="PCV31" s="290"/>
      <c r="PCW31" s="290"/>
      <c r="PCX31" s="290"/>
      <c r="PCY31" s="290"/>
      <c r="PCZ31" s="290"/>
      <c r="PDA31" s="290"/>
      <c r="PDB31" s="290"/>
      <c r="PDC31" s="290"/>
      <c r="PDD31" s="290"/>
      <c r="PDE31" s="290"/>
      <c r="PDF31" s="290"/>
      <c r="PDG31" s="290"/>
      <c r="PDH31" s="290"/>
      <c r="PDI31" s="290"/>
      <c r="PDJ31" s="290"/>
      <c r="PDK31" s="290"/>
      <c r="PDL31" s="290"/>
      <c r="PDM31" s="290"/>
      <c r="PDN31" s="290"/>
      <c r="PDO31" s="290"/>
      <c r="PDP31" s="290"/>
      <c r="PDQ31" s="290"/>
      <c r="PDR31" s="290"/>
      <c r="PDS31" s="290"/>
      <c r="PDT31" s="290"/>
      <c r="PDU31" s="290"/>
      <c r="PDV31" s="290"/>
      <c r="PDW31" s="290"/>
      <c r="PDX31" s="290"/>
      <c r="PDY31" s="290"/>
      <c r="PDZ31" s="290"/>
      <c r="PEA31" s="290"/>
      <c r="PEB31" s="290"/>
      <c r="PEC31" s="290"/>
      <c r="PED31" s="290"/>
      <c r="PEE31" s="290"/>
      <c r="PEF31" s="290"/>
      <c r="PEG31" s="290"/>
      <c r="PEH31" s="290"/>
      <c r="PEI31" s="290"/>
      <c r="PEJ31" s="290"/>
      <c r="PEK31" s="290"/>
      <c r="PEL31" s="290"/>
      <c r="PEM31" s="290"/>
      <c r="PEN31" s="290"/>
      <c r="PEO31" s="290"/>
      <c r="PEP31" s="290"/>
      <c r="PEQ31" s="290"/>
      <c r="PER31" s="290"/>
      <c r="PES31" s="290"/>
      <c r="PET31" s="290"/>
      <c r="PEU31" s="290"/>
      <c r="PEV31" s="290"/>
      <c r="PEW31" s="290"/>
      <c r="PEX31" s="290"/>
      <c r="PEY31" s="290"/>
      <c r="PEZ31" s="290"/>
      <c r="PFA31" s="290"/>
      <c r="PFB31" s="290"/>
      <c r="PFC31" s="290"/>
      <c r="PFD31" s="290"/>
      <c r="PFE31" s="290"/>
      <c r="PFF31" s="290"/>
      <c r="PFG31" s="290"/>
      <c r="PFH31" s="290"/>
      <c r="PFI31" s="290"/>
      <c r="PFJ31" s="290"/>
      <c r="PFK31" s="290"/>
      <c r="PFL31" s="290"/>
      <c r="PFM31" s="290"/>
      <c r="PFN31" s="290"/>
      <c r="PFO31" s="290"/>
      <c r="PFP31" s="290"/>
      <c r="PFQ31" s="290"/>
      <c r="PFR31" s="290"/>
      <c r="PFS31" s="290"/>
      <c r="PFT31" s="290"/>
      <c r="PFU31" s="290"/>
      <c r="PFV31" s="290"/>
      <c r="PFW31" s="290"/>
      <c r="PFX31" s="290"/>
      <c r="PFY31" s="290"/>
      <c r="PFZ31" s="290"/>
      <c r="PGA31" s="290"/>
      <c r="PGB31" s="290"/>
      <c r="PGC31" s="290"/>
      <c r="PGD31" s="290"/>
      <c r="PGE31" s="290"/>
      <c r="PGF31" s="290"/>
      <c r="PGG31" s="290"/>
      <c r="PGH31" s="290"/>
      <c r="PGI31" s="290"/>
      <c r="PGJ31" s="290"/>
      <c r="PGK31" s="290"/>
      <c r="PGL31" s="290"/>
      <c r="PGM31" s="290"/>
      <c r="PGN31" s="290"/>
      <c r="PGO31" s="290"/>
      <c r="PGP31" s="290"/>
      <c r="PGQ31" s="290"/>
      <c r="PGR31" s="290"/>
      <c r="PGS31" s="290"/>
      <c r="PGT31" s="290"/>
      <c r="PGU31" s="290"/>
      <c r="PGV31" s="290"/>
      <c r="PGW31" s="290"/>
      <c r="PGX31" s="290"/>
      <c r="PGY31" s="290"/>
      <c r="PGZ31" s="290"/>
      <c r="PHA31" s="290"/>
      <c r="PHB31" s="290"/>
      <c r="PHC31" s="290"/>
      <c r="PHD31" s="290"/>
      <c r="PHE31" s="290"/>
      <c r="PHF31" s="290"/>
      <c r="PHG31" s="290"/>
      <c r="PHH31" s="290"/>
      <c r="PHI31" s="290"/>
      <c r="PHJ31" s="290"/>
      <c r="PHK31" s="290"/>
      <c r="PHL31" s="290"/>
      <c r="PHM31" s="290"/>
      <c r="PHN31" s="290"/>
      <c r="PHO31" s="290"/>
      <c r="PHP31" s="290"/>
      <c r="PHQ31" s="290"/>
      <c r="PHR31" s="290"/>
      <c r="PHS31" s="290"/>
      <c r="PHT31" s="290"/>
      <c r="PHU31" s="290"/>
      <c r="PHV31" s="290"/>
      <c r="PHW31" s="290"/>
      <c r="PHX31" s="290"/>
      <c r="PHY31" s="290"/>
      <c r="PHZ31" s="290"/>
      <c r="PIA31" s="290"/>
      <c r="PIB31" s="290"/>
      <c r="PIC31" s="290"/>
      <c r="PID31" s="290"/>
      <c r="PIE31" s="290"/>
      <c r="PIF31" s="290"/>
      <c r="PIG31" s="290"/>
      <c r="PIH31" s="290"/>
      <c r="PII31" s="290"/>
      <c r="PIJ31" s="290"/>
      <c r="PIK31" s="290"/>
      <c r="PIL31" s="290"/>
      <c r="PIM31" s="290"/>
      <c r="PIN31" s="290"/>
      <c r="PIO31" s="290"/>
      <c r="PIP31" s="290"/>
      <c r="PIQ31" s="290"/>
      <c r="PIR31" s="290"/>
      <c r="PIS31" s="290"/>
      <c r="PIT31" s="290"/>
      <c r="PIU31" s="290"/>
      <c r="PIV31" s="290"/>
      <c r="PIW31" s="290"/>
      <c r="PIX31" s="290"/>
      <c r="PIY31" s="290"/>
      <c r="PIZ31" s="290"/>
      <c r="PJA31" s="290"/>
      <c r="PJB31" s="290"/>
      <c r="PJC31" s="290"/>
      <c r="PJD31" s="290"/>
      <c r="PJE31" s="290"/>
      <c r="PJF31" s="290"/>
      <c r="PJG31" s="290"/>
      <c r="PJH31" s="290"/>
      <c r="PJI31" s="290"/>
      <c r="PJJ31" s="290"/>
      <c r="PJK31" s="290"/>
      <c r="PJL31" s="290"/>
      <c r="PJM31" s="290"/>
      <c r="PJN31" s="290"/>
      <c r="PJO31" s="290"/>
      <c r="PJP31" s="290"/>
      <c r="PJQ31" s="290"/>
      <c r="PJR31" s="290"/>
      <c r="PJS31" s="290"/>
      <c r="PJT31" s="290"/>
      <c r="PJU31" s="290"/>
      <c r="PJV31" s="290"/>
      <c r="PJW31" s="290"/>
      <c r="PJX31" s="290"/>
      <c r="PJY31" s="290"/>
      <c r="PJZ31" s="290"/>
      <c r="PKA31" s="290"/>
      <c r="PKB31" s="290"/>
      <c r="PKC31" s="290"/>
      <c r="PKD31" s="290"/>
      <c r="PKE31" s="290"/>
      <c r="PKF31" s="290"/>
      <c r="PKG31" s="290"/>
      <c r="PKH31" s="290"/>
      <c r="PKI31" s="290"/>
      <c r="PKJ31" s="290"/>
      <c r="PKK31" s="290"/>
      <c r="PKL31" s="290"/>
      <c r="PKM31" s="290"/>
      <c r="PKN31" s="290"/>
      <c r="PKO31" s="290"/>
      <c r="PKP31" s="290"/>
      <c r="PKQ31" s="290"/>
      <c r="PKR31" s="290"/>
      <c r="PKS31" s="290"/>
      <c r="PKT31" s="290"/>
      <c r="PKU31" s="290"/>
      <c r="PKV31" s="290"/>
      <c r="PKW31" s="290"/>
      <c r="PKX31" s="290"/>
      <c r="PKY31" s="290"/>
      <c r="PKZ31" s="290"/>
      <c r="PLA31" s="290"/>
      <c r="PLB31" s="290"/>
      <c r="PLC31" s="290"/>
      <c r="PLD31" s="290"/>
      <c r="PLE31" s="290"/>
      <c r="PLF31" s="290"/>
      <c r="PLG31" s="290"/>
      <c r="PLH31" s="290"/>
      <c r="PLI31" s="290"/>
      <c r="PLJ31" s="290"/>
      <c r="PLK31" s="290"/>
      <c r="PLL31" s="290"/>
      <c r="PLM31" s="290"/>
      <c r="PLN31" s="290"/>
      <c r="PLO31" s="290"/>
      <c r="PLP31" s="290"/>
      <c r="PLQ31" s="290"/>
      <c r="PLR31" s="290"/>
      <c r="PLS31" s="290"/>
      <c r="PLT31" s="290"/>
      <c r="PLU31" s="290"/>
      <c r="PLV31" s="290"/>
      <c r="PLW31" s="290"/>
      <c r="PLX31" s="290"/>
      <c r="PLY31" s="290"/>
      <c r="PLZ31" s="290"/>
      <c r="PMA31" s="290"/>
      <c r="PMB31" s="290"/>
      <c r="PMC31" s="290"/>
      <c r="PMD31" s="290"/>
      <c r="PME31" s="290"/>
      <c r="PMF31" s="290"/>
      <c r="PMG31" s="290"/>
      <c r="PMH31" s="290"/>
      <c r="PMI31" s="290"/>
      <c r="PMJ31" s="290"/>
      <c r="PMK31" s="290"/>
      <c r="PML31" s="290"/>
      <c r="PMM31" s="290"/>
      <c r="PMN31" s="290"/>
      <c r="PMO31" s="290"/>
      <c r="PMP31" s="290"/>
      <c r="PMQ31" s="290"/>
      <c r="PMR31" s="290"/>
      <c r="PMS31" s="290"/>
      <c r="PMT31" s="290"/>
      <c r="PMU31" s="290"/>
      <c r="PMV31" s="290"/>
      <c r="PMW31" s="290"/>
      <c r="PMX31" s="290"/>
      <c r="PMY31" s="290"/>
      <c r="PMZ31" s="290"/>
      <c r="PNA31" s="290"/>
      <c r="PNB31" s="290"/>
      <c r="PNC31" s="290"/>
      <c r="PND31" s="290"/>
      <c r="PNE31" s="290"/>
      <c r="PNF31" s="290"/>
      <c r="PNG31" s="290"/>
      <c r="PNH31" s="290"/>
      <c r="PNI31" s="290"/>
      <c r="PNJ31" s="290"/>
      <c r="PNK31" s="290"/>
      <c r="PNL31" s="290"/>
      <c r="PNM31" s="290"/>
      <c r="PNN31" s="290"/>
      <c r="PNO31" s="290"/>
      <c r="PNP31" s="290"/>
      <c r="PNQ31" s="290"/>
      <c r="PNR31" s="290"/>
      <c r="PNS31" s="290"/>
      <c r="PNT31" s="290"/>
      <c r="PNU31" s="290"/>
      <c r="PNV31" s="290"/>
      <c r="PNW31" s="290"/>
      <c r="PNX31" s="290"/>
      <c r="PNY31" s="290"/>
      <c r="PNZ31" s="290"/>
      <c r="POA31" s="290"/>
      <c r="POB31" s="290"/>
      <c r="POC31" s="290"/>
      <c r="POD31" s="290"/>
      <c r="POE31" s="290"/>
      <c r="POF31" s="290"/>
      <c r="POG31" s="290"/>
      <c r="POH31" s="290"/>
      <c r="POI31" s="290"/>
      <c r="POJ31" s="290"/>
      <c r="POK31" s="290"/>
      <c r="POL31" s="290"/>
      <c r="POM31" s="290"/>
      <c r="PON31" s="290"/>
      <c r="POO31" s="290"/>
      <c r="POP31" s="290"/>
      <c r="POQ31" s="290"/>
      <c r="POR31" s="290"/>
      <c r="POS31" s="290"/>
      <c r="POT31" s="290"/>
      <c r="POU31" s="290"/>
      <c r="POV31" s="290"/>
      <c r="POW31" s="290"/>
      <c r="POX31" s="290"/>
      <c r="POY31" s="290"/>
      <c r="POZ31" s="290"/>
      <c r="PPA31" s="290"/>
      <c r="PPB31" s="290"/>
      <c r="PPC31" s="290"/>
      <c r="PPD31" s="290"/>
      <c r="PPE31" s="290"/>
      <c r="PPF31" s="290"/>
      <c r="PPG31" s="290"/>
      <c r="PPH31" s="290"/>
      <c r="PPI31" s="290"/>
      <c r="PPJ31" s="290"/>
      <c r="PPK31" s="290"/>
      <c r="PPL31" s="290"/>
      <c r="PPM31" s="290"/>
      <c r="PPN31" s="290"/>
      <c r="PPO31" s="290"/>
      <c r="PPP31" s="290"/>
      <c r="PPQ31" s="290"/>
      <c r="PPR31" s="290"/>
      <c r="PPS31" s="290"/>
      <c r="PPT31" s="290"/>
      <c r="PPU31" s="290"/>
      <c r="PPV31" s="290"/>
      <c r="PPW31" s="290"/>
      <c r="PPX31" s="290"/>
      <c r="PPY31" s="290"/>
      <c r="PPZ31" s="290"/>
      <c r="PQA31" s="290"/>
      <c r="PQB31" s="290"/>
      <c r="PQC31" s="290"/>
      <c r="PQD31" s="290"/>
      <c r="PQE31" s="290"/>
      <c r="PQF31" s="290"/>
      <c r="PQG31" s="290"/>
      <c r="PQH31" s="290"/>
      <c r="PQI31" s="290"/>
      <c r="PQJ31" s="290"/>
      <c r="PQK31" s="290"/>
      <c r="PQL31" s="290"/>
      <c r="PQM31" s="290"/>
      <c r="PQN31" s="290"/>
      <c r="PQO31" s="290"/>
      <c r="PQP31" s="290"/>
      <c r="PQQ31" s="290"/>
      <c r="PQR31" s="290"/>
      <c r="PQS31" s="290"/>
      <c r="PQT31" s="290"/>
      <c r="PQU31" s="290"/>
      <c r="PQV31" s="290"/>
      <c r="PQW31" s="290"/>
      <c r="PQX31" s="290"/>
      <c r="PQY31" s="290"/>
      <c r="PQZ31" s="290"/>
      <c r="PRA31" s="290"/>
      <c r="PRB31" s="290"/>
      <c r="PRC31" s="290"/>
      <c r="PRD31" s="290"/>
      <c r="PRE31" s="290"/>
      <c r="PRF31" s="290"/>
      <c r="PRG31" s="290"/>
      <c r="PRH31" s="290"/>
      <c r="PRI31" s="290"/>
      <c r="PRJ31" s="290"/>
      <c r="PRK31" s="290"/>
      <c r="PRL31" s="290"/>
      <c r="PRM31" s="290"/>
      <c r="PRN31" s="290"/>
      <c r="PRO31" s="290"/>
      <c r="PRP31" s="290"/>
      <c r="PRQ31" s="290"/>
      <c r="PRR31" s="290"/>
      <c r="PRS31" s="290"/>
      <c r="PRT31" s="290"/>
      <c r="PRU31" s="290"/>
      <c r="PRV31" s="290"/>
      <c r="PRW31" s="290"/>
      <c r="PRX31" s="290"/>
      <c r="PRY31" s="290"/>
      <c r="PRZ31" s="290"/>
      <c r="PSA31" s="290"/>
      <c r="PSB31" s="290"/>
      <c r="PSC31" s="290"/>
      <c r="PSD31" s="290"/>
      <c r="PSE31" s="290"/>
      <c r="PSF31" s="290"/>
      <c r="PSG31" s="290"/>
      <c r="PSH31" s="290"/>
      <c r="PSI31" s="290"/>
      <c r="PSJ31" s="290"/>
      <c r="PSK31" s="290"/>
      <c r="PSL31" s="290"/>
      <c r="PSM31" s="290"/>
      <c r="PSN31" s="290"/>
      <c r="PSO31" s="290"/>
      <c r="PSP31" s="290"/>
      <c r="PSQ31" s="290"/>
      <c r="PSR31" s="290"/>
      <c r="PSS31" s="290"/>
      <c r="PST31" s="290"/>
      <c r="PSU31" s="290"/>
      <c r="PSV31" s="290"/>
      <c r="PSW31" s="290"/>
      <c r="PSX31" s="290"/>
      <c r="PSY31" s="290"/>
      <c r="PSZ31" s="290"/>
      <c r="PTA31" s="290"/>
      <c r="PTB31" s="290"/>
      <c r="PTC31" s="290"/>
      <c r="PTD31" s="290"/>
      <c r="PTE31" s="290"/>
      <c r="PTF31" s="290"/>
      <c r="PTG31" s="290"/>
      <c r="PTH31" s="290"/>
      <c r="PTI31" s="290"/>
      <c r="PTJ31" s="290"/>
      <c r="PTK31" s="290"/>
      <c r="PTL31" s="290"/>
      <c r="PTM31" s="290"/>
      <c r="PTN31" s="290"/>
      <c r="PTO31" s="290"/>
      <c r="PTP31" s="290"/>
      <c r="PTQ31" s="290"/>
      <c r="PTR31" s="290"/>
      <c r="PTS31" s="290"/>
      <c r="PTT31" s="290"/>
      <c r="PTU31" s="290"/>
      <c r="PTV31" s="290"/>
      <c r="PTW31" s="290"/>
      <c r="PTX31" s="290"/>
      <c r="PTY31" s="290"/>
      <c r="PTZ31" s="290"/>
      <c r="PUA31" s="290"/>
      <c r="PUB31" s="290"/>
      <c r="PUC31" s="290"/>
      <c r="PUD31" s="290"/>
      <c r="PUE31" s="290"/>
      <c r="PUF31" s="290"/>
      <c r="PUG31" s="290"/>
      <c r="PUH31" s="290"/>
      <c r="PUI31" s="290"/>
      <c r="PUJ31" s="290"/>
      <c r="PUK31" s="290"/>
      <c r="PUL31" s="290"/>
      <c r="PUM31" s="290"/>
      <c r="PUN31" s="290"/>
      <c r="PUO31" s="290"/>
      <c r="PUP31" s="290"/>
      <c r="PUQ31" s="290"/>
      <c r="PUR31" s="290"/>
      <c r="PUS31" s="290"/>
      <c r="PUT31" s="290"/>
      <c r="PUU31" s="290"/>
      <c r="PUV31" s="290"/>
      <c r="PUW31" s="290"/>
      <c r="PUX31" s="290"/>
      <c r="PUY31" s="290"/>
      <c r="PUZ31" s="290"/>
      <c r="PVA31" s="290"/>
      <c r="PVB31" s="290"/>
      <c r="PVC31" s="290"/>
      <c r="PVD31" s="290"/>
      <c r="PVE31" s="290"/>
      <c r="PVF31" s="290"/>
      <c r="PVG31" s="290"/>
      <c r="PVH31" s="290"/>
      <c r="PVI31" s="290"/>
      <c r="PVJ31" s="290"/>
      <c r="PVK31" s="290"/>
      <c r="PVL31" s="290"/>
      <c r="PVM31" s="290"/>
      <c r="PVN31" s="290"/>
      <c r="PVO31" s="290"/>
      <c r="PVP31" s="290"/>
      <c r="PVQ31" s="290"/>
      <c r="PVR31" s="290"/>
      <c r="PVS31" s="290"/>
      <c r="PVT31" s="290"/>
      <c r="PVU31" s="290"/>
      <c r="PVV31" s="290"/>
      <c r="PVW31" s="290"/>
      <c r="PVX31" s="290"/>
      <c r="PVY31" s="290"/>
      <c r="PVZ31" s="290"/>
      <c r="PWA31" s="290"/>
      <c r="PWB31" s="290"/>
      <c r="PWC31" s="290"/>
      <c r="PWD31" s="290"/>
      <c r="PWE31" s="290"/>
      <c r="PWF31" s="290"/>
      <c r="PWG31" s="290"/>
      <c r="PWH31" s="290"/>
      <c r="PWI31" s="290"/>
      <c r="PWJ31" s="290"/>
      <c r="PWK31" s="290"/>
      <c r="PWL31" s="290"/>
      <c r="PWM31" s="290"/>
      <c r="PWN31" s="290"/>
      <c r="PWO31" s="290"/>
      <c r="PWP31" s="290"/>
      <c r="PWQ31" s="290"/>
      <c r="PWR31" s="290"/>
      <c r="PWS31" s="290"/>
      <c r="PWT31" s="290"/>
      <c r="PWU31" s="290"/>
      <c r="PWV31" s="290"/>
      <c r="PWW31" s="290"/>
      <c r="PWX31" s="290"/>
      <c r="PWY31" s="290"/>
      <c r="PWZ31" s="290"/>
      <c r="PXA31" s="290"/>
      <c r="PXB31" s="290"/>
      <c r="PXC31" s="290"/>
      <c r="PXD31" s="290"/>
      <c r="PXE31" s="290"/>
      <c r="PXF31" s="290"/>
      <c r="PXG31" s="290"/>
      <c r="PXH31" s="290"/>
      <c r="PXI31" s="290"/>
      <c r="PXJ31" s="290"/>
      <c r="PXK31" s="290"/>
      <c r="PXL31" s="290"/>
      <c r="PXM31" s="290"/>
      <c r="PXN31" s="290"/>
      <c r="PXO31" s="290"/>
      <c r="PXP31" s="290"/>
      <c r="PXQ31" s="290"/>
      <c r="PXR31" s="290"/>
      <c r="PXS31" s="290"/>
      <c r="PXT31" s="290"/>
      <c r="PXU31" s="290"/>
      <c r="PXV31" s="290"/>
      <c r="PXW31" s="290"/>
      <c r="PXX31" s="290"/>
      <c r="PXY31" s="290"/>
      <c r="PXZ31" s="290"/>
      <c r="PYA31" s="290"/>
      <c r="PYB31" s="290"/>
      <c r="PYC31" s="290"/>
      <c r="PYD31" s="290"/>
      <c r="PYE31" s="290"/>
      <c r="PYF31" s="290"/>
      <c r="PYG31" s="290"/>
      <c r="PYH31" s="290"/>
      <c r="PYI31" s="290"/>
      <c r="PYJ31" s="290"/>
      <c r="PYK31" s="290"/>
      <c r="PYL31" s="290"/>
      <c r="PYM31" s="290"/>
      <c r="PYN31" s="290"/>
      <c r="PYO31" s="290"/>
      <c r="PYP31" s="290"/>
      <c r="PYQ31" s="290"/>
      <c r="PYR31" s="290"/>
      <c r="PYS31" s="290"/>
      <c r="PYT31" s="290"/>
      <c r="PYU31" s="290"/>
      <c r="PYV31" s="290"/>
      <c r="PYW31" s="290"/>
      <c r="PYX31" s="290"/>
      <c r="PYY31" s="290"/>
      <c r="PYZ31" s="290"/>
      <c r="PZA31" s="290"/>
      <c r="PZB31" s="290"/>
      <c r="PZC31" s="290"/>
      <c r="PZD31" s="290"/>
      <c r="PZE31" s="290"/>
      <c r="PZF31" s="290"/>
      <c r="PZG31" s="290"/>
      <c r="PZH31" s="290"/>
      <c r="PZI31" s="290"/>
      <c r="PZJ31" s="290"/>
      <c r="PZK31" s="290"/>
      <c r="PZL31" s="290"/>
      <c r="PZM31" s="290"/>
      <c r="PZN31" s="290"/>
      <c r="PZO31" s="290"/>
      <c r="PZP31" s="290"/>
      <c r="PZQ31" s="290"/>
      <c r="PZR31" s="290"/>
      <c r="PZS31" s="290"/>
      <c r="PZT31" s="290"/>
      <c r="PZU31" s="290"/>
      <c r="PZV31" s="290"/>
      <c r="PZW31" s="290"/>
      <c r="PZX31" s="290"/>
      <c r="PZY31" s="290"/>
      <c r="PZZ31" s="290"/>
      <c r="QAA31" s="290"/>
      <c r="QAB31" s="290"/>
      <c r="QAC31" s="290"/>
      <c r="QAD31" s="290"/>
      <c r="QAE31" s="290"/>
      <c r="QAF31" s="290"/>
      <c r="QAG31" s="290"/>
      <c r="QAH31" s="290"/>
      <c r="QAI31" s="290"/>
      <c r="QAJ31" s="290"/>
      <c r="QAK31" s="290"/>
      <c r="QAL31" s="290"/>
      <c r="QAM31" s="290"/>
      <c r="QAN31" s="290"/>
      <c r="QAO31" s="290"/>
      <c r="QAP31" s="290"/>
      <c r="QAQ31" s="290"/>
      <c r="QAR31" s="290"/>
      <c r="QAS31" s="290"/>
      <c r="QAT31" s="290"/>
      <c r="QAU31" s="290"/>
      <c r="QAV31" s="290"/>
      <c r="QAW31" s="290"/>
      <c r="QAX31" s="290"/>
      <c r="QAY31" s="290"/>
      <c r="QAZ31" s="290"/>
      <c r="QBA31" s="290"/>
      <c r="QBB31" s="290"/>
      <c r="QBC31" s="290"/>
      <c r="QBD31" s="290"/>
      <c r="QBE31" s="290"/>
      <c r="QBF31" s="290"/>
      <c r="QBG31" s="290"/>
      <c r="QBH31" s="290"/>
      <c r="QBI31" s="290"/>
      <c r="QBJ31" s="290"/>
      <c r="QBK31" s="290"/>
      <c r="QBL31" s="290"/>
      <c r="QBM31" s="290"/>
      <c r="QBN31" s="290"/>
      <c r="QBO31" s="290"/>
      <c r="QBP31" s="290"/>
      <c r="QBQ31" s="290"/>
      <c r="QBR31" s="290"/>
      <c r="QBS31" s="290"/>
      <c r="QBT31" s="290"/>
      <c r="QBU31" s="290"/>
      <c r="QBV31" s="290"/>
      <c r="QBW31" s="290"/>
      <c r="QBX31" s="290"/>
      <c r="QBY31" s="290"/>
      <c r="QBZ31" s="290"/>
      <c r="QCA31" s="290"/>
      <c r="QCB31" s="290"/>
      <c r="QCC31" s="290"/>
      <c r="QCD31" s="290"/>
      <c r="QCE31" s="290"/>
      <c r="QCF31" s="290"/>
      <c r="QCG31" s="290"/>
      <c r="QCH31" s="290"/>
      <c r="QCI31" s="290"/>
      <c r="QCJ31" s="290"/>
      <c r="QCK31" s="290"/>
      <c r="QCL31" s="290"/>
      <c r="QCM31" s="290"/>
      <c r="QCN31" s="290"/>
      <c r="QCO31" s="290"/>
      <c r="QCP31" s="290"/>
      <c r="QCQ31" s="290"/>
      <c r="QCR31" s="290"/>
      <c r="QCS31" s="290"/>
      <c r="QCT31" s="290"/>
      <c r="QCU31" s="290"/>
      <c r="QCV31" s="290"/>
      <c r="QCW31" s="290"/>
      <c r="QCX31" s="290"/>
      <c r="QCY31" s="290"/>
      <c r="QCZ31" s="290"/>
      <c r="QDA31" s="290"/>
      <c r="QDB31" s="290"/>
      <c r="QDC31" s="290"/>
      <c r="QDD31" s="290"/>
      <c r="QDE31" s="290"/>
      <c r="QDF31" s="290"/>
      <c r="QDG31" s="290"/>
      <c r="QDH31" s="290"/>
      <c r="QDI31" s="290"/>
      <c r="QDJ31" s="290"/>
      <c r="QDK31" s="290"/>
      <c r="QDL31" s="290"/>
      <c r="QDM31" s="290"/>
      <c r="QDN31" s="290"/>
      <c r="QDO31" s="290"/>
      <c r="QDP31" s="290"/>
      <c r="QDQ31" s="290"/>
      <c r="QDR31" s="290"/>
      <c r="QDS31" s="290"/>
      <c r="QDT31" s="290"/>
      <c r="QDU31" s="290"/>
      <c r="QDV31" s="290"/>
      <c r="QDW31" s="290"/>
      <c r="QDX31" s="290"/>
      <c r="QDY31" s="290"/>
      <c r="QDZ31" s="290"/>
      <c r="QEA31" s="290"/>
      <c r="QEB31" s="290"/>
      <c r="QEC31" s="290"/>
      <c r="QED31" s="290"/>
      <c r="QEE31" s="290"/>
      <c r="QEF31" s="290"/>
      <c r="QEG31" s="290"/>
      <c r="QEH31" s="290"/>
      <c r="QEI31" s="290"/>
      <c r="QEJ31" s="290"/>
      <c r="QEK31" s="290"/>
      <c r="QEL31" s="290"/>
      <c r="QEM31" s="290"/>
      <c r="QEN31" s="290"/>
      <c r="QEO31" s="290"/>
      <c r="QEP31" s="290"/>
      <c r="QEQ31" s="290"/>
      <c r="QER31" s="290"/>
      <c r="QES31" s="290"/>
      <c r="QET31" s="290"/>
      <c r="QEU31" s="290"/>
      <c r="QEV31" s="290"/>
      <c r="QEW31" s="290"/>
      <c r="QEX31" s="290"/>
      <c r="QEY31" s="290"/>
      <c r="QEZ31" s="290"/>
      <c r="QFA31" s="290"/>
      <c r="QFB31" s="290"/>
      <c r="QFC31" s="290"/>
      <c r="QFD31" s="290"/>
      <c r="QFE31" s="290"/>
      <c r="QFF31" s="290"/>
      <c r="QFG31" s="290"/>
      <c r="QFH31" s="290"/>
      <c r="QFI31" s="290"/>
      <c r="QFJ31" s="290"/>
      <c r="QFK31" s="290"/>
      <c r="QFL31" s="290"/>
      <c r="QFM31" s="290"/>
      <c r="QFN31" s="290"/>
      <c r="QFO31" s="290"/>
      <c r="QFP31" s="290"/>
      <c r="QFQ31" s="290"/>
      <c r="QFR31" s="290"/>
      <c r="QFS31" s="290"/>
      <c r="QFT31" s="290"/>
      <c r="QFU31" s="290"/>
      <c r="QFV31" s="290"/>
      <c r="QFW31" s="290"/>
      <c r="QFX31" s="290"/>
      <c r="QFY31" s="290"/>
      <c r="QFZ31" s="290"/>
      <c r="QGA31" s="290"/>
      <c r="QGB31" s="290"/>
      <c r="QGC31" s="290"/>
      <c r="QGD31" s="290"/>
      <c r="QGE31" s="290"/>
      <c r="QGF31" s="290"/>
      <c r="QGG31" s="290"/>
      <c r="QGH31" s="290"/>
      <c r="QGI31" s="290"/>
      <c r="QGJ31" s="290"/>
      <c r="QGK31" s="290"/>
      <c r="QGL31" s="290"/>
      <c r="QGM31" s="290"/>
      <c r="QGN31" s="290"/>
      <c r="QGO31" s="290"/>
      <c r="QGP31" s="290"/>
      <c r="QGQ31" s="290"/>
      <c r="QGR31" s="290"/>
      <c r="QGS31" s="290"/>
      <c r="QGT31" s="290"/>
      <c r="QGU31" s="290"/>
      <c r="QGV31" s="290"/>
      <c r="QGW31" s="290"/>
      <c r="QGX31" s="290"/>
      <c r="QGY31" s="290"/>
      <c r="QGZ31" s="290"/>
      <c r="QHA31" s="290"/>
      <c r="QHB31" s="290"/>
      <c r="QHC31" s="290"/>
      <c r="QHD31" s="290"/>
      <c r="QHE31" s="290"/>
      <c r="QHF31" s="290"/>
      <c r="QHG31" s="290"/>
      <c r="QHH31" s="290"/>
      <c r="QHI31" s="290"/>
      <c r="QHJ31" s="290"/>
      <c r="QHK31" s="290"/>
      <c r="QHL31" s="290"/>
      <c r="QHM31" s="290"/>
      <c r="QHN31" s="290"/>
      <c r="QHO31" s="290"/>
      <c r="QHP31" s="290"/>
      <c r="QHQ31" s="290"/>
      <c r="QHR31" s="290"/>
      <c r="QHS31" s="290"/>
      <c r="QHT31" s="290"/>
      <c r="QHU31" s="290"/>
      <c r="QHV31" s="290"/>
      <c r="QHW31" s="290"/>
      <c r="QHX31" s="290"/>
      <c r="QHY31" s="290"/>
      <c r="QHZ31" s="290"/>
      <c r="QIA31" s="290"/>
      <c r="QIB31" s="290"/>
      <c r="QIC31" s="290"/>
      <c r="QID31" s="290"/>
      <c r="QIE31" s="290"/>
      <c r="QIF31" s="290"/>
      <c r="QIG31" s="290"/>
      <c r="QIH31" s="290"/>
      <c r="QII31" s="290"/>
      <c r="QIJ31" s="290"/>
      <c r="QIK31" s="290"/>
      <c r="QIL31" s="290"/>
      <c r="QIM31" s="290"/>
      <c r="QIN31" s="290"/>
      <c r="QIO31" s="290"/>
      <c r="QIP31" s="290"/>
      <c r="QIQ31" s="290"/>
      <c r="QIR31" s="290"/>
      <c r="QIS31" s="290"/>
      <c r="QIT31" s="290"/>
      <c r="QIU31" s="290"/>
      <c r="QIV31" s="290"/>
      <c r="QIW31" s="290"/>
      <c r="QIX31" s="290"/>
      <c r="QIY31" s="290"/>
      <c r="QIZ31" s="290"/>
      <c r="QJA31" s="290"/>
      <c r="QJB31" s="290"/>
      <c r="QJC31" s="290"/>
      <c r="QJD31" s="290"/>
      <c r="QJE31" s="290"/>
      <c r="QJF31" s="290"/>
      <c r="QJG31" s="290"/>
      <c r="QJH31" s="290"/>
      <c r="QJI31" s="290"/>
      <c r="QJJ31" s="290"/>
      <c r="QJK31" s="290"/>
      <c r="QJL31" s="290"/>
      <c r="QJM31" s="290"/>
      <c r="QJN31" s="290"/>
      <c r="QJO31" s="290"/>
      <c r="QJP31" s="290"/>
      <c r="QJQ31" s="290"/>
      <c r="QJR31" s="290"/>
      <c r="QJS31" s="290"/>
      <c r="QJT31" s="290"/>
      <c r="QJU31" s="290"/>
      <c r="QJV31" s="290"/>
      <c r="QJW31" s="290"/>
      <c r="QJX31" s="290"/>
      <c r="QJY31" s="290"/>
      <c r="QJZ31" s="290"/>
      <c r="QKA31" s="290"/>
      <c r="QKB31" s="290"/>
      <c r="QKC31" s="290"/>
      <c r="QKD31" s="290"/>
      <c r="QKE31" s="290"/>
      <c r="QKF31" s="290"/>
      <c r="QKG31" s="290"/>
      <c r="QKH31" s="290"/>
      <c r="QKI31" s="290"/>
      <c r="QKJ31" s="290"/>
      <c r="QKK31" s="290"/>
      <c r="QKL31" s="290"/>
      <c r="QKM31" s="290"/>
      <c r="QKN31" s="290"/>
      <c r="QKO31" s="290"/>
      <c r="QKP31" s="290"/>
      <c r="QKQ31" s="290"/>
      <c r="QKR31" s="290"/>
      <c r="QKS31" s="290"/>
      <c r="QKT31" s="290"/>
      <c r="QKU31" s="290"/>
      <c r="QKV31" s="290"/>
      <c r="QKW31" s="290"/>
      <c r="QKX31" s="290"/>
      <c r="QKY31" s="290"/>
      <c r="QKZ31" s="290"/>
      <c r="QLA31" s="290"/>
      <c r="QLB31" s="290"/>
      <c r="QLC31" s="290"/>
      <c r="QLD31" s="290"/>
      <c r="QLE31" s="290"/>
      <c r="QLF31" s="290"/>
      <c r="QLG31" s="290"/>
      <c r="QLH31" s="290"/>
      <c r="QLI31" s="290"/>
      <c r="QLJ31" s="290"/>
      <c r="QLK31" s="290"/>
      <c r="QLL31" s="290"/>
      <c r="QLM31" s="290"/>
      <c r="QLN31" s="290"/>
      <c r="QLO31" s="290"/>
      <c r="QLP31" s="290"/>
      <c r="QLQ31" s="290"/>
      <c r="QLR31" s="290"/>
      <c r="QLS31" s="290"/>
      <c r="QLT31" s="290"/>
      <c r="QLU31" s="290"/>
      <c r="QLV31" s="290"/>
      <c r="QLW31" s="290"/>
      <c r="QLX31" s="290"/>
      <c r="QLY31" s="290"/>
      <c r="QLZ31" s="290"/>
      <c r="QMA31" s="290"/>
      <c r="QMB31" s="290"/>
      <c r="QMC31" s="290"/>
      <c r="QMD31" s="290"/>
      <c r="QME31" s="290"/>
      <c r="QMF31" s="290"/>
      <c r="QMG31" s="290"/>
      <c r="QMH31" s="290"/>
      <c r="QMI31" s="290"/>
      <c r="QMJ31" s="290"/>
      <c r="QMK31" s="290"/>
      <c r="QML31" s="290"/>
      <c r="QMM31" s="290"/>
      <c r="QMN31" s="290"/>
      <c r="QMO31" s="290"/>
      <c r="QMP31" s="290"/>
      <c r="QMQ31" s="290"/>
      <c r="QMR31" s="290"/>
      <c r="QMS31" s="290"/>
      <c r="QMT31" s="290"/>
      <c r="QMU31" s="290"/>
      <c r="QMV31" s="290"/>
      <c r="QMW31" s="290"/>
      <c r="QMX31" s="290"/>
      <c r="QMY31" s="290"/>
      <c r="QMZ31" s="290"/>
      <c r="QNA31" s="290"/>
      <c r="QNB31" s="290"/>
      <c r="QNC31" s="290"/>
      <c r="QND31" s="290"/>
      <c r="QNE31" s="290"/>
      <c r="QNF31" s="290"/>
      <c r="QNG31" s="290"/>
      <c r="QNH31" s="290"/>
      <c r="QNI31" s="290"/>
      <c r="QNJ31" s="290"/>
      <c r="QNK31" s="290"/>
      <c r="QNL31" s="290"/>
      <c r="QNM31" s="290"/>
      <c r="QNN31" s="290"/>
      <c r="QNO31" s="290"/>
      <c r="QNP31" s="290"/>
      <c r="QNQ31" s="290"/>
      <c r="QNR31" s="290"/>
      <c r="QNS31" s="290"/>
      <c r="QNT31" s="290"/>
      <c r="QNU31" s="290"/>
      <c r="QNV31" s="290"/>
      <c r="QNW31" s="290"/>
      <c r="QNX31" s="290"/>
      <c r="QNY31" s="290"/>
      <c r="QNZ31" s="290"/>
      <c r="QOA31" s="290"/>
      <c r="QOB31" s="290"/>
      <c r="QOC31" s="290"/>
      <c r="QOD31" s="290"/>
      <c r="QOE31" s="290"/>
      <c r="QOF31" s="290"/>
      <c r="QOG31" s="290"/>
      <c r="QOH31" s="290"/>
      <c r="QOI31" s="290"/>
      <c r="QOJ31" s="290"/>
      <c r="QOK31" s="290"/>
      <c r="QOL31" s="290"/>
      <c r="QOM31" s="290"/>
      <c r="QON31" s="290"/>
      <c r="QOO31" s="290"/>
      <c r="QOP31" s="290"/>
      <c r="QOQ31" s="290"/>
      <c r="QOR31" s="290"/>
      <c r="QOS31" s="290"/>
      <c r="QOT31" s="290"/>
      <c r="QOU31" s="290"/>
      <c r="QOV31" s="290"/>
      <c r="QOW31" s="290"/>
      <c r="QOX31" s="290"/>
      <c r="QOY31" s="290"/>
      <c r="QOZ31" s="290"/>
      <c r="QPA31" s="290"/>
      <c r="QPB31" s="290"/>
      <c r="QPC31" s="290"/>
      <c r="QPD31" s="290"/>
      <c r="QPE31" s="290"/>
      <c r="QPF31" s="290"/>
      <c r="QPG31" s="290"/>
      <c r="QPH31" s="290"/>
      <c r="QPI31" s="290"/>
      <c r="QPJ31" s="290"/>
      <c r="QPK31" s="290"/>
      <c r="QPL31" s="290"/>
      <c r="QPM31" s="290"/>
      <c r="QPN31" s="290"/>
      <c r="QPO31" s="290"/>
      <c r="QPP31" s="290"/>
      <c r="QPQ31" s="290"/>
      <c r="QPR31" s="290"/>
      <c r="QPS31" s="290"/>
      <c r="QPT31" s="290"/>
      <c r="QPU31" s="290"/>
      <c r="QPV31" s="290"/>
      <c r="QPW31" s="290"/>
      <c r="QPX31" s="290"/>
      <c r="QPY31" s="290"/>
      <c r="QPZ31" s="290"/>
      <c r="QQA31" s="290"/>
      <c r="QQB31" s="290"/>
      <c r="QQC31" s="290"/>
      <c r="QQD31" s="290"/>
      <c r="QQE31" s="290"/>
      <c r="QQF31" s="290"/>
      <c r="QQG31" s="290"/>
      <c r="QQH31" s="290"/>
      <c r="QQI31" s="290"/>
      <c r="QQJ31" s="290"/>
      <c r="QQK31" s="290"/>
      <c r="QQL31" s="290"/>
      <c r="QQM31" s="290"/>
      <c r="QQN31" s="290"/>
      <c r="QQO31" s="290"/>
      <c r="QQP31" s="290"/>
      <c r="QQQ31" s="290"/>
      <c r="QQR31" s="290"/>
      <c r="QQS31" s="290"/>
      <c r="QQT31" s="290"/>
      <c r="QQU31" s="290"/>
      <c r="QQV31" s="290"/>
      <c r="QQW31" s="290"/>
      <c r="QQX31" s="290"/>
      <c r="QQY31" s="290"/>
      <c r="QQZ31" s="290"/>
      <c r="QRA31" s="290"/>
      <c r="QRB31" s="290"/>
      <c r="QRC31" s="290"/>
      <c r="QRD31" s="290"/>
      <c r="QRE31" s="290"/>
      <c r="QRF31" s="290"/>
      <c r="QRG31" s="290"/>
      <c r="QRH31" s="290"/>
      <c r="QRI31" s="290"/>
      <c r="QRJ31" s="290"/>
      <c r="QRK31" s="290"/>
      <c r="QRL31" s="290"/>
      <c r="QRM31" s="290"/>
      <c r="QRN31" s="290"/>
      <c r="QRO31" s="290"/>
      <c r="QRP31" s="290"/>
      <c r="QRQ31" s="290"/>
      <c r="QRR31" s="290"/>
      <c r="QRS31" s="290"/>
      <c r="QRT31" s="290"/>
      <c r="QRU31" s="290"/>
      <c r="QRV31" s="290"/>
      <c r="QRW31" s="290"/>
      <c r="QRX31" s="290"/>
      <c r="QRY31" s="290"/>
      <c r="QRZ31" s="290"/>
      <c r="QSA31" s="290"/>
      <c r="QSB31" s="290"/>
      <c r="QSC31" s="290"/>
      <c r="QSD31" s="290"/>
      <c r="QSE31" s="290"/>
      <c r="QSF31" s="290"/>
      <c r="QSG31" s="290"/>
      <c r="QSH31" s="290"/>
      <c r="QSI31" s="290"/>
      <c r="QSJ31" s="290"/>
      <c r="QSK31" s="290"/>
      <c r="QSL31" s="290"/>
      <c r="QSM31" s="290"/>
      <c r="QSN31" s="290"/>
      <c r="QSO31" s="290"/>
      <c r="QSP31" s="290"/>
      <c r="QSQ31" s="290"/>
      <c r="QSR31" s="290"/>
      <c r="QSS31" s="290"/>
      <c r="QST31" s="290"/>
      <c r="QSU31" s="290"/>
      <c r="QSV31" s="290"/>
      <c r="QSW31" s="290"/>
      <c r="QSX31" s="290"/>
      <c r="QSY31" s="290"/>
      <c r="QSZ31" s="290"/>
      <c r="QTA31" s="290"/>
      <c r="QTB31" s="290"/>
      <c r="QTC31" s="290"/>
      <c r="QTD31" s="290"/>
      <c r="QTE31" s="290"/>
      <c r="QTF31" s="290"/>
      <c r="QTG31" s="290"/>
      <c r="QTH31" s="290"/>
      <c r="QTI31" s="290"/>
      <c r="QTJ31" s="290"/>
      <c r="QTK31" s="290"/>
      <c r="QTL31" s="290"/>
      <c r="QTM31" s="290"/>
      <c r="QTN31" s="290"/>
      <c r="QTO31" s="290"/>
      <c r="QTP31" s="290"/>
      <c r="QTQ31" s="290"/>
      <c r="QTR31" s="290"/>
      <c r="QTS31" s="290"/>
      <c r="QTT31" s="290"/>
      <c r="QTU31" s="290"/>
      <c r="QTV31" s="290"/>
      <c r="QTW31" s="290"/>
      <c r="QTX31" s="290"/>
      <c r="QTY31" s="290"/>
      <c r="QTZ31" s="290"/>
      <c r="QUA31" s="290"/>
      <c r="QUB31" s="290"/>
      <c r="QUC31" s="290"/>
      <c r="QUD31" s="290"/>
      <c r="QUE31" s="290"/>
      <c r="QUF31" s="290"/>
      <c r="QUG31" s="290"/>
      <c r="QUH31" s="290"/>
      <c r="QUI31" s="290"/>
      <c r="QUJ31" s="290"/>
      <c r="QUK31" s="290"/>
      <c r="QUL31" s="290"/>
      <c r="QUM31" s="290"/>
      <c r="QUN31" s="290"/>
      <c r="QUO31" s="290"/>
      <c r="QUP31" s="290"/>
      <c r="QUQ31" s="290"/>
      <c r="QUR31" s="290"/>
      <c r="QUS31" s="290"/>
      <c r="QUT31" s="290"/>
      <c r="QUU31" s="290"/>
      <c r="QUV31" s="290"/>
      <c r="QUW31" s="290"/>
      <c r="QUX31" s="290"/>
      <c r="QUY31" s="290"/>
      <c r="QUZ31" s="290"/>
      <c r="QVA31" s="290"/>
      <c r="QVB31" s="290"/>
      <c r="QVC31" s="290"/>
      <c r="QVD31" s="290"/>
      <c r="QVE31" s="290"/>
      <c r="QVF31" s="290"/>
      <c r="QVG31" s="290"/>
      <c r="QVH31" s="290"/>
      <c r="QVI31" s="290"/>
      <c r="QVJ31" s="290"/>
      <c r="QVK31" s="290"/>
      <c r="QVL31" s="290"/>
      <c r="QVM31" s="290"/>
      <c r="QVN31" s="290"/>
      <c r="QVO31" s="290"/>
      <c r="QVP31" s="290"/>
      <c r="QVQ31" s="290"/>
      <c r="QVR31" s="290"/>
      <c r="QVS31" s="290"/>
      <c r="QVT31" s="290"/>
      <c r="QVU31" s="290"/>
      <c r="QVV31" s="290"/>
      <c r="QVW31" s="290"/>
      <c r="QVX31" s="290"/>
      <c r="QVY31" s="290"/>
      <c r="QVZ31" s="290"/>
      <c r="QWA31" s="290"/>
      <c r="QWB31" s="290"/>
      <c r="QWC31" s="290"/>
      <c r="QWD31" s="290"/>
      <c r="QWE31" s="290"/>
      <c r="QWF31" s="290"/>
      <c r="QWG31" s="290"/>
      <c r="QWH31" s="290"/>
      <c r="QWI31" s="290"/>
      <c r="QWJ31" s="290"/>
      <c r="QWK31" s="290"/>
      <c r="QWL31" s="290"/>
      <c r="QWM31" s="290"/>
      <c r="QWN31" s="290"/>
      <c r="QWO31" s="290"/>
      <c r="QWP31" s="290"/>
      <c r="QWQ31" s="290"/>
      <c r="QWR31" s="290"/>
      <c r="QWS31" s="290"/>
      <c r="QWT31" s="290"/>
      <c r="QWU31" s="290"/>
      <c r="QWV31" s="290"/>
      <c r="QWW31" s="290"/>
      <c r="QWX31" s="290"/>
      <c r="QWY31" s="290"/>
      <c r="QWZ31" s="290"/>
      <c r="QXA31" s="290"/>
      <c r="QXB31" s="290"/>
      <c r="QXC31" s="290"/>
      <c r="QXD31" s="290"/>
      <c r="QXE31" s="290"/>
      <c r="QXF31" s="290"/>
      <c r="QXG31" s="290"/>
      <c r="QXH31" s="290"/>
      <c r="QXI31" s="290"/>
      <c r="QXJ31" s="290"/>
      <c r="QXK31" s="290"/>
      <c r="QXL31" s="290"/>
      <c r="QXM31" s="290"/>
      <c r="QXN31" s="290"/>
      <c r="QXO31" s="290"/>
      <c r="QXP31" s="290"/>
      <c r="QXQ31" s="290"/>
      <c r="QXR31" s="290"/>
      <c r="QXS31" s="290"/>
      <c r="QXT31" s="290"/>
      <c r="QXU31" s="290"/>
      <c r="QXV31" s="290"/>
      <c r="QXW31" s="290"/>
      <c r="QXX31" s="290"/>
      <c r="QXY31" s="290"/>
      <c r="QXZ31" s="290"/>
      <c r="QYA31" s="290"/>
      <c r="QYB31" s="290"/>
      <c r="QYC31" s="290"/>
      <c r="QYD31" s="290"/>
      <c r="QYE31" s="290"/>
      <c r="QYF31" s="290"/>
      <c r="QYG31" s="290"/>
      <c r="QYH31" s="290"/>
      <c r="QYI31" s="290"/>
      <c r="QYJ31" s="290"/>
      <c r="QYK31" s="290"/>
      <c r="QYL31" s="290"/>
      <c r="QYM31" s="290"/>
      <c r="QYN31" s="290"/>
      <c r="QYO31" s="290"/>
      <c r="QYP31" s="290"/>
      <c r="QYQ31" s="290"/>
      <c r="QYR31" s="290"/>
      <c r="QYS31" s="290"/>
      <c r="QYT31" s="290"/>
      <c r="QYU31" s="290"/>
      <c r="QYV31" s="290"/>
      <c r="QYW31" s="290"/>
      <c r="QYX31" s="290"/>
      <c r="QYY31" s="290"/>
      <c r="QYZ31" s="290"/>
      <c r="QZA31" s="290"/>
      <c r="QZB31" s="290"/>
      <c r="QZC31" s="290"/>
      <c r="QZD31" s="290"/>
      <c r="QZE31" s="290"/>
      <c r="QZF31" s="290"/>
      <c r="QZG31" s="290"/>
      <c r="QZH31" s="290"/>
      <c r="QZI31" s="290"/>
      <c r="QZJ31" s="290"/>
      <c r="QZK31" s="290"/>
      <c r="QZL31" s="290"/>
      <c r="QZM31" s="290"/>
      <c r="QZN31" s="290"/>
      <c r="QZO31" s="290"/>
      <c r="QZP31" s="290"/>
      <c r="QZQ31" s="290"/>
      <c r="QZR31" s="290"/>
      <c r="QZS31" s="290"/>
      <c r="QZT31" s="290"/>
      <c r="QZU31" s="290"/>
      <c r="QZV31" s="290"/>
      <c r="QZW31" s="290"/>
      <c r="QZX31" s="290"/>
      <c r="QZY31" s="290"/>
      <c r="QZZ31" s="290"/>
      <c r="RAA31" s="290"/>
      <c r="RAB31" s="290"/>
      <c r="RAC31" s="290"/>
      <c r="RAD31" s="290"/>
      <c r="RAE31" s="290"/>
      <c r="RAF31" s="290"/>
      <c r="RAG31" s="290"/>
      <c r="RAH31" s="290"/>
      <c r="RAI31" s="290"/>
      <c r="RAJ31" s="290"/>
      <c r="RAK31" s="290"/>
      <c r="RAL31" s="290"/>
      <c r="RAM31" s="290"/>
      <c r="RAN31" s="290"/>
      <c r="RAO31" s="290"/>
      <c r="RAP31" s="290"/>
      <c r="RAQ31" s="290"/>
      <c r="RAR31" s="290"/>
      <c r="RAS31" s="290"/>
      <c r="RAT31" s="290"/>
      <c r="RAU31" s="290"/>
      <c r="RAV31" s="290"/>
      <c r="RAW31" s="290"/>
      <c r="RAX31" s="290"/>
      <c r="RAY31" s="290"/>
      <c r="RAZ31" s="290"/>
      <c r="RBA31" s="290"/>
      <c r="RBB31" s="290"/>
      <c r="RBC31" s="290"/>
      <c r="RBD31" s="290"/>
      <c r="RBE31" s="290"/>
      <c r="RBF31" s="290"/>
      <c r="RBG31" s="290"/>
      <c r="RBH31" s="290"/>
      <c r="RBI31" s="290"/>
      <c r="RBJ31" s="290"/>
      <c r="RBK31" s="290"/>
      <c r="RBL31" s="290"/>
      <c r="RBM31" s="290"/>
      <c r="RBN31" s="290"/>
      <c r="RBO31" s="290"/>
      <c r="RBP31" s="290"/>
      <c r="RBQ31" s="290"/>
      <c r="RBR31" s="290"/>
      <c r="RBS31" s="290"/>
      <c r="RBT31" s="290"/>
      <c r="RBU31" s="290"/>
      <c r="RBV31" s="290"/>
      <c r="RBW31" s="290"/>
      <c r="RBX31" s="290"/>
      <c r="RBY31" s="290"/>
      <c r="RBZ31" s="290"/>
      <c r="RCA31" s="290"/>
      <c r="RCB31" s="290"/>
      <c r="RCC31" s="290"/>
      <c r="RCD31" s="290"/>
      <c r="RCE31" s="290"/>
      <c r="RCF31" s="290"/>
      <c r="RCG31" s="290"/>
      <c r="RCH31" s="290"/>
      <c r="RCI31" s="290"/>
      <c r="RCJ31" s="290"/>
      <c r="RCK31" s="290"/>
      <c r="RCL31" s="290"/>
      <c r="RCM31" s="290"/>
      <c r="RCN31" s="290"/>
      <c r="RCO31" s="290"/>
      <c r="RCP31" s="290"/>
      <c r="RCQ31" s="290"/>
      <c r="RCR31" s="290"/>
      <c r="RCS31" s="290"/>
      <c r="RCT31" s="290"/>
      <c r="RCU31" s="290"/>
      <c r="RCV31" s="290"/>
      <c r="RCW31" s="290"/>
      <c r="RCX31" s="290"/>
      <c r="RCY31" s="290"/>
      <c r="RCZ31" s="290"/>
      <c r="RDA31" s="290"/>
      <c r="RDB31" s="290"/>
      <c r="RDC31" s="290"/>
      <c r="RDD31" s="290"/>
      <c r="RDE31" s="290"/>
      <c r="RDF31" s="290"/>
      <c r="RDG31" s="290"/>
      <c r="RDH31" s="290"/>
      <c r="RDI31" s="290"/>
      <c r="RDJ31" s="290"/>
      <c r="RDK31" s="290"/>
      <c r="RDL31" s="290"/>
      <c r="RDM31" s="290"/>
      <c r="RDN31" s="290"/>
      <c r="RDO31" s="290"/>
      <c r="RDP31" s="290"/>
      <c r="RDQ31" s="290"/>
      <c r="RDR31" s="290"/>
      <c r="RDS31" s="290"/>
      <c r="RDT31" s="290"/>
      <c r="RDU31" s="290"/>
      <c r="RDV31" s="290"/>
      <c r="RDW31" s="290"/>
      <c r="RDX31" s="290"/>
      <c r="RDY31" s="290"/>
      <c r="RDZ31" s="290"/>
      <c r="REA31" s="290"/>
      <c r="REB31" s="290"/>
      <c r="REC31" s="290"/>
      <c r="RED31" s="290"/>
      <c r="REE31" s="290"/>
      <c r="REF31" s="290"/>
      <c r="REG31" s="290"/>
      <c r="REH31" s="290"/>
      <c r="REI31" s="290"/>
      <c r="REJ31" s="290"/>
      <c r="REK31" s="290"/>
      <c r="REL31" s="290"/>
      <c r="REM31" s="290"/>
      <c r="REN31" s="290"/>
      <c r="REO31" s="290"/>
      <c r="REP31" s="290"/>
      <c r="REQ31" s="290"/>
      <c r="RER31" s="290"/>
      <c r="RES31" s="290"/>
      <c r="RET31" s="290"/>
      <c r="REU31" s="290"/>
      <c r="REV31" s="290"/>
      <c r="REW31" s="290"/>
      <c r="REX31" s="290"/>
      <c r="REY31" s="290"/>
      <c r="REZ31" s="290"/>
      <c r="RFA31" s="290"/>
      <c r="RFB31" s="290"/>
      <c r="RFC31" s="290"/>
      <c r="RFD31" s="290"/>
      <c r="RFE31" s="290"/>
      <c r="RFF31" s="290"/>
      <c r="RFG31" s="290"/>
      <c r="RFH31" s="290"/>
      <c r="RFI31" s="290"/>
      <c r="RFJ31" s="290"/>
      <c r="RFK31" s="290"/>
      <c r="RFL31" s="290"/>
      <c r="RFM31" s="290"/>
      <c r="RFN31" s="290"/>
      <c r="RFO31" s="290"/>
      <c r="RFP31" s="290"/>
      <c r="RFQ31" s="290"/>
      <c r="RFR31" s="290"/>
      <c r="RFS31" s="290"/>
      <c r="RFT31" s="290"/>
      <c r="RFU31" s="290"/>
      <c r="RFV31" s="290"/>
      <c r="RFW31" s="290"/>
      <c r="RFX31" s="290"/>
      <c r="RFY31" s="290"/>
      <c r="RFZ31" s="290"/>
      <c r="RGA31" s="290"/>
      <c r="RGB31" s="290"/>
      <c r="RGC31" s="290"/>
      <c r="RGD31" s="290"/>
      <c r="RGE31" s="290"/>
      <c r="RGF31" s="290"/>
      <c r="RGG31" s="290"/>
      <c r="RGH31" s="290"/>
      <c r="RGI31" s="290"/>
      <c r="RGJ31" s="290"/>
      <c r="RGK31" s="290"/>
      <c r="RGL31" s="290"/>
      <c r="RGM31" s="290"/>
      <c r="RGN31" s="290"/>
      <c r="RGO31" s="290"/>
      <c r="RGP31" s="290"/>
      <c r="RGQ31" s="290"/>
      <c r="RGR31" s="290"/>
      <c r="RGS31" s="290"/>
      <c r="RGT31" s="290"/>
      <c r="RGU31" s="290"/>
      <c r="RGV31" s="290"/>
      <c r="RGW31" s="290"/>
      <c r="RGX31" s="290"/>
      <c r="RGY31" s="290"/>
      <c r="RGZ31" s="290"/>
      <c r="RHA31" s="290"/>
      <c r="RHB31" s="290"/>
      <c r="RHC31" s="290"/>
      <c r="RHD31" s="290"/>
      <c r="RHE31" s="290"/>
      <c r="RHF31" s="290"/>
      <c r="RHG31" s="290"/>
      <c r="RHH31" s="290"/>
      <c r="RHI31" s="290"/>
      <c r="RHJ31" s="290"/>
      <c r="RHK31" s="290"/>
      <c r="RHL31" s="290"/>
      <c r="RHM31" s="290"/>
      <c r="RHN31" s="290"/>
      <c r="RHO31" s="290"/>
      <c r="RHP31" s="290"/>
      <c r="RHQ31" s="290"/>
      <c r="RHR31" s="290"/>
      <c r="RHS31" s="290"/>
      <c r="RHT31" s="290"/>
      <c r="RHU31" s="290"/>
      <c r="RHV31" s="290"/>
      <c r="RHW31" s="290"/>
      <c r="RHX31" s="290"/>
      <c r="RHY31" s="290"/>
      <c r="RHZ31" s="290"/>
      <c r="RIA31" s="290"/>
      <c r="RIB31" s="290"/>
      <c r="RIC31" s="290"/>
      <c r="RID31" s="290"/>
      <c r="RIE31" s="290"/>
      <c r="RIF31" s="290"/>
      <c r="RIG31" s="290"/>
      <c r="RIH31" s="290"/>
      <c r="RII31" s="290"/>
      <c r="RIJ31" s="290"/>
      <c r="RIK31" s="290"/>
      <c r="RIL31" s="290"/>
      <c r="RIM31" s="290"/>
      <c r="RIN31" s="290"/>
      <c r="RIO31" s="290"/>
      <c r="RIP31" s="290"/>
      <c r="RIQ31" s="290"/>
      <c r="RIR31" s="290"/>
      <c r="RIS31" s="290"/>
      <c r="RIT31" s="290"/>
      <c r="RIU31" s="290"/>
      <c r="RIV31" s="290"/>
      <c r="RIW31" s="290"/>
      <c r="RIX31" s="290"/>
      <c r="RIY31" s="290"/>
      <c r="RIZ31" s="290"/>
      <c r="RJA31" s="290"/>
      <c r="RJB31" s="290"/>
      <c r="RJC31" s="290"/>
      <c r="RJD31" s="290"/>
      <c r="RJE31" s="290"/>
      <c r="RJF31" s="290"/>
      <c r="RJG31" s="290"/>
      <c r="RJH31" s="290"/>
      <c r="RJI31" s="290"/>
      <c r="RJJ31" s="290"/>
      <c r="RJK31" s="290"/>
      <c r="RJL31" s="290"/>
      <c r="RJM31" s="290"/>
      <c r="RJN31" s="290"/>
      <c r="RJO31" s="290"/>
      <c r="RJP31" s="290"/>
      <c r="RJQ31" s="290"/>
      <c r="RJR31" s="290"/>
      <c r="RJS31" s="290"/>
      <c r="RJT31" s="290"/>
      <c r="RJU31" s="290"/>
      <c r="RJV31" s="290"/>
      <c r="RJW31" s="290"/>
      <c r="RJX31" s="290"/>
      <c r="RJY31" s="290"/>
      <c r="RJZ31" s="290"/>
      <c r="RKA31" s="290"/>
      <c r="RKB31" s="290"/>
      <c r="RKC31" s="290"/>
      <c r="RKD31" s="290"/>
      <c r="RKE31" s="290"/>
      <c r="RKF31" s="290"/>
      <c r="RKG31" s="290"/>
      <c r="RKH31" s="290"/>
      <c r="RKI31" s="290"/>
      <c r="RKJ31" s="290"/>
      <c r="RKK31" s="290"/>
      <c r="RKL31" s="290"/>
      <c r="RKM31" s="290"/>
      <c r="RKN31" s="290"/>
      <c r="RKO31" s="290"/>
      <c r="RKP31" s="290"/>
      <c r="RKQ31" s="290"/>
      <c r="RKR31" s="290"/>
      <c r="RKS31" s="290"/>
      <c r="RKT31" s="290"/>
      <c r="RKU31" s="290"/>
      <c r="RKV31" s="290"/>
      <c r="RKW31" s="290"/>
      <c r="RKX31" s="290"/>
      <c r="RKY31" s="290"/>
      <c r="RKZ31" s="290"/>
      <c r="RLA31" s="290"/>
      <c r="RLB31" s="290"/>
      <c r="RLC31" s="290"/>
      <c r="RLD31" s="290"/>
      <c r="RLE31" s="290"/>
      <c r="RLF31" s="290"/>
      <c r="RLG31" s="290"/>
      <c r="RLH31" s="290"/>
      <c r="RLI31" s="290"/>
      <c r="RLJ31" s="290"/>
      <c r="RLK31" s="290"/>
      <c r="RLL31" s="290"/>
      <c r="RLM31" s="290"/>
      <c r="RLN31" s="290"/>
      <c r="RLO31" s="290"/>
      <c r="RLP31" s="290"/>
      <c r="RLQ31" s="290"/>
      <c r="RLR31" s="290"/>
      <c r="RLS31" s="290"/>
      <c r="RLT31" s="290"/>
      <c r="RLU31" s="290"/>
      <c r="RLV31" s="290"/>
      <c r="RLW31" s="290"/>
      <c r="RLX31" s="290"/>
      <c r="RLY31" s="290"/>
      <c r="RLZ31" s="290"/>
      <c r="RMA31" s="290"/>
      <c r="RMB31" s="290"/>
      <c r="RMC31" s="290"/>
      <c r="RMD31" s="290"/>
      <c r="RME31" s="290"/>
      <c r="RMF31" s="290"/>
      <c r="RMG31" s="290"/>
      <c r="RMH31" s="290"/>
      <c r="RMI31" s="290"/>
      <c r="RMJ31" s="290"/>
      <c r="RMK31" s="290"/>
      <c r="RML31" s="290"/>
      <c r="RMM31" s="290"/>
      <c r="RMN31" s="290"/>
      <c r="RMO31" s="290"/>
      <c r="RMP31" s="290"/>
      <c r="RMQ31" s="290"/>
      <c r="RMR31" s="290"/>
      <c r="RMS31" s="290"/>
      <c r="RMT31" s="290"/>
      <c r="RMU31" s="290"/>
      <c r="RMV31" s="290"/>
      <c r="RMW31" s="290"/>
      <c r="RMX31" s="290"/>
      <c r="RMY31" s="290"/>
      <c r="RMZ31" s="290"/>
      <c r="RNA31" s="290"/>
      <c r="RNB31" s="290"/>
      <c r="RNC31" s="290"/>
      <c r="RND31" s="290"/>
      <c r="RNE31" s="290"/>
      <c r="RNF31" s="290"/>
      <c r="RNG31" s="290"/>
      <c r="RNH31" s="290"/>
      <c r="RNI31" s="290"/>
      <c r="RNJ31" s="290"/>
      <c r="RNK31" s="290"/>
      <c r="RNL31" s="290"/>
      <c r="RNM31" s="290"/>
      <c r="RNN31" s="290"/>
      <c r="RNO31" s="290"/>
      <c r="RNP31" s="290"/>
      <c r="RNQ31" s="290"/>
      <c r="RNR31" s="290"/>
      <c r="RNS31" s="290"/>
      <c r="RNT31" s="290"/>
      <c r="RNU31" s="290"/>
      <c r="RNV31" s="290"/>
      <c r="RNW31" s="290"/>
      <c r="RNX31" s="290"/>
      <c r="RNY31" s="290"/>
      <c r="RNZ31" s="290"/>
      <c r="ROA31" s="290"/>
      <c r="ROB31" s="290"/>
      <c r="ROC31" s="290"/>
      <c r="ROD31" s="290"/>
      <c r="ROE31" s="290"/>
      <c r="ROF31" s="290"/>
      <c r="ROG31" s="290"/>
      <c r="ROH31" s="290"/>
      <c r="ROI31" s="290"/>
      <c r="ROJ31" s="290"/>
      <c r="ROK31" s="290"/>
      <c r="ROL31" s="290"/>
      <c r="ROM31" s="290"/>
      <c r="RON31" s="290"/>
      <c r="ROO31" s="290"/>
      <c r="ROP31" s="290"/>
      <c r="ROQ31" s="290"/>
      <c r="ROR31" s="290"/>
      <c r="ROS31" s="290"/>
      <c r="ROT31" s="290"/>
      <c r="ROU31" s="290"/>
      <c r="ROV31" s="290"/>
      <c r="ROW31" s="290"/>
      <c r="ROX31" s="290"/>
      <c r="ROY31" s="290"/>
      <c r="ROZ31" s="290"/>
      <c r="RPA31" s="290"/>
      <c r="RPB31" s="290"/>
      <c r="RPC31" s="290"/>
      <c r="RPD31" s="290"/>
      <c r="RPE31" s="290"/>
      <c r="RPF31" s="290"/>
      <c r="RPG31" s="290"/>
      <c r="RPH31" s="290"/>
      <c r="RPI31" s="290"/>
      <c r="RPJ31" s="290"/>
      <c r="RPK31" s="290"/>
      <c r="RPL31" s="290"/>
      <c r="RPM31" s="290"/>
      <c r="RPN31" s="290"/>
      <c r="RPO31" s="290"/>
      <c r="RPP31" s="290"/>
      <c r="RPQ31" s="290"/>
      <c r="RPR31" s="290"/>
      <c r="RPS31" s="290"/>
      <c r="RPT31" s="290"/>
      <c r="RPU31" s="290"/>
      <c r="RPV31" s="290"/>
      <c r="RPW31" s="290"/>
      <c r="RPX31" s="290"/>
      <c r="RPY31" s="290"/>
      <c r="RPZ31" s="290"/>
      <c r="RQA31" s="290"/>
      <c r="RQB31" s="290"/>
      <c r="RQC31" s="290"/>
      <c r="RQD31" s="290"/>
      <c r="RQE31" s="290"/>
      <c r="RQF31" s="290"/>
      <c r="RQG31" s="290"/>
      <c r="RQH31" s="290"/>
      <c r="RQI31" s="290"/>
      <c r="RQJ31" s="290"/>
      <c r="RQK31" s="290"/>
      <c r="RQL31" s="290"/>
      <c r="RQM31" s="290"/>
      <c r="RQN31" s="290"/>
      <c r="RQO31" s="290"/>
      <c r="RQP31" s="290"/>
      <c r="RQQ31" s="290"/>
      <c r="RQR31" s="290"/>
      <c r="RQS31" s="290"/>
      <c r="RQT31" s="290"/>
      <c r="RQU31" s="290"/>
      <c r="RQV31" s="290"/>
      <c r="RQW31" s="290"/>
      <c r="RQX31" s="290"/>
      <c r="RQY31" s="290"/>
      <c r="RQZ31" s="290"/>
      <c r="RRA31" s="290"/>
      <c r="RRB31" s="290"/>
      <c r="RRC31" s="290"/>
      <c r="RRD31" s="290"/>
      <c r="RRE31" s="290"/>
      <c r="RRF31" s="290"/>
      <c r="RRG31" s="290"/>
      <c r="RRH31" s="290"/>
      <c r="RRI31" s="290"/>
      <c r="RRJ31" s="290"/>
      <c r="RRK31" s="290"/>
      <c r="RRL31" s="290"/>
      <c r="RRM31" s="290"/>
      <c r="RRN31" s="290"/>
      <c r="RRO31" s="290"/>
      <c r="RRP31" s="290"/>
      <c r="RRQ31" s="290"/>
      <c r="RRR31" s="290"/>
      <c r="RRS31" s="290"/>
      <c r="RRT31" s="290"/>
      <c r="RRU31" s="290"/>
      <c r="RRV31" s="290"/>
      <c r="RRW31" s="290"/>
      <c r="RRX31" s="290"/>
      <c r="RRY31" s="290"/>
      <c r="RRZ31" s="290"/>
      <c r="RSA31" s="290"/>
      <c r="RSB31" s="290"/>
      <c r="RSC31" s="290"/>
      <c r="RSD31" s="290"/>
      <c r="RSE31" s="290"/>
      <c r="RSF31" s="290"/>
      <c r="RSG31" s="290"/>
      <c r="RSH31" s="290"/>
      <c r="RSI31" s="290"/>
      <c r="RSJ31" s="290"/>
      <c r="RSK31" s="290"/>
      <c r="RSL31" s="290"/>
      <c r="RSM31" s="290"/>
      <c r="RSN31" s="290"/>
      <c r="RSO31" s="290"/>
      <c r="RSP31" s="290"/>
      <c r="RSQ31" s="290"/>
      <c r="RSR31" s="290"/>
      <c r="RSS31" s="290"/>
      <c r="RST31" s="290"/>
      <c r="RSU31" s="290"/>
      <c r="RSV31" s="290"/>
      <c r="RSW31" s="290"/>
      <c r="RSX31" s="290"/>
      <c r="RSY31" s="290"/>
      <c r="RSZ31" s="290"/>
      <c r="RTA31" s="290"/>
      <c r="RTB31" s="290"/>
      <c r="RTC31" s="290"/>
      <c r="RTD31" s="290"/>
      <c r="RTE31" s="290"/>
      <c r="RTF31" s="290"/>
      <c r="RTG31" s="290"/>
      <c r="RTH31" s="290"/>
      <c r="RTI31" s="290"/>
      <c r="RTJ31" s="290"/>
      <c r="RTK31" s="290"/>
      <c r="RTL31" s="290"/>
      <c r="RTM31" s="290"/>
      <c r="RTN31" s="290"/>
      <c r="RTO31" s="290"/>
      <c r="RTP31" s="290"/>
      <c r="RTQ31" s="290"/>
      <c r="RTR31" s="290"/>
      <c r="RTS31" s="290"/>
      <c r="RTT31" s="290"/>
      <c r="RTU31" s="290"/>
      <c r="RTV31" s="290"/>
      <c r="RTW31" s="290"/>
      <c r="RTX31" s="290"/>
      <c r="RTY31" s="290"/>
      <c r="RTZ31" s="290"/>
      <c r="RUA31" s="290"/>
      <c r="RUB31" s="290"/>
      <c r="RUC31" s="290"/>
      <c r="RUD31" s="290"/>
      <c r="RUE31" s="290"/>
      <c r="RUF31" s="290"/>
      <c r="RUG31" s="290"/>
      <c r="RUH31" s="290"/>
      <c r="RUI31" s="290"/>
      <c r="RUJ31" s="290"/>
      <c r="RUK31" s="290"/>
      <c r="RUL31" s="290"/>
      <c r="RUM31" s="290"/>
      <c r="RUN31" s="290"/>
      <c r="RUO31" s="290"/>
      <c r="RUP31" s="290"/>
      <c r="RUQ31" s="290"/>
      <c r="RUR31" s="290"/>
      <c r="RUS31" s="290"/>
      <c r="RUT31" s="290"/>
      <c r="RUU31" s="290"/>
      <c r="RUV31" s="290"/>
      <c r="RUW31" s="290"/>
      <c r="RUX31" s="290"/>
      <c r="RUY31" s="290"/>
      <c r="RUZ31" s="290"/>
      <c r="RVA31" s="290"/>
      <c r="RVB31" s="290"/>
      <c r="RVC31" s="290"/>
      <c r="RVD31" s="290"/>
      <c r="RVE31" s="290"/>
      <c r="RVF31" s="290"/>
      <c r="RVG31" s="290"/>
      <c r="RVH31" s="290"/>
      <c r="RVI31" s="290"/>
      <c r="RVJ31" s="290"/>
      <c r="RVK31" s="290"/>
      <c r="RVL31" s="290"/>
      <c r="RVM31" s="290"/>
      <c r="RVN31" s="290"/>
      <c r="RVO31" s="290"/>
      <c r="RVP31" s="290"/>
      <c r="RVQ31" s="290"/>
      <c r="RVR31" s="290"/>
      <c r="RVS31" s="290"/>
      <c r="RVT31" s="290"/>
      <c r="RVU31" s="290"/>
      <c r="RVV31" s="290"/>
      <c r="RVW31" s="290"/>
      <c r="RVX31" s="290"/>
      <c r="RVY31" s="290"/>
      <c r="RVZ31" s="290"/>
      <c r="RWA31" s="290"/>
      <c r="RWB31" s="290"/>
      <c r="RWC31" s="290"/>
      <c r="RWD31" s="290"/>
      <c r="RWE31" s="290"/>
      <c r="RWF31" s="290"/>
      <c r="RWG31" s="290"/>
      <c r="RWH31" s="290"/>
      <c r="RWI31" s="290"/>
      <c r="RWJ31" s="290"/>
      <c r="RWK31" s="290"/>
      <c r="RWL31" s="290"/>
      <c r="RWM31" s="290"/>
      <c r="RWN31" s="290"/>
      <c r="RWO31" s="290"/>
      <c r="RWP31" s="290"/>
      <c r="RWQ31" s="290"/>
      <c r="RWR31" s="290"/>
      <c r="RWS31" s="290"/>
      <c r="RWT31" s="290"/>
      <c r="RWU31" s="290"/>
      <c r="RWV31" s="290"/>
      <c r="RWW31" s="290"/>
      <c r="RWX31" s="290"/>
      <c r="RWY31" s="290"/>
      <c r="RWZ31" s="290"/>
      <c r="RXA31" s="290"/>
      <c r="RXB31" s="290"/>
      <c r="RXC31" s="290"/>
      <c r="RXD31" s="290"/>
      <c r="RXE31" s="290"/>
      <c r="RXF31" s="290"/>
      <c r="RXG31" s="290"/>
      <c r="RXH31" s="290"/>
      <c r="RXI31" s="290"/>
      <c r="RXJ31" s="290"/>
      <c r="RXK31" s="290"/>
      <c r="RXL31" s="290"/>
      <c r="RXM31" s="290"/>
      <c r="RXN31" s="290"/>
      <c r="RXO31" s="290"/>
      <c r="RXP31" s="290"/>
      <c r="RXQ31" s="290"/>
      <c r="RXR31" s="290"/>
      <c r="RXS31" s="290"/>
      <c r="RXT31" s="290"/>
      <c r="RXU31" s="290"/>
      <c r="RXV31" s="290"/>
      <c r="RXW31" s="290"/>
      <c r="RXX31" s="290"/>
      <c r="RXY31" s="290"/>
      <c r="RXZ31" s="290"/>
      <c r="RYA31" s="290"/>
      <c r="RYB31" s="290"/>
      <c r="RYC31" s="290"/>
      <c r="RYD31" s="290"/>
      <c r="RYE31" s="290"/>
      <c r="RYF31" s="290"/>
      <c r="RYG31" s="290"/>
      <c r="RYH31" s="290"/>
      <c r="RYI31" s="290"/>
      <c r="RYJ31" s="290"/>
      <c r="RYK31" s="290"/>
      <c r="RYL31" s="290"/>
      <c r="RYM31" s="290"/>
      <c r="RYN31" s="290"/>
      <c r="RYO31" s="290"/>
      <c r="RYP31" s="290"/>
      <c r="RYQ31" s="290"/>
      <c r="RYR31" s="290"/>
      <c r="RYS31" s="290"/>
      <c r="RYT31" s="290"/>
      <c r="RYU31" s="290"/>
      <c r="RYV31" s="290"/>
      <c r="RYW31" s="290"/>
      <c r="RYX31" s="290"/>
      <c r="RYY31" s="290"/>
      <c r="RYZ31" s="290"/>
      <c r="RZA31" s="290"/>
      <c r="RZB31" s="290"/>
      <c r="RZC31" s="290"/>
      <c r="RZD31" s="290"/>
      <c r="RZE31" s="290"/>
      <c r="RZF31" s="290"/>
      <c r="RZG31" s="290"/>
      <c r="RZH31" s="290"/>
      <c r="RZI31" s="290"/>
      <c r="RZJ31" s="290"/>
      <c r="RZK31" s="290"/>
      <c r="RZL31" s="290"/>
      <c r="RZM31" s="290"/>
      <c r="RZN31" s="290"/>
      <c r="RZO31" s="290"/>
      <c r="RZP31" s="290"/>
      <c r="RZQ31" s="290"/>
      <c r="RZR31" s="290"/>
      <c r="RZS31" s="290"/>
      <c r="RZT31" s="290"/>
      <c r="RZU31" s="290"/>
      <c r="RZV31" s="290"/>
      <c r="RZW31" s="290"/>
      <c r="RZX31" s="290"/>
      <c r="RZY31" s="290"/>
      <c r="RZZ31" s="290"/>
      <c r="SAA31" s="290"/>
      <c r="SAB31" s="290"/>
      <c r="SAC31" s="290"/>
      <c r="SAD31" s="290"/>
      <c r="SAE31" s="290"/>
      <c r="SAF31" s="290"/>
      <c r="SAG31" s="290"/>
      <c r="SAH31" s="290"/>
      <c r="SAI31" s="290"/>
      <c r="SAJ31" s="290"/>
      <c r="SAK31" s="290"/>
      <c r="SAL31" s="290"/>
      <c r="SAM31" s="290"/>
      <c r="SAN31" s="290"/>
      <c r="SAO31" s="290"/>
      <c r="SAP31" s="290"/>
      <c r="SAQ31" s="290"/>
      <c r="SAR31" s="290"/>
      <c r="SAS31" s="290"/>
      <c r="SAT31" s="290"/>
      <c r="SAU31" s="290"/>
      <c r="SAV31" s="290"/>
      <c r="SAW31" s="290"/>
      <c r="SAX31" s="290"/>
      <c r="SAY31" s="290"/>
      <c r="SAZ31" s="290"/>
      <c r="SBA31" s="290"/>
      <c r="SBB31" s="290"/>
      <c r="SBC31" s="290"/>
      <c r="SBD31" s="290"/>
      <c r="SBE31" s="290"/>
      <c r="SBF31" s="290"/>
      <c r="SBG31" s="290"/>
      <c r="SBH31" s="290"/>
      <c r="SBI31" s="290"/>
      <c r="SBJ31" s="290"/>
      <c r="SBK31" s="290"/>
      <c r="SBL31" s="290"/>
      <c r="SBM31" s="290"/>
      <c r="SBN31" s="290"/>
      <c r="SBO31" s="290"/>
      <c r="SBP31" s="290"/>
      <c r="SBQ31" s="290"/>
      <c r="SBR31" s="290"/>
      <c r="SBS31" s="290"/>
      <c r="SBT31" s="290"/>
      <c r="SBU31" s="290"/>
      <c r="SBV31" s="290"/>
      <c r="SBW31" s="290"/>
      <c r="SBX31" s="290"/>
      <c r="SBY31" s="290"/>
      <c r="SBZ31" s="290"/>
      <c r="SCA31" s="290"/>
      <c r="SCB31" s="290"/>
      <c r="SCC31" s="290"/>
      <c r="SCD31" s="290"/>
      <c r="SCE31" s="290"/>
      <c r="SCF31" s="290"/>
      <c r="SCG31" s="290"/>
      <c r="SCH31" s="290"/>
      <c r="SCI31" s="290"/>
      <c r="SCJ31" s="290"/>
      <c r="SCK31" s="290"/>
      <c r="SCL31" s="290"/>
      <c r="SCM31" s="290"/>
      <c r="SCN31" s="290"/>
      <c r="SCO31" s="290"/>
      <c r="SCP31" s="290"/>
      <c r="SCQ31" s="290"/>
      <c r="SCR31" s="290"/>
      <c r="SCS31" s="290"/>
      <c r="SCT31" s="290"/>
      <c r="SCU31" s="290"/>
      <c r="SCV31" s="290"/>
      <c r="SCW31" s="290"/>
      <c r="SCX31" s="290"/>
      <c r="SCY31" s="290"/>
      <c r="SCZ31" s="290"/>
      <c r="SDA31" s="290"/>
      <c r="SDB31" s="290"/>
      <c r="SDC31" s="290"/>
      <c r="SDD31" s="290"/>
      <c r="SDE31" s="290"/>
      <c r="SDF31" s="290"/>
      <c r="SDG31" s="290"/>
      <c r="SDH31" s="290"/>
      <c r="SDI31" s="290"/>
      <c r="SDJ31" s="290"/>
      <c r="SDK31" s="290"/>
      <c r="SDL31" s="290"/>
      <c r="SDM31" s="290"/>
      <c r="SDN31" s="290"/>
      <c r="SDO31" s="290"/>
      <c r="SDP31" s="290"/>
      <c r="SDQ31" s="290"/>
      <c r="SDR31" s="290"/>
      <c r="SDS31" s="290"/>
      <c r="SDT31" s="290"/>
      <c r="SDU31" s="290"/>
      <c r="SDV31" s="290"/>
      <c r="SDW31" s="290"/>
      <c r="SDX31" s="290"/>
      <c r="SDY31" s="290"/>
      <c r="SDZ31" s="290"/>
      <c r="SEA31" s="290"/>
      <c r="SEB31" s="290"/>
      <c r="SEC31" s="290"/>
      <c r="SED31" s="290"/>
      <c r="SEE31" s="290"/>
      <c r="SEF31" s="290"/>
      <c r="SEG31" s="290"/>
      <c r="SEH31" s="290"/>
      <c r="SEI31" s="290"/>
      <c r="SEJ31" s="290"/>
      <c r="SEK31" s="290"/>
      <c r="SEL31" s="290"/>
      <c r="SEM31" s="290"/>
      <c r="SEN31" s="290"/>
      <c r="SEO31" s="290"/>
      <c r="SEP31" s="290"/>
      <c r="SEQ31" s="290"/>
      <c r="SER31" s="290"/>
      <c r="SES31" s="290"/>
      <c r="SET31" s="290"/>
      <c r="SEU31" s="290"/>
      <c r="SEV31" s="290"/>
      <c r="SEW31" s="290"/>
      <c r="SEX31" s="290"/>
      <c r="SEY31" s="290"/>
      <c r="SEZ31" s="290"/>
      <c r="SFA31" s="290"/>
      <c r="SFB31" s="290"/>
      <c r="SFC31" s="290"/>
      <c r="SFD31" s="290"/>
      <c r="SFE31" s="290"/>
      <c r="SFF31" s="290"/>
      <c r="SFG31" s="290"/>
      <c r="SFH31" s="290"/>
      <c r="SFI31" s="290"/>
      <c r="SFJ31" s="290"/>
      <c r="SFK31" s="290"/>
      <c r="SFL31" s="290"/>
      <c r="SFM31" s="290"/>
      <c r="SFN31" s="290"/>
      <c r="SFO31" s="290"/>
      <c r="SFP31" s="290"/>
      <c r="SFQ31" s="290"/>
      <c r="SFR31" s="290"/>
      <c r="SFS31" s="290"/>
      <c r="SFT31" s="290"/>
      <c r="SFU31" s="290"/>
      <c r="SFV31" s="290"/>
      <c r="SFW31" s="290"/>
      <c r="SFX31" s="290"/>
      <c r="SFY31" s="290"/>
      <c r="SFZ31" s="290"/>
      <c r="SGA31" s="290"/>
      <c r="SGB31" s="290"/>
      <c r="SGC31" s="290"/>
      <c r="SGD31" s="290"/>
      <c r="SGE31" s="290"/>
      <c r="SGF31" s="290"/>
      <c r="SGG31" s="290"/>
      <c r="SGH31" s="290"/>
      <c r="SGI31" s="290"/>
      <c r="SGJ31" s="290"/>
      <c r="SGK31" s="290"/>
      <c r="SGL31" s="290"/>
      <c r="SGM31" s="290"/>
      <c r="SGN31" s="290"/>
      <c r="SGO31" s="290"/>
      <c r="SGP31" s="290"/>
      <c r="SGQ31" s="290"/>
      <c r="SGR31" s="290"/>
      <c r="SGS31" s="290"/>
      <c r="SGT31" s="290"/>
      <c r="SGU31" s="290"/>
      <c r="SGV31" s="290"/>
      <c r="SGW31" s="290"/>
      <c r="SGX31" s="290"/>
      <c r="SGY31" s="290"/>
      <c r="SGZ31" s="290"/>
      <c r="SHA31" s="290"/>
      <c r="SHB31" s="290"/>
      <c r="SHC31" s="290"/>
      <c r="SHD31" s="290"/>
      <c r="SHE31" s="290"/>
      <c r="SHF31" s="290"/>
      <c r="SHG31" s="290"/>
      <c r="SHH31" s="290"/>
      <c r="SHI31" s="290"/>
      <c r="SHJ31" s="290"/>
      <c r="SHK31" s="290"/>
      <c r="SHL31" s="290"/>
      <c r="SHM31" s="290"/>
      <c r="SHN31" s="290"/>
      <c r="SHO31" s="290"/>
      <c r="SHP31" s="290"/>
      <c r="SHQ31" s="290"/>
      <c r="SHR31" s="290"/>
      <c r="SHS31" s="290"/>
      <c r="SHT31" s="290"/>
      <c r="SHU31" s="290"/>
      <c r="SHV31" s="290"/>
      <c r="SHW31" s="290"/>
      <c r="SHX31" s="290"/>
      <c r="SHY31" s="290"/>
      <c r="SHZ31" s="290"/>
      <c r="SIA31" s="290"/>
      <c r="SIB31" s="290"/>
      <c r="SIC31" s="290"/>
      <c r="SID31" s="290"/>
      <c r="SIE31" s="290"/>
      <c r="SIF31" s="290"/>
      <c r="SIG31" s="290"/>
      <c r="SIH31" s="290"/>
      <c r="SII31" s="290"/>
      <c r="SIJ31" s="290"/>
      <c r="SIK31" s="290"/>
      <c r="SIL31" s="290"/>
      <c r="SIM31" s="290"/>
      <c r="SIN31" s="290"/>
      <c r="SIO31" s="290"/>
      <c r="SIP31" s="290"/>
      <c r="SIQ31" s="290"/>
      <c r="SIR31" s="290"/>
      <c r="SIS31" s="290"/>
      <c r="SIT31" s="290"/>
      <c r="SIU31" s="290"/>
      <c r="SIV31" s="290"/>
      <c r="SIW31" s="290"/>
      <c r="SIX31" s="290"/>
      <c r="SIY31" s="290"/>
      <c r="SIZ31" s="290"/>
      <c r="SJA31" s="290"/>
      <c r="SJB31" s="290"/>
      <c r="SJC31" s="290"/>
      <c r="SJD31" s="290"/>
      <c r="SJE31" s="290"/>
      <c r="SJF31" s="290"/>
      <c r="SJG31" s="290"/>
      <c r="SJH31" s="290"/>
      <c r="SJI31" s="290"/>
      <c r="SJJ31" s="290"/>
      <c r="SJK31" s="290"/>
      <c r="SJL31" s="290"/>
      <c r="SJM31" s="290"/>
      <c r="SJN31" s="290"/>
      <c r="SJO31" s="290"/>
      <c r="SJP31" s="290"/>
      <c r="SJQ31" s="290"/>
      <c r="SJR31" s="290"/>
      <c r="SJS31" s="290"/>
      <c r="SJT31" s="290"/>
      <c r="SJU31" s="290"/>
      <c r="SJV31" s="290"/>
      <c r="SJW31" s="290"/>
      <c r="SJX31" s="290"/>
      <c r="SJY31" s="290"/>
      <c r="SJZ31" s="290"/>
      <c r="SKA31" s="290"/>
      <c r="SKB31" s="290"/>
      <c r="SKC31" s="290"/>
      <c r="SKD31" s="290"/>
      <c r="SKE31" s="290"/>
      <c r="SKF31" s="290"/>
      <c r="SKG31" s="290"/>
      <c r="SKH31" s="290"/>
      <c r="SKI31" s="290"/>
      <c r="SKJ31" s="290"/>
      <c r="SKK31" s="290"/>
      <c r="SKL31" s="290"/>
      <c r="SKM31" s="290"/>
      <c r="SKN31" s="290"/>
      <c r="SKO31" s="290"/>
      <c r="SKP31" s="290"/>
      <c r="SKQ31" s="290"/>
      <c r="SKR31" s="290"/>
      <c r="SKS31" s="290"/>
      <c r="SKT31" s="290"/>
      <c r="SKU31" s="290"/>
      <c r="SKV31" s="290"/>
      <c r="SKW31" s="290"/>
      <c r="SKX31" s="290"/>
      <c r="SKY31" s="290"/>
      <c r="SKZ31" s="290"/>
      <c r="SLA31" s="290"/>
      <c r="SLB31" s="290"/>
      <c r="SLC31" s="290"/>
      <c r="SLD31" s="290"/>
      <c r="SLE31" s="290"/>
      <c r="SLF31" s="290"/>
      <c r="SLG31" s="290"/>
      <c r="SLH31" s="290"/>
      <c r="SLI31" s="290"/>
      <c r="SLJ31" s="290"/>
      <c r="SLK31" s="290"/>
      <c r="SLL31" s="290"/>
      <c r="SLM31" s="290"/>
      <c r="SLN31" s="290"/>
      <c r="SLO31" s="290"/>
      <c r="SLP31" s="290"/>
      <c r="SLQ31" s="290"/>
      <c r="SLR31" s="290"/>
      <c r="SLS31" s="290"/>
      <c r="SLT31" s="290"/>
      <c r="SLU31" s="290"/>
      <c r="SLV31" s="290"/>
      <c r="SLW31" s="290"/>
      <c r="SLX31" s="290"/>
      <c r="SLY31" s="290"/>
      <c r="SLZ31" s="290"/>
      <c r="SMA31" s="290"/>
      <c r="SMB31" s="290"/>
      <c r="SMC31" s="290"/>
      <c r="SMD31" s="290"/>
      <c r="SME31" s="290"/>
      <c r="SMF31" s="290"/>
      <c r="SMG31" s="290"/>
      <c r="SMH31" s="290"/>
      <c r="SMI31" s="290"/>
      <c r="SMJ31" s="290"/>
      <c r="SMK31" s="290"/>
      <c r="SML31" s="290"/>
      <c r="SMM31" s="290"/>
      <c r="SMN31" s="290"/>
      <c r="SMO31" s="290"/>
      <c r="SMP31" s="290"/>
      <c r="SMQ31" s="290"/>
      <c r="SMR31" s="290"/>
      <c r="SMS31" s="290"/>
      <c r="SMT31" s="290"/>
      <c r="SMU31" s="290"/>
      <c r="SMV31" s="290"/>
      <c r="SMW31" s="290"/>
      <c r="SMX31" s="290"/>
      <c r="SMY31" s="290"/>
      <c r="SMZ31" s="290"/>
      <c r="SNA31" s="290"/>
      <c r="SNB31" s="290"/>
      <c r="SNC31" s="290"/>
      <c r="SND31" s="290"/>
      <c r="SNE31" s="290"/>
      <c r="SNF31" s="290"/>
      <c r="SNG31" s="290"/>
      <c r="SNH31" s="290"/>
      <c r="SNI31" s="290"/>
      <c r="SNJ31" s="290"/>
      <c r="SNK31" s="290"/>
      <c r="SNL31" s="290"/>
      <c r="SNM31" s="290"/>
      <c r="SNN31" s="290"/>
      <c r="SNO31" s="290"/>
      <c r="SNP31" s="290"/>
      <c r="SNQ31" s="290"/>
      <c r="SNR31" s="290"/>
      <c r="SNS31" s="290"/>
      <c r="SNT31" s="290"/>
      <c r="SNU31" s="290"/>
      <c r="SNV31" s="290"/>
      <c r="SNW31" s="290"/>
      <c r="SNX31" s="290"/>
      <c r="SNY31" s="290"/>
      <c r="SNZ31" s="290"/>
      <c r="SOA31" s="290"/>
      <c r="SOB31" s="290"/>
      <c r="SOC31" s="290"/>
      <c r="SOD31" s="290"/>
      <c r="SOE31" s="290"/>
      <c r="SOF31" s="290"/>
      <c r="SOG31" s="290"/>
      <c r="SOH31" s="290"/>
      <c r="SOI31" s="290"/>
      <c r="SOJ31" s="290"/>
      <c r="SOK31" s="290"/>
      <c r="SOL31" s="290"/>
      <c r="SOM31" s="290"/>
      <c r="SON31" s="290"/>
      <c r="SOO31" s="290"/>
      <c r="SOP31" s="290"/>
      <c r="SOQ31" s="290"/>
      <c r="SOR31" s="290"/>
      <c r="SOS31" s="290"/>
      <c r="SOT31" s="290"/>
      <c r="SOU31" s="290"/>
      <c r="SOV31" s="290"/>
      <c r="SOW31" s="290"/>
      <c r="SOX31" s="290"/>
      <c r="SOY31" s="290"/>
      <c r="SOZ31" s="290"/>
      <c r="SPA31" s="290"/>
      <c r="SPB31" s="290"/>
      <c r="SPC31" s="290"/>
      <c r="SPD31" s="290"/>
      <c r="SPE31" s="290"/>
      <c r="SPF31" s="290"/>
      <c r="SPG31" s="290"/>
      <c r="SPH31" s="290"/>
      <c r="SPI31" s="290"/>
      <c r="SPJ31" s="290"/>
      <c r="SPK31" s="290"/>
      <c r="SPL31" s="290"/>
      <c r="SPM31" s="290"/>
      <c r="SPN31" s="290"/>
      <c r="SPO31" s="290"/>
      <c r="SPP31" s="290"/>
      <c r="SPQ31" s="290"/>
      <c r="SPR31" s="290"/>
      <c r="SPS31" s="290"/>
      <c r="SPT31" s="290"/>
      <c r="SPU31" s="290"/>
      <c r="SPV31" s="290"/>
      <c r="SPW31" s="290"/>
      <c r="SPX31" s="290"/>
      <c r="SPY31" s="290"/>
      <c r="SPZ31" s="290"/>
      <c r="SQA31" s="290"/>
      <c r="SQB31" s="290"/>
      <c r="SQC31" s="290"/>
      <c r="SQD31" s="290"/>
      <c r="SQE31" s="290"/>
      <c r="SQF31" s="290"/>
      <c r="SQG31" s="290"/>
      <c r="SQH31" s="290"/>
      <c r="SQI31" s="290"/>
      <c r="SQJ31" s="290"/>
      <c r="SQK31" s="290"/>
      <c r="SQL31" s="290"/>
      <c r="SQM31" s="290"/>
      <c r="SQN31" s="290"/>
      <c r="SQO31" s="290"/>
      <c r="SQP31" s="290"/>
      <c r="SQQ31" s="290"/>
      <c r="SQR31" s="290"/>
      <c r="SQS31" s="290"/>
      <c r="SQT31" s="290"/>
      <c r="SQU31" s="290"/>
      <c r="SQV31" s="290"/>
      <c r="SQW31" s="290"/>
      <c r="SQX31" s="290"/>
      <c r="SQY31" s="290"/>
      <c r="SQZ31" s="290"/>
      <c r="SRA31" s="290"/>
      <c r="SRB31" s="290"/>
      <c r="SRC31" s="290"/>
      <c r="SRD31" s="290"/>
      <c r="SRE31" s="290"/>
      <c r="SRF31" s="290"/>
      <c r="SRG31" s="290"/>
      <c r="SRH31" s="290"/>
      <c r="SRI31" s="290"/>
      <c r="SRJ31" s="290"/>
      <c r="SRK31" s="290"/>
      <c r="SRL31" s="290"/>
      <c r="SRM31" s="290"/>
      <c r="SRN31" s="290"/>
      <c r="SRO31" s="290"/>
      <c r="SRP31" s="290"/>
      <c r="SRQ31" s="290"/>
      <c r="SRR31" s="290"/>
      <c r="SRS31" s="290"/>
      <c r="SRT31" s="290"/>
      <c r="SRU31" s="290"/>
      <c r="SRV31" s="290"/>
      <c r="SRW31" s="290"/>
      <c r="SRX31" s="290"/>
      <c r="SRY31" s="290"/>
      <c r="SRZ31" s="290"/>
      <c r="SSA31" s="290"/>
      <c r="SSB31" s="290"/>
      <c r="SSC31" s="290"/>
      <c r="SSD31" s="290"/>
      <c r="SSE31" s="290"/>
      <c r="SSF31" s="290"/>
      <c r="SSG31" s="290"/>
      <c r="SSH31" s="290"/>
      <c r="SSI31" s="290"/>
      <c r="SSJ31" s="290"/>
      <c r="SSK31" s="290"/>
      <c r="SSL31" s="290"/>
      <c r="SSM31" s="290"/>
      <c r="SSN31" s="290"/>
      <c r="SSO31" s="290"/>
      <c r="SSP31" s="290"/>
      <c r="SSQ31" s="290"/>
      <c r="SSR31" s="290"/>
      <c r="SSS31" s="290"/>
      <c r="SST31" s="290"/>
      <c r="SSU31" s="290"/>
      <c r="SSV31" s="290"/>
      <c r="SSW31" s="290"/>
      <c r="SSX31" s="290"/>
      <c r="SSY31" s="290"/>
      <c r="SSZ31" s="290"/>
      <c r="STA31" s="290"/>
      <c r="STB31" s="290"/>
      <c r="STC31" s="290"/>
      <c r="STD31" s="290"/>
      <c r="STE31" s="290"/>
      <c r="STF31" s="290"/>
      <c r="STG31" s="290"/>
      <c r="STH31" s="290"/>
      <c r="STI31" s="290"/>
      <c r="STJ31" s="290"/>
      <c r="STK31" s="290"/>
      <c r="STL31" s="290"/>
      <c r="STM31" s="290"/>
      <c r="STN31" s="290"/>
      <c r="STO31" s="290"/>
      <c r="STP31" s="290"/>
      <c r="STQ31" s="290"/>
      <c r="STR31" s="290"/>
      <c r="STS31" s="290"/>
      <c r="STT31" s="290"/>
      <c r="STU31" s="290"/>
      <c r="STV31" s="290"/>
      <c r="STW31" s="290"/>
      <c r="STX31" s="290"/>
      <c r="STY31" s="290"/>
      <c r="STZ31" s="290"/>
      <c r="SUA31" s="290"/>
      <c r="SUB31" s="290"/>
      <c r="SUC31" s="290"/>
      <c r="SUD31" s="290"/>
      <c r="SUE31" s="290"/>
      <c r="SUF31" s="290"/>
      <c r="SUG31" s="290"/>
      <c r="SUH31" s="290"/>
      <c r="SUI31" s="290"/>
      <c r="SUJ31" s="290"/>
      <c r="SUK31" s="290"/>
      <c r="SUL31" s="290"/>
      <c r="SUM31" s="290"/>
      <c r="SUN31" s="290"/>
      <c r="SUO31" s="290"/>
      <c r="SUP31" s="290"/>
      <c r="SUQ31" s="290"/>
      <c r="SUR31" s="290"/>
      <c r="SUS31" s="290"/>
      <c r="SUT31" s="290"/>
      <c r="SUU31" s="290"/>
      <c r="SUV31" s="290"/>
      <c r="SUW31" s="290"/>
      <c r="SUX31" s="290"/>
      <c r="SUY31" s="290"/>
      <c r="SUZ31" s="290"/>
      <c r="SVA31" s="290"/>
      <c r="SVB31" s="290"/>
      <c r="SVC31" s="290"/>
      <c r="SVD31" s="290"/>
      <c r="SVE31" s="290"/>
      <c r="SVF31" s="290"/>
      <c r="SVG31" s="290"/>
      <c r="SVH31" s="290"/>
      <c r="SVI31" s="290"/>
      <c r="SVJ31" s="290"/>
      <c r="SVK31" s="290"/>
      <c r="SVL31" s="290"/>
      <c r="SVM31" s="290"/>
      <c r="SVN31" s="290"/>
      <c r="SVO31" s="290"/>
      <c r="SVP31" s="290"/>
      <c r="SVQ31" s="290"/>
      <c r="SVR31" s="290"/>
      <c r="SVS31" s="290"/>
      <c r="SVT31" s="290"/>
      <c r="SVU31" s="290"/>
      <c r="SVV31" s="290"/>
      <c r="SVW31" s="290"/>
      <c r="SVX31" s="290"/>
      <c r="SVY31" s="290"/>
      <c r="SVZ31" s="290"/>
      <c r="SWA31" s="290"/>
      <c r="SWB31" s="290"/>
      <c r="SWC31" s="290"/>
      <c r="SWD31" s="290"/>
      <c r="SWE31" s="290"/>
      <c r="SWF31" s="290"/>
      <c r="SWG31" s="290"/>
      <c r="SWH31" s="290"/>
      <c r="SWI31" s="290"/>
      <c r="SWJ31" s="290"/>
      <c r="SWK31" s="290"/>
      <c r="SWL31" s="290"/>
      <c r="SWM31" s="290"/>
      <c r="SWN31" s="290"/>
      <c r="SWO31" s="290"/>
      <c r="SWP31" s="290"/>
      <c r="SWQ31" s="290"/>
      <c r="SWR31" s="290"/>
      <c r="SWS31" s="290"/>
      <c r="SWT31" s="290"/>
      <c r="SWU31" s="290"/>
      <c r="SWV31" s="290"/>
      <c r="SWW31" s="290"/>
      <c r="SWX31" s="290"/>
      <c r="SWY31" s="290"/>
      <c r="SWZ31" s="290"/>
      <c r="SXA31" s="290"/>
      <c r="SXB31" s="290"/>
      <c r="SXC31" s="290"/>
      <c r="SXD31" s="290"/>
      <c r="SXE31" s="290"/>
      <c r="SXF31" s="290"/>
      <c r="SXG31" s="290"/>
      <c r="SXH31" s="290"/>
      <c r="SXI31" s="290"/>
      <c r="SXJ31" s="290"/>
      <c r="SXK31" s="290"/>
      <c r="SXL31" s="290"/>
      <c r="SXM31" s="290"/>
      <c r="SXN31" s="290"/>
      <c r="SXO31" s="290"/>
      <c r="SXP31" s="290"/>
      <c r="SXQ31" s="290"/>
      <c r="SXR31" s="290"/>
      <c r="SXS31" s="290"/>
      <c r="SXT31" s="290"/>
      <c r="SXU31" s="290"/>
      <c r="SXV31" s="290"/>
      <c r="SXW31" s="290"/>
      <c r="SXX31" s="290"/>
      <c r="SXY31" s="290"/>
      <c r="SXZ31" s="290"/>
      <c r="SYA31" s="290"/>
      <c r="SYB31" s="290"/>
      <c r="SYC31" s="290"/>
      <c r="SYD31" s="290"/>
      <c r="SYE31" s="290"/>
      <c r="SYF31" s="290"/>
      <c r="SYG31" s="290"/>
      <c r="SYH31" s="290"/>
      <c r="SYI31" s="290"/>
      <c r="SYJ31" s="290"/>
      <c r="SYK31" s="290"/>
      <c r="SYL31" s="290"/>
      <c r="SYM31" s="290"/>
      <c r="SYN31" s="290"/>
      <c r="SYO31" s="290"/>
      <c r="SYP31" s="290"/>
      <c r="SYQ31" s="290"/>
      <c r="SYR31" s="290"/>
      <c r="SYS31" s="290"/>
      <c r="SYT31" s="290"/>
      <c r="SYU31" s="290"/>
      <c r="SYV31" s="290"/>
      <c r="SYW31" s="290"/>
      <c r="SYX31" s="290"/>
      <c r="SYY31" s="290"/>
      <c r="SYZ31" s="290"/>
      <c r="SZA31" s="290"/>
      <c r="SZB31" s="290"/>
      <c r="SZC31" s="290"/>
      <c r="SZD31" s="290"/>
      <c r="SZE31" s="290"/>
      <c r="SZF31" s="290"/>
      <c r="SZG31" s="290"/>
      <c r="SZH31" s="290"/>
      <c r="SZI31" s="290"/>
      <c r="SZJ31" s="290"/>
      <c r="SZK31" s="290"/>
      <c r="SZL31" s="290"/>
      <c r="SZM31" s="290"/>
      <c r="SZN31" s="290"/>
      <c r="SZO31" s="290"/>
      <c r="SZP31" s="290"/>
      <c r="SZQ31" s="290"/>
      <c r="SZR31" s="290"/>
      <c r="SZS31" s="290"/>
      <c r="SZT31" s="290"/>
      <c r="SZU31" s="290"/>
      <c r="SZV31" s="290"/>
      <c r="SZW31" s="290"/>
      <c r="SZX31" s="290"/>
      <c r="SZY31" s="290"/>
      <c r="SZZ31" s="290"/>
      <c r="TAA31" s="290"/>
      <c r="TAB31" s="290"/>
      <c r="TAC31" s="290"/>
      <c r="TAD31" s="290"/>
      <c r="TAE31" s="290"/>
      <c r="TAF31" s="290"/>
      <c r="TAG31" s="290"/>
      <c r="TAH31" s="290"/>
      <c r="TAI31" s="290"/>
      <c r="TAJ31" s="290"/>
      <c r="TAK31" s="290"/>
      <c r="TAL31" s="290"/>
      <c r="TAM31" s="290"/>
      <c r="TAN31" s="290"/>
      <c r="TAO31" s="290"/>
      <c r="TAP31" s="290"/>
      <c r="TAQ31" s="290"/>
      <c r="TAR31" s="290"/>
      <c r="TAS31" s="290"/>
      <c r="TAT31" s="290"/>
      <c r="TAU31" s="290"/>
      <c r="TAV31" s="290"/>
      <c r="TAW31" s="290"/>
      <c r="TAX31" s="290"/>
      <c r="TAY31" s="290"/>
      <c r="TAZ31" s="290"/>
      <c r="TBA31" s="290"/>
      <c r="TBB31" s="290"/>
      <c r="TBC31" s="290"/>
      <c r="TBD31" s="290"/>
      <c r="TBE31" s="290"/>
      <c r="TBF31" s="290"/>
      <c r="TBG31" s="290"/>
      <c r="TBH31" s="290"/>
      <c r="TBI31" s="290"/>
      <c r="TBJ31" s="290"/>
      <c r="TBK31" s="290"/>
      <c r="TBL31" s="290"/>
      <c r="TBM31" s="290"/>
      <c r="TBN31" s="290"/>
      <c r="TBO31" s="290"/>
      <c r="TBP31" s="290"/>
      <c r="TBQ31" s="290"/>
      <c r="TBR31" s="290"/>
      <c r="TBS31" s="290"/>
      <c r="TBT31" s="290"/>
      <c r="TBU31" s="290"/>
      <c r="TBV31" s="290"/>
      <c r="TBW31" s="290"/>
      <c r="TBX31" s="290"/>
      <c r="TBY31" s="290"/>
      <c r="TBZ31" s="290"/>
      <c r="TCA31" s="290"/>
      <c r="TCB31" s="290"/>
      <c r="TCC31" s="290"/>
      <c r="TCD31" s="290"/>
      <c r="TCE31" s="290"/>
      <c r="TCF31" s="290"/>
      <c r="TCG31" s="290"/>
      <c r="TCH31" s="290"/>
      <c r="TCI31" s="290"/>
      <c r="TCJ31" s="290"/>
      <c r="TCK31" s="290"/>
      <c r="TCL31" s="290"/>
      <c r="TCM31" s="290"/>
      <c r="TCN31" s="290"/>
      <c r="TCO31" s="290"/>
      <c r="TCP31" s="290"/>
      <c r="TCQ31" s="290"/>
      <c r="TCR31" s="290"/>
      <c r="TCS31" s="290"/>
      <c r="TCT31" s="290"/>
      <c r="TCU31" s="290"/>
      <c r="TCV31" s="290"/>
      <c r="TCW31" s="290"/>
      <c r="TCX31" s="290"/>
      <c r="TCY31" s="290"/>
      <c r="TCZ31" s="290"/>
      <c r="TDA31" s="290"/>
      <c r="TDB31" s="290"/>
      <c r="TDC31" s="290"/>
      <c r="TDD31" s="290"/>
      <c r="TDE31" s="290"/>
      <c r="TDF31" s="290"/>
      <c r="TDG31" s="290"/>
      <c r="TDH31" s="290"/>
      <c r="TDI31" s="290"/>
      <c r="TDJ31" s="290"/>
      <c r="TDK31" s="290"/>
      <c r="TDL31" s="290"/>
      <c r="TDM31" s="290"/>
      <c r="TDN31" s="290"/>
      <c r="TDO31" s="290"/>
      <c r="TDP31" s="290"/>
      <c r="TDQ31" s="290"/>
      <c r="TDR31" s="290"/>
      <c r="TDS31" s="290"/>
      <c r="TDT31" s="290"/>
      <c r="TDU31" s="290"/>
      <c r="TDV31" s="290"/>
      <c r="TDW31" s="290"/>
      <c r="TDX31" s="290"/>
      <c r="TDY31" s="290"/>
      <c r="TDZ31" s="290"/>
      <c r="TEA31" s="290"/>
      <c r="TEB31" s="290"/>
      <c r="TEC31" s="290"/>
      <c r="TED31" s="290"/>
      <c r="TEE31" s="290"/>
      <c r="TEF31" s="290"/>
      <c r="TEG31" s="290"/>
      <c r="TEH31" s="290"/>
      <c r="TEI31" s="290"/>
      <c r="TEJ31" s="290"/>
      <c r="TEK31" s="290"/>
      <c r="TEL31" s="290"/>
      <c r="TEM31" s="290"/>
      <c r="TEN31" s="290"/>
      <c r="TEO31" s="290"/>
      <c r="TEP31" s="290"/>
      <c r="TEQ31" s="290"/>
      <c r="TER31" s="290"/>
      <c r="TES31" s="290"/>
      <c r="TET31" s="290"/>
      <c r="TEU31" s="290"/>
      <c r="TEV31" s="290"/>
      <c r="TEW31" s="290"/>
      <c r="TEX31" s="290"/>
      <c r="TEY31" s="290"/>
      <c r="TEZ31" s="290"/>
      <c r="TFA31" s="290"/>
      <c r="TFB31" s="290"/>
      <c r="TFC31" s="290"/>
      <c r="TFD31" s="290"/>
      <c r="TFE31" s="290"/>
      <c r="TFF31" s="290"/>
      <c r="TFG31" s="290"/>
      <c r="TFH31" s="290"/>
      <c r="TFI31" s="290"/>
      <c r="TFJ31" s="290"/>
      <c r="TFK31" s="290"/>
      <c r="TFL31" s="290"/>
      <c r="TFM31" s="290"/>
      <c r="TFN31" s="290"/>
      <c r="TFO31" s="290"/>
      <c r="TFP31" s="290"/>
      <c r="TFQ31" s="290"/>
      <c r="TFR31" s="290"/>
      <c r="TFS31" s="290"/>
      <c r="TFT31" s="290"/>
      <c r="TFU31" s="290"/>
      <c r="TFV31" s="290"/>
      <c r="TFW31" s="290"/>
      <c r="TFX31" s="290"/>
      <c r="TFY31" s="290"/>
      <c r="TFZ31" s="290"/>
      <c r="TGA31" s="290"/>
      <c r="TGB31" s="290"/>
      <c r="TGC31" s="290"/>
      <c r="TGD31" s="290"/>
      <c r="TGE31" s="290"/>
      <c r="TGF31" s="290"/>
      <c r="TGG31" s="290"/>
      <c r="TGH31" s="290"/>
      <c r="TGI31" s="290"/>
      <c r="TGJ31" s="290"/>
      <c r="TGK31" s="290"/>
      <c r="TGL31" s="290"/>
      <c r="TGM31" s="290"/>
      <c r="TGN31" s="290"/>
      <c r="TGO31" s="290"/>
      <c r="TGP31" s="290"/>
      <c r="TGQ31" s="290"/>
      <c r="TGR31" s="290"/>
      <c r="TGS31" s="290"/>
      <c r="TGT31" s="290"/>
      <c r="TGU31" s="290"/>
      <c r="TGV31" s="290"/>
      <c r="TGW31" s="290"/>
      <c r="TGX31" s="290"/>
      <c r="TGY31" s="290"/>
      <c r="TGZ31" s="290"/>
      <c r="THA31" s="290"/>
      <c r="THB31" s="290"/>
      <c r="THC31" s="290"/>
      <c r="THD31" s="290"/>
      <c r="THE31" s="290"/>
      <c r="THF31" s="290"/>
      <c r="THG31" s="290"/>
      <c r="THH31" s="290"/>
      <c r="THI31" s="290"/>
      <c r="THJ31" s="290"/>
      <c r="THK31" s="290"/>
      <c r="THL31" s="290"/>
      <c r="THM31" s="290"/>
      <c r="THN31" s="290"/>
      <c r="THO31" s="290"/>
      <c r="THP31" s="290"/>
      <c r="THQ31" s="290"/>
      <c r="THR31" s="290"/>
      <c r="THS31" s="290"/>
      <c r="THT31" s="290"/>
      <c r="THU31" s="290"/>
      <c r="THV31" s="290"/>
      <c r="THW31" s="290"/>
      <c r="THX31" s="290"/>
      <c r="THY31" s="290"/>
      <c r="THZ31" s="290"/>
      <c r="TIA31" s="290"/>
      <c r="TIB31" s="290"/>
      <c r="TIC31" s="290"/>
      <c r="TID31" s="290"/>
      <c r="TIE31" s="290"/>
      <c r="TIF31" s="290"/>
      <c r="TIG31" s="290"/>
      <c r="TIH31" s="290"/>
      <c r="TII31" s="290"/>
      <c r="TIJ31" s="290"/>
      <c r="TIK31" s="290"/>
      <c r="TIL31" s="290"/>
      <c r="TIM31" s="290"/>
      <c r="TIN31" s="290"/>
      <c r="TIO31" s="290"/>
      <c r="TIP31" s="290"/>
      <c r="TIQ31" s="290"/>
      <c r="TIR31" s="290"/>
      <c r="TIS31" s="290"/>
      <c r="TIT31" s="290"/>
      <c r="TIU31" s="290"/>
      <c r="TIV31" s="290"/>
      <c r="TIW31" s="290"/>
      <c r="TIX31" s="290"/>
      <c r="TIY31" s="290"/>
      <c r="TIZ31" s="290"/>
      <c r="TJA31" s="290"/>
      <c r="TJB31" s="290"/>
      <c r="TJC31" s="290"/>
      <c r="TJD31" s="290"/>
      <c r="TJE31" s="290"/>
      <c r="TJF31" s="290"/>
      <c r="TJG31" s="290"/>
      <c r="TJH31" s="290"/>
      <c r="TJI31" s="290"/>
      <c r="TJJ31" s="290"/>
      <c r="TJK31" s="290"/>
      <c r="TJL31" s="290"/>
      <c r="TJM31" s="290"/>
      <c r="TJN31" s="290"/>
      <c r="TJO31" s="290"/>
      <c r="TJP31" s="290"/>
      <c r="TJQ31" s="290"/>
      <c r="TJR31" s="290"/>
      <c r="TJS31" s="290"/>
      <c r="TJT31" s="290"/>
      <c r="TJU31" s="290"/>
      <c r="TJV31" s="290"/>
      <c r="TJW31" s="290"/>
      <c r="TJX31" s="290"/>
      <c r="TJY31" s="290"/>
      <c r="TJZ31" s="290"/>
      <c r="TKA31" s="290"/>
      <c r="TKB31" s="290"/>
      <c r="TKC31" s="290"/>
      <c r="TKD31" s="290"/>
      <c r="TKE31" s="290"/>
      <c r="TKF31" s="290"/>
      <c r="TKG31" s="290"/>
      <c r="TKH31" s="290"/>
      <c r="TKI31" s="290"/>
      <c r="TKJ31" s="290"/>
      <c r="TKK31" s="290"/>
      <c r="TKL31" s="290"/>
      <c r="TKM31" s="290"/>
      <c r="TKN31" s="290"/>
      <c r="TKO31" s="290"/>
      <c r="TKP31" s="290"/>
      <c r="TKQ31" s="290"/>
      <c r="TKR31" s="290"/>
      <c r="TKS31" s="290"/>
      <c r="TKT31" s="290"/>
      <c r="TKU31" s="290"/>
      <c r="TKV31" s="290"/>
      <c r="TKW31" s="290"/>
      <c r="TKX31" s="290"/>
      <c r="TKY31" s="290"/>
      <c r="TKZ31" s="290"/>
      <c r="TLA31" s="290"/>
      <c r="TLB31" s="290"/>
      <c r="TLC31" s="290"/>
      <c r="TLD31" s="290"/>
      <c r="TLE31" s="290"/>
      <c r="TLF31" s="290"/>
      <c r="TLG31" s="290"/>
      <c r="TLH31" s="290"/>
      <c r="TLI31" s="290"/>
      <c r="TLJ31" s="290"/>
      <c r="TLK31" s="290"/>
      <c r="TLL31" s="290"/>
      <c r="TLM31" s="290"/>
      <c r="TLN31" s="290"/>
      <c r="TLO31" s="290"/>
      <c r="TLP31" s="290"/>
      <c r="TLQ31" s="290"/>
      <c r="TLR31" s="290"/>
      <c r="TLS31" s="290"/>
      <c r="TLT31" s="290"/>
      <c r="TLU31" s="290"/>
      <c r="TLV31" s="290"/>
      <c r="TLW31" s="290"/>
      <c r="TLX31" s="290"/>
      <c r="TLY31" s="290"/>
      <c r="TLZ31" s="290"/>
      <c r="TMA31" s="290"/>
      <c r="TMB31" s="290"/>
      <c r="TMC31" s="290"/>
      <c r="TMD31" s="290"/>
      <c r="TME31" s="290"/>
      <c r="TMF31" s="290"/>
      <c r="TMG31" s="290"/>
      <c r="TMH31" s="290"/>
      <c r="TMI31" s="290"/>
      <c r="TMJ31" s="290"/>
      <c r="TMK31" s="290"/>
      <c r="TML31" s="290"/>
      <c r="TMM31" s="290"/>
      <c r="TMN31" s="290"/>
      <c r="TMO31" s="290"/>
      <c r="TMP31" s="290"/>
      <c r="TMQ31" s="290"/>
      <c r="TMR31" s="290"/>
      <c r="TMS31" s="290"/>
      <c r="TMT31" s="290"/>
      <c r="TMU31" s="290"/>
      <c r="TMV31" s="290"/>
      <c r="TMW31" s="290"/>
      <c r="TMX31" s="290"/>
      <c r="TMY31" s="290"/>
      <c r="TMZ31" s="290"/>
      <c r="TNA31" s="290"/>
      <c r="TNB31" s="290"/>
      <c r="TNC31" s="290"/>
      <c r="TND31" s="290"/>
      <c r="TNE31" s="290"/>
      <c r="TNF31" s="290"/>
      <c r="TNG31" s="290"/>
      <c r="TNH31" s="290"/>
      <c r="TNI31" s="290"/>
      <c r="TNJ31" s="290"/>
      <c r="TNK31" s="290"/>
      <c r="TNL31" s="290"/>
      <c r="TNM31" s="290"/>
      <c r="TNN31" s="290"/>
      <c r="TNO31" s="290"/>
      <c r="TNP31" s="290"/>
      <c r="TNQ31" s="290"/>
      <c r="TNR31" s="290"/>
      <c r="TNS31" s="290"/>
      <c r="TNT31" s="290"/>
      <c r="TNU31" s="290"/>
      <c r="TNV31" s="290"/>
      <c r="TNW31" s="290"/>
      <c r="TNX31" s="290"/>
      <c r="TNY31" s="290"/>
      <c r="TNZ31" s="290"/>
      <c r="TOA31" s="290"/>
      <c r="TOB31" s="290"/>
      <c r="TOC31" s="290"/>
      <c r="TOD31" s="290"/>
      <c r="TOE31" s="290"/>
      <c r="TOF31" s="290"/>
      <c r="TOG31" s="290"/>
      <c r="TOH31" s="290"/>
      <c r="TOI31" s="290"/>
      <c r="TOJ31" s="290"/>
      <c r="TOK31" s="290"/>
      <c r="TOL31" s="290"/>
      <c r="TOM31" s="290"/>
      <c r="TON31" s="290"/>
      <c r="TOO31" s="290"/>
      <c r="TOP31" s="290"/>
      <c r="TOQ31" s="290"/>
      <c r="TOR31" s="290"/>
      <c r="TOS31" s="290"/>
      <c r="TOT31" s="290"/>
      <c r="TOU31" s="290"/>
      <c r="TOV31" s="290"/>
      <c r="TOW31" s="290"/>
      <c r="TOX31" s="290"/>
      <c r="TOY31" s="290"/>
      <c r="TOZ31" s="290"/>
      <c r="TPA31" s="290"/>
      <c r="TPB31" s="290"/>
      <c r="TPC31" s="290"/>
      <c r="TPD31" s="290"/>
      <c r="TPE31" s="290"/>
      <c r="TPF31" s="290"/>
      <c r="TPG31" s="290"/>
      <c r="TPH31" s="290"/>
      <c r="TPI31" s="290"/>
      <c r="TPJ31" s="290"/>
      <c r="TPK31" s="290"/>
      <c r="TPL31" s="290"/>
      <c r="TPM31" s="290"/>
      <c r="TPN31" s="290"/>
      <c r="TPO31" s="290"/>
      <c r="TPP31" s="290"/>
      <c r="TPQ31" s="290"/>
      <c r="TPR31" s="290"/>
      <c r="TPS31" s="290"/>
      <c r="TPT31" s="290"/>
      <c r="TPU31" s="290"/>
      <c r="TPV31" s="290"/>
      <c r="TPW31" s="290"/>
      <c r="TPX31" s="290"/>
      <c r="TPY31" s="290"/>
      <c r="TPZ31" s="290"/>
      <c r="TQA31" s="290"/>
      <c r="TQB31" s="290"/>
      <c r="TQC31" s="290"/>
      <c r="TQD31" s="290"/>
      <c r="TQE31" s="290"/>
      <c r="TQF31" s="290"/>
      <c r="TQG31" s="290"/>
      <c r="TQH31" s="290"/>
      <c r="TQI31" s="290"/>
      <c r="TQJ31" s="290"/>
      <c r="TQK31" s="290"/>
      <c r="TQL31" s="290"/>
      <c r="TQM31" s="290"/>
      <c r="TQN31" s="290"/>
      <c r="TQO31" s="290"/>
      <c r="TQP31" s="290"/>
      <c r="TQQ31" s="290"/>
      <c r="TQR31" s="290"/>
      <c r="TQS31" s="290"/>
      <c r="TQT31" s="290"/>
      <c r="TQU31" s="290"/>
      <c r="TQV31" s="290"/>
      <c r="TQW31" s="290"/>
      <c r="TQX31" s="290"/>
      <c r="TQY31" s="290"/>
      <c r="TQZ31" s="290"/>
      <c r="TRA31" s="290"/>
      <c r="TRB31" s="290"/>
      <c r="TRC31" s="290"/>
      <c r="TRD31" s="290"/>
      <c r="TRE31" s="290"/>
      <c r="TRF31" s="290"/>
      <c r="TRG31" s="290"/>
      <c r="TRH31" s="290"/>
      <c r="TRI31" s="290"/>
      <c r="TRJ31" s="290"/>
      <c r="TRK31" s="290"/>
      <c r="TRL31" s="290"/>
      <c r="TRM31" s="290"/>
      <c r="TRN31" s="290"/>
      <c r="TRO31" s="290"/>
      <c r="TRP31" s="290"/>
      <c r="TRQ31" s="290"/>
      <c r="TRR31" s="290"/>
      <c r="TRS31" s="290"/>
      <c r="TRT31" s="290"/>
      <c r="TRU31" s="290"/>
      <c r="TRV31" s="290"/>
      <c r="TRW31" s="290"/>
      <c r="TRX31" s="290"/>
      <c r="TRY31" s="290"/>
      <c r="TRZ31" s="290"/>
      <c r="TSA31" s="290"/>
      <c r="TSB31" s="290"/>
      <c r="TSC31" s="290"/>
      <c r="TSD31" s="290"/>
      <c r="TSE31" s="290"/>
      <c r="TSF31" s="290"/>
      <c r="TSG31" s="290"/>
      <c r="TSH31" s="290"/>
      <c r="TSI31" s="290"/>
      <c r="TSJ31" s="290"/>
      <c r="TSK31" s="290"/>
      <c r="TSL31" s="290"/>
      <c r="TSM31" s="290"/>
      <c r="TSN31" s="290"/>
      <c r="TSO31" s="290"/>
      <c r="TSP31" s="290"/>
      <c r="TSQ31" s="290"/>
      <c r="TSR31" s="290"/>
      <c r="TSS31" s="290"/>
      <c r="TST31" s="290"/>
      <c r="TSU31" s="290"/>
      <c r="TSV31" s="290"/>
      <c r="TSW31" s="290"/>
      <c r="TSX31" s="290"/>
      <c r="TSY31" s="290"/>
      <c r="TSZ31" s="290"/>
      <c r="TTA31" s="290"/>
      <c r="TTB31" s="290"/>
      <c r="TTC31" s="290"/>
      <c r="TTD31" s="290"/>
      <c r="TTE31" s="290"/>
      <c r="TTF31" s="290"/>
      <c r="TTG31" s="290"/>
      <c r="TTH31" s="290"/>
      <c r="TTI31" s="290"/>
      <c r="TTJ31" s="290"/>
      <c r="TTK31" s="290"/>
      <c r="TTL31" s="290"/>
      <c r="TTM31" s="290"/>
      <c r="TTN31" s="290"/>
      <c r="TTO31" s="290"/>
      <c r="TTP31" s="290"/>
      <c r="TTQ31" s="290"/>
      <c r="TTR31" s="290"/>
      <c r="TTS31" s="290"/>
      <c r="TTT31" s="290"/>
      <c r="TTU31" s="290"/>
      <c r="TTV31" s="290"/>
      <c r="TTW31" s="290"/>
      <c r="TTX31" s="290"/>
      <c r="TTY31" s="290"/>
      <c r="TTZ31" s="290"/>
      <c r="TUA31" s="290"/>
      <c r="TUB31" s="290"/>
      <c r="TUC31" s="290"/>
      <c r="TUD31" s="290"/>
      <c r="TUE31" s="290"/>
      <c r="TUF31" s="290"/>
      <c r="TUG31" s="290"/>
      <c r="TUH31" s="290"/>
      <c r="TUI31" s="290"/>
      <c r="TUJ31" s="290"/>
      <c r="TUK31" s="290"/>
      <c r="TUL31" s="290"/>
      <c r="TUM31" s="290"/>
      <c r="TUN31" s="290"/>
      <c r="TUO31" s="290"/>
      <c r="TUP31" s="290"/>
      <c r="TUQ31" s="290"/>
      <c r="TUR31" s="290"/>
      <c r="TUS31" s="290"/>
      <c r="TUT31" s="290"/>
      <c r="TUU31" s="290"/>
      <c r="TUV31" s="290"/>
      <c r="TUW31" s="290"/>
      <c r="TUX31" s="290"/>
      <c r="TUY31" s="290"/>
      <c r="TUZ31" s="290"/>
      <c r="TVA31" s="290"/>
      <c r="TVB31" s="290"/>
      <c r="TVC31" s="290"/>
      <c r="TVD31" s="290"/>
      <c r="TVE31" s="290"/>
      <c r="TVF31" s="290"/>
      <c r="TVG31" s="290"/>
      <c r="TVH31" s="290"/>
      <c r="TVI31" s="290"/>
      <c r="TVJ31" s="290"/>
      <c r="TVK31" s="290"/>
      <c r="TVL31" s="290"/>
      <c r="TVM31" s="290"/>
      <c r="TVN31" s="290"/>
      <c r="TVO31" s="290"/>
      <c r="TVP31" s="290"/>
      <c r="TVQ31" s="290"/>
      <c r="TVR31" s="290"/>
      <c r="TVS31" s="290"/>
      <c r="TVT31" s="290"/>
      <c r="TVU31" s="290"/>
      <c r="TVV31" s="290"/>
      <c r="TVW31" s="290"/>
      <c r="TVX31" s="290"/>
      <c r="TVY31" s="290"/>
      <c r="TVZ31" s="290"/>
      <c r="TWA31" s="290"/>
      <c r="TWB31" s="290"/>
      <c r="TWC31" s="290"/>
      <c r="TWD31" s="290"/>
      <c r="TWE31" s="290"/>
      <c r="TWF31" s="290"/>
      <c r="TWG31" s="290"/>
      <c r="TWH31" s="290"/>
      <c r="TWI31" s="290"/>
      <c r="TWJ31" s="290"/>
      <c r="TWK31" s="290"/>
      <c r="TWL31" s="290"/>
      <c r="TWM31" s="290"/>
      <c r="TWN31" s="290"/>
      <c r="TWO31" s="290"/>
      <c r="TWP31" s="290"/>
      <c r="TWQ31" s="290"/>
      <c r="TWR31" s="290"/>
      <c r="TWS31" s="290"/>
      <c r="TWT31" s="290"/>
      <c r="TWU31" s="290"/>
      <c r="TWV31" s="290"/>
      <c r="TWW31" s="290"/>
      <c r="TWX31" s="290"/>
      <c r="TWY31" s="290"/>
      <c r="TWZ31" s="290"/>
      <c r="TXA31" s="290"/>
      <c r="TXB31" s="290"/>
      <c r="TXC31" s="290"/>
      <c r="TXD31" s="290"/>
      <c r="TXE31" s="290"/>
      <c r="TXF31" s="290"/>
      <c r="TXG31" s="290"/>
      <c r="TXH31" s="290"/>
      <c r="TXI31" s="290"/>
      <c r="TXJ31" s="290"/>
      <c r="TXK31" s="290"/>
      <c r="TXL31" s="290"/>
      <c r="TXM31" s="290"/>
      <c r="TXN31" s="290"/>
      <c r="TXO31" s="290"/>
      <c r="TXP31" s="290"/>
      <c r="TXQ31" s="290"/>
      <c r="TXR31" s="290"/>
      <c r="TXS31" s="290"/>
      <c r="TXT31" s="290"/>
      <c r="TXU31" s="290"/>
      <c r="TXV31" s="290"/>
      <c r="TXW31" s="290"/>
      <c r="TXX31" s="290"/>
      <c r="TXY31" s="290"/>
      <c r="TXZ31" s="290"/>
      <c r="TYA31" s="290"/>
      <c r="TYB31" s="290"/>
      <c r="TYC31" s="290"/>
      <c r="TYD31" s="290"/>
      <c r="TYE31" s="290"/>
      <c r="TYF31" s="290"/>
      <c r="TYG31" s="290"/>
      <c r="TYH31" s="290"/>
      <c r="TYI31" s="290"/>
      <c r="TYJ31" s="290"/>
      <c r="TYK31" s="290"/>
      <c r="TYL31" s="290"/>
      <c r="TYM31" s="290"/>
      <c r="TYN31" s="290"/>
      <c r="TYO31" s="290"/>
      <c r="TYP31" s="290"/>
      <c r="TYQ31" s="290"/>
      <c r="TYR31" s="290"/>
      <c r="TYS31" s="290"/>
      <c r="TYT31" s="290"/>
      <c r="TYU31" s="290"/>
      <c r="TYV31" s="290"/>
      <c r="TYW31" s="290"/>
      <c r="TYX31" s="290"/>
      <c r="TYY31" s="290"/>
      <c r="TYZ31" s="290"/>
      <c r="TZA31" s="290"/>
      <c r="TZB31" s="290"/>
      <c r="TZC31" s="290"/>
      <c r="TZD31" s="290"/>
      <c r="TZE31" s="290"/>
      <c r="TZF31" s="290"/>
      <c r="TZG31" s="290"/>
      <c r="TZH31" s="290"/>
      <c r="TZI31" s="290"/>
      <c r="TZJ31" s="290"/>
      <c r="TZK31" s="290"/>
      <c r="TZL31" s="290"/>
      <c r="TZM31" s="290"/>
      <c r="TZN31" s="290"/>
      <c r="TZO31" s="290"/>
      <c r="TZP31" s="290"/>
      <c r="TZQ31" s="290"/>
      <c r="TZR31" s="290"/>
      <c r="TZS31" s="290"/>
      <c r="TZT31" s="290"/>
      <c r="TZU31" s="290"/>
      <c r="TZV31" s="290"/>
      <c r="TZW31" s="290"/>
      <c r="TZX31" s="290"/>
      <c r="TZY31" s="290"/>
      <c r="TZZ31" s="290"/>
      <c r="UAA31" s="290"/>
      <c r="UAB31" s="290"/>
      <c r="UAC31" s="290"/>
      <c r="UAD31" s="290"/>
      <c r="UAE31" s="290"/>
      <c r="UAF31" s="290"/>
      <c r="UAG31" s="290"/>
      <c r="UAH31" s="290"/>
      <c r="UAI31" s="290"/>
      <c r="UAJ31" s="290"/>
      <c r="UAK31" s="290"/>
      <c r="UAL31" s="290"/>
      <c r="UAM31" s="290"/>
      <c r="UAN31" s="290"/>
      <c r="UAO31" s="290"/>
      <c r="UAP31" s="290"/>
      <c r="UAQ31" s="290"/>
      <c r="UAR31" s="290"/>
      <c r="UAS31" s="290"/>
      <c r="UAT31" s="290"/>
      <c r="UAU31" s="290"/>
      <c r="UAV31" s="290"/>
      <c r="UAW31" s="290"/>
      <c r="UAX31" s="290"/>
      <c r="UAY31" s="290"/>
      <c r="UAZ31" s="290"/>
      <c r="UBA31" s="290"/>
      <c r="UBB31" s="290"/>
      <c r="UBC31" s="290"/>
      <c r="UBD31" s="290"/>
      <c r="UBE31" s="290"/>
      <c r="UBF31" s="290"/>
      <c r="UBG31" s="290"/>
      <c r="UBH31" s="290"/>
      <c r="UBI31" s="290"/>
      <c r="UBJ31" s="290"/>
      <c r="UBK31" s="290"/>
      <c r="UBL31" s="290"/>
      <c r="UBM31" s="290"/>
      <c r="UBN31" s="290"/>
      <c r="UBO31" s="290"/>
      <c r="UBP31" s="290"/>
      <c r="UBQ31" s="290"/>
      <c r="UBR31" s="290"/>
      <c r="UBS31" s="290"/>
      <c r="UBT31" s="290"/>
      <c r="UBU31" s="290"/>
      <c r="UBV31" s="290"/>
      <c r="UBW31" s="290"/>
      <c r="UBX31" s="290"/>
      <c r="UBY31" s="290"/>
      <c r="UBZ31" s="290"/>
      <c r="UCA31" s="290"/>
      <c r="UCB31" s="290"/>
      <c r="UCC31" s="290"/>
      <c r="UCD31" s="290"/>
      <c r="UCE31" s="290"/>
      <c r="UCF31" s="290"/>
      <c r="UCG31" s="290"/>
      <c r="UCH31" s="290"/>
      <c r="UCI31" s="290"/>
      <c r="UCJ31" s="290"/>
      <c r="UCK31" s="290"/>
      <c r="UCL31" s="290"/>
      <c r="UCM31" s="290"/>
      <c r="UCN31" s="290"/>
      <c r="UCO31" s="290"/>
      <c r="UCP31" s="290"/>
      <c r="UCQ31" s="290"/>
      <c r="UCR31" s="290"/>
      <c r="UCS31" s="290"/>
      <c r="UCT31" s="290"/>
      <c r="UCU31" s="290"/>
      <c r="UCV31" s="290"/>
      <c r="UCW31" s="290"/>
      <c r="UCX31" s="290"/>
      <c r="UCY31" s="290"/>
      <c r="UCZ31" s="290"/>
      <c r="UDA31" s="290"/>
      <c r="UDB31" s="290"/>
      <c r="UDC31" s="290"/>
      <c r="UDD31" s="290"/>
      <c r="UDE31" s="290"/>
      <c r="UDF31" s="290"/>
      <c r="UDG31" s="290"/>
      <c r="UDH31" s="290"/>
      <c r="UDI31" s="290"/>
      <c r="UDJ31" s="290"/>
      <c r="UDK31" s="290"/>
      <c r="UDL31" s="290"/>
      <c r="UDM31" s="290"/>
      <c r="UDN31" s="290"/>
      <c r="UDO31" s="290"/>
      <c r="UDP31" s="290"/>
      <c r="UDQ31" s="290"/>
      <c r="UDR31" s="290"/>
      <c r="UDS31" s="290"/>
      <c r="UDT31" s="290"/>
      <c r="UDU31" s="290"/>
      <c r="UDV31" s="290"/>
      <c r="UDW31" s="290"/>
      <c r="UDX31" s="290"/>
      <c r="UDY31" s="290"/>
      <c r="UDZ31" s="290"/>
      <c r="UEA31" s="290"/>
      <c r="UEB31" s="290"/>
      <c r="UEC31" s="290"/>
      <c r="UED31" s="290"/>
      <c r="UEE31" s="290"/>
      <c r="UEF31" s="290"/>
      <c r="UEG31" s="290"/>
      <c r="UEH31" s="290"/>
      <c r="UEI31" s="290"/>
      <c r="UEJ31" s="290"/>
      <c r="UEK31" s="290"/>
      <c r="UEL31" s="290"/>
      <c r="UEM31" s="290"/>
      <c r="UEN31" s="290"/>
      <c r="UEO31" s="290"/>
      <c r="UEP31" s="290"/>
      <c r="UEQ31" s="290"/>
      <c r="UER31" s="290"/>
      <c r="UES31" s="290"/>
      <c r="UET31" s="290"/>
      <c r="UEU31" s="290"/>
      <c r="UEV31" s="290"/>
      <c r="UEW31" s="290"/>
      <c r="UEX31" s="290"/>
      <c r="UEY31" s="290"/>
      <c r="UEZ31" s="290"/>
      <c r="UFA31" s="290"/>
      <c r="UFB31" s="290"/>
      <c r="UFC31" s="290"/>
      <c r="UFD31" s="290"/>
      <c r="UFE31" s="290"/>
      <c r="UFF31" s="290"/>
      <c r="UFG31" s="290"/>
      <c r="UFH31" s="290"/>
      <c r="UFI31" s="290"/>
      <c r="UFJ31" s="290"/>
      <c r="UFK31" s="290"/>
      <c r="UFL31" s="290"/>
      <c r="UFM31" s="290"/>
      <c r="UFN31" s="290"/>
      <c r="UFO31" s="290"/>
      <c r="UFP31" s="290"/>
      <c r="UFQ31" s="290"/>
      <c r="UFR31" s="290"/>
      <c r="UFS31" s="290"/>
      <c r="UFT31" s="290"/>
      <c r="UFU31" s="290"/>
      <c r="UFV31" s="290"/>
      <c r="UFW31" s="290"/>
      <c r="UFX31" s="290"/>
      <c r="UFY31" s="290"/>
      <c r="UFZ31" s="290"/>
      <c r="UGA31" s="290"/>
      <c r="UGB31" s="290"/>
      <c r="UGC31" s="290"/>
      <c r="UGD31" s="290"/>
      <c r="UGE31" s="290"/>
      <c r="UGF31" s="290"/>
      <c r="UGG31" s="290"/>
      <c r="UGH31" s="290"/>
      <c r="UGI31" s="290"/>
      <c r="UGJ31" s="290"/>
      <c r="UGK31" s="290"/>
      <c r="UGL31" s="290"/>
      <c r="UGM31" s="290"/>
      <c r="UGN31" s="290"/>
      <c r="UGO31" s="290"/>
      <c r="UGP31" s="290"/>
      <c r="UGQ31" s="290"/>
      <c r="UGR31" s="290"/>
      <c r="UGS31" s="290"/>
      <c r="UGT31" s="290"/>
      <c r="UGU31" s="290"/>
      <c r="UGV31" s="290"/>
      <c r="UGW31" s="290"/>
      <c r="UGX31" s="290"/>
      <c r="UGY31" s="290"/>
      <c r="UGZ31" s="290"/>
      <c r="UHA31" s="290"/>
      <c r="UHB31" s="290"/>
      <c r="UHC31" s="290"/>
      <c r="UHD31" s="290"/>
      <c r="UHE31" s="290"/>
      <c r="UHF31" s="290"/>
      <c r="UHG31" s="290"/>
      <c r="UHH31" s="290"/>
      <c r="UHI31" s="290"/>
      <c r="UHJ31" s="290"/>
      <c r="UHK31" s="290"/>
      <c r="UHL31" s="290"/>
      <c r="UHM31" s="290"/>
      <c r="UHN31" s="290"/>
      <c r="UHO31" s="290"/>
      <c r="UHP31" s="290"/>
      <c r="UHQ31" s="290"/>
      <c r="UHR31" s="290"/>
      <c r="UHS31" s="290"/>
      <c r="UHT31" s="290"/>
      <c r="UHU31" s="290"/>
      <c r="UHV31" s="290"/>
      <c r="UHW31" s="290"/>
      <c r="UHX31" s="290"/>
      <c r="UHY31" s="290"/>
      <c r="UHZ31" s="290"/>
      <c r="UIA31" s="290"/>
      <c r="UIB31" s="290"/>
      <c r="UIC31" s="290"/>
      <c r="UID31" s="290"/>
      <c r="UIE31" s="290"/>
      <c r="UIF31" s="290"/>
      <c r="UIG31" s="290"/>
      <c r="UIH31" s="290"/>
      <c r="UII31" s="290"/>
      <c r="UIJ31" s="290"/>
      <c r="UIK31" s="290"/>
      <c r="UIL31" s="290"/>
      <c r="UIM31" s="290"/>
      <c r="UIN31" s="290"/>
      <c r="UIO31" s="290"/>
      <c r="UIP31" s="290"/>
      <c r="UIQ31" s="290"/>
      <c r="UIR31" s="290"/>
      <c r="UIS31" s="290"/>
      <c r="UIT31" s="290"/>
      <c r="UIU31" s="290"/>
      <c r="UIV31" s="290"/>
      <c r="UIW31" s="290"/>
      <c r="UIX31" s="290"/>
      <c r="UIY31" s="290"/>
      <c r="UIZ31" s="290"/>
      <c r="UJA31" s="290"/>
      <c r="UJB31" s="290"/>
      <c r="UJC31" s="290"/>
      <c r="UJD31" s="290"/>
      <c r="UJE31" s="290"/>
      <c r="UJF31" s="290"/>
      <c r="UJG31" s="290"/>
      <c r="UJH31" s="290"/>
      <c r="UJI31" s="290"/>
      <c r="UJJ31" s="290"/>
      <c r="UJK31" s="290"/>
      <c r="UJL31" s="290"/>
      <c r="UJM31" s="290"/>
      <c r="UJN31" s="290"/>
      <c r="UJO31" s="290"/>
      <c r="UJP31" s="290"/>
      <c r="UJQ31" s="290"/>
      <c r="UJR31" s="290"/>
      <c r="UJS31" s="290"/>
      <c r="UJT31" s="290"/>
      <c r="UJU31" s="290"/>
      <c r="UJV31" s="290"/>
      <c r="UJW31" s="290"/>
      <c r="UJX31" s="290"/>
      <c r="UJY31" s="290"/>
      <c r="UJZ31" s="290"/>
      <c r="UKA31" s="290"/>
      <c r="UKB31" s="290"/>
      <c r="UKC31" s="290"/>
      <c r="UKD31" s="290"/>
      <c r="UKE31" s="290"/>
      <c r="UKF31" s="290"/>
      <c r="UKG31" s="290"/>
      <c r="UKH31" s="290"/>
      <c r="UKI31" s="290"/>
      <c r="UKJ31" s="290"/>
      <c r="UKK31" s="290"/>
      <c r="UKL31" s="290"/>
      <c r="UKM31" s="290"/>
      <c r="UKN31" s="290"/>
      <c r="UKO31" s="290"/>
      <c r="UKP31" s="290"/>
      <c r="UKQ31" s="290"/>
      <c r="UKR31" s="290"/>
      <c r="UKS31" s="290"/>
      <c r="UKT31" s="290"/>
      <c r="UKU31" s="290"/>
      <c r="UKV31" s="290"/>
      <c r="UKW31" s="290"/>
      <c r="UKX31" s="290"/>
      <c r="UKY31" s="290"/>
      <c r="UKZ31" s="290"/>
      <c r="ULA31" s="290"/>
      <c r="ULB31" s="290"/>
      <c r="ULC31" s="290"/>
      <c r="ULD31" s="290"/>
      <c r="ULE31" s="290"/>
      <c r="ULF31" s="290"/>
      <c r="ULG31" s="290"/>
      <c r="ULH31" s="290"/>
      <c r="ULI31" s="290"/>
      <c r="ULJ31" s="290"/>
      <c r="ULK31" s="290"/>
      <c r="ULL31" s="290"/>
      <c r="ULM31" s="290"/>
      <c r="ULN31" s="290"/>
      <c r="ULO31" s="290"/>
      <c r="ULP31" s="290"/>
      <c r="ULQ31" s="290"/>
      <c r="ULR31" s="290"/>
      <c r="ULS31" s="290"/>
      <c r="ULT31" s="290"/>
      <c r="ULU31" s="290"/>
      <c r="ULV31" s="290"/>
      <c r="ULW31" s="290"/>
      <c r="ULX31" s="290"/>
      <c r="ULY31" s="290"/>
      <c r="ULZ31" s="290"/>
      <c r="UMA31" s="290"/>
      <c r="UMB31" s="290"/>
      <c r="UMC31" s="290"/>
      <c r="UMD31" s="290"/>
      <c r="UME31" s="290"/>
      <c r="UMF31" s="290"/>
      <c r="UMG31" s="290"/>
      <c r="UMH31" s="290"/>
      <c r="UMI31" s="290"/>
      <c r="UMJ31" s="290"/>
      <c r="UMK31" s="290"/>
      <c r="UML31" s="290"/>
      <c r="UMM31" s="290"/>
      <c r="UMN31" s="290"/>
      <c r="UMO31" s="290"/>
      <c r="UMP31" s="290"/>
      <c r="UMQ31" s="290"/>
      <c r="UMR31" s="290"/>
      <c r="UMS31" s="290"/>
      <c r="UMT31" s="290"/>
      <c r="UMU31" s="290"/>
      <c r="UMV31" s="290"/>
      <c r="UMW31" s="290"/>
      <c r="UMX31" s="290"/>
      <c r="UMY31" s="290"/>
      <c r="UMZ31" s="290"/>
      <c r="UNA31" s="290"/>
      <c r="UNB31" s="290"/>
      <c r="UNC31" s="290"/>
      <c r="UND31" s="290"/>
      <c r="UNE31" s="290"/>
      <c r="UNF31" s="290"/>
      <c r="UNG31" s="290"/>
      <c r="UNH31" s="290"/>
      <c r="UNI31" s="290"/>
      <c r="UNJ31" s="290"/>
      <c r="UNK31" s="290"/>
      <c r="UNL31" s="290"/>
      <c r="UNM31" s="290"/>
      <c r="UNN31" s="290"/>
      <c r="UNO31" s="290"/>
      <c r="UNP31" s="290"/>
      <c r="UNQ31" s="290"/>
      <c r="UNR31" s="290"/>
      <c r="UNS31" s="290"/>
      <c r="UNT31" s="290"/>
      <c r="UNU31" s="290"/>
      <c r="UNV31" s="290"/>
      <c r="UNW31" s="290"/>
      <c r="UNX31" s="290"/>
      <c r="UNY31" s="290"/>
      <c r="UNZ31" s="290"/>
      <c r="UOA31" s="290"/>
      <c r="UOB31" s="290"/>
      <c r="UOC31" s="290"/>
      <c r="UOD31" s="290"/>
      <c r="UOE31" s="290"/>
      <c r="UOF31" s="290"/>
      <c r="UOG31" s="290"/>
      <c r="UOH31" s="290"/>
      <c r="UOI31" s="290"/>
      <c r="UOJ31" s="290"/>
      <c r="UOK31" s="290"/>
      <c r="UOL31" s="290"/>
      <c r="UOM31" s="290"/>
      <c r="UON31" s="290"/>
      <c r="UOO31" s="290"/>
      <c r="UOP31" s="290"/>
      <c r="UOQ31" s="290"/>
      <c r="UOR31" s="290"/>
      <c r="UOS31" s="290"/>
      <c r="UOT31" s="290"/>
      <c r="UOU31" s="290"/>
      <c r="UOV31" s="290"/>
      <c r="UOW31" s="290"/>
      <c r="UOX31" s="290"/>
      <c r="UOY31" s="290"/>
      <c r="UOZ31" s="290"/>
      <c r="UPA31" s="290"/>
      <c r="UPB31" s="290"/>
      <c r="UPC31" s="290"/>
      <c r="UPD31" s="290"/>
      <c r="UPE31" s="290"/>
      <c r="UPF31" s="290"/>
      <c r="UPG31" s="290"/>
      <c r="UPH31" s="290"/>
      <c r="UPI31" s="290"/>
      <c r="UPJ31" s="290"/>
      <c r="UPK31" s="290"/>
      <c r="UPL31" s="290"/>
      <c r="UPM31" s="290"/>
      <c r="UPN31" s="290"/>
      <c r="UPO31" s="290"/>
      <c r="UPP31" s="290"/>
      <c r="UPQ31" s="290"/>
      <c r="UPR31" s="290"/>
      <c r="UPS31" s="290"/>
      <c r="UPT31" s="290"/>
      <c r="UPU31" s="290"/>
      <c r="UPV31" s="290"/>
      <c r="UPW31" s="290"/>
      <c r="UPX31" s="290"/>
      <c r="UPY31" s="290"/>
      <c r="UPZ31" s="290"/>
      <c r="UQA31" s="290"/>
      <c r="UQB31" s="290"/>
      <c r="UQC31" s="290"/>
      <c r="UQD31" s="290"/>
      <c r="UQE31" s="290"/>
      <c r="UQF31" s="290"/>
      <c r="UQG31" s="290"/>
      <c r="UQH31" s="290"/>
      <c r="UQI31" s="290"/>
      <c r="UQJ31" s="290"/>
      <c r="UQK31" s="290"/>
      <c r="UQL31" s="290"/>
      <c r="UQM31" s="290"/>
      <c r="UQN31" s="290"/>
      <c r="UQO31" s="290"/>
      <c r="UQP31" s="290"/>
      <c r="UQQ31" s="290"/>
      <c r="UQR31" s="290"/>
      <c r="UQS31" s="290"/>
      <c r="UQT31" s="290"/>
      <c r="UQU31" s="290"/>
      <c r="UQV31" s="290"/>
      <c r="UQW31" s="290"/>
      <c r="UQX31" s="290"/>
      <c r="UQY31" s="290"/>
      <c r="UQZ31" s="290"/>
      <c r="URA31" s="290"/>
      <c r="URB31" s="290"/>
      <c r="URC31" s="290"/>
      <c r="URD31" s="290"/>
      <c r="URE31" s="290"/>
      <c r="URF31" s="290"/>
      <c r="URG31" s="290"/>
      <c r="URH31" s="290"/>
      <c r="URI31" s="290"/>
      <c r="URJ31" s="290"/>
      <c r="URK31" s="290"/>
      <c r="URL31" s="290"/>
      <c r="URM31" s="290"/>
      <c r="URN31" s="290"/>
      <c r="URO31" s="290"/>
      <c r="URP31" s="290"/>
      <c r="URQ31" s="290"/>
      <c r="URR31" s="290"/>
      <c r="URS31" s="290"/>
      <c r="URT31" s="290"/>
      <c r="URU31" s="290"/>
      <c r="URV31" s="290"/>
      <c r="URW31" s="290"/>
      <c r="URX31" s="290"/>
      <c r="URY31" s="290"/>
      <c r="URZ31" s="290"/>
      <c r="USA31" s="290"/>
      <c r="USB31" s="290"/>
      <c r="USC31" s="290"/>
      <c r="USD31" s="290"/>
      <c r="USE31" s="290"/>
      <c r="USF31" s="290"/>
      <c r="USG31" s="290"/>
      <c r="USH31" s="290"/>
      <c r="USI31" s="290"/>
      <c r="USJ31" s="290"/>
      <c r="USK31" s="290"/>
      <c r="USL31" s="290"/>
      <c r="USM31" s="290"/>
      <c r="USN31" s="290"/>
      <c r="USO31" s="290"/>
      <c r="USP31" s="290"/>
      <c r="USQ31" s="290"/>
      <c r="USR31" s="290"/>
      <c r="USS31" s="290"/>
      <c r="UST31" s="290"/>
      <c r="USU31" s="290"/>
      <c r="USV31" s="290"/>
      <c r="USW31" s="290"/>
      <c r="USX31" s="290"/>
      <c r="USY31" s="290"/>
      <c r="USZ31" s="290"/>
      <c r="UTA31" s="290"/>
      <c r="UTB31" s="290"/>
      <c r="UTC31" s="290"/>
      <c r="UTD31" s="290"/>
      <c r="UTE31" s="290"/>
      <c r="UTF31" s="290"/>
      <c r="UTG31" s="290"/>
      <c r="UTH31" s="290"/>
      <c r="UTI31" s="290"/>
      <c r="UTJ31" s="290"/>
      <c r="UTK31" s="290"/>
      <c r="UTL31" s="290"/>
      <c r="UTM31" s="290"/>
      <c r="UTN31" s="290"/>
      <c r="UTO31" s="290"/>
      <c r="UTP31" s="290"/>
      <c r="UTQ31" s="290"/>
      <c r="UTR31" s="290"/>
      <c r="UTS31" s="290"/>
      <c r="UTT31" s="290"/>
      <c r="UTU31" s="290"/>
      <c r="UTV31" s="290"/>
      <c r="UTW31" s="290"/>
      <c r="UTX31" s="290"/>
      <c r="UTY31" s="290"/>
      <c r="UTZ31" s="290"/>
      <c r="UUA31" s="290"/>
      <c r="UUB31" s="290"/>
      <c r="UUC31" s="290"/>
      <c r="UUD31" s="290"/>
      <c r="UUE31" s="290"/>
      <c r="UUF31" s="290"/>
      <c r="UUG31" s="290"/>
      <c r="UUH31" s="290"/>
      <c r="UUI31" s="290"/>
      <c r="UUJ31" s="290"/>
      <c r="UUK31" s="290"/>
      <c r="UUL31" s="290"/>
      <c r="UUM31" s="290"/>
      <c r="UUN31" s="290"/>
      <c r="UUO31" s="290"/>
      <c r="UUP31" s="290"/>
      <c r="UUQ31" s="290"/>
      <c r="UUR31" s="290"/>
      <c r="UUS31" s="290"/>
      <c r="UUT31" s="290"/>
      <c r="UUU31" s="290"/>
      <c r="UUV31" s="290"/>
      <c r="UUW31" s="290"/>
      <c r="UUX31" s="290"/>
      <c r="UUY31" s="290"/>
      <c r="UUZ31" s="290"/>
      <c r="UVA31" s="290"/>
      <c r="UVB31" s="290"/>
      <c r="UVC31" s="290"/>
      <c r="UVD31" s="290"/>
      <c r="UVE31" s="290"/>
      <c r="UVF31" s="290"/>
      <c r="UVG31" s="290"/>
      <c r="UVH31" s="290"/>
      <c r="UVI31" s="290"/>
      <c r="UVJ31" s="290"/>
      <c r="UVK31" s="290"/>
      <c r="UVL31" s="290"/>
      <c r="UVM31" s="290"/>
      <c r="UVN31" s="290"/>
      <c r="UVO31" s="290"/>
      <c r="UVP31" s="290"/>
      <c r="UVQ31" s="290"/>
      <c r="UVR31" s="290"/>
      <c r="UVS31" s="290"/>
      <c r="UVT31" s="290"/>
      <c r="UVU31" s="290"/>
      <c r="UVV31" s="290"/>
      <c r="UVW31" s="290"/>
      <c r="UVX31" s="290"/>
      <c r="UVY31" s="290"/>
      <c r="UVZ31" s="290"/>
      <c r="UWA31" s="290"/>
      <c r="UWB31" s="290"/>
      <c r="UWC31" s="290"/>
      <c r="UWD31" s="290"/>
      <c r="UWE31" s="290"/>
      <c r="UWF31" s="290"/>
      <c r="UWG31" s="290"/>
      <c r="UWH31" s="290"/>
      <c r="UWI31" s="290"/>
      <c r="UWJ31" s="290"/>
      <c r="UWK31" s="290"/>
      <c r="UWL31" s="290"/>
      <c r="UWM31" s="290"/>
      <c r="UWN31" s="290"/>
      <c r="UWO31" s="290"/>
      <c r="UWP31" s="290"/>
      <c r="UWQ31" s="290"/>
      <c r="UWR31" s="290"/>
      <c r="UWS31" s="290"/>
      <c r="UWT31" s="290"/>
      <c r="UWU31" s="290"/>
      <c r="UWV31" s="290"/>
      <c r="UWW31" s="290"/>
      <c r="UWX31" s="290"/>
      <c r="UWY31" s="290"/>
      <c r="UWZ31" s="290"/>
      <c r="UXA31" s="290"/>
      <c r="UXB31" s="290"/>
      <c r="UXC31" s="290"/>
      <c r="UXD31" s="290"/>
      <c r="UXE31" s="290"/>
      <c r="UXF31" s="290"/>
      <c r="UXG31" s="290"/>
      <c r="UXH31" s="290"/>
      <c r="UXI31" s="290"/>
      <c r="UXJ31" s="290"/>
      <c r="UXK31" s="290"/>
      <c r="UXL31" s="290"/>
      <c r="UXM31" s="290"/>
      <c r="UXN31" s="290"/>
      <c r="UXO31" s="290"/>
      <c r="UXP31" s="290"/>
      <c r="UXQ31" s="290"/>
      <c r="UXR31" s="290"/>
      <c r="UXS31" s="290"/>
      <c r="UXT31" s="290"/>
      <c r="UXU31" s="290"/>
      <c r="UXV31" s="290"/>
      <c r="UXW31" s="290"/>
      <c r="UXX31" s="290"/>
      <c r="UXY31" s="290"/>
      <c r="UXZ31" s="290"/>
      <c r="UYA31" s="290"/>
      <c r="UYB31" s="290"/>
      <c r="UYC31" s="290"/>
      <c r="UYD31" s="290"/>
      <c r="UYE31" s="290"/>
      <c r="UYF31" s="290"/>
      <c r="UYG31" s="290"/>
      <c r="UYH31" s="290"/>
      <c r="UYI31" s="290"/>
      <c r="UYJ31" s="290"/>
      <c r="UYK31" s="290"/>
      <c r="UYL31" s="290"/>
      <c r="UYM31" s="290"/>
      <c r="UYN31" s="290"/>
      <c r="UYO31" s="290"/>
      <c r="UYP31" s="290"/>
      <c r="UYQ31" s="290"/>
      <c r="UYR31" s="290"/>
      <c r="UYS31" s="290"/>
      <c r="UYT31" s="290"/>
      <c r="UYU31" s="290"/>
      <c r="UYV31" s="290"/>
      <c r="UYW31" s="290"/>
      <c r="UYX31" s="290"/>
      <c r="UYY31" s="290"/>
      <c r="UYZ31" s="290"/>
      <c r="UZA31" s="290"/>
      <c r="UZB31" s="290"/>
      <c r="UZC31" s="290"/>
      <c r="UZD31" s="290"/>
      <c r="UZE31" s="290"/>
      <c r="UZF31" s="290"/>
      <c r="UZG31" s="290"/>
      <c r="UZH31" s="290"/>
      <c r="UZI31" s="290"/>
      <c r="UZJ31" s="290"/>
      <c r="UZK31" s="290"/>
      <c r="UZL31" s="290"/>
      <c r="UZM31" s="290"/>
      <c r="UZN31" s="290"/>
      <c r="UZO31" s="290"/>
      <c r="UZP31" s="290"/>
      <c r="UZQ31" s="290"/>
      <c r="UZR31" s="290"/>
      <c r="UZS31" s="290"/>
      <c r="UZT31" s="290"/>
      <c r="UZU31" s="290"/>
      <c r="UZV31" s="290"/>
      <c r="UZW31" s="290"/>
      <c r="UZX31" s="290"/>
      <c r="UZY31" s="290"/>
      <c r="UZZ31" s="290"/>
      <c r="VAA31" s="290"/>
      <c r="VAB31" s="290"/>
      <c r="VAC31" s="290"/>
      <c r="VAD31" s="290"/>
      <c r="VAE31" s="290"/>
      <c r="VAF31" s="290"/>
      <c r="VAG31" s="290"/>
      <c r="VAH31" s="290"/>
      <c r="VAI31" s="290"/>
      <c r="VAJ31" s="290"/>
      <c r="VAK31" s="290"/>
      <c r="VAL31" s="290"/>
      <c r="VAM31" s="290"/>
      <c r="VAN31" s="290"/>
      <c r="VAO31" s="290"/>
      <c r="VAP31" s="290"/>
      <c r="VAQ31" s="290"/>
      <c r="VAR31" s="290"/>
      <c r="VAS31" s="290"/>
      <c r="VAT31" s="290"/>
      <c r="VAU31" s="290"/>
      <c r="VAV31" s="290"/>
      <c r="VAW31" s="290"/>
      <c r="VAX31" s="290"/>
      <c r="VAY31" s="290"/>
      <c r="VAZ31" s="290"/>
      <c r="VBA31" s="290"/>
      <c r="VBB31" s="290"/>
      <c r="VBC31" s="290"/>
      <c r="VBD31" s="290"/>
      <c r="VBE31" s="290"/>
      <c r="VBF31" s="290"/>
      <c r="VBG31" s="290"/>
      <c r="VBH31" s="290"/>
      <c r="VBI31" s="290"/>
      <c r="VBJ31" s="290"/>
      <c r="VBK31" s="290"/>
      <c r="VBL31" s="290"/>
      <c r="VBM31" s="290"/>
      <c r="VBN31" s="290"/>
      <c r="VBO31" s="290"/>
      <c r="VBP31" s="290"/>
      <c r="VBQ31" s="290"/>
      <c r="VBR31" s="290"/>
      <c r="VBS31" s="290"/>
      <c r="VBT31" s="290"/>
      <c r="VBU31" s="290"/>
      <c r="VBV31" s="290"/>
      <c r="VBW31" s="290"/>
      <c r="VBX31" s="290"/>
      <c r="VBY31" s="290"/>
      <c r="VBZ31" s="290"/>
      <c r="VCA31" s="290"/>
      <c r="VCB31" s="290"/>
      <c r="VCC31" s="290"/>
      <c r="VCD31" s="290"/>
      <c r="VCE31" s="290"/>
      <c r="VCF31" s="290"/>
      <c r="VCG31" s="290"/>
      <c r="VCH31" s="290"/>
      <c r="VCI31" s="290"/>
      <c r="VCJ31" s="290"/>
      <c r="VCK31" s="290"/>
      <c r="VCL31" s="290"/>
      <c r="VCM31" s="290"/>
      <c r="VCN31" s="290"/>
      <c r="VCO31" s="290"/>
      <c r="VCP31" s="290"/>
      <c r="VCQ31" s="290"/>
      <c r="VCR31" s="290"/>
      <c r="VCS31" s="290"/>
      <c r="VCT31" s="290"/>
      <c r="VCU31" s="290"/>
      <c r="VCV31" s="290"/>
      <c r="VCW31" s="290"/>
      <c r="VCX31" s="290"/>
      <c r="VCY31" s="290"/>
      <c r="VCZ31" s="290"/>
      <c r="VDA31" s="290"/>
      <c r="VDB31" s="290"/>
      <c r="VDC31" s="290"/>
      <c r="VDD31" s="290"/>
      <c r="VDE31" s="290"/>
      <c r="VDF31" s="290"/>
      <c r="VDG31" s="290"/>
      <c r="VDH31" s="290"/>
      <c r="VDI31" s="290"/>
      <c r="VDJ31" s="290"/>
      <c r="VDK31" s="290"/>
      <c r="VDL31" s="290"/>
      <c r="VDM31" s="290"/>
      <c r="VDN31" s="290"/>
      <c r="VDO31" s="290"/>
      <c r="VDP31" s="290"/>
      <c r="VDQ31" s="290"/>
      <c r="VDR31" s="290"/>
      <c r="VDS31" s="290"/>
      <c r="VDT31" s="290"/>
      <c r="VDU31" s="290"/>
      <c r="VDV31" s="290"/>
      <c r="VDW31" s="290"/>
      <c r="VDX31" s="290"/>
      <c r="VDY31" s="290"/>
      <c r="VDZ31" s="290"/>
      <c r="VEA31" s="290"/>
      <c r="VEB31" s="290"/>
      <c r="VEC31" s="290"/>
      <c r="VED31" s="290"/>
      <c r="VEE31" s="290"/>
      <c r="VEF31" s="290"/>
      <c r="VEG31" s="290"/>
      <c r="VEH31" s="290"/>
      <c r="VEI31" s="290"/>
      <c r="VEJ31" s="290"/>
      <c r="VEK31" s="290"/>
      <c r="VEL31" s="290"/>
      <c r="VEM31" s="290"/>
      <c r="VEN31" s="290"/>
      <c r="VEO31" s="290"/>
      <c r="VEP31" s="290"/>
      <c r="VEQ31" s="290"/>
      <c r="VER31" s="290"/>
      <c r="VES31" s="290"/>
      <c r="VET31" s="290"/>
      <c r="VEU31" s="290"/>
      <c r="VEV31" s="290"/>
      <c r="VEW31" s="290"/>
      <c r="VEX31" s="290"/>
      <c r="VEY31" s="290"/>
      <c r="VEZ31" s="290"/>
      <c r="VFA31" s="290"/>
      <c r="VFB31" s="290"/>
      <c r="VFC31" s="290"/>
      <c r="VFD31" s="290"/>
      <c r="VFE31" s="290"/>
      <c r="VFF31" s="290"/>
      <c r="VFG31" s="290"/>
      <c r="VFH31" s="290"/>
      <c r="VFI31" s="290"/>
      <c r="VFJ31" s="290"/>
      <c r="VFK31" s="290"/>
      <c r="VFL31" s="290"/>
      <c r="VFM31" s="290"/>
      <c r="VFN31" s="290"/>
      <c r="VFO31" s="290"/>
      <c r="VFP31" s="290"/>
      <c r="VFQ31" s="290"/>
      <c r="VFR31" s="290"/>
      <c r="VFS31" s="290"/>
      <c r="VFT31" s="290"/>
      <c r="VFU31" s="290"/>
      <c r="VFV31" s="290"/>
      <c r="VFW31" s="290"/>
      <c r="VFX31" s="290"/>
      <c r="VFY31" s="290"/>
      <c r="VFZ31" s="290"/>
      <c r="VGA31" s="290"/>
      <c r="VGB31" s="290"/>
      <c r="VGC31" s="290"/>
      <c r="VGD31" s="290"/>
      <c r="VGE31" s="290"/>
      <c r="VGF31" s="290"/>
      <c r="VGG31" s="290"/>
      <c r="VGH31" s="290"/>
      <c r="VGI31" s="290"/>
      <c r="VGJ31" s="290"/>
      <c r="VGK31" s="290"/>
      <c r="VGL31" s="290"/>
      <c r="VGM31" s="290"/>
      <c r="VGN31" s="290"/>
      <c r="VGO31" s="290"/>
      <c r="VGP31" s="290"/>
      <c r="VGQ31" s="290"/>
      <c r="VGR31" s="290"/>
      <c r="VGS31" s="290"/>
      <c r="VGT31" s="290"/>
      <c r="VGU31" s="290"/>
      <c r="VGV31" s="290"/>
      <c r="VGW31" s="290"/>
      <c r="VGX31" s="290"/>
      <c r="VGY31" s="290"/>
      <c r="VGZ31" s="290"/>
      <c r="VHA31" s="290"/>
      <c r="VHB31" s="290"/>
      <c r="VHC31" s="290"/>
      <c r="VHD31" s="290"/>
      <c r="VHE31" s="290"/>
      <c r="VHF31" s="290"/>
      <c r="VHG31" s="290"/>
      <c r="VHH31" s="290"/>
      <c r="VHI31" s="290"/>
      <c r="VHJ31" s="290"/>
      <c r="VHK31" s="290"/>
      <c r="VHL31" s="290"/>
      <c r="VHM31" s="290"/>
      <c r="VHN31" s="290"/>
      <c r="VHO31" s="290"/>
      <c r="VHP31" s="290"/>
      <c r="VHQ31" s="290"/>
      <c r="VHR31" s="290"/>
      <c r="VHS31" s="290"/>
      <c r="VHT31" s="290"/>
      <c r="VHU31" s="290"/>
      <c r="VHV31" s="290"/>
      <c r="VHW31" s="290"/>
      <c r="VHX31" s="290"/>
      <c r="VHY31" s="290"/>
      <c r="VHZ31" s="290"/>
      <c r="VIA31" s="290"/>
      <c r="VIB31" s="290"/>
      <c r="VIC31" s="290"/>
      <c r="VID31" s="290"/>
      <c r="VIE31" s="290"/>
      <c r="VIF31" s="290"/>
      <c r="VIG31" s="290"/>
      <c r="VIH31" s="290"/>
      <c r="VII31" s="290"/>
      <c r="VIJ31" s="290"/>
      <c r="VIK31" s="290"/>
      <c r="VIL31" s="290"/>
      <c r="VIM31" s="290"/>
      <c r="VIN31" s="290"/>
      <c r="VIO31" s="290"/>
      <c r="VIP31" s="290"/>
      <c r="VIQ31" s="290"/>
      <c r="VIR31" s="290"/>
      <c r="VIS31" s="290"/>
      <c r="VIT31" s="290"/>
      <c r="VIU31" s="290"/>
      <c r="VIV31" s="290"/>
      <c r="VIW31" s="290"/>
      <c r="VIX31" s="290"/>
      <c r="VIY31" s="290"/>
      <c r="VIZ31" s="290"/>
      <c r="VJA31" s="290"/>
      <c r="VJB31" s="290"/>
      <c r="VJC31" s="290"/>
      <c r="VJD31" s="290"/>
      <c r="VJE31" s="290"/>
      <c r="VJF31" s="290"/>
      <c r="VJG31" s="290"/>
      <c r="VJH31" s="290"/>
      <c r="VJI31" s="290"/>
      <c r="VJJ31" s="290"/>
      <c r="VJK31" s="290"/>
      <c r="VJL31" s="290"/>
      <c r="VJM31" s="290"/>
      <c r="VJN31" s="290"/>
      <c r="VJO31" s="290"/>
      <c r="VJP31" s="290"/>
      <c r="VJQ31" s="290"/>
      <c r="VJR31" s="290"/>
      <c r="VJS31" s="290"/>
      <c r="VJT31" s="290"/>
      <c r="VJU31" s="290"/>
      <c r="VJV31" s="290"/>
      <c r="VJW31" s="290"/>
      <c r="VJX31" s="290"/>
      <c r="VJY31" s="290"/>
      <c r="VJZ31" s="290"/>
      <c r="VKA31" s="290"/>
      <c r="VKB31" s="290"/>
      <c r="VKC31" s="290"/>
      <c r="VKD31" s="290"/>
      <c r="VKE31" s="290"/>
      <c r="VKF31" s="290"/>
      <c r="VKG31" s="290"/>
      <c r="VKH31" s="290"/>
      <c r="VKI31" s="290"/>
      <c r="VKJ31" s="290"/>
      <c r="VKK31" s="290"/>
      <c r="VKL31" s="290"/>
      <c r="VKM31" s="290"/>
      <c r="VKN31" s="290"/>
      <c r="VKO31" s="290"/>
      <c r="VKP31" s="290"/>
      <c r="VKQ31" s="290"/>
      <c r="VKR31" s="290"/>
      <c r="VKS31" s="290"/>
      <c r="VKT31" s="290"/>
      <c r="VKU31" s="290"/>
      <c r="VKV31" s="290"/>
      <c r="VKW31" s="290"/>
      <c r="VKX31" s="290"/>
      <c r="VKY31" s="290"/>
      <c r="VKZ31" s="290"/>
      <c r="VLA31" s="290"/>
      <c r="VLB31" s="290"/>
      <c r="VLC31" s="290"/>
      <c r="VLD31" s="290"/>
      <c r="VLE31" s="290"/>
      <c r="VLF31" s="290"/>
      <c r="VLG31" s="290"/>
      <c r="VLH31" s="290"/>
      <c r="VLI31" s="290"/>
      <c r="VLJ31" s="290"/>
      <c r="VLK31" s="290"/>
      <c r="VLL31" s="290"/>
      <c r="VLM31" s="290"/>
      <c r="VLN31" s="290"/>
      <c r="VLO31" s="290"/>
      <c r="VLP31" s="290"/>
      <c r="VLQ31" s="290"/>
      <c r="VLR31" s="290"/>
      <c r="VLS31" s="290"/>
      <c r="VLT31" s="290"/>
      <c r="VLU31" s="290"/>
      <c r="VLV31" s="290"/>
      <c r="VLW31" s="290"/>
      <c r="VLX31" s="290"/>
      <c r="VLY31" s="290"/>
      <c r="VLZ31" s="290"/>
      <c r="VMA31" s="290"/>
      <c r="VMB31" s="290"/>
      <c r="VMC31" s="290"/>
      <c r="VMD31" s="290"/>
      <c r="VME31" s="290"/>
      <c r="VMF31" s="290"/>
      <c r="VMG31" s="290"/>
      <c r="VMH31" s="290"/>
      <c r="VMI31" s="290"/>
      <c r="VMJ31" s="290"/>
      <c r="VMK31" s="290"/>
      <c r="VML31" s="290"/>
      <c r="VMM31" s="290"/>
      <c r="VMN31" s="290"/>
      <c r="VMO31" s="290"/>
      <c r="VMP31" s="290"/>
      <c r="VMQ31" s="290"/>
      <c r="VMR31" s="290"/>
      <c r="VMS31" s="290"/>
      <c r="VMT31" s="290"/>
      <c r="VMU31" s="290"/>
      <c r="VMV31" s="290"/>
      <c r="VMW31" s="290"/>
      <c r="VMX31" s="290"/>
      <c r="VMY31" s="290"/>
      <c r="VMZ31" s="290"/>
      <c r="VNA31" s="290"/>
      <c r="VNB31" s="290"/>
      <c r="VNC31" s="290"/>
      <c r="VND31" s="290"/>
      <c r="VNE31" s="290"/>
      <c r="VNF31" s="290"/>
      <c r="VNG31" s="290"/>
      <c r="VNH31" s="290"/>
      <c r="VNI31" s="290"/>
      <c r="VNJ31" s="290"/>
      <c r="VNK31" s="290"/>
      <c r="VNL31" s="290"/>
      <c r="VNM31" s="290"/>
      <c r="VNN31" s="290"/>
      <c r="VNO31" s="290"/>
      <c r="VNP31" s="290"/>
      <c r="VNQ31" s="290"/>
      <c r="VNR31" s="290"/>
      <c r="VNS31" s="290"/>
      <c r="VNT31" s="290"/>
      <c r="VNU31" s="290"/>
      <c r="VNV31" s="290"/>
      <c r="VNW31" s="290"/>
      <c r="VNX31" s="290"/>
      <c r="VNY31" s="290"/>
      <c r="VNZ31" s="290"/>
      <c r="VOA31" s="290"/>
      <c r="VOB31" s="290"/>
      <c r="VOC31" s="290"/>
      <c r="VOD31" s="290"/>
      <c r="VOE31" s="290"/>
      <c r="VOF31" s="290"/>
      <c r="VOG31" s="290"/>
      <c r="VOH31" s="290"/>
      <c r="VOI31" s="290"/>
      <c r="VOJ31" s="290"/>
      <c r="VOK31" s="290"/>
      <c r="VOL31" s="290"/>
      <c r="VOM31" s="290"/>
      <c r="VON31" s="290"/>
      <c r="VOO31" s="290"/>
      <c r="VOP31" s="290"/>
      <c r="VOQ31" s="290"/>
      <c r="VOR31" s="290"/>
      <c r="VOS31" s="290"/>
      <c r="VOT31" s="290"/>
      <c r="VOU31" s="290"/>
      <c r="VOV31" s="290"/>
      <c r="VOW31" s="290"/>
      <c r="VOX31" s="290"/>
      <c r="VOY31" s="290"/>
      <c r="VOZ31" s="290"/>
      <c r="VPA31" s="290"/>
      <c r="VPB31" s="290"/>
      <c r="VPC31" s="290"/>
      <c r="VPD31" s="290"/>
      <c r="VPE31" s="290"/>
      <c r="VPF31" s="290"/>
      <c r="VPG31" s="290"/>
      <c r="VPH31" s="290"/>
      <c r="VPI31" s="290"/>
      <c r="VPJ31" s="290"/>
      <c r="VPK31" s="290"/>
      <c r="VPL31" s="290"/>
      <c r="VPM31" s="290"/>
      <c r="VPN31" s="290"/>
      <c r="VPO31" s="290"/>
      <c r="VPP31" s="290"/>
      <c r="VPQ31" s="290"/>
      <c r="VPR31" s="290"/>
      <c r="VPS31" s="290"/>
      <c r="VPT31" s="290"/>
      <c r="VPU31" s="290"/>
      <c r="VPV31" s="290"/>
      <c r="VPW31" s="290"/>
      <c r="VPX31" s="290"/>
      <c r="VPY31" s="290"/>
      <c r="VPZ31" s="290"/>
      <c r="VQA31" s="290"/>
      <c r="VQB31" s="290"/>
      <c r="VQC31" s="290"/>
      <c r="VQD31" s="290"/>
      <c r="VQE31" s="290"/>
      <c r="VQF31" s="290"/>
      <c r="VQG31" s="290"/>
      <c r="VQH31" s="290"/>
      <c r="VQI31" s="290"/>
      <c r="VQJ31" s="290"/>
      <c r="VQK31" s="290"/>
      <c r="VQL31" s="290"/>
      <c r="VQM31" s="290"/>
      <c r="VQN31" s="290"/>
      <c r="VQO31" s="290"/>
      <c r="VQP31" s="290"/>
      <c r="VQQ31" s="290"/>
      <c r="VQR31" s="290"/>
      <c r="VQS31" s="290"/>
      <c r="VQT31" s="290"/>
      <c r="VQU31" s="290"/>
      <c r="VQV31" s="290"/>
      <c r="VQW31" s="290"/>
      <c r="VQX31" s="290"/>
      <c r="VQY31" s="290"/>
      <c r="VQZ31" s="290"/>
      <c r="VRA31" s="290"/>
      <c r="VRB31" s="290"/>
      <c r="VRC31" s="290"/>
      <c r="VRD31" s="290"/>
      <c r="VRE31" s="290"/>
      <c r="VRF31" s="290"/>
      <c r="VRG31" s="290"/>
      <c r="VRH31" s="290"/>
      <c r="VRI31" s="290"/>
      <c r="VRJ31" s="290"/>
      <c r="VRK31" s="290"/>
      <c r="VRL31" s="290"/>
      <c r="VRM31" s="290"/>
      <c r="VRN31" s="290"/>
      <c r="VRO31" s="290"/>
      <c r="VRP31" s="290"/>
      <c r="VRQ31" s="290"/>
      <c r="VRR31" s="290"/>
      <c r="VRS31" s="290"/>
      <c r="VRT31" s="290"/>
      <c r="VRU31" s="290"/>
      <c r="VRV31" s="290"/>
      <c r="VRW31" s="290"/>
      <c r="VRX31" s="290"/>
      <c r="VRY31" s="290"/>
      <c r="VRZ31" s="290"/>
      <c r="VSA31" s="290"/>
      <c r="VSB31" s="290"/>
      <c r="VSC31" s="290"/>
      <c r="VSD31" s="290"/>
      <c r="VSE31" s="290"/>
      <c r="VSF31" s="290"/>
      <c r="VSG31" s="290"/>
      <c r="VSH31" s="290"/>
      <c r="VSI31" s="290"/>
      <c r="VSJ31" s="290"/>
      <c r="VSK31" s="290"/>
      <c r="VSL31" s="290"/>
      <c r="VSM31" s="290"/>
      <c r="VSN31" s="290"/>
      <c r="VSO31" s="290"/>
      <c r="VSP31" s="290"/>
      <c r="VSQ31" s="290"/>
      <c r="VSR31" s="290"/>
      <c r="VSS31" s="290"/>
      <c r="VST31" s="290"/>
      <c r="VSU31" s="290"/>
      <c r="VSV31" s="290"/>
      <c r="VSW31" s="290"/>
      <c r="VSX31" s="290"/>
      <c r="VSY31" s="290"/>
      <c r="VSZ31" s="290"/>
      <c r="VTA31" s="290"/>
      <c r="VTB31" s="290"/>
      <c r="VTC31" s="290"/>
      <c r="VTD31" s="290"/>
      <c r="VTE31" s="290"/>
      <c r="VTF31" s="290"/>
      <c r="VTG31" s="290"/>
      <c r="VTH31" s="290"/>
      <c r="VTI31" s="290"/>
      <c r="VTJ31" s="290"/>
      <c r="VTK31" s="290"/>
      <c r="VTL31" s="290"/>
      <c r="VTM31" s="290"/>
      <c r="VTN31" s="290"/>
      <c r="VTO31" s="290"/>
      <c r="VTP31" s="290"/>
      <c r="VTQ31" s="290"/>
      <c r="VTR31" s="290"/>
      <c r="VTS31" s="290"/>
      <c r="VTT31" s="290"/>
      <c r="VTU31" s="290"/>
      <c r="VTV31" s="290"/>
      <c r="VTW31" s="290"/>
      <c r="VTX31" s="290"/>
      <c r="VTY31" s="290"/>
      <c r="VTZ31" s="290"/>
      <c r="VUA31" s="290"/>
      <c r="VUB31" s="290"/>
      <c r="VUC31" s="290"/>
      <c r="VUD31" s="290"/>
      <c r="VUE31" s="290"/>
      <c r="VUF31" s="290"/>
      <c r="VUG31" s="290"/>
      <c r="VUH31" s="290"/>
      <c r="VUI31" s="290"/>
      <c r="VUJ31" s="290"/>
      <c r="VUK31" s="290"/>
      <c r="VUL31" s="290"/>
      <c r="VUM31" s="290"/>
      <c r="VUN31" s="290"/>
      <c r="VUO31" s="290"/>
      <c r="VUP31" s="290"/>
      <c r="VUQ31" s="290"/>
      <c r="VUR31" s="290"/>
      <c r="VUS31" s="290"/>
      <c r="VUT31" s="290"/>
      <c r="VUU31" s="290"/>
      <c r="VUV31" s="290"/>
      <c r="VUW31" s="290"/>
      <c r="VUX31" s="290"/>
      <c r="VUY31" s="290"/>
      <c r="VUZ31" s="290"/>
      <c r="VVA31" s="290"/>
      <c r="VVB31" s="290"/>
      <c r="VVC31" s="290"/>
      <c r="VVD31" s="290"/>
      <c r="VVE31" s="290"/>
      <c r="VVF31" s="290"/>
      <c r="VVG31" s="290"/>
      <c r="VVH31" s="290"/>
      <c r="VVI31" s="290"/>
      <c r="VVJ31" s="290"/>
      <c r="VVK31" s="290"/>
      <c r="VVL31" s="290"/>
      <c r="VVM31" s="290"/>
      <c r="VVN31" s="290"/>
      <c r="VVO31" s="290"/>
      <c r="VVP31" s="290"/>
      <c r="VVQ31" s="290"/>
      <c r="VVR31" s="290"/>
      <c r="VVS31" s="290"/>
      <c r="VVT31" s="290"/>
      <c r="VVU31" s="290"/>
      <c r="VVV31" s="290"/>
      <c r="VVW31" s="290"/>
      <c r="VVX31" s="290"/>
      <c r="VVY31" s="290"/>
      <c r="VVZ31" s="290"/>
      <c r="VWA31" s="290"/>
      <c r="VWB31" s="290"/>
      <c r="VWC31" s="290"/>
      <c r="VWD31" s="290"/>
      <c r="VWE31" s="290"/>
      <c r="VWF31" s="290"/>
      <c r="VWG31" s="290"/>
      <c r="VWH31" s="290"/>
      <c r="VWI31" s="290"/>
      <c r="VWJ31" s="290"/>
      <c r="VWK31" s="290"/>
      <c r="VWL31" s="290"/>
      <c r="VWM31" s="290"/>
      <c r="VWN31" s="290"/>
      <c r="VWO31" s="290"/>
      <c r="VWP31" s="290"/>
      <c r="VWQ31" s="290"/>
      <c r="VWR31" s="290"/>
      <c r="VWS31" s="290"/>
      <c r="VWT31" s="290"/>
      <c r="VWU31" s="290"/>
      <c r="VWV31" s="290"/>
      <c r="VWW31" s="290"/>
      <c r="VWX31" s="290"/>
      <c r="VWY31" s="290"/>
      <c r="VWZ31" s="290"/>
      <c r="VXA31" s="290"/>
      <c r="VXB31" s="290"/>
      <c r="VXC31" s="290"/>
      <c r="VXD31" s="290"/>
      <c r="VXE31" s="290"/>
      <c r="VXF31" s="290"/>
      <c r="VXG31" s="290"/>
      <c r="VXH31" s="290"/>
      <c r="VXI31" s="290"/>
      <c r="VXJ31" s="290"/>
      <c r="VXK31" s="290"/>
      <c r="VXL31" s="290"/>
      <c r="VXM31" s="290"/>
      <c r="VXN31" s="290"/>
      <c r="VXO31" s="290"/>
      <c r="VXP31" s="290"/>
      <c r="VXQ31" s="290"/>
      <c r="VXR31" s="290"/>
      <c r="VXS31" s="290"/>
      <c r="VXT31" s="290"/>
      <c r="VXU31" s="290"/>
      <c r="VXV31" s="290"/>
      <c r="VXW31" s="290"/>
      <c r="VXX31" s="290"/>
      <c r="VXY31" s="290"/>
      <c r="VXZ31" s="290"/>
      <c r="VYA31" s="290"/>
      <c r="VYB31" s="290"/>
      <c r="VYC31" s="290"/>
      <c r="VYD31" s="290"/>
      <c r="VYE31" s="290"/>
      <c r="VYF31" s="290"/>
      <c r="VYG31" s="290"/>
      <c r="VYH31" s="290"/>
      <c r="VYI31" s="290"/>
      <c r="VYJ31" s="290"/>
      <c r="VYK31" s="290"/>
      <c r="VYL31" s="290"/>
      <c r="VYM31" s="290"/>
      <c r="VYN31" s="290"/>
      <c r="VYO31" s="290"/>
      <c r="VYP31" s="290"/>
      <c r="VYQ31" s="290"/>
      <c r="VYR31" s="290"/>
      <c r="VYS31" s="290"/>
      <c r="VYT31" s="290"/>
      <c r="VYU31" s="290"/>
      <c r="VYV31" s="290"/>
      <c r="VYW31" s="290"/>
      <c r="VYX31" s="290"/>
      <c r="VYY31" s="290"/>
      <c r="VYZ31" s="290"/>
      <c r="VZA31" s="290"/>
      <c r="VZB31" s="290"/>
      <c r="VZC31" s="290"/>
      <c r="VZD31" s="290"/>
      <c r="VZE31" s="290"/>
      <c r="VZF31" s="290"/>
      <c r="VZG31" s="290"/>
      <c r="VZH31" s="290"/>
      <c r="VZI31" s="290"/>
      <c r="VZJ31" s="290"/>
      <c r="VZK31" s="290"/>
      <c r="VZL31" s="290"/>
      <c r="VZM31" s="290"/>
      <c r="VZN31" s="290"/>
      <c r="VZO31" s="290"/>
      <c r="VZP31" s="290"/>
      <c r="VZQ31" s="290"/>
      <c r="VZR31" s="290"/>
      <c r="VZS31" s="290"/>
      <c r="VZT31" s="290"/>
      <c r="VZU31" s="290"/>
      <c r="VZV31" s="290"/>
      <c r="VZW31" s="290"/>
      <c r="VZX31" s="290"/>
      <c r="VZY31" s="290"/>
      <c r="VZZ31" s="290"/>
      <c r="WAA31" s="290"/>
      <c r="WAB31" s="290"/>
      <c r="WAC31" s="290"/>
      <c r="WAD31" s="290"/>
      <c r="WAE31" s="290"/>
      <c r="WAF31" s="290"/>
      <c r="WAG31" s="290"/>
      <c r="WAH31" s="290"/>
      <c r="WAI31" s="290"/>
      <c r="WAJ31" s="290"/>
      <c r="WAK31" s="290"/>
      <c r="WAL31" s="290"/>
      <c r="WAM31" s="290"/>
      <c r="WAN31" s="290"/>
      <c r="WAO31" s="290"/>
      <c r="WAP31" s="290"/>
      <c r="WAQ31" s="290"/>
      <c r="WAR31" s="290"/>
      <c r="WAS31" s="290"/>
      <c r="WAT31" s="290"/>
      <c r="WAU31" s="290"/>
      <c r="WAV31" s="290"/>
      <c r="WAW31" s="290"/>
      <c r="WAX31" s="290"/>
      <c r="WAY31" s="290"/>
      <c r="WAZ31" s="290"/>
      <c r="WBA31" s="290"/>
      <c r="WBB31" s="290"/>
      <c r="WBC31" s="290"/>
      <c r="WBD31" s="290"/>
      <c r="WBE31" s="290"/>
      <c r="WBF31" s="290"/>
      <c r="WBG31" s="290"/>
      <c r="WBH31" s="290"/>
      <c r="WBI31" s="290"/>
      <c r="WBJ31" s="290"/>
      <c r="WBK31" s="290"/>
      <c r="WBL31" s="290"/>
      <c r="WBM31" s="290"/>
      <c r="WBN31" s="290"/>
      <c r="WBO31" s="290"/>
      <c r="WBP31" s="290"/>
      <c r="WBQ31" s="290"/>
      <c r="WBR31" s="290"/>
      <c r="WBS31" s="290"/>
      <c r="WBT31" s="290"/>
      <c r="WBU31" s="290"/>
      <c r="WBV31" s="290"/>
      <c r="WBW31" s="290"/>
      <c r="WBX31" s="290"/>
      <c r="WBY31" s="290"/>
      <c r="WBZ31" s="290"/>
      <c r="WCA31" s="290"/>
      <c r="WCB31" s="290"/>
      <c r="WCC31" s="290"/>
      <c r="WCD31" s="290"/>
      <c r="WCE31" s="290"/>
      <c r="WCF31" s="290"/>
      <c r="WCG31" s="290"/>
      <c r="WCH31" s="290"/>
      <c r="WCI31" s="290"/>
      <c r="WCJ31" s="290"/>
      <c r="WCK31" s="290"/>
      <c r="WCL31" s="290"/>
      <c r="WCM31" s="290"/>
      <c r="WCN31" s="290"/>
      <c r="WCO31" s="290"/>
      <c r="WCP31" s="290"/>
      <c r="WCQ31" s="290"/>
      <c r="WCR31" s="290"/>
      <c r="WCS31" s="290"/>
      <c r="WCT31" s="290"/>
      <c r="WCU31" s="290"/>
      <c r="WCV31" s="290"/>
      <c r="WCW31" s="290"/>
      <c r="WCX31" s="290"/>
      <c r="WCY31" s="290"/>
      <c r="WCZ31" s="290"/>
      <c r="WDA31" s="290"/>
      <c r="WDB31" s="290"/>
      <c r="WDC31" s="290"/>
      <c r="WDD31" s="290"/>
      <c r="WDE31" s="290"/>
      <c r="WDF31" s="290"/>
      <c r="WDG31" s="290"/>
      <c r="WDH31" s="290"/>
      <c r="WDI31" s="290"/>
      <c r="WDJ31" s="290"/>
      <c r="WDK31" s="290"/>
      <c r="WDL31" s="290"/>
      <c r="WDM31" s="290"/>
      <c r="WDN31" s="290"/>
      <c r="WDO31" s="290"/>
      <c r="WDP31" s="290"/>
      <c r="WDQ31" s="290"/>
      <c r="WDR31" s="290"/>
      <c r="WDS31" s="290"/>
      <c r="WDT31" s="290"/>
      <c r="WDU31" s="290"/>
      <c r="WDV31" s="290"/>
      <c r="WDW31" s="290"/>
      <c r="WDX31" s="290"/>
      <c r="WDY31" s="290"/>
      <c r="WDZ31" s="290"/>
      <c r="WEA31" s="290"/>
      <c r="WEB31" s="290"/>
      <c r="WEC31" s="290"/>
      <c r="WED31" s="290"/>
      <c r="WEE31" s="290"/>
      <c r="WEF31" s="290"/>
      <c r="WEG31" s="290"/>
      <c r="WEH31" s="290"/>
      <c r="WEI31" s="290"/>
      <c r="WEJ31" s="290"/>
      <c r="WEK31" s="290"/>
      <c r="WEL31" s="290"/>
      <c r="WEM31" s="290"/>
      <c r="WEN31" s="290"/>
      <c r="WEO31" s="290"/>
      <c r="WEP31" s="290"/>
      <c r="WEQ31" s="290"/>
      <c r="WER31" s="290"/>
      <c r="WES31" s="290"/>
      <c r="WET31" s="290"/>
      <c r="WEU31" s="290"/>
      <c r="WEV31" s="290"/>
      <c r="WEW31" s="290"/>
      <c r="WEX31" s="290"/>
      <c r="WEY31" s="290"/>
      <c r="WEZ31" s="290"/>
      <c r="WFA31" s="290"/>
      <c r="WFB31" s="290"/>
      <c r="WFC31" s="290"/>
      <c r="WFD31" s="290"/>
      <c r="WFE31" s="290"/>
      <c r="WFF31" s="290"/>
      <c r="WFG31" s="290"/>
      <c r="WFH31" s="290"/>
      <c r="WFI31" s="290"/>
      <c r="WFJ31" s="290"/>
      <c r="WFK31" s="290"/>
      <c r="WFL31" s="290"/>
      <c r="WFM31" s="290"/>
      <c r="WFN31" s="290"/>
      <c r="WFO31" s="290"/>
      <c r="WFP31" s="290"/>
      <c r="WFQ31" s="290"/>
      <c r="WFR31" s="290"/>
      <c r="WFS31" s="290"/>
      <c r="WFT31" s="290"/>
      <c r="WFU31" s="290"/>
      <c r="WFV31" s="290"/>
      <c r="WFW31" s="290"/>
      <c r="WFX31" s="290"/>
      <c r="WFY31" s="290"/>
      <c r="WFZ31" s="290"/>
      <c r="WGA31" s="290"/>
      <c r="WGB31" s="290"/>
      <c r="WGC31" s="290"/>
      <c r="WGD31" s="290"/>
      <c r="WGE31" s="290"/>
      <c r="WGF31" s="290"/>
      <c r="WGG31" s="290"/>
      <c r="WGH31" s="290"/>
      <c r="WGI31" s="290"/>
      <c r="WGJ31" s="290"/>
      <c r="WGK31" s="290"/>
      <c r="WGL31" s="290"/>
      <c r="WGM31" s="290"/>
      <c r="WGN31" s="290"/>
      <c r="WGO31" s="290"/>
      <c r="WGP31" s="290"/>
      <c r="WGQ31" s="290"/>
      <c r="WGR31" s="290"/>
      <c r="WGS31" s="290"/>
      <c r="WGT31" s="290"/>
      <c r="WGU31" s="290"/>
      <c r="WGV31" s="290"/>
      <c r="WGW31" s="290"/>
      <c r="WGX31" s="290"/>
      <c r="WGY31" s="290"/>
      <c r="WGZ31" s="290"/>
      <c r="WHA31" s="290"/>
      <c r="WHB31" s="290"/>
      <c r="WHC31" s="290"/>
      <c r="WHD31" s="290"/>
      <c r="WHE31" s="290"/>
      <c r="WHF31" s="290"/>
      <c r="WHG31" s="290"/>
      <c r="WHH31" s="290"/>
      <c r="WHI31" s="290"/>
      <c r="WHJ31" s="290"/>
      <c r="WHK31" s="290"/>
      <c r="WHL31" s="290"/>
      <c r="WHM31" s="290"/>
      <c r="WHN31" s="290"/>
      <c r="WHO31" s="290"/>
      <c r="WHP31" s="290"/>
      <c r="WHQ31" s="290"/>
      <c r="WHR31" s="290"/>
      <c r="WHS31" s="290"/>
      <c r="WHT31" s="290"/>
      <c r="WHU31" s="290"/>
      <c r="WHV31" s="290"/>
      <c r="WHW31" s="290"/>
      <c r="WHX31" s="290"/>
      <c r="WHY31" s="290"/>
      <c r="WHZ31" s="290"/>
      <c r="WIA31" s="290"/>
      <c r="WIB31" s="290"/>
      <c r="WIC31" s="290"/>
      <c r="WID31" s="290"/>
      <c r="WIE31" s="290"/>
      <c r="WIF31" s="290"/>
      <c r="WIG31" s="290"/>
      <c r="WIH31" s="290"/>
      <c r="WII31" s="290"/>
      <c r="WIJ31" s="290"/>
      <c r="WIK31" s="290"/>
      <c r="WIL31" s="290"/>
      <c r="WIM31" s="290"/>
      <c r="WIN31" s="290"/>
      <c r="WIO31" s="290"/>
      <c r="WIP31" s="290"/>
      <c r="WIQ31" s="290"/>
      <c r="WIR31" s="290"/>
      <c r="WIS31" s="290"/>
      <c r="WIT31" s="290"/>
      <c r="WIU31" s="290"/>
      <c r="WIV31" s="290"/>
      <c r="WIW31" s="290"/>
      <c r="WIX31" s="290"/>
      <c r="WIY31" s="290"/>
      <c r="WIZ31" s="290"/>
      <c r="WJA31" s="290"/>
      <c r="WJB31" s="290"/>
      <c r="WJC31" s="290"/>
      <c r="WJD31" s="290"/>
      <c r="WJE31" s="290"/>
      <c r="WJF31" s="290"/>
      <c r="WJG31" s="290"/>
      <c r="WJH31" s="290"/>
      <c r="WJI31" s="290"/>
      <c r="WJJ31" s="290"/>
      <c r="WJK31" s="290"/>
      <c r="WJL31" s="290"/>
      <c r="WJM31" s="290"/>
      <c r="WJN31" s="290"/>
      <c r="WJO31" s="290"/>
      <c r="WJP31" s="290"/>
      <c r="WJQ31" s="290"/>
      <c r="WJR31" s="290"/>
      <c r="WJS31" s="290"/>
      <c r="WJT31" s="290"/>
      <c r="WJU31" s="290"/>
      <c r="WJV31" s="290"/>
      <c r="WJW31" s="290"/>
      <c r="WJX31" s="290"/>
      <c r="WJY31" s="290"/>
      <c r="WJZ31" s="290"/>
      <c r="WKA31" s="290"/>
      <c r="WKB31" s="290"/>
      <c r="WKC31" s="290"/>
      <c r="WKD31" s="290"/>
      <c r="WKE31" s="290"/>
      <c r="WKF31" s="290"/>
      <c r="WKG31" s="290"/>
      <c r="WKH31" s="290"/>
      <c r="WKI31" s="290"/>
      <c r="WKJ31" s="290"/>
      <c r="WKK31" s="290"/>
      <c r="WKL31" s="290"/>
      <c r="WKM31" s="290"/>
      <c r="WKN31" s="290"/>
      <c r="WKO31" s="290"/>
      <c r="WKP31" s="290"/>
      <c r="WKQ31" s="290"/>
      <c r="WKR31" s="290"/>
      <c r="WKS31" s="290"/>
      <c r="WKT31" s="290"/>
      <c r="WKU31" s="290"/>
      <c r="WKV31" s="290"/>
      <c r="WKW31" s="290"/>
      <c r="WKX31" s="290"/>
      <c r="WKY31" s="290"/>
      <c r="WKZ31" s="290"/>
      <c r="WLA31" s="290"/>
      <c r="WLB31" s="290"/>
      <c r="WLC31" s="290"/>
      <c r="WLD31" s="290"/>
      <c r="WLE31" s="290"/>
      <c r="WLF31" s="290"/>
      <c r="WLG31" s="290"/>
      <c r="WLH31" s="290"/>
      <c r="WLI31" s="290"/>
      <c r="WLJ31" s="290"/>
      <c r="WLK31" s="290"/>
      <c r="WLL31" s="290"/>
      <c r="WLM31" s="290"/>
      <c r="WLN31" s="290"/>
      <c r="WLO31" s="290"/>
      <c r="WLP31" s="290"/>
      <c r="WLQ31" s="290"/>
      <c r="WLR31" s="290"/>
      <c r="WLS31" s="290"/>
      <c r="WLT31" s="290"/>
      <c r="WLU31" s="290"/>
      <c r="WLV31" s="290"/>
      <c r="WLW31" s="290"/>
      <c r="WLX31" s="290"/>
      <c r="WLY31" s="290"/>
      <c r="WLZ31" s="290"/>
      <c r="WMA31" s="290"/>
      <c r="WMB31" s="290"/>
      <c r="WMC31" s="290"/>
      <c r="WMD31" s="290"/>
      <c r="WME31" s="290"/>
      <c r="WMF31" s="290"/>
      <c r="WMG31" s="290"/>
      <c r="WMH31" s="290"/>
      <c r="WMI31" s="290"/>
      <c r="WMJ31" s="290"/>
      <c r="WMK31" s="290"/>
      <c r="WML31" s="290"/>
      <c r="WMM31" s="290"/>
      <c r="WMN31" s="290"/>
      <c r="WMO31" s="290"/>
      <c r="WMP31" s="290"/>
      <c r="WMQ31" s="290"/>
      <c r="WMR31" s="290"/>
      <c r="WMS31" s="290"/>
      <c r="WMT31" s="290"/>
      <c r="WMU31" s="290"/>
      <c r="WMV31" s="290"/>
      <c r="WMW31" s="290"/>
      <c r="WMX31" s="290"/>
      <c r="WMY31" s="290"/>
      <c r="WMZ31" s="290"/>
      <c r="WNA31" s="290"/>
      <c r="WNB31" s="290"/>
      <c r="WNC31" s="290"/>
      <c r="WND31" s="290"/>
      <c r="WNE31" s="290"/>
      <c r="WNF31" s="290"/>
      <c r="WNG31" s="290"/>
      <c r="WNH31" s="290"/>
      <c r="WNI31" s="290"/>
      <c r="WNJ31" s="290"/>
      <c r="WNK31" s="290"/>
      <c r="WNL31" s="290"/>
      <c r="WNM31" s="290"/>
      <c r="WNN31" s="290"/>
      <c r="WNO31" s="290"/>
      <c r="WNP31" s="290"/>
      <c r="WNQ31" s="290"/>
      <c r="WNR31" s="290"/>
      <c r="WNS31" s="290"/>
      <c r="WNT31" s="290"/>
      <c r="WNU31" s="290"/>
      <c r="WNV31" s="290"/>
      <c r="WNW31" s="290"/>
      <c r="WNX31" s="290"/>
      <c r="WNY31" s="290"/>
      <c r="WNZ31" s="290"/>
      <c r="WOA31" s="290"/>
      <c r="WOB31" s="290"/>
      <c r="WOC31" s="290"/>
      <c r="WOD31" s="290"/>
      <c r="WOE31" s="290"/>
      <c r="WOF31" s="290"/>
      <c r="WOG31" s="290"/>
      <c r="WOH31" s="290"/>
      <c r="WOI31" s="290"/>
      <c r="WOJ31" s="290"/>
      <c r="WOK31" s="290"/>
      <c r="WOL31" s="290"/>
      <c r="WOM31" s="290"/>
      <c r="WON31" s="290"/>
      <c r="WOO31" s="290"/>
      <c r="WOP31" s="290"/>
      <c r="WOQ31" s="290"/>
      <c r="WOR31" s="290"/>
      <c r="WOS31" s="290"/>
      <c r="WOT31" s="290"/>
      <c r="WOU31" s="290"/>
      <c r="WOV31" s="290"/>
      <c r="WOW31" s="290"/>
      <c r="WOX31" s="290"/>
      <c r="WOY31" s="290"/>
      <c r="WOZ31" s="290"/>
      <c r="WPA31" s="290"/>
      <c r="WPB31" s="290"/>
      <c r="WPC31" s="290"/>
      <c r="WPD31" s="290"/>
      <c r="WPE31" s="290"/>
      <c r="WPF31" s="290"/>
      <c r="WPG31" s="290"/>
      <c r="WPH31" s="290"/>
      <c r="WPI31" s="290"/>
      <c r="WPJ31" s="290"/>
      <c r="WPK31" s="290"/>
      <c r="WPL31" s="290"/>
      <c r="WPM31" s="290"/>
      <c r="WPN31" s="290"/>
      <c r="WPO31" s="290"/>
      <c r="WPP31" s="290"/>
      <c r="WPQ31" s="290"/>
      <c r="WPR31" s="290"/>
      <c r="WPS31" s="290"/>
      <c r="WPT31" s="290"/>
      <c r="WPU31" s="290"/>
      <c r="WPV31" s="290"/>
      <c r="WPW31" s="290"/>
      <c r="WPX31" s="290"/>
      <c r="WPY31" s="290"/>
      <c r="WPZ31" s="290"/>
      <c r="WQA31" s="290"/>
      <c r="WQB31" s="290"/>
      <c r="WQC31" s="290"/>
      <c r="WQD31" s="290"/>
      <c r="WQE31" s="290"/>
      <c r="WQF31" s="290"/>
      <c r="WQG31" s="290"/>
      <c r="WQH31" s="290"/>
      <c r="WQI31" s="290"/>
      <c r="WQJ31" s="290"/>
      <c r="WQK31" s="290"/>
      <c r="WQL31" s="290"/>
      <c r="WQM31" s="290"/>
      <c r="WQN31" s="290"/>
      <c r="WQO31" s="290"/>
      <c r="WQP31" s="290"/>
      <c r="WQQ31" s="290"/>
      <c r="WQR31" s="290"/>
      <c r="WQS31" s="290"/>
      <c r="WQT31" s="290"/>
      <c r="WQU31" s="290"/>
      <c r="WQV31" s="290"/>
      <c r="WQW31" s="290"/>
      <c r="WQX31" s="290"/>
      <c r="WQY31" s="290"/>
      <c r="WQZ31" s="290"/>
      <c r="WRA31" s="290"/>
      <c r="WRB31" s="290"/>
      <c r="WRC31" s="290"/>
      <c r="WRD31" s="290"/>
      <c r="WRE31" s="290"/>
      <c r="WRF31" s="290"/>
      <c r="WRG31" s="290"/>
      <c r="WRH31" s="290"/>
      <c r="WRI31" s="290"/>
      <c r="WRJ31" s="290"/>
      <c r="WRK31" s="290"/>
      <c r="WRL31" s="290"/>
      <c r="WRM31" s="290"/>
      <c r="WRN31" s="290"/>
      <c r="WRO31" s="290"/>
      <c r="WRP31" s="290"/>
      <c r="WRQ31" s="290"/>
      <c r="WRR31" s="290"/>
      <c r="WRS31" s="290"/>
      <c r="WRT31" s="290"/>
      <c r="WRU31" s="290"/>
      <c r="WRV31" s="290"/>
      <c r="WRW31" s="290"/>
      <c r="WRX31" s="290"/>
      <c r="WRY31" s="290"/>
      <c r="WRZ31" s="290"/>
      <c r="WSA31" s="290"/>
      <c r="WSB31" s="290"/>
      <c r="WSC31" s="290"/>
      <c r="WSD31" s="290"/>
      <c r="WSE31" s="290"/>
      <c r="WSF31" s="290"/>
      <c r="WSG31" s="290"/>
      <c r="WSH31" s="290"/>
      <c r="WSI31" s="290"/>
      <c r="WSJ31" s="290"/>
      <c r="WSK31" s="290"/>
      <c r="WSL31" s="290"/>
      <c r="WSM31" s="290"/>
      <c r="WSN31" s="290"/>
      <c r="WSO31" s="290"/>
      <c r="WSP31" s="290"/>
      <c r="WSQ31" s="290"/>
      <c r="WSR31" s="290"/>
      <c r="WSS31" s="290"/>
      <c r="WST31" s="290"/>
      <c r="WSU31" s="290"/>
      <c r="WSV31" s="290"/>
      <c r="WSW31" s="290"/>
      <c r="WSX31" s="290"/>
      <c r="WSY31" s="290"/>
      <c r="WSZ31" s="290"/>
      <c r="WTA31" s="290"/>
      <c r="WTB31" s="290"/>
      <c r="WTC31" s="290"/>
      <c r="WTD31" s="290"/>
      <c r="WTE31" s="290"/>
      <c r="WTF31" s="290"/>
      <c r="WTG31" s="290"/>
      <c r="WTH31" s="290"/>
      <c r="WTI31" s="290"/>
      <c r="WTJ31" s="290"/>
      <c r="WTK31" s="290"/>
      <c r="WTL31" s="290"/>
      <c r="WTM31" s="290"/>
      <c r="WTN31" s="290"/>
      <c r="WTO31" s="290"/>
      <c r="WTP31" s="290"/>
      <c r="WTQ31" s="290"/>
      <c r="WTR31" s="290"/>
      <c r="WTS31" s="290"/>
      <c r="WTT31" s="290"/>
      <c r="WTU31" s="290"/>
      <c r="WTV31" s="290"/>
      <c r="WTW31" s="290"/>
      <c r="WTX31" s="290"/>
      <c r="WTY31" s="290"/>
      <c r="WTZ31" s="290"/>
      <c r="WUA31" s="290"/>
      <c r="WUB31" s="290"/>
      <c r="WUC31" s="290"/>
      <c r="WUD31" s="290"/>
      <c r="WUE31" s="290"/>
      <c r="WUF31" s="290"/>
      <c r="WUG31" s="290"/>
      <c r="WUH31" s="290"/>
      <c r="WUI31" s="290"/>
      <c r="WUJ31" s="290"/>
      <c r="WUK31" s="290"/>
      <c r="WUL31" s="290"/>
      <c r="WUM31" s="290"/>
      <c r="WUN31" s="290"/>
      <c r="WUO31" s="290"/>
      <c r="WUP31" s="290"/>
      <c r="WUQ31" s="290"/>
      <c r="WUR31" s="290"/>
      <c r="WUS31" s="290"/>
      <c r="WUT31" s="290"/>
      <c r="WUU31" s="290"/>
      <c r="WUV31" s="290"/>
      <c r="WUW31" s="290"/>
      <c r="WUX31" s="290"/>
      <c r="WUY31" s="290"/>
      <c r="WUZ31" s="290"/>
      <c r="WVA31" s="290"/>
      <c r="WVB31" s="290"/>
      <c r="WVC31" s="290"/>
      <c r="WVD31" s="290"/>
      <c r="WVE31" s="290"/>
      <c r="WVF31" s="290"/>
      <c r="WVG31" s="290"/>
      <c r="WVH31" s="290"/>
      <c r="WVI31" s="290"/>
      <c r="WVJ31" s="290"/>
      <c r="WVK31" s="290"/>
      <c r="WVL31" s="290"/>
      <c r="WVM31" s="290"/>
      <c r="WVN31" s="290"/>
      <c r="WVO31" s="290"/>
      <c r="WVP31" s="290"/>
      <c r="WVQ31" s="290"/>
      <c r="WVR31" s="290"/>
      <c r="WVS31" s="290"/>
      <c r="WVT31" s="290"/>
      <c r="WVU31" s="290"/>
      <c r="WVV31" s="290"/>
      <c r="WVW31" s="290"/>
      <c r="WVX31" s="290"/>
      <c r="WVY31" s="290"/>
      <c r="WVZ31" s="290"/>
      <c r="WWA31" s="290"/>
      <c r="WWB31" s="290"/>
      <c r="WWC31" s="290"/>
      <c r="WWD31" s="290"/>
      <c r="WWE31" s="290"/>
      <c r="WWF31" s="290"/>
      <c r="WWG31" s="290"/>
      <c r="WWH31" s="290"/>
      <c r="WWI31" s="290"/>
      <c r="WWJ31" s="290"/>
      <c r="WWK31" s="290"/>
      <c r="WWL31" s="290"/>
      <c r="WWM31" s="290"/>
      <c r="WWN31" s="290"/>
      <c r="WWO31" s="290"/>
      <c r="WWP31" s="290"/>
      <c r="WWQ31" s="290"/>
    </row>
  </sheetData>
  <mergeCells count="95">
    <mergeCell ref="A7:A8"/>
    <mergeCell ref="B7:B8"/>
    <mergeCell ref="Z1:AB1"/>
    <mergeCell ref="V2:W2"/>
    <mergeCell ref="X2:Y2"/>
    <mergeCell ref="Z2:AB2"/>
    <mergeCell ref="A1:B2"/>
    <mergeCell ref="D1:D2"/>
    <mergeCell ref="E1:T2"/>
    <mergeCell ref="V1:W1"/>
    <mergeCell ref="X1:Y1"/>
    <mergeCell ref="AB3:AB4"/>
    <mergeCell ref="A5:A6"/>
    <mergeCell ref="B5:B6"/>
    <mergeCell ref="C5:C6"/>
    <mergeCell ref="V5:V6"/>
    <mergeCell ref="Z5:Z6"/>
    <mergeCell ref="AA5:AA6"/>
    <mergeCell ref="A3:A4"/>
    <mergeCell ref="B3:B4"/>
    <mergeCell ref="C3:C4"/>
    <mergeCell ref="V3:V4"/>
    <mergeCell ref="Z3:Z4"/>
    <mergeCell ref="AA3:AA4"/>
    <mergeCell ref="C7:C8"/>
    <mergeCell ref="V7:V8"/>
    <mergeCell ref="Z7:Z8"/>
    <mergeCell ref="AA11:AA12"/>
    <mergeCell ref="A9:A10"/>
    <mergeCell ref="B9:B10"/>
    <mergeCell ref="C9:C10"/>
    <mergeCell ref="V9:V10"/>
    <mergeCell ref="Z9:Z10"/>
    <mergeCell ref="AA9:AA10"/>
    <mergeCell ref="A11:A12"/>
    <mergeCell ref="B11:B12"/>
    <mergeCell ref="C11:C12"/>
    <mergeCell ref="V11:V12"/>
    <mergeCell ref="Z11:Z12"/>
    <mergeCell ref="AA7:AA8"/>
    <mergeCell ref="AA15:AA16"/>
    <mergeCell ref="A13:A14"/>
    <mergeCell ref="B13:B14"/>
    <mergeCell ref="C13:C14"/>
    <mergeCell ref="V13:V14"/>
    <mergeCell ref="Z13:Z14"/>
    <mergeCell ref="AA13:AA14"/>
    <mergeCell ref="A15:A16"/>
    <mergeCell ref="B15:B16"/>
    <mergeCell ref="C15:C16"/>
    <mergeCell ref="V15:V16"/>
    <mergeCell ref="Z15:Z16"/>
    <mergeCell ref="AA19:AA20"/>
    <mergeCell ref="A17:A18"/>
    <mergeCell ref="B17:B18"/>
    <mergeCell ref="C17:C18"/>
    <mergeCell ref="V17:V18"/>
    <mergeCell ref="Z17:Z18"/>
    <mergeCell ref="AA17:AA18"/>
    <mergeCell ref="A19:A20"/>
    <mergeCell ref="B19:B20"/>
    <mergeCell ref="C19:C20"/>
    <mergeCell ref="V19:V20"/>
    <mergeCell ref="Z19:Z20"/>
    <mergeCell ref="AA23:AA24"/>
    <mergeCell ref="A21:A22"/>
    <mergeCell ref="B21:B22"/>
    <mergeCell ref="C21:C22"/>
    <mergeCell ref="V21:V22"/>
    <mergeCell ref="Z21:Z22"/>
    <mergeCell ref="AA21:AA22"/>
    <mergeCell ref="A23:A24"/>
    <mergeCell ref="B23:B24"/>
    <mergeCell ref="C23:C24"/>
    <mergeCell ref="V23:V24"/>
    <mergeCell ref="Z23:Z24"/>
    <mergeCell ref="AA27:AA28"/>
    <mergeCell ref="A25:A26"/>
    <mergeCell ref="B25:B26"/>
    <mergeCell ref="C25:C26"/>
    <mergeCell ref="V25:V26"/>
    <mergeCell ref="Z25:Z26"/>
    <mergeCell ref="AA25:AA26"/>
    <mergeCell ref="A27:A28"/>
    <mergeCell ref="B27:B28"/>
    <mergeCell ref="C27:C28"/>
    <mergeCell ref="V27:V28"/>
    <mergeCell ref="Z27:Z28"/>
    <mergeCell ref="A31:AB31"/>
    <mergeCell ref="A29:D30"/>
    <mergeCell ref="U29:U30"/>
    <mergeCell ref="V29:V30"/>
    <mergeCell ref="Z29:Z30"/>
    <mergeCell ref="AA29:AA30"/>
    <mergeCell ref="AB29:AB30"/>
  </mergeCells>
  <phoneticPr fontId="3" type="noConversion"/>
  <printOptions horizontalCentered="1"/>
  <pageMargins left="0.19685039370078741" right="0.19685039370078741" top="0.59055118110236227" bottom="0.39370078740157483" header="0.31496062992125984" footer="0.31496062992125984"/>
  <pageSetup paperSize="9" scale="80" orientation="landscape" r:id="rId1"/>
  <headerFooter>
    <oddHeader>&amp;R&amp;"맑은 고딕,보통"&amp;8&amp;K808080K-건설맵 · k-conmap.com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C0DBC-CBAF-412D-9649-DD6367CC4616}">
  <sheetPr>
    <tabColor theme="0"/>
  </sheetPr>
  <dimension ref="A1:D4"/>
  <sheetViews>
    <sheetView view="pageBreakPreview" topLeftCell="B1" zoomScaleSheetLayoutView="100" workbookViewId="0">
      <selection activeCell="D3" sqref="D3"/>
    </sheetView>
  </sheetViews>
  <sheetFormatPr defaultColWidth="9" defaultRowHeight="16.5"/>
  <cols>
    <col min="1" max="1" width="9" style="294"/>
    <col min="2" max="2" width="9.375" style="299" customWidth="1"/>
    <col min="3" max="3" width="45.625" style="294" customWidth="1"/>
    <col min="4" max="4" width="50.5" style="294" customWidth="1"/>
    <col min="5" max="16384" width="9" style="294"/>
  </cols>
  <sheetData>
    <row r="1" spans="1:4" ht="50.25" customHeight="1">
      <c r="A1" s="293" t="s">
        <v>267</v>
      </c>
      <c r="B1" s="293" t="s">
        <v>268</v>
      </c>
      <c r="C1" s="293" t="s">
        <v>269</v>
      </c>
      <c r="D1" s="293" t="s">
        <v>270</v>
      </c>
    </row>
    <row r="2" spans="1:4" ht="204.95" customHeight="1">
      <c r="A2" s="295" t="s">
        <v>271</v>
      </c>
      <c r="B2" s="296" t="str">
        <v>○○○</v>
      </c>
      <c r="C2" s="297"/>
      <c r="D2" s="298"/>
    </row>
    <row r="3" spans="1:4" ht="204.95" customHeight="1">
      <c r="A3" s="295" t="s">
        <v>271</v>
      </c>
      <c r="B3" s="296" t="s">
        <v>271</v>
      </c>
      <c r="C3" s="297"/>
      <c r="D3" s="298"/>
    </row>
    <row r="4" spans="1:4" ht="204.95" customHeight="1">
      <c r="A4" s="295" t="s">
        <v>271</v>
      </c>
      <c r="B4" s="296" t="s">
        <v>271</v>
      </c>
      <c r="C4" s="297"/>
      <c r="D4" s="298"/>
    </row>
  </sheetData>
  <phoneticPr fontId="3" type="noConversion"/>
  <printOptions horizontalCentered="1"/>
  <pageMargins left="0.15748031496062992" right="0.15748031496062992" top="0.98425196850393704" bottom="0.39370078740157483" header="0.31496062992125984" footer="0.31496062992125984"/>
  <pageSetup paperSize="9" scale="81" orientation="portrait" r:id="rId1"/>
  <headerFooter>
    <oddHeader>&amp;R&amp;"맑은 고딕,보통"&amp;8&amp;K808080K-건설맵 · k-conmap.com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J23"/>
  <sheetViews>
    <sheetView workbookViewId="0">
      <selection activeCell="K16" sqref="K16"/>
    </sheetView>
  </sheetViews>
  <sheetFormatPr defaultRowHeight="16.5"/>
  <cols>
    <col min="2" max="2" width="7" customWidth="1"/>
    <col min="4" max="4" width="12.625" customWidth="1"/>
    <col min="5" max="5" width="3.75" customWidth="1"/>
    <col min="6" max="6" width="15" customWidth="1"/>
    <col min="7" max="7" width="14.625" customWidth="1"/>
    <col min="10" max="10" width="11.875" bestFit="1" customWidth="1"/>
  </cols>
  <sheetData>
    <row r="1" spans="2:10" ht="21" customHeight="1"/>
    <row r="2" spans="2:10" ht="49.5" customHeight="1">
      <c r="B2" s="549" t="s">
        <v>155</v>
      </c>
      <c r="C2" s="549"/>
      <c r="D2" s="549"/>
      <c r="E2" s="154"/>
      <c r="F2" s="549" t="s">
        <v>156</v>
      </c>
      <c r="G2" s="549"/>
    </row>
    <row r="3" spans="2:10" ht="27.95" customHeight="1">
      <c r="B3" s="155" t="s">
        <v>144</v>
      </c>
      <c r="C3" s="155" t="s">
        <v>145</v>
      </c>
      <c r="D3" s="156">
        <v>1108000</v>
      </c>
      <c r="E3" s="156"/>
      <c r="F3" s="156"/>
      <c r="G3" s="154"/>
    </row>
    <row r="4" spans="2:10" ht="27.95" customHeight="1">
      <c r="B4" s="155" t="s">
        <v>146</v>
      </c>
      <c r="C4" s="155" t="s">
        <v>148</v>
      </c>
      <c r="D4" s="156">
        <v>851000</v>
      </c>
      <c r="E4" s="156"/>
      <c r="F4" s="156">
        <f>D3+D4</f>
        <v>1959000</v>
      </c>
      <c r="G4" s="154"/>
    </row>
    <row r="5" spans="2:10" ht="27.95" customHeight="1">
      <c r="B5" s="155"/>
      <c r="C5" s="155" t="s">
        <v>149</v>
      </c>
      <c r="D5" s="156">
        <v>1200000</v>
      </c>
      <c r="E5" s="156"/>
      <c r="F5" s="156">
        <f>F4+D5</f>
        <v>3159000</v>
      </c>
      <c r="G5" s="154"/>
    </row>
    <row r="6" spans="2:10" ht="27.95" customHeight="1">
      <c r="B6" s="155"/>
      <c r="C6" s="155" t="s">
        <v>150</v>
      </c>
      <c r="D6" s="156">
        <v>2368000</v>
      </c>
      <c r="E6" s="156"/>
      <c r="F6" s="156">
        <f t="shared" ref="F6:F11" si="0">F5+D6</f>
        <v>5527000</v>
      </c>
      <c r="G6" s="154"/>
    </row>
    <row r="7" spans="2:10" ht="27.95" customHeight="1">
      <c r="B7" s="155"/>
      <c r="C7" s="155" t="s">
        <v>151</v>
      </c>
      <c r="D7" s="156">
        <v>1961000</v>
      </c>
      <c r="E7" s="156"/>
      <c r="F7" s="156">
        <f t="shared" si="0"/>
        <v>7488000</v>
      </c>
      <c r="G7" s="154"/>
    </row>
    <row r="8" spans="2:10" ht="27.95" customHeight="1">
      <c r="B8" s="155"/>
      <c r="C8" s="155" t="s">
        <v>145</v>
      </c>
      <c r="D8" s="156"/>
      <c r="E8" s="156"/>
      <c r="F8" s="156">
        <f t="shared" si="0"/>
        <v>7488000</v>
      </c>
      <c r="G8" s="154"/>
      <c r="J8" s="157">
        <f>F8+3400000</f>
        <v>10888000</v>
      </c>
    </row>
    <row r="9" spans="2:10" ht="27.95" customHeight="1">
      <c r="B9" s="155" t="s">
        <v>152</v>
      </c>
      <c r="C9" s="155" t="s">
        <v>153</v>
      </c>
      <c r="D9" s="156">
        <v>1302900</v>
      </c>
      <c r="E9" s="156"/>
      <c r="F9" s="156">
        <f t="shared" si="0"/>
        <v>8790900</v>
      </c>
      <c r="G9" s="154"/>
    </row>
    <row r="10" spans="2:10" ht="27.95" customHeight="1">
      <c r="B10" s="155"/>
      <c r="C10" s="155" t="s">
        <v>154</v>
      </c>
      <c r="D10" s="156">
        <v>1804800</v>
      </c>
      <c r="E10" s="156"/>
      <c r="F10" s="156">
        <f t="shared" si="0"/>
        <v>10595700</v>
      </c>
      <c r="G10" s="154"/>
    </row>
    <row r="11" spans="2:10" ht="27.95" customHeight="1">
      <c r="B11" s="155"/>
      <c r="C11" s="155" t="s">
        <v>147</v>
      </c>
      <c r="D11" s="156">
        <v>2138000</v>
      </c>
      <c r="E11" s="156"/>
      <c r="F11" s="156">
        <f t="shared" si="0"/>
        <v>12733700</v>
      </c>
      <c r="G11" s="154"/>
    </row>
    <row r="12" spans="2:10" ht="21" customHeight="1">
      <c r="B12" s="153"/>
      <c r="C12" s="153"/>
    </row>
    <row r="13" spans="2:10" ht="21" customHeight="1">
      <c r="B13" s="153"/>
      <c r="C13" s="153"/>
    </row>
    <row r="14" spans="2:10" ht="21" customHeight="1">
      <c r="B14" s="153"/>
      <c r="C14" s="153"/>
    </row>
    <row r="15" spans="2:10" ht="21" customHeight="1">
      <c r="B15" s="153"/>
      <c r="C15" s="153"/>
    </row>
    <row r="16" spans="2:10" ht="21" customHeight="1">
      <c r="B16" s="153"/>
      <c r="C16" s="153"/>
    </row>
    <row r="17" spans="2:3" ht="21" customHeight="1">
      <c r="B17" s="153"/>
      <c r="C17" s="153"/>
    </row>
    <row r="18" spans="2:3" ht="21" customHeight="1">
      <c r="B18" s="153"/>
      <c r="C18" s="153"/>
    </row>
    <row r="19" spans="2:3" ht="21" customHeight="1">
      <c r="B19" s="153"/>
      <c r="C19" s="153"/>
    </row>
    <row r="20" spans="2:3" ht="21" customHeight="1">
      <c r="B20" s="153"/>
      <c r="C20" s="153"/>
    </row>
    <row r="21" spans="2:3" ht="21" customHeight="1">
      <c r="B21" s="153"/>
      <c r="C21" s="153"/>
    </row>
    <row r="22" spans="2:3" ht="21" customHeight="1">
      <c r="B22" s="153"/>
      <c r="C22" s="153"/>
    </row>
    <row r="23" spans="2:3" ht="21" customHeight="1">
      <c r="B23" s="153"/>
      <c r="C23" s="153"/>
    </row>
  </sheetData>
  <mergeCells count="2">
    <mergeCell ref="B2:D2"/>
    <mergeCell ref="F2:G2"/>
  </mergeCells>
  <phoneticPr fontId="3" type="noConversion"/>
  <pageMargins left="0.7" right="0.7" top="0.75" bottom="0.75" header="0.3" footer="0.3"/>
  <pageSetup paperSize="9" orientation="portrait" r:id="rId1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 지정된 범위</vt:lpstr>
      </vt:variant>
      <vt:variant>
        <vt:i4>14</vt:i4>
      </vt:variant>
    </vt:vector>
  </HeadingPairs>
  <TitlesOfParts>
    <vt:vector size="28" baseType="lpstr">
      <vt:lpstr>표지(품질)</vt:lpstr>
      <vt:lpstr>품질시험비</vt:lpstr>
      <vt:lpstr>세부사용(25년7월)</vt:lpstr>
      <vt:lpstr>사진대지 (품질)</vt:lpstr>
      <vt:lpstr>표지 (안전관리)</vt:lpstr>
      <vt:lpstr>안전</vt:lpstr>
      <vt:lpstr>안전 (2)</vt:lpstr>
      <vt:lpstr>안전관리내역 </vt:lpstr>
      <vt:lpstr>세부사용(25년07월) </vt:lpstr>
      <vt:lpstr>표지</vt:lpstr>
      <vt:lpstr>사진대지(안전)</vt:lpstr>
      <vt:lpstr>노임명세서 (4)</vt:lpstr>
      <vt:lpstr>4월 신분증 및 통장사본</vt:lpstr>
      <vt:lpstr>Sheet3</vt:lpstr>
      <vt:lpstr>'4월 신분증 및 통장사본'!Print_Area</vt:lpstr>
      <vt:lpstr>'사진대지 (품질)'!Print_Area</vt:lpstr>
      <vt:lpstr>'사진대지(안전)'!Print_Area</vt:lpstr>
      <vt:lpstr>'세부사용(25년07월) '!Print_Area</vt:lpstr>
      <vt:lpstr>'세부사용(25년7월)'!Print_Area</vt:lpstr>
      <vt:lpstr>안전!Print_Area</vt:lpstr>
      <vt:lpstr>'안전 (2)'!Print_Area</vt:lpstr>
      <vt:lpstr>'안전관리내역 '!Print_Area</vt:lpstr>
      <vt:lpstr>'표지 (안전관리)'!Print_Area</vt:lpstr>
      <vt:lpstr>'표지(품질)'!Print_Area</vt:lpstr>
      <vt:lpstr>품질시험비!Print_Area</vt:lpstr>
      <vt:lpstr>'4월 신분증 및 통장사본'!Print_Titles</vt:lpstr>
      <vt:lpstr>'세부사용(25년07월) '!Print_Titles</vt:lpstr>
      <vt:lpstr>'세부사용(25년7월)'!Print_Titles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lastPrinted>2025-08-06T02:07:18Z</cp:lastPrinted>
  <dcterms:created xsi:type="dcterms:W3CDTF">2011-09-05T07:14:34Z</dcterms:created>
  <dcterms:modified xsi:type="dcterms:W3CDTF">2026-03-16T09:05:59Z</dcterms:modified>
</cp:coreProperties>
</file>