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공정표" sheetId="3" state="visible" r:id="rId3"/>
    <sheet xmlns:r="http://schemas.openxmlformats.org/officeDocument/2006/relationships" name="시공계획" sheetId="4" state="visible" r:id="rId4"/>
    <sheet xmlns:r="http://schemas.openxmlformats.org/officeDocument/2006/relationships" name="안전조직" sheetId="5" state="visible" r:id="rId5"/>
    <sheet xmlns:r="http://schemas.openxmlformats.org/officeDocument/2006/relationships" name="안전관리비" sheetId="6" state="visible" r:id="rId6"/>
    <sheet xmlns:r="http://schemas.openxmlformats.org/officeDocument/2006/relationships" name="안전환경" sheetId="7" state="visible" r:id="rId7"/>
    <sheet xmlns:r="http://schemas.openxmlformats.org/officeDocument/2006/relationships" name="계측" sheetId="8" state="visible" r:id="rId8"/>
    <sheet xmlns:r="http://schemas.openxmlformats.org/officeDocument/2006/relationships" name="예시-표지" sheetId="9" state="visible" r:id="rId9"/>
    <sheet xmlns:r="http://schemas.openxmlformats.org/officeDocument/2006/relationships" name="예시-개요" sheetId="10" state="visible" r:id="rId10"/>
    <sheet xmlns:r="http://schemas.openxmlformats.org/officeDocument/2006/relationships" name="예시-공정표" sheetId="11" state="visible" r:id="rId11"/>
    <sheet xmlns:r="http://schemas.openxmlformats.org/officeDocument/2006/relationships" name="예시-시공계획" sheetId="12" state="visible" r:id="rId12"/>
    <sheet xmlns:r="http://schemas.openxmlformats.org/officeDocument/2006/relationships" name="예시-안전조직" sheetId="13" state="visible" r:id="rId13"/>
    <sheet xmlns:r="http://schemas.openxmlformats.org/officeDocument/2006/relationships" name="예시-안전관리비" sheetId="14" state="visible" r:id="rId14"/>
    <sheet xmlns:r="http://schemas.openxmlformats.org/officeDocument/2006/relationships" name="예시-안전환경" sheetId="15" state="visible" r:id="rId15"/>
    <sheet xmlns:r="http://schemas.openxmlformats.org/officeDocument/2006/relationships" name="예시-계측" sheetId="16" state="visible" r:id="rId16"/>
  </sheets>
  <definedNames>
    <definedName name="_xlnm.Print_Area" localSheetId="0">'표지'!$A$1:$L$9</definedName>
    <definedName name="_xlnm.Print_Area" localSheetId="1">'개요'!$A$1:$L$56</definedName>
    <definedName name="_xlnm.Print_Area" localSheetId="2">'공정표'!$A$1:$BP$14</definedName>
    <definedName name="_xlnm.Print_Area" localSheetId="3">'시공계획'!$A$1:$L$124</definedName>
    <definedName name="_xlnm.Print_Area" localSheetId="4">'안전조직'!$A$1:$L$26</definedName>
    <definedName name="_xlnm.Print_Area" localSheetId="5">'안전관리비'!$A$1:$M$26</definedName>
    <definedName name="_xlnm.Print_Area" localSheetId="6">'안전환경'!$A$1:$L$74</definedName>
    <definedName name="_xlnm.Print_Area" localSheetId="7">'계측'!$A$1:$L$116</definedName>
    <definedName name="_xlnm.Print_Area" localSheetId="8">'예시-표지'!$A$1:$L$9</definedName>
    <definedName name="_xlnm.Print_Area" localSheetId="9">'예시-개요'!$A$1:$L$56</definedName>
    <definedName name="_xlnm.Print_Area" localSheetId="10">'예시-공정표'!$A$1:$BP$14</definedName>
    <definedName name="_xlnm.Print_Area" localSheetId="11">'예시-시공계획'!$A$1:$L$124</definedName>
    <definedName name="_xlnm.Print_Area" localSheetId="12">'예시-안전조직'!$A$1:$L$26</definedName>
    <definedName name="_xlnm.Print_Area" localSheetId="13">'예시-안전관리비'!$A$1:$M$26</definedName>
    <definedName name="_xlnm.Print_Area" localSheetId="14">'예시-안전환경'!$A$1:$L$74</definedName>
    <definedName name="_xlnm.Print_Area" localSheetId="15">'예시-계측'!$A$1:$L$116</definedName>
  </definedNames>
  <calcPr calcId="124519" fullCalcOnLoad="1"/>
</workbook>
</file>

<file path=xl/styles.xml><?xml version="1.0" encoding="utf-8"?>
<styleSheet xmlns="http://schemas.openxmlformats.org/spreadsheetml/2006/main">
  <numFmts count="19">
    <numFmt numFmtId="164" formatCode="yyyy&quot;. &quot;m&quot;.&quot;"/>
    <numFmt numFmtId="165" formatCode="yyyy. m. d."/>
    <numFmt numFmtId="166" formatCode="&quot;(총 &quot;#,##0&quot;일)&quot;;;&quot;&quot;"/>
    <numFmt numFmtId="167" formatCode="&quot;지하 &quot;0&quot;층&quot;;;&quot;&quot;"/>
    <numFmt numFmtId="168" formatCode="&quot;GL − &quot;0.0#&quot; m&quot;;;&quot;&quot;"/>
    <numFmt numFmtId="169" formatCode="d;;&quot;&quot;"/>
    <numFmt numFmtId="170" formatCode="#,##0.##;;&quot;&quot;"/>
    <numFmt numFmtId="171" formatCode="0;;&quot;&quot;"/>
    <numFmt numFmtId="172" formatCode="#,##0&quot;일&quot;;;&quot;&quot;"/>
    <numFmt numFmtId="173" formatCode="&quot;마치는 날 : &quot;yyyy&quot;년 &quot;m&quot;월 &quot;d&quot;일&quot;;;&quot;&quot;"/>
    <numFmt numFmtId="174" formatCode="#,##0&quot;인&quot;;;&quot;&quot;"/>
    <numFmt numFmtId="175" formatCode="#,##0;;&quot;&quot;"/>
    <numFmt numFmtId="176" formatCode="#,##0&quot;명&quot;"/>
    <numFmt numFmtId="177" formatCode="&quot;연 &quot;#,##0&quot; 인·일&quot;"/>
    <numFmt numFmtId="178" formatCode="yyyy&quot;년 &quot;m&quot;월&quot;"/>
    <numFmt numFmtId="179" formatCode="0.0#&quot; m&quot;"/>
    <numFmt numFmtId="180" formatCode="0.0#;;&quot;&quot;"/>
    <numFmt numFmtId="181" formatCode="#,##0&quot; 개소&quot;"/>
    <numFmt numFmtId="182" formatCode="yyyy-mm-dd"/>
  </numFmts>
  <fonts count="2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6"/>
    </font>
    <font>
      <name val="맑은 고딕"/>
      <b val="1"/>
      <color rgb="00111827"/>
      <sz val="30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11827"/>
      <sz val="11.5"/>
    </font>
    <font>
      <name val="맑은 고딕"/>
      <color rgb="001F2937"/>
      <sz val="9.5"/>
    </font>
    <font>
      <name val="맑은 고딕"/>
      <color rgb="001F2937"/>
      <sz val="9"/>
    </font>
    <font>
      <name val="맑은 고딕"/>
      <color rgb="009CA3AF"/>
      <sz val="9"/>
    </font>
    <font>
      <name val="맑은 고딕"/>
      <b val="1"/>
      <color rgb="00111827"/>
      <sz val="16"/>
    </font>
    <font>
      <name val="맑은 고딕"/>
      <b val="1"/>
      <color rgb="001F2937"/>
      <sz val="9"/>
    </font>
    <font>
      <name val="맑은 고딕"/>
      <b val="1"/>
      <color rgb="001F2937"/>
      <sz val="8.5"/>
    </font>
    <font>
      <name val="맑은 고딕"/>
      <b val="1"/>
      <color rgb="001F2937"/>
      <sz val="5.5"/>
    </font>
    <font>
      <name val="맑은 고딕"/>
      <color rgb="001F2937"/>
      <sz val="5.5"/>
    </font>
    <font>
      <name val="맑은 고딕"/>
      <color rgb="00000000"/>
      <sz val="8.5"/>
    </font>
    <font>
      <name val="맑은 고딕"/>
      <color rgb="001F2937"/>
      <sz val="8.5"/>
    </font>
    <font>
      <name val="맑은 고딕"/>
      <color rgb="00000000"/>
      <sz val="7"/>
    </font>
    <font>
      <name val="맑은 고딕"/>
      <b val="1"/>
      <color rgb="001F2937"/>
      <sz val="9.5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b val="1"/>
      <color rgb="001F2937"/>
      <sz val="10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left" vertical="center" shrinkToFit="1"/>
    </xf>
    <xf numFmtId="167" fontId="7" fillId="0" borderId="1" applyAlignment="1" pivotButton="0" quotePrefix="0" xfId="0">
      <alignment horizontal="center" vertical="center" shrinkToFit="1"/>
    </xf>
    <xf numFmtId="168" fontId="7" fillId="0" borderId="1" applyAlignment="1" pivotButton="0" quotePrefix="0" xfId="0">
      <alignment horizontal="center" vertical="center" shrinkToFit="1"/>
    </xf>
    <xf numFmtId="0" fontId="13" fillId="0" borderId="1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169" fontId="20" fillId="4" borderId="1" applyAlignment="1" pivotButton="0" quotePrefix="0" xfId="0">
      <alignment horizontal="center" vertical="center" shrinkToFit="1"/>
    </xf>
    <xf numFmtId="0" fontId="21" fillId="0" borderId="1" applyAlignment="1" pivotButton="0" quotePrefix="0" xfId="0">
      <alignment horizontal="left" vertical="center" wrapText="1"/>
    </xf>
    <xf numFmtId="170" fontId="21" fillId="0" borderId="1" applyAlignment="1" pivotButton="0" quotePrefix="0" xfId="0">
      <alignment horizontal="right" vertical="center" shrinkToFit="1"/>
    </xf>
    <xf numFmtId="0" fontId="21" fillId="0" borderId="1" applyAlignment="1" pivotButton="0" quotePrefix="0" xfId="0">
      <alignment horizontal="center" vertical="center" wrapText="1"/>
    </xf>
    <xf numFmtId="171" fontId="22" fillId="3" borderId="1" applyAlignment="1" pivotButton="0" quotePrefix="0" xfId="0">
      <alignment horizontal="center" vertical="center" shrinkToFit="1"/>
    </xf>
    <xf numFmtId="171" fontId="21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172" fontId="6" fillId="3" borderId="1" applyAlignment="1" pivotButton="0" quotePrefix="0" xfId="0">
      <alignment horizontal="center" vertical="center" shrinkToFit="1"/>
    </xf>
    <xf numFmtId="173" fontId="5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 wrapText="1"/>
    </xf>
    <xf numFmtId="0" fontId="24" fillId="2" borderId="1" applyAlignment="1" pivotButton="0" quotePrefix="0" xfId="0">
      <alignment horizontal="center" vertical="center" wrapText="1"/>
    </xf>
    <xf numFmtId="174" fontId="7" fillId="0" borderId="1" applyAlignment="1" pivotButton="0" quotePrefix="0" xfId="0">
      <alignment horizontal="center" vertical="center" shrinkToFit="1"/>
    </xf>
    <xf numFmtId="0" fontId="25" fillId="0" borderId="1" applyAlignment="1" pivotButton="0" quotePrefix="0" xfId="0">
      <alignment horizontal="center" vertical="center" wrapText="1"/>
    </xf>
    <xf numFmtId="175" fontId="7" fillId="0" borderId="1" applyAlignment="1" pivotButton="0" quotePrefix="0" xfId="0">
      <alignment horizontal="center" vertical="center" shrinkToFit="1"/>
    </xf>
    <xf numFmtId="0" fontId="26" fillId="0" borderId="1" applyAlignment="1" pivotButton="0" quotePrefix="0" xfId="0">
      <alignment horizontal="center" vertical="center" wrapText="1"/>
    </xf>
    <xf numFmtId="3" fontId="6" fillId="3" borderId="1" applyAlignment="1" pivotButton="0" quotePrefix="0" xfId="0">
      <alignment horizontal="center" vertical="center" shrinkToFit="1"/>
    </xf>
    <xf numFmtId="172" fontId="7" fillId="0" borderId="1" applyAlignment="1" pivotButton="0" quotePrefix="0" xfId="0">
      <alignment horizontal="center" vertical="center" shrinkToFit="1"/>
    </xf>
    <xf numFmtId="176" fontId="6" fillId="3" borderId="1" applyAlignment="1" pivotButton="0" quotePrefix="0" xfId="0">
      <alignment horizontal="center" vertical="center" shrinkToFit="1"/>
    </xf>
    <xf numFmtId="177" fontId="13" fillId="3" borderId="1" applyAlignment="1" pivotButton="0" quotePrefix="0" xfId="0">
      <alignment horizontal="center" vertical="center" shrinkToFit="1"/>
    </xf>
    <xf numFmtId="0" fontId="27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170" fontId="7" fillId="0" borderId="1" applyAlignment="1" pivotButton="0" quotePrefix="0" xfId="0">
      <alignment horizontal="center" vertical="center" shrinkToFit="1"/>
    </xf>
    <xf numFmtId="0" fontId="26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right" vertical="top" wrapText="1"/>
    </xf>
    <xf numFmtId="0" fontId="13" fillId="0" borderId="0" applyAlignment="1" pivotButton="0" quotePrefix="0" xfId="0">
      <alignment horizontal="left" vertical="top" wrapText="1"/>
    </xf>
    <xf numFmtId="178" fontId="7" fillId="0" borderId="1" applyAlignment="1" pivotButton="0" quotePrefix="0" xfId="0">
      <alignment horizontal="center" vertical="center" shrinkToFit="1"/>
    </xf>
    <xf numFmtId="0" fontId="13" fillId="4" borderId="1" applyAlignment="1" pivotButton="0" quotePrefix="0" xfId="0">
      <alignment horizontal="center" vertical="center" wrapText="1"/>
    </xf>
    <xf numFmtId="175" fontId="26" fillId="0" borderId="1" applyAlignment="1" pivotButton="0" quotePrefix="0" xfId="0">
      <alignment horizontal="center" vertical="center" shrinkToFit="1"/>
    </xf>
    <xf numFmtId="175" fontId="26" fillId="0" borderId="1" applyAlignment="1" pivotButton="0" quotePrefix="0" xfId="0">
      <alignment horizontal="right" vertical="center" shrinkToFit="1"/>
    </xf>
    <xf numFmtId="3" fontId="14" fillId="3" borderId="1" applyAlignment="1" pivotButton="0" quotePrefix="0" xfId="0">
      <alignment horizontal="right" vertical="center" shrinkToFit="1"/>
    </xf>
    <xf numFmtId="0" fontId="22" fillId="3" borderId="1" applyAlignment="1" pivotButton="0" quotePrefix="0" xfId="0">
      <alignment horizontal="center" vertical="center" wrapText="1"/>
    </xf>
    <xf numFmtId="3" fontId="6" fillId="3" borderId="1" applyAlignment="1" pivotButton="0" quotePrefix="0" xfId="0">
      <alignment horizontal="right" vertical="center" shrinkToFit="1"/>
    </xf>
    <xf numFmtId="0" fontId="25" fillId="0" borderId="1" applyAlignment="1" pivotButton="0" quotePrefix="0" xfId="0">
      <alignment horizontal="left" vertical="center" wrapText="1"/>
    </xf>
    <xf numFmtId="3" fontId="13" fillId="3" borderId="1" applyAlignment="1" pivotButton="0" quotePrefix="0" xfId="0">
      <alignment horizontal="right" vertical="center" shrinkToFit="1"/>
    </xf>
    <xf numFmtId="0" fontId="2" fillId="0" borderId="0" applyAlignment="1" pivotButton="0" quotePrefix="0" xfId="0">
      <alignment horizontal="left" vertical="top" wrapText="1"/>
    </xf>
    <xf numFmtId="0" fontId="26" fillId="6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179" fontId="6" fillId="3" borderId="1" applyAlignment="1" pivotButton="0" quotePrefix="0" xfId="0">
      <alignment horizontal="center" vertical="center" shrinkToFit="1"/>
    </xf>
    <xf numFmtId="0" fontId="14" fillId="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180" fontId="7" fillId="0" borderId="1" applyAlignment="1" pivotButton="0" quotePrefix="0" xfId="0">
      <alignment horizontal="center" vertical="center" shrinkToFit="1"/>
    </xf>
    <xf numFmtId="0" fontId="6" fillId="3" borderId="1" applyAlignment="1" pivotButton="0" quotePrefix="0" xfId="0">
      <alignment horizontal="center" vertical="center" wrapText="1"/>
    </xf>
    <xf numFmtId="181" fontId="6" fillId="3" borderId="1" applyAlignment="1" pivotButton="0" quotePrefix="0" xfId="0">
      <alignment horizontal="center" vertical="center" shrinkToFit="1"/>
    </xf>
    <xf numFmtId="0" fontId="14" fillId="0" borderId="0" applyAlignment="1" pivotButton="0" quotePrefix="0" xfId="0">
      <alignment horizontal="left" vertical="top" wrapText="1" indent="2"/>
    </xf>
    <xf numFmtId="0" fontId="2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2F5597"/>
          <bgColor rgb="002F5597"/>
        </patternFill>
      </fill>
    </dxf>
    <dxf>
      <numFmt numFmtId="300" formatCode="#,##0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30" customHeight="1"/>
    <row r="3" ht="56" customHeight="1">
      <c r="A3" s="3" t="inlineStr">
        <is>
          <t>토공 및 흙막이가시설공사</t>
        </is>
      </c>
    </row>
    <row r="4" ht="64" customHeight="1">
      <c r="A4" s="4" t="inlineStr">
        <is>
          <t>시  공  계  획</t>
        </is>
      </c>
    </row>
    <row r="5" ht="60" customHeight="1"/>
    <row r="6" ht="30" customHeight="1">
      <c r="A6" s="5" t="inlineStr"/>
      <c r="C6" s="6" t="inlineStr">
        <is>
          <t>공 사 명</t>
        </is>
      </c>
      <c r="D6" s="7" t="n"/>
      <c r="E6" s="8" t="inlineStr">
        <is>
          <t>(공 사 명)</t>
        </is>
      </c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작성 연월</t>
        </is>
      </c>
      <c r="D7" s="7" t="n"/>
      <c r="E7" s="9" t="n"/>
      <c r="F7" s="7" t="n"/>
      <c r="G7" s="7" t="n"/>
      <c r="H7" s="7" t="n"/>
      <c r="I7" s="7" t="n"/>
      <c r="J7" s="7" t="n"/>
      <c r="K7" s="5" t="inlineStr"/>
    </row>
    <row r="8" ht="180" customHeight="1"/>
    <row r="9" ht="44" customHeight="1">
      <c r="A9" s="10" t="inlineStr">
        <is>
          <t>(회 사 명)</t>
        </is>
      </c>
    </row>
    <row r="11" ht="19.5" customHeight="1">
      <c r="A11" s="11" t="inlineStr">
        <is>
          <t>공사명 · 작성 연월 · 회사명을 여기 한 번만 적으면 뒤 장에 저절로 들어갑니다.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5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12" t="inlineStr">
        <is>
          <t>목          차</t>
        </is>
      </c>
    </row>
    <row r="4" ht="14" customHeight="1"/>
    <row r="5" ht="30" customHeight="1">
      <c r="A5" s="5" t="inlineStr"/>
      <c r="C5" s="13" t="inlineStr">
        <is>
          <t>1.  공 사 개 요  — 1.1 공사 개요 · 1.2 배치 및 시공방향 · 1.3 시공구간</t>
        </is>
      </c>
      <c r="K5" s="5" t="inlineStr"/>
    </row>
    <row r="6" ht="30" customHeight="1">
      <c r="A6" s="5" t="inlineStr"/>
      <c r="C6" s="13" t="inlineStr">
        <is>
          <t>2.  공 정 계 획  — 2.1 예정 공정표</t>
        </is>
      </c>
      <c r="K6" s="5" t="inlineStr"/>
    </row>
    <row r="7" ht="30" customHeight="1">
      <c r="A7" s="5" t="inlineStr"/>
      <c r="C7" s="13" t="inlineStr">
        <is>
          <t>3.  시 공 계 획  — 3.1 현장 기구조직도 · 3.2 장비 동원계획 · 3.3 인원 동원계획</t>
        </is>
      </c>
      <c r="K7" s="5" t="inlineStr"/>
    </row>
    <row r="8" ht="30" customHeight="1">
      <c r="A8" s="5" t="inlineStr"/>
      <c r="C8" s="13" t="inlineStr">
        <is>
          <t xml:space="preserve">      3.4 주요자재 반입계획 · 3.5 전체 시공 FLOW(CIP · 소일네일링 · 토공사)</t>
        </is>
      </c>
      <c r="K8" s="5" t="inlineStr"/>
    </row>
    <row r="9" ht="30" customHeight="1">
      <c r="A9" s="5" t="inlineStr"/>
      <c r="C9" s="13" t="inlineStr">
        <is>
          <t>4.  안전 · 환경관리계획  — 4.1 안전관리 조직표 · 4.2 비상연락망 · 4.3 안전관리비</t>
        </is>
      </c>
      <c r="K9" s="5" t="inlineStr"/>
    </row>
    <row r="10" ht="30" customHeight="1">
      <c r="A10" s="5" t="inlineStr"/>
      <c r="C10" s="13" t="inlineStr">
        <is>
          <t xml:space="preserve">      4.4 예상 문제점 및 대책 · 4.5 안전관리 세부계획 · 4.6 환경관리계획</t>
        </is>
      </c>
      <c r="K10" s="5" t="inlineStr"/>
    </row>
    <row r="11" ht="30" customHeight="1">
      <c r="A11" s="5" t="inlineStr"/>
      <c r="C11" s="13" t="inlineStr">
        <is>
          <t>5.  품질관리계획</t>
        </is>
      </c>
      <c r="K11" s="5" t="inlineStr"/>
    </row>
    <row r="12" ht="30" customHeight="1">
      <c r="A12" s="5" t="inlineStr"/>
      <c r="C12" s="13" t="inlineStr">
        <is>
          <t>6.  계측관리계획</t>
        </is>
      </c>
      <c r="K12" s="5" t="inlineStr"/>
    </row>
    <row r="13" ht="4" customHeight="1"/>
    <row r="14" ht="30" customHeight="1">
      <c r="A14" s="14" t="inlineStr">
        <is>
          <t>1.  공 사 개 요</t>
        </is>
      </c>
    </row>
    <row r="15" ht="4" customHeight="1"/>
    <row r="16" ht="3" customHeight="1"/>
    <row r="17" ht="22" customHeight="1">
      <c r="A17" s="15" t="inlineStr">
        <is>
          <t>1.1  공사 개요</t>
        </is>
      </c>
    </row>
    <row r="18" ht="28" customHeight="1">
      <c r="A18" s="6" t="inlineStr">
        <is>
          <t>공 사 명</t>
        </is>
      </c>
      <c r="B18" s="7" t="n"/>
      <c r="C18" s="7" t="n"/>
      <c r="D18" s="16">
        <f>IF(OR('표지'!E6="",'표지'!E6="(공 사 명)"),"",'표지'!E6)</f>
        <v/>
      </c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6" customHeight="1">
      <c r="A19" s="6" t="inlineStr">
        <is>
          <t>위    치</t>
        </is>
      </c>
      <c r="B19" s="7" t="n"/>
      <c r="C19" s="7" t="n"/>
      <c r="D19" s="1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6" customHeight="1">
      <c r="A20" s="6" t="inlineStr">
        <is>
          <t>공 사 기 간</t>
        </is>
      </c>
      <c r="B20" s="7" t="n"/>
      <c r="C20" s="7" t="n"/>
      <c r="D20" s="18" t="n"/>
      <c r="E20" s="7" t="n"/>
      <c r="F20" s="19" t="inlineStr">
        <is>
          <t>~</t>
        </is>
      </c>
      <c r="G20" s="18" t="n"/>
      <c r="H20" s="7" t="n"/>
      <c r="I20" s="20">
        <f>IF(OR(N(D20)=0,N(G20)=0),"",IF(G20&lt;D20,"⚠ 준공일이 착공일보다 빠름",G20-D20+1))</f>
        <v/>
      </c>
      <c r="J20" s="7" t="n"/>
      <c r="K20" s="7" t="n"/>
      <c r="L20" s="7" t="n"/>
    </row>
    <row r="21" ht="26" customHeight="1">
      <c r="A21" s="6" t="inlineStr">
        <is>
          <t>건 물 용 도</t>
        </is>
      </c>
      <c r="B21" s="7" t="n"/>
      <c r="C21" s="7" t="n"/>
      <c r="D21" s="1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6" customHeight="1">
      <c r="A22" s="6" t="inlineStr">
        <is>
          <t>시  공  사</t>
        </is>
      </c>
      <c r="B22" s="7" t="n"/>
      <c r="C22" s="7" t="n"/>
      <c r="D22" s="16">
        <f>IF(OR('표지'!A9="",'표지'!A9="(회 사 명)"),"",'표지'!A9)</f>
        <v/>
      </c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6" customHeight="1">
      <c r="A23" s="6" t="inlineStr">
        <is>
          <t>지 하 층 수</t>
        </is>
      </c>
      <c r="B23" s="7" t="n"/>
      <c r="C23" s="7" t="n"/>
      <c r="D23" s="21" t="n"/>
      <c r="E23" s="7" t="n"/>
      <c r="F23" s="6" t="inlineStr">
        <is>
          <t>굴착 깊이 (GL − m)</t>
        </is>
      </c>
      <c r="G23" s="7" t="n"/>
      <c r="H23" s="7" t="n"/>
      <c r="I23" s="22" t="n"/>
      <c r="J23" s="7" t="n"/>
      <c r="K23" s="7" t="n"/>
      <c r="L23" s="7" t="n"/>
    </row>
    <row r="24" ht="52" customHeight="1">
      <c r="A24" s="6" t="inlineStr">
        <is>
          <t>공 사 목 적</t>
        </is>
      </c>
      <c r="B24" s="7" t="n"/>
      <c r="C24" s="7" t="n"/>
      <c r="D24" s="23">
        <f>"이 시공계획서는 "&amp;IF(N(D23)=0,"지하",D23&amp;"층 규모의 지하")&amp;" 굴착 및 흙막이 공사를 최소한의 공기 안에 마치는 것을 최우선으로 한다. 이를 위해 철저한 현장 조사로 공법을 정하고, 안전 예방 및 품질관리 등의 계획을 세우는 데 목적이 있다."</f>
        <v/>
      </c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6" customHeight="1">
      <c r="A25" s="6" t="inlineStr">
        <is>
          <t>굴착공법(흙막이)</t>
        </is>
      </c>
      <c r="B25" s="7" t="n"/>
      <c r="C25" s="7" t="n"/>
      <c r="D25" s="17" t="inlineStr">
        <is>
          <t>CIP + 소일네일링 + 숏크리트 마감</t>
        </is>
      </c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6" customHeight="1">
      <c r="A26" s="6" t="inlineStr">
        <is>
          <t>굴 착 방 법</t>
        </is>
      </c>
      <c r="B26" s="7" t="n"/>
      <c r="C26" s="7" t="n"/>
      <c r="D26" s="17" t="inlineStr">
        <is>
          <t>기계 굴토(백호 + 덤프트럭)</t>
        </is>
      </c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3" customHeight="1"/>
    <row r="28" ht="22" customHeight="1">
      <c r="A28" s="15" t="inlineStr">
        <is>
          <t>1.2  배치 및 시공방향</t>
        </is>
      </c>
    </row>
    <row r="29" ht="20" customHeight="1">
      <c r="A29" s="24" t="inlineStr">
        <is>
          <t>(배치도를 붙이는 곳 — 시공 시작 위치 · 진행 방향 · 주출입구 표시)</t>
        </is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 ht="20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0" customHeight="1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 ht="20" customHeight="1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0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20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20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3" customHeight="1"/>
    <row r="43" ht="22" customHeight="1">
      <c r="A43" s="15" t="inlineStr">
        <is>
          <t>1.3  시공구간</t>
        </is>
      </c>
    </row>
    <row r="44" ht="20" customHeight="1">
      <c r="A44" s="24" t="inlineStr">
        <is>
          <t>(시공구간도를 붙이는 곳 — 구간별 공법 표시)</t>
        </is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 ht="20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 ht="20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 ht="20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 ht="20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 ht="20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 ht="20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20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20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20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20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0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2" customHeight="1">
      <c r="A56" s="25">
        <f>"※ 시공 전체 구간은 "&amp;IF(D25="","흙막이 공법","«"&amp;D25&amp;"»")&amp;" 순서로 시공한다(CIP 선행 → 소일네일 천공 · 숏크리트 타설로 마감)."</f>
        <v/>
      </c>
    </row>
    <row r="58" ht="19.5" customHeight="1">
      <c r="A58" s="11" t="inlineStr">
        <is>
          <t>하늘색 칸 = 자동(공사명 · 공사기간 일수 · 시공사 · 공사목적 글 · 시공구간 글).</t>
        </is>
      </c>
    </row>
  </sheetData>
  <mergeCells count="57">
    <mergeCell ref="D21:L21"/>
    <mergeCell ref="D20:E20"/>
    <mergeCell ref="A25:C25"/>
    <mergeCell ref="A29:L41"/>
    <mergeCell ref="A11:B11"/>
    <mergeCell ref="C6:J6"/>
    <mergeCell ref="K9:L9"/>
    <mergeCell ref="A18:C18"/>
    <mergeCell ref="K5:L5"/>
    <mergeCell ref="I20:L20"/>
    <mergeCell ref="A21:C21"/>
    <mergeCell ref="C5:J5"/>
    <mergeCell ref="A56:L56"/>
    <mergeCell ref="A3:L3"/>
    <mergeCell ref="A26:C26"/>
    <mergeCell ref="A6:B6"/>
    <mergeCell ref="F23:H23"/>
    <mergeCell ref="K11:L11"/>
    <mergeCell ref="A7:B7"/>
    <mergeCell ref="A23:C23"/>
    <mergeCell ref="C10:J10"/>
    <mergeCell ref="A22:C22"/>
    <mergeCell ref="A14:L14"/>
    <mergeCell ref="D18:L18"/>
    <mergeCell ref="A17:L17"/>
    <mergeCell ref="D25:L25"/>
    <mergeCell ref="A20:C20"/>
    <mergeCell ref="C9:J9"/>
    <mergeCell ref="A12:B12"/>
    <mergeCell ref="G1:L1"/>
    <mergeCell ref="D24:L24"/>
    <mergeCell ref="C12:J12"/>
    <mergeCell ref="A19:C19"/>
    <mergeCell ref="K12:L12"/>
    <mergeCell ref="A43:L43"/>
    <mergeCell ref="K8:L8"/>
    <mergeCell ref="C11:J11"/>
    <mergeCell ref="A28:L28"/>
    <mergeCell ref="A5:B5"/>
    <mergeCell ref="K6:L6"/>
    <mergeCell ref="A44:L55"/>
    <mergeCell ref="D26:L26"/>
    <mergeCell ref="A58:L58"/>
    <mergeCell ref="A8:B8"/>
    <mergeCell ref="A24:C24"/>
    <mergeCell ref="C8:J8"/>
    <mergeCell ref="K7:L7"/>
    <mergeCell ref="D19:L19"/>
    <mergeCell ref="G20:H20"/>
    <mergeCell ref="C7:J7"/>
    <mergeCell ref="A1:F1"/>
    <mergeCell ref="A10:B10"/>
    <mergeCell ref="K10:L10"/>
    <mergeCell ref="D22:L22"/>
    <mergeCell ref="D23:E23"/>
    <mergeCell ref="A9:B9"/>
    <mergeCell ref="I23:L23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12" min="0" max="16383" man="1"/>
    <brk id="4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P16"/>
  <sheetViews>
    <sheetView showGridLines="0" zoomScale="100" workbookViewId="0">
      <selection activeCell="A1" sqref="A1"/>
    </sheetView>
  </sheetViews>
  <sheetFormatPr baseColWidth="8" defaultRowHeight="15"/>
  <cols>
    <col width="17" customWidth="1" min="1" max="1"/>
    <col width="7" customWidth="1" min="2" max="2"/>
    <col width="4.5" customWidth="1" min="3" max="3"/>
    <col width="6.5" customWidth="1" min="4" max="4"/>
    <col width="5" customWidth="1" min="5" max="5"/>
    <col width="5" customWidth="1" min="6" max="6"/>
    <col width="5" customWidth="1" min="7" max="7"/>
    <col width="1.75" customWidth="1" min="8" max="8"/>
    <col width="1.75" customWidth="1" min="9" max="9"/>
    <col width="1.75" customWidth="1" min="10" max="10"/>
    <col width="1.75" customWidth="1" min="11" max="11"/>
    <col width="1.75" customWidth="1" min="12" max="12"/>
    <col width="1.75" customWidth="1" min="13" max="13"/>
    <col width="1.75" customWidth="1" min="14" max="14"/>
    <col width="1.75" customWidth="1" min="15" max="15"/>
    <col width="1.75" customWidth="1" min="16" max="16"/>
    <col width="1.75" customWidth="1" min="17" max="17"/>
    <col width="1.75" customWidth="1" min="18" max="18"/>
    <col width="1.75" customWidth="1" min="19" max="19"/>
    <col width="1.75" customWidth="1" min="20" max="20"/>
    <col width="1.75" customWidth="1" min="21" max="21"/>
    <col width="1.75" customWidth="1" min="22" max="22"/>
    <col width="1.75" customWidth="1" min="23" max="23"/>
    <col width="1.75" customWidth="1" min="24" max="24"/>
    <col width="1.75" customWidth="1" min="25" max="25"/>
    <col width="1.75" customWidth="1" min="26" max="26"/>
    <col width="1.75" customWidth="1" min="27" max="27"/>
    <col width="1.75" customWidth="1" min="28" max="28"/>
    <col width="1.75" customWidth="1" min="29" max="29"/>
    <col width="1.75" customWidth="1" min="30" max="30"/>
    <col width="1.75" customWidth="1" min="31" max="31"/>
    <col width="1.75" customWidth="1" min="32" max="32"/>
    <col width="1.75" customWidth="1" min="33" max="33"/>
    <col width="1.75" customWidth="1" min="34" max="34"/>
    <col width="1.75" customWidth="1" min="35" max="35"/>
    <col width="1.75" customWidth="1" min="36" max="36"/>
    <col width="1.75" customWidth="1" min="37" max="37"/>
    <col width="1.75" customWidth="1" min="38" max="38"/>
    <col width="1.75" customWidth="1" min="39" max="39"/>
    <col width="1.75" customWidth="1" min="40" max="40"/>
    <col width="1.75" customWidth="1" min="41" max="41"/>
    <col width="1.75" customWidth="1" min="42" max="42"/>
    <col width="1.75" customWidth="1" min="43" max="43"/>
    <col width="1.75" customWidth="1" min="44" max="44"/>
    <col width="1.75" customWidth="1" min="45" max="45"/>
    <col width="1.75" customWidth="1" min="46" max="46"/>
    <col width="1.75" customWidth="1" min="47" max="47"/>
    <col width="1.75" customWidth="1" min="48" max="48"/>
    <col width="1.75" customWidth="1" min="49" max="49"/>
    <col width="1.75" customWidth="1" min="50" max="50"/>
    <col width="1.75" customWidth="1" min="51" max="51"/>
    <col width="1.75" customWidth="1" min="52" max="52"/>
    <col width="1.75" customWidth="1" min="53" max="53"/>
    <col width="1.75" customWidth="1" min="54" max="54"/>
    <col width="1.75" customWidth="1" min="55" max="55"/>
    <col width="1.75" customWidth="1" min="56" max="56"/>
    <col width="1.75" customWidth="1" min="57" max="57"/>
    <col width="1.75" customWidth="1" min="58" max="58"/>
    <col width="1.75" customWidth="1" min="59" max="59"/>
    <col width="1.75" customWidth="1" min="60" max="60"/>
    <col width="1.75" customWidth="1" min="61" max="61"/>
    <col width="1.75" customWidth="1" min="62" max="62"/>
    <col width="1.75" customWidth="1" min="63" max="63"/>
    <col width="1.75" customWidth="1" min="64" max="64"/>
    <col width="1.75" customWidth="1" min="65" max="65"/>
    <col width="1.75" customWidth="1" min="66" max="66"/>
    <col width="1.75" customWidth="1" min="67" max="67"/>
    <col width="6" customWidth="1" min="68" max="68"/>
  </cols>
  <sheetData>
    <row r="1" ht="20" customHeight="1">
      <c r="A1" s="1" t="inlineStr">
        <is>
          <t xml:space="preserve">  K-건설맵  |  k-conmap.com  건설 서식</t>
        </is>
      </c>
      <c r="Z1" s="2" t="inlineStr">
        <is>
          <t xml:space="preserve">← 이 1행을 지우고 쓰셔도 됩니다  </t>
        </is>
      </c>
    </row>
    <row r="2" ht="34" customHeight="1">
      <c r="A2" s="26" t="inlineStr">
        <is>
          <t>2.1   예 정 공 정 표 (물량 기준 · 일 단위)</t>
        </is>
      </c>
    </row>
    <row r="3" ht="22" customHeight="1">
      <c r="A3" s="6" t="inlineStr">
        <is>
          <t>착 수 일</t>
        </is>
      </c>
      <c r="B3" s="18" t="n"/>
      <c r="C3" s="7" t="n"/>
      <c r="D3" s="11" t="inlineStr">
        <is>
          <t>※ 공종마다 총수량 · 1일 작업량 · 시작 일차를 적으면 작업일수(올림) · 끝나는 일차 · 막대 · 총 공기가 저절로 나옵니다.</t>
        </is>
      </c>
    </row>
    <row r="4" ht="16" customHeight="1">
      <c r="A4" s="27" t="inlineStr">
        <is>
          <t>공    종</t>
        </is>
      </c>
      <c r="B4" s="28" t="inlineStr">
        <is>
          <t>총수량</t>
        </is>
      </c>
      <c r="C4" s="29" t="inlineStr">
        <is>
          <t>단위</t>
        </is>
      </c>
      <c r="D4" s="29" t="inlineStr">
        <is>
          <t>1일
작업량</t>
        </is>
      </c>
      <c r="E4" s="29" t="inlineStr">
        <is>
          <t>작업
일수</t>
        </is>
      </c>
      <c r="F4" s="29" t="inlineStr">
        <is>
          <t>시작
일차</t>
        </is>
      </c>
      <c r="G4" s="29" t="inlineStr">
        <is>
          <t>종료
일차</t>
        </is>
      </c>
      <c r="H4" s="30" t="n">
        <v>1</v>
      </c>
      <c r="I4" s="30" t="n">
        <v>2</v>
      </c>
      <c r="J4" s="30" t="n">
        <v>3</v>
      </c>
      <c r="K4" s="30" t="n">
        <v>4</v>
      </c>
      <c r="L4" s="30" t="n">
        <v>5</v>
      </c>
      <c r="M4" s="30" t="n">
        <v>6</v>
      </c>
      <c r="N4" s="30" t="n">
        <v>7</v>
      </c>
      <c r="O4" s="30" t="n">
        <v>8</v>
      </c>
      <c r="P4" s="30" t="n">
        <v>9</v>
      </c>
      <c r="Q4" s="30" t="n">
        <v>10</v>
      </c>
      <c r="R4" s="30" t="n">
        <v>11</v>
      </c>
      <c r="S4" s="30" t="n">
        <v>12</v>
      </c>
      <c r="T4" s="30" t="n">
        <v>13</v>
      </c>
      <c r="U4" s="30" t="n">
        <v>14</v>
      </c>
      <c r="V4" s="30" t="n">
        <v>15</v>
      </c>
      <c r="W4" s="30" t="n">
        <v>16</v>
      </c>
      <c r="X4" s="30" t="n">
        <v>17</v>
      </c>
      <c r="Y4" s="30" t="n">
        <v>18</v>
      </c>
      <c r="Z4" s="30" t="n">
        <v>19</v>
      </c>
      <c r="AA4" s="30" t="n">
        <v>20</v>
      </c>
      <c r="AB4" s="30" t="n">
        <v>21</v>
      </c>
      <c r="AC4" s="30" t="n">
        <v>22</v>
      </c>
      <c r="AD4" s="30" t="n">
        <v>23</v>
      </c>
      <c r="AE4" s="30" t="n">
        <v>24</v>
      </c>
      <c r="AF4" s="30" t="n">
        <v>25</v>
      </c>
      <c r="AG4" s="30" t="n">
        <v>26</v>
      </c>
      <c r="AH4" s="30" t="n">
        <v>27</v>
      </c>
      <c r="AI4" s="30" t="n">
        <v>28</v>
      </c>
      <c r="AJ4" s="30" t="n">
        <v>29</v>
      </c>
      <c r="AK4" s="30" t="n">
        <v>30</v>
      </c>
      <c r="AL4" s="30" t="n">
        <v>31</v>
      </c>
      <c r="AM4" s="30" t="n">
        <v>32</v>
      </c>
      <c r="AN4" s="30" t="n">
        <v>33</v>
      </c>
      <c r="AO4" s="30" t="n">
        <v>34</v>
      </c>
      <c r="AP4" s="30" t="n">
        <v>35</v>
      </c>
      <c r="AQ4" s="30" t="n">
        <v>36</v>
      </c>
      <c r="AR4" s="30" t="n">
        <v>37</v>
      </c>
      <c r="AS4" s="30" t="n">
        <v>38</v>
      </c>
      <c r="AT4" s="30" t="n">
        <v>39</v>
      </c>
      <c r="AU4" s="30" t="n">
        <v>40</v>
      </c>
      <c r="AV4" s="30" t="n">
        <v>41</v>
      </c>
      <c r="AW4" s="30" t="n">
        <v>42</v>
      </c>
      <c r="AX4" s="30" t="n">
        <v>43</v>
      </c>
      <c r="AY4" s="30" t="n">
        <v>44</v>
      </c>
      <c r="AZ4" s="30" t="n">
        <v>45</v>
      </c>
      <c r="BA4" s="30" t="n">
        <v>46</v>
      </c>
      <c r="BB4" s="30" t="n">
        <v>47</v>
      </c>
      <c r="BC4" s="30" t="n">
        <v>48</v>
      </c>
      <c r="BD4" s="30" t="n">
        <v>49</v>
      </c>
      <c r="BE4" s="30" t="n">
        <v>50</v>
      </c>
      <c r="BF4" s="30" t="n">
        <v>51</v>
      </c>
      <c r="BG4" s="30" t="n">
        <v>52</v>
      </c>
      <c r="BH4" s="30" t="n">
        <v>53</v>
      </c>
      <c r="BI4" s="30" t="n">
        <v>54</v>
      </c>
      <c r="BJ4" s="30" t="n">
        <v>55</v>
      </c>
      <c r="BK4" s="30" t="n">
        <v>56</v>
      </c>
      <c r="BL4" s="30" t="n">
        <v>57</v>
      </c>
      <c r="BM4" s="30" t="n">
        <v>58</v>
      </c>
      <c r="BN4" s="30" t="n">
        <v>59</v>
      </c>
      <c r="BO4" s="30" t="n">
        <v>60</v>
      </c>
      <c r="BP4" s="27" t="inlineStr">
        <is>
          <t>비 고</t>
        </is>
      </c>
    </row>
    <row r="5" ht="13" customHeight="1">
      <c r="A5" s="7" t="n"/>
      <c r="B5" s="7" t="n"/>
      <c r="C5" s="7" t="n"/>
      <c r="D5" s="7" t="n"/>
      <c r="E5" s="7" t="n"/>
      <c r="F5" s="7" t="n"/>
      <c r="G5" s="7" t="n"/>
      <c r="H5" s="31">
        <f>IF(N(B3)=0,"",B3+0)</f>
        <v/>
      </c>
      <c r="I5" s="31">
        <f>IF(N(B3)=0,"",B3+1)</f>
        <v/>
      </c>
      <c r="J5" s="31">
        <f>IF(N(B3)=0,"",B3+2)</f>
        <v/>
      </c>
      <c r="K5" s="31">
        <f>IF(N(B3)=0,"",B3+3)</f>
        <v/>
      </c>
      <c r="L5" s="31">
        <f>IF(N(B3)=0,"",B3+4)</f>
        <v/>
      </c>
      <c r="M5" s="31">
        <f>IF(N(B3)=0,"",B3+5)</f>
        <v/>
      </c>
      <c r="N5" s="31">
        <f>IF(N(B3)=0,"",B3+6)</f>
        <v/>
      </c>
      <c r="O5" s="31">
        <f>IF(N(B3)=0,"",B3+7)</f>
        <v/>
      </c>
      <c r="P5" s="31">
        <f>IF(N(B3)=0,"",B3+8)</f>
        <v/>
      </c>
      <c r="Q5" s="31">
        <f>IF(N(B3)=0,"",B3+9)</f>
        <v/>
      </c>
      <c r="R5" s="31">
        <f>IF(N(B3)=0,"",B3+10)</f>
        <v/>
      </c>
      <c r="S5" s="31">
        <f>IF(N(B3)=0,"",B3+11)</f>
        <v/>
      </c>
      <c r="T5" s="31">
        <f>IF(N(B3)=0,"",B3+12)</f>
        <v/>
      </c>
      <c r="U5" s="31">
        <f>IF(N(B3)=0,"",B3+13)</f>
        <v/>
      </c>
      <c r="V5" s="31">
        <f>IF(N(B3)=0,"",B3+14)</f>
        <v/>
      </c>
      <c r="W5" s="31">
        <f>IF(N(B3)=0,"",B3+15)</f>
        <v/>
      </c>
      <c r="X5" s="31">
        <f>IF(N(B3)=0,"",B3+16)</f>
        <v/>
      </c>
      <c r="Y5" s="31">
        <f>IF(N(B3)=0,"",B3+17)</f>
        <v/>
      </c>
      <c r="Z5" s="31">
        <f>IF(N(B3)=0,"",B3+18)</f>
        <v/>
      </c>
      <c r="AA5" s="31">
        <f>IF(N(B3)=0,"",B3+19)</f>
        <v/>
      </c>
      <c r="AB5" s="31">
        <f>IF(N(B3)=0,"",B3+20)</f>
        <v/>
      </c>
      <c r="AC5" s="31">
        <f>IF(N(B3)=0,"",B3+21)</f>
        <v/>
      </c>
      <c r="AD5" s="31">
        <f>IF(N(B3)=0,"",B3+22)</f>
        <v/>
      </c>
      <c r="AE5" s="31">
        <f>IF(N(B3)=0,"",B3+23)</f>
        <v/>
      </c>
      <c r="AF5" s="31">
        <f>IF(N(B3)=0,"",B3+24)</f>
        <v/>
      </c>
      <c r="AG5" s="31">
        <f>IF(N(B3)=0,"",B3+25)</f>
        <v/>
      </c>
      <c r="AH5" s="31">
        <f>IF(N(B3)=0,"",B3+26)</f>
        <v/>
      </c>
      <c r="AI5" s="31">
        <f>IF(N(B3)=0,"",B3+27)</f>
        <v/>
      </c>
      <c r="AJ5" s="31">
        <f>IF(N(B3)=0,"",B3+28)</f>
        <v/>
      </c>
      <c r="AK5" s="31">
        <f>IF(N(B3)=0,"",B3+29)</f>
        <v/>
      </c>
      <c r="AL5" s="31">
        <f>IF(N(B3)=0,"",B3+30)</f>
        <v/>
      </c>
      <c r="AM5" s="31">
        <f>IF(N(B3)=0,"",B3+31)</f>
        <v/>
      </c>
      <c r="AN5" s="31">
        <f>IF(N(B3)=0,"",B3+32)</f>
        <v/>
      </c>
      <c r="AO5" s="31">
        <f>IF(N(B3)=0,"",B3+33)</f>
        <v/>
      </c>
      <c r="AP5" s="31">
        <f>IF(N(B3)=0,"",B3+34)</f>
        <v/>
      </c>
      <c r="AQ5" s="31">
        <f>IF(N(B3)=0,"",B3+35)</f>
        <v/>
      </c>
      <c r="AR5" s="31">
        <f>IF(N(B3)=0,"",B3+36)</f>
        <v/>
      </c>
      <c r="AS5" s="31">
        <f>IF(N(B3)=0,"",B3+37)</f>
        <v/>
      </c>
      <c r="AT5" s="31">
        <f>IF(N(B3)=0,"",B3+38)</f>
        <v/>
      </c>
      <c r="AU5" s="31">
        <f>IF(N(B3)=0,"",B3+39)</f>
        <v/>
      </c>
      <c r="AV5" s="31">
        <f>IF(N(B3)=0,"",B3+40)</f>
        <v/>
      </c>
      <c r="AW5" s="31">
        <f>IF(N(B3)=0,"",B3+41)</f>
        <v/>
      </c>
      <c r="AX5" s="31">
        <f>IF(N(B3)=0,"",B3+42)</f>
        <v/>
      </c>
      <c r="AY5" s="31">
        <f>IF(N(B3)=0,"",B3+43)</f>
        <v/>
      </c>
      <c r="AZ5" s="31">
        <f>IF(N(B3)=0,"",B3+44)</f>
        <v/>
      </c>
      <c r="BA5" s="31">
        <f>IF(N(B3)=0,"",B3+45)</f>
        <v/>
      </c>
      <c r="BB5" s="31">
        <f>IF(N(B3)=0,"",B3+46)</f>
        <v/>
      </c>
      <c r="BC5" s="31">
        <f>IF(N(B3)=0,"",B3+47)</f>
        <v/>
      </c>
      <c r="BD5" s="31">
        <f>IF(N(B3)=0,"",B3+48)</f>
        <v/>
      </c>
      <c r="BE5" s="31">
        <f>IF(N(B3)=0,"",B3+49)</f>
        <v/>
      </c>
      <c r="BF5" s="31">
        <f>IF(N(B3)=0,"",B3+50)</f>
        <v/>
      </c>
      <c r="BG5" s="31">
        <f>IF(N(B3)=0,"",B3+51)</f>
        <v/>
      </c>
      <c r="BH5" s="31">
        <f>IF(N(B3)=0,"",B3+52)</f>
        <v/>
      </c>
      <c r="BI5" s="31">
        <f>IF(N(B3)=0,"",B3+53)</f>
        <v/>
      </c>
      <c r="BJ5" s="31">
        <f>IF(N(B3)=0,"",B3+54)</f>
        <v/>
      </c>
      <c r="BK5" s="31">
        <f>IF(N(B3)=0,"",B3+55)</f>
        <v/>
      </c>
      <c r="BL5" s="31">
        <f>IF(N(B3)=0,"",B3+56)</f>
        <v/>
      </c>
      <c r="BM5" s="31">
        <f>IF(N(B3)=0,"",B3+57)</f>
        <v/>
      </c>
      <c r="BN5" s="31">
        <f>IF(N(B3)=0,"",B3+58)</f>
        <v/>
      </c>
      <c r="BO5" s="31">
        <f>IF(N(B3)=0,"",B3+59)</f>
        <v/>
      </c>
      <c r="BP5" s="7" t="n"/>
    </row>
    <row r="6" ht="24" customHeight="1">
      <c r="A6" s="32" t="inlineStr">
        <is>
          <t>사면 구간 1차</t>
        </is>
      </c>
      <c r="B6" s="33" t="n"/>
      <c r="C6" s="34" t="inlineStr">
        <is>
          <t>㎡</t>
        </is>
      </c>
      <c r="D6" s="33" t="n"/>
      <c r="E6" s="35">
        <f>IF(OR(N(B6)=0,N(D6)=0),"",ROUNDUP(B6/D6,0))</f>
        <v/>
      </c>
      <c r="F6" s="36" t="n"/>
      <c r="G6" s="35">
        <f>IF(OR(E6="",N(F6)=0),"",F6+E6-1)</f>
        <v/>
      </c>
      <c r="H6" s="37" t="inlineStr"/>
      <c r="I6" s="37" t="inlineStr"/>
      <c r="J6" s="37" t="inlineStr"/>
      <c r="K6" s="37" t="inlineStr"/>
      <c r="L6" s="37" t="inlineStr"/>
      <c r="M6" s="37" t="inlineStr"/>
      <c r="N6" s="37" t="inlineStr"/>
      <c r="O6" s="37" t="inlineStr"/>
      <c r="P6" s="37" t="inlineStr"/>
      <c r="Q6" s="37" t="inlineStr"/>
      <c r="R6" s="37" t="inlineStr"/>
      <c r="S6" s="37" t="inlineStr"/>
      <c r="T6" s="37" t="inlineStr"/>
      <c r="U6" s="37" t="inlineStr"/>
      <c r="V6" s="37" t="inlineStr"/>
      <c r="W6" s="37" t="inlineStr"/>
      <c r="X6" s="37" t="inlineStr"/>
      <c r="Y6" s="37" t="inlineStr"/>
      <c r="Z6" s="37" t="inlineStr"/>
      <c r="AA6" s="37" t="inlineStr"/>
      <c r="AB6" s="37" t="inlineStr"/>
      <c r="AC6" s="37" t="inlineStr"/>
      <c r="AD6" s="37" t="inlineStr"/>
      <c r="AE6" s="37" t="inlineStr"/>
      <c r="AF6" s="37" t="inlineStr"/>
      <c r="AG6" s="37" t="inlineStr"/>
      <c r="AH6" s="37" t="inlineStr"/>
      <c r="AI6" s="37" t="inlineStr"/>
      <c r="AJ6" s="37" t="inlineStr"/>
      <c r="AK6" s="37" t="inlineStr"/>
      <c r="AL6" s="37" t="inlineStr"/>
      <c r="AM6" s="37" t="inlineStr"/>
      <c r="AN6" s="37" t="inlineStr"/>
      <c r="AO6" s="37" t="inlineStr"/>
      <c r="AP6" s="37" t="inlineStr"/>
      <c r="AQ6" s="37" t="inlineStr"/>
      <c r="AR6" s="37" t="inlineStr"/>
      <c r="AS6" s="37" t="inlineStr"/>
      <c r="AT6" s="37" t="inlineStr"/>
      <c r="AU6" s="37" t="inlineStr"/>
      <c r="AV6" s="37" t="inlineStr"/>
      <c r="AW6" s="37" t="inlineStr"/>
      <c r="AX6" s="37" t="inlineStr"/>
      <c r="AY6" s="37" t="inlineStr"/>
      <c r="AZ6" s="37" t="inlineStr"/>
      <c r="BA6" s="37" t="inlineStr"/>
      <c r="BB6" s="37" t="inlineStr"/>
      <c r="BC6" s="37" t="inlineStr"/>
      <c r="BD6" s="37" t="inlineStr"/>
      <c r="BE6" s="37" t="inlineStr"/>
      <c r="BF6" s="37" t="inlineStr"/>
      <c r="BG6" s="37" t="inlineStr"/>
      <c r="BH6" s="37" t="inlineStr"/>
      <c r="BI6" s="37" t="inlineStr"/>
      <c r="BJ6" s="37" t="inlineStr"/>
      <c r="BK6" s="37" t="inlineStr"/>
      <c r="BL6" s="37" t="inlineStr"/>
      <c r="BM6" s="37" t="inlineStr"/>
      <c r="BN6" s="37" t="inlineStr"/>
      <c r="BO6" s="37" t="inlineStr"/>
      <c r="BP6" s="38" t="n"/>
    </row>
    <row r="7" ht="24" customHeight="1">
      <c r="A7" s="32" t="inlineStr">
        <is>
          <t>사면 구간 2차</t>
        </is>
      </c>
      <c r="B7" s="33" t="n"/>
      <c r="C7" s="34" t="inlineStr">
        <is>
          <t>㎡</t>
        </is>
      </c>
      <c r="D7" s="33" t="n"/>
      <c r="E7" s="35">
        <f>IF(OR(N(B7)=0,N(D7)=0),"",ROUNDUP(B7/D7,0))</f>
        <v/>
      </c>
      <c r="F7" s="36" t="n"/>
      <c r="G7" s="35">
        <f>IF(OR(E7="",N(F7)=0),"",F7+E7-1)</f>
        <v/>
      </c>
      <c r="H7" s="37" t="inlineStr"/>
      <c r="I7" s="37" t="inlineStr"/>
      <c r="J7" s="37" t="inlineStr"/>
      <c r="K7" s="37" t="inlineStr"/>
      <c r="L7" s="37" t="inlineStr"/>
      <c r="M7" s="37" t="inlineStr"/>
      <c r="N7" s="37" t="inlineStr"/>
      <c r="O7" s="37" t="inlineStr"/>
      <c r="P7" s="37" t="inlineStr"/>
      <c r="Q7" s="37" t="inlineStr"/>
      <c r="R7" s="37" t="inlineStr"/>
      <c r="S7" s="37" t="inlineStr"/>
      <c r="T7" s="37" t="inlineStr"/>
      <c r="U7" s="37" t="inlineStr"/>
      <c r="V7" s="37" t="inlineStr"/>
      <c r="W7" s="37" t="inlineStr"/>
      <c r="X7" s="37" t="inlineStr"/>
      <c r="Y7" s="37" t="inlineStr"/>
      <c r="Z7" s="37" t="inlineStr"/>
      <c r="AA7" s="37" t="inlineStr"/>
      <c r="AB7" s="37" t="inlineStr"/>
      <c r="AC7" s="37" t="inlineStr"/>
      <c r="AD7" s="37" t="inlineStr"/>
      <c r="AE7" s="37" t="inlineStr"/>
      <c r="AF7" s="37" t="inlineStr"/>
      <c r="AG7" s="37" t="inlineStr"/>
      <c r="AH7" s="37" t="inlineStr"/>
      <c r="AI7" s="37" t="inlineStr"/>
      <c r="AJ7" s="37" t="inlineStr"/>
      <c r="AK7" s="37" t="inlineStr"/>
      <c r="AL7" s="37" t="inlineStr"/>
      <c r="AM7" s="37" t="inlineStr"/>
      <c r="AN7" s="37" t="inlineStr"/>
      <c r="AO7" s="37" t="inlineStr"/>
      <c r="AP7" s="37" t="inlineStr"/>
      <c r="AQ7" s="37" t="inlineStr"/>
      <c r="AR7" s="37" t="inlineStr"/>
      <c r="AS7" s="37" t="inlineStr"/>
      <c r="AT7" s="37" t="inlineStr"/>
      <c r="AU7" s="37" t="inlineStr"/>
      <c r="AV7" s="37" t="inlineStr"/>
      <c r="AW7" s="37" t="inlineStr"/>
      <c r="AX7" s="37" t="inlineStr"/>
      <c r="AY7" s="37" t="inlineStr"/>
      <c r="AZ7" s="37" t="inlineStr"/>
      <c r="BA7" s="37" t="inlineStr"/>
      <c r="BB7" s="37" t="inlineStr"/>
      <c r="BC7" s="37" t="inlineStr"/>
      <c r="BD7" s="37" t="inlineStr"/>
      <c r="BE7" s="37" t="inlineStr"/>
      <c r="BF7" s="37" t="inlineStr"/>
      <c r="BG7" s="37" t="inlineStr"/>
      <c r="BH7" s="37" t="inlineStr"/>
      <c r="BI7" s="37" t="inlineStr"/>
      <c r="BJ7" s="37" t="inlineStr"/>
      <c r="BK7" s="37" t="inlineStr"/>
      <c r="BL7" s="37" t="inlineStr"/>
      <c r="BM7" s="37" t="inlineStr"/>
      <c r="BN7" s="37" t="inlineStr"/>
      <c r="BO7" s="37" t="inlineStr"/>
      <c r="BP7" s="38" t="n"/>
    </row>
    <row r="8" ht="24" customHeight="1">
      <c r="A8" s="32" t="inlineStr">
        <is>
          <t>CIP 공사</t>
        </is>
      </c>
      <c r="B8" s="33" t="n"/>
      <c r="C8" s="34" t="inlineStr">
        <is>
          <t>공</t>
        </is>
      </c>
      <c r="D8" s="33" t="n"/>
      <c r="E8" s="35">
        <f>IF(OR(N(B8)=0,N(D8)=0),"",ROUNDUP(B8/D8,0))</f>
        <v/>
      </c>
      <c r="F8" s="36" t="n"/>
      <c r="G8" s="35">
        <f>IF(OR(E8="",N(F8)=0),"",F8+E8-1)</f>
        <v/>
      </c>
      <c r="H8" s="37" t="inlineStr"/>
      <c r="I8" s="37" t="inlineStr"/>
      <c r="J8" s="37" t="inlineStr"/>
      <c r="K8" s="37" t="inlineStr"/>
      <c r="L8" s="37" t="inlineStr"/>
      <c r="M8" s="37" t="inlineStr"/>
      <c r="N8" s="37" t="inlineStr"/>
      <c r="O8" s="37" t="inlineStr"/>
      <c r="P8" s="37" t="inlineStr"/>
      <c r="Q8" s="37" t="inlineStr"/>
      <c r="R8" s="37" t="inlineStr"/>
      <c r="S8" s="37" t="inlineStr"/>
      <c r="T8" s="37" t="inlineStr"/>
      <c r="U8" s="37" t="inlineStr"/>
      <c r="V8" s="37" t="inlineStr"/>
      <c r="W8" s="37" t="inlineStr"/>
      <c r="X8" s="37" t="inlineStr"/>
      <c r="Y8" s="37" t="inlineStr"/>
      <c r="Z8" s="37" t="inlineStr"/>
      <c r="AA8" s="37" t="inlineStr"/>
      <c r="AB8" s="37" t="inlineStr"/>
      <c r="AC8" s="37" t="inlineStr"/>
      <c r="AD8" s="37" t="inlineStr"/>
      <c r="AE8" s="37" t="inlineStr"/>
      <c r="AF8" s="37" t="inlineStr"/>
      <c r="AG8" s="37" t="inlineStr"/>
      <c r="AH8" s="37" t="inlineStr"/>
      <c r="AI8" s="37" t="inlineStr"/>
      <c r="AJ8" s="37" t="inlineStr"/>
      <c r="AK8" s="37" t="inlineStr"/>
      <c r="AL8" s="37" t="inlineStr"/>
      <c r="AM8" s="37" t="inlineStr"/>
      <c r="AN8" s="37" t="inlineStr"/>
      <c r="AO8" s="37" t="inlineStr"/>
      <c r="AP8" s="37" t="inlineStr"/>
      <c r="AQ8" s="37" t="inlineStr"/>
      <c r="AR8" s="37" t="inlineStr"/>
      <c r="AS8" s="37" t="inlineStr"/>
      <c r="AT8" s="37" t="inlineStr"/>
      <c r="AU8" s="37" t="inlineStr"/>
      <c r="AV8" s="37" t="inlineStr"/>
      <c r="AW8" s="37" t="inlineStr"/>
      <c r="AX8" s="37" t="inlineStr"/>
      <c r="AY8" s="37" t="inlineStr"/>
      <c r="AZ8" s="37" t="inlineStr"/>
      <c r="BA8" s="37" t="inlineStr"/>
      <c r="BB8" s="37" t="inlineStr"/>
      <c r="BC8" s="37" t="inlineStr"/>
      <c r="BD8" s="37" t="inlineStr"/>
      <c r="BE8" s="37" t="inlineStr"/>
      <c r="BF8" s="37" t="inlineStr"/>
      <c r="BG8" s="37" t="inlineStr"/>
      <c r="BH8" s="37" t="inlineStr"/>
      <c r="BI8" s="37" t="inlineStr"/>
      <c r="BJ8" s="37" t="inlineStr"/>
      <c r="BK8" s="37" t="inlineStr"/>
      <c r="BL8" s="37" t="inlineStr"/>
      <c r="BM8" s="37" t="inlineStr"/>
      <c r="BN8" s="37" t="inlineStr"/>
      <c r="BO8" s="37" t="inlineStr"/>
      <c r="BP8" s="38" t="n"/>
    </row>
    <row r="9" ht="24" customHeight="1">
      <c r="A9" s="32" t="inlineStr">
        <is>
          <t>소일네일링 + 숏크리트</t>
        </is>
      </c>
      <c r="B9" s="33" t="n"/>
      <c r="C9" s="34" t="inlineStr">
        <is>
          <t>㎡</t>
        </is>
      </c>
      <c r="D9" s="33" t="n"/>
      <c r="E9" s="35">
        <f>IF(OR(N(B9)=0,N(D9)=0),"",ROUNDUP(B9/D9,0))</f>
        <v/>
      </c>
      <c r="F9" s="36" t="n"/>
      <c r="G9" s="35">
        <f>IF(OR(E9="",N(F9)=0),"",F9+E9-1)</f>
        <v/>
      </c>
      <c r="H9" s="37" t="inlineStr"/>
      <c r="I9" s="37" t="inlineStr"/>
      <c r="J9" s="37" t="inlineStr"/>
      <c r="K9" s="37" t="inlineStr"/>
      <c r="L9" s="37" t="inlineStr"/>
      <c r="M9" s="37" t="inlineStr"/>
      <c r="N9" s="37" t="inlineStr"/>
      <c r="O9" s="37" t="inlineStr"/>
      <c r="P9" s="37" t="inlineStr"/>
      <c r="Q9" s="37" t="inlineStr"/>
      <c r="R9" s="37" t="inlineStr"/>
      <c r="S9" s="37" t="inlineStr"/>
      <c r="T9" s="37" t="inlineStr"/>
      <c r="U9" s="37" t="inlineStr"/>
      <c r="V9" s="37" t="inlineStr"/>
      <c r="W9" s="37" t="inlineStr"/>
      <c r="X9" s="37" t="inlineStr"/>
      <c r="Y9" s="37" t="inlineStr"/>
      <c r="Z9" s="37" t="inlineStr"/>
      <c r="AA9" s="37" t="inlineStr"/>
      <c r="AB9" s="37" t="inlineStr"/>
      <c r="AC9" s="37" t="inlineStr"/>
      <c r="AD9" s="37" t="inlineStr"/>
      <c r="AE9" s="37" t="inlineStr"/>
      <c r="AF9" s="37" t="inlineStr"/>
      <c r="AG9" s="37" t="inlineStr"/>
      <c r="AH9" s="37" t="inlineStr"/>
      <c r="AI9" s="37" t="inlineStr"/>
      <c r="AJ9" s="37" t="inlineStr"/>
      <c r="AK9" s="37" t="inlineStr"/>
      <c r="AL9" s="37" t="inlineStr"/>
      <c r="AM9" s="37" t="inlineStr"/>
      <c r="AN9" s="37" t="inlineStr"/>
      <c r="AO9" s="37" t="inlineStr"/>
      <c r="AP9" s="37" t="inlineStr"/>
      <c r="AQ9" s="37" t="inlineStr"/>
      <c r="AR9" s="37" t="inlineStr"/>
      <c r="AS9" s="37" t="inlineStr"/>
      <c r="AT9" s="37" t="inlineStr"/>
      <c r="AU9" s="37" t="inlineStr"/>
      <c r="AV9" s="37" t="inlineStr"/>
      <c r="AW9" s="37" t="inlineStr"/>
      <c r="AX9" s="37" t="inlineStr"/>
      <c r="AY9" s="37" t="inlineStr"/>
      <c r="AZ9" s="37" t="inlineStr"/>
      <c r="BA9" s="37" t="inlineStr"/>
      <c r="BB9" s="37" t="inlineStr"/>
      <c r="BC9" s="37" t="inlineStr"/>
      <c r="BD9" s="37" t="inlineStr"/>
      <c r="BE9" s="37" t="inlineStr"/>
      <c r="BF9" s="37" t="inlineStr"/>
      <c r="BG9" s="37" t="inlineStr"/>
      <c r="BH9" s="37" t="inlineStr"/>
      <c r="BI9" s="37" t="inlineStr"/>
      <c r="BJ9" s="37" t="inlineStr"/>
      <c r="BK9" s="37" t="inlineStr"/>
      <c r="BL9" s="37" t="inlineStr"/>
      <c r="BM9" s="37" t="inlineStr"/>
      <c r="BN9" s="37" t="inlineStr"/>
      <c r="BO9" s="37" t="inlineStr"/>
      <c r="BP9" s="38" t="n"/>
    </row>
    <row r="10" ht="24" customHeight="1">
      <c r="A10" s="32" t="inlineStr">
        <is>
          <t>터파기 및 잔토 처리</t>
        </is>
      </c>
      <c r="B10" s="33" t="n"/>
      <c r="C10" s="34" t="inlineStr">
        <is>
          <t>㎥</t>
        </is>
      </c>
      <c r="D10" s="33" t="n"/>
      <c r="E10" s="35">
        <f>IF(OR(N(B10)=0,N(D10)=0),"",ROUNDUP(B10/D10,0))</f>
        <v/>
      </c>
      <c r="F10" s="36" t="n"/>
      <c r="G10" s="35">
        <f>IF(OR(E10="",N(F10)=0),"",F10+E10-1)</f>
        <v/>
      </c>
      <c r="H10" s="37" t="inlineStr"/>
      <c r="I10" s="37" t="inlineStr"/>
      <c r="J10" s="37" t="inlineStr"/>
      <c r="K10" s="37" t="inlineStr"/>
      <c r="L10" s="37" t="inlineStr"/>
      <c r="M10" s="37" t="inlineStr"/>
      <c r="N10" s="37" t="inlineStr"/>
      <c r="O10" s="37" t="inlineStr"/>
      <c r="P10" s="37" t="inlineStr"/>
      <c r="Q10" s="37" t="inlineStr"/>
      <c r="R10" s="37" t="inlineStr"/>
      <c r="S10" s="37" t="inlineStr"/>
      <c r="T10" s="37" t="inlineStr"/>
      <c r="U10" s="37" t="inlineStr"/>
      <c r="V10" s="37" t="inlineStr"/>
      <c r="W10" s="37" t="inlineStr"/>
      <c r="X10" s="37" t="inlineStr"/>
      <c r="Y10" s="37" t="inlineStr"/>
      <c r="Z10" s="37" t="inlineStr"/>
      <c r="AA10" s="37" t="inlineStr"/>
      <c r="AB10" s="37" t="inlineStr"/>
      <c r="AC10" s="37" t="inlineStr"/>
      <c r="AD10" s="37" t="inlineStr"/>
      <c r="AE10" s="37" t="inlineStr"/>
      <c r="AF10" s="37" t="inlineStr"/>
      <c r="AG10" s="37" t="inlineStr"/>
      <c r="AH10" s="37" t="inlineStr"/>
      <c r="AI10" s="37" t="inlineStr"/>
      <c r="AJ10" s="37" t="inlineStr"/>
      <c r="AK10" s="37" t="inlineStr"/>
      <c r="AL10" s="37" t="inlineStr"/>
      <c r="AM10" s="37" t="inlineStr"/>
      <c r="AN10" s="37" t="inlineStr"/>
      <c r="AO10" s="37" t="inlineStr"/>
      <c r="AP10" s="37" t="inlineStr"/>
      <c r="AQ10" s="37" t="inlineStr"/>
      <c r="AR10" s="37" t="inlineStr"/>
      <c r="AS10" s="37" t="inlineStr"/>
      <c r="AT10" s="37" t="inlineStr"/>
      <c r="AU10" s="37" t="inlineStr"/>
      <c r="AV10" s="37" t="inlineStr"/>
      <c r="AW10" s="37" t="inlineStr"/>
      <c r="AX10" s="37" t="inlineStr"/>
      <c r="AY10" s="37" t="inlineStr"/>
      <c r="AZ10" s="37" t="inlineStr"/>
      <c r="BA10" s="37" t="inlineStr"/>
      <c r="BB10" s="37" t="inlineStr"/>
      <c r="BC10" s="37" t="inlineStr"/>
      <c r="BD10" s="37" t="inlineStr"/>
      <c r="BE10" s="37" t="inlineStr"/>
      <c r="BF10" s="37" t="inlineStr"/>
      <c r="BG10" s="37" t="inlineStr"/>
      <c r="BH10" s="37" t="inlineStr"/>
      <c r="BI10" s="37" t="inlineStr"/>
      <c r="BJ10" s="37" t="inlineStr"/>
      <c r="BK10" s="37" t="inlineStr"/>
      <c r="BL10" s="37" t="inlineStr"/>
      <c r="BM10" s="37" t="inlineStr"/>
      <c r="BN10" s="37" t="inlineStr"/>
      <c r="BO10" s="37" t="inlineStr"/>
      <c r="BP10" s="38" t="n"/>
    </row>
    <row r="11" ht="24" customHeight="1">
      <c r="A11" s="32" t="n"/>
      <c r="B11" s="33" t="n"/>
      <c r="C11" s="34" t="n"/>
      <c r="D11" s="33" t="n"/>
      <c r="E11" s="35">
        <f>IF(OR(N(B11)=0,N(D11)=0),"",ROUNDUP(B11/D11,0))</f>
        <v/>
      </c>
      <c r="F11" s="36" t="n"/>
      <c r="G11" s="35">
        <f>IF(OR(E11="",N(F11)=0),"",F11+E11-1)</f>
        <v/>
      </c>
      <c r="H11" s="37" t="inlineStr"/>
      <c r="I11" s="37" t="inlineStr"/>
      <c r="J11" s="37" t="inlineStr"/>
      <c r="K11" s="37" t="inlineStr"/>
      <c r="L11" s="37" t="inlineStr"/>
      <c r="M11" s="37" t="inlineStr"/>
      <c r="N11" s="37" t="inlineStr"/>
      <c r="O11" s="37" t="inlineStr"/>
      <c r="P11" s="37" t="inlineStr"/>
      <c r="Q11" s="37" t="inlineStr"/>
      <c r="R11" s="37" t="inlineStr"/>
      <c r="S11" s="37" t="inlineStr"/>
      <c r="T11" s="37" t="inlineStr"/>
      <c r="U11" s="37" t="inlineStr"/>
      <c r="V11" s="37" t="inlineStr"/>
      <c r="W11" s="37" t="inlineStr"/>
      <c r="X11" s="37" t="inlineStr"/>
      <c r="Y11" s="37" t="inlineStr"/>
      <c r="Z11" s="37" t="inlineStr"/>
      <c r="AA11" s="37" t="inlineStr"/>
      <c r="AB11" s="37" t="inlineStr"/>
      <c r="AC11" s="37" t="inlineStr"/>
      <c r="AD11" s="37" t="inlineStr"/>
      <c r="AE11" s="37" t="inlineStr"/>
      <c r="AF11" s="37" t="inlineStr"/>
      <c r="AG11" s="37" t="inlineStr"/>
      <c r="AH11" s="37" t="inlineStr"/>
      <c r="AI11" s="37" t="inlineStr"/>
      <c r="AJ11" s="37" t="inlineStr"/>
      <c r="AK11" s="37" t="inlineStr"/>
      <c r="AL11" s="37" t="inlineStr"/>
      <c r="AM11" s="37" t="inlineStr"/>
      <c r="AN11" s="37" t="inlineStr"/>
      <c r="AO11" s="37" t="inlineStr"/>
      <c r="AP11" s="37" t="inlineStr"/>
      <c r="AQ11" s="37" t="inlineStr"/>
      <c r="AR11" s="37" t="inlineStr"/>
      <c r="AS11" s="37" t="inlineStr"/>
      <c r="AT11" s="37" t="inlineStr"/>
      <c r="AU11" s="37" t="inlineStr"/>
      <c r="AV11" s="37" t="inlineStr"/>
      <c r="AW11" s="37" t="inlineStr"/>
      <c r="AX11" s="37" t="inlineStr"/>
      <c r="AY11" s="37" t="inlineStr"/>
      <c r="AZ11" s="37" t="inlineStr"/>
      <c r="BA11" s="37" t="inlineStr"/>
      <c r="BB11" s="37" t="inlineStr"/>
      <c r="BC11" s="37" t="inlineStr"/>
      <c r="BD11" s="37" t="inlineStr"/>
      <c r="BE11" s="37" t="inlineStr"/>
      <c r="BF11" s="37" t="inlineStr"/>
      <c r="BG11" s="37" t="inlineStr"/>
      <c r="BH11" s="37" t="inlineStr"/>
      <c r="BI11" s="37" t="inlineStr"/>
      <c r="BJ11" s="37" t="inlineStr"/>
      <c r="BK11" s="37" t="inlineStr"/>
      <c r="BL11" s="37" t="inlineStr"/>
      <c r="BM11" s="37" t="inlineStr"/>
      <c r="BN11" s="37" t="inlineStr"/>
      <c r="BO11" s="37" t="inlineStr"/>
      <c r="BP11" s="38" t="n"/>
    </row>
    <row r="12" ht="24" customHeight="1">
      <c r="A12" s="32" t="n"/>
      <c r="B12" s="33" t="n"/>
      <c r="C12" s="34" t="n"/>
      <c r="D12" s="33" t="n"/>
      <c r="E12" s="35">
        <f>IF(OR(N(B12)=0,N(D12)=0),"",ROUNDUP(B12/D12,0))</f>
        <v/>
      </c>
      <c r="F12" s="36" t="n"/>
      <c r="G12" s="35">
        <f>IF(OR(E12="",N(F12)=0),"",F12+E12-1)</f>
        <v/>
      </c>
      <c r="H12" s="37" t="inlineStr"/>
      <c r="I12" s="37" t="inlineStr"/>
      <c r="J12" s="37" t="inlineStr"/>
      <c r="K12" s="37" t="inlineStr"/>
      <c r="L12" s="37" t="inlineStr"/>
      <c r="M12" s="37" t="inlineStr"/>
      <c r="N12" s="37" t="inlineStr"/>
      <c r="O12" s="37" t="inlineStr"/>
      <c r="P12" s="37" t="inlineStr"/>
      <c r="Q12" s="37" t="inlineStr"/>
      <c r="R12" s="37" t="inlineStr"/>
      <c r="S12" s="37" t="inlineStr"/>
      <c r="T12" s="37" t="inlineStr"/>
      <c r="U12" s="37" t="inlineStr"/>
      <c r="V12" s="37" t="inlineStr"/>
      <c r="W12" s="37" t="inlineStr"/>
      <c r="X12" s="37" t="inlineStr"/>
      <c r="Y12" s="37" t="inlineStr"/>
      <c r="Z12" s="37" t="inlineStr"/>
      <c r="AA12" s="37" t="inlineStr"/>
      <c r="AB12" s="37" t="inlineStr"/>
      <c r="AC12" s="37" t="inlineStr"/>
      <c r="AD12" s="37" t="inlineStr"/>
      <c r="AE12" s="37" t="inlineStr"/>
      <c r="AF12" s="37" t="inlineStr"/>
      <c r="AG12" s="37" t="inlineStr"/>
      <c r="AH12" s="37" t="inlineStr"/>
      <c r="AI12" s="37" t="inlineStr"/>
      <c r="AJ12" s="37" t="inlineStr"/>
      <c r="AK12" s="37" t="inlineStr"/>
      <c r="AL12" s="37" t="inlineStr"/>
      <c r="AM12" s="37" t="inlineStr"/>
      <c r="AN12" s="37" t="inlineStr"/>
      <c r="AO12" s="37" t="inlineStr"/>
      <c r="AP12" s="37" t="inlineStr"/>
      <c r="AQ12" s="37" t="inlineStr"/>
      <c r="AR12" s="37" t="inlineStr"/>
      <c r="AS12" s="37" t="inlineStr"/>
      <c r="AT12" s="37" t="inlineStr"/>
      <c r="AU12" s="37" t="inlineStr"/>
      <c r="AV12" s="37" t="inlineStr"/>
      <c r="AW12" s="37" t="inlineStr"/>
      <c r="AX12" s="37" t="inlineStr"/>
      <c r="AY12" s="37" t="inlineStr"/>
      <c r="AZ12" s="37" t="inlineStr"/>
      <c r="BA12" s="37" t="inlineStr"/>
      <c r="BB12" s="37" t="inlineStr"/>
      <c r="BC12" s="37" t="inlineStr"/>
      <c r="BD12" s="37" t="inlineStr"/>
      <c r="BE12" s="37" t="inlineStr"/>
      <c r="BF12" s="37" t="inlineStr"/>
      <c r="BG12" s="37" t="inlineStr"/>
      <c r="BH12" s="37" t="inlineStr"/>
      <c r="BI12" s="37" t="inlineStr"/>
      <c r="BJ12" s="37" t="inlineStr"/>
      <c r="BK12" s="37" t="inlineStr"/>
      <c r="BL12" s="37" t="inlineStr"/>
      <c r="BM12" s="37" t="inlineStr"/>
      <c r="BN12" s="37" t="inlineStr"/>
      <c r="BO12" s="37" t="inlineStr"/>
      <c r="BP12" s="38" t="n"/>
    </row>
    <row r="13" ht="24" customHeight="1">
      <c r="A13" s="32" t="n"/>
      <c r="B13" s="33" t="n"/>
      <c r="C13" s="34" t="n"/>
      <c r="D13" s="33" t="n"/>
      <c r="E13" s="35">
        <f>IF(OR(N(B13)=0,N(D13)=0),"",ROUNDUP(B13/D13,0))</f>
        <v/>
      </c>
      <c r="F13" s="36" t="n"/>
      <c r="G13" s="35">
        <f>IF(OR(E13="",N(F13)=0),"",F13+E13-1)</f>
        <v/>
      </c>
      <c r="H13" s="37" t="inlineStr"/>
      <c r="I13" s="37" t="inlineStr"/>
      <c r="J13" s="37" t="inlineStr"/>
      <c r="K13" s="37" t="inlineStr"/>
      <c r="L13" s="37" t="inlineStr"/>
      <c r="M13" s="37" t="inlineStr"/>
      <c r="N13" s="37" t="inlineStr"/>
      <c r="O13" s="37" t="inlineStr"/>
      <c r="P13" s="37" t="inlineStr"/>
      <c r="Q13" s="37" t="inlineStr"/>
      <c r="R13" s="37" t="inlineStr"/>
      <c r="S13" s="37" t="inlineStr"/>
      <c r="T13" s="37" t="inlineStr"/>
      <c r="U13" s="37" t="inlineStr"/>
      <c r="V13" s="37" t="inlineStr"/>
      <c r="W13" s="37" t="inlineStr"/>
      <c r="X13" s="37" t="inlineStr"/>
      <c r="Y13" s="37" t="inlineStr"/>
      <c r="Z13" s="37" t="inlineStr"/>
      <c r="AA13" s="37" t="inlineStr"/>
      <c r="AB13" s="37" t="inlineStr"/>
      <c r="AC13" s="37" t="inlineStr"/>
      <c r="AD13" s="37" t="inlineStr"/>
      <c r="AE13" s="37" t="inlineStr"/>
      <c r="AF13" s="37" t="inlineStr"/>
      <c r="AG13" s="37" t="inlineStr"/>
      <c r="AH13" s="37" t="inlineStr"/>
      <c r="AI13" s="37" t="inlineStr"/>
      <c r="AJ13" s="37" t="inlineStr"/>
      <c r="AK13" s="37" t="inlineStr"/>
      <c r="AL13" s="37" t="inlineStr"/>
      <c r="AM13" s="37" t="inlineStr"/>
      <c r="AN13" s="37" t="inlineStr"/>
      <c r="AO13" s="37" t="inlineStr"/>
      <c r="AP13" s="37" t="inlineStr"/>
      <c r="AQ13" s="37" t="inlineStr"/>
      <c r="AR13" s="37" t="inlineStr"/>
      <c r="AS13" s="37" t="inlineStr"/>
      <c r="AT13" s="37" t="inlineStr"/>
      <c r="AU13" s="37" t="inlineStr"/>
      <c r="AV13" s="37" t="inlineStr"/>
      <c r="AW13" s="37" t="inlineStr"/>
      <c r="AX13" s="37" t="inlineStr"/>
      <c r="AY13" s="37" t="inlineStr"/>
      <c r="AZ13" s="37" t="inlineStr"/>
      <c r="BA13" s="37" t="inlineStr"/>
      <c r="BB13" s="37" t="inlineStr"/>
      <c r="BC13" s="37" t="inlineStr"/>
      <c r="BD13" s="37" t="inlineStr"/>
      <c r="BE13" s="37" t="inlineStr"/>
      <c r="BF13" s="37" t="inlineStr"/>
      <c r="BG13" s="37" t="inlineStr"/>
      <c r="BH13" s="37" t="inlineStr"/>
      <c r="BI13" s="37" t="inlineStr"/>
      <c r="BJ13" s="37" t="inlineStr"/>
      <c r="BK13" s="37" t="inlineStr"/>
      <c r="BL13" s="37" t="inlineStr"/>
      <c r="BM13" s="37" t="inlineStr"/>
      <c r="BN13" s="37" t="inlineStr"/>
      <c r="BO13" s="37" t="inlineStr"/>
      <c r="BP13" s="38" t="n"/>
    </row>
    <row r="14" ht="22" customHeight="1">
      <c r="A14" s="39" t="inlineStr">
        <is>
          <t>총 공기 (가장 늦게 끝나는 일차)</t>
        </is>
      </c>
      <c r="B14" s="7" t="n"/>
      <c r="C14" s="7" t="n"/>
      <c r="D14" s="7" t="n"/>
      <c r="E14" s="7" t="n"/>
      <c r="F14" s="7" t="n"/>
      <c r="G14" s="40">
        <f>IF(COUNT(G6:G13)=0,"",MAX(G6:G13))</f>
        <v/>
      </c>
      <c r="H14" s="41">
        <f>IF(OR(G14="",N(B3)=0),"",B3+G14-1)</f>
        <v/>
      </c>
      <c r="BP14" s="5" t="inlineStr"/>
    </row>
    <row r="16" ht="19.5" customHeight="1">
      <c r="A16" s="11" t="inlineStr">
        <is>
          <t>하늘색 칸 = 자동(작업일수 = 총수량 ÷ 1일 작업량 올림 · 종료 일차 · 날짜 · 총 공기). 공종 이름 · 단위는 원본 차례를 넣어 두었습니다.</t>
        </is>
      </c>
    </row>
  </sheetData>
  <mergeCells count="16">
    <mergeCell ref="B4:B5"/>
    <mergeCell ref="C4:C5"/>
    <mergeCell ref="B3:C3"/>
    <mergeCell ref="A4:A5"/>
    <mergeCell ref="D4:D5"/>
    <mergeCell ref="E4:E5"/>
    <mergeCell ref="F4:F5"/>
    <mergeCell ref="A1:Y1"/>
    <mergeCell ref="G4:G5"/>
    <mergeCell ref="Z1:BP1"/>
    <mergeCell ref="D3:BO3"/>
    <mergeCell ref="BP4:BP5"/>
    <mergeCell ref="A14:F14"/>
    <mergeCell ref="H14:BO14"/>
    <mergeCell ref="A16:BP16"/>
    <mergeCell ref="A2:BP2"/>
  </mergeCells>
  <conditionalFormatting sqref="H6:BO13">
    <cfRule type="expression" priority="1" dxfId="0">
      <formula>AND(N($F6)&gt;0,N($G6)&gt;=N($F6),H$4&gt;=$F6,H$4&lt;=$G6)</formula>
    </cfRule>
  </conditionalFormatting>
  <conditionalFormatting sqref="B6:B13">
    <cfRule type="expression" priority="2" dxfId="1">
      <formula>AND(ISNUMBER(B6),MOD(B6,1)=0)</formula>
    </cfRule>
  </conditionalFormatting>
  <conditionalFormatting sqref="D6:D13">
    <cfRule type="expression" priority="3" dxfId="1">
      <formula>AND(ISNUMBER(D6),MOD(D6,1)=0)</formula>
    </cfRule>
  </conditionalFormatting>
  <printOptions horizontalCentered="1"/>
  <pageMargins left="0.3" right="0.3" top="0.45" bottom="0.45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4" t="inlineStr">
        <is>
          <t>3.  시 공 계 획</t>
        </is>
      </c>
    </row>
    <row r="4" ht="4" customHeight="1"/>
    <row r="5" ht="3" customHeight="1"/>
    <row r="6" ht="22" customHeight="1">
      <c r="A6" s="15" t="inlineStr">
        <is>
          <t>3.1  현장 기구조직도</t>
        </is>
      </c>
    </row>
    <row r="7" ht="24" customHeight="1">
      <c r="A7" s="5" t="inlineStr"/>
      <c r="E7" s="6" t="inlineStr">
        <is>
          <t>현 장 대 리 인</t>
        </is>
      </c>
      <c r="F7" s="7" t="n"/>
      <c r="G7" s="7" t="n"/>
      <c r="H7" s="7" t="n"/>
      <c r="I7" s="5" t="inlineStr"/>
    </row>
    <row r="8" ht="24" customHeight="1">
      <c r="A8" s="5" t="inlineStr"/>
      <c r="E8" s="8" t="n"/>
      <c r="F8" s="7" t="n"/>
      <c r="G8" s="7" t="n"/>
      <c r="H8" s="7" t="n"/>
      <c r="I8" s="5" t="inlineStr"/>
    </row>
    <row r="9" ht="14" customHeight="1">
      <c r="A9" s="42" t="inlineStr">
        <is>
          <t>┌─────────────┴─────────────┐</t>
        </is>
      </c>
    </row>
    <row r="10" ht="24" customHeight="1">
      <c r="A10" s="5" t="inlineStr"/>
      <c r="B10" s="6" t="inlineStr">
        <is>
          <t>작업반장(1)</t>
        </is>
      </c>
      <c r="C10" s="7" t="n"/>
      <c r="D10" s="7" t="n"/>
      <c r="E10" s="7" t="n"/>
      <c r="F10" s="5" t="inlineStr"/>
      <c r="H10" s="6" t="inlineStr">
        <is>
          <t>작업반장(2)</t>
        </is>
      </c>
      <c r="I10" s="7" t="n"/>
      <c r="J10" s="7" t="n"/>
      <c r="K10" s="7" t="n"/>
      <c r="L10" s="5" t="inlineStr"/>
    </row>
    <row r="11" ht="24" customHeight="1">
      <c r="A11" s="5" t="inlineStr"/>
      <c r="B11" s="8" t="n"/>
      <c r="C11" s="7" t="n"/>
      <c r="D11" s="7" t="n"/>
      <c r="E11" s="7" t="n"/>
      <c r="F11" s="5" t="inlineStr"/>
      <c r="H11" s="8" t="n"/>
      <c r="I11" s="7" t="n"/>
      <c r="J11" s="7" t="n"/>
      <c r="K11" s="7" t="n"/>
      <c r="L11" s="5" t="inlineStr"/>
    </row>
    <row r="12" ht="24" customHeight="1">
      <c r="A12" s="5" t="inlineStr"/>
      <c r="B12" s="43" t="inlineStr">
        <is>
          <t>장비기사</t>
        </is>
      </c>
      <c r="C12" s="7" t="n"/>
      <c r="D12" s="44" t="n"/>
      <c r="E12" s="7" t="n"/>
      <c r="F12" s="5" t="inlineStr"/>
      <c r="H12" s="43" t="inlineStr">
        <is>
          <t>장비기사</t>
        </is>
      </c>
      <c r="I12" s="7" t="n"/>
      <c r="J12" s="44" t="n"/>
      <c r="K12" s="7" t="n"/>
      <c r="L12" s="5" t="inlineStr"/>
    </row>
    <row r="13" ht="24" customHeight="1">
      <c r="A13" s="5" t="inlineStr"/>
      <c r="B13" s="43" t="inlineStr">
        <is>
          <t>기능공</t>
        </is>
      </c>
      <c r="C13" s="7" t="n"/>
      <c r="D13" s="44" t="n"/>
      <c r="E13" s="7" t="n"/>
      <c r="F13" s="5" t="inlineStr"/>
      <c r="H13" s="43" t="inlineStr">
        <is>
          <t>기능공</t>
        </is>
      </c>
      <c r="I13" s="7" t="n"/>
      <c r="J13" s="44" t="n"/>
      <c r="K13" s="7" t="n"/>
      <c r="L13" s="5" t="inlineStr"/>
    </row>
    <row r="14" ht="3" customHeight="1"/>
    <row r="15" ht="22" customHeight="1">
      <c r="A15" s="15" t="inlineStr">
        <is>
          <t>3.2  장비 동원계획</t>
        </is>
      </c>
    </row>
    <row r="16" ht="24" customHeight="1">
      <c r="A16" s="27" t="inlineStr">
        <is>
          <t>공  종</t>
        </is>
      </c>
      <c r="B16" s="7" t="n"/>
      <c r="C16" s="27" t="inlineStr">
        <is>
          <t>장 비 명</t>
        </is>
      </c>
      <c r="D16" s="7" t="n"/>
      <c r="E16" s="7" t="n"/>
      <c r="F16" s="27" t="inlineStr">
        <is>
          <t>수량</t>
        </is>
      </c>
      <c r="G16" s="27" t="inlineStr">
        <is>
          <t>규  격</t>
        </is>
      </c>
      <c r="H16" s="7" t="n"/>
      <c r="I16" s="7" t="n"/>
      <c r="J16" s="27" t="inlineStr">
        <is>
          <t>용  도</t>
        </is>
      </c>
      <c r="K16" s="7" t="n"/>
      <c r="L16" s="7" t="n"/>
    </row>
    <row r="17" ht="23" customHeight="1">
      <c r="A17" s="45" t="inlineStr">
        <is>
          <t>CIP</t>
        </is>
      </c>
      <c r="B17" s="7" t="n"/>
      <c r="C17" s="45" t="inlineStr">
        <is>
          <t>천공기</t>
        </is>
      </c>
      <c r="D17" s="7" t="n"/>
      <c r="E17" s="7" t="n"/>
      <c r="F17" s="46" t="n"/>
      <c r="G17" s="47" t="inlineStr">
        <is>
          <t>주니어 40 · 60</t>
        </is>
      </c>
      <c r="H17" s="7" t="n"/>
      <c r="I17" s="7" t="n"/>
      <c r="J17" s="45" t="inlineStr">
        <is>
          <t>천공</t>
        </is>
      </c>
      <c r="K17" s="7" t="n"/>
      <c r="L17" s="7" t="n"/>
    </row>
    <row r="18" ht="23" customHeight="1">
      <c r="A18" s="45" t="inlineStr">
        <is>
          <t>CIP</t>
        </is>
      </c>
      <c r="B18" s="7" t="n"/>
      <c r="C18" s="45" t="inlineStr">
        <is>
          <t>공기압축기</t>
        </is>
      </c>
      <c r="D18" s="7" t="n"/>
      <c r="E18" s="7" t="n"/>
      <c r="F18" s="46" t="n"/>
      <c r="G18" s="47" t="n"/>
      <c r="H18" s="7" t="n"/>
      <c r="I18" s="7" t="n"/>
      <c r="J18" s="45" t="inlineStr">
        <is>
          <t>압송</t>
        </is>
      </c>
      <c r="K18" s="7" t="n"/>
      <c r="L18" s="7" t="n"/>
    </row>
    <row r="19" ht="23" customHeight="1">
      <c r="A19" s="45" t="inlineStr">
        <is>
          <t>CIP</t>
        </is>
      </c>
      <c r="B19" s="7" t="n"/>
      <c r="C19" s="45" t="inlineStr">
        <is>
          <t>굴삭기</t>
        </is>
      </c>
      <c r="D19" s="7" t="n"/>
      <c r="E19" s="7" t="n"/>
      <c r="F19" s="46" t="n"/>
      <c r="G19" s="47" t="inlineStr">
        <is>
          <t>1.0㎥ 궤도</t>
        </is>
      </c>
      <c r="H19" s="7" t="n"/>
      <c r="I19" s="7" t="n"/>
      <c r="J19" s="45" t="inlineStr">
        <is>
          <t>타설</t>
        </is>
      </c>
      <c r="K19" s="7" t="n"/>
      <c r="L19" s="7" t="n"/>
    </row>
    <row r="20" ht="23" customHeight="1">
      <c r="A20" s="45" t="inlineStr">
        <is>
          <t>소일네일</t>
        </is>
      </c>
      <c r="B20" s="7" t="n"/>
      <c r="C20" s="45" t="inlineStr">
        <is>
          <t>크롤러 드릴</t>
        </is>
      </c>
      <c r="D20" s="7" t="n"/>
      <c r="E20" s="7" t="n"/>
      <c r="F20" s="46" t="n"/>
      <c r="G20" s="47" t="n"/>
      <c r="H20" s="7" t="n"/>
      <c r="I20" s="7" t="n"/>
      <c r="J20" s="45" t="inlineStr">
        <is>
          <t>네일 천공</t>
        </is>
      </c>
      <c r="K20" s="7" t="n"/>
      <c r="L20" s="7" t="n"/>
    </row>
    <row r="21" ht="23" customHeight="1">
      <c r="A21" s="45" t="inlineStr">
        <is>
          <t>소일네일</t>
        </is>
      </c>
      <c r="B21" s="7" t="n"/>
      <c r="C21" s="45" t="inlineStr">
        <is>
          <t>고공 드릴</t>
        </is>
      </c>
      <c r="D21" s="7" t="n"/>
      <c r="E21" s="7" t="n"/>
      <c r="F21" s="46" t="n"/>
      <c r="G21" s="47" t="n"/>
      <c r="H21" s="7" t="n"/>
      <c r="I21" s="7" t="n"/>
      <c r="J21" s="45" t="inlineStr">
        <is>
          <t>네일 천공</t>
        </is>
      </c>
      <c r="K21" s="7" t="n"/>
      <c r="L21" s="7" t="n"/>
    </row>
    <row r="22" ht="23" customHeight="1">
      <c r="A22" s="45" t="inlineStr">
        <is>
          <t>소일네일</t>
        </is>
      </c>
      <c r="B22" s="7" t="n"/>
      <c r="C22" s="45" t="inlineStr">
        <is>
          <t>공기압축기</t>
        </is>
      </c>
      <c r="D22" s="7" t="n"/>
      <c r="E22" s="7" t="n"/>
      <c r="F22" s="46" t="n"/>
      <c r="G22" s="47" t="n"/>
      <c r="H22" s="7" t="n"/>
      <c r="I22" s="7" t="n"/>
      <c r="J22" s="45" t="inlineStr">
        <is>
          <t>압송</t>
        </is>
      </c>
      <c r="K22" s="7" t="n"/>
      <c r="L22" s="7" t="n"/>
    </row>
    <row r="23" ht="23" customHeight="1">
      <c r="A23" s="45" t="inlineStr">
        <is>
          <t>소일네일</t>
        </is>
      </c>
      <c r="B23" s="7" t="n"/>
      <c r="C23" s="45" t="inlineStr">
        <is>
          <t>믹서 펌프</t>
        </is>
      </c>
      <c r="D23" s="7" t="n"/>
      <c r="E23" s="7" t="n"/>
      <c r="F23" s="46" t="n"/>
      <c r="G23" s="47" t="inlineStr">
        <is>
          <t>그라우팅용</t>
        </is>
      </c>
      <c r="H23" s="7" t="n"/>
      <c r="I23" s="7" t="n"/>
      <c r="J23" s="45" t="inlineStr">
        <is>
          <t>그라우팅</t>
        </is>
      </c>
      <c r="K23" s="7" t="n"/>
      <c r="L23" s="7" t="n"/>
    </row>
    <row r="24" ht="23" customHeight="1">
      <c r="A24" s="45" t="inlineStr">
        <is>
          <t>숏크리트</t>
        </is>
      </c>
      <c r="B24" s="7" t="n"/>
      <c r="C24" s="45" t="inlineStr">
        <is>
          <t>숏크리트 펌프카</t>
        </is>
      </c>
      <c r="D24" s="7" t="n"/>
      <c r="E24" s="7" t="n"/>
      <c r="F24" s="46" t="n"/>
      <c r="G24" s="47" t="inlineStr">
        <is>
          <t>습식 5톤</t>
        </is>
      </c>
      <c r="H24" s="7" t="n"/>
      <c r="I24" s="7" t="n"/>
      <c r="J24" s="45" t="inlineStr">
        <is>
          <t>타설</t>
        </is>
      </c>
      <c r="K24" s="7" t="n"/>
      <c r="L24" s="7" t="n"/>
    </row>
    <row r="25" ht="23" customHeight="1">
      <c r="A25" s="45" t="inlineStr">
        <is>
          <t>토공사</t>
        </is>
      </c>
      <c r="B25" s="7" t="n"/>
      <c r="C25" s="45" t="inlineStr">
        <is>
          <t>굴삭기</t>
        </is>
      </c>
      <c r="D25" s="7" t="n"/>
      <c r="E25" s="7" t="n"/>
      <c r="F25" s="46" t="n"/>
      <c r="G25" s="47" t="inlineStr">
        <is>
          <t>1.0㎥ 궤도</t>
        </is>
      </c>
      <c r="H25" s="7" t="n"/>
      <c r="I25" s="7" t="n"/>
      <c r="J25" s="45" t="inlineStr">
        <is>
          <t>상차</t>
        </is>
      </c>
      <c r="K25" s="7" t="n"/>
      <c r="L25" s="7" t="n"/>
    </row>
    <row r="26" ht="23" customHeight="1">
      <c r="A26" s="45" t="inlineStr">
        <is>
          <t>토공사</t>
        </is>
      </c>
      <c r="B26" s="7" t="n"/>
      <c r="C26" s="45" t="inlineStr">
        <is>
          <t>덤프트럭</t>
        </is>
      </c>
      <c r="D26" s="7" t="n"/>
      <c r="E26" s="7" t="n"/>
      <c r="F26" s="46" t="n"/>
      <c r="G26" s="47" t="inlineStr">
        <is>
          <t>25톤</t>
        </is>
      </c>
      <c r="H26" s="7" t="n"/>
      <c r="I26" s="7" t="n"/>
      <c r="J26" s="45" t="inlineStr">
        <is>
          <t>운반</t>
        </is>
      </c>
      <c r="K26" s="7" t="n"/>
      <c r="L26" s="7" t="n"/>
    </row>
    <row r="27" ht="23" customHeight="1">
      <c r="A27" s="45" t="n"/>
      <c r="B27" s="7" t="n"/>
      <c r="C27" s="45" t="n"/>
      <c r="D27" s="7" t="n"/>
      <c r="E27" s="7" t="n"/>
      <c r="F27" s="46" t="n"/>
      <c r="G27" s="47" t="n"/>
      <c r="H27" s="7" t="n"/>
      <c r="I27" s="7" t="n"/>
      <c r="J27" s="45" t="n"/>
      <c r="K27" s="7" t="n"/>
      <c r="L27" s="7" t="n"/>
    </row>
    <row r="28" ht="23" customHeight="1">
      <c r="A28" s="45" t="n"/>
      <c r="B28" s="7" t="n"/>
      <c r="C28" s="45" t="n"/>
      <c r="D28" s="7" t="n"/>
      <c r="E28" s="7" t="n"/>
      <c r="F28" s="46" t="n"/>
      <c r="G28" s="47" t="n"/>
      <c r="H28" s="7" t="n"/>
      <c r="I28" s="7" t="n"/>
      <c r="J28" s="45" t="n"/>
      <c r="K28" s="7" t="n"/>
      <c r="L28" s="7" t="n"/>
    </row>
    <row r="29" ht="24" customHeight="1">
      <c r="A29" s="39" t="inlineStr">
        <is>
          <t>합   계</t>
        </is>
      </c>
      <c r="B29" s="7" t="n"/>
      <c r="C29" s="7" t="n"/>
      <c r="D29" s="7" t="n"/>
      <c r="E29" s="7" t="n"/>
      <c r="F29" s="48">
        <f>IF(SUM(F17:F28)=0,"",SUM(F17:F28))</f>
        <v/>
      </c>
      <c r="G29" s="39" t="inlineStr">
        <is>
          <t>대</t>
        </is>
      </c>
      <c r="H29" s="7" t="n"/>
      <c r="I29" s="7" t="n"/>
      <c r="J29" s="7" t="n"/>
      <c r="K29" s="7" t="n"/>
      <c r="L29" s="7" t="n"/>
    </row>
    <row r="30" ht="3" customHeight="1"/>
    <row r="31" ht="22" customHeight="1">
      <c r="A31" s="15" t="inlineStr">
        <is>
          <t>3.3  인원 동원계획</t>
        </is>
      </c>
    </row>
    <row r="32" ht="24" customHeight="1">
      <c r="A32" s="27" t="inlineStr">
        <is>
          <t>공  종</t>
        </is>
      </c>
      <c r="B32" s="7" t="n"/>
      <c r="C32" s="7" t="n"/>
      <c r="D32" s="27" t="inlineStr">
        <is>
          <t>담 당 업 무</t>
        </is>
      </c>
      <c r="E32" s="7" t="n"/>
      <c r="F32" s="7" t="n"/>
      <c r="G32" s="7" t="n"/>
      <c r="H32" s="27" t="inlineStr">
        <is>
          <t>인원수(명)</t>
        </is>
      </c>
      <c r="I32" s="7" t="n"/>
      <c r="J32" s="27" t="inlineStr">
        <is>
          <t>작업일수(일)</t>
        </is>
      </c>
      <c r="K32" s="7" t="n"/>
      <c r="L32" s="7" t="n"/>
    </row>
    <row r="33" ht="23" customHeight="1">
      <c r="A33" s="45" t="inlineStr">
        <is>
          <t>CIP(2팀)</t>
        </is>
      </c>
      <c r="B33" s="7" t="n"/>
      <c r="C33" s="7" t="n"/>
      <c r="D33" s="45" t="inlineStr">
        <is>
          <t>작업반장</t>
        </is>
      </c>
      <c r="E33" s="7" t="n"/>
      <c r="F33" s="7" t="n"/>
      <c r="G33" s="7" t="n"/>
      <c r="H33" s="46" t="n"/>
      <c r="I33" s="7" t="n"/>
      <c r="J33" s="49" t="n"/>
      <c r="K33" s="7" t="n"/>
      <c r="L33" s="7" t="n"/>
    </row>
    <row r="34" ht="23" customHeight="1">
      <c r="A34" s="45" t="inlineStr">
        <is>
          <t>CIP(2팀)</t>
        </is>
      </c>
      <c r="B34" s="7" t="n"/>
      <c r="C34" s="7" t="n"/>
      <c r="D34" s="45" t="inlineStr">
        <is>
          <t>천공 장비기사</t>
        </is>
      </c>
      <c r="E34" s="7" t="n"/>
      <c r="F34" s="7" t="n"/>
      <c r="G34" s="7" t="n"/>
      <c r="H34" s="46" t="n"/>
      <c r="I34" s="7" t="n"/>
      <c r="J34" s="49" t="n"/>
      <c r="K34" s="7" t="n"/>
      <c r="L34" s="7" t="n"/>
    </row>
    <row r="35" ht="23" customHeight="1">
      <c r="A35" s="45" t="inlineStr">
        <is>
          <t>CIP(2팀)</t>
        </is>
      </c>
      <c r="B35" s="7" t="n"/>
      <c r="C35" s="7" t="n"/>
      <c r="D35" s="45" t="inlineStr">
        <is>
          <t>보조공</t>
        </is>
      </c>
      <c r="E35" s="7" t="n"/>
      <c r="F35" s="7" t="n"/>
      <c r="G35" s="7" t="n"/>
      <c r="H35" s="46" t="n"/>
      <c r="I35" s="7" t="n"/>
      <c r="J35" s="49" t="n"/>
      <c r="K35" s="7" t="n"/>
      <c r="L35" s="7" t="n"/>
    </row>
    <row r="36" ht="23" customHeight="1">
      <c r="A36" s="45" t="inlineStr">
        <is>
          <t>소일네일(2팀)</t>
        </is>
      </c>
      <c r="B36" s="7" t="n"/>
      <c r="C36" s="7" t="n"/>
      <c r="D36" s="45" t="inlineStr">
        <is>
          <t>작업반장</t>
        </is>
      </c>
      <c r="E36" s="7" t="n"/>
      <c r="F36" s="7" t="n"/>
      <c r="G36" s="7" t="n"/>
      <c r="H36" s="46" t="n"/>
      <c r="I36" s="7" t="n"/>
      <c r="J36" s="49" t="n"/>
      <c r="K36" s="7" t="n"/>
      <c r="L36" s="7" t="n"/>
    </row>
    <row r="37" ht="23" customHeight="1">
      <c r="A37" s="45" t="inlineStr">
        <is>
          <t>소일네일(2팀)</t>
        </is>
      </c>
      <c r="B37" s="7" t="n"/>
      <c r="C37" s="7" t="n"/>
      <c r="D37" s="45" t="inlineStr">
        <is>
          <t>천공 장비기사</t>
        </is>
      </c>
      <c r="E37" s="7" t="n"/>
      <c r="F37" s="7" t="n"/>
      <c r="G37" s="7" t="n"/>
      <c r="H37" s="46" t="n"/>
      <c r="I37" s="7" t="n"/>
      <c r="J37" s="49" t="n"/>
      <c r="K37" s="7" t="n"/>
      <c r="L37" s="7" t="n"/>
    </row>
    <row r="38" ht="23" customHeight="1">
      <c r="A38" s="45" t="inlineStr">
        <is>
          <t>소일네일(2팀)</t>
        </is>
      </c>
      <c r="B38" s="7" t="n"/>
      <c r="C38" s="7" t="n"/>
      <c r="D38" s="45" t="inlineStr">
        <is>
          <t>보조공</t>
        </is>
      </c>
      <c r="E38" s="7" t="n"/>
      <c r="F38" s="7" t="n"/>
      <c r="G38" s="7" t="n"/>
      <c r="H38" s="46" t="n"/>
      <c r="I38" s="7" t="n"/>
      <c r="J38" s="49" t="n"/>
      <c r="K38" s="7" t="n"/>
      <c r="L38" s="7" t="n"/>
    </row>
    <row r="39" ht="23" customHeight="1">
      <c r="A39" s="45" t="inlineStr">
        <is>
          <t>숏크리트(2팀)</t>
        </is>
      </c>
      <c r="B39" s="7" t="n"/>
      <c r="C39" s="7" t="n"/>
      <c r="D39" s="45" t="inlineStr">
        <is>
          <t>작업반장</t>
        </is>
      </c>
      <c r="E39" s="7" t="n"/>
      <c r="F39" s="7" t="n"/>
      <c r="G39" s="7" t="n"/>
      <c r="H39" s="46" t="n"/>
      <c r="I39" s="7" t="n"/>
      <c r="J39" s="49" t="n"/>
      <c r="K39" s="7" t="n"/>
      <c r="L39" s="7" t="n"/>
    </row>
    <row r="40" ht="23" customHeight="1">
      <c r="A40" s="45" t="inlineStr">
        <is>
          <t>숏크리트(2팀)</t>
        </is>
      </c>
      <c r="B40" s="7" t="n"/>
      <c r="C40" s="7" t="n"/>
      <c r="D40" s="45" t="inlineStr">
        <is>
          <t>타설공</t>
        </is>
      </c>
      <c r="E40" s="7" t="n"/>
      <c r="F40" s="7" t="n"/>
      <c r="G40" s="7" t="n"/>
      <c r="H40" s="46" t="n"/>
      <c r="I40" s="7" t="n"/>
      <c r="J40" s="49" t="n"/>
      <c r="K40" s="7" t="n"/>
      <c r="L40" s="7" t="n"/>
    </row>
    <row r="41" ht="23" customHeight="1">
      <c r="A41" s="45" t="inlineStr">
        <is>
          <t>숏크리트(2팀)</t>
        </is>
      </c>
      <c r="B41" s="7" t="n"/>
      <c r="C41" s="7" t="n"/>
      <c r="D41" s="45" t="inlineStr">
        <is>
          <t>보조공</t>
        </is>
      </c>
      <c r="E41" s="7" t="n"/>
      <c r="F41" s="7" t="n"/>
      <c r="G41" s="7" t="n"/>
      <c r="H41" s="46" t="n"/>
      <c r="I41" s="7" t="n"/>
      <c r="J41" s="49" t="n"/>
      <c r="K41" s="7" t="n"/>
      <c r="L41" s="7" t="n"/>
    </row>
    <row r="42" ht="23" customHeight="1">
      <c r="A42" s="45" t="inlineStr">
        <is>
          <t>토공사(2팀)</t>
        </is>
      </c>
      <c r="B42" s="7" t="n"/>
      <c r="C42" s="7" t="n"/>
      <c r="D42" s="45" t="inlineStr">
        <is>
          <t>굴삭기 기사</t>
        </is>
      </c>
      <c r="E42" s="7" t="n"/>
      <c r="F42" s="7" t="n"/>
      <c r="G42" s="7" t="n"/>
      <c r="H42" s="46" t="n"/>
      <c r="I42" s="7" t="n"/>
      <c r="J42" s="49" t="n"/>
      <c r="K42" s="7" t="n"/>
      <c r="L42" s="7" t="n"/>
    </row>
    <row r="43" ht="23" customHeight="1">
      <c r="A43" s="45" t="inlineStr">
        <is>
          <t>토공사(2팀)</t>
        </is>
      </c>
      <c r="B43" s="7" t="n"/>
      <c r="C43" s="7" t="n"/>
      <c r="D43" s="45" t="inlineStr">
        <is>
          <t>덤프트럭 기사</t>
        </is>
      </c>
      <c r="E43" s="7" t="n"/>
      <c r="F43" s="7" t="n"/>
      <c r="G43" s="7" t="n"/>
      <c r="H43" s="46" t="n"/>
      <c r="I43" s="7" t="n"/>
      <c r="J43" s="49" t="n"/>
      <c r="K43" s="7" t="n"/>
      <c r="L43" s="7" t="n"/>
    </row>
    <row r="44" ht="23" customHeight="1">
      <c r="A44" s="45" t="n"/>
      <c r="B44" s="7" t="n"/>
      <c r="C44" s="7" t="n"/>
      <c r="D44" s="45" t="n"/>
      <c r="E44" s="7" t="n"/>
      <c r="F44" s="7" t="n"/>
      <c r="G44" s="7" t="n"/>
      <c r="H44" s="46" t="n"/>
      <c r="I44" s="7" t="n"/>
      <c r="J44" s="49" t="n"/>
      <c r="K44" s="7" t="n"/>
      <c r="L44" s="7" t="n"/>
    </row>
    <row r="45" ht="23" customHeight="1">
      <c r="A45" s="45" t="n"/>
      <c r="B45" s="7" t="n"/>
      <c r="C45" s="7" t="n"/>
      <c r="D45" s="45" t="n"/>
      <c r="E45" s="7" t="n"/>
      <c r="F45" s="7" t="n"/>
      <c r="G45" s="7" t="n"/>
      <c r="H45" s="46" t="n"/>
      <c r="I45" s="7" t="n"/>
      <c r="J45" s="49" t="n"/>
      <c r="K45" s="7" t="n"/>
      <c r="L45" s="7" t="n"/>
    </row>
    <row r="46" ht="24" customHeight="1">
      <c r="A46" s="39" t="inlineStr">
        <is>
          <t>작업인원 합계 · 연인원</t>
        </is>
      </c>
      <c r="B46" s="7" t="n"/>
      <c r="C46" s="7" t="n"/>
      <c r="D46" s="7" t="n"/>
      <c r="E46" s="7" t="n"/>
      <c r="F46" s="7" t="n"/>
      <c r="G46" s="7" t="n"/>
      <c r="H46" s="50">
        <f>IF(SUM(H33:H45)=0,"",SUM(H33:H45))</f>
        <v/>
      </c>
      <c r="I46" s="7" t="n"/>
      <c r="J46" s="51">
        <f>IF((N(H33)*N(J33)+N(H34)*N(J34)+N(H35)*N(J35)+N(H36)*N(J36)+N(H37)*N(J37)+N(H38)*N(J38)+N(H39)*N(J39)+N(H40)*N(J40)+N(H41)*N(J41)+N(H42)*N(J42)+N(H43)*N(J43)+N(H44)*N(J44)+N(H45)*N(J45))=0,"",N(H33)*N(J33)+N(H34)*N(J34)+N(H35)*N(J35)+N(H36)*N(J36)+N(H37)*N(J37)+N(H38)*N(J38)+N(H39)*N(J39)+N(H40)*N(J40)+N(H41)*N(J41)+N(H42)*N(J42)+N(H43)*N(J43)+N(H44)*N(J44)+N(H45)*N(J45))</f>
        <v/>
      </c>
      <c r="K46" s="7" t="n"/>
      <c r="L46" s="7" t="n"/>
    </row>
    <row r="47" ht="3" customHeight="1"/>
    <row r="48" ht="22" customHeight="1">
      <c r="A48" s="15" t="inlineStr">
        <is>
          <t>3.4  주요자재 반입계획</t>
        </is>
      </c>
    </row>
    <row r="49" ht="24" customHeight="1">
      <c r="A49" s="27" t="inlineStr">
        <is>
          <t>공  종</t>
        </is>
      </c>
      <c r="B49" s="7" t="n"/>
      <c r="C49" s="27" t="inlineStr">
        <is>
          <t>품  명</t>
        </is>
      </c>
      <c r="D49" s="7" t="n"/>
      <c r="E49" s="27" t="inlineStr">
        <is>
          <t>규  격</t>
        </is>
      </c>
      <c r="F49" s="7" t="n"/>
      <c r="G49" s="7" t="n"/>
      <c r="H49" s="27" t="inlineStr">
        <is>
          <t>총 수 량</t>
        </is>
      </c>
      <c r="I49" s="7" t="n"/>
      <c r="J49" s="27" t="inlineStr">
        <is>
          <t>반입 예정일</t>
        </is>
      </c>
      <c r="K49" s="7" t="n"/>
      <c r="L49" s="7" t="n"/>
    </row>
    <row r="50" ht="23" customHeight="1">
      <c r="A50" s="45" t="inlineStr">
        <is>
          <t>CIP</t>
        </is>
      </c>
      <c r="B50" s="7" t="n"/>
      <c r="C50" s="45" t="inlineStr">
        <is>
          <t>철근</t>
        </is>
      </c>
      <c r="D50" s="7" t="n"/>
      <c r="E50" s="47" t="inlineStr">
        <is>
          <t>D13</t>
        </is>
      </c>
      <c r="F50" s="7" t="n"/>
      <c r="G50" s="7" t="n"/>
      <c r="H50" s="45" t="n"/>
      <c r="I50" s="7" t="n"/>
      <c r="J50" s="47" t="n"/>
      <c r="K50" s="7" t="n"/>
      <c r="L50" s="7" t="n"/>
    </row>
    <row r="51" ht="23" customHeight="1">
      <c r="A51" s="45" t="inlineStr">
        <is>
          <t>CIP</t>
        </is>
      </c>
      <c r="B51" s="7" t="n"/>
      <c r="C51" s="45" t="inlineStr">
        <is>
          <t>철근</t>
        </is>
      </c>
      <c r="D51" s="7" t="n"/>
      <c r="E51" s="47" t="inlineStr">
        <is>
          <t>D19</t>
        </is>
      </c>
      <c r="F51" s="7" t="n"/>
      <c r="G51" s="7" t="n"/>
      <c r="H51" s="45" t="n"/>
      <c r="I51" s="7" t="n"/>
      <c r="J51" s="47" t="n"/>
      <c r="K51" s="7" t="n"/>
      <c r="L51" s="7" t="n"/>
    </row>
    <row r="52" ht="23" customHeight="1">
      <c r="A52" s="45" t="inlineStr">
        <is>
          <t>CIP</t>
        </is>
      </c>
      <c r="B52" s="7" t="n"/>
      <c r="C52" s="45" t="inlineStr">
        <is>
          <t>레미콘</t>
        </is>
      </c>
      <c r="D52" s="7" t="n"/>
      <c r="E52" s="47" t="inlineStr">
        <is>
          <t>25-21-120</t>
        </is>
      </c>
      <c r="F52" s="7" t="n"/>
      <c r="G52" s="7" t="n"/>
      <c r="H52" s="45" t="n"/>
      <c r="I52" s="7" t="n"/>
      <c r="J52" s="47" t="n"/>
      <c r="K52" s="7" t="n"/>
      <c r="L52" s="7" t="n"/>
    </row>
    <row r="53" ht="23" customHeight="1">
      <c r="A53" s="45" t="inlineStr">
        <is>
          <t>소일네일링</t>
        </is>
      </c>
      <c r="B53" s="7" t="n"/>
      <c r="C53" s="45" t="inlineStr">
        <is>
          <t>철근</t>
        </is>
      </c>
      <c r="D53" s="7" t="n"/>
      <c r="E53" s="47" t="inlineStr">
        <is>
          <t>D29</t>
        </is>
      </c>
      <c r="F53" s="7" t="n"/>
      <c r="G53" s="7" t="n"/>
      <c r="H53" s="45" t="n"/>
      <c r="I53" s="7" t="n"/>
      <c r="J53" s="47" t="n"/>
      <c r="K53" s="7" t="n"/>
      <c r="L53" s="7" t="n"/>
    </row>
    <row r="54" ht="23" customHeight="1">
      <c r="A54" s="45" t="inlineStr">
        <is>
          <t>소일네일링</t>
        </is>
      </c>
      <c r="B54" s="7" t="n"/>
      <c r="C54" s="45" t="inlineStr">
        <is>
          <t>시멘트</t>
        </is>
      </c>
      <c r="D54" s="7" t="n"/>
      <c r="E54" s="47" t="inlineStr">
        <is>
          <t>포틀랜드</t>
        </is>
      </c>
      <c r="F54" s="7" t="n"/>
      <c r="G54" s="7" t="n"/>
      <c r="H54" s="45" t="n"/>
      <c r="I54" s="7" t="n"/>
      <c r="J54" s="47" t="n"/>
      <c r="K54" s="7" t="n"/>
      <c r="L54" s="7" t="n"/>
    </row>
    <row r="55" ht="23" customHeight="1">
      <c r="A55" s="45" t="inlineStr">
        <is>
          <t>숏크리트</t>
        </is>
      </c>
      <c r="B55" s="7" t="n"/>
      <c r="C55" s="45" t="inlineStr">
        <is>
          <t>레미콘</t>
        </is>
      </c>
      <c r="D55" s="7" t="n"/>
      <c r="E55" s="47" t="inlineStr">
        <is>
          <t>13-21-100(t=150)</t>
        </is>
      </c>
      <c r="F55" s="7" t="n"/>
      <c r="G55" s="7" t="n"/>
      <c r="H55" s="45" t="n"/>
      <c r="I55" s="7" t="n"/>
      <c r="J55" s="47" t="n"/>
      <c r="K55" s="7" t="n"/>
      <c r="L55" s="7" t="n"/>
    </row>
    <row r="56" ht="23" customHeight="1">
      <c r="A56" s="45" t="n"/>
      <c r="B56" s="7" t="n"/>
      <c r="C56" s="45" t="n"/>
      <c r="D56" s="7" t="n"/>
      <c r="E56" s="47" t="n"/>
      <c r="F56" s="7" t="n"/>
      <c r="G56" s="7" t="n"/>
      <c r="H56" s="45" t="n"/>
      <c r="I56" s="7" t="n"/>
      <c r="J56" s="47" t="n"/>
      <c r="K56" s="7" t="n"/>
      <c r="L56" s="7" t="n"/>
    </row>
    <row r="57" ht="23" customHeight="1">
      <c r="A57" s="45" t="n"/>
      <c r="B57" s="7" t="n"/>
      <c r="C57" s="45" t="n"/>
      <c r="D57" s="7" t="n"/>
      <c r="E57" s="47" t="n"/>
      <c r="F57" s="7" t="n"/>
      <c r="G57" s="7" t="n"/>
      <c r="H57" s="45" t="n"/>
      <c r="I57" s="7" t="n"/>
      <c r="J57" s="47" t="n"/>
      <c r="K57" s="7" t="n"/>
      <c r="L57" s="7" t="n"/>
    </row>
    <row r="58" ht="3" customHeight="1"/>
    <row r="59" ht="22" customHeight="1">
      <c r="A59" s="15" t="inlineStr">
        <is>
          <t>3.5  흙막이 시공 FLOW</t>
        </is>
      </c>
    </row>
    <row r="60" ht="30" customHeight="1">
      <c r="A60" s="5" t="inlineStr"/>
      <c r="D60" s="52" t="inlineStr">
        <is>
          <t>1. CIP 작업</t>
        </is>
      </c>
      <c r="E60" s="7" t="n"/>
      <c r="F60" s="7" t="n"/>
      <c r="G60" s="7" t="n"/>
      <c r="H60" s="7" t="n"/>
      <c r="I60" s="7" t="n"/>
      <c r="J60" s="25" t="inlineStr"/>
    </row>
    <row r="61" ht="14" customHeight="1">
      <c r="A61" s="53" t="inlineStr">
        <is>
          <t>▼</t>
        </is>
      </c>
    </row>
    <row r="62" ht="30" customHeight="1">
      <c r="A62" s="5" t="inlineStr"/>
      <c r="D62" s="52" t="inlineStr">
        <is>
          <t>2. 소일네일링 + 숏크리트 마감</t>
        </is>
      </c>
      <c r="E62" s="7" t="n"/>
      <c r="F62" s="7" t="n"/>
      <c r="G62" s="7" t="n"/>
      <c r="H62" s="7" t="n"/>
      <c r="I62" s="7" t="n"/>
      <c r="J62" s="25" t="inlineStr"/>
    </row>
    <row r="63" ht="14" customHeight="1">
      <c r="A63" s="53" t="inlineStr">
        <is>
          <t>▼</t>
        </is>
      </c>
    </row>
    <row r="64" ht="30" customHeight="1">
      <c r="A64" s="5" t="inlineStr"/>
      <c r="D64" s="52" t="inlineStr">
        <is>
          <t>3. 토공사(터파기 · 토사 반출)</t>
        </is>
      </c>
      <c r="E64" s="7" t="n"/>
      <c r="F64" s="7" t="n"/>
      <c r="G64" s="7" t="n"/>
      <c r="H64" s="7" t="n"/>
      <c r="I64" s="7" t="n"/>
      <c r="J64" s="25" t="inlineStr"/>
    </row>
    <row r="65" ht="14" customHeight="1">
      <c r="A65" s="53" t="inlineStr">
        <is>
          <t>▼</t>
        </is>
      </c>
    </row>
    <row r="66" ht="30" customHeight="1">
      <c r="A66" s="5" t="inlineStr"/>
      <c r="D66" s="52" t="inlineStr">
        <is>
          <t>토공사 종료</t>
        </is>
      </c>
      <c r="E66" s="7" t="n"/>
      <c r="F66" s="7" t="n"/>
      <c r="G66" s="7" t="n"/>
      <c r="H66" s="7" t="n"/>
      <c r="I66" s="7" t="n"/>
      <c r="J66" s="25" t="inlineStr"/>
    </row>
    <row r="67" ht="3" customHeight="1"/>
    <row r="68" ht="22" customHeight="1">
      <c r="A68" s="15" t="inlineStr">
        <is>
          <t>3.5.1  CIP 공사 세부시공계획</t>
        </is>
      </c>
    </row>
    <row r="69" ht="24" customHeight="1">
      <c r="A69" s="27" t="inlineStr">
        <is>
          <t>구   분</t>
        </is>
      </c>
      <c r="B69" s="7" t="n"/>
      <c r="C69" s="7" t="n"/>
      <c r="D69" s="27" t="inlineStr">
        <is>
          <t>내        용</t>
        </is>
      </c>
      <c r="E69" s="7" t="n"/>
      <c r="F69" s="7" t="n"/>
      <c r="G69" s="7" t="n"/>
      <c r="H69" s="7" t="n"/>
      <c r="I69" s="7" t="n"/>
      <c r="J69" s="7" t="n"/>
      <c r="K69" s="7" t="n"/>
      <c r="L69" s="7" t="n"/>
    </row>
    <row r="70" ht="26" customHeight="1">
      <c r="A70" s="54" t="inlineStr">
        <is>
          <t>원  어</t>
        </is>
      </c>
      <c r="B70" s="7" t="n"/>
      <c r="C70" s="7" t="n"/>
      <c r="D70" s="55" t="inlineStr">
        <is>
          <t>Cast In Place Pile</t>
        </is>
      </c>
      <c r="E70" s="7" t="n"/>
      <c r="F70" s="7" t="n"/>
      <c r="G70" s="7" t="n"/>
      <c r="H70" s="7" t="n"/>
      <c r="I70" s="7" t="n"/>
      <c r="J70" s="7" t="n"/>
      <c r="K70" s="7" t="n"/>
      <c r="L70" s="7" t="n"/>
    </row>
    <row r="71" ht="34.5" customHeight="1">
      <c r="A71" s="54" t="inlineStr">
        <is>
          <t>개  요</t>
        </is>
      </c>
      <c r="B71" s="7" t="n"/>
      <c r="C71" s="7" t="n"/>
      <c r="D71" s="55" t="inlineStr">
        <is>
          <t>어스오거로 필요한 위치에 미리 말뚝 구멍을 뚫은 뒤, 그 구멍에 H형강이나 철근망을 넣고 콘크리트를 타설하여 만드는 현장타설 콘크리트 말뚝 공법</t>
        </is>
      </c>
      <c r="E71" s="7" t="n"/>
      <c r="F71" s="7" t="n"/>
      <c r="G71" s="7" t="n"/>
      <c r="H71" s="7" t="n"/>
      <c r="I71" s="7" t="n"/>
      <c r="J71" s="7" t="n"/>
      <c r="K71" s="7" t="n"/>
      <c r="L71" s="7" t="n"/>
    </row>
    <row r="72" ht="26" customHeight="1">
      <c r="A72" s="54" t="inlineStr">
        <is>
          <t>장  비</t>
        </is>
      </c>
      <c r="B72" s="7" t="n"/>
      <c r="C72" s="7" t="n"/>
      <c r="D72" s="55" t="inlineStr">
        <is>
          <t>천공기(주니어 40 · 60 급)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</row>
    <row r="73" ht="24" customHeight="1">
      <c r="A73" s="27" t="inlineStr">
        <is>
          <t>구    분</t>
        </is>
      </c>
      <c r="B73" s="7" t="n"/>
      <c r="C73" s="7" t="n"/>
      <c r="D73" s="7" t="n"/>
      <c r="E73" s="27" t="inlineStr">
        <is>
          <t>단  위</t>
        </is>
      </c>
      <c r="F73" s="7" t="n"/>
      <c r="G73" s="27" t="inlineStr">
        <is>
          <t>수    량</t>
        </is>
      </c>
      <c r="H73" s="7" t="n"/>
      <c r="I73" s="7" t="n"/>
      <c r="J73" s="27" t="inlineStr">
        <is>
          <t>비   고</t>
        </is>
      </c>
      <c r="K73" s="7" t="n"/>
      <c r="L73" s="7" t="n"/>
    </row>
    <row r="74" ht="24" customHeight="1">
      <c r="A74" s="19" t="inlineStr">
        <is>
          <t>C.I.P</t>
        </is>
      </c>
      <c r="B74" s="7" t="n"/>
      <c r="C74" s="7" t="n"/>
      <c r="D74" s="7" t="n"/>
      <c r="E74" s="19" t="inlineStr">
        <is>
          <t>공</t>
        </is>
      </c>
      <c r="F74" s="7" t="n"/>
      <c r="G74" s="56" t="n"/>
      <c r="H74" s="7" t="n"/>
      <c r="I74" s="7" t="n"/>
      <c r="J74" s="57" t="n"/>
      <c r="K74" s="7" t="n"/>
      <c r="L74" s="7" t="n"/>
    </row>
    <row r="75" ht="24" customHeight="1">
      <c r="A75" s="19" t="inlineStr">
        <is>
          <t>콘크리트</t>
        </is>
      </c>
      <c r="B75" s="7" t="n"/>
      <c r="C75" s="7" t="n"/>
      <c r="D75" s="7" t="n"/>
      <c r="E75" s="19" t="inlineStr">
        <is>
          <t>㎥</t>
        </is>
      </c>
      <c r="F75" s="7" t="n"/>
      <c r="G75" s="56" t="n"/>
      <c r="H75" s="7" t="n"/>
      <c r="I75" s="7" t="n"/>
      <c r="J75" s="57" t="n"/>
      <c r="K75" s="7" t="n"/>
      <c r="L75" s="7" t="n"/>
    </row>
    <row r="76" ht="24" customHeight="1">
      <c r="A76" s="19" t="inlineStr">
        <is>
          <t>철근 가공 · 조립</t>
        </is>
      </c>
      <c r="B76" s="7" t="n"/>
      <c r="C76" s="7" t="n"/>
      <c r="D76" s="7" t="n"/>
      <c r="E76" s="19" t="inlineStr">
        <is>
          <t>톤</t>
        </is>
      </c>
      <c r="F76" s="7" t="n"/>
      <c r="G76" s="56" t="n"/>
      <c r="H76" s="7" t="n"/>
      <c r="I76" s="7" t="n"/>
      <c r="J76" s="57" t="n"/>
      <c r="K76" s="7" t="n"/>
      <c r="L76" s="7" t="n"/>
    </row>
    <row r="77" ht="21" customHeight="1">
      <c r="A77" s="58" t="inlineStr">
        <is>
          <t>시공 순서 — 라인 측량 → 선행작업(가이드 빔 설치 · 나선철근 가공 및 조립) →</t>
        </is>
      </c>
    </row>
    <row r="78" ht="34.45" customHeight="1">
      <c r="A78" s="59" t="inlineStr">
        <is>
          <t>-</t>
        </is>
      </c>
      <c r="B78" s="60" t="inlineStr">
        <is>
          <t>1단계 : ① ② ③ 번 공을 천공기(1 · 2호기)로 먼저 굴착 → 나선철근망 삽입 → 레미콘 타설 → 말뚝 형성</t>
        </is>
      </c>
    </row>
    <row r="79" ht="34.45" customHeight="1">
      <c r="A79" s="59" t="inlineStr">
        <is>
          <t>-</t>
        </is>
      </c>
      <c r="B79" s="60" t="inlineStr">
        <is>
          <t>2단계 : 1단계 콘크리트 양생 뒤 ④ ⑤ ⑥ ⑦ 번 천공 → 나선철근망 삽입 → 레미콘 타설 → 말뚝 형성</t>
        </is>
      </c>
    </row>
    <row r="80" ht="19.725" customHeight="1">
      <c r="A80" s="59" t="inlineStr">
        <is>
          <t>-</t>
        </is>
      </c>
      <c r="B80" s="60" t="inlineStr">
        <is>
          <t>3단계 : 2단계 콘크리트 양생 뒤 ⑧ ⑨ 번 천공 → 나선철근망 삽입 → 말뚝 형성 → CIP 완료</t>
        </is>
      </c>
    </row>
    <row r="81" ht="34.45" customHeight="1">
      <c r="A81" s="59" t="inlineStr"/>
      <c r="B81" s="60" t="inlineStr">
        <is>
          <t>(한 구간 안에서 이웃한 공을 연속으로 뚫지 않고 건너뛰어 시공하여, 굳지 않은 이웃 말뚝이 손상되지 않게 한다.)</t>
        </is>
      </c>
    </row>
    <row r="82" ht="3" customHeight="1"/>
    <row r="83" ht="22" customHeight="1">
      <c r="A83" s="15" t="inlineStr">
        <is>
          <t>3.5.2  소일네일링 + 숏크리트 세부시공계획</t>
        </is>
      </c>
    </row>
    <row r="84" ht="24" customHeight="1">
      <c r="A84" s="27" t="inlineStr">
        <is>
          <t>구   분</t>
        </is>
      </c>
      <c r="B84" s="7" t="n"/>
      <c r="C84" s="7" t="n"/>
      <c r="D84" s="27" t="inlineStr">
        <is>
          <t>내        용</t>
        </is>
      </c>
      <c r="E84" s="7" t="n"/>
      <c r="F84" s="7" t="n"/>
      <c r="G84" s="7" t="n"/>
      <c r="H84" s="7" t="n"/>
      <c r="I84" s="7" t="n"/>
      <c r="J84" s="7" t="n"/>
      <c r="K84" s="7" t="n"/>
      <c r="L84" s="7" t="n"/>
    </row>
    <row r="85" ht="26" customHeight="1">
      <c r="A85" s="54" t="inlineStr">
        <is>
          <t>원  어</t>
        </is>
      </c>
      <c r="B85" s="7" t="n"/>
      <c r="C85" s="7" t="n"/>
      <c r="D85" s="55" t="inlineStr">
        <is>
          <t>Soil Nailing + Shotcrete</t>
        </is>
      </c>
      <c r="E85" s="7" t="n"/>
      <c r="F85" s="7" t="n"/>
      <c r="G85" s="7" t="n"/>
      <c r="H85" s="7" t="n"/>
      <c r="I85" s="7" t="n"/>
      <c r="J85" s="7" t="n"/>
      <c r="K85" s="7" t="n"/>
      <c r="L85" s="7" t="n"/>
    </row>
    <row r="86" ht="63" customHeight="1">
      <c r="A86" s="54" t="inlineStr">
        <is>
          <t>개  요</t>
        </is>
      </c>
      <c r="B86" s="7" t="n"/>
      <c r="C86" s="7" t="n"/>
      <c r="D86" s="55" t="inlineStr">
        <is>
          <t>◦ 흙 속에 보강재(네일)를 넣어 안정을 꾀하는 지반보강 공법의 하나로, 위에서 아래로 굴착하며 절토면을 보강하는 공법
◦ 숏크리트 : 시멘트 · 골재 혼합물을 펌프로 압송하여 노즐 끝에서 물과 함께 뿜어 붙이는 공법(면 보호 · 차수)</t>
        </is>
      </c>
      <c r="E86" s="7" t="n"/>
      <c r="F86" s="7" t="n"/>
      <c r="G86" s="7" t="n"/>
      <c r="H86" s="7" t="n"/>
      <c r="I86" s="7" t="n"/>
      <c r="J86" s="7" t="n"/>
      <c r="K86" s="7" t="n"/>
      <c r="L86" s="7" t="n"/>
    </row>
    <row r="87" ht="26" customHeight="1">
      <c r="A87" s="54" t="inlineStr">
        <is>
          <t>장  비</t>
        </is>
      </c>
      <c r="B87" s="7" t="n"/>
      <c r="C87" s="7" t="n"/>
      <c r="D87" s="55" t="inlineStr">
        <is>
          <t>크롤러 드릴(PCR200 급) · 숏크리트 펌프카</t>
        </is>
      </c>
      <c r="E87" s="7" t="n"/>
      <c r="F87" s="7" t="n"/>
      <c r="G87" s="7" t="n"/>
      <c r="H87" s="7" t="n"/>
      <c r="I87" s="7" t="n"/>
      <c r="J87" s="7" t="n"/>
      <c r="K87" s="7" t="n"/>
      <c r="L87" s="7" t="n"/>
    </row>
    <row r="88" ht="24" customHeight="1">
      <c r="A88" s="27" t="inlineStr">
        <is>
          <t>구    분</t>
        </is>
      </c>
      <c r="B88" s="7" t="n"/>
      <c r="C88" s="7" t="n"/>
      <c r="D88" s="7" t="n"/>
      <c r="E88" s="27" t="inlineStr">
        <is>
          <t>단  위</t>
        </is>
      </c>
      <c r="F88" s="7" t="n"/>
      <c r="G88" s="27" t="inlineStr">
        <is>
          <t>수    량</t>
        </is>
      </c>
      <c r="H88" s="7" t="n"/>
      <c r="I88" s="7" t="n"/>
      <c r="J88" s="27" t="inlineStr">
        <is>
          <t>비   고</t>
        </is>
      </c>
      <c r="K88" s="7" t="n"/>
      <c r="L88" s="7" t="n"/>
    </row>
    <row r="89" ht="24" customHeight="1">
      <c r="A89" s="19" t="inlineStr">
        <is>
          <t>소일네일 천공</t>
        </is>
      </c>
      <c r="B89" s="7" t="n"/>
      <c r="C89" s="7" t="n"/>
      <c r="D89" s="7" t="n"/>
      <c r="E89" s="19" t="inlineStr">
        <is>
          <t>공</t>
        </is>
      </c>
      <c r="F89" s="7" t="n"/>
      <c r="G89" s="56" t="n"/>
      <c r="H89" s="7" t="n"/>
      <c r="I89" s="7" t="n"/>
      <c r="J89" s="57" t="n"/>
      <c r="K89" s="7" t="n"/>
      <c r="L89" s="7" t="n"/>
    </row>
    <row r="90" ht="24" customHeight="1">
      <c r="A90" s="19" t="inlineStr">
        <is>
          <t>숏크리트 타설</t>
        </is>
      </c>
      <c r="B90" s="7" t="n"/>
      <c r="C90" s="7" t="n"/>
      <c r="D90" s="7" t="n"/>
      <c r="E90" s="19" t="inlineStr">
        <is>
          <t>㎥</t>
        </is>
      </c>
      <c r="F90" s="7" t="n"/>
      <c r="G90" s="56" t="n"/>
      <c r="H90" s="7" t="n"/>
      <c r="I90" s="7" t="n"/>
      <c r="J90" s="57" t="n"/>
      <c r="K90" s="7" t="n"/>
      <c r="L90" s="7" t="n"/>
    </row>
    <row r="91" ht="24" customHeight="1">
      <c r="A91" s="19" t="inlineStr">
        <is>
          <t>숏크리트 면적</t>
        </is>
      </c>
      <c r="B91" s="7" t="n"/>
      <c r="C91" s="7" t="n"/>
      <c r="D91" s="7" t="n"/>
      <c r="E91" s="19" t="inlineStr">
        <is>
          <t>㎡</t>
        </is>
      </c>
      <c r="F91" s="7" t="n"/>
      <c r="G91" s="56" t="n"/>
      <c r="H91" s="7" t="n"/>
      <c r="I91" s="7" t="n"/>
      <c r="J91" s="57" t="n"/>
      <c r="K91" s="7" t="n"/>
      <c r="L91" s="7" t="n"/>
    </row>
    <row r="92" ht="30" customHeight="1">
      <c r="A92" s="5" t="inlineStr"/>
      <c r="D92" s="52" t="inlineStr">
        <is>
          <t>1차 숏크리트 타설</t>
        </is>
      </c>
      <c r="E92" s="7" t="n"/>
      <c r="F92" s="7" t="n"/>
      <c r="G92" s="7" t="n"/>
      <c r="H92" s="7" t="n"/>
      <c r="I92" s="7" t="n"/>
      <c r="J92" s="25" t="inlineStr"/>
    </row>
    <row r="93" ht="12" customHeight="1">
      <c r="A93" s="53" t="inlineStr">
        <is>
          <t>▼</t>
        </is>
      </c>
    </row>
    <row r="94" ht="30" customHeight="1">
      <c r="A94" s="5" t="inlineStr"/>
      <c r="D94" s="52" t="inlineStr">
        <is>
          <t>소일네일 천공</t>
        </is>
      </c>
      <c r="E94" s="7" t="n"/>
      <c r="F94" s="7" t="n"/>
      <c r="G94" s="7" t="n"/>
      <c r="H94" s="7" t="n"/>
      <c r="I94" s="7" t="n"/>
      <c r="J94" s="25" t="inlineStr"/>
    </row>
    <row r="95" ht="12" customHeight="1">
      <c r="A95" s="53" t="inlineStr">
        <is>
          <t>▼</t>
        </is>
      </c>
    </row>
    <row r="96" ht="30" customHeight="1">
      <c r="A96" s="5" t="inlineStr"/>
      <c r="D96" s="52" t="inlineStr">
        <is>
          <t>철근 삽입 및 그라우트 주입</t>
        </is>
      </c>
      <c r="E96" s="7" t="n"/>
      <c r="F96" s="7" t="n"/>
      <c r="G96" s="7" t="n"/>
      <c r="H96" s="7" t="n"/>
      <c r="I96" s="7" t="n"/>
      <c r="J96" s="25" t="inlineStr"/>
    </row>
    <row r="97" ht="12" customHeight="1">
      <c r="A97" s="53" t="inlineStr">
        <is>
          <t>▼</t>
        </is>
      </c>
    </row>
    <row r="98" ht="30" customHeight="1">
      <c r="A98" s="5" t="inlineStr"/>
      <c r="D98" s="52" t="inlineStr">
        <is>
          <t>와이어메시 조립</t>
        </is>
      </c>
      <c r="E98" s="7" t="n"/>
      <c r="F98" s="7" t="n"/>
      <c r="G98" s="7" t="n"/>
      <c r="H98" s="7" t="n"/>
      <c r="I98" s="7" t="n"/>
      <c r="J98" s="25" t="inlineStr"/>
    </row>
    <row r="99" ht="12" customHeight="1">
      <c r="A99" s="53" t="inlineStr">
        <is>
          <t>▼</t>
        </is>
      </c>
    </row>
    <row r="100" ht="30" customHeight="1">
      <c r="A100" s="5" t="inlineStr"/>
      <c r="D100" s="52" t="inlineStr">
        <is>
          <t>2차 숏크리트 타설</t>
        </is>
      </c>
      <c r="E100" s="7" t="n"/>
      <c r="F100" s="7" t="n"/>
      <c r="G100" s="7" t="n"/>
      <c r="H100" s="7" t="n"/>
      <c r="I100" s="7" t="n"/>
      <c r="J100" s="25" t="inlineStr"/>
    </row>
    <row r="101" ht="18" customHeight="1">
      <c r="A101" s="24" t="inlineStr">
        <is>
          <t>(단계별 시공 사진을 붙이는 곳)</t>
        </is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 ht="18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 ht="18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 ht="18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 ht="18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 ht="18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 ht="3" customHeight="1"/>
    <row r="108" ht="22" customHeight="1">
      <c r="A108" s="15" t="inlineStr">
        <is>
          <t>3.5.3  토공사 세부시공계획</t>
        </is>
      </c>
    </row>
    <row r="109" ht="18" customHeight="1">
      <c r="A109" s="24" t="inlineStr">
        <is>
          <t>(시공 단면도를 붙이는 곳 — 토사 · 풍화암 · 연암 구분과 굴착 단계)</t>
        </is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 ht="18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 ht="18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 ht="18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 ht="18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 ht="18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 ht="18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 ht="18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7" ht="18" customHeight="1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</row>
    <row r="118" ht="24" customHeight="1">
      <c r="A118" s="27" t="inlineStr">
        <is>
          <t>순 서</t>
        </is>
      </c>
      <c r="B118" s="27" t="inlineStr">
        <is>
          <t>작    업</t>
        </is>
      </c>
      <c r="C118" s="7" t="n"/>
      <c r="D118" s="7" t="n"/>
      <c r="E118" s="7" t="n"/>
      <c r="F118" s="7" t="n"/>
      <c r="G118" s="27" t="inlineStr">
        <is>
          <t>장    비</t>
        </is>
      </c>
      <c r="H118" s="7" t="n"/>
      <c r="I118" s="7" t="n"/>
      <c r="J118" s="7" t="n"/>
      <c r="K118" s="7" t="n"/>
      <c r="L118" s="7" t="n"/>
    </row>
    <row r="119" ht="24" customHeight="1">
      <c r="A119" s="54" t="inlineStr">
        <is>
          <t>1</t>
        </is>
      </c>
      <c r="B119" s="55" t="inlineStr">
        <is>
          <t>측량 — 현 지반고 및 수준점 측량</t>
        </is>
      </c>
      <c r="C119" s="7" t="n"/>
      <c r="D119" s="7" t="n"/>
      <c r="E119" s="7" t="n"/>
      <c r="F119" s="7" t="n"/>
      <c r="G119" s="55" t="inlineStr"/>
      <c r="H119" s="7" t="n"/>
      <c r="I119" s="7" t="n"/>
      <c r="J119" s="7" t="n"/>
      <c r="K119" s="7" t="n"/>
      <c r="L119" s="7" t="n"/>
    </row>
    <row r="120" ht="24" customHeight="1">
      <c r="A120" s="54" t="inlineStr">
        <is>
          <t>2</t>
        </is>
      </c>
      <c r="B120" s="55" t="inlineStr">
        <is>
          <t>토사 굴착 및 잔토 처리</t>
        </is>
      </c>
      <c r="C120" s="7" t="n"/>
      <c r="D120" s="7" t="n"/>
      <c r="E120" s="7" t="n"/>
      <c r="F120" s="7" t="n"/>
      <c r="G120" s="55" t="inlineStr">
        <is>
          <t>백호(B/H)</t>
        </is>
      </c>
      <c r="H120" s="7" t="n"/>
      <c r="I120" s="7" t="n"/>
      <c r="J120" s="7" t="n"/>
      <c r="K120" s="7" t="n"/>
      <c r="L120" s="7" t="n"/>
    </row>
    <row r="121" ht="24" customHeight="1">
      <c r="A121" s="54" t="inlineStr">
        <is>
          <t>3</t>
        </is>
      </c>
      <c r="B121" s="55" t="inlineStr">
        <is>
          <t>풍화암 굴착 및 잔토 처리</t>
        </is>
      </c>
      <c r="C121" s="7" t="n"/>
      <c r="D121" s="7" t="n"/>
      <c r="E121" s="7" t="n"/>
      <c r="F121" s="7" t="n"/>
      <c r="G121" s="55" t="inlineStr">
        <is>
          <t>백호 + 브레이커</t>
        </is>
      </c>
      <c r="H121" s="7" t="n"/>
      <c r="I121" s="7" t="n"/>
      <c r="J121" s="7" t="n"/>
      <c r="K121" s="7" t="n"/>
      <c r="L121" s="7" t="n"/>
    </row>
    <row r="122" ht="24" customHeight="1">
      <c r="A122" s="54" t="inlineStr">
        <is>
          <t>4</t>
        </is>
      </c>
      <c r="B122" s="55" t="inlineStr">
        <is>
          <t>연암 굴착 및 잔토 처리</t>
        </is>
      </c>
      <c r="C122" s="7" t="n"/>
      <c r="D122" s="7" t="n"/>
      <c r="E122" s="7" t="n"/>
      <c r="F122" s="7" t="n"/>
      <c r="G122" s="55" t="inlineStr">
        <is>
          <t>백호 + 브레이커</t>
        </is>
      </c>
      <c r="H122" s="7" t="n"/>
      <c r="I122" s="7" t="n"/>
      <c r="J122" s="7" t="n"/>
      <c r="K122" s="7" t="n"/>
      <c r="L122" s="7" t="n"/>
    </row>
    <row r="123" ht="24" customHeight="1">
      <c r="A123" s="54" t="inlineStr">
        <is>
          <t>5</t>
        </is>
      </c>
      <c r="B123" s="55" t="inlineStr">
        <is>
          <t>집수정 및 PIT 터파기</t>
        </is>
      </c>
      <c r="C123" s="7" t="n"/>
      <c r="D123" s="7" t="n"/>
      <c r="E123" s="7" t="n"/>
      <c r="F123" s="7" t="n"/>
      <c r="G123" s="55" t="inlineStr">
        <is>
          <t>백호 + 브레이커</t>
        </is>
      </c>
      <c r="H123" s="7" t="n"/>
      <c r="I123" s="7" t="n"/>
      <c r="J123" s="7" t="n"/>
      <c r="K123" s="7" t="n"/>
      <c r="L123" s="7" t="n"/>
    </row>
    <row r="124" ht="24" customHeight="1">
      <c r="A124" s="54" t="inlineStr">
        <is>
          <t>6</t>
        </is>
      </c>
      <c r="B124" s="55" t="inlineStr">
        <is>
          <t>바닥면 정리</t>
        </is>
      </c>
      <c r="C124" s="7" t="n"/>
      <c r="D124" s="7" t="n"/>
      <c r="E124" s="7" t="n"/>
      <c r="F124" s="7" t="n"/>
      <c r="G124" s="55" t="inlineStr">
        <is>
          <t>백호 + 브레이커</t>
        </is>
      </c>
      <c r="H124" s="7" t="n"/>
      <c r="I124" s="7" t="n"/>
      <c r="J124" s="7" t="n"/>
      <c r="K124" s="7" t="n"/>
      <c r="L124" s="7" t="n"/>
    </row>
    <row r="126" ht="34" customHeight="1">
      <c r="A126" s="11" t="inlineStr">
        <is>
          <t>하늘색 칸 = 자동(장비 · 인원 합계 · 연인원). 장비 · 공종 · 품명은 원본 계획서 값을 넣어 두었습니다.</t>
        </is>
      </c>
    </row>
  </sheetData>
  <mergeCells count="296">
    <mergeCell ref="H53:I53"/>
    <mergeCell ref="D86:L86"/>
    <mergeCell ref="H35:I35"/>
    <mergeCell ref="A37:C37"/>
    <mergeCell ref="J74:L74"/>
    <mergeCell ref="A51:B51"/>
    <mergeCell ref="J27:L27"/>
    <mergeCell ref="D70:L70"/>
    <mergeCell ref="J35:L35"/>
    <mergeCell ref="H55:I55"/>
    <mergeCell ref="B122:F122"/>
    <mergeCell ref="C21:E21"/>
    <mergeCell ref="B12:C12"/>
    <mergeCell ref="G24:I24"/>
    <mergeCell ref="J25:L25"/>
    <mergeCell ref="H39:I39"/>
    <mergeCell ref="A54:B54"/>
    <mergeCell ref="A71:C71"/>
    <mergeCell ref="D72:L72"/>
    <mergeCell ref="C54:D54"/>
    <mergeCell ref="E73:F73"/>
    <mergeCell ref="G89:I89"/>
    <mergeCell ref="G124:L124"/>
    <mergeCell ref="D13:E13"/>
    <mergeCell ref="C23:E23"/>
    <mergeCell ref="J66:L66"/>
    <mergeCell ref="J75:L75"/>
    <mergeCell ref="C50:D50"/>
    <mergeCell ref="E57:G57"/>
    <mergeCell ref="D71:L71"/>
    <mergeCell ref="G73:I73"/>
    <mergeCell ref="G26:I26"/>
    <mergeCell ref="A73:D73"/>
    <mergeCell ref="G88:I88"/>
    <mergeCell ref="J50:L50"/>
    <mergeCell ref="A27:B27"/>
    <mergeCell ref="A56:B56"/>
    <mergeCell ref="A43:C43"/>
    <mergeCell ref="H52:I52"/>
    <mergeCell ref="C56:D56"/>
    <mergeCell ref="B13:C13"/>
    <mergeCell ref="G16:I16"/>
    <mergeCell ref="J46:L46"/>
    <mergeCell ref="E8:H8"/>
    <mergeCell ref="D45:G45"/>
    <mergeCell ref="G90:I90"/>
    <mergeCell ref="A63:L63"/>
    <mergeCell ref="H45:I45"/>
    <mergeCell ref="J52:L52"/>
    <mergeCell ref="B78:L78"/>
    <mergeCell ref="D96:I96"/>
    <mergeCell ref="A93:L93"/>
    <mergeCell ref="C18:E18"/>
    <mergeCell ref="J92:L92"/>
    <mergeCell ref="A7:D7"/>
    <mergeCell ref="J39:L39"/>
    <mergeCell ref="H37:I37"/>
    <mergeCell ref="F13:G13"/>
    <mergeCell ref="A17:B17"/>
    <mergeCell ref="A34:C34"/>
    <mergeCell ref="H13:I13"/>
    <mergeCell ref="D60:I60"/>
    <mergeCell ref="A77:L77"/>
    <mergeCell ref="A22:B22"/>
    <mergeCell ref="A53:B53"/>
    <mergeCell ref="A46:G46"/>
    <mergeCell ref="A83:L83"/>
    <mergeCell ref="D100:I100"/>
    <mergeCell ref="E91:F91"/>
    <mergeCell ref="J38:L38"/>
    <mergeCell ref="B118:F118"/>
    <mergeCell ref="A19:B19"/>
    <mergeCell ref="A28:B28"/>
    <mergeCell ref="E75:F75"/>
    <mergeCell ref="A6:L6"/>
    <mergeCell ref="J40:L40"/>
    <mergeCell ref="A69:C69"/>
    <mergeCell ref="C20:E20"/>
    <mergeCell ref="C25:E25"/>
    <mergeCell ref="A101:L106"/>
    <mergeCell ref="J24:L24"/>
    <mergeCell ref="A66:C66"/>
    <mergeCell ref="G28:I28"/>
    <mergeCell ref="J89:L89"/>
    <mergeCell ref="F10:G10"/>
    <mergeCell ref="H54:I54"/>
    <mergeCell ref="C22:E22"/>
    <mergeCell ref="H41:I41"/>
    <mergeCell ref="B121:F121"/>
    <mergeCell ref="D33:G33"/>
    <mergeCell ref="H50:I50"/>
    <mergeCell ref="J26:L26"/>
    <mergeCell ref="G121:L121"/>
    <mergeCell ref="A3:L3"/>
    <mergeCell ref="D42:G42"/>
    <mergeCell ref="H56:I56"/>
    <mergeCell ref="A95:L95"/>
    <mergeCell ref="H34:I34"/>
    <mergeCell ref="J41:L41"/>
    <mergeCell ref="J16:L16"/>
    <mergeCell ref="D35:G35"/>
    <mergeCell ref="A32:C32"/>
    <mergeCell ref="D62:I62"/>
    <mergeCell ref="G123:L123"/>
    <mergeCell ref="D44:G44"/>
    <mergeCell ref="B120:F120"/>
    <mergeCell ref="H49:I49"/>
    <mergeCell ref="J91:L91"/>
    <mergeCell ref="A97:L97"/>
    <mergeCell ref="D34:G34"/>
    <mergeCell ref="H36:I36"/>
    <mergeCell ref="J43:L43"/>
    <mergeCell ref="A38:C38"/>
    <mergeCell ref="H10:K10"/>
    <mergeCell ref="G29:L29"/>
    <mergeCell ref="E54:G54"/>
    <mergeCell ref="D64:I64"/>
    <mergeCell ref="A96:C96"/>
    <mergeCell ref="A26:B26"/>
    <mergeCell ref="J33:L33"/>
    <mergeCell ref="A44:C44"/>
    <mergeCell ref="J42:L42"/>
    <mergeCell ref="A88:D88"/>
    <mergeCell ref="D36:G36"/>
    <mergeCell ref="E90:F90"/>
    <mergeCell ref="A40:C40"/>
    <mergeCell ref="A31:L31"/>
    <mergeCell ref="B11:E11"/>
    <mergeCell ref="E56:G56"/>
    <mergeCell ref="I7:L7"/>
    <mergeCell ref="J44:L44"/>
    <mergeCell ref="A90:D90"/>
    <mergeCell ref="C24:E24"/>
    <mergeCell ref="A60:C60"/>
    <mergeCell ref="H12:I12"/>
    <mergeCell ref="A29:E29"/>
    <mergeCell ref="J12:K12"/>
    <mergeCell ref="A52:B52"/>
    <mergeCell ref="G27:I27"/>
    <mergeCell ref="J28:L28"/>
    <mergeCell ref="A74:D74"/>
    <mergeCell ref="E76:F76"/>
    <mergeCell ref="J37:L37"/>
    <mergeCell ref="H11:K11"/>
    <mergeCell ref="C57:D57"/>
    <mergeCell ref="J60:L60"/>
    <mergeCell ref="B80:L80"/>
    <mergeCell ref="B124:F124"/>
    <mergeCell ref="C26:E26"/>
    <mergeCell ref="A109:L117"/>
    <mergeCell ref="G17:I17"/>
    <mergeCell ref="C53:D53"/>
    <mergeCell ref="D37:G37"/>
    <mergeCell ref="A76:D76"/>
    <mergeCell ref="B79:L79"/>
    <mergeCell ref="J53:L53"/>
    <mergeCell ref="C16:E16"/>
    <mergeCell ref="A8:D8"/>
    <mergeCell ref="H38:I38"/>
    <mergeCell ref="A91:D91"/>
    <mergeCell ref="G19:I19"/>
    <mergeCell ref="D39:G39"/>
    <mergeCell ref="A84:C84"/>
    <mergeCell ref="A49:B49"/>
    <mergeCell ref="H43:I43"/>
    <mergeCell ref="J98:L98"/>
    <mergeCell ref="A108:L108"/>
    <mergeCell ref="B81:L81"/>
    <mergeCell ref="J55:L55"/>
    <mergeCell ref="G74:I74"/>
    <mergeCell ref="D38:G38"/>
    <mergeCell ref="H40:I40"/>
    <mergeCell ref="A86:C86"/>
    <mergeCell ref="A42:C42"/>
    <mergeCell ref="J54:L54"/>
    <mergeCell ref="J32:L32"/>
    <mergeCell ref="A62:C62"/>
    <mergeCell ref="G20:I20"/>
    <mergeCell ref="J56:L56"/>
    <mergeCell ref="J96:L96"/>
    <mergeCell ref="J90:L90"/>
    <mergeCell ref="A55:B55"/>
    <mergeCell ref="A72:C72"/>
    <mergeCell ref="A21:B21"/>
    <mergeCell ref="C28:E28"/>
    <mergeCell ref="D98:I98"/>
    <mergeCell ref="G22:I22"/>
    <mergeCell ref="J18:L18"/>
    <mergeCell ref="C51:D51"/>
    <mergeCell ref="A57:B57"/>
    <mergeCell ref="J76:L76"/>
    <mergeCell ref="D85:L85"/>
    <mergeCell ref="E89:F89"/>
    <mergeCell ref="H57:I57"/>
    <mergeCell ref="J17:L17"/>
    <mergeCell ref="A23:B23"/>
    <mergeCell ref="J73:L73"/>
    <mergeCell ref="G21:I21"/>
    <mergeCell ref="D69:L69"/>
    <mergeCell ref="D12:E12"/>
    <mergeCell ref="A59:L59"/>
    <mergeCell ref="A64:C64"/>
    <mergeCell ref="A98:C98"/>
    <mergeCell ref="A15:L15"/>
    <mergeCell ref="J57:L57"/>
    <mergeCell ref="A89:D89"/>
    <mergeCell ref="J19:L19"/>
    <mergeCell ref="A1:F1"/>
    <mergeCell ref="H42:I42"/>
    <mergeCell ref="G23:I23"/>
    <mergeCell ref="A70:C70"/>
    <mergeCell ref="A61:L61"/>
    <mergeCell ref="B123:F123"/>
    <mergeCell ref="J34:L34"/>
    <mergeCell ref="G122:L122"/>
    <mergeCell ref="E51:G51"/>
    <mergeCell ref="C49:D49"/>
    <mergeCell ref="F11:G11"/>
    <mergeCell ref="A24:B24"/>
    <mergeCell ref="A41:C41"/>
    <mergeCell ref="J49:L49"/>
    <mergeCell ref="I8:L8"/>
    <mergeCell ref="J36:L36"/>
    <mergeCell ref="A99:L99"/>
    <mergeCell ref="J45:L45"/>
    <mergeCell ref="G18:I18"/>
    <mergeCell ref="E7:H7"/>
    <mergeCell ref="G118:L118"/>
    <mergeCell ref="D66:I66"/>
    <mergeCell ref="J20:L20"/>
    <mergeCell ref="H44:I44"/>
    <mergeCell ref="J13:K13"/>
    <mergeCell ref="E88:F88"/>
    <mergeCell ref="J100:L100"/>
    <mergeCell ref="D87:L87"/>
    <mergeCell ref="J94:L94"/>
    <mergeCell ref="F12:G12"/>
    <mergeCell ref="A16:B16"/>
    <mergeCell ref="C27:E27"/>
    <mergeCell ref="A33:C33"/>
    <mergeCell ref="A25:B25"/>
    <mergeCell ref="E49:G49"/>
    <mergeCell ref="H46:I46"/>
    <mergeCell ref="J22:L22"/>
    <mergeCell ref="A85:C85"/>
    <mergeCell ref="G119:L119"/>
    <mergeCell ref="H51:I51"/>
    <mergeCell ref="C55:D55"/>
    <mergeCell ref="C17:E17"/>
    <mergeCell ref="A100:C100"/>
    <mergeCell ref="A126:L126"/>
    <mergeCell ref="A18:B18"/>
    <mergeCell ref="A35:C35"/>
    <mergeCell ref="D92:I92"/>
    <mergeCell ref="E74:F74"/>
    <mergeCell ref="J21:L21"/>
    <mergeCell ref="G76:I76"/>
    <mergeCell ref="G91:I91"/>
    <mergeCell ref="G25:I25"/>
    <mergeCell ref="A50:B50"/>
    <mergeCell ref="G1:L1"/>
    <mergeCell ref="D40:G40"/>
    <mergeCell ref="J51:L51"/>
    <mergeCell ref="B119:F119"/>
    <mergeCell ref="C19:E19"/>
    <mergeCell ref="J62:L62"/>
    <mergeCell ref="A68:L68"/>
    <mergeCell ref="H32:I32"/>
    <mergeCell ref="E53:G53"/>
    <mergeCell ref="G75:I75"/>
    <mergeCell ref="D94:I94"/>
    <mergeCell ref="J23:L23"/>
    <mergeCell ref="E50:G50"/>
    <mergeCell ref="A92:C92"/>
    <mergeCell ref="A9:L9"/>
    <mergeCell ref="A39:C39"/>
    <mergeCell ref="C52:D52"/>
    <mergeCell ref="J64:L64"/>
    <mergeCell ref="D32:G32"/>
    <mergeCell ref="A48:L48"/>
    <mergeCell ref="E55:G55"/>
    <mergeCell ref="A20:B20"/>
    <mergeCell ref="D41:G41"/>
    <mergeCell ref="A36:C36"/>
    <mergeCell ref="A75:D75"/>
    <mergeCell ref="G120:L120"/>
    <mergeCell ref="E52:G52"/>
    <mergeCell ref="A45:C45"/>
    <mergeCell ref="A94:C94"/>
    <mergeCell ref="J88:L88"/>
    <mergeCell ref="D84:L84"/>
    <mergeCell ref="H33:I33"/>
    <mergeCell ref="D43:G43"/>
    <mergeCell ref="A87:C87"/>
    <mergeCell ref="B10:E10"/>
    <mergeCell ref="A65:L65"/>
  </mergeCells>
  <conditionalFormatting sqref="G74:G76">
    <cfRule type="expression" priority="1" dxfId="1">
      <formula>AND(ISNUMBER(G74),MOD(G74,1)=0)</formula>
    </cfRule>
  </conditionalFormatting>
  <conditionalFormatting sqref="G89:G91">
    <cfRule type="expression" priority="2" dxfId="1">
      <formula>AND(ISNUMBER(G89),MOD(G89,1)=0)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4" manualBreakCount="4">
    <brk id="29" min="0" max="16383" man="1"/>
    <brk id="57" min="0" max="16383" man="1"/>
    <brk id="81" min="0" max="16383" man="1"/>
    <brk id="106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4" t="inlineStr">
        <is>
          <t>4.  안전 · 환경관리계획</t>
        </is>
      </c>
    </row>
    <row r="4" ht="4" customHeight="1"/>
    <row r="5" ht="3" customHeight="1"/>
    <row r="6" ht="22" customHeight="1">
      <c r="A6" s="15" t="inlineStr">
        <is>
          <t>4.1  안전관리 조직표</t>
        </is>
      </c>
    </row>
    <row r="7" ht="20" customHeight="1">
      <c r="A7" s="24" t="inlineStr">
        <is>
          <t>(안전관리 조직표를 붙이는 곳 — 현장대리인 · 안전관리자 · 관리감독자 · 협력업체)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3" customHeight="1"/>
    <row r="18" ht="22" customHeight="1">
      <c r="A18" s="15" t="inlineStr">
        <is>
          <t>4.2  비상연락망</t>
        </is>
      </c>
    </row>
    <row r="19" ht="24" customHeight="1">
      <c r="A19" s="27" t="inlineStr">
        <is>
          <t>구    분</t>
        </is>
      </c>
      <c r="B19" s="7" t="n"/>
      <c r="C19" s="7" t="n"/>
      <c r="D19" s="27" t="inlineStr">
        <is>
          <t>기관 · 성명</t>
        </is>
      </c>
      <c r="E19" s="7" t="n"/>
      <c r="F19" s="7" t="n"/>
      <c r="G19" s="27" t="inlineStr">
        <is>
          <t>전화번호</t>
        </is>
      </c>
      <c r="H19" s="7" t="n"/>
      <c r="I19" s="7" t="n"/>
      <c r="J19" s="27" t="inlineStr">
        <is>
          <t>비   고</t>
        </is>
      </c>
      <c r="K19" s="7" t="n"/>
      <c r="L19" s="7" t="n"/>
    </row>
    <row r="20" ht="24" customHeight="1">
      <c r="A20" s="19" t="inlineStr">
        <is>
          <t>화재 · 구급</t>
        </is>
      </c>
      <c r="B20" s="7" t="n"/>
      <c r="C20" s="7" t="n"/>
      <c r="D20" s="8" t="inlineStr">
        <is>
          <t>소방서</t>
        </is>
      </c>
      <c r="E20" s="7" t="n"/>
      <c r="F20" s="7" t="n"/>
      <c r="G20" s="8" t="inlineStr">
        <is>
          <t>119</t>
        </is>
      </c>
      <c r="H20" s="7" t="n"/>
      <c r="I20" s="7" t="n"/>
      <c r="J20" s="57" t="n"/>
      <c r="K20" s="7" t="n"/>
      <c r="L20" s="7" t="n"/>
    </row>
    <row r="21" ht="24" customHeight="1">
      <c r="A21" s="19" t="inlineStr">
        <is>
          <t>사고 · 범죄</t>
        </is>
      </c>
      <c r="B21" s="7" t="n"/>
      <c r="C21" s="7" t="n"/>
      <c r="D21" s="8" t="inlineStr">
        <is>
          <t>경찰서</t>
        </is>
      </c>
      <c r="E21" s="7" t="n"/>
      <c r="F21" s="7" t="n"/>
      <c r="G21" s="8" t="inlineStr">
        <is>
          <t>112</t>
        </is>
      </c>
      <c r="H21" s="7" t="n"/>
      <c r="I21" s="7" t="n"/>
      <c r="J21" s="57" t="n"/>
      <c r="K21" s="7" t="n"/>
      <c r="L21" s="7" t="n"/>
    </row>
    <row r="22" ht="24" customHeight="1">
      <c r="A22" s="19" t="inlineStr">
        <is>
          <t>현장대리인</t>
        </is>
      </c>
      <c r="B22" s="7" t="n"/>
      <c r="C22" s="7" t="n"/>
      <c r="D22" s="8" t="n"/>
      <c r="E22" s="7" t="n"/>
      <c r="F22" s="7" t="n"/>
      <c r="G22" s="8" t="n"/>
      <c r="H22" s="7" t="n"/>
      <c r="I22" s="7" t="n"/>
      <c r="J22" s="57" t="n"/>
      <c r="K22" s="7" t="n"/>
      <c r="L22" s="7" t="n"/>
    </row>
    <row r="23" ht="24" customHeight="1">
      <c r="A23" s="19" t="inlineStr">
        <is>
          <t>안전관리자</t>
        </is>
      </c>
      <c r="B23" s="7" t="n"/>
      <c r="C23" s="7" t="n"/>
      <c r="D23" s="8" t="n"/>
      <c r="E23" s="7" t="n"/>
      <c r="F23" s="7" t="n"/>
      <c r="G23" s="8" t="n"/>
      <c r="H23" s="7" t="n"/>
      <c r="I23" s="7" t="n"/>
      <c r="J23" s="57" t="n"/>
      <c r="K23" s="7" t="n"/>
      <c r="L23" s="7" t="n"/>
    </row>
    <row r="24" ht="24" customHeight="1">
      <c r="A24" s="19" t="inlineStr">
        <is>
          <t>본사 안전팀</t>
        </is>
      </c>
      <c r="B24" s="7" t="n"/>
      <c r="C24" s="7" t="n"/>
      <c r="D24" s="8" t="n"/>
      <c r="E24" s="7" t="n"/>
      <c r="F24" s="7" t="n"/>
      <c r="G24" s="8" t="n"/>
      <c r="H24" s="7" t="n"/>
      <c r="I24" s="7" t="n"/>
      <c r="J24" s="57" t="n"/>
      <c r="K24" s="7" t="n"/>
      <c r="L24" s="7" t="n"/>
    </row>
    <row r="25" ht="24" customHeight="1">
      <c r="A25" s="19" t="inlineStr">
        <is>
          <t>인근 병원(응급실)</t>
        </is>
      </c>
      <c r="B25" s="7" t="n"/>
      <c r="C25" s="7" t="n"/>
      <c r="D25" s="8" t="n"/>
      <c r="E25" s="7" t="n"/>
      <c r="F25" s="7" t="n"/>
      <c r="G25" s="8" t="n"/>
      <c r="H25" s="7" t="n"/>
      <c r="I25" s="7" t="n"/>
      <c r="J25" s="57" t="n"/>
      <c r="K25" s="7" t="n"/>
      <c r="L25" s="7" t="n"/>
    </row>
    <row r="26" ht="24" customHeight="1">
      <c r="A26" s="19" t="inlineStr">
        <is>
          <t>관할 구청(건축 · 안전)</t>
        </is>
      </c>
      <c r="B26" s="7" t="n"/>
      <c r="C26" s="7" t="n"/>
      <c r="D26" s="8" t="n"/>
      <c r="E26" s="7" t="n"/>
      <c r="F26" s="7" t="n"/>
      <c r="G26" s="8" t="n"/>
      <c r="H26" s="7" t="n"/>
      <c r="I26" s="7" t="n"/>
      <c r="J26" s="57" t="n"/>
      <c r="K26" s="7" t="n"/>
      <c r="L26" s="7" t="n"/>
    </row>
    <row r="28" ht="19.5" customHeight="1">
      <c r="A28" s="11" t="inlineStr">
        <is>
          <t>비상연락망의 119 · 112 외 칸은 현장에 맞게 적습니다.</t>
        </is>
      </c>
    </row>
  </sheetData>
  <mergeCells count="39">
    <mergeCell ref="A7:L16"/>
    <mergeCell ref="A25:C25"/>
    <mergeCell ref="J24:L24"/>
    <mergeCell ref="G19:I19"/>
    <mergeCell ref="A21:C21"/>
    <mergeCell ref="A18:L18"/>
    <mergeCell ref="J20:L20"/>
    <mergeCell ref="J26:L26"/>
    <mergeCell ref="A3:L3"/>
    <mergeCell ref="A26:C26"/>
    <mergeCell ref="G24:I24"/>
    <mergeCell ref="J25:L25"/>
    <mergeCell ref="A23:C23"/>
    <mergeCell ref="J22:L22"/>
    <mergeCell ref="A22:C22"/>
    <mergeCell ref="G20:I20"/>
    <mergeCell ref="G26:I26"/>
    <mergeCell ref="D25:F25"/>
    <mergeCell ref="A20:C20"/>
    <mergeCell ref="J21:L21"/>
    <mergeCell ref="D24:F24"/>
    <mergeCell ref="G25:I25"/>
    <mergeCell ref="G1:L1"/>
    <mergeCell ref="A19:C19"/>
    <mergeCell ref="D23:F23"/>
    <mergeCell ref="G22:I22"/>
    <mergeCell ref="A28:L28"/>
    <mergeCell ref="J23:L23"/>
    <mergeCell ref="D26:F26"/>
    <mergeCell ref="G21:I21"/>
    <mergeCell ref="D20:F20"/>
    <mergeCell ref="A24:C24"/>
    <mergeCell ref="D19:F19"/>
    <mergeCell ref="J19:L19"/>
    <mergeCell ref="A1:F1"/>
    <mergeCell ref="D22:F22"/>
    <mergeCell ref="G23:I23"/>
    <mergeCell ref="A6:L6"/>
    <mergeCell ref="D21:F21"/>
  </mergeCells>
  <printOptions horizontalCentered="1"/>
  <pageMargins left="0.6" right="0.6" top="0.6" bottom="0.6" header="0.2" footer="0.2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28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4.5" customWidth="1" min="3" max="3"/>
    <col width="5.5" customWidth="1" min="4" max="4"/>
    <col width="8.5" customWidth="1" min="5" max="5"/>
    <col width="10" customWidth="1" min="6" max="6"/>
    <col width="5" customWidth="1" min="7" max="7"/>
    <col width="9.5" customWidth="1" min="8" max="8"/>
    <col width="5" customWidth="1" min="9" max="9"/>
    <col width="9.5" customWidth="1" min="10" max="10"/>
    <col width="5" customWidth="1" min="11" max="11"/>
    <col width="9.5" customWidth="1" min="12" max="12"/>
    <col width="8" customWidth="1" min="13" max="13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4" customHeight="1">
      <c r="A2" s="26" t="inlineStr">
        <is>
          <t>4.3  안전관리비 세부집행계획서</t>
        </is>
      </c>
    </row>
    <row r="3" ht="22" customHeight="1">
      <c r="A3" s="6" t="inlineStr">
        <is>
          <t>첫 달</t>
        </is>
      </c>
      <c r="B3" s="7" t="n"/>
      <c r="C3" s="61" t="n"/>
      <c r="D3" s="7" t="n"/>
      <c r="E3" s="11" t="inlineStr">
        <is>
          <t>※ 첫 달을 적으면 달 이름이 저절로 바뀝니다. 월별 수량 합이 총수량과 다르면 «대조» 칸에 알림이 뜹니다.</t>
        </is>
      </c>
    </row>
    <row r="4" ht="20" customHeight="1">
      <c r="A4" s="27" t="inlineStr">
        <is>
          <t>항  목</t>
        </is>
      </c>
      <c r="B4" s="27" t="inlineStr">
        <is>
          <t>내  용</t>
        </is>
      </c>
      <c r="C4" s="28" t="inlineStr">
        <is>
          <t>단위</t>
        </is>
      </c>
      <c r="D4" s="27" t="inlineStr">
        <is>
          <t>수량</t>
        </is>
      </c>
      <c r="E4" s="27" t="inlineStr">
        <is>
          <t>단  가</t>
        </is>
      </c>
      <c r="F4" s="27" t="inlineStr">
        <is>
          <t>금  액</t>
        </is>
      </c>
      <c r="G4" s="62">
        <f>IF(N(C3)=0,"1월째",MONTH(EDATE(C3,0))&amp;"월")</f>
        <v/>
      </c>
      <c r="H4" s="7" t="n"/>
      <c r="I4" s="62">
        <f>IF(N(C3)=0,"2월째",MONTH(EDATE(C3,1))&amp;"월")</f>
        <v/>
      </c>
      <c r="J4" s="7" t="n"/>
      <c r="K4" s="62">
        <f>IF(N(C3)=0,"3월째",MONTH(EDATE(C3,2))&amp;"월")</f>
        <v/>
      </c>
      <c r="L4" s="7" t="n"/>
      <c r="M4" s="27" t="inlineStr">
        <is>
          <t>대조</t>
        </is>
      </c>
    </row>
    <row r="5" ht="18" customHeight="1">
      <c r="A5" s="7" t="n"/>
      <c r="B5" s="7" t="n"/>
      <c r="C5" s="7" t="n"/>
      <c r="D5" s="7" t="n"/>
      <c r="E5" s="7" t="n"/>
      <c r="F5" s="7" t="n"/>
      <c r="G5" s="28" t="inlineStr">
        <is>
          <t>수량</t>
        </is>
      </c>
      <c r="H5" s="28" t="inlineStr">
        <is>
          <t>금액</t>
        </is>
      </c>
      <c r="I5" s="28" t="inlineStr">
        <is>
          <t>수량</t>
        </is>
      </c>
      <c r="J5" s="28" t="inlineStr">
        <is>
          <t>금액</t>
        </is>
      </c>
      <c r="K5" s="28" t="inlineStr">
        <is>
          <t>수량</t>
        </is>
      </c>
      <c r="L5" s="28" t="inlineStr">
        <is>
          <t>금액</t>
        </is>
      </c>
      <c r="M5" s="7" t="n"/>
    </row>
    <row r="6" ht="22" customHeight="1">
      <c r="A6" s="57" t="n"/>
      <c r="B6" s="57" t="n"/>
      <c r="C6" s="47" t="n"/>
      <c r="D6" s="63" t="n"/>
      <c r="E6" s="64" t="n"/>
      <c r="F6" s="65">
        <f>IF(OR(N(D6)=0,N(E6)=0),"",D6*E6)</f>
        <v/>
      </c>
      <c r="G6" s="63" t="n"/>
      <c r="H6" s="65">
        <f>IF(OR(N(G6)=0,N(E6)=0),"",G6*E6)</f>
        <v/>
      </c>
      <c r="I6" s="63" t="n"/>
      <c r="J6" s="65">
        <f>IF(OR(N(I6)=0,N(E6)=0),"",I6*E6)</f>
        <v/>
      </c>
      <c r="K6" s="63" t="n"/>
      <c r="L6" s="65">
        <f>IF(OR(N(K6)=0,N(E6)=0),"",K6*E6)</f>
        <v/>
      </c>
      <c r="M6" s="66">
        <f>IF(N(D6)=0,"",IF(N(G6)+N(I6)+N(K6)=N(D6),"✓","⚠ "&amp;(N(G6)+N(I6)+N(K6)-N(D6))))</f>
        <v/>
      </c>
    </row>
    <row r="7" ht="22" customHeight="1">
      <c r="A7" s="57" t="n"/>
      <c r="B7" s="57" t="n"/>
      <c r="C7" s="47" t="n"/>
      <c r="D7" s="63" t="n"/>
      <c r="E7" s="64" t="n"/>
      <c r="F7" s="65">
        <f>IF(OR(N(D7)=0,N(E7)=0),"",D7*E7)</f>
        <v/>
      </c>
      <c r="G7" s="63" t="n"/>
      <c r="H7" s="65">
        <f>IF(OR(N(G7)=0,N(E7)=0),"",G7*E7)</f>
        <v/>
      </c>
      <c r="I7" s="63" t="n"/>
      <c r="J7" s="65">
        <f>IF(OR(N(I7)=0,N(E7)=0),"",I7*E7)</f>
        <v/>
      </c>
      <c r="K7" s="63" t="n"/>
      <c r="L7" s="65">
        <f>IF(OR(N(K7)=0,N(E7)=0),"",K7*E7)</f>
        <v/>
      </c>
      <c r="M7" s="66">
        <f>IF(N(D7)=0,"",IF(N(G7)+N(I7)+N(K7)=N(D7),"✓","⚠ "&amp;(N(G7)+N(I7)+N(K7)-N(D7))))</f>
        <v/>
      </c>
    </row>
    <row r="8" ht="22" customHeight="1">
      <c r="A8" s="57" t="n"/>
      <c r="B8" s="57" t="n"/>
      <c r="C8" s="47" t="n"/>
      <c r="D8" s="63" t="n"/>
      <c r="E8" s="64" t="n"/>
      <c r="F8" s="65">
        <f>IF(OR(N(D8)=0,N(E8)=0),"",D8*E8)</f>
        <v/>
      </c>
      <c r="G8" s="63" t="n"/>
      <c r="H8" s="65">
        <f>IF(OR(N(G8)=0,N(E8)=0),"",G8*E8)</f>
        <v/>
      </c>
      <c r="I8" s="63" t="n"/>
      <c r="J8" s="65">
        <f>IF(OR(N(I8)=0,N(E8)=0),"",I8*E8)</f>
        <v/>
      </c>
      <c r="K8" s="63" t="n"/>
      <c r="L8" s="65">
        <f>IF(OR(N(K8)=0,N(E8)=0),"",K8*E8)</f>
        <v/>
      </c>
      <c r="M8" s="66">
        <f>IF(N(D8)=0,"",IF(N(G8)+N(I8)+N(K8)=N(D8),"✓","⚠ "&amp;(N(G8)+N(I8)+N(K8)-N(D8))))</f>
        <v/>
      </c>
    </row>
    <row r="9" ht="22" customHeight="1">
      <c r="A9" s="57" t="n"/>
      <c r="B9" s="57" t="n"/>
      <c r="C9" s="47" t="n"/>
      <c r="D9" s="63" t="n"/>
      <c r="E9" s="64" t="n"/>
      <c r="F9" s="65">
        <f>IF(OR(N(D9)=0,N(E9)=0),"",D9*E9)</f>
        <v/>
      </c>
      <c r="G9" s="63" t="n"/>
      <c r="H9" s="65">
        <f>IF(OR(N(G9)=0,N(E9)=0),"",G9*E9)</f>
        <v/>
      </c>
      <c r="I9" s="63" t="n"/>
      <c r="J9" s="65">
        <f>IF(OR(N(I9)=0,N(E9)=0),"",I9*E9)</f>
        <v/>
      </c>
      <c r="K9" s="63" t="n"/>
      <c r="L9" s="65">
        <f>IF(OR(N(K9)=0,N(E9)=0),"",K9*E9)</f>
        <v/>
      </c>
      <c r="M9" s="66">
        <f>IF(N(D9)=0,"",IF(N(G9)+N(I9)+N(K9)=N(D9),"✓","⚠ "&amp;(N(G9)+N(I9)+N(K9)-N(D9))))</f>
        <v/>
      </c>
    </row>
    <row r="10" ht="22" customHeight="1">
      <c r="A10" s="57" t="n"/>
      <c r="B10" s="57" t="n"/>
      <c r="C10" s="47" t="n"/>
      <c r="D10" s="63" t="n"/>
      <c r="E10" s="64" t="n"/>
      <c r="F10" s="65">
        <f>IF(OR(N(D10)=0,N(E10)=0),"",D10*E10)</f>
        <v/>
      </c>
      <c r="G10" s="63" t="n"/>
      <c r="H10" s="65">
        <f>IF(OR(N(G10)=0,N(E10)=0),"",G10*E10)</f>
        <v/>
      </c>
      <c r="I10" s="63" t="n"/>
      <c r="J10" s="65">
        <f>IF(OR(N(I10)=0,N(E10)=0),"",I10*E10)</f>
        <v/>
      </c>
      <c r="K10" s="63" t="n"/>
      <c r="L10" s="65">
        <f>IF(OR(N(K10)=0,N(E10)=0),"",K10*E10)</f>
        <v/>
      </c>
      <c r="M10" s="66">
        <f>IF(N(D10)=0,"",IF(N(G10)+N(I10)+N(K10)=N(D10),"✓","⚠ "&amp;(N(G10)+N(I10)+N(K10)-N(D10))))</f>
        <v/>
      </c>
    </row>
    <row r="11" ht="22" customHeight="1">
      <c r="A11" s="57" t="n"/>
      <c r="B11" s="57" t="n"/>
      <c r="C11" s="47" t="n"/>
      <c r="D11" s="63" t="n"/>
      <c r="E11" s="64" t="n"/>
      <c r="F11" s="65">
        <f>IF(OR(N(D11)=0,N(E11)=0),"",D11*E11)</f>
        <v/>
      </c>
      <c r="G11" s="63" t="n"/>
      <c r="H11" s="65">
        <f>IF(OR(N(G11)=0,N(E11)=0),"",G11*E11)</f>
        <v/>
      </c>
      <c r="I11" s="63" t="n"/>
      <c r="J11" s="65">
        <f>IF(OR(N(I11)=0,N(E11)=0),"",I11*E11)</f>
        <v/>
      </c>
      <c r="K11" s="63" t="n"/>
      <c r="L11" s="65">
        <f>IF(OR(N(K11)=0,N(E11)=0),"",K11*E11)</f>
        <v/>
      </c>
      <c r="M11" s="66">
        <f>IF(N(D11)=0,"",IF(N(G11)+N(I11)+N(K11)=N(D11),"✓","⚠ "&amp;(N(G11)+N(I11)+N(K11)-N(D11))))</f>
        <v/>
      </c>
    </row>
    <row r="12" ht="22" customHeight="1">
      <c r="A12" s="57" t="n"/>
      <c r="B12" s="57" t="n"/>
      <c r="C12" s="47" t="n"/>
      <c r="D12" s="63" t="n"/>
      <c r="E12" s="64" t="n"/>
      <c r="F12" s="65">
        <f>IF(OR(N(D12)=0,N(E12)=0),"",D12*E12)</f>
        <v/>
      </c>
      <c r="G12" s="63" t="n"/>
      <c r="H12" s="65">
        <f>IF(OR(N(G12)=0,N(E12)=0),"",G12*E12)</f>
        <v/>
      </c>
      <c r="I12" s="63" t="n"/>
      <c r="J12" s="65">
        <f>IF(OR(N(I12)=0,N(E12)=0),"",I12*E12)</f>
        <v/>
      </c>
      <c r="K12" s="63" t="n"/>
      <c r="L12" s="65">
        <f>IF(OR(N(K12)=0,N(E12)=0),"",K12*E12)</f>
        <v/>
      </c>
      <c r="M12" s="66">
        <f>IF(N(D12)=0,"",IF(N(G12)+N(I12)+N(K12)=N(D12),"✓","⚠ "&amp;(N(G12)+N(I12)+N(K12)-N(D12))))</f>
        <v/>
      </c>
    </row>
    <row r="13" ht="22" customHeight="1">
      <c r="A13" s="57" t="n"/>
      <c r="B13" s="57" t="n"/>
      <c r="C13" s="47" t="n"/>
      <c r="D13" s="63" t="n"/>
      <c r="E13" s="64" t="n"/>
      <c r="F13" s="65">
        <f>IF(OR(N(D13)=0,N(E13)=0),"",D13*E13)</f>
        <v/>
      </c>
      <c r="G13" s="63" t="n"/>
      <c r="H13" s="65">
        <f>IF(OR(N(G13)=0,N(E13)=0),"",G13*E13)</f>
        <v/>
      </c>
      <c r="I13" s="63" t="n"/>
      <c r="J13" s="65">
        <f>IF(OR(N(I13)=0,N(E13)=0),"",I13*E13)</f>
        <v/>
      </c>
      <c r="K13" s="63" t="n"/>
      <c r="L13" s="65">
        <f>IF(OR(N(K13)=0,N(E13)=0),"",K13*E13)</f>
        <v/>
      </c>
      <c r="M13" s="66">
        <f>IF(N(D13)=0,"",IF(N(G13)+N(I13)+N(K13)=N(D13),"✓","⚠ "&amp;(N(G13)+N(I13)+N(K13)-N(D13))))</f>
        <v/>
      </c>
    </row>
    <row r="14" ht="22" customHeight="1">
      <c r="A14" s="57" t="n"/>
      <c r="B14" s="57" t="n"/>
      <c r="C14" s="47" t="n"/>
      <c r="D14" s="63" t="n"/>
      <c r="E14" s="64" t="n"/>
      <c r="F14" s="65">
        <f>IF(OR(N(D14)=0,N(E14)=0),"",D14*E14)</f>
        <v/>
      </c>
      <c r="G14" s="63" t="n"/>
      <c r="H14" s="65">
        <f>IF(OR(N(G14)=0,N(E14)=0),"",G14*E14)</f>
        <v/>
      </c>
      <c r="I14" s="63" t="n"/>
      <c r="J14" s="65">
        <f>IF(OR(N(I14)=0,N(E14)=0),"",I14*E14)</f>
        <v/>
      </c>
      <c r="K14" s="63" t="n"/>
      <c r="L14" s="65">
        <f>IF(OR(N(K14)=0,N(E14)=0),"",K14*E14)</f>
        <v/>
      </c>
      <c r="M14" s="66">
        <f>IF(N(D14)=0,"",IF(N(G14)+N(I14)+N(K14)=N(D14),"✓","⚠ "&amp;(N(G14)+N(I14)+N(K14)-N(D14))))</f>
        <v/>
      </c>
    </row>
    <row r="15" ht="22" customHeight="1">
      <c r="A15" s="57" t="n"/>
      <c r="B15" s="57" t="n"/>
      <c r="C15" s="47" t="n"/>
      <c r="D15" s="63" t="n"/>
      <c r="E15" s="64" t="n"/>
      <c r="F15" s="65">
        <f>IF(OR(N(D15)=0,N(E15)=0),"",D15*E15)</f>
        <v/>
      </c>
      <c r="G15" s="63" t="n"/>
      <c r="H15" s="65">
        <f>IF(OR(N(G15)=0,N(E15)=0),"",G15*E15)</f>
        <v/>
      </c>
      <c r="I15" s="63" t="n"/>
      <c r="J15" s="65">
        <f>IF(OR(N(I15)=0,N(E15)=0),"",I15*E15)</f>
        <v/>
      </c>
      <c r="K15" s="63" t="n"/>
      <c r="L15" s="65">
        <f>IF(OR(N(K15)=0,N(E15)=0),"",K15*E15)</f>
        <v/>
      </c>
      <c r="M15" s="66">
        <f>IF(N(D15)=0,"",IF(N(G15)+N(I15)+N(K15)=N(D15),"✓","⚠ "&amp;(N(G15)+N(I15)+N(K15)-N(D15))))</f>
        <v/>
      </c>
    </row>
    <row r="16" ht="22" customHeight="1">
      <c r="A16" s="57" t="n"/>
      <c r="B16" s="57" t="n"/>
      <c r="C16" s="47" t="n"/>
      <c r="D16" s="63" t="n"/>
      <c r="E16" s="64" t="n"/>
      <c r="F16" s="65">
        <f>IF(OR(N(D16)=0,N(E16)=0),"",D16*E16)</f>
        <v/>
      </c>
      <c r="G16" s="63" t="n"/>
      <c r="H16" s="65">
        <f>IF(OR(N(G16)=0,N(E16)=0),"",G16*E16)</f>
        <v/>
      </c>
      <c r="I16" s="63" t="n"/>
      <c r="J16" s="65">
        <f>IF(OR(N(I16)=0,N(E16)=0),"",I16*E16)</f>
        <v/>
      </c>
      <c r="K16" s="63" t="n"/>
      <c r="L16" s="65">
        <f>IF(OR(N(K16)=0,N(E16)=0),"",K16*E16)</f>
        <v/>
      </c>
      <c r="M16" s="66">
        <f>IF(N(D16)=0,"",IF(N(G16)+N(I16)+N(K16)=N(D16),"✓","⚠ "&amp;(N(G16)+N(I16)+N(K16)-N(D16))))</f>
        <v/>
      </c>
    </row>
    <row r="17" ht="22" customHeight="1">
      <c r="A17" s="57" t="n"/>
      <c r="B17" s="57" t="n"/>
      <c r="C17" s="47" t="n"/>
      <c r="D17" s="63" t="n"/>
      <c r="E17" s="64" t="n"/>
      <c r="F17" s="65">
        <f>IF(OR(N(D17)=0,N(E17)=0),"",D17*E17)</f>
        <v/>
      </c>
      <c r="G17" s="63" t="n"/>
      <c r="H17" s="65">
        <f>IF(OR(N(G17)=0,N(E17)=0),"",G17*E17)</f>
        <v/>
      </c>
      <c r="I17" s="63" t="n"/>
      <c r="J17" s="65">
        <f>IF(OR(N(I17)=0,N(E17)=0),"",I17*E17)</f>
        <v/>
      </c>
      <c r="K17" s="63" t="n"/>
      <c r="L17" s="65">
        <f>IF(OR(N(K17)=0,N(E17)=0),"",K17*E17)</f>
        <v/>
      </c>
      <c r="M17" s="66">
        <f>IF(N(D17)=0,"",IF(N(G17)+N(I17)+N(K17)=N(D17),"✓","⚠ "&amp;(N(G17)+N(I17)+N(K17)-N(D17))))</f>
        <v/>
      </c>
    </row>
    <row r="18" ht="24" customHeight="1">
      <c r="A18" s="39" t="inlineStr">
        <is>
          <t>합        계</t>
        </is>
      </c>
      <c r="B18" s="7" t="n"/>
      <c r="C18" s="7" t="n"/>
      <c r="D18" s="7" t="n"/>
      <c r="E18" s="7" t="n"/>
      <c r="F18" s="67">
        <f>IF(SUM(F6:F17)=0,"",SUM(F6:F17))</f>
        <v/>
      </c>
      <c r="G18" s="39" t="inlineStr"/>
      <c r="H18" s="67">
        <f>IF(SUM(H6:H17)=0,"",SUM(H6:H17))</f>
        <v/>
      </c>
      <c r="I18" s="39" t="inlineStr"/>
      <c r="J18" s="67">
        <f>IF(SUM(J6:J17)=0,"",SUM(J6:J17))</f>
        <v/>
      </c>
      <c r="K18" s="39" t="inlineStr"/>
      <c r="L18" s="67">
        <f>IF(SUM(L6:L17)=0,"",SUM(L6:L17))</f>
        <v/>
      </c>
      <c r="M18" s="39" t="inlineStr"/>
    </row>
    <row r="19" ht="8" customHeight="1"/>
    <row r="20" ht="22" customHeight="1">
      <c r="A20" s="27" t="inlineStr">
        <is>
          <t>항목별 소계</t>
        </is>
      </c>
      <c r="B20" s="7" t="n"/>
      <c r="C20" s="27" t="inlineStr">
        <is>
          <t>항    목</t>
        </is>
      </c>
      <c r="D20" s="7" t="n"/>
      <c r="E20" s="7" t="n"/>
      <c r="F20" s="7" t="n"/>
      <c r="G20" s="27" t="inlineStr">
        <is>
          <t>금    액</t>
        </is>
      </c>
      <c r="H20" s="7" t="n"/>
      <c r="I20" s="5" t="inlineStr"/>
    </row>
    <row r="21" ht="22" customHeight="1">
      <c r="A21" s="5" t="inlineStr"/>
      <c r="C21" s="68" t="inlineStr">
        <is>
          <t>1. 인건비</t>
        </is>
      </c>
      <c r="D21" s="7" t="n"/>
      <c r="E21" s="7" t="n"/>
      <c r="F21" s="7" t="n"/>
      <c r="G21" s="69">
        <f>IF(OR(C21="",SUMIF(A6:A17,C21,F6:F17)=0),"",SUMIF(A6:A17,C21,F6:F17))</f>
        <v/>
      </c>
      <c r="H21" s="7" t="n"/>
      <c r="I21" s="5" t="inlineStr"/>
    </row>
    <row r="22" ht="22" customHeight="1">
      <c r="A22" s="5" t="inlineStr"/>
      <c r="C22" s="68" t="inlineStr">
        <is>
          <t>2. 보호구</t>
        </is>
      </c>
      <c r="D22" s="7" t="n"/>
      <c r="E22" s="7" t="n"/>
      <c r="F22" s="7" t="n"/>
      <c r="G22" s="69">
        <f>IF(OR(C22="",SUMIF(A6:A17,C22,F6:F17)=0),"",SUMIF(A6:A17,C22,F6:F17))</f>
        <v/>
      </c>
      <c r="H22" s="7" t="n"/>
      <c r="I22" s="5" t="inlineStr"/>
    </row>
    <row r="23" ht="22" customHeight="1">
      <c r="A23" s="5" t="inlineStr"/>
      <c r="C23" s="68" t="inlineStr">
        <is>
          <t>3. 안전시설비</t>
        </is>
      </c>
      <c r="D23" s="7" t="n"/>
      <c r="E23" s="7" t="n"/>
      <c r="F23" s="7" t="n"/>
      <c r="G23" s="69">
        <f>IF(OR(C23="",SUMIF(A6:A17,C23,F6:F17)=0),"",SUMIF(A6:A17,C23,F6:F17))</f>
        <v/>
      </c>
      <c r="H23" s="7" t="n"/>
      <c r="I23" s="5" t="inlineStr"/>
    </row>
    <row r="24" ht="22" customHeight="1">
      <c r="A24" s="5" t="inlineStr"/>
      <c r="C24" s="68" t="inlineStr">
        <is>
          <t>4. 안전교육비</t>
        </is>
      </c>
      <c r="D24" s="7" t="n"/>
      <c r="E24" s="7" t="n"/>
      <c r="F24" s="7" t="n"/>
      <c r="G24" s="69">
        <f>IF(OR(C24="",SUMIF(A6:A17,C24,F6:F17)=0),"",SUMIF(A6:A17,C24,F6:F17))</f>
        <v/>
      </c>
      <c r="H24" s="7" t="n"/>
      <c r="I24" s="5" t="inlineStr"/>
    </row>
    <row r="25" ht="22" customHeight="1">
      <c r="A25" s="5" t="inlineStr"/>
      <c r="C25" s="68" t="inlineStr">
        <is>
          <t>5. 기타</t>
        </is>
      </c>
      <c r="D25" s="7" t="n"/>
      <c r="E25" s="7" t="n"/>
      <c r="F25" s="7" t="n"/>
      <c r="G25" s="69">
        <f>IF(OR(C25="",SUMIF(A6:A17,C25,F6:F17)=0),"",SUMIF(A6:A17,C25,F6:F17))</f>
        <v/>
      </c>
      <c r="H25" s="7" t="n"/>
      <c r="I25" s="5" t="inlineStr"/>
    </row>
    <row r="26" ht="29.65" customHeight="1">
      <c r="A26" s="70" t="inlineStr">
        <is>
          <t>※ «항목» 은 아래 소계 표의 항목 이름과 똑같이 적어야 소계에 모입니다. 항목 구분은 발주처 · 「건설업 산업안전보건관리비 계상 및 사용기준」(고용노동부 고시)의 사용 항목에 맞춰 고쳐 쓰세요.</t>
        </is>
      </c>
    </row>
    <row r="28" ht="19.5" customHeight="1">
      <c r="A28" s="11" t="inlineStr">
        <is>
          <t>하늘색 칸 = 자동(금액 · 월별 금액 · 합계 · 대조 · 항목별 소계).</t>
        </is>
      </c>
    </row>
  </sheetData>
  <mergeCells count="43">
    <mergeCell ref="G21:H21"/>
    <mergeCell ref="A24:B24"/>
    <mergeCell ref="C23:F23"/>
    <mergeCell ref="C4:C5"/>
    <mergeCell ref="E4:E5"/>
    <mergeCell ref="G23:H23"/>
    <mergeCell ref="G1:M1"/>
    <mergeCell ref="A28:M28"/>
    <mergeCell ref="A26:L26"/>
    <mergeCell ref="A25:B25"/>
    <mergeCell ref="I25:M25"/>
    <mergeCell ref="D4:D5"/>
    <mergeCell ref="I22:M22"/>
    <mergeCell ref="C24:F24"/>
    <mergeCell ref="A3:B3"/>
    <mergeCell ref="A18:E18"/>
    <mergeCell ref="A21:B21"/>
    <mergeCell ref="I21:M21"/>
    <mergeCell ref="G24:H24"/>
    <mergeCell ref="A4:A5"/>
    <mergeCell ref="C20:F20"/>
    <mergeCell ref="I24:M24"/>
    <mergeCell ref="C25:F25"/>
    <mergeCell ref="E3:M3"/>
    <mergeCell ref="A23:B23"/>
    <mergeCell ref="I23:M23"/>
    <mergeCell ref="A22:B22"/>
    <mergeCell ref="C22:F22"/>
    <mergeCell ref="G4:H4"/>
    <mergeCell ref="A20:B20"/>
    <mergeCell ref="G20:H20"/>
    <mergeCell ref="I4:J4"/>
    <mergeCell ref="M4:M5"/>
    <mergeCell ref="B4:B5"/>
    <mergeCell ref="I20:M20"/>
    <mergeCell ref="F4:F5"/>
    <mergeCell ref="A1:F1"/>
    <mergeCell ref="G25:H25"/>
    <mergeCell ref="C21:F21"/>
    <mergeCell ref="G22:H22"/>
    <mergeCell ref="K4:L4"/>
    <mergeCell ref="C3:D3"/>
    <mergeCell ref="A2:M2"/>
  </mergeCells>
  <printOptions horizontalCentered="1"/>
  <pageMargins left="0.4" right="0.4" top="0.5" bottom="0.5" header="0.2" footer="0.2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7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" customHeight="1"/>
    <row r="3" ht="22" customHeight="1">
      <c r="A3" s="15" t="inlineStr">
        <is>
          <t>4.4  예상 문제점 및 대책</t>
        </is>
      </c>
    </row>
    <row r="4" ht="24" customHeight="1">
      <c r="A4" s="27" t="inlineStr">
        <is>
          <t>No.</t>
        </is>
      </c>
      <c r="B4" s="27" t="inlineStr">
        <is>
          <t>문   제   점</t>
        </is>
      </c>
      <c r="C4" s="7" t="n"/>
      <c r="D4" s="7" t="n"/>
      <c r="E4" s="7" t="n"/>
      <c r="F4" s="27" t="inlineStr">
        <is>
          <t>대        책</t>
        </is>
      </c>
      <c r="G4" s="7" t="n"/>
      <c r="H4" s="7" t="n"/>
      <c r="I4" s="7" t="n"/>
      <c r="J4" s="7" t="n"/>
      <c r="K4" s="7" t="n"/>
      <c r="L4" s="7" t="n"/>
    </row>
    <row r="5" ht="77.25" customHeight="1">
      <c r="A5" s="54" t="inlineStr">
        <is>
          <t>1</t>
        </is>
      </c>
      <c r="B5" s="55" t="inlineStr">
        <is>
          <t>좁은 작업공간으로 인한 공정 지연 및 장비에 의한 협착사고</t>
        </is>
      </c>
      <c r="C5" s="7" t="n"/>
      <c r="D5" s="7" t="n"/>
      <c r="E5" s="7" t="n"/>
      <c r="F5" s="55" t="inlineStr">
        <is>
          <t>- 장비 투입 전 토공 평면도와 장비 배치도를 작성하여 충분한 작업공간 · 장비 이동 동선을 확보하고, 자재 반입 때 야적 공간을 미리 마련하여 다른 공정과의 연계를 유연하게 한다.
- 안전관리자의 지시에 따라 즉시 조치할 방안을 마련한다.</t>
        </is>
      </c>
      <c r="G5" s="7" t="n"/>
      <c r="H5" s="7" t="n"/>
      <c r="I5" s="7" t="n"/>
      <c r="J5" s="7" t="n"/>
      <c r="K5" s="7" t="n"/>
      <c r="L5" s="7" t="n"/>
    </row>
    <row r="6" ht="34" customHeight="1">
      <c r="A6" s="54" t="inlineStr">
        <is>
          <t>2</t>
        </is>
      </c>
      <c r="B6" s="57" t="n"/>
      <c r="C6" s="7" t="n"/>
      <c r="D6" s="7" t="n"/>
      <c r="E6" s="7" t="n"/>
      <c r="F6" s="57" t="n"/>
      <c r="G6" s="7" t="n"/>
      <c r="H6" s="7" t="n"/>
      <c r="I6" s="7" t="n"/>
      <c r="J6" s="7" t="n"/>
      <c r="K6" s="7" t="n"/>
      <c r="L6" s="7" t="n"/>
    </row>
    <row r="7" ht="34" customHeight="1">
      <c r="A7" s="54" t="inlineStr">
        <is>
          <t>3</t>
        </is>
      </c>
      <c r="B7" s="57" t="n"/>
      <c r="C7" s="7" t="n"/>
      <c r="D7" s="7" t="n"/>
      <c r="E7" s="7" t="n"/>
      <c r="F7" s="57" t="n"/>
      <c r="G7" s="7" t="n"/>
      <c r="H7" s="7" t="n"/>
      <c r="I7" s="7" t="n"/>
      <c r="J7" s="7" t="n"/>
      <c r="K7" s="7" t="n"/>
      <c r="L7" s="7" t="n"/>
    </row>
    <row r="8" ht="3" customHeight="1"/>
    <row r="9" ht="22" customHeight="1">
      <c r="A9" s="15" t="inlineStr">
        <is>
          <t>4.5  안전관리계획</t>
        </is>
      </c>
    </row>
    <row r="10" ht="24" customHeight="1">
      <c r="A10" s="27" t="inlineStr">
        <is>
          <t>구   분</t>
        </is>
      </c>
      <c r="B10" s="7" t="n"/>
      <c r="C10" s="7" t="n"/>
      <c r="D10" s="27" t="inlineStr">
        <is>
          <t>내        용</t>
        </is>
      </c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6" customHeight="1">
      <c r="A11" s="54" t="inlineStr">
        <is>
          <t>안전관리 목표</t>
        </is>
      </c>
      <c r="B11" s="7" t="n"/>
      <c r="C11" s="7" t="n"/>
      <c r="D11" s="55" t="inlineStr">
        <is>
          <t>안전사고 «ZERO»</t>
        </is>
      </c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34.5" customHeight="1">
      <c r="A12" s="54" t="inlineStr">
        <is>
          <t>안전관리 지침</t>
        </is>
      </c>
      <c r="B12" s="7" t="n"/>
      <c r="C12" s="7" t="n"/>
      <c r="D12" s="55" t="inlineStr">
        <is>
          <t>효율적인 안전보건관리 · 공종별 안전관리 주요 항목을 정해 집중관리 · 일일 시공 사이클 내실화</t>
        </is>
      </c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63" customHeight="1">
      <c r="A13" s="54" t="inlineStr">
        <is>
          <t>위해 요인</t>
        </is>
      </c>
      <c r="B13" s="7" t="n"/>
      <c r="C13" s="7" t="n"/>
      <c r="D13" s="55" t="inlineStr">
        <is>
          <t>▣ 하부 지반의 연약화 · 부등침하로 인한 장비 전도
▣ 장비 작업 · 이동 중 하부 작업자 협착
▣ 중량물 인양 때 와이어로프 파단으로 인한 협착
▣ 압력호스 · 유압호스 파단으로 인한 사고</t>
        </is>
      </c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48.75" customHeight="1">
      <c r="A14" s="54" t="inlineStr">
        <is>
          <t>대    책</t>
        </is>
      </c>
      <c r="B14" s="7" t="n"/>
      <c r="C14" s="7" t="n"/>
      <c r="D14" s="55" t="inlineStr">
        <is>
          <t>▣ 장비 작업반경 안 작업자 접근 금지 및 신호수 배치
▣ 작업 전 와이어로프 · 샤클 등 인양 공구 사전 점검
▣ 작업 전 사전 점검을 하고 문제가 있으면 즉시 교체</t>
        </is>
      </c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1" customHeight="1">
      <c r="A15" s="58" t="inlineStr">
        <is>
          <t>4.5.1  일일 시공 CYCLE</t>
        </is>
      </c>
    </row>
    <row r="16" ht="24" customHeight="1">
      <c r="A16" s="27" t="inlineStr">
        <is>
          <t>시  각</t>
        </is>
      </c>
      <c r="B16" s="7" t="n"/>
      <c r="C16" s="27" t="inlineStr">
        <is>
          <t>활    동</t>
        </is>
      </c>
      <c r="D16" s="7" t="n"/>
      <c r="E16" s="7" t="n"/>
      <c r="F16" s="27" t="inlineStr">
        <is>
          <t>내        용</t>
        </is>
      </c>
      <c r="G16" s="7" t="n"/>
      <c r="H16" s="7" t="n"/>
      <c r="I16" s="7" t="n"/>
      <c r="J16" s="7" t="n"/>
      <c r="K16" s="7" t="n"/>
      <c r="L16" s="7" t="n"/>
    </row>
    <row r="17" ht="22" customHeight="1">
      <c r="A17" s="54" t="inlineStr">
        <is>
          <t>07:00</t>
        </is>
      </c>
      <c r="B17" s="7" t="n"/>
      <c r="C17" s="55" t="inlineStr">
        <is>
          <t>안전 조회</t>
        </is>
      </c>
      <c r="D17" s="7" t="n"/>
      <c r="E17" s="7" t="n"/>
      <c r="F17" s="55" t="inlineStr">
        <is>
          <t>참석 인원 파악 · 작업 위험 포인트 확인</t>
        </is>
      </c>
      <c r="G17" s="7" t="n"/>
      <c r="H17" s="7" t="n"/>
      <c r="I17" s="7" t="n"/>
      <c r="J17" s="7" t="n"/>
      <c r="K17" s="7" t="n"/>
      <c r="L17" s="7" t="n"/>
    </row>
    <row r="18" ht="22" customHeight="1">
      <c r="A18" s="54" t="inlineStr">
        <is>
          <t>07:10</t>
        </is>
      </c>
      <c r="B18" s="7" t="n"/>
      <c r="C18" s="55" t="inlineStr">
        <is>
          <t>TBM</t>
        </is>
      </c>
      <c r="D18" s="7" t="n"/>
      <c r="E18" s="7" t="n"/>
      <c r="F18" s="55" t="inlineStr">
        <is>
          <t>위험예지 상황판 활용 · 작업 계획서 사용</t>
        </is>
      </c>
      <c r="G18" s="7" t="n"/>
      <c r="H18" s="7" t="n"/>
      <c r="I18" s="7" t="n"/>
      <c r="J18" s="7" t="n"/>
      <c r="K18" s="7" t="n"/>
      <c r="L18" s="7" t="n"/>
    </row>
    <row r="19" ht="34.5" customHeight="1">
      <c r="A19" s="54" t="inlineStr">
        <is>
          <t>10:00</t>
        </is>
      </c>
      <c r="B19" s="7" t="n"/>
      <c r="C19" s="55" t="inlineStr">
        <is>
          <t>오전 순회점검</t>
        </is>
      </c>
      <c r="D19" s="7" t="n"/>
      <c r="E19" s="7" t="n"/>
      <c r="F19" s="55" t="inlineStr">
        <is>
          <t>일일 작업 위험 포인트 순회점검 · 전일 계획서에 따른 순회점검</t>
        </is>
      </c>
      <c r="G19" s="7" t="n"/>
      <c r="H19" s="7" t="n"/>
      <c r="I19" s="7" t="n"/>
      <c r="J19" s="7" t="n"/>
      <c r="K19" s="7" t="n"/>
      <c r="L19" s="7" t="n"/>
    </row>
    <row r="20" ht="22" customHeight="1">
      <c r="A20" s="54" t="inlineStr">
        <is>
          <t>11:00</t>
        </is>
      </c>
      <c r="B20" s="7" t="n"/>
      <c r="C20" s="55" t="inlineStr">
        <is>
          <t>품질 · 안전 공정회의</t>
        </is>
      </c>
      <c r="D20" s="7" t="n"/>
      <c r="E20" s="7" t="n"/>
      <c r="F20" s="55" t="inlineStr">
        <is>
          <t>금일 작업 결과 및 명일 작업 계획 보고</t>
        </is>
      </c>
      <c r="G20" s="7" t="n"/>
      <c r="H20" s="7" t="n"/>
      <c r="I20" s="7" t="n"/>
      <c r="J20" s="7" t="n"/>
      <c r="K20" s="7" t="n"/>
      <c r="L20" s="7" t="n"/>
    </row>
    <row r="21" ht="22" customHeight="1">
      <c r="A21" s="54" t="inlineStr">
        <is>
          <t>15:00</t>
        </is>
      </c>
      <c r="B21" s="7" t="n"/>
      <c r="C21" s="55" t="inlineStr">
        <is>
          <t>오후 순회점검</t>
        </is>
      </c>
      <c r="D21" s="7" t="n"/>
      <c r="E21" s="7" t="n"/>
      <c r="F21" s="55" t="inlineStr">
        <is>
          <t>전일 계획서에 따른 순회점검</t>
        </is>
      </c>
      <c r="G21" s="7" t="n"/>
      <c r="H21" s="7" t="n"/>
      <c r="I21" s="7" t="n"/>
      <c r="J21" s="7" t="n"/>
      <c r="K21" s="7" t="n"/>
      <c r="L21" s="7" t="n"/>
    </row>
    <row r="22" ht="22" customHeight="1">
      <c r="A22" s="54" t="inlineStr">
        <is>
          <t>17:50 ~ 18:00</t>
        </is>
      </c>
      <c r="B22" s="7" t="n"/>
      <c r="C22" s="55" t="inlineStr">
        <is>
          <t>작업장 정리정돈</t>
        </is>
      </c>
      <c r="D22" s="7" t="n"/>
      <c r="E22" s="7" t="n"/>
      <c r="F22" s="55" t="inlineStr">
        <is>
          <t>정리 · 정돈 실시 여부 파악</t>
        </is>
      </c>
      <c r="G22" s="7" t="n"/>
      <c r="H22" s="7" t="n"/>
      <c r="I22" s="7" t="n"/>
      <c r="J22" s="7" t="n"/>
      <c r="K22" s="7" t="n"/>
      <c r="L22" s="7" t="n"/>
    </row>
    <row r="23" ht="22" customHeight="1">
      <c r="A23" s="54" t="inlineStr">
        <is>
          <t>18:00</t>
        </is>
      </c>
      <c r="B23" s="7" t="n"/>
      <c r="C23" s="55" t="inlineStr">
        <is>
          <t>직원 공정회의</t>
        </is>
      </c>
      <c r="D23" s="7" t="n"/>
      <c r="E23" s="7" t="n"/>
      <c r="F23" s="55" t="inlineStr">
        <is>
          <t>직원 공정회의</t>
        </is>
      </c>
      <c r="G23" s="7" t="n"/>
      <c r="H23" s="7" t="n"/>
      <c r="I23" s="7" t="n"/>
      <c r="J23" s="7" t="n"/>
      <c r="K23" s="7" t="n"/>
      <c r="L23" s="7" t="n"/>
    </row>
    <row r="24" ht="21" customHeight="1">
      <c r="A24" s="58" t="inlineStr">
        <is>
          <t>4.5.2  주요 관리 활동</t>
        </is>
      </c>
    </row>
    <row r="25" ht="24" customHeight="1">
      <c r="A25" s="27" t="inlineStr">
        <is>
          <t>활 동 명</t>
        </is>
      </c>
      <c r="B25" s="7" t="n"/>
      <c r="C25" s="7" t="n"/>
      <c r="D25" s="27" t="inlineStr">
        <is>
          <t>활    동    내    용</t>
        </is>
      </c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34.5" customHeight="1">
      <c r="A26" s="54" t="inlineStr">
        <is>
          <t>신규 채용자 관리</t>
        </is>
      </c>
      <c r="B26" s="7" t="n"/>
      <c r="C26" s="7" t="n"/>
      <c r="D26" s="55" t="inlineStr">
        <is>
          <t>▣ 작업 투입 전 안전교육 ▣ 배치 전 건강 상태 확인(해당 공종 적격 여부 · 지병 확인)</t>
        </is>
      </c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34.5" customHeight="1">
      <c r="A27" s="54" t="inlineStr">
        <is>
          <t>T.B.M 활동</t>
        </is>
      </c>
      <c r="B27" s="7" t="n"/>
      <c r="C27" s="7" t="n"/>
      <c r="D27" s="55" t="inlineStr">
        <is>
          <t>▣ 당일 위험 공정 및 작업 내용 설명 ▣ 공정별 팀 단위 위험요소 지적 및 확인</t>
        </is>
      </c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6" customHeight="1">
      <c r="A28" s="54" t="inlineStr">
        <is>
          <t>일일 안전활동</t>
        </is>
      </c>
      <c r="B28" s="7" t="n"/>
      <c r="C28" s="7" t="n"/>
      <c r="D28" s="55" t="inlineStr">
        <is>
          <t>▣ 주변 지장물 · 지보공 이상 유무 점검 ▣ 작업 종료 전 현장 정리정돈</t>
        </is>
      </c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34.5" customHeight="1">
      <c r="A29" s="54" t="inlineStr">
        <is>
          <t>일일 안전토론</t>
        </is>
      </c>
      <c r="B29" s="7" t="n"/>
      <c r="C29" s="7" t="n"/>
      <c r="D29" s="55" t="inlineStr">
        <is>
          <t>▣ 금일 안전점검 조치사항 이행 상태 확인 ▣ 명일 작업 사항 · 금일 미비 사항 검토</t>
        </is>
      </c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1" customHeight="1">
      <c r="A30" s="58" t="inlineStr">
        <is>
          <t>주요 교육 활동</t>
        </is>
      </c>
    </row>
    <row r="31" ht="24" customHeight="1">
      <c r="A31" s="27" t="inlineStr">
        <is>
          <t>교 육 명</t>
        </is>
      </c>
      <c r="B31" s="7" t="n"/>
      <c r="C31" s="7" t="n"/>
      <c r="D31" s="27" t="inlineStr">
        <is>
          <t>교 육 시 간</t>
        </is>
      </c>
      <c r="E31" s="7" t="n"/>
      <c r="F31" s="7" t="n"/>
      <c r="G31" s="27" t="inlineStr">
        <is>
          <t>교 육 내 용</t>
        </is>
      </c>
      <c r="H31" s="7" t="n"/>
      <c r="I31" s="7" t="n"/>
      <c r="J31" s="7" t="n"/>
      <c r="K31" s="7" t="n"/>
      <c r="L31" s="7" t="n"/>
    </row>
    <row r="32" ht="38" customHeight="1">
      <c r="A32" s="43" t="inlineStr">
        <is>
          <t>정기교육</t>
        </is>
      </c>
      <c r="B32" s="7" t="n"/>
      <c r="C32" s="7" t="n"/>
      <c r="D32" s="71" t="inlineStr">
        <is>
          <t>매월 2시간
(매반기 12시간 이상)</t>
        </is>
      </c>
      <c r="E32" s="7" t="n"/>
      <c r="F32" s="7" t="n"/>
      <c r="G32" s="72" t="inlineStr">
        <is>
          <t>보호구 · 안전장치 취급과 사용 · 안전사고 사례 및 재해 예방대책</t>
        </is>
      </c>
      <c r="H32" s="7" t="n"/>
      <c r="I32" s="7" t="n"/>
      <c r="J32" s="7" t="n"/>
      <c r="K32" s="7" t="n"/>
      <c r="L32" s="7" t="n"/>
    </row>
    <row r="33" ht="38" customHeight="1">
      <c r="A33" s="43" t="inlineStr">
        <is>
          <t>채용 시 교육</t>
        </is>
      </c>
      <c r="B33" s="7" t="n"/>
      <c r="C33" s="7" t="n"/>
      <c r="D33" s="71" t="inlineStr">
        <is>
          <t>일용 1시간 이상
그 밖 8시간 이상</t>
        </is>
      </c>
      <c r="E33" s="7" t="n"/>
      <c r="F33" s="7" t="n"/>
      <c r="G33" s="72" t="inlineStr">
        <is>
          <t>해당 기계 · 기구의 위험성과 안전작업 · 근로자 건강관리</t>
        </is>
      </c>
      <c r="H33" s="7" t="n"/>
      <c r="I33" s="7" t="n"/>
      <c r="J33" s="7" t="n"/>
      <c r="K33" s="7" t="n"/>
      <c r="L33" s="7" t="n"/>
    </row>
    <row r="34" ht="38" customHeight="1">
      <c r="A34" s="43" t="inlineStr">
        <is>
          <t>작업내용 변경 시</t>
        </is>
      </c>
      <c r="B34" s="7" t="n"/>
      <c r="C34" s="7" t="n"/>
      <c r="D34" s="71" t="inlineStr">
        <is>
          <t>일용 1시간 이상
그 밖 2시간 이상</t>
        </is>
      </c>
      <c r="E34" s="7" t="n"/>
      <c r="F34" s="7" t="n"/>
      <c r="G34" s="72" t="inlineStr">
        <is>
          <t>변경된 작업의 위험성과 안전작업 방법</t>
        </is>
      </c>
      <c r="H34" s="7" t="n"/>
      <c r="I34" s="7" t="n"/>
      <c r="J34" s="7" t="n"/>
      <c r="K34" s="7" t="n"/>
      <c r="L34" s="7" t="n"/>
    </row>
    <row r="35" ht="38" customHeight="1">
      <c r="A35" s="43" t="inlineStr">
        <is>
          <t>관리감독자</t>
        </is>
      </c>
      <c r="B35" s="7" t="n"/>
      <c r="C35" s="7" t="n"/>
      <c r="D35" s="71" t="inlineStr">
        <is>
          <t>연간 16시간 이상</t>
        </is>
      </c>
      <c r="E35" s="7" t="n"/>
      <c r="F35" s="7" t="n"/>
      <c r="G35" s="72" t="inlineStr">
        <is>
          <t>안전작업 지도 요령 · 관리감독자의 역할과 임무 · 그 밖의 안전보건관리</t>
        </is>
      </c>
      <c r="H35" s="7" t="n"/>
      <c r="I35" s="7" t="n"/>
      <c r="J35" s="7" t="n"/>
      <c r="K35" s="7" t="n"/>
      <c r="L35" s="7" t="n"/>
    </row>
    <row r="36" ht="38" customHeight="1">
      <c r="A36" s="43" t="inlineStr">
        <is>
          <t>특별교육</t>
        </is>
      </c>
      <c r="B36" s="7" t="n"/>
      <c r="C36" s="7" t="n"/>
      <c r="D36" s="71" t="inlineStr">
        <is>
          <t>일용 2시간 이상
그 밖 16시간 이상</t>
        </is>
      </c>
      <c r="E36" s="7" t="n"/>
      <c r="F36" s="7" t="n"/>
      <c r="G36" s="72" t="inlineStr">
        <is>
          <t>작업 공정의 유해 · 위험 · 보호구 착용 및 작업 신호</t>
        </is>
      </c>
      <c r="H36" s="7" t="n"/>
      <c r="I36" s="7" t="n"/>
      <c r="J36" s="7" t="n"/>
      <c r="K36" s="7" t="n"/>
      <c r="L36" s="7" t="n"/>
    </row>
    <row r="37" ht="41.975" customHeight="1">
      <c r="A37" s="70" t="inlineStr">
        <is>
          <t>※ 교육시간은 산업안전보건법 시행규칙 [별표 4](2023년 개정 이후) 기준입니다(«일용» = 일용근로자 · 근로계약 1주 이하 기간제). 건설 일용근로자는 처음 투입 전에 건설업 기초안전보건교육(4시간)을 이수해야 합니다. 법령이 바뀌면 노란 칸을 고쳐 씁니다.</t>
        </is>
      </c>
    </row>
    <row r="38" ht="21" customHeight="1">
      <c r="A38" s="58" t="inlineStr">
        <is>
          <t>4.5.3  보호구 지급 · 활용 계획 및 10대 안전수칙</t>
        </is>
      </c>
    </row>
    <row r="39" ht="24" customHeight="1">
      <c r="A39" s="27" t="inlineStr">
        <is>
          <t>구   분</t>
        </is>
      </c>
      <c r="B39" s="7" t="n"/>
      <c r="C39" s="7" t="n"/>
      <c r="D39" s="27" t="inlineStr">
        <is>
          <t>내        용</t>
        </is>
      </c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48.75" customHeight="1">
      <c r="A40" s="54" t="inlineStr">
        <is>
          <t>지급 계획</t>
        </is>
      </c>
      <c r="B40" s="7" t="n"/>
      <c r="C40" s="7" t="n"/>
      <c r="D40" s="55" t="inlineStr">
        <is>
          <t>▣ 신규 채용자 교육 후 보호구 지급 ▣ 개인보호구 100% 지급 ▣ 기능상 불량이면 점검 후 수리 · 교환 지급 ▣ 소모성 보호구는 수시 점검하여 즉시 교환 지급</t>
        </is>
      </c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34.5" customHeight="1">
      <c r="A41" s="54" t="inlineStr">
        <is>
          <t>활용 계획</t>
        </is>
      </c>
      <c r="B41" s="7" t="n"/>
      <c r="C41" s="7" t="n"/>
      <c r="D41" s="55" t="inlineStr">
        <is>
          <t>▣ 지급 때 100% 착용 및 사용법 교육 ▣ 매일 T.B.M 뒤 기능 점검 ▣ 방진 마스크는 안에 보조 필터 착용 ▣ 개인보호구는 본래 목적 외 사용 금지</t>
        </is>
      </c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34.5" customHeight="1">
      <c r="A42" s="54" t="inlineStr">
        <is>
          <t>안전 준수 사항</t>
        </is>
      </c>
      <c r="B42" s="7" t="n"/>
      <c r="C42" s="7" t="n"/>
      <c r="D42" s="55" t="inlineStr">
        <is>
          <t>▣ 위험요소 발견 때 즉각 조치 ▣ 안전관리 실명제 카드 및 중장비 사전 안전점검 · 점검필증 부착 ▣ 장비 작업 때 신호수 고정 배치</t>
        </is>
      </c>
      <c r="E42" s="7" t="n"/>
      <c r="F42" s="7" t="n"/>
      <c r="G42" s="7" t="n"/>
      <c r="H42" s="7" t="n"/>
      <c r="I42" s="7" t="n"/>
      <c r="J42" s="7" t="n"/>
      <c r="K42" s="7" t="n"/>
      <c r="L42" s="7" t="n"/>
    </row>
    <row r="43" ht="19.725" customHeight="1">
      <c r="A43" s="59" t="inlineStr">
        <is>
          <t>①</t>
        </is>
      </c>
      <c r="B43" s="60" t="inlineStr">
        <is>
          <t>개구부는 생기는 즉시 막는다.</t>
        </is>
      </c>
    </row>
    <row r="44" ht="19.725" customHeight="1">
      <c r="A44" s="59" t="inlineStr">
        <is>
          <t>②</t>
        </is>
      </c>
      <c r="B44" s="60" t="inlineStr">
        <is>
          <t>난간대는 반드시 설치한다.</t>
        </is>
      </c>
    </row>
    <row r="45" ht="19.725" customHeight="1">
      <c r="A45" s="59" t="inlineStr">
        <is>
          <t>③</t>
        </is>
      </c>
      <c r="B45" s="60" t="inlineStr">
        <is>
          <t>생명줄은 반드시 설치한다.</t>
        </is>
      </c>
    </row>
    <row r="46" ht="19.725" customHeight="1">
      <c r="A46" s="59" t="inlineStr">
        <is>
          <t>④</t>
        </is>
      </c>
      <c r="B46" s="60" t="inlineStr">
        <is>
          <t>안전대는 반드시 걸고 작업한다.</t>
        </is>
      </c>
    </row>
    <row r="47" ht="19.725" customHeight="1">
      <c r="A47" s="59" t="inlineStr">
        <is>
          <t>⑤</t>
        </is>
      </c>
      <c r="B47" s="60" t="inlineStr">
        <is>
          <t>작업발판은 확실히 고정한다.</t>
        </is>
      </c>
    </row>
    <row r="48" ht="19.725" customHeight="1">
      <c r="A48" s="59" t="inlineStr">
        <is>
          <t>⑥</t>
        </is>
      </c>
      <c r="B48" s="60" t="inlineStr">
        <is>
          <t>양중용 장비에는 절대 탑승하지 않는다.</t>
        </is>
      </c>
    </row>
    <row r="49" ht="19.725" customHeight="1">
      <c r="A49" s="59" t="inlineStr">
        <is>
          <t>⑦</t>
        </is>
      </c>
      <c r="B49" s="60" t="inlineStr">
        <is>
          <t>분전함은 반드시 잠금장치를 한다.</t>
        </is>
      </c>
    </row>
    <row r="50" ht="19.725" customHeight="1">
      <c r="A50" s="59" t="inlineStr">
        <is>
          <t>⑧</t>
        </is>
      </c>
      <c r="B50" s="60" t="inlineStr">
        <is>
          <t>안전모는 반드시 착용한다.</t>
        </is>
      </c>
    </row>
    <row r="51" ht="19.725" customHeight="1">
      <c r="A51" s="59" t="inlineStr">
        <is>
          <t>⑨</t>
        </is>
      </c>
      <c r="B51" s="60" t="inlineStr">
        <is>
          <t>T.B.M 은 매일 철저하게 한다.</t>
        </is>
      </c>
    </row>
    <row r="52" ht="19.725" customHeight="1">
      <c r="A52" s="59" t="inlineStr">
        <is>
          <t>⑩</t>
        </is>
      </c>
      <c r="B52" s="60" t="inlineStr">
        <is>
          <t>중장비 작업반경 안에는 절대 접근하지 않는다.</t>
        </is>
      </c>
    </row>
    <row r="53" ht="3" customHeight="1"/>
    <row r="54" ht="22" customHeight="1">
      <c r="A54" s="15" t="inlineStr">
        <is>
          <t>4.6  환경관리계획</t>
        </is>
      </c>
    </row>
    <row r="55" ht="24" customHeight="1">
      <c r="A55" s="27" t="inlineStr">
        <is>
          <t>구   분</t>
        </is>
      </c>
      <c r="B55" s="7" t="n"/>
      <c r="C55" s="7" t="n"/>
      <c r="D55" s="27" t="inlineStr">
        <is>
          <t>내        용</t>
        </is>
      </c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34.5" customHeight="1">
      <c r="A56" s="54" t="inlineStr">
        <is>
          <t>환경관리 지침</t>
        </is>
      </c>
      <c r="B56" s="7" t="n"/>
      <c r="C56" s="7" t="n"/>
      <c r="D56" s="55" t="inlineStr">
        <is>
          <t>폐유 · 폐오일로 인한 수질 · 토양오염 최소화 · 폐콘크리트 및 건설폐기물 발생 저감과 적법 처리 · 비산먼지 발생 최소화</t>
        </is>
      </c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48.75" customHeight="1">
      <c r="A57" s="54" t="inlineStr">
        <is>
          <t>위해 요인</t>
        </is>
      </c>
      <c r="B57" s="7" t="n"/>
      <c r="C57" s="7" t="n"/>
      <c r="D57" s="55" t="inlineStr">
        <is>
          <t>▣ 장비 · 발전기의 폐유 · 폐오일로 인한 수질 · 토양오염 ▣ 덤프트럭 운행 때 비산먼지 ▣ 콘크리트 타설 · 두부 정리 때 폐콘크리트 발생 ▣ 소음으로 인한 민원</t>
        </is>
      </c>
      <c r="E57" s="7" t="n"/>
      <c r="F57" s="7" t="n"/>
      <c r="G57" s="7" t="n"/>
      <c r="H57" s="7" t="n"/>
      <c r="I57" s="7" t="n"/>
      <c r="J57" s="7" t="n"/>
      <c r="K57" s="7" t="n"/>
      <c r="L57" s="7" t="n"/>
    </row>
    <row r="58" ht="48.75" customHeight="1">
      <c r="A58" s="54" t="inlineStr">
        <is>
          <t>대    책</t>
        </is>
      </c>
      <c r="B58" s="7" t="n"/>
      <c r="C58" s="7" t="n"/>
      <c r="D58" s="55" t="inlineStr">
        <is>
          <t>▣ 폐유 처리 업체 선정 및 위탁 처리 ▣ 고압 살수기 · 필요하면 살수차 운행, 세륜기 관리 철저 ▣ 폐기물은 관계 법령에 따라 적법하게 처리 ▣ 저소음 장비 · 발전기 사용 및 방음장치 설치</t>
        </is>
      </c>
      <c r="E58" s="7" t="n"/>
      <c r="F58" s="7" t="n"/>
      <c r="G58" s="7" t="n"/>
      <c r="H58" s="7" t="n"/>
      <c r="I58" s="7" t="n"/>
      <c r="J58" s="7" t="n"/>
      <c r="K58" s="7" t="n"/>
      <c r="L58" s="7" t="n"/>
    </row>
    <row r="59" ht="36" customHeight="1">
      <c r="A59" s="58" t="inlineStr">
        <is>
          <t>4.6.1  비산먼지 및 소음 저감 세부대책 — 고압 살수로 날림먼지 억제 · 필요하면 이동식 방음벽 · 에어 방음벽 설치</t>
        </is>
      </c>
    </row>
    <row r="60" ht="18" customHeight="1">
      <c r="A60" s="24" t="inlineStr">
        <is>
          <t>(살수 · 세륜 · 방음벽 설치 사진을 붙이는 곳)</t>
        </is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 ht="18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 ht="18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 ht="18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 ht="18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 ht="18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 ht="18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 ht="18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 ht="4" customHeight="1"/>
    <row r="69" ht="30" customHeight="1">
      <c r="A69" s="14" t="inlineStr">
        <is>
          <t>5.  품질관리계획</t>
        </is>
      </c>
    </row>
    <row r="70" ht="4" customHeight="1"/>
    <row r="71" ht="24" customHeight="1">
      <c r="A71" s="27" t="inlineStr">
        <is>
          <t>공   정</t>
        </is>
      </c>
      <c r="B71" s="7" t="n"/>
      <c r="C71" s="7" t="n"/>
      <c r="D71" s="27" t="inlineStr">
        <is>
          <t>관  리  항  목</t>
        </is>
      </c>
      <c r="E71" s="7" t="n"/>
      <c r="F71" s="7" t="n"/>
      <c r="G71" s="7" t="n"/>
      <c r="H71" s="7" t="n"/>
      <c r="I71" s="7" t="n"/>
      <c r="J71" s="7" t="n"/>
      <c r="K71" s="7" t="n"/>
      <c r="L71" s="7" t="n"/>
    </row>
    <row r="72" ht="34.5" customHeight="1">
      <c r="A72" s="54" t="inlineStr">
        <is>
          <t>천  공</t>
        </is>
      </c>
      <c r="B72" s="7" t="n"/>
      <c r="C72" s="7" t="n"/>
      <c r="D72" s="55" t="inlineStr">
        <is>
          <t>◦ 수직도를 확인하며 정밀 시공 ◦ 설계 깊이까지 천공 ◦ 슬라임에 의한 오염 방지 ◦ 토사층 공벽 붕괴 방지 ◦ 지상시설 및 지하매설물 손상 주의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</row>
    <row r="73" ht="34" customHeight="1">
      <c r="A73" s="54" t="inlineStr">
        <is>
          <t>철근망 · 보강재</t>
        </is>
      </c>
      <c r="B73" s="7" t="n"/>
      <c r="C73" s="7" t="n"/>
      <c r="D73" s="55" t="inlineStr">
        <is>
          <t>◦ 재질과 규격은 설계도서에 따름</t>
        </is>
      </c>
      <c r="E73" s="7" t="n"/>
      <c r="F73" s="7" t="n"/>
      <c r="G73" s="7" t="n"/>
      <c r="H73" s="7" t="n"/>
      <c r="I73" s="7" t="n"/>
      <c r="J73" s="7" t="n"/>
      <c r="K73" s="7" t="n"/>
      <c r="L73" s="7" t="n"/>
    </row>
    <row r="74" ht="34" customHeight="1">
      <c r="A74" s="54" t="inlineStr">
        <is>
          <t>콘크리트 타설</t>
        </is>
      </c>
      <c r="B74" s="7" t="n"/>
      <c r="C74" s="7" t="n"/>
      <c r="D74" s="68" t="n"/>
      <c r="E74" s="7" t="n"/>
      <c r="F74" s="7" t="n"/>
      <c r="G74" s="7" t="n"/>
      <c r="H74" s="7" t="n"/>
      <c r="I74" s="7" t="n"/>
      <c r="J74" s="7" t="n"/>
      <c r="K74" s="7" t="n"/>
      <c r="L74" s="7" t="n"/>
    </row>
    <row r="76" ht="34" customHeight="1">
      <c r="A76" s="11" t="inlineStr">
        <is>
          <t>노란 칸 = 법정 교육시간(법령이 바뀌면 고쳐 씀). 원본의 예상 문제점은 1건이라 2 · 3번은 빈칸으로 두었습니다.</t>
        </is>
      </c>
    </row>
  </sheetData>
  <mergeCells count="118">
    <mergeCell ref="D13:L13"/>
    <mergeCell ref="A37:L37"/>
    <mergeCell ref="B47:L47"/>
    <mergeCell ref="C21:E21"/>
    <mergeCell ref="A26:C26"/>
    <mergeCell ref="A57:C57"/>
    <mergeCell ref="D72:L72"/>
    <mergeCell ref="A71:C71"/>
    <mergeCell ref="C23:E23"/>
    <mergeCell ref="D56:L56"/>
    <mergeCell ref="D71:L71"/>
    <mergeCell ref="F19:L19"/>
    <mergeCell ref="F6:L6"/>
    <mergeCell ref="D73:L73"/>
    <mergeCell ref="G32:L32"/>
    <mergeCell ref="D42:L42"/>
    <mergeCell ref="C18:E18"/>
    <mergeCell ref="D26:L26"/>
    <mergeCell ref="A17:B17"/>
    <mergeCell ref="A34:C34"/>
    <mergeCell ref="F5:L5"/>
    <mergeCell ref="A22:B22"/>
    <mergeCell ref="F18:L18"/>
    <mergeCell ref="D10:L10"/>
    <mergeCell ref="B49:L49"/>
    <mergeCell ref="F17:L17"/>
    <mergeCell ref="A19:B19"/>
    <mergeCell ref="B51:L51"/>
    <mergeCell ref="C20:E20"/>
    <mergeCell ref="A69:L69"/>
    <mergeCell ref="B50:L50"/>
    <mergeCell ref="D11:L11"/>
    <mergeCell ref="C22:E22"/>
    <mergeCell ref="A55:C55"/>
    <mergeCell ref="A12:C12"/>
    <mergeCell ref="A3:L3"/>
    <mergeCell ref="G34:L34"/>
    <mergeCell ref="A32:C32"/>
    <mergeCell ref="A14:C14"/>
    <mergeCell ref="F4:L4"/>
    <mergeCell ref="A29:C29"/>
    <mergeCell ref="D39:L39"/>
    <mergeCell ref="A38:L38"/>
    <mergeCell ref="A13:C13"/>
    <mergeCell ref="D29:L29"/>
    <mergeCell ref="A31:C31"/>
    <mergeCell ref="F7:L7"/>
    <mergeCell ref="A58:C58"/>
    <mergeCell ref="F21:L21"/>
    <mergeCell ref="G31:L31"/>
    <mergeCell ref="A40:C40"/>
    <mergeCell ref="A73:C73"/>
    <mergeCell ref="A24:L24"/>
    <mergeCell ref="D31:F31"/>
    <mergeCell ref="C16:E16"/>
    <mergeCell ref="A25:C25"/>
    <mergeCell ref="F22:L22"/>
    <mergeCell ref="D27:L27"/>
    <mergeCell ref="D32:F32"/>
    <mergeCell ref="B6:E6"/>
    <mergeCell ref="A42:C42"/>
    <mergeCell ref="G33:L33"/>
    <mergeCell ref="B43:L43"/>
    <mergeCell ref="B52:L52"/>
    <mergeCell ref="D28:L28"/>
    <mergeCell ref="B7:E7"/>
    <mergeCell ref="G35:L35"/>
    <mergeCell ref="D12:L12"/>
    <mergeCell ref="D25:L25"/>
    <mergeCell ref="D33:F33"/>
    <mergeCell ref="A72:C72"/>
    <mergeCell ref="D55:L55"/>
    <mergeCell ref="A28:C28"/>
    <mergeCell ref="A21:B21"/>
    <mergeCell ref="B44:L44"/>
    <mergeCell ref="A60:L67"/>
    <mergeCell ref="D14:L14"/>
    <mergeCell ref="D35:F35"/>
    <mergeCell ref="A23:B23"/>
    <mergeCell ref="D34:F34"/>
    <mergeCell ref="A59:L59"/>
    <mergeCell ref="A15:L15"/>
    <mergeCell ref="A1:F1"/>
    <mergeCell ref="D40:L40"/>
    <mergeCell ref="D36:F36"/>
    <mergeCell ref="A54:L54"/>
    <mergeCell ref="A41:C41"/>
    <mergeCell ref="D57:L57"/>
    <mergeCell ref="A74:C74"/>
    <mergeCell ref="D41:L41"/>
    <mergeCell ref="A27:C27"/>
    <mergeCell ref="A56:C56"/>
    <mergeCell ref="B46:L46"/>
    <mergeCell ref="B5:E5"/>
    <mergeCell ref="A16:B16"/>
    <mergeCell ref="A33:C33"/>
    <mergeCell ref="B4:E4"/>
    <mergeCell ref="A76:L76"/>
    <mergeCell ref="B48:L48"/>
    <mergeCell ref="D58:L58"/>
    <mergeCell ref="C17:E17"/>
    <mergeCell ref="F16:L16"/>
    <mergeCell ref="A18:B18"/>
    <mergeCell ref="A35:C35"/>
    <mergeCell ref="D74:L74"/>
    <mergeCell ref="A10:C10"/>
    <mergeCell ref="G1:L1"/>
    <mergeCell ref="C19:E19"/>
    <mergeCell ref="A9:L9"/>
    <mergeCell ref="F20:L20"/>
    <mergeCell ref="A39:C39"/>
    <mergeCell ref="A30:L30"/>
    <mergeCell ref="A20:B20"/>
    <mergeCell ref="A36:C36"/>
    <mergeCell ref="A11:C11"/>
    <mergeCell ref="G36:L36"/>
    <mergeCell ref="B45:L45"/>
    <mergeCell ref="F23:L23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23" min="0" max="16383" man="1"/>
    <brk id="48" min="0" max="16383" man="1"/>
    <brk id="67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11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4" t="inlineStr">
        <is>
          <t>6.  계측관리계획</t>
        </is>
      </c>
    </row>
    <row r="4" ht="4" customHeight="1"/>
    <row r="5" ht="3" customHeight="1"/>
    <row r="6" ht="22" customHeight="1">
      <c r="A6" s="15" t="inlineStr">
        <is>
          <t>6-1.  개  요</t>
        </is>
      </c>
    </row>
    <row r="7" ht="50" customHeight="1">
      <c r="A7" s="73">
        <f>"    이 계획서는 «"&amp;IF(OR('표지'!E6="",'표지'!E6="(공 사 명)"),"본 공사",'표지'!E6)&amp;"» 흙막이 가시설공사의 계측관리계획서로서, 지반 굴착에 따른 흙막이 구조물과 인접 건물의 거동을 측정하여 예상하지 못한 지반 재해를 막고 안전하게 시공하는 데 목적이 있다."</f>
        <v/>
      </c>
    </row>
    <row r="8" ht="21" customHeight="1">
      <c r="A8" s="58" t="inlineStr">
        <is>
          <t>계측의 목적</t>
        </is>
      </c>
    </row>
    <row r="9" ht="19.725" customHeight="1">
      <c r="A9" s="59" t="inlineStr">
        <is>
          <t>*</t>
        </is>
      </c>
      <c r="B9" s="60" t="inlineStr">
        <is>
          <t>설계 때 지반 정보 부족으로 인한 불확실성을 시공 중에 확인하여 설계 변경 자료로 쓴다.</t>
        </is>
      </c>
    </row>
    <row r="10" ht="19.725" customHeight="1">
      <c r="A10" s="59" t="inlineStr">
        <is>
          <t>*</t>
        </is>
      </c>
      <c r="B10" s="60" t="inlineStr">
        <is>
          <t>굴착이 지반과 구조물에 미치는 영향을 계측하여 안전관리에 쓴다.</t>
        </is>
      </c>
    </row>
    <row r="11" ht="19.725" customHeight="1">
      <c r="A11" s="59" t="inlineStr">
        <is>
          <t>*</t>
        </is>
      </c>
      <c r="B11" s="60" t="inlineStr">
        <is>
          <t>굴착공사로 인한 법적 분쟁이 생기면 증거 자료로 쓴다.</t>
        </is>
      </c>
    </row>
    <row r="12" ht="19.725" customHeight="1">
      <c r="A12" s="59" t="inlineStr">
        <is>
          <t>*</t>
        </is>
      </c>
      <c r="B12" s="60" t="inlineStr">
        <is>
          <t>설계치와 계측치를 비교 · 분석하여 안전관리에 쓰고, 상황에 따라 보완 설계에 반영한다.</t>
        </is>
      </c>
    </row>
    <row r="13" ht="19.725" customHeight="1">
      <c r="A13" s="59" t="inlineStr">
        <is>
          <t>*</t>
        </is>
      </c>
      <c r="B13" s="60" t="inlineStr">
        <is>
          <t>계측 자료를 모아 정리 · 분석 · 축적하여 뒤의 구조물 설계 · 시공 자료로 쓴다.</t>
        </is>
      </c>
    </row>
    <row r="14" ht="3" customHeight="1"/>
    <row r="15" ht="22" customHeight="1">
      <c r="A15" s="15" t="inlineStr">
        <is>
          <t>6-2.  계측과업 수행 운영계획</t>
        </is>
      </c>
    </row>
    <row r="16" ht="24" customHeight="1">
      <c r="A16" s="27" t="inlineStr">
        <is>
          <t>주   체</t>
        </is>
      </c>
      <c r="B16" s="7" t="n"/>
      <c r="C16" s="7" t="n"/>
      <c r="D16" s="27" t="inlineStr">
        <is>
          <t>역        할</t>
        </is>
      </c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6" customHeight="1">
      <c r="A17" s="54" t="inlineStr">
        <is>
          <t>발 주 자</t>
        </is>
      </c>
      <c r="B17" s="7" t="n"/>
      <c r="C17" s="7" t="n"/>
      <c r="D17" s="55" t="inlineStr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6" customHeight="1">
      <c r="A18" s="54" t="inlineStr">
        <is>
          <t>감 리 자</t>
        </is>
      </c>
      <c r="B18" s="7" t="n"/>
      <c r="C18" s="7" t="n"/>
      <c r="D18" s="55" t="inlineStr">
        <is>
          <t>계측 결과 검토 및 분석 · 대책 검토 및 승인</t>
        </is>
      </c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6" customHeight="1">
      <c r="A19" s="54" t="inlineStr">
        <is>
          <t>시 공 사</t>
        </is>
      </c>
      <c r="B19" s="7" t="n"/>
      <c r="C19" s="7" t="n"/>
      <c r="D19" s="55" t="inlineStr">
        <is>
          <t>계측용역 지원(설치 및 측정) · 계기 유지관리 · 계측 결과 보고 · 대책 수립</t>
        </is>
      </c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6" customHeight="1">
      <c r="A20" s="54" t="inlineStr">
        <is>
          <t>계측관리 회사</t>
        </is>
      </c>
      <c r="B20" s="7" t="n"/>
      <c r="C20" s="7" t="n"/>
      <c r="D20" s="5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3" customHeight="1"/>
    <row r="22" ht="22" customHeight="1">
      <c r="A22" s="15" t="inlineStr">
        <is>
          <t>6-3.  계측의 용도 및 설치 위치</t>
        </is>
      </c>
    </row>
    <row r="23" ht="24" customHeight="1">
      <c r="A23" s="27" t="inlineStr">
        <is>
          <t>종   류</t>
        </is>
      </c>
      <c r="B23" s="7" t="n"/>
      <c r="C23" s="27" t="inlineStr">
        <is>
          <t>용        도</t>
        </is>
      </c>
      <c r="D23" s="7" t="n"/>
      <c r="E23" s="7" t="n"/>
      <c r="F23" s="7" t="n"/>
      <c r="G23" s="7" t="n"/>
      <c r="H23" s="7" t="n"/>
      <c r="I23" s="7" t="n"/>
      <c r="J23" s="27" t="inlineStr">
        <is>
          <t>설치 위치</t>
        </is>
      </c>
      <c r="K23" s="7" t="n"/>
      <c r="L23" s="7" t="n"/>
    </row>
    <row r="24" ht="33" customHeight="1">
      <c r="A24" s="72" t="inlineStr">
        <is>
          <t>지중경사계</t>
        </is>
      </c>
      <c r="B24" s="7" t="n"/>
      <c r="C24" s="72" t="inlineStr">
        <is>
          <t>굴토 진행 때 인접 지반의 수평변위량과 방향 · 크기를 실측하여 흙막이 각 지점의 변동 상태 파악</t>
        </is>
      </c>
      <c r="D24" s="7" t="n"/>
      <c r="E24" s="7" t="n"/>
      <c r="F24" s="7" t="n"/>
      <c r="G24" s="7" t="n"/>
      <c r="H24" s="7" t="n"/>
      <c r="I24" s="7" t="n"/>
      <c r="J24" s="72" t="inlineStr">
        <is>
          <t>흙막이 벽 또는 배면 지반</t>
        </is>
      </c>
      <c r="K24" s="7" t="n"/>
      <c r="L24" s="7" t="n"/>
    </row>
    <row r="25" ht="33" customHeight="1">
      <c r="A25" s="72" t="inlineStr">
        <is>
          <t>지하수위계</t>
        </is>
      </c>
      <c r="B25" s="7" t="n"/>
      <c r="C25" s="72" t="inlineStr">
        <is>
          <t>지하수위 변화를 실측하여 계측 자료에 쓰고, 수위 변화 원인 분석 및 대책 수립</t>
        </is>
      </c>
      <c r="D25" s="7" t="n"/>
      <c r="E25" s="7" t="n"/>
      <c r="F25" s="7" t="n"/>
      <c r="G25" s="7" t="n"/>
      <c r="H25" s="7" t="n"/>
      <c r="I25" s="7" t="n"/>
      <c r="J25" s="72" t="inlineStr">
        <is>
          <t>흙막이 벽 배면 · 연약지반</t>
        </is>
      </c>
      <c r="K25" s="7" t="n"/>
      <c r="L25" s="7" t="n"/>
    </row>
    <row r="26" ht="33" customHeight="1">
      <c r="A26" s="72" t="inlineStr">
        <is>
          <t>하중계</t>
        </is>
      </c>
      <c r="B26" s="7" t="n"/>
      <c r="C26" s="72" t="inlineStr">
        <is>
          <t>어스앵커 · 버팀보 등에 걸리는 하중(축력)의 변화를 측정하여 허용치와 비교 · 안정성 판단</t>
        </is>
      </c>
      <c r="D26" s="7" t="n"/>
      <c r="E26" s="7" t="n"/>
      <c r="F26" s="7" t="n"/>
      <c r="G26" s="7" t="n"/>
      <c r="H26" s="7" t="n"/>
      <c r="I26" s="7" t="n"/>
      <c r="J26" s="72" t="inlineStr">
        <is>
          <t>앵커 · 버팀보</t>
        </is>
      </c>
      <c r="K26" s="7" t="n"/>
      <c r="L26" s="7" t="n"/>
    </row>
    <row r="27" ht="33" customHeight="1">
      <c r="A27" s="72" t="inlineStr">
        <is>
          <t>변형률계</t>
        </is>
      </c>
      <c r="B27" s="7" t="n"/>
      <c r="C27" s="72" t="inlineStr">
        <is>
          <t>버팀보에 걸리는 응력의 증감량을 파악하여 안전관리 자료로 사용</t>
        </is>
      </c>
      <c r="D27" s="7" t="n"/>
      <c r="E27" s="7" t="n"/>
      <c r="F27" s="7" t="n"/>
      <c r="G27" s="7" t="n"/>
      <c r="H27" s="7" t="n"/>
      <c r="I27" s="7" t="n"/>
      <c r="J27" s="72" t="inlineStr">
        <is>
          <t>버팀보(Strut)</t>
        </is>
      </c>
      <c r="K27" s="7" t="n"/>
      <c r="L27" s="7" t="n"/>
    </row>
    <row r="28" ht="26" customHeight="1">
      <c r="A28" s="72" t="inlineStr">
        <is>
          <t>건물경사계</t>
        </is>
      </c>
      <c r="B28" s="7" t="n"/>
      <c r="C28" s="72" t="inlineStr">
        <is>
          <t>인접 건물에 설치하여 기울기 측정</t>
        </is>
      </c>
      <c r="D28" s="7" t="n"/>
      <c r="E28" s="7" t="n"/>
      <c r="F28" s="7" t="n"/>
      <c r="G28" s="7" t="n"/>
      <c r="H28" s="7" t="n"/>
      <c r="I28" s="7" t="n"/>
      <c r="J28" s="72" t="inlineStr">
        <is>
          <t>인접 건물</t>
        </is>
      </c>
      <c r="K28" s="7" t="n"/>
      <c r="L28" s="7" t="n"/>
    </row>
    <row r="29" ht="26" customHeight="1">
      <c r="A29" s="72" t="inlineStr">
        <is>
          <t>균열측정계</t>
        </is>
      </c>
      <c r="B29" s="7" t="n"/>
      <c r="C29" s="72" t="inlineStr">
        <is>
          <t>인접 건물 균열 부위에 설치하여 균열 진행 여부 측정</t>
        </is>
      </c>
      <c r="D29" s="7" t="n"/>
      <c r="E29" s="7" t="n"/>
      <c r="F29" s="7" t="n"/>
      <c r="G29" s="7" t="n"/>
      <c r="H29" s="7" t="n"/>
      <c r="I29" s="7" t="n"/>
      <c r="J29" s="72" t="inlineStr">
        <is>
          <t>인접 건물</t>
        </is>
      </c>
      <c r="K29" s="7" t="n"/>
      <c r="L29" s="7" t="n"/>
    </row>
    <row r="30" ht="29.65" customHeight="1">
      <c r="A30" s="70" t="inlineStr">
        <is>
          <t>※ 원본은 하중계 용도를 «지표면 침하량 측정» 으로 적었는데, 이는 지표침하계의 용도라 하중계 본래 용도로 고쳤습니다.</t>
        </is>
      </c>
    </row>
    <row r="31" ht="3" customHeight="1"/>
    <row r="32" ht="22" customHeight="1">
      <c r="A32" s="15" t="inlineStr">
        <is>
          <t>6-4.  계측 수행 기간 및 빈도 · 6-5. 결과 보고</t>
        </is>
      </c>
    </row>
    <row r="33" ht="24" customHeight="1">
      <c r="A33" s="27" t="inlineStr">
        <is>
          <t>계측 항목</t>
        </is>
      </c>
      <c r="B33" s="7" t="n"/>
      <c r="C33" s="7" t="n"/>
      <c r="D33" s="27" t="inlineStr">
        <is>
          <t>측 정 시 기</t>
        </is>
      </c>
      <c r="E33" s="7" t="n"/>
      <c r="F33" s="7" t="n"/>
      <c r="G33" s="7" t="n"/>
      <c r="H33" s="7" t="n"/>
      <c r="I33" s="27" t="inlineStr">
        <is>
          <t>측정 빈도</t>
        </is>
      </c>
      <c r="J33" s="7" t="n"/>
      <c r="K33" s="27" t="inlineStr">
        <is>
          <t>비 고</t>
        </is>
      </c>
      <c r="L33" s="7" t="n"/>
    </row>
    <row r="34" ht="24" customHeight="1">
      <c r="A34" s="72" t="inlineStr">
        <is>
          <t>지중경사계</t>
        </is>
      </c>
      <c r="B34" s="7" t="n"/>
      <c r="C34" s="7" t="n"/>
      <c r="D34" s="72" t="inlineStr">
        <is>
          <t>지하 굴토 전부터 지하층 완료 때까지</t>
        </is>
      </c>
      <c r="E34" s="7" t="n"/>
      <c r="F34" s="7" t="n"/>
      <c r="G34" s="7" t="n"/>
      <c r="H34" s="7" t="n"/>
      <c r="I34" s="74" t="inlineStr">
        <is>
          <t>2회 / 월</t>
        </is>
      </c>
      <c r="J34" s="7" t="n"/>
      <c r="K34" s="72" t="inlineStr">
        <is>
          <t>가시설 계측</t>
        </is>
      </c>
      <c r="L34" s="7" t="n"/>
    </row>
    <row r="35" ht="24" customHeight="1">
      <c r="A35" s="72" t="inlineStr">
        <is>
          <t>지하수위계</t>
        </is>
      </c>
      <c r="B35" s="7" t="n"/>
      <c r="C35" s="7" t="n"/>
      <c r="D35" s="72" t="inlineStr">
        <is>
          <t>지하 굴토 전부터 지하층 완료 때까지</t>
        </is>
      </c>
      <c r="E35" s="7" t="n"/>
      <c r="F35" s="7" t="n"/>
      <c r="G35" s="7" t="n"/>
      <c r="H35" s="7" t="n"/>
      <c r="I35" s="74" t="inlineStr">
        <is>
          <t>2회 / 월</t>
        </is>
      </c>
      <c r="J35" s="7" t="n"/>
      <c r="K35" s="72" t="inlineStr"/>
      <c r="L35" s="7" t="n"/>
    </row>
    <row r="36" ht="24" customHeight="1">
      <c r="A36" s="72" t="inlineStr">
        <is>
          <t>하중계</t>
        </is>
      </c>
      <c r="B36" s="7" t="n"/>
      <c r="C36" s="7" t="n"/>
      <c r="D36" s="72" t="inlineStr">
        <is>
          <t>앵커 인장 때부터 해체 때까지</t>
        </is>
      </c>
      <c r="E36" s="7" t="n"/>
      <c r="F36" s="7" t="n"/>
      <c r="G36" s="7" t="n"/>
      <c r="H36" s="7" t="n"/>
      <c r="I36" s="74" t="inlineStr">
        <is>
          <t>2회 / 월</t>
        </is>
      </c>
      <c r="J36" s="7" t="n"/>
      <c r="K36" s="72" t="inlineStr"/>
      <c r="L36" s="7" t="n"/>
    </row>
    <row r="37" ht="24" customHeight="1">
      <c r="A37" s="72" t="inlineStr">
        <is>
          <t>변형률계</t>
        </is>
      </c>
      <c r="B37" s="7" t="n"/>
      <c r="C37" s="7" t="n"/>
      <c r="D37" s="72" t="inlineStr">
        <is>
          <t>버팀보 설치 뒤부터 해체 때까지</t>
        </is>
      </c>
      <c r="E37" s="7" t="n"/>
      <c r="F37" s="7" t="n"/>
      <c r="G37" s="7" t="n"/>
      <c r="H37" s="7" t="n"/>
      <c r="I37" s="74" t="inlineStr">
        <is>
          <t>2회 / 월</t>
        </is>
      </c>
      <c r="J37" s="7" t="n"/>
      <c r="K37" s="72" t="inlineStr"/>
      <c r="L37" s="7" t="n"/>
    </row>
    <row r="38" ht="24" customHeight="1">
      <c r="A38" s="72" t="inlineStr">
        <is>
          <t>건물경사계</t>
        </is>
      </c>
      <c r="B38" s="7" t="n"/>
      <c r="C38" s="7" t="n"/>
      <c r="D38" s="72" t="inlineStr">
        <is>
          <t>지하 굴토 전부터 지하층 완료 때까지</t>
        </is>
      </c>
      <c r="E38" s="7" t="n"/>
      <c r="F38" s="7" t="n"/>
      <c r="G38" s="7" t="n"/>
      <c r="H38" s="7" t="n"/>
      <c r="I38" s="74" t="inlineStr">
        <is>
          <t>2회 / 월</t>
        </is>
      </c>
      <c r="J38" s="7" t="n"/>
      <c r="K38" s="72" t="inlineStr"/>
      <c r="L38" s="7" t="n"/>
    </row>
    <row r="39" ht="24" customHeight="1">
      <c r="A39" s="72" t="inlineStr">
        <is>
          <t>균열측정계</t>
        </is>
      </c>
      <c r="B39" s="7" t="n"/>
      <c r="C39" s="7" t="n"/>
      <c r="D39" s="72" t="inlineStr">
        <is>
          <t>지하 굴토 전부터 지하층 완료 때까지</t>
        </is>
      </c>
      <c r="E39" s="7" t="n"/>
      <c r="F39" s="7" t="n"/>
      <c r="G39" s="7" t="n"/>
      <c r="H39" s="7" t="n"/>
      <c r="I39" s="74" t="inlineStr">
        <is>
          <t>2회 / 월</t>
        </is>
      </c>
      <c r="J39" s="7" t="n"/>
      <c r="K39" s="72" t="inlineStr"/>
      <c r="L39" s="7" t="n"/>
    </row>
    <row r="40" ht="19.725" customHeight="1">
      <c r="A40" s="59" t="inlineStr">
        <is>
          <t>*</t>
        </is>
      </c>
      <c r="B40" s="60" t="inlineStr">
        <is>
          <t>주간 보고 : 매회 계측 결과의 이상 유무 확인 및 보고</t>
        </is>
      </c>
    </row>
    <row r="41" ht="19.725" customHeight="1">
      <c r="A41" s="59" t="inlineStr">
        <is>
          <t>*</t>
        </is>
      </c>
      <c r="B41" s="60" t="inlineStr">
        <is>
          <t>월간 보고 : 매월 계측 결과를 정리하여 월말 보고서 제출</t>
        </is>
      </c>
    </row>
    <row r="42" ht="34.45" customHeight="1">
      <c r="A42" s="59" t="inlineStr">
        <is>
          <t>*</t>
        </is>
      </c>
      <c r="B42" s="60" t="inlineStr">
        <is>
          <t>수시 보고 : 갑작스러운 변위 증가 · 주변 구조물 균열 등 위험 징후가 보이면 지체 없이 구두 보고(뒤에 서면 보고)</t>
        </is>
      </c>
    </row>
    <row r="43" ht="3" customHeight="1"/>
    <row r="44" ht="22" customHeight="1">
      <c r="A44" s="15" t="inlineStr">
        <is>
          <t>6-6.  당 현장 계측관리 기준치</t>
        </is>
      </c>
    </row>
    <row r="45" ht="24" customHeight="1">
      <c r="A45" s="6" t="inlineStr">
        <is>
          <t>굴착 깊이 H (개요에서)</t>
        </is>
      </c>
      <c r="B45" s="7" t="n"/>
      <c r="C45" s="7" t="n"/>
      <c r="D45" s="7" t="n"/>
      <c r="E45" s="75">
        <f>IF(N('개요'!I23)=0,"",'개요'!I23)</f>
        <v/>
      </c>
      <c r="F45" s="7" t="n"/>
      <c r="G45" s="11" t="inlineStr">
        <is>
          <t>※ 지중경사계 최대 변위 기준은 굴착 깊이 H 에 비례합니다(아래 mm 는 자동).</t>
        </is>
      </c>
    </row>
    <row r="46" ht="24" customHeight="1">
      <c r="A46" s="27" t="inlineStr">
        <is>
          <t>계측 항목</t>
        </is>
      </c>
      <c r="B46" s="7" t="n"/>
      <c r="C46" s="27" t="inlineStr">
        <is>
          <t>구분</t>
        </is>
      </c>
      <c r="D46" s="27" t="inlineStr">
        <is>
          <t>1차 관리기준</t>
        </is>
      </c>
      <c r="E46" s="7" t="n"/>
      <c r="F46" s="7" t="n"/>
      <c r="G46" s="27" t="inlineStr">
        <is>
          <t>2차 관리기준</t>
        </is>
      </c>
      <c r="H46" s="7" t="n"/>
      <c r="I46" s="7" t="n"/>
      <c r="J46" s="27" t="inlineStr">
        <is>
          <t>3차 관리기준</t>
        </is>
      </c>
      <c r="K46" s="7" t="n"/>
      <c r="L46" s="7" t="n"/>
    </row>
    <row r="47" ht="24" customHeight="1">
      <c r="A47" s="43" t="inlineStr">
        <is>
          <t>지중경사계</t>
        </is>
      </c>
      <c r="B47" s="7" t="n"/>
      <c r="C47" s="74" t="inlineStr">
        <is>
          <t>최대</t>
        </is>
      </c>
      <c r="D47" s="76">
        <f>IF(E45="","0.0015H","0.0015H = "&amp;ROUND(0.0015*E45*1000,1)&amp;" mm")</f>
        <v/>
      </c>
      <c r="E47" s="7" t="n"/>
      <c r="F47" s="7" t="n"/>
      <c r="G47" s="76">
        <f>IF(E45="","0.0035H","0.0035H = "&amp;ROUND(0.0035*E45*1000,1)&amp;" mm")</f>
        <v/>
      </c>
      <c r="H47" s="7" t="n"/>
      <c r="I47" s="7" t="n"/>
      <c r="J47" s="76">
        <f>IF(E45="","0.005H","0.005H = "&amp;ROUND(0.005*E45*1000,1)&amp;" mm")</f>
        <v/>
      </c>
      <c r="K47" s="7" t="n"/>
      <c r="L47" s="7" t="n"/>
    </row>
    <row r="48" ht="22" customHeight="1">
      <c r="A48" s="7" t="n"/>
      <c r="B48" s="7" t="n"/>
      <c r="C48" s="77" t="inlineStr">
        <is>
          <t>각변위</t>
        </is>
      </c>
      <c r="D48" s="19" t="inlineStr">
        <is>
          <t>1/667</t>
        </is>
      </c>
      <c r="E48" s="7" t="n"/>
      <c r="F48" s="7" t="n"/>
      <c r="G48" s="19" t="inlineStr">
        <is>
          <t>1/286</t>
        </is>
      </c>
      <c r="H48" s="7" t="n"/>
      <c r="I48" s="7" t="n"/>
      <c r="J48" s="19" t="inlineStr">
        <is>
          <t>1/200</t>
        </is>
      </c>
      <c r="K48" s="7" t="n"/>
      <c r="L48" s="7" t="n"/>
    </row>
    <row r="49" ht="22" customHeight="1">
      <c r="A49" s="7" t="n"/>
      <c r="B49" s="7" t="n"/>
      <c r="C49" s="74" t="inlineStr">
        <is>
          <t>연속</t>
        </is>
      </c>
      <c r="D49" s="19" t="inlineStr">
        <is>
          <t>3.0mm / 3일</t>
        </is>
      </c>
      <c r="E49" s="7" t="n"/>
      <c r="F49" s="7" t="n"/>
      <c r="G49" s="19" t="inlineStr">
        <is>
          <t>5.0mm / 3일</t>
        </is>
      </c>
      <c r="H49" s="7" t="n"/>
      <c r="I49" s="7" t="n"/>
      <c r="J49" s="19" t="inlineStr">
        <is>
          <t>7.0mm / 3일</t>
        </is>
      </c>
      <c r="K49" s="7" t="n"/>
      <c r="L49" s="7" t="n"/>
    </row>
    <row r="50" ht="22" customHeight="1">
      <c r="A50" s="43" t="inlineStr">
        <is>
          <t>지하수위계</t>
        </is>
      </c>
      <c r="B50" s="7" t="n"/>
      <c r="C50" s="74" t="inlineStr">
        <is>
          <t>연속</t>
        </is>
      </c>
      <c r="D50" s="74" t="inlineStr">
        <is>
          <t>1.0m / 3일</t>
        </is>
      </c>
      <c r="E50" s="7" t="n"/>
      <c r="F50" s="7" t="n"/>
      <c r="G50" s="74" t="inlineStr">
        <is>
          <t>2.0m / 3일</t>
        </is>
      </c>
      <c r="H50" s="7" t="n"/>
      <c r="I50" s="7" t="n"/>
      <c r="J50" s="74" t="inlineStr">
        <is>
          <t>3.0m / 3일</t>
        </is>
      </c>
      <c r="K50" s="7" t="n"/>
      <c r="L50" s="7" t="n"/>
    </row>
    <row r="51" ht="22" customHeight="1">
      <c r="A51" s="43" t="inlineStr">
        <is>
          <t>하중계</t>
        </is>
      </c>
      <c r="B51" s="7" t="n"/>
      <c r="C51" s="74" t="inlineStr">
        <is>
          <t>최대</t>
        </is>
      </c>
      <c r="D51" s="74" t="inlineStr">
        <is>
          <t>설계축력의 80%</t>
        </is>
      </c>
      <c r="E51" s="7" t="n"/>
      <c r="F51" s="7" t="n"/>
      <c r="G51" s="74" t="inlineStr">
        <is>
          <t>설계축력의 100%</t>
        </is>
      </c>
      <c r="H51" s="7" t="n"/>
      <c r="I51" s="7" t="n"/>
      <c r="J51" s="74" t="inlineStr">
        <is>
          <t>설계 허용축력</t>
        </is>
      </c>
      <c r="K51" s="7" t="n"/>
      <c r="L51" s="7" t="n"/>
    </row>
    <row r="52" ht="22" customHeight="1">
      <c r="A52" s="43" t="inlineStr"/>
      <c r="B52" s="7" t="n"/>
      <c r="C52" s="74" t="inlineStr">
        <is>
          <t>연속</t>
        </is>
      </c>
      <c r="D52" s="74" t="inlineStr">
        <is>
          <t>±5.0tf / 3일</t>
        </is>
      </c>
      <c r="E52" s="7" t="n"/>
      <c r="F52" s="7" t="n"/>
      <c r="G52" s="74" t="inlineStr">
        <is>
          <t>±5.0 ~ 10.0tf / 3일</t>
        </is>
      </c>
      <c r="H52" s="7" t="n"/>
      <c r="I52" s="7" t="n"/>
      <c r="J52" s="74" t="inlineStr">
        <is>
          <t>±10.0tf 이상 / 3일</t>
        </is>
      </c>
      <c r="K52" s="7" t="n"/>
      <c r="L52" s="7" t="n"/>
    </row>
    <row r="53" ht="22" customHeight="1">
      <c r="A53" s="43" t="inlineStr">
        <is>
          <t>변형률계</t>
        </is>
      </c>
      <c r="B53" s="7" t="n"/>
      <c r="C53" s="74" t="inlineStr">
        <is>
          <t>최대</t>
        </is>
      </c>
      <c r="D53" s="74" t="inlineStr">
        <is>
          <t>설계축력의 80%</t>
        </is>
      </c>
      <c r="E53" s="7" t="n"/>
      <c r="F53" s="7" t="n"/>
      <c r="G53" s="74" t="inlineStr">
        <is>
          <t>설계축력의 100%</t>
        </is>
      </c>
      <c r="H53" s="7" t="n"/>
      <c r="I53" s="7" t="n"/>
      <c r="J53" s="74" t="inlineStr">
        <is>
          <t>설계 허용축력</t>
        </is>
      </c>
      <c r="K53" s="7" t="n"/>
      <c r="L53" s="7" t="n"/>
    </row>
    <row r="54" ht="22" customHeight="1">
      <c r="A54" s="43" t="inlineStr"/>
      <c r="B54" s="7" t="n"/>
      <c r="C54" s="74" t="inlineStr">
        <is>
          <t>연속</t>
        </is>
      </c>
      <c r="D54" s="74" t="inlineStr">
        <is>
          <t>±10.0tf / 3일</t>
        </is>
      </c>
      <c r="E54" s="7" t="n"/>
      <c r="F54" s="7" t="n"/>
      <c r="G54" s="74" t="inlineStr">
        <is>
          <t>±10.0 ~ 20.0tf / 3일</t>
        </is>
      </c>
      <c r="H54" s="7" t="n"/>
      <c r="I54" s="7" t="n"/>
      <c r="J54" s="74" t="inlineStr">
        <is>
          <t>±20.0tf / 3일</t>
        </is>
      </c>
      <c r="K54" s="7" t="n"/>
      <c r="L54" s="7" t="n"/>
    </row>
    <row r="55" ht="22" customHeight="1">
      <c r="A55" s="43" t="inlineStr">
        <is>
          <t>건물경사계</t>
        </is>
      </c>
      <c r="B55" s="7" t="n"/>
      <c r="C55" s="74" t="inlineStr">
        <is>
          <t>최대</t>
        </is>
      </c>
      <c r="D55" s="74" t="inlineStr">
        <is>
          <t>1/750</t>
        </is>
      </c>
      <c r="E55" s="7" t="n"/>
      <c r="F55" s="7" t="n"/>
      <c r="G55" s="74" t="inlineStr">
        <is>
          <t>1/500</t>
        </is>
      </c>
      <c r="H55" s="7" t="n"/>
      <c r="I55" s="7" t="n"/>
      <c r="J55" s="74" t="inlineStr">
        <is>
          <t>1/300</t>
        </is>
      </c>
      <c r="K55" s="7" t="n"/>
      <c r="L55" s="7" t="n"/>
    </row>
    <row r="56" ht="22" customHeight="1">
      <c r="A56" s="43" t="inlineStr">
        <is>
          <t>균열측정계</t>
        </is>
      </c>
      <c r="B56" s="7" t="n"/>
      <c r="C56" s="74" t="inlineStr">
        <is>
          <t>최대</t>
        </is>
      </c>
      <c r="D56" s="74" t="inlineStr">
        <is>
          <t>허용 균열폭 : 옥내 0.4mm · 옥외 0.33mm</t>
        </is>
      </c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21" customHeight="1">
      <c r="A57" s="58" t="inlineStr">
        <is>
          <t>◈ 지중경사계 측정값 판정 (최대 수평변위)</t>
        </is>
      </c>
    </row>
    <row r="58" ht="24" customHeight="1">
      <c r="A58" s="27" t="inlineStr">
        <is>
          <t>측정일</t>
        </is>
      </c>
      <c r="B58" s="7" t="n"/>
      <c r="C58" s="7" t="n"/>
      <c r="D58" s="27" t="inlineStr">
        <is>
          <t>위치(번호)</t>
        </is>
      </c>
      <c r="E58" s="7" t="n"/>
      <c r="F58" s="7" t="n"/>
      <c r="G58" s="27" t="inlineStr">
        <is>
          <t>최대 변위 (mm)</t>
        </is>
      </c>
      <c r="H58" s="7" t="n"/>
      <c r="I58" s="27" t="inlineStr">
        <is>
          <t>판    정</t>
        </is>
      </c>
      <c r="J58" s="7" t="n"/>
      <c r="K58" s="7" t="n"/>
      <c r="L58" s="7" t="n"/>
    </row>
    <row r="59" ht="24" customHeight="1">
      <c r="A59" s="18" t="n"/>
      <c r="B59" s="7" t="n"/>
      <c r="C59" s="7" t="n"/>
      <c r="D59" s="8" t="n"/>
      <c r="E59" s="7" t="n"/>
      <c r="F59" s="7" t="n"/>
      <c r="G59" s="78" t="n"/>
      <c r="H59" s="7" t="n"/>
      <c r="I59" s="79">
        <f>IF(OR(N(G59)=0,E45=""),"",IF(G59&gt;=0.005*E45*1000,"3차 관리기준 초과",IF(G59&gt;=0.0035*E45*1000,"2차 관리기준 초과",IF(G59&gt;=0.0015*E45*1000,"1차 관리기준 초과","관리기준 이내"))))</f>
        <v/>
      </c>
      <c r="J59" s="7" t="n"/>
      <c r="K59" s="7" t="n"/>
      <c r="L59" s="7" t="n"/>
    </row>
    <row r="60" ht="24" customHeight="1">
      <c r="A60" s="18" t="n"/>
      <c r="B60" s="7" t="n"/>
      <c r="C60" s="7" t="n"/>
      <c r="D60" s="8" t="n"/>
      <c r="E60" s="7" t="n"/>
      <c r="F60" s="7" t="n"/>
      <c r="G60" s="78" t="n"/>
      <c r="H60" s="7" t="n"/>
      <c r="I60" s="79">
        <f>IF(OR(N(G60)=0,E45=""),"",IF(G60&gt;=0.005*E45*1000,"3차 관리기준 초과",IF(G60&gt;=0.0035*E45*1000,"2차 관리기준 초과",IF(G60&gt;=0.0015*E45*1000,"1차 관리기준 초과","관리기준 이내"))))</f>
        <v/>
      </c>
      <c r="J60" s="7" t="n"/>
      <c r="K60" s="7" t="n"/>
      <c r="L60" s="7" t="n"/>
    </row>
    <row r="61" ht="24" customHeight="1">
      <c r="A61" s="18" t="n"/>
      <c r="B61" s="7" t="n"/>
      <c r="C61" s="7" t="n"/>
      <c r="D61" s="8" t="n"/>
      <c r="E61" s="7" t="n"/>
      <c r="F61" s="7" t="n"/>
      <c r="G61" s="78" t="n"/>
      <c r="H61" s="7" t="n"/>
      <c r="I61" s="79">
        <f>IF(OR(N(G61)=0,E45=""),"",IF(G61&gt;=0.005*E45*1000,"3차 관리기준 초과",IF(G61&gt;=0.0035*E45*1000,"2차 관리기준 초과",IF(G61&gt;=0.0015*E45*1000,"1차 관리기준 초과","관리기준 이내"))))</f>
        <v/>
      </c>
      <c r="J61" s="7" t="n"/>
      <c r="K61" s="7" t="n"/>
      <c r="L61" s="7" t="n"/>
    </row>
    <row r="62" ht="17.325" customHeight="1">
      <c r="A62" s="70" t="inlineStr">
        <is>
          <t>※ 관리기준을 넘으면 계측관리계획 · 감리원 지시에 따라 계측 빈도를 늘리거나 대책을 세웁니다.</t>
        </is>
      </c>
    </row>
    <row r="63" ht="3" customHeight="1"/>
    <row r="64" ht="22" customHeight="1">
      <c r="A64" s="15" t="inlineStr">
        <is>
          <t>6-7.  계측 항목 및 수량</t>
        </is>
      </c>
    </row>
    <row r="65" ht="24" customHeight="1">
      <c r="A65" s="27" t="inlineStr">
        <is>
          <t>항    목</t>
        </is>
      </c>
      <c r="B65" s="7" t="n"/>
      <c r="C65" s="7" t="n"/>
      <c r="D65" s="7" t="n"/>
      <c r="E65" s="27" t="inlineStr">
        <is>
          <t>수  량 (개소)</t>
        </is>
      </c>
      <c r="F65" s="7" t="n"/>
      <c r="G65" s="7" t="n"/>
      <c r="H65" s="27" t="inlineStr">
        <is>
          <t>비    고</t>
        </is>
      </c>
      <c r="I65" s="7" t="n"/>
      <c r="J65" s="7" t="n"/>
      <c r="K65" s="7" t="n"/>
      <c r="L65" s="7" t="n"/>
    </row>
    <row r="66" ht="23" customHeight="1">
      <c r="A66" s="8" t="inlineStr">
        <is>
          <t>지중경사계</t>
        </is>
      </c>
      <c r="B66" s="7" t="n"/>
      <c r="C66" s="7" t="n"/>
      <c r="D66" s="7" t="n"/>
      <c r="E66" s="46" t="n"/>
      <c r="F66" s="7" t="n"/>
      <c r="G66" s="7" t="n"/>
      <c r="H66" s="57" t="n"/>
      <c r="I66" s="7" t="n"/>
      <c r="J66" s="7" t="n"/>
      <c r="K66" s="7" t="n"/>
      <c r="L66" s="7" t="n"/>
    </row>
    <row r="67" ht="23" customHeight="1">
      <c r="A67" s="8" t="inlineStr">
        <is>
          <t>지하수위계</t>
        </is>
      </c>
      <c r="B67" s="7" t="n"/>
      <c r="C67" s="7" t="n"/>
      <c r="D67" s="7" t="n"/>
      <c r="E67" s="46" t="n"/>
      <c r="F67" s="7" t="n"/>
      <c r="G67" s="7" t="n"/>
      <c r="H67" s="57" t="n"/>
      <c r="I67" s="7" t="n"/>
      <c r="J67" s="7" t="n"/>
      <c r="K67" s="7" t="n"/>
      <c r="L67" s="7" t="n"/>
    </row>
    <row r="68" ht="23" customHeight="1">
      <c r="A68" s="8" t="inlineStr">
        <is>
          <t>변형률계</t>
        </is>
      </c>
      <c r="B68" s="7" t="n"/>
      <c r="C68" s="7" t="n"/>
      <c r="D68" s="7" t="n"/>
      <c r="E68" s="46" t="n"/>
      <c r="F68" s="7" t="n"/>
      <c r="G68" s="7" t="n"/>
      <c r="H68" s="57" t="n"/>
      <c r="I68" s="7" t="n"/>
      <c r="J68" s="7" t="n"/>
      <c r="K68" s="7" t="n"/>
      <c r="L68" s="7" t="n"/>
    </row>
    <row r="69" ht="23" customHeight="1">
      <c r="A69" s="8" t="inlineStr">
        <is>
          <t>건물경사계</t>
        </is>
      </c>
      <c r="B69" s="7" t="n"/>
      <c r="C69" s="7" t="n"/>
      <c r="D69" s="7" t="n"/>
      <c r="E69" s="46" t="n"/>
      <c r="F69" s="7" t="n"/>
      <c r="G69" s="7" t="n"/>
      <c r="H69" s="57" t="n"/>
      <c r="I69" s="7" t="n"/>
      <c r="J69" s="7" t="n"/>
      <c r="K69" s="7" t="n"/>
      <c r="L69" s="7" t="n"/>
    </row>
    <row r="70" ht="23" customHeight="1">
      <c r="A70" s="8" t="inlineStr">
        <is>
          <t>균열측정계</t>
        </is>
      </c>
      <c r="B70" s="7" t="n"/>
      <c r="C70" s="7" t="n"/>
      <c r="D70" s="7" t="n"/>
      <c r="E70" s="46" t="n"/>
      <c r="F70" s="7" t="n"/>
      <c r="G70" s="7" t="n"/>
      <c r="H70" s="57" t="n"/>
      <c r="I70" s="7" t="n"/>
      <c r="J70" s="7" t="n"/>
      <c r="K70" s="7" t="n"/>
      <c r="L70" s="7" t="n"/>
    </row>
    <row r="71" ht="23" customHeight="1">
      <c r="A71" s="8" t="n"/>
      <c r="B71" s="7" t="n"/>
      <c r="C71" s="7" t="n"/>
      <c r="D71" s="7" t="n"/>
      <c r="E71" s="46" t="n"/>
      <c r="F71" s="7" t="n"/>
      <c r="G71" s="7" t="n"/>
      <c r="H71" s="57" t="n"/>
      <c r="I71" s="7" t="n"/>
      <c r="J71" s="7" t="n"/>
      <c r="K71" s="7" t="n"/>
      <c r="L71" s="7" t="n"/>
    </row>
    <row r="72" ht="24" customHeight="1">
      <c r="A72" s="39" t="inlineStr">
        <is>
          <t>합    계</t>
        </is>
      </c>
      <c r="B72" s="7" t="n"/>
      <c r="C72" s="7" t="n"/>
      <c r="D72" s="7" t="n"/>
      <c r="E72" s="80">
        <f>IF(SUM(E66:E71)=0,"",SUM(E66:E71))</f>
        <v/>
      </c>
      <c r="F72" s="7" t="n"/>
      <c r="G72" s="7" t="n"/>
      <c r="H72" s="39" t="inlineStr"/>
      <c r="I72" s="7" t="n"/>
      <c r="J72" s="7" t="n"/>
      <c r="K72" s="7" t="n"/>
      <c r="L72" s="7" t="n"/>
    </row>
    <row r="73" ht="3" customHeight="1"/>
    <row r="74" ht="22" customHeight="1">
      <c r="A74" s="15" t="inlineStr">
        <is>
          <t>6-8.  계측기 설치방법 및 사양</t>
        </is>
      </c>
    </row>
    <row r="75" ht="21" customHeight="1">
      <c r="A75" s="58" t="inlineStr">
        <is>
          <t>6-8-1. 지중경사계 — 설치방법</t>
        </is>
      </c>
    </row>
    <row r="76" ht="19.725" customHeight="1">
      <c r="A76" s="59" t="inlineStr">
        <is>
          <t>①</t>
        </is>
      </c>
      <c r="B76" s="60" t="inlineStr">
        <is>
          <t>계획 심도까지 천공한다(구멍 지름 100 ~ 200mm 정도).</t>
        </is>
      </c>
    </row>
    <row r="77" ht="19.725" customHeight="1">
      <c r="A77" s="59" t="inlineStr">
        <is>
          <t>②</t>
        </is>
      </c>
      <c r="B77" s="60" t="inlineStr">
        <is>
          <t>경사계 케이싱 한쪽 끝에 엔드캡을 씌우고 리벳으로 고정한다.</t>
        </is>
      </c>
    </row>
    <row r="78" ht="19.725" customHeight="1">
      <c r="A78" s="59" t="inlineStr">
        <is>
          <t>③</t>
        </is>
      </c>
      <c r="B78" s="60" t="inlineStr">
        <is>
          <t>케이싱과 커플링을 미리 리벳으로 조합하고 실링 처리를 한다.</t>
        </is>
      </c>
    </row>
    <row r="79" ht="19.725" customHeight="1">
      <c r="A79" s="59" t="inlineStr">
        <is>
          <t>④</t>
        </is>
      </c>
      <c r="B79" s="60" t="inlineStr">
        <is>
          <t>조립된 케이싱을 차례로 구멍에 넣고 측정 방향과 키웨이(홈) 방향을 맞춘다.</t>
        </is>
      </c>
    </row>
    <row r="80" ht="19.725" customHeight="1">
      <c r="A80" s="59" t="inlineStr">
        <is>
          <t>⑤</t>
        </is>
      </c>
      <c r="B80" s="60" t="inlineStr">
        <is>
          <t>그라우트 펌프와 트레미관으로 구멍 안을 그라우팅한다.</t>
        </is>
      </c>
    </row>
    <row r="81" ht="19.725" customHeight="1">
      <c r="A81" s="59" t="inlineStr">
        <is>
          <t>⑥</t>
        </is>
      </c>
      <c r="B81" s="60" t="inlineStr">
        <is>
          <t>그라우트가 굳은 뒤 가라앉은 부위를 다시 채운다.</t>
        </is>
      </c>
    </row>
    <row r="82" ht="19.725" customHeight="1">
      <c r="A82" s="59" t="inlineStr">
        <is>
          <t>⑦</t>
        </is>
      </c>
      <c r="B82" s="60" t="inlineStr">
        <is>
          <t>케이싱 끝을 보호 커버로 덮고 보호막을 만든다.</t>
        </is>
      </c>
    </row>
    <row r="83" ht="33.90000000000001" customHeight="1">
      <c r="A83" s="81" t="inlineStr">
        <is>
          <t>사양(예) : 케이싱 ABS 3m · 커플링 ABS 300mm · 서보 가속도계 센서(정밀도 ±0.02mm/500mm · 휠 간격 500mm · 2축) · 방수 케이블 50m(500mm 간격 표시) · 2축 지시계</t>
        </is>
      </c>
    </row>
    <row r="84" ht="36" customHeight="1">
      <c r="A84" s="58" t="inlineStr">
        <is>
          <t>6-8-2. 지하수위계 — 목적 : 설계 수위와 비교하여 하중 증가 요인 점검 · 터파기로 인한 수위 변동과 인접 구조물 영향 점검</t>
        </is>
      </c>
    </row>
    <row r="85" ht="19.725" customHeight="1">
      <c r="A85" s="59" t="inlineStr">
        <is>
          <t>①</t>
        </is>
      </c>
      <c r="B85" s="60" t="inlineStr">
        <is>
          <t>계획 심도까지 천공한다(구멍 지름 100 또는 200mm 정도).</t>
        </is>
      </c>
    </row>
    <row r="86" ht="19.725" customHeight="1">
      <c r="A86" s="59" t="inlineStr">
        <is>
          <t>②</t>
        </is>
      </c>
      <c r="B86" s="60" t="inlineStr">
        <is>
          <t>카사그란데 팁과 PVC 관을 연결한다.</t>
        </is>
      </c>
    </row>
    <row r="87" ht="19.725" customHeight="1">
      <c r="A87" s="59" t="inlineStr">
        <is>
          <t>③</t>
        </is>
      </c>
      <c r="B87" s="60" t="inlineStr">
        <is>
          <t>커플링으로 PVC 관을 지표까지 이어 설치한다.</t>
        </is>
      </c>
    </row>
    <row r="88" ht="19.725" customHeight="1">
      <c r="A88" s="59" t="inlineStr">
        <is>
          <t>④</t>
        </is>
      </c>
      <c r="B88" s="60" t="inlineStr">
        <is>
          <t>팁 위 300mm 까지 모래를 채우고 벤토나이트 차수층을 만든다.</t>
        </is>
      </c>
    </row>
    <row r="89" ht="19.725" customHeight="1">
      <c r="A89" s="59" t="inlineStr">
        <is>
          <t>⑤</t>
        </is>
      </c>
      <c r="B89" s="60" t="inlineStr">
        <is>
          <t>그라우팅 및 보호 커버 작업을 한다.</t>
        </is>
      </c>
    </row>
    <row r="90" ht="21" customHeight="1">
      <c r="A90" s="58" t="inlineStr">
        <is>
          <t>6-8-3. 변형률계 — 목적 : 버팀보에 붙여 굴착 진행 · 정지 중 버팀보 응력의 증감을 파악</t>
        </is>
      </c>
    </row>
    <row r="91" ht="19.725" customHeight="1">
      <c r="A91" s="59" t="inlineStr">
        <is>
          <t>①</t>
        </is>
      </c>
      <c r="B91" s="60" t="inlineStr">
        <is>
          <t>설치 위치의 녹과 이물질을 없앤다.</t>
        </is>
      </c>
    </row>
    <row r="92" ht="19.725" customHeight="1">
      <c r="A92" s="59" t="inlineStr">
        <is>
          <t>②</t>
        </is>
      </c>
      <c r="B92" s="60" t="inlineStr">
        <is>
          <t>변형률계 양쪽 블록을 아크 용접한다.</t>
        </is>
      </c>
    </row>
    <row r="93" ht="19.725" customHeight="1">
      <c r="A93" s="59" t="inlineStr">
        <is>
          <t>③</t>
        </is>
      </c>
      <c r="B93" s="60" t="inlineStr">
        <is>
          <t>조인트 실링 키트로 측정 위치까지 케이블을 잇는다.</t>
        </is>
      </c>
    </row>
    <row r="94" ht="19.725" customHeight="1">
      <c r="A94" s="59" t="inlineStr">
        <is>
          <t>④</t>
        </is>
      </c>
      <c r="B94" s="60" t="inlineStr">
        <is>
          <t>초기치를 측정한다.</t>
        </is>
      </c>
    </row>
    <row r="95" ht="33.90000000000001" customHeight="1">
      <c r="A95" s="81" t="inlineStr">
        <is>
          <t>사양(예) : 진동현식 센서(측정 범위 3,000 × 10⁻⁶ · 정밀도 1 × 10⁻⁶ · 사용 온도 −20 ~ 80℃) · 4심 차폐 케이블 · 진동현식 판독기</t>
        </is>
      </c>
    </row>
    <row r="96" ht="21" customHeight="1">
      <c r="A96" s="58" t="inlineStr">
        <is>
          <t>6-8-4. 건물경사계(Tilt Meter) — 휴대형 디지털 기울기 측정기(온도 센서 내장)</t>
        </is>
      </c>
    </row>
    <row r="97" ht="19.725" customHeight="1">
      <c r="A97" s="59" t="inlineStr">
        <is>
          <t>①</t>
        </is>
      </c>
      <c r="B97" s="60" t="inlineStr">
        <is>
          <t>건물 벽면에 틸트 플레이트를 붙인다.</t>
        </is>
      </c>
    </row>
    <row r="98" ht="19.725" customHeight="1">
      <c r="A98" s="59" t="inlineStr">
        <is>
          <t>②</t>
        </is>
      </c>
      <c r="B98" s="60" t="inlineStr">
        <is>
          <t>틸트 플레이트에 측정 센서를 대어 값을 읽는다.</t>
        </is>
      </c>
    </row>
    <row r="99" ht="19.725" customHeight="1">
      <c r="A99" s="59" t="inlineStr">
        <is>
          <t>③</t>
        </is>
      </c>
      <c r="B99" s="60" t="inlineStr">
        <is>
          <t>지시계로 값을 확인한다.</t>
        </is>
      </c>
    </row>
    <row r="100" ht="19.725" customHeight="1">
      <c r="A100" s="59" t="inlineStr">
        <is>
          <t>④</t>
        </is>
      </c>
      <c r="B100" s="60" t="inlineStr">
        <is>
          <t>굴착면 쪽으로 기울기가 가장 크게 나타나므로 굴착면에 가장 가까운 벽면에 설치한다.</t>
        </is>
      </c>
    </row>
    <row r="101" ht="3" customHeight="1"/>
    <row r="102" ht="22" customHeight="1">
      <c r="A102" s="15" t="inlineStr">
        <is>
          <t>6-9.  계측기 설치 계획도</t>
        </is>
      </c>
    </row>
    <row r="103" ht="20" customHeight="1">
      <c r="A103" s="24" t="inlineStr">
        <is>
          <t>(계측기 설치 계획도를 붙이는 곳 — 지중경사계 · 지하수위계 · 변형률계 · 건물경사계 · 균열측정계 위치)</t>
        </is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 ht="20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 ht="20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 ht="20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 ht="20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 ht="20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 ht="20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 ht="20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 ht="20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 ht="20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 ht="20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 ht="20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 ht="20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 ht="20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8" ht="19.5" customHeight="1">
      <c r="A118" s="11" t="inlineStr">
        <is>
          <t>하늘색 칸 = 자동(개요 글 · 굴착 깊이 · 관리기준 mm · 판정 · 계측기 합계).</t>
        </is>
      </c>
    </row>
  </sheetData>
  <mergeCells count="194">
    <mergeCell ref="D35:H35"/>
    <mergeCell ref="A103:L116"/>
    <mergeCell ref="B91:L91"/>
    <mergeCell ref="A37:C37"/>
    <mergeCell ref="B100:L100"/>
    <mergeCell ref="A51:B51"/>
    <mergeCell ref="J27:L27"/>
    <mergeCell ref="K33:L33"/>
    <mergeCell ref="A72:D72"/>
    <mergeCell ref="D53:F53"/>
    <mergeCell ref="B93:L93"/>
    <mergeCell ref="D47:F47"/>
    <mergeCell ref="A57:L57"/>
    <mergeCell ref="J25:L25"/>
    <mergeCell ref="C28:I28"/>
    <mergeCell ref="K35:L35"/>
    <mergeCell ref="B12:L12"/>
    <mergeCell ref="A54:B54"/>
    <mergeCell ref="H68:L68"/>
    <mergeCell ref="B86:L86"/>
    <mergeCell ref="D56:L56"/>
    <mergeCell ref="J50:L50"/>
    <mergeCell ref="A27:B27"/>
    <mergeCell ref="A56:B56"/>
    <mergeCell ref="J46:L46"/>
    <mergeCell ref="A70:D70"/>
    <mergeCell ref="B13:L13"/>
    <mergeCell ref="G50:I50"/>
    <mergeCell ref="H69:L69"/>
    <mergeCell ref="B78:L78"/>
    <mergeCell ref="J52:L52"/>
    <mergeCell ref="B87:L87"/>
    <mergeCell ref="G58:H58"/>
    <mergeCell ref="D37:H37"/>
    <mergeCell ref="H66:L66"/>
    <mergeCell ref="A102:L102"/>
    <mergeCell ref="J48:L48"/>
    <mergeCell ref="A34:C34"/>
    <mergeCell ref="G52:I52"/>
    <mergeCell ref="B40:L40"/>
    <mergeCell ref="A53:B53"/>
    <mergeCell ref="A83:L83"/>
    <mergeCell ref="J29:L29"/>
    <mergeCell ref="D39:H39"/>
    <mergeCell ref="D19:L19"/>
    <mergeCell ref="I58:L58"/>
    <mergeCell ref="A28:B28"/>
    <mergeCell ref="A6:L6"/>
    <mergeCell ref="K37:L37"/>
    <mergeCell ref="D38:H38"/>
    <mergeCell ref="B41:L41"/>
    <mergeCell ref="G59:H59"/>
    <mergeCell ref="C23:I23"/>
    <mergeCell ref="J24:L24"/>
    <mergeCell ref="E69:G69"/>
    <mergeCell ref="A75:L75"/>
    <mergeCell ref="G61:H61"/>
    <mergeCell ref="J26:L26"/>
    <mergeCell ref="A3:L3"/>
    <mergeCell ref="A95:L95"/>
    <mergeCell ref="B77:L77"/>
    <mergeCell ref="B11:L11"/>
    <mergeCell ref="A32:L32"/>
    <mergeCell ref="A46:B46"/>
    <mergeCell ref="G45:L45"/>
    <mergeCell ref="G55:I55"/>
    <mergeCell ref="E70:G70"/>
    <mergeCell ref="G51:I51"/>
    <mergeCell ref="A38:C38"/>
    <mergeCell ref="D55:F55"/>
    <mergeCell ref="A96:L96"/>
    <mergeCell ref="A26:B26"/>
    <mergeCell ref="G54:I54"/>
    <mergeCell ref="I61:L61"/>
    <mergeCell ref="E72:G72"/>
    <mergeCell ref="A58:C58"/>
    <mergeCell ref="I33:J33"/>
    <mergeCell ref="D54:F54"/>
    <mergeCell ref="C29:I29"/>
    <mergeCell ref="D60:F60"/>
    <mergeCell ref="E71:G71"/>
    <mergeCell ref="A60:C60"/>
    <mergeCell ref="I35:J35"/>
    <mergeCell ref="A52:B52"/>
    <mergeCell ref="J28:L28"/>
    <mergeCell ref="D46:F46"/>
    <mergeCell ref="B80:L80"/>
    <mergeCell ref="B89:L89"/>
    <mergeCell ref="A71:D71"/>
    <mergeCell ref="G60:H60"/>
    <mergeCell ref="A16:C16"/>
    <mergeCell ref="B79:L79"/>
    <mergeCell ref="J53:L53"/>
    <mergeCell ref="B97:L97"/>
    <mergeCell ref="H67:L67"/>
    <mergeCell ref="G53:I53"/>
    <mergeCell ref="A84:L84"/>
    <mergeCell ref="E65:G65"/>
    <mergeCell ref="A18:C18"/>
    <mergeCell ref="B81:L81"/>
    <mergeCell ref="J55:L55"/>
    <mergeCell ref="D17:L17"/>
    <mergeCell ref="A118:L118"/>
    <mergeCell ref="A68:D68"/>
    <mergeCell ref="I59:L59"/>
    <mergeCell ref="J54:L54"/>
    <mergeCell ref="I60:L60"/>
    <mergeCell ref="D58:F58"/>
    <mergeCell ref="A22:L22"/>
    <mergeCell ref="C24:I24"/>
    <mergeCell ref="I37:J37"/>
    <mergeCell ref="B42:L42"/>
    <mergeCell ref="J47:L47"/>
    <mergeCell ref="A20:C20"/>
    <mergeCell ref="A55:B55"/>
    <mergeCell ref="D51:F51"/>
    <mergeCell ref="A45:D45"/>
    <mergeCell ref="G47:I47"/>
    <mergeCell ref="H70:L70"/>
    <mergeCell ref="C26:I26"/>
    <mergeCell ref="A69:D69"/>
    <mergeCell ref="G46:I46"/>
    <mergeCell ref="D50:F50"/>
    <mergeCell ref="A44:L44"/>
    <mergeCell ref="A65:D65"/>
    <mergeCell ref="D59:F59"/>
    <mergeCell ref="B99:L99"/>
    <mergeCell ref="A23:B23"/>
    <mergeCell ref="A59:C59"/>
    <mergeCell ref="C25:I25"/>
    <mergeCell ref="H65:L65"/>
    <mergeCell ref="B9:L9"/>
    <mergeCell ref="A15:L15"/>
    <mergeCell ref="A64:L64"/>
    <mergeCell ref="B92:L92"/>
    <mergeCell ref="A1:F1"/>
    <mergeCell ref="A61:C61"/>
    <mergeCell ref="B85:L85"/>
    <mergeCell ref="B94:L94"/>
    <mergeCell ref="I34:J34"/>
    <mergeCell ref="A24:B24"/>
    <mergeCell ref="A7:L7"/>
    <mergeCell ref="K34:L34"/>
    <mergeCell ref="J49:L49"/>
    <mergeCell ref="D34:H34"/>
    <mergeCell ref="A90:L90"/>
    <mergeCell ref="D61:F61"/>
    <mergeCell ref="D48:F48"/>
    <mergeCell ref="G49:I49"/>
    <mergeCell ref="A74:L74"/>
    <mergeCell ref="I36:J36"/>
    <mergeCell ref="K36:L36"/>
    <mergeCell ref="D36:H36"/>
    <mergeCell ref="D16:L16"/>
    <mergeCell ref="A33:C33"/>
    <mergeCell ref="A67:D67"/>
    <mergeCell ref="A25:B25"/>
    <mergeCell ref="A17:C17"/>
    <mergeCell ref="A8:L8"/>
    <mergeCell ref="D18:L18"/>
    <mergeCell ref="A35:C35"/>
    <mergeCell ref="B98:L98"/>
    <mergeCell ref="A50:B50"/>
    <mergeCell ref="A62:L62"/>
    <mergeCell ref="G1:L1"/>
    <mergeCell ref="J51:L51"/>
    <mergeCell ref="A19:C19"/>
    <mergeCell ref="B88:L88"/>
    <mergeCell ref="E66:G66"/>
    <mergeCell ref="B82:L82"/>
    <mergeCell ref="J23:L23"/>
    <mergeCell ref="E45:F45"/>
    <mergeCell ref="H72:L72"/>
    <mergeCell ref="B10:L10"/>
    <mergeCell ref="A39:C39"/>
    <mergeCell ref="I39:J39"/>
    <mergeCell ref="K39:L39"/>
    <mergeCell ref="D20:L20"/>
    <mergeCell ref="E68:G68"/>
    <mergeCell ref="A66:D66"/>
    <mergeCell ref="A30:L30"/>
    <mergeCell ref="A36:C36"/>
    <mergeCell ref="A47:B49"/>
    <mergeCell ref="A29:B29"/>
    <mergeCell ref="I38:J38"/>
    <mergeCell ref="E67:G67"/>
    <mergeCell ref="K38:L38"/>
    <mergeCell ref="D33:H33"/>
    <mergeCell ref="H71:L71"/>
    <mergeCell ref="G48:I48"/>
    <mergeCell ref="D52:F52"/>
    <mergeCell ref="B76:L76"/>
    <mergeCell ref="C27:I27"/>
    <mergeCell ref="D49:F49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30" min="0" max="16383" man="1"/>
    <brk id="62" min="0" max="16383" man="1"/>
    <brk id="95" min="0" max="16383" man="1"/>
  </rowBreaks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82" t="inlineStr">
        <is>
          <t xml:space="preserve">작성 예시 (가상의 현장)  </t>
        </is>
      </c>
    </row>
    <row r="2" ht="130" customHeight="1"/>
    <row r="3" ht="56" customHeight="1">
      <c r="A3" s="3" t="inlineStr">
        <is>
          <t>토공 및 흙막이가시설공사</t>
        </is>
      </c>
    </row>
    <row r="4" ht="64" customHeight="1">
      <c r="A4" s="4" t="inlineStr">
        <is>
          <t>시  공  계  획</t>
        </is>
      </c>
    </row>
    <row r="5" ht="60" customHeight="1"/>
    <row r="6" ht="30" customHeight="1">
      <c r="A6" s="5" t="inlineStr"/>
      <c r="C6" s="6" t="inlineStr">
        <is>
          <t>공 사 명</t>
        </is>
      </c>
      <c r="D6" s="7" t="n"/>
      <c r="E6" s="8" t="inlineStr">
        <is>
          <t>가나지구 기숙사 신축공사</t>
        </is>
      </c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작성 연월</t>
        </is>
      </c>
      <c r="D7" s="7" t="n"/>
      <c r="E7" s="9" t="n">
        <v>46054</v>
      </c>
      <c r="F7" s="7" t="n"/>
      <c r="G7" s="7" t="n"/>
      <c r="H7" s="7" t="n"/>
      <c r="I7" s="7" t="n"/>
      <c r="J7" s="7" t="n"/>
      <c r="K7" s="5" t="inlineStr"/>
    </row>
    <row r="8" ht="180" customHeight="1"/>
    <row r="9" ht="44" customHeight="1">
      <c r="A9" s="10" t="inlineStr">
        <is>
          <t>예시건설(주)</t>
        </is>
      </c>
    </row>
    <row r="11" ht="19.5" customHeight="1">
      <c r="A11" s="11" t="inlineStr">
        <is>
          <t>이 시트는 작성 예시입니다(가상의 공사 · 회사).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5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82" t="inlineStr">
        <is>
          <t xml:space="preserve">작성 예시 (가상의 현장)  </t>
        </is>
      </c>
    </row>
    <row r="2" ht="16" customHeight="1"/>
    <row r="3" ht="50" customHeight="1">
      <c r="A3" s="12" t="inlineStr">
        <is>
          <t>목          차</t>
        </is>
      </c>
    </row>
    <row r="4" ht="14" customHeight="1"/>
    <row r="5" ht="30" customHeight="1">
      <c r="A5" s="5" t="inlineStr"/>
      <c r="C5" s="13" t="inlineStr">
        <is>
          <t>1.  공 사 개 요  — 1.1 공사 개요 · 1.2 배치 및 시공방향 · 1.3 시공구간</t>
        </is>
      </c>
      <c r="K5" s="5" t="inlineStr"/>
    </row>
    <row r="6" ht="30" customHeight="1">
      <c r="A6" s="5" t="inlineStr"/>
      <c r="C6" s="13" t="inlineStr">
        <is>
          <t>2.  공 정 계 획  — 2.1 예정 공정표</t>
        </is>
      </c>
      <c r="K6" s="5" t="inlineStr"/>
    </row>
    <row r="7" ht="30" customHeight="1">
      <c r="A7" s="5" t="inlineStr"/>
      <c r="C7" s="13" t="inlineStr">
        <is>
          <t>3.  시 공 계 획  — 3.1 현장 기구조직도 · 3.2 장비 동원계획 · 3.3 인원 동원계획</t>
        </is>
      </c>
      <c r="K7" s="5" t="inlineStr"/>
    </row>
    <row r="8" ht="30" customHeight="1">
      <c r="A8" s="5" t="inlineStr"/>
      <c r="C8" s="13" t="inlineStr">
        <is>
          <t xml:space="preserve">      3.4 주요자재 반입계획 · 3.5 전체 시공 FLOW(CIP · 소일네일링 · 토공사)</t>
        </is>
      </c>
      <c r="K8" s="5" t="inlineStr"/>
    </row>
    <row r="9" ht="30" customHeight="1">
      <c r="A9" s="5" t="inlineStr"/>
      <c r="C9" s="13" t="inlineStr">
        <is>
          <t>4.  안전 · 환경관리계획  — 4.1 안전관리 조직표 · 4.2 비상연락망 · 4.3 안전관리비</t>
        </is>
      </c>
      <c r="K9" s="5" t="inlineStr"/>
    </row>
    <row r="10" ht="30" customHeight="1">
      <c r="A10" s="5" t="inlineStr"/>
      <c r="C10" s="13" t="inlineStr">
        <is>
          <t xml:space="preserve">      4.4 예상 문제점 및 대책 · 4.5 안전관리 세부계획 · 4.6 환경관리계획</t>
        </is>
      </c>
      <c r="K10" s="5" t="inlineStr"/>
    </row>
    <row r="11" ht="30" customHeight="1">
      <c r="A11" s="5" t="inlineStr"/>
      <c r="C11" s="13" t="inlineStr">
        <is>
          <t>5.  품질관리계획</t>
        </is>
      </c>
      <c r="K11" s="5" t="inlineStr"/>
    </row>
    <row r="12" ht="30" customHeight="1">
      <c r="A12" s="5" t="inlineStr"/>
      <c r="C12" s="13" t="inlineStr">
        <is>
          <t>6.  계측관리계획</t>
        </is>
      </c>
      <c r="K12" s="5" t="inlineStr"/>
    </row>
    <row r="13" ht="4" customHeight="1"/>
    <row r="14" ht="30" customHeight="1">
      <c r="A14" s="14" t="inlineStr">
        <is>
          <t>1.  공 사 개 요</t>
        </is>
      </c>
    </row>
    <row r="15" ht="4" customHeight="1"/>
    <row r="16" ht="3" customHeight="1"/>
    <row r="17" ht="22" customHeight="1">
      <c r="A17" s="15" t="inlineStr">
        <is>
          <t>1.1  공사 개요</t>
        </is>
      </c>
    </row>
    <row r="18" ht="28" customHeight="1">
      <c r="A18" s="6" t="inlineStr">
        <is>
          <t>공 사 명</t>
        </is>
      </c>
      <c r="B18" s="7" t="n"/>
      <c r="C18" s="7" t="n"/>
      <c r="D18" s="16">
        <f>IF(OR('예시-표지'!E6="",'예시-표지'!E6="(공 사 명)"),"",'예시-표지'!E6)</f>
        <v/>
      </c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6" customHeight="1">
      <c r="A19" s="6" t="inlineStr">
        <is>
          <t>위    치</t>
        </is>
      </c>
      <c r="B19" s="7" t="n"/>
      <c r="C19" s="7" t="n"/>
      <c r="D19" s="17" t="inlineStr">
        <is>
          <t>가나시 가나동 일원</t>
        </is>
      </c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6" customHeight="1">
      <c r="A20" s="6" t="inlineStr">
        <is>
          <t>공 사 기 간</t>
        </is>
      </c>
      <c r="B20" s="7" t="n"/>
      <c r="C20" s="7" t="n"/>
      <c r="D20" s="18" t="n">
        <v>46076</v>
      </c>
      <c r="E20" s="7" t="n"/>
      <c r="F20" s="19" t="inlineStr">
        <is>
          <t>~</t>
        </is>
      </c>
      <c r="G20" s="18" t="n">
        <v>46142</v>
      </c>
      <c r="H20" s="7" t="n"/>
      <c r="I20" s="20">
        <f>IF(OR(N(D20)=0,N(G20)=0),"",IF(G20&lt;D20,"⚠ 준공일이 착공일보다 빠름",G20-D20+1))</f>
        <v/>
      </c>
      <c r="J20" s="7" t="n"/>
      <c r="K20" s="7" t="n"/>
      <c r="L20" s="7" t="n"/>
    </row>
    <row r="21" ht="26" customHeight="1">
      <c r="A21" s="6" t="inlineStr">
        <is>
          <t>건 물 용 도</t>
        </is>
      </c>
      <c r="B21" s="7" t="n"/>
      <c r="C21" s="7" t="n"/>
      <c r="D21" s="17" t="inlineStr">
        <is>
          <t>공동주택(기숙사)</t>
        </is>
      </c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6" customHeight="1">
      <c r="A22" s="6" t="inlineStr">
        <is>
          <t>시  공  사</t>
        </is>
      </c>
      <c r="B22" s="7" t="n"/>
      <c r="C22" s="7" t="n"/>
      <c r="D22" s="16">
        <f>IF(OR('예시-표지'!A9="",'예시-표지'!A9="(회 사 명)"),"",'예시-표지'!A9)</f>
        <v/>
      </c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6" customHeight="1">
      <c r="A23" s="6" t="inlineStr">
        <is>
          <t>지 하 층 수</t>
        </is>
      </c>
      <c r="B23" s="7" t="n"/>
      <c r="C23" s="7" t="n"/>
      <c r="D23" s="21" t="n">
        <v>2</v>
      </c>
      <c r="E23" s="7" t="n"/>
      <c r="F23" s="6" t="inlineStr">
        <is>
          <t>굴착 깊이 (GL − m)</t>
        </is>
      </c>
      <c r="G23" s="7" t="n"/>
      <c r="H23" s="7" t="n"/>
      <c r="I23" s="22" t="n">
        <v>10</v>
      </c>
      <c r="J23" s="7" t="n"/>
      <c r="K23" s="7" t="n"/>
      <c r="L23" s="7" t="n"/>
    </row>
    <row r="24" ht="52" customHeight="1">
      <c r="A24" s="6" t="inlineStr">
        <is>
          <t>공 사 목 적</t>
        </is>
      </c>
      <c r="B24" s="7" t="n"/>
      <c r="C24" s="7" t="n"/>
      <c r="D24" s="23">
        <f>"이 시공계획서는 "&amp;IF(N(D23)=0,"지하",D23&amp;"층 규모의 지하")&amp;" 굴착 및 흙막이 공사를 최소한의 공기 안에 마치는 것을 최우선으로 한다. 이를 위해 철저한 현장 조사로 공법을 정하고, 안전 예방 및 품질관리 등의 계획을 세우는 데 목적이 있다."</f>
        <v/>
      </c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6" customHeight="1">
      <c r="A25" s="6" t="inlineStr">
        <is>
          <t>굴착공법(흙막이)</t>
        </is>
      </c>
      <c r="B25" s="7" t="n"/>
      <c r="C25" s="7" t="n"/>
      <c r="D25" s="17" t="inlineStr">
        <is>
          <t>CIP + 소일네일링 + 숏크리트 마감</t>
        </is>
      </c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6" customHeight="1">
      <c r="A26" s="6" t="inlineStr">
        <is>
          <t>굴 착 방 법</t>
        </is>
      </c>
      <c r="B26" s="7" t="n"/>
      <c r="C26" s="7" t="n"/>
      <c r="D26" s="17" t="inlineStr">
        <is>
          <t>기계 굴토(백호 + 덤프트럭)</t>
        </is>
      </c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3" customHeight="1"/>
    <row r="28" ht="22" customHeight="1">
      <c r="A28" s="15" t="inlineStr">
        <is>
          <t>1.2  배치 및 시공방향</t>
        </is>
      </c>
    </row>
    <row r="29" ht="20" customHeight="1">
      <c r="A29" s="24" t="inlineStr">
        <is>
          <t>(배치도를 붙이는 곳 — 시공 시작 위치 · 진행 방향 · 주출입구 표시)</t>
        </is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 ht="20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0" customHeight="1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 ht="20" customHeight="1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0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20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20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3" customHeight="1"/>
    <row r="43" ht="22" customHeight="1">
      <c r="A43" s="15" t="inlineStr">
        <is>
          <t>1.3  시공구간</t>
        </is>
      </c>
    </row>
    <row r="44" ht="20" customHeight="1">
      <c r="A44" s="24" t="inlineStr">
        <is>
          <t>(시공구간도를 붙이는 곳 — 구간별 공법 표시)</t>
        </is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 ht="20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 ht="20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 ht="20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 ht="20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 ht="20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 ht="20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20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20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20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20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0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2" customHeight="1">
      <c r="A56" s="25">
        <f>"※ 시공 전체 구간은 "&amp;IF(D25="","흙막이 공법","«"&amp;D25&amp;"»")&amp;" 순서로 시공한다(CIP 선행 → 소일네일 천공 · 숏크리트 타설로 마감)."</f>
        <v/>
      </c>
    </row>
    <row r="58" ht="19.5" customHeight="1">
      <c r="A58" s="11" t="inlineStr">
        <is>
          <t>이 시트는 작성 예시입니다(가상의 공사).</t>
        </is>
      </c>
    </row>
  </sheetData>
  <mergeCells count="57">
    <mergeCell ref="D21:L21"/>
    <mergeCell ref="D20:E20"/>
    <mergeCell ref="A25:C25"/>
    <mergeCell ref="A29:L41"/>
    <mergeCell ref="A11:B11"/>
    <mergeCell ref="C6:J6"/>
    <mergeCell ref="K9:L9"/>
    <mergeCell ref="A18:C18"/>
    <mergeCell ref="K5:L5"/>
    <mergeCell ref="I20:L20"/>
    <mergeCell ref="A21:C21"/>
    <mergeCell ref="C5:J5"/>
    <mergeCell ref="A56:L56"/>
    <mergeCell ref="A3:L3"/>
    <mergeCell ref="A26:C26"/>
    <mergeCell ref="A6:B6"/>
    <mergeCell ref="F23:H23"/>
    <mergeCell ref="K11:L11"/>
    <mergeCell ref="A7:B7"/>
    <mergeCell ref="A23:C23"/>
    <mergeCell ref="C10:J10"/>
    <mergeCell ref="A22:C22"/>
    <mergeCell ref="A14:L14"/>
    <mergeCell ref="D18:L18"/>
    <mergeCell ref="A17:L17"/>
    <mergeCell ref="D25:L25"/>
    <mergeCell ref="A20:C20"/>
    <mergeCell ref="C9:J9"/>
    <mergeCell ref="A12:B12"/>
    <mergeCell ref="G1:L1"/>
    <mergeCell ref="D24:L24"/>
    <mergeCell ref="C12:J12"/>
    <mergeCell ref="A19:C19"/>
    <mergeCell ref="K12:L12"/>
    <mergeCell ref="A43:L43"/>
    <mergeCell ref="K8:L8"/>
    <mergeCell ref="C11:J11"/>
    <mergeCell ref="A28:L28"/>
    <mergeCell ref="A5:B5"/>
    <mergeCell ref="K6:L6"/>
    <mergeCell ref="A44:L55"/>
    <mergeCell ref="D26:L26"/>
    <mergeCell ref="A58:L58"/>
    <mergeCell ref="A8:B8"/>
    <mergeCell ref="A24:C24"/>
    <mergeCell ref="C8:J8"/>
    <mergeCell ref="K7:L7"/>
    <mergeCell ref="D19:L19"/>
    <mergeCell ref="G20:H20"/>
    <mergeCell ref="C7:J7"/>
    <mergeCell ref="A1:F1"/>
    <mergeCell ref="A10:B10"/>
    <mergeCell ref="K10:L10"/>
    <mergeCell ref="D22:L22"/>
    <mergeCell ref="D23:E23"/>
    <mergeCell ref="A9:B9"/>
    <mergeCell ref="I23:L23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12" min="0" max="16383" man="1"/>
    <brk id="41" min="0" max="16383" man="1"/>
  </rowBreaks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BP16"/>
  <sheetViews>
    <sheetView showGridLines="0" zoomScale="100" workbookViewId="0">
      <selection activeCell="A1" sqref="A1"/>
    </sheetView>
  </sheetViews>
  <sheetFormatPr baseColWidth="8" defaultRowHeight="15"/>
  <cols>
    <col width="17" customWidth="1" min="1" max="1"/>
    <col width="7" customWidth="1" min="2" max="2"/>
    <col width="4.5" customWidth="1" min="3" max="3"/>
    <col width="6.5" customWidth="1" min="4" max="4"/>
    <col width="5" customWidth="1" min="5" max="5"/>
    <col width="5" customWidth="1" min="6" max="6"/>
    <col width="5" customWidth="1" min="7" max="7"/>
    <col width="1.75" customWidth="1" min="8" max="8"/>
    <col width="1.75" customWidth="1" min="9" max="9"/>
    <col width="1.75" customWidth="1" min="10" max="10"/>
    <col width="1.75" customWidth="1" min="11" max="11"/>
    <col width="1.75" customWidth="1" min="12" max="12"/>
    <col width="1.75" customWidth="1" min="13" max="13"/>
    <col width="1.75" customWidth="1" min="14" max="14"/>
    <col width="1.75" customWidth="1" min="15" max="15"/>
    <col width="1.75" customWidth="1" min="16" max="16"/>
    <col width="1.75" customWidth="1" min="17" max="17"/>
    <col width="1.75" customWidth="1" min="18" max="18"/>
    <col width="1.75" customWidth="1" min="19" max="19"/>
    <col width="1.75" customWidth="1" min="20" max="20"/>
    <col width="1.75" customWidth="1" min="21" max="21"/>
    <col width="1.75" customWidth="1" min="22" max="22"/>
    <col width="1.75" customWidth="1" min="23" max="23"/>
    <col width="1.75" customWidth="1" min="24" max="24"/>
    <col width="1.75" customWidth="1" min="25" max="25"/>
    <col width="1.75" customWidth="1" min="26" max="26"/>
    <col width="1.75" customWidth="1" min="27" max="27"/>
    <col width="1.75" customWidth="1" min="28" max="28"/>
    <col width="1.75" customWidth="1" min="29" max="29"/>
    <col width="1.75" customWidth="1" min="30" max="30"/>
    <col width="1.75" customWidth="1" min="31" max="31"/>
    <col width="1.75" customWidth="1" min="32" max="32"/>
    <col width="1.75" customWidth="1" min="33" max="33"/>
    <col width="1.75" customWidth="1" min="34" max="34"/>
    <col width="1.75" customWidth="1" min="35" max="35"/>
    <col width="1.75" customWidth="1" min="36" max="36"/>
    <col width="1.75" customWidth="1" min="37" max="37"/>
    <col width="1.75" customWidth="1" min="38" max="38"/>
    <col width="1.75" customWidth="1" min="39" max="39"/>
    <col width="1.75" customWidth="1" min="40" max="40"/>
    <col width="1.75" customWidth="1" min="41" max="41"/>
    <col width="1.75" customWidth="1" min="42" max="42"/>
    <col width="1.75" customWidth="1" min="43" max="43"/>
    <col width="1.75" customWidth="1" min="44" max="44"/>
    <col width="1.75" customWidth="1" min="45" max="45"/>
    <col width="1.75" customWidth="1" min="46" max="46"/>
    <col width="1.75" customWidth="1" min="47" max="47"/>
    <col width="1.75" customWidth="1" min="48" max="48"/>
    <col width="1.75" customWidth="1" min="49" max="49"/>
    <col width="1.75" customWidth="1" min="50" max="50"/>
    <col width="1.75" customWidth="1" min="51" max="51"/>
    <col width="1.75" customWidth="1" min="52" max="52"/>
    <col width="1.75" customWidth="1" min="53" max="53"/>
    <col width="1.75" customWidth="1" min="54" max="54"/>
    <col width="1.75" customWidth="1" min="55" max="55"/>
    <col width="1.75" customWidth="1" min="56" max="56"/>
    <col width="1.75" customWidth="1" min="57" max="57"/>
    <col width="1.75" customWidth="1" min="58" max="58"/>
    <col width="1.75" customWidth="1" min="59" max="59"/>
    <col width="1.75" customWidth="1" min="60" max="60"/>
    <col width="1.75" customWidth="1" min="61" max="61"/>
    <col width="1.75" customWidth="1" min="62" max="62"/>
    <col width="1.75" customWidth="1" min="63" max="63"/>
    <col width="1.75" customWidth="1" min="64" max="64"/>
    <col width="1.75" customWidth="1" min="65" max="65"/>
    <col width="1.75" customWidth="1" min="66" max="66"/>
    <col width="1.75" customWidth="1" min="67" max="67"/>
    <col width="6" customWidth="1" min="68" max="68"/>
  </cols>
  <sheetData>
    <row r="1" ht="20" customHeight="1">
      <c r="A1" s="1" t="inlineStr">
        <is>
          <t xml:space="preserve">  K-건설맵  |  k-conmap.com  건설 서식</t>
        </is>
      </c>
      <c r="Z1" s="82" t="inlineStr">
        <is>
          <t xml:space="preserve">작성 예시 (가상의 현장)  </t>
        </is>
      </c>
    </row>
    <row r="2" ht="34" customHeight="1">
      <c r="A2" s="26" t="inlineStr">
        <is>
          <t>2.1   예 정 공 정 표 (물량 기준 · 일 단위)</t>
        </is>
      </c>
    </row>
    <row r="3" ht="22" customHeight="1">
      <c r="A3" s="6" t="inlineStr">
        <is>
          <t>착 수 일</t>
        </is>
      </c>
      <c r="B3" s="18" t="n">
        <v>46076</v>
      </c>
      <c r="C3" s="7" t="n"/>
      <c r="D3" s="11" t="inlineStr">
        <is>
          <t>※ 공종마다 총수량 · 1일 작업량 · 시작 일차를 적으면 작업일수(올림) · 끝나는 일차 · 막대 · 총 공기가 저절로 나옵니다.</t>
        </is>
      </c>
    </row>
    <row r="4" ht="16" customHeight="1">
      <c r="A4" s="27" t="inlineStr">
        <is>
          <t>공    종</t>
        </is>
      </c>
      <c r="B4" s="28" t="inlineStr">
        <is>
          <t>총수량</t>
        </is>
      </c>
      <c r="C4" s="29" t="inlineStr">
        <is>
          <t>단위</t>
        </is>
      </c>
      <c r="D4" s="29" t="inlineStr">
        <is>
          <t>1일
작업량</t>
        </is>
      </c>
      <c r="E4" s="29" t="inlineStr">
        <is>
          <t>작업
일수</t>
        </is>
      </c>
      <c r="F4" s="29" t="inlineStr">
        <is>
          <t>시작
일차</t>
        </is>
      </c>
      <c r="G4" s="29" t="inlineStr">
        <is>
          <t>종료
일차</t>
        </is>
      </c>
      <c r="H4" s="30" t="n">
        <v>1</v>
      </c>
      <c r="I4" s="30" t="n">
        <v>2</v>
      </c>
      <c r="J4" s="30" t="n">
        <v>3</v>
      </c>
      <c r="K4" s="30" t="n">
        <v>4</v>
      </c>
      <c r="L4" s="30" t="n">
        <v>5</v>
      </c>
      <c r="M4" s="30" t="n">
        <v>6</v>
      </c>
      <c r="N4" s="30" t="n">
        <v>7</v>
      </c>
      <c r="O4" s="30" t="n">
        <v>8</v>
      </c>
      <c r="P4" s="30" t="n">
        <v>9</v>
      </c>
      <c r="Q4" s="30" t="n">
        <v>10</v>
      </c>
      <c r="R4" s="30" t="n">
        <v>11</v>
      </c>
      <c r="S4" s="30" t="n">
        <v>12</v>
      </c>
      <c r="T4" s="30" t="n">
        <v>13</v>
      </c>
      <c r="U4" s="30" t="n">
        <v>14</v>
      </c>
      <c r="V4" s="30" t="n">
        <v>15</v>
      </c>
      <c r="W4" s="30" t="n">
        <v>16</v>
      </c>
      <c r="X4" s="30" t="n">
        <v>17</v>
      </c>
      <c r="Y4" s="30" t="n">
        <v>18</v>
      </c>
      <c r="Z4" s="30" t="n">
        <v>19</v>
      </c>
      <c r="AA4" s="30" t="n">
        <v>20</v>
      </c>
      <c r="AB4" s="30" t="n">
        <v>21</v>
      </c>
      <c r="AC4" s="30" t="n">
        <v>22</v>
      </c>
      <c r="AD4" s="30" t="n">
        <v>23</v>
      </c>
      <c r="AE4" s="30" t="n">
        <v>24</v>
      </c>
      <c r="AF4" s="30" t="n">
        <v>25</v>
      </c>
      <c r="AG4" s="30" t="n">
        <v>26</v>
      </c>
      <c r="AH4" s="30" t="n">
        <v>27</v>
      </c>
      <c r="AI4" s="30" t="n">
        <v>28</v>
      </c>
      <c r="AJ4" s="30" t="n">
        <v>29</v>
      </c>
      <c r="AK4" s="30" t="n">
        <v>30</v>
      </c>
      <c r="AL4" s="30" t="n">
        <v>31</v>
      </c>
      <c r="AM4" s="30" t="n">
        <v>32</v>
      </c>
      <c r="AN4" s="30" t="n">
        <v>33</v>
      </c>
      <c r="AO4" s="30" t="n">
        <v>34</v>
      </c>
      <c r="AP4" s="30" t="n">
        <v>35</v>
      </c>
      <c r="AQ4" s="30" t="n">
        <v>36</v>
      </c>
      <c r="AR4" s="30" t="n">
        <v>37</v>
      </c>
      <c r="AS4" s="30" t="n">
        <v>38</v>
      </c>
      <c r="AT4" s="30" t="n">
        <v>39</v>
      </c>
      <c r="AU4" s="30" t="n">
        <v>40</v>
      </c>
      <c r="AV4" s="30" t="n">
        <v>41</v>
      </c>
      <c r="AW4" s="30" t="n">
        <v>42</v>
      </c>
      <c r="AX4" s="30" t="n">
        <v>43</v>
      </c>
      <c r="AY4" s="30" t="n">
        <v>44</v>
      </c>
      <c r="AZ4" s="30" t="n">
        <v>45</v>
      </c>
      <c r="BA4" s="30" t="n">
        <v>46</v>
      </c>
      <c r="BB4" s="30" t="n">
        <v>47</v>
      </c>
      <c r="BC4" s="30" t="n">
        <v>48</v>
      </c>
      <c r="BD4" s="30" t="n">
        <v>49</v>
      </c>
      <c r="BE4" s="30" t="n">
        <v>50</v>
      </c>
      <c r="BF4" s="30" t="n">
        <v>51</v>
      </c>
      <c r="BG4" s="30" t="n">
        <v>52</v>
      </c>
      <c r="BH4" s="30" t="n">
        <v>53</v>
      </c>
      <c r="BI4" s="30" t="n">
        <v>54</v>
      </c>
      <c r="BJ4" s="30" t="n">
        <v>55</v>
      </c>
      <c r="BK4" s="30" t="n">
        <v>56</v>
      </c>
      <c r="BL4" s="30" t="n">
        <v>57</v>
      </c>
      <c r="BM4" s="30" t="n">
        <v>58</v>
      </c>
      <c r="BN4" s="30" t="n">
        <v>59</v>
      </c>
      <c r="BO4" s="30" t="n">
        <v>60</v>
      </c>
      <c r="BP4" s="27" t="inlineStr">
        <is>
          <t>비 고</t>
        </is>
      </c>
    </row>
    <row r="5" ht="13" customHeight="1">
      <c r="A5" s="7" t="n"/>
      <c r="B5" s="7" t="n"/>
      <c r="C5" s="7" t="n"/>
      <c r="D5" s="7" t="n"/>
      <c r="E5" s="7" t="n"/>
      <c r="F5" s="7" t="n"/>
      <c r="G5" s="7" t="n"/>
      <c r="H5" s="31">
        <f>IF(N(B3)=0,"",B3+0)</f>
        <v/>
      </c>
      <c r="I5" s="31">
        <f>IF(N(B3)=0,"",B3+1)</f>
        <v/>
      </c>
      <c r="J5" s="31">
        <f>IF(N(B3)=0,"",B3+2)</f>
        <v/>
      </c>
      <c r="K5" s="31">
        <f>IF(N(B3)=0,"",B3+3)</f>
        <v/>
      </c>
      <c r="L5" s="31">
        <f>IF(N(B3)=0,"",B3+4)</f>
        <v/>
      </c>
      <c r="M5" s="31">
        <f>IF(N(B3)=0,"",B3+5)</f>
        <v/>
      </c>
      <c r="N5" s="31">
        <f>IF(N(B3)=0,"",B3+6)</f>
        <v/>
      </c>
      <c r="O5" s="31">
        <f>IF(N(B3)=0,"",B3+7)</f>
        <v/>
      </c>
      <c r="P5" s="31">
        <f>IF(N(B3)=0,"",B3+8)</f>
        <v/>
      </c>
      <c r="Q5" s="31">
        <f>IF(N(B3)=0,"",B3+9)</f>
        <v/>
      </c>
      <c r="R5" s="31">
        <f>IF(N(B3)=0,"",B3+10)</f>
        <v/>
      </c>
      <c r="S5" s="31">
        <f>IF(N(B3)=0,"",B3+11)</f>
        <v/>
      </c>
      <c r="T5" s="31">
        <f>IF(N(B3)=0,"",B3+12)</f>
        <v/>
      </c>
      <c r="U5" s="31">
        <f>IF(N(B3)=0,"",B3+13)</f>
        <v/>
      </c>
      <c r="V5" s="31">
        <f>IF(N(B3)=0,"",B3+14)</f>
        <v/>
      </c>
      <c r="W5" s="31">
        <f>IF(N(B3)=0,"",B3+15)</f>
        <v/>
      </c>
      <c r="X5" s="31">
        <f>IF(N(B3)=0,"",B3+16)</f>
        <v/>
      </c>
      <c r="Y5" s="31">
        <f>IF(N(B3)=0,"",B3+17)</f>
        <v/>
      </c>
      <c r="Z5" s="31">
        <f>IF(N(B3)=0,"",B3+18)</f>
        <v/>
      </c>
      <c r="AA5" s="31">
        <f>IF(N(B3)=0,"",B3+19)</f>
        <v/>
      </c>
      <c r="AB5" s="31">
        <f>IF(N(B3)=0,"",B3+20)</f>
        <v/>
      </c>
      <c r="AC5" s="31">
        <f>IF(N(B3)=0,"",B3+21)</f>
        <v/>
      </c>
      <c r="AD5" s="31">
        <f>IF(N(B3)=0,"",B3+22)</f>
        <v/>
      </c>
      <c r="AE5" s="31">
        <f>IF(N(B3)=0,"",B3+23)</f>
        <v/>
      </c>
      <c r="AF5" s="31">
        <f>IF(N(B3)=0,"",B3+24)</f>
        <v/>
      </c>
      <c r="AG5" s="31">
        <f>IF(N(B3)=0,"",B3+25)</f>
        <v/>
      </c>
      <c r="AH5" s="31">
        <f>IF(N(B3)=0,"",B3+26)</f>
        <v/>
      </c>
      <c r="AI5" s="31">
        <f>IF(N(B3)=0,"",B3+27)</f>
        <v/>
      </c>
      <c r="AJ5" s="31">
        <f>IF(N(B3)=0,"",B3+28)</f>
        <v/>
      </c>
      <c r="AK5" s="31">
        <f>IF(N(B3)=0,"",B3+29)</f>
        <v/>
      </c>
      <c r="AL5" s="31">
        <f>IF(N(B3)=0,"",B3+30)</f>
        <v/>
      </c>
      <c r="AM5" s="31">
        <f>IF(N(B3)=0,"",B3+31)</f>
        <v/>
      </c>
      <c r="AN5" s="31">
        <f>IF(N(B3)=0,"",B3+32)</f>
        <v/>
      </c>
      <c r="AO5" s="31">
        <f>IF(N(B3)=0,"",B3+33)</f>
        <v/>
      </c>
      <c r="AP5" s="31">
        <f>IF(N(B3)=0,"",B3+34)</f>
        <v/>
      </c>
      <c r="AQ5" s="31">
        <f>IF(N(B3)=0,"",B3+35)</f>
        <v/>
      </c>
      <c r="AR5" s="31">
        <f>IF(N(B3)=0,"",B3+36)</f>
        <v/>
      </c>
      <c r="AS5" s="31">
        <f>IF(N(B3)=0,"",B3+37)</f>
        <v/>
      </c>
      <c r="AT5" s="31">
        <f>IF(N(B3)=0,"",B3+38)</f>
        <v/>
      </c>
      <c r="AU5" s="31">
        <f>IF(N(B3)=0,"",B3+39)</f>
        <v/>
      </c>
      <c r="AV5" s="31">
        <f>IF(N(B3)=0,"",B3+40)</f>
        <v/>
      </c>
      <c r="AW5" s="31">
        <f>IF(N(B3)=0,"",B3+41)</f>
        <v/>
      </c>
      <c r="AX5" s="31">
        <f>IF(N(B3)=0,"",B3+42)</f>
        <v/>
      </c>
      <c r="AY5" s="31">
        <f>IF(N(B3)=0,"",B3+43)</f>
        <v/>
      </c>
      <c r="AZ5" s="31">
        <f>IF(N(B3)=0,"",B3+44)</f>
        <v/>
      </c>
      <c r="BA5" s="31">
        <f>IF(N(B3)=0,"",B3+45)</f>
        <v/>
      </c>
      <c r="BB5" s="31">
        <f>IF(N(B3)=0,"",B3+46)</f>
        <v/>
      </c>
      <c r="BC5" s="31">
        <f>IF(N(B3)=0,"",B3+47)</f>
        <v/>
      </c>
      <c r="BD5" s="31">
        <f>IF(N(B3)=0,"",B3+48)</f>
        <v/>
      </c>
      <c r="BE5" s="31">
        <f>IF(N(B3)=0,"",B3+49)</f>
        <v/>
      </c>
      <c r="BF5" s="31">
        <f>IF(N(B3)=0,"",B3+50)</f>
        <v/>
      </c>
      <c r="BG5" s="31">
        <f>IF(N(B3)=0,"",B3+51)</f>
        <v/>
      </c>
      <c r="BH5" s="31">
        <f>IF(N(B3)=0,"",B3+52)</f>
        <v/>
      </c>
      <c r="BI5" s="31">
        <f>IF(N(B3)=0,"",B3+53)</f>
        <v/>
      </c>
      <c r="BJ5" s="31">
        <f>IF(N(B3)=0,"",B3+54)</f>
        <v/>
      </c>
      <c r="BK5" s="31">
        <f>IF(N(B3)=0,"",B3+55)</f>
        <v/>
      </c>
      <c r="BL5" s="31">
        <f>IF(N(B3)=0,"",B3+56)</f>
        <v/>
      </c>
      <c r="BM5" s="31">
        <f>IF(N(B3)=0,"",B3+57)</f>
        <v/>
      </c>
      <c r="BN5" s="31">
        <f>IF(N(B3)=0,"",B3+58)</f>
        <v/>
      </c>
      <c r="BO5" s="31">
        <f>IF(N(B3)=0,"",B3+59)</f>
        <v/>
      </c>
      <c r="BP5" s="7" t="n"/>
    </row>
    <row r="6" ht="24" customHeight="1">
      <c r="A6" s="32" t="inlineStr">
        <is>
          <t>사면 구간 1차</t>
        </is>
      </c>
      <c r="B6" s="33" t="n">
        <v>1000</v>
      </c>
      <c r="C6" s="34" t="inlineStr">
        <is>
          <t>㎡</t>
        </is>
      </c>
      <c r="D6" s="33" t="n">
        <v>40</v>
      </c>
      <c r="E6" s="35">
        <f>IF(OR(N(B6)=0,N(D6)=0),"",ROUNDUP(B6/D6,0))</f>
        <v/>
      </c>
      <c r="F6" s="36" t="n">
        <v>1</v>
      </c>
      <c r="G6" s="35">
        <f>IF(OR(E6="",N(F6)=0),"",F6+E6-1)</f>
        <v/>
      </c>
      <c r="H6" s="37" t="inlineStr"/>
      <c r="I6" s="37" t="inlineStr"/>
      <c r="J6" s="37" t="inlineStr"/>
      <c r="K6" s="37" t="inlineStr"/>
      <c r="L6" s="37" t="inlineStr"/>
      <c r="M6" s="37" t="inlineStr"/>
      <c r="N6" s="37" t="inlineStr"/>
      <c r="O6" s="37" t="inlineStr"/>
      <c r="P6" s="37" t="inlineStr"/>
      <c r="Q6" s="37" t="inlineStr"/>
      <c r="R6" s="37" t="inlineStr"/>
      <c r="S6" s="37" t="inlineStr"/>
      <c r="T6" s="37" t="inlineStr"/>
      <c r="U6" s="37" t="inlineStr"/>
      <c r="V6" s="37" t="inlineStr"/>
      <c r="W6" s="37" t="inlineStr"/>
      <c r="X6" s="37" t="inlineStr"/>
      <c r="Y6" s="37" t="inlineStr"/>
      <c r="Z6" s="37" t="inlineStr"/>
      <c r="AA6" s="37" t="inlineStr"/>
      <c r="AB6" s="37" t="inlineStr"/>
      <c r="AC6" s="37" t="inlineStr"/>
      <c r="AD6" s="37" t="inlineStr"/>
      <c r="AE6" s="37" t="inlineStr"/>
      <c r="AF6" s="37" t="inlineStr"/>
      <c r="AG6" s="37" t="inlineStr"/>
      <c r="AH6" s="37" t="inlineStr"/>
      <c r="AI6" s="37" t="inlineStr"/>
      <c r="AJ6" s="37" t="inlineStr"/>
      <c r="AK6" s="37" t="inlineStr"/>
      <c r="AL6" s="37" t="inlineStr"/>
      <c r="AM6" s="37" t="inlineStr"/>
      <c r="AN6" s="37" t="inlineStr"/>
      <c r="AO6" s="37" t="inlineStr"/>
      <c r="AP6" s="37" t="inlineStr"/>
      <c r="AQ6" s="37" t="inlineStr"/>
      <c r="AR6" s="37" t="inlineStr"/>
      <c r="AS6" s="37" t="inlineStr"/>
      <c r="AT6" s="37" t="inlineStr"/>
      <c r="AU6" s="37" t="inlineStr"/>
      <c r="AV6" s="37" t="inlineStr"/>
      <c r="AW6" s="37" t="inlineStr"/>
      <c r="AX6" s="37" t="inlineStr"/>
      <c r="AY6" s="37" t="inlineStr"/>
      <c r="AZ6" s="37" t="inlineStr"/>
      <c r="BA6" s="37" t="inlineStr"/>
      <c r="BB6" s="37" t="inlineStr"/>
      <c r="BC6" s="37" t="inlineStr"/>
      <c r="BD6" s="37" t="inlineStr"/>
      <c r="BE6" s="37" t="inlineStr"/>
      <c r="BF6" s="37" t="inlineStr"/>
      <c r="BG6" s="37" t="inlineStr"/>
      <c r="BH6" s="37" t="inlineStr"/>
      <c r="BI6" s="37" t="inlineStr"/>
      <c r="BJ6" s="37" t="inlineStr"/>
      <c r="BK6" s="37" t="inlineStr"/>
      <c r="BL6" s="37" t="inlineStr"/>
      <c r="BM6" s="37" t="inlineStr"/>
      <c r="BN6" s="37" t="inlineStr"/>
      <c r="BO6" s="37" t="inlineStr"/>
      <c r="BP6" s="38" t="n"/>
    </row>
    <row r="7" ht="24" customHeight="1">
      <c r="A7" s="32" t="inlineStr">
        <is>
          <t>사면 구간 2차</t>
        </is>
      </c>
      <c r="B7" s="33" t="n">
        <v>600</v>
      </c>
      <c r="C7" s="34" t="inlineStr">
        <is>
          <t>㎡</t>
        </is>
      </c>
      <c r="D7" s="33" t="n">
        <v>40</v>
      </c>
      <c r="E7" s="35">
        <f>IF(OR(N(B7)=0,N(D7)=0),"",ROUNDUP(B7/D7,0))</f>
        <v/>
      </c>
      <c r="F7" s="36" t="n">
        <v>26</v>
      </c>
      <c r="G7" s="35">
        <f>IF(OR(E7="",N(F7)=0),"",F7+E7-1)</f>
        <v/>
      </c>
      <c r="H7" s="37" t="inlineStr"/>
      <c r="I7" s="37" t="inlineStr"/>
      <c r="J7" s="37" t="inlineStr"/>
      <c r="K7" s="37" t="inlineStr"/>
      <c r="L7" s="37" t="inlineStr"/>
      <c r="M7" s="37" t="inlineStr"/>
      <c r="N7" s="37" t="inlineStr"/>
      <c r="O7" s="37" t="inlineStr"/>
      <c r="P7" s="37" t="inlineStr"/>
      <c r="Q7" s="37" t="inlineStr"/>
      <c r="R7" s="37" t="inlineStr"/>
      <c r="S7" s="37" t="inlineStr"/>
      <c r="T7" s="37" t="inlineStr"/>
      <c r="U7" s="37" t="inlineStr"/>
      <c r="V7" s="37" t="inlineStr"/>
      <c r="W7" s="37" t="inlineStr"/>
      <c r="X7" s="37" t="inlineStr"/>
      <c r="Y7" s="37" t="inlineStr"/>
      <c r="Z7" s="37" t="inlineStr"/>
      <c r="AA7" s="37" t="inlineStr"/>
      <c r="AB7" s="37" t="inlineStr"/>
      <c r="AC7" s="37" t="inlineStr"/>
      <c r="AD7" s="37" t="inlineStr"/>
      <c r="AE7" s="37" t="inlineStr"/>
      <c r="AF7" s="37" t="inlineStr"/>
      <c r="AG7" s="37" t="inlineStr"/>
      <c r="AH7" s="37" t="inlineStr"/>
      <c r="AI7" s="37" t="inlineStr"/>
      <c r="AJ7" s="37" t="inlineStr"/>
      <c r="AK7" s="37" t="inlineStr"/>
      <c r="AL7" s="37" t="inlineStr"/>
      <c r="AM7" s="37" t="inlineStr"/>
      <c r="AN7" s="37" t="inlineStr"/>
      <c r="AO7" s="37" t="inlineStr"/>
      <c r="AP7" s="37" t="inlineStr"/>
      <c r="AQ7" s="37" t="inlineStr"/>
      <c r="AR7" s="37" t="inlineStr"/>
      <c r="AS7" s="37" t="inlineStr"/>
      <c r="AT7" s="37" t="inlineStr"/>
      <c r="AU7" s="37" t="inlineStr"/>
      <c r="AV7" s="37" t="inlineStr"/>
      <c r="AW7" s="37" t="inlineStr"/>
      <c r="AX7" s="37" t="inlineStr"/>
      <c r="AY7" s="37" t="inlineStr"/>
      <c r="AZ7" s="37" t="inlineStr"/>
      <c r="BA7" s="37" t="inlineStr"/>
      <c r="BB7" s="37" t="inlineStr"/>
      <c r="BC7" s="37" t="inlineStr"/>
      <c r="BD7" s="37" t="inlineStr"/>
      <c r="BE7" s="37" t="inlineStr"/>
      <c r="BF7" s="37" t="inlineStr"/>
      <c r="BG7" s="37" t="inlineStr"/>
      <c r="BH7" s="37" t="inlineStr"/>
      <c r="BI7" s="37" t="inlineStr"/>
      <c r="BJ7" s="37" t="inlineStr"/>
      <c r="BK7" s="37" t="inlineStr"/>
      <c r="BL7" s="37" t="inlineStr"/>
      <c r="BM7" s="37" t="inlineStr"/>
      <c r="BN7" s="37" t="inlineStr"/>
      <c r="BO7" s="37" t="inlineStr"/>
      <c r="BP7" s="38" t="n"/>
    </row>
    <row r="8" ht="24" customHeight="1">
      <c r="A8" s="32" t="inlineStr">
        <is>
          <t>CIP 공사</t>
        </is>
      </c>
      <c r="B8" s="33" t="n">
        <v>957</v>
      </c>
      <c r="C8" s="34" t="inlineStr">
        <is>
          <t>공</t>
        </is>
      </c>
      <c r="D8" s="33" t="n">
        <v>60</v>
      </c>
      <c r="E8" s="35">
        <f>IF(OR(N(B8)=0,N(D8)=0),"",ROUNDUP(B8/D8,0))</f>
        <v/>
      </c>
      <c r="F8" s="36" t="n">
        <v>1</v>
      </c>
      <c r="G8" s="35">
        <f>IF(OR(E8="",N(F8)=0),"",F8+E8-1)</f>
        <v/>
      </c>
      <c r="H8" s="37" t="inlineStr"/>
      <c r="I8" s="37" t="inlineStr"/>
      <c r="J8" s="37" t="inlineStr"/>
      <c r="K8" s="37" t="inlineStr"/>
      <c r="L8" s="37" t="inlineStr"/>
      <c r="M8" s="37" t="inlineStr"/>
      <c r="N8" s="37" t="inlineStr"/>
      <c r="O8" s="37" t="inlineStr"/>
      <c r="P8" s="37" t="inlineStr"/>
      <c r="Q8" s="37" t="inlineStr"/>
      <c r="R8" s="37" t="inlineStr"/>
      <c r="S8" s="37" t="inlineStr"/>
      <c r="T8" s="37" t="inlineStr"/>
      <c r="U8" s="37" t="inlineStr"/>
      <c r="V8" s="37" t="inlineStr"/>
      <c r="W8" s="37" t="inlineStr"/>
      <c r="X8" s="37" t="inlineStr"/>
      <c r="Y8" s="37" t="inlineStr"/>
      <c r="Z8" s="37" t="inlineStr"/>
      <c r="AA8" s="37" t="inlineStr"/>
      <c r="AB8" s="37" t="inlineStr"/>
      <c r="AC8" s="37" t="inlineStr"/>
      <c r="AD8" s="37" t="inlineStr"/>
      <c r="AE8" s="37" t="inlineStr"/>
      <c r="AF8" s="37" t="inlineStr"/>
      <c r="AG8" s="37" t="inlineStr"/>
      <c r="AH8" s="37" t="inlineStr"/>
      <c r="AI8" s="37" t="inlineStr"/>
      <c r="AJ8" s="37" t="inlineStr"/>
      <c r="AK8" s="37" t="inlineStr"/>
      <c r="AL8" s="37" t="inlineStr"/>
      <c r="AM8" s="37" t="inlineStr"/>
      <c r="AN8" s="37" t="inlineStr"/>
      <c r="AO8" s="37" t="inlineStr"/>
      <c r="AP8" s="37" t="inlineStr"/>
      <c r="AQ8" s="37" t="inlineStr"/>
      <c r="AR8" s="37" t="inlineStr"/>
      <c r="AS8" s="37" t="inlineStr"/>
      <c r="AT8" s="37" t="inlineStr"/>
      <c r="AU8" s="37" t="inlineStr"/>
      <c r="AV8" s="37" t="inlineStr"/>
      <c r="AW8" s="37" t="inlineStr"/>
      <c r="AX8" s="37" t="inlineStr"/>
      <c r="AY8" s="37" t="inlineStr"/>
      <c r="AZ8" s="37" t="inlineStr"/>
      <c r="BA8" s="37" t="inlineStr"/>
      <c r="BB8" s="37" t="inlineStr"/>
      <c r="BC8" s="37" t="inlineStr"/>
      <c r="BD8" s="37" t="inlineStr"/>
      <c r="BE8" s="37" t="inlineStr"/>
      <c r="BF8" s="37" t="inlineStr"/>
      <c r="BG8" s="37" t="inlineStr"/>
      <c r="BH8" s="37" t="inlineStr"/>
      <c r="BI8" s="37" t="inlineStr"/>
      <c r="BJ8" s="37" t="inlineStr"/>
      <c r="BK8" s="37" t="inlineStr"/>
      <c r="BL8" s="37" t="inlineStr"/>
      <c r="BM8" s="37" t="inlineStr"/>
      <c r="BN8" s="37" t="inlineStr"/>
      <c r="BO8" s="37" t="inlineStr"/>
      <c r="BP8" s="38" t="n"/>
    </row>
    <row r="9" ht="24" customHeight="1">
      <c r="A9" s="32" t="inlineStr">
        <is>
          <t>소일네일링 + 숏크리트</t>
        </is>
      </c>
      <c r="B9" s="33" t="n">
        <v>3924</v>
      </c>
      <c r="C9" s="34" t="inlineStr">
        <is>
          <t>㎡</t>
        </is>
      </c>
      <c r="D9" s="33" t="n">
        <v>100</v>
      </c>
      <c r="E9" s="35">
        <f>IF(OR(N(B9)=0,N(D9)=0),"",ROUNDUP(B9/D9,0))</f>
        <v/>
      </c>
      <c r="F9" s="36" t="n">
        <v>12</v>
      </c>
      <c r="G9" s="35">
        <f>IF(OR(E9="",N(F9)=0),"",F9+E9-1)</f>
        <v/>
      </c>
      <c r="H9" s="37" t="inlineStr"/>
      <c r="I9" s="37" t="inlineStr"/>
      <c r="J9" s="37" t="inlineStr"/>
      <c r="K9" s="37" t="inlineStr"/>
      <c r="L9" s="37" t="inlineStr"/>
      <c r="M9" s="37" t="inlineStr"/>
      <c r="N9" s="37" t="inlineStr"/>
      <c r="O9" s="37" t="inlineStr"/>
      <c r="P9" s="37" t="inlineStr"/>
      <c r="Q9" s="37" t="inlineStr"/>
      <c r="R9" s="37" t="inlineStr"/>
      <c r="S9" s="37" t="inlineStr"/>
      <c r="T9" s="37" t="inlineStr"/>
      <c r="U9" s="37" t="inlineStr"/>
      <c r="V9" s="37" t="inlineStr"/>
      <c r="W9" s="37" t="inlineStr"/>
      <c r="X9" s="37" t="inlineStr"/>
      <c r="Y9" s="37" t="inlineStr"/>
      <c r="Z9" s="37" t="inlineStr"/>
      <c r="AA9" s="37" t="inlineStr"/>
      <c r="AB9" s="37" t="inlineStr"/>
      <c r="AC9" s="37" t="inlineStr"/>
      <c r="AD9" s="37" t="inlineStr"/>
      <c r="AE9" s="37" t="inlineStr"/>
      <c r="AF9" s="37" t="inlineStr"/>
      <c r="AG9" s="37" t="inlineStr"/>
      <c r="AH9" s="37" t="inlineStr"/>
      <c r="AI9" s="37" t="inlineStr"/>
      <c r="AJ9" s="37" t="inlineStr"/>
      <c r="AK9" s="37" t="inlineStr"/>
      <c r="AL9" s="37" t="inlineStr"/>
      <c r="AM9" s="37" t="inlineStr"/>
      <c r="AN9" s="37" t="inlineStr"/>
      <c r="AO9" s="37" t="inlineStr"/>
      <c r="AP9" s="37" t="inlineStr"/>
      <c r="AQ9" s="37" t="inlineStr"/>
      <c r="AR9" s="37" t="inlineStr"/>
      <c r="AS9" s="37" t="inlineStr"/>
      <c r="AT9" s="37" t="inlineStr"/>
      <c r="AU9" s="37" t="inlineStr"/>
      <c r="AV9" s="37" t="inlineStr"/>
      <c r="AW9" s="37" t="inlineStr"/>
      <c r="AX9" s="37" t="inlineStr"/>
      <c r="AY9" s="37" t="inlineStr"/>
      <c r="AZ9" s="37" t="inlineStr"/>
      <c r="BA9" s="37" t="inlineStr"/>
      <c r="BB9" s="37" t="inlineStr"/>
      <c r="BC9" s="37" t="inlineStr"/>
      <c r="BD9" s="37" t="inlineStr"/>
      <c r="BE9" s="37" t="inlineStr"/>
      <c r="BF9" s="37" t="inlineStr"/>
      <c r="BG9" s="37" t="inlineStr"/>
      <c r="BH9" s="37" t="inlineStr"/>
      <c r="BI9" s="37" t="inlineStr"/>
      <c r="BJ9" s="37" t="inlineStr"/>
      <c r="BK9" s="37" t="inlineStr"/>
      <c r="BL9" s="37" t="inlineStr"/>
      <c r="BM9" s="37" t="inlineStr"/>
      <c r="BN9" s="37" t="inlineStr"/>
      <c r="BO9" s="37" t="inlineStr"/>
      <c r="BP9" s="38" t="n"/>
    </row>
    <row r="10" ht="24" customHeight="1">
      <c r="A10" s="32" t="inlineStr">
        <is>
          <t>터파기 및 잔토 처리</t>
        </is>
      </c>
      <c r="B10" s="33" t="n">
        <v>55000</v>
      </c>
      <c r="C10" s="34" t="inlineStr">
        <is>
          <t>㎥</t>
        </is>
      </c>
      <c r="D10" s="33" t="n">
        <v>1375</v>
      </c>
      <c r="E10" s="35">
        <f>IF(OR(N(B10)=0,N(D10)=0),"",ROUNDUP(B10/D10,0))</f>
        <v/>
      </c>
      <c r="F10" s="36" t="n">
        <v>15</v>
      </c>
      <c r="G10" s="35">
        <f>IF(OR(E10="",N(F10)=0),"",F10+E10-1)</f>
        <v/>
      </c>
      <c r="H10" s="37" t="inlineStr"/>
      <c r="I10" s="37" t="inlineStr"/>
      <c r="J10" s="37" t="inlineStr"/>
      <c r="K10" s="37" t="inlineStr"/>
      <c r="L10" s="37" t="inlineStr"/>
      <c r="M10" s="37" t="inlineStr"/>
      <c r="N10" s="37" t="inlineStr"/>
      <c r="O10" s="37" t="inlineStr"/>
      <c r="P10" s="37" t="inlineStr"/>
      <c r="Q10" s="37" t="inlineStr"/>
      <c r="R10" s="37" t="inlineStr"/>
      <c r="S10" s="37" t="inlineStr"/>
      <c r="T10" s="37" t="inlineStr"/>
      <c r="U10" s="37" t="inlineStr"/>
      <c r="V10" s="37" t="inlineStr"/>
      <c r="W10" s="37" t="inlineStr"/>
      <c r="X10" s="37" t="inlineStr"/>
      <c r="Y10" s="37" t="inlineStr"/>
      <c r="Z10" s="37" t="inlineStr"/>
      <c r="AA10" s="37" t="inlineStr"/>
      <c r="AB10" s="37" t="inlineStr"/>
      <c r="AC10" s="37" t="inlineStr"/>
      <c r="AD10" s="37" t="inlineStr"/>
      <c r="AE10" s="37" t="inlineStr"/>
      <c r="AF10" s="37" t="inlineStr"/>
      <c r="AG10" s="37" t="inlineStr"/>
      <c r="AH10" s="37" t="inlineStr"/>
      <c r="AI10" s="37" t="inlineStr"/>
      <c r="AJ10" s="37" t="inlineStr"/>
      <c r="AK10" s="37" t="inlineStr"/>
      <c r="AL10" s="37" t="inlineStr"/>
      <c r="AM10" s="37" t="inlineStr"/>
      <c r="AN10" s="37" t="inlineStr"/>
      <c r="AO10" s="37" t="inlineStr"/>
      <c r="AP10" s="37" t="inlineStr"/>
      <c r="AQ10" s="37" t="inlineStr"/>
      <c r="AR10" s="37" t="inlineStr"/>
      <c r="AS10" s="37" t="inlineStr"/>
      <c r="AT10" s="37" t="inlineStr"/>
      <c r="AU10" s="37" t="inlineStr"/>
      <c r="AV10" s="37" t="inlineStr"/>
      <c r="AW10" s="37" t="inlineStr"/>
      <c r="AX10" s="37" t="inlineStr"/>
      <c r="AY10" s="37" t="inlineStr"/>
      <c r="AZ10" s="37" t="inlineStr"/>
      <c r="BA10" s="37" t="inlineStr"/>
      <c r="BB10" s="37" t="inlineStr"/>
      <c r="BC10" s="37" t="inlineStr"/>
      <c r="BD10" s="37" t="inlineStr"/>
      <c r="BE10" s="37" t="inlineStr"/>
      <c r="BF10" s="37" t="inlineStr"/>
      <c r="BG10" s="37" t="inlineStr"/>
      <c r="BH10" s="37" t="inlineStr"/>
      <c r="BI10" s="37" t="inlineStr"/>
      <c r="BJ10" s="37" t="inlineStr"/>
      <c r="BK10" s="37" t="inlineStr"/>
      <c r="BL10" s="37" t="inlineStr"/>
      <c r="BM10" s="37" t="inlineStr"/>
      <c r="BN10" s="37" t="inlineStr"/>
      <c r="BO10" s="37" t="inlineStr"/>
      <c r="BP10" s="38" t="n"/>
    </row>
    <row r="11" ht="24" customHeight="1">
      <c r="A11" s="32" t="n"/>
      <c r="B11" s="33" t="n"/>
      <c r="C11" s="34" t="n"/>
      <c r="D11" s="33" t="n"/>
      <c r="E11" s="35">
        <f>IF(OR(N(B11)=0,N(D11)=0),"",ROUNDUP(B11/D11,0))</f>
        <v/>
      </c>
      <c r="F11" s="36" t="n"/>
      <c r="G11" s="35">
        <f>IF(OR(E11="",N(F11)=0),"",F11+E11-1)</f>
        <v/>
      </c>
      <c r="H11" s="37" t="inlineStr"/>
      <c r="I11" s="37" t="inlineStr"/>
      <c r="J11" s="37" t="inlineStr"/>
      <c r="K11" s="37" t="inlineStr"/>
      <c r="L11" s="37" t="inlineStr"/>
      <c r="M11" s="37" t="inlineStr"/>
      <c r="N11" s="37" t="inlineStr"/>
      <c r="O11" s="37" t="inlineStr"/>
      <c r="P11" s="37" t="inlineStr"/>
      <c r="Q11" s="37" t="inlineStr"/>
      <c r="R11" s="37" t="inlineStr"/>
      <c r="S11" s="37" t="inlineStr"/>
      <c r="T11" s="37" t="inlineStr"/>
      <c r="U11" s="37" t="inlineStr"/>
      <c r="V11" s="37" t="inlineStr"/>
      <c r="W11" s="37" t="inlineStr"/>
      <c r="X11" s="37" t="inlineStr"/>
      <c r="Y11" s="37" t="inlineStr"/>
      <c r="Z11" s="37" t="inlineStr"/>
      <c r="AA11" s="37" t="inlineStr"/>
      <c r="AB11" s="37" t="inlineStr"/>
      <c r="AC11" s="37" t="inlineStr"/>
      <c r="AD11" s="37" t="inlineStr"/>
      <c r="AE11" s="37" t="inlineStr"/>
      <c r="AF11" s="37" t="inlineStr"/>
      <c r="AG11" s="37" t="inlineStr"/>
      <c r="AH11" s="37" t="inlineStr"/>
      <c r="AI11" s="37" t="inlineStr"/>
      <c r="AJ11" s="37" t="inlineStr"/>
      <c r="AK11" s="37" t="inlineStr"/>
      <c r="AL11" s="37" t="inlineStr"/>
      <c r="AM11" s="37" t="inlineStr"/>
      <c r="AN11" s="37" t="inlineStr"/>
      <c r="AO11" s="37" t="inlineStr"/>
      <c r="AP11" s="37" t="inlineStr"/>
      <c r="AQ11" s="37" t="inlineStr"/>
      <c r="AR11" s="37" t="inlineStr"/>
      <c r="AS11" s="37" t="inlineStr"/>
      <c r="AT11" s="37" t="inlineStr"/>
      <c r="AU11" s="37" t="inlineStr"/>
      <c r="AV11" s="37" t="inlineStr"/>
      <c r="AW11" s="37" t="inlineStr"/>
      <c r="AX11" s="37" t="inlineStr"/>
      <c r="AY11" s="37" t="inlineStr"/>
      <c r="AZ11" s="37" t="inlineStr"/>
      <c r="BA11" s="37" t="inlineStr"/>
      <c r="BB11" s="37" t="inlineStr"/>
      <c r="BC11" s="37" t="inlineStr"/>
      <c r="BD11" s="37" t="inlineStr"/>
      <c r="BE11" s="37" t="inlineStr"/>
      <c r="BF11" s="37" t="inlineStr"/>
      <c r="BG11" s="37" t="inlineStr"/>
      <c r="BH11" s="37" t="inlineStr"/>
      <c r="BI11" s="37" t="inlineStr"/>
      <c r="BJ11" s="37" t="inlineStr"/>
      <c r="BK11" s="37" t="inlineStr"/>
      <c r="BL11" s="37" t="inlineStr"/>
      <c r="BM11" s="37" t="inlineStr"/>
      <c r="BN11" s="37" t="inlineStr"/>
      <c r="BO11" s="37" t="inlineStr"/>
      <c r="BP11" s="38" t="n"/>
    </row>
    <row r="12" ht="24" customHeight="1">
      <c r="A12" s="32" t="n"/>
      <c r="B12" s="33" t="n"/>
      <c r="C12" s="34" t="n"/>
      <c r="D12" s="33" t="n"/>
      <c r="E12" s="35">
        <f>IF(OR(N(B12)=0,N(D12)=0),"",ROUNDUP(B12/D12,0))</f>
        <v/>
      </c>
      <c r="F12" s="36" t="n"/>
      <c r="G12" s="35">
        <f>IF(OR(E12="",N(F12)=0),"",F12+E12-1)</f>
        <v/>
      </c>
      <c r="H12" s="37" t="inlineStr"/>
      <c r="I12" s="37" t="inlineStr"/>
      <c r="J12" s="37" t="inlineStr"/>
      <c r="K12" s="37" t="inlineStr"/>
      <c r="L12" s="37" t="inlineStr"/>
      <c r="M12" s="37" t="inlineStr"/>
      <c r="N12" s="37" t="inlineStr"/>
      <c r="O12" s="37" t="inlineStr"/>
      <c r="P12" s="37" t="inlineStr"/>
      <c r="Q12" s="37" t="inlineStr"/>
      <c r="R12" s="37" t="inlineStr"/>
      <c r="S12" s="37" t="inlineStr"/>
      <c r="T12" s="37" t="inlineStr"/>
      <c r="U12" s="37" t="inlineStr"/>
      <c r="V12" s="37" t="inlineStr"/>
      <c r="W12" s="37" t="inlineStr"/>
      <c r="X12" s="37" t="inlineStr"/>
      <c r="Y12" s="37" t="inlineStr"/>
      <c r="Z12" s="37" t="inlineStr"/>
      <c r="AA12" s="37" t="inlineStr"/>
      <c r="AB12" s="37" t="inlineStr"/>
      <c r="AC12" s="37" t="inlineStr"/>
      <c r="AD12" s="37" t="inlineStr"/>
      <c r="AE12" s="37" t="inlineStr"/>
      <c r="AF12" s="37" t="inlineStr"/>
      <c r="AG12" s="37" t="inlineStr"/>
      <c r="AH12" s="37" t="inlineStr"/>
      <c r="AI12" s="37" t="inlineStr"/>
      <c r="AJ12" s="37" t="inlineStr"/>
      <c r="AK12" s="37" t="inlineStr"/>
      <c r="AL12" s="37" t="inlineStr"/>
      <c r="AM12" s="37" t="inlineStr"/>
      <c r="AN12" s="37" t="inlineStr"/>
      <c r="AO12" s="37" t="inlineStr"/>
      <c r="AP12" s="37" t="inlineStr"/>
      <c r="AQ12" s="37" t="inlineStr"/>
      <c r="AR12" s="37" t="inlineStr"/>
      <c r="AS12" s="37" t="inlineStr"/>
      <c r="AT12" s="37" t="inlineStr"/>
      <c r="AU12" s="37" t="inlineStr"/>
      <c r="AV12" s="37" t="inlineStr"/>
      <c r="AW12" s="37" t="inlineStr"/>
      <c r="AX12" s="37" t="inlineStr"/>
      <c r="AY12" s="37" t="inlineStr"/>
      <c r="AZ12" s="37" t="inlineStr"/>
      <c r="BA12" s="37" t="inlineStr"/>
      <c r="BB12" s="37" t="inlineStr"/>
      <c r="BC12" s="37" t="inlineStr"/>
      <c r="BD12" s="37" t="inlineStr"/>
      <c r="BE12" s="37" t="inlineStr"/>
      <c r="BF12" s="37" t="inlineStr"/>
      <c r="BG12" s="37" t="inlineStr"/>
      <c r="BH12" s="37" t="inlineStr"/>
      <c r="BI12" s="37" t="inlineStr"/>
      <c r="BJ12" s="37" t="inlineStr"/>
      <c r="BK12" s="37" t="inlineStr"/>
      <c r="BL12" s="37" t="inlineStr"/>
      <c r="BM12" s="37" t="inlineStr"/>
      <c r="BN12" s="37" t="inlineStr"/>
      <c r="BO12" s="37" t="inlineStr"/>
      <c r="BP12" s="38" t="n"/>
    </row>
    <row r="13" ht="24" customHeight="1">
      <c r="A13" s="32" t="n"/>
      <c r="B13" s="33" t="n"/>
      <c r="C13" s="34" t="n"/>
      <c r="D13" s="33" t="n"/>
      <c r="E13" s="35">
        <f>IF(OR(N(B13)=0,N(D13)=0),"",ROUNDUP(B13/D13,0))</f>
        <v/>
      </c>
      <c r="F13" s="36" t="n"/>
      <c r="G13" s="35">
        <f>IF(OR(E13="",N(F13)=0),"",F13+E13-1)</f>
        <v/>
      </c>
      <c r="H13" s="37" t="inlineStr"/>
      <c r="I13" s="37" t="inlineStr"/>
      <c r="J13" s="37" t="inlineStr"/>
      <c r="K13" s="37" t="inlineStr"/>
      <c r="L13" s="37" t="inlineStr"/>
      <c r="M13" s="37" t="inlineStr"/>
      <c r="N13" s="37" t="inlineStr"/>
      <c r="O13" s="37" t="inlineStr"/>
      <c r="P13" s="37" t="inlineStr"/>
      <c r="Q13" s="37" t="inlineStr"/>
      <c r="R13" s="37" t="inlineStr"/>
      <c r="S13" s="37" t="inlineStr"/>
      <c r="T13" s="37" t="inlineStr"/>
      <c r="U13" s="37" t="inlineStr"/>
      <c r="V13" s="37" t="inlineStr"/>
      <c r="W13" s="37" t="inlineStr"/>
      <c r="X13" s="37" t="inlineStr"/>
      <c r="Y13" s="37" t="inlineStr"/>
      <c r="Z13" s="37" t="inlineStr"/>
      <c r="AA13" s="37" t="inlineStr"/>
      <c r="AB13" s="37" t="inlineStr"/>
      <c r="AC13" s="37" t="inlineStr"/>
      <c r="AD13" s="37" t="inlineStr"/>
      <c r="AE13" s="37" t="inlineStr"/>
      <c r="AF13" s="37" t="inlineStr"/>
      <c r="AG13" s="37" t="inlineStr"/>
      <c r="AH13" s="37" t="inlineStr"/>
      <c r="AI13" s="37" t="inlineStr"/>
      <c r="AJ13" s="37" t="inlineStr"/>
      <c r="AK13" s="37" t="inlineStr"/>
      <c r="AL13" s="37" t="inlineStr"/>
      <c r="AM13" s="37" t="inlineStr"/>
      <c r="AN13" s="37" t="inlineStr"/>
      <c r="AO13" s="37" t="inlineStr"/>
      <c r="AP13" s="37" t="inlineStr"/>
      <c r="AQ13" s="37" t="inlineStr"/>
      <c r="AR13" s="37" t="inlineStr"/>
      <c r="AS13" s="37" t="inlineStr"/>
      <c r="AT13" s="37" t="inlineStr"/>
      <c r="AU13" s="37" t="inlineStr"/>
      <c r="AV13" s="37" t="inlineStr"/>
      <c r="AW13" s="37" t="inlineStr"/>
      <c r="AX13" s="37" t="inlineStr"/>
      <c r="AY13" s="37" t="inlineStr"/>
      <c r="AZ13" s="37" t="inlineStr"/>
      <c r="BA13" s="37" t="inlineStr"/>
      <c r="BB13" s="37" t="inlineStr"/>
      <c r="BC13" s="37" t="inlineStr"/>
      <c r="BD13" s="37" t="inlineStr"/>
      <c r="BE13" s="37" t="inlineStr"/>
      <c r="BF13" s="37" t="inlineStr"/>
      <c r="BG13" s="37" t="inlineStr"/>
      <c r="BH13" s="37" t="inlineStr"/>
      <c r="BI13" s="37" t="inlineStr"/>
      <c r="BJ13" s="37" t="inlineStr"/>
      <c r="BK13" s="37" t="inlineStr"/>
      <c r="BL13" s="37" t="inlineStr"/>
      <c r="BM13" s="37" t="inlineStr"/>
      <c r="BN13" s="37" t="inlineStr"/>
      <c r="BO13" s="37" t="inlineStr"/>
      <c r="BP13" s="38" t="n"/>
    </row>
    <row r="14" ht="22" customHeight="1">
      <c r="A14" s="39" t="inlineStr">
        <is>
          <t>총 공기 (가장 늦게 끝나는 일차)</t>
        </is>
      </c>
      <c r="B14" s="7" t="n"/>
      <c r="C14" s="7" t="n"/>
      <c r="D14" s="7" t="n"/>
      <c r="E14" s="7" t="n"/>
      <c r="F14" s="7" t="n"/>
      <c r="G14" s="40">
        <f>IF(COUNT(G6:G13)=0,"",MAX(G6:G13))</f>
        <v/>
      </c>
      <c r="H14" s="41">
        <f>IF(OR(G14="",N(B3)=0),"",B3+G14-1)</f>
        <v/>
      </c>
      <c r="BP14" s="5" t="inlineStr"/>
    </row>
    <row r="16" ht="19.5" customHeight="1">
      <c r="A16" s="11" t="inlineStr">
        <is>
          <t>이 시트는 작성 예시입니다(가상의 물량 · 일정).</t>
        </is>
      </c>
    </row>
  </sheetData>
  <mergeCells count="16">
    <mergeCell ref="B4:B5"/>
    <mergeCell ref="C4:C5"/>
    <mergeCell ref="B3:C3"/>
    <mergeCell ref="A4:A5"/>
    <mergeCell ref="D4:D5"/>
    <mergeCell ref="E4:E5"/>
    <mergeCell ref="F4:F5"/>
    <mergeCell ref="A1:Y1"/>
    <mergeCell ref="G4:G5"/>
    <mergeCell ref="Z1:BP1"/>
    <mergeCell ref="D3:BO3"/>
    <mergeCell ref="BP4:BP5"/>
    <mergeCell ref="A14:F14"/>
    <mergeCell ref="H14:BO14"/>
    <mergeCell ref="A16:BP16"/>
    <mergeCell ref="A2:BP2"/>
  </mergeCells>
  <conditionalFormatting sqref="H6:BO13">
    <cfRule type="expression" priority="1" dxfId="0">
      <formula>AND(N($F6)&gt;0,N($G6)&gt;=N($F6),H$4&gt;=$F6,H$4&lt;=$G6)</formula>
    </cfRule>
  </conditionalFormatting>
  <conditionalFormatting sqref="B6:B13">
    <cfRule type="expression" priority="2" dxfId="1">
      <formula>AND(ISNUMBER(B6),MOD(B6,1)=0)</formula>
    </cfRule>
  </conditionalFormatting>
  <conditionalFormatting sqref="D6:D13">
    <cfRule type="expression" priority="3" dxfId="1">
      <formula>AND(ISNUMBER(D6),MOD(D6,1)=0)</formula>
    </cfRule>
  </conditionalFormatting>
  <printOptions horizontalCentered="1"/>
  <pageMargins left="0.3" right="0.3" top="0.45" bottom="0.45" header="0.2" footer="0.2"/>
  <pageSetup orientation="landscape" paperSize="9" fitToHeight="1" fitToWidth="1"/>
</worksheet>
</file>

<file path=xl/worksheets/sheet1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82" t="inlineStr">
        <is>
          <t xml:space="preserve">작성 예시 (가상의 현장)  </t>
        </is>
      </c>
    </row>
    <row r="2" ht="4" customHeight="1"/>
    <row r="3" ht="30" customHeight="1">
      <c r="A3" s="14" t="inlineStr">
        <is>
          <t>3.  시 공 계 획</t>
        </is>
      </c>
    </row>
    <row r="4" ht="4" customHeight="1"/>
    <row r="5" ht="3" customHeight="1"/>
    <row r="6" ht="22" customHeight="1">
      <c r="A6" s="15" t="inlineStr">
        <is>
          <t>3.1  현장 기구조직도</t>
        </is>
      </c>
    </row>
    <row r="7" ht="24" customHeight="1">
      <c r="A7" s="5" t="inlineStr"/>
      <c r="E7" s="6" t="inlineStr">
        <is>
          <t>현 장 대 리 인</t>
        </is>
      </c>
      <c r="F7" s="7" t="n"/>
      <c r="G7" s="7" t="n"/>
      <c r="H7" s="7" t="n"/>
      <c r="I7" s="5" t="inlineStr"/>
    </row>
    <row r="8" ht="24" customHeight="1">
      <c r="A8" s="5" t="inlineStr"/>
      <c r="E8" s="8" t="inlineStr">
        <is>
          <t>홍길동</t>
        </is>
      </c>
      <c r="F8" s="7" t="n"/>
      <c r="G8" s="7" t="n"/>
      <c r="H8" s="7" t="n"/>
      <c r="I8" s="5" t="inlineStr"/>
    </row>
    <row r="9" ht="14" customHeight="1">
      <c r="A9" s="42" t="inlineStr">
        <is>
          <t>┌─────────────┴─────────────┐</t>
        </is>
      </c>
    </row>
    <row r="10" ht="24" customHeight="1">
      <c r="A10" s="5" t="inlineStr"/>
      <c r="B10" s="6" t="inlineStr">
        <is>
          <t>작업반장(1)</t>
        </is>
      </c>
      <c r="C10" s="7" t="n"/>
      <c r="D10" s="7" t="n"/>
      <c r="E10" s="7" t="n"/>
      <c r="F10" s="5" t="inlineStr"/>
      <c r="H10" s="6" t="inlineStr">
        <is>
          <t>작업반장(2)</t>
        </is>
      </c>
      <c r="I10" s="7" t="n"/>
      <c r="J10" s="7" t="n"/>
      <c r="K10" s="7" t="n"/>
      <c r="L10" s="5" t="inlineStr"/>
    </row>
    <row r="11" ht="24" customHeight="1">
      <c r="A11" s="5" t="inlineStr"/>
      <c r="B11" s="8" t="inlineStr">
        <is>
          <t>김반장</t>
        </is>
      </c>
      <c r="C11" s="7" t="n"/>
      <c r="D11" s="7" t="n"/>
      <c r="E11" s="7" t="n"/>
      <c r="F11" s="5" t="inlineStr"/>
      <c r="H11" s="8" t="inlineStr">
        <is>
          <t>이반장</t>
        </is>
      </c>
      <c r="I11" s="7" t="n"/>
      <c r="J11" s="7" t="n"/>
      <c r="K11" s="7" t="n"/>
      <c r="L11" s="5" t="inlineStr"/>
    </row>
    <row r="12" ht="24" customHeight="1">
      <c r="A12" s="5" t="inlineStr"/>
      <c r="B12" s="43" t="inlineStr">
        <is>
          <t>장비기사</t>
        </is>
      </c>
      <c r="C12" s="7" t="n"/>
      <c r="D12" s="44" t="n">
        <v>4</v>
      </c>
      <c r="E12" s="7" t="n"/>
      <c r="F12" s="5" t="inlineStr"/>
      <c r="H12" s="43" t="inlineStr">
        <is>
          <t>장비기사</t>
        </is>
      </c>
      <c r="I12" s="7" t="n"/>
      <c r="J12" s="44" t="n">
        <v>4</v>
      </c>
      <c r="K12" s="7" t="n"/>
      <c r="L12" s="5" t="inlineStr"/>
    </row>
    <row r="13" ht="24" customHeight="1">
      <c r="A13" s="5" t="inlineStr"/>
      <c r="B13" s="43" t="inlineStr">
        <is>
          <t>기능공</t>
        </is>
      </c>
      <c r="C13" s="7" t="n"/>
      <c r="D13" s="44" t="n">
        <v>6</v>
      </c>
      <c r="E13" s="7" t="n"/>
      <c r="F13" s="5" t="inlineStr"/>
      <c r="H13" s="43" t="inlineStr">
        <is>
          <t>기능공</t>
        </is>
      </c>
      <c r="I13" s="7" t="n"/>
      <c r="J13" s="44" t="n">
        <v>6</v>
      </c>
      <c r="K13" s="7" t="n"/>
      <c r="L13" s="5" t="inlineStr"/>
    </row>
    <row r="14" ht="3" customHeight="1"/>
    <row r="15" ht="22" customHeight="1">
      <c r="A15" s="15" t="inlineStr">
        <is>
          <t>3.2  장비 동원계획</t>
        </is>
      </c>
    </row>
    <row r="16" ht="24" customHeight="1">
      <c r="A16" s="27" t="inlineStr">
        <is>
          <t>공  종</t>
        </is>
      </c>
      <c r="B16" s="7" t="n"/>
      <c r="C16" s="27" t="inlineStr">
        <is>
          <t>장 비 명</t>
        </is>
      </c>
      <c r="D16" s="7" t="n"/>
      <c r="E16" s="7" t="n"/>
      <c r="F16" s="27" t="inlineStr">
        <is>
          <t>수량</t>
        </is>
      </c>
      <c r="G16" s="27" t="inlineStr">
        <is>
          <t>규  격</t>
        </is>
      </c>
      <c r="H16" s="7" t="n"/>
      <c r="I16" s="7" t="n"/>
      <c r="J16" s="27" t="inlineStr">
        <is>
          <t>용  도</t>
        </is>
      </c>
      <c r="K16" s="7" t="n"/>
      <c r="L16" s="7" t="n"/>
    </row>
    <row r="17" ht="23" customHeight="1">
      <c r="A17" s="45" t="inlineStr">
        <is>
          <t>CIP</t>
        </is>
      </c>
      <c r="B17" s="7" t="n"/>
      <c r="C17" s="45" t="inlineStr">
        <is>
          <t>천공기</t>
        </is>
      </c>
      <c r="D17" s="7" t="n"/>
      <c r="E17" s="7" t="n"/>
      <c r="F17" s="46" t="n">
        <v>2</v>
      </c>
      <c r="G17" s="47" t="inlineStr">
        <is>
          <t>주니어 40 · 60</t>
        </is>
      </c>
      <c r="H17" s="7" t="n"/>
      <c r="I17" s="7" t="n"/>
      <c r="J17" s="45" t="inlineStr">
        <is>
          <t>천공</t>
        </is>
      </c>
      <c r="K17" s="7" t="n"/>
      <c r="L17" s="7" t="n"/>
    </row>
    <row r="18" ht="23" customHeight="1">
      <c r="A18" s="45" t="inlineStr">
        <is>
          <t>CIP</t>
        </is>
      </c>
      <c r="B18" s="7" t="n"/>
      <c r="C18" s="45" t="inlineStr">
        <is>
          <t>공기압축기</t>
        </is>
      </c>
      <c r="D18" s="7" t="n"/>
      <c r="E18" s="7" t="n"/>
      <c r="F18" s="46" t="n">
        <v>3</v>
      </c>
      <c r="G18" s="47" t="n"/>
      <c r="H18" s="7" t="n"/>
      <c r="I18" s="7" t="n"/>
      <c r="J18" s="45" t="inlineStr">
        <is>
          <t>압송</t>
        </is>
      </c>
      <c r="K18" s="7" t="n"/>
      <c r="L18" s="7" t="n"/>
    </row>
    <row r="19" ht="23" customHeight="1">
      <c r="A19" s="45" t="inlineStr">
        <is>
          <t>CIP</t>
        </is>
      </c>
      <c r="B19" s="7" t="n"/>
      <c r="C19" s="45" t="inlineStr">
        <is>
          <t>굴삭기</t>
        </is>
      </c>
      <c r="D19" s="7" t="n"/>
      <c r="E19" s="7" t="n"/>
      <c r="F19" s="46" t="n">
        <v>1</v>
      </c>
      <c r="G19" s="47" t="inlineStr">
        <is>
          <t>1.0㎥ 궤도</t>
        </is>
      </c>
      <c r="H19" s="7" t="n"/>
      <c r="I19" s="7" t="n"/>
      <c r="J19" s="45" t="inlineStr">
        <is>
          <t>타설</t>
        </is>
      </c>
      <c r="K19" s="7" t="n"/>
      <c r="L19" s="7" t="n"/>
    </row>
    <row r="20" ht="23" customHeight="1">
      <c r="A20" s="45" t="inlineStr">
        <is>
          <t>소일네일</t>
        </is>
      </c>
      <c r="B20" s="7" t="n"/>
      <c r="C20" s="45" t="inlineStr">
        <is>
          <t>크롤러 드릴</t>
        </is>
      </c>
      <c r="D20" s="7" t="n"/>
      <c r="E20" s="7" t="n"/>
      <c r="F20" s="46" t="n">
        <v>1</v>
      </c>
      <c r="G20" s="47" t="n"/>
      <c r="H20" s="7" t="n"/>
      <c r="I20" s="7" t="n"/>
      <c r="J20" s="45" t="inlineStr">
        <is>
          <t>네일 천공</t>
        </is>
      </c>
      <c r="K20" s="7" t="n"/>
      <c r="L20" s="7" t="n"/>
    </row>
    <row r="21" ht="23" customHeight="1">
      <c r="A21" s="45" t="inlineStr">
        <is>
          <t>소일네일</t>
        </is>
      </c>
      <c r="B21" s="7" t="n"/>
      <c r="C21" s="45" t="inlineStr">
        <is>
          <t>고공 드릴</t>
        </is>
      </c>
      <c r="D21" s="7" t="n"/>
      <c r="E21" s="7" t="n"/>
      <c r="F21" s="46" t="n">
        <v>1</v>
      </c>
      <c r="G21" s="47" t="n"/>
      <c r="H21" s="7" t="n"/>
      <c r="I21" s="7" t="n"/>
      <c r="J21" s="45" t="inlineStr">
        <is>
          <t>네일 천공</t>
        </is>
      </c>
      <c r="K21" s="7" t="n"/>
      <c r="L21" s="7" t="n"/>
    </row>
    <row r="22" ht="23" customHeight="1">
      <c r="A22" s="45" t="inlineStr">
        <is>
          <t>소일네일</t>
        </is>
      </c>
      <c r="B22" s="7" t="n"/>
      <c r="C22" s="45" t="inlineStr">
        <is>
          <t>공기압축기</t>
        </is>
      </c>
      <c r="D22" s="7" t="n"/>
      <c r="E22" s="7" t="n"/>
      <c r="F22" s="46" t="n">
        <v>2</v>
      </c>
      <c r="G22" s="47" t="n"/>
      <c r="H22" s="7" t="n"/>
      <c r="I22" s="7" t="n"/>
      <c r="J22" s="45" t="inlineStr">
        <is>
          <t>압송</t>
        </is>
      </c>
      <c r="K22" s="7" t="n"/>
      <c r="L22" s="7" t="n"/>
    </row>
    <row r="23" ht="23" customHeight="1">
      <c r="A23" s="45" t="inlineStr">
        <is>
          <t>소일네일</t>
        </is>
      </c>
      <c r="B23" s="7" t="n"/>
      <c r="C23" s="45" t="inlineStr">
        <is>
          <t>믹서 펌프</t>
        </is>
      </c>
      <c r="D23" s="7" t="n"/>
      <c r="E23" s="7" t="n"/>
      <c r="F23" s="46" t="n">
        <v>2</v>
      </c>
      <c r="G23" s="47" t="inlineStr">
        <is>
          <t>그라우팅용</t>
        </is>
      </c>
      <c r="H23" s="7" t="n"/>
      <c r="I23" s="7" t="n"/>
      <c r="J23" s="45" t="inlineStr">
        <is>
          <t>그라우팅</t>
        </is>
      </c>
      <c r="K23" s="7" t="n"/>
      <c r="L23" s="7" t="n"/>
    </row>
    <row r="24" ht="23" customHeight="1">
      <c r="A24" s="45" t="inlineStr">
        <is>
          <t>숏크리트</t>
        </is>
      </c>
      <c r="B24" s="7" t="n"/>
      <c r="C24" s="45" t="inlineStr">
        <is>
          <t>숏크리트 펌프카</t>
        </is>
      </c>
      <c r="D24" s="7" t="n"/>
      <c r="E24" s="7" t="n"/>
      <c r="F24" s="46" t="n">
        <v>2</v>
      </c>
      <c r="G24" s="47" t="inlineStr">
        <is>
          <t>습식 5톤</t>
        </is>
      </c>
      <c r="H24" s="7" t="n"/>
      <c r="I24" s="7" t="n"/>
      <c r="J24" s="45" t="inlineStr">
        <is>
          <t>타설</t>
        </is>
      </c>
      <c r="K24" s="7" t="n"/>
      <c r="L24" s="7" t="n"/>
    </row>
    <row r="25" ht="23" customHeight="1">
      <c r="A25" s="45" t="inlineStr">
        <is>
          <t>토공사</t>
        </is>
      </c>
      <c r="B25" s="7" t="n"/>
      <c r="C25" s="45" t="inlineStr">
        <is>
          <t>굴삭기</t>
        </is>
      </c>
      <c r="D25" s="7" t="n"/>
      <c r="E25" s="7" t="n"/>
      <c r="F25" s="46" t="n">
        <v>2</v>
      </c>
      <c r="G25" s="47" t="inlineStr">
        <is>
          <t>1.0㎥ 궤도</t>
        </is>
      </c>
      <c r="H25" s="7" t="n"/>
      <c r="I25" s="7" t="n"/>
      <c r="J25" s="45" t="inlineStr">
        <is>
          <t>상차</t>
        </is>
      </c>
      <c r="K25" s="7" t="n"/>
      <c r="L25" s="7" t="n"/>
    </row>
    <row r="26" ht="23" customHeight="1">
      <c r="A26" s="45" t="inlineStr">
        <is>
          <t>토공사</t>
        </is>
      </c>
      <c r="B26" s="7" t="n"/>
      <c r="C26" s="45" t="inlineStr">
        <is>
          <t>덤프트럭</t>
        </is>
      </c>
      <c r="D26" s="7" t="n"/>
      <c r="E26" s="7" t="n"/>
      <c r="F26" s="46" t="n">
        <v>18</v>
      </c>
      <c r="G26" s="47" t="inlineStr">
        <is>
          <t>25톤</t>
        </is>
      </c>
      <c r="H26" s="7" t="n"/>
      <c r="I26" s="7" t="n"/>
      <c r="J26" s="45" t="inlineStr">
        <is>
          <t>운반</t>
        </is>
      </c>
      <c r="K26" s="7" t="n"/>
      <c r="L26" s="7" t="n"/>
    </row>
    <row r="27" ht="23" customHeight="1">
      <c r="A27" s="45" t="n"/>
      <c r="B27" s="7" t="n"/>
      <c r="C27" s="45" t="n"/>
      <c r="D27" s="7" t="n"/>
      <c r="E27" s="7" t="n"/>
      <c r="F27" s="46" t="n"/>
      <c r="G27" s="47" t="n"/>
      <c r="H27" s="7" t="n"/>
      <c r="I27" s="7" t="n"/>
      <c r="J27" s="45" t="n"/>
      <c r="K27" s="7" t="n"/>
      <c r="L27" s="7" t="n"/>
    </row>
    <row r="28" ht="23" customHeight="1">
      <c r="A28" s="45" t="n"/>
      <c r="B28" s="7" t="n"/>
      <c r="C28" s="45" t="n"/>
      <c r="D28" s="7" t="n"/>
      <c r="E28" s="7" t="n"/>
      <c r="F28" s="46" t="n"/>
      <c r="G28" s="47" t="n"/>
      <c r="H28" s="7" t="n"/>
      <c r="I28" s="7" t="n"/>
      <c r="J28" s="45" t="n"/>
      <c r="K28" s="7" t="n"/>
      <c r="L28" s="7" t="n"/>
    </row>
    <row r="29" ht="24" customHeight="1">
      <c r="A29" s="39" t="inlineStr">
        <is>
          <t>합   계</t>
        </is>
      </c>
      <c r="B29" s="7" t="n"/>
      <c r="C29" s="7" t="n"/>
      <c r="D29" s="7" t="n"/>
      <c r="E29" s="7" t="n"/>
      <c r="F29" s="48">
        <f>IF(SUM(F17:F28)=0,"",SUM(F17:F28))</f>
        <v/>
      </c>
      <c r="G29" s="39" t="inlineStr">
        <is>
          <t>대</t>
        </is>
      </c>
      <c r="H29" s="7" t="n"/>
      <c r="I29" s="7" t="n"/>
      <c r="J29" s="7" t="n"/>
      <c r="K29" s="7" t="n"/>
      <c r="L29" s="7" t="n"/>
    </row>
    <row r="30" ht="3" customHeight="1"/>
    <row r="31" ht="22" customHeight="1">
      <c r="A31" s="15" t="inlineStr">
        <is>
          <t>3.3  인원 동원계획</t>
        </is>
      </c>
    </row>
    <row r="32" ht="24" customHeight="1">
      <c r="A32" s="27" t="inlineStr">
        <is>
          <t>공  종</t>
        </is>
      </c>
      <c r="B32" s="7" t="n"/>
      <c r="C32" s="7" t="n"/>
      <c r="D32" s="27" t="inlineStr">
        <is>
          <t>담 당 업 무</t>
        </is>
      </c>
      <c r="E32" s="7" t="n"/>
      <c r="F32" s="7" t="n"/>
      <c r="G32" s="7" t="n"/>
      <c r="H32" s="27" t="inlineStr">
        <is>
          <t>인원수(명)</t>
        </is>
      </c>
      <c r="I32" s="7" t="n"/>
      <c r="J32" s="27" t="inlineStr">
        <is>
          <t>작업일수(일)</t>
        </is>
      </c>
      <c r="K32" s="7" t="n"/>
      <c r="L32" s="7" t="n"/>
    </row>
    <row r="33" ht="23" customHeight="1">
      <c r="A33" s="45" t="inlineStr">
        <is>
          <t>CIP(2팀)</t>
        </is>
      </c>
      <c r="B33" s="7" t="n"/>
      <c r="C33" s="7" t="n"/>
      <c r="D33" s="45" t="inlineStr">
        <is>
          <t>작업반장</t>
        </is>
      </c>
      <c r="E33" s="7" t="n"/>
      <c r="F33" s="7" t="n"/>
      <c r="G33" s="7" t="n"/>
      <c r="H33" s="46" t="n">
        <v>2</v>
      </c>
      <c r="I33" s="7" t="n"/>
      <c r="J33" s="49" t="n">
        <v>19</v>
      </c>
      <c r="K33" s="7" t="n"/>
      <c r="L33" s="7" t="n"/>
    </row>
    <row r="34" ht="23" customHeight="1">
      <c r="A34" s="45" t="inlineStr">
        <is>
          <t>CIP(2팀)</t>
        </is>
      </c>
      <c r="B34" s="7" t="n"/>
      <c r="C34" s="7" t="n"/>
      <c r="D34" s="45" t="inlineStr">
        <is>
          <t>천공 장비기사</t>
        </is>
      </c>
      <c r="E34" s="7" t="n"/>
      <c r="F34" s="7" t="n"/>
      <c r="G34" s="7" t="n"/>
      <c r="H34" s="46" t="n">
        <v>2</v>
      </c>
      <c r="I34" s="7" t="n"/>
      <c r="J34" s="49" t="n">
        <v>19</v>
      </c>
      <c r="K34" s="7" t="n"/>
      <c r="L34" s="7" t="n"/>
    </row>
    <row r="35" ht="23" customHeight="1">
      <c r="A35" s="45" t="inlineStr">
        <is>
          <t>CIP(2팀)</t>
        </is>
      </c>
      <c r="B35" s="7" t="n"/>
      <c r="C35" s="7" t="n"/>
      <c r="D35" s="45" t="inlineStr">
        <is>
          <t>보조공</t>
        </is>
      </c>
      <c r="E35" s="7" t="n"/>
      <c r="F35" s="7" t="n"/>
      <c r="G35" s="7" t="n"/>
      <c r="H35" s="46" t="n">
        <v>2</v>
      </c>
      <c r="I35" s="7" t="n"/>
      <c r="J35" s="49" t="n">
        <v>19</v>
      </c>
      <c r="K35" s="7" t="n"/>
      <c r="L35" s="7" t="n"/>
    </row>
    <row r="36" ht="23" customHeight="1">
      <c r="A36" s="45" t="inlineStr">
        <is>
          <t>소일네일(2팀)</t>
        </is>
      </c>
      <c r="B36" s="7" t="n"/>
      <c r="C36" s="7" t="n"/>
      <c r="D36" s="45" t="inlineStr">
        <is>
          <t>작업반장</t>
        </is>
      </c>
      <c r="E36" s="7" t="n"/>
      <c r="F36" s="7" t="n"/>
      <c r="G36" s="7" t="n"/>
      <c r="H36" s="46" t="n">
        <v>2</v>
      </c>
      <c r="I36" s="7" t="n"/>
      <c r="J36" s="49" t="n">
        <v>39</v>
      </c>
      <c r="K36" s="7" t="n"/>
      <c r="L36" s="7" t="n"/>
    </row>
    <row r="37" ht="23" customHeight="1">
      <c r="A37" s="45" t="inlineStr">
        <is>
          <t>소일네일(2팀)</t>
        </is>
      </c>
      <c r="B37" s="7" t="n"/>
      <c r="C37" s="7" t="n"/>
      <c r="D37" s="45" t="inlineStr">
        <is>
          <t>천공 장비기사</t>
        </is>
      </c>
      <c r="E37" s="7" t="n"/>
      <c r="F37" s="7" t="n"/>
      <c r="G37" s="7" t="n"/>
      <c r="H37" s="46" t="n">
        <v>2</v>
      </c>
      <c r="I37" s="7" t="n"/>
      <c r="J37" s="49" t="n">
        <v>39</v>
      </c>
      <c r="K37" s="7" t="n"/>
      <c r="L37" s="7" t="n"/>
    </row>
    <row r="38" ht="23" customHeight="1">
      <c r="A38" s="45" t="inlineStr">
        <is>
          <t>소일네일(2팀)</t>
        </is>
      </c>
      <c r="B38" s="7" t="n"/>
      <c r="C38" s="7" t="n"/>
      <c r="D38" s="45" t="inlineStr">
        <is>
          <t>보조공</t>
        </is>
      </c>
      <c r="E38" s="7" t="n"/>
      <c r="F38" s="7" t="n"/>
      <c r="G38" s="7" t="n"/>
      <c r="H38" s="46" t="n">
        <v>2</v>
      </c>
      <c r="I38" s="7" t="n"/>
      <c r="J38" s="49" t="n">
        <v>39</v>
      </c>
      <c r="K38" s="7" t="n"/>
      <c r="L38" s="7" t="n"/>
    </row>
    <row r="39" ht="23" customHeight="1">
      <c r="A39" s="45" t="inlineStr">
        <is>
          <t>숏크리트(2팀)</t>
        </is>
      </c>
      <c r="B39" s="7" t="n"/>
      <c r="C39" s="7" t="n"/>
      <c r="D39" s="45" t="inlineStr">
        <is>
          <t>작업반장</t>
        </is>
      </c>
      <c r="E39" s="7" t="n"/>
      <c r="F39" s="7" t="n"/>
      <c r="G39" s="7" t="n"/>
      <c r="H39" s="46" t="n">
        <v>2</v>
      </c>
      <c r="I39" s="7" t="n"/>
      <c r="J39" s="49" t="n">
        <v>39</v>
      </c>
      <c r="K39" s="7" t="n"/>
      <c r="L39" s="7" t="n"/>
    </row>
    <row r="40" ht="23" customHeight="1">
      <c r="A40" s="45" t="inlineStr">
        <is>
          <t>숏크리트(2팀)</t>
        </is>
      </c>
      <c r="B40" s="7" t="n"/>
      <c r="C40" s="7" t="n"/>
      <c r="D40" s="45" t="inlineStr">
        <is>
          <t>타설공</t>
        </is>
      </c>
      <c r="E40" s="7" t="n"/>
      <c r="F40" s="7" t="n"/>
      <c r="G40" s="7" t="n"/>
      <c r="H40" s="46" t="n">
        <v>2</v>
      </c>
      <c r="I40" s="7" t="n"/>
      <c r="J40" s="49" t="n">
        <v>39</v>
      </c>
      <c r="K40" s="7" t="n"/>
      <c r="L40" s="7" t="n"/>
    </row>
    <row r="41" ht="23" customHeight="1">
      <c r="A41" s="45" t="inlineStr">
        <is>
          <t>숏크리트(2팀)</t>
        </is>
      </c>
      <c r="B41" s="7" t="n"/>
      <c r="C41" s="7" t="n"/>
      <c r="D41" s="45" t="inlineStr">
        <is>
          <t>보조공</t>
        </is>
      </c>
      <c r="E41" s="7" t="n"/>
      <c r="F41" s="7" t="n"/>
      <c r="G41" s="7" t="n"/>
      <c r="H41" s="46" t="n">
        <v>2</v>
      </c>
      <c r="I41" s="7" t="n"/>
      <c r="J41" s="49" t="n">
        <v>39</v>
      </c>
      <c r="K41" s="7" t="n"/>
      <c r="L41" s="7" t="n"/>
    </row>
    <row r="42" ht="23" customHeight="1">
      <c r="A42" s="45" t="inlineStr">
        <is>
          <t>토공사(2팀)</t>
        </is>
      </c>
      <c r="B42" s="7" t="n"/>
      <c r="C42" s="7" t="n"/>
      <c r="D42" s="45" t="inlineStr">
        <is>
          <t>굴삭기 기사</t>
        </is>
      </c>
      <c r="E42" s="7" t="n"/>
      <c r="F42" s="7" t="n"/>
      <c r="G42" s="7" t="n"/>
      <c r="H42" s="46" t="n">
        <v>2</v>
      </c>
      <c r="I42" s="7" t="n"/>
      <c r="J42" s="49" t="n">
        <v>40</v>
      </c>
      <c r="K42" s="7" t="n"/>
      <c r="L42" s="7" t="n"/>
    </row>
    <row r="43" ht="23" customHeight="1">
      <c r="A43" s="45" t="inlineStr">
        <is>
          <t>토공사(2팀)</t>
        </is>
      </c>
      <c r="B43" s="7" t="n"/>
      <c r="C43" s="7" t="n"/>
      <c r="D43" s="45" t="inlineStr">
        <is>
          <t>덤프트럭 기사</t>
        </is>
      </c>
      <c r="E43" s="7" t="n"/>
      <c r="F43" s="7" t="n"/>
      <c r="G43" s="7" t="n"/>
      <c r="H43" s="46" t="n">
        <v>18</v>
      </c>
      <c r="I43" s="7" t="n"/>
      <c r="J43" s="49" t="n">
        <v>40</v>
      </c>
      <c r="K43" s="7" t="n"/>
      <c r="L43" s="7" t="n"/>
    </row>
    <row r="44" ht="23" customHeight="1">
      <c r="A44" s="45" t="n"/>
      <c r="B44" s="7" t="n"/>
      <c r="C44" s="7" t="n"/>
      <c r="D44" s="45" t="n"/>
      <c r="E44" s="7" t="n"/>
      <c r="F44" s="7" t="n"/>
      <c r="G44" s="7" t="n"/>
      <c r="H44" s="46" t="n"/>
      <c r="I44" s="7" t="n"/>
      <c r="J44" s="49" t="n"/>
      <c r="K44" s="7" t="n"/>
      <c r="L44" s="7" t="n"/>
    </row>
    <row r="45" ht="23" customHeight="1">
      <c r="A45" s="45" t="n"/>
      <c r="B45" s="7" t="n"/>
      <c r="C45" s="7" t="n"/>
      <c r="D45" s="45" t="n"/>
      <c r="E45" s="7" t="n"/>
      <c r="F45" s="7" t="n"/>
      <c r="G45" s="7" t="n"/>
      <c r="H45" s="46" t="n"/>
      <c r="I45" s="7" t="n"/>
      <c r="J45" s="49" t="n"/>
      <c r="K45" s="7" t="n"/>
      <c r="L45" s="7" t="n"/>
    </row>
    <row r="46" ht="24" customHeight="1">
      <c r="A46" s="39" t="inlineStr">
        <is>
          <t>작업인원 합계 · 연인원</t>
        </is>
      </c>
      <c r="B46" s="7" t="n"/>
      <c r="C46" s="7" t="n"/>
      <c r="D46" s="7" t="n"/>
      <c r="E46" s="7" t="n"/>
      <c r="F46" s="7" t="n"/>
      <c r="G46" s="7" t="n"/>
      <c r="H46" s="50">
        <f>IF(SUM(H33:H45)=0,"",SUM(H33:H45))</f>
        <v/>
      </c>
      <c r="I46" s="7" t="n"/>
      <c r="J46" s="51">
        <f>IF((N(H33)*N(J33)+N(H34)*N(J34)+N(H35)*N(J35)+N(H36)*N(J36)+N(H37)*N(J37)+N(H38)*N(J38)+N(H39)*N(J39)+N(H40)*N(J40)+N(H41)*N(J41)+N(H42)*N(J42)+N(H43)*N(J43)+N(H44)*N(J44)+N(H45)*N(J45))=0,"",N(H33)*N(J33)+N(H34)*N(J34)+N(H35)*N(J35)+N(H36)*N(J36)+N(H37)*N(J37)+N(H38)*N(J38)+N(H39)*N(J39)+N(H40)*N(J40)+N(H41)*N(J41)+N(H42)*N(J42)+N(H43)*N(J43)+N(H44)*N(J44)+N(H45)*N(J45))</f>
        <v/>
      </c>
      <c r="K46" s="7" t="n"/>
      <c r="L46" s="7" t="n"/>
    </row>
    <row r="47" ht="3" customHeight="1"/>
    <row r="48" ht="22" customHeight="1">
      <c r="A48" s="15" t="inlineStr">
        <is>
          <t>3.4  주요자재 반입계획</t>
        </is>
      </c>
    </row>
    <row r="49" ht="24" customHeight="1">
      <c r="A49" s="27" t="inlineStr">
        <is>
          <t>공  종</t>
        </is>
      </c>
      <c r="B49" s="7" t="n"/>
      <c r="C49" s="27" t="inlineStr">
        <is>
          <t>품  명</t>
        </is>
      </c>
      <c r="D49" s="7" t="n"/>
      <c r="E49" s="27" t="inlineStr">
        <is>
          <t>규  격</t>
        </is>
      </c>
      <c r="F49" s="7" t="n"/>
      <c r="G49" s="7" t="n"/>
      <c r="H49" s="27" t="inlineStr">
        <is>
          <t>총 수 량</t>
        </is>
      </c>
      <c r="I49" s="7" t="n"/>
      <c r="J49" s="27" t="inlineStr">
        <is>
          <t>반입 예정일</t>
        </is>
      </c>
      <c r="K49" s="7" t="n"/>
      <c r="L49" s="7" t="n"/>
    </row>
    <row r="50" ht="23" customHeight="1">
      <c r="A50" s="45" t="inlineStr">
        <is>
          <t>CIP</t>
        </is>
      </c>
      <c r="B50" s="7" t="n"/>
      <c r="C50" s="45" t="inlineStr">
        <is>
          <t>철근</t>
        </is>
      </c>
      <c r="D50" s="7" t="n"/>
      <c r="E50" s="47" t="inlineStr">
        <is>
          <t>D13</t>
        </is>
      </c>
      <c r="F50" s="7" t="n"/>
      <c r="G50" s="7" t="n"/>
      <c r="H50" s="45" t="inlineStr">
        <is>
          <t>33 톤</t>
        </is>
      </c>
      <c r="I50" s="7" t="n"/>
      <c r="J50" s="47" t="inlineStr">
        <is>
          <t>3/2, 3/16, 3/25</t>
        </is>
      </c>
      <c r="K50" s="7" t="n"/>
      <c r="L50" s="7" t="n"/>
    </row>
    <row r="51" ht="23" customHeight="1">
      <c r="A51" s="45" t="inlineStr">
        <is>
          <t>CIP</t>
        </is>
      </c>
      <c r="B51" s="7" t="n"/>
      <c r="C51" s="45" t="inlineStr">
        <is>
          <t>철근</t>
        </is>
      </c>
      <c r="D51" s="7" t="n"/>
      <c r="E51" s="47" t="inlineStr">
        <is>
          <t>D19</t>
        </is>
      </c>
      <c r="F51" s="7" t="n"/>
      <c r="G51" s="7" t="n"/>
      <c r="H51" s="45" t="inlineStr">
        <is>
          <t>199 톤</t>
        </is>
      </c>
      <c r="I51" s="7" t="n"/>
      <c r="J51" s="47" t="inlineStr">
        <is>
          <t>3/2, 3/16, 3/25</t>
        </is>
      </c>
      <c r="K51" s="7" t="n"/>
      <c r="L51" s="7" t="n"/>
    </row>
    <row r="52" ht="23" customHeight="1">
      <c r="A52" s="45" t="inlineStr">
        <is>
          <t>CIP</t>
        </is>
      </c>
      <c r="B52" s="7" t="n"/>
      <c r="C52" s="45" t="inlineStr">
        <is>
          <t>레미콘</t>
        </is>
      </c>
      <c r="D52" s="7" t="n"/>
      <c r="E52" s="47" t="inlineStr">
        <is>
          <t>25-21-120</t>
        </is>
      </c>
      <c r="F52" s="7" t="n"/>
      <c r="G52" s="7" t="n"/>
      <c r="H52" s="45" t="inlineStr">
        <is>
          <t>1,694 ㎥</t>
        </is>
      </c>
      <c r="I52" s="7" t="n"/>
      <c r="J52" s="47" t="inlineStr">
        <is>
          <t>3/2, 3/16, 3/25</t>
        </is>
      </c>
      <c r="K52" s="7" t="n"/>
      <c r="L52" s="7" t="n"/>
    </row>
    <row r="53" ht="23" customHeight="1">
      <c r="A53" s="45" t="inlineStr">
        <is>
          <t>소일네일링</t>
        </is>
      </c>
      <c r="B53" s="7" t="n"/>
      <c r="C53" s="45" t="inlineStr">
        <is>
          <t>철근</t>
        </is>
      </c>
      <c r="D53" s="7" t="n"/>
      <c r="E53" s="47" t="inlineStr">
        <is>
          <t>D29</t>
        </is>
      </c>
      <c r="F53" s="7" t="n"/>
      <c r="G53" s="7" t="n"/>
      <c r="H53" s="45" t="inlineStr">
        <is>
          <t>63 톤</t>
        </is>
      </c>
      <c r="I53" s="7" t="n"/>
      <c r="J53" s="47" t="inlineStr">
        <is>
          <t>2/26, 3/16, 3/25</t>
        </is>
      </c>
      <c r="K53" s="7" t="n"/>
      <c r="L53" s="7" t="n"/>
    </row>
    <row r="54" ht="23" customHeight="1">
      <c r="A54" s="45" t="inlineStr">
        <is>
          <t>소일네일링</t>
        </is>
      </c>
      <c r="B54" s="7" t="n"/>
      <c r="C54" s="45" t="inlineStr">
        <is>
          <t>시멘트</t>
        </is>
      </c>
      <c r="D54" s="7" t="n"/>
      <c r="E54" s="47" t="inlineStr">
        <is>
          <t>포틀랜드</t>
        </is>
      </c>
      <c r="F54" s="7" t="n"/>
      <c r="G54" s="7" t="n"/>
      <c r="H54" s="45" t="inlineStr">
        <is>
          <t>364 톤</t>
        </is>
      </c>
      <c r="I54" s="7" t="n"/>
      <c r="J54" s="47" t="inlineStr">
        <is>
          <t>2/26, 3/16, 3/25</t>
        </is>
      </c>
      <c r="K54" s="7" t="n"/>
      <c r="L54" s="7" t="n"/>
    </row>
    <row r="55" ht="23" customHeight="1">
      <c r="A55" s="45" t="inlineStr">
        <is>
          <t>숏크리트</t>
        </is>
      </c>
      <c r="B55" s="7" t="n"/>
      <c r="C55" s="45" t="inlineStr">
        <is>
          <t>레미콘</t>
        </is>
      </c>
      <c r="D55" s="7" t="n"/>
      <c r="E55" s="47" t="inlineStr">
        <is>
          <t>13-21-100(t=150)</t>
        </is>
      </c>
      <c r="F55" s="7" t="n"/>
      <c r="G55" s="7" t="n"/>
      <c r="H55" s="45" t="inlineStr">
        <is>
          <t>765 ㎥</t>
        </is>
      </c>
      <c r="I55" s="7" t="n"/>
      <c r="J55" s="47" t="inlineStr">
        <is>
          <t>2/25, 3/16, 3/25</t>
        </is>
      </c>
      <c r="K55" s="7" t="n"/>
      <c r="L55" s="7" t="n"/>
    </row>
    <row r="56" ht="23" customHeight="1">
      <c r="A56" s="45" t="n"/>
      <c r="B56" s="7" t="n"/>
      <c r="C56" s="45" t="n"/>
      <c r="D56" s="7" t="n"/>
      <c r="E56" s="47" t="n"/>
      <c r="F56" s="7" t="n"/>
      <c r="G56" s="7" t="n"/>
      <c r="H56" s="45" t="n"/>
      <c r="I56" s="7" t="n"/>
      <c r="J56" s="47" t="n"/>
      <c r="K56" s="7" t="n"/>
      <c r="L56" s="7" t="n"/>
    </row>
    <row r="57" ht="23" customHeight="1">
      <c r="A57" s="45" t="n"/>
      <c r="B57" s="7" t="n"/>
      <c r="C57" s="45" t="n"/>
      <c r="D57" s="7" t="n"/>
      <c r="E57" s="47" t="n"/>
      <c r="F57" s="7" t="n"/>
      <c r="G57" s="7" t="n"/>
      <c r="H57" s="45" t="n"/>
      <c r="I57" s="7" t="n"/>
      <c r="J57" s="47" t="n"/>
      <c r="K57" s="7" t="n"/>
      <c r="L57" s="7" t="n"/>
    </row>
    <row r="58" ht="3" customHeight="1"/>
    <row r="59" ht="22" customHeight="1">
      <c r="A59" s="15" t="inlineStr">
        <is>
          <t>3.5  흙막이 시공 FLOW</t>
        </is>
      </c>
    </row>
    <row r="60" ht="30" customHeight="1">
      <c r="A60" s="5" t="inlineStr"/>
      <c r="D60" s="52" t="inlineStr">
        <is>
          <t>1. CIP 작업</t>
        </is>
      </c>
      <c r="E60" s="7" t="n"/>
      <c r="F60" s="7" t="n"/>
      <c r="G60" s="7" t="n"/>
      <c r="H60" s="7" t="n"/>
      <c r="I60" s="7" t="n"/>
      <c r="J60" s="25" t="inlineStr"/>
    </row>
    <row r="61" ht="14" customHeight="1">
      <c r="A61" s="53" t="inlineStr">
        <is>
          <t>▼</t>
        </is>
      </c>
    </row>
    <row r="62" ht="30" customHeight="1">
      <c r="A62" s="5" t="inlineStr"/>
      <c r="D62" s="52" t="inlineStr">
        <is>
          <t>2. 소일네일링 + 숏크리트 마감</t>
        </is>
      </c>
      <c r="E62" s="7" t="n"/>
      <c r="F62" s="7" t="n"/>
      <c r="G62" s="7" t="n"/>
      <c r="H62" s="7" t="n"/>
      <c r="I62" s="7" t="n"/>
      <c r="J62" s="25" t="inlineStr"/>
    </row>
    <row r="63" ht="14" customHeight="1">
      <c r="A63" s="53" t="inlineStr">
        <is>
          <t>▼</t>
        </is>
      </c>
    </row>
    <row r="64" ht="30" customHeight="1">
      <c r="A64" s="5" t="inlineStr"/>
      <c r="D64" s="52" t="inlineStr">
        <is>
          <t>3. 토공사(터파기 · 토사 반출)</t>
        </is>
      </c>
      <c r="E64" s="7" t="n"/>
      <c r="F64" s="7" t="n"/>
      <c r="G64" s="7" t="n"/>
      <c r="H64" s="7" t="n"/>
      <c r="I64" s="7" t="n"/>
      <c r="J64" s="25" t="inlineStr"/>
    </row>
    <row r="65" ht="14" customHeight="1">
      <c r="A65" s="53" t="inlineStr">
        <is>
          <t>▼</t>
        </is>
      </c>
    </row>
    <row r="66" ht="30" customHeight="1">
      <c r="A66" s="5" t="inlineStr"/>
      <c r="D66" s="52" t="inlineStr">
        <is>
          <t>토공사 종료</t>
        </is>
      </c>
      <c r="E66" s="7" t="n"/>
      <c r="F66" s="7" t="n"/>
      <c r="G66" s="7" t="n"/>
      <c r="H66" s="7" t="n"/>
      <c r="I66" s="7" t="n"/>
      <c r="J66" s="25" t="inlineStr"/>
    </row>
    <row r="67" ht="3" customHeight="1"/>
    <row r="68" ht="22" customHeight="1">
      <c r="A68" s="15" t="inlineStr">
        <is>
          <t>3.5.1  CIP 공사 세부시공계획</t>
        </is>
      </c>
    </row>
    <row r="69" ht="24" customHeight="1">
      <c r="A69" s="27" t="inlineStr">
        <is>
          <t>구   분</t>
        </is>
      </c>
      <c r="B69" s="7" t="n"/>
      <c r="C69" s="7" t="n"/>
      <c r="D69" s="27" t="inlineStr">
        <is>
          <t>내        용</t>
        </is>
      </c>
      <c r="E69" s="7" t="n"/>
      <c r="F69" s="7" t="n"/>
      <c r="G69" s="7" t="n"/>
      <c r="H69" s="7" t="n"/>
      <c r="I69" s="7" t="n"/>
      <c r="J69" s="7" t="n"/>
      <c r="K69" s="7" t="n"/>
      <c r="L69" s="7" t="n"/>
    </row>
    <row r="70" ht="26" customHeight="1">
      <c r="A70" s="54" t="inlineStr">
        <is>
          <t>원  어</t>
        </is>
      </c>
      <c r="B70" s="7" t="n"/>
      <c r="C70" s="7" t="n"/>
      <c r="D70" s="55" t="inlineStr">
        <is>
          <t>Cast In Place Pile</t>
        </is>
      </c>
      <c r="E70" s="7" t="n"/>
      <c r="F70" s="7" t="n"/>
      <c r="G70" s="7" t="n"/>
      <c r="H70" s="7" t="n"/>
      <c r="I70" s="7" t="n"/>
      <c r="J70" s="7" t="n"/>
      <c r="K70" s="7" t="n"/>
      <c r="L70" s="7" t="n"/>
    </row>
    <row r="71" ht="34.5" customHeight="1">
      <c r="A71" s="54" t="inlineStr">
        <is>
          <t>개  요</t>
        </is>
      </c>
      <c r="B71" s="7" t="n"/>
      <c r="C71" s="7" t="n"/>
      <c r="D71" s="55" t="inlineStr">
        <is>
          <t>어스오거로 필요한 위치에 미리 말뚝 구멍을 뚫은 뒤, 그 구멍에 H형강이나 철근망을 넣고 콘크리트를 타설하여 만드는 현장타설 콘크리트 말뚝 공법</t>
        </is>
      </c>
      <c r="E71" s="7" t="n"/>
      <c r="F71" s="7" t="n"/>
      <c r="G71" s="7" t="n"/>
      <c r="H71" s="7" t="n"/>
      <c r="I71" s="7" t="n"/>
      <c r="J71" s="7" t="n"/>
      <c r="K71" s="7" t="n"/>
      <c r="L71" s="7" t="n"/>
    </row>
    <row r="72" ht="26" customHeight="1">
      <c r="A72" s="54" t="inlineStr">
        <is>
          <t>장  비</t>
        </is>
      </c>
      <c r="B72" s="7" t="n"/>
      <c r="C72" s="7" t="n"/>
      <c r="D72" s="55" t="inlineStr">
        <is>
          <t>천공기(주니어 40 · 60 급)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</row>
    <row r="73" ht="24" customHeight="1">
      <c r="A73" s="27" t="inlineStr">
        <is>
          <t>구    분</t>
        </is>
      </c>
      <c r="B73" s="7" t="n"/>
      <c r="C73" s="7" t="n"/>
      <c r="D73" s="7" t="n"/>
      <c r="E73" s="27" t="inlineStr">
        <is>
          <t>단  위</t>
        </is>
      </c>
      <c r="F73" s="7" t="n"/>
      <c r="G73" s="27" t="inlineStr">
        <is>
          <t>수    량</t>
        </is>
      </c>
      <c r="H73" s="7" t="n"/>
      <c r="I73" s="7" t="n"/>
      <c r="J73" s="27" t="inlineStr">
        <is>
          <t>비   고</t>
        </is>
      </c>
      <c r="K73" s="7" t="n"/>
      <c r="L73" s="7" t="n"/>
    </row>
    <row r="74" ht="24" customHeight="1">
      <c r="A74" s="19" t="inlineStr">
        <is>
          <t>C.I.P</t>
        </is>
      </c>
      <c r="B74" s="7" t="n"/>
      <c r="C74" s="7" t="n"/>
      <c r="D74" s="7" t="n"/>
      <c r="E74" s="19" t="inlineStr">
        <is>
          <t>공</t>
        </is>
      </c>
      <c r="F74" s="7" t="n"/>
      <c r="G74" s="56" t="n">
        <v>957</v>
      </c>
      <c r="H74" s="7" t="n"/>
      <c r="I74" s="7" t="n"/>
      <c r="J74" s="57" t="n"/>
      <c r="K74" s="7" t="n"/>
      <c r="L74" s="7" t="n"/>
    </row>
    <row r="75" ht="24" customHeight="1">
      <c r="A75" s="19" t="inlineStr">
        <is>
          <t>콘크리트</t>
        </is>
      </c>
      <c r="B75" s="7" t="n"/>
      <c r="C75" s="7" t="n"/>
      <c r="D75" s="7" t="n"/>
      <c r="E75" s="19" t="inlineStr">
        <is>
          <t>㎥</t>
        </is>
      </c>
      <c r="F75" s="7" t="n"/>
      <c r="G75" s="56" t="n">
        <v>1694</v>
      </c>
      <c r="H75" s="7" t="n"/>
      <c r="I75" s="7" t="n"/>
      <c r="J75" s="57" t="n"/>
      <c r="K75" s="7" t="n"/>
      <c r="L75" s="7" t="n"/>
    </row>
    <row r="76" ht="24" customHeight="1">
      <c r="A76" s="19" t="inlineStr">
        <is>
          <t>철근 가공 · 조립</t>
        </is>
      </c>
      <c r="B76" s="7" t="n"/>
      <c r="C76" s="7" t="n"/>
      <c r="D76" s="7" t="n"/>
      <c r="E76" s="19" t="inlineStr">
        <is>
          <t>톤</t>
        </is>
      </c>
      <c r="F76" s="7" t="n"/>
      <c r="G76" s="56" t="n">
        <v>232</v>
      </c>
      <c r="H76" s="7" t="n"/>
      <c r="I76" s="7" t="n"/>
      <c r="J76" s="57" t="n"/>
      <c r="K76" s="7" t="n"/>
      <c r="L76" s="7" t="n"/>
    </row>
    <row r="77" ht="21" customHeight="1">
      <c r="A77" s="58" t="inlineStr">
        <is>
          <t>시공 순서 — 라인 측량 → 선행작업(가이드 빔 설치 · 나선철근 가공 및 조립) →</t>
        </is>
      </c>
    </row>
    <row r="78" ht="34.45" customHeight="1">
      <c r="A78" s="59" t="inlineStr">
        <is>
          <t>-</t>
        </is>
      </c>
      <c r="B78" s="60" t="inlineStr">
        <is>
          <t>1단계 : ① ② ③ 번 공을 천공기(1 · 2호기)로 먼저 굴착 → 나선철근망 삽입 → 레미콘 타설 → 말뚝 형성</t>
        </is>
      </c>
    </row>
    <row r="79" ht="34.45" customHeight="1">
      <c r="A79" s="59" t="inlineStr">
        <is>
          <t>-</t>
        </is>
      </c>
      <c r="B79" s="60" t="inlineStr">
        <is>
          <t>2단계 : 1단계 콘크리트 양생 뒤 ④ ⑤ ⑥ ⑦ 번 천공 → 나선철근망 삽입 → 레미콘 타설 → 말뚝 형성</t>
        </is>
      </c>
    </row>
    <row r="80" ht="19.725" customHeight="1">
      <c r="A80" s="59" t="inlineStr">
        <is>
          <t>-</t>
        </is>
      </c>
      <c r="B80" s="60" t="inlineStr">
        <is>
          <t>3단계 : 2단계 콘크리트 양생 뒤 ⑧ ⑨ 번 천공 → 나선철근망 삽입 → 말뚝 형성 → CIP 완료</t>
        </is>
      </c>
    </row>
    <row r="81" ht="34.45" customHeight="1">
      <c r="A81" s="59" t="inlineStr"/>
      <c r="B81" s="60" t="inlineStr">
        <is>
          <t>(한 구간 안에서 이웃한 공을 연속으로 뚫지 않고 건너뛰어 시공하여, 굳지 않은 이웃 말뚝이 손상되지 않게 한다.)</t>
        </is>
      </c>
    </row>
    <row r="82" ht="3" customHeight="1"/>
    <row r="83" ht="22" customHeight="1">
      <c r="A83" s="15" t="inlineStr">
        <is>
          <t>3.5.2  소일네일링 + 숏크리트 세부시공계획</t>
        </is>
      </c>
    </row>
    <row r="84" ht="24" customHeight="1">
      <c r="A84" s="27" t="inlineStr">
        <is>
          <t>구   분</t>
        </is>
      </c>
      <c r="B84" s="7" t="n"/>
      <c r="C84" s="7" t="n"/>
      <c r="D84" s="27" t="inlineStr">
        <is>
          <t>내        용</t>
        </is>
      </c>
      <c r="E84" s="7" t="n"/>
      <c r="F84" s="7" t="n"/>
      <c r="G84" s="7" t="n"/>
      <c r="H84" s="7" t="n"/>
      <c r="I84" s="7" t="n"/>
      <c r="J84" s="7" t="n"/>
      <c r="K84" s="7" t="n"/>
      <c r="L84" s="7" t="n"/>
    </row>
    <row r="85" ht="26" customHeight="1">
      <c r="A85" s="54" t="inlineStr">
        <is>
          <t>원  어</t>
        </is>
      </c>
      <c r="B85" s="7" t="n"/>
      <c r="C85" s="7" t="n"/>
      <c r="D85" s="55" t="inlineStr">
        <is>
          <t>Soil Nailing + Shotcrete</t>
        </is>
      </c>
      <c r="E85" s="7" t="n"/>
      <c r="F85" s="7" t="n"/>
      <c r="G85" s="7" t="n"/>
      <c r="H85" s="7" t="n"/>
      <c r="I85" s="7" t="n"/>
      <c r="J85" s="7" t="n"/>
      <c r="K85" s="7" t="n"/>
      <c r="L85" s="7" t="n"/>
    </row>
    <row r="86" ht="63" customHeight="1">
      <c r="A86" s="54" t="inlineStr">
        <is>
          <t>개  요</t>
        </is>
      </c>
      <c r="B86" s="7" t="n"/>
      <c r="C86" s="7" t="n"/>
      <c r="D86" s="55" t="inlineStr">
        <is>
          <t>◦ 흙 속에 보강재(네일)를 넣어 안정을 꾀하는 지반보강 공법의 하나로, 위에서 아래로 굴착하며 절토면을 보강하는 공법
◦ 숏크리트 : 시멘트 · 골재 혼합물을 펌프로 압송하여 노즐 끝에서 물과 함께 뿜어 붙이는 공법(면 보호 · 차수)</t>
        </is>
      </c>
      <c r="E86" s="7" t="n"/>
      <c r="F86" s="7" t="n"/>
      <c r="G86" s="7" t="n"/>
      <c r="H86" s="7" t="n"/>
      <c r="I86" s="7" t="n"/>
      <c r="J86" s="7" t="n"/>
      <c r="K86" s="7" t="n"/>
      <c r="L86" s="7" t="n"/>
    </row>
    <row r="87" ht="26" customHeight="1">
      <c r="A87" s="54" t="inlineStr">
        <is>
          <t>장  비</t>
        </is>
      </c>
      <c r="B87" s="7" t="n"/>
      <c r="C87" s="7" t="n"/>
      <c r="D87" s="55" t="inlineStr">
        <is>
          <t>크롤러 드릴(PCR200 급) · 숏크리트 펌프카</t>
        </is>
      </c>
      <c r="E87" s="7" t="n"/>
      <c r="F87" s="7" t="n"/>
      <c r="G87" s="7" t="n"/>
      <c r="H87" s="7" t="n"/>
      <c r="I87" s="7" t="n"/>
      <c r="J87" s="7" t="n"/>
      <c r="K87" s="7" t="n"/>
      <c r="L87" s="7" t="n"/>
    </row>
    <row r="88" ht="24" customHeight="1">
      <c r="A88" s="27" t="inlineStr">
        <is>
          <t>구    분</t>
        </is>
      </c>
      <c r="B88" s="7" t="n"/>
      <c r="C88" s="7" t="n"/>
      <c r="D88" s="7" t="n"/>
      <c r="E88" s="27" t="inlineStr">
        <is>
          <t>단  위</t>
        </is>
      </c>
      <c r="F88" s="7" t="n"/>
      <c r="G88" s="27" t="inlineStr">
        <is>
          <t>수    량</t>
        </is>
      </c>
      <c r="H88" s="7" t="n"/>
      <c r="I88" s="7" t="n"/>
      <c r="J88" s="27" t="inlineStr">
        <is>
          <t>비   고</t>
        </is>
      </c>
      <c r="K88" s="7" t="n"/>
      <c r="L88" s="7" t="n"/>
    </row>
    <row r="89" ht="24" customHeight="1">
      <c r="A89" s="19" t="inlineStr">
        <is>
          <t>소일네일 천공</t>
        </is>
      </c>
      <c r="B89" s="7" t="n"/>
      <c r="C89" s="7" t="n"/>
      <c r="D89" s="7" t="n"/>
      <c r="E89" s="19" t="inlineStr">
        <is>
          <t>공</t>
        </is>
      </c>
      <c r="F89" s="7" t="n"/>
      <c r="G89" s="56" t="n">
        <v>1895</v>
      </c>
      <c r="H89" s="7" t="n"/>
      <c r="I89" s="7" t="n"/>
      <c r="J89" s="57" t="n"/>
      <c r="K89" s="7" t="n"/>
      <c r="L89" s="7" t="n"/>
    </row>
    <row r="90" ht="24" customHeight="1">
      <c r="A90" s="19" t="inlineStr">
        <is>
          <t>숏크리트 타설</t>
        </is>
      </c>
      <c r="B90" s="7" t="n"/>
      <c r="C90" s="7" t="n"/>
      <c r="D90" s="7" t="n"/>
      <c r="E90" s="19" t="inlineStr">
        <is>
          <t>㎥</t>
        </is>
      </c>
      <c r="F90" s="7" t="n"/>
      <c r="G90" s="56" t="n">
        <v>765</v>
      </c>
      <c r="H90" s="7" t="n"/>
      <c r="I90" s="7" t="n"/>
      <c r="J90" s="57" t="n"/>
      <c r="K90" s="7" t="n"/>
      <c r="L90" s="7" t="n"/>
    </row>
    <row r="91" ht="24" customHeight="1">
      <c r="A91" s="19" t="inlineStr">
        <is>
          <t>숏크리트 면적</t>
        </is>
      </c>
      <c r="B91" s="7" t="n"/>
      <c r="C91" s="7" t="n"/>
      <c r="D91" s="7" t="n"/>
      <c r="E91" s="19" t="inlineStr">
        <is>
          <t>㎡</t>
        </is>
      </c>
      <c r="F91" s="7" t="n"/>
      <c r="G91" s="56" t="n">
        <v>3924</v>
      </c>
      <c r="H91" s="7" t="n"/>
      <c r="I91" s="7" t="n"/>
      <c r="J91" s="57" t="n"/>
      <c r="K91" s="7" t="n"/>
      <c r="L91" s="7" t="n"/>
    </row>
    <row r="92" ht="30" customHeight="1">
      <c r="A92" s="5" t="inlineStr"/>
      <c r="D92" s="52" t="inlineStr">
        <is>
          <t>1차 숏크리트 타설</t>
        </is>
      </c>
      <c r="E92" s="7" t="n"/>
      <c r="F92" s="7" t="n"/>
      <c r="G92" s="7" t="n"/>
      <c r="H92" s="7" t="n"/>
      <c r="I92" s="7" t="n"/>
      <c r="J92" s="25" t="inlineStr"/>
    </row>
    <row r="93" ht="12" customHeight="1">
      <c r="A93" s="53" t="inlineStr">
        <is>
          <t>▼</t>
        </is>
      </c>
    </row>
    <row r="94" ht="30" customHeight="1">
      <c r="A94" s="5" t="inlineStr"/>
      <c r="D94" s="52" t="inlineStr">
        <is>
          <t>소일네일 천공</t>
        </is>
      </c>
      <c r="E94" s="7" t="n"/>
      <c r="F94" s="7" t="n"/>
      <c r="G94" s="7" t="n"/>
      <c r="H94" s="7" t="n"/>
      <c r="I94" s="7" t="n"/>
      <c r="J94" s="25" t="inlineStr"/>
    </row>
    <row r="95" ht="12" customHeight="1">
      <c r="A95" s="53" t="inlineStr">
        <is>
          <t>▼</t>
        </is>
      </c>
    </row>
    <row r="96" ht="30" customHeight="1">
      <c r="A96" s="5" t="inlineStr"/>
      <c r="D96" s="52" t="inlineStr">
        <is>
          <t>철근 삽입 및 그라우트 주입</t>
        </is>
      </c>
      <c r="E96" s="7" t="n"/>
      <c r="F96" s="7" t="n"/>
      <c r="G96" s="7" t="n"/>
      <c r="H96" s="7" t="n"/>
      <c r="I96" s="7" t="n"/>
      <c r="J96" s="25" t="inlineStr"/>
    </row>
    <row r="97" ht="12" customHeight="1">
      <c r="A97" s="53" t="inlineStr">
        <is>
          <t>▼</t>
        </is>
      </c>
    </row>
    <row r="98" ht="30" customHeight="1">
      <c r="A98" s="5" t="inlineStr"/>
      <c r="D98" s="52" t="inlineStr">
        <is>
          <t>와이어메시 조립</t>
        </is>
      </c>
      <c r="E98" s="7" t="n"/>
      <c r="F98" s="7" t="n"/>
      <c r="G98" s="7" t="n"/>
      <c r="H98" s="7" t="n"/>
      <c r="I98" s="7" t="n"/>
      <c r="J98" s="25" t="inlineStr"/>
    </row>
    <row r="99" ht="12" customHeight="1">
      <c r="A99" s="53" t="inlineStr">
        <is>
          <t>▼</t>
        </is>
      </c>
    </row>
    <row r="100" ht="30" customHeight="1">
      <c r="A100" s="5" t="inlineStr"/>
      <c r="D100" s="52" t="inlineStr">
        <is>
          <t>2차 숏크리트 타설</t>
        </is>
      </c>
      <c r="E100" s="7" t="n"/>
      <c r="F100" s="7" t="n"/>
      <c r="G100" s="7" t="n"/>
      <c r="H100" s="7" t="n"/>
      <c r="I100" s="7" t="n"/>
      <c r="J100" s="25" t="inlineStr"/>
    </row>
    <row r="101" ht="18" customHeight="1">
      <c r="A101" s="24" t="inlineStr">
        <is>
          <t>(단계별 시공 사진을 붙이는 곳)</t>
        </is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 ht="18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 ht="18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 ht="18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 ht="18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 ht="18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 ht="3" customHeight="1"/>
    <row r="108" ht="22" customHeight="1">
      <c r="A108" s="15" t="inlineStr">
        <is>
          <t>3.5.3  토공사 세부시공계획</t>
        </is>
      </c>
    </row>
    <row r="109" ht="18" customHeight="1">
      <c r="A109" s="24" t="inlineStr">
        <is>
          <t>(시공 단면도를 붙이는 곳 — 토사 · 풍화암 · 연암 구분과 굴착 단계)</t>
        </is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 ht="18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 ht="18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 ht="18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 ht="18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 ht="18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 ht="18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 ht="18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7" ht="18" customHeight="1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</row>
    <row r="118" ht="24" customHeight="1">
      <c r="A118" s="27" t="inlineStr">
        <is>
          <t>순 서</t>
        </is>
      </c>
      <c r="B118" s="27" t="inlineStr">
        <is>
          <t>작    업</t>
        </is>
      </c>
      <c r="C118" s="7" t="n"/>
      <c r="D118" s="7" t="n"/>
      <c r="E118" s="7" t="n"/>
      <c r="F118" s="7" t="n"/>
      <c r="G118" s="27" t="inlineStr">
        <is>
          <t>장    비</t>
        </is>
      </c>
      <c r="H118" s="7" t="n"/>
      <c r="I118" s="7" t="n"/>
      <c r="J118" s="7" t="n"/>
      <c r="K118" s="7" t="n"/>
      <c r="L118" s="7" t="n"/>
    </row>
    <row r="119" ht="24" customHeight="1">
      <c r="A119" s="54" t="inlineStr">
        <is>
          <t>1</t>
        </is>
      </c>
      <c r="B119" s="55" t="inlineStr">
        <is>
          <t>측량 — 현 지반고 및 수준점 측량</t>
        </is>
      </c>
      <c r="C119" s="7" t="n"/>
      <c r="D119" s="7" t="n"/>
      <c r="E119" s="7" t="n"/>
      <c r="F119" s="7" t="n"/>
      <c r="G119" s="55" t="inlineStr"/>
      <c r="H119" s="7" t="n"/>
      <c r="I119" s="7" t="n"/>
      <c r="J119" s="7" t="n"/>
      <c r="K119" s="7" t="n"/>
      <c r="L119" s="7" t="n"/>
    </row>
    <row r="120" ht="24" customHeight="1">
      <c r="A120" s="54" t="inlineStr">
        <is>
          <t>2</t>
        </is>
      </c>
      <c r="B120" s="55" t="inlineStr">
        <is>
          <t>토사 굴착 및 잔토 처리</t>
        </is>
      </c>
      <c r="C120" s="7" t="n"/>
      <c r="D120" s="7" t="n"/>
      <c r="E120" s="7" t="n"/>
      <c r="F120" s="7" t="n"/>
      <c r="G120" s="55" t="inlineStr">
        <is>
          <t>백호(B/H)</t>
        </is>
      </c>
      <c r="H120" s="7" t="n"/>
      <c r="I120" s="7" t="n"/>
      <c r="J120" s="7" t="n"/>
      <c r="K120" s="7" t="n"/>
      <c r="L120" s="7" t="n"/>
    </row>
    <row r="121" ht="24" customHeight="1">
      <c r="A121" s="54" t="inlineStr">
        <is>
          <t>3</t>
        </is>
      </c>
      <c r="B121" s="55" t="inlineStr">
        <is>
          <t>풍화암 굴착 및 잔토 처리</t>
        </is>
      </c>
      <c r="C121" s="7" t="n"/>
      <c r="D121" s="7" t="n"/>
      <c r="E121" s="7" t="n"/>
      <c r="F121" s="7" t="n"/>
      <c r="G121" s="55" t="inlineStr">
        <is>
          <t>백호 + 브레이커</t>
        </is>
      </c>
      <c r="H121" s="7" t="n"/>
      <c r="I121" s="7" t="n"/>
      <c r="J121" s="7" t="n"/>
      <c r="K121" s="7" t="n"/>
      <c r="L121" s="7" t="n"/>
    </row>
    <row r="122" ht="24" customHeight="1">
      <c r="A122" s="54" t="inlineStr">
        <is>
          <t>4</t>
        </is>
      </c>
      <c r="B122" s="55" t="inlineStr">
        <is>
          <t>연암 굴착 및 잔토 처리</t>
        </is>
      </c>
      <c r="C122" s="7" t="n"/>
      <c r="D122" s="7" t="n"/>
      <c r="E122" s="7" t="n"/>
      <c r="F122" s="7" t="n"/>
      <c r="G122" s="55" t="inlineStr">
        <is>
          <t>백호 + 브레이커</t>
        </is>
      </c>
      <c r="H122" s="7" t="n"/>
      <c r="I122" s="7" t="n"/>
      <c r="J122" s="7" t="n"/>
      <c r="K122" s="7" t="n"/>
      <c r="L122" s="7" t="n"/>
    </row>
    <row r="123" ht="24" customHeight="1">
      <c r="A123" s="54" t="inlineStr">
        <is>
          <t>5</t>
        </is>
      </c>
      <c r="B123" s="55" t="inlineStr">
        <is>
          <t>집수정 및 PIT 터파기</t>
        </is>
      </c>
      <c r="C123" s="7" t="n"/>
      <c r="D123" s="7" t="n"/>
      <c r="E123" s="7" t="n"/>
      <c r="F123" s="7" t="n"/>
      <c r="G123" s="55" t="inlineStr">
        <is>
          <t>백호 + 브레이커</t>
        </is>
      </c>
      <c r="H123" s="7" t="n"/>
      <c r="I123" s="7" t="n"/>
      <c r="J123" s="7" t="n"/>
      <c r="K123" s="7" t="n"/>
      <c r="L123" s="7" t="n"/>
    </row>
    <row r="124" ht="24" customHeight="1">
      <c r="A124" s="54" t="inlineStr">
        <is>
          <t>6</t>
        </is>
      </c>
      <c r="B124" s="55" t="inlineStr">
        <is>
          <t>바닥면 정리</t>
        </is>
      </c>
      <c r="C124" s="7" t="n"/>
      <c r="D124" s="7" t="n"/>
      <c r="E124" s="7" t="n"/>
      <c r="F124" s="7" t="n"/>
      <c r="G124" s="55" t="inlineStr">
        <is>
          <t>백호 + 브레이커</t>
        </is>
      </c>
      <c r="H124" s="7" t="n"/>
      <c r="I124" s="7" t="n"/>
      <c r="J124" s="7" t="n"/>
      <c r="K124" s="7" t="n"/>
      <c r="L124" s="7" t="n"/>
    </row>
    <row r="126" ht="19.5" customHeight="1">
      <c r="A126" s="11" t="inlineStr">
        <is>
          <t>이 시트는 작성 예시입니다(가상의 수량).</t>
        </is>
      </c>
    </row>
  </sheetData>
  <mergeCells count="296">
    <mergeCell ref="H53:I53"/>
    <mergeCell ref="D86:L86"/>
    <mergeCell ref="H35:I35"/>
    <mergeCell ref="A37:C37"/>
    <mergeCell ref="J74:L74"/>
    <mergeCell ref="A51:B51"/>
    <mergeCell ref="J27:L27"/>
    <mergeCell ref="D70:L70"/>
    <mergeCell ref="J35:L35"/>
    <mergeCell ref="H55:I55"/>
    <mergeCell ref="B122:F122"/>
    <mergeCell ref="C21:E21"/>
    <mergeCell ref="B12:C12"/>
    <mergeCell ref="G24:I24"/>
    <mergeCell ref="J25:L25"/>
    <mergeCell ref="H39:I39"/>
    <mergeCell ref="A54:B54"/>
    <mergeCell ref="A71:C71"/>
    <mergeCell ref="D72:L72"/>
    <mergeCell ref="C54:D54"/>
    <mergeCell ref="E73:F73"/>
    <mergeCell ref="G89:I89"/>
    <mergeCell ref="G124:L124"/>
    <mergeCell ref="D13:E13"/>
    <mergeCell ref="C23:E23"/>
    <mergeCell ref="J66:L66"/>
    <mergeCell ref="J75:L75"/>
    <mergeCell ref="C50:D50"/>
    <mergeCell ref="E57:G57"/>
    <mergeCell ref="D71:L71"/>
    <mergeCell ref="G73:I73"/>
    <mergeCell ref="G26:I26"/>
    <mergeCell ref="A73:D73"/>
    <mergeCell ref="G88:I88"/>
    <mergeCell ref="J50:L50"/>
    <mergeCell ref="A27:B27"/>
    <mergeCell ref="A56:B56"/>
    <mergeCell ref="A43:C43"/>
    <mergeCell ref="H52:I52"/>
    <mergeCell ref="C56:D56"/>
    <mergeCell ref="B13:C13"/>
    <mergeCell ref="G16:I16"/>
    <mergeCell ref="J46:L46"/>
    <mergeCell ref="E8:H8"/>
    <mergeCell ref="D45:G45"/>
    <mergeCell ref="G90:I90"/>
    <mergeCell ref="A63:L63"/>
    <mergeCell ref="H45:I45"/>
    <mergeCell ref="J52:L52"/>
    <mergeCell ref="B78:L78"/>
    <mergeCell ref="D96:I96"/>
    <mergeCell ref="A93:L93"/>
    <mergeCell ref="C18:E18"/>
    <mergeCell ref="J92:L92"/>
    <mergeCell ref="A7:D7"/>
    <mergeCell ref="J39:L39"/>
    <mergeCell ref="H37:I37"/>
    <mergeCell ref="F13:G13"/>
    <mergeCell ref="A17:B17"/>
    <mergeCell ref="A34:C34"/>
    <mergeCell ref="H13:I13"/>
    <mergeCell ref="D60:I60"/>
    <mergeCell ref="A77:L77"/>
    <mergeCell ref="A22:B22"/>
    <mergeCell ref="A53:B53"/>
    <mergeCell ref="A46:G46"/>
    <mergeCell ref="A83:L83"/>
    <mergeCell ref="D100:I100"/>
    <mergeCell ref="E91:F91"/>
    <mergeCell ref="J38:L38"/>
    <mergeCell ref="B118:F118"/>
    <mergeCell ref="A19:B19"/>
    <mergeCell ref="A28:B28"/>
    <mergeCell ref="E75:F75"/>
    <mergeCell ref="A6:L6"/>
    <mergeCell ref="J40:L40"/>
    <mergeCell ref="A69:C69"/>
    <mergeCell ref="C20:E20"/>
    <mergeCell ref="C25:E25"/>
    <mergeCell ref="A101:L106"/>
    <mergeCell ref="J24:L24"/>
    <mergeCell ref="A66:C66"/>
    <mergeCell ref="G28:I28"/>
    <mergeCell ref="J89:L89"/>
    <mergeCell ref="F10:G10"/>
    <mergeCell ref="H54:I54"/>
    <mergeCell ref="C22:E22"/>
    <mergeCell ref="H41:I41"/>
    <mergeCell ref="B121:F121"/>
    <mergeCell ref="D33:G33"/>
    <mergeCell ref="H50:I50"/>
    <mergeCell ref="J26:L26"/>
    <mergeCell ref="G121:L121"/>
    <mergeCell ref="A3:L3"/>
    <mergeCell ref="D42:G42"/>
    <mergeCell ref="H56:I56"/>
    <mergeCell ref="A95:L95"/>
    <mergeCell ref="H34:I34"/>
    <mergeCell ref="J41:L41"/>
    <mergeCell ref="J16:L16"/>
    <mergeCell ref="D35:G35"/>
    <mergeCell ref="A32:C32"/>
    <mergeCell ref="D62:I62"/>
    <mergeCell ref="G123:L123"/>
    <mergeCell ref="D44:G44"/>
    <mergeCell ref="B120:F120"/>
    <mergeCell ref="H49:I49"/>
    <mergeCell ref="J91:L91"/>
    <mergeCell ref="A97:L97"/>
    <mergeCell ref="D34:G34"/>
    <mergeCell ref="H36:I36"/>
    <mergeCell ref="J43:L43"/>
    <mergeCell ref="A38:C38"/>
    <mergeCell ref="H10:K10"/>
    <mergeCell ref="G29:L29"/>
    <mergeCell ref="E54:G54"/>
    <mergeCell ref="D64:I64"/>
    <mergeCell ref="A96:C96"/>
    <mergeCell ref="A26:B26"/>
    <mergeCell ref="J33:L33"/>
    <mergeCell ref="A44:C44"/>
    <mergeCell ref="J42:L42"/>
    <mergeCell ref="A88:D88"/>
    <mergeCell ref="D36:G36"/>
    <mergeCell ref="E90:F90"/>
    <mergeCell ref="A40:C40"/>
    <mergeCell ref="A31:L31"/>
    <mergeCell ref="B11:E11"/>
    <mergeCell ref="E56:G56"/>
    <mergeCell ref="I7:L7"/>
    <mergeCell ref="J44:L44"/>
    <mergeCell ref="A90:D90"/>
    <mergeCell ref="C24:E24"/>
    <mergeCell ref="A60:C60"/>
    <mergeCell ref="H12:I12"/>
    <mergeCell ref="A29:E29"/>
    <mergeCell ref="J12:K12"/>
    <mergeCell ref="A52:B52"/>
    <mergeCell ref="G27:I27"/>
    <mergeCell ref="J28:L28"/>
    <mergeCell ref="A74:D74"/>
    <mergeCell ref="E76:F76"/>
    <mergeCell ref="J37:L37"/>
    <mergeCell ref="H11:K11"/>
    <mergeCell ref="C57:D57"/>
    <mergeCell ref="J60:L60"/>
    <mergeCell ref="B80:L80"/>
    <mergeCell ref="B124:F124"/>
    <mergeCell ref="C26:E26"/>
    <mergeCell ref="A109:L117"/>
    <mergeCell ref="G17:I17"/>
    <mergeCell ref="C53:D53"/>
    <mergeCell ref="D37:G37"/>
    <mergeCell ref="A76:D76"/>
    <mergeCell ref="B79:L79"/>
    <mergeCell ref="J53:L53"/>
    <mergeCell ref="C16:E16"/>
    <mergeCell ref="A8:D8"/>
    <mergeCell ref="H38:I38"/>
    <mergeCell ref="A91:D91"/>
    <mergeCell ref="G19:I19"/>
    <mergeCell ref="D39:G39"/>
    <mergeCell ref="A84:C84"/>
    <mergeCell ref="A49:B49"/>
    <mergeCell ref="H43:I43"/>
    <mergeCell ref="J98:L98"/>
    <mergeCell ref="A108:L108"/>
    <mergeCell ref="B81:L81"/>
    <mergeCell ref="J55:L55"/>
    <mergeCell ref="G74:I74"/>
    <mergeCell ref="D38:G38"/>
    <mergeCell ref="H40:I40"/>
    <mergeCell ref="A86:C86"/>
    <mergeCell ref="A42:C42"/>
    <mergeCell ref="J54:L54"/>
    <mergeCell ref="J32:L32"/>
    <mergeCell ref="A62:C62"/>
    <mergeCell ref="G20:I20"/>
    <mergeCell ref="J56:L56"/>
    <mergeCell ref="J96:L96"/>
    <mergeCell ref="J90:L90"/>
    <mergeCell ref="A55:B55"/>
    <mergeCell ref="A72:C72"/>
    <mergeCell ref="A21:B21"/>
    <mergeCell ref="C28:E28"/>
    <mergeCell ref="D98:I98"/>
    <mergeCell ref="G22:I22"/>
    <mergeCell ref="J18:L18"/>
    <mergeCell ref="C51:D51"/>
    <mergeCell ref="A57:B57"/>
    <mergeCell ref="J76:L76"/>
    <mergeCell ref="D85:L85"/>
    <mergeCell ref="E89:F89"/>
    <mergeCell ref="H57:I57"/>
    <mergeCell ref="J17:L17"/>
    <mergeCell ref="A23:B23"/>
    <mergeCell ref="J73:L73"/>
    <mergeCell ref="G21:I21"/>
    <mergeCell ref="D69:L69"/>
    <mergeCell ref="D12:E12"/>
    <mergeCell ref="A59:L59"/>
    <mergeCell ref="A64:C64"/>
    <mergeCell ref="A98:C98"/>
    <mergeCell ref="A15:L15"/>
    <mergeCell ref="J57:L57"/>
    <mergeCell ref="A89:D89"/>
    <mergeCell ref="J19:L19"/>
    <mergeCell ref="A1:F1"/>
    <mergeCell ref="H42:I42"/>
    <mergeCell ref="G23:I23"/>
    <mergeCell ref="A70:C70"/>
    <mergeCell ref="A61:L61"/>
    <mergeCell ref="B123:F123"/>
    <mergeCell ref="J34:L34"/>
    <mergeCell ref="G122:L122"/>
    <mergeCell ref="E51:G51"/>
    <mergeCell ref="C49:D49"/>
    <mergeCell ref="F11:G11"/>
    <mergeCell ref="A24:B24"/>
    <mergeCell ref="A41:C41"/>
    <mergeCell ref="J49:L49"/>
    <mergeCell ref="I8:L8"/>
    <mergeCell ref="J36:L36"/>
    <mergeCell ref="A99:L99"/>
    <mergeCell ref="J45:L45"/>
    <mergeCell ref="G18:I18"/>
    <mergeCell ref="E7:H7"/>
    <mergeCell ref="G118:L118"/>
    <mergeCell ref="D66:I66"/>
    <mergeCell ref="J20:L20"/>
    <mergeCell ref="H44:I44"/>
    <mergeCell ref="J13:K13"/>
    <mergeCell ref="E88:F88"/>
    <mergeCell ref="J100:L100"/>
    <mergeCell ref="D87:L87"/>
    <mergeCell ref="J94:L94"/>
    <mergeCell ref="F12:G12"/>
    <mergeCell ref="A16:B16"/>
    <mergeCell ref="C27:E27"/>
    <mergeCell ref="A33:C33"/>
    <mergeCell ref="A25:B25"/>
    <mergeCell ref="E49:G49"/>
    <mergeCell ref="H46:I46"/>
    <mergeCell ref="J22:L22"/>
    <mergeCell ref="A85:C85"/>
    <mergeCell ref="G119:L119"/>
    <mergeCell ref="H51:I51"/>
    <mergeCell ref="C55:D55"/>
    <mergeCell ref="C17:E17"/>
    <mergeCell ref="A100:C100"/>
    <mergeCell ref="A126:L126"/>
    <mergeCell ref="A18:B18"/>
    <mergeCell ref="A35:C35"/>
    <mergeCell ref="D92:I92"/>
    <mergeCell ref="E74:F74"/>
    <mergeCell ref="J21:L21"/>
    <mergeCell ref="G76:I76"/>
    <mergeCell ref="G91:I91"/>
    <mergeCell ref="G25:I25"/>
    <mergeCell ref="A50:B50"/>
    <mergeCell ref="G1:L1"/>
    <mergeCell ref="D40:G40"/>
    <mergeCell ref="J51:L51"/>
    <mergeCell ref="B119:F119"/>
    <mergeCell ref="C19:E19"/>
    <mergeCell ref="J62:L62"/>
    <mergeCell ref="A68:L68"/>
    <mergeCell ref="H32:I32"/>
    <mergeCell ref="E53:G53"/>
    <mergeCell ref="G75:I75"/>
    <mergeCell ref="D94:I94"/>
    <mergeCell ref="J23:L23"/>
    <mergeCell ref="E50:G50"/>
    <mergeCell ref="A92:C92"/>
    <mergeCell ref="A9:L9"/>
    <mergeCell ref="A39:C39"/>
    <mergeCell ref="C52:D52"/>
    <mergeCell ref="J64:L64"/>
    <mergeCell ref="D32:G32"/>
    <mergeCell ref="A48:L48"/>
    <mergeCell ref="E55:G55"/>
    <mergeCell ref="A20:B20"/>
    <mergeCell ref="D41:G41"/>
    <mergeCell ref="A36:C36"/>
    <mergeCell ref="A75:D75"/>
    <mergeCell ref="G120:L120"/>
    <mergeCell ref="E52:G52"/>
    <mergeCell ref="A45:C45"/>
    <mergeCell ref="A94:C94"/>
    <mergeCell ref="J88:L88"/>
    <mergeCell ref="D84:L84"/>
    <mergeCell ref="H33:I33"/>
    <mergeCell ref="D43:G43"/>
    <mergeCell ref="A87:C87"/>
    <mergeCell ref="B10:E10"/>
    <mergeCell ref="A65:L65"/>
  </mergeCells>
  <conditionalFormatting sqref="G74:G76">
    <cfRule type="expression" priority="1" dxfId="1">
      <formula>AND(ISNUMBER(G74),MOD(G74,1)=0)</formula>
    </cfRule>
  </conditionalFormatting>
  <conditionalFormatting sqref="G89:G91">
    <cfRule type="expression" priority="2" dxfId="1">
      <formula>AND(ISNUMBER(G89),MOD(G89,1)=0)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4" manualBreakCount="4">
    <brk id="29" min="0" max="16383" man="1"/>
    <brk id="57" min="0" max="16383" man="1"/>
    <brk id="81" min="0" max="16383" man="1"/>
    <brk id="106" min="0" max="16383" man="1"/>
  </rowBreaks>
</worksheet>
</file>

<file path=xl/worksheets/sheet1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82" t="inlineStr">
        <is>
          <t xml:space="preserve">작성 예시 (가상의 현장)  </t>
        </is>
      </c>
    </row>
    <row r="2" ht="4" customHeight="1"/>
    <row r="3" ht="30" customHeight="1">
      <c r="A3" s="14" t="inlineStr">
        <is>
          <t>4.  안전 · 환경관리계획</t>
        </is>
      </c>
    </row>
    <row r="4" ht="4" customHeight="1"/>
    <row r="5" ht="3" customHeight="1"/>
    <row r="6" ht="22" customHeight="1">
      <c r="A6" s="15" t="inlineStr">
        <is>
          <t>4.1  안전관리 조직표</t>
        </is>
      </c>
    </row>
    <row r="7" ht="20" customHeight="1">
      <c r="A7" s="24" t="inlineStr">
        <is>
          <t>(안전관리 조직표를 붙이는 곳 — 현장대리인 · 안전관리자 · 관리감독자 · 협력업체)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3" customHeight="1"/>
    <row r="18" ht="22" customHeight="1">
      <c r="A18" s="15" t="inlineStr">
        <is>
          <t>4.2  비상연락망</t>
        </is>
      </c>
    </row>
    <row r="19" ht="24" customHeight="1">
      <c r="A19" s="27" t="inlineStr">
        <is>
          <t>구    분</t>
        </is>
      </c>
      <c r="B19" s="7" t="n"/>
      <c r="C19" s="7" t="n"/>
      <c r="D19" s="27" t="inlineStr">
        <is>
          <t>기관 · 성명</t>
        </is>
      </c>
      <c r="E19" s="7" t="n"/>
      <c r="F19" s="7" t="n"/>
      <c r="G19" s="27" t="inlineStr">
        <is>
          <t>전화번호</t>
        </is>
      </c>
      <c r="H19" s="7" t="n"/>
      <c r="I19" s="7" t="n"/>
      <c r="J19" s="27" t="inlineStr">
        <is>
          <t>비   고</t>
        </is>
      </c>
      <c r="K19" s="7" t="n"/>
      <c r="L19" s="7" t="n"/>
    </row>
    <row r="20" ht="24" customHeight="1">
      <c r="A20" s="19" t="inlineStr">
        <is>
          <t>화재 · 구급</t>
        </is>
      </c>
      <c r="B20" s="7" t="n"/>
      <c r="C20" s="7" t="n"/>
      <c r="D20" s="8" t="inlineStr">
        <is>
          <t>소방서</t>
        </is>
      </c>
      <c r="E20" s="7" t="n"/>
      <c r="F20" s="7" t="n"/>
      <c r="G20" s="8" t="inlineStr">
        <is>
          <t>119</t>
        </is>
      </c>
      <c r="H20" s="7" t="n"/>
      <c r="I20" s="7" t="n"/>
      <c r="J20" s="57" t="n"/>
      <c r="K20" s="7" t="n"/>
      <c r="L20" s="7" t="n"/>
    </row>
    <row r="21" ht="24" customHeight="1">
      <c r="A21" s="19" t="inlineStr">
        <is>
          <t>사고 · 범죄</t>
        </is>
      </c>
      <c r="B21" s="7" t="n"/>
      <c r="C21" s="7" t="n"/>
      <c r="D21" s="8" t="inlineStr">
        <is>
          <t>경찰서</t>
        </is>
      </c>
      <c r="E21" s="7" t="n"/>
      <c r="F21" s="7" t="n"/>
      <c r="G21" s="8" t="inlineStr">
        <is>
          <t>112</t>
        </is>
      </c>
      <c r="H21" s="7" t="n"/>
      <c r="I21" s="7" t="n"/>
      <c r="J21" s="57" t="n"/>
      <c r="K21" s="7" t="n"/>
      <c r="L21" s="7" t="n"/>
    </row>
    <row r="22" ht="24" customHeight="1">
      <c r="A22" s="19" t="inlineStr">
        <is>
          <t>현장대리인</t>
        </is>
      </c>
      <c r="B22" s="7" t="n"/>
      <c r="C22" s="7" t="n"/>
      <c r="D22" s="8" t="inlineStr">
        <is>
          <t>홍길동</t>
        </is>
      </c>
      <c r="E22" s="7" t="n"/>
      <c r="F22" s="7" t="n"/>
      <c r="G22" s="8" t="n"/>
      <c r="H22" s="7" t="n"/>
      <c r="I22" s="7" t="n"/>
      <c r="J22" s="57" t="n"/>
      <c r="K22" s="7" t="n"/>
      <c r="L22" s="7" t="n"/>
    </row>
    <row r="23" ht="24" customHeight="1">
      <c r="A23" s="19" t="inlineStr">
        <is>
          <t>안전관리자</t>
        </is>
      </c>
      <c r="B23" s="7" t="n"/>
      <c r="C23" s="7" t="n"/>
      <c r="D23" s="8" t="n"/>
      <c r="E23" s="7" t="n"/>
      <c r="F23" s="7" t="n"/>
      <c r="G23" s="8" t="n"/>
      <c r="H23" s="7" t="n"/>
      <c r="I23" s="7" t="n"/>
      <c r="J23" s="57" t="n"/>
      <c r="K23" s="7" t="n"/>
      <c r="L23" s="7" t="n"/>
    </row>
    <row r="24" ht="24" customHeight="1">
      <c r="A24" s="19" t="inlineStr">
        <is>
          <t>본사 안전팀</t>
        </is>
      </c>
      <c r="B24" s="7" t="n"/>
      <c r="C24" s="7" t="n"/>
      <c r="D24" s="8" t="n"/>
      <c r="E24" s="7" t="n"/>
      <c r="F24" s="7" t="n"/>
      <c r="G24" s="8" t="n"/>
      <c r="H24" s="7" t="n"/>
      <c r="I24" s="7" t="n"/>
      <c r="J24" s="57" t="n"/>
      <c r="K24" s="7" t="n"/>
      <c r="L24" s="7" t="n"/>
    </row>
    <row r="25" ht="24" customHeight="1">
      <c r="A25" s="19" t="inlineStr">
        <is>
          <t>인근 병원(응급실)</t>
        </is>
      </c>
      <c r="B25" s="7" t="n"/>
      <c r="C25" s="7" t="n"/>
      <c r="D25" s="8" t="n"/>
      <c r="E25" s="7" t="n"/>
      <c r="F25" s="7" t="n"/>
      <c r="G25" s="8" t="n"/>
      <c r="H25" s="7" t="n"/>
      <c r="I25" s="7" t="n"/>
      <c r="J25" s="57" t="n"/>
      <c r="K25" s="7" t="n"/>
      <c r="L25" s="7" t="n"/>
    </row>
    <row r="26" ht="24" customHeight="1">
      <c r="A26" s="19" t="inlineStr">
        <is>
          <t>관할 구청(건축 · 안전)</t>
        </is>
      </c>
      <c r="B26" s="7" t="n"/>
      <c r="C26" s="7" t="n"/>
      <c r="D26" s="8" t="n"/>
      <c r="E26" s="7" t="n"/>
      <c r="F26" s="7" t="n"/>
      <c r="G26" s="8" t="n"/>
      <c r="H26" s="7" t="n"/>
      <c r="I26" s="7" t="n"/>
      <c r="J26" s="57" t="n"/>
      <c r="K26" s="7" t="n"/>
      <c r="L26" s="7" t="n"/>
    </row>
    <row r="28" ht="19.5" customHeight="1">
      <c r="A28" s="11" t="inlineStr">
        <is>
          <t>이 시트는 작성 예시입니다.</t>
        </is>
      </c>
    </row>
  </sheetData>
  <mergeCells count="39">
    <mergeCell ref="A7:L16"/>
    <mergeCell ref="A25:C25"/>
    <mergeCell ref="J24:L24"/>
    <mergeCell ref="G19:I19"/>
    <mergeCell ref="A21:C21"/>
    <mergeCell ref="A18:L18"/>
    <mergeCell ref="J20:L20"/>
    <mergeCell ref="J26:L26"/>
    <mergeCell ref="A3:L3"/>
    <mergeCell ref="A26:C26"/>
    <mergeCell ref="G24:I24"/>
    <mergeCell ref="J25:L25"/>
    <mergeCell ref="A23:C23"/>
    <mergeCell ref="J22:L22"/>
    <mergeCell ref="A22:C22"/>
    <mergeCell ref="G20:I20"/>
    <mergeCell ref="G26:I26"/>
    <mergeCell ref="D25:F25"/>
    <mergeCell ref="A20:C20"/>
    <mergeCell ref="J21:L21"/>
    <mergeCell ref="D24:F24"/>
    <mergeCell ref="G25:I25"/>
    <mergeCell ref="G1:L1"/>
    <mergeCell ref="A19:C19"/>
    <mergeCell ref="D23:F23"/>
    <mergeCell ref="G22:I22"/>
    <mergeCell ref="A28:L28"/>
    <mergeCell ref="J23:L23"/>
    <mergeCell ref="D26:F26"/>
    <mergeCell ref="G21:I21"/>
    <mergeCell ref="D20:F20"/>
    <mergeCell ref="A24:C24"/>
    <mergeCell ref="D19:F19"/>
    <mergeCell ref="J19:L19"/>
    <mergeCell ref="A1:F1"/>
    <mergeCell ref="D22:F22"/>
    <mergeCell ref="G23:I23"/>
    <mergeCell ref="A6:L6"/>
    <mergeCell ref="D21:F21"/>
  </mergeCells>
  <printOptions horizontalCentered="1"/>
  <pageMargins left="0.6" right="0.6" top="0.6" bottom="0.6" header="0.2" footer="0.2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M28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4.5" customWidth="1" min="3" max="3"/>
    <col width="5.5" customWidth="1" min="4" max="4"/>
    <col width="8.5" customWidth="1" min="5" max="5"/>
    <col width="10" customWidth="1" min="6" max="6"/>
    <col width="5" customWidth="1" min="7" max="7"/>
    <col width="9.5" customWidth="1" min="8" max="8"/>
    <col width="5" customWidth="1" min="9" max="9"/>
    <col width="9.5" customWidth="1" min="10" max="10"/>
    <col width="5" customWidth="1" min="11" max="11"/>
    <col width="9.5" customWidth="1" min="12" max="12"/>
    <col width="8" customWidth="1" min="13" max="13"/>
  </cols>
  <sheetData>
    <row r="1" ht="20" customHeight="1">
      <c r="A1" s="1" t="inlineStr">
        <is>
          <t xml:space="preserve">  K-건설맵  |  k-conmap.com  건설 서식</t>
        </is>
      </c>
      <c r="G1" s="82" t="inlineStr">
        <is>
          <t xml:space="preserve">작성 예시 (가상의 현장)  </t>
        </is>
      </c>
    </row>
    <row r="2" ht="34" customHeight="1">
      <c r="A2" s="26" t="inlineStr">
        <is>
          <t>4.3  안전관리비 세부집행계획서</t>
        </is>
      </c>
    </row>
    <row r="3" ht="22" customHeight="1">
      <c r="A3" s="6" t="inlineStr">
        <is>
          <t>첫 달</t>
        </is>
      </c>
      <c r="B3" s="7" t="n"/>
      <c r="C3" s="61" t="n">
        <v>46054</v>
      </c>
      <c r="D3" s="7" t="n"/>
      <c r="E3" s="11" t="inlineStr">
        <is>
          <t>※ 첫 달을 적으면 달 이름이 저절로 바뀝니다. 월별 수량 합이 총수량과 다르면 «대조» 칸에 알림이 뜹니다.</t>
        </is>
      </c>
    </row>
    <row r="4" ht="20" customHeight="1">
      <c r="A4" s="27" t="inlineStr">
        <is>
          <t>항  목</t>
        </is>
      </c>
      <c r="B4" s="27" t="inlineStr">
        <is>
          <t>내  용</t>
        </is>
      </c>
      <c r="C4" s="28" t="inlineStr">
        <is>
          <t>단위</t>
        </is>
      </c>
      <c r="D4" s="27" t="inlineStr">
        <is>
          <t>수량</t>
        </is>
      </c>
      <c r="E4" s="27" t="inlineStr">
        <is>
          <t>단  가</t>
        </is>
      </c>
      <c r="F4" s="27" t="inlineStr">
        <is>
          <t>금  액</t>
        </is>
      </c>
      <c r="G4" s="62">
        <f>IF(N(C3)=0,"1월째",MONTH(EDATE(C3,0))&amp;"월")</f>
        <v/>
      </c>
      <c r="H4" s="7" t="n"/>
      <c r="I4" s="62">
        <f>IF(N(C3)=0,"2월째",MONTH(EDATE(C3,1))&amp;"월")</f>
        <v/>
      </c>
      <c r="J4" s="7" t="n"/>
      <c r="K4" s="62">
        <f>IF(N(C3)=0,"3월째",MONTH(EDATE(C3,2))&amp;"월")</f>
        <v/>
      </c>
      <c r="L4" s="7" t="n"/>
      <c r="M4" s="27" t="inlineStr">
        <is>
          <t>대조</t>
        </is>
      </c>
    </row>
    <row r="5" ht="18" customHeight="1">
      <c r="A5" s="7" t="n"/>
      <c r="B5" s="7" t="n"/>
      <c r="C5" s="7" t="n"/>
      <c r="D5" s="7" t="n"/>
      <c r="E5" s="7" t="n"/>
      <c r="F5" s="7" t="n"/>
      <c r="G5" s="28" t="inlineStr">
        <is>
          <t>수량</t>
        </is>
      </c>
      <c r="H5" s="28" t="inlineStr">
        <is>
          <t>금액</t>
        </is>
      </c>
      <c r="I5" s="28" t="inlineStr">
        <is>
          <t>수량</t>
        </is>
      </c>
      <c r="J5" s="28" t="inlineStr">
        <is>
          <t>금액</t>
        </is>
      </c>
      <c r="K5" s="28" t="inlineStr">
        <is>
          <t>수량</t>
        </is>
      </c>
      <c r="L5" s="28" t="inlineStr">
        <is>
          <t>금액</t>
        </is>
      </c>
      <c r="M5" s="7" t="n"/>
    </row>
    <row r="6" ht="22" customHeight="1">
      <c r="A6" s="57" t="inlineStr">
        <is>
          <t>1. 인건비</t>
        </is>
      </c>
      <c r="B6" s="57" t="inlineStr">
        <is>
          <t>신호수</t>
        </is>
      </c>
      <c r="C6" s="47" t="inlineStr">
        <is>
          <t>인</t>
        </is>
      </c>
      <c r="D6" s="63" t="n">
        <v>20</v>
      </c>
      <c r="E6" s="64" t="n">
        <v>80000</v>
      </c>
      <c r="F6" s="65">
        <f>IF(OR(N(D6)=0,N(E6)=0),"",D6*E6)</f>
        <v/>
      </c>
      <c r="G6" s="63" t="n">
        <v>10</v>
      </c>
      <c r="H6" s="65">
        <f>IF(OR(N(G6)=0,N(E6)=0),"",G6*E6)</f>
        <v/>
      </c>
      <c r="I6" s="63" t="n">
        <v>10</v>
      </c>
      <c r="J6" s="65">
        <f>IF(OR(N(I6)=0,N(E6)=0),"",I6*E6)</f>
        <v/>
      </c>
      <c r="K6" s="63" t="n"/>
      <c r="L6" s="65">
        <f>IF(OR(N(K6)=0,N(E6)=0),"",K6*E6)</f>
        <v/>
      </c>
      <c r="M6" s="66">
        <f>IF(N(D6)=0,"",IF(N(G6)+N(I6)+N(K6)=N(D6),"✓","⚠ "&amp;(N(G6)+N(I6)+N(K6)-N(D6))))</f>
        <v/>
      </c>
    </row>
    <row r="7" ht="22" customHeight="1">
      <c r="A7" s="57" t="inlineStr">
        <is>
          <t>2. 보호구</t>
        </is>
      </c>
      <c r="B7" s="57" t="inlineStr">
        <is>
          <t>안전화</t>
        </is>
      </c>
      <c r="C7" s="47" t="inlineStr">
        <is>
          <t>개</t>
        </is>
      </c>
      <c r="D7" s="63" t="n">
        <v>20</v>
      </c>
      <c r="E7" s="64" t="n">
        <v>37000</v>
      </c>
      <c r="F7" s="65">
        <f>IF(OR(N(D7)=0,N(E7)=0),"",D7*E7)</f>
        <v/>
      </c>
      <c r="G7" s="63" t="n"/>
      <c r="H7" s="65">
        <f>IF(OR(N(G7)=0,N(E7)=0),"",G7*E7)</f>
        <v/>
      </c>
      <c r="I7" s="63" t="n">
        <v>10</v>
      </c>
      <c r="J7" s="65">
        <f>IF(OR(N(I7)=0,N(E7)=0),"",I7*E7)</f>
        <v/>
      </c>
      <c r="K7" s="63" t="n">
        <v>10</v>
      </c>
      <c r="L7" s="65">
        <f>IF(OR(N(K7)=0,N(E7)=0),"",K7*E7)</f>
        <v/>
      </c>
      <c r="M7" s="66">
        <f>IF(N(D7)=0,"",IF(N(G7)+N(I7)+N(K7)=N(D7),"✓","⚠ "&amp;(N(G7)+N(I7)+N(K7)-N(D7))))</f>
        <v/>
      </c>
    </row>
    <row r="8" ht="22" customHeight="1">
      <c r="A8" s="57" t="inlineStr">
        <is>
          <t>2. 보호구</t>
        </is>
      </c>
      <c r="B8" s="57" t="inlineStr">
        <is>
          <t>안전모</t>
        </is>
      </c>
      <c r="C8" s="47" t="inlineStr">
        <is>
          <t>개</t>
        </is>
      </c>
      <c r="D8" s="63" t="n">
        <v>20</v>
      </c>
      <c r="E8" s="64" t="n">
        <v>8000</v>
      </c>
      <c r="F8" s="65">
        <f>IF(OR(N(D8)=0,N(E8)=0),"",D8*E8)</f>
        <v/>
      </c>
      <c r="G8" s="63" t="n"/>
      <c r="H8" s="65">
        <f>IF(OR(N(G8)=0,N(E8)=0),"",G8*E8)</f>
        <v/>
      </c>
      <c r="I8" s="63" t="n">
        <v>10</v>
      </c>
      <c r="J8" s="65">
        <f>IF(OR(N(I8)=0,N(E8)=0),"",I8*E8)</f>
        <v/>
      </c>
      <c r="K8" s="63" t="n">
        <v>10</v>
      </c>
      <c r="L8" s="65">
        <f>IF(OR(N(K8)=0,N(E8)=0),"",K8*E8)</f>
        <v/>
      </c>
      <c r="M8" s="66">
        <f>IF(N(D8)=0,"",IF(N(G8)+N(I8)+N(K8)=N(D8),"✓","⚠ "&amp;(N(G8)+N(I8)+N(K8)-N(D8))))</f>
        <v/>
      </c>
    </row>
    <row r="9" ht="22" customHeight="1">
      <c r="A9" s="57" t="inlineStr">
        <is>
          <t>2. 보호구</t>
        </is>
      </c>
      <c r="B9" s="57" t="inlineStr">
        <is>
          <t>보안경</t>
        </is>
      </c>
      <c r="C9" s="47" t="inlineStr">
        <is>
          <t>개</t>
        </is>
      </c>
      <c r="D9" s="63" t="n">
        <v>2</v>
      </c>
      <c r="E9" s="64" t="n">
        <v>18000</v>
      </c>
      <c r="F9" s="65">
        <f>IF(OR(N(D9)=0,N(E9)=0),"",D9*E9)</f>
        <v/>
      </c>
      <c r="G9" s="63" t="n">
        <v>1</v>
      </c>
      <c r="H9" s="65">
        <f>IF(OR(N(G9)=0,N(E9)=0),"",G9*E9)</f>
        <v/>
      </c>
      <c r="I9" s="63" t="n">
        <v>1</v>
      </c>
      <c r="J9" s="65">
        <f>IF(OR(N(I9)=0,N(E9)=0),"",I9*E9)</f>
        <v/>
      </c>
      <c r="K9" s="63" t="n"/>
      <c r="L9" s="65">
        <f>IF(OR(N(K9)=0,N(E9)=0),"",K9*E9)</f>
        <v/>
      </c>
      <c r="M9" s="66">
        <f>IF(N(D9)=0,"",IF(N(G9)+N(I9)+N(K9)=N(D9),"✓","⚠ "&amp;(N(G9)+N(I9)+N(K9)-N(D9))))</f>
        <v/>
      </c>
    </row>
    <row r="10" ht="22" customHeight="1">
      <c r="A10" s="57" t="inlineStr">
        <is>
          <t>2. 보호구</t>
        </is>
      </c>
      <c r="B10" s="57" t="inlineStr">
        <is>
          <t>안전모 걸이</t>
        </is>
      </c>
      <c r="C10" s="47" t="inlineStr">
        <is>
          <t>개</t>
        </is>
      </c>
      <c r="D10" s="63" t="n">
        <v>11</v>
      </c>
      <c r="E10" s="64" t="n">
        <v>18000</v>
      </c>
      <c r="F10" s="65">
        <f>IF(OR(N(D10)=0,N(E10)=0),"",D10*E10)</f>
        <v/>
      </c>
      <c r="G10" s="63" t="n">
        <v>1</v>
      </c>
      <c r="H10" s="65">
        <f>IF(OR(N(G10)=0,N(E10)=0),"",G10*E10)</f>
        <v/>
      </c>
      <c r="I10" s="63" t="n">
        <v>10</v>
      </c>
      <c r="J10" s="65">
        <f>IF(OR(N(I10)=0,N(E10)=0),"",I10*E10)</f>
        <v/>
      </c>
      <c r="K10" s="63" t="n"/>
      <c r="L10" s="65">
        <f>IF(OR(N(K10)=0,N(E10)=0),"",K10*E10)</f>
        <v/>
      </c>
      <c r="M10" s="66">
        <f>IF(N(D10)=0,"",IF(N(G10)+N(I10)+N(K10)=N(D10),"✓","⚠ "&amp;(N(G10)+N(I10)+N(K10)-N(D10))))</f>
        <v/>
      </c>
    </row>
    <row r="11" ht="22" customHeight="1">
      <c r="A11" s="57" t="inlineStr">
        <is>
          <t>2. 보호구</t>
        </is>
      </c>
      <c r="B11" s="57" t="inlineStr">
        <is>
          <t>야간 조끼</t>
        </is>
      </c>
      <c r="C11" s="47" t="inlineStr">
        <is>
          <t>개</t>
        </is>
      </c>
      <c r="D11" s="63" t="n">
        <v>25</v>
      </c>
      <c r="E11" s="64" t="n">
        <v>3500</v>
      </c>
      <c r="F11" s="65">
        <f>IF(OR(N(D11)=0,N(E11)=0),"",D11*E11)</f>
        <v/>
      </c>
      <c r="G11" s="63" t="n">
        <v>5</v>
      </c>
      <c r="H11" s="65">
        <f>IF(OR(N(G11)=0,N(E11)=0),"",G11*E11)</f>
        <v/>
      </c>
      <c r="I11" s="63" t="n">
        <v>10</v>
      </c>
      <c r="J11" s="65">
        <f>IF(OR(N(I11)=0,N(E11)=0),"",I11*E11)</f>
        <v/>
      </c>
      <c r="K11" s="63" t="n">
        <v>10</v>
      </c>
      <c r="L11" s="65">
        <f>IF(OR(N(K11)=0,N(E11)=0),"",K11*E11)</f>
        <v/>
      </c>
      <c r="M11" s="66">
        <f>IF(N(D11)=0,"",IF(N(G11)+N(I11)+N(K11)=N(D11),"✓","⚠ "&amp;(N(G11)+N(I11)+N(K11)-N(D11))))</f>
        <v/>
      </c>
    </row>
    <row r="12" ht="22" customHeight="1">
      <c r="A12" s="57" t="n"/>
      <c r="B12" s="57" t="n"/>
      <c r="C12" s="47" t="n"/>
      <c r="D12" s="63" t="n"/>
      <c r="E12" s="64" t="n"/>
      <c r="F12" s="65">
        <f>IF(OR(N(D12)=0,N(E12)=0),"",D12*E12)</f>
        <v/>
      </c>
      <c r="G12" s="63" t="n"/>
      <c r="H12" s="65">
        <f>IF(OR(N(G12)=0,N(E12)=0),"",G12*E12)</f>
        <v/>
      </c>
      <c r="I12" s="63" t="n"/>
      <c r="J12" s="65">
        <f>IF(OR(N(I12)=0,N(E12)=0),"",I12*E12)</f>
        <v/>
      </c>
      <c r="K12" s="63" t="n"/>
      <c r="L12" s="65">
        <f>IF(OR(N(K12)=0,N(E12)=0),"",K12*E12)</f>
        <v/>
      </c>
      <c r="M12" s="66">
        <f>IF(N(D12)=0,"",IF(N(G12)+N(I12)+N(K12)=N(D12),"✓","⚠ "&amp;(N(G12)+N(I12)+N(K12)-N(D12))))</f>
        <v/>
      </c>
    </row>
    <row r="13" ht="22" customHeight="1">
      <c r="A13" s="57" t="n"/>
      <c r="B13" s="57" t="n"/>
      <c r="C13" s="47" t="n"/>
      <c r="D13" s="63" t="n"/>
      <c r="E13" s="64" t="n"/>
      <c r="F13" s="65">
        <f>IF(OR(N(D13)=0,N(E13)=0),"",D13*E13)</f>
        <v/>
      </c>
      <c r="G13" s="63" t="n"/>
      <c r="H13" s="65">
        <f>IF(OR(N(G13)=0,N(E13)=0),"",G13*E13)</f>
        <v/>
      </c>
      <c r="I13" s="63" t="n"/>
      <c r="J13" s="65">
        <f>IF(OR(N(I13)=0,N(E13)=0),"",I13*E13)</f>
        <v/>
      </c>
      <c r="K13" s="63" t="n"/>
      <c r="L13" s="65">
        <f>IF(OR(N(K13)=0,N(E13)=0),"",K13*E13)</f>
        <v/>
      </c>
      <c r="M13" s="66">
        <f>IF(N(D13)=0,"",IF(N(G13)+N(I13)+N(K13)=N(D13),"✓","⚠ "&amp;(N(G13)+N(I13)+N(K13)-N(D13))))</f>
        <v/>
      </c>
    </row>
    <row r="14" ht="22" customHeight="1">
      <c r="A14" s="57" t="n"/>
      <c r="B14" s="57" t="n"/>
      <c r="C14" s="47" t="n"/>
      <c r="D14" s="63" t="n"/>
      <c r="E14" s="64" t="n"/>
      <c r="F14" s="65">
        <f>IF(OR(N(D14)=0,N(E14)=0),"",D14*E14)</f>
        <v/>
      </c>
      <c r="G14" s="63" t="n"/>
      <c r="H14" s="65">
        <f>IF(OR(N(G14)=0,N(E14)=0),"",G14*E14)</f>
        <v/>
      </c>
      <c r="I14" s="63" t="n"/>
      <c r="J14" s="65">
        <f>IF(OR(N(I14)=0,N(E14)=0),"",I14*E14)</f>
        <v/>
      </c>
      <c r="K14" s="63" t="n"/>
      <c r="L14" s="65">
        <f>IF(OR(N(K14)=0,N(E14)=0),"",K14*E14)</f>
        <v/>
      </c>
      <c r="M14" s="66">
        <f>IF(N(D14)=0,"",IF(N(G14)+N(I14)+N(K14)=N(D14),"✓","⚠ "&amp;(N(G14)+N(I14)+N(K14)-N(D14))))</f>
        <v/>
      </c>
    </row>
    <row r="15" ht="22" customHeight="1">
      <c r="A15" s="57" t="n"/>
      <c r="B15" s="57" t="n"/>
      <c r="C15" s="47" t="n"/>
      <c r="D15" s="63" t="n"/>
      <c r="E15" s="64" t="n"/>
      <c r="F15" s="65">
        <f>IF(OR(N(D15)=0,N(E15)=0),"",D15*E15)</f>
        <v/>
      </c>
      <c r="G15" s="63" t="n"/>
      <c r="H15" s="65">
        <f>IF(OR(N(G15)=0,N(E15)=0),"",G15*E15)</f>
        <v/>
      </c>
      <c r="I15" s="63" t="n"/>
      <c r="J15" s="65">
        <f>IF(OR(N(I15)=0,N(E15)=0),"",I15*E15)</f>
        <v/>
      </c>
      <c r="K15" s="63" t="n"/>
      <c r="L15" s="65">
        <f>IF(OR(N(K15)=0,N(E15)=0),"",K15*E15)</f>
        <v/>
      </c>
      <c r="M15" s="66">
        <f>IF(N(D15)=0,"",IF(N(G15)+N(I15)+N(K15)=N(D15),"✓","⚠ "&amp;(N(G15)+N(I15)+N(K15)-N(D15))))</f>
        <v/>
      </c>
    </row>
    <row r="16" ht="22" customHeight="1">
      <c r="A16" s="57" t="n"/>
      <c r="B16" s="57" t="n"/>
      <c r="C16" s="47" t="n"/>
      <c r="D16" s="63" t="n"/>
      <c r="E16" s="64" t="n"/>
      <c r="F16" s="65">
        <f>IF(OR(N(D16)=0,N(E16)=0),"",D16*E16)</f>
        <v/>
      </c>
      <c r="G16" s="63" t="n"/>
      <c r="H16" s="65">
        <f>IF(OR(N(G16)=0,N(E16)=0),"",G16*E16)</f>
        <v/>
      </c>
      <c r="I16" s="63" t="n"/>
      <c r="J16" s="65">
        <f>IF(OR(N(I16)=0,N(E16)=0),"",I16*E16)</f>
        <v/>
      </c>
      <c r="K16" s="63" t="n"/>
      <c r="L16" s="65">
        <f>IF(OR(N(K16)=0,N(E16)=0),"",K16*E16)</f>
        <v/>
      </c>
      <c r="M16" s="66">
        <f>IF(N(D16)=0,"",IF(N(G16)+N(I16)+N(K16)=N(D16),"✓","⚠ "&amp;(N(G16)+N(I16)+N(K16)-N(D16))))</f>
        <v/>
      </c>
    </row>
    <row r="17" ht="22" customHeight="1">
      <c r="A17" s="57" t="n"/>
      <c r="B17" s="57" t="n"/>
      <c r="C17" s="47" t="n"/>
      <c r="D17" s="63" t="n"/>
      <c r="E17" s="64" t="n"/>
      <c r="F17" s="65">
        <f>IF(OR(N(D17)=0,N(E17)=0),"",D17*E17)</f>
        <v/>
      </c>
      <c r="G17" s="63" t="n"/>
      <c r="H17" s="65">
        <f>IF(OR(N(G17)=0,N(E17)=0),"",G17*E17)</f>
        <v/>
      </c>
      <c r="I17" s="63" t="n"/>
      <c r="J17" s="65">
        <f>IF(OR(N(I17)=0,N(E17)=0),"",I17*E17)</f>
        <v/>
      </c>
      <c r="K17" s="63" t="n"/>
      <c r="L17" s="65">
        <f>IF(OR(N(K17)=0,N(E17)=0),"",K17*E17)</f>
        <v/>
      </c>
      <c r="M17" s="66">
        <f>IF(N(D17)=0,"",IF(N(G17)+N(I17)+N(K17)=N(D17),"✓","⚠ "&amp;(N(G17)+N(I17)+N(K17)-N(D17))))</f>
        <v/>
      </c>
    </row>
    <row r="18" ht="24" customHeight="1">
      <c r="A18" s="39" t="inlineStr">
        <is>
          <t>합        계</t>
        </is>
      </c>
      <c r="B18" s="7" t="n"/>
      <c r="C18" s="7" t="n"/>
      <c r="D18" s="7" t="n"/>
      <c r="E18" s="7" t="n"/>
      <c r="F18" s="67">
        <f>IF(SUM(F6:F17)=0,"",SUM(F6:F17))</f>
        <v/>
      </c>
      <c r="G18" s="39" t="inlineStr"/>
      <c r="H18" s="67">
        <f>IF(SUM(H6:H17)=0,"",SUM(H6:H17))</f>
        <v/>
      </c>
      <c r="I18" s="39" t="inlineStr"/>
      <c r="J18" s="67">
        <f>IF(SUM(J6:J17)=0,"",SUM(J6:J17))</f>
        <v/>
      </c>
      <c r="K18" s="39" t="inlineStr"/>
      <c r="L18" s="67">
        <f>IF(SUM(L6:L17)=0,"",SUM(L6:L17))</f>
        <v/>
      </c>
      <c r="M18" s="39" t="inlineStr"/>
    </row>
    <row r="19" ht="8" customHeight="1"/>
    <row r="20" ht="22" customHeight="1">
      <c r="A20" s="27" t="inlineStr">
        <is>
          <t>항목별 소계</t>
        </is>
      </c>
      <c r="B20" s="7" t="n"/>
      <c r="C20" s="27" t="inlineStr">
        <is>
          <t>항    목</t>
        </is>
      </c>
      <c r="D20" s="7" t="n"/>
      <c r="E20" s="7" t="n"/>
      <c r="F20" s="7" t="n"/>
      <c r="G20" s="27" t="inlineStr">
        <is>
          <t>금    액</t>
        </is>
      </c>
      <c r="H20" s="7" t="n"/>
      <c r="I20" s="5" t="inlineStr"/>
    </row>
    <row r="21" ht="22" customHeight="1">
      <c r="A21" s="5" t="inlineStr"/>
      <c r="C21" s="68" t="inlineStr">
        <is>
          <t>1. 인건비</t>
        </is>
      </c>
      <c r="D21" s="7" t="n"/>
      <c r="E21" s="7" t="n"/>
      <c r="F21" s="7" t="n"/>
      <c r="G21" s="69">
        <f>IF(OR(C21="",SUMIF(A6:A17,C21,F6:F17)=0),"",SUMIF(A6:A17,C21,F6:F17))</f>
        <v/>
      </c>
      <c r="H21" s="7" t="n"/>
      <c r="I21" s="5" t="inlineStr"/>
    </row>
    <row r="22" ht="22" customHeight="1">
      <c r="A22" s="5" t="inlineStr"/>
      <c r="C22" s="68" t="inlineStr">
        <is>
          <t>2. 보호구</t>
        </is>
      </c>
      <c r="D22" s="7" t="n"/>
      <c r="E22" s="7" t="n"/>
      <c r="F22" s="7" t="n"/>
      <c r="G22" s="69">
        <f>IF(OR(C22="",SUMIF(A6:A17,C22,F6:F17)=0),"",SUMIF(A6:A17,C22,F6:F17))</f>
        <v/>
      </c>
      <c r="H22" s="7" t="n"/>
      <c r="I22" s="5" t="inlineStr"/>
    </row>
    <row r="23" ht="22" customHeight="1">
      <c r="A23" s="5" t="inlineStr"/>
      <c r="C23" s="68" t="inlineStr">
        <is>
          <t>3. 안전시설비</t>
        </is>
      </c>
      <c r="D23" s="7" t="n"/>
      <c r="E23" s="7" t="n"/>
      <c r="F23" s="7" t="n"/>
      <c r="G23" s="69">
        <f>IF(OR(C23="",SUMIF(A6:A17,C23,F6:F17)=0),"",SUMIF(A6:A17,C23,F6:F17))</f>
        <v/>
      </c>
      <c r="H23" s="7" t="n"/>
      <c r="I23" s="5" t="inlineStr"/>
    </row>
    <row r="24" ht="22" customHeight="1">
      <c r="A24" s="5" t="inlineStr"/>
      <c r="C24" s="68" t="inlineStr">
        <is>
          <t>4. 안전교육비</t>
        </is>
      </c>
      <c r="D24" s="7" t="n"/>
      <c r="E24" s="7" t="n"/>
      <c r="F24" s="7" t="n"/>
      <c r="G24" s="69">
        <f>IF(OR(C24="",SUMIF(A6:A17,C24,F6:F17)=0),"",SUMIF(A6:A17,C24,F6:F17))</f>
        <v/>
      </c>
      <c r="H24" s="7" t="n"/>
      <c r="I24" s="5" t="inlineStr"/>
    </row>
    <row r="25" ht="22" customHeight="1">
      <c r="A25" s="5" t="inlineStr"/>
      <c r="C25" s="68" t="inlineStr">
        <is>
          <t>5. 기타</t>
        </is>
      </c>
      <c r="D25" s="7" t="n"/>
      <c r="E25" s="7" t="n"/>
      <c r="F25" s="7" t="n"/>
      <c r="G25" s="69">
        <f>IF(OR(C25="",SUMIF(A6:A17,C25,F6:F17)=0),"",SUMIF(A6:A17,C25,F6:F17))</f>
        <v/>
      </c>
      <c r="H25" s="7" t="n"/>
      <c r="I25" s="5" t="inlineStr"/>
    </row>
    <row r="26" ht="29.65" customHeight="1">
      <c r="A26" s="70" t="inlineStr">
        <is>
          <t>※ «항목» 은 아래 소계 표의 항목 이름과 똑같이 적어야 소계에 모입니다. 항목 구분은 발주처 · 「건설업 산업안전보건관리비 계상 및 사용기준」(고용노동부 고시)의 사용 항목에 맞춰 고쳐 쓰세요.</t>
        </is>
      </c>
    </row>
    <row r="28" ht="19.5" customHeight="1">
      <c r="A28" s="11" t="inlineStr">
        <is>
          <t>이 시트는 작성 예시입니다(가상의 수량 · 단가).</t>
        </is>
      </c>
    </row>
  </sheetData>
  <mergeCells count="43">
    <mergeCell ref="G21:H21"/>
    <mergeCell ref="A24:B24"/>
    <mergeCell ref="C23:F23"/>
    <mergeCell ref="C4:C5"/>
    <mergeCell ref="E4:E5"/>
    <mergeCell ref="G23:H23"/>
    <mergeCell ref="G1:M1"/>
    <mergeCell ref="A28:M28"/>
    <mergeCell ref="A26:L26"/>
    <mergeCell ref="A25:B25"/>
    <mergeCell ref="I25:M25"/>
    <mergeCell ref="D4:D5"/>
    <mergeCell ref="I22:M22"/>
    <mergeCell ref="C24:F24"/>
    <mergeCell ref="A3:B3"/>
    <mergeCell ref="A18:E18"/>
    <mergeCell ref="A21:B21"/>
    <mergeCell ref="I21:M21"/>
    <mergeCell ref="G24:H24"/>
    <mergeCell ref="A4:A5"/>
    <mergeCell ref="C20:F20"/>
    <mergeCell ref="I24:M24"/>
    <mergeCell ref="C25:F25"/>
    <mergeCell ref="E3:M3"/>
    <mergeCell ref="A23:B23"/>
    <mergeCell ref="I23:M23"/>
    <mergeCell ref="A22:B22"/>
    <mergeCell ref="C22:F22"/>
    <mergeCell ref="G4:H4"/>
    <mergeCell ref="A20:B20"/>
    <mergeCell ref="G20:H20"/>
    <mergeCell ref="I4:J4"/>
    <mergeCell ref="M4:M5"/>
    <mergeCell ref="B4:B5"/>
    <mergeCell ref="I20:M20"/>
    <mergeCell ref="F4:F5"/>
    <mergeCell ref="A1:F1"/>
    <mergeCell ref="G25:H25"/>
    <mergeCell ref="C21:F21"/>
    <mergeCell ref="G22:H22"/>
    <mergeCell ref="K4:L4"/>
    <mergeCell ref="C3:D3"/>
    <mergeCell ref="A2:M2"/>
  </mergeCells>
  <printOptions horizontalCentered="1"/>
  <pageMargins left="0.4" right="0.4" top="0.5" bottom="0.5" header="0.2" footer="0.2"/>
  <pageSetup orientation="landscape" paperSize="9" fitToHeight="1" fitToWidth="1"/>
</worksheet>
</file>

<file path=xl/worksheets/sheet1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82" t="inlineStr">
        <is>
          <t xml:space="preserve">작성 예시 (가상의 현장)  </t>
        </is>
      </c>
    </row>
    <row r="2" ht="3" customHeight="1"/>
    <row r="3" ht="22" customHeight="1">
      <c r="A3" s="15" t="inlineStr">
        <is>
          <t>4.4  예상 문제점 및 대책</t>
        </is>
      </c>
    </row>
    <row r="4" ht="24" customHeight="1">
      <c r="A4" s="27" t="inlineStr">
        <is>
          <t>No.</t>
        </is>
      </c>
      <c r="B4" s="27" t="inlineStr">
        <is>
          <t>문   제   점</t>
        </is>
      </c>
      <c r="C4" s="7" t="n"/>
      <c r="D4" s="7" t="n"/>
      <c r="E4" s="7" t="n"/>
      <c r="F4" s="27" t="inlineStr">
        <is>
          <t>대        책</t>
        </is>
      </c>
      <c r="G4" s="7" t="n"/>
      <c r="H4" s="7" t="n"/>
      <c r="I4" s="7" t="n"/>
      <c r="J4" s="7" t="n"/>
      <c r="K4" s="7" t="n"/>
      <c r="L4" s="7" t="n"/>
    </row>
    <row r="5" ht="77.25" customHeight="1">
      <c r="A5" s="54" t="inlineStr">
        <is>
          <t>1</t>
        </is>
      </c>
      <c r="B5" s="55" t="inlineStr">
        <is>
          <t>좁은 작업공간으로 인한 공정 지연 및 장비에 의한 협착사고</t>
        </is>
      </c>
      <c r="C5" s="7" t="n"/>
      <c r="D5" s="7" t="n"/>
      <c r="E5" s="7" t="n"/>
      <c r="F5" s="55" t="inlineStr">
        <is>
          <t>- 장비 투입 전 토공 평면도와 장비 배치도를 작성하여 충분한 작업공간 · 장비 이동 동선을 확보하고, 자재 반입 때 야적 공간을 미리 마련하여 다른 공정과의 연계를 유연하게 한다.
- 안전관리자의 지시에 따라 즉시 조치할 방안을 마련한다.</t>
        </is>
      </c>
      <c r="G5" s="7" t="n"/>
      <c r="H5" s="7" t="n"/>
      <c r="I5" s="7" t="n"/>
      <c r="J5" s="7" t="n"/>
      <c r="K5" s="7" t="n"/>
      <c r="L5" s="7" t="n"/>
    </row>
    <row r="6" ht="34" customHeight="1">
      <c r="A6" s="54" t="inlineStr">
        <is>
          <t>2</t>
        </is>
      </c>
      <c r="B6" s="57" t="n"/>
      <c r="C6" s="7" t="n"/>
      <c r="D6" s="7" t="n"/>
      <c r="E6" s="7" t="n"/>
      <c r="F6" s="57" t="n"/>
      <c r="G6" s="7" t="n"/>
      <c r="H6" s="7" t="n"/>
      <c r="I6" s="7" t="n"/>
      <c r="J6" s="7" t="n"/>
      <c r="K6" s="7" t="n"/>
      <c r="L6" s="7" t="n"/>
    </row>
    <row r="7" ht="34" customHeight="1">
      <c r="A7" s="54" t="inlineStr">
        <is>
          <t>3</t>
        </is>
      </c>
      <c r="B7" s="57" t="n"/>
      <c r="C7" s="7" t="n"/>
      <c r="D7" s="7" t="n"/>
      <c r="E7" s="7" t="n"/>
      <c r="F7" s="57" t="n"/>
      <c r="G7" s="7" t="n"/>
      <c r="H7" s="7" t="n"/>
      <c r="I7" s="7" t="n"/>
      <c r="J7" s="7" t="n"/>
      <c r="K7" s="7" t="n"/>
      <c r="L7" s="7" t="n"/>
    </row>
    <row r="8" ht="3" customHeight="1"/>
    <row r="9" ht="22" customHeight="1">
      <c r="A9" s="15" t="inlineStr">
        <is>
          <t>4.5  안전관리계획</t>
        </is>
      </c>
    </row>
    <row r="10" ht="24" customHeight="1">
      <c r="A10" s="27" t="inlineStr">
        <is>
          <t>구   분</t>
        </is>
      </c>
      <c r="B10" s="7" t="n"/>
      <c r="C10" s="7" t="n"/>
      <c r="D10" s="27" t="inlineStr">
        <is>
          <t>내        용</t>
        </is>
      </c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6" customHeight="1">
      <c r="A11" s="54" t="inlineStr">
        <is>
          <t>안전관리 목표</t>
        </is>
      </c>
      <c r="B11" s="7" t="n"/>
      <c r="C11" s="7" t="n"/>
      <c r="D11" s="55" t="inlineStr">
        <is>
          <t>안전사고 «ZERO»</t>
        </is>
      </c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34.5" customHeight="1">
      <c r="A12" s="54" t="inlineStr">
        <is>
          <t>안전관리 지침</t>
        </is>
      </c>
      <c r="B12" s="7" t="n"/>
      <c r="C12" s="7" t="n"/>
      <c r="D12" s="55" t="inlineStr">
        <is>
          <t>효율적인 안전보건관리 · 공종별 안전관리 주요 항목을 정해 집중관리 · 일일 시공 사이클 내실화</t>
        </is>
      </c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63" customHeight="1">
      <c r="A13" s="54" t="inlineStr">
        <is>
          <t>위해 요인</t>
        </is>
      </c>
      <c r="B13" s="7" t="n"/>
      <c r="C13" s="7" t="n"/>
      <c r="D13" s="55" t="inlineStr">
        <is>
          <t>▣ 하부 지반의 연약화 · 부등침하로 인한 장비 전도
▣ 장비 작업 · 이동 중 하부 작업자 협착
▣ 중량물 인양 때 와이어로프 파단으로 인한 협착
▣ 압력호스 · 유압호스 파단으로 인한 사고</t>
        </is>
      </c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48.75" customHeight="1">
      <c r="A14" s="54" t="inlineStr">
        <is>
          <t>대    책</t>
        </is>
      </c>
      <c r="B14" s="7" t="n"/>
      <c r="C14" s="7" t="n"/>
      <c r="D14" s="55" t="inlineStr">
        <is>
          <t>▣ 장비 작업반경 안 작업자 접근 금지 및 신호수 배치
▣ 작업 전 와이어로프 · 샤클 등 인양 공구 사전 점검
▣ 작업 전 사전 점검을 하고 문제가 있으면 즉시 교체</t>
        </is>
      </c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1" customHeight="1">
      <c r="A15" s="58" t="inlineStr">
        <is>
          <t>4.5.1  일일 시공 CYCLE</t>
        </is>
      </c>
    </row>
    <row r="16" ht="24" customHeight="1">
      <c r="A16" s="27" t="inlineStr">
        <is>
          <t>시  각</t>
        </is>
      </c>
      <c r="B16" s="7" t="n"/>
      <c r="C16" s="27" t="inlineStr">
        <is>
          <t>활    동</t>
        </is>
      </c>
      <c r="D16" s="7" t="n"/>
      <c r="E16" s="7" t="n"/>
      <c r="F16" s="27" t="inlineStr">
        <is>
          <t>내        용</t>
        </is>
      </c>
      <c r="G16" s="7" t="n"/>
      <c r="H16" s="7" t="n"/>
      <c r="I16" s="7" t="n"/>
      <c r="J16" s="7" t="n"/>
      <c r="K16" s="7" t="n"/>
      <c r="L16" s="7" t="n"/>
    </row>
    <row r="17" ht="22" customHeight="1">
      <c r="A17" s="54" t="inlineStr">
        <is>
          <t>07:00</t>
        </is>
      </c>
      <c r="B17" s="7" t="n"/>
      <c r="C17" s="55" t="inlineStr">
        <is>
          <t>안전 조회</t>
        </is>
      </c>
      <c r="D17" s="7" t="n"/>
      <c r="E17" s="7" t="n"/>
      <c r="F17" s="55" t="inlineStr">
        <is>
          <t>참석 인원 파악 · 작업 위험 포인트 확인</t>
        </is>
      </c>
      <c r="G17" s="7" t="n"/>
      <c r="H17" s="7" t="n"/>
      <c r="I17" s="7" t="n"/>
      <c r="J17" s="7" t="n"/>
      <c r="K17" s="7" t="n"/>
      <c r="L17" s="7" t="n"/>
    </row>
    <row r="18" ht="22" customHeight="1">
      <c r="A18" s="54" t="inlineStr">
        <is>
          <t>07:10</t>
        </is>
      </c>
      <c r="B18" s="7" t="n"/>
      <c r="C18" s="55" t="inlineStr">
        <is>
          <t>TBM</t>
        </is>
      </c>
      <c r="D18" s="7" t="n"/>
      <c r="E18" s="7" t="n"/>
      <c r="F18" s="55" t="inlineStr">
        <is>
          <t>위험예지 상황판 활용 · 작업 계획서 사용</t>
        </is>
      </c>
      <c r="G18" s="7" t="n"/>
      <c r="H18" s="7" t="n"/>
      <c r="I18" s="7" t="n"/>
      <c r="J18" s="7" t="n"/>
      <c r="K18" s="7" t="n"/>
      <c r="L18" s="7" t="n"/>
    </row>
    <row r="19" ht="34.5" customHeight="1">
      <c r="A19" s="54" t="inlineStr">
        <is>
          <t>10:00</t>
        </is>
      </c>
      <c r="B19" s="7" t="n"/>
      <c r="C19" s="55" t="inlineStr">
        <is>
          <t>오전 순회점검</t>
        </is>
      </c>
      <c r="D19" s="7" t="n"/>
      <c r="E19" s="7" t="n"/>
      <c r="F19" s="55" t="inlineStr">
        <is>
          <t>일일 작업 위험 포인트 순회점검 · 전일 계획서에 따른 순회점검</t>
        </is>
      </c>
      <c r="G19" s="7" t="n"/>
      <c r="H19" s="7" t="n"/>
      <c r="I19" s="7" t="n"/>
      <c r="J19" s="7" t="n"/>
      <c r="K19" s="7" t="n"/>
      <c r="L19" s="7" t="n"/>
    </row>
    <row r="20" ht="22" customHeight="1">
      <c r="A20" s="54" t="inlineStr">
        <is>
          <t>11:00</t>
        </is>
      </c>
      <c r="B20" s="7" t="n"/>
      <c r="C20" s="55" t="inlineStr">
        <is>
          <t>품질 · 안전 공정회의</t>
        </is>
      </c>
      <c r="D20" s="7" t="n"/>
      <c r="E20" s="7" t="n"/>
      <c r="F20" s="55" t="inlineStr">
        <is>
          <t>금일 작업 결과 및 명일 작업 계획 보고</t>
        </is>
      </c>
      <c r="G20" s="7" t="n"/>
      <c r="H20" s="7" t="n"/>
      <c r="I20" s="7" t="n"/>
      <c r="J20" s="7" t="n"/>
      <c r="K20" s="7" t="n"/>
      <c r="L20" s="7" t="n"/>
    </row>
    <row r="21" ht="22" customHeight="1">
      <c r="A21" s="54" t="inlineStr">
        <is>
          <t>15:00</t>
        </is>
      </c>
      <c r="B21" s="7" t="n"/>
      <c r="C21" s="55" t="inlineStr">
        <is>
          <t>오후 순회점검</t>
        </is>
      </c>
      <c r="D21" s="7" t="n"/>
      <c r="E21" s="7" t="n"/>
      <c r="F21" s="55" t="inlineStr">
        <is>
          <t>전일 계획서에 따른 순회점검</t>
        </is>
      </c>
      <c r="G21" s="7" t="n"/>
      <c r="H21" s="7" t="n"/>
      <c r="I21" s="7" t="n"/>
      <c r="J21" s="7" t="n"/>
      <c r="K21" s="7" t="n"/>
      <c r="L21" s="7" t="n"/>
    </row>
    <row r="22" ht="22" customHeight="1">
      <c r="A22" s="54" t="inlineStr">
        <is>
          <t>17:50 ~ 18:00</t>
        </is>
      </c>
      <c r="B22" s="7" t="n"/>
      <c r="C22" s="55" t="inlineStr">
        <is>
          <t>작업장 정리정돈</t>
        </is>
      </c>
      <c r="D22" s="7" t="n"/>
      <c r="E22" s="7" t="n"/>
      <c r="F22" s="55" t="inlineStr">
        <is>
          <t>정리 · 정돈 실시 여부 파악</t>
        </is>
      </c>
      <c r="G22" s="7" t="n"/>
      <c r="H22" s="7" t="n"/>
      <c r="I22" s="7" t="n"/>
      <c r="J22" s="7" t="n"/>
      <c r="K22" s="7" t="n"/>
      <c r="L22" s="7" t="n"/>
    </row>
    <row r="23" ht="22" customHeight="1">
      <c r="A23" s="54" t="inlineStr">
        <is>
          <t>18:00</t>
        </is>
      </c>
      <c r="B23" s="7" t="n"/>
      <c r="C23" s="55" t="inlineStr">
        <is>
          <t>직원 공정회의</t>
        </is>
      </c>
      <c r="D23" s="7" t="n"/>
      <c r="E23" s="7" t="n"/>
      <c r="F23" s="55" t="inlineStr">
        <is>
          <t>직원 공정회의</t>
        </is>
      </c>
      <c r="G23" s="7" t="n"/>
      <c r="H23" s="7" t="n"/>
      <c r="I23" s="7" t="n"/>
      <c r="J23" s="7" t="n"/>
      <c r="K23" s="7" t="n"/>
      <c r="L23" s="7" t="n"/>
    </row>
    <row r="24" ht="21" customHeight="1">
      <c r="A24" s="58" t="inlineStr">
        <is>
          <t>4.5.2  주요 관리 활동</t>
        </is>
      </c>
    </row>
    <row r="25" ht="24" customHeight="1">
      <c r="A25" s="27" t="inlineStr">
        <is>
          <t>활 동 명</t>
        </is>
      </c>
      <c r="B25" s="7" t="n"/>
      <c r="C25" s="7" t="n"/>
      <c r="D25" s="27" t="inlineStr">
        <is>
          <t>활    동    내    용</t>
        </is>
      </c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34.5" customHeight="1">
      <c r="A26" s="54" t="inlineStr">
        <is>
          <t>신규 채용자 관리</t>
        </is>
      </c>
      <c r="B26" s="7" t="n"/>
      <c r="C26" s="7" t="n"/>
      <c r="D26" s="55" t="inlineStr">
        <is>
          <t>▣ 작업 투입 전 안전교육 ▣ 배치 전 건강 상태 확인(해당 공종 적격 여부 · 지병 확인)</t>
        </is>
      </c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34.5" customHeight="1">
      <c r="A27" s="54" t="inlineStr">
        <is>
          <t>T.B.M 활동</t>
        </is>
      </c>
      <c r="B27" s="7" t="n"/>
      <c r="C27" s="7" t="n"/>
      <c r="D27" s="55" t="inlineStr">
        <is>
          <t>▣ 당일 위험 공정 및 작업 내용 설명 ▣ 공정별 팀 단위 위험요소 지적 및 확인</t>
        </is>
      </c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6" customHeight="1">
      <c r="A28" s="54" t="inlineStr">
        <is>
          <t>일일 안전활동</t>
        </is>
      </c>
      <c r="B28" s="7" t="n"/>
      <c r="C28" s="7" t="n"/>
      <c r="D28" s="55" t="inlineStr">
        <is>
          <t>▣ 주변 지장물 · 지보공 이상 유무 점검 ▣ 작업 종료 전 현장 정리정돈</t>
        </is>
      </c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34.5" customHeight="1">
      <c r="A29" s="54" t="inlineStr">
        <is>
          <t>일일 안전토론</t>
        </is>
      </c>
      <c r="B29" s="7" t="n"/>
      <c r="C29" s="7" t="n"/>
      <c r="D29" s="55" t="inlineStr">
        <is>
          <t>▣ 금일 안전점검 조치사항 이행 상태 확인 ▣ 명일 작업 사항 · 금일 미비 사항 검토</t>
        </is>
      </c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1" customHeight="1">
      <c r="A30" s="58" t="inlineStr">
        <is>
          <t>주요 교육 활동</t>
        </is>
      </c>
    </row>
    <row r="31" ht="24" customHeight="1">
      <c r="A31" s="27" t="inlineStr">
        <is>
          <t>교 육 명</t>
        </is>
      </c>
      <c r="B31" s="7" t="n"/>
      <c r="C31" s="7" t="n"/>
      <c r="D31" s="27" t="inlineStr">
        <is>
          <t>교 육 시 간</t>
        </is>
      </c>
      <c r="E31" s="7" t="n"/>
      <c r="F31" s="7" t="n"/>
      <c r="G31" s="27" t="inlineStr">
        <is>
          <t>교 육 내 용</t>
        </is>
      </c>
      <c r="H31" s="7" t="n"/>
      <c r="I31" s="7" t="n"/>
      <c r="J31" s="7" t="n"/>
      <c r="K31" s="7" t="n"/>
      <c r="L31" s="7" t="n"/>
    </row>
    <row r="32" ht="38" customHeight="1">
      <c r="A32" s="43" t="inlineStr">
        <is>
          <t>정기교육</t>
        </is>
      </c>
      <c r="B32" s="7" t="n"/>
      <c r="C32" s="7" t="n"/>
      <c r="D32" s="71" t="inlineStr">
        <is>
          <t>매월 2시간
(매반기 12시간 이상)</t>
        </is>
      </c>
      <c r="E32" s="7" t="n"/>
      <c r="F32" s="7" t="n"/>
      <c r="G32" s="72" t="inlineStr">
        <is>
          <t>보호구 · 안전장치 취급과 사용 · 안전사고 사례 및 재해 예방대책</t>
        </is>
      </c>
      <c r="H32" s="7" t="n"/>
      <c r="I32" s="7" t="n"/>
      <c r="J32" s="7" t="n"/>
      <c r="K32" s="7" t="n"/>
      <c r="L32" s="7" t="n"/>
    </row>
    <row r="33" ht="38" customHeight="1">
      <c r="A33" s="43" t="inlineStr">
        <is>
          <t>채용 시 교육</t>
        </is>
      </c>
      <c r="B33" s="7" t="n"/>
      <c r="C33" s="7" t="n"/>
      <c r="D33" s="71" t="inlineStr">
        <is>
          <t>일용 1시간 이상
그 밖 8시간 이상</t>
        </is>
      </c>
      <c r="E33" s="7" t="n"/>
      <c r="F33" s="7" t="n"/>
      <c r="G33" s="72" t="inlineStr">
        <is>
          <t>해당 기계 · 기구의 위험성과 안전작업 · 근로자 건강관리</t>
        </is>
      </c>
      <c r="H33" s="7" t="n"/>
      <c r="I33" s="7" t="n"/>
      <c r="J33" s="7" t="n"/>
      <c r="K33" s="7" t="n"/>
      <c r="L33" s="7" t="n"/>
    </row>
    <row r="34" ht="38" customHeight="1">
      <c r="A34" s="43" t="inlineStr">
        <is>
          <t>작업내용 변경 시</t>
        </is>
      </c>
      <c r="B34" s="7" t="n"/>
      <c r="C34" s="7" t="n"/>
      <c r="D34" s="71" t="inlineStr">
        <is>
          <t>일용 1시간 이상
그 밖 2시간 이상</t>
        </is>
      </c>
      <c r="E34" s="7" t="n"/>
      <c r="F34" s="7" t="n"/>
      <c r="G34" s="72" t="inlineStr">
        <is>
          <t>변경된 작업의 위험성과 안전작업 방법</t>
        </is>
      </c>
      <c r="H34" s="7" t="n"/>
      <c r="I34" s="7" t="n"/>
      <c r="J34" s="7" t="n"/>
      <c r="K34" s="7" t="n"/>
      <c r="L34" s="7" t="n"/>
    </row>
    <row r="35" ht="38" customHeight="1">
      <c r="A35" s="43" t="inlineStr">
        <is>
          <t>관리감독자</t>
        </is>
      </c>
      <c r="B35" s="7" t="n"/>
      <c r="C35" s="7" t="n"/>
      <c r="D35" s="71" t="inlineStr">
        <is>
          <t>연간 16시간 이상</t>
        </is>
      </c>
      <c r="E35" s="7" t="n"/>
      <c r="F35" s="7" t="n"/>
      <c r="G35" s="72" t="inlineStr">
        <is>
          <t>안전작업 지도 요령 · 관리감독자의 역할과 임무 · 그 밖의 안전보건관리</t>
        </is>
      </c>
      <c r="H35" s="7" t="n"/>
      <c r="I35" s="7" t="n"/>
      <c r="J35" s="7" t="n"/>
      <c r="K35" s="7" t="n"/>
      <c r="L35" s="7" t="n"/>
    </row>
    <row r="36" ht="38" customHeight="1">
      <c r="A36" s="43" t="inlineStr">
        <is>
          <t>특별교육</t>
        </is>
      </c>
      <c r="B36" s="7" t="n"/>
      <c r="C36" s="7" t="n"/>
      <c r="D36" s="71" t="inlineStr">
        <is>
          <t>일용 2시간 이상
그 밖 16시간 이상</t>
        </is>
      </c>
      <c r="E36" s="7" t="n"/>
      <c r="F36" s="7" t="n"/>
      <c r="G36" s="72" t="inlineStr">
        <is>
          <t>작업 공정의 유해 · 위험 · 보호구 착용 및 작업 신호</t>
        </is>
      </c>
      <c r="H36" s="7" t="n"/>
      <c r="I36" s="7" t="n"/>
      <c r="J36" s="7" t="n"/>
      <c r="K36" s="7" t="n"/>
      <c r="L36" s="7" t="n"/>
    </row>
    <row r="37" ht="41.975" customHeight="1">
      <c r="A37" s="70" t="inlineStr">
        <is>
          <t>※ 교육시간은 산업안전보건법 시행규칙 [별표 4](2023년 개정 이후) 기준입니다(«일용» = 일용근로자 · 근로계약 1주 이하 기간제). 건설 일용근로자는 처음 투입 전에 건설업 기초안전보건교육(4시간)을 이수해야 합니다. 법령이 바뀌면 노란 칸을 고쳐 씁니다.</t>
        </is>
      </c>
    </row>
    <row r="38" ht="21" customHeight="1">
      <c r="A38" s="58" t="inlineStr">
        <is>
          <t>4.5.3  보호구 지급 · 활용 계획 및 10대 안전수칙</t>
        </is>
      </c>
    </row>
    <row r="39" ht="24" customHeight="1">
      <c r="A39" s="27" t="inlineStr">
        <is>
          <t>구   분</t>
        </is>
      </c>
      <c r="B39" s="7" t="n"/>
      <c r="C39" s="7" t="n"/>
      <c r="D39" s="27" t="inlineStr">
        <is>
          <t>내        용</t>
        </is>
      </c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48.75" customHeight="1">
      <c r="A40" s="54" t="inlineStr">
        <is>
          <t>지급 계획</t>
        </is>
      </c>
      <c r="B40" s="7" t="n"/>
      <c r="C40" s="7" t="n"/>
      <c r="D40" s="55" t="inlineStr">
        <is>
          <t>▣ 신규 채용자 교육 후 보호구 지급 ▣ 개인보호구 100% 지급 ▣ 기능상 불량이면 점검 후 수리 · 교환 지급 ▣ 소모성 보호구는 수시 점검하여 즉시 교환 지급</t>
        </is>
      </c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34.5" customHeight="1">
      <c r="A41" s="54" t="inlineStr">
        <is>
          <t>활용 계획</t>
        </is>
      </c>
      <c r="B41" s="7" t="n"/>
      <c r="C41" s="7" t="n"/>
      <c r="D41" s="55" t="inlineStr">
        <is>
          <t>▣ 지급 때 100% 착용 및 사용법 교육 ▣ 매일 T.B.M 뒤 기능 점검 ▣ 방진 마스크는 안에 보조 필터 착용 ▣ 개인보호구는 본래 목적 외 사용 금지</t>
        </is>
      </c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34.5" customHeight="1">
      <c r="A42" s="54" t="inlineStr">
        <is>
          <t>안전 준수 사항</t>
        </is>
      </c>
      <c r="B42" s="7" t="n"/>
      <c r="C42" s="7" t="n"/>
      <c r="D42" s="55" t="inlineStr">
        <is>
          <t>▣ 위험요소 발견 때 즉각 조치 ▣ 안전관리 실명제 카드 및 중장비 사전 안전점검 · 점검필증 부착 ▣ 장비 작업 때 신호수 고정 배치</t>
        </is>
      </c>
      <c r="E42" s="7" t="n"/>
      <c r="F42" s="7" t="n"/>
      <c r="G42" s="7" t="n"/>
      <c r="H42" s="7" t="n"/>
      <c r="I42" s="7" t="n"/>
      <c r="J42" s="7" t="n"/>
      <c r="K42" s="7" t="n"/>
      <c r="L42" s="7" t="n"/>
    </row>
    <row r="43" ht="19.725" customHeight="1">
      <c r="A43" s="59" t="inlineStr">
        <is>
          <t>①</t>
        </is>
      </c>
      <c r="B43" s="60" t="inlineStr">
        <is>
          <t>개구부는 생기는 즉시 막는다.</t>
        </is>
      </c>
    </row>
    <row r="44" ht="19.725" customHeight="1">
      <c r="A44" s="59" t="inlineStr">
        <is>
          <t>②</t>
        </is>
      </c>
      <c r="B44" s="60" t="inlineStr">
        <is>
          <t>난간대는 반드시 설치한다.</t>
        </is>
      </c>
    </row>
    <row r="45" ht="19.725" customHeight="1">
      <c r="A45" s="59" t="inlineStr">
        <is>
          <t>③</t>
        </is>
      </c>
      <c r="B45" s="60" t="inlineStr">
        <is>
          <t>생명줄은 반드시 설치한다.</t>
        </is>
      </c>
    </row>
    <row r="46" ht="19.725" customHeight="1">
      <c r="A46" s="59" t="inlineStr">
        <is>
          <t>④</t>
        </is>
      </c>
      <c r="B46" s="60" t="inlineStr">
        <is>
          <t>안전대는 반드시 걸고 작업한다.</t>
        </is>
      </c>
    </row>
    <row r="47" ht="19.725" customHeight="1">
      <c r="A47" s="59" t="inlineStr">
        <is>
          <t>⑤</t>
        </is>
      </c>
      <c r="B47" s="60" t="inlineStr">
        <is>
          <t>작업발판은 확실히 고정한다.</t>
        </is>
      </c>
    </row>
    <row r="48" ht="19.725" customHeight="1">
      <c r="A48" s="59" t="inlineStr">
        <is>
          <t>⑥</t>
        </is>
      </c>
      <c r="B48" s="60" t="inlineStr">
        <is>
          <t>양중용 장비에는 절대 탑승하지 않는다.</t>
        </is>
      </c>
    </row>
    <row r="49" ht="19.725" customHeight="1">
      <c r="A49" s="59" t="inlineStr">
        <is>
          <t>⑦</t>
        </is>
      </c>
      <c r="B49" s="60" t="inlineStr">
        <is>
          <t>분전함은 반드시 잠금장치를 한다.</t>
        </is>
      </c>
    </row>
    <row r="50" ht="19.725" customHeight="1">
      <c r="A50" s="59" t="inlineStr">
        <is>
          <t>⑧</t>
        </is>
      </c>
      <c r="B50" s="60" t="inlineStr">
        <is>
          <t>안전모는 반드시 착용한다.</t>
        </is>
      </c>
    </row>
    <row r="51" ht="19.725" customHeight="1">
      <c r="A51" s="59" t="inlineStr">
        <is>
          <t>⑨</t>
        </is>
      </c>
      <c r="B51" s="60" t="inlineStr">
        <is>
          <t>T.B.M 은 매일 철저하게 한다.</t>
        </is>
      </c>
    </row>
    <row r="52" ht="19.725" customHeight="1">
      <c r="A52" s="59" t="inlineStr">
        <is>
          <t>⑩</t>
        </is>
      </c>
      <c r="B52" s="60" t="inlineStr">
        <is>
          <t>중장비 작업반경 안에는 절대 접근하지 않는다.</t>
        </is>
      </c>
    </row>
    <row r="53" ht="3" customHeight="1"/>
    <row r="54" ht="22" customHeight="1">
      <c r="A54" s="15" t="inlineStr">
        <is>
          <t>4.6  환경관리계획</t>
        </is>
      </c>
    </row>
    <row r="55" ht="24" customHeight="1">
      <c r="A55" s="27" t="inlineStr">
        <is>
          <t>구   분</t>
        </is>
      </c>
      <c r="B55" s="7" t="n"/>
      <c r="C55" s="7" t="n"/>
      <c r="D55" s="27" t="inlineStr">
        <is>
          <t>내        용</t>
        </is>
      </c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34.5" customHeight="1">
      <c r="A56" s="54" t="inlineStr">
        <is>
          <t>환경관리 지침</t>
        </is>
      </c>
      <c r="B56" s="7" t="n"/>
      <c r="C56" s="7" t="n"/>
      <c r="D56" s="55" t="inlineStr">
        <is>
          <t>폐유 · 폐오일로 인한 수질 · 토양오염 최소화 · 폐콘크리트 및 건설폐기물 발생 저감과 적법 처리 · 비산먼지 발생 최소화</t>
        </is>
      </c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48.75" customHeight="1">
      <c r="A57" s="54" t="inlineStr">
        <is>
          <t>위해 요인</t>
        </is>
      </c>
      <c r="B57" s="7" t="n"/>
      <c r="C57" s="7" t="n"/>
      <c r="D57" s="55" t="inlineStr">
        <is>
          <t>▣ 장비 · 발전기의 폐유 · 폐오일로 인한 수질 · 토양오염 ▣ 덤프트럭 운행 때 비산먼지 ▣ 콘크리트 타설 · 두부 정리 때 폐콘크리트 발생 ▣ 소음으로 인한 민원</t>
        </is>
      </c>
      <c r="E57" s="7" t="n"/>
      <c r="F57" s="7" t="n"/>
      <c r="G57" s="7" t="n"/>
      <c r="H57" s="7" t="n"/>
      <c r="I57" s="7" t="n"/>
      <c r="J57" s="7" t="n"/>
      <c r="K57" s="7" t="n"/>
      <c r="L57" s="7" t="n"/>
    </row>
    <row r="58" ht="48.75" customHeight="1">
      <c r="A58" s="54" t="inlineStr">
        <is>
          <t>대    책</t>
        </is>
      </c>
      <c r="B58" s="7" t="n"/>
      <c r="C58" s="7" t="n"/>
      <c r="D58" s="55" t="inlineStr">
        <is>
          <t>▣ 폐유 처리 업체 선정 및 위탁 처리 ▣ 고압 살수기 · 필요하면 살수차 운행, 세륜기 관리 철저 ▣ 폐기물은 관계 법령에 따라 적법하게 처리 ▣ 저소음 장비 · 발전기 사용 및 방음장치 설치</t>
        </is>
      </c>
      <c r="E58" s="7" t="n"/>
      <c r="F58" s="7" t="n"/>
      <c r="G58" s="7" t="n"/>
      <c r="H58" s="7" t="n"/>
      <c r="I58" s="7" t="n"/>
      <c r="J58" s="7" t="n"/>
      <c r="K58" s="7" t="n"/>
      <c r="L58" s="7" t="n"/>
    </row>
    <row r="59" ht="36" customHeight="1">
      <c r="A59" s="58" t="inlineStr">
        <is>
          <t>4.6.1  비산먼지 및 소음 저감 세부대책 — 고압 살수로 날림먼지 억제 · 필요하면 이동식 방음벽 · 에어 방음벽 설치</t>
        </is>
      </c>
    </row>
    <row r="60" ht="18" customHeight="1">
      <c r="A60" s="24" t="inlineStr">
        <is>
          <t>(살수 · 세륜 · 방음벽 설치 사진을 붙이는 곳)</t>
        </is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 ht="18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 ht="18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 ht="18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 ht="18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 ht="18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 ht="18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 ht="18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 ht="4" customHeight="1"/>
    <row r="69" ht="30" customHeight="1">
      <c r="A69" s="14" t="inlineStr">
        <is>
          <t>5.  품질관리계획</t>
        </is>
      </c>
    </row>
    <row r="70" ht="4" customHeight="1"/>
    <row r="71" ht="24" customHeight="1">
      <c r="A71" s="27" t="inlineStr">
        <is>
          <t>공   정</t>
        </is>
      </c>
      <c r="B71" s="7" t="n"/>
      <c r="C71" s="7" t="n"/>
      <c r="D71" s="27" t="inlineStr">
        <is>
          <t>관  리  항  목</t>
        </is>
      </c>
      <c r="E71" s="7" t="n"/>
      <c r="F71" s="7" t="n"/>
      <c r="G71" s="7" t="n"/>
      <c r="H71" s="7" t="n"/>
      <c r="I71" s="7" t="n"/>
      <c r="J71" s="7" t="n"/>
      <c r="K71" s="7" t="n"/>
      <c r="L71" s="7" t="n"/>
    </row>
    <row r="72" ht="34.5" customHeight="1">
      <c r="A72" s="54" t="inlineStr">
        <is>
          <t>천  공</t>
        </is>
      </c>
      <c r="B72" s="7" t="n"/>
      <c r="C72" s="7" t="n"/>
      <c r="D72" s="55" t="inlineStr">
        <is>
          <t>◦ 수직도를 확인하며 정밀 시공 ◦ 설계 깊이까지 천공 ◦ 슬라임에 의한 오염 방지 ◦ 토사층 공벽 붕괴 방지 ◦ 지상시설 및 지하매설물 손상 주의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</row>
    <row r="73" ht="34" customHeight="1">
      <c r="A73" s="54" t="inlineStr">
        <is>
          <t>철근망 · 보강재</t>
        </is>
      </c>
      <c r="B73" s="7" t="n"/>
      <c r="C73" s="7" t="n"/>
      <c r="D73" s="55" t="inlineStr">
        <is>
          <t>◦ 재질과 규격은 설계도서에 따름</t>
        </is>
      </c>
      <c r="E73" s="7" t="n"/>
      <c r="F73" s="7" t="n"/>
      <c r="G73" s="7" t="n"/>
      <c r="H73" s="7" t="n"/>
      <c r="I73" s="7" t="n"/>
      <c r="J73" s="7" t="n"/>
      <c r="K73" s="7" t="n"/>
      <c r="L73" s="7" t="n"/>
    </row>
    <row r="74" ht="34" customHeight="1">
      <c r="A74" s="54" t="inlineStr">
        <is>
          <t>콘크리트 타설</t>
        </is>
      </c>
      <c r="B74" s="7" t="n"/>
      <c r="C74" s="7" t="n"/>
      <c r="D74" s="68" t="inlineStr">
        <is>
          <t>◦ 레미콘 반입 때 송장 · 슬럼프 · 공기량 확인, 공시체 제작(압축강도 시험)</t>
        </is>
      </c>
      <c r="E74" s="7" t="n"/>
      <c r="F74" s="7" t="n"/>
      <c r="G74" s="7" t="n"/>
      <c r="H74" s="7" t="n"/>
      <c r="I74" s="7" t="n"/>
      <c r="J74" s="7" t="n"/>
      <c r="K74" s="7" t="n"/>
      <c r="L74" s="7" t="n"/>
    </row>
    <row r="76" ht="19.5" customHeight="1">
      <c r="A76" s="11" t="inlineStr">
        <is>
          <t>이 시트는 작성 예시입니다.</t>
        </is>
      </c>
    </row>
  </sheetData>
  <mergeCells count="118">
    <mergeCell ref="D13:L13"/>
    <mergeCell ref="A37:L37"/>
    <mergeCell ref="B47:L47"/>
    <mergeCell ref="C21:E21"/>
    <mergeCell ref="A26:C26"/>
    <mergeCell ref="A57:C57"/>
    <mergeCell ref="D72:L72"/>
    <mergeCell ref="A71:C71"/>
    <mergeCell ref="C23:E23"/>
    <mergeCell ref="D56:L56"/>
    <mergeCell ref="D71:L71"/>
    <mergeCell ref="F19:L19"/>
    <mergeCell ref="F6:L6"/>
    <mergeCell ref="D73:L73"/>
    <mergeCell ref="G32:L32"/>
    <mergeCell ref="D42:L42"/>
    <mergeCell ref="C18:E18"/>
    <mergeCell ref="D26:L26"/>
    <mergeCell ref="A17:B17"/>
    <mergeCell ref="A34:C34"/>
    <mergeCell ref="F5:L5"/>
    <mergeCell ref="A22:B22"/>
    <mergeCell ref="F18:L18"/>
    <mergeCell ref="D10:L10"/>
    <mergeCell ref="B49:L49"/>
    <mergeCell ref="F17:L17"/>
    <mergeCell ref="A19:B19"/>
    <mergeCell ref="B51:L51"/>
    <mergeCell ref="C20:E20"/>
    <mergeCell ref="A69:L69"/>
    <mergeCell ref="B50:L50"/>
    <mergeCell ref="D11:L11"/>
    <mergeCell ref="C22:E22"/>
    <mergeCell ref="A55:C55"/>
    <mergeCell ref="A12:C12"/>
    <mergeCell ref="A3:L3"/>
    <mergeCell ref="G34:L34"/>
    <mergeCell ref="A32:C32"/>
    <mergeCell ref="A14:C14"/>
    <mergeCell ref="F4:L4"/>
    <mergeCell ref="A29:C29"/>
    <mergeCell ref="D39:L39"/>
    <mergeCell ref="A38:L38"/>
    <mergeCell ref="A13:C13"/>
    <mergeCell ref="D29:L29"/>
    <mergeCell ref="A31:C31"/>
    <mergeCell ref="F7:L7"/>
    <mergeCell ref="A58:C58"/>
    <mergeCell ref="F21:L21"/>
    <mergeCell ref="G31:L31"/>
    <mergeCell ref="A40:C40"/>
    <mergeCell ref="A73:C73"/>
    <mergeCell ref="A24:L24"/>
    <mergeCell ref="D31:F31"/>
    <mergeCell ref="C16:E16"/>
    <mergeCell ref="A25:C25"/>
    <mergeCell ref="F22:L22"/>
    <mergeCell ref="D27:L27"/>
    <mergeCell ref="D32:F32"/>
    <mergeCell ref="B6:E6"/>
    <mergeCell ref="A42:C42"/>
    <mergeCell ref="G33:L33"/>
    <mergeCell ref="B43:L43"/>
    <mergeCell ref="B52:L52"/>
    <mergeCell ref="D28:L28"/>
    <mergeCell ref="B7:E7"/>
    <mergeCell ref="G35:L35"/>
    <mergeCell ref="D12:L12"/>
    <mergeCell ref="D25:L25"/>
    <mergeCell ref="D33:F33"/>
    <mergeCell ref="A72:C72"/>
    <mergeCell ref="D55:L55"/>
    <mergeCell ref="A28:C28"/>
    <mergeCell ref="A21:B21"/>
    <mergeCell ref="B44:L44"/>
    <mergeCell ref="A60:L67"/>
    <mergeCell ref="D14:L14"/>
    <mergeCell ref="D35:F35"/>
    <mergeCell ref="A23:B23"/>
    <mergeCell ref="D34:F34"/>
    <mergeCell ref="A59:L59"/>
    <mergeCell ref="A15:L15"/>
    <mergeCell ref="A1:F1"/>
    <mergeCell ref="D40:L40"/>
    <mergeCell ref="D36:F36"/>
    <mergeCell ref="A54:L54"/>
    <mergeCell ref="A41:C41"/>
    <mergeCell ref="D57:L57"/>
    <mergeCell ref="A74:C74"/>
    <mergeCell ref="D41:L41"/>
    <mergeCell ref="A27:C27"/>
    <mergeCell ref="A56:C56"/>
    <mergeCell ref="B46:L46"/>
    <mergeCell ref="B5:E5"/>
    <mergeCell ref="A16:B16"/>
    <mergeCell ref="A33:C33"/>
    <mergeCell ref="B4:E4"/>
    <mergeCell ref="A76:L76"/>
    <mergeCell ref="B48:L48"/>
    <mergeCell ref="D58:L58"/>
    <mergeCell ref="C17:E17"/>
    <mergeCell ref="F16:L16"/>
    <mergeCell ref="A18:B18"/>
    <mergeCell ref="A35:C35"/>
    <mergeCell ref="D74:L74"/>
    <mergeCell ref="A10:C10"/>
    <mergeCell ref="G1:L1"/>
    <mergeCell ref="C19:E19"/>
    <mergeCell ref="A9:L9"/>
    <mergeCell ref="F20:L20"/>
    <mergeCell ref="A39:C39"/>
    <mergeCell ref="A30:L30"/>
    <mergeCell ref="A20:B20"/>
    <mergeCell ref="A36:C36"/>
    <mergeCell ref="A11:C11"/>
    <mergeCell ref="G36:L36"/>
    <mergeCell ref="B45:L45"/>
    <mergeCell ref="F23:L23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23" min="0" max="16383" man="1"/>
    <brk id="48" min="0" max="16383" man="1"/>
    <brk id="67" min="0" max="16383" man="1"/>
  </rowBreaks>
</worksheet>
</file>

<file path=xl/worksheets/sheet1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82" t="inlineStr">
        <is>
          <t xml:space="preserve">작성 예시 (가상의 현장)  </t>
        </is>
      </c>
    </row>
    <row r="2" ht="4" customHeight="1"/>
    <row r="3" ht="30" customHeight="1">
      <c r="A3" s="14" t="inlineStr">
        <is>
          <t>6.  계측관리계획</t>
        </is>
      </c>
    </row>
    <row r="4" ht="4" customHeight="1"/>
    <row r="5" ht="3" customHeight="1"/>
    <row r="6" ht="22" customHeight="1">
      <c r="A6" s="15" t="inlineStr">
        <is>
          <t>6-1.  개  요</t>
        </is>
      </c>
    </row>
    <row r="7" ht="50" customHeight="1">
      <c r="A7" s="73">
        <f>"    이 계획서는 «"&amp;IF(OR('예시-표지'!E6="",'예시-표지'!E6="(공 사 명)"),"본 공사",'예시-표지'!E6)&amp;"» 흙막이 가시설공사의 계측관리계획서로서, 지반 굴착에 따른 흙막이 구조물과 인접 건물의 거동을 측정하여 예상하지 못한 지반 재해를 막고 안전하게 시공하는 데 목적이 있다."</f>
        <v/>
      </c>
    </row>
    <row r="8" ht="21" customHeight="1">
      <c r="A8" s="58" t="inlineStr">
        <is>
          <t>계측의 목적</t>
        </is>
      </c>
    </row>
    <row r="9" ht="19.725" customHeight="1">
      <c r="A9" s="59" t="inlineStr">
        <is>
          <t>*</t>
        </is>
      </c>
      <c r="B9" s="60" t="inlineStr">
        <is>
          <t>설계 때 지반 정보 부족으로 인한 불확실성을 시공 중에 확인하여 설계 변경 자료로 쓴다.</t>
        </is>
      </c>
    </row>
    <row r="10" ht="19.725" customHeight="1">
      <c r="A10" s="59" t="inlineStr">
        <is>
          <t>*</t>
        </is>
      </c>
      <c r="B10" s="60" t="inlineStr">
        <is>
          <t>굴착이 지반과 구조물에 미치는 영향을 계측하여 안전관리에 쓴다.</t>
        </is>
      </c>
    </row>
    <row r="11" ht="19.725" customHeight="1">
      <c r="A11" s="59" t="inlineStr">
        <is>
          <t>*</t>
        </is>
      </c>
      <c r="B11" s="60" t="inlineStr">
        <is>
          <t>굴착공사로 인한 법적 분쟁이 생기면 증거 자료로 쓴다.</t>
        </is>
      </c>
    </row>
    <row r="12" ht="19.725" customHeight="1">
      <c r="A12" s="59" t="inlineStr">
        <is>
          <t>*</t>
        </is>
      </c>
      <c r="B12" s="60" t="inlineStr">
        <is>
          <t>설계치와 계측치를 비교 · 분석하여 안전관리에 쓰고, 상황에 따라 보완 설계에 반영한다.</t>
        </is>
      </c>
    </row>
    <row r="13" ht="19.725" customHeight="1">
      <c r="A13" s="59" t="inlineStr">
        <is>
          <t>*</t>
        </is>
      </c>
      <c r="B13" s="60" t="inlineStr">
        <is>
          <t>계측 자료를 모아 정리 · 분석 · 축적하여 뒤의 구조물 설계 · 시공 자료로 쓴다.</t>
        </is>
      </c>
    </row>
    <row r="14" ht="3" customHeight="1"/>
    <row r="15" ht="22" customHeight="1">
      <c r="A15" s="15" t="inlineStr">
        <is>
          <t>6-2.  계측과업 수행 운영계획</t>
        </is>
      </c>
    </row>
    <row r="16" ht="24" customHeight="1">
      <c r="A16" s="27" t="inlineStr">
        <is>
          <t>주   체</t>
        </is>
      </c>
      <c r="B16" s="7" t="n"/>
      <c r="C16" s="7" t="n"/>
      <c r="D16" s="27" t="inlineStr">
        <is>
          <t>역        할</t>
        </is>
      </c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6" customHeight="1">
      <c r="A17" s="54" t="inlineStr">
        <is>
          <t>발 주 자</t>
        </is>
      </c>
      <c r="B17" s="7" t="n"/>
      <c r="C17" s="7" t="n"/>
      <c r="D17" s="55" t="inlineStr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6" customHeight="1">
      <c r="A18" s="54" t="inlineStr">
        <is>
          <t>감 리 자</t>
        </is>
      </c>
      <c r="B18" s="7" t="n"/>
      <c r="C18" s="7" t="n"/>
      <c r="D18" s="55" t="inlineStr">
        <is>
          <t>계측 결과 검토 및 분석 · 대책 검토 및 승인</t>
        </is>
      </c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6" customHeight="1">
      <c r="A19" s="54" t="inlineStr">
        <is>
          <t>시 공 사</t>
        </is>
      </c>
      <c r="B19" s="7" t="n"/>
      <c r="C19" s="7" t="n"/>
      <c r="D19" s="55" t="inlineStr">
        <is>
          <t>계측용역 지원(설치 및 측정) · 계기 유지관리 · 계측 결과 보고 · 대책 수립</t>
        </is>
      </c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34.5" customHeight="1">
      <c r="A20" s="54" t="inlineStr">
        <is>
          <t>계측관리 회사</t>
        </is>
      </c>
      <c r="B20" s="7" t="n"/>
      <c r="C20" s="7" t="n"/>
      <c r="D20" s="57" t="inlineStr">
        <is>
          <t>(가상) 가나계측(주) — 계측용역 총괄 및 기술지원 · 계측 결과 분석 · 현장 계측 · 설치 · 유지관리 · 보고서 작성</t>
        </is>
      </c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3" customHeight="1"/>
    <row r="22" ht="22" customHeight="1">
      <c r="A22" s="15" t="inlineStr">
        <is>
          <t>6-3.  계측의 용도 및 설치 위치</t>
        </is>
      </c>
    </row>
    <row r="23" ht="24" customHeight="1">
      <c r="A23" s="27" t="inlineStr">
        <is>
          <t>종   류</t>
        </is>
      </c>
      <c r="B23" s="7" t="n"/>
      <c r="C23" s="27" t="inlineStr">
        <is>
          <t>용        도</t>
        </is>
      </c>
      <c r="D23" s="7" t="n"/>
      <c r="E23" s="7" t="n"/>
      <c r="F23" s="7" t="n"/>
      <c r="G23" s="7" t="n"/>
      <c r="H23" s="7" t="n"/>
      <c r="I23" s="7" t="n"/>
      <c r="J23" s="27" t="inlineStr">
        <is>
          <t>설치 위치</t>
        </is>
      </c>
      <c r="K23" s="7" t="n"/>
      <c r="L23" s="7" t="n"/>
    </row>
    <row r="24" ht="33" customHeight="1">
      <c r="A24" s="72" t="inlineStr">
        <is>
          <t>지중경사계</t>
        </is>
      </c>
      <c r="B24" s="7" t="n"/>
      <c r="C24" s="72" t="inlineStr">
        <is>
          <t>굴토 진행 때 인접 지반의 수평변위량과 방향 · 크기를 실측하여 흙막이 각 지점의 변동 상태 파악</t>
        </is>
      </c>
      <c r="D24" s="7" t="n"/>
      <c r="E24" s="7" t="n"/>
      <c r="F24" s="7" t="n"/>
      <c r="G24" s="7" t="n"/>
      <c r="H24" s="7" t="n"/>
      <c r="I24" s="7" t="n"/>
      <c r="J24" s="72" t="inlineStr">
        <is>
          <t>흙막이 벽 또는 배면 지반</t>
        </is>
      </c>
      <c r="K24" s="7" t="n"/>
      <c r="L24" s="7" t="n"/>
    </row>
    <row r="25" ht="33" customHeight="1">
      <c r="A25" s="72" t="inlineStr">
        <is>
          <t>지하수위계</t>
        </is>
      </c>
      <c r="B25" s="7" t="n"/>
      <c r="C25" s="72" t="inlineStr">
        <is>
          <t>지하수위 변화를 실측하여 계측 자료에 쓰고, 수위 변화 원인 분석 및 대책 수립</t>
        </is>
      </c>
      <c r="D25" s="7" t="n"/>
      <c r="E25" s="7" t="n"/>
      <c r="F25" s="7" t="n"/>
      <c r="G25" s="7" t="n"/>
      <c r="H25" s="7" t="n"/>
      <c r="I25" s="7" t="n"/>
      <c r="J25" s="72" t="inlineStr">
        <is>
          <t>흙막이 벽 배면 · 연약지반</t>
        </is>
      </c>
      <c r="K25" s="7" t="n"/>
      <c r="L25" s="7" t="n"/>
    </row>
    <row r="26" ht="33" customHeight="1">
      <c r="A26" s="72" t="inlineStr">
        <is>
          <t>하중계</t>
        </is>
      </c>
      <c r="B26" s="7" t="n"/>
      <c r="C26" s="72" t="inlineStr">
        <is>
          <t>어스앵커 · 버팀보 등에 걸리는 하중(축력)의 변화를 측정하여 허용치와 비교 · 안정성 판단</t>
        </is>
      </c>
      <c r="D26" s="7" t="n"/>
      <c r="E26" s="7" t="n"/>
      <c r="F26" s="7" t="n"/>
      <c r="G26" s="7" t="n"/>
      <c r="H26" s="7" t="n"/>
      <c r="I26" s="7" t="n"/>
      <c r="J26" s="72" t="inlineStr">
        <is>
          <t>앵커 · 버팀보</t>
        </is>
      </c>
      <c r="K26" s="7" t="n"/>
      <c r="L26" s="7" t="n"/>
    </row>
    <row r="27" ht="33" customHeight="1">
      <c r="A27" s="72" t="inlineStr">
        <is>
          <t>변형률계</t>
        </is>
      </c>
      <c r="B27" s="7" t="n"/>
      <c r="C27" s="72" t="inlineStr">
        <is>
          <t>버팀보에 걸리는 응력의 증감량을 파악하여 안전관리 자료로 사용</t>
        </is>
      </c>
      <c r="D27" s="7" t="n"/>
      <c r="E27" s="7" t="n"/>
      <c r="F27" s="7" t="n"/>
      <c r="G27" s="7" t="n"/>
      <c r="H27" s="7" t="n"/>
      <c r="I27" s="7" t="n"/>
      <c r="J27" s="72" t="inlineStr">
        <is>
          <t>버팀보(Strut)</t>
        </is>
      </c>
      <c r="K27" s="7" t="n"/>
      <c r="L27" s="7" t="n"/>
    </row>
    <row r="28" ht="26" customHeight="1">
      <c r="A28" s="72" t="inlineStr">
        <is>
          <t>건물경사계</t>
        </is>
      </c>
      <c r="B28" s="7" t="n"/>
      <c r="C28" s="72" t="inlineStr">
        <is>
          <t>인접 건물에 설치하여 기울기 측정</t>
        </is>
      </c>
      <c r="D28" s="7" t="n"/>
      <c r="E28" s="7" t="n"/>
      <c r="F28" s="7" t="n"/>
      <c r="G28" s="7" t="n"/>
      <c r="H28" s="7" t="n"/>
      <c r="I28" s="7" t="n"/>
      <c r="J28" s="72" t="inlineStr">
        <is>
          <t>인접 건물</t>
        </is>
      </c>
      <c r="K28" s="7" t="n"/>
      <c r="L28" s="7" t="n"/>
    </row>
    <row r="29" ht="26" customHeight="1">
      <c r="A29" s="72" t="inlineStr">
        <is>
          <t>균열측정계</t>
        </is>
      </c>
      <c r="B29" s="7" t="n"/>
      <c r="C29" s="72" t="inlineStr">
        <is>
          <t>인접 건물 균열 부위에 설치하여 균열 진행 여부 측정</t>
        </is>
      </c>
      <c r="D29" s="7" t="n"/>
      <c r="E29" s="7" t="n"/>
      <c r="F29" s="7" t="n"/>
      <c r="G29" s="7" t="n"/>
      <c r="H29" s="7" t="n"/>
      <c r="I29" s="7" t="n"/>
      <c r="J29" s="72" t="inlineStr">
        <is>
          <t>인접 건물</t>
        </is>
      </c>
      <c r="K29" s="7" t="n"/>
      <c r="L29" s="7" t="n"/>
    </row>
    <row r="30" ht="29.65" customHeight="1">
      <c r="A30" s="70" t="inlineStr">
        <is>
          <t>※ 원본은 하중계 용도를 «지표면 침하량 측정» 으로 적었는데, 이는 지표침하계의 용도라 하중계 본래 용도로 고쳤습니다.</t>
        </is>
      </c>
    </row>
    <row r="31" ht="3" customHeight="1"/>
    <row r="32" ht="22" customHeight="1">
      <c r="A32" s="15" t="inlineStr">
        <is>
          <t>6-4.  계측 수행 기간 및 빈도 · 6-5. 결과 보고</t>
        </is>
      </c>
    </row>
    <row r="33" ht="24" customHeight="1">
      <c r="A33" s="27" t="inlineStr">
        <is>
          <t>계측 항목</t>
        </is>
      </c>
      <c r="B33" s="7" t="n"/>
      <c r="C33" s="7" t="n"/>
      <c r="D33" s="27" t="inlineStr">
        <is>
          <t>측 정 시 기</t>
        </is>
      </c>
      <c r="E33" s="7" t="n"/>
      <c r="F33" s="7" t="n"/>
      <c r="G33" s="7" t="n"/>
      <c r="H33" s="7" t="n"/>
      <c r="I33" s="27" t="inlineStr">
        <is>
          <t>측정 빈도</t>
        </is>
      </c>
      <c r="J33" s="7" t="n"/>
      <c r="K33" s="27" t="inlineStr">
        <is>
          <t>비 고</t>
        </is>
      </c>
      <c r="L33" s="7" t="n"/>
    </row>
    <row r="34" ht="24" customHeight="1">
      <c r="A34" s="72" t="inlineStr">
        <is>
          <t>지중경사계</t>
        </is>
      </c>
      <c r="B34" s="7" t="n"/>
      <c r="C34" s="7" t="n"/>
      <c r="D34" s="72" t="inlineStr">
        <is>
          <t>지하 굴토 전부터 지하층 완료 때까지</t>
        </is>
      </c>
      <c r="E34" s="7" t="n"/>
      <c r="F34" s="7" t="n"/>
      <c r="G34" s="7" t="n"/>
      <c r="H34" s="7" t="n"/>
      <c r="I34" s="74" t="inlineStr">
        <is>
          <t>2회 / 월</t>
        </is>
      </c>
      <c r="J34" s="7" t="n"/>
      <c r="K34" s="72" t="inlineStr">
        <is>
          <t>가시설 계측</t>
        </is>
      </c>
      <c r="L34" s="7" t="n"/>
    </row>
    <row r="35" ht="24" customHeight="1">
      <c r="A35" s="72" t="inlineStr">
        <is>
          <t>지하수위계</t>
        </is>
      </c>
      <c r="B35" s="7" t="n"/>
      <c r="C35" s="7" t="n"/>
      <c r="D35" s="72" t="inlineStr">
        <is>
          <t>지하 굴토 전부터 지하층 완료 때까지</t>
        </is>
      </c>
      <c r="E35" s="7" t="n"/>
      <c r="F35" s="7" t="n"/>
      <c r="G35" s="7" t="n"/>
      <c r="H35" s="7" t="n"/>
      <c r="I35" s="74" t="inlineStr">
        <is>
          <t>2회 / 월</t>
        </is>
      </c>
      <c r="J35" s="7" t="n"/>
      <c r="K35" s="72" t="inlineStr"/>
      <c r="L35" s="7" t="n"/>
    </row>
    <row r="36" ht="24" customHeight="1">
      <c r="A36" s="72" t="inlineStr">
        <is>
          <t>하중계</t>
        </is>
      </c>
      <c r="B36" s="7" t="n"/>
      <c r="C36" s="7" t="n"/>
      <c r="D36" s="72" t="inlineStr">
        <is>
          <t>앵커 인장 때부터 해체 때까지</t>
        </is>
      </c>
      <c r="E36" s="7" t="n"/>
      <c r="F36" s="7" t="n"/>
      <c r="G36" s="7" t="n"/>
      <c r="H36" s="7" t="n"/>
      <c r="I36" s="74" t="inlineStr">
        <is>
          <t>2회 / 월</t>
        </is>
      </c>
      <c r="J36" s="7" t="n"/>
      <c r="K36" s="72" t="inlineStr"/>
      <c r="L36" s="7" t="n"/>
    </row>
    <row r="37" ht="24" customHeight="1">
      <c r="A37" s="72" t="inlineStr">
        <is>
          <t>변형률계</t>
        </is>
      </c>
      <c r="B37" s="7" t="n"/>
      <c r="C37" s="7" t="n"/>
      <c r="D37" s="72" t="inlineStr">
        <is>
          <t>버팀보 설치 뒤부터 해체 때까지</t>
        </is>
      </c>
      <c r="E37" s="7" t="n"/>
      <c r="F37" s="7" t="n"/>
      <c r="G37" s="7" t="n"/>
      <c r="H37" s="7" t="n"/>
      <c r="I37" s="74" t="inlineStr">
        <is>
          <t>2회 / 월</t>
        </is>
      </c>
      <c r="J37" s="7" t="n"/>
      <c r="K37" s="72" t="inlineStr"/>
      <c r="L37" s="7" t="n"/>
    </row>
    <row r="38" ht="24" customHeight="1">
      <c r="A38" s="72" t="inlineStr">
        <is>
          <t>건물경사계</t>
        </is>
      </c>
      <c r="B38" s="7" t="n"/>
      <c r="C38" s="7" t="n"/>
      <c r="D38" s="72" t="inlineStr">
        <is>
          <t>지하 굴토 전부터 지하층 완료 때까지</t>
        </is>
      </c>
      <c r="E38" s="7" t="n"/>
      <c r="F38" s="7" t="n"/>
      <c r="G38" s="7" t="n"/>
      <c r="H38" s="7" t="n"/>
      <c r="I38" s="74" t="inlineStr">
        <is>
          <t>2회 / 월</t>
        </is>
      </c>
      <c r="J38" s="7" t="n"/>
      <c r="K38" s="72" t="inlineStr"/>
      <c r="L38" s="7" t="n"/>
    </row>
    <row r="39" ht="24" customHeight="1">
      <c r="A39" s="72" t="inlineStr">
        <is>
          <t>균열측정계</t>
        </is>
      </c>
      <c r="B39" s="7" t="n"/>
      <c r="C39" s="7" t="n"/>
      <c r="D39" s="72" t="inlineStr">
        <is>
          <t>지하 굴토 전부터 지하층 완료 때까지</t>
        </is>
      </c>
      <c r="E39" s="7" t="n"/>
      <c r="F39" s="7" t="n"/>
      <c r="G39" s="7" t="n"/>
      <c r="H39" s="7" t="n"/>
      <c r="I39" s="74" t="inlineStr">
        <is>
          <t>2회 / 월</t>
        </is>
      </c>
      <c r="J39" s="7" t="n"/>
      <c r="K39" s="72" t="inlineStr"/>
      <c r="L39" s="7" t="n"/>
    </row>
    <row r="40" ht="19.725" customHeight="1">
      <c r="A40" s="59" t="inlineStr">
        <is>
          <t>*</t>
        </is>
      </c>
      <c r="B40" s="60" t="inlineStr">
        <is>
          <t>주간 보고 : 매회 계측 결과의 이상 유무 확인 및 보고</t>
        </is>
      </c>
    </row>
    <row r="41" ht="19.725" customHeight="1">
      <c r="A41" s="59" t="inlineStr">
        <is>
          <t>*</t>
        </is>
      </c>
      <c r="B41" s="60" t="inlineStr">
        <is>
          <t>월간 보고 : 매월 계측 결과를 정리하여 월말 보고서 제출</t>
        </is>
      </c>
    </row>
    <row r="42" ht="34.45" customHeight="1">
      <c r="A42" s="59" t="inlineStr">
        <is>
          <t>*</t>
        </is>
      </c>
      <c r="B42" s="60" t="inlineStr">
        <is>
          <t>수시 보고 : 갑작스러운 변위 증가 · 주변 구조물 균열 등 위험 징후가 보이면 지체 없이 구두 보고(뒤에 서면 보고)</t>
        </is>
      </c>
    </row>
    <row r="43" ht="3" customHeight="1"/>
    <row r="44" ht="22" customHeight="1">
      <c r="A44" s="15" t="inlineStr">
        <is>
          <t>6-6.  당 현장 계측관리 기준치</t>
        </is>
      </c>
    </row>
    <row r="45" ht="24" customHeight="1">
      <c r="A45" s="6" t="inlineStr">
        <is>
          <t>굴착 깊이 H (개요에서)</t>
        </is>
      </c>
      <c r="B45" s="7" t="n"/>
      <c r="C45" s="7" t="n"/>
      <c r="D45" s="7" t="n"/>
      <c r="E45" s="75">
        <f>IF(N('예시-개요'!I23)=0,"",'예시-개요'!I23)</f>
        <v/>
      </c>
      <c r="F45" s="7" t="n"/>
      <c r="G45" s="11" t="inlineStr">
        <is>
          <t>※ 지중경사계 최대 변위 기준은 굴착 깊이 H 에 비례합니다(아래 mm 는 자동).</t>
        </is>
      </c>
    </row>
    <row r="46" ht="24" customHeight="1">
      <c r="A46" s="27" t="inlineStr">
        <is>
          <t>계측 항목</t>
        </is>
      </c>
      <c r="B46" s="7" t="n"/>
      <c r="C46" s="27" t="inlineStr">
        <is>
          <t>구분</t>
        </is>
      </c>
      <c r="D46" s="27" t="inlineStr">
        <is>
          <t>1차 관리기준</t>
        </is>
      </c>
      <c r="E46" s="7" t="n"/>
      <c r="F46" s="7" t="n"/>
      <c r="G46" s="27" t="inlineStr">
        <is>
          <t>2차 관리기준</t>
        </is>
      </c>
      <c r="H46" s="7" t="n"/>
      <c r="I46" s="7" t="n"/>
      <c r="J46" s="27" t="inlineStr">
        <is>
          <t>3차 관리기준</t>
        </is>
      </c>
      <c r="K46" s="7" t="n"/>
      <c r="L46" s="7" t="n"/>
    </row>
    <row r="47" ht="24" customHeight="1">
      <c r="A47" s="43" t="inlineStr">
        <is>
          <t>지중경사계</t>
        </is>
      </c>
      <c r="B47" s="7" t="n"/>
      <c r="C47" s="74" t="inlineStr">
        <is>
          <t>최대</t>
        </is>
      </c>
      <c r="D47" s="76">
        <f>IF(E45="","0.0015H","0.0015H = "&amp;ROUND(0.0015*E45*1000,1)&amp;" mm")</f>
        <v/>
      </c>
      <c r="E47" s="7" t="n"/>
      <c r="F47" s="7" t="n"/>
      <c r="G47" s="76">
        <f>IF(E45="","0.0035H","0.0035H = "&amp;ROUND(0.0035*E45*1000,1)&amp;" mm")</f>
        <v/>
      </c>
      <c r="H47" s="7" t="n"/>
      <c r="I47" s="7" t="n"/>
      <c r="J47" s="76">
        <f>IF(E45="","0.005H","0.005H = "&amp;ROUND(0.005*E45*1000,1)&amp;" mm")</f>
        <v/>
      </c>
      <c r="K47" s="7" t="n"/>
      <c r="L47" s="7" t="n"/>
    </row>
    <row r="48" ht="22" customHeight="1">
      <c r="A48" s="7" t="n"/>
      <c r="B48" s="7" t="n"/>
      <c r="C48" s="77" t="inlineStr">
        <is>
          <t>각변위</t>
        </is>
      </c>
      <c r="D48" s="19" t="inlineStr">
        <is>
          <t>1/667</t>
        </is>
      </c>
      <c r="E48" s="7" t="n"/>
      <c r="F48" s="7" t="n"/>
      <c r="G48" s="19" t="inlineStr">
        <is>
          <t>1/286</t>
        </is>
      </c>
      <c r="H48" s="7" t="n"/>
      <c r="I48" s="7" t="n"/>
      <c r="J48" s="19" t="inlineStr">
        <is>
          <t>1/200</t>
        </is>
      </c>
      <c r="K48" s="7" t="n"/>
      <c r="L48" s="7" t="n"/>
    </row>
    <row r="49" ht="22" customHeight="1">
      <c r="A49" s="7" t="n"/>
      <c r="B49" s="7" t="n"/>
      <c r="C49" s="74" t="inlineStr">
        <is>
          <t>연속</t>
        </is>
      </c>
      <c r="D49" s="19" t="inlineStr">
        <is>
          <t>3.0mm / 3일</t>
        </is>
      </c>
      <c r="E49" s="7" t="n"/>
      <c r="F49" s="7" t="n"/>
      <c r="G49" s="19" t="inlineStr">
        <is>
          <t>5.0mm / 3일</t>
        </is>
      </c>
      <c r="H49" s="7" t="n"/>
      <c r="I49" s="7" t="n"/>
      <c r="J49" s="19" t="inlineStr">
        <is>
          <t>7.0mm / 3일</t>
        </is>
      </c>
      <c r="K49" s="7" t="n"/>
      <c r="L49" s="7" t="n"/>
    </row>
    <row r="50" ht="22" customHeight="1">
      <c r="A50" s="43" t="inlineStr">
        <is>
          <t>지하수위계</t>
        </is>
      </c>
      <c r="B50" s="7" t="n"/>
      <c r="C50" s="74" t="inlineStr">
        <is>
          <t>연속</t>
        </is>
      </c>
      <c r="D50" s="74" t="inlineStr">
        <is>
          <t>1.0m / 3일</t>
        </is>
      </c>
      <c r="E50" s="7" t="n"/>
      <c r="F50" s="7" t="n"/>
      <c r="G50" s="74" t="inlineStr">
        <is>
          <t>2.0m / 3일</t>
        </is>
      </c>
      <c r="H50" s="7" t="n"/>
      <c r="I50" s="7" t="n"/>
      <c r="J50" s="74" t="inlineStr">
        <is>
          <t>3.0m / 3일</t>
        </is>
      </c>
      <c r="K50" s="7" t="n"/>
      <c r="L50" s="7" t="n"/>
    </row>
    <row r="51" ht="22" customHeight="1">
      <c r="A51" s="43" t="inlineStr">
        <is>
          <t>하중계</t>
        </is>
      </c>
      <c r="B51" s="7" t="n"/>
      <c r="C51" s="74" t="inlineStr">
        <is>
          <t>최대</t>
        </is>
      </c>
      <c r="D51" s="74" t="inlineStr">
        <is>
          <t>설계축력의 80%</t>
        </is>
      </c>
      <c r="E51" s="7" t="n"/>
      <c r="F51" s="7" t="n"/>
      <c r="G51" s="74" t="inlineStr">
        <is>
          <t>설계축력의 100%</t>
        </is>
      </c>
      <c r="H51" s="7" t="n"/>
      <c r="I51" s="7" t="n"/>
      <c r="J51" s="74" t="inlineStr">
        <is>
          <t>설계 허용축력</t>
        </is>
      </c>
      <c r="K51" s="7" t="n"/>
      <c r="L51" s="7" t="n"/>
    </row>
    <row r="52" ht="22" customHeight="1">
      <c r="A52" s="43" t="inlineStr"/>
      <c r="B52" s="7" t="n"/>
      <c r="C52" s="74" t="inlineStr">
        <is>
          <t>연속</t>
        </is>
      </c>
      <c r="D52" s="74" t="inlineStr">
        <is>
          <t>±5.0tf / 3일</t>
        </is>
      </c>
      <c r="E52" s="7" t="n"/>
      <c r="F52" s="7" t="n"/>
      <c r="G52" s="74" t="inlineStr">
        <is>
          <t>±5.0 ~ 10.0tf / 3일</t>
        </is>
      </c>
      <c r="H52" s="7" t="n"/>
      <c r="I52" s="7" t="n"/>
      <c r="J52" s="74" t="inlineStr">
        <is>
          <t>±10.0tf 이상 / 3일</t>
        </is>
      </c>
      <c r="K52" s="7" t="n"/>
      <c r="L52" s="7" t="n"/>
    </row>
    <row r="53" ht="22" customHeight="1">
      <c r="A53" s="43" t="inlineStr">
        <is>
          <t>변형률계</t>
        </is>
      </c>
      <c r="B53" s="7" t="n"/>
      <c r="C53" s="74" t="inlineStr">
        <is>
          <t>최대</t>
        </is>
      </c>
      <c r="D53" s="74" t="inlineStr">
        <is>
          <t>설계축력의 80%</t>
        </is>
      </c>
      <c r="E53" s="7" t="n"/>
      <c r="F53" s="7" t="n"/>
      <c r="G53" s="74" t="inlineStr">
        <is>
          <t>설계축력의 100%</t>
        </is>
      </c>
      <c r="H53" s="7" t="n"/>
      <c r="I53" s="7" t="n"/>
      <c r="J53" s="74" t="inlineStr">
        <is>
          <t>설계 허용축력</t>
        </is>
      </c>
      <c r="K53" s="7" t="n"/>
      <c r="L53" s="7" t="n"/>
    </row>
    <row r="54" ht="22" customHeight="1">
      <c r="A54" s="43" t="inlineStr"/>
      <c r="B54" s="7" t="n"/>
      <c r="C54" s="74" t="inlineStr">
        <is>
          <t>연속</t>
        </is>
      </c>
      <c r="D54" s="74" t="inlineStr">
        <is>
          <t>±10.0tf / 3일</t>
        </is>
      </c>
      <c r="E54" s="7" t="n"/>
      <c r="F54" s="7" t="n"/>
      <c r="G54" s="74" t="inlineStr">
        <is>
          <t>±10.0 ~ 20.0tf / 3일</t>
        </is>
      </c>
      <c r="H54" s="7" t="n"/>
      <c r="I54" s="7" t="n"/>
      <c r="J54" s="74" t="inlineStr">
        <is>
          <t>±20.0tf / 3일</t>
        </is>
      </c>
      <c r="K54" s="7" t="n"/>
      <c r="L54" s="7" t="n"/>
    </row>
    <row r="55" ht="22" customHeight="1">
      <c r="A55" s="43" t="inlineStr">
        <is>
          <t>건물경사계</t>
        </is>
      </c>
      <c r="B55" s="7" t="n"/>
      <c r="C55" s="74" t="inlineStr">
        <is>
          <t>최대</t>
        </is>
      </c>
      <c r="D55" s="74" t="inlineStr">
        <is>
          <t>1/750</t>
        </is>
      </c>
      <c r="E55" s="7" t="n"/>
      <c r="F55" s="7" t="n"/>
      <c r="G55" s="74" t="inlineStr">
        <is>
          <t>1/500</t>
        </is>
      </c>
      <c r="H55" s="7" t="n"/>
      <c r="I55" s="7" t="n"/>
      <c r="J55" s="74" t="inlineStr">
        <is>
          <t>1/300</t>
        </is>
      </c>
      <c r="K55" s="7" t="n"/>
      <c r="L55" s="7" t="n"/>
    </row>
    <row r="56" ht="22" customHeight="1">
      <c r="A56" s="43" t="inlineStr">
        <is>
          <t>균열측정계</t>
        </is>
      </c>
      <c r="B56" s="7" t="n"/>
      <c r="C56" s="74" t="inlineStr">
        <is>
          <t>최대</t>
        </is>
      </c>
      <c r="D56" s="74" t="inlineStr">
        <is>
          <t>허용 균열폭 : 옥내 0.4mm · 옥외 0.33mm</t>
        </is>
      </c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21" customHeight="1">
      <c r="A57" s="58" t="inlineStr">
        <is>
          <t>◈ 지중경사계 측정값 판정 (최대 수평변위)</t>
        </is>
      </c>
    </row>
    <row r="58" ht="24" customHeight="1">
      <c r="A58" s="27" t="inlineStr">
        <is>
          <t>측정일</t>
        </is>
      </c>
      <c r="B58" s="7" t="n"/>
      <c r="C58" s="7" t="n"/>
      <c r="D58" s="27" t="inlineStr">
        <is>
          <t>위치(번호)</t>
        </is>
      </c>
      <c r="E58" s="7" t="n"/>
      <c r="F58" s="7" t="n"/>
      <c r="G58" s="27" t="inlineStr">
        <is>
          <t>최대 변위 (mm)</t>
        </is>
      </c>
      <c r="H58" s="7" t="n"/>
      <c r="I58" s="27" t="inlineStr">
        <is>
          <t>판    정</t>
        </is>
      </c>
      <c r="J58" s="7" t="n"/>
      <c r="K58" s="7" t="n"/>
      <c r="L58" s="7" t="n"/>
    </row>
    <row r="59" ht="24" customHeight="1">
      <c r="A59" s="18" t="n">
        <v>46094</v>
      </c>
      <c r="B59" s="7" t="n"/>
      <c r="C59" s="7" t="n"/>
      <c r="D59" s="8" t="inlineStr">
        <is>
          <t>INC-1</t>
        </is>
      </c>
      <c r="E59" s="7" t="n"/>
      <c r="F59" s="7" t="n"/>
      <c r="G59" s="78" t="n">
        <v>12.5</v>
      </c>
      <c r="H59" s="7" t="n"/>
      <c r="I59" s="79">
        <f>IF(OR(N(G59)=0,E45=""),"",IF(G59&gt;=0.005*E45*1000,"3차 관리기준 초과",IF(G59&gt;=0.0035*E45*1000,"2차 관리기준 초과",IF(G59&gt;=0.0015*E45*1000,"1차 관리기준 초과","관리기준 이내"))))</f>
        <v/>
      </c>
      <c r="J59" s="7" t="n"/>
      <c r="K59" s="7" t="n"/>
      <c r="L59" s="7" t="n"/>
    </row>
    <row r="60" ht="24" customHeight="1">
      <c r="A60" s="18" t="n">
        <v>46108</v>
      </c>
      <c r="B60" s="7" t="n"/>
      <c r="C60" s="7" t="n"/>
      <c r="D60" s="8" t="inlineStr">
        <is>
          <t>INC-1</t>
        </is>
      </c>
      <c r="E60" s="7" t="n"/>
      <c r="F60" s="7" t="n"/>
      <c r="G60" s="78" t="n">
        <v>18</v>
      </c>
      <c r="H60" s="7" t="n"/>
      <c r="I60" s="79">
        <f>IF(OR(N(G60)=0,E45=""),"",IF(G60&gt;=0.005*E45*1000,"3차 관리기준 초과",IF(G60&gt;=0.0035*E45*1000,"2차 관리기준 초과",IF(G60&gt;=0.0015*E45*1000,"1차 관리기준 초과","관리기준 이내"))))</f>
        <v/>
      </c>
      <c r="J60" s="7" t="n"/>
      <c r="K60" s="7" t="n"/>
      <c r="L60" s="7" t="n"/>
    </row>
    <row r="61" ht="24" customHeight="1">
      <c r="A61" s="18" t="n"/>
      <c r="B61" s="7" t="n"/>
      <c r="C61" s="7" t="n"/>
      <c r="D61" s="8" t="n"/>
      <c r="E61" s="7" t="n"/>
      <c r="F61" s="7" t="n"/>
      <c r="G61" s="78" t="n"/>
      <c r="H61" s="7" t="n"/>
      <c r="I61" s="79">
        <f>IF(OR(N(G61)=0,E45=""),"",IF(G61&gt;=0.005*E45*1000,"3차 관리기준 초과",IF(G61&gt;=0.0035*E45*1000,"2차 관리기준 초과",IF(G61&gt;=0.0015*E45*1000,"1차 관리기준 초과","관리기준 이내"))))</f>
        <v/>
      </c>
      <c r="J61" s="7" t="n"/>
      <c r="K61" s="7" t="n"/>
      <c r="L61" s="7" t="n"/>
    </row>
    <row r="62" ht="17.325" customHeight="1">
      <c r="A62" s="70" t="inlineStr">
        <is>
          <t>※ 관리기준을 넘으면 계측관리계획 · 감리원 지시에 따라 계측 빈도를 늘리거나 대책을 세웁니다.</t>
        </is>
      </c>
    </row>
    <row r="63" ht="3" customHeight="1"/>
    <row r="64" ht="22" customHeight="1">
      <c r="A64" s="15" t="inlineStr">
        <is>
          <t>6-7.  계측 항목 및 수량</t>
        </is>
      </c>
    </row>
    <row r="65" ht="24" customHeight="1">
      <c r="A65" s="27" t="inlineStr">
        <is>
          <t>항    목</t>
        </is>
      </c>
      <c r="B65" s="7" t="n"/>
      <c r="C65" s="7" t="n"/>
      <c r="D65" s="7" t="n"/>
      <c r="E65" s="27" t="inlineStr">
        <is>
          <t>수  량 (개소)</t>
        </is>
      </c>
      <c r="F65" s="7" t="n"/>
      <c r="G65" s="7" t="n"/>
      <c r="H65" s="27" t="inlineStr">
        <is>
          <t>비    고</t>
        </is>
      </c>
      <c r="I65" s="7" t="n"/>
      <c r="J65" s="7" t="n"/>
      <c r="K65" s="7" t="n"/>
      <c r="L65" s="7" t="n"/>
    </row>
    <row r="66" ht="23" customHeight="1">
      <c r="A66" s="8" t="inlineStr">
        <is>
          <t>지중경사계</t>
        </is>
      </c>
      <c r="B66" s="7" t="n"/>
      <c r="C66" s="7" t="n"/>
      <c r="D66" s="7" t="n"/>
      <c r="E66" s="46" t="n">
        <v>5</v>
      </c>
      <c r="F66" s="7" t="n"/>
      <c r="G66" s="7" t="n"/>
      <c r="H66" s="57" t="n"/>
      <c r="I66" s="7" t="n"/>
      <c r="J66" s="7" t="n"/>
      <c r="K66" s="7" t="n"/>
      <c r="L66" s="7" t="n"/>
    </row>
    <row r="67" ht="23" customHeight="1">
      <c r="A67" s="8" t="inlineStr">
        <is>
          <t>지하수위계</t>
        </is>
      </c>
      <c r="B67" s="7" t="n"/>
      <c r="C67" s="7" t="n"/>
      <c r="D67" s="7" t="n"/>
      <c r="E67" s="46" t="n">
        <v>5</v>
      </c>
      <c r="F67" s="7" t="n"/>
      <c r="G67" s="7" t="n"/>
      <c r="H67" s="57" t="n"/>
      <c r="I67" s="7" t="n"/>
      <c r="J67" s="7" t="n"/>
      <c r="K67" s="7" t="n"/>
      <c r="L67" s="7" t="n"/>
    </row>
    <row r="68" ht="23" customHeight="1">
      <c r="A68" s="8" t="inlineStr">
        <is>
          <t>변형률계</t>
        </is>
      </c>
      <c r="B68" s="7" t="n"/>
      <c r="C68" s="7" t="n"/>
      <c r="D68" s="7" t="n"/>
      <c r="E68" s="46" t="n">
        <v>15</v>
      </c>
      <c r="F68" s="7" t="n"/>
      <c r="G68" s="7" t="n"/>
      <c r="H68" s="57" t="n"/>
      <c r="I68" s="7" t="n"/>
      <c r="J68" s="7" t="n"/>
      <c r="K68" s="7" t="n"/>
      <c r="L68" s="7" t="n"/>
    </row>
    <row r="69" ht="23" customHeight="1">
      <c r="A69" s="8" t="inlineStr">
        <is>
          <t>건물경사계</t>
        </is>
      </c>
      <c r="B69" s="7" t="n"/>
      <c r="C69" s="7" t="n"/>
      <c r="D69" s="7" t="n"/>
      <c r="E69" s="46" t="n">
        <v>1</v>
      </c>
      <c r="F69" s="7" t="n"/>
      <c r="G69" s="7" t="n"/>
      <c r="H69" s="57" t="n"/>
      <c r="I69" s="7" t="n"/>
      <c r="J69" s="7" t="n"/>
      <c r="K69" s="7" t="n"/>
      <c r="L69" s="7" t="n"/>
    </row>
    <row r="70" ht="23" customHeight="1">
      <c r="A70" s="8" t="inlineStr">
        <is>
          <t>균열측정계</t>
        </is>
      </c>
      <c r="B70" s="7" t="n"/>
      <c r="C70" s="7" t="n"/>
      <c r="D70" s="7" t="n"/>
      <c r="E70" s="46" t="n">
        <v>1</v>
      </c>
      <c r="F70" s="7" t="n"/>
      <c r="G70" s="7" t="n"/>
      <c r="H70" s="57" t="n"/>
      <c r="I70" s="7" t="n"/>
      <c r="J70" s="7" t="n"/>
      <c r="K70" s="7" t="n"/>
      <c r="L70" s="7" t="n"/>
    </row>
    <row r="71" ht="23" customHeight="1">
      <c r="A71" s="8" t="n"/>
      <c r="B71" s="7" t="n"/>
      <c r="C71" s="7" t="n"/>
      <c r="D71" s="7" t="n"/>
      <c r="E71" s="46" t="n"/>
      <c r="F71" s="7" t="n"/>
      <c r="G71" s="7" t="n"/>
      <c r="H71" s="57" t="n"/>
      <c r="I71" s="7" t="n"/>
      <c r="J71" s="7" t="n"/>
      <c r="K71" s="7" t="n"/>
      <c r="L71" s="7" t="n"/>
    </row>
    <row r="72" ht="24" customHeight="1">
      <c r="A72" s="39" t="inlineStr">
        <is>
          <t>합    계</t>
        </is>
      </c>
      <c r="B72" s="7" t="n"/>
      <c r="C72" s="7" t="n"/>
      <c r="D72" s="7" t="n"/>
      <c r="E72" s="80">
        <f>IF(SUM(E66:E71)=0,"",SUM(E66:E71))</f>
        <v/>
      </c>
      <c r="F72" s="7" t="n"/>
      <c r="G72" s="7" t="n"/>
      <c r="H72" s="39" t="inlineStr"/>
      <c r="I72" s="7" t="n"/>
      <c r="J72" s="7" t="n"/>
      <c r="K72" s="7" t="n"/>
      <c r="L72" s="7" t="n"/>
    </row>
    <row r="73" ht="3" customHeight="1"/>
    <row r="74" ht="22" customHeight="1">
      <c r="A74" s="15" t="inlineStr">
        <is>
          <t>6-8.  계측기 설치방법 및 사양</t>
        </is>
      </c>
    </row>
    <row r="75" ht="21" customHeight="1">
      <c r="A75" s="58" t="inlineStr">
        <is>
          <t>6-8-1. 지중경사계 — 설치방법</t>
        </is>
      </c>
    </row>
    <row r="76" ht="19.725" customHeight="1">
      <c r="A76" s="59" t="inlineStr">
        <is>
          <t>①</t>
        </is>
      </c>
      <c r="B76" s="60" t="inlineStr">
        <is>
          <t>계획 심도까지 천공한다(구멍 지름 100 ~ 200mm 정도).</t>
        </is>
      </c>
    </row>
    <row r="77" ht="19.725" customHeight="1">
      <c r="A77" s="59" t="inlineStr">
        <is>
          <t>②</t>
        </is>
      </c>
      <c r="B77" s="60" t="inlineStr">
        <is>
          <t>경사계 케이싱 한쪽 끝에 엔드캡을 씌우고 리벳으로 고정한다.</t>
        </is>
      </c>
    </row>
    <row r="78" ht="19.725" customHeight="1">
      <c r="A78" s="59" t="inlineStr">
        <is>
          <t>③</t>
        </is>
      </c>
      <c r="B78" s="60" t="inlineStr">
        <is>
          <t>케이싱과 커플링을 미리 리벳으로 조합하고 실링 처리를 한다.</t>
        </is>
      </c>
    </row>
    <row r="79" ht="19.725" customHeight="1">
      <c r="A79" s="59" t="inlineStr">
        <is>
          <t>④</t>
        </is>
      </c>
      <c r="B79" s="60" t="inlineStr">
        <is>
          <t>조립된 케이싱을 차례로 구멍에 넣고 측정 방향과 키웨이(홈) 방향을 맞춘다.</t>
        </is>
      </c>
    </row>
    <row r="80" ht="19.725" customHeight="1">
      <c r="A80" s="59" t="inlineStr">
        <is>
          <t>⑤</t>
        </is>
      </c>
      <c r="B80" s="60" t="inlineStr">
        <is>
          <t>그라우트 펌프와 트레미관으로 구멍 안을 그라우팅한다.</t>
        </is>
      </c>
    </row>
    <row r="81" ht="19.725" customHeight="1">
      <c r="A81" s="59" t="inlineStr">
        <is>
          <t>⑥</t>
        </is>
      </c>
      <c r="B81" s="60" t="inlineStr">
        <is>
          <t>그라우트가 굳은 뒤 가라앉은 부위를 다시 채운다.</t>
        </is>
      </c>
    </row>
    <row r="82" ht="19.725" customHeight="1">
      <c r="A82" s="59" t="inlineStr">
        <is>
          <t>⑦</t>
        </is>
      </c>
      <c r="B82" s="60" t="inlineStr">
        <is>
          <t>케이싱 끝을 보호 커버로 덮고 보호막을 만든다.</t>
        </is>
      </c>
    </row>
    <row r="83" ht="33.90000000000001" customHeight="1">
      <c r="A83" s="81" t="inlineStr">
        <is>
          <t>사양(예) : 케이싱 ABS 3m · 커플링 ABS 300mm · 서보 가속도계 센서(정밀도 ±0.02mm/500mm · 휠 간격 500mm · 2축) · 방수 케이블 50m(500mm 간격 표시) · 2축 지시계</t>
        </is>
      </c>
    </row>
    <row r="84" ht="36" customHeight="1">
      <c r="A84" s="58" t="inlineStr">
        <is>
          <t>6-8-2. 지하수위계 — 목적 : 설계 수위와 비교하여 하중 증가 요인 점검 · 터파기로 인한 수위 변동과 인접 구조물 영향 점검</t>
        </is>
      </c>
    </row>
    <row r="85" ht="19.725" customHeight="1">
      <c r="A85" s="59" t="inlineStr">
        <is>
          <t>①</t>
        </is>
      </c>
      <c r="B85" s="60" t="inlineStr">
        <is>
          <t>계획 심도까지 천공한다(구멍 지름 100 또는 200mm 정도).</t>
        </is>
      </c>
    </row>
    <row r="86" ht="19.725" customHeight="1">
      <c r="A86" s="59" t="inlineStr">
        <is>
          <t>②</t>
        </is>
      </c>
      <c r="B86" s="60" t="inlineStr">
        <is>
          <t>카사그란데 팁과 PVC 관을 연결한다.</t>
        </is>
      </c>
    </row>
    <row r="87" ht="19.725" customHeight="1">
      <c r="A87" s="59" t="inlineStr">
        <is>
          <t>③</t>
        </is>
      </c>
      <c r="B87" s="60" t="inlineStr">
        <is>
          <t>커플링으로 PVC 관을 지표까지 이어 설치한다.</t>
        </is>
      </c>
    </row>
    <row r="88" ht="19.725" customHeight="1">
      <c r="A88" s="59" t="inlineStr">
        <is>
          <t>④</t>
        </is>
      </c>
      <c r="B88" s="60" t="inlineStr">
        <is>
          <t>팁 위 300mm 까지 모래를 채우고 벤토나이트 차수층을 만든다.</t>
        </is>
      </c>
    </row>
    <row r="89" ht="19.725" customHeight="1">
      <c r="A89" s="59" t="inlineStr">
        <is>
          <t>⑤</t>
        </is>
      </c>
      <c r="B89" s="60" t="inlineStr">
        <is>
          <t>그라우팅 및 보호 커버 작업을 한다.</t>
        </is>
      </c>
    </row>
    <row r="90" ht="21" customHeight="1">
      <c r="A90" s="58" t="inlineStr">
        <is>
          <t>6-8-3. 변형률계 — 목적 : 버팀보에 붙여 굴착 진행 · 정지 중 버팀보 응력의 증감을 파악</t>
        </is>
      </c>
    </row>
    <row r="91" ht="19.725" customHeight="1">
      <c r="A91" s="59" t="inlineStr">
        <is>
          <t>①</t>
        </is>
      </c>
      <c r="B91" s="60" t="inlineStr">
        <is>
          <t>설치 위치의 녹과 이물질을 없앤다.</t>
        </is>
      </c>
    </row>
    <row r="92" ht="19.725" customHeight="1">
      <c r="A92" s="59" t="inlineStr">
        <is>
          <t>②</t>
        </is>
      </c>
      <c r="B92" s="60" t="inlineStr">
        <is>
          <t>변형률계 양쪽 블록을 아크 용접한다.</t>
        </is>
      </c>
    </row>
    <row r="93" ht="19.725" customHeight="1">
      <c r="A93" s="59" t="inlineStr">
        <is>
          <t>③</t>
        </is>
      </c>
      <c r="B93" s="60" t="inlineStr">
        <is>
          <t>조인트 실링 키트로 측정 위치까지 케이블을 잇는다.</t>
        </is>
      </c>
    </row>
    <row r="94" ht="19.725" customHeight="1">
      <c r="A94" s="59" t="inlineStr">
        <is>
          <t>④</t>
        </is>
      </c>
      <c r="B94" s="60" t="inlineStr">
        <is>
          <t>초기치를 측정한다.</t>
        </is>
      </c>
    </row>
    <row r="95" ht="33.90000000000001" customHeight="1">
      <c r="A95" s="81" t="inlineStr">
        <is>
          <t>사양(예) : 진동현식 센서(측정 범위 3,000 × 10⁻⁶ · 정밀도 1 × 10⁻⁶ · 사용 온도 −20 ~ 80℃) · 4심 차폐 케이블 · 진동현식 판독기</t>
        </is>
      </c>
    </row>
    <row r="96" ht="21" customHeight="1">
      <c r="A96" s="58" t="inlineStr">
        <is>
          <t>6-8-4. 건물경사계(Tilt Meter) — 휴대형 디지털 기울기 측정기(온도 센서 내장)</t>
        </is>
      </c>
    </row>
    <row r="97" ht="19.725" customHeight="1">
      <c r="A97" s="59" t="inlineStr">
        <is>
          <t>①</t>
        </is>
      </c>
      <c r="B97" s="60" t="inlineStr">
        <is>
          <t>건물 벽면에 틸트 플레이트를 붙인다.</t>
        </is>
      </c>
    </row>
    <row r="98" ht="19.725" customHeight="1">
      <c r="A98" s="59" t="inlineStr">
        <is>
          <t>②</t>
        </is>
      </c>
      <c r="B98" s="60" t="inlineStr">
        <is>
          <t>틸트 플레이트에 측정 센서를 대어 값을 읽는다.</t>
        </is>
      </c>
    </row>
    <row r="99" ht="19.725" customHeight="1">
      <c r="A99" s="59" t="inlineStr">
        <is>
          <t>③</t>
        </is>
      </c>
      <c r="B99" s="60" t="inlineStr">
        <is>
          <t>지시계로 값을 확인한다.</t>
        </is>
      </c>
    </row>
    <row r="100" ht="19.725" customHeight="1">
      <c r="A100" s="59" t="inlineStr">
        <is>
          <t>④</t>
        </is>
      </c>
      <c r="B100" s="60" t="inlineStr">
        <is>
          <t>굴착면 쪽으로 기울기가 가장 크게 나타나므로 굴착면에 가장 가까운 벽면에 설치한다.</t>
        </is>
      </c>
    </row>
    <row r="101" ht="3" customHeight="1"/>
    <row r="102" ht="22" customHeight="1">
      <c r="A102" s="15" t="inlineStr">
        <is>
          <t>6-9.  계측기 설치 계획도</t>
        </is>
      </c>
    </row>
    <row r="103" ht="20" customHeight="1">
      <c r="A103" s="24" t="inlineStr">
        <is>
          <t>(계측기 설치 계획도를 붙이는 곳 — 지중경사계 · 지하수위계 · 변형률계 · 건물경사계 · 균열측정계 위치)</t>
        </is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 ht="20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 ht="20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 ht="20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 ht="20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 ht="20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 ht="20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 ht="20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 ht="20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 ht="20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 ht="20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 ht="20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 ht="20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 ht="20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8" ht="19.5" customHeight="1">
      <c r="A118" s="11" t="inlineStr">
        <is>
          <t>이 시트는 작성 예시입니다(가상의 계측값 · 업체).</t>
        </is>
      </c>
    </row>
  </sheetData>
  <mergeCells count="194">
    <mergeCell ref="D35:H35"/>
    <mergeCell ref="A103:L116"/>
    <mergeCell ref="B91:L91"/>
    <mergeCell ref="A37:C37"/>
    <mergeCell ref="B100:L100"/>
    <mergeCell ref="A51:B51"/>
    <mergeCell ref="J27:L27"/>
    <mergeCell ref="K33:L33"/>
    <mergeCell ref="A72:D72"/>
    <mergeCell ref="D53:F53"/>
    <mergeCell ref="B93:L93"/>
    <mergeCell ref="D47:F47"/>
    <mergeCell ref="A57:L57"/>
    <mergeCell ref="J25:L25"/>
    <mergeCell ref="C28:I28"/>
    <mergeCell ref="K35:L35"/>
    <mergeCell ref="B12:L12"/>
    <mergeCell ref="A54:B54"/>
    <mergeCell ref="H68:L68"/>
    <mergeCell ref="B86:L86"/>
    <mergeCell ref="D56:L56"/>
    <mergeCell ref="J50:L50"/>
    <mergeCell ref="A27:B27"/>
    <mergeCell ref="A56:B56"/>
    <mergeCell ref="J46:L46"/>
    <mergeCell ref="A70:D70"/>
    <mergeCell ref="B13:L13"/>
    <mergeCell ref="G50:I50"/>
    <mergeCell ref="H69:L69"/>
    <mergeCell ref="B78:L78"/>
    <mergeCell ref="J52:L52"/>
    <mergeCell ref="B87:L87"/>
    <mergeCell ref="G58:H58"/>
    <mergeCell ref="D37:H37"/>
    <mergeCell ref="H66:L66"/>
    <mergeCell ref="A102:L102"/>
    <mergeCell ref="J48:L48"/>
    <mergeCell ref="A34:C34"/>
    <mergeCell ref="G52:I52"/>
    <mergeCell ref="B40:L40"/>
    <mergeCell ref="A53:B53"/>
    <mergeCell ref="A83:L83"/>
    <mergeCell ref="J29:L29"/>
    <mergeCell ref="D39:H39"/>
    <mergeCell ref="D19:L19"/>
    <mergeCell ref="I58:L58"/>
    <mergeCell ref="A28:B28"/>
    <mergeCell ref="A6:L6"/>
    <mergeCell ref="K37:L37"/>
    <mergeCell ref="D38:H38"/>
    <mergeCell ref="B41:L41"/>
    <mergeCell ref="G59:H59"/>
    <mergeCell ref="C23:I23"/>
    <mergeCell ref="J24:L24"/>
    <mergeCell ref="E69:G69"/>
    <mergeCell ref="A75:L75"/>
    <mergeCell ref="G61:H61"/>
    <mergeCell ref="J26:L26"/>
    <mergeCell ref="A3:L3"/>
    <mergeCell ref="A95:L95"/>
    <mergeCell ref="B77:L77"/>
    <mergeCell ref="B11:L11"/>
    <mergeCell ref="A32:L32"/>
    <mergeCell ref="A46:B46"/>
    <mergeCell ref="G45:L45"/>
    <mergeCell ref="G55:I55"/>
    <mergeCell ref="E70:G70"/>
    <mergeCell ref="G51:I51"/>
    <mergeCell ref="A38:C38"/>
    <mergeCell ref="D55:F55"/>
    <mergeCell ref="A96:L96"/>
    <mergeCell ref="A26:B26"/>
    <mergeCell ref="G54:I54"/>
    <mergeCell ref="I61:L61"/>
    <mergeCell ref="E72:G72"/>
    <mergeCell ref="A58:C58"/>
    <mergeCell ref="I33:J33"/>
    <mergeCell ref="D54:F54"/>
    <mergeCell ref="C29:I29"/>
    <mergeCell ref="D60:F60"/>
    <mergeCell ref="E71:G71"/>
    <mergeCell ref="A60:C60"/>
    <mergeCell ref="I35:J35"/>
    <mergeCell ref="A52:B52"/>
    <mergeCell ref="J28:L28"/>
    <mergeCell ref="D46:F46"/>
    <mergeCell ref="B80:L80"/>
    <mergeCell ref="B89:L89"/>
    <mergeCell ref="A71:D71"/>
    <mergeCell ref="G60:H60"/>
    <mergeCell ref="A16:C16"/>
    <mergeCell ref="B79:L79"/>
    <mergeCell ref="J53:L53"/>
    <mergeCell ref="B97:L97"/>
    <mergeCell ref="H67:L67"/>
    <mergeCell ref="G53:I53"/>
    <mergeCell ref="A84:L84"/>
    <mergeCell ref="E65:G65"/>
    <mergeCell ref="A18:C18"/>
    <mergeCell ref="B81:L81"/>
    <mergeCell ref="J55:L55"/>
    <mergeCell ref="D17:L17"/>
    <mergeCell ref="A118:L118"/>
    <mergeCell ref="A68:D68"/>
    <mergeCell ref="I59:L59"/>
    <mergeCell ref="J54:L54"/>
    <mergeCell ref="I60:L60"/>
    <mergeCell ref="D58:F58"/>
    <mergeCell ref="A22:L22"/>
    <mergeCell ref="C24:I24"/>
    <mergeCell ref="I37:J37"/>
    <mergeCell ref="B42:L42"/>
    <mergeCell ref="J47:L47"/>
    <mergeCell ref="A20:C20"/>
    <mergeCell ref="A55:B55"/>
    <mergeCell ref="D51:F51"/>
    <mergeCell ref="A45:D45"/>
    <mergeCell ref="G47:I47"/>
    <mergeCell ref="H70:L70"/>
    <mergeCell ref="C26:I26"/>
    <mergeCell ref="A69:D69"/>
    <mergeCell ref="G46:I46"/>
    <mergeCell ref="D50:F50"/>
    <mergeCell ref="A44:L44"/>
    <mergeCell ref="A65:D65"/>
    <mergeCell ref="D59:F59"/>
    <mergeCell ref="B99:L99"/>
    <mergeCell ref="A23:B23"/>
    <mergeCell ref="A59:C59"/>
    <mergeCell ref="C25:I25"/>
    <mergeCell ref="H65:L65"/>
    <mergeCell ref="B9:L9"/>
    <mergeCell ref="A15:L15"/>
    <mergeCell ref="A64:L64"/>
    <mergeCell ref="B92:L92"/>
    <mergeCell ref="A1:F1"/>
    <mergeCell ref="A61:C61"/>
    <mergeCell ref="B85:L85"/>
    <mergeCell ref="B94:L94"/>
    <mergeCell ref="I34:J34"/>
    <mergeCell ref="A24:B24"/>
    <mergeCell ref="A7:L7"/>
    <mergeCell ref="K34:L34"/>
    <mergeCell ref="J49:L49"/>
    <mergeCell ref="D34:H34"/>
    <mergeCell ref="A90:L90"/>
    <mergeCell ref="D61:F61"/>
    <mergeCell ref="D48:F48"/>
    <mergeCell ref="G49:I49"/>
    <mergeCell ref="A74:L74"/>
    <mergeCell ref="I36:J36"/>
    <mergeCell ref="K36:L36"/>
    <mergeCell ref="D36:H36"/>
    <mergeCell ref="D16:L16"/>
    <mergeCell ref="A33:C33"/>
    <mergeCell ref="A67:D67"/>
    <mergeCell ref="A25:B25"/>
    <mergeCell ref="A17:C17"/>
    <mergeCell ref="A8:L8"/>
    <mergeCell ref="D18:L18"/>
    <mergeCell ref="A35:C35"/>
    <mergeCell ref="B98:L98"/>
    <mergeCell ref="A50:B50"/>
    <mergeCell ref="A62:L62"/>
    <mergeCell ref="G1:L1"/>
    <mergeCell ref="J51:L51"/>
    <mergeCell ref="A19:C19"/>
    <mergeCell ref="B88:L88"/>
    <mergeCell ref="E66:G66"/>
    <mergeCell ref="B82:L82"/>
    <mergeCell ref="J23:L23"/>
    <mergeCell ref="E45:F45"/>
    <mergeCell ref="H72:L72"/>
    <mergeCell ref="B10:L10"/>
    <mergeCell ref="A39:C39"/>
    <mergeCell ref="I39:J39"/>
    <mergeCell ref="K39:L39"/>
    <mergeCell ref="D20:L20"/>
    <mergeCell ref="E68:G68"/>
    <mergeCell ref="A66:D66"/>
    <mergeCell ref="A30:L30"/>
    <mergeCell ref="A36:C36"/>
    <mergeCell ref="A47:B49"/>
    <mergeCell ref="A29:B29"/>
    <mergeCell ref="I38:J38"/>
    <mergeCell ref="E67:G67"/>
    <mergeCell ref="K38:L38"/>
    <mergeCell ref="D33:H33"/>
    <mergeCell ref="H71:L71"/>
    <mergeCell ref="G48:I48"/>
    <mergeCell ref="D52:F52"/>
    <mergeCell ref="B76:L76"/>
    <mergeCell ref="C27:I27"/>
    <mergeCell ref="D49:F49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30" min="0" max="16383" man="1"/>
    <brk id="62" min="0" max="16383" man="1"/>
    <brk id="9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가시설(흙막이) 시공계획서</dc:title>
  <dcterms:created xmlns:dcterms="http://purl.org/dc/terms/" xmlns:xsi="http://www.w3.org/2001/XMLSchema-instance" xsi:type="dcterms:W3CDTF">2026-10-17T01:09:34Z</dcterms:created>
  <dcterms:modified xmlns:dcterms="http://purl.org/dc/terms/" xmlns:xsi="http://www.w3.org/2001/XMLSchema-instance" xsi:type="dcterms:W3CDTF">2026-10-17T01:09:35Z</dcterms:modified>
</cp:coreProperties>
</file>