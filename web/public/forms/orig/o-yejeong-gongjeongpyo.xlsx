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/>
  </mc:AlternateContent>
  <bookViews>
    <workbookView xWindow="0" yWindow="0" windowWidth="28800" windowHeight="13305" activeTab="1"/>
  </bookViews>
  <sheets>
    <sheet name="예정공정표(총괄분)" sheetId="6" r:id="rId1"/>
    <sheet name="예정공정표(월간)" sheetId="7" r:id="rId2"/>
    <sheet name="Sheet2" sheetId="2" r:id="rId3"/>
    <sheet name="Sheet3" sheetId="3" r:id="rId4"/>
  </sheets>
  <definedNames>
    <definedName name="_xlnm.Print_Area" localSheetId="1">'예정공정표(월간)'!$A$2:$AU$61</definedName>
    <definedName name="_xlnm.Print_Area" localSheetId="0">'예정공정표(총괄분)'!$A$2:$AQ$60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7" l="1"/>
  <c r="F13" i="7" s="1"/>
  <c r="D63" i="7"/>
  <c r="AX57" i="7"/>
  <c r="D56" i="7"/>
  <c r="AX55" i="7"/>
  <c r="D54" i="7"/>
  <c r="AX53" i="7"/>
  <c r="D52" i="7"/>
  <c r="AX51" i="7"/>
  <c r="D50" i="7"/>
  <c r="AX49" i="7"/>
  <c r="D48" i="7"/>
  <c r="AX47" i="7"/>
  <c r="D46" i="7"/>
  <c r="AX45" i="7"/>
  <c r="D44" i="7"/>
  <c r="AX43" i="7"/>
  <c r="D42" i="7"/>
  <c r="AX41" i="7"/>
  <c r="D40" i="7"/>
  <c r="AX39" i="7"/>
  <c r="D38" i="7"/>
  <c r="AX37" i="7"/>
  <c r="D36" i="7"/>
  <c r="AX35" i="7"/>
  <c r="D34" i="7"/>
  <c r="AX33" i="7"/>
  <c r="D32" i="7"/>
  <c r="AX31" i="7"/>
  <c r="D30" i="7"/>
  <c r="AX29" i="7"/>
  <c r="D28" i="7"/>
  <c r="AX27" i="7"/>
  <c r="D26" i="7"/>
  <c r="AX25" i="7"/>
  <c r="D24" i="7"/>
  <c r="AX23" i="7"/>
  <c r="D22" i="7"/>
  <c r="AX21" i="7"/>
  <c r="D20" i="7"/>
  <c r="AX19" i="7"/>
  <c r="D18" i="7"/>
  <c r="AX17" i="7"/>
  <c r="D16" i="7"/>
  <c r="AX15" i="7"/>
  <c r="D14" i="7"/>
  <c r="AX13" i="7"/>
  <c r="D12" i="7"/>
  <c r="AX11" i="7"/>
  <c r="D10" i="7"/>
  <c r="AW2" i="7"/>
  <c r="D65" i="7" l="1"/>
  <c r="D58" i="7"/>
  <c r="D64" i="7" s="1"/>
  <c r="X60" i="6"/>
  <c r="X59" i="6"/>
  <c r="AA60" i="6"/>
  <c r="AB60" i="6"/>
  <c r="AC60" i="6"/>
  <c r="AD60" i="6"/>
  <c r="AE60" i="6" s="1"/>
  <c r="AF60" i="6" s="1"/>
  <c r="AG60" i="6" s="1"/>
  <c r="AH60" i="6" s="1"/>
  <c r="AI60" i="6" s="1"/>
  <c r="AJ60" i="6" s="1"/>
  <c r="AK60" i="6" s="1"/>
  <c r="Z60" i="6"/>
  <c r="Y60" i="6"/>
  <c r="W60" i="6"/>
  <c r="L60" i="6"/>
  <c r="M60" i="6"/>
  <c r="N60" i="6" s="1"/>
  <c r="O60" i="6" s="1"/>
  <c r="P60" i="6" s="1"/>
  <c r="Q60" i="6" s="1"/>
  <c r="R60" i="6" s="1"/>
  <c r="S60" i="6" s="1"/>
  <c r="T60" i="6" s="1"/>
  <c r="U60" i="6" s="1"/>
  <c r="V60" i="6" s="1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K60" i="6"/>
  <c r="J60" i="6"/>
  <c r="J59" i="6"/>
  <c r="AS56" i="6"/>
  <c r="AS54" i="6"/>
  <c r="AS52" i="6"/>
  <c r="AS50" i="6"/>
  <c r="AS48" i="6"/>
  <c r="AS46" i="6"/>
  <c r="AS44" i="6"/>
  <c r="AS42" i="6"/>
  <c r="AS40" i="6"/>
  <c r="AS38" i="6"/>
  <c r="AS36" i="6"/>
  <c r="AS34" i="6"/>
  <c r="AS32" i="6"/>
  <c r="AS30" i="6"/>
  <c r="AS28" i="6"/>
  <c r="AS26" i="6"/>
  <c r="AS24" i="6"/>
  <c r="AS22" i="6"/>
  <c r="AS20" i="6"/>
  <c r="AS18" i="6"/>
  <c r="AS16" i="6"/>
  <c r="AS14" i="6"/>
  <c r="AU58" i="6"/>
  <c r="AS12" i="6"/>
  <c r="AS58" i="6"/>
  <c r="AT10" i="6"/>
  <c r="AU10" i="6" s="1"/>
  <c r="AS10" i="6"/>
  <c r="E34" i="7" l="1"/>
  <c r="AW35" i="7" s="1"/>
  <c r="E24" i="7"/>
  <c r="AW25" i="7" s="1"/>
  <c r="E16" i="7"/>
  <c r="AY17" i="7" s="1"/>
  <c r="E56" i="7"/>
  <c r="AY57" i="7" s="1"/>
  <c r="E44" i="7"/>
  <c r="AW45" i="7" s="1"/>
  <c r="E40" i="7"/>
  <c r="AW41" i="7" s="1"/>
  <c r="E32" i="7"/>
  <c r="AW33" i="7" s="1"/>
  <c r="E36" i="7"/>
  <c r="AW37" i="7" s="1"/>
  <c r="E22" i="7"/>
  <c r="AW23" i="7" s="1"/>
  <c r="E54" i="7"/>
  <c r="E26" i="7"/>
  <c r="E14" i="7"/>
  <c r="E50" i="7"/>
  <c r="E38" i="7"/>
  <c r="E12" i="7"/>
  <c r="E42" i="7"/>
  <c r="E30" i="7"/>
  <c r="E18" i="7"/>
  <c r="E20" i="7"/>
  <c r="E52" i="7"/>
  <c r="E28" i="7"/>
  <c r="E10" i="7"/>
  <c r="E48" i="7"/>
  <c r="E46" i="7"/>
  <c r="AS2" i="6"/>
  <c r="AY41" i="7" l="1"/>
  <c r="AY33" i="7"/>
  <c r="AY35" i="7"/>
  <c r="AY37" i="7"/>
  <c r="AY25" i="7"/>
  <c r="AW57" i="7"/>
  <c r="AY23" i="7"/>
  <c r="AW17" i="7"/>
  <c r="AY45" i="7"/>
  <c r="E58" i="7"/>
  <c r="AW11" i="7"/>
  <c r="AY11" i="7"/>
  <c r="AY43" i="7"/>
  <c r="AW43" i="7"/>
  <c r="AY55" i="7"/>
  <c r="AW55" i="7"/>
  <c r="AY29" i="7"/>
  <c r="AW29" i="7"/>
  <c r="AW13" i="7"/>
  <c r="AY13" i="7"/>
  <c r="AY53" i="7"/>
  <c r="AW53" i="7"/>
  <c r="AY39" i="7"/>
  <c r="AW39" i="7"/>
  <c r="AW21" i="7"/>
  <c r="AY21" i="7"/>
  <c r="AY51" i="7"/>
  <c r="AW51" i="7"/>
  <c r="AW47" i="7"/>
  <c r="AY47" i="7"/>
  <c r="AY19" i="7"/>
  <c r="AW19" i="7"/>
  <c r="AY15" i="7"/>
  <c r="AW15" i="7"/>
  <c r="AW49" i="7"/>
  <c r="AY49" i="7"/>
  <c r="AY31" i="7"/>
  <c r="AW31" i="7"/>
  <c r="AY27" i="7"/>
  <c r="AW27" i="7"/>
  <c r="F12" i="6"/>
  <c r="AW59" i="7" l="1"/>
  <c r="AY59" i="7"/>
  <c r="AT56" i="6"/>
  <c r="AU56" i="6" s="1"/>
  <c r="AT54" i="6"/>
  <c r="AU54" i="6" s="1"/>
  <c r="AT52" i="6"/>
  <c r="AU52" i="6" s="1"/>
  <c r="AT50" i="6"/>
  <c r="AU50" i="6" s="1"/>
  <c r="AT48" i="6"/>
  <c r="AU48" i="6" s="1"/>
  <c r="AT46" i="6"/>
  <c r="AU46" i="6" s="1"/>
  <c r="AT44" i="6"/>
  <c r="AU44" i="6" s="1"/>
  <c r="AT42" i="6"/>
  <c r="AU42" i="6" s="1"/>
  <c r="AT40" i="6"/>
  <c r="AU40" i="6" s="1"/>
  <c r="AT38" i="6"/>
  <c r="AU38" i="6" s="1"/>
  <c r="AT36" i="6"/>
  <c r="AU36" i="6" s="1"/>
  <c r="AT34" i="6"/>
  <c r="AU34" i="6" s="1"/>
  <c r="AT32" i="6"/>
  <c r="AU32" i="6" s="1"/>
  <c r="AT30" i="6"/>
  <c r="AU30" i="6" s="1"/>
  <c r="AT28" i="6"/>
  <c r="AU28" i="6" s="1"/>
  <c r="AT26" i="6"/>
  <c r="AU26" i="6" s="1"/>
  <c r="AT24" i="6"/>
  <c r="AU24" i="6" s="1"/>
  <c r="AT22" i="6"/>
  <c r="AU22" i="6" s="1"/>
  <c r="AT20" i="6"/>
  <c r="AU20" i="6" s="1"/>
  <c r="AT18" i="6"/>
  <c r="AU18" i="6" s="1"/>
  <c r="AT16" i="6"/>
  <c r="AU16" i="6" s="1"/>
  <c r="AT14" i="6"/>
  <c r="AU14" i="6" s="1"/>
  <c r="AT12" i="6"/>
  <c r="AU12" i="6" s="1"/>
  <c r="D62" i="6"/>
  <c r="D45" i="6"/>
  <c r="D49" i="6"/>
  <c r="D39" i="6"/>
  <c r="D37" i="6"/>
  <c r="D31" i="6"/>
  <c r="D29" i="6"/>
  <c r="D27" i="6"/>
  <c r="D23" i="6"/>
  <c r="D21" i="6"/>
  <c r="D17" i="6"/>
  <c r="D15" i="6"/>
  <c r="D13" i="6"/>
  <c r="D9" i="6"/>
  <c r="D41" i="6"/>
  <c r="D51" i="6"/>
  <c r="D55" i="6"/>
  <c r="D53" i="6"/>
  <c r="D47" i="6"/>
  <c r="D43" i="6"/>
  <c r="D35" i="6"/>
  <c r="D33" i="6"/>
  <c r="D25" i="6"/>
  <c r="D19" i="6"/>
  <c r="D11" i="6"/>
  <c r="D57" i="6" l="1"/>
  <c r="D64" i="6"/>
  <c r="D63" i="6" l="1"/>
  <c r="E21" i="6"/>
  <c r="E33" i="6"/>
  <c r="E45" i="6"/>
  <c r="E9" i="6"/>
  <c r="E11" i="6"/>
  <c r="E23" i="6"/>
  <c r="E35" i="6"/>
  <c r="E47" i="6"/>
  <c r="E41" i="6"/>
  <c r="E13" i="6"/>
  <c r="E25" i="6"/>
  <c r="E37" i="6"/>
  <c r="E49" i="6"/>
  <c r="E17" i="6"/>
  <c r="E15" i="6"/>
  <c r="E27" i="6"/>
  <c r="E39" i="6"/>
  <c r="E51" i="6"/>
  <c r="E29" i="6"/>
  <c r="E19" i="6"/>
  <c r="E31" i="6"/>
  <c r="E43" i="6"/>
  <c r="E55" i="6"/>
  <c r="E53" i="6"/>
  <c r="AF65" i="6" l="1"/>
  <c r="E57" i="6"/>
</calcChain>
</file>

<file path=xl/sharedStrings.xml><?xml version="1.0" encoding="utf-8"?>
<sst xmlns="http://schemas.openxmlformats.org/spreadsheetml/2006/main" count="254" uniqueCount="139">
  <si>
    <t>금액(천원)</t>
  </si>
  <si>
    <t xml:space="preserve"> 구 분</t>
  </si>
  <si>
    <t>공     종</t>
  </si>
  <si>
    <t>보할
(%)</t>
  </si>
  <si>
    <t>계획</t>
  </si>
  <si>
    <t>보   할 (%)</t>
    <phoneticPr fontId="4" type="noConversion"/>
  </si>
  <si>
    <t>반영합계</t>
    <phoneticPr fontId="4" type="noConversion"/>
  </si>
  <si>
    <t>대 비</t>
    <phoneticPr fontId="4" type="noConversion"/>
  </si>
  <si>
    <t>설계-반영</t>
    <phoneticPr fontId="4" type="noConversion"/>
  </si>
  <si>
    <t>단위수량</t>
    <phoneticPr fontId="4" type="noConversion"/>
  </si>
  <si>
    <t>누 계</t>
    <phoneticPr fontId="4" type="noConversion"/>
  </si>
  <si>
    <t>합 계</t>
    <phoneticPr fontId="4" type="noConversion"/>
  </si>
  <si>
    <t>예      정      공      정      표</t>
    <phoneticPr fontId="4" type="noConversion"/>
  </si>
  <si>
    <t>공사명 : ○○○</t>
    <phoneticPr fontId="4" type="noConversion"/>
  </si>
  <si>
    <t>토공사</t>
    <phoneticPr fontId="4" type="noConversion"/>
  </si>
  <si>
    <t>토공</t>
    <phoneticPr fontId="4" type="noConversion"/>
  </si>
  <si>
    <t>흙쌓기</t>
    <phoneticPr fontId="4" type="noConversion"/>
  </si>
  <si>
    <t>흙깍기 및 터파기</t>
    <phoneticPr fontId="4" type="noConversion"/>
  </si>
  <si>
    <t>되메우기</t>
    <phoneticPr fontId="4" type="noConversion"/>
  </si>
  <si>
    <t>벌목 및 벌개제근</t>
    <phoneticPr fontId="4" type="noConversion"/>
  </si>
  <si>
    <t>잡석깔기(치환)</t>
    <phoneticPr fontId="4" type="noConversion"/>
  </si>
  <si>
    <t>사토</t>
    <phoneticPr fontId="4" type="noConversion"/>
  </si>
  <si>
    <t>깨기공</t>
    <phoneticPr fontId="4" type="noConversion"/>
  </si>
  <si>
    <t>절단 및
철근,무근콘크리트</t>
    <phoneticPr fontId="4" type="noConversion"/>
  </si>
  <si>
    <t>호안공사</t>
    <phoneticPr fontId="4" type="noConversion"/>
  </si>
  <si>
    <t>옹벽블록공</t>
    <phoneticPr fontId="4" type="noConversion"/>
  </si>
  <si>
    <t>옹벽블록 쌓기</t>
    <phoneticPr fontId="4" type="noConversion"/>
  </si>
  <si>
    <t>기초 및
 천단설치</t>
    <phoneticPr fontId="4" type="noConversion"/>
  </si>
  <si>
    <t>홍수방어벽공</t>
    <phoneticPr fontId="4" type="noConversion"/>
  </si>
  <si>
    <t>우수공사</t>
    <phoneticPr fontId="4" type="noConversion"/>
  </si>
  <si>
    <t>U형개거</t>
    <phoneticPr fontId="4" type="noConversion"/>
  </si>
  <si>
    <t>복개</t>
    <phoneticPr fontId="4" type="noConversion"/>
  </si>
  <si>
    <t>측벽인상</t>
    <phoneticPr fontId="4" type="noConversion"/>
  </si>
  <si>
    <t>측벽 버팀대</t>
    <phoneticPr fontId="4" type="noConversion"/>
  </si>
  <si>
    <t>포장공사</t>
    <phoneticPr fontId="4" type="noConversion"/>
  </si>
  <si>
    <t>아스콘 덧씌우기 포장</t>
    <phoneticPr fontId="4" type="noConversion"/>
  </si>
  <si>
    <t>부대공사</t>
    <phoneticPr fontId="4" type="noConversion"/>
  </si>
  <si>
    <t>임시배수관 설치,해체
파형강관(D1000mm)</t>
    <phoneticPr fontId="4" type="noConversion"/>
  </si>
  <si>
    <t>오탁방지망 설치,해체</t>
    <phoneticPr fontId="4" type="noConversion"/>
  </si>
  <si>
    <t>세륜,축중기 설치,해체</t>
    <phoneticPr fontId="4" type="noConversion"/>
  </si>
  <si>
    <t>물푸기(360kg/대)</t>
    <phoneticPr fontId="4" type="noConversion"/>
  </si>
  <si>
    <t>사급자재대</t>
    <phoneticPr fontId="4" type="noConversion"/>
  </si>
  <si>
    <t>각종운반</t>
    <phoneticPr fontId="4" type="noConversion"/>
  </si>
  <si>
    <t>가설사무소</t>
    <phoneticPr fontId="4" type="noConversion"/>
  </si>
  <si>
    <t>품질시험비</t>
    <phoneticPr fontId="4" type="noConversion"/>
  </si>
  <si>
    <t>안전관리비</t>
    <phoneticPr fontId="4" type="noConversion"/>
  </si>
  <si>
    <t>총        계</t>
    <phoneticPr fontId="4" type="noConversion"/>
  </si>
  <si>
    <t>제방콘크리트 포장</t>
    <phoneticPr fontId="4" type="noConversion"/>
  </si>
  <si>
    <t>11월</t>
    <phoneticPr fontId="4" type="noConversion"/>
  </si>
  <si>
    <t>12월</t>
    <phoneticPr fontId="4" type="noConversion"/>
  </si>
  <si>
    <t>2026년</t>
    <phoneticPr fontId="4" type="noConversion"/>
  </si>
  <si>
    <t>2025년</t>
    <phoneticPr fontId="4" type="noConversion"/>
  </si>
  <si>
    <t>1월</t>
    <phoneticPr fontId="4" type="noConversion"/>
  </si>
  <si>
    <t>2월</t>
    <phoneticPr fontId="4" type="noConversion"/>
  </si>
  <si>
    <t>3월</t>
    <phoneticPr fontId="4" type="noConversion"/>
  </si>
  <si>
    <t>4월</t>
    <phoneticPr fontId="4" type="noConversion"/>
  </si>
  <si>
    <t>5월</t>
    <phoneticPr fontId="4" type="noConversion"/>
  </si>
  <si>
    <t>호안(좌측)</t>
    <phoneticPr fontId="4" type="noConversion"/>
  </si>
  <si>
    <t>호안(좌측)기초</t>
    <phoneticPr fontId="4" type="noConversion"/>
  </si>
  <si>
    <t>m2</t>
    <phoneticPr fontId="4" type="noConversion"/>
  </si>
  <si>
    <t>일 소요</t>
    <phoneticPr fontId="4" type="noConversion"/>
  </si>
  <si>
    <t>수량</t>
    <phoneticPr fontId="4" type="noConversion"/>
  </si>
  <si>
    <t>소요기간</t>
    <phoneticPr fontId="4" type="noConversion"/>
  </si>
  <si>
    <t>m</t>
    <phoneticPr fontId="4" type="noConversion"/>
  </si>
  <si>
    <t>호안(우측)</t>
    <phoneticPr fontId="4" type="noConversion"/>
  </si>
  <si>
    <t>구</t>
    <phoneticPr fontId="4" type="noConversion"/>
  </si>
  <si>
    <t>정</t>
    <phoneticPr fontId="4" type="noConversion"/>
  </si>
  <si>
    <t>연</t>
    <phoneticPr fontId="4" type="noConversion"/>
  </si>
  <si>
    <t>휴</t>
    <phoneticPr fontId="4" type="noConversion"/>
  </si>
  <si>
    <t>호안(좌측)천단 및 (우측) 기초</t>
    <phoneticPr fontId="4" type="noConversion"/>
  </si>
  <si>
    <t>좌측호안 수량: 536.68m2,7일소요</t>
    <phoneticPr fontId="4" type="noConversion"/>
  </si>
  <si>
    <t>우측호안 수량: 1,094.6m2 14일 소요</t>
    <phoneticPr fontId="4" type="noConversion"/>
  </si>
  <si>
    <t>참조사항</t>
    <phoneticPr fontId="4" type="noConversion"/>
  </si>
  <si>
    <t>2,8</t>
    <phoneticPr fontId="4" type="noConversion"/>
  </si>
  <si>
    <t>9,15</t>
    <phoneticPr fontId="4" type="noConversion"/>
  </si>
  <si>
    <t>16,22</t>
    <phoneticPr fontId="4" type="noConversion"/>
  </si>
  <si>
    <t>23,29</t>
    <phoneticPr fontId="4" type="noConversion"/>
  </si>
  <si>
    <t>30,6</t>
    <phoneticPr fontId="4" type="noConversion"/>
  </si>
  <si>
    <t>7,13</t>
    <phoneticPr fontId="4" type="noConversion"/>
  </si>
  <si>
    <t>14,20</t>
    <phoneticPr fontId="4" type="noConversion"/>
  </si>
  <si>
    <t>21,27</t>
    <phoneticPr fontId="4" type="noConversion"/>
  </si>
  <si>
    <t>28,03</t>
    <phoneticPr fontId="4" type="noConversion"/>
  </si>
  <si>
    <t>04,10</t>
    <phoneticPr fontId="4" type="noConversion"/>
  </si>
  <si>
    <t>11,17</t>
    <phoneticPr fontId="4" type="noConversion"/>
  </si>
  <si>
    <t>18,24</t>
    <phoneticPr fontId="4" type="noConversion"/>
  </si>
  <si>
    <t>25,31</t>
    <phoneticPr fontId="4" type="noConversion"/>
  </si>
  <si>
    <t>1,7</t>
    <phoneticPr fontId="4" type="noConversion"/>
  </si>
  <si>
    <t>8,14</t>
    <phoneticPr fontId="4" type="noConversion"/>
  </si>
  <si>
    <t>15,19</t>
    <phoneticPr fontId="4" type="noConversion"/>
  </si>
  <si>
    <t>20,21</t>
    <phoneticPr fontId="4" type="noConversion"/>
  </si>
  <si>
    <t>22,28</t>
    <phoneticPr fontId="4" type="noConversion"/>
  </si>
  <si>
    <t>1주</t>
    <phoneticPr fontId="4" type="noConversion"/>
  </si>
  <si>
    <t>2주</t>
  </si>
  <si>
    <t>3주</t>
  </si>
  <si>
    <t>4주</t>
  </si>
  <si>
    <t>5주</t>
  </si>
  <si>
    <t>1주</t>
    <phoneticPr fontId="4" type="noConversion"/>
  </si>
  <si>
    <t>2주</t>
    <phoneticPr fontId="4" type="noConversion"/>
  </si>
  <si>
    <t>3주</t>
    <phoneticPr fontId="4" type="noConversion"/>
  </si>
  <si>
    <t>4주</t>
    <phoneticPr fontId="4" type="noConversion"/>
  </si>
  <si>
    <t>1,7</t>
    <phoneticPr fontId="4" type="noConversion"/>
  </si>
  <si>
    <t>15,21</t>
    <phoneticPr fontId="4" type="noConversion"/>
  </si>
  <si>
    <t>29,04</t>
    <phoneticPr fontId="4" type="noConversion"/>
  </si>
  <si>
    <t>05,11</t>
    <phoneticPr fontId="4" type="noConversion"/>
  </si>
  <si>
    <t>12,18</t>
    <phoneticPr fontId="4" type="noConversion"/>
  </si>
  <si>
    <t>19,25</t>
    <phoneticPr fontId="4" type="noConversion"/>
  </si>
  <si>
    <t>5주</t>
    <phoneticPr fontId="4" type="noConversion"/>
  </si>
  <si>
    <t>26,02</t>
    <phoneticPr fontId="4" type="noConversion"/>
  </si>
  <si>
    <t>03,09</t>
    <phoneticPr fontId="4" type="noConversion"/>
  </si>
  <si>
    <t>10,16</t>
    <phoneticPr fontId="4" type="noConversion"/>
  </si>
  <si>
    <t>17,23</t>
    <phoneticPr fontId="4" type="noConversion"/>
  </si>
  <si>
    <t>24,30</t>
    <phoneticPr fontId="4" type="noConversion"/>
  </si>
  <si>
    <t>21M</t>
    <phoneticPr fontId="4" type="noConversion"/>
  </si>
  <si>
    <t>178M</t>
    <phoneticPr fontId="4" type="noConversion"/>
  </si>
  <si>
    <t>2개소</t>
    <phoneticPr fontId="4" type="noConversion"/>
  </si>
  <si>
    <t>연장 L=290.80m</t>
    <phoneticPr fontId="4" type="noConversion"/>
  </si>
  <si>
    <t>10일</t>
    <phoneticPr fontId="4" type="noConversion"/>
  </si>
  <si>
    <t>500m2</t>
    <phoneticPr fontId="4" type="noConversion"/>
  </si>
  <si>
    <t>7일</t>
    <phoneticPr fontId="4" type="noConversion"/>
  </si>
  <si>
    <t>1430m2</t>
    <phoneticPr fontId="4" type="noConversion"/>
  </si>
  <si>
    <t>170ton</t>
    <phoneticPr fontId="4" type="noConversion"/>
  </si>
  <si>
    <t>1일</t>
    <phoneticPr fontId="4" type="noConversion"/>
  </si>
  <si>
    <t>10일</t>
    <phoneticPr fontId="4" type="noConversion"/>
  </si>
  <si>
    <t>2주차</t>
    <phoneticPr fontId="4" type="noConversion"/>
  </si>
  <si>
    <t>1주차</t>
    <phoneticPr fontId="4" type="noConversion"/>
  </si>
  <si>
    <t>3주차</t>
    <phoneticPr fontId="4" type="noConversion"/>
  </si>
  <si>
    <t>4주차</t>
    <phoneticPr fontId="4" type="noConversion"/>
  </si>
  <si>
    <t>예    정    공    정    표</t>
    <phoneticPr fontId="4" type="noConversion"/>
  </si>
  <si>
    <t>일</t>
  </si>
  <si>
    <t>일</t>
    <phoneticPr fontId="4" type="noConversion"/>
  </si>
  <si>
    <t>월</t>
  </si>
  <si>
    <t>화</t>
  </si>
  <si>
    <t>수</t>
  </si>
  <si>
    <t>목</t>
  </si>
  <si>
    <t>금</t>
  </si>
  <si>
    <t>토</t>
  </si>
  <si>
    <t>금액
(천원)</t>
    <phoneticPr fontId="4" type="noConversion"/>
  </si>
  <si>
    <t>3월</t>
    <phoneticPr fontId="4" type="noConversion"/>
  </si>
  <si>
    <t>5주차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</si>
</sst>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176" formatCode="_-* #,##0.00_-;\-* #,##0.00_-;_-* &quot;-&quot;_-;_-@_-"/>
    <numFmt numFmtId="178" formatCode="0.00000_);[Red]\(0.00000\)"/>
    <numFmt numFmtId="180" formatCode="0.00_);[Red]\(0.00\)"/>
    <numFmt numFmtId="181" formatCode="_-* #,##0_-;\-* #,##0_-;_-* &quot;-&quot;??_-;_-@_-"/>
    <numFmt numFmtId="182" formatCode="_-* #,##0.0_-;\-* #,##0.0_-;_-* &quot;-&quot;_-;_-@_-"/>
    <numFmt numFmtId="183" formatCode="#,##0.00_);[Red]\(#,##0.00\)"/>
    <numFmt numFmtId="184" formatCode="#,##0_);[Red]\(#,##0\)"/>
  </numFmts>
  <fonts count="36" x14ac:knownFonts="1">
    <font>
      <sz val="11"/>
      <color rgb="FF000000"/>
      <name val="새굴림"/>
    </font>
    <font>
      <sz val="13"/>
      <color rgb="FF000000"/>
      <name val="새굴림"/>
      <family val="1"/>
      <charset val="129"/>
    </font>
    <font>
      <sz val="1"/>
      <color rgb="FF000000"/>
      <name val="HY그래픽M"/>
      <family val="1"/>
      <charset val="129"/>
    </font>
    <font>
      <sz val="1"/>
      <color rgb="FF000000"/>
      <name val="새굴림"/>
      <family val="1"/>
      <charset val="129"/>
    </font>
    <font>
      <sz val="8"/>
      <name val="돋움"/>
      <family val="3"/>
      <charset val="129"/>
    </font>
    <font>
      <b/>
      <sz val="11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8"/>
      <color rgb="FF000000"/>
      <name val="맑은 고딕"/>
      <family val="3"/>
      <charset val="129"/>
      <scheme val="major"/>
    </font>
    <font>
      <b/>
      <sz val="11"/>
      <color rgb="FF000000"/>
      <name val="새굴림"/>
      <family val="1"/>
      <charset val="129"/>
    </font>
    <font>
      <sz val="18"/>
      <color rgb="FF000000"/>
      <name val="맑은 고딕"/>
      <family val="3"/>
      <charset val="129"/>
      <scheme val="major"/>
    </font>
    <font>
      <sz val="28"/>
      <color rgb="FF000000"/>
      <name val="HY그래픽M"/>
      <family val="1"/>
      <charset val="129"/>
    </font>
    <font>
      <sz val="28"/>
      <color rgb="FF000000"/>
      <name val="새굴림"/>
      <family val="1"/>
      <charset val="129"/>
    </font>
    <font>
      <sz val="14"/>
      <color rgb="FF000000"/>
      <name val="맑은 고딕"/>
      <family val="3"/>
      <charset val="129"/>
      <scheme val="major"/>
    </font>
    <font>
      <b/>
      <sz val="14"/>
      <color rgb="FFFF0000"/>
      <name val="맑은 고딕"/>
      <family val="3"/>
      <charset val="129"/>
      <scheme val="major"/>
    </font>
    <font>
      <sz val="26"/>
      <color rgb="FF000000"/>
      <name val="맑은 고딕"/>
      <family val="3"/>
      <charset val="129"/>
      <scheme val="major"/>
    </font>
    <font>
      <b/>
      <sz val="36"/>
      <color rgb="FF000000"/>
      <name val="HY그래픽M"/>
      <family val="1"/>
      <charset val="129"/>
    </font>
    <font>
      <sz val="12"/>
      <color rgb="FF000000"/>
      <name val="HY그래픽M"/>
      <family val="1"/>
      <charset val="129"/>
    </font>
    <font>
      <sz val="12"/>
      <color rgb="FF000000"/>
      <name val="새굴림"/>
      <family val="1"/>
      <charset val="129"/>
    </font>
    <font>
      <sz val="12"/>
      <color rgb="FFFF0000"/>
      <name val="HY그래픽M"/>
      <family val="1"/>
      <charset val="129"/>
    </font>
    <font>
      <sz val="12"/>
      <color rgb="FFFF0000"/>
      <name val="새굴림"/>
      <family val="1"/>
      <charset val="129"/>
    </font>
    <font>
      <sz val="12"/>
      <color rgb="FFFFFFFF"/>
      <name val="HY그래픽M"/>
      <family val="1"/>
      <charset val="129"/>
    </font>
    <font>
      <b/>
      <sz val="12"/>
      <color rgb="FFFFFFFF"/>
      <name val="HY그래픽M"/>
      <family val="1"/>
      <charset val="129"/>
    </font>
    <font>
      <sz val="12"/>
      <color rgb="FFFFFFFF"/>
      <name val="새굴림"/>
      <family val="1"/>
      <charset val="129"/>
    </font>
    <font>
      <sz val="22"/>
      <color rgb="FF000000"/>
      <name val="맑은 고딕"/>
      <family val="3"/>
      <charset val="129"/>
      <scheme val="major"/>
    </font>
    <font>
      <b/>
      <sz val="12"/>
      <color rgb="FF000000"/>
      <name val="맑은 고딕"/>
      <family val="3"/>
      <charset val="129"/>
      <scheme val="major"/>
    </font>
    <font>
      <sz val="12"/>
      <color rgb="FF000000"/>
      <name val="맑은 고딕"/>
      <family val="3"/>
      <charset val="129"/>
      <scheme val="major"/>
    </font>
    <font>
      <b/>
      <sz val="14"/>
      <color rgb="FF000000"/>
      <name val="맑은 고딕"/>
      <family val="3"/>
      <charset val="129"/>
      <scheme val="major"/>
    </font>
    <font>
      <b/>
      <sz val="16"/>
      <color rgb="FF000000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sz val="12"/>
      <color rgb="FF002060"/>
      <name val="맑은 고딕"/>
      <family val="3"/>
      <charset val="129"/>
      <scheme val="major"/>
    </font>
    <font>
      <b/>
      <sz val="12"/>
      <color rgb="FF002060"/>
      <name val="맑은 고딕"/>
      <family val="3"/>
      <charset val="129"/>
      <scheme val="major"/>
    </font>
    <font>
      <i/>
      <sz val="12"/>
      <color rgb="FF000000"/>
      <name val="맑은 고딕"/>
      <family val="3"/>
      <charset val="129"/>
      <scheme val="major"/>
    </font>
    <font>
      <b/>
      <sz val="14"/>
      <color rgb="FF0066FF"/>
      <name val="맑은 고딕"/>
      <family val="3"/>
      <charset val="129"/>
      <scheme val="major"/>
    </font>
    <font>
      <b/>
      <sz val="40"/>
      <color rgb="FF000000"/>
      <name val="HY그래픽M"/>
      <family val="1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</fills>
  <borders count="138">
    <border>
      <left/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ck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hair">
        <color auto="1"/>
      </right>
      <top/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hair">
        <color auto="1"/>
      </left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medium">
        <color auto="1"/>
      </right>
      <top/>
      <bottom style="thin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hair">
        <color auto="1"/>
      </left>
      <right/>
      <top/>
      <bottom style="double">
        <color auto="1"/>
      </bottom>
      <diagonal/>
    </border>
    <border>
      <left style="hair">
        <color auto="1"/>
      </left>
      <right style="hair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 style="hair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ck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ck">
        <color auto="1"/>
      </right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hair">
        <color auto="1"/>
      </right>
      <top style="double">
        <color auto="1"/>
      </top>
      <bottom/>
      <diagonal/>
    </border>
    <border>
      <left style="hair">
        <color auto="1"/>
      </left>
      <right/>
      <top style="thick">
        <color auto="1"/>
      </top>
      <bottom style="thin">
        <color auto="1"/>
      </bottom>
      <diagonal/>
    </border>
    <border>
      <left/>
      <right style="hair">
        <color auto="1"/>
      </right>
      <top style="thick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thin">
        <color auto="1"/>
      </left>
      <right style="hair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 style="double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hair">
        <color auto="1"/>
      </left>
      <right/>
      <top style="thin">
        <color auto="1"/>
      </top>
      <bottom style="double">
        <color auto="1"/>
      </bottom>
      <diagonal/>
    </border>
    <border>
      <left/>
      <right style="hair">
        <color auto="1"/>
      </right>
      <top style="thin">
        <color auto="1"/>
      </top>
      <bottom style="double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hair">
        <color auto="1"/>
      </right>
      <top/>
      <bottom style="thick">
        <color auto="1"/>
      </bottom>
      <diagonal/>
    </border>
    <border>
      <left style="hair">
        <color auto="1"/>
      </left>
      <right style="thin">
        <color auto="1"/>
      </right>
      <top/>
      <bottom style="thick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ck">
        <color auto="1"/>
      </left>
      <right style="thin">
        <color auto="1"/>
      </right>
      <top style="double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/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 style="double">
        <color auto="1"/>
      </bottom>
      <diagonal/>
    </border>
    <border>
      <left style="thin">
        <color auto="1"/>
      </left>
      <right style="hair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mediumDashed">
        <color rgb="FFFF0000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43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7" fillId="0" borderId="32" xfId="0" applyFont="1" applyBorder="1">
      <alignment vertical="center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/>
    </xf>
    <xf numFmtId="0" fontId="0" fillId="3" borderId="21" xfId="0" applyFill="1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3" borderId="12" xfId="0" applyFill="1" applyBorder="1">
      <alignment vertical="center"/>
    </xf>
    <xf numFmtId="0" fontId="0" fillId="3" borderId="24" xfId="0" applyFill="1" applyBorder="1">
      <alignment vertical="center"/>
    </xf>
    <xf numFmtId="0" fontId="0" fillId="0" borderId="12" xfId="0" applyBorder="1">
      <alignment vertical="center"/>
    </xf>
    <xf numFmtId="0" fontId="0" fillId="0" borderId="29" xfId="0" applyBorder="1">
      <alignment vertical="center"/>
    </xf>
    <xf numFmtId="0" fontId="0" fillId="3" borderId="17" xfId="0" applyFill="1" applyBorder="1">
      <alignment vertical="center"/>
    </xf>
    <xf numFmtId="0" fontId="7" fillId="0" borderId="39" xfId="0" applyFont="1" applyBorder="1">
      <alignment vertical="center"/>
    </xf>
    <xf numFmtId="0" fontId="7" fillId="0" borderId="41" xfId="0" applyFont="1" applyBorder="1">
      <alignment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 shrinkToFit="1"/>
    </xf>
    <xf numFmtId="178" fontId="6" fillId="0" borderId="0" xfId="0" applyNumberFormat="1" applyFont="1" applyAlignment="1">
      <alignment horizontal="center" vertical="center" shrinkToFit="1"/>
    </xf>
    <xf numFmtId="178" fontId="3" fillId="0" borderId="0" xfId="0" applyNumberFormat="1" applyFont="1" applyAlignment="1">
      <alignment horizontal="center" vertical="center" shrinkToFit="1"/>
    </xf>
    <xf numFmtId="178" fontId="1" fillId="0" borderId="0" xfId="0" applyNumberFormat="1" applyFont="1" applyAlignment="1">
      <alignment horizontal="center" vertical="center" shrinkToFit="1"/>
    </xf>
    <xf numFmtId="178" fontId="0" fillId="0" borderId="0" xfId="0" applyNumberFormat="1" applyAlignment="1">
      <alignment horizontal="center" vertical="center" shrinkToFit="1"/>
    </xf>
    <xf numFmtId="2" fontId="6" fillId="0" borderId="44" xfId="0" applyNumberFormat="1" applyFont="1" applyBorder="1">
      <alignment vertical="center"/>
    </xf>
    <xf numFmtId="2" fontId="6" fillId="0" borderId="47" xfId="0" applyNumberFormat="1" applyFont="1" applyBorder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8" fontId="12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/>
    </xf>
    <xf numFmtId="178" fontId="14" fillId="0" borderId="0" xfId="0" applyNumberFormat="1" applyFont="1" applyAlignment="1">
      <alignment horizontal="center" vertical="center" shrinkToFit="1"/>
    </xf>
    <xf numFmtId="0" fontId="14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178" fontId="18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vertical="center" shrinkToFit="1"/>
    </xf>
    <xf numFmtId="0" fontId="19" fillId="0" borderId="0" xfId="0" applyFont="1" applyAlignment="1">
      <alignment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20" fillId="0" borderId="0" xfId="0" applyFont="1" applyAlignment="1">
      <alignment vertical="center" shrinkToFit="1"/>
    </xf>
    <xf numFmtId="41" fontId="20" fillId="0" borderId="0" xfId="0" applyNumberFormat="1" applyFont="1" applyAlignment="1">
      <alignment vertical="center" shrinkToFit="1"/>
    </xf>
    <xf numFmtId="0" fontId="21" fillId="0" borderId="0" xfId="0" applyFont="1" applyAlignment="1">
      <alignment vertical="center" shrinkToFit="1"/>
    </xf>
    <xf numFmtId="0" fontId="20" fillId="0" borderId="0" xfId="0" applyFont="1" applyAlignment="1">
      <alignment horizontal="center" vertical="center" shrinkToFit="1"/>
    </xf>
    <xf numFmtId="178" fontId="20" fillId="0" borderId="0" xfId="0" applyNumberFormat="1" applyFont="1" applyAlignment="1">
      <alignment horizontal="center" vertical="center" shrinkToFit="1"/>
    </xf>
    <xf numFmtId="0" fontId="21" fillId="0" borderId="0" xfId="0" applyFont="1" applyAlignment="1">
      <alignment horizontal="center" vertical="center" shrinkToFit="1"/>
    </xf>
    <xf numFmtId="180" fontId="22" fillId="0" borderId="0" xfId="0" applyNumberFormat="1" applyFont="1" applyAlignment="1">
      <alignment vertical="center" shrinkToFit="1"/>
    </xf>
    <xf numFmtId="180" fontId="23" fillId="0" borderId="0" xfId="0" applyNumberFormat="1" applyFont="1" applyAlignment="1">
      <alignment vertical="center" shrinkToFit="1"/>
    </xf>
    <xf numFmtId="180" fontId="22" fillId="0" borderId="0" xfId="0" applyNumberFormat="1" applyFont="1" applyAlignment="1">
      <alignment horizontal="center" vertical="center" shrinkToFit="1"/>
    </xf>
    <xf numFmtId="180" fontId="24" fillId="0" borderId="0" xfId="0" applyNumberFormat="1" applyFont="1" applyAlignment="1">
      <alignment vertical="center" shrinkToFit="1"/>
    </xf>
    <xf numFmtId="180" fontId="24" fillId="0" borderId="0" xfId="0" applyNumberFormat="1" applyFont="1" applyAlignment="1">
      <alignment horizontal="center" vertical="center" shrinkToFit="1"/>
    </xf>
    <xf numFmtId="2" fontId="9" fillId="0" borderId="26" xfId="0" applyNumberFormat="1" applyFont="1" applyBorder="1">
      <alignment vertical="center"/>
    </xf>
    <xf numFmtId="2" fontId="9" fillId="0" borderId="33" xfId="0" applyNumberFormat="1" applyFont="1" applyBorder="1">
      <alignment vertical="center"/>
    </xf>
    <xf numFmtId="0" fontId="25" fillId="0" borderId="0" xfId="0" applyFont="1">
      <alignment vertical="center"/>
    </xf>
    <xf numFmtId="0" fontId="25" fillId="0" borderId="0" xfId="0" applyFont="1" applyAlignment="1">
      <alignment horizontal="center" vertical="center"/>
    </xf>
    <xf numFmtId="178" fontId="25" fillId="0" borderId="0" xfId="0" applyNumberFormat="1" applyFont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181" fontId="7" fillId="0" borderId="0" xfId="0" applyNumberFormat="1" applyFont="1">
      <alignment vertical="center"/>
    </xf>
    <xf numFmtId="181" fontId="7" fillId="0" borderId="0" xfId="0" applyNumberFormat="1" applyFont="1" applyAlignment="1">
      <alignment horizontal="center" vertical="center" shrinkToFit="1"/>
    </xf>
    <xf numFmtId="2" fontId="9" fillId="0" borderId="0" xfId="0" applyNumberFormat="1" applyFont="1" applyBorder="1">
      <alignment vertical="center"/>
    </xf>
    <xf numFmtId="2" fontId="9" fillId="0" borderId="32" xfId="0" applyNumberFormat="1" applyFont="1" applyBorder="1">
      <alignment vertical="center"/>
    </xf>
    <xf numFmtId="2" fontId="6" fillId="0" borderId="49" xfId="0" applyNumberFormat="1" applyFont="1" applyBorder="1" applyAlignment="1">
      <alignment vertical="center" wrapText="1"/>
    </xf>
    <xf numFmtId="2" fontId="6" fillId="0" borderId="49" xfId="0" applyNumberFormat="1" applyFont="1" applyBorder="1">
      <alignment vertical="center"/>
    </xf>
    <xf numFmtId="2" fontId="6" fillId="0" borderId="53" xfId="0" applyNumberFormat="1" applyFont="1" applyBorder="1">
      <alignment vertical="center"/>
    </xf>
    <xf numFmtId="2" fontId="6" fillId="0" borderId="44" xfId="0" applyNumberFormat="1" applyFont="1" applyBorder="1" applyAlignment="1">
      <alignment vertical="center" wrapText="1"/>
    </xf>
    <xf numFmtId="0" fontId="27" fillId="0" borderId="0" xfId="0" applyFont="1">
      <alignment vertical="center"/>
    </xf>
    <xf numFmtId="0" fontId="27" fillId="0" borderId="0" xfId="0" applyFont="1" applyAlignment="1">
      <alignment horizontal="center" vertical="center"/>
    </xf>
    <xf numFmtId="178" fontId="27" fillId="0" borderId="0" xfId="0" applyNumberFormat="1" applyFont="1" applyAlignment="1">
      <alignment horizontal="center" vertical="center" shrinkToFit="1"/>
    </xf>
    <xf numFmtId="0" fontId="7" fillId="0" borderId="0" xfId="0" applyFont="1" applyBorder="1">
      <alignment vertical="center"/>
    </xf>
    <xf numFmtId="176" fontId="26" fillId="0" borderId="65" xfId="0" applyNumberFormat="1" applyFont="1" applyBorder="1" applyAlignment="1">
      <alignment horizontal="center" vertical="center" shrinkToFit="1"/>
    </xf>
    <xf numFmtId="176" fontId="26" fillId="0" borderId="69" xfId="0" applyNumberFormat="1" applyFont="1" applyBorder="1" applyAlignment="1">
      <alignment horizontal="center" vertical="center" shrinkToFit="1"/>
    </xf>
    <xf numFmtId="0" fontId="26" fillId="2" borderId="121" xfId="0" applyFont="1" applyFill="1" applyBorder="1" applyAlignment="1">
      <alignment horizontal="center" vertical="center" wrapText="1"/>
    </xf>
    <xf numFmtId="0" fontId="26" fillId="2" borderId="24" xfId="0" applyFont="1" applyFill="1" applyBorder="1" applyAlignment="1">
      <alignment horizontal="center" vertical="center" wrapText="1"/>
    </xf>
    <xf numFmtId="176" fontId="26" fillId="0" borderId="40" xfId="0" applyNumberFormat="1" applyFont="1" applyBorder="1" applyAlignment="1">
      <alignment horizontal="center" vertical="center" shrinkToFit="1"/>
    </xf>
    <xf numFmtId="176" fontId="26" fillId="0" borderId="24" xfId="0" applyNumberFormat="1" applyFont="1" applyBorder="1" applyAlignment="1">
      <alignment horizontal="center" vertical="center" shrinkToFit="1"/>
    </xf>
    <xf numFmtId="176" fontId="26" fillId="0" borderId="21" xfId="0" applyNumberFormat="1" applyFont="1" applyBorder="1" applyAlignment="1">
      <alignment horizontal="center" vertical="center" shrinkToFit="1"/>
    </xf>
    <xf numFmtId="176" fontId="26" fillId="0" borderId="29" xfId="0" applyNumberFormat="1" applyFont="1" applyBorder="1" applyAlignment="1">
      <alignment horizontal="center" vertical="center" shrinkToFit="1"/>
    </xf>
    <xf numFmtId="176" fontId="26" fillId="0" borderId="46" xfId="0" applyNumberFormat="1" applyFont="1" applyBorder="1" applyAlignment="1">
      <alignment horizontal="center" vertical="center" shrinkToFit="1"/>
    </xf>
    <xf numFmtId="182" fontId="26" fillId="0" borderId="129" xfId="0" applyNumberFormat="1" applyFont="1" applyBorder="1" applyAlignment="1">
      <alignment horizontal="center" vertical="center" shrinkToFit="1"/>
    </xf>
    <xf numFmtId="182" fontId="26" fillId="0" borderId="46" xfId="0" applyNumberFormat="1" applyFont="1" applyBorder="1" applyAlignment="1">
      <alignment horizontal="center" vertical="center" shrinkToFit="1"/>
    </xf>
    <xf numFmtId="176" fontId="26" fillId="0" borderId="130" xfId="0" applyNumberFormat="1" applyFont="1" applyBorder="1" applyAlignment="1">
      <alignment horizontal="center" vertical="center" shrinkToFit="1"/>
    </xf>
    <xf numFmtId="176" fontId="26" fillId="0" borderId="40" xfId="0" applyNumberFormat="1" applyFont="1" applyBorder="1" applyAlignment="1">
      <alignment horizontal="left" vertical="center" shrinkToFit="1"/>
    </xf>
    <xf numFmtId="176" fontId="26" fillId="0" borderId="24" xfId="0" applyNumberFormat="1" applyFont="1" applyBorder="1" applyAlignment="1">
      <alignment horizontal="left" vertical="center" shrinkToFit="1"/>
    </xf>
    <xf numFmtId="176" fontId="26" fillId="0" borderId="21" xfId="0" applyNumberFormat="1" applyFont="1" applyBorder="1" applyAlignment="1">
      <alignment horizontal="left" vertical="center" shrinkToFit="1"/>
    </xf>
    <xf numFmtId="176" fontId="26" fillId="0" borderId="29" xfId="0" applyNumberFormat="1" applyFont="1" applyBorder="1" applyAlignment="1">
      <alignment horizontal="left" vertical="center" shrinkToFit="1"/>
    </xf>
    <xf numFmtId="176" fontId="26" fillId="0" borderId="46" xfId="0" applyNumberFormat="1" applyFont="1" applyBorder="1" applyAlignment="1">
      <alignment horizontal="left" vertical="center" shrinkToFit="1"/>
    </xf>
    <xf numFmtId="182" fontId="26" fillId="0" borderId="129" xfId="0" applyNumberFormat="1" applyFont="1" applyBorder="1" applyAlignment="1">
      <alignment horizontal="left" vertical="center" shrinkToFit="1"/>
    </xf>
    <xf numFmtId="182" fontId="26" fillId="0" borderId="46" xfId="0" applyNumberFormat="1" applyFont="1" applyBorder="1" applyAlignment="1">
      <alignment horizontal="left" vertical="center" shrinkToFit="1"/>
    </xf>
    <xf numFmtId="176" fontId="26" fillId="0" borderId="130" xfId="0" applyNumberFormat="1" applyFont="1" applyBorder="1" applyAlignment="1">
      <alignment horizontal="left" vertical="center" shrinkToFit="1"/>
    </xf>
    <xf numFmtId="0" fontId="25" fillId="0" borderId="0" xfId="0" applyFont="1" applyAlignment="1">
      <alignment horizontal="left" vertical="center"/>
    </xf>
    <xf numFmtId="0" fontId="5" fillId="2" borderId="24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0" fontId="30" fillId="0" borderId="0" xfId="0" applyFont="1">
      <alignment vertical="center"/>
    </xf>
    <xf numFmtId="178" fontId="30" fillId="0" borderId="0" xfId="0" applyNumberFormat="1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0" fontId="5" fillId="2" borderId="122" xfId="0" applyFont="1" applyFill="1" applyBorder="1" applyAlignment="1">
      <alignment horizontal="center" vertical="center" wrapText="1"/>
    </xf>
    <xf numFmtId="0" fontId="5" fillId="2" borderId="123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8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28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0" fontId="5" fillId="2" borderId="125" xfId="0" applyFont="1" applyFill="1" applyBorder="1" applyAlignment="1">
      <alignment horizontal="center" vertical="center" wrapText="1"/>
    </xf>
    <xf numFmtId="0" fontId="5" fillId="2" borderId="127" xfId="0" applyFont="1" applyFill="1" applyBorder="1" applyAlignment="1">
      <alignment horizontal="center" vertical="center" wrapText="1"/>
    </xf>
    <xf numFmtId="0" fontId="5" fillId="2" borderId="101" xfId="0" applyFont="1" applyFill="1" applyBorder="1" applyAlignment="1">
      <alignment horizontal="center" vertical="center" wrapText="1"/>
    </xf>
    <xf numFmtId="0" fontId="5" fillId="0" borderId="96" xfId="0" applyFont="1" applyFill="1" applyBorder="1" applyAlignment="1">
      <alignment horizontal="center" vertical="center"/>
    </xf>
    <xf numFmtId="176" fontId="26" fillId="0" borderId="21" xfId="0" applyNumberFormat="1" applyFont="1" applyBorder="1" applyAlignment="1">
      <alignment vertical="center" shrinkToFit="1"/>
    </xf>
    <xf numFmtId="176" fontId="26" fillId="0" borderId="23" xfId="0" applyNumberFormat="1" applyFont="1" applyBorder="1" applyAlignment="1">
      <alignment vertical="center" shrinkToFit="1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183" fontId="14" fillId="0" borderId="0" xfId="0" applyNumberFormat="1" applyFont="1" applyAlignment="1">
      <alignment horizontal="center" vertical="center"/>
    </xf>
    <xf numFmtId="183" fontId="14" fillId="0" borderId="0" xfId="0" applyNumberFormat="1" applyFont="1" applyAlignment="1">
      <alignment horizontal="center" vertical="center" shrinkToFit="1"/>
    </xf>
    <xf numFmtId="183" fontId="26" fillId="0" borderId="80" xfId="0" applyNumberFormat="1" applyFont="1" applyBorder="1" applyAlignment="1">
      <alignment horizontal="center" vertical="center" shrinkToFit="1"/>
    </xf>
    <xf numFmtId="183" fontId="27" fillId="0" borderId="81" xfId="0" applyNumberFormat="1" applyFont="1" applyBorder="1" applyAlignment="1">
      <alignment horizontal="center" vertical="center" shrinkToFit="1"/>
    </xf>
    <xf numFmtId="183" fontId="27" fillId="0" borderId="38" xfId="0" applyNumberFormat="1" applyFont="1" applyBorder="1" applyAlignment="1">
      <alignment horizontal="center" vertical="center" shrinkToFit="1"/>
    </xf>
    <xf numFmtId="183" fontId="27" fillId="0" borderId="80" xfId="0" applyNumberFormat="1" applyFont="1" applyBorder="1" applyAlignment="1">
      <alignment horizontal="center" vertical="center" shrinkToFit="1"/>
    </xf>
    <xf numFmtId="183" fontId="27" fillId="0" borderId="84" xfId="0" applyNumberFormat="1" applyFont="1" applyBorder="1" applyAlignment="1">
      <alignment horizontal="center" vertical="center" shrinkToFit="1"/>
    </xf>
    <xf numFmtId="183" fontId="31" fillId="0" borderId="81" xfId="0" applyNumberFormat="1" applyFont="1" applyBorder="1" applyAlignment="1">
      <alignment horizontal="center" vertical="center" shrinkToFit="1"/>
    </xf>
    <xf numFmtId="183" fontId="31" fillId="0" borderId="38" xfId="0" applyNumberFormat="1" applyFont="1" applyBorder="1" applyAlignment="1">
      <alignment horizontal="center" vertical="center" shrinkToFit="1"/>
    </xf>
    <xf numFmtId="183" fontId="31" fillId="0" borderId="80" xfId="0" applyNumberFormat="1" applyFont="1" applyBorder="1" applyAlignment="1">
      <alignment horizontal="center" vertical="center" shrinkToFit="1"/>
    </xf>
    <xf numFmtId="183" fontId="31" fillId="4" borderId="81" xfId="0" applyNumberFormat="1" applyFont="1" applyFill="1" applyBorder="1" applyAlignment="1">
      <alignment horizontal="center" vertical="center" shrinkToFit="1"/>
    </xf>
    <xf numFmtId="183" fontId="31" fillId="0" borderId="100" xfId="0" applyNumberFormat="1" applyFont="1" applyBorder="1" applyAlignment="1">
      <alignment horizontal="center" vertical="center" shrinkToFit="1"/>
    </xf>
    <xf numFmtId="183" fontId="31" fillId="0" borderId="54" xfId="0" applyNumberFormat="1" applyFont="1" applyBorder="1" applyAlignment="1">
      <alignment horizontal="center" vertical="center" shrinkToFit="1"/>
    </xf>
    <xf numFmtId="183" fontId="26" fillId="0" borderId="11" xfId="0" applyNumberFormat="1" applyFont="1" applyBorder="1" applyAlignment="1">
      <alignment horizontal="center" vertical="center" shrinkToFit="1"/>
    </xf>
    <xf numFmtId="183" fontId="27" fillId="0" borderId="2" xfId="0" applyNumberFormat="1" applyFont="1" applyBorder="1" applyAlignment="1">
      <alignment horizontal="center" vertical="center" shrinkToFit="1"/>
    </xf>
    <xf numFmtId="183" fontId="27" fillId="0" borderId="8" xfId="0" applyNumberFormat="1" applyFont="1" applyBorder="1" applyAlignment="1">
      <alignment horizontal="center" vertical="center" shrinkToFit="1"/>
    </xf>
    <xf numFmtId="183" fontId="27" fillId="0" borderId="11" xfId="0" applyNumberFormat="1" applyFont="1" applyBorder="1" applyAlignment="1">
      <alignment horizontal="center" vertical="center" shrinkToFit="1"/>
    </xf>
    <xf numFmtId="183" fontId="27" fillId="0" borderId="57" xfId="0" applyNumberFormat="1" applyFont="1" applyBorder="1" applyAlignment="1">
      <alignment horizontal="center" vertical="center" shrinkToFit="1"/>
    </xf>
    <xf numFmtId="183" fontId="27" fillId="0" borderId="85" xfId="0" applyNumberFormat="1" applyFont="1" applyBorder="1" applyAlignment="1">
      <alignment horizontal="center" vertical="center" shrinkToFit="1"/>
    </xf>
    <xf numFmtId="183" fontId="31" fillId="4" borderId="2" xfId="0" applyNumberFormat="1" applyFont="1" applyFill="1" applyBorder="1" applyAlignment="1">
      <alignment horizontal="center" vertical="center" shrinkToFit="1"/>
    </xf>
    <xf numFmtId="183" fontId="27" fillId="0" borderId="15" xfId="0" applyNumberFormat="1" applyFont="1" applyBorder="1" applyAlignment="1">
      <alignment horizontal="center" vertical="center" shrinkToFit="1"/>
    </xf>
    <xf numFmtId="183" fontId="27" fillId="0" borderId="4" xfId="0" applyNumberFormat="1" applyFont="1" applyBorder="1" applyAlignment="1">
      <alignment horizontal="center" vertical="center" shrinkToFit="1"/>
    </xf>
    <xf numFmtId="183" fontId="27" fillId="0" borderId="7" xfId="0" applyNumberFormat="1" applyFont="1" applyBorder="1" applyAlignment="1">
      <alignment horizontal="center" vertical="center" shrinkToFit="1"/>
    </xf>
    <xf numFmtId="183" fontId="27" fillId="0" borderId="20" xfId="0" applyNumberFormat="1" applyFont="1" applyBorder="1" applyAlignment="1">
      <alignment horizontal="center" vertical="center" shrinkToFit="1"/>
    </xf>
    <xf numFmtId="183" fontId="27" fillId="0" borderId="102" xfId="0" applyNumberFormat="1" applyFont="1" applyBorder="1" applyAlignment="1">
      <alignment horizontal="center" vertical="center" shrinkToFit="1"/>
    </xf>
    <xf numFmtId="183" fontId="26" fillId="0" borderId="19" xfId="0" applyNumberFormat="1" applyFont="1" applyBorder="1" applyAlignment="1">
      <alignment horizontal="center" vertical="center" shrinkToFit="1"/>
    </xf>
    <xf numFmtId="183" fontId="27" fillId="0" borderId="3" xfId="0" applyNumberFormat="1" applyFont="1" applyBorder="1" applyAlignment="1">
      <alignment horizontal="center" vertical="center" shrinkToFit="1"/>
    </xf>
    <xf numFmtId="183" fontId="27" fillId="0" borderId="5" xfId="0" applyNumberFormat="1" applyFont="1" applyBorder="1" applyAlignment="1">
      <alignment horizontal="center" vertical="center" shrinkToFit="1"/>
    </xf>
    <xf numFmtId="183" fontId="27" fillId="0" borderId="19" xfId="0" applyNumberFormat="1" applyFont="1" applyBorder="1" applyAlignment="1">
      <alignment horizontal="center" vertical="center" shrinkToFit="1"/>
    </xf>
    <xf numFmtId="183" fontId="27" fillId="0" borderId="5" xfId="0" applyNumberFormat="1" applyFont="1" applyBorder="1" applyAlignment="1">
      <alignment vertical="center" shrinkToFit="1"/>
    </xf>
    <xf numFmtId="183" fontId="27" fillId="0" borderId="86" xfId="0" applyNumberFormat="1" applyFont="1" applyBorder="1" applyAlignment="1">
      <alignment vertical="center" shrinkToFit="1"/>
    </xf>
    <xf numFmtId="183" fontId="27" fillId="0" borderId="3" xfId="0" applyNumberFormat="1" applyFont="1" applyBorder="1" applyAlignment="1">
      <alignment vertical="center" shrinkToFit="1"/>
    </xf>
    <xf numFmtId="183" fontId="27" fillId="0" borderId="19" xfId="0" applyNumberFormat="1" applyFont="1" applyBorder="1" applyAlignment="1">
      <alignment vertical="center" shrinkToFit="1"/>
    </xf>
    <xf numFmtId="183" fontId="27" fillId="0" borderId="101" xfId="0" applyNumberFormat="1" applyFont="1" applyBorder="1" applyAlignment="1">
      <alignment vertical="center" shrinkToFit="1"/>
    </xf>
    <xf numFmtId="183" fontId="27" fillId="0" borderId="14" xfId="0" applyNumberFormat="1" applyFont="1" applyBorder="1" applyAlignment="1">
      <alignment vertical="center" shrinkToFit="1"/>
    </xf>
    <xf numFmtId="183" fontId="27" fillId="0" borderId="101" xfId="0" applyNumberFormat="1" applyFont="1" applyBorder="1" applyAlignment="1">
      <alignment horizontal="center" vertical="center" shrinkToFit="1"/>
    </xf>
    <xf numFmtId="183" fontId="27" fillId="0" borderId="14" xfId="0" applyNumberFormat="1" applyFont="1" applyBorder="1" applyAlignment="1">
      <alignment horizontal="center" vertical="center" shrinkToFit="1"/>
    </xf>
    <xf numFmtId="183" fontId="26" fillId="0" borderId="20" xfId="0" applyNumberFormat="1" applyFont="1" applyBorder="1" applyAlignment="1">
      <alignment horizontal="center" vertical="center" shrinkToFit="1"/>
    </xf>
    <xf numFmtId="183" fontId="27" fillId="0" borderId="7" xfId="0" applyNumberFormat="1" applyFont="1" applyBorder="1" applyAlignment="1">
      <alignment vertical="center" shrinkToFit="1"/>
    </xf>
    <xf numFmtId="183" fontId="27" fillId="0" borderId="87" xfId="0" applyNumberFormat="1" applyFont="1" applyBorder="1" applyAlignment="1">
      <alignment vertical="center" shrinkToFit="1"/>
    </xf>
    <xf numFmtId="183" fontId="27" fillId="0" borderId="57" xfId="0" applyNumberFormat="1" applyFont="1" applyBorder="1" applyAlignment="1">
      <alignment vertical="center" shrinkToFit="1"/>
    </xf>
    <xf numFmtId="183" fontId="31" fillId="0" borderId="55" xfId="0" applyNumberFormat="1" applyFont="1" applyBorder="1" applyAlignment="1">
      <alignment horizontal="center" vertical="center" shrinkToFit="1"/>
    </xf>
    <xf numFmtId="183" fontId="31" fillId="0" borderId="82" xfId="0" applyNumberFormat="1" applyFont="1" applyBorder="1" applyAlignment="1">
      <alignment horizontal="center" vertical="center" shrinkToFit="1"/>
    </xf>
    <xf numFmtId="183" fontId="31" fillId="0" borderId="57" xfId="0" applyNumberFormat="1" applyFont="1" applyBorder="1" applyAlignment="1">
      <alignment horizontal="center" vertical="center" shrinkToFit="1"/>
    </xf>
    <xf numFmtId="183" fontId="31" fillId="0" borderId="60" xfId="0" applyNumberFormat="1" applyFont="1" applyBorder="1" applyAlignment="1">
      <alignment horizontal="center" vertical="center" shrinkToFit="1"/>
    </xf>
    <xf numFmtId="183" fontId="31" fillId="0" borderId="20" xfId="0" applyNumberFormat="1" applyFont="1" applyBorder="1" applyAlignment="1">
      <alignment horizontal="center" vertical="center" shrinkToFit="1"/>
    </xf>
    <xf numFmtId="183" fontId="27" fillId="0" borderId="4" xfId="0" applyNumberFormat="1" applyFont="1" applyBorder="1" applyAlignment="1">
      <alignment vertical="center" shrinkToFit="1"/>
    </xf>
    <xf numFmtId="183" fontId="31" fillId="0" borderId="7" xfId="0" applyNumberFormat="1" applyFont="1" applyBorder="1" applyAlignment="1">
      <alignment horizontal="center" vertical="center" shrinkToFit="1"/>
    </xf>
    <xf numFmtId="183" fontId="31" fillId="0" borderId="4" xfId="0" applyNumberFormat="1" applyFont="1" applyBorder="1" applyAlignment="1">
      <alignment horizontal="center" vertical="center" shrinkToFit="1"/>
    </xf>
    <xf numFmtId="183" fontId="31" fillId="0" borderId="102" xfId="0" applyNumberFormat="1" applyFont="1" applyBorder="1" applyAlignment="1">
      <alignment horizontal="center" vertical="center" shrinkToFit="1"/>
    </xf>
    <xf numFmtId="183" fontId="31" fillId="0" borderId="15" xfId="0" applyNumberFormat="1" applyFont="1" applyBorder="1" applyAlignment="1">
      <alignment horizontal="center" vertical="center" shrinkToFit="1"/>
    </xf>
    <xf numFmtId="183" fontId="27" fillId="0" borderId="55" xfId="0" applyNumberFormat="1" applyFont="1" applyBorder="1" applyAlignment="1">
      <alignment horizontal="center" vertical="center" shrinkToFit="1"/>
    </xf>
    <xf numFmtId="183" fontId="27" fillId="0" borderId="82" xfId="0" applyNumberFormat="1" applyFont="1" applyBorder="1" applyAlignment="1">
      <alignment horizontal="center" vertical="center" shrinkToFit="1"/>
    </xf>
    <xf numFmtId="183" fontId="32" fillId="4" borderId="2" xfId="0" applyNumberFormat="1" applyFont="1" applyFill="1" applyBorder="1" applyAlignment="1">
      <alignment horizontal="center" vertical="center" shrinkToFit="1"/>
    </xf>
    <xf numFmtId="183" fontId="27" fillId="0" borderId="60" xfId="0" applyNumberFormat="1" applyFont="1" applyBorder="1" applyAlignment="1">
      <alignment horizontal="center" vertical="center" shrinkToFit="1"/>
    </xf>
    <xf numFmtId="183" fontId="33" fillId="0" borderId="4" xfId="0" applyNumberFormat="1" applyFont="1" applyBorder="1" applyAlignment="1">
      <alignment horizontal="center" vertical="center" shrinkToFit="1"/>
    </xf>
    <xf numFmtId="183" fontId="27" fillId="0" borderId="19" xfId="0" applyNumberFormat="1" applyFont="1" applyBorder="1" applyAlignment="1">
      <alignment horizontal="center" vertical="center"/>
    </xf>
    <xf numFmtId="183" fontId="27" fillId="0" borderId="5" xfId="0" applyNumberFormat="1" applyFont="1" applyBorder="1" applyAlignment="1">
      <alignment horizontal="center" vertical="center"/>
    </xf>
    <xf numFmtId="183" fontId="27" fillId="0" borderId="101" xfId="0" applyNumberFormat="1" applyFont="1" applyBorder="1" applyAlignment="1">
      <alignment horizontal="center" vertical="center"/>
    </xf>
    <xf numFmtId="183" fontId="27" fillId="0" borderId="133" xfId="0" applyNumberFormat="1" applyFont="1" applyBorder="1" applyAlignment="1">
      <alignment horizontal="center" vertical="center" shrinkToFit="1"/>
    </xf>
    <xf numFmtId="183" fontId="27" fillId="0" borderId="55" xfId="0" applyNumberFormat="1" applyFont="1" applyBorder="1" applyAlignment="1">
      <alignment vertical="center" shrinkToFit="1"/>
    </xf>
    <xf numFmtId="183" fontId="27" fillId="0" borderId="88" xfId="0" applyNumberFormat="1" applyFont="1" applyBorder="1" applyAlignment="1">
      <alignment vertical="center" shrinkToFit="1"/>
    </xf>
    <xf numFmtId="183" fontId="31" fillId="0" borderId="56" xfId="0" applyNumberFormat="1" applyFont="1" applyBorder="1" applyAlignment="1">
      <alignment horizontal="center" vertical="center" shrinkToFit="1"/>
    </xf>
    <xf numFmtId="183" fontId="27" fillId="0" borderId="9" xfId="0" applyNumberFormat="1" applyFont="1" applyBorder="1" applyAlignment="1">
      <alignment horizontal="center" vertical="center" shrinkToFit="1"/>
    </xf>
    <xf numFmtId="183" fontId="27" fillId="0" borderId="10" xfId="0" applyNumberFormat="1" applyFont="1" applyBorder="1" applyAlignment="1">
      <alignment horizontal="center" vertical="center" shrinkToFit="1"/>
    </xf>
    <xf numFmtId="183" fontId="26" fillId="0" borderId="83" xfId="0" applyNumberFormat="1" applyFont="1" applyBorder="1" applyAlignment="1">
      <alignment horizontal="center" vertical="center" shrinkToFit="1"/>
    </xf>
    <xf numFmtId="183" fontId="27" fillId="0" borderId="42" xfId="0" applyNumberFormat="1" applyFont="1" applyBorder="1" applyAlignment="1">
      <alignment horizontal="center" vertical="center" shrinkToFit="1"/>
    </xf>
    <xf numFmtId="183" fontId="27" fillId="0" borderId="90" xfId="0" applyNumberFormat="1" applyFont="1" applyBorder="1" applyAlignment="1">
      <alignment horizontal="center" vertical="center" shrinkToFit="1"/>
    </xf>
    <xf numFmtId="183" fontId="27" fillId="0" borderId="43" xfId="0" applyNumberFormat="1" applyFont="1" applyBorder="1" applyAlignment="1">
      <alignment horizontal="center" vertical="center" shrinkToFit="1"/>
    </xf>
    <xf numFmtId="183" fontId="26" fillId="0" borderId="117" xfId="0" applyNumberFormat="1" applyFont="1" applyBorder="1" applyAlignment="1">
      <alignment horizontal="center" vertical="center" shrinkToFit="1"/>
    </xf>
    <xf numFmtId="183" fontId="27" fillId="0" borderId="115" xfId="0" applyNumberFormat="1" applyFont="1" applyBorder="1" applyAlignment="1">
      <alignment horizontal="center" vertical="center" shrinkToFit="1"/>
    </xf>
    <xf numFmtId="183" fontId="27" fillId="0" borderId="116" xfId="0" applyNumberFormat="1" applyFont="1" applyBorder="1" applyAlignment="1">
      <alignment horizontal="center" vertical="center" shrinkToFit="1"/>
    </xf>
    <xf numFmtId="183" fontId="27" fillId="0" borderId="117" xfId="0" applyNumberFormat="1" applyFont="1" applyBorder="1" applyAlignment="1">
      <alignment horizontal="center" vertical="center" shrinkToFit="1"/>
    </xf>
    <xf numFmtId="183" fontId="27" fillId="0" borderId="119" xfId="0" applyNumberFormat="1" applyFont="1" applyBorder="1" applyAlignment="1">
      <alignment horizontal="center" vertical="center" shrinkToFit="1"/>
    </xf>
    <xf numFmtId="183" fontId="27" fillId="0" borderId="118" xfId="0" applyNumberFormat="1" applyFont="1" applyBorder="1" applyAlignment="1">
      <alignment horizontal="center" vertical="center" shrinkToFit="1"/>
    </xf>
    <xf numFmtId="183" fontId="27" fillId="0" borderId="50" xfId="0" applyNumberFormat="1" applyFont="1" applyBorder="1" applyAlignment="1">
      <alignment horizontal="center" vertical="center" shrinkToFit="1"/>
    </xf>
    <xf numFmtId="183" fontId="27" fillId="0" borderId="83" xfId="0" applyNumberFormat="1" applyFont="1" applyBorder="1" applyAlignment="1">
      <alignment horizontal="center" vertical="center" shrinkToFit="1"/>
    </xf>
    <xf numFmtId="183" fontId="27" fillId="0" borderId="89" xfId="0" applyNumberFormat="1" applyFont="1" applyBorder="1" applyAlignment="1">
      <alignment horizontal="center" vertical="center" shrinkToFit="1"/>
    </xf>
    <xf numFmtId="183" fontId="27" fillId="0" borderId="103" xfId="0" applyNumberFormat="1" applyFont="1" applyBorder="1" applyAlignment="1">
      <alignment horizontal="center" vertical="center" shrinkToFit="1"/>
    </xf>
    <xf numFmtId="183" fontId="27" fillId="0" borderId="45" xfId="0" applyNumberFormat="1" applyFont="1" applyBorder="1" applyAlignment="1">
      <alignment horizontal="center" vertical="center" shrinkToFit="1"/>
    </xf>
    <xf numFmtId="183" fontId="27" fillId="0" borderId="1" xfId="0" applyNumberFormat="1" applyFont="1" applyBorder="1" applyAlignment="1">
      <alignment horizontal="center" vertical="center" shrinkToFit="1"/>
    </xf>
    <xf numFmtId="183" fontId="27" fillId="0" borderId="6" xfId="0" applyNumberFormat="1" applyFont="1" applyBorder="1" applyAlignment="1">
      <alignment horizontal="center" vertical="center" shrinkToFit="1"/>
    </xf>
    <xf numFmtId="183" fontId="26" fillId="0" borderId="104" xfId="0" applyNumberFormat="1" applyFont="1" applyBorder="1" applyAlignment="1">
      <alignment horizontal="center" vertical="center" shrinkToFit="1"/>
    </xf>
    <xf numFmtId="183" fontId="27" fillId="0" borderId="13" xfId="0" applyNumberFormat="1" applyFont="1" applyBorder="1" applyAlignment="1">
      <alignment horizontal="center" vertical="center" shrinkToFit="1"/>
    </xf>
    <xf numFmtId="183" fontId="27" fillId="0" borderId="27" xfId="0" applyNumberFormat="1" applyFont="1" applyBorder="1" applyAlignment="1">
      <alignment horizontal="center" vertical="center" shrinkToFit="1"/>
    </xf>
    <xf numFmtId="183" fontId="31" fillId="4" borderId="13" xfId="0" applyNumberFormat="1" applyFont="1" applyFill="1" applyBorder="1" applyAlignment="1">
      <alignment horizontal="center" vertical="center" shrinkToFit="1"/>
    </xf>
    <xf numFmtId="183" fontId="27" fillId="0" borderId="3" xfId="0" applyNumberFormat="1" applyFont="1" applyBorder="1" applyAlignment="1">
      <alignment horizontal="center" vertical="center"/>
    </xf>
    <xf numFmtId="183" fontId="27" fillId="0" borderId="82" xfId="0" applyNumberFormat="1" applyFont="1" applyBorder="1" applyAlignment="1">
      <alignment vertical="center" shrinkToFit="1"/>
    </xf>
    <xf numFmtId="183" fontId="31" fillId="0" borderId="18" xfId="0" applyNumberFormat="1" applyFont="1" applyBorder="1" applyAlignment="1">
      <alignment horizontal="center" vertical="center" shrinkToFit="1"/>
    </xf>
    <xf numFmtId="183" fontId="31" fillId="0" borderId="81" xfId="0" applyNumberFormat="1" applyFont="1" applyBorder="1" applyAlignment="1">
      <alignment horizontal="center" vertical="center"/>
    </xf>
    <xf numFmtId="183" fontId="31" fillId="0" borderId="38" xfId="0" applyNumberFormat="1" applyFont="1" applyBorder="1" applyAlignment="1">
      <alignment horizontal="center" vertical="center"/>
    </xf>
    <xf numFmtId="183" fontId="31" fillId="0" borderId="54" xfId="0" applyNumberFormat="1" applyFont="1" applyBorder="1" applyAlignment="1">
      <alignment horizontal="center" vertical="center"/>
    </xf>
    <xf numFmtId="183" fontId="27" fillId="0" borderId="15" xfId="0" applyNumberFormat="1" applyFont="1" applyBorder="1" applyAlignment="1">
      <alignment horizontal="center" vertical="center"/>
    </xf>
    <xf numFmtId="183" fontId="27" fillId="0" borderId="4" xfId="0" applyNumberFormat="1" applyFont="1" applyBorder="1" applyAlignment="1">
      <alignment horizontal="center" vertical="center"/>
    </xf>
    <xf numFmtId="183" fontId="27" fillId="0" borderId="7" xfId="0" applyNumberFormat="1" applyFont="1" applyBorder="1" applyAlignment="1">
      <alignment horizontal="center" vertical="center"/>
    </xf>
    <xf numFmtId="183" fontId="27" fillId="0" borderId="20" xfId="0" applyNumberFormat="1" applyFont="1" applyBorder="1" applyAlignment="1">
      <alignment horizontal="center" vertical="center"/>
    </xf>
    <xf numFmtId="183" fontId="27" fillId="0" borderId="102" xfId="0" applyNumberFormat="1" applyFont="1" applyBorder="1" applyAlignment="1">
      <alignment horizontal="center" vertical="center"/>
    </xf>
    <xf numFmtId="183" fontId="26" fillId="0" borderId="19" xfId="0" applyNumberFormat="1" applyFont="1" applyBorder="1" applyAlignment="1">
      <alignment horizontal="center" vertical="center"/>
    </xf>
    <xf numFmtId="183" fontId="27" fillId="0" borderId="5" xfId="0" applyNumberFormat="1" applyFont="1" applyBorder="1" applyAlignment="1">
      <alignment vertical="center"/>
    </xf>
    <xf numFmtId="183" fontId="27" fillId="0" borderId="86" xfId="0" applyNumberFormat="1" applyFont="1" applyBorder="1" applyAlignment="1">
      <alignment vertical="center"/>
    </xf>
    <xf numFmtId="183" fontId="27" fillId="0" borderId="3" xfId="0" applyNumberFormat="1" applyFont="1" applyBorder="1" applyAlignment="1">
      <alignment vertical="center"/>
    </xf>
    <xf numFmtId="183" fontId="27" fillId="0" borderId="19" xfId="0" applyNumberFormat="1" applyFont="1" applyBorder="1" applyAlignment="1">
      <alignment vertical="center"/>
    </xf>
    <xf numFmtId="183" fontId="27" fillId="0" borderId="14" xfId="0" applyNumberFormat="1" applyFont="1" applyBorder="1" applyAlignment="1">
      <alignment vertical="center"/>
    </xf>
    <xf numFmtId="183" fontId="27" fillId="0" borderId="14" xfId="0" applyNumberFormat="1" applyFont="1" applyBorder="1" applyAlignment="1">
      <alignment horizontal="center" vertical="center"/>
    </xf>
    <xf numFmtId="183" fontId="26" fillId="0" borderId="20" xfId="0" applyNumberFormat="1" applyFont="1" applyBorder="1" applyAlignment="1">
      <alignment horizontal="center" vertical="center"/>
    </xf>
    <xf numFmtId="183" fontId="27" fillId="0" borderId="7" xfId="0" applyNumberFormat="1" applyFont="1" applyBorder="1" applyAlignment="1">
      <alignment vertical="center"/>
    </xf>
    <xf numFmtId="183" fontId="27" fillId="0" borderId="87" xfId="0" applyNumberFormat="1" applyFont="1" applyBorder="1" applyAlignment="1">
      <alignment vertical="center"/>
    </xf>
    <xf numFmtId="183" fontId="27" fillId="0" borderId="4" xfId="0" applyNumberFormat="1" applyFont="1" applyBorder="1" applyAlignment="1">
      <alignment vertical="center"/>
    </xf>
    <xf numFmtId="183" fontId="31" fillId="0" borderId="7" xfId="0" applyNumberFormat="1" applyFont="1" applyBorder="1" applyAlignment="1">
      <alignment horizontal="center" vertical="center"/>
    </xf>
    <xf numFmtId="183" fontId="31" fillId="0" borderId="4" xfId="0" applyNumberFormat="1" applyFont="1" applyBorder="1" applyAlignment="1">
      <alignment horizontal="center" vertical="center"/>
    </xf>
    <xf numFmtId="183" fontId="31" fillId="0" borderId="102" xfId="0" applyNumberFormat="1" applyFont="1" applyBorder="1" applyAlignment="1">
      <alignment horizontal="center" vertical="center"/>
    </xf>
    <xf numFmtId="183" fontId="32" fillId="4" borderId="2" xfId="0" applyNumberFormat="1" applyFont="1" applyFill="1" applyBorder="1" applyAlignment="1">
      <alignment horizontal="center" vertical="center"/>
    </xf>
    <xf numFmtId="183" fontId="33" fillId="0" borderId="4" xfId="0" applyNumberFormat="1" applyFont="1" applyBorder="1" applyAlignment="1">
      <alignment horizontal="center" vertical="center"/>
    </xf>
    <xf numFmtId="183" fontId="27" fillId="0" borderId="61" xfId="0" applyNumberFormat="1" applyFont="1" applyBorder="1" applyAlignment="1">
      <alignment horizontal="center" vertical="center"/>
    </xf>
    <xf numFmtId="184" fontId="27" fillId="0" borderId="13" xfId="0" applyNumberFormat="1" applyFont="1" applyBorder="1" applyAlignment="1">
      <alignment horizontal="center" vertical="center" shrinkToFit="1"/>
    </xf>
    <xf numFmtId="183" fontId="27" fillId="0" borderId="30" xfId="0" applyNumberFormat="1" applyFont="1" applyBorder="1" applyAlignment="1">
      <alignment horizontal="center" vertical="center" shrinkToFit="1"/>
    </xf>
    <xf numFmtId="183" fontId="27" fillId="0" borderId="88" xfId="0" applyNumberFormat="1" applyFont="1" applyBorder="1" applyAlignment="1">
      <alignment horizontal="center" vertical="center" shrinkToFit="1"/>
    </xf>
    <xf numFmtId="183" fontId="31" fillId="0" borderId="73" xfId="0" applyNumberFormat="1" applyFont="1" applyBorder="1" applyAlignment="1">
      <alignment horizontal="center" vertical="center" shrinkToFi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26" fillId="0" borderId="21" xfId="0" applyNumberFormat="1" applyFont="1" applyBorder="1" applyAlignment="1">
      <alignment horizontal="center" vertical="center" shrinkToFit="1"/>
    </xf>
    <xf numFmtId="176" fontId="26" fillId="0" borderId="29" xfId="0" applyNumberFormat="1" applyFont="1" applyBorder="1" applyAlignment="1">
      <alignment horizontal="center" vertical="center" shrinkToFi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1" fontId="26" fillId="0" borderId="68" xfId="0" applyNumberFormat="1" applyFont="1" applyBorder="1" applyAlignment="1">
      <alignment horizontal="center" vertical="center" shrinkToFit="1"/>
    </xf>
    <xf numFmtId="41" fontId="26" fillId="0" borderId="72" xfId="0" applyNumberFormat="1" applyFont="1" applyBorder="1" applyAlignment="1">
      <alignment horizontal="center" vertical="center" shrinkToFit="1"/>
    </xf>
    <xf numFmtId="176" fontId="26" fillId="0" borderId="108" xfId="0" applyNumberFormat="1" applyFont="1" applyBorder="1" applyAlignment="1">
      <alignment horizontal="center" vertical="center" shrinkToFit="1"/>
    </xf>
    <xf numFmtId="176" fontId="26" fillId="0" borderId="21" xfId="0" applyNumberFormat="1" applyFont="1" applyBorder="1" applyAlignment="1">
      <alignment horizontal="center" vertical="center" shrinkToFit="1"/>
    </xf>
    <xf numFmtId="176" fontId="26" fillId="0" borderId="23" xfId="0" applyNumberFormat="1" applyFont="1" applyBorder="1" applyAlignment="1">
      <alignment horizontal="center" vertical="center" shrinkToFit="1"/>
    </xf>
    <xf numFmtId="176" fontId="26" fillId="0" borderId="29" xfId="0" applyNumberFormat="1" applyFont="1" applyBorder="1" applyAlignment="1">
      <alignment horizontal="center" vertical="center" shrinkToFit="1"/>
    </xf>
    <xf numFmtId="176" fontId="26" fillId="0" borderId="17" xfId="0" applyNumberFormat="1" applyFont="1" applyBorder="1" applyAlignment="1">
      <alignment horizontal="center" vertical="center" shrinkToFit="1"/>
    </xf>
    <xf numFmtId="176" fontId="26" fillId="0" borderId="74" xfId="0" applyNumberFormat="1" applyFont="1" applyBorder="1" applyAlignment="1">
      <alignment horizontal="center" vertical="center" shrinkToFit="1"/>
    </xf>
    <xf numFmtId="176" fontId="26" fillId="0" borderId="65" xfId="0" applyNumberFormat="1" applyFont="1" applyBorder="1" applyAlignment="1">
      <alignment horizontal="center" vertical="center" shrinkToFit="1"/>
    </xf>
    <xf numFmtId="176" fontId="26" fillId="0" borderId="73" xfId="0" applyNumberFormat="1" applyFont="1" applyBorder="1" applyAlignment="1">
      <alignment horizontal="center" vertical="center" shrinkToFit="1"/>
    </xf>
    <xf numFmtId="0" fontId="26" fillId="0" borderId="77" xfId="0" applyFont="1" applyBorder="1" applyAlignment="1">
      <alignment horizontal="center" vertical="center" shrinkToFit="1"/>
    </xf>
    <xf numFmtId="0" fontId="26" fillId="0" borderId="78" xfId="0" applyFont="1" applyBorder="1" applyAlignment="1">
      <alignment horizontal="center" vertical="center" shrinkToFit="1"/>
    </xf>
    <xf numFmtId="0" fontId="26" fillId="0" borderId="79" xfId="0" applyFont="1" applyBorder="1" applyAlignment="1">
      <alignment horizontal="center" vertical="center" shrinkToFit="1"/>
    </xf>
    <xf numFmtId="0" fontId="26" fillId="0" borderId="69" xfId="0" applyFont="1" applyBorder="1" applyAlignment="1">
      <alignment horizontal="center" vertical="center" shrinkToFit="1"/>
    </xf>
    <xf numFmtId="0" fontId="28" fillId="0" borderId="111" xfId="0" applyFont="1" applyBorder="1" applyAlignment="1">
      <alignment horizontal="center" vertical="center" shrinkToFit="1"/>
    </xf>
    <xf numFmtId="0" fontId="28" fillId="0" borderId="22" xfId="0" applyFont="1" applyBorder="1" applyAlignment="1">
      <alignment horizontal="center" vertical="center" shrinkToFit="1"/>
    </xf>
    <xf numFmtId="0" fontId="28" fillId="0" borderId="23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8" fillId="0" borderId="25" xfId="0" applyFont="1" applyBorder="1" applyAlignment="1">
      <alignment horizontal="center" vertical="center" shrinkToFit="1"/>
    </xf>
    <xf numFmtId="0" fontId="28" fillId="0" borderId="17" xfId="0" applyFont="1" applyBorder="1" applyAlignment="1">
      <alignment horizontal="center" vertical="center" shrinkToFit="1"/>
    </xf>
    <xf numFmtId="41" fontId="26" fillId="0" borderId="71" xfId="0" applyNumberFormat="1" applyFont="1" applyBorder="1" applyAlignment="1">
      <alignment horizontal="center" vertical="center" shrinkToFit="1"/>
    </xf>
    <xf numFmtId="0" fontId="28" fillId="0" borderId="113" xfId="0" applyFont="1" applyBorder="1" applyAlignment="1">
      <alignment horizontal="center" vertical="center" shrinkToFit="1"/>
    </xf>
    <xf numFmtId="0" fontId="28" fillId="0" borderId="44" xfId="0" applyFont="1" applyBorder="1" applyAlignment="1">
      <alignment horizontal="center" vertical="center" shrinkToFit="1"/>
    </xf>
    <xf numFmtId="0" fontId="28" fillId="0" borderId="52" xfId="0" applyFont="1" applyBorder="1" applyAlignment="1">
      <alignment horizontal="center" vertical="center" shrinkToFit="1"/>
    </xf>
    <xf numFmtId="41" fontId="26" fillId="0" borderId="58" xfId="0" applyNumberFormat="1" applyFont="1" applyBorder="1" applyAlignment="1">
      <alignment horizontal="center" vertical="center" shrinkToFit="1"/>
    </xf>
    <xf numFmtId="176" fontId="26" fillId="0" borderId="120" xfId="0" applyNumberFormat="1" applyFont="1" applyBorder="1" applyAlignment="1">
      <alignment horizontal="center" vertical="center" shrinkToFit="1"/>
    </xf>
    <xf numFmtId="0" fontId="26" fillId="0" borderId="48" xfId="0" applyFont="1" applyBorder="1" applyAlignment="1">
      <alignment horizontal="center" vertical="center" shrinkToFit="1"/>
    </xf>
    <xf numFmtId="0" fontId="26" fillId="0" borderId="49" xfId="0" applyFont="1" applyBorder="1" applyAlignment="1">
      <alignment horizontal="center" vertical="center" shrinkToFit="1"/>
    </xf>
    <xf numFmtId="0" fontId="26" fillId="0" borderId="114" xfId="0" applyFont="1" applyBorder="1" applyAlignment="1">
      <alignment horizontal="center" vertical="center" shrinkToFit="1"/>
    </xf>
    <xf numFmtId="0" fontId="26" fillId="0" borderId="113" xfId="0" applyFont="1" applyBorder="1" applyAlignment="1">
      <alignment horizontal="center" vertical="center" shrinkToFit="1"/>
    </xf>
    <xf numFmtId="0" fontId="26" fillId="0" borderId="44" xfId="0" applyFont="1" applyBorder="1" applyAlignment="1">
      <alignment horizontal="center" vertical="center" shrinkToFit="1"/>
    </xf>
    <xf numFmtId="0" fontId="26" fillId="0" borderId="52" xfId="0" applyFont="1" applyBorder="1" applyAlignment="1">
      <alignment horizontal="center" vertical="center" shrinkToFit="1"/>
    </xf>
    <xf numFmtId="182" fontId="26" fillId="0" borderId="78" xfId="0" applyNumberFormat="1" applyFont="1" applyBorder="1" applyAlignment="1">
      <alignment horizontal="center" vertical="center" shrinkToFit="1"/>
    </xf>
    <xf numFmtId="182" fontId="26" fillId="0" borderId="76" xfId="0" applyNumberFormat="1" applyFont="1" applyBorder="1" applyAlignment="1">
      <alignment horizontal="center" vertical="center" shrinkToFit="1"/>
    </xf>
    <xf numFmtId="41" fontId="26" fillId="0" borderId="78" xfId="0" applyNumberFormat="1" applyFont="1" applyBorder="1" applyAlignment="1">
      <alignment horizontal="center" vertical="center" shrinkToFit="1"/>
    </xf>
    <xf numFmtId="41" fontId="26" fillId="0" borderId="76" xfId="0" applyNumberFormat="1" applyFont="1" applyBorder="1" applyAlignment="1">
      <alignment horizontal="center" vertical="center" shrinkToFit="1"/>
    </xf>
    <xf numFmtId="0" fontId="26" fillId="0" borderId="21" xfId="0" applyFont="1" applyBorder="1" applyAlignment="1">
      <alignment horizontal="center" vertical="center" wrapText="1" shrinkToFit="1"/>
    </xf>
    <xf numFmtId="0" fontId="26" fillId="0" borderId="23" xfId="0" applyFont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 shrinkToFit="1"/>
    </xf>
    <xf numFmtId="0" fontId="26" fillId="0" borderId="17" xfId="0" applyFont="1" applyBorder="1" applyAlignment="1">
      <alignment horizontal="center" vertical="center" wrapText="1" shrinkToFit="1"/>
    </xf>
    <xf numFmtId="0" fontId="26" fillId="0" borderId="68" xfId="0" applyFont="1" applyBorder="1" applyAlignment="1">
      <alignment horizontal="center" vertical="center" wrapText="1" shrinkToFit="1"/>
    </xf>
    <xf numFmtId="0" fontId="26" fillId="0" borderId="72" xfId="0" applyFont="1" applyBorder="1" applyAlignment="1">
      <alignment horizontal="center" vertical="center" wrapText="1" shrinkToFit="1"/>
    </xf>
    <xf numFmtId="0" fontId="26" fillId="0" borderId="108" xfId="0" applyFont="1" applyBorder="1" applyAlignment="1">
      <alignment horizontal="center" vertical="center" wrapText="1" shrinkToFit="1"/>
    </xf>
    <xf numFmtId="0" fontId="6" fillId="0" borderId="0" xfId="0" applyFont="1" applyAlignment="1">
      <alignment horizontal="center" vertical="center"/>
    </xf>
    <xf numFmtId="0" fontId="26" fillId="0" borderId="70" xfId="0" applyFont="1" applyBorder="1" applyAlignment="1">
      <alignment horizontal="center" vertical="center" wrapText="1" shrinkToFit="1"/>
    </xf>
    <xf numFmtId="41" fontId="26" fillId="0" borderId="70" xfId="0" applyNumberFormat="1" applyFont="1" applyBorder="1" applyAlignment="1">
      <alignment horizontal="center" vertical="center" shrinkToFit="1"/>
    </xf>
    <xf numFmtId="0" fontId="26" fillId="0" borderId="71" xfId="0" applyFont="1" applyBorder="1" applyAlignment="1">
      <alignment horizontal="center" vertical="center" wrapText="1" shrinkToFit="1"/>
    </xf>
    <xf numFmtId="0" fontId="17" fillId="0" borderId="0" xfId="0" applyFont="1" applyAlignment="1">
      <alignment horizontal="center" vertical="center"/>
    </xf>
    <xf numFmtId="0" fontId="26" fillId="2" borderId="62" xfId="0" applyFont="1" applyFill="1" applyBorder="1" applyAlignment="1">
      <alignment horizontal="center" vertical="center"/>
    </xf>
    <xf numFmtId="0" fontId="26" fillId="2" borderId="64" xfId="0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0" fontId="26" fillId="2" borderId="63" xfId="0" applyFont="1" applyFill="1" applyBorder="1" applyAlignment="1">
      <alignment horizontal="center" vertical="center"/>
    </xf>
    <xf numFmtId="0" fontId="26" fillId="2" borderId="65" xfId="0" applyFont="1" applyFill="1" applyBorder="1" applyAlignment="1">
      <alignment horizontal="center" vertical="center"/>
    </xf>
    <xf numFmtId="0" fontId="26" fillId="2" borderId="67" xfId="0" applyFont="1" applyFill="1" applyBorder="1" applyAlignment="1">
      <alignment horizontal="center" vertical="center"/>
    </xf>
    <xf numFmtId="0" fontId="26" fillId="2" borderId="63" xfId="0" applyFont="1" applyFill="1" applyBorder="1" applyAlignment="1">
      <alignment horizontal="center" vertical="center" wrapText="1"/>
    </xf>
    <xf numFmtId="0" fontId="26" fillId="2" borderId="65" xfId="0" applyFont="1" applyFill="1" applyBorder="1" applyAlignment="1">
      <alignment horizontal="center" vertical="center" wrapText="1"/>
    </xf>
    <xf numFmtId="0" fontId="26" fillId="2" borderId="67" xfId="0" applyFont="1" applyFill="1" applyBorder="1" applyAlignment="1">
      <alignment horizontal="center" vertical="center" wrapText="1"/>
    </xf>
    <xf numFmtId="0" fontId="26" fillId="2" borderId="28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0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6" fillId="2" borderId="32" xfId="0" applyFont="1" applyFill="1" applyBorder="1" applyAlignment="1">
      <alignment horizontal="center" vertical="center"/>
    </xf>
    <xf numFmtId="0" fontId="26" fillId="2" borderId="36" xfId="0" applyFont="1" applyFill="1" applyBorder="1" applyAlignment="1">
      <alignment horizontal="center" vertical="center"/>
    </xf>
    <xf numFmtId="0" fontId="26" fillId="2" borderId="37" xfId="0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181" fontId="26" fillId="0" borderId="68" xfId="0" applyNumberFormat="1" applyFont="1" applyBorder="1" applyAlignment="1">
      <alignment horizontal="center" vertical="center" shrinkToFit="1"/>
    </xf>
    <xf numFmtId="181" fontId="26" fillId="0" borderId="70" xfId="0" applyNumberFormat="1" applyFont="1" applyBorder="1" applyAlignment="1">
      <alignment horizontal="center" vertical="center" shrinkToFit="1"/>
    </xf>
    <xf numFmtId="176" fontId="26" fillId="0" borderId="107" xfId="0" applyNumberFormat="1" applyFont="1" applyBorder="1" applyAlignment="1">
      <alignment horizontal="center" vertical="center" shrinkToFit="1"/>
    </xf>
    <xf numFmtId="0" fontId="5" fillId="2" borderId="127" xfId="0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0" fontId="26" fillId="2" borderId="91" xfId="0" applyFont="1" applyFill="1" applyBorder="1" applyAlignment="1">
      <alignment horizontal="center" vertical="center"/>
    </xf>
    <xf numFmtId="0" fontId="26" fillId="2" borderId="92" xfId="0" applyFont="1" applyFill="1" applyBorder="1" applyAlignment="1">
      <alignment horizontal="center" vertical="center"/>
    </xf>
    <xf numFmtId="0" fontId="26" fillId="2" borderId="94" xfId="0" applyFont="1" applyFill="1" applyBorder="1" applyAlignment="1">
      <alignment horizontal="center" vertical="center"/>
    </xf>
    <xf numFmtId="0" fontId="26" fillId="2" borderId="126" xfId="0" applyFont="1" applyFill="1" applyBorder="1" applyAlignment="1">
      <alignment horizontal="center" vertical="center"/>
    </xf>
    <xf numFmtId="0" fontId="26" fillId="2" borderId="127" xfId="0" applyFont="1" applyFill="1" applyBorder="1" applyAlignment="1">
      <alignment horizontal="center" vertical="center"/>
    </xf>
    <xf numFmtId="0" fontId="26" fillId="2" borderId="128" xfId="0" applyFont="1" applyFill="1" applyBorder="1" applyAlignment="1">
      <alignment horizontal="center" vertical="center"/>
    </xf>
    <xf numFmtId="0" fontId="26" fillId="2" borderId="125" xfId="0" applyFont="1" applyFill="1" applyBorder="1" applyAlignment="1">
      <alignment horizontal="center" vertical="center"/>
    </xf>
    <xf numFmtId="0" fontId="26" fillId="2" borderId="132" xfId="0" applyFont="1" applyFill="1" applyBorder="1" applyAlignment="1">
      <alignment horizontal="center" vertical="center"/>
    </xf>
    <xf numFmtId="0" fontId="26" fillId="2" borderId="128" xfId="0" applyFont="1" applyFill="1" applyBorder="1" applyAlignment="1">
      <alignment horizontal="center" vertical="center" wrapText="1"/>
    </xf>
    <xf numFmtId="0" fontId="26" fillId="2" borderId="126" xfId="0" applyFont="1" applyFill="1" applyBorder="1" applyAlignment="1">
      <alignment horizontal="center" vertical="center" wrapText="1"/>
    </xf>
    <xf numFmtId="0" fontId="26" fillId="2" borderId="127" xfId="0" applyFont="1" applyFill="1" applyBorder="1" applyAlignment="1">
      <alignment horizontal="center" vertical="center" wrapText="1"/>
    </xf>
    <xf numFmtId="0" fontId="29" fillId="2" borderId="121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0" fontId="29" fillId="2" borderId="131" xfId="0" applyFont="1" applyFill="1" applyBorder="1" applyAlignment="1">
      <alignment horizontal="center" vertical="center"/>
    </xf>
    <xf numFmtId="0" fontId="29" fillId="2" borderId="124" xfId="0" applyFont="1" applyFill="1" applyBorder="1" applyAlignment="1">
      <alignment horizontal="center" vertical="center"/>
    </xf>
    <xf numFmtId="41" fontId="26" fillId="0" borderId="74" xfId="0" applyNumberFormat="1" applyFont="1" applyBorder="1" applyAlignment="1">
      <alignment horizontal="center" vertical="center" shrinkToFit="1"/>
    </xf>
    <xf numFmtId="41" fontId="26" fillId="0" borderId="73" xfId="0" applyNumberFormat="1" applyFont="1" applyBorder="1" applyAlignment="1">
      <alignment horizontal="center" vertical="center" shrinkToFit="1"/>
    </xf>
    <xf numFmtId="0" fontId="26" fillId="0" borderId="109" xfId="0" applyFont="1" applyBorder="1" applyAlignment="1">
      <alignment horizontal="center" vertical="center" wrapText="1" shrinkToFit="1"/>
    </xf>
    <xf numFmtId="0" fontId="26" fillId="0" borderId="65" xfId="0" applyFont="1" applyBorder="1" applyAlignment="1">
      <alignment horizontal="center" vertical="center" wrapText="1" shrinkToFit="1"/>
    </xf>
    <xf numFmtId="0" fontId="26" fillId="0" borderId="73" xfId="0" applyFont="1" applyBorder="1" applyAlignment="1">
      <alignment horizontal="center" vertical="center" wrapText="1" shrinkToFit="1"/>
    </xf>
    <xf numFmtId="0" fontId="28" fillId="0" borderId="110" xfId="0" applyFont="1" applyBorder="1" applyAlignment="1">
      <alignment horizontal="center" vertical="center" textRotation="255" shrinkToFit="1"/>
    </xf>
    <xf numFmtId="0" fontId="28" fillId="0" borderId="64" xfId="0" applyFont="1" applyBorder="1" applyAlignment="1">
      <alignment horizontal="center" vertical="center" textRotation="255" shrinkToFit="1"/>
    </xf>
    <xf numFmtId="0" fontId="26" fillId="0" borderId="74" xfId="0" applyFont="1" applyBorder="1" applyAlignment="1">
      <alignment horizontal="center" vertical="center" wrapText="1" shrinkToFit="1"/>
    </xf>
    <xf numFmtId="0" fontId="28" fillId="0" borderId="134" xfId="0" applyFont="1" applyBorder="1" applyAlignment="1">
      <alignment horizontal="center" vertical="center" textRotation="255" shrinkToFit="1"/>
    </xf>
    <xf numFmtId="0" fontId="28" fillId="0" borderId="75" xfId="0" applyFont="1" applyBorder="1" applyAlignment="1">
      <alignment horizontal="center" vertical="center" textRotation="255" shrinkToFit="1"/>
    </xf>
    <xf numFmtId="0" fontId="28" fillId="0" borderId="134" xfId="0" applyFont="1" applyBorder="1" applyAlignment="1">
      <alignment horizontal="center" vertical="center" shrinkToFit="1"/>
    </xf>
    <xf numFmtId="0" fontId="28" fillId="0" borderId="64" xfId="0" applyFont="1" applyBorder="1" applyAlignment="1">
      <alignment horizontal="center" vertical="center" shrinkToFit="1"/>
    </xf>
    <xf numFmtId="0" fontId="28" fillId="0" borderId="75" xfId="0" applyFont="1" applyBorder="1" applyAlignment="1">
      <alignment horizontal="center" vertical="center" shrinkToFit="1"/>
    </xf>
    <xf numFmtId="183" fontId="31" fillId="0" borderId="2" xfId="0" applyNumberFormat="1" applyFont="1" applyBorder="1" applyAlignment="1">
      <alignment horizontal="center" vertical="center" shrinkToFit="1"/>
    </xf>
    <xf numFmtId="183" fontId="31" fillId="0" borderId="8" xfId="0" applyNumberFormat="1" applyFont="1" applyBorder="1" applyAlignment="1">
      <alignment horizontal="center" vertical="center" shrinkToFit="1"/>
    </xf>
    <xf numFmtId="0" fontId="29" fillId="2" borderId="59" xfId="0" applyFont="1" applyFill="1" applyBorder="1" applyAlignment="1">
      <alignment horizontal="center" vertical="center"/>
    </xf>
    <xf numFmtId="0" fontId="26" fillId="2" borderId="121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183" fontId="31" fillId="0" borderId="11" xfId="0" applyNumberFormat="1" applyFont="1" applyBorder="1" applyAlignment="1">
      <alignment horizontal="center" vertical="center" shrinkToFit="1"/>
    </xf>
    <xf numFmtId="183" fontId="31" fillId="0" borderId="10" xfId="0" applyNumberFormat="1" applyFont="1" applyBorder="1" applyAlignment="1">
      <alignment horizontal="center" vertical="center" shrinkToFit="1"/>
    </xf>
    <xf numFmtId="2" fontId="6" fillId="0" borderId="0" xfId="0" applyNumberFormat="1" applyFont="1" applyBorder="1" applyAlignment="1">
      <alignment vertical="center" wrapText="1"/>
    </xf>
    <xf numFmtId="2" fontId="6" fillId="0" borderId="0" xfId="0" applyNumberFormat="1" applyFont="1" applyBorder="1">
      <alignment vertical="center"/>
    </xf>
    <xf numFmtId="2" fontId="6" fillId="0" borderId="32" xfId="0" applyNumberFormat="1" applyFont="1" applyBorder="1">
      <alignment vertical="center"/>
    </xf>
    <xf numFmtId="183" fontId="27" fillId="0" borderId="117" xfId="0" applyNumberFormat="1" applyFont="1" applyBorder="1" applyAlignment="1">
      <alignment vertical="center" shrinkToFit="1"/>
    </xf>
    <xf numFmtId="183" fontId="27" fillId="0" borderId="50" xfId="0" applyNumberFormat="1" applyFont="1" applyBorder="1" applyAlignment="1">
      <alignment vertical="center" shrinkToFit="1"/>
    </xf>
    <xf numFmtId="183" fontId="27" fillId="0" borderId="115" xfId="0" applyNumberFormat="1" applyFont="1" applyBorder="1" applyAlignment="1">
      <alignment vertical="center" shrinkToFit="1"/>
    </xf>
    <xf numFmtId="183" fontId="31" fillId="0" borderId="83" xfId="0" applyNumberFormat="1" applyFont="1" applyBorder="1" applyAlignment="1">
      <alignment horizontal="center" vertical="center" shrinkToFit="1"/>
    </xf>
    <xf numFmtId="183" fontId="31" fillId="0" borderId="45" xfId="0" applyNumberFormat="1" applyFont="1" applyBorder="1" applyAlignment="1">
      <alignment horizontal="center" vertical="center" shrinkToFit="1"/>
    </xf>
    <xf numFmtId="183" fontId="31" fillId="0" borderId="42" xfId="0" applyNumberFormat="1" applyFont="1" applyBorder="1" applyAlignment="1">
      <alignment horizontal="center" vertical="center" shrinkToFit="1"/>
    </xf>
    <xf numFmtId="183" fontId="31" fillId="0" borderId="39" xfId="0" applyNumberFormat="1" applyFont="1" applyBorder="1" applyAlignment="1">
      <alignment horizontal="center" vertical="center" shrinkToFit="1"/>
    </xf>
    <xf numFmtId="183" fontId="27" fillId="0" borderId="22" xfId="0" applyNumberFormat="1" applyFont="1" applyBorder="1" applyAlignment="1">
      <alignment vertical="center" shrinkToFit="1"/>
    </xf>
    <xf numFmtId="183" fontId="31" fillId="0" borderId="25" xfId="0" applyNumberFormat="1" applyFont="1" applyBorder="1" applyAlignment="1">
      <alignment horizontal="center" vertical="center" shrinkToFit="1"/>
    </xf>
    <xf numFmtId="183" fontId="31" fillId="0" borderId="0" xfId="0" applyNumberFormat="1" applyFont="1" applyBorder="1" applyAlignment="1">
      <alignment horizontal="center" vertical="center" shrinkToFit="1"/>
    </xf>
    <xf numFmtId="183" fontId="27" fillId="0" borderId="49" xfId="0" applyNumberFormat="1" applyFont="1" applyBorder="1" applyAlignment="1">
      <alignment vertical="center" shrinkToFit="1"/>
    </xf>
    <xf numFmtId="183" fontId="31" fillId="0" borderId="44" xfId="0" applyNumberFormat="1" applyFont="1" applyBorder="1" applyAlignment="1">
      <alignment horizontal="center" vertical="center" shrinkToFit="1"/>
    </xf>
    <xf numFmtId="183" fontId="27" fillId="0" borderId="116" xfId="0" applyNumberFormat="1" applyFont="1" applyBorder="1" applyAlignment="1">
      <alignment vertical="center" shrinkToFit="1"/>
    </xf>
    <xf numFmtId="183" fontId="31" fillId="0" borderId="43" xfId="0" applyNumberFormat="1" applyFont="1" applyBorder="1" applyAlignment="1">
      <alignment horizontal="center" vertical="center" shrinkToFit="1"/>
    </xf>
    <xf numFmtId="183" fontId="31" fillId="0" borderId="51" xfId="0" applyNumberFormat="1" applyFont="1" applyBorder="1" applyAlignment="1">
      <alignment horizontal="center" vertical="center" shrinkToFit="1"/>
    </xf>
    <xf numFmtId="183" fontId="27" fillId="0" borderId="23" xfId="0" applyNumberFormat="1" applyFont="1" applyBorder="1" applyAlignment="1">
      <alignment vertical="center" shrinkToFit="1"/>
    </xf>
    <xf numFmtId="183" fontId="31" fillId="0" borderId="17" xfId="0" applyNumberFormat="1" applyFont="1" applyBorder="1" applyAlignment="1">
      <alignment horizontal="center" vertical="center" shrinkToFit="1"/>
    </xf>
    <xf numFmtId="183" fontId="31" fillId="0" borderId="12" xfId="0" applyNumberFormat="1" applyFont="1" applyBorder="1" applyAlignment="1">
      <alignment horizontal="center" vertical="center" shrinkToFit="1"/>
    </xf>
    <xf numFmtId="183" fontId="27" fillId="0" borderId="114" xfId="0" applyNumberFormat="1" applyFont="1" applyBorder="1" applyAlignment="1">
      <alignment vertical="center" shrinkToFit="1"/>
    </xf>
    <xf numFmtId="183" fontId="31" fillId="0" borderId="52" xfId="0" applyNumberFormat="1" applyFont="1" applyBorder="1" applyAlignment="1">
      <alignment horizontal="center" vertical="center" shrinkToFit="1"/>
    </xf>
    <xf numFmtId="183" fontId="31" fillId="0" borderId="9" xfId="0" applyNumberFormat="1" applyFont="1" applyBorder="1" applyAlignment="1">
      <alignment horizontal="center" vertical="center" shrinkToFit="1"/>
    </xf>
    <xf numFmtId="183" fontId="27" fillId="0" borderId="118" xfId="0" applyNumberFormat="1" applyFont="1" applyBorder="1" applyAlignment="1">
      <alignment vertical="center" shrinkToFit="1"/>
    </xf>
    <xf numFmtId="183" fontId="31" fillId="0" borderId="103" xfId="0" applyNumberFormat="1" applyFont="1" applyBorder="1" applyAlignment="1">
      <alignment horizontal="center" vertical="center" shrinkToFit="1"/>
    </xf>
    <xf numFmtId="0" fontId="28" fillId="2" borderId="128" xfId="0" applyFont="1" applyFill="1" applyBorder="1" applyAlignment="1">
      <alignment horizontal="center" vertical="center"/>
    </xf>
    <xf numFmtId="0" fontId="28" fillId="2" borderId="94" xfId="0" applyFont="1" applyFill="1" applyBorder="1" applyAlignment="1">
      <alignment horizontal="center" vertical="center"/>
    </xf>
    <xf numFmtId="0" fontId="28" fillId="2" borderId="126" xfId="0" applyFont="1" applyFill="1" applyBorder="1" applyAlignment="1">
      <alignment horizontal="center" vertical="center"/>
    </xf>
    <xf numFmtId="0" fontId="28" fillId="2" borderId="127" xfId="0" applyFont="1" applyFill="1" applyBorder="1" applyAlignment="1">
      <alignment horizontal="center" vertical="center"/>
    </xf>
    <xf numFmtId="0" fontId="28" fillId="2" borderId="91" xfId="0" applyFont="1" applyFill="1" applyBorder="1" applyAlignment="1">
      <alignment horizontal="center" vertical="center"/>
    </xf>
    <xf numFmtId="0" fontId="28" fillId="2" borderId="92" xfId="0" applyFont="1" applyFill="1" applyBorder="1" applyAlignment="1">
      <alignment horizontal="center" vertical="center"/>
    </xf>
    <xf numFmtId="0" fontId="28" fillId="2" borderId="93" xfId="0" applyFont="1" applyFill="1" applyBorder="1" applyAlignment="1">
      <alignment horizontal="center" vertical="center"/>
    </xf>
    <xf numFmtId="0" fontId="15" fillId="2" borderId="95" xfId="0" applyFont="1" applyFill="1" applyBorder="1" applyAlignment="1">
      <alignment horizontal="center" vertical="center"/>
    </xf>
    <xf numFmtId="0" fontId="28" fillId="2" borderId="95" xfId="0" applyFont="1" applyFill="1" applyBorder="1" applyAlignment="1">
      <alignment horizontal="center" vertical="center"/>
    </xf>
    <xf numFmtId="0" fontId="34" fillId="2" borderId="135" xfId="0" applyFont="1" applyFill="1" applyBorder="1" applyAlignment="1">
      <alignment horizontal="center" vertical="center"/>
    </xf>
    <xf numFmtId="0" fontId="34" fillId="2" borderId="136" xfId="0" applyFont="1" applyFill="1" applyBorder="1" applyAlignment="1">
      <alignment horizontal="center" vertical="center"/>
    </xf>
    <xf numFmtId="0" fontId="15" fillId="2" borderId="99" xfId="0" applyFont="1" applyFill="1" applyBorder="1" applyAlignment="1">
      <alignment horizontal="center" vertical="center"/>
    </xf>
    <xf numFmtId="176" fontId="26" fillId="0" borderId="78" xfId="0" applyNumberFormat="1" applyFont="1" applyBorder="1" applyAlignment="1">
      <alignment horizontal="center" vertical="center" shrinkToFit="1"/>
    </xf>
    <xf numFmtId="176" fontId="26" fillId="0" borderId="129" xfId="0" applyNumberFormat="1" applyFont="1" applyBorder="1" applyAlignment="1">
      <alignment horizontal="center" vertical="center" shrinkToFit="1"/>
    </xf>
    <xf numFmtId="176" fontId="26" fillId="0" borderId="129" xfId="0" applyNumberFormat="1" applyFont="1" applyBorder="1" applyAlignment="1">
      <alignment horizontal="left" vertical="center" shrinkToFit="1"/>
    </xf>
    <xf numFmtId="2" fontId="9" fillId="0" borderId="49" xfId="0" applyNumberFormat="1" applyFont="1" applyBorder="1">
      <alignment vertical="center"/>
    </xf>
    <xf numFmtId="2" fontId="9" fillId="0" borderId="53" xfId="0" applyNumberFormat="1" applyFont="1" applyBorder="1">
      <alignment vertical="center"/>
    </xf>
    <xf numFmtId="183" fontId="31" fillId="0" borderId="104" xfId="0" applyNumberFormat="1" applyFont="1" applyBorder="1" applyAlignment="1">
      <alignment horizontal="center" vertical="center" shrinkToFit="1"/>
    </xf>
    <xf numFmtId="183" fontId="31" fillId="0" borderId="16" xfId="0" applyNumberFormat="1" applyFont="1" applyBorder="1" applyAlignment="1">
      <alignment horizontal="center" vertical="center" shrinkToFit="1"/>
    </xf>
    <xf numFmtId="183" fontId="31" fillId="0" borderId="26" xfId="0" applyNumberFormat="1" applyFont="1" applyBorder="1" applyAlignment="1">
      <alignment horizontal="center" vertical="center" shrinkToFit="1"/>
    </xf>
    <xf numFmtId="183" fontId="31" fillId="0" borderId="137" xfId="0" applyNumberFormat="1" applyFont="1" applyBorder="1" applyAlignment="1">
      <alignment horizontal="center" vertical="center" shrinkToFit="1"/>
    </xf>
    <xf numFmtId="183" fontId="31" fillId="0" borderId="13" xfId="0" applyNumberFormat="1" applyFont="1" applyBorder="1" applyAlignment="1">
      <alignment horizontal="center" vertical="center" shrinkToFit="1"/>
    </xf>
    <xf numFmtId="183" fontId="31" fillId="0" borderId="27" xfId="0" applyNumberFormat="1" applyFont="1" applyBorder="1" applyAlignment="1">
      <alignment horizontal="center" vertical="center" shrinkToFit="1"/>
    </xf>
    <xf numFmtId="183" fontId="31" fillId="0" borderId="105" xfId="0" applyNumberFormat="1" applyFont="1" applyBorder="1" applyAlignment="1">
      <alignment horizontal="center" vertical="center" shrinkToFit="1"/>
    </xf>
    <xf numFmtId="0" fontId="35" fillId="0" borderId="0" xfId="0" applyFont="1" applyAlignment="1">
      <alignment horizontal="center" vertical="center"/>
    </xf>
    <xf numFmtId="0" fontId="28" fillId="2" borderId="108" xfId="0" applyFont="1" applyFill="1" applyBorder="1" applyAlignment="1">
      <alignment horizontal="center" vertical="center"/>
    </xf>
    <xf numFmtId="0" fontId="28" fillId="2" borderId="62" xfId="0" applyFont="1" applyFill="1" applyBorder="1" applyAlignment="1">
      <alignment horizontal="center" vertical="center"/>
    </xf>
    <xf numFmtId="0" fontId="28" fillId="2" borderId="63" xfId="0" applyFont="1" applyFill="1" applyBorder="1" applyAlignment="1">
      <alignment horizontal="center" vertical="center"/>
    </xf>
    <xf numFmtId="0" fontId="28" fillId="2" borderId="63" xfId="0" applyFont="1" applyFill="1" applyBorder="1" applyAlignment="1">
      <alignment horizontal="center" vertical="center" wrapText="1"/>
    </xf>
    <xf numFmtId="0" fontId="28" fillId="2" borderId="64" xfId="0" applyFont="1" applyFill="1" applyBorder="1" applyAlignment="1">
      <alignment horizontal="center" vertical="center"/>
    </xf>
    <xf numFmtId="0" fontId="28" fillId="2" borderId="65" xfId="0" applyFont="1" applyFill="1" applyBorder="1" applyAlignment="1">
      <alignment horizontal="center" vertical="center"/>
    </xf>
    <xf numFmtId="0" fontId="28" fillId="2" borderId="65" xfId="0" applyFont="1" applyFill="1" applyBorder="1" applyAlignment="1">
      <alignment horizontal="center" vertical="center" wrapText="1"/>
    </xf>
    <xf numFmtId="0" fontId="28" fillId="2" borderId="66" xfId="0" applyFont="1" applyFill="1" applyBorder="1" applyAlignment="1">
      <alignment horizontal="center" vertical="center"/>
    </xf>
    <xf numFmtId="0" fontId="28" fillId="2" borderId="67" xfId="0" applyFont="1" applyFill="1" applyBorder="1" applyAlignment="1">
      <alignment horizontal="center" vertical="center"/>
    </xf>
    <xf numFmtId="0" fontId="28" fillId="2" borderId="67" xfId="0" applyFont="1" applyFill="1" applyBorder="1" applyAlignment="1">
      <alignment horizontal="center" vertical="center" wrapText="1"/>
    </xf>
    <xf numFmtId="183" fontId="27" fillId="0" borderId="0" xfId="0" applyNumberFormat="1" applyFont="1" applyBorder="1" applyAlignment="1">
      <alignment horizontal="center" vertical="center" shrinkToFit="1"/>
    </xf>
    <xf numFmtId="183" fontId="31" fillId="0" borderId="40" xfId="0" applyNumberFormat="1" applyFont="1" applyBorder="1" applyAlignment="1">
      <alignment horizontal="center" vertical="center" shrinkToFit="1"/>
    </xf>
    <xf numFmtId="183" fontId="27" fillId="0" borderId="24" xfId="0" applyNumberFormat="1" applyFont="1" applyBorder="1" applyAlignment="1">
      <alignment horizontal="center" vertical="center" shrinkToFit="1"/>
    </xf>
    <xf numFmtId="183" fontId="27" fillId="0" borderId="12" xfId="0" applyNumberFormat="1" applyFont="1" applyBorder="1" applyAlignment="1">
      <alignment horizontal="center" vertical="center" shrinkToFit="1"/>
    </xf>
    <xf numFmtId="183" fontId="27" fillId="0" borderId="21" xfId="0" applyNumberFormat="1" applyFont="1" applyBorder="1" applyAlignment="1">
      <alignment vertical="center" shrinkToFit="1"/>
    </xf>
    <xf numFmtId="183" fontId="31" fillId="0" borderId="29" xfId="0" applyNumberFormat="1" applyFont="1" applyBorder="1" applyAlignment="1">
      <alignment horizontal="center" vertical="center" shrinkToFit="1"/>
    </xf>
    <xf numFmtId="183" fontId="31" fillId="0" borderId="24" xfId="0" applyNumberFormat="1" applyFont="1" applyBorder="1" applyAlignment="1">
      <alignment horizontal="center" vertical="center" shrinkToFit="1"/>
    </xf>
    <xf numFmtId="183" fontId="27" fillId="0" borderId="129" xfId="0" applyNumberFormat="1" applyFont="1" applyBorder="1" applyAlignment="1">
      <alignment vertical="center" shrinkToFit="1"/>
    </xf>
    <xf numFmtId="183" fontId="31" fillId="0" borderId="46" xfId="0" applyNumberFormat="1" applyFont="1" applyBorder="1" applyAlignment="1">
      <alignment horizontal="center" vertical="center" shrinkToFit="1"/>
    </xf>
    <xf numFmtId="183" fontId="31" fillId="0" borderId="130" xfId="0" applyNumberFormat="1" applyFont="1" applyBorder="1" applyAlignment="1">
      <alignment horizontal="center" vertical="center" shrinkToFit="1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0066FF"/>
      <color rgb="FF0000CC"/>
      <color rgb="FF97FFFF"/>
      <color rgb="FFE0F9FC"/>
      <color rgb="FFFFFFFF"/>
      <color rgb="FF00FFFF"/>
      <color rgb="FFFFE5E5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6810938322172998E-4"/>
          <c:y val="5.6353539407837127E-4"/>
          <c:w val="0.91061543767862185"/>
          <c:h val="0.80753659528467203"/>
        </c:manualLayout>
      </c:layout>
      <c:lineChart>
        <c:grouping val="standard"/>
        <c:varyColors val="0"/>
        <c:ser>
          <c:idx val="0"/>
          <c:order val="0"/>
          <c:spPr>
            <a:ln w="571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'예정공정표(총괄분)'!$J$60:$AM$60</c:f>
              <c:numCache>
                <c:formatCode>#,##0.00_);[Red]\(#,##0.00\)</c:formatCode>
                <c:ptCount val="30"/>
                <c:pt idx="0">
                  <c:v>0</c:v>
                </c:pt>
                <c:pt idx="1">
                  <c:v>6.9999999999999993E-2</c:v>
                </c:pt>
                <c:pt idx="2">
                  <c:v>0.24</c:v>
                </c:pt>
                <c:pt idx="3">
                  <c:v>0.42</c:v>
                </c:pt>
                <c:pt idx="4">
                  <c:v>1.2899999999999998</c:v>
                </c:pt>
                <c:pt idx="5">
                  <c:v>2.2599999999999998</c:v>
                </c:pt>
                <c:pt idx="6">
                  <c:v>4.2799999999999994</c:v>
                </c:pt>
                <c:pt idx="7">
                  <c:v>5.2299999999999995</c:v>
                </c:pt>
                <c:pt idx="8">
                  <c:v>6.75</c:v>
                </c:pt>
                <c:pt idx="9">
                  <c:v>8.67</c:v>
                </c:pt>
                <c:pt idx="10">
                  <c:v>12.899999999999999</c:v>
                </c:pt>
                <c:pt idx="11">
                  <c:v>19.239999999999998</c:v>
                </c:pt>
                <c:pt idx="12">
                  <c:v>26.479999999999997</c:v>
                </c:pt>
                <c:pt idx="13">
                  <c:v>36.519999999999996</c:v>
                </c:pt>
                <c:pt idx="14">
                  <c:v>36.519999999999996</c:v>
                </c:pt>
                <c:pt idx="15">
                  <c:v>44.559999999999995</c:v>
                </c:pt>
                <c:pt idx="16">
                  <c:v>54.139999999999993</c:v>
                </c:pt>
                <c:pt idx="17">
                  <c:v>61.239999999999995</c:v>
                </c:pt>
                <c:pt idx="18">
                  <c:v>67.819999999999993</c:v>
                </c:pt>
                <c:pt idx="19">
                  <c:v>73.199999999999989</c:v>
                </c:pt>
                <c:pt idx="20">
                  <c:v>79.409999999999982</c:v>
                </c:pt>
                <c:pt idx="21">
                  <c:v>87.229999999999976</c:v>
                </c:pt>
                <c:pt idx="22">
                  <c:v>91.609999999999971</c:v>
                </c:pt>
                <c:pt idx="23">
                  <c:v>96.049999999999969</c:v>
                </c:pt>
                <c:pt idx="24">
                  <c:v>98.069999999999965</c:v>
                </c:pt>
                <c:pt idx="25">
                  <c:v>99.069999999999965</c:v>
                </c:pt>
                <c:pt idx="26">
                  <c:v>99.149999999999963</c:v>
                </c:pt>
                <c:pt idx="27" formatCode="#,##0_);[Red]\(#,##0\)">
                  <c:v>99.999999999999957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'예정공정표(240701현재)제출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60B-4C89-8163-F37C96028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209247"/>
        <c:axId val="1924209663"/>
      </c:lineChart>
      <c:catAx>
        <c:axId val="1924209247"/>
        <c:scaling>
          <c:orientation val="minMax"/>
        </c:scaling>
        <c:delete val="1"/>
        <c:axPos val="b"/>
        <c:majorTickMark val="none"/>
        <c:minorTickMark val="none"/>
        <c:tickLblPos val="nextTo"/>
        <c:crossAx val="1924209663"/>
        <c:crosses val="autoZero"/>
        <c:auto val="1"/>
        <c:lblAlgn val="ctr"/>
        <c:lblOffset val="100"/>
        <c:noMultiLvlLbl val="0"/>
      </c:catAx>
      <c:valAx>
        <c:axId val="1924209663"/>
        <c:scaling>
          <c:orientation val="minMax"/>
        </c:scaling>
        <c:delete val="1"/>
        <c:axPos val="l"/>
        <c:numFmt formatCode="#,##0.00_);[Red]\(#,##0.00\)" sourceLinked="1"/>
        <c:majorTickMark val="none"/>
        <c:minorTickMark val="none"/>
        <c:tickLblPos val="nextTo"/>
        <c:crossAx val="1924209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404156756818994E-3"/>
          <c:y val="5.6356599109074986E-4"/>
          <c:w val="0.91061543767862185"/>
          <c:h val="0.80753659528467203"/>
        </c:manualLayout>
      </c:layout>
      <c:lineChart>
        <c:grouping val="standard"/>
        <c:varyColors val="0"/>
        <c:ser>
          <c:idx val="0"/>
          <c:order val="0"/>
          <c:spPr>
            <a:ln w="571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'예정공정표(월간)'!$I$61:$AQ$61</c:f>
              <c:numCache>
                <c:formatCode>#,##0.00_);[Red]\(#,##0.00\)</c:formatCode>
                <c:ptCount val="3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'예정공정표(240701현재)제출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366-4313-B97D-065D04B71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209247"/>
        <c:axId val="1924209663"/>
      </c:lineChart>
      <c:catAx>
        <c:axId val="1924209247"/>
        <c:scaling>
          <c:orientation val="minMax"/>
        </c:scaling>
        <c:delete val="1"/>
        <c:axPos val="b"/>
        <c:majorTickMark val="none"/>
        <c:minorTickMark val="none"/>
        <c:tickLblPos val="nextTo"/>
        <c:crossAx val="1924209663"/>
        <c:crosses val="autoZero"/>
        <c:auto val="1"/>
        <c:lblAlgn val="ctr"/>
        <c:lblOffset val="100"/>
        <c:noMultiLvlLbl val="0"/>
      </c:catAx>
      <c:valAx>
        <c:axId val="1924209663"/>
        <c:scaling>
          <c:orientation val="minMax"/>
        </c:scaling>
        <c:delete val="1"/>
        <c:axPos val="l"/>
        <c:numFmt formatCode="#,##0.00_);[Red]\(#,##0.00\)" sourceLinked="1"/>
        <c:majorTickMark val="none"/>
        <c:minorTickMark val="none"/>
        <c:tickLblPos val="nextTo"/>
        <c:crossAx val="1924209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383128</xdr:colOff>
          <xdr:row>8</xdr:row>
          <xdr:rowOff>16563</xdr:rowOff>
        </xdr:from>
        <xdr:to>
          <xdr:col>43</xdr:col>
          <xdr:colOff>0</xdr:colOff>
          <xdr:row>55</xdr:row>
          <xdr:rowOff>173183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2!$G$3:$I$12" spid="_x0000_s1028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7147128" y="4190245"/>
              <a:ext cx="430827" cy="9924074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4</xdr:col>
      <xdr:colOff>294410</xdr:colOff>
      <xdr:row>1</xdr:row>
      <xdr:rowOff>363683</xdr:rowOff>
    </xdr:from>
    <xdr:to>
      <xdr:col>45</xdr:col>
      <xdr:colOff>225138</xdr:colOff>
      <xdr:row>67</xdr:row>
      <xdr:rowOff>86592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43</xdr:col>
          <xdr:colOff>0</xdr:colOff>
          <xdr:row>9</xdr:row>
          <xdr:rowOff>16563</xdr:rowOff>
        </xdr:from>
        <xdr:to>
          <xdr:col>47</xdr:col>
          <xdr:colOff>-1</xdr:colOff>
          <xdr:row>57</xdr:row>
          <xdr:rowOff>22412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2!$G$3:$I$12" spid="_x0000_s1433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5889941" y="4185151"/>
              <a:ext cx="582706" cy="10225614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49</xdr:col>
      <xdr:colOff>608176</xdr:colOff>
      <xdr:row>1</xdr:row>
      <xdr:rowOff>105948</xdr:rowOff>
    </xdr:from>
    <xdr:to>
      <xdr:col>60</xdr:col>
      <xdr:colOff>359609</xdr:colOff>
      <xdr:row>67</xdr:row>
      <xdr:rowOff>75386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V401"/>
  <sheetViews>
    <sheetView workbookViewId="0"/>
  </sheetViews>
  <sheetFormatPr defaultColWidth="9" defaultRowHeight="13.5" outlineLevelCol="1" x14ac:dyDescent="0.15"/>
  <cols>
    <col min="1" max="1" width="10" customWidth="1"/>
    <col min="2" max="2" width="11.5" customWidth="1"/>
    <col min="3" max="3" width="20.375" customWidth="1"/>
    <col min="4" max="4" width="11" customWidth="1"/>
    <col min="5" max="5" width="7.375" customWidth="1"/>
    <col min="6" max="7" width="12.125" hidden="1" customWidth="1" outlineLevel="1"/>
    <col min="8" max="8" width="34.875" hidden="1" customWidth="1" outlineLevel="1"/>
    <col min="9" max="9" width="5.25" customWidth="1" collapsed="1"/>
    <col min="10" max="23" width="5.25" customWidth="1"/>
    <col min="24" max="24" width="8.25" customWidth="1"/>
    <col min="25" max="39" width="5.25" customWidth="1"/>
    <col min="40" max="43" width="1.375" customWidth="1"/>
    <col min="44" max="44" width="1.875" customWidth="1"/>
    <col min="45" max="45" width="10" style="128" bestFit="1" customWidth="1"/>
    <col min="46" max="46" width="9.125" style="24" bestFit="1" customWidth="1"/>
    <col min="47" max="47" width="19.375" style="31" customWidth="1"/>
    <col min="48" max="48" width="9" style="24"/>
  </cols>
  <sheetData>
    <row r="1" spans="1:48" ht="143.25" customHeight="1" x14ac:dyDescent="0.15"/>
    <row r="2" spans="1:48" s="36" customFormat="1" ht="39" customHeight="1" x14ac:dyDescent="0.15">
      <c r="A2" s="307" t="s">
        <v>12</v>
      </c>
      <c r="B2" s="307"/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  <c r="AD2" s="307"/>
      <c r="AE2" s="307"/>
      <c r="AF2" s="307"/>
      <c r="AG2" s="307"/>
      <c r="AH2" s="307"/>
      <c r="AI2" s="307"/>
      <c r="AJ2" s="307"/>
      <c r="AK2" s="307"/>
      <c r="AL2" s="307"/>
      <c r="AM2" s="307"/>
      <c r="AN2" s="307"/>
      <c r="AO2" s="307"/>
      <c r="AP2" s="307"/>
      <c r="AQ2" s="307"/>
      <c r="AR2" s="35"/>
      <c r="AS2" s="129">
        <f>4.27-0.41</f>
        <v>3.8599999999999994</v>
      </c>
      <c r="AT2" s="37"/>
      <c r="AU2" s="38"/>
      <c r="AV2" s="39"/>
    </row>
    <row r="3" spans="1:48" s="36" customFormat="1" ht="39" customHeight="1" x14ac:dyDescent="0.15">
      <c r="A3" s="307"/>
      <c r="B3" s="307"/>
      <c r="C3" s="307"/>
      <c r="D3" s="307"/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  <c r="AA3" s="307"/>
      <c r="AB3" s="307"/>
      <c r="AC3" s="307"/>
      <c r="AD3" s="307"/>
      <c r="AE3" s="307"/>
      <c r="AF3" s="307"/>
      <c r="AG3" s="307"/>
      <c r="AH3" s="307"/>
      <c r="AI3" s="307"/>
      <c r="AJ3" s="307"/>
      <c r="AK3" s="307"/>
      <c r="AL3" s="307"/>
      <c r="AM3" s="307"/>
      <c r="AN3" s="307"/>
      <c r="AO3" s="307"/>
      <c r="AP3" s="307"/>
      <c r="AQ3" s="307"/>
      <c r="AR3" s="35"/>
      <c r="AS3" s="129"/>
      <c r="AT3" s="37"/>
      <c r="AU3" s="38"/>
      <c r="AV3" s="39"/>
    </row>
    <row r="4" spans="1:48" s="4" customFormat="1" ht="40.5" customHeight="1" thickBot="1" x14ac:dyDescent="0.2">
      <c r="A4" s="42" t="s">
        <v>13</v>
      </c>
      <c r="B4" s="34"/>
      <c r="C4" s="34"/>
      <c r="D4" s="34"/>
      <c r="E4" s="34"/>
      <c r="F4" s="34"/>
      <c r="G4" s="34"/>
      <c r="H4" s="34"/>
      <c r="AS4" s="130"/>
      <c r="AT4" s="5"/>
      <c r="AU4" s="28"/>
      <c r="AV4" s="5"/>
    </row>
    <row r="5" spans="1:48" s="77" customFormat="1" ht="16.5" customHeight="1" thickTop="1" x14ac:dyDescent="0.15">
      <c r="A5" s="308" t="s">
        <v>1</v>
      </c>
      <c r="B5" s="311" t="s">
        <v>2</v>
      </c>
      <c r="C5" s="311"/>
      <c r="D5" s="311" t="s">
        <v>0</v>
      </c>
      <c r="E5" s="314" t="s">
        <v>3</v>
      </c>
      <c r="F5" s="83" t="s">
        <v>61</v>
      </c>
      <c r="G5" s="83" t="s">
        <v>62</v>
      </c>
      <c r="H5" s="83" t="s">
        <v>72</v>
      </c>
      <c r="I5" s="342" t="s">
        <v>51</v>
      </c>
      <c r="J5" s="343"/>
      <c r="K5" s="343"/>
      <c r="L5" s="343"/>
      <c r="M5" s="343"/>
      <c r="N5" s="343"/>
      <c r="O5" s="343"/>
      <c r="P5" s="343"/>
      <c r="Q5" s="344" t="s">
        <v>50</v>
      </c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17" t="s">
        <v>4</v>
      </c>
      <c r="AO5" s="317"/>
      <c r="AP5" s="317"/>
      <c r="AQ5" s="318"/>
      <c r="AS5" s="131"/>
      <c r="AT5" s="78"/>
      <c r="AU5" s="79"/>
      <c r="AV5" s="78"/>
    </row>
    <row r="6" spans="1:48" s="77" customFormat="1" ht="16.5" customHeight="1" x14ac:dyDescent="0.15">
      <c r="A6" s="309"/>
      <c r="B6" s="312"/>
      <c r="C6" s="312"/>
      <c r="D6" s="312"/>
      <c r="E6" s="315"/>
      <c r="F6" s="84"/>
      <c r="G6" s="84"/>
      <c r="H6" s="84"/>
      <c r="I6" s="339" t="s">
        <v>48</v>
      </c>
      <c r="J6" s="340"/>
      <c r="K6" s="340"/>
      <c r="L6" s="341"/>
      <c r="M6" s="336" t="s">
        <v>49</v>
      </c>
      <c r="N6" s="334"/>
      <c r="O6" s="334"/>
      <c r="P6" s="335"/>
      <c r="Q6" s="338" t="s">
        <v>52</v>
      </c>
      <c r="R6" s="334"/>
      <c r="S6" s="334"/>
      <c r="T6" s="334"/>
      <c r="U6" s="335"/>
      <c r="V6" s="336" t="s">
        <v>53</v>
      </c>
      <c r="W6" s="334"/>
      <c r="X6" s="334"/>
      <c r="Y6" s="334"/>
      <c r="Z6" s="337"/>
      <c r="AA6" s="333" t="s">
        <v>54</v>
      </c>
      <c r="AB6" s="334"/>
      <c r="AC6" s="334"/>
      <c r="AD6" s="335"/>
      <c r="AE6" s="331" t="s">
        <v>55</v>
      </c>
      <c r="AF6" s="332"/>
      <c r="AG6" s="332"/>
      <c r="AH6" s="332"/>
      <c r="AI6" s="332"/>
      <c r="AJ6" s="336" t="s">
        <v>56</v>
      </c>
      <c r="AK6" s="334"/>
      <c r="AL6" s="334"/>
      <c r="AM6" s="337"/>
      <c r="AN6" s="319"/>
      <c r="AO6" s="320"/>
      <c r="AP6" s="320"/>
      <c r="AQ6" s="321"/>
      <c r="AS6" s="324" t="s">
        <v>9</v>
      </c>
      <c r="AT6" s="325" t="s">
        <v>6</v>
      </c>
      <c r="AU6" s="79" t="s">
        <v>7</v>
      </c>
      <c r="AV6" s="78"/>
    </row>
    <row r="7" spans="1:48" s="106" customFormat="1" ht="16.5" customHeight="1" x14ac:dyDescent="0.15">
      <c r="A7" s="309"/>
      <c r="B7" s="312"/>
      <c r="C7" s="312"/>
      <c r="D7" s="312"/>
      <c r="E7" s="315"/>
      <c r="F7" s="102"/>
      <c r="G7" s="102"/>
      <c r="H7" s="102"/>
      <c r="I7" s="120" t="s">
        <v>91</v>
      </c>
      <c r="J7" s="121" t="s">
        <v>92</v>
      </c>
      <c r="K7" s="121" t="s">
        <v>93</v>
      </c>
      <c r="L7" s="122" t="s">
        <v>94</v>
      </c>
      <c r="M7" s="120" t="s">
        <v>91</v>
      </c>
      <c r="N7" s="121" t="s">
        <v>92</v>
      </c>
      <c r="O7" s="121" t="s">
        <v>93</v>
      </c>
      <c r="P7" s="122" t="s">
        <v>94</v>
      </c>
      <c r="Q7" s="120" t="s">
        <v>91</v>
      </c>
      <c r="R7" s="121" t="s">
        <v>92</v>
      </c>
      <c r="S7" s="121" t="s">
        <v>93</v>
      </c>
      <c r="T7" s="123" t="s">
        <v>94</v>
      </c>
      <c r="U7" s="122" t="s">
        <v>95</v>
      </c>
      <c r="V7" s="104" t="s">
        <v>96</v>
      </c>
      <c r="W7" s="103" t="s">
        <v>97</v>
      </c>
      <c r="X7" s="329" t="s">
        <v>98</v>
      </c>
      <c r="Y7" s="330"/>
      <c r="Z7" s="105" t="s">
        <v>99</v>
      </c>
      <c r="AA7" s="120" t="s">
        <v>91</v>
      </c>
      <c r="AB7" s="121" t="s">
        <v>92</v>
      </c>
      <c r="AC7" s="121" t="s">
        <v>93</v>
      </c>
      <c r="AD7" s="122" t="s">
        <v>94</v>
      </c>
      <c r="AE7" s="120" t="s">
        <v>91</v>
      </c>
      <c r="AF7" s="121" t="s">
        <v>92</v>
      </c>
      <c r="AG7" s="121" t="s">
        <v>93</v>
      </c>
      <c r="AH7" s="123" t="s">
        <v>94</v>
      </c>
      <c r="AI7" s="124" t="s">
        <v>106</v>
      </c>
      <c r="AJ7" s="120" t="s">
        <v>91</v>
      </c>
      <c r="AK7" s="121" t="s">
        <v>92</v>
      </c>
      <c r="AL7" s="121" t="s">
        <v>93</v>
      </c>
      <c r="AM7" s="122" t="s">
        <v>94</v>
      </c>
      <c r="AN7" s="319"/>
      <c r="AO7" s="320"/>
      <c r="AP7" s="320"/>
      <c r="AQ7" s="321"/>
      <c r="AS7" s="324"/>
      <c r="AT7" s="325"/>
      <c r="AU7" s="107"/>
      <c r="AV7" s="108"/>
    </row>
    <row r="8" spans="1:48" s="106" customFormat="1" ht="16.5" customHeight="1" thickBot="1" x14ac:dyDescent="0.2">
      <c r="A8" s="310"/>
      <c r="B8" s="313"/>
      <c r="C8" s="313"/>
      <c r="D8" s="313"/>
      <c r="E8" s="316"/>
      <c r="F8" s="109"/>
      <c r="G8" s="109"/>
      <c r="H8" s="109"/>
      <c r="I8" s="110" t="s">
        <v>73</v>
      </c>
      <c r="J8" s="111" t="s">
        <v>74</v>
      </c>
      <c r="K8" s="111" t="s">
        <v>75</v>
      </c>
      <c r="L8" s="112" t="s">
        <v>76</v>
      </c>
      <c r="M8" s="113" t="s">
        <v>77</v>
      </c>
      <c r="N8" s="111" t="s">
        <v>78</v>
      </c>
      <c r="O8" s="111" t="s">
        <v>79</v>
      </c>
      <c r="P8" s="112" t="s">
        <v>80</v>
      </c>
      <c r="Q8" s="114" t="s">
        <v>81</v>
      </c>
      <c r="R8" s="115" t="s">
        <v>82</v>
      </c>
      <c r="S8" s="115" t="s">
        <v>83</v>
      </c>
      <c r="T8" s="115" t="s">
        <v>84</v>
      </c>
      <c r="U8" s="116" t="s">
        <v>85</v>
      </c>
      <c r="V8" s="117" t="s">
        <v>86</v>
      </c>
      <c r="W8" s="115" t="s">
        <v>87</v>
      </c>
      <c r="X8" s="115" t="s">
        <v>88</v>
      </c>
      <c r="Y8" s="115" t="s">
        <v>89</v>
      </c>
      <c r="Z8" s="118" t="s">
        <v>90</v>
      </c>
      <c r="AA8" s="119" t="s">
        <v>100</v>
      </c>
      <c r="AB8" s="115" t="s">
        <v>87</v>
      </c>
      <c r="AC8" s="115" t="s">
        <v>101</v>
      </c>
      <c r="AD8" s="116" t="s">
        <v>90</v>
      </c>
      <c r="AE8" s="117" t="s">
        <v>102</v>
      </c>
      <c r="AF8" s="115" t="s">
        <v>103</v>
      </c>
      <c r="AG8" s="115" t="s">
        <v>104</v>
      </c>
      <c r="AH8" s="116" t="s">
        <v>105</v>
      </c>
      <c r="AI8" s="118" t="s">
        <v>107</v>
      </c>
      <c r="AJ8" s="119" t="s">
        <v>108</v>
      </c>
      <c r="AK8" s="115" t="s">
        <v>109</v>
      </c>
      <c r="AL8" s="125" t="s">
        <v>110</v>
      </c>
      <c r="AM8" s="116" t="s">
        <v>111</v>
      </c>
      <c r="AN8" s="322"/>
      <c r="AO8" s="322"/>
      <c r="AP8" s="322"/>
      <c r="AQ8" s="323"/>
      <c r="AS8" s="324"/>
      <c r="AT8" s="325"/>
      <c r="AU8" s="107" t="s">
        <v>8</v>
      </c>
      <c r="AV8" s="108"/>
    </row>
    <row r="9" spans="1:48" s="4" customFormat="1" ht="16.5" customHeight="1" thickTop="1" thickBot="1" x14ac:dyDescent="0.2">
      <c r="A9" s="351" t="s">
        <v>14</v>
      </c>
      <c r="B9" s="348" t="s">
        <v>15</v>
      </c>
      <c r="C9" s="300" t="s">
        <v>16</v>
      </c>
      <c r="D9" s="326">
        <v>9041</v>
      </c>
      <c r="E9" s="328">
        <f>ROUND((D9)/$D$57*100,2)</f>
        <v>1.57</v>
      </c>
      <c r="F9" s="85"/>
      <c r="G9" s="93"/>
      <c r="H9" s="93"/>
      <c r="I9" s="136"/>
      <c r="J9" s="137"/>
      <c r="K9" s="137"/>
      <c r="L9" s="138"/>
      <c r="M9" s="139"/>
      <c r="N9" s="137"/>
      <c r="O9" s="137"/>
      <c r="P9" s="138"/>
      <c r="Q9" s="140"/>
      <c r="R9" s="137"/>
      <c r="S9" s="141"/>
      <c r="T9" s="141"/>
      <c r="U9" s="142"/>
      <c r="V9" s="143"/>
      <c r="W9" s="141"/>
      <c r="X9" s="144"/>
      <c r="Y9" s="141"/>
      <c r="Z9" s="145"/>
      <c r="AA9" s="146"/>
      <c r="AB9" s="141"/>
      <c r="AC9" s="141"/>
      <c r="AD9" s="142"/>
      <c r="AE9" s="143"/>
      <c r="AF9" s="141"/>
      <c r="AG9" s="141"/>
      <c r="AH9" s="142"/>
      <c r="AI9" s="145"/>
      <c r="AJ9" s="225"/>
      <c r="AK9" s="223"/>
      <c r="AL9" s="223"/>
      <c r="AM9" s="224"/>
      <c r="AN9" s="20"/>
      <c r="AO9" s="20"/>
      <c r="AP9" s="20"/>
      <c r="AQ9" s="21"/>
      <c r="AS9" s="132"/>
      <c r="AT9" s="41"/>
      <c r="AU9" s="40"/>
      <c r="AV9" s="5"/>
    </row>
    <row r="10" spans="1:48" s="4" customFormat="1" ht="16.5" customHeight="1" thickTop="1" x14ac:dyDescent="0.15">
      <c r="A10" s="352"/>
      <c r="B10" s="349"/>
      <c r="C10" s="304"/>
      <c r="D10" s="327"/>
      <c r="E10" s="262"/>
      <c r="F10" s="86"/>
      <c r="G10" s="94"/>
      <c r="H10" s="94"/>
      <c r="I10" s="147"/>
      <c r="J10" s="148"/>
      <c r="K10" s="148"/>
      <c r="L10" s="149"/>
      <c r="M10" s="150"/>
      <c r="N10" s="148"/>
      <c r="O10" s="151">
        <v>0.2</v>
      </c>
      <c r="P10" s="149"/>
      <c r="Q10" s="152"/>
      <c r="R10" s="151">
        <v>0.17</v>
      </c>
      <c r="S10" s="151">
        <v>0.17</v>
      </c>
      <c r="T10" s="151">
        <v>0.17</v>
      </c>
      <c r="U10" s="151">
        <v>0.17</v>
      </c>
      <c r="V10" s="151">
        <v>0.17</v>
      </c>
      <c r="W10" s="151">
        <v>0.17</v>
      </c>
      <c r="X10" s="153"/>
      <c r="Y10" s="151">
        <v>0.17</v>
      </c>
      <c r="Z10" s="151">
        <v>0.18</v>
      </c>
      <c r="AA10" s="154"/>
      <c r="AB10" s="155"/>
      <c r="AC10" s="155"/>
      <c r="AD10" s="156"/>
      <c r="AE10" s="157"/>
      <c r="AF10" s="155"/>
      <c r="AG10" s="155"/>
      <c r="AH10" s="156"/>
      <c r="AI10" s="158"/>
      <c r="AJ10" s="226"/>
      <c r="AK10" s="227"/>
      <c r="AL10" s="227"/>
      <c r="AM10" s="228"/>
      <c r="AN10" s="68"/>
      <c r="AO10" s="6"/>
      <c r="AP10" s="6"/>
      <c r="AQ10" s="9"/>
      <c r="AS10" s="134">
        <f>E9/9</f>
        <v>0.17444444444444446</v>
      </c>
      <c r="AT10" s="134">
        <f>SUM(I10:AM10)</f>
        <v>1.5699999999999998</v>
      </c>
      <c r="AU10" s="135">
        <f>E9-AT10</f>
        <v>0</v>
      </c>
      <c r="AV10" s="5"/>
    </row>
    <row r="11" spans="1:48" s="4" customFormat="1" ht="16.5" customHeight="1" thickBot="1" x14ac:dyDescent="0.2">
      <c r="A11" s="352"/>
      <c r="B11" s="349"/>
      <c r="C11" s="306" t="s">
        <v>17</v>
      </c>
      <c r="D11" s="280">
        <v>55454</v>
      </c>
      <c r="E11" s="262">
        <f t="shared" ref="E11" si="0">ROUND((D11)/$D$57*100,2)</f>
        <v>9.6199999999999992</v>
      </c>
      <c r="F11" s="87">
        <v>415.9</v>
      </c>
      <c r="G11" s="95" t="s">
        <v>63</v>
      </c>
      <c r="H11" s="95"/>
      <c r="I11" s="159"/>
      <c r="J11" s="160"/>
      <c r="K11" s="160"/>
      <c r="L11" s="161"/>
      <c r="M11" s="162"/>
      <c r="N11" s="160"/>
      <c r="O11" s="160"/>
      <c r="P11" s="163"/>
      <c r="Q11" s="164"/>
      <c r="R11" s="165"/>
      <c r="S11" s="165"/>
      <c r="T11" s="165"/>
      <c r="U11" s="163"/>
      <c r="V11" s="166"/>
      <c r="W11" s="165"/>
      <c r="X11" s="153"/>
      <c r="Y11" s="165"/>
      <c r="Z11" s="167"/>
      <c r="AA11" s="168"/>
      <c r="AB11" s="160"/>
      <c r="AC11" s="160"/>
      <c r="AD11" s="161"/>
      <c r="AE11" s="162"/>
      <c r="AF11" s="160"/>
      <c r="AG11" s="160"/>
      <c r="AH11" s="161"/>
      <c r="AI11" s="169"/>
      <c r="AJ11" s="237"/>
      <c r="AK11" s="220"/>
      <c r="AL11" s="220"/>
      <c r="AM11" s="191"/>
      <c r="AN11" s="68"/>
      <c r="AO11" s="6"/>
      <c r="AP11" s="7"/>
      <c r="AQ11" s="9"/>
      <c r="AS11" s="134"/>
      <c r="AT11" s="134"/>
      <c r="AU11" s="135"/>
      <c r="AV11" s="5"/>
    </row>
    <row r="12" spans="1:48" s="4" customFormat="1" ht="16.5" customHeight="1" thickTop="1" x14ac:dyDescent="0.15">
      <c r="A12" s="352"/>
      <c r="B12" s="349"/>
      <c r="C12" s="301"/>
      <c r="D12" s="261"/>
      <c r="E12" s="262"/>
      <c r="F12" s="88">
        <f>F11/18</f>
        <v>23.105555555555554</v>
      </c>
      <c r="G12" s="96" t="s">
        <v>60</v>
      </c>
      <c r="H12" s="96"/>
      <c r="I12" s="171"/>
      <c r="J12" s="155"/>
      <c r="K12" s="155"/>
      <c r="L12" s="156"/>
      <c r="M12" s="157"/>
      <c r="N12" s="155"/>
      <c r="O12" s="155"/>
      <c r="P12" s="172"/>
      <c r="Q12" s="173"/>
      <c r="R12" s="174">
        <v>0.3</v>
      </c>
      <c r="S12" s="174">
        <v>0.6</v>
      </c>
      <c r="T12" s="174">
        <v>0.8</v>
      </c>
      <c r="U12" s="175">
        <v>1.3</v>
      </c>
      <c r="V12" s="176">
        <v>1.5</v>
      </c>
      <c r="W12" s="177">
        <v>1.6</v>
      </c>
      <c r="X12" s="153"/>
      <c r="Y12" s="177">
        <v>1.7</v>
      </c>
      <c r="Z12" s="178">
        <v>1.82</v>
      </c>
      <c r="AA12" s="179"/>
      <c r="AB12" s="155"/>
      <c r="AC12" s="155"/>
      <c r="AD12" s="158"/>
      <c r="AE12" s="157"/>
      <c r="AF12" s="155"/>
      <c r="AG12" s="155"/>
      <c r="AH12" s="156"/>
      <c r="AI12" s="158"/>
      <c r="AJ12" s="226"/>
      <c r="AK12" s="227"/>
      <c r="AL12" s="227"/>
      <c r="AM12" s="228"/>
      <c r="AN12" s="68"/>
      <c r="AO12" s="6"/>
      <c r="AP12" s="6"/>
      <c r="AQ12" s="9"/>
      <c r="AS12" s="134">
        <f>E11/8</f>
        <v>1.2024999999999999</v>
      </c>
      <c r="AT12" s="134">
        <f>SUM(I12:AM12)</f>
        <v>9.6199999999999992</v>
      </c>
      <c r="AU12" s="135">
        <f t="shared" ref="AU12:AU58" si="1">E11-AT12</f>
        <v>0</v>
      </c>
      <c r="AV12" s="5"/>
    </row>
    <row r="13" spans="1:48" s="4" customFormat="1" ht="16.5" customHeight="1" thickBot="1" x14ac:dyDescent="0.2">
      <c r="A13" s="352"/>
      <c r="B13" s="349"/>
      <c r="C13" s="300" t="s">
        <v>18</v>
      </c>
      <c r="D13" s="260">
        <v>308</v>
      </c>
      <c r="E13" s="262">
        <f t="shared" ref="E13" si="2">ROUND((D13)/$D$57*100,2)</f>
        <v>0.05</v>
      </c>
      <c r="F13" s="87"/>
      <c r="G13" s="95"/>
      <c r="H13" s="95"/>
      <c r="I13" s="159"/>
      <c r="J13" s="160"/>
      <c r="K13" s="160"/>
      <c r="L13" s="161"/>
      <c r="M13" s="162"/>
      <c r="N13" s="160"/>
      <c r="O13" s="160"/>
      <c r="P13" s="163"/>
      <c r="Q13" s="164"/>
      <c r="R13" s="165"/>
      <c r="S13" s="165"/>
      <c r="T13" s="165"/>
      <c r="U13" s="163"/>
      <c r="V13" s="166"/>
      <c r="W13" s="165"/>
      <c r="X13" s="153"/>
      <c r="Y13" s="165"/>
      <c r="Z13" s="167"/>
      <c r="AA13" s="168"/>
      <c r="AB13" s="160"/>
      <c r="AC13" s="160"/>
      <c r="AD13" s="161"/>
      <c r="AE13" s="162"/>
      <c r="AF13" s="160"/>
      <c r="AG13" s="160"/>
      <c r="AH13" s="161"/>
      <c r="AI13" s="169"/>
      <c r="AJ13" s="237"/>
      <c r="AK13" s="220"/>
      <c r="AL13" s="220"/>
      <c r="AM13" s="191"/>
      <c r="AN13" s="68"/>
      <c r="AO13" s="6"/>
      <c r="AP13" s="6"/>
      <c r="AQ13" s="9"/>
      <c r="AS13" s="134"/>
      <c r="AT13" s="134"/>
      <c r="AU13" s="135"/>
      <c r="AV13" s="5"/>
    </row>
    <row r="14" spans="1:48" s="4" customFormat="1" ht="16.5" customHeight="1" thickTop="1" x14ac:dyDescent="0.15">
      <c r="A14" s="352"/>
      <c r="B14" s="349"/>
      <c r="C14" s="304"/>
      <c r="D14" s="305"/>
      <c r="E14" s="262"/>
      <c r="F14" s="88"/>
      <c r="G14" s="96"/>
      <c r="H14" s="96"/>
      <c r="I14" s="171"/>
      <c r="J14" s="155"/>
      <c r="K14" s="155"/>
      <c r="L14" s="156"/>
      <c r="M14" s="157"/>
      <c r="N14" s="155"/>
      <c r="O14" s="155"/>
      <c r="P14" s="172"/>
      <c r="Q14" s="173"/>
      <c r="R14" s="180"/>
      <c r="S14" s="180"/>
      <c r="T14" s="180"/>
      <c r="U14" s="181"/>
      <c r="V14" s="179"/>
      <c r="W14" s="182"/>
      <c r="X14" s="153"/>
      <c r="Y14" s="182"/>
      <c r="Z14" s="183"/>
      <c r="AA14" s="184"/>
      <c r="AB14" s="155"/>
      <c r="AC14" s="155"/>
      <c r="AD14" s="156"/>
      <c r="AE14" s="157"/>
      <c r="AF14" s="155"/>
      <c r="AG14" s="151">
        <v>0.05</v>
      </c>
      <c r="AH14" s="156"/>
      <c r="AI14" s="158"/>
      <c r="AJ14" s="226"/>
      <c r="AK14" s="227"/>
      <c r="AL14" s="227"/>
      <c r="AM14" s="228"/>
      <c r="AN14" s="68"/>
      <c r="AO14" s="6"/>
      <c r="AP14" s="6"/>
      <c r="AQ14" s="9"/>
      <c r="AS14" s="134">
        <f>E13/1</f>
        <v>0.05</v>
      </c>
      <c r="AT14" s="134">
        <f>SUM(I14:AM14)</f>
        <v>0.05</v>
      </c>
      <c r="AU14" s="135">
        <f t="shared" si="1"/>
        <v>0</v>
      </c>
      <c r="AV14" s="5"/>
    </row>
    <row r="15" spans="1:48" s="4" customFormat="1" ht="16.5" customHeight="1" thickBot="1" x14ac:dyDescent="0.2">
      <c r="A15" s="352"/>
      <c r="B15" s="349"/>
      <c r="C15" s="306" t="s">
        <v>19</v>
      </c>
      <c r="D15" s="280">
        <v>5101</v>
      </c>
      <c r="E15" s="262">
        <f t="shared" ref="E15" si="3">ROUND((D15)/$D$57*100,2)</f>
        <v>0.88</v>
      </c>
      <c r="F15" s="87"/>
      <c r="G15" s="95"/>
      <c r="H15" s="95"/>
      <c r="I15" s="159"/>
      <c r="J15" s="160"/>
      <c r="K15" s="160"/>
      <c r="L15" s="161"/>
      <c r="M15" s="162"/>
      <c r="N15" s="160"/>
      <c r="O15" s="160"/>
      <c r="P15" s="163"/>
      <c r="Q15" s="164"/>
      <c r="R15" s="165"/>
      <c r="S15" s="165"/>
      <c r="T15" s="165"/>
      <c r="U15" s="163"/>
      <c r="V15" s="166"/>
      <c r="W15" s="165"/>
      <c r="X15" s="153"/>
      <c r="Y15" s="165"/>
      <c r="Z15" s="167"/>
      <c r="AA15" s="168"/>
      <c r="AB15" s="160"/>
      <c r="AC15" s="160"/>
      <c r="AD15" s="161"/>
      <c r="AE15" s="162"/>
      <c r="AF15" s="160"/>
      <c r="AG15" s="160"/>
      <c r="AH15" s="161"/>
      <c r="AI15" s="169"/>
      <c r="AJ15" s="237"/>
      <c r="AK15" s="220"/>
      <c r="AL15" s="220"/>
      <c r="AM15" s="191"/>
      <c r="AN15" s="68"/>
      <c r="AO15" s="6"/>
      <c r="AP15" s="7"/>
      <c r="AQ15" s="9"/>
      <c r="AS15" s="134"/>
      <c r="AT15" s="134"/>
      <c r="AU15" s="135"/>
      <c r="AV15" s="303"/>
    </row>
    <row r="16" spans="1:48" s="4" customFormat="1" ht="16.5" customHeight="1" thickTop="1" x14ac:dyDescent="0.15">
      <c r="A16" s="352"/>
      <c r="B16" s="349"/>
      <c r="C16" s="301"/>
      <c r="D16" s="261"/>
      <c r="E16" s="262"/>
      <c r="F16" s="88"/>
      <c r="G16" s="96"/>
      <c r="H16" s="96"/>
      <c r="I16" s="171"/>
      <c r="J16" s="155"/>
      <c r="K16" s="155"/>
      <c r="L16" s="185">
        <v>0.1</v>
      </c>
      <c r="M16" s="185">
        <v>0.1</v>
      </c>
      <c r="N16" s="185">
        <v>0.2</v>
      </c>
      <c r="O16" s="185">
        <v>0.2</v>
      </c>
      <c r="P16" s="185">
        <v>0.28000000000000003</v>
      </c>
      <c r="Q16" s="173"/>
      <c r="R16" s="180"/>
      <c r="S16" s="180"/>
      <c r="T16" s="180"/>
      <c r="U16" s="181"/>
      <c r="V16" s="179"/>
      <c r="W16" s="182"/>
      <c r="X16" s="153"/>
      <c r="Y16" s="182"/>
      <c r="Z16" s="183"/>
      <c r="AA16" s="184"/>
      <c r="AB16" s="155"/>
      <c r="AC16" s="155"/>
      <c r="AD16" s="156"/>
      <c r="AE16" s="157"/>
      <c r="AF16" s="155"/>
      <c r="AG16" s="155"/>
      <c r="AH16" s="156"/>
      <c r="AI16" s="158"/>
      <c r="AJ16" s="226"/>
      <c r="AK16" s="227"/>
      <c r="AL16" s="227"/>
      <c r="AM16" s="228"/>
      <c r="AN16" s="68"/>
      <c r="AO16" s="6"/>
      <c r="AP16" s="6"/>
      <c r="AQ16" s="9"/>
      <c r="AS16" s="134">
        <f>E15/5</f>
        <v>0.17599999999999999</v>
      </c>
      <c r="AT16" s="134">
        <f>SUM(I16:AM16)</f>
        <v>0.88000000000000012</v>
      </c>
      <c r="AU16" s="135">
        <f t="shared" si="1"/>
        <v>0</v>
      </c>
      <c r="AV16" s="303"/>
    </row>
    <row r="17" spans="1:48" s="4" customFormat="1" ht="16.5" customHeight="1" thickBot="1" x14ac:dyDescent="0.2">
      <c r="A17" s="352"/>
      <c r="B17" s="349"/>
      <c r="C17" s="300" t="s">
        <v>20</v>
      </c>
      <c r="D17" s="260">
        <v>48485</v>
      </c>
      <c r="E17" s="262">
        <f t="shared" ref="E17" si="4">ROUND((D17)/$D$57*100,2)</f>
        <v>8.41</v>
      </c>
      <c r="F17" s="87"/>
      <c r="G17" s="95"/>
      <c r="H17" s="95"/>
      <c r="I17" s="159"/>
      <c r="J17" s="160"/>
      <c r="K17" s="160"/>
      <c r="L17" s="161"/>
      <c r="M17" s="162"/>
      <c r="N17" s="160"/>
      <c r="O17" s="160"/>
      <c r="P17" s="163"/>
      <c r="Q17" s="164"/>
      <c r="R17" s="165"/>
      <c r="S17" s="165"/>
      <c r="T17" s="165"/>
      <c r="U17" s="163"/>
      <c r="V17" s="166"/>
      <c r="W17" s="165"/>
      <c r="X17" s="153"/>
      <c r="Y17" s="165"/>
      <c r="Z17" s="167"/>
      <c r="AA17" s="168"/>
      <c r="AB17" s="160"/>
      <c r="AC17" s="160"/>
      <c r="AD17" s="161"/>
      <c r="AE17" s="162"/>
      <c r="AF17" s="160"/>
      <c r="AG17" s="160"/>
      <c r="AH17" s="161"/>
      <c r="AI17" s="169"/>
      <c r="AJ17" s="237"/>
      <c r="AK17" s="220"/>
      <c r="AL17" s="220"/>
      <c r="AM17" s="191"/>
      <c r="AN17" s="68"/>
      <c r="AO17" s="6"/>
      <c r="AP17" s="6"/>
      <c r="AQ17" s="9"/>
      <c r="AS17" s="134"/>
      <c r="AT17" s="134"/>
      <c r="AU17" s="135"/>
      <c r="AV17" s="5"/>
    </row>
    <row r="18" spans="1:48" s="4" customFormat="1" ht="16.5" customHeight="1" thickTop="1" x14ac:dyDescent="0.15">
      <c r="A18" s="352"/>
      <c r="B18" s="349"/>
      <c r="C18" s="304"/>
      <c r="D18" s="305"/>
      <c r="E18" s="262"/>
      <c r="F18" s="88"/>
      <c r="G18" s="96"/>
      <c r="H18" s="96"/>
      <c r="I18" s="171"/>
      <c r="J18" s="155"/>
      <c r="K18" s="155"/>
      <c r="L18" s="156"/>
      <c r="M18" s="157"/>
      <c r="N18" s="155"/>
      <c r="O18" s="155"/>
      <c r="P18" s="172"/>
      <c r="Q18" s="173"/>
      <c r="R18" s="180"/>
      <c r="S18" s="180"/>
      <c r="T18" s="180"/>
      <c r="U18" s="178">
        <v>1.4</v>
      </c>
      <c r="V18" s="177">
        <v>1.4</v>
      </c>
      <c r="W18" s="178">
        <v>1.4</v>
      </c>
      <c r="X18" s="187"/>
      <c r="Y18" s="177">
        <v>1.4</v>
      </c>
      <c r="Z18" s="178">
        <v>1.4</v>
      </c>
      <c r="AA18" s="178">
        <v>1.41</v>
      </c>
      <c r="AB18" s="155"/>
      <c r="AC18" s="155"/>
      <c r="AD18" s="158"/>
      <c r="AE18" s="157"/>
      <c r="AF18" s="155"/>
      <c r="AG18" s="155"/>
      <c r="AH18" s="156"/>
      <c r="AI18" s="158"/>
      <c r="AJ18" s="226"/>
      <c r="AK18" s="227"/>
      <c r="AL18" s="227"/>
      <c r="AM18" s="228"/>
      <c r="AN18" s="68"/>
      <c r="AO18" s="6"/>
      <c r="AP18" s="6"/>
      <c r="AQ18" s="9"/>
      <c r="AS18" s="134">
        <f>E17/6</f>
        <v>1.4016666666666666</v>
      </c>
      <c r="AT18" s="134">
        <f>SUM(I18:AM18)</f>
        <v>8.41</v>
      </c>
      <c r="AU18" s="135">
        <f t="shared" si="1"/>
        <v>0</v>
      </c>
      <c r="AV18" s="5"/>
    </row>
    <row r="19" spans="1:48" s="4" customFormat="1" ht="16.5" customHeight="1" thickBot="1" x14ac:dyDescent="0.2">
      <c r="A19" s="352"/>
      <c r="B19" s="349"/>
      <c r="C19" s="306" t="s">
        <v>21</v>
      </c>
      <c r="D19" s="280">
        <v>92759</v>
      </c>
      <c r="E19" s="262">
        <f t="shared" ref="E19" si="5">ROUND((D19)/$D$57*100,2)</f>
        <v>16.079999999999998</v>
      </c>
      <c r="F19" s="87"/>
      <c r="G19" s="95"/>
      <c r="H19" s="95"/>
      <c r="I19" s="159"/>
      <c r="J19" s="160"/>
      <c r="K19" s="160"/>
      <c r="L19" s="161"/>
      <c r="M19" s="162"/>
      <c r="N19" s="160"/>
      <c r="O19" s="160"/>
      <c r="P19" s="163"/>
      <c r="Q19" s="164"/>
      <c r="R19" s="165"/>
      <c r="S19" s="165"/>
      <c r="T19" s="165"/>
      <c r="U19" s="163"/>
      <c r="V19" s="166"/>
      <c r="W19" s="165"/>
      <c r="X19" s="187" t="s">
        <v>65</v>
      </c>
      <c r="Y19" s="165"/>
      <c r="Z19" s="167"/>
      <c r="AA19" s="168"/>
      <c r="AB19" s="160"/>
      <c r="AC19" s="160"/>
      <c r="AD19" s="161"/>
      <c r="AE19" s="162"/>
      <c r="AF19" s="160"/>
      <c r="AG19" s="160"/>
      <c r="AH19" s="161"/>
      <c r="AI19" s="169"/>
      <c r="AJ19" s="237"/>
      <c r="AK19" s="220"/>
      <c r="AL19" s="220"/>
      <c r="AM19" s="191"/>
      <c r="AN19" s="80"/>
      <c r="AO19" s="7"/>
      <c r="AP19" s="6"/>
      <c r="AQ19" s="9"/>
      <c r="AS19" s="134"/>
      <c r="AT19" s="134"/>
      <c r="AU19" s="135"/>
      <c r="AV19" s="5"/>
    </row>
    <row r="20" spans="1:48" s="4" customFormat="1" ht="16.5" customHeight="1" thickTop="1" x14ac:dyDescent="0.15">
      <c r="A20" s="352"/>
      <c r="B20" s="350"/>
      <c r="C20" s="301"/>
      <c r="D20" s="261"/>
      <c r="E20" s="262"/>
      <c r="F20" s="88"/>
      <c r="G20" s="96"/>
      <c r="H20" s="96"/>
      <c r="I20" s="171"/>
      <c r="J20" s="155"/>
      <c r="K20" s="155"/>
      <c r="L20" s="156"/>
      <c r="M20" s="157"/>
      <c r="N20" s="155"/>
      <c r="O20" s="155"/>
      <c r="P20" s="172"/>
      <c r="Q20" s="173"/>
      <c r="R20" s="180"/>
      <c r="S20" s="180"/>
      <c r="T20" s="174">
        <v>2.0099999999999998</v>
      </c>
      <c r="U20" s="194">
        <v>2.0099999999999998</v>
      </c>
      <c r="V20" s="221">
        <v>2.0099999999999998</v>
      </c>
      <c r="W20" s="174">
        <v>2.0099999999999998</v>
      </c>
      <c r="X20" s="187"/>
      <c r="Y20" s="177">
        <v>2.0099999999999998</v>
      </c>
      <c r="Z20" s="178">
        <v>2.0099999999999998</v>
      </c>
      <c r="AA20" s="196">
        <v>2.0099999999999998</v>
      </c>
      <c r="AB20" s="177">
        <v>2.0099999999999998</v>
      </c>
      <c r="AC20" s="155"/>
      <c r="AD20" s="158"/>
      <c r="AE20" s="157"/>
      <c r="AF20" s="155"/>
      <c r="AG20" s="155"/>
      <c r="AH20" s="156"/>
      <c r="AI20" s="158"/>
      <c r="AJ20" s="226"/>
      <c r="AK20" s="227"/>
      <c r="AL20" s="227"/>
      <c r="AM20" s="228"/>
      <c r="AN20" s="80"/>
      <c r="AO20" s="7"/>
      <c r="AP20" s="6"/>
      <c r="AQ20" s="9"/>
      <c r="AS20" s="134">
        <f>E19/8</f>
        <v>2.0099999999999998</v>
      </c>
      <c r="AT20" s="134">
        <f>SUM(I20:AM20)</f>
        <v>16.079999999999998</v>
      </c>
      <c r="AU20" s="135">
        <f t="shared" si="1"/>
        <v>0</v>
      </c>
      <c r="AV20" s="5"/>
    </row>
    <row r="21" spans="1:48" s="4" customFormat="1" ht="16.5" customHeight="1" thickBot="1" x14ac:dyDescent="0.2">
      <c r="A21" s="352"/>
      <c r="B21" s="302" t="s">
        <v>22</v>
      </c>
      <c r="C21" s="300" t="s">
        <v>23</v>
      </c>
      <c r="D21" s="260">
        <v>2451</v>
      </c>
      <c r="E21" s="262">
        <f t="shared" ref="E21" si="6">ROUND((D21)/$D$57*100,2)</f>
        <v>0.43</v>
      </c>
      <c r="F21" s="87"/>
      <c r="G21" s="95"/>
      <c r="H21" s="95"/>
      <c r="I21" s="159"/>
      <c r="J21" s="160"/>
      <c r="K21" s="160"/>
      <c r="L21" s="161"/>
      <c r="M21" s="162"/>
      <c r="N21" s="160"/>
      <c r="O21" s="160"/>
      <c r="P21" s="163"/>
      <c r="Q21" s="164"/>
      <c r="R21" s="165"/>
      <c r="S21" s="165"/>
      <c r="T21" s="165"/>
      <c r="U21" s="163"/>
      <c r="V21" s="166"/>
      <c r="W21" s="165"/>
      <c r="X21" s="187"/>
      <c r="Y21" s="165"/>
      <c r="Z21" s="167"/>
      <c r="AA21" s="168"/>
      <c r="AB21" s="160"/>
      <c r="AC21" s="160"/>
      <c r="AD21" s="161"/>
      <c r="AE21" s="162"/>
      <c r="AF21" s="160"/>
      <c r="AG21" s="160"/>
      <c r="AH21" s="161"/>
      <c r="AI21" s="169"/>
      <c r="AJ21" s="237"/>
      <c r="AK21" s="220"/>
      <c r="AL21" s="220"/>
      <c r="AM21" s="191"/>
      <c r="AN21" s="80"/>
      <c r="AO21" s="8"/>
      <c r="AP21" s="6"/>
      <c r="AQ21" s="9"/>
      <c r="AS21" s="134"/>
      <c r="AT21" s="134"/>
      <c r="AU21" s="135"/>
      <c r="AV21" s="5"/>
    </row>
    <row r="22" spans="1:48" s="4" customFormat="1" ht="16.5" customHeight="1" thickTop="1" x14ac:dyDescent="0.15">
      <c r="A22" s="352"/>
      <c r="B22" s="302"/>
      <c r="C22" s="301"/>
      <c r="D22" s="261"/>
      <c r="E22" s="262"/>
      <c r="F22" s="88"/>
      <c r="G22" s="96"/>
      <c r="H22" s="96"/>
      <c r="I22" s="171"/>
      <c r="J22" s="155"/>
      <c r="K22" s="155"/>
      <c r="L22" s="156"/>
      <c r="M22" s="157"/>
      <c r="N22" s="155"/>
      <c r="O22" s="155"/>
      <c r="P22" s="172"/>
      <c r="Q22" s="173"/>
      <c r="R22" s="180"/>
      <c r="S22" s="180"/>
      <c r="T22" s="180"/>
      <c r="U22" s="181"/>
      <c r="V22" s="179"/>
      <c r="W22" s="182"/>
      <c r="X22" s="187"/>
      <c r="Y22" s="222"/>
      <c r="Z22" s="183"/>
      <c r="AA22" s="184"/>
      <c r="AB22" s="155"/>
      <c r="AC22" s="155"/>
      <c r="AD22" s="188">
        <v>0.43</v>
      </c>
      <c r="AE22" s="157"/>
      <c r="AF22" s="155"/>
      <c r="AG22" s="155"/>
      <c r="AH22" s="156"/>
      <c r="AI22" s="158"/>
      <c r="AJ22" s="226"/>
      <c r="AK22" s="227"/>
      <c r="AL22" s="227"/>
      <c r="AM22" s="228"/>
      <c r="AN22" s="68"/>
      <c r="AO22" s="22"/>
      <c r="AP22" s="6"/>
      <c r="AQ22" s="9"/>
      <c r="AS22" s="134">
        <f>E21/1</f>
        <v>0.43</v>
      </c>
      <c r="AT22" s="134">
        <f>SUM(I22:AM22)</f>
        <v>0.43</v>
      </c>
      <c r="AU22" s="135">
        <f t="shared" si="1"/>
        <v>0</v>
      </c>
      <c r="AV22" s="5"/>
    </row>
    <row r="23" spans="1:48" s="4" customFormat="1" ht="16.5" customHeight="1" thickBot="1" x14ac:dyDescent="0.2">
      <c r="A23" s="354" t="s">
        <v>24</v>
      </c>
      <c r="B23" s="353" t="s">
        <v>25</v>
      </c>
      <c r="C23" s="300" t="s">
        <v>26</v>
      </c>
      <c r="D23" s="260">
        <v>86138</v>
      </c>
      <c r="E23" s="262">
        <f t="shared" ref="E23" si="7">ROUND((D23)/$D$57*100,2)</f>
        <v>14.94</v>
      </c>
      <c r="F23" s="87">
        <v>1631.28</v>
      </c>
      <c r="G23" s="95" t="s">
        <v>59</v>
      </c>
      <c r="H23" s="95" t="s">
        <v>70</v>
      </c>
      <c r="I23" s="231"/>
      <c r="J23" s="220"/>
      <c r="K23" s="220"/>
      <c r="L23" s="191"/>
      <c r="M23" s="190"/>
      <c r="N23" s="220"/>
      <c r="O23" s="220"/>
      <c r="P23" s="232"/>
      <c r="Q23" s="233"/>
      <c r="R23" s="234"/>
      <c r="S23" s="234"/>
      <c r="T23" s="234"/>
      <c r="U23" s="232"/>
      <c r="V23" s="235"/>
      <c r="W23" s="234"/>
      <c r="X23" s="245"/>
      <c r="Y23" s="220" t="s">
        <v>57</v>
      </c>
      <c r="Z23" s="192"/>
      <c r="AA23" s="236"/>
      <c r="AB23" s="220"/>
      <c r="AC23" s="220" t="s">
        <v>64</v>
      </c>
      <c r="AD23" s="191"/>
      <c r="AE23" s="190"/>
      <c r="AF23" s="220"/>
      <c r="AG23" s="220"/>
      <c r="AH23" s="191"/>
      <c r="AI23" s="192"/>
      <c r="AJ23" s="237"/>
      <c r="AK23" s="220"/>
      <c r="AL23" s="220"/>
      <c r="AM23" s="191"/>
      <c r="AN23" s="68"/>
      <c r="AO23" s="22"/>
      <c r="AP23" s="6"/>
      <c r="AQ23" s="9"/>
      <c r="AS23" s="134"/>
      <c r="AT23" s="134"/>
      <c r="AU23" s="135"/>
      <c r="AV23" s="5"/>
    </row>
    <row r="24" spans="1:48" s="4" customFormat="1" ht="16.5" customHeight="1" thickTop="1" x14ac:dyDescent="0.15">
      <c r="A24" s="352"/>
      <c r="B24" s="349"/>
      <c r="C24" s="301"/>
      <c r="D24" s="261"/>
      <c r="E24" s="262"/>
      <c r="F24" s="88"/>
      <c r="G24" s="96"/>
      <c r="H24" s="96" t="s">
        <v>71</v>
      </c>
      <c r="I24" s="238"/>
      <c r="J24" s="227"/>
      <c r="K24" s="227"/>
      <c r="L24" s="228"/>
      <c r="M24" s="229"/>
      <c r="N24" s="227"/>
      <c r="O24" s="227"/>
      <c r="P24" s="239"/>
      <c r="Q24" s="240"/>
      <c r="R24" s="241"/>
      <c r="S24" s="241"/>
      <c r="T24" s="241"/>
      <c r="U24" s="242"/>
      <c r="V24" s="179"/>
      <c r="W24" s="177">
        <v>2</v>
      </c>
      <c r="X24" s="187"/>
      <c r="Y24" s="177">
        <v>1</v>
      </c>
      <c r="Z24" s="178">
        <v>2</v>
      </c>
      <c r="AA24" s="184"/>
      <c r="AB24" s="155"/>
      <c r="AC24" s="151">
        <v>3</v>
      </c>
      <c r="AD24" s="188">
        <v>3.5</v>
      </c>
      <c r="AE24" s="186">
        <v>3.44</v>
      </c>
      <c r="AF24" s="189"/>
      <c r="AG24" s="246"/>
      <c r="AH24" s="228"/>
      <c r="AI24" s="230"/>
      <c r="AJ24" s="226"/>
      <c r="AK24" s="227"/>
      <c r="AL24" s="227"/>
      <c r="AM24" s="228"/>
      <c r="AN24" s="80"/>
      <c r="AO24" s="8"/>
      <c r="AP24" s="6"/>
      <c r="AQ24" s="9"/>
      <c r="AS24" s="134">
        <f>E23/6</f>
        <v>2.4899999999999998</v>
      </c>
      <c r="AT24" s="134">
        <f>SUM(I24:AM24)</f>
        <v>14.94</v>
      </c>
      <c r="AU24" s="135">
        <f t="shared" si="1"/>
        <v>0</v>
      </c>
      <c r="AV24" s="5"/>
    </row>
    <row r="25" spans="1:48" s="4" customFormat="1" ht="16.5" customHeight="1" thickBot="1" x14ac:dyDescent="0.2">
      <c r="A25" s="352"/>
      <c r="B25" s="349"/>
      <c r="C25" s="302" t="s">
        <v>27</v>
      </c>
      <c r="D25" s="260">
        <v>26588</v>
      </c>
      <c r="E25" s="262">
        <f t="shared" ref="E25" si="8">ROUND((D25)/$D$57*100,2)</f>
        <v>4.6100000000000003</v>
      </c>
      <c r="F25" s="87"/>
      <c r="G25" s="95"/>
      <c r="H25" s="95"/>
      <c r="I25" s="231"/>
      <c r="J25" s="220"/>
      <c r="K25" s="220"/>
      <c r="L25" s="191"/>
      <c r="M25" s="190"/>
      <c r="N25" s="220"/>
      <c r="O25" s="220"/>
      <c r="P25" s="232"/>
      <c r="Q25" s="233"/>
      <c r="R25" s="234"/>
      <c r="S25" s="234"/>
      <c r="T25" s="234"/>
      <c r="U25" s="232"/>
      <c r="V25" s="247" t="s">
        <v>58</v>
      </c>
      <c r="W25" s="220"/>
      <c r="X25" s="245"/>
      <c r="Y25" s="191"/>
      <c r="Z25" s="192"/>
      <c r="AA25" s="190" t="s">
        <v>69</v>
      </c>
      <c r="AB25" s="220"/>
      <c r="AC25" s="220"/>
      <c r="AD25" s="191"/>
      <c r="AE25" s="190"/>
      <c r="AF25" s="220"/>
      <c r="AG25" s="220"/>
      <c r="AH25" s="191"/>
      <c r="AI25" s="192"/>
      <c r="AJ25" s="237"/>
      <c r="AK25" s="220"/>
      <c r="AL25" s="220"/>
      <c r="AM25" s="191"/>
      <c r="AN25" s="68"/>
      <c r="AO25" s="22"/>
      <c r="AP25" s="7"/>
      <c r="AQ25" s="9"/>
      <c r="AS25" s="134"/>
      <c r="AT25" s="134"/>
      <c r="AU25" s="135"/>
      <c r="AV25" s="5"/>
    </row>
    <row r="26" spans="1:48" s="4" customFormat="1" ht="16.5" customHeight="1" thickTop="1" x14ac:dyDescent="0.15">
      <c r="A26" s="352"/>
      <c r="B26" s="350"/>
      <c r="C26" s="302"/>
      <c r="D26" s="261"/>
      <c r="E26" s="262"/>
      <c r="F26" s="88"/>
      <c r="G26" s="96"/>
      <c r="H26" s="96"/>
      <c r="I26" s="238"/>
      <c r="J26" s="227"/>
      <c r="K26" s="227"/>
      <c r="L26" s="228"/>
      <c r="M26" s="229"/>
      <c r="N26" s="227"/>
      <c r="O26" s="227"/>
      <c r="P26" s="239"/>
      <c r="Q26" s="240"/>
      <c r="R26" s="241"/>
      <c r="S26" s="241"/>
      <c r="T26" s="241"/>
      <c r="U26" s="242"/>
      <c r="V26" s="176">
        <v>0.5</v>
      </c>
      <c r="W26" s="177">
        <v>0.8</v>
      </c>
      <c r="X26" s="245" t="s">
        <v>66</v>
      </c>
      <c r="Y26" s="243"/>
      <c r="Z26" s="244"/>
      <c r="AA26" s="186">
        <v>1.31</v>
      </c>
      <c r="AB26" s="151">
        <v>2</v>
      </c>
      <c r="AC26" s="227"/>
      <c r="AD26" s="230"/>
      <c r="AE26" s="229"/>
      <c r="AF26" s="227"/>
      <c r="AG26" s="227"/>
      <c r="AH26" s="228"/>
      <c r="AI26" s="230"/>
      <c r="AJ26" s="226"/>
      <c r="AK26" s="227"/>
      <c r="AL26" s="227"/>
      <c r="AM26" s="228"/>
      <c r="AN26" s="80"/>
      <c r="AO26" s="7"/>
      <c r="AP26" s="7"/>
      <c r="AQ26" s="9"/>
      <c r="AS26" s="134">
        <f>E25/4</f>
        <v>1.1525000000000001</v>
      </c>
      <c r="AT26" s="134">
        <f>SUM(I26:AM26)</f>
        <v>4.6100000000000003</v>
      </c>
      <c r="AU26" s="135">
        <f t="shared" si="1"/>
        <v>0</v>
      </c>
      <c r="AV26" s="5"/>
    </row>
    <row r="27" spans="1:48" s="4" customFormat="1" ht="16.5" customHeight="1" thickBot="1" x14ac:dyDescent="0.2">
      <c r="A27" s="352"/>
      <c r="B27" s="296" t="s">
        <v>28</v>
      </c>
      <c r="C27" s="297"/>
      <c r="D27" s="260">
        <v>22773</v>
      </c>
      <c r="E27" s="262">
        <f t="shared" ref="E27" si="9">ROUND((D27)/$D$57*100,2)</f>
        <v>3.95</v>
      </c>
      <c r="F27" s="263" t="s">
        <v>115</v>
      </c>
      <c r="G27" s="264"/>
      <c r="H27" s="95"/>
      <c r="I27" s="159"/>
      <c r="J27" s="160"/>
      <c r="K27" s="160"/>
      <c r="L27" s="161"/>
      <c r="M27" s="162"/>
      <c r="N27" s="160"/>
      <c r="O27" s="160"/>
      <c r="P27" s="163"/>
      <c r="Q27" s="164"/>
      <c r="R27" s="165"/>
      <c r="S27" s="165"/>
      <c r="T27" s="165"/>
      <c r="U27" s="163"/>
      <c r="V27" s="166"/>
      <c r="W27" s="165"/>
      <c r="X27" s="187"/>
      <c r="Y27" s="165"/>
      <c r="Z27" s="167"/>
      <c r="AA27" s="168"/>
      <c r="AB27" s="160"/>
      <c r="AC27" s="160"/>
      <c r="AD27" s="161"/>
      <c r="AE27" s="162"/>
      <c r="AF27" s="160"/>
      <c r="AG27" s="160"/>
      <c r="AH27" s="161"/>
      <c r="AI27" s="169"/>
      <c r="AJ27" s="170"/>
      <c r="AK27" s="160"/>
      <c r="AL27" s="160"/>
      <c r="AM27" s="161"/>
      <c r="AN27" s="68"/>
      <c r="AO27" s="6"/>
      <c r="AP27" s="7"/>
      <c r="AQ27" s="9"/>
      <c r="AS27" s="134"/>
      <c r="AT27" s="134"/>
      <c r="AU27" s="135"/>
      <c r="AV27" s="5"/>
    </row>
    <row r="28" spans="1:48" s="4" customFormat="1" ht="16.5" customHeight="1" thickTop="1" x14ac:dyDescent="0.15">
      <c r="A28" s="355"/>
      <c r="B28" s="298"/>
      <c r="C28" s="299"/>
      <c r="D28" s="261"/>
      <c r="E28" s="262"/>
      <c r="F28" s="265" t="s">
        <v>116</v>
      </c>
      <c r="G28" s="266"/>
      <c r="H28" s="96"/>
      <c r="I28" s="171"/>
      <c r="J28" s="155"/>
      <c r="K28" s="155"/>
      <c r="L28" s="156"/>
      <c r="M28" s="157"/>
      <c r="N28" s="155"/>
      <c r="O28" s="155"/>
      <c r="P28" s="172"/>
      <c r="Q28" s="173"/>
      <c r="R28" s="180"/>
      <c r="S28" s="180"/>
      <c r="T28" s="180"/>
      <c r="U28" s="181"/>
      <c r="V28" s="179"/>
      <c r="W28" s="182"/>
      <c r="X28" s="187"/>
      <c r="Y28" s="182"/>
      <c r="Z28" s="183"/>
      <c r="AA28" s="184"/>
      <c r="AB28" s="155"/>
      <c r="AC28" s="155"/>
      <c r="AD28" s="156"/>
      <c r="AE28" s="186">
        <v>1.97</v>
      </c>
      <c r="AF28" s="151">
        <v>1.98</v>
      </c>
      <c r="AG28" s="155"/>
      <c r="AH28" s="156"/>
      <c r="AI28" s="158"/>
      <c r="AJ28" s="154"/>
      <c r="AK28" s="155"/>
      <c r="AL28" s="155"/>
      <c r="AM28" s="156"/>
      <c r="AN28" s="68"/>
      <c r="AO28" s="6"/>
      <c r="AP28" s="6"/>
      <c r="AQ28" s="9"/>
      <c r="AS28" s="134">
        <f>E27/2</f>
        <v>1.9750000000000001</v>
      </c>
      <c r="AT28" s="134">
        <f>SUM(I28:AM28)</f>
        <v>3.95</v>
      </c>
      <c r="AU28" s="135">
        <f t="shared" si="1"/>
        <v>0</v>
      </c>
      <c r="AV28" s="5"/>
    </row>
    <row r="29" spans="1:48" s="4" customFormat="1" ht="16.5" customHeight="1" thickBot="1" x14ac:dyDescent="0.2">
      <c r="A29" s="352" t="s">
        <v>29</v>
      </c>
      <c r="B29" s="302" t="s">
        <v>30</v>
      </c>
      <c r="C29" s="300" t="s">
        <v>31</v>
      </c>
      <c r="D29" s="260">
        <v>3413</v>
      </c>
      <c r="E29" s="262">
        <f t="shared" ref="E29" si="10">ROUND((D29)/$D$57*100,2)</f>
        <v>0.59</v>
      </c>
      <c r="F29" s="95" t="s">
        <v>112</v>
      </c>
      <c r="G29" s="267" t="s">
        <v>122</v>
      </c>
      <c r="H29" s="95"/>
      <c r="I29" s="159"/>
      <c r="J29" s="160"/>
      <c r="K29" s="160"/>
      <c r="L29" s="161"/>
      <c r="M29" s="162"/>
      <c r="N29" s="160"/>
      <c r="O29" s="160"/>
      <c r="P29" s="163"/>
      <c r="Q29" s="164"/>
      <c r="R29" s="165"/>
      <c r="S29" s="165"/>
      <c r="T29" s="165"/>
      <c r="U29" s="163"/>
      <c r="V29" s="166"/>
      <c r="W29" s="165"/>
      <c r="X29" s="187"/>
      <c r="Y29" s="165"/>
      <c r="Z29" s="167"/>
      <c r="AA29" s="168"/>
      <c r="AB29" s="160"/>
      <c r="AC29" s="160"/>
      <c r="AD29" s="161"/>
      <c r="AE29" s="162"/>
      <c r="AF29" s="160"/>
      <c r="AG29" s="160"/>
      <c r="AH29" s="161"/>
      <c r="AI29" s="169"/>
      <c r="AJ29" s="170"/>
      <c r="AK29" s="160"/>
      <c r="AL29" s="160"/>
      <c r="AM29" s="161"/>
      <c r="AN29" s="68"/>
      <c r="AO29" s="6"/>
      <c r="AP29" s="6"/>
      <c r="AQ29" s="9"/>
      <c r="AS29" s="134"/>
      <c r="AT29" s="134"/>
      <c r="AU29" s="135"/>
      <c r="AV29" s="5"/>
    </row>
    <row r="30" spans="1:48" s="4" customFormat="1" ht="16.5" customHeight="1" thickTop="1" x14ac:dyDescent="0.15">
      <c r="A30" s="352"/>
      <c r="B30" s="302"/>
      <c r="C30" s="301"/>
      <c r="D30" s="261"/>
      <c r="E30" s="262"/>
      <c r="F30" s="96"/>
      <c r="G30" s="268"/>
      <c r="H30" s="96"/>
      <c r="I30" s="171"/>
      <c r="J30" s="155"/>
      <c r="K30" s="155"/>
      <c r="L30" s="156"/>
      <c r="M30" s="157"/>
      <c r="N30" s="155"/>
      <c r="O30" s="155"/>
      <c r="P30" s="172"/>
      <c r="Q30" s="173"/>
      <c r="R30" s="180"/>
      <c r="S30" s="180"/>
      <c r="T30" s="180"/>
      <c r="U30" s="181"/>
      <c r="V30" s="179"/>
      <c r="W30" s="182"/>
      <c r="X30" s="187"/>
      <c r="Y30" s="182"/>
      <c r="Z30" s="183"/>
      <c r="AA30" s="184"/>
      <c r="AB30" s="155"/>
      <c r="AC30" s="155"/>
      <c r="AD30" s="156"/>
      <c r="AE30" s="157"/>
      <c r="AF30" s="155"/>
      <c r="AG30" s="155"/>
      <c r="AH30" s="151">
        <v>0.59</v>
      </c>
      <c r="AI30" s="158"/>
      <c r="AJ30" s="154"/>
      <c r="AK30" s="155"/>
      <c r="AL30" s="155"/>
      <c r="AM30" s="156"/>
      <c r="AN30" s="80"/>
      <c r="AO30" s="7"/>
      <c r="AP30" s="7"/>
      <c r="AQ30" s="9"/>
      <c r="AS30" s="134">
        <f>E29/1</f>
        <v>0.59</v>
      </c>
      <c r="AT30" s="134">
        <f>SUM(I30:AM30)</f>
        <v>0.59</v>
      </c>
      <c r="AU30" s="135">
        <f t="shared" si="1"/>
        <v>0</v>
      </c>
      <c r="AV30" s="5"/>
    </row>
    <row r="31" spans="1:48" s="4" customFormat="1" ht="16.5" customHeight="1" thickBot="1" x14ac:dyDescent="0.2">
      <c r="A31" s="352"/>
      <c r="B31" s="302"/>
      <c r="C31" s="300" t="s">
        <v>32</v>
      </c>
      <c r="D31" s="260">
        <v>12965</v>
      </c>
      <c r="E31" s="262">
        <f t="shared" ref="E31" si="11">ROUND((D31)/$D$57*100,2)</f>
        <v>2.25</v>
      </c>
      <c r="F31" s="95" t="s">
        <v>113</v>
      </c>
      <c r="G31" s="268"/>
      <c r="H31" s="95"/>
      <c r="I31" s="159"/>
      <c r="J31" s="160"/>
      <c r="K31" s="160"/>
      <c r="L31" s="161"/>
      <c r="M31" s="162"/>
      <c r="N31" s="160"/>
      <c r="O31" s="160"/>
      <c r="P31" s="163"/>
      <c r="Q31" s="164"/>
      <c r="R31" s="165"/>
      <c r="S31" s="165"/>
      <c r="T31" s="165"/>
      <c r="U31" s="163"/>
      <c r="V31" s="166"/>
      <c r="W31" s="165"/>
      <c r="X31" s="187"/>
      <c r="Y31" s="165"/>
      <c r="Z31" s="167"/>
      <c r="AA31" s="168"/>
      <c r="AB31" s="160"/>
      <c r="AC31" s="160"/>
      <c r="AD31" s="161"/>
      <c r="AE31" s="162"/>
      <c r="AF31" s="160"/>
      <c r="AG31" s="160"/>
      <c r="AH31" s="161"/>
      <c r="AI31" s="169"/>
      <c r="AJ31" s="170"/>
      <c r="AK31" s="160"/>
      <c r="AL31" s="160"/>
      <c r="AM31" s="161"/>
      <c r="AN31" s="68"/>
      <c r="AO31" s="6"/>
      <c r="AQ31" s="9"/>
      <c r="AS31" s="134"/>
      <c r="AT31" s="134"/>
      <c r="AU31" s="135"/>
      <c r="AV31" s="5"/>
    </row>
    <row r="32" spans="1:48" s="4" customFormat="1" ht="16.5" customHeight="1" thickTop="1" x14ac:dyDescent="0.15">
      <c r="A32" s="352"/>
      <c r="B32" s="302"/>
      <c r="C32" s="301"/>
      <c r="D32" s="261"/>
      <c r="E32" s="262"/>
      <c r="F32" s="96"/>
      <c r="G32" s="268"/>
      <c r="H32" s="96"/>
      <c r="I32" s="171"/>
      <c r="J32" s="155"/>
      <c r="K32" s="155"/>
      <c r="L32" s="156"/>
      <c r="M32" s="157"/>
      <c r="N32" s="155"/>
      <c r="O32" s="155"/>
      <c r="P32" s="172"/>
      <c r="Q32" s="173"/>
      <c r="R32" s="180"/>
      <c r="S32" s="180"/>
      <c r="T32" s="180"/>
      <c r="U32" s="181"/>
      <c r="V32" s="179"/>
      <c r="W32" s="182"/>
      <c r="X32" s="187"/>
      <c r="Y32" s="182"/>
      <c r="Z32" s="183"/>
      <c r="AA32" s="184"/>
      <c r="AB32" s="155"/>
      <c r="AC32" s="155"/>
      <c r="AD32" s="156"/>
      <c r="AE32" s="157"/>
      <c r="AF32" s="155"/>
      <c r="AG32" s="151">
        <v>2.25</v>
      </c>
      <c r="AH32" s="155"/>
      <c r="AI32" s="158"/>
      <c r="AJ32" s="154"/>
      <c r="AK32" s="155"/>
      <c r="AL32" s="155"/>
      <c r="AM32" s="156"/>
      <c r="AN32" s="68"/>
      <c r="AO32" s="6"/>
      <c r="AP32" s="6"/>
      <c r="AQ32" s="9"/>
      <c r="AS32" s="134">
        <f>E31/1</f>
        <v>2.25</v>
      </c>
      <c r="AT32" s="134">
        <f>SUM(I32:AM32)</f>
        <v>2.25</v>
      </c>
      <c r="AU32" s="135">
        <f t="shared" si="1"/>
        <v>0</v>
      </c>
      <c r="AV32" s="5"/>
    </row>
    <row r="33" spans="1:48" s="4" customFormat="1" ht="16.5" customHeight="1" thickBot="1" x14ac:dyDescent="0.2">
      <c r="A33" s="352"/>
      <c r="B33" s="302"/>
      <c r="C33" s="300" t="s">
        <v>33</v>
      </c>
      <c r="D33" s="260">
        <v>300</v>
      </c>
      <c r="E33" s="262">
        <f t="shared" ref="E33" si="12">ROUND((D33)/$D$57*100,2)</f>
        <v>0.05</v>
      </c>
      <c r="F33" s="95" t="s">
        <v>114</v>
      </c>
      <c r="G33" s="268"/>
      <c r="H33" s="95"/>
      <c r="I33" s="159"/>
      <c r="J33" s="160"/>
      <c r="K33" s="160"/>
      <c r="L33" s="161"/>
      <c r="M33" s="162"/>
      <c r="N33" s="160"/>
      <c r="O33" s="160"/>
      <c r="P33" s="163"/>
      <c r="Q33" s="164"/>
      <c r="R33" s="165"/>
      <c r="S33" s="165"/>
      <c r="T33" s="165"/>
      <c r="U33" s="163"/>
      <c r="V33" s="166"/>
      <c r="W33" s="165"/>
      <c r="X33" s="187" t="s">
        <v>67</v>
      </c>
      <c r="Y33" s="165"/>
      <c r="Z33" s="167"/>
      <c r="AA33" s="168"/>
      <c r="AB33" s="160"/>
      <c r="AC33" s="160"/>
      <c r="AD33" s="161"/>
      <c r="AE33" s="162"/>
      <c r="AF33" s="160"/>
      <c r="AG33" s="160"/>
      <c r="AH33" s="161"/>
      <c r="AI33" s="169"/>
      <c r="AJ33" s="170"/>
      <c r="AK33" s="160"/>
      <c r="AL33" s="160"/>
      <c r="AM33" s="161"/>
      <c r="AN33" s="68"/>
      <c r="AO33" s="6"/>
      <c r="AP33" s="6"/>
      <c r="AQ33" s="9"/>
      <c r="AS33" s="134"/>
      <c r="AT33" s="134"/>
      <c r="AU33" s="135"/>
      <c r="AV33" s="5"/>
    </row>
    <row r="34" spans="1:48" s="4" customFormat="1" ht="16.5" customHeight="1" thickTop="1" x14ac:dyDescent="0.15">
      <c r="A34" s="352"/>
      <c r="B34" s="302"/>
      <c r="C34" s="301"/>
      <c r="D34" s="261"/>
      <c r="E34" s="262"/>
      <c r="F34" s="96"/>
      <c r="G34" s="269"/>
      <c r="H34" s="96"/>
      <c r="I34" s="171"/>
      <c r="J34" s="155"/>
      <c r="K34" s="155"/>
      <c r="L34" s="156"/>
      <c r="M34" s="157"/>
      <c r="N34" s="155"/>
      <c r="O34" s="155"/>
      <c r="P34" s="172"/>
      <c r="Q34" s="173"/>
      <c r="R34" s="180"/>
      <c r="S34" s="180"/>
      <c r="T34" s="180"/>
      <c r="U34" s="181"/>
      <c r="V34" s="179"/>
      <c r="W34" s="182"/>
      <c r="X34" s="187"/>
      <c r="Y34" s="182"/>
      <c r="Z34" s="183"/>
      <c r="AA34" s="184"/>
      <c r="AB34" s="155"/>
      <c r="AC34" s="155"/>
      <c r="AD34" s="156"/>
      <c r="AE34" s="157"/>
      <c r="AF34" s="155"/>
      <c r="AG34" s="155"/>
      <c r="AH34" s="151">
        <v>0.05</v>
      </c>
      <c r="AI34" s="158"/>
      <c r="AJ34" s="154"/>
      <c r="AK34" s="155"/>
      <c r="AL34" s="155"/>
      <c r="AM34" s="156"/>
      <c r="AN34" s="68"/>
      <c r="AO34" s="6"/>
      <c r="AP34" s="6"/>
      <c r="AQ34" s="9"/>
      <c r="AS34" s="134">
        <f>E33/1</f>
        <v>0.05</v>
      </c>
      <c r="AT34" s="134">
        <f>SUM(I34:AM34)</f>
        <v>0.05</v>
      </c>
      <c r="AU34" s="135">
        <f t="shared" si="1"/>
        <v>0</v>
      </c>
      <c r="AV34" s="5"/>
    </row>
    <row r="35" spans="1:48" s="4" customFormat="1" ht="16.5" customHeight="1" thickBot="1" x14ac:dyDescent="0.2">
      <c r="A35" s="356" t="s">
        <v>34</v>
      </c>
      <c r="B35" s="296" t="s">
        <v>47</v>
      </c>
      <c r="C35" s="297"/>
      <c r="D35" s="260">
        <v>8154</v>
      </c>
      <c r="E35" s="262">
        <f t="shared" ref="E35" si="13">ROUND((D35)/$D$57*100,2)</f>
        <v>1.41</v>
      </c>
      <c r="F35" s="263" t="s">
        <v>117</v>
      </c>
      <c r="G35" s="264"/>
      <c r="H35" s="95"/>
      <c r="I35" s="159"/>
      <c r="J35" s="160"/>
      <c r="K35" s="160"/>
      <c r="L35" s="161"/>
      <c r="M35" s="162"/>
      <c r="N35" s="160"/>
      <c r="O35" s="160"/>
      <c r="P35" s="163"/>
      <c r="Q35" s="164"/>
      <c r="R35" s="165"/>
      <c r="S35" s="165"/>
      <c r="T35" s="165"/>
      <c r="U35" s="163"/>
      <c r="V35" s="166"/>
      <c r="W35" s="165"/>
      <c r="X35" s="187"/>
      <c r="Y35" s="165"/>
      <c r="Z35" s="167"/>
      <c r="AA35" s="168"/>
      <c r="AB35" s="160"/>
      <c r="AC35" s="160"/>
      <c r="AD35" s="161"/>
      <c r="AE35" s="162"/>
      <c r="AF35" s="160"/>
      <c r="AG35" s="160"/>
      <c r="AH35" s="161"/>
      <c r="AI35" s="169"/>
      <c r="AJ35" s="170"/>
      <c r="AK35" s="160"/>
      <c r="AL35" s="160"/>
      <c r="AM35" s="161"/>
      <c r="AN35" s="80"/>
      <c r="AO35" s="7"/>
      <c r="AP35" s="7"/>
      <c r="AQ35" s="9"/>
      <c r="AS35" s="134"/>
      <c r="AT35" s="134"/>
      <c r="AU35" s="135"/>
      <c r="AV35" s="5"/>
    </row>
    <row r="36" spans="1:48" s="4" customFormat="1" ht="16.5" customHeight="1" thickTop="1" x14ac:dyDescent="0.15">
      <c r="A36" s="357"/>
      <c r="B36" s="298"/>
      <c r="C36" s="299"/>
      <c r="D36" s="261"/>
      <c r="E36" s="262"/>
      <c r="F36" s="265" t="s">
        <v>118</v>
      </c>
      <c r="G36" s="266"/>
      <c r="H36" s="96"/>
      <c r="I36" s="171"/>
      <c r="J36" s="155"/>
      <c r="K36" s="155"/>
      <c r="L36" s="156"/>
      <c r="M36" s="157"/>
      <c r="N36" s="155"/>
      <c r="O36" s="155"/>
      <c r="P36" s="172"/>
      <c r="Q36" s="173"/>
      <c r="R36" s="180"/>
      <c r="S36" s="180"/>
      <c r="T36" s="180"/>
      <c r="U36" s="181"/>
      <c r="V36" s="179"/>
      <c r="W36" s="182"/>
      <c r="X36" s="187"/>
      <c r="Y36" s="182"/>
      <c r="Z36" s="183"/>
      <c r="AA36" s="184"/>
      <c r="AB36" s="155"/>
      <c r="AC36" s="155"/>
      <c r="AD36" s="156"/>
      <c r="AE36" s="157"/>
      <c r="AF36" s="155"/>
      <c r="AG36" s="155"/>
      <c r="AH36" s="185">
        <v>0.7</v>
      </c>
      <c r="AI36" s="188">
        <v>0.71</v>
      </c>
      <c r="AJ36" s="193"/>
      <c r="AK36" s="155"/>
      <c r="AL36" s="155"/>
      <c r="AM36" s="156"/>
      <c r="AN36" s="80"/>
      <c r="AO36" s="7"/>
      <c r="AP36" s="6"/>
      <c r="AQ36" s="9"/>
      <c r="AS36" s="134">
        <f>E35/2</f>
        <v>0.70499999999999996</v>
      </c>
      <c r="AT36" s="134">
        <f>SUM(I36:AM36)</f>
        <v>1.41</v>
      </c>
      <c r="AU36" s="135">
        <f t="shared" si="1"/>
        <v>0</v>
      </c>
      <c r="AV36" s="5"/>
    </row>
    <row r="37" spans="1:48" s="4" customFormat="1" ht="16.5" customHeight="1" thickBot="1" x14ac:dyDescent="0.2">
      <c r="A37" s="357"/>
      <c r="B37" s="296" t="s">
        <v>35</v>
      </c>
      <c r="C37" s="297"/>
      <c r="D37" s="260">
        <v>4362</v>
      </c>
      <c r="E37" s="262">
        <f t="shared" ref="E37" si="14">ROUND((D37)/$D$57*100,2)</f>
        <v>0.76</v>
      </c>
      <c r="F37" s="126" t="s">
        <v>119</v>
      </c>
      <c r="G37" s="127" t="s">
        <v>120</v>
      </c>
      <c r="H37" s="95"/>
      <c r="I37" s="159"/>
      <c r="J37" s="160"/>
      <c r="K37" s="160"/>
      <c r="L37" s="161"/>
      <c r="M37" s="162"/>
      <c r="N37" s="160"/>
      <c r="O37" s="160"/>
      <c r="P37" s="163"/>
      <c r="Q37" s="164"/>
      <c r="R37" s="165"/>
      <c r="S37" s="165"/>
      <c r="T37" s="165"/>
      <c r="U37" s="163"/>
      <c r="V37" s="166"/>
      <c r="W37" s="165"/>
      <c r="X37" s="187"/>
      <c r="Y37" s="165"/>
      <c r="Z37" s="167"/>
      <c r="AA37" s="168"/>
      <c r="AB37" s="160"/>
      <c r="AC37" s="160"/>
      <c r="AD37" s="161"/>
      <c r="AE37" s="162"/>
      <c r="AF37" s="160"/>
      <c r="AG37" s="160"/>
      <c r="AH37" s="161"/>
      <c r="AI37" s="169"/>
      <c r="AJ37" s="170"/>
      <c r="AK37" s="160"/>
      <c r="AL37" s="160"/>
      <c r="AM37" s="161"/>
      <c r="AN37" s="68"/>
      <c r="AO37" s="6"/>
      <c r="AQ37" s="9"/>
      <c r="AS37" s="134"/>
      <c r="AT37" s="134"/>
      <c r="AU37" s="135"/>
      <c r="AV37" s="5"/>
    </row>
    <row r="38" spans="1:48" s="4" customFormat="1" ht="16.5" customHeight="1" thickTop="1" x14ac:dyDescent="0.15">
      <c r="A38" s="358"/>
      <c r="B38" s="298"/>
      <c r="C38" s="299"/>
      <c r="D38" s="261"/>
      <c r="E38" s="262"/>
      <c r="F38" s="265" t="s">
        <v>121</v>
      </c>
      <c r="G38" s="266"/>
      <c r="H38" s="96"/>
      <c r="I38" s="171"/>
      <c r="J38" s="155"/>
      <c r="K38" s="155"/>
      <c r="L38" s="156"/>
      <c r="M38" s="157"/>
      <c r="N38" s="155"/>
      <c r="O38" s="155"/>
      <c r="P38" s="172"/>
      <c r="Q38" s="173"/>
      <c r="R38" s="180"/>
      <c r="S38" s="180"/>
      <c r="T38" s="180"/>
      <c r="U38" s="181"/>
      <c r="V38" s="179"/>
      <c r="W38" s="182"/>
      <c r="X38" s="187"/>
      <c r="Y38" s="182"/>
      <c r="Z38" s="183"/>
      <c r="AA38" s="184"/>
      <c r="AB38" s="155"/>
      <c r="AC38" s="155"/>
      <c r="AD38" s="156"/>
      <c r="AE38" s="157"/>
      <c r="AF38" s="155"/>
      <c r="AG38" s="155"/>
      <c r="AH38" s="156"/>
      <c r="AI38" s="158"/>
      <c r="AJ38" s="157"/>
      <c r="AK38" s="151">
        <v>0.76</v>
      </c>
      <c r="AL38" s="155"/>
      <c r="AM38" s="156"/>
      <c r="AN38" s="68"/>
      <c r="AO38" s="6"/>
      <c r="AP38" s="6"/>
      <c r="AQ38" s="9"/>
      <c r="AS38" s="134">
        <f>E37/1</f>
        <v>0.76</v>
      </c>
      <c r="AT38" s="134">
        <f>SUM(I38:AM38)</f>
        <v>0.76</v>
      </c>
      <c r="AU38" s="135">
        <f t="shared" si="1"/>
        <v>0</v>
      </c>
      <c r="AV38" s="5"/>
    </row>
    <row r="39" spans="1:48" s="4" customFormat="1" ht="16.5" customHeight="1" thickBot="1" x14ac:dyDescent="0.2">
      <c r="A39" s="357" t="s">
        <v>36</v>
      </c>
      <c r="B39" s="296" t="s">
        <v>37</v>
      </c>
      <c r="C39" s="297"/>
      <c r="D39" s="260">
        <v>1791</v>
      </c>
      <c r="E39" s="262">
        <f t="shared" ref="E39" si="15">ROUND((D39)/$D$57*100,2)</f>
        <v>0.31</v>
      </c>
      <c r="F39" s="87"/>
      <c r="G39" s="95"/>
      <c r="H39" s="95"/>
      <c r="I39" s="159"/>
      <c r="J39" s="160"/>
      <c r="K39" s="160"/>
      <c r="L39" s="169"/>
      <c r="M39" s="162"/>
      <c r="N39" s="160"/>
      <c r="O39" s="160"/>
      <c r="P39" s="161"/>
      <c r="Q39" s="164"/>
      <c r="R39" s="165"/>
      <c r="S39" s="165"/>
      <c r="T39" s="165"/>
      <c r="U39" s="163"/>
      <c r="V39" s="166"/>
      <c r="W39" s="165"/>
      <c r="X39" s="187"/>
      <c r="Y39" s="165"/>
      <c r="Z39" s="167"/>
      <c r="AA39" s="168"/>
      <c r="AB39" s="160"/>
      <c r="AC39" s="160"/>
      <c r="AD39" s="161"/>
      <c r="AE39" s="162"/>
      <c r="AF39" s="160"/>
      <c r="AG39" s="160"/>
      <c r="AH39" s="161"/>
      <c r="AI39" s="169"/>
      <c r="AJ39" s="170"/>
      <c r="AK39" s="160"/>
      <c r="AL39" s="160"/>
      <c r="AM39" s="161"/>
      <c r="AN39" s="68"/>
      <c r="AO39" s="6"/>
      <c r="AP39" s="6"/>
      <c r="AQ39" s="9"/>
      <c r="AS39" s="134"/>
      <c r="AT39" s="134"/>
      <c r="AU39" s="135"/>
      <c r="AV39" s="5"/>
    </row>
    <row r="40" spans="1:48" s="4" customFormat="1" ht="16.5" customHeight="1" thickTop="1" x14ac:dyDescent="0.15">
      <c r="A40" s="357"/>
      <c r="B40" s="298"/>
      <c r="C40" s="299"/>
      <c r="D40" s="261"/>
      <c r="E40" s="262"/>
      <c r="F40" s="88"/>
      <c r="G40" s="96"/>
      <c r="H40" s="96"/>
      <c r="I40" s="171"/>
      <c r="J40" s="155"/>
      <c r="K40" s="155"/>
      <c r="L40" s="158"/>
      <c r="M40" s="157"/>
      <c r="N40" s="151">
        <v>0.2</v>
      </c>
      <c r="O40" s="155"/>
      <c r="P40" s="249"/>
      <c r="Q40" s="173"/>
      <c r="R40" s="180"/>
      <c r="S40" s="180"/>
      <c r="T40" s="180"/>
      <c r="U40" s="181"/>
      <c r="V40" s="179"/>
      <c r="W40" s="182"/>
      <c r="X40" s="187" t="s">
        <v>68</v>
      </c>
      <c r="Y40" s="182"/>
      <c r="Z40" s="183"/>
      <c r="AA40" s="184"/>
      <c r="AB40" s="155"/>
      <c r="AC40" s="155"/>
      <c r="AD40" s="156"/>
      <c r="AE40" s="186">
        <v>0.11</v>
      </c>
      <c r="AF40" s="155"/>
      <c r="AG40" s="155"/>
      <c r="AH40" s="156"/>
      <c r="AI40" s="158"/>
      <c r="AJ40" s="154"/>
      <c r="AK40" s="155"/>
      <c r="AL40" s="155"/>
      <c r="AM40" s="156"/>
      <c r="AN40" s="80"/>
      <c r="AO40" s="7"/>
      <c r="AP40" s="6"/>
      <c r="AQ40" s="9"/>
      <c r="AS40" s="134">
        <f>E39/2</f>
        <v>0.155</v>
      </c>
      <c r="AT40" s="134">
        <f>SUM(I40:AM40)</f>
        <v>0.31</v>
      </c>
      <c r="AU40" s="135">
        <f t="shared" si="1"/>
        <v>0</v>
      </c>
      <c r="AV40" s="5"/>
    </row>
    <row r="41" spans="1:48" s="4" customFormat="1" ht="16.5" customHeight="1" thickBot="1" x14ac:dyDescent="0.2">
      <c r="A41" s="357"/>
      <c r="B41" s="296" t="s">
        <v>38</v>
      </c>
      <c r="C41" s="297"/>
      <c r="D41" s="260">
        <v>121</v>
      </c>
      <c r="E41" s="262">
        <f t="shared" ref="E41" si="16">ROUND((D41)/$D$57*100,2)</f>
        <v>0.02</v>
      </c>
      <c r="F41" s="87"/>
      <c r="G41" s="95"/>
      <c r="H41" s="95"/>
      <c r="I41" s="159"/>
      <c r="J41" s="160"/>
      <c r="K41" s="160"/>
      <c r="L41" s="161"/>
      <c r="M41" s="162"/>
      <c r="N41" s="160"/>
      <c r="O41" s="160"/>
      <c r="P41" s="163"/>
      <c r="Q41" s="164"/>
      <c r="R41" s="165"/>
      <c r="S41" s="165"/>
      <c r="T41" s="165"/>
      <c r="U41" s="163"/>
      <c r="V41" s="166"/>
      <c r="W41" s="165"/>
      <c r="X41" s="187"/>
      <c r="Y41" s="165"/>
      <c r="Z41" s="167"/>
      <c r="AA41" s="168"/>
      <c r="AB41" s="160"/>
      <c r="AC41" s="160"/>
      <c r="AD41" s="161"/>
      <c r="AE41" s="162"/>
      <c r="AF41" s="160"/>
      <c r="AG41" s="160"/>
      <c r="AH41" s="161"/>
      <c r="AI41" s="169"/>
      <c r="AJ41" s="170"/>
      <c r="AK41" s="160"/>
      <c r="AL41" s="160"/>
      <c r="AM41" s="161"/>
      <c r="AN41" s="80"/>
      <c r="AO41" s="7"/>
      <c r="AP41" s="7"/>
      <c r="AQ41" s="9"/>
      <c r="AS41" s="134"/>
      <c r="AT41" s="134"/>
      <c r="AU41" s="135"/>
      <c r="AV41" s="5"/>
    </row>
    <row r="42" spans="1:48" s="4" customFormat="1" ht="16.5" customHeight="1" thickTop="1" x14ac:dyDescent="0.15">
      <c r="A42" s="357"/>
      <c r="B42" s="298"/>
      <c r="C42" s="299"/>
      <c r="D42" s="261"/>
      <c r="E42" s="262"/>
      <c r="F42" s="88"/>
      <c r="G42" s="96"/>
      <c r="H42" s="96"/>
      <c r="I42" s="171"/>
      <c r="J42" s="155"/>
      <c r="K42" s="155"/>
      <c r="L42" s="156"/>
      <c r="M42" s="186">
        <v>0.01</v>
      </c>
      <c r="N42" s="155"/>
      <c r="O42" s="155"/>
      <c r="P42" s="172"/>
      <c r="Q42" s="173"/>
      <c r="R42" s="180"/>
      <c r="S42" s="180"/>
      <c r="T42" s="180"/>
      <c r="U42" s="181"/>
      <c r="V42" s="179"/>
      <c r="W42" s="182"/>
      <c r="X42" s="187"/>
      <c r="Y42" s="182"/>
      <c r="Z42" s="183"/>
      <c r="AA42" s="184"/>
      <c r="AB42" s="155"/>
      <c r="AC42" s="155"/>
      <c r="AD42" s="156"/>
      <c r="AE42" s="157"/>
      <c r="AF42" s="155"/>
      <c r="AG42" s="155"/>
      <c r="AH42" s="156"/>
      <c r="AI42" s="158"/>
      <c r="AJ42" s="154"/>
      <c r="AK42" s="151">
        <v>0.01</v>
      </c>
      <c r="AL42" s="155"/>
      <c r="AM42" s="156"/>
      <c r="AN42" s="68"/>
      <c r="AO42" s="6"/>
      <c r="AP42" s="6"/>
      <c r="AQ42" s="9"/>
      <c r="AS42" s="134">
        <f>E41/2</f>
        <v>0.01</v>
      </c>
      <c r="AT42" s="134">
        <f>SUM(I42:AM42)</f>
        <v>0.02</v>
      </c>
      <c r="AU42" s="135">
        <f t="shared" si="1"/>
        <v>0</v>
      </c>
      <c r="AV42" s="5"/>
    </row>
    <row r="43" spans="1:48" s="4" customFormat="1" ht="16.5" customHeight="1" thickBot="1" x14ac:dyDescent="0.2">
      <c r="A43" s="357"/>
      <c r="B43" s="296" t="s">
        <v>39</v>
      </c>
      <c r="C43" s="297"/>
      <c r="D43" s="260">
        <v>10490</v>
      </c>
      <c r="E43" s="262">
        <f t="shared" ref="E43" si="17">ROUND((D43)/$D$57*100,2)</f>
        <v>1.82</v>
      </c>
      <c r="F43" s="87"/>
      <c r="G43" s="95"/>
      <c r="H43" s="95"/>
      <c r="I43" s="159"/>
      <c r="J43" s="160"/>
      <c r="K43" s="160"/>
      <c r="L43" s="169"/>
      <c r="M43" s="162"/>
      <c r="N43" s="160"/>
      <c r="O43" s="160"/>
      <c r="P43" s="161"/>
      <c r="Q43" s="164"/>
      <c r="R43" s="165"/>
      <c r="S43" s="165"/>
      <c r="T43" s="165"/>
      <c r="U43" s="163"/>
      <c r="V43" s="166"/>
      <c r="W43" s="165"/>
      <c r="X43" s="187"/>
      <c r="Y43" s="165"/>
      <c r="Z43" s="167"/>
      <c r="AA43" s="168"/>
      <c r="AB43" s="160"/>
      <c r="AC43" s="160"/>
      <c r="AD43" s="161"/>
      <c r="AE43" s="162"/>
      <c r="AF43" s="160"/>
      <c r="AG43" s="160"/>
      <c r="AH43" s="161"/>
      <c r="AI43" s="169"/>
      <c r="AJ43" s="170"/>
      <c r="AK43" s="160"/>
      <c r="AL43" s="160"/>
      <c r="AM43" s="161"/>
      <c r="AN43" s="68"/>
      <c r="AO43" s="6"/>
      <c r="AP43" s="6"/>
      <c r="AQ43" s="9"/>
      <c r="AS43" s="134"/>
      <c r="AT43" s="134"/>
      <c r="AU43" s="135"/>
      <c r="AV43" s="5"/>
    </row>
    <row r="44" spans="1:48" s="4" customFormat="1" ht="16.5" customHeight="1" thickTop="1" x14ac:dyDescent="0.15">
      <c r="A44" s="357"/>
      <c r="B44" s="298"/>
      <c r="C44" s="299"/>
      <c r="D44" s="261"/>
      <c r="E44" s="262"/>
      <c r="F44" s="88"/>
      <c r="G44" s="96"/>
      <c r="H44" s="96"/>
      <c r="I44" s="171"/>
      <c r="J44" s="155"/>
      <c r="K44" s="155"/>
      <c r="L44" s="158"/>
      <c r="M44" s="157"/>
      <c r="N44" s="155"/>
      <c r="O44" s="155"/>
      <c r="P44" s="185">
        <v>1</v>
      </c>
      <c r="Q44" s="173"/>
      <c r="R44" s="180"/>
      <c r="S44" s="180"/>
      <c r="T44" s="180"/>
      <c r="U44" s="181"/>
      <c r="V44" s="179"/>
      <c r="W44" s="182"/>
      <c r="X44" s="187"/>
      <c r="Y44" s="182"/>
      <c r="Z44" s="183"/>
      <c r="AA44" s="184"/>
      <c r="AB44" s="155"/>
      <c r="AC44" s="155"/>
      <c r="AD44" s="156"/>
      <c r="AE44" s="157"/>
      <c r="AF44" s="155"/>
      <c r="AG44" s="151">
        <v>0.82</v>
      </c>
      <c r="AH44" s="156"/>
      <c r="AI44" s="158"/>
      <c r="AJ44" s="154"/>
      <c r="AK44" s="155"/>
      <c r="AL44" s="155"/>
      <c r="AM44" s="156"/>
      <c r="AN44" s="68"/>
      <c r="AO44" s="6"/>
      <c r="AP44" s="6"/>
      <c r="AQ44" s="9"/>
      <c r="AS44" s="134">
        <f>E43/2</f>
        <v>0.91</v>
      </c>
      <c r="AT44" s="134">
        <f>SUM(I44:AM44)</f>
        <v>1.8199999999999998</v>
      </c>
      <c r="AU44" s="135">
        <f t="shared" si="1"/>
        <v>0</v>
      </c>
      <c r="AV44" s="5"/>
    </row>
    <row r="45" spans="1:48" s="4" customFormat="1" ht="16.5" customHeight="1" thickBot="1" x14ac:dyDescent="0.2">
      <c r="A45" s="357"/>
      <c r="B45" s="296" t="s">
        <v>40</v>
      </c>
      <c r="C45" s="297"/>
      <c r="D45" s="260">
        <v>5658</v>
      </c>
      <c r="E45" s="262">
        <f t="shared" ref="E45" si="18">ROUND((D45)/$D$57*100,2)</f>
        <v>0.98</v>
      </c>
      <c r="F45" s="87"/>
      <c r="G45" s="95"/>
      <c r="H45" s="95"/>
      <c r="I45" s="159"/>
      <c r="J45" s="160"/>
      <c r="K45" s="160"/>
      <c r="L45" s="161"/>
      <c r="M45" s="162"/>
      <c r="N45" s="160"/>
      <c r="O45" s="160"/>
      <c r="P45" s="163"/>
      <c r="Q45" s="164"/>
      <c r="R45" s="165"/>
      <c r="S45" s="165"/>
      <c r="T45" s="165"/>
      <c r="U45" s="163"/>
      <c r="V45" s="166"/>
      <c r="W45" s="165"/>
      <c r="X45" s="153"/>
      <c r="Y45" s="165"/>
      <c r="Z45" s="167"/>
      <c r="AA45" s="168"/>
      <c r="AB45" s="160"/>
      <c r="AC45" s="160"/>
      <c r="AD45" s="161"/>
      <c r="AE45" s="162"/>
      <c r="AF45" s="160"/>
      <c r="AG45" s="160"/>
      <c r="AH45" s="161"/>
      <c r="AI45" s="169"/>
      <c r="AJ45" s="170"/>
      <c r="AK45" s="160"/>
      <c r="AL45" s="160"/>
      <c r="AM45" s="161"/>
      <c r="AN45" s="80"/>
      <c r="AO45" s="7"/>
      <c r="AP45" s="7"/>
      <c r="AQ45" s="9"/>
      <c r="AS45" s="134"/>
      <c r="AT45" s="134"/>
      <c r="AU45" s="135"/>
      <c r="AV45" s="5"/>
    </row>
    <row r="46" spans="1:48" s="4" customFormat="1" ht="16.5" customHeight="1" thickTop="1" x14ac:dyDescent="0.15">
      <c r="A46" s="357"/>
      <c r="B46" s="298"/>
      <c r="C46" s="299"/>
      <c r="D46" s="261"/>
      <c r="E46" s="262"/>
      <c r="F46" s="88"/>
      <c r="G46" s="96"/>
      <c r="H46" s="96"/>
      <c r="I46" s="171"/>
      <c r="J46" s="155"/>
      <c r="K46" s="155"/>
      <c r="L46" s="156"/>
      <c r="M46" s="157"/>
      <c r="N46" s="155"/>
      <c r="O46" s="155"/>
      <c r="P46" s="194">
        <v>7.0000000000000007E-2</v>
      </c>
      <c r="Q46" s="195">
        <v>7.0000000000000007E-2</v>
      </c>
      <c r="R46" s="174">
        <v>7.0000000000000007E-2</v>
      </c>
      <c r="S46" s="174">
        <v>7.0000000000000007E-2</v>
      </c>
      <c r="T46" s="174">
        <v>7.0000000000000007E-2</v>
      </c>
      <c r="U46" s="175">
        <v>7.0000000000000007E-2</v>
      </c>
      <c r="V46" s="176">
        <v>7.0000000000000007E-2</v>
      </c>
      <c r="W46" s="177">
        <v>7.0000000000000007E-2</v>
      </c>
      <c r="X46" s="153"/>
      <c r="Y46" s="177">
        <v>7.0000000000000007E-2</v>
      </c>
      <c r="Z46" s="178">
        <v>7.0000000000000007E-2</v>
      </c>
      <c r="AA46" s="196">
        <v>7.0000000000000007E-2</v>
      </c>
      <c r="AB46" s="151">
        <v>7.0000000000000007E-2</v>
      </c>
      <c r="AC46" s="151">
        <v>7.0000000000000007E-2</v>
      </c>
      <c r="AD46" s="188">
        <v>7.0000000000000007E-2</v>
      </c>
      <c r="AE46" s="157"/>
      <c r="AF46" s="155"/>
      <c r="AG46" s="155"/>
      <c r="AH46" s="156"/>
      <c r="AI46" s="158"/>
      <c r="AJ46" s="154"/>
      <c r="AK46" s="155"/>
      <c r="AL46" s="155"/>
      <c r="AM46" s="156"/>
      <c r="AN46" s="80"/>
      <c r="AO46" s="7"/>
      <c r="AP46" s="6"/>
      <c r="AQ46" s="9"/>
      <c r="AS46" s="134">
        <f>E45/14</f>
        <v>6.9999999999999993E-2</v>
      </c>
      <c r="AT46" s="134">
        <f>SUM(I46:AM46)</f>
        <v>0.98000000000000043</v>
      </c>
      <c r="AU46" s="135">
        <f t="shared" si="1"/>
        <v>0</v>
      </c>
      <c r="AV46" s="5"/>
    </row>
    <row r="47" spans="1:48" s="4" customFormat="1" ht="16.5" customHeight="1" thickBot="1" x14ac:dyDescent="0.2">
      <c r="A47" s="357"/>
      <c r="B47" s="296" t="s">
        <v>41</v>
      </c>
      <c r="C47" s="297"/>
      <c r="D47" s="260">
        <v>106791</v>
      </c>
      <c r="E47" s="262">
        <f t="shared" ref="E47" si="19">ROUND((D47)/$D$57*100,2)</f>
        <v>18.52</v>
      </c>
      <c r="F47" s="87"/>
      <c r="G47" s="95"/>
      <c r="H47" s="95"/>
      <c r="I47" s="159"/>
      <c r="J47" s="160"/>
      <c r="K47" s="160"/>
      <c r="L47" s="161"/>
      <c r="M47" s="162"/>
      <c r="N47" s="160"/>
      <c r="O47" s="160"/>
      <c r="P47" s="163"/>
      <c r="Q47" s="164"/>
      <c r="R47" s="165"/>
      <c r="S47" s="165"/>
      <c r="T47" s="165"/>
      <c r="U47" s="163"/>
      <c r="V47" s="166"/>
      <c r="W47" s="165"/>
      <c r="X47" s="153"/>
      <c r="Y47" s="165"/>
      <c r="Z47" s="167"/>
      <c r="AA47" s="168"/>
      <c r="AB47" s="160"/>
      <c r="AC47" s="160"/>
      <c r="AD47" s="161"/>
      <c r="AE47" s="162"/>
      <c r="AF47" s="160"/>
      <c r="AG47" s="160"/>
      <c r="AH47" s="161"/>
      <c r="AI47" s="169"/>
      <c r="AJ47" s="170"/>
      <c r="AK47" s="160"/>
      <c r="AL47" s="160"/>
      <c r="AM47" s="161"/>
      <c r="AN47" s="68"/>
      <c r="AO47" s="6"/>
      <c r="AQ47" s="9"/>
      <c r="AS47" s="134"/>
      <c r="AT47" s="134"/>
      <c r="AU47" s="135"/>
      <c r="AV47" s="5"/>
    </row>
    <row r="48" spans="1:48" s="4" customFormat="1" ht="16.5" customHeight="1" thickTop="1" x14ac:dyDescent="0.15">
      <c r="A48" s="357"/>
      <c r="B48" s="298"/>
      <c r="C48" s="299"/>
      <c r="D48" s="261"/>
      <c r="E48" s="262"/>
      <c r="F48" s="88"/>
      <c r="G48" s="96"/>
      <c r="H48" s="96"/>
      <c r="I48" s="171"/>
      <c r="J48" s="155"/>
      <c r="K48" s="155"/>
      <c r="L48" s="156"/>
      <c r="M48" s="157"/>
      <c r="N48" s="151">
        <v>0.3</v>
      </c>
      <c r="O48" s="151">
        <v>0.4</v>
      </c>
      <c r="P48" s="194">
        <v>0.5</v>
      </c>
      <c r="Q48" s="195">
        <v>0.6</v>
      </c>
      <c r="R48" s="174">
        <v>0.7</v>
      </c>
      <c r="S48" s="174">
        <v>0.7</v>
      </c>
      <c r="T48" s="174">
        <v>0.8</v>
      </c>
      <c r="U48" s="175">
        <v>0.9</v>
      </c>
      <c r="V48" s="176">
        <v>1</v>
      </c>
      <c r="W48" s="177">
        <v>1.1000000000000001</v>
      </c>
      <c r="X48" s="153"/>
      <c r="Y48" s="177">
        <v>1.1000000000000001</v>
      </c>
      <c r="Z48" s="178">
        <v>1.1000000000000001</v>
      </c>
      <c r="AA48" s="196">
        <v>1.2</v>
      </c>
      <c r="AB48" s="151">
        <v>1.3</v>
      </c>
      <c r="AC48" s="151">
        <v>1.4</v>
      </c>
      <c r="AD48" s="185">
        <v>1.5</v>
      </c>
      <c r="AE48" s="186">
        <v>1.6</v>
      </c>
      <c r="AF48" s="151">
        <v>1.7</v>
      </c>
      <c r="AG48" s="151">
        <v>0.62</v>
      </c>
      <c r="AH48" s="156"/>
      <c r="AI48" s="158"/>
      <c r="AJ48" s="154"/>
      <c r="AK48" s="155"/>
      <c r="AL48" s="155"/>
      <c r="AM48" s="156"/>
      <c r="AN48" s="68"/>
      <c r="AO48" s="6"/>
      <c r="AP48" s="6"/>
      <c r="AQ48" s="9"/>
      <c r="AS48" s="134">
        <f>E47/19</f>
        <v>0.97473684210526312</v>
      </c>
      <c r="AT48" s="134">
        <f>SUM(I48:AM48)</f>
        <v>18.52</v>
      </c>
      <c r="AU48" s="135">
        <f t="shared" si="1"/>
        <v>0</v>
      </c>
      <c r="AV48" s="5"/>
    </row>
    <row r="49" spans="1:48" s="4" customFormat="1" ht="16.5" customHeight="1" thickBot="1" x14ac:dyDescent="0.2">
      <c r="A49" s="357"/>
      <c r="B49" s="296" t="s">
        <v>42</v>
      </c>
      <c r="C49" s="297"/>
      <c r="D49" s="346">
        <v>60616</v>
      </c>
      <c r="E49" s="262">
        <f t="shared" ref="E49" si="20">ROUND((D49)/$D$57*100,2)</f>
        <v>10.51</v>
      </c>
      <c r="F49" s="87"/>
      <c r="G49" s="95"/>
      <c r="H49" s="95"/>
      <c r="I49" s="159"/>
      <c r="J49" s="160"/>
      <c r="K49" s="160"/>
      <c r="L49" s="161"/>
      <c r="M49" s="162"/>
      <c r="N49" s="160"/>
      <c r="O49" s="160"/>
      <c r="P49" s="163"/>
      <c r="Q49" s="164"/>
      <c r="R49" s="165"/>
      <c r="S49" s="165"/>
      <c r="T49" s="165"/>
      <c r="U49" s="163"/>
      <c r="V49" s="166"/>
      <c r="W49" s="165"/>
      <c r="X49" s="153"/>
      <c r="Y49" s="165"/>
      <c r="Z49" s="167"/>
      <c r="AA49" s="168"/>
      <c r="AB49" s="160"/>
      <c r="AC49" s="160"/>
      <c r="AD49" s="161"/>
      <c r="AE49" s="162"/>
      <c r="AF49" s="160"/>
      <c r="AG49" s="160"/>
      <c r="AH49" s="161"/>
      <c r="AI49" s="169"/>
      <c r="AJ49" s="170"/>
      <c r="AK49" s="160"/>
      <c r="AL49" s="160"/>
      <c r="AM49" s="161"/>
      <c r="AN49" s="68"/>
      <c r="AO49" s="65"/>
      <c r="AP49" s="65"/>
      <c r="AQ49" s="9"/>
      <c r="AS49" s="134"/>
      <c r="AT49" s="134"/>
      <c r="AU49" s="135"/>
      <c r="AV49" s="64"/>
    </row>
    <row r="50" spans="1:48" s="4" customFormat="1" ht="16.5" customHeight="1" thickTop="1" x14ac:dyDescent="0.15">
      <c r="A50" s="357"/>
      <c r="B50" s="298"/>
      <c r="C50" s="299"/>
      <c r="D50" s="347"/>
      <c r="E50" s="262"/>
      <c r="F50" s="88"/>
      <c r="G50" s="96"/>
      <c r="H50" s="96"/>
      <c r="I50" s="171"/>
      <c r="J50" s="155"/>
      <c r="K50" s="155"/>
      <c r="L50" s="156"/>
      <c r="M50" s="157"/>
      <c r="N50" s="151">
        <v>0.1</v>
      </c>
      <c r="O50" s="151">
        <v>0.1</v>
      </c>
      <c r="P50" s="194">
        <v>0.1</v>
      </c>
      <c r="Q50" s="195">
        <v>0.2</v>
      </c>
      <c r="R50" s="174">
        <v>0.2</v>
      </c>
      <c r="S50" s="174">
        <v>0.3</v>
      </c>
      <c r="T50" s="174">
        <v>0.3</v>
      </c>
      <c r="U50" s="175">
        <v>0.4</v>
      </c>
      <c r="V50" s="176">
        <v>0.5</v>
      </c>
      <c r="W50" s="177">
        <v>0.8</v>
      </c>
      <c r="X50" s="153"/>
      <c r="Y50" s="177">
        <v>0.5</v>
      </c>
      <c r="Z50" s="178">
        <v>0.9</v>
      </c>
      <c r="AA50" s="178">
        <v>1</v>
      </c>
      <c r="AB50" s="178">
        <v>1.1000000000000001</v>
      </c>
      <c r="AC50" s="178">
        <v>0.8</v>
      </c>
      <c r="AD50" s="178">
        <v>0.6</v>
      </c>
      <c r="AE50" s="178">
        <v>0.6</v>
      </c>
      <c r="AF50" s="178">
        <v>0.6</v>
      </c>
      <c r="AG50" s="178">
        <v>0.6</v>
      </c>
      <c r="AH50" s="178">
        <v>0.6</v>
      </c>
      <c r="AI50" s="178">
        <v>0.21</v>
      </c>
      <c r="AJ50" s="154"/>
      <c r="AK50" s="155"/>
      <c r="AL50" s="155"/>
      <c r="AM50" s="156"/>
      <c r="AN50" s="68"/>
      <c r="AO50" s="65"/>
      <c r="AP50" s="65"/>
      <c r="AQ50" s="9"/>
      <c r="AS50" s="134">
        <f>E49/21</f>
        <v>0.50047619047619052</v>
      </c>
      <c r="AT50" s="134">
        <f>SUM(I50:AM50)</f>
        <v>10.51</v>
      </c>
      <c r="AU50" s="135">
        <f t="shared" si="1"/>
        <v>0</v>
      </c>
      <c r="AV50" s="64"/>
    </row>
    <row r="51" spans="1:48" s="4" customFormat="1" ht="16.5" customHeight="1" thickBot="1" x14ac:dyDescent="0.2">
      <c r="A51" s="357"/>
      <c r="B51" s="296" t="s">
        <v>43</v>
      </c>
      <c r="C51" s="297"/>
      <c r="D51" s="346">
        <v>2184</v>
      </c>
      <c r="E51" s="262">
        <f t="shared" ref="E51" si="21">ROUND((D51)/$D$57*100,2)</f>
        <v>0.38</v>
      </c>
      <c r="F51" s="87"/>
      <c r="G51" s="95"/>
      <c r="H51" s="95"/>
      <c r="I51" s="159"/>
      <c r="J51" s="160"/>
      <c r="K51" s="160"/>
      <c r="L51" s="161"/>
      <c r="M51" s="162"/>
      <c r="N51" s="160"/>
      <c r="O51" s="160"/>
      <c r="P51" s="163"/>
      <c r="Q51" s="164"/>
      <c r="R51" s="165"/>
      <c r="S51" s="165"/>
      <c r="T51" s="165"/>
      <c r="U51" s="163"/>
      <c r="V51" s="166"/>
      <c r="W51" s="165"/>
      <c r="X51" s="153"/>
      <c r="Y51" s="165"/>
      <c r="Z51" s="167"/>
      <c r="AA51" s="168"/>
      <c r="AB51" s="160"/>
      <c r="AC51" s="160"/>
      <c r="AD51" s="161"/>
      <c r="AE51" s="162"/>
      <c r="AF51" s="160"/>
      <c r="AG51" s="160"/>
      <c r="AH51" s="161"/>
      <c r="AI51" s="169"/>
      <c r="AJ51" s="170"/>
      <c r="AK51" s="160"/>
      <c r="AL51" s="160"/>
      <c r="AM51" s="161"/>
      <c r="AN51" s="68"/>
      <c r="AO51" s="65"/>
      <c r="AP51" s="65"/>
      <c r="AQ51" s="9"/>
      <c r="AS51" s="134"/>
      <c r="AT51" s="134"/>
      <c r="AU51" s="135"/>
      <c r="AV51" s="64"/>
    </row>
    <row r="52" spans="1:48" s="4" customFormat="1" ht="16.5" customHeight="1" thickTop="1" x14ac:dyDescent="0.15">
      <c r="A52" s="358"/>
      <c r="B52" s="298"/>
      <c r="C52" s="299"/>
      <c r="D52" s="347"/>
      <c r="E52" s="262"/>
      <c r="F52" s="88"/>
      <c r="G52" s="96"/>
      <c r="H52" s="96"/>
      <c r="I52" s="171"/>
      <c r="J52" s="155"/>
      <c r="K52" s="151">
        <v>0.01</v>
      </c>
      <c r="L52" s="151">
        <v>0.01</v>
      </c>
      <c r="M52" s="151">
        <v>0.01</v>
      </c>
      <c r="N52" s="151">
        <v>0.01</v>
      </c>
      <c r="O52" s="151">
        <v>0.01</v>
      </c>
      <c r="P52" s="185">
        <v>0.01</v>
      </c>
      <c r="Q52" s="250">
        <v>0.01</v>
      </c>
      <c r="R52" s="151">
        <v>0.01</v>
      </c>
      <c r="S52" s="151">
        <v>0.01</v>
      </c>
      <c r="T52" s="151">
        <v>0.01</v>
      </c>
      <c r="U52" s="151">
        <v>0.02</v>
      </c>
      <c r="V52" s="151">
        <v>0.02</v>
      </c>
      <c r="W52" s="151">
        <v>0.02</v>
      </c>
      <c r="X52" s="153"/>
      <c r="Y52" s="177">
        <v>0.02</v>
      </c>
      <c r="Z52" s="178">
        <v>0.02</v>
      </c>
      <c r="AA52" s="178">
        <v>0.02</v>
      </c>
      <c r="AB52" s="178">
        <v>0.02</v>
      </c>
      <c r="AC52" s="178">
        <v>0.02</v>
      </c>
      <c r="AD52" s="178">
        <v>0.02</v>
      </c>
      <c r="AE52" s="178">
        <v>0.02</v>
      </c>
      <c r="AF52" s="178">
        <v>0.02</v>
      </c>
      <c r="AG52" s="178">
        <v>0.02</v>
      </c>
      <c r="AH52" s="178">
        <v>0.01</v>
      </c>
      <c r="AI52" s="178">
        <v>0.01</v>
      </c>
      <c r="AJ52" s="178">
        <v>0.01</v>
      </c>
      <c r="AK52" s="178">
        <v>0.01</v>
      </c>
      <c r="AL52" s="251"/>
      <c r="AM52" s="158"/>
      <c r="AN52" s="68"/>
      <c r="AO52" s="65"/>
      <c r="AP52" s="65"/>
      <c r="AQ52" s="9"/>
      <c r="AS52" s="134">
        <f>E51/28</f>
        <v>1.3571428571428571E-2</v>
      </c>
      <c r="AT52" s="134">
        <f>SUM(I52:AM52)</f>
        <v>0.38000000000000006</v>
      </c>
      <c r="AU52" s="135">
        <f t="shared" si="1"/>
        <v>0</v>
      </c>
      <c r="AV52" s="64"/>
    </row>
    <row r="53" spans="1:48" s="4" customFormat="1" ht="16.5" customHeight="1" thickBot="1" x14ac:dyDescent="0.2">
      <c r="A53" s="274" t="s">
        <v>44</v>
      </c>
      <c r="B53" s="275"/>
      <c r="C53" s="276"/>
      <c r="D53" s="280">
        <v>1470</v>
      </c>
      <c r="E53" s="262">
        <f t="shared" ref="E53" si="22">ROUND((D53)/$D$57*100,2)</f>
        <v>0.25</v>
      </c>
      <c r="F53" s="87"/>
      <c r="G53" s="95"/>
      <c r="H53" s="95"/>
      <c r="I53" s="159"/>
      <c r="J53" s="160"/>
      <c r="K53" s="160"/>
      <c r="L53" s="161"/>
      <c r="M53" s="162"/>
      <c r="N53" s="160"/>
      <c r="O53" s="160"/>
      <c r="P53" s="163"/>
      <c r="Q53" s="164"/>
      <c r="R53" s="165"/>
      <c r="S53" s="165"/>
      <c r="T53" s="165"/>
      <c r="U53" s="163"/>
      <c r="V53" s="166"/>
      <c r="W53" s="165"/>
      <c r="X53" s="153"/>
      <c r="Y53" s="165"/>
      <c r="Z53" s="167"/>
      <c r="AA53" s="168"/>
      <c r="AB53" s="160"/>
      <c r="AC53" s="160"/>
      <c r="AD53" s="161"/>
      <c r="AE53" s="162"/>
      <c r="AF53" s="160"/>
      <c r="AG53" s="160"/>
      <c r="AH53" s="161"/>
      <c r="AI53" s="169"/>
      <c r="AJ53" s="170"/>
      <c r="AK53" s="160"/>
      <c r="AL53" s="160"/>
      <c r="AM53" s="161"/>
      <c r="AN53" s="68"/>
      <c r="AO53" s="6"/>
      <c r="AP53" s="6"/>
      <c r="AQ53" s="9"/>
      <c r="AS53" s="134"/>
      <c r="AT53" s="134"/>
      <c r="AU53" s="135"/>
      <c r="AV53" s="5"/>
    </row>
    <row r="54" spans="1:48" s="4" customFormat="1" ht="16.5" customHeight="1" thickTop="1" x14ac:dyDescent="0.15">
      <c r="A54" s="277"/>
      <c r="B54" s="278"/>
      <c r="C54" s="279"/>
      <c r="D54" s="261"/>
      <c r="E54" s="262"/>
      <c r="F54" s="88"/>
      <c r="G54" s="96"/>
      <c r="H54" s="96"/>
      <c r="I54" s="171"/>
      <c r="J54" s="155"/>
      <c r="K54" s="155"/>
      <c r="L54" s="155"/>
      <c r="M54" s="155"/>
      <c r="N54" s="155"/>
      <c r="O54" s="155"/>
      <c r="P54" s="156"/>
      <c r="Q54" s="250">
        <v>0.01</v>
      </c>
      <c r="R54" s="151">
        <v>0.01</v>
      </c>
      <c r="S54" s="151">
        <v>0.01</v>
      </c>
      <c r="T54" s="151">
        <v>0.01</v>
      </c>
      <c r="U54" s="151">
        <v>0.01</v>
      </c>
      <c r="V54" s="151">
        <v>0.01</v>
      </c>
      <c r="W54" s="151">
        <v>0.01</v>
      </c>
      <c r="X54" s="153"/>
      <c r="Y54" s="177">
        <v>0.01</v>
      </c>
      <c r="Z54" s="178">
        <v>0.01</v>
      </c>
      <c r="AA54" s="178">
        <v>0.01</v>
      </c>
      <c r="AB54" s="178">
        <v>0.01</v>
      </c>
      <c r="AC54" s="178">
        <v>0.02</v>
      </c>
      <c r="AD54" s="178">
        <v>0.02</v>
      </c>
      <c r="AE54" s="178">
        <v>0.02</v>
      </c>
      <c r="AF54" s="178">
        <v>0.02</v>
      </c>
      <c r="AG54" s="178">
        <v>0.02</v>
      </c>
      <c r="AH54" s="178">
        <v>0.01</v>
      </c>
      <c r="AI54" s="178">
        <v>0.01</v>
      </c>
      <c r="AJ54" s="178">
        <v>0.01</v>
      </c>
      <c r="AK54" s="178">
        <v>0.01</v>
      </c>
      <c r="AL54" s="155"/>
      <c r="AM54" s="156"/>
      <c r="AN54" s="80"/>
      <c r="AO54" s="7"/>
      <c r="AP54" s="6"/>
      <c r="AQ54" s="9"/>
      <c r="AS54" s="134">
        <f>E53/27</f>
        <v>9.2592592592592587E-3</v>
      </c>
      <c r="AT54" s="134">
        <f>SUM(I54:AM54)</f>
        <v>0.24999999999999997</v>
      </c>
      <c r="AU54" s="135">
        <f t="shared" si="1"/>
        <v>0</v>
      </c>
      <c r="AV54" s="5"/>
    </row>
    <row r="55" spans="1:48" s="4" customFormat="1" ht="16.5" customHeight="1" thickBot="1" x14ac:dyDescent="0.2">
      <c r="A55" s="274" t="s">
        <v>45</v>
      </c>
      <c r="B55" s="275"/>
      <c r="C55" s="276"/>
      <c r="D55" s="260">
        <v>9270</v>
      </c>
      <c r="E55" s="262">
        <f t="shared" ref="E55" si="23">ROUND((D55)/$D$57*100,2)</f>
        <v>1.61</v>
      </c>
      <c r="F55" s="86"/>
      <c r="G55" s="94"/>
      <c r="H55" s="94"/>
      <c r="I55" s="147"/>
      <c r="J55" s="148"/>
      <c r="K55" s="148"/>
      <c r="L55" s="149"/>
      <c r="M55" s="150"/>
      <c r="N55" s="148"/>
      <c r="O55" s="148"/>
      <c r="P55" s="149"/>
      <c r="Q55" s="152"/>
      <c r="R55" s="148"/>
      <c r="S55" s="148"/>
      <c r="T55" s="148"/>
      <c r="U55" s="149"/>
      <c r="V55" s="150"/>
      <c r="W55" s="148"/>
      <c r="X55" s="153"/>
      <c r="Y55" s="148"/>
      <c r="Z55" s="197"/>
      <c r="AA55" s="198"/>
      <c r="AB55" s="148"/>
      <c r="AC55" s="148"/>
      <c r="AD55" s="149"/>
      <c r="AE55" s="150"/>
      <c r="AF55" s="148"/>
      <c r="AG55" s="148"/>
      <c r="AH55" s="149"/>
      <c r="AI55" s="197"/>
      <c r="AJ55" s="198"/>
      <c r="AK55" s="148"/>
      <c r="AL55" s="148"/>
      <c r="AM55" s="149"/>
      <c r="AN55" s="80"/>
      <c r="AO55" s="7"/>
      <c r="AP55" s="7"/>
      <c r="AQ55" s="9"/>
      <c r="AS55" s="134"/>
      <c r="AT55" s="134"/>
      <c r="AU55" s="135"/>
      <c r="AV55" s="5"/>
    </row>
    <row r="56" spans="1:48" s="4" customFormat="1" ht="16.5" customHeight="1" thickTop="1" thickBot="1" x14ac:dyDescent="0.2">
      <c r="A56" s="281"/>
      <c r="B56" s="282"/>
      <c r="C56" s="283"/>
      <c r="D56" s="284"/>
      <c r="E56" s="285"/>
      <c r="F56" s="89"/>
      <c r="G56" s="97"/>
      <c r="H56" s="97"/>
      <c r="I56" s="199"/>
      <c r="J56" s="200"/>
      <c r="K56" s="201">
        <v>0.06</v>
      </c>
      <c r="L56" s="201">
        <v>0.06</v>
      </c>
      <c r="M56" s="201">
        <v>0.06</v>
      </c>
      <c r="N56" s="201">
        <v>0.06</v>
      </c>
      <c r="O56" s="201">
        <v>0.06</v>
      </c>
      <c r="P56" s="201">
        <v>0.06</v>
      </c>
      <c r="Q56" s="201">
        <v>0.06</v>
      </c>
      <c r="R56" s="201">
        <v>0.06</v>
      </c>
      <c r="S56" s="201">
        <v>0.06</v>
      </c>
      <c r="T56" s="201">
        <v>0.06</v>
      </c>
      <c r="U56" s="201">
        <v>0.06</v>
      </c>
      <c r="V56" s="201">
        <v>0.06</v>
      </c>
      <c r="W56" s="201">
        <v>0.06</v>
      </c>
      <c r="X56" s="153"/>
      <c r="Y56" s="201">
        <v>0.06</v>
      </c>
      <c r="Z56" s="201">
        <v>7.0000000000000007E-2</v>
      </c>
      <c r="AA56" s="201">
        <v>7.0000000000000007E-2</v>
      </c>
      <c r="AB56" s="201">
        <v>7.0000000000000007E-2</v>
      </c>
      <c r="AC56" s="201">
        <v>7.0000000000000007E-2</v>
      </c>
      <c r="AD56" s="201">
        <v>7.0000000000000007E-2</v>
      </c>
      <c r="AE56" s="201">
        <v>0.06</v>
      </c>
      <c r="AF56" s="201">
        <v>0.06</v>
      </c>
      <c r="AG56" s="201">
        <v>0.06</v>
      </c>
      <c r="AH56" s="201">
        <v>0.06</v>
      </c>
      <c r="AI56" s="201">
        <v>0.06</v>
      </c>
      <c r="AJ56" s="201">
        <v>0.06</v>
      </c>
      <c r="AK56" s="201">
        <v>0.06</v>
      </c>
      <c r="AL56" s="200"/>
      <c r="AM56" s="202"/>
      <c r="AN56" s="76"/>
      <c r="AO56" s="32"/>
      <c r="AP56" s="32"/>
      <c r="AQ56" s="33"/>
      <c r="AS56" s="134">
        <f>E55/26</f>
        <v>6.1923076923076928E-2</v>
      </c>
      <c r="AT56" s="134">
        <f>SUM(I56:AM56)</f>
        <v>1.610000000000001</v>
      </c>
      <c r="AU56" s="135">
        <f t="shared" si="1"/>
        <v>0</v>
      </c>
      <c r="AV56" s="5"/>
    </row>
    <row r="57" spans="1:48" s="4" customFormat="1" ht="16.5" customHeight="1" x14ac:dyDescent="0.15">
      <c r="A57" s="286" t="s">
        <v>46</v>
      </c>
      <c r="B57" s="287"/>
      <c r="C57" s="288"/>
      <c r="D57" s="294">
        <f>SUM(D9:D56)</f>
        <v>576683</v>
      </c>
      <c r="E57" s="292">
        <f>SUM(E9:E56)</f>
        <v>100</v>
      </c>
      <c r="F57" s="90"/>
      <c r="G57" s="98"/>
      <c r="H57" s="98"/>
      <c r="I57" s="203"/>
      <c r="J57" s="204"/>
      <c r="K57" s="204"/>
      <c r="L57" s="205"/>
      <c r="M57" s="206"/>
      <c r="N57" s="204"/>
      <c r="O57" s="204"/>
      <c r="P57" s="205"/>
      <c r="Q57" s="207"/>
      <c r="R57" s="204"/>
      <c r="S57" s="204"/>
      <c r="T57" s="204"/>
      <c r="U57" s="205"/>
      <c r="V57" s="206"/>
      <c r="W57" s="204"/>
      <c r="X57" s="153"/>
      <c r="Y57" s="204"/>
      <c r="Z57" s="208"/>
      <c r="AA57" s="209"/>
      <c r="AB57" s="204"/>
      <c r="AC57" s="204"/>
      <c r="AD57" s="205"/>
      <c r="AE57" s="206"/>
      <c r="AF57" s="204"/>
      <c r="AG57" s="204"/>
      <c r="AH57" s="205"/>
      <c r="AI57" s="208"/>
      <c r="AJ57" s="209"/>
      <c r="AK57" s="204"/>
      <c r="AL57" s="204"/>
      <c r="AM57" s="205"/>
      <c r="AN57" s="73"/>
      <c r="AO57" s="74"/>
      <c r="AP57" s="74"/>
      <c r="AQ57" s="75"/>
      <c r="AS57" s="134"/>
      <c r="AT57" s="134"/>
      <c r="AU57" s="135"/>
      <c r="AV57" s="64"/>
    </row>
    <row r="58" spans="1:48" s="4" customFormat="1" ht="16.5" customHeight="1" thickBot="1" x14ac:dyDescent="0.2">
      <c r="A58" s="289"/>
      <c r="B58" s="290"/>
      <c r="C58" s="291"/>
      <c r="D58" s="295"/>
      <c r="E58" s="293"/>
      <c r="F58" s="91"/>
      <c r="G58" s="99"/>
      <c r="H58" s="99"/>
      <c r="I58" s="199"/>
      <c r="J58" s="200"/>
      <c r="K58" s="200"/>
      <c r="L58" s="202"/>
      <c r="M58" s="210"/>
      <c r="N58" s="200"/>
      <c r="O58" s="200"/>
      <c r="P58" s="202"/>
      <c r="Q58" s="211"/>
      <c r="R58" s="200"/>
      <c r="S58" s="200"/>
      <c r="T58" s="200"/>
      <c r="U58" s="202"/>
      <c r="V58" s="210"/>
      <c r="W58" s="200"/>
      <c r="X58" s="153"/>
      <c r="Y58" s="200"/>
      <c r="Z58" s="212"/>
      <c r="AA58" s="213"/>
      <c r="AB58" s="200"/>
      <c r="AC58" s="200"/>
      <c r="AD58" s="202"/>
      <c r="AE58" s="210"/>
      <c r="AF58" s="200"/>
      <c r="AG58" s="200"/>
      <c r="AH58" s="202"/>
      <c r="AI58" s="212"/>
      <c r="AJ58" s="213"/>
      <c r="AK58" s="200"/>
      <c r="AL58" s="200"/>
      <c r="AM58" s="202"/>
      <c r="AN58" s="76"/>
      <c r="AO58" s="32"/>
      <c r="AP58" s="32"/>
      <c r="AQ58" s="33"/>
      <c r="AS58" s="134">
        <f t="shared" ref="AS58" si="24">E57/9</f>
        <v>11.111111111111111</v>
      </c>
      <c r="AT58" s="134"/>
      <c r="AU58" s="135">
        <f t="shared" si="1"/>
        <v>100</v>
      </c>
      <c r="AV58" s="64"/>
    </row>
    <row r="59" spans="1:48" s="4" customFormat="1" ht="16.5" customHeight="1" x14ac:dyDescent="0.15">
      <c r="A59" s="270" t="s">
        <v>5</v>
      </c>
      <c r="B59" s="271"/>
      <c r="C59" s="271"/>
      <c r="D59" s="271"/>
      <c r="E59" s="81" t="s">
        <v>11</v>
      </c>
      <c r="F59" s="86"/>
      <c r="G59" s="94"/>
      <c r="H59" s="94"/>
      <c r="I59" s="147"/>
      <c r="J59" s="214">
        <f>SUM(J10,J12,J14,J16,J18,J20,J22,J24,J26,J28,J30,J32,J34,J36,J38,J40,J42,J44,J46,J48,J50,J52,J54,J56)</f>
        <v>0</v>
      </c>
      <c r="K59" s="214">
        <f t="shared" ref="K59:AK59" si="25">SUM(K10,K12,K14,K16,K18,K20,K22,K24,K26,K28,K30,K32,K34,K36,K38,K40,K42,K44,K46,K48,K50,K52,K54,K56)</f>
        <v>6.9999999999999993E-2</v>
      </c>
      <c r="L59" s="214">
        <f t="shared" si="25"/>
        <v>0.16999999999999998</v>
      </c>
      <c r="M59" s="214">
        <f t="shared" si="25"/>
        <v>0.18</v>
      </c>
      <c r="N59" s="214">
        <f t="shared" si="25"/>
        <v>0.86999999999999988</v>
      </c>
      <c r="O59" s="214">
        <f t="shared" si="25"/>
        <v>0.97</v>
      </c>
      <c r="P59" s="214">
        <f t="shared" si="25"/>
        <v>2.02</v>
      </c>
      <c r="Q59" s="214">
        <f t="shared" si="25"/>
        <v>0.95</v>
      </c>
      <c r="R59" s="214">
        <f t="shared" si="25"/>
        <v>1.52</v>
      </c>
      <c r="S59" s="214">
        <f t="shared" si="25"/>
        <v>1.9200000000000002</v>
      </c>
      <c r="T59" s="214">
        <f t="shared" si="25"/>
        <v>4.2299999999999986</v>
      </c>
      <c r="U59" s="214">
        <f t="shared" si="25"/>
        <v>6.34</v>
      </c>
      <c r="V59" s="214">
        <f t="shared" si="25"/>
        <v>7.2399999999999993</v>
      </c>
      <c r="W59" s="214">
        <f t="shared" si="25"/>
        <v>10.039999999999999</v>
      </c>
      <c r="X59" s="153">
        <f>W59</f>
        <v>10.039999999999999</v>
      </c>
      <c r="Y59" s="214">
        <f t="shared" si="25"/>
        <v>8.0399999999999991</v>
      </c>
      <c r="Z59" s="214">
        <f t="shared" si="25"/>
        <v>9.58</v>
      </c>
      <c r="AA59" s="214">
        <f t="shared" si="25"/>
        <v>7.1000000000000005</v>
      </c>
      <c r="AB59" s="214">
        <f t="shared" si="25"/>
        <v>6.58</v>
      </c>
      <c r="AC59" s="214">
        <f t="shared" si="25"/>
        <v>5.379999999999999</v>
      </c>
      <c r="AD59" s="214">
        <f t="shared" si="25"/>
        <v>6.2099999999999991</v>
      </c>
      <c r="AE59" s="214">
        <f t="shared" si="25"/>
        <v>7.8199999999999994</v>
      </c>
      <c r="AF59" s="214">
        <f t="shared" si="25"/>
        <v>4.3799999999999981</v>
      </c>
      <c r="AG59" s="214">
        <f t="shared" si="25"/>
        <v>4.4399999999999986</v>
      </c>
      <c r="AH59" s="214">
        <f t="shared" si="25"/>
        <v>2.02</v>
      </c>
      <c r="AI59" s="214">
        <f t="shared" si="25"/>
        <v>1</v>
      </c>
      <c r="AJ59" s="214">
        <f t="shared" si="25"/>
        <v>0.08</v>
      </c>
      <c r="AK59" s="214">
        <f t="shared" si="25"/>
        <v>0.85000000000000009</v>
      </c>
      <c r="AL59" s="214"/>
      <c r="AM59" s="215"/>
      <c r="AN59" s="71"/>
      <c r="AO59" s="71"/>
      <c r="AP59" s="71"/>
      <c r="AQ59" s="72"/>
      <c r="AS59" s="132"/>
      <c r="AT59" s="41"/>
      <c r="AU59" s="40"/>
      <c r="AV59" s="5"/>
    </row>
    <row r="60" spans="1:48" s="4" customFormat="1" ht="16.5" customHeight="1" thickBot="1" x14ac:dyDescent="0.2">
      <c r="A60" s="272"/>
      <c r="B60" s="273"/>
      <c r="C60" s="273"/>
      <c r="D60" s="273"/>
      <c r="E60" s="82" t="s">
        <v>10</v>
      </c>
      <c r="F60" s="92"/>
      <c r="G60" s="100"/>
      <c r="H60" s="100"/>
      <c r="I60" s="216"/>
      <c r="J60" s="217">
        <f>J59</f>
        <v>0</v>
      </c>
      <c r="K60" s="217">
        <f>J60+K59</f>
        <v>6.9999999999999993E-2</v>
      </c>
      <c r="L60" s="217">
        <f>K60+L59</f>
        <v>0.24</v>
      </c>
      <c r="M60" s="217">
        <f t="shared" ref="M60:V60" si="26">L60+M59</f>
        <v>0.42</v>
      </c>
      <c r="N60" s="217">
        <f t="shared" si="26"/>
        <v>1.2899999999999998</v>
      </c>
      <c r="O60" s="217">
        <f t="shared" si="26"/>
        <v>2.2599999999999998</v>
      </c>
      <c r="P60" s="217">
        <f t="shared" si="26"/>
        <v>4.2799999999999994</v>
      </c>
      <c r="Q60" s="217">
        <f t="shared" si="26"/>
        <v>5.2299999999999995</v>
      </c>
      <c r="R60" s="217">
        <f t="shared" si="26"/>
        <v>6.75</v>
      </c>
      <c r="S60" s="217">
        <f t="shared" si="26"/>
        <v>8.67</v>
      </c>
      <c r="T60" s="217">
        <f t="shared" si="26"/>
        <v>12.899999999999999</v>
      </c>
      <c r="U60" s="217">
        <f t="shared" si="26"/>
        <v>19.239999999999998</v>
      </c>
      <c r="V60" s="217">
        <f t="shared" si="26"/>
        <v>26.479999999999997</v>
      </c>
      <c r="W60" s="217">
        <f>V60+W59</f>
        <v>36.519999999999996</v>
      </c>
      <c r="X60" s="219">
        <f>W60</f>
        <v>36.519999999999996</v>
      </c>
      <c r="Y60" s="217">
        <f>W60+Y59</f>
        <v>44.559999999999995</v>
      </c>
      <c r="Z60" s="217">
        <f>Y60+Z59</f>
        <v>54.139999999999993</v>
      </c>
      <c r="AA60" s="217">
        <f t="shared" ref="AA60:AK60" si="27">Z60+AA59</f>
        <v>61.239999999999995</v>
      </c>
      <c r="AB60" s="217">
        <f t="shared" si="27"/>
        <v>67.819999999999993</v>
      </c>
      <c r="AC60" s="217">
        <f t="shared" si="27"/>
        <v>73.199999999999989</v>
      </c>
      <c r="AD60" s="217">
        <f t="shared" si="27"/>
        <v>79.409999999999982</v>
      </c>
      <c r="AE60" s="217">
        <f t="shared" si="27"/>
        <v>87.229999999999976</v>
      </c>
      <c r="AF60" s="217">
        <f t="shared" si="27"/>
        <v>91.609999999999971</v>
      </c>
      <c r="AG60" s="217">
        <f t="shared" si="27"/>
        <v>96.049999999999969</v>
      </c>
      <c r="AH60" s="217">
        <f t="shared" si="27"/>
        <v>98.069999999999965</v>
      </c>
      <c r="AI60" s="217">
        <f t="shared" si="27"/>
        <v>99.069999999999965</v>
      </c>
      <c r="AJ60" s="217">
        <f t="shared" si="27"/>
        <v>99.149999999999963</v>
      </c>
      <c r="AK60" s="248">
        <f t="shared" si="27"/>
        <v>99.999999999999957</v>
      </c>
      <c r="AL60" s="217"/>
      <c r="AM60" s="218"/>
      <c r="AN60" s="59"/>
      <c r="AO60" s="59"/>
      <c r="AP60" s="59"/>
      <c r="AQ60" s="60"/>
      <c r="AS60" s="132"/>
      <c r="AT60" s="41"/>
      <c r="AU60" s="40"/>
      <c r="AV60" s="5"/>
    </row>
    <row r="61" spans="1:48" s="4" customFormat="1" ht="9" customHeight="1" thickTop="1" x14ac:dyDescent="0.15">
      <c r="G61" s="66"/>
      <c r="H61" s="67"/>
      <c r="AS61" s="132"/>
      <c r="AT61" s="41"/>
      <c r="AU61" s="40"/>
      <c r="AV61" s="5"/>
    </row>
    <row r="62" spans="1:48" s="4" customFormat="1" ht="32.25" customHeight="1" x14ac:dyDescent="0.15">
      <c r="D62" s="69">
        <v>576683</v>
      </c>
      <c r="G62" s="66"/>
      <c r="H62" s="67"/>
      <c r="AS62" s="132"/>
      <c r="AT62" s="41"/>
      <c r="AU62" s="40"/>
      <c r="AV62" s="5"/>
    </row>
    <row r="63" spans="1:48" s="61" customFormat="1" ht="32.25" customHeight="1" x14ac:dyDescent="0.15">
      <c r="D63" s="70">
        <f>D62-D57</f>
        <v>0</v>
      </c>
      <c r="G63" s="101"/>
      <c r="H63" s="101"/>
      <c r="AS63" s="133"/>
      <c r="AT63" s="62"/>
      <c r="AU63" s="63"/>
      <c r="AV63" s="62"/>
    </row>
    <row r="64" spans="1:48" s="50" customFormat="1" ht="22.5" customHeight="1" x14ac:dyDescent="0.15">
      <c r="A64" s="48"/>
      <c r="B64" s="48"/>
      <c r="C64" s="48"/>
      <c r="D64" s="49">
        <f>SUM(D9:D56)</f>
        <v>576683</v>
      </c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>
        <v>32.9</v>
      </c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T64" s="51"/>
      <c r="AU64" s="52"/>
      <c r="AV64" s="53"/>
    </row>
    <row r="65" spans="1:48" s="57" customFormat="1" ht="19.5" customHeight="1" x14ac:dyDescent="0.15">
      <c r="A65" s="54"/>
      <c r="B65" s="54"/>
      <c r="C65" s="54"/>
      <c r="D65" s="55">
        <v>394873.99999999156</v>
      </c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>
        <f>AF60-AF64</f>
        <v>58.709999999999972</v>
      </c>
      <c r="AG65" s="54"/>
      <c r="AH65" s="54"/>
      <c r="AI65" s="54"/>
      <c r="AJ65" s="54"/>
      <c r="AK65" s="54"/>
      <c r="AL65" s="54"/>
      <c r="AM65" s="54"/>
      <c r="AN65" s="56"/>
      <c r="AO65" s="56"/>
      <c r="AP65" s="56"/>
      <c r="AQ65" s="54"/>
      <c r="AR65" s="54"/>
      <c r="AT65" s="56"/>
      <c r="AU65" s="56"/>
      <c r="AV65" s="58"/>
    </row>
    <row r="66" spans="1:48" s="45" customFormat="1" ht="19.5" customHeight="1" x14ac:dyDescent="0.15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6"/>
      <c r="AO66" s="46"/>
      <c r="AP66" s="46"/>
      <c r="AQ66" s="44"/>
      <c r="AR66" s="44"/>
      <c r="AT66" s="46"/>
      <c r="AU66" s="43"/>
      <c r="AV66" s="47"/>
    </row>
    <row r="67" spans="1:48" s="45" customFormat="1" ht="19.5" customHeight="1" x14ac:dyDescent="0.15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T67" s="46"/>
      <c r="AU67" s="43"/>
      <c r="AV67" s="47"/>
    </row>
    <row r="68" spans="1:48" s="45" customFormat="1" ht="14.25" x14ac:dyDescent="0.15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T68" s="46"/>
      <c r="AU68" s="43"/>
      <c r="AV68" s="47"/>
    </row>
    <row r="69" spans="1:48" s="45" customFormat="1" ht="14.25" x14ac:dyDescent="0.15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T69" s="46"/>
      <c r="AU69" s="43"/>
      <c r="AV69" s="47"/>
    </row>
    <row r="70" spans="1:48" s="45" customFormat="1" ht="14.25" x14ac:dyDescent="0.15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T70" s="46"/>
      <c r="AU70" s="43"/>
      <c r="AV70" s="47"/>
    </row>
    <row r="71" spans="1:48" s="45" customFormat="1" ht="14.25" x14ac:dyDescent="0.15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T71" s="46"/>
      <c r="AU71" s="43"/>
      <c r="AV71" s="47"/>
    </row>
    <row r="72" spans="1:48" s="45" customFormat="1" ht="14.25" x14ac:dyDescent="0.15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T72" s="46"/>
      <c r="AU72" s="43"/>
      <c r="AV72" s="47"/>
    </row>
    <row r="73" spans="1:48" s="45" customFormat="1" ht="14.25" x14ac:dyDescent="0.15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T73" s="46"/>
      <c r="AU73" s="43"/>
      <c r="AV73" s="47"/>
    </row>
    <row r="74" spans="1:48" s="47" customFormat="1" ht="14.25" x14ac:dyDescent="0.15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5"/>
      <c r="AT74" s="46"/>
      <c r="AU74" s="43"/>
    </row>
    <row r="75" spans="1:48" s="47" customFormat="1" ht="14.25" x14ac:dyDescent="0.15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5"/>
      <c r="AT75" s="46"/>
      <c r="AU75" s="43"/>
    </row>
    <row r="76" spans="1:48" s="47" customFormat="1" ht="14.25" x14ac:dyDescent="0.15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5"/>
      <c r="AT76" s="46"/>
      <c r="AU76" s="43"/>
    </row>
    <row r="77" spans="1:48" s="47" customFormat="1" ht="14.25" x14ac:dyDescent="0.15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5"/>
      <c r="AT77" s="46"/>
      <c r="AU77" s="43"/>
    </row>
    <row r="78" spans="1:48" s="47" customFormat="1" ht="14.25" x14ac:dyDescent="0.15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5"/>
      <c r="AT78" s="46"/>
      <c r="AU78" s="43"/>
    </row>
    <row r="79" spans="1:48" s="47" customFormat="1" ht="14.25" x14ac:dyDescent="0.15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5"/>
      <c r="AT79" s="46"/>
      <c r="AU79" s="43"/>
    </row>
    <row r="80" spans="1:48" s="47" customFormat="1" ht="14.25" x14ac:dyDescent="0.15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5"/>
      <c r="AT80" s="46"/>
      <c r="AU80" s="43"/>
    </row>
    <row r="81" spans="1:47" s="47" customFormat="1" ht="14.25" x14ac:dyDescent="0.15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5"/>
      <c r="AT81" s="46"/>
      <c r="AU81" s="43"/>
    </row>
    <row r="82" spans="1:47" s="47" customFormat="1" ht="14.25" x14ac:dyDescent="0.15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5"/>
      <c r="AT82" s="46"/>
      <c r="AU82" s="43"/>
    </row>
    <row r="83" spans="1:47" s="47" customFormat="1" ht="14.25" x14ac:dyDescent="0.15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5"/>
      <c r="AT83" s="46"/>
      <c r="AU83" s="43"/>
    </row>
    <row r="84" spans="1:47" s="47" customFormat="1" ht="14.25" x14ac:dyDescent="0.15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5"/>
      <c r="AT84" s="46"/>
      <c r="AU84" s="43"/>
    </row>
    <row r="85" spans="1:47" s="47" customFormat="1" ht="14.25" x14ac:dyDescent="0.15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5"/>
      <c r="AT85" s="46"/>
      <c r="AU85" s="43"/>
    </row>
    <row r="86" spans="1:47" s="47" customFormat="1" ht="14.25" x14ac:dyDescent="0.15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5"/>
      <c r="AT86" s="46"/>
      <c r="AU86" s="43"/>
    </row>
    <row r="87" spans="1:47" s="47" customFormat="1" ht="14.25" x14ac:dyDescent="0.15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5"/>
      <c r="AT87" s="46"/>
      <c r="AU87" s="43"/>
    </row>
    <row r="88" spans="1:47" s="47" customFormat="1" ht="14.25" x14ac:dyDescent="0.15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5"/>
      <c r="AT88" s="46"/>
      <c r="AU88" s="43"/>
    </row>
    <row r="89" spans="1:47" s="24" customFormat="1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128"/>
      <c r="AT89" s="23"/>
      <c r="AU89" s="27"/>
    </row>
    <row r="90" spans="1:47" s="24" customForma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128"/>
      <c r="AT90" s="23"/>
      <c r="AU90" s="27"/>
    </row>
    <row r="91" spans="1:47" s="24" customForma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128"/>
      <c r="AT91" s="23"/>
      <c r="AU91" s="27"/>
    </row>
    <row r="92" spans="1:47" s="24" customForma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128"/>
      <c r="AT92" s="23"/>
      <c r="AU92" s="27"/>
    </row>
    <row r="93" spans="1:47" s="24" customForma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128"/>
      <c r="AT93" s="23"/>
      <c r="AU93" s="27"/>
    </row>
    <row r="94" spans="1:47" s="24" customForma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128"/>
      <c r="AT94" s="23"/>
      <c r="AU94" s="27"/>
    </row>
    <row r="95" spans="1:47" s="24" customForma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128"/>
      <c r="AT95" s="23"/>
      <c r="AU95" s="27"/>
    </row>
    <row r="96" spans="1:47" s="24" customForma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128"/>
      <c r="AT96" s="23"/>
      <c r="AU96" s="27"/>
    </row>
    <row r="97" spans="1:47" s="24" customForma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128"/>
      <c r="AT97" s="23"/>
      <c r="AU97" s="27"/>
    </row>
    <row r="98" spans="1:47" s="24" customForma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128"/>
      <c r="AT98" s="23"/>
      <c r="AU98" s="27"/>
    </row>
    <row r="99" spans="1:47" s="24" customFormat="1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128"/>
      <c r="AT99" s="23"/>
      <c r="AU99" s="27"/>
    </row>
    <row r="100" spans="1:47" s="24" customFormat="1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128"/>
      <c r="AT100" s="23"/>
      <c r="AU100" s="27"/>
    </row>
    <row r="101" spans="1:47" s="24" customFormat="1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128"/>
      <c r="AT101" s="23"/>
      <c r="AU101" s="27"/>
    </row>
    <row r="102" spans="1:47" s="24" customFormat="1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128"/>
      <c r="AT102" s="23"/>
      <c r="AU102" s="27"/>
    </row>
    <row r="103" spans="1:47" s="24" customFormat="1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128"/>
      <c r="AT103" s="23"/>
      <c r="AU103" s="27"/>
    </row>
    <row r="104" spans="1:47" s="24" customFormat="1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128"/>
      <c r="AT104" s="23"/>
      <c r="AU104" s="27"/>
    </row>
    <row r="105" spans="1:47" s="24" customFormat="1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128"/>
      <c r="AT105" s="23"/>
      <c r="AU105" s="27"/>
    </row>
    <row r="106" spans="1:47" s="24" customFormat="1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128"/>
      <c r="AT106" s="23"/>
      <c r="AU106" s="27"/>
    </row>
    <row r="107" spans="1:47" s="24" customFormat="1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128"/>
      <c r="AT107" s="23"/>
      <c r="AU107" s="27"/>
    </row>
    <row r="108" spans="1:47" s="24" customFormat="1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128"/>
      <c r="AT108" s="23"/>
      <c r="AU108" s="27"/>
    </row>
    <row r="109" spans="1:47" s="24" customFormat="1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128"/>
      <c r="AT109" s="23"/>
      <c r="AU109" s="27"/>
    </row>
    <row r="110" spans="1:47" s="24" customFormat="1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128"/>
      <c r="AT110" s="23"/>
      <c r="AU110" s="27"/>
    </row>
    <row r="111" spans="1:47" s="24" customFormat="1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128"/>
      <c r="AT111" s="23"/>
      <c r="AU111" s="27"/>
    </row>
    <row r="112" spans="1:47" s="24" customFormat="1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128"/>
      <c r="AT112" s="23"/>
      <c r="AU112" s="27"/>
    </row>
    <row r="113" spans="1:47" s="24" customFormat="1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128"/>
      <c r="AT113" s="23"/>
      <c r="AU113" s="27"/>
    </row>
    <row r="114" spans="1:47" s="24" customFormat="1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128"/>
      <c r="AT114" s="23"/>
      <c r="AU114" s="27"/>
    </row>
    <row r="115" spans="1:47" s="24" customFormat="1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128"/>
      <c r="AT115" s="23"/>
      <c r="AU115" s="27"/>
    </row>
    <row r="116" spans="1:47" s="24" customFormat="1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128"/>
      <c r="AT116" s="23"/>
      <c r="AU116" s="27"/>
    </row>
    <row r="117" spans="1:47" s="24" customFormat="1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128"/>
      <c r="AT117" s="23"/>
      <c r="AU117" s="27"/>
    </row>
    <row r="118" spans="1:47" s="24" customFormat="1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128"/>
      <c r="AT118" s="23"/>
      <c r="AU118" s="27"/>
    </row>
    <row r="119" spans="1:47" s="24" customFormat="1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128"/>
      <c r="AT119" s="23"/>
      <c r="AU119" s="27"/>
    </row>
    <row r="120" spans="1:47" s="24" customFormat="1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128"/>
      <c r="AT120" s="23"/>
      <c r="AU120" s="27"/>
    </row>
    <row r="121" spans="1:47" s="24" customFormat="1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128"/>
      <c r="AT121" s="23"/>
      <c r="AU121" s="27"/>
    </row>
    <row r="122" spans="1:47" s="24" customFormat="1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128"/>
      <c r="AT122" s="23"/>
      <c r="AU122" s="27"/>
    </row>
    <row r="123" spans="1:47" s="24" customFormat="1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128"/>
      <c r="AT123" s="23"/>
      <c r="AU123" s="27"/>
    </row>
    <row r="124" spans="1:47" s="24" customFormat="1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128"/>
      <c r="AT124" s="23"/>
      <c r="AU124" s="27"/>
    </row>
    <row r="125" spans="1:47" s="24" customFormat="1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128"/>
      <c r="AT125" s="23"/>
      <c r="AU125" s="27"/>
    </row>
    <row r="126" spans="1:47" s="24" customFormat="1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128"/>
      <c r="AT126" s="23"/>
      <c r="AU126" s="27"/>
    </row>
    <row r="127" spans="1:47" s="24" customFormat="1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128"/>
      <c r="AT127" s="23"/>
      <c r="AU127" s="27"/>
    </row>
    <row r="128" spans="1:47" s="24" customFormat="1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128"/>
      <c r="AT128" s="23"/>
      <c r="AU128" s="27"/>
    </row>
    <row r="129" spans="1:47" s="24" customFormat="1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128"/>
      <c r="AT129" s="23"/>
      <c r="AU129" s="27"/>
    </row>
    <row r="130" spans="1:47" s="24" customFormat="1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128"/>
      <c r="AT130" s="23"/>
      <c r="AU130" s="27"/>
    </row>
    <row r="131" spans="1:47" s="24" customFormat="1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128"/>
      <c r="AT131" s="23"/>
      <c r="AU131" s="27"/>
    </row>
    <row r="132" spans="1:47" s="24" customFormat="1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128"/>
      <c r="AT132" s="23"/>
      <c r="AU132" s="27"/>
    </row>
    <row r="133" spans="1:47" s="24" customFormat="1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128"/>
      <c r="AT133" s="23"/>
      <c r="AU133" s="27"/>
    </row>
    <row r="134" spans="1:47" s="24" customFormat="1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128"/>
      <c r="AT134" s="23"/>
      <c r="AU134" s="27"/>
    </row>
    <row r="135" spans="1:47" s="24" customFormat="1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128"/>
      <c r="AT135" s="23"/>
      <c r="AU135" s="27"/>
    </row>
    <row r="136" spans="1:47" s="24" customFormat="1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128"/>
      <c r="AT136" s="23"/>
      <c r="AU136" s="27"/>
    </row>
    <row r="137" spans="1:47" s="24" customFormat="1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128"/>
      <c r="AT137" s="23"/>
      <c r="AU137" s="27"/>
    </row>
    <row r="138" spans="1:47" s="24" customFormat="1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128"/>
      <c r="AT138" s="23"/>
      <c r="AU138" s="27"/>
    </row>
    <row r="139" spans="1:47" s="24" customFormat="1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128"/>
      <c r="AT139" s="23"/>
      <c r="AU139" s="27"/>
    </row>
    <row r="140" spans="1:47" s="24" customFormat="1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128"/>
      <c r="AT140" s="23"/>
      <c r="AU140" s="27"/>
    </row>
    <row r="141" spans="1:47" s="24" customFormat="1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128"/>
      <c r="AT141" s="23"/>
      <c r="AU141" s="27"/>
    </row>
    <row r="142" spans="1:47" s="24" customFormat="1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128"/>
      <c r="AT142" s="23"/>
      <c r="AU142" s="27"/>
    </row>
    <row r="143" spans="1:47" s="24" customFormat="1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128"/>
      <c r="AT143" s="23"/>
      <c r="AU143" s="27"/>
    </row>
    <row r="144" spans="1:47" s="24" customFormat="1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128"/>
      <c r="AT144" s="23"/>
      <c r="AU144" s="27"/>
    </row>
    <row r="145" spans="1:47" s="24" customFormat="1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128"/>
      <c r="AT145" s="23"/>
      <c r="AU145" s="27"/>
    </row>
    <row r="146" spans="1:47" s="24" customFormat="1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128"/>
      <c r="AT146" s="23"/>
      <c r="AU146" s="27"/>
    </row>
    <row r="147" spans="1:47" s="24" customFormat="1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128"/>
      <c r="AT147" s="23"/>
      <c r="AU147" s="27"/>
    </row>
    <row r="148" spans="1:47" s="24" customFormat="1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128"/>
      <c r="AT148" s="23"/>
      <c r="AU148" s="27"/>
    </row>
    <row r="149" spans="1:47" s="24" customFormat="1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128"/>
      <c r="AT149" s="23"/>
      <c r="AU149" s="27"/>
    </row>
    <row r="150" spans="1:47" s="24" customFormat="1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128"/>
      <c r="AT150" s="23"/>
      <c r="AU150" s="27"/>
    </row>
    <row r="151" spans="1:47" s="24" customFormat="1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128"/>
      <c r="AT151" s="23"/>
      <c r="AU151" s="27"/>
    </row>
    <row r="152" spans="1:47" s="24" customFormat="1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128"/>
      <c r="AT152" s="23"/>
      <c r="AU152" s="27"/>
    </row>
    <row r="153" spans="1:47" s="24" customFormat="1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128"/>
      <c r="AT153" s="23"/>
      <c r="AU153" s="27"/>
    </row>
    <row r="154" spans="1:47" s="24" customFormat="1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128"/>
      <c r="AT154" s="23"/>
      <c r="AU154" s="27"/>
    </row>
    <row r="155" spans="1:47" s="24" customFormat="1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128"/>
      <c r="AT155" s="23"/>
      <c r="AU155" s="27"/>
    </row>
    <row r="156" spans="1:47" s="24" customFormat="1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128"/>
      <c r="AT156" s="23"/>
      <c r="AU156" s="27"/>
    </row>
    <row r="157" spans="1:47" s="24" customFormat="1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128"/>
      <c r="AT157" s="23"/>
      <c r="AU157" s="27"/>
    </row>
    <row r="158" spans="1:47" s="24" customFormat="1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128"/>
      <c r="AT158" s="23"/>
      <c r="AU158" s="27"/>
    </row>
    <row r="159" spans="1:47" s="24" customFormat="1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128"/>
      <c r="AT159" s="23"/>
      <c r="AU159" s="27"/>
    </row>
    <row r="160" spans="1:47" s="24" customFormat="1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128"/>
      <c r="AT160" s="23"/>
      <c r="AU160" s="27"/>
    </row>
    <row r="161" spans="1:47" s="24" customFormat="1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128"/>
      <c r="AT161" s="23"/>
      <c r="AU161" s="27"/>
    </row>
    <row r="162" spans="1:47" s="24" customFormat="1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128"/>
      <c r="AT162" s="23"/>
      <c r="AU162" s="27"/>
    </row>
    <row r="163" spans="1:47" s="24" customFormat="1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128"/>
      <c r="AT163" s="23"/>
      <c r="AU163" s="27"/>
    </row>
    <row r="164" spans="1:47" s="24" customFormat="1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128"/>
      <c r="AT164" s="23"/>
      <c r="AU164" s="27"/>
    </row>
    <row r="165" spans="1:47" s="24" customFormat="1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128"/>
      <c r="AT165" s="23"/>
      <c r="AU165" s="27"/>
    </row>
    <row r="166" spans="1:47" s="24" customFormat="1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128"/>
      <c r="AT166" s="23"/>
      <c r="AU166" s="27"/>
    </row>
    <row r="167" spans="1:47" s="24" customFormat="1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128"/>
      <c r="AT167" s="23"/>
      <c r="AU167" s="27"/>
    </row>
    <row r="168" spans="1:47" s="24" customFormat="1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128"/>
      <c r="AT168" s="23"/>
      <c r="AU168" s="27"/>
    </row>
    <row r="169" spans="1:47" s="24" customFormat="1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128"/>
      <c r="AT169" s="23"/>
      <c r="AU169" s="27"/>
    </row>
    <row r="170" spans="1:47" s="24" customFormat="1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128"/>
      <c r="AT170" s="23"/>
      <c r="AU170" s="27"/>
    </row>
    <row r="171" spans="1:47" s="24" customFormat="1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128"/>
      <c r="AT171" s="23"/>
      <c r="AU171" s="27"/>
    </row>
    <row r="172" spans="1:47" s="24" customFormat="1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128"/>
      <c r="AT172" s="23"/>
      <c r="AU172" s="27"/>
    </row>
    <row r="173" spans="1:47" s="24" customFormat="1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128"/>
      <c r="AT173" s="23"/>
      <c r="AU173" s="27"/>
    </row>
    <row r="174" spans="1:47" s="24" customFormat="1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128"/>
      <c r="AT174" s="23"/>
      <c r="AU174" s="27"/>
    </row>
    <row r="175" spans="1:47" s="24" customFormat="1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128"/>
      <c r="AT175" s="23"/>
      <c r="AU175" s="27"/>
    </row>
    <row r="176" spans="1:47" s="24" customFormat="1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128"/>
      <c r="AT176" s="23"/>
      <c r="AU176" s="27"/>
    </row>
    <row r="177" spans="1:47" s="24" customFormat="1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128"/>
      <c r="AT177" s="23"/>
      <c r="AU177" s="27"/>
    </row>
    <row r="178" spans="1:47" s="24" customFormat="1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128"/>
      <c r="AT178" s="23"/>
      <c r="AU178" s="27"/>
    </row>
    <row r="179" spans="1:47" s="24" customFormat="1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128"/>
      <c r="AT179" s="23"/>
      <c r="AU179" s="27"/>
    </row>
    <row r="180" spans="1:47" s="24" customFormat="1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128"/>
      <c r="AT180" s="23"/>
      <c r="AU180" s="27"/>
    </row>
    <row r="181" spans="1:47" s="24" customFormat="1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128"/>
      <c r="AT181" s="23"/>
      <c r="AU181" s="27"/>
    </row>
    <row r="182" spans="1:47" s="24" customFormat="1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128"/>
      <c r="AT182" s="23"/>
      <c r="AU182" s="27"/>
    </row>
    <row r="183" spans="1:47" s="24" customFormat="1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128"/>
      <c r="AT183" s="23"/>
      <c r="AU183" s="27"/>
    </row>
    <row r="184" spans="1:47" s="24" customFormat="1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128"/>
      <c r="AT184" s="23"/>
      <c r="AU184" s="27"/>
    </row>
    <row r="185" spans="1:47" s="24" customFormat="1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128"/>
      <c r="AT185" s="23"/>
      <c r="AU185" s="27"/>
    </row>
    <row r="186" spans="1:47" s="24" customFormat="1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128"/>
      <c r="AT186" s="23"/>
      <c r="AU186" s="27"/>
    </row>
    <row r="187" spans="1:47" s="24" customFormat="1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128"/>
      <c r="AT187" s="23"/>
      <c r="AU187" s="27"/>
    </row>
    <row r="188" spans="1:47" s="24" customFormat="1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128"/>
      <c r="AT188" s="23"/>
      <c r="AU188" s="27"/>
    </row>
    <row r="189" spans="1:47" s="24" customFormat="1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128"/>
      <c r="AT189" s="23"/>
      <c r="AU189" s="27"/>
    </row>
    <row r="190" spans="1:47" s="24" customFormat="1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128"/>
      <c r="AT190" s="23"/>
      <c r="AU190" s="27"/>
    </row>
    <row r="191" spans="1:47" s="24" customFormat="1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128"/>
      <c r="AT191" s="23"/>
      <c r="AU191" s="27"/>
    </row>
    <row r="192" spans="1:47" s="24" customFormat="1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128"/>
      <c r="AT192" s="23"/>
      <c r="AU192" s="27"/>
    </row>
    <row r="193" spans="1:47" s="24" customFormat="1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128"/>
      <c r="AT193" s="23"/>
      <c r="AU193" s="27"/>
    </row>
    <row r="194" spans="1:47" s="24" customFormat="1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128"/>
      <c r="AT194" s="23"/>
      <c r="AU194" s="27"/>
    </row>
    <row r="195" spans="1:47" s="24" customFormat="1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128"/>
      <c r="AT195" s="23"/>
      <c r="AU195" s="27"/>
    </row>
    <row r="196" spans="1:47" s="24" customFormat="1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128"/>
      <c r="AT196" s="23"/>
      <c r="AU196" s="27"/>
    </row>
    <row r="197" spans="1:47" s="24" customFormat="1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128"/>
      <c r="AT197" s="23"/>
      <c r="AU197" s="27"/>
    </row>
    <row r="198" spans="1:47" s="24" customFormat="1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128"/>
      <c r="AT198" s="23"/>
      <c r="AU198" s="27"/>
    </row>
    <row r="199" spans="1:47" s="24" customFormat="1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128"/>
      <c r="AT199" s="23"/>
      <c r="AU199" s="27"/>
    </row>
    <row r="200" spans="1:47" s="24" customFormat="1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128"/>
      <c r="AT200" s="23"/>
      <c r="AU200" s="27"/>
    </row>
    <row r="201" spans="1:47" s="24" customFormat="1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128"/>
      <c r="AT201" s="23"/>
      <c r="AU201" s="27"/>
    </row>
    <row r="202" spans="1:47" s="24" customFormat="1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128"/>
      <c r="AT202" s="23"/>
      <c r="AU202" s="27"/>
    </row>
    <row r="203" spans="1:47" s="24" customFormat="1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128"/>
      <c r="AT203" s="23"/>
      <c r="AU203" s="27"/>
    </row>
    <row r="204" spans="1:47" s="24" customFormat="1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128"/>
      <c r="AT204" s="23"/>
      <c r="AU204" s="27"/>
    </row>
    <row r="205" spans="1:47" s="24" customFormat="1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128"/>
      <c r="AT205" s="23"/>
      <c r="AU205" s="27"/>
    </row>
    <row r="206" spans="1:47" s="24" customFormat="1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128"/>
      <c r="AT206" s="23"/>
      <c r="AU206" s="27"/>
    </row>
    <row r="207" spans="1:47" s="24" customFormat="1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128"/>
      <c r="AT207" s="23"/>
      <c r="AU207" s="27"/>
    </row>
    <row r="208" spans="1:47" s="24" customFormat="1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128"/>
      <c r="AT208" s="23"/>
      <c r="AU208" s="27"/>
    </row>
    <row r="209" spans="1:47" s="24" customFormat="1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128"/>
      <c r="AT209" s="23"/>
      <c r="AU209" s="27"/>
    </row>
    <row r="210" spans="1:47" s="24" customFormat="1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128"/>
      <c r="AT210" s="23"/>
      <c r="AU210" s="27"/>
    </row>
    <row r="211" spans="1:47" s="24" customFormat="1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128"/>
      <c r="AT211" s="23"/>
      <c r="AU211" s="27"/>
    </row>
    <row r="212" spans="1:47" s="24" customFormat="1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128"/>
      <c r="AT212" s="23"/>
      <c r="AU212" s="27"/>
    </row>
    <row r="213" spans="1:47" s="24" customFormat="1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128"/>
      <c r="AT213" s="23"/>
      <c r="AU213" s="27"/>
    </row>
    <row r="214" spans="1:47" s="24" customFormat="1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128"/>
      <c r="AT214" s="23"/>
      <c r="AU214" s="27"/>
    </row>
    <row r="215" spans="1:47" s="24" customFormat="1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128"/>
      <c r="AT215" s="23"/>
      <c r="AU215" s="27"/>
    </row>
    <row r="216" spans="1:47" s="24" customFormat="1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128"/>
      <c r="AT216" s="23"/>
      <c r="AU216" s="27"/>
    </row>
    <row r="217" spans="1:47" s="24" customFormat="1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128"/>
      <c r="AT217" s="23"/>
      <c r="AU217" s="27"/>
    </row>
    <row r="218" spans="1:47" s="24" customFormat="1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128"/>
      <c r="AT218" s="23"/>
      <c r="AU218" s="27"/>
    </row>
    <row r="219" spans="1:47" s="24" customFormat="1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128"/>
      <c r="AT219" s="23"/>
      <c r="AU219" s="27"/>
    </row>
    <row r="220" spans="1:47" s="24" customFormat="1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128"/>
      <c r="AT220" s="23"/>
      <c r="AU220" s="27"/>
    </row>
    <row r="221" spans="1:47" s="24" customFormat="1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128"/>
      <c r="AT221" s="23"/>
      <c r="AU221" s="27"/>
    </row>
    <row r="222" spans="1:47" s="24" customFormat="1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128"/>
      <c r="AT222" s="23"/>
      <c r="AU222" s="27"/>
    </row>
    <row r="223" spans="1:47" s="24" customFormat="1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128"/>
      <c r="AT223" s="23"/>
      <c r="AU223" s="27"/>
    </row>
    <row r="224" spans="1:47" s="24" customFormat="1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128"/>
      <c r="AT224" s="23"/>
      <c r="AU224" s="27"/>
    </row>
    <row r="225" spans="1:47" s="24" customFormat="1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128"/>
      <c r="AT225" s="23"/>
      <c r="AU225" s="27"/>
    </row>
    <row r="226" spans="1:47" s="24" customFormat="1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128"/>
      <c r="AT226" s="23"/>
      <c r="AU226" s="27"/>
    </row>
    <row r="227" spans="1:47" s="24" customFormat="1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128"/>
      <c r="AT227" s="23"/>
      <c r="AU227" s="27"/>
    </row>
    <row r="228" spans="1:47" s="24" customFormat="1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128"/>
      <c r="AT228" s="23"/>
      <c r="AU228" s="27"/>
    </row>
    <row r="229" spans="1:47" s="24" customFormat="1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128"/>
      <c r="AT229" s="23"/>
      <c r="AU229" s="27"/>
    </row>
    <row r="230" spans="1:47" s="24" customFormat="1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128"/>
      <c r="AT230" s="23"/>
      <c r="AU230" s="27"/>
    </row>
    <row r="231" spans="1:47" s="24" customFormat="1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128"/>
      <c r="AT231" s="23"/>
      <c r="AU231" s="27"/>
    </row>
    <row r="232" spans="1:47" s="24" customFormat="1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128"/>
      <c r="AT232" s="23"/>
      <c r="AU232" s="27"/>
    </row>
    <row r="233" spans="1:47" s="24" customFormat="1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128"/>
      <c r="AT233" s="23"/>
      <c r="AU233" s="27"/>
    </row>
    <row r="234" spans="1:47" s="24" customFormat="1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128"/>
      <c r="AT234" s="23"/>
      <c r="AU234" s="27"/>
    </row>
    <row r="235" spans="1:47" s="24" customFormat="1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128"/>
      <c r="AT235" s="23"/>
      <c r="AU235" s="27"/>
    </row>
    <row r="236" spans="1:47" s="24" customFormat="1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128"/>
      <c r="AT236" s="23"/>
      <c r="AU236" s="27"/>
    </row>
    <row r="237" spans="1:47" s="24" customFormat="1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128"/>
      <c r="AT237" s="23"/>
      <c r="AU237" s="27"/>
    </row>
    <row r="238" spans="1:47" s="24" customFormat="1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128"/>
      <c r="AT238" s="23"/>
      <c r="AU238" s="27"/>
    </row>
    <row r="239" spans="1:47" s="24" customFormat="1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128"/>
      <c r="AT239" s="23"/>
      <c r="AU239" s="27"/>
    </row>
    <row r="240" spans="1:47" s="24" customFormat="1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128"/>
      <c r="AT240" s="23"/>
      <c r="AU240" s="27"/>
    </row>
    <row r="241" spans="1:47" s="24" customFormat="1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128"/>
      <c r="AT241" s="23"/>
      <c r="AU241" s="27"/>
    </row>
    <row r="242" spans="1:47" s="24" customFormat="1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128"/>
      <c r="AT242" s="23"/>
      <c r="AU242" s="27"/>
    </row>
    <row r="243" spans="1:47" s="24" customFormat="1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128"/>
      <c r="AT243" s="23"/>
      <c r="AU243" s="27"/>
    </row>
    <row r="244" spans="1:47" s="24" customFormat="1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128"/>
      <c r="AT244" s="23"/>
      <c r="AU244" s="27"/>
    </row>
    <row r="245" spans="1:47" s="24" customFormat="1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128"/>
      <c r="AT245" s="23"/>
      <c r="AU245" s="27"/>
    </row>
    <row r="246" spans="1:47" s="24" customFormat="1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128"/>
      <c r="AT246" s="23"/>
      <c r="AU246" s="27"/>
    </row>
    <row r="247" spans="1:47" s="24" customFormat="1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128"/>
      <c r="AT247" s="23"/>
      <c r="AU247" s="27"/>
    </row>
    <row r="248" spans="1:47" s="24" customFormat="1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128"/>
      <c r="AT248" s="23"/>
      <c r="AU248" s="27"/>
    </row>
    <row r="249" spans="1:47" s="24" customFormat="1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128"/>
      <c r="AT249" s="23"/>
      <c r="AU249" s="27"/>
    </row>
    <row r="250" spans="1:47" s="24" customFormat="1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128"/>
      <c r="AT250" s="23"/>
      <c r="AU250" s="27"/>
    </row>
    <row r="251" spans="1:47" s="24" customFormat="1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128"/>
      <c r="AT251" s="23"/>
      <c r="AU251" s="27"/>
    </row>
    <row r="252" spans="1:47" s="24" customFormat="1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128"/>
      <c r="AT252" s="23"/>
      <c r="AU252" s="27"/>
    </row>
    <row r="253" spans="1:47" s="24" customFormat="1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128"/>
      <c r="AT253" s="23"/>
      <c r="AU253" s="27"/>
    </row>
    <row r="254" spans="1:47" s="24" customFormat="1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128"/>
      <c r="AT254" s="23"/>
      <c r="AU254" s="27"/>
    </row>
    <row r="255" spans="1:47" s="24" customFormat="1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128"/>
      <c r="AT255" s="23"/>
      <c r="AU255" s="27"/>
    </row>
    <row r="256" spans="1:47" s="24" customFormat="1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128"/>
      <c r="AT256" s="23"/>
      <c r="AU256" s="27"/>
    </row>
    <row r="257" spans="1:47" s="24" customFormat="1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128"/>
      <c r="AT257" s="23"/>
      <c r="AU257" s="27"/>
    </row>
    <row r="258" spans="1:47" s="24" customFormat="1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128"/>
      <c r="AT258" s="23"/>
      <c r="AU258" s="27"/>
    </row>
    <row r="259" spans="1:47" s="24" customFormat="1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128"/>
      <c r="AT259" s="23"/>
      <c r="AU259" s="27"/>
    </row>
    <row r="260" spans="1:47" s="24" customFormat="1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128"/>
      <c r="AT260" s="23"/>
      <c r="AU260" s="27"/>
    </row>
    <row r="261" spans="1:47" s="24" customFormat="1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128"/>
      <c r="AT261" s="23"/>
      <c r="AU261" s="27"/>
    </row>
    <row r="262" spans="1:47" s="24" customFormat="1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128"/>
      <c r="AT262" s="23"/>
      <c r="AU262" s="27"/>
    </row>
    <row r="263" spans="1:47" s="24" customFormat="1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128"/>
      <c r="AT263" s="23"/>
      <c r="AU263" s="27"/>
    </row>
    <row r="264" spans="1:47" s="24" customFormat="1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128"/>
      <c r="AT264" s="23"/>
      <c r="AU264" s="27"/>
    </row>
    <row r="265" spans="1:47" s="24" customFormat="1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128"/>
      <c r="AT265" s="23"/>
      <c r="AU265" s="27"/>
    </row>
    <row r="266" spans="1:47" s="24" customFormat="1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128"/>
      <c r="AT266" s="23"/>
      <c r="AU266" s="27"/>
    </row>
    <row r="267" spans="1:47" s="24" customFormat="1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128"/>
      <c r="AT267" s="23"/>
      <c r="AU267" s="27"/>
    </row>
    <row r="268" spans="1:47" s="24" customFormat="1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128"/>
      <c r="AT268" s="23"/>
      <c r="AU268" s="27"/>
    </row>
    <row r="269" spans="1:47" s="24" customFormat="1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128"/>
      <c r="AT269" s="23"/>
      <c r="AU269" s="27"/>
    </row>
    <row r="270" spans="1:47" s="24" customFormat="1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128"/>
      <c r="AT270" s="23"/>
      <c r="AU270" s="27"/>
    </row>
    <row r="271" spans="1:47" s="24" customFormat="1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128"/>
      <c r="AT271" s="23"/>
      <c r="AU271" s="27"/>
    </row>
    <row r="272" spans="1:47" s="24" customFormat="1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128"/>
      <c r="AT272" s="23"/>
      <c r="AU272" s="27"/>
    </row>
    <row r="273" spans="1:47" s="24" customFormat="1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128"/>
      <c r="AT273" s="23"/>
      <c r="AU273" s="27"/>
    </row>
    <row r="274" spans="1:47" s="24" customFormat="1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128"/>
      <c r="AT274" s="23"/>
      <c r="AU274" s="27"/>
    </row>
    <row r="275" spans="1:47" s="24" customFormat="1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128"/>
      <c r="AT275" s="23"/>
      <c r="AU275" s="27"/>
    </row>
    <row r="276" spans="1:47" s="24" customFormat="1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128"/>
      <c r="AT276" s="23"/>
      <c r="AU276" s="27"/>
    </row>
    <row r="277" spans="1:47" s="24" customFormat="1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128"/>
      <c r="AT277" s="23"/>
      <c r="AU277" s="27"/>
    </row>
    <row r="278" spans="1:47" s="24" customFormat="1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128"/>
      <c r="AT278" s="23"/>
      <c r="AU278" s="27"/>
    </row>
    <row r="279" spans="1:47" s="24" customFormat="1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128"/>
      <c r="AT279" s="23"/>
      <c r="AU279" s="27"/>
    </row>
    <row r="280" spans="1:47" s="24" customFormat="1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128"/>
      <c r="AT280" s="23"/>
      <c r="AU280" s="27"/>
    </row>
    <row r="281" spans="1:47" s="24" customFormat="1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128"/>
      <c r="AT281" s="23"/>
      <c r="AU281" s="27"/>
    </row>
    <row r="282" spans="1:47" s="24" customFormat="1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128"/>
      <c r="AT282" s="23"/>
      <c r="AU282" s="27"/>
    </row>
    <row r="283" spans="1:47" s="24" customFormat="1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128"/>
      <c r="AT283" s="23"/>
      <c r="AU283" s="27"/>
    </row>
    <row r="284" spans="1:47" s="24" customFormat="1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128"/>
      <c r="AT284" s="23"/>
      <c r="AU284" s="27"/>
    </row>
    <row r="285" spans="1:47" s="24" customFormat="1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128"/>
      <c r="AT285" s="23"/>
      <c r="AU285" s="27"/>
    </row>
    <row r="286" spans="1:47" s="24" customFormat="1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128"/>
      <c r="AT286" s="23"/>
      <c r="AU286" s="27"/>
    </row>
    <row r="287" spans="1:47" s="24" customFormat="1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128"/>
      <c r="AT287" s="23"/>
      <c r="AU287" s="27"/>
    </row>
    <row r="288" spans="1:47" s="24" customFormat="1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128"/>
      <c r="AT288" s="23"/>
      <c r="AU288" s="27"/>
    </row>
    <row r="289" spans="1:47" s="24" customFormat="1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128"/>
      <c r="AT289" s="23"/>
      <c r="AU289" s="27"/>
    </row>
    <row r="290" spans="1:47" s="24" customFormat="1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128"/>
      <c r="AT290" s="23"/>
      <c r="AU290" s="27"/>
    </row>
    <row r="291" spans="1:47" s="24" customFormat="1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128"/>
      <c r="AT291" s="23"/>
      <c r="AU291" s="27"/>
    </row>
    <row r="292" spans="1:47" s="24" customFormat="1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128"/>
      <c r="AT292" s="23"/>
      <c r="AU292" s="27"/>
    </row>
    <row r="293" spans="1:47" s="24" customFormat="1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128"/>
      <c r="AT293" s="23"/>
      <c r="AU293" s="27"/>
    </row>
    <row r="294" spans="1:47" s="24" customFormat="1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128"/>
      <c r="AT294" s="23"/>
      <c r="AU294" s="27"/>
    </row>
    <row r="295" spans="1:47" s="24" customFormat="1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128"/>
      <c r="AT295" s="23"/>
      <c r="AU295" s="27"/>
    </row>
    <row r="296" spans="1:47" s="24" customFormat="1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128"/>
      <c r="AT296" s="23"/>
      <c r="AU296" s="27"/>
    </row>
    <row r="297" spans="1:47" s="24" customFormat="1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128"/>
      <c r="AT297" s="23"/>
      <c r="AU297" s="27"/>
    </row>
    <row r="298" spans="1:47" s="24" customFormat="1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128"/>
      <c r="AT298" s="23"/>
      <c r="AU298" s="27"/>
    </row>
    <row r="299" spans="1:47" s="24" customFormat="1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128"/>
      <c r="AT299" s="23"/>
      <c r="AU299" s="27"/>
    </row>
    <row r="300" spans="1:47" s="24" customFormat="1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128"/>
      <c r="AT300" s="23"/>
      <c r="AU300" s="27"/>
    </row>
    <row r="301" spans="1:47" s="24" customFormat="1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128"/>
      <c r="AT301" s="23"/>
      <c r="AU301" s="27"/>
    </row>
    <row r="302" spans="1:47" s="24" customFormat="1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128"/>
      <c r="AT302" s="23"/>
      <c r="AU302" s="27"/>
    </row>
    <row r="303" spans="1:47" s="24" customFormat="1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128"/>
      <c r="AT303" s="23"/>
      <c r="AU303" s="27"/>
    </row>
    <row r="304" spans="1:47" s="24" customFormat="1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128"/>
      <c r="AT304" s="23"/>
      <c r="AU304" s="27"/>
    </row>
    <row r="305" spans="1:47" s="24" customFormat="1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128"/>
      <c r="AT305" s="23"/>
      <c r="AU305" s="27"/>
    </row>
    <row r="306" spans="1:47" s="24" customFormat="1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128"/>
      <c r="AT306" s="23"/>
      <c r="AU306" s="27"/>
    </row>
    <row r="307" spans="1:47" s="24" customFormat="1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128"/>
      <c r="AT307" s="23"/>
      <c r="AU307" s="27"/>
    </row>
    <row r="308" spans="1:47" s="24" customFormat="1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128"/>
      <c r="AT308" s="23"/>
      <c r="AU308" s="27"/>
    </row>
    <row r="309" spans="1:47" s="24" customFormat="1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128"/>
      <c r="AT309" s="23"/>
      <c r="AU309" s="27"/>
    </row>
    <row r="310" spans="1:47" s="24" customFormat="1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128"/>
      <c r="AT310" s="23"/>
      <c r="AU310" s="27"/>
    </row>
    <row r="311" spans="1:47" s="24" customFormat="1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128"/>
      <c r="AT311" s="23"/>
      <c r="AU311" s="27"/>
    </row>
    <row r="312" spans="1:47" s="24" customFormat="1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128"/>
      <c r="AT312" s="23"/>
      <c r="AU312" s="27"/>
    </row>
    <row r="313" spans="1:47" s="24" customFormat="1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128"/>
      <c r="AT313" s="23"/>
      <c r="AU313" s="27"/>
    </row>
    <row r="314" spans="1:47" s="24" customFormat="1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128"/>
      <c r="AT314" s="23"/>
      <c r="AU314" s="27"/>
    </row>
    <row r="315" spans="1:47" s="24" customFormat="1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128"/>
      <c r="AT315" s="23"/>
      <c r="AU315" s="27"/>
    </row>
    <row r="316" spans="1:47" s="24" customFormat="1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128"/>
      <c r="AT316" s="23"/>
      <c r="AU316" s="27"/>
    </row>
    <row r="317" spans="1:47" s="24" customFormat="1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128"/>
      <c r="AT317" s="23"/>
      <c r="AU317" s="27"/>
    </row>
    <row r="318" spans="1:47" s="24" customFormat="1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128"/>
      <c r="AT318" s="23"/>
      <c r="AU318" s="27"/>
    </row>
    <row r="319" spans="1:47" s="24" customFormat="1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128"/>
      <c r="AT319" s="23"/>
      <c r="AU319" s="27"/>
    </row>
    <row r="320" spans="1:47" s="24" customFormat="1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128"/>
      <c r="AT320" s="23"/>
      <c r="AU320" s="27"/>
    </row>
    <row r="321" spans="1:47" s="24" customFormat="1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128"/>
      <c r="AT321" s="23"/>
      <c r="AU321" s="27"/>
    </row>
    <row r="322" spans="1:47" s="24" customFormat="1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128"/>
      <c r="AT322" s="23"/>
      <c r="AU322" s="27"/>
    </row>
    <row r="323" spans="1:47" s="24" customFormat="1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128"/>
      <c r="AT323" s="23"/>
      <c r="AU323" s="27"/>
    </row>
    <row r="324" spans="1:47" s="24" customFormat="1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128"/>
      <c r="AT324" s="23"/>
      <c r="AU324" s="27"/>
    </row>
    <row r="325" spans="1:47" s="24" customFormat="1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128"/>
      <c r="AT325" s="23"/>
      <c r="AU325" s="27"/>
    </row>
    <row r="326" spans="1:47" s="24" customFormat="1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128"/>
      <c r="AT326" s="23"/>
      <c r="AU326" s="27"/>
    </row>
    <row r="327" spans="1:47" s="24" customFormat="1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128"/>
      <c r="AT327" s="23"/>
      <c r="AU327" s="27"/>
    </row>
    <row r="328" spans="1:47" s="24" customFormat="1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128"/>
      <c r="AT328" s="23"/>
      <c r="AU328" s="27"/>
    </row>
    <row r="329" spans="1:47" s="24" customFormat="1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128"/>
      <c r="AT329" s="23"/>
      <c r="AU329" s="27"/>
    </row>
    <row r="330" spans="1:47" s="24" customFormat="1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128"/>
      <c r="AT330" s="23"/>
      <c r="AU330" s="27"/>
    </row>
    <row r="331" spans="1:47" s="24" customFormat="1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128"/>
      <c r="AT331" s="23"/>
      <c r="AU331" s="27"/>
    </row>
    <row r="332" spans="1:47" s="24" customFormat="1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128"/>
      <c r="AT332" s="23"/>
      <c r="AU332" s="27"/>
    </row>
    <row r="333" spans="1:47" s="24" customFormat="1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128"/>
      <c r="AT333" s="23"/>
      <c r="AU333" s="27"/>
    </row>
    <row r="334" spans="1:47" s="24" customFormat="1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128"/>
      <c r="AT334" s="23"/>
      <c r="AU334" s="27"/>
    </row>
    <row r="335" spans="1:47" s="24" customFormat="1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128"/>
      <c r="AT335" s="23"/>
      <c r="AU335" s="27"/>
    </row>
    <row r="336" spans="1:47" s="24" customFormat="1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128"/>
      <c r="AT336" s="23"/>
      <c r="AU336" s="27"/>
    </row>
    <row r="337" spans="1:47" s="24" customFormat="1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128"/>
      <c r="AT337" s="23"/>
      <c r="AU337" s="27"/>
    </row>
    <row r="338" spans="1:47" s="24" customFormat="1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128"/>
      <c r="AT338" s="23"/>
      <c r="AU338" s="27"/>
    </row>
    <row r="339" spans="1:47" s="24" customFormat="1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128"/>
      <c r="AT339" s="23"/>
      <c r="AU339" s="27"/>
    </row>
    <row r="340" spans="1:47" s="24" customFormat="1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128"/>
      <c r="AT340" s="23"/>
      <c r="AU340" s="27"/>
    </row>
    <row r="341" spans="1:47" s="24" customFormat="1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128"/>
      <c r="AT341" s="23"/>
      <c r="AU341" s="27"/>
    </row>
    <row r="342" spans="1:47" s="24" customFormat="1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128"/>
      <c r="AT342" s="23"/>
      <c r="AU342" s="27"/>
    </row>
    <row r="343" spans="1:47" s="24" customFormat="1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128"/>
      <c r="AT343" s="23"/>
      <c r="AU343" s="27"/>
    </row>
    <row r="344" spans="1:47" s="24" customFormat="1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128"/>
      <c r="AT344" s="23"/>
      <c r="AU344" s="27"/>
    </row>
    <row r="345" spans="1:47" s="24" customFormat="1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128"/>
      <c r="AT345" s="23"/>
      <c r="AU345" s="27"/>
    </row>
    <row r="346" spans="1:47" s="24" customFormat="1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128"/>
      <c r="AT346" s="23"/>
      <c r="AU346" s="27"/>
    </row>
    <row r="347" spans="1:47" s="24" customFormat="1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128"/>
      <c r="AT347" s="23"/>
      <c r="AU347" s="27"/>
    </row>
    <row r="348" spans="1:47" s="24" customFormat="1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128"/>
      <c r="AT348" s="23"/>
      <c r="AU348" s="27"/>
    </row>
    <row r="349" spans="1:47" s="24" customFormat="1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128"/>
      <c r="AT349" s="23"/>
      <c r="AU349" s="27"/>
    </row>
    <row r="350" spans="1:47" s="24" customFormat="1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128"/>
      <c r="AT350" s="23"/>
      <c r="AU350" s="27"/>
    </row>
    <row r="351" spans="1:47" s="24" customFormat="1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128"/>
      <c r="AT351" s="23"/>
      <c r="AU351" s="27"/>
    </row>
    <row r="352" spans="1:47" s="24" customFormat="1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128"/>
      <c r="AT352" s="23"/>
      <c r="AU352" s="27"/>
    </row>
    <row r="353" spans="1:47" s="24" customFormat="1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128"/>
      <c r="AT353" s="23"/>
      <c r="AU353" s="27"/>
    </row>
    <row r="354" spans="1:47" s="24" customFormat="1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128"/>
      <c r="AT354" s="23"/>
      <c r="AU354" s="27"/>
    </row>
    <row r="355" spans="1:47" s="24" customFormat="1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128"/>
      <c r="AT355" s="23"/>
      <c r="AU355" s="27"/>
    </row>
    <row r="356" spans="1:47" s="24" customFormat="1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128"/>
      <c r="AT356" s="23"/>
      <c r="AU356" s="27"/>
    </row>
    <row r="357" spans="1:47" s="24" customFormat="1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128"/>
      <c r="AT357" s="23"/>
      <c r="AU357" s="27"/>
    </row>
    <row r="358" spans="1:47" s="24" customFormat="1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128"/>
      <c r="AT358" s="23"/>
      <c r="AU358" s="27"/>
    </row>
    <row r="359" spans="1:47" s="24" customFormat="1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128"/>
      <c r="AT359" s="23"/>
      <c r="AU359" s="27"/>
    </row>
    <row r="360" spans="1:47" s="24" customFormat="1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128"/>
      <c r="AT360" s="23"/>
      <c r="AU360" s="27"/>
    </row>
    <row r="361" spans="1:47" s="24" customFormat="1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128"/>
      <c r="AT361" s="23"/>
      <c r="AU361" s="27"/>
    </row>
    <row r="362" spans="1:47" s="24" customFormat="1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128"/>
      <c r="AT362" s="23"/>
      <c r="AU362" s="27"/>
    </row>
    <row r="363" spans="1:47" s="24" customFormat="1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128"/>
      <c r="AT363" s="23"/>
      <c r="AU363" s="27"/>
    </row>
    <row r="364" spans="1:47" s="24" customFormat="1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128"/>
      <c r="AT364" s="23"/>
      <c r="AU364" s="27"/>
    </row>
    <row r="365" spans="1:47" s="24" customFormat="1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128"/>
      <c r="AT365" s="23"/>
      <c r="AU365" s="27"/>
    </row>
    <row r="366" spans="1:47" s="24" customFormat="1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128"/>
      <c r="AT366" s="23"/>
      <c r="AU366" s="27"/>
    </row>
    <row r="367" spans="1:47" s="24" customFormat="1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128"/>
      <c r="AT367" s="23"/>
      <c r="AU367" s="27"/>
    </row>
    <row r="368" spans="1:47" s="24" customFormat="1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128"/>
      <c r="AT368" s="23"/>
      <c r="AU368" s="27"/>
    </row>
    <row r="369" spans="1:47" s="24" customFormat="1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128"/>
      <c r="AT369" s="23"/>
      <c r="AU369" s="27"/>
    </row>
    <row r="370" spans="1:47" s="24" customFormat="1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128"/>
      <c r="AT370" s="23"/>
      <c r="AU370" s="27"/>
    </row>
    <row r="371" spans="1:47" s="24" customFormat="1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128"/>
      <c r="AT371" s="23"/>
      <c r="AU371" s="27"/>
    </row>
    <row r="372" spans="1:47" s="24" customFormat="1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128"/>
      <c r="AT372" s="23"/>
      <c r="AU372" s="27"/>
    </row>
    <row r="373" spans="1:47" s="24" customFormat="1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128"/>
      <c r="AT373" s="23"/>
      <c r="AU373" s="27"/>
    </row>
    <row r="374" spans="1:47" s="24" customFormat="1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128"/>
      <c r="AT374" s="23"/>
      <c r="AU374" s="27"/>
    </row>
    <row r="375" spans="1:47" s="24" customFormat="1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128"/>
      <c r="AT375" s="23"/>
      <c r="AU375" s="27"/>
    </row>
    <row r="376" spans="1:47" s="24" customFormat="1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128"/>
      <c r="AT376" s="23"/>
      <c r="AU376" s="27"/>
    </row>
    <row r="377" spans="1:47" s="24" customFormat="1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128"/>
      <c r="AT377" s="23"/>
      <c r="AU377" s="27"/>
    </row>
    <row r="378" spans="1:47" s="24" customFormat="1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128"/>
      <c r="AT378" s="23"/>
      <c r="AU378" s="27"/>
    </row>
    <row r="379" spans="1:47" s="24" customFormat="1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128"/>
      <c r="AT379" s="23"/>
      <c r="AU379" s="27"/>
    </row>
    <row r="380" spans="1:47" s="24" customFormat="1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128"/>
      <c r="AT380" s="23"/>
      <c r="AU380" s="27"/>
    </row>
    <row r="381" spans="1:47" s="24" customFormat="1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128"/>
      <c r="AT381" s="23"/>
      <c r="AU381" s="27"/>
    </row>
    <row r="382" spans="1:47" s="24" customFormat="1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128"/>
      <c r="AT382" s="23"/>
      <c r="AU382" s="27"/>
    </row>
    <row r="383" spans="1:47" s="24" customFormat="1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128"/>
      <c r="AT383" s="23"/>
      <c r="AU383" s="27"/>
    </row>
    <row r="384" spans="1:47" s="24" customFormat="1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128"/>
      <c r="AT384" s="23"/>
      <c r="AU384" s="27"/>
    </row>
    <row r="385" spans="1:47" s="24" customFormat="1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128"/>
      <c r="AT385" s="23"/>
      <c r="AU385" s="27"/>
    </row>
    <row r="386" spans="1:47" s="24" customFormat="1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128"/>
      <c r="AT386" s="23"/>
      <c r="AU386" s="27"/>
    </row>
    <row r="387" spans="1:47" s="24" customFormat="1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128"/>
      <c r="AT387" s="23"/>
      <c r="AU387" s="27"/>
    </row>
    <row r="388" spans="1:47" s="24" customFormat="1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128"/>
      <c r="AT388" s="23"/>
      <c r="AU388" s="27"/>
    </row>
    <row r="389" spans="1:47" s="24" customFormat="1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128"/>
      <c r="AT389" s="23"/>
      <c r="AU389" s="27"/>
    </row>
    <row r="390" spans="1:47" s="24" customFormat="1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128"/>
      <c r="AT390" s="23"/>
      <c r="AU390" s="27"/>
    </row>
    <row r="391" spans="1:47" s="24" customFormat="1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128"/>
      <c r="AT391" s="23"/>
      <c r="AU391" s="27"/>
    </row>
    <row r="392" spans="1:47" s="24" customFormat="1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128"/>
      <c r="AT392" s="23"/>
      <c r="AU392" s="27"/>
    </row>
    <row r="393" spans="1:47" s="24" customFormat="1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128"/>
      <c r="AT393" s="23"/>
      <c r="AU393" s="27"/>
    </row>
    <row r="394" spans="1:47" s="24" customFormat="1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128"/>
      <c r="AT394" s="23"/>
      <c r="AU394" s="27"/>
    </row>
    <row r="395" spans="1:47" s="24" customFormat="1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128"/>
      <c r="AT395" s="23"/>
      <c r="AU395" s="27"/>
    </row>
    <row r="396" spans="1:47" s="24" customForma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128"/>
      <c r="AT396" s="25"/>
      <c r="AU396" s="29"/>
    </row>
    <row r="397" spans="1:47" s="24" customForma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128"/>
      <c r="AT397" s="25"/>
      <c r="AU397" s="29"/>
    </row>
    <row r="398" spans="1:47" s="24" customForma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128"/>
      <c r="AT398" s="25"/>
      <c r="AU398" s="29"/>
    </row>
    <row r="399" spans="1:47" s="24" customForma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128"/>
      <c r="AT399" s="25"/>
      <c r="AU399" s="29"/>
    </row>
    <row r="400" spans="1:47" s="24" customFormat="1" ht="16.5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28"/>
      <c r="AT400" s="26"/>
      <c r="AU400" s="30"/>
    </row>
    <row r="401" spans="1:47" s="24" customFormat="1" ht="16.5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28"/>
      <c r="AT401" s="26"/>
      <c r="AU401" s="30"/>
    </row>
  </sheetData>
  <mergeCells count="112">
    <mergeCell ref="E49:E50"/>
    <mergeCell ref="D49:D50"/>
    <mergeCell ref="B49:C50"/>
    <mergeCell ref="B51:C52"/>
    <mergeCell ref="D51:D52"/>
    <mergeCell ref="E51:E52"/>
    <mergeCell ref="B9:B20"/>
    <mergeCell ref="A9:A22"/>
    <mergeCell ref="B23:B26"/>
    <mergeCell ref="A23:A28"/>
    <mergeCell ref="A29:A34"/>
    <mergeCell ref="A35:A38"/>
    <mergeCell ref="A39:A52"/>
    <mergeCell ref="B21:B22"/>
    <mergeCell ref="B29:B30"/>
    <mergeCell ref="B31:B32"/>
    <mergeCell ref="B33:B34"/>
    <mergeCell ref="C11:C12"/>
    <mergeCell ref="D11:D12"/>
    <mergeCell ref="E11:E12"/>
    <mergeCell ref="C13:C14"/>
    <mergeCell ref="D13:D14"/>
    <mergeCell ref="E13:E14"/>
    <mergeCell ref="C15:C16"/>
    <mergeCell ref="A2:AQ3"/>
    <mergeCell ref="A5:A8"/>
    <mergeCell ref="B5:C8"/>
    <mergeCell ref="D5:D8"/>
    <mergeCell ref="E5:E8"/>
    <mergeCell ref="AN5:AQ8"/>
    <mergeCell ref="AS6:AS8"/>
    <mergeCell ref="AT6:AT8"/>
    <mergeCell ref="C9:C10"/>
    <mergeCell ref="D9:D10"/>
    <mergeCell ref="E9:E10"/>
    <mergeCell ref="X7:Y7"/>
    <mergeCell ref="AE6:AI6"/>
    <mergeCell ref="AA6:AD6"/>
    <mergeCell ref="V6:Z6"/>
    <mergeCell ref="Q6:U6"/>
    <mergeCell ref="AJ6:AM6"/>
    <mergeCell ref="I6:L6"/>
    <mergeCell ref="M6:P6"/>
    <mergeCell ref="I5:P5"/>
    <mergeCell ref="Q5:AM5"/>
    <mergeCell ref="D15:D16"/>
    <mergeCell ref="E15:E16"/>
    <mergeCell ref="AV15:AV16"/>
    <mergeCell ref="C17:C18"/>
    <mergeCell ref="D17:D18"/>
    <mergeCell ref="E17:E18"/>
    <mergeCell ref="C19:C20"/>
    <mergeCell ref="D19:D20"/>
    <mergeCell ref="E19:E20"/>
    <mergeCell ref="D37:D38"/>
    <mergeCell ref="C21:C22"/>
    <mergeCell ref="D21:D22"/>
    <mergeCell ref="E21:E22"/>
    <mergeCell ref="D23:D24"/>
    <mergeCell ref="E23:E24"/>
    <mergeCell ref="D25:D26"/>
    <mergeCell ref="E25:E26"/>
    <mergeCell ref="C23:C24"/>
    <mergeCell ref="C25:C26"/>
    <mergeCell ref="B39:C40"/>
    <mergeCell ref="B43:C44"/>
    <mergeCell ref="D43:D44"/>
    <mergeCell ref="E43:E44"/>
    <mergeCell ref="B27:C28"/>
    <mergeCell ref="D27:D28"/>
    <mergeCell ref="E27:E28"/>
    <mergeCell ref="D29:D30"/>
    <mergeCell ref="E29:E30"/>
    <mergeCell ref="C29:C30"/>
    <mergeCell ref="D31:D32"/>
    <mergeCell ref="E31:E32"/>
    <mergeCell ref="D33:D34"/>
    <mergeCell ref="E33:E34"/>
    <mergeCell ref="C31:C32"/>
    <mergeCell ref="C33:C34"/>
    <mergeCell ref="E39:E40"/>
    <mergeCell ref="B41:C42"/>
    <mergeCell ref="D41:D42"/>
    <mergeCell ref="E41:E42"/>
    <mergeCell ref="B35:C36"/>
    <mergeCell ref="D35:D36"/>
    <mergeCell ref="E35:E36"/>
    <mergeCell ref="B37:C38"/>
    <mergeCell ref="D39:D40"/>
    <mergeCell ref="E37:E38"/>
    <mergeCell ref="F27:G27"/>
    <mergeCell ref="F28:G28"/>
    <mergeCell ref="F35:G35"/>
    <mergeCell ref="F36:G36"/>
    <mergeCell ref="F38:G38"/>
    <mergeCell ref="G29:G34"/>
    <mergeCell ref="A59:D60"/>
    <mergeCell ref="A53:C54"/>
    <mergeCell ref="D53:D54"/>
    <mergeCell ref="E53:E54"/>
    <mergeCell ref="A55:C56"/>
    <mergeCell ref="D55:D56"/>
    <mergeCell ref="E55:E56"/>
    <mergeCell ref="A57:C58"/>
    <mergeCell ref="E57:E58"/>
    <mergeCell ref="D57:D58"/>
    <mergeCell ref="B45:C46"/>
    <mergeCell ref="D45:D46"/>
    <mergeCell ref="E45:E46"/>
    <mergeCell ref="B47:C48"/>
    <mergeCell ref="D47:D48"/>
    <mergeCell ref="E47:E48"/>
  </mergeCells>
  <phoneticPr fontId="4" type="noConversion"/>
  <printOptions horizontalCentered="1"/>
  <pageMargins left="0.35433070866141736" right="0.15748031496062992" top="0.23622047244094491" bottom="3.937007874015748E-2" header="0.120" footer="0.15748031496062992"/>
  <pageSetup paperSize="8" scale="75" fitToWidth="0" fitToHeight="0" orientation="landscape" r:id="rId1"/>
  <headerFooter>
    <oddHeader>&amp;R&amp;"맑은 고딕,보통"&amp;8&amp;K808080K-건설맵 · k-conmap.com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Q402"/>
  <sheetViews>
    <sheetView tabSelected="1" zoomScale="70" zoomScaleNormal="70" workbookViewId="0">
      <selection activeCell="H16" sqref="H16"/>
    </sheetView>
  </sheetViews>
  <sheetFormatPr defaultColWidth="9" defaultRowHeight="13.5" outlineLevelCol="1" x14ac:dyDescent="0.15"/>
  <cols>
    <col min="1" max="1" width="10" customWidth="1"/>
    <col min="2" max="2" width="11.5" customWidth="1"/>
    <col min="3" max="3" width="20.375" customWidth="1"/>
    <col min="4" max="4" width="11" customWidth="1"/>
    <col min="5" max="5" width="7.375" customWidth="1"/>
    <col min="6" max="7" width="12.125" customWidth="1" outlineLevel="1"/>
    <col min="8" max="8" width="34.875" customWidth="1" outlineLevel="1"/>
    <col min="9" max="43" width="5.25" customWidth="1"/>
    <col min="44" max="48" width="1.875" customWidth="1"/>
    <col min="49" max="49" width="10" style="128" bestFit="1" customWidth="1"/>
    <col min="50" max="50" width="9.125" style="24" bestFit="1" customWidth="1"/>
    <col min="51" max="51" width="19.375" style="31" customWidth="1"/>
    <col min="52" max="52" width="9" style="24"/>
  </cols>
  <sheetData>
    <row r="1" spans="1:52" ht="143.25" customHeight="1" x14ac:dyDescent="0.15"/>
    <row r="2" spans="1:52" s="36" customFormat="1" ht="39" customHeight="1" x14ac:dyDescent="0.15">
      <c r="A2" s="418" t="s">
        <v>127</v>
      </c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  <c r="R2" s="418"/>
      <c r="S2" s="418"/>
      <c r="T2" s="418"/>
      <c r="U2" s="418"/>
      <c r="V2" s="418"/>
      <c r="W2" s="418"/>
      <c r="X2" s="418"/>
      <c r="Y2" s="418"/>
      <c r="Z2" s="418"/>
      <c r="AA2" s="418"/>
      <c r="AB2" s="418"/>
      <c r="AC2" s="418"/>
      <c r="AD2" s="418"/>
      <c r="AE2" s="418"/>
      <c r="AF2" s="418"/>
      <c r="AG2" s="418"/>
      <c r="AH2" s="418"/>
      <c r="AI2" s="418"/>
      <c r="AJ2" s="418"/>
      <c r="AK2" s="418"/>
      <c r="AL2" s="418"/>
      <c r="AM2" s="418"/>
      <c r="AN2" s="418"/>
      <c r="AO2" s="418"/>
      <c r="AP2" s="418"/>
      <c r="AQ2" s="418"/>
      <c r="AR2" s="418"/>
      <c r="AS2" s="418"/>
      <c r="AT2" s="418"/>
      <c r="AU2" s="418"/>
      <c r="AV2" s="35"/>
      <c r="AW2" s="129">
        <f>4.27-0.41</f>
        <v>3.8599999999999994</v>
      </c>
      <c r="AX2" s="37"/>
      <c r="AY2" s="38"/>
      <c r="AZ2" s="39"/>
    </row>
    <row r="3" spans="1:52" s="36" customFormat="1" ht="39" customHeight="1" x14ac:dyDescent="0.15">
      <c r="A3" s="418"/>
      <c r="B3" s="418"/>
      <c r="C3" s="418"/>
      <c r="D3" s="418"/>
      <c r="E3" s="418"/>
      <c r="F3" s="418"/>
      <c r="G3" s="418"/>
      <c r="H3" s="418"/>
      <c r="I3" s="418"/>
      <c r="J3" s="418"/>
      <c r="K3" s="418"/>
      <c r="L3" s="418"/>
      <c r="M3" s="418"/>
      <c r="N3" s="418"/>
      <c r="O3" s="418"/>
      <c r="P3" s="418"/>
      <c r="Q3" s="418"/>
      <c r="R3" s="418"/>
      <c r="S3" s="418"/>
      <c r="T3" s="418"/>
      <c r="U3" s="418"/>
      <c r="V3" s="418"/>
      <c r="W3" s="418"/>
      <c r="X3" s="418"/>
      <c r="Y3" s="418"/>
      <c r="Z3" s="418"/>
      <c r="AA3" s="418"/>
      <c r="AB3" s="418"/>
      <c r="AC3" s="418"/>
      <c r="AD3" s="418"/>
      <c r="AE3" s="418"/>
      <c r="AF3" s="418"/>
      <c r="AG3" s="418"/>
      <c r="AH3" s="418"/>
      <c r="AI3" s="418"/>
      <c r="AJ3" s="418"/>
      <c r="AK3" s="418"/>
      <c r="AL3" s="418"/>
      <c r="AM3" s="418"/>
      <c r="AN3" s="418"/>
      <c r="AO3" s="418"/>
      <c r="AP3" s="418"/>
      <c r="AQ3" s="418"/>
      <c r="AR3" s="418"/>
      <c r="AS3" s="418"/>
      <c r="AT3" s="418"/>
      <c r="AU3" s="418"/>
      <c r="AV3" s="35"/>
      <c r="AW3" s="129"/>
      <c r="AX3" s="37"/>
      <c r="AY3" s="38"/>
      <c r="AZ3" s="39"/>
    </row>
    <row r="4" spans="1:52" s="4" customFormat="1" ht="40.5" customHeight="1" thickBot="1" x14ac:dyDescent="0.2">
      <c r="A4" s="42" t="s">
        <v>13</v>
      </c>
      <c r="B4" s="34"/>
      <c r="C4" s="34"/>
      <c r="D4" s="34"/>
      <c r="E4" s="34"/>
      <c r="F4" s="34"/>
      <c r="G4" s="34"/>
      <c r="H4" s="34"/>
      <c r="AW4" s="130"/>
      <c r="AX4" s="254"/>
      <c r="AY4" s="28"/>
      <c r="AZ4" s="254"/>
    </row>
    <row r="5" spans="1:52" s="77" customFormat="1" ht="16.5" customHeight="1" thickTop="1" x14ac:dyDescent="0.15">
      <c r="A5" s="420" t="s">
        <v>1</v>
      </c>
      <c r="B5" s="421" t="s">
        <v>2</v>
      </c>
      <c r="C5" s="421"/>
      <c r="D5" s="422" t="s">
        <v>136</v>
      </c>
      <c r="E5" s="422" t="s">
        <v>3</v>
      </c>
      <c r="F5" s="83" t="s">
        <v>61</v>
      </c>
      <c r="G5" s="83" t="s">
        <v>62</v>
      </c>
      <c r="H5" s="83" t="s">
        <v>72</v>
      </c>
      <c r="I5" s="345" t="s">
        <v>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  <c r="AQ5" s="361"/>
      <c r="AR5" s="362" t="s">
        <v>4</v>
      </c>
      <c r="AS5" s="317"/>
      <c r="AT5" s="317"/>
      <c r="AU5" s="318"/>
      <c r="AW5" s="252"/>
      <c r="AX5" s="253"/>
      <c r="AY5" s="79"/>
      <c r="AZ5" s="253"/>
    </row>
    <row r="6" spans="1:52" s="77" customFormat="1" ht="16.5" customHeight="1" x14ac:dyDescent="0.15">
      <c r="A6" s="423"/>
      <c r="B6" s="424"/>
      <c r="C6" s="424"/>
      <c r="D6" s="424"/>
      <c r="E6" s="425"/>
      <c r="F6" s="84"/>
      <c r="G6" s="84"/>
      <c r="H6" s="84"/>
      <c r="I6" s="394" t="s">
        <v>137</v>
      </c>
      <c r="J6" s="395"/>
      <c r="K6" s="395"/>
      <c r="L6" s="395"/>
      <c r="M6" s="395"/>
      <c r="N6" s="395"/>
      <c r="O6" s="395"/>
      <c r="P6" s="395"/>
      <c r="Q6" s="395"/>
      <c r="R6" s="395"/>
      <c r="S6" s="395"/>
      <c r="T6" s="395"/>
      <c r="U6" s="395"/>
      <c r="V6" s="395"/>
      <c r="W6" s="396"/>
      <c r="X6" s="396"/>
      <c r="Y6" s="396"/>
      <c r="Z6" s="396"/>
      <c r="AA6" s="396"/>
      <c r="AB6" s="396"/>
      <c r="AC6" s="396"/>
      <c r="AD6" s="396"/>
      <c r="AE6" s="396"/>
      <c r="AF6" s="396"/>
      <c r="AG6" s="396"/>
      <c r="AH6" s="396"/>
      <c r="AI6" s="396"/>
      <c r="AJ6" s="396"/>
      <c r="AK6" s="396"/>
      <c r="AL6" s="396"/>
      <c r="AM6" s="396"/>
      <c r="AN6" s="396"/>
      <c r="AO6" s="396"/>
      <c r="AP6" s="396"/>
      <c r="AQ6" s="397"/>
      <c r="AR6" s="363"/>
      <c r="AS6" s="319"/>
      <c r="AT6" s="319"/>
      <c r="AU6" s="321"/>
      <c r="AW6" s="324" t="s">
        <v>9</v>
      </c>
      <c r="AX6" s="325" t="s">
        <v>6</v>
      </c>
      <c r="AY6" s="79" t="s">
        <v>7</v>
      </c>
      <c r="AZ6" s="253"/>
    </row>
    <row r="7" spans="1:52" s="106" customFormat="1" ht="16.5" customHeight="1" x14ac:dyDescent="0.15">
      <c r="A7" s="423"/>
      <c r="B7" s="424"/>
      <c r="C7" s="424"/>
      <c r="D7" s="424"/>
      <c r="E7" s="425"/>
      <c r="F7" s="102"/>
      <c r="G7" s="102"/>
      <c r="H7" s="102"/>
      <c r="I7" s="398" t="s">
        <v>124</v>
      </c>
      <c r="J7" s="399"/>
      <c r="K7" s="399"/>
      <c r="L7" s="399"/>
      <c r="M7" s="399"/>
      <c r="N7" s="399"/>
      <c r="O7" s="399"/>
      <c r="P7" s="398" t="s">
        <v>123</v>
      </c>
      <c r="Q7" s="399"/>
      <c r="R7" s="399"/>
      <c r="S7" s="399"/>
      <c r="T7" s="399"/>
      <c r="U7" s="399"/>
      <c r="V7" s="400"/>
      <c r="W7" s="399" t="s">
        <v>125</v>
      </c>
      <c r="X7" s="399"/>
      <c r="Y7" s="399"/>
      <c r="Z7" s="399"/>
      <c r="AA7" s="399"/>
      <c r="AB7" s="399"/>
      <c r="AC7" s="399"/>
      <c r="AD7" s="398" t="s">
        <v>126</v>
      </c>
      <c r="AE7" s="399"/>
      <c r="AF7" s="399"/>
      <c r="AG7" s="399"/>
      <c r="AH7" s="399"/>
      <c r="AI7" s="399"/>
      <c r="AJ7" s="400"/>
      <c r="AK7" s="398" t="s">
        <v>138</v>
      </c>
      <c r="AL7" s="399"/>
      <c r="AM7" s="399"/>
      <c r="AN7" s="399"/>
      <c r="AO7" s="399"/>
      <c r="AP7" s="399"/>
      <c r="AQ7" s="400"/>
      <c r="AR7" s="319"/>
      <c r="AS7" s="319"/>
      <c r="AT7" s="319"/>
      <c r="AU7" s="321"/>
      <c r="AW7" s="324"/>
      <c r="AX7" s="325"/>
      <c r="AY7" s="107"/>
      <c r="AZ7" s="108"/>
    </row>
    <row r="8" spans="1:52" s="106" customFormat="1" ht="16.5" customHeight="1" x14ac:dyDescent="0.15">
      <c r="A8" s="423"/>
      <c r="B8" s="424"/>
      <c r="C8" s="424"/>
      <c r="D8" s="424"/>
      <c r="E8" s="425"/>
      <c r="F8" s="102"/>
      <c r="G8" s="102"/>
      <c r="H8" s="102"/>
      <c r="I8" s="419" t="s">
        <v>129</v>
      </c>
      <c r="J8" s="419" t="s">
        <v>130</v>
      </c>
      <c r="K8" s="419" t="s">
        <v>131</v>
      </c>
      <c r="L8" s="419" t="s">
        <v>132</v>
      </c>
      <c r="M8" s="419" t="s">
        <v>133</v>
      </c>
      <c r="N8" s="419" t="s">
        <v>134</v>
      </c>
      <c r="O8" s="419" t="s">
        <v>135</v>
      </c>
      <c r="P8" s="419" t="s">
        <v>128</v>
      </c>
      <c r="Q8" s="419" t="s">
        <v>130</v>
      </c>
      <c r="R8" s="419" t="s">
        <v>131</v>
      </c>
      <c r="S8" s="419" t="s">
        <v>132</v>
      </c>
      <c r="T8" s="419" t="s">
        <v>133</v>
      </c>
      <c r="U8" s="419" t="s">
        <v>134</v>
      </c>
      <c r="V8" s="419" t="s">
        <v>135</v>
      </c>
      <c r="W8" s="419" t="s">
        <v>128</v>
      </c>
      <c r="X8" s="419" t="s">
        <v>130</v>
      </c>
      <c r="Y8" s="419" t="s">
        <v>131</v>
      </c>
      <c r="Z8" s="419" t="s">
        <v>132</v>
      </c>
      <c r="AA8" s="419" t="s">
        <v>133</v>
      </c>
      <c r="AB8" s="419" t="s">
        <v>134</v>
      </c>
      <c r="AC8" s="419" t="s">
        <v>135</v>
      </c>
      <c r="AD8" s="419" t="s">
        <v>128</v>
      </c>
      <c r="AE8" s="419" t="s">
        <v>130</v>
      </c>
      <c r="AF8" s="419" t="s">
        <v>131</v>
      </c>
      <c r="AG8" s="419" t="s">
        <v>132</v>
      </c>
      <c r="AH8" s="419" t="s">
        <v>133</v>
      </c>
      <c r="AI8" s="419" t="s">
        <v>134</v>
      </c>
      <c r="AJ8" s="419" t="s">
        <v>135</v>
      </c>
      <c r="AK8" s="419" t="s">
        <v>128</v>
      </c>
      <c r="AL8" s="419" t="s">
        <v>130</v>
      </c>
      <c r="AM8" s="419" t="s">
        <v>131</v>
      </c>
      <c r="AN8" s="419" t="s">
        <v>132</v>
      </c>
      <c r="AO8" s="419" t="s">
        <v>133</v>
      </c>
      <c r="AP8" s="419" t="s">
        <v>134</v>
      </c>
      <c r="AQ8" s="419" t="s">
        <v>135</v>
      </c>
      <c r="AR8" s="319"/>
      <c r="AS8" s="319"/>
      <c r="AT8" s="319"/>
      <c r="AU8" s="321"/>
      <c r="AW8" s="324"/>
      <c r="AX8" s="325"/>
      <c r="AY8" s="107"/>
      <c r="AZ8" s="108"/>
    </row>
    <row r="9" spans="1:52" s="106" customFormat="1" ht="16.5" customHeight="1" thickBot="1" x14ac:dyDescent="0.2">
      <c r="A9" s="426"/>
      <c r="B9" s="427"/>
      <c r="C9" s="427"/>
      <c r="D9" s="427"/>
      <c r="E9" s="428"/>
      <c r="F9" s="109"/>
      <c r="G9" s="109"/>
      <c r="H9" s="109"/>
      <c r="I9" s="401">
        <v>1</v>
      </c>
      <c r="J9" s="402">
        <v>2</v>
      </c>
      <c r="K9" s="402">
        <v>3</v>
      </c>
      <c r="L9" s="402">
        <v>4</v>
      </c>
      <c r="M9" s="402">
        <v>5</v>
      </c>
      <c r="N9" s="402">
        <v>6</v>
      </c>
      <c r="O9" s="403">
        <v>7</v>
      </c>
      <c r="P9" s="401">
        <v>8</v>
      </c>
      <c r="Q9" s="402">
        <v>9</v>
      </c>
      <c r="R9" s="402">
        <v>10</v>
      </c>
      <c r="S9" s="402">
        <v>11</v>
      </c>
      <c r="T9" s="402">
        <v>12</v>
      </c>
      <c r="U9" s="402">
        <v>13</v>
      </c>
      <c r="V9" s="404">
        <v>14</v>
      </c>
      <c r="W9" s="405">
        <v>15</v>
      </c>
      <c r="X9" s="402">
        <v>16</v>
      </c>
      <c r="Y9" s="402">
        <v>17</v>
      </c>
      <c r="Z9" s="402">
        <v>18</v>
      </c>
      <c r="AA9" s="402">
        <v>19</v>
      </c>
      <c r="AB9" s="402">
        <v>20</v>
      </c>
      <c r="AC9" s="403">
        <v>21</v>
      </c>
      <c r="AD9" s="401">
        <v>22</v>
      </c>
      <c r="AE9" s="402">
        <v>23</v>
      </c>
      <c r="AF9" s="402">
        <v>24</v>
      </c>
      <c r="AG9" s="402">
        <v>25</v>
      </c>
      <c r="AH9" s="402">
        <v>26</v>
      </c>
      <c r="AI9" s="402">
        <v>27</v>
      </c>
      <c r="AJ9" s="404">
        <v>28</v>
      </c>
      <c r="AK9" s="401">
        <v>29</v>
      </c>
      <c r="AL9" s="402">
        <v>30</v>
      </c>
      <c r="AM9" s="402">
        <v>31</v>
      </c>
      <c r="AN9" s="402">
        <v>1</v>
      </c>
      <c r="AO9" s="402">
        <v>2</v>
      </c>
      <c r="AP9" s="402">
        <v>3</v>
      </c>
      <c r="AQ9" s="404">
        <v>4</v>
      </c>
      <c r="AR9" s="322"/>
      <c r="AS9" s="322"/>
      <c r="AT9" s="322"/>
      <c r="AU9" s="323"/>
      <c r="AW9" s="324"/>
      <c r="AX9" s="325"/>
      <c r="AY9" s="107" t="s">
        <v>8</v>
      </c>
      <c r="AZ9" s="108"/>
    </row>
    <row r="10" spans="1:52" s="4" customFormat="1" ht="16.5" customHeight="1" thickTop="1" x14ac:dyDescent="0.15">
      <c r="A10" s="351" t="s">
        <v>14</v>
      </c>
      <c r="B10" s="348" t="s">
        <v>15</v>
      </c>
      <c r="C10" s="300" t="s">
        <v>16</v>
      </c>
      <c r="D10" s="326">
        <v>9041</v>
      </c>
      <c r="E10" s="328">
        <f>ROUND((D10)/$D$58*100,2)</f>
        <v>1.57</v>
      </c>
      <c r="F10" s="85"/>
      <c r="G10" s="93"/>
      <c r="H10" s="93"/>
      <c r="I10" s="143"/>
      <c r="J10" s="146"/>
      <c r="K10" s="146"/>
      <c r="L10" s="146"/>
      <c r="M10" s="146"/>
      <c r="N10" s="146"/>
      <c r="O10" s="377"/>
      <c r="P10" s="143"/>
      <c r="Q10" s="146"/>
      <c r="R10" s="146"/>
      <c r="S10" s="146"/>
      <c r="T10" s="146"/>
      <c r="U10" s="146"/>
      <c r="V10" s="385"/>
      <c r="W10" s="146"/>
      <c r="X10" s="141"/>
      <c r="Y10" s="141"/>
      <c r="Z10" s="141"/>
      <c r="AA10" s="141"/>
      <c r="AB10" s="141"/>
      <c r="AC10" s="142"/>
      <c r="AD10" s="430"/>
      <c r="AE10" s="377"/>
      <c r="AF10" s="377"/>
      <c r="AG10" s="377"/>
      <c r="AH10" s="377"/>
      <c r="AI10" s="377"/>
      <c r="AJ10" s="385"/>
      <c r="AK10" s="143"/>
      <c r="AL10" s="141"/>
      <c r="AM10" s="141"/>
      <c r="AN10" s="141"/>
      <c r="AO10" s="141"/>
      <c r="AP10" s="141"/>
      <c r="AQ10" s="145"/>
      <c r="AR10" s="20"/>
      <c r="AS10" s="20"/>
      <c r="AT10" s="20"/>
      <c r="AU10" s="21"/>
      <c r="AW10" s="132"/>
      <c r="AX10" s="257"/>
      <c r="AY10" s="40"/>
      <c r="AZ10" s="254"/>
    </row>
    <row r="11" spans="1:52" s="4" customFormat="1" ht="16.5" customHeight="1" x14ac:dyDescent="0.15">
      <c r="A11" s="352"/>
      <c r="B11" s="349"/>
      <c r="C11" s="304"/>
      <c r="D11" s="327"/>
      <c r="E11" s="262"/>
      <c r="F11" s="86"/>
      <c r="G11" s="94"/>
      <c r="H11" s="94"/>
      <c r="I11" s="148"/>
      <c r="J11" s="148"/>
      <c r="K11" s="148"/>
      <c r="L11" s="148"/>
      <c r="M11" s="148"/>
      <c r="N11" s="148"/>
      <c r="O11" s="149"/>
      <c r="P11" s="150"/>
      <c r="Q11" s="148"/>
      <c r="R11" s="148"/>
      <c r="S11" s="148"/>
      <c r="T11" s="148"/>
      <c r="U11" s="148"/>
      <c r="V11" s="197"/>
      <c r="W11" s="198"/>
      <c r="X11" s="148"/>
      <c r="Y11" s="148"/>
      <c r="Z11" s="148"/>
      <c r="AA11" s="148"/>
      <c r="AB11" s="148"/>
      <c r="AC11" s="149"/>
      <c r="AD11" s="431"/>
      <c r="AE11" s="429"/>
      <c r="AF11" s="429"/>
      <c r="AG11" s="429"/>
      <c r="AH11" s="429"/>
      <c r="AI11" s="429"/>
      <c r="AJ11" s="432"/>
      <c r="AK11" s="150"/>
      <c r="AL11" s="148"/>
      <c r="AM11" s="148"/>
      <c r="AN11" s="148"/>
      <c r="AO11" s="148"/>
      <c r="AP11" s="148"/>
      <c r="AQ11" s="197"/>
      <c r="AR11" s="68"/>
      <c r="AS11" s="258"/>
      <c r="AT11" s="258"/>
      <c r="AU11" s="9"/>
      <c r="AW11" s="134">
        <f>E10/9</f>
        <v>0.17444444444444446</v>
      </c>
      <c r="AX11" s="134">
        <f>SUM(I11:AQ11)</f>
        <v>0</v>
      </c>
      <c r="AY11" s="135">
        <f>E10-AX11</f>
        <v>1.57</v>
      </c>
      <c r="AZ11" s="254"/>
    </row>
    <row r="12" spans="1:52" s="4" customFormat="1" ht="16.5" customHeight="1" x14ac:dyDescent="0.15">
      <c r="A12" s="352"/>
      <c r="B12" s="349"/>
      <c r="C12" s="306" t="s">
        <v>17</v>
      </c>
      <c r="D12" s="280">
        <v>55454</v>
      </c>
      <c r="E12" s="262">
        <f t="shared" ref="E12" si="0">ROUND((D12)/$D$58*100,2)</f>
        <v>9.6199999999999992</v>
      </c>
      <c r="F12" s="255">
        <f>415.9-126</f>
        <v>289.89999999999998</v>
      </c>
      <c r="G12" s="95" t="s">
        <v>63</v>
      </c>
      <c r="H12" s="95"/>
      <c r="I12" s="166"/>
      <c r="J12" s="168"/>
      <c r="K12" s="168"/>
      <c r="L12" s="168"/>
      <c r="M12" s="168"/>
      <c r="N12" s="168"/>
      <c r="O12" s="378"/>
      <c r="P12" s="166"/>
      <c r="Q12" s="168"/>
      <c r="R12" s="168"/>
      <c r="S12" s="168"/>
      <c r="T12" s="168"/>
      <c r="U12" s="168"/>
      <c r="V12" s="386"/>
      <c r="W12" s="168"/>
      <c r="X12" s="165"/>
      <c r="Y12" s="165"/>
      <c r="Z12" s="165"/>
      <c r="AA12" s="165"/>
      <c r="AB12" s="165"/>
      <c r="AC12" s="163"/>
      <c r="AD12" s="433"/>
      <c r="AE12" s="378"/>
      <c r="AF12" s="378"/>
      <c r="AG12" s="378"/>
      <c r="AH12" s="378"/>
      <c r="AI12" s="378"/>
      <c r="AJ12" s="386"/>
      <c r="AK12" s="166"/>
      <c r="AL12" s="165"/>
      <c r="AM12" s="165"/>
      <c r="AN12" s="165"/>
      <c r="AO12" s="165"/>
      <c r="AP12" s="165"/>
      <c r="AQ12" s="167"/>
      <c r="AR12" s="364"/>
      <c r="AS12" s="258"/>
      <c r="AT12" s="7"/>
      <c r="AU12" s="9"/>
      <c r="AW12" s="134"/>
      <c r="AX12" s="134"/>
      <c r="AY12" s="135"/>
      <c r="AZ12" s="254"/>
    </row>
    <row r="13" spans="1:52" s="4" customFormat="1" ht="16.5" customHeight="1" x14ac:dyDescent="0.15">
      <c r="A13" s="352"/>
      <c r="B13" s="349"/>
      <c r="C13" s="301"/>
      <c r="D13" s="261"/>
      <c r="E13" s="262"/>
      <c r="F13" s="256">
        <f>F12/18</f>
        <v>16.105555555555554</v>
      </c>
      <c r="G13" s="96" t="s">
        <v>60</v>
      </c>
      <c r="H13" s="96"/>
      <c r="I13" s="179"/>
      <c r="J13" s="184"/>
      <c r="K13" s="184"/>
      <c r="L13" s="184"/>
      <c r="M13" s="184"/>
      <c r="N13" s="184"/>
      <c r="O13" s="379"/>
      <c r="P13" s="179"/>
      <c r="Q13" s="184"/>
      <c r="R13" s="184"/>
      <c r="S13" s="184"/>
      <c r="T13" s="184"/>
      <c r="U13" s="184"/>
      <c r="V13" s="387"/>
      <c r="W13" s="184"/>
      <c r="X13" s="182"/>
      <c r="Y13" s="182"/>
      <c r="Z13" s="182"/>
      <c r="AA13" s="182"/>
      <c r="AB13" s="182"/>
      <c r="AC13" s="181"/>
      <c r="AD13" s="434"/>
      <c r="AE13" s="379"/>
      <c r="AF13" s="379"/>
      <c r="AG13" s="379"/>
      <c r="AH13" s="379"/>
      <c r="AI13" s="379"/>
      <c r="AJ13" s="387"/>
      <c r="AK13" s="179"/>
      <c r="AL13" s="182"/>
      <c r="AM13" s="182"/>
      <c r="AN13" s="182"/>
      <c r="AO13" s="182"/>
      <c r="AP13" s="182"/>
      <c r="AQ13" s="183"/>
      <c r="AR13" s="365"/>
      <c r="AS13" s="258"/>
      <c r="AT13" s="258"/>
      <c r="AU13" s="9"/>
      <c r="AW13" s="134">
        <f>E12/8</f>
        <v>1.2024999999999999</v>
      </c>
      <c r="AX13" s="134">
        <f>SUM(I13:AQ13)</f>
        <v>0</v>
      </c>
      <c r="AY13" s="135">
        <f>E12-AX13</f>
        <v>9.6199999999999992</v>
      </c>
      <c r="AZ13" s="254"/>
    </row>
    <row r="14" spans="1:52" s="4" customFormat="1" ht="16.5" customHeight="1" x14ac:dyDescent="0.15">
      <c r="A14" s="352"/>
      <c r="B14" s="349"/>
      <c r="C14" s="300" t="s">
        <v>18</v>
      </c>
      <c r="D14" s="260">
        <v>308</v>
      </c>
      <c r="E14" s="262">
        <f t="shared" ref="E14" si="1">ROUND((D14)/$D$58*100,2)</f>
        <v>0.05</v>
      </c>
      <c r="F14" s="255"/>
      <c r="G14" s="95"/>
      <c r="H14" s="95"/>
      <c r="I14" s="166"/>
      <c r="J14" s="168"/>
      <c r="K14" s="168"/>
      <c r="L14" s="168"/>
      <c r="M14" s="168"/>
      <c r="N14" s="168"/>
      <c r="O14" s="378"/>
      <c r="P14" s="166"/>
      <c r="Q14" s="168"/>
      <c r="R14" s="168"/>
      <c r="S14" s="168"/>
      <c r="T14" s="168"/>
      <c r="U14" s="168"/>
      <c r="V14" s="386"/>
      <c r="W14" s="168"/>
      <c r="X14" s="165"/>
      <c r="Y14" s="165"/>
      <c r="Z14" s="165"/>
      <c r="AA14" s="165"/>
      <c r="AB14" s="165"/>
      <c r="AC14" s="163"/>
      <c r="AD14" s="433"/>
      <c r="AE14" s="378"/>
      <c r="AF14" s="378"/>
      <c r="AG14" s="378"/>
      <c r="AH14" s="378"/>
      <c r="AI14" s="378"/>
      <c r="AJ14" s="386"/>
      <c r="AK14" s="166"/>
      <c r="AL14" s="165"/>
      <c r="AM14" s="165"/>
      <c r="AN14" s="165"/>
      <c r="AO14" s="165"/>
      <c r="AP14" s="165"/>
      <c r="AQ14" s="167"/>
      <c r="AR14" s="68"/>
      <c r="AS14" s="258"/>
      <c r="AT14" s="258"/>
      <c r="AU14" s="9"/>
      <c r="AW14" s="134"/>
      <c r="AX14" s="134"/>
      <c r="AY14" s="135"/>
      <c r="AZ14" s="254"/>
    </row>
    <row r="15" spans="1:52" s="4" customFormat="1" ht="16.5" customHeight="1" x14ac:dyDescent="0.15">
      <c r="A15" s="352"/>
      <c r="B15" s="349"/>
      <c r="C15" s="304"/>
      <c r="D15" s="305"/>
      <c r="E15" s="262"/>
      <c r="F15" s="256"/>
      <c r="G15" s="96"/>
      <c r="H15" s="96"/>
      <c r="I15" s="179"/>
      <c r="J15" s="184"/>
      <c r="K15" s="184"/>
      <c r="L15" s="184"/>
      <c r="M15" s="184"/>
      <c r="N15" s="184"/>
      <c r="O15" s="379"/>
      <c r="P15" s="179"/>
      <c r="Q15" s="184"/>
      <c r="R15" s="184"/>
      <c r="S15" s="184"/>
      <c r="T15" s="184"/>
      <c r="U15" s="184"/>
      <c r="V15" s="387"/>
      <c r="W15" s="184"/>
      <c r="X15" s="182"/>
      <c r="Y15" s="182"/>
      <c r="Z15" s="182"/>
      <c r="AA15" s="182"/>
      <c r="AB15" s="182"/>
      <c r="AC15" s="181"/>
      <c r="AD15" s="434"/>
      <c r="AE15" s="379"/>
      <c r="AF15" s="379"/>
      <c r="AG15" s="379"/>
      <c r="AH15" s="379"/>
      <c r="AI15" s="379"/>
      <c r="AJ15" s="387"/>
      <c r="AK15" s="179"/>
      <c r="AL15" s="182"/>
      <c r="AM15" s="182"/>
      <c r="AN15" s="182"/>
      <c r="AO15" s="182"/>
      <c r="AP15" s="182"/>
      <c r="AQ15" s="183"/>
      <c r="AR15" s="68"/>
      <c r="AS15" s="258"/>
      <c r="AT15" s="258"/>
      <c r="AU15" s="9"/>
      <c r="AW15" s="134">
        <f>E14/1</f>
        <v>0.05</v>
      </c>
      <c r="AX15" s="134">
        <f>SUM(I15:AQ15)</f>
        <v>0</v>
      </c>
      <c r="AY15" s="135">
        <f>E14-AX15</f>
        <v>0.05</v>
      </c>
      <c r="AZ15" s="254"/>
    </row>
    <row r="16" spans="1:52" s="4" customFormat="1" ht="16.5" customHeight="1" x14ac:dyDescent="0.15">
      <c r="A16" s="352"/>
      <c r="B16" s="349"/>
      <c r="C16" s="306" t="s">
        <v>19</v>
      </c>
      <c r="D16" s="280">
        <v>5101</v>
      </c>
      <c r="E16" s="262">
        <f t="shared" ref="E16" si="2">ROUND((D16)/$D$58*100,2)</f>
        <v>0.88</v>
      </c>
      <c r="F16" s="255"/>
      <c r="G16" s="95"/>
      <c r="H16" s="95"/>
      <c r="I16" s="166"/>
      <c r="J16" s="168"/>
      <c r="K16" s="168"/>
      <c r="L16" s="168"/>
      <c r="M16" s="168"/>
      <c r="N16" s="168"/>
      <c r="O16" s="378"/>
      <c r="P16" s="166"/>
      <c r="Q16" s="168"/>
      <c r="R16" s="168"/>
      <c r="S16" s="168"/>
      <c r="T16" s="168"/>
      <c r="U16" s="168"/>
      <c r="V16" s="386"/>
      <c r="W16" s="168"/>
      <c r="X16" s="165"/>
      <c r="Y16" s="165"/>
      <c r="Z16" s="165"/>
      <c r="AA16" s="165"/>
      <c r="AB16" s="165"/>
      <c r="AC16" s="163"/>
      <c r="AD16" s="433"/>
      <c r="AE16" s="378"/>
      <c r="AF16" s="378"/>
      <c r="AG16" s="378"/>
      <c r="AH16" s="378"/>
      <c r="AI16" s="378"/>
      <c r="AJ16" s="386"/>
      <c r="AK16" s="166"/>
      <c r="AL16" s="165"/>
      <c r="AM16" s="165"/>
      <c r="AN16" s="165"/>
      <c r="AO16" s="165"/>
      <c r="AP16" s="165"/>
      <c r="AQ16" s="167"/>
      <c r="AR16" s="68"/>
      <c r="AS16" s="258"/>
      <c r="AT16" s="7"/>
      <c r="AU16" s="9"/>
      <c r="AW16" s="134"/>
      <c r="AX16" s="134"/>
      <c r="AY16" s="135"/>
      <c r="AZ16" s="303"/>
    </row>
    <row r="17" spans="1:52" s="4" customFormat="1" ht="16.5" customHeight="1" x14ac:dyDescent="0.15">
      <c r="A17" s="352"/>
      <c r="B17" s="349"/>
      <c r="C17" s="301"/>
      <c r="D17" s="261"/>
      <c r="E17" s="262"/>
      <c r="F17" s="256"/>
      <c r="G17" s="96"/>
      <c r="H17" s="96"/>
      <c r="I17" s="179"/>
      <c r="J17" s="184"/>
      <c r="K17" s="184"/>
      <c r="L17" s="184"/>
      <c r="M17" s="184"/>
      <c r="N17" s="184"/>
      <c r="O17" s="379"/>
      <c r="P17" s="179"/>
      <c r="Q17" s="184"/>
      <c r="R17" s="184"/>
      <c r="S17" s="184"/>
      <c r="T17" s="184"/>
      <c r="U17" s="184"/>
      <c r="V17" s="387"/>
      <c r="W17" s="184"/>
      <c r="X17" s="182"/>
      <c r="Y17" s="182"/>
      <c r="Z17" s="182"/>
      <c r="AA17" s="182"/>
      <c r="AB17" s="182"/>
      <c r="AC17" s="181"/>
      <c r="AD17" s="434"/>
      <c r="AE17" s="379"/>
      <c r="AF17" s="379"/>
      <c r="AG17" s="379"/>
      <c r="AH17" s="379"/>
      <c r="AI17" s="379"/>
      <c r="AJ17" s="387"/>
      <c r="AK17" s="179"/>
      <c r="AL17" s="182"/>
      <c r="AM17" s="182"/>
      <c r="AN17" s="182"/>
      <c r="AO17" s="182"/>
      <c r="AP17" s="182"/>
      <c r="AQ17" s="183"/>
      <c r="AR17" s="68"/>
      <c r="AS17" s="258"/>
      <c r="AT17" s="258"/>
      <c r="AU17" s="9"/>
      <c r="AW17" s="134">
        <f>E16/5</f>
        <v>0.17599999999999999</v>
      </c>
      <c r="AX17" s="134">
        <f>SUM(I17:AQ17)</f>
        <v>0</v>
      </c>
      <c r="AY17" s="135">
        <f>E16-AX17</f>
        <v>0.88</v>
      </c>
      <c r="AZ17" s="303"/>
    </row>
    <row r="18" spans="1:52" s="4" customFormat="1" ht="16.5" customHeight="1" x14ac:dyDescent="0.15">
      <c r="A18" s="352"/>
      <c r="B18" s="349"/>
      <c r="C18" s="300" t="s">
        <v>20</v>
      </c>
      <c r="D18" s="260">
        <v>48485</v>
      </c>
      <c r="E18" s="262">
        <f t="shared" ref="E18" si="3">ROUND((D18)/$D$58*100,2)</f>
        <v>8.41</v>
      </c>
      <c r="F18" s="255"/>
      <c r="G18" s="95"/>
      <c r="H18" s="95"/>
      <c r="I18" s="166"/>
      <c r="J18" s="168"/>
      <c r="K18" s="168"/>
      <c r="L18" s="168"/>
      <c r="M18" s="168"/>
      <c r="N18" s="168"/>
      <c r="O18" s="378"/>
      <c r="P18" s="166"/>
      <c r="Q18" s="168"/>
      <c r="R18" s="168"/>
      <c r="S18" s="168"/>
      <c r="T18" s="168"/>
      <c r="U18" s="168"/>
      <c r="V18" s="386"/>
      <c r="W18" s="168"/>
      <c r="X18" s="165"/>
      <c r="Y18" s="165"/>
      <c r="Z18" s="165"/>
      <c r="AA18" s="165"/>
      <c r="AB18" s="165"/>
      <c r="AC18" s="163"/>
      <c r="AD18" s="433"/>
      <c r="AE18" s="378"/>
      <c r="AF18" s="378"/>
      <c r="AG18" s="378"/>
      <c r="AH18" s="378"/>
      <c r="AI18" s="378"/>
      <c r="AJ18" s="386"/>
      <c r="AK18" s="166"/>
      <c r="AL18" s="165"/>
      <c r="AM18" s="165"/>
      <c r="AN18" s="165"/>
      <c r="AO18" s="165"/>
      <c r="AP18" s="165"/>
      <c r="AQ18" s="167"/>
      <c r="AR18" s="68"/>
      <c r="AS18" s="258"/>
      <c r="AT18" s="258"/>
      <c r="AU18" s="9"/>
      <c r="AW18" s="134"/>
      <c r="AX18" s="134"/>
      <c r="AY18" s="135"/>
      <c r="AZ18" s="254"/>
    </row>
    <row r="19" spans="1:52" s="4" customFormat="1" ht="16.5" customHeight="1" x14ac:dyDescent="0.15">
      <c r="A19" s="352"/>
      <c r="B19" s="349"/>
      <c r="C19" s="304"/>
      <c r="D19" s="305"/>
      <c r="E19" s="262"/>
      <c r="F19" s="256"/>
      <c r="G19" s="96"/>
      <c r="H19" s="96"/>
      <c r="I19" s="179"/>
      <c r="J19" s="184"/>
      <c r="K19" s="184"/>
      <c r="L19" s="184"/>
      <c r="M19" s="184"/>
      <c r="N19" s="184"/>
      <c r="O19" s="379"/>
      <c r="P19" s="179"/>
      <c r="Q19" s="184"/>
      <c r="R19" s="184"/>
      <c r="S19" s="184"/>
      <c r="T19" s="184"/>
      <c r="U19" s="184"/>
      <c r="V19" s="387"/>
      <c r="W19" s="184"/>
      <c r="X19" s="182"/>
      <c r="Y19" s="182"/>
      <c r="Z19" s="182"/>
      <c r="AA19" s="182"/>
      <c r="AB19" s="182"/>
      <c r="AC19" s="181"/>
      <c r="AD19" s="434"/>
      <c r="AE19" s="379"/>
      <c r="AF19" s="379"/>
      <c r="AG19" s="379"/>
      <c r="AH19" s="379"/>
      <c r="AI19" s="379"/>
      <c r="AJ19" s="387"/>
      <c r="AK19" s="179"/>
      <c r="AL19" s="182"/>
      <c r="AM19" s="182"/>
      <c r="AN19" s="182"/>
      <c r="AO19" s="182"/>
      <c r="AP19" s="182"/>
      <c r="AQ19" s="183"/>
      <c r="AR19" s="68"/>
      <c r="AS19" s="258"/>
      <c r="AT19" s="258"/>
      <c r="AU19" s="9"/>
      <c r="AW19" s="134">
        <f>E18/6</f>
        <v>1.4016666666666666</v>
      </c>
      <c r="AX19" s="134">
        <f>SUM(I19:AQ19)</f>
        <v>0</v>
      </c>
      <c r="AY19" s="135">
        <f>E18-AX19</f>
        <v>8.41</v>
      </c>
      <c r="AZ19" s="254"/>
    </row>
    <row r="20" spans="1:52" s="4" customFormat="1" ht="16.5" customHeight="1" x14ac:dyDescent="0.15">
      <c r="A20" s="352"/>
      <c r="B20" s="349"/>
      <c r="C20" s="306" t="s">
        <v>21</v>
      </c>
      <c r="D20" s="280">
        <v>92759</v>
      </c>
      <c r="E20" s="262">
        <f t="shared" ref="E20" si="4">ROUND((D20)/$D$58*100,2)</f>
        <v>16.079999999999998</v>
      </c>
      <c r="F20" s="255"/>
      <c r="G20" s="95"/>
      <c r="H20" s="95"/>
      <c r="I20" s="166"/>
      <c r="J20" s="168"/>
      <c r="K20" s="168"/>
      <c r="L20" s="168"/>
      <c r="M20" s="168"/>
      <c r="N20" s="168"/>
      <c r="O20" s="378"/>
      <c r="P20" s="166"/>
      <c r="Q20" s="168"/>
      <c r="R20" s="168"/>
      <c r="S20" s="168"/>
      <c r="T20" s="168"/>
      <c r="U20" s="168"/>
      <c r="V20" s="386"/>
      <c r="W20" s="168"/>
      <c r="X20" s="165"/>
      <c r="Y20" s="165"/>
      <c r="Z20" s="165"/>
      <c r="AA20" s="165"/>
      <c r="AB20" s="165"/>
      <c r="AC20" s="163"/>
      <c r="AD20" s="433"/>
      <c r="AE20" s="378"/>
      <c r="AF20" s="378"/>
      <c r="AG20" s="378"/>
      <c r="AH20" s="378"/>
      <c r="AI20" s="378"/>
      <c r="AJ20" s="386"/>
      <c r="AK20" s="166"/>
      <c r="AL20" s="165"/>
      <c r="AM20" s="165"/>
      <c r="AN20" s="165"/>
      <c r="AO20" s="165"/>
      <c r="AP20" s="165"/>
      <c r="AQ20" s="167"/>
      <c r="AR20" s="80"/>
      <c r="AS20" s="7"/>
      <c r="AT20" s="258"/>
      <c r="AU20" s="9"/>
      <c r="AW20" s="134"/>
      <c r="AX20" s="134"/>
      <c r="AY20" s="135"/>
      <c r="AZ20" s="254"/>
    </row>
    <row r="21" spans="1:52" s="4" customFormat="1" ht="16.5" customHeight="1" x14ac:dyDescent="0.15">
      <c r="A21" s="352"/>
      <c r="B21" s="350"/>
      <c r="C21" s="301"/>
      <c r="D21" s="261"/>
      <c r="E21" s="262"/>
      <c r="F21" s="256"/>
      <c r="G21" s="96"/>
      <c r="H21" s="96"/>
      <c r="I21" s="179"/>
      <c r="J21" s="184"/>
      <c r="K21" s="184"/>
      <c r="L21" s="184"/>
      <c r="M21" s="184"/>
      <c r="N21" s="184"/>
      <c r="O21" s="379"/>
      <c r="P21" s="179"/>
      <c r="Q21" s="184"/>
      <c r="R21" s="184"/>
      <c r="S21" s="184"/>
      <c r="T21" s="184"/>
      <c r="U21" s="184"/>
      <c r="V21" s="387"/>
      <c r="W21" s="184"/>
      <c r="X21" s="182"/>
      <c r="Y21" s="182"/>
      <c r="Z21" s="182"/>
      <c r="AA21" s="182"/>
      <c r="AB21" s="182"/>
      <c r="AC21" s="181"/>
      <c r="AD21" s="434"/>
      <c r="AE21" s="379"/>
      <c r="AF21" s="379"/>
      <c r="AG21" s="379"/>
      <c r="AH21" s="379"/>
      <c r="AI21" s="379"/>
      <c r="AJ21" s="387"/>
      <c r="AK21" s="179"/>
      <c r="AL21" s="182"/>
      <c r="AM21" s="182"/>
      <c r="AN21" s="182"/>
      <c r="AO21" s="182"/>
      <c r="AP21" s="182"/>
      <c r="AQ21" s="183"/>
      <c r="AR21" s="80"/>
      <c r="AS21" s="7"/>
      <c r="AT21" s="258"/>
      <c r="AU21" s="9"/>
      <c r="AW21" s="134">
        <f>E20/8</f>
        <v>2.0099999999999998</v>
      </c>
      <c r="AX21" s="134">
        <f>SUM(I21:AQ21)</f>
        <v>0</v>
      </c>
      <c r="AY21" s="135">
        <f>E20-AX21</f>
        <v>16.079999999999998</v>
      </c>
      <c r="AZ21" s="254"/>
    </row>
    <row r="22" spans="1:52" s="4" customFormat="1" ht="16.5" customHeight="1" x14ac:dyDescent="0.15">
      <c r="A22" s="352"/>
      <c r="B22" s="302" t="s">
        <v>22</v>
      </c>
      <c r="C22" s="300" t="s">
        <v>23</v>
      </c>
      <c r="D22" s="260">
        <v>2451</v>
      </c>
      <c r="E22" s="262">
        <f t="shared" ref="E22" si="5">ROUND((D22)/$D$58*100,2)</f>
        <v>0.43</v>
      </c>
      <c r="F22" s="255"/>
      <c r="G22" s="95"/>
      <c r="H22" s="95"/>
      <c r="I22" s="166"/>
      <c r="J22" s="168"/>
      <c r="K22" s="168"/>
      <c r="L22" s="168"/>
      <c r="M22" s="168"/>
      <c r="N22" s="168"/>
      <c r="O22" s="378"/>
      <c r="P22" s="166"/>
      <c r="Q22" s="168"/>
      <c r="R22" s="168"/>
      <c r="S22" s="168"/>
      <c r="T22" s="168"/>
      <c r="U22" s="168"/>
      <c r="V22" s="386"/>
      <c r="W22" s="168"/>
      <c r="X22" s="165"/>
      <c r="Y22" s="165"/>
      <c r="Z22" s="165"/>
      <c r="AA22" s="165"/>
      <c r="AB22" s="165"/>
      <c r="AC22" s="163"/>
      <c r="AD22" s="433"/>
      <c r="AE22" s="378"/>
      <c r="AF22" s="378"/>
      <c r="AG22" s="378"/>
      <c r="AH22" s="378"/>
      <c r="AI22" s="378"/>
      <c r="AJ22" s="386"/>
      <c r="AK22" s="166"/>
      <c r="AL22" s="165"/>
      <c r="AM22" s="165"/>
      <c r="AN22" s="165"/>
      <c r="AO22" s="165"/>
      <c r="AP22" s="165"/>
      <c r="AQ22" s="167"/>
      <c r="AR22" s="80"/>
      <c r="AS22" s="8"/>
      <c r="AT22" s="258"/>
      <c r="AU22" s="9"/>
      <c r="AW22" s="134"/>
      <c r="AX22" s="134"/>
      <c r="AY22" s="135"/>
      <c r="AZ22" s="254"/>
    </row>
    <row r="23" spans="1:52" s="4" customFormat="1" ht="16.5" customHeight="1" x14ac:dyDescent="0.15">
      <c r="A23" s="352"/>
      <c r="B23" s="302"/>
      <c r="C23" s="301"/>
      <c r="D23" s="261"/>
      <c r="E23" s="262"/>
      <c r="F23" s="256"/>
      <c r="G23" s="96"/>
      <c r="H23" s="96"/>
      <c r="I23" s="179"/>
      <c r="J23" s="184"/>
      <c r="K23" s="184"/>
      <c r="L23" s="184"/>
      <c r="M23" s="184"/>
      <c r="N23" s="184"/>
      <c r="O23" s="379"/>
      <c r="P23" s="179"/>
      <c r="Q23" s="184"/>
      <c r="R23" s="184"/>
      <c r="S23" s="184"/>
      <c r="T23" s="184"/>
      <c r="U23" s="184"/>
      <c r="V23" s="387"/>
      <c r="W23" s="184"/>
      <c r="X23" s="182"/>
      <c r="Y23" s="182"/>
      <c r="Z23" s="182"/>
      <c r="AA23" s="182"/>
      <c r="AB23" s="182"/>
      <c r="AC23" s="181"/>
      <c r="AD23" s="434"/>
      <c r="AE23" s="379"/>
      <c r="AF23" s="379"/>
      <c r="AG23" s="379"/>
      <c r="AH23" s="379"/>
      <c r="AI23" s="379"/>
      <c r="AJ23" s="387"/>
      <c r="AK23" s="179"/>
      <c r="AL23" s="182"/>
      <c r="AM23" s="182"/>
      <c r="AN23" s="182"/>
      <c r="AO23" s="182"/>
      <c r="AP23" s="182"/>
      <c r="AQ23" s="183"/>
      <c r="AR23" s="68"/>
      <c r="AS23" s="22"/>
      <c r="AT23" s="258"/>
      <c r="AU23" s="9"/>
      <c r="AW23" s="134">
        <f>E22/1</f>
        <v>0.43</v>
      </c>
      <c r="AX23" s="134">
        <f>SUM(I23:AQ23)</f>
        <v>0</v>
      </c>
      <c r="AY23" s="135">
        <f>E22-AX23</f>
        <v>0.43</v>
      </c>
      <c r="AZ23" s="254"/>
    </row>
    <row r="24" spans="1:52" s="4" customFormat="1" ht="16.5" customHeight="1" x14ac:dyDescent="0.15">
      <c r="A24" s="354" t="s">
        <v>24</v>
      </c>
      <c r="B24" s="353" t="s">
        <v>25</v>
      </c>
      <c r="C24" s="300" t="s">
        <v>26</v>
      </c>
      <c r="D24" s="260">
        <v>86138</v>
      </c>
      <c r="E24" s="262">
        <f t="shared" ref="E24" si="6">ROUND((D24)/$D$58*100,2)</f>
        <v>14.94</v>
      </c>
      <c r="F24" s="255">
        <v>1631.28</v>
      </c>
      <c r="G24" s="95" t="s">
        <v>59</v>
      </c>
      <c r="H24" s="95" t="s">
        <v>70</v>
      </c>
      <c r="I24" s="166"/>
      <c r="J24" s="168"/>
      <c r="K24" s="168"/>
      <c r="L24" s="168"/>
      <c r="M24" s="168"/>
      <c r="N24" s="168"/>
      <c r="O24" s="378"/>
      <c r="P24" s="166"/>
      <c r="Q24" s="168"/>
      <c r="R24" s="168"/>
      <c r="S24" s="168"/>
      <c r="T24" s="168"/>
      <c r="U24" s="168"/>
      <c r="V24" s="386"/>
      <c r="W24" s="168"/>
      <c r="X24" s="165"/>
      <c r="Y24" s="165"/>
      <c r="Z24" s="165"/>
      <c r="AA24" s="165"/>
      <c r="AB24" s="165"/>
      <c r="AC24" s="163"/>
      <c r="AD24" s="433"/>
      <c r="AE24" s="378"/>
      <c r="AF24" s="378"/>
      <c r="AG24" s="378"/>
      <c r="AH24" s="378"/>
      <c r="AI24" s="378"/>
      <c r="AJ24" s="386"/>
      <c r="AK24" s="166"/>
      <c r="AL24" s="165"/>
      <c r="AM24" s="165"/>
      <c r="AN24" s="165"/>
      <c r="AO24" s="165"/>
      <c r="AP24" s="165"/>
      <c r="AQ24" s="167"/>
      <c r="AR24" s="68"/>
      <c r="AS24" s="22"/>
      <c r="AT24" s="258"/>
      <c r="AU24" s="9"/>
      <c r="AW24" s="134"/>
      <c r="AX24" s="134"/>
      <c r="AY24" s="135"/>
      <c r="AZ24" s="254"/>
    </row>
    <row r="25" spans="1:52" s="4" customFormat="1" ht="16.5" customHeight="1" x14ac:dyDescent="0.15">
      <c r="A25" s="352"/>
      <c r="B25" s="349"/>
      <c r="C25" s="301"/>
      <c r="D25" s="261"/>
      <c r="E25" s="262"/>
      <c r="F25" s="256"/>
      <c r="G25" s="96"/>
      <c r="H25" s="96" t="s">
        <v>71</v>
      </c>
      <c r="I25" s="179"/>
      <c r="J25" s="184"/>
      <c r="K25" s="184"/>
      <c r="L25" s="184"/>
      <c r="M25" s="184"/>
      <c r="N25" s="184"/>
      <c r="O25" s="379"/>
      <c r="P25" s="179"/>
      <c r="Q25" s="184"/>
      <c r="R25" s="184"/>
      <c r="S25" s="184"/>
      <c r="T25" s="184"/>
      <c r="U25" s="184"/>
      <c r="V25" s="387"/>
      <c r="W25" s="184"/>
      <c r="X25" s="182"/>
      <c r="Y25" s="182"/>
      <c r="Z25" s="182"/>
      <c r="AA25" s="182"/>
      <c r="AB25" s="182"/>
      <c r="AC25" s="181"/>
      <c r="AD25" s="434"/>
      <c r="AE25" s="379"/>
      <c r="AF25" s="379"/>
      <c r="AG25" s="379"/>
      <c r="AH25" s="379"/>
      <c r="AI25" s="379"/>
      <c r="AJ25" s="387"/>
      <c r="AK25" s="179"/>
      <c r="AL25" s="182"/>
      <c r="AM25" s="182"/>
      <c r="AN25" s="182"/>
      <c r="AO25" s="182"/>
      <c r="AP25" s="182"/>
      <c r="AQ25" s="183"/>
      <c r="AR25" s="80"/>
      <c r="AS25" s="8"/>
      <c r="AT25" s="258"/>
      <c r="AU25" s="9"/>
      <c r="AW25" s="134">
        <f>E24/6</f>
        <v>2.4899999999999998</v>
      </c>
      <c r="AX25" s="134">
        <f>SUM(I25:AQ25)</f>
        <v>0</v>
      </c>
      <c r="AY25" s="135">
        <f>E24-AX25</f>
        <v>14.94</v>
      </c>
      <c r="AZ25" s="254"/>
    </row>
    <row r="26" spans="1:52" s="4" customFormat="1" ht="16.5" customHeight="1" x14ac:dyDescent="0.15">
      <c r="A26" s="352"/>
      <c r="B26" s="349"/>
      <c r="C26" s="302" t="s">
        <v>27</v>
      </c>
      <c r="D26" s="260">
        <v>26588</v>
      </c>
      <c r="E26" s="262">
        <f t="shared" ref="E26" si="7">ROUND((D26)/$D$58*100,2)</f>
        <v>4.6100000000000003</v>
      </c>
      <c r="F26" s="255"/>
      <c r="G26" s="95"/>
      <c r="H26" s="95"/>
      <c r="I26" s="166"/>
      <c r="J26" s="168"/>
      <c r="K26" s="168"/>
      <c r="L26" s="168"/>
      <c r="M26" s="168"/>
      <c r="N26" s="168"/>
      <c r="O26" s="378"/>
      <c r="P26" s="166"/>
      <c r="Q26" s="168"/>
      <c r="R26" s="168"/>
      <c r="S26" s="168"/>
      <c r="T26" s="168"/>
      <c r="U26" s="168"/>
      <c r="V26" s="386"/>
      <c r="W26" s="168"/>
      <c r="X26" s="165"/>
      <c r="Y26" s="165"/>
      <c r="Z26" s="165"/>
      <c r="AA26" s="165"/>
      <c r="AB26" s="165"/>
      <c r="AC26" s="163"/>
      <c r="AD26" s="433"/>
      <c r="AE26" s="378"/>
      <c r="AF26" s="378"/>
      <c r="AG26" s="378"/>
      <c r="AH26" s="378"/>
      <c r="AI26" s="378"/>
      <c r="AJ26" s="386"/>
      <c r="AK26" s="166"/>
      <c r="AL26" s="165"/>
      <c r="AM26" s="165"/>
      <c r="AN26" s="165"/>
      <c r="AO26" s="165"/>
      <c r="AP26" s="165"/>
      <c r="AQ26" s="167"/>
      <c r="AR26" s="68"/>
      <c r="AS26" s="22"/>
      <c r="AT26" s="7"/>
      <c r="AU26" s="9"/>
      <c r="AW26" s="134"/>
      <c r="AX26" s="134"/>
      <c r="AY26" s="135"/>
      <c r="AZ26" s="254"/>
    </row>
    <row r="27" spans="1:52" s="4" customFormat="1" ht="16.5" customHeight="1" x14ac:dyDescent="0.15">
      <c r="A27" s="352"/>
      <c r="B27" s="350"/>
      <c r="C27" s="302"/>
      <c r="D27" s="261"/>
      <c r="E27" s="262"/>
      <c r="F27" s="256"/>
      <c r="G27" s="96"/>
      <c r="H27" s="96"/>
      <c r="I27" s="179"/>
      <c r="J27" s="184"/>
      <c r="K27" s="184"/>
      <c r="L27" s="184"/>
      <c r="M27" s="184"/>
      <c r="N27" s="184"/>
      <c r="O27" s="379"/>
      <c r="P27" s="179"/>
      <c r="Q27" s="184"/>
      <c r="R27" s="184"/>
      <c r="S27" s="184"/>
      <c r="T27" s="184"/>
      <c r="U27" s="184"/>
      <c r="V27" s="387"/>
      <c r="W27" s="184"/>
      <c r="X27" s="182"/>
      <c r="Y27" s="182"/>
      <c r="Z27" s="182"/>
      <c r="AA27" s="182"/>
      <c r="AB27" s="182"/>
      <c r="AC27" s="181"/>
      <c r="AD27" s="434"/>
      <c r="AE27" s="379"/>
      <c r="AF27" s="379"/>
      <c r="AG27" s="379"/>
      <c r="AH27" s="379"/>
      <c r="AI27" s="379"/>
      <c r="AJ27" s="387"/>
      <c r="AK27" s="179"/>
      <c r="AL27" s="182"/>
      <c r="AM27" s="182"/>
      <c r="AN27" s="182"/>
      <c r="AO27" s="182"/>
      <c r="AP27" s="182"/>
      <c r="AQ27" s="183"/>
      <c r="AR27" s="80"/>
      <c r="AS27" s="7"/>
      <c r="AT27" s="7"/>
      <c r="AU27" s="9"/>
      <c r="AW27" s="134">
        <f>E26/4</f>
        <v>1.1525000000000001</v>
      </c>
      <c r="AX27" s="134">
        <f>SUM(I27:AQ27)</f>
        <v>0</v>
      </c>
      <c r="AY27" s="135">
        <f>E26-AX27</f>
        <v>4.6100000000000003</v>
      </c>
      <c r="AZ27" s="254"/>
    </row>
    <row r="28" spans="1:52" s="4" customFormat="1" ht="16.5" customHeight="1" x14ac:dyDescent="0.15">
      <c r="A28" s="352"/>
      <c r="B28" s="296" t="s">
        <v>28</v>
      </c>
      <c r="C28" s="297"/>
      <c r="D28" s="260">
        <v>22773</v>
      </c>
      <c r="E28" s="262">
        <f t="shared" ref="E28" si="8">ROUND((D28)/$D$58*100,2)</f>
        <v>3.95</v>
      </c>
      <c r="F28" s="263" t="s">
        <v>115</v>
      </c>
      <c r="G28" s="264"/>
      <c r="H28" s="95"/>
      <c r="I28" s="166"/>
      <c r="J28" s="168"/>
      <c r="K28" s="168"/>
      <c r="L28" s="168"/>
      <c r="M28" s="168"/>
      <c r="N28" s="168"/>
      <c r="O28" s="378"/>
      <c r="P28" s="166"/>
      <c r="Q28" s="168"/>
      <c r="R28" s="168"/>
      <c r="S28" s="168"/>
      <c r="T28" s="168"/>
      <c r="U28" s="168"/>
      <c r="V28" s="386"/>
      <c r="W28" s="168"/>
      <c r="X28" s="165"/>
      <c r="Y28" s="165"/>
      <c r="Z28" s="165"/>
      <c r="AA28" s="165"/>
      <c r="AB28" s="165"/>
      <c r="AC28" s="163"/>
      <c r="AD28" s="433"/>
      <c r="AE28" s="378"/>
      <c r="AF28" s="378"/>
      <c r="AG28" s="378"/>
      <c r="AH28" s="378"/>
      <c r="AI28" s="378"/>
      <c r="AJ28" s="386"/>
      <c r="AK28" s="166"/>
      <c r="AL28" s="165"/>
      <c r="AM28" s="165"/>
      <c r="AN28" s="165"/>
      <c r="AO28" s="165"/>
      <c r="AP28" s="165"/>
      <c r="AQ28" s="167"/>
      <c r="AR28" s="68"/>
      <c r="AS28" s="258"/>
      <c r="AT28" s="7"/>
      <c r="AU28" s="9"/>
      <c r="AW28" s="134"/>
      <c r="AX28" s="134"/>
      <c r="AY28" s="135"/>
      <c r="AZ28" s="254"/>
    </row>
    <row r="29" spans="1:52" s="4" customFormat="1" ht="16.5" customHeight="1" x14ac:dyDescent="0.15">
      <c r="A29" s="355"/>
      <c r="B29" s="298"/>
      <c r="C29" s="299"/>
      <c r="D29" s="261"/>
      <c r="E29" s="262"/>
      <c r="F29" s="265" t="s">
        <v>116</v>
      </c>
      <c r="G29" s="266"/>
      <c r="H29" s="96"/>
      <c r="I29" s="179"/>
      <c r="J29" s="184"/>
      <c r="K29" s="184"/>
      <c r="L29" s="184"/>
      <c r="M29" s="184"/>
      <c r="N29" s="184"/>
      <c r="O29" s="379"/>
      <c r="P29" s="179"/>
      <c r="Q29" s="184"/>
      <c r="R29" s="184"/>
      <c r="S29" s="184"/>
      <c r="T29" s="184"/>
      <c r="U29" s="184"/>
      <c r="V29" s="387"/>
      <c r="W29" s="184"/>
      <c r="X29" s="182"/>
      <c r="Y29" s="182"/>
      <c r="Z29" s="182"/>
      <c r="AA29" s="182"/>
      <c r="AB29" s="182"/>
      <c r="AC29" s="181"/>
      <c r="AD29" s="434"/>
      <c r="AE29" s="379"/>
      <c r="AF29" s="379"/>
      <c r="AG29" s="379"/>
      <c r="AH29" s="379"/>
      <c r="AI29" s="379"/>
      <c r="AJ29" s="387"/>
      <c r="AK29" s="179"/>
      <c r="AL29" s="182"/>
      <c r="AM29" s="182"/>
      <c r="AN29" s="182"/>
      <c r="AO29" s="182"/>
      <c r="AP29" s="182"/>
      <c r="AQ29" s="183"/>
      <c r="AR29" s="68"/>
      <c r="AS29" s="258"/>
      <c r="AT29" s="258"/>
      <c r="AU29" s="9"/>
      <c r="AW29" s="134">
        <f>E28/2</f>
        <v>1.9750000000000001</v>
      </c>
      <c r="AX29" s="134">
        <f>SUM(I29:AQ29)</f>
        <v>0</v>
      </c>
      <c r="AY29" s="135">
        <f>E28-AX29</f>
        <v>3.95</v>
      </c>
      <c r="AZ29" s="254"/>
    </row>
    <row r="30" spans="1:52" s="4" customFormat="1" ht="16.5" customHeight="1" x14ac:dyDescent="0.15">
      <c r="A30" s="352" t="s">
        <v>29</v>
      </c>
      <c r="B30" s="302" t="s">
        <v>30</v>
      </c>
      <c r="C30" s="300" t="s">
        <v>31</v>
      </c>
      <c r="D30" s="260">
        <v>3413</v>
      </c>
      <c r="E30" s="262">
        <f t="shared" ref="E30" si="9">ROUND((D30)/$D$58*100,2)</f>
        <v>0.59</v>
      </c>
      <c r="F30" s="95" t="s">
        <v>112</v>
      </c>
      <c r="G30" s="267" t="s">
        <v>116</v>
      </c>
      <c r="H30" s="95"/>
      <c r="I30" s="166"/>
      <c r="J30" s="168"/>
      <c r="K30" s="168"/>
      <c r="L30" s="168"/>
      <c r="M30" s="168"/>
      <c r="N30" s="168"/>
      <c r="O30" s="378"/>
      <c r="P30" s="166"/>
      <c r="Q30" s="168"/>
      <c r="R30" s="168"/>
      <c r="S30" s="168"/>
      <c r="T30" s="168"/>
      <c r="U30" s="168"/>
      <c r="V30" s="386"/>
      <c r="W30" s="168"/>
      <c r="X30" s="165"/>
      <c r="Y30" s="165"/>
      <c r="Z30" s="165"/>
      <c r="AA30" s="165"/>
      <c r="AB30" s="165"/>
      <c r="AC30" s="163"/>
      <c r="AD30" s="433"/>
      <c r="AE30" s="378"/>
      <c r="AF30" s="378"/>
      <c r="AG30" s="378"/>
      <c r="AH30" s="378"/>
      <c r="AI30" s="378"/>
      <c r="AJ30" s="386"/>
      <c r="AK30" s="166"/>
      <c r="AL30" s="165"/>
      <c r="AM30" s="165"/>
      <c r="AN30" s="165"/>
      <c r="AO30" s="165"/>
      <c r="AP30" s="165"/>
      <c r="AQ30" s="167"/>
      <c r="AR30" s="68"/>
      <c r="AS30" s="258"/>
      <c r="AT30" s="258"/>
      <c r="AU30" s="9"/>
      <c r="AW30" s="134"/>
      <c r="AX30" s="134"/>
      <c r="AY30" s="135"/>
      <c r="AZ30" s="254"/>
    </row>
    <row r="31" spans="1:52" s="4" customFormat="1" ht="16.5" customHeight="1" x14ac:dyDescent="0.15">
      <c r="A31" s="352"/>
      <c r="B31" s="302"/>
      <c r="C31" s="301"/>
      <c r="D31" s="261"/>
      <c r="E31" s="262"/>
      <c r="F31" s="96"/>
      <c r="G31" s="268"/>
      <c r="H31" s="96"/>
      <c r="I31" s="179"/>
      <c r="J31" s="184"/>
      <c r="K31" s="184"/>
      <c r="L31" s="184"/>
      <c r="M31" s="184"/>
      <c r="N31" s="184"/>
      <c r="O31" s="379"/>
      <c r="P31" s="179"/>
      <c r="Q31" s="184"/>
      <c r="R31" s="184"/>
      <c r="S31" s="184"/>
      <c r="T31" s="184"/>
      <c r="U31" s="184"/>
      <c r="V31" s="387"/>
      <c r="W31" s="184"/>
      <c r="X31" s="182"/>
      <c r="Y31" s="182"/>
      <c r="Z31" s="182"/>
      <c r="AA31" s="182"/>
      <c r="AB31" s="182"/>
      <c r="AC31" s="181"/>
      <c r="AD31" s="434"/>
      <c r="AE31" s="379"/>
      <c r="AF31" s="379"/>
      <c r="AG31" s="379"/>
      <c r="AH31" s="379"/>
      <c r="AI31" s="379"/>
      <c r="AJ31" s="387"/>
      <c r="AK31" s="179"/>
      <c r="AL31" s="182"/>
      <c r="AM31" s="182"/>
      <c r="AN31" s="182"/>
      <c r="AO31" s="182"/>
      <c r="AP31" s="182"/>
      <c r="AQ31" s="183"/>
      <c r="AR31" s="80"/>
      <c r="AS31" s="7"/>
      <c r="AT31" s="7"/>
      <c r="AU31" s="9"/>
      <c r="AW31" s="134">
        <f>E30/1</f>
        <v>0.59</v>
      </c>
      <c r="AX31" s="134">
        <f>SUM(I31:AQ31)</f>
        <v>0</v>
      </c>
      <c r="AY31" s="135">
        <f>E30-AX31</f>
        <v>0.59</v>
      </c>
      <c r="AZ31" s="254"/>
    </row>
    <row r="32" spans="1:52" s="4" customFormat="1" ht="16.5" customHeight="1" x14ac:dyDescent="0.15">
      <c r="A32" s="352"/>
      <c r="B32" s="302"/>
      <c r="C32" s="300" t="s">
        <v>32</v>
      </c>
      <c r="D32" s="260">
        <v>12965</v>
      </c>
      <c r="E32" s="262">
        <f t="shared" ref="E32" si="10">ROUND((D32)/$D$58*100,2)</f>
        <v>2.25</v>
      </c>
      <c r="F32" s="95" t="s">
        <v>113</v>
      </c>
      <c r="G32" s="268"/>
      <c r="H32" s="95"/>
      <c r="I32" s="166"/>
      <c r="J32" s="168"/>
      <c r="K32" s="168"/>
      <c r="L32" s="168"/>
      <c r="M32" s="168"/>
      <c r="N32" s="168"/>
      <c r="O32" s="378"/>
      <c r="P32" s="166"/>
      <c r="Q32" s="168"/>
      <c r="R32" s="168"/>
      <c r="S32" s="168"/>
      <c r="T32" s="168"/>
      <c r="U32" s="168"/>
      <c r="V32" s="386"/>
      <c r="W32" s="168"/>
      <c r="X32" s="165"/>
      <c r="Y32" s="165"/>
      <c r="Z32" s="165"/>
      <c r="AA32" s="165"/>
      <c r="AB32" s="165"/>
      <c r="AC32" s="163"/>
      <c r="AD32" s="433"/>
      <c r="AE32" s="378"/>
      <c r="AF32" s="378"/>
      <c r="AG32" s="378"/>
      <c r="AH32" s="378"/>
      <c r="AI32" s="378"/>
      <c r="AJ32" s="386"/>
      <c r="AK32" s="166"/>
      <c r="AL32" s="165"/>
      <c r="AM32" s="165"/>
      <c r="AN32" s="165"/>
      <c r="AO32" s="165"/>
      <c r="AP32" s="165"/>
      <c r="AQ32" s="167"/>
      <c r="AR32" s="68"/>
      <c r="AS32" s="258"/>
      <c r="AU32" s="9"/>
      <c r="AW32" s="134"/>
      <c r="AX32" s="134"/>
      <c r="AY32" s="135"/>
      <c r="AZ32" s="254"/>
    </row>
    <row r="33" spans="1:52" s="4" customFormat="1" ht="16.5" customHeight="1" x14ac:dyDescent="0.15">
      <c r="A33" s="352"/>
      <c r="B33" s="302"/>
      <c r="C33" s="301"/>
      <c r="D33" s="261"/>
      <c r="E33" s="262"/>
      <c r="F33" s="96"/>
      <c r="G33" s="268"/>
      <c r="H33" s="96"/>
      <c r="I33" s="179"/>
      <c r="J33" s="184"/>
      <c r="K33" s="184"/>
      <c r="L33" s="184"/>
      <c r="M33" s="184"/>
      <c r="N33" s="184"/>
      <c r="O33" s="379"/>
      <c r="P33" s="179"/>
      <c r="Q33" s="184"/>
      <c r="R33" s="184"/>
      <c r="S33" s="184"/>
      <c r="T33" s="184"/>
      <c r="U33" s="184"/>
      <c r="V33" s="387"/>
      <c r="W33" s="184"/>
      <c r="X33" s="182"/>
      <c r="Y33" s="182"/>
      <c r="Z33" s="182"/>
      <c r="AA33" s="182"/>
      <c r="AB33" s="182"/>
      <c r="AC33" s="181"/>
      <c r="AD33" s="434"/>
      <c r="AE33" s="379"/>
      <c r="AF33" s="379"/>
      <c r="AG33" s="379"/>
      <c r="AH33" s="379"/>
      <c r="AI33" s="379"/>
      <c r="AJ33" s="387"/>
      <c r="AK33" s="179"/>
      <c r="AL33" s="182"/>
      <c r="AM33" s="182"/>
      <c r="AN33" s="182"/>
      <c r="AO33" s="182"/>
      <c r="AP33" s="182"/>
      <c r="AQ33" s="183"/>
      <c r="AR33" s="68"/>
      <c r="AS33" s="258"/>
      <c r="AT33" s="258"/>
      <c r="AU33" s="9"/>
      <c r="AW33" s="134">
        <f>E32/1</f>
        <v>2.25</v>
      </c>
      <c r="AX33" s="134">
        <f>SUM(I33:AQ33)</f>
        <v>0</v>
      </c>
      <c r="AY33" s="135">
        <f>E32-AX33</f>
        <v>2.25</v>
      </c>
      <c r="AZ33" s="254"/>
    </row>
    <row r="34" spans="1:52" s="4" customFormat="1" ht="16.5" customHeight="1" x14ac:dyDescent="0.15">
      <c r="A34" s="352"/>
      <c r="B34" s="302"/>
      <c r="C34" s="300" t="s">
        <v>33</v>
      </c>
      <c r="D34" s="260">
        <v>300</v>
      </c>
      <c r="E34" s="262">
        <f t="shared" ref="E34" si="11">ROUND((D34)/$D$58*100,2)</f>
        <v>0.05</v>
      </c>
      <c r="F34" s="95" t="s">
        <v>114</v>
      </c>
      <c r="G34" s="268"/>
      <c r="H34" s="95"/>
      <c r="I34" s="166"/>
      <c r="J34" s="168"/>
      <c r="K34" s="168"/>
      <c r="L34" s="168"/>
      <c r="M34" s="168"/>
      <c r="N34" s="168"/>
      <c r="O34" s="378"/>
      <c r="P34" s="166"/>
      <c r="Q34" s="168"/>
      <c r="R34" s="168"/>
      <c r="S34" s="168"/>
      <c r="T34" s="168"/>
      <c r="U34" s="168"/>
      <c r="V34" s="386"/>
      <c r="W34" s="168"/>
      <c r="X34" s="165"/>
      <c r="Y34" s="165"/>
      <c r="Z34" s="165"/>
      <c r="AA34" s="165"/>
      <c r="AB34" s="165"/>
      <c r="AC34" s="163"/>
      <c r="AD34" s="433"/>
      <c r="AE34" s="378"/>
      <c r="AF34" s="378"/>
      <c r="AG34" s="378"/>
      <c r="AH34" s="378"/>
      <c r="AI34" s="378"/>
      <c r="AJ34" s="386"/>
      <c r="AK34" s="166"/>
      <c r="AL34" s="165"/>
      <c r="AM34" s="165"/>
      <c r="AN34" s="165"/>
      <c r="AO34" s="165"/>
      <c r="AP34" s="165"/>
      <c r="AQ34" s="167"/>
      <c r="AR34" s="68"/>
      <c r="AS34" s="258"/>
      <c r="AT34" s="258"/>
      <c r="AU34" s="9"/>
      <c r="AW34" s="134"/>
      <c r="AX34" s="134"/>
      <c r="AY34" s="135"/>
      <c r="AZ34" s="254"/>
    </row>
    <row r="35" spans="1:52" s="4" customFormat="1" ht="16.5" customHeight="1" x14ac:dyDescent="0.15">
      <c r="A35" s="352"/>
      <c r="B35" s="302"/>
      <c r="C35" s="301"/>
      <c r="D35" s="261"/>
      <c r="E35" s="262"/>
      <c r="F35" s="96"/>
      <c r="G35" s="269"/>
      <c r="H35" s="96"/>
      <c r="I35" s="179"/>
      <c r="J35" s="184"/>
      <c r="K35" s="184"/>
      <c r="L35" s="184"/>
      <c r="M35" s="184"/>
      <c r="N35" s="184"/>
      <c r="O35" s="379"/>
      <c r="P35" s="179"/>
      <c r="Q35" s="184"/>
      <c r="R35" s="184"/>
      <c r="S35" s="184"/>
      <c r="T35" s="184"/>
      <c r="U35" s="184"/>
      <c r="V35" s="387"/>
      <c r="W35" s="184"/>
      <c r="X35" s="182"/>
      <c r="Y35" s="182"/>
      <c r="Z35" s="182"/>
      <c r="AA35" s="182"/>
      <c r="AB35" s="182"/>
      <c r="AC35" s="181"/>
      <c r="AD35" s="434"/>
      <c r="AE35" s="379"/>
      <c r="AF35" s="379"/>
      <c r="AG35" s="379"/>
      <c r="AH35" s="379"/>
      <c r="AI35" s="379"/>
      <c r="AJ35" s="387"/>
      <c r="AK35" s="179"/>
      <c r="AL35" s="182"/>
      <c r="AM35" s="182"/>
      <c r="AN35" s="182"/>
      <c r="AO35" s="182"/>
      <c r="AP35" s="182"/>
      <c r="AQ35" s="183"/>
      <c r="AR35" s="68"/>
      <c r="AS35" s="258"/>
      <c r="AT35" s="258"/>
      <c r="AU35" s="9"/>
      <c r="AW35" s="134">
        <f>E34/1</f>
        <v>0.05</v>
      </c>
      <c r="AX35" s="134">
        <f>SUM(I35:AQ35)</f>
        <v>0</v>
      </c>
      <c r="AY35" s="135">
        <f>E34-AX35</f>
        <v>0.05</v>
      </c>
      <c r="AZ35" s="254"/>
    </row>
    <row r="36" spans="1:52" s="4" customFormat="1" ht="16.5" customHeight="1" x14ac:dyDescent="0.15">
      <c r="A36" s="356" t="s">
        <v>34</v>
      </c>
      <c r="B36" s="296" t="s">
        <v>47</v>
      </c>
      <c r="C36" s="297"/>
      <c r="D36" s="260">
        <v>8154</v>
      </c>
      <c r="E36" s="262">
        <f t="shared" ref="E36" si="12">ROUND((D36)/$D$58*100,2)</f>
        <v>1.41</v>
      </c>
      <c r="F36" s="263" t="s">
        <v>117</v>
      </c>
      <c r="G36" s="264"/>
      <c r="H36" s="95"/>
      <c r="I36" s="166"/>
      <c r="J36" s="168"/>
      <c r="K36" s="168"/>
      <c r="L36" s="168"/>
      <c r="M36" s="168"/>
      <c r="N36" s="168"/>
      <c r="O36" s="378"/>
      <c r="P36" s="166"/>
      <c r="Q36" s="168"/>
      <c r="R36" s="168"/>
      <c r="S36" s="168"/>
      <c r="T36" s="168"/>
      <c r="U36" s="168"/>
      <c r="V36" s="386"/>
      <c r="W36" s="168"/>
      <c r="X36" s="165"/>
      <c r="Y36" s="165"/>
      <c r="Z36" s="165"/>
      <c r="AA36" s="165"/>
      <c r="AB36" s="165"/>
      <c r="AC36" s="163"/>
      <c r="AD36" s="433"/>
      <c r="AE36" s="378"/>
      <c r="AF36" s="378"/>
      <c r="AG36" s="378"/>
      <c r="AH36" s="378"/>
      <c r="AI36" s="378"/>
      <c r="AJ36" s="386"/>
      <c r="AK36" s="166"/>
      <c r="AL36" s="165"/>
      <c r="AM36" s="165"/>
      <c r="AN36" s="165"/>
      <c r="AO36" s="165"/>
      <c r="AP36" s="165"/>
      <c r="AQ36" s="167"/>
      <c r="AR36" s="80"/>
      <c r="AS36" s="7"/>
      <c r="AT36" s="7"/>
      <c r="AU36" s="9"/>
      <c r="AW36" s="134"/>
      <c r="AX36" s="134"/>
      <c r="AY36" s="135"/>
      <c r="AZ36" s="254"/>
    </row>
    <row r="37" spans="1:52" s="4" customFormat="1" ht="16.5" customHeight="1" x14ac:dyDescent="0.15">
      <c r="A37" s="357"/>
      <c r="B37" s="298"/>
      <c r="C37" s="299"/>
      <c r="D37" s="261"/>
      <c r="E37" s="262"/>
      <c r="F37" s="265" t="s">
        <v>118</v>
      </c>
      <c r="G37" s="266"/>
      <c r="H37" s="96"/>
      <c r="I37" s="179"/>
      <c r="J37" s="184"/>
      <c r="K37" s="184"/>
      <c r="L37" s="184"/>
      <c r="M37" s="184"/>
      <c r="N37" s="184"/>
      <c r="O37" s="379"/>
      <c r="P37" s="179"/>
      <c r="Q37" s="184"/>
      <c r="R37" s="184"/>
      <c r="S37" s="184"/>
      <c r="T37" s="184"/>
      <c r="U37" s="184"/>
      <c r="V37" s="387"/>
      <c r="W37" s="184"/>
      <c r="X37" s="182"/>
      <c r="Y37" s="182"/>
      <c r="Z37" s="182"/>
      <c r="AA37" s="182"/>
      <c r="AB37" s="182"/>
      <c r="AC37" s="181"/>
      <c r="AD37" s="434"/>
      <c r="AE37" s="379"/>
      <c r="AF37" s="379"/>
      <c r="AG37" s="379"/>
      <c r="AH37" s="379"/>
      <c r="AI37" s="379"/>
      <c r="AJ37" s="387"/>
      <c r="AK37" s="179"/>
      <c r="AL37" s="182"/>
      <c r="AM37" s="182"/>
      <c r="AN37" s="182"/>
      <c r="AO37" s="182"/>
      <c r="AP37" s="182"/>
      <c r="AQ37" s="183"/>
      <c r="AR37" s="80"/>
      <c r="AS37" s="7"/>
      <c r="AT37" s="258"/>
      <c r="AU37" s="9"/>
      <c r="AW37" s="134">
        <f>E36/2</f>
        <v>0.70499999999999996</v>
      </c>
      <c r="AX37" s="134">
        <f>SUM(I37:AQ37)</f>
        <v>0</v>
      </c>
      <c r="AY37" s="135">
        <f>E36-AX37</f>
        <v>1.41</v>
      </c>
      <c r="AZ37" s="254"/>
    </row>
    <row r="38" spans="1:52" s="4" customFormat="1" ht="16.5" customHeight="1" x14ac:dyDescent="0.15">
      <c r="A38" s="357"/>
      <c r="B38" s="296" t="s">
        <v>35</v>
      </c>
      <c r="C38" s="297"/>
      <c r="D38" s="260">
        <v>4362</v>
      </c>
      <c r="E38" s="262">
        <f t="shared" ref="E38" si="13">ROUND((D38)/$D$58*100,2)</f>
        <v>0.76</v>
      </c>
      <c r="F38" s="126" t="s">
        <v>119</v>
      </c>
      <c r="G38" s="127" t="s">
        <v>120</v>
      </c>
      <c r="H38" s="95"/>
      <c r="I38" s="166"/>
      <c r="J38" s="168"/>
      <c r="K38" s="168"/>
      <c r="L38" s="168"/>
      <c r="M38" s="168"/>
      <c r="N38" s="168"/>
      <c r="O38" s="378"/>
      <c r="P38" s="166"/>
      <c r="Q38" s="168"/>
      <c r="R38" s="168"/>
      <c r="S38" s="168"/>
      <c r="T38" s="168"/>
      <c r="U38" s="168"/>
      <c r="V38" s="386"/>
      <c r="W38" s="168"/>
      <c r="X38" s="165"/>
      <c r="Y38" s="165"/>
      <c r="Z38" s="165"/>
      <c r="AA38" s="165"/>
      <c r="AB38" s="165"/>
      <c r="AC38" s="163"/>
      <c r="AD38" s="433"/>
      <c r="AE38" s="378"/>
      <c r="AF38" s="378"/>
      <c r="AG38" s="378"/>
      <c r="AH38" s="378"/>
      <c r="AI38" s="378"/>
      <c r="AJ38" s="386"/>
      <c r="AK38" s="166"/>
      <c r="AL38" s="165"/>
      <c r="AM38" s="165"/>
      <c r="AN38" s="165"/>
      <c r="AO38" s="165"/>
      <c r="AP38" s="165"/>
      <c r="AQ38" s="167"/>
      <c r="AR38" s="68"/>
      <c r="AS38" s="258"/>
      <c r="AU38" s="9"/>
      <c r="AW38" s="134"/>
      <c r="AX38" s="134"/>
      <c r="AY38" s="135"/>
      <c r="AZ38" s="254"/>
    </row>
    <row r="39" spans="1:52" s="4" customFormat="1" ht="16.5" customHeight="1" x14ac:dyDescent="0.15">
      <c r="A39" s="358"/>
      <c r="B39" s="298"/>
      <c r="C39" s="299"/>
      <c r="D39" s="261"/>
      <c r="E39" s="262"/>
      <c r="F39" s="265" t="s">
        <v>121</v>
      </c>
      <c r="G39" s="266"/>
      <c r="H39" s="96"/>
      <c r="I39" s="179"/>
      <c r="J39" s="184"/>
      <c r="K39" s="184"/>
      <c r="L39" s="184"/>
      <c r="M39" s="184"/>
      <c r="N39" s="184"/>
      <c r="O39" s="379"/>
      <c r="P39" s="179"/>
      <c r="Q39" s="184"/>
      <c r="R39" s="184"/>
      <c r="S39" s="184"/>
      <c r="T39" s="184"/>
      <c r="U39" s="184"/>
      <c r="V39" s="387"/>
      <c r="W39" s="184"/>
      <c r="X39" s="182"/>
      <c r="Y39" s="182"/>
      <c r="Z39" s="182"/>
      <c r="AA39" s="182"/>
      <c r="AB39" s="182"/>
      <c r="AC39" s="181"/>
      <c r="AD39" s="434"/>
      <c r="AE39" s="379"/>
      <c r="AF39" s="379"/>
      <c r="AG39" s="379"/>
      <c r="AH39" s="379"/>
      <c r="AI39" s="379"/>
      <c r="AJ39" s="387"/>
      <c r="AK39" s="179"/>
      <c r="AL39" s="182"/>
      <c r="AM39" s="182"/>
      <c r="AN39" s="182"/>
      <c r="AO39" s="182"/>
      <c r="AP39" s="182"/>
      <c r="AQ39" s="183"/>
      <c r="AR39" s="68"/>
      <c r="AS39" s="258"/>
      <c r="AT39" s="258"/>
      <c r="AU39" s="9"/>
      <c r="AW39" s="134">
        <f>E38/1</f>
        <v>0.76</v>
      </c>
      <c r="AX39" s="134">
        <f>SUM(I39:AQ39)</f>
        <v>0</v>
      </c>
      <c r="AY39" s="135">
        <f>E38-AX39</f>
        <v>0.76</v>
      </c>
      <c r="AZ39" s="254"/>
    </row>
    <row r="40" spans="1:52" s="4" customFormat="1" ht="16.5" customHeight="1" x14ac:dyDescent="0.15">
      <c r="A40" s="357" t="s">
        <v>36</v>
      </c>
      <c r="B40" s="296" t="s">
        <v>37</v>
      </c>
      <c r="C40" s="297"/>
      <c r="D40" s="260">
        <v>1791</v>
      </c>
      <c r="E40" s="262">
        <f t="shared" ref="E40" si="14">ROUND((D40)/$D$58*100,2)</f>
        <v>0.31</v>
      </c>
      <c r="F40" s="255"/>
      <c r="G40" s="95"/>
      <c r="H40" s="95"/>
      <c r="I40" s="166"/>
      <c r="J40" s="168"/>
      <c r="K40" s="168"/>
      <c r="L40" s="168"/>
      <c r="M40" s="168"/>
      <c r="N40" s="168"/>
      <c r="O40" s="378"/>
      <c r="P40" s="166"/>
      <c r="Q40" s="168"/>
      <c r="R40" s="168"/>
      <c r="S40" s="168"/>
      <c r="T40" s="168"/>
      <c r="U40" s="168"/>
      <c r="V40" s="386"/>
      <c r="W40" s="168"/>
      <c r="X40" s="165"/>
      <c r="Y40" s="165"/>
      <c r="Z40" s="165"/>
      <c r="AA40" s="165"/>
      <c r="AB40" s="165"/>
      <c r="AC40" s="163"/>
      <c r="AD40" s="433"/>
      <c r="AE40" s="378"/>
      <c r="AF40" s="378"/>
      <c r="AG40" s="378"/>
      <c r="AH40" s="378"/>
      <c r="AI40" s="378"/>
      <c r="AJ40" s="386"/>
      <c r="AK40" s="166"/>
      <c r="AL40" s="165"/>
      <c r="AM40" s="165"/>
      <c r="AN40" s="165"/>
      <c r="AO40" s="165"/>
      <c r="AP40" s="165"/>
      <c r="AQ40" s="167"/>
      <c r="AR40" s="68"/>
      <c r="AS40" s="258"/>
      <c r="AT40" s="258"/>
      <c r="AU40" s="9"/>
      <c r="AW40" s="134"/>
      <c r="AX40" s="134"/>
      <c r="AY40" s="135"/>
      <c r="AZ40" s="254"/>
    </row>
    <row r="41" spans="1:52" s="4" customFormat="1" ht="16.5" customHeight="1" x14ac:dyDescent="0.15">
      <c r="A41" s="357"/>
      <c r="B41" s="298"/>
      <c r="C41" s="299"/>
      <c r="D41" s="261"/>
      <c r="E41" s="262"/>
      <c r="F41" s="256"/>
      <c r="G41" s="96"/>
      <c r="H41" s="96"/>
      <c r="I41" s="179"/>
      <c r="J41" s="184"/>
      <c r="K41" s="184"/>
      <c r="L41" s="184"/>
      <c r="M41" s="184"/>
      <c r="N41" s="184"/>
      <c r="O41" s="379"/>
      <c r="P41" s="179"/>
      <c r="Q41" s="184"/>
      <c r="R41" s="184"/>
      <c r="S41" s="184"/>
      <c r="T41" s="184"/>
      <c r="U41" s="184"/>
      <c r="V41" s="387"/>
      <c r="W41" s="184"/>
      <c r="X41" s="182"/>
      <c r="Y41" s="182"/>
      <c r="Z41" s="182"/>
      <c r="AA41" s="182"/>
      <c r="AB41" s="182"/>
      <c r="AC41" s="181"/>
      <c r="AD41" s="434"/>
      <c r="AE41" s="379"/>
      <c r="AF41" s="379"/>
      <c r="AG41" s="379"/>
      <c r="AH41" s="379"/>
      <c r="AI41" s="379"/>
      <c r="AJ41" s="387"/>
      <c r="AK41" s="179"/>
      <c r="AL41" s="182"/>
      <c r="AM41" s="182"/>
      <c r="AN41" s="182"/>
      <c r="AO41" s="182"/>
      <c r="AP41" s="182"/>
      <c r="AQ41" s="183"/>
      <c r="AR41" s="80"/>
      <c r="AS41" s="7"/>
      <c r="AT41" s="258"/>
      <c r="AU41" s="9"/>
      <c r="AW41" s="134">
        <f>E40/2</f>
        <v>0.155</v>
      </c>
      <c r="AX41" s="134">
        <f>SUM(I41:AQ41)</f>
        <v>0</v>
      </c>
      <c r="AY41" s="135">
        <f>E40-AX41</f>
        <v>0.31</v>
      </c>
      <c r="AZ41" s="254"/>
    </row>
    <row r="42" spans="1:52" s="4" customFormat="1" ht="16.5" customHeight="1" x14ac:dyDescent="0.15">
      <c r="A42" s="357"/>
      <c r="B42" s="296" t="s">
        <v>38</v>
      </c>
      <c r="C42" s="297"/>
      <c r="D42" s="260">
        <v>121</v>
      </c>
      <c r="E42" s="262">
        <f t="shared" ref="E42" si="15">ROUND((D42)/$D$58*100,2)</f>
        <v>0.02</v>
      </c>
      <c r="F42" s="255"/>
      <c r="G42" s="95"/>
      <c r="H42" s="95"/>
      <c r="I42" s="166"/>
      <c r="J42" s="168"/>
      <c r="K42" s="168"/>
      <c r="L42" s="168"/>
      <c r="M42" s="168"/>
      <c r="N42" s="168"/>
      <c r="O42" s="378"/>
      <c r="P42" s="166"/>
      <c r="Q42" s="168"/>
      <c r="R42" s="168"/>
      <c r="S42" s="168"/>
      <c r="T42" s="168"/>
      <c r="U42" s="168"/>
      <c r="V42" s="386"/>
      <c r="W42" s="168"/>
      <c r="X42" s="165"/>
      <c r="Y42" s="165"/>
      <c r="Z42" s="165"/>
      <c r="AA42" s="165"/>
      <c r="AB42" s="165"/>
      <c r="AC42" s="163"/>
      <c r="AD42" s="433"/>
      <c r="AE42" s="378"/>
      <c r="AF42" s="378"/>
      <c r="AG42" s="378"/>
      <c r="AH42" s="378"/>
      <c r="AI42" s="378"/>
      <c r="AJ42" s="386"/>
      <c r="AK42" s="166"/>
      <c r="AL42" s="165"/>
      <c r="AM42" s="165"/>
      <c r="AN42" s="165"/>
      <c r="AO42" s="165"/>
      <c r="AP42" s="165"/>
      <c r="AQ42" s="167"/>
      <c r="AR42" s="80"/>
      <c r="AS42" s="7"/>
      <c r="AT42" s="7"/>
      <c r="AU42" s="9"/>
      <c r="AW42" s="134"/>
      <c r="AX42" s="134"/>
      <c r="AY42" s="135"/>
      <c r="AZ42" s="254"/>
    </row>
    <row r="43" spans="1:52" s="4" customFormat="1" ht="16.5" customHeight="1" x14ac:dyDescent="0.15">
      <c r="A43" s="357"/>
      <c r="B43" s="298"/>
      <c r="C43" s="299"/>
      <c r="D43" s="261"/>
      <c r="E43" s="262"/>
      <c r="F43" s="256"/>
      <c r="G43" s="96"/>
      <c r="H43" s="96"/>
      <c r="I43" s="179"/>
      <c r="J43" s="184"/>
      <c r="K43" s="184"/>
      <c r="L43" s="184"/>
      <c r="M43" s="184"/>
      <c r="N43" s="184"/>
      <c r="O43" s="379"/>
      <c r="P43" s="179"/>
      <c r="Q43" s="184"/>
      <c r="R43" s="184"/>
      <c r="S43" s="184"/>
      <c r="T43" s="184"/>
      <c r="U43" s="184"/>
      <c r="V43" s="387"/>
      <c r="W43" s="184"/>
      <c r="X43" s="182"/>
      <c r="Y43" s="182"/>
      <c r="Z43" s="182"/>
      <c r="AA43" s="182"/>
      <c r="AB43" s="182"/>
      <c r="AC43" s="181"/>
      <c r="AD43" s="434"/>
      <c r="AE43" s="379"/>
      <c r="AF43" s="379"/>
      <c r="AG43" s="379"/>
      <c r="AH43" s="379"/>
      <c r="AI43" s="379"/>
      <c r="AJ43" s="387"/>
      <c r="AK43" s="179"/>
      <c r="AL43" s="182"/>
      <c r="AM43" s="182"/>
      <c r="AN43" s="182"/>
      <c r="AO43" s="182"/>
      <c r="AP43" s="182"/>
      <c r="AQ43" s="183"/>
      <c r="AR43" s="68"/>
      <c r="AS43" s="258"/>
      <c r="AT43" s="258"/>
      <c r="AU43" s="9"/>
      <c r="AW43" s="134">
        <f>E42/2</f>
        <v>0.01</v>
      </c>
      <c r="AX43" s="134">
        <f>SUM(I43:AQ43)</f>
        <v>0</v>
      </c>
      <c r="AY43" s="135">
        <f>E42-AX43</f>
        <v>0.02</v>
      </c>
      <c r="AZ43" s="254"/>
    </row>
    <row r="44" spans="1:52" s="4" customFormat="1" ht="16.5" customHeight="1" x14ac:dyDescent="0.15">
      <c r="A44" s="357"/>
      <c r="B44" s="296" t="s">
        <v>39</v>
      </c>
      <c r="C44" s="297"/>
      <c r="D44" s="260">
        <v>10490</v>
      </c>
      <c r="E44" s="262">
        <f t="shared" ref="E44" si="16">ROUND((D44)/$D$58*100,2)</f>
        <v>1.82</v>
      </c>
      <c r="F44" s="255"/>
      <c r="G44" s="95"/>
      <c r="H44" s="95"/>
      <c r="I44" s="166"/>
      <c r="J44" s="168"/>
      <c r="K44" s="168"/>
      <c r="L44" s="168"/>
      <c r="M44" s="168"/>
      <c r="N44" s="168"/>
      <c r="O44" s="378"/>
      <c r="P44" s="166"/>
      <c r="Q44" s="168"/>
      <c r="R44" s="168"/>
      <c r="S44" s="168"/>
      <c r="T44" s="168"/>
      <c r="U44" s="168"/>
      <c r="V44" s="386"/>
      <c r="W44" s="168"/>
      <c r="X44" s="165"/>
      <c r="Y44" s="165"/>
      <c r="Z44" s="165"/>
      <c r="AA44" s="165"/>
      <c r="AB44" s="165"/>
      <c r="AC44" s="163"/>
      <c r="AD44" s="433"/>
      <c r="AE44" s="378"/>
      <c r="AF44" s="378"/>
      <c r="AG44" s="378"/>
      <c r="AH44" s="378"/>
      <c r="AI44" s="378"/>
      <c r="AJ44" s="386"/>
      <c r="AK44" s="166"/>
      <c r="AL44" s="165"/>
      <c r="AM44" s="165"/>
      <c r="AN44" s="165"/>
      <c r="AO44" s="165"/>
      <c r="AP44" s="165"/>
      <c r="AQ44" s="167"/>
      <c r="AR44" s="68"/>
      <c r="AS44" s="258"/>
      <c r="AT44" s="258"/>
      <c r="AU44" s="9"/>
      <c r="AW44" s="134"/>
      <c r="AX44" s="134"/>
      <c r="AY44" s="135"/>
      <c r="AZ44" s="254"/>
    </row>
    <row r="45" spans="1:52" s="4" customFormat="1" ht="16.5" customHeight="1" x14ac:dyDescent="0.15">
      <c r="A45" s="357"/>
      <c r="B45" s="298"/>
      <c r="C45" s="299"/>
      <c r="D45" s="261"/>
      <c r="E45" s="262"/>
      <c r="F45" s="256"/>
      <c r="G45" s="96"/>
      <c r="H45" s="96"/>
      <c r="I45" s="179"/>
      <c r="J45" s="184"/>
      <c r="K45" s="184"/>
      <c r="L45" s="184"/>
      <c r="M45" s="184"/>
      <c r="N45" s="184"/>
      <c r="O45" s="379"/>
      <c r="P45" s="179"/>
      <c r="Q45" s="184"/>
      <c r="R45" s="184"/>
      <c r="S45" s="184"/>
      <c r="T45" s="184"/>
      <c r="U45" s="184"/>
      <c r="V45" s="387"/>
      <c r="W45" s="184"/>
      <c r="X45" s="182"/>
      <c r="Y45" s="182"/>
      <c r="Z45" s="182"/>
      <c r="AA45" s="182"/>
      <c r="AB45" s="182"/>
      <c r="AC45" s="181"/>
      <c r="AD45" s="434"/>
      <c r="AE45" s="379"/>
      <c r="AF45" s="379"/>
      <c r="AG45" s="379"/>
      <c r="AH45" s="379"/>
      <c r="AI45" s="379"/>
      <c r="AJ45" s="387"/>
      <c r="AK45" s="179"/>
      <c r="AL45" s="182"/>
      <c r="AM45" s="182"/>
      <c r="AN45" s="182"/>
      <c r="AO45" s="182"/>
      <c r="AP45" s="182"/>
      <c r="AQ45" s="183"/>
      <c r="AR45" s="68"/>
      <c r="AS45" s="258"/>
      <c r="AT45" s="258"/>
      <c r="AU45" s="9"/>
      <c r="AW45" s="134">
        <f>E44/2</f>
        <v>0.91</v>
      </c>
      <c r="AX45" s="134">
        <f>SUM(I45:AQ45)</f>
        <v>0</v>
      </c>
      <c r="AY45" s="135">
        <f>E44-AX45</f>
        <v>1.82</v>
      </c>
      <c r="AZ45" s="254"/>
    </row>
    <row r="46" spans="1:52" s="4" customFormat="1" ht="16.5" customHeight="1" x14ac:dyDescent="0.15">
      <c r="A46" s="357"/>
      <c r="B46" s="296" t="s">
        <v>40</v>
      </c>
      <c r="C46" s="297"/>
      <c r="D46" s="260">
        <v>5658</v>
      </c>
      <c r="E46" s="262">
        <f t="shared" ref="E46" si="17">ROUND((D46)/$D$58*100,2)</f>
        <v>0.98</v>
      </c>
      <c r="F46" s="255"/>
      <c r="G46" s="95"/>
      <c r="H46" s="95"/>
      <c r="I46" s="166"/>
      <c r="J46" s="168"/>
      <c r="K46" s="168"/>
      <c r="L46" s="168"/>
      <c r="M46" s="168"/>
      <c r="N46" s="168"/>
      <c r="O46" s="378"/>
      <c r="P46" s="166"/>
      <c r="Q46" s="168"/>
      <c r="R46" s="168"/>
      <c r="S46" s="168"/>
      <c r="T46" s="168"/>
      <c r="U46" s="168"/>
      <c r="V46" s="386"/>
      <c r="W46" s="168"/>
      <c r="X46" s="165"/>
      <c r="Y46" s="165"/>
      <c r="Z46" s="165"/>
      <c r="AA46" s="165"/>
      <c r="AB46" s="165"/>
      <c r="AC46" s="163"/>
      <c r="AD46" s="433"/>
      <c r="AE46" s="378"/>
      <c r="AF46" s="378"/>
      <c r="AG46" s="378"/>
      <c r="AH46" s="378"/>
      <c r="AI46" s="378"/>
      <c r="AJ46" s="386"/>
      <c r="AK46" s="166"/>
      <c r="AL46" s="165"/>
      <c r="AM46" s="165"/>
      <c r="AN46" s="165"/>
      <c r="AO46" s="165"/>
      <c r="AP46" s="165"/>
      <c r="AQ46" s="167"/>
      <c r="AR46" s="80"/>
      <c r="AS46" s="7"/>
      <c r="AT46" s="7"/>
      <c r="AU46" s="9"/>
      <c r="AW46" s="134"/>
      <c r="AX46" s="134"/>
      <c r="AY46" s="135"/>
      <c r="AZ46" s="254"/>
    </row>
    <row r="47" spans="1:52" s="4" customFormat="1" ht="16.5" customHeight="1" x14ac:dyDescent="0.15">
      <c r="A47" s="357"/>
      <c r="B47" s="298"/>
      <c r="C47" s="299"/>
      <c r="D47" s="261"/>
      <c r="E47" s="262"/>
      <c r="F47" s="256"/>
      <c r="G47" s="96"/>
      <c r="H47" s="96"/>
      <c r="I47" s="179"/>
      <c r="J47" s="184"/>
      <c r="K47" s="184"/>
      <c r="L47" s="184"/>
      <c r="M47" s="184"/>
      <c r="N47" s="184"/>
      <c r="O47" s="379"/>
      <c r="P47" s="179"/>
      <c r="Q47" s="184"/>
      <c r="R47" s="184"/>
      <c r="S47" s="184"/>
      <c r="T47" s="184"/>
      <c r="U47" s="184"/>
      <c r="V47" s="387"/>
      <c r="W47" s="184"/>
      <c r="X47" s="182"/>
      <c r="Y47" s="182"/>
      <c r="Z47" s="182"/>
      <c r="AA47" s="182"/>
      <c r="AB47" s="182"/>
      <c r="AC47" s="181"/>
      <c r="AD47" s="434"/>
      <c r="AE47" s="379"/>
      <c r="AF47" s="379"/>
      <c r="AG47" s="379"/>
      <c r="AH47" s="379"/>
      <c r="AI47" s="379"/>
      <c r="AJ47" s="387"/>
      <c r="AK47" s="179"/>
      <c r="AL47" s="182"/>
      <c r="AM47" s="182"/>
      <c r="AN47" s="182"/>
      <c r="AO47" s="182"/>
      <c r="AP47" s="182"/>
      <c r="AQ47" s="183"/>
      <c r="AR47" s="80"/>
      <c r="AS47" s="7"/>
      <c r="AT47" s="258"/>
      <c r="AU47" s="9"/>
      <c r="AW47" s="134">
        <f>E46/14</f>
        <v>6.9999999999999993E-2</v>
      </c>
      <c r="AX47" s="134">
        <f>SUM(I47:AQ47)</f>
        <v>0</v>
      </c>
      <c r="AY47" s="135">
        <f>E46-AX47</f>
        <v>0.98</v>
      </c>
      <c r="AZ47" s="254"/>
    </row>
    <row r="48" spans="1:52" s="4" customFormat="1" ht="16.5" customHeight="1" x14ac:dyDescent="0.15">
      <c r="A48" s="357"/>
      <c r="B48" s="296" t="s">
        <v>41</v>
      </c>
      <c r="C48" s="297"/>
      <c r="D48" s="260">
        <v>106791</v>
      </c>
      <c r="E48" s="262">
        <f t="shared" ref="E48" si="18">ROUND((D48)/$D$58*100,2)</f>
        <v>18.52</v>
      </c>
      <c r="F48" s="255"/>
      <c r="G48" s="95"/>
      <c r="H48" s="95"/>
      <c r="I48" s="166"/>
      <c r="J48" s="168"/>
      <c r="K48" s="168"/>
      <c r="L48" s="168"/>
      <c r="M48" s="168"/>
      <c r="N48" s="168"/>
      <c r="O48" s="378"/>
      <c r="P48" s="166"/>
      <c r="Q48" s="168"/>
      <c r="R48" s="168"/>
      <c r="S48" s="168"/>
      <c r="T48" s="168"/>
      <c r="U48" s="168"/>
      <c r="V48" s="386"/>
      <c r="W48" s="168"/>
      <c r="X48" s="165"/>
      <c r="Y48" s="165"/>
      <c r="Z48" s="165"/>
      <c r="AA48" s="165"/>
      <c r="AB48" s="165"/>
      <c r="AC48" s="163"/>
      <c r="AD48" s="433"/>
      <c r="AE48" s="378"/>
      <c r="AF48" s="378"/>
      <c r="AG48" s="378"/>
      <c r="AH48" s="378"/>
      <c r="AI48" s="378"/>
      <c r="AJ48" s="386"/>
      <c r="AK48" s="166"/>
      <c r="AL48" s="165"/>
      <c r="AM48" s="165"/>
      <c r="AN48" s="165"/>
      <c r="AO48" s="165"/>
      <c r="AP48" s="165"/>
      <c r="AQ48" s="167"/>
      <c r="AR48" s="68"/>
      <c r="AS48" s="258"/>
      <c r="AU48" s="9"/>
      <c r="AW48" s="134"/>
      <c r="AX48" s="134"/>
      <c r="AY48" s="135"/>
      <c r="AZ48" s="254"/>
    </row>
    <row r="49" spans="1:52" s="4" customFormat="1" ht="16.5" customHeight="1" x14ac:dyDescent="0.15">
      <c r="A49" s="357"/>
      <c r="B49" s="298"/>
      <c r="C49" s="299"/>
      <c r="D49" s="261"/>
      <c r="E49" s="262"/>
      <c r="F49" s="256"/>
      <c r="G49" s="96"/>
      <c r="H49" s="96"/>
      <c r="I49" s="179"/>
      <c r="J49" s="184"/>
      <c r="K49" s="184"/>
      <c r="L49" s="184"/>
      <c r="M49" s="184"/>
      <c r="N49" s="184"/>
      <c r="O49" s="379"/>
      <c r="P49" s="179"/>
      <c r="Q49" s="184"/>
      <c r="R49" s="184"/>
      <c r="S49" s="184"/>
      <c r="T49" s="184"/>
      <c r="U49" s="184"/>
      <c r="V49" s="387"/>
      <c r="W49" s="184"/>
      <c r="X49" s="182"/>
      <c r="Y49" s="182"/>
      <c r="Z49" s="182"/>
      <c r="AA49" s="182"/>
      <c r="AB49" s="182"/>
      <c r="AC49" s="181"/>
      <c r="AD49" s="434"/>
      <c r="AE49" s="379"/>
      <c r="AF49" s="379"/>
      <c r="AG49" s="379"/>
      <c r="AH49" s="379"/>
      <c r="AI49" s="379"/>
      <c r="AJ49" s="387"/>
      <c r="AK49" s="179"/>
      <c r="AL49" s="182"/>
      <c r="AM49" s="182"/>
      <c r="AN49" s="182"/>
      <c r="AO49" s="182"/>
      <c r="AP49" s="182"/>
      <c r="AQ49" s="183"/>
      <c r="AR49" s="68"/>
      <c r="AS49" s="258"/>
      <c r="AT49" s="258"/>
      <c r="AU49" s="9"/>
      <c r="AW49" s="134">
        <f>E48/19</f>
        <v>0.97473684210526312</v>
      </c>
      <c r="AX49" s="134">
        <f>SUM(I49:AQ49)</f>
        <v>0</v>
      </c>
      <c r="AY49" s="135">
        <f>E48-AX49</f>
        <v>18.52</v>
      </c>
      <c r="AZ49" s="254"/>
    </row>
    <row r="50" spans="1:52" s="4" customFormat="1" ht="16.5" customHeight="1" x14ac:dyDescent="0.15">
      <c r="A50" s="357"/>
      <c r="B50" s="296" t="s">
        <v>42</v>
      </c>
      <c r="C50" s="297"/>
      <c r="D50" s="346">
        <v>60616</v>
      </c>
      <c r="E50" s="262">
        <f t="shared" ref="E50" si="19">ROUND((D50)/$D$58*100,2)</f>
        <v>10.51</v>
      </c>
      <c r="F50" s="255"/>
      <c r="G50" s="95"/>
      <c r="H50" s="95"/>
      <c r="I50" s="166"/>
      <c r="J50" s="168"/>
      <c r="K50" s="168"/>
      <c r="L50" s="168"/>
      <c r="M50" s="168"/>
      <c r="N50" s="168"/>
      <c r="O50" s="378"/>
      <c r="P50" s="166"/>
      <c r="Q50" s="168"/>
      <c r="R50" s="168"/>
      <c r="S50" s="168"/>
      <c r="T50" s="168"/>
      <c r="U50" s="168"/>
      <c r="V50" s="386"/>
      <c r="W50" s="168"/>
      <c r="X50" s="165"/>
      <c r="Y50" s="165"/>
      <c r="Z50" s="165"/>
      <c r="AA50" s="165"/>
      <c r="AB50" s="165"/>
      <c r="AC50" s="163"/>
      <c r="AD50" s="433"/>
      <c r="AE50" s="378"/>
      <c r="AF50" s="378"/>
      <c r="AG50" s="378"/>
      <c r="AH50" s="378"/>
      <c r="AI50" s="378"/>
      <c r="AJ50" s="386"/>
      <c r="AK50" s="166"/>
      <c r="AL50" s="165"/>
      <c r="AM50" s="165"/>
      <c r="AN50" s="165"/>
      <c r="AO50" s="165"/>
      <c r="AP50" s="165"/>
      <c r="AQ50" s="167"/>
      <c r="AR50" s="68"/>
      <c r="AS50" s="258"/>
      <c r="AT50" s="258"/>
      <c r="AU50" s="9"/>
      <c r="AW50" s="134"/>
      <c r="AX50" s="134"/>
      <c r="AY50" s="135"/>
      <c r="AZ50" s="254"/>
    </row>
    <row r="51" spans="1:52" s="4" customFormat="1" ht="16.5" customHeight="1" x14ac:dyDescent="0.15">
      <c r="A51" s="357"/>
      <c r="B51" s="298"/>
      <c r="C51" s="299"/>
      <c r="D51" s="347"/>
      <c r="E51" s="262"/>
      <c r="F51" s="256"/>
      <c r="G51" s="96"/>
      <c r="H51" s="96"/>
      <c r="I51" s="179"/>
      <c r="J51" s="184"/>
      <c r="K51" s="184"/>
      <c r="L51" s="184"/>
      <c r="M51" s="184"/>
      <c r="N51" s="184"/>
      <c r="O51" s="379"/>
      <c r="P51" s="179"/>
      <c r="Q51" s="184"/>
      <c r="R51" s="184"/>
      <c r="S51" s="184"/>
      <c r="T51" s="184"/>
      <c r="U51" s="184"/>
      <c r="V51" s="387"/>
      <c r="W51" s="184"/>
      <c r="X51" s="182"/>
      <c r="Y51" s="182"/>
      <c r="Z51" s="182"/>
      <c r="AA51" s="182"/>
      <c r="AB51" s="182"/>
      <c r="AC51" s="181"/>
      <c r="AD51" s="434"/>
      <c r="AE51" s="379"/>
      <c r="AF51" s="379"/>
      <c r="AG51" s="379"/>
      <c r="AH51" s="379"/>
      <c r="AI51" s="379"/>
      <c r="AJ51" s="387"/>
      <c r="AK51" s="179"/>
      <c r="AL51" s="182"/>
      <c r="AM51" s="182"/>
      <c r="AN51" s="182"/>
      <c r="AO51" s="182"/>
      <c r="AP51" s="182"/>
      <c r="AQ51" s="183"/>
      <c r="AR51" s="68"/>
      <c r="AS51" s="258"/>
      <c r="AT51" s="258"/>
      <c r="AU51" s="9"/>
      <c r="AW51" s="134">
        <f>E50/21</f>
        <v>0.50047619047619052</v>
      </c>
      <c r="AX51" s="134">
        <f>SUM(I51:AQ51)</f>
        <v>0</v>
      </c>
      <c r="AY51" s="135">
        <f>E50-AX51</f>
        <v>10.51</v>
      </c>
      <c r="AZ51" s="254"/>
    </row>
    <row r="52" spans="1:52" s="4" customFormat="1" ht="16.5" customHeight="1" x14ac:dyDescent="0.15">
      <c r="A52" s="357"/>
      <c r="B52" s="296" t="s">
        <v>43</v>
      </c>
      <c r="C52" s="297"/>
      <c r="D52" s="346">
        <v>2184</v>
      </c>
      <c r="E52" s="262">
        <f t="shared" ref="E52" si="20">ROUND((D52)/$D$58*100,2)</f>
        <v>0.38</v>
      </c>
      <c r="F52" s="255"/>
      <c r="G52" s="95"/>
      <c r="H52" s="95"/>
      <c r="I52" s="166"/>
      <c r="J52" s="168"/>
      <c r="K52" s="168"/>
      <c r="L52" s="168"/>
      <c r="M52" s="168"/>
      <c r="N52" s="168"/>
      <c r="O52" s="378"/>
      <c r="P52" s="166"/>
      <c r="Q52" s="168"/>
      <c r="R52" s="168"/>
      <c r="S52" s="168"/>
      <c r="T52" s="168"/>
      <c r="U52" s="168"/>
      <c r="V52" s="386"/>
      <c r="W52" s="168"/>
      <c r="X52" s="165"/>
      <c r="Y52" s="165"/>
      <c r="Z52" s="165"/>
      <c r="AA52" s="165"/>
      <c r="AB52" s="165"/>
      <c r="AC52" s="163"/>
      <c r="AD52" s="433"/>
      <c r="AE52" s="378"/>
      <c r="AF52" s="378"/>
      <c r="AG52" s="378"/>
      <c r="AH52" s="378"/>
      <c r="AI52" s="378"/>
      <c r="AJ52" s="386"/>
      <c r="AK52" s="166"/>
      <c r="AL52" s="165"/>
      <c r="AM52" s="165"/>
      <c r="AN52" s="165"/>
      <c r="AO52" s="165"/>
      <c r="AP52" s="165"/>
      <c r="AQ52" s="167"/>
      <c r="AR52" s="68"/>
      <c r="AS52" s="258"/>
      <c r="AT52" s="258"/>
      <c r="AU52" s="9"/>
      <c r="AW52" s="134"/>
      <c r="AX52" s="134"/>
      <c r="AY52" s="135"/>
      <c r="AZ52" s="254"/>
    </row>
    <row r="53" spans="1:52" s="4" customFormat="1" ht="16.5" customHeight="1" x14ac:dyDescent="0.15">
      <c r="A53" s="358"/>
      <c r="B53" s="298"/>
      <c r="C53" s="299"/>
      <c r="D53" s="347"/>
      <c r="E53" s="262"/>
      <c r="F53" s="256"/>
      <c r="G53" s="96"/>
      <c r="H53" s="96"/>
      <c r="I53" s="179"/>
      <c r="J53" s="184"/>
      <c r="K53" s="184"/>
      <c r="L53" s="184"/>
      <c r="M53" s="184"/>
      <c r="N53" s="184"/>
      <c r="O53" s="379"/>
      <c r="P53" s="179"/>
      <c r="Q53" s="184"/>
      <c r="R53" s="184"/>
      <c r="S53" s="184"/>
      <c r="T53" s="184"/>
      <c r="U53" s="184"/>
      <c r="V53" s="387"/>
      <c r="W53" s="184"/>
      <c r="X53" s="182"/>
      <c r="Y53" s="182"/>
      <c r="Z53" s="182"/>
      <c r="AA53" s="182"/>
      <c r="AB53" s="182"/>
      <c r="AC53" s="181"/>
      <c r="AD53" s="434"/>
      <c r="AE53" s="379"/>
      <c r="AF53" s="379"/>
      <c r="AG53" s="379"/>
      <c r="AH53" s="379"/>
      <c r="AI53" s="379"/>
      <c r="AJ53" s="387"/>
      <c r="AK53" s="179"/>
      <c r="AL53" s="182"/>
      <c r="AM53" s="182"/>
      <c r="AN53" s="182"/>
      <c r="AO53" s="182"/>
      <c r="AP53" s="182"/>
      <c r="AQ53" s="183"/>
      <c r="AR53" s="68"/>
      <c r="AS53" s="258"/>
      <c r="AT53" s="258"/>
      <c r="AU53" s="9"/>
      <c r="AW53" s="134">
        <f>E52/28</f>
        <v>1.3571428571428571E-2</v>
      </c>
      <c r="AX53" s="134">
        <f>SUM(I53:AQ53)</f>
        <v>0</v>
      </c>
      <c r="AY53" s="135">
        <f>E52-AX53</f>
        <v>0.38</v>
      </c>
      <c r="AZ53" s="254"/>
    </row>
    <row r="54" spans="1:52" s="4" customFormat="1" ht="16.5" customHeight="1" x14ac:dyDescent="0.15">
      <c r="A54" s="274" t="s">
        <v>44</v>
      </c>
      <c r="B54" s="275"/>
      <c r="C54" s="276"/>
      <c r="D54" s="280">
        <v>1470</v>
      </c>
      <c r="E54" s="262">
        <f t="shared" ref="E54" si="21">ROUND((D54)/$D$58*100,2)</f>
        <v>0.25</v>
      </c>
      <c r="F54" s="255"/>
      <c r="G54" s="95"/>
      <c r="H54" s="95"/>
      <c r="I54" s="166"/>
      <c r="J54" s="168"/>
      <c r="K54" s="168"/>
      <c r="L54" s="168"/>
      <c r="M54" s="168"/>
      <c r="N54" s="168"/>
      <c r="O54" s="378"/>
      <c r="P54" s="166"/>
      <c r="Q54" s="168"/>
      <c r="R54" s="168"/>
      <c r="S54" s="168"/>
      <c r="T54" s="168"/>
      <c r="U54" s="168"/>
      <c r="V54" s="386"/>
      <c r="W54" s="168"/>
      <c r="X54" s="165"/>
      <c r="Y54" s="165"/>
      <c r="Z54" s="165"/>
      <c r="AA54" s="165"/>
      <c r="AB54" s="165"/>
      <c r="AC54" s="163"/>
      <c r="AD54" s="433"/>
      <c r="AE54" s="378"/>
      <c r="AF54" s="378"/>
      <c r="AG54" s="378"/>
      <c r="AH54" s="378"/>
      <c r="AI54" s="378"/>
      <c r="AJ54" s="386"/>
      <c r="AK54" s="166"/>
      <c r="AL54" s="165"/>
      <c r="AM54" s="165"/>
      <c r="AN54" s="165"/>
      <c r="AO54" s="165"/>
      <c r="AP54" s="165"/>
      <c r="AQ54" s="167"/>
      <c r="AR54" s="68"/>
      <c r="AS54" s="258"/>
      <c r="AT54" s="258"/>
      <c r="AU54" s="9"/>
      <c r="AW54" s="134"/>
      <c r="AX54" s="134"/>
      <c r="AY54" s="135"/>
      <c r="AZ54" s="254"/>
    </row>
    <row r="55" spans="1:52" s="4" customFormat="1" ht="16.5" customHeight="1" x14ac:dyDescent="0.15">
      <c r="A55" s="277"/>
      <c r="B55" s="278"/>
      <c r="C55" s="279"/>
      <c r="D55" s="261"/>
      <c r="E55" s="262"/>
      <c r="F55" s="256"/>
      <c r="G55" s="96"/>
      <c r="H55" s="96"/>
      <c r="I55" s="179"/>
      <c r="J55" s="184"/>
      <c r="K55" s="184"/>
      <c r="L55" s="184"/>
      <c r="M55" s="184"/>
      <c r="N55" s="184"/>
      <c r="O55" s="379"/>
      <c r="P55" s="179"/>
      <c r="Q55" s="184"/>
      <c r="R55" s="184"/>
      <c r="S55" s="184"/>
      <c r="T55" s="184"/>
      <c r="U55" s="184"/>
      <c r="V55" s="387"/>
      <c r="W55" s="184"/>
      <c r="X55" s="182"/>
      <c r="Y55" s="182"/>
      <c r="Z55" s="182"/>
      <c r="AA55" s="182"/>
      <c r="AB55" s="182"/>
      <c r="AC55" s="181"/>
      <c r="AD55" s="434"/>
      <c r="AE55" s="379"/>
      <c r="AF55" s="379"/>
      <c r="AG55" s="379"/>
      <c r="AH55" s="379"/>
      <c r="AI55" s="379"/>
      <c r="AJ55" s="387"/>
      <c r="AK55" s="179"/>
      <c r="AL55" s="182"/>
      <c r="AM55" s="182"/>
      <c r="AN55" s="182"/>
      <c r="AO55" s="182"/>
      <c r="AP55" s="182"/>
      <c r="AQ55" s="183"/>
      <c r="AR55" s="80"/>
      <c r="AS55" s="7"/>
      <c r="AT55" s="258"/>
      <c r="AU55" s="9"/>
      <c r="AW55" s="134">
        <f>E54/27</f>
        <v>9.2592592592592587E-3</v>
      </c>
      <c r="AX55" s="134">
        <f>SUM(I55:AQ55)</f>
        <v>0</v>
      </c>
      <c r="AY55" s="135">
        <f>E54-AX55</f>
        <v>0.25</v>
      </c>
      <c r="AZ55" s="254"/>
    </row>
    <row r="56" spans="1:52" s="4" customFormat="1" ht="16.5" customHeight="1" x14ac:dyDescent="0.15">
      <c r="A56" s="274" t="s">
        <v>45</v>
      </c>
      <c r="B56" s="275"/>
      <c r="C56" s="276"/>
      <c r="D56" s="260">
        <v>9270</v>
      </c>
      <c r="E56" s="262">
        <f t="shared" ref="E56" si="22">ROUND((D56)/$D$58*100,2)</f>
        <v>1.61</v>
      </c>
      <c r="F56" s="86"/>
      <c r="G56" s="94"/>
      <c r="H56" s="94"/>
      <c r="I56" s="166"/>
      <c r="J56" s="168"/>
      <c r="K56" s="168"/>
      <c r="L56" s="168"/>
      <c r="M56" s="168"/>
      <c r="N56" s="168"/>
      <c r="O56" s="378"/>
      <c r="P56" s="166"/>
      <c r="Q56" s="168"/>
      <c r="R56" s="168"/>
      <c r="S56" s="168"/>
      <c r="T56" s="168"/>
      <c r="U56" s="168"/>
      <c r="V56" s="386"/>
      <c r="W56" s="168"/>
      <c r="X56" s="165"/>
      <c r="Y56" s="165"/>
      <c r="Z56" s="165"/>
      <c r="AA56" s="165"/>
      <c r="AB56" s="165"/>
      <c r="AC56" s="163"/>
      <c r="AD56" s="433"/>
      <c r="AE56" s="378"/>
      <c r="AF56" s="378"/>
      <c r="AG56" s="378"/>
      <c r="AH56" s="378"/>
      <c r="AI56" s="378"/>
      <c r="AJ56" s="386"/>
      <c r="AK56" s="166"/>
      <c r="AL56" s="165"/>
      <c r="AM56" s="165"/>
      <c r="AN56" s="165"/>
      <c r="AO56" s="165"/>
      <c r="AP56" s="165"/>
      <c r="AQ56" s="167"/>
      <c r="AR56" s="80"/>
      <c r="AS56" s="7"/>
      <c r="AT56" s="7"/>
      <c r="AU56" s="9"/>
      <c r="AW56" s="134"/>
      <c r="AX56" s="134"/>
      <c r="AY56" s="135"/>
      <c r="AZ56" s="254"/>
    </row>
    <row r="57" spans="1:52" s="4" customFormat="1" ht="16.5" customHeight="1" thickBot="1" x14ac:dyDescent="0.2">
      <c r="A57" s="281"/>
      <c r="B57" s="282"/>
      <c r="C57" s="283"/>
      <c r="D57" s="284"/>
      <c r="E57" s="285"/>
      <c r="F57" s="89"/>
      <c r="G57" s="97"/>
      <c r="H57" s="97"/>
      <c r="I57" s="366"/>
      <c r="J57" s="367"/>
      <c r="K57" s="367"/>
      <c r="L57" s="367"/>
      <c r="M57" s="367"/>
      <c r="N57" s="367"/>
      <c r="O57" s="380"/>
      <c r="P57" s="366"/>
      <c r="Q57" s="367"/>
      <c r="R57" s="367"/>
      <c r="S57" s="367"/>
      <c r="T57" s="367"/>
      <c r="U57" s="367"/>
      <c r="V57" s="388"/>
      <c r="W57" s="367"/>
      <c r="X57" s="359"/>
      <c r="Y57" s="359"/>
      <c r="Z57" s="359"/>
      <c r="AA57" s="359"/>
      <c r="AB57" s="359"/>
      <c r="AC57" s="360"/>
      <c r="AD57" s="435"/>
      <c r="AE57" s="380"/>
      <c r="AF57" s="380"/>
      <c r="AG57" s="380"/>
      <c r="AH57" s="380"/>
      <c r="AI57" s="380"/>
      <c r="AJ57" s="388"/>
      <c r="AK57" s="366"/>
      <c r="AL57" s="359"/>
      <c r="AM57" s="359"/>
      <c r="AN57" s="359"/>
      <c r="AO57" s="359"/>
      <c r="AP57" s="359"/>
      <c r="AQ57" s="391"/>
      <c r="AR57" s="368"/>
      <c r="AS57" s="369"/>
      <c r="AT57" s="369"/>
      <c r="AU57" s="370"/>
      <c r="AW57" s="134">
        <f>E56/26</f>
        <v>6.1923076923076928E-2</v>
      </c>
      <c r="AX57" s="134">
        <f>SUM(I57:AQ57)</f>
        <v>0</v>
      </c>
      <c r="AY57" s="135">
        <f>E56-AX57</f>
        <v>1.61</v>
      </c>
      <c r="AZ57" s="254"/>
    </row>
    <row r="58" spans="1:52" s="4" customFormat="1" ht="16.5" customHeight="1" x14ac:dyDescent="0.15">
      <c r="A58" s="286" t="s">
        <v>46</v>
      </c>
      <c r="B58" s="287"/>
      <c r="C58" s="288"/>
      <c r="D58" s="294">
        <f>SUM(D10:D57)</f>
        <v>576683</v>
      </c>
      <c r="E58" s="292">
        <f>SUM(E10:E57)</f>
        <v>100</v>
      </c>
      <c r="F58" s="90"/>
      <c r="G58" s="98"/>
      <c r="H58" s="98"/>
      <c r="I58" s="371"/>
      <c r="J58" s="372"/>
      <c r="K58" s="372"/>
      <c r="L58" s="372"/>
      <c r="M58" s="372"/>
      <c r="N58" s="372"/>
      <c r="O58" s="381"/>
      <c r="P58" s="371"/>
      <c r="Q58" s="372"/>
      <c r="R58" s="372"/>
      <c r="S58" s="372"/>
      <c r="T58" s="372"/>
      <c r="U58" s="372"/>
      <c r="V58" s="389"/>
      <c r="W58" s="372"/>
      <c r="X58" s="373"/>
      <c r="Y58" s="373"/>
      <c r="Z58" s="373"/>
      <c r="AA58" s="373"/>
      <c r="AB58" s="373"/>
      <c r="AC58" s="383"/>
      <c r="AD58" s="436"/>
      <c r="AE58" s="381"/>
      <c r="AF58" s="381"/>
      <c r="AG58" s="381"/>
      <c r="AH58" s="381"/>
      <c r="AI58" s="381"/>
      <c r="AJ58" s="389"/>
      <c r="AK58" s="371"/>
      <c r="AL58" s="373"/>
      <c r="AM58" s="373"/>
      <c r="AN58" s="373"/>
      <c r="AO58" s="373"/>
      <c r="AP58" s="373"/>
      <c r="AQ58" s="392"/>
      <c r="AR58" s="73"/>
      <c r="AS58" s="74"/>
      <c r="AT58" s="74"/>
      <c r="AU58" s="75"/>
      <c r="AW58" s="134"/>
      <c r="AX58" s="134"/>
      <c r="AY58" s="135"/>
      <c r="AZ58" s="254"/>
    </row>
    <row r="59" spans="1:52" s="4" customFormat="1" ht="16.5" customHeight="1" thickBot="1" x14ac:dyDescent="0.2">
      <c r="A59" s="289"/>
      <c r="B59" s="290"/>
      <c r="C59" s="291"/>
      <c r="D59" s="295"/>
      <c r="E59" s="293"/>
      <c r="F59" s="91"/>
      <c r="G59" s="99"/>
      <c r="H59" s="99"/>
      <c r="I59" s="374"/>
      <c r="J59" s="375"/>
      <c r="K59" s="375"/>
      <c r="L59" s="375"/>
      <c r="M59" s="375"/>
      <c r="N59" s="375"/>
      <c r="O59" s="382"/>
      <c r="P59" s="374"/>
      <c r="Q59" s="375"/>
      <c r="R59" s="375"/>
      <c r="S59" s="375"/>
      <c r="T59" s="375"/>
      <c r="U59" s="375"/>
      <c r="V59" s="390"/>
      <c r="W59" s="375"/>
      <c r="X59" s="376"/>
      <c r="Y59" s="376"/>
      <c r="Z59" s="376"/>
      <c r="AA59" s="376"/>
      <c r="AB59" s="376"/>
      <c r="AC59" s="384"/>
      <c r="AD59" s="437"/>
      <c r="AE59" s="382"/>
      <c r="AF59" s="382"/>
      <c r="AG59" s="382"/>
      <c r="AH59" s="382"/>
      <c r="AI59" s="382"/>
      <c r="AJ59" s="390"/>
      <c r="AK59" s="374"/>
      <c r="AL59" s="376"/>
      <c r="AM59" s="376"/>
      <c r="AN59" s="376"/>
      <c r="AO59" s="376"/>
      <c r="AP59" s="376"/>
      <c r="AQ59" s="393"/>
      <c r="AR59" s="76"/>
      <c r="AS59" s="32"/>
      <c r="AT59" s="32"/>
      <c r="AU59" s="33"/>
      <c r="AW59" s="134">
        <f>E58/9</f>
        <v>11.111111111111111</v>
      </c>
      <c r="AX59" s="134"/>
      <c r="AY59" s="135">
        <f>E58-AX59</f>
        <v>100</v>
      </c>
      <c r="AZ59" s="254"/>
    </row>
    <row r="60" spans="1:52" s="4" customFormat="1" ht="16.5" customHeight="1" x14ac:dyDescent="0.15">
      <c r="A60" s="270" t="s">
        <v>5</v>
      </c>
      <c r="B60" s="271"/>
      <c r="C60" s="271"/>
      <c r="D60" s="271"/>
      <c r="E60" s="406" t="s">
        <v>11</v>
      </c>
      <c r="F60" s="407"/>
      <c r="G60" s="408"/>
      <c r="H60" s="408"/>
      <c r="I60" s="371"/>
      <c r="J60" s="372"/>
      <c r="K60" s="372"/>
      <c r="L60" s="372"/>
      <c r="M60" s="372"/>
      <c r="N60" s="372"/>
      <c r="O60" s="381"/>
      <c r="P60" s="371"/>
      <c r="Q60" s="372"/>
      <c r="R60" s="372"/>
      <c r="S60" s="372"/>
      <c r="T60" s="372"/>
      <c r="U60" s="372"/>
      <c r="V60" s="389"/>
      <c r="W60" s="372"/>
      <c r="X60" s="373"/>
      <c r="Y60" s="373"/>
      <c r="Z60" s="373"/>
      <c r="AA60" s="373"/>
      <c r="AB60" s="373"/>
      <c r="AC60" s="383"/>
      <c r="AD60" s="436"/>
      <c r="AE60" s="381"/>
      <c r="AF60" s="381"/>
      <c r="AG60" s="381"/>
      <c r="AH60" s="381"/>
      <c r="AI60" s="381"/>
      <c r="AJ60" s="389"/>
      <c r="AK60" s="371"/>
      <c r="AL60" s="373"/>
      <c r="AM60" s="373"/>
      <c r="AN60" s="373"/>
      <c r="AO60" s="373"/>
      <c r="AP60" s="373"/>
      <c r="AQ60" s="392"/>
      <c r="AR60" s="409"/>
      <c r="AS60" s="409"/>
      <c r="AT60" s="409"/>
      <c r="AU60" s="410"/>
      <c r="AW60" s="132"/>
      <c r="AX60" s="257"/>
      <c r="AY60" s="40"/>
      <c r="AZ60" s="254"/>
    </row>
    <row r="61" spans="1:52" s="4" customFormat="1" ht="16.5" customHeight="1" thickBot="1" x14ac:dyDescent="0.2">
      <c r="A61" s="272"/>
      <c r="B61" s="273"/>
      <c r="C61" s="273"/>
      <c r="D61" s="273"/>
      <c r="E61" s="82" t="s">
        <v>10</v>
      </c>
      <c r="F61" s="92"/>
      <c r="G61" s="100"/>
      <c r="H61" s="100"/>
      <c r="I61" s="411"/>
      <c r="J61" s="412"/>
      <c r="K61" s="412"/>
      <c r="L61" s="412"/>
      <c r="M61" s="412"/>
      <c r="N61" s="412"/>
      <c r="O61" s="413"/>
      <c r="P61" s="411"/>
      <c r="Q61" s="412"/>
      <c r="R61" s="412"/>
      <c r="S61" s="412"/>
      <c r="T61" s="412"/>
      <c r="U61" s="412"/>
      <c r="V61" s="414"/>
      <c r="W61" s="412"/>
      <c r="X61" s="415"/>
      <c r="Y61" s="415"/>
      <c r="Z61" s="415"/>
      <c r="AA61" s="415"/>
      <c r="AB61" s="415"/>
      <c r="AC61" s="416"/>
      <c r="AD61" s="438"/>
      <c r="AE61" s="413"/>
      <c r="AF61" s="413"/>
      <c r="AG61" s="413"/>
      <c r="AH61" s="413"/>
      <c r="AI61" s="413"/>
      <c r="AJ61" s="414"/>
      <c r="AK61" s="411"/>
      <c r="AL61" s="415"/>
      <c r="AM61" s="415"/>
      <c r="AN61" s="415"/>
      <c r="AO61" s="415"/>
      <c r="AP61" s="415"/>
      <c r="AQ61" s="417"/>
      <c r="AR61" s="59"/>
      <c r="AS61" s="59"/>
      <c r="AT61" s="59"/>
      <c r="AU61" s="60"/>
      <c r="AW61" s="132"/>
      <c r="AX61" s="257"/>
      <c r="AY61" s="40"/>
      <c r="AZ61" s="254"/>
    </row>
    <row r="62" spans="1:52" s="4" customFormat="1" ht="9" customHeight="1" thickTop="1" x14ac:dyDescent="0.15">
      <c r="G62" s="259"/>
      <c r="H62" s="259"/>
      <c r="AW62" s="132"/>
      <c r="AX62" s="257"/>
      <c r="AY62" s="40"/>
      <c r="AZ62" s="254"/>
    </row>
    <row r="63" spans="1:52" s="4" customFormat="1" ht="32.25" customHeight="1" x14ac:dyDescent="0.15">
      <c r="D63" s="69">
        <v>576683</v>
      </c>
      <c r="G63" s="259"/>
      <c r="H63" s="259"/>
      <c r="AW63" s="132"/>
      <c r="AX63" s="257"/>
      <c r="AY63" s="40"/>
      <c r="AZ63" s="254"/>
    </row>
    <row r="64" spans="1:52" s="61" customFormat="1" ht="32.25" customHeight="1" x14ac:dyDescent="0.15">
      <c r="D64" s="70">
        <f>D63-D58</f>
        <v>0</v>
      </c>
      <c r="G64" s="101"/>
      <c r="H64" s="101"/>
      <c r="AW64" s="133"/>
      <c r="AX64" s="62"/>
      <c r="AY64" s="63"/>
      <c r="AZ64" s="62"/>
    </row>
    <row r="65" spans="1:52" s="50" customFormat="1" ht="22.5" customHeight="1" x14ac:dyDescent="0.15">
      <c r="A65" s="48"/>
      <c r="B65" s="48"/>
      <c r="C65" s="48"/>
      <c r="D65" s="49">
        <f>SUM(D10:D57)</f>
        <v>576683</v>
      </c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X65" s="51"/>
      <c r="AY65" s="52"/>
      <c r="AZ65" s="53"/>
    </row>
    <row r="66" spans="1:52" s="57" customFormat="1" ht="19.5" customHeight="1" x14ac:dyDescent="0.15">
      <c r="A66" s="54"/>
      <c r="B66" s="54"/>
      <c r="C66" s="54"/>
      <c r="D66" s="55">
        <v>394873.99999999156</v>
      </c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6"/>
      <c r="AS66" s="56"/>
      <c r="AT66" s="56"/>
      <c r="AU66" s="54"/>
      <c r="AV66" s="54"/>
      <c r="AX66" s="56"/>
      <c r="AY66" s="56"/>
      <c r="AZ66" s="58"/>
    </row>
    <row r="67" spans="1:52" s="45" customFormat="1" ht="19.5" customHeight="1" x14ac:dyDescent="0.15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6"/>
      <c r="AS67" s="46"/>
      <c r="AT67" s="46"/>
      <c r="AU67" s="44"/>
      <c r="AV67" s="44"/>
      <c r="AX67" s="46"/>
      <c r="AY67" s="43"/>
      <c r="AZ67" s="47"/>
    </row>
    <row r="68" spans="1:52" s="45" customFormat="1" ht="19.5" customHeight="1" x14ac:dyDescent="0.15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X68" s="46"/>
      <c r="AY68" s="43"/>
      <c r="AZ68" s="47"/>
    </row>
    <row r="69" spans="1:52" s="45" customFormat="1" ht="14.25" x14ac:dyDescent="0.15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X69" s="46"/>
      <c r="AY69" s="43"/>
      <c r="AZ69" s="47"/>
    </row>
    <row r="70" spans="1:52" s="45" customFormat="1" ht="14.25" x14ac:dyDescent="0.15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X70" s="46"/>
      <c r="AY70" s="43"/>
      <c r="AZ70" s="47"/>
    </row>
    <row r="71" spans="1:52" s="45" customFormat="1" ht="14.25" x14ac:dyDescent="0.15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X71" s="46"/>
      <c r="AY71" s="43"/>
      <c r="AZ71" s="47"/>
    </row>
    <row r="72" spans="1:52" s="45" customFormat="1" ht="14.25" x14ac:dyDescent="0.15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X72" s="46"/>
      <c r="AY72" s="43"/>
      <c r="AZ72" s="47"/>
    </row>
    <row r="73" spans="1:52" s="45" customFormat="1" ht="14.25" x14ac:dyDescent="0.15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X73" s="46"/>
      <c r="AY73" s="43"/>
      <c r="AZ73" s="47"/>
    </row>
    <row r="74" spans="1:52" s="45" customFormat="1" ht="14.25" x14ac:dyDescent="0.15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X74" s="46"/>
      <c r="AY74" s="43"/>
      <c r="AZ74" s="47"/>
    </row>
    <row r="75" spans="1:52" s="47" customFormat="1" ht="14.25" x14ac:dyDescent="0.15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5"/>
      <c r="AX75" s="46"/>
      <c r="AY75" s="43"/>
    </row>
    <row r="76" spans="1:52" s="47" customFormat="1" ht="14.25" x14ac:dyDescent="0.15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5"/>
      <c r="AX76" s="46"/>
      <c r="AY76" s="43"/>
    </row>
    <row r="77" spans="1:52" s="47" customFormat="1" ht="14.25" x14ac:dyDescent="0.15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5"/>
      <c r="AX77" s="46"/>
      <c r="AY77" s="43"/>
    </row>
    <row r="78" spans="1:52" s="47" customFormat="1" ht="14.25" x14ac:dyDescent="0.15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5"/>
      <c r="AX78" s="46"/>
      <c r="AY78" s="43"/>
    </row>
    <row r="79" spans="1:52" s="47" customFormat="1" ht="14.25" x14ac:dyDescent="0.15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5"/>
      <c r="AX79" s="46"/>
      <c r="AY79" s="43"/>
    </row>
    <row r="80" spans="1:52" s="47" customFormat="1" ht="14.25" x14ac:dyDescent="0.15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5"/>
      <c r="AX80" s="46"/>
      <c r="AY80" s="43"/>
    </row>
    <row r="81" spans="1:51" s="47" customFormat="1" ht="14.25" x14ac:dyDescent="0.15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5"/>
      <c r="AX81" s="46"/>
      <c r="AY81" s="43"/>
    </row>
    <row r="82" spans="1:51" s="47" customFormat="1" ht="14.25" x14ac:dyDescent="0.15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5"/>
      <c r="AX82" s="46"/>
      <c r="AY82" s="43"/>
    </row>
    <row r="83" spans="1:51" s="47" customFormat="1" ht="14.25" x14ac:dyDescent="0.15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5"/>
      <c r="AX83" s="46"/>
      <c r="AY83" s="43"/>
    </row>
    <row r="84" spans="1:51" s="47" customFormat="1" ht="14.25" x14ac:dyDescent="0.15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5"/>
      <c r="AX84" s="46"/>
      <c r="AY84" s="43"/>
    </row>
    <row r="85" spans="1:51" s="47" customFormat="1" ht="14.25" x14ac:dyDescent="0.15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5"/>
      <c r="AX85" s="46"/>
      <c r="AY85" s="43"/>
    </row>
    <row r="86" spans="1:51" s="47" customFormat="1" ht="14.25" x14ac:dyDescent="0.15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5"/>
      <c r="AX86" s="46"/>
      <c r="AY86" s="43"/>
    </row>
    <row r="87" spans="1:51" s="47" customFormat="1" ht="14.25" x14ac:dyDescent="0.15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5"/>
      <c r="AX87" s="46"/>
      <c r="AY87" s="43"/>
    </row>
    <row r="88" spans="1:51" s="47" customFormat="1" ht="14.25" x14ac:dyDescent="0.15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5"/>
      <c r="AX88" s="46"/>
      <c r="AY88" s="43"/>
    </row>
    <row r="89" spans="1:51" s="47" customFormat="1" ht="14.25" x14ac:dyDescent="0.15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5"/>
      <c r="AX89" s="46"/>
      <c r="AY89" s="43"/>
    </row>
    <row r="90" spans="1:51" s="24" customForma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128"/>
      <c r="AX90" s="23"/>
      <c r="AY90" s="27"/>
    </row>
    <row r="91" spans="1:51" s="24" customForma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128"/>
      <c r="AX91" s="23"/>
      <c r="AY91" s="27"/>
    </row>
    <row r="92" spans="1:51" s="24" customForma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128"/>
      <c r="AX92" s="23"/>
      <c r="AY92" s="27"/>
    </row>
    <row r="93" spans="1:51" s="24" customForma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128"/>
      <c r="AX93" s="23"/>
      <c r="AY93" s="27"/>
    </row>
    <row r="94" spans="1:51" s="24" customForma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128"/>
      <c r="AX94" s="23"/>
      <c r="AY94" s="27"/>
    </row>
    <row r="95" spans="1:51" s="24" customForma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128"/>
      <c r="AX95" s="23"/>
      <c r="AY95" s="27"/>
    </row>
    <row r="96" spans="1:51" s="24" customForma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128"/>
      <c r="AX96" s="23"/>
      <c r="AY96" s="27"/>
    </row>
    <row r="97" spans="1:51" s="24" customForma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128"/>
      <c r="AX97" s="23"/>
      <c r="AY97" s="27"/>
    </row>
    <row r="98" spans="1:51" s="24" customForma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128"/>
      <c r="AX98" s="23"/>
      <c r="AY98" s="27"/>
    </row>
    <row r="99" spans="1:51" s="24" customFormat="1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128"/>
      <c r="AX99" s="23"/>
      <c r="AY99" s="27"/>
    </row>
    <row r="100" spans="1:51" s="24" customFormat="1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128"/>
      <c r="AX100" s="23"/>
      <c r="AY100" s="27"/>
    </row>
    <row r="101" spans="1:51" s="24" customFormat="1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128"/>
      <c r="AX101" s="23"/>
      <c r="AY101" s="27"/>
    </row>
    <row r="102" spans="1:51" s="24" customFormat="1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128"/>
      <c r="AX102" s="23"/>
      <c r="AY102" s="27"/>
    </row>
    <row r="103" spans="1:51" s="24" customFormat="1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128"/>
      <c r="AX103" s="23"/>
      <c r="AY103" s="27"/>
    </row>
    <row r="104" spans="1:51" s="24" customFormat="1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128"/>
      <c r="AX104" s="23"/>
      <c r="AY104" s="27"/>
    </row>
    <row r="105" spans="1:51" s="24" customFormat="1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128"/>
      <c r="AX105" s="23"/>
      <c r="AY105" s="27"/>
    </row>
    <row r="106" spans="1:51" s="24" customFormat="1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128"/>
      <c r="AX106" s="23"/>
      <c r="AY106" s="27"/>
    </row>
    <row r="107" spans="1:51" s="24" customFormat="1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128"/>
      <c r="AX107" s="23"/>
      <c r="AY107" s="27"/>
    </row>
    <row r="108" spans="1:51" s="24" customFormat="1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128"/>
      <c r="AX108" s="23"/>
      <c r="AY108" s="27"/>
    </row>
    <row r="109" spans="1:51" s="24" customFormat="1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128"/>
      <c r="AX109" s="23"/>
      <c r="AY109" s="27"/>
    </row>
    <row r="110" spans="1:51" s="24" customFormat="1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128"/>
      <c r="AX110" s="23"/>
      <c r="AY110" s="27"/>
    </row>
    <row r="111" spans="1:51" s="24" customFormat="1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128"/>
      <c r="AX111" s="23"/>
      <c r="AY111" s="27"/>
    </row>
    <row r="112" spans="1:51" s="24" customFormat="1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128"/>
      <c r="AX112" s="23"/>
      <c r="AY112" s="27"/>
    </row>
    <row r="113" spans="1:51" s="24" customFormat="1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128"/>
      <c r="AX113" s="23"/>
      <c r="AY113" s="27"/>
    </row>
    <row r="114" spans="1:51" s="24" customFormat="1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128"/>
      <c r="AX114" s="23"/>
      <c r="AY114" s="27"/>
    </row>
    <row r="115" spans="1:51" s="24" customFormat="1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128"/>
      <c r="AX115" s="23"/>
      <c r="AY115" s="27"/>
    </row>
    <row r="116" spans="1:51" s="24" customFormat="1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128"/>
      <c r="AX116" s="23"/>
      <c r="AY116" s="27"/>
    </row>
    <row r="117" spans="1:51" s="24" customFormat="1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128"/>
      <c r="AX117" s="23"/>
      <c r="AY117" s="27"/>
    </row>
    <row r="118" spans="1:51" s="24" customFormat="1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128"/>
      <c r="AX118" s="23"/>
      <c r="AY118" s="27"/>
    </row>
    <row r="119" spans="1:51" s="24" customFormat="1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128"/>
      <c r="AX119" s="23"/>
      <c r="AY119" s="27"/>
    </row>
    <row r="120" spans="1:51" s="24" customFormat="1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128"/>
      <c r="AX120" s="23"/>
      <c r="AY120" s="27"/>
    </row>
    <row r="121" spans="1:51" s="24" customFormat="1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128"/>
      <c r="AX121" s="23"/>
      <c r="AY121" s="27"/>
    </row>
    <row r="122" spans="1:51" s="24" customFormat="1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128"/>
      <c r="AX122" s="23"/>
      <c r="AY122" s="27"/>
    </row>
    <row r="123" spans="1:51" s="24" customFormat="1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128"/>
      <c r="AX123" s="23"/>
      <c r="AY123" s="27"/>
    </row>
    <row r="124" spans="1:51" s="24" customFormat="1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128"/>
      <c r="AX124" s="23"/>
      <c r="AY124" s="27"/>
    </row>
    <row r="125" spans="1:51" s="24" customFormat="1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128"/>
      <c r="AX125" s="23"/>
      <c r="AY125" s="27"/>
    </row>
    <row r="126" spans="1:51" s="24" customFormat="1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128"/>
      <c r="AX126" s="23"/>
      <c r="AY126" s="27"/>
    </row>
    <row r="127" spans="1:51" s="24" customFormat="1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128"/>
      <c r="AX127" s="23"/>
      <c r="AY127" s="27"/>
    </row>
    <row r="128" spans="1:51" s="24" customFormat="1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128"/>
      <c r="AX128" s="23"/>
      <c r="AY128" s="27"/>
    </row>
    <row r="129" spans="1:51" s="24" customFormat="1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128"/>
      <c r="AX129" s="23"/>
      <c r="AY129" s="27"/>
    </row>
    <row r="130" spans="1:51" s="24" customFormat="1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128"/>
      <c r="AX130" s="23"/>
      <c r="AY130" s="27"/>
    </row>
    <row r="131" spans="1:51" s="24" customFormat="1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128"/>
      <c r="AX131" s="23"/>
      <c r="AY131" s="27"/>
    </row>
    <row r="132" spans="1:51" s="24" customFormat="1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128"/>
      <c r="AX132" s="23"/>
      <c r="AY132" s="27"/>
    </row>
    <row r="133" spans="1:51" s="24" customFormat="1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128"/>
      <c r="AX133" s="23"/>
      <c r="AY133" s="27"/>
    </row>
    <row r="134" spans="1:51" s="24" customFormat="1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128"/>
      <c r="AX134" s="23"/>
      <c r="AY134" s="27"/>
    </row>
    <row r="135" spans="1:51" s="24" customFormat="1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128"/>
      <c r="AX135" s="23"/>
      <c r="AY135" s="27"/>
    </row>
    <row r="136" spans="1:51" s="24" customFormat="1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128"/>
      <c r="AX136" s="23"/>
      <c r="AY136" s="27"/>
    </row>
    <row r="137" spans="1:51" s="24" customFormat="1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128"/>
      <c r="AX137" s="23"/>
      <c r="AY137" s="27"/>
    </row>
    <row r="138" spans="1:51" s="24" customFormat="1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128"/>
      <c r="AX138" s="23"/>
      <c r="AY138" s="27"/>
    </row>
    <row r="139" spans="1:51" s="24" customFormat="1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128"/>
      <c r="AX139" s="23"/>
      <c r="AY139" s="27"/>
    </row>
    <row r="140" spans="1:51" s="24" customFormat="1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128"/>
      <c r="AX140" s="23"/>
      <c r="AY140" s="27"/>
    </row>
    <row r="141" spans="1:51" s="24" customFormat="1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128"/>
      <c r="AX141" s="23"/>
      <c r="AY141" s="27"/>
    </row>
    <row r="142" spans="1:51" s="24" customFormat="1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128"/>
      <c r="AX142" s="23"/>
      <c r="AY142" s="27"/>
    </row>
    <row r="143" spans="1:51" s="24" customFormat="1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128"/>
      <c r="AX143" s="23"/>
      <c r="AY143" s="27"/>
    </row>
    <row r="144" spans="1:51" s="24" customFormat="1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128"/>
      <c r="AX144" s="23"/>
      <c r="AY144" s="27"/>
    </row>
    <row r="145" spans="1:51" s="24" customFormat="1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128"/>
      <c r="AX145" s="23"/>
      <c r="AY145" s="27"/>
    </row>
    <row r="146" spans="1:51" s="24" customFormat="1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128"/>
      <c r="AX146" s="23"/>
      <c r="AY146" s="27"/>
    </row>
    <row r="147" spans="1:51" s="24" customFormat="1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128"/>
      <c r="AX147" s="23"/>
      <c r="AY147" s="27"/>
    </row>
    <row r="148" spans="1:51" s="24" customFormat="1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128"/>
      <c r="AX148" s="23"/>
      <c r="AY148" s="27"/>
    </row>
    <row r="149" spans="1:51" s="24" customFormat="1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128"/>
      <c r="AX149" s="23"/>
      <c r="AY149" s="27"/>
    </row>
    <row r="150" spans="1:51" s="24" customFormat="1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128"/>
      <c r="AX150" s="23"/>
      <c r="AY150" s="27"/>
    </row>
    <row r="151" spans="1:51" s="24" customFormat="1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128"/>
      <c r="AX151" s="23"/>
      <c r="AY151" s="27"/>
    </row>
    <row r="152" spans="1:51" s="24" customFormat="1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128"/>
      <c r="AX152" s="23"/>
      <c r="AY152" s="27"/>
    </row>
    <row r="153" spans="1:51" s="24" customFormat="1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128"/>
      <c r="AX153" s="23"/>
      <c r="AY153" s="27"/>
    </row>
    <row r="154" spans="1:51" s="24" customFormat="1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128"/>
      <c r="AX154" s="23"/>
      <c r="AY154" s="27"/>
    </row>
    <row r="155" spans="1:51" s="24" customFormat="1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128"/>
      <c r="AX155" s="23"/>
      <c r="AY155" s="27"/>
    </row>
    <row r="156" spans="1:51" s="24" customFormat="1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128"/>
      <c r="AX156" s="23"/>
      <c r="AY156" s="27"/>
    </row>
    <row r="157" spans="1:51" s="24" customFormat="1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128"/>
      <c r="AX157" s="23"/>
      <c r="AY157" s="27"/>
    </row>
    <row r="158" spans="1:51" s="24" customFormat="1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128"/>
      <c r="AX158" s="23"/>
      <c r="AY158" s="27"/>
    </row>
    <row r="159" spans="1:51" s="24" customFormat="1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128"/>
      <c r="AX159" s="23"/>
      <c r="AY159" s="27"/>
    </row>
    <row r="160" spans="1:51" s="24" customFormat="1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128"/>
      <c r="AX160" s="23"/>
      <c r="AY160" s="27"/>
    </row>
    <row r="161" spans="1:51" s="24" customFormat="1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128"/>
      <c r="AX161" s="23"/>
      <c r="AY161" s="27"/>
    </row>
    <row r="162" spans="1:51" s="24" customFormat="1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128"/>
      <c r="AX162" s="23"/>
      <c r="AY162" s="27"/>
    </row>
    <row r="163" spans="1:51" s="24" customFormat="1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128"/>
      <c r="AX163" s="23"/>
      <c r="AY163" s="27"/>
    </row>
    <row r="164" spans="1:51" s="24" customFormat="1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128"/>
      <c r="AX164" s="23"/>
      <c r="AY164" s="27"/>
    </row>
    <row r="165" spans="1:51" s="24" customFormat="1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128"/>
      <c r="AX165" s="23"/>
      <c r="AY165" s="27"/>
    </row>
    <row r="166" spans="1:51" s="24" customFormat="1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128"/>
      <c r="AX166" s="23"/>
      <c r="AY166" s="27"/>
    </row>
    <row r="167" spans="1:51" s="24" customFormat="1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128"/>
      <c r="AX167" s="23"/>
      <c r="AY167" s="27"/>
    </row>
    <row r="168" spans="1:51" s="24" customFormat="1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128"/>
      <c r="AX168" s="23"/>
      <c r="AY168" s="27"/>
    </row>
    <row r="169" spans="1:51" s="24" customFormat="1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128"/>
      <c r="AX169" s="23"/>
      <c r="AY169" s="27"/>
    </row>
    <row r="170" spans="1:51" s="24" customFormat="1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128"/>
      <c r="AX170" s="23"/>
      <c r="AY170" s="27"/>
    </row>
    <row r="171" spans="1:51" s="24" customFormat="1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128"/>
      <c r="AX171" s="23"/>
      <c r="AY171" s="27"/>
    </row>
    <row r="172" spans="1:51" s="24" customFormat="1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128"/>
      <c r="AX172" s="23"/>
      <c r="AY172" s="27"/>
    </row>
    <row r="173" spans="1:51" s="24" customFormat="1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128"/>
      <c r="AX173" s="23"/>
      <c r="AY173" s="27"/>
    </row>
    <row r="174" spans="1:51" s="24" customFormat="1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128"/>
      <c r="AX174" s="23"/>
      <c r="AY174" s="27"/>
    </row>
    <row r="175" spans="1:51" s="24" customFormat="1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128"/>
      <c r="AX175" s="23"/>
      <c r="AY175" s="27"/>
    </row>
    <row r="176" spans="1:51" s="24" customFormat="1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128"/>
      <c r="AX176" s="23"/>
      <c r="AY176" s="27"/>
    </row>
    <row r="177" spans="1:51" s="24" customFormat="1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128"/>
      <c r="AX177" s="23"/>
      <c r="AY177" s="27"/>
    </row>
    <row r="178" spans="1:51" s="24" customFormat="1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128"/>
      <c r="AX178" s="23"/>
      <c r="AY178" s="27"/>
    </row>
    <row r="179" spans="1:51" s="24" customFormat="1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128"/>
      <c r="AX179" s="23"/>
      <c r="AY179" s="27"/>
    </row>
    <row r="180" spans="1:51" s="24" customFormat="1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128"/>
      <c r="AX180" s="23"/>
      <c r="AY180" s="27"/>
    </row>
    <row r="181" spans="1:51" s="24" customFormat="1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128"/>
      <c r="AX181" s="23"/>
      <c r="AY181" s="27"/>
    </row>
    <row r="182" spans="1:51" s="24" customFormat="1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128"/>
      <c r="AX182" s="23"/>
      <c r="AY182" s="27"/>
    </row>
    <row r="183" spans="1:51" s="24" customFormat="1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128"/>
      <c r="AX183" s="23"/>
      <c r="AY183" s="27"/>
    </row>
    <row r="184" spans="1:51" s="24" customFormat="1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128"/>
      <c r="AX184" s="23"/>
      <c r="AY184" s="27"/>
    </row>
    <row r="185" spans="1:51" s="24" customFormat="1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128"/>
      <c r="AX185" s="23"/>
      <c r="AY185" s="27"/>
    </row>
    <row r="186" spans="1:51" s="24" customFormat="1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128"/>
      <c r="AX186" s="23"/>
      <c r="AY186" s="27"/>
    </row>
    <row r="187" spans="1:51" s="24" customFormat="1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128"/>
      <c r="AX187" s="23"/>
      <c r="AY187" s="27"/>
    </row>
    <row r="188" spans="1:51" s="24" customFormat="1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128"/>
      <c r="AX188" s="23"/>
      <c r="AY188" s="27"/>
    </row>
    <row r="189" spans="1:51" s="24" customFormat="1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128"/>
      <c r="AX189" s="23"/>
      <c r="AY189" s="27"/>
    </row>
    <row r="190" spans="1:51" s="24" customFormat="1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128"/>
      <c r="AX190" s="23"/>
      <c r="AY190" s="27"/>
    </row>
    <row r="191" spans="1:51" s="24" customFormat="1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128"/>
      <c r="AX191" s="23"/>
      <c r="AY191" s="27"/>
    </row>
    <row r="192" spans="1:51" s="24" customFormat="1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128"/>
      <c r="AX192" s="23"/>
      <c r="AY192" s="27"/>
    </row>
    <row r="193" spans="1:51" s="24" customFormat="1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128"/>
      <c r="AX193" s="23"/>
      <c r="AY193" s="27"/>
    </row>
    <row r="194" spans="1:51" s="24" customFormat="1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128"/>
      <c r="AX194" s="23"/>
      <c r="AY194" s="27"/>
    </row>
    <row r="195" spans="1:51" s="24" customFormat="1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128"/>
      <c r="AX195" s="23"/>
      <c r="AY195" s="27"/>
    </row>
    <row r="196" spans="1:51" s="24" customFormat="1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128"/>
      <c r="AX196" s="23"/>
      <c r="AY196" s="27"/>
    </row>
    <row r="197" spans="1:51" s="24" customFormat="1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128"/>
      <c r="AX197" s="23"/>
      <c r="AY197" s="27"/>
    </row>
    <row r="198" spans="1:51" s="24" customFormat="1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128"/>
      <c r="AX198" s="23"/>
      <c r="AY198" s="27"/>
    </row>
    <row r="199" spans="1:51" s="24" customFormat="1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128"/>
      <c r="AX199" s="23"/>
      <c r="AY199" s="27"/>
    </row>
    <row r="200" spans="1:51" s="24" customFormat="1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128"/>
      <c r="AX200" s="23"/>
      <c r="AY200" s="27"/>
    </row>
    <row r="201" spans="1:51" s="24" customFormat="1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128"/>
      <c r="AX201" s="23"/>
      <c r="AY201" s="27"/>
    </row>
    <row r="202" spans="1:51" s="24" customFormat="1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128"/>
      <c r="AX202" s="23"/>
      <c r="AY202" s="27"/>
    </row>
    <row r="203" spans="1:51" s="24" customFormat="1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128"/>
      <c r="AX203" s="23"/>
      <c r="AY203" s="27"/>
    </row>
    <row r="204" spans="1:51" s="24" customFormat="1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128"/>
      <c r="AX204" s="23"/>
      <c r="AY204" s="27"/>
    </row>
    <row r="205" spans="1:51" s="24" customFormat="1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128"/>
      <c r="AX205" s="23"/>
      <c r="AY205" s="27"/>
    </row>
    <row r="206" spans="1:51" s="24" customFormat="1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128"/>
      <c r="AX206" s="23"/>
      <c r="AY206" s="27"/>
    </row>
    <row r="207" spans="1:51" s="24" customFormat="1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128"/>
      <c r="AX207" s="23"/>
      <c r="AY207" s="27"/>
    </row>
    <row r="208" spans="1:51" s="24" customFormat="1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128"/>
      <c r="AX208" s="23"/>
      <c r="AY208" s="27"/>
    </row>
    <row r="209" spans="1:51" s="24" customFormat="1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128"/>
      <c r="AX209" s="23"/>
      <c r="AY209" s="27"/>
    </row>
    <row r="210" spans="1:51" s="24" customFormat="1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128"/>
      <c r="AX210" s="23"/>
      <c r="AY210" s="27"/>
    </row>
    <row r="211" spans="1:51" s="24" customFormat="1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128"/>
      <c r="AX211" s="23"/>
      <c r="AY211" s="27"/>
    </row>
    <row r="212" spans="1:51" s="24" customFormat="1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128"/>
      <c r="AX212" s="23"/>
      <c r="AY212" s="27"/>
    </row>
    <row r="213" spans="1:51" s="24" customFormat="1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128"/>
      <c r="AX213" s="23"/>
      <c r="AY213" s="27"/>
    </row>
    <row r="214" spans="1:51" s="24" customFormat="1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128"/>
      <c r="AX214" s="23"/>
      <c r="AY214" s="27"/>
    </row>
    <row r="215" spans="1:51" s="24" customFormat="1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128"/>
      <c r="AX215" s="23"/>
      <c r="AY215" s="27"/>
    </row>
    <row r="216" spans="1:51" s="24" customFormat="1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128"/>
      <c r="AX216" s="23"/>
      <c r="AY216" s="27"/>
    </row>
    <row r="217" spans="1:51" s="24" customFormat="1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128"/>
      <c r="AX217" s="23"/>
      <c r="AY217" s="27"/>
    </row>
    <row r="218" spans="1:51" s="24" customFormat="1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128"/>
      <c r="AX218" s="23"/>
      <c r="AY218" s="27"/>
    </row>
    <row r="219" spans="1:51" s="24" customFormat="1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128"/>
      <c r="AX219" s="23"/>
      <c r="AY219" s="27"/>
    </row>
    <row r="220" spans="1:51" s="24" customFormat="1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128"/>
      <c r="AX220" s="23"/>
      <c r="AY220" s="27"/>
    </row>
    <row r="221" spans="1:51" s="24" customFormat="1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128"/>
      <c r="AX221" s="23"/>
      <c r="AY221" s="27"/>
    </row>
    <row r="222" spans="1:51" s="24" customFormat="1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128"/>
      <c r="AX222" s="23"/>
      <c r="AY222" s="27"/>
    </row>
    <row r="223" spans="1:51" s="24" customFormat="1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128"/>
      <c r="AX223" s="23"/>
      <c r="AY223" s="27"/>
    </row>
    <row r="224" spans="1:51" s="24" customFormat="1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128"/>
      <c r="AX224" s="23"/>
      <c r="AY224" s="27"/>
    </row>
    <row r="225" spans="1:51" s="24" customFormat="1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128"/>
      <c r="AX225" s="23"/>
      <c r="AY225" s="27"/>
    </row>
    <row r="226" spans="1:51" s="24" customFormat="1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128"/>
      <c r="AX226" s="23"/>
      <c r="AY226" s="27"/>
    </row>
    <row r="227" spans="1:51" s="24" customFormat="1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128"/>
      <c r="AX227" s="23"/>
      <c r="AY227" s="27"/>
    </row>
    <row r="228" spans="1:51" s="24" customFormat="1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128"/>
      <c r="AX228" s="23"/>
      <c r="AY228" s="27"/>
    </row>
    <row r="229" spans="1:51" s="24" customFormat="1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128"/>
      <c r="AX229" s="23"/>
      <c r="AY229" s="27"/>
    </row>
    <row r="230" spans="1:51" s="24" customFormat="1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128"/>
      <c r="AX230" s="23"/>
      <c r="AY230" s="27"/>
    </row>
    <row r="231" spans="1:51" s="24" customFormat="1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128"/>
      <c r="AX231" s="23"/>
      <c r="AY231" s="27"/>
    </row>
    <row r="232" spans="1:51" s="24" customFormat="1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128"/>
      <c r="AX232" s="23"/>
      <c r="AY232" s="27"/>
    </row>
    <row r="233" spans="1:51" s="24" customFormat="1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128"/>
      <c r="AX233" s="23"/>
      <c r="AY233" s="27"/>
    </row>
    <row r="234" spans="1:51" s="24" customFormat="1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128"/>
      <c r="AX234" s="23"/>
      <c r="AY234" s="27"/>
    </row>
    <row r="235" spans="1:51" s="24" customFormat="1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128"/>
      <c r="AX235" s="23"/>
      <c r="AY235" s="27"/>
    </row>
    <row r="236" spans="1:51" s="24" customFormat="1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128"/>
      <c r="AX236" s="23"/>
      <c r="AY236" s="27"/>
    </row>
    <row r="237" spans="1:51" s="24" customFormat="1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128"/>
      <c r="AX237" s="23"/>
      <c r="AY237" s="27"/>
    </row>
    <row r="238" spans="1:51" s="24" customFormat="1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128"/>
      <c r="AX238" s="23"/>
      <c r="AY238" s="27"/>
    </row>
    <row r="239" spans="1:51" s="24" customFormat="1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128"/>
      <c r="AX239" s="23"/>
      <c r="AY239" s="27"/>
    </row>
    <row r="240" spans="1:51" s="24" customFormat="1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128"/>
      <c r="AX240" s="23"/>
      <c r="AY240" s="27"/>
    </row>
    <row r="241" spans="1:51" s="24" customFormat="1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128"/>
      <c r="AX241" s="23"/>
      <c r="AY241" s="27"/>
    </row>
    <row r="242" spans="1:51" s="24" customFormat="1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128"/>
      <c r="AX242" s="23"/>
      <c r="AY242" s="27"/>
    </row>
    <row r="243" spans="1:51" s="24" customFormat="1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128"/>
      <c r="AX243" s="23"/>
      <c r="AY243" s="27"/>
    </row>
    <row r="244" spans="1:51" s="24" customFormat="1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128"/>
      <c r="AX244" s="23"/>
      <c r="AY244" s="27"/>
    </row>
    <row r="245" spans="1:51" s="24" customFormat="1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128"/>
      <c r="AX245" s="23"/>
      <c r="AY245" s="27"/>
    </row>
    <row r="246" spans="1:51" s="24" customFormat="1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128"/>
      <c r="AX246" s="23"/>
      <c r="AY246" s="27"/>
    </row>
    <row r="247" spans="1:51" s="24" customFormat="1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128"/>
      <c r="AX247" s="23"/>
      <c r="AY247" s="27"/>
    </row>
    <row r="248" spans="1:51" s="24" customFormat="1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128"/>
      <c r="AX248" s="23"/>
      <c r="AY248" s="27"/>
    </row>
    <row r="249" spans="1:51" s="24" customFormat="1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128"/>
      <c r="AX249" s="23"/>
      <c r="AY249" s="27"/>
    </row>
    <row r="250" spans="1:51" s="24" customFormat="1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128"/>
      <c r="AX250" s="23"/>
      <c r="AY250" s="27"/>
    </row>
    <row r="251" spans="1:51" s="24" customFormat="1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128"/>
      <c r="AX251" s="23"/>
      <c r="AY251" s="27"/>
    </row>
    <row r="252" spans="1:51" s="24" customFormat="1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128"/>
      <c r="AX252" s="23"/>
      <c r="AY252" s="27"/>
    </row>
    <row r="253" spans="1:51" s="24" customFormat="1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128"/>
      <c r="AX253" s="23"/>
      <c r="AY253" s="27"/>
    </row>
    <row r="254" spans="1:51" s="24" customFormat="1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128"/>
      <c r="AX254" s="23"/>
      <c r="AY254" s="27"/>
    </row>
    <row r="255" spans="1:51" s="24" customFormat="1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128"/>
      <c r="AX255" s="23"/>
      <c r="AY255" s="27"/>
    </row>
    <row r="256" spans="1:51" s="24" customFormat="1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128"/>
      <c r="AX256" s="23"/>
      <c r="AY256" s="27"/>
    </row>
    <row r="257" spans="1:51" s="24" customFormat="1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128"/>
      <c r="AX257" s="23"/>
      <c r="AY257" s="27"/>
    </row>
    <row r="258" spans="1:51" s="24" customFormat="1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128"/>
      <c r="AX258" s="23"/>
      <c r="AY258" s="27"/>
    </row>
    <row r="259" spans="1:51" s="24" customFormat="1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128"/>
      <c r="AX259" s="23"/>
      <c r="AY259" s="27"/>
    </row>
    <row r="260" spans="1:51" s="24" customFormat="1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128"/>
      <c r="AX260" s="23"/>
      <c r="AY260" s="27"/>
    </row>
    <row r="261" spans="1:51" s="24" customFormat="1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128"/>
      <c r="AX261" s="23"/>
      <c r="AY261" s="27"/>
    </row>
    <row r="262" spans="1:51" s="24" customFormat="1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128"/>
      <c r="AX262" s="23"/>
      <c r="AY262" s="27"/>
    </row>
    <row r="263" spans="1:51" s="24" customFormat="1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128"/>
      <c r="AX263" s="23"/>
      <c r="AY263" s="27"/>
    </row>
    <row r="264" spans="1:51" s="24" customFormat="1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128"/>
      <c r="AX264" s="23"/>
      <c r="AY264" s="27"/>
    </row>
    <row r="265" spans="1:51" s="24" customFormat="1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128"/>
      <c r="AX265" s="23"/>
      <c r="AY265" s="27"/>
    </row>
    <row r="266" spans="1:51" s="24" customFormat="1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128"/>
      <c r="AX266" s="23"/>
      <c r="AY266" s="27"/>
    </row>
    <row r="267" spans="1:51" s="24" customFormat="1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128"/>
      <c r="AX267" s="23"/>
      <c r="AY267" s="27"/>
    </row>
    <row r="268" spans="1:51" s="24" customFormat="1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128"/>
      <c r="AX268" s="23"/>
      <c r="AY268" s="27"/>
    </row>
    <row r="269" spans="1:51" s="24" customFormat="1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128"/>
      <c r="AX269" s="23"/>
      <c r="AY269" s="27"/>
    </row>
    <row r="270" spans="1:51" s="24" customFormat="1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128"/>
      <c r="AX270" s="23"/>
      <c r="AY270" s="27"/>
    </row>
    <row r="271" spans="1:51" s="24" customFormat="1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128"/>
      <c r="AX271" s="23"/>
      <c r="AY271" s="27"/>
    </row>
    <row r="272" spans="1:51" s="24" customFormat="1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128"/>
      <c r="AX272" s="23"/>
      <c r="AY272" s="27"/>
    </row>
    <row r="273" spans="1:51" s="24" customFormat="1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128"/>
      <c r="AX273" s="23"/>
      <c r="AY273" s="27"/>
    </row>
    <row r="274" spans="1:51" s="24" customFormat="1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128"/>
      <c r="AX274" s="23"/>
      <c r="AY274" s="27"/>
    </row>
    <row r="275" spans="1:51" s="24" customFormat="1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128"/>
      <c r="AX275" s="23"/>
      <c r="AY275" s="27"/>
    </row>
    <row r="276" spans="1:51" s="24" customFormat="1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128"/>
      <c r="AX276" s="23"/>
      <c r="AY276" s="27"/>
    </row>
    <row r="277" spans="1:51" s="24" customFormat="1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128"/>
      <c r="AX277" s="23"/>
      <c r="AY277" s="27"/>
    </row>
    <row r="278" spans="1:51" s="24" customFormat="1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128"/>
      <c r="AX278" s="23"/>
      <c r="AY278" s="27"/>
    </row>
    <row r="279" spans="1:51" s="24" customFormat="1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128"/>
      <c r="AX279" s="23"/>
      <c r="AY279" s="27"/>
    </row>
    <row r="280" spans="1:51" s="24" customFormat="1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128"/>
      <c r="AX280" s="23"/>
      <c r="AY280" s="27"/>
    </row>
    <row r="281" spans="1:51" s="24" customFormat="1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128"/>
      <c r="AX281" s="23"/>
      <c r="AY281" s="27"/>
    </row>
    <row r="282" spans="1:51" s="24" customFormat="1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128"/>
      <c r="AX282" s="23"/>
      <c r="AY282" s="27"/>
    </row>
    <row r="283" spans="1:51" s="24" customFormat="1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128"/>
      <c r="AX283" s="23"/>
      <c r="AY283" s="27"/>
    </row>
    <row r="284" spans="1:51" s="24" customFormat="1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128"/>
      <c r="AX284" s="23"/>
      <c r="AY284" s="27"/>
    </row>
    <row r="285" spans="1:51" s="24" customFormat="1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128"/>
      <c r="AX285" s="23"/>
      <c r="AY285" s="27"/>
    </row>
    <row r="286" spans="1:51" s="24" customFormat="1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128"/>
      <c r="AX286" s="23"/>
      <c r="AY286" s="27"/>
    </row>
    <row r="287" spans="1:51" s="24" customFormat="1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128"/>
      <c r="AX287" s="23"/>
      <c r="AY287" s="27"/>
    </row>
    <row r="288" spans="1:51" s="24" customFormat="1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128"/>
      <c r="AX288" s="23"/>
      <c r="AY288" s="27"/>
    </row>
    <row r="289" spans="1:51" s="24" customFormat="1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128"/>
      <c r="AX289" s="23"/>
      <c r="AY289" s="27"/>
    </row>
    <row r="290" spans="1:51" s="24" customFormat="1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128"/>
      <c r="AX290" s="23"/>
      <c r="AY290" s="27"/>
    </row>
    <row r="291" spans="1:51" s="24" customFormat="1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128"/>
      <c r="AX291" s="23"/>
      <c r="AY291" s="27"/>
    </row>
    <row r="292" spans="1:51" s="24" customFormat="1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128"/>
      <c r="AX292" s="23"/>
      <c r="AY292" s="27"/>
    </row>
    <row r="293" spans="1:51" s="24" customFormat="1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128"/>
      <c r="AX293" s="23"/>
      <c r="AY293" s="27"/>
    </row>
    <row r="294" spans="1:51" s="24" customFormat="1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128"/>
      <c r="AX294" s="23"/>
      <c r="AY294" s="27"/>
    </row>
    <row r="295" spans="1:51" s="24" customFormat="1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128"/>
      <c r="AX295" s="23"/>
      <c r="AY295" s="27"/>
    </row>
    <row r="296" spans="1:51" s="24" customFormat="1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128"/>
      <c r="AX296" s="23"/>
      <c r="AY296" s="27"/>
    </row>
    <row r="297" spans="1:51" s="24" customFormat="1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128"/>
      <c r="AX297" s="23"/>
      <c r="AY297" s="27"/>
    </row>
    <row r="298" spans="1:51" s="24" customFormat="1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128"/>
      <c r="AX298" s="23"/>
      <c r="AY298" s="27"/>
    </row>
    <row r="299" spans="1:51" s="24" customFormat="1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128"/>
      <c r="AX299" s="23"/>
      <c r="AY299" s="27"/>
    </row>
    <row r="300" spans="1:51" s="24" customFormat="1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128"/>
      <c r="AX300" s="23"/>
      <c r="AY300" s="27"/>
    </row>
    <row r="301" spans="1:51" s="24" customFormat="1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128"/>
      <c r="AX301" s="23"/>
      <c r="AY301" s="27"/>
    </row>
    <row r="302" spans="1:51" s="24" customFormat="1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128"/>
      <c r="AX302" s="23"/>
      <c r="AY302" s="27"/>
    </row>
    <row r="303" spans="1:51" s="24" customFormat="1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128"/>
      <c r="AX303" s="23"/>
      <c r="AY303" s="27"/>
    </row>
    <row r="304" spans="1:51" s="24" customFormat="1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128"/>
      <c r="AX304" s="23"/>
      <c r="AY304" s="27"/>
    </row>
    <row r="305" spans="1:51" s="24" customFormat="1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128"/>
      <c r="AX305" s="23"/>
      <c r="AY305" s="27"/>
    </row>
    <row r="306" spans="1:51" s="24" customFormat="1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128"/>
      <c r="AX306" s="23"/>
      <c r="AY306" s="27"/>
    </row>
    <row r="307" spans="1:51" s="24" customFormat="1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128"/>
      <c r="AX307" s="23"/>
      <c r="AY307" s="27"/>
    </row>
    <row r="308" spans="1:51" s="24" customFormat="1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128"/>
      <c r="AX308" s="23"/>
      <c r="AY308" s="27"/>
    </row>
    <row r="309" spans="1:51" s="24" customFormat="1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128"/>
      <c r="AX309" s="23"/>
      <c r="AY309" s="27"/>
    </row>
    <row r="310" spans="1:51" s="24" customFormat="1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128"/>
      <c r="AX310" s="23"/>
      <c r="AY310" s="27"/>
    </row>
    <row r="311" spans="1:51" s="24" customFormat="1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128"/>
      <c r="AX311" s="23"/>
      <c r="AY311" s="27"/>
    </row>
    <row r="312" spans="1:51" s="24" customFormat="1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128"/>
      <c r="AX312" s="23"/>
      <c r="AY312" s="27"/>
    </row>
    <row r="313" spans="1:51" s="24" customFormat="1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128"/>
      <c r="AX313" s="23"/>
      <c r="AY313" s="27"/>
    </row>
    <row r="314" spans="1:51" s="24" customFormat="1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128"/>
      <c r="AX314" s="23"/>
      <c r="AY314" s="27"/>
    </row>
    <row r="315" spans="1:51" s="24" customFormat="1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128"/>
      <c r="AX315" s="23"/>
      <c r="AY315" s="27"/>
    </row>
    <row r="316" spans="1:51" s="24" customFormat="1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128"/>
      <c r="AX316" s="23"/>
      <c r="AY316" s="27"/>
    </row>
    <row r="317" spans="1:51" s="24" customFormat="1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128"/>
      <c r="AX317" s="23"/>
      <c r="AY317" s="27"/>
    </row>
    <row r="318" spans="1:51" s="24" customFormat="1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128"/>
      <c r="AX318" s="23"/>
      <c r="AY318" s="27"/>
    </row>
    <row r="319" spans="1:51" s="24" customFormat="1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128"/>
      <c r="AX319" s="23"/>
      <c r="AY319" s="27"/>
    </row>
    <row r="320" spans="1:51" s="24" customFormat="1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128"/>
      <c r="AX320" s="23"/>
      <c r="AY320" s="27"/>
    </row>
    <row r="321" spans="1:51" s="24" customFormat="1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128"/>
      <c r="AX321" s="23"/>
      <c r="AY321" s="27"/>
    </row>
    <row r="322" spans="1:51" s="24" customFormat="1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128"/>
      <c r="AX322" s="23"/>
      <c r="AY322" s="27"/>
    </row>
    <row r="323" spans="1:51" s="24" customFormat="1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128"/>
      <c r="AX323" s="23"/>
      <c r="AY323" s="27"/>
    </row>
    <row r="324" spans="1:51" s="24" customFormat="1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128"/>
      <c r="AX324" s="23"/>
      <c r="AY324" s="27"/>
    </row>
    <row r="325" spans="1:51" s="24" customFormat="1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128"/>
      <c r="AX325" s="23"/>
      <c r="AY325" s="27"/>
    </row>
    <row r="326" spans="1:51" s="24" customFormat="1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128"/>
      <c r="AX326" s="23"/>
      <c r="AY326" s="27"/>
    </row>
    <row r="327" spans="1:51" s="24" customFormat="1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128"/>
      <c r="AX327" s="23"/>
      <c r="AY327" s="27"/>
    </row>
    <row r="328" spans="1:51" s="24" customFormat="1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128"/>
      <c r="AX328" s="23"/>
      <c r="AY328" s="27"/>
    </row>
    <row r="329" spans="1:51" s="24" customFormat="1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128"/>
      <c r="AX329" s="23"/>
      <c r="AY329" s="27"/>
    </row>
    <row r="330" spans="1:51" s="24" customFormat="1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128"/>
      <c r="AX330" s="23"/>
      <c r="AY330" s="27"/>
    </row>
    <row r="331" spans="1:51" s="24" customFormat="1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128"/>
      <c r="AX331" s="23"/>
      <c r="AY331" s="27"/>
    </row>
    <row r="332" spans="1:51" s="24" customFormat="1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128"/>
      <c r="AX332" s="23"/>
      <c r="AY332" s="27"/>
    </row>
    <row r="333" spans="1:51" s="24" customFormat="1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128"/>
      <c r="AX333" s="23"/>
      <c r="AY333" s="27"/>
    </row>
    <row r="334" spans="1:51" s="24" customFormat="1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128"/>
      <c r="AX334" s="23"/>
      <c r="AY334" s="27"/>
    </row>
    <row r="335" spans="1:51" s="24" customFormat="1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128"/>
      <c r="AX335" s="23"/>
      <c r="AY335" s="27"/>
    </row>
    <row r="336" spans="1:51" s="24" customFormat="1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128"/>
      <c r="AX336" s="23"/>
      <c r="AY336" s="27"/>
    </row>
    <row r="337" spans="1:51" s="24" customFormat="1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128"/>
      <c r="AX337" s="23"/>
      <c r="AY337" s="27"/>
    </row>
    <row r="338" spans="1:51" s="24" customFormat="1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128"/>
      <c r="AX338" s="23"/>
      <c r="AY338" s="27"/>
    </row>
    <row r="339" spans="1:51" s="24" customFormat="1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128"/>
      <c r="AX339" s="23"/>
      <c r="AY339" s="27"/>
    </row>
    <row r="340" spans="1:51" s="24" customFormat="1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128"/>
      <c r="AX340" s="23"/>
      <c r="AY340" s="27"/>
    </row>
    <row r="341" spans="1:51" s="24" customFormat="1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128"/>
      <c r="AX341" s="23"/>
      <c r="AY341" s="27"/>
    </row>
    <row r="342" spans="1:51" s="24" customFormat="1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128"/>
      <c r="AX342" s="23"/>
      <c r="AY342" s="27"/>
    </row>
    <row r="343" spans="1:51" s="24" customFormat="1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128"/>
      <c r="AX343" s="23"/>
      <c r="AY343" s="27"/>
    </row>
    <row r="344" spans="1:51" s="24" customFormat="1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128"/>
      <c r="AX344" s="23"/>
      <c r="AY344" s="27"/>
    </row>
    <row r="345" spans="1:51" s="24" customFormat="1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128"/>
      <c r="AX345" s="23"/>
      <c r="AY345" s="27"/>
    </row>
    <row r="346" spans="1:51" s="24" customFormat="1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128"/>
      <c r="AX346" s="23"/>
      <c r="AY346" s="27"/>
    </row>
    <row r="347" spans="1:51" s="24" customFormat="1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128"/>
      <c r="AX347" s="23"/>
      <c r="AY347" s="27"/>
    </row>
    <row r="348" spans="1:51" s="24" customFormat="1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128"/>
      <c r="AX348" s="23"/>
      <c r="AY348" s="27"/>
    </row>
    <row r="349" spans="1:51" s="24" customFormat="1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128"/>
      <c r="AX349" s="23"/>
      <c r="AY349" s="27"/>
    </row>
    <row r="350" spans="1:51" s="24" customFormat="1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128"/>
      <c r="AX350" s="23"/>
      <c r="AY350" s="27"/>
    </row>
    <row r="351" spans="1:51" s="24" customFormat="1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128"/>
      <c r="AX351" s="23"/>
      <c r="AY351" s="27"/>
    </row>
    <row r="352" spans="1:51" s="24" customFormat="1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128"/>
      <c r="AX352" s="23"/>
      <c r="AY352" s="27"/>
    </row>
    <row r="353" spans="1:51" s="24" customFormat="1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128"/>
      <c r="AX353" s="23"/>
      <c r="AY353" s="27"/>
    </row>
    <row r="354" spans="1:51" s="24" customFormat="1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128"/>
      <c r="AX354" s="23"/>
      <c r="AY354" s="27"/>
    </row>
    <row r="355" spans="1:51" s="24" customFormat="1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128"/>
      <c r="AX355" s="23"/>
      <c r="AY355" s="27"/>
    </row>
    <row r="356" spans="1:51" s="24" customFormat="1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128"/>
      <c r="AX356" s="23"/>
      <c r="AY356" s="27"/>
    </row>
    <row r="357" spans="1:51" s="24" customFormat="1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128"/>
      <c r="AX357" s="23"/>
      <c r="AY357" s="27"/>
    </row>
    <row r="358" spans="1:51" s="24" customFormat="1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128"/>
      <c r="AX358" s="23"/>
      <c r="AY358" s="27"/>
    </row>
    <row r="359" spans="1:51" s="24" customFormat="1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128"/>
      <c r="AX359" s="23"/>
      <c r="AY359" s="27"/>
    </row>
    <row r="360" spans="1:51" s="24" customFormat="1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128"/>
      <c r="AX360" s="23"/>
      <c r="AY360" s="27"/>
    </row>
    <row r="361" spans="1:51" s="24" customFormat="1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128"/>
      <c r="AX361" s="23"/>
      <c r="AY361" s="27"/>
    </row>
    <row r="362" spans="1:51" s="24" customFormat="1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128"/>
      <c r="AX362" s="23"/>
      <c r="AY362" s="27"/>
    </row>
    <row r="363" spans="1:51" s="24" customFormat="1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128"/>
      <c r="AX363" s="23"/>
      <c r="AY363" s="27"/>
    </row>
    <row r="364" spans="1:51" s="24" customFormat="1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128"/>
      <c r="AX364" s="23"/>
      <c r="AY364" s="27"/>
    </row>
    <row r="365" spans="1:51" s="24" customFormat="1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128"/>
      <c r="AX365" s="23"/>
      <c r="AY365" s="27"/>
    </row>
    <row r="366" spans="1:51" s="24" customFormat="1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128"/>
      <c r="AX366" s="23"/>
      <c r="AY366" s="27"/>
    </row>
    <row r="367" spans="1:51" s="24" customFormat="1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128"/>
      <c r="AX367" s="23"/>
      <c r="AY367" s="27"/>
    </row>
    <row r="368" spans="1:51" s="24" customFormat="1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128"/>
      <c r="AX368" s="23"/>
      <c r="AY368" s="27"/>
    </row>
    <row r="369" spans="1:51" s="24" customFormat="1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128"/>
      <c r="AX369" s="23"/>
      <c r="AY369" s="27"/>
    </row>
    <row r="370" spans="1:51" s="24" customFormat="1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128"/>
      <c r="AX370" s="23"/>
      <c r="AY370" s="27"/>
    </row>
    <row r="371" spans="1:51" s="24" customFormat="1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128"/>
      <c r="AX371" s="23"/>
      <c r="AY371" s="27"/>
    </row>
    <row r="372" spans="1:51" s="24" customFormat="1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128"/>
      <c r="AX372" s="23"/>
      <c r="AY372" s="27"/>
    </row>
    <row r="373" spans="1:51" s="24" customFormat="1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128"/>
      <c r="AX373" s="23"/>
      <c r="AY373" s="27"/>
    </row>
    <row r="374" spans="1:51" s="24" customFormat="1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128"/>
      <c r="AX374" s="23"/>
      <c r="AY374" s="27"/>
    </row>
    <row r="375" spans="1:51" s="24" customFormat="1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128"/>
      <c r="AX375" s="23"/>
      <c r="AY375" s="27"/>
    </row>
    <row r="376" spans="1:51" s="24" customFormat="1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128"/>
      <c r="AX376" s="23"/>
      <c r="AY376" s="27"/>
    </row>
    <row r="377" spans="1:51" s="24" customFormat="1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128"/>
      <c r="AX377" s="23"/>
      <c r="AY377" s="27"/>
    </row>
    <row r="378" spans="1:51" s="24" customFormat="1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128"/>
      <c r="AX378" s="23"/>
      <c r="AY378" s="27"/>
    </row>
    <row r="379" spans="1:51" s="24" customFormat="1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128"/>
      <c r="AX379" s="23"/>
      <c r="AY379" s="27"/>
    </row>
    <row r="380" spans="1:51" s="24" customFormat="1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128"/>
      <c r="AX380" s="23"/>
      <c r="AY380" s="27"/>
    </row>
    <row r="381" spans="1:51" s="24" customFormat="1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128"/>
      <c r="AX381" s="23"/>
      <c r="AY381" s="27"/>
    </row>
    <row r="382" spans="1:51" s="24" customFormat="1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128"/>
      <c r="AX382" s="23"/>
      <c r="AY382" s="27"/>
    </row>
    <row r="383" spans="1:51" s="24" customFormat="1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128"/>
      <c r="AX383" s="23"/>
      <c r="AY383" s="27"/>
    </row>
    <row r="384" spans="1:51" s="24" customFormat="1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128"/>
      <c r="AX384" s="23"/>
      <c r="AY384" s="27"/>
    </row>
    <row r="385" spans="1:51" s="24" customFormat="1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128"/>
      <c r="AX385" s="23"/>
      <c r="AY385" s="27"/>
    </row>
    <row r="386" spans="1:51" s="24" customFormat="1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128"/>
      <c r="AX386" s="23"/>
      <c r="AY386" s="27"/>
    </row>
    <row r="387" spans="1:51" s="24" customFormat="1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128"/>
      <c r="AX387" s="23"/>
      <c r="AY387" s="27"/>
    </row>
    <row r="388" spans="1:51" s="24" customFormat="1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128"/>
      <c r="AX388" s="23"/>
      <c r="AY388" s="27"/>
    </row>
    <row r="389" spans="1:51" s="24" customFormat="1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128"/>
      <c r="AX389" s="23"/>
      <c r="AY389" s="27"/>
    </row>
    <row r="390" spans="1:51" s="24" customFormat="1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128"/>
      <c r="AX390" s="23"/>
      <c r="AY390" s="27"/>
    </row>
    <row r="391" spans="1:51" s="24" customFormat="1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128"/>
      <c r="AX391" s="23"/>
      <c r="AY391" s="27"/>
    </row>
    <row r="392" spans="1:51" s="24" customFormat="1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128"/>
      <c r="AX392" s="23"/>
      <c r="AY392" s="27"/>
    </row>
    <row r="393" spans="1:51" s="24" customFormat="1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128"/>
      <c r="AX393" s="23"/>
      <c r="AY393" s="27"/>
    </row>
    <row r="394" spans="1:51" s="24" customFormat="1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128"/>
      <c r="AX394" s="23"/>
      <c r="AY394" s="27"/>
    </row>
    <row r="395" spans="1:51" s="24" customFormat="1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128"/>
      <c r="AX395" s="23"/>
      <c r="AY395" s="27"/>
    </row>
    <row r="396" spans="1:51" s="24" customFormat="1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128"/>
      <c r="AX396" s="23"/>
      <c r="AY396" s="27"/>
    </row>
    <row r="397" spans="1:51" s="24" customForma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128"/>
      <c r="AX397" s="25"/>
      <c r="AY397" s="29"/>
    </row>
    <row r="398" spans="1:51" s="24" customForma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128"/>
      <c r="AX398" s="25"/>
      <c r="AY398" s="29"/>
    </row>
    <row r="399" spans="1:51" s="24" customForma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128"/>
      <c r="AX399" s="25"/>
      <c r="AY399" s="29"/>
    </row>
    <row r="400" spans="1:51" s="24" customForma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128"/>
      <c r="AX400" s="25"/>
      <c r="AY400" s="29"/>
    </row>
    <row r="401" spans="1:51" s="24" customFormat="1" ht="16.5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28"/>
      <c r="AX401" s="26"/>
      <c r="AY401" s="30"/>
    </row>
    <row r="402" spans="1:51" s="24" customFormat="1" ht="16.5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28"/>
      <c r="AX402" s="26"/>
      <c r="AY402" s="30"/>
    </row>
  </sheetData>
  <mergeCells count="109">
    <mergeCell ref="A58:C59"/>
    <mergeCell ref="D58:D59"/>
    <mergeCell ref="E58:E59"/>
    <mergeCell ref="A60:D61"/>
    <mergeCell ref="I7:O7"/>
    <mergeCell ref="P7:V7"/>
    <mergeCell ref="W7:AC7"/>
    <mergeCell ref="A54:C55"/>
    <mergeCell ref="D54:D55"/>
    <mergeCell ref="E54:E55"/>
    <mergeCell ref="A56:C57"/>
    <mergeCell ref="D56:D57"/>
    <mergeCell ref="E56:E57"/>
    <mergeCell ref="B50:C51"/>
    <mergeCell ref="D50:D51"/>
    <mergeCell ref="E50:E51"/>
    <mergeCell ref="B52:C53"/>
    <mergeCell ref="D52:D53"/>
    <mergeCell ref="E52:E53"/>
    <mergeCell ref="B46:C47"/>
    <mergeCell ref="D46:D47"/>
    <mergeCell ref="E46:E47"/>
    <mergeCell ref="B48:C49"/>
    <mergeCell ref="D48:D49"/>
    <mergeCell ref="E48:E49"/>
    <mergeCell ref="A40:A53"/>
    <mergeCell ref="B40:C41"/>
    <mergeCell ref="D40:D41"/>
    <mergeCell ref="E40:E41"/>
    <mergeCell ref="B42:C43"/>
    <mergeCell ref="D42:D43"/>
    <mergeCell ref="E42:E43"/>
    <mergeCell ref="B44:C45"/>
    <mergeCell ref="D44:D45"/>
    <mergeCell ref="E44:E45"/>
    <mergeCell ref="F36:G36"/>
    <mergeCell ref="F37:G37"/>
    <mergeCell ref="B38:C39"/>
    <mergeCell ref="D38:D39"/>
    <mergeCell ref="E38:E39"/>
    <mergeCell ref="F39:G39"/>
    <mergeCell ref="B34:B35"/>
    <mergeCell ref="C34:C35"/>
    <mergeCell ref="D34:D35"/>
    <mergeCell ref="E34:E35"/>
    <mergeCell ref="A36:A39"/>
    <mergeCell ref="B36:C37"/>
    <mergeCell ref="D36:D37"/>
    <mergeCell ref="E36:E37"/>
    <mergeCell ref="A30:A35"/>
    <mergeCell ref="B30:B31"/>
    <mergeCell ref="C30:C31"/>
    <mergeCell ref="D30:D31"/>
    <mergeCell ref="E30:E31"/>
    <mergeCell ref="G30:G35"/>
    <mergeCell ref="B32:B33"/>
    <mergeCell ref="C32:C33"/>
    <mergeCell ref="D32:D33"/>
    <mergeCell ref="E32:E33"/>
    <mergeCell ref="D26:D27"/>
    <mergeCell ref="E26:E27"/>
    <mergeCell ref="B28:C29"/>
    <mergeCell ref="D28:D29"/>
    <mergeCell ref="E28:E29"/>
    <mergeCell ref="F28:G28"/>
    <mergeCell ref="F29:G29"/>
    <mergeCell ref="B22:B23"/>
    <mergeCell ref="C22:C23"/>
    <mergeCell ref="D22:D23"/>
    <mergeCell ref="E22:E23"/>
    <mergeCell ref="A24:A29"/>
    <mergeCell ref="B24:B27"/>
    <mergeCell ref="C24:C25"/>
    <mergeCell ref="D24:D25"/>
    <mergeCell ref="E24:E25"/>
    <mergeCell ref="C26:C27"/>
    <mergeCell ref="AZ16:AZ17"/>
    <mergeCell ref="C18:C19"/>
    <mergeCell ref="D18:D19"/>
    <mergeCell ref="E18:E19"/>
    <mergeCell ref="C20:C21"/>
    <mergeCell ref="D20:D21"/>
    <mergeCell ref="E20:E21"/>
    <mergeCell ref="C14:C15"/>
    <mergeCell ref="D14:D15"/>
    <mergeCell ref="E14:E15"/>
    <mergeCell ref="C16:C17"/>
    <mergeCell ref="D16:D17"/>
    <mergeCell ref="E16:E17"/>
    <mergeCell ref="AX6:AX9"/>
    <mergeCell ref="A10:A23"/>
    <mergeCell ref="B10:B21"/>
    <mergeCell ref="C10:C11"/>
    <mergeCell ref="D10:D11"/>
    <mergeCell ref="E10:E11"/>
    <mergeCell ref="C12:C13"/>
    <mergeCell ref="D12:D13"/>
    <mergeCell ref="E12:E13"/>
    <mergeCell ref="I6:AQ6"/>
    <mergeCell ref="AW6:AW9"/>
    <mergeCell ref="AK7:AQ7"/>
    <mergeCell ref="AD7:AJ7"/>
    <mergeCell ref="A2:AU3"/>
    <mergeCell ref="A5:A9"/>
    <mergeCell ref="B5:C9"/>
    <mergeCell ref="D5:D9"/>
    <mergeCell ref="E5:E9"/>
    <mergeCell ref="I5:AQ5"/>
    <mergeCell ref="AR5:AU9"/>
  </mergeCells>
  <phoneticPr fontId="4" type="noConversion"/>
  <printOptions horizontalCentered="1"/>
  <pageMargins left="0.35433070866141736" right="0.15748031496062992" top="0.23622047244094491" bottom="3.937007874015748E-2" header="0.120" footer="0.15748031496062992"/>
  <pageSetup paperSize="8" scale="75" fitToWidth="0" fitToHeight="0" orientation="landscape" r:id="rId1"/>
  <headerFooter>
    <oddHeader>&amp;R&amp;"맑은 고딕,보통"&amp;8&amp;K808080K-건설맵 · k-conmap.com</oddHead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G3:K36"/>
  <sheetViews>
    <sheetView workbookViewId="0"/>
  </sheetViews>
  <sheetFormatPr defaultColWidth="9" defaultRowHeight="13.5" x14ac:dyDescent="0.15"/>
  <cols>
    <col min="7" max="8" width="1" customWidth="1"/>
    <col min="9" max="9" width="4.25" style="11" customWidth="1"/>
  </cols>
  <sheetData>
    <row r="3" spans="7:11" ht="34.5" customHeight="1" x14ac:dyDescent="0.15">
      <c r="G3" s="12"/>
      <c r="H3" s="13"/>
      <c r="I3" s="11">
        <v>90</v>
      </c>
    </row>
    <row r="4" spans="7:11" ht="34.5" customHeight="1" x14ac:dyDescent="0.15">
      <c r="G4" s="14"/>
      <c r="H4" s="15"/>
      <c r="I4" s="11">
        <v>80</v>
      </c>
    </row>
    <row r="5" spans="7:11" ht="34.5" customHeight="1" x14ac:dyDescent="0.15">
      <c r="G5" s="16"/>
      <c r="H5" s="17"/>
      <c r="I5" s="11">
        <v>70</v>
      </c>
    </row>
    <row r="6" spans="7:11" ht="34.5" customHeight="1" x14ac:dyDescent="0.15">
      <c r="G6" s="14"/>
      <c r="H6" s="15"/>
      <c r="I6" s="11">
        <v>60</v>
      </c>
    </row>
    <row r="7" spans="7:11" ht="34.5" customHeight="1" x14ac:dyDescent="0.15">
      <c r="G7" s="16"/>
      <c r="H7" s="17"/>
      <c r="I7" s="11">
        <v>50</v>
      </c>
    </row>
    <row r="8" spans="7:11" ht="34.5" customHeight="1" x14ac:dyDescent="0.15">
      <c r="G8" s="14"/>
      <c r="H8" s="15"/>
      <c r="I8" s="11">
        <v>40</v>
      </c>
    </row>
    <row r="9" spans="7:11" ht="34.5" customHeight="1" x14ac:dyDescent="0.15">
      <c r="G9" s="16"/>
      <c r="H9" s="17"/>
      <c r="I9" s="11">
        <v>30</v>
      </c>
    </row>
    <row r="10" spans="7:11" ht="34.5" customHeight="1" x14ac:dyDescent="0.15">
      <c r="G10" s="14"/>
      <c r="H10" s="15"/>
      <c r="I10" s="11">
        <v>20</v>
      </c>
    </row>
    <row r="11" spans="7:11" ht="34.5" customHeight="1" x14ac:dyDescent="0.15">
      <c r="G11" s="16"/>
      <c r="H11" s="17"/>
      <c r="I11" s="11">
        <v>10</v>
      </c>
    </row>
    <row r="12" spans="7:11" ht="34.5" customHeight="1" x14ac:dyDescent="0.15">
      <c r="G12" s="18"/>
      <c r="H12" s="19"/>
    </row>
    <row r="13" spans="7:11" ht="34.5" customHeight="1" x14ac:dyDescent="0.15">
      <c r="K13" s="10"/>
    </row>
    <row r="14" spans="7:11" ht="34.5" customHeight="1" x14ac:dyDescent="0.15"/>
    <row r="15" spans="7:11" ht="34.5" customHeight="1" x14ac:dyDescent="0.15"/>
    <row r="16" spans="7:11" ht="34.5" customHeight="1" x14ac:dyDescent="0.15"/>
    <row r="17" ht="34.5" customHeight="1" x14ac:dyDescent="0.15"/>
    <row r="18" ht="34.5" customHeight="1" x14ac:dyDescent="0.15"/>
    <row r="19" ht="34.5" customHeight="1" x14ac:dyDescent="0.15"/>
    <row r="20" ht="34.5" customHeight="1" x14ac:dyDescent="0.15"/>
    <row r="21" ht="34.5" customHeight="1" x14ac:dyDescent="0.15"/>
    <row r="22" ht="34.5" customHeight="1" x14ac:dyDescent="0.15"/>
    <row r="23" ht="34.5" customHeight="1" x14ac:dyDescent="0.15"/>
    <row r="24" ht="34.5" customHeight="1" x14ac:dyDescent="0.15"/>
    <row r="25" ht="34.5" customHeight="1" x14ac:dyDescent="0.15"/>
    <row r="26" ht="34.5" customHeight="1" x14ac:dyDescent="0.15"/>
    <row r="27" ht="34.5" customHeight="1" x14ac:dyDescent="0.15"/>
    <row r="28" ht="34.5" customHeight="1" x14ac:dyDescent="0.15"/>
    <row r="29" ht="34.5" customHeight="1" x14ac:dyDescent="0.15"/>
    <row r="30" ht="34.5" customHeight="1" x14ac:dyDescent="0.15"/>
    <row r="31" ht="34.5" customHeight="1" x14ac:dyDescent="0.15"/>
    <row r="32" ht="34.5" customHeight="1" x14ac:dyDescent="0.15"/>
    <row r="33" ht="34.5" customHeight="1" x14ac:dyDescent="0.15"/>
    <row r="34" ht="34.5" customHeight="1" x14ac:dyDescent="0.15"/>
    <row r="35" ht="34.5" customHeight="1" x14ac:dyDescent="0.15"/>
    <row r="36" ht="34.5" customHeight="1" x14ac:dyDescent="0.15"/>
  </sheetData>
  <phoneticPr fontId="4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 r:id="rId1"/>
  <headerFooter>
    <oddHeader>&amp;R&amp;"맑은 고딕,보통"&amp;8&amp;K808080K-건설맵 · k-conmap.com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workbookViewId="0"/>
  </sheetViews>
  <sheetFormatPr defaultColWidth="9" defaultRowHeight="13.5" x14ac:dyDescent="0.15"/>
  <sheetData/>
  <phoneticPr fontId="4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 horizontalDpi="0" verticalDpi="0"/>
  <headerFooter>
    <oddHeader>&amp;R&amp;"맑은 고딕,보통"&amp;8&amp;K808080K-건설맵 · k-conmap.com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802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2</vt:i4>
      </vt:variant>
    </vt:vector>
  </HeadingPairs>
  <TitlesOfParts>
    <vt:vector size="6" baseType="lpstr">
      <vt:lpstr>예정공정표(총괄분)</vt:lpstr>
      <vt:lpstr>예정공정표(월간)</vt:lpstr>
      <vt:lpstr>Sheet2</vt:lpstr>
      <vt:lpstr>Sheet3</vt:lpstr>
      <vt:lpstr>'예정공정표(월간)'!Print_Area</vt:lpstr>
      <vt:lpstr>'예정공정표(총괄분)'!Print_Area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K-건설맵</dc:creator>
  <cp:lastModifiedBy>K-건설맵</cp:lastModifiedBy>
  <cp:revision>76</cp:revision>
  <cp:lastPrinted>2026-02-27T07:45:33Z</cp:lastPrinted>
  <dcterms:created xsi:type="dcterms:W3CDTF">2024-04-22T02:05:06Z</dcterms:created>
  <dcterms:modified xsi:type="dcterms:W3CDTF">2026-02-27T07:54:04Z</dcterms:modified>
  <cp:version>1200.0100.01</cp:version>
</cp:coreProperties>
</file>