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총괄분" sheetId="1" state="visible" r:id="rId1"/>
    <sheet xmlns:r="http://schemas.openxmlformats.org/officeDocument/2006/relationships" name="월간" sheetId="2" state="visible" r:id="rId2"/>
    <sheet xmlns:r="http://schemas.openxmlformats.org/officeDocument/2006/relationships" name="공정곡선" sheetId="3" state="visible" r:id="rId3"/>
    <sheet xmlns:r="http://schemas.openxmlformats.org/officeDocument/2006/relationships" name="예시-총괄분" sheetId="4" state="visible" r:id="rId4"/>
    <sheet xmlns:r="http://schemas.openxmlformats.org/officeDocument/2006/relationships" name="예시-월간" sheetId="5" state="visible" r:id="rId5"/>
    <sheet xmlns:r="http://schemas.openxmlformats.org/officeDocument/2006/relationships" name="예시-공정곡선" sheetId="6" state="visible" r:id="rId6"/>
  </sheets>
  <definedNames>
    <definedName name="_xlnm.Print_Area" localSheetId="0">'총괄분'!$A$1:$AQ$51</definedName>
    <definedName name="_xlnm.Print_Area" localSheetId="1">'월간'!$A$1:$AL$28</definedName>
    <definedName name="_xlnm.Print_Area" localSheetId="2">'공정곡선'!$A$1:$AD$29</definedName>
    <definedName name="_xlnm.Print_Area" localSheetId="3">'예시-총괄분'!$A$1:$AQ$51</definedName>
    <definedName name="_xlnm.Print_Area" localSheetId="4">'예시-월간'!$A$1:$AL$28</definedName>
    <definedName name="_xlnm.Print_Area" localSheetId="5">'예시-공정곡선'!$A$1:$AD$29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yyyy. m. d."/>
    <numFmt numFmtId="165" formatCode="m&quot;/&quot;d"/>
    <numFmt numFmtId="166" formatCode="#,##0;[Red]-#,##0;&quot;&quot;"/>
    <numFmt numFmtId="167" formatCode="0.00;;&quot;&quot;"/>
    <numFmt numFmtId="168" formatCode="#,##0.###;[Red]-#,##0.###;&quot;&quot;"/>
    <numFmt numFmtId="169" formatCode="0;;&quot;&quot;"/>
    <numFmt numFmtId="170" formatCode="0.00;[Red]-0.00;&quot;&quot;"/>
    <numFmt numFmtId="171" formatCode="[&lt;0.005]&quot;&quot;;0.00"/>
    <numFmt numFmtId="172" formatCode="yyyy&quot;년&quot; m&quot;월&quot;"/>
    <numFmt numFmtId="173" formatCode="d"/>
    <numFmt numFmtId="174" formatCode="0.0;;&quot;&quot;"/>
    <numFmt numFmtId="175" formatCode="yyyy-mm-dd"/>
  </numFmts>
  <fonts count="2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b val="1"/>
      <color rgb="00000000"/>
      <sz val="11"/>
    </font>
    <font>
      <name val="맑은 고딕"/>
      <b val="1"/>
      <color rgb="001F2937"/>
      <sz val="9"/>
    </font>
    <font>
      <name val="맑은 고딕"/>
      <color rgb="00000000"/>
      <sz val="10"/>
    </font>
    <font>
      <name val="맑은 고딕"/>
      <color rgb="001F2937"/>
      <sz val="8.5"/>
    </font>
    <font>
      <name val="맑은 고딕"/>
      <color rgb="001F2937"/>
      <sz val="9.5"/>
    </font>
    <font>
      <name val="맑은 고딕"/>
      <b val="1"/>
      <color rgb="001F2937"/>
      <sz val="8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000000"/>
      <sz val="8"/>
    </font>
    <font>
      <name val="맑은 고딕"/>
      <color rgb="001F2937"/>
      <sz val="10"/>
    </font>
    <font>
      <name val="맑은 고딕"/>
      <color rgb="001F2937"/>
      <sz val="7"/>
    </font>
    <font>
      <name val="맑은 고딕"/>
      <color rgb="001F2937"/>
      <sz val="7.5"/>
    </font>
    <font>
      <name val="맑은 고딕"/>
      <b val="1"/>
      <color rgb="001F2937"/>
      <sz val="7.5"/>
    </font>
    <font>
      <name val="맑은 고딕"/>
      <color rgb="00DC2626"/>
      <sz val="9"/>
    </font>
    <font>
      <name val="맑은 고딕"/>
      <b val="1"/>
      <color rgb="001F2937"/>
      <sz val="11"/>
    </font>
    <font>
      <name val="맑은 고딕"/>
      <color rgb="001F2937"/>
      <sz val="8"/>
    </font>
    <font>
      <name val="맑은 고딕"/>
      <color rgb="001F2937"/>
      <sz val="6.5"/>
    </font>
    <font>
      <name val="맑은 고딕"/>
      <b val="1"/>
      <color rgb="001F2937"/>
      <sz val="6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0" borderId="0" applyAlignment="1" pivotButton="0" quotePrefix="0" xfId="0">
      <alignment horizontal="right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shrinkToFi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6" fontId="11" fillId="0" borderId="1" applyAlignment="1" pivotButton="0" quotePrefix="0" xfId="0">
      <alignment horizontal="right" vertical="center" shrinkToFit="1"/>
    </xf>
    <xf numFmtId="167" fontId="12" fillId="3" borderId="1" applyAlignment="1" pivotButton="0" quotePrefix="0" xfId="0">
      <alignment horizontal="center" vertical="center" shrinkToFit="1"/>
    </xf>
    <xf numFmtId="168" fontId="11" fillId="0" borderId="1" applyAlignment="1" pivotButton="0" quotePrefix="0" xfId="0">
      <alignment horizontal="right" vertical="center" shrinkToFit="1"/>
    </xf>
    <xf numFmtId="165" fontId="11" fillId="0" borderId="1" applyAlignment="1" pivotButton="0" quotePrefix="0" xfId="0">
      <alignment horizontal="center" vertical="center" shrinkToFit="1"/>
    </xf>
    <xf numFmtId="169" fontId="12" fillId="3" borderId="1" applyAlignment="1" pivotButton="0" quotePrefix="0" xfId="0">
      <alignment horizontal="center" vertical="center" shrinkToFi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7" fontId="8" fillId="3" borderId="1" applyAlignment="1" pivotButton="0" quotePrefix="0" xfId="0">
      <alignment horizontal="center" vertical="center" shrinkToFit="1"/>
    </xf>
    <xf numFmtId="170" fontId="8" fillId="3" borderId="1" applyAlignment="1" pivotButton="0" quotePrefix="0" xfId="0">
      <alignment horizontal="center" vertical="center" shrinkToFit="1"/>
    </xf>
    <xf numFmtId="171" fontId="1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6" fontId="6" fillId="3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center" vertical="center" shrinkToFit="1"/>
    </xf>
    <xf numFmtId="0" fontId="4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67" fontId="16" fillId="3" borderId="1" applyAlignment="1" pivotButton="0" quotePrefix="0" xfId="0">
      <alignment horizontal="center" vertical="center" shrinkToFit="1"/>
    </xf>
    <xf numFmtId="167" fontId="17" fillId="3" borderId="1" applyAlignment="1" pivotButton="0" quotePrefix="0" xfId="0">
      <alignment horizontal="center" vertical="center" shrinkToFit="1"/>
    </xf>
    <xf numFmtId="0" fontId="18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left" vertical="center" wrapText="1"/>
    </xf>
    <xf numFmtId="172" fontId="7" fillId="0" borderId="1" applyAlignment="1" pivotButton="0" quotePrefix="0" xfId="0">
      <alignment horizontal="center" vertical="center" shrinkToFit="1"/>
    </xf>
    <xf numFmtId="173" fontId="8" fillId="2" borderId="1" applyAlignment="1" pivotButton="0" quotePrefix="0" xfId="0">
      <alignment horizontal="center" vertical="center" shrinkToFit="1"/>
    </xf>
    <xf numFmtId="0" fontId="8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7" fontId="20" fillId="3" borderId="1" applyAlignment="1" pivotButton="0" quotePrefix="0" xfId="0">
      <alignment horizontal="center" vertical="center" shrinkToFit="1"/>
    </xf>
    <xf numFmtId="171" fontId="21" fillId="0" borderId="1" applyAlignment="1" pivotButton="0" quotePrefix="0" xfId="0">
      <alignment horizontal="center" vertical="center" shrinkToFit="1"/>
    </xf>
    <xf numFmtId="167" fontId="10" fillId="3" borderId="1" applyAlignment="1" pivotButton="0" quotePrefix="0" xfId="0">
      <alignment horizontal="center" vertical="center" shrinkToFit="1"/>
    </xf>
    <xf numFmtId="167" fontId="21" fillId="3" borderId="1" applyAlignment="1" pivotButton="0" quotePrefix="0" xfId="0">
      <alignment horizontal="center" vertical="center" shrinkToFit="1"/>
    </xf>
    <xf numFmtId="174" fontId="22" fillId="3" borderId="1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bgColor rgb="0093C5FD"/>
        </patternFill>
      </fill>
    </dxf>
    <dxf>
      <numFmt numFmtId="300" formatCode="#,##0;[Red]-#,##0;&quot;&quot;"/>
    </dxf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'총괄분'!$L$7:$AO$7</f>
            </numRef>
          </cat>
          <val>
            <numRef>
              <f>'총괄분'!$L$50:$AO$50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주 (시작일)</a:t>
                </a:r>
              </a:p>
            </rich>
          </tx>
        </title>
        <numFmt formatCode="m&quot;/&quot;d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누계 공정률(%)</a:t>
                </a:r>
              </a:p>
            </rich>
          </tx>
        </title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'예시-총괄분'!$L$7:$AO$7</f>
            </numRef>
          </cat>
          <val>
            <numRef>
              <f>'예시-총괄분'!$L$50:$AO$50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주 (시작일)</a:t>
                </a:r>
              </a:p>
            </rich>
          </tx>
        </title>
        <numFmt formatCode="m&quot;/&quot;d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누계 공정률(%)</a:t>
                </a:r>
              </a:p>
            </rich>
          </tx>
        </title>
        <majorTickMark val="none"/>
        <minorTickMark val="none"/>
        <crossAx val="10"/>
        <majorUnit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792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792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Q54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9" customWidth="1" min="4" max="4"/>
    <col width="6" customWidth="1" min="5" max="5"/>
    <col width="7" customWidth="1" min="6" max="6"/>
    <col width="4.6" customWidth="1" min="7" max="7"/>
    <col width="6.4" customWidth="1" min="8" max="8"/>
    <col width="6.4" customWidth="1" min="9" max="9"/>
    <col width="5" customWidth="1" min="10" max="10"/>
    <col width="12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  <col width="4.4" customWidth="1" min="41" max="41"/>
    <col width="5.6" customWidth="1" min="42" max="42"/>
    <col width="5.6" customWidth="1" min="43" max="43"/>
  </cols>
  <sheetData>
    <row r="1" ht="20" customHeight="1">
      <c r="A1" s="1" t="inlineStr">
        <is>
          <t xml:space="preserve">  K-건설맵  |  k-conmap.com  무료 건설 서식</t>
        </is>
      </c>
      <c r="S1" s="2" t="inlineStr">
        <is>
          <t xml:space="preserve">← 이 1행을 지우고 쓰셔도 됩니다  </t>
        </is>
      </c>
    </row>
    <row r="2" ht="34" customHeight="1">
      <c r="A2" s="3" t="inlineStr">
        <is>
          <t>예      정      공      정      표   (총괄분)</t>
        </is>
      </c>
    </row>
    <row r="3" ht="24" customHeight="1">
      <c r="A3" s="4" t="inlineStr">
        <is>
          <t>공 사 명 :</t>
        </is>
      </c>
      <c r="C3" s="5" t="n"/>
      <c r="D3" s="6" t="n"/>
      <c r="E3" s="6" t="n"/>
      <c r="F3" s="6" t="n"/>
      <c r="G3" s="6" t="n"/>
      <c r="H3" s="6" t="n"/>
      <c r="I3" s="6" t="n"/>
      <c r="J3" s="6" t="n"/>
      <c r="K3" s="6" t="n"/>
      <c r="L3" s="7" t="inlineStr">
        <is>
          <t>첫 주 시작일</t>
        </is>
      </c>
      <c r="Q3" s="8" t="n"/>
      <c r="R3" s="6" t="n"/>
      <c r="S3" s="6" t="n"/>
      <c r="T3" s="6" t="n"/>
      <c r="U3" s="9" t="inlineStr">
        <is>
          <t>(그 주 월요일)</t>
        </is>
      </c>
      <c r="Y3" s="10">
        <f>IF(N(Q3)=0,"","공정표 기간 : "&amp;YEAR(Q3)&amp;". "&amp;MONTH(Q3)&amp;". "&amp;DAY(Q3)&amp;". ~ "&amp;YEAR(Q3+209)&amp;". "&amp;MONTH(Q3+209)&amp;". "&amp;DAY(Q3+209)&amp;". (30주)")</f>
        <v/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금액
(천원)</t>
        </is>
      </c>
      <c r="E5" s="11" t="inlineStr">
        <is>
          <t>보할
(%)</t>
        </is>
      </c>
      <c r="F5" s="11" t="inlineStr">
        <is>
          <t>수 량</t>
        </is>
      </c>
      <c r="G5" s="11" t="inlineStr">
        <is>
          <t>단위</t>
        </is>
      </c>
      <c r="H5" s="11" t="inlineStr">
        <is>
          <t>시 작</t>
        </is>
      </c>
      <c r="I5" s="11" t="inlineStr">
        <is>
          <t>끝</t>
        </is>
      </c>
      <c r="J5" s="11" t="inlineStr">
        <is>
          <t>기간
(일)</t>
        </is>
      </c>
      <c r="K5" s="11" t="inlineStr">
        <is>
          <t>참 조 사 항</t>
        </is>
      </c>
      <c r="L5" s="11">
        <f>IF(N(Q3)=0,"",MONTH(Q3+0)&amp;"월")</f>
        <v/>
      </c>
      <c r="M5" s="11">
        <f>IF(N(Q3)=0,"",IF(MONTH(Q3+7)&lt;&gt;MONTH(Q3+0),MONTH(Q3+7)&amp;"월",""))</f>
        <v/>
      </c>
      <c r="N5" s="11">
        <f>IF(N(Q3)=0,"",IF(MONTH(Q3+14)&lt;&gt;MONTH(Q3+7),MONTH(Q3+14)&amp;"월",""))</f>
        <v/>
      </c>
      <c r="O5" s="11">
        <f>IF(N(Q3)=0,"",IF(MONTH(Q3+21)&lt;&gt;MONTH(Q3+14),MONTH(Q3+21)&amp;"월",""))</f>
        <v/>
      </c>
      <c r="P5" s="11">
        <f>IF(N(Q3)=0,"",IF(MONTH(Q3+28)&lt;&gt;MONTH(Q3+21),MONTH(Q3+28)&amp;"월",""))</f>
        <v/>
      </c>
      <c r="Q5" s="11">
        <f>IF(N(Q3)=0,"",IF(MONTH(Q3+35)&lt;&gt;MONTH(Q3+28),MONTH(Q3+35)&amp;"월",""))</f>
        <v/>
      </c>
      <c r="R5" s="11">
        <f>IF(N(Q3)=0,"",IF(MONTH(Q3+42)&lt;&gt;MONTH(Q3+35),MONTH(Q3+42)&amp;"월",""))</f>
        <v/>
      </c>
      <c r="S5" s="11">
        <f>IF(N(Q3)=0,"",IF(MONTH(Q3+49)&lt;&gt;MONTH(Q3+42),MONTH(Q3+49)&amp;"월",""))</f>
        <v/>
      </c>
      <c r="T5" s="11">
        <f>IF(N(Q3)=0,"",IF(MONTH(Q3+56)&lt;&gt;MONTH(Q3+49),MONTH(Q3+56)&amp;"월",""))</f>
        <v/>
      </c>
      <c r="U5" s="11">
        <f>IF(N(Q3)=0,"",IF(MONTH(Q3+63)&lt;&gt;MONTH(Q3+56),MONTH(Q3+63)&amp;"월",""))</f>
        <v/>
      </c>
      <c r="V5" s="11">
        <f>IF(N(Q3)=0,"",IF(MONTH(Q3+70)&lt;&gt;MONTH(Q3+63),MONTH(Q3+70)&amp;"월",""))</f>
        <v/>
      </c>
      <c r="W5" s="11">
        <f>IF(N(Q3)=0,"",IF(MONTH(Q3+77)&lt;&gt;MONTH(Q3+70),MONTH(Q3+77)&amp;"월",""))</f>
        <v/>
      </c>
      <c r="X5" s="11">
        <f>IF(N(Q3)=0,"",IF(MONTH(Q3+84)&lt;&gt;MONTH(Q3+77),MONTH(Q3+84)&amp;"월",""))</f>
        <v/>
      </c>
      <c r="Y5" s="11">
        <f>IF(N(Q3)=0,"",IF(MONTH(Q3+91)&lt;&gt;MONTH(Q3+84),MONTH(Q3+91)&amp;"월",""))</f>
        <v/>
      </c>
      <c r="Z5" s="11">
        <f>IF(N(Q3)=0,"",IF(MONTH(Q3+98)&lt;&gt;MONTH(Q3+91),MONTH(Q3+98)&amp;"월",""))</f>
        <v/>
      </c>
      <c r="AA5" s="11">
        <f>IF(N(Q3)=0,"",IF(MONTH(Q3+105)&lt;&gt;MONTH(Q3+98),MONTH(Q3+105)&amp;"월",""))</f>
        <v/>
      </c>
      <c r="AB5" s="11">
        <f>IF(N(Q3)=0,"",IF(MONTH(Q3+112)&lt;&gt;MONTH(Q3+105),MONTH(Q3+112)&amp;"월",""))</f>
        <v/>
      </c>
      <c r="AC5" s="11">
        <f>IF(N(Q3)=0,"",IF(MONTH(Q3+119)&lt;&gt;MONTH(Q3+112),MONTH(Q3+119)&amp;"월",""))</f>
        <v/>
      </c>
      <c r="AD5" s="11">
        <f>IF(N(Q3)=0,"",IF(MONTH(Q3+126)&lt;&gt;MONTH(Q3+119),MONTH(Q3+126)&amp;"월",""))</f>
        <v/>
      </c>
      <c r="AE5" s="11">
        <f>IF(N(Q3)=0,"",IF(MONTH(Q3+133)&lt;&gt;MONTH(Q3+126),MONTH(Q3+133)&amp;"월",""))</f>
        <v/>
      </c>
      <c r="AF5" s="11">
        <f>IF(N(Q3)=0,"",IF(MONTH(Q3+140)&lt;&gt;MONTH(Q3+133),MONTH(Q3+140)&amp;"월",""))</f>
        <v/>
      </c>
      <c r="AG5" s="11">
        <f>IF(N(Q3)=0,"",IF(MONTH(Q3+147)&lt;&gt;MONTH(Q3+140),MONTH(Q3+147)&amp;"월",""))</f>
        <v/>
      </c>
      <c r="AH5" s="11">
        <f>IF(N(Q3)=0,"",IF(MONTH(Q3+154)&lt;&gt;MONTH(Q3+147),MONTH(Q3+154)&amp;"월",""))</f>
        <v/>
      </c>
      <c r="AI5" s="11">
        <f>IF(N(Q3)=0,"",IF(MONTH(Q3+161)&lt;&gt;MONTH(Q3+154),MONTH(Q3+161)&amp;"월",""))</f>
        <v/>
      </c>
      <c r="AJ5" s="11">
        <f>IF(N(Q3)=0,"",IF(MONTH(Q3+168)&lt;&gt;MONTH(Q3+161),MONTH(Q3+168)&amp;"월",""))</f>
        <v/>
      </c>
      <c r="AK5" s="11">
        <f>IF(N(Q3)=0,"",IF(MONTH(Q3+175)&lt;&gt;MONTH(Q3+168),MONTH(Q3+175)&amp;"월",""))</f>
        <v/>
      </c>
      <c r="AL5" s="11">
        <f>IF(N(Q3)=0,"",IF(MONTH(Q3+182)&lt;&gt;MONTH(Q3+175),MONTH(Q3+182)&amp;"월",""))</f>
        <v/>
      </c>
      <c r="AM5" s="11">
        <f>IF(N(Q3)=0,"",IF(MONTH(Q3+189)&lt;&gt;MONTH(Q3+182),MONTH(Q3+189)&amp;"월",""))</f>
        <v/>
      </c>
      <c r="AN5" s="11">
        <f>IF(N(Q3)=0,"",IF(MONTH(Q3+196)&lt;&gt;MONTH(Q3+189),MONTH(Q3+196)&amp;"월",""))</f>
        <v/>
      </c>
      <c r="AO5" s="11">
        <f>IF(N(Q3)=0,"",IF(MONTH(Q3+203)&lt;&gt;MONTH(Q3+196),MONTH(Q3+203)&amp;"월",""))</f>
        <v/>
      </c>
      <c r="AP5" s="11" t="inlineStr">
        <is>
          <t>반영
(%)</t>
        </is>
      </c>
      <c r="AQ5" s="11" t="inlineStr">
        <is>
          <t>차이</t>
        </is>
      </c>
    </row>
    <row r="6" ht="14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12">
        <f>IF(N(Q3)=0,"",INT((DAY(Q3+0)-1)/7)+1&amp;"주")</f>
        <v/>
      </c>
      <c r="M6" s="12">
        <f>IF(N(Q3)=0,"",INT((DAY(Q3+7)-1)/7)+1&amp;"주")</f>
        <v/>
      </c>
      <c r="N6" s="12">
        <f>IF(N(Q3)=0,"",INT((DAY(Q3+14)-1)/7)+1&amp;"주")</f>
        <v/>
      </c>
      <c r="O6" s="12">
        <f>IF(N(Q3)=0,"",INT((DAY(Q3+21)-1)/7)+1&amp;"주")</f>
        <v/>
      </c>
      <c r="P6" s="12">
        <f>IF(N(Q3)=0,"",INT((DAY(Q3+28)-1)/7)+1&amp;"주")</f>
        <v/>
      </c>
      <c r="Q6" s="12">
        <f>IF(N(Q3)=0,"",INT((DAY(Q3+35)-1)/7)+1&amp;"주")</f>
        <v/>
      </c>
      <c r="R6" s="12">
        <f>IF(N(Q3)=0,"",INT((DAY(Q3+42)-1)/7)+1&amp;"주")</f>
        <v/>
      </c>
      <c r="S6" s="12">
        <f>IF(N(Q3)=0,"",INT((DAY(Q3+49)-1)/7)+1&amp;"주")</f>
        <v/>
      </c>
      <c r="T6" s="12">
        <f>IF(N(Q3)=0,"",INT((DAY(Q3+56)-1)/7)+1&amp;"주")</f>
        <v/>
      </c>
      <c r="U6" s="12">
        <f>IF(N(Q3)=0,"",INT((DAY(Q3+63)-1)/7)+1&amp;"주")</f>
        <v/>
      </c>
      <c r="V6" s="12">
        <f>IF(N(Q3)=0,"",INT((DAY(Q3+70)-1)/7)+1&amp;"주")</f>
        <v/>
      </c>
      <c r="W6" s="12">
        <f>IF(N(Q3)=0,"",INT((DAY(Q3+77)-1)/7)+1&amp;"주")</f>
        <v/>
      </c>
      <c r="X6" s="12">
        <f>IF(N(Q3)=0,"",INT((DAY(Q3+84)-1)/7)+1&amp;"주")</f>
        <v/>
      </c>
      <c r="Y6" s="12">
        <f>IF(N(Q3)=0,"",INT((DAY(Q3+91)-1)/7)+1&amp;"주")</f>
        <v/>
      </c>
      <c r="Z6" s="12">
        <f>IF(N(Q3)=0,"",INT((DAY(Q3+98)-1)/7)+1&amp;"주")</f>
        <v/>
      </c>
      <c r="AA6" s="12">
        <f>IF(N(Q3)=0,"",INT((DAY(Q3+105)-1)/7)+1&amp;"주")</f>
        <v/>
      </c>
      <c r="AB6" s="12">
        <f>IF(N(Q3)=0,"",INT((DAY(Q3+112)-1)/7)+1&amp;"주")</f>
        <v/>
      </c>
      <c r="AC6" s="12">
        <f>IF(N(Q3)=0,"",INT((DAY(Q3+119)-1)/7)+1&amp;"주")</f>
        <v/>
      </c>
      <c r="AD6" s="12">
        <f>IF(N(Q3)=0,"",INT((DAY(Q3+126)-1)/7)+1&amp;"주")</f>
        <v/>
      </c>
      <c r="AE6" s="12">
        <f>IF(N(Q3)=0,"",INT((DAY(Q3+133)-1)/7)+1&amp;"주")</f>
        <v/>
      </c>
      <c r="AF6" s="12">
        <f>IF(N(Q3)=0,"",INT((DAY(Q3+140)-1)/7)+1&amp;"주")</f>
        <v/>
      </c>
      <c r="AG6" s="12">
        <f>IF(N(Q3)=0,"",INT((DAY(Q3+147)-1)/7)+1&amp;"주")</f>
        <v/>
      </c>
      <c r="AH6" s="12">
        <f>IF(N(Q3)=0,"",INT((DAY(Q3+154)-1)/7)+1&amp;"주")</f>
        <v/>
      </c>
      <c r="AI6" s="12">
        <f>IF(N(Q3)=0,"",INT((DAY(Q3+161)-1)/7)+1&amp;"주")</f>
        <v/>
      </c>
      <c r="AJ6" s="12">
        <f>IF(N(Q3)=0,"",INT((DAY(Q3+168)-1)/7)+1&amp;"주")</f>
        <v/>
      </c>
      <c r="AK6" s="12">
        <f>IF(N(Q3)=0,"",INT((DAY(Q3+175)-1)/7)+1&amp;"주")</f>
        <v/>
      </c>
      <c r="AL6" s="12">
        <f>IF(N(Q3)=0,"",INT((DAY(Q3+182)-1)/7)+1&amp;"주")</f>
        <v/>
      </c>
      <c r="AM6" s="12">
        <f>IF(N(Q3)=0,"",INT((DAY(Q3+189)-1)/7)+1&amp;"주")</f>
        <v/>
      </c>
      <c r="AN6" s="12">
        <f>IF(N(Q3)=0,"",INT((DAY(Q3+196)-1)/7)+1&amp;"주")</f>
        <v/>
      </c>
      <c r="AO6" s="12">
        <f>IF(N(Q3)=0,"",INT((DAY(Q3+203)-1)/7)+1&amp;"주")</f>
        <v/>
      </c>
      <c r="AP6" s="6" t="n"/>
      <c r="AQ6" s="6" t="n"/>
    </row>
    <row r="7" ht="14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13">
        <f>IF(N(Q3)=0,"",Q3+0)</f>
        <v/>
      </c>
      <c r="M7" s="13">
        <f>IF(N(Q3)=0,"",Q3+7)</f>
        <v/>
      </c>
      <c r="N7" s="13">
        <f>IF(N(Q3)=0,"",Q3+14)</f>
        <v/>
      </c>
      <c r="O7" s="13">
        <f>IF(N(Q3)=0,"",Q3+21)</f>
        <v/>
      </c>
      <c r="P7" s="13">
        <f>IF(N(Q3)=0,"",Q3+28)</f>
        <v/>
      </c>
      <c r="Q7" s="13">
        <f>IF(N(Q3)=0,"",Q3+35)</f>
        <v/>
      </c>
      <c r="R7" s="13">
        <f>IF(N(Q3)=0,"",Q3+42)</f>
        <v/>
      </c>
      <c r="S7" s="13">
        <f>IF(N(Q3)=0,"",Q3+49)</f>
        <v/>
      </c>
      <c r="T7" s="13">
        <f>IF(N(Q3)=0,"",Q3+56)</f>
        <v/>
      </c>
      <c r="U7" s="13">
        <f>IF(N(Q3)=0,"",Q3+63)</f>
        <v/>
      </c>
      <c r="V7" s="13">
        <f>IF(N(Q3)=0,"",Q3+70)</f>
        <v/>
      </c>
      <c r="W7" s="13">
        <f>IF(N(Q3)=0,"",Q3+77)</f>
        <v/>
      </c>
      <c r="X7" s="13">
        <f>IF(N(Q3)=0,"",Q3+84)</f>
        <v/>
      </c>
      <c r="Y7" s="13">
        <f>IF(N(Q3)=0,"",Q3+91)</f>
        <v/>
      </c>
      <c r="Z7" s="13">
        <f>IF(N(Q3)=0,"",Q3+98)</f>
        <v/>
      </c>
      <c r="AA7" s="13">
        <f>IF(N(Q3)=0,"",Q3+105)</f>
        <v/>
      </c>
      <c r="AB7" s="13">
        <f>IF(N(Q3)=0,"",Q3+112)</f>
        <v/>
      </c>
      <c r="AC7" s="13">
        <f>IF(N(Q3)=0,"",Q3+119)</f>
        <v/>
      </c>
      <c r="AD7" s="13">
        <f>IF(N(Q3)=0,"",Q3+126)</f>
        <v/>
      </c>
      <c r="AE7" s="13">
        <f>IF(N(Q3)=0,"",Q3+133)</f>
        <v/>
      </c>
      <c r="AF7" s="13">
        <f>IF(N(Q3)=0,"",Q3+140)</f>
        <v/>
      </c>
      <c r="AG7" s="13">
        <f>IF(N(Q3)=0,"",Q3+147)</f>
        <v/>
      </c>
      <c r="AH7" s="13">
        <f>IF(N(Q3)=0,"",Q3+154)</f>
        <v/>
      </c>
      <c r="AI7" s="13">
        <f>IF(N(Q3)=0,"",Q3+161)</f>
        <v/>
      </c>
      <c r="AJ7" s="13">
        <f>IF(N(Q3)=0,"",Q3+168)</f>
        <v/>
      </c>
      <c r="AK7" s="13">
        <f>IF(N(Q3)=0,"",Q3+175)</f>
        <v/>
      </c>
      <c r="AL7" s="13">
        <f>IF(N(Q3)=0,"",Q3+182)</f>
        <v/>
      </c>
      <c r="AM7" s="13">
        <f>IF(N(Q3)=0,"",Q3+189)</f>
        <v/>
      </c>
      <c r="AN7" s="13">
        <f>IF(N(Q3)=0,"",Q3+196)</f>
        <v/>
      </c>
      <c r="AO7" s="13">
        <f>IF(N(Q3)=0,"",Q3+203)</f>
        <v/>
      </c>
      <c r="AP7" s="6" t="n"/>
      <c r="AQ7" s="6" t="n"/>
    </row>
    <row r="8" ht="11" customHeight="1">
      <c r="A8" s="14" t="n"/>
      <c r="B8" s="14" t="n"/>
      <c r="C8" s="15" t="n"/>
      <c r="D8" s="16" t="n"/>
      <c r="E8" s="17">
        <f>IF(OR(N(D8)=0,N($D$48)=0),"",D8/$D$48*100)</f>
        <v/>
      </c>
      <c r="F8" s="18" t="n"/>
      <c r="G8" s="14" t="n"/>
      <c r="H8" s="19" t="n"/>
      <c r="I8" s="19" t="n"/>
      <c r="J8" s="20">
        <f>IF(OR(N(H8)=0,N(I8)=0),"",I8-H8+1)</f>
        <v/>
      </c>
      <c r="K8" s="21" t="n"/>
      <c r="L8" s="22" t="inlineStr"/>
      <c r="M8" s="22" t="inlineStr"/>
      <c r="N8" s="22" t="inlineStr"/>
      <c r="O8" s="22" t="inlineStr"/>
      <c r="P8" s="22" t="inlineStr"/>
      <c r="Q8" s="22" t="inlineStr"/>
      <c r="R8" s="22" t="inlineStr"/>
      <c r="S8" s="22" t="inlineStr"/>
      <c r="T8" s="22" t="inlineStr"/>
      <c r="U8" s="22" t="inlineStr"/>
      <c r="V8" s="22" t="inlineStr"/>
      <c r="W8" s="22" t="inlineStr"/>
      <c r="X8" s="22" t="inlineStr"/>
      <c r="Y8" s="22" t="inlineStr"/>
      <c r="Z8" s="22" t="inlineStr"/>
      <c r="AA8" s="22" t="inlineStr"/>
      <c r="AB8" s="22" t="inlineStr"/>
      <c r="AC8" s="22" t="inlineStr"/>
      <c r="AD8" s="22" t="inlineStr"/>
      <c r="AE8" s="22" t="inlineStr"/>
      <c r="AF8" s="22" t="inlineStr"/>
      <c r="AG8" s="22" t="inlineStr"/>
      <c r="AH8" s="22" t="inlineStr"/>
      <c r="AI8" s="22" t="inlineStr"/>
      <c r="AJ8" s="22" t="inlineStr"/>
      <c r="AK8" s="22" t="inlineStr"/>
      <c r="AL8" s="22" t="inlineStr"/>
      <c r="AM8" s="22" t="inlineStr"/>
      <c r="AN8" s="22" t="inlineStr"/>
      <c r="AO8" s="22" t="inlineStr"/>
      <c r="AP8" s="23">
        <f>IF(E8="","",SUM(L9:AO9))</f>
        <v/>
      </c>
      <c r="AQ8" s="24">
        <f>IF(E8="","",ROUND(E8-AP8,2))</f>
        <v/>
      </c>
    </row>
    <row r="9" ht="13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25">
        <f>IF(OR(E8="",J8="",N(L$7)=0),"",MAX(0,MIN(I8,L$7+6)-MAX(H8,L$7)+1)/J8*E8)</f>
        <v/>
      </c>
      <c r="M9" s="25">
        <f>IF(OR(E8="",J8="",N(M$7)=0),"",MAX(0,MIN(I8,M$7+6)-MAX(H8,M$7)+1)/J8*E8)</f>
        <v/>
      </c>
      <c r="N9" s="25">
        <f>IF(OR(E8="",J8="",N(N$7)=0),"",MAX(0,MIN(I8,N$7+6)-MAX(H8,N$7)+1)/J8*E8)</f>
        <v/>
      </c>
      <c r="O9" s="25">
        <f>IF(OR(E8="",J8="",N(O$7)=0),"",MAX(0,MIN(I8,O$7+6)-MAX(H8,O$7)+1)/J8*E8)</f>
        <v/>
      </c>
      <c r="P9" s="25">
        <f>IF(OR(E8="",J8="",N(P$7)=0),"",MAX(0,MIN(I8,P$7+6)-MAX(H8,P$7)+1)/J8*E8)</f>
        <v/>
      </c>
      <c r="Q9" s="25">
        <f>IF(OR(E8="",J8="",N(Q$7)=0),"",MAX(0,MIN(I8,Q$7+6)-MAX(H8,Q$7)+1)/J8*E8)</f>
        <v/>
      </c>
      <c r="R9" s="25">
        <f>IF(OR(E8="",J8="",N(R$7)=0),"",MAX(0,MIN(I8,R$7+6)-MAX(H8,R$7)+1)/J8*E8)</f>
        <v/>
      </c>
      <c r="S9" s="25">
        <f>IF(OR(E8="",J8="",N(S$7)=0),"",MAX(0,MIN(I8,S$7+6)-MAX(H8,S$7)+1)/J8*E8)</f>
        <v/>
      </c>
      <c r="T9" s="25">
        <f>IF(OR(E8="",J8="",N(T$7)=0),"",MAX(0,MIN(I8,T$7+6)-MAX(H8,T$7)+1)/J8*E8)</f>
        <v/>
      </c>
      <c r="U9" s="25">
        <f>IF(OR(E8="",J8="",N(U$7)=0),"",MAX(0,MIN(I8,U$7+6)-MAX(H8,U$7)+1)/J8*E8)</f>
        <v/>
      </c>
      <c r="V9" s="25">
        <f>IF(OR(E8="",J8="",N(V$7)=0),"",MAX(0,MIN(I8,V$7+6)-MAX(H8,V$7)+1)/J8*E8)</f>
        <v/>
      </c>
      <c r="W9" s="25">
        <f>IF(OR(E8="",J8="",N(W$7)=0),"",MAX(0,MIN(I8,W$7+6)-MAX(H8,W$7)+1)/J8*E8)</f>
        <v/>
      </c>
      <c r="X9" s="25">
        <f>IF(OR(E8="",J8="",N(X$7)=0),"",MAX(0,MIN(I8,X$7+6)-MAX(H8,X$7)+1)/J8*E8)</f>
        <v/>
      </c>
      <c r="Y9" s="25">
        <f>IF(OR(E8="",J8="",N(Y$7)=0),"",MAX(0,MIN(I8,Y$7+6)-MAX(H8,Y$7)+1)/J8*E8)</f>
        <v/>
      </c>
      <c r="Z9" s="25">
        <f>IF(OR(E8="",J8="",N(Z$7)=0),"",MAX(0,MIN(I8,Z$7+6)-MAX(H8,Z$7)+1)/J8*E8)</f>
        <v/>
      </c>
      <c r="AA9" s="25">
        <f>IF(OR(E8="",J8="",N(AA$7)=0),"",MAX(0,MIN(I8,AA$7+6)-MAX(H8,AA$7)+1)/J8*E8)</f>
        <v/>
      </c>
      <c r="AB9" s="25">
        <f>IF(OR(E8="",J8="",N(AB$7)=0),"",MAX(0,MIN(I8,AB$7+6)-MAX(H8,AB$7)+1)/J8*E8)</f>
        <v/>
      </c>
      <c r="AC9" s="25">
        <f>IF(OR(E8="",J8="",N(AC$7)=0),"",MAX(0,MIN(I8,AC$7+6)-MAX(H8,AC$7)+1)/J8*E8)</f>
        <v/>
      </c>
      <c r="AD9" s="25">
        <f>IF(OR(E8="",J8="",N(AD$7)=0),"",MAX(0,MIN(I8,AD$7+6)-MAX(H8,AD$7)+1)/J8*E8)</f>
        <v/>
      </c>
      <c r="AE9" s="25">
        <f>IF(OR(E8="",J8="",N(AE$7)=0),"",MAX(0,MIN(I8,AE$7+6)-MAX(H8,AE$7)+1)/J8*E8)</f>
        <v/>
      </c>
      <c r="AF9" s="25">
        <f>IF(OR(E8="",J8="",N(AF$7)=0),"",MAX(0,MIN(I8,AF$7+6)-MAX(H8,AF$7)+1)/J8*E8)</f>
        <v/>
      </c>
      <c r="AG9" s="25">
        <f>IF(OR(E8="",J8="",N(AG$7)=0),"",MAX(0,MIN(I8,AG$7+6)-MAX(H8,AG$7)+1)/J8*E8)</f>
        <v/>
      </c>
      <c r="AH9" s="25">
        <f>IF(OR(E8="",J8="",N(AH$7)=0),"",MAX(0,MIN(I8,AH$7+6)-MAX(H8,AH$7)+1)/J8*E8)</f>
        <v/>
      </c>
      <c r="AI9" s="25">
        <f>IF(OR(E8="",J8="",N(AI$7)=0),"",MAX(0,MIN(I8,AI$7+6)-MAX(H8,AI$7)+1)/J8*E8)</f>
        <v/>
      </c>
      <c r="AJ9" s="25">
        <f>IF(OR(E8="",J8="",N(AJ$7)=0),"",MAX(0,MIN(I8,AJ$7+6)-MAX(H8,AJ$7)+1)/J8*E8)</f>
        <v/>
      </c>
      <c r="AK9" s="25">
        <f>IF(OR(E8="",J8="",N(AK$7)=0),"",MAX(0,MIN(I8,AK$7+6)-MAX(H8,AK$7)+1)/J8*E8)</f>
        <v/>
      </c>
      <c r="AL9" s="25">
        <f>IF(OR(E8="",J8="",N(AL$7)=0),"",MAX(0,MIN(I8,AL$7+6)-MAX(H8,AL$7)+1)/J8*E8)</f>
        <v/>
      </c>
      <c r="AM9" s="25">
        <f>IF(OR(E8="",J8="",N(AM$7)=0),"",MAX(0,MIN(I8,AM$7+6)-MAX(H8,AM$7)+1)/J8*E8)</f>
        <v/>
      </c>
      <c r="AN9" s="25">
        <f>IF(OR(E8="",J8="",N(AN$7)=0),"",MAX(0,MIN(I8,AN$7+6)-MAX(H8,AN$7)+1)/J8*E8)</f>
        <v/>
      </c>
      <c r="AO9" s="25">
        <f>IF(OR(E8="",J8="",N(AO$7)=0),"",MAX(0,MIN(I8,AO$7+6)-MAX(H8,AO$7)+1)/J8*E8)</f>
        <v/>
      </c>
      <c r="AP9" s="6" t="n"/>
      <c r="AQ9" s="6" t="n"/>
    </row>
    <row r="10" ht="11" customHeight="1">
      <c r="A10" s="14" t="n"/>
      <c r="B10" s="14" t="n"/>
      <c r="C10" s="15" t="n"/>
      <c r="D10" s="16" t="n"/>
      <c r="E10" s="17">
        <f>IF(OR(N(D10)=0,N($D$48)=0),"",D10/$D$48*100)</f>
        <v/>
      </c>
      <c r="F10" s="18" t="n"/>
      <c r="G10" s="14" t="n"/>
      <c r="H10" s="19" t="n"/>
      <c r="I10" s="19" t="n"/>
      <c r="J10" s="20">
        <f>IF(OR(N(H10)=0,N(I10)=0),"",I10-H10+1)</f>
        <v/>
      </c>
      <c r="K10" s="21" t="n"/>
      <c r="L10" s="22" t="inlineStr"/>
      <c r="M10" s="22" t="inlineStr"/>
      <c r="N10" s="22" t="inlineStr"/>
      <c r="O10" s="22" t="inlineStr"/>
      <c r="P10" s="22" t="inlineStr"/>
      <c r="Q10" s="22" t="inlineStr"/>
      <c r="R10" s="22" t="inlineStr"/>
      <c r="S10" s="22" t="inlineStr"/>
      <c r="T10" s="22" t="inlineStr"/>
      <c r="U10" s="22" t="inlineStr"/>
      <c r="V10" s="22" t="inlineStr"/>
      <c r="W10" s="22" t="inlineStr"/>
      <c r="X10" s="22" t="inlineStr"/>
      <c r="Y10" s="22" t="inlineStr"/>
      <c r="Z10" s="22" t="inlineStr"/>
      <c r="AA10" s="22" t="inlineStr"/>
      <c r="AB10" s="22" t="inlineStr"/>
      <c r="AC10" s="22" t="inlineStr"/>
      <c r="AD10" s="22" t="inlineStr"/>
      <c r="AE10" s="22" t="inlineStr"/>
      <c r="AF10" s="22" t="inlineStr"/>
      <c r="AG10" s="22" t="inlineStr"/>
      <c r="AH10" s="22" t="inlineStr"/>
      <c r="AI10" s="22" t="inlineStr"/>
      <c r="AJ10" s="22" t="inlineStr"/>
      <c r="AK10" s="22" t="inlineStr"/>
      <c r="AL10" s="22" t="inlineStr"/>
      <c r="AM10" s="22" t="inlineStr"/>
      <c r="AN10" s="22" t="inlineStr"/>
      <c r="AO10" s="22" t="inlineStr"/>
      <c r="AP10" s="23">
        <f>IF(E10="","",SUM(L11:AO11))</f>
        <v/>
      </c>
      <c r="AQ10" s="24">
        <f>IF(E10="","",ROUND(E10-AP10,2))</f>
        <v/>
      </c>
    </row>
    <row r="11" ht="13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25">
        <f>IF(OR(E10="",J10="",N(L$7)=0),"",MAX(0,MIN(I10,L$7+6)-MAX(H10,L$7)+1)/J10*E10)</f>
        <v/>
      </c>
      <c r="M11" s="25">
        <f>IF(OR(E10="",J10="",N(M$7)=0),"",MAX(0,MIN(I10,M$7+6)-MAX(H10,M$7)+1)/J10*E10)</f>
        <v/>
      </c>
      <c r="N11" s="25">
        <f>IF(OR(E10="",J10="",N(N$7)=0),"",MAX(0,MIN(I10,N$7+6)-MAX(H10,N$7)+1)/J10*E10)</f>
        <v/>
      </c>
      <c r="O11" s="25">
        <f>IF(OR(E10="",J10="",N(O$7)=0),"",MAX(0,MIN(I10,O$7+6)-MAX(H10,O$7)+1)/J10*E10)</f>
        <v/>
      </c>
      <c r="P11" s="25">
        <f>IF(OR(E10="",J10="",N(P$7)=0),"",MAX(0,MIN(I10,P$7+6)-MAX(H10,P$7)+1)/J10*E10)</f>
        <v/>
      </c>
      <c r="Q11" s="25">
        <f>IF(OR(E10="",J10="",N(Q$7)=0),"",MAX(0,MIN(I10,Q$7+6)-MAX(H10,Q$7)+1)/J10*E10)</f>
        <v/>
      </c>
      <c r="R11" s="25">
        <f>IF(OR(E10="",J10="",N(R$7)=0),"",MAX(0,MIN(I10,R$7+6)-MAX(H10,R$7)+1)/J10*E10)</f>
        <v/>
      </c>
      <c r="S11" s="25">
        <f>IF(OR(E10="",J10="",N(S$7)=0),"",MAX(0,MIN(I10,S$7+6)-MAX(H10,S$7)+1)/J10*E10)</f>
        <v/>
      </c>
      <c r="T11" s="25">
        <f>IF(OR(E10="",J10="",N(T$7)=0),"",MAX(0,MIN(I10,T$7+6)-MAX(H10,T$7)+1)/J10*E10)</f>
        <v/>
      </c>
      <c r="U11" s="25">
        <f>IF(OR(E10="",J10="",N(U$7)=0),"",MAX(0,MIN(I10,U$7+6)-MAX(H10,U$7)+1)/J10*E10)</f>
        <v/>
      </c>
      <c r="V11" s="25">
        <f>IF(OR(E10="",J10="",N(V$7)=0),"",MAX(0,MIN(I10,V$7+6)-MAX(H10,V$7)+1)/J10*E10)</f>
        <v/>
      </c>
      <c r="W11" s="25">
        <f>IF(OR(E10="",J10="",N(W$7)=0),"",MAX(0,MIN(I10,W$7+6)-MAX(H10,W$7)+1)/J10*E10)</f>
        <v/>
      </c>
      <c r="X11" s="25">
        <f>IF(OR(E10="",J10="",N(X$7)=0),"",MAX(0,MIN(I10,X$7+6)-MAX(H10,X$7)+1)/J10*E10)</f>
        <v/>
      </c>
      <c r="Y11" s="25">
        <f>IF(OR(E10="",J10="",N(Y$7)=0),"",MAX(0,MIN(I10,Y$7+6)-MAX(H10,Y$7)+1)/J10*E10)</f>
        <v/>
      </c>
      <c r="Z11" s="25">
        <f>IF(OR(E10="",J10="",N(Z$7)=0),"",MAX(0,MIN(I10,Z$7+6)-MAX(H10,Z$7)+1)/J10*E10)</f>
        <v/>
      </c>
      <c r="AA11" s="25">
        <f>IF(OR(E10="",J10="",N(AA$7)=0),"",MAX(0,MIN(I10,AA$7+6)-MAX(H10,AA$7)+1)/J10*E10)</f>
        <v/>
      </c>
      <c r="AB11" s="25">
        <f>IF(OR(E10="",J10="",N(AB$7)=0),"",MAX(0,MIN(I10,AB$7+6)-MAX(H10,AB$7)+1)/J10*E10)</f>
        <v/>
      </c>
      <c r="AC11" s="25">
        <f>IF(OR(E10="",J10="",N(AC$7)=0),"",MAX(0,MIN(I10,AC$7+6)-MAX(H10,AC$7)+1)/J10*E10)</f>
        <v/>
      </c>
      <c r="AD11" s="25">
        <f>IF(OR(E10="",J10="",N(AD$7)=0),"",MAX(0,MIN(I10,AD$7+6)-MAX(H10,AD$7)+1)/J10*E10)</f>
        <v/>
      </c>
      <c r="AE11" s="25">
        <f>IF(OR(E10="",J10="",N(AE$7)=0),"",MAX(0,MIN(I10,AE$7+6)-MAX(H10,AE$7)+1)/J10*E10)</f>
        <v/>
      </c>
      <c r="AF11" s="25">
        <f>IF(OR(E10="",J10="",N(AF$7)=0),"",MAX(0,MIN(I10,AF$7+6)-MAX(H10,AF$7)+1)/J10*E10)</f>
        <v/>
      </c>
      <c r="AG11" s="25">
        <f>IF(OR(E10="",J10="",N(AG$7)=0),"",MAX(0,MIN(I10,AG$7+6)-MAX(H10,AG$7)+1)/J10*E10)</f>
        <v/>
      </c>
      <c r="AH11" s="25">
        <f>IF(OR(E10="",J10="",N(AH$7)=0),"",MAX(0,MIN(I10,AH$7+6)-MAX(H10,AH$7)+1)/J10*E10)</f>
        <v/>
      </c>
      <c r="AI11" s="25">
        <f>IF(OR(E10="",J10="",N(AI$7)=0),"",MAX(0,MIN(I10,AI$7+6)-MAX(H10,AI$7)+1)/J10*E10)</f>
        <v/>
      </c>
      <c r="AJ11" s="25">
        <f>IF(OR(E10="",J10="",N(AJ$7)=0),"",MAX(0,MIN(I10,AJ$7+6)-MAX(H10,AJ$7)+1)/J10*E10)</f>
        <v/>
      </c>
      <c r="AK11" s="25">
        <f>IF(OR(E10="",J10="",N(AK$7)=0),"",MAX(0,MIN(I10,AK$7+6)-MAX(H10,AK$7)+1)/J10*E10)</f>
        <v/>
      </c>
      <c r="AL11" s="25">
        <f>IF(OR(E10="",J10="",N(AL$7)=0),"",MAX(0,MIN(I10,AL$7+6)-MAX(H10,AL$7)+1)/J10*E10)</f>
        <v/>
      </c>
      <c r="AM11" s="25">
        <f>IF(OR(E10="",J10="",N(AM$7)=0),"",MAX(0,MIN(I10,AM$7+6)-MAX(H10,AM$7)+1)/J10*E10)</f>
        <v/>
      </c>
      <c r="AN11" s="25">
        <f>IF(OR(E10="",J10="",N(AN$7)=0),"",MAX(0,MIN(I10,AN$7+6)-MAX(H10,AN$7)+1)/J10*E10)</f>
        <v/>
      </c>
      <c r="AO11" s="25">
        <f>IF(OR(E10="",J10="",N(AO$7)=0),"",MAX(0,MIN(I10,AO$7+6)-MAX(H10,AO$7)+1)/J10*E10)</f>
        <v/>
      </c>
      <c r="AP11" s="6" t="n"/>
      <c r="AQ11" s="6" t="n"/>
    </row>
    <row r="12" ht="11" customHeight="1">
      <c r="A12" s="14" t="n"/>
      <c r="B12" s="14" t="n"/>
      <c r="C12" s="15" t="n"/>
      <c r="D12" s="16" t="n"/>
      <c r="E12" s="17">
        <f>IF(OR(N(D12)=0,N($D$48)=0),"",D12/$D$48*100)</f>
        <v/>
      </c>
      <c r="F12" s="18" t="n"/>
      <c r="G12" s="14" t="n"/>
      <c r="H12" s="19" t="n"/>
      <c r="I12" s="19" t="n"/>
      <c r="J12" s="20">
        <f>IF(OR(N(H12)=0,N(I12)=0),"",I12-H12+1)</f>
        <v/>
      </c>
      <c r="K12" s="21" t="n"/>
      <c r="L12" s="22" t="inlineStr"/>
      <c r="M12" s="22" t="inlineStr"/>
      <c r="N12" s="22" t="inlineStr"/>
      <c r="O12" s="22" t="inlineStr"/>
      <c r="P12" s="22" t="inlineStr"/>
      <c r="Q12" s="22" t="inlineStr"/>
      <c r="R12" s="22" t="inlineStr"/>
      <c r="S12" s="22" t="inlineStr"/>
      <c r="T12" s="22" t="inlineStr"/>
      <c r="U12" s="22" t="inlineStr"/>
      <c r="V12" s="22" t="inlineStr"/>
      <c r="W12" s="22" t="inlineStr"/>
      <c r="X12" s="22" t="inlineStr"/>
      <c r="Y12" s="22" t="inlineStr"/>
      <c r="Z12" s="22" t="inlineStr"/>
      <c r="AA12" s="22" t="inlineStr"/>
      <c r="AB12" s="22" t="inlineStr"/>
      <c r="AC12" s="22" t="inlineStr"/>
      <c r="AD12" s="22" t="inlineStr"/>
      <c r="AE12" s="22" t="inlineStr"/>
      <c r="AF12" s="22" t="inlineStr"/>
      <c r="AG12" s="22" t="inlineStr"/>
      <c r="AH12" s="22" t="inlineStr"/>
      <c r="AI12" s="22" t="inlineStr"/>
      <c r="AJ12" s="22" t="inlineStr"/>
      <c r="AK12" s="22" t="inlineStr"/>
      <c r="AL12" s="22" t="inlineStr"/>
      <c r="AM12" s="22" t="inlineStr"/>
      <c r="AN12" s="22" t="inlineStr"/>
      <c r="AO12" s="22" t="inlineStr"/>
      <c r="AP12" s="23">
        <f>IF(E12="","",SUM(L13:AO13))</f>
        <v/>
      </c>
      <c r="AQ12" s="24">
        <f>IF(E12="","",ROUND(E12-AP12,2))</f>
        <v/>
      </c>
    </row>
    <row r="13" ht="13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25">
        <f>IF(OR(E12="",J12="",N(L$7)=0),"",MAX(0,MIN(I12,L$7+6)-MAX(H12,L$7)+1)/J12*E12)</f>
        <v/>
      </c>
      <c r="M13" s="25">
        <f>IF(OR(E12="",J12="",N(M$7)=0),"",MAX(0,MIN(I12,M$7+6)-MAX(H12,M$7)+1)/J12*E12)</f>
        <v/>
      </c>
      <c r="N13" s="25">
        <f>IF(OR(E12="",J12="",N(N$7)=0),"",MAX(0,MIN(I12,N$7+6)-MAX(H12,N$7)+1)/J12*E12)</f>
        <v/>
      </c>
      <c r="O13" s="25">
        <f>IF(OR(E12="",J12="",N(O$7)=0),"",MAX(0,MIN(I12,O$7+6)-MAX(H12,O$7)+1)/J12*E12)</f>
        <v/>
      </c>
      <c r="P13" s="25">
        <f>IF(OR(E12="",J12="",N(P$7)=0),"",MAX(0,MIN(I12,P$7+6)-MAX(H12,P$7)+1)/J12*E12)</f>
        <v/>
      </c>
      <c r="Q13" s="25">
        <f>IF(OR(E12="",J12="",N(Q$7)=0),"",MAX(0,MIN(I12,Q$7+6)-MAX(H12,Q$7)+1)/J12*E12)</f>
        <v/>
      </c>
      <c r="R13" s="25">
        <f>IF(OR(E12="",J12="",N(R$7)=0),"",MAX(0,MIN(I12,R$7+6)-MAX(H12,R$7)+1)/J12*E12)</f>
        <v/>
      </c>
      <c r="S13" s="25">
        <f>IF(OR(E12="",J12="",N(S$7)=0),"",MAX(0,MIN(I12,S$7+6)-MAX(H12,S$7)+1)/J12*E12)</f>
        <v/>
      </c>
      <c r="T13" s="25">
        <f>IF(OR(E12="",J12="",N(T$7)=0),"",MAX(0,MIN(I12,T$7+6)-MAX(H12,T$7)+1)/J12*E12)</f>
        <v/>
      </c>
      <c r="U13" s="25">
        <f>IF(OR(E12="",J12="",N(U$7)=0),"",MAX(0,MIN(I12,U$7+6)-MAX(H12,U$7)+1)/J12*E12)</f>
        <v/>
      </c>
      <c r="V13" s="25">
        <f>IF(OR(E12="",J12="",N(V$7)=0),"",MAX(0,MIN(I12,V$7+6)-MAX(H12,V$7)+1)/J12*E12)</f>
        <v/>
      </c>
      <c r="W13" s="25">
        <f>IF(OR(E12="",J12="",N(W$7)=0),"",MAX(0,MIN(I12,W$7+6)-MAX(H12,W$7)+1)/J12*E12)</f>
        <v/>
      </c>
      <c r="X13" s="25">
        <f>IF(OR(E12="",J12="",N(X$7)=0),"",MAX(0,MIN(I12,X$7+6)-MAX(H12,X$7)+1)/J12*E12)</f>
        <v/>
      </c>
      <c r="Y13" s="25">
        <f>IF(OR(E12="",J12="",N(Y$7)=0),"",MAX(0,MIN(I12,Y$7+6)-MAX(H12,Y$7)+1)/J12*E12)</f>
        <v/>
      </c>
      <c r="Z13" s="25">
        <f>IF(OR(E12="",J12="",N(Z$7)=0),"",MAX(0,MIN(I12,Z$7+6)-MAX(H12,Z$7)+1)/J12*E12)</f>
        <v/>
      </c>
      <c r="AA13" s="25">
        <f>IF(OR(E12="",J12="",N(AA$7)=0),"",MAX(0,MIN(I12,AA$7+6)-MAX(H12,AA$7)+1)/J12*E12)</f>
        <v/>
      </c>
      <c r="AB13" s="25">
        <f>IF(OR(E12="",J12="",N(AB$7)=0),"",MAX(0,MIN(I12,AB$7+6)-MAX(H12,AB$7)+1)/J12*E12)</f>
        <v/>
      </c>
      <c r="AC13" s="25">
        <f>IF(OR(E12="",J12="",N(AC$7)=0),"",MAX(0,MIN(I12,AC$7+6)-MAX(H12,AC$7)+1)/J12*E12)</f>
        <v/>
      </c>
      <c r="AD13" s="25">
        <f>IF(OR(E12="",J12="",N(AD$7)=0),"",MAX(0,MIN(I12,AD$7+6)-MAX(H12,AD$7)+1)/J12*E12)</f>
        <v/>
      </c>
      <c r="AE13" s="25">
        <f>IF(OR(E12="",J12="",N(AE$7)=0),"",MAX(0,MIN(I12,AE$7+6)-MAX(H12,AE$7)+1)/J12*E12)</f>
        <v/>
      </c>
      <c r="AF13" s="25">
        <f>IF(OR(E12="",J12="",N(AF$7)=0),"",MAX(0,MIN(I12,AF$7+6)-MAX(H12,AF$7)+1)/J12*E12)</f>
        <v/>
      </c>
      <c r="AG13" s="25">
        <f>IF(OR(E12="",J12="",N(AG$7)=0),"",MAX(0,MIN(I12,AG$7+6)-MAX(H12,AG$7)+1)/J12*E12)</f>
        <v/>
      </c>
      <c r="AH13" s="25">
        <f>IF(OR(E12="",J12="",N(AH$7)=0),"",MAX(0,MIN(I12,AH$7+6)-MAX(H12,AH$7)+1)/J12*E12)</f>
        <v/>
      </c>
      <c r="AI13" s="25">
        <f>IF(OR(E12="",J12="",N(AI$7)=0),"",MAX(0,MIN(I12,AI$7+6)-MAX(H12,AI$7)+1)/J12*E12)</f>
        <v/>
      </c>
      <c r="AJ13" s="25">
        <f>IF(OR(E12="",J12="",N(AJ$7)=0),"",MAX(0,MIN(I12,AJ$7+6)-MAX(H12,AJ$7)+1)/J12*E12)</f>
        <v/>
      </c>
      <c r="AK13" s="25">
        <f>IF(OR(E12="",J12="",N(AK$7)=0),"",MAX(0,MIN(I12,AK$7+6)-MAX(H12,AK$7)+1)/J12*E12)</f>
        <v/>
      </c>
      <c r="AL13" s="25">
        <f>IF(OR(E12="",J12="",N(AL$7)=0),"",MAX(0,MIN(I12,AL$7+6)-MAX(H12,AL$7)+1)/J12*E12)</f>
        <v/>
      </c>
      <c r="AM13" s="25">
        <f>IF(OR(E12="",J12="",N(AM$7)=0),"",MAX(0,MIN(I12,AM$7+6)-MAX(H12,AM$7)+1)/J12*E12)</f>
        <v/>
      </c>
      <c r="AN13" s="25">
        <f>IF(OR(E12="",J12="",N(AN$7)=0),"",MAX(0,MIN(I12,AN$7+6)-MAX(H12,AN$7)+1)/J12*E12)</f>
        <v/>
      </c>
      <c r="AO13" s="25">
        <f>IF(OR(E12="",J12="",N(AO$7)=0),"",MAX(0,MIN(I12,AO$7+6)-MAX(H12,AO$7)+1)/J12*E12)</f>
        <v/>
      </c>
      <c r="AP13" s="6" t="n"/>
      <c r="AQ13" s="6" t="n"/>
    </row>
    <row r="14" ht="11" customHeight="1">
      <c r="A14" s="14" t="n"/>
      <c r="B14" s="14" t="n"/>
      <c r="C14" s="15" t="n"/>
      <c r="D14" s="16" t="n"/>
      <c r="E14" s="17">
        <f>IF(OR(N(D14)=0,N($D$48)=0),"",D14/$D$48*100)</f>
        <v/>
      </c>
      <c r="F14" s="18" t="n"/>
      <c r="G14" s="14" t="n"/>
      <c r="H14" s="19" t="n"/>
      <c r="I14" s="19" t="n"/>
      <c r="J14" s="20">
        <f>IF(OR(N(H14)=0,N(I14)=0),"",I14-H14+1)</f>
        <v/>
      </c>
      <c r="K14" s="21" t="n"/>
      <c r="L14" s="22" t="inlineStr"/>
      <c r="M14" s="22" t="inlineStr"/>
      <c r="N14" s="22" t="inlineStr"/>
      <c r="O14" s="22" t="inlineStr"/>
      <c r="P14" s="22" t="inlineStr"/>
      <c r="Q14" s="22" t="inlineStr"/>
      <c r="R14" s="22" t="inlineStr"/>
      <c r="S14" s="22" t="inlineStr"/>
      <c r="T14" s="22" t="inlineStr"/>
      <c r="U14" s="22" t="inlineStr"/>
      <c r="V14" s="22" t="inlineStr"/>
      <c r="W14" s="22" t="inlineStr"/>
      <c r="X14" s="22" t="inlineStr"/>
      <c r="Y14" s="22" t="inlineStr"/>
      <c r="Z14" s="22" t="inlineStr"/>
      <c r="AA14" s="22" t="inlineStr"/>
      <c r="AB14" s="22" t="inlineStr"/>
      <c r="AC14" s="22" t="inlineStr"/>
      <c r="AD14" s="22" t="inlineStr"/>
      <c r="AE14" s="22" t="inlineStr"/>
      <c r="AF14" s="22" t="inlineStr"/>
      <c r="AG14" s="22" t="inlineStr"/>
      <c r="AH14" s="22" t="inlineStr"/>
      <c r="AI14" s="22" t="inlineStr"/>
      <c r="AJ14" s="22" t="inlineStr"/>
      <c r="AK14" s="22" t="inlineStr"/>
      <c r="AL14" s="22" t="inlineStr"/>
      <c r="AM14" s="22" t="inlineStr"/>
      <c r="AN14" s="22" t="inlineStr"/>
      <c r="AO14" s="22" t="inlineStr"/>
      <c r="AP14" s="23">
        <f>IF(E14="","",SUM(L15:AO15))</f>
        <v/>
      </c>
      <c r="AQ14" s="24">
        <f>IF(E14="","",ROUND(E14-AP14,2))</f>
        <v/>
      </c>
    </row>
    <row r="15" ht="13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25">
        <f>IF(OR(E14="",J14="",N(L$7)=0),"",MAX(0,MIN(I14,L$7+6)-MAX(H14,L$7)+1)/J14*E14)</f>
        <v/>
      </c>
      <c r="M15" s="25">
        <f>IF(OR(E14="",J14="",N(M$7)=0),"",MAX(0,MIN(I14,M$7+6)-MAX(H14,M$7)+1)/J14*E14)</f>
        <v/>
      </c>
      <c r="N15" s="25">
        <f>IF(OR(E14="",J14="",N(N$7)=0),"",MAX(0,MIN(I14,N$7+6)-MAX(H14,N$7)+1)/J14*E14)</f>
        <v/>
      </c>
      <c r="O15" s="25">
        <f>IF(OR(E14="",J14="",N(O$7)=0),"",MAX(0,MIN(I14,O$7+6)-MAX(H14,O$7)+1)/J14*E14)</f>
        <v/>
      </c>
      <c r="P15" s="25">
        <f>IF(OR(E14="",J14="",N(P$7)=0),"",MAX(0,MIN(I14,P$7+6)-MAX(H14,P$7)+1)/J14*E14)</f>
        <v/>
      </c>
      <c r="Q15" s="25">
        <f>IF(OR(E14="",J14="",N(Q$7)=0),"",MAX(0,MIN(I14,Q$7+6)-MAX(H14,Q$7)+1)/J14*E14)</f>
        <v/>
      </c>
      <c r="R15" s="25">
        <f>IF(OR(E14="",J14="",N(R$7)=0),"",MAX(0,MIN(I14,R$7+6)-MAX(H14,R$7)+1)/J14*E14)</f>
        <v/>
      </c>
      <c r="S15" s="25">
        <f>IF(OR(E14="",J14="",N(S$7)=0),"",MAX(0,MIN(I14,S$7+6)-MAX(H14,S$7)+1)/J14*E14)</f>
        <v/>
      </c>
      <c r="T15" s="25">
        <f>IF(OR(E14="",J14="",N(T$7)=0),"",MAX(0,MIN(I14,T$7+6)-MAX(H14,T$7)+1)/J14*E14)</f>
        <v/>
      </c>
      <c r="U15" s="25">
        <f>IF(OR(E14="",J14="",N(U$7)=0),"",MAX(0,MIN(I14,U$7+6)-MAX(H14,U$7)+1)/J14*E14)</f>
        <v/>
      </c>
      <c r="V15" s="25">
        <f>IF(OR(E14="",J14="",N(V$7)=0),"",MAX(0,MIN(I14,V$7+6)-MAX(H14,V$7)+1)/J14*E14)</f>
        <v/>
      </c>
      <c r="W15" s="25">
        <f>IF(OR(E14="",J14="",N(W$7)=0),"",MAX(0,MIN(I14,W$7+6)-MAX(H14,W$7)+1)/J14*E14)</f>
        <v/>
      </c>
      <c r="X15" s="25">
        <f>IF(OR(E14="",J14="",N(X$7)=0),"",MAX(0,MIN(I14,X$7+6)-MAX(H14,X$7)+1)/J14*E14)</f>
        <v/>
      </c>
      <c r="Y15" s="25">
        <f>IF(OR(E14="",J14="",N(Y$7)=0),"",MAX(0,MIN(I14,Y$7+6)-MAX(H14,Y$7)+1)/J14*E14)</f>
        <v/>
      </c>
      <c r="Z15" s="25">
        <f>IF(OR(E14="",J14="",N(Z$7)=0),"",MAX(0,MIN(I14,Z$7+6)-MAX(H14,Z$7)+1)/J14*E14)</f>
        <v/>
      </c>
      <c r="AA15" s="25">
        <f>IF(OR(E14="",J14="",N(AA$7)=0),"",MAX(0,MIN(I14,AA$7+6)-MAX(H14,AA$7)+1)/J14*E14)</f>
        <v/>
      </c>
      <c r="AB15" s="25">
        <f>IF(OR(E14="",J14="",N(AB$7)=0),"",MAX(0,MIN(I14,AB$7+6)-MAX(H14,AB$7)+1)/J14*E14)</f>
        <v/>
      </c>
      <c r="AC15" s="25">
        <f>IF(OR(E14="",J14="",N(AC$7)=0),"",MAX(0,MIN(I14,AC$7+6)-MAX(H14,AC$7)+1)/J14*E14)</f>
        <v/>
      </c>
      <c r="AD15" s="25">
        <f>IF(OR(E14="",J14="",N(AD$7)=0),"",MAX(0,MIN(I14,AD$7+6)-MAX(H14,AD$7)+1)/J14*E14)</f>
        <v/>
      </c>
      <c r="AE15" s="25">
        <f>IF(OR(E14="",J14="",N(AE$7)=0),"",MAX(0,MIN(I14,AE$7+6)-MAX(H14,AE$7)+1)/J14*E14)</f>
        <v/>
      </c>
      <c r="AF15" s="25">
        <f>IF(OR(E14="",J14="",N(AF$7)=0),"",MAX(0,MIN(I14,AF$7+6)-MAX(H14,AF$7)+1)/J14*E14)</f>
        <v/>
      </c>
      <c r="AG15" s="25">
        <f>IF(OR(E14="",J14="",N(AG$7)=0),"",MAX(0,MIN(I14,AG$7+6)-MAX(H14,AG$7)+1)/J14*E14)</f>
        <v/>
      </c>
      <c r="AH15" s="25">
        <f>IF(OR(E14="",J14="",N(AH$7)=0),"",MAX(0,MIN(I14,AH$7+6)-MAX(H14,AH$7)+1)/J14*E14)</f>
        <v/>
      </c>
      <c r="AI15" s="25">
        <f>IF(OR(E14="",J14="",N(AI$7)=0),"",MAX(0,MIN(I14,AI$7+6)-MAX(H14,AI$7)+1)/J14*E14)</f>
        <v/>
      </c>
      <c r="AJ15" s="25">
        <f>IF(OR(E14="",J14="",N(AJ$7)=0),"",MAX(0,MIN(I14,AJ$7+6)-MAX(H14,AJ$7)+1)/J14*E14)</f>
        <v/>
      </c>
      <c r="AK15" s="25">
        <f>IF(OR(E14="",J14="",N(AK$7)=0),"",MAX(0,MIN(I14,AK$7+6)-MAX(H14,AK$7)+1)/J14*E14)</f>
        <v/>
      </c>
      <c r="AL15" s="25">
        <f>IF(OR(E14="",J14="",N(AL$7)=0),"",MAX(0,MIN(I14,AL$7+6)-MAX(H14,AL$7)+1)/J14*E14)</f>
        <v/>
      </c>
      <c r="AM15" s="25">
        <f>IF(OR(E14="",J14="",N(AM$7)=0),"",MAX(0,MIN(I14,AM$7+6)-MAX(H14,AM$7)+1)/J14*E14)</f>
        <v/>
      </c>
      <c r="AN15" s="25">
        <f>IF(OR(E14="",J14="",N(AN$7)=0),"",MAX(0,MIN(I14,AN$7+6)-MAX(H14,AN$7)+1)/J14*E14)</f>
        <v/>
      </c>
      <c r="AO15" s="25">
        <f>IF(OR(E14="",J14="",N(AO$7)=0),"",MAX(0,MIN(I14,AO$7+6)-MAX(H14,AO$7)+1)/J14*E14)</f>
        <v/>
      </c>
      <c r="AP15" s="6" t="n"/>
      <c r="AQ15" s="6" t="n"/>
    </row>
    <row r="16" ht="11" customHeight="1">
      <c r="A16" s="14" t="n"/>
      <c r="B16" s="14" t="n"/>
      <c r="C16" s="15" t="n"/>
      <c r="D16" s="16" t="n"/>
      <c r="E16" s="17">
        <f>IF(OR(N(D16)=0,N($D$48)=0),"",D16/$D$48*100)</f>
        <v/>
      </c>
      <c r="F16" s="18" t="n"/>
      <c r="G16" s="14" t="n"/>
      <c r="H16" s="19" t="n"/>
      <c r="I16" s="19" t="n"/>
      <c r="J16" s="20">
        <f>IF(OR(N(H16)=0,N(I16)=0),"",I16-H16+1)</f>
        <v/>
      </c>
      <c r="K16" s="21" t="n"/>
      <c r="L16" s="22" t="inlineStr"/>
      <c r="M16" s="22" t="inlineStr"/>
      <c r="N16" s="22" t="inlineStr"/>
      <c r="O16" s="22" t="inlineStr"/>
      <c r="P16" s="22" t="inlineStr"/>
      <c r="Q16" s="22" t="inlineStr"/>
      <c r="R16" s="22" t="inlineStr"/>
      <c r="S16" s="22" t="inlineStr"/>
      <c r="T16" s="22" t="inlineStr"/>
      <c r="U16" s="22" t="inlineStr"/>
      <c r="V16" s="22" t="inlineStr"/>
      <c r="W16" s="22" t="inlineStr"/>
      <c r="X16" s="22" t="inlineStr"/>
      <c r="Y16" s="22" t="inlineStr"/>
      <c r="Z16" s="22" t="inlineStr"/>
      <c r="AA16" s="22" t="inlineStr"/>
      <c r="AB16" s="22" t="inlineStr"/>
      <c r="AC16" s="22" t="inlineStr"/>
      <c r="AD16" s="22" t="inlineStr"/>
      <c r="AE16" s="22" t="inlineStr"/>
      <c r="AF16" s="22" t="inlineStr"/>
      <c r="AG16" s="22" t="inlineStr"/>
      <c r="AH16" s="22" t="inlineStr"/>
      <c r="AI16" s="22" t="inlineStr"/>
      <c r="AJ16" s="22" t="inlineStr"/>
      <c r="AK16" s="22" t="inlineStr"/>
      <c r="AL16" s="22" t="inlineStr"/>
      <c r="AM16" s="22" t="inlineStr"/>
      <c r="AN16" s="22" t="inlineStr"/>
      <c r="AO16" s="22" t="inlineStr"/>
      <c r="AP16" s="23">
        <f>IF(E16="","",SUM(L17:AO17))</f>
        <v/>
      </c>
      <c r="AQ16" s="24">
        <f>IF(E16="","",ROUND(E16-AP16,2))</f>
        <v/>
      </c>
    </row>
    <row r="17" ht="13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25">
        <f>IF(OR(E16="",J16="",N(L$7)=0),"",MAX(0,MIN(I16,L$7+6)-MAX(H16,L$7)+1)/J16*E16)</f>
        <v/>
      </c>
      <c r="M17" s="25">
        <f>IF(OR(E16="",J16="",N(M$7)=0),"",MAX(0,MIN(I16,M$7+6)-MAX(H16,M$7)+1)/J16*E16)</f>
        <v/>
      </c>
      <c r="N17" s="25">
        <f>IF(OR(E16="",J16="",N(N$7)=0),"",MAX(0,MIN(I16,N$7+6)-MAX(H16,N$7)+1)/J16*E16)</f>
        <v/>
      </c>
      <c r="O17" s="25">
        <f>IF(OR(E16="",J16="",N(O$7)=0),"",MAX(0,MIN(I16,O$7+6)-MAX(H16,O$7)+1)/J16*E16)</f>
        <v/>
      </c>
      <c r="P17" s="25">
        <f>IF(OR(E16="",J16="",N(P$7)=0),"",MAX(0,MIN(I16,P$7+6)-MAX(H16,P$7)+1)/J16*E16)</f>
        <v/>
      </c>
      <c r="Q17" s="25">
        <f>IF(OR(E16="",J16="",N(Q$7)=0),"",MAX(0,MIN(I16,Q$7+6)-MAX(H16,Q$7)+1)/J16*E16)</f>
        <v/>
      </c>
      <c r="R17" s="25">
        <f>IF(OR(E16="",J16="",N(R$7)=0),"",MAX(0,MIN(I16,R$7+6)-MAX(H16,R$7)+1)/J16*E16)</f>
        <v/>
      </c>
      <c r="S17" s="25">
        <f>IF(OR(E16="",J16="",N(S$7)=0),"",MAX(0,MIN(I16,S$7+6)-MAX(H16,S$7)+1)/J16*E16)</f>
        <v/>
      </c>
      <c r="T17" s="25">
        <f>IF(OR(E16="",J16="",N(T$7)=0),"",MAX(0,MIN(I16,T$7+6)-MAX(H16,T$7)+1)/J16*E16)</f>
        <v/>
      </c>
      <c r="U17" s="25">
        <f>IF(OR(E16="",J16="",N(U$7)=0),"",MAX(0,MIN(I16,U$7+6)-MAX(H16,U$7)+1)/J16*E16)</f>
        <v/>
      </c>
      <c r="V17" s="25">
        <f>IF(OR(E16="",J16="",N(V$7)=0),"",MAX(0,MIN(I16,V$7+6)-MAX(H16,V$7)+1)/J16*E16)</f>
        <v/>
      </c>
      <c r="W17" s="25">
        <f>IF(OR(E16="",J16="",N(W$7)=0),"",MAX(0,MIN(I16,W$7+6)-MAX(H16,W$7)+1)/J16*E16)</f>
        <v/>
      </c>
      <c r="X17" s="25">
        <f>IF(OR(E16="",J16="",N(X$7)=0),"",MAX(0,MIN(I16,X$7+6)-MAX(H16,X$7)+1)/J16*E16)</f>
        <v/>
      </c>
      <c r="Y17" s="25">
        <f>IF(OR(E16="",J16="",N(Y$7)=0),"",MAX(0,MIN(I16,Y$7+6)-MAX(H16,Y$7)+1)/J16*E16)</f>
        <v/>
      </c>
      <c r="Z17" s="25">
        <f>IF(OR(E16="",J16="",N(Z$7)=0),"",MAX(0,MIN(I16,Z$7+6)-MAX(H16,Z$7)+1)/J16*E16)</f>
        <v/>
      </c>
      <c r="AA17" s="25">
        <f>IF(OR(E16="",J16="",N(AA$7)=0),"",MAX(0,MIN(I16,AA$7+6)-MAX(H16,AA$7)+1)/J16*E16)</f>
        <v/>
      </c>
      <c r="AB17" s="25">
        <f>IF(OR(E16="",J16="",N(AB$7)=0),"",MAX(0,MIN(I16,AB$7+6)-MAX(H16,AB$7)+1)/J16*E16)</f>
        <v/>
      </c>
      <c r="AC17" s="25">
        <f>IF(OR(E16="",J16="",N(AC$7)=0),"",MAX(0,MIN(I16,AC$7+6)-MAX(H16,AC$7)+1)/J16*E16)</f>
        <v/>
      </c>
      <c r="AD17" s="25">
        <f>IF(OR(E16="",J16="",N(AD$7)=0),"",MAX(0,MIN(I16,AD$7+6)-MAX(H16,AD$7)+1)/J16*E16)</f>
        <v/>
      </c>
      <c r="AE17" s="25">
        <f>IF(OR(E16="",J16="",N(AE$7)=0),"",MAX(0,MIN(I16,AE$7+6)-MAX(H16,AE$7)+1)/J16*E16)</f>
        <v/>
      </c>
      <c r="AF17" s="25">
        <f>IF(OR(E16="",J16="",N(AF$7)=0),"",MAX(0,MIN(I16,AF$7+6)-MAX(H16,AF$7)+1)/J16*E16)</f>
        <v/>
      </c>
      <c r="AG17" s="25">
        <f>IF(OR(E16="",J16="",N(AG$7)=0),"",MAX(0,MIN(I16,AG$7+6)-MAX(H16,AG$7)+1)/J16*E16)</f>
        <v/>
      </c>
      <c r="AH17" s="25">
        <f>IF(OR(E16="",J16="",N(AH$7)=0),"",MAX(0,MIN(I16,AH$7+6)-MAX(H16,AH$7)+1)/J16*E16)</f>
        <v/>
      </c>
      <c r="AI17" s="25">
        <f>IF(OR(E16="",J16="",N(AI$7)=0),"",MAX(0,MIN(I16,AI$7+6)-MAX(H16,AI$7)+1)/J16*E16)</f>
        <v/>
      </c>
      <c r="AJ17" s="25">
        <f>IF(OR(E16="",J16="",N(AJ$7)=0),"",MAX(0,MIN(I16,AJ$7+6)-MAX(H16,AJ$7)+1)/J16*E16)</f>
        <v/>
      </c>
      <c r="AK17" s="25">
        <f>IF(OR(E16="",J16="",N(AK$7)=0),"",MAX(0,MIN(I16,AK$7+6)-MAX(H16,AK$7)+1)/J16*E16)</f>
        <v/>
      </c>
      <c r="AL17" s="25">
        <f>IF(OR(E16="",J16="",N(AL$7)=0),"",MAX(0,MIN(I16,AL$7+6)-MAX(H16,AL$7)+1)/J16*E16)</f>
        <v/>
      </c>
      <c r="AM17" s="25">
        <f>IF(OR(E16="",J16="",N(AM$7)=0),"",MAX(0,MIN(I16,AM$7+6)-MAX(H16,AM$7)+1)/J16*E16)</f>
        <v/>
      </c>
      <c r="AN17" s="25">
        <f>IF(OR(E16="",J16="",N(AN$7)=0),"",MAX(0,MIN(I16,AN$7+6)-MAX(H16,AN$7)+1)/J16*E16)</f>
        <v/>
      </c>
      <c r="AO17" s="25">
        <f>IF(OR(E16="",J16="",N(AO$7)=0),"",MAX(0,MIN(I16,AO$7+6)-MAX(H16,AO$7)+1)/J16*E16)</f>
        <v/>
      </c>
      <c r="AP17" s="6" t="n"/>
      <c r="AQ17" s="6" t="n"/>
    </row>
    <row r="18" ht="11" customHeight="1">
      <c r="A18" s="14" t="n"/>
      <c r="B18" s="14" t="n"/>
      <c r="C18" s="15" t="n"/>
      <c r="D18" s="16" t="n"/>
      <c r="E18" s="17">
        <f>IF(OR(N(D18)=0,N($D$48)=0),"",D18/$D$48*100)</f>
        <v/>
      </c>
      <c r="F18" s="18" t="n"/>
      <c r="G18" s="14" t="n"/>
      <c r="H18" s="19" t="n"/>
      <c r="I18" s="19" t="n"/>
      <c r="J18" s="20">
        <f>IF(OR(N(H18)=0,N(I18)=0),"",I18-H18+1)</f>
        <v/>
      </c>
      <c r="K18" s="21" t="n"/>
      <c r="L18" s="22" t="inlineStr"/>
      <c r="M18" s="22" t="inlineStr"/>
      <c r="N18" s="22" t="inlineStr"/>
      <c r="O18" s="22" t="inlineStr"/>
      <c r="P18" s="22" t="inlineStr"/>
      <c r="Q18" s="22" t="inlineStr"/>
      <c r="R18" s="22" t="inlineStr"/>
      <c r="S18" s="22" t="inlineStr"/>
      <c r="T18" s="22" t="inlineStr"/>
      <c r="U18" s="22" t="inlineStr"/>
      <c r="V18" s="22" t="inlineStr"/>
      <c r="W18" s="22" t="inlineStr"/>
      <c r="X18" s="22" t="inlineStr"/>
      <c r="Y18" s="22" t="inlineStr"/>
      <c r="Z18" s="22" t="inlineStr"/>
      <c r="AA18" s="22" t="inlineStr"/>
      <c r="AB18" s="22" t="inlineStr"/>
      <c r="AC18" s="22" t="inlineStr"/>
      <c r="AD18" s="22" t="inlineStr"/>
      <c r="AE18" s="22" t="inlineStr"/>
      <c r="AF18" s="22" t="inlineStr"/>
      <c r="AG18" s="22" t="inlineStr"/>
      <c r="AH18" s="22" t="inlineStr"/>
      <c r="AI18" s="22" t="inlineStr"/>
      <c r="AJ18" s="22" t="inlineStr"/>
      <c r="AK18" s="22" t="inlineStr"/>
      <c r="AL18" s="22" t="inlineStr"/>
      <c r="AM18" s="22" t="inlineStr"/>
      <c r="AN18" s="22" t="inlineStr"/>
      <c r="AO18" s="22" t="inlineStr"/>
      <c r="AP18" s="23">
        <f>IF(E18="","",SUM(L19:AO19))</f>
        <v/>
      </c>
      <c r="AQ18" s="24">
        <f>IF(E18="","",ROUND(E18-AP18,2))</f>
        <v/>
      </c>
    </row>
    <row r="19" ht="13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25">
        <f>IF(OR(E18="",J18="",N(L$7)=0),"",MAX(0,MIN(I18,L$7+6)-MAX(H18,L$7)+1)/J18*E18)</f>
        <v/>
      </c>
      <c r="M19" s="25">
        <f>IF(OR(E18="",J18="",N(M$7)=0),"",MAX(0,MIN(I18,M$7+6)-MAX(H18,M$7)+1)/J18*E18)</f>
        <v/>
      </c>
      <c r="N19" s="25">
        <f>IF(OR(E18="",J18="",N(N$7)=0),"",MAX(0,MIN(I18,N$7+6)-MAX(H18,N$7)+1)/J18*E18)</f>
        <v/>
      </c>
      <c r="O19" s="25">
        <f>IF(OR(E18="",J18="",N(O$7)=0),"",MAX(0,MIN(I18,O$7+6)-MAX(H18,O$7)+1)/J18*E18)</f>
        <v/>
      </c>
      <c r="P19" s="25">
        <f>IF(OR(E18="",J18="",N(P$7)=0),"",MAX(0,MIN(I18,P$7+6)-MAX(H18,P$7)+1)/J18*E18)</f>
        <v/>
      </c>
      <c r="Q19" s="25">
        <f>IF(OR(E18="",J18="",N(Q$7)=0),"",MAX(0,MIN(I18,Q$7+6)-MAX(H18,Q$7)+1)/J18*E18)</f>
        <v/>
      </c>
      <c r="R19" s="25">
        <f>IF(OR(E18="",J18="",N(R$7)=0),"",MAX(0,MIN(I18,R$7+6)-MAX(H18,R$7)+1)/J18*E18)</f>
        <v/>
      </c>
      <c r="S19" s="25">
        <f>IF(OR(E18="",J18="",N(S$7)=0),"",MAX(0,MIN(I18,S$7+6)-MAX(H18,S$7)+1)/J18*E18)</f>
        <v/>
      </c>
      <c r="T19" s="25">
        <f>IF(OR(E18="",J18="",N(T$7)=0),"",MAX(0,MIN(I18,T$7+6)-MAX(H18,T$7)+1)/J18*E18)</f>
        <v/>
      </c>
      <c r="U19" s="25">
        <f>IF(OR(E18="",J18="",N(U$7)=0),"",MAX(0,MIN(I18,U$7+6)-MAX(H18,U$7)+1)/J18*E18)</f>
        <v/>
      </c>
      <c r="V19" s="25">
        <f>IF(OR(E18="",J18="",N(V$7)=0),"",MAX(0,MIN(I18,V$7+6)-MAX(H18,V$7)+1)/J18*E18)</f>
        <v/>
      </c>
      <c r="W19" s="25">
        <f>IF(OR(E18="",J18="",N(W$7)=0),"",MAX(0,MIN(I18,W$7+6)-MAX(H18,W$7)+1)/J18*E18)</f>
        <v/>
      </c>
      <c r="X19" s="25">
        <f>IF(OR(E18="",J18="",N(X$7)=0),"",MAX(0,MIN(I18,X$7+6)-MAX(H18,X$7)+1)/J18*E18)</f>
        <v/>
      </c>
      <c r="Y19" s="25">
        <f>IF(OR(E18="",J18="",N(Y$7)=0),"",MAX(0,MIN(I18,Y$7+6)-MAX(H18,Y$7)+1)/J18*E18)</f>
        <v/>
      </c>
      <c r="Z19" s="25">
        <f>IF(OR(E18="",J18="",N(Z$7)=0),"",MAX(0,MIN(I18,Z$7+6)-MAX(H18,Z$7)+1)/J18*E18)</f>
        <v/>
      </c>
      <c r="AA19" s="25">
        <f>IF(OR(E18="",J18="",N(AA$7)=0),"",MAX(0,MIN(I18,AA$7+6)-MAX(H18,AA$7)+1)/J18*E18)</f>
        <v/>
      </c>
      <c r="AB19" s="25">
        <f>IF(OR(E18="",J18="",N(AB$7)=0),"",MAX(0,MIN(I18,AB$7+6)-MAX(H18,AB$7)+1)/J18*E18)</f>
        <v/>
      </c>
      <c r="AC19" s="25">
        <f>IF(OR(E18="",J18="",N(AC$7)=0),"",MAX(0,MIN(I18,AC$7+6)-MAX(H18,AC$7)+1)/J18*E18)</f>
        <v/>
      </c>
      <c r="AD19" s="25">
        <f>IF(OR(E18="",J18="",N(AD$7)=0),"",MAX(0,MIN(I18,AD$7+6)-MAX(H18,AD$7)+1)/J18*E18)</f>
        <v/>
      </c>
      <c r="AE19" s="25">
        <f>IF(OR(E18="",J18="",N(AE$7)=0),"",MAX(0,MIN(I18,AE$7+6)-MAX(H18,AE$7)+1)/J18*E18)</f>
        <v/>
      </c>
      <c r="AF19" s="25">
        <f>IF(OR(E18="",J18="",N(AF$7)=0),"",MAX(0,MIN(I18,AF$7+6)-MAX(H18,AF$7)+1)/J18*E18)</f>
        <v/>
      </c>
      <c r="AG19" s="25">
        <f>IF(OR(E18="",J18="",N(AG$7)=0),"",MAX(0,MIN(I18,AG$7+6)-MAX(H18,AG$7)+1)/J18*E18)</f>
        <v/>
      </c>
      <c r="AH19" s="25">
        <f>IF(OR(E18="",J18="",N(AH$7)=0),"",MAX(0,MIN(I18,AH$7+6)-MAX(H18,AH$7)+1)/J18*E18)</f>
        <v/>
      </c>
      <c r="AI19" s="25">
        <f>IF(OR(E18="",J18="",N(AI$7)=0),"",MAX(0,MIN(I18,AI$7+6)-MAX(H18,AI$7)+1)/J18*E18)</f>
        <v/>
      </c>
      <c r="AJ19" s="25">
        <f>IF(OR(E18="",J18="",N(AJ$7)=0),"",MAX(0,MIN(I18,AJ$7+6)-MAX(H18,AJ$7)+1)/J18*E18)</f>
        <v/>
      </c>
      <c r="AK19" s="25">
        <f>IF(OR(E18="",J18="",N(AK$7)=0),"",MAX(0,MIN(I18,AK$7+6)-MAX(H18,AK$7)+1)/J18*E18)</f>
        <v/>
      </c>
      <c r="AL19" s="25">
        <f>IF(OR(E18="",J18="",N(AL$7)=0),"",MAX(0,MIN(I18,AL$7+6)-MAX(H18,AL$7)+1)/J18*E18)</f>
        <v/>
      </c>
      <c r="AM19" s="25">
        <f>IF(OR(E18="",J18="",N(AM$7)=0),"",MAX(0,MIN(I18,AM$7+6)-MAX(H18,AM$7)+1)/J18*E18)</f>
        <v/>
      </c>
      <c r="AN19" s="25">
        <f>IF(OR(E18="",J18="",N(AN$7)=0),"",MAX(0,MIN(I18,AN$7+6)-MAX(H18,AN$7)+1)/J18*E18)</f>
        <v/>
      </c>
      <c r="AO19" s="25">
        <f>IF(OR(E18="",J18="",N(AO$7)=0),"",MAX(0,MIN(I18,AO$7+6)-MAX(H18,AO$7)+1)/J18*E18)</f>
        <v/>
      </c>
      <c r="AP19" s="6" t="n"/>
      <c r="AQ19" s="6" t="n"/>
    </row>
    <row r="20" ht="11" customHeight="1">
      <c r="A20" s="14" t="n"/>
      <c r="B20" s="14" t="n"/>
      <c r="C20" s="15" t="n"/>
      <c r="D20" s="16" t="n"/>
      <c r="E20" s="17">
        <f>IF(OR(N(D20)=0,N($D$48)=0),"",D20/$D$48*100)</f>
        <v/>
      </c>
      <c r="F20" s="18" t="n"/>
      <c r="G20" s="14" t="n"/>
      <c r="H20" s="19" t="n"/>
      <c r="I20" s="19" t="n"/>
      <c r="J20" s="20">
        <f>IF(OR(N(H20)=0,N(I20)=0),"",I20-H20+1)</f>
        <v/>
      </c>
      <c r="K20" s="21" t="n"/>
      <c r="L20" s="22" t="inlineStr"/>
      <c r="M20" s="22" t="inlineStr"/>
      <c r="N20" s="22" t="inlineStr"/>
      <c r="O20" s="22" t="inlineStr"/>
      <c r="P20" s="22" t="inlineStr"/>
      <c r="Q20" s="22" t="inlineStr"/>
      <c r="R20" s="22" t="inlineStr"/>
      <c r="S20" s="22" t="inlineStr"/>
      <c r="T20" s="22" t="inlineStr"/>
      <c r="U20" s="22" t="inlineStr"/>
      <c r="V20" s="22" t="inlineStr"/>
      <c r="W20" s="22" t="inlineStr"/>
      <c r="X20" s="22" t="inlineStr"/>
      <c r="Y20" s="22" t="inlineStr"/>
      <c r="Z20" s="22" t="inlineStr"/>
      <c r="AA20" s="22" t="inlineStr"/>
      <c r="AB20" s="22" t="inlineStr"/>
      <c r="AC20" s="22" t="inlineStr"/>
      <c r="AD20" s="22" t="inlineStr"/>
      <c r="AE20" s="22" t="inlineStr"/>
      <c r="AF20" s="22" t="inlineStr"/>
      <c r="AG20" s="22" t="inlineStr"/>
      <c r="AH20" s="22" t="inlineStr"/>
      <c r="AI20" s="22" t="inlineStr"/>
      <c r="AJ20" s="22" t="inlineStr"/>
      <c r="AK20" s="22" t="inlineStr"/>
      <c r="AL20" s="22" t="inlineStr"/>
      <c r="AM20" s="22" t="inlineStr"/>
      <c r="AN20" s="22" t="inlineStr"/>
      <c r="AO20" s="22" t="inlineStr"/>
      <c r="AP20" s="23">
        <f>IF(E20="","",SUM(L21:AO21))</f>
        <v/>
      </c>
      <c r="AQ20" s="24">
        <f>IF(E20="","",ROUND(E20-AP20,2))</f>
        <v/>
      </c>
    </row>
    <row r="21" ht="13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25">
        <f>IF(OR(E20="",J20="",N(L$7)=0),"",MAX(0,MIN(I20,L$7+6)-MAX(H20,L$7)+1)/J20*E20)</f>
        <v/>
      </c>
      <c r="M21" s="25">
        <f>IF(OR(E20="",J20="",N(M$7)=0),"",MAX(0,MIN(I20,M$7+6)-MAX(H20,M$7)+1)/J20*E20)</f>
        <v/>
      </c>
      <c r="N21" s="25">
        <f>IF(OR(E20="",J20="",N(N$7)=0),"",MAX(0,MIN(I20,N$7+6)-MAX(H20,N$7)+1)/J20*E20)</f>
        <v/>
      </c>
      <c r="O21" s="25">
        <f>IF(OR(E20="",J20="",N(O$7)=0),"",MAX(0,MIN(I20,O$7+6)-MAX(H20,O$7)+1)/J20*E20)</f>
        <v/>
      </c>
      <c r="P21" s="25">
        <f>IF(OR(E20="",J20="",N(P$7)=0),"",MAX(0,MIN(I20,P$7+6)-MAX(H20,P$7)+1)/J20*E20)</f>
        <v/>
      </c>
      <c r="Q21" s="25">
        <f>IF(OR(E20="",J20="",N(Q$7)=0),"",MAX(0,MIN(I20,Q$7+6)-MAX(H20,Q$7)+1)/J20*E20)</f>
        <v/>
      </c>
      <c r="R21" s="25">
        <f>IF(OR(E20="",J20="",N(R$7)=0),"",MAX(0,MIN(I20,R$7+6)-MAX(H20,R$7)+1)/J20*E20)</f>
        <v/>
      </c>
      <c r="S21" s="25">
        <f>IF(OR(E20="",J20="",N(S$7)=0),"",MAX(0,MIN(I20,S$7+6)-MAX(H20,S$7)+1)/J20*E20)</f>
        <v/>
      </c>
      <c r="T21" s="25">
        <f>IF(OR(E20="",J20="",N(T$7)=0),"",MAX(0,MIN(I20,T$7+6)-MAX(H20,T$7)+1)/J20*E20)</f>
        <v/>
      </c>
      <c r="U21" s="25">
        <f>IF(OR(E20="",J20="",N(U$7)=0),"",MAX(0,MIN(I20,U$7+6)-MAX(H20,U$7)+1)/J20*E20)</f>
        <v/>
      </c>
      <c r="V21" s="25">
        <f>IF(OR(E20="",J20="",N(V$7)=0),"",MAX(0,MIN(I20,V$7+6)-MAX(H20,V$7)+1)/J20*E20)</f>
        <v/>
      </c>
      <c r="W21" s="25">
        <f>IF(OR(E20="",J20="",N(W$7)=0),"",MAX(0,MIN(I20,W$7+6)-MAX(H20,W$7)+1)/J20*E20)</f>
        <v/>
      </c>
      <c r="X21" s="25">
        <f>IF(OR(E20="",J20="",N(X$7)=0),"",MAX(0,MIN(I20,X$7+6)-MAX(H20,X$7)+1)/J20*E20)</f>
        <v/>
      </c>
      <c r="Y21" s="25">
        <f>IF(OR(E20="",J20="",N(Y$7)=0),"",MAX(0,MIN(I20,Y$7+6)-MAX(H20,Y$7)+1)/J20*E20)</f>
        <v/>
      </c>
      <c r="Z21" s="25">
        <f>IF(OR(E20="",J20="",N(Z$7)=0),"",MAX(0,MIN(I20,Z$7+6)-MAX(H20,Z$7)+1)/J20*E20)</f>
        <v/>
      </c>
      <c r="AA21" s="25">
        <f>IF(OR(E20="",J20="",N(AA$7)=0),"",MAX(0,MIN(I20,AA$7+6)-MAX(H20,AA$7)+1)/J20*E20)</f>
        <v/>
      </c>
      <c r="AB21" s="25">
        <f>IF(OR(E20="",J20="",N(AB$7)=0),"",MAX(0,MIN(I20,AB$7+6)-MAX(H20,AB$7)+1)/J20*E20)</f>
        <v/>
      </c>
      <c r="AC21" s="25">
        <f>IF(OR(E20="",J20="",N(AC$7)=0),"",MAX(0,MIN(I20,AC$7+6)-MAX(H20,AC$7)+1)/J20*E20)</f>
        <v/>
      </c>
      <c r="AD21" s="25">
        <f>IF(OR(E20="",J20="",N(AD$7)=0),"",MAX(0,MIN(I20,AD$7+6)-MAX(H20,AD$7)+1)/J20*E20)</f>
        <v/>
      </c>
      <c r="AE21" s="25">
        <f>IF(OR(E20="",J20="",N(AE$7)=0),"",MAX(0,MIN(I20,AE$7+6)-MAX(H20,AE$7)+1)/J20*E20)</f>
        <v/>
      </c>
      <c r="AF21" s="25">
        <f>IF(OR(E20="",J20="",N(AF$7)=0),"",MAX(0,MIN(I20,AF$7+6)-MAX(H20,AF$7)+1)/J20*E20)</f>
        <v/>
      </c>
      <c r="AG21" s="25">
        <f>IF(OR(E20="",J20="",N(AG$7)=0),"",MAX(0,MIN(I20,AG$7+6)-MAX(H20,AG$7)+1)/J20*E20)</f>
        <v/>
      </c>
      <c r="AH21" s="25">
        <f>IF(OR(E20="",J20="",N(AH$7)=0),"",MAX(0,MIN(I20,AH$7+6)-MAX(H20,AH$7)+1)/J20*E20)</f>
        <v/>
      </c>
      <c r="AI21" s="25">
        <f>IF(OR(E20="",J20="",N(AI$7)=0),"",MAX(0,MIN(I20,AI$7+6)-MAX(H20,AI$7)+1)/J20*E20)</f>
        <v/>
      </c>
      <c r="AJ21" s="25">
        <f>IF(OR(E20="",J20="",N(AJ$7)=0),"",MAX(0,MIN(I20,AJ$7+6)-MAX(H20,AJ$7)+1)/J20*E20)</f>
        <v/>
      </c>
      <c r="AK21" s="25">
        <f>IF(OR(E20="",J20="",N(AK$7)=0),"",MAX(0,MIN(I20,AK$7+6)-MAX(H20,AK$7)+1)/J20*E20)</f>
        <v/>
      </c>
      <c r="AL21" s="25">
        <f>IF(OR(E20="",J20="",N(AL$7)=0),"",MAX(0,MIN(I20,AL$7+6)-MAX(H20,AL$7)+1)/J20*E20)</f>
        <v/>
      </c>
      <c r="AM21" s="25">
        <f>IF(OR(E20="",J20="",N(AM$7)=0),"",MAX(0,MIN(I20,AM$7+6)-MAX(H20,AM$7)+1)/J20*E20)</f>
        <v/>
      </c>
      <c r="AN21" s="25">
        <f>IF(OR(E20="",J20="",N(AN$7)=0),"",MAX(0,MIN(I20,AN$7+6)-MAX(H20,AN$7)+1)/J20*E20)</f>
        <v/>
      </c>
      <c r="AO21" s="25">
        <f>IF(OR(E20="",J20="",N(AO$7)=0),"",MAX(0,MIN(I20,AO$7+6)-MAX(H20,AO$7)+1)/J20*E20)</f>
        <v/>
      </c>
      <c r="AP21" s="6" t="n"/>
      <c r="AQ21" s="6" t="n"/>
    </row>
    <row r="22" ht="11" customHeight="1">
      <c r="A22" s="14" t="n"/>
      <c r="B22" s="14" t="n"/>
      <c r="C22" s="15" t="n"/>
      <c r="D22" s="16" t="n"/>
      <c r="E22" s="17">
        <f>IF(OR(N(D22)=0,N($D$48)=0),"",D22/$D$48*100)</f>
        <v/>
      </c>
      <c r="F22" s="18" t="n"/>
      <c r="G22" s="14" t="n"/>
      <c r="H22" s="19" t="n"/>
      <c r="I22" s="19" t="n"/>
      <c r="J22" s="20">
        <f>IF(OR(N(H22)=0,N(I22)=0),"",I22-H22+1)</f>
        <v/>
      </c>
      <c r="K22" s="21" t="n"/>
      <c r="L22" s="22" t="inlineStr"/>
      <c r="M22" s="22" t="inlineStr"/>
      <c r="N22" s="22" t="inlineStr"/>
      <c r="O22" s="22" t="inlineStr"/>
      <c r="P22" s="22" t="inlineStr"/>
      <c r="Q22" s="22" t="inlineStr"/>
      <c r="R22" s="22" t="inlineStr"/>
      <c r="S22" s="22" t="inlineStr"/>
      <c r="T22" s="22" t="inlineStr"/>
      <c r="U22" s="22" t="inlineStr"/>
      <c r="V22" s="22" t="inlineStr"/>
      <c r="W22" s="22" t="inlineStr"/>
      <c r="X22" s="22" t="inlineStr"/>
      <c r="Y22" s="22" t="inlineStr"/>
      <c r="Z22" s="22" t="inlineStr"/>
      <c r="AA22" s="22" t="inlineStr"/>
      <c r="AB22" s="22" t="inlineStr"/>
      <c r="AC22" s="22" t="inlineStr"/>
      <c r="AD22" s="22" t="inlineStr"/>
      <c r="AE22" s="22" t="inlineStr"/>
      <c r="AF22" s="22" t="inlineStr"/>
      <c r="AG22" s="22" t="inlineStr"/>
      <c r="AH22" s="22" t="inlineStr"/>
      <c r="AI22" s="22" t="inlineStr"/>
      <c r="AJ22" s="22" t="inlineStr"/>
      <c r="AK22" s="22" t="inlineStr"/>
      <c r="AL22" s="22" t="inlineStr"/>
      <c r="AM22" s="22" t="inlineStr"/>
      <c r="AN22" s="22" t="inlineStr"/>
      <c r="AO22" s="22" t="inlineStr"/>
      <c r="AP22" s="23">
        <f>IF(E22="","",SUM(L23:AO23))</f>
        <v/>
      </c>
      <c r="AQ22" s="24">
        <f>IF(E22="","",ROUND(E22-AP22,2))</f>
        <v/>
      </c>
    </row>
    <row r="23" ht="13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25">
        <f>IF(OR(E22="",J22="",N(L$7)=0),"",MAX(0,MIN(I22,L$7+6)-MAX(H22,L$7)+1)/J22*E22)</f>
        <v/>
      </c>
      <c r="M23" s="25">
        <f>IF(OR(E22="",J22="",N(M$7)=0),"",MAX(0,MIN(I22,M$7+6)-MAX(H22,M$7)+1)/J22*E22)</f>
        <v/>
      </c>
      <c r="N23" s="25">
        <f>IF(OR(E22="",J22="",N(N$7)=0),"",MAX(0,MIN(I22,N$7+6)-MAX(H22,N$7)+1)/J22*E22)</f>
        <v/>
      </c>
      <c r="O23" s="25">
        <f>IF(OR(E22="",J22="",N(O$7)=0),"",MAX(0,MIN(I22,O$7+6)-MAX(H22,O$7)+1)/J22*E22)</f>
        <v/>
      </c>
      <c r="P23" s="25">
        <f>IF(OR(E22="",J22="",N(P$7)=0),"",MAX(0,MIN(I22,P$7+6)-MAX(H22,P$7)+1)/J22*E22)</f>
        <v/>
      </c>
      <c r="Q23" s="25">
        <f>IF(OR(E22="",J22="",N(Q$7)=0),"",MAX(0,MIN(I22,Q$7+6)-MAX(H22,Q$7)+1)/J22*E22)</f>
        <v/>
      </c>
      <c r="R23" s="25">
        <f>IF(OR(E22="",J22="",N(R$7)=0),"",MAX(0,MIN(I22,R$7+6)-MAX(H22,R$7)+1)/J22*E22)</f>
        <v/>
      </c>
      <c r="S23" s="25">
        <f>IF(OR(E22="",J22="",N(S$7)=0),"",MAX(0,MIN(I22,S$7+6)-MAX(H22,S$7)+1)/J22*E22)</f>
        <v/>
      </c>
      <c r="T23" s="25">
        <f>IF(OR(E22="",J22="",N(T$7)=0),"",MAX(0,MIN(I22,T$7+6)-MAX(H22,T$7)+1)/J22*E22)</f>
        <v/>
      </c>
      <c r="U23" s="25">
        <f>IF(OR(E22="",J22="",N(U$7)=0),"",MAX(0,MIN(I22,U$7+6)-MAX(H22,U$7)+1)/J22*E22)</f>
        <v/>
      </c>
      <c r="V23" s="25">
        <f>IF(OR(E22="",J22="",N(V$7)=0),"",MAX(0,MIN(I22,V$7+6)-MAX(H22,V$7)+1)/J22*E22)</f>
        <v/>
      </c>
      <c r="W23" s="25">
        <f>IF(OR(E22="",J22="",N(W$7)=0),"",MAX(0,MIN(I22,W$7+6)-MAX(H22,W$7)+1)/J22*E22)</f>
        <v/>
      </c>
      <c r="X23" s="25">
        <f>IF(OR(E22="",J22="",N(X$7)=0),"",MAX(0,MIN(I22,X$7+6)-MAX(H22,X$7)+1)/J22*E22)</f>
        <v/>
      </c>
      <c r="Y23" s="25">
        <f>IF(OR(E22="",J22="",N(Y$7)=0),"",MAX(0,MIN(I22,Y$7+6)-MAX(H22,Y$7)+1)/J22*E22)</f>
        <v/>
      </c>
      <c r="Z23" s="25">
        <f>IF(OR(E22="",J22="",N(Z$7)=0),"",MAX(0,MIN(I22,Z$7+6)-MAX(H22,Z$7)+1)/J22*E22)</f>
        <v/>
      </c>
      <c r="AA23" s="25">
        <f>IF(OR(E22="",J22="",N(AA$7)=0),"",MAX(0,MIN(I22,AA$7+6)-MAX(H22,AA$7)+1)/J22*E22)</f>
        <v/>
      </c>
      <c r="AB23" s="25">
        <f>IF(OR(E22="",J22="",N(AB$7)=0),"",MAX(0,MIN(I22,AB$7+6)-MAX(H22,AB$7)+1)/J22*E22)</f>
        <v/>
      </c>
      <c r="AC23" s="25">
        <f>IF(OR(E22="",J22="",N(AC$7)=0),"",MAX(0,MIN(I22,AC$7+6)-MAX(H22,AC$7)+1)/J22*E22)</f>
        <v/>
      </c>
      <c r="AD23" s="25">
        <f>IF(OR(E22="",J22="",N(AD$7)=0),"",MAX(0,MIN(I22,AD$7+6)-MAX(H22,AD$7)+1)/J22*E22)</f>
        <v/>
      </c>
      <c r="AE23" s="25">
        <f>IF(OR(E22="",J22="",N(AE$7)=0),"",MAX(0,MIN(I22,AE$7+6)-MAX(H22,AE$7)+1)/J22*E22)</f>
        <v/>
      </c>
      <c r="AF23" s="25">
        <f>IF(OR(E22="",J22="",N(AF$7)=0),"",MAX(0,MIN(I22,AF$7+6)-MAX(H22,AF$7)+1)/J22*E22)</f>
        <v/>
      </c>
      <c r="AG23" s="25">
        <f>IF(OR(E22="",J22="",N(AG$7)=0),"",MAX(0,MIN(I22,AG$7+6)-MAX(H22,AG$7)+1)/J22*E22)</f>
        <v/>
      </c>
      <c r="AH23" s="25">
        <f>IF(OR(E22="",J22="",N(AH$7)=0),"",MAX(0,MIN(I22,AH$7+6)-MAX(H22,AH$7)+1)/J22*E22)</f>
        <v/>
      </c>
      <c r="AI23" s="25">
        <f>IF(OR(E22="",J22="",N(AI$7)=0),"",MAX(0,MIN(I22,AI$7+6)-MAX(H22,AI$7)+1)/J22*E22)</f>
        <v/>
      </c>
      <c r="AJ23" s="25">
        <f>IF(OR(E22="",J22="",N(AJ$7)=0),"",MAX(0,MIN(I22,AJ$7+6)-MAX(H22,AJ$7)+1)/J22*E22)</f>
        <v/>
      </c>
      <c r="AK23" s="25">
        <f>IF(OR(E22="",J22="",N(AK$7)=0),"",MAX(0,MIN(I22,AK$7+6)-MAX(H22,AK$7)+1)/J22*E22)</f>
        <v/>
      </c>
      <c r="AL23" s="25">
        <f>IF(OR(E22="",J22="",N(AL$7)=0),"",MAX(0,MIN(I22,AL$7+6)-MAX(H22,AL$7)+1)/J22*E22)</f>
        <v/>
      </c>
      <c r="AM23" s="25">
        <f>IF(OR(E22="",J22="",N(AM$7)=0),"",MAX(0,MIN(I22,AM$7+6)-MAX(H22,AM$7)+1)/J22*E22)</f>
        <v/>
      </c>
      <c r="AN23" s="25">
        <f>IF(OR(E22="",J22="",N(AN$7)=0),"",MAX(0,MIN(I22,AN$7+6)-MAX(H22,AN$7)+1)/J22*E22)</f>
        <v/>
      </c>
      <c r="AO23" s="25">
        <f>IF(OR(E22="",J22="",N(AO$7)=0),"",MAX(0,MIN(I22,AO$7+6)-MAX(H22,AO$7)+1)/J22*E22)</f>
        <v/>
      </c>
      <c r="AP23" s="6" t="n"/>
      <c r="AQ23" s="6" t="n"/>
    </row>
    <row r="24" ht="11" customHeight="1">
      <c r="A24" s="14" t="n"/>
      <c r="B24" s="14" t="n"/>
      <c r="C24" s="15" t="n"/>
      <c r="D24" s="16" t="n"/>
      <c r="E24" s="17">
        <f>IF(OR(N(D24)=0,N($D$48)=0),"",D24/$D$48*100)</f>
        <v/>
      </c>
      <c r="F24" s="18" t="n"/>
      <c r="G24" s="14" t="n"/>
      <c r="H24" s="19" t="n"/>
      <c r="I24" s="19" t="n"/>
      <c r="J24" s="20">
        <f>IF(OR(N(H24)=0,N(I24)=0),"",I24-H24+1)</f>
        <v/>
      </c>
      <c r="K24" s="21" t="n"/>
      <c r="L24" s="22" t="inlineStr"/>
      <c r="M24" s="22" t="inlineStr"/>
      <c r="N24" s="22" t="inlineStr"/>
      <c r="O24" s="22" t="inlineStr"/>
      <c r="P24" s="22" t="inlineStr"/>
      <c r="Q24" s="22" t="inlineStr"/>
      <c r="R24" s="22" t="inlineStr"/>
      <c r="S24" s="22" t="inlineStr"/>
      <c r="T24" s="22" t="inlineStr"/>
      <c r="U24" s="22" t="inlineStr"/>
      <c r="V24" s="22" t="inlineStr"/>
      <c r="W24" s="22" t="inlineStr"/>
      <c r="X24" s="22" t="inlineStr"/>
      <c r="Y24" s="22" t="inlineStr"/>
      <c r="Z24" s="22" t="inlineStr"/>
      <c r="AA24" s="22" t="inlineStr"/>
      <c r="AB24" s="22" t="inlineStr"/>
      <c r="AC24" s="22" t="inlineStr"/>
      <c r="AD24" s="22" t="inlineStr"/>
      <c r="AE24" s="22" t="inlineStr"/>
      <c r="AF24" s="22" t="inlineStr"/>
      <c r="AG24" s="22" t="inlineStr"/>
      <c r="AH24" s="22" t="inlineStr"/>
      <c r="AI24" s="22" t="inlineStr"/>
      <c r="AJ24" s="22" t="inlineStr"/>
      <c r="AK24" s="22" t="inlineStr"/>
      <c r="AL24" s="22" t="inlineStr"/>
      <c r="AM24" s="22" t="inlineStr"/>
      <c r="AN24" s="22" t="inlineStr"/>
      <c r="AO24" s="22" t="inlineStr"/>
      <c r="AP24" s="23">
        <f>IF(E24="","",SUM(L25:AO25))</f>
        <v/>
      </c>
      <c r="AQ24" s="24">
        <f>IF(E24="","",ROUND(E24-AP24,2))</f>
        <v/>
      </c>
    </row>
    <row r="25" ht="13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25">
        <f>IF(OR(E24="",J24="",N(L$7)=0),"",MAX(0,MIN(I24,L$7+6)-MAX(H24,L$7)+1)/J24*E24)</f>
        <v/>
      </c>
      <c r="M25" s="25">
        <f>IF(OR(E24="",J24="",N(M$7)=0),"",MAX(0,MIN(I24,M$7+6)-MAX(H24,M$7)+1)/J24*E24)</f>
        <v/>
      </c>
      <c r="N25" s="25">
        <f>IF(OR(E24="",J24="",N(N$7)=0),"",MAX(0,MIN(I24,N$7+6)-MAX(H24,N$7)+1)/J24*E24)</f>
        <v/>
      </c>
      <c r="O25" s="25">
        <f>IF(OR(E24="",J24="",N(O$7)=0),"",MAX(0,MIN(I24,O$7+6)-MAX(H24,O$7)+1)/J24*E24)</f>
        <v/>
      </c>
      <c r="P25" s="25">
        <f>IF(OR(E24="",J24="",N(P$7)=0),"",MAX(0,MIN(I24,P$7+6)-MAX(H24,P$7)+1)/J24*E24)</f>
        <v/>
      </c>
      <c r="Q25" s="25">
        <f>IF(OR(E24="",J24="",N(Q$7)=0),"",MAX(0,MIN(I24,Q$7+6)-MAX(H24,Q$7)+1)/J24*E24)</f>
        <v/>
      </c>
      <c r="R25" s="25">
        <f>IF(OR(E24="",J24="",N(R$7)=0),"",MAX(0,MIN(I24,R$7+6)-MAX(H24,R$7)+1)/J24*E24)</f>
        <v/>
      </c>
      <c r="S25" s="25">
        <f>IF(OR(E24="",J24="",N(S$7)=0),"",MAX(0,MIN(I24,S$7+6)-MAX(H24,S$7)+1)/J24*E24)</f>
        <v/>
      </c>
      <c r="T25" s="25">
        <f>IF(OR(E24="",J24="",N(T$7)=0),"",MAX(0,MIN(I24,T$7+6)-MAX(H24,T$7)+1)/J24*E24)</f>
        <v/>
      </c>
      <c r="U25" s="25">
        <f>IF(OR(E24="",J24="",N(U$7)=0),"",MAX(0,MIN(I24,U$7+6)-MAX(H24,U$7)+1)/J24*E24)</f>
        <v/>
      </c>
      <c r="V25" s="25">
        <f>IF(OR(E24="",J24="",N(V$7)=0),"",MAX(0,MIN(I24,V$7+6)-MAX(H24,V$7)+1)/J24*E24)</f>
        <v/>
      </c>
      <c r="W25" s="25">
        <f>IF(OR(E24="",J24="",N(W$7)=0),"",MAX(0,MIN(I24,W$7+6)-MAX(H24,W$7)+1)/J24*E24)</f>
        <v/>
      </c>
      <c r="X25" s="25">
        <f>IF(OR(E24="",J24="",N(X$7)=0),"",MAX(0,MIN(I24,X$7+6)-MAX(H24,X$7)+1)/J24*E24)</f>
        <v/>
      </c>
      <c r="Y25" s="25">
        <f>IF(OR(E24="",J24="",N(Y$7)=0),"",MAX(0,MIN(I24,Y$7+6)-MAX(H24,Y$7)+1)/J24*E24)</f>
        <v/>
      </c>
      <c r="Z25" s="25">
        <f>IF(OR(E24="",J24="",N(Z$7)=0),"",MAX(0,MIN(I24,Z$7+6)-MAX(H24,Z$7)+1)/J24*E24)</f>
        <v/>
      </c>
      <c r="AA25" s="25">
        <f>IF(OR(E24="",J24="",N(AA$7)=0),"",MAX(0,MIN(I24,AA$7+6)-MAX(H24,AA$7)+1)/J24*E24)</f>
        <v/>
      </c>
      <c r="AB25" s="25">
        <f>IF(OR(E24="",J24="",N(AB$7)=0),"",MAX(0,MIN(I24,AB$7+6)-MAX(H24,AB$7)+1)/J24*E24)</f>
        <v/>
      </c>
      <c r="AC25" s="25">
        <f>IF(OR(E24="",J24="",N(AC$7)=0),"",MAX(0,MIN(I24,AC$7+6)-MAX(H24,AC$7)+1)/J24*E24)</f>
        <v/>
      </c>
      <c r="AD25" s="25">
        <f>IF(OR(E24="",J24="",N(AD$7)=0),"",MAX(0,MIN(I24,AD$7+6)-MAX(H24,AD$7)+1)/J24*E24)</f>
        <v/>
      </c>
      <c r="AE25" s="25">
        <f>IF(OR(E24="",J24="",N(AE$7)=0),"",MAX(0,MIN(I24,AE$7+6)-MAX(H24,AE$7)+1)/J24*E24)</f>
        <v/>
      </c>
      <c r="AF25" s="25">
        <f>IF(OR(E24="",J24="",N(AF$7)=0),"",MAX(0,MIN(I24,AF$7+6)-MAX(H24,AF$7)+1)/J24*E24)</f>
        <v/>
      </c>
      <c r="AG25" s="25">
        <f>IF(OR(E24="",J24="",N(AG$7)=0),"",MAX(0,MIN(I24,AG$7+6)-MAX(H24,AG$7)+1)/J24*E24)</f>
        <v/>
      </c>
      <c r="AH25" s="25">
        <f>IF(OR(E24="",J24="",N(AH$7)=0),"",MAX(0,MIN(I24,AH$7+6)-MAX(H24,AH$7)+1)/J24*E24)</f>
        <v/>
      </c>
      <c r="AI25" s="25">
        <f>IF(OR(E24="",J24="",N(AI$7)=0),"",MAX(0,MIN(I24,AI$7+6)-MAX(H24,AI$7)+1)/J24*E24)</f>
        <v/>
      </c>
      <c r="AJ25" s="25">
        <f>IF(OR(E24="",J24="",N(AJ$7)=0),"",MAX(0,MIN(I24,AJ$7+6)-MAX(H24,AJ$7)+1)/J24*E24)</f>
        <v/>
      </c>
      <c r="AK25" s="25">
        <f>IF(OR(E24="",J24="",N(AK$7)=0),"",MAX(0,MIN(I24,AK$7+6)-MAX(H24,AK$7)+1)/J24*E24)</f>
        <v/>
      </c>
      <c r="AL25" s="25">
        <f>IF(OR(E24="",J24="",N(AL$7)=0),"",MAX(0,MIN(I24,AL$7+6)-MAX(H24,AL$7)+1)/J24*E24)</f>
        <v/>
      </c>
      <c r="AM25" s="25">
        <f>IF(OR(E24="",J24="",N(AM$7)=0),"",MAX(0,MIN(I24,AM$7+6)-MAX(H24,AM$7)+1)/J24*E24)</f>
        <v/>
      </c>
      <c r="AN25" s="25">
        <f>IF(OR(E24="",J24="",N(AN$7)=0),"",MAX(0,MIN(I24,AN$7+6)-MAX(H24,AN$7)+1)/J24*E24)</f>
        <v/>
      </c>
      <c r="AO25" s="25">
        <f>IF(OR(E24="",J24="",N(AO$7)=0),"",MAX(0,MIN(I24,AO$7+6)-MAX(H24,AO$7)+1)/J24*E24)</f>
        <v/>
      </c>
      <c r="AP25" s="6" t="n"/>
      <c r="AQ25" s="6" t="n"/>
    </row>
    <row r="26" ht="11" customHeight="1">
      <c r="A26" s="14" t="n"/>
      <c r="B26" s="14" t="n"/>
      <c r="C26" s="15" t="n"/>
      <c r="D26" s="16" t="n"/>
      <c r="E26" s="17">
        <f>IF(OR(N(D26)=0,N($D$48)=0),"",D26/$D$48*100)</f>
        <v/>
      </c>
      <c r="F26" s="18" t="n"/>
      <c r="G26" s="14" t="n"/>
      <c r="H26" s="19" t="n"/>
      <c r="I26" s="19" t="n"/>
      <c r="J26" s="20">
        <f>IF(OR(N(H26)=0,N(I26)=0),"",I26-H26+1)</f>
        <v/>
      </c>
      <c r="K26" s="21" t="n"/>
      <c r="L26" s="22" t="inlineStr"/>
      <c r="M26" s="22" t="inlineStr"/>
      <c r="N26" s="22" t="inlineStr"/>
      <c r="O26" s="22" t="inlineStr"/>
      <c r="P26" s="22" t="inlineStr"/>
      <c r="Q26" s="22" t="inlineStr"/>
      <c r="R26" s="22" t="inlineStr"/>
      <c r="S26" s="22" t="inlineStr"/>
      <c r="T26" s="22" t="inlineStr"/>
      <c r="U26" s="22" t="inlineStr"/>
      <c r="V26" s="22" t="inlineStr"/>
      <c r="W26" s="22" t="inlineStr"/>
      <c r="X26" s="22" t="inlineStr"/>
      <c r="Y26" s="22" t="inlineStr"/>
      <c r="Z26" s="22" t="inlineStr"/>
      <c r="AA26" s="22" t="inlineStr"/>
      <c r="AB26" s="22" t="inlineStr"/>
      <c r="AC26" s="22" t="inlineStr"/>
      <c r="AD26" s="22" t="inlineStr"/>
      <c r="AE26" s="22" t="inlineStr"/>
      <c r="AF26" s="22" t="inlineStr"/>
      <c r="AG26" s="22" t="inlineStr"/>
      <c r="AH26" s="22" t="inlineStr"/>
      <c r="AI26" s="22" t="inlineStr"/>
      <c r="AJ26" s="22" t="inlineStr"/>
      <c r="AK26" s="22" t="inlineStr"/>
      <c r="AL26" s="22" t="inlineStr"/>
      <c r="AM26" s="22" t="inlineStr"/>
      <c r="AN26" s="22" t="inlineStr"/>
      <c r="AO26" s="22" t="inlineStr"/>
      <c r="AP26" s="23">
        <f>IF(E26="","",SUM(L27:AO27))</f>
        <v/>
      </c>
      <c r="AQ26" s="24">
        <f>IF(E26="","",ROUND(E26-AP26,2))</f>
        <v/>
      </c>
    </row>
    <row r="27" ht="13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25">
        <f>IF(OR(E26="",J26="",N(L$7)=0),"",MAX(0,MIN(I26,L$7+6)-MAX(H26,L$7)+1)/J26*E26)</f>
        <v/>
      </c>
      <c r="M27" s="25">
        <f>IF(OR(E26="",J26="",N(M$7)=0),"",MAX(0,MIN(I26,M$7+6)-MAX(H26,M$7)+1)/J26*E26)</f>
        <v/>
      </c>
      <c r="N27" s="25">
        <f>IF(OR(E26="",J26="",N(N$7)=0),"",MAX(0,MIN(I26,N$7+6)-MAX(H26,N$7)+1)/J26*E26)</f>
        <v/>
      </c>
      <c r="O27" s="25">
        <f>IF(OR(E26="",J26="",N(O$7)=0),"",MAX(0,MIN(I26,O$7+6)-MAX(H26,O$7)+1)/J26*E26)</f>
        <v/>
      </c>
      <c r="P27" s="25">
        <f>IF(OR(E26="",J26="",N(P$7)=0),"",MAX(0,MIN(I26,P$7+6)-MAX(H26,P$7)+1)/J26*E26)</f>
        <v/>
      </c>
      <c r="Q27" s="25">
        <f>IF(OR(E26="",J26="",N(Q$7)=0),"",MAX(0,MIN(I26,Q$7+6)-MAX(H26,Q$7)+1)/J26*E26)</f>
        <v/>
      </c>
      <c r="R27" s="25">
        <f>IF(OR(E26="",J26="",N(R$7)=0),"",MAX(0,MIN(I26,R$7+6)-MAX(H26,R$7)+1)/J26*E26)</f>
        <v/>
      </c>
      <c r="S27" s="25">
        <f>IF(OR(E26="",J26="",N(S$7)=0),"",MAX(0,MIN(I26,S$7+6)-MAX(H26,S$7)+1)/J26*E26)</f>
        <v/>
      </c>
      <c r="T27" s="25">
        <f>IF(OR(E26="",J26="",N(T$7)=0),"",MAX(0,MIN(I26,T$7+6)-MAX(H26,T$7)+1)/J26*E26)</f>
        <v/>
      </c>
      <c r="U27" s="25">
        <f>IF(OR(E26="",J26="",N(U$7)=0),"",MAX(0,MIN(I26,U$7+6)-MAX(H26,U$7)+1)/J26*E26)</f>
        <v/>
      </c>
      <c r="V27" s="25">
        <f>IF(OR(E26="",J26="",N(V$7)=0),"",MAX(0,MIN(I26,V$7+6)-MAX(H26,V$7)+1)/J26*E26)</f>
        <v/>
      </c>
      <c r="W27" s="25">
        <f>IF(OR(E26="",J26="",N(W$7)=0),"",MAX(0,MIN(I26,W$7+6)-MAX(H26,W$7)+1)/J26*E26)</f>
        <v/>
      </c>
      <c r="X27" s="25">
        <f>IF(OR(E26="",J26="",N(X$7)=0),"",MAX(0,MIN(I26,X$7+6)-MAX(H26,X$7)+1)/J26*E26)</f>
        <v/>
      </c>
      <c r="Y27" s="25">
        <f>IF(OR(E26="",J26="",N(Y$7)=0),"",MAX(0,MIN(I26,Y$7+6)-MAX(H26,Y$7)+1)/J26*E26)</f>
        <v/>
      </c>
      <c r="Z27" s="25">
        <f>IF(OR(E26="",J26="",N(Z$7)=0),"",MAX(0,MIN(I26,Z$7+6)-MAX(H26,Z$7)+1)/J26*E26)</f>
        <v/>
      </c>
      <c r="AA27" s="25">
        <f>IF(OR(E26="",J26="",N(AA$7)=0),"",MAX(0,MIN(I26,AA$7+6)-MAX(H26,AA$7)+1)/J26*E26)</f>
        <v/>
      </c>
      <c r="AB27" s="25">
        <f>IF(OR(E26="",J26="",N(AB$7)=0),"",MAX(0,MIN(I26,AB$7+6)-MAX(H26,AB$7)+1)/J26*E26)</f>
        <v/>
      </c>
      <c r="AC27" s="25">
        <f>IF(OR(E26="",J26="",N(AC$7)=0),"",MAX(0,MIN(I26,AC$7+6)-MAX(H26,AC$7)+1)/J26*E26)</f>
        <v/>
      </c>
      <c r="AD27" s="25">
        <f>IF(OR(E26="",J26="",N(AD$7)=0),"",MAX(0,MIN(I26,AD$7+6)-MAX(H26,AD$7)+1)/J26*E26)</f>
        <v/>
      </c>
      <c r="AE27" s="25">
        <f>IF(OR(E26="",J26="",N(AE$7)=0),"",MAX(0,MIN(I26,AE$7+6)-MAX(H26,AE$7)+1)/J26*E26)</f>
        <v/>
      </c>
      <c r="AF27" s="25">
        <f>IF(OR(E26="",J26="",N(AF$7)=0),"",MAX(0,MIN(I26,AF$7+6)-MAX(H26,AF$7)+1)/J26*E26)</f>
        <v/>
      </c>
      <c r="AG27" s="25">
        <f>IF(OR(E26="",J26="",N(AG$7)=0),"",MAX(0,MIN(I26,AG$7+6)-MAX(H26,AG$7)+1)/J26*E26)</f>
        <v/>
      </c>
      <c r="AH27" s="25">
        <f>IF(OR(E26="",J26="",N(AH$7)=0),"",MAX(0,MIN(I26,AH$7+6)-MAX(H26,AH$7)+1)/J26*E26)</f>
        <v/>
      </c>
      <c r="AI27" s="25">
        <f>IF(OR(E26="",J26="",N(AI$7)=0),"",MAX(0,MIN(I26,AI$7+6)-MAX(H26,AI$7)+1)/J26*E26)</f>
        <v/>
      </c>
      <c r="AJ27" s="25">
        <f>IF(OR(E26="",J26="",N(AJ$7)=0),"",MAX(0,MIN(I26,AJ$7+6)-MAX(H26,AJ$7)+1)/J26*E26)</f>
        <v/>
      </c>
      <c r="AK27" s="25">
        <f>IF(OR(E26="",J26="",N(AK$7)=0),"",MAX(0,MIN(I26,AK$7+6)-MAX(H26,AK$7)+1)/J26*E26)</f>
        <v/>
      </c>
      <c r="AL27" s="25">
        <f>IF(OR(E26="",J26="",N(AL$7)=0),"",MAX(0,MIN(I26,AL$7+6)-MAX(H26,AL$7)+1)/J26*E26)</f>
        <v/>
      </c>
      <c r="AM27" s="25">
        <f>IF(OR(E26="",J26="",N(AM$7)=0),"",MAX(0,MIN(I26,AM$7+6)-MAX(H26,AM$7)+1)/J26*E26)</f>
        <v/>
      </c>
      <c r="AN27" s="25">
        <f>IF(OR(E26="",J26="",N(AN$7)=0),"",MAX(0,MIN(I26,AN$7+6)-MAX(H26,AN$7)+1)/J26*E26)</f>
        <v/>
      </c>
      <c r="AO27" s="25">
        <f>IF(OR(E26="",J26="",N(AO$7)=0),"",MAX(0,MIN(I26,AO$7+6)-MAX(H26,AO$7)+1)/J26*E26)</f>
        <v/>
      </c>
      <c r="AP27" s="6" t="n"/>
      <c r="AQ27" s="6" t="n"/>
    </row>
    <row r="28" ht="11" customHeight="1">
      <c r="A28" s="14" t="n"/>
      <c r="B28" s="14" t="n"/>
      <c r="C28" s="15" t="n"/>
      <c r="D28" s="16" t="n"/>
      <c r="E28" s="17">
        <f>IF(OR(N(D28)=0,N($D$48)=0),"",D28/$D$48*100)</f>
        <v/>
      </c>
      <c r="F28" s="18" t="n"/>
      <c r="G28" s="14" t="n"/>
      <c r="H28" s="19" t="n"/>
      <c r="I28" s="19" t="n"/>
      <c r="J28" s="20">
        <f>IF(OR(N(H28)=0,N(I28)=0),"",I28-H28+1)</f>
        <v/>
      </c>
      <c r="K28" s="21" t="n"/>
      <c r="L28" s="22" t="inlineStr"/>
      <c r="M28" s="22" t="inlineStr"/>
      <c r="N28" s="22" t="inlineStr"/>
      <c r="O28" s="22" t="inlineStr"/>
      <c r="P28" s="22" t="inlineStr"/>
      <c r="Q28" s="22" t="inlineStr"/>
      <c r="R28" s="22" t="inlineStr"/>
      <c r="S28" s="22" t="inlineStr"/>
      <c r="T28" s="22" t="inlineStr"/>
      <c r="U28" s="22" t="inlineStr"/>
      <c r="V28" s="22" t="inlineStr"/>
      <c r="W28" s="22" t="inlineStr"/>
      <c r="X28" s="22" t="inlineStr"/>
      <c r="Y28" s="22" t="inlineStr"/>
      <c r="Z28" s="22" t="inlineStr"/>
      <c r="AA28" s="22" t="inlineStr"/>
      <c r="AB28" s="22" t="inlineStr"/>
      <c r="AC28" s="22" t="inlineStr"/>
      <c r="AD28" s="22" t="inlineStr"/>
      <c r="AE28" s="22" t="inlineStr"/>
      <c r="AF28" s="22" t="inlineStr"/>
      <c r="AG28" s="22" t="inlineStr"/>
      <c r="AH28" s="22" t="inlineStr"/>
      <c r="AI28" s="22" t="inlineStr"/>
      <c r="AJ28" s="22" t="inlineStr"/>
      <c r="AK28" s="22" t="inlineStr"/>
      <c r="AL28" s="22" t="inlineStr"/>
      <c r="AM28" s="22" t="inlineStr"/>
      <c r="AN28" s="22" t="inlineStr"/>
      <c r="AO28" s="22" t="inlineStr"/>
      <c r="AP28" s="23">
        <f>IF(E28="","",SUM(L29:AO29))</f>
        <v/>
      </c>
      <c r="AQ28" s="24">
        <f>IF(E28="","",ROUND(E28-AP28,2))</f>
        <v/>
      </c>
    </row>
    <row r="29" ht="13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25">
        <f>IF(OR(E28="",J28="",N(L$7)=0),"",MAX(0,MIN(I28,L$7+6)-MAX(H28,L$7)+1)/J28*E28)</f>
        <v/>
      </c>
      <c r="M29" s="25">
        <f>IF(OR(E28="",J28="",N(M$7)=0),"",MAX(0,MIN(I28,M$7+6)-MAX(H28,M$7)+1)/J28*E28)</f>
        <v/>
      </c>
      <c r="N29" s="25">
        <f>IF(OR(E28="",J28="",N(N$7)=0),"",MAX(0,MIN(I28,N$7+6)-MAX(H28,N$7)+1)/J28*E28)</f>
        <v/>
      </c>
      <c r="O29" s="25">
        <f>IF(OR(E28="",J28="",N(O$7)=0),"",MAX(0,MIN(I28,O$7+6)-MAX(H28,O$7)+1)/J28*E28)</f>
        <v/>
      </c>
      <c r="P29" s="25">
        <f>IF(OR(E28="",J28="",N(P$7)=0),"",MAX(0,MIN(I28,P$7+6)-MAX(H28,P$7)+1)/J28*E28)</f>
        <v/>
      </c>
      <c r="Q29" s="25">
        <f>IF(OR(E28="",J28="",N(Q$7)=0),"",MAX(0,MIN(I28,Q$7+6)-MAX(H28,Q$7)+1)/J28*E28)</f>
        <v/>
      </c>
      <c r="R29" s="25">
        <f>IF(OR(E28="",J28="",N(R$7)=0),"",MAX(0,MIN(I28,R$7+6)-MAX(H28,R$7)+1)/J28*E28)</f>
        <v/>
      </c>
      <c r="S29" s="25">
        <f>IF(OR(E28="",J28="",N(S$7)=0),"",MAX(0,MIN(I28,S$7+6)-MAX(H28,S$7)+1)/J28*E28)</f>
        <v/>
      </c>
      <c r="T29" s="25">
        <f>IF(OR(E28="",J28="",N(T$7)=0),"",MAX(0,MIN(I28,T$7+6)-MAX(H28,T$7)+1)/J28*E28)</f>
        <v/>
      </c>
      <c r="U29" s="25">
        <f>IF(OR(E28="",J28="",N(U$7)=0),"",MAX(0,MIN(I28,U$7+6)-MAX(H28,U$7)+1)/J28*E28)</f>
        <v/>
      </c>
      <c r="V29" s="25">
        <f>IF(OR(E28="",J28="",N(V$7)=0),"",MAX(0,MIN(I28,V$7+6)-MAX(H28,V$7)+1)/J28*E28)</f>
        <v/>
      </c>
      <c r="W29" s="25">
        <f>IF(OR(E28="",J28="",N(W$7)=0),"",MAX(0,MIN(I28,W$7+6)-MAX(H28,W$7)+1)/J28*E28)</f>
        <v/>
      </c>
      <c r="X29" s="25">
        <f>IF(OR(E28="",J28="",N(X$7)=0),"",MAX(0,MIN(I28,X$7+6)-MAX(H28,X$7)+1)/J28*E28)</f>
        <v/>
      </c>
      <c r="Y29" s="25">
        <f>IF(OR(E28="",J28="",N(Y$7)=0),"",MAX(0,MIN(I28,Y$7+6)-MAX(H28,Y$7)+1)/J28*E28)</f>
        <v/>
      </c>
      <c r="Z29" s="25">
        <f>IF(OR(E28="",J28="",N(Z$7)=0),"",MAX(0,MIN(I28,Z$7+6)-MAX(H28,Z$7)+1)/J28*E28)</f>
        <v/>
      </c>
      <c r="AA29" s="25">
        <f>IF(OR(E28="",J28="",N(AA$7)=0),"",MAX(0,MIN(I28,AA$7+6)-MAX(H28,AA$7)+1)/J28*E28)</f>
        <v/>
      </c>
      <c r="AB29" s="25">
        <f>IF(OR(E28="",J28="",N(AB$7)=0),"",MAX(0,MIN(I28,AB$7+6)-MAX(H28,AB$7)+1)/J28*E28)</f>
        <v/>
      </c>
      <c r="AC29" s="25">
        <f>IF(OR(E28="",J28="",N(AC$7)=0),"",MAX(0,MIN(I28,AC$7+6)-MAX(H28,AC$7)+1)/J28*E28)</f>
        <v/>
      </c>
      <c r="AD29" s="25">
        <f>IF(OR(E28="",J28="",N(AD$7)=0),"",MAX(0,MIN(I28,AD$7+6)-MAX(H28,AD$7)+1)/J28*E28)</f>
        <v/>
      </c>
      <c r="AE29" s="25">
        <f>IF(OR(E28="",J28="",N(AE$7)=0),"",MAX(0,MIN(I28,AE$7+6)-MAX(H28,AE$7)+1)/J28*E28)</f>
        <v/>
      </c>
      <c r="AF29" s="25">
        <f>IF(OR(E28="",J28="",N(AF$7)=0),"",MAX(0,MIN(I28,AF$7+6)-MAX(H28,AF$7)+1)/J28*E28)</f>
        <v/>
      </c>
      <c r="AG29" s="25">
        <f>IF(OR(E28="",J28="",N(AG$7)=0),"",MAX(0,MIN(I28,AG$7+6)-MAX(H28,AG$7)+1)/J28*E28)</f>
        <v/>
      </c>
      <c r="AH29" s="25">
        <f>IF(OR(E28="",J28="",N(AH$7)=0),"",MAX(0,MIN(I28,AH$7+6)-MAX(H28,AH$7)+1)/J28*E28)</f>
        <v/>
      </c>
      <c r="AI29" s="25">
        <f>IF(OR(E28="",J28="",N(AI$7)=0),"",MAX(0,MIN(I28,AI$7+6)-MAX(H28,AI$7)+1)/J28*E28)</f>
        <v/>
      </c>
      <c r="AJ29" s="25">
        <f>IF(OR(E28="",J28="",N(AJ$7)=0),"",MAX(0,MIN(I28,AJ$7+6)-MAX(H28,AJ$7)+1)/J28*E28)</f>
        <v/>
      </c>
      <c r="AK29" s="25">
        <f>IF(OR(E28="",J28="",N(AK$7)=0),"",MAX(0,MIN(I28,AK$7+6)-MAX(H28,AK$7)+1)/J28*E28)</f>
        <v/>
      </c>
      <c r="AL29" s="25">
        <f>IF(OR(E28="",J28="",N(AL$7)=0),"",MAX(0,MIN(I28,AL$7+6)-MAX(H28,AL$7)+1)/J28*E28)</f>
        <v/>
      </c>
      <c r="AM29" s="25">
        <f>IF(OR(E28="",J28="",N(AM$7)=0),"",MAX(0,MIN(I28,AM$7+6)-MAX(H28,AM$7)+1)/J28*E28)</f>
        <v/>
      </c>
      <c r="AN29" s="25">
        <f>IF(OR(E28="",J28="",N(AN$7)=0),"",MAX(0,MIN(I28,AN$7+6)-MAX(H28,AN$7)+1)/J28*E28)</f>
        <v/>
      </c>
      <c r="AO29" s="25">
        <f>IF(OR(E28="",J28="",N(AO$7)=0),"",MAX(0,MIN(I28,AO$7+6)-MAX(H28,AO$7)+1)/J28*E28)</f>
        <v/>
      </c>
      <c r="AP29" s="6" t="n"/>
      <c r="AQ29" s="6" t="n"/>
    </row>
    <row r="30" ht="11" customHeight="1">
      <c r="A30" s="14" t="n"/>
      <c r="B30" s="14" t="n"/>
      <c r="C30" s="15" t="n"/>
      <c r="D30" s="16" t="n"/>
      <c r="E30" s="17">
        <f>IF(OR(N(D30)=0,N($D$48)=0),"",D30/$D$48*100)</f>
        <v/>
      </c>
      <c r="F30" s="18" t="n"/>
      <c r="G30" s="14" t="n"/>
      <c r="H30" s="19" t="n"/>
      <c r="I30" s="19" t="n"/>
      <c r="J30" s="20">
        <f>IF(OR(N(H30)=0,N(I30)=0),"",I30-H30+1)</f>
        <v/>
      </c>
      <c r="K30" s="21" t="n"/>
      <c r="L30" s="22" t="inlineStr"/>
      <c r="M30" s="22" t="inlineStr"/>
      <c r="N30" s="22" t="inlineStr"/>
      <c r="O30" s="22" t="inlineStr"/>
      <c r="P30" s="22" t="inlineStr"/>
      <c r="Q30" s="22" t="inlineStr"/>
      <c r="R30" s="22" t="inlineStr"/>
      <c r="S30" s="22" t="inlineStr"/>
      <c r="T30" s="22" t="inlineStr"/>
      <c r="U30" s="22" t="inlineStr"/>
      <c r="V30" s="22" t="inlineStr"/>
      <c r="W30" s="22" t="inlineStr"/>
      <c r="X30" s="22" t="inlineStr"/>
      <c r="Y30" s="22" t="inlineStr"/>
      <c r="Z30" s="22" t="inlineStr"/>
      <c r="AA30" s="22" t="inlineStr"/>
      <c r="AB30" s="22" t="inlineStr"/>
      <c r="AC30" s="22" t="inlineStr"/>
      <c r="AD30" s="22" t="inlineStr"/>
      <c r="AE30" s="22" t="inlineStr"/>
      <c r="AF30" s="22" t="inlineStr"/>
      <c r="AG30" s="22" t="inlineStr"/>
      <c r="AH30" s="22" t="inlineStr"/>
      <c r="AI30" s="22" t="inlineStr"/>
      <c r="AJ30" s="22" t="inlineStr"/>
      <c r="AK30" s="22" t="inlineStr"/>
      <c r="AL30" s="22" t="inlineStr"/>
      <c r="AM30" s="22" t="inlineStr"/>
      <c r="AN30" s="22" t="inlineStr"/>
      <c r="AO30" s="22" t="inlineStr"/>
      <c r="AP30" s="23">
        <f>IF(E30="","",SUM(L31:AO31))</f>
        <v/>
      </c>
      <c r="AQ30" s="24">
        <f>IF(E30="","",ROUND(E30-AP30,2))</f>
        <v/>
      </c>
    </row>
    <row r="31" ht="13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25">
        <f>IF(OR(E30="",J30="",N(L$7)=0),"",MAX(0,MIN(I30,L$7+6)-MAX(H30,L$7)+1)/J30*E30)</f>
        <v/>
      </c>
      <c r="M31" s="25">
        <f>IF(OR(E30="",J30="",N(M$7)=0),"",MAX(0,MIN(I30,M$7+6)-MAX(H30,M$7)+1)/J30*E30)</f>
        <v/>
      </c>
      <c r="N31" s="25">
        <f>IF(OR(E30="",J30="",N(N$7)=0),"",MAX(0,MIN(I30,N$7+6)-MAX(H30,N$7)+1)/J30*E30)</f>
        <v/>
      </c>
      <c r="O31" s="25">
        <f>IF(OR(E30="",J30="",N(O$7)=0),"",MAX(0,MIN(I30,O$7+6)-MAX(H30,O$7)+1)/J30*E30)</f>
        <v/>
      </c>
      <c r="P31" s="25">
        <f>IF(OR(E30="",J30="",N(P$7)=0),"",MAX(0,MIN(I30,P$7+6)-MAX(H30,P$7)+1)/J30*E30)</f>
        <v/>
      </c>
      <c r="Q31" s="25">
        <f>IF(OR(E30="",J30="",N(Q$7)=0),"",MAX(0,MIN(I30,Q$7+6)-MAX(H30,Q$7)+1)/J30*E30)</f>
        <v/>
      </c>
      <c r="R31" s="25">
        <f>IF(OR(E30="",J30="",N(R$7)=0),"",MAX(0,MIN(I30,R$7+6)-MAX(H30,R$7)+1)/J30*E30)</f>
        <v/>
      </c>
      <c r="S31" s="25">
        <f>IF(OR(E30="",J30="",N(S$7)=0),"",MAX(0,MIN(I30,S$7+6)-MAX(H30,S$7)+1)/J30*E30)</f>
        <v/>
      </c>
      <c r="T31" s="25">
        <f>IF(OR(E30="",J30="",N(T$7)=0),"",MAX(0,MIN(I30,T$7+6)-MAX(H30,T$7)+1)/J30*E30)</f>
        <v/>
      </c>
      <c r="U31" s="25">
        <f>IF(OR(E30="",J30="",N(U$7)=0),"",MAX(0,MIN(I30,U$7+6)-MAX(H30,U$7)+1)/J30*E30)</f>
        <v/>
      </c>
      <c r="V31" s="25">
        <f>IF(OR(E30="",J30="",N(V$7)=0),"",MAX(0,MIN(I30,V$7+6)-MAX(H30,V$7)+1)/J30*E30)</f>
        <v/>
      </c>
      <c r="W31" s="25">
        <f>IF(OR(E30="",J30="",N(W$7)=0),"",MAX(0,MIN(I30,W$7+6)-MAX(H30,W$7)+1)/J30*E30)</f>
        <v/>
      </c>
      <c r="X31" s="25">
        <f>IF(OR(E30="",J30="",N(X$7)=0),"",MAX(0,MIN(I30,X$7+6)-MAX(H30,X$7)+1)/J30*E30)</f>
        <v/>
      </c>
      <c r="Y31" s="25">
        <f>IF(OR(E30="",J30="",N(Y$7)=0),"",MAX(0,MIN(I30,Y$7+6)-MAX(H30,Y$7)+1)/J30*E30)</f>
        <v/>
      </c>
      <c r="Z31" s="25">
        <f>IF(OR(E30="",J30="",N(Z$7)=0),"",MAX(0,MIN(I30,Z$7+6)-MAX(H30,Z$7)+1)/J30*E30)</f>
        <v/>
      </c>
      <c r="AA31" s="25">
        <f>IF(OR(E30="",J30="",N(AA$7)=0),"",MAX(0,MIN(I30,AA$7+6)-MAX(H30,AA$7)+1)/J30*E30)</f>
        <v/>
      </c>
      <c r="AB31" s="25">
        <f>IF(OR(E30="",J30="",N(AB$7)=0),"",MAX(0,MIN(I30,AB$7+6)-MAX(H30,AB$7)+1)/J30*E30)</f>
        <v/>
      </c>
      <c r="AC31" s="25">
        <f>IF(OR(E30="",J30="",N(AC$7)=0),"",MAX(0,MIN(I30,AC$7+6)-MAX(H30,AC$7)+1)/J30*E30)</f>
        <v/>
      </c>
      <c r="AD31" s="25">
        <f>IF(OR(E30="",J30="",N(AD$7)=0),"",MAX(0,MIN(I30,AD$7+6)-MAX(H30,AD$7)+1)/J30*E30)</f>
        <v/>
      </c>
      <c r="AE31" s="25">
        <f>IF(OR(E30="",J30="",N(AE$7)=0),"",MAX(0,MIN(I30,AE$7+6)-MAX(H30,AE$7)+1)/J30*E30)</f>
        <v/>
      </c>
      <c r="AF31" s="25">
        <f>IF(OR(E30="",J30="",N(AF$7)=0),"",MAX(0,MIN(I30,AF$7+6)-MAX(H30,AF$7)+1)/J30*E30)</f>
        <v/>
      </c>
      <c r="AG31" s="25">
        <f>IF(OR(E30="",J30="",N(AG$7)=0),"",MAX(0,MIN(I30,AG$7+6)-MAX(H30,AG$7)+1)/J30*E30)</f>
        <v/>
      </c>
      <c r="AH31" s="25">
        <f>IF(OR(E30="",J30="",N(AH$7)=0),"",MAX(0,MIN(I30,AH$7+6)-MAX(H30,AH$7)+1)/J30*E30)</f>
        <v/>
      </c>
      <c r="AI31" s="25">
        <f>IF(OR(E30="",J30="",N(AI$7)=0),"",MAX(0,MIN(I30,AI$7+6)-MAX(H30,AI$7)+1)/J30*E30)</f>
        <v/>
      </c>
      <c r="AJ31" s="25">
        <f>IF(OR(E30="",J30="",N(AJ$7)=0),"",MAX(0,MIN(I30,AJ$7+6)-MAX(H30,AJ$7)+1)/J30*E30)</f>
        <v/>
      </c>
      <c r="AK31" s="25">
        <f>IF(OR(E30="",J30="",N(AK$7)=0),"",MAX(0,MIN(I30,AK$7+6)-MAX(H30,AK$7)+1)/J30*E30)</f>
        <v/>
      </c>
      <c r="AL31" s="25">
        <f>IF(OR(E30="",J30="",N(AL$7)=0),"",MAX(0,MIN(I30,AL$7+6)-MAX(H30,AL$7)+1)/J30*E30)</f>
        <v/>
      </c>
      <c r="AM31" s="25">
        <f>IF(OR(E30="",J30="",N(AM$7)=0),"",MAX(0,MIN(I30,AM$7+6)-MAX(H30,AM$7)+1)/J30*E30)</f>
        <v/>
      </c>
      <c r="AN31" s="25">
        <f>IF(OR(E30="",J30="",N(AN$7)=0),"",MAX(0,MIN(I30,AN$7+6)-MAX(H30,AN$7)+1)/J30*E30)</f>
        <v/>
      </c>
      <c r="AO31" s="25">
        <f>IF(OR(E30="",J30="",N(AO$7)=0),"",MAX(0,MIN(I30,AO$7+6)-MAX(H30,AO$7)+1)/J30*E30)</f>
        <v/>
      </c>
      <c r="AP31" s="6" t="n"/>
      <c r="AQ31" s="6" t="n"/>
    </row>
    <row r="32" ht="11" customHeight="1">
      <c r="A32" s="14" t="n"/>
      <c r="B32" s="14" t="n"/>
      <c r="C32" s="15" t="n"/>
      <c r="D32" s="16" t="n"/>
      <c r="E32" s="17">
        <f>IF(OR(N(D32)=0,N($D$48)=0),"",D32/$D$48*100)</f>
        <v/>
      </c>
      <c r="F32" s="18" t="n"/>
      <c r="G32" s="14" t="n"/>
      <c r="H32" s="19" t="n"/>
      <c r="I32" s="19" t="n"/>
      <c r="J32" s="20">
        <f>IF(OR(N(H32)=0,N(I32)=0),"",I32-H32+1)</f>
        <v/>
      </c>
      <c r="K32" s="21" t="n"/>
      <c r="L32" s="22" t="inlineStr"/>
      <c r="M32" s="22" t="inlineStr"/>
      <c r="N32" s="22" t="inlineStr"/>
      <c r="O32" s="22" t="inlineStr"/>
      <c r="P32" s="22" t="inlineStr"/>
      <c r="Q32" s="22" t="inlineStr"/>
      <c r="R32" s="22" t="inlineStr"/>
      <c r="S32" s="22" t="inlineStr"/>
      <c r="T32" s="22" t="inlineStr"/>
      <c r="U32" s="22" t="inlineStr"/>
      <c r="V32" s="22" t="inlineStr"/>
      <c r="W32" s="22" t="inlineStr"/>
      <c r="X32" s="22" t="inlineStr"/>
      <c r="Y32" s="22" t="inlineStr"/>
      <c r="Z32" s="22" t="inlineStr"/>
      <c r="AA32" s="22" t="inlineStr"/>
      <c r="AB32" s="22" t="inlineStr"/>
      <c r="AC32" s="22" t="inlineStr"/>
      <c r="AD32" s="22" t="inlineStr"/>
      <c r="AE32" s="22" t="inlineStr"/>
      <c r="AF32" s="22" t="inlineStr"/>
      <c r="AG32" s="22" t="inlineStr"/>
      <c r="AH32" s="22" t="inlineStr"/>
      <c r="AI32" s="22" t="inlineStr"/>
      <c r="AJ32" s="22" t="inlineStr"/>
      <c r="AK32" s="22" t="inlineStr"/>
      <c r="AL32" s="22" t="inlineStr"/>
      <c r="AM32" s="22" t="inlineStr"/>
      <c r="AN32" s="22" t="inlineStr"/>
      <c r="AO32" s="22" t="inlineStr"/>
      <c r="AP32" s="23">
        <f>IF(E32="","",SUM(L33:AO33))</f>
        <v/>
      </c>
      <c r="AQ32" s="24">
        <f>IF(E32="","",ROUND(E32-AP32,2))</f>
        <v/>
      </c>
    </row>
    <row r="33" ht="13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25">
        <f>IF(OR(E32="",J32="",N(L$7)=0),"",MAX(0,MIN(I32,L$7+6)-MAX(H32,L$7)+1)/J32*E32)</f>
        <v/>
      </c>
      <c r="M33" s="25">
        <f>IF(OR(E32="",J32="",N(M$7)=0),"",MAX(0,MIN(I32,M$7+6)-MAX(H32,M$7)+1)/J32*E32)</f>
        <v/>
      </c>
      <c r="N33" s="25">
        <f>IF(OR(E32="",J32="",N(N$7)=0),"",MAX(0,MIN(I32,N$7+6)-MAX(H32,N$7)+1)/J32*E32)</f>
        <v/>
      </c>
      <c r="O33" s="25">
        <f>IF(OR(E32="",J32="",N(O$7)=0),"",MAX(0,MIN(I32,O$7+6)-MAX(H32,O$7)+1)/J32*E32)</f>
        <v/>
      </c>
      <c r="P33" s="25">
        <f>IF(OR(E32="",J32="",N(P$7)=0),"",MAX(0,MIN(I32,P$7+6)-MAX(H32,P$7)+1)/J32*E32)</f>
        <v/>
      </c>
      <c r="Q33" s="25">
        <f>IF(OR(E32="",J32="",N(Q$7)=0),"",MAX(0,MIN(I32,Q$7+6)-MAX(H32,Q$7)+1)/J32*E32)</f>
        <v/>
      </c>
      <c r="R33" s="25">
        <f>IF(OR(E32="",J32="",N(R$7)=0),"",MAX(0,MIN(I32,R$7+6)-MAX(H32,R$7)+1)/J32*E32)</f>
        <v/>
      </c>
      <c r="S33" s="25">
        <f>IF(OR(E32="",J32="",N(S$7)=0),"",MAX(0,MIN(I32,S$7+6)-MAX(H32,S$7)+1)/J32*E32)</f>
        <v/>
      </c>
      <c r="T33" s="25">
        <f>IF(OR(E32="",J32="",N(T$7)=0),"",MAX(0,MIN(I32,T$7+6)-MAX(H32,T$7)+1)/J32*E32)</f>
        <v/>
      </c>
      <c r="U33" s="25">
        <f>IF(OR(E32="",J32="",N(U$7)=0),"",MAX(0,MIN(I32,U$7+6)-MAX(H32,U$7)+1)/J32*E32)</f>
        <v/>
      </c>
      <c r="V33" s="25">
        <f>IF(OR(E32="",J32="",N(V$7)=0),"",MAX(0,MIN(I32,V$7+6)-MAX(H32,V$7)+1)/J32*E32)</f>
        <v/>
      </c>
      <c r="W33" s="25">
        <f>IF(OR(E32="",J32="",N(W$7)=0),"",MAX(0,MIN(I32,W$7+6)-MAX(H32,W$7)+1)/J32*E32)</f>
        <v/>
      </c>
      <c r="X33" s="25">
        <f>IF(OR(E32="",J32="",N(X$7)=0),"",MAX(0,MIN(I32,X$7+6)-MAX(H32,X$7)+1)/J32*E32)</f>
        <v/>
      </c>
      <c r="Y33" s="25">
        <f>IF(OR(E32="",J32="",N(Y$7)=0),"",MAX(0,MIN(I32,Y$7+6)-MAX(H32,Y$7)+1)/J32*E32)</f>
        <v/>
      </c>
      <c r="Z33" s="25">
        <f>IF(OR(E32="",J32="",N(Z$7)=0),"",MAX(0,MIN(I32,Z$7+6)-MAX(H32,Z$7)+1)/J32*E32)</f>
        <v/>
      </c>
      <c r="AA33" s="25">
        <f>IF(OR(E32="",J32="",N(AA$7)=0),"",MAX(0,MIN(I32,AA$7+6)-MAX(H32,AA$7)+1)/J32*E32)</f>
        <v/>
      </c>
      <c r="AB33" s="25">
        <f>IF(OR(E32="",J32="",N(AB$7)=0),"",MAX(0,MIN(I32,AB$7+6)-MAX(H32,AB$7)+1)/J32*E32)</f>
        <v/>
      </c>
      <c r="AC33" s="25">
        <f>IF(OR(E32="",J32="",N(AC$7)=0),"",MAX(0,MIN(I32,AC$7+6)-MAX(H32,AC$7)+1)/J32*E32)</f>
        <v/>
      </c>
      <c r="AD33" s="25">
        <f>IF(OR(E32="",J32="",N(AD$7)=0),"",MAX(0,MIN(I32,AD$7+6)-MAX(H32,AD$7)+1)/J32*E32)</f>
        <v/>
      </c>
      <c r="AE33" s="25">
        <f>IF(OR(E32="",J32="",N(AE$7)=0),"",MAX(0,MIN(I32,AE$7+6)-MAX(H32,AE$7)+1)/J32*E32)</f>
        <v/>
      </c>
      <c r="AF33" s="25">
        <f>IF(OR(E32="",J32="",N(AF$7)=0),"",MAX(0,MIN(I32,AF$7+6)-MAX(H32,AF$7)+1)/J32*E32)</f>
        <v/>
      </c>
      <c r="AG33" s="25">
        <f>IF(OR(E32="",J32="",N(AG$7)=0),"",MAX(0,MIN(I32,AG$7+6)-MAX(H32,AG$7)+1)/J32*E32)</f>
        <v/>
      </c>
      <c r="AH33" s="25">
        <f>IF(OR(E32="",J32="",N(AH$7)=0),"",MAX(0,MIN(I32,AH$7+6)-MAX(H32,AH$7)+1)/J32*E32)</f>
        <v/>
      </c>
      <c r="AI33" s="25">
        <f>IF(OR(E32="",J32="",N(AI$7)=0),"",MAX(0,MIN(I32,AI$7+6)-MAX(H32,AI$7)+1)/J32*E32)</f>
        <v/>
      </c>
      <c r="AJ33" s="25">
        <f>IF(OR(E32="",J32="",N(AJ$7)=0),"",MAX(0,MIN(I32,AJ$7+6)-MAX(H32,AJ$7)+1)/J32*E32)</f>
        <v/>
      </c>
      <c r="AK33" s="25">
        <f>IF(OR(E32="",J32="",N(AK$7)=0),"",MAX(0,MIN(I32,AK$7+6)-MAX(H32,AK$7)+1)/J32*E32)</f>
        <v/>
      </c>
      <c r="AL33" s="25">
        <f>IF(OR(E32="",J32="",N(AL$7)=0),"",MAX(0,MIN(I32,AL$7+6)-MAX(H32,AL$7)+1)/J32*E32)</f>
        <v/>
      </c>
      <c r="AM33" s="25">
        <f>IF(OR(E32="",J32="",N(AM$7)=0),"",MAX(0,MIN(I32,AM$7+6)-MAX(H32,AM$7)+1)/J32*E32)</f>
        <v/>
      </c>
      <c r="AN33" s="25">
        <f>IF(OR(E32="",J32="",N(AN$7)=0),"",MAX(0,MIN(I32,AN$7+6)-MAX(H32,AN$7)+1)/J32*E32)</f>
        <v/>
      </c>
      <c r="AO33" s="25">
        <f>IF(OR(E32="",J32="",N(AO$7)=0),"",MAX(0,MIN(I32,AO$7+6)-MAX(H32,AO$7)+1)/J32*E32)</f>
        <v/>
      </c>
      <c r="AP33" s="6" t="n"/>
      <c r="AQ33" s="6" t="n"/>
    </row>
    <row r="34" ht="11" customHeight="1">
      <c r="A34" s="14" t="n"/>
      <c r="B34" s="14" t="n"/>
      <c r="C34" s="15" t="n"/>
      <c r="D34" s="16" t="n"/>
      <c r="E34" s="17">
        <f>IF(OR(N(D34)=0,N($D$48)=0),"",D34/$D$48*100)</f>
        <v/>
      </c>
      <c r="F34" s="18" t="n"/>
      <c r="G34" s="14" t="n"/>
      <c r="H34" s="19" t="n"/>
      <c r="I34" s="19" t="n"/>
      <c r="J34" s="20">
        <f>IF(OR(N(H34)=0,N(I34)=0),"",I34-H34+1)</f>
        <v/>
      </c>
      <c r="K34" s="21" t="n"/>
      <c r="L34" s="22" t="inlineStr"/>
      <c r="M34" s="22" t="inlineStr"/>
      <c r="N34" s="22" t="inlineStr"/>
      <c r="O34" s="22" t="inlineStr"/>
      <c r="P34" s="22" t="inlineStr"/>
      <c r="Q34" s="22" t="inlineStr"/>
      <c r="R34" s="22" t="inlineStr"/>
      <c r="S34" s="22" t="inlineStr"/>
      <c r="T34" s="22" t="inlineStr"/>
      <c r="U34" s="22" t="inlineStr"/>
      <c r="V34" s="22" t="inlineStr"/>
      <c r="W34" s="22" t="inlineStr"/>
      <c r="X34" s="22" t="inlineStr"/>
      <c r="Y34" s="22" t="inlineStr"/>
      <c r="Z34" s="22" t="inlineStr"/>
      <c r="AA34" s="22" t="inlineStr"/>
      <c r="AB34" s="22" t="inlineStr"/>
      <c r="AC34" s="22" t="inlineStr"/>
      <c r="AD34" s="22" t="inlineStr"/>
      <c r="AE34" s="22" t="inlineStr"/>
      <c r="AF34" s="22" t="inlineStr"/>
      <c r="AG34" s="22" t="inlineStr"/>
      <c r="AH34" s="22" t="inlineStr"/>
      <c r="AI34" s="22" t="inlineStr"/>
      <c r="AJ34" s="22" t="inlineStr"/>
      <c r="AK34" s="22" t="inlineStr"/>
      <c r="AL34" s="22" t="inlineStr"/>
      <c r="AM34" s="22" t="inlineStr"/>
      <c r="AN34" s="22" t="inlineStr"/>
      <c r="AO34" s="22" t="inlineStr"/>
      <c r="AP34" s="23">
        <f>IF(E34="","",SUM(L35:AO35))</f>
        <v/>
      </c>
      <c r="AQ34" s="24">
        <f>IF(E34="","",ROUND(E34-AP34,2))</f>
        <v/>
      </c>
    </row>
    <row r="35" ht="13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25">
        <f>IF(OR(E34="",J34="",N(L$7)=0),"",MAX(0,MIN(I34,L$7+6)-MAX(H34,L$7)+1)/J34*E34)</f>
        <v/>
      </c>
      <c r="M35" s="25">
        <f>IF(OR(E34="",J34="",N(M$7)=0),"",MAX(0,MIN(I34,M$7+6)-MAX(H34,M$7)+1)/J34*E34)</f>
        <v/>
      </c>
      <c r="N35" s="25">
        <f>IF(OR(E34="",J34="",N(N$7)=0),"",MAX(0,MIN(I34,N$7+6)-MAX(H34,N$7)+1)/J34*E34)</f>
        <v/>
      </c>
      <c r="O35" s="25">
        <f>IF(OR(E34="",J34="",N(O$7)=0),"",MAX(0,MIN(I34,O$7+6)-MAX(H34,O$7)+1)/J34*E34)</f>
        <v/>
      </c>
      <c r="P35" s="25">
        <f>IF(OR(E34="",J34="",N(P$7)=0),"",MAX(0,MIN(I34,P$7+6)-MAX(H34,P$7)+1)/J34*E34)</f>
        <v/>
      </c>
      <c r="Q35" s="25">
        <f>IF(OR(E34="",J34="",N(Q$7)=0),"",MAX(0,MIN(I34,Q$7+6)-MAX(H34,Q$7)+1)/J34*E34)</f>
        <v/>
      </c>
      <c r="R35" s="25">
        <f>IF(OR(E34="",J34="",N(R$7)=0),"",MAX(0,MIN(I34,R$7+6)-MAX(H34,R$7)+1)/J34*E34)</f>
        <v/>
      </c>
      <c r="S35" s="25">
        <f>IF(OR(E34="",J34="",N(S$7)=0),"",MAX(0,MIN(I34,S$7+6)-MAX(H34,S$7)+1)/J34*E34)</f>
        <v/>
      </c>
      <c r="T35" s="25">
        <f>IF(OR(E34="",J34="",N(T$7)=0),"",MAX(0,MIN(I34,T$7+6)-MAX(H34,T$7)+1)/J34*E34)</f>
        <v/>
      </c>
      <c r="U35" s="25">
        <f>IF(OR(E34="",J34="",N(U$7)=0),"",MAX(0,MIN(I34,U$7+6)-MAX(H34,U$7)+1)/J34*E34)</f>
        <v/>
      </c>
      <c r="V35" s="25">
        <f>IF(OR(E34="",J34="",N(V$7)=0),"",MAX(0,MIN(I34,V$7+6)-MAX(H34,V$7)+1)/J34*E34)</f>
        <v/>
      </c>
      <c r="W35" s="25">
        <f>IF(OR(E34="",J34="",N(W$7)=0),"",MAX(0,MIN(I34,W$7+6)-MAX(H34,W$7)+1)/J34*E34)</f>
        <v/>
      </c>
      <c r="X35" s="25">
        <f>IF(OR(E34="",J34="",N(X$7)=0),"",MAX(0,MIN(I34,X$7+6)-MAX(H34,X$7)+1)/J34*E34)</f>
        <v/>
      </c>
      <c r="Y35" s="25">
        <f>IF(OR(E34="",J34="",N(Y$7)=0),"",MAX(0,MIN(I34,Y$7+6)-MAX(H34,Y$7)+1)/J34*E34)</f>
        <v/>
      </c>
      <c r="Z35" s="25">
        <f>IF(OR(E34="",J34="",N(Z$7)=0),"",MAX(0,MIN(I34,Z$7+6)-MAX(H34,Z$7)+1)/J34*E34)</f>
        <v/>
      </c>
      <c r="AA35" s="25">
        <f>IF(OR(E34="",J34="",N(AA$7)=0),"",MAX(0,MIN(I34,AA$7+6)-MAX(H34,AA$7)+1)/J34*E34)</f>
        <v/>
      </c>
      <c r="AB35" s="25">
        <f>IF(OR(E34="",J34="",N(AB$7)=0),"",MAX(0,MIN(I34,AB$7+6)-MAX(H34,AB$7)+1)/J34*E34)</f>
        <v/>
      </c>
      <c r="AC35" s="25">
        <f>IF(OR(E34="",J34="",N(AC$7)=0),"",MAX(0,MIN(I34,AC$7+6)-MAX(H34,AC$7)+1)/J34*E34)</f>
        <v/>
      </c>
      <c r="AD35" s="25">
        <f>IF(OR(E34="",J34="",N(AD$7)=0),"",MAX(0,MIN(I34,AD$7+6)-MAX(H34,AD$7)+1)/J34*E34)</f>
        <v/>
      </c>
      <c r="AE35" s="25">
        <f>IF(OR(E34="",J34="",N(AE$7)=0),"",MAX(0,MIN(I34,AE$7+6)-MAX(H34,AE$7)+1)/J34*E34)</f>
        <v/>
      </c>
      <c r="AF35" s="25">
        <f>IF(OR(E34="",J34="",N(AF$7)=0),"",MAX(0,MIN(I34,AF$7+6)-MAX(H34,AF$7)+1)/J34*E34)</f>
        <v/>
      </c>
      <c r="AG35" s="25">
        <f>IF(OR(E34="",J34="",N(AG$7)=0),"",MAX(0,MIN(I34,AG$7+6)-MAX(H34,AG$7)+1)/J34*E34)</f>
        <v/>
      </c>
      <c r="AH35" s="25">
        <f>IF(OR(E34="",J34="",N(AH$7)=0),"",MAX(0,MIN(I34,AH$7+6)-MAX(H34,AH$7)+1)/J34*E34)</f>
        <v/>
      </c>
      <c r="AI35" s="25">
        <f>IF(OR(E34="",J34="",N(AI$7)=0),"",MAX(0,MIN(I34,AI$7+6)-MAX(H34,AI$7)+1)/J34*E34)</f>
        <v/>
      </c>
      <c r="AJ35" s="25">
        <f>IF(OR(E34="",J34="",N(AJ$7)=0),"",MAX(0,MIN(I34,AJ$7+6)-MAX(H34,AJ$7)+1)/J34*E34)</f>
        <v/>
      </c>
      <c r="AK35" s="25">
        <f>IF(OR(E34="",J34="",N(AK$7)=0),"",MAX(0,MIN(I34,AK$7+6)-MAX(H34,AK$7)+1)/J34*E34)</f>
        <v/>
      </c>
      <c r="AL35" s="25">
        <f>IF(OR(E34="",J34="",N(AL$7)=0),"",MAX(0,MIN(I34,AL$7+6)-MAX(H34,AL$7)+1)/J34*E34)</f>
        <v/>
      </c>
      <c r="AM35" s="25">
        <f>IF(OR(E34="",J34="",N(AM$7)=0),"",MAX(0,MIN(I34,AM$7+6)-MAX(H34,AM$7)+1)/J34*E34)</f>
        <v/>
      </c>
      <c r="AN35" s="25">
        <f>IF(OR(E34="",J34="",N(AN$7)=0),"",MAX(0,MIN(I34,AN$7+6)-MAX(H34,AN$7)+1)/J34*E34)</f>
        <v/>
      </c>
      <c r="AO35" s="25">
        <f>IF(OR(E34="",J34="",N(AO$7)=0),"",MAX(0,MIN(I34,AO$7+6)-MAX(H34,AO$7)+1)/J34*E34)</f>
        <v/>
      </c>
      <c r="AP35" s="6" t="n"/>
      <c r="AQ35" s="6" t="n"/>
    </row>
    <row r="36" ht="11" customHeight="1">
      <c r="A36" s="14" t="n"/>
      <c r="B36" s="14" t="n"/>
      <c r="C36" s="15" t="n"/>
      <c r="D36" s="16" t="n"/>
      <c r="E36" s="17">
        <f>IF(OR(N(D36)=0,N($D$48)=0),"",D36/$D$48*100)</f>
        <v/>
      </c>
      <c r="F36" s="18" t="n"/>
      <c r="G36" s="14" t="n"/>
      <c r="H36" s="19" t="n"/>
      <c r="I36" s="19" t="n"/>
      <c r="J36" s="20">
        <f>IF(OR(N(H36)=0,N(I36)=0),"",I36-H36+1)</f>
        <v/>
      </c>
      <c r="K36" s="21" t="n"/>
      <c r="L36" s="22" t="inlineStr"/>
      <c r="M36" s="22" t="inlineStr"/>
      <c r="N36" s="22" t="inlineStr"/>
      <c r="O36" s="22" t="inlineStr"/>
      <c r="P36" s="22" t="inlineStr"/>
      <c r="Q36" s="22" t="inlineStr"/>
      <c r="R36" s="22" t="inlineStr"/>
      <c r="S36" s="22" t="inlineStr"/>
      <c r="T36" s="22" t="inlineStr"/>
      <c r="U36" s="22" t="inlineStr"/>
      <c r="V36" s="22" t="inlineStr"/>
      <c r="W36" s="22" t="inlineStr"/>
      <c r="X36" s="22" t="inlineStr"/>
      <c r="Y36" s="22" t="inlineStr"/>
      <c r="Z36" s="22" t="inlineStr"/>
      <c r="AA36" s="22" t="inlineStr"/>
      <c r="AB36" s="22" t="inlineStr"/>
      <c r="AC36" s="22" t="inlineStr"/>
      <c r="AD36" s="22" t="inlineStr"/>
      <c r="AE36" s="22" t="inlineStr"/>
      <c r="AF36" s="22" t="inlineStr"/>
      <c r="AG36" s="22" t="inlineStr"/>
      <c r="AH36" s="22" t="inlineStr"/>
      <c r="AI36" s="22" t="inlineStr"/>
      <c r="AJ36" s="22" t="inlineStr"/>
      <c r="AK36" s="22" t="inlineStr"/>
      <c r="AL36" s="22" t="inlineStr"/>
      <c r="AM36" s="22" t="inlineStr"/>
      <c r="AN36" s="22" t="inlineStr"/>
      <c r="AO36" s="22" t="inlineStr"/>
      <c r="AP36" s="23">
        <f>IF(E36="","",SUM(L37:AO37))</f>
        <v/>
      </c>
      <c r="AQ36" s="24">
        <f>IF(E36="","",ROUND(E36-AP36,2))</f>
        <v/>
      </c>
    </row>
    <row r="37" ht="13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25">
        <f>IF(OR(E36="",J36="",N(L$7)=0),"",MAX(0,MIN(I36,L$7+6)-MAX(H36,L$7)+1)/J36*E36)</f>
        <v/>
      </c>
      <c r="M37" s="25">
        <f>IF(OR(E36="",J36="",N(M$7)=0),"",MAX(0,MIN(I36,M$7+6)-MAX(H36,M$7)+1)/J36*E36)</f>
        <v/>
      </c>
      <c r="N37" s="25">
        <f>IF(OR(E36="",J36="",N(N$7)=0),"",MAX(0,MIN(I36,N$7+6)-MAX(H36,N$7)+1)/J36*E36)</f>
        <v/>
      </c>
      <c r="O37" s="25">
        <f>IF(OR(E36="",J36="",N(O$7)=0),"",MAX(0,MIN(I36,O$7+6)-MAX(H36,O$7)+1)/J36*E36)</f>
        <v/>
      </c>
      <c r="P37" s="25">
        <f>IF(OR(E36="",J36="",N(P$7)=0),"",MAX(0,MIN(I36,P$7+6)-MAX(H36,P$7)+1)/J36*E36)</f>
        <v/>
      </c>
      <c r="Q37" s="25">
        <f>IF(OR(E36="",J36="",N(Q$7)=0),"",MAX(0,MIN(I36,Q$7+6)-MAX(H36,Q$7)+1)/J36*E36)</f>
        <v/>
      </c>
      <c r="R37" s="25">
        <f>IF(OR(E36="",J36="",N(R$7)=0),"",MAX(0,MIN(I36,R$7+6)-MAX(H36,R$7)+1)/J36*E36)</f>
        <v/>
      </c>
      <c r="S37" s="25">
        <f>IF(OR(E36="",J36="",N(S$7)=0),"",MAX(0,MIN(I36,S$7+6)-MAX(H36,S$7)+1)/J36*E36)</f>
        <v/>
      </c>
      <c r="T37" s="25">
        <f>IF(OR(E36="",J36="",N(T$7)=0),"",MAX(0,MIN(I36,T$7+6)-MAX(H36,T$7)+1)/J36*E36)</f>
        <v/>
      </c>
      <c r="U37" s="25">
        <f>IF(OR(E36="",J36="",N(U$7)=0),"",MAX(0,MIN(I36,U$7+6)-MAX(H36,U$7)+1)/J36*E36)</f>
        <v/>
      </c>
      <c r="V37" s="25">
        <f>IF(OR(E36="",J36="",N(V$7)=0),"",MAX(0,MIN(I36,V$7+6)-MAX(H36,V$7)+1)/J36*E36)</f>
        <v/>
      </c>
      <c r="W37" s="25">
        <f>IF(OR(E36="",J36="",N(W$7)=0),"",MAX(0,MIN(I36,W$7+6)-MAX(H36,W$7)+1)/J36*E36)</f>
        <v/>
      </c>
      <c r="X37" s="25">
        <f>IF(OR(E36="",J36="",N(X$7)=0),"",MAX(0,MIN(I36,X$7+6)-MAX(H36,X$7)+1)/J36*E36)</f>
        <v/>
      </c>
      <c r="Y37" s="25">
        <f>IF(OR(E36="",J36="",N(Y$7)=0),"",MAX(0,MIN(I36,Y$7+6)-MAX(H36,Y$7)+1)/J36*E36)</f>
        <v/>
      </c>
      <c r="Z37" s="25">
        <f>IF(OR(E36="",J36="",N(Z$7)=0),"",MAX(0,MIN(I36,Z$7+6)-MAX(H36,Z$7)+1)/J36*E36)</f>
        <v/>
      </c>
      <c r="AA37" s="25">
        <f>IF(OR(E36="",J36="",N(AA$7)=0),"",MAX(0,MIN(I36,AA$7+6)-MAX(H36,AA$7)+1)/J36*E36)</f>
        <v/>
      </c>
      <c r="AB37" s="25">
        <f>IF(OR(E36="",J36="",N(AB$7)=0),"",MAX(0,MIN(I36,AB$7+6)-MAX(H36,AB$7)+1)/J36*E36)</f>
        <v/>
      </c>
      <c r="AC37" s="25">
        <f>IF(OR(E36="",J36="",N(AC$7)=0),"",MAX(0,MIN(I36,AC$7+6)-MAX(H36,AC$7)+1)/J36*E36)</f>
        <v/>
      </c>
      <c r="AD37" s="25">
        <f>IF(OR(E36="",J36="",N(AD$7)=0),"",MAX(0,MIN(I36,AD$7+6)-MAX(H36,AD$7)+1)/J36*E36)</f>
        <v/>
      </c>
      <c r="AE37" s="25">
        <f>IF(OR(E36="",J36="",N(AE$7)=0),"",MAX(0,MIN(I36,AE$7+6)-MAX(H36,AE$7)+1)/J36*E36)</f>
        <v/>
      </c>
      <c r="AF37" s="25">
        <f>IF(OR(E36="",J36="",N(AF$7)=0),"",MAX(0,MIN(I36,AF$7+6)-MAX(H36,AF$7)+1)/J36*E36)</f>
        <v/>
      </c>
      <c r="AG37" s="25">
        <f>IF(OR(E36="",J36="",N(AG$7)=0),"",MAX(0,MIN(I36,AG$7+6)-MAX(H36,AG$7)+1)/J36*E36)</f>
        <v/>
      </c>
      <c r="AH37" s="25">
        <f>IF(OR(E36="",J36="",N(AH$7)=0),"",MAX(0,MIN(I36,AH$7+6)-MAX(H36,AH$7)+1)/J36*E36)</f>
        <v/>
      </c>
      <c r="AI37" s="25">
        <f>IF(OR(E36="",J36="",N(AI$7)=0),"",MAX(0,MIN(I36,AI$7+6)-MAX(H36,AI$7)+1)/J36*E36)</f>
        <v/>
      </c>
      <c r="AJ37" s="25">
        <f>IF(OR(E36="",J36="",N(AJ$7)=0),"",MAX(0,MIN(I36,AJ$7+6)-MAX(H36,AJ$7)+1)/J36*E36)</f>
        <v/>
      </c>
      <c r="AK37" s="25">
        <f>IF(OR(E36="",J36="",N(AK$7)=0),"",MAX(0,MIN(I36,AK$7+6)-MAX(H36,AK$7)+1)/J36*E36)</f>
        <v/>
      </c>
      <c r="AL37" s="25">
        <f>IF(OR(E36="",J36="",N(AL$7)=0),"",MAX(0,MIN(I36,AL$7+6)-MAX(H36,AL$7)+1)/J36*E36)</f>
        <v/>
      </c>
      <c r="AM37" s="25">
        <f>IF(OR(E36="",J36="",N(AM$7)=0),"",MAX(0,MIN(I36,AM$7+6)-MAX(H36,AM$7)+1)/J36*E36)</f>
        <v/>
      </c>
      <c r="AN37" s="25">
        <f>IF(OR(E36="",J36="",N(AN$7)=0),"",MAX(0,MIN(I36,AN$7+6)-MAX(H36,AN$7)+1)/J36*E36)</f>
        <v/>
      </c>
      <c r="AO37" s="25">
        <f>IF(OR(E36="",J36="",N(AO$7)=0),"",MAX(0,MIN(I36,AO$7+6)-MAX(H36,AO$7)+1)/J36*E36)</f>
        <v/>
      </c>
      <c r="AP37" s="6" t="n"/>
      <c r="AQ37" s="6" t="n"/>
    </row>
    <row r="38" ht="11" customHeight="1">
      <c r="A38" s="14" t="n"/>
      <c r="B38" s="14" t="n"/>
      <c r="C38" s="15" t="n"/>
      <c r="D38" s="16" t="n"/>
      <c r="E38" s="17">
        <f>IF(OR(N(D38)=0,N($D$48)=0),"",D38/$D$48*100)</f>
        <v/>
      </c>
      <c r="F38" s="18" t="n"/>
      <c r="G38" s="14" t="n"/>
      <c r="H38" s="19" t="n"/>
      <c r="I38" s="19" t="n"/>
      <c r="J38" s="20">
        <f>IF(OR(N(H38)=0,N(I38)=0),"",I38-H38+1)</f>
        <v/>
      </c>
      <c r="K38" s="21" t="n"/>
      <c r="L38" s="22" t="inlineStr"/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/>
      <c r="W38" s="22" t="inlineStr"/>
      <c r="X38" s="22" t="inlineStr"/>
      <c r="Y38" s="22" t="inlineStr"/>
      <c r="Z38" s="22" t="inlineStr"/>
      <c r="AA38" s="22" t="inlineStr"/>
      <c r="AB38" s="22" t="inlineStr"/>
      <c r="AC38" s="22" t="inlineStr"/>
      <c r="AD38" s="22" t="inlineStr"/>
      <c r="AE38" s="22" t="inlineStr"/>
      <c r="AF38" s="22" t="inlineStr"/>
      <c r="AG38" s="22" t="inlineStr"/>
      <c r="AH38" s="22" t="inlineStr"/>
      <c r="AI38" s="22" t="inlineStr"/>
      <c r="AJ38" s="22" t="inlineStr"/>
      <c r="AK38" s="22" t="inlineStr"/>
      <c r="AL38" s="22" t="inlineStr"/>
      <c r="AM38" s="22" t="inlineStr"/>
      <c r="AN38" s="22" t="inlineStr"/>
      <c r="AO38" s="22" t="inlineStr"/>
      <c r="AP38" s="23">
        <f>IF(E38="","",SUM(L39:AO39))</f>
        <v/>
      </c>
      <c r="AQ38" s="24">
        <f>IF(E38="","",ROUND(E38-AP38,2))</f>
        <v/>
      </c>
    </row>
    <row r="39" ht="13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25">
        <f>IF(OR(E38="",J38="",N(L$7)=0),"",MAX(0,MIN(I38,L$7+6)-MAX(H38,L$7)+1)/J38*E38)</f>
        <v/>
      </c>
      <c r="M39" s="25">
        <f>IF(OR(E38="",J38="",N(M$7)=0),"",MAX(0,MIN(I38,M$7+6)-MAX(H38,M$7)+1)/J38*E38)</f>
        <v/>
      </c>
      <c r="N39" s="25">
        <f>IF(OR(E38="",J38="",N(N$7)=0),"",MAX(0,MIN(I38,N$7+6)-MAX(H38,N$7)+1)/J38*E38)</f>
        <v/>
      </c>
      <c r="O39" s="25">
        <f>IF(OR(E38="",J38="",N(O$7)=0),"",MAX(0,MIN(I38,O$7+6)-MAX(H38,O$7)+1)/J38*E38)</f>
        <v/>
      </c>
      <c r="P39" s="25">
        <f>IF(OR(E38="",J38="",N(P$7)=0),"",MAX(0,MIN(I38,P$7+6)-MAX(H38,P$7)+1)/J38*E38)</f>
        <v/>
      </c>
      <c r="Q39" s="25">
        <f>IF(OR(E38="",J38="",N(Q$7)=0),"",MAX(0,MIN(I38,Q$7+6)-MAX(H38,Q$7)+1)/J38*E38)</f>
        <v/>
      </c>
      <c r="R39" s="25">
        <f>IF(OR(E38="",J38="",N(R$7)=0),"",MAX(0,MIN(I38,R$7+6)-MAX(H38,R$7)+1)/J38*E38)</f>
        <v/>
      </c>
      <c r="S39" s="25">
        <f>IF(OR(E38="",J38="",N(S$7)=0),"",MAX(0,MIN(I38,S$7+6)-MAX(H38,S$7)+1)/J38*E38)</f>
        <v/>
      </c>
      <c r="T39" s="25">
        <f>IF(OR(E38="",J38="",N(T$7)=0),"",MAX(0,MIN(I38,T$7+6)-MAX(H38,T$7)+1)/J38*E38)</f>
        <v/>
      </c>
      <c r="U39" s="25">
        <f>IF(OR(E38="",J38="",N(U$7)=0),"",MAX(0,MIN(I38,U$7+6)-MAX(H38,U$7)+1)/J38*E38)</f>
        <v/>
      </c>
      <c r="V39" s="25">
        <f>IF(OR(E38="",J38="",N(V$7)=0),"",MAX(0,MIN(I38,V$7+6)-MAX(H38,V$7)+1)/J38*E38)</f>
        <v/>
      </c>
      <c r="W39" s="25">
        <f>IF(OR(E38="",J38="",N(W$7)=0),"",MAX(0,MIN(I38,W$7+6)-MAX(H38,W$7)+1)/J38*E38)</f>
        <v/>
      </c>
      <c r="X39" s="25">
        <f>IF(OR(E38="",J38="",N(X$7)=0),"",MAX(0,MIN(I38,X$7+6)-MAX(H38,X$7)+1)/J38*E38)</f>
        <v/>
      </c>
      <c r="Y39" s="25">
        <f>IF(OR(E38="",J38="",N(Y$7)=0),"",MAX(0,MIN(I38,Y$7+6)-MAX(H38,Y$7)+1)/J38*E38)</f>
        <v/>
      </c>
      <c r="Z39" s="25">
        <f>IF(OR(E38="",J38="",N(Z$7)=0),"",MAX(0,MIN(I38,Z$7+6)-MAX(H38,Z$7)+1)/J38*E38)</f>
        <v/>
      </c>
      <c r="AA39" s="25">
        <f>IF(OR(E38="",J38="",N(AA$7)=0),"",MAX(0,MIN(I38,AA$7+6)-MAX(H38,AA$7)+1)/J38*E38)</f>
        <v/>
      </c>
      <c r="AB39" s="25">
        <f>IF(OR(E38="",J38="",N(AB$7)=0),"",MAX(0,MIN(I38,AB$7+6)-MAX(H38,AB$7)+1)/J38*E38)</f>
        <v/>
      </c>
      <c r="AC39" s="25">
        <f>IF(OR(E38="",J38="",N(AC$7)=0),"",MAX(0,MIN(I38,AC$7+6)-MAX(H38,AC$7)+1)/J38*E38)</f>
        <v/>
      </c>
      <c r="AD39" s="25">
        <f>IF(OR(E38="",J38="",N(AD$7)=0),"",MAX(0,MIN(I38,AD$7+6)-MAX(H38,AD$7)+1)/J38*E38)</f>
        <v/>
      </c>
      <c r="AE39" s="25">
        <f>IF(OR(E38="",J38="",N(AE$7)=0),"",MAX(0,MIN(I38,AE$7+6)-MAX(H38,AE$7)+1)/J38*E38)</f>
        <v/>
      </c>
      <c r="AF39" s="25">
        <f>IF(OR(E38="",J38="",N(AF$7)=0),"",MAX(0,MIN(I38,AF$7+6)-MAX(H38,AF$7)+1)/J38*E38)</f>
        <v/>
      </c>
      <c r="AG39" s="25">
        <f>IF(OR(E38="",J38="",N(AG$7)=0),"",MAX(0,MIN(I38,AG$7+6)-MAX(H38,AG$7)+1)/J38*E38)</f>
        <v/>
      </c>
      <c r="AH39" s="25">
        <f>IF(OR(E38="",J38="",N(AH$7)=0),"",MAX(0,MIN(I38,AH$7+6)-MAX(H38,AH$7)+1)/J38*E38)</f>
        <v/>
      </c>
      <c r="AI39" s="25">
        <f>IF(OR(E38="",J38="",N(AI$7)=0),"",MAX(0,MIN(I38,AI$7+6)-MAX(H38,AI$7)+1)/J38*E38)</f>
        <v/>
      </c>
      <c r="AJ39" s="25">
        <f>IF(OR(E38="",J38="",N(AJ$7)=0),"",MAX(0,MIN(I38,AJ$7+6)-MAX(H38,AJ$7)+1)/J38*E38)</f>
        <v/>
      </c>
      <c r="AK39" s="25">
        <f>IF(OR(E38="",J38="",N(AK$7)=0),"",MAX(0,MIN(I38,AK$7+6)-MAX(H38,AK$7)+1)/J38*E38)</f>
        <v/>
      </c>
      <c r="AL39" s="25">
        <f>IF(OR(E38="",J38="",N(AL$7)=0),"",MAX(0,MIN(I38,AL$7+6)-MAX(H38,AL$7)+1)/J38*E38)</f>
        <v/>
      </c>
      <c r="AM39" s="25">
        <f>IF(OR(E38="",J38="",N(AM$7)=0),"",MAX(0,MIN(I38,AM$7+6)-MAX(H38,AM$7)+1)/J38*E38)</f>
        <v/>
      </c>
      <c r="AN39" s="25">
        <f>IF(OR(E38="",J38="",N(AN$7)=0),"",MAX(0,MIN(I38,AN$7+6)-MAX(H38,AN$7)+1)/J38*E38)</f>
        <v/>
      </c>
      <c r="AO39" s="25">
        <f>IF(OR(E38="",J38="",N(AO$7)=0),"",MAX(0,MIN(I38,AO$7+6)-MAX(H38,AO$7)+1)/J38*E38)</f>
        <v/>
      </c>
      <c r="AP39" s="6" t="n"/>
      <c r="AQ39" s="6" t="n"/>
    </row>
    <row r="40" ht="11" customHeight="1">
      <c r="A40" s="14" t="n"/>
      <c r="B40" s="14" t="n"/>
      <c r="C40" s="15" t="n"/>
      <c r="D40" s="16" t="n"/>
      <c r="E40" s="17">
        <f>IF(OR(N(D40)=0,N($D$48)=0),"",D40/$D$48*100)</f>
        <v/>
      </c>
      <c r="F40" s="18" t="n"/>
      <c r="G40" s="14" t="n"/>
      <c r="H40" s="19" t="n"/>
      <c r="I40" s="19" t="n"/>
      <c r="J40" s="20">
        <f>IF(OR(N(H40)=0,N(I40)=0),"",I40-H40+1)</f>
        <v/>
      </c>
      <c r="K40" s="21" t="n"/>
      <c r="L40" s="22" t="inlineStr"/>
      <c r="M40" s="22" t="inlineStr"/>
      <c r="N40" s="22" t="inlineStr"/>
      <c r="O40" s="22" t="inlineStr"/>
      <c r="P40" s="22" t="inlineStr"/>
      <c r="Q40" s="22" t="inlineStr"/>
      <c r="R40" s="22" t="inlineStr"/>
      <c r="S40" s="22" t="inlineStr"/>
      <c r="T40" s="22" t="inlineStr"/>
      <c r="U40" s="22" t="inlineStr"/>
      <c r="V40" s="22" t="inlineStr"/>
      <c r="W40" s="22" t="inlineStr"/>
      <c r="X40" s="22" t="inlineStr"/>
      <c r="Y40" s="22" t="inlineStr"/>
      <c r="Z40" s="22" t="inlineStr"/>
      <c r="AA40" s="22" t="inlineStr"/>
      <c r="AB40" s="22" t="inlineStr"/>
      <c r="AC40" s="22" t="inlineStr"/>
      <c r="AD40" s="22" t="inlineStr"/>
      <c r="AE40" s="22" t="inlineStr"/>
      <c r="AF40" s="22" t="inlineStr"/>
      <c r="AG40" s="22" t="inlineStr"/>
      <c r="AH40" s="22" t="inlineStr"/>
      <c r="AI40" s="22" t="inlineStr"/>
      <c r="AJ40" s="22" t="inlineStr"/>
      <c r="AK40" s="22" t="inlineStr"/>
      <c r="AL40" s="22" t="inlineStr"/>
      <c r="AM40" s="22" t="inlineStr"/>
      <c r="AN40" s="22" t="inlineStr"/>
      <c r="AO40" s="22" t="inlineStr"/>
      <c r="AP40" s="23">
        <f>IF(E40="","",SUM(L41:AO41))</f>
        <v/>
      </c>
      <c r="AQ40" s="24">
        <f>IF(E40="","",ROUND(E40-AP40,2))</f>
        <v/>
      </c>
    </row>
    <row r="41" ht="13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25">
        <f>IF(OR(E40="",J40="",N(L$7)=0),"",MAX(0,MIN(I40,L$7+6)-MAX(H40,L$7)+1)/J40*E40)</f>
        <v/>
      </c>
      <c r="M41" s="25">
        <f>IF(OR(E40="",J40="",N(M$7)=0),"",MAX(0,MIN(I40,M$7+6)-MAX(H40,M$7)+1)/J40*E40)</f>
        <v/>
      </c>
      <c r="N41" s="25">
        <f>IF(OR(E40="",J40="",N(N$7)=0),"",MAX(0,MIN(I40,N$7+6)-MAX(H40,N$7)+1)/J40*E40)</f>
        <v/>
      </c>
      <c r="O41" s="25">
        <f>IF(OR(E40="",J40="",N(O$7)=0),"",MAX(0,MIN(I40,O$7+6)-MAX(H40,O$7)+1)/J40*E40)</f>
        <v/>
      </c>
      <c r="P41" s="25">
        <f>IF(OR(E40="",J40="",N(P$7)=0),"",MAX(0,MIN(I40,P$7+6)-MAX(H40,P$7)+1)/J40*E40)</f>
        <v/>
      </c>
      <c r="Q41" s="25">
        <f>IF(OR(E40="",J40="",N(Q$7)=0),"",MAX(0,MIN(I40,Q$7+6)-MAX(H40,Q$7)+1)/J40*E40)</f>
        <v/>
      </c>
      <c r="R41" s="25">
        <f>IF(OR(E40="",J40="",N(R$7)=0),"",MAX(0,MIN(I40,R$7+6)-MAX(H40,R$7)+1)/J40*E40)</f>
        <v/>
      </c>
      <c r="S41" s="25">
        <f>IF(OR(E40="",J40="",N(S$7)=0),"",MAX(0,MIN(I40,S$7+6)-MAX(H40,S$7)+1)/J40*E40)</f>
        <v/>
      </c>
      <c r="T41" s="25">
        <f>IF(OR(E40="",J40="",N(T$7)=0),"",MAX(0,MIN(I40,T$7+6)-MAX(H40,T$7)+1)/J40*E40)</f>
        <v/>
      </c>
      <c r="U41" s="25">
        <f>IF(OR(E40="",J40="",N(U$7)=0),"",MAX(0,MIN(I40,U$7+6)-MAX(H40,U$7)+1)/J40*E40)</f>
        <v/>
      </c>
      <c r="V41" s="25">
        <f>IF(OR(E40="",J40="",N(V$7)=0),"",MAX(0,MIN(I40,V$7+6)-MAX(H40,V$7)+1)/J40*E40)</f>
        <v/>
      </c>
      <c r="W41" s="25">
        <f>IF(OR(E40="",J40="",N(W$7)=0),"",MAX(0,MIN(I40,W$7+6)-MAX(H40,W$7)+1)/J40*E40)</f>
        <v/>
      </c>
      <c r="X41" s="25">
        <f>IF(OR(E40="",J40="",N(X$7)=0),"",MAX(0,MIN(I40,X$7+6)-MAX(H40,X$7)+1)/J40*E40)</f>
        <v/>
      </c>
      <c r="Y41" s="25">
        <f>IF(OR(E40="",J40="",N(Y$7)=0),"",MAX(0,MIN(I40,Y$7+6)-MAX(H40,Y$7)+1)/J40*E40)</f>
        <v/>
      </c>
      <c r="Z41" s="25">
        <f>IF(OR(E40="",J40="",N(Z$7)=0),"",MAX(0,MIN(I40,Z$7+6)-MAX(H40,Z$7)+1)/J40*E40)</f>
        <v/>
      </c>
      <c r="AA41" s="25">
        <f>IF(OR(E40="",J40="",N(AA$7)=0),"",MAX(0,MIN(I40,AA$7+6)-MAX(H40,AA$7)+1)/J40*E40)</f>
        <v/>
      </c>
      <c r="AB41" s="25">
        <f>IF(OR(E40="",J40="",N(AB$7)=0),"",MAX(0,MIN(I40,AB$7+6)-MAX(H40,AB$7)+1)/J40*E40)</f>
        <v/>
      </c>
      <c r="AC41" s="25">
        <f>IF(OR(E40="",J40="",N(AC$7)=0),"",MAX(0,MIN(I40,AC$7+6)-MAX(H40,AC$7)+1)/J40*E40)</f>
        <v/>
      </c>
      <c r="AD41" s="25">
        <f>IF(OR(E40="",J40="",N(AD$7)=0),"",MAX(0,MIN(I40,AD$7+6)-MAX(H40,AD$7)+1)/J40*E40)</f>
        <v/>
      </c>
      <c r="AE41" s="25">
        <f>IF(OR(E40="",J40="",N(AE$7)=0),"",MAX(0,MIN(I40,AE$7+6)-MAX(H40,AE$7)+1)/J40*E40)</f>
        <v/>
      </c>
      <c r="AF41" s="25">
        <f>IF(OR(E40="",J40="",N(AF$7)=0),"",MAX(0,MIN(I40,AF$7+6)-MAX(H40,AF$7)+1)/J40*E40)</f>
        <v/>
      </c>
      <c r="AG41" s="25">
        <f>IF(OR(E40="",J40="",N(AG$7)=0),"",MAX(0,MIN(I40,AG$7+6)-MAX(H40,AG$7)+1)/J40*E40)</f>
        <v/>
      </c>
      <c r="AH41" s="25">
        <f>IF(OR(E40="",J40="",N(AH$7)=0),"",MAX(0,MIN(I40,AH$7+6)-MAX(H40,AH$7)+1)/J40*E40)</f>
        <v/>
      </c>
      <c r="AI41" s="25">
        <f>IF(OR(E40="",J40="",N(AI$7)=0),"",MAX(0,MIN(I40,AI$7+6)-MAX(H40,AI$7)+1)/J40*E40)</f>
        <v/>
      </c>
      <c r="AJ41" s="25">
        <f>IF(OR(E40="",J40="",N(AJ$7)=0),"",MAX(0,MIN(I40,AJ$7+6)-MAX(H40,AJ$7)+1)/J40*E40)</f>
        <v/>
      </c>
      <c r="AK41" s="25">
        <f>IF(OR(E40="",J40="",N(AK$7)=0),"",MAX(0,MIN(I40,AK$7+6)-MAX(H40,AK$7)+1)/J40*E40)</f>
        <v/>
      </c>
      <c r="AL41" s="25">
        <f>IF(OR(E40="",J40="",N(AL$7)=0),"",MAX(0,MIN(I40,AL$7+6)-MAX(H40,AL$7)+1)/J40*E40)</f>
        <v/>
      </c>
      <c r="AM41" s="25">
        <f>IF(OR(E40="",J40="",N(AM$7)=0),"",MAX(0,MIN(I40,AM$7+6)-MAX(H40,AM$7)+1)/J40*E40)</f>
        <v/>
      </c>
      <c r="AN41" s="25">
        <f>IF(OR(E40="",J40="",N(AN$7)=0),"",MAX(0,MIN(I40,AN$7+6)-MAX(H40,AN$7)+1)/J40*E40)</f>
        <v/>
      </c>
      <c r="AO41" s="25">
        <f>IF(OR(E40="",J40="",N(AO$7)=0),"",MAX(0,MIN(I40,AO$7+6)-MAX(H40,AO$7)+1)/J40*E40)</f>
        <v/>
      </c>
      <c r="AP41" s="6" t="n"/>
      <c r="AQ41" s="6" t="n"/>
    </row>
    <row r="42" ht="11" customHeight="1">
      <c r="A42" s="14" t="n"/>
      <c r="B42" s="14" t="n"/>
      <c r="C42" s="15" t="n"/>
      <c r="D42" s="16" t="n"/>
      <c r="E42" s="17">
        <f>IF(OR(N(D42)=0,N($D$48)=0),"",D42/$D$48*100)</f>
        <v/>
      </c>
      <c r="F42" s="18" t="n"/>
      <c r="G42" s="14" t="n"/>
      <c r="H42" s="19" t="n"/>
      <c r="I42" s="19" t="n"/>
      <c r="J42" s="20">
        <f>IF(OR(N(H42)=0,N(I42)=0),"",I42-H42+1)</f>
        <v/>
      </c>
      <c r="K42" s="21" t="n"/>
      <c r="L42" s="22" t="inlineStr"/>
      <c r="M42" s="22" t="inlineStr"/>
      <c r="N42" s="22" t="inlineStr"/>
      <c r="O42" s="22" t="inlineStr"/>
      <c r="P42" s="22" t="inlineStr"/>
      <c r="Q42" s="22" t="inlineStr"/>
      <c r="R42" s="22" t="inlineStr"/>
      <c r="S42" s="22" t="inlineStr"/>
      <c r="T42" s="22" t="inlineStr"/>
      <c r="U42" s="22" t="inlineStr"/>
      <c r="V42" s="22" t="inlineStr"/>
      <c r="W42" s="22" t="inlineStr"/>
      <c r="X42" s="22" t="inlineStr"/>
      <c r="Y42" s="22" t="inlineStr"/>
      <c r="Z42" s="22" t="inlineStr"/>
      <c r="AA42" s="22" t="inlineStr"/>
      <c r="AB42" s="22" t="inlineStr"/>
      <c r="AC42" s="22" t="inlineStr"/>
      <c r="AD42" s="22" t="inlineStr"/>
      <c r="AE42" s="22" t="inlineStr"/>
      <c r="AF42" s="22" t="inlineStr"/>
      <c r="AG42" s="22" t="inlineStr"/>
      <c r="AH42" s="22" t="inlineStr"/>
      <c r="AI42" s="22" t="inlineStr"/>
      <c r="AJ42" s="22" t="inlineStr"/>
      <c r="AK42" s="22" t="inlineStr"/>
      <c r="AL42" s="22" t="inlineStr"/>
      <c r="AM42" s="22" t="inlineStr"/>
      <c r="AN42" s="22" t="inlineStr"/>
      <c r="AO42" s="22" t="inlineStr"/>
      <c r="AP42" s="23">
        <f>IF(E42="","",SUM(L43:AO43))</f>
        <v/>
      </c>
      <c r="AQ42" s="24">
        <f>IF(E42="","",ROUND(E42-AP42,2))</f>
        <v/>
      </c>
    </row>
    <row r="43" ht="13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25">
        <f>IF(OR(E42="",J42="",N(L$7)=0),"",MAX(0,MIN(I42,L$7+6)-MAX(H42,L$7)+1)/J42*E42)</f>
        <v/>
      </c>
      <c r="M43" s="25">
        <f>IF(OR(E42="",J42="",N(M$7)=0),"",MAX(0,MIN(I42,M$7+6)-MAX(H42,M$7)+1)/J42*E42)</f>
        <v/>
      </c>
      <c r="N43" s="25">
        <f>IF(OR(E42="",J42="",N(N$7)=0),"",MAX(0,MIN(I42,N$7+6)-MAX(H42,N$7)+1)/J42*E42)</f>
        <v/>
      </c>
      <c r="O43" s="25">
        <f>IF(OR(E42="",J42="",N(O$7)=0),"",MAX(0,MIN(I42,O$7+6)-MAX(H42,O$7)+1)/J42*E42)</f>
        <v/>
      </c>
      <c r="P43" s="25">
        <f>IF(OR(E42="",J42="",N(P$7)=0),"",MAX(0,MIN(I42,P$7+6)-MAX(H42,P$7)+1)/J42*E42)</f>
        <v/>
      </c>
      <c r="Q43" s="25">
        <f>IF(OR(E42="",J42="",N(Q$7)=0),"",MAX(0,MIN(I42,Q$7+6)-MAX(H42,Q$7)+1)/J42*E42)</f>
        <v/>
      </c>
      <c r="R43" s="25">
        <f>IF(OR(E42="",J42="",N(R$7)=0),"",MAX(0,MIN(I42,R$7+6)-MAX(H42,R$7)+1)/J42*E42)</f>
        <v/>
      </c>
      <c r="S43" s="25">
        <f>IF(OR(E42="",J42="",N(S$7)=0),"",MAX(0,MIN(I42,S$7+6)-MAX(H42,S$7)+1)/J42*E42)</f>
        <v/>
      </c>
      <c r="T43" s="25">
        <f>IF(OR(E42="",J42="",N(T$7)=0),"",MAX(0,MIN(I42,T$7+6)-MAX(H42,T$7)+1)/J42*E42)</f>
        <v/>
      </c>
      <c r="U43" s="25">
        <f>IF(OR(E42="",J42="",N(U$7)=0),"",MAX(0,MIN(I42,U$7+6)-MAX(H42,U$7)+1)/J42*E42)</f>
        <v/>
      </c>
      <c r="V43" s="25">
        <f>IF(OR(E42="",J42="",N(V$7)=0),"",MAX(0,MIN(I42,V$7+6)-MAX(H42,V$7)+1)/J42*E42)</f>
        <v/>
      </c>
      <c r="W43" s="25">
        <f>IF(OR(E42="",J42="",N(W$7)=0),"",MAX(0,MIN(I42,W$7+6)-MAX(H42,W$7)+1)/J42*E42)</f>
        <v/>
      </c>
      <c r="X43" s="25">
        <f>IF(OR(E42="",J42="",N(X$7)=0),"",MAX(0,MIN(I42,X$7+6)-MAX(H42,X$7)+1)/J42*E42)</f>
        <v/>
      </c>
      <c r="Y43" s="25">
        <f>IF(OR(E42="",J42="",N(Y$7)=0),"",MAX(0,MIN(I42,Y$7+6)-MAX(H42,Y$7)+1)/J42*E42)</f>
        <v/>
      </c>
      <c r="Z43" s="25">
        <f>IF(OR(E42="",J42="",N(Z$7)=0),"",MAX(0,MIN(I42,Z$7+6)-MAX(H42,Z$7)+1)/J42*E42)</f>
        <v/>
      </c>
      <c r="AA43" s="25">
        <f>IF(OR(E42="",J42="",N(AA$7)=0),"",MAX(0,MIN(I42,AA$7+6)-MAX(H42,AA$7)+1)/J42*E42)</f>
        <v/>
      </c>
      <c r="AB43" s="25">
        <f>IF(OR(E42="",J42="",N(AB$7)=0),"",MAX(0,MIN(I42,AB$7+6)-MAX(H42,AB$7)+1)/J42*E42)</f>
        <v/>
      </c>
      <c r="AC43" s="25">
        <f>IF(OR(E42="",J42="",N(AC$7)=0),"",MAX(0,MIN(I42,AC$7+6)-MAX(H42,AC$7)+1)/J42*E42)</f>
        <v/>
      </c>
      <c r="AD43" s="25">
        <f>IF(OR(E42="",J42="",N(AD$7)=0),"",MAX(0,MIN(I42,AD$7+6)-MAX(H42,AD$7)+1)/J42*E42)</f>
        <v/>
      </c>
      <c r="AE43" s="25">
        <f>IF(OR(E42="",J42="",N(AE$7)=0),"",MAX(0,MIN(I42,AE$7+6)-MAX(H42,AE$7)+1)/J42*E42)</f>
        <v/>
      </c>
      <c r="AF43" s="25">
        <f>IF(OR(E42="",J42="",N(AF$7)=0),"",MAX(0,MIN(I42,AF$7+6)-MAX(H42,AF$7)+1)/J42*E42)</f>
        <v/>
      </c>
      <c r="AG43" s="25">
        <f>IF(OR(E42="",J42="",N(AG$7)=0),"",MAX(0,MIN(I42,AG$7+6)-MAX(H42,AG$7)+1)/J42*E42)</f>
        <v/>
      </c>
      <c r="AH43" s="25">
        <f>IF(OR(E42="",J42="",N(AH$7)=0),"",MAX(0,MIN(I42,AH$7+6)-MAX(H42,AH$7)+1)/J42*E42)</f>
        <v/>
      </c>
      <c r="AI43" s="25">
        <f>IF(OR(E42="",J42="",N(AI$7)=0),"",MAX(0,MIN(I42,AI$7+6)-MAX(H42,AI$7)+1)/J42*E42)</f>
        <v/>
      </c>
      <c r="AJ43" s="25">
        <f>IF(OR(E42="",J42="",N(AJ$7)=0),"",MAX(0,MIN(I42,AJ$7+6)-MAX(H42,AJ$7)+1)/J42*E42)</f>
        <v/>
      </c>
      <c r="AK43" s="25">
        <f>IF(OR(E42="",J42="",N(AK$7)=0),"",MAX(0,MIN(I42,AK$7+6)-MAX(H42,AK$7)+1)/J42*E42)</f>
        <v/>
      </c>
      <c r="AL43" s="25">
        <f>IF(OR(E42="",J42="",N(AL$7)=0),"",MAX(0,MIN(I42,AL$7+6)-MAX(H42,AL$7)+1)/J42*E42)</f>
        <v/>
      </c>
      <c r="AM43" s="25">
        <f>IF(OR(E42="",J42="",N(AM$7)=0),"",MAX(0,MIN(I42,AM$7+6)-MAX(H42,AM$7)+1)/J42*E42)</f>
        <v/>
      </c>
      <c r="AN43" s="25">
        <f>IF(OR(E42="",J42="",N(AN$7)=0),"",MAX(0,MIN(I42,AN$7+6)-MAX(H42,AN$7)+1)/J42*E42)</f>
        <v/>
      </c>
      <c r="AO43" s="25">
        <f>IF(OR(E42="",J42="",N(AO$7)=0),"",MAX(0,MIN(I42,AO$7+6)-MAX(H42,AO$7)+1)/J42*E42)</f>
        <v/>
      </c>
      <c r="AP43" s="6" t="n"/>
      <c r="AQ43" s="6" t="n"/>
    </row>
    <row r="44" ht="11" customHeight="1">
      <c r="A44" s="14" t="n"/>
      <c r="B44" s="14" t="n"/>
      <c r="C44" s="15" t="n"/>
      <c r="D44" s="16" t="n"/>
      <c r="E44" s="17">
        <f>IF(OR(N(D44)=0,N($D$48)=0),"",D44/$D$48*100)</f>
        <v/>
      </c>
      <c r="F44" s="18" t="n"/>
      <c r="G44" s="14" t="n"/>
      <c r="H44" s="19" t="n"/>
      <c r="I44" s="19" t="n"/>
      <c r="J44" s="20">
        <f>IF(OR(N(H44)=0,N(I44)=0),"",I44-H44+1)</f>
        <v/>
      </c>
      <c r="K44" s="21" t="n"/>
      <c r="L44" s="22" t="inlineStr"/>
      <c r="M44" s="22" t="inlineStr"/>
      <c r="N44" s="22" t="inlineStr"/>
      <c r="O44" s="22" t="inlineStr"/>
      <c r="P44" s="22" t="inlineStr"/>
      <c r="Q44" s="22" t="inlineStr"/>
      <c r="R44" s="22" t="inlineStr"/>
      <c r="S44" s="22" t="inlineStr"/>
      <c r="T44" s="22" t="inlineStr"/>
      <c r="U44" s="22" t="inlineStr"/>
      <c r="V44" s="22" t="inlineStr"/>
      <c r="W44" s="22" t="inlineStr"/>
      <c r="X44" s="22" t="inlineStr"/>
      <c r="Y44" s="22" t="inlineStr"/>
      <c r="Z44" s="22" t="inlineStr"/>
      <c r="AA44" s="22" t="inlineStr"/>
      <c r="AB44" s="22" t="inlineStr"/>
      <c r="AC44" s="22" t="inlineStr"/>
      <c r="AD44" s="22" t="inlineStr"/>
      <c r="AE44" s="22" t="inlineStr"/>
      <c r="AF44" s="22" t="inlineStr"/>
      <c r="AG44" s="22" t="inlineStr"/>
      <c r="AH44" s="22" t="inlineStr"/>
      <c r="AI44" s="22" t="inlineStr"/>
      <c r="AJ44" s="22" t="inlineStr"/>
      <c r="AK44" s="22" t="inlineStr"/>
      <c r="AL44" s="22" t="inlineStr"/>
      <c r="AM44" s="22" t="inlineStr"/>
      <c r="AN44" s="22" t="inlineStr"/>
      <c r="AO44" s="22" t="inlineStr"/>
      <c r="AP44" s="23">
        <f>IF(E44="","",SUM(L45:AO45))</f>
        <v/>
      </c>
      <c r="AQ44" s="24">
        <f>IF(E44="","",ROUND(E44-AP44,2))</f>
        <v/>
      </c>
    </row>
    <row r="45" ht="13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25">
        <f>IF(OR(E44="",J44="",N(L$7)=0),"",MAX(0,MIN(I44,L$7+6)-MAX(H44,L$7)+1)/J44*E44)</f>
        <v/>
      </c>
      <c r="M45" s="25">
        <f>IF(OR(E44="",J44="",N(M$7)=0),"",MAX(0,MIN(I44,M$7+6)-MAX(H44,M$7)+1)/J44*E44)</f>
        <v/>
      </c>
      <c r="N45" s="25">
        <f>IF(OR(E44="",J44="",N(N$7)=0),"",MAX(0,MIN(I44,N$7+6)-MAX(H44,N$7)+1)/J44*E44)</f>
        <v/>
      </c>
      <c r="O45" s="25">
        <f>IF(OR(E44="",J44="",N(O$7)=0),"",MAX(0,MIN(I44,O$7+6)-MAX(H44,O$7)+1)/J44*E44)</f>
        <v/>
      </c>
      <c r="P45" s="25">
        <f>IF(OR(E44="",J44="",N(P$7)=0),"",MAX(0,MIN(I44,P$7+6)-MAX(H44,P$7)+1)/J44*E44)</f>
        <v/>
      </c>
      <c r="Q45" s="25">
        <f>IF(OR(E44="",J44="",N(Q$7)=0),"",MAX(0,MIN(I44,Q$7+6)-MAX(H44,Q$7)+1)/J44*E44)</f>
        <v/>
      </c>
      <c r="R45" s="25">
        <f>IF(OR(E44="",J44="",N(R$7)=0),"",MAX(0,MIN(I44,R$7+6)-MAX(H44,R$7)+1)/J44*E44)</f>
        <v/>
      </c>
      <c r="S45" s="25">
        <f>IF(OR(E44="",J44="",N(S$7)=0),"",MAX(0,MIN(I44,S$7+6)-MAX(H44,S$7)+1)/J44*E44)</f>
        <v/>
      </c>
      <c r="T45" s="25">
        <f>IF(OR(E44="",J44="",N(T$7)=0),"",MAX(0,MIN(I44,T$7+6)-MAX(H44,T$7)+1)/J44*E44)</f>
        <v/>
      </c>
      <c r="U45" s="25">
        <f>IF(OR(E44="",J44="",N(U$7)=0),"",MAX(0,MIN(I44,U$7+6)-MAX(H44,U$7)+1)/J44*E44)</f>
        <v/>
      </c>
      <c r="V45" s="25">
        <f>IF(OR(E44="",J44="",N(V$7)=0),"",MAX(0,MIN(I44,V$7+6)-MAX(H44,V$7)+1)/J44*E44)</f>
        <v/>
      </c>
      <c r="W45" s="25">
        <f>IF(OR(E44="",J44="",N(W$7)=0),"",MAX(0,MIN(I44,W$7+6)-MAX(H44,W$7)+1)/J44*E44)</f>
        <v/>
      </c>
      <c r="X45" s="25">
        <f>IF(OR(E44="",J44="",N(X$7)=0),"",MAX(0,MIN(I44,X$7+6)-MAX(H44,X$7)+1)/J44*E44)</f>
        <v/>
      </c>
      <c r="Y45" s="25">
        <f>IF(OR(E44="",J44="",N(Y$7)=0),"",MAX(0,MIN(I44,Y$7+6)-MAX(H44,Y$7)+1)/J44*E44)</f>
        <v/>
      </c>
      <c r="Z45" s="25">
        <f>IF(OR(E44="",J44="",N(Z$7)=0),"",MAX(0,MIN(I44,Z$7+6)-MAX(H44,Z$7)+1)/J44*E44)</f>
        <v/>
      </c>
      <c r="AA45" s="25">
        <f>IF(OR(E44="",J44="",N(AA$7)=0),"",MAX(0,MIN(I44,AA$7+6)-MAX(H44,AA$7)+1)/J44*E44)</f>
        <v/>
      </c>
      <c r="AB45" s="25">
        <f>IF(OR(E44="",J44="",N(AB$7)=0),"",MAX(0,MIN(I44,AB$7+6)-MAX(H44,AB$7)+1)/J44*E44)</f>
        <v/>
      </c>
      <c r="AC45" s="25">
        <f>IF(OR(E44="",J44="",N(AC$7)=0),"",MAX(0,MIN(I44,AC$7+6)-MAX(H44,AC$7)+1)/J44*E44)</f>
        <v/>
      </c>
      <c r="AD45" s="25">
        <f>IF(OR(E44="",J44="",N(AD$7)=0),"",MAX(0,MIN(I44,AD$7+6)-MAX(H44,AD$7)+1)/J44*E44)</f>
        <v/>
      </c>
      <c r="AE45" s="25">
        <f>IF(OR(E44="",J44="",N(AE$7)=0),"",MAX(0,MIN(I44,AE$7+6)-MAX(H44,AE$7)+1)/J44*E44)</f>
        <v/>
      </c>
      <c r="AF45" s="25">
        <f>IF(OR(E44="",J44="",N(AF$7)=0),"",MAX(0,MIN(I44,AF$7+6)-MAX(H44,AF$7)+1)/J44*E44)</f>
        <v/>
      </c>
      <c r="AG45" s="25">
        <f>IF(OR(E44="",J44="",N(AG$7)=0),"",MAX(0,MIN(I44,AG$7+6)-MAX(H44,AG$7)+1)/J44*E44)</f>
        <v/>
      </c>
      <c r="AH45" s="25">
        <f>IF(OR(E44="",J44="",N(AH$7)=0),"",MAX(0,MIN(I44,AH$7+6)-MAX(H44,AH$7)+1)/J44*E44)</f>
        <v/>
      </c>
      <c r="AI45" s="25">
        <f>IF(OR(E44="",J44="",N(AI$7)=0),"",MAX(0,MIN(I44,AI$7+6)-MAX(H44,AI$7)+1)/J44*E44)</f>
        <v/>
      </c>
      <c r="AJ45" s="25">
        <f>IF(OR(E44="",J44="",N(AJ$7)=0),"",MAX(0,MIN(I44,AJ$7+6)-MAX(H44,AJ$7)+1)/J44*E44)</f>
        <v/>
      </c>
      <c r="AK45" s="25">
        <f>IF(OR(E44="",J44="",N(AK$7)=0),"",MAX(0,MIN(I44,AK$7+6)-MAX(H44,AK$7)+1)/J44*E44)</f>
        <v/>
      </c>
      <c r="AL45" s="25">
        <f>IF(OR(E44="",J44="",N(AL$7)=0),"",MAX(0,MIN(I44,AL$7+6)-MAX(H44,AL$7)+1)/J44*E44)</f>
        <v/>
      </c>
      <c r="AM45" s="25">
        <f>IF(OR(E44="",J44="",N(AM$7)=0),"",MAX(0,MIN(I44,AM$7+6)-MAX(H44,AM$7)+1)/J44*E44)</f>
        <v/>
      </c>
      <c r="AN45" s="25">
        <f>IF(OR(E44="",J44="",N(AN$7)=0),"",MAX(0,MIN(I44,AN$7+6)-MAX(H44,AN$7)+1)/J44*E44)</f>
        <v/>
      </c>
      <c r="AO45" s="25">
        <f>IF(OR(E44="",J44="",N(AO$7)=0),"",MAX(0,MIN(I44,AO$7+6)-MAX(H44,AO$7)+1)/J44*E44)</f>
        <v/>
      </c>
      <c r="AP45" s="6" t="n"/>
      <c r="AQ45" s="6" t="n"/>
    </row>
    <row r="46" ht="11" customHeight="1">
      <c r="A46" s="14" t="n"/>
      <c r="B46" s="14" t="n"/>
      <c r="C46" s="15" t="n"/>
      <c r="D46" s="16" t="n"/>
      <c r="E46" s="17">
        <f>IF(OR(N(D46)=0,N($D$48)=0),"",D46/$D$48*100)</f>
        <v/>
      </c>
      <c r="F46" s="18" t="n"/>
      <c r="G46" s="14" t="n"/>
      <c r="H46" s="19" t="n"/>
      <c r="I46" s="19" t="n"/>
      <c r="J46" s="20">
        <f>IF(OR(N(H46)=0,N(I46)=0),"",I46-H46+1)</f>
        <v/>
      </c>
      <c r="K46" s="21" t="n"/>
      <c r="L46" s="22" t="inlineStr"/>
      <c r="M46" s="22" t="inlineStr"/>
      <c r="N46" s="22" t="inlineStr"/>
      <c r="O46" s="22" t="inlineStr"/>
      <c r="P46" s="22" t="inlineStr"/>
      <c r="Q46" s="22" t="inlineStr"/>
      <c r="R46" s="22" t="inlineStr"/>
      <c r="S46" s="22" t="inlineStr"/>
      <c r="T46" s="22" t="inlineStr"/>
      <c r="U46" s="22" t="inlineStr"/>
      <c r="V46" s="22" t="inlineStr"/>
      <c r="W46" s="22" t="inlineStr"/>
      <c r="X46" s="22" t="inlineStr"/>
      <c r="Y46" s="22" t="inlineStr"/>
      <c r="Z46" s="22" t="inlineStr"/>
      <c r="AA46" s="22" t="inlineStr"/>
      <c r="AB46" s="22" t="inlineStr"/>
      <c r="AC46" s="22" t="inlineStr"/>
      <c r="AD46" s="22" t="inlineStr"/>
      <c r="AE46" s="22" t="inlineStr"/>
      <c r="AF46" s="22" t="inlineStr"/>
      <c r="AG46" s="22" t="inlineStr"/>
      <c r="AH46" s="22" t="inlineStr"/>
      <c r="AI46" s="22" t="inlineStr"/>
      <c r="AJ46" s="22" t="inlineStr"/>
      <c r="AK46" s="22" t="inlineStr"/>
      <c r="AL46" s="22" t="inlineStr"/>
      <c r="AM46" s="22" t="inlineStr"/>
      <c r="AN46" s="22" t="inlineStr"/>
      <c r="AO46" s="22" t="inlineStr"/>
      <c r="AP46" s="23">
        <f>IF(E46="","",SUM(L47:AO47))</f>
        <v/>
      </c>
      <c r="AQ46" s="24">
        <f>IF(E46="","",ROUND(E46-AP46,2))</f>
        <v/>
      </c>
    </row>
    <row r="47" ht="13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25">
        <f>IF(OR(E46="",J46="",N(L$7)=0),"",MAX(0,MIN(I46,L$7+6)-MAX(H46,L$7)+1)/J46*E46)</f>
        <v/>
      </c>
      <c r="M47" s="25">
        <f>IF(OR(E46="",J46="",N(M$7)=0),"",MAX(0,MIN(I46,M$7+6)-MAX(H46,M$7)+1)/J46*E46)</f>
        <v/>
      </c>
      <c r="N47" s="25">
        <f>IF(OR(E46="",J46="",N(N$7)=0),"",MAX(0,MIN(I46,N$7+6)-MAX(H46,N$7)+1)/J46*E46)</f>
        <v/>
      </c>
      <c r="O47" s="25">
        <f>IF(OR(E46="",J46="",N(O$7)=0),"",MAX(0,MIN(I46,O$7+6)-MAX(H46,O$7)+1)/J46*E46)</f>
        <v/>
      </c>
      <c r="P47" s="25">
        <f>IF(OR(E46="",J46="",N(P$7)=0),"",MAX(0,MIN(I46,P$7+6)-MAX(H46,P$7)+1)/J46*E46)</f>
        <v/>
      </c>
      <c r="Q47" s="25">
        <f>IF(OR(E46="",J46="",N(Q$7)=0),"",MAX(0,MIN(I46,Q$7+6)-MAX(H46,Q$7)+1)/J46*E46)</f>
        <v/>
      </c>
      <c r="R47" s="25">
        <f>IF(OR(E46="",J46="",N(R$7)=0),"",MAX(0,MIN(I46,R$7+6)-MAX(H46,R$7)+1)/J46*E46)</f>
        <v/>
      </c>
      <c r="S47" s="25">
        <f>IF(OR(E46="",J46="",N(S$7)=0),"",MAX(0,MIN(I46,S$7+6)-MAX(H46,S$7)+1)/J46*E46)</f>
        <v/>
      </c>
      <c r="T47" s="25">
        <f>IF(OR(E46="",J46="",N(T$7)=0),"",MAX(0,MIN(I46,T$7+6)-MAX(H46,T$7)+1)/J46*E46)</f>
        <v/>
      </c>
      <c r="U47" s="25">
        <f>IF(OR(E46="",J46="",N(U$7)=0),"",MAX(0,MIN(I46,U$7+6)-MAX(H46,U$7)+1)/J46*E46)</f>
        <v/>
      </c>
      <c r="V47" s="25">
        <f>IF(OR(E46="",J46="",N(V$7)=0),"",MAX(0,MIN(I46,V$7+6)-MAX(H46,V$7)+1)/J46*E46)</f>
        <v/>
      </c>
      <c r="W47" s="25">
        <f>IF(OR(E46="",J46="",N(W$7)=0),"",MAX(0,MIN(I46,W$7+6)-MAX(H46,W$7)+1)/J46*E46)</f>
        <v/>
      </c>
      <c r="X47" s="25">
        <f>IF(OR(E46="",J46="",N(X$7)=0),"",MAX(0,MIN(I46,X$7+6)-MAX(H46,X$7)+1)/J46*E46)</f>
        <v/>
      </c>
      <c r="Y47" s="25">
        <f>IF(OR(E46="",J46="",N(Y$7)=0),"",MAX(0,MIN(I46,Y$7+6)-MAX(H46,Y$7)+1)/J46*E46)</f>
        <v/>
      </c>
      <c r="Z47" s="25">
        <f>IF(OR(E46="",J46="",N(Z$7)=0),"",MAX(0,MIN(I46,Z$7+6)-MAX(H46,Z$7)+1)/J46*E46)</f>
        <v/>
      </c>
      <c r="AA47" s="25">
        <f>IF(OR(E46="",J46="",N(AA$7)=0),"",MAX(0,MIN(I46,AA$7+6)-MAX(H46,AA$7)+1)/J46*E46)</f>
        <v/>
      </c>
      <c r="AB47" s="25">
        <f>IF(OR(E46="",J46="",N(AB$7)=0),"",MAX(0,MIN(I46,AB$7+6)-MAX(H46,AB$7)+1)/J46*E46)</f>
        <v/>
      </c>
      <c r="AC47" s="25">
        <f>IF(OR(E46="",J46="",N(AC$7)=0),"",MAX(0,MIN(I46,AC$7+6)-MAX(H46,AC$7)+1)/J46*E46)</f>
        <v/>
      </c>
      <c r="AD47" s="25">
        <f>IF(OR(E46="",J46="",N(AD$7)=0),"",MAX(0,MIN(I46,AD$7+6)-MAX(H46,AD$7)+1)/J46*E46)</f>
        <v/>
      </c>
      <c r="AE47" s="25">
        <f>IF(OR(E46="",J46="",N(AE$7)=0),"",MAX(0,MIN(I46,AE$7+6)-MAX(H46,AE$7)+1)/J46*E46)</f>
        <v/>
      </c>
      <c r="AF47" s="25">
        <f>IF(OR(E46="",J46="",N(AF$7)=0),"",MAX(0,MIN(I46,AF$7+6)-MAX(H46,AF$7)+1)/J46*E46)</f>
        <v/>
      </c>
      <c r="AG47" s="25">
        <f>IF(OR(E46="",J46="",N(AG$7)=0),"",MAX(0,MIN(I46,AG$7+6)-MAX(H46,AG$7)+1)/J46*E46)</f>
        <v/>
      </c>
      <c r="AH47" s="25">
        <f>IF(OR(E46="",J46="",N(AH$7)=0),"",MAX(0,MIN(I46,AH$7+6)-MAX(H46,AH$7)+1)/J46*E46)</f>
        <v/>
      </c>
      <c r="AI47" s="25">
        <f>IF(OR(E46="",J46="",N(AI$7)=0),"",MAX(0,MIN(I46,AI$7+6)-MAX(H46,AI$7)+1)/J46*E46)</f>
        <v/>
      </c>
      <c r="AJ47" s="25">
        <f>IF(OR(E46="",J46="",N(AJ$7)=0),"",MAX(0,MIN(I46,AJ$7+6)-MAX(H46,AJ$7)+1)/J46*E46)</f>
        <v/>
      </c>
      <c r="AK47" s="25">
        <f>IF(OR(E46="",J46="",N(AK$7)=0),"",MAX(0,MIN(I46,AK$7+6)-MAX(H46,AK$7)+1)/J46*E46)</f>
        <v/>
      </c>
      <c r="AL47" s="25">
        <f>IF(OR(E46="",J46="",N(AL$7)=0),"",MAX(0,MIN(I46,AL$7+6)-MAX(H46,AL$7)+1)/J46*E46)</f>
        <v/>
      </c>
      <c r="AM47" s="25">
        <f>IF(OR(E46="",J46="",N(AM$7)=0),"",MAX(0,MIN(I46,AM$7+6)-MAX(H46,AM$7)+1)/J46*E46)</f>
        <v/>
      </c>
      <c r="AN47" s="25">
        <f>IF(OR(E46="",J46="",N(AN$7)=0),"",MAX(0,MIN(I46,AN$7+6)-MAX(H46,AN$7)+1)/J46*E46)</f>
        <v/>
      </c>
      <c r="AO47" s="25">
        <f>IF(OR(E46="",J46="",N(AO$7)=0),"",MAX(0,MIN(I46,AO$7+6)-MAX(H46,AO$7)+1)/J46*E46)</f>
        <v/>
      </c>
      <c r="AP47" s="6" t="n"/>
      <c r="AQ47" s="6" t="n"/>
    </row>
    <row r="48" ht="18" customHeight="1">
      <c r="A48" s="26" t="inlineStr">
        <is>
          <t>총        계</t>
        </is>
      </c>
      <c r="B48" s="6" t="n"/>
      <c r="C48" s="6" t="n"/>
      <c r="D48" s="27">
        <f>SUM(D8:D47)</f>
        <v/>
      </c>
      <c r="E48" s="28">
        <f>IF(N(D48)=0,"",SUM(E8:E47))</f>
        <v/>
      </c>
      <c r="F48" s="26" t="inlineStr"/>
      <c r="G48" s="6" t="n"/>
      <c r="H48" s="6" t="n"/>
      <c r="I48" s="6" t="n"/>
      <c r="J48" s="6" t="n"/>
      <c r="K48" s="6" t="n"/>
      <c r="L48" s="26" t="inlineStr"/>
      <c r="M48" s="26" t="inlineStr"/>
      <c r="N48" s="26" t="inlineStr"/>
      <c r="O48" s="26" t="inlineStr"/>
      <c r="P48" s="26" t="inlineStr"/>
      <c r="Q48" s="26" t="inlineStr"/>
      <c r="R48" s="26" t="inlineStr"/>
      <c r="S48" s="26" t="inlineStr"/>
      <c r="T48" s="26" t="inlineStr"/>
      <c r="U48" s="26" t="inlineStr"/>
      <c r="V48" s="26" t="inlineStr"/>
      <c r="W48" s="26" t="inlineStr"/>
      <c r="X48" s="26" t="inlineStr"/>
      <c r="Y48" s="26" t="inlineStr"/>
      <c r="Z48" s="26" t="inlineStr"/>
      <c r="AA48" s="26" t="inlineStr"/>
      <c r="AB48" s="26" t="inlineStr"/>
      <c r="AC48" s="26" t="inlineStr"/>
      <c r="AD48" s="26" t="inlineStr"/>
      <c r="AE48" s="26" t="inlineStr"/>
      <c r="AF48" s="26" t="inlineStr"/>
      <c r="AG48" s="26" t="inlineStr"/>
      <c r="AH48" s="26" t="inlineStr"/>
      <c r="AI48" s="26" t="inlineStr"/>
      <c r="AJ48" s="26" t="inlineStr"/>
      <c r="AK48" s="26" t="inlineStr"/>
      <c r="AL48" s="26" t="inlineStr"/>
      <c r="AM48" s="26" t="inlineStr"/>
      <c r="AN48" s="26" t="inlineStr"/>
      <c r="AO48" s="26" t="inlineStr"/>
      <c r="AP48" s="26" t="inlineStr"/>
      <c r="AQ48" s="6" t="n"/>
    </row>
    <row r="49" ht="15" customHeight="1">
      <c r="A49" s="29" t="inlineStr">
        <is>
          <t>보    할  (%)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30" t="inlineStr">
        <is>
          <t>합  계</t>
        </is>
      </c>
      <c r="L49" s="31">
        <f>IF(N(D48)=0,"",SUM(L8:L47))</f>
        <v/>
      </c>
      <c r="M49" s="31">
        <f>IF(N(D48)=0,"",SUM(M8:M47))</f>
        <v/>
      </c>
      <c r="N49" s="31">
        <f>IF(N(D48)=0,"",SUM(N8:N47))</f>
        <v/>
      </c>
      <c r="O49" s="31">
        <f>IF(N(D48)=0,"",SUM(O8:O47))</f>
        <v/>
      </c>
      <c r="P49" s="31">
        <f>IF(N(D48)=0,"",SUM(P8:P47))</f>
        <v/>
      </c>
      <c r="Q49" s="31">
        <f>IF(N(D48)=0,"",SUM(Q8:Q47))</f>
        <v/>
      </c>
      <c r="R49" s="31">
        <f>IF(N(D48)=0,"",SUM(R8:R47))</f>
        <v/>
      </c>
      <c r="S49" s="31">
        <f>IF(N(D48)=0,"",SUM(S8:S47))</f>
        <v/>
      </c>
      <c r="T49" s="31">
        <f>IF(N(D48)=0,"",SUM(T8:T47))</f>
        <v/>
      </c>
      <c r="U49" s="31">
        <f>IF(N(D48)=0,"",SUM(U8:U47))</f>
        <v/>
      </c>
      <c r="V49" s="31">
        <f>IF(N(D48)=0,"",SUM(V8:V47))</f>
        <v/>
      </c>
      <c r="W49" s="31">
        <f>IF(N(D48)=0,"",SUM(W8:W47))</f>
        <v/>
      </c>
      <c r="X49" s="31">
        <f>IF(N(D48)=0,"",SUM(X8:X47))</f>
        <v/>
      </c>
      <c r="Y49" s="31">
        <f>IF(N(D48)=0,"",SUM(Y8:Y47))</f>
        <v/>
      </c>
      <c r="Z49" s="31">
        <f>IF(N(D48)=0,"",SUM(Z8:Z47))</f>
        <v/>
      </c>
      <c r="AA49" s="31">
        <f>IF(N(D48)=0,"",SUM(AA8:AA47))</f>
        <v/>
      </c>
      <c r="AB49" s="31">
        <f>IF(N(D48)=0,"",SUM(AB8:AB47))</f>
        <v/>
      </c>
      <c r="AC49" s="31">
        <f>IF(N(D48)=0,"",SUM(AC8:AC47))</f>
        <v/>
      </c>
      <c r="AD49" s="31">
        <f>IF(N(D48)=0,"",SUM(AD8:AD47))</f>
        <v/>
      </c>
      <c r="AE49" s="31">
        <f>IF(N(D48)=0,"",SUM(AE8:AE47))</f>
        <v/>
      </c>
      <c r="AF49" s="31">
        <f>IF(N(D48)=0,"",SUM(AF8:AF47))</f>
        <v/>
      </c>
      <c r="AG49" s="31">
        <f>IF(N(D48)=0,"",SUM(AG8:AG47))</f>
        <v/>
      </c>
      <c r="AH49" s="31">
        <f>IF(N(D48)=0,"",SUM(AH8:AH47))</f>
        <v/>
      </c>
      <c r="AI49" s="31">
        <f>IF(N(D48)=0,"",SUM(AI8:AI47))</f>
        <v/>
      </c>
      <c r="AJ49" s="31">
        <f>IF(N(D48)=0,"",SUM(AJ8:AJ47))</f>
        <v/>
      </c>
      <c r="AK49" s="31">
        <f>IF(N(D48)=0,"",SUM(AK8:AK47))</f>
        <v/>
      </c>
      <c r="AL49" s="31">
        <f>IF(N(D48)=0,"",SUM(AL8:AL47))</f>
        <v/>
      </c>
      <c r="AM49" s="31">
        <f>IF(N(D48)=0,"",SUM(AM8:AM47))</f>
        <v/>
      </c>
      <c r="AN49" s="31">
        <f>IF(N(D48)=0,"",SUM(AN8:AN47))</f>
        <v/>
      </c>
      <c r="AO49" s="31">
        <f>IF(N(D48)=0,"",SUM(AO8:AO47))</f>
        <v/>
      </c>
      <c r="AP49" s="22" t="inlineStr"/>
      <c r="AQ49" s="6" t="n"/>
    </row>
    <row r="50" ht="15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30" t="inlineStr">
        <is>
          <t>누  계</t>
        </is>
      </c>
      <c r="L50" s="32">
        <f>IF(N(D48)=0,"",L49)</f>
        <v/>
      </c>
      <c r="M50" s="32">
        <f>IF(N(D48)=0,"",M49+L50)</f>
        <v/>
      </c>
      <c r="N50" s="32">
        <f>IF(N(D48)=0,"",N49+M50)</f>
        <v/>
      </c>
      <c r="O50" s="32">
        <f>IF(N(D48)=0,"",O49+N50)</f>
        <v/>
      </c>
      <c r="P50" s="32">
        <f>IF(N(D48)=0,"",P49+O50)</f>
        <v/>
      </c>
      <c r="Q50" s="32">
        <f>IF(N(D48)=0,"",Q49+P50)</f>
        <v/>
      </c>
      <c r="R50" s="32">
        <f>IF(N(D48)=0,"",R49+Q50)</f>
        <v/>
      </c>
      <c r="S50" s="32">
        <f>IF(N(D48)=0,"",S49+R50)</f>
        <v/>
      </c>
      <c r="T50" s="32">
        <f>IF(N(D48)=0,"",T49+S50)</f>
        <v/>
      </c>
      <c r="U50" s="32">
        <f>IF(N(D48)=0,"",U49+T50)</f>
        <v/>
      </c>
      <c r="V50" s="32">
        <f>IF(N(D48)=0,"",V49+U50)</f>
        <v/>
      </c>
      <c r="W50" s="32">
        <f>IF(N(D48)=0,"",W49+V50)</f>
        <v/>
      </c>
      <c r="X50" s="32">
        <f>IF(N(D48)=0,"",X49+W50)</f>
        <v/>
      </c>
      <c r="Y50" s="32">
        <f>IF(N(D48)=0,"",Y49+X50)</f>
        <v/>
      </c>
      <c r="Z50" s="32">
        <f>IF(N(D48)=0,"",Z49+Y50)</f>
        <v/>
      </c>
      <c r="AA50" s="32">
        <f>IF(N(D48)=0,"",AA49+Z50)</f>
        <v/>
      </c>
      <c r="AB50" s="32">
        <f>IF(N(D48)=0,"",AB49+AA50)</f>
        <v/>
      </c>
      <c r="AC50" s="32">
        <f>IF(N(D48)=0,"",AC49+AB50)</f>
        <v/>
      </c>
      <c r="AD50" s="32">
        <f>IF(N(D48)=0,"",AD49+AC50)</f>
        <v/>
      </c>
      <c r="AE50" s="32">
        <f>IF(N(D48)=0,"",AE49+AD50)</f>
        <v/>
      </c>
      <c r="AF50" s="32">
        <f>IF(N(D48)=0,"",AF49+AE50)</f>
        <v/>
      </c>
      <c r="AG50" s="32">
        <f>IF(N(D48)=0,"",AG49+AF50)</f>
        <v/>
      </c>
      <c r="AH50" s="32">
        <f>IF(N(D48)=0,"",AH49+AG50)</f>
        <v/>
      </c>
      <c r="AI50" s="32">
        <f>IF(N(D48)=0,"",AI49+AH50)</f>
        <v/>
      </c>
      <c r="AJ50" s="32">
        <f>IF(N(D48)=0,"",AJ49+AI50)</f>
        <v/>
      </c>
      <c r="AK50" s="32">
        <f>IF(N(D48)=0,"",AK49+AJ50)</f>
        <v/>
      </c>
      <c r="AL50" s="32">
        <f>IF(N(D48)=0,"",AL49+AK50)</f>
        <v/>
      </c>
      <c r="AM50" s="32">
        <f>IF(N(D48)=0,"",AM49+AL50)</f>
        <v/>
      </c>
      <c r="AN50" s="32">
        <f>IF(N(D48)=0,"",AN49+AM50)</f>
        <v/>
      </c>
      <c r="AO50" s="32">
        <f>IF(N(D48)=0,"",AO49+AN50)</f>
        <v/>
      </c>
      <c r="AP50" s="22" t="inlineStr"/>
      <c r="AQ50" s="6" t="n"/>
    </row>
    <row r="51" ht="16" customHeight="1">
      <c r="A51" s="33">
        <f>IF(COUNTIF(AQ8:AQ47,"&gt;0.004")+COUNTIF(AQ8:AQ47,"&lt;-0.004")&gt;0,"⚠ 공정표 기간 밖으로 나간 공종이 있습니다(«차이» 칸) — 첫 주 시작일이나 공종 날짜를 확인하세요.",IF(SUMPRODUCT((H8:H47&gt;0)*(I8:I47&gt;0)*(I8:I47&lt;H8:H47))&gt;0,"⚠ 끝 날짜가 시작보다 빠른 공종이 있습니다.",""))</f>
        <v/>
      </c>
    </row>
    <row r="53" ht="19.5" customHeight="1">
      <c r="A53" s="34" t="inlineStr">
        <is>
          <t>흰 칸(구분 · 공종 · 금액 · 수량 · 시작 · 끝 · 참조사항)만 적으면 하늘색 칸과 주간 칸 · 막대 · 합계 · 누계가 저절로 채워집니다.</t>
        </is>
      </c>
    </row>
    <row r="54" ht="19.5" customHeight="1">
      <c r="A54" s="34" t="inlineStr">
        <is>
          <t>주간 칸 = 보할 × (그 주(월~일)에 걸친 날 수 ÷ 공종 기간). 휴무 주를 빼려면 공종을 둘로 나눠 적으세요. 공정곡선 시트는 누계를 그립니다.</t>
        </is>
      </c>
    </row>
  </sheetData>
  <mergeCells count="291">
    <mergeCell ref="F44:F45"/>
    <mergeCell ref="H26:H27"/>
    <mergeCell ref="AP18:AP19"/>
    <mergeCell ref="C30:C31"/>
    <mergeCell ref="I32:I33"/>
    <mergeCell ref="K32:K33"/>
    <mergeCell ref="E8:E9"/>
    <mergeCell ref="K26:K27"/>
    <mergeCell ref="D5:D7"/>
    <mergeCell ref="G8:G9"/>
    <mergeCell ref="B12:B13"/>
    <mergeCell ref="D22:D23"/>
    <mergeCell ref="A2:AQ2"/>
    <mergeCell ref="I16:I17"/>
    <mergeCell ref="AP42:AP43"/>
    <mergeCell ref="A16:A17"/>
    <mergeCell ref="C10:C11"/>
    <mergeCell ref="C16:C17"/>
    <mergeCell ref="B42:B43"/>
    <mergeCell ref="E10:E11"/>
    <mergeCell ref="D36:D37"/>
    <mergeCell ref="G10:G11"/>
    <mergeCell ref="B5:B7"/>
    <mergeCell ref="B14:B15"/>
    <mergeCell ref="F18:F19"/>
    <mergeCell ref="I26:I27"/>
    <mergeCell ref="F30:F31"/>
    <mergeCell ref="H34:H35"/>
    <mergeCell ref="D32:D33"/>
    <mergeCell ref="I18:I19"/>
    <mergeCell ref="AP44:AP45"/>
    <mergeCell ref="F26:F27"/>
    <mergeCell ref="AQ8:AQ9"/>
    <mergeCell ref="AP34:AP35"/>
    <mergeCell ref="H36:H37"/>
    <mergeCell ref="F42:F43"/>
    <mergeCell ref="D16:D17"/>
    <mergeCell ref="J36:J37"/>
    <mergeCell ref="H5:H7"/>
    <mergeCell ref="B28:B29"/>
    <mergeCell ref="J5:J7"/>
    <mergeCell ref="G18:G19"/>
    <mergeCell ref="J32:J33"/>
    <mergeCell ref="Y3:AQ3"/>
    <mergeCell ref="AQ10:AQ11"/>
    <mergeCell ref="G46:G47"/>
    <mergeCell ref="AP30:AP31"/>
    <mergeCell ref="A22:A23"/>
    <mergeCell ref="D18:D19"/>
    <mergeCell ref="I42:I43"/>
    <mergeCell ref="F28:F29"/>
    <mergeCell ref="I20:I21"/>
    <mergeCell ref="D8:D9"/>
    <mergeCell ref="H28:H29"/>
    <mergeCell ref="A20:A21"/>
    <mergeCell ref="C3:K3"/>
    <mergeCell ref="J22:J23"/>
    <mergeCell ref="G40:G41"/>
    <mergeCell ref="K5:K7"/>
    <mergeCell ref="K42:K43"/>
    <mergeCell ref="B40:B41"/>
    <mergeCell ref="A51:AQ51"/>
    <mergeCell ref="H24:H25"/>
    <mergeCell ref="AP16:AP17"/>
    <mergeCell ref="G44:G45"/>
    <mergeCell ref="G22:G23"/>
    <mergeCell ref="I44:I45"/>
    <mergeCell ref="D10:D11"/>
    <mergeCell ref="H30:H31"/>
    <mergeCell ref="H8:H9"/>
    <mergeCell ref="J8:J9"/>
    <mergeCell ref="E12:E13"/>
    <mergeCell ref="AQ34:AQ35"/>
    <mergeCell ref="G12:G13"/>
    <mergeCell ref="D38:D39"/>
    <mergeCell ref="A54:AQ54"/>
    <mergeCell ref="D34:D35"/>
    <mergeCell ref="F34:F35"/>
    <mergeCell ref="B26:B27"/>
    <mergeCell ref="F16:F17"/>
    <mergeCell ref="C14:C15"/>
    <mergeCell ref="H10:H11"/>
    <mergeCell ref="G36:G37"/>
    <mergeCell ref="E14:E15"/>
    <mergeCell ref="J10:J11"/>
    <mergeCell ref="AQ36:AQ37"/>
    <mergeCell ref="I30:I31"/>
    <mergeCell ref="D40:D41"/>
    <mergeCell ref="F40:F41"/>
    <mergeCell ref="K30:K31"/>
    <mergeCell ref="AQ20:AQ21"/>
    <mergeCell ref="F36:F37"/>
    <mergeCell ref="J34:J35"/>
    <mergeCell ref="A5:A7"/>
    <mergeCell ref="F20:F21"/>
    <mergeCell ref="AP20:AP21"/>
    <mergeCell ref="AQ22:AQ23"/>
    <mergeCell ref="E38:E39"/>
    <mergeCell ref="AQ14:AQ15"/>
    <mergeCell ref="A53:AQ53"/>
    <mergeCell ref="F22:F23"/>
    <mergeCell ref="A26:A27"/>
    <mergeCell ref="J20:J21"/>
    <mergeCell ref="H22:H23"/>
    <mergeCell ref="Q3:T3"/>
    <mergeCell ref="AP22:AP23"/>
    <mergeCell ref="A46:A47"/>
    <mergeCell ref="K46:K47"/>
    <mergeCell ref="K40:K41"/>
    <mergeCell ref="D12:D13"/>
    <mergeCell ref="C46:C47"/>
    <mergeCell ref="C40:C41"/>
    <mergeCell ref="E46:E47"/>
    <mergeCell ref="E40:E41"/>
    <mergeCell ref="B44:B45"/>
    <mergeCell ref="A8:A9"/>
    <mergeCell ref="C8:C9"/>
    <mergeCell ref="H12:H13"/>
    <mergeCell ref="J12:J13"/>
    <mergeCell ref="I38:I39"/>
    <mergeCell ref="AQ38:AQ39"/>
    <mergeCell ref="F46:F47"/>
    <mergeCell ref="C32:C33"/>
    <mergeCell ref="A10:A11"/>
    <mergeCell ref="F5:F7"/>
    <mergeCell ref="I34:I35"/>
    <mergeCell ref="E26:E27"/>
    <mergeCell ref="AP5:AP7"/>
    <mergeCell ref="K34:K35"/>
    <mergeCell ref="G26:G27"/>
    <mergeCell ref="B30:B31"/>
    <mergeCell ref="K28:K29"/>
    <mergeCell ref="H14:H15"/>
    <mergeCell ref="D30:D31"/>
    <mergeCell ref="AQ46:AQ47"/>
    <mergeCell ref="J14:J15"/>
    <mergeCell ref="B32:B33"/>
    <mergeCell ref="AQ40:AQ41"/>
    <mergeCell ref="AP48:AQ48"/>
    <mergeCell ref="D26:D27"/>
    <mergeCell ref="C34:C35"/>
    <mergeCell ref="AQ24:AQ25"/>
    <mergeCell ref="A1:R1"/>
    <mergeCell ref="B16:B17"/>
    <mergeCell ref="C18:C19"/>
    <mergeCell ref="F10:F11"/>
    <mergeCell ref="K20:K21"/>
    <mergeCell ref="F24:F25"/>
    <mergeCell ref="I5:I7"/>
    <mergeCell ref="AP24:AP25"/>
    <mergeCell ref="AQ26:AQ27"/>
    <mergeCell ref="B18:B19"/>
    <mergeCell ref="H38:H39"/>
    <mergeCell ref="C20:C21"/>
    <mergeCell ref="AP8:AP9"/>
    <mergeCell ref="J38:J39"/>
    <mergeCell ref="E20:E21"/>
    <mergeCell ref="C42:C43"/>
    <mergeCell ref="E42:E43"/>
    <mergeCell ref="I36:I37"/>
    <mergeCell ref="B8:B9"/>
    <mergeCell ref="G42:G43"/>
    <mergeCell ref="AP26:AP27"/>
    <mergeCell ref="G5:G7"/>
    <mergeCell ref="A36:A37"/>
    <mergeCell ref="I46:I47"/>
    <mergeCell ref="G38:G39"/>
    <mergeCell ref="AQ12:AQ13"/>
    <mergeCell ref="H40:H41"/>
    <mergeCell ref="C44:C45"/>
    <mergeCell ref="C22:C23"/>
    <mergeCell ref="AP10:AP11"/>
    <mergeCell ref="J40:J41"/>
    <mergeCell ref="E44:E45"/>
    <mergeCell ref="F8:F9"/>
    <mergeCell ref="A12:A13"/>
    <mergeCell ref="C12:C13"/>
    <mergeCell ref="S1:AQ1"/>
    <mergeCell ref="J24:J25"/>
    <mergeCell ref="E28:E29"/>
    <mergeCell ref="G28:G29"/>
    <mergeCell ref="AQ42:AQ43"/>
    <mergeCell ref="B34:B35"/>
    <mergeCell ref="G24:G25"/>
    <mergeCell ref="C36:C37"/>
    <mergeCell ref="A3:B3"/>
    <mergeCell ref="I24:I25"/>
    <mergeCell ref="A14:A15"/>
    <mergeCell ref="D28:D29"/>
    <mergeCell ref="F48:K48"/>
    <mergeCell ref="J26:J27"/>
    <mergeCell ref="E30:E31"/>
    <mergeCell ref="AP50:AQ50"/>
    <mergeCell ref="G30:G31"/>
    <mergeCell ref="E32:E33"/>
    <mergeCell ref="I8:I9"/>
    <mergeCell ref="J18:J19"/>
    <mergeCell ref="H16:H17"/>
    <mergeCell ref="K8:K9"/>
    <mergeCell ref="B36:B37"/>
    <mergeCell ref="AQ44:AQ45"/>
    <mergeCell ref="AP49:AQ49"/>
    <mergeCell ref="B20:B21"/>
    <mergeCell ref="E16:E17"/>
    <mergeCell ref="D42:D43"/>
    <mergeCell ref="D20:D21"/>
    <mergeCell ref="G16:G17"/>
    <mergeCell ref="I10:I11"/>
    <mergeCell ref="D14:D15"/>
    <mergeCell ref="H18:H19"/>
    <mergeCell ref="K10:K11"/>
    <mergeCell ref="F14:F15"/>
    <mergeCell ref="AP36:AP37"/>
    <mergeCell ref="A38:A39"/>
    <mergeCell ref="C38:C39"/>
    <mergeCell ref="AQ30:AQ31"/>
    <mergeCell ref="B22:B23"/>
    <mergeCell ref="E18:E19"/>
    <mergeCell ref="H42:H43"/>
    <mergeCell ref="H20:H21"/>
    <mergeCell ref="AP12:AP13"/>
    <mergeCell ref="K16:K17"/>
    <mergeCell ref="J42:J43"/>
    <mergeCell ref="A40:A41"/>
    <mergeCell ref="K18:K19"/>
    <mergeCell ref="AP28:AP29"/>
    <mergeCell ref="AQ16:AQ17"/>
    <mergeCell ref="H44:H45"/>
    <mergeCell ref="K36:K37"/>
    <mergeCell ref="A49:J50"/>
    <mergeCell ref="AP14:AP15"/>
    <mergeCell ref="A24:A25"/>
    <mergeCell ref="J44:J45"/>
    <mergeCell ref="F12:F13"/>
    <mergeCell ref="J28:J29"/>
    <mergeCell ref="B46:B47"/>
    <mergeCell ref="AQ32:AQ33"/>
    <mergeCell ref="D46:D47"/>
    <mergeCell ref="E34:E35"/>
    <mergeCell ref="G34:G35"/>
    <mergeCell ref="C26:C27"/>
    <mergeCell ref="B38:B39"/>
    <mergeCell ref="I22:I23"/>
    <mergeCell ref="I28:I29"/>
    <mergeCell ref="F32:F33"/>
    <mergeCell ref="K22:K23"/>
    <mergeCell ref="K44:K45"/>
    <mergeCell ref="L3:P3"/>
    <mergeCell ref="J30:J31"/>
    <mergeCell ref="H46:H47"/>
    <mergeCell ref="I12:I13"/>
    <mergeCell ref="AP38:AP39"/>
    <mergeCell ref="K12:K13"/>
    <mergeCell ref="AQ18:AQ19"/>
    <mergeCell ref="B10:B11"/>
    <mergeCell ref="A18:A19"/>
    <mergeCell ref="G20:G21"/>
    <mergeCell ref="J16:J17"/>
    <mergeCell ref="B24:B25"/>
    <mergeCell ref="G14:G15"/>
    <mergeCell ref="D24:D25"/>
    <mergeCell ref="AP46:AP47"/>
    <mergeCell ref="I14:I15"/>
    <mergeCell ref="A32:A33"/>
    <mergeCell ref="AP40:AP41"/>
    <mergeCell ref="K14:K15"/>
    <mergeCell ref="F38:F39"/>
    <mergeCell ref="A42:A43"/>
    <mergeCell ref="H32:H33"/>
    <mergeCell ref="E36:E37"/>
    <mergeCell ref="J46:J47"/>
    <mergeCell ref="C5:C7"/>
    <mergeCell ref="K38:K39"/>
    <mergeCell ref="E5:E7"/>
    <mergeCell ref="A48:C48"/>
    <mergeCell ref="AQ28:AQ29"/>
    <mergeCell ref="G32:G33"/>
    <mergeCell ref="AP32:AP33"/>
    <mergeCell ref="A44:A45"/>
    <mergeCell ref="D44:D45"/>
    <mergeCell ref="A34:A35"/>
    <mergeCell ref="A28:A29"/>
    <mergeCell ref="C28:C29"/>
    <mergeCell ref="E22:E23"/>
    <mergeCell ref="U3:X3"/>
    <mergeCell ref="K24:K25"/>
    <mergeCell ref="C24:C25"/>
    <mergeCell ref="E24:E25"/>
    <mergeCell ref="I40:I41"/>
    <mergeCell ref="A30:A31"/>
    <mergeCell ref="AQ5:AQ7"/>
  </mergeCells>
  <conditionalFormatting sqref="L8:AO47">
    <cfRule type="expression" priority="1" dxfId="0">
      <formula>AND(MOD(ROW()-8,2)=0,N(L9)&gt;0)</formula>
    </cfRule>
  </conditionalFormatting>
  <conditionalFormatting sqref="F8">
    <cfRule type="expression" priority="2" dxfId="1">
      <formula>AND(ISNUMBER(F8),MOD(F8,1)=0)</formula>
    </cfRule>
  </conditionalFormatting>
  <conditionalFormatting sqref="F10">
    <cfRule type="expression" priority="3" dxfId="1">
      <formula>AND(ISNUMBER(F10),MOD(F10,1)=0)</formula>
    </cfRule>
  </conditionalFormatting>
  <conditionalFormatting sqref="F12">
    <cfRule type="expression" priority="4" dxfId="1">
      <formula>AND(ISNUMBER(F12),MOD(F12,1)=0)</formula>
    </cfRule>
  </conditionalFormatting>
  <conditionalFormatting sqref="F14">
    <cfRule type="expression" priority="5" dxfId="1">
      <formula>AND(ISNUMBER(F14),MOD(F14,1)=0)</formula>
    </cfRule>
  </conditionalFormatting>
  <conditionalFormatting sqref="F16">
    <cfRule type="expression" priority="6" dxfId="1">
      <formula>AND(ISNUMBER(F16),MOD(F16,1)=0)</formula>
    </cfRule>
  </conditionalFormatting>
  <conditionalFormatting sqref="F18">
    <cfRule type="expression" priority="7" dxfId="1">
      <formula>AND(ISNUMBER(F18),MOD(F18,1)=0)</formula>
    </cfRule>
  </conditionalFormatting>
  <conditionalFormatting sqref="F20">
    <cfRule type="expression" priority="8" dxfId="1">
      <formula>AND(ISNUMBER(F20),MOD(F20,1)=0)</formula>
    </cfRule>
  </conditionalFormatting>
  <conditionalFormatting sqref="F22">
    <cfRule type="expression" priority="9" dxfId="1">
      <formula>AND(ISNUMBER(F22),MOD(F22,1)=0)</formula>
    </cfRule>
  </conditionalFormatting>
  <conditionalFormatting sqref="F24">
    <cfRule type="expression" priority="10" dxfId="1">
      <formula>AND(ISNUMBER(F24),MOD(F24,1)=0)</formula>
    </cfRule>
  </conditionalFormatting>
  <conditionalFormatting sqref="F26">
    <cfRule type="expression" priority="11" dxfId="1">
      <formula>AND(ISNUMBER(F26),MOD(F26,1)=0)</formula>
    </cfRule>
  </conditionalFormatting>
  <conditionalFormatting sqref="F28">
    <cfRule type="expression" priority="12" dxfId="1">
      <formula>AND(ISNUMBER(F28),MOD(F28,1)=0)</formula>
    </cfRule>
  </conditionalFormatting>
  <conditionalFormatting sqref="F30">
    <cfRule type="expression" priority="13" dxfId="1">
      <formula>AND(ISNUMBER(F30),MOD(F30,1)=0)</formula>
    </cfRule>
  </conditionalFormatting>
  <conditionalFormatting sqref="F32">
    <cfRule type="expression" priority="14" dxfId="1">
      <formula>AND(ISNUMBER(F32),MOD(F32,1)=0)</formula>
    </cfRule>
  </conditionalFormatting>
  <conditionalFormatting sqref="F34">
    <cfRule type="expression" priority="15" dxfId="1">
      <formula>AND(ISNUMBER(F34),MOD(F34,1)=0)</formula>
    </cfRule>
  </conditionalFormatting>
  <conditionalFormatting sqref="F36">
    <cfRule type="expression" priority="16" dxfId="1">
      <formula>AND(ISNUMBER(F36),MOD(F36,1)=0)</formula>
    </cfRule>
  </conditionalFormatting>
  <conditionalFormatting sqref="F38">
    <cfRule type="expression" priority="17" dxfId="1">
      <formula>AND(ISNUMBER(F38),MOD(F38,1)=0)</formula>
    </cfRule>
  </conditionalFormatting>
  <conditionalFormatting sqref="F40">
    <cfRule type="expression" priority="18" dxfId="1">
      <formula>AND(ISNUMBER(F40),MOD(F40,1)=0)</formula>
    </cfRule>
  </conditionalFormatting>
  <conditionalFormatting sqref="F42">
    <cfRule type="expression" priority="19" dxfId="1">
      <formula>AND(ISNUMBER(F42),MOD(F42,1)=0)</formula>
    </cfRule>
  </conditionalFormatting>
  <conditionalFormatting sqref="F44">
    <cfRule type="expression" priority="20" dxfId="1">
      <formula>AND(ISNUMBER(F44),MOD(F44,1)=0)</formula>
    </cfRule>
  </conditionalFormatting>
  <conditionalFormatting sqref="F46">
    <cfRule type="expression" priority="21" dxfId="1">
      <formula>AND(ISNUMBER(F46),MOD(F46,1)=0)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L30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6" customWidth="1" min="4" max="4"/>
    <col width="6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  <col width="3.1" customWidth="1" min="31" max="31"/>
    <col width="3.1" customWidth="1" min="32" max="32"/>
    <col width="3.1" customWidth="1" min="33" max="33"/>
    <col width="3.1" customWidth="1" min="34" max="34"/>
    <col width="3.1" customWidth="1" min="35" max="35"/>
    <col width="3.1" customWidth="1" min="36" max="36"/>
    <col width="6" customWidth="1" min="37" max="37"/>
    <col width="6" customWidth="1" min="38" max="38"/>
  </cols>
  <sheetData>
    <row r="1" ht="20" customHeight="1">
      <c r="A1" s="1" t="inlineStr">
        <is>
          <t xml:space="preserve">  K-건설맵  |  k-conmap.com  무료 건설 서식</t>
        </is>
      </c>
      <c r="R1" s="2" t="inlineStr">
        <is>
          <t xml:space="preserve">← 이 1행을 지우고 쓰셔도 됩니다  </t>
        </is>
      </c>
    </row>
    <row r="2" ht="34" customHeight="1">
      <c r="A2" s="3" t="inlineStr">
        <is>
          <t>예      정      공      정      표   (월간)</t>
        </is>
      </c>
    </row>
    <row r="3" ht="24" customHeight="1">
      <c r="A3" s="4" t="inlineStr">
        <is>
          <t>공 사 명 :</t>
        </is>
      </c>
      <c r="C3" s="35">
        <f>IF('총괄분'!C3="","",'총괄분'!C3)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 t="inlineStr">
        <is>
          <t>이 달 (1일)</t>
        </is>
      </c>
      <c r="U3" s="36" t="n"/>
      <c r="V3" s="6" t="n"/>
      <c r="W3" s="6" t="n"/>
      <c r="X3" s="6" t="n"/>
      <c r="Y3" s="6" t="n"/>
      <c r="Z3" s="6" t="n"/>
      <c r="AA3" s="9" t="inlineStr">
        <is>
          <t>← 달의 1일을 적으세요(총괄분 공종·보할을 날마다 나눠 보여 줌)</t>
        </is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보할
(%)</t>
        </is>
      </c>
      <c r="E5" s="11" t="inlineStr">
        <is>
          <t>지난달
까지</t>
        </is>
      </c>
      <c r="F5" s="37">
        <f>IF(N(U3)=0,"",IF(MONTH(U3+0)&lt;&gt;MONTH(U3),"",U3+0))</f>
        <v/>
      </c>
      <c r="G5" s="37">
        <f>IF(N(U3)=0,"",IF(MONTH(U3+1)&lt;&gt;MONTH(U3),"",U3+1))</f>
        <v/>
      </c>
      <c r="H5" s="37">
        <f>IF(N(U3)=0,"",IF(MONTH(U3+2)&lt;&gt;MONTH(U3),"",U3+2))</f>
        <v/>
      </c>
      <c r="I5" s="37">
        <f>IF(N(U3)=0,"",IF(MONTH(U3+3)&lt;&gt;MONTH(U3),"",U3+3))</f>
        <v/>
      </c>
      <c r="J5" s="37">
        <f>IF(N(U3)=0,"",IF(MONTH(U3+4)&lt;&gt;MONTH(U3),"",U3+4))</f>
        <v/>
      </c>
      <c r="K5" s="37">
        <f>IF(N(U3)=0,"",IF(MONTH(U3+5)&lt;&gt;MONTH(U3),"",U3+5))</f>
        <v/>
      </c>
      <c r="L5" s="37">
        <f>IF(N(U3)=0,"",IF(MONTH(U3+6)&lt;&gt;MONTH(U3),"",U3+6))</f>
        <v/>
      </c>
      <c r="M5" s="37">
        <f>IF(N(U3)=0,"",IF(MONTH(U3+7)&lt;&gt;MONTH(U3),"",U3+7))</f>
        <v/>
      </c>
      <c r="N5" s="37">
        <f>IF(N(U3)=0,"",IF(MONTH(U3+8)&lt;&gt;MONTH(U3),"",U3+8))</f>
        <v/>
      </c>
      <c r="O5" s="37">
        <f>IF(N(U3)=0,"",IF(MONTH(U3+9)&lt;&gt;MONTH(U3),"",U3+9))</f>
        <v/>
      </c>
      <c r="P5" s="37">
        <f>IF(N(U3)=0,"",IF(MONTH(U3+10)&lt;&gt;MONTH(U3),"",U3+10))</f>
        <v/>
      </c>
      <c r="Q5" s="37">
        <f>IF(N(U3)=0,"",IF(MONTH(U3+11)&lt;&gt;MONTH(U3),"",U3+11))</f>
        <v/>
      </c>
      <c r="R5" s="37">
        <f>IF(N(U3)=0,"",IF(MONTH(U3+12)&lt;&gt;MONTH(U3),"",U3+12))</f>
        <v/>
      </c>
      <c r="S5" s="37">
        <f>IF(N(U3)=0,"",IF(MONTH(U3+13)&lt;&gt;MONTH(U3),"",U3+13))</f>
        <v/>
      </c>
      <c r="T5" s="37">
        <f>IF(N(U3)=0,"",IF(MONTH(U3+14)&lt;&gt;MONTH(U3),"",U3+14))</f>
        <v/>
      </c>
      <c r="U5" s="37">
        <f>IF(N(U3)=0,"",IF(MONTH(U3+15)&lt;&gt;MONTH(U3),"",U3+15))</f>
        <v/>
      </c>
      <c r="V5" s="37">
        <f>IF(N(U3)=0,"",IF(MONTH(U3+16)&lt;&gt;MONTH(U3),"",U3+16))</f>
        <v/>
      </c>
      <c r="W5" s="37">
        <f>IF(N(U3)=0,"",IF(MONTH(U3+17)&lt;&gt;MONTH(U3),"",U3+17))</f>
        <v/>
      </c>
      <c r="X5" s="37">
        <f>IF(N(U3)=0,"",IF(MONTH(U3+18)&lt;&gt;MONTH(U3),"",U3+18))</f>
        <v/>
      </c>
      <c r="Y5" s="37">
        <f>IF(N(U3)=0,"",IF(MONTH(U3+19)&lt;&gt;MONTH(U3),"",U3+19))</f>
        <v/>
      </c>
      <c r="Z5" s="37">
        <f>IF(N(U3)=0,"",IF(MONTH(U3+20)&lt;&gt;MONTH(U3),"",U3+20))</f>
        <v/>
      </c>
      <c r="AA5" s="37">
        <f>IF(N(U3)=0,"",IF(MONTH(U3+21)&lt;&gt;MONTH(U3),"",U3+21))</f>
        <v/>
      </c>
      <c r="AB5" s="37">
        <f>IF(N(U3)=0,"",IF(MONTH(U3+22)&lt;&gt;MONTH(U3),"",U3+22))</f>
        <v/>
      </c>
      <c r="AC5" s="37">
        <f>IF(N(U3)=0,"",IF(MONTH(U3+23)&lt;&gt;MONTH(U3),"",U3+23))</f>
        <v/>
      </c>
      <c r="AD5" s="37">
        <f>IF(N(U3)=0,"",IF(MONTH(U3+24)&lt;&gt;MONTH(U3),"",U3+24))</f>
        <v/>
      </c>
      <c r="AE5" s="37">
        <f>IF(N(U3)=0,"",IF(MONTH(U3+25)&lt;&gt;MONTH(U3),"",U3+25))</f>
        <v/>
      </c>
      <c r="AF5" s="37">
        <f>IF(N(U3)=0,"",IF(MONTH(U3+26)&lt;&gt;MONTH(U3),"",U3+26))</f>
        <v/>
      </c>
      <c r="AG5" s="37">
        <f>IF(N(U3)=0,"",IF(MONTH(U3+27)&lt;&gt;MONTH(U3),"",U3+27))</f>
        <v/>
      </c>
      <c r="AH5" s="37">
        <f>IF(N(U3)=0,"",IF(MONTH(U3+28)&lt;&gt;MONTH(U3),"",U3+28))</f>
        <v/>
      </c>
      <c r="AI5" s="37">
        <f>IF(N(U3)=0,"",IF(MONTH(U3+29)&lt;&gt;MONTH(U3),"",U3+29))</f>
        <v/>
      </c>
      <c r="AJ5" s="37">
        <f>IF(N(U3)=0,"",IF(MONTH(U3+30)&lt;&gt;MONTH(U3),"",U3+30))</f>
        <v/>
      </c>
      <c r="AK5" s="11" t="inlineStr">
        <is>
          <t>이 달</t>
        </is>
      </c>
      <c r="AL5" s="11" t="inlineStr">
        <is>
          <t>누 계</t>
        </is>
      </c>
    </row>
    <row r="6" ht="14" customHeight="1">
      <c r="A6" s="6" t="n"/>
      <c r="B6" s="6" t="n"/>
      <c r="C6" s="6" t="n"/>
      <c r="D6" s="6" t="n"/>
      <c r="E6" s="6" t="n"/>
      <c r="F6" s="12">
        <f>IF(N(F5)=0,"",CHOOSE(WEEKDAY(F5),"일","월","화","수","목","금","토"))</f>
        <v/>
      </c>
      <c r="G6" s="12">
        <f>IF(N(G5)=0,"",CHOOSE(WEEKDAY(G5),"일","월","화","수","목","금","토"))</f>
        <v/>
      </c>
      <c r="H6" s="12">
        <f>IF(N(H5)=0,"",CHOOSE(WEEKDAY(H5),"일","월","화","수","목","금","토"))</f>
        <v/>
      </c>
      <c r="I6" s="12">
        <f>IF(N(I5)=0,"",CHOOSE(WEEKDAY(I5),"일","월","화","수","목","금","토"))</f>
        <v/>
      </c>
      <c r="J6" s="12">
        <f>IF(N(J5)=0,"",CHOOSE(WEEKDAY(J5),"일","월","화","수","목","금","토"))</f>
        <v/>
      </c>
      <c r="K6" s="12">
        <f>IF(N(K5)=0,"",CHOOSE(WEEKDAY(K5),"일","월","화","수","목","금","토"))</f>
        <v/>
      </c>
      <c r="L6" s="12">
        <f>IF(N(L5)=0,"",CHOOSE(WEEKDAY(L5),"일","월","화","수","목","금","토"))</f>
        <v/>
      </c>
      <c r="M6" s="12">
        <f>IF(N(M5)=0,"",CHOOSE(WEEKDAY(M5),"일","월","화","수","목","금","토"))</f>
        <v/>
      </c>
      <c r="N6" s="12">
        <f>IF(N(N5)=0,"",CHOOSE(WEEKDAY(N5),"일","월","화","수","목","금","토"))</f>
        <v/>
      </c>
      <c r="O6" s="12">
        <f>IF(N(O5)=0,"",CHOOSE(WEEKDAY(O5),"일","월","화","수","목","금","토"))</f>
        <v/>
      </c>
      <c r="P6" s="12">
        <f>IF(N(P5)=0,"",CHOOSE(WEEKDAY(P5),"일","월","화","수","목","금","토"))</f>
        <v/>
      </c>
      <c r="Q6" s="12">
        <f>IF(N(Q5)=0,"",CHOOSE(WEEKDAY(Q5),"일","월","화","수","목","금","토"))</f>
        <v/>
      </c>
      <c r="R6" s="12">
        <f>IF(N(R5)=0,"",CHOOSE(WEEKDAY(R5),"일","월","화","수","목","금","토"))</f>
        <v/>
      </c>
      <c r="S6" s="12">
        <f>IF(N(S5)=0,"",CHOOSE(WEEKDAY(S5),"일","월","화","수","목","금","토"))</f>
        <v/>
      </c>
      <c r="T6" s="12">
        <f>IF(N(T5)=0,"",CHOOSE(WEEKDAY(T5),"일","월","화","수","목","금","토"))</f>
        <v/>
      </c>
      <c r="U6" s="12">
        <f>IF(N(U5)=0,"",CHOOSE(WEEKDAY(U5),"일","월","화","수","목","금","토"))</f>
        <v/>
      </c>
      <c r="V6" s="12">
        <f>IF(N(V5)=0,"",CHOOSE(WEEKDAY(V5),"일","월","화","수","목","금","토"))</f>
        <v/>
      </c>
      <c r="W6" s="12">
        <f>IF(N(W5)=0,"",CHOOSE(WEEKDAY(W5),"일","월","화","수","목","금","토"))</f>
        <v/>
      </c>
      <c r="X6" s="12">
        <f>IF(N(X5)=0,"",CHOOSE(WEEKDAY(X5),"일","월","화","수","목","금","토"))</f>
        <v/>
      </c>
      <c r="Y6" s="12">
        <f>IF(N(Y5)=0,"",CHOOSE(WEEKDAY(Y5),"일","월","화","수","목","금","토"))</f>
        <v/>
      </c>
      <c r="Z6" s="12">
        <f>IF(N(Z5)=0,"",CHOOSE(WEEKDAY(Z5),"일","월","화","수","목","금","토"))</f>
        <v/>
      </c>
      <c r="AA6" s="12">
        <f>IF(N(AA5)=0,"",CHOOSE(WEEKDAY(AA5),"일","월","화","수","목","금","토"))</f>
        <v/>
      </c>
      <c r="AB6" s="12">
        <f>IF(N(AB5)=0,"",CHOOSE(WEEKDAY(AB5),"일","월","화","수","목","금","토"))</f>
        <v/>
      </c>
      <c r="AC6" s="12">
        <f>IF(N(AC5)=0,"",CHOOSE(WEEKDAY(AC5),"일","월","화","수","목","금","토"))</f>
        <v/>
      </c>
      <c r="AD6" s="12">
        <f>IF(N(AD5)=0,"",CHOOSE(WEEKDAY(AD5),"일","월","화","수","목","금","토"))</f>
        <v/>
      </c>
      <c r="AE6" s="12">
        <f>IF(N(AE5)=0,"",CHOOSE(WEEKDAY(AE5),"일","월","화","수","목","금","토"))</f>
        <v/>
      </c>
      <c r="AF6" s="12">
        <f>IF(N(AF5)=0,"",CHOOSE(WEEKDAY(AF5),"일","월","화","수","목","금","토"))</f>
        <v/>
      </c>
      <c r="AG6" s="12">
        <f>IF(N(AG5)=0,"",CHOOSE(WEEKDAY(AG5),"일","월","화","수","목","금","토"))</f>
        <v/>
      </c>
      <c r="AH6" s="12">
        <f>IF(N(AH5)=0,"",CHOOSE(WEEKDAY(AH5),"일","월","화","수","목","금","토"))</f>
        <v/>
      </c>
      <c r="AI6" s="12">
        <f>IF(N(AI5)=0,"",CHOOSE(WEEKDAY(AI5),"일","월","화","수","목","금","토"))</f>
        <v/>
      </c>
      <c r="AJ6" s="12">
        <f>IF(N(AJ5)=0,"",CHOOSE(WEEKDAY(AJ5),"일","월","화","수","목","금","토"))</f>
        <v/>
      </c>
      <c r="AK6" s="6" t="n"/>
      <c r="AL6" s="6" t="n"/>
    </row>
    <row r="7" ht="15" customHeight="1">
      <c r="A7" s="38">
        <f>IF('총괄분'!A8="","",'총괄분'!A8)</f>
        <v/>
      </c>
      <c r="B7" s="38">
        <f>IF('총괄분'!B8="","",'총괄분'!B8)</f>
        <v/>
      </c>
      <c r="C7" s="39">
        <f>IF('총괄분'!C8="","",'총괄분'!C8)</f>
        <v/>
      </c>
      <c r="D7" s="23">
        <f>IF('총괄분'!E8="","",'총괄분'!E8)</f>
        <v/>
      </c>
      <c r="E7" s="40">
        <f>IF(OR(D7="",'총괄분'!J8="",N(U3)=0),"",MAX(0,MIN('총괄분'!I8,U3-1)-'총괄분'!H8+1)/'총괄분'!J8*D7)</f>
        <v/>
      </c>
      <c r="F7" s="41">
        <f>IF(OR(D7="",'총괄분'!J8="",N(F$5)=0),"",IF(AND(F$5&gt;='총괄분'!H8,F$5&lt;='총괄분'!I8),D7/'총괄분'!J8,""))</f>
        <v/>
      </c>
      <c r="G7" s="41">
        <f>IF(OR(D7="",'총괄분'!J8="",N(G$5)=0),"",IF(AND(G$5&gt;='총괄분'!H8,G$5&lt;='총괄분'!I8),D7/'총괄분'!J8,""))</f>
        <v/>
      </c>
      <c r="H7" s="41">
        <f>IF(OR(D7="",'총괄분'!J8="",N(H$5)=0),"",IF(AND(H$5&gt;='총괄분'!H8,H$5&lt;='총괄분'!I8),D7/'총괄분'!J8,""))</f>
        <v/>
      </c>
      <c r="I7" s="41">
        <f>IF(OR(D7="",'총괄분'!J8="",N(I$5)=0),"",IF(AND(I$5&gt;='총괄분'!H8,I$5&lt;='총괄분'!I8),D7/'총괄분'!J8,""))</f>
        <v/>
      </c>
      <c r="J7" s="41">
        <f>IF(OR(D7="",'총괄분'!J8="",N(J$5)=0),"",IF(AND(J$5&gt;='총괄분'!H8,J$5&lt;='총괄분'!I8),D7/'총괄분'!J8,""))</f>
        <v/>
      </c>
      <c r="K7" s="41">
        <f>IF(OR(D7="",'총괄분'!J8="",N(K$5)=0),"",IF(AND(K$5&gt;='총괄분'!H8,K$5&lt;='총괄분'!I8),D7/'총괄분'!J8,""))</f>
        <v/>
      </c>
      <c r="L7" s="41">
        <f>IF(OR(D7="",'총괄분'!J8="",N(L$5)=0),"",IF(AND(L$5&gt;='총괄분'!H8,L$5&lt;='총괄분'!I8),D7/'총괄분'!J8,""))</f>
        <v/>
      </c>
      <c r="M7" s="41">
        <f>IF(OR(D7="",'총괄분'!J8="",N(M$5)=0),"",IF(AND(M$5&gt;='총괄분'!H8,M$5&lt;='총괄분'!I8),D7/'총괄분'!J8,""))</f>
        <v/>
      </c>
      <c r="N7" s="41">
        <f>IF(OR(D7="",'총괄분'!J8="",N(N$5)=0),"",IF(AND(N$5&gt;='총괄분'!H8,N$5&lt;='총괄분'!I8),D7/'총괄분'!J8,""))</f>
        <v/>
      </c>
      <c r="O7" s="41">
        <f>IF(OR(D7="",'총괄분'!J8="",N(O$5)=0),"",IF(AND(O$5&gt;='총괄분'!H8,O$5&lt;='총괄분'!I8),D7/'총괄분'!J8,""))</f>
        <v/>
      </c>
      <c r="P7" s="41">
        <f>IF(OR(D7="",'총괄분'!J8="",N(P$5)=0),"",IF(AND(P$5&gt;='총괄분'!H8,P$5&lt;='총괄분'!I8),D7/'총괄분'!J8,""))</f>
        <v/>
      </c>
      <c r="Q7" s="41">
        <f>IF(OR(D7="",'총괄분'!J8="",N(Q$5)=0),"",IF(AND(Q$5&gt;='총괄분'!H8,Q$5&lt;='총괄분'!I8),D7/'총괄분'!J8,""))</f>
        <v/>
      </c>
      <c r="R7" s="41">
        <f>IF(OR(D7="",'총괄분'!J8="",N(R$5)=0),"",IF(AND(R$5&gt;='총괄분'!H8,R$5&lt;='총괄분'!I8),D7/'총괄분'!J8,""))</f>
        <v/>
      </c>
      <c r="S7" s="41">
        <f>IF(OR(D7="",'총괄분'!J8="",N(S$5)=0),"",IF(AND(S$5&gt;='총괄분'!H8,S$5&lt;='총괄분'!I8),D7/'총괄분'!J8,""))</f>
        <v/>
      </c>
      <c r="T7" s="41">
        <f>IF(OR(D7="",'총괄분'!J8="",N(T$5)=0),"",IF(AND(T$5&gt;='총괄분'!H8,T$5&lt;='총괄분'!I8),D7/'총괄분'!J8,""))</f>
        <v/>
      </c>
      <c r="U7" s="41">
        <f>IF(OR(D7="",'총괄분'!J8="",N(U$5)=0),"",IF(AND(U$5&gt;='총괄분'!H8,U$5&lt;='총괄분'!I8),D7/'총괄분'!J8,""))</f>
        <v/>
      </c>
      <c r="V7" s="41">
        <f>IF(OR(D7="",'총괄분'!J8="",N(V$5)=0),"",IF(AND(V$5&gt;='총괄분'!H8,V$5&lt;='총괄분'!I8),D7/'총괄분'!J8,""))</f>
        <v/>
      </c>
      <c r="W7" s="41">
        <f>IF(OR(D7="",'총괄분'!J8="",N(W$5)=0),"",IF(AND(W$5&gt;='총괄분'!H8,W$5&lt;='총괄분'!I8),D7/'총괄분'!J8,""))</f>
        <v/>
      </c>
      <c r="X7" s="41">
        <f>IF(OR(D7="",'총괄분'!J8="",N(X$5)=0),"",IF(AND(X$5&gt;='총괄분'!H8,X$5&lt;='총괄분'!I8),D7/'총괄분'!J8,""))</f>
        <v/>
      </c>
      <c r="Y7" s="41">
        <f>IF(OR(D7="",'총괄분'!J8="",N(Y$5)=0),"",IF(AND(Y$5&gt;='총괄분'!H8,Y$5&lt;='총괄분'!I8),D7/'총괄분'!J8,""))</f>
        <v/>
      </c>
      <c r="Z7" s="41">
        <f>IF(OR(D7="",'총괄분'!J8="",N(Z$5)=0),"",IF(AND(Z$5&gt;='총괄분'!H8,Z$5&lt;='총괄분'!I8),D7/'총괄분'!J8,""))</f>
        <v/>
      </c>
      <c r="AA7" s="41">
        <f>IF(OR(D7="",'총괄분'!J8="",N(AA$5)=0),"",IF(AND(AA$5&gt;='총괄분'!H8,AA$5&lt;='총괄분'!I8),D7/'총괄분'!J8,""))</f>
        <v/>
      </c>
      <c r="AB7" s="41">
        <f>IF(OR(D7="",'총괄분'!J8="",N(AB$5)=0),"",IF(AND(AB$5&gt;='총괄분'!H8,AB$5&lt;='총괄분'!I8),D7/'총괄분'!J8,""))</f>
        <v/>
      </c>
      <c r="AC7" s="41">
        <f>IF(OR(D7="",'총괄분'!J8="",N(AC$5)=0),"",IF(AND(AC$5&gt;='총괄분'!H8,AC$5&lt;='총괄분'!I8),D7/'총괄분'!J8,""))</f>
        <v/>
      </c>
      <c r="AD7" s="41">
        <f>IF(OR(D7="",'총괄분'!J8="",N(AD$5)=0),"",IF(AND(AD$5&gt;='총괄분'!H8,AD$5&lt;='총괄분'!I8),D7/'총괄분'!J8,""))</f>
        <v/>
      </c>
      <c r="AE7" s="41">
        <f>IF(OR(D7="",'총괄분'!J8="",N(AE$5)=0),"",IF(AND(AE$5&gt;='총괄분'!H8,AE$5&lt;='총괄분'!I8),D7/'총괄분'!J8,""))</f>
        <v/>
      </c>
      <c r="AF7" s="41">
        <f>IF(OR(D7="",'총괄분'!J8="",N(AF$5)=0),"",IF(AND(AF$5&gt;='총괄분'!H8,AF$5&lt;='총괄분'!I8),D7/'총괄분'!J8,""))</f>
        <v/>
      </c>
      <c r="AG7" s="41">
        <f>IF(OR(D7="",'총괄분'!J8="",N(AG$5)=0),"",IF(AND(AG$5&gt;='총괄분'!H8,AG$5&lt;='총괄분'!I8),D7/'총괄분'!J8,""))</f>
        <v/>
      </c>
      <c r="AH7" s="41">
        <f>IF(OR(D7="",'총괄분'!J8="",N(AH$5)=0),"",IF(AND(AH$5&gt;='총괄분'!H8,AH$5&lt;='총괄분'!I8),D7/'총괄분'!J8,""))</f>
        <v/>
      </c>
      <c r="AI7" s="41">
        <f>IF(OR(D7="",'총괄분'!J8="",N(AI$5)=0),"",IF(AND(AI$5&gt;='총괄분'!H8,AI$5&lt;='총괄분'!I8),D7/'총괄분'!J8,""))</f>
        <v/>
      </c>
      <c r="AJ7" s="41">
        <f>IF(OR(D7="",'총괄분'!J8="",N(AJ$5)=0),"",IF(AND(AJ$5&gt;='총괄분'!H8,AJ$5&lt;='총괄분'!I8),D7/'총괄분'!J8,""))</f>
        <v/>
      </c>
      <c r="AK7" s="40">
        <f>IF(D7="","",SUM(F7:AJ7))</f>
        <v/>
      </c>
      <c r="AL7" s="40">
        <f>IF(D7="","",E7+AK7)</f>
        <v/>
      </c>
    </row>
    <row r="8" ht="15" customHeight="1">
      <c r="A8" s="38">
        <f>IF('총괄분'!A10="","",'총괄분'!A10)</f>
        <v/>
      </c>
      <c r="B8" s="38">
        <f>IF('총괄분'!B10="","",'총괄분'!B10)</f>
        <v/>
      </c>
      <c r="C8" s="39">
        <f>IF('총괄분'!C10="","",'총괄분'!C10)</f>
        <v/>
      </c>
      <c r="D8" s="23">
        <f>IF('총괄분'!E10="","",'총괄분'!E10)</f>
        <v/>
      </c>
      <c r="E8" s="40">
        <f>IF(OR(D8="",'총괄분'!J10="",N(U3)=0),"",MAX(0,MIN('총괄분'!I10,U3-1)-'총괄분'!H10+1)/'총괄분'!J10*D8)</f>
        <v/>
      </c>
      <c r="F8" s="41">
        <f>IF(OR(D8="",'총괄분'!J10="",N(F$5)=0),"",IF(AND(F$5&gt;='총괄분'!H10,F$5&lt;='총괄분'!I10),D8/'총괄분'!J10,""))</f>
        <v/>
      </c>
      <c r="G8" s="41">
        <f>IF(OR(D8="",'총괄분'!J10="",N(G$5)=0),"",IF(AND(G$5&gt;='총괄분'!H10,G$5&lt;='총괄분'!I10),D8/'총괄분'!J10,""))</f>
        <v/>
      </c>
      <c r="H8" s="41">
        <f>IF(OR(D8="",'총괄분'!J10="",N(H$5)=0),"",IF(AND(H$5&gt;='총괄분'!H10,H$5&lt;='총괄분'!I10),D8/'총괄분'!J10,""))</f>
        <v/>
      </c>
      <c r="I8" s="41">
        <f>IF(OR(D8="",'총괄분'!J10="",N(I$5)=0),"",IF(AND(I$5&gt;='총괄분'!H10,I$5&lt;='총괄분'!I10),D8/'총괄분'!J10,""))</f>
        <v/>
      </c>
      <c r="J8" s="41">
        <f>IF(OR(D8="",'총괄분'!J10="",N(J$5)=0),"",IF(AND(J$5&gt;='총괄분'!H10,J$5&lt;='총괄분'!I10),D8/'총괄분'!J10,""))</f>
        <v/>
      </c>
      <c r="K8" s="41">
        <f>IF(OR(D8="",'총괄분'!J10="",N(K$5)=0),"",IF(AND(K$5&gt;='총괄분'!H10,K$5&lt;='총괄분'!I10),D8/'총괄분'!J10,""))</f>
        <v/>
      </c>
      <c r="L8" s="41">
        <f>IF(OR(D8="",'총괄분'!J10="",N(L$5)=0),"",IF(AND(L$5&gt;='총괄분'!H10,L$5&lt;='총괄분'!I10),D8/'총괄분'!J10,""))</f>
        <v/>
      </c>
      <c r="M8" s="41">
        <f>IF(OR(D8="",'총괄분'!J10="",N(M$5)=0),"",IF(AND(M$5&gt;='총괄분'!H10,M$5&lt;='총괄분'!I10),D8/'총괄분'!J10,""))</f>
        <v/>
      </c>
      <c r="N8" s="41">
        <f>IF(OR(D8="",'총괄분'!J10="",N(N$5)=0),"",IF(AND(N$5&gt;='총괄분'!H10,N$5&lt;='총괄분'!I10),D8/'총괄분'!J10,""))</f>
        <v/>
      </c>
      <c r="O8" s="41">
        <f>IF(OR(D8="",'총괄분'!J10="",N(O$5)=0),"",IF(AND(O$5&gt;='총괄분'!H10,O$5&lt;='총괄분'!I10),D8/'총괄분'!J10,""))</f>
        <v/>
      </c>
      <c r="P8" s="41">
        <f>IF(OR(D8="",'총괄분'!J10="",N(P$5)=0),"",IF(AND(P$5&gt;='총괄분'!H10,P$5&lt;='총괄분'!I10),D8/'총괄분'!J10,""))</f>
        <v/>
      </c>
      <c r="Q8" s="41">
        <f>IF(OR(D8="",'총괄분'!J10="",N(Q$5)=0),"",IF(AND(Q$5&gt;='총괄분'!H10,Q$5&lt;='총괄분'!I10),D8/'총괄분'!J10,""))</f>
        <v/>
      </c>
      <c r="R8" s="41">
        <f>IF(OR(D8="",'총괄분'!J10="",N(R$5)=0),"",IF(AND(R$5&gt;='총괄분'!H10,R$5&lt;='총괄분'!I10),D8/'총괄분'!J10,""))</f>
        <v/>
      </c>
      <c r="S8" s="41">
        <f>IF(OR(D8="",'총괄분'!J10="",N(S$5)=0),"",IF(AND(S$5&gt;='총괄분'!H10,S$5&lt;='총괄분'!I10),D8/'총괄분'!J10,""))</f>
        <v/>
      </c>
      <c r="T8" s="41">
        <f>IF(OR(D8="",'총괄분'!J10="",N(T$5)=0),"",IF(AND(T$5&gt;='총괄분'!H10,T$5&lt;='총괄분'!I10),D8/'총괄분'!J10,""))</f>
        <v/>
      </c>
      <c r="U8" s="41">
        <f>IF(OR(D8="",'총괄분'!J10="",N(U$5)=0),"",IF(AND(U$5&gt;='총괄분'!H10,U$5&lt;='총괄분'!I10),D8/'총괄분'!J10,""))</f>
        <v/>
      </c>
      <c r="V8" s="41">
        <f>IF(OR(D8="",'총괄분'!J10="",N(V$5)=0),"",IF(AND(V$5&gt;='총괄분'!H10,V$5&lt;='총괄분'!I10),D8/'총괄분'!J10,""))</f>
        <v/>
      </c>
      <c r="W8" s="41">
        <f>IF(OR(D8="",'총괄분'!J10="",N(W$5)=0),"",IF(AND(W$5&gt;='총괄분'!H10,W$5&lt;='총괄분'!I10),D8/'총괄분'!J10,""))</f>
        <v/>
      </c>
      <c r="X8" s="41">
        <f>IF(OR(D8="",'총괄분'!J10="",N(X$5)=0),"",IF(AND(X$5&gt;='총괄분'!H10,X$5&lt;='총괄분'!I10),D8/'총괄분'!J10,""))</f>
        <v/>
      </c>
      <c r="Y8" s="41">
        <f>IF(OR(D8="",'총괄분'!J10="",N(Y$5)=0),"",IF(AND(Y$5&gt;='총괄분'!H10,Y$5&lt;='총괄분'!I10),D8/'총괄분'!J10,""))</f>
        <v/>
      </c>
      <c r="Z8" s="41">
        <f>IF(OR(D8="",'총괄분'!J10="",N(Z$5)=0),"",IF(AND(Z$5&gt;='총괄분'!H10,Z$5&lt;='총괄분'!I10),D8/'총괄분'!J10,""))</f>
        <v/>
      </c>
      <c r="AA8" s="41">
        <f>IF(OR(D8="",'총괄분'!J10="",N(AA$5)=0),"",IF(AND(AA$5&gt;='총괄분'!H10,AA$5&lt;='총괄분'!I10),D8/'총괄분'!J10,""))</f>
        <v/>
      </c>
      <c r="AB8" s="41">
        <f>IF(OR(D8="",'총괄분'!J10="",N(AB$5)=0),"",IF(AND(AB$5&gt;='총괄분'!H10,AB$5&lt;='총괄분'!I10),D8/'총괄분'!J10,""))</f>
        <v/>
      </c>
      <c r="AC8" s="41">
        <f>IF(OR(D8="",'총괄분'!J10="",N(AC$5)=0),"",IF(AND(AC$5&gt;='총괄분'!H10,AC$5&lt;='총괄분'!I10),D8/'총괄분'!J10,""))</f>
        <v/>
      </c>
      <c r="AD8" s="41">
        <f>IF(OR(D8="",'총괄분'!J10="",N(AD$5)=0),"",IF(AND(AD$5&gt;='총괄분'!H10,AD$5&lt;='총괄분'!I10),D8/'총괄분'!J10,""))</f>
        <v/>
      </c>
      <c r="AE8" s="41">
        <f>IF(OR(D8="",'총괄분'!J10="",N(AE$5)=0),"",IF(AND(AE$5&gt;='총괄분'!H10,AE$5&lt;='총괄분'!I10),D8/'총괄분'!J10,""))</f>
        <v/>
      </c>
      <c r="AF8" s="41">
        <f>IF(OR(D8="",'총괄분'!J10="",N(AF$5)=0),"",IF(AND(AF$5&gt;='총괄분'!H10,AF$5&lt;='총괄분'!I10),D8/'총괄분'!J10,""))</f>
        <v/>
      </c>
      <c r="AG8" s="41">
        <f>IF(OR(D8="",'총괄분'!J10="",N(AG$5)=0),"",IF(AND(AG$5&gt;='총괄분'!H10,AG$5&lt;='총괄분'!I10),D8/'총괄분'!J10,""))</f>
        <v/>
      </c>
      <c r="AH8" s="41">
        <f>IF(OR(D8="",'총괄분'!J10="",N(AH$5)=0),"",IF(AND(AH$5&gt;='총괄분'!H10,AH$5&lt;='총괄분'!I10),D8/'총괄분'!J10,""))</f>
        <v/>
      </c>
      <c r="AI8" s="41">
        <f>IF(OR(D8="",'총괄분'!J10="",N(AI$5)=0),"",IF(AND(AI$5&gt;='총괄분'!H10,AI$5&lt;='총괄분'!I10),D8/'총괄분'!J10,""))</f>
        <v/>
      </c>
      <c r="AJ8" s="41">
        <f>IF(OR(D8="",'총괄분'!J10="",N(AJ$5)=0),"",IF(AND(AJ$5&gt;='총괄분'!H10,AJ$5&lt;='총괄분'!I10),D8/'총괄분'!J10,""))</f>
        <v/>
      </c>
      <c r="AK8" s="40">
        <f>IF(D8="","",SUM(F8:AJ8))</f>
        <v/>
      </c>
      <c r="AL8" s="40">
        <f>IF(D8="","",E8+AK8)</f>
        <v/>
      </c>
    </row>
    <row r="9" ht="15" customHeight="1">
      <c r="A9" s="38">
        <f>IF('총괄분'!A12="","",'총괄분'!A12)</f>
        <v/>
      </c>
      <c r="B9" s="38">
        <f>IF('총괄분'!B12="","",'총괄분'!B12)</f>
        <v/>
      </c>
      <c r="C9" s="39">
        <f>IF('총괄분'!C12="","",'총괄분'!C12)</f>
        <v/>
      </c>
      <c r="D9" s="23">
        <f>IF('총괄분'!E12="","",'총괄분'!E12)</f>
        <v/>
      </c>
      <c r="E9" s="40">
        <f>IF(OR(D9="",'총괄분'!J12="",N(U3)=0),"",MAX(0,MIN('총괄분'!I12,U3-1)-'총괄분'!H12+1)/'총괄분'!J12*D9)</f>
        <v/>
      </c>
      <c r="F9" s="41">
        <f>IF(OR(D9="",'총괄분'!J12="",N(F$5)=0),"",IF(AND(F$5&gt;='총괄분'!H12,F$5&lt;='총괄분'!I12),D9/'총괄분'!J12,""))</f>
        <v/>
      </c>
      <c r="G9" s="41">
        <f>IF(OR(D9="",'총괄분'!J12="",N(G$5)=0),"",IF(AND(G$5&gt;='총괄분'!H12,G$5&lt;='총괄분'!I12),D9/'총괄분'!J12,""))</f>
        <v/>
      </c>
      <c r="H9" s="41">
        <f>IF(OR(D9="",'총괄분'!J12="",N(H$5)=0),"",IF(AND(H$5&gt;='총괄분'!H12,H$5&lt;='총괄분'!I12),D9/'총괄분'!J12,""))</f>
        <v/>
      </c>
      <c r="I9" s="41">
        <f>IF(OR(D9="",'총괄분'!J12="",N(I$5)=0),"",IF(AND(I$5&gt;='총괄분'!H12,I$5&lt;='총괄분'!I12),D9/'총괄분'!J12,""))</f>
        <v/>
      </c>
      <c r="J9" s="41">
        <f>IF(OR(D9="",'총괄분'!J12="",N(J$5)=0),"",IF(AND(J$5&gt;='총괄분'!H12,J$5&lt;='총괄분'!I12),D9/'총괄분'!J12,""))</f>
        <v/>
      </c>
      <c r="K9" s="41">
        <f>IF(OR(D9="",'총괄분'!J12="",N(K$5)=0),"",IF(AND(K$5&gt;='총괄분'!H12,K$5&lt;='총괄분'!I12),D9/'총괄분'!J12,""))</f>
        <v/>
      </c>
      <c r="L9" s="41">
        <f>IF(OR(D9="",'총괄분'!J12="",N(L$5)=0),"",IF(AND(L$5&gt;='총괄분'!H12,L$5&lt;='총괄분'!I12),D9/'총괄분'!J12,""))</f>
        <v/>
      </c>
      <c r="M9" s="41">
        <f>IF(OR(D9="",'총괄분'!J12="",N(M$5)=0),"",IF(AND(M$5&gt;='총괄분'!H12,M$5&lt;='총괄분'!I12),D9/'총괄분'!J12,""))</f>
        <v/>
      </c>
      <c r="N9" s="41">
        <f>IF(OR(D9="",'총괄분'!J12="",N(N$5)=0),"",IF(AND(N$5&gt;='총괄분'!H12,N$5&lt;='총괄분'!I12),D9/'총괄분'!J12,""))</f>
        <v/>
      </c>
      <c r="O9" s="41">
        <f>IF(OR(D9="",'총괄분'!J12="",N(O$5)=0),"",IF(AND(O$5&gt;='총괄분'!H12,O$5&lt;='총괄분'!I12),D9/'총괄분'!J12,""))</f>
        <v/>
      </c>
      <c r="P9" s="41">
        <f>IF(OR(D9="",'총괄분'!J12="",N(P$5)=0),"",IF(AND(P$5&gt;='총괄분'!H12,P$5&lt;='총괄분'!I12),D9/'총괄분'!J12,""))</f>
        <v/>
      </c>
      <c r="Q9" s="41">
        <f>IF(OR(D9="",'총괄분'!J12="",N(Q$5)=0),"",IF(AND(Q$5&gt;='총괄분'!H12,Q$5&lt;='총괄분'!I12),D9/'총괄분'!J12,""))</f>
        <v/>
      </c>
      <c r="R9" s="41">
        <f>IF(OR(D9="",'총괄분'!J12="",N(R$5)=0),"",IF(AND(R$5&gt;='총괄분'!H12,R$5&lt;='총괄분'!I12),D9/'총괄분'!J12,""))</f>
        <v/>
      </c>
      <c r="S9" s="41">
        <f>IF(OR(D9="",'총괄분'!J12="",N(S$5)=0),"",IF(AND(S$5&gt;='총괄분'!H12,S$5&lt;='총괄분'!I12),D9/'총괄분'!J12,""))</f>
        <v/>
      </c>
      <c r="T9" s="41">
        <f>IF(OR(D9="",'총괄분'!J12="",N(T$5)=0),"",IF(AND(T$5&gt;='총괄분'!H12,T$5&lt;='총괄분'!I12),D9/'총괄분'!J12,""))</f>
        <v/>
      </c>
      <c r="U9" s="41">
        <f>IF(OR(D9="",'총괄분'!J12="",N(U$5)=0),"",IF(AND(U$5&gt;='총괄분'!H12,U$5&lt;='총괄분'!I12),D9/'총괄분'!J12,""))</f>
        <v/>
      </c>
      <c r="V9" s="41">
        <f>IF(OR(D9="",'총괄분'!J12="",N(V$5)=0),"",IF(AND(V$5&gt;='총괄분'!H12,V$5&lt;='총괄분'!I12),D9/'총괄분'!J12,""))</f>
        <v/>
      </c>
      <c r="W9" s="41">
        <f>IF(OR(D9="",'총괄분'!J12="",N(W$5)=0),"",IF(AND(W$5&gt;='총괄분'!H12,W$5&lt;='총괄분'!I12),D9/'총괄분'!J12,""))</f>
        <v/>
      </c>
      <c r="X9" s="41">
        <f>IF(OR(D9="",'총괄분'!J12="",N(X$5)=0),"",IF(AND(X$5&gt;='총괄분'!H12,X$5&lt;='총괄분'!I12),D9/'총괄분'!J12,""))</f>
        <v/>
      </c>
      <c r="Y9" s="41">
        <f>IF(OR(D9="",'총괄분'!J12="",N(Y$5)=0),"",IF(AND(Y$5&gt;='총괄분'!H12,Y$5&lt;='총괄분'!I12),D9/'총괄분'!J12,""))</f>
        <v/>
      </c>
      <c r="Z9" s="41">
        <f>IF(OR(D9="",'총괄분'!J12="",N(Z$5)=0),"",IF(AND(Z$5&gt;='총괄분'!H12,Z$5&lt;='총괄분'!I12),D9/'총괄분'!J12,""))</f>
        <v/>
      </c>
      <c r="AA9" s="41">
        <f>IF(OR(D9="",'총괄분'!J12="",N(AA$5)=0),"",IF(AND(AA$5&gt;='총괄분'!H12,AA$5&lt;='총괄분'!I12),D9/'총괄분'!J12,""))</f>
        <v/>
      </c>
      <c r="AB9" s="41">
        <f>IF(OR(D9="",'총괄분'!J12="",N(AB$5)=0),"",IF(AND(AB$5&gt;='총괄분'!H12,AB$5&lt;='총괄분'!I12),D9/'총괄분'!J12,""))</f>
        <v/>
      </c>
      <c r="AC9" s="41">
        <f>IF(OR(D9="",'총괄분'!J12="",N(AC$5)=0),"",IF(AND(AC$5&gt;='총괄분'!H12,AC$5&lt;='총괄분'!I12),D9/'총괄분'!J12,""))</f>
        <v/>
      </c>
      <c r="AD9" s="41">
        <f>IF(OR(D9="",'총괄분'!J12="",N(AD$5)=0),"",IF(AND(AD$5&gt;='총괄분'!H12,AD$5&lt;='총괄분'!I12),D9/'총괄분'!J12,""))</f>
        <v/>
      </c>
      <c r="AE9" s="41">
        <f>IF(OR(D9="",'총괄분'!J12="",N(AE$5)=0),"",IF(AND(AE$5&gt;='총괄분'!H12,AE$5&lt;='총괄분'!I12),D9/'총괄분'!J12,""))</f>
        <v/>
      </c>
      <c r="AF9" s="41">
        <f>IF(OR(D9="",'총괄분'!J12="",N(AF$5)=0),"",IF(AND(AF$5&gt;='총괄분'!H12,AF$5&lt;='총괄분'!I12),D9/'총괄분'!J12,""))</f>
        <v/>
      </c>
      <c r="AG9" s="41">
        <f>IF(OR(D9="",'총괄분'!J12="",N(AG$5)=0),"",IF(AND(AG$5&gt;='총괄분'!H12,AG$5&lt;='총괄분'!I12),D9/'총괄분'!J12,""))</f>
        <v/>
      </c>
      <c r="AH9" s="41">
        <f>IF(OR(D9="",'총괄분'!J12="",N(AH$5)=0),"",IF(AND(AH$5&gt;='총괄분'!H12,AH$5&lt;='총괄분'!I12),D9/'총괄분'!J12,""))</f>
        <v/>
      </c>
      <c r="AI9" s="41">
        <f>IF(OR(D9="",'총괄분'!J12="",N(AI$5)=0),"",IF(AND(AI$5&gt;='총괄분'!H12,AI$5&lt;='총괄분'!I12),D9/'총괄분'!J12,""))</f>
        <v/>
      </c>
      <c r="AJ9" s="41">
        <f>IF(OR(D9="",'총괄분'!J12="",N(AJ$5)=0),"",IF(AND(AJ$5&gt;='총괄분'!H12,AJ$5&lt;='총괄분'!I12),D9/'총괄분'!J12,""))</f>
        <v/>
      </c>
      <c r="AK9" s="40">
        <f>IF(D9="","",SUM(F9:AJ9))</f>
        <v/>
      </c>
      <c r="AL9" s="40">
        <f>IF(D9="","",E9+AK9)</f>
        <v/>
      </c>
    </row>
    <row r="10" ht="15" customHeight="1">
      <c r="A10" s="38">
        <f>IF('총괄분'!A14="","",'총괄분'!A14)</f>
        <v/>
      </c>
      <c r="B10" s="38">
        <f>IF('총괄분'!B14="","",'총괄분'!B14)</f>
        <v/>
      </c>
      <c r="C10" s="39">
        <f>IF('총괄분'!C14="","",'총괄분'!C14)</f>
        <v/>
      </c>
      <c r="D10" s="23">
        <f>IF('총괄분'!E14="","",'총괄분'!E14)</f>
        <v/>
      </c>
      <c r="E10" s="40">
        <f>IF(OR(D10="",'총괄분'!J14="",N(U3)=0),"",MAX(0,MIN('총괄분'!I14,U3-1)-'총괄분'!H14+1)/'총괄분'!J14*D10)</f>
        <v/>
      </c>
      <c r="F10" s="41">
        <f>IF(OR(D10="",'총괄분'!J14="",N(F$5)=0),"",IF(AND(F$5&gt;='총괄분'!H14,F$5&lt;='총괄분'!I14),D10/'총괄분'!J14,""))</f>
        <v/>
      </c>
      <c r="G10" s="41">
        <f>IF(OR(D10="",'총괄분'!J14="",N(G$5)=0),"",IF(AND(G$5&gt;='총괄분'!H14,G$5&lt;='총괄분'!I14),D10/'총괄분'!J14,""))</f>
        <v/>
      </c>
      <c r="H10" s="41">
        <f>IF(OR(D10="",'총괄분'!J14="",N(H$5)=0),"",IF(AND(H$5&gt;='총괄분'!H14,H$5&lt;='총괄분'!I14),D10/'총괄분'!J14,""))</f>
        <v/>
      </c>
      <c r="I10" s="41">
        <f>IF(OR(D10="",'총괄분'!J14="",N(I$5)=0),"",IF(AND(I$5&gt;='총괄분'!H14,I$5&lt;='총괄분'!I14),D10/'총괄분'!J14,""))</f>
        <v/>
      </c>
      <c r="J10" s="41">
        <f>IF(OR(D10="",'총괄분'!J14="",N(J$5)=0),"",IF(AND(J$5&gt;='총괄분'!H14,J$5&lt;='총괄분'!I14),D10/'총괄분'!J14,""))</f>
        <v/>
      </c>
      <c r="K10" s="41">
        <f>IF(OR(D10="",'총괄분'!J14="",N(K$5)=0),"",IF(AND(K$5&gt;='총괄분'!H14,K$5&lt;='총괄분'!I14),D10/'총괄분'!J14,""))</f>
        <v/>
      </c>
      <c r="L10" s="41">
        <f>IF(OR(D10="",'총괄분'!J14="",N(L$5)=0),"",IF(AND(L$5&gt;='총괄분'!H14,L$5&lt;='총괄분'!I14),D10/'총괄분'!J14,""))</f>
        <v/>
      </c>
      <c r="M10" s="41">
        <f>IF(OR(D10="",'총괄분'!J14="",N(M$5)=0),"",IF(AND(M$5&gt;='총괄분'!H14,M$5&lt;='총괄분'!I14),D10/'총괄분'!J14,""))</f>
        <v/>
      </c>
      <c r="N10" s="41">
        <f>IF(OR(D10="",'총괄분'!J14="",N(N$5)=0),"",IF(AND(N$5&gt;='총괄분'!H14,N$5&lt;='총괄분'!I14),D10/'총괄분'!J14,""))</f>
        <v/>
      </c>
      <c r="O10" s="41">
        <f>IF(OR(D10="",'총괄분'!J14="",N(O$5)=0),"",IF(AND(O$5&gt;='총괄분'!H14,O$5&lt;='총괄분'!I14),D10/'총괄분'!J14,""))</f>
        <v/>
      </c>
      <c r="P10" s="41">
        <f>IF(OR(D10="",'총괄분'!J14="",N(P$5)=0),"",IF(AND(P$5&gt;='총괄분'!H14,P$5&lt;='총괄분'!I14),D10/'총괄분'!J14,""))</f>
        <v/>
      </c>
      <c r="Q10" s="41">
        <f>IF(OR(D10="",'총괄분'!J14="",N(Q$5)=0),"",IF(AND(Q$5&gt;='총괄분'!H14,Q$5&lt;='총괄분'!I14),D10/'총괄분'!J14,""))</f>
        <v/>
      </c>
      <c r="R10" s="41">
        <f>IF(OR(D10="",'총괄분'!J14="",N(R$5)=0),"",IF(AND(R$5&gt;='총괄분'!H14,R$5&lt;='총괄분'!I14),D10/'총괄분'!J14,""))</f>
        <v/>
      </c>
      <c r="S10" s="41">
        <f>IF(OR(D10="",'총괄분'!J14="",N(S$5)=0),"",IF(AND(S$5&gt;='총괄분'!H14,S$5&lt;='총괄분'!I14),D10/'총괄분'!J14,""))</f>
        <v/>
      </c>
      <c r="T10" s="41">
        <f>IF(OR(D10="",'총괄분'!J14="",N(T$5)=0),"",IF(AND(T$5&gt;='총괄분'!H14,T$5&lt;='총괄분'!I14),D10/'총괄분'!J14,""))</f>
        <v/>
      </c>
      <c r="U10" s="41">
        <f>IF(OR(D10="",'총괄분'!J14="",N(U$5)=0),"",IF(AND(U$5&gt;='총괄분'!H14,U$5&lt;='총괄분'!I14),D10/'총괄분'!J14,""))</f>
        <v/>
      </c>
      <c r="V10" s="41">
        <f>IF(OR(D10="",'총괄분'!J14="",N(V$5)=0),"",IF(AND(V$5&gt;='총괄분'!H14,V$5&lt;='총괄분'!I14),D10/'총괄분'!J14,""))</f>
        <v/>
      </c>
      <c r="W10" s="41">
        <f>IF(OR(D10="",'총괄분'!J14="",N(W$5)=0),"",IF(AND(W$5&gt;='총괄분'!H14,W$5&lt;='총괄분'!I14),D10/'총괄분'!J14,""))</f>
        <v/>
      </c>
      <c r="X10" s="41">
        <f>IF(OR(D10="",'총괄분'!J14="",N(X$5)=0),"",IF(AND(X$5&gt;='총괄분'!H14,X$5&lt;='총괄분'!I14),D10/'총괄분'!J14,""))</f>
        <v/>
      </c>
      <c r="Y10" s="41">
        <f>IF(OR(D10="",'총괄분'!J14="",N(Y$5)=0),"",IF(AND(Y$5&gt;='총괄분'!H14,Y$5&lt;='총괄분'!I14),D10/'총괄분'!J14,""))</f>
        <v/>
      </c>
      <c r="Z10" s="41">
        <f>IF(OR(D10="",'총괄분'!J14="",N(Z$5)=0),"",IF(AND(Z$5&gt;='총괄분'!H14,Z$5&lt;='총괄분'!I14),D10/'총괄분'!J14,""))</f>
        <v/>
      </c>
      <c r="AA10" s="41">
        <f>IF(OR(D10="",'총괄분'!J14="",N(AA$5)=0),"",IF(AND(AA$5&gt;='총괄분'!H14,AA$5&lt;='총괄분'!I14),D10/'총괄분'!J14,""))</f>
        <v/>
      </c>
      <c r="AB10" s="41">
        <f>IF(OR(D10="",'총괄분'!J14="",N(AB$5)=0),"",IF(AND(AB$5&gt;='총괄분'!H14,AB$5&lt;='총괄분'!I14),D10/'총괄분'!J14,""))</f>
        <v/>
      </c>
      <c r="AC10" s="41">
        <f>IF(OR(D10="",'총괄분'!J14="",N(AC$5)=0),"",IF(AND(AC$5&gt;='총괄분'!H14,AC$5&lt;='총괄분'!I14),D10/'총괄분'!J14,""))</f>
        <v/>
      </c>
      <c r="AD10" s="41">
        <f>IF(OR(D10="",'총괄분'!J14="",N(AD$5)=0),"",IF(AND(AD$5&gt;='총괄분'!H14,AD$5&lt;='총괄분'!I14),D10/'총괄분'!J14,""))</f>
        <v/>
      </c>
      <c r="AE10" s="41">
        <f>IF(OR(D10="",'총괄분'!J14="",N(AE$5)=0),"",IF(AND(AE$5&gt;='총괄분'!H14,AE$5&lt;='총괄분'!I14),D10/'총괄분'!J14,""))</f>
        <v/>
      </c>
      <c r="AF10" s="41">
        <f>IF(OR(D10="",'총괄분'!J14="",N(AF$5)=0),"",IF(AND(AF$5&gt;='총괄분'!H14,AF$5&lt;='총괄분'!I14),D10/'총괄분'!J14,""))</f>
        <v/>
      </c>
      <c r="AG10" s="41">
        <f>IF(OR(D10="",'총괄분'!J14="",N(AG$5)=0),"",IF(AND(AG$5&gt;='총괄분'!H14,AG$5&lt;='총괄분'!I14),D10/'총괄분'!J14,""))</f>
        <v/>
      </c>
      <c r="AH10" s="41">
        <f>IF(OR(D10="",'총괄분'!J14="",N(AH$5)=0),"",IF(AND(AH$5&gt;='총괄분'!H14,AH$5&lt;='총괄분'!I14),D10/'총괄분'!J14,""))</f>
        <v/>
      </c>
      <c r="AI10" s="41">
        <f>IF(OR(D10="",'총괄분'!J14="",N(AI$5)=0),"",IF(AND(AI$5&gt;='총괄분'!H14,AI$5&lt;='총괄분'!I14),D10/'총괄분'!J14,""))</f>
        <v/>
      </c>
      <c r="AJ10" s="41">
        <f>IF(OR(D10="",'총괄분'!J14="",N(AJ$5)=0),"",IF(AND(AJ$5&gt;='총괄분'!H14,AJ$5&lt;='총괄분'!I14),D10/'총괄분'!J14,""))</f>
        <v/>
      </c>
      <c r="AK10" s="40">
        <f>IF(D10="","",SUM(F10:AJ10))</f>
        <v/>
      </c>
      <c r="AL10" s="40">
        <f>IF(D10="","",E10+AK10)</f>
        <v/>
      </c>
    </row>
    <row r="11" ht="15" customHeight="1">
      <c r="A11" s="38">
        <f>IF('총괄분'!A16="","",'총괄분'!A16)</f>
        <v/>
      </c>
      <c r="B11" s="38">
        <f>IF('총괄분'!B16="","",'총괄분'!B16)</f>
        <v/>
      </c>
      <c r="C11" s="39">
        <f>IF('총괄분'!C16="","",'총괄분'!C16)</f>
        <v/>
      </c>
      <c r="D11" s="23">
        <f>IF('총괄분'!E16="","",'총괄분'!E16)</f>
        <v/>
      </c>
      <c r="E11" s="40">
        <f>IF(OR(D11="",'총괄분'!J16="",N(U3)=0),"",MAX(0,MIN('총괄분'!I16,U3-1)-'총괄분'!H16+1)/'총괄분'!J16*D11)</f>
        <v/>
      </c>
      <c r="F11" s="41">
        <f>IF(OR(D11="",'총괄분'!J16="",N(F$5)=0),"",IF(AND(F$5&gt;='총괄분'!H16,F$5&lt;='총괄분'!I16),D11/'총괄분'!J16,""))</f>
        <v/>
      </c>
      <c r="G11" s="41">
        <f>IF(OR(D11="",'총괄분'!J16="",N(G$5)=0),"",IF(AND(G$5&gt;='총괄분'!H16,G$5&lt;='총괄분'!I16),D11/'총괄분'!J16,""))</f>
        <v/>
      </c>
      <c r="H11" s="41">
        <f>IF(OR(D11="",'총괄분'!J16="",N(H$5)=0),"",IF(AND(H$5&gt;='총괄분'!H16,H$5&lt;='총괄분'!I16),D11/'총괄분'!J16,""))</f>
        <v/>
      </c>
      <c r="I11" s="41">
        <f>IF(OR(D11="",'총괄분'!J16="",N(I$5)=0),"",IF(AND(I$5&gt;='총괄분'!H16,I$5&lt;='총괄분'!I16),D11/'총괄분'!J16,""))</f>
        <v/>
      </c>
      <c r="J11" s="41">
        <f>IF(OR(D11="",'총괄분'!J16="",N(J$5)=0),"",IF(AND(J$5&gt;='총괄분'!H16,J$5&lt;='총괄분'!I16),D11/'총괄분'!J16,""))</f>
        <v/>
      </c>
      <c r="K11" s="41">
        <f>IF(OR(D11="",'총괄분'!J16="",N(K$5)=0),"",IF(AND(K$5&gt;='총괄분'!H16,K$5&lt;='총괄분'!I16),D11/'총괄분'!J16,""))</f>
        <v/>
      </c>
      <c r="L11" s="41">
        <f>IF(OR(D11="",'총괄분'!J16="",N(L$5)=0),"",IF(AND(L$5&gt;='총괄분'!H16,L$5&lt;='총괄분'!I16),D11/'총괄분'!J16,""))</f>
        <v/>
      </c>
      <c r="M11" s="41">
        <f>IF(OR(D11="",'총괄분'!J16="",N(M$5)=0),"",IF(AND(M$5&gt;='총괄분'!H16,M$5&lt;='총괄분'!I16),D11/'총괄분'!J16,""))</f>
        <v/>
      </c>
      <c r="N11" s="41">
        <f>IF(OR(D11="",'총괄분'!J16="",N(N$5)=0),"",IF(AND(N$5&gt;='총괄분'!H16,N$5&lt;='총괄분'!I16),D11/'총괄분'!J16,""))</f>
        <v/>
      </c>
      <c r="O11" s="41">
        <f>IF(OR(D11="",'총괄분'!J16="",N(O$5)=0),"",IF(AND(O$5&gt;='총괄분'!H16,O$5&lt;='총괄분'!I16),D11/'총괄분'!J16,""))</f>
        <v/>
      </c>
      <c r="P11" s="41">
        <f>IF(OR(D11="",'총괄분'!J16="",N(P$5)=0),"",IF(AND(P$5&gt;='총괄분'!H16,P$5&lt;='총괄분'!I16),D11/'총괄분'!J16,""))</f>
        <v/>
      </c>
      <c r="Q11" s="41">
        <f>IF(OR(D11="",'총괄분'!J16="",N(Q$5)=0),"",IF(AND(Q$5&gt;='총괄분'!H16,Q$5&lt;='총괄분'!I16),D11/'총괄분'!J16,""))</f>
        <v/>
      </c>
      <c r="R11" s="41">
        <f>IF(OR(D11="",'총괄분'!J16="",N(R$5)=0),"",IF(AND(R$5&gt;='총괄분'!H16,R$5&lt;='총괄분'!I16),D11/'총괄분'!J16,""))</f>
        <v/>
      </c>
      <c r="S11" s="41">
        <f>IF(OR(D11="",'총괄분'!J16="",N(S$5)=0),"",IF(AND(S$5&gt;='총괄분'!H16,S$5&lt;='총괄분'!I16),D11/'총괄분'!J16,""))</f>
        <v/>
      </c>
      <c r="T11" s="41">
        <f>IF(OR(D11="",'총괄분'!J16="",N(T$5)=0),"",IF(AND(T$5&gt;='총괄분'!H16,T$5&lt;='총괄분'!I16),D11/'총괄분'!J16,""))</f>
        <v/>
      </c>
      <c r="U11" s="41">
        <f>IF(OR(D11="",'총괄분'!J16="",N(U$5)=0),"",IF(AND(U$5&gt;='총괄분'!H16,U$5&lt;='총괄분'!I16),D11/'총괄분'!J16,""))</f>
        <v/>
      </c>
      <c r="V11" s="41">
        <f>IF(OR(D11="",'총괄분'!J16="",N(V$5)=0),"",IF(AND(V$5&gt;='총괄분'!H16,V$5&lt;='총괄분'!I16),D11/'총괄분'!J16,""))</f>
        <v/>
      </c>
      <c r="W11" s="41">
        <f>IF(OR(D11="",'총괄분'!J16="",N(W$5)=0),"",IF(AND(W$5&gt;='총괄분'!H16,W$5&lt;='총괄분'!I16),D11/'총괄분'!J16,""))</f>
        <v/>
      </c>
      <c r="X11" s="41">
        <f>IF(OR(D11="",'총괄분'!J16="",N(X$5)=0),"",IF(AND(X$5&gt;='총괄분'!H16,X$5&lt;='총괄분'!I16),D11/'총괄분'!J16,""))</f>
        <v/>
      </c>
      <c r="Y11" s="41">
        <f>IF(OR(D11="",'총괄분'!J16="",N(Y$5)=0),"",IF(AND(Y$5&gt;='총괄분'!H16,Y$5&lt;='총괄분'!I16),D11/'총괄분'!J16,""))</f>
        <v/>
      </c>
      <c r="Z11" s="41">
        <f>IF(OR(D11="",'총괄분'!J16="",N(Z$5)=0),"",IF(AND(Z$5&gt;='총괄분'!H16,Z$5&lt;='총괄분'!I16),D11/'총괄분'!J16,""))</f>
        <v/>
      </c>
      <c r="AA11" s="41">
        <f>IF(OR(D11="",'총괄분'!J16="",N(AA$5)=0),"",IF(AND(AA$5&gt;='총괄분'!H16,AA$5&lt;='총괄분'!I16),D11/'총괄분'!J16,""))</f>
        <v/>
      </c>
      <c r="AB11" s="41">
        <f>IF(OR(D11="",'총괄분'!J16="",N(AB$5)=0),"",IF(AND(AB$5&gt;='총괄분'!H16,AB$5&lt;='총괄분'!I16),D11/'총괄분'!J16,""))</f>
        <v/>
      </c>
      <c r="AC11" s="41">
        <f>IF(OR(D11="",'총괄분'!J16="",N(AC$5)=0),"",IF(AND(AC$5&gt;='총괄분'!H16,AC$5&lt;='총괄분'!I16),D11/'총괄분'!J16,""))</f>
        <v/>
      </c>
      <c r="AD11" s="41">
        <f>IF(OR(D11="",'총괄분'!J16="",N(AD$5)=0),"",IF(AND(AD$5&gt;='총괄분'!H16,AD$5&lt;='총괄분'!I16),D11/'총괄분'!J16,""))</f>
        <v/>
      </c>
      <c r="AE11" s="41">
        <f>IF(OR(D11="",'총괄분'!J16="",N(AE$5)=0),"",IF(AND(AE$5&gt;='총괄분'!H16,AE$5&lt;='총괄분'!I16),D11/'총괄분'!J16,""))</f>
        <v/>
      </c>
      <c r="AF11" s="41">
        <f>IF(OR(D11="",'총괄분'!J16="",N(AF$5)=0),"",IF(AND(AF$5&gt;='총괄분'!H16,AF$5&lt;='총괄분'!I16),D11/'총괄분'!J16,""))</f>
        <v/>
      </c>
      <c r="AG11" s="41">
        <f>IF(OR(D11="",'총괄분'!J16="",N(AG$5)=0),"",IF(AND(AG$5&gt;='총괄분'!H16,AG$5&lt;='총괄분'!I16),D11/'총괄분'!J16,""))</f>
        <v/>
      </c>
      <c r="AH11" s="41">
        <f>IF(OR(D11="",'총괄분'!J16="",N(AH$5)=0),"",IF(AND(AH$5&gt;='총괄분'!H16,AH$5&lt;='총괄분'!I16),D11/'총괄분'!J16,""))</f>
        <v/>
      </c>
      <c r="AI11" s="41">
        <f>IF(OR(D11="",'총괄분'!J16="",N(AI$5)=0),"",IF(AND(AI$5&gt;='총괄분'!H16,AI$5&lt;='총괄분'!I16),D11/'총괄분'!J16,""))</f>
        <v/>
      </c>
      <c r="AJ11" s="41">
        <f>IF(OR(D11="",'총괄분'!J16="",N(AJ$5)=0),"",IF(AND(AJ$5&gt;='총괄분'!H16,AJ$5&lt;='총괄분'!I16),D11/'총괄분'!J16,""))</f>
        <v/>
      </c>
      <c r="AK11" s="40">
        <f>IF(D11="","",SUM(F11:AJ11))</f>
        <v/>
      </c>
      <c r="AL11" s="40">
        <f>IF(D11="","",E11+AK11)</f>
        <v/>
      </c>
    </row>
    <row r="12" ht="15" customHeight="1">
      <c r="A12" s="38">
        <f>IF('총괄분'!A18="","",'총괄분'!A18)</f>
        <v/>
      </c>
      <c r="B12" s="38">
        <f>IF('총괄분'!B18="","",'총괄분'!B18)</f>
        <v/>
      </c>
      <c r="C12" s="39">
        <f>IF('총괄분'!C18="","",'총괄분'!C18)</f>
        <v/>
      </c>
      <c r="D12" s="23">
        <f>IF('총괄분'!E18="","",'총괄분'!E18)</f>
        <v/>
      </c>
      <c r="E12" s="40">
        <f>IF(OR(D12="",'총괄분'!J18="",N(U3)=0),"",MAX(0,MIN('총괄분'!I18,U3-1)-'총괄분'!H18+1)/'총괄분'!J18*D12)</f>
        <v/>
      </c>
      <c r="F12" s="41">
        <f>IF(OR(D12="",'총괄분'!J18="",N(F$5)=0),"",IF(AND(F$5&gt;='총괄분'!H18,F$5&lt;='총괄분'!I18),D12/'총괄분'!J18,""))</f>
        <v/>
      </c>
      <c r="G12" s="41">
        <f>IF(OR(D12="",'총괄분'!J18="",N(G$5)=0),"",IF(AND(G$5&gt;='총괄분'!H18,G$5&lt;='총괄분'!I18),D12/'총괄분'!J18,""))</f>
        <v/>
      </c>
      <c r="H12" s="41">
        <f>IF(OR(D12="",'총괄분'!J18="",N(H$5)=0),"",IF(AND(H$5&gt;='총괄분'!H18,H$5&lt;='총괄분'!I18),D12/'총괄분'!J18,""))</f>
        <v/>
      </c>
      <c r="I12" s="41">
        <f>IF(OR(D12="",'총괄분'!J18="",N(I$5)=0),"",IF(AND(I$5&gt;='총괄분'!H18,I$5&lt;='총괄분'!I18),D12/'총괄분'!J18,""))</f>
        <v/>
      </c>
      <c r="J12" s="41">
        <f>IF(OR(D12="",'총괄분'!J18="",N(J$5)=0),"",IF(AND(J$5&gt;='총괄분'!H18,J$5&lt;='총괄분'!I18),D12/'총괄분'!J18,""))</f>
        <v/>
      </c>
      <c r="K12" s="41">
        <f>IF(OR(D12="",'총괄분'!J18="",N(K$5)=0),"",IF(AND(K$5&gt;='총괄분'!H18,K$5&lt;='총괄분'!I18),D12/'총괄분'!J18,""))</f>
        <v/>
      </c>
      <c r="L12" s="41">
        <f>IF(OR(D12="",'총괄분'!J18="",N(L$5)=0),"",IF(AND(L$5&gt;='총괄분'!H18,L$5&lt;='총괄분'!I18),D12/'총괄분'!J18,""))</f>
        <v/>
      </c>
      <c r="M12" s="41">
        <f>IF(OR(D12="",'총괄분'!J18="",N(M$5)=0),"",IF(AND(M$5&gt;='총괄분'!H18,M$5&lt;='총괄분'!I18),D12/'총괄분'!J18,""))</f>
        <v/>
      </c>
      <c r="N12" s="41">
        <f>IF(OR(D12="",'총괄분'!J18="",N(N$5)=0),"",IF(AND(N$5&gt;='총괄분'!H18,N$5&lt;='총괄분'!I18),D12/'총괄분'!J18,""))</f>
        <v/>
      </c>
      <c r="O12" s="41">
        <f>IF(OR(D12="",'총괄분'!J18="",N(O$5)=0),"",IF(AND(O$5&gt;='총괄분'!H18,O$5&lt;='총괄분'!I18),D12/'총괄분'!J18,""))</f>
        <v/>
      </c>
      <c r="P12" s="41">
        <f>IF(OR(D12="",'총괄분'!J18="",N(P$5)=0),"",IF(AND(P$5&gt;='총괄분'!H18,P$5&lt;='총괄분'!I18),D12/'총괄분'!J18,""))</f>
        <v/>
      </c>
      <c r="Q12" s="41">
        <f>IF(OR(D12="",'총괄분'!J18="",N(Q$5)=0),"",IF(AND(Q$5&gt;='총괄분'!H18,Q$5&lt;='총괄분'!I18),D12/'총괄분'!J18,""))</f>
        <v/>
      </c>
      <c r="R12" s="41">
        <f>IF(OR(D12="",'총괄분'!J18="",N(R$5)=0),"",IF(AND(R$5&gt;='총괄분'!H18,R$5&lt;='총괄분'!I18),D12/'총괄분'!J18,""))</f>
        <v/>
      </c>
      <c r="S12" s="41">
        <f>IF(OR(D12="",'총괄분'!J18="",N(S$5)=0),"",IF(AND(S$5&gt;='총괄분'!H18,S$5&lt;='총괄분'!I18),D12/'총괄분'!J18,""))</f>
        <v/>
      </c>
      <c r="T12" s="41">
        <f>IF(OR(D12="",'총괄분'!J18="",N(T$5)=0),"",IF(AND(T$5&gt;='총괄분'!H18,T$5&lt;='총괄분'!I18),D12/'총괄분'!J18,""))</f>
        <v/>
      </c>
      <c r="U12" s="41">
        <f>IF(OR(D12="",'총괄분'!J18="",N(U$5)=0),"",IF(AND(U$5&gt;='총괄분'!H18,U$5&lt;='총괄분'!I18),D12/'총괄분'!J18,""))</f>
        <v/>
      </c>
      <c r="V12" s="41">
        <f>IF(OR(D12="",'총괄분'!J18="",N(V$5)=0),"",IF(AND(V$5&gt;='총괄분'!H18,V$5&lt;='총괄분'!I18),D12/'총괄분'!J18,""))</f>
        <v/>
      </c>
      <c r="W12" s="41">
        <f>IF(OR(D12="",'총괄분'!J18="",N(W$5)=0),"",IF(AND(W$5&gt;='총괄분'!H18,W$5&lt;='총괄분'!I18),D12/'총괄분'!J18,""))</f>
        <v/>
      </c>
      <c r="X12" s="41">
        <f>IF(OR(D12="",'총괄분'!J18="",N(X$5)=0),"",IF(AND(X$5&gt;='총괄분'!H18,X$5&lt;='총괄분'!I18),D12/'총괄분'!J18,""))</f>
        <v/>
      </c>
      <c r="Y12" s="41">
        <f>IF(OR(D12="",'총괄분'!J18="",N(Y$5)=0),"",IF(AND(Y$5&gt;='총괄분'!H18,Y$5&lt;='총괄분'!I18),D12/'총괄분'!J18,""))</f>
        <v/>
      </c>
      <c r="Z12" s="41">
        <f>IF(OR(D12="",'총괄분'!J18="",N(Z$5)=0),"",IF(AND(Z$5&gt;='총괄분'!H18,Z$5&lt;='총괄분'!I18),D12/'총괄분'!J18,""))</f>
        <v/>
      </c>
      <c r="AA12" s="41">
        <f>IF(OR(D12="",'총괄분'!J18="",N(AA$5)=0),"",IF(AND(AA$5&gt;='총괄분'!H18,AA$5&lt;='총괄분'!I18),D12/'총괄분'!J18,""))</f>
        <v/>
      </c>
      <c r="AB12" s="41">
        <f>IF(OR(D12="",'총괄분'!J18="",N(AB$5)=0),"",IF(AND(AB$5&gt;='총괄분'!H18,AB$5&lt;='총괄분'!I18),D12/'총괄분'!J18,""))</f>
        <v/>
      </c>
      <c r="AC12" s="41">
        <f>IF(OR(D12="",'총괄분'!J18="",N(AC$5)=0),"",IF(AND(AC$5&gt;='총괄분'!H18,AC$5&lt;='총괄분'!I18),D12/'총괄분'!J18,""))</f>
        <v/>
      </c>
      <c r="AD12" s="41">
        <f>IF(OR(D12="",'총괄분'!J18="",N(AD$5)=0),"",IF(AND(AD$5&gt;='총괄분'!H18,AD$5&lt;='총괄분'!I18),D12/'총괄분'!J18,""))</f>
        <v/>
      </c>
      <c r="AE12" s="41">
        <f>IF(OR(D12="",'총괄분'!J18="",N(AE$5)=0),"",IF(AND(AE$5&gt;='총괄분'!H18,AE$5&lt;='총괄분'!I18),D12/'총괄분'!J18,""))</f>
        <v/>
      </c>
      <c r="AF12" s="41">
        <f>IF(OR(D12="",'총괄분'!J18="",N(AF$5)=0),"",IF(AND(AF$5&gt;='총괄분'!H18,AF$5&lt;='총괄분'!I18),D12/'총괄분'!J18,""))</f>
        <v/>
      </c>
      <c r="AG12" s="41">
        <f>IF(OR(D12="",'총괄분'!J18="",N(AG$5)=0),"",IF(AND(AG$5&gt;='총괄분'!H18,AG$5&lt;='총괄분'!I18),D12/'총괄분'!J18,""))</f>
        <v/>
      </c>
      <c r="AH12" s="41">
        <f>IF(OR(D12="",'총괄분'!J18="",N(AH$5)=0),"",IF(AND(AH$5&gt;='총괄분'!H18,AH$5&lt;='총괄분'!I18),D12/'총괄분'!J18,""))</f>
        <v/>
      </c>
      <c r="AI12" s="41">
        <f>IF(OR(D12="",'총괄분'!J18="",N(AI$5)=0),"",IF(AND(AI$5&gt;='총괄분'!H18,AI$5&lt;='총괄분'!I18),D12/'총괄분'!J18,""))</f>
        <v/>
      </c>
      <c r="AJ12" s="41">
        <f>IF(OR(D12="",'총괄분'!J18="",N(AJ$5)=0),"",IF(AND(AJ$5&gt;='총괄분'!H18,AJ$5&lt;='총괄분'!I18),D12/'총괄분'!J18,""))</f>
        <v/>
      </c>
      <c r="AK12" s="40">
        <f>IF(D12="","",SUM(F12:AJ12))</f>
        <v/>
      </c>
      <c r="AL12" s="40">
        <f>IF(D12="","",E12+AK12)</f>
        <v/>
      </c>
    </row>
    <row r="13" ht="15" customHeight="1">
      <c r="A13" s="38">
        <f>IF('총괄분'!A20="","",'총괄분'!A20)</f>
        <v/>
      </c>
      <c r="B13" s="38">
        <f>IF('총괄분'!B20="","",'총괄분'!B20)</f>
        <v/>
      </c>
      <c r="C13" s="39">
        <f>IF('총괄분'!C20="","",'총괄분'!C20)</f>
        <v/>
      </c>
      <c r="D13" s="23">
        <f>IF('총괄분'!E20="","",'총괄분'!E20)</f>
        <v/>
      </c>
      <c r="E13" s="40">
        <f>IF(OR(D13="",'총괄분'!J20="",N(U3)=0),"",MAX(0,MIN('총괄분'!I20,U3-1)-'총괄분'!H20+1)/'총괄분'!J20*D13)</f>
        <v/>
      </c>
      <c r="F13" s="41">
        <f>IF(OR(D13="",'총괄분'!J20="",N(F$5)=0),"",IF(AND(F$5&gt;='총괄분'!H20,F$5&lt;='총괄분'!I20),D13/'총괄분'!J20,""))</f>
        <v/>
      </c>
      <c r="G13" s="41">
        <f>IF(OR(D13="",'총괄분'!J20="",N(G$5)=0),"",IF(AND(G$5&gt;='총괄분'!H20,G$5&lt;='총괄분'!I20),D13/'총괄분'!J20,""))</f>
        <v/>
      </c>
      <c r="H13" s="41">
        <f>IF(OR(D13="",'총괄분'!J20="",N(H$5)=0),"",IF(AND(H$5&gt;='총괄분'!H20,H$5&lt;='총괄분'!I20),D13/'총괄분'!J20,""))</f>
        <v/>
      </c>
      <c r="I13" s="41">
        <f>IF(OR(D13="",'총괄분'!J20="",N(I$5)=0),"",IF(AND(I$5&gt;='총괄분'!H20,I$5&lt;='총괄분'!I20),D13/'총괄분'!J20,""))</f>
        <v/>
      </c>
      <c r="J13" s="41">
        <f>IF(OR(D13="",'총괄분'!J20="",N(J$5)=0),"",IF(AND(J$5&gt;='총괄분'!H20,J$5&lt;='총괄분'!I20),D13/'총괄분'!J20,""))</f>
        <v/>
      </c>
      <c r="K13" s="41">
        <f>IF(OR(D13="",'총괄분'!J20="",N(K$5)=0),"",IF(AND(K$5&gt;='총괄분'!H20,K$5&lt;='총괄분'!I20),D13/'총괄분'!J20,""))</f>
        <v/>
      </c>
      <c r="L13" s="41">
        <f>IF(OR(D13="",'총괄분'!J20="",N(L$5)=0),"",IF(AND(L$5&gt;='총괄분'!H20,L$5&lt;='총괄분'!I20),D13/'총괄분'!J20,""))</f>
        <v/>
      </c>
      <c r="M13" s="41">
        <f>IF(OR(D13="",'총괄분'!J20="",N(M$5)=0),"",IF(AND(M$5&gt;='총괄분'!H20,M$5&lt;='총괄분'!I20),D13/'총괄분'!J20,""))</f>
        <v/>
      </c>
      <c r="N13" s="41">
        <f>IF(OR(D13="",'총괄분'!J20="",N(N$5)=0),"",IF(AND(N$5&gt;='총괄분'!H20,N$5&lt;='총괄분'!I20),D13/'총괄분'!J20,""))</f>
        <v/>
      </c>
      <c r="O13" s="41">
        <f>IF(OR(D13="",'총괄분'!J20="",N(O$5)=0),"",IF(AND(O$5&gt;='총괄분'!H20,O$5&lt;='총괄분'!I20),D13/'총괄분'!J20,""))</f>
        <v/>
      </c>
      <c r="P13" s="41">
        <f>IF(OR(D13="",'총괄분'!J20="",N(P$5)=0),"",IF(AND(P$5&gt;='총괄분'!H20,P$5&lt;='총괄분'!I20),D13/'총괄분'!J20,""))</f>
        <v/>
      </c>
      <c r="Q13" s="41">
        <f>IF(OR(D13="",'총괄분'!J20="",N(Q$5)=0),"",IF(AND(Q$5&gt;='총괄분'!H20,Q$5&lt;='총괄분'!I20),D13/'총괄분'!J20,""))</f>
        <v/>
      </c>
      <c r="R13" s="41">
        <f>IF(OR(D13="",'총괄분'!J20="",N(R$5)=0),"",IF(AND(R$5&gt;='총괄분'!H20,R$5&lt;='총괄분'!I20),D13/'총괄분'!J20,""))</f>
        <v/>
      </c>
      <c r="S13" s="41">
        <f>IF(OR(D13="",'총괄분'!J20="",N(S$5)=0),"",IF(AND(S$5&gt;='총괄분'!H20,S$5&lt;='총괄분'!I20),D13/'총괄분'!J20,""))</f>
        <v/>
      </c>
      <c r="T13" s="41">
        <f>IF(OR(D13="",'총괄분'!J20="",N(T$5)=0),"",IF(AND(T$5&gt;='총괄분'!H20,T$5&lt;='총괄분'!I20),D13/'총괄분'!J20,""))</f>
        <v/>
      </c>
      <c r="U13" s="41">
        <f>IF(OR(D13="",'총괄분'!J20="",N(U$5)=0),"",IF(AND(U$5&gt;='총괄분'!H20,U$5&lt;='총괄분'!I20),D13/'총괄분'!J20,""))</f>
        <v/>
      </c>
      <c r="V13" s="41">
        <f>IF(OR(D13="",'총괄분'!J20="",N(V$5)=0),"",IF(AND(V$5&gt;='총괄분'!H20,V$5&lt;='총괄분'!I20),D13/'총괄분'!J20,""))</f>
        <v/>
      </c>
      <c r="W13" s="41">
        <f>IF(OR(D13="",'총괄분'!J20="",N(W$5)=0),"",IF(AND(W$5&gt;='총괄분'!H20,W$5&lt;='총괄분'!I20),D13/'총괄분'!J20,""))</f>
        <v/>
      </c>
      <c r="X13" s="41">
        <f>IF(OR(D13="",'총괄분'!J20="",N(X$5)=0),"",IF(AND(X$5&gt;='총괄분'!H20,X$5&lt;='총괄분'!I20),D13/'총괄분'!J20,""))</f>
        <v/>
      </c>
      <c r="Y13" s="41">
        <f>IF(OR(D13="",'총괄분'!J20="",N(Y$5)=0),"",IF(AND(Y$5&gt;='총괄분'!H20,Y$5&lt;='총괄분'!I20),D13/'총괄분'!J20,""))</f>
        <v/>
      </c>
      <c r="Z13" s="41">
        <f>IF(OR(D13="",'총괄분'!J20="",N(Z$5)=0),"",IF(AND(Z$5&gt;='총괄분'!H20,Z$5&lt;='총괄분'!I20),D13/'총괄분'!J20,""))</f>
        <v/>
      </c>
      <c r="AA13" s="41">
        <f>IF(OR(D13="",'총괄분'!J20="",N(AA$5)=0),"",IF(AND(AA$5&gt;='총괄분'!H20,AA$5&lt;='총괄분'!I20),D13/'총괄분'!J20,""))</f>
        <v/>
      </c>
      <c r="AB13" s="41">
        <f>IF(OR(D13="",'총괄분'!J20="",N(AB$5)=0),"",IF(AND(AB$5&gt;='총괄분'!H20,AB$5&lt;='총괄분'!I20),D13/'총괄분'!J20,""))</f>
        <v/>
      </c>
      <c r="AC13" s="41">
        <f>IF(OR(D13="",'총괄분'!J20="",N(AC$5)=0),"",IF(AND(AC$5&gt;='총괄분'!H20,AC$5&lt;='총괄분'!I20),D13/'총괄분'!J20,""))</f>
        <v/>
      </c>
      <c r="AD13" s="41">
        <f>IF(OR(D13="",'총괄분'!J20="",N(AD$5)=0),"",IF(AND(AD$5&gt;='총괄분'!H20,AD$5&lt;='총괄분'!I20),D13/'총괄분'!J20,""))</f>
        <v/>
      </c>
      <c r="AE13" s="41">
        <f>IF(OR(D13="",'총괄분'!J20="",N(AE$5)=0),"",IF(AND(AE$5&gt;='총괄분'!H20,AE$5&lt;='총괄분'!I20),D13/'총괄분'!J20,""))</f>
        <v/>
      </c>
      <c r="AF13" s="41">
        <f>IF(OR(D13="",'총괄분'!J20="",N(AF$5)=0),"",IF(AND(AF$5&gt;='총괄분'!H20,AF$5&lt;='총괄분'!I20),D13/'총괄분'!J20,""))</f>
        <v/>
      </c>
      <c r="AG13" s="41">
        <f>IF(OR(D13="",'총괄분'!J20="",N(AG$5)=0),"",IF(AND(AG$5&gt;='총괄분'!H20,AG$5&lt;='총괄분'!I20),D13/'총괄분'!J20,""))</f>
        <v/>
      </c>
      <c r="AH13" s="41">
        <f>IF(OR(D13="",'총괄분'!J20="",N(AH$5)=0),"",IF(AND(AH$5&gt;='총괄분'!H20,AH$5&lt;='총괄분'!I20),D13/'총괄분'!J20,""))</f>
        <v/>
      </c>
      <c r="AI13" s="41">
        <f>IF(OR(D13="",'총괄분'!J20="",N(AI$5)=0),"",IF(AND(AI$5&gt;='총괄분'!H20,AI$5&lt;='총괄분'!I20),D13/'총괄분'!J20,""))</f>
        <v/>
      </c>
      <c r="AJ13" s="41">
        <f>IF(OR(D13="",'총괄분'!J20="",N(AJ$5)=0),"",IF(AND(AJ$5&gt;='총괄분'!H20,AJ$5&lt;='총괄분'!I20),D13/'총괄분'!J20,""))</f>
        <v/>
      </c>
      <c r="AK13" s="40">
        <f>IF(D13="","",SUM(F13:AJ13))</f>
        <v/>
      </c>
      <c r="AL13" s="40">
        <f>IF(D13="","",E13+AK13)</f>
        <v/>
      </c>
    </row>
    <row r="14" ht="15" customHeight="1">
      <c r="A14" s="38">
        <f>IF('총괄분'!A22="","",'총괄분'!A22)</f>
        <v/>
      </c>
      <c r="B14" s="38">
        <f>IF('총괄분'!B22="","",'총괄분'!B22)</f>
        <v/>
      </c>
      <c r="C14" s="39">
        <f>IF('총괄분'!C22="","",'총괄분'!C22)</f>
        <v/>
      </c>
      <c r="D14" s="23">
        <f>IF('총괄분'!E22="","",'총괄분'!E22)</f>
        <v/>
      </c>
      <c r="E14" s="40">
        <f>IF(OR(D14="",'총괄분'!J22="",N(U3)=0),"",MAX(0,MIN('총괄분'!I22,U3-1)-'총괄분'!H22+1)/'총괄분'!J22*D14)</f>
        <v/>
      </c>
      <c r="F14" s="41">
        <f>IF(OR(D14="",'총괄분'!J22="",N(F$5)=0),"",IF(AND(F$5&gt;='총괄분'!H22,F$5&lt;='총괄분'!I22),D14/'총괄분'!J22,""))</f>
        <v/>
      </c>
      <c r="G14" s="41">
        <f>IF(OR(D14="",'총괄분'!J22="",N(G$5)=0),"",IF(AND(G$5&gt;='총괄분'!H22,G$5&lt;='총괄분'!I22),D14/'총괄분'!J22,""))</f>
        <v/>
      </c>
      <c r="H14" s="41">
        <f>IF(OR(D14="",'총괄분'!J22="",N(H$5)=0),"",IF(AND(H$5&gt;='총괄분'!H22,H$5&lt;='총괄분'!I22),D14/'총괄분'!J22,""))</f>
        <v/>
      </c>
      <c r="I14" s="41">
        <f>IF(OR(D14="",'총괄분'!J22="",N(I$5)=0),"",IF(AND(I$5&gt;='총괄분'!H22,I$5&lt;='총괄분'!I22),D14/'총괄분'!J22,""))</f>
        <v/>
      </c>
      <c r="J14" s="41">
        <f>IF(OR(D14="",'총괄분'!J22="",N(J$5)=0),"",IF(AND(J$5&gt;='총괄분'!H22,J$5&lt;='총괄분'!I22),D14/'총괄분'!J22,""))</f>
        <v/>
      </c>
      <c r="K14" s="41">
        <f>IF(OR(D14="",'총괄분'!J22="",N(K$5)=0),"",IF(AND(K$5&gt;='총괄분'!H22,K$5&lt;='총괄분'!I22),D14/'총괄분'!J22,""))</f>
        <v/>
      </c>
      <c r="L14" s="41">
        <f>IF(OR(D14="",'총괄분'!J22="",N(L$5)=0),"",IF(AND(L$5&gt;='총괄분'!H22,L$5&lt;='총괄분'!I22),D14/'총괄분'!J22,""))</f>
        <v/>
      </c>
      <c r="M14" s="41">
        <f>IF(OR(D14="",'총괄분'!J22="",N(M$5)=0),"",IF(AND(M$5&gt;='총괄분'!H22,M$5&lt;='총괄분'!I22),D14/'총괄분'!J22,""))</f>
        <v/>
      </c>
      <c r="N14" s="41">
        <f>IF(OR(D14="",'총괄분'!J22="",N(N$5)=0),"",IF(AND(N$5&gt;='총괄분'!H22,N$5&lt;='총괄분'!I22),D14/'총괄분'!J22,""))</f>
        <v/>
      </c>
      <c r="O14" s="41">
        <f>IF(OR(D14="",'총괄분'!J22="",N(O$5)=0),"",IF(AND(O$5&gt;='총괄분'!H22,O$5&lt;='총괄분'!I22),D14/'총괄분'!J22,""))</f>
        <v/>
      </c>
      <c r="P14" s="41">
        <f>IF(OR(D14="",'총괄분'!J22="",N(P$5)=0),"",IF(AND(P$5&gt;='총괄분'!H22,P$5&lt;='총괄분'!I22),D14/'총괄분'!J22,""))</f>
        <v/>
      </c>
      <c r="Q14" s="41">
        <f>IF(OR(D14="",'총괄분'!J22="",N(Q$5)=0),"",IF(AND(Q$5&gt;='총괄분'!H22,Q$5&lt;='총괄분'!I22),D14/'총괄분'!J22,""))</f>
        <v/>
      </c>
      <c r="R14" s="41">
        <f>IF(OR(D14="",'총괄분'!J22="",N(R$5)=0),"",IF(AND(R$5&gt;='총괄분'!H22,R$5&lt;='총괄분'!I22),D14/'총괄분'!J22,""))</f>
        <v/>
      </c>
      <c r="S14" s="41">
        <f>IF(OR(D14="",'총괄분'!J22="",N(S$5)=0),"",IF(AND(S$5&gt;='총괄분'!H22,S$5&lt;='총괄분'!I22),D14/'총괄분'!J22,""))</f>
        <v/>
      </c>
      <c r="T14" s="41">
        <f>IF(OR(D14="",'총괄분'!J22="",N(T$5)=0),"",IF(AND(T$5&gt;='총괄분'!H22,T$5&lt;='총괄분'!I22),D14/'총괄분'!J22,""))</f>
        <v/>
      </c>
      <c r="U14" s="41">
        <f>IF(OR(D14="",'총괄분'!J22="",N(U$5)=0),"",IF(AND(U$5&gt;='총괄분'!H22,U$5&lt;='총괄분'!I22),D14/'총괄분'!J22,""))</f>
        <v/>
      </c>
      <c r="V14" s="41">
        <f>IF(OR(D14="",'총괄분'!J22="",N(V$5)=0),"",IF(AND(V$5&gt;='총괄분'!H22,V$5&lt;='총괄분'!I22),D14/'총괄분'!J22,""))</f>
        <v/>
      </c>
      <c r="W14" s="41">
        <f>IF(OR(D14="",'총괄분'!J22="",N(W$5)=0),"",IF(AND(W$5&gt;='총괄분'!H22,W$5&lt;='총괄분'!I22),D14/'총괄분'!J22,""))</f>
        <v/>
      </c>
      <c r="X14" s="41">
        <f>IF(OR(D14="",'총괄분'!J22="",N(X$5)=0),"",IF(AND(X$5&gt;='총괄분'!H22,X$5&lt;='총괄분'!I22),D14/'총괄분'!J22,""))</f>
        <v/>
      </c>
      <c r="Y14" s="41">
        <f>IF(OR(D14="",'총괄분'!J22="",N(Y$5)=0),"",IF(AND(Y$5&gt;='총괄분'!H22,Y$5&lt;='총괄분'!I22),D14/'총괄분'!J22,""))</f>
        <v/>
      </c>
      <c r="Z14" s="41">
        <f>IF(OR(D14="",'총괄분'!J22="",N(Z$5)=0),"",IF(AND(Z$5&gt;='총괄분'!H22,Z$5&lt;='총괄분'!I22),D14/'총괄분'!J22,""))</f>
        <v/>
      </c>
      <c r="AA14" s="41">
        <f>IF(OR(D14="",'총괄분'!J22="",N(AA$5)=0),"",IF(AND(AA$5&gt;='총괄분'!H22,AA$5&lt;='총괄분'!I22),D14/'총괄분'!J22,""))</f>
        <v/>
      </c>
      <c r="AB14" s="41">
        <f>IF(OR(D14="",'총괄분'!J22="",N(AB$5)=0),"",IF(AND(AB$5&gt;='총괄분'!H22,AB$5&lt;='총괄분'!I22),D14/'총괄분'!J22,""))</f>
        <v/>
      </c>
      <c r="AC14" s="41">
        <f>IF(OR(D14="",'총괄분'!J22="",N(AC$5)=0),"",IF(AND(AC$5&gt;='총괄분'!H22,AC$5&lt;='총괄분'!I22),D14/'총괄분'!J22,""))</f>
        <v/>
      </c>
      <c r="AD14" s="41">
        <f>IF(OR(D14="",'총괄분'!J22="",N(AD$5)=0),"",IF(AND(AD$5&gt;='총괄분'!H22,AD$5&lt;='총괄분'!I22),D14/'총괄분'!J22,""))</f>
        <v/>
      </c>
      <c r="AE14" s="41">
        <f>IF(OR(D14="",'총괄분'!J22="",N(AE$5)=0),"",IF(AND(AE$5&gt;='총괄분'!H22,AE$5&lt;='총괄분'!I22),D14/'총괄분'!J22,""))</f>
        <v/>
      </c>
      <c r="AF14" s="41">
        <f>IF(OR(D14="",'총괄분'!J22="",N(AF$5)=0),"",IF(AND(AF$5&gt;='총괄분'!H22,AF$5&lt;='총괄분'!I22),D14/'총괄분'!J22,""))</f>
        <v/>
      </c>
      <c r="AG14" s="41">
        <f>IF(OR(D14="",'총괄분'!J22="",N(AG$5)=0),"",IF(AND(AG$5&gt;='총괄분'!H22,AG$5&lt;='총괄분'!I22),D14/'총괄분'!J22,""))</f>
        <v/>
      </c>
      <c r="AH14" s="41">
        <f>IF(OR(D14="",'총괄분'!J22="",N(AH$5)=0),"",IF(AND(AH$5&gt;='총괄분'!H22,AH$5&lt;='총괄분'!I22),D14/'총괄분'!J22,""))</f>
        <v/>
      </c>
      <c r="AI14" s="41">
        <f>IF(OR(D14="",'총괄분'!J22="",N(AI$5)=0),"",IF(AND(AI$5&gt;='총괄분'!H22,AI$5&lt;='총괄분'!I22),D14/'총괄분'!J22,""))</f>
        <v/>
      </c>
      <c r="AJ14" s="41">
        <f>IF(OR(D14="",'총괄분'!J22="",N(AJ$5)=0),"",IF(AND(AJ$5&gt;='총괄분'!H22,AJ$5&lt;='총괄분'!I22),D14/'총괄분'!J22,""))</f>
        <v/>
      </c>
      <c r="AK14" s="40">
        <f>IF(D14="","",SUM(F14:AJ14))</f>
        <v/>
      </c>
      <c r="AL14" s="40">
        <f>IF(D14="","",E14+AK14)</f>
        <v/>
      </c>
    </row>
    <row r="15" ht="15" customHeight="1">
      <c r="A15" s="38">
        <f>IF('총괄분'!A24="","",'총괄분'!A24)</f>
        <v/>
      </c>
      <c r="B15" s="38">
        <f>IF('총괄분'!B24="","",'총괄분'!B24)</f>
        <v/>
      </c>
      <c r="C15" s="39">
        <f>IF('총괄분'!C24="","",'총괄분'!C24)</f>
        <v/>
      </c>
      <c r="D15" s="23">
        <f>IF('총괄분'!E24="","",'총괄분'!E24)</f>
        <v/>
      </c>
      <c r="E15" s="40">
        <f>IF(OR(D15="",'총괄분'!J24="",N(U3)=0),"",MAX(0,MIN('총괄분'!I24,U3-1)-'총괄분'!H24+1)/'총괄분'!J24*D15)</f>
        <v/>
      </c>
      <c r="F15" s="41">
        <f>IF(OR(D15="",'총괄분'!J24="",N(F$5)=0),"",IF(AND(F$5&gt;='총괄분'!H24,F$5&lt;='총괄분'!I24),D15/'총괄분'!J24,""))</f>
        <v/>
      </c>
      <c r="G15" s="41">
        <f>IF(OR(D15="",'총괄분'!J24="",N(G$5)=0),"",IF(AND(G$5&gt;='총괄분'!H24,G$5&lt;='총괄분'!I24),D15/'총괄분'!J24,""))</f>
        <v/>
      </c>
      <c r="H15" s="41">
        <f>IF(OR(D15="",'총괄분'!J24="",N(H$5)=0),"",IF(AND(H$5&gt;='총괄분'!H24,H$5&lt;='총괄분'!I24),D15/'총괄분'!J24,""))</f>
        <v/>
      </c>
      <c r="I15" s="41">
        <f>IF(OR(D15="",'총괄분'!J24="",N(I$5)=0),"",IF(AND(I$5&gt;='총괄분'!H24,I$5&lt;='총괄분'!I24),D15/'총괄분'!J24,""))</f>
        <v/>
      </c>
      <c r="J15" s="41">
        <f>IF(OR(D15="",'총괄분'!J24="",N(J$5)=0),"",IF(AND(J$5&gt;='총괄분'!H24,J$5&lt;='총괄분'!I24),D15/'총괄분'!J24,""))</f>
        <v/>
      </c>
      <c r="K15" s="41">
        <f>IF(OR(D15="",'총괄분'!J24="",N(K$5)=0),"",IF(AND(K$5&gt;='총괄분'!H24,K$5&lt;='총괄분'!I24),D15/'총괄분'!J24,""))</f>
        <v/>
      </c>
      <c r="L15" s="41">
        <f>IF(OR(D15="",'총괄분'!J24="",N(L$5)=0),"",IF(AND(L$5&gt;='총괄분'!H24,L$5&lt;='총괄분'!I24),D15/'총괄분'!J24,""))</f>
        <v/>
      </c>
      <c r="M15" s="41">
        <f>IF(OR(D15="",'총괄분'!J24="",N(M$5)=0),"",IF(AND(M$5&gt;='총괄분'!H24,M$5&lt;='총괄분'!I24),D15/'총괄분'!J24,""))</f>
        <v/>
      </c>
      <c r="N15" s="41">
        <f>IF(OR(D15="",'총괄분'!J24="",N(N$5)=0),"",IF(AND(N$5&gt;='총괄분'!H24,N$5&lt;='총괄분'!I24),D15/'총괄분'!J24,""))</f>
        <v/>
      </c>
      <c r="O15" s="41">
        <f>IF(OR(D15="",'총괄분'!J24="",N(O$5)=0),"",IF(AND(O$5&gt;='총괄분'!H24,O$5&lt;='총괄분'!I24),D15/'총괄분'!J24,""))</f>
        <v/>
      </c>
      <c r="P15" s="41">
        <f>IF(OR(D15="",'총괄분'!J24="",N(P$5)=0),"",IF(AND(P$5&gt;='총괄분'!H24,P$5&lt;='총괄분'!I24),D15/'총괄분'!J24,""))</f>
        <v/>
      </c>
      <c r="Q15" s="41">
        <f>IF(OR(D15="",'총괄분'!J24="",N(Q$5)=0),"",IF(AND(Q$5&gt;='총괄분'!H24,Q$5&lt;='총괄분'!I24),D15/'총괄분'!J24,""))</f>
        <v/>
      </c>
      <c r="R15" s="41">
        <f>IF(OR(D15="",'총괄분'!J24="",N(R$5)=0),"",IF(AND(R$5&gt;='총괄분'!H24,R$5&lt;='총괄분'!I24),D15/'총괄분'!J24,""))</f>
        <v/>
      </c>
      <c r="S15" s="41">
        <f>IF(OR(D15="",'총괄분'!J24="",N(S$5)=0),"",IF(AND(S$5&gt;='총괄분'!H24,S$5&lt;='총괄분'!I24),D15/'총괄분'!J24,""))</f>
        <v/>
      </c>
      <c r="T15" s="41">
        <f>IF(OR(D15="",'총괄분'!J24="",N(T$5)=0),"",IF(AND(T$5&gt;='총괄분'!H24,T$5&lt;='총괄분'!I24),D15/'총괄분'!J24,""))</f>
        <v/>
      </c>
      <c r="U15" s="41">
        <f>IF(OR(D15="",'총괄분'!J24="",N(U$5)=0),"",IF(AND(U$5&gt;='총괄분'!H24,U$5&lt;='총괄분'!I24),D15/'총괄분'!J24,""))</f>
        <v/>
      </c>
      <c r="V15" s="41">
        <f>IF(OR(D15="",'총괄분'!J24="",N(V$5)=0),"",IF(AND(V$5&gt;='총괄분'!H24,V$5&lt;='총괄분'!I24),D15/'총괄분'!J24,""))</f>
        <v/>
      </c>
      <c r="W15" s="41">
        <f>IF(OR(D15="",'총괄분'!J24="",N(W$5)=0),"",IF(AND(W$5&gt;='총괄분'!H24,W$5&lt;='총괄분'!I24),D15/'총괄분'!J24,""))</f>
        <v/>
      </c>
      <c r="X15" s="41">
        <f>IF(OR(D15="",'총괄분'!J24="",N(X$5)=0),"",IF(AND(X$5&gt;='총괄분'!H24,X$5&lt;='총괄분'!I24),D15/'총괄분'!J24,""))</f>
        <v/>
      </c>
      <c r="Y15" s="41">
        <f>IF(OR(D15="",'총괄분'!J24="",N(Y$5)=0),"",IF(AND(Y$5&gt;='총괄분'!H24,Y$5&lt;='총괄분'!I24),D15/'총괄분'!J24,""))</f>
        <v/>
      </c>
      <c r="Z15" s="41">
        <f>IF(OR(D15="",'총괄분'!J24="",N(Z$5)=0),"",IF(AND(Z$5&gt;='총괄분'!H24,Z$5&lt;='총괄분'!I24),D15/'총괄분'!J24,""))</f>
        <v/>
      </c>
      <c r="AA15" s="41">
        <f>IF(OR(D15="",'총괄분'!J24="",N(AA$5)=0),"",IF(AND(AA$5&gt;='총괄분'!H24,AA$5&lt;='총괄분'!I24),D15/'총괄분'!J24,""))</f>
        <v/>
      </c>
      <c r="AB15" s="41">
        <f>IF(OR(D15="",'총괄분'!J24="",N(AB$5)=0),"",IF(AND(AB$5&gt;='총괄분'!H24,AB$5&lt;='총괄분'!I24),D15/'총괄분'!J24,""))</f>
        <v/>
      </c>
      <c r="AC15" s="41">
        <f>IF(OR(D15="",'총괄분'!J24="",N(AC$5)=0),"",IF(AND(AC$5&gt;='총괄분'!H24,AC$5&lt;='총괄분'!I24),D15/'총괄분'!J24,""))</f>
        <v/>
      </c>
      <c r="AD15" s="41">
        <f>IF(OR(D15="",'총괄분'!J24="",N(AD$5)=0),"",IF(AND(AD$5&gt;='총괄분'!H24,AD$5&lt;='총괄분'!I24),D15/'총괄분'!J24,""))</f>
        <v/>
      </c>
      <c r="AE15" s="41">
        <f>IF(OR(D15="",'총괄분'!J24="",N(AE$5)=0),"",IF(AND(AE$5&gt;='총괄분'!H24,AE$5&lt;='총괄분'!I24),D15/'총괄분'!J24,""))</f>
        <v/>
      </c>
      <c r="AF15" s="41">
        <f>IF(OR(D15="",'총괄분'!J24="",N(AF$5)=0),"",IF(AND(AF$5&gt;='총괄분'!H24,AF$5&lt;='총괄분'!I24),D15/'총괄분'!J24,""))</f>
        <v/>
      </c>
      <c r="AG15" s="41">
        <f>IF(OR(D15="",'총괄분'!J24="",N(AG$5)=0),"",IF(AND(AG$5&gt;='총괄분'!H24,AG$5&lt;='총괄분'!I24),D15/'총괄분'!J24,""))</f>
        <v/>
      </c>
      <c r="AH15" s="41">
        <f>IF(OR(D15="",'총괄분'!J24="",N(AH$5)=0),"",IF(AND(AH$5&gt;='총괄분'!H24,AH$5&lt;='총괄분'!I24),D15/'총괄분'!J24,""))</f>
        <v/>
      </c>
      <c r="AI15" s="41">
        <f>IF(OR(D15="",'총괄분'!J24="",N(AI$5)=0),"",IF(AND(AI$5&gt;='총괄분'!H24,AI$5&lt;='총괄분'!I24),D15/'총괄분'!J24,""))</f>
        <v/>
      </c>
      <c r="AJ15" s="41">
        <f>IF(OR(D15="",'총괄분'!J24="",N(AJ$5)=0),"",IF(AND(AJ$5&gt;='총괄분'!H24,AJ$5&lt;='총괄분'!I24),D15/'총괄분'!J24,""))</f>
        <v/>
      </c>
      <c r="AK15" s="40">
        <f>IF(D15="","",SUM(F15:AJ15))</f>
        <v/>
      </c>
      <c r="AL15" s="40">
        <f>IF(D15="","",E15+AK15)</f>
        <v/>
      </c>
    </row>
    <row r="16" ht="15" customHeight="1">
      <c r="A16" s="38">
        <f>IF('총괄분'!A26="","",'총괄분'!A26)</f>
        <v/>
      </c>
      <c r="B16" s="38">
        <f>IF('총괄분'!B26="","",'총괄분'!B26)</f>
        <v/>
      </c>
      <c r="C16" s="39">
        <f>IF('총괄분'!C26="","",'총괄분'!C26)</f>
        <v/>
      </c>
      <c r="D16" s="23">
        <f>IF('총괄분'!E26="","",'총괄분'!E26)</f>
        <v/>
      </c>
      <c r="E16" s="40">
        <f>IF(OR(D16="",'총괄분'!J26="",N(U3)=0),"",MAX(0,MIN('총괄분'!I26,U3-1)-'총괄분'!H26+1)/'총괄분'!J26*D16)</f>
        <v/>
      </c>
      <c r="F16" s="41">
        <f>IF(OR(D16="",'총괄분'!J26="",N(F$5)=0),"",IF(AND(F$5&gt;='총괄분'!H26,F$5&lt;='총괄분'!I26),D16/'총괄분'!J26,""))</f>
        <v/>
      </c>
      <c r="G16" s="41">
        <f>IF(OR(D16="",'총괄분'!J26="",N(G$5)=0),"",IF(AND(G$5&gt;='총괄분'!H26,G$5&lt;='총괄분'!I26),D16/'총괄분'!J26,""))</f>
        <v/>
      </c>
      <c r="H16" s="41">
        <f>IF(OR(D16="",'총괄분'!J26="",N(H$5)=0),"",IF(AND(H$5&gt;='총괄분'!H26,H$5&lt;='총괄분'!I26),D16/'총괄분'!J26,""))</f>
        <v/>
      </c>
      <c r="I16" s="41">
        <f>IF(OR(D16="",'총괄분'!J26="",N(I$5)=0),"",IF(AND(I$5&gt;='총괄분'!H26,I$5&lt;='총괄분'!I26),D16/'총괄분'!J26,""))</f>
        <v/>
      </c>
      <c r="J16" s="41">
        <f>IF(OR(D16="",'총괄분'!J26="",N(J$5)=0),"",IF(AND(J$5&gt;='총괄분'!H26,J$5&lt;='총괄분'!I26),D16/'총괄분'!J26,""))</f>
        <v/>
      </c>
      <c r="K16" s="41">
        <f>IF(OR(D16="",'총괄분'!J26="",N(K$5)=0),"",IF(AND(K$5&gt;='총괄분'!H26,K$5&lt;='총괄분'!I26),D16/'총괄분'!J26,""))</f>
        <v/>
      </c>
      <c r="L16" s="41">
        <f>IF(OR(D16="",'총괄분'!J26="",N(L$5)=0),"",IF(AND(L$5&gt;='총괄분'!H26,L$5&lt;='총괄분'!I26),D16/'총괄분'!J26,""))</f>
        <v/>
      </c>
      <c r="M16" s="41">
        <f>IF(OR(D16="",'총괄분'!J26="",N(M$5)=0),"",IF(AND(M$5&gt;='총괄분'!H26,M$5&lt;='총괄분'!I26),D16/'총괄분'!J26,""))</f>
        <v/>
      </c>
      <c r="N16" s="41">
        <f>IF(OR(D16="",'총괄분'!J26="",N(N$5)=0),"",IF(AND(N$5&gt;='총괄분'!H26,N$5&lt;='총괄분'!I26),D16/'총괄분'!J26,""))</f>
        <v/>
      </c>
      <c r="O16" s="41">
        <f>IF(OR(D16="",'총괄분'!J26="",N(O$5)=0),"",IF(AND(O$5&gt;='총괄분'!H26,O$5&lt;='총괄분'!I26),D16/'총괄분'!J26,""))</f>
        <v/>
      </c>
      <c r="P16" s="41">
        <f>IF(OR(D16="",'총괄분'!J26="",N(P$5)=0),"",IF(AND(P$5&gt;='총괄분'!H26,P$5&lt;='총괄분'!I26),D16/'총괄분'!J26,""))</f>
        <v/>
      </c>
      <c r="Q16" s="41">
        <f>IF(OR(D16="",'총괄분'!J26="",N(Q$5)=0),"",IF(AND(Q$5&gt;='총괄분'!H26,Q$5&lt;='총괄분'!I26),D16/'총괄분'!J26,""))</f>
        <v/>
      </c>
      <c r="R16" s="41">
        <f>IF(OR(D16="",'총괄분'!J26="",N(R$5)=0),"",IF(AND(R$5&gt;='총괄분'!H26,R$5&lt;='총괄분'!I26),D16/'총괄분'!J26,""))</f>
        <v/>
      </c>
      <c r="S16" s="41">
        <f>IF(OR(D16="",'총괄분'!J26="",N(S$5)=0),"",IF(AND(S$5&gt;='총괄분'!H26,S$5&lt;='총괄분'!I26),D16/'총괄분'!J26,""))</f>
        <v/>
      </c>
      <c r="T16" s="41">
        <f>IF(OR(D16="",'총괄분'!J26="",N(T$5)=0),"",IF(AND(T$5&gt;='총괄분'!H26,T$5&lt;='총괄분'!I26),D16/'총괄분'!J26,""))</f>
        <v/>
      </c>
      <c r="U16" s="41">
        <f>IF(OR(D16="",'총괄분'!J26="",N(U$5)=0),"",IF(AND(U$5&gt;='총괄분'!H26,U$5&lt;='총괄분'!I26),D16/'총괄분'!J26,""))</f>
        <v/>
      </c>
      <c r="V16" s="41">
        <f>IF(OR(D16="",'총괄분'!J26="",N(V$5)=0),"",IF(AND(V$5&gt;='총괄분'!H26,V$5&lt;='총괄분'!I26),D16/'총괄분'!J26,""))</f>
        <v/>
      </c>
      <c r="W16" s="41">
        <f>IF(OR(D16="",'총괄분'!J26="",N(W$5)=0),"",IF(AND(W$5&gt;='총괄분'!H26,W$5&lt;='총괄분'!I26),D16/'총괄분'!J26,""))</f>
        <v/>
      </c>
      <c r="X16" s="41">
        <f>IF(OR(D16="",'총괄분'!J26="",N(X$5)=0),"",IF(AND(X$5&gt;='총괄분'!H26,X$5&lt;='총괄분'!I26),D16/'총괄분'!J26,""))</f>
        <v/>
      </c>
      <c r="Y16" s="41">
        <f>IF(OR(D16="",'총괄분'!J26="",N(Y$5)=0),"",IF(AND(Y$5&gt;='총괄분'!H26,Y$5&lt;='총괄분'!I26),D16/'총괄분'!J26,""))</f>
        <v/>
      </c>
      <c r="Z16" s="41">
        <f>IF(OR(D16="",'총괄분'!J26="",N(Z$5)=0),"",IF(AND(Z$5&gt;='총괄분'!H26,Z$5&lt;='총괄분'!I26),D16/'총괄분'!J26,""))</f>
        <v/>
      </c>
      <c r="AA16" s="41">
        <f>IF(OR(D16="",'총괄분'!J26="",N(AA$5)=0),"",IF(AND(AA$5&gt;='총괄분'!H26,AA$5&lt;='총괄분'!I26),D16/'총괄분'!J26,""))</f>
        <v/>
      </c>
      <c r="AB16" s="41">
        <f>IF(OR(D16="",'총괄분'!J26="",N(AB$5)=0),"",IF(AND(AB$5&gt;='총괄분'!H26,AB$5&lt;='총괄분'!I26),D16/'총괄분'!J26,""))</f>
        <v/>
      </c>
      <c r="AC16" s="41">
        <f>IF(OR(D16="",'총괄분'!J26="",N(AC$5)=0),"",IF(AND(AC$5&gt;='총괄분'!H26,AC$5&lt;='총괄분'!I26),D16/'총괄분'!J26,""))</f>
        <v/>
      </c>
      <c r="AD16" s="41">
        <f>IF(OR(D16="",'총괄분'!J26="",N(AD$5)=0),"",IF(AND(AD$5&gt;='총괄분'!H26,AD$5&lt;='총괄분'!I26),D16/'총괄분'!J26,""))</f>
        <v/>
      </c>
      <c r="AE16" s="41">
        <f>IF(OR(D16="",'총괄분'!J26="",N(AE$5)=0),"",IF(AND(AE$5&gt;='총괄분'!H26,AE$5&lt;='총괄분'!I26),D16/'총괄분'!J26,""))</f>
        <v/>
      </c>
      <c r="AF16" s="41">
        <f>IF(OR(D16="",'총괄분'!J26="",N(AF$5)=0),"",IF(AND(AF$5&gt;='총괄분'!H26,AF$5&lt;='총괄분'!I26),D16/'총괄분'!J26,""))</f>
        <v/>
      </c>
      <c r="AG16" s="41">
        <f>IF(OR(D16="",'총괄분'!J26="",N(AG$5)=0),"",IF(AND(AG$5&gt;='총괄분'!H26,AG$5&lt;='총괄분'!I26),D16/'총괄분'!J26,""))</f>
        <v/>
      </c>
      <c r="AH16" s="41">
        <f>IF(OR(D16="",'총괄분'!J26="",N(AH$5)=0),"",IF(AND(AH$5&gt;='총괄분'!H26,AH$5&lt;='총괄분'!I26),D16/'총괄분'!J26,""))</f>
        <v/>
      </c>
      <c r="AI16" s="41">
        <f>IF(OR(D16="",'총괄분'!J26="",N(AI$5)=0),"",IF(AND(AI$5&gt;='총괄분'!H26,AI$5&lt;='총괄분'!I26),D16/'총괄분'!J26,""))</f>
        <v/>
      </c>
      <c r="AJ16" s="41">
        <f>IF(OR(D16="",'총괄분'!J26="",N(AJ$5)=0),"",IF(AND(AJ$5&gt;='총괄분'!H26,AJ$5&lt;='총괄분'!I26),D16/'총괄분'!J26,""))</f>
        <v/>
      </c>
      <c r="AK16" s="40">
        <f>IF(D16="","",SUM(F16:AJ16))</f>
        <v/>
      </c>
      <c r="AL16" s="40">
        <f>IF(D16="","",E16+AK16)</f>
        <v/>
      </c>
    </row>
    <row r="17" ht="15" customHeight="1">
      <c r="A17" s="38">
        <f>IF('총괄분'!A28="","",'총괄분'!A28)</f>
        <v/>
      </c>
      <c r="B17" s="38">
        <f>IF('총괄분'!B28="","",'총괄분'!B28)</f>
        <v/>
      </c>
      <c r="C17" s="39">
        <f>IF('총괄분'!C28="","",'총괄분'!C28)</f>
        <v/>
      </c>
      <c r="D17" s="23">
        <f>IF('총괄분'!E28="","",'총괄분'!E28)</f>
        <v/>
      </c>
      <c r="E17" s="40">
        <f>IF(OR(D17="",'총괄분'!J28="",N(U3)=0),"",MAX(0,MIN('총괄분'!I28,U3-1)-'총괄분'!H28+1)/'총괄분'!J28*D17)</f>
        <v/>
      </c>
      <c r="F17" s="41">
        <f>IF(OR(D17="",'총괄분'!J28="",N(F$5)=0),"",IF(AND(F$5&gt;='총괄분'!H28,F$5&lt;='총괄분'!I28),D17/'총괄분'!J28,""))</f>
        <v/>
      </c>
      <c r="G17" s="41">
        <f>IF(OR(D17="",'총괄분'!J28="",N(G$5)=0),"",IF(AND(G$5&gt;='총괄분'!H28,G$5&lt;='총괄분'!I28),D17/'총괄분'!J28,""))</f>
        <v/>
      </c>
      <c r="H17" s="41">
        <f>IF(OR(D17="",'총괄분'!J28="",N(H$5)=0),"",IF(AND(H$5&gt;='총괄분'!H28,H$5&lt;='총괄분'!I28),D17/'총괄분'!J28,""))</f>
        <v/>
      </c>
      <c r="I17" s="41">
        <f>IF(OR(D17="",'총괄분'!J28="",N(I$5)=0),"",IF(AND(I$5&gt;='총괄분'!H28,I$5&lt;='총괄분'!I28),D17/'총괄분'!J28,""))</f>
        <v/>
      </c>
      <c r="J17" s="41">
        <f>IF(OR(D17="",'총괄분'!J28="",N(J$5)=0),"",IF(AND(J$5&gt;='총괄분'!H28,J$5&lt;='총괄분'!I28),D17/'총괄분'!J28,""))</f>
        <v/>
      </c>
      <c r="K17" s="41">
        <f>IF(OR(D17="",'총괄분'!J28="",N(K$5)=0),"",IF(AND(K$5&gt;='총괄분'!H28,K$5&lt;='총괄분'!I28),D17/'총괄분'!J28,""))</f>
        <v/>
      </c>
      <c r="L17" s="41">
        <f>IF(OR(D17="",'총괄분'!J28="",N(L$5)=0),"",IF(AND(L$5&gt;='총괄분'!H28,L$5&lt;='총괄분'!I28),D17/'총괄분'!J28,""))</f>
        <v/>
      </c>
      <c r="M17" s="41">
        <f>IF(OR(D17="",'총괄분'!J28="",N(M$5)=0),"",IF(AND(M$5&gt;='총괄분'!H28,M$5&lt;='총괄분'!I28),D17/'총괄분'!J28,""))</f>
        <v/>
      </c>
      <c r="N17" s="41">
        <f>IF(OR(D17="",'총괄분'!J28="",N(N$5)=0),"",IF(AND(N$5&gt;='총괄분'!H28,N$5&lt;='총괄분'!I28),D17/'총괄분'!J28,""))</f>
        <v/>
      </c>
      <c r="O17" s="41">
        <f>IF(OR(D17="",'총괄분'!J28="",N(O$5)=0),"",IF(AND(O$5&gt;='총괄분'!H28,O$5&lt;='총괄분'!I28),D17/'총괄분'!J28,""))</f>
        <v/>
      </c>
      <c r="P17" s="41">
        <f>IF(OR(D17="",'총괄분'!J28="",N(P$5)=0),"",IF(AND(P$5&gt;='총괄분'!H28,P$5&lt;='총괄분'!I28),D17/'총괄분'!J28,""))</f>
        <v/>
      </c>
      <c r="Q17" s="41">
        <f>IF(OR(D17="",'총괄분'!J28="",N(Q$5)=0),"",IF(AND(Q$5&gt;='총괄분'!H28,Q$5&lt;='총괄분'!I28),D17/'총괄분'!J28,""))</f>
        <v/>
      </c>
      <c r="R17" s="41">
        <f>IF(OR(D17="",'총괄분'!J28="",N(R$5)=0),"",IF(AND(R$5&gt;='총괄분'!H28,R$5&lt;='총괄분'!I28),D17/'총괄분'!J28,""))</f>
        <v/>
      </c>
      <c r="S17" s="41">
        <f>IF(OR(D17="",'총괄분'!J28="",N(S$5)=0),"",IF(AND(S$5&gt;='총괄분'!H28,S$5&lt;='총괄분'!I28),D17/'총괄분'!J28,""))</f>
        <v/>
      </c>
      <c r="T17" s="41">
        <f>IF(OR(D17="",'총괄분'!J28="",N(T$5)=0),"",IF(AND(T$5&gt;='총괄분'!H28,T$5&lt;='총괄분'!I28),D17/'총괄분'!J28,""))</f>
        <v/>
      </c>
      <c r="U17" s="41">
        <f>IF(OR(D17="",'총괄분'!J28="",N(U$5)=0),"",IF(AND(U$5&gt;='총괄분'!H28,U$5&lt;='총괄분'!I28),D17/'총괄분'!J28,""))</f>
        <v/>
      </c>
      <c r="V17" s="41">
        <f>IF(OR(D17="",'총괄분'!J28="",N(V$5)=0),"",IF(AND(V$5&gt;='총괄분'!H28,V$5&lt;='총괄분'!I28),D17/'총괄분'!J28,""))</f>
        <v/>
      </c>
      <c r="W17" s="41">
        <f>IF(OR(D17="",'총괄분'!J28="",N(W$5)=0),"",IF(AND(W$5&gt;='총괄분'!H28,W$5&lt;='총괄분'!I28),D17/'총괄분'!J28,""))</f>
        <v/>
      </c>
      <c r="X17" s="41">
        <f>IF(OR(D17="",'총괄분'!J28="",N(X$5)=0),"",IF(AND(X$5&gt;='총괄분'!H28,X$5&lt;='총괄분'!I28),D17/'총괄분'!J28,""))</f>
        <v/>
      </c>
      <c r="Y17" s="41">
        <f>IF(OR(D17="",'총괄분'!J28="",N(Y$5)=0),"",IF(AND(Y$5&gt;='총괄분'!H28,Y$5&lt;='총괄분'!I28),D17/'총괄분'!J28,""))</f>
        <v/>
      </c>
      <c r="Z17" s="41">
        <f>IF(OR(D17="",'총괄분'!J28="",N(Z$5)=0),"",IF(AND(Z$5&gt;='총괄분'!H28,Z$5&lt;='총괄분'!I28),D17/'총괄분'!J28,""))</f>
        <v/>
      </c>
      <c r="AA17" s="41">
        <f>IF(OR(D17="",'총괄분'!J28="",N(AA$5)=0),"",IF(AND(AA$5&gt;='총괄분'!H28,AA$5&lt;='총괄분'!I28),D17/'총괄분'!J28,""))</f>
        <v/>
      </c>
      <c r="AB17" s="41">
        <f>IF(OR(D17="",'총괄분'!J28="",N(AB$5)=0),"",IF(AND(AB$5&gt;='총괄분'!H28,AB$5&lt;='총괄분'!I28),D17/'총괄분'!J28,""))</f>
        <v/>
      </c>
      <c r="AC17" s="41">
        <f>IF(OR(D17="",'총괄분'!J28="",N(AC$5)=0),"",IF(AND(AC$5&gt;='총괄분'!H28,AC$5&lt;='총괄분'!I28),D17/'총괄분'!J28,""))</f>
        <v/>
      </c>
      <c r="AD17" s="41">
        <f>IF(OR(D17="",'총괄분'!J28="",N(AD$5)=0),"",IF(AND(AD$5&gt;='총괄분'!H28,AD$5&lt;='총괄분'!I28),D17/'총괄분'!J28,""))</f>
        <v/>
      </c>
      <c r="AE17" s="41">
        <f>IF(OR(D17="",'총괄분'!J28="",N(AE$5)=0),"",IF(AND(AE$5&gt;='총괄분'!H28,AE$5&lt;='총괄분'!I28),D17/'총괄분'!J28,""))</f>
        <v/>
      </c>
      <c r="AF17" s="41">
        <f>IF(OR(D17="",'총괄분'!J28="",N(AF$5)=0),"",IF(AND(AF$5&gt;='총괄분'!H28,AF$5&lt;='총괄분'!I28),D17/'총괄분'!J28,""))</f>
        <v/>
      </c>
      <c r="AG17" s="41">
        <f>IF(OR(D17="",'총괄분'!J28="",N(AG$5)=0),"",IF(AND(AG$5&gt;='총괄분'!H28,AG$5&lt;='총괄분'!I28),D17/'총괄분'!J28,""))</f>
        <v/>
      </c>
      <c r="AH17" s="41">
        <f>IF(OR(D17="",'총괄분'!J28="",N(AH$5)=0),"",IF(AND(AH$5&gt;='총괄분'!H28,AH$5&lt;='총괄분'!I28),D17/'총괄분'!J28,""))</f>
        <v/>
      </c>
      <c r="AI17" s="41">
        <f>IF(OR(D17="",'총괄분'!J28="",N(AI$5)=0),"",IF(AND(AI$5&gt;='총괄분'!H28,AI$5&lt;='총괄분'!I28),D17/'총괄분'!J28,""))</f>
        <v/>
      </c>
      <c r="AJ17" s="41">
        <f>IF(OR(D17="",'총괄분'!J28="",N(AJ$5)=0),"",IF(AND(AJ$5&gt;='총괄분'!H28,AJ$5&lt;='총괄분'!I28),D17/'총괄분'!J28,""))</f>
        <v/>
      </c>
      <c r="AK17" s="40">
        <f>IF(D17="","",SUM(F17:AJ17))</f>
        <v/>
      </c>
      <c r="AL17" s="40">
        <f>IF(D17="","",E17+AK17)</f>
        <v/>
      </c>
    </row>
    <row r="18" ht="15" customHeight="1">
      <c r="A18" s="38">
        <f>IF('총괄분'!A30="","",'총괄분'!A30)</f>
        <v/>
      </c>
      <c r="B18" s="38">
        <f>IF('총괄분'!B30="","",'총괄분'!B30)</f>
        <v/>
      </c>
      <c r="C18" s="39">
        <f>IF('총괄분'!C30="","",'총괄분'!C30)</f>
        <v/>
      </c>
      <c r="D18" s="23">
        <f>IF('총괄분'!E30="","",'총괄분'!E30)</f>
        <v/>
      </c>
      <c r="E18" s="40">
        <f>IF(OR(D18="",'총괄분'!J30="",N(U3)=0),"",MAX(0,MIN('총괄분'!I30,U3-1)-'총괄분'!H30+1)/'총괄분'!J30*D18)</f>
        <v/>
      </c>
      <c r="F18" s="41">
        <f>IF(OR(D18="",'총괄분'!J30="",N(F$5)=0),"",IF(AND(F$5&gt;='총괄분'!H30,F$5&lt;='총괄분'!I30),D18/'총괄분'!J30,""))</f>
        <v/>
      </c>
      <c r="G18" s="41">
        <f>IF(OR(D18="",'총괄분'!J30="",N(G$5)=0),"",IF(AND(G$5&gt;='총괄분'!H30,G$5&lt;='총괄분'!I30),D18/'총괄분'!J30,""))</f>
        <v/>
      </c>
      <c r="H18" s="41">
        <f>IF(OR(D18="",'총괄분'!J30="",N(H$5)=0),"",IF(AND(H$5&gt;='총괄분'!H30,H$5&lt;='총괄분'!I30),D18/'총괄분'!J30,""))</f>
        <v/>
      </c>
      <c r="I18" s="41">
        <f>IF(OR(D18="",'총괄분'!J30="",N(I$5)=0),"",IF(AND(I$5&gt;='총괄분'!H30,I$5&lt;='총괄분'!I30),D18/'총괄분'!J30,""))</f>
        <v/>
      </c>
      <c r="J18" s="41">
        <f>IF(OR(D18="",'총괄분'!J30="",N(J$5)=0),"",IF(AND(J$5&gt;='총괄분'!H30,J$5&lt;='총괄분'!I30),D18/'총괄분'!J30,""))</f>
        <v/>
      </c>
      <c r="K18" s="41">
        <f>IF(OR(D18="",'총괄분'!J30="",N(K$5)=0),"",IF(AND(K$5&gt;='총괄분'!H30,K$5&lt;='총괄분'!I30),D18/'총괄분'!J30,""))</f>
        <v/>
      </c>
      <c r="L18" s="41">
        <f>IF(OR(D18="",'총괄분'!J30="",N(L$5)=0),"",IF(AND(L$5&gt;='총괄분'!H30,L$5&lt;='총괄분'!I30),D18/'총괄분'!J30,""))</f>
        <v/>
      </c>
      <c r="M18" s="41">
        <f>IF(OR(D18="",'총괄분'!J30="",N(M$5)=0),"",IF(AND(M$5&gt;='총괄분'!H30,M$5&lt;='총괄분'!I30),D18/'총괄분'!J30,""))</f>
        <v/>
      </c>
      <c r="N18" s="41">
        <f>IF(OR(D18="",'총괄분'!J30="",N(N$5)=0),"",IF(AND(N$5&gt;='총괄분'!H30,N$5&lt;='총괄분'!I30),D18/'총괄분'!J30,""))</f>
        <v/>
      </c>
      <c r="O18" s="41">
        <f>IF(OR(D18="",'총괄분'!J30="",N(O$5)=0),"",IF(AND(O$5&gt;='총괄분'!H30,O$5&lt;='총괄분'!I30),D18/'총괄분'!J30,""))</f>
        <v/>
      </c>
      <c r="P18" s="41">
        <f>IF(OR(D18="",'총괄분'!J30="",N(P$5)=0),"",IF(AND(P$5&gt;='총괄분'!H30,P$5&lt;='총괄분'!I30),D18/'총괄분'!J30,""))</f>
        <v/>
      </c>
      <c r="Q18" s="41">
        <f>IF(OR(D18="",'총괄분'!J30="",N(Q$5)=0),"",IF(AND(Q$5&gt;='총괄분'!H30,Q$5&lt;='총괄분'!I30),D18/'총괄분'!J30,""))</f>
        <v/>
      </c>
      <c r="R18" s="41">
        <f>IF(OR(D18="",'총괄분'!J30="",N(R$5)=0),"",IF(AND(R$5&gt;='총괄분'!H30,R$5&lt;='총괄분'!I30),D18/'총괄분'!J30,""))</f>
        <v/>
      </c>
      <c r="S18" s="41">
        <f>IF(OR(D18="",'총괄분'!J30="",N(S$5)=0),"",IF(AND(S$5&gt;='총괄분'!H30,S$5&lt;='총괄분'!I30),D18/'총괄분'!J30,""))</f>
        <v/>
      </c>
      <c r="T18" s="41">
        <f>IF(OR(D18="",'총괄분'!J30="",N(T$5)=0),"",IF(AND(T$5&gt;='총괄분'!H30,T$5&lt;='총괄분'!I30),D18/'총괄분'!J30,""))</f>
        <v/>
      </c>
      <c r="U18" s="41">
        <f>IF(OR(D18="",'총괄분'!J30="",N(U$5)=0),"",IF(AND(U$5&gt;='총괄분'!H30,U$5&lt;='총괄분'!I30),D18/'총괄분'!J30,""))</f>
        <v/>
      </c>
      <c r="V18" s="41">
        <f>IF(OR(D18="",'총괄분'!J30="",N(V$5)=0),"",IF(AND(V$5&gt;='총괄분'!H30,V$5&lt;='총괄분'!I30),D18/'총괄분'!J30,""))</f>
        <v/>
      </c>
      <c r="W18" s="41">
        <f>IF(OR(D18="",'총괄분'!J30="",N(W$5)=0),"",IF(AND(W$5&gt;='총괄분'!H30,W$5&lt;='총괄분'!I30),D18/'총괄분'!J30,""))</f>
        <v/>
      </c>
      <c r="X18" s="41">
        <f>IF(OR(D18="",'총괄분'!J30="",N(X$5)=0),"",IF(AND(X$5&gt;='총괄분'!H30,X$5&lt;='총괄분'!I30),D18/'총괄분'!J30,""))</f>
        <v/>
      </c>
      <c r="Y18" s="41">
        <f>IF(OR(D18="",'총괄분'!J30="",N(Y$5)=0),"",IF(AND(Y$5&gt;='총괄분'!H30,Y$5&lt;='총괄분'!I30),D18/'총괄분'!J30,""))</f>
        <v/>
      </c>
      <c r="Z18" s="41">
        <f>IF(OR(D18="",'총괄분'!J30="",N(Z$5)=0),"",IF(AND(Z$5&gt;='총괄분'!H30,Z$5&lt;='총괄분'!I30),D18/'총괄분'!J30,""))</f>
        <v/>
      </c>
      <c r="AA18" s="41">
        <f>IF(OR(D18="",'총괄분'!J30="",N(AA$5)=0),"",IF(AND(AA$5&gt;='총괄분'!H30,AA$5&lt;='총괄분'!I30),D18/'총괄분'!J30,""))</f>
        <v/>
      </c>
      <c r="AB18" s="41">
        <f>IF(OR(D18="",'총괄분'!J30="",N(AB$5)=0),"",IF(AND(AB$5&gt;='총괄분'!H30,AB$5&lt;='총괄분'!I30),D18/'총괄분'!J30,""))</f>
        <v/>
      </c>
      <c r="AC18" s="41">
        <f>IF(OR(D18="",'총괄분'!J30="",N(AC$5)=0),"",IF(AND(AC$5&gt;='총괄분'!H30,AC$5&lt;='총괄분'!I30),D18/'총괄분'!J30,""))</f>
        <v/>
      </c>
      <c r="AD18" s="41">
        <f>IF(OR(D18="",'총괄분'!J30="",N(AD$5)=0),"",IF(AND(AD$5&gt;='총괄분'!H30,AD$5&lt;='총괄분'!I30),D18/'총괄분'!J30,""))</f>
        <v/>
      </c>
      <c r="AE18" s="41">
        <f>IF(OR(D18="",'총괄분'!J30="",N(AE$5)=0),"",IF(AND(AE$5&gt;='총괄분'!H30,AE$5&lt;='총괄분'!I30),D18/'총괄분'!J30,""))</f>
        <v/>
      </c>
      <c r="AF18" s="41">
        <f>IF(OR(D18="",'총괄분'!J30="",N(AF$5)=0),"",IF(AND(AF$5&gt;='총괄분'!H30,AF$5&lt;='총괄분'!I30),D18/'총괄분'!J30,""))</f>
        <v/>
      </c>
      <c r="AG18" s="41">
        <f>IF(OR(D18="",'총괄분'!J30="",N(AG$5)=0),"",IF(AND(AG$5&gt;='총괄분'!H30,AG$5&lt;='총괄분'!I30),D18/'총괄분'!J30,""))</f>
        <v/>
      </c>
      <c r="AH18" s="41">
        <f>IF(OR(D18="",'총괄분'!J30="",N(AH$5)=0),"",IF(AND(AH$5&gt;='총괄분'!H30,AH$5&lt;='총괄분'!I30),D18/'총괄분'!J30,""))</f>
        <v/>
      </c>
      <c r="AI18" s="41">
        <f>IF(OR(D18="",'총괄분'!J30="",N(AI$5)=0),"",IF(AND(AI$5&gt;='총괄분'!H30,AI$5&lt;='총괄분'!I30),D18/'총괄분'!J30,""))</f>
        <v/>
      </c>
      <c r="AJ18" s="41">
        <f>IF(OR(D18="",'총괄분'!J30="",N(AJ$5)=0),"",IF(AND(AJ$5&gt;='총괄분'!H30,AJ$5&lt;='총괄분'!I30),D18/'총괄분'!J30,""))</f>
        <v/>
      </c>
      <c r="AK18" s="40">
        <f>IF(D18="","",SUM(F18:AJ18))</f>
        <v/>
      </c>
      <c r="AL18" s="40">
        <f>IF(D18="","",E18+AK18)</f>
        <v/>
      </c>
    </row>
    <row r="19" ht="15" customHeight="1">
      <c r="A19" s="38">
        <f>IF('총괄분'!A32="","",'총괄분'!A32)</f>
        <v/>
      </c>
      <c r="B19" s="38">
        <f>IF('총괄분'!B32="","",'총괄분'!B32)</f>
        <v/>
      </c>
      <c r="C19" s="39">
        <f>IF('총괄분'!C32="","",'총괄분'!C32)</f>
        <v/>
      </c>
      <c r="D19" s="23">
        <f>IF('총괄분'!E32="","",'총괄분'!E32)</f>
        <v/>
      </c>
      <c r="E19" s="40">
        <f>IF(OR(D19="",'총괄분'!J32="",N(U3)=0),"",MAX(0,MIN('총괄분'!I32,U3-1)-'총괄분'!H32+1)/'총괄분'!J32*D19)</f>
        <v/>
      </c>
      <c r="F19" s="41">
        <f>IF(OR(D19="",'총괄분'!J32="",N(F$5)=0),"",IF(AND(F$5&gt;='총괄분'!H32,F$5&lt;='총괄분'!I32),D19/'총괄분'!J32,""))</f>
        <v/>
      </c>
      <c r="G19" s="41">
        <f>IF(OR(D19="",'총괄분'!J32="",N(G$5)=0),"",IF(AND(G$5&gt;='총괄분'!H32,G$5&lt;='총괄분'!I32),D19/'총괄분'!J32,""))</f>
        <v/>
      </c>
      <c r="H19" s="41">
        <f>IF(OR(D19="",'총괄분'!J32="",N(H$5)=0),"",IF(AND(H$5&gt;='총괄분'!H32,H$5&lt;='총괄분'!I32),D19/'총괄분'!J32,""))</f>
        <v/>
      </c>
      <c r="I19" s="41">
        <f>IF(OR(D19="",'총괄분'!J32="",N(I$5)=0),"",IF(AND(I$5&gt;='총괄분'!H32,I$5&lt;='총괄분'!I32),D19/'총괄분'!J32,""))</f>
        <v/>
      </c>
      <c r="J19" s="41">
        <f>IF(OR(D19="",'총괄분'!J32="",N(J$5)=0),"",IF(AND(J$5&gt;='총괄분'!H32,J$5&lt;='총괄분'!I32),D19/'총괄분'!J32,""))</f>
        <v/>
      </c>
      <c r="K19" s="41">
        <f>IF(OR(D19="",'총괄분'!J32="",N(K$5)=0),"",IF(AND(K$5&gt;='총괄분'!H32,K$5&lt;='총괄분'!I32),D19/'총괄분'!J32,""))</f>
        <v/>
      </c>
      <c r="L19" s="41">
        <f>IF(OR(D19="",'총괄분'!J32="",N(L$5)=0),"",IF(AND(L$5&gt;='총괄분'!H32,L$5&lt;='총괄분'!I32),D19/'총괄분'!J32,""))</f>
        <v/>
      </c>
      <c r="M19" s="41">
        <f>IF(OR(D19="",'총괄분'!J32="",N(M$5)=0),"",IF(AND(M$5&gt;='총괄분'!H32,M$5&lt;='총괄분'!I32),D19/'총괄분'!J32,""))</f>
        <v/>
      </c>
      <c r="N19" s="41">
        <f>IF(OR(D19="",'총괄분'!J32="",N(N$5)=0),"",IF(AND(N$5&gt;='총괄분'!H32,N$5&lt;='총괄분'!I32),D19/'총괄분'!J32,""))</f>
        <v/>
      </c>
      <c r="O19" s="41">
        <f>IF(OR(D19="",'총괄분'!J32="",N(O$5)=0),"",IF(AND(O$5&gt;='총괄분'!H32,O$5&lt;='총괄분'!I32),D19/'총괄분'!J32,""))</f>
        <v/>
      </c>
      <c r="P19" s="41">
        <f>IF(OR(D19="",'총괄분'!J32="",N(P$5)=0),"",IF(AND(P$5&gt;='총괄분'!H32,P$5&lt;='총괄분'!I32),D19/'총괄분'!J32,""))</f>
        <v/>
      </c>
      <c r="Q19" s="41">
        <f>IF(OR(D19="",'총괄분'!J32="",N(Q$5)=0),"",IF(AND(Q$5&gt;='총괄분'!H32,Q$5&lt;='총괄분'!I32),D19/'총괄분'!J32,""))</f>
        <v/>
      </c>
      <c r="R19" s="41">
        <f>IF(OR(D19="",'총괄분'!J32="",N(R$5)=0),"",IF(AND(R$5&gt;='총괄분'!H32,R$5&lt;='총괄분'!I32),D19/'총괄분'!J32,""))</f>
        <v/>
      </c>
      <c r="S19" s="41">
        <f>IF(OR(D19="",'총괄분'!J32="",N(S$5)=0),"",IF(AND(S$5&gt;='총괄분'!H32,S$5&lt;='총괄분'!I32),D19/'총괄분'!J32,""))</f>
        <v/>
      </c>
      <c r="T19" s="41">
        <f>IF(OR(D19="",'총괄분'!J32="",N(T$5)=0),"",IF(AND(T$5&gt;='총괄분'!H32,T$5&lt;='총괄분'!I32),D19/'총괄분'!J32,""))</f>
        <v/>
      </c>
      <c r="U19" s="41">
        <f>IF(OR(D19="",'총괄분'!J32="",N(U$5)=0),"",IF(AND(U$5&gt;='총괄분'!H32,U$5&lt;='총괄분'!I32),D19/'총괄분'!J32,""))</f>
        <v/>
      </c>
      <c r="V19" s="41">
        <f>IF(OR(D19="",'총괄분'!J32="",N(V$5)=0),"",IF(AND(V$5&gt;='총괄분'!H32,V$5&lt;='총괄분'!I32),D19/'총괄분'!J32,""))</f>
        <v/>
      </c>
      <c r="W19" s="41">
        <f>IF(OR(D19="",'총괄분'!J32="",N(W$5)=0),"",IF(AND(W$5&gt;='총괄분'!H32,W$5&lt;='총괄분'!I32),D19/'총괄분'!J32,""))</f>
        <v/>
      </c>
      <c r="X19" s="41">
        <f>IF(OR(D19="",'총괄분'!J32="",N(X$5)=0),"",IF(AND(X$5&gt;='총괄분'!H32,X$5&lt;='총괄분'!I32),D19/'총괄분'!J32,""))</f>
        <v/>
      </c>
      <c r="Y19" s="41">
        <f>IF(OR(D19="",'총괄분'!J32="",N(Y$5)=0),"",IF(AND(Y$5&gt;='총괄분'!H32,Y$5&lt;='총괄분'!I32),D19/'총괄분'!J32,""))</f>
        <v/>
      </c>
      <c r="Z19" s="41">
        <f>IF(OR(D19="",'총괄분'!J32="",N(Z$5)=0),"",IF(AND(Z$5&gt;='총괄분'!H32,Z$5&lt;='총괄분'!I32),D19/'총괄분'!J32,""))</f>
        <v/>
      </c>
      <c r="AA19" s="41">
        <f>IF(OR(D19="",'총괄분'!J32="",N(AA$5)=0),"",IF(AND(AA$5&gt;='총괄분'!H32,AA$5&lt;='총괄분'!I32),D19/'총괄분'!J32,""))</f>
        <v/>
      </c>
      <c r="AB19" s="41">
        <f>IF(OR(D19="",'총괄분'!J32="",N(AB$5)=0),"",IF(AND(AB$5&gt;='총괄분'!H32,AB$5&lt;='총괄분'!I32),D19/'총괄분'!J32,""))</f>
        <v/>
      </c>
      <c r="AC19" s="41">
        <f>IF(OR(D19="",'총괄분'!J32="",N(AC$5)=0),"",IF(AND(AC$5&gt;='총괄분'!H32,AC$5&lt;='총괄분'!I32),D19/'총괄분'!J32,""))</f>
        <v/>
      </c>
      <c r="AD19" s="41">
        <f>IF(OR(D19="",'총괄분'!J32="",N(AD$5)=0),"",IF(AND(AD$5&gt;='총괄분'!H32,AD$5&lt;='총괄분'!I32),D19/'총괄분'!J32,""))</f>
        <v/>
      </c>
      <c r="AE19" s="41">
        <f>IF(OR(D19="",'총괄분'!J32="",N(AE$5)=0),"",IF(AND(AE$5&gt;='총괄분'!H32,AE$5&lt;='총괄분'!I32),D19/'총괄분'!J32,""))</f>
        <v/>
      </c>
      <c r="AF19" s="41">
        <f>IF(OR(D19="",'총괄분'!J32="",N(AF$5)=0),"",IF(AND(AF$5&gt;='총괄분'!H32,AF$5&lt;='총괄분'!I32),D19/'총괄분'!J32,""))</f>
        <v/>
      </c>
      <c r="AG19" s="41">
        <f>IF(OR(D19="",'총괄분'!J32="",N(AG$5)=0),"",IF(AND(AG$5&gt;='총괄분'!H32,AG$5&lt;='총괄분'!I32),D19/'총괄분'!J32,""))</f>
        <v/>
      </c>
      <c r="AH19" s="41">
        <f>IF(OR(D19="",'총괄분'!J32="",N(AH$5)=0),"",IF(AND(AH$5&gt;='총괄분'!H32,AH$5&lt;='총괄분'!I32),D19/'총괄분'!J32,""))</f>
        <v/>
      </c>
      <c r="AI19" s="41">
        <f>IF(OR(D19="",'총괄분'!J32="",N(AI$5)=0),"",IF(AND(AI$5&gt;='총괄분'!H32,AI$5&lt;='총괄분'!I32),D19/'총괄분'!J32,""))</f>
        <v/>
      </c>
      <c r="AJ19" s="41">
        <f>IF(OR(D19="",'총괄분'!J32="",N(AJ$5)=0),"",IF(AND(AJ$5&gt;='총괄분'!H32,AJ$5&lt;='총괄분'!I32),D19/'총괄분'!J32,""))</f>
        <v/>
      </c>
      <c r="AK19" s="40">
        <f>IF(D19="","",SUM(F19:AJ19))</f>
        <v/>
      </c>
      <c r="AL19" s="40">
        <f>IF(D19="","",E19+AK19)</f>
        <v/>
      </c>
    </row>
    <row r="20" ht="15" customHeight="1">
      <c r="A20" s="38">
        <f>IF('총괄분'!A34="","",'총괄분'!A34)</f>
        <v/>
      </c>
      <c r="B20" s="38">
        <f>IF('총괄분'!B34="","",'총괄분'!B34)</f>
        <v/>
      </c>
      <c r="C20" s="39">
        <f>IF('총괄분'!C34="","",'총괄분'!C34)</f>
        <v/>
      </c>
      <c r="D20" s="23">
        <f>IF('총괄분'!E34="","",'총괄분'!E34)</f>
        <v/>
      </c>
      <c r="E20" s="40">
        <f>IF(OR(D20="",'총괄분'!J34="",N(U3)=0),"",MAX(0,MIN('총괄분'!I34,U3-1)-'총괄분'!H34+1)/'총괄분'!J34*D20)</f>
        <v/>
      </c>
      <c r="F20" s="41">
        <f>IF(OR(D20="",'총괄분'!J34="",N(F$5)=0),"",IF(AND(F$5&gt;='총괄분'!H34,F$5&lt;='총괄분'!I34),D20/'총괄분'!J34,""))</f>
        <v/>
      </c>
      <c r="G20" s="41">
        <f>IF(OR(D20="",'총괄분'!J34="",N(G$5)=0),"",IF(AND(G$5&gt;='총괄분'!H34,G$5&lt;='총괄분'!I34),D20/'총괄분'!J34,""))</f>
        <v/>
      </c>
      <c r="H20" s="41">
        <f>IF(OR(D20="",'총괄분'!J34="",N(H$5)=0),"",IF(AND(H$5&gt;='총괄분'!H34,H$5&lt;='총괄분'!I34),D20/'총괄분'!J34,""))</f>
        <v/>
      </c>
      <c r="I20" s="41">
        <f>IF(OR(D20="",'총괄분'!J34="",N(I$5)=0),"",IF(AND(I$5&gt;='총괄분'!H34,I$5&lt;='총괄분'!I34),D20/'총괄분'!J34,""))</f>
        <v/>
      </c>
      <c r="J20" s="41">
        <f>IF(OR(D20="",'총괄분'!J34="",N(J$5)=0),"",IF(AND(J$5&gt;='총괄분'!H34,J$5&lt;='총괄분'!I34),D20/'총괄분'!J34,""))</f>
        <v/>
      </c>
      <c r="K20" s="41">
        <f>IF(OR(D20="",'총괄분'!J34="",N(K$5)=0),"",IF(AND(K$5&gt;='총괄분'!H34,K$5&lt;='총괄분'!I34),D20/'총괄분'!J34,""))</f>
        <v/>
      </c>
      <c r="L20" s="41">
        <f>IF(OR(D20="",'총괄분'!J34="",N(L$5)=0),"",IF(AND(L$5&gt;='총괄분'!H34,L$5&lt;='총괄분'!I34),D20/'총괄분'!J34,""))</f>
        <v/>
      </c>
      <c r="M20" s="41">
        <f>IF(OR(D20="",'총괄분'!J34="",N(M$5)=0),"",IF(AND(M$5&gt;='총괄분'!H34,M$5&lt;='총괄분'!I34),D20/'총괄분'!J34,""))</f>
        <v/>
      </c>
      <c r="N20" s="41">
        <f>IF(OR(D20="",'총괄분'!J34="",N(N$5)=0),"",IF(AND(N$5&gt;='총괄분'!H34,N$5&lt;='총괄분'!I34),D20/'총괄분'!J34,""))</f>
        <v/>
      </c>
      <c r="O20" s="41">
        <f>IF(OR(D20="",'총괄분'!J34="",N(O$5)=0),"",IF(AND(O$5&gt;='총괄분'!H34,O$5&lt;='총괄분'!I34),D20/'총괄분'!J34,""))</f>
        <v/>
      </c>
      <c r="P20" s="41">
        <f>IF(OR(D20="",'총괄분'!J34="",N(P$5)=0),"",IF(AND(P$5&gt;='총괄분'!H34,P$5&lt;='총괄분'!I34),D20/'총괄분'!J34,""))</f>
        <v/>
      </c>
      <c r="Q20" s="41">
        <f>IF(OR(D20="",'총괄분'!J34="",N(Q$5)=0),"",IF(AND(Q$5&gt;='총괄분'!H34,Q$5&lt;='총괄분'!I34),D20/'총괄분'!J34,""))</f>
        <v/>
      </c>
      <c r="R20" s="41">
        <f>IF(OR(D20="",'총괄분'!J34="",N(R$5)=0),"",IF(AND(R$5&gt;='총괄분'!H34,R$5&lt;='총괄분'!I34),D20/'총괄분'!J34,""))</f>
        <v/>
      </c>
      <c r="S20" s="41">
        <f>IF(OR(D20="",'총괄분'!J34="",N(S$5)=0),"",IF(AND(S$5&gt;='총괄분'!H34,S$5&lt;='총괄분'!I34),D20/'총괄분'!J34,""))</f>
        <v/>
      </c>
      <c r="T20" s="41">
        <f>IF(OR(D20="",'총괄분'!J34="",N(T$5)=0),"",IF(AND(T$5&gt;='총괄분'!H34,T$5&lt;='총괄분'!I34),D20/'총괄분'!J34,""))</f>
        <v/>
      </c>
      <c r="U20" s="41">
        <f>IF(OR(D20="",'총괄분'!J34="",N(U$5)=0),"",IF(AND(U$5&gt;='총괄분'!H34,U$5&lt;='총괄분'!I34),D20/'총괄분'!J34,""))</f>
        <v/>
      </c>
      <c r="V20" s="41">
        <f>IF(OR(D20="",'총괄분'!J34="",N(V$5)=0),"",IF(AND(V$5&gt;='총괄분'!H34,V$5&lt;='총괄분'!I34),D20/'총괄분'!J34,""))</f>
        <v/>
      </c>
      <c r="W20" s="41">
        <f>IF(OR(D20="",'총괄분'!J34="",N(W$5)=0),"",IF(AND(W$5&gt;='총괄분'!H34,W$5&lt;='총괄분'!I34),D20/'총괄분'!J34,""))</f>
        <v/>
      </c>
      <c r="X20" s="41">
        <f>IF(OR(D20="",'총괄분'!J34="",N(X$5)=0),"",IF(AND(X$5&gt;='총괄분'!H34,X$5&lt;='총괄분'!I34),D20/'총괄분'!J34,""))</f>
        <v/>
      </c>
      <c r="Y20" s="41">
        <f>IF(OR(D20="",'총괄분'!J34="",N(Y$5)=0),"",IF(AND(Y$5&gt;='총괄분'!H34,Y$5&lt;='총괄분'!I34),D20/'총괄분'!J34,""))</f>
        <v/>
      </c>
      <c r="Z20" s="41">
        <f>IF(OR(D20="",'총괄분'!J34="",N(Z$5)=0),"",IF(AND(Z$5&gt;='총괄분'!H34,Z$5&lt;='총괄분'!I34),D20/'총괄분'!J34,""))</f>
        <v/>
      </c>
      <c r="AA20" s="41">
        <f>IF(OR(D20="",'총괄분'!J34="",N(AA$5)=0),"",IF(AND(AA$5&gt;='총괄분'!H34,AA$5&lt;='총괄분'!I34),D20/'총괄분'!J34,""))</f>
        <v/>
      </c>
      <c r="AB20" s="41">
        <f>IF(OR(D20="",'총괄분'!J34="",N(AB$5)=0),"",IF(AND(AB$5&gt;='총괄분'!H34,AB$5&lt;='총괄분'!I34),D20/'총괄분'!J34,""))</f>
        <v/>
      </c>
      <c r="AC20" s="41">
        <f>IF(OR(D20="",'총괄분'!J34="",N(AC$5)=0),"",IF(AND(AC$5&gt;='총괄분'!H34,AC$5&lt;='총괄분'!I34),D20/'총괄분'!J34,""))</f>
        <v/>
      </c>
      <c r="AD20" s="41">
        <f>IF(OR(D20="",'총괄분'!J34="",N(AD$5)=0),"",IF(AND(AD$5&gt;='총괄분'!H34,AD$5&lt;='총괄분'!I34),D20/'총괄분'!J34,""))</f>
        <v/>
      </c>
      <c r="AE20" s="41">
        <f>IF(OR(D20="",'총괄분'!J34="",N(AE$5)=0),"",IF(AND(AE$5&gt;='총괄분'!H34,AE$5&lt;='총괄분'!I34),D20/'총괄분'!J34,""))</f>
        <v/>
      </c>
      <c r="AF20" s="41">
        <f>IF(OR(D20="",'총괄분'!J34="",N(AF$5)=0),"",IF(AND(AF$5&gt;='총괄분'!H34,AF$5&lt;='총괄분'!I34),D20/'총괄분'!J34,""))</f>
        <v/>
      </c>
      <c r="AG20" s="41">
        <f>IF(OR(D20="",'총괄분'!J34="",N(AG$5)=0),"",IF(AND(AG$5&gt;='총괄분'!H34,AG$5&lt;='총괄분'!I34),D20/'총괄분'!J34,""))</f>
        <v/>
      </c>
      <c r="AH20" s="41">
        <f>IF(OR(D20="",'총괄분'!J34="",N(AH$5)=0),"",IF(AND(AH$5&gt;='총괄분'!H34,AH$5&lt;='총괄분'!I34),D20/'총괄분'!J34,""))</f>
        <v/>
      </c>
      <c r="AI20" s="41">
        <f>IF(OR(D20="",'총괄분'!J34="",N(AI$5)=0),"",IF(AND(AI$5&gt;='총괄분'!H34,AI$5&lt;='총괄분'!I34),D20/'총괄분'!J34,""))</f>
        <v/>
      </c>
      <c r="AJ20" s="41">
        <f>IF(OR(D20="",'총괄분'!J34="",N(AJ$5)=0),"",IF(AND(AJ$5&gt;='총괄분'!H34,AJ$5&lt;='총괄분'!I34),D20/'총괄분'!J34,""))</f>
        <v/>
      </c>
      <c r="AK20" s="40">
        <f>IF(D20="","",SUM(F20:AJ20))</f>
        <v/>
      </c>
      <c r="AL20" s="40">
        <f>IF(D20="","",E20+AK20)</f>
        <v/>
      </c>
    </row>
    <row r="21" ht="15" customHeight="1">
      <c r="A21" s="38">
        <f>IF('총괄분'!A36="","",'총괄분'!A36)</f>
        <v/>
      </c>
      <c r="B21" s="38">
        <f>IF('총괄분'!B36="","",'총괄분'!B36)</f>
        <v/>
      </c>
      <c r="C21" s="39">
        <f>IF('총괄분'!C36="","",'총괄분'!C36)</f>
        <v/>
      </c>
      <c r="D21" s="23">
        <f>IF('총괄분'!E36="","",'총괄분'!E36)</f>
        <v/>
      </c>
      <c r="E21" s="40">
        <f>IF(OR(D21="",'총괄분'!J36="",N(U3)=0),"",MAX(0,MIN('총괄분'!I36,U3-1)-'총괄분'!H36+1)/'총괄분'!J36*D21)</f>
        <v/>
      </c>
      <c r="F21" s="41">
        <f>IF(OR(D21="",'총괄분'!J36="",N(F$5)=0),"",IF(AND(F$5&gt;='총괄분'!H36,F$5&lt;='총괄분'!I36),D21/'총괄분'!J36,""))</f>
        <v/>
      </c>
      <c r="G21" s="41">
        <f>IF(OR(D21="",'총괄분'!J36="",N(G$5)=0),"",IF(AND(G$5&gt;='총괄분'!H36,G$5&lt;='총괄분'!I36),D21/'총괄분'!J36,""))</f>
        <v/>
      </c>
      <c r="H21" s="41">
        <f>IF(OR(D21="",'총괄분'!J36="",N(H$5)=0),"",IF(AND(H$5&gt;='총괄분'!H36,H$5&lt;='총괄분'!I36),D21/'총괄분'!J36,""))</f>
        <v/>
      </c>
      <c r="I21" s="41">
        <f>IF(OR(D21="",'총괄분'!J36="",N(I$5)=0),"",IF(AND(I$5&gt;='총괄분'!H36,I$5&lt;='총괄분'!I36),D21/'총괄분'!J36,""))</f>
        <v/>
      </c>
      <c r="J21" s="41">
        <f>IF(OR(D21="",'총괄분'!J36="",N(J$5)=0),"",IF(AND(J$5&gt;='총괄분'!H36,J$5&lt;='총괄분'!I36),D21/'총괄분'!J36,""))</f>
        <v/>
      </c>
      <c r="K21" s="41">
        <f>IF(OR(D21="",'총괄분'!J36="",N(K$5)=0),"",IF(AND(K$5&gt;='총괄분'!H36,K$5&lt;='총괄분'!I36),D21/'총괄분'!J36,""))</f>
        <v/>
      </c>
      <c r="L21" s="41">
        <f>IF(OR(D21="",'총괄분'!J36="",N(L$5)=0),"",IF(AND(L$5&gt;='총괄분'!H36,L$5&lt;='총괄분'!I36),D21/'총괄분'!J36,""))</f>
        <v/>
      </c>
      <c r="M21" s="41">
        <f>IF(OR(D21="",'총괄분'!J36="",N(M$5)=0),"",IF(AND(M$5&gt;='총괄분'!H36,M$5&lt;='총괄분'!I36),D21/'총괄분'!J36,""))</f>
        <v/>
      </c>
      <c r="N21" s="41">
        <f>IF(OR(D21="",'총괄분'!J36="",N(N$5)=0),"",IF(AND(N$5&gt;='총괄분'!H36,N$5&lt;='총괄분'!I36),D21/'총괄분'!J36,""))</f>
        <v/>
      </c>
      <c r="O21" s="41">
        <f>IF(OR(D21="",'총괄분'!J36="",N(O$5)=0),"",IF(AND(O$5&gt;='총괄분'!H36,O$5&lt;='총괄분'!I36),D21/'총괄분'!J36,""))</f>
        <v/>
      </c>
      <c r="P21" s="41">
        <f>IF(OR(D21="",'총괄분'!J36="",N(P$5)=0),"",IF(AND(P$5&gt;='총괄분'!H36,P$5&lt;='총괄분'!I36),D21/'총괄분'!J36,""))</f>
        <v/>
      </c>
      <c r="Q21" s="41">
        <f>IF(OR(D21="",'총괄분'!J36="",N(Q$5)=0),"",IF(AND(Q$5&gt;='총괄분'!H36,Q$5&lt;='총괄분'!I36),D21/'총괄분'!J36,""))</f>
        <v/>
      </c>
      <c r="R21" s="41">
        <f>IF(OR(D21="",'총괄분'!J36="",N(R$5)=0),"",IF(AND(R$5&gt;='총괄분'!H36,R$5&lt;='총괄분'!I36),D21/'총괄분'!J36,""))</f>
        <v/>
      </c>
      <c r="S21" s="41">
        <f>IF(OR(D21="",'총괄분'!J36="",N(S$5)=0),"",IF(AND(S$5&gt;='총괄분'!H36,S$5&lt;='총괄분'!I36),D21/'총괄분'!J36,""))</f>
        <v/>
      </c>
      <c r="T21" s="41">
        <f>IF(OR(D21="",'총괄분'!J36="",N(T$5)=0),"",IF(AND(T$5&gt;='총괄분'!H36,T$5&lt;='총괄분'!I36),D21/'총괄분'!J36,""))</f>
        <v/>
      </c>
      <c r="U21" s="41">
        <f>IF(OR(D21="",'총괄분'!J36="",N(U$5)=0),"",IF(AND(U$5&gt;='총괄분'!H36,U$5&lt;='총괄분'!I36),D21/'총괄분'!J36,""))</f>
        <v/>
      </c>
      <c r="V21" s="41">
        <f>IF(OR(D21="",'총괄분'!J36="",N(V$5)=0),"",IF(AND(V$5&gt;='총괄분'!H36,V$5&lt;='총괄분'!I36),D21/'총괄분'!J36,""))</f>
        <v/>
      </c>
      <c r="W21" s="41">
        <f>IF(OR(D21="",'총괄분'!J36="",N(W$5)=0),"",IF(AND(W$5&gt;='총괄분'!H36,W$5&lt;='총괄분'!I36),D21/'총괄분'!J36,""))</f>
        <v/>
      </c>
      <c r="X21" s="41">
        <f>IF(OR(D21="",'총괄분'!J36="",N(X$5)=0),"",IF(AND(X$5&gt;='총괄분'!H36,X$5&lt;='총괄분'!I36),D21/'총괄분'!J36,""))</f>
        <v/>
      </c>
      <c r="Y21" s="41">
        <f>IF(OR(D21="",'총괄분'!J36="",N(Y$5)=0),"",IF(AND(Y$5&gt;='총괄분'!H36,Y$5&lt;='총괄분'!I36),D21/'총괄분'!J36,""))</f>
        <v/>
      </c>
      <c r="Z21" s="41">
        <f>IF(OR(D21="",'총괄분'!J36="",N(Z$5)=0),"",IF(AND(Z$5&gt;='총괄분'!H36,Z$5&lt;='총괄분'!I36),D21/'총괄분'!J36,""))</f>
        <v/>
      </c>
      <c r="AA21" s="41">
        <f>IF(OR(D21="",'총괄분'!J36="",N(AA$5)=0),"",IF(AND(AA$5&gt;='총괄분'!H36,AA$5&lt;='총괄분'!I36),D21/'총괄분'!J36,""))</f>
        <v/>
      </c>
      <c r="AB21" s="41">
        <f>IF(OR(D21="",'총괄분'!J36="",N(AB$5)=0),"",IF(AND(AB$5&gt;='총괄분'!H36,AB$5&lt;='총괄분'!I36),D21/'총괄분'!J36,""))</f>
        <v/>
      </c>
      <c r="AC21" s="41">
        <f>IF(OR(D21="",'총괄분'!J36="",N(AC$5)=0),"",IF(AND(AC$5&gt;='총괄분'!H36,AC$5&lt;='총괄분'!I36),D21/'총괄분'!J36,""))</f>
        <v/>
      </c>
      <c r="AD21" s="41">
        <f>IF(OR(D21="",'총괄분'!J36="",N(AD$5)=0),"",IF(AND(AD$5&gt;='총괄분'!H36,AD$5&lt;='총괄분'!I36),D21/'총괄분'!J36,""))</f>
        <v/>
      </c>
      <c r="AE21" s="41">
        <f>IF(OR(D21="",'총괄분'!J36="",N(AE$5)=0),"",IF(AND(AE$5&gt;='총괄분'!H36,AE$5&lt;='총괄분'!I36),D21/'총괄분'!J36,""))</f>
        <v/>
      </c>
      <c r="AF21" s="41">
        <f>IF(OR(D21="",'총괄분'!J36="",N(AF$5)=0),"",IF(AND(AF$5&gt;='총괄분'!H36,AF$5&lt;='총괄분'!I36),D21/'총괄분'!J36,""))</f>
        <v/>
      </c>
      <c r="AG21" s="41">
        <f>IF(OR(D21="",'총괄분'!J36="",N(AG$5)=0),"",IF(AND(AG$5&gt;='총괄분'!H36,AG$5&lt;='총괄분'!I36),D21/'총괄분'!J36,""))</f>
        <v/>
      </c>
      <c r="AH21" s="41">
        <f>IF(OR(D21="",'총괄분'!J36="",N(AH$5)=0),"",IF(AND(AH$5&gt;='총괄분'!H36,AH$5&lt;='총괄분'!I36),D21/'총괄분'!J36,""))</f>
        <v/>
      </c>
      <c r="AI21" s="41">
        <f>IF(OR(D21="",'총괄분'!J36="",N(AI$5)=0),"",IF(AND(AI$5&gt;='총괄분'!H36,AI$5&lt;='총괄분'!I36),D21/'총괄분'!J36,""))</f>
        <v/>
      </c>
      <c r="AJ21" s="41">
        <f>IF(OR(D21="",'총괄분'!J36="",N(AJ$5)=0),"",IF(AND(AJ$5&gt;='총괄분'!H36,AJ$5&lt;='총괄분'!I36),D21/'총괄분'!J36,""))</f>
        <v/>
      </c>
      <c r="AK21" s="40">
        <f>IF(D21="","",SUM(F21:AJ21))</f>
        <v/>
      </c>
      <c r="AL21" s="40">
        <f>IF(D21="","",E21+AK21)</f>
        <v/>
      </c>
    </row>
    <row r="22" ht="15" customHeight="1">
      <c r="A22" s="38">
        <f>IF('총괄분'!A38="","",'총괄분'!A38)</f>
        <v/>
      </c>
      <c r="B22" s="38">
        <f>IF('총괄분'!B38="","",'총괄분'!B38)</f>
        <v/>
      </c>
      <c r="C22" s="39">
        <f>IF('총괄분'!C38="","",'총괄분'!C38)</f>
        <v/>
      </c>
      <c r="D22" s="23">
        <f>IF('총괄분'!E38="","",'총괄분'!E38)</f>
        <v/>
      </c>
      <c r="E22" s="40">
        <f>IF(OR(D22="",'총괄분'!J38="",N(U3)=0),"",MAX(0,MIN('총괄분'!I38,U3-1)-'총괄분'!H38+1)/'총괄분'!J38*D22)</f>
        <v/>
      </c>
      <c r="F22" s="41">
        <f>IF(OR(D22="",'총괄분'!J38="",N(F$5)=0),"",IF(AND(F$5&gt;='총괄분'!H38,F$5&lt;='총괄분'!I38),D22/'총괄분'!J38,""))</f>
        <v/>
      </c>
      <c r="G22" s="41">
        <f>IF(OR(D22="",'총괄분'!J38="",N(G$5)=0),"",IF(AND(G$5&gt;='총괄분'!H38,G$5&lt;='총괄분'!I38),D22/'총괄분'!J38,""))</f>
        <v/>
      </c>
      <c r="H22" s="41">
        <f>IF(OR(D22="",'총괄분'!J38="",N(H$5)=0),"",IF(AND(H$5&gt;='총괄분'!H38,H$5&lt;='총괄분'!I38),D22/'총괄분'!J38,""))</f>
        <v/>
      </c>
      <c r="I22" s="41">
        <f>IF(OR(D22="",'총괄분'!J38="",N(I$5)=0),"",IF(AND(I$5&gt;='총괄분'!H38,I$5&lt;='총괄분'!I38),D22/'총괄분'!J38,""))</f>
        <v/>
      </c>
      <c r="J22" s="41">
        <f>IF(OR(D22="",'총괄분'!J38="",N(J$5)=0),"",IF(AND(J$5&gt;='총괄분'!H38,J$5&lt;='총괄분'!I38),D22/'총괄분'!J38,""))</f>
        <v/>
      </c>
      <c r="K22" s="41">
        <f>IF(OR(D22="",'총괄분'!J38="",N(K$5)=0),"",IF(AND(K$5&gt;='총괄분'!H38,K$5&lt;='총괄분'!I38),D22/'총괄분'!J38,""))</f>
        <v/>
      </c>
      <c r="L22" s="41">
        <f>IF(OR(D22="",'총괄분'!J38="",N(L$5)=0),"",IF(AND(L$5&gt;='총괄분'!H38,L$5&lt;='총괄분'!I38),D22/'총괄분'!J38,""))</f>
        <v/>
      </c>
      <c r="M22" s="41">
        <f>IF(OR(D22="",'총괄분'!J38="",N(M$5)=0),"",IF(AND(M$5&gt;='총괄분'!H38,M$5&lt;='총괄분'!I38),D22/'총괄분'!J38,""))</f>
        <v/>
      </c>
      <c r="N22" s="41">
        <f>IF(OR(D22="",'총괄분'!J38="",N(N$5)=0),"",IF(AND(N$5&gt;='총괄분'!H38,N$5&lt;='총괄분'!I38),D22/'총괄분'!J38,""))</f>
        <v/>
      </c>
      <c r="O22" s="41">
        <f>IF(OR(D22="",'총괄분'!J38="",N(O$5)=0),"",IF(AND(O$5&gt;='총괄분'!H38,O$5&lt;='총괄분'!I38),D22/'총괄분'!J38,""))</f>
        <v/>
      </c>
      <c r="P22" s="41">
        <f>IF(OR(D22="",'총괄분'!J38="",N(P$5)=0),"",IF(AND(P$5&gt;='총괄분'!H38,P$5&lt;='총괄분'!I38),D22/'총괄분'!J38,""))</f>
        <v/>
      </c>
      <c r="Q22" s="41">
        <f>IF(OR(D22="",'총괄분'!J38="",N(Q$5)=0),"",IF(AND(Q$5&gt;='총괄분'!H38,Q$5&lt;='총괄분'!I38),D22/'총괄분'!J38,""))</f>
        <v/>
      </c>
      <c r="R22" s="41">
        <f>IF(OR(D22="",'총괄분'!J38="",N(R$5)=0),"",IF(AND(R$5&gt;='총괄분'!H38,R$5&lt;='총괄분'!I38),D22/'총괄분'!J38,""))</f>
        <v/>
      </c>
      <c r="S22" s="41">
        <f>IF(OR(D22="",'총괄분'!J38="",N(S$5)=0),"",IF(AND(S$5&gt;='총괄분'!H38,S$5&lt;='총괄분'!I38),D22/'총괄분'!J38,""))</f>
        <v/>
      </c>
      <c r="T22" s="41">
        <f>IF(OR(D22="",'총괄분'!J38="",N(T$5)=0),"",IF(AND(T$5&gt;='총괄분'!H38,T$5&lt;='총괄분'!I38),D22/'총괄분'!J38,""))</f>
        <v/>
      </c>
      <c r="U22" s="41">
        <f>IF(OR(D22="",'총괄분'!J38="",N(U$5)=0),"",IF(AND(U$5&gt;='총괄분'!H38,U$5&lt;='총괄분'!I38),D22/'총괄분'!J38,""))</f>
        <v/>
      </c>
      <c r="V22" s="41">
        <f>IF(OR(D22="",'총괄분'!J38="",N(V$5)=0),"",IF(AND(V$5&gt;='총괄분'!H38,V$5&lt;='총괄분'!I38),D22/'총괄분'!J38,""))</f>
        <v/>
      </c>
      <c r="W22" s="41">
        <f>IF(OR(D22="",'총괄분'!J38="",N(W$5)=0),"",IF(AND(W$5&gt;='총괄분'!H38,W$5&lt;='총괄분'!I38),D22/'총괄분'!J38,""))</f>
        <v/>
      </c>
      <c r="X22" s="41">
        <f>IF(OR(D22="",'총괄분'!J38="",N(X$5)=0),"",IF(AND(X$5&gt;='총괄분'!H38,X$5&lt;='총괄분'!I38),D22/'총괄분'!J38,""))</f>
        <v/>
      </c>
      <c r="Y22" s="41">
        <f>IF(OR(D22="",'총괄분'!J38="",N(Y$5)=0),"",IF(AND(Y$5&gt;='총괄분'!H38,Y$5&lt;='총괄분'!I38),D22/'총괄분'!J38,""))</f>
        <v/>
      </c>
      <c r="Z22" s="41">
        <f>IF(OR(D22="",'총괄분'!J38="",N(Z$5)=0),"",IF(AND(Z$5&gt;='총괄분'!H38,Z$5&lt;='총괄분'!I38),D22/'총괄분'!J38,""))</f>
        <v/>
      </c>
      <c r="AA22" s="41">
        <f>IF(OR(D22="",'총괄분'!J38="",N(AA$5)=0),"",IF(AND(AA$5&gt;='총괄분'!H38,AA$5&lt;='총괄분'!I38),D22/'총괄분'!J38,""))</f>
        <v/>
      </c>
      <c r="AB22" s="41">
        <f>IF(OR(D22="",'총괄분'!J38="",N(AB$5)=0),"",IF(AND(AB$5&gt;='총괄분'!H38,AB$5&lt;='총괄분'!I38),D22/'총괄분'!J38,""))</f>
        <v/>
      </c>
      <c r="AC22" s="41">
        <f>IF(OR(D22="",'총괄분'!J38="",N(AC$5)=0),"",IF(AND(AC$5&gt;='총괄분'!H38,AC$5&lt;='총괄분'!I38),D22/'총괄분'!J38,""))</f>
        <v/>
      </c>
      <c r="AD22" s="41">
        <f>IF(OR(D22="",'총괄분'!J38="",N(AD$5)=0),"",IF(AND(AD$5&gt;='총괄분'!H38,AD$5&lt;='총괄분'!I38),D22/'총괄분'!J38,""))</f>
        <v/>
      </c>
      <c r="AE22" s="41">
        <f>IF(OR(D22="",'총괄분'!J38="",N(AE$5)=0),"",IF(AND(AE$5&gt;='총괄분'!H38,AE$5&lt;='총괄분'!I38),D22/'총괄분'!J38,""))</f>
        <v/>
      </c>
      <c r="AF22" s="41">
        <f>IF(OR(D22="",'총괄분'!J38="",N(AF$5)=0),"",IF(AND(AF$5&gt;='총괄분'!H38,AF$5&lt;='총괄분'!I38),D22/'총괄분'!J38,""))</f>
        <v/>
      </c>
      <c r="AG22" s="41">
        <f>IF(OR(D22="",'총괄분'!J38="",N(AG$5)=0),"",IF(AND(AG$5&gt;='총괄분'!H38,AG$5&lt;='총괄분'!I38),D22/'총괄분'!J38,""))</f>
        <v/>
      </c>
      <c r="AH22" s="41">
        <f>IF(OR(D22="",'총괄분'!J38="",N(AH$5)=0),"",IF(AND(AH$5&gt;='총괄분'!H38,AH$5&lt;='총괄분'!I38),D22/'총괄분'!J38,""))</f>
        <v/>
      </c>
      <c r="AI22" s="41">
        <f>IF(OR(D22="",'총괄분'!J38="",N(AI$5)=0),"",IF(AND(AI$5&gt;='총괄분'!H38,AI$5&lt;='총괄분'!I38),D22/'총괄분'!J38,""))</f>
        <v/>
      </c>
      <c r="AJ22" s="41">
        <f>IF(OR(D22="",'총괄분'!J38="",N(AJ$5)=0),"",IF(AND(AJ$5&gt;='총괄분'!H38,AJ$5&lt;='총괄분'!I38),D22/'총괄분'!J38,""))</f>
        <v/>
      </c>
      <c r="AK22" s="40">
        <f>IF(D22="","",SUM(F22:AJ22))</f>
        <v/>
      </c>
      <c r="AL22" s="40">
        <f>IF(D22="","",E22+AK22)</f>
        <v/>
      </c>
    </row>
    <row r="23" ht="15" customHeight="1">
      <c r="A23" s="38">
        <f>IF('총괄분'!A40="","",'총괄분'!A40)</f>
        <v/>
      </c>
      <c r="B23" s="38">
        <f>IF('총괄분'!B40="","",'총괄분'!B40)</f>
        <v/>
      </c>
      <c r="C23" s="39">
        <f>IF('총괄분'!C40="","",'총괄분'!C40)</f>
        <v/>
      </c>
      <c r="D23" s="23">
        <f>IF('총괄분'!E40="","",'총괄분'!E40)</f>
        <v/>
      </c>
      <c r="E23" s="40">
        <f>IF(OR(D23="",'총괄분'!J40="",N(U3)=0),"",MAX(0,MIN('총괄분'!I40,U3-1)-'총괄분'!H40+1)/'총괄분'!J40*D23)</f>
        <v/>
      </c>
      <c r="F23" s="41">
        <f>IF(OR(D23="",'총괄분'!J40="",N(F$5)=0),"",IF(AND(F$5&gt;='총괄분'!H40,F$5&lt;='총괄분'!I40),D23/'총괄분'!J40,""))</f>
        <v/>
      </c>
      <c r="G23" s="41">
        <f>IF(OR(D23="",'총괄분'!J40="",N(G$5)=0),"",IF(AND(G$5&gt;='총괄분'!H40,G$5&lt;='총괄분'!I40),D23/'총괄분'!J40,""))</f>
        <v/>
      </c>
      <c r="H23" s="41">
        <f>IF(OR(D23="",'총괄분'!J40="",N(H$5)=0),"",IF(AND(H$5&gt;='총괄분'!H40,H$5&lt;='총괄분'!I40),D23/'총괄분'!J40,""))</f>
        <v/>
      </c>
      <c r="I23" s="41">
        <f>IF(OR(D23="",'총괄분'!J40="",N(I$5)=0),"",IF(AND(I$5&gt;='총괄분'!H40,I$5&lt;='총괄분'!I40),D23/'총괄분'!J40,""))</f>
        <v/>
      </c>
      <c r="J23" s="41">
        <f>IF(OR(D23="",'총괄분'!J40="",N(J$5)=0),"",IF(AND(J$5&gt;='총괄분'!H40,J$5&lt;='총괄분'!I40),D23/'총괄분'!J40,""))</f>
        <v/>
      </c>
      <c r="K23" s="41">
        <f>IF(OR(D23="",'총괄분'!J40="",N(K$5)=0),"",IF(AND(K$5&gt;='총괄분'!H40,K$5&lt;='총괄분'!I40),D23/'총괄분'!J40,""))</f>
        <v/>
      </c>
      <c r="L23" s="41">
        <f>IF(OR(D23="",'총괄분'!J40="",N(L$5)=0),"",IF(AND(L$5&gt;='총괄분'!H40,L$5&lt;='총괄분'!I40),D23/'총괄분'!J40,""))</f>
        <v/>
      </c>
      <c r="M23" s="41">
        <f>IF(OR(D23="",'총괄분'!J40="",N(M$5)=0),"",IF(AND(M$5&gt;='총괄분'!H40,M$5&lt;='총괄분'!I40),D23/'총괄분'!J40,""))</f>
        <v/>
      </c>
      <c r="N23" s="41">
        <f>IF(OR(D23="",'총괄분'!J40="",N(N$5)=0),"",IF(AND(N$5&gt;='총괄분'!H40,N$5&lt;='총괄분'!I40),D23/'총괄분'!J40,""))</f>
        <v/>
      </c>
      <c r="O23" s="41">
        <f>IF(OR(D23="",'총괄분'!J40="",N(O$5)=0),"",IF(AND(O$5&gt;='총괄분'!H40,O$5&lt;='총괄분'!I40),D23/'총괄분'!J40,""))</f>
        <v/>
      </c>
      <c r="P23" s="41">
        <f>IF(OR(D23="",'총괄분'!J40="",N(P$5)=0),"",IF(AND(P$5&gt;='총괄분'!H40,P$5&lt;='총괄분'!I40),D23/'총괄분'!J40,""))</f>
        <v/>
      </c>
      <c r="Q23" s="41">
        <f>IF(OR(D23="",'총괄분'!J40="",N(Q$5)=0),"",IF(AND(Q$5&gt;='총괄분'!H40,Q$5&lt;='총괄분'!I40),D23/'총괄분'!J40,""))</f>
        <v/>
      </c>
      <c r="R23" s="41">
        <f>IF(OR(D23="",'총괄분'!J40="",N(R$5)=0),"",IF(AND(R$5&gt;='총괄분'!H40,R$5&lt;='총괄분'!I40),D23/'총괄분'!J40,""))</f>
        <v/>
      </c>
      <c r="S23" s="41">
        <f>IF(OR(D23="",'총괄분'!J40="",N(S$5)=0),"",IF(AND(S$5&gt;='총괄분'!H40,S$5&lt;='총괄분'!I40),D23/'총괄분'!J40,""))</f>
        <v/>
      </c>
      <c r="T23" s="41">
        <f>IF(OR(D23="",'총괄분'!J40="",N(T$5)=0),"",IF(AND(T$5&gt;='총괄분'!H40,T$5&lt;='총괄분'!I40),D23/'총괄분'!J40,""))</f>
        <v/>
      </c>
      <c r="U23" s="41">
        <f>IF(OR(D23="",'총괄분'!J40="",N(U$5)=0),"",IF(AND(U$5&gt;='총괄분'!H40,U$5&lt;='총괄분'!I40),D23/'총괄분'!J40,""))</f>
        <v/>
      </c>
      <c r="V23" s="41">
        <f>IF(OR(D23="",'총괄분'!J40="",N(V$5)=0),"",IF(AND(V$5&gt;='총괄분'!H40,V$5&lt;='총괄분'!I40),D23/'총괄분'!J40,""))</f>
        <v/>
      </c>
      <c r="W23" s="41">
        <f>IF(OR(D23="",'총괄분'!J40="",N(W$5)=0),"",IF(AND(W$5&gt;='총괄분'!H40,W$5&lt;='총괄분'!I40),D23/'총괄분'!J40,""))</f>
        <v/>
      </c>
      <c r="X23" s="41">
        <f>IF(OR(D23="",'총괄분'!J40="",N(X$5)=0),"",IF(AND(X$5&gt;='총괄분'!H40,X$5&lt;='총괄분'!I40),D23/'총괄분'!J40,""))</f>
        <v/>
      </c>
      <c r="Y23" s="41">
        <f>IF(OR(D23="",'총괄분'!J40="",N(Y$5)=0),"",IF(AND(Y$5&gt;='총괄분'!H40,Y$5&lt;='총괄분'!I40),D23/'총괄분'!J40,""))</f>
        <v/>
      </c>
      <c r="Z23" s="41">
        <f>IF(OR(D23="",'총괄분'!J40="",N(Z$5)=0),"",IF(AND(Z$5&gt;='총괄분'!H40,Z$5&lt;='총괄분'!I40),D23/'총괄분'!J40,""))</f>
        <v/>
      </c>
      <c r="AA23" s="41">
        <f>IF(OR(D23="",'총괄분'!J40="",N(AA$5)=0),"",IF(AND(AA$5&gt;='총괄분'!H40,AA$5&lt;='총괄분'!I40),D23/'총괄분'!J40,""))</f>
        <v/>
      </c>
      <c r="AB23" s="41">
        <f>IF(OR(D23="",'총괄분'!J40="",N(AB$5)=0),"",IF(AND(AB$5&gt;='총괄분'!H40,AB$5&lt;='총괄분'!I40),D23/'총괄분'!J40,""))</f>
        <v/>
      </c>
      <c r="AC23" s="41">
        <f>IF(OR(D23="",'총괄분'!J40="",N(AC$5)=0),"",IF(AND(AC$5&gt;='총괄분'!H40,AC$5&lt;='총괄분'!I40),D23/'총괄분'!J40,""))</f>
        <v/>
      </c>
      <c r="AD23" s="41">
        <f>IF(OR(D23="",'총괄분'!J40="",N(AD$5)=0),"",IF(AND(AD$5&gt;='총괄분'!H40,AD$5&lt;='총괄분'!I40),D23/'총괄분'!J40,""))</f>
        <v/>
      </c>
      <c r="AE23" s="41">
        <f>IF(OR(D23="",'총괄분'!J40="",N(AE$5)=0),"",IF(AND(AE$5&gt;='총괄분'!H40,AE$5&lt;='총괄분'!I40),D23/'총괄분'!J40,""))</f>
        <v/>
      </c>
      <c r="AF23" s="41">
        <f>IF(OR(D23="",'총괄분'!J40="",N(AF$5)=0),"",IF(AND(AF$5&gt;='총괄분'!H40,AF$5&lt;='총괄분'!I40),D23/'총괄분'!J40,""))</f>
        <v/>
      </c>
      <c r="AG23" s="41">
        <f>IF(OR(D23="",'총괄분'!J40="",N(AG$5)=0),"",IF(AND(AG$5&gt;='총괄분'!H40,AG$5&lt;='총괄분'!I40),D23/'총괄분'!J40,""))</f>
        <v/>
      </c>
      <c r="AH23" s="41">
        <f>IF(OR(D23="",'총괄분'!J40="",N(AH$5)=0),"",IF(AND(AH$5&gt;='총괄분'!H40,AH$5&lt;='총괄분'!I40),D23/'총괄분'!J40,""))</f>
        <v/>
      </c>
      <c r="AI23" s="41">
        <f>IF(OR(D23="",'총괄분'!J40="",N(AI$5)=0),"",IF(AND(AI$5&gt;='총괄분'!H40,AI$5&lt;='총괄분'!I40),D23/'총괄분'!J40,""))</f>
        <v/>
      </c>
      <c r="AJ23" s="41">
        <f>IF(OR(D23="",'총괄분'!J40="",N(AJ$5)=0),"",IF(AND(AJ$5&gt;='총괄분'!H40,AJ$5&lt;='총괄분'!I40),D23/'총괄분'!J40,""))</f>
        <v/>
      </c>
      <c r="AK23" s="40">
        <f>IF(D23="","",SUM(F23:AJ23))</f>
        <v/>
      </c>
      <c r="AL23" s="40">
        <f>IF(D23="","",E23+AK23)</f>
        <v/>
      </c>
    </row>
    <row r="24" ht="15" customHeight="1">
      <c r="A24" s="38">
        <f>IF('총괄분'!A42="","",'총괄분'!A42)</f>
        <v/>
      </c>
      <c r="B24" s="38">
        <f>IF('총괄분'!B42="","",'총괄분'!B42)</f>
        <v/>
      </c>
      <c r="C24" s="39">
        <f>IF('총괄분'!C42="","",'총괄분'!C42)</f>
        <v/>
      </c>
      <c r="D24" s="23">
        <f>IF('총괄분'!E42="","",'총괄분'!E42)</f>
        <v/>
      </c>
      <c r="E24" s="40">
        <f>IF(OR(D24="",'총괄분'!J42="",N(U3)=0),"",MAX(0,MIN('총괄분'!I42,U3-1)-'총괄분'!H42+1)/'총괄분'!J42*D24)</f>
        <v/>
      </c>
      <c r="F24" s="41">
        <f>IF(OR(D24="",'총괄분'!J42="",N(F$5)=0),"",IF(AND(F$5&gt;='총괄분'!H42,F$5&lt;='총괄분'!I42),D24/'총괄분'!J42,""))</f>
        <v/>
      </c>
      <c r="G24" s="41">
        <f>IF(OR(D24="",'총괄분'!J42="",N(G$5)=0),"",IF(AND(G$5&gt;='총괄분'!H42,G$5&lt;='총괄분'!I42),D24/'총괄분'!J42,""))</f>
        <v/>
      </c>
      <c r="H24" s="41">
        <f>IF(OR(D24="",'총괄분'!J42="",N(H$5)=0),"",IF(AND(H$5&gt;='총괄분'!H42,H$5&lt;='총괄분'!I42),D24/'총괄분'!J42,""))</f>
        <v/>
      </c>
      <c r="I24" s="41">
        <f>IF(OR(D24="",'총괄분'!J42="",N(I$5)=0),"",IF(AND(I$5&gt;='총괄분'!H42,I$5&lt;='총괄분'!I42),D24/'총괄분'!J42,""))</f>
        <v/>
      </c>
      <c r="J24" s="41">
        <f>IF(OR(D24="",'총괄분'!J42="",N(J$5)=0),"",IF(AND(J$5&gt;='총괄분'!H42,J$5&lt;='총괄분'!I42),D24/'총괄분'!J42,""))</f>
        <v/>
      </c>
      <c r="K24" s="41">
        <f>IF(OR(D24="",'총괄분'!J42="",N(K$5)=0),"",IF(AND(K$5&gt;='총괄분'!H42,K$5&lt;='총괄분'!I42),D24/'총괄분'!J42,""))</f>
        <v/>
      </c>
      <c r="L24" s="41">
        <f>IF(OR(D24="",'총괄분'!J42="",N(L$5)=0),"",IF(AND(L$5&gt;='총괄분'!H42,L$5&lt;='총괄분'!I42),D24/'총괄분'!J42,""))</f>
        <v/>
      </c>
      <c r="M24" s="41">
        <f>IF(OR(D24="",'총괄분'!J42="",N(M$5)=0),"",IF(AND(M$5&gt;='총괄분'!H42,M$5&lt;='총괄분'!I42),D24/'총괄분'!J42,""))</f>
        <v/>
      </c>
      <c r="N24" s="41">
        <f>IF(OR(D24="",'총괄분'!J42="",N(N$5)=0),"",IF(AND(N$5&gt;='총괄분'!H42,N$5&lt;='총괄분'!I42),D24/'총괄분'!J42,""))</f>
        <v/>
      </c>
      <c r="O24" s="41">
        <f>IF(OR(D24="",'총괄분'!J42="",N(O$5)=0),"",IF(AND(O$5&gt;='총괄분'!H42,O$5&lt;='총괄분'!I42),D24/'총괄분'!J42,""))</f>
        <v/>
      </c>
      <c r="P24" s="41">
        <f>IF(OR(D24="",'총괄분'!J42="",N(P$5)=0),"",IF(AND(P$5&gt;='총괄분'!H42,P$5&lt;='총괄분'!I42),D24/'총괄분'!J42,""))</f>
        <v/>
      </c>
      <c r="Q24" s="41">
        <f>IF(OR(D24="",'총괄분'!J42="",N(Q$5)=0),"",IF(AND(Q$5&gt;='총괄분'!H42,Q$5&lt;='총괄분'!I42),D24/'총괄분'!J42,""))</f>
        <v/>
      </c>
      <c r="R24" s="41">
        <f>IF(OR(D24="",'총괄분'!J42="",N(R$5)=0),"",IF(AND(R$5&gt;='총괄분'!H42,R$5&lt;='총괄분'!I42),D24/'총괄분'!J42,""))</f>
        <v/>
      </c>
      <c r="S24" s="41">
        <f>IF(OR(D24="",'총괄분'!J42="",N(S$5)=0),"",IF(AND(S$5&gt;='총괄분'!H42,S$5&lt;='총괄분'!I42),D24/'총괄분'!J42,""))</f>
        <v/>
      </c>
      <c r="T24" s="41">
        <f>IF(OR(D24="",'총괄분'!J42="",N(T$5)=0),"",IF(AND(T$5&gt;='총괄분'!H42,T$5&lt;='총괄분'!I42),D24/'총괄분'!J42,""))</f>
        <v/>
      </c>
      <c r="U24" s="41">
        <f>IF(OR(D24="",'총괄분'!J42="",N(U$5)=0),"",IF(AND(U$5&gt;='총괄분'!H42,U$5&lt;='총괄분'!I42),D24/'총괄분'!J42,""))</f>
        <v/>
      </c>
      <c r="V24" s="41">
        <f>IF(OR(D24="",'총괄분'!J42="",N(V$5)=0),"",IF(AND(V$5&gt;='총괄분'!H42,V$5&lt;='총괄분'!I42),D24/'총괄분'!J42,""))</f>
        <v/>
      </c>
      <c r="W24" s="41">
        <f>IF(OR(D24="",'총괄분'!J42="",N(W$5)=0),"",IF(AND(W$5&gt;='총괄분'!H42,W$5&lt;='총괄분'!I42),D24/'총괄분'!J42,""))</f>
        <v/>
      </c>
      <c r="X24" s="41">
        <f>IF(OR(D24="",'총괄분'!J42="",N(X$5)=0),"",IF(AND(X$5&gt;='총괄분'!H42,X$5&lt;='총괄분'!I42),D24/'총괄분'!J42,""))</f>
        <v/>
      </c>
      <c r="Y24" s="41">
        <f>IF(OR(D24="",'총괄분'!J42="",N(Y$5)=0),"",IF(AND(Y$5&gt;='총괄분'!H42,Y$5&lt;='총괄분'!I42),D24/'총괄분'!J42,""))</f>
        <v/>
      </c>
      <c r="Z24" s="41">
        <f>IF(OR(D24="",'총괄분'!J42="",N(Z$5)=0),"",IF(AND(Z$5&gt;='총괄분'!H42,Z$5&lt;='총괄분'!I42),D24/'총괄분'!J42,""))</f>
        <v/>
      </c>
      <c r="AA24" s="41">
        <f>IF(OR(D24="",'총괄분'!J42="",N(AA$5)=0),"",IF(AND(AA$5&gt;='총괄분'!H42,AA$5&lt;='총괄분'!I42),D24/'총괄분'!J42,""))</f>
        <v/>
      </c>
      <c r="AB24" s="41">
        <f>IF(OR(D24="",'총괄분'!J42="",N(AB$5)=0),"",IF(AND(AB$5&gt;='총괄분'!H42,AB$5&lt;='총괄분'!I42),D24/'총괄분'!J42,""))</f>
        <v/>
      </c>
      <c r="AC24" s="41">
        <f>IF(OR(D24="",'총괄분'!J42="",N(AC$5)=0),"",IF(AND(AC$5&gt;='총괄분'!H42,AC$5&lt;='총괄분'!I42),D24/'총괄분'!J42,""))</f>
        <v/>
      </c>
      <c r="AD24" s="41">
        <f>IF(OR(D24="",'총괄분'!J42="",N(AD$5)=0),"",IF(AND(AD$5&gt;='총괄분'!H42,AD$5&lt;='총괄분'!I42),D24/'총괄분'!J42,""))</f>
        <v/>
      </c>
      <c r="AE24" s="41">
        <f>IF(OR(D24="",'총괄분'!J42="",N(AE$5)=0),"",IF(AND(AE$5&gt;='총괄분'!H42,AE$5&lt;='총괄분'!I42),D24/'총괄분'!J42,""))</f>
        <v/>
      </c>
      <c r="AF24" s="41">
        <f>IF(OR(D24="",'총괄분'!J42="",N(AF$5)=0),"",IF(AND(AF$5&gt;='총괄분'!H42,AF$5&lt;='총괄분'!I42),D24/'총괄분'!J42,""))</f>
        <v/>
      </c>
      <c r="AG24" s="41">
        <f>IF(OR(D24="",'총괄분'!J42="",N(AG$5)=0),"",IF(AND(AG$5&gt;='총괄분'!H42,AG$5&lt;='총괄분'!I42),D24/'총괄분'!J42,""))</f>
        <v/>
      </c>
      <c r="AH24" s="41">
        <f>IF(OR(D24="",'총괄분'!J42="",N(AH$5)=0),"",IF(AND(AH$5&gt;='총괄분'!H42,AH$5&lt;='총괄분'!I42),D24/'총괄분'!J42,""))</f>
        <v/>
      </c>
      <c r="AI24" s="41">
        <f>IF(OR(D24="",'총괄분'!J42="",N(AI$5)=0),"",IF(AND(AI$5&gt;='총괄분'!H42,AI$5&lt;='총괄분'!I42),D24/'총괄분'!J42,""))</f>
        <v/>
      </c>
      <c r="AJ24" s="41">
        <f>IF(OR(D24="",'총괄분'!J42="",N(AJ$5)=0),"",IF(AND(AJ$5&gt;='총괄분'!H42,AJ$5&lt;='총괄분'!I42),D24/'총괄분'!J42,""))</f>
        <v/>
      </c>
      <c r="AK24" s="40">
        <f>IF(D24="","",SUM(F24:AJ24))</f>
        <v/>
      </c>
      <c r="AL24" s="40">
        <f>IF(D24="","",E24+AK24)</f>
        <v/>
      </c>
    </row>
    <row r="25" ht="15" customHeight="1">
      <c r="A25" s="38">
        <f>IF('총괄분'!A44="","",'총괄분'!A44)</f>
        <v/>
      </c>
      <c r="B25" s="38">
        <f>IF('총괄분'!B44="","",'총괄분'!B44)</f>
        <v/>
      </c>
      <c r="C25" s="39">
        <f>IF('총괄분'!C44="","",'총괄분'!C44)</f>
        <v/>
      </c>
      <c r="D25" s="23">
        <f>IF('총괄분'!E44="","",'총괄분'!E44)</f>
        <v/>
      </c>
      <c r="E25" s="40">
        <f>IF(OR(D25="",'총괄분'!J44="",N(U3)=0),"",MAX(0,MIN('총괄분'!I44,U3-1)-'총괄분'!H44+1)/'총괄분'!J44*D25)</f>
        <v/>
      </c>
      <c r="F25" s="41">
        <f>IF(OR(D25="",'총괄분'!J44="",N(F$5)=0),"",IF(AND(F$5&gt;='총괄분'!H44,F$5&lt;='총괄분'!I44),D25/'총괄분'!J44,""))</f>
        <v/>
      </c>
      <c r="G25" s="41">
        <f>IF(OR(D25="",'총괄분'!J44="",N(G$5)=0),"",IF(AND(G$5&gt;='총괄분'!H44,G$5&lt;='총괄분'!I44),D25/'총괄분'!J44,""))</f>
        <v/>
      </c>
      <c r="H25" s="41">
        <f>IF(OR(D25="",'총괄분'!J44="",N(H$5)=0),"",IF(AND(H$5&gt;='총괄분'!H44,H$5&lt;='총괄분'!I44),D25/'총괄분'!J44,""))</f>
        <v/>
      </c>
      <c r="I25" s="41">
        <f>IF(OR(D25="",'총괄분'!J44="",N(I$5)=0),"",IF(AND(I$5&gt;='총괄분'!H44,I$5&lt;='총괄분'!I44),D25/'총괄분'!J44,""))</f>
        <v/>
      </c>
      <c r="J25" s="41">
        <f>IF(OR(D25="",'총괄분'!J44="",N(J$5)=0),"",IF(AND(J$5&gt;='총괄분'!H44,J$5&lt;='총괄분'!I44),D25/'총괄분'!J44,""))</f>
        <v/>
      </c>
      <c r="K25" s="41">
        <f>IF(OR(D25="",'총괄분'!J44="",N(K$5)=0),"",IF(AND(K$5&gt;='총괄분'!H44,K$5&lt;='총괄분'!I44),D25/'총괄분'!J44,""))</f>
        <v/>
      </c>
      <c r="L25" s="41">
        <f>IF(OR(D25="",'총괄분'!J44="",N(L$5)=0),"",IF(AND(L$5&gt;='총괄분'!H44,L$5&lt;='총괄분'!I44),D25/'총괄분'!J44,""))</f>
        <v/>
      </c>
      <c r="M25" s="41">
        <f>IF(OR(D25="",'총괄분'!J44="",N(M$5)=0),"",IF(AND(M$5&gt;='총괄분'!H44,M$5&lt;='총괄분'!I44),D25/'총괄분'!J44,""))</f>
        <v/>
      </c>
      <c r="N25" s="41">
        <f>IF(OR(D25="",'총괄분'!J44="",N(N$5)=0),"",IF(AND(N$5&gt;='총괄분'!H44,N$5&lt;='총괄분'!I44),D25/'총괄분'!J44,""))</f>
        <v/>
      </c>
      <c r="O25" s="41">
        <f>IF(OR(D25="",'총괄분'!J44="",N(O$5)=0),"",IF(AND(O$5&gt;='총괄분'!H44,O$5&lt;='총괄분'!I44),D25/'총괄분'!J44,""))</f>
        <v/>
      </c>
      <c r="P25" s="41">
        <f>IF(OR(D25="",'총괄분'!J44="",N(P$5)=0),"",IF(AND(P$5&gt;='총괄분'!H44,P$5&lt;='총괄분'!I44),D25/'총괄분'!J44,""))</f>
        <v/>
      </c>
      <c r="Q25" s="41">
        <f>IF(OR(D25="",'총괄분'!J44="",N(Q$5)=0),"",IF(AND(Q$5&gt;='총괄분'!H44,Q$5&lt;='총괄분'!I44),D25/'총괄분'!J44,""))</f>
        <v/>
      </c>
      <c r="R25" s="41">
        <f>IF(OR(D25="",'총괄분'!J44="",N(R$5)=0),"",IF(AND(R$5&gt;='총괄분'!H44,R$5&lt;='총괄분'!I44),D25/'총괄분'!J44,""))</f>
        <v/>
      </c>
      <c r="S25" s="41">
        <f>IF(OR(D25="",'총괄분'!J44="",N(S$5)=0),"",IF(AND(S$5&gt;='총괄분'!H44,S$5&lt;='총괄분'!I44),D25/'총괄분'!J44,""))</f>
        <v/>
      </c>
      <c r="T25" s="41">
        <f>IF(OR(D25="",'총괄분'!J44="",N(T$5)=0),"",IF(AND(T$5&gt;='총괄분'!H44,T$5&lt;='총괄분'!I44),D25/'총괄분'!J44,""))</f>
        <v/>
      </c>
      <c r="U25" s="41">
        <f>IF(OR(D25="",'총괄분'!J44="",N(U$5)=0),"",IF(AND(U$5&gt;='총괄분'!H44,U$5&lt;='총괄분'!I44),D25/'총괄분'!J44,""))</f>
        <v/>
      </c>
      <c r="V25" s="41">
        <f>IF(OR(D25="",'총괄분'!J44="",N(V$5)=0),"",IF(AND(V$5&gt;='총괄분'!H44,V$5&lt;='총괄분'!I44),D25/'총괄분'!J44,""))</f>
        <v/>
      </c>
      <c r="W25" s="41">
        <f>IF(OR(D25="",'총괄분'!J44="",N(W$5)=0),"",IF(AND(W$5&gt;='총괄분'!H44,W$5&lt;='총괄분'!I44),D25/'총괄분'!J44,""))</f>
        <v/>
      </c>
      <c r="X25" s="41">
        <f>IF(OR(D25="",'총괄분'!J44="",N(X$5)=0),"",IF(AND(X$5&gt;='총괄분'!H44,X$5&lt;='총괄분'!I44),D25/'총괄분'!J44,""))</f>
        <v/>
      </c>
      <c r="Y25" s="41">
        <f>IF(OR(D25="",'총괄분'!J44="",N(Y$5)=0),"",IF(AND(Y$5&gt;='총괄분'!H44,Y$5&lt;='총괄분'!I44),D25/'총괄분'!J44,""))</f>
        <v/>
      </c>
      <c r="Z25" s="41">
        <f>IF(OR(D25="",'총괄분'!J44="",N(Z$5)=0),"",IF(AND(Z$5&gt;='총괄분'!H44,Z$5&lt;='총괄분'!I44),D25/'총괄분'!J44,""))</f>
        <v/>
      </c>
      <c r="AA25" s="41">
        <f>IF(OR(D25="",'총괄분'!J44="",N(AA$5)=0),"",IF(AND(AA$5&gt;='총괄분'!H44,AA$5&lt;='총괄분'!I44),D25/'총괄분'!J44,""))</f>
        <v/>
      </c>
      <c r="AB25" s="41">
        <f>IF(OR(D25="",'총괄분'!J44="",N(AB$5)=0),"",IF(AND(AB$5&gt;='총괄분'!H44,AB$5&lt;='총괄분'!I44),D25/'총괄분'!J44,""))</f>
        <v/>
      </c>
      <c r="AC25" s="41">
        <f>IF(OR(D25="",'총괄분'!J44="",N(AC$5)=0),"",IF(AND(AC$5&gt;='총괄분'!H44,AC$5&lt;='총괄분'!I44),D25/'총괄분'!J44,""))</f>
        <v/>
      </c>
      <c r="AD25" s="41">
        <f>IF(OR(D25="",'총괄분'!J44="",N(AD$5)=0),"",IF(AND(AD$5&gt;='총괄분'!H44,AD$5&lt;='총괄분'!I44),D25/'총괄분'!J44,""))</f>
        <v/>
      </c>
      <c r="AE25" s="41">
        <f>IF(OR(D25="",'총괄분'!J44="",N(AE$5)=0),"",IF(AND(AE$5&gt;='총괄분'!H44,AE$5&lt;='총괄분'!I44),D25/'총괄분'!J44,""))</f>
        <v/>
      </c>
      <c r="AF25" s="41">
        <f>IF(OR(D25="",'총괄분'!J44="",N(AF$5)=0),"",IF(AND(AF$5&gt;='총괄분'!H44,AF$5&lt;='총괄분'!I44),D25/'총괄분'!J44,""))</f>
        <v/>
      </c>
      <c r="AG25" s="41">
        <f>IF(OR(D25="",'총괄분'!J44="",N(AG$5)=0),"",IF(AND(AG$5&gt;='총괄분'!H44,AG$5&lt;='총괄분'!I44),D25/'총괄분'!J44,""))</f>
        <v/>
      </c>
      <c r="AH25" s="41">
        <f>IF(OR(D25="",'총괄분'!J44="",N(AH$5)=0),"",IF(AND(AH$5&gt;='총괄분'!H44,AH$5&lt;='총괄분'!I44),D25/'총괄분'!J44,""))</f>
        <v/>
      </c>
      <c r="AI25" s="41">
        <f>IF(OR(D25="",'총괄분'!J44="",N(AI$5)=0),"",IF(AND(AI$5&gt;='총괄분'!H44,AI$5&lt;='총괄분'!I44),D25/'총괄분'!J44,""))</f>
        <v/>
      </c>
      <c r="AJ25" s="41">
        <f>IF(OR(D25="",'총괄분'!J44="",N(AJ$5)=0),"",IF(AND(AJ$5&gt;='총괄분'!H44,AJ$5&lt;='총괄분'!I44),D25/'총괄분'!J44,""))</f>
        <v/>
      </c>
      <c r="AK25" s="40">
        <f>IF(D25="","",SUM(F25:AJ25))</f>
        <v/>
      </c>
      <c r="AL25" s="40">
        <f>IF(D25="","",E25+AK25)</f>
        <v/>
      </c>
    </row>
    <row r="26" ht="15" customHeight="1">
      <c r="A26" s="38">
        <f>IF('총괄분'!A46="","",'총괄분'!A46)</f>
        <v/>
      </c>
      <c r="B26" s="38">
        <f>IF('총괄분'!B46="","",'총괄분'!B46)</f>
        <v/>
      </c>
      <c r="C26" s="39">
        <f>IF('총괄분'!C46="","",'총괄분'!C46)</f>
        <v/>
      </c>
      <c r="D26" s="23">
        <f>IF('총괄분'!E46="","",'총괄분'!E46)</f>
        <v/>
      </c>
      <c r="E26" s="40">
        <f>IF(OR(D26="",'총괄분'!J46="",N(U3)=0),"",MAX(0,MIN('총괄분'!I46,U3-1)-'총괄분'!H46+1)/'총괄분'!J46*D26)</f>
        <v/>
      </c>
      <c r="F26" s="41">
        <f>IF(OR(D26="",'총괄분'!J46="",N(F$5)=0),"",IF(AND(F$5&gt;='총괄분'!H46,F$5&lt;='총괄분'!I46),D26/'총괄분'!J46,""))</f>
        <v/>
      </c>
      <c r="G26" s="41">
        <f>IF(OR(D26="",'총괄분'!J46="",N(G$5)=0),"",IF(AND(G$5&gt;='총괄분'!H46,G$5&lt;='총괄분'!I46),D26/'총괄분'!J46,""))</f>
        <v/>
      </c>
      <c r="H26" s="41">
        <f>IF(OR(D26="",'총괄분'!J46="",N(H$5)=0),"",IF(AND(H$5&gt;='총괄분'!H46,H$5&lt;='총괄분'!I46),D26/'총괄분'!J46,""))</f>
        <v/>
      </c>
      <c r="I26" s="41">
        <f>IF(OR(D26="",'총괄분'!J46="",N(I$5)=0),"",IF(AND(I$5&gt;='총괄분'!H46,I$5&lt;='총괄분'!I46),D26/'총괄분'!J46,""))</f>
        <v/>
      </c>
      <c r="J26" s="41">
        <f>IF(OR(D26="",'총괄분'!J46="",N(J$5)=0),"",IF(AND(J$5&gt;='총괄분'!H46,J$5&lt;='총괄분'!I46),D26/'총괄분'!J46,""))</f>
        <v/>
      </c>
      <c r="K26" s="41">
        <f>IF(OR(D26="",'총괄분'!J46="",N(K$5)=0),"",IF(AND(K$5&gt;='총괄분'!H46,K$5&lt;='총괄분'!I46),D26/'총괄분'!J46,""))</f>
        <v/>
      </c>
      <c r="L26" s="41">
        <f>IF(OR(D26="",'총괄분'!J46="",N(L$5)=0),"",IF(AND(L$5&gt;='총괄분'!H46,L$5&lt;='총괄분'!I46),D26/'총괄분'!J46,""))</f>
        <v/>
      </c>
      <c r="M26" s="41">
        <f>IF(OR(D26="",'총괄분'!J46="",N(M$5)=0),"",IF(AND(M$5&gt;='총괄분'!H46,M$5&lt;='총괄분'!I46),D26/'총괄분'!J46,""))</f>
        <v/>
      </c>
      <c r="N26" s="41">
        <f>IF(OR(D26="",'총괄분'!J46="",N(N$5)=0),"",IF(AND(N$5&gt;='총괄분'!H46,N$5&lt;='총괄분'!I46),D26/'총괄분'!J46,""))</f>
        <v/>
      </c>
      <c r="O26" s="41">
        <f>IF(OR(D26="",'총괄분'!J46="",N(O$5)=0),"",IF(AND(O$5&gt;='총괄분'!H46,O$5&lt;='총괄분'!I46),D26/'총괄분'!J46,""))</f>
        <v/>
      </c>
      <c r="P26" s="41">
        <f>IF(OR(D26="",'총괄분'!J46="",N(P$5)=0),"",IF(AND(P$5&gt;='총괄분'!H46,P$5&lt;='총괄분'!I46),D26/'총괄분'!J46,""))</f>
        <v/>
      </c>
      <c r="Q26" s="41">
        <f>IF(OR(D26="",'총괄분'!J46="",N(Q$5)=0),"",IF(AND(Q$5&gt;='총괄분'!H46,Q$5&lt;='총괄분'!I46),D26/'총괄분'!J46,""))</f>
        <v/>
      </c>
      <c r="R26" s="41">
        <f>IF(OR(D26="",'총괄분'!J46="",N(R$5)=0),"",IF(AND(R$5&gt;='총괄분'!H46,R$5&lt;='총괄분'!I46),D26/'총괄분'!J46,""))</f>
        <v/>
      </c>
      <c r="S26" s="41">
        <f>IF(OR(D26="",'총괄분'!J46="",N(S$5)=0),"",IF(AND(S$5&gt;='총괄분'!H46,S$5&lt;='총괄분'!I46),D26/'총괄분'!J46,""))</f>
        <v/>
      </c>
      <c r="T26" s="41">
        <f>IF(OR(D26="",'총괄분'!J46="",N(T$5)=0),"",IF(AND(T$5&gt;='총괄분'!H46,T$5&lt;='총괄분'!I46),D26/'총괄분'!J46,""))</f>
        <v/>
      </c>
      <c r="U26" s="41">
        <f>IF(OR(D26="",'총괄분'!J46="",N(U$5)=0),"",IF(AND(U$5&gt;='총괄분'!H46,U$5&lt;='총괄분'!I46),D26/'총괄분'!J46,""))</f>
        <v/>
      </c>
      <c r="V26" s="41">
        <f>IF(OR(D26="",'총괄분'!J46="",N(V$5)=0),"",IF(AND(V$5&gt;='총괄분'!H46,V$5&lt;='총괄분'!I46),D26/'총괄분'!J46,""))</f>
        <v/>
      </c>
      <c r="W26" s="41">
        <f>IF(OR(D26="",'총괄분'!J46="",N(W$5)=0),"",IF(AND(W$5&gt;='총괄분'!H46,W$5&lt;='총괄분'!I46),D26/'총괄분'!J46,""))</f>
        <v/>
      </c>
      <c r="X26" s="41">
        <f>IF(OR(D26="",'총괄분'!J46="",N(X$5)=0),"",IF(AND(X$5&gt;='총괄분'!H46,X$5&lt;='총괄분'!I46),D26/'총괄분'!J46,""))</f>
        <v/>
      </c>
      <c r="Y26" s="41">
        <f>IF(OR(D26="",'총괄분'!J46="",N(Y$5)=0),"",IF(AND(Y$5&gt;='총괄분'!H46,Y$5&lt;='총괄분'!I46),D26/'총괄분'!J46,""))</f>
        <v/>
      </c>
      <c r="Z26" s="41">
        <f>IF(OR(D26="",'총괄분'!J46="",N(Z$5)=0),"",IF(AND(Z$5&gt;='총괄분'!H46,Z$5&lt;='총괄분'!I46),D26/'총괄분'!J46,""))</f>
        <v/>
      </c>
      <c r="AA26" s="41">
        <f>IF(OR(D26="",'총괄분'!J46="",N(AA$5)=0),"",IF(AND(AA$5&gt;='총괄분'!H46,AA$5&lt;='총괄분'!I46),D26/'총괄분'!J46,""))</f>
        <v/>
      </c>
      <c r="AB26" s="41">
        <f>IF(OR(D26="",'총괄분'!J46="",N(AB$5)=0),"",IF(AND(AB$5&gt;='총괄분'!H46,AB$5&lt;='총괄분'!I46),D26/'총괄분'!J46,""))</f>
        <v/>
      </c>
      <c r="AC26" s="41">
        <f>IF(OR(D26="",'총괄분'!J46="",N(AC$5)=0),"",IF(AND(AC$5&gt;='총괄분'!H46,AC$5&lt;='총괄분'!I46),D26/'총괄분'!J46,""))</f>
        <v/>
      </c>
      <c r="AD26" s="41">
        <f>IF(OR(D26="",'총괄분'!J46="",N(AD$5)=0),"",IF(AND(AD$5&gt;='총괄분'!H46,AD$5&lt;='총괄분'!I46),D26/'총괄분'!J46,""))</f>
        <v/>
      </c>
      <c r="AE26" s="41">
        <f>IF(OR(D26="",'총괄분'!J46="",N(AE$5)=0),"",IF(AND(AE$5&gt;='총괄분'!H46,AE$5&lt;='총괄분'!I46),D26/'총괄분'!J46,""))</f>
        <v/>
      </c>
      <c r="AF26" s="41">
        <f>IF(OR(D26="",'총괄분'!J46="",N(AF$5)=0),"",IF(AND(AF$5&gt;='총괄분'!H46,AF$5&lt;='총괄분'!I46),D26/'총괄분'!J46,""))</f>
        <v/>
      </c>
      <c r="AG26" s="41">
        <f>IF(OR(D26="",'총괄분'!J46="",N(AG$5)=0),"",IF(AND(AG$5&gt;='총괄분'!H46,AG$5&lt;='총괄분'!I46),D26/'총괄분'!J46,""))</f>
        <v/>
      </c>
      <c r="AH26" s="41">
        <f>IF(OR(D26="",'총괄분'!J46="",N(AH$5)=0),"",IF(AND(AH$5&gt;='총괄분'!H46,AH$5&lt;='총괄분'!I46),D26/'총괄분'!J46,""))</f>
        <v/>
      </c>
      <c r="AI26" s="41">
        <f>IF(OR(D26="",'총괄분'!J46="",N(AI$5)=0),"",IF(AND(AI$5&gt;='총괄분'!H46,AI$5&lt;='총괄분'!I46),D26/'총괄분'!J46,""))</f>
        <v/>
      </c>
      <c r="AJ26" s="41">
        <f>IF(OR(D26="",'총괄분'!J46="",N(AJ$5)=0),"",IF(AND(AJ$5&gt;='총괄분'!H46,AJ$5&lt;='총괄분'!I46),D26/'총괄분'!J46,""))</f>
        <v/>
      </c>
      <c r="AK26" s="40">
        <f>IF(D26="","",SUM(F26:AJ26))</f>
        <v/>
      </c>
      <c r="AL26" s="40">
        <f>IF(D26="","",E26+AK26)</f>
        <v/>
      </c>
    </row>
    <row r="27" ht="16" customHeight="1">
      <c r="A27" s="26" t="inlineStr">
        <is>
          <t>일 별  합 계</t>
        </is>
      </c>
      <c r="B27" s="6" t="n"/>
      <c r="C27" s="6" t="n"/>
      <c r="D27" s="42">
        <f>IF(COUNT(D7:D26)=0,"",SUM(D7:D26))</f>
        <v/>
      </c>
      <c r="E27" s="42">
        <f>IF(COUNT(E7:E26)=0,"",SUM(E7:E26))</f>
        <v/>
      </c>
      <c r="F27" s="43">
        <f>IF(COUNT(F7:F26)=0,"",SUM(F7:F26))</f>
        <v/>
      </c>
      <c r="G27" s="43">
        <f>IF(COUNT(G7:G26)=0,"",SUM(G7:G26))</f>
        <v/>
      </c>
      <c r="H27" s="43">
        <f>IF(COUNT(H7:H26)=0,"",SUM(H7:H26))</f>
        <v/>
      </c>
      <c r="I27" s="43">
        <f>IF(COUNT(I7:I26)=0,"",SUM(I7:I26))</f>
        <v/>
      </c>
      <c r="J27" s="43">
        <f>IF(COUNT(J7:J26)=0,"",SUM(J7:J26))</f>
        <v/>
      </c>
      <c r="K27" s="43">
        <f>IF(COUNT(K7:K26)=0,"",SUM(K7:K26))</f>
        <v/>
      </c>
      <c r="L27" s="43">
        <f>IF(COUNT(L7:L26)=0,"",SUM(L7:L26))</f>
        <v/>
      </c>
      <c r="M27" s="43">
        <f>IF(COUNT(M7:M26)=0,"",SUM(M7:M26))</f>
        <v/>
      </c>
      <c r="N27" s="43">
        <f>IF(COUNT(N7:N26)=0,"",SUM(N7:N26))</f>
        <v/>
      </c>
      <c r="O27" s="43">
        <f>IF(COUNT(O7:O26)=0,"",SUM(O7:O26))</f>
        <v/>
      </c>
      <c r="P27" s="43">
        <f>IF(COUNT(P7:P26)=0,"",SUM(P7:P26))</f>
        <v/>
      </c>
      <c r="Q27" s="43">
        <f>IF(COUNT(Q7:Q26)=0,"",SUM(Q7:Q26))</f>
        <v/>
      </c>
      <c r="R27" s="43">
        <f>IF(COUNT(R7:R26)=0,"",SUM(R7:R26))</f>
        <v/>
      </c>
      <c r="S27" s="43">
        <f>IF(COUNT(S7:S26)=0,"",SUM(S7:S26))</f>
        <v/>
      </c>
      <c r="T27" s="43">
        <f>IF(COUNT(T7:T26)=0,"",SUM(T7:T26))</f>
        <v/>
      </c>
      <c r="U27" s="43">
        <f>IF(COUNT(U7:U26)=0,"",SUM(U7:U26))</f>
        <v/>
      </c>
      <c r="V27" s="43">
        <f>IF(COUNT(V7:V26)=0,"",SUM(V7:V26))</f>
        <v/>
      </c>
      <c r="W27" s="43">
        <f>IF(COUNT(W7:W26)=0,"",SUM(W7:W26))</f>
        <v/>
      </c>
      <c r="X27" s="43">
        <f>IF(COUNT(X7:X26)=0,"",SUM(X7:X26))</f>
        <v/>
      </c>
      <c r="Y27" s="43">
        <f>IF(COUNT(Y7:Y26)=0,"",SUM(Y7:Y26))</f>
        <v/>
      </c>
      <c r="Z27" s="43">
        <f>IF(COUNT(Z7:Z26)=0,"",SUM(Z7:Z26))</f>
        <v/>
      </c>
      <c r="AA27" s="43">
        <f>IF(COUNT(AA7:AA26)=0,"",SUM(AA7:AA26))</f>
        <v/>
      </c>
      <c r="AB27" s="43">
        <f>IF(COUNT(AB7:AB26)=0,"",SUM(AB7:AB26))</f>
        <v/>
      </c>
      <c r="AC27" s="43">
        <f>IF(COUNT(AC7:AC26)=0,"",SUM(AC7:AC26))</f>
        <v/>
      </c>
      <c r="AD27" s="43">
        <f>IF(COUNT(AD7:AD26)=0,"",SUM(AD7:AD26))</f>
        <v/>
      </c>
      <c r="AE27" s="43">
        <f>IF(COUNT(AE7:AE26)=0,"",SUM(AE7:AE26))</f>
        <v/>
      </c>
      <c r="AF27" s="43">
        <f>IF(COUNT(AF7:AF26)=0,"",SUM(AF7:AF26))</f>
        <v/>
      </c>
      <c r="AG27" s="43">
        <f>IF(COUNT(AG7:AG26)=0,"",SUM(AG7:AG26))</f>
        <v/>
      </c>
      <c r="AH27" s="43">
        <f>IF(COUNT(AH7:AH26)=0,"",SUM(AH7:AH26))</f>
        <v/>
      </c>
      <c r="AI27" s="43">
        <f>IF(COUNT(AI7:AI26)=0,"",SUM(AI7:AI26))</f>
        <v/>
      </c>
      <c r="AJ27" s="43">
        <f>IF(COUNT(AJ7:AJ26)=0,"",SUM(AJ7:AJ26))</f>
        <v/>
      </c>
      <c r="AK27" s="42">
        <f>IF(COUNT(AK7:AK26)=0,"",SUM(AK7:AK26))</f>
        <v/>
      </c>
      <c r="AL27" s="42">
        <f>IF(COUNT(AL7:AL26)=0,"",SUM(AL7:AL26))</f>
        <v/>
      </c>
    </row>
    <row r="28" ht="16" customHeight="1">
      <c r="A28" s="26" t="inlineStr">
        <is>
          <t>누   계 (%)</t>
        </is>
      </c>
      <c r="B28" s="6" t="n"/>
      <c r="C28" s="6" t="n"/>
      <c r="D28" s="6" t="n"/>
      <c r="E28" s="6" t="n"/>
      <c r="F28" s="44">
        <f>IF(F27="","",N(E27)+SUM(F27:F27))</f>
        <v/>
      </c>
      <c r="G28" s="44">
        <f>IF(G27="","",N(E27)+SUM(F27:G27))</f>
        <v/>
      </c>
      <c r="H28" s="44">
        <f>IF(H27="","",N(E27)+SUM(F27:H27))</f>
        <v/>
      </c>
      <c r="I28" s="44">
        <f>IF(I27="","",N(E27)+SUM(F27:I27))</f>
        <v/>
      </c>
      <c r="J28" s="44">
        <f>IF(J27="","",N(E27)+SUM(F27:J27))</f>
        <v/>
      </c>
      <c r="K28" s="44">
        <f>IF(K27="","",N(E27)+SUM(F27:K27))</f>
        <v/>
      </c>
      <c r="L28" s="44">
        <f>IF(L27="","",N(E27)+SUM(F27:L27))</f>
        <v/>
      </c>
      <c r="M28" s="44">
        <f>IF(M27="","",N(E27)+SUM(F27:M27))</f>
        <v/>
      </c>
      <c r="N28" s="44">
        <f>IF(N27="","",N(E27)+SUM(F27:N27))</f>
        <v/>
      </c>
      <c r="O28" s="44">
        <f>IF(O27="","",N(E27)+SUM(F27:O27))</f>
        <v/>
      </c>
      <c r="P28" s="44">
        <f>IF(P27="","",N(E27)+SUM(F27:P27))</f>
        <v/>
      </c>
      <c r="Q28" s="44">
        <f>IF(Q27="","",N(E27)+SUM(F27:Q27))</f>
        <v/>
      </c>
      <c r="R28" s="44">
        <f>IF(R27="","",N(E27)+SUM(F27:R27))</f>
        <v/>
      </c>
      <c r="S28" s="44">
        <f>IF(S27="","",N(E27)+SUM(F27:S27))</f>
        <v/>
      </c>
      <c r="T28" s="44">
        <f>IF(T27="","",N(E27)+SUM(F27:T27))</f>
        <v/>
      </c>
      <c r="U28" s="44">
        <f>IF(U27="","",N(E27)+SUM(F27:U27))</f>
        <v/>
      </c>
      <c r="V28" s="44">
        <f>IF(V27="","",N(E27)+SUM(F27:V27))</f>
        <v/>
      </c>
      <c r="W28" s="44">
        <f>IF(W27="","",N(E27)+SUM(F27:W27))</f>
        <v/>
      </c>
      <c r="X28" s="44">
        <f>IF(X27="","",N(E27)+SUM(F27:X27))</f>
        <v/>
      </c>
      <c r="Y28" s="44">
        <f>IF(Y27="","",N(E27)+SUM(F27:Y27))</f>
        <v/>
      </c>
      <c r="Z28" s="44">
        <f>IF(Z27="","",N(E27)+SUM(F27:Z27))</f>
        <v/>
      </c>
      <c r="AA28" s="44">
        <f>IF(AA27="","",N(E27)+SUM(F27:AA27))</f>
        <v/>
      </c>
      <c r="AB28" s="44">
        <f>IF(AB27="","",N(E27)+SUM(F27:AB27))</f>
        <v/>
      </c>
      <c r="AC28" s="44">
        <f>IF(AC27="","",N(E27)+SUM(F27:AC27))</f>
        <v/>
      </c>
      <c r="AD28" s="44">
        <f>IF(AD27="","",N(E27)+SUM(F27:AD27))</f>
        <v/>
      </c>
      <c r="AE28" s="44">
        <f>IF(AE27="","",N(E27)+SUM(F27:AE27))</f>
        <v/>
      </c>
      <c r="AF28" s="44">
        <f>IF(AF27="","",N(E27)+SUM(F27:AF27))</f>
        <v/>
      </c>
      <c r="AG28" s="44">
        <f>IF(AG27="","",N(E27)+SUM(F27:AG27))</f>
        <v/>
      </c>
      <c r="AH28" s="44">
        <f>IF(AH27="","",N(E27)+SUM(F27:AH27))</f>
        <v/>
      </c>
      <c r="AI28" s="44">
        <f>IF(AI27="","",N(E27)+SUM(F27:AI27))</f>
        <v/>
      </c>
      <c r="AJ28" s="44">
        <f>IF(AJ27="","",N(E27)+SUM(F27:AJ27))</f>
        <v/>
      </c>
      <c r="AK28" s="26" t="inlineStr"/>
      <c r="AL28" s="6" t="n"/>
    </row>
    <row r="30" ht="19.5" customHeight="1">
      <c r="A30" s="34" t="inlineStr">
        <is>
          <t>이 시트는 적는 칸이 «이 달 (1일)» 하나뿐입니다 — 공종·보할·날짜는 총괄분에서 가져와 날마다 나눕니다(보할 ÷ 공종 기간).</t>
        </is>
      </c>
    </row>
  </sheetData>
  <mergeCells count="19">
    <mergeCell ref="E5:E6"/>
    <mergeCell ref="A27:C27"/>
    <mergeCell ref="AK28:AL28"/>
    <mergeCell ref="A1:Q1"/>
    <mergeCell ref="A30:AL30"/>
    <mergeCell ref="U3:Z3"/>
    <mergeCell ref="AK5:AK6"/>
    <mergeCell ref="A3:B3"/>
    <mergeCell ref="AA3:AL3"/>
    <mergeCell ref="A5:A6"/>
    <mergeCell ref="AL5:AL6"/>
    <mergeCell ref="C3:N3"/>
    <mergeCell ref="O3:T3"/>
    <mergeCell ref="B5:B6"/>
    <mergeCell ref="D5:D6"/>
    <mergeCell ref="R1:AL1"/>
    <mergeCell ref="A2:AL2"/>
    <mergeCell ref="A28:E28"/>
    <mergeCell ref="C5:C6"/>
  </mergeCells>
  <conditionalFormatting sqref="F7:AJ26">
    <cfRule type="expression" priority="1" dxfId="0">
      <formula>N(F7)&gt;0</formula>
    </cfRule>
  </conditionalFormatting>
  <conditionalFormatting sqref="F5:AJ6">
    <cfRule type="expression" priority="2" dxfId="2">
      <formula>AND(ISNUMBER(F$5),WEEKDAY(F$5)=1)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31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</cols>
  <sheetData>
    <row r="1" ht="20" customHeight="1">
      <c r="A1" s="1" t="inlineStr">
        <is>
          <t xml:space="preserve">  K-건설맵  |  k-conmap.com  무료 건설 서식</t>
        </is>
      </c>
      <c r="P1" s="2" t="inlineStr">
        <is>
          <t xml:space="preserve">← 이 1행을 지우고 쓰셔도 됩니다  </t>
        </is>
      </c>
    </row>
    <row r="2" ht="34" customHeight="1">
      <c r="A2" s="3" t="inlineStr">
        <is>
          <t>공 정 곡 선 (S-커브)</t>
        </is>
      </c>
    </row>
    <row r="3" ht="24" customHeight="1">
      <c r="A3" s="4" t="inlineStr">
        <is>
          <t>공 사 명 :</t>
        </is>
      </c>
      <c r="E3" s="45">
        <f>IF('총괄분'!C3="","",'총괄분'!C3)</f>
        <v/>
      </c>
    </row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1" ht="19.5" customHeight="1">
      <c r="A31" s="34" t="inlineStr">
        <is>
          <t>총괄분 «누계» 줄을 그린 곡선입니다. 총괄분만 적으면 저절로 바뀝니다.</t>
        </is>
      </c>
    </row>
  </sheetData>
  <mergeCells count="6">
    <mergeCell ref="A31:AD31"/>
    <mergeCell ref="A3:D3"/>
    <mergeCell ref="P1:AD1"/>
    <mergeCell ref="E3:AD3"/>
    <mergeCell ref="A1:O1"/>
    <mergeCell ref="A2:AD2"/>
  </mergeCells>
  <printOptions horizontalCentered="1"/>
  <pageMargins left="0.4" right="0.4" top="0.5" bottom="0.5" header="0.2" footer="0.2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Q53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9" customWidth="1" min="4" max="4"/>
    <col width="6" customWidth="1" min="5" max="5"/>
    <col width="7" customWidth="1" min="6" max="6"/>
    <col width="4.6" customWidth="1" min="7" max="7"/>
    <col width="6.4" customWidth="1" min="8" max="8"/>
    <col width="6.4" customWidth="1" min="9" max="9"/>
    <col width="5" customWidth="1" min="10" max="10"/>
    <col width="12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  <col width="4.4" customWidth="1" min="41" max="41"/>
    <col width="5.6" customWidth="1" min="42" max="42"/>
    <col width="5.6" customWidth="1" min="43" max="43"/>
  </cols>
  <sheetData>
    <row r="1" ht="20" customHeight="1">
      <c r="A1" s="1" t="inlineStr">
        <is>
          <t xml:space="preserve">  K-건설맵  |  k-conmap.com  무료 건설 서식</t>
        </is>
      </c>
      <c r="S1" s="46" t="inlineStr">
        <is>
          <t xml:space="preserve">작성 예시 (가상의 현장)  </t>
        </is>
      </c>
    </row>
    <row r="2" ht="34" customHeight="1">
      <c r="A2" s="3" t="inlineStr">
        <is>
          <t>예      정      공      정      표   (총괄분)</t>
        </is>
      </c>
    </row>
    <row r="3" ht="24" customHeight="1">
      <c r="A3" s="4" t="inlineStr">
        <is>
          <t>공 사 명 :</t>
        </is>
      </c>
      <c r="C3" s="5" t="inlineStr">
        <is>
          <t>가나지구 배수로 정비공사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7" t="inlineStr">
        <is>
          <t>첫 주 시작일</t>
        </is>
      </c>
      <c r="Q3" s="8" t="n">
        <v>46083</v>
      </c>
      <c r="R3" s="6" t="n"/>
      <c r="S3" s="6" t="n"/>
      <c r="T3" s="6" t="n"/>
      <c r="U3" s="9" t="inlineStr">
        <is>
          <t>(그 주 월요일)</t>
        </is>
      </c>
      <c r="Y3" s="10">
        <f>IF(N(Q3)=0,"","공정표 기간 : "&amp;YEAR(Q3)&amp;". "&amp;MONTH(Q3)&amp;". "&amp;DAY(Q3)&amp;". ~ "&amp;YEAR(Q3+209)&amp;". "&amp;MONTH(Q3+209)&amp;". "&amp;DAY(Q3+209)&amp;". (30주)")</f>
        <v/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금액
(천원)</t>
        </is>
      </c>
      <c r="E5" s="11" t="inlineStr">
        <is>
          <t>보할
(%)</t>
        </is>
      </c>
      <c r="F5" s="11" t="inlineStr">
        <is>
          <t>수 량</t>
        </is>
      </c>
      <c r="G5" s="11" t="inlineStr">
        <is>
          <t>단위</t>
        </is>
      </c>
      <c r="H5" s="11" t="inlineStr">
        <is>
          <t>시 작</t>
        </is>
      </c>
      <c r="I5" s="11" t="inlineStr">
        <is>
          <t>끝</t>
        </is>
      </c>
      <c r="J5" s="11" t="inlineStr">
        <is>
          <t>기간
(일)</t>
        </is>
      </c>
      <c r="K5" s="11" t="inlineStr">
        <is>
          <t>참 조 사 항</t>
        </is>
      </c>
      <c r="L5" s="11">
        <f>IF(N(Q3)=0,"",MONTH(Q3+0)&amp;"월")</f>
        <v/>
      </c>
      <c r="M5" s="11">
        <f>IF(N(Q3)=0,"",IF(MONTH(Q3+7)&lt;&gt;MONTH(Q3+0),MONTH(Q3+7)&amp;"월",""))</f>
        <v/>
      </c>
      <c r="N5" s="11">
        <f>IF(N(Q3)=0,"",IF(MONTH(Q3+14)&lt;&gt;MONTH(Q3+7),MONTH(Q3+14)&amp;"월",""))</f>
        <v/>
      </c>
      <c r="O5" s="11">
        <f>IF(N(Q3)=0,"",IF(MONTH(Q3+21)&lt;&gt;MONTH(Q3+14),MONTH(Q3+21)&amp;"월",""))</f>
        <v/>
      </c>
      <c r="P5" s="11">
        <f>IF(N(Q3)=0,"",IF(MONTH(Q3+28)&lt;&gt;MONTH(Q3+21),MONTH(Q3+28)&amp;"월",""))</f>
        <v/>
      </c>
      <c r="Q5" s="11">
        <f>IF(N(Q3)=0,"",IF(MONTH(Q3+35)&lt;&gt;MONTH(Q3+28),MONTH(Q3+35)&amp;"월",""))</f>
        <v/>
      </c>
      <c r="R5" s="11">
        <f>IF(N(Q3)=0,"",IF(MONTH(Q3+42)&lt;&gt;MONTH(Q3+35),MONTH(Q3+42)&amp;"월",""))</f>
        <v/>
      </c>
      <c r="S5" s="11">
        <f>IF(N(Q3)=0,"",IF(MONTH(Q3+49)&lt;&gt;MONTH(Q3+42),MONTH(Q3+49)&amp;"월",""))</f>
        <v/>
      </c>
      <c r="T5" s="11">
        <f>IF(N(Q3)=0,"",IF(MONTH(Q3+56)&lt;&gt;MONTH(Q3+49),MONTH(Q3+56)&amp;"월",""))</f>
        <v/>
      </c>
      <c r="U5" s="11">
        <f>IF(N(Q3)=0,"",IF(MONTH(Q3+63)&lt;&gt;MONTH(Q3+56),MONTH(Q3+63)&amp;"월",""))</f>
        <v/>
      </c>
      <c r="V5" s="11">
        <f>IF(N(Q3)=0,"",IF(MONTH(Q3+70)&lt;&gt;MONTH(Q3+63),MONTH(Q3+70)&amp;"월",""))</f>
        <v/>
      </c>
      <c r="W5" s="11">
        <f>IF(N(Q3)=0,"",IF(MONTH(Q3+77)&lt;&gt;MONTH(Q3+70),MONTH(Q3+77)&amp;"월",""))</f>
        <v/>
      </c>
      <c r="X5" s="11">
        <f>IF(N(Q3)=0,"",IF(MONTH(Q3+84)&lt;&gt;MONTH(Q3+77),MONTH(Q3+84)&amp;"월",""))</f>
        <v/>
      </c>
      <c r="Y5" s="11">
        <f>IF(N(Q3)=0,"",IF(MONTH(Q3+91)&lt;&gt;MONTH(Q3+84),MONTH(Q3+91)&amp;"월",""))</f>
        <v/>
      </c>
      <c r="Z5" s="11">
        <f>IF(N(Q3)=0,"",IF(MONTH(Q3+98)&lt;&gt;MONTH(Q3+91),MONTH(Q3+98)&amp;"월",""))</f>
        <v/>
      </c>
      <c r="AA5" s="11">
        <f>IF(N(Q3)=0,"",IF(MONTH(Q3+105)&lt;&gt;MONTH(Q3+98),MONTH(Q3+105)&amp;"월",""))</f>
        <v/>
      </c>
      <c r="AB5" s="11">
        <f>IF(N(Q3)=0,"",IF(MONTH(Q3+112)&lt;&gt;MONTH(Q3+105),MONTH(Q3+112)&amp;"월",""))</f>
        <v/>
      </c>
      <c r="AC5" s="11">
        <f>IF(N(Q3)=0,"",IF(MONTH(Q3+119)&lt;&gt;MONTH(Q3+112),MONTH(Q3+119)&amp;"월",""))</f>
        <v/>
      </c>
      <c r="AD5" s="11">
        <f>IF(N(Q3)=0,"",IF(MONTH(Q3+126)&lt;&gt;MONTH(Q3+119),MONTH(Q3+126)&amp;"월",""))</f>
        <v/>
      </c>
      <c r="AE5" s="11">
        <f>IF(N(Q3)=0,"",IF(MONTH(Q3+133)&lt;&gt;MONTH(Q3+126),MONTH(Q3+133)&amp;"월",""))</f>
        <v/>
      </c>
      <c r="AF5" s="11">
        <f>IF(N(Q3)=0,"",IF(MONTH(Q3+140)&lt;&gt;MONTH(Q3+133),MONTH(Q3+140)&amp;"월",""))</f>
        <v/>
      </c>
      <c r="AG5" s="11">
        <f>IF(N(Q3)=0,"",IF(MONTH(Q3+147)&lt;&gt;MONTH(Q3+140),MONTH(Q3+147)&amp;"월",""))</f>
        <v/>
      </c>
      <c r="AH5" s="11">
        <f>IF(N(Q3)=0,"",IF(MONTH(Q3+154)&lt;&gt;MONTH(Q3+147),MONTH(Q3+154)&amp;"월",""))</f>
        <v/>
      </c>
      <c r="AI5" s="11">
        <f>IF(N(Q3)=0,"",IF(MONTH(Q3+161)&lt;&gt;MONTH(Q3+154),MONTH(Q3+161)&amp;"월",""))</f>
        <v/>
      </c>
      <c r="AJ5" s="11">
        <f>IF(N(Q3)=0,"",IF(MONTH(Q3+168)&lt;&gt;MONTH(Q3+161),MONTH(Q3+168)&amp;"월",""))</f>
        <v/>
      </c>
      <c r="AK5" s="11">
        <f>IF(N(Q3)=0,"",IF(MONTH(Q3+175)&lt;&gt;MONTH(Q3+168),MONTH(Q3+175)&amp;"월",""))</f>
        <v/>
      </c>
      <c r="AL5" s="11">
        <f>IF(N(Q3)=0,"",IF(MONTH(Q3+182)&lt;&gt;MONTH(Q3+175),MONTH(Q3+182)&amp;"월",""))</f>
        <v/>
      </c>
      <c r="AM5" s="11">
        <f>IF(N(Q3)=0,"",IF(MONTH(Q3+189)&lt;&gt;MONTH(Q3+182),MONTH(Q3+189)&amp;"월",""))</f>
        <v/>
      </c>
      <c r="AN5" s="11">
        <f>IF(N(Q3)=0,"",IF(MONTH(Q3+196)&lt;&gt;MONTH(Q3+189),MONTH(Q3+196)&amp;"월",""))</f>
        <v/>
      </c>
      <c r="AO5" s="11">
        <f>IF(N(Q3)=0,"",IF(MONTH(Q3+203)&lt;&gt;MONTH(Q3+196),MONTH(Q3+203)&amp;"월",""))</f>
        <v/>
      </c>
      <c r="AP5" s="11" t="inlineStr">
        <is>
          <t>반영
(%)</t>
        </is>
      </c>
      <c r="AQ5" s="11" t="inlineStr">
        <is>
          <t>차이</t>
        </is>
      </c>
    </row>
    <row r="6" ht="14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12">
        <f>IF(N(Q3)=0,"",INT((DAY(Q3+0)-1)/7)+1&amp;"주")</f>
        <v/>
      </c>
      <c r="M6" s="12">
        <f>IF(N(Q3)=0,"",INT((DAY(Q3+7)-1)/7)+1&amp;"주")</f>
        <v/>
      </c>
      <c r="N6" s="12">
        <f>IF(N(Q3)=0,"",INT((DAY(Q3+14)-1)/7)+1&amp;"주")</f>
        <v/>
      </c>
      <c r="O6" s="12">
        <f>IF(N(Q3)=0,"",INT((DAY(Q3+21)-1)/7)+1&amp;"주")</f>
        <v/>
      </c>
      <c r="P6" s="12">
        <f>IF(N(Q3)=0,"",INT((DAY(Q3+28)-1)/7)+1&amp;"주")</f>
        <v/>
      </c>
      <c r="Q6" s="12">
        <f>IF(N(Q3)=0,"",INT((DAY(Q3+35)-1)/7)+1&amp;"주")</f>
        <v/>
      </c>
      <c r="R6" s="12">
        <f>IF(N(Q3)=0,"",INT((DAY(Q3+42)-1)/7)+1&amp;"주")</f>
        <v/>
      </c>
      <c r="S6" s="12">
        <f>IF(N(Q3)=0,"",INT((DAY(Q3+49)-1)/7)+1&amp;"주")</f>
        <v/>
      </c>
      <c r="T6" s="12">
        <f>IF(N(Q3)=0,"",INT((DAY(Q3+56)-1)/7)+1&amp;"주")</f>
        <v/>
      </c>
      <c r="U6" s="12">
        <f>IF(N(Q3)=0,"",INT((DAY(Q3+63)-1)/7)+1&amp;"주")</f>
        <v/>
      </c>
      <c r="V6" s="12">
        <f>IF(N(Q3)=0,"",INT((DAY(Q3+70)-1)/7)+1&amp;"주")</f>
        <v/>
      </c>
      <c r="W6" s="12">
        <f>IF(N(Q3)=0,"",INT((DAY(Q3+77)-1)/7)+1&amp;"주")</f>
        <v/>
      </c>
      <c r="X6" s="12">
        <f>IF(N(Q3)=0,"",INT((DAY(Q3+84)-1)/7)+1&amp;"주")</f>
        <v/>
      </c>
      <c r="Y6" s="12">
        <f>IF(N(Q3)=0,"",INT((DAY(Q3+91)-1)/7)+1&amp;"주")</f>
        <v/>
      </c>
      <c r="Z6" s="12">
        <f>IF(N(Q3)=0,"",INT((DAY(Q3+98)-1)/7)+1&amp;"주")</f>
        <v/>
      </c>
      <c r="AA6" s="12">
        <f>IF(N(Q3)=0,"",INT((DAY(Q3+105)-1)/7)+1&amp;"주")</f>
        <v/>
      </c>
      <c r="AB6" s="12">
        <f>IF(N(Q3)=0,"",INT((DAY(Q3+112)-1)/7)+1&amp;"주")</f>
        <v/>
      </c>
      <c r="AC6" s="12">
        <f>IF(N(Q3)=0,"",INT((DAY(Q3+119)-1)/7)+1&amp;"주")</f>
        <v/>
      </c>
      <c r="AD6" s="12">
        <f>IF(N(Q3)=0,"",INT((DAY(Q3+126)-1)/7)+1&amp;"주")</f>
        <v/>
      </c>
      <c r="AE6" s="12">
        <f>IF(N(Q3)=0,"",INT((DAY(Q3+133)-1)/7)+1&amp;"주")</f>
        <v/>
      </c>
      <c r="AF6" s="12">
        <f>IF(N(Q3)=0,"",INT((DAY(Q3+140)-1)/7)+1&amp;"주")</f>
        <v/>
      </c>
      <c r="AG6" s="12">
        <f>IF(N(Q3)=0,"",INT((DAY(Q3+147)-1)/7)+1&amp;"주")</f>
        <v/>
      </c>
      <c r="AH6" s="12">
        <f>IF(N(Q3)=0,"",INT((DAY(Q3+154)-1)/7)+1&amp;"주")</f>
        <v/>
      </c>
      <c r="AI6" s="12">
        <f>IF(N(Q3)=0,"",INT((DAY(Q3+161)-1)/7)+1&amp;"주")</f>
        <v/>
      </c>
      <c r="AJ6" s="12">
        <f>IF(N(Q3)=0,"",INT((DAY(Q3+168)-1)/7)+1&amp;"주")</f>
        <v/>
      </c>
      <c r="AK6" s="12">
        <f>IF(N(Q3)=0,"",INT((DAY(Q3+175)-1)/7)+1&amp;"주")</f>
        <v/>
      </c>
      <c r="AL6" s="12">
        <f>IF(N(Q3)=0,"",INT((DAY(Q3+182)-1)/7)+1&amp;"주")</f>
        <v/>
      </c>
      <c r="AM6" s="12">
        <f>IF(N(Q3)=0,"",INT((DAY(Q3+189)-1)/7)+1&amp;"주")</f>
        <v/>
      </c>
      <c r="AN6" s="12">
        <f>IF(N(Q3)=0,"",INT((DAY(Q3+196)-1)/7)+1&amp;"주")</f>
        <v/>
      </c>
      <c r="AO6" s="12">
        <f>IF(N(Q3)=0,"",INT((DAY(Q3+203)-1)/7)+1&amp;"주")</f>
        <v/>
      </c>
      <c r="AP6" s="6" t="n"/>
      <c r="AQ6" s="6" t="n"/>
    </row>
    <row r="7" ht="14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13">
        <f>IF(N(Q3)=0,"",Q3+0)</f>
        <v/>
      </c>
      <c r="M7" s="13">
        <f>IF(N(Q3)=0,"",Q3+7)</f>
        <v/>
      </c>
      <c r="N7" s="13">
        <f>IF(N(Q3)=0,"",Q3+14)</f>
        <v/>
      </c>
      <c r="O7" s="13">
        <f>IF(N(Q3)=0,"",Q3+21)</f>
        <v/>
      </c>
      <c r="P7" s="13">
        <f>IF(N(Q3)=0,"",Q3+28)</f>
        <v/>
      </c>
      <c r="Q7" s="13">
        <f>IF(N(Q3)=0,"",Q3+35)</f>
        <v/>
      </c>
      <c r="R7" s="13">
        <f>IF(N(Q3)=0,"",Q3+42)</f>
        <v/>
      </c>
      <c r="S7" s="13">
        <f>IF(N(Q3)=0,"",Q3+49)</f>
        <v/>
      </c>
      <c r="T7" s="13">
        <f>IF(N(Q3)=0,"",Q3+56)</f>
        <v/>
      </c>
      <c r="U7" s="13">
        <f>IF(N(Q3)=0,"",Q3+63)</f>
        <v/>
      </c>
      <c r="V7" s="13">
        <f>IF(N(Q3)=0,"",Q3+70)</f>
        <v/>
      </c>
      <c r="W7" s="13">
        <f>IF(N(Q3)=0,"",Q3+77)</f>
        <v/>
      </c>
      <c r="X7" s="13">
        <f>IF(N(Q3)=0,"",Q3+84)</f>
        <v/>
      </c>
      <c r="Y7" s="13">
        <f>IF(N(Q3)=0,"",Q3+91)</f>
        <v/>
      </c>
      <c r="Z7" s="13">
        <f>IF(N(Q3)=0,"",Q3+98)</f>
        <v/>
      </c>
      <c r="AA7" s="13">
        <f>IF(N(Q3)=0,"",Q3+105)</f>
        <v/>
      </c>
      <c r="AB7" s="13">
        <f>IF(N(Q3)=0,"",Q3+112)</f>
        <v/>
      </c>
      <c r="AC7" s="13">
        <f>IF(N(Q3)=0,"",Q3+119)</f>
        <v/>
      </c>
      <c r="AD7" s="13">
        <f>IF(N(Q3)=0,"",Q3+126)</f>
        <v/>
      </c>
      <c r="AE7" s="13">
        <f>IF(N(Q3)=0,"",Q3+133)</f>
        <v/>
      </c>
      <c r="AF7" s="13">
        <f>IF(N(Q3)=0,"",Q3+140)</f>
        <v/>
      </c>
      <c r="AG7" s="13">
        <f>IF(N(Q3)=0,"",Q3+147)</f>
        <v/>
      </c>
      <c r="AH7" s="13">
        <f>IF(N(Q3)=0,"",Q3+154)</f>
        <v/>
      </c>
      <c r="AI7" s="13">
        <f>IF(N(Q3)=0,"",Q3+161)</f>
        <v/>
      </c>
      <c r="AJ7" s="13">
        <f>IF(N(Q3)=0,"",Q3+168)</f>
        <v/>
      </c>
      <c r="AK7" s="13">
        <f>IF(N(Q3)=0,"",Q3+175)</f>
        <v/>
      </c>
      <c r="AL7" s="13">
        <f>IF(N(Q3)=0,"",Q3+182)</f>
        <v/>
      </c>
      <c r="AM7" s="13">
        <f>IF(N(Q3)=0,"",Q3+189)</f>
        <v/>
      </c>
      <c r="AN7" s="13">
        <f>IF(N(Q3)=0,"",Q3+196)</f>
        <v/>
      </c>
      <c r="AO7" s="13">
        <f>IF(N(Q3)=0,"",Q3+203)</f>
        <v/>
      </c>
      <c r="AP7" s="6" t="n"/>
      <c r="AQ7" s="6" t="n"/>
    </row>
    <row r="8" ht="11" customHeight="1">
      <c r="A8" s="14" t="inlineStr">
        <is>
          <t>토공사</t>
        </is>
      </c>
      <c r="B8" s="14" t="inlineStr">
        <is>
          <t>토공</t>
        </is>
      </c>
      <c r="C8" s="15" t="inlineStr">
        <is>
          <t>벌개제근</t>
        </is>
      </c>
      <c r="D8" s="16" t="n">
        <v>5100</v>
      </c>
      <c r="E8" s="17">
        <f>IF(OR(N(D8)=0,N($D$48)=0),"",D8/$D$48*100)</f>
        <v/>
      </c>
      <c r="F8" s="18" t="n">
        <v>1</v>
      </c>
      <c r="G8" s="14" t="inlineStr">
        <is>
          <t>식</t>
        </is>
      </c>
      <c r="H8" s="19" t="n">
        <v>46083</v>
      </c>
      <c r="I8" s="19" t="n">
        <v>46094</v>
      </c>
      <c r="J8" s="20">
        <f>IF(OR(N(H8)=0,N(I8)=0),"",I8-H8+1)</f>
        <v/>
      </c>
      <c r="K8" s="21" t="n"/>
      <c r="L8" s="22" t="inlineStr"/>
      <c r="M8" s="22" t="inlineStr"/>
      <c r="N8" s="22" t="inlineStr"/>
      <c r="O8" s="22" t="inlineStr"/>
      <c r="P8" s="22" t="inlineStr"/>
      <c r="Q8" s="22" t="inlineStr"/>
      <c r="R8" s="22" t="inlineStr"/>
      <c r="S8" s="22" t="inlineStr"/>
      <c r="T8" s="22" t="inlineStr"/>
      <c r="U8" s="22" t="inlineStr"/>
      <c r="V8" s="22" t="inlineStr"/>
      <c r="W8" s="22" t="inlineStr"/>
      <c r="X8" s="22" t="inlineStr"/>
      <c r="Y8" s="22" t="inlineStr"/>
      <c r="Z8" s="22" t="inlineStr"/>
      <c r="AA8" s="22" t="inlineStr"/>
      <c r="AB8" s="22" t="inlineStr"/>
      <c r="AC8" s="22" t="inlineStr"/>
      <c r="AD8" s="22" t="inlineStr"/>
      <c r="AE8" s="22" t="inlineStr"/>
      <c r="AF8" s="22" t="inlineStr"/>
      <c r="AG8" s="22" t="inlineStr"/>
      <c r="AH8" s="22" t="inlineStr"/>
      <c r="AI8" s="22" t="inlineStr"/>
      <c r="AJ8" s="22" t="inlineStr"/>
      <c r="AK8" s="22" t="inlineStr"/>
      <c r="AL8" s="22" t="inlineStr"/>
      <c r="AM8" s="22" t="inlineStr"/>
      <c r="AN8" s="22" t="inlineStr"/>
      <c r="AO8" s="22" t="inlineStr"/>
      <c r="AP8" s="23">
        <f>IF(E8="","",SUM(L9:AO9))</f>
        <v/>
      </c>
      <c r="AQ8" s="24">
        <f>IF(E8="","",ROUND(E8-AP8,2))</f>
        <v/>
      </c>
    </row>
    <row r="9" ht="13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25">
        <f>IF(OR(E8="",J8="",N(L$7)=0),"",MAX(0,MIN(I8,L$7+6)-MAX(H8,L$7)+1)/J8*E8)</f>
        <v/>
      </c>
      <c r="M9" s="25">
        <f>IF(OR(E8="",J8="",N(M$7)=0),"",MAX(0,MIN(I8,M$7+6)-MAX(H8,M$7)+1)/J8*E8)</f>
        <v/>
      </c>
      <c r="N9" s="25">
        <f>IF(OR(E8="",J8="",N(N$7)=0),"",MAX(0,MIN(I8,N$7+6)-MAX(H8,N$7)+1)/J8*E8)</f>
        <v/>
      </c>
      <c r="O9" s="25">
        <f>IF(OR(E8="",J8="",N(O$7)=0),"",MAX(0,MIN(I8,O$7+6)-MAX(H8,O$7)+1)/J8*E8)</f>
        <v/>
      </c>
      <c r="P9" s="25">
        <f>IF(OR(E8="",J8="",N(P$7)=0),"",MAX(0,MIN(I8,P$7+6)-MAX(H8,P$7)+1)/J8*E8)</f>
        <v/>
      </c>
      <c r="Q9" s="25">
        <f>IF(OR(E8="",J8="",N(Q$7)=0),"",MAX(0,MIN(I8,Q$7+6)-MAX(H8,Q$7)+1)/J8*E8)</f>
        <v/>
      </c>
      <c r="R9" s="25">
        <f>IF(OR(E8="",J8="",N(R$7)=0),"",MAX(0,MIN(I8,R$7+6)-MAX(H8,R$7)+1)/J8*E8)</f>
        <v/>
      </c>
      <c r="S9" s="25">
        <f>IF(OR(E8="",J8="",N(S$7)=0),"",MAX(0,MIN(I8,S$7+6)-MAX(H8,S$7)+1)/J8*E8)</f>
        <v/>
      </c>
      <c r="T9" s="25">
        <f>IF(OR(E8="",J8="",N(T$7)=0),"",MAX(0,MIN(I8,T$7+6)-MAX(H8,T$7)+1)/J8*E8)</f>
        <v/>
      </c>
      <c r="U9" s="25">
        <f>IF(OR(E8="",J8="",N(U$7)=0),"",MAX(0,MIN(I8,U$7+6)-MAX(H8,U$7)+1)/J8*E8)</f>
        <v/>
      </c>
      <c r="V9" s="25">
        <f>IF(OR(E8="",J8="",N(V$7)=0),"",MAX(0,MIN(I8,V$7+6)-MAX(H8,V$7)+1)/J8*E8)</f>
        <v/>
      </c>
      <c r="W9" s="25">
        <f>IF(OR(E8="",J8="",N(W$7)=0),"",MAX(0,MIN(I8,W$7+6)-MAX(H8,W$7)+1)/J8*E8)</f>
        <v/>
      </c>
      <c r="X9" s="25">
        <f>IF(OR(E8="",J8="",N(X$7)=0),"",MAX(0,MIN(I8,X$7+6)-MAX(H8,X$7)+1)/J8*E8)</f>
        <v/>
      </c>
      <c r="Y9" s="25">
        <f>IF(OR(E8="",J8="",N(Y$7)=0),"",MAX(0,MIN(I8,Y$7+6)-MAX(H8,Y$7)+1)/J8*E8)</f>
        <v/>
      </c>
      <c r="Z9" s="25">
        <f>IF(OR(E8="",J8="",N(Z$7)=0),"",MAX(0,MIN(I8,Z$7+6)-MAX(H8,Z$7)+1)/J8*E8)</f>
        <v/>
      </c>
      <c r="AA9" s="25">
        <f>IF(OR(E8="",J8="",N(AA$7)=0),"",MAX(0,MIN(I8,AA$7+6)-MAX(H8,AA$7)+1)/J8*E8)</f>
        <v/>
      </c>
      <c r="AB9" s="25">
        <f>IF(OR(E8="",J8="",N(AB$7)=0),"",MAX(0,MIN(I8,AB$7+6)-MAX(H8,AB$7)+1)/J8*E8)</f>
        <v/>
      </c>
      <c r="AC9" s="25">
        <f>IF(OR(E8="",J8="",N(AC$7)=0),"",MAX(0,MIN(I8,AC$7+6)-MAX(H8,AC$7)+1)/J8*E8)</f>
        <v/>
      </c>
      <c r="AD9" s="25">
        <f>IF(OR(E8="",J8="",N(AD$7)=0),"",MAX(0,MIN(I8,AD$7+6)-MAX(H8,AD$7)+1)/J8*E8)</f>
        <v/>
      </c>
      <c r="AE9" s="25">
        <f>IF(OR(E8="",J8="",N(AE$7)=0),"",MAX(0,MIN(I8,AE$7+6)-MAX(H8,AE$7)+1)/J8*E8)</f>
        <v/>
      </c>
      <c r="AF9" s="25">
        <f>IF(OR(E8="",J8="",N(AF$7)=0),"",MAX(0,MIN(I8,AF$7+6)-MAX(H8,AF$7)+1)/J8*E8)</f>
        <v/>
      </c>
      <c r="AG9" s="25">
        <f>IF(OR(E8="",J8="",N(AG$7)=0),"",MAX(0,MIN(I8,AG$7+6)-MAX(H8,AG$7)+1)/J8*E8)</f>
        <v/>
      </c>
      <c r="AH9" s="25">
        <f>IF(OR(E8="",J8="",N(AH$7)=0),"",MAX(0,MIN(I8,AH$7+6)-MAX(H8,AH$7)+1)/J8*E8)</f>
        <v/>
      </c>
      <c r="AI9" s="25">
        <f>IF(OR(E8="",J8="",N(AI$7)=0),"",MAX(0,MIN(I8,AI$7+6)-MAX(H8,AI$7)+1)/J8*E8)</f>
        <v/>
      </c>
      <c r="AJ9" s="25">
        <f>IF(OR(E8="",J8="",N(AJ$7)=0),"",MAX(0,MIN(I8,AJ$7+6)-MAX(H8,AJ$7)+1)/J8*E8)</f>
        <v/>
      </c>
      <c r="AK9" s="25">
        <f>IF(OR(E8="",J8="",N(AK$7)=0),"",MAX(0,MIN(I8,AK$7+6)-MAX(H8,AK$7)+1)/J8*E8)</f>
        <v/>
      </c>
      <c r="AL9" s="25">
        <f>IF(OR(E8="",J8="",N(AL$7)=0),"",MAX(0,MIN(I8,AL$7+6)-MAX(H8,AL$7)+1)/J8*E8)</f>
        <v/>
      </c>
      <c r="AM9" s="25">
        <f>IF(OR(E8="",J8="",N(AM$7)=0),"",MAX(0,MIN(I8,AM$7+6)-MAX(H8,AM$7)+1)/J8*E8)</f>
        <v/>
      </c>
      <c r="AN9" s="25">
        <f>IF(OR(E8="",J8="",N(AN$7)=0),"",MAX(0,MIN(I8,AN$7+6)-MAX(H8,AN$7)+1)/J8*E8)</f>
        <v/>
      </c>
      <c r="AO9" s="25">
        <f>IF(OR(E8="",J8="",N(AO$7)=0),"",MAX(0,MIN(I8,AO$7+6)-MAX(H8,AO$7)+1)/J8*E8)</f>
        <v/>
      </c>
      <c r="AP9" s="6" t="n"/>
      <c r="AQ9" s="6" t="n"/>
    </row>
    <row r="10" ht="11" customHeight="1">
      <c r="A10" s="14" t="n"/>
      <c r="B10" s="14" t="inlineStr">
        <is>
          <t>토공</t>
        </is>
      </c>
      <c r="C10" s="15" t="inlineStr">
        <is>
          <t>터파기</t>
        </is>
      </c>
      <c r="D10" s="16" t="n">
        <v>55400</v>
      </c>
      <c r="E10" s="17">
        <f>IF(OR(N(D10)=0,N($D$48)=0),"",D10/$D$48*100)</f>
        <v/>
      </c>
      <c r="F10" s="18" t="n">
        <v>3200</v>
      </c>
      <c r="G10" s="14" t="inlineStr">
        <is>
          <t>㎥</t>
        </is>
      </c>
      <c r="H10" s="19" t="n">
        <v>46090</v>
      </c>
      <c r="I10" s="19" t="n">
        <v>46136</v>
      </c>
      <c r="J10" s="20">
        <f>IF(OR(N(H10)=0,N(I10)=0),"",I10-H10+1)</f>
        <v/>
      </c>
      <c r="K10" s="21" t="n"/>
      <c r="L10" s="22" t="inlineStr"/>
      <c r="M10" s="22" t="inlineStr"/>
      <c r="N10" s="22" t="inlineStr"/>
      <c r="O10" s="22" t="inlineStr"/>
      <c r="P10" s="22" t="inlineStr"/>
      <c r="Q10" s="22" t="inlineStr"/>
      <c r="R10" s="22" t="inlineStr"/>
      <c r="S10" s="22" t="inlineStr"/>
      <c r="T10" s="22" t="inlineStr"/>
      <c r="U10" s="22" t="inlineStr"/>
      <c r="V10" s="22" t="inlineStr"/>
      <c r="W10" s="22" t="inlineStr"/>
      <c r="X10" s="22" t="inlineStr"/>
      <c r="Y10" s="22" t="inlineStr"/>
      <c r="Z10" s="22" t="inlineStr"/>
      <c r="AA10" s="22" t="inlineStr"/>
      <c r="AB10" s="22" t="inlineStr"/>
      <c r="AC10" s="22" t="inlineStr"/>
      <c r="AD10" s="22" t="inlineStr"/>
      <c r="AE10" s="22" t="inlineStr"/>
      <c r="AF10" s="22" t="inlineStr"/>
      <c r="AG10" s="22" t="inlineStr"/>
      <c r="AH10" s="22" t="inlineStr"/>
      <c r="AI10" s="22" t="inlineStr"/>
      <c r="AJ10" s="22" t="inlineStr"/>
      <c r="AK10" s="22" t="inlineStr"/>
      <c r="AL10" s="22" t="inlineStr"/>
      <c r="AM10" s="22" t="inlineStr"/>
      <c r="AN10" s="22" t="inlineStr"/>
      <c r="AO10" s="22" t="inlineStr"/>
      <c r="AP10" s="23">
        <f>IF(E10="","",SUM(L11:AO11))</f>
        <v/>
      </c>
      <c r="AQ10" s="24">
        <f>IF(E10="","",ROUND(E10-AP10,2))</f>
        <v/>
      </c>
    </row>
    <row r="11" ht="13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25">
        <f>IF(OR(E10="",J10="",N(L$7)=0),"",MAX(0,MIN(I10,L$7+6)-MAX(H10,L$7)+1)/J10*E10)</f>
        <v/>
      </c>
      <c r="M11" s="25">
        <f>IF(OR(E10="",J10="",N(M$7)=0),"",MAX(0,MIN(I10,M$7+6)-MAX(H10,M$7)+1)/J10*E10)</f>
        <v/>
      </c>
      <c r="N11" s="25">
        <f>IF(OR(E10="",J10="",N(N$7)=0),"",MAX(0,MIN(I10,N$7+6)-MAX(H10,N$7)+1)/J10*E10)</f>
        <v/>
      </c>
      <c r="O11" s="25">
        <f>IF(OR(E10="",J10="",N(O$7)=0),"",MAX(0,MIN(I10,O$7+6)-MAX(H10,O$7)+1)/J10*E10)</f>
        <v/>
      </c>
      <c r="P11" s="25">
        <f>IF(OR(E10="",J10="",N(P$7)=0),"",MAX(0,MIN(I10,P$7+6)-MAX(H10,P$7)+1)/J10*E10)</f>
        <v/>
      </c>
      <c r="Q11" s="25">
        <f>IF(OR(E10="",J10="",N(Q$7)=0),"",MAX(0,MIN(I10,Q$7+6)-MAX(H10,Q$7)+1)/J10*E10)</f>
        <v/>
      </c>
      <c r="R11" s="25">
        <f>IF(OR(E10="",J10="",N(R$7)=0),"",MAX(0,MIN(I10,R$7+6)-MAX(H10,R$7)+1)/J10*E10)</f>
        <v/>
      </c>
      <c r="S11" s="25">
        <f>IF(OR(E10="",J10="",N(S$7)=0),"",MAX(0,MIN(I10,S$7+6)-MAX(H10,S$7)+1)/J10*E10)</f>
        <v/>
      </c>
      <c r="T11" s="25">
        <f>IF(OR(E10="",J10="",N(T$7)=0),"",MAX(0,MIN(I10,T$7+6)-MAX(H10,T$7)+1)/J10*E10)</f>
        <v/>
      </c>
      <c r="U11" s="25">
        <f>IF(OR(E10="",J10="",N(U$7)=0),"",MAX(0,MIN(I10,U$7+6)-MAX(H10,U$7)+1)/J10*E10)</f>
        <v/>
      </c>
      <c r="V11" s="25">
        <f>IF(OR(E10="",J10="",N(V$7)=0),"",MAX(0,MIN(I10,V$7+6)-MAX(H10,V$7)+1)/J10*E10)</f>
        <v/>
      </c>
      <c r="W11" s="25">
        <f>IF(OR(E10="",J10="",N(W$7)=0),"",MAX(0,MIN(I10,W$7+6)-MAX(H10,W$7)+1)/J10*E10)</f>
        <v/>
      </c>
      <c r="X11" s="25">
        <f>IF(OR(E10="",J10="",N(X$7)=0),"",MAX(0,MIN(I10,X$7+6)-MAX(H10,X$7)+1)/J10*E10)</f>
        <v/>
      </c>
      <c r="Y11" s="25">
        <f>IF(OR(E10="",J10="",N(Y$7)=0),"",MAX(0,MIN(I10,Y$7+6)-MAX(H10,Y$7)+1)/J10*E10)</f>
        <v/>
      </c>
      <c r="Z11" s="25">
        <f>IF(OR(E10="",J10="",N(Z$7)=0),"",MAX(0,MIN(I10,Z$7+6)-MAX(H10,Z$7)+1)/J10*E10)</f>
        <v/>
      </c>
      <c r="AA11" s="25">
        <f>IF(OR(E10="",J10="",N(AA$7)=0),"",MAX(0,MIN(I10,AA$7+6)-MAX(H10,AA$7)+1)/J10*E10)</f>
        <v/>
      </c>
      <c r="AB11" s="25">
        <f>IF(OR(E10="",J10="",N(AB$7)=0),"",MAX(0,MIN(I10,AB$7+6)-MAX(H10,AB$7)+1)/J10*E10)</f>
        <v/>
      </c>
      <c r="AC11" s="25">
        <f>IF(OR(E10="",J10="",N(AC$7)=0),"",MAX(0,MIN(I10,AC$7+6)-MAX(H10,AC$7)+1)/J10*E10)</f>
        <v/>
      </c>
      <c r="AD11" s="25">
        <f>IF(OR(E10="",J10="",N(AD$7)=0),"",MAX(0,MIN(I10,AD$7+6)-MAX(H10,AD$7)+1)/J10*E10)</f>
        <v/>
      </c>
      <c r="AE11" s="25">
        <f>IF(OR(E10="",J10="",N(AE$7)=0),"",MAX(0,MIN(I10,AE$7+6)-MAX(H10,AE$7)+1)/J10*E10)</f>
        <v/>
      </c>
      <c r="AF11" s="25">
        <f>IF(OR(E10="",J10="",N(AF$7)=0),"",MAX(0,MIN(I10,AF$7+6)-MAX(H10,AF$7)+1)/J10*E10)</f>
        <v/>
      </c>
      <c r="AG11" s="25">
        <f>IF(OR(E10="",J10="",N(AG$7)=0),"",MAX(0,MIN(I10,AG$7+6)-MAX(H10,AG$7)+1)/J10*E10)</f>
        <v/>
      </c>
      <c r="AH11" s="25">
        <f>IF(OR(E10="",J10="",N(AH$7)=0),"",MAX(0,MIN(I10,AH$7+6)-MAX(H10,AH$7)+1)/J10*E10)</f>
        <v/>
      </c>
      <c r="AI11" s="25">
        <f>IF(OR(E10="",J10="",N(AI$7)=0),"",MAX(0,MIN(I10,AI$7+6)-MAX(H10,AI$7)+1)/J10*E10)</f>
        <v/>
      </c>
      <c r="AJ11" s="25">
        <f>IF(OR(E10="",J10="",N(AJ$7)=0),"",MAX(0,MIN(I10,AJ$7+6)-MAX(H10,AJ$7)+1)/J10*E10)</f>
        <v/>
      </c>
      <c r="AK11" s="25">
        <f>IF(OR(E10="",J10="",N(AK$7)=0),"",MAX(0,MIN(I10,AK$7+6)-MAX(H10,AK$7)+1)/J10*E10)</f>
        <v/>
      </c>
      <c r="AL11" s="25">
        <f>IF(OR(E10="",J10="",N(AL$7)=0),"",MAX(0,MIN(I10,AL$7+6)-MAX(H10,AL$7)+1)/J10*E10)</f>
        <v/>
      </c>
      <c r="AM11" s="25">
        <f>IF(OR(E10="",J10="",N(AM$7)=0),"",MAX(0,MIN(I10,AM$7+6)-MAX(H10,AM$7)+1)/J10*E10)</f>
        <v/>
      </c>
      <c r="AN11" s="25">
        <f>IF(OR(E10="",J10="",N(AN$7)=0),"",MAX(0,MIN(I10,AN$7+6)-MAX(H10,AN$7)+1)/J10*E10)</f>
        <v/>
      </c>
      <c r="AO11" s="25">
        <f>IF(OR(E10="",J10="",N(AO$7)=0),"",MAX(0,MIN(I10,AO$7+6)-MAX(H10,AO$7)+1)/J10*E10)</f>
        <v/>
      </c>
      <c r="AP11" s="6" t="n"/>
      <c r="AQ11" s="6" t="n"/>
    </row>
    <row r="12" ht="11" customHeight="1">
      <c r="A12" s="14" t="n"/>
      <c r="B12" s="14" t="inlineStr">
        <is>
          <t>토공</t>
        </is>
      </c>
      <c r="C12" s="15" t="inlineStr">
        <is>
          <t>되메우기</t>
        </is>
      </c>
      <c r="D12" s="16" t="n">
        <v>18300</v>
      </c>
      <c r="E12" s="17">
        <f>IF(OR(N(D12)=0,N($D$48)=0),"",D12/$D$48*100)</f>
        <v/>
      </c>
      <c r="F12" s="18" t="n">
        <v>2100</v>
      </c>
      <c r="G12" s="14" t="inlineStr">
        <is>
          <t>㎥</t>
        </is>
      </c>
      <c r="H12" s="19" t="n">
        <v>46118</v>
      </c>
      <c r="I12" s="19" t="n">
        <v>46171</v>
      </c>
      <c r="J12" s="20">
        <f>IF(OR(N(H12)=0,N(I12)=0),"",I12-H12+1)</f>
        <v/>
      </c>
      <c r="K12" s="21" t="n"/>
      <c r="L12" s="22" t="inlineStr"/>
      <c r="M12" s="22" t="inlineStr"/>
      <c r="N12" s="22" t="inlineStr"/>
      <c r="O12" s="22" t="inlineStr"/>
      <c r="P12" s="22" t="inlineStr"/>
      <c r="Q12" s="22" t="inlineStr"/>
      <c r="R12" s="22" t="inlineStr"/>
      <c r="S12" s="22" t="inlineStr"/>
      <c r="T12" s="22" t="inlineStr"/>
      <c r="U12" s="22" t="inlineStr"/>
      <c r="V12" s="22" t="inlineStr"/>
      <c r="W12" s="22" t="inlineStr"/>
      <c r="X12" s="22" t="inlineStr"/>
      <c r="Y12" s="22" t="inlineStr"/>
      <c r="Z12" s="22" t="inlineStr"/>
      <c r="AA12" s="22" t="inlineStr"/>
      <c r="AB12" s="22" t="inlineStr"/>
      <c r="AC12" s="22" t="inlineStr"/>
      <c r="AD12" s="22" t="inlineStr"/>
      <c r="AE12" s="22" t="inlineStr"/>
      <c r="AF12" s="22" t="inlineStr"/>
      <c r="AG12" s="22" t="inlineStr"/>
      <c r="AH12" s="22" t="inlineStr"/>
      <c r="AI12" s="22" t="inlineStr"/>
      <c r="AJ12" s="22" t="inlineStr"/>
      <c r="AK12" s="22" t="inlineStr"/>
      <c r="AL12" s="22" t="inlineStr"/>
      <c r="AM12" s="22" t="inlineStr"/>
      <c r="AN12" s="22" t="inlineStr"/>
      <c r="AO12" s="22" t="inlineStr"/>
      <c r="AP12" s="23">
        <f>IF(E12="","",SUM(L13:AO13))</f>
        <v/>
      </c>
      <c r="AQ12" s="24">
        <f>IF(E12="","",ROUND(E12-AP12,2))</f>
        <v/>
      </c>
    </row>
    <row r="13" ht="13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25">
        <f>IF(OR(E12="",J12="",N(L$7)=0),"",MAX(0,MIN(I12,L$7+6)-MAX(H12,L$7)+1)/J12*E12)</f>
        <v/>
      </c>
      <c r="M13" s="25">
        <f>IF(OR(E12="",J12="",N(M$7)=0),"",MAX(0,MIN(I12,M$7+6)-MAX(H12,M$7)+1)/J12*E12)</f>
        <v/>
      </c>
      <c r="N13" s="25">
        <f>IF(OR(E12="",J12="",N(N$7)=0),"",MAX(0,MIN(I12,N$7+6)-MAX(H12,N$7)+1)/J12*E12)</f>
        <v/>
      </c>
      <c r="O13" s="25">
        <f>IF(OR(E12="",J12="",N(O$7)=0),"",MAX(0,MIN(I12,O$7+6)-MAX(H12,O$7)+1)/J12*E12)</f>
        <v/>
      </c>
      <c r="P13" s="25">
        <f>IF(OR(E12="",J12="",N(P$7)=0),"",MAX(0,MIN(I12,P$7+6)-MAX(H12,P$7)+1)/J12*E12)</f>
        <v/>
      </c>
      <c r="Q13" s="25">
        <f>IF(OR(E12="",J12="",N(Q$7)=0),"",MAX(0,MIN(I12,Q$7+6)-MAX(H12,Q$7)+1)/J12*E12)</f>
        <v/>
      </c>
      <c r="R13" s="25">
        <f>IF(OR(E12="",J12="",N(R$7)=0),"",MAX(0,MIN(I12,R$7+6)-MAX(H12,R$7)+1)/J12*E12)</f>
        <v/>
      </c>
      <c r="S13" s="25">
        <f>IF(OR(E12="",J12="",N(S$7)=0),"",MAX(0,MIN(I12,S$7+6)-MAX(H12,S$7)+1)/J12*E12)</f>
        <v/>
      </c>
      <c r="T13" s="25">
        <f>IF(OR(E12="",J12="",N(T$7)=0),"",MAX(0,MIN(I12,T$7+6)-MAX(H12,T$7)+1)/J12*E12)</f>
        <v/>
      </c>
      <c r="U13" s="25">
        <f>IF(OR(E12="",J12="",N(U$7)=0),"",MAX(0,MIN(I12,U$7+6)-MAX(H12,U$7)+1)/J12*E12)</f>
        <v/>
      </c>
      <c r="V13" s="25">
        <f>IF(OR(E12="",J12="",N(V$7)=0),"",MAX(0,MIN(I12,V$7+6)-MAX(H12,V$7)+1)/J12*E12)</f>
        <v/>
      </c>
      <c r="W13" s="25">
        <f>IF(OR(E12="",J12="",N(W$7)=0),"",MAX(0,MIN(I12,W$7+6)-MAX(H12,W$7)+1)/J12*E12)</f>
        <v/>
      </c>
      <c r="X13" s="25">
        <f>IF(OR(E12="",J12="",N(X$7)=0),"",MAX(0,MIN(I12,X$7+6)-MAX(H12,X$7)+1)/J12*E12)</f>
        <v/>
      </c>
      <c r="Y13" s="25">
        <f>IF(OR(E12="",J12="",N(Y$7)=0),"",MAX(0,MIN(I12,Y$7+6)-MAX(H12,Y$7)+1)/J12*E12)</f>
        <v/>
      </c>
      <c r="Z13" s="25">
        <f>IF(OR(E12="",J12="",N(Z$7)=0),"",MAX(0,MIN(I12,Z$7+6)-MAX(H12,Z$7)+1)/J12*E12)</f>
        <v/>
      </c>
      <c r="AA13" s="25">
        <f>IF(OR(E12="",J12="",N(AA$7)=0),"",MAX(0,MIN(I12,AA$7+6)-MAX(H12,AA$7)+1)/J12*E12)</f>
        <v/>
      </c>
      <c r="AB13" s="25">
        <f>IF(OR(E12="",J12="",N(AB$7)=0),"",MAX(0,MIN(I12,AB$7+6)-MAX(H12,AB$7)+1)/J12*E12)</f>
        <v/>
      </c>
      <c r="AC13" s="25">
        <f>IF(OR(E12="",J12="",N(AC$7)=0),"",MAX(0,MIN(I12,AC$7+6)-MAX(H12,AC$7)+1)/J12*E12)</f>
        <v/>
      </c>
      <c r="AD13" s="25">
        <f>IF(OR(E12="",J12="",N(AD$7)=0),"",MAX(0,MIN(I12,AD$7+6)-MAX(H12,AD$7)+1)/J12*E12)</f>
        <v/>
      </c>
      <c r="AE13" s="25">
        <f>IF(OR(E12="",J12="",N(AE$7)=0),"",MAX(0,MIN(I12,AE$7+6)-MAX(H12,AE$7)+1)/J12*E12)</f>
        <v/>
      </c>
      <c r="AF13" s="25">
        <f>IF(OR(E12="",J12="",N(AF$7)=0),"",MAX(0,MIN(I12,AF$7+6)-MAX(H12,AF$7)+1)/J12*E12)</f>
        <v/>
      </c>
      <c r="AG13" s="25">
        <f>IF(OR(E12="",J12="",N(AG$7)=0),"",MAX(0,MIN(I12,AG$7+6)-MAX(H12,AG$7)+1)/J12*E12)</f>
        <v/>
      </c>
      <c r="AH13" s="25">
        <f>IF(OR(E12="",J12="",N(AH$7)=0),"",MAX(0,MIN(I12,AH$7+6)-MAX(H12,AH$7)+1)/J12*E12)</f>
        <v/>
      </c>
      <c r="AI13" s="25">
        <f>IF(OR(E12="",J12="",N(AI$7)=0),"",MAX(0,MIN(I12,AI$7+6)-MAX(H12,AI$7)+1)/J12*E12)</f>
        <v/>
      </c>
      <c r="AJ13" s="25">
        <f>IF(OR(E12="",J12="",N(AJ$7)=0),"",MAX(0,MIN(I12,AJ$7+6)-MAX(H12,AJ$7)+1)/J12*E12)</f>
        <v/>
      </c>
      <c r="AK13" s="25">
        <f>IF(OR(E12="",J12="",N(AK$7)=0),"",MAX(0,MIN(I12,AK$7+6)-MAX(H12,AK$7)+1)/J12*E12)</f>
        <v/>
      </c>
      <c r="AL13" s="25">
        <f>IF(OR(E12="",J12="",N(AL$7)=0),"",MAX(0,MIN(I12,AL$7+6)-MAX(H12,AL$7)+1)/J12*E12)</f>
        <v/>
      </c>
      <c r="AM13" s="25">
        <f>IF(OR(E12="",J12="",N(AM$7)=0),"",MAX(0,MIN(I12,AM$7+6)-MAX(H12,AM$7)+1)/J12*E12)</f>
        <v/>
      </c>
      <c r="AN13" s="25">
        <f>IF(OR(E12="",J12="",N(AN$7)=0),"",MAX(0,MIN(I12,AN$7+6)-MAX(H12,AN$7)+1)/J12*E12)</f>
        <v/>
      </c>
      <c r="AO13" s="25">
        <f>IF(OR(E12="",J12="",N(AO$7)=0),"",MAX(0,MIN(I12,AO$7+6)-MAX(H12,AO$7)+1)/J12*E12)</f>
        <v/>
      </c>
      <c r="AP13" s="6" t="n"/>
      <c r="AQ13" s="6" t="n"/>
    </row>
    <row r="14" ht="11" customHeight="1">
      <c r="A14" s="14" t="n"/>
      <c r="B14" s="14" t="inlineStr">
        <is>
          <t>토공</t>
        </is>
      </c>
      <c r="C14" s="15" t="inlineStr">
        <is>
          <t>사토</t>
        </is>
      </c>
      <c r="D14" s="16" t="n">
        <v>42700</v>
      </c>
      <c r="E14" s="17">
        <f>IF(OR(N(D14)=0,N($D$48)=0),"",D14/$D$48*100)</f>
        <v/>
      </c>
      <c r="F14" s="18" t="n">
        <v>1100</v>
      </c>
      <c r="G14" s="14" t="inlineStr">
        <is>
          <t>㎥</t>
        </is>
      </c>
      <c r="H14" s="19" t="n">
        <v>46097</v>
      </c>
      <c r="I14" s="19" t="n">
        <v>46150</v>
      </c>
      <c r="J14" s="20">
        <f>IF(OR(N(H14)=0,N(I14)=0),"",I14-H14+1)</f>
        <v/>
      </c>
      <c r="K14" s="21" t="inlineStr">
        <is>
          <t>운반거리 12km</t>
        </is>
      </c>
      <c r="L14" s="22" t="inlineStr"/>
      <c r="M14" s="22" t="inlineStr"/>
      <c r="N14" s="22" t="inlineStr"/>
      <c r="O14" s="22" t="inlineStr"/>
      <c r="P14" s="22" t="inlineStr"/>
      <c r="Q14" s="22" t="inlineStr"/>
      <c r="R14" s="22" t="inlineStr"/>
      <c r="S14" s="22" t="inlineStr"/>
      <c r="T14" s="22" t="inlineStr"/>
      <c r="U14" s="22" t="inlineStr"/>
      <c r="V14" s="22" t="inlineStr"/>
      <c r="W14" s="22" t="inlineStr"/>
      <c r="X14" s="22" t="inlineStr"/>
      <c r="Y14" s="22" t="inlineStr"/>
      <c r="Z14" s="22" t="inlineStr"/>
      <c r="AA14" s="22" t="inlineStr"/>
      <c r="AB14" s="22" t="inlineStr"/>
      <c r="AC14" s="22" t="inlineStr"/>
      <c r="AD14" s="22" t="inlineStr"/>
      <c r="AE14" s="22" t="inlineStr"/>
      <c r="AF14" s="22" t="inlineStr"/>
      <c r="AG14" s="22" t="inlineStr"/>
      <c r="AH14" s="22" t="inlineStr"/>
      <c r="AI14" s="22" t="inlineStr"/>
      <c r="AJ14" s="22" t="inlineStr"/>
      <c r="AK14" s="22" t="inlineStr"/>
      <c r="AL14" s="22" t="inlineStr"/>
      <c r="AM14" s="22" t="inlineStr"/>
      <c r="AN14" s="22" t="inlineStr"/>
      <c r="AO14" s="22" t="inlineStr"/>
      <c r="AP14" s="23">
        <f>IF(E14="","",SUM(L15:AO15))</f>
        <v/>
      </c>
      <c r="AQ14" s="24">
        <f>IF(E14="","",ROUND(E14-AP14,2))</f>
        <v/>
      </c>
    </row>
    <row r="15" ht="13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25">
        <f>IF(OR(E14="",J14="",N(L$7)=0),"",MAX(0,MIN(I14,L$7+6)-MAX(H14,L$7)+1)/J14*E14)</f>
        <v/>
      </c>
      <c r="M15" s="25">
        <f>IF(OR(E14="",J14="",N(M$7)=0),"",MAX(0,MIN(I14,M$7+6)-MAX(H14,M$7)+1)/J14*E14)</f>
        <v/>
      </c>
      <c r="N15" s="25">
        <f>IF(OR(E14="",J14="",N(N$7)=0),"",MAX(0,MIN(I14,N$7+6)-MAX(H14,N$7)+1)/J14*E14)</f>
        <v/>
      </c>
      <c r="O15" s="25">
        <f>IF(OR(E14="",J14="",N(O$7)=0),"",MAX(0,MIN(I14,O$7+6)-MAX(H14,O$7)+1)/J14*E14)</f>
        <v/>
      </c>
      <c r="P15" s="25">
        <f>IF(OR(E14="",J14="",N(P$7)=0),"",MAX(0,MIN(I14,P$7+6)-MAX(H14,P$7)+1)/J14*E14)</f>
        <v/>
      </c>
      <c r="Q15" s="25">
        <f>IF(OR(E14="",J14="",N(Q$7)=0),"",MAX(0,MIN(I14,Q$7+6)-MAX(H14,Q$7)+1)/J14*E14)</f>
        <v/>
      </c>
      <c r="R15" s="25">
        <f>IF(OR(E14="",J14="",N(R$7)=0),"",MAX(0,MIN(I14,R$7+6)-MAX(H14,R$7)+1)/J14*E14)</f>
        <v/>
      </c>
      <c r="S15" s="25">
        <f>IF(OR(E14="",J14="",N(S$7)=0),"",MAX(0,MIN(I14,S$7+6)-MAX(H14,S$7)+1)/J14*E14)</f>
        <v/>
      </c>
      <c r="T15" s="25">
        <f>IF(OR(E14="",J14="",N(T$7)=0),"",MAX(0,MIN(I14,T$7+6)-MAX(H14,T$7)+1)/J14*E14)</f>
        <v/>
      </c>
      <c r="U15" s="25">
        <f>IF(OR(E14="",J14="",N(U$7)=0),"",MAX(0,MIN(I14,U$7+6)-MAX(H14,U$7)+1)/J14*E14)</f>
        <v/>
      </c>
      <c r="V15" s="25">
        <f>IF(OR(E14="",J14="",N(V$7)=0),"",MAX(0,MIN(I14,V$7+6)-MAX(H14,V$7)+1)/J14*E14)</f>
        <v/>
      </c>
      <c r="W15" s="25">
        <f>IF(OR(E14="",J14="",N(W$7)=0),"",MAX(0,MIN(I14,W$7+6)-MAX(H14,W$7)+1)/J14*E14)</f>
        <v/>
      </c>
      <c r="X15" s="25">
        <f>IF(OR(E14="",J14="",N(X$7)=0),"",MAX(0,MIN(I14,X$7+6)-MAX(H14,X$7)+1)/J14*E14)</f>
        <v/>
      </c>
      <c r="Y15" s="25">
        <f>IF(OR(E14="",J14="",N(Y$7)=0),"",MAX(0,MIN(I14,Y$7+6)-MAX(H14,Y$7)+1)/J14*E14)</f>
        <v/>
      </c>
      <c r="Z15" s="25">
        <f>IF(OR(E14="",J14="",N(Z$7)=0),"",MAX(0,MIN(I14,Z$7+6)-MAX(H14,Z$7)+1)/J14*E14)</f>
        <v/>
      </c>
      <c r="AA15" s="25">
        <f>IF(OR(E14="",J14="",N(AA$7)=0),"",MAX(0,MIN(I14,AA$7+6)-MAX(H14,AA$7)+1)/J14*E14)</f>
        <v/>
      </c>
      <c r="AB15" s="25">
        <f>IF(OR(E14="",J14="",N(AB$7)=0),"",MAX(0,MIN(I14,AB$7+6)-MAX(H14,AB$7)+1)/J14*E14)</f>
        <v/>
      </c>
      <c r="AC15" s="25">
        <f>IF(OR(E14="",J14="",N(AC$7)=0),"",MAX(0,MIN(I14,AC$7+6)-MAX(H14,AC$7)+1)/J14*E14)</f>
        <v/>
      </c>
      <c r="AD15" s="25">
        <f>IF(OR(E14="",J14="",N(AD$7)=0),"",MAX(0,MIN(I14,AD$7+6)-MAX(H14,AD$7)+1)/J14*E14)</f>
        <v/>
      </c>
      <c r="AE15" s="25">
        <f>IF(OR(E14="",J14="",N(AE$7)=0),"",MAX(0,MIN(I14,AE$7+6)-MAX(H14,AE$7)+1)/J14*E14)</f>
        <v/>
      </c>
      <c r="AF15" s="25">
        <f>IF(OR(E14="",J14="",N(AF$7)=0),"",MAX(0,MIN(I14,AF$7+6)-MAX(H14,AF$7)+1)/J14*E14)</f>
        <v/>
      </c>
      <c r="AG15" s="25">
        <f>IF(OR(E14="",J14="",N(AG$7)=0),"",MAX(0,MIN(I14,AG$7+6)-MAX(H14,AG$7)+1)/J14*E14)</f>
        <v/>
      </c>
      <c r="AH15" s="25">
        <f>IF(OR(E14="",J14="",N(AH$7)=0),"",MAX(0,MIN(I14,AH$7+6)-MAX(H14,AH$7)+1)/J14*E14)</f>
        <v/>
      </c>
      <c r="AI15" s="25">
        <f>IF(OR(E14="",J14="",N(AI$7)=0),"",MAX(0,MIN(I14,AI$7+6)-MAX(H14,AI$7)+1)/J14*E14)</f>
        <v/>
      </c>
      <c r="AJ15" s="25">
        <f>IF(OR(E14="",J14="",N(AJ$7)=0),"",MAX(0,MIN(I14,AJ$7+6)-MAX(H14,AJ$7)+1)/J14*E14)</f>
        <v/>
      </c>
      <c r="AK15" s="25">
        <f>IF(OR(E14="",J14="",N(AK$7)=0),"",MAX(0,MIN(I14,AK$7+6)-MAX(H14,AK$7)+1)/J14*E14)</f>
        <v/>
      </c>
      <c r="AL15" s="25">
        <f>IF(OR(E14="",J14="",N(AL$7)=0),"",MAX(0,MIN(I14,AL$7+6)-MAX(H14,AL$7)+1)/J14*E14)</f>
        <v/>
      </c>
      <c r="AM15" s="25">
        <f>IF(OR(E14="",J14="",N(AM$7)=0),"",MAX(0,MIN(I14,AM$7+6)-MAX(H14,AM$7)+1)/J14*E14)</f>
        <v/>
      </c>
      <c r="AN15" s="25">
        <f>IF(OR(E14="",J14="",N(AN$7)=0),"",MAX(0,MIN(I14,AN$7+6)-MAX(H14,AN$7)+1)/J14*E14)</f>
        <v/>
      </c>
      <c r="AO15" s="25">
        <f>IF(OR(E14="",J14="",N(AO$7)=0),"",MAX(0,MIN(I14,AO$7+6)-MAX(H14,AO$7)+1)/J14*E14)</f>
        <v/>
      </c>
      <c r="AP15" s="6" t="n"/>
      <c r="AQ15" s="6" t="n"/>
    </row>
    <row r="16" ht="11" customHeight="1">
      <c r="A16" s="14" t="inlineStr">
        <is>
          <t>배수공사</t>
        </is>
      </c>
      <c r="B16" s="14" t="inlineStr">
        <is>
          <t>암거공</t>
        </is>
      </c>
      <c r="C16" s="15" t="inlineStr">
        <is>
          <t>PC 암거 거치</t>
        </is>
      </c>
      <c r="D16" s="16" t="n">
        <v>186000</v>
      </c>
      <c r="E16" s="17">
        <f>IF(OR(N(D16)=0,N($D$48)=0),"",D16/$D$48*100)</f>
        <v/>
      </c>
      <c r="F16" s="18" t="n">
        <v>120</v>
      </c>
      <c r="G16" s="14" t="inlineStr">
        <is>
          <t>개</t>
        </is>
      </c>
      <c r="H16" s="19" t="n">
        <v>46104</v>
      </c>
      <c r="I16" s="19" t="n">
        <v>46164</v>
      </c>
      <c r="J16" s="20">
        <f>IF(OR(N(H16)=0,N(I16)=0),"",I16-H16+1)</f>
        <v/>
      </c>
      <c r="K16" s="21" t="inlineStr">
        <is>
          <t>하루 3개</t>
        </is>
      </c>
      <c r="L16" s="22" t="inlineStr"/>
      <c r="M16" s="22" t="inlineStr"/>
      <c r="N16" s="22" t="inlineStr"/>
      <c r="O16" s="22" t="inlineStr"/>
      <c r="P16" s="22" t="inlineStr"/>
      <c r="Q16" s="22" t="inlineStr"/>
      <c r="R16" s="22" t="inlineStr"/>
      <c r="S16" s="22" t="inlineStr"/>
      <c r="T16" s="22" t="inlineStr"/>
      <c r="U16" s="22" t="inlineStr"/>
      <c r="V16" s="22" t="inlineStr"/>
      <c r="W16" s="22" t="inlineStr"/>
      <c r="X16" s="22" t="inlineStr"/>
      <c r="Y16" s="22" t="inlineStr"/>
      <c r="Z16" s="22" t="inlineStr"/>
      <c r="AA16" s="22" t="inlineStr"/>
      <c r="AB16" s="22" t="inlineStr"/>
      <c r="AC16" s="22" t="inlineStr"/>
      <c r="AD16" s="22" t="inlineStr"/>
      <c r="AE16" s="22" t="inlineStr"/>
      <c r="AF16" s="22" t="inlineStr"/>
      <c r="AG16" s="22" t="inlineStr"/>
      <c r="AH16" s="22" t="inlineStr"/>
      <c r="AI16" s="22" t="inlineStr"/>
      <c r="AJ16" s="22" t="inlineStr"/>
      <c r="AK16" s="22" t="inlineStr"/>
      <c r="AL16" s="22" t="inlineStr"/>
      <c r="AM16" s="22" t="inlineStr"/>
      <c r="AN16" s="22" t="inlineStr"/>
      <c r="AO16" s="22" t="inlineStr"/>
      <c r="AP16" s="23">
        <f>IF(E16="","",SUM(L17:AO17))</f>
        <v/>
      </c>
      <c r="AQ16" s="24">
        <f>IF(E16="","",ROUND(E16-AP16,2))</f>
        <v/>
      </c>
    </row>
    <row r="17" ht="13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25">
        <f>IF(OR(E16="",J16="",N(L$7)=0),"",MAX(0,MIN(I16,L$7+6)-MAX(H16,L$7)+1)/J16*E16)</f>
        <v/>
      </c>
      <c r="M17" s="25">
        <f>IF(OR(E16="",J16="",N(M$7)=0),"",MAX(0,MIN(I16,M$7+6)-MAX(H16,M$7)+1)/J16*E16)</f>
        <v/>
      </c>
      <c r="N17" s="25">
        <f>IF(OR(E16="",J16="",N(N$7)=0),"",MAX(0,MIN(I16,N$7+6)-MAX(H16,N$7)+1)/J16*E16)</f>
        <v/>
      </c>
      <c r="O17" s="25">
        <f>IF(OR(E16="",J16="",N(O$7)=0),"",MAX(0,MIN(I16,O$7+6)-MAX(H16,O$7)+1)/J16*E16)</f>
        <v/>
      </c>
      <c r="P17" s="25">
        <f>IF(OR(E16="",J16="",N(P$7)=0),"",MAX(0,MIN(I16,P$7+6)-MAX(H16,P$7)+1)/J16*E16)</f>
        <v/>
      </c>
      <c r="Q17" s="25">
        <f>IF(OR(E16="",J16="",N(Q$7)=0),"",MAX(0,MIN(I16,Q$7+6)-MAX(H16,Q$7)+1)/J16*E16)</f>
        <v/>
      </c>
      <c r="R17" s="25">
        <f>IF(OR(E16="",J16="",N(R$7)=0),"",MAX(0,MIN(I16,R$7+6)-MAX(H16,R$7)+1)/J16*E16)</f>
        <v/>
      </c>
      <c r="S17" s="25">
        <f>IF(OR(E16="",J16="",N(S$7)=0),"",MAX(0,MIN(I16,S$7+6)-MAX(H16,S$7)+1)/J16*E16)</f>
        <v/>
      </c>
      <c r="T17" s="25">
        <f>IF(OR(E16="",J16="",N(T$7)=0),"",MAX(0,MIN(I16,T$7+6)-MAX(H16,T$7)+1)/J16*E16)</f>
        <v/>
      </c>
      <c r="U17" s="25">
        <f>IF(OR(E16="",J16="",N(U$7)=0),"",MAX(0,MIN(I16,U$7+6)-MAX(H16,U$7)+1)/J16*E16)</f>
        <v/>
      </c>
      <c r="V17" s="25">
        <f>IF(OR(E16="",J16="",N(V$7)=0),"",MAX(0,MIN(I16,V$7+6)-MAX(H16,V$7)+1)/J16*E16)</f>
        <v/>
      </c>
      <c r="W17" s="25">
        <f>IF(OR(E16="",J16="",N(W$7)=0),"",MAX(0,MIN(I16,W$7+6)-MAX(H16,W$7)+1)/J16*E16)</f>
        <v/>
      </c>
      <c r="X17" s="25">
        <f>IF(OR(E16="",J16="",N(X$7)=0),"",MAX(0,MIN(I16,X$7+6)-MAX(H16,X$7)+1)/J16*E16)</f>
        <v/>
      </c>
      <c r="Y17" s="25">
        <f>IF(OR(E16="",J16="",N(Y$7)=0),"",MAX(0,MIN(I16,Y$7+6)-MAX(H16,Y$7)+1)/J16*E16)</f>
        <v/>
      </c>
      <c r="Z17" s="25">
        <f>IF(OR(E16="",J16="",N(Z$7)=0),"",MAX(0,MIN(I16,Z$7+6)-MAX(H16,Z$7)+1)/J16*E16)</f>
        <v/>
      </c>
      <c r="AA17" s="25">
        <f>IF(OR(E16="",J16="",N(AA$7)=0),"",MAX(0,MIN(I16,AA$7+6)-MAX(H16,AA$7)+1)/J16*E16)</f>
        <v/>
      </c>
      <c r="AB17" s="25">
        <f>IF(OR(E16="",J16="",N(AB$7)=0),"",MAX(0,MIN(I16,AB$7+6)-MAX(H16,AB$7)+1)/J16*E16)</f>
        <v/>
      </c>
      <c r="AC17" s="25">
        <f>IF(OR(E16="",J16="",N(AC$7)=0),"",MAX(0,MIN(I16,AC$7+6)-MAX(H16,AC$7)+1)/J16*E16)</f>
        <v/>
      </c>
      <c r="AD17" s="25">
        <f>IF(OR(E16="",J16="",N(AD$7)=0),"",MAX(0,MIN(I16,AD$7+6)-MAX(H16,AD$7)+1)/J16*E16)</f>
        <v/>
      </c>
      <c r="AE17" s="25">
        <f>IF(OR(E16="",J16="",N(AE$7)=0),"",MAX(0,MIN(I16,AE$7+6)-MAX(H16,AE$7)+1)/J16*E16)</f>
        <v/>
      </c>
      <c r="AF17" s="25">
        <f>IF(OR(E16="",J16="",N(AF$7)=0),"",MAX(0,MIN(I16,AF$7+6)-MAX(H16,AF$7)+1)/J16*E16)</f>
        <v/>
      </c>
      <c r="AG17" s="25">
        <f>IF(OR(E16="",J16="",N(AG$7)=0),"",MAX(0,MIN(I16,AG$7+6)-MAX(H16,AG$7)+1)/J16*E16)</f>
        <v/>
      </c>
      <c r="AH17" s="25">
        <f>IF(OR(E16="",J16="",N(AH$7)=0),"",MAX(0,MIN(I16,AH$7+6)-MAX(H16,AH$7)+1)/J16*E16)</f>
        <v/>
      </c>
      <c r="AI17" s="25">
        <f>IF(OR(E16="",J16="",N(AI$7)=0),"",MAX(0,MIN(I16,AI$7+6)-MAX(H16,AI$7)+1)/J16*E16)</f>
        <v/>
      </c>
      <c r="AJ17" s="25">
        <f>IF(OR(E16="",J16="",N(AJ$7)=0),"",MAX(0,MIN(I16,AJ$7+6)-MAX(H16,AJ$7)+1)/J16*E16)</f>
        <v/>
      </c>
      <c r="AK17" s="25">
        <f>IF(OR(E16="",J16="",N(AK$7)=0),"",MAX(0,MIN(I16,AK$7+6)-MAX(H16,AK$7)+1)/J16*E16)</f>
        <v/>
      </c>
      <c r="AL17" s="25">
        <f>IF(OR(E16="",J16="",N(AL$7)=0),"",MAX(0,MIN(I16,AL$7+6)-MAX(H16,AL$7)+1)/J16*E16)</f>
        <v/>
      </c>
      <c r="AM17" s="25">
        <f>IF(OR(E16="",J16="",N(AM$7)=0),"",MAX(0,MIN(I16,AM$7+6)-MAX(H16,AM$7)+1)/J16*E16)</f>
        <v/>
      </c>
      <c r="AN17" s="25">
        <f>IF(OR(E16="",J16="",N(AN$7)=0),"",MAX(0,MIN(I16,AN$7+6)-MAX(H16,AN$7)+1)/J16*E16)</f>
        <v/>
      </c>
      <c r="AO17" s="25">
        <f>IF(OR(E16="",J16="",N(AO$7)=0),"",MAX(0,MIN(I16,AO$7+6)-MAX(H16,AO$7)+1)/J16*E16)</f>
        <v/>
      </c>
      <c r="AP17" s="6" t="n"/>
      <c r="AQ17" s="6" t="n"/>
    </row>
    <row r="18" ht="11" customHeight="1">
      <c r="A18" s="14" t="n"/>
      <c r="B18" s="14" t="inlineStr">
        <is>
          <t>관로공</t>
        </is>
      </c>
      <c r="C18" s="15" t="inlineStr">
        <is>
          <t>PE 이중벽관 D300</t>
        </is>
      </c>
      <c r="D18" s="16" t="n">
        <v>64500</v>
      </c>
      <c r="E18" s="17">
        <f>IF(OR(N(D18)=0,N($D$48)=0),"",D18/$D$48*100)</f>
        <v/>
      </c>
      <c r="F18" s="18" t="n">
        <v>460</v>
      </c>
      <c r="G18" s="14" t="inlineStr">
        <is>
          <t>m</t>
        </is>
      </c>
      <c r="H18" s="19" t="n">
        <v>46153</v>
      </c>
      <c r="I18" s="19" t="n">
        <v>46199</v>
      </c>
      <c r="J18" s="20">
        <f>IF(OR(N(H18)=0,N(I18)=0),"",I18-H18+1)</f>
        <v/>
      </c>
      <c r="K18" s="21" t="n"/>
      <c r="L18" s="22" t="inlineStr"/>
      <c r="M18" s="22" t="inlineStr"/>
      <c r="N18" s="22" t="inlineStr"/>
      <c r="O18" s="22" t="inlineStr"/>
      <c r="P18" s="22" t="inlineStr"/>
      <c r="Q18" s="22" t="inlineStr"/>
      <c r="R18" s="22" t="inlineStr"/>
      <c r="S18" s="22" t="inlineStr"/>
      <c r="T18" s="22" t="inlineStr"/>
      <c r="U18" s="22" t="inlineStr"/>
      <c r="V18" s="22" t="inlineStr"/>
      <c r="W18" s="22" t="inlineStr"/>
      <c r="X18" s="22" t="inlineStr"/>
      <c r="Y18" s="22" t="inlineStr"/>
      <c r="Z18" s="22" t="inlineStr"/>
      <c r="AA18" s="22" t="inlineStr"/>
      <c r="AB18" s="22" t="inlineStr"/>
      <c r="AC18" s="22" t="inlineStr"/>
      <c r="AD18" s="22" t="inlineStr"/>
      <c r="AE18" s="22" t="inlineStr"/>
      <c r="AF18" s="22" t="inlineStr"/>
      <c r="AG18" s="22" t="inlineStr"/>
      <c r="AH18" s="22" t="inlineStr"/>
      <c r="AI18" s="22" t="inlineStr"/>
      <c r="AJ18" s="22" t="inlineStr"/>
      <c r="AK18" s="22" t="inlineStr"/>
      <c r="AL18" s="22" t="inlineStr"/>
      <c r="AM18" s="22" t="inlineStr"/>
      <c r="AN18" s="22" t="inlineStr"/>
      <c r="AO18" s="22" t="inlineStr"/>
      <c r="AP18" s="23">
        <f>IF(E18="","",SUM(L19:AO19))</f>
        <v/>
      </c>
      <c r="AQ18" s="24">
        <f>IF(E18="","",ROUND(E18-AP18,2))</f>
        <v/>
      </c>
    </row>
    <row r="19" ht="13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25">
        <f>IF(OR(E18="",J18="",N(L$7)=0),"",MAX(0,MIN(I18,L$7+6)-MAX(H18,L$7)+1)/J18*E18)</f>
        <v/>
      </c>
      <c r="M19" s="25">
        <f>IF(OR(E18="",J18="",N(M$7)=0),"",MAX(0,MIN(I18,M$7+6)-MAX(H18,M$7)+1)/J18*E18)</f>
        <v/>
      </c>
      <c r="N19" s="25">
        <f>IF(OR(E18="",J18="",N(N$7)=0),"",MAX(0,MIN(I18,N$7+6)-MAX(H18,N$7)+1)/J18*E18)</f>
        <v/>
      </c>
      <c r="O19" s="25">
        <f>IF(OR(E18="",J18="",N(O$7)=0),"",MAX(0,MIN(I18,O$7+6)-MAX(H18,O$7)+1)/J18*E18)</f>
        <v/>
      </c>
      <c r="P19" s="25">
        <f>IF(OR(E18="",J18="",N(P$7)=0),"",MAX(0,MIN(I18,P$7+6)-MAX(H18,P$7)+1)/J18*E18)</f>
        <v/>
      </c>
      <c r="Q19" s="25">
        <f>IF(OR(E18="",J18="",N(Q$7)=0),"",MAX(0,MIN(I18,Q$7+6)-MAX(H18,Q$7)+1)/J18*E18)</f>
        <v/>
      </c>
      <c r="R19" s="25">
        <f>IF(OR(E18="",J18="",N(R$7)=0),"",MAX(0,MIN(I18,R$7+6)-MAX(H18,R$7)+1)/J18*E18)</f>
        <v/>
      </c>
      <c r="S19" s="25">
        <f>IF(OR(E18="",J18="",N(S$7)=0),"",MAX(0,MIN(I18,S$7+6)-MAX(H18,S$7)+1)/J18*E18)</f>
        <v/>
      </c>
      <c r="T19" s="25">
        <f>IF(OR(E18="",J18="",N(T$7)=0),"",MAX(0,MIN(I18,T$7+6)-MAX(H18,T$7)+1)/J18*E18)</f>
        <v/>
      </c>
      <c r="U19" s="25">
        <f>IF(OR(E18="",J18="",N(U$7)=0),"",MAX(0,MIN(I18,U$7+6)-MAX(H18,U$7)+1)/J18*E18)</f>
        <v/>
      </c>
      <c r="V19" s="25">
        <f>IF(OR(E18="",J18="",N(V$7)=0),"",MAX(0,MIN(I18,V$7+6)-MAX(H18,V$7)+1)/J18*E18)</f>
        <v/>
      </c>
      <c r="W19" s="25">
        <f>IF(OR(E18="",J18="",N(W$7)=0),"",MAX(0,MIN(I18,W$7+6)-MAX(H18,W$7)+1)/J18*E18)</f>
        <v/>
      </c>
      <c r="X19" s="25">
        <f>IF(OR(E18="",J18="",N(X$7)=0),"",MAX(0,MIN(I18,X$7+6)-MAX(H18,X$7)+1)/J18*E18)</f>
        <v/>
      </c>
      <c r="Y19" s="25">
        <f>IF(OR(E18="",J18="",N(Y$7)=0),"",MAX(0,MIN(I18,Y$7+6)-MAX(H18,Y$7)+1)/J18*E18)</f>
        <v/>
      </c>
      <c r="Z19" s="25">
        <f>IF(OR(E18="",J18="",N(Z$7)=0),"",MAX(0,MIN(I18,Z$7+6)-MAX(H18,Z$7)+1)/J18*E18)</f>
        <v/>
      </c>
      <c r="AA19" s="25">
        <f>IF(OR(E18="",J18="",N(AA$7)=0),"",MAX(0,MIN(I18,AA$7+6)-MAX(H18,AA$7)+1)/J18*E18)</f>
        <v/>
      </c>
      <c r="AB19" s="25">
        <f>IF(OR(E18="",J18="",N(AB$7)=0),"",MAX(0,MIN(I18,AB$7+6)-MAX(H18,AB$7)+1)/J18*E18)</f>
        <v/>
      </c>
      <c r="AC19" s="25">
        <f>IF(OR(E18="",J18="",N(AC$7)=0),"",MAX(0,MIN(I18,AC$7+6)-MAX(H18,AC$7)+1)/J18*E18)</f>
        <v/>
      </c>
      <c r="AD19" s="25">
        <f>IF(OR(E18="",J18="",N(AD$7)=0),"",MAX(0,MIN(I18,AD$7+6)-MAX(H18,AD$7)+1)/J18*E18)</f>
        <v/>
      </c>
      <c r="AE19" s="25">
        <f>IF(OR(E18="",J18="",N(AE$7)=0),"",MAX(0,MIN(I18,AE$7+6)-MAX(H18,AE$7)+1)/J18*E18)</f>
        <v/>
      </c>
      <c r="AF19" s="25">
        <f>IF(OR(E18="",J18="",N(AF$7)=0),"",MAX(0,MIN(I18,AF$7+6)-MAX(H18,AF$7)+1)/J18*E18)</f>
        <v/>
      </c>
      <c r="AG19" s="25">
        <f>IF(OR(E18="",J18="",N(AG$7)=0),"",MAX(0,MIN(I18,AG$7+6)-MAX(H18,AG$7)+1)/J18*E18)</f>
        <v/>
      </c>
      <c r="AH19" s="25">
        <f>IF(OR(E18="",J18="",N(AH$7)=0),"",MAX(0,MIN(I18,AH$7+6)-MAX(H18,AH$7)+1)/J18*E18)</f>
        <v/>
      </c>
      <c r="AI19" s="25">
        <f>IF(OR(E18="",J18="",N(AI$7)=0),"",MAX(0,MIN(I18,AI$7+6)-MAX(H18,AI$7)+1)/J18*E18)</f>
        <v/>
      </c>
      <c r="AJ19" s="25">
        <f>IF(OR(E18="",J18="",N(AJ$7)=0),"",MAX(0,MIN(I18,AJ$7+6)-MAX(H18,AJ$7)+1)/J18*E18)</f>
        <v/>
      </c>
      <c r="AK19" s="25">
        <f>IF(OR(E18="",J18="",N(AK$7)=0),"",MAX(0,MIN(I18,AK$7+6)-MAX(H18,AK$7)+1)/J18*E18)</f>
        <v/>
      </c>
      <c r="AL19" s="25">
        <f>IF(OR(E18="",J18="",N(AL$7)=0),"",MAX(0,MIN(I18,AL$7+6)-MAX(H18,AL$7)+1)/J18*E18)</f>
        <v/>
      </c>
      <c r="AM19" s="25">
        <f>IF(OR(E18="",J18="",N(AM$7)=0),"",MAX(0,MIN(I18,AM$7+6)-MAX(H18,AM$7)+1)/J18*E18)</f>
        <v/>
      </c>
      <c r="AN19" s="25">
        <f>IF(OR(E18="",J18="",N(AN$7)=0),"",MAX(0,MIN(I18,AN$7+6)-MAX(H18,AN$7)+1)/J18*E18)</f>
        <v/>
      </c>
      <c r="AO19" s="25">
        <f>IF(OR(E18="",J18="",N(AO$7)=0),"",MAX(0,MIN(I18,AO$7+6)-MAX(H18,AO$7)+1)/J18*E18)</f>
        <v/>
      </c>
      <c r="AP19" s="6" t="n"/>
      <c r="AQ19" s="6" t="n"/>
    </row>
    <row r="20" ht="11" customHeight="1">
      <c r="A20" s="14" t="n"/>
      <c r="B20" s="14" t="inlineStr">
        <is>
          <t>구조물공</t>
        </is>
      </c>
      <c r="C20" s="15" t="inlineStr">
        <is>
          <t>집수정</t>
        </is>
      </c>
      <c r="D20" s="16" t="n">
        <v>23800</v>
      </c>
      <c r="E20" s="17">
        <f>IF(OR(N(D20)=0,N($D$48)=0),"",D20/$D$48*100)</f>
        <v/>
      </c>
      <c r="F20" s="18" t="n">
        <v>12</v>
      </c>
      <c r="G20" s="14" t="inlineStr">
        <is>
          <t>개소</t>
        </is>
      </c>
      <c r="H20" s="19" t="n">
        <v>46174</v>
      </c>
      <c r="I20" s="19" t="n">
        <v>46213</v>
      </c>
      <c r="J20" s="20">
        <f>IF(OR(N(H20)=0,N(I20)=0),"",I20-H20+1)</f>
        <v/>
      </c>
      <c r="K20" s="21" t="n"/>
      <c r="L20" s="22" t="inlineStr"/>
      <c r="M20" s="22" t="inlineStr"/>
      <c r="N20" s="22" t="inlineStr"/>
      <c r="O20" s="22" t="inlineStr"/>
      <c r="P20" s="22" t="inlineStr"/>
      <c r="Q20" s="22" t="inlineStr"/>
      <c r="R20" s="22" t="inlineStr"/>
      <c r="S20" s="22" t="inlineStr"/>
      <c r="T20" s="22" t="inlineStr"/>
      <c r="U20" s="22" t="inlineStr"/>
      <c r="V20" s="22" t="inlineStr"/>
      <c r="W20" s="22" t="inlineStr"/>
      <c r="X20" s="22" t="inlineStr"/>
      <c r="Y20" s="22" t="inlineStr"/>
      <c r="Z20" s="22" t="inlineStr"/>
      <c r="AA20" s="22" t="inlineStr"/>
      <c r="AB20" s="22" t="inlineStr"/>
      <c r="AC20" s="22" t="inlineStr"/>
      <c r="AD20" s="22" t="inlineStr"/>
      <c r="AE20" s="22" t="inlineStr"/>
      <c r="AF20" s="22" t="inlineStr"/>
      <c r="AG20" s="22" t="inlineStr"/>
      <c r="AH20" s="22" t="inlineStr"/>
      <c r="AI20" s="22" t="inlineStr"/>
      <c r="AJ20" s="22" t="inlineStr"/>
      <c r="AK20" s="22" t="inlineStr"/>
      <c r="AL20" s="22" t="inlineStr"/>
      <c r="AM20" s="22" t="inlineStr"/>
      <c r="AN20" s="22" t="inlineStr"/>
      <c r="AO20" s="22" t="inlineStr"/>
      <c r="AP20" s="23">
        <f>IF(E20="","",SUM(L21:AO21))</f>
        <v/>
      </c>
      <c r="AQ20" s="24">
        <f>IF(E20="","",ROUND(E20-AP20,2))</f>
        <v/>
      </c>
    </row>
    <row r="21" ht="13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25">
        <f>IF(OR(E20="",J20="",N(L$7)=0),"",MAX(0,MIN(I20,L$7+6)-MAX(H20,L$7)+1)/J20*E20)</f>
        <v/>
      </c>
      <c r="M21" s="25">
        <f>IF(OR(E20="",J20="",N(M$7)=0),"",MAX(0,MIN(I20,M$7+6)-MAX(H20,M$7)+1)/J20*E20)</f>
        <v/>
      </c>
      <c r="N21" s="25">
        <f>IF(OR(E20="",J20="",N(N$7)=0),"",MAX(0,MIN(I20,N$7+6)-MAX(H20,N$7)+1)/J20*E20)</f>
        <v/>
      </c>
      <c r="O21" s="25">
        <f>IF(OR(E20="",J20="",N(O$7)=0),"",MAX(0,MIN(I20,O$7+6)-MAX(H20,O$7)+1)/J20*E20)</f>
        <v/>
      </c>
      <c r="P21" s="25">
        <f>IF(OR(E20="",J20="",N(P$7)=0),"",MAX(0,MIN(I20,P$7+6)-MAX(H20,P$7)+1)/J20*E20)</f>
        <v/>
      </c>
      <c r="Q21" s="25">
        <f>IF(OR(E20="",J20="",N(Q$7)=0),"",MAX(0,MIN(I20,Q$7+6)-MAX(H20,Q$7)+1)/J20*E20)</f>
        <v/>
      </c>
      <c r="R21" s="25">
        <f>IF(OR(E20="",J20="",N(R$7)=0),"",MAX(0,MIN(I20,R$7+6)-MAX(H20,R$7)+1)/J20*E20)</f>
        <v/>
      </c>
      <c r="S21" s="25">
        <f>IF(OR(E20="",J20="",N(S$7)=0),"",MAX(0,MIN(I20,S$7+6)-MAX(H20,S$7)+1)/J20*E20)</f>
        <v/>
      </c>
      <c r="T21" s="25">
        <f>IF(OR(E20="",J20="",N(T$7)=0),"",MAX(0,MIN(I20,T$7+6)-MAX(H20,T$7)+1)/J20*E20)</f>
        <v/>
      </c>
      <c r="U21" s="25">
        <f>IF(OR(E20="",J20="",N(U$7)=0),"",MAX(0,MIN(I20,U$7+6)-MAX(H20,U$7)+1)/J20*E20)</f>
        <v/>
      </c>
      <c r="V21" s="25">
        <f>IF(OR(E20="",J20="",N(V$7)=0),"",MAX(0,MIN(I20,V$7+6)-MAX(H20,V$7)+1)/J20*E20)</f>
        <v/>
      </c>
      <c r="W21" s="25">
        <f>IF(OR(E20="",J20="",N(W$7)=0),"",MAX(0,MIN(I20,W$7+6)-MAX(H20,W$7)+1)/J20*E20)</f>
        <v/>
      </c>
      <c r="X21" s="25">
        <f>IF(OR(E20="",J20="",N(X$7)=0),"",MAX(0,MIN(I20,X$7+6)-MAX(H20,X$7)+1)/J20*E20)</f>
        <v/>
      </c>
      <c r="Y21" s="25">
        <f>IF(OR(E20="",J20="",N(Y$7)=0),"",MAX(0,MIN(I20,Y$7+6)-MAX(H20,Y$7)+1)/J20*E20)</f>
        <v/>
      </c>
      <c r="Z21" s="25">
        <f>IF(OR(E20="",J20="",N(Z$7)=0),"",MAX(0,MIN(I20,Z$7+6)-MAX(H20,Z$7)+1)/J20*E20)</f>
        <v/>
      </c>
      <c r="AA21" s="25">
        <f>IF(OR(E20="",J20="",N(AA$7)=0),"",MAX(0,MIN(I20,AA$7+6)-MAX(H20,AA$7)+1)/J20*E20)</f>
        <v/>
      </c>
      <c r="AB21" s="25">
        <f>IF(OR(E20="",J20="",N(AB$7)=0),"",MAX(0,MIN(I20,AB$7+6)-MAX(H20,AB$7)+1)/J20*E20)</f>
        <v/>
      </c>
      <c r="AC21" s="25">
        <f>IF(OR(E20="",J20="",N(AC$7)=0),"",MAX(0,MIN(I20,AC$7+6)-MAX(H20,AC$7)+1)/J20*E20)</f>
        <v/>
      </c>
      <c r="AD21" s="25">
        <f>IF(OR(E20="",J20="",N(AD$7)=0),"",MAX(0,MIN(I20,AD$7+6)-MAX(H20,AD$7)+1)/J20*E20)</f>
        <v/>
      </c>
      <c r="AE21" s="25">
        <f>IF(OR(E20="",J20="",N(AE$7)=0),"",MAX(0,MIN(I20,AE$7+6)-MAX(H20,AE$7)+1)/J20*E20)</f>
        <v/>
      </c>
      <c r="AF21" s="25">
        <f>IF(OR(E20="",J20="",N(AF$7)=0),"",MAX(0,MIN(I20,AF$7+6)-MAX(H20,AF$7)+1)/J20*E20)</f>
        <v/>
      </c>
      <c r="AG21" s="25">
        <f>IF(OR(E20="",J20="",N(AG$7)=0),"",MAX(0,MIN(I20,AG$7+6)-MAX(H20,AG$7)+1)/J20*E20)</f>
        <v/>
      </c>
      <c r="AH21" s="25">
        <f>IF(OR(E20="",J20="",N(AH$7)=0),"",MAX(0,MIN(I20,AH$7+6)-MAX(H20,AH$7)+1)/J20*E20)</f>
        <v/>
      </c>
      <c r="AI21" s="25">
        <f>IF(OR(E20="",J20="",N(AI$7)=0),"",MAX(0,MIN(I20,AI$7+6)-MAX(H20,AI$7)+1)/J20*E20)</f>
        <v/>
      </c>
      <c r="AJ21" s="25">
        <f>IF(OR(E20="",J20="",N(AJ$7)=0),"",MAX(0,MIN(I20,AJ$7+6)-MAX(H20,AJ$7)+1)/J20*E20)</f>
        <v/>
      </c>
      <c r="AK21" s="25">
        <f>IF(OR(E20="",J20="",N(AK$7)=0),"",MAX(0,MIN(I20,AK$7+6)-MAX(H20,AK$7)+1)/J20*E20)</f>
        <v/>
      </c>
      <c r="AL21" s="25">
        <f>IF(OR(E20="",J20="",N(AL$7)=0),"",MAX(0,MIN(I20,AL$7+6)-MAX(H20,AL$7)+1)/J20*E20)</f>
        <v/>
      </c>
      <c r="AM21" s="25">
        <f>IF(OR(E20="",J20="",N(AM$7)=0),"",MAX(0,MIN(I20,AM$7+6)-MAX(H20,AM$7)+1)/J20*E20)</f>
        <v/>
      </c>
      <c r="AN21" s="25">
        <f>IF(OR(E20="",J20="",N(AN$7)=0),"",MAX(0,MIN(I20,AN$7+6)-MAX(H20,AN$7)+1)/J20*E20)</f>
        <v/>
      </c>
      <c r="AO21" s="25">
        <f>IF(OR(E20="",J20="",N(AO$7)=0),"",MAX(0,MIN(I20,AO$7+6)-MAX(H20,AO$7)+1)/J20*E20)</f>
        <v/>
      </c>
      <c r="AP21" s="6" t="n"/>
      <c r="AQ21" s="6" t="n"/>
    </row>
    <row r="22" ht="11" customHeight="1">
      <c r="A22" s="14" t="inlineStr">
        <is>
          <t>포장공사</t>
        </is>
      </c>
      <c r="B22" s="14" t="inlineStr">
        <is>
          <t>포장공</t>
        </is>
      </c>
      <c r="C22" s="15" t="inlineStr">
        <is>
          <t>보도블록 포장</t>
        </is>
      </c>
      <c r="D22" s="16" t="n">
        <v>38200</v>
      </c>
      <c r="E22" s="17">
        <f>IF(OR(N(D22)=0,N($D$48)=0),"",D22/$D$48*100)</f>
        <v/>
      </c>
      <c r="F22" s="18" t="n">
        <v>850</v>
      </c>
      <c r="G22" s="14" t="inlineStr">
        <is>
          <t>㎡</t>
        </is>
      </c>
      <c r="H22" s="19" t="n">
        <v>46209</v>
      </c>
      <c r="I22" s="19" t="n">
        <v>46248</v>
      </c>
      <c r="J22" s="20">
        <f>IF(OR(N(H22)=0,N(I22)=0),"",I22-H22+1)</f>
        <v/>
      </c>
      <c r="K22" s="21" t="n"/>
      <c r="L22" s="22" t="inlineStr"/>
      <c r="M22" s="22" t="inlineStr"/>
      <c r="N22" s="22" t="inlineStr"/>
      <c r="O22" s="22" t="inlineStr"/>
      <c r="P22" s="22" t="inlineStr"/>
      <c r="Q22" s="22" t="inlineStr"/>
      <c r="R22" s="22" t="inlineStr"/>
      <c r="S22" s="22" t="inlineStr"/>
      <c r="T22" s="22" t="inlineStr"/>
      <c r="U22" s="22" t="inlineStr"/>
      <c r="V22" s="22" t="inlineStr"/>
      <c r="W22" s="22" t="inlineStr"/>
      <c r="X22" s="22" t="inlineStr"/>
      <c r="Y22" s="22" t="inlineStr"/>
      <c r="Z22" s="22" t="inlineStr"/>
      <c r="AA22" s="22" t="inlineStr"/>
      <c r="AB22" s="22" t="inlineStr"/>
      <c r="AC22" s="22" t="inlineStr"/>
      <c r="AD22" s="22" t="inlineStr"/>
      <c r="AE22" s="22" t="inlineStr"/>
      <c r="AF22" s="22" t="inlineStr"/>
      <c r="AG22" s="22" t="inlineStr"/>
      <c r="AH22" s="22" t="inlineStr"/>
      <c r="AI22" s="22" t="inlineStr"/>
      <c r="AJ22" s="22" t="inlineStr"/>
      <c r="AK22" s="22" t="inlineStr"/>
      <c r="AL22" s="22" t="inlineStr"/>
      <c r="AM22" s="22" t="inlineStr"/>
      <c r="AN22" s="22" t="inlineStr"/>
      <c r="AO22" s="22" t="inlineStr"/>
      <c r="AP22" s="23">
        <f>IF(E22="","",SUM(L23:AO23))</f>
        <v/>
      </c>
      <c r="AQ22" s="24">
        <f>IF(E22="","",ROUND(E22-AP22,2))</f>
        <v/>
      </c>
    </row>
    <row r="23" ht="13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25">
        <f>IF(OR(E22="",J22="",N(L$7)=0),"",MAX(0,MIN(I22,L$7+6)-MAX(H22,L$7)+1)/J22*E22)</f>
        <v/>
      </c>
      <c r="M23" s="25">
        <f>IF(OR(E22="",J22="",N(M$7)=0),"",MAX(0,MIN(I22,M$7+6)-MAX(H22,M$7)+1)/J22*E22)</f>
        <v/>
      </c>
      <c r="N23" s="25">
        <f>IF(OR(E22="",J22="",N(N$7)=0),"",MAX(0,MIN(I22,N$7+6)-MAX(H22,N$7)+1)/J22*E22)</f>
        <v/>
      </c>
      <c r="O23" s="25">
        <f>IF(OR(E22="",J22="",N(O$7)=0),"",MAX(0,MIN(I22,O$7+6)-MAX(H22,O$7)+1)/J22*E22)</f>
        <v/>
      </c>
      <c r="P23" s="25">
        <f>IF(OR(E22="",J22="",N(P$7)=0),"",MAX(0,MIN(I22,P$7+6)-MAX(H22,P$7)+1)/J22*E22)</f>
        <v/>
      </c>
      <c r="Q23" s="25">
        <f>IF(OR(E22="",J22="",N(Q$7)=0),"",MAX(0,MIN(I22,Q$7+6)-MAX(H22,Q$7)+1)/J22*E22)</f>
        <v/>
      </c>
      <c r="R23" s="25">
        <f>IF(OR(E22="",J22="",N(R$7)=0),"",MAX(0,MIN(I22,R$7+6)-MAX(H22,R$7)+1)/J22*E22)</f>
        <v/>
      </c>
      <c r="S23" s="25">
        <f>IF(OR(E22="",J22="",N(S$7)=0),"",MAX(0,MIN(I22,S$7+6)-MAX(H22,S$7)+1)/J22*E22)</f>
        <v/>
      </c>
      <c r="T23" s="25">
        <f>IF(OR(E22="",J22="",N(T$7)=0),"",MAX(0,MIN(I22,T$7+6)-MAX(H22,T$7)+1)/J22*E22)</f>
        <v/>
      </c>
      <c r="U23" s="25">
        <f>IF(OR(E22="",J22="",N(U$7)=0),"",MAX(0,MIN(I22,U$7+6)-MAX(H22,U$7)+1)/J22*E22)</f>
        <v/>
      </c>
      <c r="V23" s="25">
        <f>IF(OR(E22="",J22="",N(V$7)=0),"",MAX(0,MIN(I22,V$7+6)-MAX(H22,V$7)+1)/J22*E22)</f>
        <v/>
      </c>
      <c r="W23" s="25">
        <f>IF(OR(E22="",J22="",N(W$7)=0),"",MAX(0,MIN(I22,W$7+6)-MAX(H22,W$7)+1)/J22*E22)</f>
        <v/>
      </c>
      <c r="X23" s="25">
        <f>IF(OR(E22="",J22="",N(X$7)=0),"",MAX(0,MIN(I22,X$7+6)-MAX(H22,X$7)+1)/J22*E22)</f>
        <v/>
      </c>
      <c r="Y23" s="25">
        <f>IF(OR(E22="",J22="",N(Y$7)=0),"",MAX(0,MIN(I22,Y$7+6)-MAX(H22,Y$7)+1)/J22*E22)</f>
        <v/>
      </c>
      <c r="Z23" s="25">
        <f>IF(OR(E22="",J22="",N(Z$7)=0),"",MAX(0,MIN(I22,Z$7+6)-MAX(H22,Z$7)+1)/J22*E22)</f>
        <v/>
      </c>
      <c r="AA23" s="25">
        <f>IF(OR(E22="",J22="",N(AA$7)=0),"",MAX(0,MIN(I22,AA$7+6)-MAX(H22,AA$7)+1)/J22*E22)</f>
        <v/>
      </c>
      <c r="AB23" s="25">
        <f>IF(OR(E22="",J22="",N(AB$7)=0),"",MAX(0,MIN(I22,AB$7+6)-MAX(H22,AB$7)+1)/J22*E22)</f>
        <v/>
      </c>
      <c r="AC23" s="25">
        <f>IF(OR(E22="",J22="",N(AC$7)=0),"",MAX(0,MIN(I22,AC$7+6)-MAX(H22,AC$7)+1)/J22*E22)</f>
        <v/>
      </c>
      <c r="AD23" s="25">
        <f>IF(OR(E22="",J22="",N(AD$7)=0),"",MAX(0,MIN(I22,AD$7+6)-MAX(H22,AD$7)+1)/J22*E22)</f>
        <v/>
      </c>
      <c r="AE23" s="25">
        <f>IF(OR(E22="",J22="",N(AE$7)=0),"",MAX(0,MIN(I22,AE$7+6)-MAX(H22,AE$7)+1)/J22*E22)</f>
        <v/>
      </c>
      <c r="AF23" s="25">
        <f>IF(OR(E22="",J22="",N(AF$7)=0),"",MAX(0,MIN(I22,AF$7+6)-MAX(H22,AF$7)+1)/J22*E22)</f>
        <v/>
      </c>
      <c r="AG23" s="25">
        <f>IF(OR(E22="",J22="",N(AG$7)=0),"",MAX(0,MIN(I22,AG$7+6)-MAX(H22,AG$7)+1)/J22*E22)</f>
        <v/>
      </c>
      <c r="AH23" s="25">
        <f>IF(OR(E22="",J22="",N(AH$7)=0),"",MAX(0,MIN(I22,AH$7+6)-MAX(H22,AH$7)+1)/J22*E22)</f>
        <v/>
      </c>
      <c r="AI23" s="25">
        <f>IF(OR(E22="",J22="",N(AI$7)=0),"",MAX(0,MIN(I22,AI$7+6)-MAX(H22,AI$7)+1)/J22*E22)</f>
        <v/>
      </c>
      <c r="AJ23" s="25">
        <f>IF(OR(E22="",J22="",N(AJ$7)=0),"",MAX(0,MIN(I22,AJ$7+6)-MAX(H22,AJ$7)+1)/J22*E22)</f>
        <v/>
      </c>
      <c r="AK23" s="25">
        <f>IF(OR(E22="",J22="",N(AK$7)=0),"",MAX(0,MIN(I22,AK$7+6)-MAX(H22,AK$7)+1)/J22*E22)</f>
        <v/>
      </c>
      <c r="AL23" s="25">
        <f>IF(OR(E22="",J22="",N(AL$7)=0),"",MAX(0,MIN(I22,AL$7+6)-MAX(H22,AL$7)+1)/J22*E22)</f>
        <v/>
      </c>
      <c r="AM23" s="25">
        <f>IF(OR(E22="",J22="",N(AM$7)=0),"",MAX(0,MIN(I22,AM$7+6)-MAX(H22,AM$7)+1)/J22*E22)</f>
        <v/>
      </c>
      <c r="AN23" s="25">
        <f>IF(OR(E22="",J22="",N(AN$7)=0),"",MAX(0,MIN(I22,AN$7+6)-MAX(H22,AN$7)+1)/J22*E22)</f>
        <v/>
      </c>
      <c r="AO23" s="25">
        <f>IF(OR(E22="",J22="",N(AO$7)=0),"",MAX(0,MIN(I22,AO$7+6)-MAX(H22,AO$7)+1)/J22*E22)</f>
        <v/>
      </c>
      <c r="AP23" s="6" t="n"/>
      <c r="AQ23" s="6" t="n"/>
    </row>
    <row r="24" ht="11" customHeight="1">
      <c r="A24" s="14" t="n"/>
      <c r="B24" s="14" t="inlineStr">
        <is>
          <t>포장공</t>
        </is>
      </c>
      <c r="C24" s="15" t="inlineStr">
        <is>
          <t>아스콘 포장</t>
        </is>
      </c>
      <c r="D24" s="16" t="n">
        <v>29600</v>
      </c>
      <c r="E24" s="17">
        <f>IF(OR(N(D24)=0,N($D$48)=0),"",D24/$D$48*100)</f>
        <v/>
      </c>
      <c r="F24" s="18" t="n">
        <v>1430</v>
      </c>
      <c r="G24" s="14" t="inlineStr">
        <is>
          <t>㎡</t>
        </is>
      </c>
      <c r="H24" s="19" t="n">
        <v>46251</v>
      </c>
      <c r="I24" s="19" t="n">
        <v>46262</v>
      </c>
      <c r="J24" s="20">
        <f>IF(OR(N(H24)=0,N(I24)=0),"",I24-H24+1)</f>
        <v/>
      </c>
      <c r="K24" s="21" t="inlineStr">
        <is>
          <t>170ton</t>
        </is>
      </c>
      <c r="L24" s="22" t="inlineStr"/>
      <c r="M24" s="22" t="inlineStr"/>
      <c r="N24" s="22" t="inlineStr"/>
      <c r="O24" s="22" t="inlineStr"/>
      <c r="P24" s="22" t="inlineStr"/>
      <c r="Q24" s="22" t="inlineStr"/>
      <c r="R24" s="22" t="inlineStr"/>
      <c r="S24" s="22" t="inlineStr"/>
      <c r="T24" s="22" t="inlineStr"/>
      <c r="U24" s="22" t="inlineStr"/>
      <c r="V24" s="22" t="inlineStr"/>
      <c r="W24" s="22" t="inlineStr"/>
      <c r="X24" s="22" t="inlineStr"/>
      <c r="Y24" s="22" t="inlineStr"/>
      <c r="Z24" s="22" t="inlineStr"/>
      <c r="AA24" s="22" t="inlineStr"/>
      <c r="AB24" s="22" t="inlineStr"/>
      <c r="AC24" s="22" t="inlineStr"/>
      <c r="AD24" s="22" t="inlineStr"/>
      <c r="AE24" s="22" t="inlineStr"/>
      <c r="AF24" s="22" t="inlineStr"/>
      <c r="AG24" s="22" t="inlineStr"/>
      <c r="AH24" s="22" t="inlineStr"/>
      <c r="AI24" s="22" t="inlineStr"/>
      <c r="AJ24" s="22" t="inlineStr"/>
      <c r="AK24" s="22" t="inlineStr"/>
      <c r="AL24" s="22" t="inlineStr"/>
      <c r="AM24" s="22" t="inlineStr"/>
      <c r="AN24" s="22" t="inlineStr"/>
      <c r="AO24" s="22" t="inlineStr"/>
      <c r="AP24" s="23">
        <f>IF(E24="","",SUM(L25:AO25))</f>
        <v/>
      </c>
      <c r="AQ24" s="24">
        <f>IF(E24="","",ROUND(E24-AP24,2))</f>
        <v/>
      </c>
    </row>
    <row r="25" ht="13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25">
        <f>IF(OR(E24="",J24="",N(L$7)=0),"",MAX(0,MIN(I24,L$7+6)-MAX(H24,L$7)+1)/J24*E24)</f>
        <v/>
      </c>
      <c r="M25" s="25">
        <f>IF(OR(E24="",J24="",N(M$7)=0),"",MAX(0,MIN(I24,M$7+6)-MAX(H24,M$7)+1)/J24*E24)</f>
        <v/>
      </c>
      <c r="N25" s="25">
        <f>IF(OR(E24="",J24="",N(N$7)=0),"",MAX(0,MIN(I24,N$7+6)-MAX(H24,N$7)+1)/J24*E24)</f>
        <v/>
      </c>
      <c r="O25" s="25">
        <f>IF(OR(E24="",J24="",N(O$7)=0),"",MAX(0,MIN(I24,O$7+6)-MAX(H24,O$7)+1)/J24*E24)</f>
        <v/>
      </c>
      <c r="P25" s="25">
        <f>IF(OR(E24="",J24="",N(P$7)=0),"",MAX(0,MIN(I24,P$7+6)-MAX(H24,P$7)+1)/J24*E24)</f>
        <v/>
      </c>
      <c r="Q25" s="25">
        <f>IF(OR(E24="",J24="",N(Q$7)=0),"",MAX(0,MIN(I24,Q$7+6)-MAX(H24,Q$7)+1)/J24*E24)</f>
        <v/>
      </c>
      <c r="R25" s="25">
        <f>IF(OR(E24="",J24="",N(R$7)=0),"",MAX(0,MIN(I24,R$7+6)-MAX(H24,R$7)+1)/J24*E24)</f>
        <v/>
      </c>
      <c r="S25" s="25">
        <f>IF(OR(E24="",J24="",N(S$7)=0),"",MAX(0,MIN(I24,S$7+6)-MAX(H24,S$7)+1)/J24*E24)</f>
        <v/>
      </c>
      <c r="T25" s="25">
        <f>IF(OR(E24="",J24="",N(T$7)=0),"",MAX(0,MIN(I24,T$7+6)-MAX(H24,T$7)+1)/J24*E24)</f>
        <v/>
      </c>
      <c r="U25" s="25">
        <f>IF(OR(E24="",J24="",N(U$7)=0),"",MAX(0,MIN(I24,U$7+6)-MAX(H24,U$7)+1)/J24*E24)</f>
        <v/>
      </c>
      <c r="V25" s="25">
        <f>IF(OR(E24="",J24="",N(V$7)=0),"",MAX(0,MIN(I24,V$7+6)-MAX(H24,V$7)+1)/J24*E24)</f>
        <v/>
      </c>
      <c r="W25" s="25">
        <f>IF(OR(E24="",J24="",N(W$7)=0),"",MAX(0,MIN(I24,W$7+6)-MAX(H24,W$7)+1)/J24*E24)</f>
        <v/>
      </c>
      <c r="X25" s="25">
        <f>IF(OR(E24="",J24="",N(X$7)=0),"",MAX(0,MIN(I24,X$7+6)-MAX(H24,X$7)+1)/J24*E24)</f>
        <v/>
      </c>
      <c r="Y25" s="25">
        <f>IF(OR(E24="",J24="",N(Y$7)=0),"",MAX(0,MIN(I24,Y$7+6)-MAX(H24,Y$7)+1)/J24*E24)</f>
        <v/>
      </c>
      <c r="Z25" s="25">
        <f>IF(OR(E24="",J24="",N(Z$7)=0),"",MAX(0,MIN(I24,Z$7+6)-MAX(H24,Z$7)+1)/J24*E24)</f>
        <v/>
      </c>
      <c r="AA25" s="25">
        <f>IF(OR(E24="",J24="",N(AA$7)=0),"",MAX(0,MIN(I24,AA$7+6)-MAX(H24,AA$7)+1)/J24*E24)</f>
        <v/>
      </c>
      <c r="AB25" s="25">
        <f>IF(OR(E24="",J24="",N(AB$7)=0),"",MAX(0,MIN(I24,AB$7+6)-MAX(H24,AB$7)+1)/J24*E24)</f>
        <v/>
      </c>
      <c r="AC25" s="25">
        <f>IF(OR(E24="",J24="",N(AC$7)=0),"",MAX(0,MIN(I24,AC$7+6)-MAX(H24,AC$7)+1)/J24*E24)</f>
        <v/>
      </c>
      <c r="AD25" s="25">
        <f>IF(OR(E24="",J24="",N(AD$7)=0),"",MAX(0,MIN(I24,AD$7+6)-MAX(H24,AD$7)+1)/J24*E24)</f>
        <v/>
      </c>
      <c r="AE25" s="25">
        <f>IF(OR(E24="",J24="",N(AE$7)=0),"",MAX(0,MIN(I24,AE$7+6)-MAX(H24,AE$7)+1)/J24*E24)</f>
        <v/>
      </c>
      <c r="AF25" s="25">
        <f>IF(OR(E24="",J24="",N(AF$7)=0),"",MAX(0,MIN(I24,AF$7+6)-MAX(H24,AF$7)+1)/J24*E24)</f>
        <v/>
      </c>
      <c r="AG25" s="25">
        <f>IF(OR(E24="",J24="",N(AG$7)=0),"",MAX(0,MIN(I24,AG$7+6)-MAX(H24,AG$7)+1)/J24*E24)</f>
        <v/>
      </c>
      <c r="AH25" s="25">
        <f>IF(OR(E24="",J24="",N(AH$7)=0),"",MAX(0,MIN(I24,AH$7+6)-MAX(H24,AH$7)+1)/J24*E24)</f>
        <v/>
      </c>
      <c r="AI25" s="25">
        <f>IF(OR(E24="",J24="",N(AI$7)=0),"",MAX(0,MIN(I24,AI$7+6)-MAX(H24,AI$7)+1)/J24*E24)</f>
        <v/>
      </c>
      <c r="AJ25" s="25">
        <f>IF(OR(E24="",J24="",N(AJ$7)=0),"",MAX(0,MIN(I24,AJ$7+6)-MAX(H24,AJ$7)+1)/J24*E24)</f>
        <v/>
      </c>
      <c r="AK25" s="25">
        <f>IF(OR(E24="",J24="",N(AK$7)=0),"",MAX(0,MIN(I24,AK$7+6)-MAX(H24,AK$7)+1)/J24*E24)</f>
        <v/>
      </c>
      <c r="AL25" s="25">
        <f>IF(OR(E24="",J24="",N(AL$7)=0),"",MAX(0,MIN(I24,AL$7+6)-MAX(H24,AL$7)+1)/J24*E24)</f>
        <v/>
      </c>
      <c r="AM25" s="25">
        <f>IF(OR(E24="",J24="",N(AM$7)=0),"",MAX(0,MIN(I24,AM$7+6)-MAX(H24,AM$7)+1)/J24*E24)</f>
        <v/>
      </c>
      <c r="AN25" s="25">
        <f>IF(OR(E24="",J24="",N(AN$7)=0),"",MAX(0,MIN(I24,AN$7+6)-MAX(H24,AN$7)+1)/J24*E24)</f>
        <v/>
      </c>
      <c r="AO25" s="25">
        <f>IF(OR(E24="",J24="",N(AO$7)=0),"",MAX(0,MIN(I24,AO$7+6)-MAX(H24,AO$7)+1)/J24*E24)</f>
        <v/>
      </c>
      <c r="AP25" s="6" t="n"/>
      <c r="AQ25" s="6" t="n"/>
    </row>
    <row r="26" ht="11" customHeight="1">
      <c r="A26" s="14" t="inlineStr">
        <is>
          <t>부대공사</t>
        </is>
      </c>
      <c r="B26" s="14" t="inlineStr">
        <is>
          <t>가설공</t>
        </is>
      </c>
      <c r="C26" s="15" t="inlineStr">
        <is>
          <t>가설사무소</t>
        </is>
      </c>
      <c r="D26" s="16" t="n">
        <v>4200</v>
      </c>
      <c r="E26" s="17">
        <f>IF(OR(N(D26)=0,N($D$48)=0),"",D26/$D$48*100)</f>
        <v/>
      </c>
      <c r="F26" s="18" t="n">
        <v>1</v>
      </c>
      <c r="G26" s="14" t="inlineStr">
        <is>
          <t>식</t>
        </is>
      </c>
      <c r="H26" s="19" t="n">
        <v>46083</v>
      </c>
      <c r="I26" s="19" t="n">
        <v>46290</v>
      </c>
      <c r="J26" s="20">
        <f>IF(OR(N(H26)=0,N(I26)=0),"",I26-H26+1)</f>
        <v/>
      </c>
      <c r="K26" s="21" t="n"/>
      <c r="L26" s="22" t="inlineStr"/>
      <c r="M26" s="22" t="inlineStr"/>
      <c r="N26" s="22" t="inlineStr"/>
      <c r="O26" s="22" t="inlineStr"/>
      <c r="P26" s="22" t="inlineStr"/>
      <c r="Q26" s="22" t="inlineStr"/>
      <c r="R26" s="22" t="inlineStr"/>
      <c r="S26" s="22" t="inlineStr"/>
      <c r="T26" s="22" t="inlineStr"/>
      <c r="U26" s="22" t="inlineStr"/>
      <c r="V26" s="22" t="inlineStr"/>
      <c r="W26" s="22" t="inlineStr"/>
      <c r="X26" s="22" t="inlineStr"/>
      <c r="Y26" s="22" t="inlineStr"/>
      <c r="Z26" s="22" t="inlineStr"/>
      <c r="AA26" s="22" t="inlineStr"/>
      <c r="AB26" s="22" t="inlineStr"/>
      <c r="AC26" s="22" t="inlineStr"/>
      <c r="AD26" s="22" t="inlineStr"/>
      <c r="AE26" s="22" t="inlineStr"/>
      <c r="AF26" s="22" t="inlineStr"/>
      <c r="AG26" s="22" t="inlineStr"/>
      <c r="AH26" s="22" t="inlineStr"/>
      <c r="AI26" s="22" t="inlineStr"/>
      <c r="AJ26" s="22" t="inlineStr"/>
      <c r="AK26" s="22" t="inlineStr"/>
      <c r="AL26" s="22" t="inlineStr"/>
      <c r="AM26" s="22" t="inlineStr"/>
      <c r="AN26" s="22" t="inlineStr"/>
      <c r="AO26" s="22" t="inlineStr"/>
      <c r="AP26" s="23">
        <f>IF(E26="","",SUM(L27:AO27))</f>
        <v/>
      </c>
      <c r="AQ26" s="24">
        <f>IF(E26="","",ROUND(E26-AP26,2))</f>
        <v/>
      </c>
    </row>
    <row r="27" ht="13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25">
        <f>IF(OR(E26="",J26="",N(L$7)=0),"",MAX(0,MIN(I26,L$7+6)-MAX(H26,L$7)+1)/J26*E26)</f>
        <v/>
      </c>
      <c r="M27" s="25">
        <f>IF(OR(E26="",J26="",N(M$7)=0),"",MAX(0,MIN(I26,M$7+6)-MAX(H26,M$7)+1)/J26*E26)</f>
        <v/>
      </c>
      <c r="N27" s="25">
        <f>IF(OR(E26="",J26="",N(N$7)=0),"",MAX(0,MIN(I26,N$7+6)-MAX(H26,N$7)+1)/J26*E26)</f>
        <v/>
      </c>
      <c r="O27" s="25">
        <f>IF(OR(E26="",J26="",N(O$7)=0),"",MAX(0,MIN(I26,O$7+6)-MAX(H26,O$7)+1)/J26*E26)</f>
        <v/>
      </c>
      <c r="P27" s="25">
        <f>IF(OR(E26="",J26="",N(P$7)=0),"",MAX(0,MIN(I26,P$7+6)-MAX(H26,P$7)+1)/J26*E26)</f>
        <v/>
      </c>
      <c r="Q27" s="25">
        <f>IF(OR(E26="",J26="",N(Q$7)=0),"",MAX(0,MIN(I26,Q$7+6)-MAX(H26,Q$7)+1)/J26*E26)</f>
        <v/>
      </c>
      <c r="R27" s="25">
        <f>IF(OR(E26="",J26="",N(R$7)=0),"",MAX(0,MIN(I26,R$7+6)-MAX(H26,R$7)+1)/J26*E26)</f>
        <v/>
      </c>
      <c r="S27" s="25">
        <f>IF(OR(E26="",J26="",N(S$7)=0),"",MAX(0,MIN(I26,S$7+6)-MAX(H26,S$7)+1)/J26*E26)</f>
        <v/>
      </c>
      <c r="T27" s="25">
        <f>IF(OR(E26="",J26="",N(T$7)=0),"",MAX(0,MIN(I26,T$7+6)-MAX(H26,T$7)+1)/J26*E26)</f>
        <v/>
      </c>
      <c r="U27" s="25">
        <f>IF(OR(E26="",J26="",N(U$7)=0),"",MAX(0,MIN(I26,U$7+6)-MAX(H26,U$7)+1)/J26*E26)</f>
        <v/>
      </c>
      <c r="V27" s="25">
        <f>IF(OR(E26="",J26="",N(V$7)=0),"",MAX(0,MIN(I26,V$7+6)-MAX(H26,V$7)+1)/J26*E26)</f>
        <v/>
      </c>
      <c r="W27" s="25">
        <f>IF(OR(E26="",J26="",N(W$7)=0),"",MAX(0,MIN(I26,W$7+6)-MAX(H26,W$7)+1)/J26*E26)</f>
        <v/>
      </c>
      <c r="X27" s="25">
        <f>IF(OR(E26="",J26="",N(X$7)=0),"",MAX(0,MIN(I26,X$7+6)-MAX(H26,X$7)+1)/J26*E26)</f>
        <v/>
      </c>
      <c r="Y27" s="25">
        <f>IF(OR(E26="",J26="",N(Y$7)=0),"",MAX(0,MIN(I26,Y$7+6)-MAX(H26,Y$7)+1)/J26*E26)</f>
        <v/>
      </c>
      <c r="Z27" s="25">
        <f>IF(OR(E26="",J26="",N(Z$7)=0),"",MAX(0,MIN(I26,Z$7+6)-MAX(H26,Z$7)+1)/J26*E26)</f>
        <v/>
      </c>
      <c r="AA27" s="25">
        <f>IF(OR(E26="",J26="",N(AA$7)=0),"",MAX(0,MIN(I26,AA$7+6)-MAX(H26,AA$7)+1)/J26*E26)</f>
        <v/>
      </c>
      <c r="AB27" s="25">
        <f>IF(OR(E26="",J26="",N(AB$7)=0),"",MAX(0,MIN(I26,AB$7+6)-MAX(H26,AB$7)+1)/J26*E26)</f>
        <v/>
      </c>
      <c r="AC27" s="25">
        <f>IF(OR(E26="",J26="",N(AC$7)=0),"",MAX(0,MIN(I26,AC$7+6)-MAX(H26,AC$7)+1)/J26*E26)</f>
        <v/>
      </c>
      <c r="AD27" s="25">
        <f>IF(OR(E26="",J26="",N(AD$7)=0),"",MAX(0,MIN(I26,AD$7+6)-MAX(H26,AD$7)+1)/J26*E26)</f>
        <v/>
      </c>
      <c r="AE27" s="25">
        <f>IF(OR(E26="",J26="",N(AE$7)=0),"",MAX(0,MIN(I26,AE$7+6)-MAX(H26,AE$7)+1)/J26*E26)</f>
        <v/>
      </c>
      <c r="AF27" s="25">
        <f>IF(OR(E26="",J26="",N(AF$7)=0),"",MAX(0,MIN(I26,AF$7+6)-MAX(H26,AF$7)+1)/J26*E26)</f>
        <v/>
      </c>
      <c r="AG27" s="25">
        <f>IF(OR(E26="",J26="",N(AG$7)=0),"",MAX(0,MIN(I26,AG$7+6)-MAX(H26,AG$7)+1)/J26*E26)</f>
        <v/>
      </c>
      <c r="AH27" s="25">
        <f>IF(OR(E26="",J26="",N(AH$7)=0),"",MAX(0,MIN(I26,AH$7+6)-MAX(H26,AH$7)+1)/J26*E26)</f>
        <v/>
      </c>
      <c r="AI27" s="25">
        <f>IF(OR(E26="",J26="",N(AI$7)=0),"",MAX(0,MIN(I26,AI$7+6)-MAX(H26,AI$7)+1)/J26*E26)</f>
        <v/>
      </c>
      <c r="AJ27" s="25">
        <f>IF(OR(E26="",J26="",N(AJ$7)=0),"",MAX(0,MIN(I26,AJ$7+6)-MAX(H26,AJ$7)+1)/J26*E26)</f>
        <v/>
      </c>
      <c r="AK27" s="25">
        <f>IF(OR(E26="",J26="",N(AK$7)=0),"",MAX(0,MIN(I26,AK$7+6)-MAX(H26,AK$7)+1)/J26*E26)</f>
        <v/>
      </c>
      <c r="AL27" s="25">
        <f>IF(OR(E26="",J26="",N(AL$7)=0),"",MAX(0,MIN(I26,AL$7+6)-MAX(H26,AL$7)+1)/J26*E26)</f>
        <v/>
      </c>
      <c r="AM27" s="25">
        <f>IF(OR(E26="",J26="",N(AM$7)=0),"",MAX(0,MIN(I26,AM$7+6)-MAX(H26,AM$7)+1)/J26*E26)</f>
        <v/>
      </c>
      <c r="AN27" s="25">
        <f>IF(OR(E26="",J26="",N(AN$7)=0),"",MAX(0,MIN(I26,AN$7+6)-MAX(H26,AN$7)+1)/J26*E26)</f>
        <v/>
      </c>
      <c r="AO27" s="25">
        <f>IF(OR(E26="",J26="",N(AO$7)=0),"",MAX(0,MIN(I26,AO$7+6)-MAX(H26,AO$7)+1)/J26*E26)</f>
        <v/>
      </c>
      <c r="AP27" s="6" t="n"/>
      <c r="AQ27" s="6" t="n"/>
    </row>
    <row r="28" ht="11" customHeight="1">
      <c r="A28" s="14" t="n"/>
      <c r="B28" s="14" t="inlineStr">
        <is>
          <t>가설공</t>
        </is>
      </c>
      <c r="C28" s="15" t="inlineStr">
        <is>
          <t>세륜·축중기</t>
        </is>
      </c>
      <c r="D28" s="16" t="n">
        <v>9800</v>
      </c>
      <c r="E28" s="17">
        <f>IF(OR(N(D28)=0,N($D$48)=0),"",D28/$D$48*100)</f>
        <v/>
      </c>
      <c r="F28" s="18" t="n">
        <v>1</v>
      </c>
      <c r="G28" s="14" t="inlineStr">
        <is>
          <t>식</t>
        </is>
      </c>
      <c r="H28" s="19" t="n">
        <v>46083</v>
      </c>
      <c r="I28" s="19" t="n">
        <v>46262</v>
      </c>
      <c r="J28" s="20">
        <f>IF(OR(N(H28)=0,N(I28)=0),"",I28-H28+1)</f>
        <v/>
      </c>
      <c r="K28" s="21" t="n"/>
      <c r="L28" s="22" t="inlineStr"/>
      <c r="M28" s="22" t="inlineStr"/>
      <c r="N28" s="22" t="inlineStr"/>
      <c r="O28" s="22" t="inlineStr"/>
      <c r="P28" s="22" t="inlineStr"/>
      <c r="Q28" s="22" t="inlineStr"/>
      <c r="R28" s="22" t="inlineStr"/>
      <c r="S28" s="22" t="inlineStr"/>
      <c r="T28" s="22" t="inlineStr"/>
      <c r="U28" s="22" t="inlineStr"/>
      <c r="V28" s="22" t="inlineStr"/>
      <c r="W28" s="22" t="inlineStr"/>
      <c r="X28" s="22" t="inlineStr"/>
      <c r="Y28" s="22" t="inlineStr"/>
      <c r="Z28" s="22" t="inlineStr"/>
      <c r="AA28" s="22" t="inlineStr"/>
      <c r="AB28" s="22" t="inlineStr"/>
      <c r="AC28" s="22" t="inlineStr"/>
      <c r="AD28" s="22" t="inlineStr"/>
      <c r="AE28" s="22" t="inlineStr"/>
      <c r="AF28" s="22" t="inlineStr"/>
      <c r="AG28" s="22" t="inlineStr"/>
      <c r="AH28" s="22" t="inlineStr"/>
      <c r="AI28" s="22" t="inlineStr"/>
      <c r="AJ28" s="22" t="inlineStr"/>
      <c r="AK28" s="22" t="inlineStr"/>
      <c r="AL28" s="22" t="inlineStr"/>
      <c r="AM28" s="22" t="inlineStr"/>
      <c r="AN28" s="22" t="inlineStr"/>
      <c r="AO28" s="22" t="inlineStr"/>
      <c r="AP28" s="23">
        <f>IF(E28="","",SUM(L29:AO29))</f>
        <v/>
      </c>
      <c r="AQ28" s="24">
        <f>IF(E28="","",ROUND(E28-AP28,2))</f>
        <v/>
      </c>
    </row>
    <row r="29" ht="13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25">
        <f>IF(OR(E28="",J28="",N(L$7)=0),"",MAX(0,MIN(I28,L$7+6)-MAX(H28,L$7)+1)/J28*E28)</f>
        <v/>
      </c>
      <c r="M29" s="25">
        <f>IF(OR(E28="",J28="",N(M$7)=0),"",MAX(0,MIN(I28,M$7+6)-MAX(H28,M$7)+1)/J28*E28)</f>
        <v/>
      </c>
      <c r="N29" s="25">
        <f>IF(OR(E28="",J28="",N(N$7)=0),"",MAX(0,MIN(I28,N$7+6)-MAX(H28,N$7)+1)/J28*E28)</f>
        <v/>
      </c>
      <c r="O29" s="25">
        <f>IF(OR(E28="",J28="",N(O$7)=0),"",MAX(0,MIN(I28,O$7+6)-MAX(H28,O$7)+1)/J28*E28)</f>
        <v/>
      </c>
      <c r="P29" s="25">
        <f>IF(OR(E28="",J28="",N(P$7)=0),"",MAX(0,MIN(I28,P$7+6)-MAX(H28,P$7)+1)/J28*E28)</f>
        <v/>
      </c>
      <c r="Q29" s="25">
        <f>IF(OR(E28="",J28="",N(Q$7)=0),"",MAX(0,MIN(I28,Q$7+6)-MAX(H28,Q$7)+1)/J28*E28)</f>
        <v/>
      </c>
      <c r="R29" s="25">
        <f>IF(OR(E28="",J28="",N(R$7)=0),"",MAX(0,MIN(I28,R$7+6)-MAX(H28,R$7)+1)/J28*E28)</f>
        <v/>
      </c>
      <c r="S29" s="25">
        <f>IF(OR(E28="",J28="",N(S$7)=0),"",MAX(0,MIN(I28,S$7+6)-MAX(H28,S$7)+1)/J28*E28)</f>
        <v/>
      </c>
      <c r="T29" s="25">
        <f>IF(OR(E28="",J28="",N(T$7)=0),"",MAX(0,MIN(I28,T$7+6)-MAX(H28,T$7)+1)/J28*E28)</f>
        <v/>
      </c>
      <c r="U29" s="25">
        <f>IF(OR(E28="",J28="",N(U$7)=0),"",MAX(0,MIN(I28,U$7+6)-MAX(H28,U$7)+1)/J28*E28)</f>
        <v/>
      </c>
      <c r="V29" s="25">
        <f>IF(OR(E28="",J28="",N(V$7)=0),"",MAX(0,MIN(I28,V$7+6)-MAX(H28,V$7)+1)/J28*E28)</f>
        <v/>
      </c>
      <c r="W29" s="25">
        <f>IF(OR(E28="",J28="",N(W$7)=0),"",MAX(0,MIN(I28,W$7+6)-MAX(H28,W$7)+1)/J28*E28)</f>
        <v/>
      </c>
      <c r="X29" s="25">
        <f>IF(OR(E28="",J28="",N(X$7)=0),"",MAX(0,MIN(I28,X$7+6)-MAX(H28,X$7)+1)/J28*E28)</f>
        <v/>
      </c>
      <c r="Y29" s="25">
        <f>IF(OR(E28="",J28="",N(Y$7)=0),"",MAX(0,MIN(I28,Y$7+6)-MAX(H28,Y$7)+1)/J28*E28)</f>
        <v/>
      </c>
      <c r="Z29" s="25">
        <f>IF(OR(E28="",J28="",N(Z$7)=0),"",MAX(0,MIN(I28,Z$7+6)-MAX(H28,Z$7)+1)/J28*E28)</f>
        <v/>
      </c>
      <c r="AA29" s="25">
        <f>IF(OR(E28="",J28="",N(AA$7)=0),"",MAX(0,MIN(I28,AA$7+6)-MAX(H28,AA$7)+1)/J28*E28)</f>
        <v/>
      </c>
      <c r="AB29" s="25">
        <f>IF(OR(E28="",J28="",N(AB$7)=0),"",MAX(0,MIN(I28,AB$7+6)-MAX(H28,AB$7)+1)/J28*E28)</f>
        <v/>
      </c>
      <c r="AC29" s="25">
        <f>IF(OR(E28="",J28="",N(AC$7)=0),"",MAX(0,MIN(I28,AC$7+6)-MAX(H28,AC$7)+1)/J28*E28)</f>
        <v/>
      </c>
      <c r="AD29" s="25">
        <f>IF(OR(E28="",J28="",N(AD$7)=0),"",MAX(0,MIN(I28,AD$7+6)-MAX(H28,AD$7)+1)/J28*E28)</f>
        <v/>
      </c>
      <c r="AE29" s="25">
        <f>IF(OR(E28="",J28="",N(AE$7)=0),"",MAX(0,MIN(I28,AE$7+6)-MAX(H28,AE$7)+1)/J28*E28)</f>
        <v/>
      </c>
      <c r="AF29" s="25">
        <f>IF(OR(E28="",J28="",N(AF$7)=0),"",MAX(0,MIN(I28,AF$7+6)-MAX(H28,AF$7)+1)/J28*E28)</f>
        <v/>
      </c>
      <c r="AG29" s="25">
        <f>IF(OR(E28="",J28="",N(AG$7)=0),"",MAX(0,MIN(I28,AG$7+6)-MAX(H28,AG$7)+1)/J28*E28)</f>
        <v/>
      </c>
      <c r="AH29" s="25">
        <f>IF(OR(E28="",J28="",N(AH$7)=0),"",MAX(0,MIN(I28,AH$7+6)-MAX(H28,AH$7)+1)/J28*E28)</f>
        <v/>
      </c>
      <c r="AI29" s="25">
        <f>IF(OR(E28="",J28="",N(AI$7)=0),"",MAX(0,MIN(I28,AI$7+6)-MAX(H28,AI$7)+1)/J28*E28)</f>
        <v/>
      </c>
      <c r="AJ29" s="25">
        <f>IF(OR(E28="",J28="",N(AJ$7)=0),"",MAX(0,MIN(I28,AJ$7+6)-MAX(H28,AJ$7)+1)/J28*E28)</f>
        <v/>
      </c>
      <c r="AK29" s="25">
        <f>IF(OR(E28="",J28="",N(AK$7)=0),"",MAX(0,MIN(I28,AK$7+6)-MAX(H28,AK$7)+1)/J28*E28)</f>
        <v/>
      </c>
      <c r="AL29" s="25">
        <f>IF(OR(E28="",J28="",N(AL$7)=0),"",MAX(0,MIN(I28,AL$7+6)-MAX(H28,AL$7)+1)/J28*E28)</f>
        <v/>
      </c>
      <c r="AM29" s="25">
        <f>IF(OR(E28="",J28="",N(AM$7)=0),"",MAX(0,MIN(I28,AM$7+6)-MAX(H28,AM$7)+1)/J28*E28)</f>
        <v/>
      </c>
      <c r="AN29" s="25">
        <f>IF(OR(E28="",J28="",N(AN$7)=0),"",MAX(0,MIN(I28,AN$7+6)-MAX(H28,AN$7)+1)/J28*E28)</f>
        <v/>
      </c>
      <c r="AO29" s="25">
        <f>IF(OR(E28="",J28="",N(AO$7)=0),"",MAX(0,MIN(I28,AO$7+6)-MAX(H28,AO$7)+1)/J28*E28)</f>
        <v/>
      </c>
      <c r="AP29" s="6" t="n"/>
      <c r="AQ29" s="6" t="n"/>
    </row>
    <row r="30" ht="11" customHeight="1">
      <c r="A30" s="14" t="n"/>
      <c r="B30" s="14" t="inlineStr">
        <is>
          <t>운반</t>
        </is>
      </c>
      <c r="C30" s="15" t="inlineStr">
        <is>
          <t>각종 운반</t>
        </is>
      </c>
      <c r="D30" s="16" t="n">
        <v>31000</v>
      </c>
      <c r="E30" s="17">
        <f>IF(OR(N(D30)=0,N($D$48)=0),"",D30/$D$48*100)</f>
        <v/>
      </c>
      <c r="F30" s="18" t="n">
        <v>1</v>
      </c>
      <c r="G30" s="14" t="inlineStr">
        <is>
          <t>식</t>
        </is>
      </c>
      <c r="H30" s="19" t="n">
        <v>46090</v>
      </c>
      <c r="I30" s="19" t="n">
        <v>46262</v>
      </c>
      <c r="J30" s="20">
        <f>IF(OR(N(H30)=0,N(I30)=0),"",I30-H30+1)</f>
        <v/>
      </c>
      <c r="K30" s="21" t="n"/>
      <c r="L30" s="22" t="inlineStr"/>
      <c r="M30" s="22" t="inlineStr"/>
      <c r="N30" s="22" t="inlineStr"/>
      <c r="O30" s="22" t="inlineStr"/>
      <c r="P30" s="22" t="inlineStr"/>
      <c r="Q30" s="22" t="inlineStr"/>
      <c r="R30" s="22" t="inlineStr"/>
      <c r="S30" s="22" t="inlineStr"/>
      <c r="T30" s="22" t="inlineStr"/>
      <c r="U30" s="22" t="inlineStr"/>
      <c r="V30" s="22" t="inlineStr"/>
      <c r="W30" s="22" t="inlineStr"/>
      <c r="X30" s="22" t="inlineStr"/>
      <c r="Y30" s="22" t="inlineStr"/>
      <c r="Z30" s="22" t="inlineStr"/>
      <c r="AA30" s="22" t="inlineStr"/>
      <c r="AB30" s="22" t="inlineStr"/>
      <c r="AC30" s="22" t="inlineStr"/>
      <c r="AD30" s="22" t="inlineStr"/>
      <c r="AE30" s="22" t="inlineStr"/>
      <c r="AF30" s="22" t="inlineStr"/>
      <c r="AG30" s="22" t="inlineStr"/>
      <c r="AH30" s="22" t="inlineStr"/>
      <c r="AI30" s="22" t="inlineStr"/>
      <c r="AJ30" s="22" t="inlineStr"/>
      <c r="AK30" s="22" t="inlineStr"/>
      <c r="AL30" s="22" t="inlineStr"/>
      <c r="AM30" s="22" t="inlineStr"/>
      <c r="AN30" s="22" t="inlineStr"/>
      <c r="AO30" s="22" t="inlineStr"/>
      <c r="AP30" s="23">
        <f>IF(E30="","",SUM(L31:AO31))</f>
        <v/>
      </c>
      <c r="AQ30" s="24">
        <f>IF(E30="","",ROUND(E30-AP30,2))</f>
        <v/>
      </c>
    </row>
    <row r="31" ht="13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25">
        <f>IF(OR(E30="",J30="",N(L$7)=0),"",MAX(0,MIN(I30,L$7+6)-MAX(H30,L$7)+1)/J30*E30)</f>
        <v/>
      </c>
      <c r="M31" s="25">
        <f>IF(OR(E30="",J30="",N(M$7)=0),"",MAX(0,MIN(I30,M$7+6)-MAX(H30,M$7)+1)/J30*E30)</f>
        <v/>
      </c>
      <c r="N31" s="25">
        <f>IF(OR(E30="",J30="",N(N$7)=0),"",MAX(0,MIN(I30,N$7+6)-MAX(H30,N$7)+1)/J30*E30)</f>
        <v/>
      </c>
      <c r="O31" s="25">
        <f>IF(OR(E30="",J30="",N(O$7)=0),"",MAX(0,MIN(I30,O$7+6)-MAX(H30,O$7)+1)/J30*E30)</f>
        <v/>
      </c>
      <c r="P31" s="25">
        <f>IF(OR(E30="",J30="",N(P$7)=0),"",MAX(0,MIN(I30,P$7+6)-MAX(H30,P$7)+1)/J30*E30)</f>
        <v/>
      </c>
      <c r="Q31" s="25">
        <f>IF(OR(E30="",J30="",N(Q$7)=0),"",MAX(0,MIN(I30,Q$7+6)-MAX(H30,Q$7)+1)/J30*E30)</f>
        <v/>
      </c>
      <c r="R31" s="25">
        <f>IF(OR(E30="",J30="",N(R$7)=0),"",MAX(0,MIN(I30,R$7+6)-MAX(H30,R$7)+1)/J30*E30)</f>
        <v/>
      </c>
      <c r="S31" s="25">
        <f>IF(OR(E30="",J30="",N(S$7)=0),"",MAX(0,MIN(I30,S$7+6)-MAX(H30,S$7)+1)/J30*E30)</f>
        <v/>
      </c>
      <c r="T31" s="25">
        <f>IF(OR(E30="",J30="",N(T$7)=0),"",MAX(0,MIN(I30,T$7+6)-MAX(H30,T$7)+1)/J30*E30)</f>
        <v/>
      </c>
      <c r="U31" s="25">
        <f>IF(OR(E30="",J30="",N(U$7)=0),"",MAX(0,MIN(I30,U$7+6)-MAX(H30,U$7)+1)/J30*E30)</f>
        <v/>
      </c>
      <c r="V31" s="25">
        <f>IF(OR(E30="",J30="",N(V$7)=0),"",MAX(0,MIN(I30,V$7+6)-MAX(H30,V$7)+1)/J30*E30)</f>
        <v/>
      </c>
      <c r="W31" s="25">
        <f>IF(OR(E30="",J30="",N(W$7)=0),"",MAX(0,MIN(I30,W$7+6)-MAX(H30,W$7)+1)/J30*E30)</f>
        <v/>
      </c>
      <c r="X31" s="25">
        <f>IF(OR(E30="",J30="",N(X$7)=0),"",MAX(0,MIN(I30,X$7+6)-MAX(H30,X$7)+1)/J30*E30)</f>
        <v/>
      </c>
      <c r="Y31" s="25">
        <f>IF(OR(E30="",J30="",N(Y$7)=0),"",MAX(0,MIN(I30,Y$7+6)-MAX(H30,Y$7)+1)/J30*E30)</f>
        <v/>
      </c>
      <c r="Z31" s="25">
        <f>IF(OR(E30="",J30="",N(Z$7)=0),"",MAX(0,MIN(I30,Z$7+6)-MAX(H30,Z$7)+1)/J30*E30)</f>
        <v/>
      </c>
      <c r="AA31" s="25">
        <f>IF(OR(E30="",J30="",N(AA$7)=0),"",MAX(0,MIN(I30,AA$7+6)-MAX(H30,AA$7)+1)/J30*E30)</f>
        <v/>
      </c>
      <c r="AB31" s="25">
        <f>IF(OR(E30="",J30="",N(AB$7)=0),"",MAX(0,MIN(I30,AB$7+6)-MAX(H30,AB$7)+1)/J30*E30)</f>
        <v/>
      </c>
      <c r="AC31" s="25">
        <f>IF(OR(E30="",J30="",N(AC$7)=0),"",MAX(0,MIN(I30,AC$7+6)-MAX(H30,AC$7)+1)/J30*E30)</f>
        <v/>
      </c>
      <c r="AD31" s="25">
        <f>IF(OR(E30="",J30="",N(AD$7)=0),"",MAX(0,MIN(I30,AD$7+6)-MAX(H30,AD$7)+1)/J30*E30)</f>
        <v/>
      </c>
      <c r="AE31" s="25">
        <f>IF(OR(E30="",J30="",N(AE$7)=0),"",MAX(0,MIN(I30,AE$7+6)-MAX(H30,AE$7)+1)/J30*E30)</f>
        <v/>
      </c>
      <c r="AF31" s="25">
        <f>IF(OR(E30="",J30="",N(AF$7)=0),"",MAX(0,MIN(I30,AF$7+6)-MAX(H30,AF$7)+1)/J30*E30)</f>
        <v/>
      </c>
      <c r="AG31" s="25">
        <f>IF(OR(E30="",J30="",N(AG$7)=0),"",MAX(0,MIN(I30,AG$7+6)-MAX(H30,AG$7)+1)/J30*E30)</f>
        <v/>
      </c>
      <c r="AH31" s="25">
        <f>IF(OR(E30="",J30="",N(AH$7)=0),"",MAX(0,MIN(I30,AH$7+6)-MAX(H30,AH$7)+1)/J30*E30)</f>
        <v/>
      </c>
      <c r="AI31" s="25">
        <f>IF(OR(E30="",J30="",N(AI$7)=0),"",MAX(0,MIN(I30,AI$7+6)-MAX(H30,AI$7)+1)/J30*E30)</f>
        <v/>
      </c>
      <c r="AJ31" s="25">
        <f>IF(OR(E30="",J30="",N(AJ$7)=0),"",MAX(0,MIN(I30,AJ$7+6)-MAX(H30,AJ$7)+1)/J30*E30)</f>
        <v/>
      </c>
      <c r="AK31" s="25">
        <f>IF(OR(E30="",J30="",N(AK$7)=0),"",MAX(0,MIN(I30,AK$7+6)-MAX(H30,AK$7)+1)/J30*E30)</f>
        <v/>
      </c>
      <c r="AL31" s="25">
        <f>IF(OR(E30="",J30="",N(AL$7)=0),"",MAX(0,MIN(I30,AL$7+6)-MAX(H30,AL$7)+1)/J30*E30)</f>
        <v/>
      </c>
      <c r="AM31" s="25">
        <f>IF(OR(E30="",J30="",N(AM$7)=0),"",MAX(0,MIN(I30,AM$7+6)-MAX(H30,AM$7)+1)/J30*E30)</f>
        <v/>
      </c>
      <c r="AN31" s="25">
        <f>IF(OR(E30="",J30="",N(AN$7)=0),"",MAX(0,MIN(I30,AN$7+6)-MAX(H30,AN$7)+1)/J30*E30)</f>
        <v/>
      </c>
      <c r="AO31" s="25">
        <f>IF(OR(E30="",J30="",N(AO$7)=0),"",MAX(0,MIN(I30,AO$7+6)-MAX(H30,AO$7)+1)/J30*E30)</f>
        <v/>
      </c>
      <c r="AP31" s="6" t="n"/>
      <c r="AQ31" s="6" t="n"/>
    </row>
    <row r="32" ht="11" customHeight="1">
      <c r="A32" s="14" t="inlineStr">
        <is>
          <t>품질시험비</t>
        </is>
      </c>
      <c r="B32" s="14" t="n"/>
      <c r="C32" s="15" t="n"/>
      <c r="D32" s="16" t="n">
        <v>1500</v>
      </c>
      <c r="E32" s="17">
        <f>IF(OR(N(D32)=0,N($D$48)=0),"",D32/$D$48*100)</f>
        <v/>
      </c>
      <c r="F32" s="18" t="n"/>
      <c r="G32" s="14" t="n"/>
      <c r="H32" s="19" t="n">
        <v>46083</v>
      </c>
      <c r="I32" s="19" t="n">
        <v>46290</v>
      </c>
      <c r="J32" s="20">
        <f>IF(OR(N(H32)=0,N(I32)=0),"",I32-H32+1)</f>
        <v/>
      </c>
      <c r="K32" s="21" t="n"/>
      <c r="L32" s="22" t="inlineStr"/>
      <c r="M32" s="22" t="inlineStr"/>
      <c r="N32" s="22" t="inlineStr"/>
      <c r="O32" s="22" t="inlineStr"/>
      <c r="P32" s="22" t="inlineStr"/>
      <c r="Q32" s="22" t="inlineStr"/>
      <c r="R32" s="22" t="inlineStr"/>
      <c r="S32" s="22" t="inlineStr"/>
      <c r="T32" s="22" t="inlineStr"/>
      <c r="U32" s="22" t="inlineStr"/>
      <c r="V32" s="22" t="inlineStr"/>
      <c r="W32" s="22" t="inlineStr"/>
      <c r="X32" s="22" t="inlineStr"/>
      <c r="Y32" s="22" t="inlineStr"/>
      <c r="Z32" s="22" t="inlineStr"/>
      <c r="AA32" s="22" t="inlineStr"/>
      <c r="AB32" s="22" t="inlineStr"/>
      <c r="AC32" s="22" t="inlineStr"/>
      <c r="AD32" s="22" t="inlineStr"/>
      <c r="AE32" s="22" t="inlineStr"/>
      <c r="AF32" s="22" t="inlineStr"/>
      <c r="AG32" s="22" t="inlineStr"/>
      <c r="AH32" s="22" t="inlineStr"/>
      <c r="AI32" s="22" t="inlineStr"/>
      <c r="AJ32" s="22" t="inlineStr"/>
      <c r="AK32" s="22" t="inlineStr"/>
      <c r="AL32" s="22" t="inlineStr"/>
      <c r="AM32" s="22" t="inlineStr"/>
      <c r="AN32" s="22" t="inlineStr"/>
      <c r="AO32" s="22" t="inlineStr"/>
      <c r="AP32" s="23">
        <f>IF(E32="","",SUM(L33:AO33))</f>
        <v/>
      </c>
      <c r="AQ32" s="24">
        <f>IF(E32="","",ROUND(E32-AP32,2))</f>
        <v/>
      </c>
    </row>
    <row r="33" ht="13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25">
        <f>IF(OR(E32="",J32="",N(L$7)=0),"",MAX(0,MIN(I32,L$7+6)-MAX(H32,L$7)+1)/J32*E32)</f>
        <v/>
      </c>
      <c r="M33" s="25">
        <f>IF(OR(E32="",J32="",N(M$7)=0),"",MAX(0,MIN(I32,M$7+6)-MAX(H32,M$7)+1)/J32*E32)</f>
        <v/>
      </c>
      <c r="N33" s="25">
        <f>IF(OR(E32="",J32="",N(N$7)=0),"",MAX(0,MIN(I32,N$7+6)-MAX(H32,N$7)+1)/J32*E32)</f>
        <v/>
      </c>
      <c r="O33" s="25">
        <f>IF(OR(E32="",J32="",N(O$7)=0),"",MAX(0,MIN(I32,O$7+6)-MAX(H32,O$7)+1)/J32*E32)</f>
        <v/>
      </c>
      <c r="P33" s="25">
        <f>IF(OR(E32="",J32="",N(P$7)=0),"",MAX(0,MIN(I32,P$7+6)-MAX(H32,P$7)+1)/J32*E32)</f>
        <v/>
      </c>
      <c r="Q33" s="25">
        <f>IF(OR(E32="",J32="",N(Q$7)=0),"",MAX(0,MIN(I32,Q$7+6)-MAX(H32,Q$7)+1)/J32*E32)</f>
        <v/>
      </c>
      <c r="R33" s="25">
        <f>IF(OR(E32="",J32="",N(R$7)=0),"",MAX(0,MIN(I32,R$7+6)-MAX(H32,R$7)+1)/J32*E32)</f>
        <v/>
      </c>
      <c r="S33" s="25">
        <f>IF(OR(E32="",J32="",N(S$7)=0),"",MAX(0,MIN(I32,S$7+6)-MAX(H32,S$7)+1)/J32*E32)</f>
        <v/>
      </c>
      <c r="T33" s="25">
        <f>IF(OR(E32="",J32="",N(T$7)=0),"",MAX(0,MIN(I32,T$7+6)-MAX(H32,T$7)+1)/J32*E32)</f>
        <v/>
      </c>
      <c r="U33" s="25">
        <f>IF(OR(E32="",J32="",N(U$7)=0),"",MAX(0,MIN(I32,U$7+6)-MAX(H32,U$7)+1)/J32*E32)</f>
        <v/>
      </c>
      <c r="V33" s="25">
        <f>IF(OR(E32="",J32="",N(V$7)=0),"",MAX(0,MIN(I32,V$7+6)-MAX(H32,V$7)+1)/J32*E32)</f>
        <v/>
      </c>
      <c r="W33" s="25">
        <f>IF(OR(E32="",J32="",N(W$7)=0),"",MAX(0,MIN(I32,W$7+6)-MAX(H32,W$7)+1)/J32*E32)</f>
        <v/>
      </c>
      <c r="X33" s="25">
        <f>IF(OR(E32="",J32="",N(X$7)=0),"",MAX(0,MIN(I32,X$7+6)-MAX(H32,X$7)+1)/J32*E32)</f>
        <v/>
      </c>
      <c r="Y33" s="25">
        <f>IF(OR(E32="",J32="",N(Y$7)=0),"",MAX(0,MIN(I32,Y$7+6)-MAX(H32,Y$7)+1)/J32*E32)</f>
        <v/>
      </c>
      <c r="Z33" s="25">
        <f>IF(OR(E32="",J32="",N(Z$7)=0),"",MAX(0,MIN(I32,Z$7+6)-MAX(H32,Z$7)+1)/J32*E32)</f>
        <v/>
      </c>
      <c r="AA33" s="25">
        <f>IF(OR(E32="",J32="",N(AA$7)=0),"",MAX(0,MIN(I32,AA$7+6)-MAX(H32,AA$7)+1)/J32*E32)</f>
        <v/>
      </c>
      <c r="AB33" s="25">
        <f>IF(OR(E32="",J32="",N(AB$7)=0),"",MAX(0,MIN(I32,AB$7+6)-MAX(H32,AB$7)+1)/J32*E32)</f>
        <v/>
      </c>
      <c r="AC33" s="25">
        <f>IF(OR(E32="",J32="",N(AC$7)=0),"",MAX(0,MIN(I32,AC$7+6)-MAX(H32,AC$7)+1)/J32*E32)</f>
        <v/>
      </c>
      <c r="AD33" s="25">
        <f>IF(OR(E32="",J32="",N(AD$7)=0),"",MAX(0,MIN(I32,AD$7+6)-MAX(H32,AD$7)+1)/J32*E32)</f>
        <v/>
      </c>
      <c r="AE33" s="25">
        <f>IF(OR(E32="",J32="",N(AE$7)=0),"",MAX(0,MIN(I32,AE$7+6)-MAX(H32,AE$7)+1)/J32*E32)</f>
        <v/>
      </c>
      <c r="AF33" s="25">
        <f>IF(OR(E32="",J32="",N(AF$7)=0),"",MAX(0,MIN(I32,AF$7+6)-MAX(H32,AF$7)+1)/J32*E32)</f>
        <v/>
      </c>
      <c r="AG33" s="25">
        <f>IF(OR(E32="",J32="",N(AG$7)=0),"",MAX(0,MIN(I32,AG$7+6)-MAX(H32,AG$7)+1)/J32*E32)</f>
        <v/>
      </c>
      <c r="AH33" s="25">
        <f>IF(OR(E32="",J32="",N(AH$7)=0),"",MAX(0,MIN(I32,AH$7+6)-MAX(H32,AH$7)+1)/J32*E32)</f>
        <v/>
      </c>
      <c r="AI33" s="25">
        <f>IF(OR(E32="",J32="",N(AI$7)=0),"",MAX(0,MIN(I32,AI$7+6)-MAX(H32,AI$7)+1)/J32*E32)</f>
        <v/>
      </c>
      <c r="AJ33" s="25">
        <f>IF(OR(E32="",J32="",N(AJ$7)=0),"",MAX(0,MIN(I32,AJ$7+6)-MAX(H32,AJ$7)+1)/J32*E32)</f>
        <v/>
      </c>
      <c r="AK33" s="25">
        <f>IF(OR(E32="",J32="",N(AK$7)=0),"",MAX(0,MIN(I32,AK$7+6)-MAX(H32,AK$7)+1)/J32*E32)</f>
        <v/>
      </c>
      <c r="AL33" s="25">
        <f>IF(OR(E32="",J32="",N(AL$7)=0),"",MAX(0,MIN(I32,AL$7+6)-MAX(H32,AL$7)+1)/J32*E32)</f>
        <v/>
      </c>
      <c r="AM33" s="25">
        <f>IF(OR(E32="",J32="",N(AM$7)=0),"",MAX(0,MIN(I32,AM$7+6)-MAX(H32,AM$7)+1)/J32*E32)</f>
        <v/>
      </c>
      <c r="AN33" s="25">
        <f>IF(OR(E32="",J32="",N(AN$7)=0),"",MAX(0,MIN(I32,AN$7+6)-MAX(H32,AN$7)+1)/J32*E32)</f>
        <v/>
      </c>
      <c r="AO33" s="25">
        <f>IF(OR(E32="",J32="",N(AO$7)=0),"",MAX(0,MIN(I32,AO$7+6)-MAX(H32,AO$7)+1)/J32*E32)</f>
        <v/>
      </c>
      <c r="AP33" s="6" t="n"/>
      <c r="AQ33" s="6" t="n"/>
    </row>
    <row r="34" ht="11" customHeight="1">
      <c r="A34" s="14" t="inlineStr">
        <is>
          <t>안전관리비</t>
        </is>
      </c>
      <c r="B34" s="14" t="n"/>
      <c r="C34" s="15" t="n"/>
      <c r="D34" s="16" t="n">
        <v>9300</v>
      </c>
      <c r="E34" s="17">
        <f>IF(OR(N(D34)=0,N($D$48)=0),"",D34/$D$48*100)</f>
        <v/>
      </c>
      <c r="F34" s="18" t="n"/>
      <c r="G34" s="14" t="n"/>
      <c r="H34" s="19" t="n">
        <v>46083</v>
      </c>
      <c r="I34" s="19" t="n">
        <v>46290</v>
      </c>
      <c r="J34" s="20">
        <f>IF(OR(N(H34)=0,N(I34)=0),"",I34-H34+1)</f>
        <v/>
      </c>
      <c r="K34" s="21" t="n"/>
      <c r="L34" s="22" t="inlineStr"/>
      <c r="M34" s="22" t="inlineStr"/>
      <c r="N34" s="22" t="inlineStr"/>
      <c r="O34" s="22" t="inlineStr"/>
      <c r="P34" s="22" t="inlineStr"/>
      <c r="Q34" s="22" t="inlineStr"/>
      <c r="R34" s="22" t="inlineStr"/>
      <c r="S34" s="22" t="inlineStr"/>
      <c r="T34" s="22" t="inlineStr"/>
      <c r="U34" s="22" t="inlineStr"/>
      <c r="V34" s="22" t="inlineStr"/>
      <c r="W34" s="22" t="inlineStr"/>
      <c r="X34" s="22" t="inlineStr"/>
      <c r="Y34" s="22" t="inlineStr"/>
      <c r="Z34" s="22" t="inlineStr"/>
      <c r="AA34" s="22" t="inlineStr"/>
      <c r="AB34" s="22" t="inlineStr"/>
      <c r="AC34" s="22" t="inlineStr"/>
      <c r="AD34" s="22" t="inlineStr"/>
      <c r="AE34" s="22" t="inlineStr"/>
      <c r="AF34" s="22" t="inlineStr"/>
      <c r="AG34" s="22" t="inlineStr"/>
      <c r="AH34" s="22" t="inlineStr"/>
      <c r="AI34" s="22" t="inlineStr"/>
      <c r="AJ34" s="22" t="inlineStr"/>
      <c r="AK34" s="22" t="inlineStr"/>
      <c r="AL34" s="22" t="inlineStr"/>
      <c r="AM34" s="22" t="inlineStr"/>
      <c r="AN34" s="22" t="inlineStr"/>
      <c r="AO34" s="22" t="inlineStr"/>
      <c r="AP34" s="23">
        <f>IF(E34="","",SUM(L35:AO35))</f>
        <v/>
      </c>
      <c r="AQ34" s="24">
        <f>IF(E34="","",ROUND(E34-AP34,2))</f>
        <v/>
      </c>
    </row>
    <row r="35" ht="13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25">
        <f>IF(OR(E34="",J34="",N(L$7)=0),"",MAX(0,MIN(I34,L$7+6)-MAX(H34,L$7)+1)/J34*E34)</f>
        <v/>
      </c>
      <c r="M35" s="25">
        <f>IF(OR(E34="",J34="",N(M$7)=0),"",MAX(0,MIN(I34,M$7+6)-MAX(H34,M$7)+1)/J34*E34)</f>
        <v/>
      </c>
      <c r="N35" s="25">
        <f>IF(OR(E34="",J34="",N(N$7)=0),"",MAX(0,MIN(I34,N$7+6)-MAX(H34,N$7)+1)/J34*E34)</f>
        <v/>
      </c>
      <c r="O35" s="25">
        <f>IF(OR(E34="",J34="",N(O$7)=0),"",MAX(0,MIN(I34,O$7+6)-MAX(H34,O$7)+1)/J34*E34)</f>
        <v/>
      </c>
      <c r="P35" s="25">
        <f>IF(OR(E34="",J34="",N(P$7)=0),"",MAX(0,MIN(I34,P$7+6)-MAX(H34,P$7)+1)/J34*E34)</f>
        <v/>
      </c>
      <c r="Q35" s="25">
        <f>IF(OR(E34="",J34="",N(Q$7)=0),"",MAX(0,MIN(I34,Q$7+6)-MAX(H34,Q$7)+1)/J34*E34)</f>
        <v/>
      </c>
      <c r="R35" s="25">
        <f>IF(OR(E34="",J34="",N(R$7)=0),"",MAX(0,MIN(I34,R$7+6)-MAX(H34,R$7)+1)/J34*E34)</f>
        <v/>
      </c>
      <c r="S35" s="25">
        <f>IF(OR(E34="",J34="",N(S$7)=0),"",MAX(0,MIN(I34,S$7+6)-MAX(H34,S$7)+1)/J34*E34)</f>
        <v/>
      </c>
      <c r="T35" s="25">
        <f>IF(OR(E34="",J34="",N(T$7)=0),"",MAX(0,MIN(I34,T$7+6)-MAX(H34,T$7)+1)/J34*E34)</f>
        <v/>
      </c>
      <c r="U35" s="25">
        <f>IF(OR(E34="",J34="",N(U$7)=0),"",MAX(0,MIN(I34,U$7+6)-MAX(H34,U$7)+1)/J34*E34)</f>
        <v/>
      </c>
      <c r="V35" s="25">
        <f>IF(OR(E34="",J34="",N(V$7)=0),"",MAX(0,MIN(I34,V$7+6)-MAX(H34,V$7)+1)/J34*E34)</f>
        <v/>
      </c>
      <c r="W35" s="25">
        <f>IF(OR(E34="",J34="",N(W$7)=0),"",MAX(0,MIN(I34,W$7+6)-MAX(H34,W$7)+1)/J34*E34)</f>
        <v/>
      </c>
      <c r="X35" s="25">
        <f>IF(OR(E34="",J34="",N(X$7)=0),"",MAX(0,MIN(I34,X$7+6)-MAX(H34,X$7)+1)/J34*E34)</f>
        <v/>
      </c>
      <c r="Y35" s="25">
        <f>IF(OR(E34="",J34="",N(Y$7)=0),"",MAX(0,MIN(I34,Y$7+6)-MAX(H34,Y$7)+1)/J34*E34)</f>
        <v/>
      </c>
      <c r="Z35" s="25">
        <f>IF(OR(E34="",J34="",N(Z$7)=0),"",MAX(0,MIN(I34,Z$7+6)-MAX(H34,Z$7)+1)/J34*E34)</f>
        <v/>
      </c>
      <c r="AA35" s="25">
        <f>IF(OR(E34="",J34="",N(AA$7)=0),"",MAX(0,MIN(I34,AA$7+6)-MAX(H34,AA$7)+1)/J34*E34)</f>
        <v/>
      </c>
      <c r="AB35" s="25">
        <f>IF(OR(E34="",J34="",N(AB$7)=0),"",MAX(0,MIN(I34,AB$7+6)-MAX(H34,AB$7)+1)/J34*E34)</f>
        <v/>
      </c>
      <c r="AC35" s="25">
        <f>IF(OR(E34="",J34="",N(AC$7)=0),"",MAX(0,MIN(I34,AC$7+6)-MAX(H34,AC$7)+1)/J34*E34)</f>
        <v/>
      </c>
      <c r="AD35" s="25">
        <f>IF(OR(E34="",J34="",N(AD$7)=0),"",MAX(0,MIN(I34,AD$7+6)-MAX(H34,AD$7)+1)/J34*E34)</f>
        <v/>
      </c>
      <c r="AE35" s="25">
        <f>IF(OR(E34="",J34="",N(AE$7)=0),"",MAX(0,MIN(I34,AE$7+6)-MAX(H34,AE$7)+1)/J34*E34)</f>
        <v/>
      </c>
      <c r="AF35" s="25">
        <f>IF(OR(E34="",J34="",N(AF$7)=0),"",MAX(0,MIN(I34,AF$7+6)-MAX(H34,AF$7)+1)/J34*E34)</f>
        <v/>
      </c>
      <c r="AG35" s="25">
        <f>IF(OR(E34="",J34="",N(AG$7)=0),"",MAX(0,MIN(I34,AG$7+6)-MAX(H34,AG$7)+1)/J34*E34)</f>
        <v/>
      </c>
      <c r="AH35" s="25">
        <f>IF(OR(E34="",J34="",N(AH$7)=0),"",MAX(0,MIN(I34,AH$7+6)-MAX(H34,AH$7)+1)/J34*E34)</f>
        <v/>
      </c>
      <c r="AI35" s="25">
        <f>IF(OR(E34="",J34="",N(AI$7)=0),"",MAX(0,MIN(I34,AI$7+6)-MAX(H34,AI$7)+1)/J34*E34)</f>
        <v/>
      </c>
      <c r="AJ35" s="25">
        <f>IF(OR(E34="",J34="",N(AJ$7)=0),"",MAX(0,MIN(I34,AJ$7+6)-MAX(H34,AJ$7)+1)/J34*E34)</f>
        <v/>
      </c>
      <c r="AK35" s="25">
        <f>IF(OR(E34="",J34="",N(AK$7)=0),"",MAX(0,MIN(I34,AK$7+6)-MAX(H34,AK$7)+1)/J34*E34)</f>
        <v/>
      </c>
      <c r="AL35" s="25">
        <f>IF(OR(E34="",J34="",N(AL$7)=0),"",MAX(0,MIN(I34,AL$7+6)-MAX(H34,AL$7)+1)/J34*E34)</f>
        <v/>
      </c>
      <c r="AM35" s="25">
        <f>IF(OR(E34="",J34="",N(AM$7)=0),"",MAX(0,MIN(I34,AM$7+6)-MAX(H34,AM$7)+1)/J34*E34)</f>
        <v/>
      </c>
      <c r="AN35" s="25">
        <f>IF(OR(E34="",J34="",N(AN$7)=0),"",MAX(0,MIN(I34,AN$7+6)-MAX(H34,AN$7)+1)/J34*E34)</f>
        <v/>
      </c>
      <c r="AO35" s="25">
        <f>IF(OR(E34="",J34="",N(AO$7)=0),"",MAX(0,MIN(I34,AO$7+6)-MAX(H34,AO$7)+1)/J34*E34)</f>
        <v/>
      </c>
      <c r="AP35" s="6" t="n"/>
      <c r="AQ35" s="6" t="n"/>
    </row>
    <row r="36" ht="11" customHeight="1">
      <c r="A36" s="14" t="n"/>
      <c r="B36" s="14" t="n"/>
      <c r="C36" s="15" t="n"/>
      <c r="D36" s="16" t="n"/>
      <c r="E36" s="17">
        <f>IF(OR(N(D36)=0,N($D$48)=0),"",D36/$D$48*100)</f>
        <v/>
      </c>
      <c r="F36" s="18" t="n"/>
      <c r="G36" s="14" t="n"/>
      <c r="H36" s="19" t="n"/>
      <c r="I36" s="19" t="n"/>
      <c r="J36" s="20">
        <f>IF(OR(N(H36)=0,N(I36)=0),"",I36-H36+1)</f>
        <v/>
      </c>
      <c r="K36" s="21" t="n"/>
      <c r="L36" s="22" t="inlineStr"/>
      <c r="M36" s="22" t="inlineStr"/>
      <c r="N36" s="22" t="inlineStr"/>
      <c r="O36" s="22" t="inlineStr"/>
      <c r="P36" s="22" t="inlineStr"/>
      <c r="Q36" s="22" t="inlineStr"/>
      <c r="R36" s="22" t="inlineStr"/>
      <c r="S36" s="22" t="inlineStr"/>
      <c r="T36" s="22" t="inlineStr"/>
      <c r="U36" s="22" t="inlineStr"/>
      <c r="V36" s="22" t="inlineStr"/>
      <c r="W36" s="22" t="inlineStr"/>
      <c r="X36" s="22" t="inlineStr"/>
      <c r="Y36" s="22" t="inlineStr"/>
      <c r="Z36" s="22" t="inlineStr"/>
      <c r="AA36" s="22" t="inlineStr"/>
      <c r="AB36" s="22" t="inlineStr"/>
      <c r="AC36" s="22" t="inlineStr"/>
      <c r="AD36" s="22" t="inlineStr"/>
      <c r="AE36" s="22" t="inlineStr"/>
      <c r="AF36" s="22" t="inlineStr"/>
      <c r="AG36" s="22" t="inlineStr"/>
      <c r="AH36" s="22" t="inlineStr"/>
      <c r="AI36" s="22" t="inlineStr"/>
      <c r="AJ36" s="22" t="inlineStr"/>
      <c r="AK36" s="22" t="inlineStr"/>
      <c r="AL36" s="22" t="inlineStr"/>
      <c r="AM36" s="22" t="inlineStr"/>
      <c r="AN36" s="22" t="inlineStr"/>
      <c r="AO36" s="22" t="inlineStr"/>
      <c r="AP36" s="23">
        <f>IF(E36="","",SUM(L37:AO37))</f>
        <v/>
      </c>
      <c r="AQ36" s="24">
        <f>IF(E36="","",ROUND(E36-AP36,2))</f>
        <v/>
      </c>
    </row>
    <row r="37" ht="13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25">
        <f>IF(OR(E36="",J36="",N(L$7)=0),"",MAX(0,MIN(I36,L$7+6)-MAX(H36,L$7)+1)/J36*E36)</f>
        <v/>
      </c>
      <c r="M37" s="25">
        <f>IF(OR(E36="",J36="",N(M$7)=0),"",MAX(0,MIN(I36,M$7+6)-MAX(H36,M$7)+1)/J36*E36)</f>
        <v/>
      </c>
      <c r="N37" s="25">
        <f>IF(OR(E36="",J36="",N(N$7)=0),"",MAX(0,MIN(I36,N$7+6)-MAX(H36,N$7)+1)/J36*E36)</f>
        <v/>
      </c>
      <c r="O37" s="25">
        <f>IF(OR(E36="",J36="",N(O$7)=0),"",MAX(0,MIN(I36,O$7+6)-MAX(H36,O$7)+1)/J36*E36)</f>
        <v/>
      </c>
      <c r="P37" s="25">
        <f>IF(OR(E36="",J36="",N(P$7)=0),"",MAX(0,MIN(I36,P$7+6)-MAX(H36,P$7)+1)/J36*E36)</f>
        <v/>
      </c>
      <c r="Q37" s="25">
        <f>IF(OR(E36="",J36="",N(Q$7)=0),"",MAX(0,MIN(I36,Q$7+6)-MAX(H36,Q$7)+1)/J36*E36)</f>
        <v/>
      </c>
      <c r="R37" s="25">
        <f>IF(OR(E36="",J36="",N(R$7)=0),"",MAX(0,MIN(I36,R$7+6)-MAX(H36,R$7)+1)/J36*E36)</f>
        <v/>
      </c>
      <c r="S37" s="25">
        <f>IF(OR(E36="",J36="",N(S$7)=0),"",MAX(0,MIN(I36,S$7+6)-MAX(H36,S$7)+1)/J36*E36)</f>
        <v/>
      </c>
      <c r="T37" s="25">
        <f>IF(OR(E36="",J36="",N(T$7)=0),"",MAX(0,MIN(I36,T$7+6)-MAX(H36,T$7)+1)/J36*E36)</f>
        <v/>
      </c>
      <c r="U37" s="25">
        <f>IF(OR(E36="",J36="",N(U$7)=0),"",MAX(0,MIN(I36,U$7+6)-MAX(H36,U$7)+1)/J36*E36)</f>
        <v/>
      </c>
      <c r="V37" s="25">
        <f>IF(OR(E36="",J36="",N(V$7)=0),"",MAX(0,MIN(I36,V$7+6)-MAX(H36,V$7)+1)/J36*E36)</f>
        <v/>
      </c>
      <c r="W37" s="25">
        <f>IF(OR(E36="",J36="",N(W$7)=0),"",MAX(0,MIN(I36,W$7+6)-MAX(H36,W$7)+1)/J36*E36)</f>
        <v/>
      </c>
      <c r="X37" s="25">
        <f>IF(OR(E36="",J36="",N(X$7)=0),"",MAX(0,MIN(I36,X$7+6)-MAX(H36,X$7)+1)/J36*E36)</f>
        <v/>
      </c>
      <c r="Y37" s="25">
        <f>IF(OR(E36="",J36="",N(Y$7)=0),"",MAX(0,MIN(I36,Y$7+6)-MAX(H36,Y$7)+1)/J36*E36)</f>
        <v/>
      </c>
      <c r="Z37" s="25">
        <f>IF(OR(E36="",J36="",N(Z$7)=0),"",MAX(0,MIN(I36,Z$7+6)-MAX(H36,Z$7)+1)/J36*E36)</f>
        <v/>
      </c>
      <c r="AA37" s="25">
        <f>IF(OR(E36="",J36="",N(AA$7)=0),"",MAX(0,MIN(I36,AA$7+6)-MAX(H36,AA$7)+1)/J36*E36)</f>
        <v/>
      </c>
      <c r="AB37" s="25">
        <f>IF(OR(E36="",J36="",N(AB$7)=0),"",MAX(0,MIN(I36,AB$7+6)-MAX(H36,AB$7)+1)/J36*E36)</f>
        <v/>
      </c>
      <c r="AC37" s="25">
        <f>IF(OR(E36="",J36="",N(AC$7)=0),"",MAX(0,MIN(I36,AC$7+6)-MAX(H36,AC$7)+1)/J36*E36)</f>
        <v/>
      </c>
      <c r="AD37" s="25">
        <f>IF(OR(E36="",J36="",N(AD$7)=0),"",MAX(0,MIN(I36,AD$7+6)-MAX(H36,AD$7)+1)/J36*E36)</f>
        <v/>
      </c>
      <c r="AE37" s="25">
        <f>IF(OR(E36="",J36="",N(AE$7)=0),"",MAX(0,MIN(I36,AE$7+6)-MAX(H36,AE$7)+1)/J36*E36)</f>
        <v/>
      </c>
      <c r="AF37" s="25">
        <f>IF(OR(E36="",J36="",N(AF$7)=0),"",MAX(0,MIN(I36,AF$7+6)-MAX(H36,AF$7)+1)/J36*E36)</f>
        <v/>
      </c>
      <c r="AG37" s="25">
        <f>IF(OR(E36="",J36="",N(AG$7)=0),"",MAX(0,MIN(I36,AG$7+6)-MAX(H36,AG$7)+1)/J36*E36)</f>
        <v/>
      </c>
      <c r="AH37" s="25">
        <f>IF(OR(E36="",J36="",N(AH$7)=0),"",MAX(0,MIN(I36,AH$7+6)-MAX(H36,AH$7)+1)/J36*E36)</f>
        <v/>
      </c>
      <c r="AI37" s="25">
        <f>IF(OR(E36="",J36="",N(AI$7)=0),"",MAX(0,MIN(I36,AI$7+6)-MAX(H36,AI$7)+1)/J36*E36)</f>
        <v/>
      </c>
      <c r="AJ37" s="25">
        <f>IF(OR(E36="",J36="",N(AJ$7)=0),"",MAX(0,MIN(I36,AJ$7+6)-MAX(H36,AJ$7)+1)/J36*E36)</f>
        <v/>
      </c>
      <c r="AK37" s="25">
        <f>IF(OR(E36="",J36="",N(AK$7)=0),"",MAX(0,MIN(I36,AK$7+6)-MAX(H36,AK$7)+1)/J36*E36)</f>
        <v/>
      </c>
      <c r="AL37" s="25">
        <f>IF(OR(E36="",J36="",N(AL$7)=0),"",MAX(0,MIN(I36,AL$7+6)-MAX(H36,AL$7)+1)/J36*E36)</f>
        <v/>
      </c>
      <c r="AM37" s="25">
        <f>IF(OR(E36="",J36="",N(AM$7)=0),"",MAX(0,MIN(I36,AM$7+6)-MAX(H36,AM$7)+1)/J36*E36)</f>
        <v/>
      </c>
      <c r="AN37" s="25">
        <f>IF(OR(E36="",J36="",N(AN$7)=0),"",MAX(0,MIN(I36,AN$7+6)-MAX(H36,AN$7)+1)/J36*E36)</f>
        <v/>
      </c>
      <c r="AO37" s="25">
        <f>IF(OR(E36="",J36="",N(AO$7)=0),"",MAX(0,MIN(I36,AO$7+6)-MAX(H36,AO$7)+1)/J36*E36)</f>
        <v/>
      </c>
      <c r="AP37" s="6" t="n"/>
      <c r="AQ37" s="6" t="n"/>
    </row>
    <row r="38" ht="11" customHeight="1">
      <c r="A38" s="14" t="n"/>
      <c r="B38" s="14" t="n"/>
      <c r="C38" s="15" t="n"/>
      <c r="D38" s="16" t="n"/>
      <c r="E38" s="17">
        <f>IF(OR(N(D38)=0,N($D$48)=0),"",D38/$D$48*100)</f>
        <v/>
      </c>
      <c r="F38" s="18" t="n"/>
      <c r="G38" s="14" t="n"/>
      <c r="H38" s="19" t="n"/>
      <c r="I38" s="19" t="n"/>
      <c r="J38" s="20">
        <f>IF(OR(N(H38)=0,N(I38)=0),"",I38-H38+1)</f>
        <v/>
      </c>
      <c r="K38" s="21" t="n"/>
      <c r="L38" s="22" t="inlineStr"/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/>
      <c r="W38" s="22" t="inlineStr"/>
      <c r="X38" s="22" t="inlineStr"/>
      <c r="Y38" s="22" t="inlineStr"/>
      <c r="Z38" s="22" t="inlineStr"/>
      <c r="AA38" s="22" t="inlineStr"/>
      <c r="AB38" s="22" t="inlineStr"/>
      <c r="AC38" s="22" t="inlineStr"/>
      <c r="AD38" s="22" t="inlineStr"/>
      <c r="AE38" s="22" t="inlineStr"/>
      <c r="AF38" s="22" t="inlineStr"/>
      <c r="AG38" s="22" t="inlineStr"/>
      <c r="AH38" s="22" t="inlineStr"/>
      <c r="AI38" s="22" t="inlineStr"/>
      <c r="AJ38" s="22" t="inlineStr"/>
      <c r="AK38" s="22" t="inlineStr"/>
      <c r="AL38" s="22" t="inlineStr"/>
      <c r="AM38" s="22" t="inlineStr"/>
      <c r="AN38" s="22" t="inlineStr"/>
      <c r="AO38" s="22" t="inlineStr"/>
      <c r="AP38" s="23">
        <f>IF(E38="","",SUM(L39:AO39))</f>
        <v/>
      </c>
      <c r="AQ38" s="24">
        <f>IF(E38="","",ROUND(E38-AP38,2))</f>
        <v/>
      </c>
    </row>
    <row r="39" ht="13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25">
        <f>IF(OR(E38="",J38="",N(L$7)=0),"",MAX(0,MIN(I38,L$7+6)-MAX(H38,L$7)+1)/J38*E38)</f>
        <v/>
      </c>
      <c r="M39" s="25">
        <f>IF(OR(E38="",J38="",N(M$7)=0),"",MAX(0,MIN(I38,M$7+6)-MAX(H38,M$7)+1)/J38*E38)</f>
        <v/>
      </c>
      <c r="N39" s="25">
        <f>IF(OR(E38="",J38="",N(N$7)=0),"",MAX(0,MIN(I38,N$7+6)-MAX(H38,N$7)+1)/J38*E38)</f>
        <v/>
      </c>
      <c r="O39" s="25">
        <f>IF(OR(E38="",J38="",N(O$7)=0),"",MAX(0,MIN(I38,O$7+6)-MAX(H38,O$7)+1)/J38*E38)</f>
        <v/>
      </c>
      <c r="P39" s="25">
        <f>IF(OR(E38="",J38="",N(P$7)=0),"",MAX(0,MIN(I38,P$7+6)-MAX(H38,P$7)+1)/J38*E38)</f>
        <v/>
      </c>
      <c r="Q39" s="25">
        <f>IF(OR(E38="",J38="",N(Q$7)=0),"",MAX(0,MIN(I38,Q$7+6)-MAX(H38,Q$7)+1)/J38*E38)</f>
        <v/>
      </c>
      <c r="R39" s="25">
        <f>IF(OR(E38="",J38="",N(R$7)=0),"",MAX(0,MIN(I38,R$7+6)-MAX(H38,R$7)+1)/J38*E38)</f>
        <v/>
      </c>
      <c r="S39" s="25">
        <f>IF(OR(E38="",J38="",N(S$7)=0),"",MAX(0,MIN(I38,S$7+6)-MAX(H38,S$7)+1)/J38*E38)</f>
        <v/>
      </c>
      <c r="T39" s="25">
        <f>IF(OR(E38="",J38="",N(T$7)=0),"",MAX(0,MIN(I38,T$7+6)-MAX(H38,T$7)+1)/J38*E38)</f>
        <v/>
      </c>
      <c r="U39" s="25">
        <f>IF(OR(E38="",J38="",N(U$7)=0),"",MAX(0,MIN(I38,U$7+6)-MAX(H38,U$7)+1)/J38*E38)</f>
        <v/>
      </c>
      <c r="V39" s="25">
        <f>IF(OR(E38="",J38="",N(V$7)=0),"",MAX(0,MIN(I38,V$7+6)-MAX(H38,V$7)+1)/J38*E38)</f>
        <v/>
      </c>
      <c r="W39" s="25">
        <f>IF(OR(E38="",J38="",N(W$7)=0),"",MAX(0,MIN(I38,W$7+6)-MAX(H38,W$7)+1)/J38*E38)</f>
        <v/>
      </c>
      <c r="X39" s="25">
        <f>IF(OR(E38="",J38="",N(X$7)=0),"",MAX(0,MIN(I38,X$7+6)-MAX(H38,X$7)+1)/J38*E38)</f>
        <v/>
      </c>
      <c r="Y39" s="25">
        <f>IF(OR(E38="",J38="",N(Y$7)=0),"",MAX(0,MIN(I38,Y$7+6)-MAX(H38,Y$7)+1)/J38*E38)</f>
        <v/>
      </c>
      <c r="Z39" s="25">
        <f>IF(OR(E38="",J38="",N(Z$7)=0),"",MAX(0,MIN(I38,Z$7+6)-MAX(H38,Z$7)+1)/J38*E38)</f>
        <v/>
      </c>
      <c r="AA39" s="25">
        <f>IF(OR(E38="",J38="",N(AA$7)=0),"",MAX(0,MIN(I38,AA$7+6)-MAX(H38,AA$7)+1)/J38*E38)</f>
        <v/>
      </c>
      <c r="AB39" s="25">
        <f>IF(OR(E38="",J38="",N(AB$7)=0),"",MAX(0,MIN(I38,AB$7+6)-MAX(H38,AB$7)+1)/J38*E38)</f>
        <v/>
      </c>
      <c r="AC39" s="25">
        <f>IF(OR(E38="",J38="",N(AC$7)=0),"",MAX(0,MIN(I38,AC$7+6)-MAX(H38,AC$7)+1)/J38*E38)</f>
        <v/>
      </c>
      <c r="AD39" s="25">
        <f>IF(OR(E38="",J38="",N(AD$7)=0),"",MAX(0,MIN(I38,AD$7+6)-MAX(H38,AD$7)+1)/J38*E38)</f>
        <v/>
      </c>
      <c r="AE39" s="25">
        <f>IF(OR(E38="",J38="",N(AE$7)=0),"",MAX(0,MIN(I38,AE$7+6)-MAX(H38,AE$7)+1)/J38*E38)</f>
        <v/>
      </c>
      <c r="AF39" s="25">
        <f>IF(OR(E38="",J38="",N(AF$7)=0),"",MAX(0,MIN(I38,AF$7+6)-MAX(H38,AF$7)+1)/J38*E38)</f>
        <v/>
      </c>
      <c r="AG39" s="25">
        <f>IF(OR(E38="",J38="",N(AG$7)=0),"",MAX(0,MIN(I38,AG$7+6)-MAX(H38,AG$7)+1)/J38*E38)</f>
        <v/>
      </c>
      <c r="AH39" s="25">
        <f>IF(OR(E38="",J38="",N(AH$7)=0),"",MAX(0,MIN(I38,AH$7+6)-MAX(H38,AH$7)+1)/J38*E38)</f>
        <v/>
      </c>
      <c r="AI39" s="25">
        <f>IF(OR(E38="",J38="",N(AI$7)=0),"",MAX(0,MIN(I38,AI$7+6)-MAX(H38,AI$7)+1)/J38*E38)</f>
        <v/>
      </c>
      <c r="AJ39" s="25">
        <f>IF(OR(E38="",J38="",N(AJ$7)=0),"",MAX(0,MIN(I38,AJ$7+6)-MAX(H38,AJ$7)+1)/J38*E38)</f>
        <v/>
      </c>
      <c r="AK39" s="25">
        <f>IF(OR(E38="",J38="",N(AK$7)=0),"",MAX(0,MIN(I38,AK$7+6)-MAX(H38,AK$7)+1)/J38*E38)</f>
        <v/>
      </c>
      <c r="AL39" s="25">
        <f>IF(OR(E38="",J38="",N(AL$7)=0),"",MAX(0,MIN(I38,AL$7+6)-MAX(H38,AL$7)+1)/J38*E38)</f>
        <v/>
      </c>
      <c r="AM39" s="25">
        <f>IF(OR(E38="",J38="",N(AM$7)=0),"",MAX(0,MIN(I38,AM$7+6)-MAX(H38,AM$7)+1)/J38*E38)</f>
        <v/>
      </c>
      <c r="AN39" s="25">
        <f>IF(OR(E38="",J38="",N(AN$7)=0),"",MAX(0,MIN(I38,AN$7+6)-MAX(H38,AN$7)+1)/J38*E38)</f>
        <v/>
      </c>
      <c r="AO39" s="25">
        <f>IF(OR(E38="",J38="",N(AO$7)=0),"",MAX(0,MIN(I38,AO$7+6)-MAX(H38,AO$7)+1)/J38*E38)</f>
        <v/>
      </c>
      <c r="AP39" s="6" t="n"/>
      <c r="AQ39" s="6" t="n"/>
    </row>
    <row r="40" ht="11" customHeight="1">
      <c r="A40" s="14" t="n"/>
      <c r="B40" s="14" t="n"/>
      <c r="C40" s="15" t="n"/>
      <c r="D40" s="16" t="n"/>
      <c r="E40" s="17">
        <f>IF(OR(N(D40)=0,N($D$48)=0),"",D40/$D$48*100)</f>
        <v/>
      </c>
      <c r="F40" s="18" t="n"/>
      <c r="G40" s="14" t="n"/>
      <c r="H40" s="19" t="n"/>
      <c r="I40" s="19" t="n"/>
      <c r="J40" s="20">
        <f>IF(OR(N(H40)=0,N(I40)=0),"",I40-H40+1)</f>
        <v/>
      </c>
      <c r="K40" s="21" t="n"/>
      <c r="L40" s="22" t="inlineStr"/>
      <c r="M40" s="22" t="inlineStr"/>
      <c r="N40" s="22" t="inlineStr"/>
      <c r="O40" s="22" t="inlineStr"/>
      <c r="P40" s="22" t="inlineStr"/>
      <c r="Q40" s="22" t="inlineStr"/>
      <c r="R40" s="22" t="inlineStr"/>
      <c r="S40" s="22" t="inlineStr"/>
      <c r="T40" s="22" t="inlineStr"/>
      <c r="U40" s="22" t="inlineStr"/>
      <c r="V40" s="22" t="inlineStr"/>
      <c r="W40" s="22" t="inlineStr"/>
      <c r="X40" s="22" t="inlineStr"/>
      <c r="Y40" s="22" t="inlineStr"/>
      <c r="Z40" s="22" t="inlineStr"/>
      <c r="AA40" s="22" t="inlineStr"/>
      <c r="AB40" s="22" t="inlineStr"/>
      <c r="AC40" s="22" t="inlineStr"/>
      <c r="AD40" s="22" t="inlineStr"/>
      <c r="AE40" s="22" t="inlineStr"/>
      <c r="AF40" s="22" t="inlineStr"/>
      <c r="AG40" s="22" t="inlineStr"/>
      <c r="AH40" s="22" t="inlineStr"/>
      <c r="AI40" s="22" t="inlineStr"/>
      <c r="AJ40" s="22" t="inlineStr"/>
      <c r="AK40" s="22" t="inlineStr"/>
      <c r="AL40" s="22" t="inlineStr"/>
      <c r="AM40" s="22" t="inlineStr"/>
      <c r="AN40" s="22" t="inlineStr"/>
      <c r="AO40" s="22" t="inlineStr"/>
      <c r="AP40" s="23">
        <f>IF(E40="","",SUM(L41:AO41))</f>
        <v/>
      </c>
      <c r="AQ40" s="24">
        <f>IF(E40="","",ROUND(E40-AP40,2))</f>
        <v/>
      </c>
    </row>
    <row r="41" ht="13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25">
        <f>IF(OR(E40="",J40="",N(L$7)=0),"",MAX(0,MIN(I40,L$7+6)-MAX(H40,L$7)+1)/J40*E40)</f>
        <v/>
      </c>
      <c r="M41" s="25">
        <f>IF(OR(E40="",J40="",N(M$7)=0),"",MAX(0,MIN(I40,M$7+6)-MAX(H40,M$7)+1)/J40*E40)</f>
        <v/>
      </c>
      <c r="N41" s="25">
        <f>IF(OR(E40="",J40="",N(N$7)=0),"",MAX(0,MIN(I40,N$7+6)-MAX(H40,N$7)+1)/J40*E40)</f>
        <v/>
      </c>
      <c r="O41" s="25">
        <f>IF(OR(E40="",J40="",N(O$7)=0),"",MAX(0,MIN(I40,O$7+6)-MAX(H40,O$7)+1)/J40*E40)</f>
        <v/>
      </c>
      <c r="P41" s="25">
        <f>IF(OR(E40="",J40="",N(P$7)=0),"",MAX(0,MIN(I40,P$7+6)-MAX(H40,P$7)+1)/J40*E40)</f>
        <v/>
      </c>
      <c r="Q41" s="25">
        <f>IF(OR(E40="",J40="",N(Q$7)=0),"",MAX(0,MIN(I40,Q$7+6)-MAX(H40,Q$7)+1)/J40*E40)</f>
        <v/>
      </c>
      <c r="R41" s="25">
        <f>IF(OR(E40="",J40="",N(R$7)=0),"",MAX(0,MIN(I40,R$7+6)-MAX(H40,R$7)+1)/J40*E40)</f>
        <v/>
      </c>
      <c r="S41" s="25">
        <f>IF(OR(E40="",J40="",N(S$7)=0),"",MAX(0,MIN(I40,S$7+6)-MAX(H40,S$7)+1)/J40*E40)</f>
        <v/>
      </c>
      <c r="T41" s="25">
        <f>IF(OR(E40="",J40="",N(T$7)=0),"",MAX(0,MIN(I40,T$7+6)-MAX(H40,T$7)+1)/J40*E40)</f>
        <v/>
      </c>
      <c r="U41" s="25">
        <f>IF(OR(E40="",J40="",N(U$7)=0),"",MAX(0,MIN(I40,U$7+6)-MAX(H40,U$7)+1)/J40*E40)</f>
        <v/>
      </c>
      <c r="V41" s="25">
        <f>IF(OR(E40="",J40="",N(V$7)=0),"",MAX(0,MIN(I40,V$7+6)-MAX(H40,V$7)+1)/J40*E40)</f>
        <v/>
      </c>
      <c r="W41" s="25">
        <f>IF(OR(E40="",J40="",N(W$7)=0),"",MAX(0,MIN(I40,W$7+6)-MAX(H40,W$7)+1)/J40*E40)</f>
        <v/>
      </c>
      <c r="X41" s="25">
        <f>IF(OR(E40="",J40="",N(X$7)=0),"",MAX(0,MIN(I40,X$7+6)-MAX(H40,X$7)+1)/J40*E40)</f>
        <v/>
      </c>
      <c r="Y41" s="25">
        <f>IF(OR(E40="",J40="",N(Y$7)=0),"",MAX(0,MIN(I40,Y$7+6)-MAX(H40,Y$7)+1)/J40*E40)</f>
        <v/>
      </c>
      <c r="Z41" s="25">
        <f>IF(OR(E40="",J40="",N(Z$7)=0),"",MAX(0,MIN(I40,Z$7+6)-MAX(H40,Z$7)+1)/J40*E40)</f>
        <v/>
      </c>
      <c r="AA41" s="25">
        <f>IF(OR(E40="",J40="",N(AA$7)=0),"",MAX(0,MIN(I40,AA$7+6)-MAX(H40,AA$7)+1)/J40*E40)</f>
        <v/>
      </c>
      <c r="AB41" s="25">
        <f>IF(OR(E40="",J40="",N(AB$7)=0),"",MAX(0,MIN(I40,AB$7+6)-MAX(H40,AB$7)+1)/J40*E40)</f>
        <v/>
      </c>
      <c r="AC41" s="25">
        <f>IF(OR(E40="",J40="",N(AC$7)=0),"",MAX(0,MIN(I40,AC$7+6)-MAX(H40,AC$7)+1)/J40*E40)</f>
        <v/>
      </c>
      <c r="AD41" s="25">
        <f>IF(OR(E40="",J40="",N(AD$7)=0),"",MAX(0,MIN(I40,AD$7+6)-MAX(H40,AD$7)+1)/J40*E40)</f>
        <v/>
      </c>
      <c r="AE41" s="25">
        <f>IF(OR(E40="",J40="",N(AE$7)=0),"",MAX(0,MIN(I40,AE$7+6)-MAX(H40,AE$7)+1)/J40*E40)</f>
        <v/>
      </c>
      <c r="AF41" s="25">
        <f>IF(OR(E40="",J40="",N(AF$7)=0),"",MAX(0,MIN(I40,AF$7+6)-MAX(H40,AF$7)+1)/J40*E40)</f>
        <v/>
      </c>
      <c r="AG41" s="25">
        <f>IF(OR(E40="",J40="",N(AG$7)=0),"",MAX(0,MIN(I40,AG$7+6)-MAX(H40,AG$7)+1)/J40*E40)</f>
        <v/>
      </c>
      <c r="AH41" s="25">
        <f>IF(OR(E40="",J40="",N(AH$7)=0),"",MAX(0,MIN(I40,AH$7+6)-MAX(H40,AH$7)+1)/J40*E40)</f>
        <v/>
      </c>
      <c r="AI41" s="25">
        <f>IF(OR(E40="",J40="",N(AI$7)=0),"",MAX(0,MIN(I40,AI$7+6)-MAX(H40,AI$7)+1)/J40*E40)</f>
        <v/>
      </c>
      <c r="AJ41" s="25">
        <f>IF(OR(E40="",J40="",N(AJ$7)=0),"",MAX(0,MIN(I40,AJ$7+6)-MAX(H40,AJ$7)+1)/J40*E40)</f>
        <v/>
      </c>
      <c r="AK41" s="25">
        <f>IF(OR(E40="",J40="",N(AK$7)=0),"",MAX(0,MIN(I40,AK$7+6)-MAX(H40,AK$7)+1)/J40*E40)</f>
        <v/>
      </c>
      <c r="AL41" s="25">
        <f>IF(OR(E40="",J40="",N(AL$7)=0),"",MAX(0,MIN(I40,AL$7+6)-MAX(H40,AL$7)+1)/J40*E40)</f>
        <v/>
      </c>
      <c r="AM41" s="25">
        <f>IF(OR(E40="",J40="",N(AM$7)=0),"",MAX(0,MIN(I40,AM$7+6)-MAX(H40,AM$7)+1)/J40*E40)</f>
        <v/>
      </c>
      <c r="AN41" s="25">
        <f>IF(OR(E40="",J40="",N(AN$7)=0),"",MAX(0,MIN(I40,AN$7+6)-MAX(H40,AN$7)+1)/J40*E40)</f>
        <v/>
      </c>
      <c r="AO41" s="25">
        <f>IF(OR(E40="",J40="",N(AO$7)=0),"",MAX(0,MIN(I40,AO$7+6)-MAX(H40,AO$7)+1)/J40*E40)</f>
        <v/>
      </c>
      <c r="AP41" s="6" t="n"/>
      <c r="AQ41" s="6" t="n"/>
    </row>
    <row r="42" ht="11" customHeight="1">
      <c r="A42" s="14" t="n"/>
      <c r="B42" s="14" t="n"/>
      <c r="C42" s="15" t="n"/>
      <c r="D42" s="16" t="n"/>
      <c r="E42" s="17">
        <f>IF(OR(N(D42)=0,N($D$48)=0),"",D42/$D$48*100)</f>
        <v/>
      </c>
      <c r="F42" s="18" t="n"/>
      <c r="G42" s="14" t="n"/>
      <c r="H42" s="19" t="n"/>
      <c r="I42" s="19" t="n"/>
      <c r="J42" s="20">
        <f>IF(OR(N(H42)=0,N(I42)=0),"",I42-H42+1)</f>
        <v/>
      </c>
      <c r="K42" s="21" t="n"/>
      <c r="L42" s="22" t="inlineStr"/>
      <c r="M42" s="22" t="inlineStr"/>
      <c r="N42" s="22" t="inlineStr"/>
      <c r="O42" s="22" t="inlineStr"/>
      <c r="P42" s="22" t="inlineStr"/>
      <c r="Q42" s="22" t="inlineStr"/>
      <c r="R42" s="22" t="inlineStr"/>
      <c r="S42" s="22" t="inlineStr"/>
      <c r="T42" s="22" t="inlineStr"/>
      <c r="U42" s="22" t="inlineStr"/>
      <c r="V42" s="22" t="inlineStr"/>
      <c r="W42" s="22" t="inlineStr"/>
      <c r="X42" s="22" t="inlineStr"/>
      <c r="Y42" s="22" t="inlineStr"/>
      <c r="Z42" s="22" t="inlineStr"/>
      <c r="AA42" s="22" t="inlineStr"/>
      <c r="AB42" s="22" t="inlineStr"/>
      <c r="AC42" s="22" t="inlineStr"/>
      <c r="AD42" s="22" t="inlineStr"/>
      <c r="AE42" s="22" t="inlineStr"/>
      <c r="AF42" s="22" t="inlineStr"/>
      <c r="AG42" s="22" t="inlineStr"/>
      <c r="AH42" s="22" t="inlineStr"/>
      <c r="AI42" s="22" t="inlineStr"/>
      <c r="AJ42" s="22" t="inlineStr"/>
      <c r="AK42" s="22" t="inlineStr"/>
      <c r="AL42" s="22" t="inlineStr"/>
      <c r="AM42" s="22" t="inlineStr"/>
      <c r="AN42" s="22" t="inlineStr"/>
      <c r="AO42" s="22" t="inlineStr"/>
      <c r="AP42" s="23">
        <f>IF(E42="","",SUM(L43:AO43))</f>
        <v/>
      </c>
      <c r="AQ42" s="24">
        <f>IF(E42="","",ROUND(E42-AP42,2))</f>
        <v/>
      </c>
    </row>
    <row r="43" ht="13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25">
        <f>IF(OR(E42="",J42="",N(L$7)=0),"",MAX(0,MIN(I42,L$7+6)-MAX(H42,L$7)+1)/J42*E42)</f>
        <v/>
      </c>
      <c r="M43" s="25">
        <f>IF(OR(E42="",J42="",N(M$7)=0),"",MAX(0,MIN(I42,M$7+6)-MAX(H42,M$7)+1)/J42*E42)</f>
        <v/>
      </c>
      <c r="N43" s="25">
        <f>IF(OR(E42="",J42="",N(N$7)=0),"",MAX(0,MIN(I42,N$7+6)-MAX(H42,N$7)+1)/J42*E42)</f>
        <v/>
      </c>
      <c r="O43" s="25">
        <f>IF(OR(E42="",J42="",N(O$7)=0),"",MAX(0,MIN(I42,O$7+6)-MAX(H42,O$7)+1)/J42*E42)</f>
        <v/>
      </c>
      <c r="P43" s="25">
        <f>IF(OR(E42="",J42="",N(P$7)=0),"",MAX(0,MIN(I42,P$7+6)-MAX(H42,P$7)+1)/J42*E42)</f>
        <v/>
      </c>
      <c r="Q43" s="25">
        <f>IF(OR(E42="",J42="",N(Q$7)=0),"",MAX(0,MIN(I42,Q$7+6)-MAX(H42,Q$7)+1)/J42*E42)</f>
        <v/>
      </c>
      <c r="R43" s="25">
        <f>IF(OR(E42="",J42="",N(R$7)=0),"",MAX(0,MIN(I42,R$7+6)-MAX(H42,R$7)+1)/J42*E42)</f>
        <v/>
      </c>
      <c r="S43" s="25">
        <f>IF(OR(E42="",J42="",N(S$7)=0),"",MAX(0,MIN(I42,S$7+6)-MAX(H42,S$7)+1)/J42*E42)</f>
        <v/>
      </c>
      <c r="T43" s="25">
        <f>IF(OR(E42="",J42="",N(T$7)=0),"",MAX(0,MIN(I42,T$7+6)-MAX(H42,T$7)+1)/J42*E42)</f>
        <v/>
      </c>
      <c r="U43" s="25">
        <f>IF(OR(E42="",J42="",N(U$7)=0),"",MAX(0,MIN(I42,U$7+6)-MAX(H42,U$7)+1)/J42*E42)</f>
        <v/>
      </c>
      <c r="V43" s="25">
        <f>IF(OR(E42="",J42="",N(V$7)=0),"",MAX(0,MIN(I42,V$7+6)-MAX(H42,V$7)+1)/J42*E42)</f>
        <v/>
      </c>
      <c r="W43" s="25">
        <f>IF(OR(E42="",J42="",N(W$7)=0),"",MAX(0,MIN(I42,W$7+6)-MAX(H42,W$7)+1)/J42*E42)</f>
        <v/>
      </c>
      <c r="X43" s="25">
        <f>IF(OR(E42="",J42="",N(X$7)=0),"",MAX(0,MIN(I42,X$7+6)-MAX(H42,X$7)+1)/J42*E42)</f>
        <v/>
      </c>
      <c r="Y43" s="25">
        <f>IF(OR(E42="",J42="",N(Y$7)=0),"",MAX(0,MIN(I42,Y$7+6)-MAX(H42,Y$7)+1)/J42*E42)</f>
        <v/>
      </c>
      <c r="Z43" s="25">
        <f>IF(OR(E42="",J42="",N(Z$7)=0),"",MAX(0,MIN(I42,Z$7+6)-MAX(H42,Z$7)+1)/J42*E42)</f>
        <v/>
      </c>
      <c r="AA43" s="25">
        <f>IF(OR(E42="",J42="",N(AA$7)=0),"",MAX(0,MIN(I42,AA$7+6)-MAX(H42,AA$7)+1)/J42*E42)</f>
        <v/>
      </c>
      <c r="AB43" s="25">
        <f>IF(OR(E42="",J42="",N(AB$7)=0),"",MAX(0,MIN(I42,AB$7+6)-MAX(H42,AB$7)+1)/J42*E42)</f>
        <v/>
      </c>
      <c r="AC43" s="25">
        <f>IF(OR(E42="",J42="",N(AC$7)=0),"",MAX(0,MIN(I42,AC$7+6)-MAX(H42,AC$7)+1)/J42*E42)</f>
        <v/>
      </c>
      <c r="AD43" s="25">
        <f>IF(OR(E42="",J42="",N(AD$7)=0),"",MAX(0,MIN(I42,AD$7+6)-MAX(H42,AD$7)+1)/J42*E42)</f>
        <v/>
      </c>
      <c r="AE43" s="25">
        <f>IF(OR(E42="",J42="",N(AE$7)=0),"",MAX(0,MIN(I42,AE$7+6)-MAX(H42,AE$7)+1)/J42*E42)</f>
        <v/>
      </c>
      <c r="AF43" s="25">
        <f>IF(OR(E42="",J42="",N(AF$7)=0),"",MAX(0,MIN(I42,AF$7+6)-MAX(H42,AF$7)+1)/J42*E42)</f>
        <v/>
      </c>
      <c r="AG43" s="25">
        <f>IF(OR(E42="",J42="",N(AG$7)=0),"",MAX(0,MIN(I42,AG$7+6)-MAX(H42,AG$7)+1)/J42*E42)</f>
        <v/>
      </c>
      <c r="AH43" s="25">
        <f>IF(OR(E42="",J42="",N(AH$7)=0),"",MAX(0,MIN(I42,AH$7+6)-MAX(H42,AH$7)+1)/J42*E42)</f>
        <v/>
      </c>
      <c r="AI43" s="25">
        <f>IF(OR(E42="",J42="",N(AI$7)=0),"",MAX(0,MIN(I42,AI$7+6)-MAX(H42,AI$7)+1)/J42*E42)</f>
        <v/>
      </c>
      <c r="AJ43" s="25">
        <f>IF(OR(E42="",J42="",N(AJ$7)=0),"",MAX(0,MIN(I42,AJ$7+6)-MAX(H42,AJ$7)+1)/J42*E42)</f>
        <v/>
      </c>
      <c r="AK43" s="25">
        <f>IF(OR(E42="",J42="",N(AK$7)=0),"",MAX(0,MIN(I42,AK$7+6)-MAX(H42,AK$7)+1)/J42*E42)</f>
        <v/>
      </c>
      <c r="AL43" s="25">
        <f>IF(OR(E42="",J42="",N(AL$7)=0),"",MAX(0,MIN(I42,AL$7+6)-MAX(H42,AL$7)+1)/J42*E42)</f>
        <v/>
      </c>
      <c r="AM43" s="25">
        <f>IF(OR(E42="",J42="",N(AM$7)=0),"",MAX(0,MIN(I42,AM$7+6)-MAX(H42,AM$7)+1)/J42*E42)</f>
        <v/>
      </c>
      <c r="AN43" s="25">
        <f>IF(OR(E42="",J42="",N(AN$7)=0),"",MAX(0,MIN(I42,AN$7+6)-MAX(H42,AN$7)+1)/J42*E42)</f>
        <v/>
      </c>
      <c r="AO43" s="25">
        <f>IF(OR(E42="",J42="",N(AO$7)=0),"",MAX(0,MIN(I42,AO$7+6)-MAX(H42,AO$7)+1)/J42*E42)</f>
        <v/>
      </c>
      <c r="AP43" s="6" t="n"/>
      <c r="AQ43" s="6" t="n"/>
    </row>
    <row r="44" ht="11" customHeight="1">
      <c r="A44" s="14" t="n"/>
      <c r="B44" s="14" t="n"/>
      <c r="C44" s="15" t="n"/>
      <c r="D44" s="16" t="n"/>
      <c r="E44" s="17">
        <f>IF(OR(N(D44)=0,N($D$48)=0),"",D44/$D$48*100)</f>
        <v/>
      </c>
      <c r="F44" s="18" t="n"/>
      <c r="G44" s="14" t="n"/>
      <c r="H44" s="19" t="n"/>
      <c r="I44" s="19" t="n"/>
      <c r="J44" s="20">
        <f>IF(OR(N(H44)=0,N(I44)=0),"",I44-H44+1)</f>
        <v/>
      </c>
      <c r="K44" s="21" t="n"/>
      <c r="L44" s="22" t="inlineStr"/>
      <c r="M44" s="22" t="inlineStr"/>
      <c r="N44" s="22" t="inlineStr"/>
      <c r="O44" s="22" t="inlineStr"/>
      <c r="P44" s="22" t="inlineStr"/>
      <c r="Q44" s="22" t="inlineStr"/>
      <c r="R44" s="22" t="inlineStr"/>
      <c r="S44" s="22" t="inlineStr"/>
      <c r="T44" s="22" t="inlineStr"/>
      <c r="U44" s="22" t="inlineStr"/>
      <c r="V44" s="22" t="inlineStr"/>
      <c r="W44" s="22" t="inlineStr"/>
      <c r="X44" s="22" t="inlineStr"/>
      <c r="Y44" s="22" t="inlineStr"/>
      <c r="Z44" s="22" t="inlineStr"/>
      <c r="AA44" s="22" t="inlineStr"/>
      <c r="AB44" s="22" t="inlineStr"/>
      <c r="AC44" s="22" t="inlineStr"/>
      <c r="AD44" s="22" t="inlineStr"/>
      <c r="AE44" s="22" t="inlineStr"/>
      <c r="AF44" s="22" t="inlineStr"/>
      <c r="AG44" s="22" t="inlineStr"/>
      <c r="AH44" s="22" t="inlineStr"/>
      <c r="AI44" s="22" t="inlineStr"/>
      <c r="AJ44" s="22" t="inlineStr"/>
      <c r="AK44" s="22" t="inlineStr"/>
      <c r="AL44" s="22" t="inlineStr"/>
      <c r="AM44" s="22" t="inlineStr"/>
      <c r="AN44" s="22" t="inlineStr"/>
      <c r="AO44" s="22" t="inlineStr"/>
      <c r="AP44" s="23">
        <f>IF(E44="","",SUM(L45:AO45))</f>
        <v/>
      </c>
      <c r="AQ44" s="24">
        <f>IF(E44="","",ROUND(E44-AP44,2))</f>
        <v/>
      </c>
    </row>
    <row r="45" ht="13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25">
        <f>IF(OR(E44="",J44="",N(L$7)=0),"",MAX(0,MIN(I44,L$7+6)-MAX(H44,L$7)+1)/J44*E44)</f>
        <v/>
      </c>
      <c r="M45" s="25">
        <f>IF(OR(E44="",J44="",N(M$7)=0),"",MAX(0,MIN(I44,M$7+6)-MAX(H44,M$7)+1)/J44*E44)</f>
        <v/>
      </c>
      <c r="N45" s="25">
        <f>IF(OR(E44="",J44="",N(N$7)=0),"",MAX(0,MIN(I44,N$7+6)-MAX(H44,N$7)+1)/J44*E44)</f>
        <v/>
      </c>
      <c r="O45" s="25">
        <f>IF(OR(E44="",J44="",N(O$7)=0),"",MAX(0,MIN(I44,O$7+6)-MAX(H44,O$7)+1)/J44*E44)</f>
        <v/>
      </c>
      <c r="P45" s="25">
        <f>IF(OR(E44="",J44="",N(P$7)=0),"",MAX(0,MIN(I44,P$7+6)-MAX(H44,P$7)+1)/J44*E44)</f>
        <v/>
      </c>
      <c r="Q45" s="25">
        <f>IF(OR(E44="",J44="",N(Q$7)=0),"",MAX(0,MIN(I44,Q$7+6)-MAX(H44,Q$7)+1)/J44*E44)</f>
        <v/>
      </c>
      <c r="R45" s="25">
        <f>IF(OR(E44="",J44="",N(R$7)=0),"",MAX(0,MIN(I44,R$7+6)-MAX(H44,R$7)+1)/J44*E44)</f>
        <v/>
      </c>
      <c r="S45" s="25">
        <f>IF(OR(E44="",J44="",N(S$7)=0),"",MAX(0,MIN(I44,S$7+6)-MAX(H44,S$7)+1)/J44*E44)</f>
        <v/>
      </c>
      <c r="T45" s="25">
        <f>IF(OR(E44="",J44="",N(T$7)=0),"",MAX(0,MIN(I44,T$7+6)-MAX(H44,T$7)+1)/J44*E44)</f>
        <v/>
      </c>
      <c r="U45" s="25">
        <f>IF(OR(E44="",J44="",N(U$7)=0),"",MAX(0,MIN(I44,U$7+6)-MAX(H44,U$7)+1)/J44*E44)</f>
        <v/>
      </c>
      <c r="V45" s="25">
        <f>IF(OR(E44="",J44="",N(V$7)=0),"",MAX(0,MIN(I44,V$7+6)-MAX(H44,V$7)+1)/J44*E44)</f>
        <v/>
      </c>
      <c r="W45" s="25">
        <f>IF(OR(E44="",J44="",N(W$7)=0),"",MAX(0,MIN(I44,W$7+6)-MAX(H44,W$7)+1)/J44*E44)</f>
        <v/>
      </c>
      <c r="X45" s="25">
        <f>IF(OR(E44="",J44="",N(X$7)=0),"",MAX(0,MIN(I44,X$7+6)-MAX(H44,X$7)+1)/J44*E44)</f>
        <v/>
      </c>
      <c r="Y45" s="25">
        <f>IF(OR(E44="",J44="",N(Y$7)=0),"",MAX(0,MIN(I44,Y$7+6)-MAX(H44,Y$7)+1)/J44*E44)</f>
        <v/>
      </c>
      <c r="Z45" s="25">
        <f>IF(OR(E44="",J44="",N(Z$7)=0),"",MAX(0,MIN(I44,Z$7+6)-MAX(H44,Z$7)+1)/J44*E44)</f>
        <v/>
      </c>
      <c r="AA45" s="25">
        <f>IF(OR(E44="",J44="",N(AA$7)=0),"",MAX(0,MIN(I44,AA$7+6)-MAX(H44,AA$7)+1)/J44*E44)</f>
        <v/>
      </c>
      <c r="AB45" s="25">
        <f>IF(OR(E44="",J44="",N(AB$7)=0),"",MAX(0,MIN(I44,AB$7+6)-MAX(H44,AB$7)+1)/J44*E44)</f>
        <v/>
      </c>
      <c r="AC45" s="25">
        <f>IF(OR(E44="",J44="",N(AC$7)=0),"",MAX(0,MIN(I44,AC$7+6)-MAX(H44,AC$7)+1)/J44*E44)</f>
        <v/>
      </c>
      <c r="AD45" s="25">
        <f>IF(OR(E44="",J44="",N(AD$7)=0),"",MAX(0,MIN(I44,AD$7+6)-MAX(H44,AD$7)+1)/J44*E44)</f>
        <v/>
      </c>
      <c r="AE45" s="25">
        <f>IF(OR(E44="",J44="",N(AE$7)=0),"",MAX(0,MIN(I44,AE$7+6)-MAX(H44,AE$7)+1)/J44*E44)</f>
        <v/>
      </c>
      <c r="AF45" s="25">
        <f>IF(OR(E44="",J44="",N(AF$7)=0),"",MAX(0,MIN(I44,AF$7+6)-MAX(H44,AF$7)+1)/J44*E44)</f>
        <v/>
      </c>
      <c r="AG45" s="25">
        <f>IF(OR(E44="",J44="",N(AG$7)=0),"",MAX(0,MIN(I44,AG$7+6)-MAX(H44,AG$7)+1)/J44*E44)</f>
        <v/>
      </c>
      <c r="AH45" s="25">
        <f>IF(OR(E44="",J44="",N(AH$7)=0),"",MAX(0,MIN(I44,AH$7+6)-MAX(H44,AH$7)+1)/J44*E44)</f>
        <v/>
      </c>
      <c r="AI45" s="25">
        <f>IF(OR(E44="",J44="",N(AI$7)=0),"",MAX(0,MIN(I44,AI$7+6)-MAX(H44,AI$7)+1)/J44*E44)</f>
        <v/>
      </c>
      <c r="AJ45" s="25">
        <f>IF(OR(E44="",J44="",N(AJ$7)=0),"",MAX(0,MIN(I44,AJ$7+6)-MAX(H44,AJ$7)+1)/J44*E44)</f>
        <v/>
      </c>
      <c r="AK45" s="25">
        <f>IF(OR(E44="",J44="",N(AK$7)=0),"",MAX(0,MIN(I44,AK$7+6)-MAX(H44,AK$7)+1)/J44*E44)</f>
        <v/>
      </c>
      <c r="AL45" s="25">
        <f>IF(OR(E44="",J44="",N(AL$7)=0),"",MAX(0,MIN(I44,AL$7+6)-MAX(H44,AL$7)+1)/J44*E44)</f>
        <v/>
      </c>
      <c r="AM45" s="25">
        <f>IF(OR(E44="",J44="",N(AM$7)=0),"",MAX(0,MIN(I44,AM$7+6)-MAX(H44,AM$7)+1)/J44*E44)</f>
        <v/>
      </c>
      <c r="AN45" s="25">
        <f>IF(OR(E44="",J44="",N(AN$7)=0),"",MAX(0,MIN(I44,AN$7+6)-MAX(H44,AN$7)+1)/J44*E44)</f>
        <v/>
      </c>
      <c r="AO45" s="25">
        <f>IF(OR(E44="",J44="",N(AO$7)=0),"",MAX(0,MIN(I44,AO$7+6)-MAX(H44,AO$7)+1)/J44*E44)</f>
        <v/>
      </c>
      <c r="AP45" s="6" t="n"/>
      <c r="AQ45" s="6" t="n"/>
    </row>
    <row r="46" ht="11" customHeight="1">
      <c r="A46" s="14" t="n"/>
      <c r="B46" s="14" t="n"/>
      <c r="C46" s="15" t="n"/>
      <c r="D46" s="16" t="n"/>
      <c r="E46" s="17">
        <f>IF(OR(N(D46)=0,N($D$48)=0),"",D46/$D$48*100)</f>
        <v/>
      </c>
      <c r="F46" s="18" t="n"/>
      <c r="G46" s="14" t="n"/>
      <c r="H46" s="19" t="n"/>
      <c r="I46" s="19" t="n"/>
      <c r="J46" s="20">
        <f>IF(OR(N(H46)=0,N(I46)=0),"",I46-H46+1)</f>
        <v/>
      </c>
      <c r="K46" s="21" t="n"/>
      <c r="L46" s="22" t="inlineStr"/>
      <c r="M46" s="22" t="inlineStr"/>
      <c r="N46" s="22" t="inlineStr"/>
      <c r="O46" s="22" t="inlineStr"/>
      <c r="P46" s="22" t="inlineStr"/>
      <c r="Q46" s="22" t="inlineStr"/>
      <c r="R46" s="22" t="inlineStr"/>
      <c r="S46" s="22" t="inlineStr"/>
      <c r="T46" s="22" t="inlineStr"/>
      <c r="U46" s="22" t="inlineStr"/>
      <c r="V46" s="22" t="inlineStr"/>
      <c r="W46" s="22" t="inlineStr"/>
      <c r="X46" s="22" t="inlineStr"/>
      <c r="Y46" s="22" t="inlineStr"/>
      <c r="Z46" s="22" t="inlineStr"/>
      <c r="AA46" s="22" t="inlineStr"/>
      <c r="AB46" s="22" t="inlineStr"/>
      <c r="AC46" s="22" t="inlineStr"/>
      <c r="AD46" s="22" t="inlineStr"/>
      <c r="AE46" s="22" t="inlineStr"/>
      <c r="AF46" s="22" t="inlineStr"/>
      <c r="AG46" s="22" t="inlineStr"/>
      <c r="AH46" s="22" t="inlineStr"/>
      <c r="AI46" s="22" t="inlineStr"/>
      <c r="AJ46" s="22" t="inlineStr"/>
      <c r="AK46" s="22" t="inlineStr"/>
      <c r="AL46" s="22" t="inlineStr"/>
      <c r="AM46" s="22" t="inlineStr"/>
      <c r="AN46" s="22" t="inlineStr"/>
      <c r="AO46" s="22" t="inlineStr"/>
      <c r="AP46" s="23">
        <f>IF(E46="","",SUM(L47:AO47))</f>
        <v/>
      </c>
      <c r="AQ46" s="24">
        <f>IF(E46="","",ROUND(E46-AP46,2))</f>
        <v/>
      </c>
    </row>
    <row r="47" ht="13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25">
        <f>IF(OR(E46="",J46="",N(L$7)=0),"",MAX(0,MIN(I46,L$7+6)-MAX(H46,L$7)+1)/J46*E46)</f>
        <v/>
      </c>
      <c r="M47" s="25">
        <f>IF(OR(E46="",J46="",N(M$7)=0),"",MAX(0,MIN(I46,M$7+6)-MAX(H46,M$7)+1)/J46*E46)</f>
        <v/>
      </c>
      <c r="N47" s="25">
        <f>IF(OR(E46="",J46="",N(N$7)=0),"",MAX(0,MIN(I46,N$7+6)-MAX(H46,N$7)+1)/J46*E46)</f>
        <v/>
      </c>
      <c r="O47" s="25">
        <f>IF(OR(E46="",J46="",N(O$7)=0),"",MAX(0,MIN(I46,O$7+6)-MAX(H46,O$7)+1)/J46*E46)</f>
        <v/>
      </c>
      <c r="P47" s="25">
        <f>IF(OR(E46="",J46="",N(P$7)=0),"",MAX(0,MIN(I46,P$7+6)-MAX(H46,P$7)+1)/J46*E46)</f>
        <v/>
      </c>
      <c r="Q47" s="25">
        <f>IF(OR(E46="",J46="",N(Q$7)=0),"",MAX(0,MIN(I46,Q$7+6)-MAX(H46,Q$7)+1)/J46*E46)</f>
        <v/>
      </c>
      <c r="R47" s="25">
        <f>IF(OR(E46="",J46="",N(R$7)=0),"",MAX(0,MIN(I46,R$7+6)-MAX(H46,R$7)+1)/J46*E46)</f>
        <v/>
      </c>
      <c r="S47" s="25">
        <f>IF(OR(E46="",J46="",N(S$7)=0),"",MAX(0,MIN(I46,S$7+6)-MAX(H46,S$7)+1)/J46*E46)</f>
        <v/>
      </c>
      <c r="T47" s="25">
        <f>IF(OR(E46="",J46="",N(T$7)=0),"",MAX(0,MIN(I46,T$7+6)-MAX(H46,T$7)+1)/J46*E46)</f>
        <v/>
      </c>
      <c r="U47" s="25">
        <f>IF(OR(E46="",J46="",N(U$7)=0),"",MAX(0,MIN(I46,U$7+6)-MAX(H46,U$7)+1)/J46*E46)</f>
        <v/>
      </c>
      <c r="V47" s="25">
        <f>IF(OR(E46="",J46="",N(V$7)=0),"",MAX(0,MIN(I46,V$7+6)-MAX(H46,V$7)+1)/J46*E46)</f>
        <v/>
      </c>
      <c r="W47" s="25">
        <f>IF(OR(E46="",J46="",N(W$7)=0),"",MAX(0,MIN(I46,W$7+6)-MAX(H46,W$7)+1)/J46*E46)</f>
        <v/>
      </c>
      <c r="X47" s="25">
        <f>IF(OR(E46="",J46="",N(X$7)=0),"",MAX(0,MIN(I46,X$7+6)-MAX(H46,X$7)+1)/J46*E46)</f>
        <v/>
      </c>
      <c r="Y47" s="25">
        <f>IF(OR(E46="",J46="",N(Y$7)=0),"",MAX(0,MIN(I46,Y$7+6)-MAX(H46,Y$7)+1)/J46*E46)</f>
        <v/>
      </c>
      <c r="Z47" s="25">
        <f>IF(OR(E46="",J46="",N(Z$7)=0),"",MAX(0,MIN(I46,Z$7+6)-MAX(H46,Z$7)+1)/J46*E46)</f>
        <v/>
      </c>
      <c r="AA47" s="25">
        <f>IF(OR(E46="",J46="",N(AA$7)=0),"",MAX(0,MIN(I46,AA$7+6)-MAX(H46,AA$7)+1)/J46*E46)</f>
        <v/>
      </c>
      <c r="AB47" s="25">
        <f>IF(OR(E46="",J46="",N(AB$7)=0),"",MAX(0,MIN(I46,AB$7+6)-MAX(H46,AB$7)+1)/J46*E46)</f>
        <v/>
      </c>
      <c r="AC47" s="25">
        <f>IF(OR(E46="",J46="",N(AC$7)=0),"",MAX(0,MIN(I46,AC$7+6)-MAX(H46,AC$7)+1)/J46*E46)</f>
        <v/>
      </c>
      <c r="AD47" s="25">
        <f>IF(OR(E46="",J46="",N(AD$7)=0),"",MAX(0,MIN(I46,AD$7+6)-MAX(H46,AD$7)+1)/J46*E46)</f>
        <v/>
      </c>
      <c r="AE47" s="25">
        <f>IF(OR(E46="",J46="",N(AE$7)=0),"",MAX(0,MIN(I46,AE$7+6)-MAX(H46,AE$7)+1)/J46*E46)</f>
        <v/>
      </c>
      <c r="AF47" s="25">
        <f>IF(OR(E46="",J46="",N(AF$7)=0),"",MAX(0,MIN(I46,AF$7+6)-MAX(H46,AF$7)+1)/J46*E46)</f>
        <v/>
      </c>
      <c r="AG47" s="25">
        <f>IF(OR(E46="",J46="",N(AG$7)=0),"",MAX(0,MIN(I46,AG$7+6)-MAX(H46,AG$7)+1)/J46*E46)</f>
        <v/>
      </c>
      <c r="AH47" s="25">
        <f>IF(OR(E46="",J46="",N(AH$7)=0),"",MAX(0,MIN(I46,AH$7+6)-MAX(H46,AH$7)+1)/J46*E46)</f>
        <v/>
      </c>
      <c r="AI47" s="25">
        <f>IF(OR(E46="",J46="",N(AI$7)=0),"",MAX(0,MIN(I46,AI$7+6)-MAX(H46,AI$7)+1)/J46*E46)</f>
        <v/>
      </c>
      <c r="AJ47" s="25">
        <f>IF(OR(E46="",J46="",N(AJ$7)=0),"",MAX(0,MIN(I46,AJ$7+6)-MAX(H46,AJ$7)+1)/J46*E46)</f>
        <v/>
      </c>
      <c r="AK47" s="25">
        <f>IF(OR(E46="",J46="",N(AK$7)=0),"",MAX(0,MIN(I46,AK$7+6)-MAX(H46,AK$7)+1)/J46*E46)</f>
        <v/>
      </c>
      <c r="AL47" s="25">
        <f>IF(OR(E46="",J46="",N(AL$7)=0),"",MAX(0,MIN(I46,AL$7+6)-MAX(H46,AL$7)+1)/J46*E46)</f>
        <v/>
      </c>
      <c r="AM47" s="25">
        <f>IF(OR(E46="",J46="",N(AM$7)=0),"",MAX(0,MIN(I46,AM$7+6)-MAX(H46,AM$7)+1)/J46*E46)</f>
        <v/>
      </c>
      <c r="AN47" s="25">
        <f>IF(OR(E46="",J46="",N(AN$7)=0),"",MAX(0,MIN(I46,AN$7+6)-MAX(H46,AN$7)+1)/J46*E46)</f>
        <v/>
      </c>
      <c r="AO47" s="25">
        <f>IF(OR(E46="",J46="",N(AO$7)=0),"",MAX(0,MIN(I46,AO$7+6)-MAX(H46,AO$7)+1)/J46*E46)</f>
        <v/>
      </c>
      <c r="AP47" s="6" t="n"/>
      <c r="AQ47" s="6" t="n"/>
    </row>
    <row r="48" ht="18" customHeight="1">
      <c r="A48" s="26" t="inlineStr">
        <is>
          <t>총        계</t>
        </is>
      </c>
      <c r="B48" s="6" t="n"/>
      <c r="C48" s="6" t="n"/>
      <c r="D48" s="27">
        <f>SUM(D8:D47)</f>
        <v/>
      </c>
      <c r="E48" s="28">
        <f>IF(N(D48)=0,"",SUM(E8:E47))</f>
        <v/>
      </c>
      <c r="F48" s="26" t="inlineStr"/>
      <c r="G48" s="6" t="n"/>
      <c r="H48" s="6" t="n"/>
      <c r="I48" s="6" t="n"/>
      <c r="J48" s="6" t="n"/>
      <c r="K48" s="6" t="n"/>
      <c r="L48" s="26" t="inlineStr"/>
      <c r="M48" s="26" t="inlineStr"/>
      <c r="N48" s="26" t="inlineStr"/>
      <c r="O48" s="26" t="inlineStr"/>
      <c r="P48" s="26" t="inlineStr"/>
      <c r="Q48" s="26" t="inlineStr"/>
      <c r="R48" s="26" t="inlineStr"/>
      <c r="S48" s="26" t="inlineStr"/>
      <c r="T48" s="26" t="inlineStr"/>
      <c r="U48" s="26" t="inlineStr"/>
      <c r="V48" s="26" t="inlineStr"/>
      <c r="W48" s="26" t="inlineStr"/>
      <c r="X48" s="26" t="inlineStr"/>
      <c r="Y48" s="26" t="inlineStr"/>
      <c r="Z48" s="26" t="inlineStr"/>
      <c r="AA48" s="26" t="inlineStr"/>
      <c r="AB48" s="26" t="inlineStr"/>
      <c r="AC48" s="26" t="inlineStr"/>
      <c r="AD48" s="26" t="inlineStr"/>
      <c r="AE48" s="26" t="inlineStr"/>
      <c r="AF48" s="26" t="inlineStr"/>
      <c r="AG48" s="26" t="inlineStr"/>
      <c r="AH48" s="26" t="inlineStr"/>
      <c r="AI48" s="26" t="inlineStr"/>
      <c r="AJ48" s="26" t="inlineStr"/>
      <c r="AK48" s="26" t="inlineStr"/>
      <c r="AL48" s="26" t="inlineStr"/>
      <c r="AM48" s="26" t="inlineStr"/>
      <c r="AN48" s="26" t="inlineStr"/>
      <c r="AO48" s="26" t="inlineStr"/>
      <c r="AP48" s="26" t="inlineStr"/>
      <c r="AQ48" s="6" t="n"/>
    </row>
    <row r="49" ht="15" customHeight="1">
      <c r="A49" s="29" t="inlineStr">
        <is>
          <t>보    할  (%)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30" t="inlineStr">
        <is>
          <t>합  계</t>
        </is>
      </c>
      <c r="L49" s="31">
        <f>IF(N(D48)=0,"",SUM(L8:L47))</f>
        <v/>
      </c>
      <c r="M49" s="31">
        <f>IF(N(D48)=0,"",SUM(M8:M47))</f>
        <v/>
      </c>
      <c r="N49" s="31">
        <f>IF(N(D48)=0,"",SUM(N8:N47))</f>
        <v/>
      </c>
      <c r="O49" s="31">
        <f>IF(N(D48)=0,"",SUM(O8:O47))</f>
        <v/>
      </c>
      <c r="P49" s="31">
        <f>IF(N(D48)=0,"",SUM(P8:P47))</f>
        <v/>
      </c>
      <c r="Q49" s="31">
        <f>IF(N(D48)=0,"",SUM(Q8:Q47))</f>
        <v/>
      </c>
      <c r="R49" s="31">
        <f>IF(N(D48)=0,"",SUM(R8:R47))</f>
        <v/>
      </c>
      <c r="S49" s="31">
        <f>IF(N(D48)=0,"",SUM(S8:S47))</f>
        <v/>
      </c>
      <c r="T49" s="31">
        <f>IF(N(D48)=0,"",SUM(T8:T47))</f>
        <v/>
      </c>
      <c r="U49" s="31">
        <f>IF(N(D48)=0,"",SUM(U8:U47))</f>
        <v/>
      </c>
      <c r="V49" s="31">
        <f>IF(N(D48)=0,"",SUM(V8:V47))</f>
        <v/>
      </c>
      <c r="W49" s="31">
        <f>IF(N(D48)=0,"",SUM(W8:W47))</f>
        <v/>
      </c>
      <c r="X49" s="31">
        <f>IF(N(D48)=0,"",SUM(X8:X47))</f>
        <v/>
      </c>
      <c r="Y49" s="31">
        <f>IF(N(D48)=0,"",SUM(Y8:Y47))</f>
        <v/>
      </c>
      <c r="Z49" s="31">
        <f>IF(N(D48)=0,"",SUM(Z8:Z47))</f>
        <v/>
      </c>
      <c r="AA49" s="31">
        <f>IF(N(D48)=0,"",SUM(AA8:AA47))</f>
        <v/>
      </c>
      <c r="AB49" s="31">
        <f>IF(N(D48)=0,"",SUM(AB8:AB47))</f>
        <v/>
      </c>
      <c r="AC49" s="31">
        <f>IF(N(D48)=0,"",SUM(AC8:AC47))</f>
        <v/>
      </c>
      <c r="AD49" s="31">
        <f>IF(N(D48)=0,"",SUM(AD8:AD47))</f>
        <v/>
      </c>
      <c r="AE49" s="31">
        <f>IF(N(D48)=0,"",SUM(AE8:AE47))</f>
        <v/>
      </c>
      <c r="AF49" s="31">
        <f>IF(N(D48)=0,"",SUM(AF8:AF47))</f>
        <v/>
      </c>
      <c r="AG49" s="31">
        <f>IF(N(D48)=0,"",SUM(AG8:AG47))</f>
        <v/>
      </c>
      <c r="AH49" s="31">
        <f>IF(N(D48)=0,"",SUM(AH8:AH47))</f>
        <v/>
      </c>
      <c r="AI49" s="31">
        <f>IF(N(D48)=0,"",SUM(AI8:AI47))</f>
        <v/>
      </c>
      <c r="AJ49" s="31">
        <f>IF(N(D48)=0,"",SUM(AJ8:AJ47))</f>
        <v/>
      </c>
      <c r="AK49" s="31">
        <f>IF(N(D48)=0,"",SUM(AK8:AK47))</f>
        <v/>
      </c>
      <c r="AL49" s="31">
        <f>IF(N(D48)=0,"",SUM(AL8:AL47))</f>
        <v/>
      </c>
      <c r="AM49" s="31">
        <f>IF(N(D48)=0,"",SUM(AM8:AM47))</f>
        <v/>
      </c>
      <c r="AN49" s="31">
        <f>IF(N(D48)=0,"",SUM(AN8:AN47))</f>
        <v/>
      </c>
      <c r="AO49" s="31">
        <f>IF(N(D48)=0,"",SUM(AO8:AO47))</f>
        <v/>
      </c>
      <c r="AP49" s="22" t="inlineStr"/>
      <c r="AQ49" s="6" t="n"/>
    </row>
    <row r="50" ht="15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30" t="inlineStr">
        <is>
          <t>누  계</t>
        </is>
      </c>
      <c r="L50" s="32">
        <f>IF(N(D48)=0,"",L49)</f>
        <v/>
      </c>
      <c r="M50" s="32">
        <f>IF(N(D48)=0,"",M49+L50)</f>
        <v/>
      </c>
      <c r="N50" s="32">
        <f>IF(N(D48)=0,"",N49+M50)</f>
        <v/>
      </c>
      <c r="O50" s="32">
        <f>IF(N(D48)=0,"",O49+N50)</f>
        <v/>
      </c>
      <c r="P50" s="32">
        <f>IF(N(D48)=0,"",P49+O50)</f>
        <v/>
      </c>
      <c r="Q50" s="32">
        <f>IF(N(D48)=0,"",Q49+P50)</f>
        <v/>
      </c>
      <c r="R50" s="32">
        <f>IF(N(D48)=0,"",R49+Q50)</f>
        <v/>
      </c>
      <c r="S50" s="32">
        <f>IF(N(D48)=0,"",S49+R50)</f>
        <v/>
      </c>
      <c r="T50" s="32">
        <f>IF(N(D48)=0,"",T49+S50)</f>
        <v/>
      </c>
      <c r="U50" s="32">
        <f>IF(N(D48)=0,"",U49+T50)</f>
        <v/>
      </c>
      <c r="V50" s="32">
        <f>IF(N(D48)=0,"",V49+U50)</f>
        <v/>
      </c>
      <c r="W50" s="32">
        <f>IF(N(D48)=0,"",W49+V50)</f>
        <v/>
      </c>
      <c r="X50" s="32">
        <f>IF(N(D48)=0,"",X49+W50)</f>
        <v/>
      </c>
      <c r="Y50" s="32">
        <f>IF(N(D48)=0,"",Y49+X50)</f>
        <v/>
      </c>
      <c r="Z50" s="32">
        <f>IF(N(D48)=0,"",Z49+Y50)</f>
        <v/>
      </c>
      <c r="AA50" s="32">
        <f>IF(N(D48)=0,"",AA49+Z50)</f>
        <v/>
      </c>
      <c r="AB50" s="32">
        <f>IF(N(D48)=0,"",AB49+AA50)</f>
        <v/>
      </c>
      <c r="AC50" s="32">
        <f>IF(N(D48)=0,"",AC49+AB50)</f>
        <v/>
      </c>
      <c r="AD50" s="32">
        <f>IF(N(D48)=0,"",AD49+AC50)</f>
        <v/>
      </c>
      <c r="AE50" s="32">
        <f>IF(N(D48)=0,"",AE49+AD50)</f>
        <v/>
      </c>
      <c r="AF50" s="32">
        <f>IF(N(D48)=0,"",AF49+AE50)</f>
        <v/>
      </c>
      <c r="AG50" s="32">
        <f>IF(N(D48)=0,"",AG49+AF50)</f>
        <v/>
      </c>
      <c r="AH50" s="32">
        <f>IF(N(D48)=0,"",AH49+AG50)</f>
        <v/>
      </c>
      <c r="AI50" s="32">
        <f>IF(N(D48)=0,"",AI49+AH50)</f>
        <v/>
      </c>
      <c r="AJ50" s="32">
        <f>IF(N(D48)=0,"",AJ49+AI50)</f>
        <v/>
      </c>
      <c r="AK50" s="32">
        <f>IF(N(D48)=0,"",AK49+AJ50)</f>
        <v/>
      </c>
      <c r="AL50" s="32">
        <f>IF(N(D48)=0,"",AL49+AK50)</f>
        <v/>
      </c>
      <c r="AM50" s="32">
        <f>IF(N(D48)=0,"",AM49+AL50)</f>
        <v/>
      </c>
      <c r="AN50" s="32">
        <f>IF(N(D48)=0,"",AN49+AM50)</f>
        <v/>
      </c>
      <c r="AO50" s="32">
        <f>IF(N(D48)=0,"",AO49+AN50)</f>
        <v/>
      </c>
      <c r="AP50" s="22" t="inlineStr"/>
      <c r="AQ50" s="6" t="n"/>
    </row>
    <row r="51" ht="16" customHeight="1">
      <c r="A51" s="33">
        <f>IF(COUNTIF(AQ8:AQ47,"&gt;0.004")+COUNTIF(AQ8:AQ47,"&lt;-0.004")&gt;0,"⚠ 공정표 기간 밖으로 나간 공종이 있습니다(«차이» 칸) — 첫 주 시작일이나 공종 날짜를 확인하세요.",IF(SUMPRODUCT((H8:H47&gt;0)*(I8:I47&gt;0)*(I8:I47&lt;H8:H47))&gt;0,"⚠ 끝 날짜가 시작보다 빠른 공종이 있습니다.",""))</f>
        <v/>
      </c>
    </row>
    <row r="53" ht="19.5" customHeight="1">
      <c r="A53" s="34" t="inlineStr">
        <is>
          <t>이 시트는 작성 예시입니다(가상의 공사).</t>
        </is>
      </c>
    </row>
  </sheetData>
  <mergeCells count="290">
    <mergeCell ref="F44:F45"/>
    <mergeCell ref="H26:H27"/>
    <mergeCell ref="AP18:AP19"/>
    <mergeCell ref="C30:C31"/>
    <mergeCell ref="I32:I33"/>
    <mergeCell ref="K32:K33"/>
    <mergeCell ref="E8:E9"/>
    <mergeCell ref="K26:K27"/>
    <mergeCell ref="D5:D7"/>
    <mergeCell ref="G8:G9"/>
    <mergeCell ref="B12:B13"/>
    <mergeCell ref="D22:D23"/>
    <mergeCell ref="A2:AQ2"/>
    <mergeCell ref="I16:I17"/>
    <mergeCell ref="AP42:AP43"/>
    <mergeCell ref="A16:A17"/>
    <mergeCell ref="C10:C11"/>
    <mergeCell ref="C16:C17"/>
    <mergeCell ref="B42:B43"/>
    <mergeCell ref="E10:E11"/>
    <mergeCell ref="D36:D37"/>
    <mergeCell ref="G10:G11"/>
    <mergeCell ref="B5:B7"/>
    <mergeCell ref="B14:B15"/>
    <mergeCell ref="F18:F19"/>
    <mergeCell ref="I26:I27"/>
    <mergeCell ref="F30:F31"/>
    <mergeCell ref="H34:H35"/>
    <mergeCell ref="D32:D33"/>
    <mergeCell ref="I18:I19"/>
    <mergeCell ref="AP44:AP45"/>
    <mergeCell ref="F26:F27"/>
    <mergeCell ref="AQ8:AQ9"/>
    <mergeCell ref="AP34:AP35"/>
    <mergeCell ref="H36:H37"/>
    <mergeCell ref="F42:F43"/>
    <mergeCell ref="D16:D17"/>
    <mergeCell ref="J36:J37"/>
    <mergeCell ref="H5:H7"/>
    <mergeCell ref="B28:B29"/>
    <mergeCell ref="J5:J7"/>
    <mergeCell ref="G18:G19"/>
    <mergeCell ref="J32:J33"/>
    <mergeCell ref="Y3:AQ3"/>
    <mergeCell ref="AQ10:AQ11"/>
    <mergeCell ref="G46:G47"/>
    <mergeCell ref="AP30:AP31"/>
    <mergeCell ref="A22:A23"/>
    <mergeCell ref="D18:D19"/>
    <mergeCell ref="I42:I43"/>
    <mergeCell ref="F28:F29"/>
    <mergeCell ref="I20:I21"/>
    <mergeCell ref="D8:D9"/>
    <mergeCell ref="H28:H29"/>
    <mergeCell ref="A20:A21"/>
    <mergeCell ref="C3:K3"/>
    <mergeCell ref="J22:J23"/>
    <mergeCell ref="G40:G41"/>
    <mergeCell ref="K5:K7"/>
    <mergeCell ref="K42:K43"/>
    <mergeCell ref="B40:B41"/>
    <mergeCell ref="A51:AQ51"/>
    <mergeCell ref="H24:H25"/>
    <mergeCell ref="AP16:AP17"/>
    <mergeCell ref="G44:G45"/>
    <mergeCell ref="G22:G23"/>
    <mergeCell ref="I44:I45"/>
    <mergeCell ref="D10:D11"/>
    <mergeCell ref="H30:H31"/>
    <mergeCell ref="H8:H9"/>
    <mergeCell ref="J8:J9"/>
    <mergeCell ref="E12:E13"/>
    <mergeCell ref="AQ34:AQ35"/>
    <mergeCell ref="G12:G13"/>
    <mergeCell ref="D38:D39"/>
    <mergeCell ref="D34:D35"/>
    <mergeCell ref="F34:F35"/>
    <mergeCell ref="B26:B27"/>
    <mergeCell ref="F16:F17"/>
    <mergeCell ref="C14:C15"/>
    <mergeCell ref="H10:H11"/>
    <mergeCell ref="G36:G37"/>
    <mergeCell ref="E14:E15"/>
    <mergeCell ref="J10:J11"/>
    <mergeCell ref="AQ36:AQ37"/>
    <mergeCell ref="I30:I31"/>
    <mergeCell ref="D40:D41"/>
    <mergeCell ref="F40:F41"/>
    <mergeCell ref="K30:K31"/>
    <mergeCell ref="AQ20:AQ21"/>
    <mergeCell ref="F36:F37"/>
    <mergeCell ref="J34:J35"/>
    <mergeCell ref="A5:A7"/>
    <mergeCell ref="F20:F21"/>
    <mergeCell ref="AP20:AP21"/>
    <mergeCell ref="AQ22:AQ23"/>
    <mergeCell ref="E38:E39"/>
    <mergeCell ref="AQ14:AQ15"/>
    <mergeCell ref="A53:AQ53"/>
    <mergeCell ref="F22:F23"/>
    <mergeCell ref="A26:A27"/>
    <mergeCell ref="J20:J21"/>
    <mergeCell ref="H22:H23"/>
    <mergeCell ref="Q3:T3"/>
    <mergeCell ref="AP22:AP23"/>
    <mergeCell ref="A46:A47"/>
    <mergeCell ref="K46:K47"/>
    <mergeCell ref="K40:K41"/>
    <mergeCell ref="D12:D13"/>
    <mergeCell ref="C46:C47"/>
    <mergeCell ref="C40:C41"/>
    <mergeCell ref="E46:E47"/>
    <mergeCell ref="E40:E41"/>
    <mergeCell ref="B44:B45"/>
    <mergeCell ref="A8:A9"/>
    <mergeCell ref="C8:C9"/>
    <mergeCell ref="H12:H13"/>
    <mergeCell ref="J12:J13"/>
    <mergeCell ref="I38:I39"/>
    <mergeCell ref="AQ38:AQ39"/>
    <mergeCell ref="F46:F47"/>
    <mergeCell ref="C32:C33"/>
    <mergeCell ref="A10:A11"/>
    <mergeCell ref="F5:F7"/>
    <mergeCell ref="I34:I35"/>
    <mergeCell ref="E26:E27"/>
    <mergeCell ref="AP5:AP7"/>
    <mergeCell ref="K34:K35"/>
    <mergeCell ref="G26:G27"/>
    <mergeCell ref="B30:B31"/>
    <mergeCell ref="K28:K29"/>
    <mergeCell ref="H14:H15"/>
    <mergeCell ref="D30:D31"/>
    <mergeCell ref="AQ46:AQ47"/>
    <mergeCell ref="J14:J15"/>
    <mergeCell ref="B32:B33"/>
    <mergeCell ref="AQ40:AQ41"/>
    <mergeCell ref="AP48:AQ48"/>
    <mergeCell ref="D26:D27"/>
    <mergeCell ref="C34:C35"/>
    <mergeCell ref="AQ24:AQ25"/>
    <mergeCell ref="A1:R1"/>
    <mergeCell ref="B16:B17"/>
    <mergeCell ref="C18:C19"/>
    <mergeCell ref="F10:F11"/>
    <mergeCell ref="K20:K21"/>
    <mergeCell ref="F24:F25"/>
    <mergeCell ref="I5:I7"/>
    <mergeCell ref="AP24:AP25"/>
    <mergeCell ref="AQ26:AQ27"/>
    <mergeCell ref="B18:B19"/>
    <mergeCell ref="H38:H39"/>
    <mergeCell ref="C20:C21"/>
    <mergeCell ref="AP8:AP9"/>
    <mergeCell ref="J38:J39"/>
    <mergeCell ref="E20:E21"/>
    <mergeCell ref="C42:C43"/>
    <mergeCell ref="E42:E43"/>
    <mergeCell ref="I36:I37"/>
    <mergeCell ref="B8:B9"/>
    <mergeCell ref="G42:G43"/>
    <mergeCell ref="AP26:AP27"/>
    <mergeCell ref="G5:G7"/>
    <mergeCell ref="A36:A37"/>
    <mergeCell ref="I46:I47"/>
    <mergeCell ref="G38:G39"/>
    <mergeCell ref="AQ12:AQ13"/>
    <mergeCell ref="H40:H41"/>
    <mergeCell ref="C44:C45"/>
    <mergeCell ref="C22:C23"/>
    <mergeCell ref="AP10:AP11"/>
    <mergeCell ref="J40:J41"/>
    <mergeCell ref="E44:E45"/>
    <mergeCell ref="F8:F9"/>
    <mergeCell ref="A12:A13"/>
    <mergeCell ref="C12:C13"/>
    <mergeCell ref="S1:AQ1"/>
    <mergeCell ref="J24:J25"/>
    <mergeCell ref="E28:E29"/>
    <mergeCell ref="G28:G29"/>
    <mergeCell ref="AQ42:AQ43"/>
    <mergeCell ref="B34:B35"/>
    <mergeCell ref="G24:G25"/>
    <mergeCell ref="C36:C37"/>
    <mergeCell ref="A3:B3"/>
    <mergeCell ref="I24:I25"/>
    <mergeCell ref="A14:A15"/>
    <mergeCell ref="D28:D29"/>
    <mergeCell ref="F48:K48"/>
    <mergeCell ref="J26:J27"/>
    <mergeCell ref="E30:E31"/>
    <mergeCell ref="AP50:AQ50"/>
    <mergeCell ref="G30:G31"/>
    <mergeCell ref="E32:E33"/>
    <mergeCell ref="I8:I9"/>
    <mergeCell ref="J18:J19"/>
    <mergeCell ref="H16:H17"/>
    <mergeCell ref="K8:K9"/>
    <mergeCell ref="B36:B37"/>
    <mergeCell ref="AQ44:AQ45"/>
    <mergeCell ref="AP49:AQ49"/>
    <mergeCell ref="B20:B21"/>
    <mergeCell ref="E16:E17"/>
    <mergeCell ref="D42:D43"/>
    <mergeCell ref="D20:D21"/>
    <mergeCell ref="G16:G17"/>
    <mergeCell ref="I10:I11"/>
    <mergeCell ref="D14:D15"/>
    <mergeCell ref="H18:H19"/>
    <mergeCell ref="K10:K11"/>
    <mergeCell ref="F14:F15"/>
    <mergeCell ref="AP36:AP37"/>
    <mergeCell ref="A38:A39"/>
    <mergeCell ref="C38:C39"/>
    <mergeCell ref="AQ30:AQ31"/>
    <mergeCell ref="B22:B23"/>
    <mergeCell ref="E18:E19"/>
    <mergeCell ref="H42:H43"/>
    <mergeCell ref="H20:H21"/>
    <mergeCell ref="AP12:AP13"/>
    <mergeCell ref="K16:K17"/>
    <mergeCell ref="J42:J43"/>
    <mergeCell ref="A40:A41"/>
    <mergeCell ref="K18:K19"/>
    <mergeCell ref="AP28:AP29"/>
    <mergeCell ref="AQ16:AQ17"/>
    <mergeCell ref="H44:H45"/>
    <mergeCell ref="K36:K37"/>
    <mergeCell ref="A49:J50"/>
    <mergeCell ref="AP14:AP15"/>
    <mergeCell ref="A24:A25"/>
    <mergeCell ref="J44:J45"/>
    <mergeCell ref="F12:F13"/>
    <mergeCell ref="J28:J29"/>
    <mergeCell ref="B46:B47"/>
    <mergeCell ref="AQ32:AQ33"/>
    <mergeCell ref="D46:D47"/>
    <mergeCell ref="E34:E35"/>
    <mergeCell ref="G34:G35"/>
    <mergeCell ref="C26:C27"/>
    <mergeCell ref="B38:B39"/>
    <mergeCell ref="I22:I23"/>
    <mergeCell ref="I28:I29"/>
    <mergeCell ref="F32:F33"/>
    <mergeCell ref="K22:K23"/>
    <mergeCell ref="K44:K45"/>
    <mergeCell ref="L3:P3"/>
    <mergeCell ref="J30:J31"/>
    <mergeCell ref="H46:H47"/>
    <mergeCell ref="I12:I13"/>
    <mergeCell ref="AP38:AP39"/>
    <mergeCell ref="K12:K13"/>
    <mergeCell ref="AQ18:AQ19"/>
    <mergeCell ref="B10:B11"/>
    <mergeCell ref="A18:A19"/>
    <mergeCell ref="G20:G21"/>
    <mergeCell ref="J16:J17"/>
    <mergeCell ref="B24:B25"/>
    <mergeCell ref="G14:G15"/>
    <mergeCell ref="D24:D25"/>
    <mergeCell ref="AP46:AP47"/>
    <mergeCell ref="I14:I15"/>
    <mergeCell ref="A32:A33"/>
    <mergeCell ref="AP40:AP41"/>
    <mergeCell ref="K14:K15"/>
    <mergeCell ref="F38:F39"/>
    <mergeCell ref="A42:A43"/>
    <mergeCell ref="H32:H33"/>
    <mergeCell ref="E36:E37"/>
    <mergeCell ref="J46:J47"/>
    <mergeCell ref="C5:C7"/>
    <mergeCell ref="K38:K39"/>
    <mergeCell ref="E5:E7"/>
    <mergeCell ref="A48:C48"/>
    <mergeCell ref="AQ28:AQ29"/>
    <mergeCell ref="G32:G33"/>
    <mergeCell ref="AP32:AP33"/>
    <mergeCell ref="A44:A45"/>
    <mergeCell ref="D44:D45"/>
    <mergeCell ref="A34:A35"/>
    <mergeCell ref="A28:A29"/>
    <mergeCell ref="C28:C29"/>
    <mergeCell ref="E22:E23"/>
    <mergeCell ref="U3:X3"/>
    <mergeCell ref="K24:K25"/>
    <mergeCell ref="C24:C25"/>
    <mergeCell ref="E24:E25"/>
    <mergeCell ref="I40:I41"/>
    <mergeCell ref="A30:A31"/>
    <mergeCell ref="AQ5:AQ7"/>
  </mergeCells>
  <conditionalFormatting sqref="L8:AO47">
    <cfRule type="expression" priority="1" dxfId="0">
      <formula>AND(MOD(ROW()-8,2)=0,N(L9)&gt;0)</formula>
    </cfRule>
  </conditionalFormatting>
  <conditionalFormatting sqref="F8">
    <cfRule type="expression" priority="2" dxfId="1">
      <formula>AND(ISNUMBER(F8),MOD(F8,1)=0)</formula>
    </cfRule>
  </conditionalFormatting>
  <conditionalFormatting sqref="F10">
    <cfRule type="expression" priority="3" dxfId="1">
      <formula>AND(ISNUMBER(F10),MOD(F10,1)=0)</formula>
    </cfRule>
  </conditionalFormatting>
  <conditionalFormatting sqref="F12">
    <cfRule type="expression" priority="4" dxfId="1">
      <formula>AND(ISNUMBER(F12),MOD(F12,1)=0)</formula>
    </cfRule>
  </conditionalFormatting>
  <conditionalFormatting sqref="F14">
    <cfRule type="expression" priority="5" dxfId="1">
      <formula>AND(ISNUMBER(F14),MOD(F14,1)=0)</formula>
    </cfRule>
  </conditionalFormatting>
  <conditionalFormatting sqref="F16">
    <cfRule type="expression" priority="6" dxfId="1">
      <formula>AND(ISNUMBER(F16),MOD(F16,1)=0)</formula>
    </cfRule>
  </conditionalFormatting>
  <conditionalFormatting sqref="F18">
    <cfRule type="expression" priority="7" dxfId="1">
      <formula>AND(ISNUMBER(F18),MOD(F18,1)=0)</formula>
    </cfRule>
  </conditionalFormatting>
  <conditionalFormatting sqref="F20">
    <cfRule type="expression" priority="8" dxfId="1">
      <formula>AND(ISNUMBER(F20),MOD(F20,1)=0)</formula>
    </cfRule>
  </conditionalFormatting>
  <conditionalFormatting sqref="F22">
    <cfRule type="expression" priority="9" dxfId="1">
      <formula>AND(ISNUMBER(F22),MOD(F22,1)=0)</formula>
    </cfRule>
  </conditionalFormatting>
  <conditionalFormatting sqref="F24">
    <cfRule type="expression" priority="10" dxfId="1">
      <formula>AND(ISNUMBER(F24),MOD(F24,1)=0)</formula>
    </cfRule>
  </conditionalFormatting>
  <conditionalFormatting sqref="F26">
    <cfRule type="expression" priority="11" dxfId="1">
      <formula>AND(ISNUMBER(F26),MOD(F26,1)=0)</formula>
    </cfRule>
  </conditionalFormatting>
  <conditionalFormatting sqref="F28">
    <cfRule type="expression" priority="12" dxfId="1">
      <formula>AND(ISNUMBER(F28),MOD(F28,1)=0)</formula>
    </cfRule>
  </conditionalFormatting>
  <conditionalFormatting sqref="F30">
    <cfRule type="expression" priority="13" dxfId="1">
      <formula>AND(ISNUMBER(F30),MOD(F30,1)=0)</formula>
    </cfRule>
  </conditionalFormatting>
  <conditionalFormatting sqref="F32">
    <cfRule type="expression" priority="14" dxfId="1">
      <formula>AND(ISNUMBER(F32),MOD(F32,1)=0)</formula>
    </cfRule>
  </conditionalFormatting>
  <conditionalFormatting sqref="F34">
    <cfRule type="expression" priority="15" dxfId="1">
      <formula>AND(ISNUMBER(F34),MOD(F34,1)=0)</formula>
    </cfRule>
  </conditionalFormatting>
  <conditionalFormatting sqref="F36">
    <cfRule type="expression" priority="16" dxfId="1">
      <formula>AND(ISNUMBER(F36),MOD(F36,1)=0)</formula>
    </cfRule>
  </conditionalFormatting>
  <conditionalFormatting sqref="F38">
    <cfRule type="expression" priority="17" dxfId="1">
      <formula>AND(ISNUMBER(F38),MOD(F38,1)=0)</formula>
    </cfRule>
  </conditionalFormatting>
  <conditionalFormatting sqref="F40">
    <cfRule type="expression" priority="18" dxfId="1">
      <formula>AND(ISNUMBER(F40),MOD(F40,1)=0)</formula>
    </cfRule>
  </conditionalFormatting>
  <conditionalFormatting sqref="F42">
    <cfRule type="expression" priority="19" dxfId="1">
      <formula>AND(ISNUMBER(F42),MOD(F42,1)=0)</formula>
    </cfRule>
  </conditionalFormatting>
  <conditionalFormatting sqref="F44">
    <cfRule type="expression" priority="20" dxfId="1">
      <formula>AND(ISNUMBER(F44),MOD(F44,1)=0)</formula>
    </cfRule>
  </conditionalFormatting>
  <conditionalFormatting sqref="F46">
    <cfRule type="expression" priority="21" dxfId="1">
      <formula>AND(ISNUMBER(F46),MOD(F46,1)=0)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L30"/>
  <sheetViews>
    <sheetView showGridLines="0" zoomScale="100" workbookViewId="0">
      <selection activeCell="A1" sqref="A1"/>
    </sheetView>
  </sheetViews>
  <sheetFormatPr baseColWidth="8" defaultRowHeight="15"/>
  <cols>
    <col width="7.5" customWidth="1" min="1" max="1"/>
    <col width="8" customWidth="1" min="2" max="2"/>
    <col width="12" customWidth="1" min="3" max="3"/>
    <col width="6" customWidth="1" min="4" max="4"/>
    <col width="6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  <col width="3.1" customWidth="1" min="31" max="31"/>
    <col width="3.1" customWidth="1" min="32" max="32"/>
    <col width="3.1" customWidth="1" min="33" max="33"/>
    <col width="3.1" customWidth="1" min="34" max="34"/>
    <col width="3.1" customWidth="1" min="35" max="35"/>
    <col width="3.1" customWidth="1" min="36" max="36"/>
    <col width="6" customWidth="1" min="37" max="37"/>
    <col width="6" customWidth="1" min="38" max="38"/>
  </cols>
  <sheetData>
    <row r="1" ht="20" customHeight="1">
      <c r="A1" s="1" t="inlineStr">
        <is>
          <t xml:space="preserve">  K-건설맵  |  k-conmap.com  무료 건설 서식</t>
        </is>
      </c>
      <c r="R1" s="46" t="inlineStr">
        <is>
          <t xml:space="preserve">작성 예시 (가상의 현장)  </t>
        </is>
      </c>
    </row>
    <row r="2" ht="34" customHeight="1">
      <c r="A2" s="3" t="inlineStr">
        <is>
          <t>예      정      공      정      표   (월간)</t>
        </is>
      </c>
    </row>
    <row r="3" ht="24" customHeight="1">
      <c r="A3" s="4" t="inlineStr">
        <is>
          <t>공 사 명 :</t>
        </is>
      </c>
      <c r="C3" s="35">
        <f>IF('예시-총괄분'!C3="","",'예시-총괄분'!C3)</f>
        <v/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 t="inlineStr">
        <is>
          <t>이 달 (1일)</t>
        </is>
      </c>
      <c r="U3" s="36" t="n">
        <v>46113</v>
      </c>
      <c r="V3" s="6" t="n"/>
      <c r="W3" s="6" t="n"/>
      <c r="X3" s="6" t="n"/>
      <c r="Y3" s="6" t="n"/>
      <c r="Z3" s="6" t="n"/>
      <c r="AA3" s="9" t="inlineStr">
        <is>
          <t>← 달의 1일을 적으세요(총괄분 공종·보할을 날마다 나눠 보여 줌)</t>
        </is>
      </c>
    </row>
    <row r="4" ht="4" customHeight="1"/>
    <row r="5" ht="16" customHeight="1">
      <c r="A5" s="11" t="inlineStr">
        <is>
          <t>구 분</t>
        </is>
      </c>
      <c r="B5" s="11" t="inlineStr">
        <is>
          <t>공 종</t>
        </is>
      </c>
      <c r="C5" s="11" t="inlineStr">
        <is>
          <t>세부 공종</t>
        </is>
      </c>
      <c r="D5" s="11" t="inlineStr">
        <is>
          <t>보할
(%)</t>
        </is>
      </c>
      <c r="E5" s="11" t="inlineStr">
        <is>
          <t>지난달
까지</t>
        </is>
      </c>
      <c r="F5" s="37">
        <f>IF(N(U3)=0,"",IF(MONTH(U3+0)&lt;&gt;MONTH(U3),"",U3+0))</f>
        <v/>
      </c>
      <c r="G5" s="37">
        <f>IF(N(U3)=0,"",IF(MONTH(U3+1)&lt;&gt;MONTH(U3),"",U3+1))</f>
        <v/>
      </c>
      <c r="H5" s="37">
        <f>IF(N(U3)=0,"",IF(MONTH(U3+2)&lt;&gt;MONTH(U3),"",U3+2))</f>
        <v/>
      </c>
      <c r="I5" s="37">
        <f>IF(N(U3)=0,"",IF(MONTH(U3+3)&lt;&gt;MONTH(U3),"",U3+3))</f>
        <v/>
      </c>
      <c r="J5" s="37">
        <f>IF(N(U3)=0,"",IF(MONTH(U3+4)&lt;&gt;MONTH(U3),"",U3+4))</f>
        <v/>
      </c>
      <c r="K5" s="37">
        <f>IF(N(U3)=0,"",IF(MONTH(U3+5)&lt;&gt;MONTH(U3),"",U3+5))</f>
        <v/>
      </c>
      <c r="L5" s="37">
        <f>IF(N(U3)=0,"",IF(MONTH(U3+6)&lt;&gt;MONTH(U3),"",U3+6))</f>
        <v/>
      </c>
      <c r="M5" s="37">
        <f>IF(N(U3)=0,"",IF(MONTH(U3+7)&lt;&gt;MONTH(U3),"",U3+7))</f>
        <v/>
      </c>
      <c r="N5" s="37">
        <f>IF(N(U3)=0,"",IF(MONTH(U3+8)&lt;&gt;MONTH(U3),"",U3+8))</f>
        <v/>
      </c>
      <c r="O5" s="37">
        <f>IF(N(U3)=0,"",IF(MONTH(U3+9)&lt;&gt;MONTH(U3),"",U3+9))</f>
        <v/>
      </c>
      <c r="P5" s="37">
        <f>IF(N(U3)=0,"",IF(MONTH(U3+10)&lt;&gt;MONTH(U3),"",U3+10))</f>
        <v/>
      </c>
      <c r="Q5" s="37">
        <f>IF(N(U3)=0,"",IF(MONTH(U3+11)&lt;&gt;MONTH(U3),"",U3+11))</f>
        <v/>
      </c>
      <c r="R5" s="37">
        <f>IF(N(U3)=0,"",IF(MONTH(U3+12)&lt;&gt;MONTH(U3),"",U3+12))</f>
        <v/>
      </c>
      <c r="S5" s="37">
        <f>IF(N(U3)=0,"",IF(MONTH(U3+13)&lt;&gt;MONTH(U3),"",U3+13))</f>
        <v/>
      </c>
      <c r="T5" s="37">
        <f>IF(N(U3)=0,"",IF(MONTH(U3+14)&lt;&gt;MONTH(U3),"",U3+14))</f>
        <v/>
      </c>
      <c r="U5" s="37">
        <f>IF(N(U3)=0,"",IF(MONTH(U3+15)&lt;&gt;MONTH(U3),"",U3+15))</f>
        <v/>
      </c>
      <c r="V5" s="37">
        <f>IF(N(U3)=0,"",IF(MONTH(U3+16)&lt;&gt;MONTH(U3),"",U3+16))</f>
        <v/>
      </c>
      <c r="W5" s="37">
        <f>IF(N(U3)=0,"",IF(MONTH(U3+17)&lt;&gt;MONTH(U3),"",U3+17))</f>
        <v/>
      </c>
      <c r="X5" s="37">
        <f>IF(N(U3)=0,"",IF(MONTH(U3+18)&lt;&gt;MONTH(U3),"",U3+18))</f>
        <v/>
      </c>
      <c r="Y5" s="37">
        <f>IF(N(U3)=0,"",IF(MONTH(U3+19)&lt;&gt;MONTH(U3),"",U3+19))</f>
        <v/>
      </c>
      <c r="Z5" s="37">
        <f>IF(N(U3)=0,"",IF(MONTH(U3+20)&lt;&gt;MONTH(U3),"",U3+20))</f>
        <v/>
      </c>
      <c r="AA5" s="37">
        <f>IF(N(U3)=0,"",IF(MONTH(U3+21)&lt;&gt;MONTH(U3),"",U3+21))</f>
        <v/>
      </c>
      <c r="AB5" s="37">
        <f>IF(N(U3)=0,"",IF(MONTH(U3+22)&lt;&gt;MONTH(U3),"",U3+22))</f>
        <v/>
      </c>
      <c r="AC5" s="37">
        <f>IF(N(U3)=0,"",IF(MONTH(U3+23)&lt;&gt;MONTH(U3),"",U3+23))</f>
        <v/>
      </c>
      <c r="AD5" s="37">
        <f>IF(N(U3)=0,"",IF(MONTH(U3+24)&lt;&gt;MONTH(U3),"",U3+24))</f>
        <v/>
      </c>
      <c r="AE5" s="37">
        <f>IF(N(U3)=0,"",IF(MONTH(U3+25)&lt;&gt;MONTH(U3),"",U3+25))</f>
        <v/>
      </c>
      <c r="AF5" s="37">
        <f>IF(N(U3)=0,"",IF(MONTH(U3+26)&lt;&gt;MONTH(U3),"",U3+26))</f>
        <v/>
      </c>
      <c r="AG5" s="37">
        <f>IF(N(U3)=0,"",IF(MONTH(U3+27)&lt;&gt;MONTH(U3),"",U3+27))</f>
        <v/>
      </c>
      <c r="AH5" s="37">
        <f>IF(N(U3)=0,"",IF(MONTH(U3+28)&lt;&gt;MONTH(U3),"",U3+28))</f>
        <v/>
      </c>
      <c r="AI5" s="37">
        <f>IF(N(U3)=0,"",IF(MONTH(U3+29)&lt;&gt;MONTH(U3),"",U3+29))</f>
        <v/>
      </c>
      <c r="AJ5" s="37">
        <f>IF(N(U3)=0,"",IF(MONTH(U3+30)&lt;&gt;MONTH(U3),"",U3+30))</f>
        <v/>
      </c>
      <c r="AK5" s="11" t="inlineStr">
        <is>
          <t>이 달</t>
        </is>
      </c>
      <c r="AL5" s="11" t="inlineStr">
        <is>
          <t>누 계</t>
        </is>
      </c>
    </row>
    <row r="6" ht="14" customHeight="1">
      <c r="A6" s="6" t="n"/>
      <c r="B6" s="6" t="n"/>
      <c r="C6" s="6" t="n"/>
      <c r="D6" s="6" t="n"/>
      <c r="E6" s="6" t="n"/>
      <c r="F6" s="12">
        <f>IF(N(F5)=0,"",CHOOSE(WEEKDAY(F5),"일","월","화","수","목","금","토"))</f>
        <v/>
      </c>
      <c r="G6" s="12">
        <f>IF(N(G5)=0,"",CHOOSE(WEEKDAY(G5),"일","월","화","수","목","금","토"))</f>
        <v/>
      </c>
      <c r="H6" s="12">
        <f>IF(N(H5)=0,"",CHOOSE(WEEKDAY(H5),"일","월","화","수","목","금","토"))</f>
        <v/>
      </c>
      <c r="I6" s="12">
        <f>IF(N(I5)=0,"",CHOOSE(WEEKDAY(I5),"일","월","화","수","목","금","토"))</f>
        <v/>
      </c>
      <c r="J6" s="12">
        <f>IF(N(J5)=0,"",CHOOSE(WEEKDAY(J5),"일","월","화","수","목","금","토"))</f>
        <v/>
      </c>
      <c r="K6" s="12">
        <f>IF(N(K5)=0,"",CHOOSE(WEEKDAY(K5),"일","월","화","수","목","금","토"))</f>
        <v/>
      </c>
      <c r="L6" s="12">
        <f>IF(N(L5)=0,"",CHOOSE(WEEKDAY(L5),"일","월","화","수","목","금","토"))</f>
        <v/>
      </c>
      <c r="M6" s="12">
        <f>IF(N(M5)=0,"",CHOOSE(WEEKDAY(M5),"일","월","화","수","목","금","토"))</f>
        <v/>
      </c>
      <c r="N6" s="12">
        <f>IF(N(N5)=0,"",CHOOSE(WEEKDAY(N5),"일","월","화","수","목","금","토"))</f>
        <v/>
      </c>
      <c r="O6" s="12">
        <f>IF(N(O5)=0,"",CHOOSE(WEEKDAY(O5),"일","월","화","수","목","금","토"))</f>
        <v/>
      </c>
      <c r="P6" s="12">
        <f>IF(N(P5)=0,"",CHOOSE(WEEKDAY(P5),"일","월","화","수","목","금","토"))</f>
        <v/>
      </c>
      <c r="Q6" s="12">
        <f>IF(N(Q5)=0,"",CHOOSE(WEEKDAY(Q5),"일","월","화","수","목","금","토"))</f>
        <v/>
      </c>
      <c r="R6" s="12">
        <f>IF(N(R5)=0,"",CHOOSE(WEEKDAY(R5),"일","월","화","수","목","금","토"))</f>
        <v/>
      </c>
      <c r="S6" s="12">
        <f>IF(N(S5)=0,"",CHOOSE(WEEKDAY(S5),"일","월","화","수","목","금","토"))</f>
        <v/>
      </c>
      <c r="T6" s="12">
        <f>IF(N(T5)=0,"",CHOOSE(WEEKDAY(T5),"일","월","화","수","목","금","토"))</f>
        <v/>
      </c>
      <c r="U6" s="12">
        <f>IF(N(U5)=0,"",CHOOSE(WEEKDAY(U5),"일","월","화","수","목","금","토"))</f>
        <v/>
      </c>
      <c r="V6" s="12">
        <f>IF(N(V5)=0,"",CHOOSE(WEEKDAY(V5),"일","월","화","수","목","금","토"))</f>
        <v/>
      </c>
      <c r="W6" s="12">
        <f>IF(N(W5)=0,"",CHOOSE(WEEKDAY(W5),"일","월","화","수","목","금","토"))</f>
        <v/>
      </c>
      <c r="X6" s="12">
        <f>IF(N(X5)=0,"",CHOOSE(WEEKDAY(X5),"일","월","화","수","목","금","토"))</f>
        <v/>
      </c>
      <c r="Y6" s="12">
        <f>IF(N(Y5)=0,"",CHOOSE(WEEKDAY(Y5),"일","월","화","수","목","금","토"))</f>
        <v/>
      </c>
      <c r="Z6" s="12">
        <f>IF(N(Z5)=0,"",CHOOSE(WEEKDAY(Z5),"일","월","화","수","목","금","토"))</f>
        <v/>
      </c>
      <c r="AA6" s="12">
        <f>IF(N(AA5)=0,"",CHOOSE(WEEKDAY(AA5),"일","월","화","수","목","금","토"))</f>
        <v/>
      </c>
      <c r="AB6" s="12">
        <f>IF(N(AB5)=0,"",CHOOSE(WEEKDAY(AB5),"일","월","화","수","목","금","토"))</f>
        <v/>
      </c>
      <c r="AC6" s="12">
        <f>IF(N(AC5)=0,"",CHOOSE(WEEKDAY(AC5),"일","월","화","수","목","금","토"))</f>
        <v/>
      </c>
      <c r="AD6" s="12">
        <f>IF(N(AD5)=0,"",CHOOSE(WEEKDAY(AD5),"일","월","화","수","목","금","토"))</f>
        <v/>
      </c>
      <c r="AE6" s="12">
        <f>IF(N(AE5)=0,"",CHOOSE(WEEKDAY(AE5),"일","월","화","수","목","금","토"))</f>
        <v/>
      </c>
      <c r="AF6" s="12">
        <f>IF(N(AF5)=0,"",CHOOSE(WEEKDAY(AF5),"일","월","화","수","목","금","토"))</f>
        <v/>
      </c>
      <c r="AG6" s="12">
        <f>IF(N(AG5)=0,"",CHOOSE(WEEKDAY(AG5),"일","월","화","수","목","금","토"))</f>
        <v/>
      </c>
      <c r="AH6" s="12">
        <f>IF(N(AH5)=0,"",CHOOSE(WEEKDAY(AH5),"일","월","화","수","목","금","토"))</f>
        <v/>
      </c>
      <c r="AI6" s="12">
        <f>IF(N(AI5)=0,"",CHOOSE(WEEKDAY(AI5),"일","월","화","수","목","금","토"))</f>
        <v/>
      </c>
      <c r="AJ6" s="12">
        <f>IF(N(AJ5)=0,"",CHOOSE(WEEKDAY(AJ5),"일","월","화","수","목","금","토"))</f>
        <v/>
      </c>
      <c r="AK6" s="6" t="n"/>
      <c r="AL6" s="6" t="n"/>
    </row>
    <row r="7" ht="15" customHeight="1">
      <c r="A7" s="38">
        <f>IF('예시-총괄분'!A8="","",'예시-총괄분'!A8)</f>
        <v/>
      </c>
      <c r="B7" s="38">
        <f>IF('예시-총괄분'!B8="","",'예시-총괄분'!B8)</f>
        <v/>
      </c>
      <c r="C7" s="39">
        <f>IF('예시-총괄분'!C8="","",'예시-총괄분'!C8)</f>
        <v/>
      </c>
      <c r="D7" s="23">
        <f>IF('예시-총괄분'!E8="","",'예시-총괄분'!E8)</f>
        <v/>
      </c>
      <c r="E7" s="40">
        <f>IF(OR(D7="",'예시-총괄분'!J8="",N(U3)=0),"",MAX(0,MIN('예시-총괄분'!I8,U3-1)-'예시-총괄분'!H8+1)/'예시-총괄분'!J8*D7)</f>
        <v/>
      </c>
      <c r="F7" s="41">
        <f>IF(OR(D7="",'예시-총괄분'!J8="",N(F$5)=0),"",IF(AND(F$5&gt;='예시-총괄분'!H8,F$5&lt;='예시-총괄분'!I8),D7/'예시-총괄분'!J8,""))</f>
        <v/>
      </c>
      <c r="G7" s="41">
        <f>IF(OR(D7="",'예시-총괄분'!J8="",N(G$5)=0),"",IF(AND(G$5&gt;='예시-총괄분'!H8,G$5&lt;='예시-총괄분'!I8),D7/'예시-총괄분'!J8,""))</f>
        <v/>
      </c>
      <c r="H7" s="41">
        <f>IF(OR(D7="",'예시-총괄분'!J8="",N(H$5)=0),"",IF(AND(H$5&gt;='예시-총괄분'!H8,H$5&lt;='예시-총괄분'!I8),D7/'예시-총괄분'!J8,""))</f>
        <v/>
      </c>
      <c r="I7" s="41">
        <f>IF(OR(D7="",'예시-총괄분'!J8="",N(I$5)=0),"",IF(AND(I$5&gt;='예시-총괄분'!H8,I$5&lt;='예시-총괄분'!I8),D7/'예시-총괄분'!J8,""))</f>
        <v/>
      </c>
      <c r="J7" s="41">
        <f>IF(OR(D7="",'예시-총괄분'!J8="",N(J$5)=0),"",IF(AND(J$5&gt;='예시-총괄분'!H8,J$5&lt;='예시-총괄분'!I8),D7/'예시-총괄분'!J8,""))</f>
        <v/>
      </c>
      <c r="K7" s="41">
        <f>IF(OR(D7="",'예시-총괄분'!J8="",N(K$5)=0),"",IF(AND(K$5&gt;='예시-총괄분'!H8,K$5&lt;='예시-총괄분'!I8),D7/'예시-총괄분'!J8,""))</f>
        <v/>
      </c>
      <c r="L7" s="41">
        <f>IF(OR(D7="",'예시-총괄분'!J8="",N(L$5)=0),"",IF(AND(L$5&gt;='예시-총괄분'!H8,L$5&lt;='예시-총괄분'!I8),D7/'예시-총괄분'!J8,""))</f>
        <v/>
      </c>
      <c r="M7" s="41">
        <f>IF(OR(D7="",'예시-총괄분'!J8="",N(M$5)=0),"",IF(AND(M$5&gt;='예시-총괄분'!H8,M$5&lt;='예시-총괄분'!I8),D7/'예시-총괄분'!J8,""))</f>
        <v/>
      </c>
      <c r="N7" s="41">
        <f>IF(OR(D7="",'예시-총괄분'!J8="",N(N$5)=0),"",IF(AND(N$5&gt;='예시-총괄분'!H8,N$5&lt;='예시-총괄분'!I8),D7/'예시-총괄분'!J8,""))</f>
        <v/>
      </c>
      <c r="O7" s="41">
        <f>IF(OR(D7="",'예시-총괄분'!J8="",N(O$5)=0),"",IF(AND(O$5&gt;='예시-총괄분'!H8,O$5&lt;='예시-총괄분'!I8),D7/'예시-총괄분'!J8,""))</f>
        <v/>
      </c>
      <c r="P7" s="41">
        <f>IF(OR(D7="",'예시-총괄분'!J8="",N(P$5)=0),"",IF(AND(P$5&gt;='예시-총괄분'!H8,P$5&lt;='예시-총괄분'!I8),D7/'예시-총괄분'!J8,""))</f>
        <v/>
      </c>
      <c r="Q7" s="41">
        <f>IF(OR(D7="",'예시-총괄분'!J8="",N(Q$5)=0),"",IF(AND(Q$5&gt;='예시-총괄분'!H8,Q$5&lt;='예시-총괄분'!I8),D7/'예시-총괄분'!J8,""))</f>
        <v/>
      </c>
      <c r="R7" s="41">
        <f>IF(OR(D7="",'예시-총괄분'!J8="",N(R$5)=0),"",IF(AND(R$5&gt;='예시-총괄분'!H8,R$5&lt;='예시-총괄분'!I8),D7/'예시-총괄분'!J8,""))</f>
        <v/>
      </c>
      <c r="S7" s="41">
        <f>IF(OR(D7="",'예시-총괄분'!J8="",N(S$5)=0),"",IF(AND(S$5&gt;='예시-총괄분'!H8,S$5&lt;='예시-총괄분'!I8),D7/'예시-총괄분'!J8,""))</f>
        <v/>
      </c>
      <c r="T7" s="41">
        <f>IF(OR(D7="",'예시-총괄분'!J8="",N(T$5)=0),"",IF(AND(T$5&gt;='예시-총괄분'!H8,T$5&lt;='예시-총괄분'!I8),D7/'예시-총괄분'!J8,""))</f>
        <v/>
      </c>
      <c r="U7" s="41">
        <f>IF(OR(D7="",'예시-총괄분'!J8="",N(U$5)=0),"",IF(AND(U$5&gt;='예시-총괄분'!H8,U$5&lt;='예시-총괄분'!I8),D7/'예시-총괄분'!J8,""))</f>
        <v/>
      </c>
      <c r="V7" s="41">
        <f>IF(OR(D7="",'예시-총괄분'!J8="",N(V$5)=0),"",IF(AND(V$5&gt;='예시-총괄분'!H8,V$5&lt;='예시-총괄분'!I8),D7/'예시-총괄분'!J8,""))</f>
        <v/>
      </c>
      <c r="W7" s="41">
        <f>IF(OR(D7="",'예시-총괄분'!J8="",N(W$5)=0),"",IF(AND(W$5&gt;='예시-총괄분'!H8,W$5&lt;='예시-총괄분'!I8),D7/'예시-총괄분'!J8,""))</f>
        <v/>
      </c>
      <c r="X7" s="41">
        <f>IF(OR(D7="",'예시-총괄분'!J8="",N(X$5)=0),"",IF(AND(X$5&gt;='예시-총괄분'!H8,X$5&lt;='예시-총괄분'!I8),D7/'예시-총괄분'!J8,""))</f>
        <v/>
      </c>
      <c r="Y7" s="41">
        <f>IF(OR(D7="",'예시-총괄분'!J8="",N(Y$5)=0),"",IF(AND(Y$5&gt;='예시-총괄분'!H8,Y$5&lt;='예시-총괄분'!I8),D7/'예시-총괄분'!J8,""))</f>
        <v/>
      </c>
      <c r="Z7" s="41">
        <f>IF(OR(D7="",'예시-총괄분'!J8="",N(Z$5)=0),"",IF(AND(Z$5&gt;='예시-총괄분'!H8,Z$5&lt;='예시-총괄분'!I8),D7/'예시-총괄분'!J8,""))</f>
        <v/>
      </c>
      <c r="AA7" s="41">
        <f>IF(OR(D7="",'예시-총괄분'!J8="",N(AA$5)=0),"",IF(AND(AA$5&gt;='예시-총괄분'!H8,AA$5&lt;='예시-총괄분'!I8),D7/'예시-총괄분'!J8,""))</f>
        <v/>
      </c>
      <c r="AB7" s="41">
        <f>IF(OR(D7="",'예시-총괄분'!J8="",N(AB$5)=0),"",IF(AND(AB$5&gt;='예시-총괄분'!H8,AB$5&lt;='예시-총괄분'!I8),D7/'예시-총괄분'!J8,""))</f>
        <v/>
      </c>
      <c r="AC7" s="41">
        <f>IF(OR(D7="",'예시-총괄분'!J8="",N(AC$5)=0),"",IF(AND(AC$5&gt;='예시-총괄분'!H8,AC$5&lt;='예시-총괄분'!I8),D7/'예시-총괄분'!J8,""))</f>
        <v/>
      </c>
      <c r="AD7" s="41">
        <f>IF(OR(D7="",'예시-총괄분'!J8="",N(AD$5)=0),"",IF(AND(AD$5&gt;='예시-총괄분'!H8,AD$5&lt;='예시-총괄분'!I8),D7/'예시-총괄분'!J8,""))</f>
        <v/>
      </c>
      <c r="AE7" s="41">
        <f>IF(OR(D7="",'예시-총괄분'!J8="",N(AE$5)=0),"",IF(AND(AE$5&gt;='예시-총괄분'!H8,AE$5&lt;='예시-총괄분'!I8),D7/'예시-총괄분'!J8,""))</f>
        <v/>
      </c>
      <c r="AF7" s="41">
        <f>IF(OR(D7="",'예시-총괄분'!J8="",N(AF$5)=0),"",IF(AND(AF$5&gt;='예시-총괄분'!H8,AF$5&lt;='예시-총괄분'!I8),D7/'예시-총괄분'!J8,""))</f>
        <v/>
      </c>
      <c r="AG7" s="41">
        <f>IF(OR(D7="",'예시-총괄분'!J8="",N(AG$5)=0),"",IF(AND(AG$5&gt;='예시-총괄분'!H8,AG$5&lt;='예시-총괄분'!I8),D7/'예시-총괄분'!J8,""))</f>
        <v/>
      </c>
      <c r="AH7" s="41">
        <f>IF(OR(D7="",'예시-총괄분'!J8="",N(AH$5)=0),"",IF(AND(AH$5&gt;='예시-총괄분'!H8,AH$5&lt;='예시-총괄분'!I8),D7/'예시-총괄분'!J8,""))</f>
        <v/>
      </c>
      <c r="AI7" s="41">
        <f>IF(OR(D7="",'예시-총괄분'!J8="",N(AI$5)=0),"",IF(AND(AI$5&gt;='예시-총괄분'!H8,AI$5&lt;='예시-총괄분'!I8),D7/'예시-총괄분'!J8,""))</f>
        <v/>
      </c>
      <c r="AJ7" s="41">
        <f>IF(OR(D7="",'예시-총괄분'!J8="",N(AJ$5)=0),"",IF(AND(AJ$5&gt;='예시-총괄분'!H8,AJ$5&lt;='예시-총괄분'!I8),D7/'예시-총괄분'!J8,""))</f>
        <v/>
      </c>
      <c r="AK7" s="40">
        <f>IF(D7="","",SUM(F7:AJ7))</f>
        <v/>
      </c>
      <c r="AL7" s="40">
        <f>IF(D7="","",E7+AK7)</f>
        <v/>
      </c>
    </row>
    <row r="8" ht="15" customHeight="1">
      <c r="A8" s="38">
        <f>IF('예시-총괄분'!A10="","",'예시-총괄분'!A10)</f>
        <v/>
      </c>
      <c r="B8" s="38">
        <f>IF('예시-총괄분'!B10="","",'예시-총괄분'!B10)</f>
        <v/>
      </c>
      <c r="C8" s="39">
        <f>IF('예시-총괄분'!C10="","",'예시-총괄분'!C10)</f>
        <v/>
      </c>
      <c r="D8" s="23">
        <f>IF('예시-총괄분'!E10="","",'예시-총괄분'!E10)</f>
        <v/>
      </c>
      <c r="E8" s="40">
        <f>IF(OR(D8="",'예시-총괄분'!J10="",N(U3)=0),"",MAX(0,MIN('예시-총괄분'!I10,U3-1)-'예시-총괄분'!H10+1)/'예시-총괄분'!J10*D8)</f>
        <v/>
      </c>
      <c r="F8" s="41">
        <f>IF(OR(D8="",'예시-총괄분'!J10="",N(F$5)=0),"",IF(AND(F$5&gt;='예시-총괄분'!H10,F$5&lt;='예시-총괄분'!I10),D8/'예시-총괄분'!J10,""))</f>
        <v/>
      </c>
      <c r="G8" s="41">
        <f>IF(OR(D8="",'예시-총괄분'!J10="",N(G$5)=0),"",IF(AND(G$5&gt;='예시-총괄분'!H10,G$5&lt;='예시-총괄분'!I10),D8/'예시-총괄분'!J10,""))</f>
        <v/>
      </c>
      <c r="H8" s="41">
        <f>IF(OR(D8="",'예시-총괄분'!J10="",N(H$5)=0),"",IF(AND(H$5&gt;='예시-총괄분'!H10,H$5&lt;='예시-총괄분'!I10),D8/'예시-총괄분'!J10,""))</f>
        <v/>
      </c>
      <c r="I8" s="41">
        <f>IF(OR(D8="",'예시-총괄분'!J10="",N(I$5)=0),"",IF(AND(I$5&gt;='예시-총괄분'!H10,I$5&lt;='예시-총괄분'!I10),D8/'예시-총괄분'!J10,""))</f>
        <v/>
      </c>
      <c r="J8" s="41">
        <f>IF(OR(D8="",'예시-총괄분'!J10="",N(J$5)=0),"",IF(AND(J$5&gt;='예시-총괄분'!H10,J$5&lt;='예시-총괄분'!I10),D8/'예시-총괄분'!J10,""))</f>
        <v/>
      </c>
      <c r="K8" s="41">
        <f>IF(OR(D8="",'예시-총괄분'!J10="",N(K$5)=0),"",IF(AND(K$5&gt;='예시-총괄분'!H10,K$5&lt;='예시-총괄분'!I10),D8/'예시-총괄분'!J10,""))</f>
        <v/>
      </c>
      <c r="L8" s="41">
        <f>IF(OR(D8="",'예시-총괄분'!J10="",N(L$5)=0),"",IF(AND(L$5&gt;='예시-총괄분'!H10,L$5&lt;='예시-총괄분'!I10),D8/'예시-총괄분'!J10,""))</f>
        <v/>
      </c>
      <c r="M8" s="41">
        <f>IF(OR(D8="",'예시-총괄분'!J10="",N(M$5)=0),"",IF(AND(M$5&gt;='예시-총괄분'!H10,M$5&lt;='예시-총괄분'!I10),D8/'예시-총괄분'!J10,""))</f>
        <v/>
      </c>
      <c r="N8" s="41">
        <f>IF(OR(D8="",'예시-총괄분'!J10="",N(N$5)=0),"",IF(AND(N$5&gt;='예시-총괄분'!H10,N$5&lt;='예시-총괄분'!I10),D8/'예시-총괄분'!J10,""))</f>
        <v/>
      </c>
      <c r="O8" s="41">
        <f>IF(OR(D8="",'예시-총괄분'!J10="",N(O$5)=0),"",IF(AND(O$5&gt;='예시-총괄분'!H10,O$5&lt;='예시-총괄분'!I10),D8/'예시-총괄분'!J10,""))</f>
        <v/>
      </c>
      <c r="P8" s="41">
        <f>IF(OR(D8="",'예시-총괄분'!J10="",N(P$5)=0),"",IF(AND(P$5&gt;='예시-총괄분'!H10,P$5&lt;='예시-총괄분'!I10),D8/'예시-총괄분'!J10,""))</f>
        <v/>
      </c>
      <c r="Q8" s="41">
        <f>IF(OR(D8="",'예시-총괄분'!J10="",N(Q$5)=0),"",IF(AND(Q$5&gt;='예시-총괄분'!H10,Q$5&lt;='예시-총괄분'!I10),D8/'예시-총괄분'!J10,""))</f>
        <v/>
      </c>
      <c r="R8" s="41">
        <f>IF(OR(D8="",'예시-총괄분'!J10="",N(R$5)=0),"",IF(AND(R$5&gt;='예시-총괄분'!H10,R$5&lt;='예시-총괄분'!I10),D8/'예시-총괄분'!J10,""))</f>
        <v/>
      </c>
      <c r="S8" s="41">
        <f>IF(OR(D8="",'예시-총괄분'!J10="",N(S$5)=0),"",IF(AND(S$5&gt;='예시-총괄분'!H10,S$5&lt;='예시-총괄분'!I10),D8/'예시-총괄분'!J10,""))</f>
        <v/>
      </c>
      <c r="T8" s="41">
        <f>IF(OR(D8="",'예시-총괄분'!J10="",N(T$5)=0),"",IF(AND(T$5&gt;='예시-총괄분'!H10,T$5&lt;='예시-총괄분'!I10),D8/'예시-총괄분'!J10,""))</f>
        <v/>
      </c>
      <c r="U8" s="41">
        <f>IF(OR(D8="",'예시-총괄분'!J10="",N(U$5)=0),"",IF(AND(U$5&gt;='예시-총괄분'!H10,U$5&lt;='예시-총괄분'!I10),D8/'예시-총괄분'!J10,""))</f>
        <v/>
      </c>
      <c r="V8" s="41">
        <f>IF(OR(D8="",'예시-총괄분'!J10="",N(V$5)=0),"",IF(AND(V$5&gt;='예시-총괄분'!H10,V$5&lt;='예시-총괄분'!I10),D8/'예시-총괄분'!J10,""))</f>
        <v/>
      </c>
      <c r="W8" s="41">
        <f>IF(OR(D8="",'예시-총괄분'!J10="",N(W$5)=0),"",IF(AND(W$5&gt;='예시-총괄분'!H10,W$5&lt;='예시-총괄분'!I10),D8/'예시-총괄분'!J10,""))</f>
        <v/>
      </c>
      <c r="X8" s="41">
        <f>IF(OR(D8="",'예시-총괄분'!J10="",N(X$5)=0),"",IF(AND(X$5&gt;='예시-총괄분'!H10,X$5&lt;='예시-총괄분'!I10),D8/'예시-총괄분'!J10,""))</f>
        <v/>
      </c>
      <c r="Y8" s="41">
        <f>IF(OR(D8="",'예시-총괄분'!J10="",N(Y$5)=0),"",IF(AND(Y$5&gt;='예시-총괄분'!H10,Y$5&lt;='예시-총괄분'!I10),D8/'예시-총괄분'!J10,""))</f>
        <v/>
      </c>
      <c r="Z8" s="41">
        <f>IF(OR(D8="",'예시-총괄분'!J10="",N(Z$5)=0),"",IF(AND(Z$5&gt;='예시-총괄분'!H10,Z$5&lt;='예시-총괄분'!I10),D8/'예시-총괄분'!J10,""))</f>
        <v/>
      </c>
      <c r="AA8" s="41">
        <f>IF(OR(D8="",'예시-총괄분'!J10="",N(AA$5)=0),"",IF(AND(AA$5&gt;='예시-총괄분'!H10,AA$5&lt;='예시-총괄분'!I10),D8/'예시-총괄분'!J10,""))</f>
        <v/>
      </c>
      <c r="AB8" s="41">
        <f>IF(OR(D8="",'예시-총괄분'!J10="",N(AB$5)=0),"",IF(AND(AB$5&gt;='예시-총괄분'!H10,AB$5&lt;='예시-총괄분'!I10),D8/'예시-총괄분'!J10,""))</f>
        <v/>
      </c>
      <c r="AC8" s="41">
        <f>IF(OR(D8="",'예시-총괄분'!J10="",N(AC$5)=0),"",IF(AND(AC$5&gt;='예시-총괄분'!H10,AC$5&lt;='예시-총괄분'!I10),D8/'예시-총괄분'!J10,""))</f>
        <v/>
      </c>
      <c r="AD8" s="41">
        <f>IF(OR(D8="",'예시-총괄분'!J10="",N(AD$5)=0),"",IF(AND(AD$5&gt;='예시-총괄분'!H10,AD$5&lt;='예시-총괄분'!I10),D8/'예시-총괄분'!J10,""))</f>
        <v/>
      </c>
      <c r="AE8" s="41">
        <f>IF(OR(D8="",'예시-총괄분'!J10="",N(AE$5)=0),"",IF(AND(AE$5&gt;='예시-총괄분'!H10,AE$5&lt;='예시-총괄분'!I10),D8/'예시-총괄분'!J10,""))</f>
        <v/>
      </c>
      <c r="AF8" s="41">
        <f>IF(OR(D8="",'예시-총괄분'!J10="",N(AF$5)=0),"",IF(AND(AF$5&gt;='예시-총괄분'!H10,AF$5&lt;='예시-총괄분'!I10),D8/'예시-총괄분'!J10,""))</f>
        <v/>
      </c>
      <c r="AG8" s="41">
        <f>IF(OR(D8="",'예시-총괄분'!J10="",N(AG$5)=0),"",IF(AND(AG$5&gt;='예시-총괄분'!H10,AG$5&lt;='예시-총괄분'!I10),D8/'예시-총괄분'!J10,""))</f>
        <v/>
      </c>
      <c r="AH8" s="41">
        <f>IF(OR(D8="",'예시-총괄분'!J10="",N(AH$5)=0),"",IF(AND(AH$5&gt;='예시-총괄분'!H10,AH$5&lt;='예시-총괄분'!I10),D8/'예시-총괄분'!J10,""))</f>
        <v/>
      </c>
      <c r="AI8" s="41">
        <f>IF(OR(D8="",'예시-총괄분'!J10="",N(AI$5)=0),"",IF(AND(AI$5&gt;='예시-총괄분'!H10,AI$5&lt;='예시-총괄분'!I10),D8/'예시-총괄분'!J10,""))</f>
        <v/>
      </c>
      <c r="AJ8" s="41">
        <f>IF(OR(D8="",'예시-총괄분'!J10="",N(AJ$5)=0),"",IF(AND(AJ$5&gt;='예시-총괄분'!H10,AJ$5&lt;='예시-총괄분'!I10),D8/'예시-총괄분'!J10,""))</f>
        <v/>
      </c>
      <c r="AK8" s="40">
        <f>IF(D8="","",SUM(F8:AJ8))</f>
        <v/>
      </c>
      <c r="AL8" s="40">
        <f>IF(D8="","",E8+AK8)</f>
        <v/>
      </c>
    </row>
    <row r="9" ht="15" customHeight="1">
      <c r="A9" s="38">
        <f>IF('예시-총괄분'!A12="","",'예시-총괄분'!A12)</f>
        <v/>
      </c>
      <c r="B9" s="38">
        <f>IF('예시-총괄분'!B12="","",'예시-총괄분'!B12)</f>
        <v/>
      </c>
      <c r="C9" s="39">
        <f>IF('예시-총괄분'!C12="","",'예시-총괄분'!C12)</f>
        <v/>
      </c>
      <c r="D9" s="23">
        <f>IF('예시-총괄분'!E12="","",'예시-총괄분'!E12)</f>
        <v/>
      </c>
      <c r="E9" s="40">
        <f>IF(OR(D9="",'예시-총괄분'!J12="",N(U3)=0),"",MAX(0,MIN('예시-총괄분'!I12,U3-1)-'예시-총괄분'!H12+1)/'예시-총괄분'!J12*D9)</f>
        <v/>
      </c>
      <c r="F9" s="41">
        <f>IF(OR(D9="",'예시-총괄분'!J12="",N(F$5)=0),"",IF(AND(F$5&gt;='예시-총괄분'!H12,F$5&lt;='예시-총괄분'!I12),D9/'예시-총괄분'!J12,""))</f>
        <v/>
      </c>
      <c r="G9" s="41">
        <f>IF(OR(D9="",'예시-총괄분'!J12="",N(G$5)=0),"",IF(AND(G$5&gt;='예시-총괄분'!H12,G$5&lt;='예시-총괄분'!I12),D9/'예시-총괄분'!J12,""))</f>
        <v/>
      </c>
      <c r="H9" s="41">
        <f>IF(OR(D9="",'예시-총괄분'!J12="",N(H$5)=0),"",IF(AND(H$5&gt;='예시-총괄분'!H12,H$5&lt;='예시-총괄분'!I12),D9/'예시-총괄분'!J12,""))</f>
        <v/>
      </c>
      <c r="I9" s="41">
        <f>IF(OR(D9="",'예시-총괄분'!J12="",N(I$5)=0),"",IF(AND(I$5&gt;='예시-총괄분'!H12,I$5&lt;='예시-총괄분'!I12),D9/'예시-총괄분'!J12,""))</f>
        <v/>
      </c>
      <c r="J9" s="41">
        <f>IF(OR(D9="",'예시-총괄분'!J12="",N(J$5)=0),"",IF(AND(J$5&gt;='예시-총괄분'!H12,J$5&lt;='예시-총괄분'!I12),D9/'예시-총괄분'!J12,""))</f>
        <v/>
      </c>
      <c r="K9" s="41">
        <f>IF(OR(D9="",'예시-총괄분'!J12="",N(K$5)=0),"",IF(AND(K$5&gt;='예시-총괄분'!H12,K$5&lt;='예시-총괄분'!I12),D9/'예시-총괄분'!J12,""))</f>
        <v/>
      </c>
      <c r="L9" s="41">
        <f>IF(OR(D9="",'예시-총괄분'!J12="",N(L$5)=0),"",IF(AND(L$5&gt;='예시-총괄분'!H12,L$5&lt;='예시-총괄분'!I12),D9/'예시-총괄분'!J12,""))</f>
        <v/>
      </c>
      <c r="M9" s="41">
        <f>IF(OR(D9="",'예시-총괄분'!J12="",N(M$5)=0),"",IF(AND(M$5&gt;='예시-총괄분'!H12,M$5&lt;='예시-총괄분'!I12),D9/'예시-총괄분'!J12,""))</f>
        <v/>
      </c>
      <c r="N9" s="41">
        <f>IF(OR(D9="",'예시-총괄분'!J12="",N(N$5)=0),"",IF(AND(N$5&gt;='예시-총괄분'!H12,N$5&lt;='예시-총괄분'!I12),D9/'예시-총괄분'!J12,""))</f>
        <v/>
      </c>
      <c r="O9" s="41">
        <f>IF(OR(D9="",'예시-총괄분'!J12="",N(O$5)=0),"",IF(AND(O$5&gt;='예시-총괄분'!H12,O$5&lt;='예시-총괄분'!I12),D9/'예시-총괄분'!J12,""))</f>
        <v/>
      </c>
      <c r="P9" s="41">
        <f>IF(OR(D9="",'예시-총괄분'!J12="",N(P$5)=0),"",IF(AND(P$5&gt;='예시-총괄분'!H12,P$5&lt;='예시-총괄분'!I12),D9/'예시-총괄분'!J12,""))</f>
        <v/>
      </c>
      <c r="Q9" s="41">
        <f>IF(OR(D9="",'예시-총괄분'!J12="",N(Q$5)=0),"",IF(AND(Q$5&gt;='예시-총괄분'!H12,Q$5&lt;='예시-총괄분'!I12),D9/'예시-총괄분'!J12,""))</f>
        <v/>
      </c>
      <c r="R9" s="41">
        <f>IF(OR(D9="",'예시-총괄분'!J12="",N(R$5)=0),"",IF(AND(R$5&gt;='예시-총괄분'!H12,R$5&lt;='예시-총괄분'!I12),D9/'예시-총괄분'!J12,""))</f>
        <v/>
      </c>
      <c r="S9" s="41">
        <f>IF(OR(D9="",'예시-총괄분'!J12="",N(S$5)=0),"",IF(AND(S$5&gt;='예시-총괄분'!H12,S$5&lt;='예시-총괄분'!I12),D9/'예시-총괄분'!J12,""))</f>
        <v/>
      </c>
      <c r="T9" s="41">
        <f>IF(OR(D9="",'예시-총괄분'!J12="",N(T$5)=0),"",IF(AND(T$5&gt;='예시-총괄분'!H12,T$5&lt;='예시-총괄분'!I12),D9/'예시-총괄분'!J12,""))</f>
        <v/>
      </c>
      <c r="U9" s="41">
        <f>IF(OR(D9="",'예시-총괄분'!J12="",N(U$5)=0),"",IF(AND(U$5&gt;='예시-총괄분'!H12,U$5&lt;='예시-총괄분'!I12),D9/'예시-총괄분'!J12,""))</f>
        <v/>
      </c>
      <c r="V9" s="41">
        <f>IF(OR(D9="",'예시-총괄분'!J12="",N(V$5)=0),"",IF(AND(V$5&gt;='예시-총괄분'!H12,V$5&lt;='예시-총괄분'!I12),D9/'예시-총괄분'!J12,""))</f>
        <v/>
      </c>
      <c r="W9" s="41">
        <f>IF(OR(D9="",'예시-총괄분'!J12="",N(W$5)=0),"",IF(AND(W$5&gt;='예시-총괄분'!H12,W$5&lt;='예시-총괄분'!I12),D9/'예시-총괄분'!J12,""))</f>
        <v/>
      </c>
      <c r="X9" s="41">
        <f>IF(OR(D9="",'예시-총괄분'!J12="",N(X$5)=0),"",IF(AND(X$5&gt;='예시-총괄분'!H12,X$5&lt;='예시-총괄분'!I12),D9/'예시-총괄분'!J12,""))</f>
        <v/>
      </c>
      <c r="Y9" s="41">
        <f>IF(OR(D9="",'예시-총괄분'!J12="",N(Y$5)=0),"",IF(AND(Y$5&gt;='예시-총괄분'!H12,Y$5&lt;='예시-총괄분'!I12),D9/'예시-총괄분'!J12,""))</f>
        <v/>
      </c>
      <c r="Z9" s="41">
        <f>IF(OR(D9="",'예시-총괄분'!J12="",N(Z$5)=0),"",IF(AND(Z$5&gt;='예시-총괄분'!H12,Z$5&lt;='예시-총괄분'!I12),D9/'예시-총괄분'!J12,""))</f>
        <v/>
      </c>
      <c r="AA9" s="41">
        <f>IF(OR(D9="",'예시-총괄분'!J12="",N(AA$5)=0),"",IF(AND(AA$5&gt;='예시-총괄분'!H12,AA$5&lt;='예시-총괄분'!I12),D9/'예시-총괄분'!J12,""))</f>
        <v/>
      </c>
      <c r="AB9" s="41">
        <f>IF(OR(D9="",'예시-총괄분'!J12="",N(AB$5)=0),"",IF(AND(AB$5&gt;='예시-총괄분'!H12,AB$5&lt;='예시-총괄분'!I12),D9/'예시-총괄분'!J12,""))</f>
        <v/>
      </c>
      <c r="AC9" s="41">
        <f>IF(OR(D9="",'예시-총괄분'!J12="",N(AC$5)=0),"",IF(AND(AC$5&gt;='예시-총괄분'!H12,AC$5&lt;='예시-총괄분'!I12),D9/'예시-총괄분'!J12,""))</f>
        <v/>
      </c>
      <c r="AD9" s="41">
        <f>IF(OR(D9="",'예시-총괄분'!J12="",N(AD$5)=0),"",IF(AND(AD$5&gt;='예시-총괄분'!H12,AD$5&lt;='예시-총괄분'!I12),D9/'예시-총괄분'!J12,""))</f>
        <v/>
      </c>
      <c r="AE9" s="41">
        <f>IF(OR(D9="",'예시-총괄분'!J12="",N(AE$5)=0),"",IF(AND(AE$5&gt;='예시-총괄분'!H12,AE$5&lt;='예시-총괄분'!I12),D9/'예시-총괄분'!J12,""))</f>
        <v/>
      </c>
      <c r="AF9" s="41">
        <f>IF(OR(D9="",'예시-총괄분'!J12="",N(AF$5)=0),"",IF(AND(AF$5&gt;='예시-총괄분'!H12,AF$5&lt;='예시-총괄분'!I12),D9/'예시-총괄분'!J12,""))</f>
        <v/>
      </c>
      <c r="AG9" s="41">
        <f>IF(OR(D9="",'예시-총괄분'!J12="",N(AG$5)=0),"",IF(AND(AG$5&gt;='예시-총괄분'!H12,AG$5&lt;='예시-총괄분'!I12),D9/'예시-총괄분'!J12,""))</f>
        <v/>
      </c>
      <c r="AH9" s="41">
        <f>IF(OR(D9="",'예시-총괄분'!J12="",N(AH$5)=0),"",IF(AND(AH$5&gt;='예시-총괄분'!H12,AH$5&lt;='예시-총괄분'!I12),D9/'예시-총괄분'!J12,""))</f>
        <v/>
      </c>
      <c r="AI9" s="41">
        <f>IF(OR(D9="",'예시-총괄분'!J12="",N(AI$5)=0),"",IF(AND(AI$5&gt;='예시-총괄분'!H12,AI$5&lt;='예시-총괄분'!I12),D9/'예시-총괄분'!J12,""))</f>
        <v/>
      </c>
      <c r="AJ9" s="41">
        <f>IF(OR(D9="",'예시-총괄분'!J12="",N(AJ$5)=0),"",IF(AND(AJ$5&gt;='예시-총괄분'!H12,AJ$5&lt;='예시-총괄분'!I12),D9/'예시-총괄분'!J12,""))</f>
        <v/>
      </c>
      <c r="AK9" s="40">
        <f>IF(D9="","",SUM(F9:AJ9))</f>
        <v/>
      </c>
      <c r="AL9" s="40">
        <f>IF(D9="","",E9+AK9)</f>
        <v/>
      </c>
    </row>
    <row r="10" ht="15" customHeight="1">
      <c r="A10" s="38">
        <f>IF('예시-총괄분'!A14="","",'예시-총괄분'!A14)</f>
        <v/>
      </c>
      <c r="B10" s="38">
        <f>IF('예시-총괄분'!B14="","",'예시-총괄분'!B14)</f>
        <v/>
      </c>
      <c r="C10" s="39">
        <f>IF('예시-총괄분'!C14="","",'예시-총괄분'!C14)</f>
        <v/>
      </c>
      <c r="D10" s="23">
        <f>IF('예시-총괄분'!E14="","",'예시-총괄분'!E14)</f>
        <v/>
      </c>
      <c r="E10" s="40">
        <f>IF(OR(D10="",'예시-총괄분'!J14="",N(U3)=0),"",MAX(0,MIN('예시-총괄분'!I14,U3-1)-'예시-총괄분'!H14+1)/'예시-총괄분'!J14*D10)</f>
        <v/>
      </c>
      <c r="F10" s="41">
        <f>IF(OR(D10="",'예시-총괄분'!J14="",N(F$5)=0),"",IF(AND(F$5&gt;='예시-총괄분'!H14,F$5&lt;='예시-총괄분'!I14),D10/'예시-총괄분'!J14,""))</f>
        <v/>
      </c>
      <c r="G10" s="41">
        <f>IF(OR(D10="",'예시-총괄분'!J14="",N(G$5)=0),"",IF(AND(G$5&gt;='예시-총괄분'!H14,G$5&lt;='예시-총괄분'!I14),D10/'예시-총괄분'!J14,""))</f>
        <v/>
      </c>
      <c r="H10" s="41">
        <f>IF(OR(D10="",'예시-총괄분'!J14="",N(H$5)=0),"",IF(AND(H$5&gt;='예시-총괄분'!H14,H$5&lt;='예시-총괄분'!I14),D10/'예시-총괄분'!J14,""))</f>
        <v/>
      </c>
      <c r="I10" s="41">
        <f>IF(OR(D10="",'예시-총괄분'!J14="",N(I$5)=0),"",IF(AND(I$5&gt;='예시-총괄분'!H14,I$5&lt;='예시-총괄분'!I14),D10/'예시-총괄분'!J14,""))</f>
        <v/>
      </c>
      <c r="J10" s="41">
        <f>IF(OR(D10="",'예시-총괄분'!J14="",N(J$5)=0),"",IF(AND(J$5&gt;='예시-총괄분'!H14,J$5&lt;='예시-총괄분'!I14),D10/'예시-총괄분'!J14,""))</f>
        <v/>
      </c>
      <c r="K10" s="41">
        <f>IF(OR(D10="",'예시-총괄분'!J14="",N(K$5)=0),"",IF(AND(K$5&gt;='예시-총괄분'!H14,K$5&lt;='예시-총괄분'!I14),D10/'예시-총괄분'!J14,""))</f>
        <v/>
      </c>
      <c r="L10" s="41">
        <f>IF(OR(D10="",'예시-총괄분'!J14="",N(L$5)=0),"",IF(AND(L$5&gt;='예시-총괄분'!H14,L$5&lt;='예시-총괄분'!I14),D10/'예시-총괄분'!J14,""))</f>
        <v/>
      </c>
      <c r="M10" s="41">
        <f>IF(OR(D10="",'예시-총괄분'!J14="",N(M$5)=0),"",IF(AND(M$5&gt;='예시-총괄분'!H14,M$5&lt;='예시-총괄분'!I14),D10/'예시-총괄분'!J14,""))</f>
        <v/>
      </c>
      <c r="N10" s="41">
        <f>IF(OR(D10="",'예시-총괄분'!J14="",N(N$5)=0),"",IF(AND(N$5&gt;='예시-총괄분'!H14,N$5&lt;='예시-총괄분'!I14),D10/'예시-총괄분'!J14,""))</f>
        <v/>
      </c>
      <c r="O10" s="41">
        <f>IF(OR(D10="",'예시-총괄분'!J14="",N(O$5)=0),"",IF(AND(O$5&gt;='예시-총괄분'!H14,O$5&lt;='예시-총괄분'!I14),D10/'예시-총괄분'!J14,""))</f>
        <v/>
      </c>
      <c r="P10" s="41">
        <f>IF(OR(D10="",'예시-총괄분'!J14="",N(P$5)=0),"",IF(AND(P$5&gt;='예시-총괄분'!H14,P$5&lt;='예시-총괄분'!I14),D10/'예시-총괄분'!J14,""))</f>
        <v/>
      </c>
      <c r="Q10" s="41">
        <f>IF(OR(D10="",'예시-총괄분'!J14="",N(Q$5)=0),"",IF(AND(Q$5&gt;='예시-총괄분'!H14,Q$5&lt;='예시-총괄분'!I14),D10/'예시-총괄분'!J14,""))</f>
        <v/>
      </c>
      <c r="R10" s="41">
        <f>IF(OR(D10="",'예시-총괄분'!J14="",N(R$5)=0),"",IF(AND(R$5&gt;='예시-총괄분'!H14,R$5&lt;='예시-총괄분'!I14),D10/'예시-총괄분'!J14,""))</f>
        <v/>
      </c>
      <c r="S10" s="41">
        <f>IF(OR(D10="",'예시-총괄분'!J14="",N(S$5)=0),"",IF(AND(S$5&gt;='예시-총괄분'!H14,S$5&lt;='예시-총괄분'!I14),D10/'예시-총괄분'!J14,""))</f>
        <v/>
      </c>
      <c r="T10" s="41">
        <f>IF(OR(D10="",'예시-총괄분'!J14="",N(T$5)=0),"",IF(AND(T$5&gt;='예시-총괄분'!H14,T$5&lt;='예시-총괄분'!I14),D10/'예시-총괄분'!J14,""))</f>
        <v/>
      </c>
      <c r="U10" s="41">
        <f>IF(OR(D10="",'예시-총괄분'!J14="",N(U$5)=0),"",IF(AND(U$5&gt;='예시-총괄분'!H14,U$5&lt;='예시-총괄분'!I14),D10/'예시-총괄분'!J14,""))</f>
        <v/>
      </c>
      <c r="V10" s="41">
        <f>IF(OR(D10="",'예시-총괄분'!J14="",N(V$5)=0),"",IF(AND(V$5&gt;='예시-총괄분'!H14,V$5&lt;='예시-총괄분'!I14),D10/'예시-총괄분'!J14,""))</f>
        <v/>
      </c>
      <c r="W10" s="41">
        <f>IF(OR(D10="",'예시-총괄분'!J14="",N(W$5)=0),"",IF(AND(W$5&gt;='예시-총괄분'!H14,W$5&lt;='예시-총괄분'!I14),D10/'예시-총괄분'!J14,""))</f>
        <v/>
      </c>
      <c r="X10" s="41">
        <f>IF(OR(D10="",'예시-총괄분'!J14="",N(X$5)=0),"",IF(AND(X$5&gt;='예시-총괄분'!H14,X$5&lt;='예시-총괄분'!I14),D10/'예시-총괄분'!J14,""))</f>
        <v/>
      </c>
      <c r="Y10" s="41">
        <f>IF(OR(D10="",'예시-총괄분'!J14="",N(Y$5)=0),"",IF(AND(Y$5&gt;='예시-총괄분'!H14,Y$5&lt;='예시-총괄분'!I14),D10/'예시-총괄분'!J14,""))</f>
        <v/>
      </c>
      <c r="Z10" s="41">
        <f>IF(OR(D10="",'예시-총괄분'!J14="",N(Z$5)=0),"",IF(AND(Z$5&gt;='예시-총괄분'!H14,Z$5&lt;='예시-총괄분'!I14),D10/'예시-총괄분'!J14,""))</f>
        <v/>
      </c>
      <c r="AA10" s="41">
        <f>IF(OR(D10="",'예시-총괄분'!J14="",N(AA$5)=0),"",IF(AND(AA$5&gt;='예시-총괄분'!H14,AA$5&lt;='예시-총괄분'!I14),D10/'예시-총괄분'!J14,""))</f>
        <v/>
      </c>
      <c r="AB10" s="41">
        <f>IF(OR(D10="",'예시-총괄분'!J14="",N(AB$5)=0),"",IF(AND(AB$5&gt;='예시-총괄분'!H14,AB$5&lt;='예시-총괄분'!I14),D10/'예시-총괄분'!J14,""))</f>
        <v/>
      </c>
      <c r="AC10" s="41">
        <f>IF(OR(D10="",'예시-총괄분'!J14="",N(AC$5)=0),"",IF(AND(AC$5&gt;='예시-총괄분'!H14,AC$5&lt;='예시-총괄분'!I14),D10/'예시-총괄분'!J14,""))</f>
        <v/>
      </c>
      <c r="AD10" s="41">
        <f>IF(OR(D10="",'예시-총괄분'!J14="",N(AD$5)=0),"",IF(AND(AD$5&gt;='예시-총괄분'!H14,AD$5&lt;='예시-총괄분'!I14),D10/'예시-총괄분'!J14,""))</f>
        <v/>
      </c>
      <c r="AE10" s="41">
        <f>IF(OR(D10="",'예시-총괄분'!J14="",N(AE$5)=0),"",IF(AND(AE$5&gt;='예시-총괄분'!H14,AE$5&lt;='예시-총괄분'!I14),D10/'예시-총괄분'!J14,""))</f>
        <v/>
      </c>
      <c r="AF10" s="41">
        <f>IF(OR(D10="",'예시-총괄분'!J14="",N(AF$5)=0),"",IF(AND(AF$5&gt;='예시-총괄분'!H14,AF$5&lt;='예시-총괄분'!I14),D10/'예시-총괄분'!J14,""))</f>
        <v/>
      </c>
      <c r="AG10" s="41">
        <f>IF(OR(D10="",'예시-총괄분'!J14="",N(AG$5)=0),"",IF(AND(AG$5&gt;='예시-총괄분'!H14,AG$5&lt;='예시-총괄분'!I14),D10/'예시-총괄분'!J14,""))</f>
        <v/>
      </c>
      <c r="AH10" s="41">
        <f>IF(OR(D10="",'예시-총괄분'!J14="",N(AH$5)=0),"",IF(AND(AH$5&gt;='예시-총괄분'!H14,AH$5&lt;='예시-총괄분'!I14),D10/'예시-총괄분'!J14,""))</f>
        <v/>
      </c>
      <c r="AI10" s="41">
        <f>IF(OR(D10="",'예시-총괄분'!J14="",N(AI$5)=0),"",IF(AND(AI$5&gt;='예시-총괄분'!H14,AI$5&lt;='예시-총괄분'!I14),D10/'예시-총괄분'!J14,""))</f>
        <v/>
      </c>
      <c r="AJ10" s="41">
        <f>IF(OR(D10="",'예시-총괄분'!J14="",N(AJ$5)=0),"",IF(AND(AJ$5&gt;='예시-총괄분'!H14,AJ$5&lt;='예시-총괄분'!I14),D10/'예시-총괄분'!J14,""))</f>
        <v/>
      </c>
      <c r="AK10" s="40">
        <f>IF(D10="","",SUM(F10:AJ10))</f>
        <v/>
      </c>
      <c r="AL10" s="40">
        <f>IF(D10="","",E10+AK10)</f>
        <v/>
      </c>
    </row>
    <row r="11" ht="15" customHeight="1">
      <c r="A11" s="38">
        <f>IF('예시-총괄분'!A16="","",'예시-총괄분'!A16)</f>
        <v/>
      </c>
      <c r="B11" s="38">
        <f>IF('예시-총괄분'!B16="","",'예시-총괄분'!B16)</f>
        <v/>
      </c>
      <c r="C11" s="39">
        <f>IF('예시-총괄분'!C16="","",'예시-총괄분'!C16)</f>
        <v/>
      </c>
      <c r="D11" s="23">
        <f>IF('예시-총괄분'!E16="","",'예시-총괄분'!E16)</f>
        <v/>
      </c>
      <c r="E11" s="40">
        <f>IF(OR(D11="",'예시-총괄분'!J16="",N(U3)=0),"",MAX(0,MIN('예시-총괄분'!I16,U3-1)-'예시-총괄분'!H16+1)/'예시-총괄분'!J16*D11)</f>
        <v/>
      </c>
      <c r="F11" s="41">
        <f>IF(OR(D11="",'예시-총괄분'!J16="",N(F$5)=0),"",IF(AND(F$5&gt;='예시-총괄분'!H16,F$5&lt;='예시-총괄분'!I16),D11/'예시-총괄분'!J16,""))</f>
        <v/>
      </c>
      <c r="G11" s="41">
        <f>IF(OR(D11="",'예시-총괄분'!J16="",N(G$5)=0),"",IF(AND(G$5&gt;='예시-총괄분'!H16,G$5&lt;='예시-총괄분'!I16),D11/'예시-총괄분'!J16,""))</f>
        <v/>
      </c>
      <c r="H11" s="41">
        <f>IF(OR(D11="",'예시-총괄분'!J16="",N(H$5)=0),"",IF(AND(H$5&gt;='예시-총괄분'!H16,H$5&lt;='예시-총괄분'!I16),D11/'예시-총괄분'!J16,""))</f>
        <v/>
      </c>
      <c r="I11" s="41">
        <f>IF(OR(D11="",'예시-총괄분'!J16="",N(I$5)=0),"",IF(AND(I$5&gt;='예시-총괄분'!H16,I$5&lt;='예시-총괄분'!I16),D11/'예시-총괄분'!J16,""))</f>
        <v/>
      </c>
      <c r="J11" s="41">
        <f>IF(OR(D11="",'예시-총괄분'!J16="",N(J$5)=0),"",IF(AND(J$5&gt;='예시-총괄분'!H16,J$5&lt;='예시-총괄분'!I16),D11/'예시-총괄분'!J16,""))</f>
        <v/>
      </c>
      <c r="K11" s="41">
        <f>IF(OR(D11="",'예시-총괄분'!J16="",N(K$5)=0),"",IF(AND(K$5&gt;='예시-총괄분'!H16,K$5&lt;='예시-총괄분'!I16),D11/'예시-총괄분'!J16,""))</f>
        <v/>
      </c>
      <c r="L11" s="41">
        <f>IF(OR(D11="",'예시-총괄분'!J16="",N(L$5)=0),"",IF(AND(L$5&gt;='예시-총괄분'!H16,L$5&lt;='예시-총괄분'!I16),D11/'예시-총괄분'!J16,""))</f>
        <v/>
      </c>
      <c r="M11" s="41">
        <f>IF(OR(D11="",'예시-총괄분'!J16="",N(M$5)=0),"",IF(AND(M$5&gt;='예시-총괄분'!H16,M$5&lt;='예시-총괄분'!I16),D11/'예시-총괄분'!J16,""))</f>
        <v/>
      </c>
      <c r="N11" s="41">
        <f>IF(OR(D11="",'예시-총괄분'!J16="",N(N$5)=0),"",IF(AND(N$5&gt;='예시-총괄분'!H16,N$5&lt;='예시-총괄분'!I16),D11/'예시-총괄분'!J16,""))</f>
        <v/>
      </c>
      <c r="O11" s="41">
        <f>IF(OR(D11="",'예시-총괄분'!J16="",N(O$5)=0),"",IF(AND(O$5&gt;='예시-총괄분'!H16,O$5&lt;='예시-총괄분'!I16),D11/'예시-총괄분'!J16,""))</f>
        <v/>
      </c>
      <c r="P11" s="41">
        <f>IF(OR(D11="",'예시-총괄분'!J16="",N(P$5)=0),"",IF(AND(P$5&gt;='예시-총괄분'!H16,P$5&lt;='예시-총괄분'!I16),D11/'예시-총괄분'!J16,""))</f>
        <v/>
      </c>
      <c r="Q11" s="41">
        <f>IF(OR(D11="",'예시-총괄분'!J16="",N(Q$5)=0),"",IF(AND(Q$5&gt;='예시-총괄분'!H16,Q$5&lt;='예시-총괄분'!I16),D11/'예시-총괄분'!J16,""))</f>
        <v/>
      </c>
      <c r="R11" s="41">
        <f>IF(OR(D11="",'예시-총괄분'!J16="",N(R$5)=0),"",IF(AND(R$5&gt;='예시-총괄분'!H16,R$5&lt;='예시-총괄분'!I16),D11/'예시-총괄분'!J16,""))</f>
        <v/>
      </c>
      <c r="S11" s="41">
        <f>IF(OR(D11="",'예시-총괄분'!J16="",N(S$5)=0),"",IF(AND(S$5&gt;='예시-총괄분'!H16,S$5&lt;='예시-총괄분'!I16),D11/'예시-총괄분'!J16,""))</f>
        <v/>
      </c>
      <c r="T11" s="41">
        <f>IF(OR(D11="",'예시-총괄분'!J16="",N(T$5)=0),"",IF(AND(T$5&gt;='예시-총괄분'!H16,T$5&lt;='예시-총괄분'!I16),D11/'예시-총괄분'!J16,""))</f>
        <v/>
      </c>
      <c r="U11" s="41">
        <f>IF(OR(D11="",'예시-총괄분'!J16="",N(U$5)=0),"",IF(AND(U$5&gt;='예시-총괄분'!H16,U$5&lt;='예시-총괄분'!I16),D11/'예시-총괄분'!J16,""))</f>
        <v/>
      </c>
      <c r="V11" s="41">
        <f>IF(OR(D11="",'예시-총괄분'!J16="",N(V$5)=0),"",IF(AND(V$5&gt;='예시-총괄분'!H16,V$5&lt;='예시-총괄분'!I16),D11/'예시-총괄분'!J16,""))</f>
        <v/>
      </c>
      <c r="W11" s="41">
        <f>IF(OR(D11="",'예시-총괄분'!J16="",N(W$5)=0),"",IF(AND(W$5&gt;='예시-총괄분'!H16,W$5&lt;='예시-총괄분'!I16),D11/'예시-총괄분'!J16,""))</f>
        <v/>
      </c>
      <c r="X11" s="41">
        <f>IF(OR(D11="",'예시-총괄분'!J16="",N(X$5)=0),"",IF(AND(X$5&gt;='예시-총괄분'!H16,X$5&lt;='예시-총괄분'!I16),D11/'예시-총괄분'!J16,""))</f>
        <v/>
      </c>
      <c r="Y11" s="41">
        <f>IF(OR(D11="",'예시-총괄분'!J16="",N(Y$5)=0),"",IF(AND(Y$5&gt;='예시-총괄분'!H16,Y$5&lt;='예시-총괄분'!I16),D11/'예시-총괄분'!J16,""))</f>
        <v/>
      </c>
      <c r="Z11" s="41">
        <f>IF(OR(D11="",'예시-총괄분'!J16="",N(Z$5)=0),"",IF(AND(Z$5&gt;='예시-총괄분'!H16,Z$5&lt;='예시-총괄분'!I16),D11/'예시-총괄분'!J16,""))</f>
        <v/>
      </c>
      <c r="AA11" s="41">
        <f>IF(OR(D11="",'예시-총괄분'!J16="",N(AA$5)=0),"",IF(AND(AA$5&gt;='예시-총괄분'!H16,AA$5&lt;='예시-총괄분'!I16),D11/'예시-총괄분'!J16,""))</f>
        <v/>
      </c>
      <c r="AB11" s="41">
        <f>IF(OR(D11="",'예시-총괄분'!J16="",N(AB$5)=0),"",IF(AND(AB$5&gt;='예시-총괄분'!H16,AB$5&lt;='예시-총괄분'!I16),D11/'예시-총괄분'!J16,""))</f>
        <v/>
      </c>
      <c r="AC11" s="41">
        <f>IF(OR(D11="",'예시-총괄분'!J16="",N(AC$5)=0),"",IF(AND(AC$5&gt;='예시-총괄분'!H16,AC$5&lt;='예시-총괄분'!I16),D11/'예시-총괄분'!J16,""))</f>
        <v/>
      </c>
      <c r="AD11" s="41">
        <f>IF(OR(D11="",'예시-총괄분'!J16="",N(AD$5)=0),"",IF(AND(AD$5&gt;='예시-총괄분'!H16,AD$5&lt;='예시-총괄분'!I16),D11/'예시-총괄분'!J16,""))</f>
        <v/>
      </c>
      <c r="AE11" s="41">
        <f>IF(OR(D11="",'예시-총괄분'!J16="",N(AE$5)=0),"",IF(AND(AE$5&gt;='예시-총괄분'!H16,AE$5&lt;='예시-총괄분'!I16),D11/'예시-총괄분'!J16,""))</f>
        <v/>
      </c>
      <c r="AF11" s="41">
        <f>IF(OR(D11="",'예시-총괄분'!J16="",N(AF$5)=0),"",IF(AND(AF$5&gt;='예시-총괄분'!H16,AF$5&lt;='예시-총괄분'!I16),D11/'예시-총괄분'!J16,""))</f>
        <v/>
      </c>
      <c r="AG11" s="41">
        <f>IF(OR(D11="",'예시-총괄분'!J16="",N(AG$5)=0),"",IF(AND(AG$5&gt;='예시-총괄분'!H16,AG$5&lt;='예시-총괄분'!I16),D11/'예시-총괄분'!J16,""))</f>
        <v/>
      </c>
      <c r="AH11" s="41">
        <f>IF(OR(D11="",'예시-총괄분'!J16="",N(AH$5)=0),"",IF(AND(AH$5&gt;='예시-총괄분'!H16,AH$5&lt;='예시-총괄분'!I16),D11/'예시-총괄분'!J16,""))</f>
        <v/>
      </c>
      <c r="AI11" s="41">
        <f>IF(OR(D11="",'예시-총괄분'!J16="",N(AI$5)=0),"",IF(AND(AI$5&gt;='예시-총괄분'!H16,AI$5&lt;='예시-총괄분'!I16),D11/'예시-총괄분'!J16,""))</f>
        <v/>
      </c>
      <c r="AJ11" s="41">
        <f>IF(OR(D11="",'예시-총괄분'!J16="",N(AJ$5)=0),"",IF(AND(AJ$5&gt;='예시-총괄분'!H16,AJ$5&lt;='예시-총괄분'!I16),D11/'예시-총괄분'!J16,""))</f>
        <v/>
      </c>
      <c r="AK11" s="40">
        <f>IF(D11="","",SUM(F11:AJ11))</f>
        <v/>
      </c>
      <c r="AL11" s="40">
        <f>IF(D11="","",E11+AK11)</f>
        <v/>
      </c>
    </row>
    <row r="12" ht="15" customHeight="1">
      <c r="A12" s="38">
        <f>IF('예시-총괄분'!A18="","",'예시-총괄분'!A18)</f>
        <v/>
      </c>
      <c r="B12" s="38">
        <f>IF('예시-총괄분'!B18="","",'예시-총괄분'!B18)</f>
        <v/>
      </c>
      <c r="C12" s="39">
        <f>IF('예시-총괄분'!C18="","",'예시-총괄분'!C18)</f>
        <v/>
      </c>
      <c r="D12" s="23">
        <f>IF('예시-총괄분'!E18="","",'예시-총괄분'!E18)</f>
        <v/>
      </c>
      <c r="E12" s="40">
        <f>IF(OR(D12="",'예시-총괄분'!J18="",N(U3)=0),"",MAX(0,MIN('예시-총괄분'!I18,U3-1)-'예시-총괄분'!H18+1)/'예시-총괄분'!J18*D12)</f>
        <v/>
      </c>
      <c r="F12" s="41">
        <f>IF(OR(D12="",'예시-총괄분'!J18="",N(F$5)=0),"",IF(AND(F$5&gt;='예시-총괄분'!H18,F$5&lt;='예시-총괄분'!I18),D12/'예시-총괄분'!J18,""))</f>
        <v/>
      </c>
      <c r="G12" s="41">
        <f>IF(OR(D12="",'예시-총괄분'!J18="",N(G$5)=0),"",IF(AND(G$5&gt;='예시-총괄분'!H18,G$5&lt;='예시-총괄분'!I18),D12/'예시-총괄분'!J18,""))</f>
        <v/>
      </c>
      <c r="H12" s="41">
        <f>IF(OR(D12="",'예시-총괄분'!J18="",N(H$5)=0),"",IF(AND(H$5&gt;='예시-총괄분'!H18,H$5&lt;='예시-총괄분'!I18),D12/'예시-총괄분'!J18,""))</f>
        <v/>
      </c>
      <c r="I12" s="41">
        <f>IF(OR(D12="",'예시-총괄분'!J18="",N(I$5)=0),"",IF(AND(I$5&gt;='예시-총괄분'!H18,I$5&lt;='예시-총괄분'!I18),D12/'예시-총괄분'!J18,""))</f>
        <v/>
      </c>
      <c r="J12" s="41">
        <f>IF(OR(D12="",'예시-총괄분'!J18="",N(J$5)=0),"",IF(AND(J$5&gt;='예시-총괄분'!H18,J$5&lt;='예시-총괄분'!I18),D12/'예시-총괄분'!J18,""))</f>
        <v/>
      </c>
      <c r="K12" s="41">
        <f>IF(OR(D12="",'예시-총괄분'!J18="",N(K$5)=0),"",IF(AND(K$5&gt;='예시-총괄분'!H18,K$5&lt;='예시-총괄분'!I18),D12/'예시-총괄분'!J18,""))</f>
        <v/>
      </c>
      <c r="L12" s="41">
        <f>IF(OR(D12="",'예시-총괄분'!J18="",N(L$5)=0),"",IF(AND(L$5&gt;='예시-총괄분'!H18,L$5&lt;='예시-총괄분'!I18),D12/'예시-총괄분'!J18,""))</f>
        <v/>
      </c>
      <c r="M12" s="41">
        <f>IF(OR(D12="",'예시-총괄분'!J18="",N(M$5)=0),"",IF(AND(M$5&gt;='예시-총괄분'!H18,M$5&lt;='예시-총괄분'!I18),D12/'예시-총괄분'!J18,""))</f>
        <v/>
      </c>
      <c r="N12" s="41">
        <f>IF(OR(D12="",'예시-총괄분'!J18="",N(N$5)=0),"",IF(AND(N$5&gt;='예시-총괄분'!H18,N$5&lt;='예시-총괄분'!I18),D12/'예시-총괄분'!J18,""))</f>
        <v/>
      </c>
      <c r="O12" s="41">
        <f>IF(OR(D12="",'예시-총괄분'!J18="",N(O$5)=0),"",IF(AND(O$5&gt;='예시-총괄분'!H18,O$5&lt;='예시-총괄분'!I18),D12/'예시-총괄분'!J18,""))</f>
        <v/>
      </c>
      <c r="P12" s="41">
        <f>IF(OR(D12="",'예시-총괄분'!J18="",N(P$5)=0),"",IF(AND(P$5&gt;='예시-총괄분'!H18,P$5&lt;='예시-총괄분'!I18),D12/'예시-총괄분'!J18,""))</f>
        <v/>
      </c>
      <c r="Q12" s="41">
        <f>IF(OR(D12="",'예시-총괄분'!J18="",N(Q$5)=0),"",IF(AND(Q$5&gt;='예시-총괄분'!H18,Q$5&lt;='예시-총괄분'!I18),D12/'예시-총괄분'!J18,""))</f>
        <v/>
      </c>
      <c r="R12" s="41">
        <f>IF(OR(D12="",'예시-총괄분'!J18="",N(R$5)=0),"",IF(AND(R$5&gt;='예시-총괄분'!H18,R$5&lt;='예시-총괄분'!I18),D12/'예시-총괄분'!J18,""))</f>
        <v/>
      </c>
      <c r="S12" s="41">
        <f>IF(OR(D12="",'예시-총괄분'!J18="",N(S$5)=0),"",IF(AND(S$5&gt;='예시-총괄분'!H18,S$5&lt;='예시-총괄분'!I18),D12/'예시-총괄분'!J18,""))</f>
        <v/>
      </c>
      <c r="T12" s="41">
        <f>IF(OR(D12="",'예시-총괄분'!J18="",N(T$5)=0),"",IF(AND(T$5&gt;='예시-총괄분'!H18,T$5&lt;='예시-총괄분'!I18),D12/'예시-총괄분'!J18,""))</f>
        <v/>
      </c>
      <c r="U12" s="41">
        <f>IF(OR(D12="",'예시-총괄분'!J18="",N(U$5)=0),"",IF(AND(U$5&gt;='예시-총괄분'!H18,U$5&lt;='예시-총괄분'!I18),D12/'예시-총괄분'!J18,""))</f>
        <v/>
      </c>
      <c r="V12" s="41">
        <f>IF(OR(D12="",'예시-총괄분'!J18="",N(V$5)=0),"",IF(AND(V$5&gt;='예시-총괄분'!H18,V$5&lt;='예시-총괄분'!I18),D12/'예시-총괄분'!J18,""))</f>
        <v/>
      </c>
      <c r="W12" s="41">
        <f>IF(OR(D12="",'예시-총괄분'!J18="",N(W$5)=0),"",IF(AND(W$5&gt;='예시-총괄분'!H18,W$5&lt;='예시-총괄분'!I18),D12/'예시-총괄분'!J18,""))</f>
        <v/>
      </c>
      <c r="X12" s="41">
        <f>IF(OR(D12="",'예시-총괄분'!J18="",N(X$5)=0),"",IF(AND(X$5&gt;='예시-총괄분'!H18,X$5&lt;='예시-총괄분'!I18),D12/'예시-총괄분'!J18,""))</f>
        <v/>
      </c>
      <c r="Y12" s="41">
        <f>IF(OR(D12="",'예시-총괄분'!J18="",N(Y$5)=0),"",IF(AND(Y$5&gt;='예시-총괄분'!H18,Y$5&lt;='예시-총괄분'!I18),D12/'예시-총괄분'!J18,""))</f>
        <v/>
      </c>
      <c r="Z12" s="41">
        <f>IF(OR(D12="",'예시-총괄분'!J18="",N(Z$5)=0),"",IF(AND(Z$5&gt;='예시-총괄분'!H18,Z$5&lt;='예시-총괄분'!I18),D12/'예시-총괄분'!J18,""))</f>
        <v/>
      </c>
      <c r="AA12" s="41">
        <f>IF(OR(D12="",'예시-총괄분'!J18="",N(AA$5)=0),"",IF(AND(AA$5&gt;='예시-총괄분'!H18,AA$5&lt;='예시-총괄분'!I18),D12/'예시-총괄분'!J18,""))</f>
        <v/>
      </c>
      <c r="AB12" s="41">
        <f>IF(OR(D12="",'예시-총괄분'!J18="",N(AB$5)=0),"",IF(AND(AB$5&gt;='예시-총괄분'!H18,AB$5&lt;='예시-총괄분'!I18),D12/'예시-총괄분'!J18,""))</f>
        <v/>
      </c>
      <c r="AC12" s="41">
        <f>IF(OR(D12="",'예시-총괄분'!J18="",N(AC$5)=0),"",IF(AND(AC$5&gt;='예시-총괄분'!H18,AC$5&lt;='예시-총괄분'!I18),D12/'예시-총괄분'!J18,""))</f>
        <v/>
      </c>
      <c r="AD12" s="41">
        <f>IF(OR(D12="",'예시-총괄분'!J18="",N(AD$5)=0),"",IF(AND(AD$5&gt;='예시-총괄분'!H18,AD$5&lt;='예시-총괄분'!I18),D12/'예시-총괄분'!J18,""))</f>
        <v/>
      </c>
      <c r="AE12" s="41">
        <f>IF(OR(D12="",'예시-총괄분'!J18="",N(AE$5)=0),"",IF(AND(AE$5&gt;='예시-총괄분'!H18,AE$5&lt;='예시-총괄분'!I18),D12/'예시-총괄분'!J18,""))</f>
        <v/>
      </c>
      <c r="AF12" s="41">
        <f>IF(OR(D12="",'예시-총괄분'!J18="",N(AF$5)=0),"",IF(AND(AF$5&gt;='예시-총괄분'!H18,AF$5&lt;='예시-총괄분'!I18),D12/'예시-총괄분'!J18,""))</f>
        <v/>
      </c>
      <c r="AG12" s="41">
        <f>IF(OR(D12="",'예시-총괄분'!J18="",N(AG$5)=0),"",IF(AND(AG$5&gt;='예시-총괄분'!H18,AG$5&lt;='예시-총괄분'!I18),D12/'예시-총괄분'!J18,""))</f>
        <v/>
      </c>
      <c r="AH12" s="41">
        <f>IF(OR(D12="",'예시-총괄분'!J18="",N(AH$5)=0),"",IF(AND(AH$5&gt;='예시-총괄분'!H18,AH$5&lt;='예시-총괄분'!I18),D12/'예시-총괄분'!J18,""))</f>
        <v/>
      </c>
      <c r="AI12" s="41">
        <f>IF(OR(D12="",'예시-총괄분'!J18="",N(AI$5)=0),"",IF(AND(AI$5&gt;='예시-총괄분'!H18,AI$5&lt;='예시-총괄분'!I18),D12/'예시-총괄분'!J18,""))</f>
        <v/>
      </c>
      <c r="AJ12" s="41">
        <f>IF(OR(D12="",'예시-총괄분'!J18="",N(AJ$5)=0),"",IF(AND(AJ$5&gt;='예시-총괄분'!H18,AJ$5&lt;='예시-총괄분'!I18),D12/'예시-총괄분'!J18,""))</f>
        <v/>
      </c>
      <c r="AK12" s="40">
        <f>IF(D12="","",SUM(F12:AJ12))</f>
        <v/>
      </c>
      <c r="AL12" s="40">
        <f>IF(D12="","",E12+AK12)</f>
        <v/>
      </c>
    </row>
    <row r="13" ht="15" customHeight="1">
      <c r="A13" s="38">
        <f>IF('예시-총괄분'!A20="","",'예시-총괄분'!A20)</f>
        <v/>
      </c>
      <c r="B13" s="38">
        <f>IF('예시-총괄분'!B20="","",'예시-총괄분'!B20)</f>
        <v/>
      </c>
      <c r="C13" s="39">
        <f>IF('예시-총괄분'!C20="","",'예시-총괄분'!C20)</f>
        <v/>
      </c>
      <c r="D13" s="23">
        <f>IF('예시-총괄분'!E20="","",'예시-총괄분'!E20)</f>
        <v/>
      </c>
      <c r="E13" s="40">
        <f>IF(OR(D13="",'예시-총괄분'!J20="",N(U3)=0),"",MAX(0,MIN('예시-총괄분'!I20,U3-1)-'예시-총괄분'!H20+1)/'예시-총괄분'!J20*D13)</f>
        <v/>
      </c>
      <c r="F13" s="41">
        <f>IF(OR(D13="",'예시-총괄분'!J20="",N(F$5)=0),"",IF(AND(F$5&gt;='예시-총괄분'!H20,F$5&lt;='예시-총괄분'!I20),D13/'예시-총괄분'!J20,""))</f>
        <v/>
      </c>
      <c r="G13" s="41">
        <f>IF(OR(D13="",'예시-총괄분'!J20="",N(G$5)=0),"",IF(AND(G$5&gt;='예시-총괄분'!H20,G$5&lt;='예시-총괄분'!I20),D13/'예시-총괄분'!J20,""))</f>
        <v/>
      </c>
      <c r="H13" s="41">
        <f>IF(OR(D13="",'예시-총괄분'!J20="",N(H$5)=0),"",IF(AND(H$5&gt;='예시-총괄분'!H20,H$5&lt;='예시-총괄분'!I20),D13/'예시-총괄분'!J20,""))</f>
        <v/>
      </c>
      <c r="I13" s="41">
        <f>IF(OR(D13="",'예시-총괄분'!J20="",N(I$5)=0),"",IF(AND(I$5&gt;='예시-총괄분'!H20,I$5&lt;='예시-총괄분'!I20),D13/'예시-총괄분'!J20,""))</f>
        <v/>
      </c>
      <c r="J13" s="41">
        <f>IF(OR(D13="",'예시-총괄분'!J20="",N(J$5)=0),"",IF(AND(J$5&gt;='예시-총괄분'!H20,J$5&lt;='예시-총괄분'!I20),D13/'예시-총괄분'!J20,""))</f>
        <v/>
      </c>
      <c r="K13" s="41">
        <f>IF(OR(D13="",'예시-총괄분'!J20="",N(K$5)=0),"",IF(AND(K$5&gt;='예시-총괄분'!H20,K$5&lt;='예시-총괄분'!I20),D13/'예시-총괄분'!J20,""))</f>
        <v/>
      </c>
      <c r="L13" s="41">
        <f>IF(OR(D13="",'예시-총괄분'!J20="",N(L$5)=0),"",IF(AND(L$5&gt;='예시-총괄분'!H20,L$5&lt;='예시-총괄분'!I20),D13/'예시-총괄분'!J20,""))</f>
        <v/>
      </c>
      <c r="M13" s="41">
        <f>IF(OR(D13="",'예시-총괄분'!J20="",N(M$5)=0),"",IF(AND(M$5&gt;='예시-총괄분'!H20,M$5&lt;='예시-총괄분'!I20),D13/'예시-총괄분'!J20,""))</f>
        <v/>
      </c>
      <c r="N13" s="41">
        <f>IF(OR(D13="",'예시-총괄분'!J20="",N(N$5)=0),"",IF(AND(N$5&gt;='예시-총괄분'!H20,N$5&lt;='예시-총괄분'!I20),D13/'예시-총괄분'!J20,""))</f>
        <v/>
      </c>
      <c r="O13" s="41">
        <f>IF(OR(D13="",'예시-총괄분'!J20="",N(O$5)=0),"",IF(AND(O$5&gt;='예시-총괄분'!H20,O$5&lt;='예시-총괄분'!I20),D13/'예시-총괄분'!J20,""))</f>
        <v/>
      </c>
      <c r="P13" s="41">
        <f>IF(OR(D13="",'예시-총괄분'!J20="",N(P$5)=0),"",IF(AND(P$5&gt;='예시-총괄분'!H20,P$5&lt;='예시-총괄분'!I20),D13/'예시-총괄분'!J20,""))</f>
        <v/>
      </c>
      <c r="Q13" s="41">
        <f>IF(OR(D13="",'예시-총괄분'!J20="",N(Q$5)=0),"",IF(AND(Q$5&gt;='예시-총괄분'!H20,Q$5&lt;='예시-총괄분'!I20),D13/'예시-총괄분'!J20,""))</f>
        <v/>
      </c>
      <c r="R13" s="41">
        <f>IF(OR(D13="",'예시-총괄분'!J20="",N(R$5)=0),"",IF(AND(R$5&gt;='예시-총괄분'!H20,R$5&lt;='예시-총괄분'!I20),D13/'예시-총괄분'!J20,""))</f>
        <v/>
      </c>
      <c r="S13" s="41">
        <f>IF(OR(D13="",'예시-총괄분'!J20="",N(S$5)=0),"",IF(AND(S$5&gt;='예시-총괄분'!H20,S$5&lt;='예시-총괄분'!I20),D13/'예시-총괄분'!J20,""))</f>
        <v/>
      </c>
      <c r="T13" s="41">
        <f>IF(OR(D13="",'예시-총괄분'!J20="",N(T$5)=0),"",IF(AND(T$5&gt;='예시-총괄분'!H20,T$5&lt;='예시-총괄분'!I20),D13/'예시-총괄분'!J20,""))</f>
        <v/>
      </c>
      <c r="U13" s="41">
        <f>IF(OR(D13="",'예시-총괄분'!J20="",N(U$5)=0),"",IF(AND(U$5&gt;='예시-총괄분'!H20,U$5&lt;='예시-총괄분'!I20),D13/'예시-총괄분'!J20,""))</f>
        <v/>
      </c>
      <c r="V13" s="41">
        <f>IF(OR(D13="",'예시-총괄분'!J20="",N(V$5)=0),"",IF(AND(V$5&gt;='예시-총괄분'!H20,V$5&lt;='예시-총괄분'!I20),D13/'예시-총괄분'!J20,""))</f>
        <v/>
      </c>
      <c r="W13" s="41">
        <f>IF(OR(D13="",'예시-총괄분'!J20="",N(W$5)=0),"",IF(AND(W$5&gt;='예시-총괄분'!H20,W$5&lt;='예시-총괄분'!I20),D13/'예시-총괄분'!J20,""))</f>
        <v/>
      </c>
      <c r="X13" s="41">
        <f>IF(OR(D13="",'예시-총괄분'!J20="",N(X$5)=0),"",IF(AND(X$5&gt;='예시-총괄분'!H20,X$5&lt;='예시-총괄분'!I20),D13/'예시-총괄분'!J20,""))</f>
        <v/>
      </c>
      <c r="Y13" s="41">
        <f>IF(OR(D13="",'예시-총괄분'!J20="",N(Y$5)=0),"",IF(AND(Y$5&gt;='예시-총괄분'!H20,Y$5&lt;='예시-총괄분'!I20),D13/'예시-총괄분'!J20,""))</f>
        <v/>
      </c>
      <c r="Z13" s="41">
        <f>IF(OR(D13="",'예시-총괄분'!J20="",N(Z$5)=0),"",IF(AND(Z$5&gt;='예시-총괄분'!H20,Z$5&lt;='예시-총괄분'!I20),D13/'예시-총괄분'!J20,""))</f>
        <v/>
      </c>
      <c r="AA13" s="41">
        <f>IF(OR(D13="",'예시-총괄분'!J20="",N(AA$5)=0),"",IF(AND(AA$5&gt;='예시-총괄분'!H20,AA$5&lt;='예시-총괄분'!I20),D13/'예시-총괄분'!J20,""))</f>
        <v/>
      </c>
      <c r="AB13" s="41">
        <f>IF(OR(D13="",'예시-총괄분'!J20="",N(AB$5)=0),"",IF(AND(AB$5&gt;='예시-총괄분'!H20,AB$5&lt;='예시-총괄분'!I20),D13/'예시-총괄분'!J20,""))</f>
        <v/>
      </c>
      <c r="AC13" s="41">
        <f>IF(OR(D13="",'예시-총괄분'!J20="",N(AC$5)=0),"",IF(AND(AC$5&gt;='예시-총괄분'!H20,AC$5&lt;='예시-총괄분'!I20),D13/'예시-총괄분'!J20,""))</f>
        <v/>
      </c>
      <c r="AD13" s="41">
        <f>IF(OR(D13="",'예시-총괄분'!J20="",N(AD$5)=0),"",IF(AND(AD$5&gt;='예시-총괄분'!H20,AD$5&lt;='예시-총괄분'!I20),D13/'예시-총괄분'!J20,""))</f>
        <v/>
      </c>
      <c r="AE13" s="41">
        <f>IF(OR(D13="",'예시-총괄분'!J20="",N(AE$5)=0),"",IF(AND(AE$5&gt;='예시-총괄분'!H20,AE$5&lt;='예시-총괄분'!I20),D13/'예시-총괄분'!J20,""))</f>
        <v/>
      </c>
      <c r="AF13" s="41">
        <f>IF(OR(D13="",'예시-총괄분'!J20="",N(AF$5)=0),"",IF(AND(AF$5&gt;='예시-총괄분'!H20,AF$5&lt;='예시-총괄분'!I20),D13/'예시-총괄분'!J20,""))</f>
        <v/>
      </c>
      <c r="AG13" s="41">
        <f>IF(OR(D13="",'예시-총괄분'!J20="",N(AG$5)=0),"",IF(AND(AG$5&gt;='예시-총괄분'!H20,AG$5&lt;='예시-총괄분'!I20),D13/'예시-총괄분'!J20,""))</f>
        <v/>
      </c>
      <c r="AH13" s="41">
        <f>IF(OR(D13="",'예시-총괄분'!J20="",N(AH$5)=0),"",IF(AND(AH$5&gt;='예시-총괄분'!H20,AH$5&lt;='예시-총괄분'!I20),D13/'예시-총괄분'!J20,""))</f>
        <v/>
      </c>
      <c r="AI13" s="41">
        <f>IF(OR(D13="",'예시-총괄분'!J20="",N(AI$5)=0),"",IF(AND(AI$5&gt;='예시-총괄분'!H20,AI$5&lt;='예시-총괄분'!I20),D13/'예시-총괄분'!J20,""))</f>
        <v/>
      </c>
      <c r="AJ13" s="41">
        <f>IF(OR(D13="",'예시-총괄분'!J20="",N(AJ$5)=0),"",IF(AND(AJ$5&gt;='예시-총괄분'!H20,AJ$5&lt;='예시-총괄분'!I20),D13/'예시-총괄분'!J20,""))</f>
        <v/>
      </c>
      <c r="AK13" s="40">
        <f>IF(D13="","",SUM(F13:AJ13))</f>
        <v/>
      </c>
      <c r="AL13" s="40">
        <f>IF(D13="","",E13+AK13)</f>
        <v/>
      </c>
    </row>
    <row r="14" ht="15" customHeight="1">
      <c r="A14" s="38">
        <f>IF('예시-총괄분'!A22="","",'예시-총괄분'!A22)</f>
        <v/>
      </c>
      <c r="B14" s="38">
        <f>IF('예시-총괄분'!B22="","",'예시-총괄분'!B22)</f>
        <v/>
      </c>
      <c r="C14" s="39">
        <f>IF('예시-총괄분'!C22="","",'예시-총괄분'!C22)</f>
        <v/>
      </c>
      <c r="D14" s="23">
        <f>IF('예시-총괄분'!E22="","",'예시-총괄분'!E22)</f>
        <v/>
      </c>
      <c r="E14" s="40">
        <f>IF(OR(D14="",'예시-총괄분'!J22="",N(U3)=0),"",MAX(0,MIN('예시-총괄분'!I22,U3-1)-'예시-총괄분'!H22+1)/'예시-총괄분'!J22*D14)</f>
        <v/>
      </c>
      <c r="F14" s="41">
        <f>IF(OR(D14="",'예시-총괄분'!J22="",N(F$5)=0),"",IF(AND(F$5&gt;='예시-총괄분'!H22,F$5&lt;='예시-총괄분'!I22),D14/'예시-총괄분'!J22,""))</f>
        <v/>
      </c>
      <c r="G14" s="41">
        <f>IF(OR(D14="",'예시-총괄분'!J22="",N(G$5)=0),"",IF(AND(G$5&gt;='예시-총괄분'!H22,G$5&lt;='예시-총괄분'!I22),D14/'예시-총괄분'!J22,""))</f>
        <v/>
      </c>
      <c r="H14" s="41">
        <f>IF(OR(D14="",'예시-총괄분'!J22="",N(H$5)=0),"",IF(AND(H$5&gt;='예시-총괄분'!H22,H$5&lt;='예시-총괄분'!I22),D14/'예시-총괄분'!J22,""))</f>
        <v/>
      </c>
      <c r="I14" s="41">
        <f>IF(OR(D14="",'예시-총괄분'!J22="",N(I$5)=0),"",IF(AND(I$5&gt;='예시-총괄분'!H22,I$5&lt;='예시-총괄분'!I22),D14/'예시-총괄분'!J22,""))</f>
        <v/>
      </c>
      <c r="J14" s="41">
        <f>IF(OR(D14="",'예시-총괄분'!J22="",N(J$5)=0),"",IF(AND(J$5&gt;='예시-총괄분'!H22,J$5&lt;='예시-총괄분'!I22),D14/'예시-총괄분'!J22,""))</f>
        <v/>
      </c>
      <c r="K14" s="41">
        <f>IF(OR(D14="",'예시-총괄분'!J22="",N(K$5)=0),"",IF(AND(K$5&gt;='예시-총괄분'!H22,K$5&lt;='예시-총괄분'!I22),D14/'예시-총괄분'!J22,""))</f>
        <v/>
      </c>
      <c r="L14" s="41">
        <f>IF(OR(D14="",'예시-총괄분'!J22="",N(L$5)=0),"",IF(AND(L$5&gt;='예시-총괄분'!H22,L$5&lt;='예시-총괄분'!I22),D14/'예시-총괄분'!J22,""))</f>
        <v/>
      </c>
      <c r="M14" s="41">
        <f>IF(OR(D14="",'예시-총괄분'!J22="",N(M$5)=0),"",IF(AND(M$5&gt;='예시-총괄분'!H22,M$5&lt;='예시-총괄분'!I22),D14/'예시-총괄분'!J22,""))</f>
        <v/>
      </c>
      <c r="N14" s="41">
        <f>IF(OR(D14="",'예시-총괄분'!J22="",N(N$5)=0),"",IF(AND(N$5&gt;='예시-총괄분'!H22,N$5&lt;='예시-총괄분'!I22),D14/'예시-총괄분'!J22,""))</f>
        <v/>
      </c>
      <c r="O14" s="41">
        <f>IF(OR(D14="",'예시-총괄분'!J22="",N(O$5)=0),"",IF(AND(O$5&gt;='예시-총괄분'!H22,O$5&lt;='예시-총괄분'!I22),D14/'예시-총괄분'!J22,""))</f>
        <v/>
      </c>
      <c r="P14" s="41">
        <f>IF(OR(D14="",'예시-총괄분'!J22="",N(P$5)=0),"",IF(AND(P$5&gt;='예시-총괄분'!H22,P$5&lt;='예시-총괄분'!I22),D14/'예시-총괄분'!J22,""))</f>
        <v/>
      </c>
      <c r="Q14" s="41">
        <f>IF(OR(D14="",'예시-총괄분'!J22="",N(Q$5)=0),"",IF(AND(Q$5&gt;='예시-총괄분'!H22,Q$5&lt;='예시-총괄분'!I22),D14/'예시-총괄분'!J22,""))</f>
        <v/>
      </c>
      <c r="R14" s="41">
        <f>IF(OR(D14="",'예시-총괄분'!J22="",N(R$5)=0),"",IF(AND(R$5&gt;='예시-총괄분'!H22,R$5&lt;='예시-총괄분'!I22),D14/'예시-총괄분'!J22,""))</f>
        <v/>
      </c>
      <c r="S14" s="41">
        <f>IF(OR(D14="",'예시-총괄분'!J22="",N(S$5)=0),"",IF(AND(S$5&gt;='예시-총괄분'!H22,S$5&lt;='예시-총괄분'!I22),D14/'예시-총괄분'!J22,""))</f>
        <v/>
      </c>
      <c r="T14" s="41">
        <f>IF(OR(D14="",'예시-총괄분'!J22="",N(T$5)=0),"",IF(AND(T$5&gt;='예시-총괄분'!H22,T$5&lt;='예시-총괄분'!I22),D14/'예시-총괄분'!J22,""))</f>
        <v/>
      </c>
      <c r="U14" s="41">
        <f>IF(OR(D14="",'예시-총괄분'!J22="",N(U$5)=0),"",IF(AND(U$5&gt;='예시-총괄분'!H22,U$5&lt;='예시-총괄분'!I22),D14/'예시-총괄분'!J22,""))</f>
        <v/>
      </c>
      <c r="V14" s="41">
        <f>IF(OR(D14="",'예시-총괄분'!J22="",N(V$5)=0),"",IF(AND(V$5&gt;='예시-총괄분'!H22,V$5&lt;='예시-총괄분'!I22),D14/'예시-총괄분'!J22,""))</f>
        <v/>
      </c>
      <c r="W14" s="41">
        <f>IF(OR(D14="",'예시-총괄분'!J22="",N(W$5)=0),"",IF(AND(W$5&gt;='예시-총괄분'!H22,W$5&lt;='예시-총괄분'!I22),D14/'예시-총괄분'!J22,""))</f>
        <v/>
      </c>
      <c r="X14" s="41">
        <f>IF(OR(D14="",'예시-총괄분'!J22="",N(X$5)=0),"",IF(AND(X$5&gt;='예시-총괄분'!H22,X$5&lt;='예시-총괄분'!I22),D14/'예시-총괄분'!J22,""))</f>
        <v/>
      </c>
      <c r="Y14" s="41">
        <f>IF(OR(D14="",'예시-총괄분'!J22="",N(Y$5)=0),"",IF(AND(Y$5&gt;='예시-총괄분'!H22,Y$5&lt;='예시-총괄분'!I22),D14/'예시-총괄분'!J22,""))</f>
        <v/>
      </c>
      <c r="Z14" s="41">
        <f>IF(OR(D14="",'예시-총괄분'!J22="",N(Z$5)=0),"",IF(AND(Z$5&gt;='예시-총괄분'!H22,Z$5&lt;='예시-총괄분'!I22),D14/'예시-총괄분'!J22,""))</f>
        <v/>
      </c>
      <c r="AA14" s="41">
        <f>IF(OR(D14="",'예시-총괄분'!J22="",N(AA$5)=0),"",IF(AND(AA$5&gt;='예시-총괄분'!H22,AA$5&lt;='예시-총괄분'!I22),D14/'예시-총괄분'!J22,""))</f>
        <v/>
      </c>
      <c r="AB14" s="41">
        <f>IF(OR(D14="",'예시-총괄분'!J22="",N(AB$5)=0),"",IF(AND(AB$5&gt;='예시-총괄분'!H22,AB$5&lt;='예시-총괄분'!I22),D14/'예시-총괄분'!J22,""))</f>
        <v/>
      </c>
      <c r="AC14" s="41">
        <f>IF(OR(D14="",'예시-총괄분'!J22="",N(AC$5)=0),"",IF(AND(AC$5&gt;='예시-총괄분'!H22,AC$5&lt;='예시-총괄분'!I22),D14/'예시-총괄분'!J22,""))</f>
        <v/>
      </c>
      <c r="AD14" s="41">
        <f>IF(OR(D14="",'예시-총괄분'!J22="",N(AD$5)=0),"",IF(AND(AD$5&gt;='예시-총괄분'!H22,AD$5&lt;='예시-총괄분'!I22),D14/'예시-총괄분'!J22,""))</f>
        <v/>
      </c>
      <c r="AE14" s="41">
        <f>IF(OR(D14="",'예시-총괄분'!J22="",N(AE$5)=0),"",IF(AND(AE$5&gt;='예시-총괄분'!H22,AE$5&lt;='예시-총괄분'!I22),D14/'예시-총괄분'!J22,""))</f>
        <v/>
      </c>
      <c r="AF14" s="41">
        <f>IF(OR(D14="",'예시-총괄분'!J22="",N(AF$5)=0),"",IF(AND(AF$5&gt;='예시-총괄분'!H22,AF$5&lt;='예시-총괄분'!I22),D14/'예시-총괄분'!J22,""))</f>
        <v/>
      </c>
      <c r="AG14" s="41">
        <f>IF(OR(D14="",'예시-총괄분'!J22="",N(AG$5)=0),"",IF(AND(AG$5&gt;='예시-총괄분'!H22,AG$5&lt;='예시-총괄분'!I22),D14/'예시-총괄분'!J22,""))</f>
        <v/>
      </c>
      <c r="AH14" s="41">
        <f>IF(OR(D14="",'예시-총괄분'!J22="",N(AH$5)=0),"",IF(AND(AH$5&gt;='예시-총괄분'!H22,AH$5&lt;='예시-총괄분'!I22),D14/'예시-총괄분'!J22,""))</f>
        <v/>
      </c>
      <c r="AI14" s="41">
        <f>IF(OR(D14="",'예시-총괄분'!J22="",N(AI$5)=0),"",IF(AND(AI$5&gt;='예시-총괄분'!H22,AI$5&lt;='예시-총괄분'!I22),D14/'예시-총괄분'!J22,""))</f>
        <v/>
      </c>
      <c r="AJ14" s="41">
        <f>IF(OR(D14="",'예시-총괄분'!J22="",N(AJ$5)=0),"",IF(AND(AJ$5&gt;='예시-총괄분'!H22,AJ$5&lt;='예시-총괄분'!I22),D14/'예시-총괄분'!J22,""))</f>
        <v/>
      </c>
      <c r="AK14" s="40">
        <f>IF(D14="","",SUM(F14:AJ14))</f>
        <v/>
      </c>
      <c r="AL14" s="40">
        <f>IF(D14="","",E14+AK14)</f>
        <v/>
      </c>
    </row>
    <row r="15" ht="15" customHeight="1">
      <c r="A15" s="38">
        <f>IF('예시-총괄분'!A24="","",'예시-총괄분'!A24)</f>
        <v/>
      </c>
      <c r="B15" s="38">
        <f>IF('예시-총괄분'!B24="","",'예시-총괄분'!B24)</f>
        <v/>
      </c>
      <c r="C15" s="39">
        <f>IF('예시-총괄분'!C24="","",'예시-총괄분'!C24)</f>
        <v/>
      </c>
      <c r="D15" s="23">
        <f>IF('예시-총괄분'!E24="","",'예시-총괄분'!E24)</f>
        <v/>
      </c>
      <c r="E15" s="40">
        <f>IF(OR(D15="",'예시-총괄분'!J24="",N(U3)=0),"",MAX(0,MIN('예시-총괄분'!I24,U3-1)-'예시-총괄분'!H24+1)/'예시-총괄분'!J24*D15)</f>
        <v/>
      </c>
      <c r="F15" s="41">
        <f>IF(OR(D15="",'예시-총괄분'!J24="",N(F$5)=0),"",IF(AND(F$5&gt;='예시-총괄분'!H24,F$5&lt;='예시-총괄분'!I24),D15/'예시-총괄분'!J24,""))</f>
        <v/>
      </c>
      <c r="G15" s="41">
        <f>IF(OR(D15="",'예시-총괄분'!J24="",N(G$5)=0),"",IF(AND(G$5&gt;='예시-총괄분'!H24,G$5&lt;='예시-총괄분'!I24),D15/'예시-총괄분'!J24,""))</f>
        <v/>
      </c>
      <c r="H15" s="41">
        <f>IF(OR(D15="",'예시-총괄분'!J24="",N(H$5)=0),"",IF(AND(H$5&gt;='예시-총괄분'!H24,H$5&lt;='예시-총괄분'!I24),D15/'예시-총괄분'!J24,""))</f>
        <v/>
      </c>
      <c r="I15" s="41">
        <f>IF(OR(D15="",'예시-총괄분'!J24="",N(I$5)=0),"",IF(AND(I$5&gt;='예시-총괄분'!H24,I$5&lt;='예시-총괄분'!I24),D15/'예시-총괄분'!J24,""))</f>
        <v/>
      </c>
      <c r="J15" s="41">
        <f>IF(OR(D15="",'예시-총괄분'!J24="",N(J$5)=0),"",IF(AND(J$5&gt;='예시-총괄분'!H24,J$5&lt;='예시-총괄분'!I24),D15/'예시-총괄분'!J24,""))</f>
        <v/>
      </c>
      <c r="K15" s="41">
        <f>IF(OR(D15="",'예시-총괄분'!J24="",N(K$5)=0),"",IF(AND(K$5&gt;='예시-총괄분'!H24,K$5&lt;='예시-총괄분'!I24),D15/'예시-총괄분'!J24,""))</f>
        <v/>
      </c>
      <c r="L15" s="41">
        <f>IF(OR(D15="",'예시-총괄분'!J24="",N(L$5)=0),"",IF(AND(L$5&gt;='예시-총괄분'!H24,L$5&lt;='예시-총괄분'!I24),D15/'예시-총괄분'!J24,""))</f>
        <v/>
      </c>
      <c r="M15" s="41">
        <f>IF(OR(D15="",'예시-총괄분'!J24="",N(M$5)=0),"",IF(AND(M$5&gt;='예시-총괄분'!H24,M$5&lt;='예시-총괄분'!I24),D15/'예시-총괄분'!J24,""))</f>
        <v/>
      </c>
      <c r="N15" s="41">
        <f>IF(OR(D15="",'예시-총괄분'!J24="",N(N$5)=0),"",IF(AND(N$5&gt;='예시-총괄분'!H24,N$5&lt;='예시-총괄분'!I24),D15/'예시-총괄분'!J24,""))</f>
        <v/>
      </c>
      <c r="O15" s="41">
        <f>IF(OR(D15="",'예시-총괄분'!J24="",N(O$5)=0),"",IF(AND(O$5&gt;='예시-총괄분'!H24,O$5&lt;='예시-총괄분'!I24),D15/'예시-총괄분'!J24,""))</f>
        <v/>
      </c>
      <c r="P15" s="41">
        <f>IF(OR(D15="",'예시-총괄분'!J24="",N(P$5)=0),"",IF(AND(P$5&gt;='예시-총괄분'!H24,P$5&lt;='예시-총괄분'!I24),D15/'예시-총괄분'!J24,""))</f>
        <v/>
      </c>
      <c r="Q15" s="41">
        <f>IF(OR(D15="",'예시-총괄분'!J24="",N(Q$5)=0),"",IF(AND(Q$5&gt;='예시-총괄분'!H24,Q$5&lt;='예시-총괄분'!I24),D15/'예시-총괄분'!J24,""))</f>
        <v/>
      </c>
      <c r="R15" s="41">
        <f>IF(OR(D15="",'예시-총괄분'!J24="",N(R$5)=0),"",IF(AND(R$5&gt;='예시-총괄분'!H24,R$5&lt;='예시-총괄분'!I24),D15/'예시-총괄분'!J24,""))</f>
        <v/>
      </c>
      <c r="S15" s="41">
        <f>IF(OR(D15="",'예시-총괄분'!J24="",N(S$5)=0),"",IF(AND(S$5&gt;='예시-총괄분'!H24,S$5&lt;='예시-총괄분'!I24),D15/'예시-총괄분'!J24,""))</f>
        <v/>
      </c>
      <c r="T15" s="41">
        <f>IF(OR(D15="",'예시-총괄분'!J24="",N(T$5)=0),"",IF(AND(T$5&gt;='예시-총괄분'!H24,T$5&lt;='예시-총괄분'!I24),D15/'예시-총괄분'!J24,""))</f>
        <v/>
      </c>
      <c r="U15" s="41">
        <f>IF(OR(D15="",'예시-총괄분'!J24="",N(U$5)=0),"",IF(AND(U$5&gt;='예시-총괄분'!H24,U$5&lt;='예시-총괄분'!I24),D15/'예시-총괄분'!J24,""))</f>
        <v/>
      </c>
      <c r="V15" s="41">
        <f>IF(OR(D15="",'예시-총괄분'!J24="",N(V$5)=0),"",IF(AND(V$5&gt;='예시-총괄분'!H24,V$5&lt;='예시-총괄분'!I24),D15/'예시-총괄분'!J24,""))</f>
        <v/>
      </c>
      <c r="W15" s="41">
        <f>IF(OR(D15="",'예시-총괄분'!J24="",N(W$5)=0),"",IF(AND(W$5&gt;='예시-총괄분'!H24,W$5&lt;='예시-총괄분'!I24),D15/'예시-총괄분'!J24,""))</f>
        <v/>
      </c>
      <c r="X15" s="41">
        <f>IF(OR(D15="",'예시-총괄분'!J24="",N(X$5)=0),"",IF(AND(X$5&gt;='예시-총괄분'!H24,X$5&lt;='예시-총괄분'!I24),D15/'예시-총괄분'!J24,""))</f>
        <v/>
      </c>
      <c r="Y15" s="41">
        <f>IF(OR(D15="",'예시-총괄분'!J24="",N(Y$5)=0),"",IF(AND(Y$5&gt;='예시-총괄분'!H24,Y$5&lt;='예시-총괄분'!I24),D15/'예시-총괄분'!J24,""))</f>
        <v/>
      </c>
      <c r="Z15" s="41">
        <f>IF(OR(D15="",'예시-총괄분'!J24="",N(Z$5)=0),"",IF(AND(Z$5&gt;='예시-총괄분'!H24,Z$5&lt;='예시-총괄분'!I24),D15/'예시-총괄분'!J24,""))</f>
        <v/>
      </c>
      <c r="AA15" s="41">
        <f>IF(OR(D15="",'예시-총괄분'!J24="",N(AA$5)=0),"",IF(AND(AA$5&gt;='예시-총괄분'!H24,AA$5&lt;='예시-총괄분'!I24),D15/'예시-총괄분'!J24,""))</f>
        <v/>
      </c>
      <c r="AB15" s="41">
        <f>IF(OR(D15="",'예시-총괄분'!J24="",N(AB$5)=0),"",IF(AND(AB$5&gt;='예시-총괄분'!H24,AB$5&lt;='예시-총괄분'!I24),D15/'예시-총괄분'!J24,""))</f>
        <v/>
      </c>
      <c r="AC15" s="41">
        <f>IF(OR(D15="",'예시-총괄분'!J24="",N(AC$5)=0),"",IF(AND(AC$5&gt;='예시-총괄분'!H24,AC$5&lt;='예시-총괄분'!I24),D15/'예시-총괄분'!J24,""))</f>
        <v/>
      </c>
      <c r="AD15" s="41">
        <f>IF(OR(D15="",'예시-총괄분'!J24="",N(AD$5)=0),"",IF(AND(AD$5&gt;='예시-총괄분'!H24,AD$5&lt;='예시-총괄분'!I24),D15/'예시-총괄분'!J24,""))</f>
        <v/>
      </c>
      <c r="AE15" s="41">
        <f>IF(OR(D15="",'예시-총괄분'!J24="",N(AE$5)=0),"",IF(AND(AE$5&gt;='예시-총괄분'!H24,AE$5&lt;='예시-총괄분'!I24),D15/'예시-총괄분'!J24,""))</f>
        <v/>
      </c>
      <c r="AF15" s="41">
        <f>IF(OR(D15="",'예시-총괄분'!J24="",N(AF$5)=0),"",IF(AND(AF$5&gt;='예시-총괄분'!H24,AF$5&lt;='예시-총괄분'!I24),D15/'예시-총괄분'!J24,""))</f>
        <v/>
      </c>
      <c r="AG15" s="41">
        <f>IF(OR(D15="",'예시-총괄분'!J24="",N(AG$5)=0),"",IF(AND(AG$5&gt;='예시-총괄분'!H24,AG$5&lt;='예시-총괄분'!I24),D15/'예시-총괄분'!J24,""))</f>
        <v/>
      </c>
      <c r="AH15" s="41">
        <f>IF(OR(D15="",'예시-총괄분'!J24="",N(AH$5)=0),"",IF(AND(AH$5&gt;='예시-총괄분'!H24,AH$5&lt;='예시-총괄분'!I24),D15/'예시-총괄분'!J24,""))</f>
        <v/>
      </c>
      <c r="AI15" s="41">
        <f>IF(OR(D15="",'예시-총괄분'!J24="",N(AI$5)=0),"",IF(AND(AI$5&gt;='예시-총괄분'!H24,AI$5&lt;='예시-총괄분'!I24),D15/'예시-총괄분'!J24,""))</f>
        <v/>
      </c>
      <c r="AJ15" s="41">
        <f>IF(OR(D15="",'예시-총괄분'!J24="",N(AJ$5)=0),"",IF(AND(AJ$5&gt;='예시-총괄분'!H24,AJ$5&lt;='예시-총괄분'!I24),D15/'예시-총괄분'!J24,""))</f>
        <v/>
      </c>
      <c r="AK15" s="40">
        <f>IF(D15="","",SUM(F15:AJ15))</f>
        <v/>
      </c>
      <c r="AL15" s="40">
        <f>IF(D15="","",E15+AK15)</f>
        <v/>
      </c>
    </row>
    <row r="16" ht="15" customHeight="1">
      <c r="A16" s="38">
        <f>IF('예시-총괄분'!A26="","",'예시-총괄분'!A26)</f>
        <v/>
      </c>
      <c r="B16" s="38">
        <f>IF('예시-총괄분'!B26="","",'예시-총괄분'!B26)</f>
        <v/>
      </c>
      <c r="C16" s="39">
        <f>IF('예시-총괄분'!C26="","",'예시-총괄분'!C26)</f>
        <v/>
      </c>
      <c r="D16" s="23">
        <f>IF('예시-총괄분'!E26="","",'예시-총괄분'!E26)</f>
        <v/>
      </c>
      <c r="E16" s="40">
        <f>IF(OR(D16="",'예시-총괄분'!J26="",N(U3)=0),"",MAX(0,MIN('예시-총괄분'!I26,U3-1)-'예시-총괄분'!H26+1)/'예시-총괄분'!J26*D16)</f>
        <v/>
      </c>
      <c r="F16" s="41">
        <f>IF(OR(D16="",'예시-총괄분'!J26="",N(F$5)=0),"",IF(AND(F$5&gt;='예시-총괄분'!H26,F$5&lt;='예시-총괄분'!I26),D16/'예시-총괄분'!J26,""))</f>
        <v/>
      </c>
      <c r="G16" s="41">
        <f>IF(OR(D16="",'예시-총괄분'!J26="",N(G$5)=0),"",IF(AND(G$5&gt;='예시-총괄분'!H26,G$5&lt;='예시-총괄분'!I26),D16/'예시-총괄분'!J26,""))</f>
        <v/>
      </c>
      <c r="H16" s="41">
        <f>IF(OR(D16="",'예시-총괄분'!J26="",N(H$5)=0),"",IF(AND(H$5&gt;='예시-총괄분'!H26,H$5&lt;='예시-총괄분'!I26),D16/'예시-총괄분'!J26,""))</f>
        <v/>
      </c>
      <c r="I16" s="41">
        <f>IF(OR(D16="",'예시-총괄분'!J26="",N(I$5)=0),"",IF(AND(I$5&gt;='예시-총괄분'!H26,I$5&lt;='예시-총괄분'!I26),D16/'예시-총괄분'!J26,""))</f>
        <v/>
      </c>
      <c r="J16" s="41">
        <f>IF(OR(D16="",'예시-총괄분'!J26="",N(J$5)=0),"",IF(AND(J$5&gt;='예시-총괄분'!H26,J$5&lt;='예시-총괄분'!I26),D16/'예시-총괄분'!J26,""))</f>
        <v/>
      </c>
      <c r="K16" s="41">
        <f>IF(OR(D16="",'예시-총괄분'!J26="",N(K$5)=0),"",IF(AND(K$5&gt;='예시-총괄분'!H26,K$5&lt;='예시-총괄분'!I26),D16/'예시-총괄분'!J26,""))</f>
        <v/>
      </c>
      <c r="L16" s="41">
        <f>IF(OR(D16="",'예시-총괄분'!J26="",N(L$5)=0),"",IF(AND(L$5&gt;='예시-총괄분'!H26,L$5&lt;='예시-총괄분'!I26),D16/'예시-총괄분'!J26,""))</f>
        <v/>
      </c>
      <c r="M16" s="41">
        <f>IF(OR(D16="",'예시-총괄분'!J26="",N(M$5)=0),"",IF(AND(M$5&gt;='예시-총괄분'!H26,M$5&lt;='예시-총괄분'!I26),D16/'예시-총괄분'!J26,""))</f>
        <v/>
      </c>
      <c r="N16" s="41">
        <f>IF(OR(D16="",'예시-총괄분'!J26="",N(N$5)=0),"",IF(AND(N$5&gt;='예시-총괄분'!H26,N$5&lt;='예시-총괄분'!I26),D16/'예시-총괄분'!J26,""))</f>
        <v/>
      </c>
      <c r="O16" s="41">
        <f>IF(OR(D16="",'예시-총괄분'!J26="",N(O$5)=0),"",IF(AND(O$5&gt;='예시-총괄분'!H26,O$5&lt;='예시-총괄분'!I26),D16/'예시-총괄분'!J26,""))</f>
        <v/>
      </c>
      <c r="P16" s="41">
        <f>IF(OR(D16="",'예시-총괄분'!J26="",N(P$5)=0),"",IF(AND(P$5&gt;='예시-총괄분'!H26,P$5&lt;='예시-총괄분'!I26),D16/'예시-총괄분'!J26,""))</f>
        <v/>
      </c>
      <c r="Q16" s="41">
        <f>IF(OR(D16="",'예시-총괄분'!J26="",N(Q$5)=0),"",IF(AND(Q$5&gt;='예시-총괄분'!H26,Q$5&lt;='예시-총괄분'!I26),D16/'예시-총괄분'!J26,""))</f>
        <v/>
      </c>
      <c r="R16" s="41">
        <f>IF(OR(D16="",'예시-총괄분'!J26="",N(R$5)=0),"",IF(AND(R$5&gt;='예시-총괄분'!H26,R$5&lt;='예시-총괄분'!I26),D16/'예시-총괄분'!J26,""))</f>
        <v/>
      </c>
      <c r="S16" s="41">
        <f>IF(OR(D16="",'예시-총괄분'!J26="",N(S$5)=0),"",IF(AND(S$5&gt;='예시-총괄분'!H26,S$5&lt;='예시-총괄분'!I26),D16/'예시-총괄분'!J26,""))</f>
        <v/>
      </c>
      <c r="T16" s="41">
        <f>IF(OR(D16="",'예시-총괄분'!J26="",N(T$5)=0),"",IF(AND(T$5&gt;='예시-총괄분'!H26,T$5&lt;='예시-총괄분'!I26),D16/'예시-총괄분'!J26,""))</f>
        <v/>
      </c>
      <c r="U16" s="41">
        <f>IF(OR(D16="",'예시-총괄분'!J26="",N(U$5)=0),"",IF(AND(U$5&gt;='예시-총괄분'!H26,U$5&lt;='예시-총괄분'!I26),D16/'예시-총괄분'!J26,""))</f>
        <v/>
      </c>
      <c r="V16" s="41">
        <f>IF(OR(D16="",'예시-총괄분'!J26="",N(V$5)=0),"",IF(AND(V$5&gt;='예시-총괄분'!H26,V$5&lt;='예시-총괄분'!I26),D16/'예시-총괄분'!J26,""))</f>
        <v/>
      </c>
      <c r="W16" s="41">
        <f>IF(OR(D16="",'예시-총괄분'!J26="",N(W$5)=0),"",IF(AND(W$5&gt;='예시-총괄분'!H26,W$5&lt;='예시-총괄분'!I26),D16/'예시-총괄분'!J26,""))</f>
        <v/>
      </c>
      <c r="X16" s="41">
        <f>IF(OR(D16="",'예시-총괄분'!J26="",N(X$5)=0),"",IF(AND(X$5&gt;='예시-총괄분'!H26,X$5&lt;='예시-총괄분'!I26),D16/'예시-총괄분'!J26,""))</f>
        <v/>
      </c>
      <c r="Y16" s="41">
        <f>IF(OR(D16="",'예시-총괄분'!J26="",N(Y$5)=0),"",IF(AND(Y$5&gt;='예시-총괄분'!H26,Y$5&lt;='예시-총괄분'!I26),D16/'예시-총괄분'!J26,""))</f>
        <v/>
      </c>
      <c r="Z16" s="41">
        <f>IF(OR(D16="",'예시-총괄분'!J26="",N(Z$5)=0),"",IF(AND(Z$5&gt;='예시-총괄분'!H26,Z$5&lt;='예시-총괄분'!I26),D16/'예시-총괄분'!J26,""))</f>
        <v/>
      </c>
      <c r="AA16" s="41">
        <f>IF(OR(D16="",'예시-총괄분'!J26="",N(AA$5)=0),"",IF(AND(AA$5&gt;='예시-총괄분'!H26,AA$5&lt;='예시-총괄분'!I26),D16/'예시-총괄분'!J26,""))</f>
        <v/>
      </c>
      <c r="AB16" s="41">
        <f>IF(OR(D16="",'예시-총괄분'!J26="",N(AB$5)=0),"",IF(AND(AB$5&gt;='예시-총괄분'!H26,AB$5&lt;='예시-총괄분'!I26),D16/'예시-총괄분'!J26,""))</f>
        <v/>
      </c>
      <c r="AC16" s="41">
        <f>IF(OR(D16="",'예시-총괄분'!J26="",N(AC$5)=0),"",IF(AND(AC$5&gt;='예시-총괄분'!H26,AC$5&lt;='예시-총괄분'!I26),D16/'예시-총괄분'!J26,""))</f>
        <v/>
      </c>
      <c r="AD16" s="41">
        <f>IF(OR(D16="",'예시-총괄분'!J26="",N(AD$5)=0),"",IF(AND(AD$5&gt;='예시-총괄분'!H26,AD$5&lt;='예시-총괄분'!I26),D16/'예시-총괄분'!J26,""))</f>
        <v/>
      </c>
      <c r="AE16" s="41">
        <f>IF(OR(D16="",'예시-총괄분'!J26="",N(AE$5)=0),"",IF(AND(AE$5&gt;='예시-총괄분'!H26,AE$5&lt;='예시-총괄분'!I26),D16/'예시-총괄분'!J26,""))</f>
        <v/>
      </c>
      <c r="AF16" s="41">
        <f>IF(OR(D16="",'예시-총괄분'!J26="",N(AF$5)=0),"",IF(AND(AF$5&gt;='예시-총괄분'!H26,AF$5&lt;='예시-총괄분'!I26),D16/'예시-총괄분'!J26,""))</f>
        <v/>
      </c>
      <c r="AG16" s="41">
        <f>IF(OR(D16="",'예시-총괄분'!J26="",N(AG$5)=0),"",IF(AND(AG$5&gt;='예시-총괄분'!H26,AG$5&lt;='예시-총괄분'!I26),D16/'예시-총괄분'!J26,""))</f>
        <v/>
      </c>
      <c r="AH16" s="41">
        <f>IF(OR(D16="",'예시-총괄분'!J26="",N(AH$5)=0),"",IF(AND(AH$5&gt;='예시-총괄분'!H26,AH$5&lt;='예시-총괄분'!I26),D16/'예시-총괄분'!J26,""))</f>
        <v/>
      </c>
      <c r="AI16" s="41">
        <f>IF(OR(D16="",'예시-총괄분'!J26="",N(AI$5)=0),"",IF(AND(AI$5&gt;='예시-총괄분'!H26,AI$5&lt;='예시-총괄분'!I26),D16/'예시-총괄분'!J26,""))</f>
        <v/>
      </c>
      <c r="AJ16" s="41">
        <f>IF(OR(D16="",'예시-총괄분'!J26="",N(AJ$5)=0),"",IF(AND(AJ$5&gt;='예시-총괄분'!H26,AJ$5&lt;='예시-총괄분'!I26),D16/'예시-총괄분'!J26,""))</f>
        <v/>
      </c>
      <c r="AK16" s="40">
        <f>IF(D16="","",SUM(F16:AJ16))</f>
        <v/>
      </c>
      <c r="AL16" s="40">
        <f>IF(D16="","",E16+AK16)</f>
        <v/>
      </c>
    </row>
    <row r="17" ht="15" customHeight="1">
      <c r="A17" s="38">
        <f>IF('예시-총괄분'!A28="","",'예시-총괄분'!A28)</f>
        <v/>
      </c>
      <c r="B17" s="38">
        <f>IF('예시-총괄분'!B28="","",'예시-총괄분'!B28)</f>
        <v/>
      </c>
      <c r="C17" s="39">
        <f>IF('예시-총괄분'!C28="","",'예시-총괄분'!C28)</f>
        <v/>
      </c>
      <c r="D17" s="23">
        <f>IF('예시-총괄분'!E28="","",'예시-총괄분'!E28)</f>
        <v/>
      </c>
      <c r="E17" s="40">
        <f>IF(OR(D17="",'예시-총괄분'!J28="",N(U3)=0),"",MAX(0,MIN('예시-총괄분'!I28,U3-1)-'예시-총괄분'!H28+1)/'예시-총괄분'!J28*D17)</f>
        <v/>
      </c>
      <c r="F17" s="41">
        <f>IF(OR(D17="",'예시-총괄분'!J28="",N(F$5)=0),"",IF(AND(F$5&gt;='예시-총괄분'!H28,F$5&lt;='예시-총괄분'!I28),D17/'예시-총괄분'!J28,""))</f>
        <v/>
      </c>
      <c r="G17" s="41">
        <f>IF(OR(D17="",'예시-총괄분'!J28="",N(G$5)=0),"",IF(AND(G$5&gt;='예시-총괄분'!H28,G$5&lt;='예시-총괄분'!I28),D17/'예시-총괄분'!J28,""))</f>
        <v/>
      </c>
      <c r="H17" s="41">
        <f>IF(OR(D17="",'예시-총괄분'!J28="",N(H$5)=0),"",IF(AND(H$5&gt;='예시-총괄분'!H28,H$5&lt;='예시-총괄분'!I28),D17/'예시-총괄분'!J28,""))</f>
        <v/>
      </c>
      <c r="I17" s="41">
        <f>IF(OR(D17="",'예시-총괄분'!J28="",N(I$5)=0),"",IF(AND(I$5&gt;='예시-총괄분'!H28,I$5&lt;='예시-총괄분'!I28),D17/'예시-총괄분'!J28,""))</f>
        <v/>
      </c>
      <c r="J17" s="41">
        <f>IF(OR(D17="",'예시-총괄분'!J28="",N(J$5)=0),"",IF(AND(J$5&gt;='예시-총괄분'!H28,J$5&lt;='예시-총괄분'!I28),D17/'예시-총괄분'!J28,""))</f>
        <v/>
      </c>
      <c r="K17" s="41">
        <f>IF(OR(D17="",'예시-총괄분'!J28="",N(K$5)=0),"",IF(AND(K$5&gt;='예시-총괄분'!H28,K$5&lt;='예시-총괄분'!I28),D17/'예시-총괄분'!J28,""))</f>
        <v/>
      </c>
      <c r="L17" s="41">
        <f>IF(OR(D17="",'예시-총괄분'!J28="",N(L$5)=0),"",IF(AND(L$5&gt;='예시-총괄분'!H28,L$5&lt;='예시-총괄분'!I28),D17/'예시-총괄분'!J28,""))</f>
        <v/>
      </c>
      <c r="M17" s="41">
        <f>IF(OR(D17="",'예시-총괄분'!J28="",N(M$5)=0),"",IF(AND(M$5&gt;='예시-총괄분'!H28,M$5&lt;='예시-총괄분'!I28),D17/'예시-총괄분'!J28,""))</f>
        <v/>
      </c>
      <c r="N17" s="41">
        <f>IF(OR(D17="",'예시-총괄분'!J28="",N(N$5)=0),"",IF(AND(N$5&gt;='예시-총괄분'!H28,N$5&lt;='예시-총괄분'!I28),D17/'예시-총괄분'!J28,""))</f>
        <v/>
      </c>
      <c r="O17" s="41">
        <f>IF(OR(D17="",'예시-총괄분'!J28="",N(O$5)=0),"",IF(AND(O$5&gt;='예시-총괄분'!H28,O$5&lt;='예시-총괄분'!I28),D17/'예시-총괄분'!J28,""))</f>
        <v/>
      </c>
      <c r="P17" s="41">
        <f>IF(OR(D17="",'예시-총괄분'!J28="",N(P$5)=0),"",IF(AND(P$5&gt;='예시-총괄분'!H28,P$5&lt;='예시-총괄분'!I28),D17/'예시-총괄분'!J28,""))</f>
        <v/>
      </c>
      <c r="Q17" s="41">
        <f>IF(OR(D17="",'예시-총괄분'!J28="",N(Q$5)=0),"",IF(AND(Q$5&gt;='예시-총괄분'!H28,Q$5&lt;='예시-총괄분'!I28),D17/'예시-총괄분'!J28,""))</f>
        <v/>
      </c>
      <c r="R17" s="41">
        <f>IF(OR(D17="",'예시-총괄분'!J28="",N(R$5)=0),"",IF(AND(R$5&gt;='예시-총괄분'!H28,R$5&lt;='예시-총괄분'!I28),D17/'예시-총괄분'!J28,""))</f>
        <v/>
      </c>
      <c r="S17" s="41">
        <f>IF(OR(D17="",'예시-총괄분'!J28="",N(S$5)=0),"",IF(AND(S$5&gt;='예시-총괄분'!H28,S$5&lt;='예시-총괄분'!I28),D17/'예시-총괄분'!J28,""))</f>
        <v/>
      </c>
      <c r="T17" s="41">
        <f>IF(OR(D17="",'예시-총괄분'!J28="",N(T$5)=0),"",IF(AND(T$5&gt;='예시-총괄분'!H28,T$5&lt;='예시-총괄분'!I28),D17/'예시-총괄분'!J28,""))</f>
        <v/>
      </c>
      <c r="U17" s="41">
        <f>IF(OR(D17="",'예시-총괄분'!J28="",N(U$5)=0),"",IF(AND(U$5&gt;='예시-총괄분'!H28,U$5&lt;='예시-총괄분'!I28),D17/'예시-총괄분'!J28,""))</f>
        <v/>
      </c>
      <c r="V17" s="41">
        <f>IF(OR(D17="",'예시-총괄분'!J28="",N(V$5)=0),"",IF(AND(V$5&gt;='예시-총괄분'!H28,V$5&lt;='예시-총괄분'!I28),D17/'예시-총괄분'!J28,""))</f>
        <v/>
      </c>
      <c r="W17" s="41">
        <f>IF(OR(D17="",'예시-총괄분'!J28="",N(W$5)=0),"",IF(AND(W$5&gt;='예시-총괄분'!H28,W$5&lt;='예시-총괄분'!I28),D17/'예시-총괄분'!J28,""))</f>
        <v/>
      </c>
      <c r="X17" s="41">
        <f>IF(OR(D17="",'예시-총괄분'!J28="",N(X$5)=0),"",IF(AND(X$5&gt;='예시-총괄분'!H28,X$5&lt;='예시-총괄분'!I28),D17/'예시-총괄분'!J28,""))</f>
        <v/>
      </c>
      <c r="Y17" s="41">
        <f>IF(OR(D17="",'예시-총괄분'!J28="",N(Y$5)=0),"",IF(AND(Y$5&gt;='예시-총괄분'!H28,Y$5&lt;='예시-총괄분'!I28),D17/'예시-총괄분'!J28,""))</f>
        <v/>
      </c>
      <c r="Z17" s="41">
        <f>IF(OR(D17="",'예시-총괄분'!J28="",N(Z$5)=0),"",IF(AND(Z$5&gt;='예시-총괄분'!H28,Z$5&lt;='예시-총괄분'!I28),D17/'예시-총괄분'!J28,""))</f>
        <v/>
      </c>
      <c r="AA17" s="41">
        <f>IF(OR(D17="",'예시-총괄분'!J28="",N(AA$5)=0),"",IF(AND(AA$5&gt;='예시-총괄분'!H28,AA$5&lt;='예시-총괄분'!I28),D17/'예시-총괄분'!J28,""))</f>
        <v/>
      </c>
      <c r="AB17" s="41">
        <f>IF(OR(D17="",'예시-총괄분'!J28="",N(AB$5)=0),"",IF(AND(AB$5&gt;='예시-총괄분'!H28,AB$5&lt;='예시-총괄분'!I28),D17/'예시-총괄분'!J28,""))</f>
        <v/>
      </c>
      <c r="AC17" s="41">
        <f>IF(OR(D17="",'예시-총괄분'!J28="",N(AC$5)=0),"",IF(AND(AC$5&gt;='예시-총괄분'!H28,AC$5&lt;='예시-총괄분'!I28),D17/'예시-총괄분'!J28,""))</f>
        <v/>
      </c>
      <c r="AD17" s="41">
        <f>IF(OR(D17="",'예시-총괄분'!J28="",N(AD$5)=0),"",IF(AND(AD$5&gt;='예시-총괄분'!H28,AD$5&lt;='예시-총괄분'!I28),D17/'예시-총괄분'!J28,""))</f>
        <v/>
      </c>
      <c r="AE17" s="41">
        <f>IF(OR(D17="",'예시-총괄분'!J28="",N(AE$5)=0),"",IF(AND(AE$5&gt;='예시-총괄분'!H28,AE$5&lt;='예시-총괄분'!I28),D17/'예시-총괄분'!J28,""))</f>
        <v/>
      </c>
      <c r="AF17" s="41">
        <f>IF(OR(D17="",'예시-총괄분'!J28="",N(AF$5)=0),"",IF(AND(AF$5&gt;='예시-총괄분'!H28,AF$5&lt;='예시-총괄분'!I28),D17/'예시-총괄분'!J28,""))</f>
        <v/>
      </c>
      <c r="AG17" s="41">
        <f>IF(OR(D17="",'예시-총괄분'!J28="",N(AG$5)=0),"",IF(AND(AG$5&gt;='예시-총괄분'!H28,AG$5&lt;='예시-총괄분'!I28),D17/'예시-총괄분'!J28,""))</f>
        <v/>
      </c>
      <c r="AH17" s="41">
        <f>IF(OR(D17="",'예시-총괄분'!J28="",N(AH$5)=0),"",IF(AND(AH$5&gt;='예시-총괄분'!H28,AH$5&lt;='예시-총괄분'!I28),D17/'예시-총괄분'!J28,""))</f>
        <v/>
      </c>
      <c r="AI17" s="41">
        <f>IF(OR(D17="",'예시-총괄분'!J28="",N(AI$5)=0),"",IF(AND(AI$5&gt;='예시-총괄분'!H28,AI$5&lt;='예시-총괄분'!I28),D17/'예시-총괄분'!J28,""))</f>
        <v/>
      </c>
      <c r="AJ17" s="41">
        <f>IF(OR(D17="",'예시-총괄분'!J28="",N(AJ$5)=0),"",IF(AND(AJ$5&gt;='예시-총괄분'!H28,AJ$5&lt;='예시-총괄분'!I28),D17/'예시-총괄분'!J28,""))</f>
        <v/>
      </c>
      <c r="AK17" s="40">
        <f>IF(D17="","",SUM(F17:AJ17))</f>
        <v/>
      </c>
      <c r="AL17" s="40">
        <f>IF(D17="","",E17+AK17)</f>
        <v/>
      </c>
    </row>
    <row r="18" ht="15" customHeight="1">
      <c r="A18" s="38">
        <f>IF('예시-총괄분'!A30="","",'예시-총괄분'!A30)</f>
        <v/>
      </c>
      <c r="B18" s="38">
        <f>IF('예시-총괄분'!B30="","",'예시-총괄분'!B30)</f>
        <v/>
      </c>
      <c r="C18" s="39">
        <f>IF('예시-총괄분'!C30="","",'예시-총괄분'!C30)</f>
        <v/>
      </c>
      <c r="D18" s="23">
        <f>IF('예시-총괄분'!E30="","",'예시-총괄분'!E30)</f>
        <v/>
      </c>
      <c r="E18" s="40">
        <f>IF(OR(D18="",'예시-총괄분'!J30="",N(U3)=0),"",MAX(0,MIN('예시-총괄분'!I30,U3-1)-'예시-총괄분'!H30+1)/'예시-총괄분'!J30*D18)</f>
        <v/>
      </c>
      <c r="F18" s="41">
        <f>IF(OR(D18="",'예시-총괄분'!J30="",N(F$5)=0),"",IF(AND(F$5&gt;='예시-총괄분'!H30,F$5&lt;='예시-총괄분'!I30),D18/'예시-총괄분'!J30,""))</f>
        <v/>
      </c>
      <c r="G18" s="41">
        <f>IF(OR(D18="",'예시-총괄분'!J30="",N(G$5)=0),"",IF(AND(G$5&gt;='예시-총괄분'!H30,G$5&lt;='예시-총괄분'!I30),D18/'예시-총괄분'!J30,""))</f>
        <v/>
      </c>
      <c r="H18" s="41">
        <f>IF(OR(D18="",'예시-총괄분'!J30="",N(H$5)=0),"",IF(AND(H$5&gt;='예시-총괄분'!H30,H$5&lt;='예시-총괄분'!I30),D18/'예시-총괄분'!J30,""))</f>
        <v/>
      </c>
      <c r="I18" s="41">
        <f>IF(OR(D18="",'예시-총괄분'!J30="",N(I$5)=0),"",IF(AND(I$5&gt;='예시-총괄분'!H30,I$5&lt;='예시-총괄분'!I30),D18/'예시-총괄분'!J30,""))</f>
        <v/>
      </c>
      <c r="J18" s="41">
        <f>IF(OR(D18="",'예시-총괄분'!J30="",N(J$5)=0),"",IF(AND(J$5&gt;='예시-총괄분'!H30,J$5&lt;='예시-총괄분'!I30),D18/'예시-총괄분'!J30,""))</f>
        <v/>
      </c>
      <c r="K18" s="41">
        <f>IF(OR(D18="",'예시-총괄분'!J30="",N(K$5)=0),"",IF(AND(K$5&gt;='예시-총괄분'!H30,K$5&lt;='예시-총괄분'!I30),D18/'예시-총괄분'!J30,""))</f>
        <v/>
      </c>
      <c r="L18" s="41">
        <f>IF(OR(D18="",'예시-총괄분'!J30="",N(L$5)=0),"",IF(AND(L$5&gt;='예시-총괄분'!H30,L$5&lt;='예시-총괄분'!I30),D18/'예시-총괄분'!J30,""))</f>
        <v/>
      </c>
      <c r="M18" s="41">
        <f>IF(OR(D18="",'예시-총괄분'!J30="",N(M$5)=0),"",IF(AND(M$5&gt;='예시-총괄분'!H30,M$5&lt;='예시-총괄분'!I30),D18/'예시-총괄분'!J30,""))</f>
        <v/>
      </c>
      <c r="N18" s="41">
        <f>IF(OR(D18="",'예시-총괄분'!J30="",N(N$5)=0),"",IF(AND(N$5&gt;='예시-총괄분'!H30,N$5&lt;='예시-총괄분'!I30),D18/'예시-총괄분'!J30,""))</f>
        <v/>
      </c>
      <c r="O18" s="41">
        <f>IF(OR(D18="",'예시-총괄분'!J30="",N(O$5)=0),"",IF(AND(O$5&gt;='예시-총괄분'!H30,O$5&lt;='예시-총괄분'!I30),D18/'예시-총괄분'!J30,""))</f>
        <v/>
      </c>
      <c r="P18" s="41">
        <f>IF(OR(D18="",'예시-총괄분'!J30="",N(P$5)=0),"",IF(AND(P$5&gt;='예시-총괄분'!H30,P$5&lt;='예시-총괄분'!I30),D18/'예시-총괄분'!J30,""))</f>
        <v/>
      </c>
      <c r="Q18" s="41">
        <f>IF(OR(D18="",'예시-총괄분'!J30="",N(Q$5)=0),"",IF(AND(Q$5&gt;='예시-총괄분'!H30,Q$5&lt;='예시-총괄분'!I30),D18/'예시-총괄분'!J30,""))</f>
        <v/>
      </c>
      <c r="R18" s="41">
        <f>IF(OR(D18="",'예시-총괄분'!J30="",N(R$5)=0),"",IF(AND(R$5&gt;='예시-총괄분'!H30,R$5&lt;='예시-총괄분'!I30),D18/'예시-총괄분'!J30,""))</f>
        <v/>
      </c>
      <c r="S18" s="41">
        <f>IF(OR(D18="",'예시-총괄분'!J30="",N(S$5)=0),"",IF(AND(S$5&gt;='예시-총괄분'!H30,S$5&lt;='예시-총괄분'!I30),D18/'예시-총괄분'!J30,""))</f>
        <v/>
      </c>
      <c r="T18" s="41">
        <f>IF(OR(D18="",'예시-총괄분'!J30="",N(T$5)=0),"",IF(AND(T$5&gt;='예시-총괄분'!H30,T$5&lt;='예시-총괄분'!I30),D18/'예시-총괄분'!J30,""))</f>
        <v/>
      </c>
      <c r="U18" s="41">
        <f>IF(OR(D18="",'예시-총괄분'!J30="",N(U$5)=0),"",IF(AND(U$5&gt;='예시-총괄분'!H30,U$5&lt;='예시-총괄분'!I30),D18/'예시-총괄분'!J30,""))</f>
        <v/>
      </c>
      <c r="V18" s="41">
        <f>IF(OR(D18="",'예시-총괄분'!J30="",N(V$5)=0),"",IF(AND(V$5&gt;='예시-총괄분'!H30,V$5&lt;='예시-총괄분'!I30),D18/'예시-총괄분'!J30,""))</f>
        <v/>
      </c>
      <c r="W18" s="41">
        <f>IF(OR(D18="",'예시-총괄분'!J30="",N(W$5)=0),"",IF(AND(W$5&gt;='예시-총괄분'!H30,W$5&lt;='예시-총괄분'!I30),D18/'예시-총괄분'!J30,""))</f>
        <v/>
      </c>
      <c r="X18" s="41">
        <f>IF(OR(D18="",'예시-총괄분'!J30="",N(X$5)=0),"",IF(AND(X$5&gt;='예시-총괄분'!H30,X$5&lt;='예시-총괄분'!I30),D18/'예시-총괄분'!J30,""))</f>
        <v/>
      </c>
      <c r="Y18" s="41">
        <f>IF(OR(D18="",'예시-총괄분'!J30="",N(Y$5)=0),"",IF(AND(Y$5&gt;='예시-총괄분'!H30,Y$5&lt;='예시-총괄분'!I30),D18/'예시-총괄분'!J30,""))</f>
        <v/>
      </c>
      <c r="Z18" s="41">
        <f>IF(OR(D18="",'예시-총괄분'!J30="",N(Z$5)=0),"",IF(AND(Z$5&gt;='예시-총괄분'!H30,Z$5&lt;='예시-총괄분'!I30),D18/'예시-총괄분'!J30,""))</f>
        <v/>
      </c>
      <c r="AA18" s="41">
        <f>IF(OR(D18="",'예시-총괄분'!J30="",N(AA$5)=0),"",IF(AND(AA$5&gt;='예시-총괄분'!H30,AA$5&lt;='예시-총괄분'!I30),D18/'예시-총괄분'!J30,""))</f>
        <v/>
      </c>
      <c r="AB18" s="41">
        <f>IF(OR(D18="",'예시-총괄분'!J30="",N(AB$5)=0),"",IF(AND(AB$5&gt;='예시-총괄분'!H30,AB$5&lt;='예시-총괄분'!I30),D18/'예시-총괄분'!J30,""))</f>
        <v/>
      </c>
      <c r="AC18" s="41">
        <f>IF(OR(D18="",'예시-총괄분'!J30="",N(AC$5)=0),"",IF(AND(AC$5&gt;='예시-총괄분'!H30,AC$5&lt;='예시-총괄분'!I30),D18/'예시-총괄분'!J30,""))</f>
        <v/>
      </c>
      <c r="AD18" s="41">
        <f>IF(OR(D18="",'예시-총괄분'!J30="",N(AD$5)=0),"",IF(AND(AD$5&gt;='예시-총괄분'!H30,AD$5&lt;='예시-총괄분'!I30),D18/'예시-총괄분'!J30,""))</f>
        <v/>
      </c>
      <c r="AE18" s="41">
        <f>IF(OR(D18="",'예시-총괄분'!J30="",N(AE$5)=0),"",IF(AND(AE$5&gt;='예시-총괄분'!H30,AE$5&lt;='예시-총괄분'!I30),D18/'예시-총괄분'!J30,""))</f>
        <v/>
      </c>
      <c r="AF18" s="41">
        <f>IF(OR(D18="",'예시-총괄분'!J30="",N(AF$5)=0),"",IF(AND(AF$5&gt;='예시-총괄분'!H30,AF$5&lt;='예시-총괄분'!I30),D18/'예시-총괄분'!J30,""))</f>
        <v/>
      </c>
      <c r="AG18" s="41">
        <f>IF(OR(D18="",'예시-총괄분'!J30="",N(AG$5)=0),"",IF(AND(AG$5&gt;='예시-총괄분'!H30,AG$5&lt;='예시-총괄분'!I30),D18/'예시-총괄분'!J30,""))</f>
        <v/>
      </c>
      <c r="AH18" s="41">
        <f>IF(OR(D18="",'예시-총괄분'!J30="",N(AH$5)=0),"",IF(AND(AH$5&gt;='예시-총괄분'!H30,AH$5&lt;='예시-총괄분'!I30),D18/'예시-총괄분'!J30,""))</f>
        <v/>
      </c>
      <c r="AI18" s="41">
        <f>IF(OR(D18="",'예시-총괄분'!J30="",N(AI$5)=0),"",IF(AND(AI$5&gt;='예시-총괄분'!H30,AI$5&lt;='예시-총괄분'!I30),D18/'예시-총괄분'!J30,""))</f>
        <v/>
      </c>
      <c r="AJ18" s="41">
        <f>IF(OR(D18="",'예시-총괄분'!J30="",N(AJ$5)=0),"",IF(AND(AJ$5&gt;='예시-총괄분'!H30,AJ$5&lt;='예시-총괄분'!I30),D18/'예시-총괄분'!J30,""))</f>
        <v/>
      </c>
      <c r="AK18" s="40">
        <f>IF(D18="","",SUM(F18:AJ18))</f>
        <v/>
      </c>
      <c r="AL18" s="40">
        <f>IF(D18="","",E18+AK18)</f>
        <v/>
      </c>
    </row>
    <row r="19" ht="15" customHeight="1">
      <c r="A19" s="38">
        <f>IF('예시-총괄분'!A32="","",'예시-총괄분'!A32)</f>
        <v/>
      </c>
      <c r="B19" s="38">
        <f>IF('예시-총괄분'!B32="","",'예시-총괄분'!B32)</f>
        <v/>
      </c>
      <c r="C19" s="39">
        <f>IF('예시-총괄분'!C32="","",'예시-총괄분'!C32)</f>
        <v/>
      </c>
      <c r="D19" s="23">
        <f>IF('예시-총괄분'!E32="","",'예시-총괄분'!E32)</f>
        <v/>
      </c>
      <c r="E19" s="40">
        <f>IF(OR(D19="",'예시-총괄분'!J32="",N(U3)=0),"",MAX(0,MIN('예시-총괄분'!I32,U3-1)-'예시-총괄분'!H32+1)/'예시-총괄분'!J32*D19)</f>
        <v/>
      </c>
      <c r="F19" s="41">
        <f>IF(OR(D19="",'예시-총괄분'!J32="",N(F$5)=0),"",IF(AND(F$5&gt;='예시-총괄분'!H32,F$5&lt;='예시-총괄분'!I32),D19/'예시-총괄분'!J32,""))</f>
        <v/>
      </c>
      <c r="G19" s="41">
        <f>IF(OR(D19="",'예시-총괄분'!J32="",N(G$5)=0),"",IF(AND(G$5&gt;='예시-총괄분'!H32,G$5&lt;='예시-총괄분'!I32),D19/'예시-총괄분'!J32,""))</f>
        <v/>
      </c>
      <c r="H19" s="41">
        <f>IF(OR(D19="",'예시-총괄분'!J32="",N(H$5)=0),"",IF(AND(H$5&gt;='예시-총괄분'!H32,H$5&lt;='예시-총괄분'!I32),D19/'예시-총괄분'!J32,""))</f>
        <v/>
      </c>
      <c r="I19" s="41">
        <f>IF(OR(D19="",'예시-총괄분'!J32="",N(I$5)=0),"",IF(AND(I$5&gt;='예시-총괄분'!H32,I$5&lt;='예시-총괄분'!I32),D19/'예시-총괄분'!J32,""))</f>
        <v/>
      </c>
      <c r="J19" s="41">
        <f>IF(OR(D19="",'예시-총괄분'!J32="",N(J$5)=0),"",IF(AND(J$5&gt;='예시-총괄분'!H32,J$5&lt;='예시-총괄분'!I32),D19/'예시-총괄분'!J32,""))</f>
        <v/>
      </c>
      <c r="K19" s="41">
        <f>IF(OR(D19="",'예시-총괄분'!J32="",N(K$5)=0),"",IF(AND(K$5&gt;='예시-총괄분'!H32,K$5&lt;='예시-총괄분'!I32),D19/'예시-총괄분'!J32,""))</f>
        <v/>
      </c>
      <c r="L19" s="41">
        <f>IF(OR(D19="",'예시-총괄분'!J32="",N(L$5)=0),"",IF(AND(L$5&gt;='예시-총괄분'!H32,L$5&lt;='예시-총괄분'!I32),D19/'예시-총괄분'!J32,""))</f>
        <v/>
      </c>
      <c r="M19" s="41">
        <f>IF(OR(D19="",'예시-총괄분'!J32="",N(M$5)=0),"",IF(AND(M$5&gt;='예시-총괄분'!H32,M$5&lt;='예시-총괄분'!I32),D19/'예시-총괄분'!J32,""))</f>
        <v/>
      </c>
      <c r="N19" s="41">
        <f>IF(OR(D19="",'예시-총괄분'!J32="",N(N$5)=0),"",IF(AND(N$5&gt;='예시-총괄분'!H32,N$5&lt;='예시-총괄분'!I32),D19/'예시-총괄분'!J32,""))</f>
        <v/>
      </c>
      <c r="O19" s="41">
        <f>IF(OR(D19="",'예시-총괄분'!J32="",N(O$5)=0),"",IF(AND(O$5&gt;='예시-총괄분'!H32,O$5&lt;='예시-총괄분'!I32),D19/'예시-총괄분'!J32,""))</f>
        <v/>
      </c>
      <c r="P19" s="41">
        <f>IF(OR(D19="",'예시-총괄분'!J32="",N(P$5)=0),"",IF(AND(P$5&gt;='예시-총괄분'!H32,P$5&lt;='예시-총괄분'!I32),D19/'예시-총괄분'!J32,""))</f>
        <v/>
      </c>
      <c r="Q19" s="41">
        <f>IF(OR(D19="",'예시-총괄분'!J32="",N(Q$5)=0),"",IF(AND(Q$5&gt;='예시-총괄분'!H32,Q$5&lt;='예시-총괄분'!I32),D19/'예시-총괄분'!J32,""))</f>
        <v/>
      </c>
      <c r="R19" s="41">
        <f>IF(OR(D19="",'예시-총괄분'!J32="",N(R$5)=0),"",IF(AND(R$5&gt;='예시-총괄분'!H32,R$5&lt;='예시-총괄분'!I32),D19/'예시-총괄분'!J32,""))</f>
        <v/>
      </c>
      <c r="S19" s="41">
        <f>IF(OR(D19="",'예시-총괄분'!J32="",N(S$5)=0),"",IF(AND(S$5&gt;='예시-총괄분'!H32,S$5&lt;='예시-총괄분'!I32),D19/'예시-총괄분'!J32,""))</f>
        <v/>
      </c>
      <c r="T19" s="41">
        <f>IF(OR(D19="",'예시-총괄분'!J32="",N(T$5)=0),"",IF(AND(T$5&gt;='예시-총괄분'!H32,T$5&lt;='예시-총괄분'!I32),D19/'예시-총괄분'!J32,""))</f>
        <v/>
      </c>
      <c r="U19" s="41">
        <f>IF(OR(D19="",'예시-총괄분'!J32="",N(U$5)=0),"",IF(AND(U$5&gt;='예시-총괄분'!H32,U$5&lt;='예시-총괄분'!I32),D19/'예시-총괄분'!J32,""))</f>
        <v/>
      </c>
      <c r="V19" s="41">
        <f>IF(OR(D19="",'예시-총괄분'!J32="",N(V$5)=0),"",IF(AND(V$5&gt;='예시-총괄분'!H32,V$5&lt;='예시-총괄분'!I32),D19/'예시-총괄분'!J32,""))</f>
        <v/>
      </c>
      <c r="W19" s="41">
        <f>IF(OR(D19="",'예시-총괄분'!J32="",N(W$5)=0),"",IF(AND(W$5&gt;='예시-총괄분'!H32,W$5&lt;='예시-총괄분'!I32),D19/'예시-총괄분'!J32,""))</f>
        <v/>
      </c>
      <c r="X19" s="41">
        <f>IF(OR(D19="",'예시-총괄분'!J32="",N(X$5)=0),"",IF(AND(X$5&gt;='예시-총괄분'!H32,X$5&lt;='예시-총괄분'!I32),D19/'예시-총괄분'!J32,""))</f>
        <v/>
      </c>
      <c r="Y19" s="41">
        <f>IF(OR(D19="",'예시-총괄분'!J32="",N(Y$5)=0),"",IF(AND(Y$5&gt;='예시-총괄분'!H32,Y$5&lt;='예시-총괄분'!I32),D19/'예시-총괄분'!J32,""))</f>
        <v/>
      </c>
      <c r="Z19" s="41">
        <f>IF(OR(D19="",'예시-총괄분'!J32="",N(Z$5)=0),"",IF(AND(Z$5&gt;='예시-총괄분'!H32,Z$5&lt;='예시-총괄분'!I32),D19/'예시-총괄분'!J32,""))</f>
        <v/>
      </c>
      <c r="AA19" s="41">
        <f>IF(OR(D19="",'예시-총괄분'!J32="",N(AA$5)=0),"",IF(AND(AA$5&gt;='예시-총괄분'!H32,AA$5&lt;='예시-총괄분'!I32),D19/'예시-총괄분'!J32,""))</f>
        <v/>
      </c>
      <c r="AB19" s="41">
        <f>IF(OR(D19="",'예시-총괄분'!J32="",N(AB$5)=0),"",IF(AND(AB$5&gt;='예시-총괄분'!H32,AB$5&lt;='예시-총괄분'!I32),D19/'예시-총괄분'!J32,""))</f>
        <v/>
      </c>
      <c r="AC19" s="41">
        <f>IF(OR(D19="",'예시-총괄분'!J32="",N(AC$5)=0),"",IF(AND(AC$5&gt;='예시-총괄분'!H32,AC$5&lt;='예시-총괄분'!I32),D19/'예시-총괄분'!J32,""))</f>
        <v/>
      </c>
      <c r="AD19" s="41">
        <f>IF(OR(D19="",'예시-총괄분'!J32="",N(AD$5)=0),"",IF(AND(AD$5&gt;='예시-총괄분'!H32,AD$5&lt;='예시-총괄분'!I32),D19/'예시-총괄분'!J32,""))</f>
        <v/>
      </c>
      <c r="AE19" s="41">
        <f>IF(OR(D19="",'예시-총괄분'!J32="",N(AE$5)=0),"",IF(AND(AE$5&gt;='예시-총괄분'!H32,AE$5&lt;='예시-총괄분'!I32),D19/'예시-총괄분'!J32,""))</f>
        <v/>
      </c>
      <c r="AF19" s="41">
        <f>IF(OR(D19="",'예시-총괄분'!J32="",N(AF$5)=0),"",IF(AND(AF$5&gt;='예시-총괄분'!H32,AF$5&lt;='예시-총괄분'!I32),D19/'예시-총괄분'!J32,""))</f>
        <v/>
      </c>
      <c r="AG19" s="41">
        <f>IF(OR(D19="",'예시-총괄분'!J32="",N(AG$5)=0),"",IF(AND(AG$5&gt;='예시-총괄분'!H32,AG$5&lt;='예시-총괄분'!I32),D19/'예시-총괄분'!J32,""))</f>
        <v/>
      </c>
      <c r="AH19" s="41">
        <f>IF(OR(D19="",'예시-총괄분'!J32="",N(AH$5)=0),"",IF(AND(AH$5&gt;='예시-총괄분'!H32,AH$5&lt;='예시-총괄분'!I32),D19/'예시-총괄분'!J32,""))</f>
        <v/>
      </c>
      <c r="AI19" s="41">
        <f>IF(OR(D19="",'예시-총괄분'!J32="",N(AI$5)=0),"",IF(AND(AI$5&gt;='예시-총괄분'!H32,AI$5&lt;='예시-총괄분'!I32),D19/'예시-총괄분'!J32,""))</f>
        <v/>
      </c>
      <c r="AJ19" s="41">
        <f>IF(OR(D19="",'예시-총괄분'!J32="",N(AJ$5)=0),"",IF(AND(AJ$5&gt;='예시-총괄분'!H32,AJ$5&lt;='예시-총괄분'!I32),D19/'예시-총괄분'!J32,""))</f>
        <v/>
      </c>
      <c r="AK19" s="40">
        <f>IF(D19="","",SUM(F19:AJ19))</f>
        <v/>
      </c>
      <c r="AL19" s="40">
        <f>IF(D19="","",E19+AK19)</f>
        <v/>
      </c>
    </row>
    <row r="20" ht="15" customHeight="1">
      <c r="A20" s="38">
        <f>IF('예시-총괄분'!A34="","",'예시-총괄분'!A34)</f>
        <v/>
      </c>
      <c r="B20" s="38">
        <f>IF('예시-총괄분'!B34="","",'예시-총괄분'!B34)</f>
        <v/>
      </c>
      <c r="C20" s="39">
        <f>IF('예시-총괄분'!C34="","",'예시-총괄분'!C34)</f>
        <v/>
      </c>
      <c r="D20" s="23">
        <f>IF('예시-총괄분'!E34="","",'예시-총괄분'!E34)</f>
        <v/>
      </c>
      <c r="E20" s="40">
        <f>IF(OR(D20="",'예시-총괄분'!J34="",N(U3)=0),"",MAX(0,MIN('예시-총괄분'!I34,U3-1)-'예시-총괄분'!H34+1)/'예시-총괄분'!J34*D20)</f>
        <v/>
      </c>
      <c r="F20" s="41">
        <f>IF(OR(D20="",'예시-총괄분'!J34="",N(F$5)=0),"",IF(AND(F$5&gt;='예시-총괄분'!H34,F$5&lt;='예시-총괄분'!I34),D20/'예시-총괄분'!J34,""))</f>
        <v/>
      </c>
      <c r="G20" s="41">
        <f>IF(OR(D20="",'예시-총괄분'!J34="",N(G$5)=0),"",IF(AND(G$5&gt;='예시-총괄분'!H34,G$5&lt;='예시-총괄분'!I34),D20/'예시-총괄분'!J34,""))</f>
        <v/>
      </c>
      <c r="H20" s="41">
        <f>IF(OR(D20="",'예시-총괄분'!J34="",N(H$5)=0),"",IF(AND(H$5&gt;='예시-총괄분'!H34,H$5&lt;='예시-총괄분'!I34),D20/'예시-총괄분'!J34,""))</f>
        <v/>
      </c>
      <c r="I20" s="41">
        <f>IF(OR(D20="",'예시-총괄분'!J34="",N(I$5)=0),"",IF(AND(I$5&gt;='예시-총괄분'!H34,I$5&lt;='예시-총괄분'!I34),D20/'예시-총괄분'!J34,""))</f>
        <v/>
      </c>
      <c r="J20" s="41">
        <f>IF(OR(D20="",'예시-총괄분'!J34="",N(J$5)=0),"",IF(AND(J$5&gt;='예시-총괄분'!H34,J$5&lt;='예시-총괄분'!I34),D20/'예시-총괄분'!J34,""))</f>
        <v/>
      </c>
      <c r="K20" s="41">
        <f>IF(OR(D20="",'예시-총괄분'!J34="",N(K$5)=0),"",IF(AND(K$5&gt;='예시-총괄분'!H34,K$5&lt;='예시-총괄분'!I34),D20/'예시-총괄분'!J34,""))</f>
        <v/>
      </c>
      <c r="L20" s="41">
        <f>IF(OR(D20="",'예시-총괄분'!J34="",N(L$5)=0),"",IF(AND(L$5&gt;='예시-총괄분'!H34,L$5&lt;='예시-총괄분'!I34),D20/'예시-총괄분'!J34,""))</f>
        <v/>
      </c>
      <c r="M20" s="41">
        <f>IF(OR(D20="",'예시-총괄분'!J34="",N(M$5)=0),"",IF(AND(M$5&gt;='예시-총괄분'!H34,M$5&lt;='예시-총괄분'!I34),D20/'예시-총괄분'!J34,""))</f>
        <v/>
      </c>
      <c r="N20" s="41">
        <f>IF(OR(D20="",'예시-총괄분'!J34="",N(N$5)=0),"",IF(AND(N$5&gt;='예시-총괄분'!H34,N$5&lt;='예시-총괄분'!I34),D20/'예시-총괄분'!J34,""))</f>
        <v/>
      </c>
      <c r="O20" s="41">
        <f>IF(OR(D20="",'예시-총괄분'!J34="",N(O$5)=0),"",IF(AND(O$5&gt;='예시-총괄분'!H34,O$5&lt;='예시-총괄분'!I34),D20/'예시-총괄분'!J34,""))</f>
        <v/>
      </c>
      <c r="P20" s="41">
        <f>IF(OR(D20="",'예시-총괄분'!J34="",N(P$5)=0),"",IF(AND(P$5&gt;='예시-총괄분'!H34,P$5&lt;='예시-총괄분'!I34),D20/'예시-총괄분'!J34,""))</f>
        <v/>
      </c>
      <c r="Q20" s="41">
        <f>IF(OR(D20="",'예시-총괄분'!J34="",N(Q$5)=0),"",IF(AND(Q$5&gt;='예시-총괄분'!H34,Q$5&lt;='예시-총괄분'!I34),D20/'예시-총괄분'!J34,""))</f>
        <v/>
      </c>
      <c r="R20" s="41">
        <f>IF(OR(D20="",'예시-총괄분'!J34="",N(R$5)=0),"",IF(AND(R$5&gt;='예시-총괄분'!H34,R$5&lt;='예시-총괄분'!I34),D20/'예시-총괄분'!J34,""))</f>
        <v/>
      </c>
      <c r="S20" s="41">
        <f>IF(OR(D20="",'예시-총괄분'!J34="",N(S$5)=0),"",IF(AND(S$5&gt;='예시-총괄분'!H34,S$5&lt;='예시-총괄분'!I34),D20/'예시-총괄분'!J34,""))</f>
        <v/>
      </c>
      <c r="T20" s="41">
        <f>IF(OR(D20="",'예시-총괄분'!J34="",N(T$5)=0),"",IF(AND(T$5&gt;='예시-총괄분'!H34,T$5&lt;='예시-총괄분'!I34),D20/'예시-총괄분'!J34,""))</f>
        <v/>
      </c>
      <c r="U20" s="41">
        <f>IF(OR(D20="",'예시-총괄분'!J34="",N(U$5)=0),"",IF(AND(U$5&gt;='예시-총괄분'!H34,U$5&lt;='예시-총괄분'!I34),D20/'예시-총괄분'!J34,""))</f>
        <v/>
      </c>
      <c r="V20" s="41">
        <f>IF(OR(D20="",'예시-총괄분'!J34="",N(V$5)=0),"",IF(AND(V$5&gt;='예시-총괄분'!H34,V$5&lt;='예시-총괄분'!I34),D20/'예시-총괄분'!J34,""))</f>
        <v/>
      </c>
      <c r="W20" s="41">
        <f>IF(OR(D20="",'예시-총괄분'!J34="",N(W$5)=0),"",IF(AND(W$5&gt;='예시-총괄분'!H34,W$5&lt;='예시-총괄분'!I34),D20/'예시-총괄분'!J34,""))</f>
        <v/>
      </c>
      <c r="X20" s="41">
        <f>IF(OR(D20="",'예시-총괄분'!J34="",N(X$5)=0),"",IF(AND(X$5&gt;='예시-총괄분'!H34,X$5&lt;='예시-총괄분'!I34),D20/'예시-총괄분'!J34,""))</f>
        <v/>
      </c>
      <c r="Y20" s="41">
        <f>IF(OR(D20="",'예시-총괄분'!J34="",N(Y$5)=0),"",IF(AND(Y$5&gt;='예시-총괄분'!H34,Y$5&lt;='예시-총괄분'!I34),D20/'예시-총괄분'!J34,""))</f>
        <v/>
      </c>
      <c r="Z20" s="41">
        <f>IF(OR(D20="",'예시-총괄분'!J34="",N(Z$5)=0),"",IF(AND(Z$5&gt;='예시-총괄분'!H34,Z$5&lt;='예시-총괄분'!I34),D20/'예시-총괄분'!J34,""))</f>
        <v/>
      </c>
      <c r="AA20" s="41">
        <f>IF(OR(D20="",'예시-총괄분'!J34="",N(AA$5)=0),"",IF(AND(AA$5&gt;='예시-총괄분'!H34,AA$5&lt;='예시-총괄분'!I34),D20/'예시-총괄분'!J34,""))</f>
        <v/>
      </c>
      <c r="AB20" s="41">
        <f>IF(OR(D20="",'예시-총괄분'!J34="",N(AB$5)=0),"",IF(AND(AB$5&gt;='예시-총괄분'!H34,AB$5&lt;='예시-총괄분'!I34),D20/'예시-총괄분'!J34,""))</f>
        <v/>
      </c>
      <c r="AC20" s="41">
        <f>IF(OR(D20="",'예시-총괄분'!J34="",N(AC$5)=0),"",IF(AND(AC$5&gt;='예시-총괄분'!H34,AC$5&lt;='예시-총괄분'!I34),D20/'예시-총괄분'!J34,""))</f>
        <v/>
      </c>
      <c r="AD20" s="41">
        <f>IF(OR(D20="",'예시-총괄분'!J34="",N(AD$5)=0),"",IF(AND(AD$5&gt;='예시-총괄분'!H34,AD$5&lt;='예시-총괄분'!I34),D20/'예시-총괄분'!J34,""))</f>
        <v/>
      </c>
      <c r="AE20" s="41">
        <f>IF(OR(D20="",'예시-총괄분'!J34="",N(AE$5)=0),"",IF(AND(AE$5&gt;='예시-총괄분'!H34,AE$5&lt;='예시-총괄분'!I34),D20/'예시-총괄분'!J34,""))</f>
        <v/>
      </c>
      <c r="AF20" s="41">
        <f>IF(OR(D20="",'예시-총괄분'!J34="",N(AF$5)=0),"",IF(AND(AF$5&gt;='예시-총괄분'!H34,AF$5&lt;='예시-총괄분'!I34),D20/'예시-총괄분'!J34,""))</f>
        <v/>
      </c>
      <c r="AG20" s="41">
        <f>IF(OR(D20="",'예시-총괄분'!J34="",N(AG$5)=0),"",IF(AND(AG$5&gt;='예시-총괄분'!H34,AG$5&lt;='예시-총괄분'!I34),D20/'예시-총괄분'!J34,""))</f>
        <v/>
      </c>
      <c r="AH20" s="41">
        <f>IF(OR(D20="",'예시-총괄분'!J34="",N(AH$5)=0),"",IF(AND(AH$5&gt;='예시-총괄분'!H34,AH$5&lt;='예시-총괄분'!I34),D20/'예시-총괄분'!J34,""))</f>
        <v/>
      </c>
      <c r="AI20" s="41">
        <f>IF(OR(D20="",'예시-총괄분'!J34="",N(AI$5)=0),"",IF(AND(AI$5&gt;='예시-총괄분'!H34,AI$5&lt;='예시-총괄분'!I34),D20/'예시-총괄분'!J34,""))</f>
        <v/>
      </c>
      <c r="AJ20" s="41">
        <f>IF(OR(D20="",'예시-총괄분'!J34="",N(AJ$5)=0),"",IF(AND(AJ$5&gt;='예시-총괄분'!H34,AJ$5&lt;='예시-총괄분'!I34),D20/'예시-총괄분'!J34,""))</f>
        <v/>
      </c>
      <c r="AK20" s="40">
        <f>IF(D20="","",SUM(F20:AJ20))</f>
        <v/>
      </c>
      <c r="AL20" s="40">
        <f>IF(D20="","",E20+AK20)</f>
        <v/>
      </c>
    </row>
    <row r="21" ht="15" customHeight="1">
      <c r="A21" s="38">
        <f>IF('예시-총괄분'!A36="","",'예시-총괄분'!A36)</f>
        <v/>
      </c>
      <c r="B21" s="38">
        <f>IF('예시-총괄분'!B36="","",'예시-총괄분'!B36)</f>
        <v/>
      </c>
      <c r="C21" s="39">
        <f>IF('예시-총괄분'!C36="","",'예시-총괄분'!C36)</f>
        <v/>
      </c>
      <c r="D21" s="23">
        <f>IF('예시-총괄분'!E36="","",'예시-총괄분'!E36)</f>
        <v/>
      </c>
      <c r="E21" s="40">
        <f>IF(OR(D21="",'예시-총괄분'!J36="",N(U3)=0),"",MAX(0,MIN('예시-총괄분'!I36,U3-1)-'예시-총괄분'!H36+1)/'예시-총괄분'!J36*D21)</f>
        <v/>
      </c>
      <c r="F21" s="41">
        <f>IF(OR(D21="",'예시-총괄분'!J36="",N(F$5)=0),"",IF(AND(F$5&gt;='예시-총괄분'!H36,F$5&lt;='예시-총괄분'!I36),D21/'예시-총괄분'!J36,""))</f>
        <v/>
      </c>
      <c r="G21" s="41">
        <f>IF(OR(D21="",'예시-총괄분'!J36="",N(G$5)=0),"",IF(AND(G$5&gt;='예시-총괄분'!H36,G$5&lt;='예시-총괄분'!I36),D21/'예시-총괄분'!J36,""))</f>
        <v/>
      </c>
      <c r="H21" s="41">
        <f>IF(OR(D21="",'예시-총괄분'!J36="",N(H$5)=0),"",IF(AND(H$5&gt;='예시-총괄분'!H36,H$5&lt;='예시-총괄분'!I36),D21/'예시-총괄분'!J36,""))</f>
        <v/>
      </c>
      <c r="I21" s="41">
        <f>IF(OR(D21="",'예시-총괄분'!J36="",N(I$5)=0),"",IF(AND(I$5&gt;='예시-총괄분'!H36,I$5&lt;='예시-총괄분'!I36),D21/'예시-총괄분'!J36,""))</f>
        <v/>
      </c>
      <c r="J21" s="41">
        <f>IF(OR(D21="",'예시-총괄분'!J36="",N(J$5)=0),"",IF(AND(J$5&gt;='예시-총괄분'!H36,J$5&lt;='예시-총괄분'!I36),D21/'예시-총괄분'!J36,""))</f>
        <v/>
      </c>
      <c r="K21" s="41">
        <f>IF(OR(D21="",'예시-총괄분'!J36="",N(K$5)=0),"",IF(AND(K$5&gt;='예시-총괄분'!H36,K$5&lt;='예시-총괄분'!I36),D21/'예시-총괄분'!J36,""))</f>
        <v/>
      </c>
      <c r="L21" s="41">
        <f>IF(OR(D21="",'예시-총괄분'!J36="",N(L$5)=0),"",IF(AND(L$5&gt;='예시-총괄분'!H36,L$5&lt;='예시-총괄분'!I36),D21/'예시-총괄분'!J36,""))</f>
        <v/>
      </c>
      <c r="M21" s="41">
        <f>IF(OR(D21="",'예시-총괄분'!J36="",N(M$5)=0),"",IF(AND(M$5&gt;='예시-총괄분'!H36,M$5&lt;='예시-총괄분'!I36),D21/'예시-총괄분'!J36,""))</f>
        <v/>
      </c>
      <c r="N21" s="41">
        <f>IF(OR(D21="",'예시-총괄분'!J36="",N(N$5)=0),"",IF(AND(N$5&gt;='예시-총괄분'!H36,N$5&lt;='예시-총괄분'!I36),D21/'예시-총괄분'!J36,""))</f>
        <v/>
      </c>
      <c r="O21" s="41">
        <f>IF(OR(D21="",'예시-총괄분'!J36="",N(O$5)=0),"",IF(AND(O$5&gt;='예시-총괄분'!H36,O$5&lt;='예시-총괄분'!I36),D21/'예시-총괄분'!J36,""))</f>
        <v/>
      </c>
      <c r="P21" s="41">
        <f>IF(OR(D21="",'예시-총괄분'!J36="",N(P$5)=0),"",IF(AND(P$5&gt;='예시-총괄분'!H36,P$5&lt;='예시-총괄분'!I36),D21/'예시-총괄분'!J36,""))</f>
        <v/>
      </c>
      <c r="Q21" s="41">
        <f>IF(OR(D21="",'예시-총괄분'!J36="",N(Q$5)=0),"",IF(AND(Q$5&gt;='예시-총괄분'!H36,Q$5&lt;='예시-총괄분'!I36),D21/'예시-총괄분'!J36,""))</f>
        <v/>
      </c>
      <c r="R21" s="41">
        <f>IF(OR(D21="",'예시-총괄분'!J36="",N(R$5)=0),"",IF(AND(R$5&gt;='예시-총괄분'!H36,R$5&lt;='예시-총괄분'!I36),D21/'예시-총괄분'!J36,""))</f>
        <v/>
      </c>
      <c r="S21" s="41">
        <f>IF(OR(D21="",'예시-총괄분'!J36="",N(S$5)=0),"",IF(AND(S$5&gt;='예시-총괄분'!H36,S$5&lt;='예시-총괄분'!I36),D21/'예시-총괄분'!J36,""))</f>
        <v/>
      </c>
      <c r="T21" s="41">
        <f>IF(OR(D21="",'예시-총괄분'!J36="",N(T$5)=0),"",IF(AND(T$5&gt;='예시-총괄분'!H36,T$5&lt;='예시-총괄분'!I36),D21/'예시-총괄분'!J36,""))</f>
        <v/>
      </c>
      <c r="U21" s="41">
        <f>IF(OR(D21="",'예시-총괄분'!J36="",N(U$5)=0),"",IF(AND(U$5&gt;='예시-총괄분'!H36,U$5&lt;='예시-총괄분'!I36),D21/'예시-총괄분'!J36,""))</f>
        <v/>
      </c>
      <c r="V21" s="41">
        <f>IF(OR(D21="",'예시-총괄분'!J36="",N(V$5)=0),"",IF(AND(V$5&gt;='예시-총괄분'!H36,V$5&lt;='예시-총괄분'!I36),D21/'예시-총괄분'!J36,""))</f>
        <v/>
      </c>
      <c r="W21" s="41">
        <f>IF(OR(D21="",'예시-총괄분'!J36="",N(W$5)=0),"",IF(AND(W$5&gt;='예시-총괄분'!H36,W$5&lt;='예시-총괄분'!I36),D21/'예시-총괄분'!J36,""))</f>
        <v/>
      </c>
      <c r="X21" s="41">
        <f>IF(OR(D21="",'예시-총괄분'!J36="",N(X$5)=0),"",IF(AND(X$5&gt;='예시-총괄분'!H36,X$5&lt;='예시-총괄분'!I36),D21/'예시-총괄분'!J36,""))</f>
        <v/>
      </c>
      <c r="Y21" s="41">
        <f>IF(OR(D21="",'예시-총괄분'!J36="",N(Y$5)=0),"",IF(AND(Y$5&gt;='예시-총괄분'!H36,Y$5&lt;='예시-총괄분'!I36),D21/'예시-총괄분'!J36,""))</f>
        <v/>
      </c>
      <c r="Z21" s="41">
        <f>IF(OR(D21="",'예시-총괄분'!J36="",N(Z$5)=0),"",IF(AND(Z$5&gt;='예시-총괄분'!H36,Z$5&lt;='예시-총괄분'!I36),D21/'예시-총괄분'!J36,""))</f>
        <v/>
      </c>
      <c r="AA21" s="41">
        <f>IF(OR(D21="",'예시-총괄분'!J36="",N(AA$5)=0),"",IF(AND(AA$5&gt;='예시-총괄분'!H36,AA$5&lt;='예시-총괄분'!I36),D21/'예시-총괄분'!J36,""))</f>
        <v/>
      </c>
      <c r="AB21" s="41">
        <f>IF(OR(D21="",'예시-총괄분'!J36="",N(AB$5)=0),"",IF(AND(AB$5&gt;='예시-총괄분'!H36,AB$5&lt;='예시-총괄분'!I36),D21/'예시-총괄분'!J36,""))</f>
        <v/>
      </c>
      <c r="AC21" s="41">
        <f>IF(OR(D21="",'예시-총괄분'!J36="",N(AC$5)=0),"",IF(AND(AC$5&gt;='예시-총괄분'!H36,AC$5&lt;='예시-총괄분'!I36),D21/'예시-총괄분'!J36,""))</f>
        <v/>
      </c>
      <c r="AD21" s="41">
        <f>IF(OR(D21="",'예시-총괄분'!J36="",N(AD$5)=0),"",IF(AND(AD$5&gt;='예시-총괄분'!H36,AD$5&lt;='예시-총괄분'!I36),D21/'예시-총괄분'!J36,""))</f>
        <v/>
      </c>
      <c r="AE21" s="41">
        <f>IF(OR(D21="",'예시-총괄분'!J36="",N(AE$5)=0),"",IF(AND(AE$5&gt;='예시-총괄분'!H36,AE$5&lt;='예시-총괄분'!I36),D21/'예시-총괄분'!J36,""))</f>
        <v/>
      </c>
      <c r="AF21" s="41">
        <f>IF(OR(D21="",'예시-총괄분'!J36="",N(AF$5)=0),"",IF(AND(AF$5&gt;='예시-총괄분'!H36,AF$5&lt;='예시-총괄분'!I36),D21/'예시-총괄분'!J36,""))</f>
        <v/>
      </c>
      <c r="AG21" s="41">
        <f>IF(OR(D21="",'예시-총괄분'!J36="",N(AG$5)=0),"",IF(AND(AG$5&gt;='예시-총괄분'!H36,AG$5&lt;='예시-총괄분'!I36),D21/'예시-총괄분'!J36,""))</f>
        <v/>
      </c>
      <c r="AH21" s="41">
        <f>IF(OR(D21="",'예시-총괄분'!J36="",N(AH$5)=0),"",IF(AND(AH$5&gt;='예시-총괄분'!H36,AH$5&lt;='예시-총괄분'!I36),D21/'예시-총괄분'!J36,""))</f>
        <v/>
      </c>
      <c r="AI21" s="41">
        <f>IF(OR(D21="",'예시-총괄분'!J36="",N(AI$5)=0),"",IF(AND(AI$5&gt;='예시-총괄분'!H36,AI$5&lt;='예시-총괄분'!I36),D21/'예시-총괄분'!J36,""))</f>
        <v/>
      </c>
      <c r="AJ21" s="41">
        <f>IF(OR(D21="",'예시-총괄분'!J36="",N(AJ$5)=0),"",IF(AND(AJ$5&gt;='예시-총괄분'!H36,AJ$5&lt;='예시-총괄분'!I36),D21/'예시-총괄분'!J36,""))</f>
        <v/>
      </c>
      <c r="AK21" s="40">
        <f>IF(D21="","",SUM(F21:AJ21))</f>
        <v/>
      </c>
      <c r="AL21" s="40">
        <f>IF(D21="","",E21+AK21)</f>
        <v/>
      </c>
    </row>
    <row r="22" ht="15" customHeight="1">
      <c r="A22" s="38">
        <f>IF('예시-총괄분'!A38="","",'예시-총괄분'!A38)</f>
        <v/>
      </c>
      <c r="B22" s="38">
        <f>IF('예시-총괄분'!B38="","",'예시-총괄분'!B38)</f>
        <v/>
      </c>
      <c r="C22" s="39">
        <f>IF('예시-총괄분'!C38="","",'예시-총괄분'!C38)</f>
        <v/>
      </c>
      <c r="D22" s="23">
        <f>IF('예시-총괄분'!E38="","",'예시-총괄분'!E38)</f>
        <v/>
      </c>
      <c r="E22" s="40">
        <f>IF(OR(D22="",'예시-총괄분'!J38="",N(U3)=0),"",MAX(0,MIN('예시-총괄분'!I38,U3-1)-'예시-총괄분'!H38+1)/'예시-총괄분'!J38*D22)</f>
        <v/>
      </c>
      <c r="F22" s="41">
        <f>IF(OR(D22="",'예시-총괄분'!J38="",N(F$5)=0),"",IF(AND(F$5&gt;='예시-총괄분'!H38,F$5&lt;='예시-총괄분'!I38),D22/'예시-총괄분'!J38,""))</f>
        <v/>
      </c>
      <c r="G22" s="41">
        <f>IF(OR(D22="",'예시-총괄분'!J38="",N(G$5)=0),"",IF(AND(G$5&gt;='예시-총괄분'!H38,G$5&lt;='예시-총괄분'!I38),D22/'예시-총괄분'!J38,""))</f>
        <v/>
      </c>
      <c r="H22" s="41">
        <f>IF(OR(D22="",'예시-총괄분'!J38="",N(H$5)=0),"",IF(AND(H$5&gt;='예시-총괄분'!H38,H$5&lt;='예시-총괄분'!I38),D22/'예시-총괄분'!J38,""))</f>
        <v/>
      </c>
      <c r="I22" s="41">
        <f>IF(OR(D22="",'예시-총괄분'!J38="",N(I$5)=0),"",IF(AND(I$5&gt;='예시-총괄분'!H38,I$5&lt;='예시-총괄분'!I38),D22/'예시-총괄분'!J38,""))</f>
        <v/>
      </c>
      <c r="J22" s="41">
        <f>IF(OR(D22="",'예시-총괄분'!J38="",N(J$5)=0),"",IF(AND(J$5&gt;='예시-총괄분'!H38,J$5&lt;='예시-총괄분'!I38),D22/'예시-총괄분'!J38,""))</f>
        <v/>
      </c>
      <c r="K22" s="41">
        <f>IF(OR(D22="",'예시-총괄분'!J38="",N(K$5)=0),"",IF(AND(K$5&gt;='예시-총괄분'!H38,K$5&lt;='예시-총괄분'!I38),D22/'예시-총괄분'!J38,""))</f>
        <v/>
      </c>
      <c r="L22" s="41">
        <f>IF(OR(D22="",'예시-총괄분'!J38="",N(L$5)=0),"",IF(AND(L$5&gt;='예시-총괄분'!H38,L$5&lt;='예시-총괄분'!I38),D22/'예시-총괄분'!J38,""))</f>
        <v/>
      </c>
      <c r="M22" s="41">
        <f>IF(OR(D22="",'예시-총괄분'!J38="",N(M$5)=0),"",IF(AND(M$5&gt;='예시-총괄분'!H38,M$5&lt;='예시-총괄분'!I38),D22/'예시-총괄분'!J38,""))</f>
        <v/>
      </c>
      <c r="N22" s="41">
        <f>IF(OR(D22="",'예시-총괄분'!J38="",N(N$5)=0),"",IF(AND(N$5&gt;='예시-총괄분'!H38,N$5&lt;='예시-총괄분'!I38),D22/'예시-총괄분'!J38,""))</f>
        <v/>
      </c>
      <c r="O22" s="41">
        <f>IF(OR(D22="",'예시-총괄분'!J38="",N(O$5)=0),"",IF(AND(O$5&gt;='예시-총괄분'!H38,O$5&lt;='예시-총괄분'!I38),D22/'예시-총괄분'!J38,""))</f>
        <v/>
      </c>
      <c r="P22" s="41">
        <f>IF(OR(D22="",'예시-총괄분'!J38="",N(P$5)=0),"",IF(AND(P$5&gt;='예시-총괄분'!H38,P$5&lt;='예시-총괄분'!I38),D22/'예시-총괄분'!J38,""))</f>
        <v/>
      </c>
      <c r="Q22" s="41">
        <f>IF(OR(D22="",'예시-총괄분'!J38="",N(Q$5)=0),"",IF(AND(Q$5&gt;='예시-총괄분'!H38,Q$5&lt;='예시-총괄분'!I38),D22/'예시-총괄분'!J38,""))</f>
        <v/>
      </c>
      <c r="R22" s="41">
        <f>IF(OR(D22="",'예시-총괄분'!J38="",N(R$5)=0),"",IF(AND(R$5&gt;='예시-총괄분'!H38,R$5&lt;='예시-총괄분'!I38),D22/'예시-총괄분'!J38,""))</f>
        <v/>
      </c>
      <c r="S22" s="41">
        <f>IF(OR(D22="",'예시-총괄분'!J38="",N(S$5)=0),"",IF(AND(S$5&gt;='예시-총괄분'!H38,S$5&lt;='예시-총괄분'!I38),D22/'예시-총괄분'!J38,""))</f>
        <v/>
      </c>
      <c r="T22" s="41">
        <f>IF(OR(D22="",'예시-총괄분'!J38="",N(T$5)=0),"",IF(AND(T$5&gt;='예시-총괄분'!H38,T$5&lt;='예시-총괄분'!I38),D22/'예시-총괄분'!J38,""))</f>
        <v/>
      </c>
      <c r="U22" s="41">
        <f>IF(OR(D22="",'예시-총괄분'!J38="",N(U$5)=0),"",IF(AND(U$5&gt;='예시-총괄분'!H38,U$5&lt;='예시-총괄분'!I38),D22/'예시-총괄분'!J38,""))</f>
        <v/>
      </c>
      <c r="V22" s="41">
        <f>IF(OR(D22="",'예시-총괄분'!J38="",N(V$5)=0),"",IF(AND(V$5&gt;='예시-총괄분'!H38,V$5&lt;='예시-총괄분'!I38),D22/'예시-총괄분'!J38,""))</f>
        <v/>
      </c>
      <c r="W22" s="41">
        <f>IF(OR(D22="",'예시-총괄분'!J38="",N(W$5)=0),"",IF(AND(W$5&gt;='예시-총괄분'!H38,W$5&lt;='예시-총괄분'!I38),D22/'예시-총괄분'!J38,""))</f>
        <v/>
      </c>
      <c r="X22" s="41">
        <f>IF(OR(D22="",'예시-총괄분'!J38="",N(X$5)=0),"",IF(AND(X$5&gt;='예시-총괄분'!H38,X$5&lt;='예시-총괄분'!I38),D22/'예시-총괄분'!J38,""))</f>
        <v/>
      </c>
      <c r="Y22" s="41">
        <f>IF(OR(D22="",'예시-총괄분'!J38="",N(Y$5)=0),"",IF(AND(Y$5&gt;='예시-총괄분'!H38,Y$5&lt;='예시-총괄분'!I38),D22/'예시-총괄분'!J38,""))</f>
        <v/>
      </c>
      <c r="Z22" s="41">
        <f>IF(OR(D22="",'예시-총괄분'!J38="",N(Z$5)=0),"",IF(AND(Z$5&gt;='예시-총괄분'!H38,Z$5&lt;='예시-총괄분'!I38),D22/'예시-총괄분'!J38,""))</f>
        <v/>
      </c>
      <c r="AA22" s="41">
        <f>IF(OR(D22="",'예시-총괄분'!J38="",N(AA$5)=0),"",IF(AND(AA$5&gt;='예시-총괄분'!H38,AA$5&lt;='예시-총괄분'!I38),D22/'예시-총괄분'!J38,""))</f>
        <v/>
      </c>
      <c r="AB22" s="41">
        <f>IF(OR(D22="",'예시-총괄분'!J38="",N(AB$5)=0),"",IF(AND(AB$5&gt;='예시-총괄분'!H38,AB$5&lt;='예시-총괄분'!I38),D22/'예시-총괄분'!J38,""))</f>
        <v/>
      </c>
      <c r="AC22" s="41">
        <f>IF(OR(D22="",'예시-총괄분'!J38="",N(AC$5)=0),"",IF(AND(AC$5&gt;='예시-총괄분'!H38,AC$5&lt;='예시-총괄분'!I38),D22/'예시-총괄분'!J38,""))</f>
        <v/>
      </c>
      <c r="AD22" s="41">
        <f>IF(OR(D22="",'예시-총괄분'!J38="",N(AD$5)=0),"",IF(AND(AD$5&gt;='예시-총괄분'!H38,AD$5&lt;='예시-총괄분'!I38),D22/'예시-총괄분'!J38,""))</f>
        <v/>
      </c>
      <c r="AE22" s="41">
        <f>IF(OR(D22="",'예시-총괄분'!J38="",N(AE$5)=0),"",IF(AND(AE$5&gt;='예시-총괄분'!H38,AE$5&lt;='예시-총괄분'!I38),D22/'예시-총괄분'!J38,""))</f>
        <v/>
      </c>
      <c r="AF22" s="41">
        <f>IF(OR(D22="",'예시-총괄분'!J38="",N(AF$5)=0),"",IF(AND(AF$5&gt;='예시-총괄분'!H38,AF$5&lt;='예시-총괄분'!I38),D22/'예시-총괄분'!J38,""))</f>
        <v/>
      </c>
      <c r="AG22" s="41">
        <f>IF(OR(D22="",'예시-총괄분'!J38="",N(AG$5)=0),"",IF(AND(AG$5&gt;='예시-총괄분'!H38,AG$5&lt;='예시-총괄분'!I38),D22/'예시-총괄분'!J38,""))</f>
        <v/>
      </c>
      <c r="AH22" s="41">
        <f>IF(OR(D22="",'예시-총괄분'!J38="",N(AH$5)=0),"",IF(AND(AH$5&gt;='예시-총괄분'!H38,AH$5&lt;='예시-총괄분'!I38),D22/'예시-총괄분'!J38,""))</f>
        <v/>
      </c>
      <c r="AI22" s="41">
        <f>IF(OR(D22="",'예시-총괄분'!J38="",N(AI$5)=0),"",IF(AND(AI$5&gt;='예시-총괄분'!H38,AI$5&lt;='예시-총괄분'!I38),D22/'예시-총괄분'!J38,""))</f>
        <v/>
      </c>
      <c r="AJ22" s="41">
        <f>IF(OR(D22="",'예시-총괄분'!J38="",N(AJ$5)=0),"",IF(AND(AJ$5&gt;='예시-총괄분'!H38,AJ$5&lt;='예시-총괄분'!I38),D22/'예시-총괄분'!J38,""))</f>
        <v/>
      </c>
      <c r="AK22" s="40">
        <f>IF(D22="","",SUM(F22:AJ22))</f>
        <v/>
      </c>
      <c r="AL22" s="40">
        <f>IF(D22="","",E22+AK22)</f>
        <v/>
      </c>
    </row>
    <row r="23" ht="15" customHeight="1">
      <c r="A23" s="38">
        <f>IF('예시-총괄분'!A40="","",'예시-총괄분'!A40)</f>
        <v/>
      </c>
      <c r="B23" s="38">
        <f>IF('예시-총괄분'!B40="","",'예시-총괄분'!B40)</f>
        <v/>
      </c>
      <c r="C23" s="39">
        <f>IF('예시-총괄분'!C40="","",'예시-총괄분'!C40)</f>
        <v/>
      </c>
      <c r="D23" s="23">
        <f>IF('예시-총괄분'!E40="","",'예시-총괄분'!E40)</f>
        <v/>
      </c>
      <c r="E23" s="40">
        <f>IF(OR(D23="",'예시-총괄분'!J40="",N(U3)=0),"",MAX(0,MIN('예시-총괄분'!I40,U3-1)-'예시-총괄분'!H40+1)/'예시-총괄분'!J40*D23)</f>
        <v/>
      </c>
      <c r="F23" s="41">
        <f>IF(OR(D23="",'예시-총괄분'!J40="",N(F$5)=0),"",IF(AND(F$5&gt;='예시-총괄분'!H40,F$5&lt;='예시-총괄분'!I40),D23/'예시-총괄분'!J40,""))</f>
        <v/>
      </c>
      <c r="G23" s="41">
        <f>IF(OR(D23="",'예시-총괄분'!J40="",N(G$5)=0),"",IF(AND(G$5&gt;='예시-총괄분'!H40,G$5&lt;='예시-총괄분'!I40),D23/'예시-총괄분'!J40,""))</f>
        <v/>
      </c>
      <c r="H23" s="41">
        <f>IF(OR(D23="",'예시-총괄분'!J40="",N(H$5)=0),"",IF(AND(H$5&gt;='예시-총괄분'!H40,H$5&lt;='예시-총괄분'!I40),D23/'예시-총괄분'!J40,""))</f>
        <v/>
      </c>
      <c r="I23" s="41">
        <f>IF(OR(D23="",'예시-총괄분'!J40="",N(I$5)=0),"",IF(AND(I$5&gt;='예시-총괄분'!H40,I$5&lt;='예시-총괄분'!I40),D23/'예시-총괄분'!J40,""))</f>
        <v/>
      </c>
      <c r="J23" s="41">
        <f>IF(OR(D23="",'예시-총괄분'!J40="",N(J$5)=0),"",IF(AND(J$5&gt;='예시-총괄분'!H40,J$5&lt;='예시-총괄분'!I40),D23/'예시-총괄분'!J40,""))</f>
        <v/>
      </c>
      <c r="K23" s="41">
        <f>IF(OR(D23="",'예시-총괄분'!J40="",N(K$5)=0),"",IF(AND(K$5&gt;='예시-총괄분'!H40,K$5&lt;='예시-총괄분'!I40),D23/'예시-총괄분'!J40,""))</f>
        <v/>
      </c>
      <c r="L23" s="41">
        <f>IF(OR(D23="",'예시-총괄분'!J40="",N(L$5)=0),"",IF(AND(L$5&gt;='예시-총괄분'!H40,L$5&lt;='예시-총괄분'!I40),D23/'예시-총괄분'!J40,""))</f>
        <v/>
      </c>
      <c r="M23" s="41">
        <f>IF(OR(D23="",'예시-총괄분'!J40="",N(M$5)=0),"",IF(AND(M$5&gt;='예시-총괄분'!H40,M$5&lt;='예시-총괄분'!I40),D23/'예시-총괄분'!J40,""))</f>
        <v/>
      </c>
      <c r="N23" s="41">
        <f>IF(OR(D23="",'예시-총괄분'!J40="",N(N$5)=0),"",IF(AND(N$5&gt;='예시-총괄분'!H40,N$5&lt;='예시-총괄분'!I40),D23/'예시-총괄분'!J40,""))</f>
        <v/>
      </c>
      <c r="O23" s="41">
        <f>IF(OR(D23="",'예시-총괄분'!J40="",N(O$5)=0),"",IF(AND(O$5&gt;='예시-총괄분'!H40,O$5&lt;='예시-총괄분'!I40),D23/'예시-총괄분'!J40,""))</f>
        <v/>
      </c>
      <c r="P23" s="41">
        <f>IF(OR(D23="",'예시-총괄분'!J40="",N(P$5)=0),"",IF(AND(P$5&gt;='예시-총괄분'!H40,P$5&lt;='예시-총괄분'!I40),D23/'예시-총괄분'!J40,""))</f>
        <v/>
      </c>
      <c r="Q23" s="41">
        <f>IF(OR(D23="",'예시-총괄분'!J40="",N(Q$5)=0),"",IF(AND(Q$5&gt;='예시-총괄분'!H40,Q$5&lt;='예시-총괄분'!I40),D23/'예시-총괄분'!J40,""))</f>
        <v/>
      </c>
      <c r="R23" s="41">
        <f>IF(OR(D23="",'예시-총괄분'!J40="",N(R$5)=0),"",IF(AND(R$5&gt;='예시-총괄분'!H40,R$5&lt;='예시-총괄분'!I40),D23/'예시-총괄분'!J40,""))</f>
        <v/>
      </c>
      <c r="S23" s="41">
        <f>IF(OR(D23="",'예시-총괄분'!J40="",N(S$5)=0),"",IF(AND(S$5&gt;='예시-총괄분'!H40,S$5&lt;='예시-총괄분'!I40),D23/'예시-총괄분'!J40,""))</f>
        <v/>
      </c>
      <c r="T23" s="41">
        <f>IF(OR(D23="",'예시-총괄분'!J40="",N(T$5)=0),"",IF(AND(T$5&gt;='예시-총괄분'!H40,T$5&lt;='예시-총괄분'!I40),D23/'예시-총괄분'!J40,""))</f>
        <v/>
      </c>
      <c r="U23" s="41">
        <f>IF(OR(D23="",'예시-총괄분'!J40="",N(U$5)=0),"",IF(AND(U$5&gt;='예시-총괄분'!H40,U$5&lt;='예시-총괄분'!I40),D23/'예시-총괄분'!J40,""))</f>
        <v/>
      </c>
      <c r="V23" s="41">
        <f>IF(OR(D23="",'예시-총괄분'!J40="",N(V$5)=0),"",IF(AND(V$5&gt;='예시-총괄분'!H40,V$5&lt;='예시-총괄분'!I40),D23/'예시-총괄분'!J40,""))</f>
        <v/>
      </c>
      <c r="W23" s="41">
        <f>IF(OR(D23="",'예시-총괄분'!J40="",N(W$5)=0),"",IF(AND(W$5&gt;='예시-총괄분'!H40,W$5&lt;='예시-총괄분'!I40),D23/'예시-총괄분'!J40,""))</f>
        <v/>
      </c>
      <c r="X23" s="41">
        <f>IF(OR(D23="",'예시-총괄분'!J40="",N(X$5)=0),"",IF(AND(X$5&gt;='예시-총괄분'!H40,X$5&lt;='예시-총괄분'!I40),D23/'예시-총괄분'!J40,""))</f>
        <v/>
      </c>
      <c r="Y23" s="41">
        <f>IF(OR(D23="",'예시-총괄분'!J40="",N(Y$5)=0),"",IF(AND(Y$5&gt;='예시-총괄분'!H40,Y$5&lt;='예시-총괄분'!I40),D23/'예시-총괄분'!J40,""))</f>
        <v/>
      </c>
      <c r="Z23" s="41">
        <f>IF(OR(D23="",'예시-총괄분'!J40="",N(Z$5)=0),"",IF(AND(Z$5&gt;='예시-총괄분'!H40,Z$5&lt;='예시-총괄분'!I40),D23/'예시-총괄분'!J40,""))</f>
        <v/>
      </c>
      <c r="AA23" s="41">
        <f>IF(OR(D23="",'예시-총괄분'!J40="",N(AA$5)=0),"",IF(AND(AA$5&gt;='예시-총괄분'!H40,AA$5&lt;='예시-총괄분'!I40),D23/'예시-총괄분'!J40,""))</f>
        <v/>
      </c>
      <c r="AB23" s="41">
        <f>IF(OR(D23="",'예시-총괄분'!J40="",N(AB$5)=0),"",IF(AND(AB$5&gt;='예시-총괄분'!H40,AB$5&lt;='예시-총괄분'!I40),D23/'예시-총괄분'!J40,""))</f>
        <v/>
      </c>
      <c r="AC23" s="41">
        <f>IF(OR(D23="",'예시-총괄분'!J40="",N(AC$5)=0),"",IF(AND(AC$5&gt;='예시-총괄분'!H40,AC$5&lt;='예시-총괄분'!I40),D23/'예시-총괄분'!J40,""))</f>
        <v/>
      </c>
      <c r="AD23" s="41">
        <f>IF(OR(D23="",'예시-총괄분'!J40="",N(AD$5)=0),"",IF(AND(AD$5&gt;='예시-총괄분'!H40,AD$5&lt;='예시-총괄분'!I40),D23/'예시-총괄분'!J40,""))</f>
        <v/>
      </c>
      <c r="AE23" s="41">
        <f>IF(OR(D23="",'예시-총괄분'!J40="",N(AE$5)=0),"",IF(AND(AE$5&gt;='예시-총괄분'!H40,AE$5&lt;='예시-총괄분'!I40),D23/'예시-총괄분'!J40,""))</f>
        <v/>
      </c>
      <c r="AF23" s="41">
        <f>IF(OR(D23="",'예시-총괄분'!J40="",N(AF$5)=0),"",IF(AND(AF$5&gt;='예시-총괄분'!H40,AF$5&lt;='예시-총괄분'!I40),D23/'예시-총괄분'!J40,""))</f>
        <v/>
      </c>
      <c r="AG23" s="41">
        <f>IF(OR(D23="",'예시-총괄분'!J40="",N(AG$5)=0),"",IF(AND(AG$5&gt;='예시-총괄분'!H40,AG$5&lt;='예시-총괄분'!I40),D23/'예시-총괄분'!J40,""))</f>
        <v/>
      </c>
      <c r="AH23" s="41">
        <f>IF(OR(D23="",'예시-총괄분'!J40="",N(AH$5)=0),"",IF(AND(AH$5&gt;='예시-총괄분'!H40,AH$5&lt;='예시-총괄분'!I40),D23/'예시-총괄분'!J40,""))</f>
        <v/>
      </c>
      <c r="AI23" s="41">
        <f>IF(OR(D23="",'예시-총괄분'!J40="",N(AI$5)=0),"",IF(AND(AI$5&gt;='예시-총괄분'!H40,AI$5&lt;='예시-총괄분'!I40),D23/'예시-총괄분'!J40,""))</f>
        <v/>
      </c>
      <c r="AJ23" s="41">
        <f>IF(OR(D23="",'예시-총괄분'!J40="",N(AJ$5)=0),"",IF(AND(AJ$5&gt;='예시-총괄분'!H40,AJ$5&lt;='예시-총괄분'!I40),D23/'예시-총괄분'!J40,""))</f>
        <v/>
      </c>
      <c r="AK23" s="40">
        <f>IF(D23="","",SUM(F23:AJ23))</f>
        <v/>
      </c>
      <c r="AL23" s="40">
        <f>IF(D23="","",E23+AK23)</f>
        <v/>
      </c>
    </row>
    <row r="24" ht="15" customHeight="1">
      <c r="A24" s="38">
        <f>IF('예시-총괄분'!A42="","",'예시-총괄분'!A42)</f>
        <v/>
      </c>
      <c r="B24" s="38">
        <f>IF('예시-총괄분'!B42="","",'예시-총괄분'!B42)</f>
        <v/>
      </c>
      <c r="C24" s="39">
        <f>IF('예시-총괄분'!C42="","",'예시-총괄분'!C42)</f>
        <v/>
      </c>
      <c r="D24" s="23">
        <f>IF('예시-총괄분'!E42="","",'예시-총괄분'!E42)</f>
        <v/>
      </c>
      <c r="E24" s="40">
        <f>IF(OR(D24="",'예시-총괄분'!J42="",N(U3)=0),"",MAX(0,MIN('예시-총괄분'!I42,U3-1)-'예시-총괄분'!H42+1)/'예시-총괄분'!J42*D24)</f>
        <v/>
      </c>
      <c r="F24" s="41">
        <f>IF(OR(D24="",'예시-총괄분'!J42="",N(F$5)=0),"",IF(AND(F$5&gt;='예시-총괄분'!H42,F$5&lt;='예시-총괄분'!I42),D24/'예시-총괄분'!J42,""))</f>
        <v/>
      </c>
      <c r="G24" s="41">
        <f>IF(OR(D24="",'예시-총괄분'!J42="",N(G$5)=0),"",IF(AND(G$5&gt;='예시-총괄분'!H42,G$5&lt;='예시-총괄분'!I42),D24/'예시-총괄분'!J42,""))</f>
        <v/>
      </c>
      <c r="H24" s="41">
        <f>IF(OR(D24="",'예시-총괄분'!J42="",N(H$5)=0),"",IF(AND(H$5&gt;='예시-총괄분'!H42,H$5&lt;='예시-총괄분'!I42),D24/'예시-총괄분'!J42,""))</f>
        <v/>
      </c>
      <c r="I24" s="41">
        <f>IF(OR(D24="",'예시-총괄분'!J42="",N(I$5)=0),"",IF(AND(I$5&gt;='예시-총괄분'!H42,I$5&lt;='예시-총괄분'!I42),D24/'예시-총괄분'!J42,""))</f>
        <v/>
      </c>
      <c r="J24" s="41">
        <f>IF(OR(D24="",'예시-총괄분'!J42="",N(J$5)=0),"",IF(AND(J$5&gt;='예시-총괄분'!H42,J$5&lt;='예시-총괄분'!I42),D24/'예시-총괄분'!J42,""))</f>
        <v/>
      </c>
      <c r="K24" s="41">
        <f>IF(OR(D24="",'예시-총괄분'!J42="",N(K$5)=0),"",IF(AND(K$5&gt;='예시-총괄분'!H42,K$5&lt;='예시-총괄분'!I42),D24/'예시-총괄분'!J42,""))</f>
        <v/>
      </c>
      <c r="L24" s="41">
        <f>IF(OR(D24="",'예시-총괄분'!J42="",N(L$5)=0),"",IF(AND(L$5&gt;='예시-총괄분'!H42,L$5&lt;='예시-총괄분'!I42),D24/'예시-총괄분'!J42,""))</f>
        <v/>
      </c>
      <c r="M24" s="41">
        <f>IF(OR(D24="",'예시-총괄분'!J42="",N(M$5)=0),"",IF(AND(M$5&gt;='예시-총괄분'!H42,M$5&lt;='예시-총괄분'!I42),D24/'예시-총괄분'!J42,""))</f>
        <v/>
      </c>
      <c r="N24" s="41">
        <f>IF(OR(D24="",'예시-총괄분'!J42="",N(N$5)=0),"",IF(AND(N$5&gt;='예시-총괄분'!H42,N$5&lt;='예시-총괄분'!I42),D24/'예시-총괄분'!J42,""))</f>
        <v/>
      </c>
      <c r="O24" s="41">
        <f>IF(OR(D24="",'예시-총괄분'!J42="",N(O$5)=0),"",IF(AND(O$5&gt;='예시-총괄분'!H42,O$5&lt;='예시-총괄분'!I42),D24/'예시-총괄분'!J42,""))</f>
        <v/>
      </c>
      <c r="P24" s="41">
        <f>IF(OR(D24="",'예시-총괄분'!J42="",N(P$5)=0),"",IF(AND(P$5&gt;='예시-총괄분'!H42,P$5&lt;='예시-총괄분'!I42),D24/'예시-총괄분'!J42,""))</f>
        <v/>
      </c>
      <c r="Q24" s="41">
        <f>IF(OR(D24="",'예시-총괄분'!J42="",N(Q$5)=0),"",IF(AND(Q$5&gt;='예시-총괄분'!H42,Q$5&lt;='예시-총괄분'!I42),D24/'예시-총괄분'!J42,""))</f>
        <v/>
      </c>
      <c r="R24" s="41">
        <f>IF(OR(D24="",'예시-총괄분'!J42="",N(R$5)=0),"",IF(AND(R$5&gt;='예시-총괄분'!H42,R$5&lt;='예시-총괄분'!I42),D24/'예시-총괄분'!J42,""))</f>
        <v/>
      </c>
      <c r="S24" s="41">
        <f>IF(OR(D24="",'예시-총괄분'!J42="",N(S$5)=0),"",IF(AND(S$5&gt;='예시-총괄분'!H42,S$5&lt;='예시-총괄분'!I42),D24/'예시-총괄분'!J42,""))</f>
        <v/>
      </c>
      <c r="T24" s="41">
        <f>IF(OR(D24="",'예시-총괄분'!J42="",N(T$5)=0),"",IF(AND(T$5&gt;='예시-총괄분'!H42,T$5&lt;='예시-총괄분'!I42),D24/'예시-총괄분'!J42,""))</f>
        <v/>
      </c>
      <c r="U24" s="41">
        <f>IF(OR(D24="",'예시-총괄분'!J42="",N(U$5)=0),"",IF(AND(U$5&gt;='예시-총괄분'!H42,U$5&lt;='예시-총괄분'!I42),D24/'예시-총괄분'!J42,""))</f>
        <v/>
      </c>
      <c r="V24" s="41">
        <f>IF(OR(D24="",'예시-총괄분'!J42="",N(V$5)=0),"",IF(AND(V$5&gt;='예시-총괄분'!H42,V$5&lt;='예시-총괄분'!I42),D24/'예시-총괄분'!J42,""))</f>
        <v/>
      </c>
      <c r="W24" s="41">
        <f>IF(OR(D24="",'예시-총괄분'!J42="",N(W$5)=0),"",IF(AND(W$5&gt;='예시-총괄분'!H42,W$5&lt;='예시-총괄분'!I42),D24/'예시-총괄분'!J42,""))</f>
        <v/>
      </c>
      <c r="X24" s="41">
        <f>IF(OR(D24="",'예시-총괄분'!J42="",N(X$5)=0),"",IF(AND(X$5&gt;='예시-총괄분'!H42,X$5&lt;='예시-총괄분'!I42),D24/'예시-총괄분'!J42,""))</f>
        <v/>
      </c>
      <c r="Y24" s="41">
        <f>IF(OR(D24="",'예시-총괄분'!J42="",N(Y$5)=0),"",IF(AND(Y$5&gt;='예시-총괄분'!H42,Y$5&lt;='예시-총괄분'!I42),D24/'예시-총괄분'!J42,""))</f>
        <v/>
      </c>
      <c r="Z24" s="41">
        <f>IF(OR(D24="",'예시-총괄분'!J42="",N(Z$5)=0),"",IF(AND(Z$5&gt;='예시-총괄분'!H42,Z$5&lt;='예시-총괄분'!I42),D24/'예시-총괄분'!J42,""))</f>
        <v/>
      </c>
      <c r="AA24" s="41">
        <f>IF(OR(D24="",'예시-총괄분'!J42="",N(AA$5)=0),"",IF(AND(AA$5&gt;='예시-총괄분'!H42,AA$5&lt;='예시-총괄분'!I42),D24/'예시-총괄분'!J42,""))</f>
        <v/>
      </c>
      <c r="AB24" s="41">
        <f>IF(OR(D24="",'예시-총괄분'!J42="",N(AB$5)=0),"",IF(AND(AB$5&gt;='예시-총괄분'!H42,AB$5&lt;='예시-총괄분'!I42),D24/'예시-총괄분'!J42,""))</f>
        <v/>
      </c>
      <c r="AC24" s="41">
        <f>IF(OR(D24="",'예시-총괄분'!J42="",N(AC$5)=0),"",IF(AND(AC$5&gt;='예시-총괄분'!H42,AC$5&lt;='예시-총괄분'!I42),D24/'예시-총괄분'!J42,""))</f>
        <v/>
      </c>
      <c r="AD24" s="41">
        <f>IF(OR(D24="",'예시-총괄분'!J42="",N(AD$5)=0),"",IF(AND(AD$5&gt;='예시-총괄분'!H42,AD$5&lt;='예시-총괄분'!I42),D24/'예시-총괄분'!J42,""))</f>
        <v/>
      </c>
      <c r="AE24" s="41">
        <f>IF(OR(D24="",'예시-총괄분'!J42="",N(AE$5)=0),"",IF(AND(AE$5&gt;='예시-총괄분'!H42,AE$5&lt;='예시-총괄분'!I42),D24/'예시-총괄분'!J42,""))</f>
        <v/>
      </c>
      <c r="AF24" s="41">
        <f>IF(OR(D24="",'예시-총괄분'!J42="",N(AF$5)=0),"",IF(AND(AF$5&gt;='예시-총괄분'!H42,AF$5&lt;='예시-총괄분'!I42),D24/'예시-총괄분'!J42,""))</f>
        <v/>
      </c>
      <c r="AG24" s="41">
        <f>IF(OR(D24="",'예시-총괄분'!J42="",N(AG$5)=0),"",IF(AND(AG$5&gt;='예시-총괄분'!H42,AG$5&lt;='예시-총괄분'!I42),D24/'예시-총괄분'!J42,""))</f>
        <v/>
      </c>
      <c r="AH24" s="41">
        <f>IF(OR(D24="",'예시-총괄분'!J42="",N(AH$5)=0),"",IF(AND(AH$5&gt;='예시-총괄분'!H42,AH$5&lt;='예시-총괄분'!I42),D24/'예시-총괄분'!J42,""))</f>
        <v/>
      </c>
      <c r="AI24" s="41">
        <f>IF(OR(D24="",'예시-총괄분'!J42="",N(AI$5)=0),"",IF(AND(AI$5&gt;='예시-총괄분'!H42,AI$5&lt;='예시-총괄분'!I42),D24/'예시-총괄분'!J42,""))</f>
        <v/>
      </c>
      <c r="AJ24" s="41">
        <f>IF(OR(D24="",'예시-총괄분'!J42="",N(AJ$5)=0),"",IF(AND(AJ$5&gt;='예시-총괄분'!H42,AJ$5&lt;='예시-총괄분'!I42),D24/'예시-총괄분'!J42,""))</f>
        <v/>
      </c>
      <c r="AK24" s="40">
        <f>IF(D24="","",SUM(F24:AJ24))</f>
        <v/>
      </c>
      <c r="AL24" s="40">
        <f>IF(D24="","",E24+AK24)</f>
        <v/>
      </c>
    </row>
    <row r="25" ht="15" customHeight="1">
      <c r="A25" s="38">
        <f>IF('예시-총괄분'!A44="","",'예시-총괄분'!A44)</f>
        <v/>
      </c>
      <c r="B25" s="38">
        <f>IF('예시-총괄분'!B44="","",'예시-총괄분'!B44)</f>
        <v/>
      </c>
      <c r="C25" s="39">
        <f>IF('예시-총괄분'!C44="","",'예시-총괄분'!C44)</f>
        <v/>
      </c>
      <c r="D25" s="23">
        <f>IF('예시-총괄분'!E44="","",'예시-총괄분'!E44)</f>
        <v/>
      </c>
      <c r="E25" s="40">
        <f>IF(OR(D25="",'예시-총괄분'!J44="",N(U3)=0),"",MAX(0,MIN('예시-총괄분'!I44,U3-1)-'예시-총괄분'!H44+1)/'예시-총괄분'!J44*D25)</f>
        <v/>
      </c>
      <c r="F25" s="41">
        <f>IF(OR(D25="",'예시-총괄분'!J44="",N(F$5)=0),"",IF(AND(F$5&gt;='예시-총괄분'!H44,F$5&lt;='예시-총괄분'!I44),D25/'예시-총괄분'!J44,""))</f>
        <v/>
      </c>
      <c r="G25" s="41">
        <f>IF(OR(D25="",'예시-총괄분'!J44="",N(G$5)=0),"",IF(AND(G$5&gt;='예시-총괄분'!H44,G$5&lt;='예시-총괄분'!I44),D25/'예시-총괄분'!J44,""))</f>
        <v/>
      </c>
      <c r="H25" s="41">
        <f>IF(OR(D25="",'예시-총괄분'!J44="",N(H$5)=0),"",IF(AND(H$5&gt;='예시-총괄분'!H44,H$5&lt;='예시-총괄분'!I44),D25/'예시-총괄분'!J44,""))</f>
        <v/>
      </c>
      <c r="I25" s="41">
        <f>IF(OR(D25="",'예시-총괄분'!J44="",N(I$5)=0),"",IF(AND(I$5&gt;='예시-총괄분'!H44,I$5&lt;='예시-총괄분'!I44),D25/'예시-총괄분'!J44,""))</f>
        <v/>
      </c>
      <c r="J25" s="41">
        <f>IF(OR(D25="",'예시-총괄분'!J44="",N(J$5)=0),"",IF(AND(J$5&gt;='예시-총괄분'!H44,J$5&lt;='예시-총괄분'!I44),D25/'예시-총괄분'!J44,""))</f>
        <v/>
      </c>
      <c r="K25" s="41">
        <f>IF(OR(D25="",'예시-총괄분'!J44="",N(K$5)=0),"",IF(AND(K$5&gt;='예시-총괄분'!H44,K$5&lt;='예시-총괄분'!I44),D25/'예시-총괄분'!J44,""))</f>
        <v/>
      </c>
      <c r="L25" s="41">
        <f>IF(OR(D25="",'예시-총괄분'!J44="",N(L$5)=0),"",IF(AND(L$5&gt;='예시-총괄분'!H44,L$5&lt;='예시-총괄분'!I44),D25/'예시-총괄분'!J44,""))</f>
        <v/>
      </c>
      <c r="M25" s="41">
        <f>IF(OR(D25="",'예시-총괄분'!J44="",N(M$5)=0),"",IF(AND(M$5&gt;='예시-총괄분'!H44,M$5&lt;='예시-총괄분'!I44),D25/'예시-총괄분'!J44,""))</f>
        <v/>
      </c>
      <c r="N25" s="41">
        <f>IF(OR(D25="",'예시-총괄분'!J44="",N(N$5)=0),"",IF(AND(N$5&gt;='예시-총괄분'!H44,N$5&lt;='예시-총괄분'!I44),D25/'예시-총괄분'!J44,""))</f>
        <v/>
      </c>
      <c r="O25" s="41">
        <f>IF(OR(D25="",'예시-총괄분'!J44="",N(O$5)=0),"",IF(AND(O$5&gt;='예시-총괄분'!H44,O$5&lt;='예시-총괄분'!I44),D25/'예시-총괄분'!J44,""))</f>
        <v/>
      </c>
      <c r="P25" s="41">
        <f>IF(OR(D25="",'예시-총괄분'!J44="",N(P$5)=0),"",IF(AND(P$5&gt;='예시-총괄분'!H44,P$5&lt;='예시-총괄분'!I44),D25/'예시-총괄분'!J44,""))</f>
        <v/>
      </c>
      <c r="Q25" s="41">
        <f>IF(OR(D25="",'예시-총괄분'!J44="",N(Q$5)=0),"",IF(AND(Q$5&gt;='예시-총괄분'!H44,Q$5&lt;='예시-총괄분'!I44),D25/'예시-총괄분'!J44,""))</f>
        <v/>
      </c>
      <c r="R25" s="41">
        <f>IF(OR(D25="",'예시-총괄분'!J44="",N(R$5)=0),"",IF(AND(R$5&gt;='예시-총괄분'!H44,R$5&lt;='예시-총괄분'!I44),D25/'예시-총괄분'!J44,""))</f>
        <v/>
      </c>
      <c r="S25" s="41">
        <f>IF(OR(D25="",'예시-총괄분'!J44="",N(S$5)=0),"",IF(AND(S$5&gt;='예시-총괄분'!H44,S$5&lt;='예시-총괄분'!I44),D25/'예시-총괄분'!J44,""))</f>
        <v/>
      </c>
      <c r="T25" s="41">
        <f>IF(OR(D25="",'예시-총괄분'!J44="",N(T$5)=0),"",IF(AND(T$5&gt;='예시-총괄분'!H44,T$5&lt;='예시-총괄분'!I44),D25/'예시-총괄분'!J44,""))</f>
        <v/>
      </c>
      <c r="U25" s="41">
        <f>IF(OR(D25="",'예시-총괄분'!J44="",N(U$5)=0),"",IF(AND(U$5&gt;='예시-총괄분'!H44,U$5&lt;='예시-총괄분'!I44),D25/'예시-총괄분'!J44,""))</f>
        <v/>
      </c>
      <c r="V25" s="41">
        <f>IF(OR(D25="",'예시-총괄분'!J44="",N(V$5)=0),"",IF(AND(V$5&gt;='예시-총괄분'!H44,V$5&lt;='예시-총괄분'!I44),D25/'예시-총괄분'!J44,""))</f>
        <v/>
      </c>
      <c r="W25" s="41">
        <f>IF(OR(D25="",'예시-총괄분'!J44="",N(W$5)=0),"",IF(AND(W$5&gt;='예시-총괄분'!H44,W$5&lt;='예시-총괄분'!I44),D25/'예시-총괄분'!J44,""))</f>
        <v/>
      </c>
      <c r="X25" s="41">
        <f>IF(OR(D25="",'예시-총괄분'!J44="",N(X$5)=0),"",IF(AND(X$5&gt;='예시-총괄분'!H44,X$5&lt;='예시-총괄분'!I44),D25/'예시-총괄분'!J44,""))</f>
        <v/>
      </c>
      <c r="Y25" s="41">
        <f>IF(OR(D25="",'예시-총괄분'!J44="",N(Y$5)=0),"",IF(AND(Y$5&gt;='예시-총괄분'!H44,Y$5&lt;='예시-총괄분'!I44),D25/'예시-총괄분'!J44,""))</f>
        <v/>
      </c>
      <c r="Z25" s="41">
        <f>IF(OR(D25="",'예시-총괄분'!J44="",N(Z$5)=0),"",IF(AND(Z$5&gt;='예시-총괄분'!H44,Z$5&lt;='예시-총괄분'!I44),D25/'예시-총괄분'!J44,""))</f>
        <v/>
      </c>
      <c r="AA25" s="41">
        <f>IF(OR(D25="",'예시-총괄분'!J44="",N(AA$5)=0),"",IF(AND(AA$5&gt;='예시-총괄분'!H44,AA$5&lt;='예시-총괄분'!I44),D25/'예시-총괄분'!J44,""))</f>
        <v/>
      </c>
      <c r="AB25" s="41">
        <f>IF(OR(D25="",'예시-총괄분'!J44="",N(AB$5)=0),"",IF(AND(AB$5&gt;='예시-총괄분'!H44,AB$5&lt;='예시-총괄분'!I44),D25/'예시-총괄분'!J44,""))</f>
        <v/>
      </c>
      <c r="AC25" s="41">
        <f>IF(OR(D25="",'예시-총괄분'!J44="",N(AC$5)=0),"",IF(AND(AC$5&gt;='예시-총괄분'!H44,AC$5&lt;='예시-총괄분'!I44),D25/'예시-총괄분'!J44,""))</f>
        <v/>
      </c>
      <c r="AD25" s="41">
        <f>IF(OR(D25="",'예시-총괄분'!J44="",N(AD$5)=0),"",IF(AND(AD$5&gt;='예시-총괄분'!H44,AD$5&lt;='예시-총괄분'!I44),D25/'예시-총괄분'!J44,""))</f>
        <v/>
      </c>
      <c r="AE25" s="41">
        <f>IF(OR(D25="",'예시-총괄분'!J44="",N(AE$5)=0),"",IF(AND(AE$5&gt;='예시-총괄분'!H44,AE$5&lt;='예시-총괄분'!I44),D25/'예시-총괄분'!J44,""))</f>
        <v/>
      </c>
      <c r="AF25" s="41">
        <f>IF(OR(D25="",'예시-총괄분'!J44="",N(AF$5)=0),"",IF(AND(AF$5&gt;='예시-총괄분'!H44,AF$5&lt;='예시-총괄분'!I44),D25/'예시-총괄분'!J44,""))</f>
        <v/>
      </c>
      <c r="AG25" s="41">
        <f>IF(OR(D25="",'예시-총괄분'!J44="",N(AG$5)=0),"",IF(AND(AG$5&gt;='예시-총괄분'!H44,AG$5&lt;='예시-총괄분'!I44),D25/'예시-총괄분'!J44,""))</f>
        <v/>
      </c>
      <c r="AH25" s="41">
        <f>IF(OR(D25="",'예시-총괄분'!J44="",N(AH$5)=0),"",IF(AND(AH$5&gt;='예시-총괄분'!H44,AH$5&lt;='예시-총괄분'!I44),D25/'예시-총괄분'!J44,""))</f>
        <v/>
      </c>
      <c r="AI25" s="41">
        <f>IF(OR(D25="",'예시-총괄분'!J44="",N(AI$5)=0),"",IF(AND(AI$5&gt;='예시-총괄분'!H44,AI$5&lt;='예시-총괄분'!I44),D25/'예시-총괄분'!J44,""))</f>
        <v/>
      </c>
      <c r="AJ25" s="41">
        <f>IF(OR(D25="",'예시-총괄분'!J44="",N(AJ$5)=0),"",IF(AND(AJ$5&gt;='예시-총괄분'!H44,AJ$5&lt;='예시-총괄분'!I44),D25/'예시-총괄분'!J44,""))</f>
        <v/>
      </c>
      <c r="AK25" s="40">
        <f>IF(D25="","",SUM(F25:AJ25))</f>
        <v/>
      </c>
      <c r="AL25" s="40">
        <f>IF(D25="","",E25+AK25)</f>
        <v/>
      </c>
    </row>
    <row r="26" ht="15" customHeight="1">
      <c r="A26" s="38">
        <f>IF('예시-총괄분'!A46="","",'예시-총괄분'!A46)</f>
        <v/>
      </c>
      <c r="B26" s="38">
        <f>IF('예시-총괄분'!B46="","",'예시-총괄분'!B46)</f>
        <v/>
      </c>
      <c r="C26" s="39">
        <f>IF('예시-총괄분'!C46="","",'예시-총괄분'!C46)</f>
        <v/>
      </c>
      <c r="D26" s="23">
        <f>IF('예시-총괄분'!E46="","",'예시-총괄분'!E46)</f>
        <v/>
      </c>
      <c r="E26" s="40">
        <f>IF(OR(D26="",'예시-총괄분'!J46="",N(U3)=0),"",MAX(0,MIN('예시-총괄분'!I46,U3-1)-'예시-총괄분'!H46+1)/'예시-총괄분'!J46*D26)</f>
        <v/>
      </c>
      <c r="F26" s="41">
        <f>IF(OR(D26="",'예시-총괄분'!J46="",N(F$5)=0),"",IF(AND(F$5&gt;='예시-총괄분'!H46,F$5&lt;='예시-총괄분'!I46),D26/'예시-총괄분'!J46,""))</f>
        <v/>
      </c>
      <c r="G26" s="41">
        <f>IF(OR(D26="",'예시-총괄분'!J46="",N(G$5)=0),"",IF(AND(G$5&gt;='예시-총괄분'!H46,G$5&lt;='예시-총괄분'!I46),D26/'예시-총괄분'!J46,""))</f>
        <v/>
      </c>
      <c r="H26" s="41">
        <f>IF(OR(D26="",'예시-총괄분'!J46="",N(H$5)=0),"",IF(AND(H$5&gt;='예시-총괄분'!H46,H$5&lt;='예시-총괄분'!I46),D26/'예시-총괄분'!J46,""))</f>
        <v/>
      </c>
      <c r="I26" s="41">
        <f>IF(OR(D26="",'예시-총괄분'!J46="",N(I$5)=0),"",IF(AND(I$5&gt;='예시-총괄분'!H46,I$5&lt;='예시-총괄분'!I46),D26/'예시-총괄분'!J46,""))</f>
        <v/>
      </c>
      <c r="J26" s="41">
        <f>IF(OR(D26="",'예시-총괄분'!J46="",N(J$5)=0),"",IF(AND(J$5&gt;='예시-총괄분'!H46,J$5&lt;='예시-총괄분'!I46),D26/'예시-총괄분'!J46,""))</f>
        <v/>
      </c>
      <c r="K26" s="41">
        <f>IF(OR(D26="",'예시-총괄분'!J46="",N(K$5)=0),"",IF(AND(K$5&gt;='예시-총괄분'!H46,K$5&lt;='예시-총괄분'!I46),D26/'예시-총괄분'!J46,""))</f>
        <v/>
      </c>
      <c r="L26" s="41">
        <f>IF(OR(D26="",'예시-총괄분'!J46="",N(L$5)=0),"",IF(AND(L$5&gt;='예시-총괄분'!H46,L$5&lt;='예시-총괄분'!I46),D26/'예시-총괄분'!J46,""))</f>
        <v/>
      </c>
      <c r="M26" s="41">
        <f>IF(OR(D26="",'예시-총괄분'!J46="",N(M$5)=0),"",IF(AND(M$5&gt;='예시-총괄분'!H46,M$5&lt;='예시-총괄분'!I46),D26/'예시-총괄분'!J46,""))</f>
        <v/>
      </c>
      <c r="N26" s="41">
        <f>IF(OR(D26="",'예시-총괄분'!J46="",N(N$5)=0),"",IF(AND(N$5&gt;='예시-총괄분'!H46,N$5&lt;='예시-총괄분'!I46),D26/'예시-총괄분'!J46,""))</f>
        <v/>
      </c>
      <c r="O26" s="41">
        <f>IF(OR(D26="",'예시-총괄분'!J46="",N(O$5)=0),"",IF(AND(O$5&gt;='예시-총괄분'!H46,O$5&lt;='예시-총괄분'!I46),D26/'예시-총괄분'!J46,""))</f>
        <v/>
      </c>
      <c r="P26" s="41">
        <f>IF(OR(D26="",'예시-총괄분'!J46="",N(P$5)=0),"",IF(AND(P$5&gt;='예시-총괄분'!H46,P$5&lt;='예시-총괄분'!I46),D26/'예시-총괄분'!J46,""))</f>
        <v/>
      </c>
      <c r="Q26" s="41">
        <f>IF(OR(D26="",'예시-총괄분'!J46="",N(Q$5)=0),"",IF(AND(Q$5&gt;='예시-총괄분'!H46,Q$5&lt;='예시-총괄분'!I46),D26/'예시-총괄분'!J46,""))</f>
        <v/>
      </c>
      <c r="R26" s="41">
        <f>IF(OR(D26="",'예시-총괄분'!J46="",N(R$5)=0),"",IF(AND(R$5&gt;='예시-총괄분'!H46,R$5&lt;='예시-총괄분'!I46),D26/'예시-총괄분'!J46,""))</f>
        <v/>
      </c>
      <c r="S26" s="41">
        <f>IF(OR(D26="",'예시-총괄분'!J46="",N(S$5)=0),"",IF(AND(S$5&gt;='예시-총괄분'!H46,S$5&lt;='예시-총괄분'!I46),D26/'예시-총괄분'!J46,""))</f>
        <v/>
      </c>
      <c r="T26" s="41">
        <f>IF(OR(D26="",'예시-총괄분'!J46="",N(T$5)=0),"",IF(AND(T$5&gt;='예시-총괄분'!H46,T$5&lt;='예시-총괄분'!I46),D26/'예시-총괄분'!J46,""))</f>
        <v/>
      </c>
      <c r="U26" s="41">
        <f>IF(OR(D26="",'예시-총괄분'!J46="",N(U$5)=0),"",IF(AND(U$5&gt;='예시-총괄분'!H46,U$5&lt;='예시-총괄분'!I46),D26/'예시-총괄분'!J46,""))</f>
        <v/>
      </c>
      <c r="V26" s="41">
        <f>IF(OR(D26="",'예시-총괄분'!J46="",N(V$5)=0),"",IF(AND(V$5&gt;='예시-총괄분'!H46,V$5&lt;='예시-총괄분'!I46),D26/'예시-총괄분'!J46,""))</f>
        <v/>
      </c>
      <c r="W26" s="41">
        <f>IF(OR(D26="",'예시-총괄분'!J46="",N(W$5)=0),"",IF(AND(W$5&gt;='예시-총괄분'!H46,W$5&lt;='예시-총괄분'!I46),D26/'예시-총괄분'!J46,""))</f>
        <v/>
      </c>
      <c r="X26" s="41">
        <f>IF(OR(D26="",'예시-총괄분'!J46="",N(X$5)=0),"",IF(AND(X$5&gt;='예시-총괄분'!H46,X$5&lt;='예시-총괄분'!I46),D26/'예시-총괄분'!J46,""))</f>
        <v/>
      </c>
      <c r="Y26" s="41">
        <f>IF(OR(D26="",'예시-총괄분'!J46="",N(Y$5)=0),"",IF(AND(Y$5&gt;='예시-총괄분'!H46,Y$5&lt;='예시-총괄분'!I46),D26/'예시-총괄분'!J46,""))</f>
        <v/>
      </c>
      <c r="Z26" s="41">
        <f>IF(OR(D26="",'예시-총괄분'!J46="",N(Z$5)=0),"",IF(AND(Z$5&gt;='예시-총괄분'!H46,Z$5&lt;='예시-총괄분'!I46),D26/'예시-총괄분'!J46,""))</f>
        <v/>
      </c>
      <c r="AA26" s="41">
        <f>IF(OR(D26="",'예시-총괄분'!J46="",N(AA$5)=0),"",IF(AND(AA$5&gt;='예시-총괄분'!H46,AA$5&lt;='예시-총괄분'!I46),D26/'예시-총괄분'!J46,""))</f>
        <v/>
      </c>
      <c r="AB26" s="41">
        <f>IF(OR(D26="",'예시-총괄분'!J46="",N(AB$5)=0),"",IF(AND(AB$5&gt;='예시-총괄분'!H46,AB$5&lt;='예시-총괄분'!I46),D26/'예시-총괄분'!J46,""))</f>
        <v/>
      </c>
      <c r="AC26" s="41">
        <f>IF(OR(D26="",'예시-총괄분'!J46="",N(AC$5)=0),"",IF(AND(AC$5&gt;='예시-총괄분'!H46,AC$5&lt;='예시-총괄분'!I46),D26/'예시-총괄분'!J46,""))</f>
        <v/>
      </c>
      <c r="AD26" s="41">
        <f>IF(OR(D26="",'예시-총괄분'!J46="",N(AD$5)=0),"",IF(AND(AD$5&gt;='예시-총괄분'!H46,AD$5&lt;='예시-총괄분'!I46),D26/'예시-총괄분'!J46,""))</f>
        <v/>
      </c>
      <c r="AE26" s="41">
        <f>IF(OR(D26="",'예시-총괄분'!J46="",N(AE$5)=0),"",IF(AND(AE$5&gt;='예시-총괄분'!H46,AE$5&lt;='예시-총괄분'!I46),D26/'예시-총괄분'!J46,""))</f>
        <v/>
      </c>
      <c r="AF26" s="41">
        <f>IF(OR(D26="",'예시-총괄분'!J46="",N(AF$5)=0),"",IF(AND(AF$5&gt;='예시-총괄분'!H46,AF$5&lt;='예시-총괄분'!I46),D26/'예시-총괄분'!J46,""))</f>
        <v/>
      </c>
      <c r="AG26" s="41">
        <f>IF(OR(D26="",'예시-총괄분'!J46="",N(AG$5)=0),"",IF(AND(AG$5&gt;='예시-총괄분'!H46,AG$5&lt;='예시-총괄분'!I46),D26/'예시-총괄분'!J46,""))</f>
        <v/>
      </c>
      <c r="AH26" s="41">
        <f>IF(OR(D26="",'예시-총괄분'!J46="",N(AH$5)=0),"",IF(AND(AH$5&gt;='예시-총괄분'!H46,AH$5&lt;='예시-총괄분'!I46),D26/'예시-총괄분'!J46,""))</f>
        <v/>
      </c>
      <c r="AI26" s="41">
        <f>IF(OR(D26="",'예시-총괄분'!J46="",N(AI$5)=0),"",IF(AND(AI$5&gt;='예시-총괄분'!H46,AI$5&lt;='예시-총괄분'!I46),D26/'예시-총괄분'!J46,""))</f>
        <v/>
      </c>
      <c r="AJ26" s="41">
        <f>IF(OR(D26="",'예시-총괄분'!J46="",N(AJ$5)=0),"",IF(AND(AJ$5&gt;='예시-총괄분'!H46,AJ$5&lt;='예시-총괄분'!I46),D26/'예시-총괄분'!J46,""))</f>
        <v/>
      </c>
      <c r="AK26" s="40">
        <f>IF(D26="","",SUM(F26:AJ26))</f>
        <v/>
      </c>
      <c r="AL26" s="40">
        <f>IF(D26="","",E26+AK26)</f>
        <v/>
      </c>
    </row>
    <row r="27" ht="16" customHeight="1">
      <c r="A27" s="26" t="inlineStr">
        <is>
          <t>일 별  합 계</t>
        </is>
      </c>
      <c r="B27" s="6" t="n"/>
      <c r="C27" s="6" t="n"/>
      <c r="D27" s="42">
        <f>IF(COUNT(D7:D26)=0,"",SUM(D7:D26))</f>
        <v/>
      </c>
      <c r="E27" s="42">
        <f>IF(COUNT(E7:E26)=0,"",SUM(E7:E26))</f>
        <v/>
      </c>
      <c r="F27" s="43">
        <f>IF(COUNT(F7:F26)=0,"",SUM(F7:F26))</f>
        <v/>
      </c>
      <c r="G27" s="43">
        <f>IF(COUNT(G7:G26)=0,"",SUM(G7:G26))</f>
        <v/>
      </c>
      <c r="H27" s="43">
        <f>IF(COUNT(H7:H26)=0,"",SUM(H7:H26))</f>
        <v/>
      </c>
      <c r="I27" s="43">
        <f>IF(COUNT(I7:I26)=0,"",SUM(I7:I26))</f>
        <v/>
      </c>
      <c r="J27" s="43">
        <f>IF(COUNT(J7:J26)=0,"",SUM(J7:J26))</f>
        <v/>
      </c>
      <c r="K27" s="43">
        <f>IF(COUNT(K7:K26)=0,"",SUM(K7:K26))</f>
        <v/>
      </c>
      <c r="L27" s="43">
        <f>IF(COUNT(L7:L26)=0,"",SUM(L7:L26))</f>
        <v/>
      </c>
      <c r="M27" s="43">
        <f>IF(COUNT(M7:M26)=0,"",SUM(M7:M26))</f>
        <v/>
      </c>
      <c r="N27" s="43">
        <f>IF(COUNT(N7:N26)=0,"",SUM(N7:N26))</f>
        <v/>
      </c>
      <c r="O27" s="43">
        <f>IF(COUNT(O7:O26)=0,"",SUM(O7:O26))</f>
        <v/>
      </c>
      <c r="P27" s="43">
        <f>IF(COUNT(P7:P26)=0,"",SUM(P7:P26))</f>
        <v/>
      </c>
      <c r="Q27" s="43">
        <f>IF(COUNT(Q7:Q26)=0,"",SUM(Q7:Q26))</f>
        <v/>
      </c>
      <c r="R27" s="43">
        <f>IF(COUNT(R7:R26)=0,"",SUM(R7:R26))</f>
        <v/>
      </c>
      <c r="S27" s="43">
        <f>IF(COUNT(S7:S26)=0,"",SUM(S7:S26))</f>
        <v/>
      </c>
      <c r="T27" s="43">
        <f>IF(COUNT(T7:T26)=0,"",SUM(T7:T26))</f>
        <v/>
      </c>
      <c r="U27" s="43">
        <f>IF(COUNT(U7:U26)=0,"",SUM(U7:U26))</f>
        <v/>
      </c>
      <c r="V27" s="43">
        <f>IF(COUNT(V7:V26)=0,"",SUM(V7:V26))</f>
        <v/>
      </c>
      <c r="W27" s="43">
        <f>IF(COUNT(W7:W26)=0,"",SUM(W7:W26))</f>
        <v/>
      </c>
      <c r="X27" s="43">
        <f>IF(COUNT(X7:X26)=0,"",SUM(X7:X26))</f>
        <v/>
      </c>
      <c r="Y27" s="43">
        <f>IF(COUNT(Y7:Y26)=0,"",SUM(Y7:Y26))</f>
        <v/>
      </c>
      <c r="Z27" s="43">
        <f>IF(COUNT(Z7:Z26)=0,"",SUM(Z7:Z26))</f>
        <v/>
      </c>
      <c r="AA27" s="43">
        <f>IF(COUNT(AA7:AA26)=0,"",SUM(AA7:AA26))</f>
        <v/>
      </c>
      <c r="AB27" s="43">
        <f>IF(COUNT(AB7:AB26)=0,"",SUM(AB7:AB26))</f>
        <v/>
      </c>
      <c r="AC27" s="43">
        <f>IF(COUNT(AC7:AC26)=0,"",SUM(AC7:AC26))</f>
        <v/>
      </c>
      <c r="AD27" s="43">
        <f>IF(COUNT(AD7:AD26)=0,"",SUM(AD7:AD26))</f>
        <v/>
      </c>
      <c r="AE27" s="43">
        <f>IF(COUNT(AE7:AE26)=0,"",SUM(AE7:AE26))</f>
        <v/>
      </c>
      <c r="AF27" s="43">
        <f>IF(COUNT(AF7:AF26)=0,"",SUM(AF7:AF26))</f>
        <v/>
      </c>
      <c r="AG27" s="43">
        <f>IF(COUNT(AG7:AG26)=0,"",SUM(AG7:AG26))</f>
        <v/>
      </c>
      <c r="AH27" s="43">
        <f>IF(COUNT(AH7:AH26)=0,"",SUM(AH7:AH26))</f>
        <v/>
      </c>
      <c r="AI27" s="43">
        <f>IF(COUNT(AI7:AI26)=0,"",SUM(AI7:AI26))</f>
        <v/>
      </c>
      <c r="AJ27" s="43">
        <f>IF(COUNT(AJ7:AJ26)=0,"",SUM(AJ7:AJ26))</f>
        <v/>
      </c>
      <c r="AK27" s="42">
        <f>IF(COUNT(AK7:AK26)=0,"",SUM(AK7:AK26))</f>
        <v/>
      </c>
      <c r="AL27" s="42">
        <f>IF(COUNT(AL7:AL26)=0,"",SUM(AL7:AL26))</f>
        <v/>
      </c>
    </row>
    <row r="28" ht="16" customHeight="1">
      <c r="A28" s="26" t="inlineStr">
        <is>
          <t>누   계 (%)</t>
        </is>
      </c>
      <c r="B28" s="6" t="n"/>
      <c r="C28" s="6" t="n"/>
      <c r="D28" s="6" t="n"/>
      <c r="E28" s="6" t="n"/>
      <c r="F28" s="44">
        <f>IF(F27="","",N(E27)+SUM(F27:F27))</f>
        <v/>
      </c>
      <c r="G28" s="44">
        <f>IF(G27="","",N(E27)+SUM(F27:G27))</f>
        <v/>
      </c>
      <c r="H28" s="44">
        <f>IF(H27="","",N(E27)+SUM(F27:H27))</f>
        <v/>
      </c>
      <c r="I28" s="44">
        <f>IF(I27="","",N(E27)+SUM(F27:I27))</f>
        <v/>
      </c>
      <c r="J28" s="44">
        <f>IF(J27="","",N(E27)+SUM(F27:J27))</f>
        <v/>
      </c>
      <c r="K28" s="44">
        <f>IF(K27="","",N(E27)+SUM(F27:K27))</f>
        <v/>
      </c>
      <c r="L28" s="44">
        <f>IF(L27="","",N(E27)+SUM(F27:L27))</f>
        <v/>
      </c>
      <c r="M28" s="44">
        <f>IF(M27="","",N(E27)+SUM(F27:M27))</f>
        <v/>
      </c>
      <c r="N28" s="44">
        <f>IF(N27="","",N(E27)+SUM(F27:N27))</f>
        <v/>
      </c>
      <c r="O28" s="44">
        <f>IF(O27="","",N(E27)+SUM(F27:O27))</f>
        <v/>
      </c>
      <c r="P28" s="44">
        <f>IF(P27="","",N(E27)+SUM(F27:P27))</f>
        <v/>
      </c>
      <c r="Q28" s="44">
        <f>IF(Q27="","",N(E27)+SUM(F27:Q27))</f>
        <v/>
      </c>
      <c r="R28" s="44">
        <f>IF(R27="","",N(E27)+SUM(F27:R27))</f>
        <v/>
      </c>
      <c r="S28" s="44">
        <f>IF(S27="","",N(E27)+SUM(F27:S27))</f>
        <v/>
      </c>
      <c r="T28" s="44">
        <f>IF(T27="","",N(E27)+SUM(F27:T27))</f>
        <v/>
      </c>
      <c r="U28" s="44">
        <f>IF(U27="","",N(E27)+SUM(F27:U27))</f>
        <v/>
      </c>
      <c r="V28" s="44">
        <f>IF(V27="","",N(E27)+SUM(F27:V27))</f>
        <v/>
      </c>
      <c r="W28" s="44">
        <f>IF(W27="","",N(E27)+SUM(F27:W27))</f>
        <v/>
      </c>
      <c r="X28" s="44">
        <f>IF(X27="","",N(E27)+SUM(F27:X27))</f>
        <v/>
      </c>
      <c r="Y28" s="44">
        <f>IF(Y27="","",N(E27)+SUM(F27:Y27))</f>
        <v/>
      </c>
      <c r="Z28" s="44">
        <f>IF(Z27="","",N(E27)+SUM(F27:Z27))</f>
        <v/>
      </c>
      <c r="AA28" s="44">
        <f>IF(AA27="","",N(E27)+SUM(F27:AA27))</f>
        <v/>
      </c>
      <c r="AB28" s="44">
        <f>IF(AB27="","",N(E27)+SUM(F27:AB27))</f>
        <v/>
      </c>
      <c r="AC28" s="44">
        <f>IF(AC27="","",N(E27)+SUM(F27:AC27))</f>
        <v/>
      </c>
      <c r="AD28" s="44">
        <f>IF(AD27="","",N(E27)+SUM(F27:AD27))</f>
        <v/>
      </c>
      <c r="AE28" s="44">
        <f>IF(AE27="","",N(E27)+SUM(F27:AE27))</f>
        <v/>
      </c>
      <c r="AF28" s="44">
        <f>IF(AF27="","",N(E27)+SUM(F27:AF27))</f>
        <v/>
      </c>
      <c r="AG28" s="44">
        <f>IF(AG27="","",N(E27)+SUM(F27:AG27))</f>
        <v/>
      </c>
      <c r="AH28" s="44">
        <f>IF(AH27="","",N(E27)+SUM(F27:AH27))</f>
        <v/>
      </c>
      <c r="AI28" s="44">
        <f>IF(AI27="","",N(E27)+SUM(F27:AI27))</f>
        <v/>
      </c>
      <c r="AJ28" s="44">
        <f>IF(AJ27="","",N(E27)+SUM(F27:AJ27))</f>
        <v/>
      </c>
      <c r="AK28" s="26" t="inlineStr"/>
      <c r="AL28" s="6" t="n"/>
    </row>
    <row r="30" ht="19.5" customHeight="1">
      <c r="A30" s="34" t="inlineStr">
        <is>
          <t>이 시트는 작성 예시입니다(가상의 공사).</t>
        </is>
      </c>
    </row>
  </sheetData>
  <mergeCells count="19">
    <mergeCell ref="E5:E6"/>
    <mergeCell ref="A27:C27"/>
    <mergeCell ref="AK28:AL28"/>
    <mergeCell ref="A1:Q1"/>
    <mergeCell ref="A30:AL30"/>
    <mergeCell ref="U3:Z3"/>
    <mergeCell ref="AK5:AK6"/>
    <mergeCell ref="A3:B3"/>
    <mergeCell ref="AA3:AL3"/>
    <mergeCell ref="A5:A6"/>
    <mergeCell ref="AL5:AL6"/>
    <mergeCell ref="C3:N3"/>
    <mergeCell ref="O3:T3"/>
    <mergeCell ref="B5:B6"/>
    <mergeCell ref="D5:D6"/>
    <mergeCell ref="R1:AL1"/>
    <mergeCell ref="A2:AL2"/>
    <mergeCell ref="A28:E28"/>
    <mergeCell ref="C5:C6"/>
  </mergeCells>
  <conditionalFormatting sqref="F7:AJ26">
    <cfRule type="expression" priority="1" dxfId="0">
      <formula>N(F7)&gt;0</formula>
    </cfRule>
  </conditionalFormatting>
  <conditionalFormatting sqref="F5:AJ6">
    <cfRule type="expression" priority="2" dxfId="2">
      <formula>AND(ISNUMBER(F$5),WEEKDAY(F$5)=1)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D31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</cols>
  <sheetData>
    <row r="1" ht="20" customHeight="1">
      <c r="A1" s="1" t="inlineStr">
        <is>
          <t xml:space="preserve">  K-건설맵  |  k-conmap.com  무료 건설 서식</t>
        </is>
      </c>
      <c r="P1" s="46" t="inlineStr">
        <is>
          <t xml:space="preserve">작성 예시 (가상의 현장)  </t>
        </is>
      </c>
    </row>
    <row r="2" ht="34" customHeight="1">
      <c r="A2" s="3" t="inlineStr">
        <is>
          <t>공 정 곡 선 (S-커브)</t>
        </is>
      </c>
    </row>
    <row r="3" ht="24" customHeight="1">
      <c r="A3" s="4" t="inlineStr">
        <is>
          <t>공 사 명 :</t>
        </is>
      </c>
      <c r="E3" s="45">
        <f>IF('예시-총괄분'!C3="","",'예시-총괄분'!C3)</f>
        <v/>
      </c>
    </row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1" ht="19.5" customHeight="1">
      <c r="A31" s="34" t="inlineStr">
        <is>
          <t>이 시트는 작성 예시입니다(가상의 공사).</t>
        </is>
      </c>
    </row>
  </sheetData>
  <mergeCells count="6">
    <mergeCell ref="A31:AD31"/>
    <mergeCell ref="A3:D3"/>
    <mergeCell ref="P1:AD1"/>
    <mergeCell ref="E3:AD3"/>
    <mergeCell ref="A1:O1"/>
    <mergeCell ref="A2:AD2"/>
  </mergeCells>
  <printOptions horizontalCentered="1"/>
  <pageMargins left="0.4" right="0.4" top="0.5" bottom="0.5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예정공정표</dc:title>
  <dcterms:created xmlns:dcterms="http://purl.org/dc/terms/" xmlns:xsi="http://www.w3.org/2001/XMLSchema-instance" xsi:type="dcterms:W3CDTF">2026-09-29T09:38:55Z</dcterms:created>
  <dcterms:modified xmlns:dcterms="http://purl.org/dc/terms/" xmlns:xsi="http://www.w3.org/2001/XMLSchema-instance" xsi:type="dcterms:W3CDTF">2026-09-29T09:38:56Z</dcterms:modified>
</cp:coreProperties>
</file>