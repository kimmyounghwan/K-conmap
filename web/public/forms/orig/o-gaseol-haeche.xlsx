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공정표" sheetId="3" state="visible" r:id="rId3"/>
    <sheet xmlns:r="http://schemas.openxmlformats.org/officeDocument/2006/relationships" name="수행계획" sheetId="4" state="visible" r:id="rId4"/>
    <sheet xmlns:r="http://schemas.openxmlformats.org/officeDocument/2006/relationships" name="안전환경" sheetId="5" state="visible" r:id="rId5"/>
    <sheet xmlns:r="http://schemas.openxmlformats.org/officeDocument/2006/relationships" name="예시-표지" sheetId="6" state="visible" r:id="rId6"/>
    <sheet xmlns:r="http://schemas.openxmlformats.org/officeDocument/2006/relationships" name="예시-개요" sheetId="7" state="visible" r:id="rId7"/>
    <sheet xmlns:r="http://schemas.openxmlformats.org/officeDocument/2006/relationships" name="예시-공정표" sheetId="8" state="visible" r:id="rId8"/>
    <sheet xmlns:r="http://schemas.openxmlformats.org/officeDocument/2006/relationships" name="예시-수행계획" sheetId="9" state="visible" r:id="rId9"/>
    <sheet xmlns:r="http://schemas.openxmlformats.org/officeDocument/2006/relationships" name="예시-안전환경" sheetId="10" state="visible" r:id="rId10"/>
  </sheets>
  <definedNames>
    <definedName name="_xlnm.Print_Area" localSheetId="0">'표지'!$A$1:$L$8</definedName>
    <definedName name="_xlnm.Print_Area" localSheetId="1">'개요'!$A$1:$L$65</definedName>
    <definedName name="_xlnm.Print_Area" localSheetId="2">'공정표'!$A$1:$AO$18</definedName>
    <definedName name="_xlnm.Print_Area" localSheetId="3">'수행계획'!$A$1:$L$84</definedName>
    <definedName name="_xlnm.Print_Area" localSheetId="4">'안전환경'!$A$1:$L$84</definedName>
    <definedName name="_xlnm.Print_Area" localSheetId="5">'예시-표지'!$A$1:$L$8</definedName>
    <definedName name="_xlnm.Print_Area" localSheetId="6">'예시-개요'!$A$1:$L$65</definedName>
    <definedName name="_xlnm.Print_Area" localSheetId="7">'예시-공정표'!$A$1:$AO$18</definedName>
    <definedName name="_xlnm.Print_Area" localSheetId="8">'예시-수행계획'!$A$1:$L$84</definedName>
    <definedName name="_xlnm.Print_Area" localSheetId="9">'예시-안전환경'!$A$1:$L$84</definedName>
  </definedNames>
  <calcPr calcId="124519" fullCalcOnLoad="1"/>
</workbook>
</file>

<file path=xl/styles.xml><?xml version="1.0" encoding="utf-8"?>
<styleSheet xmlns="http://schemas.openxmlformats.org/spreadsheetml/2006/main">
  <numFmts count="21">
    <numFmt numFmtId="164" formatCode="yyyy&quot;. &quot;m&quot;.&quot;"/>
    <numFmt numFmtId="165" formatCode="yyyy. m. d."/>
    <numFmt numFmtId="166" formatCode="&quot;(총 &quot;#,##0&quot;일)&quot;;;&quot;&quot;"/>
    <numFmt numFmtId="167" formatCode="&quot;GL − &quot;0.0#&quot; m&quot;;;&quot;&quot;"/>
    <numFmt numFmtId="168" formatCode="#,##0.##;;&quot;&quot;"/>
    <numFmt numFmtId="169" formatCode="#,##0;;&quot;&quot;"/>
    <numFmt numFmtId="170" formatCode="#,##0&quot;명&quot;"/>
    <numFmt numFmtId="171" formatCode="yyyy&quot;년&quot; m&quot;월&quot; d&quot;일&quot;"/>
    <numFmt numFmtId="172" formatCode="yy&quot;.&quot;m;;&quot;&quot;"/>
    <numFmt numFmtId="173" formatCode="yyyy-mm-dd"/>
    <numFmt numFmtId="174" formatCode="0.0#&quot; m&quot;;;&quot;&quot;"/>
    <numFmt numFmtId="175" formatCode="#,##0.0#"/>
    <numFmt numFmtId="176" formatCode="0.0#"/>
    <numFmt numFmtId="177" formatCode="0.00&quot; 톤&quot;"/>
    <numFmt numFmtId="178" formatCode="0.00;;&quot;&quot;"/>
    <numFmt numFmtId="179" formatCode="0.0%"/>
    <numFmt numFmtId="180" formatCode="0.00&quot; m&quot;"/>
    <numFmt numFmtId="181" formatCode="0&quot; dB(A)&quot;"/>
    <numFmt numFmtId="182" formatCode="0.0#&quot; kine&quot;"/>
    <numFmt numFmtId="183" formatCode="0.#;;&quot;&quot;"/>
    <numFmt numFmtId="184" formatCode="0.0#;;&quot;&quot;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2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color rgb="001F2937"/>
      <sz val="9.5"/>
    </font>
    <font>
      <name val="맑은 고딕"/>
      <b val="1"/>
      <color rgb="00111827"/>
      <sz val="16"/>
    </font>
    <font>
      <name val="맑은 고딕"/>
      <color rgb="001F2937"/>
      <sz val="7.5"/>
    </font>
    <font>
      <name val="맑은 고딕"/>
      <b val="1"/>
      <color rgb="001F2937"/>
      <sz val="7"/>
    </font>
    <font>
      <name val="맑은 고딕"/>
      <color rgb="001F2937"/>
      <sz val="7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color rgb="009CA3AF"/>
      <sz val="9"/>
    </font>
    <font>
      <name val="맑은 고딕"/>
      <b val="1"/>
      <color rgb="001F2937"/>
      <sz val="9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left" vertical="center" shrinkToFit="1"/>
    </xf>
    <xf numFmtId="0" fontId="14" fillId="0" borderId="1" applyAlignment="1" pivotButton="0" quotePrefix="0" xfId="0">
      <alignment horizontal="left" vertical="center" wrapText="1"/>
    </xf>
    <xf numFmtId="167" fontId="13" fillId="0" borderId="1" applyAlignment="1" pivotButton="0" quotePrefix="0" xfId="0">
      <alignment horizontal="center" vertical="center" shrinkToFit="1"/>
    </xf>
    <xf numFmtId="0" fontId="12" fillId="0" borderId="0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8" fontId="13" fillId="0" borderId="1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169" fontId="13" fillId="0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170" fontId="12" fillId="3" borderId="1" applyAlignment="1" pivotButton="0" quotePrefix="0" xfId="0">
      <alignment horizontal="center" vertical="center" shrinkToFit="1"/>
    </xf>
    <xf numFmtId="0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171" fontId="8" fillId="3" borderId="1" applyAlignment="1" pivotButton="0" quotePrefix="0" xfId="0">
      <alignment horizontal="center" vertical="center" wrapText="1"/>
    </xf>
    <xf numFmtId="172" fontId="20" fillId="4" borderId="1" applyAlignment="1" pivotButton="0" quotePrefix="0" xfId="0">
      <alignment horizontal="center" vertical="center" shrinkToFit="1"/>
    </xf>
    <xf numFmtId="0" fontId="21" fillId="4" borderId="1" applyAlignment="1" pivotButton="0" quotePrefix="0" xfId="0">
      <alignment horizontal="center" vertical="center" wrapText="1"/>
    </xf>
    <xf numFmtId="173" fontId="22" fillId="0" borderId="0" applyAlignment="1" pivotButton="0" quotePrefix="0" xfId="0">
      <alignment horizontal="left" vertical="center" wrapText="1"/>
    </xf>
    <xf numFmtId="165" fontId="17" fillId="0" borderId="1" applyAlignment="1" pivotButton="0" quotePrefix="0" xfId="0">
      <alignment horizontal="center" vertical="center" shrinkToFit="1"/>
    </xf>
    <xf numFmtId="169" fontId="23" fillId="3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center" vertical="center" wrapText="1"/>
    </xf>
    <xf numFmtId="174" fontId="13" fillId="0" borderId="1" applyAlignment="1" pivotButton="0" quotePrefix="0" xfId="0">
      <alignment horizontal="center" vertical="center" shrinkToFit="1"/>
    </xf>
    <xf numFmtId="175" fontId="13" fillId="0" borderId="1" applyAlignment="1" pivotButton="0" quotePrefix="0" xfId="0">
      <alignment horizontal="center" vertical="center" shrinkToFit="1"/>
    </xf>
    <xf numFmtId="176" fontId="13" fillId="0" borderId="1" applyAlignment="1" pivotButton="0" quotePrefix="0" xfId="0">
      <alignment horizontal="center" vertical="center" shrinkToFit="1"/>
    </xf>
    <xf numFmtId="177" fontId="12" fillId="3" borderId="1" applyAlignment="1" pivotButton="0" quotePrefix="0" xfId="0">
      <alignment horizontal="center" vertical="center" shrinkToFit="1"/>
    </xf>
    <xf numFmtId="178" fontId="13" fillId="0" borderId="1" applyAlignment="1" pivotButton="0" quotePrefix="0" xfId="0">
      <alignment horizontal="center" vertical="center" shrinkToFit="1"/>
    </xf>
    <xf numFmtId="179" fontId="12" fillId="3" borderId="1" applyAlignment="1" pivotButton="0" quotePrefix="0" xfId="0">
      <alignment horizontal="center" vertical="center" shrinkToFit="1"/>
    </xf>
    <xf numFmtId="0" fontId="12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26" fillId="4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left" vertical="center" wrapText="1"/>
    </xf>
    <xf numFmtId="180" fontId="12" fillId="3" borderId="1" applyAlignment="1" pivotButton="0" quotePrefix="0" xfId="0">
      <alignment horizontal="center" vertical="center" shrinkToFit="1"/>
    </xf>
    <xf numFmtId="0" fontId="18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top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top" wrapText="1" indent="2"/>
    </xf>
    <xf numFmtId="0" fontId="27" fillId="2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181" fontId="13" fillId="6" borderId="1" applyAlignment="1" pivotButton="0" quotePrefix="0" xfId="0">
      <alignment horizontal="center" vertical="center" shrinkToFit="1"/>
    </xf>
    <xf numFmtId="182" fontId="13" fillId="6" borderId="1" applyAlignment="1" pivotButton="0" quotePrefix="0" xfId="0">
      <alignment horizontal="center" vertical="center" shrinkToFit="1"/>
    </xf>
    <xf numFmtId="183" fontId="13" fillId="0" borderId="1" applyAlignment="1" pivotButton="0" quotePrefix="0" xfId="0">
      <alignment horizontal="center" vertical="center" shrinkToFit="1"/>
    </xf>
    <xf numFmtId="184" fontId="13" fillId="0" borderId="1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numFmt numFmtId="300" formatCode="#,##0;;&quot;&quot;"/>
    </dxf>
    <dxf>
      <fill>
        <patternFill patternType="solid">
          <fgColor rgb="002F5597"/>
          <bgColor rgb="002F5597"/>
        </patternFill>
      </fill>
    </dxf>
    <dxf>
      <numFmt numFmtId="301" formatCode="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0</col>
      <colOff>295275</colOff>
      <row>64</row>
      <rowOff>47625</rowOff>
    </from>
    <ext cx="2428875" cy="2181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371475</colOff>
      <row>64</row>
      <rowOff>47625</rowOff>
    </from>
    <ext cx="2266950" cy="21812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295275</colOff>
      <row>64</row>
      <rowOff>47625</rowOff>
    </from>
    <ext cx="2428875" cy="2181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371475</colOff>
      <row>64</row>
      <rowOff>47625</rowOff>
    </from>
    <ext cx="2266950" cy="21812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3" t="inlineStr">
        <is>
          <t>(공 사 명)</t>
        </is>
      </c>
    </row>
    <row r="4" ht="64" customHeight="1">
      <c r="A4" s="4" t="inlineStr">
        <is>
          <t>흙막이 가시설 해체 계획서</t>
        </is>
      </c>
    </row>
    <row r="5" ht="150" customHeight="1"/>
    <row r="6" ht="32" customHeight="1">
      <c r="A6" s="5" t="inlineStr">
        <is>
          <t>20    .    .</t>
        </is>
      </c>
    </row>
    <row r="7" ht="120" customHeight="1"/>
    <row r="8" ht="44" customHeight="1">
      <c r="A8" s="6" t="inlineStr">
        <is>
          <t>(회 사 명)</t>
        </is>
      </c>
    </row>
    <row r="10" ht="19.5" customHeight="1">
      <c r="A10" s="7" t="inlineStr">
        <is>
          <t>공사명 · 작성 연월 · 회사명을 여기 한 번만 적으면 뒤 장에 저절로 들어갑니다.</t>
        </is>
      </c>
    </row>
  </sheetData>
  <mergeCells count="7">
    <mergeCell ref="G1:L1"/>
    <mergeCell ref="A10:L10"/>
    <mergeCell ref="A1:F1"/>
    <mergeCell ref="A8:L8"/>
    <mergeCell ref="A6:L6"/>
    <mergeCell ref="A3:L3"/>
    <mergeCell ref="A4:L4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8" t="inlineStr">
        <is>
          <t>목          차</t>
        </is>
      </c>
    </row>
    <row r="4" ht="14" customHeight="1"/>
    <row r="5" ht="30" customHeight="1">
      <c r="A5" s="9" t="inlineStr"/>
      <c r="C5" s="10" t="inlineStr">
        <is>
          <t>1.  개    요  — 1.1 공사 개요 · 1.2 기구 조직도 · 1.3 공정표 · 1.4 인원/장비 투입계획 · 1.5 현장 운영계획</t>
        </is>
      </c>
      <c r="K5" s="9" t="inlineStr"/>
    </row>
    <row r="6" ht="30" customHeight="1">
      <c r="A6" s="9" t="inlineStr"/>
      <c r="C6" s="10" t="inlineStr">
        <is>
          <t>2.  공사수행계획  — 2.1 현장 가설계획 · 2.2 흙막이 가시설 현황 및 해체 순서 · 2.3 단계별 해체계획 · 2.4 폐기물 처리계획</t>
        </is>
      </c>
      <c r="K6" s="9" t="inlineStr"/>
    </row>
    <row r="7" ht="30" customHeight="1">
      <c r="A7" s="9" t="inlineStr"/>
      <c r="C7" s="10" t="inlineStr">
        <is>
          <t>3.  안전관리계획  — 3.1 중점 추진 방향 · 3.2 주요 관리 및 교육 활동 · 3.3 세부 계획</t>
        </is>
      </c>
      <c r="K7" s="9" t="inlineStr"/>
    </row>
    <row r="8" ht="30" customHeight="1">
      <c r="A8" s="9" t="inlineStr"/>
      <c r="C8" s="10" t="inlineStr">
        <is>
          <t>4.  환경관리계획  — 4.1 중점 추진 방향 · 4.2 환경관리 목표 · 4.3 세부 계획</t>
        </is>
      </c>
      <c r="K8" s="9" t="inlineStr"/>
    </row>
    <row r="9" ht="4" customHeight="1"/>
    <row r="10" ht="30" customHeight="1">
      <c r="A10" s="11" t="inlineStr">
        <is>
          <t>1.  개    요</t>
        </is>
      </c>
    </row>
    <row r="11" ht="4" customHeight="1"/>
    <row r="12" ht="3" customHeight="1"/>
    <row r="13" ht="22" customHeight="1">
      <c r="A13" s="12" t="inlineStr">
        <is>
          <t>1.1  공사 개요</t>
        </is>
      </c>
    </row>
    <row r="14" ht="26" customHeight="1">
      <c r="A14" s="13" t="inlineStr">
        <is>
          <t>공  사  명</t>
        </is>
      </c>
      <c r="B14" s="14" t="n"/>
      <c r="C14" s="14" t="n"/>
      <c r="D14" s="15">
        <f>IF(OR('표지'!A3="",'표지'!A3="(공 사 명)"),"",'표지'!A3&amp;"  ［ 흙막이 가시설 해체공사 ］")</f>
        <v/>
      </c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26" customHeight="1">
      <c r="A15" s="13" t="inlineStr">
        <is>
          <t>현 장 위 치</t>
        </is>
      </c>
      <c r="B15" s="14" t="n"/>
      <c r="C15" s="14" t="n"/>
      <c r="D15" s="16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 ht="26" customHeight="1">
      <c r="A16" s="13" t="inlineStr">
        <is>
          <t>공 사 기 간</t>
        </is>
      </c>
      <c r="B16" s="14" t="n"/>
      <c r="C16" s="14" t="n"/>
      <c r="D16" s="17" t="n"/>
      <c r="E16" s="14" t="n"/>
      <c r="F16" s="18" t="inlineStr">
        <is>
          <t>~</t>
        </is>
      </c>
      <c r="G16" s="17" t="n"/>
      <c r="H16" s="14" t="n"/>
      <c r="I16" s="19">
        <f>IF(OR(N(D16)=0,N(G16)=0),"",IF(G16&lt;D16,"⚠ 준공일이 착공일보다 빠름",G16-D16+1))</f>
        <v/>
      </c>
      <c r="J16" s="14" t="n"/>
      <c r="K16" s="14" t="n"/>
      <c r="L16" s="14" t="n"/>
    </row>
    <row r="17" ht="26" customHeight="1">
      <c r="A17" s="13" t="inlineStr">
        <is>
          <t>시  공  사</t>
        </is>
      </c>
      <c r="B17" s="14" t="n"/>
      <c r="C17" s="14" t="n"/>
      <c r="D17" s="15">
        <f>IF(OR('표지'!A8="",'표지'!A8="(회 사 명)"),"",'표지'!A8)</f>
        <v/>
      </c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6" customHeight="1">
      <c r="A18" s="13" t="inlineStr">
        <is>
          <t>주 요 공 법</t>
        </is>
      </c>
      <c r="B18" s="14" t="n"/>
      <c r="C18" s="14" t="n"/>
      <c r="D18" s="20" t="inlineStr">
        <is>
          <t>흙막이 벽체 : 엄지말뚝(H-PILE) + 토류판 · 지지 : 어스앵커(E/A)</t>
        </is>
      </c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6" customHeight="1">
      <c r="A19" s="13" t="inlineStr">
        <is>
          <t>굴 착 깊 이</t>
        </is>
      </c>
      <c r="B19" s="14" t="n"/>
      <c r="C19" s="14" t="n"/>
      <c r="D19" s="21" t="n"/>
      <c r="E19" s="14" t="n"/>
      <c r="F19" s="14" t="n"/>
      <c r="G19" s="7" t="inlineStr">
        <is>
          <t>※ 단계별 되메우기 높이 합과 비교합니다(2.3).</t>
        </is>
      </c>
    </row>
    <row r="20" ht="21" customHeight="1">
      <c r="A20" s="22" t="inlineStr">
        <is>
          <t>▣ 주요 공사 수량</t>
        </is>
      </c>
    </row>
    <row r="21" ht="24" customHeight="1">
      <c r="A21" s="23" t="inlineStr">
        <is>
          <t>항    목</t>
        </is>
      </c>
      <c r="B21" s="14" t="n"/>
      <c r="C21" s="14" t="n"/>
      <c r="D21" s="23" t="inlineStr">
        <is>
          <t>규    격</t>
        </is>
      </c>
      <c r="E21" s="14" t="n"/>
      <c r="F21" s="14" t="n"/>
      <c r="G21" s="23" t="inlineStr">
        <is>
          <t>단위</t>
        </is>
      </c>
      <c r="H21" s="23" t="inlineStr">
        <is>
          <t>수  량</t>
        </is>
      </c>
      <c r="I21" s="14" t="n"/>
      <c r="J21" s="23" t="inlineStr">
        <is>
          <t>비    고</t>
        </is>
      </c>
      <c r="K21" s="14" t="n"/>
      <c r="L21" s="14" t="n"/>
    </row>
    <row r="22" ht="23" customHeight="1">
      <c r="A22" s="24" t="inlineStr">
        <is>
          <t>H-PILE 인발</t>
        </is>
      </c>
      <c r="B22" s="14" t="n"/>
      <c r="C22" s="14" t="n"/>
      <c r="D22" s="25" t="inlineStr">
        <is>
          <t>H-298×201×9×14</t>
        </is>
      </c>
      <c r="E22" s="14" t="n"/>
      <c r="F22" s="14" t="n"/>
      <c r="G22" s="24" t="inlineStr">
        <is>
          <t>본</t>
        </is>
      </c>
      <c r="H22" s="26" t="n"/>
      <c r="I22" s="14" t="n"/>
      <c r="J22" s="27" t="n"/>
      <c r="K22" s="14" t="n"/>
      <c r="L22" s="14" t="n"/>
    </row>
    <row r="23" ht="23" customHeight="1">
      <c r="A23" s="24" t="inlineStr">
        <is>
          <t>띠장 철거</t>
        </is>
      </c>
      <c r="B23" s="14" t="n"/>
      <c r="C23" s="14" t="n"/>
      <c r="D23" s="25" t="inlineStr">
        <is>
          <t>H-300×300×10×15</t>
        </is>
      </c>
      <c r="E23" s="14" t="n"/>
      <c r="F23" s="14" t="n"/>
      <c r="G23" s="24" t="inlineStr">
        <is>
          <t>m</t>
        </is>
      </c>
      <c r="H23" s="26" t="n"/>
      <c r="I23" s="14" t="n"/>
      <c r="J23" s="27" t="n"/>
      <c r="K23" s="14" t="n"/>
      <c r="L23" s="14" t="n"/>
    </row>
    <row r="24" ht="23" customHeight="1">
      <c r="A24" s="24" t="inlineStr">
        <is>
          <t>보걸이 철거</t>
        </is>
      </c>
      <c r="B24" s="14" t="n"/>
      <c r="C24" s="14" t="n"/>
      <c r="D24" s="25" t="inlineStr">
        <is>
          <t>L-90×90×10</t>
        </is>
      </c>
      <c r="E24" s="14" t="n"/>
      <c r="F24" s="14" t="n"/>
      <c r="G24" s="24" t="inlineStr">
        <is>
          <t>개소</t>
        </is>
      </c>
      <c r="H24" s="26" t="n"/>
      <c r="I24" s="14" t="n"/>
      <c r="J24" s="27" t="n"/>
      <c r="K24" s="14" t="n"/>
      <c r="L24" s="14" t="n"/>
    </row>
    <row r="25" ht="23" customHeight="1">
      <c r="A25" s="24" t="inlineStr">
        <is>
          <t>버팀보 철거</t>
        </is>
      </c>
      <c r="B25" s="14" t="n"/>
      <c r="C25" s="14" t="n"/>
      <c r="D25" s="25" t="inlineStr">
        <is>
          <t>H-300×300×10×15</t>
        </is>
      </c>
      <c r="E25" s="14" t="n"/>
      <c r="F25" s="14" t="n"/>
      <c r="G25" s="24" t="inlineStr">
        <is>
          <t>m</t>
        </is>
      </c>
      <c r="H25" s="26" t="n"/>
      <c r="I25" s="14" t="n"/>
      <c r="J25" s="27" t="n"/>
      <c r="K25" s="14" t="n"/>
      <c r="L25" s="14" t="n"/>
    </row>
    <row r="26" ht="23" customHeight="1">
      <c r="A26" s="24" t="inlineStr">
        <is>
          <t>토류판 철거</t>
        </is>
      </c>
      <c r="B26" s="14" t="n"/>
      <c r="C26" s="14" t="n"/>
      <c r="D26" s="25" t="inlineStr">
        <is>
          <t>T = 9cm</t>
        </is>
      </c>
      <c r="E26" s="14" t="n"/>
      <c r="F26" s="14" t="n"/>
      <c r="G26" s="24" t="inlineStr">
        <is>
          <t>㎡</t>
        </is>
      </c>
      <c r="H26" s="26" t="n"/>
      <c r="I26" s="14" t="n"/>
      <c r="J26" s="27" t="n"/>
      <c r="K26" s="14" t="n"/>
      <c r="L26" s="14" t="n"/>
    </row>
    <row r="27" ht="23" customHeight="1">
      <c r="A27" s="24" t="inlineStr">
        <is>
          <t>지압판 철거</t>
        </is>
      </c>
      <c r="B27" s="14" t="n"/>
      <c r="C27" s="14" t="n"/>
      <c r="D27" s="25" t="inlineStr">
        <is>
          <t>SINGLE</t>
        </is>
      </c>
      <c r="E27" s="14" t="n"/>
      <c r="F27" s="14" t="n"/>
      <c r="G27" s="24" t="inlineStr">
        <is>
          <t>개소</t>
        </is>
      </c>
      <c r="H27" s="26" t="n"/>
      <c r="I27" s="14" t="n"/>
      <c r="J27" s="27" t="n"/>
      <c r="K27" s="14" t="n"/>
      <c r="L27" s="14" t="n"/>
    </row>
    <row r="28" ht="23" customHeight="1">
      <c r="A28" s="24" t="inlineStr">
        <is>
          <t>어스앵커 강선 제거</t>
        </is>
      </c>
      <c r="B28" s="14" t="n"/>
      <c r="C28" s="14" t="n"/>
      <c r="D28" s="25" t="n"/>
      <c r="E28" s="14" t="n"/>
      <c r="F28" s="14" t="n"/>
      <c r="G28" s="24" t="inlineStr">
        <is>
          <t>m</t>
        </is>
      </c>
      <c r="H28" s="26" t="n"/>
      <c r="I28" s="14" t="n"/>
      <c r="J28" s="27" t="n"/>
      <c r="K28" s="14" t="n"/>
      <c r="L28" s="14" t="n"/>
    </row>
    <row r="29" ht="23" customHeight="1">
      <c r="A29" s="24" t="n"/>
      <c r="B29" s="14" t="n"/>
      <c r="C29" s="14" t="n"/>
      <c r="D29" s="25" t="n"/>
      <c r="E29" s="14" t="n"/>
      <c r="F29" s="14" t="n"/>
      <c r="G29" s="24" t="n"/>
      <c r="H29" s="26" t="n"/>
      <c r="I29" s="14" t="n"/>
      <c r="J29" s="27" t="n"/>
      <c r="K29" s="14" t="n"/>
      <c r="L29" s="14" t="n"/>
    </row>
    <row r="30" ht="23" customHeight="1">
      <c r="A30" s="24" t="n"/>
      <c r="B30" s="14" t="n"/>
      <c r="C30" s="14" t="n"/>
      <c r="D30" s="25" t="n"/>
      <c r="E30" s="14" t="n"/>
      <c r="F30" s="14" t="n"/>
      <c r="G30" s="24" t="n"/>
      <c r="H30" s="26" t="n"/>
      <c r="I30" s="14" t="n"/>
      <c r="J30" s="27" t="n"/>
      <c r="K30" s="14" t="n"/>
      <c r="L30" s="14" t="n"/>
    </row>
    <row r="31" ht="3" customHeight="1"/>
    <row r="32" ht="22" customHeight="1">
      <c r="A32" s="12" t="inlineStr">
        <is>
          <t>1.2  기구 조직도</t>
        </is>
      </c>
    </row>
    <row r="33" ht="24" customHeight="1">
      <c r="A33" s="9" t="inlineStr"/>
      <c r="E33" s="13" t="inlineStr">
        <is>
          <t>현 장 대 리 인 (원도급)</t>
        </is>
      </c>
      <c r="F33" s="14" t="n"/>
      <c r="G33" s="14" t="n"/>
      <c r="H33" s="14" t="n"/>
      <c r="I33" s="9" t="inlineStr"/>
    </row>
    <row r="34" ht="24" customHeight="1">
      <c r="A34" s="9" t="inlineStr"/>
      <c r="E34" s="28" t="n"/>
      <c r="F34" s="14" t="n"/>
      <c r="G34" s="14" t="n"/>
      <c r="H34" s="14" t="n"/>
      <c r="I34" s="9" t="inlineStr"/>
    </row>
    <row r="35" ht="14" customHeight="1">
      <c r="A35" s="29" t="inlineStr">
        <is>
          <t>┌──────────┼──────────┐</t>
        </is>
      </c>
    </row>
    <row r="36" ht="24" customHeight="1">
      <c r="A36" s="13" t="inlineStr">
        <is>
          <t>공사 과장</t>
        </is>
      </c>
      <c r="B36" s="14" t="n"/>
      <c r="C36" s="14" t="n"/>
      <c r="D36" s="14" t="n"/>
      <c r="E36" s="13" t="inlineStr">
        <is>
          <t>품질관리자</t>
        </is>
      </c>
      <c r="F36" s="14" t="n"/>
      <c r="G36" s="14" t="n"/>
      <c r="H36" s="14" t="n"/>
      <c r="I36" s="13" t="inlineStr">
        <is>
          <t>안전관리자</t>
        </is>
      </c>
      <c r="J36" s="14" t="n"/>
      <c r="K36" s="14" t="n"/>
      <c r="L36" s="14" t="n"/>
    </row>
    <row r="37" ht="24" customHeight="1">
      <c r="A37" s="28" t="n"/>
      <c r="B37" s="14" t="n"/>
      <c r="C37" s="14" t="n"/>
      <c r="D37" s="14" t="n"/>
      <c r="E37" s="28" t="n"/>
      <c r="F37" s="14" t="n"/>
      <c r="G37" s="14" t="n"/>
      <c r="H37" s="14" t="n"/>
      <c r="I37" s="28" t="n"/>
      <c r="J37" s="14" t="n"/>
      <c r="K37" s="14" t="n"/>
      <c r="L37" s="14" t="n"/>
    </row>
    <row r="38" ht="14" customHeight="1">
      <c r="A38" s="29" t="inlineStr">
        <is>
          <t>│</t>
        </is>
      </c>
    </row>
    <row r="39" ht="24" customHeight="1">
      <c r="A39" s="9" t="inlineStr"/>
      <c r="E39" s="13" t="inlineStr">
        <is>
          <t>현장대리인 (하도급)</t>
        </is>
      </c>
      <c r="F39" s="14" t="n"/>
      <c r="G39" s="14" t="n"/>
      <c r="H39" s="14" t="n"/>
      <c r="I39" s="9" t="inlineStr"/>
    </row>
    <row r="40" ht="24" customHeight="1">
      <c r="A40" s="9" t="inlineStr"/>
      <c r="E40" s="28" t="n"/>
      <c r="F40" s="14" t="n"/>
      <c r="G40" s="14" t="n"/>
      <c r="H40" s="14" t="n"/>
      <c r="I40" s="9" t="inlineStr"/>
    </row>
    <row r="41" ht="14" customHeight="1">
      <c r="A41" s="29" t="inlineStr">
        <is>
          <t>┌──────────┴──────────┐</t>
        </is>
      </c>
    </row>
    <row r="42" ht="24" customHeight="1">
      <c r="A42" s="9" t="inlineStr"/>
      <c r="C42" s="13" t="inlineStr">
        <is>
          <t>공사 (반장)</t>
        </is>
      </c>
      <c r="D42" s="14" t="n"/>
      <c r="E42" s="14" t="n"/>
      <c r="F42" s="14" t="n"/>
      <c r="G42" s="13" t="inlineStr">
        <is>
          <t>안전 · 환경 (대리)</t>
        </is>
      </c>
      <c r="H42" s="14" t="n"/>
      <c r="I42" s="14" t="n"/>
      <c r="J42" s="14" t="n"/>
      <c r="K42" s="9" t="inlineStr"/>
    </row>
    <row r="43" ht="24" customHeight="1">
      <c r="A43" s="9" t="inlineStr"/>
      <c r="C43" s="28" t="n"/>
      <c r="D43" s="14" t="n"/>
      <c r="E43" s="14" t="n"/>
      <c r="F43" s="14" t="n"/>
      <c r="G43" s="28" t="n"/>
      <c r="H43" s="14" t="n"/>
      <c r="I43" s="14" t="n"/>
      <c r="J43" s="14" t="n"/>
      <c r="K43" s="9" t="inlineStr"/>
    </row>
    <row r="44" ht="3" customHeight="1"/>
    <row r="45" ht="22" customHeight="1">
      <c r="A45" s="12" t="inlineStr">
        <is>
          <t>1.3  공정표 — «공정표» 시트(반달 막대)</t>
        </is>
      </c>
    </row>
    <row r="46" ht="3" customHeight="1"/>
    <row r="47" ht="22" customHeight="1">
      <c r="A47" s="12" t="inlineStr">
        <is>
          <t>1.4  인원 / 장비 투입계획</t>
        </is>
      </c>
    </row>
    <row r="48" ht="24" customHeight="1">
      <c r="A48" s="23" t="inlineStr">
        <is>
          <t>인  원  투  입  계  획</t>
        </is>
      </c>
      <c r="B48" s="14" t="n"/>
      <c r="C48" s="14" t="n"/>
      <c r="D48" s="14" t="n"/>
      <c r="E48" s="14" t="n"/>
      <c r="F48" s="14" t="n"/>
      <c r="G48" s="23" t="inlineStr">
        <is>
          <t>장  비  투  입  계  획</t>
        </is>
      </c>
      <c r="H48" s="14" t="n"/>
      <c r="I48" s="14" t="n"/>
      <c r="J48" s="14" t="n"/>
      <c r="K48" s="14" t="n"/>
      <c r="L48" s="14" t="n"/>
    </row>
    <row r="49" ht="24" customHeight="1">
      <c r="A49" s="23" t="inlineStr">
        <is>
          <t>구  분</t>
        </is>
      </c>
      <c r="B49" s="14" t="n"/>
      <c r="C49" s="14" t="n"/>
      <c r="D49" s="23" t="inlineStr">
        <is>
          <t>단위</t>
        </is>
      </c>
      <c r="E49" s="23" t="inlineStr">
        <is>
          <t>인원</t>
        </is>
      </c>
      <c r="F49" s="14" t="n"/>
      <c r="G49" s="23" t="inlineStr">
        <is>
          <t>장 비</t>
        </is>
      </c>
      <c r="H49" s="14" t="n"/>
      <c r="I49" s="23" t="inlineStr">
        <is>
          <t>규  격</t>
        </is>
      </c>
      <c r="J49" s="14" t="n"/>
      <c r="K49" s="23" t="inlineStr">
        <is>
          <t>단위</t>
        </is>
      </c>
      <c r="L49" s="23" t="inlineStr">
        <is>
          <t>수량</t>
        </is>
      </c>
    </row>
    <row r="50" ht="23" customHeight="1">
      <c r="A50" s="28" t="inlineStr">
        <is>
          <t>직    원</t>
        </is>
      </c>
      <c r="B50" s="14" t="n"/>
      <c r="C50" s="14" t="n"/>
      <c r="D50" s="18" t="inlineStr">
        <is>
          <t>명</t>
        </is>
      </c>
      <c r="E50" s="30" t="n">
        <v>2</v>
      </c>
      <c r="F50" s="14" t="n"/>
      <c r="G50" s="24" t="inlineStr">
        <is>
          <t>굴삭기</t>
        </is>
      </c>
      <c r="H50" s="14" t="n"/>
      <c r="I50" s="31" t="inlineStr">
        <is>
          <t>0.6㎥ 타이어</t>
        </is>
      </c>
      <c r="J50" s="14" t="n"/>
      <c r="K50" s="25" t="inlineStr">
        <is>
          <t>대</t>
        </is>
      </c>
      <c r="L50" s="25" t="inlineStr">
        <is>
          <t>1</t>
        </is>
      </c>
    </row>
    <row r="51" ht="23" customHeight="1">
      <c r="A51" s="28" t="inlineStr">
        <is>
          <t>작업반장</t>
        </is>
      </c>
      <c r="B51" s="14" t="n"/>
      <c r="C51" s="14" t="n"/>
      <c r="D51" s="18" t="inlineStr">
        <is>
          <t>명</t>
        </is>
      </c>
      <c r="E51" s="30" t="n">
        <v>1</v>
      </c>
      <c r="F51" s="14" t="n"/>
      <c r="G51" s="24" t="inlineStr">
        <is>
          <t>덤프트럭</t>
        </is>
      </c>
      <c r="H51" s="14" t="n"/>
      <c r="I51" s="31" t="inlineStr">
        <is>
          <t>15톤</t>
        </is>
      </c>
      <c r="J51" s="14" t="n"/>
      <c r="K51" s="25" t="inlineStr">
        <is>
          <t>대</t>
        </is>
      </c>
      <c r="L51" s="25" t="inlineStr">
        <is>
          <t>2</t>
        </is>
      </c>
    </row>
    <row r="52" ht="23" customHeight="1">
      <c r="A52" s="28" t="inlineStr">
        <is>
          <t>용 접 공</t>
        </is>
      </c>
      <c r="B52" s="14" t="n"/>
      <c r="C52" s="14" t="n"/>
      <c r="D52" s="18" t="inlineStr">
        <is>
          <t>명</t>
        </is>
      </c>
      <c r="E52" s="30" t="n">
        <v>2</v>
      </c>
      <c r="F52" s="14" t="n"/>
      <c r="G52" s="24" t="inlineStr">
        <is>
          <t>크레인</t>
        </is>
      </c>
      <c r="H52" s="14" t="n"/>
      <c r="I52" s="31" t="inlineStr">
        <is>
          <t>25 ~ 50톤</t>
        </is>
      </c>
      <c r="J52" s="14" t="n"/>
      <c r="K52" s="25" t="inlineStr">
        <is>
          <t>대</t>
        </is>
      </c>
      <c r="L52" s="25" t="inlineStr">
        <is>
          <t>1</t>
        </is>
      </c>
    </row>
    <row r="53" ht="23" customHeight="1">
      <c r="A53" s="28" t="inlineStr">
        <is>
          <t>보통인부</t>
        </is>
      </c>
      <c r="B53" s="14" t="n"/>
      <c r="C53" s="14" t="n"/>
      <c r="D53" s="18" t="inlineStr">
        <is>
          <t>명</t>
        </is>
      </c>
      <c r="E53" s="30" t="n">
        <v>4</v>
      </c>
      <c r="F53" s="14" t="n"/>
      <c r="G53" s="24" t="inlineStr">
        <is>
          <t>산소절단기</t>
        </is>
      </c>
      <c r="H53" s="14" t="n"/>
      <c r="I53" s="31" t="inlineStr">
        <is>
          <t>산소 + LPG</t>
        </is>
      </c>
      <c r="J53" s="14" t="n"/>
      <c r="K53" s="25" t="inlineStr">
        <is>
          <t>대</t>
        </is>
      </c>
      <c r="L53" s="25" t="inlineStr">
        <is>
          <t>1 ~ 2</t>
        </is>
      </c>
    </row>
    <row r="54" ht="23" customHeight="1">
      <c r="A54" s="28" t="inlineStr">
        <is>
          <t>신 호 수</t>
        </is>
      </c>
      <c r="B54" s="14" t="n"/>
      <c r="C54" s="14" t="n"/>
      <c r="D54" s="18" t="inlineStr">
        <is>
          <t>명</t>
        </is>
      </c>
      <c r="E54" s="30" t="n">
        <v>1</v>
      </c>
      <c r="F54" s="14" t="n"/>
      <c r="G54" s="24" t="inlineStr">
        <is>
          <t>유압 인발기</t>
        </is>
      </c>
      <c r="H54" s="14" t="n"/>
      <c r="I54" s="31" t="inlineStr">
        <is>
          <t>40톤</t>
        </is>
      </c>
      <c r="J54" s="14" t="n"/>
      <c r="K54" s="25" t="inlineStr">
        <is>
          <t>대</t>
        </is>
      </c>
      <c r="L54" s="25" t="inlineStr">
        <is>
          <t>1</t>
        </is>
      </c>
    </row>
    <row r="55" ht="23" customHeight="1">
      <c r="A55" s="28" t="n"/>
      <c r="B55" s="14" t="n"/>
      <c r="C55" s="14" t="n"/>
      <c r="D55" s="18" t="inlineStr"/>
      <c r="E55" s="30" t="n"/>
      <c r="F55" s="14" t="n"/>
      <c r="G55" s="24" t="n"/>
      <c r="H55" s="14" t="n"/>
      <c r="I55" s="31" t="n"/>
      <c r="J55" s="14" t="n"/>
      <c r="K55" s="25" t="n"/>
      <c r="L55" s="25" t="n"/>
    </row>
    <row r="56" ht="24" customHeight="1">
      <c r="A56" s="32" t="inlineStr">
        <is>
          <t>합   계</t>
        </is>
      </c>
      <c r="B56" s="14" t="n"/>
      <c r="C56" s="14" t="n"/>
      <c r="D56" s="14" t="n"/>
      <c r="E56" s="33">
        <f>IF(SUM(E50:E55)=0,"",SUM(E50:E55))</f>
        <v/>
      </c>
      <c r="F56" s="14" t="n"/>
      <c r="G56" s="32" t="inlineStr"/>
      <c r="H56" s="14" t="n"/>
      <c r="I56" s="14" t="n"/>
      <c r="J56" s="14" t="n"/>
      <c r="K56" s="14" t="n"/>
      <c r="L56" s="14" t="n"/>
    </row>
    <row r="57" ht="3" customHeight="1"/>
    <row r="58" ht="22" customHeight="1">
      <c r="A58" s="12" t="inlineStr">
        <is>
          <t>1.5  현장 운영계획</t>
        </is>
      </c>
    </row>
    <row r="59" ht="24" customHeight="1">
      <c r="A59" s="23" t="inlineStr">
        <is>
          <t>구   분</t>
        </is>
      </c>
      <c r="B59" s="14" t="n"/>
      <c r="C59" s="14" t="n"/>
      <c r="D59" s="23" t="inlineStr">
        <is>
          <t>내        용</t>
        </is>
      </c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 ht="26" customHeight="1">
      <c r="A60" s="34" t="inlineStr">
        <is>
          <t>방  침</t>
        </is>
      </c>
      <c r="B60" s="14" t="n"/>
      <c r="C60" s="14" t="n"/>
      <c r="D60" s="35" t="inlineStr">
        <is>
          <t>Triple Zero — 안전사고 ZERO · 품질사고 ZERO · 환경사고 ZERO</t>
        </is>
      </c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 ht="26" customHeight="1">
      <c r="A61" s="34" t="inlineStr">
        <is>
          <t>공정관리</t>
        </is>
      </c>
      <c r="B61" s="14" t="n"/>
      <c r="C61" s="14" t="n"/>
      <c r="D61" s="35" t="inlineStr">
        <is>
          <t>적기 공기 준수</t>
        </is>
      </c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 ht="48.75" customHeight="1">
      <c r="A62" s="34" t="inlineStr">
        <is>
          <t>공사관리</t>
        </is>
      </c>
      <c r="B62" s="14" t="n"/>
      <c r="C62" s="14" t="n"/>
      <c r="D62" s="35" t="inlineStr">
        <is>
          <t>일일 시공 사이클 준수 · 공사관리 절차를 철저히 지켜 시공 · 주간 · 월간 공정회의로 철저한 공정관리 · 명확한 작업 지시와 현장 확인으로 재시공 방지(작업지시서 수령)</t>
        </is>
      </c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 ht="26" customHeight="1">
      <c r="A63" s="34" t="inlineStr">
        <is>
          <t>품  질</t>
        </is>
      </c>
      <c r="B63" s="14" t="n"/>
      <c r="C63" s="14" t="n"/>
      <c r="D63" s="35" t="inlineStr">
        <is>
          <t>해체계획서에 따른 단계별 공사 진행 · 작업자에게 작업 지도서 교육</t>
        </is>
      </c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 ht="34.5" customHeight="1">
      <c r="A64" s="34" t="inlineStr">
        <is>
          <t>안  전</t>
        </is>
      </c>
      <c r="B64" s="14" t="n"/>
      <c r="C64" s="14" t="n"/>
      <c r="D64" s="35" t="inlineStr">
        <is>
          <t>해체공사 중 철저한 안전관리 · 가시설 상단부 안전시설 확보 · 안전관리계획을 실천하여 사고 예방 · 매일 현장 순찰(PATROL)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 ht="34.5" customHeight="1">
      <c r="A65" s="34" t="inlineStr">
        <is>
          <t>환  경</t>
        </is>
      </c>
      <c r="B65" s="14" t="n"/>
      <c r="C65" s="14" t="n"/>
      <c r="D65" s="35" t="inlineStr">
        <is>
          <t>민원인과 적극 협의하여 민원 최소화 · 살수차 · 고압 살수기로 비산먼지 최대 억제</t>
        </is>
      </c>
      <c r="E65" s="14" t="n"/>
      <c r="F65" s="14" t="n"/>
      <c r="G65" s="14" t="n"/>
      <c r="H65" s="14" t="n"/>
      <c r="I65" s="14" t="n"/>
      <c r="J65" s="14" t="n"/>
      <c r="K65" s="14" t="n"/>
      <c r="L65" s="14" t="n"/>
    </row>
    <row r="67" ht="34" customHeight="1">
      <c r="A67" s="7" t="inlineStr">
        <is>
          <t>하늘색 칸 = 자동(공사명 · 공사기간 일수 · 시공사 · 인원 합계). 항목 · 규격 · 인원 · 장비는 원본 계획서 값을 넣어 두었습니다(수량은 현장 값으로).</t>
        </is>
      </c>
    </row>
  </sheetData>
  <mergeCells count="154">
    <mergeCell ref="G19:L19"/>
    <mergeCell ref="D61:L61"/>
    <mergeCell ref="J27:L27"/>
    <mergeCell ref="A21:C21"/>
    <mergeCell ref="A26:C26"/>
    <mergeCell ref="E37:H37"/>
    <mergeCell ref="J25:L25"/>
    <mergeCell ref="E51:F51"/>
    <mergeCell ref="D28:F28"/>
    <mergeCell ref="I40:L40"/>
    <mergeCell ref="A7:B7"/>
    <mergeCell ref="A23:C23"/>
    <mergeCell ref="D62:L62"/>
    <mergeCell ref="D30:F30"/>
    <mergeCell ref="A52:C52"/>
    <mergeCell ref="D64:L64"/>
    <mergeCell ref="D29:F29"/>
    <mergeCell ref="A63:C63"/>
    <mergeCell ref="D23:F23"/>
    <mergeCell ref="E49:F49"/>
    <mergeCell ref="A42:B42"/>
    <mergeCell ref="K42:L42"/>
    <mergeCell ref="I16:L16"/>
    <mergeCell ref="I52:J52"/>
    <mergeCell ref="J29:L29"/>
    <mergeCell ref="A56:D56"/>
    <mergeCell ref="A49:C49"/>
    <mergeCell ref="E34:H34"/>
    <mergeCell ref="C43:F43"/>
    <mergeCell ref="H23:I23"/>
    <mergeCell ref="E53:F53"/>
    <mergeCell ref="A33:D33"/>
    <mergeCell ref="E36:H36"/>
    <mergeCell ref="J24:L24"/>
    <mergeCell ref="D27:F27"/>
    <mergeCell ref="I39:L39"/>
    <mergeCell ref="E55:F55"/>
    <mergeCell ref="J26:L26"/>
    <mergeCell ref="A55:C55"/>
    <mergeCell ref="A3:L3"/>
    <mergeCell ref="H25:I25"/>
    <mergeCell ref="I54:J54"/>
    <mergeCell ref="A14:C14"/>
    <mergeCell ref="A32:L32"/>
    <mergeCell ref="A29:C29"/>
    <mergeCell ref="D25:F25"/>
    <mergeCell ref="G49:H49"/>
    <mergeCell ref="A38:L38"/>
    <mergeCell ref="D15:L15"/>
    <mergeCell ref="K43:L43"/>
    <mergeCell ref="A58:L58"/>
    <mergeCell ref="H28:I28"/>
    <mergeCell ref="A15:C15"/>
    <mergeCell ref="A48:F48"/>
    <mergeCell ref="A8:B8"/>
    <mergeCell ref="A67:L67"/>
    <mergeCell ref="A24:C24"/>
    <mergeCell ref="A51:C51"/>
    <mergeCell ref="A60:C60"/>
    <mergeCell ref="E40:H40"/>
    <mergeCell ref="D63:L63"/>
    <mergeCell ref="J28:L28"/>
    <mergeCell ref="G16:H16"/>
    <mergeCell ref="G48:L48"/>
    <mergeCell ref="D65:L65"/>
    <mergeCell ref="D21:F21"/>
    <mergeCell ref="K6:L6"/>
    <mergeCell ref="I33:L33"/>
    <mergeCell ref="J30:L30"/>
    <mergeCell ref="A16:C16"/>
    <mergeCell ref="A25:C25"/>
    <mergeCell ref="E50:F50"/>
    <mergeCell ref="C6:J6"/>
    <mergeCell ref="A18:C18"/>
    <mergeCell ref="K5:L5"/>
    <mergeCell ref="D17:L17"/>
    <mergeCell ref="E52:F52"/>
    <mergeCell ref="A50:C50"/>
    <mergeCell ref="H21:I21"/>
    <mergeCell ref="A34:D34"/>
    <mergeCell ref="A47:L47"/>
    <mergeCell ref="A22:C22"/>
    <mergeCell ref="A39:D39"/>
    <mergeCell ref="A62:C62"/>
    <mergeCell ref="A36:D36"/>
    <mergeCell ref="A20:L20"/>
    <mergeCell ref="A28:C28"/>
    <mergeCell ref="E39:H39"/>
    <mergeCell ref="K8:L8"/>
    <mergeCell ref="D14:L14"/>
    <mergeCell ref="A5:B5"/>
    <mergeCell ref="A13:L13"/>
    <mergeCell ref="A30:C30"/>
    <mergeCell ref="H22:I22"/>
    <mergeCell ref="A59:C59"/>
    <mergeCell ref="C8:J8"/>
    <mergeCell ref="I37:L37"/>
    <mergeCell ref="A64:C64"/>
    <mergeCell ref="A37:D37"/>
    <mergeCell ref="K7:L7"/>
    <mergeCell ref="G51:H51"/>
    <mergeCell ref="I51:J51"/>
    <mergeCell ref="E54:F54"/>
    <mergeCell ref="A43:B43"/>
    <mergeCell ref="G54:H54"/>
    <mergeCell ref="A1:F1"/>
    <mergeCell ref="A61:C61"/>
    <mergeCell ref="D22:F22"/>
    <mergeCell ref="G50:H50"/>
    <mergeCell ref="I50:J50"/>
    <mergeCell ref="E56:F56"/>
    <mergeCell ref="H30:I30"/>
    <mergeCell ref="A54:C54"/>
    <mergeCell ref="G52:H52"/>
    <mergeCell ref="A41:L41"/>
    <mergeCell ref="H29:I29"/>
    <mergeCell ref="I49:J49"/>
    <mergeCell ref="A27:C27"/>
    <mergeCell ref="C5:J5"/>
    <mergeCell ref="A6:B6"/>
    <mergeCell ref="A40:D40"/>
    <mergeCell ref="J22:L22"/>
    <mergeCell ref="I34:L34"/>
    <mergeCell ref="G43:J43"/>
    <mergeCell ref="A17:C17"/>
    <mergeCell ref="D18:L18"/>
    <mergeCell ref="G53:H53"/>
    <mergeCell ref="A53:C53"/>
    <mergeCell ref="I53:J53"/>
    <mergeCell ref="E33:H33"/>
    <mergeCell ref="C42:F42"/>
    <mergeCell ref="J21:L21"/>
    <mergeCell ref="A35:L35"/>
    <mergeCell ref="D24:F24"/>
    <mergeCell ref="G42:J42"/>
    <mergeCell ref="G1:L1"/>
    <mergeCell ref="I36:L36"/>
    <mergeCell ref="D16:E16"/>
    <mergeCell ref="A19:C19"/>
    <mergeCell ref="A10:L10"/>
    <mergeCell ref="I55:J55"/>
    <mergeCell ref="J23:L23"/>
    <mergeCell ref="D26:F26"/>
    <mergeCell ref="G56:L56"/>
    <mergeCell ref="D59:L59"/>
    <mergeCell ref="H27:I27"/>
    <mergeCell ref="D60:L60"/>
    <mergeCell ref="G55:H55"/>
    <mergeCell ref="D19:F19"/>
    <mergeCell ref="C7:J7"/>
    <mergeCell ref="H24:I24"/>
    <mergeCell ref="A45:L45"/>
    <mergeCell ref="A65:C65"/>
    <mergeCell ref="H26:I26"/>
  </mergeCells>
  <conditionalFormatting sqref="H22:H30">
    <cfRule type="expression" priority="1" dxfId="0">
      <formula>AND(ISNUMBER(H22),MOD(H22,1)=0)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8" min="0" max="16383" man="1"/>
    <brk id="4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O20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무료 건설 서식</t>
        </is>
      </c>
      <c r="N1" s="2" t="inlineStr">
        <is>
          <t xml:space="preserve">← 이 1행을 지우고 쓰셔도 됩니다  </t>
        </is>
      </c>
    </row>
    <row r="2" ht="34" customHeight="1">
      <c r="A2" s="36" t="inlineStr">
        <is>
          <t>1.3   공  정  표</t>
        </is>
      </c>
    </row>
    <row r="3" ht="22" customHeight="1">
      <c r="A3" s="13" t="inlineStr">
        <is>
          <t>착 공 일</t>
        </is>
      </c>
      <c r="B3" s="37">
        <f>IF(N('개요'!D16)=0,"",'개요'!D16)</f>
        <v/>
      </c>
      <c r="C3" s="14" t="n"/>
      <c r="D3" s="7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3" t="inlineStr">
        <is>
          <t>공    종</t>
        </is>
      </c>
      <c r="B4" s="23" t="inlineStr">
        <is>
          <t>착 수</t>
        </is>
      </c>
      <c r="C4" s="23" t="inlineStr">
        <is>
          <t>완 료</t>
        </is>
      </c>
      <c r="D4" s="23" t="inlineStr">
        <is>
          <t>일 수</t>
        </is>
      </c>
      <c r="E4" s="38">
        <f>IF(N(B3)=0,"",EDATE(DATE(YEAR(B3),MONTH(B3),1),0))</f>
        <v/>
      </c>
      <c r="F4" s="14" t="n"/>
      <c r="G4" s="38">
        <f>IF(N(B3)=0,"",EDATE(DATE(YEAR(B3),MONTH(B3),1),1))</f>
        <v/>
      </c>
      <c r="H4" s="14" t="n"/>
      <c r="I4" s="38">
        <f>IF(N(B3)=0,"",EDATE(DATE(YEAR(B3),MONTH(B3),1),2))</f>
        <v/>
      </c>
      <c r="J4" s="14" t="n"/>
      <c r="K4" s="38">
        <f>IF(N(B3)=0,"",EDATE(DATE(YEAR(B3),MONTH(B3),1),3))</f>
        <v/>
      </c>
      <c r="L4" s="14" t="n"/>
      <c r="M4" s="38">
        <f>IF(N(B3)=0,"",EDATE(DATE(YEAR(B3),MONTH(B3),1),4))</f>
        <v/>
      </c>
      <c r="N4" s="14" t="n"/>
      <c r="O4" s="38">
        <f>IF(N(B3)=0,"",EDATE(DATE(YEAR(B3),MONTH(B3),1),5))</f>
        <v/>
      </c>
      <c r="P4" s="14" t="n"/>
      <c r="Q4" s="38">
        <f>IF(N(B3)=0,"",EDATE(DATE(YEAR(B3),MONTH(B3),1),6))</f>
        <v/>
      </c>
      <c r="R4" s="14" t="n"/>
      <c r="S4" s="38">
        <f>IF(N(B3)=0,"",EDATE(DATE(YEAR(B3),MONTH(B3),1),7))</f>
        <v/>
      </c>
      <c r="T4" s="14" t="n"/>
      <c r="U4" s="38">
        <f>IF(N(B3)=0,"",EDATE(DATE(YEAR(B3),MONTH(B3),1),8))</f>
        <v/>
      </c>
      <c r="V4" s="14" t="n"/>
      <c r="W4" s="38">
        <f>IF(N(B3)=0,"",EDATE(DATE(YEAR(B3),MONTH(B3),1),9))</f>
        <v/>
      </c>
      <c r="X4" s="14" t="n"/>
      <c r="Y4" s="38">
        <f>IF(N(B3)=0,"",EDATE(DATE(YEAR(B3),MONTH(B3),1),10))</f>
        <v/>
      </c>
      <c r="Z4" s="14" t="n"/>
      <c r="AA4" s="38">
        <f>IF(N(B3)=0,"",EDATE(DATE(YEAR(B3),MONTH(B3),1),11))</f>
        <v/>
      </c>
      <c r="AB4" s="14" t="n"/>
      <c r="AC4" s="38">
        <f>IF(N(B3)=0,"",EDATE(DATE(YEAR(B3),MONTH(B3),1),12))</f>
        <v/>
      </c>
      <c r="AD4" s="14" t="n"/>
      <c r="AE4" s="38">
        <f>IF(N(B3)=0,"",EDATE(DATE(YEAR(B3),MONTH(B3),1),13))</f>
        <v/>
      </c>
      <c r="AF4" s="14" t="n"/>
      <c r="AG4" s="38">
        <f>IF(N(B3)=0,"",EDATE(DATE(YEAR(B3),MONTH(B3),1),14))</f>
        <v/>
      </c>
      <c r="AH4" s="14" t="n"/>
      <c r="AI4" s="38">
        <f>IF(N(B3)=0,"",EDATE(DATE(YEAR(B3),MONTH(B3),1),15))</f>
        <v/>
      </c>
      <c r="AJ4" s="14" t="n"/>
      <c r="AK4" s="38">
        <f>IF(N(B3)=0,"",EDATE(DATE(YEAR(B3),MONTH(B3),1),16))</f>
        <v/>
      </c>
      <c r="AL4" s="14" t="n"/>
      <c r="AM4" s="38">
        <f>IF(N(B3)=0,"",EDATE(DATE(YEAR(B3),MONTH(B3),1),17))</f>
        <v/>
      </c>
      <c r="AN4" s="14" t="n"/>
      <c r="AO4" s="23" t="inlineStr">
        <is>
          <t>비 고</t>
        </is>
      </c>
    </row>
    <row r="5" ht="15" customHeight="1">
      <c r="A5" s="14" t="n"/>
      <c r="B5" s="14" t="n"/>
      <c r="C5" s="14" t="n"/>
      <c r="D5" s="14" t="n"/>
      <c r="E5" s="39" t="inlineStr">
        <is>
          <t>상</t>
        </is>
      </c>
      <c r="F5" s="39" t="inlineStr">
        <is>
          <t>하</t>
        </is>
      </c>
      <c r="G5" s="39" t="inlineStr">
        <is>
          <t>상</t>
        </is>
      </c>
      <c r="H5" s="39" t="inlineStr">
        <is>
          <t>하</t>
        </is>
      </c>
      <c r="I5" s="39" t="inlineStr">
        <is>
          <t>상</t>
        </is>
      </c>
      <c r="J5" s="39" t="inlineStr">
        <is>
          <t>하</t>
        </is>
      </c>
      <c r="K5" s="39" t="inlineStr">
        <is>
          <t>상</t>
        </is>
      </c>
      <c r="L5" s="39" t="inlineStr">
        <is>
          <t>하</t>
        </is>
      </c>
      <c r="M5" s="39" t="inlineStr">
        <is>
          <t>상</t>
        </is>
      </c>
      <c r="N5" s="39" t="inlineStr">
        <is>
          <t>하</t>
        </is>
      </c>
      <c r="O5" s="39" t="inlineStr">
        <is>
          <t>상</t>
        </is>
      </c>
      <c r="P5" s="39" t="inlineStr">
        <is>
          <t>하</t>
        </is>
      </c>
      <c r="Q5" s="39" t="inlineStr">
        <is>
          <t>상</t>
        </is>
      </c>
      <c r="R5" s="39" t="inlineStr">
        <is>
          <t>하</t>
        </is>
      </c>
      <c r="S5" s="39" t="inlineStr">
        <is>
          <t>상</t>
        </is>
      </c>
      <c r="T5" s="39" t="inlineStr">
        <is>
          <t>하</t>
        </is>
      </c>
      <c r="U5" s="39" t="inlineStr">
        <is>
          <t>상</t>
        </is>
      </c>
      <c r="V5" s="39" t="inlineStr">
        <is>
          <t>하</t>
        </is>
      </c>
      <c r="W5" s="39" t="inlineStr">
        <is>
          <t>상</t>
        </is>
      </c>
      <c r="X5" s="39" t="inlineStr">
        <is>
          <t>하</t>
        </is>
      </c>
      <c r="Y5" s="39" t="inlineStr">
        <is>
          <t>상</t>
        </is>
      </c>
      <c r="Z5" s="39" t="inlineStr">
        <is>
          <t>하</t>
        </is>
      </c>
      <c r="AA5" s="39" t="inlineStr">
        <is>
          <t>상</t>
        </is>
      </c>
      <c r="AB5" s="39" t="inlineStr">
        <is>
          <t>하</t>
        </is>
      </c>
      <c r="AC5" s="39" t="inlineStr">
        <is>
          <t>상</t>
        </is>
      </c>
      <c r="AD5" s="39" t="inlineStr">
        <is>
          <t>하</t>
        </is>
      </c>
      <c r="AE5" s="39" t="inlineStr">
        <is>
          <t>상</t>
        </is>
      </c>
      <c r="AF5" s="39" t="inlineStr">
        <is>
          <t>하</t>
        </is>
      </c>
      <c r="AG5" s="39" t="inlineStr">
        <is>
          <t>상</t>
        </is>
      </c>
      <c r="AH5" s="39" t="inlineStr">
        <is>
          <t>하</t>
        </is>
      </c>
      <c r="AI5" s="39" t="inlineStr">
        <is>
          <t>상</t>
        </is>
      </c>
      <c r="AJ5" s="39" t="inlineStr">
        <is>
          <t>하</t>
        </is>
      </c>
      <c r="AK5" s="39" t="inlineStr">
        <is>
          <t>상</t>
        </is>
      </c>
      <c r="AL5" s="39" t="inlineStr">
        <is>
          <t>하</t>
        </is>
      </c>
      <c r="AM5" s="39" t="inlineStr">
        <is>
          <t>상</t>
        </is>
      </c>
      <c r="AN5" s="39" t="inlineStr">
        <is>
          <t>하</t>
        </is>
      </c>
      <c r="AO5" s="14" t="n"/>
    </row>
    <row r="6" hidden="1" ht="12" customHeight="1">
      <c r="E6" s="40">
        <f>IF(N(B3)=0,"",EDATE(DATE(YEAR(B3),MONTH(B3),1),0))</f>
        <v/>
      </c>
      <c r="F6" s="40">
        <f>IF(N(B3)=0,"",EDATE(DATE(YEAR(B3),MONTH(B3),1),0)+15)</f>
        <v/>
      </c>
      <c r="G6" s="40">
        <f>IF(N(B3)=0,"",EDATE(DATE(YEAR(B3),MONTH(B3),1),1))</f>
        <v/>
      </c>
      <c r="H6" s="40">
        <f>IF(N(B3)=0,"",EDATE(DATE(YEAR(B3),MONTH(B3),1),1)+15)</f>
        <v/>
      </c>
      <c r="I6" s="40">
        <f>IF(N(B3)=0,"",EDATE(DATE(YEAR(B3),MONTH(B3),1),2))</f>
        <v/>
      </c>
      <c r="J6" s="40">
        <f>IF(N(B3)=0,"",EDATE(DATE(YEAR(B3),MONTH(B3),1),2)+15)</f>
        <v/>
      </c>
      <c r="K6" s="40">
        <f>IF(N(B3)=0,"",EDATE(DATE(YEAR(B3),MONTH(B3),1),3))</f>
        <v/>
      </c>
      <c r="L6" s="40">
        <f>IF(N(B3)=0,"",EDATE(DATE(YEAR(B3),MONTH(B3),1),3)+15)</f>
        <v/>
      </c>
      <c r="M6" s="40">
        <f>IF(N(B3)=0,"",EDATE(DATE(YEAR(B3),MONTH(B3),1),4))</f>
        <v/>
      </c>
      <c r="N6" s="40">
        <f>IF(N(B3)=0,"",EDATE(DATE(YEAR(B3),MONTH(B3),1),4)+15)</f>
        <v/>
      </c>
      <c r="O6" s="40">
        <f>IF(N(B3)=0,"",EDATE(DATE(YEAR(B3),MONTH(B3),1),5))</f>
        <v/>
      </c>
      <c r="P6" s="40">
        <f>IF(N(B3)=0,"",EDATE(DATE(YEAR(B3),MONTH(B3),1),5)+15)</f>
        <v/>
      </c>
      <c r="Q6" s="40">
        <f>IF(N(B3)=0,"",EDATE(DATE(YEAR(B3),MONTH(B3),1),6))</f>
        <v/>
      </c>
      <c r="R6" s="40">
        <f>IF(N(B3)=0,"",EDATE(DATE(YEAR(B3),MONTH(B3),1),6)+15)</f>
        <v/>
      </c>
      <c r="S6" s="40">
        <f>IF(N(B3)=0,"",EDATE(DATE(YEAR(B3),MONTH(B3),1),7))</f>
        <v/>
      </c>
      <c r="T6" s="40">
        <f>IF(N(B3)=0,"",EDATE(DATE(YEAR(B3),MONTH(B3),1),7)+15)</f>
        <v/>
      </c>
      <c r="U6" s="40">
        <f>IF(N(B3)=0,"",EDATE(DATE(YEAR(B3),MONTH(B3),1),8))</f>
        <v/>
      </c>
      <c r="V6" s="40">
        <f>IF(N(B3)=0,"",EDATE(DATE(YEAR(B3),MONTH(B3),1),8)+15)</f>
        <v/>
      </c>
      <c r="W6" s="40">
        <f>IF(N(B3)=0,"",EDATE(DATE(YEAR(B3),MONTH(B3),1),9))</f>
        <v/>
      </c>
      <c r="X6" s="40">
        <f>IF(N(B3)=0,"",EDATE(DATE(YEAR(B3),MONTH(B3),1),9)+15)</f>
        <v/>
      </c>
      <c r="Y6" s="40">
        <f>IF(N(B3)=0,"",EDATE(DATE(YEAR(B3),MONTH(B3),1),10))</f>
        <v/>
      </c>
      <c r="Z6" s="40">
        <f>IF(N(B3)=0,"",EDATE(DATE(YEAR(B3),MONTH(B3),1),10)+15)</f>
        <v/>
      </c>
      <c r="AA6" s="40">
        <f>IF(N(B3)=0,"",EDATE(DATE(YEAR(B3),MONTH(B3),1),11))</f>
        <v/>
      </c>
      <c r="AB6" s="40">
        <f>IF(N(B3)=0,"",EDATE(DATE(YEAR(B3),MONTH(B3),1),11)+15)</f>
        <v/>
      </c>
      <c r="AC6" s="40">
        <f>IF(N(B3)=0,"",EDATE(DATE(YEAR(B3),MONTH(B3),1),12))</f>
        <v/>
      </c>
      <c r="AD6" s="40">
        <f>IF(N(B3)=0,"",EDATE(DATE(YEAR(B3),MONTH(B3),1),12)+15)</f>
        <v/>
      </c>
      <c r="AE6" s="40">
        <f>IF(N(B3)=0,"",EDATE(DATE(YEAR(B3),MONTH(B3),1),13))</f>
        <v/>
      </c>
      <c r="AF6" s="40">
        <f>IF(N(B3)=0,"",EDATE(DATE(YEAR(B3),MONTH(B3),1),13)+15)</f>
        <v/>
      </c>
      <c r="AG6" s="40">
        <f>IF(N(B3)=0,"",EDATE(DATE(YEAR(B3),MONTH(B3),1),14))</f>
        <v/>
      </c>
      <c r="AH6" s="40">
        <f>IF(N(B3)=0,"",EDATE(DATE(YEAR(B3),MONTH(B3),1),14)+15)</f>
        <v/>
      </c>
      <c r="AI6" s="40">
        <f>IF(N(B3)=0,"",EDATE(DATE(YEAR(B3),MONTH(B3),1),15))</f>
        <v/>
      </c>
      <c r="AJ6" s="40">
        <f>IF(N(B3)=0,"",EDATE(DATE(YEAR(B3),MONTH(B3),1),15)+15)</f>
        <v/>
      </c>
      <c r="AK6" s="40">
        <f>IF(N(B3)=0,"",EDATE(DATE(YEAR(B3),MONTH(B3),1),16))</f>
        <v/>
      </c>
      <c r="AL6" s="40">
        <f>IF(N(B3)=0,"",EDATE(DATE(YEAR(B3),MONTH(B3),1),16)+15)</f>
        <v/>
      </c>
      <c r="AM6" s="40">
        <f>IF(N(B3)=0,"",EDATE(DATE(YEAR(B3),MONTH(B3),1),17))</f>
        <v/>
      </c>
      <c r="AN6" s="40">
        <f>IF(N(B3)=0,"",EDATE(DATE(YEAR(B3),MONTH(B3),1),17)+15)</f>
        <v/>
      </c>
    </row>
    <row r="7" hidden="1" ht="12" customHeight="1">
      <c r="E7" s="40">
        <f>IF(N(B3)=0,"",EDATE(DATE(YEAR(B3),MONTH(B3),1),0)+14)</f>
        <v/>
      </c>
      <c r="F7" s="40">
        <f>IF(N(B3)=0,"",EDATE(DATE(YEAR(B3),MONTH(B3),1),1)-1)</f>
        <v/>
      </c>
      <c r="G7" s="40">
        <f>IF(N(B3)=0,"",EDATE(DATE(YEAR(B3),MONTH(B3),1),1)+14)</f>
        <v/>
      </c>
      <c r="H7" s="40">
        <f>IF(N(B3)=0,"",EDATE(DATE(YEAR(B3),MONTH(B3),1),2)-1)</f>
        <v/>
      </c>
      <c r="I7" s="40">
        <f>IF(N(B3)=0,"",EDATE(DATE(YEAR(B3),MONTH(B3),1),2)+14)</f>
        <v/>
      </c>
      <c r="J7" s="40">
        <f>IF(N(B3)=0,"",EDATE(DATE(YEAR(B3),MONTH(B3),1),3)-1)</f>
        <v/>
      </c>
      <c r="K7" s="40">
        <f>IF(N(B3)=0,"",EDATE(DATE(YEAR(B3),MONTH(B3),1),3)+14)</f>
        <v/>
      </c>
      <c r="L7" s="40">
        <f>IF(N(B3)=0,"",EDATE(DATE(YEAR(B3),MONTH(B3),1),4)-1)</f>
        <v/>
      </c>
      <c r="M7" s="40">
        <f>IF(N(B3)=0,"",EDATE(DATE(YEAR(B3),MONTH(B3),1),4)+14)</f>
        <v/>
      </c>
      <c r="N7" s="40">
        <f>IF(N(B3)=0,"",EDATE(DATE(YEAR(B3),MONTH(B3),1),5)-1)</f>
        <v/>
      </c>
      <c r="O7" s="40">
        <f>IF(N(B3)=0,"",EDATE(DATE(YEAR(B3),MONTH(B3),1),5)+14)</f>
        <v/>
      </c>
      <c r="P7" s="40">
        <f>IF(N(B3)=0,"",EDATE(DATE(YEAR(B3),MONTH(B3),1),6)-1)</f>
        <v/>
      </c>
      <c r="Q7" s="40">
        <f>IF(N(B3)=0,"",EDATE(DATE(YEAR(B3),MONTH(B3),1),6)+14)</f>
        <v/>
      </c>
      <c r="R7" s="40">
        <f>IF(N(B3)=0,"",EDATE(DATE(YEAR(B3),MONTH(B3),1),7)-1)</f>
        <v/>
      </c>
      <c r="S7" s="40">
        <f>IF(N(B3)=0,"",EDATE(DATE(YEAR(B3),MONTH(B3),1),7)+14)</f>
        <v/>
      </c>
      <c r="T7" s="40">
        <f>IF(N(B3)=0,"",EDATE(DATE(YEAR(B3),MONTH(B3),1),8)-1)</f>
        <v/>
      </c>
      <c r="U7" s="40">
        <f>IF(N(B3)=0,"",EDATE(DATE(YEAR(B3),MONTH(B3),1),8)+14)</f>
        <v/>
      </c>
      <c r="V7" s="40">
        <f>IF(N(B3)=0,"",EDATE(DATE(YEAR(B3),MONTH(B3),1),9)-1)</f>
        <v/>
      </c>
      <c r="W7" s="40">
        <f>IF(N(B3)=0,"",EDATE(DATE(YEAR(B3),MONTH(B3),1),9)+14)</f>
        <v/>
      </c>
      <c r="X7" s="40">
        <f>IF(N(B3)=0,"",EDATE(DATE(YEAR(B3),MONTH(B3),1),10)-1)</f>
        <v/>
      </c>
      <c r="Y7" s="40">
        <f>IF(N(B3)=0,"",EDATE(DATE(YEAR(B3),MONTH(B3),1),10)+14)</f>
        <v/>
      </c>
      <c r="Z7" s="40">
        <f>IF(N(B3)=0,"",EDATE(DATE(YEAR(B3),MONTH(B3),1),11)-1)</f>
        <v/>
      </c>
      <c r="AA7" s="40">
        <f>IF(N(B3)=0,"",EDATE(DATE(YEAR(B3),MONTH(B3),1),11)+14)</f>
        <v/>
      </c>
      <c r="AB7" s="40">
        <f>IF(N(B3)=0,"",EDATE(DATE(YEAR(B3),MONTH(B3),1),12)-1)</f>
        <v/>
      </c>
      <c r="AC7" s="40">
        <f>IF(N(B3)=0,"",EDATE(DATE(YEAR(B3),MONTH(B3),1),12)+14)</f>
        <v/>
      </c>
      <c r="AD7" s="40">
        <f>IF(N(B3)=0,"",EDATE(DATE(YEAR(B3),MONTH(B3),1),13)-1)</f>
        <v/>
      </c>
      <c r="AE7" s="40">
        <f>IF(N(B3)=0,"",EDATE(DATE(YEAR(B3),MONTH(B3),1),13)+14)</f>
        <v/>
      </c>
      <c r="AF7" s="40">
        <f>IF(N(B3)=0,"",EDATE(DATE(YEAR(B3),MONTH(B3),1),14)-1)</f>
        <v/>
      </c>
      <c r="AG7" s="40">
        <f>IF(N(B3)=0,"",EDATE(DATE(YEAR(B3),MONTH(B3),1),14)+14)</f>
        <v/>
      </c>
      <c r="AH7" s="40">
        <f>IF(N(B3)=0,"",EDATE(DATE(YEAR(B3),MONTH(B3),1),15)-1)</f>
        <v/>
      </c>
      <c r="AI7" s="40">
        <f>IF(N(B3)=0,"",EDATE(DATE(YEAR(B3),MONTH(B3),1),15)+14)</f>
        <v/>
      </c>
      <c r="AJ7" s="40">
        <f>IF(N(B3)=0,"",EDATE(DATE(YEAR(B3),MONTH(B3),1),16)-1)</f>
        <v/>
      </c>
      <c r="AK7" s="40">
        <f>IF(N(B3)=0,"",EDATE(DATE(YEAR(B3),MONTH(B3),1),16)+14)</f>
        <v/>
      </c>
      <c r="AL7" s="40">
        <f>IF(N(B3)=0,"",EDATE(DATE(YEAR(B3),MONTH(B3),1),17)-1)</f>
        <v/>
      </c>
      <c r="AM7" s="40">
        <f>IF(N(B3)=0,"",EDATE(DATE(YEAR(B3),MONTH(B3),1),17)+14)</f>
        <v/>
      </c>
      <c r="AN7" s="40">
        <f>IF(N(B3)=0,"",EDATE(DATE(YEAR(B3),MONTH(B3),1),18)-1)</f>
        <v/>
      </c>
    </row>
    <row r="8" ht="22" customHeight="1">
      <c r="A8" s="27" t="inlineStr">
        <is>
          <t>어스앵커 강선 제거(4단 → 1단)</t>
        </is>
      </c>
      <c r="B8" s="41" t="n"/>
      <c r="C8" s="41" t="n"/>
      <c r="D8" s="42">
        <f>IF(OR(N(B8)=0,N(C8)=0),"",IF(C8&lt;B8,"⚠",C8-B8+1))</f>
        <v/>
      </c>
      <c r="E8" s="43" t="inlineStr"/>
      <c r="F8" s="43" t="inlineStr"/>
      <c r="G8" s="43" t="inlineStr"/>
      <c r="H8" s="43" t="inlineStr"/>
      <c r="I8" s="43" t="inlineStr"/>
      <c r="J8" s="43" t="inlineStr"/>
      <c r="K8" s="43" t="inlineStr"/>
      <c r="L8" s="43" t="inlineStr"/>
      <c r="M8" s="43" t="inlineStr"/>
      <c r="N8" s="43" t="inlineStr"/>
      <c r="O8" s="43" t="inlineStr"/>
      <c r="P8" s="43" t="inlineStr"/>
      <c r="Q8" s="43" t="inlineStr"/>
      <c r="R8" s="43" t="inlineStr"/>
      <c r="S8" s="43" t="inlineStr"/>
      <c r="T8" s="43" t="inlineStr"/>
      <c r="U8" s="43" t="inlineStr"/>
      <c r="V8" s="43" t="inlineStr"/>
      <c r="W8" s="43" t="inlineStr"/>
      <c r="X8" s="43" t="inlineStr"/>
      <c r="Y8" s="43" t="inlineStr"/>
      <c r="Z8" s="43" t="inlineStr"/>
      <c r="AA8" s="43" t="inlineStr"/>
      <c r="AB8" s="43" t="inlineStr"/>
      <c r="AC8" s="43" t="inlineStr"/>
      <c r="AD8" s="43" t="inlineStr"/>
      <c r="AE8" s="43" t="inlineStr"/>
      <c r="AF8" s="43" t="inlineStr"/>
      <c r="AG8" s="43" t="inlineStr"/>
      <c r="AH8" s="43" t="inlineStr"/>
      <c r="AI8" s="43" t="inlineStr"/>
      <c r="AJ8" s="43" t="inlineStr"/>
      <c r="AK8" s="43" t="inlineStr"/>
      <c r="AL8" s="43" t="inlineStr"/>
      <c r="AM8" s="43" t="inlineStr"/>
      <c r="AN8" s="43" t="inlineStr"/>
      <c r="AO8" s="44" t="n"/>
    </row>
    <row r="9" ht="22" customHeight="1">
      <c r="A9" s="27" t="inlineStr">
        <is>
          <t>띠장 · 보걸이 · 지압판 철거</t>
        </is>
      </c>
      <c r="B9" s="41" t="n"/>
      <c r="C9" s="41" t="n"/>
      <c r="D9" s="42">
        <f>IF(OR(N(B9)=0,N(C9)=0),"",IF(C9&lt;B9,"⚠",C9-B9+1))</f>
        <v/>
      </c>
      <c r="E9" s="43" t="inlineStr"/>
      <c r="F9" s="43" t="inlineStr"/>
      <c r="G9" s="43" t="inlineStr"/>
      <c r="H9" s="43" t="inlineStr"/>
      <c r="I9" s="43" t="inlineStr"/>
      <c r="J9" s="43" t="inlineStr"/>
      <c r="K9" s="43" t="inlineStr"/>
      <c r="L9" s="43" t="inlineStr"/>
      <c r="M9" s="43" t="inlineStr"/>
      <c r="N9" s="43" t="inlineStr"/>
      <c r="O9" s="43" t="inlineStr"/>
      <c r="P9" s="43" t="inlineStr"/>
      <c r="Q9" s="43" t="inlineStr"/>
      <c r="R9" s="43" t="inlineStr"/>
      <c r="S9" s="43" t="inlineStr"/>
      <c r="T9" s="43" t="inlineStr"/>
      <c r="U9" s="43" t="inlineStr"/>
      <c r="V9" s="43" t="inlineStr"/>
      <c r="W9" s="43" t="inlineStr"/>
      <c r="X9" s="43" t="inlineStr"/>
      <c r="Y9" s="43" t="inlineStr"/>
      <c r="Z9" s="43" t="inlineStr"/>
      <c r="AA9" s="43" t="inlineStr"/>
      <c r="AB9" s="43" t="inlineStr"/>
      <c r="AC9" s="43" t="inlineStr"/>
      <c r="AD9" s="43" t="inlineStr"/>
      <c r="AE9" s="43" t="inlineStr"/>
      <c r="AF9" s="43" t="inlineStr"/>
      <c r="AG9" s="43" t="inlineStr"/>
      <c r="AH9" s="43" t="inlineStr"/>
      <c r="AI9" s="43" t="inlineStr"/>
      <c r="AJ9" s="43" t="inlineStr"/>
      <c r="AK9" s="43" t="inlineStr"/>
      <c r="AL9" s="43" t="inlineStr"/>
      <c r="AM9" s="43" t="inlineStr"/>
      <c r="AN9" s="43" t="inlineStr"/>
      <c r="AO9" s="44" t="n"/>
    </row>
    <row r="10" ht="22" customHeight="1">
      <c r="A10" s="27" t="inlineStr">
        <is>
          <t>되메우기(1차 → 5차)</t>
        </is>
      </c>
      <c r="B10" s="41" t="n"/>
      <c r="C10" s="41" t="n"/>
      <c r="D10" s="42">
        <f>IF(OR(N(B10)=0,N(C10)=0),"",IF(C10&lt;B10,"⚠",C10-B10+1))</f>
        <v/>
      </c>
      <c r="E10" s="43" t="inlineStr"/>
      <c r="F10" s="43" t="inlineStr"/>
      <c r="G10" s="43" t="inlineStr"/>
      <c r="H10" s="43" t="inlineStr"/>
      <c r="I10" s="43" t="inlineStr"/>
      <c r="J10" s="43" t="inlineStr"/>
      <c r="K10" s="43" t="inlineStr"/>
      <c r="L10" s="43" t="inlineStr"/>
      <c r="M10" s="43" t="inlineStr"/>
      <c r="N10" s="43" t="inlineStr"/>
      <c r="O10" s="43" t="inlineStr"/>
      <c r="P10" s="43" t="inlineStr"/>
      <c r="Q10" s="43" t="inlineStr"/>
      <c r="R10" s="43" t="inlineStr"/>
      <c r="S10" s="43" t="inlineStr"/>
      <c r="T10" s="43" t="inlineStr"/>
      <c r="U10" s="43" t="inlineStr"/>
      <c r="V10" s="43" t="inlineStr"/>
      <c r="W10" s="43" t="inlineStr"/>
      <c r="X10" s="43" t="inlineStr"/>
      <c r="Y10" s="43" t="inlineStr"/>
      <c r="Z10" s="43" t="inlineStr"/>
      <c r="AA10" s="43" t="inlineStr"/>
      <c r="AB10" s="43" t="inlineStr"/>
      <c r="AC10" s="43" t="inlineStr"/>
      <c r="AD10" s="43" t="inlineStr"/>
      <c r="AE10" s="43" t="inlineStr"/>
      <c r="AF10" s="43" t="inlineStr"/>
      <c r="AG10" s="43" t="inlineStr"/>
      <c r="AH10" s="43" t="inlineStr"/>
      <c r="AI10" s="43" t="inlineStr"/>
      <c r="AJ10" s="43" t="inlineStr"/>
      <c r="AK10" s="43" t="inlineStr"/>
      <c r="AL10" s="43" t="inlineStr"/>
      <c r="AM10" s="43" t="inlineStr"/>
      <c r="AN10" s="43" t="inlineStr"/>
      <c r="AO10" s="44" t="n"/>
    </row>
    <row r="11" ht="22" customHeight="1">
      <c r="A11" s="27" t="inlineStr">
        <is>
          <t>엄지말뚝(H-PILE) 인발</t>
        </is>
      </c>
      <c r="B11" s="41" t="n"/>
      <c r="C11" s="41" t="n"/>
      <c r="D11" s="42">
        <f>IF(OR(N(B11)=0,N(C11)=0),"",IF(C11&lt;B11,"⚠",C11-B11+1))</f>
        <v/>
      </c>
      <c r="E11" s="43" t="inlineStr"/>
      <c r="F11" s="43" t="inlineStr"/>
      <c r="G11" s="43" t="inlineStr"/>
      <c r="H11" s="43" t="inlineStr"/>
      <c r="I11" s="43" t="inlineStr"/>
      <c r="J11" s="43" t="inlineStr"/>
      <c r="K11" s="43" t="inlineStr"/>
      <c r="L11" s="43" t="inlineStr"/>
      <c r="M11" s="43" t="inlineStr"/>
      <c r="N11" s="43" t="inlineStr"/>
      <c r="O11" s="43" t="inlineStr"/>
      <c r="P11" s="43" t="inlineStr"/>
      <c r="Q11" s="43" t="inlineStr"/>
      <c r="R11" s="43" t="inlineStr"/>
      <c r="S11" s="43" t="inlineStr"/>
      <c r="T11" s="43" t="inlineStr"/>
      <c r="U11" s="43" t="inlineStr"/>
      <c r="V11" s="43" t="inlineStr"/>
      <c r="W11" s="43" t="inlineStr"/>
      <c r="X11" s="43" t="inlineStr"/>
      <c r="Y11" s="43" t="inlineStr"/>
      <c r="Z11" s="43" t="inlineStr"/>
      <c r="AA11" s="43" t="inlineStr"/>
      <c r="AB11" s="43" t="inlineStr"/>
      <c r="AC11" s="43" t="inlineStr"/>
      <c r="AD11" s="43" t="inlineStr"/>
      <c r="AE11" s="43" t="inlineStr"/>
      <c r="AF11" s="43" t="inlineStr"/>
      <c r="AG11" s="43" t="inlineStr"/>
      <c r="AH11" s="43" t="inlineStr"/>
      <c r="AI11" s="43" t="inlineStr"/>
      <c r="AJ11" s="43" t="inlineStr"/>
      <c r="AK11" s="43" t="inlineStr"/>
      <c r="AL11" s="43" t="inlineStr"/>
      <c r="AM11" s="43" t="inlineStr"/>
      <c r="AN11" s="43" t="inlineStr"/>
      <c r="AO11" s="44" t="n"/>
    </row>
    <row r="12" ht="22" customHeight="1">
      <c r="A12" s="27" t="inlineStr">
        <is>
          <t>정리 및 준공</t>
        </is>
      </c>
      <c r="B12" s="41" t="n"/>
      <c r="C12" s="41" t="n"/>
      <c r="D12" s="42">
        <f>IF(OR(N(B12)=0,N(C12)=0),"",IF(C12&lt;B12,"⚠",C12-B12+1))</f>
        <v/>
      </c>
      <c r="E12" s="43" t="inlineStr"/>
      <c r="F12" s="43" t="inlineStr"/>
      <c r="G12" s="43" t="inlineStr"/>
      <c r="H12" s="43" t="inlineStr"/>
      <c r="I12" s="43" t="inlineStr"/>
      <c r="J12" s="43" t="inlineStr"/>
      <c r="K12" s="43" t="inlineStr"/>
      <c r="L12" s="43" t="inlineStr"/>
      <c r="M12" s="43" t="inlineStr"/>
      <c r="N12" s="43" t="inlineStr"/>
      <c r="O12" s="43" t="inlineStr"/>
      <c r="P12" s="43" t="inlineStr"/>
      <c r="Q12" s="43" t="inlineStr"/>
      <c r="R12" s="43" t="inlineStr"/>
      <c r="S12" s="43" t="inlineStr"/>
      <c r="T12" s="43" t="inlineStr"/>
      <c r="U12" s="43" t="inlineStr"/>
      <c r="V12" s="43" t="inlineStr"/>
      <c r="W12" s="43" t="inlineStr"/>
      <c r="X12" s="43" t="inlineStr"/>
      <c r="Y12" s="43" t="inlineStr"/>
      <c r="Z12" s="43" t="inlineStr"/>
      <c r="AA12" s="43" t="inlineStr"/>
      <c r="AB12" s="43" t="inlineStr"/>
      <c r="AC12" s="43" t="inlineStr"/>
      <c r="AD12" s="43" t="inlineStr"/>
      <c r="AE12" s="43" t="inlineStr"/>
      <c r="AF12" s="43" t="inlineStr"/>
      <c r="AG12" s="43" t="inlineStr"/>
      <c r="AH12" s="43" t="inlineStr"/>
      <c r="AI12" s="43" t="inlineStr"/>
      <c r="AJ12" s="43" t="inlineStr"/>
      <c r="AK12" s="43" t="inlineStr"/>
      <c r="AL12" s="43" t="inlineStr"/>
      <c r="AM12" s="43" t="inlineStr"/>
      <c r="AN12" s="43" t="inlineStr"/>
      <c r="AO12" s="44" t="n"/>
    </row>
    <row r="13" ht="22" customHeight="1">
      <c r="A13" s="27" t="n"/>
      <c r="B13" s="41" t="n"/>
      <c r="C13" s="41" t="n"/>
      <c r="D13" s="42">
        <f>IF(OR(N(B13)=0,N(C13)=0),"",IF(C13&lt;B13,"⚠",C13-B13+1))</f>
        <v/>
      </c>
      <c r="E13" s="43" t="inlineStr"/>
      <c r="F13" s="43" t="inlineStr"/>
      <c r="G13" s="43" t="inlineStr"/>
      <c r="H13" s="43" t="inlineStr"/>
      <c r="I13" s="43" t="inlineStr"/>
      <c r="J13" s="43" t="inlineStr"/>
      <c r="K13" s="43" t="inlineStr"/>
      <c r="L13" s="43" t="inlineStr"/>
      <c r="M13" s="43" t="inlineStr"/>
      <c r="N13" s="43" t="inlineStr"/>
      <c r="O13" s="43" t="inlineStr"/>
      <c r="P13" s="43" t="inlineStr"/>
      <c r="Q13" s="43" t="inlineStr"/>
      <c r="R13" s="43" t="inlineStr"/>
      <c r="S13" s="43" t="inlineStr"/>
      <c r="T13" s="43" t="inlineStr"/>
      <c r="U13" s="43" t="inlineStr"/>
      <c r="V13" s="43" t="inlineStr"/>
      <c r="W13" s="43" t="inlineStr"/>
      <c r="X13" s="43" t="inlineStr"/>
      <c r="Y13" s="43" t="inlineStr"/>
      <c r="Z13" s="43" t="inlineStr"/>
      <c r="AA13" s="43" t="inlineStr"/>
      <c r="AB13" s="43" t="inlineStr"/>
      <c r="AC13" s="43" t="inlineStr"/>
      <c r="AD13" s="43" t="inlineStr"/>
      <c r="AE13" s="43" t="inlineStr"/>
      <c r="AF13" s="43" t="inlineStr"/>
      <c r="AG13" s="43" t="inlineStr"/>
      <c r="AH13" s="43" t="inlineStr"/>
      <c r="AI13" s="43" t="inlineStr"/>
      <c r="AJ13" s="43" t="inlineStr"/>
      <c r="AK13" s="43" t="inlineStr"/>
      <c r="AL13" s="43" t="inlineStr"/>
      <c r="AM13" s="43" t="inlineStr"/>
      <c r="AN13" s="43" t="inlineStr"/>
      <c r="AO13" s="44" t="n"/>
    </row>
    <row r="14" ht="22" customHeight="1">
      <c r="A14" s="27" t="n"/>
      <c r="B14" s="41" t="n"/>
      <c r="C14" s="41" t="n"/>
      <c r="D14" s="42">
        <f>IF(OR(N(B14)=0,N(C14)=0),"",IF(C14&lt;B14,"⚠",C14-B14+1))</f>
        <v/>
      </c>
      <c r="E14" s="43" t="inlineStr"/>
      <c r="F14" s="43" t="inlineStr"/>
      <c r="G14" s="43" t="inlineStr"/>
      <c r="H14" s="43" t="inlineStr"/>
      <c r="I14" s="43" t="inlineStr"/>
      <c r="J14" s="43" t="inlineStr"/>
      <c r="K14" s="43" t="inlineStr"/>
      <c r="L14" s="43" t="inlineStr"/>
      <c r="M14" s="43" t="inlineStr"/>
      <c r="N14" s="43" t="inlineStr"/>
      <c r="O14" s="43" t="inlineStr"/>
      <c r="P14" s="43" t="inlineStr"/>
      <c r="Q14" s="43" t="inlineStr"/>
      <c r="R14" s="43" t="inlineStr"/>
      <c r="S14" s="43" t="inlineStr"/>
      <c r="T14" s="43" t="inlineStr"/>
      <c r="U14" s="43" t="inlineStr"/>
      <c r="V14" s="43" t="inlineStr"/>
      <c r="W14" s="43" t="inlineStr"/>
      <c r="X14" s="43" t="inlineStr"/>
      <c r="Y14" s="43" t="inlineStr"/>
      <c r="Z14" s="43" t="inlineStr"/>
      <c r="AA14" s="43" t="inlineStr"/>
      <c r="AB14" s="43" t="inlineStr"/>
      <c r="AC14" s="43" t="inlineStr"/>
      <c r="AD14" s="43" t="inlineStr"/>
      <c r="AE14" s="43" t="inlineStr"/>
      <c r="AF14" s="43" t="inlineStr"/>
      <c r="AG14" s="43" t="inlineStr"/>
      <c r="AH14" s="43" t="inlineStr"/>
      <c r="AI14" s="43" t="inlineStr"/>
      <c r="AJ14" s="43" t="inlineStr"/>
      <c r="AK14" s="43" t="inlineStr"/>
      <c r="AL14" s="43" t="inlineStr"/>
      <c r="AM14" s="43" t="inlineStr"/>
      <c r="AN14" s="43" t="inlineStr"/>
      <c r="AO14" s="44" t="n"/>
    </row>
    <row r="15" ht="22" customHeight="1">
      <c r="A15" s="27" t="n"/>
      <c r="B15" s="41" t="n"/>
      <c r="C15" s="41" t="n"/>
      <c r="D15" s="42">
        <f>IF(OR(N(B15)=0,N(C15)=0),"",IF(C15&lt;B15,"⚠",C15-B15+1))</f>
        <v/>
      </c>
      <c r="E15" s="43" t="inlineStr"/>
      <c r="F15" s="43" t="inlineStr"/>
      <c r="G15" s="43" t="inlineStr"/>
      <c r="H15" s="43" t="inlineStr"/>
      <c r="I15" s="43" t="inlineStr"/>
      <c r="J15" s="43" t="inlineStr"/>
      <c r="K15" s="43" t="inlineStr"/>
      <c r="L15" s="43" t="inlineStr"/>
      <c r="M15" s="43" t="inlineStr"/>
      <c r="N15" s="43" t="inlineStr"/>
      <c r="O15" s="43" t="inlineStr"/>
      <c r="P15" s="43" t="inlineStr"/>
      <c r="Q15" s="43" t="inlineStr"/>
      <c r="R15" s="43" t="inlineStr"/>
      <c r="S15" s="43" t="inlineStr"/>
      <c r="T15" s="43" t="inlineStr"/>
      <c r="U15" s="43" t="inlineStr"/>
      <c r="V15" s="43" t="inlineStr"/>
      <c r="W15" s="43" t="inlineStr"/>
      <c r="X15" s="43" t="inlineStr"/>
      <c r="Y15" s="43" t="inlineStr"/>
      <c r="Z15" s="43" t="inlineStr"/>
      <c r="AA15" s="43" t="inlineStr"/>
      <c r="AB15" s="43" t="inlineStr"/>
      <c r="AC15" s="43" t="inlineStr"/>
      <c r="AD15" s="43" t="inlineStr"/>
      <c r="AE15" s="43" t="inlineStr"/>
      <c r="AF15" s="43" t="inlineStr"/>
      <c r="AG15" s="43" t="inlineStr"/>
      <c r="AH15" s="43" t="inlineStr"/>
      <c r="AI15" s="43" t="inlineStr"/>
      <c r="AJ15" s="43" t="inlineStr"/>
      <c r="AK15" s="43" t="inlineStr"/>
      <c r="AL15" s="43" t="inlineStr"/>
      <c r="AM15" s="43" t="inlineStr"/>
      <c r="AN15" s="43" t="inlineStr"/>
      <c r="AO15" s="44" t="n"/>
    </row>
    <row r="16" ht="22" customHeight="1">
      <c r="A16" s="27" t="n"/>
      <c r="B16" s="41" t="n"/>
      <c r="C16" s="41" t="n"/>
      <c r="D16" s="42">
        <f>IF(OR(N(B16)=0,N(C16)=0),"",IF(C16&lt;B16,"⚠",C16-B16+1))</f>
        <v/>
      </c>
      <c r="E16" s="43" t="inlineStr"/>
      <c r="F16" s="43" t="inlineStr"/>
      <c r="G16" s="43" t="inlineStr"/>
      <c r="H16" s="43" t="inlineStr"/>
      <c r="I16" s="43" t="inlineStr"/>
      <c r="J16" s="43" t="inlineStr"/>
      <c r="K16" s="43" t="inlineStr"/>
      <c r="L16" s="43" t="inlineStr"/>
      <c r="M16" s="43" t="inlineStr"/>
      <c r="N16" s="43" t="inlineStr"/>
      <c r="O16" s="43" t="inlineStr"/>
      <c r="P16" s="43" t="inlineStr"/>
      <c r="Q16" s="43" t="inlineStr"/>
      <c r="R16" s="43" t="inlineStr"/>
      <c r="S16" s="43" t="inlineStr"/>
      <c r="T16" s="43" t="inlineStr"/>
      <c r="U16" s="43" t="inlineStr"/>
      <c r="V16" s="43" t="inlineStr"/>
      <c r="W16" s="43" t="inlineStr"/>
      <c r="X16" s="43" t="inlineStr"/>
      <c r="Y16" s="43" t="inlineStr"/>
      <c r="Z16" s="43" t="inlineStr"/>
      <c r="AA16" s="43" t="inlineStr"/>
      <c r="AB16" s="43" t="inlineStr"/>
      <c r="AC16" s="43" t="inlineStr"/>
      <c r="AD16" s="43" t="inlineStr"/>
      <c r="AE16" s="43" t="inlineStr"/>
      <c r="AF16" s="43" t="inlineStr"/>
      <c r="AG16" s="43" t="inlineStr"/>
      <c r="AH16" s="43" t="inlineStr"/>
      <c r="AI16" s="43" t="inlineStr"/>
      <c r="AJ16" s="43" t="inlineStr"/>
      <c r="AK16" s="43" t="inlineStr"/>
      <c r="AL16" s="43" t="inlineStr"/>
      <c r="AM16" s="43" t="inlineStr"/>
      <c r="AN16" s="43" t="inlineStr"/>
      <c r="AO16" s="44" t="n"/>
    </row>
    <row r="17" ht="22" customHeight="1">
      <c r="A17" s="27" t="n"/>
      <c r="B17" s="41" t="n"/>
      <c r="C17" s="41" t="n"/>
      <c r="D17" s="42">
        <f>IF(OR(N(B17)=0,N(C17)=0),"",IF(C17&lt;B17,"⚠",C17-B17+1))</f>
        <v/>
      </c>
      <c r="E17" s="43" t="inlineStr"/>
      <c r="F17" s="43" t="inlineStr"/>
      <c r="G17" s="43" t="inlineStr"/>
      <c r="H17" s="43" t="inlineStr"/>
      <c r="I17" s="43" t="inlineStr"/>
      <c r="J17" s="43" t="inlineStr"/>
      <c r="K17" s="43" t="inlineStr"/>
      <c r="L17" s="43" t="inlineStr"/>
      <c r="M17" s="43" t="inlineStr"/>
      <c r="N17" s="43" t="inlineStr"/>
      <c r="O17" s="43" t="inlineStr"/>
      <c r="P17" s="43" t="inlineStr"/>
      <c r="Q17" s="43" t="inlineStr"/>
      <c r="R17" s="43" t="inlineStr"/>
      <c r="S17" s="43" t="inlineStr"/>
      <c r="T17" s="43" t="inlineStr"/>
      <c r="U17" s="43" t="inlineStr"/>
      <c r="V17" s="43" t="inlineStr"/>
      <c r="W17" s="43" t="inlineStr"/>
      <c r="X17" s="43" t="inlineStr"/>
      <c r="Y17" s="43" t="inlineStr"/>
      <c r="Z17" s="43" t="inlineStr"/>
      <c r="AA17" s="43" t="inlineStr"/>
      <c r="AB17" s="43" t="inlineStr"/>
      <c r="AC17" s="43" t="inlineStr"/>
      <c r="AD17" s="43" t="inlineStr"/>
      <c r="AE17" s="43" t="inlineStr"/>
      <c r="AF17" s="43" t="inlineStr"/>
      <c r="AG17" s="43" t="inlineStr"/>
      <c r="AH17" s="43" t="inlineStr"/>
      <c r="AI17" s="43" t="inlineStr"/>
      <c r="AJ17" s="43" t="inlineStr"/>
      <c r="AK17" s="43" t="inlineStr"/>
      <c r="AL17" s="43" t="inlineStr"/>
      <c r="AM17" s="43" t="inlineStr"/>
      <c r="AN17" s="43" t="inlineStr"/>
      <c r="AO17" s="44" t="n"/>
    </row>
    <row r="18" ht="16" customHeight="1">
      <c r="A18" s="7" t="inlineStr">
        <is>
          <t>※ 일수 = 완료 − 착수 + 1. 막대는 반달(1~15일 · 16일~말일) 단위입니다. 공정은 현장 여건 · 날씨에 따라 바뀔 수 있습니다.</t>
        </is>
      </c>
    </row>
    <row r="20" ht="19.5" customHeight="1">
      <c r="A20" s="7" t="inlineStr">
        <is>
          <t>하늘색 칸 = 자동(착공일 · 달 머리 · 일수). 공종 이름은 원본 차례를 미리 넣어 두었습니다 — 현장에 맞게 고쳐 쓰세요.</t>
        </is>
      </c>
    </row>
  </sheetData>
  <mergeCells count="30">
    <mergeCell ref="W4:X4"/>
    <mergeCell ref="AG4:AH4"/>
    <mergeCell ref="A20:AO20"/>
    <mergeCell ref="Y4:Z4"/>
    <mergeCell ref="C4:C5"/>
    <mergeCell ref="B3:C3"/>
    <mergeCell ref="N1:AO1"/>
    <mergeCell ref="AK4:AL4"/>
    <mergeCell ref="E4:F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A18:AO18"/>
    <mergeCell ref="G4:H4"/>
    <mergeCell ref="A2:AO2"/>
    <mergeCell ref="I4:J4"/>
    <mergeCell ref="B4:B5"/>
    <mergeCell ref="D3:AO3"/>
    <mergeCell ref="K4:L4"/>
    <mergeCell ref="M4:N4"/>
    <mergeCell ref="S4:T4"/>
    <mergeCell ref="AE4:AF4"/>
    <mergeCell ref="U4:V4"/>
  </mergeCells>
  <conditionalFormatting sqref="E8:AN17">
    <cfRule type="expression" priority="1" dxfId="1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1" t="inlineStr">
        <is>
          <t>2.  공사수행계획</t>
        </is>
      </c>
    </row>
    <row r="4" ht="4" customHeight="1"/>
    <row r="5" ht="3" customHeight="1"/>
    <row r="6" ht="22" customHeight="1">
      <c r="A6" s="12" t="inlineStr">
        <is>
          <t>2.1  현장 가설계획</t>
        </is>
      </c>
    </row>
    <row r="7" ht="20" customHeight="1">
      <c r="A7" s="45" t="inlineStr">
        <is>
          <t>(현장 가설계획도를 붙이는 곳 — 비계다리 · 세륜기 및 축중계 · 안전난간대 · 주출입구 위치)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 ht="20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 ht="20" customHeight="1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20" customHeight="1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 ht="20" customHeight="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 ht="20" customHeight="1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 ht="20" customHeight="1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</row>
    <row r="14" ht="20" customHeight="1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2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 ht="2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3" customHeight="1"/>
    <row r="20" ht="22" customHeight="1">
      <c r="A20" s="12" t="inlineStr">
        <is>
          <t>2.2  흙막이 가시설 현황 및 해체 순서</t>
        </is>
      </c>
    </row>
    <row r="21" ht="20" customHeight="1">
      <c r="A21" s="45" t="inlineStr">
        <is>
          <t>(가시설 평면도를 붙이는 곳 — 엄지말뚝 번호 · 구간별 해체 순서 ① ~ ④ · 크레인 위치)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2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 ht="2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</row>
    <row r="24" ht="2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2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 ht="2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 ht="2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 ht="2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 ht="2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 ht="2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1" customHeight="1">
      <c r="A31" s="22" t="inlineStr">
        <is>
          <t>◈ 크레인 양중 검토 (최대 양중 부재 기준)</t>
        </is>
      </c>
    </row>
    <row r="32" ht="24" customHeight="1">
      <c r="A32" s="13" t="inlineStr">
        <is>
          <t>투 입 장 비</t>
        </is>
      </c>
      <c r="B32" s="14" t="n"/>
      <c r="C32" s="14" t="n"/>
      <c r="D32" s="24" t="inlineStr">
        <is>
          <t>25톤 하이드로 크레인</t>
        </is>
      </c>
      <c r="E32" s="14" t="n"/>
      <c r="F32" s="14" t="n"/>
      <c r="G32" s="13" t="inlineStr">
        <is>
          <t>작업 반경</t>
        </is>
      </c>
      <c r="H32" s="14" t="n"/>
      <c r="I32" s="14" t="n"/>
      <c r="J32" s="46" t="n">
        <v>22</v>
      </c>
      <c r="K32" s="14" t="n"/>
      <c r="L32" s="14" t="n"/>
    </row>
    <row r="33" ht="24" customHeight="1">
      <c r="A33" s="13" t="inlineStr">
        <is>
          <t>최대 양중 부재</t>
        </is>
      </c>
      <c r="B33" s="14" t="n"/>
      <c r="C33" s="14" t="n"/>
      <c r="D33" s="25" t="inlineStr">
        <is>
          <t>H-300×300×10×15</t>
        </is>
      </c>
      <c r="E33" s="14" t="n"/>
      <c r="F33" s="14" t="n"/>
      <c r="G33" s="13" t="inlineStr">
        <is>
          <t>단위중량 (kg/m)</t>
        </is>
      </c>
      <c r="H33" s="14" t="n"/>
      <c r="I33" s="14" t="n"/>
      <c r="J33" s="47" t="n">
        <v>94</v>
      </c>
      <c r="K33" s="14" t="n"/>
      <c r="L33" s="14" t="n"/>
    </row>
    <row r="34" ht="24" customHeight="1">
      <c r="A34" s="13" t="inlineStr">
        <is>
          <t>부재 길이 (m)</t>
        </is>
      </c>
      <c r="B34" s="14" t="n"/>
      <c r="C34" s="14" t="n"/>
      <c r="D34" s="48" t="n">
        <v>15</v>
      </c>
      <c r="E34" s="14" t="n"/>
      <c r="F34" s="14" t="n"/>
      <c r="G34" s="13" t="inlineStr">
        <is>
          <t>부재 중량</t>
        </is>
      </c>
      <c r="H34" s="14" t="n"/>
      <c r="I34" s="14" t="n"/>
      <c r="J34" s="49">
        <f>IF(OR(N(D34)=0,N(J33)=0),"",ROUND(D34*J33/1000,2))</f>
        <v/>
      </c>
      <c r="K34" s="14" t="n"/>
      <c r="L34" s="14" t="n"/>
    </row>
    <row r="35" ht="24" customHeight="1">
      <c r="A35" s="13" t="inlineStr">
        <is>
          <t>훅 · 줄걸이 등 (톤)</t>
        </is>
      </c>
      <c r="B35" s="14" t="n"/>
      <c r="C35" s="14" t="n"/>
      <c r="D35" s="50" t="n"/>
      <c r="E35" s="14" t="n"/>
      <c r="F35" s="14" t="n"/>
      <c r="G35" s="13" t="inlineStr">
        <is>
          <t>정격 총하중 (톤)</t>
        </is>
      </c>
      <c r="H35" s="14" t="n"/>
      <c r="I35" s="14" t="n"/>
      <c r="J35" s="50" t="n"/>
      <c r="K35" s="14" t="n"/>
      <c r="L35" s="14" t="n"/>
    </row>
    <row r="36" ht="26" customHeight="1">
      <c r="A36" s="32" t="inlineStr">
        <is>
          <t>사 용 률</t>
        </is>
      </c>
      <c r="B36" s="14" t="n"/>
      <c r="C36" s="14" t="n"/>
      <c r="D36" s="51">
        <f>IF(OR(J34="",N(J35)=0),"",(N(J34)+N(D35))/J35)</f>
        <v/>
      </c>
      <c r="E36" s="14" t="n"/>
      <c r="F36" s="14" t="n"/>
      <c r="G36" s="52">
        <f>IF(D36="","",IF(D36&lt;=1,"정격 총하중 이내","⚠ 정격 총하중 초과 — 장비 · 반경 다시 검토"))</f>
        <v/>
      </c>
      <c r="H36" s="14" t="n"/>
      <c r="I36" s="14" t="n"/>
      <c r="J36" s="14" t="n"/>
      <c r="K36" s="14" t="n"/>
      <c r="L36" s="14" t="n"/>
    </row>
    <row r="37" ht="29.65" customHeight="1">
      <c r="A37" s="53" t="inlineStr">
        <is>
          <t>※ 정격 총하중은 사용할 크레인 하중표에서 «작업 반경 · 붐 길이» 에 해당하는 값을 적습니다. 원본 예 : H-300×300×10×15, 15.0m × 94kg/m = 1.41톤, 작업 반경 22m.</t>
        </is>
      </c>
    </row>
    <row r="38" ht="3" customHeight="1"/>
    <row r="39" ht="22" customHeight="1">
      <c r="A39" s="12" t="inlineStr">
        <is>
          <t>2.3  흙막이 가시설 단계별 해체계획</t>
        </is>
      </c>
    </row>
    <row r="40" ht="18" customHeight="1">
      <c r="A40" s="45" t="inlineStr">
        <is>
          <t>(가시설 단면도를 붙이는 곳 — 단계별 되메우기 높이 · 앵커 단수 표시)</t>
        </is>
      </c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 ht="18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 ht="18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 ht="18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</row>
    <row r="44" ht="18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 ht="18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</row>
    <row r="46" ht="18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</row>
    <row r="47" ht="18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</row>
    <row r="48" ht="18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 ht="30" customHeight="1">
      <c r="A49" s="23" t="inlineStr">
        <is>
          <t>순서</t>
        </is>
      </c>
      <c r="B49" s="23" t="inlineStr">
        <is>
          <t>단    계</t>
        </is>
      </c>
      <c r="C49" s="14" t="n"/>
      <c r="D49" s="14" t="n"/>
      <c r="E49" s="54" t="inlineStr">
        <is>
          <t>되메우기
높이 (m)</t>
        </is>
      </c>
      <c r="F49" s="14" t="n"/>
      <c r="G49" s="23" t="inlineStr">
        <is>
          <t>누계 (m)</t>
        </is>
      </c>
      <c r="H49" s="14" t="n"/>
      <c r="I49" s="23" t="inlineStr">
        <is>
          <t>해 체 내 용</t>
        </is>
      </c>
      <c r="J49" s="14" t="n"/>
      <c r="K49" s="14" t="n"/>
      <c r="L49" s="14" t="n"/>
    </row>
    <row r="50" ht="30" customHeight="1">
      <c r="A50" s="18" t="inlineStr">
        <is>
          <t>1</t>
        </is>
      </c>
      <c r="B50" s="20" t="inlineStr">
        <is>
          <t>1차 되메우기</t>
        </is>
      </c>
      <c r="C50" s="14" t="n"/>
      <c r="D50" s="14" t="n"/>
      <c r="E50" s="50" t="n"/>
      <c r="F50" s="14" t="n"/>
      <c r="G50" s="55">
        <f>IF(N(E50)=0,"",SUM(E50:E50))</f>
        <v/>
      </c>
      <c r="H50" s="14" t="n"/>
      <c r="I50" s="56" t="inlineStr">
        <is>
          <t>1층 외벽 콘크리트 타설 및 양생 뒤</t>
        </is>
      </c>
      <c r="J50" s="14" t="n"/>
      <c r="K50" s="14" t="n"/>
      <c r="L50" s="14" t="n"/>
    </row>
    <row r="51" ht="30" customHeight="1">
      <c r="A51" s="18" t="inlineStr">
        <is>
          <t>2</t>
        </is>
      </c>
      <c r="B51" s="20" t="inlineStr">
        <is>
          <t>1차 해체 · 2차 되메우기</t>
        </is>
      </c>
      <c r="C51" s="14" t="n"/>
      <c r="D51" s="14" t="n"/>
      <c r="E51" s="50" t="n"/>
      <c r="F51" s="14" t="n"/>
      <c r="G51" s="55">
        <f>IF(N(E51)=0,"",SUM(E50:E51))</f>
        <v/>
      </c>
      <c r="H51" s="14" t="n"/>
      <c r="I51" s="56" t="inlineStr">
        <is>
          <t>4단 어스앵커 강선 제거 · 절단 → 지압판 → 띠장 → 보걸이 철거</t>
        </is>
      </c>
      <c r="J51" s="14" t="n"/>
      <c r="K51" s="14" t="n"/>
      <c r="L51" s="14" t="n"/>
    </row>
    <row r="52" ht="30" customHeight="1">
      <c r="A52" s="18" t="inlineStr">
        <is>
          <t>3</t>
        </is>
      </c>
      <c r="B52" s="20" t="inlineStr">
        <is>
          <t>2차 해체 · 3차 되메우기</t>
        </is>
      </c>
      <c r="C52" s="14" t="n"/>
      <c r="D52" s="14" t="n"/>
      <c r="E52" s="50" t="n"/>
      <c r="F52" s="14" t="n"/>
      <c r="G52" s="55">
        <f>IF(N(E52)=0,"",SUM(E50:E52))</f>
        <v/>
      </c>
      <c r="H52" s="14" t="n"/>
      <c r="I52" s="56" t="inlineStr">
        <is>
          <t>3단 어스앵커 강선 제거 · 절단 → 지압판 → 띠장 → 보걸이 철거</t>
        </is>
      </c>
      <c r="J52" s="14" t="n"/>
      <c r="K52" s="14" t="n"/>
      <c r="L52" s="14" t="n"/>
    </row>
    <row r="53" ht="30" customHeight="1">
      <c r="A53" s="18" t="inlineStr">
        <is>
          <t>4</t>
        </is>
      </c>
      <c r="B53" s="20" t="inlineStr">
        <is>
          <t>3차 해체 · 4차 되메우기</t>
        </is>
      </c>
      <c r="C53" s="14" t="n"/>
      <c r="D53" s="14" t="n"/>
      <c r="E53" s="50" t="n"/>
      <c r="F53" s="14" t="n"/>
      <c r="G53" s="55">
        <f>IF(N(E53)=0,"",SUM(E50:E53))</f>
        <v/>
      </c>
      <c r="H53" s="14" t="n"/>
      <c r="I53" s="56" t="inlineStr">
        <is>
          <t>2단 어스앵커 강선 제거 · 절단 → 지압판 → 띠장 → 보걸이 철거</t>
        </is>
      </c>
      <c r="J53" s="14" t="n"/>
      <c r="K53" s="14" t="n"/>
      <c r="L53" s="14" t="n"/>
    </row>
    <row r="54" ht="30" customHeight="1">
      <c r="A54" s="18" t="inlineStr">
        <is>
          <t>5</t>
        </is>
      </c>
      <c r="B54" s="20" t="inlineStr">
        <is>
          <t>4차 해체 · 5차 되메우기</t>
        </is>
      </c>
      <c r="C54" s="14" t="n"/>
      <c r="D54" s="14" t="n"/>
      <c r="E54" s="50" t="n"/>
      <c r="F54" s="14" t="n"/>
      <c r="G54" s="55">
        <f>IF(N(E54)=0,"",SUM(E50:E54))</f>
        <v/>
      </c>
      <c r="H54" s="14" t="n"/>
      <c r="I54" s="56" t="inlineStr">
        <is>
          <t>1단 어스앵커 강선 제거 · 절단 → 지압판 → 띠장 → 보걸이 철거</t>
        </is>
      </c>
      <c r="J54" s="14" t="n"/>
      <c r="K54" s="14" t="n"/>
      <c r="L54" s="14" t="n"/>
    </row>
    <row r="55" ht="30" customHeight="1">
      <c r="A55" s="18" t="inlineStr">
        <is>
          <t>6</t>
        </is>
      </c>
      <c r="B55" s="20" t="inlineStr">
        <is>
          <t>엄지말뚝 인발</t>
        </is>
      </c>
      <c r="C55" s="14" t="n"/>
      <c r="D55" s="14" t="n"/>
      <c r="E55" s="50" t="n"/>
      <c r="F55" s="14" t="n"/>
      <c r="G55" s="55">
        <f>IF(N(E55)=0,"",SUM(E50:E55))</f>
        <v/>
      </c>
      <c r="H55" s="14" t="n"/>
      <c r="I55" s="56" t="inlineStr">
        <is>
          <t>1번 → 끝 번호 순서로 인발</t>
        </is>
      </c>
      <c r="J55" s="14" t="n"/>
      <c r="K55" s="14" t="n"/>
      <c r="L55" s="14" t="n"/>
    </row>
    <row r="56" ht="26" customHeight="1">
      <c r="A56" s="32" t="inlineStr">
        <is>
          <t>되메우기 높이 합계</t>
        </is>
      </c>
      <c r="B56" s="14" t="n"/>
      <c r="C56" s="14" t="n"/>
      <c r="D56" s="14" t="n"/>
      <c r="E56" s="57">
        <f>IF(SUM(E50:E55)=0,"",SUM(E50:E55))</f>
        <v/>
      </c>
      <c r="F56" s="14" t="n"/>
      <c r="G56" s="58">
        <f>IF(OR(E56="",N('개요'!D19)=0),"",IF(ABS(E56-'개요'!D19)&lt;0.005,"✓ 굴착 깊이와 같음","굴착 깊이와 "&amp;TEXT(ABS(E56-'개요'!D19),"0.00")&amp;" m 차이"))</f>
        <v/>
      </c>
      <c r="H56" s="14" t="n"/>
      <c r="I56" s="14" t="n"/>
      <c r="J56" s="14" t="n"/>
      <c r="K56" s="14" t="n"/>
      <c r="L56" s="14" t="n"/>
    </row>
    <row r="57" ht="36" customHeight="1">
      <c r="A57" s="22" t="inlineStr">
        <is>
          <t>□ 흙막이 가시설 해체 및 되메움 — 기본 순서에 따라 해체하며, 철저한 계측관리로 흙막이 벽에 급격한 토압 변화가 생겨 토사면이 무너지거나 구조체가 손상되지 않게 한다.</t>
        </is>
      </c>
    </row>
    <row r="58" ht="21" customHeight="1">
      <c r="A58" s="22" t="inlineStr">
        <is>
          <t>3. 되메움</t>
        </is>
      </c>
    </row>
    <row r="59" ht="19.725" customHeight="1">
      <c r="A59" s="59" t="inlineStr">
        <is>
          <t>-</t>
        </is>
      </c>
      <c r="B59" s="60" t="inlineStr">
        <is>
          <t>본 구체에 무리한 측압이 생기지 않도록 나누어 되메운다.</t>
        </is>
      </c>
    </row>
    <row r="60" ht="19.725" customHeight="1">
      <c r="A60" s="59" t="inlineStr">
        <is>
          <t>-</t>
        </is>
      </c>
      <c r="B60" s="60" t="inlineStr">
        <is>
          <t>되메우기 재료는 양질의 토사로 한다.</t>
        </is>
      </c>
    </row>
    <row r="61" ht="19.725" customHeight="1">
      <c r="A61" s="59" t="inlineStr">
        <is>
          <t>-</t>
        </is>
      </c>
      <c r="B61" s="60" t="inlineStr">
        <is>
          <t>되메우기 전 폐기물이 묻히지 않도록 철저히 관리한다(사진 촬영).</t>
        </is>
      </c>
    </row>
    <row r="62" ht="19.725" customHeight="1">
      <c r="A62" s="59" t="inlineStr">
        <is>
          <t>-</t>
        </is>
      </c>
      <c r="B62" s="60" t="inlineStr">
        <is>
          <t>되메우기 전 구조체 양생 상태를 확인하고 감리원과 협의한 뒤 작업한다.</t>
        </is>
      </c>
    </row>
    <row r="63" ht="19.725" customHeight="1">
      <c r="A63" s="59" t="inlineStr">
        <is>
          <t>-</t>
        </is>
      </c>
      <c r="B63" s="60" t="inlineStr">
        <is>
          <t>덤프트럭 반입 때 흙막이 벽에 영향이 없도록 신호수를 배치한다.</t>
        </is>
      </c>
    </row>
    <row r="64" ht="21" customHeight="1">
      <c r="A64" s="22" t="inlineStr">
        <is>
          <t>□ 제거식 어스앵커 해체</t>
        </is>
      </c>
    </row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34.45" customHeight="1">
      <c r="A74" s="59" t="inlineStr">
        <is>
          <t>-</t>
        </is>
      </c>
      <c r="B74" s="60" t="inlineStr">
        <is>
          <t>강연선은 천공 벽면에서 먼 지점(약 50cm)을 산소 절단하여 작업 공간을 확보하고, 해체 작업 때 작업자는 강연선 정면에 서지 않는다.</t>
        </is>
      </c>
    </row>
    <row r="75" ht="19.725" customHeight="1">
      <c r="A75" s="59" t="inlineStr">
        <is>
          <t>-</t>
        </is>
      </c>
      <c r="B75" s="60" t="inlineStr">
        <is>
          <t>강연선은 인력으로 제거하며, 반발력으로 해체되지 않으면 해머 타격으로 해체한다.</t>
        </is>
      </c>
    </row>
    <row r="76" ht="49.175" customHeight="1">
      <c r="A76" s="59" t="inlineStr">
        <is>
          <t>-</t>
        </is>
      </c>
      <c r="B76" s="60" t="inlineStr">
        <is>
          <t>강연선 제거 방법 · 공구는 사용한 앵커 제품의 해체 시방서(제조사)에 따른다. 물기가 많거나 비가 올 때는 전동공구 작업을 하지 않고, 가슴 높이를 넘는 곳은 작업발판을 설치한 뒤 작업한다.</t>
        </is>
      </c>
    </row>
    <row r="77" ht="3" customHeight="1"/>
    <row r="78" ht="22" customHeight="1">
      <c r="A78" s="12" t="inlineStr">
        <is>
          <t>2.4  폐기물 처리계획</t>
        </is>
      </c>
    </row>
    <row r="79" ht="24" customHeight="1">
      <c r="A79" s="23" t="inlineStr">
        <is>
          <t>종    류</t>
        </is>
      </c>
      <c r="B79" s="14" t="n"/>
      <c r="C79" s="14" t="n"/>
      <c r="D79" s="23" t="inlineStr">
        <is>
          <t>예상 발생량</t>
        </is>
      </c>
      <c r="E79" s="14" t="n"/>
      <c r="F79" s="23" t="inlineStr">
        <is>
          <t>단위</t>
        </is>
      </c>
      <c r="G79" s="23" t="inlineStr">
        <is>
          <t>처 리 방 법</t>
        </is>
      </c>
      <c r="H79" s="14" t="n"/>
      <c r="I79" s="14" t="n"/>
      <c r="J79" s="14" t="n"/>
      <c r="K79" s="14" t="n"/>
      <c r="L79" s="14" t="n"/>
    </row>
    <row r="80" ht="24" customHeight="1">
      <c r="A80" s="27" t="inlineStr">
        <is>
          <t>폐목재(토류판)</t>
        </is>
      </c>
      <c r="B80" s="14" t="n"/>
      <c r="C80" s="14" t="n"/>
      <c r="D80" s="26" t="n"/>
      <c r="E80" s="14" t="n"/>
      <c r="F80" s="28" t="inlineStr">
        <is>
          <t>톤</t>
        </is>
      </c>
      <c r="G80" s="27" t="inlineStr">
        <is>
          <t>건설폐기물 위탁 처리(허가 업체) · 재활용 가능한 것은 분리</t>
        </is>
      </c>
      <c r="H80" s="14" t="n"/>
      <c r="I80" s="14" t="n"/>
      <c r="J80" s="14" t="n"/>
      <c r="K80" s="14" t="n"/>
      <c r="L80" s="14" t="n"/>
    </row>
    <row r="81" ht="24" customHeight="1">
      <c r="A81" s="27" t="inlineStr">
        <is>
          <t>폐콘크리트 · 모르타르</t>
        </is>
      </c>
      <c r="B81" s="14" t="n"/>
      <c r="C81" s="14" t="n"/>
      <c r="D81" s="26" t="n"/>
      <c r="E81" s="14" t="n"/>
      <c r="F81" s="28" t="inlineStr">
        <is>
          <t>톤</t>
        </is>
      </c>
      <c r="G81" s="27" t="inlineStr">
        <is>
          <t>건설폐기물 위탁 처리</t>
        </is>
      </c>
      <c r="H81" s="14" t="n"/>
      <c r="I81" s="14" t="n"/>
      <c r="J81" s="14" t="n"/>
      <c r="K81" s="14" t="n"/>
      <c r="L81" s="14" t="n"/>
    </row>
    <row r="82" ht="24" customHeight="1">
      <c r="A82" s="27" t="inlineStr">
        <is>
          <t>고철(띠장 · 보걸이 · 지압판 · 강연선)</t>
        </is>
      </c>
      <c r="B82" s="14" t="n"/>
      <c r="C82" s="14" t="n"/>
      <c r="D82" s="26" t="n"/>
      <c r="E82" s="14" t="n"/>
      <c r="F82" s="28" t="inlineStr">
        <is>
          <t>톤</t>
        </is>
      </c>
      <c r="G82" s="27" t="inlineStr">
        <is>
          <t>분리 · 매각(재활용)</t>
        </is>
      </c>
      <c r="H82" s="14" t="n"/>
      <c r="I82" s="14" t="n"/>
      <c r="J82" s="14" t="n"/>
      <c r="K82" s="14" t="n"/>
      <c r="L82" s="14" t="n"/>
    </row>
    <row r="83" ht="24" customHeight="1">
      <c r="A83" s="27" t="inlineStr">
        <is>
          <t>폐유 · 폐오일</t>
        </is>
      </c>
      <c r="B83" s="14" t="n"/>
      <c r="C83" s="14" t="n"/>
      <c r="D83" s="26" t="n"/>
      <c r="E83" s="14" t="n"/>
      <c r="F83" s="28" t="inlineStr">
        <is>
          <t>ℓ</t>
        </is>
      </c>
      <c r="G83" s="27" t="inlineStr">
        <is>
          <t>지정폐기물 — 허가 업체 위탁 처리</t>
        </is>
      </c>
      <c r="H83" s="14" t="n"/>
      <c r="I83" s="14" t="n"/>
      <c r="J83" s="14" t="n"/>
      <c r="K83" s="14" t="n"/>
      <c r="L83" s="14" t="n"/>
    </row>
    <row r="84" ht="24" customHeight="1">
      <c r="A84" s="27" t="n"/>
      <c r="B84" s="14" t="n"/>
      <c r="C84" s="14" t="n"/>
      <c r="D84" s="26" t="n"/>
      <c r="E84" s="14" t="n"/>
      <c r="F84" s="28" t="n"/>
      <c r="G84" s="27" t="n"/>
      <c r="H84" s="14" t="n"/>
      <c r="I84" s="14" t="n"/>
      <c r="J84" s="14" t="n"/>
      <c r="K84" s="14" t="n"/>
      <c r="L84" s="14" t="n"/>
    </row>
    <row r="86" ht="34" customHeight="1">
      <c r="A86" s="7" t="inlineStr">
        <is>
          <t>하늘색 칸 = 자동(부재 중량 · 사용률 · 판정 · 되메우기 누계 · 굴착 깊이 대조). 설명 그림(강연선 절단 · 제거)은 원본 그림 그대로입니다.</t>
        </is>
      </c>
    </row>
  </sheetData>
  <mergeCells count="92">
    <mergeCell ref="A80:C80"/>
    <mergeCell ref="A40:L48"/>
    <mergeCell ref="A37:L37"/>
    <mergeCell ref="D84:E84"/>
    <mergeCell ref="J35:L35"/>
    <mergeCell ref="B53:D53"/>
    <mergeCell ref="G83:L83"/>
    <mergeCell ref="A57:L57"/>
    <mergeCell ref="E51:F51"/>
    <mergeCell ref="E49:F49"/>
    <mergeCell ref="A34:C34"/>
    <mergeCell ref="A83:C83"/>
    <mergeCell ref="G81:L81"/>
    <mergeCell ref="B54:D54"/>
    <mergeCell ref="A56:D56"/>
    <mergeCell ref="I53:L53"/>
    <mergeCell ref="A6:L6"/>
    <mergeCell ref="E53:F53"/>
    <mergeCell ref="B63:L63"/>
    <mergeCell ref="G82:L82"/>
    <mergeCell ref="A78:L78"/>
    <mergeCell ref="I52:L52"/>
    <mergeCell ref="A7:L18"/>
    <mergeCell ref="E55:F55"/>
    <mergeCell ref="A21:L30"/>
    <mergeCell ref="A3:L3"/>
    <mergeCell ref="A32:C32"/>
    <mergeCell ref="A81:C81"/>
    <mergeCell ref="B61:L61"/>
    <mergeCell ref="G49:H49"/>
    <mergeCell ref="G32:I32"/>
    <mergeCell ref="J33:L33"/>
    <mergeCell ref="G84:L84"/>
    <mergeCell ref="A31:L31"/>
    <mergeCell ref="I54:L54"/>
    <mergeCell ref="A58:L58"/>
    <mergeCell ref="A82:C82"/>
    <mergeCell ref="D79:E79"/>
    <mergeCell ref="E50:F50"/>
    <mergeCell ref="A84:C84"/>
    <mergeCell ref="D32:F32"/>
    <mergeCell ref="D81:E81"/>
    <mergeCell ref="G34:I34"/>
    <mergeCell ref="E52:F52"/>
    <mergeCell ref="A86:L86"/>
    <mergeCell ref="J32:L32"/>
    <mergeCell ref="B49:D49"/>
    <mergeCell ref="B60:L60"/>
    <mergeCell ref="D33:F33"/>
    <mergeCell ref="B51:D51"/>
    <mergeCell ref="A20:L20"/>
    <mergeCell ref="B50:D50"/>
    <mergeCell ref="D35:F35"/>
    <mergeCell ref="D34:F34"/>
    <mergeCell ref="D83:E83"/>
    <mergeCell ref="G51:H51"/>
    <mergeCell ref="A64:L64"/>
    <mergeCell ref="E54:F54"/>
    <mergeCell ref="G54:H54"/>
    <mergeCell ref="A79:C79"/>
    <mergeCell ref="A1:F1"/>
    <mergeCell ref="D36:F36"/>
    <mergeCell ref="G50:H50"/>
    <mergeCell ref="J34:L34"/>
    <mergeCell ref="E56:F56"/>
    <mergeCell ref="B75:L75"/>
    <mergeCell ref="G52:H52"/>
    <mergeCell ref="B62:L62"/>
    <mergeCell ref="B59:L59"/>
    <mergeCell ref="I51:L51"/>
    <mergeCell ref="D80:E80"/>
    <mergeCell ref="G33:I33"/>
    <mergeCell ref="I50:L50"/>
    <mergeCell ref="A33:C33"/>
    <mergeCell ref="G80:L80"/>
    <mergeCell ref="G35:I35"/>
    <mergeCell ref="G53:H53"/>
    <mergeCell ref="G79:L79"/>
    <mergeCell ref="A35:C35"/>
    <mergeCell ref="B55:D55"/>
    <mergeCell ref="I49:L49"/>
    <mergeCell ref="G1:L1"/>
    <mergeCell ref="G56:L56"/>
    <mergeCell ref="A39:L39"/>
    <mergeCell ref="G55:H55"/>
    <mergeCell ref="A36:C36"/>
    <mergeCell ref="B74:L74"/>
    <mergeCell ref="G36:L36"/>
    <mergeCell ref="D82:E82"/>
    <mergeCell ref="B52:D52"/>
    <mergeCell ref="I55:L55"/>
    <mergeCell ref="B76:L76"/>
  </mergeCells>
  <conditionalFormatting sqref="D80:D84">
    <cfRule type="expression" priority="1" dxfId="0">
      <formula>AND(ISNUMBER(D80),MOD(D80,1)=0)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37" min="0" max="16383" man="1"/>
    <brk id="63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8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1" t="inlineStr">
        <is>
          <t>3.  안전관리계획</t>
        </is>
      </c>
    </row>
    <row r="4" ht="4" customHeight="1"/>
    <row r="5" ht="3" customHeight="1"/>
    <row r="6" ht="22" customHeight="1">
      <c r="A6" s="12" t="inlineStr">
        <is>
          <t>3.1  안전관리 중점 추진 방향</t>
        </is>
      </c>
    </row>
    <row r="7" ht="64.90000000000001" customHeight="1">
      <c r="A7" s="61" t="inlineStr">
        <is>
          <t>효율적인 안전보건관리로 재해를 미리 막고 인명 피해를 최소화하여 인적 · 물적 손실을 방지하기 위해, 안전조직 구성 · 안전관리 관계자의 직무 · 상벌 등 안전관리의 기본 사항을 정한다. ▣ 위험요소 발굴카드 활용 및 즉각 조치 ▣ 공종별 안전관리 주요 항목 집중관리 ▣ 일일 시공 사이클 내실화 ▣ 안전사고 «ZERO»</t>
        </is>
      </c>
    </row>
    <row r="8" ht="24" customHeight="1">
      <c r="A8" s="23" t="inlineStr">
        <is>
          <t>주요 항목</t>
        </is>
      </c>
      <c r="B8" s="14" t="n"/>
      <c r="C8" s="14" t="n"/>
      <c r="D8" s="23" t="inlineStr">
        <is>
          <t>안   전   관   리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</row>
    <row r="9" ht="34.5" customHeight="1">
      <c r="A9" s="34" t="inlineStr">
        <is>
          <t>어스앵커 강선 제거</t>
        </is>
      </c>
      <c r="B9" s="14" t="n"/>
      <c r="C9" s="14" t="n"/>
      <c r="D9" s="35" t="inlineStr">
        <is>
          <t>강선은 높은 인장력이 걸린 상태에서 갑자기 절단되므로 부품이 날아갈 우려가 있어 주의한다. 땅속 강선을 제거할 때는 급격히 뽑지 말고 서서히 인발한다.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34.5" customHeight="1">
      <c r="A10" s="34" t="inlineStr">
        <is>
          <t>띠장 · 보걸이 해체</t>
        </is>
      </c>
      <c r="B10" s="14" t="n"/>
      <c r="C10" s="14" t="n"/>
      <c r="D10" s="35" t="inlineStr">
        <is>
          <t>띠장과 엄지말뚝의 연결부를 절단할 때는 띠장이 떨어지지 않도록 인양장비에 걸어 두는 등 안전조치를 먼저 한다.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 ht="30" customHeight="1">
      <c r="A11" s="34" t="inlineStr">
        <is>
          <t>되메우기 · 중장비</t>
        </is>
      </c>
      <c r="B11" s="14" t="n"/>
      <c r="C11" s="14" t="n"/>
      <c r="D11" s="35" t="inlineStr">
        <is>
          <t>작업반경 안 접근 금지 · 중장비 전담 신호수 배치 · 운영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 ht="3" customHeight="1"/>
    <row r="13" ht="22" customHeight="1">
      <c r="A13" s="12" t="inlineStr">
        <is>
          <t>3.2  주요 관리 및 교육 활동 — 일일 시공 CYCLE</t>
        </is>
      </c>
    </row>
    <row r="14" ht="24" customHeight="1">
      <c r="A14" s="23" t="inlineStr">
        <is>
          <t>시  각</t>
        </is>
      </c>
      <c r="B14" s="14" t="n"/>
      <c r="C14" s="23" t="inlineStr">
        <is>
          <t>활    동</t>
        </is>
      </c>
      <c r="D14" s="14" t="n"/>
      <c r="E14" s="14" t="n"/>
      <c r="F14" s="23" t="inlineStr">
        <is>
          <t>내        용</t>
        </is>
      </c>
      <c r="G14" s="14" t="n"/>
      <c r="H14" s="14" t="n"/>
      <c r="I14" s="14" t="n"/>
      <c r="J14" s="14" t="n"/>
      <c r="K14" s="14" t="n"/>
      <c r="L14" s="14" t="n"/>
    </row>
    <row r="15" ht="22" customHeight="1">
      <c r="A15" s="34" t="inlineStr">
        <is>
          <t>06:50</t>
        </is>
      </c>
      <c r="B15" s="14" t="n"/>
      <c r="C15" s="35" t="inlineStr">
        <is>
          <t>안전 조회</t>
        </is>
      </c>
      <c r="D15" s="14" t="n"/>
      <c r="E15" s="14" t="n"/>
      <c r="F15" s="35" t="inlineStr">
        <is>
          <t>참석 인원 파악 · 작업 위험 포인트 및 대책 일지 사용</t>
        </is>
      </c>
      <c r="G15" s="14" t="n"/>
      <c r="H15" s="14" t="n"/>
      <c r="I15" s="14" t="n"/>
      <c r="J15" s="14" t="n"/>
      <c r="K15" s="14" t="n"/>
      <c r="L15" s="14" t="n"/>
    </row>
    <row r="16" ht="22" customHeight="1">
      <c r="A16" s="34" t="inlineStr">
        <is>
          <t>07:10</t>
        </is>
      </c>
      <c r="B16" s="14" t="n"/>
      <c r="C16" s="35" t="inlineStr">
        <is>
          <t>TBM</t>
        </is>
      </c>
      <c r="D16" s="14" t="n"/>
      <c r="E16" s="14" t="n"/>
      <c r="F16" s="35" t="inlineStr">
        <is>
          <t>위험예지 상황판 활용 · 명일 작업 계획서 사용</t>
        </is>
      </c>
      <c r="G16" s="14" t="n"/>
      <c r="H16" s="14" t="n"/>
      <c r="I16" s="14" t="n"/>
      <c r="J16" s="14" t="n"/>
      <c r="K16" s="14" t="n"/>
      <c r="L16" s="14" t="n"/>
    </row>
    <row r="17" ht="34.5" customHeight="1">
      <c r="A17" s="34" t="inlineStr">
        <is>
          <t>10:00</t>
        </is>
      </c>
      <c r="B17" s="14" t="n"/>
      <c r="C17" s="35" t="inlineStr">
        <is>
          <t>오전 순회점검</t>
        </is>
      </c>
      <c r="D17" s="14" t="n"/>
      <c r="E17" s="14" t="n"/>
      <c r="F17" s="35" t="inlineStr">
        <is>
          <t>작업 위험 포인트 및 대책 일지를 활용한 순회점검 · 전일 계획서에 따른 순회점검</t>
        </is>
      </c>
      <c r="G17" s="14" t="n"/>
      <c r="H17" s="14" t="n"/>
      <c r="I17" s="14" t="n"/>
      <c r="J17" s="14" t="n"/>
      <c r="K17" s="14" t="n"/>
      <c r="L17" s="14" t="n"/>
    </row>
    <row r="18" ht="22" customHeight="1">
      <c r="A18" s="34" t="inlineStr">
        <is>
          <t>11:00</t>
        </is>
      </c>
      <c r="B18" s="14" t="n"/>
      <c r="C18" s="35" t="inlineStr">
        <is>
          <t>품질 · 안전 공정회의</t>
        </is>
      </c>
      <c r="D18" s="14" t="n"/>
      <c r="E18" s="14" t="n"/>
      <c r="F18" s="35" t="inlineStr">
        <is>
          <t>금일 작업 결과 및 명일 작업 계획 보고 · 회의록 작성</t>
        </is>
      </c>
      <c r="G18" s="14" t="n"/>
      <c r="H18" s="14" t="n"/>
      <c r="I18" s="14" t="n"/>
      <c r="J18" s="14" t="n"/>
      <c r="K18" s="14" t="n"/>
      <c r="L18" s="14" t="n"/>
    </row>
    <row r="19" ht="22" customHeight="1">
      <c r="A19" s="34" t="inlineStr">
        <is>
          <t>15:00</t>
        </is>
      </c>
      <c r="B19" s="14" t="n"/>
      <c r="C19" s="35" t="inlineStr">
        <is>
          <t>오후 순회점검</t>
        </is>
      </c>
      <c r="D19" s="14" t="n"/>
      <c r="E19" s="14" t="n"/>
      <c r="F19" s="35" t="inlineStr">
        <is>
          <t>전일 계획서에 따른 순회점검</t>
        </is>
      </c>
      <c r="G19" s="14" t="n"/>
      <c r="H19" s="14" t="n"/>
      <c r="I19" s="14" t="n"/>
      <c r="J19" s="14" t="n"/>
      <c r="K19" s="14" t="n"/>
      <c r="L19" s="14" t="n"/>
    </row>
    <row r="20" ht="22" customHeight="1">
      <c r="A20" s="34" t="inlineStr">
        <is>
          <t>17:50 ~ 18:00</t>
        </is>
      </c>
      <c r="B20" s="14" t="n"/>
      <c r="C20" s="35" t="inlineStr">
        <is>
          <t>작업장 정리정돈</t>
        </is>
      </c>
      <c r="D20" s="14" t="n"/>
      <c r="E20" s="14" t="n"/>
      <c r="F20" s="35" t="inlineStr">
        <is>
          <t>정리 · 정돈 실시 여부 파악</t>
        </is>
      </c>
      <c r="G20" s="14" t="n"/>
      <c r="H20" s="14" t="n"/>
      <c r="I20" s="14" t="n"/>
      <c r="J20" s="14" t="n"/>
      <c r="K20" s="14" t="n"/>
      <c r="L20" s="14" t="n"/>
    </row>
    <row r="21" ht="22" customHeight="1">
      <c r="A21" s="34" t="inlineStr">
        <is>
          <t>18:00</t>
        </is>
      </c>
      <c r="B21" s="14" t="n"/>
      <c r="C21" s="35" t="inlineStr">
        <is>
          <t>직원 공정회의</t>
        </is>
      </c>
      <c r="D21" s="14" t="n"/>
      <c r="E21" s="14" t="n"/>
      <c r="F21" s="35" t="inlineStr">
        <is>
          <t>직원 공정회의록 작성</t>
        </is>
      </c>
      <c r="G21" s="14" t="n"/>
      <c r="H21" s="14" t="n"/>
      <c r="I21" s="14" t="n"/>
      <c r="J21" s="14" t="n"/>
      <c r="K21" s="14" t="n"/>
      <c r="L21" s="14" t="n"/>
    </row>
    <row r="22" ht="3" customHeight="1"/>
    <row r="23" ht="22" customHeight="1">
      <c r="A23" s="12" t="inlineStr">
        <is>
          <t>3.3  안전관리 세부계획</t>
        </is>
      </c>
    </row>
    <row r="24" ht="24" customHeight="1">
      <c r="A24" s="23" t="inlineStr">
        <is>
          <t>활 동 명</t>
        </is>
      </c>
      <c r="B24" s="14" t="n"/>
      <c r="C24" s="14" t="n"/>
      <c r="D24" s="23" t="inlineStr">
        <is>
          <t>활    동    내    용</t>
        </is>
      </c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34.5" customHeight="1">
      <c r="A25" s="34" t="inlineStr">
        <is>
          <t>신규 채용자 관리</t>
        </is>
      </c>
      <c r="B25" s="14" t="n"/>
      <c r="C25" s="14" t="n"/>
      <c r="D25" s="35" t="inlineStr">
        <is>
          <t>▣ 작업 투입 전 안전교육 ▣ 배치 전 건강 상태 확인(해당 공종 적격 여부 · 질병 확인)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 ht="34.5" customHeight="1">
      <c r="A26" s="34" t="inlineStr">
        <is>
          <t>T.B.M 활동</t>
        </is>
      </c>
      <c r="B26" s="14" t="n"/>
      <c r="C26" s="14" t="n"/>
      <c r="D26" s="35" t="inlineStr">
        <is>
          <t>▣ 당일 위험 공정 및 작업 내용 설명 ▣ 공정별 팀 단위 위험요소 지적 및 확인</t>
        </is>
      </c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 ht="26" customHeight="1">
      <c r="A27" s="34" t="inlineStr">
        <is>
          <t>일일 안전활동</t>
        </is>
      </c>
      <c r="B27" s="14" t="n"/>
      <c r="C27" s="14" t="n"/>
      <c r="D27" s="35" t="inlineStr">
        <is>
          <t>▣ 주변 지장물 · 지보공 이상 유무 점검 ▣ 작업 종료 전 현장 정리정돈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 ht="34.5" customHeight="1">
      <c r="A28" s="34" t="inlineStr">
        <is>
          <t>일일 안전토론</t>
        </is>
      </c>
      <c r="B28" s="14" t="n"/>
      <c r="C28" s="14" t="n"/>
      <c r="D28" s="35" t="inlineStr">
        <is>
          <t>▣ 금일 안전점검 조치사항 이행 상태 확인 ▣ 명일 작업 사항 · 금일 미비 사항 검토</t>
        </is>
      </c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 ht="21" customHeight="1">
      <c r="A29" s="22" t="inlineStr">
        <is>
          <t>주요 교육 활동</t>
        </is>
      </c>
    </row>
    <row r="30" ht="24" customHeight="1">
      <c r="A30" s="23" t="inlineStr">
        <is>
          <t>교 육 명</t>
        </is>
      </c>
      <c r="B30" s="14" t="n"/>
      <c r="C30" s="14" t="n"/>
      <c r="D30" s="23" t="inlineStr">
        <is>
          <t>교 육 시 간</t>
        </is>
      </c>
      <c r="E30" s="14" t="n"/>
      <c r="F30" s="14" t="n"/>
      <c r="G30" s="23" t="inlineStr">
        <is>
          <t>교 육 내 용</t>
        </is>
      </c>
      <c r="H30" s="14" t="n"/>
      <c r="I30" s="14" t="n"/>
      <c r="J30" s="14" t="n"/>
      <c r="K30" s="14" t="n"/>
      <c r="L30" s="14" t="n"/>
    </row>
    <row r="31" ht="38" customHeight="1">
      <c r="A31" s="62" t="inlineStr">
        <is>
          <t>정기교육</t>
        </is>
      </c>
      <c r="B31" s="14" t="n"/>
      <c r="C31" s="14" t="n"/>
      <c r="D31" s="63" t="inlineStr">
        <is>
          <t>매월 2시간
(매반기 12시간 이상)</t>
        </is>
      </c>
      <c r="E31" s="14" t="n"/>
      <c r="F31" s="14" t="n"/>
      <c r="G31" s="64" t="inlineStr">
        <is>
          <t>보호구 · 안전장치 취급과 사용 · 안전사고 사례 및 재해 예방대책</t>
        </is>
      </c>
      <c r="H31" s="14" t="n"/>
      <c r="I31" s="14" t="n"/>
      <c r="J31" s="14" t="n"/>
      <c r="K31" s="14" t="n"/>
      <c r="L31" s="14" t="n"/>
    </row>
    <row r="32" ht="38" customHeight="1">
      <c r="A32" s="62" t="inlineStr">
        <is>
          <t>채용 시 교육</t>
        </is>
      </c>
      <c r="B32" s="14" t="n"/>
      <c r="C32" s="14" t="n"/>
      <c r="D32" s="63" t="inlineStr">
        <is>
          <t>일용 1시간 이상
그 밖 8시간 이상</t>
        </is>
      </c>
      <c r="E32" s="14" t="n"/>
      <c r="F32" s="14" t="n"/>
      <c r="G32" s="64" t="inlineStr">
        <is>
          <t>해당 기계 · 기구의 위험성과 안전작업 · 근로자 건강관리</t>
        </is>
      </c>
      <c r="H32" s="14" t="n"/>
      <c r="I32" s="14" t="n"/>
      <c r="J32" s="14" t="n"/>
      <c r="K32" s="14" t="n"/>
      <c r="L32" s="14" t="n"/>
    </row>
    <row r="33" ht="38" customHeight="1">
      <c r="A33" s="62" t="inlineStr">
        <is>
          <t>작업내용 변경 시</t>
        </is>
      </c>
      <c r="B33" s="14" t="n"/>
      <c r="C33" s="14" t="n"/>
      <c r="D33" s="63" t="inlineStr">
        <is>
          <t>일용 1시간 이상
그 밖 2시간 이상</t>
        </is>
      </c>
      <c r="E33" s="14" t="n"/>
      <c r="F33" s="14" t="n"/>
      <c r="G33" s="64" t="inlineStr">
        <is>
          <t>변경된 작업의 위험성과 안전작업 방법</t>
        </is>
      </c>
      <c r="H33" s="14" t="n"/>
      <c r="I33" s="14" t="n"/>
      <c r="J33" s="14" t="n"/>
      <c r="K33" s="14" t="n"/>
      <c r="L33" s="14" t="n"/>
    </row>
    <row r="34" ht="38" customHeight="1">
      <c r="A34" s="62" t="inlineStr">
        <is>
          <t>관리감독자</t>
        </is>
      </c>
      <c r="B34" s="14" t="n"/>
      <c r="C34" s="14" t="n"/>
      <c r="D34" s="63" t="inlineStr">
        <is>
          <t>연간 16시간 이상</t>
        </is>
      </c>
      <c r="E34" s="14" t="n"/>
      <c r="F34" s="14" t="n"/>
      <c r="G34" s="64" t="inlineStr">
        <is>
          <t>안전작업 지도 요령 · 관리감독자의 역할과 임무 · 그 밖의 안전보건관리</t>
        </is>
      </c>
      <c r="H34" s="14" t="n"/>
      <c r="I34" s="14" t="n"/>
      <c r="J34" s="14" t="n"/>
      <c r="K34" s="14" t="n"/>
      <c r="L34" s="14" t="n"/>
    </row>
    <row r="35" ht="38" customHeight="1">
      <c r="A35" s="62" t="inlineStr">
        <is>
          <t>특별교육</t>
        </is>
      </c>
      <c r="B35" s="14" t="n"/>
      <c r="C35" s="14" t="n"/>
      <c r="D35" s="63" t="inlineStr">
        <is>
          <t>일용 2시간 이상
그 밖 16시간 이상</t>
        </is>
      </c>
      <c r="E35" s="14" t="n"/>
      <c r="F35" s="14" t="n"/>
      <c r="G35" s="64" t="inlineStr">
        <is>
          <t>작업 공정의 유해 · 위험 · 보호구 착용 및 작업 신호</t>
        </is>
      </c>
      <c r="H35" s="14" t="n"/>
      <c r="I35" s="14" t="n"/>
      <c r="J35" s="14" t="n"/>
      <c r="K35" s="14" t="n"/>
      <c r="L35" s="14" t="n"/>
    </row>
    <row r="36" ht="41.975" customHeight="1">
      <c r="A36" s="53" t="inlineStr">
        <is>
          <t>※ 교육시간은 산업안전보건법 시행규칙 [별표 4](2023년 개정 이후) 기준입니다(«일용» = 일용근로자 · 근로계약 1주 이하 기간제). 건설 일용근로자는 처음 투입 전에 건설업 기초안전보건교육(4시간)을 이수해야 합니다. 법령이 바뀌면 노란 칸을 고쳐 씁니다.</t>
        </is>
      </c>
    </row>
    <row r="37" ht="24" customHeight="1">
      <c r="A37" s="23" t="inlineStr">
        <is>
          <t>구   분</t>
        </is>
      </c>
      <c r="B37" s="14" t="n"/>
      <c r="C37" s="14" t="n"/>
      <c r="D37" s="23" t="inlineStr">
        <is>
          <t>내        용</t>
        </is>
      </c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 ht="34.5" customHeight="1">
      <c r="A38" s="34" t="inlineStr">
        <is>
          <t>보호구 지급</t>
        </is>
      </c>
      <c r="B38" s="14" t="n"/>
      <c r="C38" s="14" t="n"/>
      <c r="D38" s="35" t="inlineStr">
        <is>
          <t>▣ 신규 채용자 교육 후 지급 ▣ 개인보호구 100% 지급 ▣ 기능상 불량이면 점검 후 수리 · 교환 지급 ▣ 소모성 보호구는 수시 점검하여 즉시 교환</t>
        </is>
      </c>
      <c r="E38" s="14" t="n"/>
      <c r="F38" s="14" t="n"/>
      <c r="G38" s="14" t="n"/>
      <c r="H38" s="14" t="n"/>
      <c r="I38" s="14" t="n"/>
      <c r="J38" s="14" t="n"/>
      <c r="K38" s="14" t="n"/>
      <c r="L38" s="14" t="n"/>
    </row>
    <row r="39" ht="34.5" customHeight="1">
      <c r="A39" s="34" t="inlineStr">
        <is>
          <t>보호구 활용</t>
        </is>
      </c>
      <c r="B39" s="14" t="n"/>
      <c r="C39" s="14" t="n"/>
      <c r="D39" s="35" t="inlineStr">
        <is>
          <t>▣ 지급 때 100% 착용 및 사용법 교육 ▣ 매일 T.B.M 뒤 기능 점검 ▣ 방진 마스크 보조 필터 착용 ▣ 본래 목적 외 사용 금지</t>
        </is>
      </c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 ht="34.5" customHeight="1">
      <c r="A40" s="34" t="inlineStr">
        <is>
          <t>안전 준수 사항</t>
        </is>
      </c>
      <c r="B40" s="14" t="n"/>
      <c r="C40" s="14" t="n"/>
      <c r="D40" s="35" t="inlineStr">
        <is>
          <t>▣ 위험요소 발굴카드 활용 및 즉각 조치 ▣ 안전관리 실명제 카드 · 중장비 사전 안전점검 및 점검필증 부착 ▣ 장비 작업 때 신호수 고정 배치</t>
        </is>
      </c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 ht="21" customHeight="1">
      <c r="A41" s="22" t="inlineStr">
        <is>
          <t>10대 안전수칙</t>
        </is>
      </c>
    </row>
    <row r="42" ht="19.725" customHeight="1">
      <c r="A42" s="59" t="inlineStr">
        <is>
          <t>①</t>
        </is>
      </c>
      <c r="B42" s="60" t="inlineStr">
        <is>
          <t>개구부는 생기는 즉시 막는다.</t>
        </is>
      </c>
    </row>
    <row r="43" ht="19.725" customHeight="1">
      <c r="A43" s="59" t="inlineStr">
        <is>
          <t>②</t>
        </is>
      </c>
      <c r="B43" s="60" t="inlineStr">
        <is>
          <t>난간대는 반드시 설치한다.</t>
        </is>
      </c>
    </row>
    <row r="44" ht="19.725" customHeight="1">
      <c r="A44" s="59" t="inlineStr">
        <is>
          <t>③</t>
        </is>
      </c>
      <c r="B44" s="60" t="inlineStr">
        <is>
          <t>생명줄은 반드시 설치한다.</t>
        </is>
      </c>
    </row>
    <row r="45" ht="19.725" customHeight="1">
      <c r="A45" s="59" t="inlineStr">
        <is>
          <t>④</t>
        </is>
      </c>
      <c r="B45" s="60" t="inlineStr">
        <is>
          <t>안전대는 반드시 걸고 작업한다.</t>
        </is>
      </c>
    </row>
    <row r="46" ht="19.725" customHeight="1">
      <c r="A46" s="59" t="inlineStr">
        <is>
          <t>⑤</t>
        </is>
      </c>
      <c r="B46" s="60" t="inlineStr">
        <is>
          <t>작업발판은 확실히 고정한다.</t>
        </is>
      </c>
    </row>
    <row r="47" ht="19.725" customHeight="1">
      <c r="A47" s="59" t="inlineStr">
        <is>
          <t>⑥</t>
        </is>
      </c>
      <c r="B47" s="60" t="inlineStr">
        <is>
          <t>양중용 장비에는 절대 탑승하지 않는다.</t>
        </is>
      </c>
    </row>
    <row r="48" ht="19.725" customHeight="1">
      <c r="A48" s="59" t="inlineStr">
        <is>
          <t>⑦</t>
        </is>
      </c>
      <c r="B48" s="60" t="inlineStr">
        <is>
          <t>분전함은 반드시 잠금장치를 한다.</t>
        </is>
      </c>
    </row>
    <row r="49" ht="19.725" customHeight="1">
      <c r="A49" s="59" t="inlineStr">
        <is>
          <t>⑧</t>
        </is>
      </c>
      <c r="B49" s="60" t="inlineStr">
        <is>
          <t>안전모는 반드시 착용한다.</t>
        </is>
      </c>
    </row>
    <row r="50" ht="19.725" customHeight="1">
      <c r="A50" s="59" t="inlineStr">
        <is>
          <t>⑨</t>
        </is>
      </c>
      <c r="B50" s="60" t="inlineStr">
        <is>
          <t>T.B.M 은 매일 철저하게 한다.</t>
        </is>
      </c>
    </row>
    <row r="51" ht="19.725" customHeight="1">
      <c r="A51" s="59" t="inlineStr">
        <is>
          <t>⑩</t>
        </is>
      </c>
      <c r="B51" s="60" t="inlineStr">
        <is>
          <t>중장비 작업반경 안에는 절대 접근하지 않는다.</t>
        </is>
      </c>
    </row>
    <row r="52" ht="36" customHeight="1">
      <c r="A52" s="22" t="inlineStr">
        <is>
          <t>안전작업 지도서 — 가시설 설치의 역순으로 되메우기 · 어스앵커 제거 · 띠장 제거 · 엄지말뚝 인발. 주요 위험 : 장비 협착 · 전도, 낙하물 · 부재 낙하, 추락</t>
        </is>
      </c>
    </row>
    <row r="53" ht="24" customHeight="1">
      <c r="A53" s="23" t="inlineStr">
        <is>
          <t>작 업 순 서</t>
        </is>
      </c>
      <c r="B53" s="14" t="n"/>
      <c r="C53" s="14" t="n"/>
      <c r="D53" s="23" t="inlineStr">
        <is>
          <t>위험 POINT</t>
        </is>
      </c>
      <c r="E53" s="14" t="n"/>
      <c r="F53" s="14" t="n"/>
      <c r="G53" s="23" t="inlineStr">
        <is>
          <t>안전관리 대책</t>
        </is>
      </c>
      <c r="H53" s="14" t="n"/>
      <c r="I53" s="14" t="n"/>
      <c r="J53" s="14" t="n"/>
      <c r="K53" s="23" t="inlineStr">
        <is>
          <t>위험도</t>
        </is>
      </c>
      <c r="L53" s="14" t="n"/>
    </row>
    <row r="54" ht="34.5" customHeight="1">
      <c r="A54" s="35" t="inlineStr">
        <is>
          <t>1. 어스앵커 강선 및 띠장 제거</t>
        </is>
      </c>
      <c r="B54" s="14" t="n"/>
      <c r="C54" s="14" t="n"/>
      <c r="D54" s="35" t="inlineStr">
        <is>
          <t>버팀 부재 위 이동 때 추락 우려</t>
        </is>
      </c>
      <c r="E54" s="14" t="n"/>
      <c r="F54" s="14" t="n"/>
      <c r="G54" s="35" t="inlineStr">
        <is>
          <t>안전보호구 착용 · 안전대 부착설비</t>
        </is>
      </c>
      <c r="H54" s="14" t="n"/>
      <c r="I54" s="14" t="n"/>
      <c r="J54" s="14" t="n"/>
      <c r="K54" s="34" t="inlineStr">
        <is>
          <t>★ ★ ★</t>
        </is>
      </c>
      <c r="L54" s="14" t="n"/>
    </row>
    <row r="55" ht="34.5" customHeight="1">
      <c r="A55" s="35" t="inlineStr">
        <is>
          <t>2. 엄지말뚝 인발</t>
        </is>
      </c>
      <c r="B55" s="14" t="n"/>
      <c r="C55" s="14" t="n"/>
      <c r="D55" s="35" t="inlineStr">
        <is>
          <t>장비 전도 우려 · 장비 선회 때 작업자 위험</t>
        </is>
      </c>
      <c r="E55" s="14" t="n"/>
      <c r="F55" s="14" t="n"/>
      <c r="G55" s="35" t="inlineStr">
        <is>
          <t>전담 신호수 배치 · 작업장 출입금지 가설 펜스 설치</t>
        </is>
      </c>
      <c r="H55" s="14" t="n"/>
      <c r="I55" s="14" t="n"/>
      <c r="J55" s="14" t="n"/>
      <c r="K55" s="34" t="inlineStr">
        <is>
          <t>★ ★ ★</t>
        </is>
      </c>
      <c r="L55" s="14" t="n"/>
    </row>
    <row r="56" ht="34.5" customHeight="1">
      <c r="A56" s="35" t="inlineStr">
        <is>
          <t>3. 되메우기</t>
        </is>
      </c>
      <c r="B56" s="14" t="n"/>
      <c r="C56" s="14" t="n"/>
      <c r="D56" s="35" t="inlineStr">
        <is>
          <t>장비 협착 · 차량 운행 주의</t>
        </is>
      </c>
      <c r="E56" s="14" t="n"/>
      <c r="F56" s="14" t="n"/>
      <c r="G56" s="35" t="inlineStr">
        <is>
          <t>전담 신호수 배치 · 운행 속도 제한</t>
        </is>
      </c>
      <c r="H56" s="14" t="n"/>
      <c r="I56" s="14" t="n"/>
      <c r="J56" s="14" t="n"/>
      <c r="K56" s="34" t="inlineStr">
        <is>
          <t>★ ★</t>
        </is>
      </c>
      <c r="L56" s="14" t="n"/>
    </row>
    <row r="57" ht="4" customHeight="1"/>
    <row r="58" ht="30" customHeight="1">
      <c r="A58" s="11" t="inlineStr">
        <is>
          <t>4.  환경관리계획</t>
        </is>
      </c>
    </row>
    <row r="59" ht="4" customHeight="1"/>
    <row r="60" ht="3" customHeight="1"/>
    <row r="61" ht="22" customHeight="1">
      <c r="A61" s="12" t="inlineStr">
        <is>
          <t>4.1  환경관리 중점 추진 방향</t>
        </is>
      </c>
    </row>
    <row r="62" ht="19.725" customHeight="1">
      <c r="A62" s="59" t="inlineStr">
        <is>
          <t>▣</t>
        </is>
      </c>
      <c r="B62" s="60" t="inlineStr">
        <is>
          <t>환경(소음 · 진동 · 분진) 문제의 대책 수립과 지속적인 관리</t>
        </is>
      </c>
    </row>
    <row r="63" ht="19.725" customHeight="1">
      <c r="A63" s="59" t="inlineStr">
        <is>
          <t>▣</t>
        </is>
      </c>
      <c r="B63" s="60" t="inlineStr">
        <is>
          <t>공종별 환경관리 주요 항목을 정해 집중관리</t>
        </is>
      </c>
    </row>
    <row r="64" ht="19.725" customHeight="1">
      <c r="A64" s="59" t="inlineStr">
        <is>
          <t>▣</t>
        </is>
      </c>
      <c r="B64" s="60" t="inlineStr">
        <is>
          <t>환경경영시스템(ISO 14001)에 따른 환경교육 · 의식 향상</t>
        </is>
      </c>
    </row>
    <row r="65" ht="19.725" customHeight="1">
      <c r="A65" s="59" t="inlineStr">
        <is>
          <t>▣</t>
        </is>
      </c>
      <c r="B65" s="60" t="inlineStr">
        <is>
          <t>현장 환경관리 목표치 준수</t>
        </is>
      </c>
    </row>
    <row r="66" ht="19.725" customHeight="1">
      <c r="A66" s="59" t="inlineStr">
        <is>
          <t>▣</t>
        </is>
      </c>
      <c r="B66" s="60" t="inlineStr">
        <is>
          <t>환경사고 «ZERO»</t>
        </is>
      </c>
    </row>
    <row r="67" ht="35.45" customHeight="1">
      <c r="A67" s="61" t="inlineStr">
        <is>
          <t>가시설 해체공사 주요 항목 — ▣ 중장비 관리 : 폐오일 처리 · 작업반경 안 출입금지 ▣ 소음 관리 : 저소음 장비 투입 ▣ 비산먼지 : 고압 분무기로 살수</t>
        </is>
      </c>
    </row>
    <row r="68" ht="3" customHeight="1"/>
    <row r="69" ht="22" customHeight="1">
      <c r="A69" s="12" t="inlineStr">
        <is>
          <t>4.2  환경관리 목표</t>
        </is>
      </c>
    </row>
    <row r="70" ht="24" customHeight="1">
      <c r="A70" s="23" t="inlineStr">
        <is>
          <t>항    목</t>
        </is>
      </c>
      <c r="B70" s="14" t="n"/>
      <c r="C70" s="14" t="n"/>
      <c r="D70" s="23" t="inlineStr">
        <is>
          <t>기  준</t>
        </is>
      </c>
      <c r="E70" s="14" t="n"/>
      <c r="F70" s="14" t="n"/>
      <c r="G70" s="23" t="inlineStr">
        <is>
          <t>현장 목표</t>
        </is>
      </c>
      <c r="H70" s="14" t="n"/>
      <c r="I70" s="14" t="n"/>
      <c r="J70" s="23" t="inlineStr">
        <is>
          <t>비    고</t>
        </is>
      </c>
      <c r="K70" s="14" t="n"/>
      <c r="L70" s="14" t="n"/>
    </row>
    <row r="71" ht="24" customHeight="1">
      <c r="A71" s="18" t="inlineStr">
        <is>
          <t>소    음</t>
        </is>
      </c>
      <c r="B71" s="14" t="n"/>
      <c r="C71" s="14" t="n"/>
      <c r="D71" s="65" t="n">
        <v>70</v>
      </c>
      <c r="E71" s="14" t="n"/>
      <c r="F71" s="14" t="n"/>
      <c r="G71" s="65" t="n">
        <v>68</v>
      </c>
      <c r="H71" s="14" t="n"/>
      <c r="I71" s="14" t="n"/>
      <c r="J71" s="43" t="inlineStr"/>
      <c r="K71" s="14" t="n"/>
      <c r="L71" s="14" t="n"/>
    </row>
    <row r="72" ht="24" customHeight="1">
      <c r="A72" s="18" t="inlineStr">
        <is>
          <t>진    동</t>
        </is>
      </c>
      <c r="B72" s="14" t="n"/>
      <c r="C72" s="14" t="n"/>
      <c r="D72" s="66" t="n">
        <v>0.3</v>
      </c>
      <c r="E72" s="14" t="n"/>
      <c r="F72" s="14" t="n"/>
      <c r="G72" s="66" t="n">
        <v>0.25</v>
      </c>
      <c r="H72" s="14" t="n"/>
      <c r="I72" s="14" t="n"/>
      <c r="J72" s="43" t="inlineStr"/>
      <c r="K72" s="14" t="n"/>
      <c r="L72" s="14" t="n"/>
    </row>
    <row r="73" ht="24" customHeight="1">
      <c r="A73" s="18" t="inlineStr">
        <is>
          <t>먼    지</t>
        </is>
      </c>
      <c r="B73" s="14" t="n"/>
      <c r="C73" s="14" t="n"/>
      <c r="D73" s="18" t="inlineStr">
        <is>
          <t>최대 억제</t>
        </is>
      </c>
      <c r="E73" s="14" t="n"/>
      <c r="F73" s="14" t="n"/>
      <c r="G73" s="14" t="n"/>
      <c r="H73" s="14" t="n"/>
      <c r="I73" s="14" t="n"/>
      <c r="J73" s="43" t="inlineStr"/>
      <c r="K73" s="14" t="n"/>
      <c r="L73" s="14" t="n"/>
    </row>
    <row r="74" ht="29.65" customHeight="1">
      <c r="A74" s="53" t="inlineStr">
        <is>
          <t>※ 기준 · 목표는 원본 계획서의 현장 값입니다(노란 칸). 현장의 사전신고 · 규제기준(소음 · 진동관리법 시행규칙 [별표 8])과 발주처 기준에 맞춰 고쳐 쓰세요.</t>
        </is>
      </c>
    </row>
    <row r="75" ht="24" customHeight="1">
      <c r="A75" s="23" t="inlineStr">
        <is>
          <t>측 정 일</t>
        </is>
      </c>
      <c r="B75" s="14" t="n"/>
      <c r="C75" s="14" t="n"/>
      <c r="D75" s="23" t="inlineStr">
        <is>
          <t>소음 dB(A)</t>
        </is>
      </c>
      <c r="E75" s="14" t="n"/>
      <c r="F75" s="23" t="inlineStr">
        <is>
          <t>진동 kine</t>
        </is>
      </c>
      <c r="G75" s="14" t="n"/>
      <c r="H75" s="23" t="inlineStr">
        <is>
          <t>판    정</t>
        </is>
      </c>
      <c r="I75" s="14" t="n"/>
      <c r="J75" s="14" t="n"/>
      <c r="K75" s="14" t="n"/>
      <c r="L75" s="14" t="n"/>
    </row>
    <row r="76" ht="24" customHeight="1">
      <c r="A76" s="17" t="n"/>
      <c r="B76" s="14" t="n"/>
      <c r="C76" s="14" t="n"/>
      <c r="D76" s="67" t="n"/>
      <c r="E76" s="14" t="n"/>
      <c r="F76" s="68" t="n"/>
      <c r="G76" s="14" t="n"/>
      <c r="H76" s="52">
        <f>IF(AND(N(D76)=0,N(F76)=0),"",IF(N(D76)&gt;D71,"⚠ 소음 기준 초과",IF(N(F76)&gt;D72,"⚠ 진동 기준 초과",IF(OR(N(D76)&gt;G71,N(F76)&gt;G72),"기준 이내 · 목표 초과","목표 이내"))))</f>
        <v/>
      </c>
      <c r="I76" s="14" t="n"/>
      <c r="J76" s="14" t="n"/>
      <c r="K76" s="14" t="n"/>
      <c r="L76" s="14" t="n"/>
    </row>
    <row r="77" ht="24" customHeight="1">
      <c r="A77" s="17" t="n"/>
      <c r="B77" s="14" t="n"/>
      <c r="C77" s="14" t="n"/>
      <c r="D77" s="67" t="n"/>
      <c r="E77" s="14" t="n"/>
      <c r="F77" s="68" t="n"/>
      <c r="G77" s="14" t="n"/>
      <c r="H77" s="52">
        <f>IF(AND(N(D77)=0,N(F77)=0),"",IF(N(D77)&gt;D71,"⚠ 소음 기준 초과",IF(N(F77)&gt;D72,"⚠ 진동 기준 초과",IF(OR(N(D77)&gt;G71,N(F77)&gt;G72),"기준 이내 · 목표 초과","목표 이내"))))</f>
        <v/>
      </c>
      <c r="I77" s="14" t="n"/>
      <c r="J77" s="14" t="n"/>
      <c r="K77" s="14" t="n"/>
      <c r="L77" s="14" t="n"/>
    </row>
    <row r="78" ht="24" customHeight="1">
      <c r="A78" s="17" t="n"/>
      <c r="B78" s="14" t="n"/>
      <c r="C78" s="14" t="n"/>
      <c r="D78" s="67" t="n"/>
      <c r="E78" s="14" t="n"/>
      <c r="F78" s="68" t="n"/>
      <c r="G78" s="14" t="n"/>
      <c r="H78" s="52">
        <f>IF(AND(N(D78)=0,N(F78)=0),"",IF(N(D78)&gt;D71,"⚠ 소음 기준 초과",IF(N(F78)&gt;D72,"⚠ 진동 기준 초과",IF(OR(N(D78)&gt;G71,N(F78)&gt;G72),"기준 이내 · 목표 초과","목표 이내"))))</f>
        <v/>
      </c>
      <c r="I78" s="14" t="n"/>
      <c r="J78" s="14" t="n"/>
      <c r="K78" s="14" t="n"/>
      <c r="L78" s="14" t="n"/>
    </row>
    <row r="79" ht="3" customHeight="1"/>
    <row r="80" ht="22" customHeight="1">
      <c r="A80" s="12" t="inlineStr">
        <is>
          <t>4.3  환경관리 세부계획</t>
        </is>
      </c>
    </row>
    <row r="81" ht="24" customHeight="1">
      <c r="A81" s="23" t="inlineStr">
        <is>
          <t>구  분</t>
        </is>
      </c>
      <c r="B81" s="14" t="n"/>
      <c r="C81" s="23" t="inlineStr">
        <is>
          <t>발 생 원</t>
        </is>
      </c>
      <c r="D81" s="14" t="n"/>
      <c r="E81" s="14" t="n"/>
      <c r="F81" s="23" t="inlineStr">
        <is>
          <t>발 생 현 상</t>
        </is>
      </c>
      <c r="G81" s="14" t="n"/>
      <c r="H81" s="14" t="n"/>
      <c r="I81" s="23" t="inlineStr">
        <is>
          <t>감 소 대 책</t>
        </is>
      </c>
      <c r="J81" s="14" t="n"/>
      <c r="K81" s="14" t="n"/>
      <c r="L81" s="14" t="n"/>
    </row>
    <row r="82" ht="34.5" customHeight="1">
      <c r="A82" s="34" t="inlineStr">
        <is>
          <t>소  음</t>
        </is>
      </c>
      <c r="B82" s="14" t="n"/>
      <c r="C82" s="35" t="inlineStr">
        <is>
          <t>장비 이동 · 굴착 작업, 덤프 상차 · 운행</t>
        </is>
      </c>
      <c r="D82" s="14" t="n"/>
      <c r="E82" s="14" t="n"/>
      <c r="F82" s="35" t="inlineStr">
        <is>
          <t>굴삭기 · 덤프트럭 운행 때 소음</t>
        </is>
      </c>
      <c r="G82" s="14" t="n"/>
      <c r="H82" s="14" t="n"/>
      <c r="I82" s="35" t="inlineStr">
        <is>
          <t>저소음 장비 투입 · 경적 금지 · 장비 이동 때 저속 운행</t>
        </is>
      </c>
      <c r="J82" s="14" t="n"/>
      <c r="K82" s="14" t="n"/>
      <c r="L82" s="14" t="n"/>
    </row>
    <row r="83" ht="48.75" customHeight="1">
      <c r="A83" s="34" t="inlineStr">
        <is>
          <t>분  진</t>
        </is>
      </c>
      <c r="B83" s="14" t="n"/>
      <c r="C83" s="35" t="inlineStr">
        <is>
          <t>덤프트럭 운행</t>
        </is>
      </c>
      <c r="D83" s="14" t="n"/>
      <c r="E83" s="14" t="n"/>
      <c r="F83" s="35" t="inlineStr">
        <is>
          <t>운행 때 분진 발생</t>
        </is>
      </c>
      <c r="G83" s="14" t="n"/>
      <c r="H83" s="14" t="n"/>
      <c r="I83" s="35" t="inlineStr">
        <is>
          <t>저속 운행(20km/h) · 살수차 수시 운행 · 진입로 고압 살수기 · 세륜장 전담 요원 배치</t>
        </is>
      </c>
      <c r="J83" s="14" t="n"/>
      <c r="K83" s="14" t="n"/>
      <c r="L83" s="14" t="n"/>
    </row>
    <row r="84" ht="48.75" customHeight="1">
      <c r="A84" s="34" t="inlineStr">
        <is>
          <t>차량 통행</t>
        </is>
      </c>
      <c r="B84" s="14" t="n"/>
      <c r="C84" s="35" t="inlineStr">
        <is>
          <t>덤프트럭 운행</t>
        </is>
      </c>
      <c r="D84" s="14" t="n"/>
      <c r="E84" s="14" t="n"/>
      <c r="F84" s="35" t="inlineStr">
        <is>
          <t>운행 때 차량 지체</t>
        </is>
      </c>
      <c r="G84" s="14" t="n"/>
      <c r="H84" s="14" t="n"/>
      <c r="I84" s="35" t="inlineStr">
        <is>
          <t>저속 운행 · 시간제 배차 · 전담 신호수 배치 · 일반 차량 우선 통행</t>
        </is>
      </c>
      <c r="J84" s="14" t="n"/>
      <c r="K84" s="14" t="n"/>
      <c r="L84" s="14" t="n"/>
    </row>
    <row r="86" ht="19.5" customHeight="1">
      <c r="A86" s="7" t="inlineStr">
        <is>
          <t>노란 칸 = 기준값(교육시간 · 소음 · 진동 기준과 목표). 하늘색 칸 = 자동(측정값 판정).</t>
        </is>
      </c>
    </row>
  </sheetData>
  <mergeCells count="164">
    <mergeCell ref="A15:B15"/>
    <mergeCell ref="A37:C37"/>
    <mergeCell ref="G55:J55"/>
    <mergeCell ref="B47:L47"/>
    <mergeCell ref="C21:E21"/>
    <mergeCell ref="D53:F53"/>
    <mergeCell ref="A26:C26"/>
    <mergeCell ref="G30:L30"/>
    <mergeCell ref="D77:E77"/>
    <mergeCell ref="A71:C71"/>
    <mergeCell ref="A23:L23"/>
    <mergeCell ref="I81:L81"/>
    <mergeCell ref="D30:F30"/>
    <mergeCell ref="F19:L19"/>
    <mergeCell ref="D24:L24"/>
    <mergeCell ref="A52:L52"/>
    <mergeCell ref="G32:L32"/>
    <mergeCell ref="D78:E78"/>
    <mergeCell ref="C18:E18"/>
    <mergeCell ref="D26:L26"/>
    <mergeCell ref="A77:C77"/>
    <mergeCell ref="A17:B17"/>
    <mergeCell ref="A34:C34"/>
    <mergeCell ref="H75:L75"/>
    <mergeCell ref="F18:L18"/>
    <mergeCell ref="J72:L72"/>
    <mergeCell ref="D10:L10"/>
    <mergeCell ref="B49:L49"/>
    <mergeCell ref="K53:L53"/>
    <mergeCell ref="G53:J53"/>
    <mergeCell ref="B64:L64"/>
    <mergeCell ref="F17:L17"/>
    <mergeCell ref="A19:B19"/>
    <mergeCell ref="A36:L36"/>
    <mergeCell ref="B51:L51"/>
    <mergeCell ref="A6:L6"/>
    <mergeCell ref="C20:E20"/>
    <mergeCell ref="B63:L63"/>
    <mergeCell ref="A69:L69"/>
    <mergeCell ref="B50:L50"/>
    <mergeCell ref="I83:L83"/>
    <mergeCell ref="D11:L11"/>
    <mergeCell ref="H78:L78"/>
    <mergeCell ref="A75:C75"/>
    <mergeCell ref="C84:E84"/>
    <mergeCell ref="J70:L70"/>
    <mergeCell ref="A80:L80"/>
    <mergeCell ref="A55:C55"/>
    <mergeCell ref="B66:L66"/>
    <mergeCell ref="A3:L3"/>
    <mergeCell ref="G34:L34"/>
    <mergeCell ref="K55:L55"/>
    <mergeCell ref="I84:L84"/>
    <mergeCell ref="D37:L37"/>
    <mergeCell ref="A32:C32"/>
    <mergeCell ref="D76:E76"/>
    <mergeCell ref="F76:G76"/>
    <mergeCell ref="D9:L9"/>
    <mergeCell ref="D39:L39"/>
    <mergeCell ref="A38:C38"/>
    <mergeCell ref="D75:E75"/>
    <mergeCell ref="D55:F55"/>
    <mergeCell ref="K56:L56"/>
    <mergeCell ref="F75:G75"/>
    <mergeCell ref="C81:E81"/>
    <mergeCell ref="D73:I73"/>
    <mergeCell ref="D38:L38"/>
    <mergeCell ref="A31:C31"/>
    <mergeCell ref="D54:F54"/>
    <mergeCell ref="F21:L21"/>
    <mergeCell ref="G31:L31"/>
    <mergeCell ref="A40:C40"/>
    <mergeCell ref="A58:L58"/>
    <mergeCell ref="A67:L67"/>
    <mergeCell ref="C15:E15"/>
    <mergeCell ref="A24:C24"/>
    <mergeCell ref="A73:C73"/>
    <mergeCell ref="G71:I71"/>
    <mergeCell ref="H77:L77"/>
    <mergeCell ref="D31:F31"/>
    <mergeCell ref="A83:B83"/>
    <mergeCell ref="C16:E16"/>
    <mergeCell ref="A25:C25"/>
    <mergeCell ref="D27:L27"/>
    <mergeCell ref="I82:L82"/>
    <mergeCell ref="D32:F32"/>
    <mergeCell ref="K54:L54"/>
    <mergeCell ref="F81:H81"/>
    <mergeCell ref="G33:L33"/>
    <mergeCell ref="B43:L43"/>
    <mergeCell ref="F14:L14"/>
    <mergeCell ref="A86:L86"/>
    <mergeCell ref="D71:F71"/>
    <mergeCell ref="D28:L28"/>
    <mergeCell ref="B42:L42"/>
    <mergeCell ref="G35:L35"/>
    <mergeCell ref="D25:L25"/>
    <mergeCell ref="D33:F33"/>
    <mergeCell ref="A72:C72"/>
    <mergeCell ref="A28:C28"/>
    <mergeCell ref="A21:B21"/>
    <mergeCell ref="A29:L29"/>
    <mergeCell ref="J71:L71"/>
    <mergeCell ref="F82:H82"/>
    <mergeCell ref="B44:L44"/>
    <mergeCell ref="D35:F35"/>
    <mergeCell ref="A13:L13"/>
    <mergeCell ref="A14:B14"/>
    <mergeCell ref="A30:C30"/>
    <mergeCell ref="G72:I72"/>
    <mergeCell ref="J73:L73"/>
    <mergeCell ref="D34:F34"/>
    <mergeCell ref="F77:G77"/>
    <mergeCell ref="C14:E14"/>
    <mergeCell ref="G70:I70"/>
    <mergeCell ref="A1:F1"/>
    <mergeCell ref="F84:H84"/>
    <mergeCell ref="D40:L40"/>
    <mergeCell ref="A70:C70"/>
    <mergeCell ref="A61:L61"/>
    <mergeCell ref="H76:L76"/>
    <mergeCell ref="A54:C54"/>
    <mergeCell ref="A7:L7"/>
    <mergeCell ref="F78:G78"/>
    <mergeCell ref="A41:L41"/>
    <mergeCell ref="B62:L62"/>
    <mergeCell ref="A82:B82"/>
    <mergeCell ref="D70:F70"/>
    <mergeCell ref="A56:C56"/>
    <mergeCell ref="A27:C27"/>
    <mergeCell ref="G54:J54"/>
    <mergeCell ref="B46:L46"/>
    <mergeCell ref="A74:L74"/>
    <mergeCell ref="D72:F72"/>
    <mergeCell ref="A76:C76"/>
    <mergeCell ref="A16:B16"/>
    <mergeCell ref="A33:C33"/>
    <mergeCell ref="G56:J56"/>
    <mergeCell ref="B48:L48"/>
    <mergeCell ref="A8:C8"/>
    <mergeCell ref="D56:F56"/>
    <mergeCell ref="A84:B84"/>
    <mergeCell ref="C17:E17"/>
    <mergeCell ref="A53:C53"/>
    <mergeCell ref="F16:L16"/>
    <mergeCell ref="A18:B18"/>
    <mergeCell ref="D8:L8"/>
    <mergeCell ref="A35:C35"/>
    <mergeCell ref="C82:E82"/>
    <mergeCell ref="A10:C10"/>
    <mergeCell ref="G1:L1"/>
    <mergeCell ref="C19:E19"/>
    <mergeCell ref="A9:C9"/>
    <mergeCell ref="F20:L20"/>
    <mergeCell ref="F15:L15"/>
    <mergeCell ref="A39:C39"/>
    <mergeCell ref="C83:E83"/>
    <mergeCell ref="B65:L65"/>
    <mergeCell ref="A20:B20"/>
    <mergeCell ref="A11:C11"/>
    <mergeCell ref="A81:B81"/>
    <mergeCell ref="A78:C78"/>
    <mergeCell ref="F83:H83"/>
    <mergeCell ref="B45:L45"/>
  </mergeCells>
  <conditionalFormatting sqref="D76:D78">
    <cfRule type="expression" priority="1" dxfId="2">
      <formula>AND(ISNUMBER(D76),MOD(D76,1)=0)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28" min="0" max="16383" man="1"/>
    <brk id="51" min="0" max="16383" man="1"/>
    <brk id="56" min="0" max="16383" man="1"/>
  </rowBreaks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9" t="inlineStr">
        <is>
          <t xml:space="preserve">작성 예시 (가상의 현장)  </t>
        </is>
      </c>
    </row>
    <row r="2" ht="120" customHeight="1"/>
    <row r="3" ht="40" customHeight="1">
      <c r="A3" s="3" t="inlineStr">
        <is>
          <t>가나지구 연구동 신축공사</t>
        </is>
      </c>
    </row>
    <row r="4" ht="64" customHeight="1">
      <c r="A4" s="4" t="inlineStr">
        <is>
          <t>흙막이 가시설 해체 계획서</t>
        </is>
      </c>
    </row>
    <row r="5" ht="150" customHeight="1"/>
    <row r="6" ht="32" customHeight="1">
      <c r="A6" s="5" t="n">
        <v>46113</v>
      </c>
    </row>
    <row r="7" ht="120" customHeight="1"/>
    <row r="8" ht="44" customHeight="1">
      <c r="A8" s="6" t="inlineStr">
        <is>
          <t>예시건설(주)</t>
        </is>
      </c>
    </row>
    <row r="10" ht="19.5" customHeight="1">
      <c r="A10" s="7" t="inlineStr">
        <is>
          <t>이 시트는 작성 예시입니다(가상의 공사 · 회사).</t>
        </is>
      </c>
    </row>
  </sheetData>
  <mergeCells count="7">
    <mergeCell ref="G1:L1"/>
    <mergeCell ref="A10:L10"/>
    <mergeCell ref="A1:F1"/>
    <mergeCell ref="A8:L8"/>
    <mergeCell ref="A6:L6"/>
    <mergeCell ref="A3:L3"/>
    <mergeCell ref="A4:L4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9" t="inlineStr">
        <is>
          <t xml:space="preserve">작성 예시 (가상의 현장)  </t>
        </is>
      </c>
    </row>
    <row r="2" ht="16" customHeight="1"/>
    <row r="3" ht="50" customHeight="1">
      <c r="A3" s="8" t="inlineStr">
        <is>
          <t>목          차</t>
        </is>
      </c>
    </row>
    <row r="4" ht="14" customHeight="1"/>
    <row r="5" ht="30" customHeight="1">
      <c r="A5" s="9" t="inlineStr"/>
      <c r="C5" s="10" t="inlineStr">
        <is>
          <t>1.  개    요  — 1.1 공사 개요 · 1.2 기구 조직도 · 1.3 공정표 · 1.4 인원/장비 투입계획 · 1.5 현장 운영계획</t>
        </is>
      </c>
      <c r="K5" s="9" t="inlineStr"/>
    </row>
    <row r="6" ht="30" customHeight="1">
      <c r="A6" s="9" t="inlineStr"/>
      <c r="C6" s="10" t="inlineStr">
        <is>
          <t>2.  공사수행계획  — 2.1 현장 가설계획 · 2.2 흙막이 가시설 현황 및 해체 순서 · 2.3 단계별 해체계획 · 2.4 폐기물 처리계획</t>
        </is>
      </c>
      <c r="K6" s="9" t="inlineStr"/>
    </row>
    <row r="7" ht="30" customHeight="1">
      <c r="A7" s="9" t="inlineStr"/>
      <c r="C7" s="10" t="inlineStr">
        <is>
          <t>3.  안전관리계획  — 3.1 중점 추진 방향 · 3.2 주요 관리 및 교육 활동 · 3.3 세부 계획</t>
        </is>
      </c>
      <c r="K7" s="9" t="inlineStr"/>
    </row>
    <row r="8" ht="30" customHeight="1">
      <c r="A8" s="9" t="inlineStr"/>
      <c r="C8" s="10" t="inlineStr">
        <is>
          <t>4.  환경관리계획  — 4.1 중점 추진 방향 · 4.2 환경관리 목표 · 4.3 세부 계획</t>
        </is>
      </c>
      <c r="K8" s="9" t="inlineStr"/>
    </row>
    <row r="9" ht="4" customHeight="1"/>
    <row r="10" ht="30" customHeight="1">
      <c r="A10" s="11" t="inlineStr">
        <is>
          <t>1.  개    요</t>
        </is>
      </c>
    </row>
    <row r="11" ht="4" customHeight="1"/>
    <row r="12" ht="3" customHeight="1"/>
    <row r="13" ht="22" customHeight="1">
      <c r="A13" s="12" t="inlineStr">
        <is>
          <t>1.1  공사 개요</t>
        </is>
      </c>
    </row>
    <row r="14" ht="26" customHeight="1">
      <c r="A14" s="13" t="inlineStr">
        <is>
          <t>공  사  명</t>
        </is>
      </c>
      <c r="B14" s="14" t="n"/>
      <c r="C14" s="14" t="n"/>
      <c r="D14" s="15">
        <f>IF(OR('예시-표지'!A3="",'예시-표지'!A3="(공 사 명)"),"",'예시-표지'!A3&amp;"  ［ 흙막이 가시설 해체공사 ］")</f>
        <v/>
      </c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26" customHeight="1">
      <c r="A15" s="13" t="inlineStr">
        <is>
          <t>현 장 위 치</t>
        </is>
      </c>
      <c r="B15" s="14" t="n"/>
      <c r="C15" s="14" t="n"/>
      <c r="D15" s="16" t="inlineStr">
        <is>
          <t>가나시 가나동 일원</t>
        </is>
      </c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 ht="26" customHeight="1">
      <c r="A16" s="13" t="inlineStr">
        <is>
          <t>공 사 기 간</t>
        </is>
      </c>
      <c r="B16" s="14" t="n"/>
      <c r="C16" s="14" t="n"/>
      <c r="D16" s="17" t="n">
        <v>46146</v>
      </c>
      <c r="E16" s="14" t="n"/>
      <c r="F16" s="18" t="inlineStr">
        <is>
          <t>~</t>
        </is>
      </c>
      <c r="G16" s="17" t="n">
        <v>46310</v>
      </c>
      <c r="H16" s="14" t="n"/>
      <c r="I16" s="19">
        <f>IF(OR(N(D16)=0,N(G16)=0),"",IF(G16&lt;D16,"⚠ 준공일이 착공일보다 빠름",G16-D16+1))</f>
        <v/>
      </c>
      <c r="J16" s="14" t="n"/>
      <c r="K16" s="14" t="n"/>
      <c r="L16" s="14" t="n"/>
    </row>
    <row r="17" ht="26" customHeight="1">
      <c r="A17" s="13" t="inlineStr">
        <is>
          <t>시  공  사</t>
        </is>
      </c>
      <c r="B17" s="14" t="n"/>
      <c r="C17" s="14" t="n"/>
      <c r="D17" s="15">
        <f>IF(OR('예시-표지'!A8="",'예시-표지'!A8="(회 사 명)"),"",'예시-표지'!A8)</f>
        <v/>
      </c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6" customHeight="1">
      <c r="A18" s="13" t="inlineStr">
        <is>
          <t>주 요 공 법</t>
        </is>
      </c>
      <c r="B18" s="14" t="n"/>
      <c r="C18" s="14" t="n"/>
      <c r="D18" s="20" t="inlineStr">
        <is>
          <t>흙막이 벽체 : 엄지말뚝(H-PILE) + 토류판 · 지지 : 어스앵커(E/A)</t>
        </is>
      </c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6" customHeight="1">
      <c r="A19" s="13" t="inlineStr">
        <is>
          <t>굴 착 깊 이</t>
        </is>
      </c>
      <c r="B19" s="14" t="n"/>
      <c r="C19" s="14" t="n"/>
      <c r="D19" s="21" t="n">
        <v>11.86</v>
      </c>
      <c r="E19" s="14" t="n"/>
      <c r="F19" s="14" t="n"/>
      <c r="G19" s="7" t="inlineStr">
        <is>
          <t>※ 단계별 되메우기 높이 합과 비교합니다(2.3).</t>
        </is>
      </c>
    </row>
    <row r="20" ht="21" customHeight="1">
      <c r="A20" s="22" t="inlineStr">
        <is>
          <t>▣ 주요 공사 수량</t>
        </is>
      </c>
    </row>
    <row r="21" ht="24" customHeight="1">
      <c r="A21" s="23" t="inlineStr">
        <is>
          <t>항    목</t>
        </is>
      </c>
      <c r="B21" s="14" t="n"/>
      <c r="C21" s="14" t="n"/>
      <c r="D21" s="23" t="inlineStr">
        <is>
          <t>규    격</t>
        </is>
      </c>
      <c r="E21" s="14" t="n"/>
      <c r="F21" s="14" t="n"/>
      <c r="G21" s="23" t="inlineStr">
        <is>
          <t>단위</t>
        </is>
      </c>
      <c r="H21" s="23" t="inlineStr">
        <is>
          <t>수  량</t>
        </is>
      </c>
      <c r="I21" s="14" t="n"/>
      <c r="J21" s="23" t="inlineStr">
        <is>
          <t>비    고</t>
        </is>
      </c>
      <c r="K21" s="14" t="n"/>
      <c r="L21" s="14" t="n"/>
    </row>
    <row r="22" ht="23" customHeight="1">
      <c r="A22" s="24" t="inlineStr">
        <is>
          <t>H-PILE 인발</t>
        </is>
      </c>
      <c r="B22" s="14" t="n"/>
      <c r="C22" s="14" t="n"/>
      <c r="D22" s="25" t="inlineStr">
        <is>
          <t>H-298×201×9×14</t>
        </is>
      </c>
      <c r="E22" s="14" t="n"/>
      <c r="F22" s="14" t="n"/>
      <c r="G22" s="24" t="inlineStr">
        <is>
          <t>본</t>
        </is>
      </c>
      <c r="H22" s="26" t="n">
        <v>77</v>
      </c>
      <c r="I22" s="14" t="n"/>
      <c r="J22" s="27" t="n"/>
      <c r="K22" s="14" t="n"/>
      <c r="L22" s="14" t="n"/>
    </row>
    <row r="23" ht="23" customHeight="1">
      <c r="A23" s="24" t="inlineStr">
        <is>
          <t>띠장 철거</t>
        </is>
      </c>
      <c r="B23" s="14" t="n"/>
      <c r="C23" s="14" t="n"/>
      <c r="D23" s="25" t="inlineStr">
        <is>
          <t>H-300×300×10×15</t>
        </is>
      </c>
      <c r="E23" s="14" t="n"/>
      <c r="F23" s="14" t="n"/>
      <c r="G23" s="24" t="inlineStr">
        <is>
          <t>m</t>
        </is>
      </c>
      <c r="H23" s="26" t="n">
        <v>668</v>
      </c>
      <c r="I23" s="14" t="n"/>
      <c r="J23" s="27" t="inlineStr">
        <is>
          <t>4단</t>
        </is>
      </c>
      <c r="K23" s="14" t="n"/>
      <c r="L23" s="14" t="n"/>
    </row>
    <row r="24" ht="23" customHeight="1">
      <c r="A24" s="24" t="inlineStr">
        <is>
          <t>보걸이 철거</t>
        </is>
      </c>
      <c r="B24" s="14" t="n"/>
      <c r="C24" s="14" t="n"/>
      <c r="D24" s="25" t="inlineStr">
        <is>
          <t>L-90×90×10</t>
        </is>
      </c>
      <c r="E24" s="14" t="n"/>
      <c r="F24" s="14" t="n"/>
      <c r="G24" s="24" t="inlineStr">
        <is>
          <t>개소</t>
        </is>
      </c>
      <c r="H24" s="26" t="n">
        <v>369</v>
      </c>
      <c r="I24" s="14" t="n"/>
      <c r="J24" s="27" t="inlineStr">
        <is>
          <t>4단</t>
        </is>
      </c>
      <c r="K24" s="14" t="n"/>
      <c r="L24" s="14" t="n"/>
    </row>
    <row r="25" ht="23" customHeight="1">
      <c r="A25" s="24" t="inlineStr">
        <is>
          <t>버팀보 철거</t>
        </is>
      </c>
      <c r="B25" s="14" t="n"/>
      <c r="C25" s="14" t="n"/>
      <c r="D25" s="25" t="inlineStr">
        <is>
          <t>H-300×300×10×15</t>
        </is>
      </c>
      <c r="E25" s="14" t="n"/>
      <c r="F25" s="14" t="n"/>
      <c r="G25" s="24" t="inlineStr">
        <is>
          <t>m</t>
        </is>
      </c>
      <c r="H25" s="26" t="n">
        <v>4</v>
      </c>
      <c r="I25" s="14" t="n"/>
      <c r="J25" s="27" t="inlineStr">
        <is>
          <t>3단</t>
        </is>
      </c>
      <c r="K25" s="14" t="n"/>
      <c r="L25" s="14" t="n"/>
    </row>
    <row r="26" ht="23" customHeight="1">
      <c r="A26" s="24" t="inlineStr">
        <is>
          <t>토류판 철거</t>
        </is>
      </c>
      <c r="B26" s="14" t="n"/>
      <c r="C26" s="14" t="n"/>
      <c r="D26" s="25" t="inlineStr">
        <is>
          <t>T = 9cm</t>
        </is>
      </c>
      <c r="E26" s="14" t="n"/>
      <c r="F26" s="14" t="n"/>
      <c r="G26" s="24" t="inlineStr">
        <is>
          <t>㎡</t>
        </is>
      </c>
      <c r="H26" s="26" t="n">
        <v>983</v>
      </c>
      <c r="I26" s="14" t="n"/>
      <c r="J26" s="27" t="n"/>
      <c r="K26" s="14" t="n"/>
      <c r="L26" s="14" t="n"/>
    </row>
    <row r="27" ht="23" customHeight="1">
      <c r="A27" s="24" t="inlineStr">
        <is>
          <t>지압판 철거</t>
        </is>
      </c>
      <c r="B27" s="14" t="n"/>
      <c r="C27" s="14" t="n"/>
      <c r="D27" s="25" t="inlineStr">
        <is>
          <t>SINGLE</t>
        </is>
      </c>
      <c r="E27" s="14" t="n"/>
      <c r="F27" s="14" t="n"/>
      <c r="G27" s="24" t="inlineStr">
        <is>
          <t>개소</t>
        </is>
      </c>
      <c r="H27" s="26" t="n">
        <v>179</v>
      </c>
      <c r="I27" s="14" t="n"/>
      <c r="J27" s="27" t="n"/>
      <c r="K27" s="14" t="n"/>
      <c r="L27" s="14" t="n"/>
    </row>
    <row r="28" ht="23" customHeight="1">
      <c r="A28" s="24" t="inlineStr">
        <is>
          <t>어스앵커 강선 제거</t>
        </is>
      </c>
      <c r="B28" s="14" t="n"/>
      <c r="C28" s="14" t="n"/>
      <c r="D28" s="25" t="n"/>
      <c r="E28" s="14" t="n"/>
      <c r="F28" s="14" t="n"/>
      <c r="G28" s="24" t="inlineStr">
        <is>
          <t>m</t>
        </is>
      </c>
      <c r="H28" s="26" t="n">
        <v>2469</v>
      </c>
      <c r="I28" s="14" t="n"/>
      <c r="J28" s="27" t="inlineStr">
        <is>
          <t>179공</t>
        </is>
      </c>
      <c r="K28" s="14" t="n"/>
      <c r="L28" s="14" t="n"/>
    </row>
    <row r="29" ht="23" customHeight="1">
      <c r="A29" s="24" t="n"/>
      <c r="B29" s="14" t="n"/>
      <c r="C29" s="14" t="n"/>
      <c r="D29" s="25" t="n"/>
      <c r="E29" s="14" t="n"/>
      <c r="F29" s="14" t="n"/>
      <c r="G29" s="24" t="n"/>
      <c r="H29" s="26" t="n"/>
      <c r="I29" s="14" t="n"/>
      <c r="J29" s="27" t="n"/>
      <c r="K29" s="14" t="n"/>
      <c r="L29" s="14" t="n"/>
    </row>
    <row r="30" ht="23" customHeight="1">
      <c r="A30" s="24" t="n"/>
      <c r="B30" s="14" t="n"/>
      <c r="C30" s="14" t="n"/>
      <c r="D30" s="25" t="n"/>
      <c r="E30" s="14" t="n"/>
      <c r="F30" s="14" t="n"/>
      <c r="G30" s="24" t="n"/>
      <c r="H30" s="26" t="n"/>
      <c r="I30" s="14" t="n"/>
      <c r="J30" s="27" t="n"/>
      <c r="K30" s="14" t="n"/>
      <c r="L30" s="14" t="n"/>
    </row>
    <row r="31" ht="3" customHeight="1"/>
    <row r="32" ht="22" customHeight="1">
      <c r="A32" s="12" t="inlineStr">
        <is>
          <t>1.2  기구 조직도</t>
        </is>
      </c>
    </row>
    <row r="33" ht="24" customHeight="1">
      <c r="A33" s="9" t="inlineStr"/>
      <c r="E33" s="13" t="inlineStr">
        <is>
          <t>현 장 대 리 인 (원도급)</t>
        </is>
      </c>
      <c r="F33" s="14" t="n"/>
      <c r="G33" s="14" t="n"/>
      <c r="H33" s="14" t="n"/>
      <c r="I33" s="9" t="inlineStr"/>
    </row>
    <row r="34" ht="24" customHeight="1">
      <c r="A34" s="9" t="inlineStr"/>
      <c r="E34" s="28" t="inlineStr">
        <is>
          <t>홍길동</t>
        </is>
      </c>
      <c r="F34" s="14" t="n"/>
      <c r="G34" s="14" t="n"/>
      <c r="H34" s="14" t="n"/>
      <c r="I34" s="9" t="inlineStr"/>
    </row>
    <row r="35" ht="14" customHeight="1">
      <c r="A35" s="29" t="inlineStr">
        <is>
          <t>┌──────────┼──────────┐</t>
        </is>
      </c>
    </row>
    <row r="36" ht="24" customHeight="1">
      <c r="A36" s="13" t="inlineStr">
        <is>
          <t>공사 과장</t>
        </is>
      </c>
      <c r="B36" s="14" t="n"/>
      <c r="C36" s="14" t="n"/>
      <c r="D36" s="14" t="n"/>
      <c r="E36" s="13" t="inlineStr">
        <is>
          <t>품질관리자</t>
        </is>
      </c>
      <c r="F36" s="14" t="n"/>
      <c r="G36" s="14" t="n"/>
      <c r="H36" s="14" t="n"/>
      <c r="I36" s="13" t="inlineStr">
        <is>
          <t>안전관리자</t>
        </is>
      </c>
      <c r="J36" s="14" t="n"/>
      <c r="K36" s="14" t="n"/>
      <c r="L36" s="14" t="n"/>
    </row>
    <row r="37" ht="24" customHeight="1">
      <c r="A37" s="28" t="inlineStr">
        <is>
          <t>김공사</t>
        </is>
      </c>
      <c r="B37" s="14" t="n"/>
      <c r="C37" s="14" t="n"/>
      <c r="D37" s="14" t="n"/>
      <c r="E37" s="28" t="inlineStr">
        <is>
          <t>이품질</t>
        </is>
      </c>
      <c r="F37" s="14" t="n"/>
      <c r="G37" s="14" t="n"/>
      <c r="H37" s="14" t="n"/>
      <c r="I37" s="28" t="inlineStr">
        <is>
          <t>박안전</t>
        </is>
      </c>
      <c r="J37" s="14" t="n"/>
      <c r="K37" s="14" t="n"/>
      <c r="L37" s="14" t="n"/>
    </row>
    <row r="38" ht="14" customHeight="1">
      <c r="A38" s="29" t="inlineStr">
        <is>
          <t>│</t>
        </is>
      </c>
    </row>
    <row r="39" ht="24" customHeight="1">
      <c r="A39" s="9" t="inlineStr"/>
      <c r="E39" s="13" t="inlineStr">
        <is>
          <t>현장대리인 (하도급)</t>
        </is>
      </c>
      <c r="F39" s="14" t="n"/>
      <c r="G39" s="14" t="n"/>
      <c r="H39" s="14" t="n"/>
      <c r="I39" s="9" t="inlineStr"/>
    </row>
    <row r="40" ht="24" customHeight="1">
      <c r="A40" s="9" t="inlineStr"/>
      <c r="E40" s="28" t="inlineStr">
        <is>
          <t>최소장</t>
        </is>
      </c>
      <c r="F40" s="14" t="n"/>
      <c r="G40" s="14" t="n"/>
      <c r="H40" s="14" t="n"/>
      <c r="I40" s="9" t="inlineStr"/>
    </row>
    <row r="41" ht="14" customHeight="1">
      <c r="A41" s="29" t="inlineStr">
        <is>
          <t>┌──────────┴──────────┐</t>
        </is>
      </c>
    </row>
    <row r="42" ht="24" customHeight="1">
      <c r="A42" s="9" t="inlineStr"/>
      <c r="C42" s="13" t="inlineStr">
        <is>
          <t>공사 (반장)</t>
        </is>
      </c>
      <c r="D42" s="14" t="n"/>
      <c r="E42" s="14" t="n"/>
      <c r="F42" s="14" t="n"/>
      <c r="G42" s="13" t="inlineStr">
        <is>
          <t>안전 · 환경 (대리)</t>
        </is>
      </c>
      <c r="H42" s="14" t="n"/>
      <c r="I42" s="14" t="n"/>
      <c r="J42" s="14" t="n"/>
      <c r="K42" s="9" t="inlineStr"/>
    </row>
    <row r="43" ht="24" customHeight="1">
      <c r="A43" s="9" t="inlineStr"/>
      <c r="C43" s="28" t="inlineStr">
        <is>
          <t>정반장</t>
        </is>
      </c>
      <c r="D43" s="14" t="n"/>
      <c r="E43" s="14" t="n"/>
      <c r="F43" s="14" t="n"/>
      <c r="G43" s="28" t="inlineStr">
        <is>
          <t>한대리</t>
        </is>
      </c>
      <c r="H43" s="14" t="n"/>
      <c r="I43" s="14" t="n"/>
      <c r="J43" s="14" t="n"/>
      <c r="K43" s="9" t="inlineStr"/>
    </row>
    <row r="44" ht="3" customHeight="1"/>
    <row r="45" ht="22" customHeight="1">
      <c r="A45" s="12" t="inlineStr">
        <is>
          <t>1.3  공정표 — «공정표» 시트(반달 막대)</t>
        </is>
      </c>
    </row>
    <row r="46" ht="3" customHeight="1"/>
    <row r="47" ht="22" customHeight="1">
      <c r="A47" s="12" t="inlineStr">
        <is>
          <t>1.4  인원 / 장비 투입계획</t>
        </is>
      </c>
    </row>
    <row r="48" ht="24" customHeight="1">
      <c r="A48" s="23" t="inlineStr">
        <is>
          <t>인  원  투  입  계  획</t>
        </is>
      </c>
      <c r="B48" s="14" t="n"/>
      <c r="C48" s="14" t="n"/>
      <c r="D48" s="14" t="n"/>
      <c r="E48" s="14" t="n"/>
      <c r="F48" s="14" t="n"/>
      <c r="G48" s="23" t="inlineStr">
        <is>
          <t>장  비  투  입  계  획</t>
        </is>
      </c>
      <c r="H48" s="14" t="n"/>
      <c r="I48" s="14" t="n"/>
      <c r="J48" s="14" t="n"/>
      <c r="K48" s="14" t="n"/>
      <c r="L48" s="14" t="n"/>
    </row>
    <row r="49" ht="24" customHeight="1">
      <c r="A49" s="23" t="inlineStr">
        <is>
          <t>구  분</t>
        </is>
      </c>
      <c r="B49" s="14" t="n"/>
      <c r="C49" s="14" t="n"/>
      <c r="D49" s="23" t="inlineStr">
        <is>
          <t>단위</t>
        </is>
      </c>
      <c r="E49" s="23" t="inlineStr">
        <is>
          <t>인원</t>
        </is>
      </c>
      <c r="F49" s="14" t="n"/>
      <c r="G49" s="23" t="inlineStr">
        <is>
          <t>장 비</t>
        </is>
      </c>
      <c r="H49" s="14" t="n"/>
      <c r="I49" s="23" t="inlineStr">
        <is>
          <t>규  격</t>
        </is>
      </c>
      <c r="J49" s="14" t="n"/>
      <c r="K49" s="23" t="inlineStr">
        <is>
          <t>단위</t>
        </is>
      </c>
      <c r="L49" s="23" t="inlineStr">
        <is>
          <t>수량</t>
        </is>
      </c>
    </row>
    <row r="50" ht="23" customHeight="1">
      <c r="A50" s="28" t="inlineStr">
        <is>
          <t>직    원</t>
        </is>
      </c>
      <c r="B50" s="14" t="n"/>
      <c r="C50" s="14" t="n"/>
      <c r="D50" s="18" t="inlineStr">
        <is>
          <t>명</t>
        </is>
      </c>
      <c r="E50" s="30" t="n">
        <v>2</v>
      </c>
      <c r="F50" s="14" t="n"/>
      <c r="G50" s="24" t="inlineStr">
        <is>
          <t>굴삭기</t>
        </is>
      </c>
      <c r="H50" s="14" t="n"/>
      <c r="I50" s="31" t="inlineStr">
        <is>
          <t>0.6㎥ 타이어</t>
        </is>
      </c>
      <c r="J50" s="14" t="n"/>
      <c r="K50" s="25" t="inlineStr">
        <is>
          <t>대</t>
        </is>
      </c>
      <c r="L50" s="25" t="inlineStr">
        <is>
          <t>1</t>
        </is>
      </c>
    </row>
    <row r="51" ht="23" customHeight="1">
      <c r="A51" s="28" t="inlineStr">
        <is>
          <t>작업반장</t>
        </is>
      </c>
      <c r="B51" s="14" t="n"/>
      <c r="C51" s="14" t="n"/>
      <c r="D51" s="18" t="inlineStr">
        <is>
          <t>명</t>
        </is>
      </c>
      <c r="E51" s="30" t="n">
        <v>1</v>
      </c>
      <c r="F51" s="14" t="n"/>
      <c r="G51" s="24" t="inlineStr">
        <is>
          <t>덤프트럭</t>
        </is>
      </c>
      <c r="H51" s="14" t="n"/>
      <c r="I51" s="31" t="inlineStr">
        <is>
          <t>15톤</t>
        </is>
      </c>
      <c r="J51" s="14" t="n"/>
      <c r="K51" s="25" t="inlineStr">
        <is>
          <t>대</t>
        </is>
      </c>
      <c r="L51" s="25" t="inlineStr">
        <is>
          <t>2</t>
        </is>
      </c>
    </row>
    <row r="52" ht="23" customHeight="1">
      <c r="A52" s="28" t="inlineStr">
        <is>
          <t>용 접 공</t>
        </is>
      </c>
      <c r="B52" s="14" t="n"/>
      <c r="C52" s="14" t="n"/>
      <c r="D52" s="18" t="inlineStr">
        <is>
          <t>명</t>
        </is>
      </c>
      <c r="E52" s="30" t="n">
        <v>2</v>
      </c>
      <c r="F52" s="14" t="n"/>
      <c r="G52" s="24" t="inlineStr">
        <is>
          <t>크레인</t>
        </is>
      </c>
      <c r="H52" s="14" t="n"/>
      <c r="I52" s="31" t="inlineStr">
        <is>
          <t>25 ~ 50톤</t>
        </is>
      </c>
      <c r="J52" s="14" t="n"/>
      <c r="K52" s="25" t="inlineStr">
        <is>
          <t>대</t>
        </is>
      </c>
      <c r="L52" s="25" t="inlineStr">
        <is>
          <t>1</t>
        </is>
      </c>
    </row>
    <row r="53" ht="23" customHeight="1">
      <c r="A53" s="28" t="inlineStr">
        <is>
          <t>보통인부</t>
        </is>
      </c>
      <c r="B53" s="14" t="n"/>
      <c r="C53" s="14" t="n"/>
      <c r="D53" s="18" t="inlineStr">
        <is>
          <t>명</t>
        </is>
      </c>
      <c r="E53" s="30" t="n">
        <v>4</v>
      </c>
      <c r="F53" s="14" t="n"/>
      <c r="G53" s="24" t="inlineStr">
        <is>
          <t>산소절단기</t>
        </is>
      </c>
      <c r="H53" s="14" t="n"/>
      <c r="I53" s="31" t="inlineStr">
        <is>
          <t>산소 + LPG</t>
        </is>
      </c>
      <c r="J53" s="14" t="n"/>
      <c r="K53" s="25" t="inlineStr">
        <is>
          <t>대</t>
        </is>
      </c>
      <c r="L53" s="25" t="inlineStr">
        <is>
          <t>1 ~ 2</t>
        </is>
      </c>
    </row>
    <row r="54" ht="23" customHeight="1">
      <c r="A54" s="28" t="inlineStr">
        <is>
          <t>신 호 수</t>
        </is>
      </c>
      <c r="B54" s="14" t="n"/>
      <c r="C54" s="14" t="n"/>
      <c r="D54" s="18" t="inlineStr">
        <is>
          <t>명</t>
        </is>
      </c>
      <c r="E54" s="30" t="n">
        <v>1</v>
      </c>
      <c r="F54" s="14" t="n"/>
      <c r="G54" s="24" t="inlineStr">
        <is>
          <t>유압 인발기</t>
        </is>
      </c>
      <c r="H54" s="14" t="n"/>
      <c r="I54" s="31" t="inlineStr">
        <is>
          <t>40톤</t>
        </is>
      </c>
      <c r="J54" s="14" t="n"/>
      <c r="K54" s="25" t="inlineStr">
        <is>
          <t>대</t>
        </is>
      </c>
      <c r="L54" s="25" t="inlineStr">
        <is>
          <t>1</t>
        </is>
      </c>
    </row>
    <row r="55" ht="23" customHeight="1">
      <c r="A55" s="28" t="n"/>
      <c r="B55" s="14" t="n"/>
      <c r="C55" s="14" t="n"/>
      <c r="D55" s="18" t="inlineStr"/>
      <c r="E55" s="30" t="n"/>
      <c r="F55" s="14" t="n"/>
      <c r="G55" s="24" t="n"/>
      <c r="H55" s="14" t="n"/>
      <c r="I55" s="31" t="n"/>
      <c r="J55" s="14" t="n"/>
      <c r="K55" s="25" t="n"/>
      <c r="L55" s="25" t="n"/>
    </row>
    <row r="56" ht="24" customHeight="1">
      <c r="A56" s="32" t="inlineStr">
        <is>
          <t>합   계</t>
        </is>
      </c>
      <c r="B56" s="14" t="n"/>
      <c r="C56" s="14" t="n"/>
      <c r="D56" s="14" t="n"/>
      <c r="E56" s="33">
        <f>IF(SUM(E50:E55)=0,"",SUM(E50:E55))</f>
        <v/>
      </c>
      <c r="F56" s="14" t="n"/>
      <c r="G56" s="32" t="inlineStr"/>
      <c r="H56" s="14" t="n"/>
      <c r="I56" s="14" t="n"/>
      <c r="J56" s="14" t="n"/>
      <c r="K56" s="14" t="n"/>
      <c r="L56" s="14" t="n"/>
    </row>
    <row r="57" ht="3" customHeight="1"/>
    <row r="58" ht="22" customHeight="1">
      <c r="A58" s="12" t="inlineStr">
        <is>
          <t>1.5  현장 운영계획</t>
        </is>
      </c>
    </row>
    <row r="59" ht="24" customHeight="1">
      <c r="A59" s="23" t="inlineStr">
        <is>
          <t>구   분</t>
        </is>
      </c>
      <c r="B59" s="14" t="n"/>
      <c r="C59" s="14" t="n"/>
      <c r="D59" s="23" t="inlineStr">
        <is>
          <t>내        용</t>
        </is>
      </c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 ht="26" customHeight="1">
      <c r="A60" s="34" t="inlineStr">
        <is>
          <t>방  침</t>
        </is>
      </c>
      <c r="B60" s="14" t="n"/>
      <c r="C60" s="14" t="n"/>
      <c r="D60" s="35" t="inlineStr">
        <is>
          <t>Triple Zero — 안전사고 ZERO · 품질사고 ZERO · 환경사고 ZERO</t>
        </is>
      </c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 ht="26" customHeight="1">
      <c r="A61" s="34" t="inlineStr">
        <is>
          <t>공정관리</t>
        </is>
      </c>
      <c r="B61" s="14" t="n"/>
      <c r="C61" s="14" t="n"/>
      <c r="D61" s="35" t="inlineStr">
        <is>
          <t>적기 공기 준수</t>
        </is>
      </c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 ht="48.75" customHeight="1">
      <c r="A62" s="34" t="inlineStr">
        <is>
          <t>공사관리</t>
        </is>
      </c>
      <c r="B62" s="14" t="n"/>
      <c r="C62" s="14" t="n"/>
      <c r="D62" s="35" t="inlineStr">
        <is>
          <t>일일 시공 사이클 준수 · 공사관리 절차를 철저히 지켜 시공 · 주간 · 월간 공정회의로 철저한 공정관리 · 명확한 작업 지시와 현장 확인으로 재시공 방지(작업지시서 수령)</t>
        </is>
      </c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 ht="26" customHeight="1">
      <c r="A63" s="34" t="inlineStr">
        <is>
          <t>품  질</t>
        </is>
      </c>
      <c r="B63" s="14" t="n"/>
      <c r="C63" s="14" t="n"/>
      <c r="D63" s="35" t="inlineStr">
        <is>
          <t>해체계획서에 따른 단계별 공사 진행 · 작업자에게 작업 지도서 교육</t>
        </is>
      </c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 ht="34.5" customHeight="1">
      <c r="A64" s="34" t="inlineStr">
        <is>
          <t>안  전</t>
        </is>
      </c>
      <c r="B64" s="14" t="n"/>
      <c r="C64" s="14" t="n"/>
      <c r="D64" s="35" t="inlineStr">
        <is>
          <t>해체공사 중 철저한 안전관리 · 가시설 상단부 안전시설 확보 · 안전관리계획을 실천하여 사고 예방 · 매일 현장 순찰(PATROL)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 ht="34.5" customHeight="1">
      <c r="A65" s="34" t="inlineStr">
        <is>
          <t>환  경</t>
        </is>
      </c>
      <c r="B65" s="14" t="n"/>
      <c r="C65" s="14" t="n"/>
      <c r="D65" s="35" t="inlineStr">
        <is>
          <t>민원인과 적극 협의하여 민원 최소화 · 살수차 · 고압 살수기로 비산먼지 최대 억제</t>
        </is>
      </c>
      <c r="E65" s="14" t="n"/>
      <c r="F65" s="14" t="n"/>
      <c r="G65" s="14" t="n"/>
      <c r="H65" s="14" t="n"/>
      <c r="I65" s="14" t="n"/>
      <c r="J65" s="14" t="n"/>
      <c r="K65" s="14" t="n"/>
      <c r="L65" s="14" t="n"/>
    </row>
    <row r="67" ht="19.5" customHeight="1">
      <c r="A67" s="7" t="inlineStr">
        <is>
          <t>이 시트는 작성 예시입니다(가상의 공사 · 사람 · 수량).</t>
        </is>
      </c>
    </row>
  </sheetData>
  <mergeCells count="154">
    <mergeCell ref="G19:L19"/>
    <mergeCell ref="D61:L61"/>
    <mergeCell ref="J27:L27"/>
    <mergeCell ref="A21:C21"/>
    <mergeCell ref="A26:C26"/>
    <mergeCell ref="E37:H37"/>
    <mergeCell ref="J25:L25"/>
    <mergeCell ref="E51:F51"/>
    <mergeCell ref="D28:F28"/>
    <mergeCell ref="I40:L40"/>
    <mergeCell ref="A7:B7"/>
    <mergeCell ref="A23:C23"/>
    <mergeCell ref="D62:L62"/>
    <mergeCell ref="D30:F30"/>
    <mergeCell ref="A52:C52"/>
    <mergeCell ref="D64:L64"/>
    <mergeCell ref="D29:F29"/>
    <mergeCell ref="A63:C63"/>
    <mergeCell ref="D23:F23"/>
    <mergeCell ref="E49:F49"/>
    <mergeCell ref="A42:B42"/>
    <mergeCell ref="K42:L42"/>
    <mergeCell ref="I16:L16"/>
    <mergeCell ref="I52:J52"/>
    <mergeCell ref="J29:L29"/>
    <mergeCell ref="A56:D56"/>
    <mergeCell ref="A49:C49"/>
    <mergeCell ref="E34:H34"/>
    <mergeCell ref="C43:F43"/>
    <mergeCell ref="H23:I23"/>
    <mergeCell ref="E53:F53"/>
    <mergeCell ref="A33:D33"/>
    <mergeCell ref="E36:H36"/>
    <mergeCell ref="J24:L24"/>
    <mergeCell ref="D27:F27"/>
    <mergeCell ref="I39:L39"/>
    <mergeCell ref="E55:F55"/>
    <mergeCell ref="J26:L26"/>
    <mergeCell ref="A55:C55"/>
    <mergeCell ref="A3:L3"/>
    <mergeCell ref="H25:I25"/>
    <mergeCell ref="I54:J54"/>
    <mergeCell ref="A14:C14"/>
    <mergeCell ref="A32:L32"/>
    <mergeCell ref="A29:C29"/>
    <mergeCell ref="D25:F25"/>
    <mergeCell ref="G49:H49"/>
    <mergeCell ref="A38:L38"/>
    <mergeCell ref="D15:L15"/>
    <mergeCell ref="K43:L43"/>
    <mergeCell ref="A58:L58"/>
    <mergeCell ref="H28:I28"/>
    <mergeCell ref="A15:C15"/>
    <mergeCell ref="A48:F48"/>
    <mergeCell ref="A8:B8"/>
    <mergeCell ref="A67:L67"/>
    <mergeCell ref="A24:C24"/>
    <mergeCell ref="A51:C51"/>
    <mergeCell ref="A60:C60"/>
    <mergeCell ref="E40:H40"/>
    <mergeCell ref="D63:L63"/>
    <mergeCell ref="J28:L28"/>
    <mergeCell ref="G16:H16"/>
    <mergeCell ref="G48:L48"/>
    <mergeCell ref="D65:L65"/>
    <mergeCell ref="D21:F21"/>
    <mergeCell ref="K6:L6"/>
    <mergeCell ref="I33:L33"/>
    <mergeCell ref="J30:L30"/>
    <mergeCell ref="A16:C16"/>
    <mergeCell ref="A25:C25"/>
    <mergeCell ref="E50:F50"/>
    <mergeCell ref="C6:J6"/>
    <mergeCell ref="A18:C18"/>
    <mergeCell ref="K5:L5"/>
    <mergeCell ref="D17:L17"/>
    <mergeCell ref="E52:F52"/>
    <mergeCell ref="A50:C50"/>
    <mergeCell ref="H21:I21"/>
    <mergeCell ref="A34:D34"/>
    <mergeCell ref="A47:L47"/>
    <mergeCell ref="A22:C22"/>
    <mergeCell ref="A39:D39"/>
    <mergeCell ref="A62:C62"/>
    <mergeCell ref="A36:D36"/>
    <mergeCell ref="A20:L20"/>
    <mergeCell ref="A28:C28"/>
    <mergeCell ref="E39:H39"/>
    <mergeCell ref="K8:L8"/>
    <mergeCell ref="D14:L14"/>
    <mergeCell ref="A5:B5"/>
    <mergeCell ref="A13:L13"/>
    <mergeCell ref="A30:C30"/>
    <mergeCell ref="H22:I22"/>
    <mergeCell ref="A59:C59"/>
    <mergeCell ref="C8:J8"/>
    <mergeCell ref="I37:L37"/>
    <mergeCell ref="A64:C64"/>
    <mergeCell ref="A37:D37"/>
    <mergeCell ref="K7:L7"/>
    <mergeCell ref="G51:H51"/>
    <mergeCell ref="I51:J51"/>
    <mergeCell ref="E54:F54"/>
    <mergeCell ref="A43:B43"/>
    <mergeCell ref="G54:H54"/>
    <mergeCell ref="A1:F1"/>
    <mergeCell ref="A61:C61"/>
    <mergeCell ref="D22:F22"/>
    <mergeCell ref="G50:H50"/>
    <mergeCell ref="I50:J50"/>
    <mergeCell ref="E56:F56"/>
    <mergeCell ref="H30:I30"/>
    <mergeCell ref="A54:C54"/>
    <mergeCell ref="G52:H52"/>
    <mergeCell ref="A41:L41"/>
    <mergeCell ref="H29:I29"/>
    <mergeCell ref="I49:J49"/>
    <mergeCell ref="A27:C27"/>
    <mergeCell ref="C5:J5"/>
    <mergeCell ref="A6:B6"/>
    <mergeCell ref="A40:D40"/>
    <mergeCell ref="J22:L22"/>
    <mergeCell ref="I34:L34"/>
    <mergeCell ref="G43:J43"/>
    <mergeCell ref="A17:C17"/>
    <mergeCell ref="D18:L18"/>
    <mergeCell ref="G53:H53"/>
    <mergeCell ref="A53:C53"/>
    <mergeCell ref="I53:J53"/>
    <mergeCell ref="E33:H33"/>
    <mergeCell ref="C42:F42"/>
    <mergeCell ref="J21:L21"/>
    <mergeCell ref="A35:L35"/>
    <mergeCell ref="D24:F24"/>
    <mergeCell ref="G42:J42"/>
    <mergeCell ref="G1:L1"/>
    <mergeCell ref="I36:L36"/>
    <mergeCell ref="D16:E16"/>
    <mergeCell ref="A19:C19"/>
    <mergeCell ref="A10:L10"/>
    <mergeCell ref="I55:J55"/>
    <mergeCell ref="J23:L23"/>
    <mergeCell ref="D26:F26"/>
    <mergeCell ref="G56:L56"/>
    <mergeCell ref="D59:L59"/>
    <mergeCell ref="H27:I27"/>
    <mergeCell ref="D60:L60"/>
    <mergeCell ref="G55:H55"/>
    <mergeCell ref="D19:F19"/>
    <mergeCell ref="C7:J7"/>
    <mergeCell ref="H24:I24"/>
    <mergeCell ref="A45:L45"/>
    <mergeCell ref="A65:C65"/>
    <mergeCell ref="H26:I26"/>
  </mergeCells>
  <conditionalFormatting sqref="H22:H30">
    <cfRule type="expression" priority="1" dxfId="0">
      <formula>AND(ISNUMBER(H22),MOD(H22,1)=0)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8" min="0" max="16383" man="1"/>
    <brk id="43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O20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무료 건설 서식</t>
        </is>
      </c>
      <c r="N1" s="69" t="inlineStr">
        <is>
          <t xml:space="preserve">작성 예시 (가상의 현장)  </t>
        </is>
      </c>
    </row>
    <row r="2" ht="34" customHeight="1">
      <c r="A2" s="36" t="inlineStr">
        <is>
          <t>1.3   공  정  표</t>
        </is>
      </c>
    </row>
    <row r="3" ht="22" customHeight="1">
      <c r="A3" s="13" t="inlineStr">
        <is>
          <t>착 공 일</t>
        </is>
      </c>
      <c r="B3" s="37">
        <f>IF(N('예시-개요'!D16)=0,"",'예시-개요'!D16)</f>
        <v/>
      </c>
      <c r="C3" s="14" t="n"/>
      <c r="D3" s="7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3" t="inlineStr">
        <is>
          <t>공    종</t>
        </is>
      </c>
      <c r="B4" s="23" t="inlineStr">
        <is>
          <t>착 수</t>
        </is>
      </c>
      <c r="C4" s="23" t="inlineStr">
        <is>
          <t>완 료</t>
        </is>
      </c>
      <c r="D4" s="23" t="inlineStr">
        <is>
          <t>일 수</t>
        </is>
      </c>
      <c r="E4" s="38">
        <f>IF(N(B3)=0,"",EDATE(DATE(YEAR(B3),MONTH(B3),1),0))</f>
        <v/>
      </c>
      <c r="F4" s="14" t="n"/>
      <c r="G4" s="38">
        <f>IF(N(B3)=0,"",EDATE(DATE(YEAR(B3),MONTH(B3),1),1))</f>
        <v/>
      </c>
      <c r="H4" s="14" t="n"/>
      <c r="I4" s="38">
        <f>IF(N(B3)=0,"",EDATE(DATE(YEAR(B3),MONTH(B3),1),2))</f>
        <v/>
      </c>
      <c r="J4" s="14" t="n"/>
      <c r="K4" s="38">
        <f>IF(N(B3)=0,"",EDATE(DATE(YEAR(B3),MONTH(B3),1),3))</f>
        <v/>
      </c>
      <c r="L4" s="14" t="n"/>
      <c r="M4" s="38">
        <f>IF(N(B3)=0,"",EDATE(DATE(YEAR(B3),MONTH(B3),1),4))</f>
        <v/>
      </c>
      <c r="N4" s="14" t="n"/>
      <c r="O4" s="38">
        <f>IF(N(B3)=0,"",EDATE(DATE(YEAR(B3),MONTH(B3),1),5))</f>
        <v/>
      </c>
      <c r="P4" s="14" t="n"/>
      <c r="Q4" s="38">
        <f>IF(N(B3)=0,"",EDATE(DATE(YEAR(B3),MONTH(B3),1),6))</f>
        <v/>
      </c>
      <c r="R4" s="14" t="n"/>
      <c r="S4" s="38">
        <f>IF(N(B3)=0,"",EDATE(DATE(YEAR(B3),MONTH(B3),1),7))</f>
        <v/>
      </c>
      <c r="T4" s="14" t="n"/>
      <c r="U4" s="38">
        <f>IF(N(B3)=0,"",EDATE(DATE(YEAR(B3),MONTH(B3),1),8))</f>
        <v/>
      </c>
      <c r="V4" s="14" t="n"/>
      <c r="W4" s="38">
        <f>IF(N(B3)=0,"",EDATE(DATE(YEAR(B3),MONTH(B3),1),9))</f>
        <v/>
      </c>
      <c r="X4" s="14" t="n"/>
      <c r="Y4" s="38">
        <f>IF(N(B3)=0,"",EDATE(DATE(YEAR(B3),MONTH(B3),1),10))</f>
        <v/>
      </c>
      <c r="Z4" s="14" t="n"/>
      <c r="AA4" s="38">
        <f>IF(N(B3)=0,"",EDATE(DATE(YEAR(B3),MONTH(B3),1),11))</f>
        <v/>
      </c>
      <c r="AB4" s="14" t="n"/>
      <c r="AC4" s="38">
        <f>IF(N(B3)=0,"",EDATE(DATE(YEAR(B3),MONTH(B3),1),12))</f>
        <v/>
      </c>
      <c r="AD4" s="14" t="n"/>
      <c r="AE4" s="38">
        <f>IF(N(B3)=0,"",EDATE(DATE(YEAR(B3),MONTH(B3),1),13))</f>
        <v/>
      </c>
      <c r="AF4" s="14" t="n"/>
      <c r="AG4" s="38">
        <f>IF(N(B3)=0,"",EDATE(DATE(YEAR(B3),MONTH(B3),1),14))</f>
        <v/>
      </c>
      <c r="AH4" s="14" t="n"/>
      <c r="AI4" s="38">
        <f>IF(N(B3)=0,"",EDATE(DATE(YEAR(B3),MONTH(B3),1),15))</f>
        <v/>
      </c>
      <c r="AJ4" s="14" t="n"/>
      <c r="AK4" s="38">
        <f>IF(N(B3)=0,"",EDATE(DATE(YEAR(B3),MONTH(B3),1),16))</f>
        <v/>
      </c>
      <c r="AL4" s="14" t="n"/>
      <c r="AM4" s="38">
        <f>IF(N(B3)=0,"",EDATE(DATE(YEAR(B3),MONTH(B3),1),17))</f>
        <v/>
      </c>
      <c r="AN4" s="14" t="n"/>
      <c r="AO4" s="23" t="inlineStr">
        <is>
          <t>비 고</t>
        </is>
      </c>
    </row>
    <row r="5" ht="15" customHeight="1">
      <c r="A5" s="14" t="n"/>
      <c r="B5" s="14" t="n"/>
      <c r="C5" s="14" t="n"/>
      <c r="D5" s="14" t="n"/>
      <c r="E5" s="39" t="inlineStr">
        <is>
          <t>상</t>
        </is>
      </c>
      <c r="F5" s="39" t="inlineStr">
        <is>
          <t>하</t>
        </is>
      </c>
      <c r="G5" s="39" t="inlineStr">
        <is>
          <t>상</t>
        </is>
      </c>
      <c r="H5" s="39" t="inlineStr">
        <is>
          <t>하</t>
        </is>
      </c>
      <c r="I5" s="39" t="inlineStr">
        <is>
          <t>상</t>
        </is>
      </c>
      <c r="J5" s="39" t="inlineStr">
        <is>
          <t>하</t>
        </is>
      </c>
      <c r="K5" s="39" t="inlineStr">
        <is>
          <t>상</t>
        </is>
      </c>
      <c r="L5" s="39" t="inlineStr">
        <is>
          <t>하</t>
        </is>
      </c>
      <c r="M5" s="39" t="inlineStr">
        <is>
          <t>상</t>
        </is>
      </c>
      <c r="N5" s="39" t="inlineStr">
        <is>
          <t>하</t>
        </is>
      </c>
      <c r="O5" s="39" t="inlineStr">
        <is>
          <t>상</t>
        </is>
      </c>
      <c r="P5" s="39" t="inlineStr">
        <is>
          <t>하</t>
        </is>
      </c>
      <c r="Q5" s="39" t="inlineStr">
        <is>
          <t>상</t>
        </is>
      </c>
      <c r="R5" s="39" t="inlineStr">
        <is>
          <t>하</t>
        </is>
      </c>
      <c r="S5" s="39" t="inlineStr">
        <is>
          <t>상</t>
        </is>
      </c>
      <c r="T5" s="39" t="inlineStr">
        <is>
          <t>하</t>
        </is>
      </c>
      <c r="U5" s="39" t="inlineStr">
        <is>
          <t>상</t>
        </is>
      </c>
      <c r="V5" s="39" t="inlineStr">
        <is>
          <t>하</t>
        </is>
      </c>
      <c r="W5" s="39" t="inlineStr">
        <is>
          <t>상</t>
        </is>
      </c>
      <c r="X5" s="39" t="inlineStr">
        <is>
          <t>하</t>
        </is>
      </c>
      <c r="Y5" s="39" t="inlineStr">
        <is>
          <t>상</t>
        </is>
      </c>
      <c r="Z5" s="39" t="inlineStr">
        <is>
          <t>하</t>
        </is>
      </c>
      <c r="AA5" s="39" t="inlineStr">
        <is>
          <t>상</t>
        </is>
      </c>
      <c r="AB5" s="39" t="inlineStr">
        <is>
          <t>하</t>
        </is>
      </c>
      <c r="AC5" s="39" t="inlineStr">
        <is>
          <t>상</t>
        </is>
      </c>
      <c r="AD5" s="39" t="inlineStr">
        <is>
          <t>하</t>
        </is>
      </c>
      <c r="AE5" s="39" t="inlineStr">
        <is>
          <t>상</t>
        </is>
      </c>
      <c r="AF5" s="39" t="inlineStr">
        <is>
          <t>하</t>
        </is>
      </c>
      <c r="AG5" s="39" t="inlineStr">
        <is>
          <t>상</t>
        </is>
      </c>
      <c r="AH5" s="39" t="inlineStr">
        <is>
          <t>하</t>
        </is>
      </c>
      <c r="AI5" s="39" t="inlineStr">
        <is>
          <t>상</t>
        </is>
      </c>
      <c r="AJ5" s="39" t="inlineStr">
        <is>
          <t>하</t>
        </is>
      </c>
      <c r="AK5" s="39" t="inlineStr">
        <is>
          <t>상</t>
        </is>
      </c>
      <c r="AL5" s="39" t="inlineStr">
        <is>
          <t>하</t>
        </is>
      </c>
      <c r="AM5" s="39" t="inlineStr">
        <is>
          <t>상</t>
        </is>
      </c>
      <c r="AN5" s="39" t="inlineStr">
        <is>
          <t>하</t>
        </is>
      </c>
      <c r="AO5" s="14" t="n"/>
    </row>
    <row r="6" hidden="1" ht="12" customHeight="1">
      <c r="E6" s="40">
        <f>IF(N(B3)=0,"",EDATE(DATE(YEAR(B3),MONTH(B3),1),0))</f>
        <v/>
      </c>
      <c r="F6" s="40">
        <f>IF(N(B3)=0,"",EDATE(DATE(YEAR(B3),MONTH(B3),1),0)+15)</f>
        <v/>
      </c>
      <c r="G6" s="40">
        <f>IF(N(B3)=0,"",EDATE(DATE(YEAR(B3),MONTH(B3),1),1))</f>
        <v/>
      </c>
      <c r="H6" s="40">
        <f>IF(N(B3)=0,"",EDATE(DATE(YEAR(B3),MONTH(B3),1),1)+15)</f>
        <v/>
      </c>
      <c r="I6" s="40">
        <f>IF(N(B3)=0,"",EDATE(DATE(YEAR(B3),MONTH(B3),1),2))</f>
        <v/>
      </c>
      <c r="J6" s="40">
        <f>IF(N(B3)=0,"",EDATE(DATE(YEAR(B3),MONTH(B3),1),2)+15)</f>
        <v/>
      </c>
      <c r="K6" s="40">
        <f>IF(N(B3)=0,"",EDATE(DATE(YEAR(B3),MONTH(B3),1),3))</f>
        <v/>
      </c>
      <c r="L6" s="40">
        <f>IF(N(B3)=0,"",EDATE(DATE(YEAR(B3),MONTH(B3),1),3)+15)</f>
        <v/>
      </c>
      <c r="M6" s="40">
        <f>IF(N(B3)=0,"",EDATE(DATE(YEAR(B3),MONTH(B3),1),4))</f>
        <v/>
      </c>
      <c r="N6" s="40">
        <f>IF(N(B3)=0,"",EDATE(DATE(YEAR(B3),MONTH(B3),1),4)+15)</f>
        <v/>
      </c>
      <c r="O6" s="40">
        <f>IF(N(B3)=0,"",EDATE(DATE(YEAR(B3),MONTH(B3),1),5))</f>
        <v/>
      </c>
      <c r="P6" s="40">
        <f>IF(N(B3)=0,"",EDATE(DATE(YEAR(B3),MONTH(B3),1),5)+15)</f>
        <v/>
      </c>
      <c r="Q6" s="40">
        <f>IF(N(B3)=0,"",EDATE(DATE(YEAR(B3),MONTH(B3),1),6))</f>
        <v/>
      </c>
      <c r="R6" s="40">
        <f>IF(N(B3)=0,"",EDATE(DATE(YEAR(B3),MONTH(B3),1),6)+15)</f>
        <v/>
      </c>
      <c r="S6" s="40">
        <f>IF(N(B3)=0,"",EDATE(DATE(YEAR(B3),MONTH(B3),1),7))</f>
        <v/>
      </c>
      <c r="T6" s="40">
        <f>IF(N(B3)=0,"",EDATE(DATE(YEAR(B3),MONTH(B3),1),7)+15)</f>
        <v/>
      </c>
      <c r="U6" s="40">
        <f>IF(N(B3)=0,"",EDATE(DATE(YEAR(B3),MONTH(B3),1),8))</f>
        <v/>
      </c>
      <c r="V6" s="40">
        <f>IF(N(B3)=0,"",EDATE(DATE(YEAR(B3),MONTH(B3),1),8)+15)</f>
        <v/>
      </c>
      <c r="W6" s="40">
        <f>IF(N(B3)=0,"",EDATE(DATE(YEAR(B3),MONTH(B3),1),9))</f>
        <v/>
      </c>
      <c r="X6" s="40">
        <f>IF(N(B3)=0,"",EDATE(DATE(YEAR(B3),MONTH(B3),1),9)+15)</f>
        <v/>
      </c>
      <c r="Y6" s="40">
        <f>IF(N(B3)=0,"",EDATE(DATE(YEAR(B3),MONTH(B3),1),10))</f>
        <v/>
      </c>
      <c r="Z6" s="40">
        <f>IF(N(B3)=0,"",EDATE(DATE(YEAR(B3),MONTH(B3),1),10)+15)</f>
        <v/>
      </c>
      <c r="AA6" s="40">
        <f>IF(N(B3)=0,"",EDATE(DATE(YEAR(B3),MONTH(B3),1),11))</f>
        <v/>
      </c>
      <c r="AB6" s="40">
        <f>IF(N(B3)=0,"",EDATE(DATE(YEAR(B3),MONTH(B3),1),11)+15)</f>
        <v/>
      </c>
      <c r="AC6" s="40">
        <f>IF(N(B3)=0,"",EDATE(DATE(YEAR(B3),MONTH(B3),1),12))</f>
        <v/>
      </c>
      <c r="AD6" s="40">
        <f>IF(N(B3)=0,"",EDATE(DATE(YEAR(B3),MONTH(B3),1),12)+15)</f>
        <v/>
      </c>
      <c r="AE6" s="40">
        <f>IF(N(B3)=0,"",EDATE(DATE(YEAR(B3),MONTH(B3),1),13))</f>
        <v/>
      </c>
      <c r="AF6" s="40">
        <f>IF(N(B3)=0,"",EDATE(DATE(YEAR(B3),MONTH(B3),1),13)+15)</f>
        <v/>
      </c>
      <c r="AG6" s="40">
        <f>IF(N(B3)=0,"",EDATE(DATE(YEAR(B3),MONTH(B3),1),14))</f>
        <v/>
      </c>
      <c r="AH6" s="40">
        <f>IF(N(B3)=0,"",EDATE(DATE(YEAR(B3),MONTH(B3),1),14)+15)</f>
        <v/>
      </c>
      <c r="AI6" s="40">
        <f>IF(N(B3)=0,"",EDATE(DATE(YEAR(B3),MONTH(B3),1),15))</f>
        <v/>
      </c>
      <c r="AJ6" s="40">
        <f>IF(N(B3)=0,"",EDATE(DATE(YEAR(B3),MONTH(B3),1),15)+15)</f>
        <v/>
      </c>
      <c r="AK6" s="40">
        <f>IF(N(B3)=0,"",EDATE(DATE(YEAR(B3),MONTH(B3),1),16))</f>
        <v/>
      </c>
      <c r="AL6" s="40">
        <f>IF(N(B3)=0,"",EDATE(DATE(YEAR(B3),MONTH(B3),1),16)+15)</f>
        <v/>
      </c>
      <c r="AM6" s="40">
        <f>IF(N(B3)=0,"",EDATE(DATE(YEAR(B3),MONTH(B3),1),17))</f>
        <v/>
      </c>
      <c r="AN6" s="40">
        <f>IF(N(B3)=0,"",EDATE(DATE(YEAR(B3),MONTH(B3),1),17)+15)</f>
        <v/>
      </c>
    </row>
    <row r="7" hidden="1" ht="12" customHeight="1">
      <c r="E7" s="40">
        <f>IF(N(B3)=0,"",EDATE(DATE(YEAR(B3),MONTH(B3),1),0)+14)</f>
        <v/>
      </c>
      <c r="F7" s="40">
        <f>IF(N(B3)=0,"",EDATE(DATE(YEAR(B3),MONTH(B3),1),1)-1)</f>
        <v/>
      </c>
      <c r="G7" s="40">
        <f>IF(N(B3)=0,"",EDATE(DATE(YEAR(B3),MONTH(B3),1),1)+14)</f>
        <v/>
      </c>
      <c r="H7" s="40">
        <f>IF(N(B3)=0,"",EDATE(DATE(YEAR(B3),MONTH(B3),1),2)-1)</f>
        <v/>
      </c>
      <c r="I7" s="40">
        <f>IF(N(B3)=0,"",EDATE(DATE(YEAR(B3),MONTH(B3),1),2)+14)</f>
        <v/>
      </c>
      <c r="J7" s="40">
        <f>IF(N(B3)=0,"",EDATE(DATE(YEAR(B3),MONTH(B3),1),3)-1)</f>
        <v/>
      </c>
      <c r="K7" s="40">
        <f>IF(N(B3)=0,"",EDATE(DATE(YEAR(B3),MONTH(B3),1),3)+14)</f>
        <v/>
      </c>
      <c r="L7" s="40">
        <f>IF(N(B3)=0,"",EDATE(DATE(YEAR(B3),MONTH(B3),1),4)-1)</f>
        <v/>
      </c>
      <c r="M7" s="40">
        <f>IF(N(B3)=0,"",EDATE(DATE(YEAR(B3),MONTH(B3),1),4)+14)</f>
        <v/>
      </c>
      <c r="N7" s="40">
        <f>IF(N(B3)=0,"",EDATE(DATE(YEAR(B3),MONTH(B3),1),5)-1)</f>
        <v/>
      </c>
      <c r="O7" s="40">
        <f>IF(N(B3)=0,"",EDATE(DATE(YEAR(B3),MONTH(B3),1),5)+14)</f>
        <v/>
      </c>
      <c r="P7" s="40">
        <f>IF(N(B3)=0,"",EDATE(DATE(YEAR(B3),MONTH(B3),1),6)-1)</f>
        <v/>
      </c>
      <c r="Q7" s="40">
        <f>IF(N(B3)=0,"",EDATE(DATE(YEAR(B3),MONTH(B3),1),6)+14)</f>
        <v/>
      </c>
      <c r="R7" s="40">
        <f>IF(N(B3)=0,"",EDATE(DATE(YEAR(B3),MONTH(B3),1),7)-1)</f>
        <v/>
      </c>
      <c r="S7" s="40">
        <f>IF(N(B3)=0,"",EDATE(DATE(YEAR(B3),MONTH(B3),1),7)+14)</f>
        <v/>
      </c>
      <c r="T7" s="40">
        <f>IF(N(B3)=0,"",EDATE(DATE(YEAR(B3),MONTH(B3),1),8)-1)</f>
        <v/>
      </c>
      <c r="U7" s="40">
        <f>IF(N(B3)=0,"",EDATE(DATE(YEAR(B3),MONTH(B3),1),8)+14)</f>
        <v/>
      </c>
      <c r="V7" s="40">
        <f>IF(N(B3)=0,"",EDATE(DATE(YEAR(B3),MONTH(B3),1),9)-1)</f>
        <v/>
      </c>
      <c r="W7" s="40">
        <f>IF(N(B3)=0,"",EDATE(DATE(YEAR(B3),MONTH(B3),1),9)+14)</f>
        <v/>
      </c>
      <c r="X7" s="40">
        <f>IF(N(B3)=0,"",EDATE(DATE(YEAR(B3),MONTH(B3),1),10)-1)</f>
        <v/>
      </c>
      <c r="Y7" s="40">
        <f>IF(N(B3)=0,"",EDATE(DATE(YEAR(B3),MONTH(B3),1),10)+14)</f>
        <v/>
      </c>
      <c r="Z7" s="40">
        <f>IF(N(B3)=0,"",EDATE(DATE(YEAR(B3),MONTH(B3),1),11)-1)</f>
        <v/>
      </c>
      <c r="AA7" s="40">
        <f>IF(N(B3)=0,"",EDATE(DATE(YEAR(B3),MONTH(B3),1),11)+14)</f>
        <v/>
      </c>
      <c r="AB7" s="40">
        <f>IF(N(B3)=0,"",EDATE(DATE(YEAR(B3),MONTH(B3),1),12)-1)</f>
        <v/>
      </c>
      <c r="AC7" s="40">
        <f>IF(N(B3)=0,"",EDATE(DATE(YEAR(B3),MONTH(B3),1),12)+14)</f>
        <v/>
      </c>
      <c r="AD7" s="40">
        <f>IF(N(B3)=0,"",EDATE(DATE(YEAR(B3),MONTH(B3),1),13)-1)</f>
        <v/>
      </c>
      <c r="AE7" s="40">
        <f>IF(N(B3)=0,"",EDATE(DATE(YEAR(B3),MONTH(B3),1),13)+14)</f>
        <v/>
      </c>
      <c r="AF7" s="40">
        <f>IF(N(B3)=0,"",EDATE(DATE(YEAR(B3),MONTH(B3),1),14)-1)</f>
        <v/>
      </c>
      <c r="AG7" s="40">
        <f>IF(N(B3)=0,"",EDATE(DATE(YEAR(B3),MONTH(B3),1),14)+14)</f>
        <v/>
      </c>
      <c r="AH7" s="40">
        <f>IF(N(B3)=0,"",EDATE(DATE(YEAR(B3),MONTH(B3),1),15)-1)</f>
        <v/>
      </c>
      <c r="AI7" s="40">
        <f>IF(N(B3)=0,"",EDATE(DATE(YEAR(B3),MONTH(B3),1),15)+14)</f>
        <v/>
      </c>
      <c r="AJ7" s="40">
        <f>IF(N(B3)=0,"",EDATE(DATE(YEAR(B3),MONTH(B3),1),16)-1)</f>
        <v/>
      </c>
      <c r="AK7" s="40">
        <f>IF(N(B3)=0,"",EDATE(DATE(YEAR(B3),MONTH(B3),1),16)+14)</f>
        <v/>
      </c>
      <c r="AL7" s="40">
        <f>IF(N(B3)=0,"",EDATE(DATE(YEAR(B3),MONTH(B3),1),17)-1)</f>
        <v/>
      </c>
      <c r="AM7" s="40">
        <f>IF(N(B3)=0,"",EDATE(DATE(YEAR(B3),MONTH(B3),1),17)+14)</f>
        <v/>
      </c>
      <c r="AN7" s="40">
        <f>IF(N(B3)=0,"",EDATE(DATE(YEAR(B3),MONTH(B3),1),18)-1)</f>
        <v/>
      </c>
    </row>
    <row r="8" ht="22" customHeight="1">
      <c r="A8" s="27" t="inlineStr">
        <is>
          <t>어스앵커 강선 제거(4단 → 1단)</t>
        </is>
      </c>
      <c r="B8" s="41" t="n">
        <v>46146</v>
      </c>
      <c r="C8" s="41" t="n">
        <v>46234</v>
      </c>
      <c r="D8" s="42">
        <f>IF(OR(N(B8)=0,N(C8)=0),"",IF(C8&lt;B8,"⚠",C8-B8+1))</f>
        <v/>
      </c>
      <c r="E8" s="43" t="inlineStr"/>
      <c r="F8" s="43" t="inlineStr"/>
      <c r="G8" s="43" t="inlineStr"/>
      <c r="H8" s="43" t="inlineStr"/>
      <c r="I8" s="43" t="inlineStr"/>
      <c r="J8" s="43" t="inlineStr"/>
      <c r="K8" s="43" t="inlineStr"/>
      <c r="L8" s="43" t="inlineStr"/>
      <c r="M8" s="43" t="inlineStr"/>
      <c r="N8" s="43" t="inlineStr"/>
      <c r="O8" s="43" t="inlineStr"/>
      <c r="P8" s="43" t="inlineStr"/>
      <c r="Q8" s="43" t="inlineStr"/>
      <c r="R8" s="43" t="inlineStr"/>
      <c r="S8" s="43" t="inlineStr"/>
      <c r="T8" s="43" t="inlineStr"/>
      <c r="U8" s="43" t="inlineStr"/>
      <c r="V8" s="43" t="inlineStr"/>
      <c r="W8" s="43" t="inlineStr"/>
      <c r="X8" s="43" t="inlineStr"/>
      <c r="Y8" s="43" t="inlineStr"/>
      <c r="Z8" s="43" t="inlineStr"/>
      <c r="AA8" s="43" t="inlineStr"/>
      <c r="AB8" s="43" t="inlineStr"/>
      <c r="AC8" s="43" t="inlineStr"/>
      <c r="AD8" s="43" t="inlineStr"/>
      <c r="AE8" s="43" t="inlineStr"/>
      <c r="AF8" s="43" t="inlineStr"/>
      <c r="AG8" s="43" t="inlineStr"/>
      <c r="AH8" s="43" t="inlineStr"/>
      <c r="AI8" s="43" t="inlineStr"/>
      <c r="AJ8" s="43" t="inlineStr"/>
      <c r="AK8" s="43" t="inlineStr"/>
      <c r="AL8" s="43" t="inlineStr"/>
      <c r="AM8" s="43" t="inlineStr"/>
      <c r="AN8" s="43" t="inlineStr"/>
      <c r="AO8" s="44" t="n"/>
    </row>
    <row r="9" ht="22" customHeight="1">
      <c r="A9" s="27" t="inlineStr">
        <is>
          <t>띠장 · 보걸이 · 지압판 철거</t>
        </is>
      </c>
      <c r="B9" s="41" t="n">
        <v>46153</v>
      </c>
      <c r="C9" s="41" t="n">
        <v>46248</v>
      </c>
      <c r="D9" s="42">
        <f>IF(OR(N(B9)=0,N(C9)=0),"",IF(C9&lt;B9,"⚠",C9-B9+1))</f>
        <v/>
      </c>
      <c r="E9" s="43" t="inlineStr"/>
      <c r="F9" s="43" t="inlineStr"/>
      <c r="G9" s="43" t="inlineStr"/>
      <c r="H9" s="43" t="inlineStr"/>
      <c r="I9" s="43" t="inlineStr"/>
      <c r="J9" s="43" t="inlineStr"/>
      <c r="K9" s="43" t="inlineStr"/>
      <c r="L9" s="43" t="inlineStr"/>
      <c r="M9" s="43" t="inlineStr"/>
      <c r="N9" s="43" t="inlineStr"/>
      <c r="O9" s="43" t="inlineStr"/>
      <c r="P9" s="43" t="inlineStr"/>
      <c r="Q9" s="43" t="inlineStr"/>
      <c r="R9" s="43" t="inlineStr"/>
      <c r="S9" s="43" t="inlineStr"/>
      <c r="T9" s="43" t="inlineStr"/>
      <c r="U9" s="43" t="inlineStr"/>
      <c r="V9" s="43" t="inlineStr"/>
      <c r="W9" s="43" t="inlineStr"/>
      <c r="X9" s="43" t="inlineStr"/>
      <c r="Y9" s="43" t="inlineStr"/>
      <c r="Z9" s="43" t="inlineStr"/>
      <c r="AA9" s="43" t="inlineStr"/>
      <c r="AB9" s="43" t="inlineStr"/>
      <c r="AC9" s="43" t="inlineStr"/>
      <c r="AD9" s="43" t="inlineStr"/>
      <c r="AE9" s="43" t="inlineStr"/>
      <c r="AF9" s="43" t="inlineStr"/>
      <c r="AG9" s="43" t="inlineStr"/>
      <c r="AH9" s="43" t="inlineStr"/>
      <c r="AI9" s="43" t="inlineStr"/>
      <c r="AJ9" s="43" t="inlineStr"/>
      <c r="AK9" s="43" t="inlineStr"/>
      <c r="AL9" s="43" t="inlineStr"/>
      <c r="AM9" s="43" t="inlineStr"/>
      <c r="AN9" s="43" t="inlineStr"/>
      <c r="AO9" s="44" t="n"/>
    </row>
    <row r="10" ht="22" customHeight="1">
      <c r="A10" s="27" t="inlineStr">
        <is>
          <t>되메우기(1차 → 5차)</t>
        </is>
      </c>
      <c r="B10" s="41" t="n">
        <v>46146</v>
      </c>
      <c r="C10" s="41" t="n">
        <v>46265</v>
      </c>
      <c r="D10" s="42">
        <f>IF(OR(N(B10)=0,N(C10)=0),"",IF(C10&lt;B10,"⚠",C10-B10+1))</f>
        <v/>
      </c>
      <c r="E10" s="43" t="inlineStr"/>
      <c r="F10" s="43" t="inlineStr"/>
      <c r="G10" s="43" t="inlineStr"/>
      <c r="H10" s="43" t="inlineStr"/>
      <c r="I10" s="43" t="inlineStr"/>
      <c r="J10" s="43" t="inlineStr"/>
      <c r="K10" s="43" t="inlineStr"/>
      <c r="L10" s="43" t="inlineStr"/>
      <c r="M10" s="43" t="inlineStr"/>
      <c r="N10" s="43" t="inlineStr"/>
      <c r="O10" s="43" t="inlineStr"/>
      <c r="P10" s="43" t="inlineStr"/>
      <c r="Q10" s="43" t="inlineStr"/>
      <c r="R10" s="43" t="inlineStr"/>
      <c r="S10" s="43" t="inlineStr"/>
      <c r="T10" s="43" t="inlineStr"/>
      <c r="U10" s="43" t="inlineStr"/>
      <c r="V10" s="43" t="inlineStr"/>
      <c r="W10" s="43" t="inlineStr"/>
      <c r="X10" s="43" t="inlineStr"/>
      <c r="Y10" s="43" t="inlineStr"/>
      <c r="Z10" s="43" t="inlineStr"/>
      <c r="AA10" s="43" t="inlineStr"/>
      <c r="AB10" s="43" t="inlineStr"/>
      <c r="AC10" s="43" t="inlineStr"/>
      <c r="AD10" s="43" t="inlineStr"/>
      <c r="AE10" s="43" t="inlineStr"/>
      <c r="AF10" s="43" t="inlineStr"/>
      <c r="AG10" s="43" t="inlineStr"/>
      <c r="AH10" s="43" t="inlineStr"/>
      <c r="AI10" s="43" t="inlineStr"/>
      <c r="AJ10" s="43" t="inlineStr"/>
      <c r="AK10" s="43" t="inlineStr"/>
      <c r="AL10" s="43" t="inlineStr"/>
      <c r="AM10" s="43" t="inlineStr"/>
      <c r="AN10" s="43" t="inlineStr"/>
      <c r="AO10" s="44" t="n"/>
    </row>
    <row r="11" ht="22" customHeight="1">
      <c r="A11" s="27" t="inlineStr">
        <is>
          <t>엄지말뚝(H-PILE) 인발</t>
        </is>
      </c>
      <c r="B11" s="41" t="n">
        <v>46266</v>
      </c>
      <c r="C11" s="41" t="n">
        <v>46295</v>
      </c>
      <c r="D11" s="42">
        <f>IF(OR(N(B11)=0,N(C11)=0),"",IF(C11&lt;B11,"⚠",C11-B11+1))</f>
        <v/>
      </c>
      <c r="E11" s="43" t="inlineStr"/>
      <c r="F11" s="43" t="inlineStr"/>
      <c r="G11" s="43" t="inlineStr"/>
      <c r="H11" s="43" t="inlineStr"/>
      <c r="I11" s="43" t="inlineStr"/>
      <c r="J11" s="43" t="inlineStr"/>
      <c r="K11" s="43" t="inlineStr"/>
      <c r="L11" s="43" t="inlineStr"/>
      <c r="M11" s="43" t="inlineStr"/>
      <c r="N11" s="43" t="inlineStr"/>
      <c r="O11" s="43" t="inlineStr"/>
      <c r="P11" s="43" t="inlineStr"/>
      <c r="Q11" s="43" t="inlineStr"/>
      <c r="R11" s="43" t="inlineStr"/>
      <c r="S11" s="43" t="inlineStr"/>
      <c r="T11" s="43" t="inlineStr"/>
      <c r="U11" s="43" t="inlineStr"/>
      <c r="V11" s="43" t="inlineStr"/>
      <c r="W11" s="43" t="inlineStr"/>
      <c r="X11" s="43" t="inlineStr"/>
      <c r="Y11" s="43" t="inlineStr"/>
      <c r="Z11" s="43" t="inlineStr"/>
      <c r="AA11" s="43" t="inlineStr"/>
      <c r="AB11" s="43" t="inlineStr"/>
      <c r="AC11" s="43" t="inlineStr"/>
      <c r="AD11" s="43" t="inlineStr"/>
      <c r="AE11" s="43" t="inlineStr"/>
      <c r="AF11" s="43" t="inlineStr"/>
      <c r="AG11" s="43" t="inlineStr"/>
      <c r="AH11" s="43" t="inlineStr"/>
      <c r="AI11" s="43" t="inlineStr"/>
      <c r="AJ11" s="43" t="inlineStr"/>
      <c r="AK11" s="43" t="inlineStr"/>
      <c r="AL11" s="43" t="inlineStr"/>
      <c r="AM11" s="43" t="inlineStr"/>
      <c r="AN11" s="43" t="inlineStr"/>
      <c r="AO11" s="44" t="n"/>
    </row>
    <row r="12" ht="22" customHeight="1">
      <c r="A12" s="27" t="inlineStr">
        <is>
          <t>정리 및 준공</t>
        </is>
      </c>
      <c r="B12" s="41" t="n">
        <v>46296</v>
      </c>
      <c r="C12" s="41" t="n">
        <v>46310</v>
      </c>
      <c r="D12" s="42">
        <f>IF(OR(N(B12)=0,N(C12)=0),"",IF(C12&lt;B12,"⚠",C12-B12+1))</f>
        <v/>
      </c>
      <c r="E12" s="43" t="inlineStr"/>
      <c r="F12" s="43" t="inlineStr"/>
      <c r="G12" s="43" t="inlineStr"/>
      <c r="H12" s="43" t="inlineStr"/>
      <c r="I12" s="43" t="inlineStr"/>
      <c r="J12" s="43" t="inlineStr"/>
      <c r="K12" s="43" t="inlineStr"/>
      <c r="L12" s="43" t="inlineStr"/>
      <c r="M12" s="43" t="inlineStr"/>
      <c r="N12" s="43" t="inlineStr"/>
      <c r="O12" s="43" t="inlineStr"/>
      <c r="P12" s="43" t="inlineStr"/>
      <c r="Q12" s="43" t="inlineStr"/>
      <c r="R12" s="43" t="inlineStr"/>
      <c r="S12" s="43" t="inlineStr"/>
      <c r="T12" s="43" t="inlineStr"/>
      <c r="U12" s="43" t="inlineStr"/>
      <c r="V12" s="43" t="inlineStr"/>
      <c r="W12" s="43" t="inlineStr"/>
      <c r="X12" s="43" t="inlineStr"/>
      <c r="Y12" s="43" t="inlineStr"/>
      <c r="Z12" s="43" t="inlineStr"/>
      <c r="AA12" s="43" t="inlineStr"/>
      <c r="AB12" s="43" t="inlineStr"/>
      <c r="AC12" s="43" t="inlineStr"/>
      <c r="AD12" s="43" t="inlineStr"/>
      <c r="AE12" s="43" t="inlineStr"/>
      <c r="AF12" s="43" t="inlineStr"/>
      <c r="AG12" s="43" t="inlineStr"/>
      <c r="AH12" s="43" t="inlineStr"/>
      <c r="AI12" s="43" t="inlineStr"/>
      <c r="AJ12" s="43" t="inlineStr"/>
      <c r="AK12" s="43" t="inlineStr"/>
      <c r="AL12" s="43" t="inlineStr"/>
      <c r="AM12" s="43" t="inlineStr"/>
      <c r="AN12" s="43" t="inlineStr"/>
      <c r="AO12" s="44" t="n"/>
    </row>
    <row r="13" ht="22" customHeight="1">
      <c r="A13" s="27" t="n"/>
      <c r="B13" s="41" t="n"/>
      <c r="C13" s="41" t="n"/>
      <c r="D13" s="42">
        <f>IF(OR(N(B13)=0,N(C13)=0),"",IF(C13&lt;B13,"⚠",C13-B13+1))</f>
        <v/>
      </c>
      <c r="E13" s="43" t="inlineStr"/>
      <c r="F13" s="43" t="inlineStr"/>
      <c r="G13" s="43" t="inlineStr"/>
      <c r="H13" s="43" t="inlineStr"/>
      <c r="I13" s="43" t="inlineStr"/>
      <c r="J13" s="43" t="inlineStr"/>
      <c r="K13" s="43" t="inlineStr"/>
      <c r="L13" s="43" t="inlineStr"/>
      <c r="M13" s="43" t="inlineStr"/>
      <c r="N13" s="43" t="inlineStr"/>
      <c r="O13" s="43" t="inlineStr"/>
      <c r="P13" s="43" t="inlineStr"/>
      <c r="Q13" s="43" t="inlineStr"/>
      <c r="R13" s="43" t="inlineStr"/>
      <c r="S13" s="43" t="inlineStr"/>
      <c r="T13" s="43" t="inlineStr"/>
      <c r="U13" s="43" t="inlineStr"/>
      <c r="V13" s="43" t="inlineStr"/>
      <c r="W13" s="43" t="inlineStr"/>
      <c r="X13" s="43" t="inlineStr"/>
      <c r="Y13" s="43" t="inlineStr"/>
      <c r="Z13" s="43" t="inlineStr"/>
      <c r="AA13" s="43" t="inlineStr"/>
      <c r="AB13" s="43" t="inlineStr"/>
      <c r="AC13" s="43" t="inlineStr"/>
      <c r="AD13" s="43" t="inlineStr"/>
      <c r="AE13" s="43" t="inlineStr"/>
      <c r="AF13" s="43" t="inlineStr"/>
      <c r="AG13" s="43" t="inlineStr"/>
      <c r="AH13" s="43" t="inlineStr"/>
      <c r="AI13" s="43" t="inlineStr"/>
      <c r="AJ13" s="43" t="inlineStr"/>
      <c r="AK13" s="43" t="inlineStr"/>
      <c r="AL13" s="43" t="inlineStr"/>
      <c r="AM13" s="43" t="inlineStr"/>
      <c r="AN13" s="43" t="inlineStr"/>
      <c r="AO13" s="44" t="n"/>
    </row>
    <row r="14" ht="22" customHeight="1">
      <c r="A14" s="27" t="n"/>
      <c r="B14" s="41" t="n"/>
      <c r="C14" s="41" t="n"/>
      <c r="D14" s="42">
        <f>IF(OR(N(B14)=0,N(C14)=0),"",IF(C14&lt;B14,"⚠",C14-B14+1))</f>
        <v/>
      </c>
      <c r="E14" s="43" t="inlineStr"/>
      <c r="F14" s="43" t="inlineStr"/>
      <c r="G14" s="43" t="inlineStr"/>
      <c r="H14" s="43" t="inlineStr"/>
      <c r="I14" s="43" t="inlineStr"/>
      <c r="J14" s="43" t="inlineStr"/>
      <c r="K14" s="43" t="inlineStr"/>
      <c r="L14" s="43" t="inlineStr"/>
      <c r="M14" s="43" t="inlineStr"/>
      <c r="N14" s="43" t="inlineStr"/>
      <c r="O14" s="43" t="inlineStr"/>
      <c r="P14" s="43" t="inlineStr"/>
      <c r="Q14" s="43" t="inlineStr"/>
      <c r="R14" s="43" t="inlineStr"/>
      <c r="S14" s="43" t="inlineStr"/>
      <c r="T14" s="43" t="inlineStr"/>
      <c r="U14" s="43" t="inlineStr"/>
      <c r="V14" s="43" t="inlineStr"/>
      <c r="W14" s="43" t="inlineStr"/>
      <c r="X14" s="43" t="inlineStr"/>
      <c r="Y14" s="43" t="inlineStr"/>
      <c r="Z14" s="43" t="inlineStr"/>
      <c r="AA14" s="43" t="inlineStr"/>
      <c r="AB14" s="43" t="inlineStr"/>
      <c r="AC14" s="43" t="inlineStr"/>
      <c r="AD14" s="43" t="inlineStr"/>
      <c r="AE14" s="43" t="inlineStr"/>
      <c r="AF14" s="43" t="inlineStr"/>
      <c r="AG14" s="43" t="inlineStr"/>
      <c r="AH14" s="43" t="inlineStr"/>
      <c r="AI14" s="43" t="inlineStr"/>
      <c r="AJ14" s="43" t="inlineStr"/>
      <c r="AK14" s="43" t="inlineStr"/>
      <c r="AL14" s="43" t="inlineStr"/>
      <c r="AM14" s="43" t="inlineStr"/>
      <c r="AN14" s="43" t="inlineStr"/>
      <c r="AO14" s="44" t="n"/>
    </row>
    <row r="15" ht="22" customHeight="1">
      <c r="A15" s="27" t="n"/>
      <c r="B15" s="41" t="n"/>
      <c r="C15" s="41" t="n"/>
      <c r="D15" s="42">
        <f>IF(OR(N(B15)=0,N(C15)=0),"",IF(C15&lt;B15,"⚠",C15-B15+1))</f>
        <v/>
      </c>
      <c r="E15" s="43" t="inlineStr"/>
      <c r="F15" s="43" t="inlineStr"/>
      <c r="G15" s="43" t="inlineStr"/>
      <c r="H15" s="43" t="inlineStr"/>
      <c r="I15" s="43" t="inlineStr"/>
      <c r="J15" s="43" t="inlineStr"/>
      <c r="K15" s="43" t="inlineStr"/>
      <c r="L15" s="43" t="inlineStr"/>
      <c r="M15" s="43" t="inlineStr"/>
      <c r="N15" s="43" t="inlineStr"/>
      <c r="O15" s="43" t="inlineStr"/>
      <c r="P15" s="43" t="inlineStr"/>
      <c r="Q15" s="43" t="inlineStr"/>
      <c r="R15" s="43" t="inlineStr"/>
      <c r="S15" s="43" t="inlineStr"/>
      <c r="T15" s="43" t="inlineStr"/>
      <c r="U15" s="43" t="inlineStr"/>
      <c r="V15" s="43" t="inlineStr"/>
      <c r="W15" s="43" t="inlineStr"/>
      <c r="X15" s="43" t="inlineStr"/>
      <c r="Y15" s="43" t="inlineStr"/>
      <c r="Z15" s="43" t="inlineStr"/>
      <c r="AA15" s="43" t="inlineStr"/>
      <c r="AB15" s="43" t="inlineStr"/>
      <c r="AC15" s="43" t="inlineStr"/>
      <c r="AD15" s="43" t="inlineStr"/>
      <c r="AE15" s="43" t="inlineStr"/>
      <c r="AF15" s="43" t="inlineStr"/>
      <c r="AG15" s="43" t="inlineStr"/>
      <c r="AH15" s="43" t="inlineStr"/>
      <c r="AI15" s="43" t="inlineStr"/>
      <c r="AJ15" s="43" t="inlineStr"/>
      <c r="AK15" s="43" t="inlineStr"/>
      <c r="AL15" s="43" t="inlineStr"/>
      <c r="AM15" s="43" t="inlineStr"/>
      <c r="AN15" s="43" t="inlineStr"/>
      <c r="AO15" s="44" t="n"/>
    </row>
    <row r="16" ht="22" customHeight="1">
      <c r="A16" s="27" t="n"/>
      <c r="B16" s="41" t="n"/>
      <c r="C16" s="41" t="n"/>
      <c r="D16" s="42">
        <f>IF(OR(N(B16)=0,N(C16)=0),"",IF(C16&lt;B16,"⚠",C16-B16+1))</f>
        <v/>
      </c>
      <c r="E16" s="43" t="inlineStr"/>
      <c r="F16" s="43" t="inlineStr"/>
      <c r="G16" s="43" t="inlineStr"/>
      <c r="H16" s="43" t="inlineStr"/>
      <c r="I16" s="43" t="inlineStr"/>
      <c r="J16" s="43" t="inlineStr"/>
      <c r="K16" s="43" t="inlineStr"/>
      <c r="L16" s="43" t="inlineStr"/>
      <c r="M16" s="43" t="inlineStr"/>
      <c r="N16" s="43" t="inlineStr"/>
      <c r="O16" s="43" t="inlineStr"/>
      <c r="P16" s="43" t="inlineStr"/>
      <c r="Q16" s="43" t="inlineStr"/>
      <c r="R16" s="43" t="inlineStr"/>
      <c r="S16" s="43" t="inlineStr"/>
      <c r="T16" s="43" t="inlineStr"/>
      <c r="U16" s="43" t="inlineStr"/>
      <c r="V16" s="43" t="inlineStr"/>
      <c r="W16" s="43" t="inlineStr"/>
      <c r="X16" s="43" t="inlineStr"/>
      <c r="Y16" s="43" t="inlineStr"/>
      <c r="Z16" s="43" t="inlineStr"/>
      <c r="AA16" s="43" t="inlineStr"/>
      <c r="AB16" s="43" t="inlineStr"/>
      <c r="AC16" s="43" t="inlineStr"/>
      <c r="AD16" s="43" t="inlineStr"/>
      <c r="AE16" s="43" t="inlineStr"/>
      <c r="AF16" s="43" t="inlineStr"/>
      <c r="AG16" s="43" t="inlineStr"/>
      <c r="AH16" s="43" t="inlineStr"/>
      <c r="AI16" s="43" t="inlineStr"/>
      <c r="AJ16" s="43" t="inlineStr"/>
      <c r="AK16" s="43" t="inlineStr"/>
      <c r="AL16" s="43" t="inlineStr"/>
      <c r="AM16" s="43" t="inlineStr"/>
      <c r="AN16" s="43" t="inlineStr"/>
      <c r="AO16" s="44" t="n"/>
    </row>
    <row r="17" ht="22" customHeight="1">
      <c r="A17" s="27" t="n"/>
      <c r="B17" s="41" t="n"/>
      <c r="C17" s="41" t="n"/>
      <c r="D17" s="42">
        <f>IF(OR(N(B17)=0,N(C17)=0),"",IF(C17&lt;B17,"⚠",C17-B17+1))</f>
        <v/>
      </c>
      <c r="E17" s="43" t="inlineStr"/>
      <c r="F17" s="43" t="inlineStr"/>
      <c r="G17" s="43" t="inlineStr"/>
      <c r="H17" s="43" t="inlineStr"/>
      <c r="I17" s="43" t="inlineStr"/>
      <c r="J17" s="43" t="inlineStr"/>
      <c r="K17" s="43" t="inlineStr"/>
      <c r="L17" s="43" t="inlineStr"/>
      <c r="M17" s="43" t="inlineStr"/>
      <c r="N17" s="43" t="inlineStr"/>
      <c r="O17" s="43" t="inlineStr"/>
      <c r="P17" s="43" t="inlineStr"/>
      <c r="Q17" s="43" t="inlineStr"/>
      <c r="R17" s="43" t="inlineStr"/>
      <c r="S17" s="43" t="inlineStr"/>
      <c r="T17" s="43" t="inlineStr"/>
      <c r="U17" s="43" t="inlineStr"/>
      <c r="V17" s="43" t="inlineStr"/>
      <c r="W17" s="43" t="inlineStr"/>
      <c r="X17" s="43" t="inlineStr"/>
      <c r="Y17" s="43" t="inlineStr"/>
      <c r="Z17" s="43" t="inlineStr"/>
      <c r="AA17" s="43" t="inlineStr"/>
      <c r="AB17" s="43" t="inlineStr"/>
      <c r="AC17" s="43" t="inlineStr"/>
      <c r="AD17" s="43" t="inlineStr"/>
      <c r="AE17" s="43" t="inlineStr"/>
      <c r="AF17" s="43" t="inlineStr"/>
      <c r="AG17" s="43" t="inlineStr"/>
      <c r="AH17" s="43" t="inlineStr"/>
      <c r="AI17" s="43" t="inlineStr"/>
      <c r="AJ17" s="43" t="inlineStr"/>
      <c r="AK17" s="43" t="inlineStr"/>
      <c r="AL17" s="43" t="inlineStr"/>
      <c r="AM17" s="43" t="inlineStr"/>
      <c r="AN17" s="43" t="inlineStr"/>
      <c r="AO17" s="44" t="n"/>
    </row>
    <row r="18" ht="16" customHeight="1">
      <c r="A18" s="7" t="inlineStr">
        <is>
          <t>※ 일수 = 완료 − 착수 + 1. 막대는 반달(1~15일 · 16일~말일) 단위입니다. 공정은 현장 여건 · 날씨에 따라 바뀔 수 있습니다.</t>
        </is>
      </c>
    </row>
    <row r="20" ht="19.5" customHeight="1">
      <c r="A20" s="7" t="inlineStr">
        <is>
          <t>이 시트는 작성 예시입니다(가상의 일정).</t>
        </is>
      </c>
    </row>
  </sheetData>
  <mergeCells count="30">
    <mergeCell ref="W4:X4"/>
    <mergeCell ref="AG4:AH4"/>
    <mergeCell ref="A20:AO20"/>
    <mergeCell ref="Y4:Z4"/>
    <mergeCell ref="C4:C5"/>
    <mergeCell ref="B3:C3"/>
    <mergeCell ref="N1:AO1"/>
    <mergeCell ref="AK4:AL4"/>
    <mergeCell ref="E4:F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A18:AO18"/>
    <mergeCell ref="G4:H4"/>
    <mergeCell ref="A2:AO2"/>
    <mergeCell ref="I4:J4"/>
    <mergeCell ref="B4:B5"/>
    <mergeCell ref="D3:AO3"/>
    <mergeCell ref="K4:L4"/>
    <mergeCell ref="M4:N4"/>
    <mergeCell ref="S4:T4"/>
    <mergeCell ref="AE4:AF4"/>
    <mergeCell ref="U4:V4"/>
  </mergeCells>
  <conditionalFormatting sqref="E8:AN17">
    <cfRule type="expression" priority="1" dxfId="1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9" t="inlineStr">
        <is>
          <t xml:space="preserve">작성 예시 (가상의 현장)  </t>
        </is>
      </c>
    </row>
    <row r="2" ht="4" customHeight="1"/>
    <row r="3" ht="30" customHeight="1">
      <c r="A3" s="11" t="inlineStr">
        <is>
          <t>2.  공사수행계획</t>
        </is>
      </c>
    </row>
    <row r="4" ht="4" customHeight="1"/>
    <row r="5" ht="3" customHeight="1"/>
    <row r="6" ht="22" customHeight="1">
      <c r="A6" s="12" t="inlineStr">
        <is>
          <t>2.1  현장 가설계획</t>
        </is>
      </c>
    </row>
    <row r="7" ht="20" customHeight="1">
      <c r="A7" s="45" t="inlineStr">
        <is>
          <t>(현장 가설계획도를 붙이는 곳 — 비계다리 · 세륜기 및 축중계 · 안전난간대 · 주출입구 위치)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 ht="20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 ht="20" customHeight="1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20" customHeight="1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 ht="20" customHeight="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 ht="20" customHeight="1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 ht="20" customHeight="1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</row>
    <row r="14" ht="20" customHeight="1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2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 ht="2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3" customHeight="1"/>
    <row r="20" ht="22" customHeight="1">
      <c r="A20" s="12" t="inlineStr">
        <is>
          <t>2.2  흙막이 가시설 현황 및 해체 순서</t>
        </is>
      </c>
    </row>
    <row r="21" ht="20" customHeight="1">
      <c r="A21" s="45" t="inlineStr">
        <is>
          <t>(가시설 평면도를 붙이는 곳 — 엄지말뚝 번호 · 구간별 해체 순서 ① ~ ④ · 크레인 위치)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2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 ht="2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</row>
    <row r="24" ht="2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2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 ht="2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 ht="2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 ht="2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 ht="2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 ht="2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1" customHeight="1">
      <c r="A31" s="22" t="inlineStr">
        <is>
          <t>◈ 크레인 양중 검토 (최대 양중 부재 기준)</t>
        </is>
      </c>
    </row>
    <row r="32" ht="24" customHeight="1">
      <c r="A32" s="13" t="inlineStr">
        <is>
          <t>투 입 장 비</t>
        </is>
      </c>
      <c r="B32" s="14" t="n"/>
      <c r="C32" s="14" t="n"/>
      <c r="D32" s="24" t="inlineStr">
        <is>
          <t>25톤 하이드로 크레인</t>
        </is>
      </c>
      <c r="E32" s="14" t="n"/>
      <c r="F32" s="14" t="n"/>
      <c r="G32" s="13" t="inlineStr">
        <is>
          <t>작업 반경</t>
        </is>
      </c>
      <c r="H32" s="14" t="n"/>
      <c r="I32" s="14" t="n"/>
      <c r="J32" s="46" t="n">
        <v>22</v>
      </c>
      <c r="K32" s="14" t="n"/>
      <c r="L32" s="14" t="n"/>
    </row>
    <row r="33" ht="24" customHeight="1">
      <c r="A33" s="13" t="inlineStr">
        <is>
          <t>최대 양중 부재</t>
        </is>
      </c>
      <c r="B33" s="14" t="n"/>
      <c r="C33" s="14" t="n"/>
      <c r="D33" s="25" t="inlineStr">
        <is>
          <t>H-300×300×10×15</t>
        </is>
      </c>
      <c r="E33" s="14" t="n"/>
      <c r="F33" s="14" t="n"/>
      <c r="G33" s="13" t="inlineStr">
        <is>
          <t>단위중량 (kg/m)</t>
        </is>
      </c>
      <c r="H33" s="14" t="n"/>
      <c r="I33" s="14" t="n"/>
      <c r="J33" s="47" t="n">
        <v>94</v>
      </c>
      <c r="K33" s="14" t="n"/>
      <c r="L33" s="14" t="n"/>
    </row>
    <row r="34" ht="24" customHeight="1">
      <c r="A34" s="13" t="inlineStr">
        <is>
          <t>부재 길이 (m)</t>
        </is>
      </c>
      <c r="B34" s="14" t="n"/>
      <c r="C34" s="14" t="n"/>
      <c r="D34" s="48" t="n">
        <v>15</v>
      </c>
      <c r="E34" s="14" t="n"/>
      <c r="F34" s="14" t="n"/>
      <c r="G34" s="13" t="inlineStr">
        <is>
          <t>부재 중량</t>
        </is>
      </c>
      <c r="H34" s="14" t="n"/>
      <c r="I34" s="14" t="n"/>
      <c r="J34" s="49">
        <f>IF(OR(N(D34)=0,N(J33)=0),"",ROUND(D34*J33/1000,2))</f>
        <v/>
      </c>
      <c r="K34" s="14" t="n"/>
      <c r="L34" s="14" t="n"/>
    </row>
    <row r="35" ht="24" customHeight="1">
      <c r="A35" s="13" t="inlineStr">
        <is>
          <t>훅 · 줄걸이 등 (톤)</t>
        </is>
      </c>
      <c r="B35" s="14" t="n"/>
      <c r="C35" s="14" t="n"/>
      <c r="D35" s="50" t="n">
        <v>0.25</v>
      </c>
      <c r="E35" s="14" t="n"/>
      <c r="F35" s="14" t="n"/>
      <c r="G35" s="13" t="inlineStr">
        <is>
          <t>정격 총하중 (톤)</t>
        </is>
      </c>
      <c r="H35" s="14" t="n"/>
      <c r="I35" s="14" t="n"/>
      <c r="J35" s="50" t="n">
        <v>2.6</v>
      </c>
      <c r="K35" s="14" t="n"/>
      <c r="L35" s="14" t="n"/>
    </row>
    <row r="36" ht="26" customHeight="1">
      <c r="A36" s="32" t="inlineStr">
        <is>
          <t>사 용 률</t>
        </is>
      </c>
      <c r="B36" s="14" t="n"/>
      <c r="C36" s="14" t="n"/>
      <c r="D36" s="51">
        <f>IF(OR(J34="",N(J35)=0),"",(N(J34)+N(D35))/J35)</f>
        <v/>
      </c>
      <c r="E36" s="14" t="n"/>
      <c r="F36" s="14" t="n"/>
      <c r="G36" s="52">
        <f>IF(D36="","",IF(D36&lt;=1,"정격 총하중 이내","⚠ 정격 총하중 초과 — 장비 · 반경 다시 검토"))</f>
        <v/>
      </c>
      <c r="H36" s="14" t="n"/>
      <c r="I36" s="14" t="n"/>
      <c r="J36" s="14" t="n"/>
      <c r="K36" s="14" t="n"/>
      <c r="L36" s="14" t="n"/>
    </row>
    <row r="37" ht="29.65" customHeight="1">
      <c r="A37" s="53" t="inlineStr">
        <is>
          <t>※ 정격 총하중은 사용할 크레인 하중표에서 «작업 반경 · 붐 길이» 에 해당하는 값을 적습니다. 원본 예 : H-300×300×10×15, 15.0m × 94kg/m = 1.41톤, 작업 반경 22m.</t>
        </is>
      </c>
    </row>
    <row r="38" ht="3" customHeight="1"/>
    <row r="39" ht="22" customHeight="1">
      <c r="A39" s="12" t="inlineStr">
        <is>
          <t>2.3  흙막이 가시설 단계별 해체계획</t>
        </is>
      </c>
    </row>
    <row r="40" ht="18" customHeight="1">
      <c r="A40" s="45" t="inlineStr">
        <is>
          <t>(가시설 단면도를 붙이는 곳 — 단계별 되메우기 높이 · 앵커 단수 표시)</t>
        </is>
      </c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 ht="18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 ht="18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 ht="18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</row>
    <row r="44" ht="18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 ht="18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</row>
    <row r="46" ht="18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</row>
    <row r="47" ht="18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</row>
    <row r="48" ht="18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 ht="30" customHeight="1">
      <c r="A49" s="23" t="inlineStr">
        <is>
          <t>순서</t>
        </is>
      </c>
      <c r="B49" s="23" t="inlineStr">
        <is>
          <t>단    계</t>
        </is>
      </c>
      <c r="C49" s="14" t="n"/>
      <c r="D49" s="14" t="n"/>
      <c r="E49" s="54" t="inlineStr">
        <is>
          <t>되메우기
높이 (m)</t>
        </is>
      </c>
      <c r="F49" s="14" t="n"/>
      <c r="G49" s="23" t="inlineStr">
        <is>
          <t>누계 (m)</t>
        </is>
      </c>
      <c r="H49" s="14" t="n"/>
      <c r="I49" s="23" t="inlineStr">
        <is>
          <t>해 체 내 용</t>
        </is>
      </c>
      <c r="J49" s="14" t="n"/>
      <c r="K49" s="14" t="n"/>
      <c r="L49" s="14" t="n"/>
    </row>
    <row r="50" ht="30" customHeight="1">
      <c r="A50" s="18" t="inlineStr">
        <is>
          <t>1</t>
        </is>
      </c>
      <c r="B50" s="20" t="inlineStr">
        <is>
          <t>1차 되메우기</t>
        </is>
      </c>
      <c r="C50" s="14" t="n"/>
      <c r="D50" s="14" t="n"/>
      <c r="E50" s="50" t="n">
        <v>2.5</v>
      </c>
      <c r="F50" s="14" t="n"/>
      <c r="G50" s="55">
        <f>IF(N(E50)=0,"",SUM(E50:E50))</f>
        <v/>
      </c>
      <c r="H50" s="14" t="n"/>
      <c r="I50" s="56" t="inlineStr">
        <is>
          <t>1층 외벽 콘크리트 타설 및 양생 뒤</t>
        </is>
      </c>
      <c r="J50" s="14" t="n"/>
      <c r="K50" s="14" t="n"/>
      <c r="L50" s="14" t="n"/>
    </row>
    <row r="51" ht="30" customHeight="1">
      <c r="A51" s="18" t="inlineStr">
        <is>
          <t>2</t>
        </is>
      </c>
      <c r="B51" s="20" t="inlineStr">
        <is>
          <t>1차 해체 · 2차 되메우기</t>
        </is>
      </c>
      <c r="C51" s="14" t="n"/>
      <c r="D51" s="14" t="n"/>
      <c r="E51" s="50" t="n">
        <v>3</v>
      </c>
      <c r="F51" s="14" t="n"/>
      <c r="G51" s="55">
        <f>IF(N(E51)=0,"",SUM(E50:E51))</f>
        <v/>
      </c>
      <c r="H51" s="14" t="n"/>
      <c r="I51" s="56" t="inlineStr">
        <is>
          <t>4단 어스앵커 강선 제거 · 절단 → 지압판 → 띠장 → 보걸이 철거</t>
        </is>
      </c>
      <c r="J51" s="14" t="n"/>
      <c r="K51" s="14" t="n"/>
      <c r="L51" s="14" t="n"/>
    </row>
    <row r="52" ht="30" customHeight="1">
      <c r="A52" s="18" t="inlineStr">
        <is>
          <t>3</t>
        </is>
      </c>
      <c r="B52" s="20" t="inlineStr">
        <is>
          <t>2차 해체 · 3차 되메우기</t>
        </is>
      </c>
      <c r="C52" s="14" t="n"/>
      <c r="D52" s="14" t="n"/>
      <c r="E52" s="50" t="n">
        <v>2.5</v>
      </c>
      <c r="F52" s="14" t="n"/>
      <c r="G52" s="55">
        <f>IF(N(E52)=0,"",SUM(E50:E52))</f>
        <v/>
      </c>
      <c r="H52" s="14" t="n"/>
      <c r="I52" s="56" t="inlineStr">
        <is>
          <t>3단 어스앵커 강선 제거 · 절단 → 지압판 → 띠장 → 보걸이 철거</t>
        </is>
      </c>
      <c r="J52" s="14" t="n"/>
      <c r="K52" s="14" t="n"/>
      <c r="L52" s="14" t="n"/>
    </row>
    <row r="53" ht="30" customHeight="1">
      <c r="A53" s="18" t="inlineStr">
        <is>
          <t>4</t>
        </is>
      </c>
      <c r="B53" s="20" t="inlineStr">
        <is>
          <t>3차 해체 · 4차 되메우기</t>
        </is>
      </c>
      <c r="C53" s="14" t="n"/>
      <c r="D53" s="14" t="n"/>
      <c r="E53" s="50" t="n">
        <v>2.3</v>
      </c>
      <c r="F53" s="14" t="n"/>
      <c r="G53" s="55">
        <f>IF(N(E53)=0,"",SUM(E50:E53))</f>
        <v/>
      </c>
      <c r="H53" s="14" t="n"/>
      <c r="I53" s="56" t="inlineStr">
        <is>
          <t>2단 어스앵커 강선 제거 · 절단 → 지압판 → 띠장 → 보걸이 철거</t>
        </is>
      </c>
      <c r="J53" s="14" t="n"/>
      <c r="K53" s="14" t="n"/>
      <c r="L53" s="14" t="n"/>
    </row>
    <row r="54" ht="30" customHeight="1">
      <c r="A54" s="18" t="inlineStr">
        <is>
          <t>5</t>
        </is>
      </c>
      <c r="B54" s="20" t="inlineStr">
        <is>
          <t>4차 해체 · 5차 되메우기</t>
        </is>
      </c>
      <c r="C54" s="14" t="n"/>
      <c r="D54" s="14" t="n"/>
      <c r="E54" s="50" t="n">
        <v>1.56</v>
      </c>
      <c r="F54" s="14" t="n"/>
      <c r="G54" s="55">
        <f>IF(N(E54)=0,"",SUM(E50:E54))</f>
        <v/>
      </c>
      <c r="H54" s="14" t="n"/>
      <c r="I54" s="56" t="inlineStr">
        <is>
          <t>1단 어스앵커 강선 제거 · 절단 → 지압판 → 띠장 → 보걸이 철거</t>
        </is>
      </c>
      <c r="J54" s="14" t="n"/>
      <c r="K54" s="14" t="n"/>
      <c r="L54" s="14" t="n"/>
    </row>
    <row r="55" ht="30" customHeight="1">
      <c r="A55" s="18" t="inlineStr">
        <is>
          <t>6</t>
        </is>
      </c>
      <c r="B55" s="20" t="inlineStr">
        <is>
          <t>엄지말뚝 인발</t>
        </is>
      </c>
      <c r="C55" s="14" t="n"/>
      <c r="D55" s="14" t="n"/>
      <c r="E55" s="50" t="n"/>
      <c r="F55" s="14" t="n"/>
      <c r="G55" s="55">
        <f>IF(N(E55)=0,"",SUM(E50:E55))</f>
        <v/>
      </c>
      <c r="H55" s="14" t="n"/>
      <c r="I55" s="56" t="inlineStr">
        <is>
          <t>1번 → 끝 번호 순서로 인발</t>
        </is>
      </c>
      <c r="J55" s="14" t="n"/>
      <c r="K55" s="14" t="n"/>
      <c r="L55" s="14" t="n"/>
    </row>
    <row r="56" ht="26" customHeight="1">
      <c r="A56" s="32" t="inlineStr">
        <is>
          <t>되메우기 높이 합계</t>
        </is>
      </c>
      <c r="B56" s="14" t="n"/>
      <c r="C56" s="14" t="n"/>
      <c r="D56" s="14" t="n"/>
      <c r="E56" s="57">
        <f>IF(SUM(E50:E55)=0,"",SUM(E50:E55))</f>
        <v/>
      </c>
      <c r="F56" s="14" t="n"/>
      <c r="G56" s="58">
        <f>IF(OR(E56="",N('예시-개요'!D19)=0),"",IF(ABS(E56-'예시-개요'!D19)&lt;0.005,"✓ 굴착 깊이와 같음","굴착 깊이와 "&amp;TEXT(ABS(E56-'예시-개요'!D19),"0.00")&amp;" m 차이"))</f>
        <v/>
      </c>
      <c r="H56" s="14" t="n"/>
      <c r="I56" s="14" t="n"/>
      <c r="J56" s="14" t="n"/>
      <c r="K56" s="14" t="n"/>
      <c r="L56" s="14" t="n"/>
    </row>
    <row r="57" ht="36" customHeight="1">
      <c r="A57" s="22" t="inlineStr">
        <is>
          <t>□ 흙막이 가시설 해체 및 되메움 — 기본 순서에 따라 해체하며, 철저한 계측관리로 흙막이 벽에 급격한 토압 변화가 생겨 토사면이 무너지거나 구조체가 손상되지 않게 한다.</t>
        </is>
      </c>
    </row>
    <row r="58" ht="21" customHeight="1">
      <c r="A58" s="22" t="inlineStr">
        <is>
          <t>3. 되메움</t>
        </is>
      </c>
    </row>
    <row r="59" ht="19.725" customHeight="1">
      <c r="A59" s="59" t="inlineStr">
        <is>
          <t>-</t>
        </is>
      </c>
      <c r="B59" s="60" t="inlineStr">
        <is>
          <t>본 구체에 무리한 측압이 생기지 않도록 나누어 되메운다.</t>
        </is>
      </c>
    </row>
    <row r="60" ht="19.725" customHeight="1">
      <c r="A60" s="59" t="inlineStr">
        <is>
          <t>-</t>
        </is>
      </c>
      <c r="B60" s="60" t="inlineStr">
        <is>
          <t>되메우기 재료는 양질의 토사로 한다.</t>
        </is>
      </c>
    </row>
    <row r="61" ht="19.725" customHeight="1">
      <c r="A61" s="59" t="inlineStr">
        <is>
          <t>-</t>
        </is>
      </c>
      <c r="B61" s="60" t="inlineStr">
        <is>
          <t>되메우기 전 폐기물이 묻히지 않도록 철저히 관리한다(사진 촬영).</t>
        </is>
      </c>
    </row>
    <row r="62" ht="19.725" customHeight="1">
      <c r="A62" s="59" t="inlineStr">
        <is>
          <t>-</t>
        </is>
      </c>
      <c r="B62" s="60" t="inlineStr">
        <is>
          <t>되메우기 전 구조체 양생 상태를 확인하고 감리원과 협의한 뒤 작업한다.</t>
        </is>
      </c>
    </row>
    <row r="63" ht="19.725" customHeight="1">
      <c r="A63" s="59" t="inlineStr">
        <is>
          <t>-</t>
        </is>
      </c>
      <c r="B63" s="60" t="inlineStr">
        <is>
          <t>덤프트럭 반입 때 흙막이 벽에 영향이 없도록 신호수를 배치한다.</t>
        </is>
      </c>
    </row>
    <row r="64" ht="21" customHeight="1">
      <c r="A64" s="22" t="inlineStr">
        <is>
          <t>□ 제거식 어스앵커 해체</t>
        </is>
      </c>
    </row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34.45" customHeight="1">
      <c r="A74" s="59" t="inlineStr">
        <is>
          <t>-</t>
        </is>
      </c>
      <c r="B74" s="60" t="inlineStr">
        <is>
          <t>강연선은 천공 벽면에서 먼 지점(약 50cm)을 산소 절단하여 작업 공간을 확보하고, 해체 작업 때 작업자는 강연선 정면에 서지 않는다.</t>
        </is>
      </c>
    </row>
    <row r="75" ht="19.725" customHeight="1">
      <c r="A75" s="59" t="inlineStr">
        <is>
          <t>-</t>
        </is>
      </c>
      <c r="B75" s="60" t="inlineStr">
        <is>
          <t>강연선은 인력으로 제거하며, 반발력으로 해체되지 않으면 해머 타격으로 해체한다.</t>
        </is>
      </c>
    </row>
    <row r="76" ht="49.175" customHeight="1">
      <c r="A76" s="59" t="inlineStr">
        <is>
          <t>-</t>
        </is>
      </c>
      <c r="B76" s="60" t="inlineStr">
        <is>
          <t>강연선 제거 방법 · 공구는 사용한 앵커 제품의 해체 시방서(제조사)에 따른다. 물기가 많거나 비가 올 때는 전동공구 작업을 하지 않고, 가슴 높이를 넘는 곳은 작업발판을 설치한 뒤 작업한다.</t>
        </is>
      </c>
    </row>
    <row r="77" ht="3" customHeight="1"/>
    <row r="78" ht="22" customHeight="1">
      <c r="A78" s="12" t="inlineStr">
        <is>
          <t>2.4  폐기물 처리계획</t>
        </is>
      </c>
    </row>
    <row r="79" ht="24" customHeight="1">
      <c r="A79" s="23" t="inlineStr">
        <is>
          <t>종    류</t>
        </is>
      </c>
      <c r="B79" s="14" t="n"/>
      <c r="C79" s="14" t="n"/>
      <c r="D79" s="23" t="inlineStr">
        <is>
          <t>예상 발생량</t>
        </is>
      </c>
      <c r="E79" s="14" t="n"/>
      <c r="F79" s="23" t="inlineStr">
        <is>
          <t>단위</t>
        </is>
      </c>
      <c r="G79" s="23" t="inlineStr">
        <is>
          <t>처 리 방 법</t>
        </is>
      </c>
      <c r="H79" s="14" t="n"/>
      <c r="I79" s="14" t="n"/>
      <c r="J79" s="14" t="n"/>
      <c r="K79" s="14" t="n"/>
      <c r="L79" s="14" t="n"/>
    </row>
    <row r="80" ht="24" customHeight="1">
      <c r="A80" s="27" t="inlineStr">
        <is>
          <t>폐목재(토류판)</t>
        </is>
      </c>
      <c r="B80" s="14" t="n"/>
      <c r="C80" s="14" t="n"/>
      <c r="D80" s="26" t="n">
        <v>90</v>
      </c>
      <c r="E80" s="14" t="n"/>
      <c r="F80" s="28" t="inlineStr">
        <is>
          <t>톤</t>
        </is>
      </c>
      <c r="G80" s="27" t="inlineStr">
        <is>
          <t>건설폐기물 위탁 처리(허가 업체) · 재활용 가능한 것은 분리</t>
        </is>
      </c>
      <c r="H80" s="14" t="n"/>
      <c r="I80" s="14" t="n"/>
      <c r="J80" s="14" t="n"/>
      <c r="K80" s="14" t="n"/>
      <c r="L80" s="14" t="n"/>
    </row>
    <row r="81" ht="24" customHeight="1">
      <c r="A81" s="27" t="inlineStr">
        <is>
          <t>폐콘크리트 · 모르타르</t>
        </is>
      </c>
      <c r="B81" s="14" t="n"/>
      <c r="C81" s="14" t="n"/>
      <c r="D81" s="26" t="n">
        <v>15</v>
      </c>
      <c r="E81" s="14" t="n"/>
      <c r="F81" s="28" t="inlineStr">
        <is>
          <t>톤</t>
        </is>
      </c>
      <c r="G81" s="27" t="inlineStr">
        <is>
          <t>건설폐기물 위탁 처리</t>
        </is>
      </c>
      <c r="H81" s="14" t="n"/>
      <c r="I81" s="14" t="n"/>
      <c r="J81" s="14" t="n"/>
      <c r="K81" s="14" t="n"/>
      <c r="L81" s="14" t="n"/>
    </row>
    <row r="82" ht="24" customHeight="1">
      <c r="A82" s="27" t="inlineStr">
        <is>
          <t>고철(띠장 · 보걸이 · 지압판 · 강연선)</t>
        </is>
      </c>
      <c r="B82" s="14" t="n"/>
      <c r="C82" s="14" t="n"/>
      <c r="D82" s="26" t="n"/>
      <c r="E82" s="14" t="n"/>
      <c r="F82" s="28" t="inlineStr">
        <is>
          <t>톤</t>
        </is>
      </c>
      <c r="G82" s="27" t="inlineStr">
        <is>
          <t>분리 · 매각(재활용)</t>
        </is>
      </c>
      <c r="H82" s="14" t="n"/>
      <c r="I82" s="14" t="n"/>
      <c r="J82" s="14" t="n"/>
      <c r="K82" s="14" t="n"/>
      <c r="L82" s="14" t="n"/>
    </row>
    <row r="83" ht="24" customHeight="1">
      <c r="A83" s="27" t="inlineStr">
        <is>
          <t>폐유 · 폐오일</t>
        </is>
      </c>
      <c r="B83" s="14" t="n"/>
      <c r="C83" s="14" t="n"/>
      <c r="D83" s="26" t="n"/>
      <c r="E83" s="14" t="n"/>
      <c r="F83" s="28" t="inlineStr">
        <is>
          <t>ℓ</t>
        </is>
      </c>
      <c r="G83" s="27" t="inlineStr">
        <is>
          <t>지정폐기물 — 허가 업체 위탁 처리</t>
        </is>
      </c>
      <c r="H83" s="14" t="n"/>
      <c r="I83" s="14" t="n"/>
      <c r="J83" s="14" t="n"/>
      <c r="K83" s="14" t="n"/>
      <c r="L83" s="14" t="n"/>
    </row>
    <row r="84" ht="24" customHeight="1">
      <c r="A84" s="27" t="n"/>
      <c r="B84" s="14" t="n"/>
      <c r="C84" s="14" t="n"/>
      <c r="D84" s="26" t="n"/>
      <c r="E84" s="14" t="n"/>
      <c r="F84" s="28" t="n"/>
      <c r="G84" s="27" t="n"/>
      <c r="H84" s="14" t="n"/>
      <c r="I84" s="14" t="n"/>
      <c r="J84" s="14" t="n"/>
      <c r="K84" s="14" t="n"/>
      <c r="L84" s="14" t="n"/>
    </row>
    <row r="86" ht="19.5" customHeight="1">
      <c r="A86" s="7" t="inlineStr">
        <is>
          <t>이 시트는 작성 예시입니다(가상의 값).</t>
        </is>
      </c>
    </row>
  </sheetData>
  <mergeCells count="92">
    <mergeCell ref="A80:C80"/>
    <mergeCell ref="A40:L48"/>
    <mergeCell ref="A37:L37"/>
    <mergeCell ref="D84:E84"/>
    <mergeCell ref="J35:L35"/>
    <mergeCell ref="B53:D53"/>
    <mergeCell ref="G83:L83"/>
    <mergeCell ref="A57:L57"/>
    <mergeCell ref="E51:F51"/>
    <mergeCell ref="E49:F49"/>
    <mergeCell ref="A34:C34"/>
    <mergeCell ref="A83:C83"/>
    <mergeCell ref="G81:L81"/>
    <mergeCell ref="B54:D54"/>
    <mergeCell ref="A56:D56"/>
    <mergeCell ref="I53:L53"/>
    <mergeCell ref="A6:L6"/>
    <mergeCell ref="E53:F53"/>
    <mergeCell ref="B63:L63"/>
    <mergeCell ref="G82:L82"/>
    <mergeCell ref="A78:L78"/>
    <mergeCell ref="I52:L52"/>
    <mergeCell ref="A7:L18"/>
    <mergeCell ref="E55:F55"/>
    <mergeCell ref="A21:L30"/>
    <mergeCell ref="A3:L3"/>
    <mergeCell ref="A32:C32"/>
    <mergeCell ref="A81:C81"/>
    <mergeCell ref="B61:L61"/>
    <mergeCell ref="G49:H49"/>
    <mergeCell ref="G32:I32"/>
    <mergeCell ref="J33:L33"/>
    <mergeCell ref="G84:L84"/>
    <mergeCell ref="A31:L31"/>
    <mergeCell ref="I54:L54"/>
    <mergeCell ref="A58:L58"/>
    <mergeCell ref="A82:C82"/>
    <mergeCell ref="D79:E79"/>
    <mergeCell ref="E50:F50"/>
    <mergeCell ref="A84:C84"/>
    <mergeCell ref="D32:F32"/>
    <mergeCell ref="D81:E81"/>
    <mergeCell ref="G34:I34"/>
    <mergeCell ref="E52:F52"/>
    <mergeCell ref="A86:L86"/>
    <mergeCell ref="J32:L32"/>
    <mergeCell ref="B49:D49"/>
    <mergeCell ref="B60:L60"/>
    <mergeCell ref="D33:F33"/>
    <mergeCell ref="B51:D51"/>
    <mergeCell ref="A20:L20"/>
    <mergeCell ref="B50:D50"/>
    <mergeCell ref="D35:F35"/>
    <mergeCell ref="D34:F34"/>
    <mergeCell ref="D83:E83"/>
    <mergeCell ref="G51:H51"/>
    <mergeCell ref="A64:L64"/>
    <mergeCell ref="E54:F54"/>
    <mergeCell ref="G54:H54"/>
    <mergeCell ref="A79:C79"/>
    <mergeCell ref="A1:F1"/>
    <mergeCell ref="D36:F36"/>
    <mergeCell ref="G50:H50"/>
    <mergeCell ref="J34:L34"/>
    <mergeCell ref="E56:F56"/>
    <mergeCell ref="B75:L75"/>
    <mergeCell ref="G52:H52"/>
    <mergeCell ref="B62:L62"/>
    <mergeCell ref="B59:L59"/>
    <mergeCell ref="I51:L51"/>
    <mergeCell ref="D80:E80"/>
    <mergeCell ref="G33:I33"/>
    <mergeCell ref="I50:L50"/>
    <mergeCell ref="A33:C33"/>
    <mergeCell ref="G80:L80"/>
    <mergeCell ref="G35:I35"/>
    <mergeCell ref="G53:H53"/>
    <mergeCell ref="G79:L79"/>
    <mergeCell ref="A35:C35"/>
    <mergeCell ref="B55:D55"/>
    <mergeCell ref="I49:L49"/>
    <mergeCell ref="G1:L1"/>
    <mergeCell ref="G56:L56"/>
    <mergeCell ref="A39:L39"/>
    <mergeCell ref="G55:H55"/>
    <mergeCell ref="A36:C36"/>
    <mergeCell ref="B74:L74"/>
    <mergeCell ref="G36:L36"/>
    <mergeCell ref="D82:E82"/>
    <mergeCell ref="B52:D52"/>
    <mergeCell ref="I55:L55"/>
    <mergeCell ref="B76:L76"/>
  </mergeCells>
  <conditionalFormatting sqref="D80:D84">
    <cfRule type="expression" priority="1" dxfId="0">
      <formula>AND(ISNUMBER(D80),MOD(D80,1)=0)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37" min="0" max="16383" man="1"/>
    <brk id="63" min="0" max="16383" man="1"/>
  </rowBreaks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9" t="inlineStr">
        <is>
          <t xml:space="preserve">작성 예시 (가상의 현장)  </t>
        </is>
      </c>
    </row>
    <row r="2" ht="4" customHeight="1"/>
    <row r="3" ht="30" customHeight="1">
      <c r="A3" s="11" t="inlineStr">
        <is>
          <t>3.  안전관리계획</t>
        </is>
      </c>
    </row>
    <row r="4" ht="4" customHeight="1"/>
    <row r="5" ht="3" customHeight="1"/>
    <row r="6" ht="22" customHeight="1">
      <c r="A6" s="12" t="inlineStr">
        <is>
          <t>3.1  안전관리 중점 추진 방향</t>
        </is>
      </c>
    </row>
    <row r="7" ht="64.90000000000001" customHeight="1">
      <c r="A7" s="61" t="inlineStr">
        <is>
          <t>효율적인 안전보건관리로 재해를 미리 막고 인명 피해를 최소화하여 인적 · 물적 손실을 방지하기 위해, 안전조직 구성 · 안전관리 관계자의 직무 · 상벌 등 안전관리의 기본 사항을 정한다. ▣ 위험요소 발굴카드 활용 및 즉각 조치 ▣ 공종별 안전관리 주요 항목 집중관리 ▣ 일일 시공 사이클 내실화 ▣ 안전사고 «ZERO»</t>
        </is>
      </c>
    </row>
    <row r="8" ht="24" customHeight="1">
      <c r="A8" s="23" t="inlineStr">
        <is>
          <t>주요 항목</t>
        </is>
      </c>
      <c r="B8" s="14" t="n"/>
      <c r="C8" s="14" t="n"/>
      <c r="D8" s="23" t="inlineStr">
        <is>
          <t>안   전   관   리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</row>
    <row r="9" ht="34.5" customHeight="1">
      <c r="A9" s="34" t="inlineStr">
        <is>
          <t>어스앵커 강선 제거</t>
        </is>
      </c>
      <c r="B9" s="14" t="n"/>
      <c r="C9" s="14" t="n"/>
      <c r="D9" s="35" t="inlineStr">
        <is>
          <t>강선은 높은 인장력이 걸린 상태에서 갑자기 절단되므로 부품이 날아갈 우려가 있어 주의한다. 땅속 강선을 제거할 때는 급격히 뽑지 말고 서서히 인발한다.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34.5" customHeight="1">
      <c r="A10" s="34" t="inlineStr">
        <is>
          <t>띠장 · 보걸이 해체</t>
        </is>
      </c>
      <c r="B10" s="14" t="n"/>
      <c r="C10" s="14" t="n"/>
      <c r="D10" s="35" t="inlineStr">
        <is>
          <t>띠장과 엄지말뚝의 연결부를 절단할 때는 띠장이 떨어지지 않도록 인양장비에 걸어 두는 등 안전조치를 먼저 한다.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 ht="30" customHeight="1">
      <c r="A11" s="34" t="inlineStr">
        <is>
          <t>되메우기 · 중장비</t>
        </is>
      </c>
      <c r="B11" s="14" t="n"/>
      <c r="C11" s="14" t="n"/>
      <c r="D11" s="35" t="inlineStr">
        <is>
          <t>작업반경 안 접근 금지 · 중장비 전담 신호수 배치 · 운영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 ht="3" customHeight="1"/>
    <row r="13" ht="22" customHeight="1">
      <c r="A13" s="12" t="inlineStr">
        <is>
          <t>3.2  주요 관리 및 교육 활동 — 일일 시공 CYCLE</t>
        </is>
      </c>
    </row>
    <row r="14" ht="24" customHeight="1">
      <c r="A14" s="23" t="inlineStr">
        <is>
          <t>시  각</t>
        </is>
      </c>
      <c r="B14" s="14" t="n"/>
      <c r="C14" s="23" t="inlineStr">
        <is>
          <t>활    동</t>
        </is>
      </c>
      <c r="D14" s="14" t="n"/>
      <c r="E14" s="14" t="n"/>
      <c r="F14" s="23" t="inlineStr">
        <is>
          <t>내        용</t>
        </is>
      </c>
      <c r="G14" s="14" t="n"/>
      <c r="H14" s="14" t="n"/>
      <c r="I14" s="14" t="n"/>
      <c r="J14" s="14" t="n"/>
      <c r="K14" s="14" t="n"/>
      <c r="L14" s="14" t="n"/>
    </row>
    <row r="15" ht="22" customHeight="1">
      <c r="A15" s="34" t="inlineStr">
        <is>
          <t>06:50</t>
        </is>
      </c>
      <c r="B15" s="14" t="n"/>
      <c r="C15" s="35" t="inlineStr">
        <is>
          <t>안전 조회</t>
        </is>
      </c>
      <c r="D15" s="14" t="n"/>
      <c r="E15" s="14" t="n"/>
      <c r="F15" s="35" t="inlineStr">
        <is>
          <t>참석 인원 파악 · 작업 위험 포인트 및 대책 일지 사용</t>
        </is>
      </c>
      <c r="G15" s="14" t="n"/>
      <c r="H15" s="14" t="n"/>
      <c r="I15" s="14" t="n"/>
      <c r="J15" s="14" t="n"/>
      <c r="K15" s="14" t="n"/>
      <c r="L15" s="14" t="n"/>
    </row>
    <row r="16" ht="22" customHeight="1">
      <c r="A16" s="34" t="inlineStr">
        <is>
          <t>07:10</t>
        </is>
      </c>
      <c r="B16" s="14" t="n"/>
      <c r="C16" s="35" t="inlineStr">
        <is>
          <t>TBM</t>
        </is>
      </c>
      <c r="D16" s="14" t="n"/>
      <c r="E16" s="14" t="n"/>
      <c r="F16" s="35" t="inlineStr">
        <is>
          <t>위험예지 상황판 활용 · 명일 작업 계획서 사용</t>
        </is>
      </c>
      <c r="G16" s="14" t="n"/>
      <c r="H16" s="14" t="n"/>
      <c r="I16" s="14" t="n"/>
      <c r="J16" s="14" t="n"/>
      <c r="K16" s="14" t="n"/>
      <c r="L16" s="14" t="n"/>
    </row>
    <row r="17" ht="34.5" customHeight="1">
      <c r="A17" s="34" t="inlineStr">
        <is>
          <t>10:00</t>
        </is>
      </c>
      <c r="B17" s="14" t="n"/>
      <c r="C17" s="35" t="inlineStr">
        <is>
          <t>오전 순회점검</t>
        </is>
      </c>
      <c r="D17" s="14" t="n"/>
      <c r="E17" s="14" t="n"/>
      <c r="F17" s="35" t="inlineStr">
        <is>
          <t>작업 위험 포인트 및 대책 일지를 활용한 순회점검 · 전일 계획서에 따른 순회점검</t>
        </is>
      </c>
      <c r="G17" s="14" t="n"/>
      <c r="H17" s="14" t="n"/>
      <c r="I17" s="14" t="n"/>
      <c r="J17" s="14" t="n"/>
      <c r="K17" s="14" t="n"/>
      <c r="L17" s="14" t="n"/>
    </row>
    <row r="18" ht="22" customHeight="1">
      <c r="A18" s="34" t="inlineStr">
        <is>
          <t>11:00</t>
        </is>
      </c>
      <c r="B18" s="14" t="n"/>
      <c r="C18" s="35" t="inlineStr">
        <is>
          <t>품질 · 안전 공정회의</t>
        </is>
      </c>
      <c r="D18" s="14" t="n"/>
      <c r="E18" s="14" t="n"/>
      <c r="F18" s="35" t="inlineStr">
        <is>
          <t>금일 작업 결과 및 명일 작업 계획 보고 · 회의록 작성</t>
        </is>
      </c>
      <c r="G18" s="14" t="n"/>
      <c r="H18" s="14" t="n"/>
      <c r="I18" s="14" t="n"/>
      <c r="J18" s="14" t="n"/>
      <c r="K18" s="14" t="n"/>
      <c r="L18" s="14" t="n"/>
    </row>
    <row r="19" ht="22" customHeight="1">
      <c r="A19" s="34" t="inlineStr">
        <is>
          <t>15:00</t>
        </is>
      </c>
      <c r="B19" s="14" t="n"/>
      <c r="C19" s="35" t="inlineStr">
        <is>
          <t>오후 순회점검</t>
        </is>
      </c>
      <c r="D19" s="14" t="n"/>
      <c r="E19" s="14" t="n"/>
      <c r="F19" s="35" t="inlineStr">
        <is>
          <t>전일 계획서에 따른 순회점검</t>
        </is>
      </c>
      <c r="G19" s="14" t="n"/>
      <c r="H19" s="14" t="n"/>
      <c r="I19" s="14" t="n"/>
      <c r="J19" s="14" t="n"/>
      <c r="K19" s="14" t="n"/>
      <c r="L19" s="14" t="n"/>
    </row>
    <row r="20" ht="22" customHeight="1">
      <c r="A20" s="34" t="inlineStr">
        <is>
          <t>17:50 ~ 18:00</t>
        </is>
      </c>
      <c r="B20" s="14" t="n"/>
      <c r="C20" s="35" t="inlineStr">
        <is>
          <t>작업장 정리정돈</t>
        </is>
      </c>
      <c r="D20" s="14" t="n"/>
      <c r="E20" s="14" t="n"/>
      <c r="F20" s="35" t="inlineStr">
        <is>
          <t>정리 · 정돈 실시 여부 파악</t>
        </is>
      </c>
      <c r="G20" s="14" t="n"/>
      <c r="H20" s="14" t="n"/>
      <c r="I20" s="14" t="n"/>
      <c r="J20" s="14" t="n"/>
      <c r="K20" s="14" t="n"/>
      <c r="L20" s="14" t="n"/>
    </row>
    <row r="21" ht="22" customHeight="1">
      <c r="A21" s="34" t="inlineStr">
        <is>
          <t>18:00</t>
        </is>
      </c>
      <c r="B21" s="14" t="n"/>
      <c r="C21" s="35" t="inlineStr">
        <is>
          <t>직원 공정회의</t>
        </is>
      </c>
      <c r="D21" s="14" t="n"/>
      <c r="E21" s="14" t="n"/>
      <c r="F21" s="35" t="inlineStr">
        <is>
          <t>직원 공정회의록 작성</t>
        </is>
      </c>
      <c r="G21" s="14" t="n"/>
      <c r="H21" s="14" t="n"/>
      <c r="I21" s="14" t="n"/>
      <c r="J21" s="14" t="n"/>
      <c r="K21" s="14" t="n"/>
      <c r="L21" s="14" t="n"/>
    </row>
    <row r="22" ht="3" customHeight="1"/>
    <row r="23" ht="22" customHeight="1">
      <c r="A23" s="12" t="inlineStr">
        <is>
          <t>3.3  안전관리 세부계획</t>
        </is>
      </c>
    </row>
    <row r="24" ht="24" customHeight="1">
      <c r="A24" s="23" t="inlineStr">
        <is>
          <t>활 동 명</t>
        </is>
      </c>
      <c r="B24" s="14" t="n"/>
      <c r="C24" s="14" t="n"/>
      <c r="D24" s="23" t="inlineStr">
        <is>
          <t>활    동    내    용</t>
        </is>
      </c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34.5" customHeight="1">
      <c r="A25" s="34" t="inlineStr">
        <is>
          <t>신규 채용자 관리</t>
        </is>
      </c>
      <c r="B25" s="14" t="n"/>
      <c r="C25" s="14" t="n"/>
      <c r="D25" s="35" t="inlineStr">
        <is>
          <t>▣ 작업 투입 전 안전교육 ▣ 배치 전 건강 상태 확인(해당 공종 적격 여부 · 질병 확인)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 ht="34.5" customHeight="1">
      <c r="A26" s="34" t="inlineStr">
        <is>
          <t>T.B.M 활동</t>
        </is>
      </c>
      <c r="B26" s="14" t="n"/>
      <c r="C26" s="14" t="n"/>
      <c r="D26" s="35" t="inlineStr">
        <is>
          <t>▣ 당일 위험 공정 및 작업 내용 설명 ▣ 공정별 팀 단위 위험요소 지적 및 확인</t>
        </is>
      </c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 ht="26" customHeight="1">
      <c r="A27" s="34" t="inlineStr">
        <is>
          <t>일일 안전활동</t>
        </is>
      </c>
      <c r="B27" s="14" t="n"/>
      <c r="C27" s="14" t="n"/>
      <c r="D27" s="35" t="inlineStr">
        <is>
          <t>▣ 주변 지장물 · 지보공 이상 유무 점검 ▣ 작업 종료 전 현장 정리정돈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 ht="34.5" customHeight="1">
      <c r="A28" s="34" t="inlineStr">
        <is>
          <t>일일 안전토론</t>
        </is>
      </c>
      <c r="B28" s="14" t="n"/>
      <c r="C28" s="14" t="n"/>
      <c r="D28" s="35" t="inlineStr">
        <is>
          <t>▣ 금일 안전점검 조치사항 이행 상태 확인 ▣ 명일 작업 사항 · 금일 미비 사항 검토</t>
        </is>
      </c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 ht="21" customHeight="1">
      <c r="A29" s="22" t="inlineStr">
        <is>
          <t>주요 교육 활동</t>
        </is>
      </c>
    </row>
    <row r="30" ht="24" customHeight="1">
      <c r="A30" s="23" t="inlineStr">
        <is>
          <t>교 육 명</t>
        </is>
      </c>
      <c r="B30" s="14" t="n"/>
      <c r="C30" s="14" t="n"/>
      <c r="D30" s="23" t="inlineStr">
        <is>
          <t>교 육 시 간</t>
        </is>
      </c>
      <c r="E30" s="14" t="n"/>
      <c r="F30" s="14" t="n"/>
      <c r="G30" s="23" t="inlineStr">
        <is>
          <t>교 육 내 용</t>
        </is>
      </c>
      <c r="H30" s="14" t="n"/>
      <c r="I30" s="14" t="n"/>
      <c r="J30" s="14" t="n"/>
      <c r="K30" s="14" t="n"/>
      <c r="L30" s="14" t="n"/>
    </row>
    <row r="31" ht="38" customHeight="1">
      <c r="A31" s="62" t="inlineStr">
        <is>
          <t>정기교육</t>
        </is>
      </c>
      <c r="B31" s="14" t="n"/>
      <c r="C31" s="14" t="n"/>
      <c r="D31" s="63" t="inlineStr">
        <is>
          <t>매월 2시간
(매반기 12시간 이상)</t>
        </is>
      </c>
      <c r="E31" s="14" t="n"/>
      <c r="F31" s="14" t="n"/>
      <c r="G31" s="64" t="inlineStr">
        <is>
          <t>보호구 · 안전장치 취급과 사용 · 안전사고 사례 및 재해 예방대책</t>
        </is>
      </c>
      <c r="H31" s="14" t="n"/>
      <c r="I31" s="14" t="n"/>
      <c r="J31" s="14" t="n"/>
      <c r="K31" s="14" t="n"/>
      <c r="L31" s="14" t="n"/>
    </row>
    <row r="32" ht="38" customHeight="1">
      <c r="A32" s="62" t="inlineStr">
        <is>
          <t>채용 시 교육</t>
        </is>
      </c>
      <c r="B32" s="14" t="n"/>
      <c r="C32" s="14" t="n"/>
      <c r="D32" s="63" t="inlineStr">
        <is>
          <t>일용 1시간 이상
그 밖 8시간 이상</t>
        </is>
      </c>
      <c r="E32" s="14" t="n"/>
      <c r="F32" s="14" t="n"/>
      <c r="G32" s="64" t="inlineStr">
        <is>
          <t>해당 기계 · 기구의 위험성과 안전작업 · 근로자 건강관리</t>
        </is>
      </c>
      <c r="H32" s="14" t="n"/>
      <c r="I32" s="14" t="n"/>
      <c r="J32" s="14" t="n"/>
      <c r="K32" s="14" t="n"/>
      <c r="L32" s="14" t="n"/>
    </row>
    <row r="33" ht="38" customHeight="1">
      <c r="A33" s="62" t="inlineStr">
        <is>
          <t>작업내용 변경 시</t>
        </is>
      </c>
      <c r="B33" s="14" t="n"/>
      <c r="C33" s="14" t="n"/>
      <c r="D33" s="63" t="inlineStr">
        <is>
          <t>일용 1시간 이상
그 밖 2시간 이상</t>
        </is>
      </c>
      <c r="E33" s="14" t="n"/>
      <c r="F33" s="14" t="n"/>
      <c r="G33" s="64" t="inlineStr">
        <is>
          <t>변경된 작업의 위험성과 안전작업 방법</t>
        </is>
      </c>
      <c r="H33" s="14" t="n"/>
      <c r="I33" s="14" t="n"/>
      <c r="J33" s="14" t="n"/>
      <c r="K33" s="14" t="n"/>
      <c r="L33" s="14" t="n"/>
    </row>
    <row r="34" ht="38" customHeight="1">
      <c r="A34" s="62" t="inlineStr">
        <is>
          <t>관리감독자</t>
        </is>
      </c>
      <c r="B34" s="14" t="n"/>
      <c r="C34" s="14" t="n"/>
      <c r="D34" s="63" t="inlineStr">
        <is>
          <t>연간 16시간 이상</t>
        </is>
      </c>
      <c r="E34" s="14" t="n"/>
      <c r="F34" s="14" t="n"/>
      <c r="G34" s="64" t="inlineStr">
        <is>
          <t>안전작업 지도 요령 · 관리감독자의 역할과 임무 · 그 밖의 안전보건관리</t>
        </is>
      </c>
      <c r="H34" s="14" t="n"/>
      <c r="I34" s="14" t="n"/>
      <c r="J34" s="14" t="n"/>
      <c r="K34" s="14" t="n"/>
      <c r="L34" s="14" t="n"/>
    </row>
    <row r="35" ht="38" customHeight="1">
      <c r="A35" s="62" t="inlineStr">
        <is>
          <t>특별교육</t>
        </is>
      </c>
      <c r="B35" s="14" t="n"/>
      <c r="C35" s="14" t="n"/>
      <c r="D35" s="63" t="inlineStr">
        <is>
          <t>일용 2시간 이상
그 밖 16시간 이상</t>
        </is>
      </c>
      <c r="E35" s="14" t="n"/>
      <c r="F35" s="14" t="n"/>
      <c r="G35" s="64" t="inlineStr">
        <is>
          <t>작업 공정의 유해 · 위험 · 보호구 착용 및 작업 신호</t>
        </is>
      </c>
      <c r="H35" s="14" t="n"/>
      <c r="I35" s="14" t="n"/>
      <c r="J35" s="14" t="n"/>
      <c r="K35" s="14" t="n"/>
      <c r="L35" s="14" t="n"/>
    </row>
    <row r="36" ht="41.975" customHeight="1">
      <c r="A36" s="53" t="inlineStr">
        <is>
          <t>※ 교육시간은 산업안전보건법 시행규칙 [별표 4](2023년 개정 이후) 기준입니다(«일용» = 일용근로자 · 근로계약 1주 이하 기간제). 건설 일용근로자는 처음 투입 전에 건설업 기초안전보건교육(4시간)을 이수해야 합니다. 법령이 바뀌면 노란 칸을 고쳐 씁니다.</t>
        </is>
      </c>
    </row>
    <row r="37" ht="24" customHeight="1">
      <c r="A37" s="23" t="inlineStr">
        <is>
          <t>구   분</t>
        </is>
      </c>
      <c r="B37" s="14" t="n"/>
      <c r="C37" s="14" t="n"/>
      <c r="D37" s="23" t="inlineStr">
        <is>
          <t>내        용</t>
        </is>
      </c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 ht="34.5" customHeight="1">
      <c r="A38" s="34" t="inlineStr">
        <is>
          <t>보호구 지급</t>
        </is>
      </c>
      <c r="B38" s="14" t="n"/>
      <c r="C38" s="14" t="n"/>
      <c r="D38" s="35" t="inlineStr">
        <is>
          <t>▣ 신규 채용자 교육 후 지급 ▣ 개인보호구 100% 지급 ▣ 기능상 불량이면 점검 후 수리 · 교환 지급 ▣ 소모성 보호구는 수시 점검하여 즉시 교환</t>
        </is>
      </c>
      <c r="E38" s="14" t="n"/>
      <c r="F38" s="14" t="n"/>
      <c r="G38" s="14" t="n"/>
      <c r="H38" s="14" t="n"/>
      <c r="I38" s="14" t="n"/>
      <c r="J38" s="14" t="n"/>
      <c r="K38" s="14" t="n"/>
      <c r="L38" s="14" t="n"/>
    </row>
    <row r="39" ht="34.5" customHeight="1">
      <c r="A39" s="34" t="inlineStr">
        <is>
          <t>보호구 활용</t>
        </is>
      </c>
      <c r="B39" s="14" t="n"/>
      <c r="C39" s="14" t="n"/>
      <c r="D39" s="35" t="inlineStr">
        <is>
          <t>▣ 지급 때 100% 착용 및 사용법 교육 ▣ 매일 T.B.M 뒤 기능 점검 ▣ 방진 마스크 보조 필터 착용 ▣ 본래 목적 외 사용 금지</t>
        </is>
      </c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 ht="34.5" customHeight="1">
      <c r="A40" s="34" t="inlineStr">
        <is>
          <t>안전 준수 사항</t>
        </is>
      </c>
      <c r="B40" s="14" t="n"/>
      <c r="C40" s="14" t="n"/>
      <c r="D40" s="35" t="inlineStr">
        <is>
          <t>▣ 위험요소 발굴카드 활용 및 즉각 조치 ▣ 안전관리 실명제 카드 · 중장비 사전 안전점검 및 점검필증 부착 ▣ 장비 작업 때 신호수 고정 배치</t>
        </is>
      </c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 ht="21" customHeight="1">
      <c r="A41" s="22" t="inlineStr">
        <is>
          <t>10대 안전수칙</t>
        </is>
      </c>
    </row>
    <row r="42" ht="19.725" customHeight="1">
      <c r="A42" s="59" t="inlineStr">
        <is>
          <t>①</t>
        </is>
      </c>
      <c r="B42" s="60" t="inlineStr">
        <is>
          <t>개구부는 생기는 즉시 막는다.</t>
        </is>
      </c>
    </row>
    <row r="43" ht="19.725" customHeight="1">
      <c r="A43" s="59" t="inlineStr">
        <is>
          <t>②</t>
        </is>
      </c>
      <c r="B43" s="60" t="inlineStr">
        <is>
          <t>난간대는 반드시 설치한다.</t>
        </is>
      </c>
    </row>
    <row r="44" ht="19.725" customHeight="1">
      <c r="A44" s="59" t="inlineStr">
        <is>
          <t>③</t>
        </is>
      </c>
      <c r="B44" s="60" t="inlineStr">
        <is>
          <t>생명줄은 반드시 설치한다.</t>
        </is>
      </c>
    </row>
    <row r="45" ht="19.725" customHeight="1">
      <c r="A45" s="59" t="inlineStr">
        <is>
          <t>④</t>
        </is>
      </c>
      <c r="B45" s="60" t="inlineStr">
        <is>
          <t>안전대는 반드시 걸고 작업한다.</t>
        </is>
      </c>
    </row>
    <row r="46" ht="19.725" customHeight="1">
      <c r="A46" s="59" t="inlineStr">
        <is>
          <t>⑤</t>
        </is>
      </c>
      <c r="B46" s="60" t="inlineStr">
        <is>
          <t>작업발판은 확실히 고정한다.</t>
        </is>
      </c>
    </row>
    <row r="47" ht="19.725" customHeight="1">
      <c r="A47" s="59" t="inlineStr">
        <is>
          <t>⑥</t>
        </is>
      </c>
      <c r="B47" s="60" t="inlineStr">
        <is>
          <t>양중용 장비에는 절대 탑승하지 않는다.</t>
        </is>
      </c>
    </row>
    <row r="48" ht="19.725" customHeight="1">
      <c r="A48" s="59" t="inlineStr">
        <is>
          <t>⑦</t>
        </is>
      </c>
      <c r="B48" s="60" t="inlineStr">
        <is>
          <t>분전함은 반드시 잠금장치를 한다.</t>
        </is>
      </c>
    </row>
    <row r="49" ht="19.725" customHeight="1">
      <c r="A49" s="59" t="inlineStr">
        <is>
          <t>⑧</t>
        </is>
      </c>
      <c r="B49" s="60" t="inlineStr">
        <is>
          <t>안전모는 반드시 착용한다.</t>
        </is>
      </c>
    </row>
    <row r="50" ht="19.725" customHeight="1">
      <c r="A50" s="59" t="inlineStr">
        <is>
          <t>⑨</t>
        </is>
      </c>
      <c r="B50" s="60" t="inlineStr">
        <is>
          <t>T.B.M 은 매일 철저하게 한다.</t>
        </is>
      </c>
    </row>
    <row r="51" ht="19.725" customHeight="1">
      <c r="A51" s="59" t="inlineStr">
        <is>
          <t>⑩</t>
        </is>
      </c>
      <c r="B51" s="60" t="inlineStr">
        <is>
          <t>중장비 작업반경 안에는 절대 접근하지 않는다.</t>
        </is>
      </c>
    </row>
    <row r="52" ht="36" customHeight="1">
      <c r="A52" s="22" t="inlineStr">
        <is>
          <t>안전작업 지도서 — 가시설 설치의 역순으로 되메우기 · 어스앵커 제거 · 띠장 제거 · 엄지말뚝 인발. 주요 위험 : 장비 협착 · 전도, 낙하물 · 부재 낙하, 추락</t>
        </is>
      </c>
    </row>
    <row r="53" ht="24" customHeight="1">
      <c r="A53" s="23" t="inlineStr">
        <is>
          <t>작 업 순 서</t>
        </is>
      </c>
      <c r="B53" s="14" t="n"/>
      <c r="C53" s="14" t="n"/>
      <c r="D53" s="23" t="inlineStr">
        <is>
          <t>위험 POINT</t>
        </is>
      </c>
      <c r="E53" s="14" t="n"/>
      <c r="F53" s="14" t="n"/>
      <c r="G53" s="23" t="inlineStr">
        <is>
          <t>안전관리 대책</t>
        </is>
      </c>
      <c r="H53" s="14" t="n"/>
      <c r="I53" s="14" t="n"/>
      <c r="J53" s="14" t="n"/>
      <c r="K53" s="23" t="inlineStr">
        <is>
          <t>위험도</t>
        </is>
      </c>
      <c r="L53" s="14" t="n"/>
    </row>
    <row r="54" ht="34.5" customHeight="1">
      <c r="A54" s="35" t="inlineStr">
        <is>
          <t>1. 어스앵커 강선 및 띠장 제거</t>
        </is>
      </c>
      <c r="B54" s="14" t="n"/>
      <c r="C54" s="14" t="n"/>
      <c r="D54" s="35" t="inlineStr">
        <is>
          <t>버팀 부재 위 이동 때 추락 우려</t>
        </is>
      </c>
      <c r="E54" s="14" t="n"/>
      <c r="F54" s="14" t="n"/>
      <c r="G54" s="35" t="inlineStr">
        <is>
          <t>안전보호구 착용 · 안전대 부착설비</t>
        </is>
      </c>
      <c r="H54" s="14" t="n"/>
      <c r="I54" s="14" t="n"/>
      <c r="J54" s="14" t="n"/>
      <c r="K54" s="34" t="inlineStr">
        <is>
          <t>★ ★ ★</t>
        </is>
      </c>
      <c r="L54" s="14" t="n"/>
    </row>
    <row r="55" ht="34.5" customHeight="1">
      <c r="A55" s="35" t="inlineStr">
        <is>
          <t>2. 엄지말뚝 인발</t>
        </is>
      </c>
      <c r="B55" s="14" t="n"/>
      <c r="C55" s="14" t="n"/>
      <c r="D55" s="35" t="inlineStr">
        <is>
          <t>장비 전도 우려 · 장비 선회 때 작업자 위험</t>
        </is>
      </c>
      <c r="E55" s="14" t="n"/>
      <c r="F55" s="14" t="n"/>
      <c r="G55" s="35" t="inlineStr">
        <is>
          <t>전담 신호수 배치 · 작업장 출입금지 가설 펜스 설치</t>
        </is>
      </c>
      <c r="H55" s="14" t="n"/>
      <c r="I55" s="14" t="n"/>
      <c r="J55" s="14" t="n"/>
      <c r="K55" s="34" t="inlineStr">
        <is>
          <t>★ ★ ★</t>
        </is>
      </c>
      <c r="L55" s="14" t="n"/>
    </row>
    <row r="56" ht="34.5" customHeight="1">
      <c r="A56" s="35" t="inlineStr">
        <is>
          <t>3. 되메우기</t>
        </is>
      </c>
      <c r="B56" s="14" t="n"/>
      <c r="C56" s="14" t="n"/>
      <c r="D56" s="35" t="inlineStr">
        <is>
          <t>장비 협착 · 차량 운행 주의</t>
        </is>
      </c>
      <c r="E56" s="14" t="n"/>
      <c r="F56" s="14" t="n"/>
      <c r="G56" s="35" t="inlineStr">
        <is>
          <t>전담 신호수 배치 · 운행 속도 제한</t>
        </is>
      </c>
      <c r="H56" s="14" t="n"/>
      <c r="I56" s="14" t="n"/>
      <c r="J56" s="14" t="n"/>
      <c r="K56" s="34" t="inlineStr">
        <is>
          <t>★ ★</t>
        </is>
      </c>
      <c r="L56" s="14" t="n"/>
    </row>
    <row r="57" ht="4" customHeight="1"/>
    <row r="58" ht="30" customHeight="1">
      <c r="A58" s="11" t="inlineStr">
        <is>
          <t>4.  환경관리계획</t>
        </is>
      </c>
    </row>
    <row r="59" ht="4" customHeight="1"/>
    <row r="60" ht="3" customHeight="1"/>
    <row r="61" ht="22" customHeight="1">
      <c r="A61" s="12" t="inlineStr">
        <is>
          <t>4.1  환경관리 중점 추진 방향</t>
        </is>
      </c>
    </row>
    <row r="62" ht="19.725" customHeight="1">
      <c r="A62" s="59" t="inlineStr">
        <is>
          <t>▣</t>
        </is>
      </c>
      <c r="B62" s="60" t="inlineStr">
        <is>
          <t>환경(소음 · 진동 · 분진) 문제의 대책 수립과 지속적인 관리</t>
        </is>
      </c>
    </row>
    <row r="63" ht="19.725" customHeight="1">
      <c r="A63" s="59" t="inlineStr">
        <is>
          <t>▣</t>
        </is>
      </c>
      <c r="B63" s="60" t="inlineStr">
        <is>
          <t>공종별 환경관리 주요 항목을 정해 집중관리</t>
        </is>
      </c>
    </row>
    <row r="64" ht="19.725" customHeight="1">
      <c r="A64" s="59" t="inlineStr">
        <is>
          <t>▣</t>
        </is>
      </c>
      <c r="B64" s="60" t="inlineStr">
        <is>
          <t>환경경영시스템(ISO 14001)에 따른 환경교육 · 의식 향상</t>
        </is>
      </c>
    </row>
    <row r="65" ht="19.725" customHeight="1">
      <c r="A65" s="59" t="inlineStr">
        <is>
          <t>▣</t>
        </is>
      </c>
      <c r="B65" s="60" t="inlineStr">
        <is>
          <t>현장 환경관리 목표치 준수</t>
        </is>
      </c>
    </row>
    <row r="66" ht="19.725" customHeight="1">
      <c r="A66" s="59" t="inlineStr">
        <is>
          <t>▣</t>
        </is>
      </c>
      <c r="B66" s="60" t="inlineStr">
        <is>
          <t>환경사고 «ZERO»</t>
        </is>
      </c>
    </row>
    <row r="67" ht="35.45" customHeight="1">
      <c r="A67" s="61" t="inlineStr">
        <is>
          <t>가시설 해체공사 주요 항목 — ▣ 중장비 관리 : 폐오일 처리 · 작업반경 안 출입금지 ▣ 소음 관리 : 저소음 장비 투입 ▣ 비산먼지 : 고압 분무기로 살수</t>
        </is>
      </c>
    </row>
    <row r="68" ht="3" customHeight="1"/>
    <row r="69" ht="22" customHeight="1">
      <c r="A69" s="12" t="inlineStr">
        <is>
          <t>4.2  환경관리 목표</t>
        </is>
      </c>
    </row>
    <row r="70" ht="24" customHeight="1">
      <c r="A70" s="23" t="inlineStr">
        <is>
          <t>항    목</t>
        </is>
      </c>
      <c r="B70" s="14" t="n"/>
      <c r="C70" s="14" t="n"/>
      <c r="D70" s="23" t="inlineStr">
        <is>
          <t>기  준</t>
        </is>
      </c>
      <c r="E70" s="14" t="n"/>
      <c r="F70" s="14" t="n"/>
      <c r="G70" s="23" t="inlineStr">
        <is>
          <t>현장 목표</t>
        </is>
      </c>
      <c r="H70" s="14" t="n"/>
      <c r="I70" s="14" t="n"/>
      <c r="J70" s="23" t="inlineStr">
        <is>
          <t>비    고</t>
        </is>
      </c>
      <c r="K70" s="14" t="n"/>
      <c r="L70" s="14" t="n"/>
    </row>
    <row r="71" ht="24" customHeight="1">
      <c r="A71" s="18" t="inlineStr">
        <is>
          <t>소    음</t>
        </is>
      </c>
      <c r="B71" s="14" t="n"/>
      <c r="C71" s="14" t="n"/>
      <c r="D71" s="65" t="n">
        <v>70</v>
      </c>
      <c r="E71" s="14" t="n"/>
      <c r="F71" s="14" t="n"/>
      <c r="G71" s="65" t="n">
        <v>68</v>
      </c>
      <c r="H71" s="14" t="n"/>
      <c r="I71" s="14" t="n"/>
      <c r="J71" s="43" t="inlineStr"/>
      <c r="K71" s="14" t="n"/>
      <c r="L71" s="14" t="n"/>
    </row>
    <row r="72" ht="24" customHeight="1">
      <c r="A72" s="18" t="inlineStr">
        <is>
          <t>진    동</t>
        </is>
      </c>
      <c r="B72" s="14" t="n"/>
      <c r="C72" s="14" t="n"/>
      <c r="D72" s="66" t="n">
        <v>0.3</v>
      </c>
      <c r="E72" s="14" t="n"/>
      <c r="F72" s="14" t="n"/>
      <c r="G72" s="66" t="n">
        <v>0.25</v>
      </c>
      <c r="H72" s="14" t="n"/>
      <c r="I72" s="14" t="n"/>
      <c r="J72" s="43" t="inlineStr"/>
      <c r="K72" s="14" t="n"/>
      <c r="L72" s="14" t="n"/>
    </row>
    <row r="73" ht="24" customHeight="1">
      <c r="A73" s="18" t="inlineStr">
        <is>
          <t>먼    지</t>
        </is>
      </c>
      <c r="B73" s="14" t="n"/>
      <c r="C73" s="14" t="n"/>
      <c r="D73" s="18" t="inlineStr">
        <is>
          <t>최대 억제</t>
        </is>
      </c>
      <c r="E73" s="14" t="n"/>
      <c r="F73" s="14" t="n"/>
      <c r="G73" s="14" t="n"/>
      <c r="H73" s="14" t="n"/>
      <c r="I73" s="14" t="n"/>
      <c r="J73" s="43" t="inlineStr"/>
      <c r="K73" s="14" t="n"/>
      <c r="L73" s="14" t="n"/>
    </row>
    <row r="74" ht="29.65" customHeight="1">
      <c r="A74" s="53" t="inlineStr">
        <is>
          <t>※ 기준 · 목표는 원본 계획서의 현장 값입니다(노란 칸). 현장의 사전신고 · 규제기준(소음 · 진동관리법 시행규칙 [별표 8])과 발주처 기준에 맞춰 고쳐 쓰세요.</t>
        </is>
      </c>
    </row>
    <row r="75" ht="24" customHeight="1">
      <c r="A75" s="23" t="inlineStr">
        <is>
          <t>측 정 일</t>
        </is>
      </c>
      <c r="B75" s="14" t="n"/>
      <c r="C75" s="14" t="n"/>
      <c r="D75" s="23" t="inlineStr">
        <is>
          <t>소음 dB(A)</t>
        </is>
      </c>
      <c r="E75" s="14" t="n"/>
      <c r="F75" s="23" t="inlineStr">
        <is>
          <t>진동 kine</t>
        </is>
      </c>
      <c r="G75" s="14" t="n"/>
      <c r="H75" s="23" t="inlineStr">
        <is>
          <t>판    정</t>
        </is>
      </c>
      <c r="I75" s="14" t="n"/>
      <c r="J75" s="14" t="n"/>
      <c r="K75" s="14" t="n"/>
      <c r="L75" s="14" t="n"/>
    </row>
    <row r="76" ht="24" customHeight="1">
      <c r="A76" s="17" t="n">
        <v>46157</v>
      </c>
      <c r="B76" s="14" t="n"/>
      <c r="C76" s="14" t="n"/>
      <c r="D76" s="67" t="n">
        <v>66</v>
      </c>
      <c r="E76" s="14" t="n"/>
      <c r="F76" s="68" t="n">
        <v>0.21</v>
      </c>
      <c r="G76" s="14" t="n"/>
      <c r="H76" s="52">
        <f>IF(AND(N(D76)=0,N(F76)=0),"",IF(N(D76)&gt;D71,"⚠ 소음 기준 초과",IF(N(F76)&gt;D72,"⚠ 진동 기준 초과",IF(OR(N(D76)&gt;G71,N(F76)&gt;G72),"기준 이내 · 목표 초과","목표 이내"))))</f>
        <v/>
      </c>
      <c r="I76" s="14" t="n"/>
      <c r="J76" s="14" t="n"/>
      <c r="K76" s="14" t="n"/>
      <c r="L76" s="14" t="n"/>
    </row>
    <row r="77" ht="24" customHeight="1">
      <c r="A77" s="17" t="n">
        <v>46185</v>
      </c>
      <c r="B77" s="14" t="n"/>
      <c r="C77" s="14" t="n"/>
      <c r="D77" s="67" t="n">
        <v>69</v>
      </c>
      <c r="E77" s="14" t="n"/>
      <c r="F77" s="68" t="n">
        <v>0.24</v>
      </c>
      <c r="G77" s="14" t="n"/>
      <c r="H77" s="52">
        <f>IF(AND(N(D77)=0,N(F77)=0),"",IF(N(D77)&gt;D71,"⚠ 소음 기준 초과",IF(N(F77)&gt;D72,"⚠ 진동 기준 초과",IF(OR(N(D77)&gt;G71,N(F77)&gt;G72),"기준 이내 · 목표 초과","목표 이내"))))</f>
        <v/>
      </c>
      <c r="I77" s="14" t="n"/>
      <c r="J77" s="14" t="n"/>
      <c r="K77" s="14" t="n"/>
      <c r="L77" s="14" t="n"/>
    </row>
    <row r="78" ht="24" customHeight="1">
      <c r="A78" s="17" t="n"/>
      <c r="B78" s="14" t="n"/>
      <c r="C78" s="14" t="n"/>
      <c r="D78" s="67" t="n"/>
      <c r="E78" s="14" t="n"/>
      <c r="F78" s="68" t="n"/>
      <c r="G78" s="14" t="n"/>
      <c r="H78" s="52">
        <f>IF(AND(N(D78)=0,N(F78)=0),"",IF(N(D78)&gt;D71,"⚠ 소음 기준 초과",IF(N(F78)&gt;D72,"⚠ 진동 기준 초과",IF(OR(N(D78)&gt;G71,N(F78)&gt;G72),"기준 이내 · 목표 초과","목표 이내"))))</f>
        <v/>
      </c>
      <c r="I78" s="14" t="n"/>
      <c r="J78" s="14" t="n"/>
      <c r="K78" s="14" t="n"/>
      <c r="L78" s="14" t="n"/>
    </row>
    <row r="79" ht="3" customHeight="1"/>
    <row r="80" ht="22" customHeight="1">
      <c r="A80" s="12" t="inlineStr">
        <is>
          <t>4.3  환경관리 세부계획</t>
        </is>
      </c>
    </row>
    <row r="81" ht="24" customHeight="1">
      <c r="A81" s="23" t="inlineStr">
        <is>
          <t>구  분</t>
        </is>
      </c>
      <c r="B81" s="14" t="n"/>
      <c r="C81" s="23" t="inlineStr">
        <is>
          <t>발 생 원</t>
        </is>
      </c>
      <c r="D81" s="14" t="n"/>
      <c r="E81" s="14" t="n"/>
      <c r="F81" s="23" t="inlineStr">
        <is>
          <t>발 생 현 상</t>
        </is>
      </c>
      <c r="G81" s="14" t="n"/>
      <c r="H81" s="14" t="n"/>
      <c r="I81" s="23" t="inlineStr">
        <is>
          <t>감 소 대 책</t>
        </is>
      </c>
      <c r="J81" s="14" t="n"/>
      <c r="K81" s="14" t="n"/>
      <c r="L81" s="14" t="n"/>
    </row>
    <row r="82" ht="34.5" customHeight="1">
      <c r="A82" s="34" t="inlineStr">
        <is>
          <t>소  음</t>
        </is>
      </c>
      <c r="B82" s="14" t="n"/>
      <c r="C82" s="35" t="inlineStr">
        <is>
          <t>장비 이동 · 굴착 작업, 덤프 상차 · 운행</t>
        </is>
      </c>
      <c r="D82" s="14" t="n"/>
      <c r="E82" s="14" t="n"/>
      <c r="F82" s="35" t="inlineStr">
        <is>
          <t>굴삭기 · 덤프트럭 운행 때 소음</t>
        </is>
      </c>
      <c r="G82" s="14" t="n"/>
      <c r="H82" s="14" t="n"/>
      <c r="I82" s="35" t="inlineStr">
        <is>
          <t>저소음 장비 투입 · 경적 금지 · 장비 이동 때 저속 운행</t>
        </is>
      </c>
      <c r="J82" s="14" t="n"/>
      <c r="K82" s="14" t="n"/>
      <c r="L82" s="14" t="n"/>
    </row>
    <row r="83" ht="48.75" customHeight="1">
      <c r="A83" s="34" t="inlineStr">
        <is>
          <t>분  진</t>
        </is>
      </c>
      <c r="B83" s="14" t="n"/>
      <c r="C83" s="35" t="inlineStr">
        <is>
          <t>덤프트럭 운행</t>
        </is>
      </c>
      <c r="D83" s="14" t="n"/>
      <c r="E83" s="14" t="n"/>
      <c r="F83" s="35" t="inlineStr">
        <is>
          <t>운행 때 분진 발생</t>
        </is>
      </c>
      <c r="G83" s="14" t="n"/>
      <c r="H83" s="14" t="n"/>
      <c r="I83" s="35" t="inlineStr">
        <is>
          <t>저속 운행(20km/h) · 살수차 수시 운행 · 진입로 고압 살수기 · 세륜장 전담 요원 배치</t>
        </is>
      </c>
      <c r="J83" s="14" t="n"/>
      <c r="K83" s="14" t="n"/>
      <c r="L83" s="14" t="n"/>
    </row>
    <row r="84" ht="48.75" customHeight="1">
      <c r="A84" s="34" t="inlineStr">
        <is>
          <t>차량 통행</t>
        </is>
      </c>
      <c r="B84" s="14" t="n"/>
      <c r="C84" s="35" t="inlineStr">
        <is>
          <t>덤프트럭 운행</t>
        </is>
      </c>
      <c r="D84" s="14" t="n"/>
      <c r="E84" s="14" t="n"/>
      <c r="F84" s="35" t="inlineStr">
        <is>
          <t>운행 때 차량 지체</t>
        </is>
      </c>
      <c r="G84" s="14" t="n"/>
      <c r="H84" s="14" t="n"/>
      <c r="I84" s="35" t="inlineStr">
        <is>
          <t>저속 운행 · 시간제 배차 · 전담 신호수 배치 · 일반 차량 우선 통행</t>
        </is>
      </c>
      <c r="J84" s="14" t="n"/>
      <c r="K84" s="14" t="n"/>
      <c r="L84" s="14" t="n"/>
    </row>
    <row r="86" ht="19.5" customHeight="1">
      <c r="A86" s="7" t="inlineStr">
        <is>
          <t>이 시트는 작성 예시입니다(가상의 측정값).</t>
        </is>
      </c>
    </row>
  </sheetData>
  <mergeCells count="164">
    <mergeCell ref="A15:B15"/>
    <mergeCell ref="A37:C37"/>
    <mergeCell ref="G55:J55"/>
    <mergeCell ref="B47:L47"/>
    <mergeCell ref="C21:E21"/>
    <mergeCell ref="D53:F53"/>
    <mergeCell ref="A26:C26"/>
    <mergeCell ref="G30:L30"/>
    <mergeCell ref="D77:E77"/>
    <mergeCell ref="A71:C71"/>
    <mergeCell ref="A23:L23"/>
    <mergeCell ref="I81:L81"/>
    <mergeCell ref="D30:F30"/>
    <mergeCell ref="F19:L19"/>
    <mergeCell ref="D24:L24"/>
    <mergeCell ref="A52:L52"/>
    <mergeCell ref="G32:L32"/>
    <mergeCell ref="D78:E78"/>
    <mergeCell ref="C18:E18"/>
    <mergeCell ref="D26:L26"/>
    <mergeCell ref="A77:C77"/>
    <mergeCell ref="A17:B17"/>
    <mergeCell ref="A34:C34"/>
    <mergeCell ref="H75:L75"/>
    <mergeCell ref="F18:L18"/>
    <mergeCell ref="J72:L72"/>
    <mergeCell ref="D10:L10"/>
    <mergeCell ref="B49:L49"/>
    <mergeCell ref="K53:L53"/>
    <mergeCell ref="G53:J53"/>
    <mergeCell ref="B64:L64"/>
    <mergeCell ref="F17:L17"/>
    <mergeCell ref="A19:B19"/>
    <mergeCell ref="A36:L36"/>
    <mergeCell ref="B51:L51"/>
    <mergeCell ref="A6:L6"/>
    <mergeCell ref="C20:E20"/>
    <mergeCell ref="B63:L63"/>
    <mergeCell ref="A69:L69"/>
    <mergeCell ref="B50:L50"/>
    <mergeCell ref="I83:L83"/>
    <mergeCell ref="D11:L11"/>
    <mergeCell ref="H78:L78"/>
    <mergeCell ref="A75:C75"/>
    <mergeCell ref="C84:E84"/>
    <mergeCell ref="J70:L70"/>
    <mergeCell ref="A80:L80"/>
    <mergeCell ref="A55:C55"/>
    <mergeCell ref="B66:L66"/>
    <mergeCell ref="A3:L3"/>
    <mergeCell ref="G34:L34"/>
    <mergeCell ref="K55:L55"/>
    <mergeCell ref="I84:L84"/>
    <mergeCell ref="D37:L37"/>
    <mergeCell ref="A32:C32"/>
    <mergeCell ref="D76:E76"/>
    <mergeCell ref="F76:G76"/>
    <mergeCell ref="D9:L9"/>
    <mergeCell ref="D39:L39"/>
    <mergeCell ref="A38:C38"/>
    <mergeCell ref="D75:E75"/>
    <mergeCell ref="D55:F55"/>
    <mergeCell ref="K56:L56"/>
    <mergeCell ref="F75:G75"/>
    <mergeCell ref="C81:E81"/>
    <mergeCell ref="D73:I73"/>
    <mergeCell ref="D38:L38"/>
    <mergeCell ref="A31:C31"/>
    <mergeCell ref="D54:F54"/>
    <mergeCell ref="F21:L21"/>
    <mergeCell ref="G31:L31"/>
    <mergeCell ref="A40:C40"/>
    <mergeCell ref="A58:L58"/>
    <mergeCell ref="A67:L67"/>
    <mergeCell ref="C15:E15"/>
    <mergeCell ref="A24:C24"/>
    <mergeCell ref="A73:C73"/>
    <mergeCell ref="G71:I71"/>
    <mergeCell ref="H77:L77"/>
    <mergeCell ref="D31:F31"/>
    <mergeCell ref="A83:B83"/>
    <mergeCell ref="C16:E16"/>
    <mergeCell ref="A25:C25"/>
    <mergeCell ref="D27:L27"/>
    <mergeCell ref="I82:L82"/>
    <mergeCell ref="D32:F32"/>
    <mergeCell ref="K54:L54"/>
    <mergeCell ref="F81:H81"/>
    <mergeCell ref="G33:L33"/>
    <mergeCell ref="B43:L43"/>
    <mergeCell ref="F14:L14"/>
    <mergeCell ref="A86:L86"/>
    <mergeCell ref="D71:F71"/>
    <mergeCell ref="D28:L28"/>
    <mergeCell ref="B42:L42"/>
    <mergeCell ref="G35:L35"/>
    <mergeCell ref="D25:L25"/>
    <mergeCell ref="D33:F33"/>
    <mergeCell ref="A72:C72"/>
    <mergeCell ref="A28:C28"/>
    <mergeCell ref="A21:B21"/>
    <mergeCell ref="A29:L29"/>
    <mergeCell ref="J71:L71"/>
    <mergeCell ref="F82:H82"/>
    <mergeCell ref="B44:L44"/>
    <mergeCell ref="D35:F35"/>
    <mergeCell ref="A13:L13"/>
    <mergeCell ref="A14:B14"/>
    <mergeCell ref="A30:C30"/>
    <mergeCell ref="G72:I72"/>
    <mergeCell ref="J73:L73"/>
    <mergeCell ref="D34:F34"/>
    <mergeCell ref="F77:G77"/>
    <mergeCell ref="C14:E14"/>
    <mergeCell ref="G70:I70"/>
    <mergeCell ref="A1:F1"/>
    <mergeCell ref="F84:H84"/>
    <mergeCell ref="D40:L40"/>
    <mergeCell ref="A70:C70"/>
    <mergeCell ref="A61:L61"/>
    <mergeCell ref="H76:L76"/>
    <mergeCell ref="A54:C54"/>
    <mergeCell ref="A7:L7"/>
    <mergeCell ref="F78:G78"/>
    <mergeCell ref="A41:L41"/>
    <mergeCell ref="B62:L62"/>
    <mergeCell ref="A82:B82"/>
    <mergeCell ref="D70:F70"/>
    <mergeCell ref="A56:C56"/>
    <mergeCell ref="A27:C27"/>
    <mergeCell ref="G54:J54"/>
    <mergeCell ref="B46:L46"/>
    <mergeCell ref="A74:L74"/>
    <mergeCell ref="D72:F72"/>
    <mergeCell ref="A76:C76"/>
    <mergeCell ref="A16:B16"/>
    <mergeCell ref="A33:C33"/>
    <mergeCell ref="G56:J56"/>
    <mergeCell ref="B48:L48"/>
    <mergeCell ref="A8:C8"/>
    <mergeCell ref="D56:F56"/>
    <mergeCell ref="A84:B84"/>
    <mergeCell ref="C17:E17"/>
    <mergeCell ref="A53:C53"/>
    <mergeCell ref="F16:L16"/>
    <mergeCell ref="A18:B18"/>
    <mergeCell ref="D8:L8"/>
    <mergeCell ref="A35:C35"/>
    <mergeCell ref="C82:E82"/>
    <mergeCell ref="A10:C10"/>
    <mergeCell ref="G1:L1"/>
    <mergeCell ref="C19:E19"/>
    <mergeCell ref="A9:C9"/>
    <mergeCell ref="F20:L20"/>
    <mergeCell ref="F15:L15"/>
    <mergeCell ref="A39:C39"/>
    <mergeCell ref="C83:E83"/>
    <mergeCell ref="B65:L65"/>
    <mergeCell ref="A20:B20"/>
    <mergeCell ref="A11:C11"/>
    <mergeCell ref="A81:B81"/>
    <mergeCell ref="A78:C78"/>
    <mergeCell ref="F83:H83"/>
    <mergeCell ref="B45:L45"/>
  </mergeCells>
  <conditionalFormatting sqref="D76:D78">
    <cfRule type="expression" priority="1" dxfId="2">
      <formula>AND(ISNUMBER(D76),MOD(D76,1)=0)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28" min="0" max="16383" man="1"/>
    <brk id="51" min="0" max="16383" man="1"/>
    <brk id="5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가시설공사 해체계획서</dc:title>
  <dcterms:created xmlns:dcterms="http://purl.org/dc/terms/" xmlns:xsi="http://www.w3.org/2001/XMLSchema-instance" xsi:type="dcterms:W3CDTF">2026-09-29T10:57:41Z</dcterms:created>
  <dcterms:modified xmlns:dcterms="http://purl.org/dc/terms/" xmlns:xsi="http://www.w3.org/2001/XMLSchema-instance" xsi:type="dcterms:W3CDTF">2026-09-29T10:57:42Z</dcterms:modified>
</cp:coreProperties>
</file>