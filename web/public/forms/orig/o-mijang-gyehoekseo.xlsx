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시공관리" sheetId="3" state="visible" r:id="rId3"/>
    <sheet xmlns:r="http://schemas.openxmlformats.org/officeDocument/2006/relationships" name="검측체크" sheetId="4" state="visible" r:id="rId4"/>
    <sheet xmlns:r="http://schemas.openxmlformats.org/officeDocument/2006/relationships" name="공정표" sheetId="5" state="visible" r:id="rId5"/>
    <sheet xmlns:r="http://schemas.openxmlformats.org/officeDocument/2006/relationships" name="관리계획" sheetId="6" state="visible" r:id="rId6"/>
    <sheet xmlns:r="http://schemas.openxmlformats.org/officeDocument/2006/relationships" name="예시-표지" sheetId="7" state="visible" r:id="rId7"/>
    <sheet xmlns:r="http://schemas.openxmlformats.org/officeDocument/2006/relationships" name="예시-개요" sheetId="8" state="visible" r:id="rId8"/>
    <sheet xmlns:r="http://schemas.openxmlformats.org/officeDocument/2006/relationships" name="예시-시공관리" sheetId="9" state="visible" r:id="rId9"/>
    <sheet xmlns:r="http://schemas.openxmlformats.org/officeDocument/2006/relationships" name="예시-검측체크" sheetId="10" state="visible" r:id="rId10"/>
    <sheet xmlns:r="http://schemas.openxmlformats.org/officeDocument/2006/relationships" name="예시-공정표" sheetId="11" state="visible" r:id="rId11"/>
    <sheet xmlns:r="http://schemas.openxmlformats.org/officeDocument/2006/relationships" name="예시-관리계획" sheetId="12" state="visible" r:id="rId12"/>
  </sheets>
  <definedNames>
    <definedName name="_xlnm.Print_Area" localSheetId="0">'표지'!$A$1:$L$10</definedName>
    <definedName name="_xlnm.Print_Area" localSheetId="1">'개요'!$A$1:$L$77</definedName>
    <definedName name="_xlnm.Print_Area" localSheetId="2">'시공관리'!$A$1:$L$133</definedName>
    <definedName name="_xlnm.Print_Area" localSheetId="3">'검측체크'!$A$1:$L$95</definedName>
    <definedName name="_xlnm.Print_Area" localSheetId="4">'공정표'!$A$1:$AO$22</definedName>
    <definedName name="_xlnm.Print_Area" localSheetId="5">'관리계획'!$A$1:$L$79</definedName>
    <definedName name="_xlnm.Print_Area" localSheetId="6">'예시-표지'!$A$1:$L$10</definedName>
    <definedName name="_xlnm.Print_Area" localSheetId="7">'예시-개요'!$A$1:$L$77</definedName>
    <definedName name="_xlnm.Print_Area" localSheetId="8">'예시-시공관리'!$A$1:$L$133</definedName>
    <definedName name="_xlnm.Print_Area" localSheetId="9">'예시-검측체크'!$A$1:$L$95</definedName>
    <definedName name="_xlnm.Print_Area" localSheetId="10">'예시-공정표'!$A$1:$AO$22</definedName>
    <definedName name="_xlnm.Print_Area" localSheetId="11">'예시-관리계획'!$A$1:$L$79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yyyy&quot;. &quot;m&quot;.&quot;"/>
    <numFmt numFmtId="165" formatCode="yyyy. m. d."/>
    <numFmt numFmtId="166" formatCode="&quot;(총 &quot;#,##0&quot;일)&quot;;;&quot;&quot;"/>
    <numFmt numFmtId="167" formatCode="&quot;₩&quot;#,##0;;&quot;&quot;"/>
    <numFmt numFmtId="168" formatCode="[DBNum4][$-412]&quot;일금 &quot;General&quot;원정&quot;;;&quot;&quot;"/>
    <numFmt numFmtId="169" formatCode="#,##0.##;;&quot;&quot;"/>
    <numFmt numFmtId="170" formatCode="#,##0.##"/>
    <numFmt numFmtId="171" formatCode="#,##0&quot;인&quot;;;&quot;&quot;"/>
    <numFmt numFmtId="172" formatCode="#,##0&quot;인&quot;"/>
    <numFmt numFmtId="173" formatCode="yyyy&quot;년&quot; m&quot;월&quot; d&quot;일&quot;"/>
    <numFmt numFmtId="174" formatCode="yy&quot;.&quot;m;;&quot;&quot;"/>
    <numFmt numFmtId="175" formatCode="yyyy-mm-dd"/>
    <numFmt numFmtId="176" formatCode="#,##0;;&quot;&quot;"/>
  </numFmts>
  <fonts count="33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30"/>
    </font>
    <font>
      <name val="맑은 고딕"/>
      <b val="1"/>
      <color rgb="00374151"/>
      <sz val="1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F2937"/>
      <sz val="13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9.5"/>
    </font>
    <font>
      <name val="맑은 고딕"/>
      <color rgb="00000000"/>
      <sz val="9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color rgb="00000000"/>
      <sz val="9"/>
    </font>
    <font>
      <name val="맑은 고딕"/>
      <b val="1"/>
      <color rgb="00111827"/>
      <sz val="11.5"/>
    </font>
    <font>
      <name val="맑은 고딕"/>
      <b val="1"/>
      <color rgb="001F2937"/>
      <sz val="10.5"/>
    </font>
    <font>
      <name val="맑은 고딕"/>
      <b val="1"/>
      <color rgb="00111827"/>
      <sz val="17"/>
    </font>
    <font>
      <name val="맑은 고딕"/>
      <b val="1"/>
      <color rgb="001F2937"/>
      <sz val="9"/>
    </font>
    <font>
      <name val="맑은 고딕"/>
      <b val="1"/>
      <color rgb="001F2937"/>
      <sz val="8.5"/>
    </font>
    <font>
      <name val="맑은 고딕"/>
      <color rgb="00000000"/>
      <sz val="8"/>
    </font>
    <font>
      <name val="맑은 고딕"/>
      <b val="1"/>
      <color rgb="00111827"/>
      <sz val="16"/>
    </font>
    <font>
      <name val="맑은 고딕"/>
      <color rgb="001F2937"/>
      <sz val="7.5"/>
    </font>
    <font>
      <name val="맑은 고딕"/>
      <b val="1"/>
      <color rgb="001F2937"/>
      <sz val="7"/>
    </font>
    <font>
      <name val="맑은 고딕"/>
      <color rgb="001F2937"/>
      <sz val="7"/>
    </font>
    <font>
      <name val="맑은 고딕"/>
      <color rgb="00000000"/>
      <sz val="8.5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5" fontId="14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shrinkToFit="1"/>
    </xf>
    <xf numFmtId="167" fontId="14" fillId="0" borderId="1" applyAlignment="1" pivotButton="0" quotePrefix="0" xfId="0">
      <alignment horizontal="right" vertical="center" shrinkToFit="1"/>
    </xf>
    <xf numFmtId="168" fontId="15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right" vertical="center" shrinkToFit="1"/>
    </xf>
    <xf numFmtId="0" fontId="19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170" fontId="13" fillId="3" borderId="1" applyAlignment="1" pivotButton="0" quotePrefix="0" xfId="0">
      <alignment horizontal="right" vertical="center" shrinkToFit="1"/>
    </xf>
    <xf numFmtId="0" fontId="14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shrinkToFit="1"/>
    </xf>
    <xf numFmtId="172" fontId="13" fillId="3" borderId="1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 indent="2"/>
    </xf>
    <xf numFmtId="0" fontId="9" fillId="0" borderId="0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right" vertical="bottom" wrapText="1"/>
    </xf>
    <xf numFmtId="0" fontId="26" fillId="0" borderId="0" applyAlignment="1" pivotButton="0" quotePrefix="0" xfId="0">
      <alignment horizontal="center" vertical="center" wrapText="1"/>
    </xf>
    <xf numFmtId="173" fontId="9" fillId="3" borderId="1" applyAlignment="1" pivotButton="0" quotePrefix="0" xfId="0">
      <alignment horizontal="center" vertical="center" wrapText="1"/>
    </xf>
    <xf numFmtId="174" fontId="27" fillId="4" borderId="1" applyAlignment="1" pivotButton="0" quotePrefix="0" xfId="0">
      <alignment horizontal="center" vertical="center" shrinkToFit="1"/>
    </xf>
    <xf numFmtId="0" fontId="28" fillId="4" borderId="1" applyAlignment="1" pivotButton="0" quotePrefix="0" xfId="0">
      <alignment horizontal="center" vertical="center" wrapText="1"/>
    </xf>
    <xf numFmtId="175" fontId="29" fillId="0" borderId="0" applyAlignment="1" pivotButton="0" quotePrefix="0" xfId="0">
      <alignment horizontal="left" vertical="center" wrapText="1"/>
    </xf>
    <xf numFmtId="165" fontId="30" fillId="0" borderId="1" applyAlignment="1" pivotButton="0" quotePrefix="0" xfId="0">
      <alignment horizontal="center" vertical="center" shrinkToFit="1"/>
    </xf>
    <xf numFmtId="176" fontId="31" fillId="3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numFmt numFmtId="300" formatCode="#,##0;;&quot;&quot;"/>
    </dxf>
    <dxf>
      <numFmt numFmtId="301" formatCode="#,##0"/>
    </dxf>
    <dxf>
      <fill>
        <patternFill patternType="solid">
          <fgColor rgb="002F5597"/>
          <bgColor rgb="002F559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90" customHeight="1"/>
    <row r="3" ht="40" customHeight="1">
      <c r="A3" s="3" t="inlineStr">
        <is>
          <t>(공 사 명)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미장공사 ]</t>
        </is>
      </c>
    </row>
    <row r="7" ht="120" customHeight="1"/>
    <row r="8" ht="32" customHeight="1">
      <c r="A8" s="6" t="inlineStr">
        <is>
          <t>20    .    .</t>
        </is>
      </c>
    </row>
    <row r="9" ht="110" customHeight="1"/>
    <row r="10" ht="44" customHeight="1">
      <c r="A10" s="7" t="inlineStr">
        <is>
          <t>(회 사 명)</t>
        </is>
      </c>
    </row>
    <row r="12" ht="19.5" customHeight="1">
      <c r="A12" s="8" t="inlineStr">
        <is>
          <t>공사명 · 작성 연월(2026-03 처럼) · 회사명을 여기 한 번만 적으면 뒤 장에 저절로 들어갑니다.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  사    명</t>
        </is>
      </c>
      <c r="K5" s="10" t="inlineStr"/>
    </row>
    <row r="6" ht="30" customHeight="1">
      <c r="A6" s="10" t="inlineStr"/>
      <c r="C6" s="11" t="inlineStr">
        <is>
          <t>2.  공  사  개  요</t>
        </is>
      </c>
      <c r="K6" s="10" t="inlineStr"/>
    </row>
    <row r="7" ht="30" customHeight="1">
      <c r="A7" s="10" t="inlineStr"/>
      <c r="C7" s="11" t="inlineStr">
        <is>
          <t>3.  공  사  위  치</t>
        </is>
      </c>
      <c r="K7" s="10" t="inlineStr"/>
    </row>
    <row r="8" ht="30" customHeight="1">
      <c r="A8" s="10" t="inlineStr"/>
      <c r="C8" s="11" t="inlineStr">
        <is>
          <t>4.  주요 공사 물량</t>
        </is>
      </c>
      <c r="K8" s="10" t="inlineStr"/>
    </row>
    <row r="9" ht="30" customHeight="1">
      <c r="A9" s="10" t="inlineStr"/>
      <c r="C9" s="11" t="inlineStr">
        <is>
          <t>5.  현 장  조 직 도</t>
        </is>
      </c>
      <c r="K9" s="10" t="inlineStr"/>
    </row>
    <row r="10" ht="30" customHeight="1">
      <c r="A10" s="10" t="inlineStr"/>
      <c r="C10" s="11" t="inlineStr">
        <is>
          <t>6.  시  공  관  리</t>
        </is>
      </c>
      <c r="K10" s="10" t="inlineStr"/>
    </row>
    <row r="11" ht="30" customHeight="1">
      <c r="A11" s="10" t="inlineStr"/>
      <c r="C11" s="11" t="inlineStr">
        <is>
          <t>7.  예 정  공 정 표</t>
        </is>
      </c>
      <c r="K11" s="10" t="inlineStr"/>
    </row>
    <row r="12" ht="30" customHeight="1">
      <c r="A12" s="10" t="inlineStr"/>
      <c r="C12" s="11" t="inlineStr">
        <is>
          <t>8.  품 질  관 리  계 획</t>
        </is>
      </c>
      <c r="K12" s="10" t="inlineStr"/>
    </row>
    <row r="13" ht="30" customHeight="1">
      <c r="A13" s="10" t="inlineStr"/>
      <c r="C13" s="11" t="inlineStr">
        <is>
          <t>9.  환 경  관 리  계 획</t>
        </is>
      </c>
      <c r="K13" s="10" t="inlineStr"/>
    </row>
    <row r="14" ht="30" customHeight="1">
      <c r="A14" s="10" t="inlineStr"/>
      <c r="C14" s="11" t="inlineStr">
        <is>
          <t>10. 안 전  관 리  계 획</t>
        </is>
      </c>
      <c r="K14" s="10" t="inlineStr"/>
    </row>
    <row r="15" ht="4" customHeight="1"/>
    <row r="16" ht="30" customHeight="1">
      <c r="A16" s="12" t="inlineStr">
        <is>
          <t>1.0   공 사 명</t>
        </is>
      </c>
    </row>
    <row r="17" ht="4" customHeight="1"/>
    <row r="18" ht="30" customHeight="1">
      <c r="A18" s="10" t="inlineStr"/>
      <c r="B18" s="13">
        <f>IF(OR('표지'!A3="",'표지'!A3="(공 사 명)"),"","◦ "&amp;'표지'!A3)</f>
        <v/>
      </c>
    </row>
    <row r="19" ht="4" customHeight="1"/>
    <row r="20" ht="30" customHeight="1">
      <c r="A20" s="12" t="inlineStr">
        <is>
          <t>2.0   공 사 개 요</t>
        </is>
      </c>
    </row>
    <row r="21" ht="4" customHeight="1"/>
    <row r="22" ht="28" customHeight="1">
      <c r="A22" s="14" t="inlineStr">
        <is>
          <t>공 사 명</t>
        </is>
      </c>
      <c r="B22" s="15" t="n"/>
      <c r="C22" s="15" t="n"/>
      <c r="D22" s="16">
        <f>IF(OR('표지'!A3="",'표지'!A3="(공 사 명)"),"",'표지'!A3)</f>
        <v/>
      </c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26" customHeight="1">
      <c r="A23" s="14" t="inlineStr">
        <is>
          <t>공 사 위 치</t>
        </is>
      </c>
      <c r="B23" s="15" t="n"/>
      <c r="C23" s="15" t="n"/>
      <c r="D23" s="17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 ht="26" customHeight="1">
      <c r="A24" s="14" t="inlineStr">
        <is>
          <t>발  주  처</t>
        </is>
      </c>
      <c r="B24" s="15" t="n"/>
      <c r="C24" s="15" t="n"/>
      <c r="D24" s="17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26" customHeight="1">
      <c r="A25" s="14" t="inlineStr">
        <is>
          <t>공 사 기 간</t>
        </is>
      </c>
      <c r="B25" s="15" t="n"/>
      <c r="C25" s="15" t="n"/>
      <c r="D25" s="18" t="n"/>
      <c r="E25" s="15" t="n"/>
      <c r="F25" s="19" t="inlineStr">
        <is>
          <t>~</t>
        </is>
      </c>
      <c r="G25" s="18" t="n"/>
      <c r="H25" s="15" t="n"/>
      <c r="I25" s="20">
        <f>IF(OR(N(D25)=0,N(G25)=0),"",IF(G25&lt;D25,"⚠ 준공일이 착공일보다 빠름",G25-D25+1))</f>
        <v/>
      </c>
      <c r="J25" s="15" t="n"/>
      <c r="K25" s="15" t="n"/>
      <c r="L25" s="15" t="n"/>
    </row>
    <row r="26" ht="26" customHeight="1">
      <c r="A26" s="14" t="inlineStr">
        <is>
          <t>공 사 금 액</t>
        </is>
      </c>
      <c r="B26" s="15" t="n"/>
      <c r="C26" s="15" t="n"/>
      <c r="D26" s="21" t="n"/>
      <c r="E26" s="15" t="n"/>
      <c r="F26" s="15" t="n"/>
      <c r="G26" s="22">
        <f>IF(N(D26)=0,"",D26)</f>
        <v/>
      </c>
      <c r="H26" s="15" t="n"/>
      <c r="I26" s="15" t="n"/>
      <c r="J26" s="15" t="n"/>
      <c r="K26" s="15" t="n"/>
      <c r="L26" s="15" t="n"/>
    </row>
    <row r="27" ht="26" customHeight="1">
      <c r="A27" s="14" t="inlineStr">
        <is>
          <t>공 사 규 모</t>
        </is>
      </c>
      <c r="B27" s="15" t="n"/>
      <c r="C27" s="15" t="n"/>
      <c r="D27" s="23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26" customHeight="1">
      <c r="A28" s="14" t="inlineStr">
        <is>
          <t>시  공  사</t>
        </is>
      </c>
      <c r="B28" s="15" t="n"/>
      <c r="C28" s="15" t="n"/>
      <c r="D28" s="16">
        <f>IF(OR('표지'!A10="",'표지'!A10="(회 사 명)"),"",'표지'!A10)</f>
        <v/>
      </c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4" customHeight="1"/>
    <row r="30" ht="30" customHeight="1">
      <c r="A30" s="12" t="inlineStr">
        <is>
          <t>3.0   공 사 위 치</t>
        </is>
      </c>
    </row>
    <row r="31" ht="4" customHeight="1"/>
    <row r="32" ht="20" customHeight="1">
      <c r="A32" s="24" t="inlineStr">
        <is>
          <t>(위치도를 붙이는 곳 — 현장 위치와 미장 공사 구간을 표시)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2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0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4" customHeight="1"/>
    <row r="45" ht="30" customHeight="1">
      <c r="A45" s="12" t="inlineStr">
        <is>
          <t>4.0   주요 공사 물량</t>
        </is>
      </c>
    </row>
    <row r="46" ht="4" customHeight="1"/>
    <row r="47" ht="24" customHeight="1">
      <c r="A47" s="25" t="inlineStr">
        <is>
          <t>구  분</t>
        </is>
      </c>
      <c r="B47" s="15" t="n"/>
      <c r="C47" s="25" t="inlineStr">
        <is>
          <t>명  칭</t>
        </is>
      </c>
      <c r="D47" s="15" t="n"/>
      <c r="E47" s="15" t="n"/>
      <c r="F47" s="25" t="inlineStr">
        <is>
          <t>규  격</t>
        </is>
      </c>
      <c r="G47" s="15" t="n"/>
      <c r="H47" s="25" t="inlineStr">
        <is>
          <t>수  량</t>
        </is>
      </c>
      <c r="I47" s="15" t="n"/>
      <c r="J47" s="25" t="inlineStr">
        <is>
          <t>단위</t>
        </is>
      </c>
      <c r="K47" s="25" t="inlineStr">
        <is>
          <t>비  고</t>
        </is>
      </c>
      <c r="L47" s="15" t="n"/>
    </row>
    <row r="48" ht="23" customHeight="1">
      <c r="A48" s="26" t="n"/>
      <c r="B48" s="15" t="n"/>
      <c r="C48" s="23" t="n"/>
      <c r="D48" s="15" t="n"/>
      <c r="E48" s="15" t="n"/>
      <c r="F48" s="27" t="n"/>
      <c r="G48" s="15" t="n"/>
      <c r="H48" s="28" t="n"/>
      <c r="I48" s="15" t="n"/>
      <c r="J48" s="26" t="n"/>
      <c r="K48" s="29" t="n"/>
      <c r="L48" s="15" t="n"/>
    </row>
    <row r="49" ht="23" customHeight="1">
      <c r="A49" s="26" t="n"/>
      <c r="B49" s="15" t="n"/>
      <c r="C49" s="23" t="n"/>
      <c r="D49" s="15" t="n"/>
      <c r="E49" s="15" t="n"/>
      <c r="F49" s="27" t="n"/>
      <c r="G49" s="15" t="n"/>
      <c r="H49" s="28" t="n"/>
      <c r="I49" s="15" t="n"/>
      <c r="J49" s="26" t="n"/>
      <c r="K49" s="29" t="n"/>
      <c r="L49" s="15" t="n"/>
    </row>
    <row r="50" ht="23" customHeight="1">
      <c r="A50" s="26" t="n"/>
      <c r="B50" s="15" t="n"/>
      <c r="C50" s="23" t="n"/>
      <c r="D50" s="15" t="n"/>
      <c r="E50" s="15" t="n"/>
      <c r="F50" s="27" t="n"/>
      <c r="G50" s="15" t="n"/>
      <c r="H50" s="28" t="n"/>
      <c r="I50" s="15" t="n"/>
      <c r="J50" s="26" t="n"/>
      <c r="K50" s="29" t="n"/>
      <c r="L50" s="15" t="n"/>
    </row>
    <row r="51" ht="23" customHeight="1">
      <c r="A51" s="26" t="n"/>
      <c r="B51" s="15" t="n"/>
      <c r="C51" s="23" t="n"/>
      <c r="D51" s="15" t="n"/>
      <c r="E51" s="15" t="n"/>
      <c r="F51" s="27" t="n"/>
      <c r="G51" s="15" t="n"/>
      <c r="H51" s="28" t="n"/>
      <c r="I51" s="15" t="n"/>
      <c r="J51" s="26" t="n"/>
      <c r="K51" s="29" t="n"/>
      <c r="L51" s="15" t="n"/>
    </row>
    <row r="52" ht="23" customHeight="1">
      <c r="A52" s="26" t="n"/>
      <c r="B52" s="15" t="n"/>
      <c r="C52" s="23" t="n"/>
      <c r="D52" s="15" t="n"/>
      <c r="E52" s="15" t="n"/>
      <c r="F52" s="27" t="n"/>
      <c r="G52" s="15" t="n"/>
      <c r="H52" s="28" t="n"/>
      <c r="I52" s="15" t="n"/>
      <c r="J52" s="26" t="n"/>
      <c r="K52" s="29" t="n"/>
      <c r="L52" s="15" t="n"/>
    </row>
    <row r="53" ht="23" customHeight="1">
      <c r="A53" s="26" t="n"/>
      <c r="B53" s="15" t="n"/>
      <c r="C53" s="23" t="n"/>
      <c r="D53" s="15" t="n"/>
      <c r="E53" s="15" t="n"/>
      <c r="F53" s="27" t="n"/>
      <c r="G53" s="15" t="n"/>
      <c r="H53" s="28" t="n"/>
      <c r="I53" s="15" t="n"/>
      <c r="J53" s="26" t="n"/>
      <c r="K53" s="29" t="n"/>
      <c r="L53" s="15" t="n"/>
    </row>
    <row r="54" ht="23" customHeight="1">
      <c r="A54" s="26" t="n"/>
      <c r="B54" s="15" t="n"/>
      <c r="C54" s="23" t="n"/>
      <c r="D54" s="15" t="n"/>
      <c r="E54" s="15" t="n"/>
      <c r="F54" s="27" t="n"/>
      <c r="G54" s="15" t="n"/>
      <c r="H54" s="28" t="n"/>
      <c r="I54" s="15" t="n"/>
      <c r="J54" s="26" t="n"/>
      <c r="K54" s="29" t="n"/>
      <c r="L54" s="15" t="n"/>
    </row>
    <row r="55" ht="23" customHeight="1">
      <c r="A55" s="26" t="n"/>
      <c r="B55" s="15" t="n"/>
      <c r="C55" s="23" t="n"/>
      <c r="D55" s="15" t="n"/>
      <c r="E55" s="15" t="n"/>
      <c r="F55" s="27" t="n"/>
      <c r="G55" s="15" t="n"/>
      <c r="H55" s="28" t="n"/>
      <c r="I55" s="15" t="n"/>
      <c r="J55" s="26" t="n"/>
      <c r="K55" s="29" t="n"/>
      <c r="L55" s="15" t="n"/>
    </row>
    <row r="56" ht="23" customHeight="1">
      <c r="A56" s="26" t="n"/>
      <c r="B56" s="15" t="n"/>
      <c r="C56" s="23" t="n"/>
      <c r="D56" s="15" t="n"/>
      <c r="E56" s="15" t="n"/>
      <c r="F56" s="27" t="n"/>
      <c r="G56" s="15" t="n"/>
      <c r="H56" s="28" t="n"/>
      <c r="I56" s="15" t="n"/>
      <c r="J56" s="26" t="n"/>
      <c r="K56" s="29" t="n"/>
      <c r="L56" s="15" t="n"/>
    </row>
    <row r="57" ht="23" customHeight="1">
      <c r="A57" s="26" t="n"/>
      <c r="B57" s="15" t="n"/>
      <c r="C57" s="23" t="n"/>
      <c r="D57" s="15" t="n"/>
      <c r="E57" s="15" t="n"/>
      <c r="F57" s="27" t="n"/>
      <c r="G57" s="15" t="n"/>
      <c r="H57" s="28" t="n"/>
      <c r="I57" s="15" t="n"/>
      <c r="J57" s="26" t="n"/>
      <c r="K57" s="29" t="n"/>
      <c r="L57" s="15" t="n"/>
    </row>
    <row r="58" ht="23" customHeight="1">
      <c r="A58" s="26" t="n"/>
      <c r="B58" s="15" t="n"/>
      <c r="C58" s="23" t="n"/>
      <c r="D58" s="15" t="n"/>
      <c r="E58" s="15" t="n"/>
      <c r="F58" s="27" t="n"/>
      <c r="G58" s="15" t="n"/>
      <c r="H58" s="28" t="n"/>
      <c r="I58" s="15" t="n"/>
      <c r="J58" s="26" t="n"/>
      <c r="K58" s="29" t="n"/>
      <c r="L58" s="15" t="n"/>
    </row>
    <row r="59" ht="23" customHeight="1">
      <c r="A59" s="26" t="n"/>
      <c r="B59" s="15" t="n"/>
      <c r="C59" s="23" t="n"/>
      <c r="D59" s="15" t="n"/>
      <c r="E59" s="15" t="n"/>
      <c r="F59" s="27" t="n"/>
      <c r="G59" s="15" t="n"/>
      <c r="H59" s="28" t="n"/>
      <c r="I59" s="15" t="n"/>
      <c r="J59" s="26" t="n"/>
      <c r="K59" s="29" t="n"/>
      <c r="L59" s="15" t="n"/>
    </row>
    <row r="60" ht="24" customHeight="1">
      <c r="A60" s="30" t="inlineStr">
        <is>
          <t>합   계 (단위가 ㎡ 인 줄)</t>
        </is>
      </c>
      <c r="B60" s="15" t="n"/>
      <c r="C60" s="15" t="n"/>
      <c r="D60" s="15" t="n"/>
      <c r="E60" s="15" t="n"/>
      <c r="F60" s="15" t="n"/>
      <c r="G60" s="15" t="n"/>
      <c r="H60" s="31">
        <f>IF(SUMIF(J48:J59,"㎡",H48:H59)+SUMIF(J48:J59,"m2",H48:H59)=0,"",SUMIF(J48:J59,"㎡",H48:H59)+SUMIF(J48:J59,"m2",H48:H59))</f>
        <v/>
      </c>
      <c r="I60" s="15" t="n"/>
      <c r="J60" s="30" t="inlineStr">
        <is>
          <t>㎡</t>
        </is>
      </c>
      <c r="K60" s="30" t="inlineStr"/>
      <c r="L60" s="15" t="n"/>
    </row>
    <row r="61" ht="4" customHeight="1"/>
    <row r="62" ht="30" customHeight="1">
      <c r="A62" s="12" t="inlineStr">
        <is>
          <t>5.0   현 장  조 직 도</t>
        </is>
      </c>
    </row>
    <row r="63" ht="4" customHeight="1"/>
    <row r="64" ht="24" customHeight="1">
      <c r="A64" s="10" t="inlineStr"/>
      <c r="E64" s="14" t="inlineStr">
        <is>
          <t>현 장 대 리 인</t>
        </is>
      </c>
      <c r="F64" s="15" t="n"/>
      <c r="G64" s="15" t="n"/>
      <c r="H64" s="15" t="n"/>
      <c r="I64" s="10" t="inlineStr"/>
    </row>
    <row r="65" ht="24" customHeight="1">
      <c r="A65" s="10" t="inlineStr"/>
      <c r="E65" s="32" t="n"/>
      <c r="F65" s="15" t="n"/>
      <c r="G65" s="15" t="n"/>
      <c r="H65" s="15" t="n"/>
      <c r="I65" s="10" t="inlineStr"/>
    </row>
    <row r="66" ht="14" customHeight="1">
      <c r="A66" s="33" t="inlineStr">
        <is>
          <t>│</t>
        </is>
      </c>
    </row>
    <row r="67" ht="24" customHeight="1">
      <c r="A67" s="10" t="inlineStr"/>
      <c r="B67" s="14" t="inlineStr">
        <is>
          <t>품 질 관 리 자</t>
        </is>
      </c>
      <c r="C67" s="15" t="n"/>
      <c r="D67" s="15" t="n"/>
      <c r="E67" s="15" t="n"/>
      <c r="F67" s="34" t="inlineStr">
        <is>
          <t>─┼─</t>
        </is>
      </c>
      <c r="H67" s="14" t="inlineStr">
        <is>
          <t>안 전 관 리 자</t>
        </is>
      </c>
      <c r="I67" s="15" t="n"/>
      <c r="J67" s="15" t="n"/>
      <c r="K67" s="15" t="n"/>
      <c r="L67" s="10" t="inlineStr"/>
    </row>
    <row r="68" ht="24" customHeight="1">
      <c r="A68" s="10" t="inlineStr"/>
      <c r="B68" s="32" t="n"/>
      <c r="C68" s="15" t="n"/>
      <c r="D68" s="15" t="n"/>
      <c r="E68" s="15" t="n"/>
      <c r="F68" s="34" t="inlineStr">
        <is>
          <t>│</t>
        </is>
      </c>
      <c r="H68" s="32" t="n"/>
      <c r="I68" s="15" t="n"/>
      <c r="J68" s="15" t="n"/>
      <c r="K68" s="15" t="n"/>
      <c r="L68" s="10" t="inlineStr"/>
    </row>
    <row r="69" ht="14" customHeight="1">
      <c r="A69" s="33" t="inlineStr">
        <is>
          <t>│</t>
        </is>
      </c>
    </row>
    <row r="70" ht="24" customHeight="1">
      <c r="A70" s="10" t="inlineStr"/>
      <c r="E70" s="14" t="inlineStr">
        <is>
          <t>시 공 업 체</t>
        </is>
      </c>
      <c r="F70" s="15" t="n"/>
      <c r="G70" s="15" t="n"/>
      <c r="H70" s="15" t="n"/>
      <c r="I70" s="10" t="inlineStr"/>
    </row>
    <row r="71" ht="24" customHeight="1">
      <c r="A71" s="10" t="inlineStr"/>
      <c r="E71" s="32" t="n"/>
      <c r="F71" s="15" t="n"/>
      <c r="G71" s="15" t="n"/>
      <c r="H71" s="15" t="n"/>
      <c r="I71" s="10" t="inlineStr"/>
    </row>
    <row r="72" ht="14" customHeight="1">
      <c r="A72" s="33" t="inlineStr">
        <is>
          <t>│</t>
        </is>
      </c>
    </row>
    <row r="73" ht="24" customHeight="1">
      <c r="A73" s="10" t="inlineStr"/>
      <c r="E73" s="14" t="inlineStr">
        <is>
          <t>작 업 팀 장</t>
        </is>
      </c>
      <c r="F73" s="15" t="n"/>
      <c r="G73" s="15" t="n"/>
      <c r="H73" s="15" t="n"/>
      <c r="I73" s="10" t="inlineStr"/>
    </row>
    <row r="74" ht="24" customHeight="1">
      <c r="A74" s="10" t="inlineStr"/>
      <c r="E74" s="32" t="n"/>
      <c r="F74" s="15" t="n"/>
      <c r="G74" s="15" t="n"/>
      <c r="H74" s="15" t="n"/>
      <c r="I74" s="10" t="inlineStr"/>
    </row>
    <row r="75" ht="14" customHeight="1">
      <c r="A75" s="33" t="inlineStr">
        <is>
          <t>┌──────────┼──────────┐</t>
        </is>
      </c>
    </row>
    <row r="76" ht="24" customHeight="1">
      <c r="A76" s="25" t="inlineStr">
        <is>
          <t>장비기사</t>
        </is>
      </c>
      <c r="B76" s="15" t="n"/>
      <c r="C76" s="25" t="inlineStr">
        <is>
          <t>미장공</t>
        </is>
      </c>
      <c r="D76" s="15" t="n"/>
      <c r="E76" s="25" t="inlineStr">
        <is>
          <t>특별인부</t>
        </is>
      </c>
      <c r="F76" s="15" t="n"/>
      <c r="G76" s="25" t="inlineStr">
        <is>
          <t>보통인부</t>
        </is>
      </c>
      <c r="H76" s="15" t="n"/>
      <c r="I76" s="30" t="inlineStr">
        <is>
          <t>합  계</t>
        </is>
      </c>
      <c r="J76" s="15" t="n"/>
      <c r="K76" s="15" t="n"/>
      <c r="L76" s="15" t="n"/>
    </row>
    <row r="77" ht="24" customHeight="1">
      <c r="A77" s="35" t="n">
        <v>1</v>
      </c>
      <c r="B77" s="15" t="n"/>
      <c r="C77" s="35" t="n">
        <v>4</v>
      </c>
      <c r="D77" s="15" t="n"/>
      <c r="E77" s="35" t="n">
        <v>5</v>
      </c>
      <c r="F77" s="15" t="n"/>
      <c r="G77" s="35" t="n">
        <v>2</v>
      </c>
      <c r="H77" s="15" t="n"/>
      <c r="I77" s="36">
        <f>IF(SUM(A77,C77,E77,G77)=0,"",SUM(A77,C77,E77,G77))</f>
        <v/>
      </c>
      <c r="J77" s="15" t="n"/>
      <c r="K77" s="15" t="n"/>
      <c r="L77" s="15" t="n"/>
    </row>
    <row r="79" ht="34" customHeight="1">
      <c r="A79" s="8" t="inlineStr">
        <is>
          <t>하늘색 칸 = 자동(공사명 · 시공사 · 공사기간 일수 · 금액 한글 · ㎡ 합계 · 인원 합계). 인원은 원본 계획서 인원을 넣어 두었습니다.</t>
        </is>
      </c>
    </row>
  </sheetData>
  <mergeCells count="164">
    <mergeCell ref="H53:I53"/>
    <mergeCell ref="K49:L49"/>
    <mergeCell ref="A51:B51"/>
    <mergeCell ref="F68:G68"/>
    <mergeCell ref="B68:E68"/>
    <mergeCell ref="H55:I55"/>
    <mergeCell ref="A26:C26"/>
    <mergeCell ref="C51:E51"/>
    <mergeCell ref="A54:B54"/>
    <mergeCell ref="A7:B7"/>
    <mergeCell ref="A23:C23"/>
    <mergeCell ref="K50:L50"/>
    <mergeCell ref="A64:D64"/>
    <mergeCell ref="H67:K67"/>
    <mergeCell ref="A73:D73"/>
    <mergeCell ref="A56:B56"/>
    <mergeCell ref="E71:H71"/>
    <mergeCell ref="H52:I52"/>
    <mergeCell ref="K58:L58"/>
    <mergeCell ref="D24:L24"/>
    <mergeCell ref="K52:L52"/>
    <mergeCell ref="A70:D70"/>
    <mergeCell ref="C57:E57"/>
    <mergeCell ref="E64:H64"/>
    <mergeCell ref="A76:B76"/>
    <mergeCell ref="C11:J11"/>
    <mergeCell ref="E73:H73"/>
    <mergeCell ref="C76:D76"/>
    <mergeCell ref="C49:E49"/>
    <mergeCell ref="I76:L76"/>
    <mergeCell ref="I25:L25"/>
    <mergeCell ref="F56:G56"/>
    <mergeCell ref="A53:B53"/>
    <mergeCell ref="K53:L53"/>
    <mergeCell ref="E65:H65"/>
    <mergeCell ref="E74:H74"/>
    <mergeCell ref="C13:J13"/>
    <mergeCell ref="A9:B9"/>
    <mergeCell ref="K13:L13"/>
    <mergeCell ref="F57:G57"/>
    <mergeCell ref="A69:L69"/>
    <mergeCell ref="A48:B48"/>
    <mergeCell ref="G77:H77"/>
    <mergeCell ref="A59:B59"/>
    <mergeCell ref="F54:G54"/>
    <mergeCell ref="A11:B11"/>
    <mergeCell ref="H54:I54"/>
    <mergeCell ref="A75:L75"/>
    <mergeCell ref="H50:I50"/>
    <mergeCell ref="C59:E59"/>
    <mergeCell ref="A3:L3"/>
    <mergeCell ref="K55:L55"/>
    <mergeCell ref="B18:L18"/>
    <mergeCell ref="H56:I56"/>
    <mergeCell ref="K51:L51"/>
    <mergeCell ref="C52:E52"/>
    <mergeCell ref="C10:J10"/>
    <mergeCell ref="A32:L43"/>
    <mergeCell ref="H49:I49"/>
    <mergeCell ref="C48:E48"/>
    <mergeCell ref="I77:L77"/>
    <mergeCell ref="C9:J9"/>
    <mergeCell ref="K56:L56"/>
    <mergeCell ref="F47:G47"/>
    <mergeCell ref="I70:L70"/>
    <mergeCell ref="D23:L23"/>
    <mergeCell ref="A8:B8"/>
    <mergeCell ref="A24:C24"/>
    <mergeCell ref="B67:E67"/>
    <mergeCell ref="F48:G48"/>
    <mergeCell ref="A52:B52"/>
    <mergeCell ref="I71:L71"/>
    <mergeCell ref="H48:I48"/>
    <mergeCell ref="A74:D74"/>
    <mergeCell ref="E76:F76"/>
    <mergeCell ref="G76:H76"/>
    <mergeCell ref="G25:H25"/>
    <mergeCell ref="A10:B10"/>
    <mergeCell ref="K10:L10"/>
    <mergeCell ref="A71:D71"/>
    <mergeCell ref="K6:L6"/>
    <mergeCell ref="A77:B77"/>
    <mergeCell ref="C77:D77"/>
    <mergeCell ref="A25:C25"/>
    <mergeCell ref="A16:L16"/>
    <mergeCell ref="C50:E50"/>
    <mergeCell ref="D27:L27"/>
    <mergeCell ref="C55:E55"/>
    <mergeCell ref="A49:B49"/>
    <mergeCell ref="C6:J6"/>
    <mergeCell ref="K9:L9"/>
    <mergeCell ref="A66:L66"/>
    <mergeCell ref="K5:L5"/>
    <mergeCell ref="C14:J14"/>
    <mergeCell ref="H58:I58"/>
    <mergeCell ref="K54:L54"/>
    <mergeCell ref="K60:L60"/>
    <mergeCell ref="K11:L11"/>
    <mergeCell ref="I74:L74"/>
    <mergeCell ref="K47:L47"/>
    <mergeCell ref="D28:L28"/>
    <mergeCell ref="H60:I60"/>
    <mergeCell ref="A22:C22"/>
    <mergeCell ref="F50:G50"/>
    <mergeCell ref="A60:G60"/>
    <mergeCell ref="A55:B55"/>
    <mergeCell ref="A12:B12"/>
    <mergeCell ref="A20:L20"/>
    <mergeCell ref="A28:C28"/>
    <mergeCell ref="A72:L72"/>
    <mergeCell ref="E77:F77"/>
    <mergeCell ref="K8:L8"/>
    <mergeCell ref="A57:B57"/>
    <mergeCell ref="A5:B5"/>
    <mergeCell ref="A14:B14"/>
    <mergeCell ref="H57:I57"/>
    <mergeCell ref="A65:D65"/>
    <mergeCell ref="H68:K68"/>
    <mergeCell ref="C8:J8"/>
    <mergeCell ref="D25:E25"/>
    <mergeCell ref="K7:L7"/>
    <mergeCell ref="A1:F1"/>
    <mergeCell ref="F49:G49"/>
    <mergeCell ref="K57:L57"/>
    <mergeCell ref="C54:E54"/>
    <mergeCell ref="E70:H70"/>
    <mergeCell ref="I64:L64"/>
    <mergeCell ref="I73:L73"/>
    <mergeCell ref="A27:C27"/>
    <mergeCell ref="C56:E56"/>
    <mergeCell ref="C5:J5"/>
    <mergeCell ref="A6:B6"/>
    <mergeCell ref="F59:G59"/>
    <mergeCell ref="F55:G55"/>
    <mergeCell ref="H59:I59"/>
    <mergeCell ref="I65:L65"/>
    <mergeCell ref="F51:G51"/>
    <mergeCell ref="H51:I51"/>
    <mergeCell ref="G26:L26"/>
    <mergeCell ref="A50:B50"/>
    <mergeCell ref="A62:L62"/>
    <mergeCell ref="G1:L1"/>
    <mergeCell ref="C12:J12"/>
    <mergeCell ref="K59:L59"/>
    <mergeCell ref="K12:L12"/>
    <mergeCell ref="C53:E53"/>
    <mergeCell ref="A47:B47"/>
    <mergeCell ref="D26:F26"/>
    <mergeCell ref="H47:I47"/>
    <mergeCell ref="K14:L14"/>
    <mergeCell ref="F58:G58"/>
    <mergeCell ref="K48:L48"/>
    <mergeCell ref="F52:G52"/>
    <mergeCell ref="F67:G67"/>
    <mergeCell ref="A30:L30"/>
    <mergeCell ref="C58:E58"/>
    <mergeCell ref="C7:J7"/>
    <mergeCell ref="A45:L45"/>
    <mergeCell ref="D22:L22"/>
    <mergeCell ref="A13:B13"/>
    <mergeCell ref="A79:L79"/>
    <mergeCell ref="A58:B58"/>
    <mergeCell ref="F53:G53"/>
    <mergeCell ref="C47:E47"/>
  </mergeCells>
  <conditionalFormatting sqref="H48:H59">
    <cfRule type="expression" priority="1" dxfId="0">
      <formula>AND(ISNUMBER(H48),MOD(H48,1)=0)</formula>
    </cfRule>
  </conditionalFormatting>
  <conditionalFormatting sqref="H60">
    <cfRule type="expression" priority="2" dxfId="1">
      <formula>AND(ISNUMBER(H60),MOD(H60,1)=0)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2" manualBreakCount="2">
    <brk id="14" min="0" max="16383" man="1"/>
    <brk id="4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6.0   시 공 관 리</t>
        </is>
      </c>
    </row>
    <row r="4" ht="4" customHeight="1"/>
    <row r="5" ht="3" customHeight="1"/>
    <row r="6" ht="22" customHeight="1">
      <c r="A6" s="37" t="inlineStr">
        <is>
          <t>6-1  시멘트 모르타르 바름</t>
        </is>
      </c>
    </row>
    <row r="7" ht="21" customHeight="1">
      <c r="A7" s="38" t="inlineStr">
        <is>
          <t>1) 적용 범위</t>
        </is>
      </c>
    </row>
    <row r="8" ht="37" customHeight="1">
      <c r="A8" s="39" t="inlineStr">
        <is>
          <t>이 절은 시멘트 · 골재 등을 주재료로 한 시멘트 모르타르를 벽 · 바닥 · 천장 등에 바르는 경우에 적용한다.</t>
        </is>
      </c>
    </row>
    <row r="9" ht="21" customHeight="1">
      <c r="A9" s="38" t="inlineStr">
        <is>
          <t>2) 한국산업표준(KS)</t>
        </is>
      </c>
    </row>
    <row r="10" ht="20.5" customHeight="1">
      <c r="A10" s="40" t="inlineStr">
        <is>
          <t>(1)</t>
        </is>
      </c>
      <c r="B10" s="41" t="inlineStr">
        <is>
          <t>KS A 5101 — 표준체</t>
        </is>
      </c>
    </row>
    <row r="11" ht="20.5" customHeight="1">
      <c r="A11" s="40" t="inlineStr">
        <is>
          <t>(2)</t>
        </is>
      </c>
      <c r="B11" s="41" t="inlineStr">
        <is>
          <t>KS F 4552 — 메탈라스</t>
        </is>
      </c>
    </row>
    <row r="12" ht="20.5" customHeight="1">
      <c r="A12" s="40" t="inlineStr">
        <is>
          <t>(3)</t>
        </is>
      </c>
      <c r="B12" s="41" t="inlineStr">
        <is>
          <t>KS L 5201 — 포틀랜드 시멘트</t>
        </is>
      </c>
    </row>
    <row r="13" ht="20.5" customHeight="1">
      <c r="A13" s="40" t="inlineStr">
        <is>
          <t>(4)</t>
        </is>
      </c>
      <c r="B13" s="41" t="inlineStr">
        <is>
          <t>KS L 5204 — 백색 포틀랜드 시멘트</t>
        </is>
      </c>
    </row>
    <row r="14" ht="20.5" customHeight="1">
      <c r="A14" s="40" t="inlineStr">
        <is>
          <t>(5)</t>
        </is>
      </c>
      <c r="B14" s="41" t="inlineStr">
        <is>
          <t>KS L 9007 — 미장용 생석회 및 소석회</t>
        </is>
      </c>
    </row>
    <row r="15" ht="20.5" customHeight="1">
      <c r="A15" s="40" t="inlineStr">
        <is>
          <t>(6)</t>
        </is>
      </c>
      <c r="B15" s="41" t="inlineStr">
        <is>
          <t>KS L 5220 — 건조 시멘트 모르타르</t>
        </is>
      </c>
    </row>
    <row r="16" ht="21" customHeight="1">
      <c r="A16" s="38" t="inlineStr">
        <is>
          <t>3) 운반 · 보관 · 취급</t>
        </is>
      </c>
    </row>
    <row r="17" ht="20.5" customHeight="1">
      <c r="A17" s="40" t="inlineStr">
        <is>
          <t>(1)</t>
        </is>
      </c>
      <c r="B17" s="41" t="inlineStr">
        <is>
          <t>미장용 재료는 섞이거나 훼손되지 않도록 보관한다.</t>
        </is>
      </c>
    </row>
    <row r="18" ht="36" customHeight="1">
      <c r="A18" s="40" t="inlineStr">
        <is>
          <t>(2)</t>
        </is>
      </c>
      <c r="B18" s="41" t="inlineStr">
        <is>
          <t>공장 제조품은 공장에서 나올 때의 포장이 파손되지 않은 상태로 반입하며, 포장에서 품명 · 자재명 · 수량 · 종류 · 형태를 확인할 수 있어야 한다.</t>
        </is>
      </c>
    </row>
    <row r="19" ht="36" customHeight="1">
      <c r="A19" s="40" t="inlineStr">
        <is>
          <t>(3)</t>
        </is>
      </c>
      <c r="B19" s="41" t="inlineStr">
        <is>
          <t>시멘트 · 석회 및 부속 재료는 비를 맞지 않게 덮고, 지면보다 30cm 이상 높게 만든 바닥이 있는 창고 등에 건조 상태로 보관하며 겹쳐 쌓기는 13포 이하로 한다.</t>
        </is>
      </c>
    </row>
    <row r="20" ht="21" customHeight="1">
      <c r="A20" s="38" t="inlineStr">
        <is>
          <t>4) 환경 요구사항</t>
        </is>
      </c>
    </row>
    <row r="21" ht="20.5" customHeight="1">
      <c r="A21" s="40" t="inlineStr">
        <is>
          <t>(1)</t>
        </is>
      </c>
      <c r="B21" s="41" t="inlineStr">
        <is>
          <t>시멘트 모르타르를 바르기 전과 바른 후 최소 1주일 이상 온도를 4℃ 이상으로 유지한다.</t>
        </is>
      </c>
    </row>
    <row r="22" ht="20.5" customHeight="1">
      <c r="A22" s="40" t="inlineStr">
        <is>
          <t>(2)</t>
        </is>
      </c>
      <c r="B22" s="41" t="inlineStr">
        <is>
          <t>시멘트 모르타르를 바른 후 최소 1주일 이상 환기를 원활하게 유지한다.</t>
        </is>
      </c>
    </row>
    <row r="23" ht="36" customHeight="1">
      <c r="A23" s="40" t="inlineStr">
        <is>
          <t>(3)</t>
        </is>
      </c>
      <c r="B23" s="41" t="inlineStr">
        <is>
          <t>동절기 공사는 원칙적으로 하지 않되, 부득이하게 시공할 때는 감리원의 승인을 받은 뒤 보양 · 보온하고 시공한다. 바름면이 들뜨거나 동해를 입었으면 쪼아 내고 다시 바른다.</t>
        </is>
      </c>
    </row>
    <row r="24" ht="21" customHeight="1">
      <c r="A24" s="38" t="inlineStr">
        <is>
          <t>5) 다른 공정과의 협력 작업</t>
        </is>
      </c>
    </row>
    <row r="25" ht="37" customHeight="1">
      <c r="A25" s="39" t="inlineStr">
        <is>
          <t>매입용 철물(insert) · 고정철물 · 전선배관 등 특별 사항은 미장공사와 관련된 다른 공사 부서에 설명하고, 알맞게 설치되도록 정확한 설치 위치와 설치물에 대해 협조한다.</t>
        </is>
      </c>
    </row>
    <row r="26" ht="21" customHeight="1">
      <c r="A26" s="38" t="inlineStr">
        <is>
          <t>6) 재료</t>
        </is>
      </c>
    </row>
    <row r="27" ht="36" customHeight="1">
      <c r="A27" s="10" t="inlineStr"/>
      <c r="B27" s="38" t="inlineStr">
        <is>
          <t>(1) 시멘트 — 포틀랜드 시멘트는 KS L 5201 의 1종(보통 포틀랜드 시멘트)에 맞는 제품을 쓴다.</t>
        </is>
      </c>
    </row>
    <row r="28" ht="36" customHeight="1">
      <c r="A28" s="10" t="inlineStr"/>
      <c r="B28" s="38" t="inlineStr">
        <is>
          <t>(2) 모래 — 단단하고 깨끗하며 먼지 · 흙 · 유기물 등 유해물이 섞이지 않은 것. 품질기준 :</t>
        </is>
      </c>
    </row>
    <row r="29" ht="20.5" customHeight="1">
      <c r="A29" s="40" t="inlineStr">
        <is>
          <t>▸</t>
        </is>
      </c>
      <c r="C29" s="41" t="inlineStr">
        <is>
          <t>절건비중 2.4 이상</t>
        </is>
      </c>
    </row>
    <row r="30" ht="20.5" customHeight="1">
      <c r="A30" s="40" t="inlineStr">
        <is>
          <t>▸</t>
        </is>
      </c>
      <c r="C30" s="41" t="inlineStr">
        <is>
          <t>흡수율 4.0% 이하</t>
        </is>
      </c>
    </row>
    <row r="31" ht="20.5" customHeight="1">
      <c r="A31" s="40" t="inlineStr">
        <is>
          <t>▸</t>
        </is>
      </c>
      <c r="C31" s="41" t="inlineStr">
        <is>
          <t>점토량 2.0% 이하</t>
        </is>
      </c>
    </row>
    <row r="32" ht="20.5" customHeight="1">
      <c r="A32" s="40" t="inlineStr">
        <is>
          <t>▸</t>
        </is>
      </c>
      <c r="C32" s="41" t="inlineStr">
        <is>
          <t>유기불순물 — 표준색보다 진하지 않은 것</t>
        </is>
      </c>
    </row>
    <row r="33" ht="20.5" customHeight="1">
      <c r="A33" s="40" t="inlineStr">
        <is>
          <t>▸</t>
        </is>
      </c>
      <c r="C33" s="41" t="inlineStr">
        <is>
          <t>씻기 시험으로 손실되는 양 3% 이하</t>
        </is>
      </c>
    </row>
    <row r="34" ht="20.5" customHeight="1">
      <c r="A34" s="40" t="inlineStr">
        <is>
          <t>▸</t>
        </is>
      </c>
      <c r="C34" s="41" t="inlineStr">
        <is>
          <t>염화물 함유량 0.1% 이하</t>
        </is>
      </c>
    </row>
    <row r="35" ht="36" customHeight="1">
      <c r="A35" s="10" t="inlineStr"/>
      <c r="B35" s="38" t="inlineStr">
        <is>
          <t>(3) 물 — 유해한 기름 · 산 · 알칼리 · 유기물 등이 기준량 이상 들어 있지 않은, 식수로 쓸 수 있는 깨끗한 물을 쓴다.</t>
        </is>
      </c>
    </row>
    <row r="36" ht="36" customHeight="1">
      <c r="A36" s="10" t="inlineStr"/>
      <c r="B36" s="38" t="inlineStr">
        <is>
          <t>(4) 접착재 — 보수성 · 작업성 · 부착성 등을 높이는 것으로, 수축이 적은 합성수지계 무기질 재료를 쓴다.</t>
        </is>
      </c>
    </row>
    <row r="37" ht="21" customHeight="1">
      <c r="A37" s="10" t="inlineStr"/>
      <c r="B37" s="38" t="inlineStr">
        <is>
          <t>(5) 부속 재료</t>
        </is>
      </c>
    </row>
    <row r="38" ht="20.5" customHeight="1">
      <c r="A38" s="40" t="inlineStr">
        <is>
          <t>①</t>
        </is>
      </c>
      <c r="C38" s="41" t="inlineStr">
        <is>
          <t>메탈라스 : KS F 4552 에 맞는 메탈라스를 쓴다.</t>
        </is>
      </c>
    </row>
    <row r="39" ht="36" customHeight="1">
      <c r="A39" s="40" t="inlineStr">
        <is>
          <t>②</t>
        </is>
      </c>
      <c r="C39" s="41" t="inlineStr">
        <is>
          <t>코너비드 : 두께 0.45mm 아연도금 철재로, 비드 지름 4mm 이고 양쪽에 폭 50mm 의 메시형 날개가 붙은 것을 쓴다.</t>
        </is>
      </c>
    </row>
    <row r="40" ht="36" customHeight="1">
      <c r="A40" s="40" t="inlineStr">
        <is>
          <t>③</t>
        </is>
      </c>
      <c r="C40" s="41" t="inlineStr">
        <is>
          <t>신축줄눈 : 두께 0.45mm 아연도금 철재로, 비드 깊이 13mm 이고 양쪽에 폭 50mm 의 메시형 날개가 붙은 것을 쓴다.</t>
        </is>
      </c>
    </row>
    <row r="41" ht="21" customHeight="1">
      <c r="A41" s="38" t="inlineStr">
        <is>
          <t>7) 모르타르 배합</t>
        </is>
      </c>
    </row>
    <row r="42" ht="20.5" customHeight="1">
      <c r="A42" s="40" t="inlineStr">
        <is>
          <t>(1)</t>
        </is>
      </c>
      <c r="B42" s="41" t="inlineStr">
        <is>
          <t>미장용 모르타르는 포틀랜드 시멘트 1 : 모래 3 의 비율로 배합한다.</t>
        </is>
      </c>
    </row>
    <row r="43" ht="20.5" customHeight="1">
      <c r="A43" s="40" t="inlineStr">
        <is>
          <t>(2)</t>
        </is>
      </c>
      <c r="B43" s="41" t="inlineStr">
        <is>
          <t>시멘트 풀은 포틀랜드 시멘트 1 : 모래 0 의 비율로 배합한다.</t>
        </is>
      </c>
    </row>
    <row r="44" ht="20.5" customHeight="1">
      <c r="A44" s="40" t="inlineStr">
        <is>
          <t>(3)</t>
        </is>
      </c>
      <c r="B44" s="41" t="inlineStr">
        <is>
          <t>물은 시멘트 질량의 50 ~ 60% 또는 제조업체의 지침에 따라 배합한다.</t>
        </is>
      </c>
    </row>
    <row r="45" ht="36" customHeight="1">
      <c r="A45" s="40" t="inlineStr">
        <is>
          <t>(4)</t>
        </is>
      </c>
      <c r="B45" s="41" t="inlineStr">
        <is>
          <t>모르타르나 그라우트가 고른 품질을 갖고 설치 장소에 맞게 작업되도록 목적에 맞는 혼합기계 · 혼합속도 · 혼합시간 및 혼합절차를 쓴다.</t>
        </is>
      </c>
    </row>
    <row r="46" ht="21" customHeight="1">
      <c r="A46" s="38" t="inlineStr">
        <is>
          <t>8) 시공조건 확인</t>
        </is>
      </c>
    </row>
    <row r="47" ht="21" customHeight="1">
      <c r="A47" s="10" t="inlineStr"/>
      <c r="B47" s="38" t="inlineStr">
        <is>
          <t>(1) 배합 장소 및 작업 장소</t>
        </is>
      </c>
    </row>
    <row r="48" ht="36" customHeight="1">
      <c r="A48" s="40" t="inlineStr">
        <is>
          <t>①</t>
        </is>
      </c>
      <c r="C48" s="41" t="inlineStr">
        <is>
          <t>작업 장소는 바름 재료의 종류 · 공정에 맞게 채광 · 조명 · 통풍이 되도록 창호를 고정 설치하고 조명 · 환기설비를 준비한다.</t>
        </is>
      </c>
    </row>
    <row r="49" ht="20.5" customHeight="1">
      <c r="A49" s="40" t="inlineStr">
        <is>
          <t>②</t>
        </is>
      </c>
      <c r="C49" s="41" t="inlineStr">
        <is>
          <t>배합 장소와 작업 장소는 항상 정리정돈한다.</t>
        </is>
      </c>
    </row>
    <row r="50" ht="20.5" customHeight="1">
      <c r="A50" s="40" t="inlineStr">
        <is>
          <t>③</t>
        </is>
      </c>
      <c r="C50" s="41" t="inlineStr">
        <is>
          <t>사용하는 기계 · 기구에 필요한 전기 · 설비 및 급배수설비를 준비한다.</t>
        </is>
      </c>
    </row>
    <row r="51" ht="21" customHeight="1">
      <c r="A51" s="10" t="inlineStr"/>
      <c r="B51" s="38" t="inlineStr">
        <is>
          <t>(2) 미장 공사용 작업발판</t>
        </is>
      </c>
    </row>
    <row r="52" ht="36" customHeight="1">
      <c r="A52" s="40" t="inlineStr">
        <is>
          <t>①</t>
        </is>
      </c>
      <c r="C52" s="41" t="inlineStr">
        <is>
          <t>추락 위험이 있는 고소작업에는 알맞은 추락 방지 설비를 설치하고, 작업자는 필요한 보호구를 착용한다.</t>
        </is>
      </c>
    </row>
    <row r="53" ht="21" customHeight="1">
      <c r="A53" s="10" t="inlineStr"/>
      <c r="B53" s="38" t="inlineStr">
        <is>
          <t>(3) 작업 준비</t>
        </is>
      </c>
    </row>
    <row r="54" ht="36" customHeight="1">
      <c r="A54" s="40" t="inlineStr">
        <is>
          <t>①</t>
        </is>
      </c>
      <c r="C54" s="41" t="inlineStr">
        <is>
          <t>외부 미장을 여름에 시공할 때는 바름층이 급히 마르지 않도록 거적이나 폴리에틸렌 필름을 덮은 뒤 살수 등을 한다.</t>
        </is>
      </c>
    </row>
    <row r="55" ht="20.5" customHeight="1">
      <c r="A55" s="40" t="inlineStr">
        <is>
          <t>②</t>
        </is>
      </c>
      <c r="C55" s="41" t="inlineStr">
        <is>
          <t>비 · 강풍 또는 주위 작업으로 바름 작업에 지장이 있으면 작업을 즉시 중지한다.</t>
        </is>
      </c>
    </row>
    <row r="56" ht="21" customHeight="1">
      <c r="A56" s="38" t="inlineStr">
        <is>
          <t>9) 바탕 처리</t>
        </is>
      </c>
    </row>
    <row r="57" ht="21" customHeight="1">
      <c r="A57" s="10" t="inlineStr"/>
      <c r="B57" s="38" t="inlineStr">
        <is>
          <t>(1) 바탕의 일반 조건</t>
        </is>
      </c>
    </row>
    <row r="58" ht="20.5" customHeight="1">
      <c r="A58" s="40" t="inlineStr">
        <is>
          <t>①</t>
        </is>
      </c>
      <c r="C58" s="41" t="inlineStr">
        <is>
          <t>미장 바름을 지지하는 데 필요한 강도와 강성이 있어야 한다.</t>
        </is>
      </c>
    </row>
    <row r="59" ht="36" customHeight="1">
      <c r="A59" s="40" t="inlineStr">
        <is>
          <t>②</t>
        </is>
      </c>
      <c r="C59" s="41" t="inlineStr">
        <is>
          <t>사용 조건 및 지진 등 환경 조건에서 미장 바름을 지지하는 데 필요한 접착강도를 유지할 수 있는 형상이어야 한다.</t>
        </is>
      </c>
    </row>
    <row r="60" ht="36" customHeight="1">
      <c r="A60" s="40" t="inlineStr">
        <is>
          <t>③</t>
        </is>
      </c>
      <c r="C60" s="41" t="inlineStr">
        <is>
          <t>미장 바름의 종류와 마감 두께에 알맞은 표면 상태로서 해로운 요철 · 접합부 어긋남 · 균열 등이 없어야 한다.</t>
        </is>
      </c>
    </row>
    <row r="61" ht="36" customHeight="1">
      <c r="A61" s="40" t="inlineStr">
        <is>
          <t>④</t>
        </is>
      </c>
      <c r="C61" s="41" t="inlineStr">
        <is>
          <t>미장 바름의 종류에 화학적으로 맞는 재질로서 녹물에 의한 오손 · 화학반응 · 흡수 등으로 바름층이 약해지지 않아야 한다.</t>
        </is>
      </c>
    </row>
    <row r="62" ht="21" customHeight="1">
      <c r="A62" s="10" t="inlineStr"/>
      <c r="B62" s="38" t="inlineStr">
        <is>
          <t>(2) 콘크리트 바탕</t>
        </is>
      </c>
    </row>
    <row r="63" ht="36" customHeight="1">
      <c r="A63" s="40" t="inlineStr">
        <is>
          <t>①</t>
        </is>
      </c>
      <c r="C63" s="41" t="inlineStr">
        <is>
          <t>거푸집을 완전히 떼어 내고, 거푸집 잔재 · 세퍼레이터 등 해로운 잔류물이 없어야 한다.</t>
        </is>
      </c>
    </row>
    <row r="64" ht="36" customHeight="1">
      <c r="A64" s="40" t="inlineStr">
        <is>
          <t>②</t>
        </is>
      </c>
      <c r="C64" s="41" t="inlineStr">
        <is>
          <t>모르타르를 바를 바탕면은 먼지 · 기름 등 부착력을 떨어뜨리는 이물질을 없애고 바탕을 고르게 적신 뒤 바른다.</t>
        </is>
      </c>
    </row>
    <row r="65" ht="36" customHeight="1">
      <c r="A65" s="40" t="inlineStr">
        <is>
          <t>③</t>
        </is>
      </c>
      <c r="C65" s="41" t="inlineStr">
        <is>
          <t>콘크리트 곰보 · 이어치기 부분 등 누수의 원인이 되는 곳은 알맞은 방법으로 미리 방수처리를 한다.</t>
        </is>
      </c>
    </row>
    <row r="66" ht="36" customHeight="1">
      <c r="A66" s="40" t="inlineStr">
        <is>
          <t>④</t>
        </is>
      </c>
      <c r="C66" s="41" t="inlineStr">
        <is>
          <t>콘크리트 바탕면에 모르타르가 잘 붙지 않을 때는 혼화제를 넣은 시멘트 풀을 먼저 얇게 바르거나 표면 쪼아 내기 등으로 부착력을 높인 뒤 바른다.</t>
        </is>
      </c>
    </row>
    <row r="67" ht="21" customHeight="1">
      <c r="A67" s="10" t="inlineStr"/>
      <c r="B67" s="38" t="inlineStr">
        <is>
          <t>(3) 콘크리트 블록 및 벽돌 바탕</t>
        </is>
      </c>
    </row>
    <row r="68" ht="20.5" customHeight="1">
      <c r="A68" s="40" t="inlineStr">
        <is>
          <t>①</t>
        </is>
      </c>
      <c r="C68" s="41" t="inlineStr">
        <is>
          <t>콘크리트 블록 및 벽돌은 균열을 막기 위해 건습에 따른 신축이 작은 것을 쓴다.</t>
        </is>
      </c>
    </row>
    <row r="69" ht="36" customHeight="1">
      <c r="A69" s="40" t="inlineStr">
        <is>
          <t>②</t>
        </is>
      </c>
      <c r="C69" s="41" t="inlineStr">
        <is>
          <t>물 뿌리기는 미장 재료의 경화 과정 · 보수성 · 흡수율 등을 고려하여 알맞게 한다.</t>
        </is>
      </c>
    </row>
    <row r="70" ht="21" customHeight="1">
      <c r="A70" s="38" t="inlineStr">
        <is>
          <t>10) 부속철물의 설치</t>
        </is>
      </c>
    </row>
    <row r="71" ht="21" customHeight="1">
      <c r="A71" s="10" t="inlineStr"/>
      <c r="B71" s="38" t="inlineStr">
        <is>
          <t>(1) 개구부 보강</t>
        </is>
      </c>
    </row>
    <row r="72" ht="36" customHeight="1">
      <c r="A72" s="40" t="inlineStr">
        <is>
          <t>①</t>
        </is>
      </c>
      <c r="C72" s="41" t="inlineStr">
        <is>
          <t>300mm 이상인 개구부 모서리에는 대각선으로 최소 너비 150mm × 길이 400mm 의 장방형 라스를 덧대어 미장면을 보강한다.</t>
        </is>
      </c>
    </row>
    <row r="73" ht="20.5" customHeight="1">
      <c r="A73" s="40" t="inlineStr">
        <is>
          <t>②</t>
        </is>
      </c>
      <c r="C73" s="41" t="inlineStr">
        <is>
          <t>미장면과 문틀 · 창틀이 만나는 부위에는 도면에 따라 비드를 설치한다.</t>
        </is>
      </c>
    </row>
    <row r="74" ht="36" customHeight="1">
      <c r="A74" s="40" t="inlineStr">
        <is>
          <t>③</t>
        </is>
      </c>
      <c r="C74" s="41" t="inlineStr">
        <is>
          <t>콘크리트나 조적 벽체에 직접 바를 때는 개구부 보강용 라스를 콘크리트 바탕면이나 조적 벽면에 고정한다.</t>
        </is>
      </c>
    </row>
    <row r="75" ht="21" customHeight="1">
      <c r="A75" s="10" t="inlineStr"/>
      <c r="B75" s="38" t="inlineStr">
        <is>
          <t>(2) 모서리 보강재</t>
        </is>
      </c>
    </row>
    <row r="76" ht="20.5" customHeight="1">
      <c r="A76" s="40" t="inlineStr">
        <is>
          <t>①</t>
        </is>
      </c>
      <c r="C76" s="41" t="inlineStr">
        <is>
          <t>벽 돌출 모서리 및 내측 모서리에는 비드를 설치한다.</t>
        </is>
      </c>
    </row>
    <row r="77" ht="20.5" customHeight="1">
      <c r="A77" s="40" t="inlineStr">
        <is>
          <t>②</t>
        </is>
      </c>
      <c r="C77" s="41" t="inlineStr">
        <is>
          <t>벽 내측에 이질재가 만나는 모서리에는 라스를 설치한다.</t>
        </is>
      </c>
    </row>
    <row r="78" ht="21" customHeight="1">
      <c r="A78" s="10" t="inlineStr"/>
      <c r="B78" s="38" t="inlineStr">
        <is>
          <t>(3) 벽 및 천장 면 신축줄눈재</t>
        </is>
      </c>
    </row>
    <row r="79" ht="36" customHeight="1">
      <c r="A79" s="40" t="inlineStr">
        <is>
          <t>①</t>
        </is>
      </c>
      <c r="C79" s="41" t="inlineStr">
        <is>
          <t>벽 및 천장면이 9m 이상 연속되면 신축줄눈재를 설치하며, 줄눈재 설치 간격은 9m 이하로 한다.</t>
        </is>
      </c>
    </row>
    <row r="80" ht="21" customHeight="1">
      <c r="A80" s="38" t="inlineStr">
        <is>
          <t>11) 바닥 바르기</t>
        </is>
      </c>
    </row>
    <row r="81" ht="36" customHeight="1">
      <c r="A81" s="40" t="inlineStr">
        <is>
          <t>(1)</t>
        </is>
      </c>
      <c r="B81" s="41" t="inlineStr">
        <is>
          <t>콘크리트 바탕면의 레이턴스 · 오물 · 부착물 등 이물질을 없애고 깨끗이 청소한 뒤 물을 뿌린다. 이때 바닥에 물이 고이지 않게 한다.</t>
        </is>
      </c>
    </row>
    <row r="82" ht="20.5" customHeight="1">
      <c r="A82" s="40" t="inlineStr">
        <is>
          <t>(2)</t>
        </is>
      </c>
      <c r="B82" s="41" t="inlineStr">
        <is>
          <t>바닥에 시멘트 풀을 충분히 문지르고 표면을 고른 다음 된비빔 모르타르를 바른다.</t>
        </is>
      </c>
    </row>
    <row r="83" ht="20.5" customHeight="1">
      <c r="A83" s="40" t="inlineStr">
        <is>
          <t>(3)</t>
        </is>
      </c>
      <c r="B83" s="41" t="inlineStr">
        <is>
          <t>표면의 수분 · 경화 정도를 보아 나무흙손으로 고르고 쇠흙손으로 마무리한다.</t>
        </is>
      </c>
    </row>
    <row r="84" ht="20.5" customHeight="1">
      <c r="A84" s="40" t="inlineStr">
        <is>
          <t>(4)</t>
        </is>
      </c>
      <c r="B84" s="41" t="inlineStr">
        <is>
          <t>바닥의 바름 두께는 도면에 지시된 두께에 따른다.</t>
        </is>
      </c>
    </row>
    <row r="85" ht="21" customHeight="1">
      <c r="A85" s="38" t="inlineStr">
        <is>
          <t>12) 벽 바르기</t>
        </is>
      </c>
    </row>
    <row r="86" ht="20.5" customHeight="1">
      <c r="A86" s="40" t="inlineStr">
        <is>
          <t>(1)</t>
        </is>
      </c>
      <c r="B86" s="41" t="inlineStr">
        <is>
          <t>바르기 직전에 바탕면을 청소하고 미리 물을 적셔 흡수를 조절한다.</t>
        </is>
      </c>
    </row>
    <row r="87" ht="20.5" customHeight="1">
      <c r="A87" s="40" t="inlineStr">
        <is>
          <t>(2)</t>
        </is>
      </c>
      <c r="B87" s="41" t="inlineStr">
        <is>
          <t>따로 지시가 없으면 벽의 미장 바름 두께는 18mm 로 한다.</t>
        </is>
      </c>
    </row>
    <row r="88" ht="20.5" customHeight="1">
      <c r="A88" s="40" t="inlineStr">
        <is>
          <t>(3)</t>
        </is>
      </c>
      <c r="B88" s="41" t="inlineStr">
        <is>
          <t>1회 바름 두께는 7mm 이하로 하고 초벌 · 재벌 · 정벌로 나누어 바른다.</t>
        </is>
      </c>
    </row>
    <row r="89" ht="36" customHeight="1">
      <c r="A89" s="40" t="inlineStr">
        <is>
          <t>(4)</t>
        </is>
      </c>
      <c r="B89" s="41" t="inlineStr">
        <is>
          <t>재벌 바름은 구석 · 모퉁이 등에 규준대를 대고 평탄하게 바른 뒤 다시 잣대 고르기를 한다.</t>
        </is>
      </c>
    </row>
    <row r="90" ht="36" customHeight="1">
      <c r="A90" s="40" t="inlineStr">
        <is>
          <t>(5)</t>
        </is>
      </c>
      <c r="B90" s="41" t="inlineStr">
        <is>
          <t>재벌 바름의 경화 정도를 보아 정벌 바름을 하되 얼룩 · 처짐 · 돌기 · 들뜸 등이 생기지 않게 바른다.</t>
        </is>
      </c>
    </row>
    <row r="91" ht="21" customHeight="1">
      <c r="A91" s="38" t="inlineStr">
        <is>
          <t>13) 미장 마감 보수 및 재시공</t>
        </is>
      </c>
    </row>
    <row r="92" ht="37" customHeight="1">
      <c r="A92" s="39" t="inlineStr">
        <is>
          <t>갈라진 틈 · 부푼 곳 · 구멍 · 얼룩 등 결함이 있는 미장 표면은 보수한다. 보수 부분은 인접 면과 재질 · 색상이 같아야 한다.</t>
        </is>
      </c>
    </row>
    <row r="93" ht="21" customHeight="1">
      <c r="A93" s="38" t="inlineStr">
        <is>
          <t>14) 현장 품질관리 — 시공 전 · 시공 중 보양</t>
        </is>
      </c>
    </row>
    <row r="94" ht="36" customHeight="1">
      <c r="A94" s="40" t="inlineStr">
        <is>
          <t>(1)</t>
        </is>
      </c>
      <c r="B94" s="41" t="inlineStr">
        <is>
          <t>시공 전 : 바름 작업에 가까운 다른 부재나 마감면은 종이 붙임 · 널대기 · 포장 덮기 · 폴리에틸렌 필름 덮기 등으로 오염되지 않게 보양한다.</t>
        </is>
      </c>
    </row>
    <row r="95" ht="36" customHeight="1">
      <c r="A95" s="40" t="inlineStr">
        <is>
          <t>(2)</t>
        </is>
      </c>
      <c r="B95" s="41" t="inlineStr">
        <is>
          <t>시공 중 : 추운 때에는 따뜻한 날을 골라 시공한다. 부득이 4℃ 이하에서 시공할 때는 판자 울치기 · 거적 덮기 또는 비닐시트를 둘러치고 난방기 등으로 보온한다.</t>
        </is>
      </c>
    </row>
    <row r="96" ht="36" customHeight="1">
      <c r="A96" s="40" t="inlineStr">
        <is>
          <t>(3)</t>
        </is>
      </c>
      <c r="B96" s="41" t="inlineStr">
        <is>
          <t>외부 마감을 여름에 할 때는 바름층이 급히 마르지 않도록 거적 또는 폴리에틸렌 필름을 덮은 뒤 살수 등을 한다.</t>
        </is>
      </c>
    </row>
    <row r="97" ht="20.5" customHeight="1">
      <c r="A97" s="40" t="inlineStr">
        <is>
          <t>(4)</t>
        </is>
      </c>
      <c r="B97" s="41" t="inlineStr">
        <is>
          <t>비 · 강풍 또는 주위 작업으로 바름 작업에 지장이 있으면 방풍 · 보양한다.</t>
        </is>
      </c>
    </row>
    <row r="98" ht="21" customHeight="1">
      <c r="A98" s="38" t="inlineStr">
        <is>
          <t>15) 시공 후의 보양</t>
        </is>
      </c>
    </row>
    <row r="99" ht="20.5" customHeight="1">
      <c r="A99" s="40" t="inlineStr">
        <is>
          <t>(1)</t>
        </is>
      </c>
      <c r="B99" s="41" t="inlineStr">
        <is>
          <t>바람 등으로 먼지가 날려 작업면에 붙을 우려가 있으면 비닐 · 천막 등으로 보양한다.</t>
        </is>
      </c>
    </row>
    <row r="100" ht="36" customHeight="1">
      <c r="A100" s="40" t="inlineStr">
        <is>
          <t>(2)</t>
        </is>
      </c>
      <c r="B100" s="41" t="inlineStr">
        <is>
          <t>공사 완료 뒤 바름면의 균열 · 들뜬 곳 · 손상된 곳은 그 부분을 잘라 내고 주위와 마감 상태가 차이 나지 않게 보수한다.</t>
        </is>
      </c>
    </row>
    <row r="101" ht="20.5" customHeight="1">
      <c r="A101" s="40" t="inlineStr">
        <is>
          <t>(3)</t>
        </is>
      </c>
      <c r="B101" s="41" t="inlineStr">
        <is>
          <t>작업 중 떨어진 모르타르 찌꺼기를 치우고, 뒤 공정에 차질이 없도록 바름면을 청소한다.</t>
        </is>
      </c>
    </row>
    <row r="102" ht="36" customHeight="1">
      <c r="A102" s="40" t="inlineStr">
        <is>
          <t>(4)</t>
        </is>
      </c>
      <c r="B102" s="41" t="inlineStr">
        <is>
          <t>바름면이 일찍 마르지 않도록 창문 유리를 끼우거나 거적 등으로 막아 통풍 · 일조를 조절하고 물을 뿌리는 등 보양한다.</t>
        </is>
      </c>
    </row>
    <row r="103" ht="3" customHeight="1"/>
    <row r="104" ht="22" customHeight="1">
      <c r="A104" s="37" t="inlineStr">
        <is>
          <t>6-2  콘크리트 면마무리</t>
        </is>
      </c>
    </row>
    <row r="105" ht="21" customHeight="1">
      <c r="A105" s="38" t="inlineStr">
        <is>
          <t>1) 바탕처리 및 시공</t>
        </is>
      </c>
    </row>
    <row r="106" ht="20.5" customHeight="1">
      <c r="A106" s="40" t="inlineStr">
        <is>
          <t>(1)</t>
        </is>
      </c>
      <c r="B106" s="41" t="inlineStr">
        <is>
          <t>거푸집을 완전히 떼어 내고, 거푸집 잔재 · 세퍼레이터 등 해로운 잔류물이 없어야 한다.</t>
        </is>
      </c>
    </row>
    <row r="107" ht="20.5" customHeight="1">
      <c r="A107" s="40" t="inlineStr">
        <is>
          <t>(2)</t>
        </is>
      </c>
      <c r="B107" s="41" t="inlineStr">
        <is>
          <t>바탕면의 배부른 부위는 치핑한다.</t>
        </is>
      </c>
    </row>
    <row r="108" ht="20.5" customHeight="1">
      <c r="A108" s="40" t="inlineStr">
        <is>
          <t>(3)</t>
        </is>
      </c>
      <c r="B108" s="41" t="inlineStr">
        <is>
          <t>바탕면의 먼지 · 기름 등 부착력을 떨어뜨리는 이물질을 없애고 바탕을 고르게 적신다.</t>
        </is>
      </c>
    </row>
    <row r="109" ht="36" customHeight="1">
      <c r="A109" s="40" t="inlineStr">
        <is>
          <t>(4)</t>
        </is>
      </c>
      <c r="B109" s="41" t="inlineStr">
        <is>
          <t>콘크리트 곰보 · 이어치기 부분 등 누수의 원인이 되는 곳은 알맞은 방법으로 미리 방수처리를 한다.</t>
        </is>
      </c>
    </row>
    <row r="110" ht="36" customHeight="1">
      <c r="A110" s="40" t="inlineStr">
        <is>
          <t>(5)</t>
        </is>
      </c>
      <c r="B110" s="41" t="inlineStr">
        <is>
          <t>제물마무리(견출)할 곳은 숫돌 · 그라인더로 갈아 내고, 결함 부위는 부착성이 좋은 재료로 메운 뒤 롤러 · 붓으로 접착재를 바탕면에 바르고 제물마무리를 한다.</t>
        </is>
      </c>
    </row>
    <row r="111" ht="36" customHeight="1">
      <c r="A111" s="40" t="inlineStr">
        <is>
          <t>(6)</t>
        </is>
      </c>
      <c r="B111" s="41" t="inlineStr">
        <is>
          <t>콘크리트 바닥 제물마감은 된비빔 콘크리트를 다짐기 · 진동기로 다지고 규준대 · 나무흙손으로 고른 다음, 물이 빠지는 정도를 보아 기계흙손 또는 쇠흙손으로 문질러 마감한다.</t>
        </is>
      </c>
    </row>
    <row r="112" ht="21" customHeight="1">
      <c r="A112" s="38" t="inlineStr">
        <is>
          <t>2) 재료</t>
        </is>
      </c>
    </row>
    <row r="113" ht="20.5" customHeight="1">
      <c r="A113" s="40" t="inlineStr">
        <is>
          <t>(1)</t>
        </is>
      </c>
      <c r="B113" s="41" t="inlineStr">
        <is>
          <t>포틀랜드 시멘트는 KS L 5201 의 1종(보통 포틀랜드 시멘트)에 맞는 제품을 쓴다.</t>
        </is>
      </c>
    </row>
    <row r="114" ht="36" customHeight="1">
      <c r="A114" s="40" t="inlineStr">
        <is>
          <t>(2)</t>
        </is>
      </c>
      <c r="B114" s="41" t="inlineStr">
        <is>
          <t>물은 미장 및 금속에 해로운 기름 · 산 · 알칼리 · 유기물 등이 기준량 이상 들어 있지 않은, 식수로 쓸 수 있는 깨끗한 물을 쓴다.</t>
        </is>
      </c>
    </row>
    <row r="115" ht="36" customHeight="1">
      <c r="A115" s="40" t="inlineStr">
        <is>
          <t>(3)</t>
        </is>
      </c>
      <c r="B115" s="41" t="inlineStr">
        <is>
          <t>접착재는 보수성 · 작업성 · 부착성 등을 높이는 것으로, 수축이 적은 합성수지계 무기질 재료를 쓴다.</t>
        </is>
      </c>
    </row>
    <row r="116" ht="3" customHeight="1"/>
    <row r="117" ht="22" customHeight="1">
      <c r="A117" s="37" t="inlineStr">
        <is>
          <t>6-3  검측절차</t>
        </is>
      </c>
    </row>
    <row r="118" ht="21" customHeight="1">
      <c r="A118" s="38" t="inlineStr">
        <is>
          <t>(1) 검측 신청</t>
        </is>
      </c>
    </row>
    <row r="119" ht="51.5" customHeight="1">
      <c r="A119" s="40" t="inlineStr">
        <is>
          <t>①</t>
        </is>
      </c>
      <c r="B119" s="41" t="inlineStr">
        <is>
          <t>검측 체크리스트에 의한 검측은 먼저 시공자의 담당기술자가 점검하여 합격된 것을 확인한 뒤, 그 체크리스트를 첨부하여 검측요청서를 감리원에게 제출한다. 감리원은 점검 내용을 검토한 뒤 현장 확인 검측을 하고 그 결과를 서면으로 통보한다.</t>
        </is>
      </c>
    </row>
    <row r="120" ht="36" customHeight="1">
      <c r="A120" s="40" t="inlineStr">
        <is>
          <t>②</t>
        </is>
      </c>
      <c r="B120" s="41" t="inlineStr">
        <is>
          <t>검측 결과가 불합격이면 시공자가 분명히 알 수 있도록 불합격 내용을 자세히 통보하고, 시공자가 지적 사항을 보완한 뒤 재검측을 요청하면 감리원은 즉시 재검측을 한다.</t>
        </is>
      </c>
    </row>
    <row r="121" ht="21" customHeight="1">
      <c r="A121" s="38" t="inlineStr">
        <is>
          <t>(2) 검측 흐름(FLOW CHART)</t>
        </is>
      </c>
    </row>
    <row r="122" ht="30" customHeight="1">
      <c r="A122" s="10" t="inlineStr"/>
      <c r="D122" s="42" t="inlineStr">
        <is>
          <t>현장 시공 완료</t>
        </is>
      </c>
      <c r="E122" s="15" t="n"/>
      <c r="F122" s="15" t="n"/>
      <c r="G122" s="15" t="n"/>
      <c r="H122" s="15" t="n"/>
      <c r="I122" s="15" t="n"/>
      <c r="J122" s="43" t="inlineStr"/>
    </row>
    <row r="123" ht="14" customHeight="1">
      <c r="A123" s="34" t="inlineStr">
        <is>
          <t>▼</t>
        </is>
      </c>
    </row>
    <row r="124" ht="30" customHeight="1">
      <c r="A124" s="10" t="inlineStr"/>
      <c r="D124" s="42" t="inlineStr">
        <is>
          <t>시공자 · 담당기술자 점검</t>
        </is>
      </c>
      <c r="E124" s="15" t="n"/>
      <c r="F124" s="15" t="n"/>
      <c r="G124" s="15" t="n"/>
      <c r="H124" s="15" t="n"/>
      <c r="I124" s="15" t="n"/>
      <c r="J124" s="43" t="inlineStr">
        <is>
          <t xml:space="preserve">  ◀ 첨부 : 시공자 점검표</t>
        </is>
      </c>
    </row>
    <row r="125" ht="14" customHeight="1">
      <c r="A125" s="34" t="inlineStr">
        <is>
          <t>▼</t>
        </is>
      </c>
    </row>
    <row r="126" ht="30" customHeight="1">
      <c r="A126" s="10" t="inlineStr"/>
      <c r="D126" s="42" t="inlineStr">
        <is>
          <t>검측요청서 제출</t>
        </is>
      </c>
      <c r="E126" s="15" t="n"/>
      <c r="F126" s="15" t="n"/>
      <c r="G126" s="15" t="n"/>
      <c r="H126" s="15" t="n"/>
      <c r="I126" s="15" t="n"/>
      <c r="J126" s="43" t="inlineStr">
        <is>
          <t xml:space="preserve">  ◀ 첨부 : 공사참여자 명부 · 관련 도면 · 사진</t>
        </is>
      </c>
    </row>
    <row r="127" ht="14" customHeight="1">
      <c r="A127" s="34" t="inlineStr">
        <is>
          <t>▼</t>
        </is>
      </c>
    </row>
    <row r="128" ht="30" customHeight="1">
      <c r="A128" s="10" t="inlineStr"/>
      <c r="D128" s="42" t="inlineStr">
        <is>
          <t>감 리 원(공사감독자) 현장 검측</t>
        </is>
      </c>
      <c r="E128" s="15" t="n"/>
      <c r="F128" s="15" t="n"/>
      <c r="G128" s="15" t="n"/>
      <c r="H128" s="15" t="n"/>
      <c r="I128" s="15" t="n"/>
      <c r="J128" s="43" t="inlineStr"/>
    </row>
    <row r="129" ht="14" customHeight="1">
      <c r="A129" s="34" t="inlineStr">
        <is>
          <t>▼</t>
        </is>
      </c>
    </row>
    <row r="130" ht="30" customHeight="1">
      <c r="A130" s="10" t="inlineStr"/>
      <c r="D130" s="42" t="inlineStr">
        <is>
          <t>검측 결과 통보</t>
        </is>
      </c>
      <c r="E130" s="15" t="n"/>
      <c r="F130" s="15" t="n"/>
      <c r="G130" s="15" t="n"/>
      <c r="H130" s="15" t="n"/>
      <c r="I130" s="15" t="n"/>
      <c r="J130" s="43" t="inlineStr">
        <is>
          <t xml:space="preserve">  ◀ 불합격 시 → 재시공 · 보완 후 다시 검측 요청</t>
        </is>
      </c>
    </row>
    <row r="131" ht="14" customHeight="1">
      <c r="A131" s="34" t="inlineStr">
        <is>
          <t>▼</t>
        </is>
      </c>
    </row>
    <row r="132" ht="30" customHeight="1">
      <c r="A132" s="10" t="inlineStr"/>
      <c r="D132" s="42" t="inlineStr">
        <is>
          <t>합격 시 다음 단계 공종 착수</t>
        </is>
      </c>
      <c r="E132" s="15" t="n"/>
      <c r="F132" s="15" t="n"/>
      <c r="G132" s="15" t="n"/>
      <c r="H132" s="15" t="n"/>
      <c r="I132" s="15" t="n"/>
      <c r="J132" s="43" t="inlineStr"/>
    </row>
    <row r="133" ht="36" customHeight="1">
      <c r="A133" s="38" t="inlineStr">
        <is>
          <t>(3) 검측 체크리스트 — «검측체크» 시트(5장 : 벽 바탕 · 초벌 · 정벌 · 바닥 바탕 · 콘크리트 면처리)</t>
        </is>
      </c>
    </row>
  </sheetData>
  <mergeCells count="172">
    <mergeCell ref="B113:L113"/>
    <mergeCell ref="A128:C128"/>
    <mergeCell ref="A64:B64"/>
    <mergeCell ref="B100:L100"/>
    <mergeCell ref="A73:B73"/>
    <mergeCell ref="B109:L109"/>
    <mergeCell ref="A46:L46"/>
    <mergeCell ref="B47:L47"/>
    <mergeCell ref="J132:L132"/>
    <mergeCell ref="B22:L22"/>
    <mergeCell ref="B115:L115"/>
    <mergeCell ref="A105:L105"/>
    <mergeCell ref="B102:L102"/>
    <mergeCell ref="A26:L26"/>
    <mergeCell ref="B12:L12"/>
    <mergeCell ref="A54:B54"/>
    <mergeCell ref="B21:L21"/>
    <mergeCell ref="B86:L86"/>
    <mergeCell ref="C49:L49"/>
    <mergeCell ref="A129:L129"/>
    <mergeCell ref="C77:L77"/>
    <mergeCell ref="C34:L34"/>
    <mergeCell ref="A74:B74"/>
    <mergeCell ref="B101:L101"/>
    <mergeCell ref="B14:L14"/>
    <mergeCell ref="D130:I130"/>
    <mergeCell ref="A91:L91"/>
    <mergeCell ref="B23:L23"/>
    <mergeCell ref="A131:L131"/>
    <mergeCell ref="J130:L130"/>
    <mergeCell ref="C74:L74"/>
    <mergeCell ref="B13:L13"/>
    <mergeCell ref="A76:B76"/>
    <mergeCell ref="A33:B33"/>
    <mergeCell ref="B78:L78"/>
    <mergeCell ref="B87:L87"/>
    <mergeCell ref="A93:L93"/>
    <mergeCell ref="D132:I132"/>
    <mergeCell ref="A130:C130"/>
    <mergeCell ref="A92:L92"/>
    <mergeCell ref="A132:C132"/>
    <mergeCell ref="A68:B68"/>
    <mergeCell ref="B51:L51"/>
    <mergeCell ref="C59:L59"/>
    <mergeCell ref="A6:L6"/>
    <mergeCell ref="B114:L114"/>
    <mergeCell ref="A39:B39"/>
    <mergeCell ref="B35:L35"/>
    <mergeCell ref="A48:B48"/>
    <mergeCell ref="B106:L106"/>
    <mergeCell ref="A30:B30"/>
    <mergeCell ref="C61:L61"/>
    <mergeCell ref="A59:B59"/>
    <mergeCell ref="C39:L39"/>
    <mergeCell ref="C48:L48"/>
    <mergeCell ref="B90:L90"/>
    <mergeCell ref="A133:L133"/>
    <mergeCell ref="A80:L80"/>
    <mergeCell ref="C32:L32"/>
    <mergeCell ref="A3:L3"/>
    <mergeCell ref="C38:L38"/>
    <mergeCell ref="A61:B61"/>
    <mergeCell ref="A79:B79"/>
    <mergeCell ref="B18:L18"/>
    <mergeCell ref="B27:L27"/>
    <mergeCell ref="A104:L104"/>
    <mergeCell ref="D122:I122"/>
    <mergeCell ref="B11:L11"/>
    <mergeCell ref="B67:L67"/>
    <mergeCell ref="C33:L33"/>
    <mergeCell ref="B53:L53"/>
    <mergeCell ref="B119:L119"/>
    <mergeCell ref="C79:L79"/>
    <mergeCell ref="C73:L73"/>
    <mergeCell ref="B37:L37"/>
    <mergeCell ref="J126:L126"/>
    <mergeCell ref="C63:L63"/>
    <mergeCell ref="B84:L84"/>
    <mergeCell ref="J122:L122"/>
    <mergeCell ref="C50:L50"/>
    <mergeCell ref="A24:L24"/>
    <mergeCell ref="C55:L55"/>
    <mergeCell ref="A52:B52"/>
    <mergeCell ref="B15:L15"/>
    <mergeCell ref="A63:B63"/>
    <mergeCell ref="A123:L123"/>
    <mergeCell ref="B95:L95"/>
    <mergeCell ref="B89:L89"/>
    <mergeCell ref="A124:C124"/>
    <mergeCell ref="A77:B77"/>
    <mergeCell ref="A34:B34"/>
    <mergeCell ref="D124:I124"/>
    <mergeCell ref="A16:L16"/>
    <mergeCell ref="B97:L97"/>
    <mergeCell ref="A25:L25"/>
    <mergeCell ref="C52:L52"/>
    <mergeCell ref="A49:B49"/>
    <mergeCell ref="B81:L81"/>
    <mergeCell ref="D126:I126"/>
    <mergeCell ref="A118:L118"/>
    <mergeCell ref="C72:L72"/>
    <mergeCell ref="A69:B69"/>
    <mergeCell ref="B71:L71"/>
    <mergeCell ref="B43:L43"/>
    <mergeCell ref="A65:B65"/>
    <mergeCell ref="C69:L69"/>
    <mergeCell ref="A126:C126"/>
    <mergeCell ref="J124:L124"/>
    <mergeCell ref="B120:L120"/>
    <mergeCell ref="C30:L30"/>
    <mergeCell ref="B42:L42"/>
    <mergeCell ref="B107:L107"/>
    <mergeCell ref="A122:C122"/>
    <mergeCell ref="B17:L17"/>
    <mergeCell ref="A55:B55"/>
    <mergeCell ref="B57:L57"/>
    <mergeCell ref="A20:L20"/>
    <mergeCell ref="A125:L125"/>
    <mergeCell ref="A112:L112"/>
    <mergeCell ref="B44:L44"/>
    <mergeCell ref="A121:L121"/>
    <mergeCell ref="C64:L64"/>
    <mergeCell ref="B19:L19"/>
    <mergeCell ref="A32:B32"/>
    <mergeCell ref="B28:L28"/>
    <mergeCell ref="A127:L127"/>
    <mergeCell ref="B99:L99"/>
    <mergeCell ref="C54:L54"/>
    <mergeCell ref="B108:L108"/>
    <mergeCell ref="B83:L83"/>
    <mergeCell ref="A38:B38"/>
    <mergeCell ref="A98:L98"/>
    <mergeCell ref="A1:F1"/>
    <mergeCell ref="A70:L70"/>
    <mergeCell ref="A40:B40"/>
    <mergeCell ref="B94:L94"/>
    <mergeCell ref="C76:L76"/>
    <mergeCell ref="B75:L75"/>
    <mergeCell ref="A7:L7"/>
    <mergeCell ref="A41:L41"/>
    <mergeCell ref="A60:B60"/>
    <mergeCell ref="B62:L62"/>
    <mergeCell ref="A56:L56"/>
    <mergeCell ref="C66:L66"/>
    <mergeCell ref="B96:L96"/>
    <mergeCell ref="J128:L128"/>
    <mergeCell ref="A85:L85"/>
    <mergeCell ref="A8:L8"/>
    <mergeCell ref="C68:L68"/>
    <mergeCell ref="A66:B66"/>
    <mergeCell ref="B111:L111"/>
    <mergeCell ref="C58:L58"/>
    <mergeCell ref="A50:B50"/>
    <mergeCell ref="G1:L1"/>
    <mergeCell ref="B88:L88"/>
    <mergeCell ref="B82:L82"/>
    <mergeCell ref="A117:L117"/>
    <mergeCell ref="C29:L29"/>
    <mergeCell ref="B10:L10"/>
    <mergeCell ref="A9:L9"/>
    <mergeCell ref="B45:L45"/>
    <mergeCell ref="C65:L65"/>
    <mergeCell ref="C31:L31"/>
    <mergeCell ref="A29:B29"/>
    <mergeCell ref="A72:B72"/>
    <mergeCell ref="C40:L40"/>
    <mergeCell ref="D128:I128"/>
    <mergeCell ref="B110:L110"/>
    <mergeCell ref="B36:L36"/>
    <mergeCell ref="A31:B31"/>
    <mergeCell ref="C60:L60"/>
    <mergeCell ref="A58:B58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32" min="0" max="16383" man="1"/>
    <brk id="60" min="0" max="16383" man="1"/>
    <brk id="84" min="0" max="16383" man="1"/>
    <brk id="11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9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6" customHeight="1">
      <c r="A2" s="44" t="inlineStr">
        <is>
          <t>검 측 체 크 리 스 트</t>
        </is>
      </c>
    </row>
    <row r="3" ht="26" customHeight="1">
      <c r="A3" s="14" t="inlineStr">
        <is>
          <t>공종 CODE NO.</t>
        </is>
      </c>
      <c r="B3" s="15" t="n"/>
      <c r="C3" s="27" t="n"/>
      <c r="D3" s="15" t="n"/>
      <c r="E3" s="45" t="inlineStr">
        <is>
          <t>미 장 공 사</t>
        </is>
      </c>
      <c r="F3" s="15" t="n"/>
      <c r="G3" s="14" t="inlineStr">
        <is>
          <t>위치 및 부위</t>
        </is>
      </c>
      <c r="H3" s="15" t="n"/>
      <c r="I3" s="23" t="n"/>
      <c r="J3" s="15" t="n"/>
      <c r="K3" s="15" t="n"/>
      <c r="L3" s="15" t="n"/>
    </row>
    <row r="4" ht="34" customHeight="1">
      <c r="A4" s="14" t="inlineStr">
        <is>
          <t>공종(세부공종)</t>
        </is>
      </c>
      <c r="B4" s="15" t="n"/>
      <c r="C4" s="46" t="inlineStr">
        <is>
          <t>벽체 시멘트 모르타르 바르기 — 바탕면 처리 및 준비 상태</t>
        </is>
      </c>
      <c r="D4" s="15" t="n"/>
      <c r="E4" s="15" t="n"/>
      <c r="F4" s="15" t="n"/>
      <c r="G4" s="14" t="inlineStr">
        <is>
          <t>검 측 일 자</t>
        </is>
      </c>
      <c r="H4" s="15" t="n"/>
      <c r="I4" s="47" t="n"/>
      <c r="J4" s="15" t="n"/>
      <c r="K4" s="15" t="n"/>
      <c r="L4" s="15" t="n"/>
    </row>
    <row r="5" ht="20" customHeight="1">
      <c r="A5" s="25" t="inlineStr">
        <is>
          <t>검  사  항  목</t>
        </is>
      </c>
      <c r="B5" s="15" t="n"/>
      <c r="C5" s="15" t="n"/>
      <c r="D5" s="15" t="n"/>
      <c r="E5" s="15" t="n"/>
      <c r="F5" s="48" t="inlineStr">
        <is>
          <t>검 사 기 준
(시방서 · 도면 등)</t>
        </is>
      </c>
      <c r="G5" s="15" t="n"/>
      <c r="H5" s="25" t="inlineStr">
        <is>
          <t>검  사  결  과</t>
        </is>
      </c>
      <c r="I5" s="15" t="n"/>
      <c r="J5" s="15" t="n"/>
      <c r="K5" s="15" t="n"/>
      <c r="L5" s="48" t="inlineStr">
        <is>
          <t>조치
사항</t>
        </is>
      </c>
    </row>
    <row r="6" ht="18" customHeight="1">
      <c r="A6" s="15" t="n"/>
      <c r="B6" s="15" t="n"/>
      <c r="C6" s="15" t="n"/>
      <c r="D6" s="15" t="n"/>
      <c r="E6" s="15" t="n"/>
      <c r="F6" s="15" t="n"/>
      <c r="G6" s="15" t="n"/>
      <c r="H6" s="25" t="inlineStr">
        <is>
          <t>1  차</t>
        </is>
      </c>
      <c r="I6" s="15" t="n"/>
      <c r="J6" s="25" t="inlineStr">
        <is>
          <t>2  차</t>
        </is>
      </c>
      <c r="K6" s="15" t="n"/>
      <c r="L6" s="15" t="n"/>
    </row>
    <row r="7" ht="18" customHeight="1">
      <c r="A7" s="15" t="n"/>
      <c r="B7" s="15" t="n"/>
      <c r="C7" s="15" t="n"/>
      <c r="D7" s="15" t="n"/>
      <c r="E7" s="15" t="n"/>
      <c r="F7" s="15" t="n"/>
      <c r="G7" s="15" t="n"/>
      <c r="H7" s="48" t="inlineStr">
        <is>
          <t>합격</t>
        </is>
      </c>
      <c r="I7" s="49" t="inlineStr">
        <is>
          <t>불합격</t>
        </is>
      </c>
      <c r="J7" s="48" t="inlineStr">
        <is>
          <t>합격</t>
        </is>
      </c>
      <c r="K7" s="49" t="inlineStr">
        <is>
          <t>불합격</t>
        </is>
      </c>
      <c r="L7" s="15" t="n"/>
    </row>
    <row r="8" ht="34" customHeight="1">
      <c r="A8" s="50" t="inlineStr">
        <is>
          <t>1. 시멘트 · 모래 자재공급원 승인은 되었는가</t>
        </is>
      </c>
      <c r="B8" s="15" t="n"/>
      <c r="C8" s="15" t="n"/>
      <c r="D8" s="15" t="n"/>
      <c r="E8" s="15" t="n"/>
      <c r="F8" s="51" t="inlineStr">
        <is>
          <t>승인 여부</t>
        </is>
      </c>
      <c r="G8" s="15" t="n"/>
      <c r="H8" s="32" t="n"/>
      <c r="I8" s="32" t="n"/>
      <c r="J8" s="32" t="n"/>
      <c r="K8" s="32" t="n"/>
      <c r="L8" s="52" t="n"/>
    </row>
    <row r="9" ht="34" customHeight="1">
      <c r="A9" s="50" t="inlineStr">
        <is>
          <t>2. 각종 라스 및 메탈라스의 자재공급원 승인은 되었는가</t>
        </is>
      </c>
      <c r="B9" s="15" t="n"/>
      <c r="C9" s="15" t="n"/>
      <c r="D9" s="15" t="n"/>
      <c r="E9" s="15" t="n"/>
      <c r="F9" s="51" t="inlineStr">
        <is>
          <t>승인 여부</t>
        </is>
      </c>
      <c r="G9" s="15" t="n"/>
      <c r="H9" s="32" t="n"/>
      <c r="I9" s="32" t="n"/>
      <c r="J9" s="32" t="n"/>
      <c r="K9" s="32" t="n"/>
      <c r="L9" s="52" t="n"/>
    </row>
    <row r="10" ht="34" customHeight="1">
      <c r="A10" s="50" t="inlineStr">
        <is>
          <t>3. 바탕처리는 적정한가(물축임 · 오염 제거 등)</t>
        </is>
      </c>
      <c r="B10" s="15" t="n"/>
      <c r="C10" s="15" t="n"/>
      <c r="D10" s="15" t="n"/>
      <c r="E10" s="15" t="n"/>
      <c r="F10" s="51" t="inlineStr">
        <is>
          <t>적 · 부</t>
        </is>
      </c>
      <c r="G10" s="15" t="n"/>
      <c r="H10" s="32" t="n"/>
      <c r="I10" s="32" t="n"/>
      <c r="J10" s="32" t="n"/>
      <c r="K10" s="32" t="n"/>
      <c r="L10" s="52" t="n"/>
    </row>
    <row r="11" ht="34" customHeight="1">
      <c r="A11" s="50" t="inlineStr">
        <is>
          <t>4. 구조체 곰보 · 이음 조인트 · 균열 · 재료분리 등의 조치는 적정한가</t>
        </is>
      </c>
      <c r="B11" s="15" t="n"/>
      <c r="C11" s="15" t="n"/>
      <c r="D11" s="15" t="n"/>
      <c r="E11" s="15" t="n"/>
      <c r="F11" s="51" t="inlineStr">
        <is>
          <t>적 · 부</t>
        </is>
      </c>
      <c r="G11" s="15" t="n"/>
      <c r="H11" s="32" t="n"/>
      <c r="I11" s="32" t="n"/>
      <c r="J11" s="32" t="n"/>
      <c r="K11" s="32" t="n"/>
      <c r="L11" s="52" t="n"/>
    </row>
    <row r="12" ht="34" customHeight="1">
      <c r="A12" s="50" t="inlineStr">
        <is>
          <t>5. 창틀 주변 모르타르 사춤은 완료하였는가</t>
        </is>
      </c>
      <c r="B12" s="15" t="n"/>
      <c r="C12" s="15" t="n"/>
      <c r="D12" s="15" t="n"/>
      <c r="E12" s="15" t="n"/>
      <c r="F12" s="51" t="inlineStr">
        <is>
          <t>적 · 부</t>
        </is>
      </c>
      <c r="G12" s="15" t="n"/>
      <c r="H12" s="32" t="n"/>
      <c r="I12" s="32" t="n"/>
      <c r="J12" s="32" t="n"/>
      <c r="K12" s="32" t="n"/>
      <c r="L12" s="52" t="n"/>
    </row>
    <row r="13" ht="34" customHeight="1">
      <c r="A13" s="50" t="inlineStr">
        <is>
          <t>6. 전기 및 설비 배관 부위 모르타르 사춤은 완료하였는가</t>
        </is>
      </c>
      <c r="B13" s="15" t="n"/>
      <c r="C13" s="15" t="n"/>
      <c r="D13" s="15" t="n"/>
      <c r="E13" s="15" t="n"/>
      <c r="F13" s="51" t="inlineStr">
        <is>
          <t>적 · 부</t>
        </is>
      </c>
      <c r="G13" s="15" t="n"/>
      <c r="H13" s="32" t="n"/>
      <c r="I13" s="32" t="n"/>
      <c r="J13" s="32" t="n"/>
      <c r="K13" s="32" t="n"/>
      <c r="L13" s="52" t="n"/>
    </row>
    <row r="14" ht="34" customHeight="1">
      <c r="A14" s="50" t="inlineStr">
        <is>
          <t>7. 이질재 접합부 라스 설치 및 코너비드 설치 상태는 적정한가</t>
        </is>
      </c>
      <c r="B14" s="15" t="n"/>
      <c r="C14" s="15" t="n"/>
      <c r="D14" s="15" t="n"/>
      <c r="E14" s="15" t="n"/>
      <c r="F14" s="51" t="inlineStr">
        <is>
          <t>적 · 부</t>
        </is>
      </c>
      <c r="G14" s="15" t="n"/>
      <c r="H14" s="32" t="n"/>
      <c r="I14" s="32" t="n"/>
      <c r="J14" s="32" t="n"/>
      <c r="K14" s="32" t="n"/>
      <c r="L14" s="52" t="n"/>
    </row>
    <row r="15" ht="34" customHeight="1">
      <c r="A15" s="50" t="inlineStr">
        <is>
          <t>8. 균열 방지용 메탈라스의 설치 방법 및 보강 위치는 적정한가</t>
        </is>
      </c>
      <c r="B15" s="15" t="n"/>
      <c r="C15" s="15" t="n"/>
      <c r="D15" s="15" t="n"/>
      <c r="E15" s="15" t="n"/>
      <c r="F15" s="51" t="inlineStr">
        <is>
          <t>시공상세도</t>
        </is>
      </c>
      <c r="G15" s="15" t="n"/>
      <c r="H15" s="32" t="n"/>
      <c r="I15" s="32" t="n"/>
      <c r="J15" s="32" t="n"/>
      <c r="K15" s="32" t="n"/>
      <c r="L15" s="52" t="n"/>
    </row>
    <row r="16" ht="34" customHeight="1">
      <c r="A16" s="50" t="inlineStr">
        <is>
          <t>9. 시멘트벽돌 쌓기 완료 후 일정 기간 보양을 하였는가</t>
        </is>
      </c>
      <c r="B16" s="15" t="n"/>
      <c r="C16" s="15" t="n"/>
      <c r="D16" s="15" t="n"/>
      <c r="E16" s="15" t="n"/>
      <c r="F16" s="51" t="inlineStr">
        <is>
          <t>적 · 부</t>
        </is>
      </c>
      <c r="G16" s="15" t="n"/>
      <c r="H16" s="32" t="n"/>
      <c r="I16" s="32" t="n"/>
      <c r="J16" s="32" t="n"/>
      <c r="K16" s="32" t="n"/>
      <c r="L16" s="52" t="n"/>
    </row>
    <row r="17" ht="34" customHeight="1">
      <c r="A17" s="50" t="inlineStr">
        <is>
          <t>10. 콘크리트 균열 부위는 적정하게 보수하였는가(에폭시 그라우팅)</t>
        </is>
      </c>
      <c r="B17" s="15" t="n"/>
      <c r="C17" s="15" t="n"/>
      <c r="D17" s="15" t="n"/>
      <c r="E17" s="15" t="n"/>
      <c r="F17" s="51" t="inlineStr">
        <is>
          <t>적 · 부</t>
        </is>
      </c>
      <c r="G17" s="15" t="n"/>
      <c r="H17" s="32" t="n"/>
      <c r="I17" s="32" t="n"/>
      <c r="J17" s="32" t="n"/>
      <c r="K17" s="32" t="n"/>
      <c r="L17" s="52" t="n"/>
    </row>
    <row r="18" ht="26" customHeight="1">
      <c r="A18" s="30" t="inlineStr">
        <is>
          <t>판  정</t>
        </is>
      </c>
      <c r="B18" s="15" t="n"/>
      <c r="C18" s="15" t="n"/>
      <c r="D18" s="53">
        <f>IF(COUNTA(H8:H17)+COUNTA(I8:I17)=0,"","1차 합격 "&amp;COUNTA(H8:H17)&amp;" · 불합격 "&amp;COUNTA(I8:I17)&amp;IF(COUNTA(I8:I17)&gt;0," / 2차 합격 "&amp;COUNTA(J8:J17)&amp;" · 불합격 "&amp;COUNTA(K8:K17),"")&amp;IF(COUNTA(H8:H17)+COUNTA(I8:I17)&lt;10," · 빈칸 "&amp;(10-COUNTA(H8:H17)-COUNTA(I8:I17)),"")&amp;"  →  "&amp;IF(COUNTA(I8:I17)=0,IF(COUNTA(H8:H17)+COUNTA(I8:I17)&lt;10,"점검 중","합격"),IF(AND(COUNTA(K8:K17)=0,COUNTA(J8:J17)&gt;=COUNTA(I8:I17)),"합격(재검측)","보완 후 재검측")))</f>
        <v/>
      </c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2" customHeight="1">
      <c r="A19" s="25" t="inlineStr">
        <is>
          <t>시 공 자  점 검</t>
        </is>
      </c>
      <c r="B19" s="15" t="n"/>
      <c r="C19" s="15" t="n"/>
      <c r="D19" s="15" t="n"/>
      <c r="E19" s="15" t="n"/>
      <c r="F19" s="15" t="n"/>
      <c r="G19" s="25" t="inlineStr">
        <is>
          <t>감 리 원  검 측</t>
        </is>
      </c>
      <c r="H19" s="15" t="n"/>
      <c r="I19" s="15" t="n"/>
      <c r="J19" s="15" t="n"/>
      <c r="K19" s="15" t="n"/>
      <c r="L19" s="15" t="n"/>
    </row>
    <row r="20" ht="20" customHeight="1">
      <c r="A20" s="25" t="inlineStr">
        <is>
          <t>점   검</t>
        </is>
      </c>
      <c r="B20" s="15" t="n"/>
      <c r="C20" s="15" t="n"/>
      <c r="D20" s="25" t="inlineStr">
        <is>
          <t>재 점 검</t>
        </is>
      </c>
      <c r="E20" s="15" t="n"/>
      <c r="F20" s="15" t="n"/>
      <c r="G20" s="25" t="inlineStr">
        <is>
          <t>검   측</t>
        </is>
      </c>
      <c r="H20" s="15" t="n"/>
      <c r="I20" s="15" t="n"/>
      <c r="J20" s="25" t="inlineStr">
        <is>
          <t>재 검 측</t>
        </is>
      </c>
      <c r="K20" s="15" t="n"/>
      <c r="L20" s="15" t="n"/>
    </row>
    <row r="21" ht="44" customHeight="1">
      <c r="A21" s="54" t="inlineStr">
        <is>
          <t>(인)</t>
        </is>
      </c>
      <c r="B21" s="15" t="n"/>
      <c r="C21" s="15" t="n"/>
      <c r="D21" s="54" t="inlineStr">
        <is>
          <t>(인)</t>
        </is>
      </c>
      <c r="E21" s="15" t="n"/>
      <c r="F21" s="15" t="n"/>
      <c r="G21" s="54" t="inlineStr">
        <is>
          <t>(인)</t>
        </is>
      </c>
      <c r="H21" s="15" t="n"/>
      <c r="I21" s="15" t="n"/>
      <c r="J21" s="54" t="inlineStr">
        <is>
          <t>(인)</t>
        </is>
      </c>
      <c r="K21" s="15" t="n"/>
      <c r="L21" s="15" t="n"/>
    </row>
    <row r="22" ht="36" customHeight="1">
      <c r="A22" s="44" t="inlineStr">
        <is>
          <t>검 측 체 크 리 스 트</t>
        </is>
      </c>
    </row>
    <row r="23" ht="26" customHeight="1">
      <c r="A23" s="14" t="inlineStr">
        <is>
          <t>공종 CODE NO.</t>
        </is>
      </c>
      <c r="B23" s="15" t="n"/>
      <c r="C23" s="27" t="n"/>
      <c r="D23" s="15" t="n"/>
      <c r="E23" s="45" t="inlineStr">
        <is>
          <t>미 장 공 사</t>
        </is>
      </c>
      <c r="F23" s="15" t="n"/>
      <c r="G23" s="14" t="inlineStr">
        <is>
          <t>위치 및 부위</t>
        </is>
      </c>
      <c r="H23" s="15" t="n"/>
      <c r="I23" s="23" t="n"/>
      <c r="J23" s="15" t="n"/>
      <c r="K23" s="15" t="n"/>
      <c r="L23" s="15" t="n"/>
    </row>
    <row r="24" ht="34" customHeight="1">
      <c r="A24" s="14" t="inlineStr">
        <is>
          <t>공종(세부공종)</t>
        </is>
      </c>
      <c r="B24" s="15" t="n"/>
      <c r="C24" s="46" t="inlineStr">
        <is>
          <t>벽체 시멘트 모르타르 바르기 — 초벌 바름 완료 상태</t>
        </is>
      </c>
      <c r="D24" s="15" t="n"/>
      <c r="E24" s="15" t="n"/>
      <c r="F24" s="15" t="n"/>
      <c r="G24" s="14" t="inlineStr">
        <is>
          <t>검 측 일 자</t>
        </is>
      </c>
      <c r="H24" s="15" t="n"/>
      <c r="I24" s="47" t="n"/>
      <c r="J24" s="15" t="n"/>
      <c r="K24" s="15" t="n"/>
      <c r="L24" s="15" t="n"/>
    </row>
    <row r="25" ht="20" customHeight="1">
      <c r="A25" s="25" t="inlineStr">
        <is>
          <t>검  사  항  목</t>
        </is>
      </c>
      <c r="B25" s="15" t="n"/>
      <c r="C25" s="15" t="n"/>
      <c r="D25" s="15" t="n"/>
      <c r="E25" s="15" t="n"/>
      <c r="F25" s="48" t="inlineStr">
        <is>
          <t>검 사 기 준
(시방서 · 도면 등)</t>
        </is>
      </c>
      <c r="G25" s="15" t="n"/>
      <c r="H25" s="25" t="inlineStr">
        <is>
          <t>검  사  결  과</t>
        </is>
      </c>
      <c r="I25" s="15" t="n"/>
      <c r="J25" s="15" t="n"/>
      <c r="K25" s="15" t="n"/>
      <c r="L25" s="48" t="inlineStr">
        <is>
          <t>조치
사항</t>
        </is>
      </c>
    </row>
    <row r="26" ht="18" customHeight="1">
      <c r="A26" s="15" t="n"/>
      <c r="B26" s="15" t="n"/>
      <c r="C26" s="15" t="n"/>
      <c r="D26" s="15" t="n"/>
      <c r="E26" s="15" t="n"/>
      <c r="F26" s="15" t="n"/>
      <c r="G26" s="15" t="n"/>
      <c r="H26" s="25" t="inlineStr">
        <is>
          <t>1  차</t>
        </is>
      </c>
      <c r="I26" s="15" t="n"/>
      <c r="J26" s="25" t="inlineStr">
        <is>
          <t>2  차</t>
        </is>
      </c>
      <c r="K26" s="15" t="n"/>
      <c r="L26" s="15" t="n"/>
    </row>
    <row r="27" ht="18" customHeight="1">
      <c r="A27" s="15" t="n"/>
      <c r="B27" s="15" t="n"/>
      <c r="C27" s="15" t="n"/>
      <c r="D27" s="15" t="n"/>
      <c r="E27" s="15" t="n"/>
      <c r="F27" s="15" t="n"/>
      <c r="G27" s="15" t="n"/>
      <c r="H27" s="48" t="inlineStr">
        <is>
          <t>합격</t>
        </is>
      </c>
      <c r="I27" s="49" t="inlineStr">
        <is>
          <t>불합격</t>
        </is>
      </c>
      <c r="J27" s="48" t="inlineStr">
        <is>
          <t>합격</t>
        </is>
      </c>
      <c r="K27" s="49" t="inlineStr">
        <is>
          <t>불합격</t>
        </is>
      </c>
      <c r="L27" s="15" t="n"/>
    </row>
    <row r="28" ht="34" customHeight="1">
      <c r="A28" s="50" t="inlineStr">
        <is>
          <t>1. 시멘트 보관 및 관리는 적정한가(반입일자 · 야적상태 · 습기 등)</t>
        </is>
      </c>
      <c r="B28" s="15" t="n"/>
      <c r="C28" s="15" t="n"/>
      <c r="D28" s="15" t="n"/>
      <c r="E28" s="15" t="n"/>
      <c r="F28" s="51" t="inlineStr">
        <is>
          <t>적 · 부</t>
        </is>
      </c>
      <c r="G28" s="15" t="n"/>
      <c r="H28" s="32" t="n"/>
      <c r="I28" s="32" t="n"/>
      <c r="J28" s="32" t="n"/>
      <c r="K28" s="32" t="n"/>
      <c r="L28" s="52" t="n"/>
    </row>
    <row r="29" ht="34" customHeight="1">
      <c r="A29" s="50" t="inlineStr">
        <is>
          <t>2. 모래 입도는 적정하며 진흙 · 먼지 · 철분 함유는 없는가</t>
        </is>
      </c>
      <c r="B29" s="15" t="n"/>
      <c r="C29" s="15" t="n"/>
      <c r="D29" s="15" t="n"/>
      <c r="E29" s="15" t="n"/>
      <c r="F29" s="51" t="inlineStr">
        <is>
          <t>적 · 부</t>
        </is>
      </c>
      <c r="G29" s="15" t="n"/>
      <c r="H29" s="32" t="n"/>
      <c r="I29" s="32" t="n"/>
      <c r="J29" s="32" t="n"/>
      <c r="K29" s="32" t="n"/>
      <c r="L29" s="52" t="n"/>
    </row>
    <row r="30" ht="34" customHeight="1">
      <c r="A30" s="50" t="inlineStr">
        <is>
          <t>3. 물은 깨끗하고 유해물이 포함되지 않았는가</t>
        </is>
      </c>
      <c r="B30" s="15" t="n"/>
      <c r="C30" s="15" t="n"/>
      <c r="D30" s="15" t="n"/>
      <c r="E30" s="15" t="n"/>
      <c r="F30" s="51" t="inlineStr">
        <is>
          <t>적 · 부</t>
        </is>
      </c>
      <c r="G30" s="15" t="n"/>
      <c r="H30" s="32" t="n"/>
      <c r="I30" s="32" t="n"/>
      <c r="J30" s="32" t="n"/>
      <c r="K30" s="32" t="n"/>
      <c r="L30" s="52" t="n"/>
    </row>
    <row r="31" ht="34" customHeight="1">
      <c r="A31" s="50" t="inlineStr">
        <is>
          <t>4. 초벌 바름 두께는 적정한가</t>
        </is>
      </c>
      <c r="B31" s="15" t="n"/>
      <c r="C31" s="15" t="n"/>
      <c r="D31" s="15" t="n"/>
      <c r="E31" s="15" t="n"/>
      <c r="F31" s="51" t="inlineStr">
        <is>
          <t>7mm</t>
        </is>
      </c>
      <c r="G31" s="15" t="n"/>
      <c r="H31" s="32" t="n"/>
      <c r="I31" s="32" t="n"/>
      <c r="J31" s="32" t="n"/>
      <c r="K31" s="32" t="n"/>
      <c r="L31" s="52" t="n"/>
    </row>
    <row r="32" ht="34" customHeight="1">
      <c r="A32" s="50" t="inlineStr">
        <is>
          <t>5. 면 긁어 주기는 적정한가</t>
        </is>
      </c>
      <c r="B32" s="15" t="n"/>
      <c r="C32" s="15" t="n"/>
      <c r="D32" s="15" t="n"/>
      <c r="E32" s="15" t="n"/>
      <c r="F32" s="51" t="inlineStr">
        <is>
          <t>가늘고 고르게</t>
        </is>
      </c>
      <c r="G32" s="15" t="n"/>
      <c r="H32" s="32" t="n"/>
      <c r="I32" s="32" t="n"/>
      <c r="J32" s="32" t="n"/>
      <c r="K32" s="32" t="n"/>
      <c r="L32" s="52" t="n"/>
    </row>
    <row r="33" ht="34" customHeight="1">
      <c r="A33" s="50" t="inlineStr">
        <is>
          <t>6. 구획별 양생 기간은 적정한가</t>
        </is>
      </c>
      <c r="B33" s="15" t="n"/>
      <c r="C33" s="15" t="n"/>
      <c r="D33" s="15" t="n"/>
      <c r="E33" s="15" t="n"/>
      <c r="F33" s="51" t="inlineStr">
        <is>
          <t>초벌 바름 후 7일 경과</t>
        </is>
      </c>
      <c r="G33" s="15" t="n"/>
      <c r="H33" s="32" t="n"/>
      <c r="I33" s="32" t="n"/>
      <c r="J33" s="32" t="n"/>
      <c r="K33" s="32" t="n"/>
      <c r="L33" s="52" t="n"/>
    </row>
    <row r="34" ht="34" customHeight="1">
      <c r="A34" s="50" t="inlineStr">
        <is>
          <t>7. 덧먹임 부분 및 바름 벽은 평활하며 들뜬 곳은 없는가</t>
        </is>
      </c>
      <c r="B34" s="15" t="n"/>
      <c r="C34" s="15" t="n"/>
      <c r="D34" s="15" t="n"/>
      <c r="E34" s="15" t="n"/>
      <c r="F34" s="51" t="inlineStr">
        <is>
          <t>적 · 부</t>
        </is>
      </c>
      <c r="G34" s="15" t="n"/>
      <c r="H34" s="32" t="n"/>
      <c r="I34" s="32" t="n"/>
      <c r="J34" s="32" t="n"/>
      <c r="K34" s="32" t="n"/>
      <c r="L34" s="52" t="n"/>
    </row>
    <row r="35" ht="34" customHeight="1">
      <c r="A35" s="50" t="inlineStr">
        <is>
          <t>8. 창호틀 등에 모르타르 오염은 없으며 보양 상태는 양호한가</t>
        </is>
      </c>
      <c r="B35" s="15" t="n"/>
      <c r="C35" s="15" t="n"/>
      <c r="D35" s="15" t="n"/>
      <c r="E35" s="15" t="n"/>
      <c r="F35" s="51" t="inlineStr">
        <is>
          <t>적 · 부</t>
        </is>
      </c>
      <c r="G35" s="15" t="n"/>
      <c r="H35" s="32" t="n"/>
      <c r="I35" s="32" t="n"/>
      <c r="J35" s="32" t="n"/>
      <c r="K35" s="32" t="n"/>
      <c r="L35" s="52" t="n"/>
    </row>
    <row r="36" ht="34" customHeight="1">
      <c r="A36" s="50" t="inlineStr">
        <is>
          <t>9. 시공 전 1일 이상, 시공 중 및 시공 후 3일 이상 영상 온도를 유지하였는가</t>
        </is>
      </c>
      <c r="B36" s="15" t="n"/>
      <c r="C36" s="15" t="n"/>
      <c r="D36" s="15" t="n"/>
      <c r="E36" s="15" t="n"/>
      <c r="F36" s="51" t="inlineStr">
        <is>
          <t>적 · 부</t>
        </is>
      </c>
      <c r="G36" s="15" t="n"/>
      <c r="H36" s="32" t="n"/>
      <c r="I36" s="32" t="n"/>
      <c r="J36" s="32" t="n"/>
      <c r="K36" s="32" t="n"/>
      <c r="L36" s="52" t="n"/>
    </row>
    <row r="37" ht="26" customHeight="1">
      <c r="A37" s="30" t="inlineStr">
        <is>
          <t>판  정</t>
        </is>
      </c>
      <c r="B37" s="15" t="n"/>
      <c r="C37" s="15" t="n"/>
      <c r="D37" s="53">
        <f>IF(COUNTA(H28:H36)+COUNTA(I28:I36)=0,"","1차 합격 "&amp;COUNTA(H28:H36)&amp;" · 불합격 "&amp;COUNTA(I28:I36)&amp;IF(COUNTA(I28:I36)&gt;0," / 2차 합격 "&amp;COUNTA(J28:J36)&amp;" · 불합격 "&amp;COUNTA(K28:K36),"")&amp;IF(COUNTA(H28:H36)+COUNTA(I28:I36)&lt;9," · 빈칸 "&amp;(9-COUNTA(H28:H36)-COUNTA(I28:I36)),"")&amp;"  →  "&amp;IF(COUNTA(I28:I36)=0,IF(COUNTA(H28:H36)+COUNTA(I28:I36)&lt;9,"점검 중","합격"),IF(AND(COUNTA(K28:K36)=0,COUNTA(J28:J36)&gt;=COUNTA(I28:I36)),"합격(재검측)","보완 후 재검측")))</f>
        <v/>
      </c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2" customHeight="1">
      <c r="A38" s="25" t="inlineStr">
        <is>
          <t>시 공 자  점 검</t>
        </is>
      </c>
      <c r="B38" s="15" t="n"/>
      <c r="C38" s="15" t="n"/>
      <c r="D38" s="15" t="n"/>
      <c r="E38" s="15" t="n"/>
      <c r="F38" s="15" t="n"/>
      <c r="G38" s="25" t="inlineStr">
        <is>
          <t>감 리 원  검 측</t>
        </is>
      </c>
      <c r="H38" s="15" t="n"/>
      <c r="I38" s="15" t="n"/>
      <c r="J38" s="15" t="n"/>
      <c r="K38" s="15" t="n"/>
      <c r="L38" s="15" t="n"/>
    </row>
    <row r="39" ht="20" customHeight="1">
      <c r="A39" s="25" t="inlineStr">
        <is>
          <t>점   검</t>
        </is>
      </c>
      <c r="B39" s="15" t="n"/>
      <c r="C39" s="15" t="n"/>
      <c r="D39" s="25" t="inlineStr">
        <is>
          <t>재 점 검</t>
        </is>
      </c>
      <c r="E39" s="15" t="n"/>
      <c r="F39" s="15" t="n"/>
      <c r="G39" s="25" t="inlineStr">
        <is>
          <t>검   측</t>
        </is>
      </c>
      <c r="H39" s="15" t="n"/>
      <c r="I39" s="15" t="n"/>
      <c r="J39" s="25" t="inlineStr">
        <is>
          <t>재 검 측</t>
        </is>
      </c>
      <c r="K39" s="15" t="n"/>
      <c r="L39" s="15" t="n"/>
    </row>
    <row r="40" ht="44" customHeight="1">
      <c r="A40" s="54" t="inlineStr">
        <is>
          <t>(인)</t>
        </is>
      </c>
      <c r="B40" s="15" t="n"/>
      <c r="C40" s="15" t="n"/>
      <c r="D40" s="54" t="inlineStr">
        <is>
          <t>(인)</t>
        </is>
      </c>
      <c r="E40" s="15" t="n"/>
      <c r="F40" s="15" t="n"/>
      <c r="G40" s="54" t="inlineStr">
        <is>
          <t>(인)</t>
        </is>
      </c>
      <c r="H40" s="15" t="n"/>
      <c r="I40" s="15" t="n"/>
      <c r="J40" s="54" t="inlineStr">
        <is>
          <t>(인)</t>
        </is>
      </c>
      <c r="K40" s="15" t="n"/>
      <c r="L40" s="15" t="n"/>
    </row>
    <row r="41" ht="36" customHeight="1">
      <c r="A41" s="44" t="inlineStr">
        <is>
          <t>검 측 체 크 리 스 트</t>
        </is>
      </c>
    </row>
    <row r="42" ht="26" customHeight="1">
      <c r="A42" s="14" t="inlineStr">
        <is>
          <t>공종 CODE NO.</t>
        </is>
      </c>
      <c r="B42" s="15" t="n"/>
      <c r="C42" s="27" t="n"/>
      <c r="D42" s="15" t="n"/>
      <c r="E42" s="45" t="inlineStr">
        <is>
          <t>미 장 공 사</t>
        </is>
      </c>
      <c r="F42" s="15" t="n"/>
      <c r="G42" s="14" t="inlineStr">
        <is>
          <t>위치 및 부위</t>
        </is>
      </c>
      <c r="H42" s="15" t="n"/>
      <c r="I42" s="23" t="n"/>
      <c r="J42" s="15" t="n"/>
      <c r="K42" s="15" t="n"/>
      <c r="L42" s="15" t="n"/>
    </row>
    <row r="43" ht="34" customHeight="1">
      <c r="A43" s="14" t="inlineStr">
        <is>
          <t>공종(세부공종)</t>
        </is>
      </c>
      <c r="B43" s="15" t="n"/>
      <c r="C43" s="46" t="inlineStr">
        <is>
          <t>벽체 시멘트 모르타르 바르기 — 정벌 바름 완료 상태</t>
        </is>
      </c>
      <c r="D43" s="15" t="n"/>
      <c r="E43" s="15" t="n"/>
      <c r="F43" s="15" t="n"/>
      <c r="G43" s="14" t="inlineStr">
        <is>
          <t>검 측 일 자</t>
        </is>
      </c>
      <c r="H43" s="15" t="n"/>
      <c r="I43" s="47" t="n"/>
      <c r="J43" s="15" t="n"/>
      <c r="K43" s="15" t="n"/>
      <c r="L43" s="15" t="n"/>
    </row>
    <row r="44" ht="20" customHeight="1">
      <c r="A44" s="25" t="inlineStr">
        <is>
          <t>검  사  항  목</t>
        </is>
      </c>
      <c r="B44" s="15" t="n"/>
      <c r="C44" s="15" t="n"/>
      <c r="D44" s="15" t="n"/>
      <c r="E44" s="15" t="n"/>
      <c r="F44" s="48" t="inlineStr">
        <is>
          <t>검 사 기 준
(시방서 · 도면 등)</t>
        </is>
      </c>
      <c r="G44" s="15" t="n"/>
      <c r="H44" s="25" t="inlineStr">
        <is>
          <t>검  사  결  과</t>
        </is>
      </c>
      <c r="I44" s="15" t="n"/>
      <c r="J44" s="15" t="n"/>
      <c r="K44" s="15" t="n"/>
      <c r="L44" s="48" t="inlineStr">
        <is>
          <t>조치
사항</t>
        </is>
      </c>
    </row>
    <row r="45" ht="18" customHeight="1">
      <c r="A45" s="15" t="n"/>
      <c r="B45" s="15" t="n"/>
      <c r="C45" s="15" t="n"/>
      <c r="D45" s="15" t="n"/>
      <c r="E45" s="15" t="n"/>
      <c r="F45" s="15" t="n"/>
      <c r="G45" s="15" t="n"/>
      <c r="H45" s="25" t="inlineStr">
        <is>
          <t>1  차</t>
        </is>
      </c>
      <c r="I45" s="15" t="n"/>
      <c r="J45" s="25" t="inlineStr">
        <is>
          <t>2  차</t>
        </is>
      </c>
      <c r="K45" s="15" t="n"/>
      <c r="L45" s="15" t="n"/>
    </row>
    <row r="46" ht="18" customHeight="1">
      <c r="A46" s="15" t="n"/>
      <c r="B46" s="15" t="n"/>
      <c r="C46" s="15" t="n"/>
      <c r="D46" s="15" t="n"/>
      <c r="E46" s="15" t="n"/>
      <c r="F46" s="15" t="n"/>
      <c r="G46" s="15" t="n"/>
      <c r="H46" s="48" t="inlineStr">
        <is>
          <t>합격</t>
        </is>
      </c>
      <c r="I46" s="49" t="inlineStr">
        <is>
          <t>불합격</t>
        </is>
      </c>
      <c r="J46" s="48" t="inlineStr">
        <is>
          <t>합격</t>
        </is>
      </c>
      <c r="K46" s="49" t="inlineStr">
        <is>
          <t>불합격</t>
        </is>
      </c>
      <c r="L46" s="15" t="n"/>
    </row>
    <row r="47" ht="34" customHeight="1">
      <c r="A47" s="50" t="inlineStr">
        <is>
          <t>1. 재벌 바탕의 이상 균열이나 보완 사항은 조치되었는가</t>
        </is>
      </c>
      <c r="B47" s="15" t="n"/>
      <c r="C47" s="15" t="n"/>
      <c r="D47" s="15" t="n"/>
      <c r="E47" s="15" t="n"/>
      <c r="F47" s="51" t="inlineStr">
        <is>
          <t>적 · 부</t>
        </is>
      </c>
      <c r="G47" s="15" t="n"/>
      <c r="H47" s="32" t="n"/>
      <c r="I47" s="32" t="n"/>
      <c r="J47" s="32" t="n"/>
      <c r="K47" s="32" t="n"/>
      <c r="L47" s="52" t="n"/>
    </row>
    <row r="48" ht="34" customHeight="1">
      <c r="A48" s="50" t="inlineStr">
        <is>
          <t>2. 면 · 선(수직 · 수평)이 양호한가</t>
        </is>
      </c>
      <c r="B48" s="15" t="n"/>
      <c r="C48" s="15" t="n"/>
      <c r="D48" s="15" t="n"/>
      <c r="E48" s="15" t="n"/>
      <c r="F48" s="51" t="inlineStr">
        <is>
          <t>적 · 부</t>
        </is>
      </c>
      <c r="G48" s="15" t="n"/>
      <c r="H48" s="32" t="n"/>
      <c r="I48" s="32" t="n"/>
      <c r="J48" s="32" t="n"/>
      <c r="K48" s="32" t="n"/>
      <c r="L48" s="52" t="n"/>
    </row>
    <row r="49" ht="34" customHeight="1">
      <c r="A49" s="50" t="inlineStr">
        <is>
          <t>3. 이질재부 비드 · 코너비드 · 걸레받이 비드 마무리는 양호한가</t>
        </is>
      </c>
      <c r="B49" s="15" t="n"/>
      <c r="C49" s="15" t="n"/>
      <c r="D49" s="15" t="n"/>
      <c r="E49" s="15" t="n"/>
      <c r="F49" s="51" t="inlineStr">
        <is>
          <t>적 · 부</t>
        </is>
      </c>
      <c r="G49" s="15" t="n"/>
      <c r="H49" s="32" t="n"/>
      <c r="I49" s="32" t="n"/>
      <c r="J49" s="32" t="n"/>
      <c r="K49" s="32" t="n"/>
      <c r="L49" s="52" t="n"/>
    </row>
    <row r="50" ht="34" customHeight="1">
      <c r="A50" s="50" t="inlineStr">
        <is>
          <t>4. 균열 발생 부분 및 들뜬 부분은 없는가</t>
        </is>
      </c>
      <c r="B50" s="15" t="n"/>
      <c r="C50" s="15" t="n"/>
      <c r="D50" s="15" t="n"/>
      <c r="E50" s="15" t="n"/>
      <c r="F50" s="51" t="inlineStr">
        <is>
          <t>적 · 부</t>
        </is>
      </c>
      <c r="G50" s="15" t="n"/>
      <c r="H50" s="32" t="n"/>
      <c r="I50" s="32" t="n"/>
      <c r="J50" s="32" t="n"/>
      <c r="K50" s="32" t="n"/>
      <c r="L50" s="52" t="n"/>
    </row>
    <row r="51" ht="34" customHeight="1">
      <c r="A51" s="50" t="inlineStr">
        <is>
          <t>5. 재벌 바름 후 7일 이상 두고 정벌을 시공하였는가</t>
        </is>
      </c>
      <c r="B51" s="15" t="n"/>
      <c r="C51" s="15" t="n"/>
      <c r="D51" s="15" t="n"/>
      <c r="E51" s="15" t="n"/>
      <c r="F51" s="51" t="inlineStr">
        <is>
          <t>적 · 부</t>
        </is>
      </c>
      <c r="G51" s="15" t="n"/>
      <c r="H51" s="32" t="n"/>
      <c r="I51" s="32" t="n"/>
      <c r="J51" s="32" t="n"/>
      <c r="K51" s="32" t="n"/>
      <c r="L51" s="52" t="n"/>
    </row>
    <row r="52" ht="34" customHeight="1">
      <c r="A52" s="50" t="inlineStr">
        <is>
          <t>6. 바름 벽은 평활하며 들뜬 곳은 없는가</t>
        </is>
      </c>
      <c r="B52" s="15" t="n"/>
      <c r="C52" s="15" t="n"/>
      <c r="D52" s="15" t="n"/>
      <c r="E52" s="15" t="n"/>
      <c r="F52" s="51" t="inlineStr">
        <is>
          <t>적 · 부</t>
        </is>
      </c>
      <c r="G52" s="15" t="n"/>
      <c r="H52" s="32" t="n"/>
      <c r="I52" s="32" t="n"/>
      <c r="J52" s="32" t="n"/>
      <c r="K52" s="32" t="n"/>
      <c r="L52" s="52" t="n"/>
    </row>
    <row r="53" ht="34" customHeight="1">
      <c r="A53" s="50" t="inlineStr">
        <is>
          <t>7. 창호틀 등에 모르타르 오염은 없으며 보양 상태는 양호한가</t>
        </is>
      </c>
      <c r="B53" s="15" t="n"/>
      <c r="C53" s="15" t="n"/>
      <c r="D53" s="15" t="n"/>
      <c r="E53" s="15" t="n"/>
      <c r="F53" s="51" t="inlineStr">
        <is>
          <t>적 · 부</t>
        </is>
      </c>
      <c r="G53" s="15" t="n"/>
      <c r="H53" s="32" t="n"/>
      <c r="I53" s="32" t="n"/>
      <c r="J53" s="32" t="n"/>
      <c r="K53" s="32" t="n"/>
      <c r="L53" s="52" t="n"/>
    </row>
    <row r="54" ht="34" customHeight="1">
      <c r="A54" s="50" t="inlineStr">
        <is>
          <t>8. 창틀 주변 코킹 시공 부위에 홈을 두었는가</t>
        </is>
      </c>
      <c r="B54" s="15" t="n"/>
      <c r="C54" s="15" t="n"/>
      <c r="D54" s="15" t="n"/>
      <c r="E54" s="15" t="n"/>
      <c r="F54" s="51" t="inlineStr">
        <is>
          <t>적 · 부</t>
        </is>
      </c>
      <c r="G54" s="15" t="n"/>
      <c r="H54" s="32" t="n"/>
      <c r="I54" s="32" t="n"/>
      <c r="J54" s="32" t="n"/>
      <c r="K54" s="32" t="n"/>
      <c r="L54" s="52" t="n"/>
    </row>
    <row r="55" ht="34" customHeight="1">
      <c r="A55" s="50" t="inlineStr">
        <is>
          <t>9. 정벌 바름 두께는 적정한가</t>
        </is>
      </c>
      <c r="B55" s="15" t="n"/>
      <c r="C55" s="15" t="n"/>
      <c r="D55" s="15" t="n"/>
      <c r="E55" s="15" t="n"/>
      <c r="F55" s="51" t="inlineStr">
        <is>
          <t>7mm</t>
        </is>
      </c>
      <c r="G55" s="15" t="n"/>
      <c r="H55" s="32" t="n"/>
      <c r="I55" s="32" t="n"/>
      <c r="J55" s="32" t="n"/>
      <c r="K55" s="32" t="n"/>
      <c r="L55" s="52" t="n"/>
    </row>
    <row r="56" ht="34" customHeight="1">
      <c r="A56" s="50" t="inlineStr">
        <is>
          <t>10. 다른 공정과의 간섭으로 재시공할 부위는 없는가</t>
        </is>
      </c>
      <c r="B56" s="15" t="n"/>
      <c r="C56" s="15" t="n"/>
      <c r="D56" s="15" t="n"/>
      <c r="E56" s="15" t="n"/>
      <c r="F56" s="51" t="inlineStr">
        <is>
          <t>적 · 부</t>
        </is>
      </c>
      <c r="G56" s="15" t="n"/>
      <c r="H56" s="32" t="n"/>
      <c r="I56" s="32" t="n"/>
      <c r="J56" s="32" t="n"/>
      <c r="K56" s="32" t="n"/>
      <c r="L56" s="52" t="n"/>
    </row>
    <row r="57" ht="34" customHeight="1">
      <c r="A57" s="50" t="inlineStr">
        <is>
          <t>11. 시공 전 1일 이상, 시공 중 및 시공 후 3일 이상 영상 온도를 유지하였는가</t>
        </is>
      </c>
      <c r="B57" s="15" t="n"/>
      <c r="C57" s="15" t="n"/>
      <c r="D57" s="15" t="n"/>
      <c r="E57" s="15" t="n"/>
      <c r="F57" s="51" t="inlineStr">
        <is>
          <t>적 · 부</t>
        </is>
      </c>
      <c r="G57" s="15" t="n"/>
      <c r="H57" s="32" t="n"/>
      <c r="I57" s="32" t="n"/>
      <c r="J57" s="32" t="n"/>
      <c r="K57" s="32" t="n"/>
      <c r="L57" s="52" t="n"/>
    </row>
    <row r="58" ht="26" customHeight="1">
      <c r="A58" s="30" t="inlineStr">
        <is>
          <t>판  정</t>
        </is>
      </c>
      <c r="B58" s="15" t="n"/>
      <c r="C58" s="15" t="n"/>
      <c r="D58" s="53">
        <f>IF(COUNTA(H47:H57)+COUNTA(I47:I57)=0,"","1차 합격 "&amp;COUNTA(H47:H57)&amp;" · 불합격 "&amp;COUNTA(I47:I57)&amp;IF(COUNTA(I47:I57)&gt;0," / 2차 합격 "&amp;COUNTA(J47:J57)&amp;" · 불합격 "&amp;COUNTA(K47:K57),"")&amp;IF(COUNTA(H47:H57)+COUNTA(I47:I57)&lt;11," · 빈칸 "&amp;(11-COUNTA(H47:H57)-COUNTA(I47:I57)),"")&amp;"  →  "&amp;IF(COUNTA(I47:I57)=0,IF(COUNTA(H47:H57)+COUNTA(I47:I57)&lt;11,"점검 중","합격"),IF(AND(COUNTA(K47:K57)=0,COUNTA(J47:J57)&gt;=COUNTA(I47:I57)),"합격(재검측)","보완 후 재검측")))</f>
        <v/>
      </c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 ht="22" customHeight="1">
      <c r="A59" s="25" t="inlineStr">
        <is>
          <t>시 공 자  점 검</t>
        </is>
      </c>
      <c r="B59" s="15" t="n"/>
      <c r="C59" s="15" t="n"/>
      <c r="D59" s="15" t="n"/>
      <c r="E59" s="15" t="n"/>
      <c r="F59" s="15" t="n"/>
      <c r="G59" s="25" t="inlineStr">
        <is>
          <t>감 리 원  검 측</t>
        </is>
      </c>
      <c r="H59" s="15" t="n"/>
      <c r="I59" s="15" t="n"/>
      <c r="J59" s="15" t="n"/>
      <c r="K59" s="15" t="n"/>
      <c r="L59" s="15" t="n"/>
    </row>
    <row r="60" ht="20" customHeight="1">
      <c r="A60" s="25" t="inlineStr">
        <is>
          <t>점   검</t>
        </is>
      </c>
      <c r="B60" s="15" t="n"/>
      <c r="C60" s="15" t="n"/>
      <c r="D60" s="25" t="inlineStr">
        <is>
          <t>재 점 검</t>
        </is>
      </c>
      <c r="E60" s="15" t="n"/>
      <c r="F60" s="15" t="n"/>
      <c r="G60" s="25" t="inlineStr">
        <is>
          <t>검   측</t>
        </is>
      </c>
      <c r="H60" s="15" t="n"/>
      <c r="I60" s="15" t="n"/>
      <c r="J60" s="25" t="inlineStr">
        <is>
          <t>재 검 측</t>
        </is>
      </c>
      <c r="K60" s="15" t="n"/>
      <c r="L60" s="15" t="n"/>
    </row>
    <row r="61" ht="44" customHeight="1">
      <c r="A61" s="54" t="inlineStr">
        <is>
          <t>(인)</t>
        </is>
      </c>
      <c r="B61" s="15" t="n"/>
      <c r="C61" s="15" t="n"/>
      <c r="D61" s="54" t="inlineStr">
        <is>
          <t>(인)</t>
        </is>
      </c>
      <c r="E61" s="15" t="n"/>
      <c r="F61" s="15" t="n"/>
      <c r="G61" s="54" t="inlineStr">
        <is>
          <t>(인)</t>
        </is>
      </c>
      <c r="H61" s="15" t="n"/>
      <c r="I61" s="15" t="n"/>
      <c r="J61" s="54" t="inlineStr">
        <is>
          <t>(인)</t>
        </is>
      </c>
      <c r="K61" s="15" t="n"/>
      <c r="L61" s="15" t="n"/>
    </row>
    <row r="62" ht="36" customHeight="1">
      <c r="A62" s="44" t="inlineStr">
        <is>
          <t>검 측 체 크 리 스 트</t>
        </is>
      </c>
    </row>
    <row r="63" ht="26" customHeight="1">
      <c r="A63" s="14" t="inlineStr">
        <is>
          <t>공종 CODE NO.</t>
        </is>
      </c>
      <c r="B63" s="15" t="n"/>
      <c r="C63" s="27" t="n"/>
      <c r="D63" s="15" t="n"/>
      <c r="E63" s="45" t="inlineStr">
        <is>
          <t>미 장 공 사</t>
        </is>
      </c>
      <c r="F63" s="15" t="n"/>
      <c r="G63" s="14" t="inlineStr">
        <is>
          <t>위치 및 부위</t>
        </is>
      </c>
      <c r="H63" s="15" t="n"/>
      <c r="I63" s="23" t="n"/>
      <c r="J63" s="15" t="n"/>
      <c r="K63" s="15" t="n"/>
      <c r="L63" s="15" t="n"/>
    </row>
    <row r="64" ht="34" customHeight="1">
      <c r="A64" s="14" t="inlineStr">
        <is>
          <t>공종(세부공종)</t>
        </is>
      </c>
      <c r="B64" s="15" t="n"/>
      <c r="C64" s="46" t="inlineStr">
        <is>
          <t>바닥 시멘트 모르타르 바르기 — 바탕면 처리 및 청소 상태</t>
        </is>
      </c>
      <c r="D64" s="15" t="n"/>
      <c r="E64" s="15" t="n"/>
      <c r="F64" s="15" t="n"/>
      <c r="G64" s="14" t="inlineStr">
        <is>
          <t>검 측 일 자</t>
        </is>
      </c>
      <c r="H64" s="15" t="n"/>
      <c r="I64" s="47" t="n"/>
      <c r="J64" s="15" t="n"/>
      <c r="K64" s="15" t="n"/>
      <c r="L64" s="15" t="n"/>
    </row>
    <row r="65" ht="20" customHeight="1">
      <c r="A65" s="25" t="inlineStr">
        <is>
          <t>검  사  항  목</t>
        </is>
      </c>
      <c r="B65" s="15" t="n"/>
      <c r="C65" s="15" t="n"/>
      <c r="D65" s="15" t="n"/>
      <c r="E65" s="15" t="n"/>
      <c r="F65" s="48" t="inlineStr">
        <is>
          <t>검 사 기 준
(시방서 · 도면 등)</t>
        </is>
      </c>
      <c r="G65" s="15" t="n"/>
      <c r="H65" s="25" t="inlineStr">
        <is>
          <t>검  사  결  과</t>
        </is>
      </c>
      <c r="I65" s="15" t="n"/>
      <c r="J65" s="15" t="n"/>
      <c r="K65" s="15" t="n"/>
      <c r="L65" s="48" t="inlineStr">
        <is>
          <t>조치
사항</t>
        </is>
      </c>
    </row>
    <row r="66" ht="18" customHeight="1">
      <c r="A66" s="15" t="n"/>
      <c r="B66" s="15" t="n"/>
      <c r="C66" s="15" t="n"/>
      <c r="D66" s="15" t="n"/>
      <c r="E66" s="15" t="n"/>
      <c r="F66" s="15" t="n"/>
      <c r="G66" s="15" t="n"/>
      <c r="H66" s="25" t="inlineStr">
        <is>
          <t>1  차</t>
        </is>
      </c>
      <c r="I66" s="15" t="n"/>
      <c r="J66" s="25" t="inlineStr">
        <is>
          <t>2  차</t>
        </is>
      </c>
      <c r="K66" s="15" t="n"/>
      <c r="L66" s="15" t="n"/>
    </row>
    <row r="67" ht="18" customHeight="1">
      <c r="A67" s="15" t="n"/>
      <c r="B67" s="15" t="n"/>
      <c r="C67" s="15" t="n"/>
      <c r="D67" s="15" t="n"/>
      <c r="E67" s="15" t="n"/>
      <c r="F67" s="15" t="n"/>
      <c r="G67" s="15" t="n"/>
      <c r="H67" s="48" t="inlineStr">
        <is>
          <t>합격</t>
        </is>
      </c>
      <c r="I67" s="49" t="inlineStr">
        <is>
          <t>불합격</t>
        </is>
      </c>
      <c r="J67" s="48" t="inlineStr">
        <is>
          <t>합격</t>
        </is>
      </c>
      <c r="K67" s="49" t="inlineStr">
        <is>
          <t>불합격</t>
        </is>
      </c>
      <c r="L67" s="15" t="n"/>
    </row>
    <row r="68" ht="34" customHeight="1">
      <c r="A68" s="50" t="inlineStr">
        <is>
          <t>1. 바닥에 다른 공정의 남은 자재는 반출되었는가</t>
        </is>
      </c>
      <c r="B68" s="15" t="n"/>
      <c r="C68" s="15" t="n"/>
      <c r="D68" s="15" t="n"/>
      <c r="E68" s="15" t="n"/>
      <c r="F68" s="51" t="inlineStr">
        <is>
          <t>적 · 부</t>
        </is>
      </c>
      <c r="G68" s="15" t="n"/>
      <c r="H68" s="32" t="n"/>
      <c r="I68" s="32" t="n"/>
      <c r="J68" s="32" t="n"/>
      <c r="K68" s="32" t="n"/>
      <c r="L68" s="52" t="n"/>
    </row>
    <row r="69" ht="34" customHeight="1">
      <c r="A69" s="50" t="inlineStr">
        <is>
          <t>2. 미장 · 조적 · 방수공사 때 바닥에 묻은 모르타르 등은 제거하였는가</t>
        </is>
      </c>
      <c r="B69" s="15" t="n"/>
      <c r="C69" s="15" t="n"/>
      <c r="D69" s="15" t="n"/>
      <c r="E69" s="15" t="n"/>
      <c r="F69" s="51" t="inlineStr">
        <is>
          <t>적 · 부</t>
        </is>
      </c>
      <c r="G69" s="15" t="n"/>
      <c r="H69" s="32" t="n"/>
      <c r="I69" s="32" t="n"/>
      <c r="J69" s="32" t="n"/>
      <c r="K69" s="32" t="n"/>
      <c r="L69" s="52" t="n"/>
    </row>
    <row r="70" ht="34" customHeight="1">
      <c r="A70" s="50" t="inlineStr">
        <is>
          <t>3. 전체 청소는 완료되었는가</t>
        </is>
      </c>
      <c r="B70" s="15" t="n"/>
      <c r="C70" s="15" t="n"/>
      <c r="D70" s="15" t="n"/>
      <c r="E70" s="15" t="n"/>
      <c r="F70" s="51" t="inlineStr">
        <is>
          <t>적 · 부</t>
        </is>
      </c>
      <c r="G70" s="15" t="n"/>
      <c r="H70" s="32" t="n"/>
      <c r="I70" s="32" t="n"/>
      <c r="J70" s="32" t="n"/>
      <c r="K70" s="32" t="n"/>
      <c r="L70" s="52" t="n"/>
    </row>
    <row r="71" ht="34" customHeight="1">
      <c r="A71" s="50" t="inlineStr">
        <is>
          <t>4. 각종 문틀 설치는 완료되었는가</t>
        </is>
      </c>
      <c r="B71" s="15" t="n"/>
      <c r="C71" s="15" t="n"/>
      <c r="D71" s="15" t="n"/>
      <c r="E71" s="15" t="n"/>
      <c r="F71" s="51" t="inlineStr">
        <is>
          <t>적 · 부</t>
        </is>
      </c>
      <c r="G71" s="15" t="n"/>
      <c r="H71" s="32" t="n"/>
      <c r="I71" s="32" t="n"/>
      <c r="J71" s="32" t="n"/>
      <c r="K71" s="32" t="n"/>
      <c r="L71" s="52" t="n"/>
    </row>
    <row r="72" ht="34" customHeight="1">
      <c r="A72" s="50" t="inlineStr">
        <is>
          <t>5. 현관 입구 및 실별 입구 하부에 실(Sill) 및 재료분리대는 설치되었는가</t>
        </is>
      </c>
      <c r="B72" s="15" t="n"/>
      <c r="C72" s="15" t="n"/>
      <c r="D72" s="15" t="n"/>
      <c r="E72" s="15" t="n"/>
      <c r="F72" s="51" t="inlineStr">
        <is>
          <t>적 · 부</t>
        </is>
      </c>
      <c r="G72" s="15" t="n"/>
      <c r="H72" s="32" t="n"/>
      <c r="I72" s="32" t="n"/>
      <c r="J72" s="32" t="n"/>
      <c r="K72" s="32" t="n"/>
      <c r="L72" s="52" t="n"/>
    </row>
    <row r="73" ht="34" customHeight="1">
      <c r="A73" s="50" t="inlineStr">
        <is>
          <t>6. 벽면에 마감 기준선은 표시되어 있는가</t>
        </is>
      </c>
      <c r="B73" s="15" t="n"/>
      <c r="C73" s="15" t="n"/>
      <c r="D73" s="15" t="n"/>
      <c r="E73" s="15" t="n"/>
      <c r="F73" s="51" t="inlineStr">
        <is>
          <t>적 · 부</t>
        </is>
      </c>
      <c r="G73" s="15" t="n"/>
      <c r="H73" s="32" t="n"/>
      <c r="I73" s="32" t="n"/>
      <c r="J73" s="32" t="n"/>
      <c r="K73" s="32" t="n"/>
      <c r="L73" s="52" t="n"/>
    </row>
    <row r="74" ht="34" customHeight="1">
      <c r="A74" s="50" t="inlineStr">
        <is>
          <t>7. 들뜸을 막기 위해 바닥면의 레이턴스 제거 및 치핑 등으로 거칠게 하였는가</t>
        </is>
      </c>
      <c r="B74" s="15" t="n"/>
      <c r="C74" s="15" t="n"/>
      <c r="D74" s="15" t="n"/>
      <c r="E74" s="15" t="n"/>
      <c r="F74" s="51" t="inlineStr">
        <is>
          <t>적 · 부</t>
        </is>
      </c>
      <c r="G74" s="15" t="n"/>
      <c r="H74" s="32" t="n"/>
      <c r="I74" s="32" t="n"/>
      <c r="J74" s="32" t="n"/>
      <c r="K74" s="32" t="n"/>
      <c r="L74" s="52" t="n"/>
    </row>
    <row r="75" ht="26" customHeight="1">
      <c r="A75" s="30" t="inlineStr">
        <is>
          <t>판  정</t>
        </is>
      </c>
      <c r="B75" s="15" t="n"/>
      <c r="C75" s="15" t="n"/>
      <c r="D75" s="53">
        <f>IF(COUNTA(H68:H74)+COUNTA(I68:I74)=0,"","1차 합격 "&amp;COUNTA(H68:H74)&amp;" · 불합격 "&amp;COUNTA(I68:I74)&amp;IF(COUNTA(I68:I74)&gt;0," / 2차 합격 "&amp;COUNTA(J68:J74)&amp;" · 불합격 "&amp;COUNTA(K68:K74),"")&amp;IF(COUNTA(H68:H74)+COUNTA(I68:I74)&lt;7," · 빈칸 "&amp;(7-COUNTA(H68:H74)-COUNTA(I68:I74)),"")&amp;"  →  "&amp;IF(COUNTA(I68:I74)=0,IF(COUNTA(H68:H74)+COUNTA(I68:I74)&lt;7,"점검 중","합격"),IF(AND(COUNTA(K68:K74)=0,COUNTA(J68:J74)&gt;=COUNTA(I68:I74)),"합격(재검측)","보완 후 재검측")))</f>
        <v/>
      </c>
      <c r="E75" s="15" t="n"/>
      <c r="F75" s="15" t="n"/>
      <c r="G75" s="15" t="n"/>
      <c r="H75" s="15" t="n"/>
      <c r="I75" s="15" t="n"/>
      <c r="J75" s="15" t="n"/>
      <c r="K75" s="15" t="n"/>
      <c r="L75" s="15" t="n"/>
    </row>
    <row r="76" ht="22" customHeight="1">
      <c r="A76" s="25" t="inlineStr">
        <is>
          <t>시 공 자  점 검</t>
        </is>
      </c>
      <c r="B76" s="15" t="n"/>
      <c r="C76" s="15" t="n"/>
      <c r="D76" s="15" t="n"/>
      <c r="E76" s="15" t="n"/>
      <c r="F76" s="15" t="n"/>
      <c r="G76" s="25" t="inlineStr">
        <is>
          <t>감 리 원  검 측</t>
        </is>
      </c>
      <c r="H76" s="15" t="n"/>
      <c r="I76" s="15" t="n"/>
      <c r="J76" s="15" t="n"/>
      <c r="K76" s="15" t="n"/>
      <c r="L76" s="15" t="n"/>
    </row>
    <row r="77" ht="20" customHeight="1">
      <c r="A77" s="25" t="inlineStr">
        <is>
          <t>점   검</t>
        </is>
      </c>
      <c r="B77" s="15" t="n"/>
      <c r="C77" s="15" t="n"/>
      <c r="D77" s="25" t="inlineStr">
        <is>
          <t>재 점 검</t>
        </is>
      </c>
      <c r="E77" s="15" t="n"/>
      <c r="F77" s="15" t="n"/>
      <c r="G77" s="25" t="inlineStr">
        <is>
          <t>검   측</t>
        </is>
      </c>
      <c r="H77" s="15" t="n"/>
      <c r="I77" s="15" t="n"/>
      <c r="J77" s="25" t="inlineStr">
        <is>
          <t>재 검 측</t>
        </is>
      </c>
      <c r="K77" s="15" t="n"/>
      <c r="L77" s="15" t="n"/>
    </row>
    <row r="78" ht="44" customHeight="1">
      <c r="A78" s="54" t="inlineStr">
        <is>
          <t>(인)</t>
        </is>
      </c>
      <c r="B78" s="15" t="n"/>
      <c r="C78" s="15" t="n"/>
      <c r="D78" s="54" t="inlineStr">
        <is>
          <t>(인)</t>
        </is>
      </c>
      <c r="E78" s="15" t="n"/>
      <c r="F78" s="15" t="n"/>
      <c r="G78" s="54" t="inlineStr">
        <is>
          <t>(인)</t>
        </is>
      </c>
      <c r="H78" s="15" t="n"/>
      <c r="I78" s="15" t="n"/>
      <c r="J78" s="54" t="inlineStr">
        <is>
          <t>(인)</t>
        </is>
      </c>
      <c r="K78" s="15" t="n"/>
      <c r="L78" s="15" t="n"/>
    </row>
    <row r="79" ht="36" customHeight="1">
      <c r="A79" s="44" t="inlineStr">
        <is>
          <t>검 측 체 크 리 스 트</t>
        </is>
      </c>
    </row>
    <row r="80" ht="26" customHeight="1">
      <c r="A80" s="14" t="inlineStr">
        <is>
          <t>공종 CODE NO.</t>
        </is>
      </c>
      <c r="B80" s="15" t="n"/>
      <c r="C80" s="27" t="n"/>
      <c r="D80" s="15" t="n"/>
      <c r="E80" s="45" t="inlineStr">
        <is>
          <t>미 장 공 사</t>
        </is>
      </c>
      <c r="F80" s="15" t="n"/>
      <c r="G80" s="14" t="inlineStr">
        <is>
          <t>위치 및 부위</t>
        </is>
      </c>
      <c r="H80" s="15" t="n"/>
      <c r="I80" s="23" t="n"/>
      <c r="J80" s="15" t="n"/>
      <c r="K80" s="15" t="n"/>
      <c r="L80" s="15" t="n"/>
    </row>
    <row r="81" ht="34" customHeight="1">
      <c r="A81" s="14" t="inlineStr">
        <is>
          <t>공종(세부공종)</t>
        </is>
      </c>
      <c r="B81" s="15" t="n"/>
      <c r="C81" s="46" t="inlineStr">
        <is>
          <t>콘크리트 면처리 완료 상태(견출) — 벽체 내부 및 천장</t>
        </is>
      </c>
      <c r="D81" s="15" t="n"/>
      <c r="E81" s="15" t="n"/>
      <c r="F81" s="15" t="n"/>
      <c r="G81" s="14" t="inlineStr">
        <is>
          <t>검 측 일 자</t>
        </is>
      </c>
      <c r="H81" s="15" t="n"/>
      <c r="I81" s="47" t="n"/>
      <c r="J81" s="15" t="n"/>
      <c r="K81" s="15" t="n"/>
      <c r="L81" s="15" t="n"/>
    </row>
    <row r="82" ht="20" customHeight="1">
      <c r="A82" s="25" t="inlineStr">
        <is>
          <t>검  사  항  목</t>
        </is>
      </c>
      <c r="B82" s="15" t="n"/>
      <c r="C82" s="15" t="n"/>
      <c r="D82" s="15" t="n"/>
      <c r="E82" s="15" t="n"/>
      <c r="F82" s="48" t="inlineStr">
        <is>
          <t>검 사 기 준
(시방서 · 도면 등)</t>
        </is>
      </c>
      <c r="G82" s="15" t="n"/>
      <c r="H82" s="25" t="inlineStr">
        <is>
          <t>검  사  결  과</t>
        </is>
      </c>
      <c r="I82" s="15" t="n"/>
      <c r="J82" s="15" t="n"/>
      <c r="K82" s="15" t="n"/>
      <c r="L82" s="48" t="inlineStr">
        <is>
          <t>조치
사항</t>
        </is>
      </c>
    </row>
    <row r="83" ht="18" customHeight="1">
      <c r="A83" s="15" t="n"/>
      <c r="B83" s="15" t="n"/>
      <c r="C83" s="15" t="n"/>
      <c r="D83" s="15" t="n"/>
      <c r="E83" s="15" t="n"/>
      <c r="F83" s="15" t="n"/>
      <c r="G83" s="15" t="n"/>
      <c r="H83" s="25" t="inlineStr">
        <is>
          <t>1  차</t>
        </is>
      </c>
      <c r="I83" s="15" t="n"/>
      <c r="J83" s="25" t="inlineStr">
        <is>
          <t>2  차</t>
        </is>
      </c>
      <c r="K83" s="15" t="n"/>
      <c r="L83" s="15" t="n"/>
    </row>
    <row r="84" ht="18" customHeight="1">
      <c r="A84" s="15" t="n"/>
      <c r="B84" s="15" t="n"/>
      <c r="C84" s="15" t="n"/>
      <c r="D84" s="15" t="n"/>
      <c r="E84" s="15" t="n"/>
      <c r="F84" s="15" t="n"/>
      <c r="G84" s="15" t="n"/>
      <c r="H84" s="48" t="inlineStr">
        <is>
          <t>합격</t>
        </is>
      </c>
      <c r="I84" s="49" t="inlineStr">
        <is>
          <t>불합격</t>
        </is>
      </c>
      <c r="J84" s="48" t="inlineStr">
        <is>
          <t>합격</t>
        </is>
      </c>
      <c r="K84" s="49" t="inlineStr">
        <is>
          <t>불합격</t>
        </is>
      </c>
      <c r="L84" s="15" t="n"/>
    </row>
    <row r="85" ht="34" customHeight="1">
      <c r="A85" s="50" t="inlineStr">
        <is>
          <t>1. 배부름 및 콘크리트 불량 부위는 미리 보수를 완료하였는가</t>
        </is>
      </c>
      <c r="B85" s="15" t="n"/>
      <c r="C85" s="15" t="n"/>
      <c r="D85" s="15" t="n"/>
      <c r="E85" s="15" t="n"/>
      <c r="F85" s="51" t="inlineStr">
        <is>
          <t>적 · 부</t>
        </is>
      </c>
      <c r="G85" s="15" t="n"/>
      <c r="H85" s="32" t="n"/>
      <c r="I85" s="32" t="n"/>
      <c r="J85" s="32" t="n"/>
      <c r="K85" s="32" t="n"/>
      <c r="L85" s="52" t="n"/>
    </row>
    <row r="86" ht="34" customHeight="1">
      <c r="A86" s="50" t="inlineStr">
        <is>
          <t>2. 창호 주변 모르타르 사춤은 완료하였는가</t>
        </is>
      </c>
      <c r="B86" s="15" t="n"/>
      <c r="C86" s="15" t="n"/>
      <c r="D86" s="15" t="n"/>
      <c r="E86" s="15" t="n"/>
      <c r="F86" s="51" t="inlineStr">
        <is>
          <t>적 · 부</t>
        </is>
      </c>
      <c r="G86" s="15" t="n"/>
      <c r="H86" s="32" t="n"/>
      <c r="I86" s="32" t="n"/>
      <c r="J86" s="32" t="n"/>
      <c r="K86" s="32" t="n"/>
      <c r="L86" s="52" t="n"/>
    </row>
    <row r="87" ht="34" customHeight="1">
      <c r="A87" s="50" t="inlineStr">
        <is>
          <t>3. 전체 바탕처리는 적정한가(오염 및 불순물 제거)</t>
        </is>
      </c>
      <c r="B87" s="15" t="n"/>
      <c r="C87" s="15" t="n"/>
      <c r="D87" s="15" t="n"/>
      <c r="E87" s="15" t="n"/>
      <c r="F87" s="51" t="inlineStr">
        <is>
          <t>적 · 부</t>
        </is>
      </c>
      <c r="G87" s="15" t="n"/>
      <c r="H87" s="32" t="n"/>
      <c r="I87" s="32" t="n"/>
      <c r="J87" s="32" t="n"/>
      <c r="K87" s="32" t="n"/>
      <c r="L87" s="52" t="n"/>
    </row>
    <row r="88" ht="34" customHeight="1">
      <c r="A88" s="50" t="inlineStr">
        <is>
          <t>4. 구조체 곰보 · 이음 조인트 · 균열 · 재료분리 등의 조치는 완료하였는가</t>
        </is>
      </c>
      <c r="B88" s="15" t="n"/>
      <c r="C88" s="15" t="n"/>
      <c r="D88" s="15" t="n"/>
      <c r="E88" s="15" t="n"/>
      <c r="F88" s="51" t="inlineStr">
        <is>
          <t>적 · 부</t>
        </is>
      </c>
      <c r="G88" s="15" t="n"/>
      <c r="H88" s="32" t="n"/>
      <c r="I88" s="32" t="n"/>
      <c r="J88" s="32" t="n"/>
      <c r="K88" s="32" t="n"/>
      <c r="L88" s="52" t="n"/>
    </row>
    <row r="89" ht="34" customHeight="1">
      <c r="A89" s="50" t="inlineStr">
        <is>
          <t>5. 전기 및 설비 배관 부위 모르타르 사춤은 완료하였는가</t>
        </is>
      </c>
      <c r="B89" s="15" t="n"/>
      <c r="C89" s="15" t="n"/>
      <c r="D89" s="15" t="n"/>
      <c r="E89" s="15" t="n"/>
      <c r="F89" s="51" t="inlineStr">
        <is>
          <t>적 · 부</t>
        </is>
      </c>
      <c r="G89" s="15" t="n"/>
      <c r="H89" s="32" t="n"/>
      <c r="I89" s="32" t="n"/>
      <c r="J89" s="32" t="n"/>
      <c r="K89" s="32" t="n"/>
      <c r="L89" s="52" t="n"/>
    </row>
    <row r="90" ht="34" customHeight="1">
      <c r="A90" s="50" t="inlineStr">
        <is>
          <t>6. 견출 전 접착재 사용은 적정한가</t>
        </is>
      </c>
      <c r="B90" s="15" t="n"/>
      <c r="C90" s="15" t="n"/>
      <c r="D90" s="15" t="n"/>
      <c r="E90" s="15" t="n"/>
      <c r="F90" s="51" t="inlineStr">
        <is>
          <t>적 · 부</t>
        </is>
      </c>
      <c r="G90" s="15" t="n"/>
      <c r="H90" s="32" t="n"/>
      <c r="I90" s="32" t="n"/>
      <c r="J90" s="32" t="n"/>
      <c r="K90" s="32" t="n"/>
      <c r="L90" s="52" t="n"/>
    </row>
    <row r="91" ht="34" customHeight="1">
      <c r="A91" s="50" t="inlineStr">
        <is>
          <t>7. 시공 전 1일 이상, 시공 중 및 시공 후 3일 이상 영상 온도를 유지하였는가</t>
        </is>
      </c>
      <c r="B91" s="15" t="n"/>
      <c r="C91" s="15" t="n"/>
      <c r="D91" s="15" t="n"/>
      <c r="E91" s="15" t="n"/>
      <c r="F91" s="51" t="inlineStr">
        <is>
          <t>적 · 부</t>
        </is>
      </c>
      <c r="G91" s="15" t="n"/>
      <c r="H91" s="32" t="n"/>
      <c r="I91" s="32" t="n"/>
      <c r="J91" s="32" t="n"/>
      <c r="K91" s="32" t="n"/>
      <c r="L91" s="52" t="n"/>
    </row>
    <row r="92" ht="26" customHeight="1">
      <c r="A92" s="30" t="inlineStr">
        <is>
          <t>판  정</t>
        </is>
      </c>
      <c r="B92" s="15" t="n"/>
      <c r="C92" s="15" t="n"/>
      <c r="D92" s="53">
        <f>IF(COUNTA(H85:H91)+COUNTA(I85:I91)=0,"","1차 합격 "&amp;COUNTA(H85:H91)&amp;" · 불합격 "&amp;COUNTA(I85:I91)&amp;IF(COUNTA(I85:I91)&gt;0," / 2차 합격 "&amp;COUNTA(J85:J91)&amp;" · 불합격 "&amp;COUNTA(K85:K91),"")&amp;IF(COUNTA(H85:H91)+COUNTA(I85:I91)&lt;7," · 빈칸 "&amp;(7-COUNTA(H85:H91)-COUNTA(I85:I91)),"")&amp;"  →  "&amp;IF(COUNTA(I85:I91)=0,IF(COUNTA(H85:H91)+COUNTA(I85:I91)&lt;7,"점검 중","합격"),IF(AND(COUNTA(K85:K91)=0,COUNTA(J85:J91)&gt;=COUNTA(I85:I91)),"합격(재검측)","보완 후 재검측")))</f>
        <v/>
      </c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 ht="22" customHeight="1">
      <c r="A93" s="25" t="inlineStr">
        <is>
          <t>시 공 자  점 검</t>
        </is>
      </c>
      <c r="B93" s="15" t="n"/>
      <c r="C93" s="15" t="n"/>
      <c r="D93" s="15" t="n"/>
      <c r="E93" s="15" t="n"/>
      <c r="F93" s="15" t="n"/>
      <c r="G93" s="25" t="inlineStr">
        <is>
          <t>감 리 원  검 측</t>
        </is>
      </c>
      <c r="H93" s="15" t="n"/>
      <c r="I93" s="15" t="n"/>
      <c r="J93" s="15" t="n"/>
      <c r="K93" s="15" t="n"/>
      <c r="L93" s="15" t="n"/>
    </row>
    <row r="94" ht="20" customHeight="1">
      <c r="A94" s="25" t="inlineStr">
        <is>
          <t>점   검</t>
        </is>
      </c>
      <c r="B94" s="15" t="n"/>
      <c r="C94" s="15" t="n"/>
      <c r="D94" s="25" t="inlineStr">
        <is>
          <t>재 점 검</t>
        </is>
      </c>
      <c r="E94" s="15" t="n"/>
      <c r="F94" s="15" t="n"/>
      <c r="G94" s="25" t="inlineStr">
        <is>
          <t>검   측</t>
        </is>
      </c>
      <c r="H94" s="15" t="n"/>
      <c r="I94" s="15" t="n"/>
      <c r="J94" s="25" t="inlineStr">
        <is>
          <t>재 검 측</t>
        </is>
      </c>
      <c r="K94" s="15" t="n"/>
      <c r="L94" s="15" t="n"/>
    </row>
    <row r="95" ht="44" customHeight="1">
      <c r="A95" s="54" t="inlineStr">
        <is>
          <t>(인)</t>
        </is>
      </c>
      <c r="B95" s="15" t="n"/>
      <c r="C95" s="15" t="n"/>
      <c r="D95" s="54" t="inlineStr">
        <is>
          <t>(인)</t>
        </is>
      </c>
      <c r="E95" s="15" t="n"/>
      <c r="F95" s="15" t="n"/>
      <c r="G95" s="54" t="inlineStr">
        <is>
          <t>(인)</t>
        </is>
      </c>
      <c r="H95" s="15" t="n"/>
      <c r="I95" s="15" t="n"/>
      <c r="J95" s="54" t="inlineStr">
        <is>
          <t>(인)</t>
        </is>
      </c>
      <c r="K95" s="15" t="n"/>
      <c r="L95" s="15" t="n"/>
    </row>
    <row r="97" ht="34" customHeight="1">
      <c r="A97" s="8" t="inlineStr">
        <is>
          <t>결과 칸에 ○ 를 적습니다(합격 또는 불합격 칸). 1차 불합격 항목은 보완 뒤 2차 칸에 적으면 «판정» 이 저절로 바뀝니다.</t>
        </is>
      </c>
    </row>
  </sheetData>
  <mergeCells count="231">
    <mergeCell ref="G81:H81"/>
    <mergeCell ref="F82:G84"/>
    <mergeCell ref="A48:E48"/>
    <mergeCell ref="G19:L19"/>
    <mergeCell ref="L44:L46"/>
    <mergeCell ref="F29:G29"/>
    <mergeCell ref="F16:G16"/>
    <mergeCell ref="A37:C37"/>
    <mergeCell ref="A64:B64"/>
    <mergeCell ref="F68:G68"/>
    <mergeCell ref="G93:L93"/>
    <mergeCell ref="I4:L4"/>
    <mergeCell ref="A11:E11"/>
    <mergeCell ref="L25:L27"/>
    <mergeCell ref="E23:F23"/>
    <mergeCell ref="A21:C21"/>
    <mergeCell ref="G23:H23"/>
    <mergeCell ref="C81:F81"/>
    <mergeCell ref="A87:E87"/>
    <mergeCell ref="F25:G27"/>
    <mergeCell ref="G95:I95"/>
    <mergeCell ref="F15:G15"/>
    <mergeCell ref="F86:G86"/>
    <mergeCell ref="C63:D63"/>
    <mergeCell ref="H82:K82"/>
    <mergeCell ref="E63:F63"/>
    <mergeCell ref="I81:L81"/>
    <mergeCell ref="F5:G7"/>
    <mergeCell ref="J45:K45"/>
    <mergeCell ref="A89:E89"/>
    <mergeCell ref="C24:F24"/>
    <mergeCell ref="D39:F39"/>
    <mergeCell ref="F70:G70"/>
    <mergeCell ref="A38:F38"/>
    <mergeCell ref="C64:F64"/>
    <mergeCell ref="A57:E57"/>
    <mergeCell ref="F72:G72"/>
    <mergeCell ref="H45:I45"/>
    <mergeCell ref="D94:F94"/>
    <mergeCell ref="A42:B42"/>
    <mergeCell ref="J61:L61"/>
    <mergeCell ref="A71:E71"/>
    <mergeCell ref="J39:L39"/>
    <mergeCell ref="A77:C77"/>
    <mergeCell ref="F13:G13"/>
    <mergeCell ref="F56:G56"/>
    <mergeCell ref="F71:G71"/>
    <mergeCell ref="A91:E91"/>
    <mergeCell ref="A52:E52"/>
    <mergeCell ref="C43:F43"/>
    <mergeCell ref="J40:L40"/>
    <mergeCell ref="C3:D3"/>
    <mergeCell ref="F57:G57"/>
    <mergeCell ref="F88:G88"/>
    <mergeCell ref="E3:F3"/>
    <mergeCell ref="A34:E34"/>
    <mergeCell ref="H65:K65"/>
    <mergeCell ref="F10:G10"/>
    <mergeCell ref="F54:G54"/>
    <mergeCell ref="A75:C75"/>
    <mergeCell ref="F34:G34"/>
    <mergeCell ref="A49:E49"/>
    <mergeCell ref="G78:I78"/>
    <mergeCell ref="A36:E36"/>
    <mergeCell ref="D75:L75"/>
    <mergeCell ref="F74:G74"/>
    <mergeCell ref="A95:C95"/>
    <mergeCell ref="L65:L67"/>
    <mergeCell ref="A69:E69"/>
    <mergeCell ref="H83:I83"/>
    <mergeCell ref="F30:G30"/>
    <mergeCell ref="D37:L37"/>
    <mergeCell ref="F33:G33"/>
    <mergeCell ref="F85:G85"/>
    <mergeCell ref="A97:L97"/>
    <mergeCell ref="J83:K83"/>
    <mergeCell ref="I80:L80"/>
    <mergeCell ref="F17:G17"/>
    <mergeCell ref="A55:E55"/>
    <mergeCell ref="A12:E12"/>
    <mergeCell ref="F47:G47"/>
    <mergeCell ref="G24:H24"/>
    <mergeCell ref="C4:F4"/>
    <mergeCell ref="H25:K25"/>
    <mergeCell ref="A58:C58"/>
    <mergeCell ref="A40:C40"/>
    <mergeCell ref="F31:G31"/>
    <mergeCell ref="F28:G28"/>
    <mergeCell ref="A32:E32"/>
    <mergeCell ref="D60:F60"/>
    <mergeCell ref="A14:E14"/>
    <mergeCell ref="F9:G9"/>
    <mergeCell ref="A59:F59"/>
    <mergeCell ref="A60:C60"/>
    <mergeCell ref="A29:E29"/>
    <mergeCell ref="F48:G48"/>
    <mergeCell ref="A5:E7"/>
    <mergeCell ref="A63:B63"/>
    <mergeCell ref="I43:L43"/>
    <mergeCell ref="D40:F40"/>
    <mergeCell ref="J60:L60"/>
    <mergeCell ref="I24:L24"/>
    <mergeCell ref="A31:E31"/>
    <mergeCell ref="D21:F21"/>
    <mergeCell ref="J78:L78"/>
    <mergeCell ref="D95:F95"/>
    <mergeCell ref="G38:L38"/>
    <mergeCell ref="I42:L42"/>
    <mergeCell ref="F73:G73"/>
    <mergeCell ref="F87:G87"/>
    <mergeCell ref="A73:E73"/>
    <mergeCell ref="G42:H42"/>
    <mergeCell ref="A18:C18"/>
    <mergeCell ref="J95:L95"/>
    <mergeCell ref="F89:G89"/>
    <mergeCell ref="D78:F78"/>
    <mergeCell ref="H5:K5"/>
    <mergeCell ref="A2:L2"/>
    <mergeCell ref="A82:E84"/>
    <mergeCell ref="A76:F76"/>
    <mergeCell ref="A16:E16"/>
    <mergeCell ref="A22:L22"/>
    <mergeCell ref="G20:I20"/>
    <mergeCell ref="F36:G36"/>
    <mergeCell ref="F50:G50"/>
    <mergeCell ref="A80:B80"/>
    <mergeCell ref="C80:D80"/>
    <mergeCell ref="A3:B3"/>
    <mergeCell ref="A20:C20"/>
    <mergeCell ref="J26:K26"/>
    <mergeCell ref="F8:G8"/>
    <mergeCell ref="D92:L92"/>
    <mergeCell ref="G76:L76"/>
    <mergeCell ref="F91:G91"/>
    <mergeCell ref="A25:E27"/>
    <mergeCell ref="A50:E50"/>
    <mergeCell ref="G94:I94"/>
    <mergeCell ref="A93:F93"/>
    <mergeCell ref="A19:F19"/>
    <mergeCell ref="A86:E86"/>
    <mergeCell ref="L82:L84"/>
    <mergeCell ref="E80:F80"/>
    <mergeCell ref="G80:H80"/>
    <mergeCell ref="G40:I40"/>
    <mergeCell ref="A47:E47"/>
    <mergeCell ref="A23:B23"/>
    <mergeCell ref="H66:I66"/>
    <mergeCell ref="D20:F20"/>
    <mergeCell ref="G21:I21"/>
    <mergeCell ref="C23:D23"/>
    <mergeCell ref="G64:H64"/>
    <mergeCell ref="G59:L59"/>
    <mergeCell ref="J66:K66"/>
    <mergeCell ref="A4:B4"/>
    <mergeCell ref="A43:B43"/>
    <mergeCell ref="A72:E72"/>
    <mergeCell ref="A1:F1"/>
    <mergeCell ref="A28:E28"/>
    <mergeCell ref="A61:C61"/>
    <mergeCell ref="G63:H63"/>
    <mergeCell ref="F49:G49"/>
    <mergeCell ref="F14:G14"/>
    <mergeCell ref="A13:E13"/>
    <mergeCell ref="A44:E46"/>
    <mergeCell ref="L5:L7"/>
    <mergeCell ref="D77:F77"/>
    <mergeCell ref="I23:L23"/>
    <mergeCell ref="A30:E30"/>
    <mergeCell ref="F11:G11"/>
    <mergeCell ref="A24:B24"/>
    <mergeCell ref="G43:H43"/>
    <mergeCell ref="F44:G46"/>
    <mergeCell ref="F69:G69"/>
    <mergeCell ref="A41:L41"/>
    <mergeCell ref="A15:E15"/>
    <mergeCell ref="I64:L64"/>
    <mergeCell ref="D61:F61"/>
    <mergeCell ref="C42:D42"/>
    <mergeCell ref="A51:E51"/>
    <mergeCell ref="E42:F42"/>
    <mergeCell ref="J20:L20"/>
    <mergeCell ref="A88:E88"/>
    <mergeCell ref="I63:L63"/>
    <mergeCell ref="A70:E70"/>
    <mergeCell ref="J94:L94"/>
    <mergeCell ref="F55:G55"/>
    <mergeCell ref="F12:G12"/>
    <mergeCell ref="F65:G67"/>
    <mergeCell ref="H6:I6"/>
    <mergeCell ref="A54:E54"/>
    <mergeCell ref="J6:K6"/>
    <mergeCell ref="A65:E67"/>
    <mergeCell ref="F51:G51"/>
    <mergeCell ref="A90:E90"/>
    <mergeCell ref="D18:L18"/>
    <mergeCell ref="D58:L58"/>
    <mergeCell ref="F32:G32"/>
    <mergeCell ref="A74:E74"/>
    <mergeCell ref="G3:H3"/>
    <mergeCell ref="J21:L21"/>
    <mergeCell ref="F35:G35"/>
    <mergeCell ref="A56:E56"/>
    <mergeCell ref="A62:L62"/>
    <mergeCell ref="G1:L1"/>
    <mergeCell ref="H44:K44"/>
    <mergeCell ref="G60:I60"/>
    <mergeCell ref="F90:G90"/>
    <mergeCell ref="A33:E33"/>
    <mergeCell ref="A85:E85"/>
    <mergeCell ref="A92:C92"/>
    <mergeCell ref="A39:C39"/>
    <mergeCell ref="A8:E8"/>
    <mergeCell ref="A17:E17"/>
    <mergeCell ref="F52:G52"/>
    <mergeCell ref="G77:I77"/>
    <mergeCell ref="G4:H4"/>
    <mergeCell ref="A53:E53"/>
    <mergeCell ref="A35:E35"/>
    <mergeCell ref="A94:C94"/>
    <mergeCell ref="A81:B81"/>
    <mergeCell ref="I3:L3"/>
    <mergeCell ref="A10:E10"/>
    <mergeCell ref="G61:I61"/>
    <mergeCell ref="A68:E68"/>
    <mergeCell ref="G39:I39"/>
    <mergeCell ref="A78:C78"/>
    <mergeCell ref="A79:L79"/>
    <mergeCell ref="A9:E9"/>
    <mergeCell ref="J77:L77"/>
    <mergeCell ref="F53:G53"/>
    <mergeCell ref="H26:I26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21" min="0" max="16383" man="1"/>
    <brk id="40" min="0" max="16383" man="1"/>
    <brk id="61" min="0" max="16383" man="1"/>
    <brk id="78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O24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5.5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7" customWidth="1" min="41" max="41"/>
  </cols>
  <sheetData>
    <row r="1" ht="20" customHeight="1">
      <c r="A1" s="1" t="inlineStr">
        <is>
          <t xml:space="preserve">  K-건설맵  |  k-conmap.com  건설 서식</t>
        </is>
      </c>
      <c r="N1" s="2" t="inlineStr">
        <is>
          <t xml:space="preserve">← 이 1행을 지우고 쓰셔도 됩니다  </t>
        </is>
      </c>
    </row>
    <row r="2" ht="34" customHeight="1">
      <c r="A2" s="55" t="inlineStr">
        <is>
          <t>7.0   예 정 공 정 표</t>
        </is>
      </c>
    </row>
    <row r="3" ht="22" customHeight="1">
      <c r="A3" s="14" t="inlineStr">
        <is>
          <t>착 공 일</t>
        </is>
      </c>
      <c r="B3" s="56">
        <f>IF(N('개요'!D25)=0,"",'개요'!D25)</f>
        <v/>
      </c>
      <c r="C3" s="15" t="n"/>
      <c r="D3" s="8" t="inlineStr">
        <is>
          <t>※ 착공일은 공사개요에서 따라옵니다. 공종마다 착수 · 완료일을 적으면 반달 칸에 막대가 그려집니다.</t>
        </is>
      </c>
    </row>
    <row r="4" ht="20" customHeight="1">
      <c r="A4" s="25" t="inlineStr">
        <is>
          <t>공    종</t>
        </is>
      </c>
      <c r="B4" s="25" t="inlineStr">
        <is>
          <t>착 수</t>
        </is>
      </c>
      <c r="C4" s="25" t="inlineStr">
        <is>
          <t>완 료</t>
        </is>
      </c>
      <c r="D4" s="25" t="inlineStr">
        <is>
          <t>일 수</t>
        </is>
      </c>
      <c r="E4" s="57">
        <f>IF(N(B3)=0,"",EDATE(DATE(YEAR(B3),MONTH(B3),1),0))</f>
        <v/>
      </c>
      <c r="F4" s="15" t="n"/>
      <c r="G4" s="57">
        <f>IF(N(B3)=0,"",EDATE(DATE(YEAR(B3),MONTH(B3),1),1))</f>
        <v/>
      </c>
      <c r="H4" s="15" t="n"/>
      <c r="I4" s="57">
        <f>IF(N(B3)=0,"",EDATE(DATE(YEAR(B3),MONTH(B3),1),2))</f>
        <v/>
      </c>
      <c r="J4" s="15" t="n"/>
      <c r="K4" s="57">
        <f>IF(N(B3)=0,"",EDATE(DATE(YEAR(B3),MONTH(B3),1),3))</f>
        <v/>
      </c>
      <c r="L4" s="15" t="n"/>
      <c r="M4" s="57">
        <f>IF(N(B3)=0,"",EDATE(DATE(YEAR(B3),MONTH(B3),1),4))</f>
        <v/>
      </c>
      <c r="N4" s="15" t="n"/>
      <c r="O4" s="57">
        <f>IF(N(B3)=0,"",EDATE(DATE(YEAR(B3),MONTH(B3),1),5))</f>
        <v/>
      </c>
      <c r="P4" s="15" t="n"/>
      <c r="Q4" s="57">
        <f>IF(N(B3)=0,"",EDATE(DATE(YEAR(B3),MONTH(B3),1),6))</f>
        <v/>
      </c>
      <c r="R4" s="15" t="n"/>
      <c r="S4" s="57">
        <f>IF(N(B3)=0,"",EDATE(DATE(YEAR(B3),MONTH(B3),1),7))</f>
        <v/>
      </c>
      <c r="T4" s="15" t="n"/>
      <c r="U4" s="57">
        <f>IF(N(B3)=0,"",EDATE(DATE(YEAR(B3),MONTH(B3),1),8))</f>
        <v/>
      </c>
      <c r="V4" s="15" t="n"/>
      <c r="W4" s="57">
        <f>IF(N(B3)=0,"",EDATE(DATE(YEAR(B3),MONTH(B3),1),9))</f>
        <v/>
      </c>
      <c r="X4" s="15" t="n"/>
      <c r="Y4" s="57">
        <f>IF(N(B3)=0,"",EDATE(DATE(YEAR(B3),MONTH(B3),1),10))</f>
        <v/>
      </c>
      <c r="Z4" s="15" t="n"/>
      <c r="AA4" s="57">
        <f>IF(N(B3)=0,"",EDATE(DATE(YEAR(B3),MONTH(B3),1),11))</f>
        <v/>
      </c>
      <c r="AB4" s="15" t="n"/>
      <c r="AC4" s="57">
        <f>IF(N(B3)=0,"",EDATE(DATE(YEAR(B3),MONTH(B3),1),12))</f>
        <v/>
      </c>
      <c r="AD4" s="15" t="n"/>
      <c r="AE4" s="57">
        <f>IF(N(B3)=0,"",EDATE(DATE(YEAR(B3),MONTH(B3),1),13))</f>
        <v/>
      </c>
      <c r="AF4" s="15" t="n"/>
      <c r="AG4" s="57">
        <f>IF(N(B3)=0,"",EDATE(DATE(YEAR(B3),MONTH(B3),1),14))</f>
        <v/>
      </c>
      <c r="AH4" s="15" t="n"/>
      <c r="AI4" s="57">
        <f>IF(N(B3)=0,"",EDATE(DATE(YEAR(B3),MONTH(B3),1),15))</f>
        <v/>
      </c>
      <c r="AJ4" s="15" t="n"/>
      <c r="AK4" s="57">
        <f>IF(N(B3)=0,"",EDATE(DATE(YEAR(B3),MONTH(B3),1),16))</f>
        <v/>
      </c>
      <c r="AL4" s="15" t="n"/>
      <c r="AM4" s="57">
        <f>IF(N(B3)=0,"",EDATE(DATE(YEAR(B3),MONTH(B3),1),17))</f>
        <v/>
      </c>
      <c r="AN4" s="15" t="n"/>
      <c r="AO4" s="25" t="inlineStr">
        <is>
          <t>비 고</t>
        </is>
      </c>
    </row>
    <row r="5" ht="15" customHeight="1">
      <c r="A5" s="15" t="n"/>
      <c r="B5" s="15" t="n"/>
      <c r="C5" s="15" t="n"/>
      <c r="D5" s="15" t="n"/>
      <c r="E5" s="58" t="inlineStr">
        <is>
          <t>상</t>
        </is>
      </c>
      <c r="F5" s="58" t="inlineStr">
        <is>
          <t>하</t>
        </is>
      </c>
      <c r="G5" s="58" t="inlineStr">
        <is>
          <t>상</t>
        </is>
      </c>
      <c r="H5" s="58" t="inlineStr">
        <is>
          <t>하</t>
        </is>
      </c>
      <c r="I5" s="58" t="inlineStr">
        <is>
          <t>상</t>
        </is>
      </c>
      <c r="J5" s="58" t="inlineStr">
        <is>
          <t>하</t>
        </is>
      </c>
      <c r="K5" s="58" t="inlineStr">
        <is>
          <t>상</t>
        </is>
      </c>
      <c r="L5" s="58" t="inlineStr">
        <is>
          <t>하</t>
        </is>
      </c>
      <c r="M5" s="58" t="inlineStr">
        <is>
          <t>상</t>
        </is>
      </c>
      <c r="N5" s="58" t="inlineStr">
        <is>
          <t>하</t>
        </is>
      </c>
      <c r="O5" s="58" t="inlineStr">
        <is>
          <t>상</t>
        </is>
      </c>
      <c r="P5" s="58" t="inlineStr">
        <is>
          <t>하</t>
        </is>
      </c>
      <c r="Q5" s="58" t="inlineStr">
        <is>
          <t>상</t>
        </is>
      </c>
      <c r="R5" s="58" t="inlineStr">
        <is>
          <t>하</t>
        </is>
      </c>
      <c r="S5" s="58" t="inlineStr">
        <is>
          <t>상</t>
        </is>
      </c>
      <c r="T5" s="58" t="inlineStr">
        <is>
          <t>하</t>
        </is>
      </c>
      <c r="U5" s="58" t="inlineStr">
        <is>
          <t>상</t>
        </is>
      </c>
      <c r="V5" s="58" t="inlineStr">
        <is>
          <t>하</t>
        </is>
      </c>
      <c r="W5" s="58" t="inlineStr">
        <is>
          <t>상</t>
        </is>
      </c>
      <c r="X5" s="58" t="inlineStr">
        <is>
          <t>하</t>
        </is>
      </c>
      <c r="Y5" s="58" t="inlineStr">
        <is>
          <t>상</t>
        </is>
      </c>
      <c r="Z5" s="58" t="inlineStr">
        <is>
          <t>하</t>
        </is>
      </c>
      <c r="AA5" s="58" t="inlineStr">
        <is>
          <t>상</t>
        </is>
      </c>
      <c r="AB5" s="58" t="inlineStr">
        <is>
          <t>하</t>
        </is>
      </c>
      <c r="AC5" s="58" t="inlineStr">
        <is>
          <t>상</t>
        </is>
      </c>
      <c r="AD5" s="58" t="inlineStr">
        <is>
          <t>하</t>
        </is>
      </c>
      <c r="AE5" s="58" t="inlineStr">
        <is>
          <t>상</t>
        </is>
      </c>
      <c r="AF5" s="58" t="inlineStr">
        <is>
          <t>하</t>
        </is>
      </c>
      <c r="AG5" s="58" t="inlineStr">
        <is>
          <t>상</t>
        </is>
      </c>
      <c r="AH5" s="58" t="inlineStr">
        <is>
          <t>하</t>
        </is>
      </c>
      <c r="AI5" s="58" t="inlineStr">
        <is>
          <t>상</t>
        </is>
      </c>
      <c r="AJ5" s="58" t="inlineStr">
        <is>
          <t>하</t>
        </is>
      </c>
      <c r="AK5" s="58" t="inlineStr">
        <is>
          <t>상</t>
        </is>
      </c>
      <c r="AL5" s="58" t="inlineStr">
        <is>
          <t>하</t>
        </is>
      </c>
      <c r="AM5" s="58" t="inlineStr">
        <is>
          <t>상</t>
        </is>
      </c>
      <c r="AN5" s="58" t="inlineStr">
        <is>
          <t>하</t>
        </is>
      </c>
      <c r="AO5" s="15" t="n"/>
    </row>
    <row r="6" hidden="1" ht="12" customHeight="1">
      <c r="E6" s="59">
        <f>IF(N(B3)=0,"",EDATE(DATE(YEAR(B3),MONTH(B3),1),0))</f>
        <v/>
      </c>
      <c r="F6" s="59">
        <f>IF(N(B3)=0,"",EDATE(DATE(YEAR(B3),MONTH(B3),1),0)+15)</f>
        <v/>
      </c>
      <c r="G6" s="59">
        <f>IF(N(B3)=0,"",EDATE(DATE(YEAR(B3),MONTH(B3),1),1))</f>
        <v/>
      </c>
      <c r="H6" s="59">
        <f>IF(N(B3)=0,"",EDATE(DATE(YEAR(B3),MONTH(B3),1),1)+15)</f>
        <v/>
      </c>
      <c r="I6" s="59">
        <f>IF(N(B3)=0,"",EDATE(DATE(YEAR(B3),MONTH(B3),1),2))</f>
        <v/>
      </c>
      <c r="J6" s="59">
        <f>IF(N(B3)=0,"",EDATE(DATE(YEAR(B3),MONTH(B3),1),2)+15)</f>
        <v/>
      </c>
      <c r="K6" s="59">
        <f>IF(N(B3)=0,"",EDATE(DATE(YEAR(B3),MONTH(B3),1),3))</f>
        <v/>
      </c>
      <c r="L6" s="59">
        <f>IF(N(B3)=0,"",EDATE(DATE(YEAR(B3),MONTH(B3),1),3)+15)</f>
        <v/>
      </c>
      <c r="M6" s="59">
        <f>IF(N(B3)=0,"",EDATE(DATE(YEAR(B3),MONTH(B3),1),4))</f>
        <v/>
      </c>
      <c r="N6" s="59">
        <f>IF(N(B3)=0,"",EDATE(DATE(YEAR(B3),MONTH(B3),1),4)+15)</f>
        <v/>
      </c>
      <c r="O6" s="59">
        <f>IF(N(B3)=0,"",EDATE(DATE(YEAR(B3),MONTH(B3),1),5))</f>
        <v/>
      </c>
      <c r="P6" s="59">
        <f>IF(N(B3)=0,"",EDATE(DATE(YEAR(B3),MONTH(B3),1),5)+15)</f>
        <v/>
      </c>
      <c r="Q6" s="59">
        <f>IF(N(B3)=0,"",EDATE(DATE(YEAR(B3),MONTH(B3),1),6))</f>
        <v/>
      </c>
      <c r="R6" s="59">
        <f>IF(N(B3)=0,"",EDATE(DATE(YEAR(B3),MONTH(B3),1),6)+15)</f>
        <v/>
      </c>
      <c r="S6" s="59">
        <f>IF(N(B3)=0,"",EDATE(DATE(YEAR(B3),MONTH(B3),1),7))</f>
        <v/>
      </c>
      <c r="T6" s="59">
        <f>IF(N(B3)=0,"",EDATE(DATE(YEAR(B3),MONTH(B3),1),7)+15)</f>
        <v/>
      </c>
      <c r="U6" s="59">
        <f>IF(N(B3)=0,"",EDATE(DATE(YEAR(B3),MONTH(B3),1),8))</f>
        <v/>
      </c>
      <c r="V6" s="59">
        <f>IF(N(B3)=0,"",EDATE(DATE(YEAR(B3),MONTH(B3),1),8)+15)</f>
        <v/>
      </c>
      <c r="W6" s="59">
        <f>IF(N(B3)=0,"",EDATE(DATE(YEAR(B3),MONTH(B3),1),9))</f>
        <v/>
      </c>
      <c r="X6" s="59">
        <f>IF(N(B3)=0,"",EDATE(DATE(YEAR(B3),MONTH(B3),1),9)+15)</f>
        <v/>
      </c>
      <c r="Y6" s="59">
        <f>IF(N(B3)=0,"",EDATE(DATE(YEAR(B3),MONTH(B3),1),10))</f>
        <v/>
      </c>
      <c r="Z6" s="59">
        <f>IF(N(B3)=0,"",EDATE(DATE(YEAR(B3),MONTH(B3),1),10)+15)</f>
        <v/>
      </c>
      <c r="AA6" s="59">
        <f>IF(N(B3)=0,"",EDATE(DATE(YEAR(B3),MONTH(B3),1),11))</f>
        <v/>
      </c>
      <c r="AB6" s="59">
        <f>IF(N(B3)=0,"",EDATE(DATE(YEAR(B3),MONTH(B3),1),11)+15)</f>
        <v/>
      </c>
      <c r="AC6" s="59">
        <f>IF(N(B3)=0,"",EDATE(DATE(YEAR(B3),MONTH(B3),1),12))</f>
        <v/>
      </c>
      <c r="AD6" s="59">
        <f>IF(N(B3)=0,"",EDATE(DATE(YEAR(B3),MONTH(B3),1),12)+15)</f>
        <v/>
      </c>
      <c r="AE6" s="59">
        <f>IF(N(B3)=0,"",EDATE(DATE(YEAR(B3),MONTH(B3),1),13))</f>
        <v/>
      </c>
      <c r="AF6" s="59">
        <f>IF(N(B3)=0,"",EDATE(DATE(YEAR(B3),MONTH(B3),1),13)+15)</f>
        <v/>
      </c>
      <c r="AG6" s="59">
        <f>IF(N(B3)=0,"",EDATE(DATE(YEAR(B3),MONTH(B3),1),14))</f>
        <v/>
      </c>
      <c r="AH6" s="59">
        <f>IF(N(B3)=0,"",EDATE(DATE(YEAR(B3),MONTH(B3),1),14)+15)</f>
        <v/>
      </c>
      <c r="AI6" s="59">
        <f>IF(N(B3)=0,"",EDATE(DATE(YEAR(B3),MONTH(B3),1),15))</f>
        <v/>
      </c>
      <c r="AJ6" s="59">
        <f>IF(N(B3)=0,"",EDATE(DATE(YEAR(B3),MONTH(B3),1),15)+15)</f>
        <v/>
      </c>
      <c r="AK6" s="59">
        <f>IF(N(B3)=0,"",EDATE(DATE(YEAR(B3),MONTH(B3),1),16))</f>
        <v/>
      </c>
      <c r="AL6" s="59">
        <f>IF(N(B3)=0,"",EDATE(DATE(YEAR(B3),MONTH(B3),1),16)+15)</f>
        <v/>
      </c>
      <c r="AM6" s="59">
        <f>IF(N(B3)=0,"",EDATE(DATE(YEAR(B3),MONTH(B3),1),17))</f>
        <v/>
      </c>
      <c r="AN6" s="59">
        <f>IF(N(B3)=0,"",EDATE(DATE(YEAR(B3),MONTH(B3),1),17)+15)</f>
        <v/>
      </c>
    </row>
    <row r="7" hidden="1" ht="12" customHeight="1">
      <c r="E7" s="59">
        <f>IF(N(B3)=0,"",EDATE(DATE(YEAR(B3),MONTH(B3),1),0)+14)</f>
        <v/>
      </c>
      <c r="F7" s="59">
        <f>IF(N(B3)=0,"",EDATE(DATE(YEAR(B3),MONTH(B3),1),1)-1)</f>
        <v/>
      </c>
      <c r="G7" s="59">
        <f>IF(N(B3)=0,"",EDATE(DATE(YEAR(B3),MONTH(B3),1),1)+14)</f>
        <v/>
      </c>
      <c r="H7" s="59">
        <f>IF(N(B3)=0,"",EDATE(DATE(YEAR(B3),MONTH(B3),1),2)-1)</f>
        <v/>
      </c>
      <c r="I7" s="59">
        <f>IF(N(B3)=0,"",EDATE(DATE(YEAR(B3),MONTH(B3),1),2)+14)</f>
        <v/>
      </c>
      <c r="J7" s="59">
        <f>IF(N(B3)=0,"",EDATE(DATE(YEAR(B3),MONTH(B3),1),3)-1)</f>
        <v/>
      </c>
      <c r="K7" s="59">
        <f>IF(N(B3)=0,"",EDATE(DATE(YEAR(B3),MONTH(B3),1),3)+14)</f>
        <v/>
      </c>
      <c r="L7" s="59">
        <f>IF(N(B3)=0,"",EDATE(DATE(YEAR(B3),MONTH(B3),1),4)-1)</f>
        <v/>
      </c>
      <c r="M7" s="59">
        <f>IF(N(B3)=0,"",EDATE(DATE(YEAR(B3),MONTH(B3),1),4)+14)</f>
        <v/>
      </c>
      <c r="N7" s="59">
        <f>IF(N(B3)=0,"",EDATE(DATE(YEAR(B3),MONTH(B3),1),5)-1)</f>
        <v/>
      </c>
      <c r="O7" s="59">
        <f>IF(N(B3)=0,"",EDATE(DATE(YEAR(B3),MONTH(B3),1),5)+14)</f>
        <v/>
      </c>
      <c r="P7" s="59">
        <f>IF(N(B3)=0,"",EDATE(DATE(YEAR(B3),MONTH(B3),1),6)-1)</f>
        <v/>
      </c>
      <c r="Q7" s="59">
        <f>IF(N(B3)=0,"",EDATE(DATE(YEAR(B3),MONTH(B3),1),6)+14)</f>
        <v/>
      </c>
      <c r="R7" s="59">
        <f>IF(N(B3)=0,"",EDATE(DATE(YEAR(B3),MONTH(B3),1),7)-1)</f>
        <v/>
      </c>
      <c r="S7" s="59">
        <f>IF(N(B3)=0,"",EDATE(DATE(YEAR(B3),MONTH(B3),1),7)+14)</f>
        <v/>
      </c>
      <c r="T7" s="59">
        <f>IF(N(B3)=0,"",EDATE(DATE(YEAR(B3),MONTH(B3),1),8)-1)</f>
        <v/>
      </c>
      <c r="U7" s="59">
        <f>IF(N(B3)=0,"",EDATE(DATE(YEAR(B3),MONTH(B3),1),8)+14)</f>
        <v/>
      </c>
      <c r="V7" s="59">
        <f>IF(N(B3)=0,"",EDATE(DATE(YEAR(B3),MONTH(B3),1),9)-1)</f>
        <v/>
      </c>
      <c r="W7" s="59">
        <f>IF(N(B3)=0,"",EDATE(DATE(YEAR(B3),MONTH(B3),1),9)+14)</f>
        <v/>
      </c>
      <c r="X7" s="59">
        <f>IF(N(B3)=0,"",EDATE(DATE(YEAR(B3),MONTH(B3),1),10)-1)</f>
        <v/>
      </c>
      <c r="Y7" s="59">
        <f>IF(N(B3)=0,"",EDATE(DATE(YEAR(B3),MONTH(B3),1),10)+14)</f>
        <v/>
      </c>
      <c r="Z7" s="59">
        <f>IF(N(B3)=0,"",EDATE(DATE(YEAR(B3),MONTH(B3),1),11)-1)</f>
        <v/>
      </c>
      <c r="AA7" s="59">
        <f>IF(N(B3)=0,"",EDATE(DATE(YEAR(B3),MONTH(B3),1),11)+14)</f>
        <v/>
      </c>
      <c r="AB7" s="59">
        <f>IF(N(B3)=0,"",EDATE(DATE(YEAR(B3),MONTH(B3),1),12)-1)</f>
        <v/>
      </c>
      <c r="AC7" s="59">
        <f>IF(N(B3)=0,"",EDATE(DATE(YEAR(B3),MONTH(B3),1),12)+14)</f>
        <v/>
      </c>
      <c r="AD7" s="59">
        <f>IF(N(B3)=0,"",EDATE(DATE(YEAR(B3),MONTH(B3),1),13)-1)</f>
        <v/>
      </c>
      <c r="AE7" s="59">
        <f>IF(N(B3)=0,"",EDATE(DATE(YEAR(B3),MONTH(B3),1),13)+14)</f>
        <v/>
      </c>
      <c r="AF7" s="59">
        <f>IF(N(B3)=0,"",EDATE(DATE(YEAR(B3),MONTH(B3),1),14)-1)</f>
        <v/>
      </c>
      <c r="AG7" s="59">
        <f>IF(N(B3)=0,"",EDATE(DATE(YEAR(B3),MONTH(B3),1),14)+14)</f>
        <v/>
      </c>
      <c r="AH7" s="59">
        <f>IF(N(B3)=0,"",EDATE(DATE(YEAR(B3),MONTH(B3),1),15)-1)</f>
        <v/>
      </c>
      <c r="AI7" s="59">
        <f>IF(N(B3)=0,"",EDATE(DATE(YEAR(B3),MONTH(B3),1),15)+14)</f>
        <v/>
      </c>
      <c r="AJ7" s="59">
        <f>IF(N(B3)=0,"",EDATE(DATE(YEAR(B3),MONTH(B3),1),16)-1)</f>
        <v/>
      </c>
      <c r="AK7" s="59">
        <f>IF(N(B3)=0,"",EDATE(DATE(YEAR(B3),MONTH(B3),1),16)+14)</f>
        <v/>
      </c>
      <c r="AL7" s="59">
        <f>IF(N(B3)=0,"",EDATE(DATE(YEAR(B3),MONTH(B3),1),17)-1)</f>
        <v/>
      </c>
      <c r="AM7" s="59">
        <f>IF(N(B3)=0,"",EDATE(DATE(YEAR(B3),MONTH(B3),1),17)+14)</f>
        <v/>
      </c>
      <c r="AN7" s="59">
        <f>IF(N(B3)=0,"",EDATE(DATE(YEAR(B3),MONTH(B3),1),18)-1)</f>
        <v/>
      </c>
    </row>
    <row r="8" ht="22" customHeight="1">
      <c r="A8" s="29" t="inlineStr">
        <is>
          <t>바탕처리 · 부속철물 설치</t>
        </is>
      </c>
      <c r="B8" s="60" t="n"/>
      <c r="C8" s="60" t="n"/>
      <c r="D8" s="61">
        <f>IF(OR(N(B8)=0,N(C8)=0),"",IF(C8&lt;B8,"⚠",C8-B8+1))</f>
        <v/>
      </c>
      <c r="E8" s="62" t="inlineStr"/>
      <c r="F8" s="62" t="inlineStr"/>
      <c r="G8" s="62" t="inlineStr"/>
      <c r="H8" s="62" t="inlineStr"/>
      <c r="I8" s="62" t="inlineStr"/>
      <c r="J8" s="62" t="inlineStr"/>
      <c r="K8" s="62" t="inlineStr"/>
      <c r="L8" s="62" t="inlineStr"/>
      <c r="M8" s="62" t="inlineStr"/>
      <c r="N8" s="62" t="inlineStr"/>
      <c r="O8" s="62" t="inlineStr"/>
      <c r="P8" s="62" t="inlineStr"/>
      <c r="Q8" s="62" t="inlineStr"/>
      <c r="R8" s="62" t="inlineStr"/>
      <c r="S8" s="62" t="inlineStr"/>
      <c r="T8" s="62" t="inlineStr"/>
      <c r="U8" s="62" t="inlineStr"/>
      <c r="V8" s="62" t="inlineStr"/>
      <c r="W8" s="62" t="inlineStr"/>
      <c r="X8" s="62" t="inlineStr"/>
      <c r="Y8" s="62" t="inlineStr"/>
      <c r="Z8" s="62" t="inlineStr"/>
      <c r="AA8" s="62" t="inlineStr"/>
      <c r="AB8" s="62" t="inlineStr"/>
      <c r="AC8" s="62" t="inlineStr"/>
      <c r="AD8" s="62" t="inlineStr"/>
      <c r="AE8" s="62" t="inlineStr"/>
      <c r="AF8" s="62" t="inlineStr"/>
      <c r="AG8" s="62" t="inlineStr"/>
      <c r="AH8" s="62" t="inlineStr"/>
      <c r="AI8" s="62" t="inlineStr"/>
      <c r="AJ8" s="62" t="inlineStr"/>
      <c r="AK8" s="62" t="inlineStr"/>
      <c r="AL8" s="62" t="inlineStr"/>
      <c r="AM8" s="62" t="inlineStr"/>
      <c r="AN8" s="62" t="inlineStr"/>
      <c r="AO8" s="52" t="n"/>
    </row>
    <row r="9" ht="22" customHeight="1">
      <c r="A9" s="29" t="inlineStr">
        <is>
          <t>벽 초벌 바름</t>
        </is>
      </c>
      <c r="B9" s="60" t="n"/>
      <c r="C9" s="60" t="n"/>
      <c r="D9" s="61">
        <f>IF(OR(N(B9)=0,N(C9)=0),"",IF(C9&lt;B9,"⚠",C9-B9+1))</f>
        <v/>
      </c>
      <c r="E9" s="62" t="inlineStr"/>
      <c r="F9" s="62" t="inlineStr"/>
      <c r="G9" s="62" t="inlineStr"/>
      <c r="H9" s="62" t="inlineStr"/>
      <c r="I9" s="62" t="inlineStr"/>
      <c r="J9" s="62" t="inlineStr"/>
      <c r="K9" s="62" t="inlineStr"/>
      <c r="L9" s="62" t="inlineStr"/>
      <c r="M9" s="62" t="inlineStr"/>
      <c r="N9" s="62" t="inlineStr"/>
      <c r="O9" s="62" t="inlineStr"/>
      <c r="P9" s="62" t="inlineStr"/>
      <c r="Q9" s="62" t="inlineStr"/>
      <c r="R9" s="62" t="inlineStr"/>
      <c r="S9" s="62" t="inlineStr"/>
      <c r="T9" s="62" t="inlineStr"/>
      <c r="U9" s="62" t="inlineStr"/>
      <c r="V9" s="62" t="inlineStr"/>
      <c r="W9" s="62" t="inlineStr"/>
      <c r="X9" s="62" t="inlineStr"/>
      <c r="Y9" s="62" t="inlineStr"/>
      <c r="Z9" s="62" t="inlineStr"/>
      <c r="AA9" s="62" t="inlineStr"/>
      <c r="AB9" s="62" t="inlineStr"/>
      <c r="AC9" s="62" t="inlineStr"/>
      <c r="AD9" s="62" t="inlineStr"/>
      <c r="AE9" s="62" t="inlineStr"/>
      <c r="AF9" s="62" t="inlineStr"/>
      <c r="AG9" s="62" t="inlineStr"/>
      <c r="AH9" s="62" t="inlineStr"/>
      <c r="AI9" s="62" t="inlineStr"/>
      <c r="AJ9" s="62" t="inlineStr"/>
      <c r="AK9" s="62" t="inlineStr"/>
      <c r="AL9" s="62" t="inlineStr"/>
      <c r="AM9" s="62" t="inlineStr"/>
      <c r="AN9" s="62" t="inlineStr"/>
      <c r="AO9" s="52" t="n"/>
    </row>
    <row r="10" ht="22" customHeight="1">
      <c r="A10" s="29" t="inlineStr">
        <is>
          <t>벽 재벌 · 정벌 바름</t>
        </is>
      </c>
      <c r="B10" s="60" t="n"/>
      <c r="C10" s="60" t="n"/>
      <c r="D10" s="61">
        <f>IF(OR(N(B10)=0,N(C10)=0),"",IF(C10&lt;B10,"⚠",C10-B10+1))</f>
        <v/>
      </c>
      <c r="E10" s="62" t="inlineStr"/>
      <c r="F10" s="62" t="inlineStr"/>
      <c r="G10" s="62" t="inlineStr"/>
      <c r="H10" s="62" t="inlineStr"/>
      <c r="I10" s="62" t="inlineStr"/>
      <c r="J10" s="62" t="inlineStr"/>
      <c r="K10" s="62" t="inlineStr"/>
      <c r="L10" s="62" t="inlineStr"/>
      <c r="M10" s="62" t="inlineStr"/>
      <c r="N10" s="62" t="inlineStr"/>
      <c r="O10" s="62" t="inlineStr"/>
      <c r="P10" s="62" t="inlineStr"/>
      <c r="Q10" s="62" t="inlineStr"/>
      <c r="R10" s="62" t="inlineStr"/>
      <c r="S10" s="62" t="inlineStr"/>
      <c r="T10" s="62" t="inlineStr"/>
      <c r="U10" s="62" t="inlineStr"/>
      <c r="V10" s="62" t="inlineStr"/>
      <c r="W10" s="62" t="inlineStr"/>
      <c r="X10" s="62" t="inlineStr"/>
      <c r="Y10" s="62" t="inlineStr"/>
      <c r="Z10" s="62" t="inlineStr"/>
      <c r="AA10" s="62" t="inlineStr"/>
      <c r="AB10" s="62" t="inlineStr"/>
      <c r="AC10" s="62" t="inlineStr"/>
      <c r="AD10" s="62" t="inlineStr"/>
      <c r="AE10" s="62" t="inlineStr"/>
      <c r="AF10" s="62" t="inlineStr"/>
      <c r="AG10" s="62" t="inlineStr"/>
      <c r="AH10" s="62" t="inlineStr"/>
      <c r="AI10" s="62" t="inlineStr"/>
      <c r="AJ10" s="62" t="inlineStr"/>
      <c r="AK10" s="62" t="inlineStr"/>
      <c r="AL10" s="62" t="inlineStr"/>
      <c r="AM10" s="62" t="inlineStr"/>
      <c r="AN10" s="62" t="inlineStr"/>
      <c r="AO10" s="52" t="n"/>
    </row>
    <row r="11" ht="22" customHeight="1">
      <c r="A11" s="29" t="inlineStr">
        <is>
          <t>바닥 모르타르 바름</t>
        </is>
      </c>
      <c r="B11" s="60" t="n"/>
      <c r="C11" s="60" t="n"/>
      <c r="D11" s="61">
        <f>IF(OR(N(B11)=0,N(C11)=0),"",IF(C11&lt;B11,"⚠",C11-B11+1))</f>
        <v/>
      </c>
      <c r="E11" s="62" t="inlineStr"/>
      <c r="F11" s="62" t="inlineStr"/>
      <c r="G11" s="62" t="inlineStr"/>
      <c r="H11" s="62" t="inlineStr"/>
      <c r="I11" s="62" t="inlineStr"/>
      <c r="J11" s="62" t="inlineStr"/>
      <c r="K11" s="62" t="inlineStr"/>
      <c r="L11" s="62" t="inlineStr"/>
      <c r="M11" s="62" t="inlineStr"/>
      <c r="N11" s="62" t="inlineStr"/>
      <c r="O11" s="62" t="inlineStr"/>
      <c r="P11" s="62" t="inlineStr"/>
      <c r="Q11" s="62" t="inlineStr"/>
      <c r="R11" s="62" t="inlineStr"/>
      <c r="S11" s="62" t="inlineStr"/>
      <c r="T11" s="62" t="inlineStr"/>
      <c r="U11" s="62" t="inlineStr"/>
      <c r="V11" s="62" t="inlineStr"/>
      <c r="W11" s="62" t="inlineStr"/>
      <c r="X11" s="62" t="inlineStr"/>
      <c r="Y11" s="62" t="inlineStr"/>
      <c r="Z11" s="62" t="inlineStr"/>
      <c r="AA11" s="62" t="inlineStr"/>
      <c r="AB11" s="62" t="inlineStr"/>
      <c r="AC11" s="62" t="inlineStr"/>
      <c r="AD11" s="62" t="inlineStr"/>
      <c r="AE11" s="62" t="inlineStr"/>
      <c r="AF11" s="62" t="inlineStr"/>
      <c r="AG11" s="62" t="inlineStr"/>
      <c r="AH11" s="62" t="inlineStr"/>
      <c r="AI11" s="62" t="inlineStr"/>
      <c r="AJ11" s="62" t="inlineStr"/>
      <c r="AK11" s="62" t="inlineStr"/>
      <c r="AL11" s="62" t="inlineStr"/>
      <c r="AM11" s="62" t="inlineStr"/>
      <c r="AN11" s="62" t="inlineStr"/>
      <c r="AO11" s="52" t="n"/>
    </row>
    <row r="12" ht="22" customHeight="1">
      <c r="A12" s="29" t="inlineStr">
        <is>
          <t>콘크리트 면마무리(견출)</t>
        </is>
      </c>
      <c r="B12" s="60" t="n"/>
      <c r="C12" s="60" t="n"/>
      <c r="D12" s="61">
        <f>IF(OR(N(B12)=0,N(C12)=0),"",IF(C12&lt;B12,"⚠",C12-B12+1))</f>
        <v/>
      </c>
      <c r="E12" s="62" t="inlineStr"/>
      <c r="F12" s="62" t="inlineStr"/>
      <c r="G12" s="62" t="inlineStr"/>
      <c r="H12" s="62" t="inlineStr"/>
      <c r="I12" s="62" t="inlineStr"/>
      <c r="J12" s="62" t="inlineStr"/>
      <c r="K12" s="62" t="inlineStr"/>
      <c r="L12" s="62" t="inlineStr"/>
      <c r="M12" s="62" t="inlineStr"/>
      <c r="N12" s="62" t="inlineStr"/>
      <c r="O12" s="62" t="inlineStr"/>
      <c r="P12" s="62" t="inlineStr"/>
      <c r="Q12" s="62" t="inlineStr"/>
      <c r="R12" s="62" t="inlineStr"/>
      <c r="S12" s="62" t="inlineStr"/>
      <c r="T12" s="62" t="inlineStr"/>
      <c r="U12" s="62" t="inlineStr"/>
      <c r="V12" s="62" t="inlineStr"/>
      <c r="W12" s="62" t="inlineStr"/>
      <c r="X12" s="62" t="inlineStr"/>
      <c r="Y12" s="62" t="inlineStr"/>
      <c r="Z12" s="62" t="inlineStr"/>
      <c r="AA12" s="62" t="inlineStr"/>
      <c r="AB12" s="62" t="inlineStr"/>
      <c r="AC12" s="62" t="inlineStr"/>
      <c r="AD12" s="62" t="inlineStr"/>
      <c r="AE12" s="62" t="inlineStr"/>
      <c r="AF12" s="62" t="inlineStr"/>
      <c r="AG12" s="62" t="inlineStr"/>
      <c r="AH12" s="62" t="inlineStr"/>
      <c r="AI12" s="62" t="inlineStr"/>
      <c r="AJ12" s="62" t="inlineStr"/>
      <c r="AK12" s="62" t="inlineStr"/>
      <c r="AL12" s="62" t="inlineStr"/>
      <c r="AM12" s="62" t="inlineStr"/>
      <c r="AN12" s="62" t="inlineStr"/>
      <c r="AO12" s="52" t="n"/>
    </row>
    <row r="13" ht="22" customHeight="1">
      <c r="A13" s="29" t="inlineStr">
        <is>
          <t>기계 피니셔 마감</t>
        </is>
      </c>
      <c r="B13" s="60" t="n"/>
      <c r="C13" s="60" t="n"/>
      <c r="D13" s="61">
        <f>IF(OR(N(B13)=0,N(C13)=0),"",IF(C13&lt;B13,"⚠",C13-B13+1))</f>
        <v/>
      </c>
      <c r="E13" s="62" t="inlineStr"/>
      <c r="F13" s="62" t="inlineStr"/>
      <c r="G13" s="62" t="inlineStr"/>
      <c r="H13" s="62" t="inlineStr"/>
      <c r="I13" s="62" t="inlineStr"/>
      <c r="J13" s="62" t="inlineStr"/>
      <c r="K13" s="62" t="inlineStr"/>
      <c r="L13" s="62" t="inlineStr"/>
      <c r="M13" s="62" t="inlineStr"/>
      <c r="N13" s="62" t="inlineStr"/>
      <c r="O13" s="62" t="inlineStr"/>
      <c r="P13" s="62" t="inlineStr"/>
      <c r="Q13" s="62" t="inlineStr"/>
      <c r="R13" s="62" t="inlineStr"/>
      <c r="S13" s="62" t="inlineStr"/>
      <c r="T13" s="62" t="inlineStr"/>
      <c r="U13" s="62" t="inlineStr"/>
      <c r="V13" s="62" t="inlineStr"/>
      <c r="W13" s="62" t="inlineStr"/>
      <c r="X13" s="62" t="inlineStr"/>
      <c r="Y13" s="62" t="inlineStr"/>
      <c r="Z13" s="62" t="inlineStr"/>
      <c r="AA13" s="62" t="inlineStr"/>
      <c r="AB13" s="62" t="inlineStr"/>
      <c r="AC13" s="62" t="inlineStr"/>
      <c r="AD13" s="62" t="inlineStr"/>
      <c r="AE13" s="62" t="inlineStr"/>
      <c r="AF13" s="62" t="inlineStr"/>
      <c r="AG13" s="62" t="inlineStr"/>
      <c r="AH13" s="62" t="inlineStr"/>
      <c r="AI13" s="62" t="inlineStr"/>
      <c r="AJ13" s="62" t="inlineStr"/>
      <c r="AK13" s="62" t="inlineStr"/>
      <c r="AL13" s="62" t="inlineStr"/>
      <c r="AM13" s="62" t="inlineStr"/>
      <c r="AN13" s="62" t="inlineStr"/>
      <c r="AO13" s="52" t="n"/>
    </row>
    <row r="14" ht="22" customHeight="1">
      <c r="A14" s="29" t="inlineStr">
        <is>
          <t>보수 · 보양 · 청소</t>
        </is>
      </c>
      <c r="B14" s="60" t="n"/>
      <c r="C14" s="60" t="n"/>
      <c r="D14" s="61">
        <f>IF(OR(N(B14)=0,N(C14)=0),"",IF(C14&lt;B14,"⚠",C14-B14+1))</f>
        <v/>
      </c>
      <c r="E14" s="62" t="inlineStr"/>
      <c r="F14" s="62" t="inlineStr"/>
      <c r="G14" s="62" t="inlineStr"/>
      <c r="H14" s="62" t="inlineStr"/>
      <c r="I14" s="62" t="inlineStr"/>
      <c r="J14" s="62" t="inlineStr"/>
      <c r="K14" s="62" t="inlineStr"/>
      <c r="L14" s="62" t="inlineStr"/>
      <c r="M14" s="62" t="inlineStr"/>
      <c r="N14" s="62" t="inlineStr"/>
      <c r="O14" s="62" t="inlineStr"/>
      <c r="P14" s="62" t="inlineStr"/>
      <c r="Q14" s="62" t="inlineStr"/>
      <c r="R14" s="62" t="inlineStr"/>
      <c r="S14" s="62" t="inlineStr"/>
      <c r="T14" s="62" t="inlineStr"/>
      <c r="U14" s="62" t="inlineStr"/>
      <c r="V14" s="62" t="inlineStr"/>
      <c r="W14" s="62" t="inlineStr"/>
      <c r="X14" s="62" t="inlineStr"/>
      <c r="Y14" s="62" t="inlineStr"/>
      <c r="Z14" s="62" t="inlineStr"/>
      <c r="AA14" s="62" t="inlineStr"/>
      <c r="AB14" s="62" t="inlineStr"/>
      <c r="AC14" s="62" t="inlineStr"/>
      <c r="AD14" s="62" t="inlineStr"/>
      <c r="AE14" s="62" t="inlineStr"/>
      <c r="AF14" s="62" t="inlineStr"/>
      <c r="AG14" s="62" t="inlineStr"/>
      <c r="AH14" s="62" t="inlineStr"/>
      <c r="AI14" s="62" t="inlineStr"/>
      <c r="AJ14" s="62" t="inlineStr"/>
      <c r="AK14" s="62" t="inlineStr"/>
      <c r="AL14" s="62" t="inlineStr"/>
      <c r="AM14" s="62" t="inlineStr"/>
      <c r="AN14" s="62" t="inlineStr"/>
      <c r="AO14" s="52" t="n"/>
    </row>
    <row r="15" ht="22" customHeight="1">
      <c r="A15" s="29" t="inlineStr">
        <is>
          <t>검측 · 정리</t>
        </is>
      </c>
      <c r="B15" s="60" t="n"/>
      <c r="C15" s="60" t="n"/>
      <c r="D15" s="61">
        <f>IF(OR(N(B15)=0,N(C15)=0),"",IF(C15&lt;B15,"⚠",C15-B15+1))</f>
        <v/>
      </c>
      <c r="E15" s="62" t="inlineStr"/>
      <c r="F15" s="62" t="inlineStr"/>
      <c r="G15" s="62" t="inlineStr"/>
      <c r="H15" s="62" t="inlineStr"/>
      <c r="I15" s="62" t="inlineStr"/>
      <c r="J15" s="62" t="inlineStr"/>
      <c r="K15" s="62" t="inlineStr"/>
      <c r="L15" s="62" t="inlineStr"/>
      <c r="M15" s="62" t="inlineStr"/>
      <c r="N15" s="62" t="inlineStr"/>
      <c r="O15" s="62" t="inlineStr"/>
      <c r="P15" s="62" t="inlineStr"/>
      <c r="Q15" s="62" t="inlineStr"/>
      <c r="R15" s="62" t="inlineStr"/>
      <c r="S15" s="62" t="inlineStr"/>
      <c r="T15" s="62" t="inlineStr"/>
      <c r="U15" s="62" t="inlineStr"/>
      <c r="V15" s="62" t="inlineStr"/>
      <c r="W15" s="62" t="inlineStr"/>
      <c r="X15" s="62" t="inlineStr"/>
      <c r="Y15" s="62" t="inlineStr"/>
      <c r="Z15" s="62" t="inlineStr"/>
      <c r="AA15" s="62" t="inlineStr"/>
      <c r="AB15" s="62" t="inlineStr"/>
      <c r="AC15" s="62" t="inlineStr"/>
      <c r="AD15" s="62" t="inlineStr"/>
      <c r="AE15" s="62" t="inlineStr"/>
      <c r="AF15" s="62" t="inlineStr"/>
      <c r="AG15" s="62" t="inlineStr"/>
      <c r="AH15" s="62" t="inlineStr"/>
      <c r="AI15" s="62" t="inlineStr"/>
      <c r="AJ15" s="62" t="inlineStr"/>
      <c r="AK15" s="62" t="inlineStr"/>
      <c r="AL15" s="62" t="inlineStr"/>
      <c r="AM15" s="62" t="inlineStr"/>
      <c r="AN15" s="62" t="inlineStr"/>
      <c r="AO15" s="52" t="n"/>
    </row>
    <row r="16" ht="22" customHeight="1">
      <c r="A16" s="29" t="n"/>
      <c r="B16" s="60" t="n"/>
      <c r="C16" s="60" t="n"/>
      <c r="D16" s="61">
        <f>IF(OR(N(B16)=0,N(C16)=0),"",IF(C16&lt;B16,"⚠",C16-B16+1))</f>
        <v/>
      </c>
      <c r="E16" s="62" t="inlineStr"/>
      <c r="F16" s="62" t="inlineStr"/>
      <c r="G16" s="62" t="inlineStr"/>
      <c r="H16" s="62" t="inlineStr"/>
      <c r="I16" s="62" t="inlineStr"/>
      <c r="J16" s="62" t="inlineStr"/>
      <c r="K16" s="62" t="inlineStr"/>
      <c r="L16" s="62" t="inlineStr"/>
      <c r="M16" s="62" t="inlineStr"/>
      <c r="N16" s="62" t="inlineStr"/>
      <c r="O16" s="62" t="inlineStr"/>
      <c r="P16" s="62" t="inlineStr"/>
      <c r="Q16" s="62" t="inlineStr"/>
      <c r="R16" s="62" t="inlineStr"/>
      <c r="S16" s="62" t="inlineStr"/>
      <c r="T16" s="62" t="inlineStr"/>
      <c r="U16" s="62" t="inlineStr"/>
      <c r="V16" s="62" t="inlineStr"/>
      <c r="W16" s="62" t="inlineStr"/>
      <c r="X16" s="62" t="inlineStr"/>
      <c r="Y16" s="62" t="inlineStr"/>
      <c r="Z16" s="62" t="inlineStr"/>
      <c r="AA16" s="62" t="inlineStr"/>
      <c r="AB16" s="62" t="inlineStr"/>
      <c r="AC16" s="62" t="inlineStr"/>
      <c r="AD16" s="62" t="inlineStr"/>
      <c r="AE16" s="62" t="inlineStr"/>
      <c r="AF16" s="62" t="inlineStr"/>
      <c r="AG16" s="62" t="inlineStr"/>
      <c r="AH16" s="62" t="inlineStr"/>
      <c r="AI16" s="62" t="inlineStr"/>
      <c r="AJ16" s="62" t="inlineStr"/>
      <c r="AK16" s="62" t="inlineStr"/>
      <c r="AL16" s="62" t="inlineStr"/>
      <c r="AM16" s="62" t="inlineStr"/>
      <c r="AN16" s="62" t="inlineStr"/>
      <c r="AO16" s="52" t="n"/>
    </row>
    <row r="17" ht="22" customHeight="1">
      <c r="A17" s="29" t="n"/>
      <c r="B17" s="60" t="n"/>
      <c r="C17" s="60" t="n"/>
      <c r="D17" s="61">
        <f>IF(OR(N(B17)=0,N(C17)=0),"",IF(C17&lt;B17,"⚠",C17-B17+1))</f>
        <v/>
      </c>
      <c r="E17" s="62" t="inlineStr"/>
      <c r="F17" s="62" t="inlineStr"/>
      <c r="G17" s="62" t="inlineStr"/>
      <c r="H17" s="62" t="inlineStr"/>
      <c r="I17" s="62" t="inlineStr"/>
      <c r="J17" s="62" t="inlineStr"/>
      <c r="K17" s="62" t="inlineStr"/>
      <c r="L17" s="62" t="inlineStr"/>
      <c r="M17" s="62" t="inlineStr"/>
      <c r="N17" s="62" t="inlineStr"/>
      <c r="O17" s="62" t="inlineStr"/>
      <c r="P17" s="62" t="inlineStr"/>
      <c r="Q17" s="62" t="inlineStr"/>
      <c r="R17" s="62" t="inlineStr"/>
      <c r="S17" s="62" t="inlineStr"/>
      <c r="T17" s="62" t="inlineStr"/>
      <c r="U17" s="62" t="inlineStr"/>
      <c r="V17" s="62" t="inlineStr"/>
      <c r="W17" s="62" t="inlineStr"/>
      <c r="X17" s="62" t="inlineStr"/>
      <c r="Y17" s="62" t="inlineStr"/>
      <c r="Z17" s="62" t="inlineStr"/>
      <c r="AA17" s="62" t="inlineStr"/>
      <c r="AB17" s="62" t="inlineStr"/>
      <c r="AC17" s="62" t="inlineStr"/>
      <c r="AD17" s="62" t="inlineStr"/>
      <c r="AE17" s="62" t="inlineStr"/>
      <c r="AF17" s="62" t="inlineStr"/>
      <c r="AG17" s="62" t="inlineStr"/>
      <c r="AH17" s="62" t="inlineStr"/>
      <c r="AI17" s="62" t="inlineStr"/>
      <c r="AJ17" s="62" t="inlineStr"/>
      <c r="AK17" s="62" t="inlineStr"/>
      <c r="AL17" s="62" t="inlineStr"/>
      <c r="AM17" s="62" t="inlineStr"/>
      <c r="AN17" s="62" t="inlineStr"/>
      <c r="AO17" s="52" t="n"/>
    </row>
    <row r="18" ht="22" customHeight="1">
      <c r="A18" s="29" t="n"/>
      <c r="B18" s="60" t="n"/>
      <c r="C18" s="60" t="n"/>
      <c r="D18" s="61">
        <f>IF(OR(N(B18)=0,N(C18)=0),"",IF(C18&lt;B18,"⚠",C18-B18+1))</f>
        <v/>
      </c>
      <c r="E18" s="62" t="inlineStr"/>
      <c r="F18" s="62" t="inlineStr"/>
      <c r="G18" s="62" t="inlineStr"/>
      <c r="H18" s="62" t="inlineStr"/>
      <c r="I18" s="62" t="inlineStr"/>
      <c r="J18" s="62" t="inlineStr"/>
      <c r="K18" s="62" t="inlineStr"/>
      <c r="L18" s="62" t="inlineStr"/>
      <c r="M18" s="62" t="inlineStr"/>
      <c r="N18" s="62" t="inlineStr"/>
      <c r="O18" s="62" t="inlineStr"/>
      <c r="P18" s="62" t="inlineStr"/>
      <c r="Q18" s="62" t="inlineStr"/>
      <c r="R18" s="62" t="inlineStr"/>
      <c r="S18" s="62" t="inlineStr"/>
      <c r="T18" s="62" t="inlineStr"/>
      <c r="U18" s="62" t="inlineStr"/>
      <c r="V18" s="62" t="inlineStr"/>
      <c r="W18" s="62" t="inlineStr"/>
      <c r="X18" s="62" t="inlineStr"/>
      <c r="Y18" s="62" t="inlineStr"/>
      <c r="Z18" s="62" t="inlineStr"/>
      <c r="AA18" s="62" t="inlineStr"/>
      <c r="AB18" s="62" t="inlineStr"/>
      <c r="AC18" s="62" t="inlineStr"/>
      <c r="AD18" s="62" t="inlineStr"/>
      <c r="AE18" s="62" t="inlineStr"/>
      <c r="AF18" s="62" t="inlineStr"/>
      <c r="AG18" s="62" t="inlineStr"/>
      <c r="AH18" s="62" t="inlineStr"/>
      <c r="AI18" s="62" t="inlineStr"/>
      <c r="AJ18" s="62" t="inlineStr"/>
      <c r="AK18" s="62" t="inlineStr"/>
      <c r="AL18" s="62" t="inlineStr"/>
      <c r="AM18" s="62" t="inlineStr"/>
      <c r="AN18" s="62" t="inlineStr"/>
      <c r="AO18" s="52" t="n"/>
    </row>
    <row r="19" ht="22" customHeight="1">
      <c r="A19" s="29" t="n"/>
      <c r="B19" s="60" t="n"/>
      <c r="C19" s="60" t="n"/>
      <c r="D19" s="61">
        <f>IF(OR(N(B19)=0,N(C19)=0),"",IF(C19&lt;B19,"⚠",C19-B19+1))</f>
        <v/>
      </c>
      <c r="E19" s="62" t="inlineStr"/>
      <c r="F19" s="62" t="inlineStr"/>
      <c r="G19" s="62" t="inlineStr"/>
      <c r="H19" s="62" t="inlineStr"/>
      <c r="I19" s="62" t="inlineStr"/>
      <c r="J19" s="62" t="inlineStr"/>
      <c r="K19" s="62" t="inlineStr"/>
      <c r="L19" s="62" t="inlineStr"/>
      <c r="M19" s="62" t="inlineStr"/>
      <c r="N19" s="62" t="inlineStr"/>
      <c r="O19" s="62" t="inlineStr"/>
      <c r="P19" s="62" t="inlineStr"/>
      <c r="Q19" s="62" t="inlineStr"/>
      <c r="R19" s="62" t="inlineStr"/>
      <c r="S19" s="62" t="inlineStr"/>
      <c r="T19" s="62" t="inlineStr"/>
      <c r="U19" s="62" t="inlineStr"/>
      <c r="V19" s="62" t="inlineStr"/>
      <c r="W19" s="62" t="inlineStr"/>
      <c r="X19" s="62" t="inlineStr"/>
      <c r="Y19" s="62" t="inlineStr"/>
      <c r="Z19" s="62" t="inlineStr"/>
      <c r="AA19" s="62" t="inlineStr"/>
      <c r="AB19" s="62" t="inlineStr"/>
      <c r="AC19" s="62" t="inlineStr"/>
      <c r="AD19" s="62" t="inlineStr"/>
      <c r="AE19" s="62" t="inlineStr"/>
      <c r="AF19" s="62" t="inlineStr"/>
      <c r="AG19" s="62" t="inlineStr"/>
      <c r="AH19" s="62" t="inlineStr"/>
      <c r="AI19" s="62" t="inlineStr"/>
      <c r="AJ19" s="62" t="inlineStr"/>
      <c r="AK19" s="62" t="inlineStr"/>
      <c r="AL19" s="62" t="inlineStr"/>
      <c r="AM19" s="62" t="inlineStr"/>
      <c r="AN19" s="62" t="inlineStr"/>
      <c r="AO19" s="52" t="n"/>
    </row>
    <row r="20" ht="22" customHeight="1">
      <c r="A20" s="29" t="n"/>
      <c r="B20" s="60" t="n"/>
      <c r="C20" s="60" t="n"/>
      <c r="D20" s="61">
        <f>IF(OR(N(B20)=0,N(C20)=0),"",IF(C20&lt;B20,"⚠",C20-B20+1))</f>
        <v/>
      </c>
      <c r="E20" s="62" t="inlineStr"/>
      <c r="F20" s="62" t="inlineStr"/>
      <c r="G20" s="62" t="inlineStr"/>
      <c r="H20" s="62" t="inlineStr"/>
      <c r="I20" s="62" t="inlineStr"/>
      <c r="J20" s="62" t="inlineStr"/>
      <c r="K20" s="62" t="inlineStr"/>
      <c r="L20" s="62" t="inlineStr"/>
      <c r="M20" s="62" t="inlineStr"/>
      <c r="N20" s="62" t="inlineStr"/>
      <c r="O20" s="62" t="inlineStr"/>
      <c r="P20" s="62" t="inlineStr"/>
      <c r="Q20" s="62" t="inlineStr"/>
      <c r="R20" s="62" t="inlineStr"/>
      <c r="S20" s="62" t="inlineStr"/>
      <c r="T20" s="62" t="inlineStr"/>
      <c r="U20" s="62" t="inlineStr"/>
      <c r="V20" s="62" t="inlineStr"/>
      <c r="W20" s="62" t="inlineStr"/>
      <c r="X20" s="62" t="inlineStr"/>
      <c r="Y20" s="62" t="inlineStr"/>
      <c r="Z20" s="62" t="inlineStr"/>
      <c r="AA20" s="62" t="inlineStr"/>
      <c r="AB20" s="62" t="inlineStr"/>
      <c r="AC20" s="62" t="inlineStr"/>
      <c r="AD20" s="62" t="inlineStr"/>
      <c r="AE20" s="62" t="inlineStr"/>
      <c r="AF20" s="62" t="inlineStr"/>
      <c r="AG20" s="62" t="inlineStr"/>
      <c r="AH20" s="62" t="inlineStr"/>
      <c r="AI20" s="62" t="inlineStr"/>
      <c r="AJ20" s="62" t="inlineStr"/>
      <c r="AK20" s="62" t="inlineStr"/>
      <c r="AL20" s="62" t="inlineStr"/>
      <c r="AM20" s="62" t="inlineStr"/>
      <c r="AN20" s="62" t="inlineStr"/>
      <c r="AO20" s="52" t="n"/>
    </row>
    <row r="21" ht="22" customHeight="1">
      <c r="A21" s="29" t="n"/>
      <c r="B21" s="60" t="n"/>
      <c r="C21" s="60" t="n"/>
      <c r="D21" s="61">
        <f>IF(OR(N(B21)=0,N(C21)=0),"",IF(C21&lt;B21,"⚠",C21-B21+1))</f>
        <v/>
      </c>
      <c r="E21" s="62" t="inlineStr"/>
      <c r="F21" s="62" t="inlineStr"/>
      <c r="G21" s="62" t="inlineStr"/>
      <c r="H21" s="62" t="inlineStr"/>
      <c r="I21" s="62" t="inlineStr"/>
      <c r="J21" s="62" t="inlineStr"/>
      <c r="K21" s="62" t="inlineStr"/>
      <c r="L21" s="62" t="inlineStr"/>
      <c r="M21" s="62" t="inlineStr"/>
      <c r="N21" s="62" t="inlineStr"/>
      <c r="O21" s="62" t="inlineStr"/>
      <c r="P21" s="62" t="inlineStr"/>
      <c r="Q21" s="62" t="inlineStr"/>
      <c r="R21" s="62" t="inlineStr"/>
      <c r="S21" s="62" t="inlineStr"/>
      <c r="T21" s="62" t="inlineStr"/>
      <c r="U21" s="62" t="inlineStr"/>
      <c r="V21" s="62" t="inlineStr"/>
      <c r="W21" s="62" t="inlineStr"/>
      <c r="X21" s="62" t="inlineStr"/>
      <c r="Y21" s="62" t="inlineStr"/>
      <c r="Z21" s="62" t="inlineStr"/>
      <c r="AA21" s="62" t="inlineStr"/>
      <c r="AB21" s="62" t="inlineStr"/>
      <c r="AC21" s="62" t="inlineStr"/>
      <c r="AD21" s="62" t="inlineStr"/>
      <c r="AE21" s="62" t="inlineStr"/>
      <c r="AF21" s="62" t="inlineStr"/>
      <c r="AG21" s="62" t="inlineStr"/>
      <c r="AH21" s="62" t="inlineStr"/>
      <c r="AI21" s="62" t="inlineStr"/>
      <c r="AJ21" s="62" t="inlineStr"/>
      <c r="AK21" s="62" t="inlineStr"/>
      <c r="AL21" s="62" t="inlineStr"/>
      <c r="AM21" s="62" t="inlineStr"/>
      <c r="AN21" s="62" t="inlineStr"/>
      <c r="AO21" s="52" t="n"/>
    </row>
    <row r="22" ht="16" customHeight="1">
      <c r="A22" s="8" t="inlineStr">
        <is>
          <t>※ 일수 = 완료 − 착수 + 1. 막대는 반달(1~15일 · 16일~말일) 단위입니다. 공정은 현장 여건 · 날씨에 따라 바뀔 수 있습니다.</t>
        </is>
      </c>
    </row>
    <row r="24" ht="19.5" customHeight="1">
      <c r="A24" s="8" t="inlineStr">
        <is>
          <t>하늘색 칸 = 자동(착공일 · 달 머리 · 일수). 공종 이름은 원본 차례를 미리 넣어 두었습니다 — 현장에 맞게 고쳐 쓰세요.</t>
        </is>
      </c>
    </row>
  </sheetData>
  <mergeCells count="30">
    <mergeCell ref="W4:X4"/>
    <mergeCell ref="AG4:AH4"/>
    <mergeCell ref="Y4:Z4"/>
    <mergeCell ref="C4:C5"/>
    <mergeCell ref="B3:C3"/>
    <mergeCell ref="N1:AO1"/>
    <mergeCell ref="AK4:AL4"/>
    <mergeCell ref="E4:F4"/>
    <mergeCell ref="A24:AO24"/>
    <mergeCell ref="D4:D5"/>
    <mergeCell ref="AO4:AO5"/>
    <mergeCell ref="O4:P4"/>
    <mergeCell ref="AA4:AB4"/>
    <mergeCell ref="Q4:R4"/>
    <mergeCell ref="AC4:AD4"/>
    <mergeCell ref="AI4:AJ4"/>
    <mergeCell ref="A1:M1"/>
    <mergeCell ref="A4:A5"/>
    <mergeCell ref="AM4:AN4"/>
    <mergeCell ref="G4:H4"/>
    <mergeCell ref="A2:AO2"/>
    <mergeCell ref="I4:J4"/>
    <mergeCell ref="B4:B5"/>
    <mergeCell ref="D3:AO3"/>
    <mergeCell ref="A22:AO22"/>
    <mergeCell ref="K4:L4"/>
    <mergeCell ref="M4:N4"/>
    <mergeCell ref="S4:T4"/>
    <mergeCell ref="AE4:AF4"/>
    <mergeCell ref="U4:V4"/>
  </mergeCells>
  <conditionalFormatting sqref="E8:AN21">
    <cfRule type="expression" priority="1" dxfId="2">
      <formula>AND(N($B8)&gt;0,N($C8)&gt;=N($B8),$B8&lt;=E$7,$C8&gt;=E$6)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8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8.0   품 질 관 리  계 획</t>
        </is>
      </c>
    </row>
    <row r="4" ht="4" customHeight="1"/>
    <row r="5" ht="3" customHeight="1"/>
    <row r="6" ht="22" customHeight="1">
      <c r="A6" s="37" t="inlineStr">
        <is>
          <t>8-1  품질관리 일반 및 적용범위</t>
        </is>
      </c>
    </row>
    <row r="7" ht="36" customHeight="1">
      <c r="A7" s="40" t="inlineStr">
        <is>
          <t>(1)</t>
        </is>
      </c>
      <c r="B7" s="41" t="inlineStr">
        <is>
          <t>공사 진행 중 필요에 따라 각종 승인도면 · 제작도면 · 제작요령서 등을 작성하여 공사감독자(감리원)의 승인을 받는다.</t>
        </is>
      </c>
    </row>
    <row r="8" ht="36" customHeight="1">
      <c r="A8" s="40" t="inlineStr">
        <is>
          <t>(2)</t>
        </is>
      </c>
      <c r="B8" s="41" t="inlineStr">
        <is>
          <t>공사용 재료는 도면 · 공사시방서 및 공사감독자의 지시에 따라, 쓰기 전에 견본 또는 자료를 제출하여 승인을 받은 뒤 쓴다.</t>
        </is>
      </c>
    </row>
    <row r="9" ht="36" customHeight="1">
      <c r="A9" s="40" t="inlineStr">
        <is>
          <t>(3)</t>
        </is>
      </c>
      <c r="B9" s="41" t="inlineStr">
        <is>
          <t>품질시험은 「건설기술 진흥법」 및 같은 법 시행령 · 시행규칙과 공사시방서에서 정한 바에 따른다.</t>
        </is>
      </c>
    </row>
    <row r="10" ht="3" customHeight="1"/>
    <row r="11" ht="22" customHeight="1">
      <c r="A11" s="37" t="inlineStr">
        <is>
          <t>8-2  공사용 재료의 품질</t>
        </is>
      </c>
    </row>
    <row r="12" ht="36" customHeight="1">
      <c r="A12" s="40" t="inlineStr">
        <is>
          <t>(1)</t>
        </is>
      </c>
      <c r="B12" s="41" t="inlineStr">
        <is>
          <t>설계도면 · 공사시방서 및 공사감독자의 따로 지시가 없으면 시방서에서 정한 품질과 규격에 맞는 재료를 쓴다.</t>
        </is>
      </c>
    </row>
    <row r="13" ht="36" customHeight="1">
      <c r="A13" s="40" t="inlineStr">
        <is>
          <t>(2)</t>
        </is>
      </c>
      <c r="B13" s="41" t="inlineStr">
        <is>
          <t>시방서에 품질 규격이 없으면 한국산업표준(KS) 표시품 또는 이에 준하는 품질과 규격의 재료를 쓴다.</t>
        </is>
      </c>
    </row>
    <row r="14" ht="51.5" customHeight="1">
      <c r="A14" s="40" t="inlineStr">
        <is>
          <t>(3)</t>
        </is>
      </c>
      <c r="B14" s="41" t="inlineStr">
        <is>
          <t>기성품을 포함한 공사용 재료는 현장 반입 전에 자재승인 서류(견본 · 카탈로그 · 시험성적서 등)를 제출하여 승인을 받고, 공사감독자의 지시에 따라 품질을 확인할 수 있는 증빙서류를 낸다.</t>
        </is>
      </c>
    </row>
    <row r="15" ht="36" customHeight="1">
      <c r="A15" s="40" t="inlineStr">
        <is>
          <t>(4)</t>
        </is>
      </c>
      <c r="B15" s="41" t="inlineStr">
        <is>
          <t>재료가 현장에 들어오면 공사감독자의 인수검사를 받고, 합격한 재료는 작업 · 통행에 지장이 없는 곳에 보관하여 수시 점검이 쉽게 한다.</t>
        </is>
      </c>
    </row>
    <row r="16" ht="36" customHeight="1">
      <c r="A16" s="40" t="inlineStr">
        <is>
          <t>(5)</t>
        </is>
      </c>
      <c r="B16" s="41" t="inlineStr">
        <is>
          <t>「건설기술 진흥법」에 규정된 품질시험을 하고, 시험실 규모 · 시험장비 · 시험요원 배치기준에 따라 시험실을 운영한다.</t>
        </is>
      </c>
    </row>
    <row r="17" ht="20.5" customHeight="1">
      <c r="A17" s="40" t="inlineStr">
        <is>
          <t>(6)</t>
        </is>
      </c>
      <c r="B17" s="41" t="inlineStr">
        <is>
          <t>검사 또는 시험에 불합격한 재료는 지체 없이 현장 밖으로 반출한다.</t>
        </is>
      </c>
    </row>
    <row r="18" ht="3" customHeight="1"/>
    <row r="19" ht="22" customHeight="1">
      <c r="A19" s="37" t="inlineStr">
        <is>
          <t>8-3  시공 확인 및 검사</t>
        </is>
      </c>
    </row>
    <row r="20" ht="36" customHeight="1">
      <c r="A20" s="40" t="inlineStr">
        <is>
          <t>(1)</t>
        </is>
      </c>
      <c r="B20" s="41" t="inlineStr">
        <is>
          <t>주요 공사단계가 끝났을 때나 공사감독자가 지시할 때는 시공의 정확성과 품질을 확인받는다.</t>
        </is>
      </c>
    </row>
    <row r="21" ht="20.5" customHeight="1">
      <c r="A21" s="40" t="inlineStr">
        <is>
          <t>(2)</t>
        </is>
      </c>
      <c r="B21" s="41" t="inlineStr">
        <is>
          <t>검사에 필요한 자료 작성 · 측량 등은 검사자의 지시에 따른다.</t>
        </is>
      </c>
    </row>
    <row r="22" ht="3" customHeight="1"/>
    <row r="23" ht="22" customHeight="1">
      <c r="A23" s="37" t="inlineStr">
        <is>
          <t>8-4  자재관리</t>
        </is>
      </c>
    </row>
    <row r="24" ht="20.5" customHeight="1">
      <c r="A24" s="40" t="inlineStr">
        <is>
          <t>(1)</t>
        </is>
      </c>
      <c r="B24" s="41" t="inlineStr">
        <is>
          <t>들어온 자재는 자재수불대장으로 입 · 출고를 관리한다.</t>
        </is>
      </c>
    </row>
    <row r="25" ht="20.5" customHeight="1">
      <c r="A25" s="40" t="inlineStr">
        <is>
          <t>(2)</t>
        </is>
      </c>
      <c r="B25" s="41" t="inlineStr">
        <is>
          <t>자재는 재질별 · 규격별로 나누어 보관한다.</t>
        </is>
      </c>
    </row>
    <row r="26" ht="20.5" customHeight="1">
      <c r="A26" s="40" t="inlineStr">
        <is>
          <t>(3)</t>
        </is>
      </c>
      <c r="B26" s="41" t="inlineStr">
        <is>
          <t>운반 · 야적 때 변형되지 않도록 전용 운반 가설대 또는 전용 야적대를 쓴다.</t>
        </is>
      </c>
    </row>
    <row r="27" ht="36" customHeight="1">
      <c r="A27" s="40" t="inlineStr">
        <is>
          <t>(4)</t>
        </is>
      </c>
      <c r="B27" s="41" t="inlineStr">
        <is>
          <t>반입 자재는 받침목 · 지지목 등으로 지면에서 200mm 이상 띄우고 손상 · 변형 · 침수되지 않게 한다.</t>
        </is>
      </c>
    </row>
    <row r="28" ht="20.5" customHeight="1">
      <c r="A28" s="40" t="inlineStr">
        <is>
          <t>(5)</t>
        </is>
      </c>
      <c r="B28" s="41" t="inlineStr">
        <is>
          <t>변형을 막기 위해 받침목 높이를 맞추고 1단 적재를 기본으로 한다.</t>
        </is>
      </c>
    </row>
    <row r="29" ht="4" customHeight="1"/>
    <row r="30" ht="30" customHeight="1">
      <c r="A30" s="12" t="inlineStr">
        <is>
          <t>9.0   환 경 관 리  계 획</t>
        </is>
      </c>
    </row>
    <row r="31" ht="4" customHeight="1"/>
    <row r="32" ht="3" customHeight="1"/>
    <row r="33" ht="22" customHeight="1">
      <c r="A33" s="37" t="inlineStr">
        <is>
          <t>9-1  개  요</t>
        </is>
      </c>
    </row>
    <row r="34" ht="21.5" customHeight="1">
      <c r="A34" s="39" t="inlineStr">
        <is>
          <t>현장의 폐기물 · 유류 · 쓰레기 및 소음 · 진동 · 비산먼지 등에 의한 오염을 방지한다.</t>
        </is>
      </c>
    </row>
    <row r="35" ht="3" customHeight="1"/>
    <row r="36" ht="22" customHeight="1">
      <c r="A36" s="37" t="inlineStr">
        <is>
          <t>9-2  중점관리 방침</t>
        </is>
      </c>
    </row>
    <row r="37" ht="20.5" customHeight="1">
      <c r="A37" s="40" t="inlineStr">
        <is>
          <t>(1)</t>
        </is>
      </c>
      <c r="B37" s="41" t="inlineStr">
        <is>
          <t>자율적인 환경관리</t>
        </is>
      </c>
    </row>
    <row r="38" ht="20.5" customHeight="1">
      <c r="A38" s="40" t="inlineStr">
        <is>
          <t>(2)</t>
        </is>
      </c>
      <c r="B38" s="41" t="inlineStr">
        <is>
          <t>쾌적한 작업환경 관리</t>
        </is>
      </c>
    </row>
    <row r="39" ht="20.5" customHeight="1">
      <c r="A39" s="40" t="inlineStr">
        <is>
          <t>(3)</t>
        </is>
      </c>
      <c r="B39" s="41" t="inlineStr">
        <is>
          <t>민원 발생 방지</t>
        </is>
      </c>
    </row>
    <row r="40" ht="3" customHeight="1"/>
    <row r="41" ht="22" customHeight="1">
      <c r="A41" s="37" t="inlineStr">
        <is>
          <t>9-3  실시계획</t>
        </is>
      </c>
    </row>
    <row r="42" ht="20.5" customHeight="1">
      <c r="A42" s="40" t="inlineStr">
        <is>
          <t>(1)</t>
        </is>
      </c>
      <c r="B42" s="41" t="inlineStr">
        <is>
          <t>작업 전후 정리정돈 : 작업 전후 정리정돈을 철저히 하여 쾌적한 작업환경을 유지한다.</t>
        </is>
      </c>
    </row>
    <row r="43" ht="36" customHeight="1">
      <c r="A43" s="40" t="inlineStr">
        <is>
          <t>(2)</t>
        </is>
      </c>
      <c r="B43" s="41" t="inlineStr">
        <is>
          <t>분리수거 : 분리수거를 철저히 하고, 미장 작업에서 나온 폐기물(모르타르 찌꺼기 · 포대 등)은 시공업체 부담으로 적법하게 처리하여 쓰레기를 줄인다.</t>
        </is>
      </c>
    </row>
    <row r="44" ht="36" customHeight="1">
      <c r="A44" s="40" t="inlineStr">
        <is>
          <t>(3)</t>
        </is>
      </c>
      <c r="B44" s="41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5" ht="21" customHeight="1">
      <c r="A45" s="10" t="inlineStr"/>
      <c r="B45" s="38" t="inlineStr">
        <is>
          <t>(4) 환경관리 대책</t>
        </is>
      </c>
    </row>
    <row r="46" ht="20.5" customHeight="1">
      <c r="A46" s="40" t="inlineStr">
        <is>
          <t>①</t>
        </is>
      </c>
      <c r="C46" s="41" t="inlineStr">
        <is>
          <t>쓰레기 처리 : 현장 안은 금연하고 쓰레기 수거함을 둔다.</t>
        </is>
      </c>
    </row>
    <row r="47" ht="36" customHeight="1">
      <c r="A47" s="40" t="inlineStr">
        <is>
          <t>②</t>
        </is>
      </c>
      <c r="C47" s="41" t="inlineStr">
        <is>
          <t>잔재물 : 모르타르 찌꺼기 · 시멘트 포대 등은 지정된 장소에 모아 두고 지정 업체가 수거하게 한다.</t>
        </is>
      </c>
    </row>
    <row r="48" ht="36" customHeight="1">
      <c r="A48" s="40" t="inlineStr">
        <is>
          <t>③</t>
        </is>
      </c>
      <c r="C48" s="41" t="inlineStr">
        <is>
          <t>비산먼지 : 현장 안 주요 도로와 작업장 주변은 하루 2회 이상 살수차로 살수하고, 장비 이동 때 먼지가 나지 않도록 서행한다.</t>
        </is>
      </c>
    </row>
    <row r="49" ht="4" customHeight="1"/>
    <row r="50" ht="30" customHeight="1">
      <c r="A50" s="12" t="inlineStr">
        <is>
          <t>10.0   안 전 관 리  계 획</t>
        </is>
      </c>
    </row>
    <row r="51" ht="4" customHeight="1"/>
    <row r="52" ht="3" customHeight="1"/>
    <row r="53" ht="22" customHeight="1">
      <c r="A53" s="37" t="inlineStr">
        <is>
          <t>10-1  안전관리 목적</t>
        </is>
      </c>
    </row>
    <row r="54" ht="37" customHeight="1">
      <c r="A54" s="39" t="inlineStr">
        <is>
          <t>공종의 특수성을 고려하여 현장의 위험요소를 미리 없애 사고를 막음으로써 귀중한 인명을 보호하고 재산 손실을 최소화하며, 작업 능률을 높여 계획 공정을 원만히 달성하는 데 목적이 있다.</t>
        </is>
      </c>
    </row>
    <row r="55" ht="3" customHeight="1"/>
    <row r="56" ht="22" customHeight="1">
      <c r="A56" s="37" t="inlineStr">
        <is>
          <t>10-2  현장의 안전관리 방침</t>
        </is>
      </c>
    </row>
    <row r="57" ht="20.5" customHeight="1">
      <c r="A57" s="40" t="inlineStr">
        <is>
          <t>①</t>
        </is>
      </c>
      <c r="B57" s="41" t="inlineStr">
        <is>
          <t>선 안전, 후 시공</t>
        </is>
      </c>
    </row>
    <row r="58" ht="20.5" customHeight="1">
      <c r="A58" s="40" t="inlineStr">
        <is>
          <t>②</t>
        </is>
      </c>
      <c r="B58" s="41" t="inlineStr">
        <is>
          <t>안전교육 내실화로 위험요인 사전 제거</t>
        </is>
      </c>
    </row>
    <row r="59" ht="20.5" customHeight="1">
      <c r="A59" s="40" t="inlineStr">
        <is>
          <t>③</t>
        </is>
      </c>
      <c r="B59" s="41" t="inlineStr">
        <is>
          <t>안전지도 · 점검 강화로 위험요인 사전 제거</t>
        </is>
      </c>
    </row>
    <row r="60" ht="20.5" customHeight="1">
      <c r="A60" s="40" t="inlineStr">
        <is>
          <t>④</t>
        </is>
      </c>
      <c r="B60" s="41" t="inlineStr">
        <is>
          <t>취약 지점 점검 · 보강</t>
        </is>
      </c>
    </row>
    <row r="61" ht="3" customHeight="1"/>
    <row r="62" ht="22" customHeight="1">
      <c r="A62" s="37" t="inlineStr">
        <is>
          <t>10-3  중점 관리 사항</t>
        </is>
      </c>
    </row>
    <row r="63" ht="20.5" customHeight="1">
      <c r="A63" s="40" t="inlineStr">
        <is>
          <t>①</t>
        </is>
      </c>
      <c r="B63" s="41" t="inlineStr">
        <is>
          <t>위험예지 활동 실시</t>
        </is>
      </c>
    </row>
    <row r="64" ht="20.5" customHeight="1">
      <c r="A64" s="40" t="inlineStr">
        <is>
          <t>②</t>
        </is>
      </c>
      <c r="B64" s="41" t="inlineStr">
        <is>
          <t>개인 안전보호구 착용 생활화</t>
        </is>
      </c>
    </row>
    <row r="65" ht="20.5" customHeight="1">
      <c r="A65" s="40" t="inlineStr">
        <is>
          <t>③</t>
        </is>
      </c>
      <c r="B65" s="41" t="inlineStr">
        <is>
          <t>신규 채용자는 특별안전교육 후 투입</t>
        </is>
      </c>
    </row>
    <row r="66" ht="20.5" customHeight="1">
      <c r="A66" s="40" t="inlineStr">
        <is>
          <t>④</t>
        </is>
      </c>
      <c r="B66" s="41" t="inlineStr">
        <is>
          <t>고소 및 위험지역 작업 전후 안전대책 강구</t>
        </is>
      </c>
    </row>
    <row r="67" ht="20.5" customHeight="1">
      <c r="A67" s="40" t="inlineStr">
        <is>
          <t>⑤</t>
        </is>
      </c>
      <c r="B67" s="41" t="inlineStr">
        <is>
          <t>각종 도구 · 시설물 · 보호장구 상태 및 사용 실태 수시 점검</t>
        </is>
      </c>
    </row>
    <row r="68" ht="20.5" customHeight="1">
      <c r="A68" s="40" t="inlineStr">
        <is>
          <t>⑥</t>
        </is>
      </c>
      <c r="B68" s="41" t="inlineStr">
        <is>
          <t>작업장 정리정돈 생활화</t>
        </is>
      </c>
    </row>
    <row r="69" ht="20.5" customHeight="1">
      <c r="A69" s="40" t="inlineStr">
        <is>
          <t>⑦</t>
        </is>
      </c>
      <c r="B69" s="41" t="inlineStr">
        <is>
          <t>관리감독자 순찰 활동 강화</t>
        </is>
      </c>
    </row>
    <row r="70" ht="20.5" customHeight="1">
      <c r="A70" s="40" t="inlineStr">
        <is>
          <t>⑧</t>
        </is>
      </c>
      <c r="B70" s="41" t="inlineStr">
        <is>
          <t>장비의 안전상태 점검</t>
        </is>
      </c>
    </row>
    <row r="71" ht="20.5" customHeight="1">
      <c r="A71" s="40" t="inlineStr">
        <is>
          <t>⑨</t>
        </is>
      </c>
      <c r="B71" s="41" t="inlineStr">
        <is>
          <t>장비 운전원은 유자격자 선임</t>
        </is>
      </c>
    </row>
    <row r="72" ht="3" customHeight="1"/>
    <row r="73" ht="22" customHeight="1">
      <c r="A73" s="37" t="inlineStr">
        <is>
          <t>10-4  미장공사의 안전수칙</t>
        </is>
      </c>
    </row>
    <row r="74" ht="36" customHeight="1">
      <c r="A74" s="40" t="inlineStr">
        <is>
          <t>①</t>
        </is>
      </c>
      <c r="B74" s="41" t="inlineStr">
        <is>
          <t>모든 작업자는 작업 때 안전보호구(안전모 · 안전화 · 보호장갑 · 작업복 등)를 반드시 착용한다.</t>
        </is>
      </c>
    </row>
    <row r="75" ht="36" customHeight="1">
      <c r="A75" s="40" t="inlineStr">
        <is>
          <t>②</t>
        </is>
      </c>
      <c r="B75" s="41" t="inlineStr">
        <is>
          <t>작업 전 장비 안전점검을 반드시 하고, 작업 중에도 중요 부분을 수시로 점검하여 이상이 있으면 예방조치를 한다.</t>
        </is>
      </c>
    </row>
    <row r="76" ht="20.5" customHeight="1">
      <c r="A76" s="40" t="inlineStr">
        <is>
          <t>③</t>
        </is>
      </c>
      <c r="B76" s="41" t="inlineStr">
        <is>
          <t>가동 중인 장비를 두고 자리를 뜨거나 장난 · 한눈팔기를 하지 않는다.</t>
        </is>
      </c>
    </row>
    <row r="77" ht="36" customHeight="1">
      <c r="A77" s="40" t="inlineStr">
        <is>
          <t>④</t>
        </is>
      </c>
      <c r="B77" s="41" t="inlineStr">
        <is>
          <t>기사는 작업자와 주위 사람 · 상황을 정확히 살피고 신호수의 신호에 따라 장비를 움직인다.</t>
        </is>
      </c>
    </row>
    <row r="78" ht="20.5" customHeight="1">
      <c r="A78" s="40" t="inlineStr">
        <is>
          <t>⑤</t>
        </is>
      </c>
      <c r="B78" s="41" t="inlineStr">
        <is>
          <t>높은 곳에서 작업할 때는 반드시 안전대를 착용한다.</t>
        </is>
      </c>
    </row>
    <row r="79" ht="36" customHeight="1">
      <c r="A79" s="40" t="inlineStr">
        <is>
          <t>⑥</t>
        </is>
      </c>
      <c r="B79" s="41" t="inlineStr">
        <is>
          <t>이동식 비계 · 말비계 위에서 작업할 때는 바퀴를 고정하고 작업발판 · 안전난간을 갖춘 뒤 작업한다.</t>
        </is>
      </c>
    </row>
    <row r="81" ht="34" customHeight="1">
      <c r="A81" s="8" t="inlineStr">
        <is>
          <t>법령 이름은 현행(「건설기술 진흥법」)으로 바꿨습니다. 그 밖의 문구는 원본 계획서를 다듬은 것입니다.</t>
        </is>
      </c>
    </row>
  </sheetData>
  <mergeCells count="67">
    <mergeCell ref="A48:B48"/>
    <mergeCell ref="A54:L54"/>
    <mergeCell ref="B26:L26"/>
    <mergeCell ref="B75:L75"/>
    <mergeCell ref="A41:L41"/>
    <mergeCell ref="B16:L16"/>
    <mergeCell ref="B7:L7"/>
    <mergeCell ref="B25:L25"/>
    <mergeCell ref="C48:L48"/>
    <mergeCell ref="B59:L59"/>
    <mergeCell ref="A56:L56"/>
    <mergeCell ref="B66:L66"/>
    <mergeCell ref="A3:L3"/>
    <mergeCell ref="B27:L27"/>
    <mergeCell ref="A50:L50"/>
    <mergeCell ref="B71:L71"/>
    <mergeCell ref="B43:L43"/>
    <mergeCell ref="B12:L12"/>
    <mergeCell ref="B58:L58"/>
    <mergeCell ref="B70:L70"/>
    <mergeCell ref="B21:L21"/>
    <mergeCell ref="A33:L33"/>
    <mergeCell ref="B39:L39"/>
    <mergeCell ref="B77:L77"/>
    <mergeCell ref="A23:L23"/>
    <mergeCell ref="A46:B46"/>
    <mergeCell ref="B42:L42"/>
    <mergeCell ref="B14:L14"/>
    <mergeCell ref="B60:L60"/>
    <mergeCell ref="B63:L63"/>
    <mergeCell ref="A53:L53"/>
    <mergeCell ref="B17:L17"/>
    <mergeCell ref="B67:L67"/>
    <mergeCell ref="B57:L57"/>
    <mergeCell ref="B8:L8"/>
    <mergeCell ref="A62:L62"/>
    <mergeCell ref="G1:L1"/>
    <mergeCell ref="A81:L81"/>
    <mergeCell ref="B13:L13"/>
    <mergeCell ref="B38:L38"/>
    <mergeCell ref="A19:L19"/>
    <mergeCell ref="B44:L44"/>
    <mergeCell ref="B78:L78"/>
    <mergeCell ref="B69:L69"/>
    <mergeCell ref="A47:B47"/>
    <mergeCell ref="B37:L37"/>
    <mergeCell ref="B28:L28"/>
    <mergeCell ref="C47:L47"/>
    <mergeCell ref="A34:L34"/>
    <mergeCell ref="B9:L9"/>
    <mergeCell ref="A30:L30"/>
    <mergeCell ref="B65:L65"/>
    <mergeCell ref="A73:L73"/>
    <mergeCell ref="B74:L74"/>
    <mergeCell ref="B68:L68"/>
    <mergeCell ref="A11:L11"/>
    <mergeCell ref="B15:L15"/>
    <mergeCell ref="A1:F1"/>
    <mergeCell ref="B64:L64"/>
    <mergeCell ref="B24:L24"/>
    <mergeCell ref="A36:L36"/>
    <mergeCell ref="B20:L20"/>
    <mergeCell ref="A6:L6"/>
    <mergeCell ref="C46:L46"/>
    <mergeCell ref="B76:L76"/>
    <mergeCell ref="B45:L45"/>
    <mergeCell ref="B79:L79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28" min="0" max="16383" man="1"/>
    <brk id="48" min="0" max="16383" man="1"/>
  </rowBreaks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3" t="inlineStr">
        <is>
          <t xml:space="preserve">작성 예시 (가상의 현장)  </t>
        </is>
      </c>
    </row>
    <row r="2" ht="90" customHeight="1"/>
    <row r="3" ht="40" customHeight="1">
      <c r="A3" s="3" t="inlineStr">
        <is>
          <t>가나학교 교사 증축공사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미장공사 ]</t>
        </is>
      </c>
    </row>
    <row r="7" ht="120" customHeight="1"/>
    <row r="8" ht="32" customHeight="1">
      <c r="A8" s="6" t="n">
        <v>46082</v>
      </c>
    </row>
    <row r="9" ht="110" customHeight="1"/>
    <row r="10" ht="44" customHeight="1">
      <c r="A10" s="7" t="inlineStr">
        <is>
          <t>예시건설(주)</t>
        </is>
      </c>
    </row>
    <row r="12" ht="19.5" customHeight="1">
      <c r="A12" s="8" t="inlineStr">
        <is>
          <t>이 시트는 작성 예시입니다(가상의 공사 · 회사 · 사람).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7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3" t="inlineStr">
        <is>
          <t xml:space="preserve">작성 예시 (가상의 현장)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  사    명</t>
        </is>
      </c>
      <c r="K5" s="10" t="inlineStr"/>
    </row>
    <row r="6" ht="30" customHeight="1">
      <c r="A6" s="10" t="inlineStr"/>
      <c r="C6" s="11" t="inlineStr">
        <is>
          <t>2.  공  사  개  요</t>
        </is>
      </c>
      <c r="K6" s="10" t="inlineStr"/>
    </row>
    <row r="7" ht="30" customHeight="1">
      <c r="A7" s="10" t="inlineStr"/>
      <c r="C7" s="11" t="inlineStr">
        <is>
          <t>3.  공  사  위  치</t>
        </is>
      </c>
      <c r="K7" s="10" t="inlineStr"/>
    </row>
    <row r="8" ht="30" customHeight="1">
      <c r="A8" s="10" t="inlineStr"/>
      <c r="C8" s="11" t="inlineStr">
        <is>
          <t>4.  주요 공사 물량</t>
        </is>
      </c>
      <c r="K8" s="10" t="inlineStr"/>
    </row>
    <row r="9" ht="30" customHeight="1">
      <c r="A9" s="10" t="inlineStr"/>
      <c r="C9" s="11" t="inlineStr">
        <is>
          <t>5.  현 장  조 직 도</t>
        </is>
      </c>
      <c r="K9" s="10" t="inlineStr"/>
    </row>
    <row r="10" ht="30" customHeight="1">
      <c r="A10" s="10" t="inlineStr"/>
      <c r="C10" s="11" t="inlineStr">
        <is>
          <t>6.  시  공  관  리</t>
        </is>
      </c>
      <c r="K10" s="10" t="inlineStr"/>
    </row>
    <row r="11" ht="30" customHeight="1">
      <c r="A11" s="10" t="inlineStr"/>
      <c r="C11" s="11" t="inlineStr">
        <is>
          <t>7.  예 정  공 정 표</t>
        </is>
      </c>
      <c r="K11" s="10" t="inlineStr"/>
    </row>
    <row r="12" ht="30" customHeight="1">
      <c r="A12" s="10" t="inlineStr"/>
      <c r="C12" s="11" t="inlineStr">
        <is>
          <t>8.  품 질  관 리  계 획</t>
        </is>
      </c>
      <c r="K12" s="10" t="inlineStr"/>
    </row>
    <row r="13" ht="30" customHeight="1">
      <c r="A13" s="10" t="inlineStr"/>
      <c r="C13" s="11" t="inlineStr">
        <is>
          <t>9.  환 경  관 리  계 획</t>
        </is>
      </c>
      <c r="K13" s="10" t="inlineStr"/>
    </row>
    <row r="14" ht="30" customHeight="1">
      <c r="A14" s="10" t="inlineStr"/>
      <c r="C14" s="11" t="inlineStr">
        <is>
          <t>10. 안 전  관 리  계 획</t>
        </is>
      </c>
      <c r="K14" s="10" t="inlineStr"/>
    </row>
    <row r="15" ht="4" customHeight="1"/>
    <row r="16" ht="30" customHeight="1">
      <c r="A16" s="12" t="inlineStr">
        <is>
          <t>1.0   공 사 명</t>
        </is>
      </c>
    </row>
    <row r="17" ht="4" customHeight="1"/>
    <row r="18" ht="30" customHeight="1">
      <c r="A18" s="10" t="inlineStr"/>
      <c r="B18" s="13">
        <f>IF(OR('예시-표지'!A3="",'예시-표지'!A3="(공 사 명)"),"","◦ "&amp;'예시-표지'!A3)</f>
        <v/>
      </c>
    </row>
    <row r="19" ht="4" customHeight="1"/>
    <row r="20" ht="30" customHeight="1">
      <c r="A20" s="12" t="inlineStr">
        <is>
          <t>2.0   공 사 개 요</t>
        </is>
      </c>
    </row>
    <row r="21" ht="4" customHeight="1"/>
    <row r="22" ht="28" customHeight="1">
      <c r="A22" s="14" t="inlineStr">
        <is>
          <t>공 사 명</t>
        </is>
      </c>
      <c r="B22" s="15" t="n"/>
      <c r="C22" s="15" t="n"/>
      <c r="D22" s="16">
        <f>IF(OR('예시-표지'!A3="",'예시-표지'!A3="(공 사 명)"),"",'예시-표지'!A3)</f>
        <v/>
      </c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26" customHeight="1">
      <c r="A23" s="14" t="inlineStr">
        <is>
          <t>공 사 위 치</t>
        </is>
      </c>
      <c r="B23" s="15" t="n"/>
      <c r="C23" s="15" t="n"/>
      <c r="D23" s="17" t="inlineStr">
        <is>
          <t>가나시 가나동 일원</t>
        </is>
      </c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 ht="26" customHeight="1">
      <c r="A24" s="14" t="inlineStr">
        <is>
          <t>발  주  처</t>
        </is>
      </c>
      <c r="B24" s="15" t="n"/>
      <c r="C24" s="15" t="n"/>
      <c r="D24" s="17" t="inlineStr">
        <is>
          <t>가나시교육청</t>
        </is>
      </c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26" customHeight="1">
      <c r="A25" s="14" t="inlineStr">
        <is>
          <t>공 사 기 간</t>
        </is>
      </c>
      <c r="B25" s="15" t="n"/>
      <c r="C25" s="15" t="n"/>
      <c r="D25" s="18" t="n">
        <v>46083</v>
      </c>
      <c r="E25" s="15" t="n"/>
      <c r="F25" s="19" t="inlineStr">
        <is>
          <t>~</t>
        </is>
      </c>
      <c r="G25" s="18" t="n">
        <v>46387</v>
      </c>
      <c r="H25" s="15" t="n"/>
      <c r="I25" s="20">
        <f>IF(OR(N(D25)=0,N(G25)=0),"",IF(G25&lt;D25,"⚠ 준공일이 착공일보다 빠름",G25-D25+1))</f>
        <v/>
      </c>
      <c r="J25" s="15" t="n"/>
      <c r="K25" s="15" t="n"/>
      <c r="L25" s="15" t="n"/>
    </row>
    <row r="26" ht="26" customHeight="1">
      <c r="A26" s="14" t="inlineStr">
        <is>
          <t>공 사 금 액</t>
        </is>
      </c>
      <c r="B26" s="15" t="n"/>
      <c r="C26" s="15" t="n"/>
      <c r="D26" s="21" t="n">
        <v>8450000000</v>
      </c>
      <c r="E26" s="15" t="n"/>
      <c r="F26" s="15" t="n"/>
      <c r="G26" s="22">
        <f>IF(N(D26)=0,"",D26)</f>
        <v/>
      </c>
      <c r="H26" s="15" t="n"/>
      <c r="I26" s="15" t="n"/>
      <c r="J26" s="15" t="n"/>
      <c r="K26" s="15" t="n"/>
      <c r="L26" s="15" t="n"/>
    </row>
    <row r="27" ht="26" customHeight="1">
      <c r="A27" s="14" t="inlineStr">
        <is>
          <t>공 사 규 모</t>
        </is>
      </c>
      <c r="B27" s="15" t="n"/>
      <c r="C27" s="15" t="n"/>
      <c r="D27" s="23" t="inlineStr">
        <is>
          <t>교사동 증축(지상 4층) · 실습동 리모델링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26" customHeight="1">
      <c r="A28" s="14" t="inlineStr">
        <is>
          <t>시  공  사</t>
        </is>
      </c>
      <c r="B28" s="15" t="n"/>
      <c r="C28" s="15" t="n"/>
      <c r="D28" s="16">
        <f>IF(OR('예시-표지'!A10="",'예시-표지'!A10="(회 사 명)"),"",'예시-표지'!A10)</f>
        <v/>
      </c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4" customHeight="1"/>
    <row r="30" ht="30" customHeight="1">
      <c r="A30" s="12" t="inlineStr">
        <is>
          <t>3.0   공 사 위 치</t>
        </is>
      </c>
    </row>
    <row r="31" ht="4" customHeight="1"/>
    <row r="32" ht="20" customHeight="1">
      <c r="A32" s="24" t="inlineStr">
        <is>
          <t>(위치도를 붙이는 곳 — 현장 위치와 미장 공사 구간을 표시)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2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0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4" customHeight="1"/>
    <row r="45" ht="30" customHeight="1">
      <c r="A45" s="12" t="inlineStr">
        <is>
          <t>4.0   주요 공사 물량</t>
        </is>
      </c>
    </row>
    <row r="46" ht="4" customHeight="1"/>
    <row r="47" ht="24" customHeight="1">
      <c r="A47" s="25" t="inlineStr">
        <is>
          <t>구  분</t>
        </is>
      </c>
      <c r="B47" s="15" t="n"/>
      <c r="C47" s="25" t="inlineStr">
        <is>
          <t>명  칭</t>
        </is>
      </c>
      <c r="D47" s="15" t="n"/>
      <c r="E47" s="15" t="n"/>
      <c r="F47" s="25" t="inlineStr">
        <is>
          <t>규  격</t>
        </is>
      </c>
      <c r="G47" s="15" t="n"/>
      <c r="H47" s="25" t="inlineStr">
        <is>
          <t>수  량</t>
        </is>
      </c>
      <c r="I47" s="15" t="n"/>
      <c r="J47" s="25" t="inlineStr">
        <is>
          <t>단위</t>
        </is>
      </c>
      <c r="K47" s="25" t="inlineStr">
        <is>
          <t>비  고</t>
        </is>
      </c>
      <c r="L47" s="15" t="n"/>
    </row>
    <row r="48" ht="23" customHeight="1">
      <c r="A48" s="26" t="inlineStr">
        <is>
          <t>교사동</t>
        </is>
      </c>
      <c r="B48" s="15" t="n"/>
      <c r="C48" s="23" t="inlineStr">
        <is>
          <t>모르타르 기계바름</t>
        </is>
      </c>
      <c r="D48" s="15" t="n"/>
      <c r="E48" s="15" t="n"/>
      <c r="F48" s="27" t="inlineStr">
        <is>
          <t>모르타르 1 : 3</t>
        </is>
      </c>
      <c r="G48" s="15" t="n"/>
      <c r="H48" s="28" t="n">
        <v>2380</v>
      </c>
      <c r="I48" s="15" t="n"/>
      <c r="J48" s="26" t="inlineStr">
        <is>
          <t>㎡</t>
        </is>
      </c>
      <c r="K48" s="29" t="n"/>
      <c r="L48" s="15" t="n"/>
    </row>
    <row r="49" ht="23" customHeight="1">
      <c r="A49" s="26" t="inlineStr">
        <is>
          <t>교사동</t>
        </is>
      </c>
      <c r="B49" s="15" t="n"/>
      <c r="C49" s="23" t="inlineStr">
        <is>
          <t>모르타르 바름</t>
        </is>
      </c>
      <c r="D49" s="15" t="n"/>
      <c r="E49" s="15" t="n"/>
      <c r="F49" s="27" t="inlineStr">
        <is>
          <t>내벽 11mm</t>
        </is>
      </c>
      <c r="G49" s="15" t="n"/>
      <c r="H49" s="28" t="n">
        <v>1090</v>
      </c>
      <c r="I49" s="15" t="n"/>
      <c r="J49" s="26" t="inlineStr">
        <is>
          <t>㎡</t>
        </is>
      </c>
      <c r="K49" s="29" t="n"/>
      <c r="L49" s="15" t="n"/>
    </row>
    <row r="50" ht="23" customHeight="1">
      <c r="A50" s="26" t="inlineStr">
        <is>
          <t>교사동</t>
        </is>
      </c>
      <c r="B50" s="15" t="n"/>
      <c r="C50" s="23" t="inlineStr">
        <is>
          <t>모르타르 바름</t>
        </is>
      </c>
      <c r="D50" s="15" t="n"/>
      <c r="E50" s="15" t="n"/>
      <c r="F50" s="27" t="inlineStr">
        <is>
          <t>외벽 11mm</t>
        </is>
      </c>
      <c r="G50" s="15" t="n"/>
      <c r="H50" s="28" t="n">
        <v>170</v>
      </c>
      <c r="I50" s="15" t="n"/>
      <c r="J50" s="26" t="inlineStr">
        <is>
          <t>㎡</t>
        </is>
      </c>
      <c r="K50" s="29" t="n"/>
      <c r="L50" s="15" t="n"/>
    </row>
    <row r="51" ht="23" customHeight="1">
      <c r="A51" s="26" t="inlineStr">
        <is>
          <t>교사동</t>
        </is>
      </c>
      <c r="B51" s="15" t="n"/>
      <c r="C51" s="23" t="inlineStr">
        <is>
          <t>모르타르 바름</t>
        </is>
      </c>
      <c r="D51" s="15" t="n"/>
      <c r="E51" s="15" t="n"/>
      <c r="F51" s="27" t="inlineStr">
        <is>
          <t>내벽 9mm(초벌)</t>
        </is>
      </c>
      <c r="G51" s="15" t="n"/>
      <c r="H51" s="28" t="n">
        <v>130</v>
      </c>
      <c r="I51" s="15" t="n"/>
      <c r="J51" s="26" t="inlineStr">
        <is>
          <t>㎡</t>
        </is>
      </c>
      <c r="K51" s="29" t="n"/>
      <c r="L51" s="15" t="n"/>
    </row>
    <row r="52" ht="23" customHeight="1">
      <c r="A52" s="26" t="inlineStr">
        <is>
          <t>교사동</t>
        </is>
      </c>
      <c r="B52" s="15" t="n"/>
      <c r="C52" s="23" t="inlineStr">
        <is>
          <t>콘크리트면 마무리</t>
        </is>
      </c>
      <c r="D52" s="15" t="n"/>
      <c r="E52" s="15" t="n"/>
      <c r="F52" s="27" t="inlineStr">
        <is>
          <t>콘크리트면 정리</t>
        </is>
      </c>
      <c r="G52" s="15" t="n"/>
      <c r="H52" s="28" t="n">
        <v>1240</v>
      </c>
      <c r="I52" s="15" t="n"/>
      <c r="J52" s="26" t="inlineStr">
        <is>
          <t>㎡</t>
        </is>
      </c>
      <c r="K52" s="29" t="n"/>
      <c r="L52" s="15" t="n"/>
    </row>
    <row r="53" ht="23" customHeight="1">
      <c r="A53" s="26" t="inlineStr">
        <is>
          <t>교사동</t>
        </is>
      </c>
      <c r="B53" s="15" t="n"/>
      <c r="C53" s="23" t="inlineStr">
        <is>
          <t>기계 피니셔 마감</t>
        </is>
      </c>
      <c r="D53" s="15" t="n"/>
      <c r="E53" s="15" t="n"/>
      <c r="F53" s="27" t="inlineStr">
        <is>
          <t>기계마감 + 면정리</t>
        </is>
      </c>
      <c r="G53" s="15" t="n"/>
      <c r="H53" s="28" t="n">
        <v>1950</v>
      </c>
      <c r="I53" s="15" t="n"/>
      <c r="J53" s="26" t="inlineStr">
        <is>
          <t>㎡</t>
        </is>
      </c>
      <c r="K53" s="29" t="n"/>
      <c r="L53" s="15" t="n"/>
    </row>
    <row r="54" ht="23" customHeight="1">
      <c r="A54" s="26" t="inlineStr">
        <is>
          <t>실습동</t>
        </is>
      </c>
      <c r="B54" s="15" t="n"/>
      <c r="C54" s="23" t="inlineStr">
        <is>
          <t>모르타르 기계바름</t>
        </is>
      </c>
      <c r="D54" s="15" t="n"/>
      <c r="E54" s="15" t="n"/>
      <c r="F54" s="27" t="inlineStr">
        <is>
          <t>모르타르 1 : 3</t>
        </is>
      </c>
      <c r="G54" s="15" t="n"/>
      <c r="H54" s="28" t="n">
        <v>1020</v>
      </c>
      <c r="I54" s="15" t="n"/>
      <c r="J54" s="26" t="inlineStr">
        <is>
          <t>㎡</t>
        </is>
      </c>
      <c r="K54" s="29" t="n"/>
      <c r="L54" s="15" t="n"/>
    </row>
    <row r="55" ht="23" customHeight="1">
      <c r="A55" s="26" t="inlineStr">
        <is>
          <t>실습동</t>
        </is>
      </c>
      <c r="B55" s="15" t="n"/>
      <c r="C55" s="23" t="inlineStr">
        <is>
          <t>모르타르 바름</t>
        </is>
      </c>
      <c r="D55" s="15" t="n"/>
      <c r="E55" s="15" t="n"/>
      <c r="F55" s="27" t="inlineStr">
        <is>
          <t>내벽 11mm</t>
        </is>
      </c>
      <c r="G55" s="15" t="n"/>
      <c r="H55" s="28" t="n">
        <v>1060</v>
      </c>
      <c r="I55" s="15" t="n"/>
      <c r="J55" s="26" t="inlineStr">
        <is>
          <t>㎡</t>
        </is>
      </c>
      <c r="K55" s="29" t="n"/>
      <c r="L55" s="15" t="n"/>
    </row>
    <row r="56" ht="23" customHeight="1">
      <c r="A56" s="26" t="inlineStr">
        <is>
          <t>실습동</t>
        </is>
      </c>
      <c r="B56" s="15" t="n"/>
      <c r="C56" s="23" t="inlineStr">
        <is>
          <t>콘크리트면 마무리</t>
        </is>
      </c>
      <c r="D56" s="15" t="n"/>
      <c r="E56" s="15" t="n"/>
      <c r="F56" s="27" t="inlineStr">
        <is>
          <t>콘크리트면 정리</t>
        </is>
      </c>
      <c r="G56" s="15" t="n"/>
      <c r="H56" s="28" t="n">
        <v>1190</v>
      </c>
      <c r="I56" s="15" t="n"/>
      <c r="J56" s="26" t="inlineStr">
        <is>
          <t>㎡</t>
        </is>
      </c>
      <c r="K56" s="29" t="n"/>
      <c r="L56" s="15" t="n"/>
    </row>
    <row r="57" ht="23" customHeight="1">
      <c r="A57" s="26" t="inlineStr">
        <is>
          <t>실습동</t>
        </is>
      </c>
      <c r="B57" s="15" t="n"/>
      <c r="C57" s="23" t="inlineStr">
        <is>
          <t>에폭시 레진 모르타르</t>
        </is>
      </c>
      <c r="D57" s="15" t="n"/>
      <c r="E57" s="15" t="n"/>
      <c r="F57" s="27" t="inlineStr">
        <is>
          <t>바닥 3mm</t>
        </is>
      </c>
      <c r="G57" s="15" t="n"/>
      <c r="H57" s="28" t="n">
        <v>125</v>
      </c>
      <c r="I57" s="15" t="n"/>
      <c r="J57" s="26" t="inlineStr">
        <is>
          <t>㎡</t>
        </is>
      </c>
      <c r="K57" s="29" t="n"/>
      <c r="L57" s="15" t="n"/>
    </row>
    <row r="58" ht="23" customHeight="1">
      <c r="A58" s="26" t="n"/>
      <c r="B58" s="15" t="n"/>
      <c r="C58" s="23" t="n"/>
      <c r="D58" s="15" t="n"/>
      <c r="E58" s="15" t="n"/>
      <c r="F58" s="27" t="n"/>
      <c r="G58" s="15" t="n"/>
      <c r="H58" s="28" t="n"/>
      <c r="I58" s="15" t="n"/>
      <c r="J58" s="26" t="n"/>
      <c r="K58" s="29" t="n"/>
      <c r="L58" s="15" t="n"/>
    </row>
    <row r="59" ht="23" customHeight="1">
      <c r="A59" s="26" t="n"/>
      <c r="B59" s="15" t="n"/>
      <c r="C59" s="23" t="n"/>
      <c r="D59" s="15" t="n"/>
      <c r="E59" s="15" t="n"/>
      <c r="F59" s="27" t="n"/>
      <c r="G59" s="15" t="n"/>
      <c r="H59" s="28" t="n"/>
      <c r="I59" s="15" t="n"/>
      <c r="J59" s="26" t="n"/>
      <c r="K59" s="29" t="n"/>
      <c r="L59" s="15" t="n"/>
    </row>
    <row r="60" ht="24" customHeight="1">
      <c r="A60" s="30" t="inlineStr">
        <is>
          <t>합   계 (단위가 ㎡ 인 줄)</t>
        </is>
      </c>
      <c r="B60" s="15" t="n"/>
      <c r="C60" s="15" t="n"/>
      <c r="D60" s="15" t="n"/>
      <c r="E60" s="15" t="n"/>
      <c r="F60" s="15" t="n"/>
      <c r="G60" s="15" t="n"/>
      <c r="H60" s="31">
        <f>IF(SUMIF(J48:J59,"㎡",H48:H59)+SUMIF(J48:J59,"m2",H48:H59)=0,"",SUMIF(J48:J59,"㎡",H48:H59)+SUMIF(J48:J59,"m2",H48:H59))</f>
        <v/>
      </c>
      <c r="I60" s="15" t="n"/>
      <c r="J60" s="30" t="inlineStr">
        <is>
          <t>㎡</t>
        </is>
      </c>
      <c r="K60" s="30" t="inlineStr"/>
      <c r="L60" s="15" t="n"/>
    </row>
    <row r="61" ht="4" customHeight="1"/>
    <row r="62" ht="30" customHeight="1">
      <c r="A62" s="12" t="inlineStr">
        <is>
          <t>5.0   현 장  조 직 도</t>
        </is>
      </c>
    </row>
    <row r="63" ht="4" customHeight="1"/>
    <row r="64" ht="24" customHeight="1">
      <c r="A64" s="10" t="inlineStr"/>
      <c r="E64" s="14" t="inlineStr">
        <is>
          <t>현 장 대 리 인</t>
        </is>
      </c>
      <c r="F64" s="15" t="n"/>
      <c r="G64" s="15" t="n"/>
      <c r="H64" s="15" t="n"/>
      <c r="I64" s="10" t="inlineStr"/>
    </row>
    <row r="65" ht="24" customHeight="1">
      <c r="A65" s="10" t="inlineStr"/>
      <c r="E65" s="32" t="inlineStr">
        <is>
          <t>홍길동</t>
        </is>
      </c>
      <c r="F65" s="15" t="n"/>
      <c r="G65" s="15" t="n"/>
      <c r="H65" s="15" t="n"/>
      <c r="I65" s="10" t="inlineStr"/>
    </row>
    <row r="66" ht="14" customHeight="1">
      <c r="A66" s="33" t="inlineStr">
        <is>
          <t>│</t>
        </is>
      </c>
    </row>
    <row r="67" ht="24" customHeight="1">
      <c r="A67" s="10" t="inlineStr"/>
      <c r="B67" s="14" t="inlineStr">
        <is>
          <t>품 질 관 리 자</t>
        </is>
      </c>
      <c r="C67" s="15" t="n"/>
      <c r="D67" s="15" t="n"/>
      <c r="E67" s="15" t="n"/>
      <c r="F67" s="34" t="inlineStr">
        <is>
          <t>─┼─</t>
        </is>
      </c>
      <c r="H67" s="14" t="inlineStr">
        <is>
          <t>안 전 관 리 자</t>
        </is>
      </c>
      <c r="I67" s="15" t="n"/>
      <c r="J67" s="15" t="n"/>
      <c r="K67" s="15" t="n"/>
      <c r="L67" s="10" t="inlineStr"/>
    </row>
    <row r="68" ht="24" customHeight="1">
      <c r="A68" s="10" t="inlineStr"/>
      <c r="B68" s="32" t="inlineStr">
        <is>
          <t>김철수</t>
        </is>
      </c>
      <c r="C68" s="15" t="n"/>
      <c r="D68" s="15" t="n"/>
      <c r="E68" s="15" t="n"/>
      <c r="F68" s="34" t="inlineStr">
        <is>
          <t>│</t>
        </is>
      </c>
      <c r="H68" s="32" t="inlineStr">
        <is>
          <t>박안전</t>
        </is>
      </c>
      <c r="I68" s="15" t="n"/>
      <c r="J68" s="15" t="n"/>
      <c r="K68" s="15" t="n"/>
      <c r="L68" s="10" t="inlineStr"/>
    </row>
    <row r="69" ht="14" customHeight="1">
      <c r="A69" s="33" t="inlineStr">
        <is>
          <t>│</t>
        </is>
      </c>
    </row>
    <row r="70" ht="24" customHeight="1">
      <c r="A70" s="10" t="inlineStr"/>
      <c r="E70" s="14" t="inlineStr">
        <is>
          <t>시 공 업 체</t>
        </is>
      </c>
      <c r="F70" s="15" t="n"/>
      <c r="G70" s="15" t="n"/>
      <c r="H70" s="15" t="n"/>
      <c r="I70" s="10" t="inlineStr"/>
    </row>
    <row r="71" ht="24" customHeight="1">
      <c r="A71" s="10" t="inlineStr"/>
      <c r="E71" s="32" t="inlineStr">
        <is>
          <t>예시미장(주)</t>
        </is>
      </c>
      <c r="F71" s="15" t="n"/>
      <c r="G71" s="15" t="n"/>
      <c r="H71" s="15" t="n"/>
      <c r="I71" s="10" t="inlineStr"/>
    </row>
    <row r="72" ht="14" customHeight="1">
      <c r="A72" s="33" t="inlineStr">
        <is>
          <t>│</t>
        </is>
      </c>
    </row>
    <row r="73" ht="24" customHeight="1">
      <c r="A73" s="10" t="inlineStr"/>
      <c r="E73" s="14" t="inlineStr">
        <is>
          <t>작 업 팀 장</t>
        </is>
      </c>
      <c r="F73" s="15" t="n"/>
      <c r="G73" s="15" t="n"/>
      <c r="H73" s="15" t="n"/>
      <c r="I73" s="10" t="inlineStr"/>
    </row>
    <row r="74" ht="24" customHeight="1">
      <c r="A74" s="10" t="inlineStr"/>
      <c r="E74" s="32" t="inlineStr">
        <is>
          <t>최팀장</t>
        </is>
      </c>
      <c r="F74" s="15" t="n"/>
      <c r="G74" s="15" t="n"/>
      <c r="H74" s="15" t="n"/>
      <c r="I74" s="10" t="inlineStr"/>
    </row>
    <row r="75" ht="14" customHeight="1">
      <c r="A75" s="33" t="inlineStr">
        <is>
          <t>┌──────────┼──────────┐</t>
        </is>
      </c>
    </row>
    <row r="76" ht="24" customHeight="1">
      <c r="A76" s="25" t="inlineStr">
        <is>
          <t>장비기사</t>
        </is>
      </c>
      <c r="B76" s="15" t="n"/>
      <c r="C76" s="25" t="inlineStr">
        <is>
          <t>미장공</t>
        </is>
      </c>
      <c r="D76" s="15" t="n"/>
      <c r="E76" s="25" t="inlineStr">
        <is>
          <t>특별인부</t>
        </is>
      </c>
      <c r="F76" s="15" t="n"/>
      <c r="G76" s="25" t="inlineStr">
        <is>
          <t>보통인부</t>
        </is>
      </c>
      <c r="H76" s="15" t="n"/>
      <c r="I76" s="30" t="inlineStr">
        <is>
          <t>합  계</t>
        </is>
      </c>
      <c r="J76" s="15" t="n"/>
      <c r="K76" s="15" t="n"/>
      <c r="L76" s="15" t="n"/>
    </row>
    <row r="77" ht="24" customHeight="1">
      <c r="A77" s="35" t="n">
        <v>1</v>
      </c>
      <c r="B77" s="15" t="n"/>
      <c r="C77" s="35" t="n">
        <v>4</v>
      </c>
      <c r="D77" s="15" t="n"/>
      <c r="E77" s="35" t="n">
        <v>5</v>
      </c>
      <c r="F77" s="15" t="n"/>
      <c r="G77" s="35" t="n">
        <v>2</v>
      </c>
      <c r="H77" s="15" t="n"/>
      <c r="I77" s="36">
        <f>IF(SUM(A77,C77,E77,G77)=0,"",SUM(A77,C77,E77,G77))</f>
        <v/>
      </c>
      <c r="J77" s="15" t="n"/>
      <c r="K77" s="15" t="n"/>
      <c r="L77" s="15" t="n"/>
    </row>
    <row r="79" ht="19.5" customHeight="1">
      <c r="A79" s="8" t="inlineStr">
        <is>
          <t>이 시트는 작성 예시입니다(가상의 공사 · 회사 · 사람).</t>
        </is>
      </c>
    </row>
  </sheetData>
  <mergeCells count="164">
    <mergeCell ref="H53:I53"/>
    <mergeCell ref="K49:L49"/>
    <mergeCell ref="A51:B51"/>
    <mergeCell ref="F68:G68"/>
    <mergeCell ref="B68:E68"/>
    <mergeCell ref="H55:I55"/>
    <mergeCell ref="A26:C26"/>
    <mergeCell ref="C51:E51"/>
    <mergeCell ref="A54:B54"/>
    <mergeCell ref="A7:B7"/>
    <mergeCell ref="A23:C23"/>
    <mergeCell ref="K50:L50"/>
    <mergeCell ref="A64:D64"/>
    <mergeCell ref="H67:K67"/>
    <mergeCell ref="A73:D73"/>
    <mergeCell ref="A56:B56"/>
    <mergeCell ref="E71:H71"/>
    <mergeCell ref="H52:I52"/>
    <mergeCell ref="K58:L58"/>
    <mergeCell ref="D24:L24"/>
    <mergeCell ref="K52:L52"/>
    <mergeCell ref="A70:D70"/>
    <mergeCell ref="C57:E57"/>
    <mergeCell ref="E64:H64"/>
    <mergeCell ref="A76:B76"/>
    <mergeCell ref="C11:J11"/>
    <mergeCell ref="E73:H73"/>
    <mergeCell ref="C76:D76"/>
    <mergeCell ref="C49:E49"/>
    <mergeCell ref="I76:L76"/>
    <mergeCell ref="I25:L25"/>
    <mergeCell ref="F56:G56"/>
    <mergeCell ref="A53:B53"/>
    <mergeCell ref="K53:L53"/>
    <mergeCell ref="E65:H65"/>
    <mergeCell ref="E74:H74"/>
    <mergeCell ref="C13:J13"/>
    <mergeCell ref="A9:B9"/>
    <mergeCell ref="K13:L13"/>
    <mergeCell ref="F57:G57"/>
    <mergeCell ref="A69:L69"/>
    <mergeCell ref="A48:B48"/>
    <mergeCell ref="G77:H77"/>
    <mergeCell ref="A59:B59"/>
    <mergeCell ref="F54:G54"/>
    <mergeCell ref="A11:B11"/>
    <mergeCell ref="H54:I54"/>
    <mergeCell ref="A75:L75"/>
    <mergeCell ref="H50:I50"/>
    <mergeCell ref="C59:E59"/>
    <mergeCell ref="A3:L3"/>
    <mergeCell ref="K55:L55"/>
    <mergeCell ref="B18:L18"/>
    <mergeCell ref="H56:I56"/>
    <mergeCell ref="K51:L51"/>
    <mergeCell ref="C52:E52"/>
    <mergeCell ref="C10:J10"/>
    <mergeCell ref="A32:L43"/>
    <mergeCell ref="H49:I49"/>
    <mergeCell ref="C48:E48"/>
    <mergeCell ref="I77:L77"/>
    <mergeCell ref="C9:J9"/>
    <mergeCell ref="K56:L56"/>
    <mergeCell ref="F47:G47"/>
    <mergeCell ref="I70:L70"/>
    <mergeCell ref="D23:L23"/>
    <mergeCell ref="A8:B8"/>
    <mergeCell ref="A24:C24"/>
    <mergeCell ref="B67:E67"/>
    <mergeCell ref="F48:G48"/>
    <mergeCell ref="A52:B52"/>
    <mergeCell ref="I71:L71"/>
    <mergeCell ref="H48:I48"/>
    <mergeCell ref="A74:D74"/>
    <mergeCell ref="E76:F76"/>
    <mergeCell ref="G76:H76"/>
    <mergeCell ref="G25:H25"/>
    <mergeCell ref="A10:B10"/>
    <mergeCell ref="K10:L10"/>
    <mergeCell ref="A71:D71"/>
    <mergeCell ref="K6:L6"/>
    <mergeCell ref="A77:B77"/>
    <mergeCell ref="C77:D77"/>
    <mergeCell ref="A25:C25"/>
    <mergeCell ref="A16:L16"/>
    <mergeCell ref="C50:E50"/>
    <mergeCell ref="D27:L27"/>
    <mergeCell ref="C55:E55"/>
    <mergeCell ref="A49:B49"/>
    <mergeCell ref="C6:J6"/>
    <mergeCell ref="K9:L9"/>
    <mergeCell ref="A66:L66"/>
    <mergeCell ref="K5:L5"/>
    <mergeCell ref="C14:J14"/>
    <mergeCell ref="H58:I58"/>
    <mergeCell ref="K54:L54"/>
    <mergeCell ref="K60:L60"/>
    <mergeCell ref="K11:L11"/>
    <mergeCell ref="I74:L74"/>
    <mergeCell ref="K47:L47"/>
    <mergeCell ref="D28:L28"/>
    <mergeCell ref="H60:I60"/>
    <mergeCell ref="A22:C22"/>
    <mergeCell ref="F50:G50"/>
    <mergeCell ref="A60:G60"/>
    <mergeCell ref="A55:B55"/>
    <mergeCell ref="A12:B12"/>
    <mergeCell ref="A20:L20"/>
    <mergeCell ref="A28:C28"/>
    <mergeCell ref="A72:L72"/>
    <mergeCell ref="E77:F77"/>
    <mergeCell ref="K8:L8"/>
    <mergeCell ref="A57:B57"/>
    <mergeCell ref="A5:B5"/>
    <mergeCell ref="A14:B14"/>
    <mergeCell ref="H57:I57"/>
    <mergeCell ref="A65:D65"/>
    <mergeCell ref="H68:K68"/>
    <mergeCell ref="C8:J8"/>
    <mergeCell ref="D25:E25"/>
    <mergeCell ref="K7:L7"/>
    <mergeCell ref="A1:F1"/>
    <mergeCell ref="F49:G49"/>
    <mergeCell ref="K57:L57"/>
    <mergeCell ref="C54:E54"/>
    <mergeCell ref="E70:H70"/>
    <mergeCell ref="I64:L64"/>
    <mergeCell ref="I73:L73"/>
    <mergeCell ref="A27:C27"/>
    <mergeCell ref="C56:E56"/>
    <mergeCell ref="C5:J5"/>
    <mergeCell ref="A6:B6"/>
    <mergeCell ref="F59:G59"/>
    <mergeCell ref="F55:G55"/>
    <mergeCell ref="H59:I59"/>
    <mergeCell ref="I65:L65"/>
    <mergeCell ref="F51:G51"/>
    <mergeCell ref="H51:I51"/>
    <mergeCell ref="G26:L26"/>
    <mergeCell ref="A50:B50"/>
    <mergeCell ref="A62:L62"/>
    <mergeCell ref="G1:L1"/>
    <mergeCell ref="C12:J12"/>
    <mergeCell ref="K59:L59"/>
    <mergeCell ref="K12:L12"/>
    <mergeCell ref="C53:E53"/>
    <mergeCell ref="A47:B47"/>
    <mergeCell ref="D26:F26"/>
    <mergeCell ref="H47:I47"/>
    <mergeCell ref="K14:L14"/>
    <mergeCell ref="F58:G58"/>
    <mergeCell ref="K48:L48"/>
    <mergeCell ref="F52:G52"/>
    <mergeCell ref="F67:G67"/>
    <mergeCell ref="A30:L30"/>
    <mergeCell ref="C58:E58"/>
    <mergeCell ref="C7:J7"/>
    <mergeCell ref="A45:L45"/>
    <mergeCell ref="D22:L22"/>
    <mergeCell ref="A13:B13"/>
    <mergeCell ref="A79:L79"/>
    <mergeCell ref="A58:B58"/>
    <mergeCell ref="F53:G53"/>
    <mergeCell ref="C47:E47"/>
  </mergeCells>
  <conditionalFormatting sqref="H48:H59">
    <cfRule type="expression" priority="1" dxfId="0">
      <formula>AND(ISNUMBER(H48),MOD(H48,1)=0)</formula>
    </cfRule>
  </conditionalFormatting>
  <conditionalFormatting sqref="H60">
    <cfRule type="expression" priority="2" dxfId="1">
      <formula>AND(ISNUMBER(H60),MOD(H60,1)=0)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2" manualBreakCount="2">
    <brk id="14" min="0" max="16383" man="1"/>
    <brk id="43" min="0" max="16383" man="1"/>
  </rowBreaks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3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3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6.0   시 공 관 리</t>
        </is>
      </c>
    </row>
    <row r="4" ht="4" customHeight="1"/>
    <row r="5" ht="3" customHeight="1"/>
    <row r="6" ht="22" customHeight="1">
      <c r="A6" s="37" t="inlineStr">
        <is>
          <t>6-1  시멘트 모르타르 바름</t>
        </is>
      </c>
    </row>
    <row r="7" ht="21" customHeight="1">
      <c r="A7" s="38" t="inlineStr">
        <is>
          <t>1) 적용 범위</t>
        </is>
      </c>
    </row>
    <row r="8" ht="37" customHeight="1">
      <c r="A8" s="39" t="inlineStr">
        <is>
          <t>이 절은 시멘트 · 골재 등을 주재료로 한 시멘트 모르타르를 벽 · 바닥 · 천장 등에 바르는 경우에 적용한다.</t>
        </is>
      </c>
    </row>
    <row r="9" ht="21" customHeight="1">
      <c r="A9" s="38" t="inlineStr">
        <is>
          <t>2) 한국산업표준(KS)</t>
        </is>
      </c>
    </row>
    <row r="10" ht="20.5" customHeight="1">
      <c r="A10" s="40" t="inlineStr">
        <is>
          <t>(1)</t>
        </is>
      </c>
      <c r="B10" s="41" t="inlineStr">
        <is>
          <t>KS A 5101 — 표준체</t>
        </is>
      </c>
    </row>
    <row r="11" ht="20.5" customHeight="1">
      <c r="A11" s="40" t="inlineStr">
        <is>
          <t>(2)</t>
        </is>
      </c>
      <c r="B11" s="41" t="inlineStr">
        <is>
          <t>KS F 4552 — 메탈라스</t>
        </is>
      </c>
    </row>
    <row r="12" ht="20.5" customHeight="1">
      <c r="A12" s="40" t="inlineStr">
        <is>
          <t>(3)</t>
        </is>
      </c>
      <c r="B12" s="41" t="inlineStr">
        <is>
          <t>KS L 5201 — 포틀랜드 시멘트</t>
        </is>
      </c>
    </row>
    <row r="13" ht="20.5" customHeight="1">
      <c r="A13" s="40" t="inlineStr">
        <is>
          <t>(4)</t>
        </is>
      </c>
      <c r="B13" s="41" t="inlineStr">
        <is>
          <t>KS L 5204 — 백색 포틀랜드 시멘트</t>
        </is>
      </c>
    </row>
    <row r="14" ht="20.5" customHeight="1">
      <c r="A14" s="40" t="inlineStr">
        <is>
          <t>(5)</t>
        </is>
      </c>
      <c r="B14" s="41" t="inlineStr">
        <is>
          <t>KS L 9007 — 미장용 생석회 및 소석회</t>
        </is>
      </c>
    </row>
    <row r="15" ht="20.5" customHeight="1">
      <c r="A15" s="40" t="inlineStr">
        <is>
          <t>(6)</t>
        </is>
      </c>
      <c r="B15" s="41" t="inlineStr">
        <is>
          <t>KS L 5220 — 건조 시멘트 모르타르</t>
        </is>
      </c>
    </row>
    <row r="16" ht="21" customHeight="1">
      <c r="A16" s="38" t="inlineStr">
        <is>
          <t>3) 운반 · 보관 · 취급</t>
        </is>
      </c>
    </row>
    <row r="17" ht="20.5" customHeight="1">
      <c r="A17" s="40" t="inlineStr">
        <is>
          <t>(1)</t>
        </is>
      </c>
      <c r="B17" s="41" t="inlineStr">
        <is>
          <t>미장용 재료는 섞이거나 훼손되지 않도록 보관한다.</t>
        </is>
      </c>
    </row>
    <row r="18" ht="36" customHeight="1">
      <c r="A18" s="40" t="inlineStr">
        <is>
          <t>(2)</t>
        </is>
      </c>
      <c r="B18" s="41" t="inlineStr">
        <is>
          <t>공장 제조품은 공장에서 나올 때의 포장이 파손되지 않은 상태로 반입하며, 포장에서 품명 · 자재명 · 수량 · 종류 · 형태를 확인할 수 있어야 한다.</t>
        </is>
      </c>
    </row>
    <row r="19" ht="36" customHeight="1">
      <c r="A19" s="40" t="inlineStr">
        <is>
          <t>(3)</t>
        </is>
      </c>
      <c r="B19" s="41" t="inlineStr">
        <is>
          <t>시멘트 · 석회 및 부속 재료는 비를 맞지 않게 덮고, 지면보다 30cm 이상 높게 만든 바닥이 있는 창고 등에 건조 상태로 보관하며 겹쳐 쌓기는 13포 이하로 한다.</t>
        </is>
      </c>
    </row>
    <row r="20" ht="21" customHeight="1">
      <c r="A20" s="38" t="inlineStr">
        <is>
          <t>4) 환경 요구사항</t>
        </is>
      </c>
    </row>
    <row r="21" ht="20.5" customHeight="1">
      <c r="A21" s="40" t="inlineStr">
        <is>
          <t>(1)</t>
        </is>
      </c>
      <c r="B21" s="41" t="inlineStr">
        <is>
          <t>시멘트 모르타르를 바르기 전과 바른 후 최소 1주일 이상 온도를 4℃ 이상으로 유지한다.</t>
        </is>
      </c>
    </row>
    <row r="22" ht="20.5" customHeight="1">
      <c r="A22" s="40" t="inlineStr">
        <is>
          <t>(2)</t>
        </is>
      </c>
      <c r="B22" s="41" t="inlineStr">
        <is>
          <t>시멘트 모르타르를 바른 후 최소 1주일 이상 환기를 원활하게 유지한다.</t>
        </is>
      </c>
    </row>
    <row r="23" ht="36" customHeight="1">
      <c r="A23" s="40" t="inlineStr">
        <is>
          <t>(3)</t>
        </is>
      </c>
      <c r="B23" s="41" t="inlineStr">
        <is>
          <t>동절기 공사는 원칙적으로 하지 않되, 부득이하게 시공할 때는 감리원의 승인을 받은 뒤 보양 · 보온하고 시공한다. 바름면이 들뜨거나 동해를 입었으면 쪼아 내고 다시 바른다.</t>
        </is>
      </c>
    </row>
    <row r="24" ht="21" customHeight="1">
      <c r="A24" s="38" t="inlineStr">
        <is>
          <t>5) 다른 공정과의 협력 작업</t>
        </is>
      </c>
    </row>
    <row r="25" ht="37" customHeight="1">
      <c r="A25" s="39" t="inlineStr">
        <is>
          <t>매입용 철물(insert) · 고정철물 · 전선배관 등 특별 사항은 미장공사와 관련된 다른 공사 부서에 설명하고, 알맞게 설치되도록 정확한 설치 위치와 설치물에 대해 협조한다.</t>
        </is>
      </c>
    </row>
    <row r="26" ht="21" customHeight="1">
      <c r="A26" s="38" t="inlineStr">
        <is>
          <t>6) 재료</t>
        </is>
      </c>
    </row>
    <row r="27" ht="36" customHeight="1">
      <c r="A27" s="10" t="inlineStr"/>
      <c r="B27" s="38" t="inlineStr">
        <is>
          <t>(1) 시멘트 — 포틀랜드 시멘트는 KS L 5201 의 1종(보통 포틀랜드 시멘트)에 맞는 제품을 쓴다.</t>
        </is>
      </c>
    </row>
    <row r="28" ht="36" customHeight="1">
      <c r="A28" s="10" t="inlineStr"/>
      <c r="B28" s="38" t="inlineStr">
        <is>
          <t>(2) 모래 — 단단하고 깨끗하며 먼지 · 흙 · 유기물 등 유해물이 섞이지 않은 것. 품질기준 :</t>
        </is>
      </c>
    </row>
    <row r="29" ht="20.5" customHeight="1">
      <c r="A29" s="40" t="inlineStr">
        <is>
          <t>▸</t>
        </is>
      </c>
      <c r="C29" s="41" t="inlineStr">
        <is>
          <t>절건비중 2.4 이상</t>
        </is>
      </c>
    </row>
    <row r="30" ht="20.5" customHeight="1">
      <c r="A30" s="40" t="inlineStr">
        <is>
          <t>▸</t>
        </is>
      </c>
      <c r="C30" s="41" t="inlineStr">
        <is>
          <t>흡수율 4.0% 이하</t>
        </is>
      </c>
    </row>
    <row r="31" ht="20.5" customHeight="1">
      <c r="A31" s="40" t="inlineStr">
        <is>
          <t>▸</t>
        </is>
      </c>
      <c r="C31" s="41" t="inlineStr">
        <is>
          <t>점토량 2.0% 이하</t>
        </is>
      </c>
    </row>
    <row r="32" ht="20.5" customHeight="1">
      <c r="A32" s="40" t="inlineStr">
        <is>
          <t>▸</t>
        </is>
      </c>
      <c r="C32" s="41" t="inlineStr">
        <is>
          <t>유기불순물 — 표준색보다 진하지 않은 것</t>
        </is>
      </c>
    </row>
    <row r="33" ht="20.5" customHeight="1">
      <c r="A33" s="40" t="inlineStr">
        <is>
          <t>▸</t>
        </is>
      </c>
      <c r="C33" s="41" t="inlineStr">
        <is>
          <t>씻기 시험으로 손실되는 양 3% 이하</t>
        </is>
      </c>
    </row>
    <row r="34" ht="20.5" customHeight="1">
      <c r="A34" s="40" t="inlineStr">
        <is>
          <t>▸</t>
        </is>
      </c>
      <c r="C34" s="41" t="inlineStr">
        <is>
          <t>염화물 함유량 0.1% 이하</t>
        </is>
      </c>
    </row>
    <row r="35" ht="36" customHeight="1">
      <c r="A35" s="10" t="inlineStr"/>
      <c r="B35" s="38" t="inlineStr">
        <is>
          <t>(3) 물 — 유해한 기름 · 산 · 알칼리 · 유기물 등이 기준량 이상 들어 있지 않은, 식수로 쓸 수 있는 깨끗한 물을 쓴다.</t>
        </is>
      </c>
    </row>
    <row r="36" ht="36" customHeight="1">
      <c r="A36" s="10" t="inlineStr"/>
      <c r="B36" s="38" t="inlineStr">
        <is>
          <t>(4) 접착재 — 보수성 · 작업성 · 부착성 등을 높이는 것으로, 수축이 적은 합성수지계 무기질 재료를 쓴다.</t>
        </is>
      </c>
    </row>
    <row r="37" ht="21" customHeight="1">
      <c r="A37" s="10" t="inlineStr"/>
      <c r="B37" s="38" t="inlineStr">
        <is>
          <t>(5) 부속 재료</t>
        </is>
      </c>
    </row>
    <row r="38" ht="20.5" customHeight="1">
      <c r="A38" s="40" t="inlineStr">
        <is>
          <t>①</t>
        </is>
      </c>
      <c r="C38" s="41" t="inlineStr">
        <is>
          <t>메탈라스 : KS F 4552 에 맞는 메탈라스를 쓴다.</t>
        </is>
      </c>
    </row>
    <row r="39" ht="36" customHeight="1">
      <c r="A39" s="40" t="inlineStr">
        <is>
          <t>②</t>
        </is>
      </c>
      <c r="C39" s="41" t="inlineStr">
        <is>
          <t>코너비드 : 두께 0.45mm 아연도금 철재로, 비드 지름 4mm 이고 양쪽에 폭 50mm 의 메시형 날개가 붙은 것을 쓴다.</t>
        </is>
      </c>
    </row>
    <row r="40" ht="36" customHeight="1">
      <c r="A40" s="40" t="inlineStr">
        <is>
          <t>③</t>
        </is>
      </c>
      <c r="C40" s="41" t="inlineStr">
        <is>
          <t>신축줄눈 : 두께 0.45mm 아연도금 철재로, 비드 깊이 13mm 이고 양쪽에 폭 50mm 의 메시형 날개가 붙은 것을 쓴다.</t>
        </is>
      </c>
    </row>
    <row r="41" ht="21" customHeight="1">
      <c r="A41" s="38" t="inlineStr">
        <is>
          <t>7) 모르타르 배합</t>
        </is>
      </c>
    </row>
    <row r="42" ht="20.5" customHeight="1">
      <c r="A42" s="40" t="inlineStr">
        <is>
          <t>(1)</t>
        </is>
      </c>
      <c r="B42" s="41" t="inlineStr">
        <is>
          <t>미장용 모르타르는 포틀랜드 시멘트 1 : 모래 3 의 비율로 배합한다.</t>
        </is>
      </c>
    </row>
    <row r="43" ht="20.5" customHeight="1">
      <c r="A43" s="40" t="inlineStr">
        <is>
          <t>(2)</t>
        </is>
      </c>
      <c r="B43" s="41" t="inlineStr">
        <is>
          <t>시멘트 풀은 포틀랜드 시멘트 1 : 모래 0 의 비율로 배합한다.</t>
        </is>
      </c>
    </row>
    <row r="44" ht="20.5" customHeight="1">
      <c r="A44" s="40" t="inlineStr">
        <is>
          <t>(3)</t>
        </is>
      </c>
      <c r="B44" s="41" t="inlineStr">
        <is>
          <t>물은 시멘트 질량의 50 ~ 60% 또는 제조업체의 지침에 따라 배합한다.</t>
        </is>
      </c>
    </row>
    <row r="45" ht="36" customHeight="1">
      <c r="A45" s="40" t="inlineStr">
        <is>
          <t>(4)</t>
        </is>
      </c>
      <c r="B45" s="41" t="inlineStr">
        <is>
          <t>모르타르나 그라우트가 고른 품질을 갖고 설치 장소에 맞게 작업되도록 목적에 맞는 혼합기계 · 혼합속도 · 혼합시간 및 혼합절차를 쓴다.</t>
        </is>
      </c>
    </row>
    <row r="46" ht="21" customHeight="1">
      <c r="A46" s="38" t="inlineStr">
        <is>
          <t>8) 시공조건 확인</t>
        </is>
      </c>
    </row>
    <row r="47" ht="21" customHeight="1">
      <c r="A47" s="10" t="inlineStr"/>
      <c r="B47" s="38" t="inlineStr">
        <is>
          <t>(1) 배합 장소 및 작업 장소</t>
        </is>
      </c>
    </row>
    <row r="48" ht="36" customHeight="1">
      <c r="A48" s="40" t="inlineStr">
        <is>
          <t>①</t>
        </is>
      </c>
      <c r="C48" s="41" t="inlineStr">
        <is>
          <t>작업 장소는 바름 재료의 종류 · 공정에 맞게 채광 · 조명 · 통풍이 되도록 창호를 고정 설치하고 조명 · 환기설비를 준비한다.</t>
        </is>
      </c>
    </row>
    <row r="49" ht="20.5" customHeight="1">
      <c r="A49" s="40" t="inlineStr">
        <is>
          <t>②</t>
        </is>
      </c>
      <c r="C49" s="41" t="inlineStr">
        <is>
          <t>배합 장소와 작업 장소는 항상 정리정돈한다.</t>
        </is>
      </c>
    </row>
    <row r="50" ht="20.5" customHeight="1">
      <c r="A50" s="40" t="inlineStr">
        <is>
          <t>③</t>
        </is>
      </c>
      <c r="C50" s="41" t="inlineStr">
        <is>
          <t>사용하는 기계 · 기구에 필요한 전기 · 설비 및 급배수설비를 준비한다.</t>
        </is>
      </c>
    </row>
    <row r="51" ht="21" customHeight="1">
      <c r="A51" s="10" t="inlineStr"/>
      <c r="B51" s="38" t="inlineStr">
        <is>
          <t>(2) 미장 공사용 작업발판</t>
        </is>
      </c>
    </row>
    <row r="52" ht="36" customHeight="1">
      <c r="A52" s="40" t="inlineStr">
        <is>
          <t>①</t>
        </is>
      </c>
      <c r="C52" s="41" t="inlineStr">
        <is>
          <t>추락 위험이 있는 고소작업에는 알맞은 추락 방지 설비를 설치하고, 작업자는 필요한 보호구를 착용한다.</t>
        </is>
      </c>
    </row>
    <row r="53" ht="21" customHeight="1">
      <c r="A53" s="10" t="inlineStr"/>
      <c r="B53" s="38" t="inlineStr">
        <is>
          <t>(3) 작업 준비</t>
        </is>
      </c>
    </row>
    <row r="54" ht="36" customHeight="1">
      <c r="A54" s="40" t="inlineStr">
        <is>
          <t>①</t>
        </is>
      </c>
      <c r="C54" s="41" t="inlineStr">
        <is>
          <t>외부 미장을 여름에 시공할 때는 바름층이 급히 마르지 않도록 거적이나 폴리에틸렌 필름을 덮은 뒤 살수 등을 한다.</t>
        </is>
      </c>
    </row>
    <row r="55" ht="20.5" customHeight="1">
      <c r="A55" s="40" t="inlineStr">
        <is>
          <t>②</t>
        </is>
      </c>
      <c r="C55" s="41" t="inlineStr">
        <is>
          <t>비 · 강풍 또는 주위 작업으로 바름 작업에 지장이 있으면 작업을 즉시 중지한다.</t>
        </is>
      </c>
    </row>
    <row r="56" ht="21" customHeight="1">
      <c r="A56" s="38" t="inlineStr">
        <is>
          <t>9) 바탕 처리</t>
        </is>
      </c>
    </row>
    <row r="57" ht="21" customHeight="1">
      <c r="A57" s="10" t="inlineStr"/>
      <c r="B57" s="38" t="inlineStr">
        <is>
          <t>(1) 바탕의 일반 조건</t>
        </is>
      </c>
    </row>
    <row r="58" ht="20.5" customHeight="1">
      <c r="A58" s="40" t="inlineStr">
        <is>
          <t>①</t>
        </is>
      </c>
      <c r="C58" s="41" t="inlineStr">
        <is>
          <t>미장 바름을 지지하는 데 필요한 강도와 강성이 있어야 한다.</t>
        </is>
      </c>
    </row>
    <row r="59" ht="36" customHeight="1">
      <c r="A59" s="40" t="inlineStr">
        <is>
          <t>②</t>
        </is>
      </c>
      <c r="C59" s="41" t="inlineStr">
        <is>
          <t>사용 조건 및 지진 등 환경 조건에서 미장 바름을 지지하는 데 필요한 접착강도를 유지할 수 있는 형상이어야 한다.</t>
        </is>
      </c>
    </row>
    <row r="60" ht="36" customHeight="1">
      <c r="A60" s="40" t="inlineStr">
        <is>
          <t>③</t>
        </is>
      </c>
      <c r="C60" s="41" t="inlineStr">
        <is>
          <t>미장 바름의 종류와 마감 두께에 알맞은 표면 상태로서 해로운 요철 · 접합부 어긋남 · 균열 등이 없어야 한다.</t>
        </is>
      </c>
    </row>
    <row r="61" ht="36" customHeight="1">
      <c r="A61" s="40" t="inlineStr">
        <is>
          <t>④</t>
        </is>
      </c>
      <c r="C61" s="41" t="inlineStr">
        <is>
          <t>미장 바름의 종류에 화학적으로 맞는 재질로서 녹물에 의한 오손 · 화학반응 · 흡수 등으로 바름층이 약해지지 않아야 한다.</t>
        </is>
      </c>
    </row>
    <row r="62" ht="21" customHeight="1">
      <c r="A62" s="10" t="inlineStr"/>
      <c r="B62" s="38" t="inlineStr">
        <is>
          <t>(2) 콘크리트 바탕</t>
        </is>
      </c>
    </row>
    <row r="63" ht="36" customHeight="1">
      <c r="A63" s="40" t="inlineStr">
        <is>
          <t>①</t>
        </is>
      </c>
      <c r="C63" s="41" t="inlineStr">
        <is>
          <t>거푸집을 완전히 떼어 내고, 거푸집 잔재 · 세퍼레이터 등 해로운 잔류물이 없어야 한다.</t>
        </is>
      </c>
    </row>
    <row r="64" ht="36" customHeight="1">
      <c r="A64" s="40" t="inlineStr">
        <is>
          <t>②</t>
        </is>
      </c>
      <c r="C64" s="41" t="inlineStr">
        <is>
          <t>모르타르를 바를 바탕면은 먼지 · 기름 등 부착력을 떨어뜨리는 이물질을 없애고 바탕을 고르게 적신 뒤 바른다.</t>
        </is>
      </c>
    </row>
    <row r="65" ht="36" customHeight="1">
      <c r="A65" s="40" t="inlineStr">
        <is>
          <t>③</t>
        </is>
      </c>
      <c r="C65" s="41" t="inlineStr">
        <is>
          <t>콘크리트 곰보 · 이어치기 부분 등 누수의 원인이 되는 곳은 알맞은 방법으로 미리 방수처리를 한다.</t>
        </is>
      </c>
    </row>
    <row r="66" ht="36" customHeight="1">
      <c r="A66" s="40" t="inlineStr">
        <is>
          <t>④</t>
        </is>
      </c>
      <c r="C66" s="41" t="inlineStr">
        <is>
          <t>콘크리트 바탕면에 모르타르가 잘 붙지 않을 때는 혼화제를 넣은 시멘트 풀을 먼저 얇게 바르거나 표면 쪼아 내기 등으로 부착력을 높인 뒤 바른다.</t>
        </is>
      </c>
    </row>
    <row r="67" ht="21" customHeight="1">
      <c r="A67" s="10" t="inlineStr"/>
      <c r="B67" s="38" t="inlineStr">
        <is>
          <t>(3) 콘크리트 블록 및 벽돌 바탕</t>
        </is>
      </c>
    </row>
    <row r="68" ht="20.5" customHeight="1">
      <c r="A68" s="40" t="inlineStr">
        <is>
          <t>①</t>
        </is>
      </c>
      <c r="C68" s="41" t="inlineStr">
        <is>
          <t>콘크리트 블록 및 벽돌은 균열을 막기 위해 건습에 따른 신축이 작은 것을 쓴다.</t>
        </is>
      </c>
    </row>
    <row r="69" ht="36" customHeight="1">
      <c r="A69" s="40" t="inlineStr">
        <is>
          <t>②</t>
        </is>
      </c>
      <c r="C69" s="41" t="inlineStr">
        <is>
          <t>물 뿌리기는 미장 재료의 경화 과정 · 보수성 · 흡수율 등을 고려하여 알맞게 한다.</t>
        </is>
      </c>
    </row>
    <row r="70" ht="21" customHeight="1">
      <c r="A70" s="38" t="inlineStr">
        <is>
          <t>10) 부속철물의 설치</t>
        </is>
      </c>
    </row>
    <row r="71" ht="21" customHeight="1">
      <c r="A71" s="10" t="inlineStr"/>
      <c r="B71" s="38" t="inlineStr">
        <is>
          <t>(1) 개구부 보강</t>
        </is>
      </c>
    </row>
    <row r="72" ht="36" customHeight="1">
      <c r="A72" s="40" t="inlineStr">
        <is>
          <t>①</t>
        </is>
      </c>
      <c r="C72" s="41" t="inlineStr">
        <is>
          <t>300mm 이상인 개구부 모서리에는 대각선으로 최소 너비 150mm × 길이 400mm 의 장방형 라스를 덧대어 미장면을 보강한다.</t>
        </is>
      </c>
    </row>
    <row r="73" ht="20.5" customHeight="1">
      <c r="A73" s="40" t="inlineStr">
        <is>
          <t>②</t>
        </is>
      </c>
      <c r="C73" s="41" t="inlineStr">
        <is>
          <t>미장면과 문틀 · 창틀이 만나는 부위에는 도면에 따라 비드를 설치한다.</t>
        </is>
      </c>
    </row>
    <row r="74" ht="36" customHeight="1">
      <c r="A74" s="40" t="inlineStr">
        <is>
          <t>③</t>
        </is>
      </c>
      <c r="C74" s="41" t="inlineStr">
        <is>
          <t>콘크리트나 조적 벽체에 직접 바를 때는 개구부 보강용 라스를 콘크리트 바탕면이나 조적 벽면에 고정한다.</t>
        </is>
      </c>
    </row>
    <row r="75" ht="21" customHeight="1">
      <c r="A75" s="10" t="inlineStr"/>
      <c r="B75" s="38" t="inlineStr">
        <is>
          <t>(2) 모서리 보강재</t>
        </is>
      </c>
    </row>
    <row r="76" ht="20.5" customHeight="1">
      <c r="A76" s="40" t="inlineStr">
        <is>
          <t>①</t>
        </is>
      </c>
      <c r="C76" s="41" t="inlineStr">
        <is>
          <t>벽 돌출 모서리 및 내측 모서리에는 비드를 설치한다.</t>
        </is>
      </c>
    </row>
    <row r="77" ht="20.5" customHeight="1">
      <c r="A77" s="40" t="inlineStr">
        <is>
          <t>②</t>
        </is>
      </c>
      <c r="C77" s="41" t="inlineStr">
        <is>
          <t>벽 내측에 이질재가 만나는 모서리에는 라스를 설치한다.</t>
        </is>
      </c>
    </row>
    <row r="78" ht="21" customHeight="1">
      <c r="A78" s="10" t="inlineStr"/>
      <c r="B78" s="38" t="inlineStr">
        <is>
          <t>(3) 벽 및 천장 면 신축줄눈재</t>
        </is>
      </c>
    </row>
    <row r="79" ht="36" customHeight="1">
      <c r="A79" s="40" t="inlineStr">
        <is>
          <t>①</t>
        </is>
      </c>
      <c r="C79" s="41" t="inlineStr">
        <is>
          <t>벽 및 천장면이 9m 이상 연속되면 신축줄눈재를 설치하며, 줄눈재 설치 간격은 9m 이하로 한다.</t>
        </is>
      </c>
    </row>
    <row r="80" ht="21" customHeight="1">
      <c r="A80" s="38" t="inlineStr">
        <is>
          <t>11) 바닥 바르기</t>
        </is>
      </c>
    </row>
    <row r="81" ht="36" customHeight="1">
      <c r="A81" s="40" t="inlineStr">
        <is>
          <t>(1)</t>
        </is>
      </c>
      <c r="B81" s="41" t="inlineStr">
        <is>
          <t>콘크리트 바탕면의 레이턴스 · 오물 · 부착물 등 이물질을 없애고 깨끗이 청소한 뒤 물을 뿌린다. 이때 바닥에 물이 고이지 않게 한다.</t>
        </is>
      </c>
    </row>
    <row r="82" ht="20.5" customHeight="1">
      <c r="A82" s="40" t="inlineStr">
        <is>
          <t>(2)</t>
        </is>
      </c>
      <c r="B82" s="41" t="inlineStr">
        <is>
          <t>바닥에 시멘트 풀을 충분히 문지르고 표면을 고른 다음 된비빔 모르타르를 바른다.</t>
        </is>
      </c>
    </row>
    <row r="83" ht="20.5" customHeight="1">
      <c r="A83" s="40" t="inlineStr">
        <is>
          <t>(3)</t>
        </is>
      </c>
      <c r="B83" s="41" t="inlineStr">
        <is>
          <t>표면의 수분 · 경화 정도를 보아 나무흙손으로 고르고 쇠흙손으로 마무리한다.</t>
        </is>
      </c>
    </row>
    <row r="84" ht="20.5" customHeight="1">
      <c r="A84" s="40" t="inlineStr">
        <is>
          <t>(4)</t>
        </is>
      </c>
      <c r="B84" s="41" t="inlineStr">
        <is>
          <t>바닥의 바름 두께는 도면에 지시된 두께에 따른다.</t>
        </is>
      </c>
    </row>
    <row r="85" ht="21" customHeight="1">
      <c r="A85" s="38" t="inlineStr">
        <is>
          <t>12) 벽 바르기</t>
        </is>
      </c>
    </row>
    <row r="86" ht="20.5" customHeight="1">
      <c r="A86" s="40" t="inlineStr">
        <is>
          <t>(1)</t>
        </is>
      </c>
      <c r="B86" s="41" t="inlineStr">
        <is>
          <t>바르기 직전에 바탕면을 청소하고 미리 물을 적셔 흡수를 조절한다.</t>
        </is>
      </c>
    </row>
    <row r="87" ht="20.5" customHeight="1">
      <c r="A87" s="40" t="inlineStr">
        <is>
          <t>(2)</t>
        </is>
      </c>
      <c r="B87" s="41" t="inlineStr">
        <is>
          <t>따로 지시가 없으면 벽의 미장 바름 두께는 18mm 로 한다.</t>
        </is>
      </c>
    </row>
    <row r="88" ht="20.5" customHeight="1">
      <c r="A88" s="40" t="inlineStr">
        <is>
          <t>(3)</t>
        </is>
      </c>
      <c r="B88" s="41" t="inlineStr">
        <is>
          <t>1회 바름 두께는 7mm 이하로 하고 초벌 · 재벌 · 정벌로 나누어 바른다.</t>
        </is>
      </c>
    </row>
    <row r="89" ht="36" customHeight="1">
      <c r="A89" s="40" t="inlineStr">
        <is>
          <t>(4)</t>
        </is>
      </c>
      <c r="B89" s="41" t="inlineStr">
        <is>
          <t>재벌 바름은 구석 · 모퉁이 등에 규준대를 대고 평탄하게 바른 뒤 다시 잣대 고르기를 한다.</t>
        </is>
      </c>
    </row>
    <row r="90" ht="36" customHeight="1">
      <c r="A90" s="40" t="inlineStr">
        <is>
          <t>(5)</t>
        </is>
      </c>
      <c r="B90" s="41" t="inlineStr">
        <is>
          <t>재벌 바름의 경화 정도를 보아 정벌 바름을 하되 얼룩 · 처짐 · 돌기 · 들뜸 등이 생기지 않게 바른다.</t>
        </is>
      </c>
    </row>
    <row r="91" ht="21" customHeight="1">
      <c r="A91" s="38" t="inlineStr">
        <is>
          <t>13) 미장 마감 보수 및 재시공</t>
        </is>
      </c>
    </row>
    <row r="92" ht="37" customHeight="1">
      <c r="A92" s="39" t="inlineStr">
        <is>
          <t>갈라진 틈 · 부푼 곳 · 구멍 · 얼룩 등 결함이 있는 미장 표면은 보수한다. 보수 부분은 인접 면과 재질 · 색상이 같아야 한다.</t>
        </is>
      </c>
    </row>
    <row r="93" ht="21" customHeight="1">
      <c r="A93" s="38" t="inlineStr">
        <is>
          <t>14) 현장 품질관리 — 시공 전 · 시공 중 보양</t>
        </is>
      </c>
    </row>
    <row r="94" ht="36" customHeight="1">
      <c r="A94" s="40" t="inlineStr">
        <is>
          <t>(1)</t>
        </is>
      </c>
      <c r="B94" s="41" t="inlineStr">
        <is>
          <t>시공 전 : 바름 작업에 가까운 다른 부재나 마감면은 종이 붙임 · 널대기 · 포장 덮기 · 폴리에틸렌 필름 덮기 등으로 오염되지 않게 보양한다.</t>
        </is>
      </c>
    </row>
    <row r="95" ht="36" customHeight="1">
      <c r="A95" s="40" t="inlineStr">
        <is>
          <t>(2)</t>
        </is>
      </c>
      <c r="B95" s="41" t="inlineStr">
        <is>
          <t>시공 중 : 추운 때에는 따뜻한 날을 골라 시공한다. 부득이 4℃ 이하에서 시공할 때는 판자 울치기 · 거적 덮기 또는 비닐시트를 둘러치고 난방기 등으로 보온한다.</t>
        </is>
      </c>
    </row>
    <row r="96" ht="36" customHeight="1">
      <c r="A96" s="40" t="inlineStr">
        <is>
          <t>(3)</t>
        </is>
      </c>
      <c r="B96" s="41" t="inlineStr">
        <is>
          <t>외부 마감을 여름에 할 때는 바름층이 급히 마르지 않도록 거적 또는 폴리에틸렌 필름을 덮은 뒤 살수 등을 한다.</t>
        </is>
      </c>
    </row>
    <row r="97" ht="20.5" customHeight="1">
      <c r="A97" s="40" t="inlineStr">
        <is>
          <t>(4)</t>
        </is>
      </c>
      <c r="B97" s="41" t="inlineStr">
        <is>
          <t>비 · 강풍 또는 주위 작업으로 바름 작업에 지장이 있으면 방풍 · 보양한다.</t>
        </is>
      </c>
    </row>
    <row r="98" ht="21" customHeight="1">
      <c r="A98" s="38" t="inlineStr">
        <is>
          <t>15) 시공 후의 보양</t>
        </is>
      </c>
    </row>
    <row r="99" ht="20.5" customHeight="1">
      <c r="A99" s="40" t="inlineStr">
        <is>
          <t>(1)</t>
        </is>
      </c>
      <c r="B99" s="41" t="inlineStr">
        <is>
          <t>바람 등으로 먼지가 날려 작업면에 붙을 우려가 있으면 비닐 · 천막 등으로 보양한다.</t>
        </is>
      </c>
    </row>
    <row r="100" ht="36" customHeight="1">
      <c r="A100" s="40" t="inlineStr">
        <is>
          <t>(2)</t>
        </is>
      </c>
      <c r="B100" s="41" t="inlineStr">
        <is>
          <t>공사 완료 뒤 바름면의 균열 · 들뜬 곳 · 손상된 곳은 그 부분을 잘라 내고 주위와 마감 상태가 차이 나지 않게 보수한다.</t>
        </is>
      </c>
    </row>
    <row r="101" ht="20.5" customHeight="1">
      <c r="A101" s="40" t="inlineStr">
        <is>
          <t>(3)</t>
        </is>
      </c>
      <c r="B101" s="41" t="inlineStr">
        <is>
          <t>작업 중 떨어진 모르타르 찌꺼기를 치우고, 뒤 공정에 차질이 없도록 바름면을 청소한다.</t>
        </is>
      </c>
    </row>
    <row r="102" ht="36" customHeight="1">
      <c r="A102" s="40" t="inlineStr">
        <is>
          <t>(4)</t>
        </is>
      </c>
      <c r="B102" s="41" t="inlineStr">
        <is>
          <t>바름면이 일찍 마르지 않도록 창문 유리를 끼우거나 거적 등으로 막아 통풍 · 일조를 조절하고 물을 뿌리는 등 보양한다.</t>
        </is>
      </c>
    </row>
    <row r="103" ht="3" customHeight="1"/>
    <row r="104" ht="22" customHeight="1">
      <c r="A104" s="37" t="inlineStr">
        <is>
          <t>6-2  콘크리트 면마무리</t>
        </is>
      </c>
    </row>
    <row r="105" ht="21" customHeight="1">
      <c r="A105" s="38" t="inlineStr">
        <is>
          <t>1) 바탕처리 및 시공</t>
        </is>
      </c>
    </row>
    <row r="106" ht="20.5" customHeight="1">
      <c r="A106" s="40" t="inlineStr">
        <is>
          <t>(1)</t>
        </is>
      </c>
      <c r="B106" s="41" t="inlineStr">
        <is>
          <t>거푸집을 완전히 떼어 내고, 거푸집 잔재 · 세퍼레이터 등 해로운 잔류물이 없어야 한다.</t>
        </is>
      </c>
    </row>
    <row r="107" ht="20.5" customHeight="1">
      <c r="A107" s="40" t="inlineStr">
        <is>
          <t>(2)</t>
        </is>
      </c>
      <c r="B107" s="41" t="inlineStr">
        <is>
          <t>바탕면의 배부른 부위는 치핑한다.</t>
        </is>
      </c>
    </row>
    <row r="108" ht="20.5" customHeight="1">
      <c r="A108" s="40" t="inlineStr">
        <is>
          <t>(3)</t>
        </is>
      </c>
      <c r="B108" s="41" t="inlineStr">
        <is>
          <t>바탕면의 먼지 · 기름 등 부착력을 떨어뜨리는 이물질을 없애고 바탕을 고르게 적신다.</t>
        </is>
      </c>
    </row>
    <row r="109" ht="36" customHeight="1">
      <c r="A109" s="40" t="inlineStr">
        <is>
          <t>(4)</t>
        </is>
      </c>
      <c r="B109" s="41" t="inlineStr">
        <is>
          <t>콘크리트 곰보 · 이어치기 부분 등 누수의 원인이 되는 곳은 알맞은 방법으로 미리 방수처리를 한다.</t>
        </is>
      </c>
    </row>
    <row r="110" ht="36" customHeight="1">
      <c r="A110" s="40" t="inlineStr">
        <is>
          <t>(5)</t>
        </is>
      </c>
      <c r="B110" s="41" t="inlineStr">
        <is>
          <t>제물마무리(견출)할 곳은 숫돌 · 그라인더로 갈아 내고, 결함 부위는 부착성이 좋은 재료로 메운 뒤 롤러 · 붓으로 접착재를 바탕면에 바르고 제물마무리를 한다.</t>
        </is>
      </c>
    </row>
    <row r="111" ht="36" customHeight="1">
      <c r="A111" s="40" t="inlineStr">
        <is>
          <t>(6)</t>
        </is>
      </c>
      <c r="B111" s="41" t="inlineStr">
        <is>
          <t>콘크리트 바닥 제물마감은 된비빔 콘크리트를 다짐기 · 진동기로 다지고 규준대 · 나무흙손으로 고른 다음, 물이 빠지는 정도를 보아 기계흙손 또는 쇠흙손으로 문질러 마감한다.</t>
        </is>
      </c>
    </row>
    <row r="112" ht="21" customHeight="1">
      <c r="A112" s="38" t="inlineStr">
        <is>
          <t>2) 재료</t>
        </is>
      </c>
    </row>
    <row r="113" ht="20.5" customHeight="1">
      <c r="A113" s="40" t="inlineStr">
        <is>
          <t>(1)</t>
        </is>
      </c>
      <c r="B113" s="41" t="inlineStr">
        <is>
          <t>포틀랜드 시멘트는 KS L 5201 의 1종(보통 포틀랜드 시멘트)에 맞는 제품을 쓴다.</t>
        </is>
      </c>
    </row>
    <row r="114" ht="36" customHeight="1">
      <c r="A114" s="40" t="inlineStr">
        <is>
          <t>(2)</t>
        </is>
      </c>
      <c r="B114" s="41" t="inlineStr">
        <is>
          <t>물은 미장 및 금속에 해로운 기름 · 산 · 알칼리 · 유기물 등이 기준량 이상 들어 있지 않은, 식수로 쓸 수 있는 깨끗한 물을 쓴다.</t>
        </is>
      </c>
    </row>
    <row r="115" ht="36" customHeight="1">
      <c r="A115" s="40" t="inlineStr">
        <is>
          <t>(3)</t>
        </is>
      </c>
      <c r="B115" s="41" t="inlineStr">
        <is>
          <t>접착재는 보수성 · 작업성 · 부착성 등을 높이는 것으로, 수축이 적은 합성수지계 무기질 재료를 쓴다.</t>
        </is>
      </c>
    </row>
    <row r="116" ht="3" customHeight="1"/>
    <row r="117" ht="22" customHeight="1">
      <c r="A117" s="37" t="inlineStr">
        <is>
          <t>6-3  검측절차</t>
        </is>
      </c>
    </row>
    <row r="118" ht="21" customHeight="1">
      <c r="A118" s="38" t="inlineStr">
        <is>
          <t>(1) 검측 신청</t>
        </is>
      </c>
    </row>
    <row r="119" ht="51.5" customHeight="1">
      <c r="A119" s="40" t="inlineStr">
        <is>
          <t>①</t>
        </is>
      </c>
      <c r="B119" s="41" t="inlineStr">
        <is>
          <t>검측 체크리스트에 의한 검측은 먼저 시공자의 담당기술자가 점검하여 합격된 것을 확인한 뒤, 그 체크리스트를 첨부하여 검측요청서를 감리원에게 제출한다. 감리원은 점검 내용을 검토한 뒤 현장 확인 검측을 하고 그 결과를 서면으로 통보한다.</t>
        </is>
      </c>
    </row>
    <row r="120" ht="36" customHeight="1">
      <c r="A120" s="40" t="inlineStr">
        <is>
          <t>②</t>
        </is>
      </c>
      <c r="B120" s="41" t="inlineStr">
        <is>
          <t>검측 결과가 불합격이면 시공자가 분명히 알 수 있도록 불합격 내용을 자세히 통보하고, 시공자가 지적 사항을 보완한 뒤 재검측을 요청하면 감리원은 즉시 재검측을 한다.</t>
        </is>
      </c>
    </row>
    <row r="121" ht="21" customHeight="1">
      <c r="A121" s="38" t="inlineStr">
        <is>
          <t>(2) 검측 흐름(FLOW CHART)</t>
        </is>
      </c>
    </row>
    <row r="122" ht="30" customHeight="1">
      <c r="A122" s="10" t="inlineStr"/>
      <c r="D122" s="42" t="inlineStr">
        <is>
          <t>현장 시공 완료</t>
        </is>
      </c>
      <c r="E122" s="15" t="n"/>
      <c r="F122" s="15" t="n"/>
      <c r="G122" s="15" t="n"/>
      <c r="H122" s="15" t="n"/>
      <c r="I122" s="15" t="n"/>
      <c r="J122" s="43" t="inlineStr"/>
    </row>
    <row r="123" ht="14" customHeight="1">
      <c r="A123" s="34" t="inlineStr">
        <is>
          <t>▼</t>
        </is>
      </c>
    </row>
    <row r="124" ht="30" customHeight="1">
      <c r="A124" s="10" t="inlineStr"/>
      <c r="D124" s="42" t="inlineStr">
        <is>
          <t>시공자 · 담당기술자 점검</t>
        </is>
      </c>
      <c r="E124" s="15" t="n"/>
      <c r="F124" s="15" t="n"/>
      <c r="G124" s="15" t="n"/>
      <c r="H124" s="15" t="n"/>
      <c r="I124" s="15" t="n"/>
      <c r="J124" s="43" t="inlineStr">
        <is>
          <t xml:space="preserve">  ◀ 첨부 : 시공자 점검표</t>
        </is>
      </c>
    </row>
    <row r="125" ht="14" customHeight="1">
      <c r="A125" s="34" t="inlineStr">
        <is>
          <t>▼</t>
        </is>
      </c>
    </row>
    <row r="126" ht="30" customHeight="1">
      <c r="A126" s="10" t="inlineStr"/>
      <c r="D126" s="42" t="inlineStr">
        <is>
          <t>검측요청서 제출</t>
        </is>
      </c>
      <c r="E126" s="15" t="n"/>
      <c r="F126" s="15" t="n"/>
      <c r="G126" s="15" t="n"/>
      <c r="H126" s="15" t="n"/>
      <c r="I126" s="15" t="n"/>
      <c r="J126" s="43" t="inlineStr">
        <is>
          <t xml:space="preserve">  ◀ 첨부 : 공사참여자 명부 · 관련 도면 · 사진</t>
        </is>
      </c>
    </row>
    <row r="127" ht="14" customHeight="1">
      <c r="A127" s="34" t="inlineStr">
        <is>
          <t>▼</t>
        </is>
      </c>
    </row>
    <row r="128" ht="30" customHeight="1">
      <c r="A128" s="10" t="inlineStr"/>
      <c r="D128" s="42" t="inlineStr">
        <is>
          <t>감 리 원(공사감독자) 현장 검측</t>
        </is>
      </c>
      <c r="E128" s="15" t="n"/>
      <c r="F128" s="15" t="n"/>
      <c r="G128" s="15" t="n"/>
      <c r="H128" s="15" t="n"/>
      <c r="I128" s="15" t="n"/>
      <c r="J128" s="43" t="inlineStr"/>
    </row>
    <row r="129" ht="14" customHeight="1">
      <c r="A129" s="34" t="inlineStr">
        <is>
          <t>▼</t>
        </is>
      </c>
    </row>
    <row r="130" ht="30" customHeight="1">
      <c r="A130" s="10" t="inlineStr"/>
      <c r="D130" s="42" t="inlineStr">
        <is>
          <t>검측 결과 통보</t>
        </is>
      </c>
      <c r="E130" s="15" t="n"/>
      <c r="F130" s="15" t="n"/>
      <c r="G130" s="15" t="n"/>
      <c r="H130" s="15" t="n"/>
      <c r="I130" s="15" t="n"/>
      <c r="J130" s="43" t="inlineStr">
        <is>
          <t xml:space="preserve">  ◀ 불합격 시 → 재시공 · 보완 후 다시 검측 요청</t>
        </is>
      </c>
    </row>
    <row r="131" ht="14" customHeight="1">
      <c r="A131" s="34" t="inlineStr">
        <is>
          <t>▼</t>
        </is>
      </c>
    </row>
    <row r="132" ht="30" customHeight="1">
      <c r="A132" s="10" t="inlineStr"/>
      <c r="D132" s="42" t="inlineStr">
        <is>
          <t>합격 시 다음 단계 공종 착수</t>
        </is>
      </c>
      <c r="E132" s="15" t="n"/>
      <c r="F132" s="15" t="n"/>
      <c r="G132" s="15" t="n"/>
      <c r="H132" s="15" t="n"/>
      <c r="I132" s="15" t="n"/>
      <c r="J132" s="43" t="inlineStr"/>
    </row>
    <row r="133" ht="36" customHeight="1">
      <c r="A133" s="38" t="inlineStr">
        <is>
          <t>(3) 검측 체크리스트 — «검측체크» 시트(5장 : 벽 바탕 · 초벌 · 정벌 · 바닥 바탕 · 콘크리트 면처리)</t>
        </is>
      </c>
    </row>
  </sheetData>
  <mergeCells count="172">
    <mergeCell ref="B113:L113"/>
    <mergeCell ref="A128:C128"/>
    <mergeCell ref="A64:B64"/>
    <mergeCell ref="B100:L100"/>
    <mergeCell ref="A73:B73"/>
    <mergeCell ref="B109:L109"/>
    <mergeCell ref="A46:L46"/>
    <mergeCell ref="B47:L47"/>
    <mergeCell ref="J132:L132"/>
    <mergeCell ref="B22:L22"/>
    <mergeCell ref="B115:L115"/>
    <mergeCell ref="A105:L105"/>
    <mergeCell ref="B102:L102"/>
    <mergeCell ref="A26:L26"/>
    <mergeCell ref="B12:L12"/>
    <mergeCell ref="A54:B54"/>
    <mergeCell ref="B21:L21"/>
    <mergeCell ref="B86:L86"/>
    <mergeCell ref="C49:L49"/>
    <mergeCell ref="A129:L129"/>
    <mergeCell ref="C77:L77"/>
    <mergeCell ref="C34:L34"/>
    <mergeCell ref="A74:B74"/>
    <mergeCell ref="B101:L101"/>
    <mergeCell ref="B14:L14"/>
    <mergeCell ref="D130:I130"/>
    <mergeCell ref="A91:L91"/>
    <mergeCell ref="B23:L23"/>
    <mergeCell ref="A131:L131"/>
    <mergeCell ref="J130:L130"/>
    <mergeCell ref="C74:L74"/>
    <mergeCell ref="B13:L13"/>
    <mergeCell ref="A76:B76"/>
    <mergeCell ref="A33:B33"/>
    <mergeCell ref="B78:L78"/>
    <mergeCell ref="B87:L87"/>
    <mergeCell ref="A93:L93"/>
    <mergeCell ref="D132:I132"/>
    <mergeCell ref="A130:C130"/>
    <mergeCell ref="A92:L92"/>
    <mergeCell ref="A132:C132"/>
    <mergeCell ref="A68:B68"/>
    <mergeCell ref="B51:L51"/>
    <mergeCell ref="C59:L59"/>
    <mergeCell ref="A6:L6"/>
    <mergeCell ref="B114:L114"/>
    <mergeCell ref="A39:B39"/>
    <mergeCell ref="B35:L35"/>
    <mergeCell ref="A48:B48"/>
    <mergeCell ref="B106:L106"/>
    <mergeCell ref="A30:B30"/>
    <mergeCell ref="C61:L61"/>
    <mergeCell ref="A59:B59"/>
    <mergeCell ref="C39:L39"/>
    <mergeCell ref="C48:L48"/>
    <mergeCell ref="B90:L90"/>
    <mergeCell ref="A133:L133"/>
    <mergeCell ref="A80:L80"/>
    <mergeCell ref="C32:L32"/>
    <mergeCell ref="A3:L3"/>
    <mergeCell ref="C38:L38"/>
    <mergeCell ref="A61:B61"/>
    <mergeCell ref="A79:B79"/>
    <mergeCell ref="B18:L18"/>
    <mergeCell ref="B27:L27"/>
    <mergeCell ref="A104:L104"/>
    <mergeCell ref="D122:I122"/>
    <mergeCell ref="B11:L11"/>
    <mergeCell ref="B67:L67"/>
    <mergeCell ref="C33:L33"/>
    <mergeCell ref="B53:L53"/>
    <mergeCell ref="B119:L119"/>
    <mergeCell ref="C79:L79"/>
    <mergeCell ref="C73:L73"/>
    <mergeCell ref="B37:L37"/>
    <mergeCell ref="J126:L126"/>
    <mergeCell ref="C63:L63"/>
    <mergeCell ref="B84:L84"/>
    <mergeCell ref="J122:L122"/>
    <mergeCell ref="C50:L50"/>
    <mergeCell ref="A24:L24"/>
    <mergeCell ref="C55:L55"/>
    <mergeCell ref="A52:B52"/>
    <mergeCell ref="B15:L15"/>
    <mergeCell ref="A63:B63"/>
    <mergeCell ref="A123:L123"/>
    <mergeCell ref="B95:L95"/>
    <mergeCell ref="B89:L89"/>
    <mergeCell ref="A124:C124"/>
    <mergeCell ref="A77:B77"/>
    <mergeCell ref="A34:B34"/>
    <mergeCell ref="D124:I124"/>
    <mergeCell ref="A16:L16"/>
    <mergeCell ref="B97:L97"/>
    <mergeCell ref="A25:L25"/>
    <mergeCell ref="C52:L52"/>
    <mergeCell ref="A49:B49"/>
    <mergeCell ref="B81:L81"/>
    <mergeCell ref="D126:I126"/>
    <mergeCell ref="A118:L118"/>
    <mergeCell ref="C72:L72"/>
    <mergeCell ref="A69:B69"/>
    <mergeCell ref="B71:L71"/>
    <mergeCell ref="B43:L43"/>
    <mergeCell ref="A65:B65"/>
    <mergeCell ref="C69:L69"/>
    <mergeCell ref="A126:C126"/>
    <mergeCell ref="J124:L124"/>
    <mergeCell ref="B120:L120"/>
    <mergeCell ref="C30:L30"/>
    <mergeCell ref="B42:L42"/>
    <mergeCell ref="B107:L107"/>
    <mergeCell ref="A122:C122"/>
    <mergeCell ref="B17:L17"/>
    <mergeCell ref="A55:B55"/>
    <mergeCell ref="B57:L57"/>
    <mergeCell ref="A20:L20"/>
    <mergeCell ref="A125:L125"/>
    <mergeCell ref="A112:L112"/>
    <mergeCell ref="B44:L44"/>
    <mergeCell ref="A121:L121"/>
    <mergeCell ref="C64:L64"/>
    <mergeCell ref="B19:L19"/>
    <mergeCell ref="A32:B32"/>
    <mergeCell ref="B28:L28"/>
    <mergeCell ref="A127:L127"/>
    <mergeCell ref="B99:L99"/>
    <mergeCell ref="C54:L54"/>
    <mergeCell ref="B108:L108"/>
    <mergeCell ref="B83:L83"/>
    <mergeCell ref="A38:B38"/>
    <mergeCell ref="A98:L98"/>
    <mergeCell ref="A1:F1"/>
    <mergeCell ref="A70:L70"/>
    <mergeCell ref="A40:B40"/>
    <mergeCell ref="B94:L94"/>
    <mergeCell ref="C76:L76"/>
    <mergeCell ref="B75:L75"/>
    <mergeCell ref="A7:L7"/>
    <mergeCell ref="A41:L41"/>
    <mergeCell ref="A60:B60"/>
    <mergeCell ref="B62:L62"/>
    <mergeCell ref="A56:L56"/>
    <mergeCell ref="C66:L66"/>
    <mergeCell ref="B96:L96"/>
    <mergeCell ref="J128:L128"/>
    <mergeCell ref="A85:L85"/>
    <mergeCell ref="A8:L8"/>
    <mergeCell ref="C68:L68"/>
    <mergeCell ref="A66:B66"/>
    <mergeCell ref="B111:L111"/>
    <mergeCell ref="C58:L58"/>
    <mergeCell ref="A50:B50"/>
    <mergeCell ref="G1:L1"/>
    <mergeCell ref="B88:L88"/>
    <mergeCell ref="B82:L82"/>
    <mergeCell ref="A117:L117"/>
    <mergeCell ref="C29:L29"/>
    <mergeCell ref="B10:L10"/>
    <mergeCell ref="A9:L9"/>
    <mergeCell ref="B45:L45"/>
    <mergeCell ref="C65:L65"/>
    <mergeCell ref="C31:L31"/>
    <mergeCell ref="A29:B29"/>
    <mergeCell ref="A72:B72"/>
    <mergeCell ref="C40:L40"/>
    <mergeCell ref="D128:I128"/>
    <mergeCell ref="B110:L110"/>
    <mergeCell ref="B36:L36"/>
    <mergeCell ref="A31:B31"/>
    <mergeCell ref="C60:L60"/>
    <mergeCell ref="A58:B58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32" min="0" max="16383" man="1"/>
    <brk id="60" min="0" max="16383" man="1"/>
    <brk id="84" min="0" max="16383" man="1"/>
    <brk id="111" min="0" max="16383" man="1"/>
  </rowBreaks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9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3" t="inlineStr">
        <is>
          <t xml:space="preserve">작성 예시 (가상의 현장)  </t>
        </is>
      </c>
    </row>
    <row r="2" ht="36" customHeight="1">
      <c r="A2" s="44" t="inlineStr">
        <is>
          <t>검 측 체 크 리 스 트</t>
        </is>
      </c>
    </row>
    <row r="3" ht="26" customHeight="1">
      <c r="A3" s="14" t="inlineStr">
        <is>
          <t>공종 CODE NO.</t>
        </is>
      </c>
      <c r="B3" s="15" t="n"/>
      <c r="C3" s="27" t="n"/>
      <c r="D3" s="15" t="n"/>
      <c r="E3" s="45" t="inlineStr">
        <is>
          <t>미 장 공 사</t>
        </is>
      </c>
      <c r="F3" s="15" t="n"/>
      <c r="G3" s="14" t="inlineStr">
        <is>
          <t>위치 및 부위</t>
        </is>
      </c>
      <c r="H3" s="15" t="n"/>
      <c r="I3" s="23" t="inlineStr">
        <is>
          <t>교사동 2층 교실 벽체</t>
        </is>
      </c>
      <c r="J3" s="15" t="n"/>
      <c r="K3" s="15" t="n"/>
      <c r="L3" s="15" t="n"/>
    </row>
    <row r="4" ht="34" customHeight="1">
      <c r="A4" s="14" t="inlineStr">
        <is>
          <t>공종(세부공종)</t>
        </is>
      </c>
      <c r="B4" s="15" t="n"/>
      <c r="C4" s="46" t="inlineStr">
        <is>
          <t>벽체 시멘트 모르타르 바르기 — 바탕면 처리 및 준비 상태</t>
        </is>
      </c>
      <c r="D4" s="15" t="n"/>
      <c r="E4" s="15" t="n"/>
      <c r="F4" s="15" t="n"/>
      <c r="G4" s="14" t="inlineStr">
        <is>
          <t>검 측 일 자</t>
        </is>
      </c>
      <c r="H4" s="15" t="n"/>
      <c r="I4" s="47" t="n">
        <v>46140</v>
      </c>
      <c r="J4" s="15" t="n"/>
      <c r="K4" s="15" t="n"/>
      <c r="L4" s="15" t="n"/>
    </row>
    <row r="5" ht="20" customHeight="1">
      <c r="A5" s="25" t="inlineStr">
        <is>
          <t>검  사  항  목</t>
        </is>
      </c>
      <c r="B5" s="15" t="n"/>
      <c r="C5" s="15" t="n"/>
      <c r="D5" s="15" t="n"/>
      <c r="E5" s="15" t="n"/>
      <c r="F5" s="48" t="inlineStr">
        <is>
          <t>검 사 기 준
(시방서 · 도면 등)</t>
        </is>
      </c>
      <c r="G5" s="15" t="n"/>
      <c r="H5" s="25" t="inlineStr">
        <is>
          <t>검  사  결  과</t>
        </is>
      </c>
      <c r="I5" s="15" t="n"/>
      <c r="J5" s="15" t="n"/>
      <c r="K5" s="15" t="n"/>
      <c r="L5" s="48" t="inlineStr">
        <is>
          <t>조치
사항</t>
        </is>
      </c>
    </row>
    <row r="6" ht="18" customHeight="1">
      <c r="A6" s="15" t="n"/>
      <c r="B6" s="15" t="n"/>
      <c r="C6" s="15" t="n"/>
      <c r="D6" s="15" t="n"/>
      <c r="E6" s="15" t="n"/>
      <c r="F6" s="15" t="n"/>
      <c r="G6" s="15" t="n"/>
      <c r="H6" s="25" t="inlineStr">
        <is>
          <t>1  차</t>
        </is>
      </c>
      <c r="I6" s="15" t="n"/>
      <c r="J6" s="25" t="inlineStr">
        <is>
          <t>2  차</t>
        </is>
      </c>
      <c r="K6" s="15" t="n"/>
      <c r="L6" s="15" t="n"/>
    </row>
    <row r="7" ht="18" customHeight="1">
      <c r="A7" s="15" t="n"/>
      <c r="B7" s="15" t="n"/>
      <c r="C7" s="15" t="n"/>
      <c r="D7" s="15" t="n"/>
      <c r="E7" s="15" t="n"/>
      <c r="F7" s="15" t="n"/>
      <c r="G7" s="15" t="n"/>
      <c r="H7" s="48" t="inlineStr">
        <is>
          <t>합격</t>
        </is>
      </c>
      <c r="I7" s="49" t="inlineStr">
        <is>
          <t>불합격</t>
        </is>
      </c>
      <c r="J7" s="48" t="inlineStr">
        <is>
          <t>합격</t>
        </is>
      </c>
      <c r="K7" s="49" t="inlineStr">
        <is>
          <t>불합격</t>
        </is>
      </c>
      <c r="L7" s="15" t="n"/>
    </row>
    <row r="8" ht="34" customHeight="1">
      <c r="A8" s="50" t="inlineStr">
        <is>
          <t>1. 시멘트 · 모래 자재공급원 승인은 되었는가</t>
        </is>
      </c>
      <c r="B8" s="15" t="n"/>
      <c r="C8" s="15" t="n"/>
      <c r="D8" s="15" t="n"/>
      <c r="E8" s="15" t="n"/>
      <c r="F8" s="51" t="inlineStr">
        <is>
          <t>승인 여부</t>
        </is>
      </c>
      <c r="G8" s="15" t="n"/>
      <c r="H8" s="32" t="inlineStr">
        <is>
          <t>○</t>
        </is>
      </c>
      <c r="I8" s="32" t="n"/>
      <c r="J8" s="32" t="n"/>
      <c r="K8" s="32" t="n"/>
      <c r="L8" s="52" t="n"/>
    </row>
    <row r="9" ht="34" customHeight="1">
      <c r="A9" s="50" t="inlineStr">
        <is>
          <t>2. 각종 라스 및 메탈라스의 자재공급원 승인은 되었는가</t>
        </is>
      </c>
      <c r="B9" s="15" t="n"/>
      <c r="C9" s="15" t="n"/>
      <c r="D9" s="15" t="n"/>
      <c r="E9" s="15" t="n"/>
      <c r="F9" s="51" t="inlineStr">
        <is>
          <t>승인 여부</t>
        </is>
      </c>
      <c r="G9" s="15" t="n"/>
      <c r="H9" s="32" t="inlineStr">
        <is>
          <t>○</t>
        </is>
      </c>
      <c r="I9" s="32" t="n"/>
      <c r="J9" s="32" t="n"/>
      <c r="K9" s="32" t="n"/>
      <c r="L9" s="52" t="n"/>
    </row>
    <row r="10" ht="34" customHeight="1">
      <c r="A10" s="50" t="inlineStr">
        <is>
          <t>3. 바탕처리는 적정한가(물축임 · 오염 제거 등)</t>
        </is>
      </c>
      <c r="B10" s="15" t="n"/>
      <c r="C10" s="15" t="n"/>
      <c r="D10" s="15" t="n"/>
      <c r="E10" s="15" t="n"/>
      <c r="F10" s="51" t="inlineStr">
        <is>
          <t>적 · 부</t>
        </is>
      </c>
      <c r="G10" s="15" t="n"/>
      <c r="H10" s="32" t="inlineStr">
        <is>
          <t>○</t>
        </is>
      </c>
      <c r="I10" s="32" t="n"/>
      <c r="J10" s="32" t="n"/>
      <c r="K10" s="32" t="n"/>
      <c r="L10" s="52" t="n"/>
    </row>
    <row r="11" ht="34" customHeight="1">
      <c r="A11" s="50" t="inlineStr">
        <is>
          <t>4. 구조체 곰보 · 이음 조인트 · 균열 · 재료분리 등의 조치는 적정한가</t>
        </is>
      </c>
      <c r="B11" s="15" t="n"/>
      <c r="C11" s="15" t="n"/>
      <c r="D11" s="15" t="n"/>
      <c r="E11" s="15" t="n"/>
      <c r="F11" s="51" t="inlineStr">
        <is>
          <t>적 · 부</t>
        </is>
      </c>
      <c r="G11" s="15" t="n"/>
      <c r="H11" s="32" t="inlineStr">
        <is>
          <t>○</t>
        </is>
      </c>
      <c r="I11" s="32" t="n"/>
      <c r="J11" s="32" t="n"/>
      <c r="K11" s="32" t="n"/>
      <c r="L11" s="52" t="n"/>
    </row>
    <row r="12" ht="34" customHeight="1">
      <c r="A12" s="50" t="inlineStr">
        <is>
          <t>5. 창틀 주변 모르타르 사춤은 완료하였는가</t>
        </is>
      </c>
      <c r="B12" s="15" t="n"/>
      <c r="C12" s="15" t="n"/>
      <c r="D12" s="15" t="n"/>
      <c r="E12" s="15" t="n"/>
      <c r="F12" s="51" t="inlineStr">
        <is>
          <t>적 · 부</t>
        </is>
      </c>
      <c r="G12" s="15" t="n"/>
      <c r="H12" s="32" t="inlineStr">
        <is>
          <t>○</t>
        </is>
      </c>
      <c r="I12" s="32" t="n"/>
      <c r="J12" s="32" t="n"/>
      <c r="K12" s="32" t="n"/>
      <c r="L12" s="52" t="n"/>
    </row>
    <row r="13" ht="34" customHeight="1">
      <c r="A13" s="50" t="inlineStr">
        <is>
          <t>6. 전기 및 설비 배관 부위 모르타르 사춤은 완료하였는가</t>
        </is>
      </c>
      <c r="B13" s="15" t="n"/>
      <c r="C13" s="15" t="n"/>
      <c r="D13" s="15" t="n"/>
      <c r="E13" s="15" t="n"/>
      <c r="F13" s="51" t="inlineStr">
        <is>
          <t>적 · 부</t>
        </is>
      </c>
      <c r="G13" s="15" t="n"/>
      <c r="H13" s="32" t="inlineStr">
        <is>
          <t>○</t>
        </is>
      </c>
      <c r="I13" s="32" t="n"/>
      <c r="J13" s="32" t="n"/>
      <c r="K13" s="32" t="n"/>
      <c r="L13" s="52" t="n"/>
    </row>
    <row r="14" ht="34" customHeight="1">
      <c r="A14" s="50" t="inlineStr">
        <is>
          <t>7. 이질재 접합부 라스 설치 및 코너비드 설치 상태는 적정한가</t>
        </is>
      </c>
      <c r="B14" s="15" t="n"/>
      <c r="C14" s="15" t="n"/>
      <c r="D14" s="15" t="n"/>
      <c r="E14" s="15" t="n"/>
      <c r="F14" s="51" t="inlineStr">
        <is>
          <t>적 · 부</t>
        </is>
      </c>
      <c r="G14" s="15" t="n"/>
      <c r="H14" s="32" t="inlineStr">
        <is>
          <t>○</t>
        </is>
      </c>
      <c r="I14" s="32" t="n"/>
      <c r="J14" s="32" t="n"/>
      <c r="K14" s="32" t="n"/>
      <c r="L14" s="52" t="n"/>
    </row>
    <row r="15" ht="34" customHeight="1">
      <c r="A15" s="50" t="inlineStr">
        <is>
          <t>8. 균열 방지용 메탈라스의 설치 방법 및 보강 위치는 적정한가</t>
        </is>
      </c>
      <c r="B15" s="15" t="n"/>
      <c r="C15" s="15" t="n"/>
      <c r="D15" s="15" t="n"/>
      <c r="E15" s="15" t="n"/>
      <c r="F15" s="51" t="inlineStr">
        <is>
          <t>시공상세도</t>
        </is>
      </c>
      <c r="G15" s="15" t="n"/>
      <c r="H15" s="32" t="inlineStr">
        <is>
          <t>○</t>
        </is>
      </c>
      <c r="I15" s="32" t="n"/>
      <c r="J15" s="32" t="n"/>
      <c r="K15" s="32" t="n"/>
      <c r="L15" s="52" t="n"/>
    </row>
    <row r="16" ht="34" customHeight="1">
      <c r="A16" s="50" t="inlineStr">
        <is>
          <t>9. 시멘트벽돌 쌓기 완료 후 일정 기간 보양을 하였는가</t>
        </is>
      </c>
      <c r="B16" s="15" t="n"/>
      <c r="C16" s="15" t="n"/>
      <c r="D16" s="15" t="n"/>
      <c r="E16" s="15" t="n"/>
      <c r="F16" s="51" t="inlineStr">
        <is>
          <t>적 · 부</t>
        </is>
      </c>
      <c r="G16" s="15" t="n"/>
      <c r="H16" s="32" t="inlineStr">
        <is>
          <t>○</t>
        </is>
      </c>
      <c r="I16" s="32" t="n"/>
      <c r="J16" s="32" t="n"/>
      <c r="K16" s="32" t="n"/>
      <c r="L16" s="52" t="n"/>
    </row>
    <row r="17" ht="34" customHeight="1">
      <c r="A17" s="50" t="inlineStr">
        <is>
          <t>10. 콘크리트 균열 부위는 적정하게 보수하였는가(에폭시 그라우팅)</t>
        </is>
      </c>
      <c r="B17" s="15" t="n"/>
      <c r="C17" s="15" t="n"/>
      <c r="D17" s="15" t="n"/>
      <c r="E17" s="15" t="n"/>
      <c r="F17" s="51" t="inlineStr">
        <is>
          <t>적 · 부</t>
        </is>
      </c>
      <c r="G17" s="15" t="n"/>
      <c r="H17" s="32" t="inlineStr">
        <is>
          <t>○</t>
        </is>
      </c>
      <c r="I17" s="32" t="n"/>
      <c r="J17" s="32" t="n"/>
      <c r="K17" s="32" t="n"/>
      <c r="L17" s="52" t="n"/>
    </row>
    <row r="18" ht="26" customHeight="1">
      <c r="A18" s="30" t="inlineStr">
        <is>
          <t>판  정</t>
        </is>
      </c>
      <c r="B18" s="15" t="n"/>
      <c r="C18" s="15" t="n"/>
      <c r="D18" s="53">
        <f>IF(COUNTA(H8:H17)+COUNTA(I8:I17)=0,"","1차 합격 "&amp;COUNTA(H8:H17)&amp;" · 불합격 "&amp;COUNTA(I8:I17)&amp;IF(COUNTA(I8:I17)&gt;0," / 2차 합격 "&amp;COUNTA(J8:J17)&amp;" · 불합격 "&amp;COUNTA(K8:K17),"")&amp;IF(COUNTA(H8:H17)+COUNTA(I8:I17)&lt;10," · 빈칸 "&amp;(10-COUNTA(H8:H17)-COUNTA(I8:I17)),"")&amp;"  →  "&amp;IF(COUNTA(I8:I17)=0,IF(COUNTA(H8:H17)+COUNTA(I8:I17)&lt;10,"점검 중","합격"),IF(AND(COUNTA(K8:K17)=0,COUNTA(J8:J17)&gt;=COUNTA(I8:I17)),"합격(재검측)","보완 후 재검측")))</f>
        <v/>
      </c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2" customHeight="1">
      <c r="A19" s="25" t="inlineStr">
        <is>
          <t>시 공 자  점 검</t>
        </is>
      </c>
      <c r="B19" s="15" t="n"/>
      <c r="C19" s="15" t="n"/>
      <c r="D19" s="15" t="n"/>
      <c r="E19" s="15" t="n"/>
      <c r="F19" s="15" t="n"/>
      <c r="G19" s="25" t="inlineStr">
        <is>
          <t>감 리 원  검 측</t>
        </is>
      </c>
      <c r="H19" s="15" t="n"/>
      <c r="I19" s="15" t="n"/>
      <c r="J19" s="15" t="n"/>
      <c r="K19" s="15" t="n"/>
      <c r="L19" s="15" t="n"/>
    </row>
    <row r="20" ht="20" customHeight="1">
      <c r="A20" s="25" t="inlineStr">
        <is>
          <t>점   검</t>
        </is>
      </c>
      <c r="B20" s="15" t="n"/>
      <c r="C20" s="15" t="n"/>
      <c r="D20" s="25" t="inlineStr">
        <is>
          <t>재 점 검</t>
        </is>
      </c>
      <c r="E20" s="15" t="n"/>
      <c r="F20" s="15" t="n"/>
      <c r="G20" s="25" t="inlineStr">
        <is>
          <t>검   측</t>
        </is>
      </c>
      <c r="H20" s="15" t="n"/>
      <c r="I20" s="15" t="n"/>
      <c r="J20" s="25" t="inlineStr">
        <is>
          <t>재 검 측</t>
        </is>
      </c>
      <c r="K20" s="15" t="n"/>
      <c r="L20" s="15" t="n"/>
    </row>
    <row r="21" ht="44" customHeight="1">
      <c r="A21" s="54" t="inlineStr">
        <is>
          <t>(인)</t>
        </is>
      </c>
      <c r="B21" s="15" t="n"/>
      <c r="C21" s="15" t="n"/>
      <c r="D21" s="54" t="inlineStr">
        <is>
          <t>(인)</t>
        </is>
      </c>
      <c r="E21" s="15" t="n"/>
      <c r="F21" s="15" t="n"/>
      <c r="G21" s="54" t="inlineStr">
        <is>
          <t>(인)</t>
        </is>
      </c>
      <c r="H21" s="15" t="n"/>
      <c r="I21" s="15" t="n"/>
      <c r="J21" s="54" t="inlineStr">
        <is>
          <t>(인)</t>
        </is>
      </c>
      <c r="K21" s="15" t="n"/>
      <c r="L21" s="15" t="n"/>
    </row>
    <row r="22" ht="36" customHeight="1">
      <c r="A22" s="44" t="inlineStr">
        <is>
          <t>검 측 체 크 리 스 트</t>
        </is>
      </c>
    </row>
    <row r="23" ht="26" customHeight="1">
      <c r="A23" s="14" t="inlineStr">
        <is>
          <t>공종 CODE NO.</t>
        </is>
      </c>
      <c r="B23" s="15" t="n"/>
      <c r="C23" s="27" t="n"/>
      <c r="D23" s="15" t="n"/>
      <c r="E23" s="45" t="inlineStr">
        <is>
          <t>미 장 공 사</t>
        </is>
      </c>
      <c r="F23" s="15" t="n"/>
      <c r="G23" s="14" t="inlineStr">
        <is>
          <t>위치 및 부위</t>
        </is>
      </c>
      <c r="H23" s="15" t="n"/>
      <c r="I23" s="23" t="inlineStr">
        <is>
          <t>교사동 2층 교실 벽체</t>
        </is>
      </c>
      <c r="J23" s="15" t="n"/>
      <c r="K23" s="15" t="n"/>
      <c r="L23" s="15" t="n"/>
    </row>
    <row r="24" ht="34" customHeight="1">
      <c r="A24" s="14" t="inlineStr">
        <is>
          <t>공종(세부공종)</t>
        </is>
      </c>
      <c r="B24" s="15" t="n"/>
      <c r="C24" s="46" t="inlineStr">
        <is>
          <t>벽체 시멘트 모르타르 바르기 — 초벌 바름 완료 상태</t>
        </is>
      </c>
      <c r="D24" s="15" t="n"/>
      <c r="E24" s="15" t="n"/>
      <c r="F24" s="15" t="n"/>
      <c r="G24" s="14" t="inlineStr">
        <is>
          <t>검 측 일 자</t>
        </is>
      </c>
      <c r="H24" s="15" t="n"/>
      <c r="I24" s="47" t="n">
        <v>46154</v>
      </c>
      <c r="J24" s="15" t="n"/>
      <c r="K24" s="15" t="n"/>
      <c r="L24" s="15" t="n"/>
    </row>
    <row r="25" ht="20" customHeight="1">
      <c r="A25" s="25" t="inlineStr">
        <is>
          <t>검  사  항  목</t>
        </is>
      </c>
      <c r="B25" s="15" t="n"/>
      <c r="C25" s="15" t="n"/>
      <c r="D25" s="15" t="n"/>
      <c r="E25" s="15" t="n"/>
      <c r="F25" s="48" t="inlineStr">
        <is>
          <t>검 사 기 준
(시방서 · 도면 등)</t>
        </is>
      </c>
      <c r="G25" s="15" t="n"/>
      <c r="H25" s="25" t="inlineStr">
        <is>
          <t>검  사  결  과</t>
        </is>
      </c>
      <c r="I25" s="15" t="n"/>
      <c r="J25" s="15" t="n"/>
      <c r="K25" s="15" t="n"/>
      <c r="L25" s="48" t="inlineStr">
        <is>
          <t>조치
사항</t>
        </is>
      </c>
    </row>
    <row r="26" ht="18" customHeight="1">
      <c r="A26" s="15" t="n"/>
      <c r="B26" s="15" t="n"/>
      <c r="C26" s="15" t="n"/>
      <c r="D26" s="15" t="n"/>
      <c r="E26" s="15" t="n"/>
      <c r="F26" s="15" t="n"/>
      <c r="G26" s="15" t="n"/>
      <c r="H26" s="25" t="inlineStr">
        <is>
          <t>1  차</t>
        </is>
      </c>
      <c r="I26" s="15" t="n"/>
      <c r="J26" s="25" t="inlineStr">
        <is>
          <t>2  차</t>
        </is>
      </c>
      <c r="K26" s="15" t="n"/>
      <c r="L26" s="15" t="n"/>
    </row>
    <row r="27" ht="18" customHeight="1">
      <c r="A27" s="15" t="n"/>
      <c r="B27" s="15" t="n"/>
      <c r="C27" s="15" t="n"/>
      <c r="D27" s="15" t="n"/>
      <c r="E27" s="15" t="n"/>
      <c r="F27" s="15" t="n"/>
      <c r="G27" s="15" t="n"/>
      <c r="H27" s="48" t="inlineStr">
        <is>
          <t>합격</t>
        </is>
      </c>
      <c r="I27" s="49" t="inlineStr">
        <is>
          <t>불합격</t>
        </is>
      </c>
      <c r="J27" s="48" t="inlineStr">
        <is>
          <t>합격</t>
        </is>
      </c>
      <c r="K27" s="49" t="inlineStr">
        <is>
          <t>불합격</t>
        </is>
      </c>
      <c r="L27" s="15" t="n"/>
    </row>
    <row r="28" ht="34" customHeight="1">
      <c r="A28" s="50" t="inlineStr">
        <is>
          <t>1. 시멘트 보관 및 관리는 적정한가(반입일자 · 야적상태 · 습기 등)</t>
        </is>
      </c>
      <c r="B28" s="15" t="n"/>
      <c r="C28" s="15" t="n"/>
      <c r="D28" s="15" t="n"/>
      <c r="E28" s="15" t="n"/>
      <c r="F28" s="51" t="inlineStr">
        <is>
          <t>적 · 부</t>
        </is>
      </c>
      <c r="G28" s="15" t="n"/>
      <c r="H28" s="32" t="inlineStr">
        <is>
          <t>○</t>
        </is>
      </c>
      <c r="I28" s="32" t="n"/>
      <c r="J28" s="32" t="n"/>
      <c r="K28" s="32" t="n"/>
      <c r="L28" s="52" t="n"/>
    </row>
    <row r="29" ht="34" customHeight="1">
      <c r="A29" s="50" t="inlineStr">
        <is>
          <t>2. 모래 입도는 적정하며 진흙 · 먼지 · 철분 함유는 없는가</t>
        </is>
      </c>
      <c r="B29" s="15" t="n"/>
      <c r="C29" s="15" t="n"/>
      <c r="D29" s="15" t="n"/>
      <c r="E29" s="15" t="n"/>
      <c r="F29" s="51" t="inlineStr">
        <is>
          <t>적 · 부</t>
        </is>
      </c>
      <c r="G29" s="15" t="n"/>
      <c r="H29" s="32" t="inlineStr">
        <is>
          <t>○</t>
        </is>
      </c>
      <c r="I29" s="32" t="n"/>
      <c r="J29" s="32" t="n"/>
      <c r="K29" s="32" t="n"/>
      <c r="L29" s="52" t="n"/>
    </row>
    <row r="30" ht="34" customHeight="1">
      <c r="A30" s="50" t="inlineStr">
        <is>
          <t>3. 물은 깨끗하고 유해물이 포함되지 않았는가</t>
        </is>
      </c>
      <c r="B30" s="15" t="n"/>
      <c r="C30" s="15" t="n"/>
      <c r="D30" s="15" t="n"/>
      <c r="E30" s="15" t="n"/>
      <c r="F30" s="51" t="inlineStr">
        <is>
          <t>적 · 부</t>
        </is>
      </c>
      <c r="G30" s="15" t="n"/>
      <c r="H30" s="32" t="inlineStr">
        <is>
          <t>○</t>
        </is>
      </c>
      <c r="I30" s="32" t="n"/>
      <c r="J30" s="32" t="n"/>
      <c r="K30" s="32" t="n"/>
      <c r="L30" s="52" t="n"/>
    </row>
    <row r="31" ht="34" customHeight="1">
      <c r="A31" s="50" t="inlineStr">
        <is>
          <t>4. 초벌 바름 두께는 적정한가</t>
        </is>
      </c>
      <c r="B31" s="15" t="n"/>
      <c r="C31" s="15" t="n"/>
      <c r="D31" s="15" t="n"/>
      <c r="E31" s="15" t="n"/>
      <c r="F31" s="51" t="inlineStr">
        <is>
          <t>7mm</t>
        </is>
      </c>
      <c r="G31" s="15" t="n"/>
      <c r="H31" s="32" t="n"/>
      <c r="I31" s="32" t="inlineStr">
        <is>
          <t>○</t>
        </is>
      </c>
      <c r="J31" s="32" t="inlineStr">
        <is>
          <t>○</t>
        </is>
      </c>
      <c r="K31" s="32" t="n"/>
      <c r="L31" s="52" t="inlineStr">
        <is>
          <t>덧바름 후 재검측</t>
        </is>
      </c>
    </row>
    <row r="32" ht="34" customHeight="1">
      <c r="A32" s="50" t="inlineStr">
        <is>
          <t>5. 면 긁어 주기는 적정한가</t>
        </is>
      </c>
      <c r="B32" s="15" t="n"/>
      <c r="C32" s="15" t="n"/>
      <c r="D32" s="15" t="n"/>
      <c r="E32" s="15" t="n"/>
      <c r="F32" s="51" t="inlineStr">
        <is>
          <t>가늘고 고르게</t>
        </is>
      </c>
      <c r="G32" s="15" t="n"/>
      <c r="H32" s="32" t="inlineStr">
        <is>
          <t>○</t>
        </is>
      </c>
      <c r="I32" s="32" t="n"/>
      <c r="J32" s="32" t="n"/>
      <c r="K32" s="32" t="n"/>
      <c r="L32" s="52" t="n"/>
    </row>
    <row r="33" ht="34" customHeight="1">
      <c r="A33" s="50" t="inlineStr">
        <is>
          <t>6. 구획별 양생 기간은 적정한가</t>
        </is>
      </c>
      <c r="B33" s="15" t="n"/>
      <c r="C33" s="15" t="n"/>
      <c r="D33" s="15" t="n"/>
      <c r="E33" s="15" t="n"/>
      <c r="F33" s="51" t="inlineStr">
        <is>
          <t>초벌 바름 후 7일 경과</t>
        </is>
      </c>
      <c r="G33" s="15" t="n"/>
      <c r="H33" s="32" t="inlineStr">
        <is>
          <t>○</t>
        </is>
      </c>
      <c r="I33" s="32" t="n"/>
      <c r="J33" s="32" t="n"/>
      <c r="K33" s="32" t="n"/>
      <c r="L33" s="52" t="n"/>
    </row>
    <row r="34" ht="34" customHeight="1">
      <c r="A34" s="50" t="inlineStr">
        <is>
          <t>7. 덧먹임 부분 및 바름 벽은 평활하며 들뜬 곳은 없는가</t>
        </is>
      </c>
      <c r="B34" s="15" t="n"/>
      <c r="C34" s="15" t="n"/>
      <c r="D34" s="15" t="n"/>
      <c r="E34" s="15" t="n"/>
      <c r="F34" s="51" t="inlineStr">
        <is>
          <t>적 · 부</t>
        </is>
      </c>
      <c r="G34" s="15" t="n"/>
      <c r="H34" s="32" t="inlineStr">
        <is>
          <t>○</t>
        </is>
      </c>
      <c r="I34" s="32" t="n"/>
      <c r="J34" s="32" t="n"/>
      <c r="K34" s="32" t="n"/>
      <c r="L34" s="52" t="n"/>
    </row>
    <row r="35" ht="34" customHeight="1">
      <c r="A35" s="50" t="inlineStr">
        <is>
          <t>8. 창호틀 등에 모르타르 오염은 없으며 보양 상태는 양호한가</t>
        </is>
      </c>
      <c r="B35" s="15" t="n"/>
      <c r="C35" s="15" t="n"/>
      <c r="D35" s="15" t="n"/>
      <c r="E35" s="15" t="n"/>
      <c r="F35" s="51" t="inlineStr">
        <is>
          <t>적 · 부</t>
        </is>
      </c>
      <c r="G35" s="15" t="n"/>
      <c r="H35" s="32" t="inlineStr">
        <is>
          <t>○</t>
        </is>
      </c>
      <c r="I35" s="32" t="n"/>
      <c r="J35" s="32" t="n"/>
      <c r="K35" s="32" t="n"/>
      <c r="L35" s="52" t="n"/>
    </row>
    <row r="36" ht="34" customHeight="1">
      <c r="A36" s="50" t="inlineStr">
        <is>
          <t>9. 시공 전 1일 이상, 시공 중 및 시공 후 3일 이상 영상 온도를 유지하였는가</t>
        </is>
      </c>
      <c r="B36" s="15" t="n"/>
      <c r="C36" s="15" t="n"/>
      <c r="D36" s="15" t="n"/>
      <c r="E36" s="15" t="n"/>
      <c r="F36" s="51" t="inlineStr">
        <is>
          <t>적 · 부</t>
        </is>
      </c>
      <c r="G36" s="15" t="n"/>
      <c r="H36" s="32" t="inlineStr">
        <is>
          <t>○</t>
        </is>
      </c>
      <c r="I36" s="32" t="n"/>
      <c r="J36" s="32" t="n"/>
      <c r="K36" s="32" t="n"/>
      <c r="L36" s="52" t="n"/>
    </row>
    <row r="37" ht="26" customHeight="1">
      <c r="A37" s="30" t="inlineStr">
        <is>
          <t>판  정</t>
        </is>
      </c>
      <c r="B37" s="15" t="n"/>
      <c r="C37" s="15" t="n"/>
      <c r="D37" s="53">
        <f>IF(COUNTA(H28:H36)+COUNTA(I28:I36)=0,"","1차 합격 "&amp;COUNTA(H28:H36)&amp;" · 불합격 "&amp;COUNTA(I28:I36)&amp;IF(COUNTA(I28:I36)&gt;0," / 2차 합격 "&amp;COUNTA(J28:J36)&amp;" · 불합격 "&amp;COUNTA(K28:K36),"")&amp;IF(COUNTA(H28:H36)+COUNTA(I28:I36)&lt;9," · 빈칸 "&amp;(9-COUNTA(H28:H36)-COUNTA(I28:I36)),"")&amp;"  →  "&amp;IF(COUNTA(I28:I36)=0,IF(COUNTA(H28:H36)+COUNTA(I28:I36)&lt;9,"점검 중","합격"),IF(AND(COUNTA(K28:K36)=0,COUNTA(J28:J36)&gt;=COUNTA(I28:I36)),"합격(재검측)","보완 후 재검측")))</f>
        <v/>
      </c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2" customHeight="1">
      <c r="A38" s="25" t="inlineStr">
        <is>
          <t>시 공 자  점 검</t>
        </is>
      </c>
      <c r="B38" s="15" t="n"/>
      <c r="C38" s="15" t="n"/>
      <c r="D38" s="15" t="n"/>
      <c r="E38" s="15" t="n"/>
      <c r="F38" s="15" t="n"/>
      <c r="G38" s="25" t="inlineStr">
        <is>
          <t>감 리 원  검 측</t>
        </is>
      </c>
      <c r="H38" s="15" t="n"/>
      <c r="I38" s="15" t="n"/>
      <c r="J38" s="15" t="n"/>
      <c r="K38" s="15" t="n"/>
      <c r="L38" s="15" t="n"/>
    </row>
    <row r="39" ht="20" customHeight="1">
      <c r="A39" s="25" t="inlineStr">
        <is>
          <t>점   검</t>
        </is>
      </c>
      <c r="B39" s="15" t="n"/>
      <c r="C39" s="15" t="n"/>
      <c r="D39" s="25" t="inlineStr">
        <is>
          <t>재 점 검</t>
        </is>
      </c>
      <c r="E39" s="15" t="n"/>
      <c r="F39" s="15" t="n"/>
      <c r="G39" s="25" t="inlineStr">
        <is>
          <t>검   측</t>
        </is>
      </c>
      <c r="H39" s="15" t="n"/>
      <c r="I39" s="15" t="n"/>
      <c r="J39" s="25" t="inlineStr">
        <is>
          <t>재 검 측</t>
        </is>
      </c>
      <c r="K39" s="15" t="n"/>
      <c r="L39" s="15" t="n"/>
    </row>
    <row r="40" ht="44" customHeight="1">
      <c r="A40" s="54" t="inlineStr">
        <is>
          <t>(인)</t>
        </is>
      </c>
      <c r="B40" s="15" t="n"/>
      <c r="C40" s="15" t="n"/>
      <c r="D40" s="54" t="inlineStr">
        <is>
          <t>(인)</t>
        </is>
      </c>
      <c r="E40" s="15" t="n"/>
      <c r="F40" s="15" t="n"/>
      <c r="G40" s="54" t="inlineStr">
        <is>
          <t>(인)</t>
        </is>
      </c>
      <c r="H40" s="15" t="n"/>
      <c r="I40" s="15" t="n"/>
      <c r="J40" s="54" t="inlineStr">
        <is>
          <t>(인)</t>
        </is>
      </c>
      <c r="K40" s="15" t="n"/>
      <c r="L40" s="15" t="n"/>
    </row>
    <row r="41" ht="36" customHeight="1">
      <c r="A41" s="44" t="inlineStr">
        <is>
          <t>검 측 체 크 리 스 트</t>
        </is>
      </c>
    </row>
    <row r="42" ht="26" customHeight="1">
      <c r="A42" s="14" t="inlineStr">
        <is>
          <t>공종 CODE NO.</t>
        </is>
      </c>
      <c r="B42" s="15" t="n"/>
      <c r="C42" s="27" t="n"/>
      <c r="D42" s="15" t="n"/>
      <c r="E42" s="45" t="inlineStr">
        <is>
          <t>미 장 공 사</t>
        </is>
      </c>
      <c r="F42" s="15" t="n"/>
      <c r="G42" s="14" t="inlineStr">
        <is>
          <t>위치 및 부위</t>
        </is>
      </c>
      <c r="H42" s="15" t="n"/>
      <c r="I42" s="23" t="inlineStr">
        <is>
          <t>교사동 2층 교실 벽체</t>
        </is>
      </c>
      <c r="J42" s="15" t="n"/>
      <c r="K42" s="15" t="n"/>
      <c r="L42" s="15" t="n"/>
    </row>
    <row r="43" ht="34" customHeight="1">
      <c r="A43" s="14" t="inlineStr">
        <is>
          <t>공종(세부공종)</t>
        </is>
      </c>
      <c r="B43" s="15" t="n"/>
      <c r="C43" s="46" t="inlineStr">
        <is>
          <t>벽체 시멘트 모르타르 바르기 — 정벌 바름 완료 상태</t>
        </is>
      </c>
      <c r="D43" s="15" t="n"/>
      <c r="E43" s="15" t="n"/>
      <c r="F43" s="15" t="n"/>
      <c r="G43" s="14" t="inlineStr">
        <is>
          <t>검 측 일 자</t>
        </is>
      </c>
      <c r="H43" s="15" t="n"/>
      <c r="I43" s="47" t="n">
        <v>46175</v>
      </c>
      <c r="J43" s="15" t="n"/>
      <c r="K43" s="15" t="n"/>
      <c r="L43" s="15" t="n"/>
    </row>
    <row r="44" ht="20" customHeight="1">
      <c r="A44" s="25" t="inlineStr">
        <is>
          <t>검  사  항  목</t>
        </is>
      </c>
      <c r="B44" s="15" t="n"/>
      <c r="C44" s="15" t="n"/>
      <c r="D44" s="15" t="n"/>
      <c r="E44" s="15" t="n"/>
      <c r="F44" s="48" t="inlineStr">
        <is>
          <t>검 사 기 준
(시방서 · 도면 등)</t>
        </is>
      </c>
      <c r="G44" s="15" t="n"/>
      <c r="H44" s="25" t="inlineStr">
        <is>
          <t>검  사  결  과</t>
        </is>
      </c>
      <c r="I44" s="15" t="n"/>
      <c r="J44" s="15" t="n"/>
      <c r="K44" s="15" t="n"/>
      <c r="L44" s="48" t="inlineStr">
        <is>
          <t>조치
사항</t>
        </is>
      </c>
    </row>
    <row r="45" ht="18" customHeight="1">
      <c r="A45" s="15" t="n"/>
      <c r="B45" s="15" t="n"/>
      <c r="C45" s="15" t="n"/>
      <c r="D45" s="15" t="n"/>
      <c r="E45" s="15" t="n"/>
      <c r="F45" s="15" t="n"/>
      <c r="G45" s="15" t="n"/>
      <c r="H45" s="25" t="inlineStr">
        <is>
          <t>1  차</t>
        </is>
      </c>
      <c r="I45" s="15" t="n"/>
      <c r="J45" s="25" t="inlineStr">
        <is>
          <t>2  차</t>
        </is>
      </c>
      <c r="K45" s="15" t="n"/>
      <c r="L45" s="15" t="n"/>
    </row>
    <row r="46" ht="18" customHeight="1">
      <c r="A46" s="15" t="n"/>
      <c r="B46" s="15" t="n"/>
      <c r="C46" s="15" t="n"/>
      <c r="D46" s="15" t="n"/>
      <c r="E46" s="15" t="n"/>
      <c r="F46" s="15" t="n"/>
      <c r="G46" s="15" t="n"/>
      <c r="H46" s="48" t="inlineStr">
        <is>
          <t>합격</t>
        </is>
      </c>
      <c r="I46" s="49" t="inlineStr">
        <is>
          <t>불합격</t>
        </is>
      </c>
      <c r="J46" s="48" t="inlineStr">
        <is>
          <t>합격</t>
        </is>
      </c>
      <c r="K46" s="49" t="inlineStr">
        <is>
          <t>불합격</t>
        </is>
      </c>
      <c r="L46" s="15" t="n"/>
    </row>
    <row r="47" ht="34" customHeight="1">
      <c r="A47" s="50" t="inlineStr">
        <is>
          <t>1. 재벌 바탕의 이상 균열이나 보완 사항은 조치되었는가</t>
        </is>
      </c>
      <c r="B47" s="15" t="n"/>
      <c r="C47" s="15" t="n"/>
      <c r="D47" s="15" t="n"/>
      <c r="E47" s="15" t="n"/>
      <c r="F47" s="51" t="inlineStr">
        <is>
          <t>적 · 부</t>
        </is>
      </c>
      <c r="G47" s="15" t="n"/>
      <c r="H47" s="32" t="inlineStr">
        <is>
          <t>○</t>
        </is>
      </c>
      <c r="I47" s="32" t="n"/>
      <c r="J47" s="32" t="n"/>
      <c r="K47" s="32" t="n"/>
      <c r="L47" s="52" t="n"/>
    </row>
    <row r="48" ht="34" customHeight="1">
      <c r="A48" s="50" t="inlineStr">
        <is>
          <t>2. 면 · 선(수직 · 수평)이 양호한가</t>
        </is>
      </c>
      <c r="B48" s="15" t="n"/>
      <c r="C48" s="15" t="n"/>
      <c r="D48" s="15" t="n"/>
      <c r="E48" s="15" t="n"/>
      <c r="F48" s="51" t="inlineStr">
        <is>
          <t>적 · 부</t>
        </is>
      </c>
      <c r="G48" s="15" t="n"/>
      <c r="H48" s="32" t="inlineStr">
        <is>
          <t>○</t>
        </is>
      </c>
      <c r="I48" s="32" t="n"/>
      <c r="J48" s="32" t="n"/>
      <c r="K48" s="32" t="n"/>
      <c r="L48" s="52" t="n"/>
    </row>
    <row r="49" ht="34" customHeight="1">
      <c r="A49" s="50" t="inlineStr">
        <is>
          <t>3. 이질재부 비드 · 코너비드 · 걸레받이 비드 마무리는 양호한가</t>
        </is>
      </c>
      <c r="B49" s="15" t="n"/>
      <c r="C49" s="15" t="n"/>
      <c r="D49" s="15" t="n"/>
      <c r="E49" s="15" t="n"/>
      <c r="F49" s="51" t="inlineStr">
        <is>
          <t>적 · 부</t>
        </is>
      </c>
      <c r="G49" s="15" t="n"/>
      <c r="H49" s="32" t="inlineStr">
        <is>
          <t>○</t>
        </is>
      </c>
      <c r="I49" s="32" t="n"/>
      <c r="J49" s="32" t="n"/>
      <c r="K49" s="32" t="n"/>
      <c r="L49" s="52" t="n"/>
    </row>
    <row r="50" ht="34" customHeight="1">
      <c r="A50" s="50" t="inlineStr">
        <is>
          <t>4. 균열 발생 부분 및 들뜬 부분은 없는가</t>
        </is>
      </c>
      <c r="B50" s="15" t="n"/>
      <c r="C50" s="15" t="n"/>
      <c r="D50" s="15" t="n"/>
      <c r="E50" s="15" t="n"/>
      <c r="F50" s="51" t="inlineStr">
        <is>
          <t>적 · 부</t>
        </is>
      </c>
      <c r="G50" s="15" t="n"/>
      <c r="H50" s="32" t="inlineStr">
        <is>
          <t>○</t>
        </is>
      </c>
      <c r="I50" s="32" t="n"/>
      <c r="J50" s="32" t="n"/>
      <c r="K50" s="32" t="n"/>
      <c r="L50" s="52" t="n"/>
    </row>
    <row r="51" ht="34" customHeight="1">
      <c r="A51" s="50" t="inlineStr">
        <is>
          <t>5. 재벌 바름 후 7일 이상 두고 정벌을 시공하였는가</t>
        </is>
      </c>
      <c r="B51" s="15" t="n"/>
      <c r="C51" s="15" t="n"/>
      <c r="D51" s="15" t="n"/>
      <c r="E51" s="15" t="n"/>
      <c r="F51" s="51" t="inlineStr">
        <is>
          <t>적 · 부</t>
        </is>
      </c>
      <c r="G51" s="15" t="n"/>
      <c r="H51" s="32" t="inlineStr">
        <is>
          <t>○</t>
        </is>
      </c>
      <c r="I51" s="32" t="n"/>
      <c r="J51" s="32" t="n"/>
      <c r="K51" s="32" t="n"/>
      <c r="L51" s="52" t="n"/>
    </row>
    <row r="52" ht="34" customHeight="1">
      <c r="A52" s="50" t="inlineStr">
        <is>
          <t>6. 바름 벽은 평활하며 들뜬 곳은 없는가</t>
        </is>
      </c>
      <c r="B52" s="15" t="n"/>
      <c r="C52" s="15" t="n"/>
      <c r="D52" s="15" t="n"/>
      <c r="E52" s="15" t="n"/>
      <c r="F52" s="51" t="inlineStr">
        <is>
          <t>적 · 부</t>
        </is>
      </c>
      <c r="G52" s="15" t="n"/>
      <c r="H52" s="32" t="inlineStr">
        <is>
          <t>○</t>
        </is>
      </c>
      <c r="I52" s="32" t="n"/>
      <c r="J52" s="32" t="n"/>
      <c r="K52" s="32" t="n"/>
      <c r="L52" s="52" t="n"/>
    </row>
    <row r="53" ht="34" customHeight="1">
      <c r="A53" s="50" t="inlineStr">
        <is>
          <t>7. 창호틀 등에 모르타르 오염은 없으며 보양 상태는 양호한가</t>
        </is>
      </c>
      <c r="B53" s="15" t="n"/>
      <c r="C53" s="15" t="n"/>
      <c r="D53" s="15" t="n"/>
      <c r="E53" s="15" t="n"/>
      <c r="F53" s="51" t="inlineStr">
        <is>
          <t>적 · 부</t>
        </is>
      </c>
      <c r="G53" s="15" t="n"/>
      <c r="H53" s="32" t="inlineStr">
        <is>
          <t>○</t>
        </is>
      </c>
      <c r="I53" s="32" t="n"/>
      <c r="J53" s="32" t="n"/>
      <c r="K53" s="32" t="n"/>
      <c r="L53" s="52" t="n"/>
    </row>
    <row r="54" ht="34" customHeight="1">
      <c r="A54" s="50" t="inlineStr">
        <is>
          <t>8. 창틀 주변 코킹 시공 부위에 홈을 두었는가</t>
        </is>
      </c>
      <c r="B54" s="15" t="n"/>
      <c r="C54" s="15" t="n"/>
      <c r="D54" s="15" t="n"/>
      <c r="E54" s="15" t="n"/>
      <c r="F54" s="51" t="inlineStr">
        <is>
          <t>적 · 부</t>
        </is>
      </c>
      <c r="G54" s="15" t="n"/>
      <c r="H54" s="32" t="inlineStr">
        <is>
          <t>○</t>
        </is>
      </c>
      <c r="I54" s="32" t="n"/>
      <c r="J54" s="32" t="n"/>
      <c r="K54" s="32" t="n"/>
      <c r="L54" s="52" t="n"/>
    </row>
    <row r="55" ht="34" customHeight="1">
      <c r="A55" s="50" t="inlineStr">
        <is>
          <t>9. 정벌 바름 두께는 적정한가</t>
        </is>
      </c>
      <c r="B55" s="15" t="n"/>
      <c r="C55" s="15" t="n"/>
      <c r="D55" s="15" t="n"/>
      <c r="E55" s="15" t="n"/>
      <c r="F55" s="51" t="inlineStr">
        <is>
          <t>7mm</t>
        </is>
      </c>
      <c r="G55" s="15" t="n"/>
      <c r="H55" s="32" t="inlineStr">
        <is>
          <t>○</t>
        </is>
      </c>
      <c r="I55" s="32" t="n"/>
      <c r="J55" s="32" t="n"/>
      <c r="K55" s="32" t="n"/>
      <c r="L55" s="52" t="n"/>
    </row>
    <row r="56" ht="34" customHeight="1">
      <c r="A56" s="50" t="inlineStr">
        <is>
          <t>10. 다른 공정과의 간섭으로 재시공할 부위는 없는가</t>
        </is>
      </c>
      <c r="B56" s="15" t="n"/>
      <c r="C56" s="15" t="n"/>
      <c r="D56" s="15" t="n"/>
      <c r="E56" s="15" t="n"/>
      <c r="F56" s="51" t="inlineStr">
        <is>
          <t>적 · 부</t>
        </is>
      </c>
      <c r="G56" s="15" t="n"/>
      <c r="H56" s="32" t="inlineStr">
        <is>
          <t>○</t>
        </is>
      </c>
      <c r="I56" s="32" t="n"/>
      <c r="J56" s="32" t="n"/>
      <c r="K56" s="32" t="n"/>
      <c r="L56" s="52" t="n"/>
    </row>
    <row r="57" ht="34" customHeight="1">
      <c r="A57" s="50" t="inlineStr">
        <is>
          <t>11. 시공 전 1일 이상, 시공 중 및 시공 후 3일 이상 영상 온도를 유지하였는가</t>
        </is>
      </c>
      <c r="B57" s="15" t="n"/>
      <c r="C57" s="15" t="n"/>
      <c r="D57" s="15" t="n"/>
      <c r="E57" s="15" t="n"/>
      <c r="F57" s="51" t="inlineStr">
        <is>
          <t>적 · 부</t>
        </is>
      </c>
      <c r="G57" s="15" t="n"/>
      <c r="H57" s="32" t="inlineStr">
        <is>
          <t>○</t>
        </is>
      </c>
      <c r="I57" s="32" t="n"/>
      <c r="J57" s="32" t="n"/>
      <c r="K57" s="32" t="n"/>
      <c r="L57" s="52" t="n"/>
    </row>
    <row r="58" ht="26" customHeight="1">
      <c r="A58" s="30" t="inlineStr">
        <is>
          <t>판  정</t>
        </is>
      </c>
      <c r="B58" s="15" t="n"/>
      <c r="C58" s="15" t="n"/>
      <c r="D58" s="53">
        <f>IF(COUNTA(H47:H57)+COUNTA(I47:I57)=0,"","1차 합격 "&amp;COUNTA(H47:H57)&amp;" · 불합격 "&amp;COUNTA(I47:I57)&amp;IF(COUNTA(I47:I57)&gt;0," / 2차 합격 "&amp;COUNTA(J47:J57)&amp;" · 불합격 "&amp;COUNTA(K47:K57),"")&amp;IF(COUNTA(H47:H57)+COUNTA(I47:I57)&lt;11," · 빈칸 "&amp;(11-COUNTA(H47:H57)-COUNTA(I47:I57)),"")&amp;"  →  "&amp;IF(COUNTA(I47:I57)=0,IF(COUNTA(H47:H57)+COUNTA(I47:I57)&lt;11,"점검 중","합격"),IF(AND(COUNTA(K47:K57)=0,COUNTA(J47:J57)&gt;=COUNTA(I47:I57)),"합격(재검측)","보완 후 재검측")))</f>
        <v/>
      </c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 ht="22" customHeight="1">
      <c r="A59" s="25" t="inlineStr">
        <is>
          <t>시 공 자  점 검</t>
        </is>
      </c>
      <c r="B59" s="15" t="n"/>
      <c r="C59" s="15" t="n"/>
      <c r="D59" s="15" t="n"/>
      <c r="E59" s="15" t="n"/>
      <c r="F59" s="15" t="n"/>
      <c r="G59" s="25" t="inlineStr">
        <is>
          <t>감 리 원  검 측</t>
        </is>
      </c>
      <c r="H59" s="15" t="n"/>
      <c r="I59" s="15" t="n"/>
      <c r="J59" s="15" t="n"/>
      <c r="K59" s="15" t="n"/>
      <c r="L59" s="15" t="n"/>
    </row>
    <row r="60" ht="20" customHeight="1">
      <c r="A60" s="25" t="inlineStr">
        <is>
          <t>점   검</t>
        </is>
      </c>
      <c r="B60" s="15" t="n"/>
      <c r="C60" s="15" t="n"/>
      <c r="D60" s="25" t="inlineStr">
        <is>
          <t>재 점 검</t>
        </is>
      </c>
      <c r="E60" s="15" t="n"/>
      <c r="F60" s="15" t="n"/>
      <c r="G60" s="25" t="inlineStr">
        <is>
          <t>검   측</t>
        </is>
      </c>
      <c r="H60" s="15" t="n"/>
      <c r="I60" s="15" t="n"/>
      <c r="J60" s="25" t="inlineStr">
        <is>
          <t>재 검 측</t>
        </is>
      </c>
      <c r="K60" s="15" t="n"/>
      <c r="L60" s="15" t="n"/>
    </row>
    <row r="61" ht="44" customHeight="1">
      <c r="A61" s="54" t="inlineStr">
        <is>
          <t>(인)</t>
        </is>
      </c>
      <c r="B61" s="15" t="n"/>
      <c r="C61" s="15" t="n"/>
      <c r="D61" s="54" t="inlineStr">
        <is>
          <t>(인)</t>
        </is>
      </c>
      <c r="E61" s="15" t="n"/>
      <c r="F61" s="15" t="n"/>
      <c r="G61" s="54" t="inlineStr">
        <is>
          <t>(인)</t>
        </is>
      </c>
      <c r="H61" s="15" t="n"/>
      <c r="I61" s="15" t="n"/>
      <c r="J61" s="54" t="inlineStr">
        <is>
          <t>(인)</t>
        </is>
      </c>
      <c r="K61" s="15" t="n"/>
      <c r="L61" s="15" t="n"/>
    </row>
    <row r="62" ht="36" customHeight="1">
      <c r="A62" s="44" t="inlineStr">
        <is>
          <t>검 측 체 크 리 스 트</t>
        </is>
      </c>
    </row>
    <row r="63" ht="26" customHeight="1">
      <c r="A63" s="14" t="inlineStr">
        <is>
          <t>공종 CODE NO.</t>
        </is>
      </c>
      <c r="B63" s="15" t="n"/>
      <c r="C63" s="27" t="n"/>
      <c r="D63" s="15" t="n"/>
      <c r="E63" s="45" t="inlineStr">
        <is>
          <t>미 장 공 사</t>
        </is>
      </c>
      <c r="F63" s="15" t="n"/>
      <c r="G63" s="14" t="inlineStr">
        <is>
          <t>위치 및 부위</t>
        </is>
      </c>
      <c r="H63" s="15" t="n"/>
      <c r="I63" s="23" t="inlineStr">
        <is>
          <t>교사동 1층 복도 바닥</t>
        </is>
      </c>
      <c r="J63" s="15" t="n"/>
      <c r="K63" s="15" t="n"/>
      <c r="L63" s="15" t="n"/>
    </row>
    <row r="64" ht="34" customHeight="1">
      <c r="A64" s="14" t="inlineStr">
        <is>
          <t>공종(세부공종)</t>
        </is>
      </c>
      <c r="B64" s="15" t="n"/>
      <c r="C64" s="46" t="inlineStr">
        <is>
          <t>바닥 시멘트 모르타르 바르기 — 바탕면 처리 및 청소 상태</t>
        </is>
      </c>
      <c r="D64" s="15" t="n"/>
      <c r="E64" s="15" t="n"/>
      <c r="F64" s="15" t="n"/>
      <c r="G64" s="14" t="inlineStr">
        <is>
          <t>검 측 일 자</t>
        </is>
      </c>
      <c r="H64" s="15" t="n"/>
      <c r="I64" s="47" t="n">
        <v>46178</v>
      </c>
      <c r="J64" s="15" t="n"/>
      <c r="K64" s="15" t="n"/>
      <c r="L64" s="15" t="n"/>
    </row>
    <row r="65" ht="20" customHeight="1">
      <c r="A65" s="25" t="inlineStr">
        <is>
          <t>검  사  항  목</t>
        </is>
      </c>
      <c r="B65" s="15" t="n"/>
      <c r="C65" s="15" t="n"/>
      <c r="D65" s="15" t="n"/>
      <c r="E65" s="15" t="n"/>
      <c r="F65" s="48" t="inlineStr">
        <is>
          <t>검 사 기 준
(시방서 · 도면 등)</t>
        </is>
      </c>
      <c r="G65" s="15" t="n"/>
      <c r="H65" s="25" t="inlineStr">
        <is>
          <t>검  사  결  과</t>
        </is>
      </c>
      <c r="I65" s="15" t="n"/>
      <c r="J65" s="15" t="n"/>
      <c r="K65" s="15" t="n"/>
      <c r="L65" s="48" t="inlineStr">
        <is>
          <t>조치
사항</t>
        </is>
      </c>
    </row>
    <row r="66" ht="18" customHeight="1">
      <c r="A66" s="15" t="n"/>
      <c r="B66" s="15" t="n"/>
      <c r="C66" s="15" t="n"/>
      <c r="D66" s="15" t="n"/>
      <c r="E66" s="15" t="n"/>
      <c r="F66" s="15" t="n"/>
      <c r="G66" s="15" t="n"/>
      <c r="H66" s="25" t="inlineStr">
        <is>
          <t>1  차</t>
        </is>
      </c>
      <c r="I66" s="15" t="n"/>
      <c r="J66" s="25" t="inlineStr">
        <is>
          <t>2  차</t>
        </is>
      </c>
      <c r="K66" s="15" t="n"/>
      <c r="L66" s="15" t="n"/>
    </row>
    <row r="67" ht="18" customHeight="1">
      <c r="A67" s="15" t="n"/>
      <c r="B67" s="15" t="n"/>
      <c r="C67" s="15" t="n"/>
      <c r="D67" s="15" t="n"/>
      <c r="E67" s="15" t="n"/>
      <c r="F67" s="15" t="n"/>
      <c r="G67" s="15" t="n"/>
      <c r="H67" s="48" t="inlineStr">
        <is>
          <t>합격</t>
        </is>
      </c>
      <c r="I67" s="49" t="inlineStr">
        <is>
          <t>불합격</t>
        </is>
      </c>
      <c r="J67" s="48" t="inlineStr">
        <is>
          <t>합격</t>
        </is>
      </c>
      <c r="K67" s="49" t="inlineStr">
        <is>
          <t>불합격</t>
        </is>
      </c>
      <c r="L67" s="15" t="n"/>
    </row>
    <row r="68" ht="34" customHeight="1">
      <c r="A68" s="50" t="inlineStr">
        <is>
          <t>1. 바닥에 다른 공정의 남은 자재는 반출되었는가</t>
        </is>
      </c>
      <c r="B68" s="15" t="n"/>
      <c r="C68" s="15" t="n"/>
      <c r="D68" s="15" t="n"/>
      <c r="E68" s="15" t="n"/>
      <c r="F68" s="51" t="inlineStr">
        <is>
          <t>적 · 부</t>
        </is>
      </c>
      <c r="G68" s="15" t="n"/>
      <c r="H68" s="32" t="inlineStr">
        <is>
          <t>○</t>
        </is>
      </c>
      <c r="I68" s="32" t="n"/>
      <c r="J68" s="32" t="n"/>
      <c r="K68" s="32" t="n"/>
      <c r="L68" s="52" t="n"/>
    </row>
    <row r="69" ht="34" customHeight="1">
      <c r="A69" s="50" t="inlineStr">
        <is>
          <t>2. 미장 · 조적 · 방수공사 때 바닥에 묻은 모르타르 등은 제거하였는가</t>
        </is>
      </c>
      <c r="B69" s="15" t="n"/>
      <c r="C69" s="15" t="n"/>
      <c r="D69" s="15" t="n"/>
      <c r="E69" s="15" t="n"/>
      <c r="F69" s="51" t="inlineStr">
        <is>
          <t>적 · 부</t>
        </is>
      </c>
      <c r="G69" s="15" t="n"/>
      <c r="H69" s="32" t="inlineStr">
        <is>
          <t>○</t>
        </is>
      </c>
      <c r="I69" s="32" t="n"/>
      <c r="J69" s="32" t="n"/>
      <c r="K69" s="32" t="n"/>
      <c r="L69" s="52" t="n"/>
    </row>
    <row r="70" ht="34" customHeight="1">
      <c r="A70" s="50" t="inlineStr">
        <is>
          <t>3. 전체 청소는 완료되었는가</t>
        </is>
      </c>
      <c r="B70" s="15" t="n"/>
      <c r="C70" s="15" t="n"/>
      <c r="D70" s="15" t="n"/>
      <c r="E70" s="15" t="n"/>
      <c r="F70" s="51" t="inlineStr">
        <is>
          <t>적 · 부</t>
        </is>
      </c>
      <c r="G70" s="15" t="n"/>
      <c r="H70" s="32" t="inlineStr">
        <is>
          <t>○</t>
        </is>
      </c>
      <c r="I70" s="32" t="n"/>
      <c r="J70" s="32" t="n"/>
      <c r="K70" s="32" t="n"/>
      <c r="L70" s="52" t="n"/>
    </row>
    <row r="71" ht="34" customHeight="1">
      <c r="A71" s="50" t="inlineStr">
        <is>
          <t>4. 각종 문틀 설치는 완료되었는가</t>
        </is>
      </c>
      <c r="B71" s="15" t="n"/>
      <c r="C71" s="15" t="n"/>
      <c r="D71" s="15" t="n"/>
      <c r="E71" s="15" t="n"/>
      <c r="F71" s="51" t="inlineStr">
        <is>
          <t>적 · 부</t>
        </is>
      </c>
      <c r="G71" s="15" t="n"/>
      <c r="H71" s="32" t="inlineStr">
        <is>
          <t>○</t>
        </is>
      </c>
      <c r="I71" s="32" t="n"/>
      <c r="J71" s="32" t="n"/>
      <c r="K71" s="32" t="n"/>
      <c r="L71" s="52" t="n"/>
    </row>
    <row r="72" ht="34" customHeight="1">
      <c r="A72" s="50" t="inlineStr">
        <is>
          <t>5. 현관 입구 및 실별 입구 하부에 실(Sill) 및 재료분리대는 설치되었는가</t>
        </is>
      </c>
      <c r="B72" s="15" t="n"/>
      <c r="C72" s="15" t="n"/>
      <c r="D72" s="15" t="n"/>
      <c r="E72" s="15" t="n"/>
      <c r="F72" s="51" t="inlineStr">
        <is>
          <t>적 · 부</t>
        </is>
      </c>
      <c r="G72" s="15" t="n"/>
      <c r="H72" s="32" t="inlineStr">
        <is>
          <t>○</t>
        </is>
      </c>
      <c r="I72" s="32" t="n"/>
      <c r="J72" s="32" t="n"/>
      <c r="K72" s="32" t="n"/>
      <c r="L72" s="52" t="n"/>
    </row>
    <row r="73" ht="34" customHeight="1">
      <c r="A73" s="50" t="inlineStr">
        <is>
          <t>6. 벽면에 마감 기준선은 표시되어 있는가</t>
        </is>
      </c>
      <c r="B73" s="15" t="n"/>
      <c r="C73" s="15" t="n"/>
      <c r="D73" s="15" t="n"/>
      <c r="E73" s="15" t="n"/>
      <c r="F73" s="51" t="inlineStr">
        <is>
          <t>적 · 부</t>
        </is>
      </c>
      <c r="G73" s="15" t="n"/>
      <c r="H73" s="32" t="inlineStr">
        <is>
          <t>○</t>
        </is>
      </c>
      <c r="I73" s="32" t="n"/>
      <c r="J73" s="32" t="n"/>
      <c r="K73" s="32" t="n"/>
      <c r="L73" s="52" t="n"/>
    </row>
    <row r="74" ht="34" customHeight="1">
      <c r="A74" s="50" t="inlineStr">
        <is>
          <t>7. 들뜸을 막기 위해 바닥면의 레이턴스 제거 및 치핑 등으로 거칠게 하였는가</t>
        </is>
      </c>
      <c r="B74" s="15" t="n"/>
      <c r="C74" s="15" t="n"/>
      <c r="D74" s="15" t="n"/>
      <c r="E74" s="15" t="n"/>
      <c r="F74" s="51" t="inlineStr">
        <is>
          <t>적 · 부</t>
        </is>
      </c>
      <c r="G74" s="15" t="n"/>
      <c r="H74" s="32" t="inlineStr">
        <is>
          <t>○</t>
        </is>
      </c>
      <c r="I74" s="32" t="n"/>
      <c r="J74" s="32" t="n"/>
      <c r="K74" s="32" t="n"/>
      <c r="L74" s="52" t="n"/>
    </row>
    <row r="75" ht="26" customHeight="1">
      <c r="A75" s="30" t="inlineStr">
        <is>
          <t>판  정</t>
        </is>
      </c>
      <c r="B75" s="15" t="n"/>
      <c r="C75" s="15" t="n"/>
      <c r="D75" s="53">
        <f>IF(COUNTA(H68:H74)+COUNTA(I68:I74)=0,"","1차 합격 "&amp;COUNTA(H68:H74)&amp;" · 불합격 "&amp;COUNTA(I68:I74)&amp;IF(COUNTA(I68:I74)&gt;0," / 2차 합격 "&amp;COUNTA(J68:J74)&amp;" · 불합격 "&amp;COUNTA(K68:K74),"")&amp;IF(COUNTA(H68:H74)+COUNTA(I68:I74)&lt;7," · 빈칸 "&amp;(7-COUNTA(H68:H74)-COUNTA(I68:I74)),"")&amp;"  →  "&amp;IF(COUNTA(I68:I74)=0,IF(COUNTA(H68:H74)+COUNTA(I68:I74)&lt;7,"점검 중","합격"),IF(AND(COUNTA(K68:K74)=0,COUNTA(J68:J74)&gt;=COUNTA(I68:I74)),"합격(재검측)","보완 후 재검측")))</f>
        <v/>
      </c>
      <c r="E75" s="15" t="n"/>
      <c r="F75" s="15" t="n"/>
      <c r="G75" s="15" t="n"/>
      <c r="H75" s="15" t="n"/>
      <c r="I75" s="15" t="n"/>
      <c r="J75" s="15" t="n"/>
      <c r="K75" s="15" t="n"/>
      <c r="L75" s="15" t="n"/>
    </row>
    <row r="76" ht="22" customHeight="1">
      <c r="A76" s="25" t="inlineStr">
        <is>
          <t>시 공 자  점 검</t>
        </is>
      </c>
      <c r="B76" s="15" t="n"/>
      <c r="C76" s="15" t="n"/>
      <c r="D76" s="15" t="n"/>
      <c r="E76" s="15" t="n"/>
      <c r="F76" s="15" t="n"/>
      <c r="G76" s="25" t="inlineStr">
        <is>
          <t>감 리 원  검 측</t>
        </is>
      </c>
      <c r="H76" s="15" t="n"/>
      <c r="I76" s="15" t="n"/>
      <c r="J76" s="15" t="n"/>
      <c r="K76" s="15" t="n"/>
      <c r="L76" s="15" t="n"/>
    </row>
    <row r="77" ht="20" customHeight="1">
      <c r="A77" s="25" t="inlineStr">
        <is>
          <t>점   검</t>
        </is>
      </c>
      <c r="B77" s="15" t="n"/>
      <c r="C77" s="15" t="n"/>
      <c r="D77" s="25" t="inlineStr">
        <is>
          <t>재 점 검</t>
        </is>
      </c>
      <c r="E77" s="15" t="n"/>
      <c r="F77" s="15" t="n"/>
      <c r="G77" s="25" t="inlineStr">
        <is>
          <t>검   측</t>
        </is>
      </c>
      <c r="H77" s="15" t="n"/>
      <c r="I77" s="15" t="n"/>
      <c r="J77" s="25" t="inlineStr">
        <is>
          <t>재 검 측</t>
        </is>
      </c>
      <c r="K77" s="15" t="n"/>
      <c r="L77" s="15" t="n"/>
    </row>
    <row r="78" ht="44" customHeight="1">
      <c r="A78" s="54" t="inlineStr">
        <is>
          <t>(인)</t>
        </is>
      </c>
      <c r="B78" s="15" t="n"/>
      <c r="C78" s="15" t="n"/>
      <c r="D78" s="54" t="inlineStr">
        <is>
          <t>(인)</t>
        </is>
      </c>
      <c r="E78" s="15" t="n"/>
      <c r="F78" s="15" t="n"/>
      <c r="G78" s="54" t="inlineStr">
        <is>
          <t>(인)</t>
        </is>
      </c>
      <c r="H78" s="15" t="n"/>
      <c r="I78" s="15" t="n"/>
      <c r="J78" s="54" t="inlineStr">
        <is>
          <t>(인)</t>
        </is>
      </c>
      <c r="K78" s="15" t="n"/>
      <c r="L78" s="15" t="n"/>
    </row>
    <row r="79" ht="36" customHeight="1">
      <c r="A79" s="44" t="inlineStr">
        <is>
          <t>검 측 체 크 리 스 트</t>
        </is>
      </c>
    </row>
    <row r="80" ht="26" customHeight="1">
      <c r="A80" s="14" t="inlineStr">
        <is>
          <t>공종 CODE NO.</t>
        </is>
      </c>
      <c r="B80" s="15" t="n"/>
      <c r="C80" s="27" t="n"/>
      <c r="D80" s="15" t="n"/>
      <c r="E80" s="45" t="inlineStr">
        <is>
          <t>미 장 공 사</t>
        </is>
      </c>
      <c r="F80" s="15" t="n"/>
      <c r="G80" s="14" t="inlineStr">
        <is>
          <t>위치 및 부위</t>
        </is>
      </c>
      <c r="H80" s="15" t="n"/>
      <c r="I80" s="23" t="inlineStr">
        <is>
          <t>실습동 계단실 벽 · 천장</t>
        </is>
      </c>
      <c r="J80" s="15" t="n"/>
      <c r="K80" s="15" t="n"/>
      <c r="L80" s="15" t="n"/>
    </row>
    <row r="81" ht="34" customHeight="1">
      <c r="A81" s="14" t="inlineStr">
        <is>
          <t>공종(세부공종)</t>
        </is>
      </c>
      <c r="B81" s="15" t="n"/>
      <c r="C81" s="46" t="inlineStr">
        <is>
          <t>콘크리트 면처리 완료 상태(견출) — 벽체 내부 및 천장</t>
        </is>
      </c>
      <c r="D81" s="15" t="n"/>
      <c r="E81" s="15" t="n"/>
      <c r="F81" s="15" t="n"/>
      <c r="G81" s="14" t="inlineStr">
        <is>
          <t>검 측 일 자</t>
        </is>
      </c>
      <c r="H81" s="15" t="n"/>
      <c r="I81" s="47" t="n">
        <v>46162</v>
      </c>
      <c r="J81" s="15" t="n"/>
      <c r="K81" s="15" t="n"/>
      <c r="L81" s="15" t="n"/>
    </row>
    <row r="82" ht="20" customHeight="1">
      <c r="A82" s="25" t="inlineStr">
        <is>
          <t>검  사  항  목</t>
        </is>
      </c>
      <c r="B82" s="15" t="n"/>
      <c r="C82" s="15" t="n"/>
      <c r="D82" s="15" t="n"/>
      <c r="E82" s="15" t="n"/>
      <c r="F82" s="48" t="inlineStr">
        <is>
          <t>검 사 기 준
(시방서 · 도면 등)</t>
        </is>
      </c>
      <c r="G82" s="15" t="n"/>
      <c r="H82" s="25" t="inlineStr">
        <is>
          <t>검  사  결  과</t>
        </is>
      </c>
      <c r="I82" s="15" t="n"/>
      <c r="J82" s="15" t="n"/>
      <c r="K82" s="15" t="n"/>
      <c r="L82" s="48" t="inlineStr">
        <is>
          <t>조치
사항</t>
        </is>
      </c>
    </row>
    <row r="83" ht="18" customHeight="1">
      <c r="A83" s="15" t="n"/>
      <c r="B83" s="15" t="n"/>
      <c r="C83" s="15" t="n"/>
      <c r="D83" s="15" t="n"/>
      <c r="E83" s="15" t="n"/>
      <c r="F83" s="15" t="n"/>
      <c r="G83" s="15" t="n"/>
      <c r="H83" s="25" t="inlineStr">
        <is>
          <t>1  차</t>
        </is>
      </c>
      <c r="I83" s="15" t="n"/>
      <c r="J83" s="25" t="inlineStr">
        <is>
          <t>2  차</t>
        </is>
      </c>
      <c r="K83" s="15" t="n"/>
      <c r="L83" s="15" t="n"/>
    </row>
    <row r="84" ht="18" customHeight="1">
      <c r="A84" s="15" t="n"/>
      <c r="B84" s="15" t="n"/>
      <c r="C84" s="15" t="n"/>
      <c r="D84" s="15" t="n"/>
      <c r="E84" s="15" t="n"/>
      <c r="F84" s="15" t="n"/>
      <c r="G84" s="15" t="n"/>
      <c r="H84" s="48" t="inlineStr">
        <is>
          <t>합격</t>
        </is>
      </c>
      <c r="I84" s="49" t="inlineStr">
        <is>
          <t>불합격</t>
        </is>
      </c>
      <c r="J84" s="48" t="inlineStr">
        <is>
          <t>합격</t>
        </is>
      </c>
      <c r="K84" s="49" t="inlineStr">
        <is>
          <t>불합격</t>
        </is>
      </c>
      <c r="L84" s="15" t="n"/>
    </row>
    <row r="85" ht="34" customHeight="1">
      <c r="A85" s="50" t="inlineStr">
        <is>
          <t>1. 배부름 및 콘크리트 불량 부위는 미리 보수를 완료하였는가</t>
        </is>
      </c>
      <c r="B85" s="15" t="n"/>
      <c r="C85" s="15" t="n"/>
      <c r="D85" s="15" t="n"/>
      <c r="E85" s="15" t="n"/>
      <c r="F85" s="51" t="inlineStr">
        <is>
          <t>적 · 부</t>
        </is>
      </c>
      <c r="G85" s="15" t="n"/>
      <c r="H85" s="32" t="inlineStr">
        <is>
          <t>○</t>
        </is>
      </c>
      <c r="I85" s="32" t="n"/>
      <c r="J85" s="32" t="n"/>
      <c r="K85" s="32" t="n"/>
      <c r="L85" s="52" t="n"/>
    </row>
    <row r="86" ht="34" customHeight="1">
      <c r="A86" s="50" t="inlineStr">
        <is>
          <t>2. 창호 주변 모르타르 사춤은 완료하였는가</t>
        </is>
      </c>
      <c r="B86" s="15" t="n"/>
      <c r="C86" s="15" t="n"/>
      <c r="D86" s="15" t="n"/>
      <c r="E86" s="15" t="n"/>
      <c r="F86" s="51" t="inlineStr">
        <is>
          <t>적 · 부</t>
        </is>
      </c>
      <c r="G86" s="15" t="n"/>
      <c r="H86" s="32" t="inlineStr">
        <is>
          <t>○</t>
        </is>
      </c>
      <c r="I86" s="32" t="n"/>
      <c r="J86" s="32" t="n"/>
      <c r="K86" s="32" t="n"/>
      <c r="L86" s="52" t="n"/>
    </row>
    <row r="87" ht="34" customHeight="1">
      <c r="A87" s="50" t="inlineStr">
        <is>
          <t>3. 전체 바탕처리는 적정한가(오염 및 불순물 제거)</t>
        </is>
      </c>
      <c r="B87" s="15" t="n"/>
      <c r="C87" s="15" t="n"/>
      <c r="D87" s="15" t="n"/>
      <c r="E87" s="15" t="n"/>
      <c r="F87" s="51" t="inlineStr">
        <is>
          <t>적 · 부</t>
        </is>
      </c>
      <c r="G87" s="15" t="n"/>
      <c r="H87" s="32" t="inlineStr">
        <is>
          <t>○</t>
        </is>
      </c>
      <c r="I87" s="32" t="n"/>
      <c r="J87" s="32" t="n"/>
      <c r="K87" s="32" t="n"/>
      <c r="L87" s="52" t="n"/>
    </row>
    <row r="88" ht="34" customHeight="1">
      <c r="A88" s="50" t="inlineStr">
        <is>
          <t>4. 구조체 곰보 · 이음 조인트 · 균열 · 재료분리 등의 조치는 완료하였는가</t>
        </is>
      </c>
      <c r="B88" s="15" t="n"/>
      <c r="C88" s="15" t="n"/>
      <c r="D88" s="15" t="n"/>
      <c r="E88" s="15" t="n"/>
      <c r="F88" s="51" t="inlineStr">
        <is>
          <t>적 · 부</t>
        </is>
      </c>
      <c r="G88" s="15" t="n"/>
      <c r="H88" s="32" t="inlineStr">
        <is>
          <t>○</t>
        </is>
      </c>
      <c r="I88" s="32" t="n"/>
      <c r="J88" s="32" t="n"/>
      <c r="K88" s="32" t="n"/>
      <c r="L88" s="52" t="n"/>
    </row>
    <row r="89" ht="34" customHeight="1">
      <c r="A89" s="50" t="inlineStr">
        <is>
          <t>5. 전기 및 설비 배관 부위 모르타르 사춤은 완료하였는가</t>
        </is>
      </c>
      <c r="B89" s="15" t="n"/>
      <c r="C89" s="15" t="n"/>
      <c r="D89" s="15" t="n"/>
      <c r="E89" s="15" t="n"/>
      <c r="F89" s="51" t="inlineStr">
        <is>
          <t>적 · 부</t>
        </is>
      </c>
      <c r="G89" s="15" t="n"/>
      <c r="H89" s="32" t="inlineStr">
        <is>
          <t>○</t>
        </is>
      </c>
      <c r="I89" s="32" t="n"/>
      <c r="J89" s="32" t="n"/>
      <c r="K89" s="32" t="n"/>
      <c r="L89" s="52" t="n"/>
    </row>
    <row r="90" ht="34" customHeight="1">
      <c r="A90" s="50" t="inlineStr">
        <is>
          <t>6. 견출 전 접착재 사용은 적정한가</t>
        </is>
      </c>
      <c r="B90" s="15" t="n"/>
      <c r="C90" s="15" t="n"/>
      <c r="D90" s="15" t="n"/>
      <c r="E90" s="15" t="n"/>
      <c r="F90" s="51" t="inlineStr">
        <is>
          <t>적 · 부</t>
        </is>
      </c>
      <c r="G90" s="15" t="n"/>
      <c r="H90" s="32" t="n"/>
      <c r="I90" s="32" t="n"/>
      <c r="J90" s="32" t="n"/>
      <c r="K90" s="32" t="n"/>
      <c r="L90" s="52" t="n"/>
    </row>
    <row r="91" ht="34" customHeight="1">
      <c r="A91" s="50" t="inlineStr">
        <is>
          <t>7. 시공 전 1일 이상, 시공 중 및 시공 후 3일 이상 영상 온도를 유지하였는가</t>
        </is>
      </c>
      <c r="B91" s="15" t="n"/>
      <c r="C91" s="15" t="n"/>
      <c r="D91" s="15" t="n"/>
      <c r="E91" s="15" t="n"/>
      <c r="F91" s="51" t="inlineStr">
        <is>
          <t>적 · 부</t>
        </is>
      </c>
      <c r="G91" s="15" t="n"/>
      <c r="H91" s="32" t="n"/>
      <c r="I91" s="32" t="n"/>
      <c r="J91" s="32" t="n"/>
      <c r="K91" s="32" t="n"/>
      <c r="L91" s="52" t="n"/>
    </row>
    <row r="92" ht="26" customHeight="1">
      <c r="A92" s="30" t="inlineStr">
        <is>
          <t>판  정</t>
        </is>
      </c>
      <c r="B92" s="15" t="n"/>
      <c r="C92" s="15" t="n"/>
      <c r="D92" s="53">
        <f>IF(COUNTA(H85:H91)+COUNTA(I85:I91)=0,"","1차 합격 "&amp;COUNTA(H85:H91)&amp;" · 불합격 "&amp;COUNTA(I85:I91)&amp;IF(COUNTA(I85:I91)&gt;0," / 2차 합격 "&amp;COUNTA(J85:J91)&amp;" · 불합격 "&amp;COUNTA(K85:K91),"")&amp;IF(COUNTA(H85:H91)+COUNTA(I85:I91)&lt;7," · 빈칸 "&amp;(7-COUNTA(H85:H91)-COUNTA(I85:I91)),"")&amp;"  →  "&amp;IF(COUNTA(I85:I91)=0,IF(COUNTA(H85:H91)+COUNTA(I85:I91)&lt;7,"점검 중","합격"),IF(AND(COUNTA(K85:K91)=0,COUNTA(J85:J91)&gt;=COUNTA(I85:I91)),"합격(재검측)","보완 후 재검측")))</f>
        <v/>
      </c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 ht="22" customHeight="1">
      <c r="A93" s="25" t="inlineStr">
        <is>
          <t>시 공 자  점 검</t>
        </is>
      </c>
      <c r="B93" s="15" t="n"/>
      <c r="C93" s="15" t="n"/>
      <c r="D93" s="15" t="n"/>
      <c r="E93" s="15" t="n"/>
      <c r="F93" s="15" t="n"/>
      <c r="G93" s="25" t="inlineStr">
        <is>
          <t>감 리 원  검 측</t>
        </is>
      </c>
      <c r="H93" s="15" t="n"/>
      <c r="I93" s="15" t="n"/>
      <c r="J93" s="15" t="n"/>
      <c r="K93" s="15" t="n"/>
      <c r="L93" s="15" t="n"/>
    </row>
    <row r="94" ht="20" customHeight="1">
      <c r="A94" s="25" t="inlineStr">
        <is>
          <t>점   검</t>
        </is>
      </c>
      <c r="B94" s="15" t="n"/>
      <c r="C94" s="15" t="n"/>
      <c r="D94" s="25" t="inlineStr">
        <is>
          <t>재 점 검</t>
        </is>
      </c>
      <c r="E94" s="15" t="n"/>
      <c r="F94" s="15" t="n"/>
      <c r="G94" s="25" t="inlineStr">
        <is>
          <t>검   측</t>
        </is>
      </c>
      <c r="H94" s="15" t="n"/>
      <c r="I94" s="15" t="n"/>
      <c r="J94" s="25" t="inlineStr">
        <is>
          <t>재 검 측</t>
        </is>
      </c>
      <c r="K94" s="15" t="n"/>
      <c r="L94" s="15" t="n"/>
    </row>
    <row r="95" ht="44" customHeight="1">
      <c r="A95" s="54" t="inlineStr">
        <is>
          <t>(인)</t>
        </is>
      </c>
      <c r="B95" s="15" t="n"/>
      <c r="C95" s="15" t="n"/>
      <c r="D95" s="54" t="inlineStr">
        <is>
          <t>(인)</t>
        </is>
      </c>
      <c r="E95" s="15" t="n"/>
      <c r="F95" s="15" t="n"/>
      <c r="G95" s="54" t="inlineStr">
        <is>
          <t>(인)</t>
        </is>
      </c>
      <c r="H95" s="15" t="n"/>
      <c r="I95" s="15" t="n"/>
      <c r="J95" s="54" t="inlineStr">
        <is>
          <t>(인)</t>
        </is>
      </c>
      <c r="K95" s="15" t="n"/>
      <c r="L95" s="15" t="n"/>
    </row>
    <row r="97" ht="19.5" customHeight="1">
      <c r="A97" s="8" t="inlineStr">
        <is>
          <t>이 시트는 작성 예시입니다(가상의 검측).</t>
        </is>
      </c>
    </row>
  </sheetData>
  <mergeCells count="231">
    <mergeCell ref="G81:H81"/>
    <mergeCell ref="F82:G84"/>
    <mergeCell ref="A48:E48"/>
    <mergeCell ref="G19:L19"/>
    <mergeCell ref="L44:L46"/>
    <mergeCell ref="F29:G29"/>
    <mergeCell ref="F16:G16"/>
    <mergeCell ref="A37:C37"/>
    <mergeCell ref="A64:B64"/>
    <mergeCell ref="F68:G68"/>
    <mergeCell ref="G93:L93"/>
    <mergeCell ref="I4:L4"/>
    <mergeCell ref="A11:E11"/>
    <mergeCell ref="L25:L27"/>
    <mergeCell ref="E23:F23"/>
    <mergeCell ref="A21:C21"/>
    <mergeCell ref="G23:H23"/>
    <mergeCell ref="C81:F81"/>
    <mergeCell ref="A87:E87"/>
    <mergeCell ref="F25:G27"/>
    <mergeCell ref="G95:I95"/>
    <mergeCell ref="F15:G15"/>
    <mergeCell ref="F86:G86"/>
    <mergeCell ref="C63:D63"/>
    <mergeCell ref="H82:K82"/>
    <mergeCell ref="E63:F63"/>
    <mergeCell ref="I81:L81"/>
    <mergeCell ref="F5:G7"/>
    <mergeCell ref="J45:K45"/>
    <mergeCell ref="A89:E89"/>
    <mergeCell ref="C24:F24"/>
    <mergeCell ref="D39:F39"/>
    <mergeCell ref="F70:G70"/>
    <mergeCell ref="A38:F38"/>
    <mergeCell ref="C64:F64"/>
    <mergeCell ref="A57:E57"/>
    <mergeCell ref="F72:G72"/>
    <mergeCell ref="H45:I45"/>
    <mergeCell ref="D94:F94"/>
    <mergeCell ref="A42:B42"/>
    <mergeCell ref="J61:L61"/>
    <mergeCell ref="A71:E71"/>
    <mergeCell ref="J39:L39"/>
    <mergeCell ref="A77:C77"/>
    <mergeCell ref="F13:G13"/>
    <mergeCell ref="F56:G56"/>
    <mergeCell ref="F71:G71"/>
    <mergeCell ref="A91:E91"/>
    <mergeCell ref="A52:E52"/>
    <mergeCell ref="C43:F43"/>
    <mergeCell ref="J40:L40"/>
    <mergeCell ref="C3:D3"/>
    <mergeCell ref="F57:G57"/>
    <mergeCell ref="F88:G88"/>
    <mergeCell ref="E3:F3"/>
    <mergeCell ref="A34:E34"/>
    <mergeCell ref="H65:K65"/>
    <mergeCell ref="F10:G10"/>
    <mergeCell ref="F54:G54"/>
    <mergeCell ref="A75:C75"/>
    <mergeCell ref="F34:G34"/>
    <mergeCell ref="A49:E49"/>
    <mergeCell ref="G78:I78"/>
    <mergeCell ref="A36:E36"/>
    <mergeCell ref="D75:L75"/>
    <mergeCell ref="F74:G74"/>
    <mergeCell ref="A95:C95"/>
    <mergeCell ref="L65:L67"/>
    <mergeCell ref="A69:E69"/>
    <mergeCell ref="H83:I83"/>
    <mergeCell ref="F30:G30"/>
    <mergeCell ref="D37:L37"/>
    <mergeCell ref="F33:G33"/>
    <mergeCell ref="F85:G85"/>
    <mergeCell ref="A97:L97"/>
    <mergeCell ref="J83:K83"/>
    <mergeCell ref="I80:L80"/>
    <mergeCell ref="F17:G17"/>
    <mergeCell ref="A55:E55"/>
    <mergeCell ref="A12:E12"/>
    <mergeCell ref="F47:G47"/>
    <mergeCell ref="G24:H24"/>
    <mergeCell ref="C4:F4"/>
    <mergeCell ref="H25:K25"/>
    <mergeCell ref="A58:C58"/>
    <mergeCell ref="A40:C40"/>
    <mergeCell ref="F31:G31"/>
    <mergeCell ref="F28:G28"/>
    <mergeCell ref="A32:E32"/>
    <mergeCell ref="D60:F60"/>
    <mergeCell ref="A14:E14"/>
    <mergeCell ref="F9:G9"/>
    <mergeCell ref="A59:F59"/>
    <mergeCell ref="A60:C60"/>
    <mergeCell ref="A29:E29"/>
    <mergeCell ref="F48:G48"/>
    <mergeCell ref="A5:E7"/>
    <mergeCell ref="A63:B63"/>
    <mergeCell ref="I43:L43"/>
    <mergeCell ref="D40:F40"/>
    <mergeCell ref="J60:L60"/>
    <mergeCell ref="I24:L24"/>
    <mergeCell ref="A31:E31"/>
    <mergeCell ref="D21:F21"/>
    <mergeCell ref="J78:L78"/>
    <mergeCell ref="D95:F95"/>
    <mergeCell ref="G38:L38"/>
    <mergeCell ref="I42:L42"/>
    <mergeCell ref="F73:G73"/>
    <mergeCell ref="F87:G87"/>
    <mergeCell ref="A73:E73"/>
    <mergeCell ref="G42:H42"/>
    <mergeCell ref="A18:C18"/>
    <mergeCell ref="J95:L95"/>
    <mergeCell ref="F89:G89"/>
    <mergeCell ref="D78:F78"/>
    <mergeCell ref="H5:K5"/>
    <mergeCell ref="A2:L2"/>
    <mergeCell ref="A82:E84"/>
    <mergeCell ref="A76:F76"/>
    <mergeCell ref="A16:E16"/>
    <mergeCell ref="A22:L22"/>
    <mergeCell ref="G20:I20"/>
    <mergeCell ref="F36:G36"/>
    <mergeCell ref="F50:G50"/>
    <mergeCell ref="A80:B80"/>
    <mergeCell ref="C80:D80"/>
    <mergeCell ref="A3:B3"/>
    <mergeCell ref="A20:C20"/>
    <mergeCell ref="J26:K26"/>
    <mergeCell ref="F8:G8"/>
    <mergeCell ref="D92:L92"/>
    <mergeCell ref="G76:L76"/>
    <mergeCell ref="F91:G91"/>
    <mergeCell ref="A25:E27"/>
    <mergeCell ref="A50:E50"/>
    <mergeCell ref="G94:I94"/>
    <mergeCell ref="A93:F93"/>
    <mergeCell ref="A19:F19"/>
    <mergeCell ref="A86:E86"/>
    <mergeCell ref="L82:L84"/>
    <mergeCell ref="E80:F80"/>
    <mergeCell ref="G80:H80"/>
    <mergeCell ref="G40:I40"/>
    <mergeCell ref="A47:E47"/>
    <mergeCell ref="A23:B23"/>
    <mergeCell ref="H66:I66"/>
    <mergeCell ref="D20:F20"/>
    <mergeCell ref="G21:I21"/>
    <mergeCell ref="C23:D23"/>
    <mergeCell ref="G64:H64"/>
    <mergeCell ref="G59:L59"/>
    <mergeCell ref="J66:K66"/>
    <mergeCell ref="A4:B4"/>
    <mergeCell ref="A43:B43"/>
    <mergeCell ref="A72:E72"/>
    <mergeCell ref="A1:F1"/>
    <mergeCell ref="A28:E28"/>
    <mergeCell ref="A61:C61"/>
    <mergeCell ref="G63:H63"/>
    <mergeCell ref="F49:G49"/>
    <mergeCell ref="F14:G14"/>
    <mergeCell ref="A13:E13"/>
    <mergeCell ref="A44:E46"/>
    <mergeCell ref="L5:L7"/>
    <mergeCell ref="D77:F77"/>
    <mergeCell ref="I23:L23"/>
    <mergeCell ref="A30:E30"/>
    <mergeCell ref="F11:G11"/>
    <mergeCell ref="A24:B24"/>
    <mergeCell ref="G43:H43"/>
    <mergeCell ref="F44:G46"/>
    <mergeCell ref="F69:G69"/>
    <mergeCell ref="A41:L41"/>
    <mergeCell ref="A15:E15"/>
    <mergeCell ref="I64:L64"/>
    <mergeCell ref="D61:F61"/>
    <mergeCell ref="C42:D42"/>
    <mergeCell ref="A51:E51"/>
    <mergeCell ref="E42:F42"/>
    <mergeCell ref="J20:L20"/>
    <mergeCell ref="A88:E88"/>
    <mergeCell ref="I63:L63"/>
    <mergeCell ref="A70:E70"/>
    <mergeCell ref="J94:L94"/>
    <mergeCell ref="F55:G55"/>
    <mergeCell ref="F12:G12"/>
    <mergeCell ref="F65:G67"/>
    <mergeCell ref="H6:I6"/>
    <mergeCell ref="A54:E54"/>
    <mergeCell ref="J6:K6"/>
    <mergeCell ref="A65:E67"/>
    <mergeCell ref="F51:G51"/>
    <mergeCell ref="A90:E90"/>
    <mergeCell ref="D18:L18"/>
    <mergeCell ref="D58:L58"/>
    <mergeCell ref="F32:G32"/>
    <mergeCell ref="A74:E74"/>
    <mergeCell ref="G3:H3"/>
    <mergeCell ref="J21:L21"/>
    <mergeCell ref="F35:G35"/>
    <mergeCell ref="A56:E56"/>
    <mergeCell ref="A62:L62"/>
    <mergeCell ref="G1:L1"/>
    <mergeCell ref="H44:K44"/>
    <mergeCell ref="G60:I60"/>
    <mergeCell ref="F90:G90"/>
    <mergeCell ref="A33:E33"/>
    <mergeCell ref="A85:E85"/>
    <mergeCell ref="A92:C92"/>
    <mergeCell ref="A39:C39"/>
    <mergeCell ref="A8:E8"/>
    <mergeCell ref="A17:E17"/>
    <mergeCell ref="F52:G52"/>
    <mergeCell ref="G77:I77"/>
    <mergeCell ref="G4:H4"/>
    <mergeCell ref="A53:E53"/>
    <mergeCell ref="A35:E35"/>
    <mergeCell ref="A94:C94"/>
    <mergeCell ref="A81:B81"/>
    <mergeCell ref="I3:L3"/>
    <mergeCell ref="A10:E10"/>
    <mergeCell ref="G61:I61"/>
    <mergeCell ref="A68:E68"/>
    <mergeCell ref="G39:I39"/>
    <mergeCell ref="A78:C78"/>
    <mergeCell ref="A79:L79"/>
    <mergeCell ref="A9:E9"/>
    <mergeCell ref="J77:L77"/>
    <mergeCell ref="F53:G53"/>
    <mergeCell ref="H26:I26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21" min="0" max="16383" man="1"/>
    <brk id="40" min="0" max="16383" man="1"/>
    <brk id="61" min="0" max="16383" man="1"/>
    <brk id="78" min="0" max="16383" man="1"/>
  </rowBreaks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O24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5.5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7" customWidth="1" min="41" max="41"/>
  </cols>
  <sheetData>
    <row r="1" ht="20" customHeight="1">
      <c r="A1" s="1" t="inlineStr">
        <is>
          <t xml:space="preserve">  K-건설맵  |  k-conmap.com  건설 서식</t>
        </is>
      </c>
      <c r="N1" s="63" t="inlineStr">
        <is>
          <t xml:space="preserve">작성 예시 (가상의 현장)  </t>
        </is>
      </c>
    </row>
    <row r="2" ht="34" customHeight="1">
      <c r="A2" s="55" t="inlineStr">
        <is>
          <t>7.0   예 정 공 정 표</t>
        </is>
      </c>
    </row>
    <row r="3" ht="22" customHeight="1">
      <c r="A3" s="14" t="inlineStr">
        <is>
          <t>착 공 일</t>
        </is>
      </c>
      <c r="B3" s="56">
        <f>IF(N('예시-개요'!D25)=0,"",'예시-개요'!D25)</f>
        <v/>
      </c>
      <c r="C3" s="15" t="n"/>
      <c r="D3" s="8" t="inlineStr">
        <is>
          <t>※ 착공일은 공사개요에서 따라옵니다. 공종마다 착수 · 완료일을 적으면 반달 칸에 막대가 그려집니다.</t>
        </is>
      </c>
    </row>
    <row r="4" ht="20" customHeight="1">
      <c r="A4" s="25" t="inlineStr">
        <is>
          <t>공    종</t>
        </is>
      </c>
      <c r="B4" s="25" t="inlineStr">
        <is>
          <t>착 수</t>
        </is>
      </c>
      <c r="C4" s="25" t="inlineStr">
        <is>
          <t>완 료</t>
        </is>
      </c>
      <c r="D4" s="25" t="inlineStr">
        <is>
          <t>일 수</t>
        </is>
      </c>
      <c r="E4" s="57">
        <f>IF(N(B3)=0,"",EDATE(DATE(YEAR(B3),MONTH(B3),1),0))</f>
        <v/>
      </c>
      <c r="F4" s="15" t="n"/>
      <c r="G4" s="57">
        <f>IF(N(B3)=0,"",EDATE(DATE(YEAR(B3),MONTH(B3),1),1))</f>
        <v/>
      </c>
      <c r="H4" s="15" t="n"/>
      <c r="I4" s="57">
        <f>IF(N(B3)=0,"",EDATE(DATE(YEAR(B3),MONTH(B3),1),2))</f>
        <v/>
      </c>
      <c r="J4" s="15" t="n"/>
      <c r="K4" s="57">
        <f>IF(N(B3)=0,"",EDATE(DATE(YEAR(B3),MONTH(B3),1),3))</f>
        <v/>
      </c>
      <c r="L4" s="15" t="n"/>
      <c r="M4" s="57">
        <f>IF(N(B3)=0,"",EDATE(DATE(YEAR(B3),MONTH(B3),1),4))</f>
        <v/>
      </c>
      <c r="N4" s="15" t="n"/>
      <c r="O4" s="57">
        <f>IF(N(B3)=0,"",EDATE(DATE(YEAR(B3),MONTH(B3),1),5))</f>
        <v/>
      </c>
      <c r="P4" s="15" t="n"/>
      <c r="Q4" s="57">
        <f>IF(N(B3)=0,"",EDATE(DATE(YEAR(B3),MONTH(B3),1),6))</f>
        <v/>
      </c>
      <c r="R4" s="15" t="n"/>
      <c r="S4" s="57">
        <f>IF(N(B3)=0,"",EDATE(DATE(YEAR(B3),MONTH(B3),1),7))</f>
        <v/>
      </c>
      <c r="T4" s="15" t="n"/>
      <c r="U4" s="57">
        <f>IF(N(B3)=0,"",EDATE(DATE(YEAR(B3),MONTH(B3),1),8))</f>
        <v/>
      </c>
      <c r="V4" s="15" t="n"/>
      <c r="W4" s="57">
        <f>IF(N(B3)=0,"",EDATE(DATE(YEAR(B3),MONTH(B3),1),9))</f>
        <v/>
      </c>
      <c r="X4" s="15" t="n"/>
      <c r="Y4" s="57">
        <f>IF(N(B3)=0,"",EDATE(DATE(YEAR(B3),MONTH(B3),1),10))</f>
        <v/>
      </c>
      <c r="Z4" s="15" t="n"/>
      <c r="AA4" s="57">
        <f>IF(N(B3)=0,"",EDATE(DATE(YEAR(B3),MONTH(B3),1),11))</f>
        <v/>
      </c>
      <c r="AB4" s="15" t="n"/>
      <c r="AC4" s="57">
        <f>IF(N(B3)=0,"",EDATE(DATE(YEAR(B3),MONTH(B3),1),12))</f>
        <v/>
      </c>
      <c r="AD4" s="15" t="n"/>
      <c r="AE4" s="57">
        <f>IF(N(B3)=0,"",EDATE(DATE(YEAR(B3),MONTH(B3),1),13))</f>
        <v/>
      </c>
      <c r="AF4" s="15" t="n"/>
      <c r="AG4" s="57">
        <f>IF(N(B3)=0,"",EDATE(DATE(YEAR(B3),MONTH(B3),1),14))</f>
        <v/>
      </c>
      <c r="AH4" s="15" t="n"/>
      <c r="AI4" s="57">
        <f>IF(N(B3)=0,"",EDATE(DATE(YEAR(B3),MONTH(B3),1),15))</f>
        <v/>
      </c>
      <c r="AJ4" s="15" t="n"/>
      <c r="AK4" s="57">
        <f>IF(N(B3)=0,"",EDATE(DATE(YEAR(B3),MONTH(B3),1),16))</f>
        <v/>
      </c>
      <c r="AL4" s="15" t="n"/>
      <c r="AM4" s="57">
        <f>IF(N(B3)=0,"",EDATE(DATE(YEAR(B3),MONTH(B3),1),17))</f>
        <v/>
      </c>
      <c r="AN4" s="15" t="n"/>
      <c r="AO4" s="25" t="inlineStr">
        <is>
          <t>비 고</t>
        </is>
      </c>
    </row>
    <row r="5" ht="15" customHeight="1">
      <c r="A5" s="15" t="n"/>
      <c r="B5" s="15" t="n"/>
      <c r="C5" s="15" t="n"/>
      <c r="D5" s="15" t="n"/>
      <c r="E5" s="58" t="inlineStr">
        <is>
          <t>상</t>
        </is>
      </c>
      <c r="F5" s="58" t="inlineStr">
        <is>
          <t>하</t>
        </is>
      </c>
      <c r="G5" s="58" t="inlineStr">
        <is>
          <t>상</t>
        </is>
      </c>
      <c r="H5" s="58" t="inlineStr">
        <is>
          <t>하</t>
        </is>
      </c>
      <c r="I5" s="58" t="inlineStr">
        <is>
          <t>상</t>
        </is>
      </c>
      <c r="J5" s="58" t="inlineStr">
        <is>
          <t>하</t>
        </is>
      </c>
      <c r="K5" s="58" t="inlineStr">
        <is>
          <t>상</t>
        </is>
      </c>
      <c r="L5" s="58" t="inlineStr">
        <is>
          <t>하</t>
        </is>
      </c>
      <c r="M5" s="58" t="inlineStr">
        <is>
          <t>상</t>
        </is>
      </c>
      <c r="N5" s="58" t="inlineStr">
        <is>
          <t>하</t>
        </is>
      </c>
      <c r="O5" s="58" t="inlineStr">
        <is>
          <t>상</t>
        </is>
      </c>
      <c r="P5" s="58" t="inlineStr">
        <is>
          <t>하</t>
        </is>
      </c>
      <c r="Q5" s="58" t="inlineStr">
        <is>
          <t>상</t>
        </is>
      </c>
      <c r="R5" s="58" t="inlineStr">
        <is>
          <t>하</t>
        </is>
      </c>
      <c r="S5" s="58" t="inlineStr">
        <is>
          <t>상</t>
        </is>
      </c>
      <c r="T5" s="58" t="inlineStr">
        <is>
          <t>하</t>
        </is>
      </c>
      <c r="U5" s="58" t="inlineStr">
        <is>
          <t>상</t>
        </is>
      </c>
      <c r="V5" s="58" t="inlineStr">
        <is>
          <t>하</t>
        </is>
      </c>
      <c r="W5" s="58" t="inlineStr">
        <is>
          <t>상</t>
        </is>
      </c>
      <c r="X5" s="58" t="inlineStr">
        <is>
          <t>하</t>
        </is>
      </c>
      <c r="Y5" s="58" t="inlineStr">
        <is>
          <t>상</t>
        </is>
      </c>
      <c r="Z5" s="58" t="inlineStr">
        <is>
          <t>하</t>
        </is>
      </c>
      <c r="AA5" s="58" t="inlineStr">
        <is>
          <t>상</t>
        </is>
      </c>
      <c r="AB5" s="58" t="inlineStr">
        <is>
          <t>하</t>
        </is>
      </c>
      <c r="AC5" s="58" t="inlineStr">
        <is>
          <t>상</t>
        </is>
      </c>
      <c r="AD5" s="58" t="inlineStr">
        <is>
          <t>하</t>
        </is>
      </c>
      <c r="AE5" s="58" t="inlineStr">
        <is>
          <t>상</t>
        </is>
      </c>
      <c r="AF5" s="58" t="inlineStr">
        <is>
          <t>하</t>
        </is>
      </c>
      <c r="AG5" s="58" t="inlineStr">
        <is>
          <t>상</t>
        </is>
      </c>
      <c r="AH5" s="58" t="inlineStr">
        <is>
          <t>하</t>
        </is>
      </c>
      <c r="AI5" s="58" t="inlineStr">
        <is>
          <t>상</t>
        </is>
      </c>
      <c r="AJ5" s="58" t="inlineStr">
        <is>
          <t>하</t>
        </is>
      </c>
      <c r="AK5" s="58" t="inlineStr">
        <is>
          <t>상</t>
        </is>
      </c>
      <c r="AL5" s="58" t="inlineStr">
        <is>
          <t>하</t>
        </is>
      </c>
      <c r="AM5" s="58" t="inlineStr">
        <is>
          <t>상</t>
        </is>
      </c>
      <c r="AN5" s="58" t="inlineStr">
        <is>
          <t>하</t>
        </is>
      </c>
      <c r="AO5" s="15" t="n"/>
    </row>
    <row r="6" hidden="1" ht="12" customHeight="1">
      <c r="E6" s="59">
        <f>IF(N(B3)=0,"",EDATE(DATE(YEAR(B3),MONTH(B3),1),0))</f>
        <v/>
      </c>
      <c r="F6" s="59">
        <f>IF(N(B3)=0,"",EDATE(DATE(YEAR(B3),MONTH(B3),1),0)+15)</f>
        <v/>
      </c>
      <c r="G6" s="59">
        <f>IF(N(B3)=0,"",EDATE(DATE(YEAR(B3),MONTH(B3),1),1))</f>
        <v/>
      </c>
      <c r="H6" s="59">
        <f>IF(N(B3)=0,"",EDATE(DATE(YEAR(B3),MONTH(B3),1),1)+15)</f>
        <v/>
      </c>
      <c r="I6" s="59">
        <f>IF(N(B3)=0,"",EDATE(DATE(YEAR(B3),MONTH(B3),1),2))</f>
        <v/>
      </c>
      <c r="J6" s="59">
        <f>IF(N(B3)=0,"",EDATE(DATE(YEAR(B3),MONTH(B3),1),2)+15)</f>
        <v/>
      </c>
      <c r="K6" s="59">
        <f>IF(N(B3)=0,"",EDATE(DATE(YEAR(B3),MONTH(B3),1),3))</f>
        <v/>
      </c>
      <c r="L6" s="59">
        <f>IF(N(B3)=0,"",EDATE(DATE(YEAR(B3),MONTH(B3),1),3)+15)</f>
        <v/>
      </c>
      <c r="M6" s="59">
        <f>IF(N(B3)=0,"",EDATE(DATE(YEAR(B3),MONTH(B3),1),4))</f>
        <v/>
      </c>
      <c r="N6" s="59">
        <f>IF(N(B3)=0,"",EDATE(DATE(YEAR(B3),MONTH(B3),1),4)+15)</f>
        <v/>
      </c>
      <c r="O6" s="59">
        <f>IF(N(B3)=0,"",EDATE(DATE(YEAR(B3),MONTH(B3),1),5))</f>
        <v/>
      </c>
      <c r="P6" s="59">
        <f>IF(N(B3)=0,"",EDATE(DATE(YEAR(B3),MONTH(B3),1),5)+15)</f>
        <v/>
      </c>
      <c r="Q6" s="59">
        <f>IF(N(B3)=0,"",EDATE(DATE(YEAR(B3),MONTH(B3),1),6))</f>
        <v/>
      </c>
      <c r="R6" s="59">
        <f>IF(N(B3)=0,"",EDATE(DATE(YEAR(B3),MONTH(B3),1),6)+15)</f>
        <v/>
      </c>
      <c r="S6" s="59">
        <f>IF(N(B3)=0,"",EDATE(DATE(YEAR(B3),MONTH(B3),1),7))</f>
        <v/>
      </c>
      <c r="T6" s="59">
        <f>IF(N(B3)=0,"",EDATE(DATE(YEAR(B3),MONTH(B3),1),7)+15)</f>
        <v/>
      </c>
      <c r="U6" s="59">
        <f>IF(N(B3)=0,"",EDATE(DATE(YEAR(B3),MONTH(B3),1),8))</f>
        <v/>
      </c>
      <c r="V6" s="59">
        <f>IF(N(B3)=0,"",EDATE(DATE(YEAR(B3),MONTH(B3),1),8)+15)</f>
        <v/>
      </c>
      <c r="W6" s="59">
        <f>IF(N(B3)=0,"",EDATE(DATE(YEAR(B3),MONTH(B3),1),9))</f>
        <v/>
      </c>
      <c r="X6" s="59">
        <f>IF(N(B3)=0,"",EDATE(DATE(YEAR(B3),MONTH(B3),1),9)+15)</f>
        <v/>
      </c>
      <c r="Y6" s="59">
        <f>IF(N(B3)=0,"",EDATE(DATE(YEAR(B3),MONTH(B3),1),10))</f>
        <v/>
      </c>
      <c r="Z6" s="59">
        <f>IF(N(B3)=0,"",EDATE(DATE(YEAR(B3),MONTH(B3),1),10)+15)</f>
        <v/>
      </c>
      <c r="AA6" s="59">
        <f>IF(N(B3)=0,"",EDATE(DATE(YEAR(B3),MONTH(B3),1),11))</f>
        <v/>
      </c>
      <c r="AB6" s="59">
        <f>IF(N(B3)=0,"",EDATE(DATE(YEAR(B3),MONTH(B3),1),11)+15)</f>
        <v/>
      </c>
      <c r="AC6" s="59">
        <f>IF(N(B3)=0,"",EDATE(DATE(YEAR(B3),MONTH(B3),1),12))</f>
        <v/>
      </c>
      <c r="AD6" s="59">
        <f>IF(N(B3)=0,"",EDATE(DATE(YEAR(B3),MONTH(B3),1),12)+15)</f>
        <v/>
      </c>
      <c r="AE6" s="59">
        <f>IF(N(B3)=0,"",EDATE(DATE(YEAR(B3),MONTH(B3),1),13))</f>
        <v/>
      </c>
      <c r="AF6" s="59">
        <f>IF(N(B3)=0,"",EDATE(DATE(YEAR(B3),MONTH(B3),1),13)+15)</f>
        <v/>
      </c>
      <c r="AG6" s="59">
        <f>IF(N(B3)=0,"",EDATE(DATE(YEAR(B3),MONTH(B3),1),14))</f>
        <v/>
      </c>
      <c r="AH6" s="59">
        <f>IF(N(B3)=0,"",EDATE(DATE(YEAR(B3),MONTH(B3),1),14)+15)</f>
        <v/>
      </c>
      <c r="AI6" s="59">
        <f>IF(N(B3)=0,"",EDATE(DATE(YEAR(B3),MONTH(B3),1),15))</f>
        <v/>
      </c>
      <c r="AJ6" s="59">
        <f>IF(N(B3)=0,"",EDATE(DATE(YEAR(B3),MONTH(B3),1),15)+15)</f>
        <v/>
      </c>
      <c r="AK6" s="59">
        <f>IF(N(B3)=0,"",EDATE(DATE(YEAR(B3),MONTH(B3),1),16))</f>
        <v/>
      </c>
      <c r="AL6" s="59">
        <f>IF(N(B3)=0,"",EDATE(DATE(YEAR(B3),MONTH(B3),1),16)+15)</f>
        <v/>
      </c>
      <c r="AM6" s="59">
        <f>IF(N(B3)=0,"",EDATE(DATE(YEAR(B3),MONTH(B3),1),17))</f>
        <v/>
      </c>
      <c r="AN6" s="59">
        <f>IF(N(B3)=0,"",EDATE(DATE(YEAR(B3),MONTH(B3),1),17)+15)</f>
        <v/>
      </c>
    </row>
    <row r="7" hidden="1" ht="12" customHeight="1">
      <c r="E7" s="59">
        <f>IF(N(B3)=0,"",EDATE(DATE(YEAR(B3),MONTH(B3),1),0)+14)</f>
        <v/>
      </c>
      <c r="F7" s="59">
        <f>IF(N(B3)=0,"",EDATE(DATE(YEAR(B3),MONTH(B3),1),1)-1)</f>
        <v/>
      </c>
      <c r="G7" s="59">
        <f>IF(N(B3)=0,"",EDATE(DATE(YEAR(B3),MONTH(B3),1),1)+14)</f>
        <v/>
      </c>
      <c r="H7" s="59">
        <f>IF(N(B3)=0,"",EDATE(DATE(YEAR(B3),MONTH(B3),1),2)-1)</f>
        <v/>
      </c>
      <c r="I7" s="59">
        <f>IF(N(B3)=0,"",EDATE(DATE(YEAR(B3),MONTH(B3),1),2)+14)</f>
        <v/>
      </c>
      <c r="J7" s="59">
        <f>IF(N(B3)=0,"",EDATE(DATE(YEAR(B3),MONTH(B3),1),3)-1)</f>
        <v/>
      </c>
      <c r="K7" s="59">
        <f>IF(N(B3)=0,"",EDATE(DATE(YEAR(B3),MONTH(B3),1),3)+14)</f>
        <v/>
      </c>
      <c r="L7" s="59">
        <f>IF(N(B3)=0,"",EDATE(DATE(YEAR(B3),MONTH(B3),1),4)-1)</f>
        <v/>
      </c>
      <c r="M7" s="59">
        <f>IF(N(B3)=0,"",EDATE(DATE(YEAR(B3),MONTH(B3),1),4)+14)</f>
        <v/>
      </c>
      <c r="N7" s="59">
        <f>IF(N(B3)=0,"",EDATE(DATE(YEAR(B3),MONTH(B3),1),5)-1)</f>
        <v/>
      </c>
      <c r="O7" s="59">
        <f>IF(N(B3)=0,"",EDATE(DATE(YEAR(B3),MONTH(B3),1),5)+14)</f>
        <v/>
      </c>
      <c r="P7" s="59">
        <f>IF(N(B3)=0,"",EDATE(DATE(YEAR(B3),MONTH(B3),1),6)-1)</f>
        <v/>
      </c>
      <c r="Q7" s="59">
        <f>IF(N(B3)=0,"",EDATE(DATE(YEAR(B3),MONTH(B3),1),6)+14)</f>
        <v/>
      </c>
      <c r="R7" s="59">
        <f>IF(N(B3)=0,"",EDATE(DATE(YEAR(B3),MONTH(B3),1),7)-1)</f>
        <v/>
      </c>
      <c r="S7" s="59">
        <f>IF(N(B3)=0,"",EDATE(DATE(YEAR(B3),MONTH(B3),1),7)+14)</f>
        <v/>
      </c>
      <c r="T7" s="59">
        <f>IF(N(B3)=0,"",EDATE(DATE(YEAR(B3),MONTH(B3),1),8)-1)</f>
        <v/>
      </c>
      <c r="U7" s="59">
        <f>IF(N(B3)=0,"",EDATE(DATE(YEAR(B3),MONTH(B3),1),8)+14)</f>
        <v/>
      </c>
      <c r="V7" s="59">
        <f>IF(N(B3)=0,"",EDATE(DATE(YEAR(B3),MONTH(B3),1),9)-1)</f>
        <v/>
      </c>
      <c r="W7" s="59">
        <f>IF(N(B3)=0,"",EDATE(DATE(YEAR(B3),MONTH(B3),1),9)+14)</f>
        <v/>
      </c>
      <c r="X7" s="59">
        <f>IF(N(B3)=0,"",EDATE(DATE(YEAR(B3),MONTH(B3),1),10)-1)</f>
        <v/>
      </c>
      <c r="Y7" s="59">
        <f>IF(N(B3)=0,"",EDATE(DATE(YEAR(B3),MONTH(B3),1),10)+14)</f>
        <v/>
      </c>
      <c r="Z7" s="59">
        <f>IF(N(B3)=0,"",EDATE(DATE(YEAR(B3),MONTH(B3),1),11)-1)</f>
        <v/>
      </c>
      <c r="AA7" s="59">
        <f>IF(N(B3)=0,"",EDATE(DATE(YEAR(B3),MONTH(B3),1),11)+14)</f>
        <v/>
      </c>
      <c r="AB7" s="59">
        <f>IF(N(B3)=0,"",EDATE(DATE(YEAR(B3),MONTH(B3),1),12)-1)</f>
        <v/>
      </c>
      <c r="AC7" s="59">
        <f>IF(N(B3)=0,"",EDATE(DATE(YEAR(B3),MONTH(B3),1),12)+14)</f>
        <v/>
      </c>
      <c r="AD7" s="59">
        <f>IF(N(B3)=0,"",EDATE(DATE(YEAR(B3),MONTH(B3),1),13)-1)</f>
        <v/>
      </c>
      <c r="AE7" s="59">
        <f>IF(N(B3)=0,"",EDATE(DATE(YEAR(B3),MONTH(B3),1),13)+14)</f>
        <v/>
      </c>
      <c r="AF7" s="59">
        <f>IF(N(B3)=0,"",EDATE(DATE(YEAR(B3),MONTH(B3),1),14)-1)</f>
        <v/>
      </c>
      <c r="AG7" s="59">
        <f>IF(N(B3)=0,"",EDATE(DATE(YEAR(B3),MONTH(B3),1),14)+14)</f>
        <v/>
      </c>
      <c r="AH7" s="59">
        <f>IF(N(B3)=0,"",EDATE(DATE(YEAR(B3),MONTH(B3),1),15)-1)</f>
        <v/>
      </c>
      <c r="AI7" s="59">
        <f>IF(N(B3)=0,"",EDATE(DATE(YEAR(B3),MONTH(B3),1),15)+14)</f>
        <v/>
      </c>
      <c r="AJ7" s="59">
        <f>IF(N(B3)=0,"",EDATE(DATE(YEAR(B3),MONTH(B3),1),16)-1)</f>
        <v/>
      </c>
      <c r="AK7" s="59">
        <f>IF(N(B3)=0,"",EDATE(DATE(YEAR(B3),MONTH(B3),1),16)+14)</f>
        <v/>
      </c>
      <c r="AL7" s="59">
        <f>IF(N(B3)=0,"",EDATE(DATE(YEAR(B3),MONTH(B3),1),17)-1)</f>
        <v/>
      </c>
      <c r="AM7" s="59">
        <f>IF(N(B3)=0,"",EDATE(DATE(YEAR(B3),MONTH(B3),1),17)+14)</f>
        <v/>
      </c>
      <c r="AN7" s="59">
        <f>IF(N(B3)=0,"",EDATE(DATE(YEAR(B3),MONTH(B3),1),18)-1)</f>
        <v/>
      </c>
    </row>
    <row r="8" ht="22" customHeight="1">
      <c r="A8" s="29" t="inlineStr">
        <is>
          <t>바탕처리 · 부속철물 설치</t>
        </is>
      </c>
      <c r="B8" s="60" t="n">
        <v>46113</v>
      </c>
      <c r="C8" s="60" t="n">
        <v>46142</v>
      </c>
      <c r="D8" s="61">
        <f>IF(OR(N(B8)=0,N(C8)=0),"",IF(C8&lt;B8,"⚠",C8-B8+1))</f>
        <v/>
      </c>
      <c r="E8" s="62" t="inlineStr"/>
      <c r="F8" s="62" t="inlineStr"/>
      <c r="G8" s="62" t="inlineStr"/>
      <c r="H8" s="62" t="inlineStr"/>
      <c r="I8" s="62" t="inlineStr"/>
      <c r="J8" s="62" t="inlineStr"/>
      <c r="K8" s="62" t="inlineStr"/>
      <c r="L8" s="62" t="inlineStr"/>
      <c r="M8" s="62" t="inlineStr"/>
      <c r="N8" s="62" t="inlineStr"/>
      <c r="O8" s="62" t="inlineStr"/>
      <c r="P8" s="62" t="inlineStr"/>
      <c r="Q8" s="62" t="inlineStr"/>
      <c r="R8" s="62" t="inlineStr"/>
      <c r="S8" s="62" t="inlineStr"/>
      <c r="T8" s="62" t="inlineStr"/>
      <c r="U8" s="62" t="inlineStr"/>
      <c r="V8" s="62" t="inlineStr"/>
      <c r="W8" s="62" t="inlineStr"/>
      <c r="X8" s="62" t="inlineStr"/>
      <c r="Y8" s="62" t="inlineStr"/>
      <c r="Z8" s="62" t="inlineStr"/>
      <c r="AA8" s="62" t="inlineStr"/>
      <c r="AB8" s="62" t="inlineStr"/>
      <c r="AC8" s="62" t="inlineStr"/>
      <c r="AD8" s="62" t="inlineStr"/>
      <c r="AE8" s="62" t="inlineStr"/>
      <c r="AF8" s="62" t="inlineStr"/>
      <c r="AG8" s="62" t="inlineStr"/>
      <c r="AH8" s="62" t="inlineStr"/>
      <c r="AI8" s="62" t="inlineStr"/>
      <c r="AJ8" s="62" t="inlineStr"/>
      <c r="AK8" s="62" t="inlineStr"/>
      <c r="AL8" s="62" t="inlineStr"/>
      <c r="AM8" s="62" t="inlineStr"/>
      <c r="AN8" s="62" t="inlineStr"/>
      <c r="AO8" s="52" t="n"/>
    </row>
    <row r="9" ht="22" customHeight="1">
      <c r="A9" s="29" t="inlineStr">
        <is>
          <t>벽 초벌 바름</t>
        </is>
      </c>
      <c r="B9" s="60" t="n">
        <v>46128</v>
      </c>
      <c r="C9" s="60" t="n">
        <v>46173</v>
      </c>
      <c r="D9" s="61">
        <f>IF(OR(N(B9)=0,N(C9)=0),"",IF(C9&lt;B9,"⚠",C9-B9+1))</f>
        <v/>
      </c>
      <c r="E9" s="62" t="inlineStr"/>
      <c r="F9" s="62" t="inlineStr"/>
      <c r="G9" s="62" t="inlineStr"/>
      <c r="H9" s="62" t="inlineStr"/>
      <c r="I9" s="62" t="inlineStr"/>
      <c r="J9" s="62" t="inlineStr"/>
      <c r="K9" s="62" t="inlineStr"/>
      <c r="L9" s="62" t="inlineStr"/>
      <c r="M9" s="62" t="inlineStr"/>
      <c r="N9" s="62" t="inlineStr"/>
      <c r="O9" s="62" t="inlineStr"/>
      <c r="P9" s="62" t="inlineStr"/>
      <c r="Q9" s="62" t="inlineStr"/>
      <c r="R9" s="62" t="inlineStr"/>
      <c r="S9" s="62" t="inlineStr"/>
      <c r="T9" s="62" t="inlineStr"/>
      <c r="U9" s="62" t="inlineStr"/>
      <c r="V9" s="62" t="inlineStr"/>
      <c r="W9" s="62" t="inlineStr"/>
      <c r="X9" s="62" t="inlineStr"/>
      <c r="Y9" s="62" t="inlineStr"/>
      <c r="Z9" s="62" t="inlineStr"/>
      <c r="AA9" s="62" t="inlineStr"/>
      <c r="AB9" s="62" t="inlineStr"/>
      <c r="AC9" s="62" t="inlineStr"/>
      <c r="AD9" s="62" t="inlineStr"/>
      <c r="AE9" s="62" t="inlineStr"/>
      <c r="AF9" s="62" t="inlineStr"/>
      <c r="AG9" s="62" t="inlineStr"/>
      <c r="AH9" s="62" t="inlineStr"/>
      <c r="AI9" s="62" t="inlineStr"/>
      <c r="AJ9" s="62" t="inlineStr"/>
      <c r="AK9" s="62" t="inlineStr"/>
      <c r="AL9" s="62" t="inlineStr"/>
      <c r="AM9" s="62" t="inlineStr"/>
      <c r="AN9" s="62" t="inlineStr"/>
      <c r="AO9" s="52" t="n"/>
    </row>
    <row r="10" ht="22" customHeight="1">
      <c r="A10" s="29" t="inlineStr">
        <is>
          <t>벽 재벌 · 정벌 바름</t>
        </is>
      </c>
      <c r="B10" s="60" t="n">
        <v>46158</v>
      </c>
      <c r="C10" s="60" t="n">
        <v>46203</v>
      </c>
      <c r="D10" s="61">
        <f>IF(OR(N(B10)=0,N(C10)=0),"",IF(C10&lt;B10,"⚠",C10-B10+1))</f>
        <v/>
      </c>
      <c r="E10" s="62" t="inlineStr"/>
      <c r="F10" s="62" t="inlineStr"/>
      <c r="G10" s="62" t="inlineStr"/>
      <c r="H10" s="62" t="inlineStr"/>
      <c r="I10" s="62" t="inlineStr"/>
      <c r="J10" s="62" t="inlineStr"/>
      <c r="K10" s="62" t="inlineStr"/>
      <c r="L10" s="62" t="inlineStr"/>
      <c r="M10" s="62" t="inlineStr"/>
      <c r="N10" s="62" t="inlineStr"/>
      <c r="O10" s="62" t="inlineStr"/>
      <c r="P10" s="62" t="inlineStr"/>
      <c r="Q10" s="62" t="inlineStr"/>
      <c r="R10" s="62" t="inlineStr"/>
      <c r="S10" s="62" t="inlineStr"/>
      <c r="T10" s="62" t="inlineStr"/>
      <c r="U10" s="62" t="inlineStr"/>
      <c r="V10" s="62" t="inlineStr"/>
      <c r="W10" s="62" t="inlineStr"/>
      <c r="X10" s="62" t="inlineStr"/>
      <c r="Y10" s="62" t="inlineStr"/>
      <c r="Z10" s="62" t="inlineStr"/>
      <c r="AA10" s="62" t="inlineStr"/>
      <c r="AB10" s="62" t="inlineStr"/>
      <c r="AC10" s="62" t="inlineStr"/>
      <c r="AD10" s="62" t="inlineStr"/>
      <c r="AE10" s="62" t="inlineStr"/>
      <c r="AF10" s="62" t="inlineStr"/>
      <c r="AG10" s="62" t="inlineStr"/>
      <c r="AH10" s="62" t="inlineStr"/>
      <c r="AI10" s="62" t="inlineStr"/>
      <c r="AJ10" s="62" t="inlineStr"/>
      <c r="AK10" s="62" t="inlineStr"/>
      <c r="AL10" s="62" t="inlineStr"/>
      <c r="AM10" s="62" t="inlineStr"/>
      <c r="AN10" s="62" t="inlineStr"/>
      <c r="AO10" s="52" t="n"/>
    </row>
    <row r="11" ht="22" customHeight="1">
      <c r="A11" s="29" t="inlineStr">
        <is>
          <t>바닥 모르타르 바름</t>
        </is>
      </c>
      <c r="B11" s="60" t="n">
        <v>46174</v>
      </c>
      <c r="C11" s="60" t="n">
        <v>46218</v>
      </c>
      <c r="D11" s="61">
        <f>IF(OR(N(B11)=0,N(C11)=0),"",IF(C11&lt;B11,"⚠",C11-B11+1))</f>
        <v/>
      </c>
      <c r="E11" s="62" t="inlineStr"/>
      <c r="F11" s="62" t="inlineStr"/>
      <c r="G11" s="62" t="inlineStr"/>
      <c r="H11" s="62" t="inlineStr"/>
      <c r="I11" s="62" t="inlineStr"/>
      <c r="J11" s="62" t="inlineStr"/>
      <c r="K11" s="62" t="inlineStr"/>
      <c r="L11" s="62" t="inlineStr"/>
      <c r="M11" s="62" t="inlineStr"/>
      <c r="N11" s="62" t="inlineStr"/>
      <c r="O11" s="62" t="inlineStr"/>
      <c r="P11" s="62" t="inlineStr"/>
      <c r="Q11" s="62" t="inlineStr"/>
      <c r="R11" s="62" t="inlineStr"/>
      <c r="S11" s="62" t="inlineStr"/>
      <c r="T11" s="62" t="inlineStr"/>
      <c r="U11" s="62" t="inlineStr"/>
      <c r="V11" s="62" t="inlineStr"/>
      <c r="W11" s="62" t="inlineStr"/>
      <c r="X11" s="62" t="inlineStr"/>
      <c r="Y11" s="62" t="inlineStr"/>
      <c r="Z11" s="62" t="inlineStr"/>
      <c r="AA11" s="62" t="inlineStr"/>
      <c r="AB11" s="62" t="inlineStr"/>
      <c r="AC11" s="62" t="inlineStr"/>
      <c r="AD11" s="62" t="inlineStr"/>
      <c r="AE11" s="62" t="inlineStr"/>
      <c r="AF11" s="62" t="inlineStr"/>
      <c r="AG11" s="62" t="inlineStr"/>
      <c r="AH11" s="62" t="inlineStr"/>
      <c r="AI11" s="62" t="inlineStr"/>
      <c r="AJ11" s="62" t="inlineStr"/>
      <c r="AK11" s="62" t="inlineStr"/>
      <c r="AL11" s="62" t="inlineStr"/>
      <c r="AM11" s="62" t="inlineStr"/>
      <c r="AN11" s="62" t="inlineStr"/>
      <c r="AO11" s="52" t="n"/>
    </row>
    <row r="12" ht="22" customHeight="1">
      <c r="A12" s="29" t="inlineStr">
        <is>
          <t>콘크리트 면마무리(견출)</t>
        </is>
      </c>
      <c r="B12" s="60" t="n">
        <v>46143</v>
      </c>
      <c r="C12" s="60" t="n">
        <v>46203</v>
      </c>
      <c r="D12" s="61">
        <f>IF(OR(N(B12)=0,N(C12)=0),"",IF(C12&lt;B12,"⚠",C12-B12+1))</f>
        <v/>
      </c>
      <c r="E12" s="62" t="inlineStr"/>
      <c r="F12" s="62" t="inlineStr"/>
      <c r="G12" s="62" t="inlineStr"/>
      <c r="H12" s="62" t="inlineStr"/>
      <c r="I12" s="62" t="inlineStr"/>
      <c r="J12" s="62" t="inlineStr"/>
      <c r="K12" s="62" t="inlineStr"/>
      <c r="L12" s="62" t="inlineStr"/>
      <c r="M12" s="62" t="inlineStr"/>
      <c r="N12" s="62" t="inlineStr"/>
      <c r="O12" s="62" t="inlineStr"/>
      <c r="P12" s="62" t="inlineStr"/>
      <c r="Q12" s="62" t="inlineStr"/>
      <c r="R12" s="62" t="inlineStr"/>
      <c r="S12" s="62" t="inlineStr"/>
      <c r="T12" s="62" t="inlineStr"/>
      <c r="U12" s="62" t="inlineStr"/>
      <c r="V12" s="62" t="inlineStr"/>
      <c r="W12" s="62" t="inlineStr"/>
      <c r="X12" s="62" t="inlineStr"/>
      <c r="Y12" s="62" t="inlineStr"/>
      <c r="Z12" s="62" t="inlineStr"/>
      <c r="AA12" s="62" t="inlineStr"/>
      <c r="AB12" s="62" t="inlineStr"/>
      <c r="AC12" s="62" t="inlineStr"/>
      <c r="AD12" s="62" t="inlineStr"/>
      <c r="AE12" s="62" t="inlineStr"/>
      <c r="AF12" s="62" t="inlineStr"/>
      <c r="AG12" s="62" t="inlineStr"/>
      <c r="AH12" s="62" t="inlineStr"/>
      <c r="AI12" s="62" t="inlineStr"/>
      <c r="AJ12" s="62" t="inlineStr"/>
      <c r="AK12" s="62" t="inlineStr"/>
      <c r="AL12" s="62" t="inlineStr"/>
      <c r="AM12" s="62" t="inlineStr"/>
      <c r="AN12" s="62" t="inlineStr"/>
      <c r="AO12" s="52" t="n"/>
    </row>
    <row r="13" ht="22" customHeight="1">
      <c r="A13" s="29" t="inlineStr">
        <is>
          <t>기계 피니셔 마감</t>
        </is>
      </c>
      <c r="B13" s="60" t="n">
        <v>46189</v>
      </c>
      <c r="C13" s="60" t="n">
        <v>46234</v>
      </c>
      <c r="D13" s="61">
        <f>IF(OR(N(B13)=0,N(C13)=0),"",IF(C13&lt;B13,"⚠",C13-B13+1))</f>
        <v/>
      </c>
      <c r="E13" s="62" t="inlineStr"/>
      <c r="F13" s="62" t="inlineStr"/>
      <c r="G13" s="62" t="inlineStr"/>
      <c r="H13" s="62" t="inlineStr"/>
      <c r="I13" s="62" t="inlineStr"/>
      <c r="J13" s="62" t="inlineStr"/>
      <c r="K13" s="62" t="inlineStr"/>
      <c r="L13" s="62" t="inlineStr"/>
      <c r="M13" s="62" t="inlineStr"/>
      <c r="N13" s="62" t="inlineStr"/>
      <c r="O13" s="62" t="inlineStr"/>
      <c r="P13" s="62" t="inlineStr"/>
      <c r="Q13" s="62" t="inlineStr"/>
      <c r="R13" s="62" t="inlineStr"/>
      <c r="S13" s="62" t="inlineStr"/>
      <c r="T13" s="62" t="inlineStr"/>
      <c r="U13" s="62" t="inlineStr"/>
      <c r="V13" s="62" t="inlineStr"/>
      <c r="W13" s="62" t="inlineStr"/>
      <c r="X13" s="62" t="inlineStr"/>
      <c r="Y13" s="62" t="inlineStr"/>
      <c r="Z13" s="62" t="inlineStr"/>
      <c r="AA13" s="62" t="inlineStr"/>
      <c r="AB13" s="62" t="inlineStr"/>
      <c r="AC13" s="62" t="inlineStr"/>
      <c r="AD13" s="62" t="inlineStr"/>
      <c r="AE13" s="62" t="inlineStr"/>
      <c r="AF13" s="62" t="inlineStr"/>
      <c r="AG13" s="62" t="inlineStr"/>
      <c r="AH13" s="62" t="inlineStr"/>
      <c r="AI13" s="62" t="inlineStr"/>
      <c r="AJ13" s="62" t="inlineStr"/>
      <c r="AK13" s="62" t="inlineStr"/>
      <c r="AL13" s="62" t="inlineStr"/>
      <c r="AM13" s="62" t="inlineStr"/>
      <c r="AN13" s="62" t="inlineStr"/>
      <c r="AO13" s="52" t="n"/>
    </row>
    <row r="14" ht="22" customHeight="1">
      <c r="A14" s="29" t="inlineStr">
        <is>
          <t>보수 · 보양 · 청소</t>
        </is>
      </c>
      <c r="B14" s="60" t="n">
        <v>46219</v>
      </c>
      <c r="C14" s="60" t="n">
        <v>46249</v>
      </c>
      <c r="D14" s="61">
        <f>IF(OR(N(B14)=0,N(C14)=0),"",IF(C14&lt;B14,"⚠",C14-B14+1))</f>
        <v/>
      </c>
      <c r="E14" s="62" t="inlineStr"/>
      <c r="F14" s="62" t="inlineStr"/>
      <c r="G14" s="62" t="inlineStr"/>
      <c r="H14" s="62" t="inlineStr"/>
      <c r="I14" s="62" t="inlineStr"/>
      <c r="J14" s="62" t="inlineStr"/>
      <c r="K14" s="62" t="inlineStr"/>
      <c r="L14" s="62" t="inlineStr"/>
      <c r="M14" s="62" t="inlineStr"/>
      <c r="N14" s="62" t="inlineStr"/>
      <c r="O14" s="62" t="inlineStr"/>
      <c r="P14" s="62" t="inlineStr"/>
      <c r="Q14" s="62" t="inlineStr"/>
      <c r="R14" s="62" t="inlineStr"/>
      <c r="S14" s="62" t="inlineStr"/>
      <c r="T14" s="62" t="inlineStr"/>
      <c r="U14" s="62" t="inlineStr"/>
      <c r="V14" s="62" t="inlineStr"/>
      <c r="W14" s="62" t="inlineStr"/>
      <c r="X14" s="62" t="inlineStr"/>
      <c r="Y14" s="62" t="inlineStr"/>
      <c r="Z14" s="62" t="inlineStr"/>
      <c r="AA14" s="62" t="inlineStr"/>
      <c r="AB14" s="62" t="inlineStr"/>
      <c r="AC14" s="62" t="inlineStr"/>
      <c r="AD14" s="62" t="inlineStr"/>
      <c r="AE14" s="62" t="inlineStr"/>
      <c r="AF14" s="62" t="inlineStr"/>
      <c r="AG14" s="62" t="inlineStr"/>
      <c r="AH14" s="62" t="inlineStr"/>
      <c r="AI14" s="62" t="inlineStr"/>
      <c r="AJ14" s="62" t="inlineStr"/>
      <c r="AK14" s="62" t="inlineStr"/>
      <c r="AL14" s="62" t="inlineStr"/>
      <c r="AM14" s="62" t="inlineStr"/>
      <c r="AN14" s="62" t="inlineStr"/>
      <c r="AO14" s="52" t="n"/>
    </row>
    <row r="15" ht="22" customHeight="1">
      <c r="A15" s="29" t="inlineStr">
        <is>
          <t>검측 · 정리</t>
        </is>
      </c>
      <c r="B15" s="60" t="n">
        <v>46235</v>
      </c>
      <c r="C15" s="60" t="n">
        <v>46265</v>
      </c>
      <c r="D15" s="61">
        <f>IF(OR(N(B15)=0,N(C15)=0),"",IF(C15&lt;B15,"⚠",C15-B15+1))</f>
        <v/>
      </c>
      <c r="E15" s="62" t="inlineStr"/>
      <c r="F15" s="62" t="inlineStr"/>
      <c r="G15" s="62" t="inlineStr"/>
      <c r="H15" s="62" t="inlineStr"/>
      <c r="I15" s="62" t="inlineStr"/>
      <c r="J15" s="62" t="inlineStr"/>
      <c r="K15" s="62" t="inlineStr"/>
      <c r="L15" s="62" t="inlineStr"/>
      <c r="M15" s="62" t="inlineStr"/>
      <c r="N15" s="62" t="inlineStr"/>
      <c r="O15" s="62" t="inlineStr"/>
      <c r="P15" s="62" t="inlineStr"/>
      <c r="Q15" s="62" t="inlineStr"/>
      <c r="R15" s="62" t="inlineStr"/>
      <c r="S15" s="62" t="inlineStr"/>
      <c r="T15" s="62" t="inlineStr"/>
      <c r="U15" s="62" t="inlineStr"/>
      <c r="V15" s="62" t="inlineStr"/>
      <c r="W15" s="62" t="inlineStr"/>
      <c r="X15" s="62" t="inlineStr"/>
      <c r="Y15" s="62" t="inlineStr"/>
      <c r="Z15" s="62" t="inlineStr"/>
      <c r="AA15" s="62" t="inlineStr"/>
      <c r="AB15" s="62" t="inlineStr"/>
      <c r="AC15" s="62" t="inlineStr"/>
      <c r="AD15" s="62" t="inlineStr"/>
      <c r="AE15" s="62" t="inlineStr"/>
      <c r="AF15" s="62" t="inlineStr"/>
      <c r="AG15" s="62" t="inlineStr"/>
      <c r="AH15" s="62" t="inlineStr"/>
      <c r="AI15" s="62" t="inlineStr"/>
      <c r="AJ15" s="62" t="inlineStr"/>
      <c r="AK15" s="62" t="inlineStr"/>
      <c r="AL15" s="62" t="inlineStr"/>
      <c r="AM15" s="62" t="inlineStr"/>
      <c r="AN15" s="62" t="inlineStr"/>
      <c r="AO15" s="52" t="n"/>
    </row>
    <row r="16" ht="22" customHeight="1">
      <c r="A16" s="29" t="n"/>
      <c r="B16" s="60" t="n"/>
      <c r="C16" s="60" t="n"/>
      <c r="D16" s="61">
        <f>IF(OR(N(B16)=0,N(C16)=0),"",IF(C16&lt;B16,"⚠",C16-B16+1))</f>
        <v/>
      </c>
      <c r="E16" s="62" t="inlineStr"/>
      <c r="F16" s="62" t="inlineStr"/>
      <c r="G16" s="62" t="inlineStr"/>
      <c r="H16" s="62" t="inlineStr"/>
      <c r="I16" s="62" t="inlineStr"/>
      <c r="J16" s="62" t="inlineStr"/>
      <c r="K16" s="62" t="inlineStr"/>
      <c r="L16" s="62" t="inlineStr"/>
      <c r="M16" s="62" t="inlineStr"/>
      <c r="N16" s="62" t="inlineStr"/>
      <c r="O16" s="62" t="inlineStr"/>
      <c r="P16" s="62" t="inlineStr"/>
      <c r="Q16" s="62" t="inlineStr"/>
      <c r="R16" s="62" t="inlineStr"/>
      <c r="S16" s="62" t="inlineStr"/>
      <c r="T16" s="62" t="inlineStr"/>
      <c r="U16" s="62" t="inlineStr"/>
      <c r="V16" s="62" t="inlineStr"/>
      <c r="W16" s="62" t="inlineStr"/>
      <c r="X16" s="62" t="inlineStr"/>
      <c r="Y16" s="62" t="inlineStr"/>
      <c r="Z16" s="62" t="inlineStr"/>
      <c r="AA16" s="62" t="inlineStr"/>
      <c r="AB16" s="62" t="inlineStr"/>
      <c r="AC16" s="62" t="inlineStr"/>
      <c r="AD16" s="62" t="inlineStr"/>
      <c r="AE16" s="62" t="inlineStr"/>
      <c r="AF16" s="62" t="inlineStr"/>
      <c r="AG16" s="62" t="inlineStr"/>
      <c r="AH16" s="62" t="inlineStr"/>
      <c r="AI16" s="62" t="inlineStr"/>
      <c r="AJ16" s="62" t="inlineStr"/>
      <c r="AK16" s="62" t="inlineStr"/>
      <c r="AL16" s="62" t="inlineStr"/>
      <c r="AM16" s="62" t="inlineStr"/>
      <c r="AN16" s="62" t="inlineStr"/>
      <c r="AO16" s="52" t="n"/>
    </row>
    <row r="17" ht="22" customHeight="1">
      <c r="A17" s="29" t="n"/>
      <c r="B17" s="60" t="n"/>
      <c r="C17" s="60" t="n"/>
      <c r="D17" s="61">
        <f>IF(OR(N(B17)=0,N(C17)=0),"",IF(C17&lt;B17,"⚠",C17-B17+1))</f>
        <v/>
      </c>
      <c r="E17" s="62" t="inlineStr"/>
      <c r="F17" s="62" t="inlineStr"/>
      <c r="G17" s="62" t="inlineStr"/>
      <c r="H17" s="62" t="inlineStr"/>
      <c r="I17" s="62" t="inlineStr"/>
      <c r="J17" s="62" t="inlineStr"/>
      <c r="K17" s="62" t="inlineStr"/>
      <c r="L17" s="62" t="inlineStr"/>
      <c r="M17" s="62" t="inlineStr"/>
      <c r="N17" s="62" t="inlineStr"/>
      <c r="O17" s="62" t="inlineStr"/>
      <c r="P17" s="62" t="inlineStr"/>
      <c r="Q17" s="62" t="inlineStr"/>
      <c r="R17" s="62" t="inlineStr"/>
      <c r="S17" s="62" t="inlineStr"/>
      <c r="T17" s="62" t="inlineStr"/>
      <c r="U17" s="62" t="inlineStr"/>
      <c r="V17" s="62" t="inlineStr"/>
      <c r="W17" s="62" t="inlineStr"/>
      <c r="X17" s="62" t="inlineStr"/>
      <c r="Y17" s="62" t="inlineStr"/>
      <c r="Z17" s="62" t="inlineStr"/>
      <c r="AA17" s="62" t="inlineStr"/>
      <c r="AB17" s="62" t="inlineStr"/>
      <c r="AC17" s="62" t="inlineStr"/>
      <c r="AD17" s="62" t="inlineStr"/>
      <c r="AE17" s="62" t="inlineStr"/>
      <c r="AF17" s="62" t="inlineStr"/>
      <c r="AG17" s="62" t="inlineStr"/>
      <c r="AH17" s="62" t="inlineStr"/>
      <c r="AI17" s="62" t="inlineStr"/>
      <c r="AJ17" s="62" t="inlineStr"/>
      <c r="AK17" s="62" t="inlineStr"/>
      <c r="AL17" s="62" t="inlineStr"/>
      <c r="AM17" s="62" t="inlineStr"/>
      <c r="AN17" s="62" t="inlineStr"/>
      <c r="AO17" s="52" t="n"/>
    </row>
    <row r="18" ht="22" customHeight="1">
      <c r="A18" s="29" t="n"/>
      <c r="B18" s="60" t="n"/>
      <c r="C18" s="60" t="n"/>
      <c r="D18" s="61">
        <f>IF(OR(N(B18)=0,N(C18)=0),"",IF(C18&lt;B18,"⚠",C18-B18+1))</f>
        <v/>
      </c>
      <c r="E18" s="62" t="inlineStr"/>
      <c r="F18" s="62" t="inlineStr"/>
      <c r="G18" s="62" t="inlineStr"/>
      <c r="H18" s="62" t="inlineStr"/>
      <c r="I18" s="62" t="inlineStr"/>
      <c r="J18" s="62" t="inlineStr"/>
      <c r="K18" s="62" t="inlineStr"/>
      <c r="L18" s="62" t="inlineStr"/>
      <c r="M18" s="62" t="inlineStr"/>
      <c r="N18" s="62" t="inlineStr"/>
      <c r="O18" s="62" t="inlineStr"/>
      <c r="P18" s="62" t="inlineStr"/>
      <c r="Q18" s="62" t="inlineStr"/>
      <c r="R18" s="62" t="inlineStr"/>
      <c r="S18" s="62" t="inlineStr"/>
      <c r="T18" s="62" t="inlineStr"/>
      <c r="U18" s="62" t="inlineStr"/>
      <c r="V18" s="62" t="inlineStr"/>
      <c r="W18" s="62" t="inlineStr"/>
      <c r="X18" s="62" t="inlineStr"/>
      <c r="Y18" s="62" t="inlineStr"/>
      <c r="Z18" s="62" t="inlineStr"/>
      <c r="AA18" s="62" t="inlineStr"/>
      <c r="AB18" s="62" t="inlineStr"/>
      <c r="AC18" s="62" t="inlineStr"/>
      <c r="AD18" s="62" t="inlineStr"/>
      <c r="AE18" s="62" t="inlineStr"/>
      <c r="AF18" s="62" t="inlineStr"/>
      <c r="AG18" s="62" t="inlineStr"/>
      <c r="AH18" s="62" t="inlineStr"/>
      <c r="AI18" s="62" t="inlineStr"/>
      <c r="AJ18" s="62" t="inlineStr"/>
      <c r="AK18" s="62" t="inlineStr"/>
      <c r="AL18" s="62" t="inlineStr"/>
      <c r="AM18" s="62" t="inlineStr"/>
      <c r="AN18" s="62" t="inlineStr"/>
      <c r="AO18" s="52" t="n"/>
    </row>
    <row r="19" ht="22" customHeight="1">
      <c r="A19" s="29" t="n"/>
      <c r="B19" s="60" t="n"/>
      <c r="C19" s="60" t="n"/>
      <c r="D19" s="61">
        <f>IF(OR(N(B19)=0,N(C19)=0),"",IF(C19&lt;B19,"⚠",C19-B19+1))</f>
        <v/>
      </c>
      <c r="E19" s="62" t="inlineStr"/>
      <c r="F19" s="62" t="inlineStr"/>
      <c r="G19" s="62" t="inlineStr"/>
      <c r="H19" s="62" t="inlineStr"/>
      <c r="I19" s="62" t="inlineStr"/>
      <c r="J19" s="62" t="inlineStr"/>
      <c r="K19" s="62" t="inlineStr"/>
      <c r="L19" s="62" t="inlineStr"/>
      <c r="M19" s="62" t="inlineStr"/>
      <c r="N19" s="62" t="inlineStr"/>
      <c r="O19" s="62" t="inlineStr"/>
      <c r="P19" s="62" t="inlineStr"/>
      <c r="Q19" s="62" t="inlineStr"/>
      <c r="R19" s="62" t="inlineStr"/>
      <c r="S19" s="62" t="inlineStr"/>
      <c r="T19" s="62" t="inlineStr"/>
      <c r="U19" s="62" t="inlineStr"/>
      <c r="V19" s="62" t="inlineStr"/>
      <c r="W19" s="62" t="inlineStr"/>
      <c r="X19" s="62" t="inlineStr"/>
      <c r="Y19" s="62" t="inlineStr"/>
      <c r="Z19" s="62" t="inlineStr"/>
      <c r="AA19" s="62" t="inlineStr"/>
      <c r="AB19" s="62" t="inlineStr"/>
      <c r="AC19" s="62" t="inlineStr"/>
      <c r="AD19" s="62" t="inlineStr"/>
      <c r="AE19" s="62" t="inlineStr"/>
      <c r="AF19" s="62" t="inlineStr"/>
      <c r="AG19" s="62" t="inlineStr"/>
      <c r="AH19" s="62" t="inlineStr"/>
      <c r="AI19" s="62" t="inlineStr"/>
      <c r="AJ19" s="62" t="inlineStr"/>
      <c r="AK19" s="62" t="inlineStr"/>
      <c r="AL19" s="62" t="inlineStr"/>
      <c r="AM19" s="62" t="inlineStr"/>
      <c r="AN19" s="62" t="inlineStr"/>
      <c r="AO19" s="52" t="n"/>
    </row>
    <row r="20" ht="22" customHeight="1">
      <c r="A20" s="29" t="n"/>
      <c r="B20" s="60" t="n"/>
      <c r="C20" s="60" t="n"/>
      <c r="D20" s="61">
        <f>IF(OR(N(B20)=0,N(C20)=0),"",IF(C20&lt;B20,"⚠",C20-B20+1))</f>
        <v/>
      </c>
      <c r="E20" s="62" t="inlineStr"/>
      <c r="F20" s="62" t="inlineStr"/>
      <c r="G20" s="62" t="inlineStr"/>
      <c r="H20" s="62" t="inlineStr"/>
      <c r="I20" s="62" t="inlineStr"/>
      <c r="J20" s="62" t="inlineStr"/>
      <c r="K20" s="62" t="inlineStr"/>
      <c r="L20" s="62" t="inlineStr"/>
      <c r="M20" s="62" t="inlineStr"/>
      <c r="N20" s="62" t="inlineStr"/>
      <c r="O20" s="62" t="inlineStr"/>
      <c r="P20" s="62" t="inlineStr"/>
      <c r="Q20" s="62" t="inlineStr"/>
      <c r="R20" s="62" t="inlineStr"/>
      <c r="S20" s="62" t="inlineStr"/>
      <c r="T20" s="62" t="inlineStr"/>
      <c r="U20" s="62" t="inlineStr"/>
      <c r="V20" s="62" t="inlineStr"/>
      <c r="W20" s="62" t="inlineStr"/>
      <c r="X20" s="62" t="inlineStr"/>
      <c r="Y20" s="62" t="inlineStr"/>
      <c r="Z20" s="62" t="inlineStr"/>
      <c r="AA20" s="62" t="inlineStr"/>
      <c r="AB20" s="62" t="inlineStr"/>
      <c r="AC20" s="62" t="inlineStr"/>
      <c r="AD20" s="62" t="inlineStr"/>
      <c r="AE20" s="62" t="inlineStr"/>
      <c r="AF20" s="62" t="inlineStr"/>
      <c r="AG20" s="62" t="inlineStr"/>
      <c r="AH20" s="62" t="inlineStr"/>
      <c r="AI20" s="62" t="inlineStr"/>
      <c r="AJ20" s="62" t="inlineStr"/>
      <c r="AK20" s="62" t="inlineStr"/>
      <c r="AL20" s="62" t="inlineStr"/>
      <c r="AM20" s="62" t="inlineStr"/>
      <c r="AN20" s="62" t="inlineStr"/>
      <c r="AO20" s="52" t="n"/>
    </row>
    <row r="21" ht="22" customHeight="1">
      <c r="A21" s="29" t="n"/>
      <c r="B21" s="60" t="n"/>
      <c r="C21" s="60" t="n"/>
      <c r="D21" s="61">
        <f>IF(OR(N(B21)=0,N(C21)=0),"",IF(C21&lt;B21,"⚠",C21-B21+1))</f>
        <v/>
      </c>
      <c r="E21" s="62" t="inlineStr"/>
      <c r="F21" s="62" t="inlineStr"/>
      <c r="G21" s="62" t="inlineStr"/>
      <c r="H21" s="62" t="inlineStr"/>
      <c r="I21" s="62" t="inlineStr"/>
      <c r="J21" s="62" t="inlineStr"/>
      <c r="K21" s="62" t="inlineStr"/>
      <c r="L21" s="62" t="inlineStr"/>
      <c r="M21" s="62" t="inlineStr"/>
      <c r="N21" s="62" t="inlineStr"/>
      <c r="O21" s="62" t="inlineStr"/>
      <c r="P21" s="62" t="inlineStr"/>
      <c r="Q21" s="62" t="inlineStr"/>
      <c r="R21" s="62" t="inlineStr"/>
      <c r="S21" s="62" t="inlineStr"/>
      <c r="T21" s="62" t="inlineStr"/>
      <c r="U21" s="62" t="inlineStr"/>
      <c r="V21" s="62" t="inlineStr"/>
      <c r="W21" s="62" t="inlineStr"/>
      <c r="X21" s="62" t="inlineStr"/>
      <c r="Y21" s="62" t="inlineStr"/>
      <c r="Z21" s="62" t="inlineStr"/>
      <c r="AA21" s="62" t="inlineStr"/>
      <c r="AB21" s="62" t="inlineStr"/>
      <c r="AC21" s="62" t="inlineStr"/>
      <c r="AD21" s="62" t="inlineStr"/>
      <c r="AE21" s="62" t="inlineStr"/>
      <c r="AF21" s="62" t="inlineStr"/>
      <c r="AG21" s="62" t="inlineStr"/>
      <c r="AH21" s="62" t="inlineStr"/>
      <c r="AI21" s="62" t="inlineStr"/>
      <c r="AJ21" s="62" t="inlineStr"/>
      <c r="AK21" s="62" t="inlineStr"/>
      <c r="AL21" s="62" t="inlineStr"/>
      <c r="AM21" s="62" t="inlineStr"/>
      <c r="AN21" s="62" t="inlineStr"/>
      <c r="AO21" s="52" t="n"/>
    </row>
    <row r="22" ht="16" customHeight="1">
      <c r="A22" s="8" t="inlineStr">
        <is>
          <t>※ 일수 = 완료 − 착수 + 1. 막대는 반달(1~15일 · 16일~말일) 단위입니다. 공정은 현장 여건 · 날씨에 따라 바뀔 수 있습니다.</t>
        </is>
      </c>
    </row>
    <row r="24" ht="19.5" customHeight="1">
      <c r="A24" s="8" t="inlineStr">
        <is>
          <t>이 시트는 작성 예시입니다(가상의 일정).</t>
        </is>
      </c>
    </row>
  </sheetData>
  <mergeCells count="30">
    <mergeCell ref="W4:X4"/>
    <mergeCell ref="AG4:AH4"/>
    <mergeCell ref="Y4:Z4"/>
    <mergeCell ref="C4:C5"/>
    <mergeCell ref="B3:C3"/>
    <mergeCell ref="N1:AO1"/>
    <mergeCell ref="AK4:AL4"/>
    <mergeCell ref="E4:F4"/>
    <mergeCell ref="A24:AO24"/>
    <mergeCell ref="D4:D5"/>
    <mergeCell ref="AO4:AO5"/>
    <mergeCell ref="O4:P4"/>
    <mergeCell ref="AA4:AB4"/>
    <mergeCell ref="Q4:R4"/>
    <mergeCell ref="AC4:AD4"/>
    <mergeCell ref="AI4:AJ4"/>
    <mergeCell ref="A1:M1"/>
    <mergeCell ref="A4:A5"/>
    <mergeCell ref="AM4:AN4"/>
    <mergeCell ref="G4:H4"/>
    <mergeCell ref="A2:AO2"/>
    <mergeCell ref="I4:J4"/>
    <mergeCell ref="B4:B5"/>
    <mergeCell ref="D3:AO3"/>
    <mergeCell ref="A22:AO22"/>
    <mergeCell ref="K4:L4"/>
    <mergeCell ref="M4:N4"/>
    <mergeCell ref="S4:T4"/>
    <mergeCell ref="AE4:AF4"/>
    <mergeCell ref="U4:V4"/>
  </mergeCells>
  <conditionalFormatting sqref="E8:AN21">
    <cfRule type="expression" priority="1" dxfId="2">
      <formula>AND(N($B8)&gt;0,N($C8)&gt;=N($B8),$B8&lt;=E$7,$C8&gt;=E$6)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8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3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8.0   품 질 관 리  계 획</t>
        </is>
      </c>
    </row>
    <row r="4" ht="4" customHeight="1"/>
    <row r="5" ht="3" customHeight="1"/>
    <row r="6" ht="22" customHeight="1">
      <c r="A6" s="37" t="inlineStr">
        <is>
          <t>8-1  품질관리 일반 및 적용범위</t>
        </is>
      </c>
    </row>
    <row r="7" ht="36" customHeight="1">
      <c r="A7" s="40" t="inlineStr">
        <is>
          <t>(1)</t>
        </is>
      </c>
      <c r="B7" s="41" t="inlineStr">
        <is>
          <t>공사 진행 중 필요에 따라 각종 승인도면 · 제작도면 · 제작요령서 등을 작성하여 공사감독자(감리원)의 승인을 받는다.</t>
        </is>
      </c>
    </row>
    <row r="8" ht="36" customHeight="1">
      <c r="A8" s="40" t="inlineStr">
        <is>
          <t>(2)</t>
        </is>
      </c>
      <c r="B8" s="41" t="inlineStr">
        <is>
          <t>공사용 재료는 도면 · 공사시방서 및 공사감독자의 지시에 따라, 쓰기 전에 견본 또는 자료를 제출하여 승인을 받은 뒤 쓴다.</t>
        </is>
      </c>
    </row>
    <row r="9" ht="36" customHeight="1">
      <c r="A9" s="40" t="inlineStr">
        <is>
          <t>(3)</t>
        </is>
      </c>
      <c r="B9" s="41" t="inlineStr">
        <is>
          <t>품질시험은 「건설기술 진흥법」 및 같은 법 시행령 · 시행규칙과 공사시방서에서 정한 바에 따른다.</t>
        </is>
      </c>
    </row>
    <row r="10" ht="3" customHeight="1"/>
    <row r="11" ht="22" customHeight="1">
      <c r="A11" s="37" t="inlineStr">
        <is>
          <t>8-2  공사용 재료의 품질</t>
        </is>
      </c>
    </row>
    <row r="12" ht="36" customHeight="1">
      <c r="A12" s="40" t="inlineStr">
        <is>
          <t>(1)</t>
        </is>
      </c>
      <c r="B12" s="41" t="inlineStr">
        <is>
          <t>설계도면 · 공사시방서 및 공사감독자의 따로 지시가 없으면 시방서에서 정한 품질과 규격에 맞는 재료를 쓴다.</t>
        </is>
      </c>
    </row>
    <row r="13" ht="36" customHeight="1">
      <c r="A13" s="40" t="inlineStr">
        <is>
          <t>(2)</t>
        </is>
      </c>
      <c r="B13" s="41" t="inlineStr">
        <is>
          <t>시방서에 품질 규격이 없으면 한국산업표준(KS) 표시품 또는 이에 준하는 품질과 규격의 재료를 쓴다.</t>
        </is>
      </c>
    </row>
    <row r="14" ht="51.5" customHeight="1">
      <c r="A14" s="40" t="inlineStr">
        <is>
          <t>(3)</t>
        </is>
      </c>
      <c r="B14" s="41" t="inlineStr">
        <is>
          <t>기성품을 포함한 공사용 재료는 현장 반입 전에 자재승인 서류(견본 · 카탈로그 · 시험성적서 등)를 제출하여 승인을 받고, 공사감독자의 지시에 따라 품질을 확인할 수 있는 증빙서류를 낸다.</t>
        </is>
      </c>
    </row>
    <row r="15" ht="36" customHeight="1">
      <c r="A15" s="40" t="inlineStr">
        <is>
          <t>(4)</t>
        </is>
      </c>
      <c r="B15" s="41" t="inlineStr">
        <is>
          <t>재료가 현장에 들어오면 공사감독자의 인수검사를 받고, 합격한 재료는 작업 · 통행에 지장이 없는 곳에 보관하여 수시 점검이 쉽게 한다.</t>
        </is>
      </c>
    </row>
    <row r="16" ht="36" customHeight="1">
      <c r="A16" s="40" t="inlineStr">
        <is>
          <t>(5)</t>
        </is>
      </c>
      <c r="B16" s="41" t="inlineStr">
        <is>
          <t>「건설기술 진흥법」에 규정된 품질시험을 하고, 시험실 규모 · 시험장비 · 시험요원 배치기준에 따라 시험실을 운영한다.</t>
        </is>
      </c>
    </row>
    <row r="17" ht="20.5" customHeight="1">
      <c r="A17" s="40" t="inlineStr">
        <is>
          <t>(6)</t>
        </is>
      </c>
      <c r="B17" s="41" t="inlineStr">
        <is>
          <t>검사 또는 시험에 불합격한 재료는 지체 없이 현장 밖으로 반출한다.</t>
        </is>
      </c>
    </row>
    <row r="18" ht="3" customHeight="1"/>
    <row r="19" ht="22" customHeight="1">
      <c r="A19" s="37" t="inlineStr">
        <is>
          <t>8-3  시공 확인 및 검사</t>
        </is>
      </c>
    </row>
    <row r="20" ht="36" customHeight="1">
      <c r="A20" s="40" t="inlineStr">
        <is>
          <t>(1)</t>
        </is>
      </c>
      <c r="B20" s="41" t="inlineStr">
        <is>
          <t>주요 공사단계가 끝났을 때나 공사감독자가 지시할 때는 시공의 정확성과 품질을 확인받는다.</t>
        </is>
      </c>
    </row>
    <row r="21" ht="20.5" customHeight="1">
      <c r="A21" s="40" t="inlineStr">
        <is>
          <t>(2)</t>
        </is>
      </c>
      <c r="B21" s="41" t="inlineStr">
        <is>
          <t>검사에 필요한 자료 작성 · 측량 등은 검사자의 지시에 따른다.</t>
        </is>
      </c>
    </row>
    <row r="22" ht="3" customHeight="1"/>
    <row r="23" ht="22" customHeight="1">
      <c r="A23" s="37" t="inlineStr">
        <is>
          <t>8-4  자재관리</t>
        </is>
      </c>
    </row>
    <row r="24" ht="20.5" customHeight="1">
      <c r="A24" s="40" t="inlineStr">
        <is>
          <t>(1)</t>
        </is>
      </c>
      <c r="B24" s="41" t="inlineStr">
        <is>
          <t>들어온 자재는 자재수불대장으로 입 · 출고를 관리한다.</t>
        </is>
      </c>
    </row>
    <row r="25" ht="20.5" customHeight="1">
      <c r="A25" s="40" t="inlineStr">
        <is>
          <t>(2)</t>
        </is>
      </c>
      <c r="B25" s="41" t="inlineStr">
        <is>
          <t>자재는 재질별 · 규격별로 나누어 보관한다.</t>
        </is>
      </c>
    </row>
    <row r="26" ht="20.5" customHeight="1">
      <c r="A26" s="40" t="inlineStr">
        <is>
          <t>(3)</t>
        </is>
      </c>
      <c r="B26" s="41" t="inlineStr">
        <is>
          <t>운반 · 야적 때 변형되지 않도록 전용 운반 가설대 또는 전용 야적대를 쓴다.</t>
        </is>
      </c>
    </row>
    <row r="27" ht="36" customHeight="1">
      <c r="A27" s="40" t="inlineStr">
        <is>
          <t>(4)</t>
        </is>
      </c>
      <c r="B27" s="41" t="inlineStr">
        <is>
          <t>반입 자재는 받침목 · 지지목 등으로 지면에서 200mm 이상 띄우고 손상 · 변형 · 침수되지 않게 한다.</t>
        </is>
      </c>
    </row>
    <row r="28" ht="20.5" customHeight="1">
      <c r="A28" s="40" t="inlineStr">
        <is>
          <t>(5)</t>
        </is>
      </c>
      <c r="B28" s="41" t="inlineStr">
        <is>
          <t>변형을 막기 위해 받침목 높이를 맞추고 1단 적재를 기본으로 한다.</t>
        </is>
      </c>
    </row>
    <row r="29" ht="4" customHeight="1"/>
    <row r="30" ht="30" customHeight="1">
      <c r="A30" s="12" t="inlineStr">
        <is>
          <t>9.0   환 경 관 리  계 획</t>
        </is>
      </c>
    </row>
    <row r="31" ht="4" customHeight="1"/>
    <row r="32" ht="3" customHeight="1"/>
    <row r="33" ht="22" customHeight="1">
      <c r="A33" s="37" t="inlineStr">
        <is>
          <t>9-1  개  요</t>
        </is>
      </c>
    </row>
    <row r="34" ht="21.5" customHeight="1">
      <c r="A34" s="39" t="inlineStr">
        <is>
          <t>현장의 폐기물 · 유류 · 쓰레기 및 소음 · 진동 · 비산먼지 등에 의한 오염을 방지한다.</t>
        </is>
      </c>
    </row>
    <row r="35" ht="3" customHeight="1"/>
    <row r="36" ht="22" customHeight="1">
      <c r="A36" s="37" t="inlineStr">
        <is>
          <t>9-2  중점관리 방침</t>
        </is>
      </c>
    </row>
    <row r="37" ht="20.5" customHeight="1">
      <c r="A37" s="40" t="inlineStr">
        <is>
          <t>(1)</t>
        </is>
      </c>
      <c r="B37" s="41" t="inlineStr">
        <is>
          <t>자율적인 환경관리</t>
        </is>
      </c>
    </row>
    <row r="38" ht="20.5" customHeight="1">
      <c r="A38" s="40" t="inlineStr">
        <is>
          <t>(2)</t>
        </is>
      </c>
      <c r="B38" s="41" t="inlineStr">
        <is>
          <t>쾌적한 작업환경 관리</t>
        </is>
      </c>
    </row>
    <row r="39" ht="20.5" customHeight="1">
      <c r="A39" s="40" t="inlineStr">
        <is>
          <t>(3)</t>
        </is>
      </c>
      <c r="B39" s="41" t="inlineStr">
        <is>
          <t>민원 발생 방지</t>
        </is>
      </c>
    </row>
    <row r="40" ht="3" customHeight="1"/>
    <row r="41" ht="22" customHeight="1">
      <c r="A41" s="37" t="inlineStr">
        <is>
          <t>9-3  실시계획</t>
        </is>
      </c>
    </row>
    <row r="42" ht="20.5" customHeight="1">
      <c r="A42" s="40" t="inlineStr">
        <is>
          <t>(1)</t>
        </is>
      </c>
      <c r="B42" s="41" t="inlineStr">
        <is>
          <t>작업 전후 정리정돈 : 작업 전후 정리정돈을 철저히 하여 쾌적한 작업환경을 유지한다.</t>
        </is>
      </c>
    </row>
    <row r="43" ht="36" customHeight="1">
      <c r="A43" s="40" t="inlineStr">
        <is>
          <t>(2)</t>
        </is>
      </c>
      <c r="B43" s="41" t="inlineStr">
        <is>
          <t>분리수거 : 분리수거를 철저히 하고, 미장 작업에서 나온 폐기물(모르타르 찌꺼기 · 포대 등)은 시공업체 부담으로 적법하게 처리하여 쓰레기를 줄인다.</t>
        </is>
      </c>
    </row>
    <row r="44" ht="36" customHeight="1">
      <c r="A44" s="40" t="inlineStr">
        <is>
          <t>(3)</t>
        </is>
      </c>
      <c r="B44" s="41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5" ht="21" customHeight="1">
      <c r="A45" s="10" t="inlineStr"/>
      <c r="B45" s="38" t="inlineStr">
        <is>
          <t>(4) 환경관리 대책</t>
        </is>
      </c>
    </row>
    <row r="46" ht="20.5" customHeight="1">
      <c r="A46" s="40" t="inlineStr">
        <is>
          <t>①</t>
        </is>
      </c>
      <c r="C46" s="41" t="inlineStr">
        <is>
          <t>쓰레기 처리 : 현장 안은 금연하고 쓰레기 수거함을 둔다.</t>
        </is>
      </c>
    </row>
    <row r="47" ht="36" customHeight="1">
      <c r="A47" s="40" t="inlineStr">
        <is>
          <t>②</t>
        </is>
      </c>
      <c r="C47" s="41" t="inlineStr">
        <is>
          <t>잔재물 : 모르타르 찌꺼기 · 시멘트 포대 등은 지정된 장소에 모아 두고 지정 업체가 수거하게 한다.</t>
        </is>
      </c>
    </row>
    <row r="48" ht="36" customHeight="1">
      <c r="A48" s="40" t="inlineStr">
        <is>
          <t>③</t>
        </is>
      </c>
      <c r="C48" s="41" t="inlineStr">
        <is>
          <t>비산먼지 : 현장 안 주요 도로와 작업장 주변은 하루 2회 이상 살수차로 살수하고, 장비 이동 때 먼지가 나지 않도록 서행한다.</t>
        </is>
      </c>
    </row>
    <row r="49" ht="4" customHeight="1"/>
    <row r="50" ht="30" customHeight="1">
      <c r="A50" s="12" t="inlineStr">
        <is>
          <t>10.0   안 전 관 리  계 획</t>
        </is>
      </c>
    </row>
    <row r="51" ht="4" customHeight="1"/>
    <row r="52" ht="3" customHeight="1"/>
    <row r="53" ht="22" customHeight="1">
      <c r="A53" s="37" t="inlineStr">
        <is>
          <t>10-1  안전관리 목적</t>
        </is>
      </c>
    </row>
    <row r="54" ht="37" customHeight="1">
      <c r="A54" s="39" t="inlineStr">
        <is>
          <t>공종의 특수성을 고려하여 현장의 위험요소를 미리 없애 사고를 막음으로써 귀중한 인명을 보호하고 재산 손실을 최소화하며, 작업 능률을 높여 계획 공정을 원만히 달성하는 데 목적이 있다.</t>
        </is>
      </c>
    </row>
    <row r="55" ht="3" customHeight="1"/>
    <row r="56" ht="22" customHeight="1">
      <c r="A56" s="37" t="inlineStr">
        <is>
          <t>10-2  현장의 안전관리 방침</t>
        </is>
      </c>
    </row>
    <row r="57" ht="20.5" customHeight="1">
      <c r="A57" s="40" t="inlineStr">
        <is>
          <t>①</t>
        </is>
      </c>
      <c r="B57" s="41" t="inlineStr">
        <is>
          <t>선 안전, 후 시공</t>
        </is>
      </c>
    </row>
    <row r="58" ht="20.5" customHeight="1">
      <c r="A58" s="40" t="inlineStr">
        <is>
          <t>②</t>
        </is>
      </c>
      <c r="B58" s="41" t="inlineStr">
        <is>
          <t>안전교육 내실화로 위험요인 사전 제거</t>
        </is>
      </c>
    </row>
    <row r="59" ht="20.5" customHeight="1">
      <c r="A59" s="40" t="inlineStr">
        <is>
          <t>③</t>
        </is>
      </c>
      <c r="B59" s="41" t="inlineStr">
        <is>
          <t>안전지도 · 점검 강화로 위험요인 사전 제거</t>
        </is>
      </c>
    </row>
    <row r="60" ht="20.5" customHeight="1">
      <c r="A60" s="40" t="inlineStr">
        <is>
          <t>④</t>
        </is>
      </c>
      <c r="B60" s="41" t="inlineStr">
        <is>
          <t>취약 지점 점검 · 보강</t>
        </is>
      </c>
    </row>
    <row r="61" ht="3" customHeight="1"/>
    <row r="62" ht="22" customHeight="1">
      <c r="A62" s="37" t="inlineStr">
        <is>
          <t>10-3  중점 관리 사항</t>
        </is>
      </c>
    </row>
    <row r="63" ht="20.5" customHeight="1">
      <c r="A63" s="40" t="inlineStr">
        <is>
          <t>①</t>
        </is>
      </c>
      <c r="B63" s="41" t="inlineStr">
        <is>
          <t>위험예지 활동 실시</t>
        </is>
      </c>
    </row>
    <row r="64" ht="20.5" customHeight="1">
      <c r="A64" s="40" t="inlineStr">
        <is>
          <t>②</t>
        </is>
      </c>
      <c r="B64" s="41" t="inlineStr">
        <is>
          <t>개인 안전보호구 착용 생활화</t>
        </is>
      </c>
    </row>
    <row r="65" ht="20.5" customHeight="1">
      <c r="A65" s="40" t="inlineStr">
        <is>
          <t>③</t>
        </is>
      </c>
      <c r="B65" s="41" t="inlineStr">
        <is>
          <t>신규 채용자는 특별안전교육 후 투입</t>
        </is>
      </c>
    </row>
    <row r="66" ht="20.5" customHeight="1">
      <c r="A66" s="40" t="inlineStr">
        <is>
          <t>④</t>
        </is>
      </c>
      <c r="B66" s="41" t="inlineStr">
        <is>
          <t>고소 및 위험지역 작업 전후 안전대책 강구</t>
        </is>
      </c>
    </row>
    <row r="67" ht="20.5" customHeight="1">
      <c r="A67" s="40" t="inlineStr">
        <is>
          <t>⑤</t>
        </is>
      </c>
      <c r="B67" s="41" t="inlineStr">
        <is>
          <t>각종 도구 · 시설물 · 보호장구 상태 및 사용 실태 수시 점검</t>
        </is>
      </c>
    </row>
    <row r="68" ht="20.5" customHeight="1">
      <c r="A68" s="40" t="inlineStr">
        <is>
          <t>⑥</t>
        </is>
      </c>
      <c r="B68" s="41" t="inlineStr">
        <is>
          <t>작업장 정리정돈 생활화</t>
        </is>
      </c>
    </row>
    <row r="69" ht="20.5" customHeight="1">
      <c r="A69" s="40" t="inlineStr">
        <is>
          <t>⑦</t>
        </is>
      </c>
      <c r="B69" s="41" t="inlineStr">
        <is>
          <t>관리감독자 순찰 활동 강화</t>
        </is>
      </c>
    </row>
    <row r="70" ht="20.5" customHeight="1">
      <c r="A70" s="40" t="inlineStr">
        <is>
          <t>⑧</t>
        </is>
      </c>
      <c r="B70" s="41" t="inlineStr">
        <is>
          <t>장비의 안전상태 점검</t>
        </is>
      </c>
    </row>
    <row r="71" ht="20.5" customHeight="1">
      <c r="A71" s="40" t="inlineStr">
        <is>
          <t>⑨</t>
        </is>
      </c>
      <c r="B71" s="41" t="inlineStr">
        <is>
          <t>장비 운전원은 유자격자 선임</t>
        </is>
      </c>
    </row>
    <row r="72" ht="3" customHeight="1"/>
    <row r="73" ht="22" customHeight="1">
      <c r="A73" s="37" t="inlineStr">
        <is>
          <t>10-4  미장공사의 안전수칙</t>
        </is>
      </c>
    </row>
    <row r="74" ht="36" customHeight="1">
      <c r="A74" s="40" t="inlineStr">
        <is>
          <t>①</t>
        </is>
      </c>
      <c r="B74" s="41" t="inlineStr">
        <is>
          <t>모든 작업자는 작업 때 안전보호구(안전모 · 안전화 · 보호장갑 · 작업복 등)를 반드시 착용한다.</t>
        </is>
      </c>
    </row>
    <row r="75" ht="36" customHeight="1">
      <c r="A75" s="40" t="inlineStr">
        <is>
          <t>②</t>
        </is>
      </c>
      <c r="B75" s="41" t="inlineStr">
        <is>
          <t>작업 전 장비 안전점검을 반드시 하고, 작업 중에도 중요 부분을 수시로 점검하여 이상이 있으면 예방조치를 한다.</t>
        </is>
      </c>
    </row>
    <row r="76" ht="20.5" customHeight="1">
      <c r="A76" s="40" t="inlineStr">
        <is>
          <t>③</t>
        </is>
      </c>
      <c r="B76" s="41" t="inlineStr">
        <is>
          <t>가동 중인 장비를 두고 자리를 뜨거나 장난 · 한눈팔기를 하지 않는다.</t>
        </is>
      </c>
    </row>
    <row r="77" ht="36" customHeight="1">
      <c r="A77" s="40" t="inlineStr">
        <is>
          <t>④</t>
        </is>
      </c>
      <c r="B77" s="41" t="inlineStr">
        <is>
          <t>기사는 작업자와 주위 사람 · 상황을 정확히 살피고 신호수의 신호에 따라 장비를 움직인다.</t>
        </is>
      </c>
    </row>
    <row r="78" ht="20.5" customHeight="1">
      <c r="A78" s="40" t="inlineStr">
        <is>
          <t>⑤</t>
        </is>
      </c>
      <c r="B78" s="41" t="inlineStr">
        <is>
          <t>높은 곳에서 작업할 때는 반드시 안전대를 착용한다.</t>
        </is>
      </c>
    </row>
    <row r="79" ht="36" customHeight="1">
      <c r="A79" s="40" t="inlineStr">
        <is>
          <t>⑥</t>
        </is>
      </c>
      <c r="B79" s="41" t="inlineStr">
        <is>
          <t>이동식 비계 · 말비계 위에서 작업할 때는 바퀴를 고정하고 작업발판 · 안전난간을 갖춘 뒤 작업한다.</t>
        </is>
      </c>
    </row>
    <row r="81" ht="19.5" customHeight="1">
      <c r="A81" s="8" t="inlineStr">
        <is>
          <t>이 시트는 작성 예시입니다.</t>
        </is>
      </c>
    </row>
  </sheetData>
  <mergeCells count="67">
    <mergeCell ref="A48:B48"/>
    <mergeCell ref="A54:L54"/>
    <mergeCell ref="B26:L26"/>
    <mergeCell ref="B75:L75"/>
    <mergeCell ref="A41:L41"/>
    <mergeCell ref="B16:L16"/>
    <mergeCell ref="B7:L7"/>
    <mergeCell ref="B25:L25"/>
    <mergeCell ref="C48:L48"/>
    <mergeCell ref="B59:L59"/>
    <mergeCell ref="A56:L56"/>
    <mergeCell ref="B66:L66"/>
    <mergeCell ref="A3:L3"/>
    <mergeCell ref="B27:L27"/>
    <mergeCell ref="A50:L50"/>
    <mergeCell ref="B71:L71"/>
    <mergeCell ref="B43:L43"/>
    <mergeCell ref="B12:L12"/>
    <mergeCell ref="B58:L58"/>
    <mergeCell ref="B70:L70"/>
    <mergeCell ref="B21:L21"/>
    <mergeCell ref="A33:L33"/>
    <mergeCell ref="B39:L39"/>
    <mergeCell ref="B77:L77"/>
    <mergeCell ref="A23:L23"/>
    <mergeCell ref="A46:B46"/>
    <mergeCell ref="B42:L42"/>
    <mergeCell ref="B14:L14"/>
    <mergeCell ref="B60:L60"/>
    <mergeCell ref="B63:L63"/>
    <mergeCell ref="A53:L53"/>
    <mergeCell ref="B17:L17"/>
    <mergeCell ref="B67:L67"/>
    <mergeCell ref="B57:L57"/>
    <mergeCell ref="B8:L8"/>
    <mergeCell ref="A62:L62"/>
    <mergeCell ref="G1:L1"/>
    <mergeCell ref="A81:L81"/>
    <mergeCell ref="B13:L13"/>
    <mergeCell ref="B38:L38"/>
    <mergeCell ref="A19:L19"/>
    <mergeCell ref="B44:L44"/>
    <mergeCell ref="B78:L78"/>
    <mergeCell ref="B69:L69"/>
    <mergeCell ref="A47:B47"/>
    <mergeCell ref="B37:L37"/>
    <mergeCell ref="B28:L28"/>
    <mergeCell ref="C47:L47"/>
    <mergeCell ref="A34:L34"/>
    <mergeCell ref="B9:L9"/>
    <mergeCell ref="A30:L30"/>
    <mergeCell ref="B65:L65"/>
    <mergeCell ref="A73:L73"/>
    <mergeCell ref="B74:L74"/>
    <mergeCell ref="B68:L68"/>
    <mergeCell ref="A11:L11"/>
    <mergeCell ref="B15:L15"/>
    <mergeCell ref="A1:F1"/>
    <mergeCell ref="B64:L64"/>
    <mergeCell ref="B24:L24"/>
    <mergeCell ref="A36:L36"/>
    <mergeCell ref="B20:L20"/>
    <mergeCell ref="A6:L6"/>
    <mergeCell ref="C46:L46"/>
    <mergeCell ref="B76:L76"/>
    <mergeCell ref="B45:L45"/>
    <mergeCell ref="B79:L79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28" min="0" max="16383" man="1"/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미장공사 시공계획서</dc:title>
  <dcterms:created xmlns:dcterms="http://purl.org/dc/terms/" xmlns:xsi="http://www.w3.org/2001/XMLSchema-instance" xsi:type="dcterms:W3CDTF">2026-10-17T01:09:07Z</dcterms:created>
  <dcterms:modified xmlns:dcterms="http://purl.org/dc/terms/" xmlns:xsi="http://www.w3.org/2001/XMLSchema-instance" xsi:type="dcterms:W3CDTF">2026-10-17T01:09:08Z</dcterms:modified>
</cp:coreProperties>
</file>