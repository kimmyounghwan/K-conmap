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계획서" sheetId="1" state="visible" r:id="rId1"/>
    <sheet xmlns:r="http://schemas.openxmlformats.org/officeDocument/2006/relationships" name="시공순서도" sheetId="2" state="visible" r:id="rId2"/>
    <sheet xmlns:r="http://schemas.openxmlformats.org/officeDocument/2006/relationships" name="예시-계획서" sheetId="3" state="visible" r:id="rId3"/>
    <sheet xmlns:r="http://schemas.openxmlformats.org/officeDocument/2006/relationships" name="예시-시공순서도" sheetId="4" state="visible" r:id="rId4"/>
  </sheets>
  <definedNames>
    <definedName name="_xlnm.Print_Area" localSheetId="0">'계획서'!$A$1:$E$63</definedName>
    <definedName name="_xlnm.Print_Area" localSheetId="1">'시공순서도'!$A$1:$L$26</definedName>
    <definedName name="_xlnm.Print_Area" localSheetId="2">'예시-계획서'!$A$1:$E$63</definedName>
    <definedName name="_xlnm.Print_Area" localSheetId="3">'예시-시공순서도'!$A$1:$L$26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. m. d."/>
    <numFmt numFmtId="165" formatCode="#,##0&quot; m&quot;"/>
    <numFmt numFmtId="166" formatCode="0&quot; mm&quot;"/>
    <numFmt numFmtId="167" formatCode="#,##0.0&quot; ton&quot;"/>
    <numFmt numFmtId="168" formatCode="0&quot;대&quot;"/>
    <numFmt numFmtId="169" formatCode="0.0#&quot; m (폭)&quot;"/>
    <numFmt numFmtId="170" formatCode="0.00&quot; t/㎥&quot;"/>
    <numFmt numFmtId="171" formatCode="0&quot; t&quot;"/>
    <numFmt numFmtId="172" formatCode="&quot;T=&quot;0"/>
    <numFmt numFmtId="173" formatCode="yyyy-mm-dd"/>
  </numFmts>
  <fonts count="14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9.5"/>
    </font>
    <font>
      <name val="맑은 고딕"/>
      <color rgb="001F2937"/>
      <sz val="10"/>
    </font>
    <font>
      <name val="맑은 고딕"/>
      <b val="1"/>
      <color rgb="001F2937"/>
      <sz val="11"/>
    </font>
    <font>
      <name val="맑은 고딕"/>
      <color rgb="00000000"/>
      <sz val="9.5"/>
    </font>
    <font>
      <name val="맑은 고딕"/>
      <b val="1"/>
      <color rgb="00000000"/>
      <sz val="15"/>
    </font>
    <font>
      <name val="맑은 고딕"/>
      <color rgb="001F2937"/>
      <sz val="9"/>
    </font>
    <font>
      <name val="맑은 고딕"/>
      <b val="1"/>
      <color rgb="00111827"/>
      <sz val="17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3F5F9"/>
      </patternFill>
    </fill>
    <fill>
      <patternFill patternType="solid">
        <fgColor rgb="00FFF1B8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shrinkToFit="1"/>
    </xf>
    <xf numFmtId="0" fontId="6" fillId="0" borderId="0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shrinkToFit="1"/>
    </xf>
    <xf numFmtId="166" fontId="5" fillId="0" borderId="1" applyAlignment="1" pivotButton="0" quotePrefix="0" xfId="0">
      <alignment horizontal="center" vertical="center" shrinkToFit="1"/>
    </xf>
    <xf numFmtId="167" fontId="4" fillId="3" borderId="1" applyAlignment="1" pivotButton="0" quotePrefix="0" xfId="0">
      <alignment horizontal="center" vertical="center" shrinkToFit="1"/>
    </xf>
    <xf numFmtId="168" fontId="4" fillId="3" borderId="1" applyAlignment="1" pivotButton="0" quotePrefix="0" xfId="0">
      <alignment horizontal="center" vertical="center" shrinkToFit="1"/>
    </xf>
    <xf numFmtId="0" fontId="7" fillId="0" borderId="1" applyAlignment="1" pivotButton="0" quotePrefix="0" xfId="0">
      <alignment horizontal="left" vertical="center" wrapText="1"/>
    </xf>
    <xf numFmtId="169" fontId="9" fillId="0" borderId="1" applyAlignment="1" pivotButton="0" quotePrefix="0" xfId="0">
      <alignment horizontal="center" vertical="center" shrinkToFit="1"/>
    </xf>
    <xf numFmtId="0" fontId="4" fillId="4" borderId="1" applyAlignment="1" pivotButton="0" quotePrefix="0" xfId="0">
      <alignment horizontal="center" vertical="center" wrapText="1"/>
    </xf>
    <xf numFmtId="170" fontId="5" fillId="5" borderId="1" applyAlignment="1" pivotButton="0" quotePrefix="0" xfId="0">
      <alignment horizontal="center" vertical="center" shrinkToFit="1"/>
    </xf>
    <xf numFmtId="171" fontId="5" fillId="5" borderId="1" applyAlignment="1" pivotButton="0" quotePrefix="0" xfId="0">
      <alignment horizontal="center" vertical="center" shrinkToFit="1"/>
    </xf>
    <xf numFmtId="0" fontId="9" fillId="0" borderId="0" applyAlignment="1" pivotButton="0" quotePrefix="0" xfId="0">
      <alignment horizontal="left" vertical="center" wrapText="1"/>
    </xf>
    <xf numFmtId="172" fontId="9" fillId="0" borderId="1" applyAlignment="1" pivotButton="0" quotePrefix="0" xfId="0">
      <alignment horizontal="center" vertical="center" shrinkToFit="1"/>
    </xf>
    <xf numFmtId="0" fontId="4" fillId="6" borderId="1" applyAlignment="1" pivotButton="0" quotePrefix="0" xfId="0">
      <alignment horizontal="center" vertical="center" wrapText="1"/>
    </xf>
    <xf numFmtId="172" fontId="4" fillId="3" borderId="1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Relationship Type="http://schemas.openxmlformats.org/officeDocument/2006/relationships/image" Target="/xl/media/image4.jpeg" Id="rId2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jpeg" Id="rId1"/></Relationships>
</file>

<file path=xl/drawings/drawing1.xml><?xml version="1.0" encoding="utf-8"?>
<wsDr xmlns="http://schemas.openxmlformats.org/drawingml/2006/spreadsheetDrawing">
  <oneCellAnchor>
    <from>
      <col>0</col>
      <colOff>57150</colOff>
      <row>38</row>
      <rowOff>57150</rowOff>
    </from>
    <ext cx="3352800" cy="1543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38100</colOff>
      <row>3</row>
      <rowOff>9525</rowOff>
    </from>
    <ext cx="7924800" cy="527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57150</colOff>
      <row>38</row>
      <rowOff>57150</rowOff>
    </from>
    <ext cx="3352800" cy="1543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57150</colOff>
      <row>49</row>
      <rowOff>66675</rowOff>
    </from>
    <ext cx="6419850" cy="2895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38100</colOff>
      <row>3</row>
      <rowOff>9525</rowOff>
    </from>
    <ext cx="7924800" cy="527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zoomScale="10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24" customWidth="1" min="4" max="4"/>
    <col width="22" customWidth="1" min="5" max="5"/>
  </cols>
  <sheetData>
    <row r="1" ht="20" customHeight="1">
      <c r="A1" s="1" t="inlineStr">
        <is>
          <t xml:space="preserve">  K-건설맵  |  k-conmap.com  무료 건설 서식</t>
        </is>
      </c>
      <c r="D1" s="2" t="inlineStr">
        <is>
          <t xml:space="preserve">← 이 1행을 지우고 쓰셔도 됩니다  </t>
        </is>
      </c>
    </row>
    <row r="2" ht="40" customHeight="1">
      <c r="A2" s="3" t="inlineStr">
        <is>
          <t>아스콘 포장 작업 계획서</t>
        </is>
      </c>
    </row>
    <row r="3" ht="24" customHeight="1">
      <c r="A3" s="4" t="inlineStr">
        <is>
          <t>□ 공 사 명</t>
        </is>
      </c>
      <c r="B3" s="5" t="n"/>
    </row>
    <row r="4" ht="24" customHeight="1">
      <c r="A4" s="4" t="inlineStr">
        <is>
          <t>□ 작 업 일</t>
        </is>
      </c>
      <c r="B4" s="6" t="n"/>
      <c r="C4" s="6" t="n"/>
      <c r="D4" s="7">
        <f>IF(N(B4)=0,"",YEAR(B4)&amp;". "&amp;MONTH(B4)&amp;". "&amp;DAY(B4)&amp;".("&amp;CHOOSE(WEEKDAY(B4),"일","월","화","수","목","금","토")&amp;")"&amp;IF(N(C4)=0,""," ~ "&amp;MONTH(C4)&amp;". "&amp;DAY(C4)&amp;".("&amp;CHOOSE(WEEKDAY(C4),"일","월","화","수","목","금","토")&amp;") · "&amp;(C4-B4+1)&amp;"일"))</f>
        <v/>
      </c>
    </row>
    <row r="5" ht="24" customHeight="1">
      <c r="A5" s="4" t="inlineStr">
        <is>
          <t>□ 작업 책임자</t>
        </is>
      </c>
      <c r="B5" s="8" t="inlineStr">
        <is>
          <t>현장소장</t>
        </is>
      </c>
      <c r="C5" s="8" t="n"/>
      <c r="D5" s="9" t="inlineStr"/>
    </row>
    <row r="6" ht="6" customHeight="1"/>
    <row r="7" ht="22" customHeight="1">
      <c r="A7" s="10" t="inlineStr">
        <is>
          <t>□ 아스콘포장 작업 및 장비 투입계획</t>
        </is>
      </c>
    </row>
    <row r="8" ht="24" customHeight="1">
      <c r="A8" s="11" t="inlineStr">
        <is>
          <t>일  자</t>
        </is>
      </c>
      <c r="B8" s="11" t="inlineStr">
        <is>
          <t>작 업 구 간</t>
        </is>
      </c>
      <c r="C8" s="11" t="inlineStr">
        <is>
          <t>구  분</t>
        </is>
      </c>
      <c r="D8" s="11" t="inlineStr">
        <is>
          <t>장비 및 인원 투입계획</t>
        </is>
      </c>
      <c r="E8" s="11" t="inlineStr">
        <is>
          <t>비  고</t>
        </is>
      </c>
    </row>
    <row r="9" ht="21" customHeight="1">
      <c r="A9" s="12">
        <f>IF(N(B4)=0,"",MONTH(B4)&amp;"월 "&amp;DAY(B4)&amp;"일"&amp;CHAR(10)&amp;"("&amp;CHOOSE(WEEKDAY(B4),"일","월","화","수","목","금","토")&amp;")")</f>
        <v/>
      </c>
      <c r="B9" s="13" t="n"/>
      <c r="C9" s="14" t="inlineStr">
        <is>
          <t>아스콘포장 장비 및 인원</t>
        </is>
      </c>
      <c r="D9" s="15" t="inlineStr">
        <is>
          <t>스키로더, 콤비 3.5ton</t>
        </is>
      </c>
      <c r="E9" s="12">
        <f>IF(N(D26)=0,"","(당일 포장거리 "&amp;B26&amp;"m)"&amp;CHAR(10)&amp;"기층 "&amp;D26&amp;"ton"&amp;CHAR(10)&amp;"덤프 "&amp;E26&amp;"대분")</f>
        <v/>
      </c>
    </row>
    <row r="10" ht="21" customHeight="1">
      <c r="A10" s="16" t="n"/>
      <c r="B10" s="16" t="n"/>
      <c r="C10" s="16" t="n"/>
      <c r="D10" s="15" t="inlineStr">
        <is>
          <t>디스트리뷰터 1.0ton</t>
        </is>
      </c>
      <c r="E10" s="16" t="n"/>
    </row>
    <row r="11" ht="21" customHeight="1">
      <c r="A11" s="16" t="n"/>
      <c r="B11" s="16" t="n"/>
      <c r="C11" s="16" t="n"/>
      <c r="D11" s="15" t="inlineStr">
        <is>
          <t>포장공 3인</t>
        </is>
      </c>
      <c r="E11" s="16" t="n"/>
    </row>
    <row r="12" ht="21" customHeight="1">
      <c r="A12" s="16" t="n"/>
      <c r="B12" s="16" t="n"/>
      <c r="C12" s="14" t="inlineStr">
        <is>
          <t>포장토공 장비 및 인원</t>
        </is>
      </c>
      <c r="D12" s="15" t="inlineStr">
        <is>
          <t>덤프 15ton 2대</t>
        </is>
      </c>
      <c r="E12" s="16" t="n"/>
    </row>
    <row r="13" ht="21" customHeight="1">
      <c r="A13" s="16" t="n"/>
      <c r="B13" s="16" t="n"/>
      <c r="C13" s="16" t="n"/>
      <c r="D13" s="15" t="inlineStr">
        <is>
          <t>백호 0.6㎥ 3대</t>
        </is>
      </c>
      <c r="E13" s="16" t="n"/>
    </row>
    <row r="14" ht="21" customHeight="1">
      <c r="A14" s="16" t="n"/>
      <c r="B14" s="16" t="n"/>
      <c r="C14" s="16" t="n"/>
      <c r="D14" s="15" t="inlineStr">
        <is>
          <t>신호수 2명</t>
        </is>
      </c>
      <c r="E14" s="16" t="n"/>
    </row>
    <row r="15" ht="21" customHeight="1">
      <c r="A15" s="16" t="n"/>
      <c r="B15" s="16" t="n"/>
      <c r="C15" s="16" t="n"/>
      <c r="D15" s="15" t="inlineStr">
        <is>
          <t>보통인부 4명</t>
        </is>
      </c>
      <c r="E15" s="16" t="n"/>
    </row>
    <row r="16" ht="21" customHeight="1">
      <c r="A16" s="12">
        <f>IF(OR(N(B4)=0,N(C4)&lt;=B4),"",MONTH(B4+1)&amp;"월 "&amp;DAY(B4+1)&amp;"일"&amp;CHAR(10)&amp;"("&amp;CHOOSE(WEEKDAY(B4+1),"일","월","화","수","목","금","토")&amp;")")</f>
        <v/>
      </c>
      <c r="B16" s="13" t="n"/>
      <c r="C16" s="14" t="inlineStr">
        <is>
          <t>아스콘포장 장비 및 인원</t>
        </is>
      </c>
      <c r="D16" s="15" t="inlineStr">
        <is>
          <t>스키로더, 콤비 3.5ton</t>
        </is>
      </c>
      <c r="E16" s="12">
        <f>IF(N(D28)=0,"","(당일 포장거리 "&amp;B28&amp;"m)"&amp;CHAR(10)&amp;"기층 "&amp;D28&amp;"ton"&amp;CHAR(10)&amp;"덤프 "&amp;E28&amp;"대분")</f>
        <v/>
      </c>
    </row>
    <row r="17" ht="21" customHeight="1">
      <c r="A17" s="16" t="n"/>
      <c r="B17" s="16" t="n"/>
      <c r="C17" s="16" t="n"/>
      <c r="D17" s="15" t="inlineStr">
        <is>
          <t>디스트리뷰터 1.0ton</t>
        </is>
      </c>
      <c r="E17" s="16" t="n"/>
    </row>
    <row r="18" ht="21" customHeight="1">
      <c r="A18" s="16" t="n"/>
      <c r="B18" s="16" t="n"/>
      <c r="C18" s="16" t="n"/>
      <c r="D18" s="15" t="inlineStr">
        <is>
          <t>포장공 3인</t>
        </is>
      </c>
      <c r="E18" s="16" t="n"/>
    </row>
    <row r="19" ht="21" customHeight="1">
      <c r="A19" s="16" t="n"/>
      <c r="B19" s="16" t="n"/>
      <c r="C19" s="14" t="inlineStr">
        <is>
          <t>포장토공 장비 및 인원</t>
        </is>
      </c>
      <c r="D19" s="15" t="inlineStr">
        <is>
          <t>덤프 15ton 2대</t>
        </is>
      </c>
      <c r="E19" s="16" t="n"/>
    </row>
    <row r="20" ht="21" customHeight="1">
      <c r="A20" s="16" t="n"/>
      <c r="B20" s="16" t="n"/>
      <c r="C20" s="16" t="n"/>
      <c r="D20" s="15" t="inlineStr">
        <is>
          <t>백호 0.6㎥ 3대</t>
        </is>
      </c>
      <c r="E20" s="16" t="n"/>
    </row>
    <row r="21" ht="21" customHeight="1">
      <c r="A21" s="16" t="n"/>
      <c r="B21" s="16" t="n"/>
      <c r="C21" s="16" t="n"/>
      <c r="D21" s="15" t="inlineStr">
        <is>
          <t>신호수 2명</t>
        </is>
      </c>
      <c r="E21" s="16" t="n"/>
    </row>
    <row r="22" ht="21" customHeight="1">
      <c r="A22" s="16" t="n"/>
      <c r="B22" s="16" t="n"/>
      <c r="C22" s="16" t="n"/>
      <c r="D22" s="15" t="inlineStr">
        <is>
          <t>보통인부 4명</t>
        </is>
      </c>
      <c r="E22" s="16" t="n"/>
    </row>
    <row r="23" ht="8" customHeight="1"/>
    <row r="24" ht="22" customHeight="1">
      <c r="A24" s="10" t="inlineStr">
        <is>
          <t>□ 아스콘 물량 · 운반 계산</t>
        </is>
      </c>
    </row>
    <row r="25" ht="22" customHeight="1">
      <c r="A25" s="11" t="inlineStr">
        <is>
          <t>일  자</t>
        </is>
      </c>
      <c r="B25" s="11" t="inlineStr">
        <is>
          <t>포장거리(m) · 폭(m)</t>
        </is>
      </c>
      <c r="C25" s="11" t="inlineStr">
        <is>
          <t>두께(mm)</t>
        </is>
      </c>
      <c r="D25" s="11" t="inlineStr">
        <is>
          <t>아스콘 물량(ton)</t>
        </is>
      </c>
      <c r="E25" s="11" t="inlineStr">
        <is>
          <t>덤프 대수</t>
        </is>
      </c>
    </row>
    <row r="26" ht="22" customHeight="1">
      <c r="A26" s="17" t="inlineStr">
        <is>
          <t>1일째</t>
        </is>
      </c>
      <c r="B26" s="18" t="n"/>
      <c r="C26" s="19" t="n"/>
      <c r="D26" s="20">
        <f>IF(OR(N(B26)=0,N(B27)=0,N(C26)=0),"",ROUND(B26*B27*C26/1000*C30,1))</f>
        <v/>
      </c>
      <c r="E26" s="21">
        <f>IF(OR(D26="",N(E30)=0),"",ROUNDUP(D26/E30,0))</f>
        <v/>
      </c>
    </row>
    <row r="27" ht="20" customHeight="1">
      <c r="A27" s="22" t="inlineStr"/>
      <c r="B27" s="23" t="n"/>
      <c r="C27" s="22" t="inlineStr"/>
      <c r="D27" s="16" t="n"/>
      <c r="E27" s="16" t="n"/>
    </row>
    <row r="28" ht="22" customHeight="1">
      <c r="A28" s="17" t="inlineStr">
        <is>
          <t>2일째</t>
        </is>
      </c>
      <c r="B28" s="18" t="n"/>
      <c r="C28" s="19" t="n"/>
      <c r="D28" s="20">
        <f>IF(OR(N(B28)=0,N(B29)=0,N(C28)=0),"",ROUND(B28*B29*C28/1000*C30,1))</f>
        <v/>
      </c>
      <c r="E28" s="21">
        <f>IF(OR(D28="",N(E30)=0),"",ROUNDUP(D28/E30,0))</f>
        <v/>
      </c>
    </row>
    <row r="29" ht="20" customHeight="1">
      <c r="A29" s="22" t="inlineStr"/>
      <c r="B29" s="23" t="n"/>
      <c r="C29" s="22" t="inlineStr"/>
      <c r="D29" s="16" t="n"/>
      <c r="E29" s="16" t="n"/>
    </row>
    <row r="30" ht="22" customHeight="1">
      <c r="A30" s="24" t="inlineStr">
        <is>
          <t>기준값</t>
        </is>
      </c>
      <c r="B30" s="14" t="inlineStr">
        <is>
          <t>아스콘 밀도</t>
        </is>
      </c>
      <c r="C30" s="25" t="n">
        <v>2.35</v>
      </c>
      <c r="D30" s="14" t="inlineStr">
        <is>
          <t>덤프 1대 적재</t>
        </is>
      </c>
      <c r="E30" s="26" t="n">
        <v>15</v>
      </c>
    </row>
    <row r="31" ht="8" customHeight="1"/>
    <row r="32" ht="22" customHeight="1">
      <c r="A32" s="10" t="inlineStr">
        <is>
          <t>□ 아스콘포장 작업순서</t>
        </is>
      </c>
    </row>
    <row r="33" ht="20" customHeight="1">
      <c r="A33" s="27" t="inlineStr">
        <is>
          <t xml:space="preserve"> 1) 가포장 보조기층 걷어내기(T=200) : B/H 0.6㎥, D/T 15ton</t>
        </is>
      </c>
    </row>
    <row r="34" ht="20" customHeight="1">
      <c r="A34" s="27" t="inlineStr">
        <is>
          <t xml:space="preserve"> 2) 보조기층 다짐 : 1ton 롤러</t>
        </is>
      </c>
    </row>
    <row r="35" ht="20" customHeight="1">
      <c r="A35" s="27" t="inlineStr">
        <is>
          <t xml:space="preserve"> 3) 프라임 코팅 살포 : 디스트리뷰터 1.0ton</t>
        </is>
      </c>
    </row>
    <row r="36" ht="20" customHeight="1">
      <c r="A36" s="27" t="inlineStr">
        <is>
          <t xml:space="preserve"> 4) 기층 포설 및 다짐(기층 T=150) : 스키로더, 콤비 3.5ton</t>
        </is>
      </c>
    </row>
    <row r="37" ht="20" customHeight="1">
      <c r="A37" s="27" t="inlineStr">
        <is>
          <t xml:space="preserve"> 5) 추후 가포장 임시 도장(임시포장)</t>
        </is>
      </c>
    </row>
    <row r="38" ht="22" customHeight="1">
      <c r="A38" s="10" t="inlineStr">
        <is>
          <t>□ 아스콘포장 단면도</t>
        </is>
      </c>
    </row>
    <row r="39" ht="22" customHeight="1">
      <c r="A39" s="9" t="inlineStr"/>
      <c r="D39" s="14" t="inlineStr">
        <is>
          <t>표층</t>
        </is>
      </c>
      <c r="E39" s="28" t="n">
        <v>50</v>
      </c>
    </row>
    <row r="40" ht="22" customHeight="1">
      <c r="A40" s="9" t="inlineStr"/>
      <c r="D40" s="14" t="inlineStr">
        <is>
          <t>택 코팅</t>
        </is>
      </c>
      <c r="E40" s="28" t="n"/>
    </row>
    <row r="41" ht="22" customHeight="1">
      <c r="A41" s="9" t="inlineStr"/>
      <c r="D41" s="14" t="inlineStr">
        <is>
          <t>기층</t>
        </is>
      </c>
      <c r="E41" s="28" t="n">
        <v>150</v>
      </c>
    </row>
    <row r="42" ht="22" customHeight="1">
      <c r="A42" s="9" t="inlineStr"/>
      <c r="D42" s="14" t="inlineStr">
        <is>
          <t>프라임 코팅</t>
        </is>
      </c>
      <c r="E42" s="28" t="n"/>
    </row>
    <row r="43" ht="22" customHeight="1">
      <c r="A43" s="9" t="inlineStr"/>
      <c r="D43" s="14" t="inlineStr">
        <is>
          <t>보조기층</t>
        </is>
      </c>
      <c r="E43" s="28" t="n">
        <v>300</v>
      </c>
    </row>
    <row r="44" ht="22" customHeight="1">
      <c r="A44" s="9" t="inlineStr"/>
      <c r="D44" s="29" t="inlineStr">
        <is>
          <t>합  계</t>
        </is>
      </c>
      <c r="E44" s="30">
        <f>IF(SUM(E39:E43)=0,"",SUM(E39:E43))</f>
        <v/>
      </c>
    </row>
    <row r="45" ht="22" customHeight="1">
      <c r="A45" s="27" t="inlineStr">
        <is>
          <t>※ 표층(T=50)은 포장절삭 후 전면포장 예정.</t>
        </is>
      </c>
    </row>
    <row r="46" ht="14" customHeight="1"/>
    <row r="47" ht="34" customHeight="1">
      <c r="A47" s="31" t="inlineStr">
        <is>
          <t>보조기층 걷어내기 및 다짐 전경</t>
        </is>
      </c>
    </row>
    <row r="48" ht="20" customHeight="1">
      <c r="A48" s="32" t="inlineStr">
        <is>
          <t>(사진을 붙이는 곳)</t>
        </is>
      </c>
      <c r="B48" s="16" t="n"/>
      <c r="C48" s="16" t="n"/>
      <c r="D48" s="16" t="n"/>
      <c r="E48" s="16" t="n"/>
    </row>
    <row r="49" ht="20" customHeight="1">
      <c r="A49" s="16" t="n"/>
      <c r="B49" s="16" t="n"/>
      <c r="C49" s="16" t="n"/>
      <c r="D49" s="16" t="n"/>
      <c r="E49" s="16" t="n"/>
    </row>
    <row r="50" ht="20" customHeight="1">
      <c r="A50" s="16" t="n"/>
      <c r="B50" s="16" t="n"/>
      <c r="C50" s="16" t="n"/>
      <c r="D50" s="16" t="n"/>
      <c r="E50" s="16" t="n"/>
    </row>
    <row r="51" ht="20" customHeight="1">
      <c r="A51" s="16" t="n"/>
      <c r="B51" s="16" t="n"/>
      <c r="C51" s="16" t="n"/>
      <c r="D51" s="16" t="n"/>
      <c r="E51" s="16" t="n"/>
    </row>
    <row r="52" ht="20" customHeight="1">
      <c r="A52" s="16" t="n"/>
      <c r="B52" s="16" t="n"/>
      <c r="C52" s="16" t="n"/>
      <c r="D52" s="16" t="n"/>
      <c r="E52" s="16" t="n"/>
    </row>
    <row r="53" ht="20" customHeight="1">
      <c r="A53" s="16" t="n"/>
      <c r="B53" s="16" t="n"/>
      <c r="C53" s="16" t="n"/>
      <c r="D53" s="16" t="n"/>
      <c r="E53" s="16" t="n"/>
    </row>
    <row r="54" ht="20" customHeight="1">
      <c r="A54" s="16" t="n"/>
      <c r="B54" s="16" t="n"/>
      <c r="C54" s="16" t="n"/>
      <c r="D54" s="16" t="n"/>
      <c r="E54" s="16" t="n"/>
    </row>
    <row r="55" ht="20" customHeight="1">
      <c r="A55" s="16" t="n"/>
      <c r="B55" s="16" t="n"/>
      <c r="C55" s="16" t="n"/>
      <c r="D55" s="16" t="n"/>
      <c r="E55" s="16" t="n"/>
    </row>
    <row r="56" ht="20" customHeight="1">
      <c r="A56" s="16" t="n"/>
      <c r="B56" s="16" t="n"/>
      <c r="C56" s="16" t="n"/>
      <c r="D56" s="16" t="n"/>
      <c r="E56" s="16" t="n"/>
    </row>
    <row r="57" ht="20" customHeight="1">
      <c r="A57" s="16" t="n"/>
      <c r="B57" s="16" t="n"/>
      <c r="C57" s="16" t="n"/>
      <c r="D57" s="16" t="n"/>
      <c r="E57" s="16" t="n"/>
    </row>
    <row r="58" ht="20" customHeight="1">
      <c r="A58" s="16" t="n"/>
      <c r="B58" s="16" t="n"/>
      <c r="C58" s="16" t="n"/>
      <c r="D58" s="16" t="n"/>
      <c r="E58" s="16" t="n"/>
    </row>
    <row r="59" ht="20" customHeight="1">
      <c r="A59" s="16" t="n"/>
      <c r="B59" s="16" t="n"/>
      <c r="C59" s="16" t="n"/>
      <c r="D59" s="16" t="n"/>
      <c r="E59" s="16" t="n"/>
    </row>
    <row r="60" ht="20" customHeight="1">
      <c r="A60" s="16" t="n"/>
      <c r="B60" s="16" t="n"/>
      <c r="C60" s="16" t="n"/>
      <c r="D60" s="16" t="n"/>
      <c r="E60" s="16" t="n"/>
    </row>
    <row r="61" ht="20" customHeight="1">
      <c r="A61" s="16" t="n"/>
      <c r="B61" s="16" t="n"/>
      <c r="C61" s="16" t="n"/>
      <c r="D61" s="16" t="n"/>
      <c r="E61" s="16" t="n"/>
    </row>
    <row r="62" ht="20" customHeight="1">
      <c r="A62" s="16" t="n"/>
      <c r="B62" s="16" t="n"/>
      <c r="C62" s="16" t="n"/>
      <c r="D62" s="16" t="n"/>
      <c r="E62" s="16" t="n"/>
    </row>
    <row r="63" ht="20" customHeight="1">
      <c r="A63" s="16" t="n"/>
      <c r="B63" s="16" t="n"/>
      <c r="C63" s="16" t="n"/>
      <c r="D63" s="16" t="n"/>
      <c r="E63" s="16" t="n"/>
    </row>
    <row r="65" ht="34" customHeight="1">
      <c r="A65" s="33" t="inlineStr">
        <is>
          <t>노란 칸 = 기준값(아스콘 밀도 · 덤프 적재량). 하늘색 칸 = 자동(작업일 · 일자 · 물량 · 덤프 대수 · 비고 · 두께 합계).</t>
        </is>
      </c>
    </row>
    <row r="66" ht="34" customHeight="1">
      <c r="A66" s="33" t="inlineStr">
        <is>
          <t>아스콘 물량 = 포장거리 × 폭 × 두께 × 밀도(소수 첫째 자리) · 덤프 대수 = 물량 ÷ 1대 적재(올림). 단면도 그림은 원본 그대로입니다.</t>
        </is>
      </c>
    </row>
  </sheetData>
  <mergeCells count="38">
    <mergeCell ref="A34:E34"/>
    <mergeCell ref="E9:E15"/>
    <mergeCell ref="A41:C41"/>
    <mergeCell ref="A16:A22"/>
    <mergeCell ref="A24:E24"/>
    <mergeCell ref="D1:E1"/>
    <mergeCell ref="B9:B15"/>
    <mergeCell ref="A45:E45"/>
    <mergeCell ref="A36:E36"/>
    <mergeCell ref="A42:C42"/>
    <mergeCell ref="A48:E63"/>
    <mergeCell ref="A65:E65"/>
    <mergeCell ref="C27:E27"/>
    <mergeCell ref="A7:E7"/>
    <mergeCell ref="C12:C15"/>
    <mergeCell ref="A37:E37"/>
    <mergeCell ref="B3:E3"/>
    <mergeCell ref="E16:E22"/>
    <mergeCell ref="A66:E66"/>
    <mergeCell ref="B16:B22"/>
    <mergeCell ref="A43:C43"/>
    <mergeCell ref="A44:C44"/>
    <mergeCell ref="A2:E2"/>
    <mergeCell ref="A9:A15"/>
    <mergeCell ref="A33:E33"/>
    <mergeCell ref="A40:C40"/>
    <mergeCell ref="A47:E47"/>
    <mergeCell ref="D4:E4"/>
    <mergeCell ref="A32:E32"/>
    <mergeCell ref="A39:C39"/>
    <mergeCell ref="C19:C22"/>
    <mergeCell ref="A35:E35"/>
    <mergeCell ref="A38:E38"/>
    <mergeCell ref="A1:C1"/>
    <mergeCell ref="C16:C18"/>
    <mergeCell ref="D5:E5"/>
    <mergeCell ref="C29:E29"/>
    <mergeCell ref="C9:C11"/>
  </mergeCells>
  <printOptions horizontalCentered="1"/>
  <pageMargins left="0.5" right="0.5" top="0.45" bottom="0.45" header="0.2" footer="0.2"/>
  <pageSetup orientation="portrait" paperSize="9" fitToHeight="0" fitToWidth="1"/>
  <rowBreaks count="1" manualBreakCount="1">
    <brk id="3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2" customHeight="1">
      <c r="A2" s="34" t="inlineStr">
        <is>
          <t>포 장 시 공 순 서 도</t>
        </is>
      </c>
    </row>
    <row r="3" ht="19" customHeight="1"/>
    <row r="4" ht="19" customHeight="1"/>
    <row r="5" ht="19" customHeight="1"/>
    <row r="6" ht="19" customHeight="1"/>
    <row r="7" ht="19" customHeight="1"/>
    <row r="8" ht="19" customHeight="1"/>
    <row r="9" ht="19" customHeight="1"/>
    <row r="10" ht="19" customHeight="1"/>
    <row r="11" ht="19" customHeight="1"/>
    <row r="12" ht="19" customHeight="1"/>
    <row r="13" ht="19" customHeight="1"/>
    <row r="14" ht="19" customHeight="1"/>
    <row r="15" ht="19" customHeight="1"/>
    <row r="16" ht="19" customHeight="1"/>
    <row r="17" ht="19" customHeight="1"/>
    <row r="18" ht="19" customHeight="1"/>
    <row r="19" ht="19" customHeight="1"/>
    <row r="20" ht="19" customHeight="1"/>
    <row r="21" ht="19" customHeight="1"/>
    <row r="22" ht="19" customHeight="1"/>
    <row r="23" ht="19" customHeight="1"/>
    <row r="24" ht="19" customHeight="1"/>
    <row r="25" ht="19" customHeight="1"/>
    <row r="26" ht="19" customHeight="1"/>
    <row r="28" ht="19.5" customHeight="1">
      <c r="A28" s="33" t="inlineStr">
        <is>
          <t>원본 계획서의 시공순서도 그림입니다(참고용).</t>
        </is>
      </c>
    </row>
  </sheetData>
  <mergeCells count="4">
    <mergeCell ref="G1:L1"/>
    <mergeCell ref="A2:L2"/>
    <mergeCell ref="A1:F1"/>
    <mergeCell ref="A28:L28"/>
  </mergeCells>
  <printOptions horizontalCentered="1"/>
  <pageMargins left="0.4" right="0.4" top="0.45" bottom="0.45" header="0.2" footer="0.2"/>
  <pageSetup orientation="landscape" paperSize="9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E65"/>
  <sheetViews>
    <sheetView showGridLines="0" zoomScale="10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24" customWidth="1" min="4" max="4"/>
    <col width="22" customWidth="1" min="5" max="5"/>
  </cols>
  <sheetData>
    <row r="1" ht="20" customHeight="1">
      <c r="A1" s="1" t="inlineStr">
        <is>
          <t xml:space="preserve">  K-건설맵  |  k-conmap.com  무료 건설 서식</t>
        </is>
      </c>
      <c r="D1" s="35" t="inlineStr">
        <is>
          <t xml:space="preserve">작성 예시 (가상의 현장)  </t>
        </is>
      </c>
    </row>
    <row r="2" ht="40" customHeight="1">
      <c r="A2" s="3" t="inlineStr">
        <is>
          <t>아스콘 포장 작업 계획서</t>
        </is>
      </c>
    </row>
    <row r="3" ht="24" customHeight="1">
      <c r="A3" s="4" t="inlineStr">
        <is>
          <t>□ 공 사 명</t>
        </is>
      </c>
      <c r="B3" s="5" t="inlineStr">
        <is>
          <t>가나지구 배수로 정비공사</t>
        </is>
      </c>
    </row>
    <row r="4" ht="24" customHeight="1">
      <c r="A4" s="4" t="inlineStr">
        <is>
          <t>□ 작 업 일</t>
        </is>
      </c>
      <c r="B4" s="6" t="n">
        <v>46207</v>
      </c>
      <c r="C4" s="6" t="n">
        <v>46208</v>
      </c>
      <c r="D4" s="7">
        <f>IF(N(B4)=0,"",YEAR(B4)&amp;". "&amp;MONTH(B4)&amp;". "&amp;DAY(B4)&amp;".("&amp;CHOOSE(WEEKDAY(B4),"일","월","화","수","목","금","토")&amp;")"&amp;IF(N(C4)=0,""," ~ "&amp;MONTH(C4)&amp;". "&amp;DAY(C4)&amp;".("&amp;CHOOSE(WEEKDAY(C4),"일","월","화","수","목","금","토")&amp;") · "&amp;(C4-B4+1)&amp;"일"))</f>
        <v/>
      </c>
    </row>
    <row r="5" ht="24" customHeight="1">
      <c r="A5" s="4" t="inlineStr">
        <is>
          <t>□ 작업 책임자</t>
        </is>
      </c>
      <c r="B5" s="8" t="inlineStr">
        <is>
          <t>현장소장</t>
        </is>
      </c>
      <c r="C5" s="8" t="inlineStr">
        <is>
          <t>홍길동</t>
        </is>
      </c>
      <c r="D5" s="9" t="inlineStr"/>
    </row>
    <row r="6" ht="6" customHeight="1"/>
    <row r="7" ht="22" customHeight="1">
      <c r="A7" s="10" t="inlineStr">
        <is>
          <t>□ 아스콘포장 작업 및 장비 투입계획</t>
        </is>
      </c>
    </row>
    <row r="8" ht="24" customHeight="1">
      <c r="A8" s="11" t="inlineStr">
        <is>
          <t>일  자</t>
        </is>
      </c>
      <c r="B8" s="11" t="inlineStr">
        <is>
          <t>작 업 구 간</t>
        </is>
      </c>
      <c r="C8" s="11" t="inlineStr">
        <is>
          <t>구  분</t>
        </is>
      </c>
      <c r="D8" s="11" t="inlineStr">
        <is>
          <t>장비 및 인원 투입계획</t>
        </is>
      </c>
      <c r="E8" s="11" t="inlineStr">
        <is>
          <t>비  고</t>
        </is>
      </c>
    </row>
    <row r="9" ht="21" customHeight="1">
      <c r="A9" s="12">
        <f>IF(N(B4)=0,"",MONTH(B4)&amp;"월 "&amp;DAY(B4)&amp;"일"&amp;CHAR(10)&amp;"("&amp;CHOOSE(WEEKDAY(B4),"일","월","화","수","목","금","토")&amp;")")</f>
        <v/>
      </c>
      <c r="B9" s="13" t="inlineStr">
        <is>
          <t>JG-400-011 ~ JG-400-001</t>
        </is>
      </c>
      <c r="C9" s="14" t="inlineStr">
        <is>
          <t>아스콘포장 장비 및 인원</t>
        </is>
      </c>
      <c r="D9" s="15" t="inlineStr">
        <is>
          <t>스키로더, 콤비 3.5ton</t>
        </is>
      </c>
      <c r="E9" s="12">
        <f>IF(N(D26)=0,"","(당일 포장거리 "&amp;B26&amp;"m)"&amp;CHAR(10)&amp;"기층 "&amp;D26&amp;"ton"&amp;CHAR(10)&amp;"덤프 "&amp;E26&amp;"대분")</f>
        <v/>
      </c>
    </row>
    <row r="10" ht="21" customHeight="1">
      <c r="A10" s="16" t="n"/>
      <c r="B10" s="16" t="n"/>
      <c r="C10" s="16" t="n"/>
      <c r="D10" s="15" t="inlineStr">
        <is>
          <t>디스트리뷰터 1.0ton</t>
        </is>
      </c>
      <c r="E10" s="16" t="n"/>
    </row>
    <row r="11" ht="21" customHeight="1">
      <c r="A11" s="16" t="n"/>
      <c r="B11" s="16" t="n"/>
      <c r="C11" s="16" t="n"/>
      <c r="D11" s="15" t="inlineStr">
        <is>
          <t>포장공 3인</t>
        </is>
      </c>
      <c r="E11" s="16" t="n"/>
    </row>
    <row r="12" ht="21" customHeight="1">
      <c r="A12" s="16" t="n"/>
      <c r="B12" s="16" t="n"/>
      <c r="C12" s="14" t="inlineStr">
        <is>
          <t>포장토공 장비 및 인원</t>
        </is>
      </c>
      <c r="D12" s="15" t="inlineStr">
        <is>
          <t>덤프 15ton 2대</t>
        </is>
      </c>
      <c r="E12" s="16" t="n"/>
    </row>
    <row r="13" ht="21" customHeight="1">
      <c r="A13" s="16" t="n"/>
      <c r="B13" s="16" t="n"/>
      <c r="C13" s="16" t="n"/>
      <c r="D13" s="15" t="inlineStr">
        <is>
          <t>백호 0.6㎥ 3대</t>
        </is>
      </c>
      <c r="E13" s="16" t="n"/>
    </row>
    <row r="14" ht="21" customHeight="1">
      <c r="A14" s="16" t="n"/>
      <c r="B14" s="16" t="n"/>
      <c r="C14" s="16" t="n"/>
      <c r="D14" s="15" t="inlineStr">
        <is>
          <t>신호수 2명</t>
        </is>
      </c>
      <c r="E14" s="16" t="n"/>
    </row>
    <row r="15" ht="21" customHeight="1">
      <c r="A15" s="16" t="n"/>
      <c r="B15" s="16" t="n"/>
      <c r="C15" s="16" t="n"/>
      <c r="D15" s="15" t="inlineStr">
        <is>
          <t>보통인부 4명</t>
        </is>
      </c>
      <c r="E15" s="16" t="n"/>
    </row>
    <row r="16" ht="21" customHeight="1">
      <c r="A16" s="12">
        <f>IF(OR(N(B4)=0,N(C4)&lt;=B4),"",MONTH(B4+1)&amp;"월 "&amp;DAY(B4+1)&amp;"일"&amp;CHAR(10)&amp;"("&amp;CHOOSE(WEEKDAY(B4+1),"일","월","화","수","목","금","토")&amp;")")</f>
        <v/>
      </c>
      <c r="B16" s="13" t="inlineStr">
        <is>
          <t>SGP-100-01 NO.4 ~ NO.34</t>
        </is>
      </c>
      <c r="C16" s="14" t="inlineStr">
        <is>
          <t>아스콘포장 장비 및 인원</t>
        </is>
      </c>
      <c r="D16" s="15" t="inlineStr">
        <is>
          <t>스키로더, 콤비 3.5ton</t>
        </is>
      </c>
      <c r="E16" s="12">
        <f>IF(N(D28)=0,"","(당일 포장거리 "&amp;B28&amp;"m)"&amp;CHAR(10)&amp;"기층 "&amp;D28&amp;"ton"&amp;CHAR(10)&amp;"덤프 "&amp;E28&amp;"대분")</f>
        <v/>
      </c>
    </row>
    <row r="17" ht="21" customHeight="1">
      <c r="A17" s="16" t="n"/>
      <c r="B17" s="16" t="n"/>
      <c r="C17" s="16" t="n"/>
      <c r="D17" s="15" t="inlineStr">
        <is>
          <t>디스트리뷰터 1.0ton</t>
        </is>
      </c>
      <c r="E17" s="16" t="n"/>
    </row>
    <row r="18" ht="21" customHeight="1">
      <c r="A18" s="16" t="n"/>
      <c r="B18" s="16" t="n"/>
      <c r="C18" s="16" t="n"/>
      <c r="D18" s="15" t="inlineStr">
        <is>
          <t>포장공 3인</t>
        </is>
      </c>
      <c r="E18" s="16" t="n"/>
    </row>
    <row r="19" ht="21" customHeight="1">
      <c r="A19" s="16" t="n"/>
      <c r="B19" s="16" t="n"/>
      <c r="C19" s="14" t="inlineStr">
        <is>
          <t>포장토공 장비 및 인원</t>
        </is>
      </c>
      <c r="D19" s="15" t="inlineStr">
        <is>
          <t>덤프 15ton 2대</t>
        </is>
      </c>
      <c r="E19" s="16" t="n"/>
    </row>
    <row r="20" ht="21" customHeight="1">
      <c r="A20" s="16" t="n"/>
      <c r="B20" s="16" t="n"/>
      <c r="C20" s="16" t="n"/>
      <c r="D20" s="15" t="inlineStr">
        <is>
          <t>백호 0.6㎥ 3대</t>
        </is>
      </c>
      <c r="E20" s="16" t="n"/>
    </row>
    <row r="21" ht="21" customHeight="1">
      <c r="A21" s="16" t="n"/>
      <c r="B21" s="16" t="n"/>
      <c r="C21" s="16" t="n"/>
      <c r="D21" s="15" t="inlineStr">
        <is>
          <t>신호수 2명</t>
        </is>
      </c>
      <c r="E21" s="16" t="n"/>
    </row>
    <row r="22" ht="21" customHeight="1">
      <c r="A22" s="16" t="n"/>
      <c r="B22" s="16" t="n"/>
      <c r="C22" s="16" t="n"/>
      <c r="D22" s="15" t="inlineStr">
        <is>
          <t>보통인부 4명</t>
        </is>
      </c>
      <c r="E22" s="16" t="n"/>
    </row>
    <row r="23" ht="8" customHeight="1"/>
    <row r="24" ht="22" customHeight="1">
      <c r="A24" s="10" t="inlineStr">
        <is>
          <t>□ 아스콘 물량 · 운반 계산</t>
        </is>
      </c>
    </row>
    <row r="25" ht="22" customHeight="1">
      <c r="A25" s="11" t="inlineStr">
        <is>
          <t>일  자</t>
        </is>
      </c>
      <c r="B25" s="11" t="inlineStr">
        <is>
          <t>포장거리(m) · 폭(m)</t>
        </is>
      </c>
      <c r="C25" s="11" t="inlineStr">
        <is>
          <t>두께(mm)</t>
        </is>
      </c>
      <c r="D25" s="11" t="inlineStr">
        <is>
          <t>아스콘 물량(ton)</t>
        </is>
      </c>
      <c r="E25" s="11" t="inlineStr">
        <is>
          <t>덤프 대수</t>
        </is>
      </c>
    </row>
    <row r="26" ht="22" customHeight="1">
      <c r="A26" s="17" t="inlineStr">
        <is>
          <t>1일째</t>
        </is>
      </c>
      <c r="B26" s="18" t="n">
        <v>700</v>
      </c>
      <c r="C26" s="19" t="n">
        <v>150</v>
      </c>
      <c r="D26" s="20">
        <f>IF(OR(N(B26)=0,N(B27)=0,N(C26)=0),"",ROUND(B26*B27*C26/1000*C30,1))</f>
        <v/>
      </c>
      <c r="E26" s="21">
        <f>IF(OR(D26="",N(E30)=0),"",ROUNDUP(D26/E30,0))</f>
        <v/>
      </c>
    </row>
    <row r="27" ht="20" customHeight="1">
      <c r="A27" s="22" t="inlineStr"/>
      <c r="B27" s="23" t="n">
        <v>1.2</v>
      </c>
      <c r="C27" s="22" t="inlineStr"/>
      <c r="D27" s="16" t="n"/>
      <c r="E27" s="16" t="n"/>
    </row>
    <row r="28" ht="22" customHeight="1">
      <c r="A28" s="17" t="inlineStr">
        <is>
          <t>2일째</t>
        </is>
      </c>
      <c r="B28" s="18" t="n">
        <v>700</v>
      </c>
      <c r="C28" s="19" t="n">
        <v>150</v>
      </c>
      <c r="D28" s="20">
        <f>IF(OR(N(B28)=0,N(B29)=0,N(C28)=0),"",ROUND(B28*B29*C28/1000*C30,1))</f>
        <v/>
      </c>
      <c r="E28" s="21">
        <f>IF(OR(D28="",N(E30)=0),"",ROUNDUP(D28/E30,0))</f>
        <v/>
      </c>
    </row>
    <row r="29" ht="20" customHeight="1">
      <c r="A29" s="22" t="inlineStr"/>
      <c r="B29" s="23" t="n">
        <v>1.2</v>
      </c>
      <c r="C29" s="22" t="inlineStr"/>
      <c r="D29" s="16" t="n"/>
      <c r="E29" s="16" t="n"/>
    </row>
    <row r="30" ht="22" customHeight="1">
      <c r="A30" s="24" t="inlineStr">
        <is>
          <t>기준값</t>
        </is>
      </c>
      <c r="B30" s="14" t="inlineStr">
        <is>
          <t>아스콘 밀도</t>
        </is>
      </c>
      <c r="C30" s="25" t="n">
        <v>2.35</v>
      </c>
      <c r="D30" s="14" t="inlineStr">
        <is>
          <t>덤프 1대 적재</t>
        </is>
      </c>
      <c r="E30" s="26" t="n">
        <v>15</v>
      </c>
    </row>
    <row r="31" ht="8" customHeight="1"/>
    <row r="32" ht="22" customHeight="1">
      <c r="A32" s="10" t="inlineStr">
        <is>
          <t>□ 아스콘포장 작업순서</t>
        </is>
      </c>
    </row>
    <row r="33" ht="20" customHeight="1">
      <c r="A33" s="27" t="inlineStr">
        <is>
          <t xml:space="preserve"> 1) 가포장 보조기층 걷어내기(T=200) : B/H 0.6㎥, D/T 15ton</t>
        </is>
      </c>
    </row>
    <row r="34" ht="20" customHeight="1">
      <c r="A34" s="27" t="inlineStr">
        <is>
          <t xml:space="preserve"> 2) 보조기층 다짐 : 1ton 롤러</t>
        </is>
      </c>
    </row>
    <row r="35" ht="20" customHeight="1">
      <c r="A35" s="27" t="inlineStr">
        <is>
          <t xml:space="preserve"> 3) 프라임 코팅 살포 : 디스트리뷰터 1.0ton</t>
        </is>
      </c>
    </row>
    <row r="36" ht="20" customHeight="1">
      <c r="A36" s="27" t="inlineStr">
        <is>
          <t xml:space="preserve"> 4) 기층 포설 및 다짐(기층 T=150) : 스키로더, 콤비 3.5ton</t>
        </is>
      </c>
    </row>
    <row r="37" ht="20" customHeight="1">
      <c r="A37" s="27" t="inlineStr">
        <is>
          <t xml:space="preserve"> 5) 추후 가포장 임시 도장(임시포장)</t>
        </is>
      </c>
    </row>
    <row r="38" ht="22" customHeight="1">
      <c r="A38" s="10" t="inlineStr">
        <is>
          <t>□ 아스콘포장 단면도</t>
        </is>
      </c>
    </row>
    <row r="39" ht="22" customHeight="1">
      <c r="A39" s="9" t="inlineStr"/>
      <c r="D39" s="14" t="inlineStr">
        <is>
          <t>표층</t>
        </is>
      </c>
      <c r="E39" s="28" t="n">
        <v>50</v>
      </c>
    </row>
    <row r="40" ht="22" customHeight="1">
      <c r="A40" s="9" t="inlineStr"/>
      <c r="D40" s="14" t="inlineStr">
        <is>
          <t>택 코팅</t>
        </is>
      </c>
      <c r="E40" s="28" t="n"/>
    </row>
    <row r="41" ht="22" customHeight="1">
      <c r="A41" s="9" t="inlineStr"/>
      <c r="D41" s="14" t="inlineStr">
        <is>
          <t>기층</t>
        </is>
      </c>
      <c r="E41" s="28" t="n">
        <v>150</v>
      </c>
    </row>
    <row r="42" ht="22" customHeight="1">
      <c r="A42" s="9" t="inlineStr"/>
      <c r="D42" s="14" t="inlineStr">
        <is>
          <t>프라임 코팅</t>
        </is>
      </c>
      <c r="E42" s="28" t="n"/>
    </row>
    <row r="43" ht="22" customHeight="1">
      <c r="A43" s="9" t="inlineStr"/>
      <c r="D43" s="14" t="inlineStr">
        <is>
          <t>보조기층</t>
        </is>
      </c>
      <c r="E43" s="28" t="n">
        <v>300</v>
      </c>
    </row>
    <row r="44" ht="22" customHeight="1">
      <c r="A44" s="9" t="inlineStr"/>
      <c r="D44" s="29" t="inlineStr">
        <is>
          <t>합  계</t>
        </is>
      </c>
      <c r="E44" s="30">
        <f>IF(SUM(E39:E43)=0,"",SUM(E39:E43))</f>
        <v/>
      </c>
    </row>
    <row r="45" ht="22" customHeight="1">
      <c r="A45" s="27" t="inlineStr">
        <is>
          <t>※ 표층(T=50)은 포장절삭 후 전면포장 예정.</t>
        </is>
      </c>
    </row>
    <row r="46" ht="14" customHeight="1"/>
    <row r="47" ht="34" customHeight="1">
      <c r="A47" s="31" t="inlineStr">
        <is>
          <t>보조기층 걷어내기 및 다짐 전경</t>
        </is>
      </c>
    </row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5" ht="19.5" customHeight="1">
      <c r="A65" s="33" t="inlineStr">
        <is>
          <t>이 시트는 작성 예시입니다(가상의 공사). 사진은 원본 계획서의 참고 사진입니다.</t>
        </is>
      </c>
    </row>
  </sheetData>
  <mergeCells count="36">
    <mergeCell ref="A34:E34"/>
    <mergeCell ref="E9:E15"/>
    <mergeCell ref="A41:C41"/>
    <mergeCell ref="A16:A22"/>
    <mergeCell ref="A24:E24"/>
    <mergeCell ref="D1:E1"/>
    <mergeCell ref="B9:B15"/>
    <mergeCell ref="A45:E45"/>
    <mergeCell ref="A36:E36"/>
    <mergeCell ref="A42:C42"/>
    <mergeCell ref="A65:E65"/>
    <mergeCell ref="C27:E27"/>
    <mergeCell ref="A7:E7"/>
    <mergeCell ref="C12:C15"/>
    <mergeCell ref="A37:E37"/>
    <mergeCell ref="B3:E3"/>
    <mergeCell ref="E16:E22"/>
    <mergeCell ref="B16:B22"/>
    <mergeCell ref="A43:C43"/>
    <mergeCell ref="A44:C44"/>
    <mergeCell ref="A2:E2"/>
    <mergeCell ref="A9:A15"/>
    <mergeCell ref="A33:E33"/>
    <mergeCell ref="A40:C40"/>
    <mergeCell ref="A47:E47"/>
    <mergeCell ref="D4:E4"/>
    <mergeCell ref="A32:E32"/>
    <mergeCell ref="A39:C39"/>
    <mergeCell ref="C19:C22"/>
    <mergeCell ref="A35:E35"/>
    <mergeCell ref="A38:E38"/>
    <mergeCell ref="A1:C1"/>
    <mergeCell ref="C16:C18"/>
    <mergeCell ref="D5:E5"/>
    <mergeCell ref="C29:E29"/>
    <mergeCell ref="C9:C11"/>
  </mergeCells>
  <printOptions horizontalCentered="1"/>
  <pageMargins left="0.5" right="0.5" top="0.45" bottom="0.45" header="0.2" footer="0.2"/>
  <pageSetup orientation="portrait" paperSize="9" fitToHeight="0" fitToWidth="1"/>
  <rowBreaks count="1" manualBreakCount="1">
    <brk id="37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8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35" t="inlineStr">
        <is>
          <t xml:space="preserve">작성 예시 (가상의 현장)  </t>
        </is>
      </c>
    </row>
    <row r="2" ht="32" customHeight="1">
      <c r="A2" s="34" t="inlineStr">
        <is>
          <t>포 장 시 공 순 서 도</t>
        </is>
      </c>
    </row>
    <row r="3" ht="19" customHeight="1"/>
    <row r="4" ht="19" customHeight="1"/>
    <row r="5" ht="19" customHeight="1"/>
    <row r="6" ht="19" customHeight="1"/>
    <row r="7" ht="19" customHeight="1"/>
    <row r="8" ht="19" customHeight="1"/>
    <row r="9" ht="19" customHeight="1"/>
    <row r="10" ht="19" customHeight="1"/>
    <row r="11" ht="19" customHeight="1"/>
    <row r="12" ht="19" customHeight="1"/>
    <row r="13" ht="19" customHeight="1"/>
    <row r="14" ht="19" customHeight="1"/>
    <row r="15" ht="19" customHeight="1"/>
    <row r="16" ht="19" customHeight="1"/>
    <row r="17" ht="19" customHeight="1"/>
    <row r="18" ht="19" customHeight="1"/>
    <row r="19" ht="19" customHeight="1"/>
    <row r="20" ht="19" customHeight="1"/>
    <row r="21" ht="19" customHeight="1"/>
    <row r="22" ht="19" customHeight="1"/>
    <row r="23" ht="19" customHeight="1"/>
    <row r="24" ht="19" customHeight="1"/>
    <row r="25" ht="19" customHeight="1"/>
    <row r="26" ht="19" customHeight="1"/>
    <row r="28" ht="19.5" customHeight="1">
      <c r="A28" s="33" t="inlineStr">
        <is>
          <t>원본 계획서의 시공순서도 그림입니다(참고용).</t>
        </is>
      </c>
    </row>
  </sheetData>
  <mergeCells count="4">
    <mergeCell ref="G1:L1"/>
    <mergeCell ref="A2:L2"/>
    <mergeCell ref="A1:F1"/>
    <mergeCell ref="A28:L28"/>
  </mergeCells>
  <printOptions horizontalCentered="1"/>
  <pageMargins left="0.4" right="0.4" top="0.45" bottom="0.45" header="0.2" footer="0.2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아스콘 포장 작업계획서</dc:title>
  <dcterms:created xmlns:dcterms="http://purl.org/dc/terms/" xmlns:xsi="http://www.w3.org/2001/XMLSchema-instance" xsi:type="dcterms:W3CDTF">2026-09-29T09:38:59Z</dcterms:created>
  <dcterms:modified xmlns:dcterms="http://purl.org/dc/terms/" xmlns:xsi="http://www.w3.org/2001/XMLSchema-instance" xsi:type="dcterms:W3CDTF">2026-09-29T09:38:59Z</dcterms:modified>
</cp:coreProperties>
</file>