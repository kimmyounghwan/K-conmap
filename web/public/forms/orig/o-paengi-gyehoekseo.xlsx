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요" sheetId="2" state="visible" r:id="rId2"/>
    <sheet xmlns:r="http://schemas.openxmlformats.org/officeDocument/2006/relationships" name="공정표" sheetId="3" state="visible" r:id="rId3"/>
    <sheet xmlns:r="http://schemas.openxmlformats.org/officeDocument/2006/relationships" name="시공방법" sheetId="4" state="visible" r:id="rId4"/>
    <sheet xmlns:r="http://schemas.openxmlformats.org/officeDocument/2006/relationships" name="관리계획" sheetId="5" state="visible" r:id="rId5"/>
    <sheet xmlns:r="http://schemas.openxmlformats.org/officeDocument/2006/relationships" name="예시-표지" sheetId="6" state="visible" r:id="rId6"/>
    <sheet xmlns:r="http://schemas.openxmlformats.org/officeDocument/2006/relationships" name="예시-개요" sheetId="7" state="visible" r:id="rId7"/>
    <sheet xmlns:r="http://schemas.openxmlformats.org/officeDocument/2006/relationships" name="예시-공정표" sheetId="8" state="visible" r:id="rId8"/>
    <sheet xmlns:r="http://schemas.openxmlformats.org/officeDocument/2006/relationships" name="예시-시공방법" sheetId="9" state="visible" r:id="rId9"/>
    <sheet xmlns:r="http://schemas.openxmlformats.org/officeDocument/2006/relationships" name="예시-관리계획" sheetId="10" state="visible" r:id="rId10"/>
  </sheets>
  <definedNames>
    <definedName name="_xlnm.Print_Area" localSheetId="0">'표지'!$A$1:$L$10</definedName>
    <definedName name="_xlnm.Print_Area" localSheetId="1">'개요'!$A$1:$L$113</definedName>
    <definedName name="_xlnm.Print_Area" localSheetId="2">'공정표'!$A$1:$AJ$16</definedName>
    <definedName name="_xlnm.Print_Area" localSheetId="3">'시공방법'!$A$1:$L$83</definedName>
    <definedName name="_xlnm.Print_Area" localSheetId="4">'관리계획'!$A$1:$L$123</definedName>
    <definedName name="_xlnm.Print_Area" localSheetId="5">'예시-표지'!$A$1:$L$10</definedName>
    <definedName name="_xlnm.Print_Area" localSheetId="6">'예시-개요'!$A$1:$L$113</definedName>
    <definedName name="_xlnm.Print_Area" localSheetId="7">'예시-공정표'!$A$1:$AJ$16</definedName>
    <definedName name="_xlnm.Print_Area" localSheetId="8">'예시-시공방법'!$A$1:$L$83</definedName>
    <definedName name="_xlnm.Print_Area" localSheetId="9">'예시-관리계획'!$A$1:$L$123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yyyy&quot;. &quot;m&quot;.&quot;"/>
    <numFmt numFmtId="165" formatCode="yyyy. m. d."/>
    <numFmt numFmtId="166" formatCode="&quot;(총 &quot;#,##0&quot;일)&quot;;;&quot;&quot;"/>
    <numFmt numFmtId="167" formatCode="&quot;₩&quot;#,##0;;&quot;&quot;"/>
    <numFmt numFmtId="168" formatCode="[DBNum4][$-412]&quot;일금 &quot;General&quot;원정&quot;;;&quot;&quot;"/>
    <numFmt numFmtId="169" formatCode="#,##0.##;;&quot;&quot;"/>
    <numFmt numFmtId="170" formatCode="#,##0.##&quot; ㎡&quot;"/>
    <numFmt numFmtId="171" formatCode="#,##0&quot;인&quot;;;&quot;&quot;"/>
    <numFmt numFmtId="172" formatCode="#,##0&quot;인&quot;"/>
    <numFmt numFmtId="173" formatCode="#,##0;;&quot;&quot;"/>
    <numFmt numFmtId="174" formatCode="d;;&quot;&quot;"/>
    <numFmt numFmtId="175" formatCode="0;;&quot;&quot;"/>
    <numFmt numFmtId="176" formatCode="#,##0&quot;일&quot;;;&quot;&quot;"/>
    <numFmt numFmtId="177" formatCode="&quot;마치는 날 : &quot;yyyy&quot;년 &quot;m&quot;월 &quot;d&quot;일&quot;;;&quot;&quot;"/>
    <numFmt numFmtId="178" formatCode="yyyy-mm-dd"/>
  </numFmts>
  <fonts count="2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000000"/>
      <sz val="16"/>
    </font>
    <font>
      <name val="맑은 고딕"/>
      <b val="1"/>
      <color rgb="00111827"/>
      <sz val="30"/>
    </font>
    <font>
      <name val="맑은 고딕"/>
      <b val="1"/>
      <color rgb="00374151"/>
      <sz val="18"/>
    </font>
    <font>
      <name val="맑은 고딕"/>
      <color rgb="00000000"/>
      <sz val="15"/>
    </font>
    <font>
      <name val="맑은 고딕"/>
      <b val="1"/>
      <color rgb="00000000"/>
      <sz val="18"/>
    </font>
    <font>
      <name val="맑은 고딕"/>
      <b val="1"/>
      <color rgb="00111827"/>
      <sz val="22"/>
    </font>
    <font>
      <name val="맑은 고딕"/>
      <color rgb="001F2937"/>
      <sz val="10"/>
    </font>
    <font>
      <name val="맑은 고딕"/>
      <b val="1"/>
      <color rgb="001F2937"/>
      <sz val="12.5"/>
    </font>
    <font>
      <name val="맑은 고딕"/>
      <b val="1"/>
      <color rgb="00111827"/>
      <sz val="14"/>
    </font>
    <font>
      <name val="맑은 고딕"/>
      <b val="1"/>
      <color rgb="001F2937"/>
      <sz val="13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9.5"/>
    </font>
    <font>
      <name val="맑은 고딕"/>
      <color rgb="00000000"/>
      <sz val="9.5"/>
    </font>
    <font>
      <name val="맑은 고딕"/>
      <color rgb="001F2937"/>
      <sz val="9"/>
    </font>
    <font>
      <name val="맑은 고딕"/>
      <color rgb="009CA3AF"/>
      <sz val="9"/>
    </font>
    <font>
      <name val="맑은 고딕"/>
      <color rgb="00000000"/>
      <sz val="9"/>
    </font>
    <font>
      <name val="맑은 고딕"/>
      <b val="1"/>
      <color rgb="00111827"/>
      <sz val="16"/>
    </font>
    <font>
      <name val="맑은 고딕"/>
      <b val="1"/>
      <color rgb="001F2937"/>
      <sz val="8.5"/>
    </font>
    <font>
      <name val="맑은 고딕"/>
      <b val="1"/>
      <color rgb="001F2937"/>
      <sz val="9"/>
    </font>
    <font>
      <name val="맑은 고딕"/>
      <b val="1"/>
      <color rgb="001F2937"/>
      <sz val="7.5"/>
    </font>
    <font>
      <name val="맑은 고딕"/>
      <color rgb="001F2937"/>
      <sz val="6.5"/>
    </font>
    <font>
      <name val="맑은 고딕"/>
      <color rgb="001F2937"/>
      <sz val="8.5"/>
    </font>
    <font>
      <name val="맑은 고딕"/>
      <color rgb="00000000"/>
      <sz val="8"/>
    </font>
    <font>
      <name val="맑은 고딕"/>
      <b val="1"/>
      <color rgb="00111827"/>
      <sz val="11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165" fontId="14" fillId="0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left" vertical="center" shrinkToFit="1"/>
    </xf>
    <xf numFmtId="167" fontId="14" fillId="0" borderId="1" applyAlignment="1" pivotButton="0" quotePrefix="0" xfId="0">
      <alignment horizontal="right" vertical="center" shrinkToFit="1"/>
    </xf>
    <xf numFmtId="168" fontId="15" fillId="3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169" fontId="14" fillId="0" borderId="1" applyAlignment="1" pivotButton="0" quotePrefix="0" xfId="0">
      <alignment horizontal="right" vertical="center" shrinkToFit="1"/>
    </xf>
    <xf numFmtId="0" fontId="13" fillId="5" borderId="1" applyAlignment="1" pivotButton="0" quotePrefix="0" xfId="0">
      <alignment horizontal="center" vertical="center" wrapText="1"/>
    </xf>
    <xf numFmtId="170" fontId="13" fillId="3" borderId="1" applyAlignment="1" pivotButton="0" quotePrefix="0" xfId="0">
      <alignment horizontal="right" vertical="center" shrinkToFit="1"/>
    </xf>
    <xf numFmtId="0" fontId="1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71" fontId="14" fillId="0" borderId="1" applyAlignment="1" pivotButton="0" quotePrefix="0" xfId="0">
      <alignment horizontal="center" vertical="center" shrinkToFit="1"/>
    </xf>
    <xf numFmtId="172" fontId="13" fillId="3" borderId="1" applyAlignment="1" pivotButton="0" quotePrefix="0" xfId="0">
      <alignment horizontal="center" vertical="center" shrinkToFit="1"/>
    </xf>
    <xf numFmtId="173" fontId="14" fillId="0" borderId="1" applyAlignment="1" pivotButton="0" quotePrefix="0" xfId="0">
      <alignment horizontal="center" vertical="center" shrinkToFit="1"/>
    </xf>
    <xf numFmtId="0" fontId="19" fillId="0" borderId="1" applyAlignment="1" pivotButton="0" quotePrefix="0" xfId="0">
      <alignment horizontal="left" vertical="center" wrapText="1"/>
    </xf>
    <xf numFmtId="3" fontId="13" fillId="3" borderId="1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174" fontId="24" fillId="4" borderId="1" applyAlignment="1" pivotButton="0" quotePrefix="0" xfId="0">
      <alignment horizontal="center" vertical="center" shrinkToFit="1"/>
    </xf>
    <xf numFmtId="175" fontId="19" fillId="0" borderId="1" applyAlignment="1" pivotButton="0" quotePrefix="0" xfId="0">
      <alignment horizontal="center" vertical="center" shrinkToFit="1"/>
    </xf>
    <xf numFmtId="175" fontId="17" fillId="3" borderId="1" applyAlignment="1" pivotButton="0" quotePrefix="0" xfId="0">
      <alignment horizontal="center" vertical="center" shrinkToFit="1"/>
    </xf>
    <xf numFmtId="0" fontId="25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176" fontId="13" fillId="3" borderId="1" applyAlignment="1" pivotButton="0" quotePrefix="0" xfId="0">
      <alignment horizontal="center" vertical="center" shrinkToFit="1"/>
    </xf>
    <xf numFmtId="177" fontId="9" fillId="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top" wrapText="1"/>
    </xf>
    <xf numFmtId="0" fontId="15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right" vertical="top" wrapText="1"/>
    </xf>
    <xf numFmtId="0" fontId="9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 indent="2"/>
    </xf>
    <xf numFmtId="0" fontId="28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numFmt numFmtId="300" formatCode="#,##0;;&quot;&quot;"/>
    </dxf>
    <dxf>
      <numFmt numFmtId="301" formatCode="#,##0&quot; ㎡&quot;"/>
    </dxf>
    <dxf>
      <fill>
        <patternFill patternType="solid">
          <fgColor rgb="002F5597"/>
          <bgColor rgb="002F559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/Relationships>
</file>

<file path=xl/drawings/drawing1.xml><?xml version="1.0" encoding="utf-8"?>
<wsDr xmlns="http://schemas.openxmlformats.org/drawingml/2006/spreadsheetDrawing">
  <oneCellAnchor>
    <from>
      <col>0</col>
      <colOff>400050</colOff>
      <row>14</row>
      <rowOff>47625</rowOff>
    </from>
    <ext cx="5248275" cy="421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</colOff>
      <row>37</row>
      <rowOff>104775</rowOff>
    </from>
    <ext cx="5962650" cy="3838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</colOff>
      <row>59</row>
      <rowOff>95250</rowOff>
    </from>
    <ext cx="5962650" cy="3086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400050</colOff>
      <row>14</row>
      <rowOff>47625</rowOff>
    </from>
    <ext cx="5248275" cy="421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</colOff>
      <row>37</row>
      <rowOff>104775</rowOff>
    </from>
    <ext cx="5962650" cy="3838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</colOff>
      <row>59</row>
      <rowOff>95250</rowOff>
    </from>
    <ext cx="5962650" cy="3086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90" customHeight="1"/>
    <row r="3" ht="40" customHeight="1">
      <c r="A3" s="3" t="inlineStr">
        <is>
          <t>(공 사 명)</t>
        </is>
      </c>
    </row>
    <row r="4" ht="70" customHeight="1"/>
    <row r="5" ht="64" customHeight="1">
      <c r="A5" s="4" t="inlineStr">
        <is>
          <t>시  공  계  획  서</t>
        </is>
      </c>
    </row>
    <row r="6" ht="40" customHeight="1">
      <c r="A6" s="5" t="inlineStr">
        <is>
          <t>[ 팽이기초 ]</t>
        </is>
      </c>
    </row>
    <row r="7" ht="120" customHeight="1"/>
    <row r="8" ht="32" customHeight="1">
      <c r="A8" s="6" t="inlineStr">
        <is>
          <t>20    .    .</t>
        </is>
      </c>
    </row>
    <row r="9" ht="110" customHeight="1"/>
    <row r="10" ht="44" customHeight="1">
      <c r="A10" s="7" t="inlineStr">
        <is>
          <t>(회 사 명)</t>
        </is>
      </c>
    </row>
    <row r="12" ht="19.5" customHeight="1">
      <c r="A12" s="8" t="inlineStr">
        <is>
          <t>공사명 · 작성 연월(2026-03 처럼) · 회사명을 여기 한 번만 적으면 뒤 장에 저절로 들어갑니다.</t>
        </is>
      </c>
    </row>
  </sheetData>
  <mergeCells count="8">
    <mergeCell ref="G1:L1"/>
    <mergeCell ref="A10:L10"/>
    <mergeCell ref="A1:F1"/>
    <mergeCell ref="A5:L5"/>
    <mergeCell ref="A8:L8"/>
    <mergeCell ref="A6:L6"/>
    <mergeCell ref="A3:L3"/>
    <mergeCell ref="A12:L12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16" customHeight="1"/>
    <row r="3" ht="50" customHeight="1">
      <c r="A3" s="9" t="inlineStr">
        <is>
          <t>목          차</t>
        </is>
      </c>
    </row>
    <row r="4" ht="14" customHeight="1"/>
    <row r="5" ht="30" customHeight="1">
      <c r="A5" s="10" t="inlineStr"/>
      <c r="C5" s="11" t="inlineStr">
        <is>
          <t>1.  공    사    명</t>
        </is>
      </c>
      <c r="K5" s="10" t="inlineStr"/>
    </row>
    <row r="6" ht="30" customHeight="1">
      <c r="A6" s="10" t="inlineStr"/>
      <c r="C6" s="11" t="inlineStr">
        <is>
          <t>2.  공  사  개  요</t>
        </is>
      </c>
      <c r="K6" s="10" t="inlineStr"/>
    </row>
    <row r="7" ht="30" customHeight="1">
      <c r="A7" s="10" t="inlineStr"/>
      <c r="C7" s="11" t="inlineStr">
        <is>
          <t>3.  공  사  위  치</t>
        </is>
      </c>
      <c r="K7" s="10" t="inlineStr"/>
    </row>
    <row r="8" ht="30" customHeight="1">
      <c r="A8" s="10" t="inlineStr"/>
      <c r="C8" s="11" t="inlineStr">
        <is>
          <t>4.  주요 공사 물량</t>
        </is>
      </c>
      <c r="K8" s="10" t="inlineStr"/>
    </row>
    <row r="9" ht="30" customHeight="1">
      <c r="A9" s="10" t="inlineStr"/>
      <c r="C9" s="11" t="inlineStr">
        <is>
          <t>5.  현 장  조 직 도</t>
        </is>
      </c>
      <c r="K9" s="10" t="inlineStr"/>
    </row>
    <row r="10" ht="30" customHeight="1">
      <c r="A10" s="10" t="inlineStr"/>
      <c r="C10" s="11" t="inlineStr">
        <is>
          <t>6.  투입장비 및 자재</t>
        </is>
      </c>
      <c r="K10" s="10" t="inlineStr"/>
    </row>
    <row r="11" ht="30" customHeight="1">
      <c r="A11" s="10" t="inlineStr"/>
      <c r="C11" s="11" t="inlineStr">
        <is>
          <t>7.  투 입  인 원</t>
        </is>
      </c>
      <c r="K11" s="10" t="inlineStr"/>
    </row>
    <row r="12" ht="30" customHeight="1">
      <c r="A12" s="10" t="inlineStr"/>
      <c r="C12" s="11" t="inlineStr">
        <is>
          <t>8.  예 정  공 정 표</t>
        </is>
      </c>
      <c r="K12" s="10" t="inlineStr"/>
    </row>
    <row r="13" ht="30" customHeight="1">
      <c r="A13" s="10" t="inlineStr"/>
      <c r="C13" s="11" t="inlineStr">
        <is>
          <t>9.  팽이기초 작업 순서도</t>
        </is>
      </c>
      <c r="K13" s="10" t="inlineStr"/>
    </row>
    <row r="14" ht="30" customHeight="1">
      <c r="A14" s="10" t="inlineStr"/>
      <c r="C14" s="11" t="inlineStr">
        <is>
          <t>10. 팽이기초의 특성 및 용도</t>
        </is>
      </c>
      <c r="K14" s="10" t="inlineStr"/>
    </row>
    <row r="15" ht="30" customHeight="1">
      <c r="A15" s="10" t="inlineStr"/>
      <c r="C15" s="11" t="inlineStr">
        <is>
          <t>11. 팽이기초 시공방법</t>
        </is>
      </c>
      <c r="K15" s="10" t="inlineStr"/>
    </row>
    <row r="16" ht="30" customHeight="1">
      <c r="A16" s="10" t="inlineStr"/>
      <c r="C16" s="11" t="inlineStr">
        <is>
          <t>12. 품질 관리 계획</t>
        </is>
      </c>
      <c r="K16" s="10" t="inlineStr"/>
    </row>
    <row r="17" ht="30" customHeight="1">
      <c r="A17" s="10" t="inlineStr"/>
      <c r="C17" s="11" t="inlineStr">
        <is>
          <t>13. 환경 관리 계획</t>
        </is>
      </c>
      <c r="K17" s="10" t="inlineStr"/>
    </row>
    <row r="18" ht="30" customHeight="1">
      <c r="A18" s="10" t="inlineStr"/>
      <c r="C18" s="11" t="inlineStr">
        <is>
          <t>14. 안전 관리 계획</t>
        </is>
      </c>
      <c r="K18" s="10" t="inlineStr"/>
    </row>
    <row r="19" ht="30" customHeight="1">
      <c r="A19" s="10" t="inlineStr"/>
      <c r="C19" s="11" t="inlineStr">
        <is>
          <t>15. 평판재하시험 계획</t>
        </is>
      </c>
      <c r="K19" s="10" t="inlineStr"/>
    </row>
    <row r="20" ht="30" customHeight="1">
      <c r="A20" s="10" t="inlineStr"/>
      <c r="C20" s="11" t="inlineStr">
        <is>
          <t>[첨부] 관련 도면</t>
        </is>
      </c>
      <c r="K20" s="10" t="inlineStr"/>
    </row>
    <row r="21" ht="4" customHeight="1"/>
    <row r="22" ht="30" customHeight="1">
      <c r="A22" s="12" t="inlineStr">
        <is>
          <t>1.0   공 사 명</t>
        </is>
      </c>
    </row>
    <row r="23" ht="4" customHeight="1"/>
    <row r="24" ht="30" customHeight="1">
      <c r="A24" s="10" t="inlineStr"/>
      <c r="B24" s="13">
        <f>IF(OR('표지'!A3="",'표지'!A3="(공 사 명)"),"","◦ "&amp;'표지'!A3)</f>
        <v/>
      </c>
    </row>
    <row r="25" ht="4" customHeight="1"/>
    <row r="26" ht="30" customHeight="1">
      <c r="A26" s="12" t="inlineStr">
        <is>
          <t>2.0   공 사 개 요</t>
        </is>
      </c>
    </row>
    <row r="27" ht="4" customHeight="1"/>
    <row r="28" ht="28" customHeight="1">
      <c r="A28" s="14" t="inlineStr">
        <is>
          <t>공 사 명</t>
        </is>
      </c>
      <c r="B28" s="15" t="n"/>
      <c r="C28" s="15" t="n"/>
      <c r="D28" s="16">
        <f>IF(OR('표지'!A3="",'표지'!A3="(공 사 명)"),"",'표지'!A3)</f>
        <v/>
      </c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 ht="26" customHeight="1">
      <c r="A29" s="14" t="inlineStr">
        <is>
          <t>공 사 위 치</t>
        </is>
      </c>
      <c r="B29" s="15" t="n"/>
      <c r="C29" s="15" t="n"/>
      <c r="D29" s="17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 ht="26" customHeight="1">
      <c r="A30" s="14" t="inlineStr">
        <is>
          <t>발  주  처</t>
        </is>
      </c>
      <c r="B30" s="15" t="n"/>
      <c r="C30" s="15" t="n"/>
      <c r="D30" s="17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26" customHeight="1">
      <c r="A31" s="14" t="inlineStr">
        <is>
          <t>공 사 기 간</t>
        </is>
      </c>
      <c r="B31" s="15" t="n"/>
      <c r="C31" s="15" t="n"/>
      <c r="D31" s="18" t="n"/>
      <c r="E31" s="15" t="n"/>
      <c r="F31" s="19" t="inlineStr">
        <is>
          <t>~</t>
        </is>
      </c>
      <c r="G31" s="18" t="n"/>
      <c r="H31" s="15" t="n"/>
      <c r="I31" s="20">
        <f>IF(OR(N(D31)=0,N(G31)=0),"",IF(G31&lt;D31,"⚠ 준공일이 착공일보다 빠름",G31-D31+1))</f>
        <v/>
      </c>
      <c r="J31" s="15" t="n"/>
      <c r="K31" s="15" t="n"/>
      <c r="L31" s="15" t="n"/>
    </row>
    <row r="32" ht="26" customHeight="1">
      <c r="A32" s="14" t="inlineStr">
        <is>
          <t>공 사 금 액</t>
        </is>
      </c>
      <c r="B32" s="15" t="n"/>
      <c r="C32" s="15" t="n"/>
      <c r="D32" s="21" t="n"/>
      <c r="E32" s="15" t="n"/>
      <c r="F32" s="15" t="n"/>
      <c r="G32" s="22">
        <f>IF(N(D32)=0,"",D32)</f>
        <v/>
      </c>
      <c r="H32" s="15" t="n"/>
      <c r="I32" s="15" t="n"/>
      <c r="J32" s="15" t="n"/>
      <c r="K32" s="15" t="n"/>
      <c r="L32" s="15" t="n"/>
    </row>
    <row r="33" ht="26" customHeight="1">
      <c r="A33" s="14" t="inlineStr">
        <is>
          <t>공 사 규 모</t>
        </is>
      </c>
      <c r="B33" s="15" t="n"/>
      <c r="C33" s="15" t="n"/>
      <c r="D33" s="23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 ht="26" customHeight="1">
      <c r="A34" s="14" t="inlineStr">
        <is>
          <t>현 장 대 리 인</t>
        </is>
      </c>
      <c r="B34" s="15" t="n"/>
      <c r="C34" s="15" t="n"/>
      <c r="D34" s="23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26" customHeight="1">
      <c r="A35" s="14" t="inlineStr">
        <is>
          <t>시  공  사</t>
        </is>
      </c>
      <c r="B35" s="15" t="n"/>
      <c r="C35" s="15" t="n"/>
      <c r="D35" s="16">
        <f>IF(OR('표지'!A10="",'표지'!A10="(회 사 명)"),"",'표지'!A10)</f>
        <v/>
      </c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 ht="4" customHeight="1"/>
    <row r="37" ht="30" customHeight="1">
      <c r="A37" s="12" t="inlineStr">
        <is>
          <t>3.0   공 사 위 치</t>
        </is>
      </c>
    </row>
    <row r="38" ht="4" customHeight="1"/>
    <row r="39" ht="20" customHeight="1">
      <c r="A39" s="24" t="inlineStr">
        <is>
          <t>(위치도를 붙이는 곳 — 현장 위치와 팽이기초 시공 구간을 표시)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 ht="20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20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 ht="20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 ht="20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 ht="20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 ht="20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 ht="20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 ht="20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 ht="20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 ht="20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 ht="20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 ht="4" customHeight="1"/>
    <row r="52" ht="30" customHeight="1">
      <c r="A52" s="12" t="inlineStr">
        <is>
          <t>4.0   주요 공사 물량</t>
        </is>
      </c>
    </row>
    <row r="53" ht="4" customHeight="1"/>
    <row r="54" ht="24" customHeight="1">
      <c r="A54" s="25" t="inlineStr">
        <is>
          <t>구    분</t>
        </is>
      </c>
      <c r="B54" s="15" t="n"/>
      <c r="C54" s="15" t="n"/>
      <c r="D54" s="15" t="n"/>
      <c r="E54" s="25" t="inlineStr">
        <is>
          <t>팽이기초 시공면적 (㎡)</t>
        </is>
      </c>
      <c r="F54" s="15" t="n"/>
      <c r="G54" s="15" t="n"/>
      <c r="H54" s="15" t="n"/>
      <c r="I54" s="25" t="inlineStr">
        <is>
          <t>비    고</t>
        </is>
      </c>
      <c r="J54" s="15" t="n"/>
      <c r="K54" s="15" t="n"/>
      <c r="L54" s="15" t="n"/>
    </row>
    <row r="55" ht="24" customHeight="1">
      <c r="A55" s="26" t="n"/>
      <c r="B55" s="15" t="n"/>
      <c r="C55" s="15" t="n"/>
      <c r="D55" s="15" t="n"/>
      <c r="E55" s="27" t="n"/>
      <c r="F55" s="15" t="n"/>
      <c r="G55" s="15" t="n"/>
      <c r="H55" s="15" t="n"/>
      <c r="I55" s="23" t="n"/>
      <c r="J55" s="15" t="n"/>
      <c r="K55" s="15" t="n"/>
      <c r="L55" s="15" t="n"/>
    </row>
    <row r="56" ht="24" customHeight="1">
      <c r="A56" s="26" t="n"/>
      <c r="B56" s="15" t="n"/>
      <c r="C56" s="15" t="n"/>
      <c r="D56" s="15" t="n"/>
      <c r="E56" s="27" t="n"/>
      <c r="F56" s="15" t="n"/>
      <c r="G56" s="15" t="n"/>
      <c r="H56" s="15" t="n"/>
      <c r="I56" s="23" t="n"/>
      <c r="J56" s="15" t="n"/>
      <c r="K56" s="15" t="n"/>
      <c r="L56" s="15" t="n"/>
    </row>
    <row r="57" ht="24" customHeight="1">
      <c r="A57" s="26" t="n"/>
      <c r="B57" s="15" t="n"/>
      <c r="C57" s="15" t="n"/>
      <c r="D57" s="15" t="n"/>
      <c r="E57" s="27" t="n"/>
      <c r="F57" s="15" t="n"/>
      <c r="G57" s="15" t="n"/>
      <c r="H57" s="15" t="n"/>
      <c r="I57" s="23" t="n"/>
      <c r="J57" s="15" t="n"/>
      <c r="K57" s="15" t="n"/>
      <c r="L57" s="15" t="n"/>
    </row>
    <row r="58" ht="24" customHeight="1">
      <c r="A58" s="26" t="n"/>
      <c r="B58" s="15" t="n"/>
      <c r="C58" s="15" t="n"/>
      <c r="D58" s="15" t="n"/>
      <c r="E58" s="27" t="n"/>
      <c r="F58" s="15" t="n"/>
      <c r="G58" s="15" t="n"/>
      <c r="H58" s="15" t="n"/>
      <c r="I58" s="23" t="n"/>
      <c r="J58" s="15" t="n"/>
      <c r="K58" s="15" t="n"/>
      <c r="L58" s="15" t="n"/>
    </row>
    <row r="59" ht="24" customHeight="1">
      <c r="A59" s="26" t="n"/>
      <c r="B59" s="15" t="n"/>
      <c r="C59" s="15" t="n"/>
      <c r="D59" s="15" t="n"/>
      <c r="E59" s="27" t="n"/>
      <c r="F59" s="15" t="n"/>
      <c r="G59" s="15" t="n"/>
      <c r="H59" s="15" t="n"/>
      <c r="I59" s="23" t="n"/>
      <c r="J59" s="15" t="n"/>
      <c r="K59" s="15" t="n"/>
      <c r="L59" s="15" t="n"/>
    </row>
    <row r="60" ht="24" customHeight="1">
      <c r="A60" s="28" t="inlineStr">
        <is>
          <t>합    계</t>
        </is>
      </c>
      <c r="B60" s="15" t="n"/>
      <c r="C60" s="15" t="n"/>
      <c r="D60" s="15" t="n"/>
      <c r="E60" s="29">
        <f>IF(SUM(E55:E59)=0,"",SUM(E55:E59))</f>
        <v/>
      </c>
      <c r="F60" s="15" t="n"/>
      <c r="G60" s="15" t="n"/>
      <c r="H60" s="15" t="n"/>
      <c r="I60" s="28" t="inlineStr"/>
      <c r="J60" s="15" t="n"/>
      <c r="K60" s="15" t="n"/>
      <c r="L60" s="15" t="n"/>
    </row>
    <row r="61" ht="20" customHeight="1">
      <c r="A61" s="24" t="inlineStr">
        <is>
          <t>(팽이기초 부설 평면도를 붙이는 곳 — 동별 시공 범위)</t>
        </is>
      </c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</row>
    <row r="62" ht="20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</row>
    <row r="63" ht="20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</row>
    <row r="64" ht="20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</row>
    <row r="65" ht="20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</row>
    <row r="66" ht="20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</row>
    <row r="67" ht="20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</row>
    <row r="68" ht="20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</row>
    <row r="69" ht="20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</row>
    <row r="70" ht="20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</row>
    <row r="71" ht="20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</row>
    <row r="72" ht="20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</row>
    <row r="73" ht="20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</row>
    <row r="74" ht="20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</row>
    <row r="75" ht="4" customHeight="1"/>
    <row r="76" ht="30" customHeight="1">
      <c r="A76" s="12" t="inlineStr">
        <is>
          <t>5.0   현 장  조 직 도</t>
        </is>
      </c>
    </row>
    <row r="77" ht="4" customHeight="1"/>
    <row r="78" ht="24" customHeight="1">
      <c r="A78" s="10" t="inlineStr"/>
      <c r="E78" s="14" t="inlineStr">
        <is>
          <t>현 장 대 리 인</t>
        </is>
      </c>
      <c r="F78" s="15" t="n"/>
      <c r="G78" s="15" t="n"/>
      <c r="H78" s="15" t="n"/>
      <c r="I78" s="10" t="inlineStr"/>
    </row>
    <row r="79" ht="24" customHeight="1">
      <c r="A79" s="10" t="inlineStr"/>
      <c r="E79" s="26" t="n"/>
      <c r="F79" s="15" t="n"/>
      <c r="G79" s="15" t="n"/>
      <c r="H79" s="15" t="n"/>
      <c r="I79" s="10" t="inlineStr"/>
    </row>
    <row r="80" ht="14" customHeight="1">
      <c r="A80" s="30" t="inlineStr">
        <is>
          <t>│</t>
        </is>
      </c>
    </row>
    <row r="81" ht="24" customHeight="1">
      <c r="A81" s="10" t="inlineStr"/>
      <c r="B81" s="14" t="inlineStr">
        <is>
          <t>품 질 관 리 자</t>
        </is>
      </c>
      <c r="C81" s="15" t="n"/>
      <c r="D81" s="15" t="n"/>
      <c r="E81" s="15" t="n"/>
      <c r="F81" s="31" t="inlineStr">
        <is>
          <t>─┼─</t>
        </is>
      </c>
      <c r="H81" s="14" t="inlineStr">
        <is>
          <t>안 전 관 리 자</t>
        </is>
      </c>
      <c r="I81" s="15" t="n"/>
      <c r="J81" s="15" t="n"/>
      <c r="K81" s="15" t="n"/>
      <c r="L81" s="10" t="inlineStr"/>
    </row>
    <row r="82" ht="24" customHeight="1">
      <c r="A82" s="10" t="inlineStr"/>
      <c r="B82" s="26" t="n"/>
      <c r="C82" s="15" t="n"/>
      <c r="D82" s="15" t="n"/>
      <c r="E82" s="15" t="n"/>
      <c r="F82" s="31" t="inlineStr">
        <is>
          <t>│</t>
        </is>
      </c>
      <c r="H82" s="26" t="n"/>
      <c r="I82" s="15" t="n"/>
      <c r="J82" s="15" t="n"/>
      <c r="K82" s="15" t="n"/>
      <c r="L82" s="10" t="inlineStr"/>
    </row>
    <row r="83" ht="14" customHeight="1">
      <c r="A83" s="30" t="inlineStr">
        <is>
          <t>│</t>
        </is>
      </c>
    </row>
    <row r="84" ht="24" customHeight="1">
      <c r="A84" s="10" t="inlineStr"/>
      <c r="E84" s="14" t="inlineStr">
        <is>
          <t>시 공 업 체</t>
        </is>
      </c>
      <c r="F84" s="15" t="n"/>
      <c r="G84" s="15" t="n"/>
      <c r="H84" s="15" t="n"/>
      <c r="I84" s="10" t="inlineStr"/>
    </row>
    <row r="85" ht="24" customHeight="1">
      <c r="A85" s="10" t="inlineStr"/>
      <c r="E85" s="26" t="n"/>
      <c r="F85" s="15" t="n"/>
      <c r="G85" s="15" t="n"/>
      <c r="H85" s="15" t="n"/>
      <c r="I85" s="10" t="inlineStr"/>
    </row>
    <row r="86" ht="14" customHeight="1">
      <c r="A86" s="30" t="inlineStr">
        <is>
          <t>│</t>
        </is>
      </c>
    </row>
    <row r="87" ht="24" customHeight="1">
      <c r="A87" s="10" t="inlineStr"/>
      <c r="E87" s="14" t="inlineStr">
        <is>
          <t>작 업 반 장</t>
        </is>
      </c>
      <c r="F87" s="15" t="n"/>
      <c r="G87" s="15" t="n"/>
      <c r="H87" s="15" t="n"/>
      <c r="I87" s="10" t="inlineStr"/>
    </row>
    <row r="88" ht="24" customHeight="1">
      <c r="A88" s="10" t="inlineStr"/>
      <c r="E88" s="26" t="n"/>
      <c r="F88" s="15" t="n"/>
      <c r="G88" s="15" t="n"/>
      <c r="H88" s="15" t="n"/>
      <c r="I88" s="10" t="inlineStr"/>
    </row>
    <row r="89" ht="14" customHeight="1">
      <c r="A89" s="30" t="inlineStr">
        <is>
          <t>┌──────────┼──────────┐</t>
        </is>
      </c>
    </row>
    <row r="90" ht="24" customHeight="1">
      <c r="A90" s="25" t="inlineStr">
        <is>
          <t>장비기사</t>
        </is>
      </c>
      <c r="B90" s="15" t="n"/>
      <c r="C90" s="15" t="n"/>
      <c r="D90" s="25" t="inlineStr">
        <is>
          <t>보통인부</t>
        </is>
      </c>
      <c r="E90" s="15" t="n"/>
      <c r="F90" s="15" t="n"/>
      <c r="G90" s="25" t="inlineStr">
        <is>
          <t>특별인부</t>
        </is>
      </c>
      <c r="H90" s="15" t="n"/>
      <c r="I90" s="15" t="n"/>
      <c r="J90" s="28" t="inlineStr">
        <is>
          <t>합  계</t>
        </is>
      </c>
      <c r="K90" s="15" t="n"/>
      <c r="L90" s="15" t="n"/>
    </row>
    <row r="91" ht="24" customHeight="1">
      <c r="A91" s="32" t="n">
        <v>1</v>
      </c>
      <c r="B91" s="15" t="n"/>
      <c r="C91" s="15" t="n"/>
      <c r="D91" s="32" t="n">
        <v>5</v>
      </c>
      <c r="E91" s="15" t="n"/>
      <c r="F91" s="15" t="n"/>
      <c r="G91" s="32" t="n">
        <v>3</v>
      </c>
      <c r="H91" s="15" t="n"/>
      <c r="I91" s="15" t="n"/>
      <c r="J91" s="33">
        <f>IF(SUM(A91,D91,G91)=0,"",SUM(A91,D91,G91))</f>
        <v/>
      </c>
      <c r="K91" s="15" t="n"/>
      <c r="L91" s="15" t="n"/>
    </row>
    <row r="92" ht="4" customHeight="1"/>
    <row r="93" ht="30" customHeight="1">
      <c r="A93" s="12" t="inlineStr">
        <is>
          <t>6.0   투입장비 및 자재</t>
        </is>
      </c>
    </row>
    <row r="94" ht="4" customHeight="1"/>
    <row r="95" ht="24" customHeight="1">
      <c r="A95" s="25" t="inlineStr">
        <is>
          <t>구    분</t>
        </is>
      </c>
      <c r="B95" s="15" t="n"/>
      <c r="C95" s="15" t="n"/>
      <c r="D95" s="25" t="inlineStr">
        <is>
          <t>단  위</t>
        </is>
      </c>
      <c r="E95" s="15" t="n"/>
      <c r="F95" s="25" t="inlineStr">
        <is>
          <t>수  량</t>
        </is>
      </c>
      <c r="G95" s="15" t="n"/>
      <c r="H95" s="15" t="n"/>
      <c r="I95" s="25" t="inlineStr">
        <is>
          <t>규    격</t>
        </is>
      </c>
      <c r="J95" s="15" t="n"/>
      <c r="K95" s="15" t="n"/>
      <c r="L95" s="15" t="n"/>
    </row>
    <row r="96" ht="24" customHeight="1">
      <c r="A96" s="26" t="inlineStr">
        <is>
          <t>백호(B/H)</t>
        </is>
      </c>
      <c r="B96" s="15" t="n"/>
      <c r="C96" s="15" t="n"/>
      <c r="D96" s="26" t="inlineStr">
        <is>
          <t>대</t>
        </is>
      </c>
      <c r="E96" s="15" t="n"/>
      <c r="F96" s="27" t="n"/>
      <c r="G96" s="15" t="n"/>
      <c r="H96" s="15" t="n"/>
      <c r="I96" s="26" t="inlineStr">
        <is>
          <t>0.6㎥</t>
        </is>
      </c>
      <c r="J96" s="15" t="n"/>
      <c r="K96" s="15" t="n"/>
      <c r="L96" s="15" t="n"/>
    </row>
    <row r="97" ht="24" customHeight="1">
      <c r="A97" s="26" t="inlineStr">
        <is>
          <t>콘크리트 펌프카</t>
        </is>
      </c>
      <c r="B97" s="15" t="n"/>
      <c r="C97" s="15" t="n"/>
      <c r="D97" s="26" t="inlineStr">
        <is>
          <t>대</t>
        </is>
      </c>
      <c r="E97" s="15" t="n"/>
      <c r="F97" s="27" t="n"/>
      <c r="G97" s="15" t="n"/>
      <c r="H97" s="15" t="n"/>
      <c r="I97" s="26" t="inlineStr">
        <is>
          <t>37m</t>
        </is>
      </c>
      <c r="J97" s="15" t="n"/>
      <c r="K97" s="15" t="n"/>
      <c r="L97" s="15" t="n"/>
    </row>
    <row r="98" ht="24" customHeight="1">
      <c r="A98" s="26" t="inlineStr">
        <is>
          <t>팽이용기</t>
        </is>
      </c>
      <c r="B98" s="15" t="n"/>
      <c r="C98" s="15" t="n"/>
      <c r="D98" s="26" t="inlineStr">
        <is>
          <t>개</t>
        </is>
      </c>
      <c r="E98" s="15" t="n"/>
      <c r="F98" s="27" t="n"/>
      <c r="G98" s="15" t="n"/>
      <c r="H98" s="15" t="n"/>
      <c r="I98" s="26" t="inlineStr">
        <is>
          <t>Φ500형</t>
        </is>
      </c>
      <c r="J98" s="15" t="n"/>
      <c r="K98" s="15" t="n"/>
      <c r="L98" s="15" t="n"/>
    </row>
    <row r="99" ht="24" customHeight="1">
      <c r="A99" s="26" t="inlineStr">
        <is>
          <t>레미콘</t>
        </is>
      </c>
      <c r="B99" s="15" t="n"/>
      <c r="C99" s="15" t="n"/>
      <c r="D99" s="26" t="inlineStr">
        <is>
          <t>㎥</t>
        </is>
      </c>
      <c r="E99" s="15" t="n"/>
      <c r="F99" s="27" t="n"/>
      <c r="G99" s="15" t="n"/>
      <c r="H99" s="15" t="n"/>
      <c r="I99" s="26" t="inlineStr">
        <is>
          <t>25-18-120</t>
        </is>
      </c>
      <c r="J99" s="15" t="n"/>
      <c r="K99" s="15" t="n"/>
      <c r="L99" s="15" t="n"/>
    </row>
    <row r="100" ht="24" customHeight="1">
      <c r="A100" s="26" t="inlineStr">
        <is>
          <t>철근</t>
        </is>
      </c>
      <c r="B100" s="15" t="n"/>
      <c r="C100" s="15" t="n"/>
      <c r="D100" s="26" t="inlineStr">
        <is>
          <t>톤</t>
        </is>
      </c>
      <c r="E100" s="15" t="n"/>
      <c r="F100" s="27" t="n"/>
      <c r="G100" s="15" t="n"/>
      <c r="H100" s="15" t="n"/>
      <c r="I100" s="26" t="inlineStr">
        <is>
          <t>HD10</t>
        </is>
      </c>
      <c r="J100" s="15" t="n"/>
      <c r="K100" s="15" t="n"/>
      <c r="L100" s="15" t="n"/>
    </row>
    <row r="101" ht="24" customHeight="1">
      <c r="A101" s="26" t="inlineStr">
        <is>
          <t>채움 쇄석</t>
        </is>
      </c>
      <c r="B101" s="15" t="n"/>
      <c r="C101" s="15" t="n"/>
      <c r="D101" s="26" t="inlineStr">
        <is>
          <t>㎥</t>
        </is>
      </c>
      <c r="E101" s="15" t="n"/>
      <c r="F101" s="27" t="n"/>
      <c r="G101" s="15" t="n"/>
      <c r="H101" s="15" t="n"/>
      <c r="I101" s="26" t="inlineStr">
        <is>
          <t>25mm</t>
        </is>
      </c>
      <c r="J101" s="15" t="n"/>
      <c r="K101" s="15" t="n"/>
      <c r="L101" s="15" t="n"/>
    </row>
    <row r="102" ht="24" customHeight="1">
      <c r="A102" s="26" t="n"/>
      <c r="B102" s="15" t="n"/>
      <c r="C102" s="15" t="n"/>
      <c r="D102" s="26" t="n"/>
      <c r="E102" s="15" t="n"/>
      <c r="F102" s="27" t="n"/>
      <c r="G102" s="15" t="n"/>
      <c r="H102" s="15" t="n"/>
      <c r="I102" s="26" t="n"/>
      <c r="J102" s="15" t="n"/>
      <c r="K102" s="15" t="n"/>
      <c r="L102" s="15" t="n"/>
    </row>
    <row r="103" ht="24" customHeight="1">
      <c r="A103" s="26" t="n"/>
      <c r="B103" s="15" t="n"/>
      <c r="C103" s="15" t="n"/>
      <c r="D103" s="26" t="n"/>
      <c r="E103" s="15" t="n"/>
      <c r="F103" s="27" t="n"/>
      <c r="G103" s="15" t="n"/>
      <c r="H103" s="15" t="n"/>
      <c r="I103" s="26" t="n"/>
      <c r="J103" s="15" t="n"/>
      <c r="K103" s="15" t="n"/>
      <c r="L103" s="15" t="n"/>
    </row>
    <row r="104" ht="4" customHeight="1"/>
    <row r="105" ht="30" customHeight="1">
      <c r="A105" s="12" t="inlineStr">
        <is>
          <t>7.0   투입인원 (1일 투입)</t>
        </is>
      </c>
    </row>
    <row r="106" ht="4" customHeight="1"/>
    <row r="107" ht="24" customHeight="1">
      <c r="A107" s="25" t="inlineStr">
        <is>
          <t>구    분</t>
        </is>
      </c>
      <c r="B107" s="15" t="n"/>
      <c r="C107" s="15" t="n"/>
      <c r="D107" s="15" t="n"/>
      <c r="E107" s="25" t="inlineStr">
        <is>
          <t>단  위</t>
        </is>
      </c>
      <c r="F107" s="15" t="n"/>
      <c r="G107" s="25" t="inlineStr">
        <is>
          <t>수  량</t>
        </is>
      </c>
      <c r="H107" s="15" t="n"/>
      <c r="I107" s="25" t="inlineStr">
        <is>
          <t>비    고</t>
        </is>
      </c>
      <c r="J107" s="15" t="n"/>
      <c r="K107" s="15" t="n"/>
      <c r="L107" s="15" t="n"/>
    </row>
    <row r="108" ht="24" customHeight="1">
      <c r="A108" s="26" t="inlineStr">
        <is>
          <t>작업반장</t>
        </is>
      </c>
      <c r="B108" s="15" t="n"/>
      <c r="C108" s="15" t="n"/>
      <c r="D108" s="15" t="n"/>
      <c r="E108" s="19" t="inlineStr">
        <is>
          <t>인</t>
        </is>
      </c>
      <c r="F108" s="15" t="n"/>
      <c r="G108" s="34" t="n">
        <v>1</v>
      </c>
      <c r="H108" s="15" t="n"/>
      <c r="I108" s="35" t="n"/>
      <c r="J108" s="15" t="n"/>
      <c r="K108" s="15" t="n"/>
      <c r="L108" s="15" t="n"/>
    </row>
    <row r="109" ht="24" customHeight="1">
      <c r="A109" s="26" t="inlineStr">
        <is>
          <t>장비기사</t>
        </is>
      </c>
      <c r="B109" s="15" t="n"/>
      <c r="C109" s="15" t="n"/>
      <c r="D109" s="15" t="n"/>
      <c r="E109" s="19" t="inlineStr">
        <is>
          <t>인</t>
        </is>
      </c>
      <c r="F109" s="15" t="n"/>
      <c r="G109" s="34" t="n">
        <v>1</v>
      </c>
      <c r="H109" s="15" t="n"/>
      <c r="I109" s="35" t="n"/>
      <c r="J109" s="15" t="n"/>
      <c r="K109" s="15" t="n"/>
      <c r="L109" s="15" t="n"/>
    </row>
    <row r="110" ht="24" customHeight="1">
      <c r="A110" s="26" t="inlineStr">
        <is>
          <t>보통인부</t>
        </is>
      </c>
      <c r="B110" s="15" t="n"/>
      <c r="C110" s="15" t="n"/>
      <c r="D110" s="15" t="n"/>
      <c r="E110" s="19" t="inlineStr">
        <is>
          <t>인</t>
        </is>
      </c>
      <c r="F110" s="15" t="n"/>
      <c r="G110" s="34" t="n">
        <v>5</v>
      </c>
      <c r="H110" s="15" t="n"/>
      <c r="I110" s="35" t="n"/>
      <c r="J110" s="15" t="n"/>
      <c r="K110" s="15" t="n"/>
      <c r="L110" s="15" t="n"/>
    </row>
    <row r="111" ht="24" customHeight="1">
      <c r="A111" s="26" t="inlineStr">
        <is>
          <t>특별인부</t>
        </is>
      </c>
      <c r="B111" s="15" t="n"/>
      <c r="C111" s="15" t="n"/>
      <c r="D111" s="15" t="n"/>
      <c r="E111" s="19" t="inlineStr">
        <is>
          <t>인</t>
        </is>
      </c>
      <c r="F111" s="15" t="n"/>
      <c r="G111" s="34" t="n">
        <v>3</v>
      </c>
      <c r="H111" s="15" t="n"/>
      <c r="I111" s="35" t="n"/>
      <c r="J111" s="15" t="n"/>
      <c r="K111" s="15" t="n"/>
      <c r="L111" s="15" t="n"/>
    </row>
    <row r="112" ht="24" customHeight="1">
      <c r="A112" s="28" t="inlineStr">
        <is>
          <t>계</t>
        </is>
      </c>
      <c r="B112" s="15" t="n"/>
      <c r="C112" s="15" t="n"/>
      <c r="D112" s="15" t="n"/>
      <c r="E112" s="28" t="inlineStr">
        <is>
          <t>인</t>
        </is>
      </c>
      <c r="F112" s="15" t="n"/>
      <c r="G112" s="36">
        <f>IF(SUM(G108,G109,G110,G111)=0,"",SUM(G108,G109,G110,G111))</f>
        <v/>
      </c>
      <c r="H112" s="15" t="n"/>
      <c r="I112" s="28" t="inlineStr"/>
      <c r="J112" s="15" t="n"/>
      <c r="K112" s="15" t="n"/>
      <c r="L112" s="15" t="n"/>
    </row>
    <row r="113" ht="17.325" customHeight="1">
      <c r="A113" s="37" t="inlineStr">
        <is>
          <t>※ 터파기 완료 후 시행.</t>
        </is>
      </c>
    </row>
    <row r="115" ht="34" customHeight="1">
      <c r="A115" s="8" t="inlineStr">
        <is>
          <t>하늘색 칸 = 자동(공사명 · 시공사 · 공사기간 일수 · 금액 한글 · 시공면적 합계 · 인원 합계 · 투입인원 계). 장비 · 자재 이름과 인원은 원본 계획서 값을 넣어 두었습니다.</t>
        </is>
      </c>
    </row>
  </sheetData>
  <mergeCells count="199">
    <mergeCell ref="A15:B15"/>
    <mergeCell ref="D100:E100"/>
    <mergeCell ref="A37:L37"/>
    <mergeCell ref="E111:F111"/>
    <mergeCell ref="A89:L89"/>
    <mergeCell ref="I78:L78"/>
    <mergeCell ref="I109:L109"/>
    <mergeCell ref="A112:D112"/>
    <mergeCell ref="F100:H100"/>
    <mergeCell ref="D31:E31"/>
    <mergeCell ref="A105:L105"/>
    <mergeCell ref="A26:L26"/>
    <mergeCell ref="A113:L113"/>
    <mergeCell ref="A7:B7"/>
    <mergeCell ref="A58:D58"/>
    <mergeCell ref="C20:J20"/>
    <mergeCell ref="H82:K82"/>
    <mergeCell ref="F102:H102"/>
    <mergeCell ref="A91:C91"/>
    <mergeCell ref="A107:D107"/>
    <mergeCell ref="A60:D60"/>
    <mergeCell ref="D33:L33"/>
    <mergeCell ref="A52:L52"/>
    <mergeCell ref="G90:I90"/>
    <mergeCell ref="G32:L32"/>
    <mergeCell ref="E79:H79"/>
    <mergeCell ref="C11:J11"/>
    <mergeCell ref="E88:H88"/>
    <mergeCell ref="F81:G81"/>
    <mergeCell ref="A54:D54"/>
    <mergeCell ref="A93:L93"/>
    <mergeCell ref="G108:H108"/>
    <mergeCell ref="A115:L115"/>
    <mergeCell ref="A17:B17"/>
    <mergeCell ref="A34:C34"/>
    <mergeCell ref="D35:L35"/>
    <mergeCell ref="A83:L83"/>
    <mergeCell ref="A108:D108"/>
    <mergeCell ref="G110:H110"/>
    <mergeCell ref="A56:D56"/>
    <mergeCell ref="D34:L34"/>
    <mergeCell ref="I58:L58"/>
    <mergeCell ref="A19:B19"/>
    <mergeCell ref="D98:E98"/>
    <mergeCell ref="C13:J13"/>
    <mergeCell ref="A9:B9"/>
    <mergeCell ref="K13:L13"/>
    <mergeCell ref="A85:D85"/>
    <mergeCell ref="H81:K81"/>
    <mergeCell ref="C15:J15"/>
    <mergeCell ref="I110:L110"/>
    <mergeCell ref="A11:B11"/>
    <mergeCell ref="K15:L15"/>
    <mergeCell ref="E85:H85"/>
    <mergeCell ref="D99:E99"/>
    <mergeCell ref="F101:H101"/>
    <mergeCell ref="A80:L80"/>
    <mergeCell ref="D91:F91"/>
    <mergeCell ref="A3:L3"/>
    <mergeCell ref="A95:C95"/>
    <mergeCell ref="A111:D111"/>
    <mergeCell ref="I84:L84"/>
    <mergeCell ref="D101:E101"/>
    <mergeCell ref="I31:L31"/>
    <mergeCell ref="A32:C32"/>
    <mergeCell ref="G112:H112"/>
    <mergeCell ref="C10:J10"/>
    <mergeCell ref="C16:J16"/>
    <mergeCell ref="A97:C97"/>
    <mergeCell ref="A59:D59"/>
    <mergeCell ref="J91:L91"/>
    <mergeCell ref="I108:L108"/>
    <mergeCell ref="A29:C29"/>
    <mergeCell ref="I95:L95"/>
    <mergeCell ref="A96:C96"/>
    <mergeCell ref="C9:J9"/>
    <mergeCell ref="A79:D79"/>
    <mergeCell ref="D29:L29"/>
    <mergeCell ref="A88:D88"/>
    <mergeCell ref="A31:C31"/>
    <mergeCell ref="I57:L57"/>
    <mergeCell ref="D103:E103"/>
    <mergeCell ref="I54:L54"/>
    <mergeCell ref="E87:H87"/>
    <mergeCell ref="A8:B8"/>
    <mergeCell ref="E110:F110"/>
    <mergeCell ref="I112:L112"/>
    <mergeCell ref="K17:L17"/>
    <mergeCell ref="F103:H103"/>
    <mergeCell ref="I56:L56"/>
    <mergeCell ref="I96:L96"/>
    <mergeCell ref="A10:B10"/>
    <mergeCell ref="K10:L10"/>
    <mergeCell ref="B24:L24"/>
    <mergeCell ref="K19:L19"/>
    <mergeCell ref="K6:L6"/>
    <mergeCell ref="I98:L98"/>
    <mergeCell ref="I107:L107"/>
    <mergeCell ref="K16:L16"/>
    <mergeCell ref="F95:H95"/>
    <mergeCell ref="A99:C99"/>
    <mergeCell ref="I88:L88"/>
    <mergeCell ref="D32:F32"/>
    <mergeCell ref="C6:J6"/>
    <mergeCell ref="K9:L9"/>
    <mergeCell ref="A109:D109"/>
    <mergeCell ref="K5:L5"/>
    <mergeCell ref="C14:J14"/>
    <mergeCell ref="F97:H97"/>
    <mergeCell ref="A101:C101"/>
    <mergeCell ref="D96:E96"/>
    <mergeCell ref="I59:L59"/>
    <mergeCell ref="I99:L99"/>
    <mergeCell ref="A86:L86"/>
    <mergeCell ref="K11:L11"/>
    <mergeCell ref="I60:L60"/>
    <mergeCell ref="E107:F107"/>
    <mergeCell ref="D28:L28"/>
    <mergeCell ref="A22:L22"/>
    <mergeCell ref="B81:E81"/>
    <mergeCell ref="E55:H55"/>
    <mergeCell ref="J90:L90"/>
    <mergeCell ref="A12:B12"/>
    <mergeCell ref="D30:L30"/>
    <mergeCell ref="A28:C28"/>
    <mergeCell ref="E108:F108"/>
    <mergeCell ref="K8:L8"/>
    <mergeCell ref="A78:D78"/>
    <mergeCell ref="A5:B5"/>
    <mergeCell ref="A87:D87"/>
    <mergeCell ref="A14:B14"/>
    <mergeCell ref="A30:C30"/>
    <mergeCell ref="D102:E102"/>
    <mergeCell ref="C8:J8"/>
    <mergeCell ref="I103:L103"/>
    <mergeCell ref="E84:H84"/>
    <mergeCell ref="C17:J17"/>
    <mergeCell ref="K7:L7"/>
    <mergeCell ref="E78:H78"/>
    <mergeCell ref="I97:L97"/>
    <mergeCell ref="A98:C98"/>
    <mergeCell ref="F99:H99"/>
    <mergeCell ref="A1:F1"/>
    <mergeCell ref="I87:L87"/>
    <mergeCell ref="E112:F112"/>
    <mergeCell ref="A57:D57"/>
    <mergeCell ref="C19:J19"/>
    <mergeCell ref="K18:L18"/>
    <mergeCell ref="I111:L111"/>
    <mergeCell ref="A90:C90"/>
    <mergeCell ref="E57:H57"/>
    <mergeCell ref="I79:L79"/>
    <mergeCell ref="E54:H54"/>
    <mergeCell ref="G107:H107"/>
    <mergeCell ref="C5:J5"/>
    <mergeCell ref="A6:B6"/>
    <mergeCell ref="A16:B16"/>
    <mergeCell ref="K20:L20"/>
    <mergeCell ref="A33:C33"/>
    <mergeCell ref="E56:H56"/>
    <mergeCell ref="A76:L76"/>
    <mergeCell ref="D95:E95"/>
    <mergeCell ref="E58:H58"/>
    <mergeCell ref="F96:H96"/>
    <mergeCell ref="A100:C100"/>
    <mergeCell ref="A18:B18"/>
    <mergeCell ref="A35:C35"/>
    <mergeCell ref="D97:E97"/>
    <mergeCell ref="G91:I91"/>
    <mergeCell ref="G1:L1"/>
    <mergeCell ref="C12:J12"/>
    <mergeCell ref="A110:D110"/>
    <mergeCell ref="K12:L12"/>
    <mergeCell ref="F98:H98"/>
    <mergeCell ref="I101:L101"/>
    <mergeCell ref="A102:C102"/>
    <mergeCell ref="I85:L85"/>
    <mergeCell ref="I100:L100"/>
    <mergeCell ref="K14:L14"/>
    <mergeCell ref="A39:L50"/>
    <mergeCell ref="A84:D84"/>
    <mergeCell ref="A20:B20"/>
    <mergeCell ref="E60:H60"/>
    <mergeCell ref="D90:F90"/>
    <mergeCell ref="G109:H109"/>
    <mergeCell ref="C7:J7"/>
    <mergeCell ref="I102:L102"/>
    <mergeCell ref="A103:C103"/>
    <mergeCell ref="F82:G82"/>
    <mergeCell ref="B82:E82"/>
    <mergeCell ref="A55:D55"/>
    <mergeCell ref="A13:B13"/>
    <mergeCell ref="G31:H31"/>
    <mergeCell ref="I55:L55"/>
    <mergeCell ref="E59:H59"/>
    <mergeCell ref="A61:L74"/>
    <mergeCell ref="G111:H111"/>
    <mergeCell ref="E109:F109"/>
    <mergeCell ref="C18:J18"/>
  </mergeCells>
  <conditionalFormatting sqref="E55:E59">
    <cfRule type="expression" priority="1" dxfId="0">
      <formula>AND(ISNUMBER(E55),MOD(E55,1)=0)</formula>
    </cfRule>
  </conditionalFormatting>
  <conditionalFormatting sqref="F96:F103">
    <cfRule type="expression" priority="2" dxfId="0">
      <formula>AND(ISNUMBER(F96),MOD(F96,1)=0)</formula>
    </cfRule>
  </conditionalFormatting>
  <conditionalFormatting sqref="E60">
    <cfRule type="expression" priority="3" dxfId="1">
      <formula>AND(ISNUMBER(E60),MOD(E60,1)=0)</formula>
    </cfRule>
  </conditionalFormatting>
  <printOptions horizontalCentered="1"/>
  <pageMargins left="0.6" right="0.6" top="0.6" bottom="0.6" header="0.2" footer="0.2"/>
  <pageSetup orientation="portrait" paperSize="9" fitToHeight="0" fitToWidth="1"/>
  <rowBreaks count="4" manualBreakCount="4">
    <brk id="20" min="0" max="16383" man="1"/>
    <brk id="50" min="0" max="16383" man="1"/>
    <brk id="74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18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5" customWidth="1" min="3" max="3"/>
    <col width="5" customWidth="1" min="4" max="4"/>
    <col width="11" customWidth="1" min="5" max="5"/>
    <col width="2.15" customWidth="1" min="6" max="6"/>
    <col width="2.15" customWidth="1" min="7" max="7"/>
    <col width="2.15" customWidth="1" min="8" max="8"/>
    <col width="2.15" customWidth="1" min="9" max="9"/>
    <col width="2.15" customWidth="1" min="10" max="10"/>
    <col width="2.15" customWidth="1" min="11" max="11"/>
    <col width="2.15" customWidth="1" min="12" max="12"/>
    <col width="2.15" customWidth="1" min="13" max="13"/>
    <col width="2.15" customWidth="1" min="14" max="14"/>
    <col width="2.15" customWidth="1" min="15" max="15"/>
    <col width="2.15" customWidth="1" min="16" max="16"/>
    <col width="2.15" customWidth="1" min="17" max="17"/>
    <col width="2.15" customWidth="1" min="18" max="18"/>
    <col width="2.15" customWidth="1" min="19" max="19"/>
    <col width="2.15" customWidth="1" min="20" max="20"/>
    <col width="2.15" customWidth="1" min="21" max="21"/>
    <col width="2.15" customWidth="1" min="22" max="22"/>
    <col width="2.15" customWidth="1" min="23" max="23"/>
    <col width="2.15" customWidth="1" min="24" max="24"/>
    <col width="2.15" customWidth="1" min="25" max="25"/>
    <col width="2.15" customWidth="1" min="26" max="26"/>
    <col width="2.15" customWidth="1" min="27" max="27"/>
    <col width="2.15" customWidth="1" min="28" max="28"/>
    <col width="2.15" customWidth="1" min="29" max="29"/>
    <col width="2.15" customWidth="1" min="30" max="30"/>
    <col width="2.15" customWidth="1" min="31" max="31"/>
    <col width="2.15" customWidth="1" min="32" max="32"/>
    <col width="2.15" customWidth="1" min="33" max="33"/>
    <col width="2.15" customWidth="1" min="34" max="34"/>
    <col width="2.15" customWidth="1" min="35" max="35"/>
    <col width="7" customWidth="1" min="36" max="36"/>
  </cols>
  <sheetData>
    <row r="1" ht="20" customHeight="1">
      <c r="A1" s="1" t="inlineStr">
        <is>
          <t xml:space="preserve">  K-건설맵  |  k-conmap.com  건설 서식</t>
        </is>
      </c>
      <c r="L1" s="2" t="inlineStr">
        <is>
          <t xml:space="preserve">← 이 1행을 지우고 쓰셔도 됩니다  </t>
        </is>
      </c>
    </row>
    <row r="2" ht="34" customHeight="1">
      <c r="A2" s="38" t="inlineStr">
        <is>
          <t>8.0   예 정 공 정 표 (일 단위)</t>
        </is>
      </c>
    </row>
    <row r="3" ht="22" customHeight="1">
      <c r="A3" s="14" t="inlineStr">
        <is>
          <t>착 수 일</t>
        </is>
      </c>
      <c r="B3" s="18" t="n"/>
      <c r="C3" s="15" t="n"/>
      <c r="D3" s="8" t="inlineStr">
        <is>
          <t>※ 착수일과 공정마다 시작 일차 · 작업 일수를 적으면 끝나는 날과 일 단위 막대가 그려집니다.</t>
        </is>
      </c>
    </row>
    <row r="4" ht="18" customHeight="1">
      <c r="A4" s="25" t="inlineStr">
        <is>
          <t>공    정</t>
        </is>
      </c>
      <c r="B4" s="39" t="inlineStr">
        <is>
          <t>시작
일차</t>
        </is>
      </c>
      <c r="C4" s="39" t="inlineStr">
        <is>
          <t>일수</t>
        </is>
      </c>
      <c r="D4" s="39" t="inlineStr">
        <is>
          <t>종료
일차</t>
        </is>
      </c>
      <c r="E4" s="40" t="inlineStr">
        <is>
          <t>기    간</t>
        </is>
      </c>
      <c r="F4" s="41" t="n">
        <v>1</v>
      </c>
      <c r="G4" s="41" t="n">
        <v>2</v>
      </c>
      <c r="H4" s="41" t="n">
        <v>3</v>
      </c>
      <c r="I4" s="41" t="n">
        <v>4</v>
      </c>
      <c r="J4" s="41" t="n">
        <v>5</v>
      </c>
      <c r="K4" s="41" t="n">
        <v>6</v>
      </c>
      <c r="L4" s="41" t="n">
        <v>7</v>
      </c>
      <c r="M4" s="41" t="n">
        <v>8</v>
      </c>
      <c r="N4" s="41" t="n">
        <v>9</v>
      </c>
      <c r="O4" s="41" t="n">
        <v>10</v>
      </c>
      <c r="P4" s="41" t="n">
        <v>11</v>
      </c>
      <c r="Q4" s="41" t="n">
        <v>12</v>
      </c>
      <c r="R4" s="41" t="n">
        <v>13</v>
      </c>
      <c r="S4" s="41" t="n">
        <v>14</v>
      </c>
      <c r="T4" s="41" t="n">
        <v>15</v>
      </c>
      <c r="U4" s="41" t="n">
        <v>16</v>
      </c>
      <c r="V4" s="41" t="n">
        <v>17</v>
      </c>
      <c r="W4" s="41" t="n">
        <v>18</v>
      </c>
      <c r="X4" s="41" t="n">
        <v>19</v>
      </c>
      <c r="Y4" s="41" t="n">
        <v>20</v>
      </c>
      <c r="Z4" s="41" t="n">
        <v>21</v>
      </c>
      <c r="AA4" s="41" t="n">
        <v>22</v>
      </c>
      <c r="AB4" s="41" t="n">
        <v>23</v>
      </c>
      <c r="AC4" s="41" t="n">
        <v>24</v>
      </c>
      <c r="AD4" s="41" t="n">
        <v>25</v>
      </c>
      <c r="AE4" s="41" t="n">
        <v>26</v>
      </c>
      <c r="AF4" s="41" t="n">
        <v>27</v>
      </c>
      <c r="AG4" s="41" t="n">
        <v>28</v>
      </c>
      <c r="AH4" s="41" t="n">
        <v>29</v>
      </c>
      <c r="AI4" s="41" t="n">
        <v>30</v>
      </c>
      <c r="AJ4" s="25" t="inlineStr">
        <is>
          <t>비 고</t>
        </is>
      </c>
    </row>
    <row r="5" ht="14" customHeight="1">
      <c r="A5" s="15" t="n"/>
      <c r="B5" s="15" t="n"/>
      <c r="C5" s="15" t="n"/>
      <c r="D5" s="15" t="n"/>
      <c r="E5" s="15" t="n"/>
      <c r="F5" s="42">
        <f>IF(N(B3)=0,"",B3+0)</f>
        <v/>
      </c>
      <c r="G5" s="42">
        <f>IF(N(B3)=0,"",B3+1)</f>
        <v/>
      </c>
      <c r="H5" s="42">
        <f>IF(N(B3)=0,"",B3+2)</f>
        <v/>
      </c>
      <c r="I5" s="42">
        <f>IF(N(B3)=0,"",B3+3)</f>
        <v/>
      </c>
      <c r="J5" s="42">
        <f>IF(N(B3)=0,"",B3+4)</f>
        <v/>
      </c>
      <c r="K5" s="42">
        <f>IF(N(B3)=0,"",B3+5)</f>
        <v/>
      </c>
      <c r="L5" s="42">
        <f>IF(N(B3)=0,"",B3+6)</f>
        <v/>
      </c>
      <c r="M5" s="42">
        <f>IF(N(B3)=0,"",B3+7)</f>
        <v/>
      </c>
      <c r="N5" s="42">
        <f>IF(N(B3)=0,"",B3+8)</f>
        <v/>
      </c>
      <c r="O5" s="42">
        <f>IF(N(B3)=0,"",B3+9)</f>
        <v/>
      </c>
      <c r="P5" s="42">
        <f>IF(N(B3)=0,"",B3+10)</f>
        <v/>
      </c>
      <c r="Q5" s="42">
        <f>IF(N(B3)=0,"",B3+11)</f>
        <v/>
      </c>
      <c r="R5" s="42">
        <f>IF(N(B3)=0,"",B3+12)</f>
        <v/>
      </c>
      <c r="S5" s="42">
        <f>IF(N(B3)=0,"",B3+13)</f>
        <v/>
      </c>
      <c r="T5" s="42">
        <f>IF(N(B3)=0,"",B3+14)</f>
        <v/>
      </c>
      <c r="U5" s="42">
        <f>IF(N(B3)=0,"",B3+15)</f>
        <v/>
      </c>
      <c r="V5" s="42">
        <f>IF(N(B3)=0,"",B3+16)</f>
        <v/>
      </c>
      <c r="W5" s="42">
        <f>IF(N(B3)=0,"",B3+17)</f>
        <v/>
      </c>
      <c r="X5" s="42">
        <f>IF(N(B3)=0,"",B3+18)</f>
        <v/>
      </c>
      <c r="Y5" s="42">
        <f>IF(N(B3)=0,"",B3+19)</f>
        <v/>
      </c>
      <c r="Z5" s="42">
        <f>IF(N(B3)=0,"",B3+20)</f>
        <v/>
      </c>
      <c r="AA5" s="42">
        <f>IF(N(B3)=0,"",B3+21)</f>
        <v/>
      </c>
      <c r="AB5" s="42">
        <f>IF(N(B3)=0,"",B3+22)</f>
        <v/>
      </c>
      <c r="AC5" s="42">
        <f>IF(N(B3)=0,"",B3+23)</f>
        <v/>
      </c>
      <c r="AD5" s="42">
        <f>IF(N(B3)=0,"",B3+24)</f>
        <v/>
      </c>
      <c r="AE5" s="42">
        <f>IF(N(B3)=0,"",B3+25)</f>
        <v/>
      </c>
      <c r="AF5" s="42">
        <f>IF(N(B3)=0,"",B3+26)</f>
        <v/>
      </c>
      <c r="AG5" s="42">
        <f>IF(N(B3)=0,"",B3+27)</f>
        <v/>
      </c>
      <c r="AH5" s="42">
        <f>IF(N(B3)=0,"",B3+28)</f>
        <v/>
      </c>
      <c r="AI5" s="42">
        <f>IF(N(B3)=0,"",B3+29)</f>
        <v/>
      </c>
      <c r="AJ5" s="15" t="n"/>
    </row>
    <row r="6" ht="24" customHeight="1">
      <c r="A6" s="35" t="inlineStr">
        <is>
          <t>자재 반입(팽이용기)</t>
        </is>
      </c>
      <c r="B6" s="43" t="n"/>
      <c r="C6" s="43" t="n"/>
      <c r="D6" s="44">
        <f>IF(OR(N(B6)=0,N(C6)=0),"",B6+C6-1)</f>
        <v/>
      </c>
      <c r="E6" s="45">
        <f>IF(OR(D6="",N(B3)=0),"",MONTH(B3+B6-1)&amp;"/"&amp;DAY(B3+B6-1)&amp;" ~ "&amp;MONTH(B3+D6-1)&amp;"/"&amp;DAY(B3+D6-1))</f>
        <v/>
      </c>
      <c r="F6" s="46" t="inlineStr"/>
      <c r="G6" s="46" t="inlineStr"/>
      <c r="H6" s="46" t="inlineStr"/>
      <c r="I6" s="46" t="inlineStr"/>
      <c r="J6" s="46" t="inlineStr"/>
      <c r="K6" s="46" t="inlineStr"/>
      <c r="L6" s="46" t="inlineStr"/>
      <c r="M6" s="46" t="inlineStr"/>
      <c r="N6" s="46" t="inlineStr"/>
      <c r="O6" s="46" t="inlineStr"/>
      <c r="P6" s="46" t="inlineStr"/>
      <c r="Q6" s="46" t="inlineStr"/>
      <c r="R6" s="46" t="inlineStr"/>
      <c r="S6" s="46" t="inlineStr"/>
      <c r="T6" s="46" t="inlineStr"/>
      <c r="U6" s="46" t="inlineStr"/>
      <c r="V6" s="46" t="inlineStr"/>
      <c r="W6" s="46" t="inlineStr"/>
      <c r="X6" s="46" t="inlineStr"/>
      <c r="Y6" s="46" t="inlineStr"/>
      <c r="Z6" s="46" t="inlineStr"/>
      <c r="AA6" s="46" t="inlineStr"/>
      <c r="AB6" s="46" t="inlineStr"/>
      <c r="AC6" s="46" t="inlineStr"/>
      <c r="AD6" s="46" t="inlineStr"/>
      <c r="AE6" s="46" t="inlineStr"/>
      <c r="AF6" s="46" t="inlineStr"/>
      <c r="AG6" s="46" t="inlineStr"/>
      <c r="AH6" s="46" t="inlineStr"/>
      <c r="AI6" s="46" t="inlineStr"/>
      <c r="AJ6" s="47" t="n"/>
    </row>
    <row r="7" ht="24" customHeight="1">
      <c r="A7" s="35" t="inlineStr">
        <is>
          <t>팽이용기 조립</t>
        </is>
      </c>
      <c r="B7" s="43" t="n"/>
      <c r="C7" s="43" t="n"/>
      <c r="D7" s="44">
        <f>IF(OR(N(B7)=0,N(C7)=0),"",B7+C7-1)</f>
        <v/>
      </c>
      <c r="E7" s="45">
        <f>IF(OR(D7="",N(B3)=0),"",MONTH(B3+B7-1)&amp;"/"&amp;DAY(B3+B7-1)&amp;" ~ "&amp;MONTH(B3+D7-1)&amp;"/"&amp;DAY(B3+D7-1))</f>
        <v/>
      </c>
      <c r="F7" s="46" t="inlineStr"/>
      <c r="G7" s="46" t="inlineStr"/>
      <c r="H7" s="46" t="inlineStr"/>
      <c r="I7" s="46" t="inlineStr"/>
      <c r="J7" s="46" t="inlineStr"/>
      <c r="K7" s="46" t="inlineStr"/>
      <c r="L7" s="46" t="inlineStr"/>
      <c r="M7" s="46" t="inlineStr"/>
      <c r="N7" s="46" t="inlineStr"/>
      <c r="O7" s="46" t="inlineStr"/>
      <c r="P7" s="46" t="inlineStr"/>
      <c r="Q7" s="46" t="inlineStr"/>
      <c r="R7" s="46" t="inlineStr"/>
      <c r="S7" s="46" t="inlineStr"/>
      <c r="T7" s="46" t="inlineStr"/>
      <c r="U7" s="46" t="inlineStr"/>
      <c r="V7" s="46" t="inlineStr"/>
      <c r="W7" s="46" t="inlineStr"/>
      <c r="X7" s="46" t="inlineStr"/>
      <c r="Y7" s="46" t="inlineStr"/>
      <c r="Z7" s="46" t="inlineStr"/>
      <c r="AA7" s="46" t="inlineStr"/>
      <c r="AB7" s="46" t="inlineStr"/>
      <c r="AC7" s="46" t="inlineStr"/>
      <c r="AD7" s="46" t="inlineStr"/>
      <c r="AE7" s="46" t="inlineStr"/>
      <c r="AF7" s="46" t="inlineStr"/>
      <c r="AG7" s="46" t="inlineStr"/>
      <c r="AH7" s="46" t="inlineStr"/>
      <c r="AI7" s="46" t="inlineStr"/>
      <c r="AJ7" s="47" t="n"/>
    </row>
    <row r="8" ht="24" customHeight="1">
      <c r="A8" s="35" t="inlineStr">
        <is>
          <t>철근 조립</t>
        </is>
      </c>
      <c r="B8" s="43" t="n"/>
      <c r="C8" s="43" t="n"/>
      <c r="D8" s="44">
        <f>IF(OR(N(B8)=0,N(C8)=0),"",B8+C8-1)</f>
        <v/>
      </c>
      <c r="E8" s="45">
        <f>IF(OR(D8="",N(B3)=0),"",MONTH(B3+B8-1)&amp;"/"&amp;DAY(B3+B8-1)&amp;" ~ "&amp;MONTH(B3+D8-1)&amp;"/"&amp;DAY(B3+D8-1))</f>
        <v/>
      </c>
      <c r="F8" s="46" t="inlineStr"/>
      <c r="G8" s="46" t="inlineStr"/>
      <c r="H8" s="46" t="inlineStr"/>
      <c r="I8" s="46" t="inlineStr"/>
      <c r="J8" s="46" t="inlineStr"/>
      <c r="K8" s="46" t="inlineStr"/>
      <c r="L8" s="46" t="inlineStr"/>
      <c r="M8" s="46" t="inlineStr"/>
      <c r="N8" s="46" t="inlineStr"/>
      <c r="O8" s="46" t="inlineStr"/>
      <c r="P8" s="46" t="inlineStr"/>
      <c r="Q8" s="46" t="inlineStr"/>
      <c r="R8" s="46" t="inlineStr"/>
      <c r="S8" s="46" t="inlineStr"/>
      <c r="T8" s="46" t="inlineStr"/>
      <c r="U8" s="46" t="inlineStr"/>
      <c r="V8" s="46" t="inlineStr"/>
      <c r="W8" s="46" t="inlineStr"/>
      <c r="X8" s="46" t="inlineStr"/>
      <c r="Y8" s="46" t="inlineStr"/>
      <c r="Z8" s="46" t="inlineStr"/>
      <c r="AA8" s="46" t="inlineStr"/>
      <c r="AB8" s="46" t="inlineStr"/>
      <c r="AC8" s="46" t="inlineStr"/>
      <c r="AD8" s="46" t="inlineStr"/>
      <c r="AE8" s="46" t="inlineStr"/>
      <c r="AF8" s="46" t="inlineStr"/>
      <c r="AG8" s="46" t="inlineStr"/>
      <c r="AH8" s="46" t="inlineStr"/>
      <c r="AI8" s="46" t="inlineStr"/>
      <c r="AJ8" s="47" t="n"/>
    </row>
    <row r="9" ht="24" customHeight="1">
      <c r="A9" s="35" t="inlineStr">
        <is>
          <t>콘크리트 타설</t>
        </is>
      </c>
      <c r="B9" s="43" t="n"/>
      <c r="C9" s="43" t="n"/>
      <c r="D9" s="44">
        <f>IF(OR(N(B9)=0,N(C9)=0),"",B9+C9-1)</f>
        <v/>
      </c>
      <c r="E9" s="45">
        <f>IF(OR(D9="",N(B3)=0),"",MONTH(B3+B9-1)&amp;"/"&amp;DAY(B3+B9-1)&amp;" ~ "&amp;MONTH(B3+D9-1)&amp;"/"&amp;DAY(B3+D9-1))</f>
        <v/>
      </c>
      <c r="F9" s="46" t="inlineStr"/>
      <c r="G9" s="46" t="inlineStr"/>
      <c r="H9" s="46" t="inlineStr"/>
      <c r="I9" s="46" t="inlineStr"/>
      <c r="J9" s="46" t="inlineStr"/>
      <c r="K9" s="46" t="inlineStr"/>
      <c r="L9" s="46" t="inlineStr"/>
      <c r="M9" s="46" t="inlineStr"/>
      <c r="N9" s="46" t="inlineStr"/>
      <c r="O9" s="46" t="inlineStr"/>
      <c r="P9" s="46" t="inlineStr"/>
      <c r="Q9" s="46" t="inlineStr"/>
      <c r="R9" s="46" t="inlineStr"/>
      <c r="S9" s="46" t="inlineStr"/>
      <c r="T9" s="46" t="inlineStr"/>
      <c r="U9" s="46" t="inlineStr"/>
      <c r="V9" s="46" t="inlineStr"/>
      <c r="W9" s="46" t="inlineStr"/>
      <c r="X9" s="46" t="inlineStr"/>
      <c r="Y9" s="46" t="inlineStr"/>
      <c r="Z9" s="46" t="inlineStr"/>
      <c r="AA9" s="46" t="inlineStr"/>
      <c r="AB9" s="46" t="inlineStr"/>
      <c r="AC9" s="46" t="inlineStr"/>
      <c r="AD9" s="46" t="inlineStr"/>
      <c r="AE9" s="46" t="inlineStr"/>
      <c r="AF9" s="46" t="inlineStr"/>
      <c r="AG9" s="46" t="inlineStr"/>
      <c r="AH9" s="46" t="inlineStr"/>
      <c r="AI9" s="46" t="inlineStr"/>
      <c r="AJ9" s="47" t="n"/>
    </row>
    <row r="10" ht="24" customHeight="1">
      <c r="A10" s="35" t="inlineStr">
        <is>
          <t>쇄석 채움 · 다짐</t>
        </is>
      </c>
      <c r="B10" s="43" t="n"/>
      <c r="C10" s="43" t="n"/>
      <c r="D10" s="44">
        <f>IF(OR(N(B10)=0,N(C10)=0),"",B10+C10-1)</f>
        <v/>
      </c>
      <c r="E10" s="45">
        <f>IF(OR(D10="",N(B3)=0),"",MONTH(B3+B10-1)&amp;"/"&amp;DAY(B3+B10-1)&amp;" ~ "&amp;MONTH(B3+D10-1)&amp;"/"&amp;DAY(B3+D10-1))</f>
        <v/>
      </c>
      <c r="F10" s="46" t="inlineStr"/>
      <c r="G10" s="46" t="inlineStr"/>
      <c r="H10" s="46" t="inlineStr"/>
      <c r="I10" s="46" t="inlineStr"/>
      <c r="J10" s="46" t="inlineStr"/>
      <c r="K10" s="46" t="inlineStr"/>
      <c r="L10" s="46" t="inlineStr"/>
      <c r="M10" s="46" t="inlineStr"/>
      <c r="N10" s="46" t="inlineStr"/>
      <c r="O10" s="46" t="inlineStr"/>
      <c r="P10" s="46" t="inlineStr"/>
      <c r="Q10" s="46" t="inlineStr"/>
      <c r="R10" s="46" t="inlineStr"/>
      <c r="S10" s="46" t="inlineStr"/>
      <c r="T10" s="46" t="inlineStr"/>
      <c r="U10" s="46" t="inlineStr"/>
      <c r="V10" s="46" t="inlineStr"/>
      <c r="W10" s="46" t="inlineStr"/>
      <c r="X10" s="46" t="inlineStr"/>
      <c r="Y10" s="46" t="inlineStr"/>
      <c r="Z10" s="46" t="inlineStr"/>
      <c r="AA10" s="46" t="inlineStr"/>
      <c r="AB10" s="46" t="inlineStr"/>
      <c r="AC10" s="46" t="inlineStr"/>
      <c r="AD10" s="46" t="inlineStr"/>
      <c r="AE10" s="46" t="inlineStr"/>
      <c r="AF10" s="46" t="inlineStr"/>
      <c r="AG10" s="46" t="inlineStr"/>
      <c r="AH10" s="46" t="inlineStr"/>
      <c r="AI10" s="46" t="inlineStr"/>
      <c r="AJ10" s="47" t="n"/>
    </row>
    <row r="11" ht="24" customHeight="1">
      <c r="A11" s="35" t="inlineStr">
        <is>
          <t>평판재하시험</t>
        </is>
      </c>
      <c r="B11" s="43" t="n"/>
      <c r="C11" s="43" t="n"/>
      <c r="D11" s="44">
        <f>IF(OR(N(B11)=0,N(C11)=0),"",B11+C11-1)</f>
        <v/>
      </c>
      <c r="E11" s="45">
        <f>IF(OR(D11="",N(B3)=0),"",MONTH(B3+B11-1)&amp;"/"&amp;DAY(B3+B11-1)&amp;" ~ "&amp;MONTH(B3+D11-1)&amp;"/"&amp;DAY(B3+D11-1))</f>
        <v/>
      </c>
      <c r="F11" s="46" t="inlineStr"/>
      <c r="G11" s="46" t="inlineStr"/>
      <c r="H11" s="46" t="inlineStr"/>
      <c r="I11" s="46" t="inlineStr"/>
      <c r="J11" s="46" t="inlineStr"/>
      <c r="K11" s="46" t="inlineStr"/>
      <c r="L11" s="46" t="inlineStr"/>
      <c r="M11" s="46" t="inlineStr"/>
      <c r="N11" s="46" t="inlineStr"/>
      <c r="O11" s="46" t="inlineStr"/>
      <c r="P11" s="46" t="inlineStr"/>
      <c r="Q11" s="46" t="inlineStr"/>
      <c r="R11" s="46" t="inlineStr"/>
      <c r="S11" s="46" t="inlineStr"/>
      <c r="T11" s="46" t="inlineStr"/>
      <c r="U11" s="46" t="inlineStr"/>
      <c r="V11" s="46" t="inlineStr"/>
      <c r="W11" s="46" t="inlineStr"/>
      <c r="X11" s="46" t="inlineStr"/>
      <c r="Y11" s="46" t="inlineStr"/>
      <c r="Z11" s="46" t="inlineStr"/>
      <c r="AA11" s="46" t="inlineStr"/>
      <c r="AB11" s="46" t="inlineStr"/>
      <c r="AC11" s="46" t="inlineStr"/>
      <c r="AD11" s="46" t="inlineStr"/>
      <c r="AE11" s="46" t="inlineStr"/>
      <c r="AF11" s="46" t="inlineStr"/>
      <c r="AG11" s="46" t="inlineStr"/>
      <c r="AH11" s="46" t="inlineStr"/>
      <c r="AI11" s="46" t="inlineStr"/>
      <c r="AJ11" s="47" t="n"/>
    </row>
    <row r="12" ht="24" customHeight="1">
      <c r="A12" s="35" t="n"/>
      <c r="B12" s="43" t="n"/>
      <c r="C12" s="43" t="n"/>
      <c r="D12" s="44">
        <f>IF(OR(N(B12)=0,N(C12)=0),"",B12+C12-1)</f>
        <v/>
      </c>
      <c r="E12" s="45">
        <f>IF(OR(D12="",N(B3)=0),"",MONTH(B3+B12-1)&amp;"/"&amp;DAY(B3+B12-1)&amp;" ~ "&amp;MONTH(B3+D12-1)&amp;"/"&amp;DAY(B3+D12-1))</f>
        <v/>
      </c>
      <c r="F12" s="46" t="inlineStr"/>
      <c r="G12" s="46" t="inlineStr"/>
      <c r="H12" s="46" t="inlineStr"/>
      <c r="I12" s="46" t="inlineStr"/>
      <c r="J12" s="46" t="inlineStr"/>
      <c r="K12" s="46" t="inlineStr"/>
      <c r="L12" s="46" t="inlineStr"/>
      <c r="M12" s="46" t="inlineStr"/>
      <c r="N12" s="46" t="inlineStr"/>
      <c r="O12" s="46" t="inlineStr"/>
      <c r="P12" s="46" t="inlineStr"/>
      <c r="Q12" s="46" t="inlineStr"/>
      <c r="R12" s="46" t="inlineStr"/>
      <c r="S12" s="46" t="inlineStr"/>
      <c r="T12" s="46" t="inlineStr"/>
      <c r="U12" s="46" t="inlineStr"/>
      <c r="V12" s="46" t="inlineStr"/>
      <c r="W12" s="46" t="inlineStr"/>
      <c r="X12" s="46" t="inlineStr"/>
      <c r="Y12" s="46" t="inlineStr"/>
      <c r="Z12" s="46" t="inlineStr"/>
      <c r="AA12" s="46" t="inlineStr"/>
      <c r="AB12" s="46" t="inlineStr"/>
      <c r="AC12" s="46" t="inlineStr"/>
      <c r="AD12" s="46" t="inlineStr"/>
      <c r="AE12" s="46" t="inlineStr"/>
      <c r="AF12" s="46" t="inlineStr"/>
      <c r="AG12" s="46" t="inlineStr"/>
      <c r="AH12" s="46" t="inlineStr"/>
      <c r="AI12" s="46" t="inlineStr"/>
      <c r="AJ12" s="47" t="n"/>
    </row>
    <row r="13" ht="24" customHeight="1">
      <c r="A13" s="35" t="n"/>
      <c r="B13" s="43" t="n"/>
      <c r="C13" s="43" t="n"/>
      <c r="D13" s="44">
        <f>IF(OR(N(B13)=0,N(C13)=0),"",B13+C13-1)</f>
        <v/>
      </c>
      <c r="E13" s="45">
        <f>IF(OR(D13="",N(B3)=0),"",MONTH(B3+B13-1)&amp;"/"&amp;DAY(B3+B13-1)&amp;" ~ "&amp;MONTH(B3+D13-1)&amp;"/"&amp;DAY(B3+D13-1))</f>
        <v/>
      </c>
      <c r="F13" s="46" t="inlineStr"/>
      <c r="G13" s="46" t="inlineStr"/>
      <c r="H13" s="46" t="inlineStr"/>
      <c r="I13" s="46" t="inlineStr"/>
      <c r="J13" s="46" t="inlineStr"/>
      <c r="K13" s="46" t="inlineStr"/>
      <c r="L13" s="46" t="inlineStr"/>
      <c r="M13" s="46" t="inlineStr"/>
      <c r="N13" s="46" t="inlineStr"/>
      <c r="O13" s="46" t="inlineStr"/>
      <c r="P13" s="46" t="inlineStr"/>
      <c r="Q13" s="46" t="inlineStr"/>
      <c r="R13" s="46" t="inlineStr"/>
      <c r="S13" s="46" t="inlineStr"/>
      <c r="T13" s="46" t="inlineStr"/>
      <c r="U13" s="46" t="inlineStr"/>
      <c r="V13" s="46" t="inlineStr"/>
      <c r="W13" s="46" t="inlineStr"/>
      <c r="X13" s="46" t="inlineStr"/>
      <c r="Y13" s="46" t="inlineStr"/>
      <c r="Z13" s="46" t="inlineStr"/>
      <c r="AA13" s="46" t="inlineStr"/>
      <c r="AB13" s="46" t="inlineStr"/>
      <c r="AC13" s="46" t="inlineStr"/>
      <c r="AD13" s="46" t="inlineStr"/>
      <c r="AE13" s="46" t="inlineStr"/>
      <c r="AF13" s="46" t="inlineStr"/>
      <c r="AG13" s="46" t="inlineStr"/>
      <c r="AH13" s="46" t="inlineStr"/>
      <c r="AI13" s="46" t="inlineStr"/>
      <c r="AJ13" s="47" t="n"/>
    </row>
    <row r="14" ht="24" customHeight="1">
      <c r="A14" s="35" t="n"/>
      <c r="B14" s="43" t="n"/>
      <c r="C14" s="43" t="n"/>
      <c r="D14" s="44">
        <f>IF(OR(N(B14)=0,N(C14)=0),"",B14+C14-1)</f>
        <v/>
      </c>
      <c r="E14" s="45">
        <f>IF(OR(D14="",N(B3)=0),"",MONTH(B3+B14-1)&amp;"/"&amp;DAY(B3+B14-1)&amp;" ~ "&amp;MONTH(B3+D14-1)&amp;"/"&amp;DAY(B3+D14-1))</f>
        <v/>
      </c>
      <c r="F14" s="46" t="inlineStr"/>
      <c r="G14" s="46" t="inlineStr"/>
      <c r="H14" s="46" t="inlineStr"/>
      <c r="I14" s="46" t="inlineStr"/>
      <c r="J14" s="46" t="inlineStr"/>
      <c r="K14" s="46" t="inlineStr"/>
      <c r="L14" s="46" t="inlineStr"/>
      <c r="M14" s="46" t="inlineStr"/>
      <c r="N14" s="46" t="inlineStr"/>
      <c r="O14" s="46" t="inlineStr"/>
      <c r="P14" s="46" t="inlineStr"/>
      <c r="Q14" s="46" t="inlineStr"/>
      <c r="R14" s="46" t="inlineStr"/>
      <c r="S14" s="46" t="inlineStr"/>
      <c r="T14" s="46" t="inlineStr"/>
      <c r="U14" s="46" t="inlineStr"/>
      <c r="V14" s="46" t="inlineStr"/>
      <c r="W14" s="46" t="inlineStr"/>
      <c r="X14" s="46" t="inlineStr"/>
      <c r="Y14" s="46" t="inlineStr"/>
      <c r="Z14" s="46" t="inlineStr"/>
      <c r="AA14" s="46" t="inlineStr"/>
      <c r="AB14" s="46" t="inlineStr"/>
      <c r="AC14" s="46" t="inlineStr"/>
      <c r="AD14" s="46" t="inlineStr"/>
      <c r="AE14" s="46" t="inlineStr"/>
      <c r="AF14" s="46" t="inlineStr"/>
      <c r="AG14" s="46" t="inlineStr"/>
      <c r="AH14" s="46" t="inlineStr"/>
      <c r="AI14" s="46" t="inlineStr"/>
      <c r="AJ14" s="47" t="n"/>
    </row>
    <row r="15" ht="24" customHeight="1">
      <c r="A15" s="35" t="n"/>
      <c r="B15" s="43" t="n"/>
      <c r="C15" s="43" t="n"/>
      <c r="D15" s="44">
        <f>IF(OR(N(B15)=0,N(C15)=0),"",B15+C15-1)</f>
        <v/>
      </c>
      <c r="E15" s="45">
        <f>IF(OR(D15="",N(B3)=0),"",MONTH(B3+B15-1)&amp;"/"&amp;DAY(B3+B15-1)&amp;" ~ "&amp;MONTH(B3+D15-1)&amp;"/"&amp;DAY(B3+D15-1))</f>
        <v/>
      </c>
      <c r="F15" s="46" t="inlineStr"/>
      <c r="G15" s="46" t="inlineStr"/>
      <c r="H15" s="46" t="inlineStr"/>
      <c r="I15" s="46" t="inlineStr"/>
      <c r="J15" s="46" t="inlineStr"/>
      <c r="K15" s="46" t="inlineStr"/>
      <c r="L15" s="46" t="inlineStr"/>
      <c r="M15" s="46" t="inlineStr"/>
      <c r="N15" s="46" t="inlineStr"/>
      <c r="O15" s="46" t="inlineStr"/>
      <c r="P15" s="46" t="inlineStr"/>
      <c r="Q15" s="46" t="inlineStr"/>
      <c r="R15" s="46" t="inlineStr"/>
      <c r="S15" s="46" t="inlineStr"/>
      <c r="T15" s="46" t="inlineStr"/>
      <c r="U15" s="46" t="inlineStr"/>
      <c r="V15" s="46" t="inlineStr"/>
      <c r="W15" s="46" t="inlineStr"/>
      <c r="X15" s="46" t="inlineStr"/>
      <c r="Y15" s="46" t="inlineStr"/>
      <c r="Z15" s="46" t="inlineStr"/>
      <c r="AA15" s="46" t="inlineStr"/>
      <c r="AB15" s="46" t="inlineStr"/>
      <c r="AC15" s="46" t="inlineStr"/>
      <c r="AD15" s="46" t="inlineStr"/>
      <c r="AE15" s="46" t="inlineStr"/>
      <c r="AF15" s="46" t="inlineStr"/>
      <c r="AG15" s="46" t="inlineStr"/>
      <c r="AH15" s="46" t="inlineStr"/>
      <c r="AI15" s="46" t="inlineStr"/>
      <c r="AJ15" s="47" t="n"/>
    </row>
    <row r="16" ht="22" customHeight="1">
      <c r="A16" s="28" t="inlineStr">
        <is>
          <t>총 작업 일수</t>
        </is>
      </c>
      <c r="B16" s="15" t="n"/>
      <c r="C16" s="15" t="n"/>
      <c r="D16" s="15" t="n"/>
      <c r="E16" s="48">
        <f>IF(COUNT(D6:D15)=0,"",MAX(D6:D15))</f>
        <v/>
      </c>
      <c r="F16" s="49">
        <f>IF(OR(E16="",N(B3)=0),"",B3+E16-1)</f>
        <v/>
      </c>
      <c r="AJ16" s="10" t="inlineStr"/>
    </row>
    <row r="18" ht="19.5" customHeight="1">
      <c r="A18" s="8" t="inlineStr">
        <is>
          <t>하늘색 칸 = 자동(종료 일차 · 기간 · 날짜 · 총 작업 일수). 공정 이름은 원본 차례를 미리 넣어 두었습니다.</t>
        </is>
      </c>
    </row>
  </sheetData>
  <mergeCells count="14">
    <mergeCell ref="D3:AJ3"/>
    <mergeCell ref="B4:B5"/>
    <mergeCell ref="A18:AJ18"/>
    <mergeCell ref="L1:AJ1"/>
    <mergeCell ref="B3:C3"/>
    <mergeCell ref="A4:A5"/>
    <mergeCell ref="C4:C5"/>
    <mergeCell ref="D4:D5"/>
    <mergeCell ref="E4:E5"/>
    <mergeCell ref="F16:AI16"/>
    <mergeCell ref="A2:AJ2"/>
    <mergeCell ref="AJ4:AJ5"/>
    <mergeCell ref="A16:D16"/>
    <mergeCell ref="A1:K1"/>
  </mergeCells>
  <conditionalFormatting sqref="F6:AI15">
    <cfRule type="expression" priority="1" dxfId="2">
      <formula>AND(N($B6)&gt;0,N($D6)&gt;=N($B6),F$4&gt;=$B6,F$4&lt;=$D6)</formula>
    </cfRule>
  </conditionalFormatting>
  <printOptions horizontalCentered="1"/>
  <pageMargins left="0.35" right="0.35" top="0.45" bottom="0.45" header="0.2" footer="0.2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9.0   팽이기초(현장타설형) 시공 작업 순서도</t>
        </is>
      </c>
    </row>
    <row r="4" ht="4" customHeight="1"/>
    <row r="5" ht="24" customHeight="1">
      <c r="A5" s="25" t="inlineStr">
        <is>
          <t>단 계</t>
        </is>
      </c>
      <c r="B5" s="15" t="n"/>
      <c r="C5" s="25" t="inlineStr">
        <is>
          <t>작    업</t>
        </is>
      </c>
      <c r="D5" s="15" t="n"/>
      <c r="E5" s="15" t="n"/>
      <c r="F5" s="25" t="inlineStr">
        <is>
          <t>내        용</t>
        </is>
      </c>
      <c r="G5" s="15" t="n"/>
      <c r="H5" s="15" t="n"/>
      <c r="I5" s="15" t="n"/>
      <c r="J5" s="15" t="n"/>
      <c r="K5" s="15" t="n"/>
      <c r="L5" s="15" t="n"/>
    </row>
    <row r="6" ht="24" customHeight="1">
      <c r="A6" s="50" t="inlineStr">
        <is>
          <t>Step 1</t>
        </is>
      </c>
      <c r="B6" s="15" t="n"/>
      <c r="C6" s="51" t="inlineStr">
        <is>
          <t>시공 준비</t>
        </is>
      </c>
      <c r="D6" s="15" t="n"/>
      <c r="E6" s="15" t="n"/>
      <c r="F6" s="51" t="inlineStr">
        <is>
          <t>정지작업 · 지반 다짐</t>
        </is>
      </c>
      <c r="G6" s="15" t="n"/>
      <c r="H6" s="15" t="n"/>
      <c r="I6" s="15" t="n"/>
      <c r="J6" s="15" t="n"/>
      <c r="K6" s="15" t="n"/>
      <c r="L6" s="15" t="n"/>
    </row>
    <row r="7" ht="24" customHeight="1">
      <c r="A7" s="50" t="inlineStr">
        <is>
          <t>Step 2</t>
        </is>
      </c>
      <c r="B7" s="15" t="n"/>
      <c r="C7" s="51" t="inlineStr">
        <is>
          <t>팽이용기 반입</t>
        </is>
      </c>
      <c r="D7" s="15" t="n"/>
      <c r="E7" s="15" t="n"/>
      <c r="F7" s="51" t="inlineStr">
        <is>
          <t>Φ500 팽이용기 반입 · 반입검사</t>
        </is>
      </c>
      <c r="G7" s="15" t="n"/>
      <c r="H7" s="15" t="n"/>
      <c r="I7" s="15" t="n"/>
      <c r="J7" s="15" t="n"/>
      <c r="K7" s="15" t="n"/>
      <c r="L7" s="15" t="n"/>
    </row>
    <row r="8" ht="24" customHeight="1">
      <c r="A8" s="50" t="inlineStr">
        <is>
          <t>Step 3</t>
        </is>
      </c>
      <c r="B8" s="15" t="n"/>
      <c r="C8" s="51" t="inlineStr">
        <is>
          <t>팽이용기 조립</t>
        </is>
      </c>
      <c r="D8" s="15" t="n"/>
      <c r="E8" s="15" t="n"/>
      <c r="F8" s="51" t="inlineStr">
        <is>
          <t>일반철근 D10 과 결속선으로 조립</t>
        </is>
      </c>
      <c r="G8" s="15" t="n"/>
      <c r="H8" s="15" t="n"/>
      <c r="I8" s="15" t="n"/>
      <c r="J8" s="15" t="n"/>
      <c r="K8" s="15" t="n"/>
      <c r="L8" s="15" t="n"/>
    </row>
    <row r="9" ht="24" customHeight="1">
      <c r="A9" s="50" t="inlineStr">
        <is>
          <t>Step 4</t>
        </is>
      </c>
      <c r="B9" s="15" t="n"/>
      <c r="C9" s="51" t="inlineStr">
        <is>
          <t>유니트 패널 운반 · 설치</t>
        </is>
      </c>
      <c r="D9" s="15" t="n"/>
      <c r="E9" s="15" t="n"/>
      <c r="F9" s="51" t="inlineStr">
        <is>
          <t>팽이말뚝 부설 계획 지반에 운반하여 설치</t>
        </is>
      </c>
      <c r="G9" s="15" t="n"/>
      <c r="H9" s="15" t="n"/>
      <c r="I9" s="15" t="n"/>
      <c r="J9" s="15" t="n"/>
      <c r="K9" s="15" t="n"/>
      <c r="L9" s="15" t="n"/>
    </row>
    <row r="10" ht="24" customHeight="1">
      <c r="A10" s="50" t="inlineStr">
        <is>
          <t>Step 5</t>
        </is>
      </c>
      <c r="B10" s="15" t="n"/>
      <c r="C10" s="51" t="inlineStr">
        <is>
          <t>상부 연결철근 조립</t>
        </is>
      </c>
      <c r="D10" s="15" t="n"/>
      <c r="E10" s="15" t="n"/>
      <c r="F10" s="51" t="inlineStr">
        <is>
          <t>일반철근 D10 과 결속선으로 조립</t>
        </is>
      </c>
      <c r="G10" s="15" t="n"/>
      <c r="H10" s="15" t="n"/>
      <c r="I10" s="15" t="n"/>
      <c r="J10" s="15" t="n"/>
      <c r="K10" s="15" t="n"/>
      <c r="L10" s="15" t="n"/>
    </row>
    <row r="11" ht="24" customHeight="1">
      <c r="A11" s="50" t="inlineStr">
        <is>
          <t>Step 6</t>
        </is>
      </c>
      <c r="B11" s="15" t="n"/>
      <c r="C11" s="51" t="inlineStr">
        <is>
          <t>레미콘 타설</t>
        </is>
      </c>
      <c r="D11" s="15" t="n"/>
      <c r="E11" s="15" t="n"/>
      <c r="F11" s="51" t="inlineStr">
        <is>
          <t>25-18-120 레미콘으로 팽이용기 채움</t>
        </is>
      </c>
      <c r="G11" s="15" t="n"/>
      <c r="H11" s="15" t="n"/>
      <c r="I11" s="15" t="n"/>
      <c r="J11" s="15" t="n"/>
      <c r="K11" s="15" t="n"/>
      <c r="L11" s="15" t="n"/>
    </row>
    <row r="12" ht="24" customHeight="1">
      <c r="A12" s="50" t="inlineStr">
        <is>
          <t>Step 7</t>
        </is>
      </c>
      <c r="B12" s="15" t="n"/>
      <c r="C12" s="51" t="inlineStr">
        <is>
          <t>쇄석 충진 및 다짐</t>
        </is>
      </c>
      <c r="D12" s="15" t="n"/>
      <c r="E12" s="15" t="n"/>
      <c r="F12" s="51" t="inlineStr">
        <is>
          <t>#57(25mm) 쇄석으로 채우며 다짐</t>
        </is>
      </c>
      <c r="G12" s="15" t="n"/>
      <c r="H12" s="15" t="n"/>
      <c r="I12" s="15" t="n"/>
      <c r="J12" s="15" t="n"/>
      <c r="K12" s="15" t="n"/>
      <c r="L12" s="15" t="n"/>
    </row>
    <row r="13" ht="24" customHeight="1">
      <c r="A13" s="50" t="inlineStr">
        <is>
          <t>Step 8</t>
        </is>
      </c>
      <c r="B13" s="15" t="n"/>
      <c r="C13" s="51" t="inlineStr">
        <is>
          <t>시공 완료</t>
        </is>
      </c>
      <c r="D13" s="15" t="n"/>
      <c r="E13" s="15" t="n"/>
      <c r="F13" s="51" t="inlineStr">
        <is>
          <t>평판재하시험으로 설계 지내력 확인</t>
        </is>
      </c>
      <c r="G13" s="15" t="n"/>
      <c r="H13" s="15" t="n"/>
      <c r="I13" s="15" t="n"/>
      <c r="J13" s="15" t="n"/>
      <c r="K13" s="15" t="n"/>
      <c r="L13" s="15" t="n"/>
    </row>
    <row r="14" ht="6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18" customHeight="1">
      <c r="A32" s="30" t="inlineStr">
        <is>
          <t>[ 시공 순서 — 유니트 패널 조립 · 운반 설치 · 상부 연결철근 조립 · 콘크리트 타설 · 쇄석 충진 및 다짐 · 시공 완료 ]</t>
        </is>
      </c>
    </row>
    <row r="33" ht="4" customHeight="1"/>
    <row r="34" ht="30" customHeight="1">
      <c r="A34" s="12" t="inlineStr">
        <is>
          <t>10.0   팽이기초(현장타설형)의 특성 및 용도</t>
        </is>
      </c>
    </row>
    <row r="35" ht="4" customHeight="1"/>
    <row r="36" ht="21" customHeight="1">
      <c r="A36" s="52" t="inlineStr">
        <is>
          <t>1) 팽이기초의 특성</t>
        </is>
      </c>
    </row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34.45" customHeight="1">
      <c r="A55" s="53" t="inlineStr">
        <is>
          <t>①</t>
        </is>
      </c>
      <c r="B55" s="54" t="inlineStr">
        <is>
          <t>기초 하중이 팽이말뚝을 통해 채움쇄석을 압축 · 구속 → 팽이말뚝과 채움쇄석이 한 몸이 되어 일종의 강성 지반구조를 이룬다.</t>
        </is>
      </c>
    </row>
    <row r="56" ht="19.725" customHeight="1">
      <c r="A56" s="53" t="inlineStr">
        <is>
          <t>②</t>
        </is>
      </c>
      <c r="B56" s="54" t="inlineStr">
        <is>
          <t>채움쇄석이 응력 집중을 막고 하중을 분산 → 지반 안의 응력 분포를 고르게 한다.</t>
        </is>
      </c>
    </row>
    <row r="57" ht="19.725" customHeight="1">
      <c r="A57" s="53" t="inlineStr">
        <is>
          <t>③</t>
        </is>
      </c>
      <c r="B57" s="54" t="inlineStr">
        <is>
          <t>채움쇄석과 팽이말뚝부와 지반 사이의 마찰저항 → 말뚝부 지반 주변의 측방 변형을 구속한다.</t>
        </is>
      </c>
    </row>
    <row r="58" ht="34.45" customHeight="1">
      <c r="A58" s="53" t="inlineStr">
        <is>
          <t>④</t>
        </is>
      </c>
      <c r="B58" s="54" t="inlineStr">
        <is>
          <t>효과 : 기초 강성이 재하에 따라 증가 · 팽이의 군입효과 · 부등침하 억제 · 기초 하중 분포 분산 · 지반의 국부 파괴 억제 · 침하(압축변형) 감소 → 침하량 억제 · 지지력 증대</t>
        </is>
      </c>
    </row>
    <row r="59" ht="21" customHeight="1">
      <c r="A59" s="52" t="inlineStr">
        <is>
          <t>2) 팽이기초의 용도</t>
        </is>
      </c>
    </row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4" customHeight="1"/>
    <row r="74" ht="30" customHeight="1">
      <c r="A74" s="12" t="inlineStr">
        <is>
          <t>11.0   팽이기초(현장타설형) 시공방법</t>
        </is>
      </c>
    </row>
    <row r="75" ht="4" customHeight="1"/>
    <row r="76" ht="21" customHeight="1">
      <c r="A76" s="52" t="inlineStr">
        <is>
          <t>1. 준비작업</t>
        </is>
      </c>
    </row>
    <row r="77" ht="36" customHeight="1">
      <c r="A77" s="55" t="inlineStr">
        <is>
          <t>가)</t>
        </is>
      </c>
      <c r="B77" s="56" t="inlineStr">
        <is>
          <t>지반 정리 : 지반을 평탄하게 정리하고 다짐작업을 한다. 스펀지 현상이 생기는 구간은 양질의 치환재로 치환한다.</t>
        </is>
      </c>
    </row>
    <row r="78" ht="51.5" customHeight="1">
      <c r="A78" s="55" t="inlineStr">
        <is>
          <t>나)</t>
        </is>
      </c>
      <c r="B78" s="56" t="inlineStr">
        <is>
          <t>시공 위치 확인 및 자재 반입 : 측량으로 팽이기초를 부설할 위치를 정확히 표시하고 확인을 받는다. 자재 반입 경로를 확인하고, 반입 때 설계도서에 적힌 자재의 형상 · 크기 · 수량을 확인하여 반입검사를 한다.</t>
        </is>
      </c>
    </row>
    <row r="79" ht="21" customHeight="1">
      <c r="A79" s="52" t="inlineStr">
        <is>
          <t>2. 팽이기초 시공</t>
        </is>
      </c>
    </row>
    <row r="80" ht="36" customHeight="1">
      <c r="A80" s="55" t="inlineStr">
        <is>
          <t>가)</t>
        </is>
      </c>
      <c r="B80" s="56" t="inlineStr">
        <is>
          <t>용기 조립 : PP 매트를 설치한 부지에 팽이용기를 조립한 뒤 하부 연결철근을 설치하고, 시공 위치에 팽이용기를 놓은 뒤 상부 철근을 조립한다.</t>
        </is>
      </c>
    </row>
    <row r="81" ht="36" customHeight="1">
      <c r="A81" s="55" t="inlineStr">
        <is>
          <t>나)</t>
        </is>
      </c>
      <c r="B81" s="56" t="inlineStr">
        <is>
          <t>상부 철근 연결 · 콘크리트 타설 : 상부 연결철근(D10)과 하부 연결철근(D10)을 연결 철선(#10)으로 잇고, 용기 안에 콘크리트(25-18-120)를 타설한다.</t>
        </is>
      </c>
    </row>
    <row r="82" ht="36" customHeight="1">
      <c r="A82" s="55" t="inlineStr">
        <is>
          <t>다)</t>
        </is>
      </c>
      <c r="B82" s="56" t="inlineStr">
        <is>
          <t>쇄석 채움 및 다짐 : 팽이말뚝 사이의 공극을 25mm 쇄석으로 콘크리트 진동기 등을 이용하여 채운다.</t>
        </is>
      </c>
    </row>
    <row r="83" ht="20.5" customHeight="1">
      <c r="A83" s="55" t="inlineStr">
        <is>
          <t>라)</t>
        </is>
      </c>
      <c r="B83" s="56" t="inlineStr">
        <is>
          <t>평판재하시험으로 지내력을 확인한다.</t>
        </is>
      </c>
    </row>
    <row r="85" ht="19.5" customHeight="1">
      <c r="A85" s="8" t="inlineStr">
        <is>
          <t>설명 그림(시공 순서 사진 · 특성 · 용도)은 원본 계획서 그림 그대로입니다.</t>
        </is>
      </c>
    </row>
  </sheetData>
  <mergeCells count="48">
    <mergeCell ref="F13:L13"/>
    <mergeCell ref="F9:L9"/>
    <mergeCell ref="A11:B11"/>
    <mergeCell ref="C9:E9"/>
    <mergeCell ref="B81:L81"/>
    <mergeCell ref="A74:L74"/>
    <mergeCell ref="A3:L3"/>
    <mergeCell ref="C12:E12"/>
    <mergeCell ref="A6:B6"/>
    <mergeCell ref="B56:L56"/>
    <mergeCell ref="C11:E11"/>
    <mergeCell ref="B58:L58"/>
    <mergeCell ref="A7:B7"/>
    <mergeCell ref="A76:L76"/>
    <mergeCell ref="B77:L77"/>
    <mergeCell ref="A85:L85"/>
    <mergeCell ref="C8:E8"/>
    <mergeCell ref="A32:L32"/>
    <mergeCell ref="F11:L11"/>
    <mergeCell ref="C7:E7"/>
    <mergeCell ref="F10:L10"/>
    <mergeCell ref="B57:L57"/>
    <mergeCell ref="A12:B12"/>
    <mergeCell ref="G1:L1"/>
    <mergeCell ref="F6:L6"/>
    <mergeCell ref="C13:E13"/>
    <mergeCell ref="B82:L82"/>
    <mergeCell ref="B78:L78"/>
    <mergeCell ref="F7:L7"/>
    <mergeCell ref="A5:B5"/>
    <mergeCell ref="F12:L12"/>
    <mergeCell ref="A8:B8"/>
    <mergeCell ref="F5:L5"/>
    <mergeCell ref="A34:L34"/>
    <mergeCell ref="C6:E6"/>
    <mergeCell ref="A59:L59"/>
    <mergeCell ref="B83:L83"/>
    <mergeCell ref="C5:E5"/>
    <mergeCell ref="F8:L8"/>
    <mergeCell ref="A1:F1"/>
    <mergeCell ref="B55:L55"/>
    <mergeCell ref="A10:B10"/>
    <mergeCell ref="A36:L36"/>
    <mergeCell ref="B80:L80"/>
    <mergeCell ref="A13:B13"/>
    <mergeCell ref="A79:L79"/>
    <mergeCell ref="A9:B9"/>
    <mergeCell ref="C10:E10"/>
  </mergeCells>
  <printOptions horizontalCentered="1"/>
  <pageMargins left="0.6" right="0.6" top="0.6" bottom="0.6" header="0.2" footer="0.2"/>
  <pageSetup orientation="portrait" paperSize="9" fitToHeight="0" fitToWidth="1"/>
  <rowBreaks count="3" manualBreakCount="3">
    <brk id="32" min="0" max="16383" man="1"/>
    <brk id="58" min="0" max="16383" man="1"/>
    <brk id="72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12.0   품 질 관 리  계 획</t>
        </is>
      </c>
    </row>
    <row r="4" ht="4" customHeight="1"/>
    <row r="5" ht="3" customHeight="1"/>
    <row r="6" ht="22" customHeight="1">
      <c r="A6" s="57" t="inlineStr">
        <is>
          <t>12-1  품질관리 일반 및 적용범위</t>
        </is>
      </c>
    </row>
    <row r="7" ht="36" customHeight="1">
      <c r="A7" s="55" t="inlineStr">
        <is>
          <t>(1)</t>
        </is>
      </c>
      <c r="B7" s="56" t="inlineStr">
        <is>
          <t>공사 진행 중 필요에 따라 각종 승인도면 · 제작도면 · 제작요령서 등을 작성하여 공사감독자(감리원)의 승인을 받는다.</t>
        </is>
      </c>
    </row>
    <row r="8" ht="36" customHeight="1">
      <c r="A8" s="55" t="inlineStr">
        <is>
          <t>(2)</t>
        </is>
      </c>
      <c r="B8" s="56" t="inlineStr">
        <is>
          <t>공사용 재료는 도면 · 공사시방서 및 공사감독자의 지시에 따라, 쓰기 전에 견본 또는 자료를 제출하여 승인을 받은 뒤 쓴다.</t>
        </is>
      </c>
    </row>
    <row r="9" ht="36" customHeight="1">
      <c r="A9" s="55" t="inlineStr">
        <is>
          <t>(3)</t>
        </is>
      </c>
      <c r="B9" s="56" t="inlineStr">
        <is>
          <t>품질시험은 「건설기술 진흥법」 및 같은 법 시행령 · 시행규칙과 공사시방서에서 정한 바에 따른다.</t>
        </is>
      </c>
    </row>
    <row r="10" ht="3" customHeight="1"/>
    <row r="11" ht="22" customHeight="1">
      <c r="A11" s="57" t="inlineStr">
        <is>
          <t>12-2  공사용 재료의 품질</t>
        </is>
      </c>
    </row>
    <row r="12" ht="36" customHeight="1">
      <c r="A12" s="55" t="inlineStr">
        <is>
          <t>(1)</t>
        </is>
      </c>
      <c r="B12" s="56" t="inlineStr">
        <is>
          <t>설계도면 · 공사시방서 및 공사감독자의 따로 지시가 없으면 시방서에서 정한 품질과 규격에 맞는 재료를 쓴다.</t>
        </is>
      </c>
    </row>
    <row r="13" ht="36" customHeight="1">
      <c r="A13" s="55" t="inlineStr">
        <is>
          <t>(2)</t>
        </is>
      </c>
      <c r="B13" s="56" t="inlineStr">
        <is>
          <t>시방서에 품질 규격이 없으면 한국산업표준(KS) 표시품 또는 이에 준하는 품질과 규격의 재료를 쓴다.</t>
        </is>
      </c>
    </row>
    <row r="14" ht="51.5" customHeight="1">
      <c r="A14" s="55" t="inlineStr">
        <is>
          <t>(3)</t>
        </is>
      </c>
      <c r="B14" s="56" t="inlineStr">
        <is>
          <t>기성품을 포함한 공사용 재료는 현장 반입 전에 자재승인 서류(견본 · 카탈로그 · 시험성적서 등)를 제출하여 승인을 받고, 공사감독자의 지시에 따라 품질을 확인할 수 있는 증빙서류를 낸다.</t>
        </is>
      </c>
    </row>
    <row r="15" ht="36" customHeight="1">
      <c r="A15" s="55" t="inlineStr">
        <is>
          <t>(4)</t>
        </is>
      </c>
      <c r="B15" s="56" t="inlineStr">
        <is>
          <t>재료가 현장에 들어오면 공사감독자의 인수검사를 받고, 합격한 재료는 작업 · 통행에 지장이 없는 곳에 보관하여 수시 점검이 쉽게 한다.</t>
        </is>
      </c>
    </row>
    <row r="16" ht="36" customHeight="1">
      <c r="A16" s="55" t="inlineStr">
        <is>
          <t>(5)</t>
        </is>
      </c>
      <c r="B16" s="56" t="inlineStr">
        <is>
          <t>「건설기술 진흥법」에 규정된 품질시험을 하고, 시험실 규모 · 시험장비 · 시험요원 배치기준에 따라 시험실을 운영한다.</t>
        </is>
      </c>
    </row>
    <row r="17" ht="20.5" customHeight="1">
      <c r="A17" s="55" t="inlineStr">
        <is>
          <t>(6)</t>
        </is>
      </c>
      <c r="B17" s="56" t="inlineStr">
        <is>
          <t>검사 또는 시험에 불합격한 재료는 지체 없이 현장 밖으로 반출한다.</t>
        </is>
      </c>
    </row>
    <row r="18" ht="3" customHeight="1"/>
    <row r="19" ht="22" customHeight="1">
      <c r="A19" s="57" t="inlineStr">
        <is>
          <t>12-3  시공 확인 및 검사</t>
        </is>
      </c>
    </row>
    <row r="20" ht="36" customHeight="1">
      <c r="A20" s="55" t="inlineStr">
        <is>
          <t>(1)</t>
        </is>
      </c>
      <c r="B20" s="56" t="inlineStr">
        <is>
          <t>주요 공사단계가 끝났을 때나 공사감독자가 지시할 때는 시공의 정확성과 품질을 확인받는다.</t>
        </is>
      </c>
    </row>
    <row r="21" ht="20.5" customHeight="1">
      <c r="A21" s="55" t="inlineStr">
        <is>
          <t>(2)</t>
        </is>
      </c>
      <c r="B21" s="56" t="inlineStr">
        <is>
          <t>검사에 필요한 자료 작성 · 측량 등은 검사자의 지시에 따른다.</t>
        </is>
      </c>
    </row>
    <row r="22" ht="3" customHeight="1"/>
    <row r="23" ht="22" customHeight="1">
      <c r="A23" s="57" t="inlineStr">
        <is>
          <t>12-4  자재관리</t>
        </is>
      </c>
    </row>
    <row r="24" ht="20.5" customHeight="1">
      <c r="A24" s="55" t="inlineStr">
        <is>
          <t>(1)</t>
        </is>
      </c>
      <c r="B24" s="56" t="inlineStr">
        <is>
          <t>들어온 자재는 자재수불대장으로 입 · 출고를 관리한다.</t>
        </is>
      </c>
    </row>
    <row r="25" ht="20.5" customHeight="1">
      <c r="A25" s="55" t="inlineStr">
        <is>
          <t>(2)</t>
        </is>
      </c>
      <c r="B25" s="56" t="inlineStr">
        <is>
          <t>자재는 재질별 · 규격별로 나누어 보관한다.</t>
        </is>
      </c>
    </row>
    <row r="26" ht="20.5" customHeight="1">
      <c r="A26" s="55" t="inlineStr">
        <is>
          <t>(3)</t>
        </is>
      </c>
      <c r="B26" s="56" t="inlineStr">
        <is>
          <t>운반 · 야적 때 변형되지 않도록 전용 운반 가설대 또는 전용 야적대를 쓴다.</t>
        </is>
      </c>
    </row>
    <row r="27" ht="36" customHeight="1">
      <c r="A27" s="55" t="inlineStr">
        <is>
          <t>(4)</t>
        </is>
      </c>
      <c r="B27" s="56" t="inlineStr">
        <is>
          <t>반입 자재는 받침목 · 지지목 등으로 지면에서 200mm 이상 띄우고 손상 · 변형 · 침수되지 않게 한다.</t>
        </is>
      </c>
    </row>
    <row r="28" ht="20.5" customHeight="1">
      <c r="A28" s="55" t="inlineStr">
        <is>
          <t>(5)</t>
        </is>
      </c>
      <c r="B28" s="56" t="inlineStr">
        <is>
          <t>변형을 막기 위해 받침목 높이를 맞추고 1단 적재를 기본으로 한다.</t>
        </is>
      </c>
    </row>
    <row r="29" ht="4" customHeight="1"/>
    <row r="30" ht="30" customHeight="1">
      <c r="A30" s="12" t="inlineStr">
        <is>
          <t>13.0   환 경 관 리  계 획</t>
        </is>
      </c>
    </row>
    <row r="31" ht="4" customHeight="1"/>
    <row r="32" ht="3" customHeight="1"/>
    <row r="33" ht="22" customHeight="1">
      <c r="A33" s="57" t="inlineStr">
        <is>
          <t>13-1  개  요</t>
        </is>
      </c>
    </row>
    <row r="34" ht="21.5" customHeight="1">
      <c r="A34" s="58" t="inlineStr">
        <is>
          <t>현장의 폐기물 · 유류 · 쓰레기 및 소음 · 진동 · 비산먼지 등에 의한 오염을 방지한다.</t>
        </is>
      </c>
    </row>
    <row r="35" ht="3" customHeight="1"/>
    <row r="36" ht="22" customHeight="1">
      <c r="A36" s="57" t="inlineStr">
        <is>
          <t>13-2  중점관리 방침</t>
        </is>
      </c>
    </row>
    <row r="37" ht="20.5" customHeight="1">
      <c r="A37" s="55" t="inlineStr">
        <is>
          <t>(1)</t>
        </is>
      </c>
      <c r="B37" s="56" t="inlineStr">
        <is>
          <t>자율적인 환경관리</t>
        </is>
      </c>
    </row>
    <row r="38" ht="20.5" customHeight="1">
      <c r="A38" s="55" t="inlineStr">
        <is>
          <t>(2)</t>
        </is>
      </c>
      <c r="B38" s="56" t="inlineStr">
        <is>
          <t>쾌적한 작업환경 관리</t>
        </is>
      </c>
    </row>
    <row r="39" ht="20.5" customHeight="1">
      <c r="A39" s="55" t="inlineStr">
        <is>
          <t>(3)</t>
        </is>
      </c>
      <c r="B39" s="56" t="inlineStr">
        <is>
          <t>민원 발생 방지</t>
        </is>
      </c>
    </row>
    <row r="40" ht="3" customHeight="1"/>
    <row r="41" ht="22" customHeight="1">
      <c r="A41" s="57" t="inlineStr">
        <is>
          <t>13-3  실시계획</t>
        </is>
      </c>
    </row>
    <row r="42" ht="20.5" customHeight="1">
      <c r="A42" s="55" t="inlineStr">
        <is>
          <t>(1)</t>
        </is>
      </c>
      <c r="B42" s="56" t="inlineStr">
        <is>
          <t>작업 전후 정리정돈 : 작업 전후 정리정돈을 철저히 하여 쾌적한 작업환경을 유지한다.</t>
        </is>
      </c>
    </row>
    <row r="43" ht="36" customHeight="1">
      <c r="A43" s="55" t="inlineStr">
        <is>
          <t>(2)</t>
        </is>
      </c>
      <c r="B43" s="56" t="inlineStr">
        <is>
          <t>분리수거 : 분리수거를 철저히 하고, 팽이기초 작업에서 나온 폐기물(철근 토막 · 결속선 · 포장재 등)은 시공업체 부담으로 적법하게 처리하여 쓰레기를 줄인다.</t>
        </is>
      </c>
    </row>
    <row r="44" ht="36" customHeight="1">
      <c r="A44" s="55" t="inlineStr">
        <is>
          <t>(3)</t>
        </is>
      </c>
      <c r="B44" s="56" t="inlineStr">
        <is>
          <t>민원 발생 억제 : 소음 · 진동 · 비산먼지 · 냄새를 최대한 억제하여 인근 주민의 생활에 피해가 없도록 하고, 적극적으로 환경관리 활동을 한다.</t>
        </is>
      </c>
    </row>
    <row r="45" ht="21" customHeight="1">
      <c r="A45" s="10" t="inlineStr"/>
      <c r="B45" s="52" t="inlineStr">
        <is>
          <t>(4) 환경관리 대책</t>
        </is>
      </c>
    </row>
    <row r="46" ht="20.5" customHeight="1">
      <c r="A46" s="55" t="inlineStr">
        <is>
          <t>①</t>
        </is>
      </c>
      <c r="C46" s="56" t="inlineStr">
        <is>
          <t>쓰레기 처리 : 현장 안은 금연하고 쓰레기 수거함을 둔다.</t>
        </is>
      </c>
    </row>
    <row r="47" ht="36" customHeight="1">
      <c r="A47" s="55" t="inlineStr">
        <is>
          <t>②</t>
        </is>
      </c>
      <c r="C47" s="56" t="inlineStr">
        <is>
          <t>잔재물 : 남은 팽이용기 · 철근 토막 · 레미콘 잔량은 지정된 장소에 모아 두고 지정 업체가 수거하게 한다.</t>
        </is>
      </c>
    </row>
    <row r="48" ht="36" customHeight="1">
      <c r="A48" s="55" t="inlineStr">
        <is>
          <t>③</t>
        </is>
      </c>
      <c r="C48" s="56" t="inlineStr">
        <is>
          <t>비산먼지 : 현장 안 주요 도로와 작업장 주변은 하루 2회 이상 살수차로 살수하고, 장비 이동 때 먼지가 나지 않도록 서행한다.</t>
        </is>
      </c>
    </row>
    <row r="49" ht="4" customHeight="1"/>
    <row r="50" ht="30" customHeight="1">
      <c r="A50" s="12" t="inlineStr">
        <is>
          <t>14.0   안 전 관 리  계 획</t>
        </is>
      </c>
    </row>
    <row r="51" ht="4" customHeight="1"/>
    <row r="52" ht="3" customHeight="1"/>
    <row r="53" ht="22" customHeight="1">
      <c r="A53" s="57" t="inlineStr">
        <is>
          <t>14-1  안전관리 목적</t>
        </is>
      </c>
    </row>
    <row r="54" ht="37" customHeight="1">
      <c r="A54" s="58" t="inlineStr">
        <is>
          <t>공종의 특수성을 고려하여 현장의 위험요소를 미리 없애 사고를 막음으로써 귀중한 인명을 보호하고 재산 손실을 최소화하며, 작업 능률을 높여 계획 공정을 원만히 달성하는 데 목적이 있다.</t>
        </is>
      </c>
    </row>
    <row r="55" ht="3" customHeight="1"/>
    <row r="56" ht="22" customHeight="1">
      <c r="A56" s="57" t="inlineStr">
        <is>
          <t>14-2  현장의 안전관리 방침</t>
        </is>
      </c>
    </row>
    <row r="57" ht="20.5" customHeight="1">
      <c r="A57" s="55" t="inlineStr">
        <is>
          <t>①</t>
        </is>
      </c>
      <c r="B57" s="56" t="inlineStr">
        <is>
          <t>선 안전, 후 시공</t>
        </is>
      </c>
    </row>
    <row r="58" ht="20.5" customHeight="1">
      <c r="A58" s="55" t="inlineStr">
        <is>
          <t>②</t>
        </is>
      </c>
      <c r="B58" s="56" t="inlineStr">
        <is>
          <t>안전교육 내실화로 위험요인 사전 제거</t>
        </is>
      </c>
    </row>
    <row r="59" ht="20.5" customHeight="1">
      <c r="A59" s="55" t="inlineStr">
        <is>
          <t>③</t>
        </is>
      </c>
      <c r="B59" s="56" t="inlineStr">
        <is>
          <t>안전지도 · 점검 강화로 위험요인 사전 제거</t>
        </is>
      </c>
    </row>
    <row r="60" ht="20.5" customHeight="1">
      <c r="A60" s="55" t="inlineStr">
        <is>
          <t>④</t>
        </is>
      </c>
      <c r="B60" s="56" t="inlineStr">
        <is>
          <t>취약 지점 점검 · 보강</t>
        </is>
      </c>
    </row>
    <row r="61" ht="3" customHeight="1"/>
    <row r="62" ht="22" customHeight="1">
      <c r="A62" s="57" t="inlineStr">
        <is>
          <t>14-3  중점 관리 사항</t>
        </is>
      </c>
    </row>
    <row r="63" ht="20.5" customHeight="1">
      <c r="A63" s="55" t="inlineStr">
        <is>
          <t>①</t>
        </is>
      </c>
      <c r="B63" s="56" t="inlineStr">
        <is>
          <t>위험예지 활동 실시</t>
        </is>
      </c>
    </row>
    <row r="64" ht="20.5" customHeight="1">
      <c r="A64" s="55" t="inlineStr">
        <is>
          <t>②</t>
        </is>
      </c>
      <c r="B64" s="56" t="inlineStr">
        <is>
          <t>개인 안전보호구 착용 생활화</t>
        </is>
      </c>
    </row>
    <row r="65" ht="20.5" customHeight="1">
      <c r="A65" s="55" t="inlineStr">
        <is>
          <t>③</t>
        </is>
      </c>
      <c r="B65" s="56" t="inlineStr">
        <is>
          <t>신규 채용자는 특별안전교육 후 투입</t>
        </is>
      </c>
    </row>
    <row r="66" ht="20.5" customHeight="1">
      <c r="A66" s="55" t="inlineStr">
        <is>
          <t>④</t>
        </is>
      </c>
      <c r="B66" s="56" t="inlineStr">
        <is>
          <t>고소 및 위험지역 작업 전후 안전대책 강구</t>
        </is>
      </c>
    </row>
    <row r="67" ht="20.5" customHeight="1">
      <c r="A67" s="55" t="inlineStr">
        <is>
          <t>⑤</t>
        </is>
      </c>
      <c r="B67" s="56" t="inlineStr">
        <is>
          <t>각종 도구 · 시설물 · 보호장구 상태 및 사용 실태 수시 점검</t>
        </is>
      </c>
    </row>
    <row r="68" ht="20.5" customHeight="1">
      <c r="A68" s="55" t="inlineStr">
        <is>
          <t>⑥</t>
        </is>
      </c>
      <c r="B68" s="56" t="inlineStr">
        <is>
          <t>작업장 정리정돈 생활화</t>
        </is>
      </c>
    </row>
    <row r="69" ht="20.5" customHeight="1">
      <c r="A69" s="55" t="inlineStr">
        <is>
          <t>⑦</t>
        </is>
      </c>
      <c r="B69" s="56" t="inlineStr">
        <is>
          <t>관리감독자 순찰 활동 강화</t>
        </is>
      </c>
    </row>
    <row r="70" ht="20.5" customHeight="1">
      <c r="A70" s="55" t="inlineStr">
        <is>
          <t>⑧</t>
        </is>
      </c>
      <c r="B70" s="56" t="inlineStr">
        <is>
          <t>장비의 안전상태 점검</t>
        </is>
      </c>
    </row>
    <row r="71" ht="20.5" customHeight="1">
      <c r="A71" s="55" t="inlineStr">
        <is>
          <t>⑨</t>
        </is>
      </c>
      <c r="B71" s="56" t="inlineStr">
        <is>
          <t>장비 운전원은 유자격자 선임</t>
        </is>
      </c>
    </row>
    <row r="72" ht="3" customHeight="1"/>
    <row r="73" ht="22" customHeight="1">
      <c r="A73" s="57" t="inlineStr">
        <is>
          <t>14-4  팽이기초 공사의 안전수칙</t>
        </is>
      </c>
    </row>
    <row r="74" ht="36" customHeight="1">
      <c r="A74" s="55" t="inlineStr">
        <is>
          <t>①</t>
        </is>
      </c>
      <c r="B74" s="56" t="inlineStr">
        <is>
          <t>모든 작업자는 작업 때 안전보호구(안전모 · 안전화 · 보호장갑 · 작업복 등)를 반드시 착용한다.</t>
        </is>
      </c>
    </row>
    <row r="75" ht="36" customHeight="1">
      <c r="A75" s="55" t="inlineStr">
        <is>
          <t>②</t>
        </is>
      </c>
      <c r="B75" s="56" t="inlineStr">
        <is>
          <t>작업 전 장비 안전점검을 반드시 하고, 작업 중에도 중요 부분을 수시로 점검하여 이상이 있으면 예방조치를 한다.</t>
        </is>
      </c>
    </row>
    <row r="76" ht="20.5" customHeight="1">
      <c r="A76" s="55" t="inlineStr">
        <is>
          <t>③</t>
        </is>
      </c>
      <c r="B76" s="56" t="inlineStr">
        <is>
          <t>가동 중인 장비를 두고 자리를 뜨거나 장난 · 한눈팔기를 하지 않는다.</t>
        </is>
      </c>
    </row>
    <row r="77" ht="36" customHeight="1">
      <c r="A77" s="55" t="inlineStr">
        <is>
          <t>④</t>
        </is>
      </c>
      <c r="B77" s="56" t="inlineStr">
        <is>
          <t>기사는 작업자와 주위 사람 · 상황을 정확히 살피고 신호수의 신호에 따라 장비를 움직인다.</t>
        </is>
      </c>
    </row>
    <row r="78" ht="20.5" customHeight="1">
      <c r="A78" s="55" t="inlineStr">
        <is>
          <t>⑤</t>
        </is>
      </c>
      <c r="B78" s="56" t="inlineStr">
        <is>
          <t>높은 곳에서 작업할 때는 반드시 안전대를 착용한다.</t>
        </is>
      </c>
    </row>
    <row r="79" ht="36" customHeight="1">
      <c r="A79" s="55" t="inlineStr">
        <is>
          <t>⑥</t>
        </is>
      </c>
      <c r="B79" s="56" t="inlineStr">
        <is>
          <t>펌프카 · 백호 작업 반경 안에는 관계자 외 출입을 막고 신호수를 배치하며, 붐 아래에 들어가지 않는다.</t>
        </is>
      </c>
    </row>
    <row r="80" ht="4" customHeight="1"/>
    <row r="81" ht="30" customHeight="1">
      <c r="A81" s="12" t="inlineStr">
        <is>
          <t>15.0   평판재하시험 계획</t>
        </is>
      </c>
    </row>
    <row r="82" ht="4" customHeight="1"/>
    <row r="83" ht="24" customHeight="1">
      <c r="A83" s="25" t="inlineStr">
        <is>
          <t>구    분</t>
        </is>
      </c>
      <c r="B83" s="15" t="n"/>
      <c r="C83" s="15" t="n"/>
      <c r="D83" s="25" t="inlineStr">
        <is>
          <t>단  위</t>
        </is>
      </c>
      <c r="E83" s="15" t="n"/>
      <c r="F83" s="25" t="inlineStr">
        <is>
          <t>수  량</t>
        </is>
      </c>
      <c r="G83" s="15" t="n"/>
      <c r="H83" s="25" t="inlineStr">
        <is>
          <t>비    고(위치)</t>
        </is>
      </c>
      <c r="I83" s="15" t="n"/>
      <c r="J83" s="15" t="n"/>
      <c r="K83" s="15" t="n"/>
      <c r="L83" s="15" t="n"/>
    </row>
    <row r="84" ht="24" customHeight="1">
      <c r="A84" s="26" t="inlineStr">
        <is>
          <t>평판재하시험</t>
        </is>
      </c>
      <c r="B84" s="15" t="n"/>
      <c r="C84" s="15" t="n"/>
      <c r="D84" s="26" t="inlineStr">
        <is>
          <t>회</t>
        </is>
      </c>
      <c r="E84" s="15" t="n"/>
      <c r="F84" s="34" t="n"/>
      <c r="G84" s="15" t="n"/>
      <c r="H84" s="23" t="n"/>
      <c r="I84" s="15" t="n"/>
      <c r="J84" s="15" t="n"/>
      <c r="K84" s="15" t="n"/>
      <c r="L84" s="15" t="n"/>
    </row>
    <row r="85" ht="24" customHeight="1">
      <c r="A85" s="26" t="inlineStr">
        <is>
          <t>평판재하시험</t>
        </is>
      </c>
      <c r="B85" s="15" t="n"/>
      <c r="C85" s="15" t="n"/>
      <c r="D85" s="26" t="inlineStr">
        <is>
          <t>회</t>
        </is>
      </c>
      <c r="E85" s="15" t="n"/>
      <c r="F85" s="34" t="n"/>
      <c r="G85" s="15" t="n"/>
      <c r="H85" s="23" t="n"/>
      <c r="I85" s="15" t="n"/>
      <c r="J85" s="15" t="n"/>
      <c r="K85" s="15" t="n"/>
      <c r="L85" s="15" t="n"/>
    </row>
    <row r="86" ht="24" customHeight="1">
      <c r="A86" s="26" t="n"/>
      <c r="B86" s="15" t="n"/>
      <c r="C86" s="15" t="n"/>
      <c r="D86" s="26" t="n"/>
      <c r="E86" s="15" t="n"/>
      <c r="F86" s="34" t="n"/>
      <c r="G86" s="15" t="n"/>
      <c r="H86" s="23" t="n"/>
      <c r="I86" s="15" t="n"/>
      <c r="J86" s="15" t="n"/>
      <c r="K86" s="15" t="n"/>
      <c r="L86" s="15" t="n"/>
    </row>
    <row r="87" ht="24" customHeight="1">
      <c r="A87" s="26" t="n"/>
      <c r="B87" s="15" t="n"/>
      <c r="C87" s="15" t="n"/>
      <c r="D87" s="26" t="n"/>
      <c r="E87" s="15" t="n"/>
      <c r="F87" s="34" t="n"/>
      <c r="G87" s="15" t="n"/>
      <c r="H87" s="23" t="n"/>
      <c r="I87" s="15" t="n"/>
      <c r="J87" s="15" t="n"/>
      <c r="K87" s="15" t="n"/>
      <c r="L87" s="15" t="n"/>
    </row>
    <row r="88" ht="24" customHeight="1">
      <c r="A88" s="26" t="n"/>
      <c r="B88" s="15" t="n"/>
      <c r="C88" s="15" t="n"/>
      <c r="D88" s="26" t="n"/>
      <c r="E88" s="15" t="n"/>
      <c r="F88" s="34" t="n"/>
      <c r="G88" s="15" t="n"/>
      <c r="H88" s="23" t="n"/>
      <c r="I88" s="15" t="n"/>
      <c r="J88" s="15" t="n"/>
      <c r="K88" s="15" t="n"/>
      <c r="L88" s="15" t="n"/>
    </row>
    <row r="89" ht="24" customHeight="1">
      <c r="A89" s="28" t="inlineStr">
        <is>
          <t>계</t>
        </is>
      </c>
      <c r="B89" s="15" t="n"/>
      <c r="C89" s="15" t="n"/>
      <c r="D89" s="28" t="inlineStr">
        <is>
          <t>회</t>
        </is>
      </c>
      <c r="E89" s="15" t="n"/>
      <c r="F89" s="36">
        <f>IF(SUM(F84:F88)=0,"",SUM(F84:F88))</f>
        <v/>
      </c>
      <c r="G89" s="15" t="n"/>
      <c r="H89" s="28" t="inlineStr"/>
      <c r="I89" s="15" t="n"/>
      <c r="J89" s="15" t="n"/>
      <c r="K89" s="15" t="n"/>
      <c r="L89" s="15" t="n"/>
    </row>
    <row r="90" ht="17.325" customHeight="1">
      <c r="A90" s="37" t="inlineStr">
        <is>
          <t>※ 시험 계획은 현장 상황에 따라 바뀔 수 있습니다.</t>
        </is>
      </c>
    </row>
    <row r="91" ht="4" customHeight="1"/>
    <row r="92" ht="30" customHeight="1">
      <c r="A92" s="12" t="inlineStr">
        <is>
          <t>[첨부]   관 련  도 면</t>
        </is>
      </c>
    </row>
    <row r="93" ht="4" customHeight="1"/>
    <row r="94" ht="20" customHeight="1">
      <c r="A94" s="24" t="inlineStr">
        <is>
          <t>(관련 도면을 붙이는 곳 — 팽이기초 배치도 · 상세도)</t>
        </is>
      </c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</row>
    <row r="95" ht="20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</row>
    <row r="96" ht="20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</row>
    <row r="97" ht="20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</row>
    <row r="98" ht="20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</row>
    <row r="99" ht="20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</row>
    <row r="100" ht="20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 ht="20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</row>
    <row r="102" ht="20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</row>
    <row r="103" ht="20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</row>
    <row r="104" ht="20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</row>
    <row r="105" ht="20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</row>
    <row r="106" ht="20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</row>
    <row r="107" ht="20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</row>
    <row r="108" ht="20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</row>
    <row r="109" ht="20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</row>
    <row r="110" ht="20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</row>
    <row r="111" ht="20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</row>
    <row r="112" ht="20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</row>
    <row r="113" ht="20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</row>
    <row r="114" ht="20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</row>
    <row r="115" ht="20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</row>
    <row r="116" ht="20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</row>
    <row r="117" ht="20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</row>
    <row r="118" ht="20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</row>
    <row r="119" ht="20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</row>
    <row r="120" ht="20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</row>
    <row r="121" ht="20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</row>
    <row r="122" ht="20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</row>
    <row r="123" ht="20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5" ht="34" customHeight="1">
      <c r="A125" s="8" t="inlineStr">
        <is>
          <t>법령 이름은 현행(「건설기술 진흥법」)으로 바꿨습니다. 그 밖의 문구는 원본 계획서를 다듬은 것입니다.</t>
        </is>
      </c>
    </row>
  </sheetData>
  <mergeCells count="99">
    <mergeCell ref="A89:C89"/>
    <mergeCell ref="D84:E84"/>
    <mergeCell ref="F84:G84"/>
    <mergeCell ref="B12:L12"/>
    <mergeCell ref="H83:L83"/>
    <mergeCell ref="D86:E86"/>
    <mergeCell ref="B21:L21"/>
    <mergeCell ref="F86:G86"/>
    <mergeCell ref="B39:L39"/>
    <mergeCell ref="A23:L23"/>
    <mergeCell ref="B14:L14"/>
    <mergeCell ref="H85:L85"/>
    <mergeCell ref="B13:L13"/>
    <mergeCell ref="B38:L38"/>
    <mergeCell ref="B78:L78"/>
    <mergeCell ref="A83:C83"/>
    <mergeCell ref="A34:L34"/>
    <mergeCell ref="A92:L92"/>
    <mergeCell ref="B64:L64"/>
    <mergeCell ref="A36:L36"/>
    <mergeCell ref="A6:L6"/>
    <mergeCell ref="C46:L46"/>
    <mergeCell ref="D88:E88"/>
    <mergeCell ref="B63:L63"/>
    <mergeCell ref="F88:G88"/>
    <mergeCell ref="A48:B48"/>
    <mergeCell ref="B16:L16"/>
    <mergeCell ref="C48:L48"/>
    <mergeCell ref="B25:L25"/>
    <mergeCell ref="B66:L66"/>
    <mergeCell ref="A3:L3"/>
    <mergeCell ref="B27:L27"/>
    <mergeCell ref="F83:G83"/>
    <mergeCell ref="B77:L77"/>
    <mergeCell ref="A46:B46"/>
    <mergeCell ref="F85:G85"/>
    <mergeCell ref="B67:L67"/>
    <mergeCell ref="A81:L81"/>
    <mergeCell ref="B69:L69"/>
    <mergeCell ref="B37:L37"/>
    <mergeCell ref="H84:L84"/>
    <mergeCell ref="A73:L73"/>
    <mergeCell ref="B15:L15"/>
    <mergeCell ref="H86:L86"/>
    <mergeCell ref="B24:L24"/>
    <mergeCell ref="D89:E89"/>
    <mergeCell ref="B79:L79"/>
    <mergeCell ref="B26:L26"/>
    <mergeCell ref="F87:G87"/>
    <mergeCell ref="A84:C84"/>
    <mergeCell ref="B7:L7"/>
    <mergeCell ref="F89:G89"/>
    <mergeCell ref="A50:L50"/>
    <mergeCell ref="B71:L71"/>
    <mergeCell ref="A86:C86"/>
    <mergeCell ref="B43:L43"/>
    <mergeCell ref="B58:L58"/>
    <mergeCell ref="H89:L89"/>
    <mergeCell ref="B42:L42"/>
    <mergeCell ref="B60:L60"/>
    <mergeCell ref="B17:L17"/>
    <mergeCell ref="B57:L57"/>
    <mergeCell ref="H88:L88"/>
    <mergeCell ref="A125:L125"/>
    <mergeCell ref="B44:L44"/>
    <mergeCell ref="A94:L123"/>
    <mergeCell ref="B28:L28"/>
    <mergeCell ref="B9:L9"/>
    <mergeCell ref="D83:E83"/>
    <mergeCell ref="H87:L87"/>
    <mergeCell ref="A1:F1"/>
    <mergeCell ref="A88:C88"/>
    <mergeCell ref="B20:L20"/>
    <mergeCell ref="D85:E85"/>
    <mergeCell ref="A54:L54"/>
    <mergeCell ref="B75:L75"/>
    <mergeCell ref="A41:L41"/>
    <mergeCell ref="A90:L90"/>
    <mergeCell ref="B59:L59"/>
    <mergeCell ref="A56:L56"/>
    <mergeCell ref="B70:L70"/>
    <mergeCell ref="A85:C85"/>
    <mergeCell ref="A33:L33"/>
    <mergeCell ref="A53:L53"/>
    <mergeCell ref="B8:L8"/>
    <mergeCell ref="A62:L62"/>
    <mergeCell ref="G1:L1"/>
    <mergeCell ref="D87:E87"/>
    <mergeCell ref="A19:L19"/>
    <mergeCell ref="A47:B47"/>
    <mergeCell ref="C47:L47"/>
    <mergeCell ref="A30:L30"/>
    <mergeCell ref="B65:L65"/>
    <mergeCell ref="B74:L74"/>
    <mergeCell ref="B68:L68"/>
    <mergeCell ref="A11:L11"/>
    <mergeCell ref="A87:C87"/>
    <mergeCell ref="B76:L76"/>
    <mergeCell ref="B45:L45"/>
  </mergeCells>
  <printOptions horizontalCentered="1"/>
  <pageMargins left="0.6" right="0.6" top="0.6" bottom="0.6" header="0.2" footer="0.2"/>
  <pageSetup orientation="portrait" paperSize="9" fitToHeight="0" fitToWidth="1"/>
  <rowBreaks count="4" manualBreakCount="4">
    <brk id="28" min="0" max="16383" man="1"/>
    <brk id="48" min="0" max="16383" man="1"/>
    <brk id="79" min="0" max="16383" man="1"/>
    <brk id="90" min="0" max="16383" man="1"/>
  </rowBreaks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1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59" t="inlineStr">
        <is>
          <t xml:space="preserve">작성 예시 (가상의 현장)  </t>
        </is>
      </c>
    </row>
    <row r="2" ht="90" customHeight="1"/>
    <row r="3" ht="40" customHeight="1">
      <c r="A3" s="3" t="inlineStr">
        <is>
          <t>가나학교 교사 증축공사</t>
        </is>
      </c>
    </row>
    <row r="4" ht="70" customHeight="1"/>
    <row r="5" ht="64" customHeight="1">
      <c r="A5" s="4" t="inlineStr">
        <is>
          <t>시  공  계  획  서</t>
        </is>
      </c>
    </row>
    <row r="6" ht="40" customHeight="1">
      <c r="A6" s="5" t="inlineStr">
        <is>
          <t>[ 팽이기초 ]</t>
        </is>
      </c>
    </row>
    <row r="7" ht="120" customHeight="1"/>
    <row r="8" ht="32" customHeight="1">
      <c r="A8" s="6" t="n">
        <v>46082</v>
      </c>
    </row>
    <row r="9" ht="110" customHeight="1"/>
    <row r="10" ht="44" customHeight="1">
      <c r="A10" s="7" t="inlineStr">
        <is>
          <t>예시건설(주)</t>
        </is>
      </c>
    </row>
    <row r="12" ht="19.5" customHeight="1">
      <c r="A12" s="8" t="inlineStr">
        <is>
          <t>이 시트는 작성 예시입니다(가상의 공사 · 회사 · 사람).</t>
        </is>
      </c>
    </row>
  </sheetData>
  <mergeCells count="8">
    <mergeCell ref="G1:L1"/>
    <mergeCell ref="A10:L10"/>
    <mergeCell ref="A1:F1"/>
    <mergeCell ref="A5:L5"/>
    <mergeCell ref="A8:L8"/>
    <mergeCell ref="A6:L6"/>
    <mergeCell ref="A3:L3"/>
    <mergeCell ref="A12:L12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11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59" t="inlineStr">
        <is>
          <t xml:space="preserve">작성 예시 (가상의 현장)  </t>
        </is>
      </c>
    </row>
    <row r="2" ht="16" customHeight="1"/>
    <row r="3" ht="50" customHeight="1">
      <c r="A3" s="9" t="inlineStr">
        <is>
          <t>목          차</t>
        </is>
      </c>
    </row>
    <row r="4" ht="14" customHeight="1"/>
    <row r="5" ht="30" customHeight="1">
      <c r="A5" s="10" t="inlineStr"/>
      <c r="C5" s="11" t="inlineStr">
        <is>
          <t>1.  공    사    명</t>
        </is>
      </c>
      <c r="K5" s="10" t="inlineStr"/>
    </row>
    <row r="6" ht="30" customHeight="1">
      <c r="A6" s="10" t="inlineStr"/>
      <c r="C6" s="11" t="inlineStr">
        <is>
          <t>2.  공  사  개  요</t>
        </is>
      </c>
      <c r="K6" s="10" t="inlineStr"/>
    </row>
    <row r="7" ht="30" customHeight="1">
      <c r="A7" s="10" t="inlineStr"/>
      <c r="C7" s="11" t="inlineStr">
        <is>
          <t>3.  공  사  위  치</t>
        </is>
      </c>
      <c r="K7" s="10" t="inlineStr"/>
    </row>
    <row r="8" ht="30" customHeight="1">
      <c r="A8" s="10" t="inlineStr"/>
      <c r="C8" s="11" t="inlineStr">
        <is>
          <t>4.  주요 공사 물량</t>
        </is>
      </c>
      <c r="K8" s="10" t="inlineStr"/>
    </row>
    <row r="9" ht="30" customHeight="1">
      <c r="A9" s="10" t="inlineStr"/>
      <c r="C9" s="11" t="inlineStr">
        <is>
          <t>5.  현 장  조 직 도</t>
        </is>
      </c>
      <c r="K9" s="10" t="inlineStr"/>
    </row>
    <row r="10" ht="30" customHeight="1">
      <c r="A10" s="10" t="inlineStr"/>
      <c r="C10" s="11" t="inlineStr">
        <is>
          <t>6.  투입장비 및 자재</t>
        </is>
      </c>
      <c r="K10" s="10" t="inlineStr"/>
    </row>
    <row r="11" ht="30" customHeight="1">
      <c r="A11" s="10" t="inlineStr"/>
      <c r="C11" s="11" t="inlineStr">
        <is>
          <t>7.  투 입  인 원</t>
        </is>
      </c>
      <c r="K11" s="10" t="inlineStr"/>
    </row>
    <row r="12" ht="30" customHeight="1">
      <c r="A12" s="10" t="inlineStr"/>
      <c r="C12" s="11" t="inlineStr">
        <is>
          <t>8.  예 정  공 정 표</t>
        </is>
      </c>
      <c r="K12" s="10" t="inlineStr"/>
    </row>
    <row r="13" ht="30" customHeight="1">
      <c r="A13" s="10" t="inlineStr"/>
      <c r="C13" s="11" t="inlineStr">
        <is>
          <t>9.  팽이기초 작업 순서도</t>
        </is>
      </c>
      <c r="K13" s="10" t="inlineStr"/>
    </row>
    <row r="14" ht="30" customHeight="1">
      <c r="A14" s="10" t="inlineStr"/>
      <c r="C14" s="11" t="inlineStr">
        <is>
          <t>10. 팽이기초의 특성 및 용도</t>
        </is>
      </c>
      <c r="K14" s="10" t="inlineStr"/>
    </row>
    <row r="15" ht="30" customHeight="1">
      <c r="A15" s="10" t="inlineStr"/>
      <c r="C15" s="11" t="inlineStr">
        <is>
          <t>11. 팽이기초 시공방법</t>
        </is>
      </c>
      <c r="K15" s="10" t="inlineStr"/>
    </row>
    <row r="16" ht="30" customHeight="1">
      <c r="A16" s="10" t="inlineStr"/>
      <c r="C16" s="11" t="inlineStr">
        <is>
          <t>12. 품질 관리 계획</t>
        </is>
      </c>
      <c r="K16" s="10" t="inlineStr"/>
    </row>
    <row r="17" ht="30" customHeight="1">
      <c r="A17" s="10" t="inlineStr"/>
      <c r="C17" s="11" t="inlineStr">
        <is>
          <t>13. 환경 관리 계획</t>
        </is>
      </c>
      <c r="K17" s="10" t="inlineStr"/>
    </row>
    <row r="18" ht="30" customHeight="1">
      <c r="A18" s="10" t="inlineStr"/>
      <c r="C18" s="11" t="inlineStr">
        <is>
          <t>14. 안전 관리 계획</t>
        </is>
      </c>
      <c r="K18" s="10" t="inlineStr"/>
    </row>
    <row r="19" ht="30" customHeight="1">
      <c r="A19" s="10" t="inlineStr"/>
      <c r="C19" s="11" t="inlineStr">
        <is>
          <t>15. 평판재하시험 계획</t>
        </is>
      </c>
      <c r="K19" s="10" t="inlineStr"/>
    </row>
    <row r="20" ht="30" customHeight="1">
      <c r="A20" s="10" t="inlineStr"/>
      <c r="C20" s="11" t="inlineStr">
        <is>
          <t>[첨부] 관련 도면</t>
        </is>
      </c>
      <c r="K20" s="10" t="inlineStr"/>
    </row>
    <row r="21" ht="4" customHeight="1"/>
    <row r="22" ht="30" customHeight="1">
      <c r="A22" s="12" t="inlineStr">
        <is>
          <t>1.0   공 사 명</t>
        </is>
      </c>
    </row>
    <row r="23" ht="4" customHeight="1"/>
    <row r="24" ht="30" customHeight="1">
      <c r="A24" s="10" t="inlineStr"/>
      <c r="B24" s="13">
        <f>IF(OR('예시-표지'!A3="",'예시-표지'!A3="(공 사 명)"),"","◦ "&amp;'예시-표지'!A3)</f>
        <v/>
      </c>
    </row>
    <row r="25" ht="4" customHeight="1"/>
    <row r="26" ht="30" customHeight="1">
      <c r="A26" s="12" t="inlineStr">
        <is>
          <t>2.0   공 사 개 요</t>
        </is>
      </c>
    </row>
    <row r="27" ht="4" customHeight="1"/>
    <row r="28" ht="28" customHeight="1">
      <c r="A28" s="14" t="inlineStr">
        <is>
          <t>공 사 명</t>
        </is>
      </c>
      <c r="B28" s="15" t="n"/>
      <c r="C28" s="15" t="n"/>
      <c r="D28" s="16">
        <f>IF(OR('예시-표지'!A3="",'예시-표지'!A3="(공 사 명)"),"",'예시-표지'!A3)</f>
        <v/>
      </c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 ht="26" customHeight="1">
      <c r="A29" s="14" t="inlineStr">
        <is>
          <t>공 사 위 치</t>
        </is>
      </c>
      <c r="B29" s="15" t="n"/>
      <c r="C29" s="15" t="n"/>
      <c r="D29" s="17" t="inlineStr">
        <is>
          <t>가나시 가나동 일원</t>
        </is>
      </c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 ht="26" customHeight="1">
      <c r="A30" s="14" t="inlineStr">
        <is>
          <t>발  주  처</t>
        </is>
      </c>
      <c r="B30" s="15" t="n"/>
      <c r="C30" s="15" t="n"/>
      <c r="D30" s="17" t="inlineStr">
        <is>
          <t>가나시교육청</t>
        </is>
      </c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26" customHeight="1">
      <c r="A31" s="14" t="inlineStr">
        <is>
          <t>공 사 기 간</t>
        </is>
      </c>
      <c r="B31" s="15" t="n"/>
      <c r="C31" s="15" t="n"/>
      <c r="D31" s="18" t="n">
        <v>46083</v>
      </c>
      <c r="E31" s="15" t="n"/>
      <c r="F31" s="19" t="inlineStr">
        <is>
          <t>~</t>
        </is>
      </c>
      <c r="G31" s="18" t="n">
        <v>46387</v>
      </c>
      <c r="H31" s="15" t="n"/>
      <c r="I31" s="20">
        <f>IF(OR(N(D31)=0,N(G31)=0),"",IF(G31&lt;D31,"⚠ 준공일이 착공일보다 빠름",G31-D31+1))</f>
        <v/>
      </c>
      <c r="J31" s="15" t="n"/>
      <c r="K31" s="15" t="n"/>
      <c r="L31" s="15" t="n"/>
    </row>
    <row r="32" ht="26" customHeight="1">
      <c r="A32" s="14" t="inlineStr">
        <is>
          <t>공 사 금 액</t>
        </is>
      </c>
      <c r="B32" s="15" t="n"/>
      <c r="C32" s="15" t="n"/>
      <c r="D32" s="21" t="n">
        <v>8450000000</v>
      </c>
      <c r="E32" s="15" t="n"/>
      <c r="F32" s="15" t="n"/>
      <c r="G32" s="22">
        <f>IF(N(D32)=0,"",D32)</f>
        <v/>
      </c>
      <c r="H32" s="15" t="n"/>
      <c r="I32" s="15" t="n"/>
      <c r="J32" s="15" t="n"/>
      <c r="K32" s="15" t="n"/>
      <c r="L32" s="15" t="n"/>
    </row>
    <row r="33" ht="26" customHeight="1">
      <c r="A33" s="14" t="inlineStr">
        <is>
          <t>공 사 규 모</t>
        </is>
      </c>
      <c r="B33" s="15" t="n"/>
      <c r="C33" s="15" t="n"/>
      <c r="D33" s="23" t="inlineStr">
        <is>
          <t>교사동 · 실습동 증축(팽이기초)</t>
        </is>
      </c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 ht="26" customHeight="1">
      <c r="A34" s="14" t="inlineStr">
        <is>
          <t>현 장 대 리 인</t>
        </is>
      </c>
      <c r="B34" s="15" t="n"/>
      <c r="C34" s="15" t="n"/>
      <c r="D34" s="23" t="inlineStr">
        <is>
          <t>홍길동</t>
        </is>
      </c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26" customHeight="1">
      <c r="A35" s="14" t="inlineStr">
        <is>
          <t>시  공  사</t>
        </is>
      </c>
      <c r="B35" s="15" t="n"/>
      <c r="C35" s="15" t="n"/>
      <c r="D35" s="16">
        <f>IF(OR('예시-표지'!A10="",'예시-표지'!A10="(회 사 명)"),"",'예시-표지'!A10)</f>
        <v/>
      </c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 ht="4" customHeight="1"/>
    <row r="37" ht="30" customHeight="1">
      <c r="A37" s="12" t="inlineStr">
        <is>
          <t>3.0   공 사 위 치</t>
        </is>
      </c>
    </row>
    <row r="38" ht="4" customHeight="1"/>
    <row r="39" ht="20" customHeight="1">
      <c r="A39" s="24" t="inlineStr">
        <is>
          <t>(위치도를 붙이는 곳 — 현장 위치와 팽이기초 시공 구간을 표시)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 ht="20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20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 ht="20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 ht="20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 ht="20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 ht="20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 ht="20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 ht="20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 ht="20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 ht="20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 ht="20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 ht="4" customHeight="1"/>
    <row r="52" ht="30" customHeight="1">
      <c r="A52" s="12" t="inlineStr">
        <is>
          <t>4.0   주요 공사 물량</t>
        </is>
      </c>
    </row>
    <row r="53" ht="4" customHeight="1"/>
    <row r="54" ht="24" customHeight="1">
      <c r="A54" s="25" t="inlineStr">
        <is>
          <t>구    분</t>
        </is>
      </c>
      <c r="B54" s="15" t="n"/>
      <c r="C54" s="15" t="n"/>
      <c r="D54" s="15" t="n"/>
      <c r="E54" s="25" t="inlineStr">
        <is>
          <t>팽이기초 시공면적 (㎡)</t>
        </is>
      </c>
      <c r="F54" s="15" t="n"/>
      <c r="G54" s="15" t="n"/>
      <c r="H54" s="15" t="n"/>
      <c r="I54" s="25" t="inlineStr">
        <is>
          <t>비    고</t>
        </is>
      </c>
      <c r="J54" s="15" t="n"/>
      <c r="K54" s="15" t="n"/>
      <c r="L54" s="15" t="n"/>
    </row>
    <row r="55" ht="24" customHeight="1">
      <c r="A55" s="26" t="inlineStr">
        <is>
          <t>교사동</t>
        </is>
      </c>
      <c r="B55" s="15" t="n"/>
      <c r="C55" s="15" t="n"/>
      <c r="D55" s="15" t="n"/>
      <c r="E55" s="27" t="n">
        <v>1620</v>
      </c>
      <c r="F55" s="15" t="n"/>
      <c r="G55" s="15" t="n"/>
      <c r="H55" s="15" t="n"/>
      <c r="I55" s="23" t="inlineStr">
        <is>
          <t>현장타설형 팽이기초</t>
        </is>
      </c>
      <c r="J55" s="15" t="n"/>
      <c r="K55" s="15" t="n"/>
      <c r="L55" s="15" t="n"/>
    </row>
    <row r="56" ht="24" customHeight="1">
      <c r="A56" s="26" t="inlineStr">
        <is>
          <t>실습동</t>
        </is>
      </c>
      <c r="B56" s="15" t="n"/>
      <c r="C56" s="15" t="n"/>
      <c r="D56" s="15" t="n"/>
      <c r="E56" s="27" t="n">
        <v>870</v>
      </c>
      <c r="F56" s="15" t="n"/>
      <c r="G56" s="15" t="n"/>
      <c r="H56" s="15" t="n"/>
      <c r="I56" s="23" t="inlineStr">
        <is>
          <t>현장타설형 팽이기초</t>
        </is>
      </c>
      <c r="J56" s="15" t="n"/>
      <c r="K56" s="15" t="n"/>
      <c r="L56" s="15" t="n"/>
    </row>
    <row r="57" ht="24" customHeight="1">
      <c r="A57" s="26" t="n"/>
      <c r="B57" s="15" t="n"/>
      <c r="C57" s="15" t="n"/>
      <c r="D57" s="15" t="n"/>
      <c r="E57" s="27" t="n"/>
      <c r="F57" s="15" t="n"/>
      <c r="G57" s="15" t="n"/>
      <c r="H57" s="15" t="n"/>
      <c r="I57" s="23" t="n"/>
      <c r="J57" s="15" t="n"/>
      <c r="K57" s="15" t="n"/>
      <c r="L57" s="15" t="n"/>
    </row>
    <row r="58" ht="24" customHeight="1">
      <c r="A58" s="26" t="n"/>
      <c r="B58" s="15" t="n"/>
      <c r="C58" s="15" t="n"/>
      <c r="D58" s="15" t="n"/>
      <c r="E58" s="27" t="n"/>
      <c r="F58" s="15" t="n"/>
      <c r="G58" s="15" t="n"/>
      <c r="H58" s="15" t="n"/>
      <c r="I58" s="23" t="n"/>
      <c r="J58" s="15" t="n"/>
      <c r="K58" s="15" t="n"/>
      <c r="L58" s="15" t="n"/>
    </row>
    <row r="59" ht="24" customHeight="1">
      <c r="A59" s="26" t="n"/>
      <c r="B59" s="15" t="n"/>
      <c r="C59" s="15" t="n"/>
      <c r="D59" s="15" t="n"/>
      <c r="E59" s="27" t="n"/>
      <c r="F59" s="15" t="n"/>
      <c r="G59" s="15" t="n"/>
      <c r="H59" s="15" t="n"/>
      <c r="I59" s="23" t="n"/>
      <c r="J59" s="15" t="n"/>
      <c r="K59" s="15" t="n"/>
      <c r="L59" s="15" t="n"/>
    </row>
    <row r="60" ht="24" customHeight="1">
      <c r="A60" s="28" t="inlineStr">
        <is>
          <t>합    계</t>
        </is>
      </c>
      <c r="B60" s="15" t="n"/>
      <c r="C60" s="15" t="n"/>
      <c r="D60" s="15" t="n"/>
      <c r="E60" s="29">
        <f>IF(SUM(E55:E59)=0,"",SUM(E55:E59))</f>
        <v/>
      </c>
      <c r="F60" s="15" t="n"/>
      <c r="G60" s="15" t="n"/>
      <c r="H60" s="15" t="n"/>
      <c r="I60" s="28" t="inlineStr"/>
      <c r="J60" s="15" t="n"/>
      <c r="K60" s="15" t="n"/>
      <c r="L60" s="15" t="n"/>
    </row>
    <row r="61" ht="20" customHeight="1">
      <c r="A61" s="24" t="inlineStr">
        <is>
          <t>(팽이기초 부설 평면도를 붙이는 곳 — 동별 시공 범위)</t>
        </is>
      </c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</row>
    <row r="62" ht="20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</row>
    <row r="63" ht="20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</row>
    <row r="64" ht="20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</row>
    <row r="65" ht="20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</row>
    <row r="66" ht="20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</row>
    <row r="67" ht="20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</row>
    <row r="68" ht="20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</row>
    <row r="69" ht="20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</row>
    <row r="70" ht="20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</row>
    <row r="71" ht="20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</row>
    <row r="72" ht="20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</row>
    <row r="73" ht="20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</row>
    <row r="74" ht="20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</row>
    <row r="75" ht="4" customHeight="1"/>
    <row r="76" ht="30" customHeight="1">
      <c r="A76" s="12" t="inlineStr">
        <is>
          <t>5.0   현 장  조 직 도</t>
        </is>
      </c>
    </row>
    <row r="77" ht="4" customHeight="1"/>
    <row r="78" ht="24" customHeight="1">
      <c r="A78" s="10" t="inlineStr"/>
      <c r="E78" s="14" t="inlineStr">
        <is>
          <t>현 장 대 리 인</t>
        </is>
      </c>
      <c r="F78" s="15" t="n"/>
      <c r="G78" s="15" t="n"/>
      <c r="H78" s="15" t="n"/>
      <c r="I78" s="10" t="inlineStr"/>
    </row>
    <row r="79" ht="24" customHeight="1">
      <c r="A79" s="10" t="inlineStr"/>
      <c r="E79" s="26" t="inlineStr">
        <is>
          <t>홍길동</t>
        </is>
      </c>
      <c r="F79" s="15" t="n"/>
      <c r="G79" s="15" t="n"/>
      <c r="H79" s="15" t="n"/>
      <c r="I79" s="10" t="inlineStr"/>
    </row>
    <row r="80" ht="14" customHeight="1">
      <c r="A80" s="30" t="inlineStr">
        <is>
          <t>│</t>
        </is>
      </c>
    </row>
    <row r="81" ht="24" customHeight="1">
      <c r="A81" s="10" t="inlineStr"/>
      <c r="B81" s="14" t="inlineStr">
        <is>
          <t>품 질 관 리 자</t>
        </is>
      </c>
      <c r="C81" s="15" t="n"/>
      <c r="D81" s="15" t="n"/>
      <c r="E81" s="15" t="n"/>
      <c r="F81" s="31" t="inlineStr">
        <is>
          <t>─┼─</t>
        </is>
      </c>
      <c r="H81" s="14" t="inlineStr">
        <is>
          <t>안 전 관 리 자</t>
        </is>
      </c>
      <c r="I81" s="15" t="n"/>
      <c r="J81" s="15" t="n"/>
      <c r="K81" s="15" t="n"/>
      <c r="L81" s="10" t="inlineStr"/>
    </row>
    <row r="82" ht="24" customHeight="1">
      <c r="A82" s="10" t="inlineStr"/>
      <c r="B82" s="26" t="inlineStr">
        <is>
          <t>김철수</t>
        </is>
      </c>
      <c r="C82" s="15" t="n"/>
      <c r="D82" s="15" t="n"/>
      <c r="E82" s="15" t="n"/>
      <c r="F82" s="31" t="inlineStr">
        <is>
          <t>│</t>
        </is>
      </c>
      <c r="H82" s="26" t="inlineStr">
        <is>
          <t>박안전</t>
        </is>
      </c>
      <c r="I82" s="15" t="n"/>
      <c r="J82" s="15" t="n"/>
      <c r="K82" s="15" t="n"/>
      <c r="L82" s="10" t="inlineStr"/>
    </row>
    <row r="83" ht="14" customHeight="1">
      <c r="A83" s="30" t="inlineStr">
        <is>
          <t>│</t>
        </is>
      </c>
    </row>
    <row r="84" ht="24" customHeight="1">
      <c r="A84" s="10" t="inlineStr"/>
      <c r="E84" s="14" t="inlineStr">
        <is>
          <t>시 공 업 체</t>
        </is>
      </c>
      <c r="F84" s="15" t="n"/>
      <c r="G84" s="15" t="n"/>
      <c r="H84" s="15" t="n"/>
      <c r="I84" s="10" t="inlineStr"/>
    </row>
    <row r="85" ht="24" customHeight="1">
      <c r="A85" s="10" t="inlineStr"/>
      <c r="E85" s="26" t="inlineStr">
        <is>
          <t>예시기초(주)</t>
        </is>
      </c>
      <c r="F85" s="15" t="n"/>
      <c r="G85" s="15" t="n"/>
      <c r="H85" s="15" t="n"/>
      <c r="I85" s="10" t="inlineStr"/>
    </row>
    <row r="86" ht="14" customHeight="1">
      <c r="A86" s="30" t="inlineStr">
        <is>
          <t>│</t>
        </is>
      </c>
    </row>
    <row r="87" ht="24" customHeight="1">
      <c r="A87" s="10" t="inlineStr"/>
      <c r="E87" s="14" t="inlineStr">
        <is>
          <t>작 업 반 장</t>
        </is>
      </c>
      <c r="F87" s="15" t="n"/>
      <c r="G87" s="15" t="n"/>
      <c r="H87" s="15" t="n"/>
      <c r="I87" s="10" t="inlineStr"/>
    </row>
    <row r="88" ht="24" customHeight="1">
      <c r="A88" s="10" t="inlineStr"/>
      <c r="E88" s="26" t="inlineStr">
        <is>
          <t>최반장</t>
        </is>
      </c>
      <c r="F88" s="15" t="n"/>
      <c r="G88" s="15" t="n"/>
      <c r="H88" s="15" t="n"/>
      <c r="I88" s="10" t="inlineStr"/>
    </row>
    <row r="89" ht="14" customHeight="1">
      <c r="A89" s="30" t="inlineStr">
        <is>
          <t>┌──────────┼──────────┐</t>
        </is>
      </c>
    </row>
    <row r="90" ht="24" customHeight="1">
      <c r="A90" s="25" t="inlineStr">
        <is>
          <t>장비기사</t>
        </is>
      </c>
      <c r="B90" s="15" t="n"/>
      <c r="C90" s="15" t="n"/>
      <c r="D90" s="25" t="inlineStr">
        <is>
          <t>보통인부</t>
        </is>
      </c>
      <c r="E90" s="15" t="n"/>
      <c r="F90" s="15" t="n"/>
      <c r="G90" s="25" t="inlineStr">
        <is>
          <t>특별인부</t>
        </is>
      </c>
      <c r="H90" s="15" t="n"/>
      <c r="I90" s="15" t="n"/>
      <c r="J90" s="28" t="inlineStr">
        <is>
          <t>합  계</t>
        </is>
      </c>
      <c r="K90" s="15" t="n"/>
      <c r="L90" s="15" t="n"/>
    </row>
    <row r="91" ht="24" customHeight="1">
      <c r="A91" s="32" t="n">
        <v>1</v>
      </c>
      <c r="B91" s="15" t="n"/>
      <c r="C91" s="15" t="n"/>
      <c r="D91" s="32" t="n">
        <v>5</v>
      </c>
      <c r="E91" s="15" t="n"/>
      <c r="F91" s="15" t="n"/>
      <c r="G91" s="32" t="n">
        <v>3</v>
      </c>
      <c r="H91" s="15" t="n"/>
      <c r="I91" s="15" t="n"/>
      <c r="J91" s="33">
        <f>IF(SUM(A91,D91,G91)=0,"",SUM(A91,D91,G91))</f>
        <v/>
      </c>
      <c r="K91" s="15" t="n"/>
      <c r="L91" s="15" t="n"/>
    </row>
    <row r="92" ht="4" customHeight="1"/>
    <row r="93" ht="30" customHeight="1">
      <c r="A93" s="12" t="inlineStr">
        <is>
          <t>6.0   투입장비 및 자재</t>
        </is>
      </c>
    </row>
    <row r="94" ht="4" customHeight="1"/>
    <row r="95" ht="24" customHeight="1">
      <c r="A95" s="25" t="inlineStr">
        <is>
          <t>구    분</t>
        </is>
      </c>
      <c r="B95" s="15" t="n"/>
      <c r="C95" s="15" t="n"/>
      <c r="D95" s="25" t="inlineStr">
        <is>
          <t>단  위</t>
        </is>
      </c>
      <c r="E95" s="15" t="n"/>
      <c r="F95" s="25" t="inlineStr">
        <is>
          <t>수  량</t>
        </is>
      </c>
      <c r="G95" s="15" t="n"/>
      <c r="H95" s="15" t="n"/>
      <c r="I95" s="25" t="inlineStr">
        <is>
          <t>규    격</t>
        </is>
      </c>
      <c r="J95" s="15" t="n"/>
      <c r="K95" s="15" t="n"/>
      <c r="L95" s="15" t="n"/>
    </row>
    <row r="96" ht="24" customHeight="1">
      <c r="A96" s="26" t="inlineStr">
        <is>
          <t>백호(B/H)</t>
        </is>
      </c>
      <c r="B96" s="15" t="n"/>
      <c r="C96" s="15" t="n"/>
      <c r="D96" s="26" t="inlineStr">
        <is>
          <t>대</t>
        </is>
      </c>
      <c r="E96" s="15" t="n"/>
      <c r="F96" s="27" t="n">
        <v>1</v>
      </c>
      <c r="G96" s="15" t="n"/>
      <c r="H96" s="15" t="n"/>
      <c r="I96" s="26" t="inlineStr">
        <is>
          <t>0.6㎥</t>
        </is>
      </c>
      <c r="J96" s="15" t="n"/>
      <c r="K96" s="15" t="n"/>
      <c r="L96" s="15" t="n"/>
    </row>
    <row r="97" ht="24" customHeight="1">
      <c r="A97" s="26" t="inlineStr">
        <is>
          <t>콘크리트 펌프카</t>
        </is>
      </c>
      <c r="B97" s="15" t="n"/>
      <c r="C97" s="15" t="n"/>
      <c r="D97" s="26" t="inlineStr">
        <is>
          <t>대</t>
        </is>
      </c>
      <c r="E97" s="15" t="n"/>
      <c r="F97" s="27" t="n">
        <v>1</v>
      </c>
      <c r="G97" s="15" t="n"/>
      <c r="H97" s="15" t="n"/>
      <c r="I97" s="26" t="inlineStr">
        <is>
          <t>37m</t>
        </is>
      </c>
      <c r="J97" s="15" t="n"/>
      <c r="K97" s="15" t="n"/>
      <c r="L97" s="15" t="n"/>
    </row>
    <row r="98" ht="24" customHeight="1">
      <c r="A98" s="26" t="inlineStr">
        <is>
          <t>팽이용기</t>
        </is>
      </c>
      <c r="B98" s="15" t="n"/>
      <c r="C98" s="15" t="n"/>
      <c r="D98" s="26" t="inlineStr">
        <is>
          <t>개</t>
        </is>
      </c>
      <c r="E98" s="15" t="n"/>
      <c r="F98" s="27" t="n">
        <v>9980</v>
      </c>
      <c r="G98" s="15" t="n"/>
      <c r="H98" s="15" t="n"/>
      <c r="I98" s="26" t="inlineStr">
        <is>
          <t>Φ500형</t>
        </is>
      </c>
      <c r="J98" s="15" t="n"/>
      <c r="K98" s="15" t="n"/>
      <c r="L98" s="15" t="n"/>
    </row>
    <row r="99" ht="24" customHeight="1">
      <c r="A99" s="26" t="inlineStr">
        <is>
          <t>레미콘</t>
        </is>
      </c>
      <c r="B99" s="15" t="n"/>
      <c r="C99" s="15" t="n"/>
      <c r="D99" s="26" t="inlineStr">
        <is>
          <t>㎥</t>
        </is>
      </c>
      <c r="E99" s="15" t="n"/>
      <c r="F99" s="27" t="n">
        <v>310</v>
      </c>
      <c r="G99" s="15" t="n"/>
      <c r="H99" s="15" t="n"/>
      <c r="I99" s="26" t="inlineStr">
        <is>
          <t>25-18-120</t>
        </is>
      </c>
      <c r="J99" s="15" t="n"/>
      <c r="K99" s="15" t="n"/>
      <c r="L99" s="15" t="n"/>
    </row>
    <row r="100" ht="24" customHeight="1">
      <c r="A100" s="26" t="inlineStr">
        <is>
          <t>철근</t>
        </is>
      </c>
      <c r="B100" s="15" t="n"/>
      <c r="C100" s="15" t="n"/>
      <c r="D100" s="26" t="inlineStr">
        <is>
          <t>톤</t>
        </is>
      </c>
      <c r="E100" s="15" t="n"/>
      <c r="F100" s="27" t="n">
        <v>23</v>
      </c>
      <c r="G100" s="15" t="n"/>
      <c r="H100" s="15" t="n"/>
      <c r="I100" s="26" t="inlineStr">
        <is>
          <t>HD10</t>
        </is>
      </c>
      <c r="J100" s="15" t="n"/>
      <c r="K100" s="15" t="n"/>
      <c r="L100" s="15" t="n"/>
    </row>
    <row r="101" ht="24" customHeight="1">
      <c r="A101" s="26" t="inlineStr">
        <is>
          <t>채움 쇄석</t>
        </is>
      </c>
      <c r="B101" s="15" t="n"/>
      <c r="C101" s="15" t="n"/>
      <c r="D101" s="26" t="inlineStr">
        <is>
          <t>㎥</t>
        </is>
      </c>
      <c r="E101" s="15" t="n"/>
      <c r="F101" s="27" t="n">
        <v>1140</v>
      </c>
      <c r="G101" s="15" t="n"/>
      <c r="H101" s="15" t="n"/>
      <c r="I101" s="26" t="inlineStr">
        <is>
          <t>25mm</t>
        </is>
      </c>
      <c r="J101" s="15" t="n"/>
      <c r="K101" s="15" t="n"/>
      <c r="L101" s="15" t="n"/>
    </row>
    <row r="102" ht="24" customHeight="1">
      <c r="A102" s="26" t="n"/>
      <c r="B102" s="15" t="n"/>
      <c r="C102" s="15" t="n"/>
      <c r="D102" s="26" t="n"/>
      <c r="E102" s="15" t="n"/>
      <c r="F102" s="27" t="n"/>
      <c r="G102" s="15" t="n"/>
      <c r="H102" s="15" t="n"/>
      <c r="I102" s="26" t="n"/>
      <c r="J102" s="15" t="n"/>
      <c r="K102" s="15" t="n"/>
      <c r="L102" s="15" t="n"/>
    </row>
    <row r="103" ht="24" customHeight="1">
      <c r="A103" s="26" t="n"/>
      <c r="B103" s="15" t="n"/>
      <c r="C103" s="15" t="n"/>
      <c r="D103" s="26" t="n"/>
      <c r="E103" s="15" t="n"/>
      <c r="F103" s="27" t="n"/>
      <c r="G103" s="15" t="n"/>
      <c r="H103" s="15" t="n"/>
      <c r="I103" s="26" t="n"/>
      <c r="J103" s="15" t="n"/>
      <c r="K103" s="15" t="n"/>
      <c r="L103" s="15" t="n"/>
    </row>
    <row r="104" ht="4" customHeight="1"/>
    <row r="105" ht="30" customHeight="1">
      <c r="A105" s="12" t="inlineStr">
        <is>
          <t>7.0   투입인원 (1일 투입)</t>
        </is>
      </c>
    </row>
    <row r="106" ht="4" customHeight="1"/>
    <row r="107" ht="24" customHeight="1">
      <c r="A107" s="25" t="inlineStr">
        <is>
          <t>구    분</t>
        </is>
      </c>
      <c r="B107" s="15" t="n"/>
      <c r="C107" s="15" t="n"/>
      <c r="D107" s="15" t="n"/>
      <c r="E107" s="25" t="inlineStr">
        <is>
          <t>단  위</t>
        </is>
      </c>
      <c r="F107" s="15" t="n"/>
      <c r="G107" s="25" t="inlineStr">
        <is>
          <t>수  량</t>
        </is>
      </c>
      <c r="H107" s="15" t="n"/>
      <c r="I107" s="25" t="inlineStr">
        <is>
          <t>비    고</t>
        </is>
      </c>
      <c r="J107" s="15" t="n"/>
      <c r="K107" s="15" t="n"/>
      <c r="L107" s="15" t="n"/>
    </row>
    <row r="108" ht="24" customHeight="1">
      <c r="A108" s="26" t="inlineStr">
        <is>
          <t>작업반장</t>
        </is>
      </c>
      <c r="B108" s="15" t="n"/>
      <c r="C108" s="15" t="n"/>
      <c r="D108" s="15" t="n"/>
      <c r="E108" s="19" t="inlineStr">
        <is>
          <t>인</t>
        </is>
      </c>
      <c r="F108" s="15" t="n"/>
      <c r="G108" s="34" t="n">
        <v>1</v>
      </c>
      <c r="H108" s="15" t="n"/>
      <c r="I108" s="35" t="n"/>
      <c r="J108" s="15" t="n"/>
      <c r="K108" s="15" t="n"/>
      <c r="L108" s="15" t="n"/>
    </row>
    <row r="109" ht="24" customHeight="1">
      <c r="A109" s="26" t="inlineStr">
        <is>
          <t>장비기사</t>
        </is>
      </c>
      <c r="B109" s="15" t="n"/>
      <c r="C109" s="15" t="n"/>
      <c r="D109" s="15" t="n"/>
      <c r="E109" s="19" t="inlineStr">
        <is>
          <t>인</t>
        </is>
      </c>
      <c r="F109" s="15" t="n"/>
      <c r="G109" s="34" t="n">
        <v>1</v>
      </c>
      <c r="H109" s="15" t="n"/>
      <c r="I109" s="35" t="n"/>
      <c r="J109" s="15" t="n"/>
      <c r="K109" s="15" t="n"/>
      <c r="L109" s="15" t="n"/>
    </row>
    <row r="110" ht="24" customHeight="1">
      <c r="A110" s="26" t="inlineStr">
        <is>
          <t>보통인부</t>
        </is>
      </c>
      <c r="B110" s="15" t="n"/>
      <c r="C110" s="15" t="n"/>
      <c r="D110" s="15" t="n"/>
      <c r="E110" s="19" t="inlineStr">
        <is>
          <t>인</t>
        </is>
      </c>
      <c r="F110" s="15" t="n"/>
      <c r="G110" s="34" t="n">
        <v>5</v>
      </c>
      <c r="H110" s="15" t="n"/>
      <c r="I110" s="35" t="n"/>
      <c r="J110" s="15" t="n"/>
      <c r="K110" s="15" t="n"/>
      <c r="L110" s="15" t="n"/>
    </row>
    <row r="111" ht="24" customHeight="1">
      <c r="A111" s="26" t="inlineStr">
        <is>
          <t>특별인부</t>
        </is>
      </c>
      <c r="B111" s="15" t="n"/>
      <c r="C111" s="15" t="n"/>
      <c r="D111" s="15" t="n"/>
      <c r="E111" s="19" t="inlineStr">
        <is>
          <t>인</t>
        </is>
      </c>
      <c r="F111" s="15" t="n"/>
      <c r="G111" s="34" t="n">
        <v>3</v>
      </c>
      <c r="H111" s="15" t="n"/>
      <c r="I111" s="35" t="n"/>
      <c r="J111" s="15" t="n"/>
      <c r="K111" s="15" t="n"/>
      <c r="L111" s="15" t="n"/>
    </row>
    <row r="112" ht="24" customHeight="1">
      <c r="A112" s="28" t="inlineStr">
        <is>
          <t>계</t>
        </is>
      </c>
      <c r="B112" s="15" t="n"/>
      <c r="C112" s="15" t="n"/>
      <c r="D112" s="15" t="n"/>
      <c r="E112" s="28" t="inlineStr">
        <is>
          <t>인</t>
        </is>
      </c>
      <c r="F112" s="15" t="n"/>
      <c r="G112" s="36">
        <f>IF(SUM(G108,G109,G110,G111)=0,"",SUM(G108,G109,G110,G111))</f>
        <v/>
      </c>
      <c r="H112" s="15" t="n"/>
      <c r="I112" s="28" t="inlineStr"/>
      <c r="J112" s="15" t="n"/>
      <c r="K112" s="15" t="n"/>
      <c r="L112" s="15" t="n"/>
    </row>
    <row r="113" ht="17.325" customHeight="1">
      <c r="A113" s="37" t="inlineStr">
        <is>
          <t>※ 터파기 완료 후 시행.</t>
        </is>
      </c>
    </row>
    <row r="115" ht="19.5" customHeight="1">
      <c r="A115" s="8" t="inlineStr">
        <is>
          <t>이 시트는 작성 예시입니다(가상의 공사 · 회사 · 사람 · 수량).</t>
        </is>
      </c>
    </row>
  </sheetData>
  <mergeCells count="199">
    <mergeCell ref="A15:B15"/>
    <mergeCell ref="D100:E100"/>
    <mergeCell ref="A37:L37"/>
    <mergeCell ref="E111:F111"/>
    <mergeCell ref="A89:L89"/>
    <mergeCell ref="I78:L78"/>
    <mergeCell ref="I109:L109"/>
    <mergeCell ref="A112:D112"/>
    <mergeCell ref="F100:H100"/>
    <mergeCell ref="D31:E31"/>
    <mergeCell ref="A105:L105"/>
    <mergeCell ref="A26:L26"/>
    <mergeCell ref="A113:L113"/>
    <mergeCell ref="A7:B7"/>
    <mergeCell ref="A58:D58"/>
    <mergeCell ref="C20:J20"/>
    <mergeCell ref="H82:K82"/>
    <mergeCell ref="F102:H102"/>
    <mergeCell ref="A91:C91"/>
    <mergeCell ref="A107:D107"/>
    <mergeCell ref="A60:D60"/>
    <mergeCell ref="D33:L33"/>
    <mergeCell ref="A52:L52"/>
    <mergeCell ref="G90:I90"/>
    <mergeCell ref="G32:L32"/>
    <mergeCell ref="E79:H79"/>
    <mergeCell ref="C11:J11"/>
    <mergeCell ref="E88:H88"/>
    <mergeCell ref="F81:G81"/>
    <mergeCell ref="A54:D54"/>
    <mergeCell ref="A93:L93"/>
    <mergeCell ref="G108:H108"/>
    <mergeCell ref="A115:L115"/>
    <mergeCell ref="A17:B17"/>
    <mergeCell ref="A34:C34"/>
    <mergeCell ref="D35:L35"/>
    <mergeCell ref="A83:L83"/>
    <mergeCell ref="A108:D108"/>
    <mergeCell ref="G110:H110"/>
    <mergeCell ref="A56:D56"/>
    <mergeCell ref="D34:L34"/>
    <mergeCell ref="I58:L58"/>
    <mergeCell ref="A19:B19"/>
    <mergeCell ref="D98:E98"/>
    <mergeCell ref="C13:J13"/>
    <mergeCell ref="A9:B9"/>
    <mergeCell ref="K13:L13"/>
    <mergeCell ref="A85:D85"/>
    <mergeCell ref="H81:K81"/>
    <mergeCell ref="C15:J15"/>
    <mergeCell ref="I110:L110"/>
    <mergeCell ref="A11:B11"/>
    <mergeCell ref="K15:L15"/>
    <mergeCell ref="E85:H85"/>
    <mergeCell ref="D99:E99"/>
    <mergeCell ref="F101:H101"/>
    <mergeCell ref="A80:L80"/>
    <mergeCell ref="D91:F91"/>
    <mergeCell ref="A3:L3"/>
    <mergeCell ref="A95:C95"/>
    <mergeCell ref="A111:D111"/>
    <mergeCell ref="I84:L84"/>
    <mergeCell ref="D101:E101"/>
    <mergeCell ref="I31:L31"/>
    <mergeCell ref="A32:C32"/>
    <mergeCell ref="G112:H112"/>
    <mergeCell ref="C10:J10"/>
    <mergeCell ref="C16:J16"/>
    <mergeCell ref="A97:C97"/>
    <mergeCell ref="A59:D59"/>
    <mergeCell ref="J91:L91"/>
    <mergeCell ref="I108:L108"/>
    <mergeCell ref="A29:C29"/>
    <mergeCell ref="I95:L95"/>
    <mergeCell ref="A96:C96"/>
    <mergeCell ref="C9:J9"/>
    <mergeCell ref="A79:D79"/>
    <mergeCell ref="D29:L29"/>
    <mergeCell ref="A88:D88"/>
    <mergeCell ref="A31:C31"/>
    <mergeCell ref="I57:L57"/>
    <mergeCell ref="D103:E103"/>
    <mergeCell ref="I54:L54"/>
    <mergeCell ref="E87:H87"/>
    <mergeCell ref="A8:B8"/>
    <mergeCell ref="E110:F110"/>
    <mergeCell ref="I112:L112"/>
    <mergeCell ref="K17:L17"/>
    <mergeCell ref="F103:H103"/>
    <mergeCell ref="I56:L56"/>
    <mergeCell ref="I96:L96"/>
    <mergeCell ref="A10:B10"/>
    <mergeCell ref="K10:L10"/>
    <mergeCell ref="B24:L24"/>
    <mergeCell ref="K19:L19"/>
    <mergeCell ref="K6:L6"/>
    <mergeCell ref="I98:L98"/>
    <mergeCell ref="I107:L107"/>
    <mergeCell ref="K16:L16"/>
    <mergeCell ref="F95:H95"/>
    <mergeCell ref="A99:C99"/>
    <mergeCell ref="I88:L88"/>
    <mergeCell ref="D32:F32"/>
    <mergeCell ref="C6:J6"/>
    <mergeCell ref="K9:L9"/>
    <mergeCell ref="A109:D109"/>
    <mergeCell ref="K5:L5"/>
    <mergeCell ref="C14:J14"/>
    <mergeCell ref="F97:H97"/>
    <mergeCell ref="A101:C101"/>
    <mergeCell ref="D96:E96"/>
    <mergeCell ref="I59:L59"/>
    <mergeCell ref="I99:L99"/>
    <mergeCell ref="A86:L86"/>
    <mergeCell ref="K11:L11"/>
    <mergeCell ref="I60:L60"/>
    <mergeCell ref="E107:F107"/>
    <mergeCell ref="D28:L28"/>
    <mergeCell ref="A22:L22"/>
    <mergeCell ref="B81:E81"/>
    <mergeCell ref="E55:H55"/>
    <mergeCell ref="J90:L90"/>
    <mergeCell ref="A12:B12"/>
    <mergeCell ref="D30:L30"/>
    <mergeCell ref="A28:C28"/>
    <mergeCell ref="E108:F108"/>
    <mergeCell ref="K8:L8"/>
    <mergeCell ref="A78:D78"/>
    <mergeCell ref="A5:B5"/>
    <mergeCell ref="A87:D87"/>
    <mergeCell ref="A14:B14"/>
    <mergeCell ref="A30:C30"/>
    <mergeCell ref="D102:E102"/>
    <mergeCell ref="C8:J8"/>
    <mergeCell ref="I103:L103"/>
    <mergeCell ref="E84:H84"/>
    <mergeCell ref="C17:J17"/>
    <mergeCell ref="K7:L7"/>
    <mergeCell ref="E78:H78"/>
    <mergeCell ref="I97:L97"/>
    <mergeCell ref="A98:C98"/>
    <mergeCell ref="F99:H99"/>
    <mergeCell ref="A1:F1"/>
    <mergeCell ref="I87:L87"/>
    <mergeCell ref="E112:F112"/>
    <mergeCell ref="A57:D57"/>
    <mergeCell ref="C19:J19"/>
    <mergeCell ref="K18:L18"/>
    <mergeCell ref="I111:L111"/>
    <mergeCell ref="A90:C90"/>
    <mergeCell ref="E57:H57"/>
    <mergeCell ref="I79:L79"/>
    <mergeCell ref="E54:H54"/>
    <mergeCell ref="G107:H107"/>
    <mergeCell ref="C5:J5"/>
    <mergeCell ref="A6:B6"/>
    <mergeCell ref="A16:B16"/>
    <mergeCell ref="K20:L20"/>
    <mergeCell ref="A33:C33"/>
    <mergeCell ref="E56:H56"/>
    <mergeCell ref="A76:L76"/>
    <mergeCell ref="D95:E95"/>
    <mergeCell ref="E58:H58"/>
    <mergeCell ref="F96:H96"/>
    <mergeCell ref="A100:C100"/>
    <mergeCell ref="A18:B18"/>
    <mergeCell ref="A35:C35"/>
    <mergeCell ref="D97:E97"/>
    <mergeCell ref="G91:I91"/>
    <mergeCell ref="G1:L1"/>
    <mergeCell ref="C12:J12"/>
    <mergeCell ref="A110:D110"/>
    <mergeCell ref="K12:L12"/>
    <mergeCell ref="F98:H98"/>
    <mergeCell ref="I101:L101"/>
    <mergeCell ref="A102:C102"/>
    <mergeCell ref="I85:L85"/>
    <mergeCell ref="I100:L100"/>
    <mergeCell ref="K14:L14"/>
    <mergeCell ref="A39:L50"/>
    <mergeCell ref="A84:D84"/>
    <mergeCell ref="A20:B20"/>
    <mergeCell ref="E60:H60"/>
    <mergeCell ref="D90:F90"/>
    <mergeCell ref="G109:H109"/>
    <mergeCell ref="C7:J7"/>
    <mergeCell ref="I102:L102"/>
    <mergeCell ref="A103:C103"/>
    <mergeCell ref="F82:G82"/>
    <mergeCell ref="B82:E82"/>
    <mergeCell ref="A55:D55"/>
    <mergeCell ref="A13:B13"/>
    <mergeCell ref="G31:H31"/>
    <mergeCell ref="I55:L55"/>
    <mergeCell ref="E59:H59"/>
    <mergeCell ref="A61:L74"/>
    <mergeCell ref="G111:H111"/>
    <mergeCell ref="E109:F109"/>
    <mergeCell ref="C18:J18"/>
  </mergeCells>
  <conditionalFormatting sqref="E55:E59">
    <cfRule type="expression" priority="1" dxfId="0">
      <formula>AND(ISNUMBER(E55),MOD(E55,1)=0)</formula>
    </cfRule>
  </conditionalFormatting>
  <conditionalFormatting sqref="F96:F103">
    <cfRule type="expression" priority="2" dxfId="0">
      <formula>AND(ISNUMBER(F96),MOD(F96,1)=0)</formula>
    </cfRule>
  </conditionalFormatting>
  <conditionalFormatting sqref="E60">
    <cfRule type="expression" priority="3" dxfId="1">
      <formula>AND(ISNUMBER(E60),MOD(E60,1)=0)</formula>
    </cfRule>
  </conditionalFormatting>
  <printOptions horizontalCentered="1"/>
  <pageMargins left="0.6" right="0.6" top="0.6" bottom="0.6" header="0.2" footer="0.2"/>
  <pageSetup orientation="portrait" paperSize="9" fitToHeight="0" fitToWidth="1"/>
  <rowBreaks count="4" manualBreakCount="4">
    <brk id="20" min="0" max="16383" man="1"/>
    <brk id="50" min="0" max="16383" man="1"/>
    <brk id="74" min="0" max="16383" man="1"/>
    <brk id="91" min="0" max="16383" man="1"/>
  </rowBreaks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J18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5" customWidth="1" min="3" max="3"/>
    <col width="5" customWidth="1" min="4" max="4"/>
    <col width="11" customWidth="1" min="5" max="5"/>
    <col width="2.15" customWidth="1" min="6" max="6"/>
    <col width="2.15" customWidth="1" min="7" max="7"/>
    <col width="2.15" customWidth="1" min="8" max="8"/>
    <col width="2.15" customWidth="1" min="9" max="9"/>
    <col width="2.15" customWidth="1" min="10" max="10"/>
    <col width="2.15" customWidth="1" min="11" max="11"/>
    <col width="2.15" customWidth="1" min="12" max="12"/>
    <col width="2.15" customWidth="1" min="13" max="13"/>
    <col width="2.15" customWidth="1" min="14" max="14"/>
    <col width="2.15" customWidth="1" min="15" max="15"/>
    <col width="2.15" customWidth="1" min="16" max="16"/>
    <col width="2.15" customWidth="1" min="17" max="17"/>
    <col width="2.15" customWidth="1" min="18" max="18"/>
    <col width="2.15" customWidth="1" min="19" max="19"/>
    <col width="2.15" customWidth="1" min="20" max="20"/>
    <col width="2.15" customWidth="1" min="21" max="21"/>
    <col width="2.15" customWidth="1" min="22" max="22"/>
    <col width="2.15" customWidth="1" min="23" max="23"/>
    <col width="2.15" customWidth="1" min="24" max="24"/>
    <col width="2.15" customWidth="1" min="25" max="25"/>
    <col width="2.15" customWidth="1" min="26" max="26"/>
    <col width="2.15" customWidth="1" min="27" max="27"/>
    <col width="2.15" customWidth="1" min="28" max="28"/>
    <col width="2.15" customWidth="1" min="29" max="29"/>
    <col width="2.15" customWidth="1" min="30" max="30"/>
    <col width="2.15" customWidth="1" min="31" max="31"/>
    <col width="2.15" customWidth="1" min="32" max="32"/>
    <col width="2.15" customWidth="1" min="33" max="33"/>
    <col width="2.15" customWidth="1" min="34" max="34"/>
    <col width="2.15" customWidth="1" min="35" max="35"/>
    <col width="7" customWidth="1" min="36" max="36"/>
  </cols>
  <sheetData>
    <row r="1" ht="20" customHeight="1">
      <c r="A1" s="1" t="inlineStr">
        <is>
          <t xml:space="preserve">  K-건설맵  |  k-conmap.com  건설 서식</t>
        </is>
      </c>
      <c r="L1" s="59" t="inlineStr">
        <is>
          <t xml:space="preserve">작성 예시 (가상의 현장)  </t>
        </is>
      </c>
    </row>
    <row r="2" ht="34" customHeight="1">
      <c r="A2" s="38" t="inlineStr">
        <is>
          <t>8.0   예 정 공 정 표 (일 단위)</t>
        </is>
      </c>
    </row>
    <row r="3" ht="22" customHeight="1">
      <c r="A3" s="14" t="inlineStr">
        <is>
          <t>착 수 일</t>
        </is>
      </c>
      <c r="B3" s="18" t="n">
        <v>46118</v>
      </c>
      <c r="C3" s="15" t="n"/>
      <c r="D3" s="8" t="inlineStr">
        <is>
          <t>※ 착수일과 공정마다 시작 일차 · 작업 일수를 적으면 끝나는 날과 일 단위 막대가 그려집니다.</t>
        </is>
      </c>
    </row>
    <row r="4" ht="18" customHeight="1">
      <c r="A4" s="25" t="inlineStr">
        <is>
          <t>공    정</t>
        </is>
      </c>
      <c r="B4" s="39" t="inlineStr">
        <is>
          <t>시작
일차</t>
        </is>
      </c>
      <c r="C4" s="39" t="inlineStr">
        <is>
          <t>일수</t>
        </is>
      </c>
      <c r="D4" s="39" t="inlineStr">
        <is>
          <t>종료
일차</t>
        </is>
      </c>
      <c r="E4" s="40" t="inlineStr">
        <is>
          <t>기    간</t>
        </is>
      </c>
      <c r="F4" s="41" t="n">
        <v>1</v>
      </c>
      <c r="G4" s="41" t="n">
        <v>2</v>
      </c>
      <c r="H4" s="41" t="n">
        <v>3</v>
      </c>
      <c r="I4" s="41" t="n">
        <v>4</v>
      </c>
      <c r="J4" s="41" t="n">
        <v>5</v>
      </c>
      <c r="K4" s="41" t="n">
        <v>6</v>
      </c>
      <c r="L4" s="41" t="n">
        <v>7</v>
      </c>
      <c r="M4" s="41" t="n">
        <v>8</v>
      </c>
      <c r="N4" s="41" t="n">
        <v>9</v>
      </c>
      <c r="O4" s="41" t="n">
        <v>10</v>
      </c>
      <c r="P4" s="41" t="n">
        <v>11</v>
      </c>
      <c r="Q4" s="41" t="n">
        <v>12</v>
      </c>
      <c r="R4" s="41" t="n">
        <v>13</v>
      </c>
      <c r="S4" s="41" t="n">
        <v>14</v>
      </c>
      <c r="T4" s="41" t="n">
        <v>15</v>
      </c>
      <c r="U4" s="41" t="n">
        <v>16</v>
      </c>
      <c r="V4" s="41" t="n">
        <v>17</v>
      </c>
      <c r="W4" s="41" t="n">
        <v>18</v>
      </c>
      <c r="X4" s="41" t="n">
        <v>19</v>
      </c>
      <c r="Y4" s="41" t="n">
        <v>20</v>
      </c>
      <c r="Z4" s="41" t="n">
        <v>21</v>
      </c>
      <c r="AA4" s="41" t="n">
        <v>22</v>
      </c>
      <c r="AB4" s="41" t="n">
        <v>23</v>
      </c>
      <c r="AC4" s="41" t="n">
        <v>24</v>
      </c>
      <c r="AD4" s="41" t="n">
        <v>25</v>
      </c>
      <c r="AE4" s="41" t="n">
        <v>26</v>
      </c>
      <c r="AF4" s="41" t="n">
        <v>27</v>
      </c>
      <c r="AG4" s="41" t="n">
        <v>28</v>
      </c>
      <c r="AH4" s="41" t="n">
        <v>29</v>
      </c>
      <c r="AI4" s="41" t="n">
        <v>30</v>
      </c>
      <c r="AJ4" s="25" t="inlineStr">
        <is>
          <t>비 고</t>
        </is>
      </c>
    </row>
    <row r="5" ht="14" customHeight="1">
      <c r="A5" s="15" t="n"/>
      <c r="B5" s="15" t="n"/>
      <c r="C5" s="15" t="n"/>
      <c r="D5" s="15" t="n"/>
      <c r="E5" s="15" t="n"/>
      <c r="F5" s="42">
        <f>IF(N(B3)=0,"",B3+0)</f>
        <v/>
      </c>
      <c r="G5" s="42">
        <f>IF(N(B3)=0,"",B3+1)</f>
        <v/>
      </c>
      <c r="H5" s="42">
        <f>IF(N(B3)=0,"",B3+2)</f>
        <v/>
      </c>
      <c r="I5" s="42">
        <f>IF(N(B3)=0,"",B3+3)</f>
        <v/>
      </c>
      <c r="J5" s="42">
        <f>IF(N(B3)=0,"",B3+4)</f>
        <v/>
      </c>
      <c r="K5" s="42">
        <f>IF(N(B3)=0,"",B3+5)</f>
        <v/>
      </c>
      <c r="L5" s="42">
        <f>IF(N(B3)=0,"",B3+6)</f>
        <v/>
      </c>
      <c r="M5" s="42">
        <f>IF(N(B3)=0,"",B3+7)</f>
        <v/>
      </c>
      <c r="N5" s="42">
        <f>IF(N(B3)=0,"",B3+8)</f>
        <v/>
      </c>
      <c r="O5" s="42">
        <f>IF(N(B3)=0,"",B3+9)</f>
        <v/>
      </c>
      <c r="P5" s="42">
        <f>IF(N(B3)=0,"",B3+10)</f>
        <v/>
      </c>
      <c r="Q5" s="42">
        <f>IF(N(B3)=0,"",B3+11)</f>
        <v/>
      </c>
      <c r="R5" s="42">
        <f>IF(N(B3)=0,"",B3+12)</f>
        <v/>
      </c>
      <c r="S5" s="42">
        <f>IF(N(B3)=0,"",B3+13)</f>
        <v/>
      </c>
      <c r="T5" s="42">
        <f>IF(N(B3)=0,"",B3+14)</f>
        <v/>
      </c>
      <c r="U5" s="42">
        <f>IF(N(B3)=0,"",B3+15)</f>
        <v/>
      </c>
      <c r="V5" s="42">
        <f>IF(N(B3)=0,"",B3+16)</f>
        <v/>
      </c>
      <c r="W5" s="42">
        <f>IF(N(B3)=0,"",B3+17)</f>
        <v/>
      </c>
      <c r="X5" s="42">
        <f>IF(N(B3)=0,"",B3+18)</f>
        <v/>
      </c>
      <c r="Y5" s="42">
        <f>IF(N(B3)=0,"",B3+19)</f>
        <v/>
      </c>
      <c r="Z5" s="42">
        <f>IF(N(B3)=0,"",B3+20)</f>
        <v/>
      </c>
      <c r="AA5" s="42">
        <f>IF(N(B3)=0,"",B3+21)</f>
        <v/>
      </c>
      <c r="AB5" s="42">
        <f>IF(N(B3)=0,"",B3+22)</f>
        <v/>
      </c>
      <c r="AC5" s="42">
        <f>IF(N(B3)=0,"",B3+23)</f>
        <v/>
      </c>
      <c r="AD5" s="42">
        <f>IF(N(B3)=0,"",B3+24)</f>
        <v/>
      </c>
      <c r="AE5" s="42">
        <f>IF(N(B3)=0,"",B3+25)</f>
        <v/>
      </c>
      <c r="AF5" s="42">
        <f>IF(N(B3)=0,"",B3+26)</f>
        <v/>
      </c>
      <c r="AG5" s="42">
        <f>IF(N(B3)=0,"",B3+27)</f>
        <v/>
      </c>
      <c r="AH5" s="42">
        <f>IF(N(B3)=0,"",B3+28)</f>
        <v/>
      </c>
      <c r="AI5" s="42">
        <f>IF(N(B3)=0,"",B3+29)</f>
        <v/>
      </c>
      <c r="AJ5" s="15" t="n"/>
    </row>
    <row r="6" ht="24" customHeight="1">
      <c r="A6" s="35" t="inlineStr">
        <is>
          <t>자재 반입(팽이용기)</t>
        </is>
      </c>
      <c r="B6" s="43" t="n">
        <v>1</v>
      </c>
      <c r="C6" s="43" t="n">
        <v>2</v>
      </c>
      <c r="D6" s="44">
        <f>IF(OR(N(B6)=0,N(C6)=0),"",B6+C6-1)</f>
        <v/>
      </c>
      <c r="E6" s="45">
        <f>IF(OR(D6="",N(B3)=0),"",MONTH(B3+B6-1)&amp;"/"&amp;DAY(B3+B6-1)&amp;" ~ "&amp;MONTH(B3+D6-1)&amp;"/"&amp;DAY(B3+D6-1))</f>
        <v/>
      </c>
      <c r="F6" s="46" t="inlineStr"/>
      <c r="G6" s="46" t="inlineStr"/>
      <c r="H6" s="46" t="inlineStr"/>
      <c r="I6" s="46" t="inlineStr"/>
      <c r="J6" s="46" t="inlineStr"/>
      <c r="K6" s="46" t="inlineStr"/>
      <c r="L6" s="46" t="inlineStr"/>
      <c r="M6" s="46" t="inlineStr"/>
      <c r="N6" s="46" t="inlineStr"/>
      <c r="O6" s="46" t="inlineStr"/>
      <c r="P6" s="46" t="inlineStr"/>
      <c r="Q6" s="46" t="inlineStr"/>
      <c r="R6" s="46" t="inlineStr"/>
      <c r="S6" s="46" t="inlineStr"/>
      <c r="T6" s="46" t="inlineStr"/>
      <c r="U6" s="46" t="inlineStr"/>
      <c r="V6" s="46" t="inlineStr"/>
      <c r="W6" s="46" t="inlineStr"/>
      <c r="X6" s="46" t="inlineStr"/>
      <c r="Y6" s="46" t="inlineStr"/>
      <c r="Z6" s="46" t="inlineStr"/>
      <c r="AA6" s="46" t="inlineStr"/>
      <c r="AB6" s="46" t="inlineStr"/>
      <c r="AC6" s="46" t="inlineStr"/>
      <c r="AD6" s="46" t="inlineStr"/>
      <c r="AE6" s="46" t="inlineStr"/>
      <c r="AF6" s="46" t="inlineStr"/>
      <c r="AG6" s="46" t="inlineStr"/>
      <c r="AH6" s="46" t="inlineStr"/>
      <c r="AI6" s="46" t="inlineStr"/>
      <c r="AJ6" s="47" t="n"/>
    </row>
    <row r="7" ht="24" customHeight="1">
      <c r="A7" s="35" t="inlineStr">
        <is>
          <t>팽이용기 조립</t>
        </is>
      </c>
      <c r="B7" s="43" t="n">
        <v>2</v>
      </c>
      <c r="C7" s="43" t="n">
        <v>6</v>
      </c>
      <c r="D7" s="44">
        <f>IF(OR(N(B7)=0,N(C7)=0),"",B7+C7-1)</f>
        <v/>
      </c>
      <c r="E7" s="45">
        <f>IF(OR(D7="",N(B3)=0),"",MONTH(B3+B7-1)&amp;"/"&amp;DAY(B3+B7-1)&amp;" ~ "&amp;MONTH(B3+D7-1)&amp;"/"&amp;DAY(B3+D7-1))</f>
        <v/>
      </c>
      <c r="F7" s="46" t="inlineStr"/>
      <c r="G7" s="46" t="inlineStr"/>
      <c r="H7" s="46" t="inlineStr"/>
      <c r="I7" s="46" t="inlineStr"/>
      <c r="J7" s="46" t="inlineStr"/>
      <c r="K7" s="46" t="inlineStr"/>
      <c r="L7" s="46" t="inlineStr"/>
      <c r="M7" s="46" t="inlineStr"/>
      <c r="N7" s="46" t="inlineStr"/>
      <c r="O7" s="46" t="inlineStr"/>
      <c r="P7" s="46" t="inlineStr"/>
      <c r="Q7" s="46" t="inlineStr"/>
      <c r="R7" s="46" t="inlineStr"/>
      <c r="S7" s="46" t="inlineStr"/>
      <c r="T7" s="46" t="inlineStr"/>
      <c r="U7" s="46" t="inlineStr"/>
      <c r="V7" s="46" t="inlineStr"/>
      <c r="W7" s="46" t="inlineStr"/>
      <c r="X7" s="46" t="inlineStr"/>
      <c r="Y7" s="46" t="inlineStr"/>
      <c r="Z7" s="46" t="inlineStr"/>
      <c r="AA7" s="46" t="inlineStr"/>
      <c r="AB7" s="46" t="inlineStr"/>
      <c r="AC7" s="46" t="inlineStr"/>
      <c r="AD7" s="46" t="inlineStr"/>
      <c r="AE7" s="46" t="inlineStr"/>
      <c r="AF7" s="46" t="inlineStr"/>
      <c r="AG7" s="46" t="inlineStr"/>
      <c r="AH7" s="46" t="inlineStr"/>
      <c r="AI7" s="46" t="inlineStr"/>
      <c r="AJ7" s="47" t="n"/>
    </row>
    <row r="8" ht="24" customHeight="1">
      <c r="A8" s="35" t="inlineStr">
        <is>
          <t>철근 조립</t>
        </is>
      </c>
      <c r="B8" s="43" t="n">
        <v>4</v>
      </c>
      <c r="C8" s="43" t="n">
        <v>6</v>
      </c>
      <c r="D8" s="44">
        <f>IF(OR(N(B8)=0,N(C8)=0),"",B8+C8-1)</f>
        <v/>
      </c>
      <c r="E8" s="45">
        <f>IF(OR(D8="",N(B3)=0),"",MONTH(B3+B8-1)&amp;"/"&amp;DAY(B3+B8-1)&amp;" ~ "&amp;MONTH(B3+D8-1)&amp;"/"&amp;DAY(B3+D8-1))</f>
        <v/>
      </c>
      <c r="F8" s="46" t="inlineStr"/>
      <c r="G8" s="46" t="inlineStr"/>
      <c r="H8" s="46" t="inlineStr"/>
      <c r="I8" s="46" t="inlineStr"/>
      <c r="J8" s="46" t="inlineStr"/>
      <c r="K8" s="46" t="inlineStr"/>
      <c r="L8" s="46" t="inlineStr"/>
      <c r="M8" s="46" t="inlineStr"/>
      <c r="N8" s="46" t="inlineStr"/>
      <c r="O8" s="46" t="inlineStr"/>
      <c r="P8" s="46" t="inlineStr"/>
      <c r="Q8" s="46" t="inlineStr"/>
      <c r="R8" s="46" t="inlineStr"/>
      <c r="S8" s="46" t="inlineStr"/>
      <c r="T8" s="46" t="inlineStr"/>
      <c r="U8" s="46" t="inlineStr"/>
      <c r="V8" s="46" t="inlineStr"/>
      <c r="W8" s="46" t="inlineStr"/>
      <c r="X8" s="46" t="inlineStr"/>
      <c r="Y8" s="46" t="inlineStr"/>
      <c r="Z8" s="46" t="inlineStr"/>
      <c r="AA8" s="46" t="inlineStr"/>
      <c r="AB8" s="46" t="inlineStr"/>
      <c r="AC8" s="46" t="inlineStr"/>
      <c r="AD8" s="46" t="inlineStr"/>
      <c r="AE8" s="46" t="inlineStr"/>
      <c r="AF8" s="46" t="inlineStr"/>
      <c r="AG8" s="46" t="inlineStr"/>
      <c r="AH8" s="46" t="inlineStr"/>
      <c r="AI8" s="46" t="inlineStr"/>
      <c r="AJ8" s="47" t="n"/>
    </row>
    <row r="9" ht="24" customHeight="1">
      <c r="A9" s="35" t="inlineStr">
        <is>
          <t>콘크리트 타설</t>
        </is>
      </c>
      <c r="B9" s="43" t="n">
        <v>7</v>
      </c>
      <c r="C9" s="43" t="n">
        <v>5</v>
      </c>
      <c r="D9" s="44">
        <f>IF(OR(N(B9)=0,N(C9)=0),"",B9+C9-1)</f>
        <v/>
      </c>
      <c r="E9" s="45">
        <f>IF(OR(D9="",N(B3)=0),"",MONTH(B3+B9-1)&amp;"/"&amp;DAY(B3+B9-1)&amp;" ~ "&amp;MONTH(B3+D9-1)&amp;"/"&amp;DAY(B3+D9-1))</f>
        <v/>
      </c>
      <c r="F9" s="46" t="inlineStr"/>
      <c r="G9" s="46" t="inlineStr"/>
      <c r="H9" s="46" t="inlineStr"/>
      <c r="I9" s="46" t="inlineStr"/>
      <c r="J9" s="46" t="inlineStr"/>
      <c r="K9" s="46" t="inlineStr"/>
      <c r="L9" s="46" t="inlineStr"/>
      <c r="M9" s="46" t="inlineStr"/>
      <c r="N9" s="46" t="inlineStr"/>
      <c r="O9" s="46" t="inlineStr"/>
      <c r="P9" s="46" t="inlineStr"/>
      <c r="Q9" s="46" t="inlineStr"/>
      <c r="R9" s="46" t="inlineStr"/>
      <c r="S9" s="46" t="inlineStr"/>
      <c r="T9" s="46" t="inlineStr"/>
      <c r="U9" s="46" t="inlineStr"/>
      <c r="V9" s="46" t="inlineStr"/>
      <c r="W9" s="46" t="inlineStr"/>
      <c r="X9" s="46" t="inlineStr"/>
      <c r="Y9" s="46" t="inlineStr"/>
      <c r="Z9" s="46" t="inlineStr"/>
      <c r="AA9" s="46" t="inlineStr"/>
      <c r="AB9" s="46" t="inlineStr"/>
      <c r="AC9" s="46" t="inlineStr"/>
      <c r="AD9" s="46" t="inlineStr"/>
      <c r="AE9" s="46" t="inlineStr"/>
      <c r="AF9" s="46" t="inlineStr"/>
      <c r="AG9" s="46" t="inlineStr"/>
      <c r="AH9" s="46" t="inlineStr"/>
      <c r="AI9" s="46" t="inlineStr"/>
      <c r="AJ9" s="47" t="n"/>
    </row>
    <row r="10" ht="24" customHeight="1">
      <c r="A10" s="35" t="inlineStr">
        <is>
          <t>쇄석 채움 · 다짐</t>
        </is>
      </c>
      <c r="B10" s="43" t="n">
        <v>9</v>
      </c>
      <c r="C10" s="43" t="n">
        <v>5</v>
      </c>
      <c r="D10" s="44">
        <f>IF(OR(N(B10)=0,N(C10)=0),"",B10+C10-1)</f>
        <v/>
      </c>
      <c r="E10" s="45">
        <f>IF(OR(D10="",N(B3)=0),"",MONTH(B3+B10-1)&amp;"/"&amp;DAY(B3+B10-1)&amp;" ~ "&amp;MONTH(B3+D10-1)&amp;"/"&amp;DAY(B3+D10-1))</f>
        <v/>
      </c>
      <c r="F10" s="46" t="inlineStr"/>
      <c r="G10" s="46" t="inlineStr"/>
      <c r="H10" s="46" t="inlineStr"/>
      <c r="I10" s="46" t="inlineStr"/>
      <c r="J10" s="46" t="inlineStr"/>
      <c r="K10" s="46" t="inlineStr"/>
      <c r="L10" s="46" t="inlineStr"/>
      <c r="M10" s="46" t="inlineStr"/>
      <c r="N10" s="46" t="inlineStr"/>
      <c r="O10" s="46" t="inlineStr"/>
      <c r="P10" s="46" t="inlineStr"/>
      <c r="Q10" s="46" t="inlineStr"/>
      <c r="R10" s="46" t="inlineStr"/>
      <c r="S10" s="46" t="inlineStr"/>
      <c r="T10" s="46" t="inlineStr"/>
      <c r="U10" s="46" t="inlineStr"/>
      <c r="V10" s="46" t="inlineStr"/>
      <c r="W10" s="46" t="inlineStr"/>
      <c r="X10" s="46" t="inlineStr"/>
      <c r="Y10" s="46" t="inlineStr"/>
      <c r="Z10" s="46" t="inlineStr"/>
      <c r="AA10" s="46" t="inlineStr"/>
      <c r="AB10" s="46" t="inlineStr"/>
      <c r="AC10" s="46" t="inlineStr"/>
      <c r="AD10" s="46" t="inlineStr"/>
      <c r="AE10" s="46" t="inlineStr"/>
      <c r="AF10" s="46" t="inlineStr"/>
      <c r="AG10" s="46" t="inlineStr"/>
      <c r="AH10" s="46" t="inlineStr"/>
      <c r="AI10" s="46" t="inlineStr"/>
      <c r="AJ10" s="47" t="n"/>
    </row>
    <row r="11" ht="24" customHeight="1">
      <c r="A11" s="35" t="inlineStr">
        <is>
          <t>평판재하시험</t>
        </is>
      </c>
      <c r="B11" s="43" t="n">
        <v>14</v>
      </c>
      <c r="C11" s="43" t="n">
        <v>2</v>
      </c>
      <c r="D11" s="44">
        <f>IF(OR(N(B11)=0,N(C11)=0),"",B11+C11-1)</f>
        <v/>
      </c>
      <c r="E11" s="45">
        <f>IF(OR(D11="",N(B3)=0),"",MONTH(B3+B11-1)&amp;"/"&amp;DAY(B3+B11-1)&amp;" ~ "&amp;MONTH(B3+D11-1)&amp;"/"&amp;DAY(B3+D11-1))</f>
        <v/>
      </c>
      <c r="F11" s="46" t="inlineStr"/>
      <c r="G11" s="46" t="inlineStr"/>
      <c r="H11" s="46" t="inlineStr"/>
      <c r="I11" s="46" t="inlineStr"/>
      <c r="J11" s="46" t="inlineStr"/>
      <c r="K11" s="46" t="inlineStr"/>
      <c r="L11" s="46" t="inlineStr"/>
      <c r="M11" s="46" t="inlineStr"/>
      <c r="N11" s="46" t="inlineStr"/>
      <c r="O11" s="46" t="inlineStr"/>
      <c r="P11" s="46" t="inlineStr"/>
      <c r="Q11" s="46" t="inlineStr"/>
      <c r="R11" s="46" t="inlineStr"/>
      <c r="S11" s="46" t="inlineStr"/>
      <c r="T11" s="46" t="inlineStr"/>
      <c r="U11" s="46" t="inlineStr"/>
      <c r="V11" s="46" t="inlineStr"/>
      <c r="W11" s="46" t="inlineStr"/>
      <c r="X11" s="46" t="inlineStr"/>
      <c r="Y11" s="46" t="inlineStr"/>
      <c r="Z11" s="46" t="inlineStr"/>
      <c r="AA11" s="46" t="inlineStr"/>
      <c r="AB11" s="46" t="inlineStr"/>
      <c r="AC11" s="46" t="inlineStr"/>
      <c r="AD11" s="46" t="inlineStr"/>
      <c r="AE11" s="46" t="inlineStr"/>
      <c r="AF11" s="46" t="inlineStr"/>
      <c r="AG11" s="46" t="inlineStr"/>
      <c r="AH11" s="46" t="inlineStr"/>
      <c r="AI11" s="46" t="inlineStr"/>
      <c r="AJ11" s="47" t="n"/>
    </row>
    <row r="12" ht="24" customHeight="1">
      <c r="A12" s="35" t="n"/>
      <c r="B12" s="43" t="n"/>
      <c r="C12" s="43" t="n"/>
      <c r="D12" s="44">
        <f>IF(OR(N(B12)=0,N(C12)=0),"",B12+C12-1)</f>
        <v/>
      </c>
      <c r="E12" s="45">
        <f>IF(OR(D12="",N(B3)=0),"",MONTH(B3+B12-1)&amp;"/"&amp;DAY(B3+B12-1)&amp;" ~ "&amp;MONTH(B3+D12-1)&amp;"/"&amp;DAY(B3+D12-1))</f>
        <v/>
      </c>
      <c r="F12" s="46" t="inlineStr"/>
      <c r="G12" s="46" t="inlineStr"/>
      <c r="H12" s="46" t="inlineStr"/>
      <c r="I12" s="46" t="inlineStr"/>
      <c r="J12" s="46" t="inlineStr"/>
      <c r="K12" s="46" t="inlineStr"/>
      <c r="L12" s="46" t="inlineStr"/>
      <c r="M12" s="46" t="inlineStr"/>
      <c r="N12" s="46" t="inlineStr"/>
      <c r="O12" s="46" t="inlineStr"/>
      <c r="P12" s="46" t="inlineStr"/>
      <c r="Q12" s="46" t="inlineStr"/>
      <c r="R12" s="46" t="inlineStr"/>
      <c r="S12" s="46" t="inlineStr"/>
      <c r="T12" s="46" t="inlineStr"/>
      <c r="U12" s="46" t="inlineStr"/>
      <c r="V12" s="46" t="inlineStr"/>
      <c r="W12" s="46" t="inlineStr"/>
      <c r="X12" s="46" t="inlineStr"/>
      <c r="Y12" s="46" t="inlineStr"/>
      <c r="Z12" s="46" t="inlineStr"/>
      <c r="AA12" s="46" t="inlineStr"/>
      <c r="AB12" s="46" t="inlineStr"/>
      <c r="AC12" s="46" t="inlineStr"/>
      <c r="AD12" s="46" t="inlineStr"/>
      <c r="AE12" s="46" t="inlineStr"/>
      <c r="AF12" s="46" t="inlineStr"/>
      <c r="AG12" s="46" t="inlineStr"/>
      <c r="AH12" s="46" t="inlineStr"/>
      <c r="AI12" s="46" t="inlineStr"/>
      <c r="AJ12" s="47" t="n"/>
    </row>
    <row r="13" ht="24" customHeight="1">
      <c r="A13" s="35" t="n"/>
      <c r="B13" s="43" t="n"/>
      <c r="C13" s="43" t="n"/>
      <c r="D13" s="44">
        <f>IF(OR(N(B13)=0,N(C13)=0),"",B13+C13-1)</f>
        <v/>
      </c>
      <c r="E13" s="45">
        <f>IF(OR(D13="",N(B3)=0),"",MONTH(B3+B13-1)&amp;"/"&amp;DAY(B3+B13-1)&amp;" ~ "&amp;MONTH(B3+D13-1)&amp;"/"&amp;DAY(B3+D13-1))</f>
        <v/>
      </c>
      <c r="F13" s="46" t="inlineStr"/>
      <c r="G13" s="46" t="inlineStr"/>
      <c r="H13" s="46" t="inlineStr"/>
      <c r="I13" s="46" t="inlineStr"/>
      <c r="J13" s="46" t="inlineStr"/>
      <c r="K13" s="46" t="inlineStr"/>
      <c r="L13" s="46" t="inlineStr"/>
      <c r="M13" s="46" t="inlineStr"/>
      <c r="N13" s="46" t="inlineStr"/>
      <c r="O13" s="46" t="inlineStr"/>
      <c r="P13" s="46" t="inlineStr"/>
      <c r="Q13" s="46" t="inlineStr"/>
      <c r="R13" s="46" t="inlineStr"/>
      <c r="S13" s="46" t="inlineStr"/>
      <c r="T13" s="46" t="inlineStr"/>
      <c r="U13" s="46" t="inlineStr"/>
      <c r="V13" s="46" t="inlineStr"/>
      <c r="W13" s="46" t="inlineStr"/>
      <c r="X13" s="46" t="inlineStr"/>
      <c r="Y13" s="46" t="inlineStr"/>
      <c r="Z13" s="46" t="inlineStr"/>
      <c r="AA13" s="46" t="inlineStr"/>
      <c r="AB13" s="46" t="inlineStr"/>
      <c r="AC13" s="46" t="inlineStr"/>
      <c r="AD13" s="46" t="inlineStr"/>
      <c r="AE13" s="46" t="inlineStr"/>
      <c r="AF13" s="46" t="inlineStr"/>
      <c r="AG13" s="46" t="inlineStr"/>
      <c r="AH13" s="46" t="inlineStr"/>
      <c r="AI13" s="46" t="inlineStr"/>
      <c r="AJ13" s="47" t="n"/>
    </row>
    <row r="14" ht="24" customHeight="1">
      <c r="A14" s="35" t="n"/>
      <c r="B14" s="43" t="n"/>
      <c r="C14" s="43" t="n"/>
      <c r="D14" s="44">
        <f>IF(OR(N(B14)=0,N(C14)=0),"",B14+C14-1)</f>
        <v/>
      </c>
      <c r="E14" s="45">
        <f>IF(OR(D14="",N(B3)=0),"",MONTH(B3+B14-1)&amp;"/"&amp;DAY(B3+B14-1)&amp;" ~ "&amp;MONTH(B3+D14-1)&amp;"/"&amp;DAY(B3+D14-1))</f>
        <v/>
      </c>
      <c r="F14" s="46" t="inlineStr"/>
      <c r="G14" s="46" t="inlineStr"/>
      <c r="H14" s="46" t="inlineStr"/>
      <c r="I14" s="46" t="inlineStr"/>
      <c r="J14" s="46" t="inlineStr"/>
      <c r="K14" s="46" t="inlineStr"/>
      <c r="L14" s="46" t="inlineStr"/>
      <c r="M14" s="46" t="inlineStr"/>
      <c r="N14" s="46" t="inlineStr"/>
      <c r="O14" s="46" t="inlineStr"/>
      <c r="P14" s="46" t="inlineStr"/>
      <c r="Q14" s="46" t="inlineStr"/>
      <c r="R14" s="46" t="inlineStr"/>
      <c r="S14" s="46" t="inlineStr"/>
      <c r="T14" s="46" t="inlineStr"/>
      <c r="U14" s="46" t="inlineStr"/>
      <c r="V14" s="46" t="inlineStr"/>
      <c r="W14" s="46" t="inlineStr"/>
      <c r="X14" s="46" t="inlineStr"/>
      <c r="Y14" s="46" t="inlineStr"/>
      <c r="Z14" s="46" t="inlineStr"/>
      <c r="AA14" s="46" t="inlineStr"/>
      <c r="AB14" s="46" t="inlineStr"/>
      <c r="AC14" s="46" t="inlineStr"/>
      <c r="AD14" s="46" t="inlineStr"/>
      <c r="AE14" s="46" t="inlineStr"/>
      <c r="AF14" s="46" t="inlineStr"/>
      <c r="AG14" s="46" t="inlineStr"/>
      <c r="AH14" s="46" t="inlineStr"/>
      <c r="AI14" s="46" t="inlineStr"/>
      <c r="AJ14" s="47" t="n"/>
    </row>
    <row r="15" ht="24" customHeight="1">
      <c r="A15" s="35" t="n"/>
      <c r="B15" s="43" t="n"/>
      <c r="C15" s="43" t="n"/>
      <c r="D15" s="44">
        <f>IF(OR(N(B15)=0,N(C15)=0),"",B15+C15-1)</f>
        <v/>
      </c>
      <c r="E15" s="45">
        <f>IF(OR(D15="",N(B3)=0),"",MONTH(B3+B15-1)&amp;"/"&amp;DAY(B3+B15-1)&amp;" ~ "&amp;MONTH(B3+D15-1)&amp;"/"&amp;DAY(B3+D15-1))</f>
        <v/>
      </c>
      <c r="F15" s="46" t="inlineStr"/>
      <c r="G15" s="46" t="inlineStr"/>
      <c r="H15" s="46" t="inlineStr"/>
      <c r="I15" s="46" t="inlineStr"/>
      <c r="J15" s="46" t="inlineStr"/>
      <c r="K15" s="46" t="inlineStr"/>
      <c r="L15" s="46" t="inlineStr"/>
      <c r="M15" s="46" t="inlineStr"/>
      <c r="N15" s="46" t="inlineStr"/>
      <c r="O15" s="46" t="inlineStr"/>
      <c r="P15" s="46" t="inlineStr"/>
      <c r="Q15" s="46" t="inlineStr"/>
      <c r="R15" s="46" t="inlineStr"/>
      <c r="S15" s="46" t="inlineStr"/>
      <c r="T15" s="46" t="inlineStr"/>
      <c r="U15" s="46" t="inlineStr"/>
      <c r="V15" s="46" t="inlineStr"/>
      <c r="W15" s="46" t="inlineStr"/>
      <c r="X15" s="46" t="inlineStr"/>
      <c r="Y15" s="46" t="inlineStr"/>
      <c r="Z15" s="46" t="inlineStr"/>
      <c r="AA15" s="46" t="inlineStr"/>
      <c r="AB15" s="46" t="inlineStr"/>
      <c r="AC15" s="46" t="inlineStr"/>
      <c r="AD15" s="46" t="inlineStr"/>
      <c r="AE15" s="46" t="inlineStr"/>
      <c r="AF15" s="46" t="inlineStr"/>
      <c r="AG15" s="46" t="inlineStr"/>
      <c r="AH15" s="46" t="inlineStr"/>
      <c r="AI15" s="46" t="inlineStr"/>
      <c r="AJ15" s="47" t="n"/>
    </row>
    <row r="16" ht="22" customHeight="1">
      <c r="A16" s="28" t="inlineStr">
        <is>
          <t>총 작업 일수</t>
        </is>
      </c>
      <c r="B16" s="15" t="n"/>
      <c r="C16" s="15" t="n"/>
      <c r="D16" s="15" t="n"/>
      <c r="E16" s="48">
        <f>IF(COUNT(D6:D15)=0,"",MAX(D6:D15))</f>
        <v/>
      </c>
      <c r="F16" s="49">
        <f>IF(OR(E16="",N(B3)=0),"",B3+E16-1)</f>
        <v/>
      </c>
      <c r="AJ16" s="10" t="inlineStr"/>
    </row>
    <row r="18" ht="19.5" customHeight="1">
      <c r="A18" s="8" t="inlineStr">
        <is>
          <t>이 시트는 작성 예시입니다(가상의 일정).</t>
        </is>
      </c>
    </row>
  </sheetData>
  <mergeCells count="14">
    <mergeCell ref="D3:AJ3"/>
    <mergeCell ref="B4:B5"/>
    <mergeCell ref="A18:AJ18"/>
    <mergeCell ref="L1:AJ1"/>
    <mergeCell ref="B3:C3"/>
    <mergeCell ref="A4:A5"/>
    <mergeCell ref="C4:C5"/>
    <mergeCell ref="D4:D5"/>
    <mergeCell ref="E4:E5"/>
    <mergeCell ref="F16:AI16"/>
    <mergeCell ref="A2:AJ2"/>
    <mergeCell ref="AJ4:AJ5"/>
    <mergeCell ref="A16:D16"/>
    <mergeCell ref="A1:K1"/>
  </mergeCells>
  <conditionalFormatting sqref="F6:AI15">
    <cfRule type="expression" priority="1" dxfId="2">
      <formula>AND(N($B6)&gt;0,N($D6)&gt;=N($B6),F$4&gt;=$B6,F$4&lt;=$D6)</formula>
    </cfRule>
  </conditionalFormatting>
  <printOptions horizontalCentered="1"/>
  <pageMargins left="0.35" right="0.35" top="0.45" bottom="0.45" header="0.2" footer="0.2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8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59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9.0   팽이기초(현장타설형) 시공 작업 순서도</t>
        </is>
      </c>
    </row>
    <row r="4" ht="4" customHeight="1"/>
    <row r="5" ht="24" customHeight="1">
      <c r="A5" s="25" t="inlineStr">
        <is>
          <t>단 계</t>
        </is>
      </c>
      <c r="B5" s="15" t="n"/>
      <c r="C5" s="25" t="inlineStr">
        <is>
          <t>작    업</t>
        </is>
      </c>
      <c r="D5" s="15" t="n"/>
      <c r="E5" s="15" t="n"/>
      <c r="F5" s="25" t="inlineStr">
        <is>
          <t>내        용</t>
        </is>
      </c>
      <c r="G5" s="15" t="n"/>
      <c r="H5" s="15" t="n"/>
      <c r="I5" s="15" t="n"/>
      <c r="J5" s="15" t="n"/>
      <c r="K5" s="15" t="n"/>
      <c r="L5" s="15" t="n"/>
    </row>
    <row r="6" ht="24" customHeight="1">
      <c r="A6" s="50" t="inlineStr">
        <is>
          <t>Step 1</t>
        </is>
      </c>
      <c r="B6" s="15" t="n"/>
      <c r="C6" s="51" t="inlineStr">
        <is>
          <t>시공 준비</t>
        </is>
      </c>
      <c r="D6" s="15" t="n"/>
      <c r="E6" s="15" t="n"/>
      <c r="F6" s="51" t="inlineStr">
        <is>
          <t>정지작업 · 지반 다짐</t>
        </is>
      </c>
      <c r="G6" s="15" t="n"/>
      <c r="H6" s="15" t="n"/>
      <c r="I6" s="15" t="n"/>
      <c r="J6" s="15" t="n"/>
      <c r="K6" s="15" t="n"/>
      <c r="L6" s="15" t="n"/>
    </row>
    <row r="7" ht="24" customHeight="1">
      <c r="A7" s="50" t="inlineStr">
        <is>
          <t>Step 2</t>
        </is>
      </c>
      <c r="B7" s="15" t="n"/>
      <c r="C7" s="51" t="inlineStr">
        <is>
          <t>팽이용기 반입</t>
        </is>
      </c>
      <c r="D7" s="15" t="n"/>
      <c r="E7" s="15" t="n"/>
      <c r="F7" s="51" t="inlineStr">
        <is>
          <t>Φ500 팽이용기 반입 · 반입검사</t>
        </is>
      </c>
      <c r="G7" s="15" t="n"/>
      <c r="H7" s="15" t="n"/>
      <c r="I7" s="15" t="n"/>
      <c r="J7" s="15" t="n"/>
      <c r="K7" s="15" t="n"/>
      <c r="L7" s="15" t="n"/>
    </row>
    <row r="8" ht="24" customHeight="1">
      <c r="A8" s="50" t="inlineStr">
        <is>
          <t>Step 3</t>
        </is>
      </c>
      <c r="B8" s="15" t="n"/>
      <c r="C8" s="51" t="inlineStr">
        <is>
          <t>팽이용기 조립</t>
        </is>
      </c>
      <c r="D8" s="15" t="n"/>
      <c r="E8" s="15" t="n"/>
      <c r="F8" s="51" t="inlineStr">
        <is>
          <t>일반철근 D10 과 결속선으로 조립</t>
        </is>
      </c>
      <c r="G8" s="15" t="n"/>
      <c r="H8" s="15" t="n"/>
      <c r="I8" s="15" t="n"/>
      <c r="J8" s="15" t="n"/>
      <c r="K8" s="15" t="n"/>
      <c r="L8" s="15" t="n"/>
    </row>
    <row r="9" ht="24" customHeight="1">
      <c r="A9" s="50" t="inlineStr">
        <is>
          <t>Step 4</t>
        </is>
      </c>
      <c r="B9" s="15" t="n"/>
      <c r="C9" s="51" t="inlineStr">
        <is>
          <t>유니트 패널 운반 · 설치</t>
        </is>
      </c>
      <c r="D9" s="15" t="n"/>
      <c r="E9" s="15" t="n"/>
      <c r="F9" s="51" t="inlineStr">
        <is>
          <t>팽이말뚝 부설 계획 지반에 운반하여 설치</t>
        </is>
      </c>
      <c r="G9" s="15" t="n"/>
      <c r="H9" s="15" t="n"/>
      <c r="I9" s="15" t="n"/>
      <c r="J9" s="15" t="n"/>
      <c r="K9" s="15" t="n"/>
      <c r="L9" s="15" t="n"/>
    </row>
    <row r="10" ht="24" customHeight="1">
      <c r="A10" s="50" t="inlineStr">
        <is>
          <t>Step 5</t>
        </is>
      </c>
      <c r="B10" s="15" t="n"/>
      <c r="C10" s="51" t="inlineStr">
        <is>
          <t>상부 연결철근 조립</t>
        </is>
      </c>
      <c r="D10" s="15" t="n"/>
      <c r="E10" s="15" t="n"/>
      <c r="F10" s="51" t="inlineStr">
        <is>
          <t>일반철근 D10 과 결속선으로 조립</t>
        </is>
      </c>
      <c r="G10" s="15" t="n"/>
      <c r="H10" s="15" t="n"/>
      <c r="I10" s="15" t="n"/>
      <c r="J10" s="15" t="n"/>
      <c r="K10" s="15" t="n"/>
      <c r="L10" s="15" t="n"/>
    </row>
    <row r="11" ht="24" customHeight="1">
      <c r="A11" s="50" t="inlineStr">
        <is>
          <t>Step 6</t>
        </is>
      </c>
      <c r="B11" s="15" t="n"/>
      <c r="C11" s="51" t="inlineStr">
        <is>
          <t>레미콘 타설</t>
        </is>
      </c>
      <c r="D11" s="15" t="n"/>
      <c r="E11" s="15" t="n"/>
      <c r="F11" s="51" t="inlineStr">
        <is>
          <t>25-18-120 레미콘으로 팽이용기 채움</t>
        </is>
      </c>
      <c r="G11" s="15" t="n"/>
      <c r="H11" s="15" t="n"/>
      <c r="I11" s="15" t="n"/>
      <c r="J11" s="15" t="n"/>
      <c r="K11" s="15" t="n"/>
      <c r="L11" s="15" t="n"/>
    </row>
    <row r="12" ht="24" customHeight="1">
      <c r="A12" s="50" t="inlineStr">
        <is>
          <t>Step 7</t>
        </is>
      </c>
      <c r="B12" s="15" t="n"/>
      <c r="C12" s="51" t="inlineStr">
        <is>
          <t>쇄석 충진 및 다짐</t>
        </is>
      </c>
      <c r="D12" s="15" t="n"/>
      <c r="E12" s="15" t="n"/>
      <c r="F12" s="51" t="inlineStr">
        <is>
          <t>#57(25mm) 쇄석으로 채우며 다짐</t>
        </is>
      </c>
      <c r="G12" s="15" t="n"/>
      <c r="H12" s="15" t="n"/>
      <c r="I12" s="15" t="n"/>
      <c r="J12" s="15" t="n"/>
      <c r="K12" s="15" t="n"/>
      <c r="L12" s="15" t="n"/>
    </row>
    <row r="13" ht="24" customHeight="1">
      <c r="A13" s="50" t="inlineStr">
        <is>
          <t>Step 8</t>
        </is>
      </c>
      <c r="B13" s="15" t="n"/>
      <c r="C13" s="51" t="inlineStr">
        <is>
          <t>시공 완료</t>
        </is>
      </c>
      <c r="D13" s="15" t="n"/>
      <c r="E13" s="15" t="n"/>
      <c r="F13" s="51" t="inlineStr">
        <is>
          <t>평판재하시험으로 설계 지내력 확인</t>
        </is>
      </c>
      <c r="G13" s="15" t="n"/>
      <c r="H13" s="15" t="n"/>
      <c r="I13" s="15" t="n"/>
      <c r="J13" s="15" t="n"/>
      <c r="K13" s="15" t="n"/>
      <c r="L13" s="15" t="n"/>
    </row>
    <row r="14" ht="6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18" customHeight="1">
      <c r="A32" s="30" t="inlineStr">
        <is>
          <t>[ 시공 순서 — 유니트 패널 조립 · 운반 설치 · 상부 연결철근 조립 · 콘크리트 타설 · 쇄석 충진 및 다짐 · 시공 완료 ]</t>
        </is>
      </c>
    </row>
    <row r="33" ht="4" customHeight="1"/>
    <row r="34" ht="30" customHeight="1">
      <c r="A34" s="12" t="inlineStr">
        <is>
          <t>10.0   팽이기초(현장타설형)의 특성 및 용도</t>
        </is>
      </c>
    </row>
    <row r="35" ht="4" customHeight="1"/>
    <row r="36" ht="21" customHeight="1">
      <c r="A36" s="52" t="inlineStr">
        <is>
          <t>1) 팽이기초의 특성</t>
        </is>
      </c>
    </row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34.45" customHeight="1">
      <c r="A55" s="53" t="inlineStr">
        <is>
          <t>①</t>
        </is>
      </c>
      <c r="B55" s="54" t="inlineStr">
        <is>
          <t>기초 하중이 팽이말뚝을 통해 채움쇄석을 압축 · 구속 → 팽이말뚝과 채움쇄석이 한 몸이 되어 일종의 강성 지반구조를 이룬다.</t>
        </is>
      </c>
    </row>
    <row r="56" ht="19.725" customHeight="1">
      <c r="A56" s="53" t="inlineStr">
        <is>
          <t>②</t>
        </is>
      </c>
      <c r="B56" s="54" t="inlineStr">
        <is>
          <t>채움쇄석이 응력 집중을 막고 하중을 분산 → 지반 안의 응력 분포를 고르게 한다.</t>
        </is>
      </c>
    </row>
    <row r="57" ht="19.725" customHeight="1">
      <c r="A57" s="53" t="inlineStr">
        <is>
          <t>③</t>
        </is>
      </c>
      <c r="B57" s="54" t="inlineStr">
        <is>
          <t>채움쇄석과 팽이말뚝부와 지반 사이의 마찰저항 → 말뚝부 지반 주변의 측방 변형을 구속한다.</t>
        </is>
      </c>
    </row>
    <row r="58" ht="34.45" customHeight="1">
      <c r="A58" s="53" t="inlineStr">
        <is>
          <t>④</t>
        </is>
      </c>
      <c r="B58" s="54" t="inlineStr">
        <is>
          <t>효과 : 기초 강성이 재하에 따라 증가 · 팽이의 군입효과 · 부등침하 억제 · 기초 하중 분포 분산 · 지반의 국부 파괴 억제 · 침하(압축변형) 감소 → 침하량 억제 · 지지력 증대</t>
        </is>
      </c>
    </row>
    <row r="59" ht="21" customHeight="1">
      <c r="A59" s="52" t="inlineStr">
        <is>
          <t>2) 팽이기초의 용도</t>
        </is>
      </c>
    </row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4" customHeight="1"/>
    <row r="74" ht="30" customHeight="1">
      <c r="A74" s="12" t="inlineStr">
        <is>
          <t>11.0   팽이기초(현장타설형) 시공방법</t>
        </is>
      </c>
    </row>
    <row r="75" ht="4" customHeight="1"/>
    <row r="76" ht="21" customHeight="1">
      <c r="A76" s="52" t="inlineStr">
        <is>
          <t>1. 준비작업</t>
        </is>
      </c>
    </row>
    <row r="77" ht="36" customHeight="1">
      <c r="A77" s="55" t="inlineStr">
        <is>
          <t>가)</t>
        </is>
      </c>
      <c r="B77" s="56" t="inlineStr">
        <is>
          <t>지반 정리 : 지반을 평탄하게 정리하고 다짐작업을 한다. 스펀지 현상이 생기는 구간은 양질의 치환재로 치환한다.</t>
        </is>
      </c>
    </row>
    <row r="78" ht="51.5" customHeight="1">
      <c r="A78" s="55" t="inlineStr">
        <is>
          <t>나)</t>
        </is>
      </c>
      <c r="B78" s="56" t="inlineStr">
        <is>
          <t>시공 위치 확인 및 자재 반입 : 측량으로 팽이기초를 부설할 위치를 정확히 표시하고 확인을 받는다. 자재 반입 경로를 확인하고, 반입 때 설계도서에 적힌 자재의 형상 · 크기 · 수량을 확인하여 반입검사를 한다.</t>
        </is>
      </c>
    </row>
    <row r="79" ht="21" customHeight="1">
      <c r="A79" s="52" t="inlineStr">
        <is>
          <t>2. 팽이기초 시공</t>
        </is>
      </c>
    </row>
    <row r="80" ht="36" customHeight="1">
      <c r="A80" s="55" t="inlineStr">
        <is>
          <t>가)</t>
        </is>
      </c>
      <c r="B80" s="56" t="inlineStr">
        <is>
          <t>용기 조립 : PP 매트를 설치한 부지에 팽이용기를 조립한 뒤 하부 연결철근을 설치하고, 시공 위치에 팽이용기를 놓은 뒤 상부 철근을 조립한다.</t>
        </is>
      </c>
    </row>
    <row r="81" ht="36" customHeight="1">
      <c r="A81" s="55" t="inlineStr">
        <is>
          <t>나)</t>
        </is>
      </c>
      <c r="B81" s="56" t="inlineStr">
        <is>
          <t>상부 철근 연결 · 콘크리트 타설 : 상부 연결철근(D10)과 하부 연결철근(D10)을 연결 철선(#10)으로 잇고, 용기 안에 콘크리트(25-18-120)를 타설한다.</t>
        </is>
      </c>
    </row>
    <row r="82" ht="36" customHeight="1">
      <c r="A82" s="55" t="inlineStr">
        <is>
          <t>다)</t>
        </is>
      </c>
      <c r="B82" s="56" t="inlineStr">
        <is>
          <t>쇄석 채움 및 다짐 : 팽이말뚝 사이의 공극을 25mm 쇄석으로 콘크리트 진동기 등을 이용하여 채운다.</t>
        </is>
      </c>
    </row>
    <row r="83" ht="20.5" customHeight="1">
      <c r="A83" s="55" t="inlineStr">
        <is>
          <t>라)</t>
        </is>
      </c>
      <c r="B83" s="56" t="inlineStr">
        <is>
          <t>평판재하시험으로 지내력을 확인한다.</t>
        </is>
      </c>
    </row>
    <row r="85" ht="19.5" customHeight="1">
      <c r="A85" s="8" t="inlineStr">
        <is>
          <t>이 시트는 작성 예시입니다.</t>
        </is>
      </c>
    </row>
  </sheetData>
  <mergeCells count="48">
    <mergeCell ref="F13:L13"/>
    <mergeCell ref="F9:L9"/>
    <mergeCell ref="A11:B11"/>
    <mergeCell ref="C9:E9"/>
    <mergeCell ref="B81:L81"/>
    <mergeCell ref="A74:L74"/>
    <mergeCell ref="A3:L3"/>
    <mergeCell ref="C12:E12"/>
    <mergeCell ref="A6:B6"/>
    <mergeCell ref="B56:L56"/>
    <mergeCell ref="C11:E11"/>
    <mergeCell ref="B58:L58"/>
    <mergeCell ref="A7:B7"/>
    <mergeCell ref="A76:L76"/>
    <mergeCell ref="B77:L77"/>
    <mergeCell ref="A85:L85"/>
    <mergeCell ref="C8:E8"/>
    <mergeCell ref="A32:L32"/>
    <mergeCell ref="F11:L11"/>
    <mergeCell ref="C7:E7"/>
    <mergeCell ref="F10:L10"/>
    <mergeCell ref="B57:L57"/>
    <mergeCell ref="A12:B12"/>
    <mergeCell ref="G1:L1"/>
    <mergeCell ref="F6:L6"/>
    <mergeCell ref="C13:E13"/>
    <mergeCell ref="B82:L82"/>
    <mergeCell ref="B78:L78"/>
    <mergeCell ref="F7:L7"/>
    <mergeCell ref="A5:B5"/>
    <mergeCell ref="F12:L12"/>
    <mergeCell ref="A8:B8"/>
    <mergeCell ref="F5:L5"/>
    <mergeCell ref="A34:L34"/>
    <mergeCell ref="C6:E6"/>
    <mergeCell ref="A59:L59"/>
    <mergeCell ref="B83:L83"/>
    <mergeCell ref="C5:E5"/>
    <mergeCell ref="F8:L8"/>
    <mergeCell ref="A1:F1"/>
    <mergeCell ref="B55:L55"/>
    <mergeCell ref="A10:B10"/>
    <mergeCell ref="A36:L36"/>
    <mergeCell ref="B80:L80"/>
    <mergeCell ref="A13:B13"/>
    <mergeCell ref="A79:L79"/>
    <mergeCell ref="A9:B9"/>
    <mergeCell ref="C10:E10"/>
  </mergeCells>
  <printOptions horizontalCentered="1"/>
  <pageMargins left="0.6" right="0.6" top="0.6" bottom="0.6" header="0.2" footer="0.2"/>
  <pageSetup orientation="portrait" paperSize="9" fitToHeight="0" fitToWidth="1"/>
  <rowBreaks count="3" manualBreakCount="3">
    <brk id="32" min="0" max="16383" man="1"/>
    <brk id="58" min="0" max="16383" man="1"/>
    <brk id="72" min="0" max="16383" man="1"/>
  </rowBreaks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12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59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12.0   품 질 관 리  계 획</t>
        </is>
      </c>
    </row>
    <row r="4" ht="4" customHeight="1"/>
    <row r="5" ht="3" customHeight="1"/>
    <row r="6" ht="22" customHeight="1">
      <c r="A6" s="57" t="inlineStr">
        <is>
          <t>12-1  품질관리 일반 및 적용범위</t>
        </is>
      </c>
    </row>
    <row r="7" ht="36" customHeight="1">
      <c r="A7" s="55" t="inlineStr">
        <is>
          <t>(1)</t>
        </is>
      </c>
      <c r="B7" s="56" t="inlineStr">
        <is>
          <t>공사 진행 중 필요에 따라 각종 승인도면 · 제작도면 · 제작요령서 등을 작성하여 공사감독자(감리원)의 승인을 받는다.</t>
        </is>
      </c>
    </row>
    <row r="8" ht="36" customHeight="1">
      <c r="A8" s="55" t="inlineStr">
        <is>
          <t>(2)</t>
        </is>
      </c>
      <c r="B8" s="56" t="inlineStr">
        <is>
          <t>공사용 재료는 도면 · 공사시방서 및 공사감독자의 지시에 따라, 쓰기 전에 견본 또는 자료를 제출하여 승인을 받은 뒤 쓴다.</t>
        </is>
      </c>
    </row>
    <row r="9" ht="36" customHeight="1">
      <c r="A9" s="55" t="inlineStr">
        <is>
          <t>(3)</t>
        </is>
      </c>
      <c r="B9" s="56" t="inlineStr">
        <is>
          <t>품질시험은 「건설기술 진흥법」 및 같은 법 시행령 · 시행규칙과 공사시방서에서 정한 바에 따른다.</t>
        </is>
      </c>
    </row>
    <row r="10" ht="3" customHeight="1"/>
    <row r="11" ht="22" customHeight="1">
      <c r="A11" s="57" t="inlineStr">
        <is>
          <t>12-2  공사용 재료의 품질</t>
        </is>
      </c>
    </row>
    <row r="12" ht="36" customHeight="1">
      <c r="A12" s="55" t="inlineStr">
        <is>
          <t>(1)</t>
        </is>
      </c>
      <c r="B12" s="56" t="inlineStr">
        <is>
          <t>설계도면 · 공사시방서 및 공사감독자의 따로 지시가 없으면 시방서에서 정한 품질과 규격에 맞는 재료를 쓴다.</t>
        </is>
      </c>
    </row>
    <row r="13" ht="36" customHeight="1">
      <c r="A13" s="55" t="inlineStr">
        <is>
          <t>(2)</t>
        </is>
      </c>
      <c r="B13" s="56" t="inlineStr">
        <is>
          <t>시방서에 품질 규격이 없으면 한국산업표준(KS) 표시품 또는 이에 준하는 품질과 규격의 재료를 쓴다.</t>
        </is>
      </c>
    </row>
    <row r="14" ht="51.5" customHeight="1">
      <c r="A14" s="55" t="inlineStr">
        <is>
          <t>(3)</t>
        </is>
      </c>
      <c r="B14" s="56" t="inlineStr">
        <is>
          <t>기성품을 포함한 공사용 재료는 현장 반입 전에 자재승인 서류(견본 · 카탈로그 · 시험성적서 등)를 제출하여 승인을 받고, 공사감독자의 지시에 따라 품질을 확인할 수 있는 증빙서류를 낸다.</t>
        </is>
      </c>
    </row>
    <row r="15" ht="36" customHeight="1">
      <c r="A15" s="55" t="inlineStr">
        <is>
          <t>(4)</t>
        </is>
      </c>
      <c r="B15" s="56" t="inlineStr">
        <is>
          <t>재료가 현장에 들어오면 공사감독자의 인수검사를 받고, 합격한 재료는 작업 · 통행에 지장이 없는 곳에 보관하여 수시 점검이 쉽게 한다.</t>
        </is>
      </c>
    </row>
    <row r="16" ht="36" customHeight="1">
      <c r="A16" s="55" t="inlineStr">
        <is>
          <t>(5)</t>
        </is>
      </c>
      <c r="B16" s="56" t="inlineStr">
        <is>
          <t>「건설기술 진흥법」에 규정된 품질시험을 하고, 시험실 규모 · 시험장비 · 시험요원 배치기준에 따라 시험실을 운영한다.</t>
        </is>
      </c>
    </row>
    <row r="17" ht="20.5" customHeight="1">
      <c r="A17" s="55" t="inlineStr">
        <is>
          <t>(6)</t>
        </is>
      </c>
      <c r="B17" s="56" t="inlineStr">
        <is>
          <t>검사 또는 시험에 불합격한 재료는 지체 없이 현장 밖으로 반출한다.</t>
        </is>
      </c>
    </row>
    <row r="18" ht="3" customHeight="1"/>
    <row r="19" ht="22" customHeight="1">
      <c r="A19" s="57" t="inlineStr">
        <is>
          <t>12-3  시공 확인 및 검사</t>
        </is>
      </c>
    </row>
    <row r="20" ht="36" customHeight="1">
      <c r="A20" s="55" t="inlineStr">
        <is>
          <t>(1)</t>
        </is>
      </c>
      <c r="B20" s="56" t="inlineStr">
        <is>
          <t>주요 공사단계가 끝났을 때나 공사감독자가 지시할 때는 시공의 정확성과 품질을 확인받는다.</t>
        </is>
      </c>
    </row>
    <row r="21" ht="20.5" customHeight="1">
      <c r="A21" s="55" t="inlineStr">
        <is>
          <t>(2)</t>
        </is>
      </c>
      <c r="B21" s="56" t="inlineStr">
        <is>
          <t>검사에 필요한 자료 작성 · 측량 등은 검사자의 지시에 따른다.</t>
        </is>
      </c>
    </row>
    <row r="22" ht="3" customHeight="1"/>
    <row r="23" ht="22" customHeight="1">
      <c r="A23" s="57" t="inlineStr">
        <is>
          <t>12-4  자재관리</t>
        </is>
      </c>
    </row>
    <row r="24" ht="20.5" customHeight="1">
      <c r="A24" s="55" t="inlineStr">
        <is>
          <t>(1)</t>
        </is>
      </c>
      <c r="B24" s="56" t="inlineStr">
        <is>
          <t>들어온 자재는 자재수불대장으로 입 · 출고를 관리한다.</t>
        </is>
      </c>
    </row>
    <row r="25" ht="20.5" customHeight="1">
      <c r="A25" s="55" t="inlineStr">
        <is>
          <t>(2)</t>
        </is>
      </c>
      <c r="B25" s="56" t="inlineStr">
        <is>
          <t>자재는 재질별 · 규격별로 나누어 보관한다.</t>
        </is>
      </c>
    </row>
    <row r="26" ht="20.5" customHeight="1">
      <c r="A26" s="55" t="inlineStr">
        <is>
          <t>(3)</t>
        </is>
      </c>
      <c r="B26" s="56" t="inlineStr">
        <is>
          <t>운반 · 야적 때 변형되지 않도록 전용 운반 가설대 또는 전용 야적대를 쓴다.</t>
        </is>
      </c>
    </row>
    <row r="27" ht="36" customHeight="1">
      <c r="A27" s="55" t="inlineStr">
        <is>
          <t>(4)</t>
        </is>
      </c>
      <c r="B27" s="56" t="inlineStr">
        <is>
          <t>반입 자재는 받침목 · 지지목 등으로 지면에서 200mm 이상 띄우고 손상 · 변형 · 침수되지 않게 한다.</t>
        </is>
      </c>
    </row>
    <row r="28" ht="20.5" customHeight="1">
      <c r="A28" s="55" t="inlineStr">
        <is>
          <t>(5)</t>
        </is>
      </c>
      <c r="B28" s="56" t="inlineStr">
        <is>
          <t>변형을 막기 위해 받침목 높이를 맞추고 1단 적재를 기본으로 한다.</t>
        </is>
      </c>
    </row>
    <row r="29" ht="4" customHeight="1"/>
    <row r="30" ht="30" customHeight="1">
      <c r="A30" s="12" t="inlineStr">
        <is>
          <t>13.0   환 경 관 리  계 획</t>
        </is>
      </c>
    </row>
    <row r="31" ht="4" customHeight="1"/>
    <row r="32" ht="3" customHeight="1"/>
    <row r="33" ht="22" customHeight="1">
      <c r="A33" s="57" t="inlineStr">
        <is>
          <t>13-1  개  요</t>
        </is>
      </c>
    </row>
    <row r="34" ht="21.5" customHeight="1">
      <c r="A34" s="58" t="inlineStr">
        <is>
          <t>현장의 폐기물 · 유류 · 쓰레기 및 소음 · 진동 · 비산먼지 등에 의한 오염을 방지한다.</t>
        </is>
      </c>
    </row>
    <row r="35" ht="3" customHeight="1"/>
    <row r="36" ht="22" customHeight="1">
      <c r="A36" s="57" t="inlineStr">
        <is>
          <t>13-2  중점관리 방침</t>
        </is>
      </c>
    </row>
    <row r="37" ht="20.5" customHeight="1">
      <c r="A37" s="55" t="inlineStr">
        <is>
          <t>(1)</t>
        </is>
      </c>
      <c r="B37" s="56" t="inlineStr">
        <is>
          <t>자율적인 환경관리</t>
        </is>
      </c>
    </row>
    <row r="38" ht="20.5" customHeight="1">
      <c r="A38" s="55" t="inlineStr">
        <is>
          <t>(2)</t>
        </is>
      </c>
      <c r="B38" s="56" t="inlineStr">
        <is>
          <t>쾌적한 작업환경 관리</t>
        </is>
      </c>
    </row>
    <row r="39" ht="20.5" customHeight="1">
      <c r="A39" s="55" t="inlineStr">
        <is>
          <t>(3)</t>
        </is>
      </c>
      <c r="B39" s="56" t="inlineStr">
        <is>
          <t>민원 발생 방지</t>
        </is>
      </c>
    </row>
    <row r="40" ht="3" customHeight="1"/>
    <row r="41" ht="22" customHeight="1">
      <c r="A41" s="57" t="inlineStr">
        <is>
          <t>13-3  실시계획</t>
        </is>
      </c>
    </row>
    <row r="42" ht="20.5" customHeight="1">
      <c r="A42" s="55" t="inlineStr">
        <is>
          <t>(1)</t>
        </is>
      </c>
      <c r="B42" s="56" t="inlineStr">
        <is>
          <t>작업 전후 정리정돈 : 작업 전후 정리정돈을 철저히 하여 쾌적한 작업환경을 유지한다.</t>
        </is>
      </c>
    </row>
    <row r="43" ht="36" customHeight="1">
      <c r="A43" s="55" t="inlineStr">
        <is>
          <t>(2)</t>
        </is>
      </c>
      <c r="B43" s="56" t="inlineStr">
        <is>
          <t>분리수거 : 분리수거를 철저히 하고, 팽이기초 작업에서 나온 폐기물(철근 토막 · 결속선 · 포장재 등)은 시공업체 부담으로 적법하게 처리하여 쓰레기를 줄인다.</t>
        </is>
      </c>
    </row>
    <row r="44" ht="36" customHeight="1">
      <c r="A44" s="55" t="inlineStr">
        <is>
          <t>(3)</t>
        </is>
      </c>
      <c r="B44" s="56" t="inlineStr">
        <is>
          <t>민원 발생 억제 : 소음 · 진동 · 비산먼지 · 냄새를 최대한 억제하여 인근 주민의 생활에 피해가 없도록 하고, 적극적으로 환경관리 활동을 한다.</t>
        </is>
      </c>
    </row>
    <row r="45" ht="21" customHeight="1">
      <c r="A45" s="10" t="inlineStr"/>
      <c r="B45" s="52" t="inlineStr">
        <is>
          <t>(4) 환경관리 대책</t>
        </is>
      </c>
    </row>
    <row r="46" ht="20.5" customHeight="1">
      <c r="A46" s="55" t="inlineStr">
        <is>
          <t>①</t>
        </is>
      </c>
      <c r="C46" s="56" t="inlineStr">
        <is>
          <t>쓰레기 처리 : 현장 안은 금연하고 쓰레기 수거함을 둔다.</t>
        </is>
      </c>
    </row>
    <row r="47" ht="36" customHeight="1">
      <c r="A47" s="55" t="inlineStr">
        <is>
          <t>②</t>
        </is>
      </c>
      <c r="C47" s="56" t="inlineStr">
        <is>
          <t>잔재물 : 남은 팽이용기 · 철근 토막 · 레미콘 잔량은 지정된 장소에 모아 두고 지정 업체가 수거하게 한다.</t>
        </is>
      </c>
    </row>
    <row r="48" ht="36" customHeight="1">
      <c r="A48" s="55" t="inlineStr">
        <is>
          <t>③</t>
        </is>
      </c>
      <c r="C48" s="56" t="inlineStr">
        <is>
          <t>비산먼지 : 현장 안 주요 도로와 작업장 주변은 하루 2회 이상 살수차로 살수하고, 장비 이동 때 먼지가 나지 않도록 서행한다.</t>
        </is>
      </c>
    </row>
    <row r="49" ht="4" customHeight="1"/>
    <row r="50" ht="30" customHeight="1">
      <c r="A50" s="12" t="inlineStr">
        <is>
          <t>14.0   안 전 관 리  계 획</t>
        </is>
      </c>
    </row>
    <row r="51" ht="4" customHeight="1"/>
    <row r="52" ht="3" customHeight="1"/>
    <row r="53" ht="22" customHeight="1">
      <c r="A53" s="57" t="inlineStr">
        <is>
          <t>14-1  안전관리 목적</t>
        </is>
      </c>
    </row>
    <row r="54" ht="37" customHeight="1">
      <c r="A54" s="58" t="inlineStr">
        <is>
          <t>공종의 특수성을 고려하여 현장의 위험요소를 미리 없애 사고를 막음으로써 귀중한 인명을 보호하고 재산 손실을 최소화하며, 작업 능률을 높여 계획 공정을 원만히 달성하는 데 목적이 있다.</t>
        </is>
      </c>
    </row>
    <row r="55" ht="3" customHeight="1"/>
    <row r="56" ht="22" customHeight="1">
      <c r="A56" s="57" t="inlineStr">
        <is>
          <t>14-2  현장의 안전관리 방침</t>
        </is>
      </c>
    </row>
    <row r="57" ht="20.5" customHeight="1">
      <c r="A57" s="55" t="inlineStr">
        <is>
          <t>①</t>
        </is>
      </c>
      <c r="B57" s="56" t="inlineStr">
        <is>
          <t>선 안전, 후 시공</t>
        </is>
      </c>
    </row>
    <row r="58" ht="20.5" customHeight="1">
      <c r="A58" s="55" t="inlineStr">
        <is>
          <t>②</t>
        </is>
      </c>
      <c r="B58" s="56" t="inlineStr">
        <is>
          <t>안전교육 내실화로 위험요인 사전 제거</t>
        </is>
      </c>
    </row>
    <row r="59" ht="20.5" customHeight="1">
      <c r="A59" s="55" t="inlineStr">
        <is>
          <t>③</t>
        </is>
      </c>
      <c r="B59" s="56" t="inlineStr">
        <is>
          <t>안전지도 · 점검 강화로 위험요인 사전 제거</t>
        </is>
      </c>
    </row>
    <row r="60" ht="20.5" customHeight="1">
      <c r="A60" s="55" t="inlineStr">
        <is>
          <t>④</t>
        </is>
      </c>
      <c r="B60" s="56" t="inlineStr">
        <is>
          <t>취약 지점 점검 · 보강</t>
        </is>
      </c>
    </row>
    <row r="61" ht="3" customHeight="1"/>
    <row r="62" ht="22" customHeight="1">
      <c r="A62" s="57" t="inlineStr">
        <is>
          <t>14-3  중점 관리 사항</t>
        </is>
      </c>
    </row>
    <row r="63" ht="20.5" customHeight="1">
      <c r="A63" s="55" t="inlineStr">
        <is>
          <t>①</t>
        </is>
      </c>
      <c r="B63" s="56" t="inlineStr">
        <is>
          <t>위험예지 활동 실시</t>
        </is>
      </c>
    </row>
    <row r="64" ht="20.5" customHeight="1">
      <c r="A64" s="55" t="inlineStr">
        <is>
          <t>②</t>
        </is>
      </c>
      <c r="B64" s="56" t="inlineStr">
        <is>
          <t>개인 안전보호구 착용 생활화</t>
        </is>
      </c>
    </row>
    <row r="65" ht="20.5" customHeight="1">
      <c r="A65" s="55" t="inlineStr">
        <is>
          <t>③</t>
        </is>
      </c>
      <c r="B65" s="56" t="inlineStr">
        <is>
          <t>신규 채용자는 특별안전교육 후 투입</t>
        </is>
      </c>
    </row>
    <row r="66" ht="20.5" customHeight="1">
      <c r="A66" s="55" t="inlineStr">
        <is>
          <t>④</t>
        </is>
      </c>
      <c r="B66" s="56" t="inlineStr">
        <is>
          <t>고소 및 위험지역 작업 전후 안전대책 강구</t>
        </is>
      </c>
    </row>
    <row r="67" ht="20.5" customHeight="1">
      <c r="A67" s="55" t="inlineStr">
        <is>
          <t>⑤</t>
        </is>
      </c>
      <c r="B67" s="56" t="inlineStr">
        <is>
          <t>각종 도구 · 시설물 · 보호장구 상태 및 사용 실태 수시 점검</t>
        </is>
      </c>
    </row>
    <row r="68" ht="20.5" customHeight="1">
      <c r="A68" s="55" t="inlineStr">
        <is>
          <t>⑥</t>
        </is>
      </c>
      <c r="B68" s="56" t="inlineStr">
        <is>
          <t>작업장 정리정돈 생활화</t>
        </is>
      </c>
    </row>
    <row r="69" ht="20.5" customHeight="1">
      <c r="A69" s="55" t="inlineStr">
        <is>
          <t>⑦</t>
        </is>
      </c>
      <c r="B69" s="56" t="inlineStr">
        <is>
          <t>관리감독자 순찰 활동 강화</t>
        </is>
      </c>
    </row>
    <row r="70" ht="20.5" customHeight="1">
      <c r="A70" s="55" t="inlineStr">
        <is>
          <t>⑧</t>
        </is>
      </c>
      <c r="B70" s="56" t="inlineStr">
        <is>
          <t>장비의 안전상태 점검</t>
        </is>
      </c>
    </row>
    <row r="71" ht="20.5" customHeight="1">
      <c r="A71" s="55" t="inlineStr">
        <is>
          <t>⑨</t>
        </is>
      </c>
      <c r="B71" s="56" t="inlineStr">
        <is>
          <t>장비 운전원은 유자격자 선임</t>
        </is>
      </c>
    </row>
    <row r="72" ht="3" customHeight="1"/>
    <row r="73" ht="22" customHeight="1">
      <c r="A73" s="57" t="inlineStr">
        <is>
          <t>14-4  팽이기초 공사의 안전수칙</t>
        </is>
      </c>
    </row>
    <row r="74" ht="36" customHeight="1">
      <c r="A74" s="55" t="inlineStr">
        <is>
          <t>①</t>
        </is>
      </c>
      <c r="B74" s="56" t="inlineStr">
        <is>
          <t>모든 작업자는 작업 때 안전보호구(안전모 · 안전화 · 보호장갑 · 작업복 등)를 반드시 착용한다.</t>
        </is>
      </c>
    </row>
    <row r="75" ht="36" customHeight="1">
      <c r="A75" s="55" t="inlineStr">
        <is>
          <t>②</t>
        </is>
      </c>
      <c r="B75" s="56" t="inlineStr">
        <is>
          <t>작업 전 장비 안전점검을 반드시 하고, 작업 중에도 중요 부분을 수시로 점검하여 이상이 있으면 예방조치를 한다.</t>
        </is>
      </c>
    </row>
    <row r="76" ht="20.5" customHeight="1">
      <c r="A76" s="55" t="inlineStr">
        <is>
          <t>③</t>
        </is>
      </c>
      <c r="B76" s="56" t="inlineStr">
        <is>
          <t>가동 중인 장비를 두고 자리를 뜨거나 장난 · 한눈팔기를 하지 않는다.</t>
        </is>
      </c>
    </row>
    <row r="77" ht="36" customHeight="1">
      <c r="A77" s="55" t="inlineStr">
        <is>
          <t>④</t>
        </is>
      </c>
      <c r="B77" s="56" t="inlineStr">
        <is>
          <t>기사는 작업자와 주위 사람 · 상황을 정확히 살피고 신호수의 신호에 따라 장비를 움직인다.</t>
        </is>
      </c>
    </row>
    <row r="78" ht="20.5" customHeight="1">
      <c r="A78" s="55" t="inlineStr">
        <is>
          <t>⑤</t>
        </is>
      </c>
      <c r="B78" s="56" t="inlineStr">
        <is>
          <t>높은 곳에서 작업할 때는 반드시 안전대를 착용한다.</t>
        </is>
      </c>
    </row>
    <row r="79" ht="36" customHeight="1">
      <c r="A79" s="55" t="inlineStr">
        <is>
          <t>⑥</t>
        </is>
      </c>
      <c r="B79" s="56" t="inlineStr">
        <is>
          <t>펌프카 · 백호 작업 반경 안에는 관계자 외 출입을 막고 신호수를 배치하며, 붐 아래에 들어가지 않는다.</t>
        </is>
      </c>
    </row>
    <row r="80" ht="4" customHeight="1"/>
    <row r="81" ht="30" customHeight="1">
      <c r="A81" s="12" t="inlineStr">
        <is>
          <t>15.0   평판재하시험 계획</t>
        </is>
      </c>
    </row>
    <row r="82" ht="4" customHeight="1"/>
    <row r="83" ht="24" customHeight="1">
      <c r="A83" s="25" t="inlineStr">
        <is>
          <t>구    분</t>
        </is>
      </c>
      <c r="B83" s="15" t="n"/>
      <c r="C83" s="15" t="n"/>
      <c r="D83" s="25" t="inlineStr">
        <is>
          <t>단  위</t>
        </is>
      </c>
      <c r="E83" s="15" t="n"/>
      <c r="F83" s="25" t="inlineStr">
        <is>
          <t>수  량</t>
        </is>
      </c>
      <c r="G83" s="15" t="n"/>
      <c r="H83" s="25" t="inlineStr">
        <is>
          <t>비    고(위치)</t>
        </is>
      </c>
      <c r="I83" s="15" t="n"/>
      <c r="J83" s="15" t="n"/>
      <c r="K83" s="15" t="n"/>
      <c r="L83" s="15" t="n"/>
    </row>
    <row r="84" ht="24" customHeight="1">
      <c r="A84" s="26" t="inlineStr">
        <is>
          <t>평판재하시험</t>
        </is>
      </c>
      <c r="B84" s="15" t="n"/>
      <c r="C84" s="15" t="n"/>
      <c r="D84" s="26" t="inlineStr">
        <is>
          <t>회</t>
        </is>
      </c>
      <c r="E84" s="15" t="n"/>
      <c r="F84" s="34" t="n">
        <v>2</v>
      </c>
      <c r="G84" s="15" t="n"/>
      <c r="H84" s="23" t="inlineStr">
        <is>
          <t>교사동</t>
        </is>
      </c>
      <c r="I84" s="15" t="n"/>
      <c r="J84" s="15" t="n"/>
      <c r="K84" s="15" t="n"/>
      <c r="L84" s="15" t="n"/>
    </row>
    <row r="85" ht="24" customHeight="1">
      <c r="A85" s="26" t="inlineStr">
        <is>
          <t>평판재하시험</t>
        </is>
      </c>
      <c r="B85" s="15" t="n"/>
      <c r="C85" s="15" t="n"/>
      <c r="D85" s="26" t="inlineStr">
        <is>
          <t>회</t>
        </is>
      </c>
      <c r="E85" s="15" t="n"/>
      <c r="F85" s="34" t="n">
        <v>2</v>
      </c>
      <c r="G85" s="15" t="n"/>
      <c r="H85" s="23" t="inlineStr">
        <is>
          <t>실습동</t>
        </is>
      </c>
      <c r="I85" s="15" t="n"/>
      <c r="J85" s="15" t="n"/>
      <c r="K85" s="15" t="n"/>
      <c r="L85" s="15" t="n"/>
    </row>
    <row r="86" ht="24" customHeight="1">
      <c r="A86" s="26" t="n"/>
      <c r="B86" s="15" t="n"/>
      <c r="C86" s="15" t="n"/>
      <c r="D86" s="26" t="n"/>
      <c r="E86" s="15" t="n"/>
      <c r="F86" s="34" t="n"/>
      <c r="G86" s="15" t="n"/>
      <c r="H86" s="23" t="n"/>
      <c r="I86" s="15" t="n"/>
      <c r="J86" s="15" t="n"/>
      <c r="K86" s="15" t="n"/>
      <c r="L86" s="15" t="n"/>
    </row>
    <row r="87" ht="24" customHeight="1">
      <c r="A87" s="26" t="n"/>
      <c r="B87" s="15" t="n"/>
      <c r="C87" s="15" t="n"/>
      <c r="D87" s="26" t="n"/>
      <c r="E87" s="15" t="n"/>
      <c r="F87" s="34" t="n"/>
      <c r="G87" s="15" t="n"/>
      <c r="H87" s="23" t="n"/>
      <c r="I87" s="15" t="n"/>
      <c r="J87" s="15" t="n"/>
      <c r="K87" s="15" t="n"/>
      <c r="L87" s="15" t="n"/>
    </row>
    <row r="88" ht="24" customHeight="1">
      <c r="A88" s="26" t="n"/>
      <c r="B88" s="15" t="n"/>
      <c r="C88" s="15" t="n"/>
      <c r="D88" s="26" t="n"/>
      <c r="E88" s="15" t="n"/>
      <c r="F88" s="34" t="n"/>
      <c r="G88" s="15" t="n"/>
      <c r="H88" s="23" t="n"/>
      <c r="I88" s="15" t="n"/>
      <c r="J88" s="15" t="n"/>
      <c r="K88" s="15" t="n"/>
      <c r="L88" s="15" t="n"/>
    </row>
    <row r="89" ht="24" customHeight="1">
      <c r="A89" s="28" t="inlineStr">
        <is>
          <t>계</t>
        </is>
      </c>
      <c r="B89" s="15" t="n"/>
      <c r="C89" s="15" t="n"/>
      <c r="D89" s="28" t="inlineStr">
        <is>
          <t>회</t>
        </is>
      </c>
      <c r="E89" s="15" t="n"/>
      <c r="F89" s="36">
        <f>IF(SUM(F84:F88)=0,"",SUM(F84:F88))</f>
        <v/>
      </c>
      <c r="G89" s="15" t="n"/>
      <c r="H89" s="28" t="inlineStr"/>
      <c r="I89" s="15" t="n"/>
      <c r="J89" s="15" t="n"/>
      <c r="K89" s="15" t="n"/>
      <c r="L89" s="15" t="n"/>
    </row>
    <row r="90" ht="17.325" customHeight="1">
      <c r="A90" s="37" t="inlineStr">
        <is>
          <t>※ 시험 계획은 현장 상황에 따라 바뀔 수 있습니다.</t>
        </is>
      </c>
    </row>
    <row r="91" ht="4" customHeight="1"/>
    <row r="92" ht="30" customHeight="1">
      <c r="A92" s="12" t="inlineStr">
        <is>
          <t>[첨부]   관 련  도 면</t>
        </is>
      </c>
    </row>
    <row r="93" ht="4" customHeight="1"/>
    <row r="94" ht="20" customHeight="1">
      <c r="A94" s="24" t="inlineStr">
        <is>
          <t>(관련 도면을 붙이는 곳 — 팽이기초 배치도 · 상세도)</t>
        </is>
      </c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</row>
    <row r="95" ht="20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</row>
    <row r="96" ht="20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</row>
    <row r="97" ht="20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</row>
    <row r="98" ht="20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</row>
    <row r="99" ht="20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</row>
    <row r="100" ht="20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 ht="20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</row>
    <row r="102" ht="20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</row>
    <row r="103" ht="20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</row>
    <row r="104" ht="20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</row>
    <row r="105" ht="20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</row>
    <row r="106" ht="20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</row>
    <row r="107" ht="20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</row>
    <row r="108" ht="20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</row>
    <row r="109" ht="20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</row>
    <row r="110" ht="20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</row>
    <row r="111" ht="20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</row>
    <row r="112" ht="20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</row>
    <row r="113" ht="20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</row>
    <row r="114" ht="20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</row>
    <row r="115" ht="20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</row>
    <row r="116" ht="20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</row>
    <row r="117" ht="20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</row>
    <row r="118" ht="20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</row>
    <row r="119" ht="20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</row>
    <row r="120" ht="20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</row>
    <row r="121" ht="20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</row>
    <row r="122" ht="20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</row>
    <row r="123" ht="20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5" ht="19.5" customHeight="1">
      <c r="A125" s="8" t="inlineStr">
        <is>
          <t>이 시트는 작성 예시입니다.</t>
        </is>
      </c>
    </row>
  </sheetData>
  <mergeCells count="99">
    <mergeCell ref="A89:C89"/>
    <mergeCell ref="D84:E84"/>
    <mergeCell ref="F84:G84"/>
    <mergeCell ref="B12:L12"/>
    <mergeCell ref="H83:L83"/>
    <mergeCell ref="D86:E86"/>
    <mergeCell ref="B21:L21"/>
    <mergeCell ref="F86:G86"/>
    <mergeCell ref="B39:L39"/>
    <mergeCell ref="A23:L23"/>
    <mergeCell ref="B14:L14"/>
    <mergeCell ref="H85:L85"/>
    <mergeCell ref="B13:L13"/>
    <mergeCell ref="B38:L38"/>
    <mergeCell ref="B78:L78"/>
    <mergeCell ref="A83:C83"/>
    <mergeCell ref="A34:L34"/>
    <mergeCell ref="A92:L92"/>
    <mergeCell ref="B64:L64"/>
    <mergeCell ref="A36:L36"/>
    <mergeCell ref="A6:L6"/>
    <mergeCell ref="C46:L46"/>
    <mergeCell ref="D88:E88"/>
    <mergeCell ref="B63:L63"/>
    <mergeCell ref="F88:G88"/>
    <mergeCell ref="A48:B48"/>
    <mergeCell ref="B16:L16"/>
    <mergeCell ref="C48:L48"/>
    <mergeCell ref="B25:L25"/>
    <mergeCell ref="B66:L66"/>
    <mergeCell ref="A3:L3"/>
    <mergeCell ref="B27:L27"/>
    <mergeCell ref="F83:G83"/>
    <mergeCell ref="B77:L77"/>
    <mergeCell ref="A46:B46"/>
    <mergeCell ref="F85:G85"/>
    <mergeCell ref="B67:L67"/>
    <mergeCell ref="A81:L81"/>
    <mergeCell ref="B69:L69"/>
    <mergeCell ref="B37:L37"/>
    <mergeCell ref="H84:L84"/>
    <mergeCell ref="A73:L73"/>
    <mergeCell ref="B15:L15"/>
    <mergeCell ref="H86:L86"/>
    <mergeCell ref="B24:L24"/>
    <mergeCell ref="D89:E89"/>
    <mergeCell ref="B79:L79"/>
    <mergeCell ref="B26:L26"/>
    <mergeCell ref="F87:G87"/>
    <mergeCell ref="A84:C84"/>
    <mergeCell ref="B7:L7"/>
    <mergeCell ref="F89:G89"/>
    <mergeCell ref="A50:L50"/>
    <mergeCell ref="B71:L71"/>
    <mergeCell ref="A86:C86"/>
    <mergeCell ref="B43:L43"/>
    <mergeCell ref="B58:L58"/>
    <mergeCell ref="H89:L89"/>
    <mergeCell ref="B42:L42"/>
    <mergeCell ref="B60:L60"/>
    <mergeCell ref="B17:L17"/>
    <mergeCell ref="B57:L57"/>
    <mergeCell ref="H88:L88"/>
    <mergeCell ref="A125:L125"/>
    <mergeCell ref="B44:L44"/>
    <mergeCell ref="A94:L123"/>
    <mergeCell ref="B28:L28"/>
    <mergeCell ref="B9:L9"/>
    <mergeCell ref="D83:E83"/>
    <mergeCell ref="H87:L87"/>
    <mergeCell ref="A1:F1"/>
    <mergeCell ref="A88:C88"/>
    <mergeCell ref="B20:L20"/>
    <mergeCell ref="D85:E85"/>
    <mergeCell ref="A54:L54"/>
    <mergeCell ref="B75:L75"/>
    <mergeCell ref="A41:L41"/>
    <mergeCell ref="A90:L90"/>
    <mergeCell ref="B59:L59"/>
    <mergeCell ref="A56:L56"/>
    <mergeCell ref="B70:L70"/>
    <mergeCell ref="A85:C85"/>
    <mergeCell ref="A33:L33"/>
    <mergeCell ref="A53:L53"/>
    <mergeCell ref="B8:L8"/>
    <mergeCell ref="A62:L62"/>
    <mergeCell ref="G1:L1"/>
    <mergeCell ref="D87:E87"/>
    <mergeCell ref="A19:L19"/>
    <mergeCell ref="A47:B47"/>
    <mergeCell ref="C47:L47"/>
    <mergeCell ref="A30:L30"/>
    <mergeCell ref="B65:L65"/>
    <mergeCell ref="B74:L74"/>
    <mergeCell ref="B68:L68"/>
    <mergeCell ref="A11:L11"/>
    <mergeCell ref="A87:C87"/>
    <mergeCell ref="B76:L76"/>
    <mergeCell ref="B45:L45"/>
  </mergeCells>
  <printOptions horizontalCentered="1"/>
  <pageMargins left="0.6" right="0.6" top="0.6" bottom="0.6" header="0.2" footer="0.2"/>
  <pageSetup orientation="portrait" paperSize="9" fitToHeight="0" fitToWidth="1"/>
  <rowBreaks count="4" manualBreakCount="4">
    <brk id="28" min="0" max="16383" man="1"/>
    <brk id="48" min="0" max="16383" man="1"/>
    <brk id="79" min="0" max="16383" man="1"/>
    <brk id="9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팽이기초 시공계획서</dc:title>
  <dcterms:created xmlns:dcterms="http://purl.org/dc/terms/" xmlns:xsi="http://www.w3.org/2001/XMLSchema-instance" xsi:type="dcterms:W3CDTF">2026-10-17T01:09:13Z</dcterms:created>
  <dcterms:modified xmlns:dcterms="http://purl.org/dc/terms/" xmlns:xsi="http://www.w3.org/2001/XMLSchema-instance" xsi:type="dcterms:W3CDTF">2026-10-17T01:09:14Z</dcterms:modified>
</cp:coreProperties>
</file>