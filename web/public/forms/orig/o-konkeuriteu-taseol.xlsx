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타설현황" sheetId="1" state="visible" r:id="rId1"/>
    <sheet xmlns:r="http://schemas.openxmlformats.org/officeDocument/2006/relationships" name="예시-타설현황" sheetId="2" state="visible" r:id="rId2"/>
  </sheets>
  <definedNames>
    <definedName name="_xlnm.Print_Area" localSheetId="0">'타설현황'!$A$1:$U$40</definedName>
    <definedName name="_xlnm.Print_Area" localSheetId="1">'예시-타설현황'!$A$1:$U$40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. m. d."/>
    <numFmt numFmtId="165" formatCode="#,##0.###;[Red]-#,##0.###;&quot;&quot;"/>
    <numFmt numFmtId="166" formatCode="+#,##0.###;[Red]-#,##0.###;0"/>
    <numFmt numFmtId="167" formatCode="0.#"/>
    <numFmt numFmtId="168" formatCode="0.0"/>
    <numFmt numFmtId="169" formatCode="0.000"/>
    <numFmt numFmtId="170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20"/>
    </font>
    <font>
      <name val="맑은 고딕"/>
      <color rgb="001F2937"/>
      <sz val="9"/>
    </font>
    <font>
      <name val="맑은 고딕"/>
      <b val="1"/>
      <color rgb="001F2937"/>
      <sz val="10"/>
    </font>
    <font>
      <name val="맑은 고딕"/>
      <color rgb="00000000"/>
      <sz val="11"/>
    </font>
    <font>
      <name val="맑은 고딕"/>
      <color rgb="001F2937"/>
      <sz val="10"/>
    </font>
    <font>
      <name val="맑은 고딕"/>
      <b val="1"/>
      <color rgb="001F2937"/>
      <sz val="9"/>
    </font>
    <font>
      <name val="맑은 고딕"/>
      <color rgb="00000000"/>
      <sz val="9"/>
    </font>
    <font>
      <name val="맑은 고딕"/>
      <color rgb="00000000"/>
      <sz val="8.5"/>
    </font>
    <font>
      <name val="맑은 고딕"/>
      <color rgb="001F2937"/>
      <sz val="7.5"/>
    </font>
    <font>
      <name val="맑은 고딕"/>
      <b val="1"/>
      <color rgb="001F2937"/>
      <sz val="8"/>
    </font>
    <font>
      <name val="맑은 고딕"/>
      <color rgb="001F2937"/>
      <sz val="8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  <fill>
      <patternFill patternType="solid">
        <fgColor rgb="00F3F5F9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/>
    </xf>
    <xf numFmtId="165" fontId="9" fillId="0" borderId="1" applyAlignment="1" pivotButton="0" quotePrefix="0" xfId="0">
      <alignment horizontal="right" vertical="center" shrinkToFit="1"/>
    </xf>
    <xf numFmtId="166" fontId="4" fillId="3" borderId="1" applyAlignment="1" pivotButton="0" quotePrefix="0" xfId="0">
      <alignment horizontal="right" vertical="center" shrinkToFit="1"/>
    </xf>
    <xf numFmtId="165" fontId="4" fillId="3" borderId="1" applyAlignment="1" pivotButton="0" quotePrefix="0" xfId="0">
      <alignment horizontal="right" vertical="center" shrinkToFit="1"/>
    </xf>
    <xf numFmtId="0" fontId="10" fillId="0" borderId="1" applyAlignment="1" pivotButton="0" quotePrefix="0" xfId="0">
      <alignment horizontal="center" vertical="center" shrinkToFit="1"/>
    </xf>
    <xf numFmtId="167" fontId="9" fillId="0" borderId="1" applyAlignment="1" pivotButton="0" quotePrefix="0" xfId="0">
      <alignment horizontal="center" vertical="center" shrinkToFit="1"/>
    </xf>
    <xf numFmtId="1" fontId="9" fillId="0" borderId="1" applyAlignment="1" pivotButton="0" quotePrefix="0" xfId="0">
      <alignment horizontal="center" vertical="center" shrinkToFit="1"/>
    </xf>
    <xf numFmtId="168" fontId="9" fillId="0" borderId="1" applyAlignment="1" pivotButton="0" quotePrefix="0" xfId="0">
      <alignment horizontal="center" vertical="center" shrinkToFit="1"/>
    </xf>
    <xf numFmtId="169" fontId="9" fillId="0" borderId="1" applyAlignment="1" pivotButton="0" quotePrefix="0" xfId="0">
      <alignment horizontal="center" vertical="center" shrinkToFit="1"/>
    </xf>
    <xf numFmtId="0" fontId="1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right" vertical="center" shrinkToFit="1"/>
    </xf>
    <xf numFmtId="166" fontId="8" fillId="3" borderId="1" applyAlignment="1" pivotButton="0" quotePrefix="0" xfId="0">
      <alignment horizontal="right" vertical="center" shrinkToFit="1"/>
    </xf>
    <xf numFmtId="0" fontId="8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8" fontId="9" fillId="6" borderId="1" applyAlignment="1" pivotButton="0" quotePrefix="0" xfId="0">
      <alignment horizontal="center" vertical="center" shrinkToFit="1"/>
    </xf>
    <xf numFmtId="2" fontId="9" fillId="6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b val="1"/>
        <color rgb="00DC2626"/>
      </font>
    </dxf>
    <dxf>
      <numFmt numFmtId="300" formatCode="#,##0;[Red]-#,##0;&quot;&quot;"/>
    </dxf>
    <dxf>
      <numFmt numFmtId="301" formatCode="+#,##0;[Red]-#,##0;0"/>
    </dxf>
    <dxf>
      <numFmt numFmtId="302" formatCode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4"/>
  <sheetViews>
    <sheetView showGridLines="0" zoomScale="100" workbookViewId="0">
      <selection activeCell="A1" sqref="A1"/>
    </sheetView>
  </sheetViews>
  <sheetFormatPr baseColWidth="8" defaultRowHeight="15"/>
  <cols>
    <col width="9" customWidth="1" min="1" max="1"/>
    <col width="9.5" customWidth="1" min="2" max="2"/>
    <col width="20" customWidth="1" min="3" max="3"/>
    <col width="6.8" customWidth="1" min="4" max="4"/>
    <col width="6.8" customWidth="1" min="5" max="5"/>
    <col width="6.2" customWidth="1" min="6" max="6"/>
    <col width="6.8" customWidth="1" min="7" max="7"/>
    <col width="9.5" customWidth="1" min="8" max="8"/>
    <col width="10" customWidth="1" min="9" max="9"/>
    <col width="7" customWidth="1" min="10" max="10"/>
    <col width="9.5" customWidth="1" min="11" max="11"/>
    <col width="6" customWidth="1" min="12" max="12"/>
    <col width="6.6" customWidth="1" min="13" max="13"/>
    <col width="6.2" customWidth="1" min="14" max="14"/>
    <col width="7" customWidth="1" min="15" max="15"/>
    <col width="7.8" customWidth="1" min="16" max="16"/>
    <col width="11" customWidth="1" min="17" max="17"/>
    <col width="7" customWidth="1" min="18" max="18"/>
    <col width="6" customWidth="1" min="19" max="19"/>
    <col width="7" customWidth="1" min="20" max="20"/>
    <col width="6" customWidth="1" min="21" max="21"/>
    <col width="8" customWidth="1" min="23" max="23"/>
    <col width="8" customWidth="1" min="24" max="24"/>
  </cols>
  <sheetData>
    <row r="1" ht="20" customHeight="1">
      <c r="A1" s="1" t="inlineStr">
        <is>
          <t xml:space="preserve">  K-건설맵  |  k-conmap.com  건설 서식</t>
        </is>
      </c>
      <c r="K1" s="2" t="inlineStr">
        <is>
          <t xml:space="preserve">← 이 1행을 지우고 쓰셔도 됩니다  </t>
        </is>
      </c>
    </row>
    <row r="2" ht="40" customHeight="1">
      <c r="A2" s="3" t="inlineStr">
        <is>
          <t>구조물별 콘크리트 타설 현황</t>
        </is>
      </c>
      <c r="R2" s="4" t="inlineStr">
        <is>
          <t>[별지 제35호 서식]</t>
        </is>
      </c>
    </row>
    <row r="3" ht="26" customHeight="1">
      <c r="A3" s="5" t="inlineStr">
        <is>
          <t>현 장 명 :</t>
        </is>
      </c>
      <c r="C3" s="6" t="n"/>
      <c r="J3" s="7" t="inlineStr"/>
    </row>
    <row r="4" ht="4" customHeight="1"/>
    <row r="5" ht="22" customHeight="1">
      <c r="A5" s="8" t="inlineStr">
        <is>
          <t>구 조
물 명</t>
        </is>
      </c>
      <c r="B5" s="8" t="inlineStr">
        <is>
          <t>타설 일자</t>
        </is>
      </c>
      <c r="C5" s="8" t="inlineStr">
        <is>
          <t>타 설  부 위</t>
        </is>
      </c>
      <c r="D5" s="8" t="inlineStr">
        <is>
          <t>설계량
(㎥)</t>
        </is>
      </c>
      <c r="E5" s="8" t="inlineStr">
        <is>
          <t>타설량
(㎥)</t>
        </is>
      </c>
      <c r="F5" s="8" t="inlineStr">
        <is>
          <t>증감
(㎥)</t>
        </is>
      </c>
      <c r="G5" s="8" t="inlineStr">
        <is>
          <t>구조물
누계
(㎥)</t>
        </is>
      </c>
      <c r="H5" s="8" t="inlineStr">
        <is>
          <t>콘크리트
배합종류</t>
        </is>
      </c>
      <c r="I5" s="8" t="inlineStr">
        <is>
          <t>납품
회사</t>
        </is>
      </c>
      <c r="J5" s="8" t="inlineStr">
        <is>
          <t>타 설
방 법</t>
        </is>
      </c>
      <c r="K5" s="8" t="inlineStr">
        <is>
          <t>타 설
시 간</t>
        </is>
      </c>
      <c r="L5" s="8" t="inlineStr">
        <is>
          <t>타설시
온도
(℃)</t>
        </is>
      </c>
      <c r="M5" s="8" t="inlineStr">
        <is>
          <t>시   험   결   과</t>
        </is>
      </c>
      <c r="N5" s="9" t="n"/>
      <c r="O5" s="9" t="n"/>
      <c r="P5" s="9" t="n"/>
      <c r="Q5" s="9" t="n"/>
      <c r="R5" s="8" t="inlineStr">
        <is>
          <t>시    험    자</t>
        </is>
      </c>
      <c r="S5" s="9" t="n"/>
      <c r="T5" s="9" t="n"/>
      <c r="U5" s="9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8" t="inlineStr">
        <is>
          <t>슬럼프
(mm)</t>
        </is>
      </c>
      <c r="N6" s="8" t="inlineStr">
        <is>
          <t>공기량
(%)</t>
        </is>
      </c>
      <c r="O6" s="8" t="inlineStr">
        <is>
          <t>염분량
(kg/㎥)</t>
        </is>
      </c>
      <c r="P6" s="8" t="inlineStr">
        <is>
          <t>28일
압축강도
(MPa)</t>
        </is>
      </c>
      <c r="Q6" s="8" t="inlineStr">
        <is>
          <t>판  정</t>
        </is>
      </c>
      <c r="R6" s="8" t="inlineStr">
        <is>
          <t>품질관리자</t>
        </is>
      </c>
      <c r="S6" s="9" t="n"/>
      <c r="T6" s="8" t="inlineStr">
        <is>
          <t>감 리 원</t>
        </is>
      </c>
      <c r="U6" s="9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8" t="inlineStr">
        <is>
          <t>성명</t>
        </is>
      </c>
      <c r="S7" s="8" t="inlineStr">
        <is>
          <t>서명</t>
        </is>
      </c>
      <c r="T7" s="8" t="inlineStr">
        <is>
          <t>성명</t>
        </is>
      </c>
      <c r="U7" s="8" t="inlineStr">
        <is>
          <t>서명</t>
        </is>
      </c>
      <c r="W7" s="10" t="inlineStr">
        <is>
          <t>호칭강도</t>
        </is>
      </c>
      <c r="X7" s="10" t="inlineStr">
        <is>
          <t>목표슬럼프</t>
        </is>
      </c>
    </row>
    <row r="8" ht="24" customHeight="1">
      <c r="A8" s="11" t="n"/>
      <c r="B8" s="12" t="n"/>
      <c r="C8" s="13" t="n"/>
      <c r="D8" s="14" t="n"/>
      <c r="E8" s="14" t="n"/>
      <c r="F8" s="15">
        <f>IF(OR(D8="",E8=""),"",ROUND(E8-D8,3))</f>
        <v/>
      </c>
      <c r="G8" s="16">
        <f>IF(OR(A8="",E8=""),"",SUMIF(A8:A8,A8,E8:E8))</f>
        <v/>
      </c>
      <c r="H8" s="11" t="n"/>
      <c r="I8" s="17" t="n"/>
      <c r="J8" s="11" t="n"/>
      <c r="K8" s="17" t="n"/>
      <c r="L8" s="18" t="n"/>
      <c r="M8" s="19" t="n"/>
      <c r="N8" s="20" t="n"/>
      <c r="O8" s="21" t="n"/>
      <c r="P8" s="20" t="n"/>
      <c r="Q8" s="22">
        <f>IF(COUNT(M8,N8,O8,P8)=0,"",IF(OR(AND(ISNUMBER(M8),ISNUMBER(X8),ABS(M8-N(X8))&gt;IF(N(X8)&gt;=80,25,IF(N(X8)&gt;=50,15,10))),AND(ISNUMBER(N8),ABS(N8-L36)&gt;L37),AND(ISNUMBER(O8),O8&gt;L38),AND(ISNUMBER(P8),ISNUMBER(W8),P8&lt;N(W8)*IF(N(W8)&gt;35,L40,L39))),"부적합:"&amp;IF(AND(ISNUMBER(M8),ISNUMBER(X8),ABS(M8-N(X8))&gt;IF(N(X8)&gt;=80,25,IF(N(X8)&gt;=50,15,10)))," 슬럼프","")&amp;IF(AND(ISNUMBER(N8),ABS(N8-L36)&gt;L37)," 공기량","")&amp;IF(AND(ISNUMBER(O8),O8&gt;L38)," 염분","")&amp;IF(AND(ISNUMBER(P8),ISNUMBER(W8),P8&lt;N(W8)*IF(N(W8)&gt;35,L40,L39))," 강도",""),IF(AND(ISNUMBER(P8),ISNUMBER(W8),P8&lt;N(W8)),"적합(강도 3회 평균 확인)",IF(ISNUMBER(P8),"적합","적합(28일 강도 대기)"))))</f>
        <v/>
      </c>
      <c r="R8" s="11" t="n"/>
      <c r="S8" s="23" t="inlineStr"/>
      <c r="T8" s="11" t="n"/>
      <c r="U8" s="23" t="inlineStr"/>
      <c r="W8" s="24">
        <f>IF(H8="","",IFERROR(VALUE(MID(SUBSTITUTE(H8," ",""),FIND("-",SUBSTITUTE(H8," ",""))+1,FIND("-",SUBSTITUTE(H8," ",""),FIND("-",SUBSTITUTE(H8," ",""))+1)-FIND("-",SUBSTITUTE(H8," ",""))-1)),""))</f>
        <v/>
      </c>
      <c r="X8" s="24">
        <f>IF(H8="","",IFERROR(VALUE(MID(SUBSTITUTE(H8," ",""),FIND("-",SUBSTITUTE(H8," ",""),FIND("-",SUBSTITUTE(H8," ",""))+1)+1,9)),""))</f>
        <v/>
      </c>
    </row>
    <row r="9" ht="24" customHeight="1">
      <c r="A9" s="11" t="n"/>
      <c r="B9" s="12" t="n"/>
      <c r="C9" s="13" t="n"/>
      <c r="D9" s="14" t="n"/>
      <c r="E9" s="14" t="n"/>
      <c r="F9" s="15">
        <f>IF(OR(D9="",E9=""),"",ROUND(E9-D9,3))</f>
        <v/>
      </c>
      <c r="G9" s="16">
        <f>IF(OR(A9="",E9=""),"",SUMIF(A8:A9,A9,E8:E9))</f>
        <v/>
      </c>
      <c r="H9" s="11" t="n"/>
      <c r="I9" s="17" t="n"/>
      <c r="J9" s="11" t="n"/>
      <c r="K9" s="17" t="n"/>
      <c r="L9" s="18" t="n"/>
      <c r="M9" s="19" t="n"/>
      <c r="N9" s="20" t="n"/>
      <c r="O9" s="21" t="n"/>
      <c r="P9" s="20" t="n"/>
      <c r="Q9" s="22">
        <f>IF(COUNT(M9,N9,O9,P9)=0,"",IF(OR(AND(ISNUMBER(M9),ISNUMBER(X9),ABS(M9-N(X9))&gt;IF(N(X9)&gt;=80,25,IF(N(X9)&gt;=50,15,10))),AND(ISNUMBER(N9),ABS(N9-L36)&gt;L37),AND(ISNUMBER(O9),O9&gt;L38),AND(ISNUMBER(P9),ISNUMBER(W9),P9&lt;N(W9)*IF(N(W9)&gt;35,L40,L39))),"부적합:"&amp;IF(AND(ISNUMBER(M9),ISNUMBER(X9),ABS(M9-N(X9))&gt;IF(N(X9)&gt;=80,25,IF(N(X9)&gt;=50,15,10)))," 슬럼프","")&amp;IF(AND(ISNUMBER(N9),ABS(N9-L36)&gt;L37)," 공기량","")&amp;IF(AND(ISNUMBER(O9),O9&gt;L38)," 염분","")&amp;IF(AND(ISNUMBER(P9),ISNUMBER(W9),P9&lt;N(W9)*IF(N(W9)&gt;35,L40,L39))," 강도",""),IF(AND(ISNUMBER(P9),ISNUMBER(W9),P9&lt;N(W9)),"적합(강도 3회 평균 확인)",IF(ISNUMBER(P9),"적합","적합(28일 강도 대기)"))))</f>
        <v/>
      </c>
      <c r="R9" s="11" t="n"/>
      <c r="S9" s="23" t="inlineStr"/>
      <c r="T9" s="11" t="n"/>
      <c r="U9" s="23" t="inlineStr"/>
      <c r="W9" s="24">
        <f>IF(H9="","",IFERROR(VALUE(MID(SUBSTITUTE(H9," ",""),FIND("-",SUBSTITUTE(H9," ",""))+1,FIND("-",SUBSTITUTE(H9," ",""),FIND("-",SUBSTITUTE(H9," ",""))+1)-FIND("-",SUBSTITUTE(H9," ",""))-1)),""))</f>
        <v/>
      </c>
      <c r="X9" s="24">
        <f>IF(H9="","",IFERROR(VALUE(MID(SUBSTITUTE(H9," ",""),FIND("-",SUBSTITUTE(H9," ",""),FIND("-",SUBSTITUTE(H9," ",""))+1)+1,9)),""))</f>
        <v/>
      </c>
    </row>
    <row r="10" ht="24" customHeight="1">
      <c r="A10" s="11" t="n"/>
      <c r="B10" s="12" t="n"/>
      <c r="C10" s="13" t="n"/>
      <c r="D10" s="14" t="n"/>
      <c r="E10" s="14" t="n"/>
      <c r="F10" s="15">
        <f>IF(OR(D10="",E10=""),"",ROUND(E10-D10,3))</f>
        <v/>
      </c>
      <c r="G10" s="16">
        <f>IF(OR(A10="",E10=""),"",SUMIF(A8:A10,A10,E8:E10))</f>
        <v/>
      </c>
      <c r="H10" s="11" t="n"/>
      <c r="I10" s="17" t="n"/>
      <c r="J10" s="11" t="n"/>
      <c r="K10" s="17" t="n"/>
      <c r="L10" s="18" t="n"/>
      <c r="M10" s="19" t="n"/>
      <c r="N10" s="20" t="n"/>
      <c r="O10" s="21" t="n"/>
      <c r="P10" s="20" t="n"/>
      <c r="Q10" s="22">
        <f>IF(COUNT(M10,N10,O10,P10)=0,"",IF(OR(AND(ISNUMBER(M10),ISNUMBER(X10),ABS(M10-N(X10))&gt;IF(N(X10)&gt;=80,25,IF(N(X10)&gt;=50,15,10))),AND(ISNUMBER(N10),ABS(N10-L36)&gt;L37),AND(ISNUMBER(O10),O10&gt;L38),AND(ISNUMBER(P10),ISNUMBER(W10),P10&lt;N(W10)*IF(N(W10)&gt;35,L40,L39))),"부적합:"&amp;IF(AND(ISNUMBER(M10),ISNUMBER(X10),ABS(M10-N(X10))&gt;IF(N(X10)&gt;=80,25,IF(N(X10)&gt;=50,15,10)))," 슬럼프","")&amp;IF(AND(ISNUMBER(N10),ABS(N10-L36)&gt;L37)," 공기량","")&amp;IF(AND(ISNUMBER(O10),O10&gt;L38)," 염분","")&amp;IF(AND(ISNUMBER(P10),ISNUMBER(W10),P10&lt;N(W10)*IF(N(W10)&gt;35,L40,L39))," 강도",""),IF(AND(ISNUMBER(P10),ISNUMBER(W10),P10&lt;N(W10)),"적합(강도 3회 평균 확인)",IF(ISNUMBER(P10),"적합","적합(28일 강도 대기)"))))</f>
        <v/>
      </c>
      <c r="R10" s="11" t="n"/>
      <c r="S10" s="23" t="inlineStr"/>
      <c r="T10" s="11" t="n"/>
      <c r="U10" s="23" t="inlineStr"/>
      <c r="W10" s="24">
        <f>IF(H10="","",IFERROR(VALUE(MID(SUBSTITUTE(H10," ",""),FIND("-",SUBSTITUTE(H10," ",""))+1,FIND("-",SUBSTITUTE(H10," ",""),FIND("-",SUBSTITUTE(H10," ",""))+1)-FIND("-",SUBSTITUTE(H10," ",""))-1)),""))</f>
        <v/>
      </c>
      <c r="X10" s="24">
        <f>IF(H10="","",IFERROR(VALUE(MID(SUBSTITUTE(H10," ",""),FIND("-",SUBSTITUTE(H10," ",""),FIND("-",SUBSTITUTE(H10," ",""))+1)+1,9)),""))</f>
        <v/>
      </c>
    </row>
    <row r="11" ht="24" customHeight="1">
      <c r="A11" s="11" t="n"/>
      <c r="B11" s="12" t="n"/>
      <c r="C11" s="13" t="n"/>
      <c r="D11" s="14" t="n"/>
      <c r="E11" s="14" t="n"/>
      <c r="F11" s="15">
        <f>IF(OR(D11="",E11=""),"",ROUND(E11-D11,3))</f>
        <v/>
      </c>
      <c r="G11" s="16">
        <f>IF(OR(A11="",E11=""),"",SUMIF(A8:A11,A11,E8:E11))</f>
        <v/>
      </c>
      <c r="H11" s="11" t="n"/>
      <c r="I11" s="17" t="n"/>
      <c r="J11" s="11" t="n"/>
      <c r="K11" s="17" t="n"/>
      <c r="L11" s="18" t="n"/>
      <c r="M11" s="19" t="n"/>
      <c r="N11" s="20" t="n"/>
      <c r="O11" s="21" t="n"/>
      <c r="P11" s="20" t="n"/>
      <c r="Q11" s="22">
        <f>IF(COUNT(M11,N11,O11,P11)=0,"",IF(OR(AND(ISNUMBER(M11),ISNUMBER(X11),ABS(M11-N(X11))&gt;IF(N(X11)&gt;=80,25,IF(N(X11)&gt;=50,15,10))),AND(ISNUMBER(N11),ABS(N11-L36)&gt;L37),AND(ISNUMBER(O11),O11&gt;L38),AND(ISNUMBER(P11),ISNUMBER(W11),P11&lt;N(W11)*IF(N(W11)&gt;35,L40,L39))),"부적합:"&amp;IF(AND(ISNUMBER(M11),ISNUMBER(X11),ABS(M11-N(X11))&gt;IF(N(X11)&gt;=80,25,IF(N(X11)&gt;=50,15,10)))," 슬럼프","")&amp;IF(AND(ISNUMBER(N11),ABS(N11-L36)&gt;L37)," 공기량","")&amp;IF(AND(ISNUMBER(O11),O11&gt;L38)," 염분","")&amp;IF(AND(ISNUMBER(P11),ISNUMBER(W11),P11&lt;N(W11)*IF(N(W11)&gt;35,L40,L39))," 강도",""),IF(AND(ISNUMBER(P11),ISNUMBER(W11),P11&lt;N(W11)),"적합(강도 3회 평균 확인)",IF(ISNUMBER(P11),"적합","적합(28일 강도 대기)"))))</f>
        <v/>
      </c>
      <c r="R11" s="11" t="n"/>
      <c r="S11" s="23" t="inlineStr"/>
      <c r="T11" s="11" t="n"/>
      <c r="U11" s="23" t="inlineStr"/>
      <c r="W11" s="24">
        <f>IF(H11="","",IFERROR(VALUE(MID(SUBSTITUTE(H11," ",""),FIND("-",SUBSTITUTE(H11," ",""))+1,FIND("-",SUBSTITUTE(H11," ",""),FIND("-",SUBSTITUTE(H11," ",""))+1)-FIND("-",SUBSTITUTE(H11," ",""))-1)),""))</f>
        <v/>
      </c>
      <c r="X11" s="24">
        <f>IF(H11="","",IFERROR(VALUE(MID(SUBSTITUTE(H11," ",""),FIND("-",SUBSTITUTE(H11," ",""),FIND("-",SUBSTITUTE(H11," ",""))+1)+1,9)),""))</f>
        <v/>
      </c>
    </row>
    <row r="12" ht="24" customHeight="1">
      <c r="A12" s="11" t="n"/>
      <c r="B12" s="12" t="n"/>
      <c r="C12" s="13" t="n"/>
      <c r="D12" s="14" t="n"/>
      <c r="E12" s="14" t="n"/>
      <c r="F12" s="15">
        <f>IF(OR(D12="",E12=""),"",ROUND(E12-D12,3))</f>
        <v/>
      </c>
      <c r="G12" s="16">
        <f>IF(OR(A12="",E12=""),"",SUMIF(A8:A12,A12,E8:E12))</f>
        <v/>
      </c>
      <c r="H12" s="11" t="n"/>
      <c r="I12" s="17" t="n"/>
      <c r="J12" s="11" t="n"/>
      <c r="K12" s="17" t="n"/>
      <c r="L12" s="18" t="n"/>
      <c r="M12" s="19" t="n"/>
      <c r="N12" s="20" t="n"/>
      <c r="O12" s="21" t="n"/>
      <c r="P12" s="20" t="n"/>
      <c r="Q12" s="22">
        <f>IF(COUNT(M12,N12,O12,P12)=0,"",IF(OR(AND(ISNUMBER(M12),ISNUMBER(X12),ABS(M12-N(X12))&gt;IF(N(X12)&gt;=80,25,IF(N(X12)&gt;=50,15,10))),AND(ISNUMBER(N12),ABS(N12-L36)&gt;L37),AND(ISNUMBER(O12),O12&gt;L38),AND(ISNUMBER(P12),ISNUMBER(W12),P12&lt;N(W12)*IF(N(W12)&gt;35,L40,L39))),"부적합:"&amp;IF(AND(ISNUMBER(M12),ISNUMBER(X12),ABS(M12-N(X12))&gt;IF(N(X12)&gt;=80,25,IF(N(X12)&gt;=50,15,10)))," 슬럼프","")&amp;IF(AND(ISNUMBER(N12),ABS(N12-L36)&gt;L37)," 공기량","")&amp;IF(AND(ISNUMBER(O12),O12&gt;L38)," 염분","")&amp;IF(AND(ISNUMBER(P12),ISNUMBER(W12),P12&lt;N(W12)*IF(N(W12)&gt;35,L40,L39))," 강도",""),IF(AND(ISNUMBER(P12),ISNUMBER(W12),P12&lt;N(W12)),"적합(강도 3회 평균 확인)",IF(ISNUMBER(P12),"적합","적합(28일 강도 대기)"))))</f>
        <v/>
      </c>
      <c r="R12" s="11" t="n"/>
      <c r="S12" s="23" t="inlineStr"/>
      <c r="T12" s="11" t="n"/>
      <c r="U12" s="23" t="inlineStr"/>
      <c r="W12" s="24">
        <f>IF(H12="","",IFERROR(VALUE(MID(SUBSTITUTE(H12," ",""),FIND("-",SUBSTITUTE(H12," ",""))+1,FIND("-",SUBSTITUTE(H12," ",""),FIND("-",SUBSTITUTE(H12," ",""))+1)-FIND("-",SUBSTITUTE(H12," ",""))-1)),""))</f>
        <v/>
      </c>
      <c r="X12" s="24">
        <f>IF(H12="","",IFERROR(VALUE(MID(SUBSTITUTE(H12," ",""),FIND("-",SUBSTITUTE(H12," ",""),FIND("-",SUBSTITUTE(H12," ",""))+1)+1,9)),""))</f>
        <v/>
      </c>
    </row>
    <row r="13" ht="24" customHeight="1">
      <c r="A13" s="11" t="n"/>
      <c r="B13" s="12" t="n"/>
      <c r="C13" s="13" t="n"/>
      <c r="D13" s="14" t="n"/>
      <c r="E13" s="14" t="n"/>
      <c r="F13" s="15">
        <f>IF(OR(D13="",E13=""),"",ROUND(E13-D13,3))</f>
        <v/>
      </c>
      <c r="G13" s="16">
        <f>IF(OR(A13="",E13=""),"",SUMIF(A8:A13,A13,E8:E13))</f>
        <v/>
      </c>
      <c r="H13" s="11" t="n"/>
      <c r="I13" s="17" t="n"/>
      <c r="J13" s="11" t="n"/>
      <c r="K13" s="17" t="n"/>
      <c r="L13" s="18" t="n"/>
      <c r="M13" s="19" t="n"/>
      <c r="N13" s="20" t="n"/>
      <c r="O13" s="21" t="n"/>
      <c r="P13" s="20" t="n"/>
      <c r="Q13" s="22">
        <f>IF(COUNT(M13,N13,O13,P13)=0,"",IF(OR(AND(ISNUMBER(M13),ISNUMBER(X13),ABS(M13-N(X13))&gt;IF(N(X13)&gt;=80,25,IF(N(X13)&gt;=50,15,10))),AND(ISNUMBER(N13),ABS(N13-L36)&gt;L37),AND(ISNUMBER(O13),O13&gt;L38),AND(ISNUMBER(P13),ISNUMBER(W13),P13&lt;N(W13)*IF(N(W13)&gt;35,L40,L39))),"부적합:"&amp;IF(AND(ISNUMBER(M13),ISNUMBER(X13),ABS(M13-N(X13))&gt;IF(N(X13)&gt;=80,25,IF(N(X13)&gt;=50,15,10)))," 슬럼프","")&amp;IF(AND(ISNUMBER(N13),ABS(N13-L36)&gt;L37)," 공기량","")&amp;IF(AND(ISNUMBER(O13),O13&gt;L38)," 염분","")&amp;IF(AND(ISNUMBER(P13),ISNUMBER(W13),P13&lt;N(W13)*IF(N(W13)&gt;35,L40,L39))," 강도",""),IF(AND(ISNUMBER(P13),ISNUMBER(W13),P13&lt;N(W13)),"적합(강도 3회 평균 확인)",IF(ISNUMBER(P13),"적합","적합(28일 강도 대기)"))))</f>
        <v/>
      </c>
      <c r="R13" s="11" t="n"/>
      <c r="S13" s="23" t="inlineStr"/>
      <c r="T13" s="11" t="n"/>
      <c r="U13" s="23" t="inlineStr"/>
      <c r="W13" s="24">
        <f>IF(H13="","",IFERROR(VALUE(MID(SUBSTITUTE(H13," ",""),FIND("-",SUBSTITUTE(H13," ",""))+1,FIND("-",SUBSTITUTE(H13," ",""),FIND("-",SUBSTITUTE(H13," ",""))+1)-FIND("-",SUBSTITUTE(H13," ",""))-1)),""))</f>
        <v/>
      </c>
      <c r="X13" s="24">
        <f>IF(H13="","",IFERROR(VALUE(MID(SUBSTITUTE(H13," ",""),FIND("-",SUBSTITUTE(H13," ",""),FIND("-",SUBSTITUTE(H13," ",""))+1)+1,9)),""))</f>
        <v/>
      </c>
    </row>
    <row r="14" ht="24" customHeight="1">
      <c r="A14" s="11" t="n"/>
      <c r="B14" s="12" t="n"/>
      <c r="C14" s="13" t="n"/>
      <c r="D14" s="14" t="n"/>
      <c r="E14" s="14" t="n"/>
      <c r="F14" s="15">
        <f>IF(OR(D14="",E14=""),"",ROUND(E14-D14,3))</f>
        <v/>
      </c>
      <c r="G14" s="16">
        <f>IF(OR(A14="",E14=""),"",SUMIF(A8:A14,A14,E8:E14))</f>
        <v/>
      </c>
      <c r="H14" s="11" t="n"/>
      <c r="I14" s="17" t="n"/>
      <c r="J14" s="11" t="n"/>
      <c r="K14" s="17" t="n"/>
      <c r="L14" s="18" t="n"/>
      <c r="M14" s="19" t="n"/>
      <c r="N14" s="20" t="n"/>
      <c r="O14" s="21" t="n"/>
      <c r="P14" s="20" t="n"/>
      <c r="Q14" s="22">
        <f>IF(COUNT(M14,N14,O14,P14)=0,"",IF(OR(AND(ISNUMBER(M14),ISNUMBER(X14),ABS(M14-N(X14))&gt;IF(N(X14)&gt;=80,25,IF(N(X14)&gt;=50,15,10))),AND(ISNUMBER(N14),ABS(N14-L36)&gt;L37),AND(ISNUMBER(O14),O14&gt;L38),AND(ISNUMBER(P14),ISNUMBER(W14),P14&lt;N(W14)*IF(N(W14)&gt;35,L40,L39))),"부적합:"&amp;IF(AND(ISNUMBER(M14),ISNUMBER(X14),ABS(M14-N(X14))&gt;IF(N(X14)&gt;=80,25,IF(N(X14)&gt;=50,15,10)))," 슬럼프","")&amp;IF(AND(ISNUMBER(N14),ABS(N14-L36)&gt;L37)," 공기량","")&amp;IF(AND(ISNUMBER(O14),O14&gt;L38)," 염분","")&amp;IF(AND(ISNUMBER(P14),ISNUMBER(W14),P14&lt;N(W14)*IF(N(W14)&gt;35,L40,L39))," 강도",""),IF(AND(ISNUMBER(P14),ISNUMBER(W14),P14&lt;N(W14)),"적합(강도 3회 평균 확인)",IF(ISNUMBER(P14),"적합","적합(28일 강도 대기)"))))</f>
        <v/>
      </c>
      <c r="R14" s="11" t="n"/>
      <c r="S14" s="23" t="inlineStr"/>
      <c r="T14" s="11" t="n"/>
      <c r="U14" s="23" t="inlineStr"/>
      <c r="W14" s="24">
        <f>IF(H14="","",IFERROR(VALUE(MID(SUBSTITUTE(H14," ",""),FIND("-",SUBSTITUTE(H14," ",""))+1,FIND("-",SUBSTITUTE(H14," ",""),FIND("-",SUBSTITUTE(H14," ",""))+1)-FIND("-",SUBSTITUTE(H14," ",""))-1)),""))</f>
        <v/>
      </c>
      <c r="X14" s="24">
        <f>IF(H14="","",IFERROR(VALUE(MID(SUBSTITUTE(H14," ",""),FIND("-",SUBSTITUTE(H14," ",""),FIND("-",SUBSTITUTE(H14," ",""))+1)+1,9)),""))</f>
        <v/>
      </c>
    </row>
    <row r="15" ht="24" customHeight="1">
      <c r="A15" s="11" t="n"/>
      <c r="B15" s="12" t="n"/>
      <c r="C15" s="13" t="n"/>
      <c r="D15" s="14" t="n"/>
      <c r="E15" s="14" t="n"/>
      <c r="F15" s="15">
        <f>IF(OR(D15="",E15=""),"",ROUND(E15-D15,3))</f>
        <v/>
      </c>
      <c r="G15" s="16">
        <f>IF(OR(A15="",E15=""),"",SUMIF(A8:A15,A15,E8:E15))</f>
        <v/>
      </c>
      <c r="H15" s="11" t="n"/>
      <c r="I15" s="17" t="n"/>
      <c r="J15" s="11" t="n"/>
      <c r="K15" s="17" t="n"/>
      <c r="L15" s="18" t="n"/>
      <c r="M15" s="19" t="n"/>
      <c r="N15" s="20" t="n"/>
      <c r="O15" s="21" t="n"/>
      <c r="P15" s="20" t="n"/>
      <c r="Q15" s="22">
        <f>IF(COUNT(M15,N15,O15,P15)=0,"",IF(OR(AND(ISNUMBER(M15),ISNUMBER(X15),ABS(M15-N(X15))&gt;IF(N(X15)&gt;=80,25,IF(N(X15)&gt;=50,15,10))),AND(ISNUMBER(N15),ABS(N15-L36)&gt;L37),AND(ISNUMBER(O15),O15&gt;L38),AND(ISNUMBER(P15),ISNUMBER(W15),P15&lt;N(W15)*IF(N(W15)&gt;35,L40,L39))),"부적합:"&amp;IF(AND(ISNUMBER(M15),ISNUMBER(X15),ABS(M15-N(X15))&gt;IF(N(X15)&gt;=80,25,IF(N(X15)&gt;=50,15,10)))," 슬럼프","")&amp;IF(AND(ISNUMBER(N15),ABS(N15-L36)&gt;L37)," 공기량","")&amp;IF(AND(ISNUMBER(O15),O15&gt;L38)," 염분","")&amp;IF(AND(ISNUMBER(P15),ISNUMBER(W15),P15&lt;N(W15)*IF(N(W15)&gt;35,L40,L39))," 강도",""),IF(AND(ISNUMBER(P15),ISNUMBER(W15),P15&lt;N(W15)),"적합(강도 3회 평균 확인)",IF(ISNUMBER(P15),"적합","적합(28일 강도 대기)"))))</f>
        <v/>
      </c>
      <c r="R15" s="11" t="n"/>
      <c r="S15" s="23" t="inlineStr"/>
      <c r="T15" s="11" t="n"/>
      <c r="U15" s="23" t="inlineStr"/>
      <c r="W15" s="24">
        <f>IF(H15="","",IFERROR(VALUE(MID(SUBSTITUTE(H15," ",""),FIND("-",SUBSTITUTE(H15," ",""))+1,FIND("-",SUBSTITUTE(H15," ",""),FIND("-",SUBSTITUTE(H15," ",""))+1)-FIND("-",SUBSTITUTE(H15," ",""))-1)),""))</f>
        <v/>
      </c>
      <c r="X15" s="24">
        <f>IF(H15="","",IFERROR(VALUE(MID(SUBSTITUTE(H15," ",""),FIND("-",SUBSTITUTE(H15," ",""),FIND("-",SUBSTITUTE(H15," ",""))+1)+1,9)),""))</f>
        <v/>
      </c>
    </row>
    <row r="16" ht="24" customHeight="1">
      <c r="A16" s="11" t="n"/>
      <c r="B16" s="12" t="n"/>
      <c r="C16" s="13" t="n"/>
      <c r="D16" s="14" t="n"/>
      <c r="E16" s="14" t="n"/>
      <c r="F16" s="15">
        <f>IF(OR(D16="",E16=""),"",ROUND(E16-D16,3))</f>
        <v/>
      </c>
      <c r="G16" s="16">
        <f>IF(OR(A16="",E16=""),"",SUMIF(A8:A16,A16,E8:E16))</f>
        <v/>
      </c>
      <c r="H16" s="11" t="n"/>
      <c r="I16" s="17" t="n"/>
      <c r="J16" s="11" t="n"/>
      <c r="K16" s="17" t="n"/>
      <c r="L16" s="18" t="n"/>
      <c r="M16" s="19" t="n"/>
      <c r="N16" s="20" t="n"/>
      <c r="O16" s="21" t="n"/>
      <c r="P16" s="20" t="n"/>
      <c r="Q16" s="22">
        <f>IF(COUNT(M16,N16,O16,P16)=0,"",IF(OR(AND(ISNUMBER(M16),ISNUMBER(X16),ABS(M16-N(X16))&gt;IF(N(X16)&gt;=80,25,IF(N(X16)&gt;=50,15,10))),AND(ISNUMBER(N16),ABS(N16-L36)&gt;L37),AND(ISNUMBER(O16),O16&gt;L38),AND(ISNUMBER(P16),ISNUMBER(W16),P16&lt;N(W16)*IF(N(W16)&gt;35,L40,L39))),"부적합:"&amp;IF(AND(ISNUMBER(M16),ISNUMBER(X16),ABS(M16-N(X16))&gt;IF(N(X16)&gt;=80,25,IF(N(X16)&gt;=50,15,10)))," 슬럼프","")&amp;IF(AND(ISNUMBER(N16),ABS(N16-L36)&gt;L37)," 공기량","")&amp;IF(AND(ISNUMBER(O16),O16&gt;L38)," 염분","")&amp;IF(AND(ISNUMBER(P16),ISNUMBER(W16),P16&lt;N(W16)*IF(N(W16)&gt;35,L40,L39))," 강도",""),IF(AND(ISNUMBER(P16),ISNUMBER(W16),P16&lt;N(W16)),"적합(강도 3회 평균 확인)",IF(ISNUMBER(P16),"적합","적합(28일 강도 대기)"))))</f>
        <v/>
      </c>
      <c r="R16" s="11" t="n"/>
      <c r="S16" s="23" t="inlineStr"/>
      <c r="T16" s="11" t="n"/>
      <c r="U16" s="23" t="inlineStr"/>
      <c r="W16" s="24">
        <f>IF(H16="","",IFERROR(VALUE(MID(SUBSTITUTE(H16," ",""),FIND("-",SUBSTITUTE(H16," ",""))+1,FIND("-",SUBSTITUTE(H16," ",""),FIND("-",SUBSTITUTE(H16," ",""))+1)-FIND("-",SUBSTITUTE(H16," ",""))-1)),""))</f>
        <v/>
      </c>
      <c r="X16" s="24">
        <f>IF(H16="","",IFERROR(VALUE(MID(SUBSTITUTE(H16," ",""),FIND("-",SUBSTITUTE(H16," ",""),FIND("-",SUBSTITUTE(H16," ",""))+1)+1,9)),""))</f>
        <v/>
      </c>
    </row>
    <row r="17" ht="24" customHeight="1">
      <c r="A17" s="11" t="n"/>
      <c r="B17" s="12" t="n"/>
      <c r="C17" s="13" t="n"/>
      <c r="D17" s="14" t="n"/>
      <c r="E17" s="14" t="n"/>
      <c r="F17" s="15">
        <f>IF(OR(D17="",E17=""),"",ROUND(E17-D17,3))</f>
        <v/>
      </c>
      <c r="G17" s="16">
        <f>IF(OR(A17="",E17=""),"",SUMIF(A8:A17,A17,E8:E17))</f>
        <v/>
      </c>
      <c r="H17" s="11" t="n"/>
      <c r="I17" s="17" t="n"/>
      <c r="J17" s="11" t="n"/>
      <c r="K17" s="17" t="n"/>
      <c r="L17" s="18" t="n"/>
      <c r="M17" s="19" t="n"/>
      <c r="N17" s="20" t="n"/>
      <c r="O17" s="21" t="n"/>
      <c r="P17" s="20" t="n"/>
      <c r="Q17" s="22">
        <f>IF(COUNT(M17,N17,O17,P17)=0,"",IF(OR(AND(ISNUMBER(M17),ISNUMBER(X17),ABS(M17-N(X17))&gt;IF(N(X17)&gt;=80,25,IF(N(X17)&gt;=50,15,10))),AND(ISNUMBER(N17),ABS(N17-L36)&gt;L37),AND(ISNUMBER(O17),O17&gt;L38),AND(ISNUMBER(P17),ISNUMBER(W17),P17&lt;N(W17)*IF(N(W17)&gt;35,L40,L39))),"부적합:"&amp;IF(AND(ISNUMBER(M17),ISNUMBER(X17),ABS(M17-N(X17))&gt;IF(N(X17)&gt;=80,25,IF(N(X17)&gt;=50,15,10)))," 슬럼프","")&amp;IF(AND(ISNUMBER(N17),ABS(N17-L36)&gt;L37)," 공기량","")&amp;IF(AND(ISNUMBER(O17),O17&gt;L38)," 염분","")&amp;IF(AND(ISNUMBER(P17),ISNUMBER(W17),P17&lt;N(W17)*IF(N(W17)&gt;35,L40,L39))," 강도",""),IF(AND(ISNUMBER(P17),ISNUMBER(W17),P17&lt;N(W17)),"적합(강도 3회 평균 확인)",IF(ISNUMBER(P17),"적합","적합(28일 강도 대기)"))))</f>
        <v/>
      </c>
      <c r="R17" s="11" t="n"/>
      <c r="S17" s="23" t="inlineStr"/>
      <c r="T17" s="11" t="n"/>
      <c r="U17" s="23" t="inlineStr"/>
      <c r="W17" s="24">
        <f>IF(H17="","",IFERROR(VALUE(MID(SUBSTITUTE(H17," ",""),FIND("-",SUBSTITUTE(H17," ",""))+1,FIND("-",SUBSTITUTE(H17," ",""),FIND("-",SUBSTITUTE(H17," ",""))+1)-FIND("-",SUBSTITUTE(H17," ",""))-1)),""))</f>
        <v/>
      </c>
      <c r="X17" s="24">
        <f>IF(H17="","",IFERROR(VALUE(MID(SUBSTITUTE(H17," ",""),FIND("-",SUBSTITUTE(H17," ",""),FIND("-",SUBSTITUTE(H17," ",""))+1)+1,9)),""))</f>
        <v/>
      </c>
    </row>
    <row r="18" ht="24" customHeight="1">
      <c r="A18" s="11" t="n"/>
      <c r="B18" s="12" t="n"/>
      <c r="C18" s="13" t="n"/>
      <c r="D18" s="14" t="n"/>
      <c r="E18" s="14" t="n"/>
      <c r="F18" s="15">
        <f>IF(OR(D18="",E18=""),"",ROUND(E18-D18,3))</f>
        <v/>
      </c>
      <c r="G18" s="16">
        <f>IF(OR(A18="",E18=""),"",SUMIF(A8:A18,A18,E8:E18))</f>
        <v/>
      </c>
      <c r="H18" s="11" t="n"/>
      <c r="I18" s="17" t="n"/>
      <c r="J18" s="11" t="n"/>
      <c r="K18" s="17" t="n"/>
      <c r="L18" s="18" t="n"/>
      <c r="M18" s="19" t="n"/>
      <c r="N18" s="20" t="n"/>
      <c r="O18" s="21" t="n"/>
      <c r="P18" s="20" t="n"/>
      <c r="Q18" s="22">
        <f>IF(COUNT(M18,N18,O18,P18)=0,"",IF(OR(AND(ISNUMBER(M18),ISNUMBER(X18),ABS(M18-N(X18))&gt;IF(N(X18)&gt;=80,25,IF(N(X18)&gt;=50,15,10))),AND(ISNUMBER(N18),ABS(N18-L36)&gt;L37),AND(ISNUMBER(O18),O18&gt;L38),AND(ISNUMBER(P18),ISNUMBER(W18),P18&lt;N(W18)*IF(N(W18)&gt;35,L40,L39))),"부적합:"&amp;IF(AND(ISNUMBER(M18),ISNUMBER(X18),ABS(M18-N(X18))&gt;IF(N(X18)&gt;=80,25,IF(N(X18)&gt;=50,15,10)))," 슬럼프","")&amp;IF(AND(ISNUMBER(N18),ABS(N18-L36)&gt;L37)," 공기량","")&amp;IF(AND(ISNUMBER(O18),O18&gt;L38)," 염분","")&amp;IF(AND(ISNUMBER(P18),ISNUMBER(W18),P18&lt;N(W18)*IF(N(W18)&gt;35,L40,L39))," 강도",""),IF(AND(ISNUMBER(P18),ISNUMBER(W18),P18&lt;N(W18)),"적합(강도 3회 평균 확인)",IF(ISNUMBER(P18),"적합","적합(28일 강도 대기)"))))</f>
        <v/>
      </c>
      <c r="R18" s="11" t="n"/>
      <c r="S18" s="23" t="inlineStr"/>
      <c r="T18" s="11" t="n"/>
      <c r="U18" s="23" t="inlineStr"/>
      <c r="W18" s="24">
        <f>IF(H18="","",IFERROR(VALUE(MID(SUBSTITUTE(H18," ",""),FIND("-",SUBSTITUTE(H18," ",""))+1,FIND("-",SUBSTITUTE(H18," ",""),FIND("-",SUBSTITUTE(H18," ",""))+1)-FIND("-",SUBSTITUTE(H18," ",""))-1)),""))</f>
        <v/>
      </c>
      <c r="X18" s="24">
        <f>IF(H18="","",IFERROR(VALUE(MID(SUBSTITUTE(H18," ",""),FIND("-",SUBSTITUTE(H18," ",""),FIND("-",SUBSTITUTE(H18," ",""))+1)+1,9)),""))</f>
        <v/>
      </c>
    </row>
    <row r="19" ht="24" customHeight="1">
      <c r="A19" s="11" t="n"/>
      <c r="B19" s="12" t="n"/>
      <c r="C19" s="13" t="n"/>
      <c r="D19" s="14" t="n"/>
      <c r="E19" s="14" t="n"/>
      <c r="F19" s="15">
        <f>IF(OR(D19="",E19=""),"",ROUND(E19-D19,3))</f>
        <v/>
      </c>
      <c r="G19" s="16">
        <f>IF(OR(A19="",E19=""),"",SUMIF(A8:A19,A19,E8:E19))</f>
        <v/>
      </c>
      <c r="H19" s="11" t="n"/>
      <c r="I19" s="17" t="n"/>
      <c r="J19" s="11" t="n"/>
      <c r="K19" s="17" t="n"/>
      <c r="L19" s="18" t="n"/>
      <c r="M19" s="19" t="n"/>
      <c r="N19" s="20" t="n"/>
      <c r="O19" s="21" t="n"/>
      <c r="P19" s="20" t="n"/>
      <c r="Q19" s="22">
        <f>IF(COUNT(M19,N19,O19,P19)=0,"",IF(OR(AND(ISNUMBER(M19),ISNUMBER(X19),ABS(M19-N(X19))&gt;IF(N(X19)&gt;=80,25,IF(N(X19)&gt;=50,15,10))),AND(ISNUMBER(N19),ABS(N19-L36)&gt;L37),AND(ISNUMBER(O19),O19&gt;L38),AND(ISNUMBER(P19),ISNUMBER(W19),P19&lt;N(W19)*IF(N(W19)&gt;35,L40,L39))),"부적합:"&amp;IF(AND(ISNUMBER(M19),ISNUMBER(X19),ABS(M19-N(X19))&gt;IF(N(X19)&gt;=80,25,IF(N(X19)&gt;=50,15,10)))," 슬럼프","")&amp;IF(AND(ISNUMBER(N19),ABS(N19-L36)&gt;L37)," 공기량","")&amp;IF(AND(ISNUMBER(O19),O19&gt;L38)," 염분","")&amp;IF(AND(ISNUMBER(P19),ISNUMBER(W19),P19&lt;N(W19)*IF(N(W19)&gt;35,L40,L39))," 강도",""),IF(AND(ISNUMBER(P19),ISNUMBER(W19),P19&lt;N(W19)),"적합(강도 3회 평균 확인)",IF(ISNUMBER(P19),"적합","적합(28일 강도 대기)"))))</f>
        <v/>
      </c>
      <c r="R19" s="11" t="n"/>
      <c r="S19" s="23" t="inlineStr"/>
      <c r="T19" s="11" t="n"/>
      <c r="U19" s="23" t="inlineStr"/>
      <c r="W19" s="24">
        <f>IF(H19="","",IFERROR(VALUE(MID(SUBSTITUTE(H19," ",""),FIND("-",SUBSTITUTE(H19," ",""))+1,FIND("-",SUBSTITUTE(H19," ",""),FIND("-",SUBSTITUTE(H19," ",""))+1)-FIND("-",SUBSTITUTE(H19," ",""))-1)),""))</f>
        <v/>
      </c>
      <c r="X19" s="24">
        <f>IF(H19="","",IFERROR(VALUE(MID(SUBSTITUTE(H19," ",""),FIND("-",SUBSTITUTE(H19," ",""),FIND("-",SUBSTITUTE(H19," ",""))+1)+1,9)),""))</f>
        <v/>
      </c>
    </row>
    <row r="20" ht="24" customHeight="1">
      <c r="A20" s="11" t="n"/>
      <c r="B20" s="12" t="n"/>
      <c r="C20" s="13" t="n"/>
      <c r="D20" s="14" t="n"/>
      <c r="E20" s="14" t="n"/>
      <c r="F20" s="15">
        <f>IF(OR(D20="",E20=""),"",ROUND(E20-D20,3))</f>
        <v/>
      </c>
      <c r="G20" s="16">
        <f>IF(OR(A20="",E20=""),"",SUMIF(A8:A20,A20,E8:E20))</f>
        <v/>
      </c>
      <c r="H20" s="11" t="n"/>
      <c r="I20" s="17" t="n"/>
      <c r="J20" s="11" t="n"/>
      <c r="K20" s="17" t="n"/>
      <c r="L20" s="18" t="n"/>
      <c r="M20" s="19" t="n"/>
      <c r="N20" s="20" t="n"/>
      <c r="O20" s="21" t="n"/>
      <c r="P20" s="20" t="n"/>
      <c r="Q20" s="22">
        <f>IF(COUNT(M20,N20,O20,P20)=0,"",IF(OR(AND(ISNUMBER(M20),ISNUMBER(X20),ABS(M20-N(X20))&gt;IF(N(X20)&gt;=80,25,IF(N(X20)&gt;=50,15,10))),AND(ISNUMBER(N20),ABS(N20-L36)&gt;L37),AND(ISNUMBER(O20),O20&gt;L38),AND(ISNUMBER(P20),ISNUMBER(W20),P20&lt;N(W20)*IF(N(W20)&gt;35,L40,L39))),"부적합:"&amp;IF(AND(ISNUMBER(M20),ISNUMBER(X20),ABS(M20-N(X20))&gt;IF(N(X20)&gt;=80,25,IF(N(X20)&gt;=50,15,10)))," 슬럼프","")&amp;IF(AND(ISNUMBER(N20),ABS(N20-L36)&gt;L37)," 공기량","")&amp;IF(AND(ISNUMBER(O20),O20&gt;L38)," 염분","")&amp;IF(AND(ISNUMBER(P20),ISNUMBER(W20),P20&lt;N(W20)*IF(N(W20)&gt;35,L40,L39))," 강도",""),IF(AND(ISNUMBER(P20),ISNUMBER(W20),P20&lt;N(W20)),"적합(강도 3회 평균 확인)",IF(ISNUMBER(P20),"적합","적합(28일 강도 대기)"))))</f>
        <v/>
      </c>
      <c r="R20" s="11" t="n"/>
      <c r="S20" s="23" t="inlineStr"/>
      <c r="T20" s="11" t="n"/>
      <c r="U20" s="23" t="inlineStr"/>
      <c r="W20" s="24">
        <f>IF(H20="","",IFERROR(VALUE(MID(SUBSTITUTE(H20," ",""),FIND("-",SUBSTITUTE(H20," ",""))+1,FIND("-",SUBSTITUTE(H20," ",""),FIND("-",SUBSTITUTE(H20," ",""))+1)-FIND("-",SUBSTITUTE(H20," ",""))-1)),""))</f>
        <v/>
      </c>
      <c r="X20" s="24">
        <f>IF(H20="","",IFERROR(VALUE(MID(SUBSTITUTE(H20," ",""),FIND("-",SUBSTITUTE(H20," ",""),FIND("-",SUBSTITUTE(H20," ",""))+1)+1,9)),""))</f>
        <v/>
      </c>
    </row>
    <row r="21" ht="24" customHeight="1">
      <c r="A21" s="11" t="n"/>
      <c r="B21" s="12" t="n"/>
      <c r="C21" s="13" t="n"/>
      <c r="D21" s="14" t="n"/>
      <c r="E21" s="14" t="n"/>
      <c r="F21" s="15">
        <f>IF(OR(D21="",E21=""),"",ROUND(E21-D21,3))</f>
        <v/>
      </c>
      <c r="G21" s="16">
        <f>IF(OR(A21="",E21=""),"",SUMIF(A8:A21,A21,E8:E21))</f>
        <v/>
      </c>
      <c r="H21" s="11" t="n"/>
      <c r="I21" s="17" t="n"/>
      <c r="J21" s="11" t="n"/>
      <c r="K21" s="17" t="n"/>
      <c r="L21" s="18" t="n"/>
      <c r="M21" s="19" t="n"/>
      <c r="N21" s="20" t="n"/>
      <c r="O21" s="21" t="n"/>
      <c r="P21" s="20" t="n"/>
      <c r="Q21" s="22">
        <f>IF(COUNT(M21,N21,O21,P21)=0,"",IF(OR(AND(ISNUMBER(M21),ISNUMBER(X21),ABS(M21-N(X21))&gt;IF(N(X21)&gt;=80,25,IF(N(X21)&gt;=50,15,10))),AND(ISNUMBER(N21),ABS(N21-L36)&gt;L37),AND(ISNUMBER(O21),O21&gt;L38),AND(ISNUMBER(P21),ISNUMBER(W21),P21&lt;N(W21)*IF(N(W21)&gt;35,L40,L39))),"부적합:"&amp;IF(AND(ISNUMBER(M21),ISNUMBER(X21),ABS(M21-N(X21))&gt;IF(N(X21)&gt;=80,25,IF(N(X21)&gt;=50,15,10)))," 슬럼프","")&amp;IF(AND(ISNUMBER(N21),ABS(N21-L36)&gt;L37)," 공기량","")&amp;IF(AND(ISNUMBER(O21),O21&gt;L38)," 염분","")&amp;IF(AND(ISNUMBER(P21),ISNUMBER(W21),P21&lt;N(W21)*IF(N(W21)&gt;35,L40,L39))," 강도",""),IF(AND(ISNUMBER(P21),ISNUMBER(W21),P21&lt;N(W21)),"적합(강도 3회 평균 확인)",IF(ISNUMBER(P21),"적합","적합(28일 강도 대기)"))))</f>
        <v/>
      </c>
      <c r="R21" s="11" t="n"/>
      <c r="S21" s="23" t="inlineStr"/>
      <c r="T21" s="11" t="n"/>
      <c r="U21" s="23" t="inlineStr"/>
      <c r="W21" s="24">
        <f>IF(H21="","",IFERROR(VALUE(MID(SUBSTITUTE(H21," ",""),FIND("-",SUBSTITUTE(H21," ",""))+1,FIND("-",SUBSTITUTE(H21," ",""),FIND("-",SUBSTITUTE(H21," ",""))+1)-FIND("-",SUBSTITUTE(H21," ",""))-1)),""))</f>
        <v/>
      </c>
      <c r="X21" s="24">
        <f>IF(H21="","",IFERROR(VALUE(MID(SUBSTITUTE(H21," ",""),FIND("-",SUBSTITUTE(H21," ",""),FIND("-",SUBSTITUTE(H21," ",""))+1)+1,9)),""))</f>
        <v/>
      </c>
    </row>
    <row r="22" ht="24" customHeight="1">
      <c r="A22" s="11" t="n"/>
      <c r="B22" s="12" t="n"/>
      <c r="C22" s="13" t="n"/>
      <c r="D22" s="14" t="n"/>
      <c r="E22" s="14" t="n"/>
      <c r="F22" s="15">
        <f>IF(OR(D22="",E22=""),"",ROUND(E22-D22,3))</f>
        <v/>
      </c>
      <c r="G22" s="16">
        <f>IF(OR(A22="",E22=""),"",SUMIF(A8:A22,A22,E8:E22))</f>
        <v/>
      </c>
      <c r="H22" s="11" t="n"/>
      <c r="I22" s="17" t="n"/>
      <c r="J22" s="11" t="n"/>
      <c r="K22" s="17" t="n"/>
      <c r="L22" s="18" t="n"/>
      <c r="M22" s="19" t="n"/>
      <c r="N22" s="20" t="n"/>
      <c r="O22" s="21" t="n"/>
      <c r="P22" s="20" t="n"/>
      <c r="Q22" s="22">
        <f>IF(COUNT(M22,N22,O22,P22)=0,"",IF(OR(AND(ISNUMBER(M22),ISNUMBER(X22),ABS(M22-N(X22))&gt;IF(N(X22)&gt;=80,25,IF(N(X22)&gt;=50,15,10))),AND(ISNUMBER(N22),ABS(N22-L36)&gt;L37),AND(ISNUMBER(O22),O22&gt;L38),AND(ISNUMBER(P22),ISNUMBER(W22),P22&lt;N(W22)*IF(N(W22)&gt;35,L40,L39))),"부적합:"&amp;IF(AND(ISNUMBER(M22),ISNUMBER(X22),ABS(M22-N(X22))&gt;IF(N(X22)&gt;=80,25,IF(N(X22)&gt;=50,15,10)))," 슬럼프","")&amp;IF(AND(ISNUMBER(N22),ABS(N22-L36)&gt;L37)," 공기량","")&amp;IF(AND(ISNUMBER(O22),O22&gt;L38)," 염분","")&amp;IF(AND(ISNUMBER(P22),ISNUMBER(W22),P22&lt;N(W22)*IF(N(W22)&gt;35,L40,L39))," 강도",""),IF(AND(ISNUMBER(P22),ISNUMBER(W22),P22&lt;N(W22)),"적합(강도 3회 평균 확인)",IF(ISNUMBER(P22),"적합","적합(28일 강도 대기)"))))</f>
        <v/>
      </c>
      <c r="R22" s="11" t="n"/>
      <c r="S22" s="23" t="inlineStr"/>
      <c r="T22" s="11" t="n"/>
      <c r="U22" s="23" t="inlineStr"/>
      <c r="W22" s="24">
        <f>IF(H22="","",IFERROR(VALUE(MID(SUBSTITUTE(H22," ",""),FIND("-",SUBSTITUTE(H22," ",""))+1,FIND("-",SUBSTITUTE(H22," ",""),FIND("-",SUBSTITUTE(H22," ",""))+1)-FIND("-",SUBSTITUTE(H22," ",""))-1)),""))</f>
        <v/>
      </c>
      <c r="X22" s="24">
        <f>IF(H22="","",IFERROR(VALUE(MID(SUBSTITUTE(H22," ",""),FIND("-",SUBSTITUTE(H22," ",""),FIND("-",SUBSTITUTE(H22," ",""))+1)+1,9)),""))</f>
        <v/>
      </c>
    </row>
    <row r="23" ht="24" customHeight="1">
      <c r="A23" s="11" t="n"/>
      <c r="B23" s="12" t="n"/>
      <c r="C23" s="13" t="n"/>
      <c r="D23" s="14" t="n"/>
      <c r="E23" s="14" t="n"/>
      <c r="F23" s="15">
        <f>IF(OR(D23="",E23=""),"",ROUND(E23-D23,3))</f>
        <v/>
      </c>
      <c r="G23" s="16">
        <f>IF(OR(A23="",E23=""),"",SUMIF(A8:A23,A23,E8:E23))</f>
        <v/>
      </c>
      <c r="H23" s="11" t="n"/>
      <c r="I23" s="17" t="n"/>
      <c r="J23" s="11" t="n"/>
      <c r="K23" s="17" t="n"/>
      <c r="L23" s="18" t="n"/>
      <c r="M23" s="19" t="n"/>
      <c r="N23" s="20" t="n"/>
      <c r="O23" s="21" t="n"/>
      <c r="P23" s="20" t="n"/>
      <c r="Q23" s="22">
        <f>IF(COUNT(M23,N23,O23,P23)=0,"",IF(OR(AND(ISNUMBER(M23),ISNUMBER(X23),ABS(M23-N(X23))&gt;IF(N(X23)&gt;=80,25,IF(N(X23)&gt;=50,15,10))),AND(ISNUMBER(N23),ABS(N23-L36)&gt;L37),AND(ISNUMBER(O23),O23&gt;L38),AND(ISNUMBER(P23),ISNUMBER(W23),P23&lt;N(W23)*IF(N(W23)&gt;35,L40,L39))),"부적합:"&amp;IF(AND(ISNUMBER(M23),ISNUMBER(X23),ABS(M23-N(X23))&gt;IF(N(X23)&gt;=80,25,IF(N(X23)&gt;=50,15,10)))," 슬럼프","")&amp;IF(AND(ISNUMBER(N23),ABS(N23-L36)&gt;L37)," 공기량","")&amp;IF(AND(ISNUMBER(O23),O23&gt;L38)," 염분","")&amp;IF(AND(ISNUMBER(P23),ISNUMBER(W23),P23&lt;N(W23)*IF(N(W23)&gt;35,L40,L39))," 강도",""),IF(AND(ISNUMBER(P23),ISNUMBER(W23),P23&lt;N(W23)),"적합(강도 3회 평균 확인)",IF(ISNUMBER(P23),"적합","적합(28일 강도 대기)"))))</f>
        <v/>
      </c>
      <c r="R23" s="11" t="n"/>
      <c r="S23" s="23" t="inlineStr"/>
      <c r="T23" s="11" t="n"/>
      <c r="U23" s="23" t="inlineStr"/>
      <c r="W23" s="24">
        <f>IF(H23="","",IFERROR(VALUE(MID(SUBSTITUTE(H23," ",""),FIND("-",SUBSTITUTE(H23," ",""))+1,FIND("-",SUBSTITUTE(H23," ",""),FIND("-",SUBSTITUTE(H23," ",""))+1)-FIND("-",SUBSTITUTE(H23," ",""))-1)),""))</f>
        <v/>
      </c>
      <c r="X23" s="24">
        <f>IF(H23="","",IFERROR(VALUE(MID(SUBSTITUTE(H23," ",""),FIND("-",SUBSTITUTE(H23," ",""),FIND("-",SUBSTITUTE(H23," ",""))+1)+1,9)),""))</f>
        <v/>
      </c>
    </row>
    <row r="24" ht="24" customHeight="1">
      <c r="A24" s="11" t="n"/>
      <c r="B24" s="12" t="n"/>
      <c r="C24" s="13" t="n"/>
      <c r="D24" s="14" t="n"/>
      <c r="E24" s="14" t="n"/>
      <c r="F24" s="15">
        <f>IF(OR(D24="",E24=""),"",ROUND(E24-D24,3))</f>
        <v/>
      </c>
      <c r="G24" s="16">
        <f>IF(OR(A24="",E24=""),"",SUMIF(A8:A24,A24,E8:E24))</f>
        <v/>
      </c>
      <c r="H24" s="11" t="n"/>
      <c r="I24" s="17" t="n"/>
      <c r="J24" s="11" t="n"/>
      <c r="K24" s="17" t="n"/>
      <c r="L24" s="18" t="n"/>
      <c r="M24" s="19" t="n"/>
      <c r="N24" s="20" t="n"/>
      <c r="O24" s="21" t="n"/>
      <c r="P24" s="20" t="n"/>
      <c r="Q24" s="22">
        <f>IF(COUNT(M24,N24,O24,P24)=0,"",IF(OR(AND(ISNUMBER(M24),ISNUMBER(X24),ABS(M24-N(X24))&gt;IF(N(X24)&gt;=80,25,IF(N(X24)&gt;=50,15,10))),AND(ISNUMBER(N24),ABS(N24-L36)&gt;L37),AND(ISNUMBER(O24),O24&gt;L38),AND(ISNUMBER(P24),ISNUMBER(W24),P24&lt;N(W24)*IF(N(W24)&gt;35,L40,L39))),"부적합:"&amp;IF(AND(ISNUMBER(M24),ISNUMBER(X24),ABS(M24-N(X24))&gt;IF(N(X24)&gt;=80,25,IF(N(X24)&gt;=50,15,10)))," 슬럼프","")&amp;IF(AND(ISNUMBER(N24),ABS(N24-L36)&gt;L37)," 공기량","")&amp;IF(AND(ISNUMBER(O24),O24&gt;L38)," 염분","")&amp;IF(AND(ISNUMBER(P24),ISNUMBER(W24),P24&lt;N(W24)*IF(N(W24)&gt;35,L40,L39))," 강도",""),IF(AND(ISNUMBER(P24),ISNUMBER(W24),P24&lt;N(W24)),"적합(강도 3회 평균 확인)",IF(ISNUMBER(P24),"적합","적합(28일 강도 대기)"))))</f>
        <v/>
      </c>
      <c r="R24" s="11" t="n"/>
      <c r="S24" s="23" t="inlineStr"/>
      <c r="T24" s="11" t="n"/>
      <c r="U24" s="23" t="inlineStr"/>
      <c r="W24" s="24">
        <f>IF(H24="","",IFERROR(VALUE(MID(SUBSTITUTE(H24," ",""),FIND("-",SUBSTITUTE(H24," ",""))+1,FIND("-",SUBSTITUTE(H24," ",""),FIND("-",SUBSTITUTE(H24," ",""))+1)-FIND("-",SUBSTITUTE(H24," ",""))-1)),""))</f>
        <v/>
      </c>
      <c r="X24" s="24">
        <f>IF(H24="","",IFERROR(VALUE(MID(SUBSTITUTE(H24," ",""),FIND("-",SUBSTITUTE(H24," ",""),FIND("-",SUBSTITUTE(H24," ",""))+1)+1,9)),""))</f>
        <v/>
      </c>
    </row>
    <row r="25" ht="24" customHeight="1">
      <c r="A25" s="11" t="n"/>
      <c r="B25" s="12" t="n"/>
      <c r="C25" s="13" t="n"/>
      <c r="D25" s="14" t="n"/>
      <c r="E25" s="14" t="n"/>
      <c r="F25" s="15">
        <f>IF(OR(D25="",E25=""),"",ROUND(E25-D25,3))</f>
        <v/>
      </c>
      <c r="G25" s="16">
        <f>IF(OR(A25="",E25=""),"",SUMIF(A8:A25,A25,E8:E25))</f>
        <v/>
      </c>
      <c r="H25" s="11" t="n"/>
      <c r="I25" s="17" t="n"/>
      <c r="J25" s="11" t="n"/>
      <c r="K25" s="17" t="n"/>
      <c r="L25" s="18" t="n"/>
      <c r="M25" s="19" t="n"/>
      <c r="N25" s="20" t="n"/>
      <c r="O25" s="21" t="n"/>
      <c r="P25" s="20" t="n"/>
      <c r="Q25" s="22">
        <f>IF(COUNT(M25,N25,O25,P25)=0,"",IF(OR(AND(ISNUMBER(M25),ISNUMBER(X25),ABS(M25-N(X25))&gt;IF(N(X25)&gt;=80,25,IF(N(X25)&gt;=50,15,10))),AND(ISNUMBER(N25),ABS(N25-L36)&gt;L37),AND(ISNUMBER(O25),O25&gt;L38),AND(ISNUMBER(P25),ISNUMBER(W25),P25&lt;N(W25)*IF(N(W25)&gt;35,L40,L39))),"부적합:"&amp;IF(AND(ISNUMBER(M25),ISNUMBER(X25),ABS(M25-N(X25))&gt;IF(N(X25)&gt;=80,25,IF(N(X25)&gt;=50,15,10)))," 슬럼프","")&amp;IF(AND(ISNUMBER(N25),ABS(N25-L36)&gt;L37)," 공기량","")&amp;IF(AND(ISNUMBER(O25),O25&gt;L38)," 염분","")&amp;IF(AND(ISNUMBER(P25),ISNUMBER(W25),P25&lt;N(W25)*IF(N(W25)&gt;35,L40,L39))," 강도",""),IF(AND(ISNUMBER(P25),ISNUMBER(W25),P25&lt;N(W25)),"적합(강도 3회 평균 확인)",IF(ISNUMBER(P25),"적합","적합(28일 강도 대기)"))))</f>
        <v/>
      </c>
      <c r="R25" s="11" t="n"/>
      <c r="S25" s="23" t="inlineStr"/>
      <c r="T25" s="11" t="n"/>
      <c r="U25" s="23" t="inlineStr"/>
      <c r="W25" s="24">
        <f>IF(H25="","",IFERROR(VALUE(MID(SUBSTITUTE(H25," ",""),FIND("-",SUBSTITUTE(H25," ",""))+1,FIND("-",SUBSTITUTE(H25," ",""),FIND("-",SUBSTITUTE(H25," ",""))+1)-FIND("-",SUBSTITUTE(H25," ",""))-1)),""))</f>
        <v/>
      </c>
      <c r="X25" s="24">
        <f>IF(H25="","",IFERROR(VALUE(MID(SUBSTITUTE(H25," ",""),FIND("-",SUBSTITUTE(H25," ",""),FIND("-",SUBSTITUTE(H25," ",""))+1)+1,9)),""))</f>
        <v/>
      </c>
    </row>
    <row r="26" ht="24" customHeight="1">
      <c r="A26" s="11" t="n"/>
      <c r="B26" s="12" t="n"/>
      <c r="C26" s="13" t="n"/>
      <c r="D26" s="14" t="n"/>
      <c r="E26" s="14" t="n"/>
      <c r="F26" s="15">
        <f>IF(OR(D26="",E26=""),"",ROUND(E26-D26,3))</f>
        <v/>
      </c>
      <c r="G26" s="16">
        <f>IF(OR(A26="",E26=""),"",SUMIF(A8:A26,A26,E8:E26))</f>
        <v/>
      </c>
      <c r="H26" s="11" t="n"/>
      <c r="I26" s="17" t="n"/>
      <c r="J26" s="11" t="n"/>
      <c r="K26" s="17" t="n"/>
      <c r="L26" s="18" t="n"/>
      <c r="M26" s="19" t="n"/>
      <c r="N26" s="20" t="n"/>
      <c r="O26" s="21" t="n"/>
      <c r="P26" s="20" t="n"/>
      <c r="Q26" s="22">
        <f>IF(COUNT(M26,N26,O26,P26)=0,"",IF(OR(AND(ISNUMBER(M26),ISNUMBER(X26),ABS(M26-N(X26))&gt;IF(N(X26)&gt;=80,25,IF(N(X26)&gt;=50,15,10))),AND(ISNUMBER(N26),ABS(N26-L36)&gt;L37),AND(ISNUMBER(O26),O26&gt;L38),AND(ISNUMBER(P26),ISNUMBER(W26),P26&lt;N(W26)*IF(N(W26)&gt;35,L40,L39))),"부적합:"&amp;IF(AND(ISNUMBER(M26),ISNUMBER(X26),ABS(M26-N(X26))&gt;IF(N(X26)&gt;=80,25,IF(N(X26)&gt;=50,15,10)))," 슬럼프","")&amp;IF(AND(ISNUMBER(N26),ABS(N26-L36)&gt;L37)," 공기량","")&amp;IF(AND(ISNUMBER(O26),O26&gt;L38)," 염분","")&amp;IF(AND(ISNUMBER(P26),ISNUMBER(W26),P26&lt;N(W26)*IF(N(W26)&gt;35,L40,L39))," 강도",""),IF(AND(ISNUMBER(P26),ISNUMBER(W26),P26&lt;N(W26)),"적합(강도 3회 평균 확인)",IF(ISNUMBER(P26),"적합","적합(28일 강도 대기)"))))</f>
        <v/>
      </c>
      <c r="R26" s="11" t="n"/>
      <c r="S26" s="23" t="inlineStr"/>
      <c r="T26" s="11" t="n"/>
      <c r="U26" s="23" t="inlineStr"/>
      <c r="W26" s="24">
        <f>IF(H26="","",IFERROR(VALUE(MID(SUBSTITUTE(H26," ",""),FIND("-",SUBSTITUTE(H26," ",""))+1,FIND("-",SUBSTITUTE(H26," ",""),FIND("-",SUBSTITUTE(H26," ",""))+1)-FIND("-",SUBSTITUTE(H26," ",""))-1)),""))</f>
        <v/>
      </c>
      <c r="X26" s="24">
        <f>IF(H26="","",IFERROR(VALUE(MID(SUBSTITUTE(H26," ",""),FIND("-",SUBSTITUTE(H26," ",""),FIND("-",SUBSTITUTE(H26," ",""))+1)+1,9)),""))</f>
        <v/>
      </c>
    </row>
    <row r="27" ht="24" customHeight="1">
      <c r="A27" s="11" t="n"/>
      <c r="B27" s="12" t="n"/>
      <c r="C27" s="13" t="n"/>
      <c r="D27" s="14" t="n"/>
      <c r="E27" s="14" t="n"/>
      <c r="F27" s="15">
        <f>IF(OR(D27="",E27=""),"",ROUND(E27-D27,3))</f>
        <v/>
      </c>
      <c r="G27" s="16">
        <f>IF(OR(A27="",E27=""),"",SUMIF(A8:A27,A27,E8:E27))</f>
        <v/>
      </c>
      <c r="H27" s="11" t="n"/>
      <c r="I27" s="17" t="n"/>
      <c r="J27" s="11" t="n"/>
      <c r="K27" s="17" t="n"/>
      <c r="L27" s="18" t="n"/>
      <c r="M27" s="19" t="n"/>
      <c r="N27" s="20" t="n"/>
      <c r="O27" s="21" t="n"/>
      <c r="P27" s="20" t="n"/>
      <c r="Q27" s="22">
        <f>IF(COUNT(M27,N27,O27,P27)=0,"",IF(OR(AND(ISNUMBER(M27),ISNUMBER(X27),ABS(M27-N(X27))&gt;IF(N(X27)&gt;=80,25,IF(N(X27)&gt;=50,15,10))),AND(ISNUMBER(N27),ABS(N27-L36)&gt;L37),AND(ISNUMBER(O27),O27&gt;L38),AND(ISNUMBER(P27),ISNUMBER(W27),P27&lt;N(W27)*IF(N(W27)&gt;35,L40,L39))),"부적합:"&amp;IF(AND(ISNUMBER(M27),ISNUMBER(X27),ABS(M27-N(X27))&gt;IF(N(X27)&gt;=80,25,IF(N(X27)&gt;=50,15,10)))," 슬럼프","")&amp;IF(AND(ISNUMBER(N27),ABS(N27-L36)&gt;L37)," 공기량","")&amp;IF(AND(ISNUMBER(O27),O27&gt;L38)," 염분","")&amp;IF(AND(ISNUMBER(P27),ISNUMBER(W27),P27&lt;N(W27)*IF(N(W27)&gt;35,L40,L39))," 강도",""),IF(AND(ISNUMBER(P27),ISNUMBER(W27),P27&lt;N(W27)),"적합(강도 3회 평균 확인)",IF(ISNUMBER(P27),"적합","적합(28일 강도 대기)"))))</f>
        <v/>
      </c>
      <c r="R27" s="11" t="n"/>
      <c r="S27" s="23" t="inlineStr"/>
      <c r="T27" s="11" t="n"/>
      <c r="U27" s="23" t="inlineStr"/>
      <c r="W27" s="24">
        <f>IF(H27="","",IFERROR(VALUE(MID(SUBSTITUTE(H27," ",""),FIND("-",SUBSTITUTE(H27," ",""))+1,FIND("-",SUBSTITUTE(H27," ",""),FIND("-",SUBSTITUTE(H27," ",""))+1)-FIND("-",SUBSTITUTE(H27," ",""))-1)),""))</f>
        <v/>
      </c>
      <c r="X27" s="24">
        <f>IF(H27="","",IFERROR(VALUE(MID(SUBSTITUTE(H27," ",""),FIND("-",SUBSTITUTE(H27," ",""),FIND("-",SUBSTITUTE(H27," ",""))+1)+1,9)),""))</f>
        <v/>
      </c>
    </row>
    <row r="28" ht="24" customHeight="1">
      <c r="A28" s="11" t="n"/>
      <c r="B28" s="12" t="n"/>
      <c r="C28" s="13" t="n"/>
      <c r="D28" s="14" t="n"/>
      <c r="E28" s="14" t="n"/>
      <c r="F28" s="15">
        <f>IF(OR(D28="",E28=""),"",ROUND(E28-D28,3))</f>
        <v/>
      </c>
      <c r="G28" s="16">
        <f>IF(OR(A28="",E28=""),"",SUMIF(A8:A28,A28,E8:E28))</f>
        <v/>
      </c>
      <c r="H28" s="11" t="n"/>
      <c r="I28" s="17" t="n"/>
      <c r="J28" s="11" t="n"/>
      <c r="K28" s="17" t="n"/>
      <c r="L28" s="18" t="n"/>
      <c r="M28" s="19" t="n"/>
      <c r="N28" s="20" t="n"/>
      <c r="O28" s="21" t="n"/>
      <c r="P28" s="20" t="n"/>
      <c r="Q28" s="22">
        <f>IF(COUNT(M28,N28,O28,P28)=0,"",IF(OR(AND(ISNUMBER(M28),ISNUMBER(X28),ABS(M28-N(X28))&gt;IF(N(X28)&gt;=80,25,IF(N(X28)&gt;=50,15,10))),AND(ISNUMBER(N28),ABS(N28-L36)&gt;L37),AND(ISNUMBER(O28),O28&gt;L38),AND(ISNUMBER(P28),ISNUMBER(W28),P28&lt;N(W28)*IF(N(W28)&gt;35,L40,L39))),"부적합:"&amp;IF(AND(ISNUMBER(M28),ISNUMBER(X28),ABS(M28-N(X28))&gt;IF(N(X28)&gt;=80,25,IF(N(X28)&gt;=50,15,10)))," 슬럼프","")&amp;IF(AND(ISNUMBER(N28),ABS(N28-L36)&gt;L37)," 공기량","")&amp;IF(AND(ISNUMBER(O28),O28&gt;L38)," 염분","")&amp;IF(AND(ISNUMBER(P28),ISNUMBER(W28),P28&lt;N(W28)*IF(N(W28)&gt;35,L40,L39))," 강도",""),IF(AND(ISNUMBER(P28),ISNUMBER(W28),P28&lt;N(W28)),"적합(강도 3회 평균 확인)",IF(ISNUMBER(P28),"적합","적합(28일 강도 대기)"))))</f>
        <v/>
      </c>
      <c r="R28" s="11" t="n"/>
      <c r="S28" s="23" t="inlineStr"/>
      <c r="T28" s="11" t="n"/>
      <c r="U28" s="23" t="inlineStr"/>
      <c r="W28" s="24">
        <f>IF(H28="","",IFERROR(VALUE(MID(SUBSTITUTE(H28," ",""),FIND("-",SUBSTITUTE(H28," ",""))+1,FIND("-",SUBSTITUTE(H28," ",""),FIND("-",SUBSTITUTE(H28," ",""))+1)-FIND("-",SUBSTITUTE(H28," ",""))-1)),""))</f>
        <v/>
      </c>
      <c r="X28" s="24">
        <f>IF(H28="","",IFERROR(VALUE(MID(SUBSTITUTE(H28," ",""),FIND("-",SUBSTITUTE(H28," ",""),FIND("-",SUBSTITUTE(H28," ",""))+1)+1,9)),""))</f>
        <v/>
      </c>
    </row>
    <row r="29" ht="24" customHeight="1">
      <c r="A29" s="11" t="n"/>
      <c r="B29" s="12" t="n"/>
      <c r="C29" s="13" t="n"/>
      <c r="D29" s="14" t="n"/>
      <c r="E29" s="14" t="n"/>
      <c r="F29" s="15">
        <f>IF(OR(D29="",E29=""),"",ROUND(E29-D29,3))</f>
        <v/>
      </c>
      <c r="G29" s="16">
        <f>IF(OR(A29="",E29=""),"",SUMIF(A8:A29,A29,E8:E29))</f>
        <v/>
      </c>
      <c r="H29" s="11" t="n"/>
      <c r="I29" s="17" t="n"/>
      <c r="J29" s="11" t="n"/>
      <c r="K29" s="17" t="n"/>
      <c r="L29" s="18" t="n"/>
      <c r="M29" s="19" t="n"/>
      <c r="N29" s="20" t="n"/>
      <c r="O29" s="21" t="n"/>
      <c r="P29" s="20" t="n"/>
      <c r="Q29" s="22">
        <f>IF(COUNT(M29,N29,O29,P29)=0,"",IF(OR(AND(ISNUMBER(M29),ISNUMBER(X29),ABS(M29-N(X29))&gt;IF(N(X29)&gt;=80,25,IF(N(X29)&gt;=50,15,10))),AND(ISNUMBER(N29),ABS(N29-L36)&gt;L37),AND(ISNUMBER(O29),O29&gt;L38),AND(ISNUMBER(P29),ISNUMBER(W29),P29&lt;N(W29)*IF(N(W29)&gt;35,L40,L39))),"부적합:"&amp;IF(AND(ISNUMBER(M29),ISNUMBER(X29),ABS(M29-N(X29))&gt;IF(N(X29)&gt;=80,25,IF(N(X29)&gt;=50,15,10)))," 슬럼프","")&amp;IF(AND(ISNUMBER(N29),ABS(N29-L36)&gt;L37)," 공기량","")&amp;IF(AND(ISNUMBER(O29),O29&gt;L38)," 염분","")&amp;IF(AND(ISNUMBER(P29),ISNUMBER(W29),P29&lt;N(W29)*IF(N(W29)&gt;35,L40,L39))," 강도",""),IF(AND(ISNUMBER(P29),ISNUMBER(W29),P29&lt;N(W29)),"적합(강도 3회 평균 확인)",IF(ISNUMBER(P29),"적합","적합(28일 강도 대기)"))))</f>
        <v/>
      </c>
      <c r="R29" s="11" t="n"/>
      <c r="S29" s="23" t="inlineStr"/>
      <c r="T29" s="11" t="n"/>
      <c r="U29" s="23" t="inlineStr"/>
      <c r="W29" s="24">
        <f>IF(H29="","",IFERROR(VALUE(MID(SUBSTITUTE(H29," ",""),FIND("-",SUBSTITUTE(H29," ",""))+1,FIND("-",SUBSTITUTE(H29," ",""),FIND("-",SUBSTITUTE(H29," ",""))+1)-FIND("-",SUBSTITUTE(H29," ",""))-1)),""))</f>
        <v/>
      </c>
      <c r="X29" s="24">
        <f>IF(H29="","",IFERROR(VALUE(MID(SUBSTITUTE(H29," ",""),FIND("-",SUBSTITUTE(H29," ",""),FIND("-",SUBSTITUTE(H29," ",""))+1)+1,9)),""))</f>
        <v/>
      </c>
    </row>
    <row r="30" ht="24" customHeight="1">
      <c r="A30" s="11" t="n"/>
      <c r="B30" s="12" t="n"/>
      <c r="C30" s="13" t="n"/>
      <c r="D30" s="14" t="n"/>
      <c r="E30" s="14" t="n"/>
      <c r="F30" s="15">
        <f>IF(OR(D30="",E30=""),"",ROUND(E30-D30,3))</f>
        <v/>
      </c>
      <c r="G30" s="16">
        <f>IF(OR(A30="",E30=""),"",SUMIF(A8:A30,A30,E8:E30))</f>
        <v/>
      </c>
      <c r="H30" s="11" t="n"/>
      <c r="I30" s="17" t="n"/>
      <c r="J30" s="11" t="n"/>
      <c r="K30" s="17" t="n"/>
      <c r="L30" s="18" t="n"/>
      <c r="M30" s="19" t="n"/>
      <c r="N30" s="20" t="n"/>
      <c r="O30" s="21" t="n"/>
      <c r="P30" s="20" t="n"/>
      <c r="Q30" s="22">
        <f>IF(COUNT(M30,N30,O30,P30)=0,"",IF(OR(AND(ISNUMBER(M30),ISNUMBER(X30),ABS(M30-N(X30))&gt;IF(N(X30)&gt;=80,25,IF(N(X30)&gt;=50,15,10))),AND(ISNUMBER(N30),ABS(N30-L36)&gt;L37),AND(ISNUMBER(O30),O30&gt;L38),AND(ISNUMBER(P30),ISNUMBER(W30),P30&lt;N(W30)*IF(N(W30)&gt;35,L40,L39))),"부적합:"&amp;IF(AND(ISNUMBER(M30),ISNUMBER(X30),ABS(M30-N(X30))&gt;IF(N(X30)&gt;=80,25,IF(N(X30)&gt;=50,15,10)))," 슬럼프","")&amp;IF(AND(ISNUMBER(N30),ABS(N30-L36)&gt;L37)," 공기량","")&amp;IF(AND(ISNUMBER(O30),O30&gt;L38)," 염분","")&amp;IF(AND(ISNUMBER(P30),ISNUMBER(W30),P30&lt;N(W30)*IF(N(W30)&gt;35,L40,L39))," 강도",""),IF(AND(ISNUMBER(P30),ISNUMBER(W30),P30&lt;N(W30)),"적합(강도 3회 평균 확인)",IF(ISNUMBER(P30),"적합","적합(28일 강도 대기)"))))</f>
        <v/>
      </c>
      <c r="R30" s="11" t="n"/>
      <c r="S30" s="23" t="inlineStr"/>
      <c r="T30" s="11" t="n"/>
      <c r="U30" s="23" t="inlineStr"/>
      <c r="W30" s="24">
        <f>IF(H30="","",IFERROR(VALUE(MID(SUBSTITUTE(H30," ",""),FIND("-",SUBSTITUTE(H30," ",""))+1,FIND("-",SUBSTITUTE(H30," ",""),FIND("-",SUBSTITUTE(H30," ",""))+1)-FIND("-",SUBSTITUTE(H30," ",""))-1)),""))</f>
        <v/>
      </c>
      <c r="X30" s="24">
        <f>IF(H30="","",IFERROR(VALUE(MID(SUBSTITUTE(H30," ",""),FIND("-",SUBSTITUTE(H30," ",""),FIND("-",SUBSTITUTE(H30," ",""))+1)+1,9)),""))</f>
        <v/>
      </c>
    </row>
    <row r="31" ht="24" customHeight="1">
      <c r="A31" s="11" t="n"/>
      <c r="B31" s="12" t="n"/>
      <c r="C31" s="13" t="n"/>
      <c r="D31" s="14" t="n"/>
      <c r="E31" s="14" t="n"/>
      <c r="F31" s="15">
        <f>IF(OR(D31="",E31=""),"",ROUND(E31-D31,3))</f>
        <v/>
      </c>
      <c r="G31" s="16">
        <f>IF(OR(A31="",E31=""),"",SUMIF(A8:A31,A31,E8:E31))</f>
        <v/>
      </c>
      <c r="H31" s="11" t="n"/>
      <c r="I31" s="17" t="n"/>
      <c r="J31" s="11" t="n"/>
      <c r="K31" s="17" t="n"/>
      <c r="L31" s="18" t="n"/>
      <c r="M31" s="19" t="n"/>
      <c r="N31" s="20" t="n"/>
      <c r="O31" s="21" t="n"/>
      <c r="P31" s="20" t="n"/>
      <c r="Q31" s="22">
        <f>IF(COUNT(M31,N31,O31,P31)=0,"",IF(OR(AND(ISNUMBER(M31),ISNUMBER(X31),ABS(M31-N(X31))&gt;IF(N(X31)&gt;=80,25,IF(N(X31)&gt;=50,15,10))),AND(ISNUMBER(N31),ABS(N31-L36)&gt;L37),AND(ISNUMBER(O31),O31&gt;L38),AND(ISNUMBER(P31),ISNUMBER(W31),P31&lt;N(W31)*IF(N(W31)&gt;35,L40,L39))),"부적합:"&amp;IF(AND(ISNUMBER(M31),ISNUMBER(X31),ABS(M31-N(X31))&gt;IF(N(X31)&gt;=80,25,IF(N(X31)&gt;=50,15,10)))," 슬럼프","")&amp;IF(AND(ISNUMBER(N31),ABS(N31-L36)&gt;L37)," 공기량","")&amp;IF(AND(ISNUMBER(O31),O31&gt;L38)," 염분","")&amp;IF(AND(ISNUMBER(P31),ISNUMBER(W31),P31&lt;N(W31)*IF(N(W31)&gt;35,L40,L39))," 강도",""),IF(AND(ISNUMBER(P31),ISNUMBER(W31),P31&lt;N(W31)),"적합(강도 3회 평균 확인)",IF(ISNUMBER(P31),"적합","적합(28일 강도 대기)"))))</f>
        <v/>
      </c>
      <c r="R31" s="11" t="n"/>
      <c r="S31" s="23" t="inlineStr"/>
      <c r="T31" s="11" t="n"/>
      <c r="U31" s="23" t="inlineStr"/>
      <c r="W31" s="24">
        <f>IF(H31="","",IFERROR(VALUE(MID(SUBSTITUTE(H31," ",""),FIND("-",SUBSTITUTE(H31," ",""))+1,FIND("-",SUBSTITUTE(H31," ",""),FIND("-",SUBSTITUTE(H31," ",""))+1)-FIND("-",SUBSTITUTE(H31," ",""))-1)),""))</f>
        <v/>
      </c>
      <c r="X31" s="24">
        <f>IF(H31="","",IFERROR(VALUE(MID(SUBSTITUTE(H31," ",""),FIND("-",SUBSTITUTE(H31," ",""),FIND("-",SUBSTITUTE(H31," ",""))+1)+1,9)),""))</f>
        <v/>
      </c>
    </row>
    <row r="32" ht="24" customHeight="1">
      <c r="A32" s="11" t="n"/>
      <c r="B32" s="12" t="n"/>
      <c r="C32" s="13" t="n"/>
      <c r="D32" s="14" t="n"/>
      <c r="E32" s="14" t="n"/>
      <c r="F32" s="15">
        <f>IF(OR(D32="",E32=""),"",ROUND(E32-D32,3))</f>
        <v/>
      </c>
      <c r="G32" s="16">
        <f>IF(OR(A32="",E32=""),"",SUMIF(A8:A32,A32,E8:E32))</f>
        <v/>
      </c>
      <c r="H32" s="11" t="n"/>
      <c r="I32" s="17" t="n"/>
      <c r="J32" s="11" t="n"/>
      <c r="K32" s="17" t="n"/>
      <c r="L32" s="18" t="n"/>
      <c r="M32" s="19" t="n"/>
      <c r="N32" s="20" t="n"/>
      <c r="O32" s="21" t="n"/>
      <c r="P32" s="20" t="n"/>
      <c r="Q32" s="22">
        <f>IF(COUNT(M32,N32,O32,P32)=0,"",IF(OR(AND(ISNUMBER(M32),ISNUMBER(X32),ABS(M32-N(X32))&gt;IF(N(X32)&gt;=80,25,IF(N(X32)&gt;=50,15,10))),AND(ISNUMBER(N32),ABS(N32-L36)&gt;L37),AND(ISNUMBER(O32),O32&gt;L38),AND(ISNUMBER(P32),ISNUMBER(W32),P32&lt;N(W32)*IF(N(W32)&gt;35,L40,L39))),"부적합:"&amp;IF(AND(ISNUMBER(M32),ISNUMBER(X32),ABS(M32-N(X32))&gt;IF(N(X32)&gt;=80,25,IF(N(X32)&gt;=50,15,10)))," 슬럼프","")&amp;IF(AND(ISNUMBER(N32),ABS(N32-L36)&gt;L37)," 공기량","")&amp;IF(AND(ISNUMBER(O32),O32&gt;L38)," 염분","")&amp;IF(AND(ISNUMBER(P32),ISNUMBER(W32),P32&lt;N(W32)*IF(N(W32)&gt;35,L40,L39))," 강도",""),IF(AND(ISNUMBER(P32),ISNUMBER(W32),P32&lt;N(W32)),"적합(강도 3회 평균 확인)",IF(ISNUMBER(P32),"적합","적합(28일 강도 대기)"))))</f>
        <v/>
      </c>
      <c r="R32" s="11" t="n"/>
      <c r="S32" s="23" t="inlineStr"/>
      <c r="T32" s="11" t="n"/>
      <c r="U32" s="23" t="inlineStr"/>
      <c r="W32" s="24">
        <f>IF(H32="","",IFERROR(VALUE(MID(SUBSTITUTE(H32," ",""),FIND("-",SUBSTITUTE(H32," ",""))+1,FIND("-",SUBSTITUTE(H32," ",""),FIND("-",SUBSTITUTE(H32," ",""))+1)-FIND("-",SUBSTITUTE(H32," ",""))-1)),""))</f>
        <v/>
      </c>
      <c r="X32" s="24">
        <f>IF(H32="","",IFERROR(VALUE(MID(SUBSTITUTE(H32," ",""),FIND("-",SUBSTITUTE(H32," ",""),FIND("-",SUBSTITUTE(H32," ",""))+1)+1,9)),""))</f>
        <v/>
      </c>
    </row>
    <row r="33" ht="24" customHeight="1">
      <c r="A33" s="25" t="inlineStr">
        <is>
          <t>합        계</t>
        </is>
      </c>
      <c r="B33" s="9" t="n"/>
      <c r="C33" s="9" t="n"/>
      <c r="D33" s="26">
        <f>IF(COUNT(D8:D32)=0,"",SUM(D8:D32))</f>
        <v/>
      </c>
      <c r="E33" s="26">
        <f>IF(COUNT(E8:E32)=0,"",SUM(E8:E32))</f>
        <v/>
      </c>
      <c r="F33" s="27">
        <f>IF(OR(D33="",E33=""),"",ROUND(E33-D33,3))</f>
        <v/>
      </c>
      <c r="G33" s="25" t="inlineStr"/>
      <c r="H33" s="9" t="n"/>
      <c r="I33" s="9" t="n"/>
      <c r="J33" s="9" t="n"/>
      <c r="K33" s="9" t="n"/>
      <c r="L33" s="9" t="n"/>
      <c r="M33" s="28">
        <f>IF(COUNTIF(Q8:Q32,"적합*")+COUNTIF(Q8:Q32,"부적합*")=0,"","시험 "&amp;(COUNTIF(Q8:Q32,"적합*")+COUNTIF(Q8:Q32,"부적합*"))&amp;"건 · 부적합 "&amp;COUNTIF(Q8:Q32,"부적합*")&amp;"건")</f>
        <v/>
      </c>
      <c r="N33" s="9" t="n"/>
      <c r="O33" s="9" t="n"/>
      <c r="P33" s="9" t="n"/>
      <c r="Q33" s="25" t="inlineStr"/>
      <c r="R33" s="25" t="inlineStr"/>
      <c r="S33" s="9" t="n"/>
      <c r="T33" s="9" t="n"/>
      <c r="U33" s="9" t="n"/>
    </row>
    <row r="34" ht="6" customHeight="1"/>
    <row r="35" ht="20" customHeight="1">
      <c r="A35" s="29" t="inlineStr">
        <is>
          <t>배합별 합계</t>
        </is>
      </c>
      <c r="B35" s="9" t="n"/>
      <c r="C35" s="9" t="n"/>
      <c r="D35" s="8" t="inlineStr">
        <is>
          <t>설계량</t>
        </is>
      </c>
      <c r="E35" s="8" t="inlineStr">
        <is>
          <t>타설량</t>
        </is>
      </c>
      <c r="F35" s="8" t="inlineStr">
        <is>
          <t>증감</t>
        </is>
      </c>
      <c r="G35" s="7" t="inlineStr"/>
      <c r="H35" s="30" t="inlineStr">
        <is>
          <t>판정 기준값 (KS F 4009 — 발주처 기준이 다르면 고치세요)</t>
        </is>
      </c>
      <c r="I35" s="9" t="n"/>
      <c r="J35" s="9" t="n"/>
      <c r="K35" s="9" t="n"/>
      <c r="L35" s="9" t="n"/>
      <c r="M35" s="7" t="inlineStr"/>
      <c r="O35" s="7" t="inlineStr"/>
    </row>
    <row r="36" ht="20" customHeight="1">
      <c r="A36" s="11" t="n"/>
      <c r="B36" s="9" t="n"/>
      <c r="C36" s="9" t="n"/>
      <c r="D36" s="16">
        <f>IF(A36="","",SUMIF(H8:H32,A36,D8:D32))</f>
        <v/>
      </c>
      <c r="E36" s="16">
        <f>IF(A36="","",SUMIF(H8:H32,A36,E8:E32))</f>
        <v/>
      </c>
      <c r="F36" s="15">
        <f>IF(A36="","",ROUND(E36-D36,3))</f>
        <v/>
      </c>
      <c r="G36" s="7" t="inlineStr"/>
      <c r="H36" s="31" t="inlineStr">
        <is>
          <t>공기량 기준(%)</t>
        </is>
      </c>
      <c r="I36" s="9" t="n"/>
      <c r="J36" s="9" t="n"/>
      <c r="K36" s="9" t="n"/>
      <c r="L36" s="32" t="n">
        <v>4.5</v>
      </c>
      <c r="M36" s="7" t="inlineStr"/>
      <c r="O36" s="7" t="inlineStr"/>
    </row>
    <row r="37" ht="20" customHeight="1">
      <c r="A37" s="11" t="n"/>
      <c r="B37" s="9" t="n"/>
      <c r="C37" s="9" t="n"/>
      <c r="D37" s="16">
        <f>IF(A37="","",SUMIF(H8:H32,A37,D8:D32))</f>
        <v/>
      </c>
      <c r="E37" s="16">
        <f>IF(A37="","",SUMIF(H8:H32,A37,E8:E32))</f>
        <v/>
      </c>
      <c r="F37" s="15">
        <f>IF(A37="","",ROUND(E37-D37,3))</f>
        <v/>
      </c>
      <c r="G37" s="7" t="inlineStr"/>
      <c r="H37" s="31" t="inlineStr">
        <is>
          <t>공기량 허용차(±%)</t>
        </is>
      </c>
      <c r="I37" s="9" t="n"/>
      <c r="J37" s="9" t="n"/>
      <c r="K37" s="9" t="n"/>
      <c r="L37" s="32" t="n">
        <v>1.5</v>
      </c>
      <c r="M37" s="7" t="inlineStr"/>
      <c r="O37" s="7" t="inlineStr"/>
    </row>
    <row r="38" ht="20" customHeight="1">
      <c r="A38" s="11" t="n"/>
      <c r="B38" s="9" t="n"/>
      <c r="C38" s="9" t="n"/>
      <c r="D38" s="16">
        <f>IF(A38="","",SUMIF(H8:H32,A38,D8:D32))</f>
        <v/>
      </c>
      <c r="E38" s="16">
        <f>IF(A38="","",SUMIF(H8:H32,A38,E8:E32))</f>
        <v/>
      </c>
      <c r="F38" s="15">
        <f>IF(A38="","",ROUND(E38-D38,3))</f>
        <v/>
      </c>
      <c r="G38" s="7" t="inlineStr"/>
      <c r="H38" s="31" t="inlineStr">
        <is>
          <t>염화물 한도(kg/㎥)</t>
        </is>
      </c>
      <c r="I38" s="9" t="n"/>
      <c r="J38" s="9" t="n"/>
      <c r="K38" s="9" t="n"/>
      <c r="L38" s="33" t="n">
        <v>0.3</v>
      </c>
      <c r="M38" s="7" t="inlineStr"/>
      <c r="O38" s="7" t="inlineStr"/>
    </row>
    <row r="39" ht="20" customHeight="1">
      <c r="A39" s="11" t="n"/>
      <c r="B39" s="9" t="n"/>
      <c r="C39" s="9" t="n"/>
      <c r="D39" s="16">
        <f>IF(A39="","",SUMIF(H8:H32,A39,D8:D32))</f>
        <v/>
      </c>
      <c r="E39" s="16">
        <f>IF(A39="","",SUMIF(H8:H32,A39,E8:E32))</f>
        <v/>
      </c>
      <c r="F39" s="15">
        <f>IF(A39="","",ROUND(E39-D39,3))</f>
        <v/>
      </c>
      <c r="G39" s="7" t="inlineStr"/>
      <c r="H39" s="31" t="inlineStr">
        <is>
          <t>28일 강도 1회 ≥ 호칭강도 ×</t>
        </is>
      </c>
      <c r="I39" s="9" t="n"/>
      <c r="J39" s="9" t="n"/>
      <c r="K39" s="9" t="n"/>
      <c r="L39" s="33" t="n">
        <v>0.85</v>
      </c>
      <c r="M39" s="7" t="inlineStr"/>
      <c r="O39" s="7" t="inlineStr"/>
    </row>
    <row r="40" ht="20" customHeight="1">
      <c r="A40" s="7" t="inlineStr"/>
      <c r="H40" s="31" t="inlineStr">
        <is>
          <t>호칭강도 35MPa 넘으면 ×</t>
        </is>
      </c>
      <c r="I40" s="9" t="n"/>
      <c r="J40" s="9" t="n"/>
      <c r="K40" s="9" t="n"/>
      <c r="L40" s="33" t="n">
        <v>0.9</v>
      </c>
      <c r="M40" s="7" t="inlineStr"/>
    </row>
    <row r="42" ht="19.5" customHeight="1">
      <c r="A42" s="34" t="inlineStr">
        <is>
          <t>노란 칸 = 판정 기준값(KS F 4009 레디믹스트 콘크리트). 하늘색 칸 = 자동(증감 · 구조물 누계 · 판정 · 합계 · 배합별 합계).</t>
        </is>
      </c>
    </row>
    <row r="43" ht="34" customHeight="1">
      <c r="A43" s="34" t="inlineStr">
        <is>
          <t>판정: 슬럼프 허용차(목표 80mm 이상 ±25 · 50~65 ±15 · 25 ±10) · 공기량 기준±허용차 · 염화물 한도 이하 · 28일 강도 1회 값 ≥ 호칭강도×0.85(35MPa 넘으면 0.90). 강도가 호칭강도보다 낮으면 «3회 평균 확인»(3회 평균은 호칭강도 이상이어야 함).</t>
        </is>
      </c>
    </row>
    <row r="44" ht="19.5" customHeight="1">
      <c r="A44" s="34" t="inlineStr">
        <is>
          <t>배합은 «굵은골재-호칭강도-슬럼프» 꼴(예: 25-24-150)로 적으면 오른쪽 인쇄 밖 칸에서 호칭강도·목표 슬럼프를 읽습니다.</t>
        </is>
      </c>
    </row>
  </sheetData>
  <mergeCells count="58">
    <mergeCell ref="I5:I7"/>
    <mergeCell ref="H35:L35"/>
    <mergeCell ref="D5:D7"/>
    <mergeCell ref="A37:C37"/>
    <mergeCell ref="H37:K37"/>
    <mergeCell ref="A5:A7"/>
    <mergeCell ref="G5:G7"/>
    <mergeCell ref="P6:P7"/>
    <mergeCell ref="M40:U40"/>
    <mergeCell ref="M39:N39"/>
    <mergeCell ref="M5:Q5"/>
    <mergeCell ref="R2:U2"/>
    <mergeCell ref="B5:B7"/>
    <mergeCell ref="O38:U38"/>
    <mergeCell ref="R33:U33"/>
    <mergeCell ref="G33:L33"/>
    <mergeCell ref="A33:C33"/>
    <mergeCell ref="R5:U5"/>
    <mergeCell ref="M35:N35"/>
    <mergeCell ref="O37:U37"/>
    <mergeCell ref="A40:G40"/>
    <mergeCell ref="C3:I3"/>
    <mergeCell ref="R6:S6"/>
    <mergeCell ref="K1:U1"/>
    <mergeCell ref="M6:M7"/>
    <mergeCell ref="H38:K38"/>
    <mergeCell ref="A42:U42"/>
    <mergeCell ref="Q6:Q7"/>
    <mergeCell ref="H5:H7"/>
    <mergeCell ref="A35:C35"/>
    <mergeCell ref="J5:J7"/>
    <mergeCell ref="A3:B3"/>
    <mergeCell ref="A38:C38"/>
    <mergeCell ref="J3:U3"/>
    <mergeCell ref="A1:J1"/>
    <mergeCell ref="O36:U36"/>
    <mergeCell ref="H40:K40"/>
    <mergeCell ref="O39:U39"/>
    <mergeCell ref="M37:N37"/>
    <mergeCell ref="H39:K39"/>
    <mergeCell ref="A43:U43"/>
    <mergeCell ref="A2:Q2"/>
    <mergeCell ref="M36:N36"/>
    <mergeCell ref="C5:C7"/>
    <mergeCell ref="N6:N7"/>
    <mergeCell ref="E5:E7"/>
    <mergeCell ref="K5:K7"/>
    <mergeCell ref="A39:C39"/>
    <mergeCell ref="F5:F7"/>
    <mergeCell ref="A44:U44"/>
    <mergeCell ref="H36:K36"/>
    <mergeCell ref="A36:C36"/>
    <mergeCell ref="O35:U35"/>
    <mergeCell ref="T6:U6"/>
    <mergeCell ref="M38:N38"/>
    <mergeCell ref="O6:O7"/>
    <mergeCell ref="L5:L7"/>
    <mergeCell ref="M33:P33"/>
  </mergeCells>
  <conditionalFormatting sqref="Q8:Q32">
    <cfRule type="expression" priority="1" dxfId="0">
      <formula>LEFT(Q8,3)="부적합"</formula>
    </cfRule>
  </conditionalFormatting>
  <conditionalFormatting sqref="D8:D33">
    <cfRule type="expression" priority="2" dxfId="1">
      <formula>AND(ISNUMBER(D8),MOD(D8,1)=0)</formula>
    </cfRule>
  </conditionalFormatting>
  <conditionalFormatting sqref="D36:D39">
    <cfRule type="expression" priority="3" dxfId="1">
      <formula>AND(ISNUMBER(D36),MOD(D36,1)=0)</formula>
    </cfRule>
  </conditionalFormatting>
  <conditionalFormatting sqref="E8:E33">
    <cfRule type="expression" priority="4" dxfId="1">
      <formula>AND(ISNUMBER(E8),MOD(E8,1)=0)</formula>
    </cfRule>
  </conditionalFormatting>
  <conditionalFormatting sqref="E36:E39">
    <cfRule type="expression" priority="5" dxfId="1">
      <formula>AND(ISNUMBER(E36),MOD(E36,1)=0)</formula>
    </cfRule>
  </conditionalFormatting>
  <conditionalFormatting sqref="G8:G32">
    <cfRule type="expression" priority="6" dxfId="1">
      <formula>AND(ISNUMBER(G8),MOD(G8,1)=0)</formula>
    </cfRule>
  </conditionalFormatting>
  <conditionalFormatting sqref="F8:F33">
    <cfRule type="expression" priority="7" dxfId="2">
      <formula>AND(ISNUMBER(F8),MOD(F8,1)=0)</formula>
    </cfRule>
  </conditionalFormatting>
  <conditionalFormatting sqref="F36:F39">
    <cfRule type="expression" priority="8" dxfId="2">
      <formula>AND(ISNUMBER(F36),MOD(F36,1)=0)</formula>
    </cfRule>
  </conditionalFormatting>
  <conditionalFormatting sqref="L8:L32">
    <cfRule type="expression" priority="9" dxfId="3">
      <formula>AND(ISNUMBER(L8),MOD(L8,1)=0)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42"/>
  <sheetViews>
    <sheetView showGridLines="0" zoomScale="100" workbookViewId="0">
      <selection activeCell="A1" sqref="A1"/>
    </sheetView>
  </sheetViews>
  <sheetFormatPr baseColWidth="8" defaultRowHeight="15"/>
  <cols>
    <col width="9" customWidth="1" min="1" max="1"/>
    <col width="9.5" customWidth="1" min="2" max="2"/>
    <col width="20" customWidth="1" min="3" max="3"/>
    <col width="6.8" customWidth="1" min="4" max="4"/>
    <col width="6.8" customWidth="1" min="5" max="5"/>
    <col width="6.2" customWidth="1" min="6" max="6"/>
    <col width="6.8" customWidth="1" min="7" max="7"/>
    <col width="9.5" customWidth="1" min="8" max="8"/>
    <col width="10" customWidth="1" min="9" max="9"/>
    <col width="7" customWidth="1" min="10" max="10"/>
    <col width="9.5" customWidth="1" min="11" max="11"/>
    <col width="6" customWidth="1" min="12" max="12"/>
    <col width="6.6" customWidth="1" min="13" max="13"/>
    <col width="6.2" customWidth="1" min="14" max="14"/>
    <col width="7" customWidth="1" min="15" max="15"/>
    <col width="7.8" customWidth="1" min="16" max="16"/>
    <col width="11" customWidth="1" min="17" max="17"/>
    <col width="7" customWidth="1" min="18" max="18"/>
    <col width="6" customWidth="1" min="19" max="19"/>
    <col width="7" customWidth="1" min="20" max="20"/>
    <col width="6" customWidth="1" min="21" max="21"/>
    <col width="8" customWidth="1" min="23" max="23"/>
    <col width="8" customWidth="1" min="24" max="24"/>
  </cols>
  <sheetData>
    <row r="1" ht="20" customHeight="1">
      <c r="A1" s="1" t="inlineStr">
        <is>
          <t xml:space="preserve">  K-건설맵  |  k-conmap.com  건설 서식</t>
        </is>
      </c>
      <c r="K1" s="35" t="inlineStr">
        <is>
          <t xml:space="preserve">작성 예시 (가상의 현장)  </t>
        </is>
      </c>
    </row>
    <row r="2" ht="40" customHeight="1">
      <c r="A2" s="3" t="inlineStr">
        <is>
          <t>구조물별 콘크리트 타설 현황</t>
        </is>
      </c>
      <c r="R2" s="4" t="inlineStr">
        <is>
          <t>[별지 제35호 서식]</t>
        </is>
      </c>
    </row>
    <row r="3" ht="26" customHeight="1">
      <c r="A3" s="5" t="inlineStr">
        <is>
          <t>현 장 명 :</t>
        </is>
      </c>
      <c r="C3" s="6" t="inlineStr">
        <is>
          <t>가나지구 배수로 정비공사</t>
        </is>
      </c>
      <c r="J3" s="7" t="inlineStr"/>
    </row>
    <row r="4" ht="4" customHeight="1"/>
    <row r="5" ht="22" customHeight="1">
      <c r="A5" s="8" t="inlineStr">
        <is>
          <t>구 조
물 명</t>
        </is>
      </c>
      <c r="B5" s="8" t="inlineStr">
        <is>
          <t>타설 일자</t>
        </is>
      </c>
      <c r="C5" s="8" t="inlineStr">
        <is>
          <t>타 설  부 위</t>
        </is>
      </c>
      <c r="D5" s="8" t="inlineStr">
        <is>
          <t>설계량
(㎥)</t>
        </is>
      </c>
      <c r="E5" s="8" t="inlineStr">
        <is>
          <t>타설량
(㎥)</t>
        </is>
      </c>
      <c r="F5" s="8" t="inlineStr">
        <is>
          <t>증감
(㎥)</t>
        </is>
      </c>
      <c r="G5" s="8" t="inlineStr">
        <is>
          <t>구조물
누계
(㎥)</t>
        </is>
      </c>
      <c r="H5" s="8" t="inlineStr">
        <is>
          <t>콘크리트
배합종류</t>
        </is>
      </c>
      <c r="I5" s="8" t="inlineStr">
        <is>
          <t>납품
회사</t>
        </is>
      </c>
      <c r="J5" s="8" t="inlineStr">
        <is>
          <t>타 설
방 법</t>
        </is>
      </c>
      <c r="K5" s="8" t="inlineStr">
        <is>
          <t>타 설
시 간</t>
        </is>
      </c>
      <c r="L5" s="8" t="inlineStr">
        <is>
          <t>타설시
온도
(℃)</t>
        </is>
      </c>
      <c r="M5" s="8" t="inlineStr">
        <is>
          <t>시   험   결   과</t>
        </is>
      </c>
      <c r="N5" s="9" t="n"/>
      <c r="O5" s="9" t="n"/>
      <c r="P5" s="9" t="n"/>
      <c r="Q5" s="9" t="n"/>
      <c r="R5" s="8" t="inlineStr">
        <is>
          <t>시    험    자</t>
        </is>
      </c>
      <c r="S5" s="9" t="n"/>
      <c r="T5" s="9" t="n"/>
      <c r="U5" s="9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8" t="inlineStr">
        <is>
          <t>슬럼프
(mm)</t>
        </is>
      </c>
      <c r="N6" s="8" t="inlineStr">
        <is>
          <t>공기량
(%)</t>
        </is>
      </c>
      <c r="O6" s="8" t="inlineStr">
        <is>
          <t>염분량
(kg/㎥)</t>
        </is>
      </c>
      <c r="P6" s="8" t="inlineStr">
        <is>
          <t>28일
압축강도
(MPa)</t>
        </is>
      </c>
      <c r="Q6" s="8" t="inlineStr">
        <is>
          <t>판  정</t>
        </is>
      </c>
      <c r="R6" s="8" t="inlineStr">
        <is>
          <t>품질관리자</t>
        </is>
      </c>
      <c r="S6" s="9" t="n"/>
      <c r="T6" s="8" t="inlineStr">
        <is>
          <t>감 리 원</t>
        </is>
      </c>
      <c r="U6" s="9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8" t="inlineStr">
        <is>
          <t>성명</t>
        </is>
      </c>
      <c r="S7" s="8" t="inlineStr">
        <is>
          <t>서명</t>
        </is>
      </c>
      <c r="T7" s="8" t="inlineStr">
        <is>
          <t>성명</t>
        </is>
      </c>
      <c r="U7" s="8" t="inlineStr">
        <is>
          <t>서명</t>
        </is>
      </c>
      <c r="W7" s="10" t="inlineStr">
        <is>
          <t>호칭강도</t>
        </is>
      </c>
      <c r="X7" s="10" t="inlineStr">
        <is>
          <t>목표슬럼프</t>
        </is>
      </c>
    </row>
    <row r="8" ht="24" customHeight="1">
      <c r="A8" s="11" t="inlineStr">
        <is>
          <t>암거 기초</t>
        </is>
      </c>
      <c r="B8" s="12" t="n">
        <v>46120</v>
      </c>
      <c r="C8" s="13" t="inlineStr">
        <is>
          <t>STA.0+120 ~ 0+160</t>
        </is>
      </c>
      <c r="D8" s="14" t="n">
        <v>42</v>
      </c>
      <c r="E8" s="14" t="n">
        <v>44</v>
      </c>
      <c r="F8" s="15">
        <f>IF(OR(D8="",E8=""),"",ROUND(E8-D8,3))</f>
        <v/>
      </c>
      <c r="G8" s="16">
        <f>IF(OR(A8="",E8=""),"",SUMIF(A8:A8,A8,E8:E8))</f>
        <v/>
      </c>
      <c r="H8" s="11" t="inlineStr">
        <is>
          <t>25-18-80</t>
        </is>
      </c>
      <c r="I8" s="17" t="inlineStr">
        <is>
          <t>예시레미콘(주)</t>
        </is>
      </c>
      <c r="J8" s="11" t="inlineStr">
        <is>
          <t>펌프카</t>
        </is>
      </c>
      <c r="K8" s="17" t="inlineStr">
        <is>
          <t>08:30~10:10</t>
        </is>
      </c>
      <c r="L8" s="18" t="n">
        <v>14</v>
      </c>
      <c r="M8" s="19" t="n">
        <v>90</v>
      </c>
      <c r="N8" s="20" t="n">
        <v>4.2</v>
      </c>
      <c r="O8" s="21" t="n">
        <v>0.031</v>
      </c>
      <c r="P8" s="20" t="n">
        <v>21.6</v>
      </c>
      <c r="Q8" s="22">
        <f>IF(COUNT(M8,N8,O8,P8)=0,"",IF(OR(AND(ISNUMBER(M8),ISNUMBER(X8),ABS(M8-N(X8))&gt;IF(N(X8)&gt;=80,25,IF(N(X8)&gt;=50,15,10))),AND(ISNUMBER(N8),ABS(N8-L36)&gt;L37),AND(ISNUMBER(O8),O8&gt;L38),AND(ISNUMBER(P8),ISNUMBER(W8),P8&lt;N(W8)*IF(N(W8)&gt;35,L40,L39))),"부적합:"&amp;IF(AND(ISNUMBER(M8),ISNUMBER(X8),ABS(M8-N(X8))&gt;IF(N(X8)&gt;=80,25,IF(N(X8)&gt;=50,15,10)))," 슬럼프","")&amp;IF(AND(ISNUMBER(N8),ABS(N8-L36)&gt;L37)," 공기량","")&amp;IF(AND(ISNUMBER(O8),O8&gt;L38)," 염분","")&amp;IF(AND(ISNUMBER(P8),ISNUMBER(W8),P8&lt;N(W8)*IF(N(W8)&gt;35,L40,L39))," 강도",""),IF(AND(ISNUMBER(P8),ISNUMBER(W8),P8&lt;N(W8)),"적합(강도 3회 평균 확인)",IF(ISNUMBER(P8),"적합","적합(28일 강도 대기)"))))</f>
        <v/>
      </c>
      <c r="R8" s="11" t="inlineStr">
        <is>
          <t>김품질</t>
        </is>
      </c>
      <c r="S8" s="23" t="inlineStr"/>
      <c r="T8" s="11" t="inlineStr">
        <is>
          <t>박감리</t>
        </is>
      </c>
      <c r="U8" s="23" t="inlineStr"/>
      <c r="W8" s="24">
        <f>IF(H8="","",IFERROR(VALUE(MID(SUBSTITUTE(H8," ",""),FIND("-",SUBSTITUTE(H8," ",""))+1,FIND("-",SUBSTITUTE(H8," ",""),FIND("-",SUBSTITUTE(H8," ",""))+1)-FIND("-",SUBSTITUTE(H8," ",""))-1)),""))</f>
        <v/>
      </c>
      <c r="X8" s="24">
        <f>IF(H8="","",IFERROR(VALUE(MID(SUBSTITUTE(H8," ",""),FIND("-",SUBSTITUTE(H8," ",""),FIND("-",SUBSTITUTE(H8," ",""))+1)+1,9)),""))</f>
        <v/>
      </c>
    </row>
    <row r="9" ht="24" customHeight="1">
      <c r="A9" s="11" t="inlineStr">
        <is>
          <t>암거 기초</t>
        </is>
      </c>
      <c r="B9" s="12" t="n">
        <v>46127</v>
      </c>
      <c r="C9" s="13" t="inlineStr">
        <is>
          <t>STA.0+160 ~ 0+200</t>
        </is>
      </c>
      <c r="D9" s="14" t="n">
        <v>42</v>
      </c>
      <c r="E9" s="14" t="n">
        <v>43</v>
      </c>
      <c r="F9" s="15">
        <f>IF(OR(D9="",E9=""),"",ROUND(E9-D9,3))</f>
        <v/>
      </c>
      <c r="G9" s="16">
        <f>IF(OR(A9="",E9=""),"",SUMIF(A8:A9,A9,E8:E9))</f>
        <v/>
      </c>
      <c r="H9" s="11" t="inlineStr">
        <is>
          <t>25-18-80</t>
        </is>
      </c>
      <c r="I9" s="17" t="inlineStr">
        <is>
          <t>예시레미콘(주)</t>
        </is>
      </c>
      <c r="J9" s="11" t="inlineStr">
        <is>
          <t>펌프카</t>
        </is>
      </c>
      <c r="K9" s="17" t="inlineStr">
        <is>
          <t>08:20~09:50</t>
        </is>
      </c>
      <c r="L9" s="18" t="n">
        <v>16</v>
      </c>
      <c r="M9" s="19" t="n">
        <v>85</v>
      </c>
      <c r="N9" s="20" t="n">
        <v>4.6</v>
      </c>
      <c r="O9" s="21" t="n">
        <v>0.028</v>
      </c>
      <c r="P9" s="20" t="n">
        <v>20.3</v>
      </c>
      <c r="Q9" s="22">
        <f>IF(COUNT(M9,N9,O9,P9)=0,"",IF(OR(AND(ISNUMBER(M9),ISNUMBER(X9),ABS(M9-N(X9))&gt;IF(N(X9)&gt;=80,25,IF(N(X9)&gt;=50,15,10))),AND(ISNUMBER(N9),ABS(N9-L36)&gt;L37),AND(ISNUMBER(O9),O9&gt;L38),AND(ISNUMBER(P9),ISNUMBER(W9),P9&lt;N(W9)*IF(N(W9)&gt;35,L40,L39))),"부적합:"&amp;IF(AND(ISNUMBER(M9),ISNUMBER(X9),ABS(M9-N(X9))&gt;IF(N(X9)&gt;=80,25,IF(N(X9)&gt;=50,15,10)))," 슬럼프","")&amp;IF(AND(ISNUMBER(N9),ABS(N9-L36)&gt;L37)," 공기량","")&amp;IF(AND(ISNUMBER(O9),O9&gt;L38)," 염분","")&amp;IF(AND(ISNUMBER(P9),ISNUMBER(W9),P9&lt;N(W9)*IF(N(W9)&gt;35,L40,L39))," 강도",""),IF(AND(ISNUMBER(P9),ISNUMBER(W9),P9&lt;N(W9)),"적합(강도 3회 평균 확인)",IF(ISNUMBER(P9),"적합","적합(28일 강도 대기)"))))</f>
        <v/>
      </c>
      <c r="R9" s="11" t="inlineStr">
        <is>
          <t>김품질</t>
        </is>
      </c>
      <c r="S9" s="23" t="inlineStr"/>
      <c r="T9" s="11" t="inlineStr">
        <is>
          <t>박감리</t>
        </is>
      </c>
      <c r="U9" s="23" t="inlineStr"/>
      <c r="W9" s="24">
        <f>IF(H9="","",IFERROR(VALUE(MID(SUBSTITUTE(H9," ",""),FIND("-",SUBSTITUTE(H9," ",""))+1,FIND("-",SUBSTITUTE(H9," ",""),FIND("-",SUBSTITUTE(H9," ",""))+1)-FIND("-",SUBSTITUTE(H9," ",""))-1)),""))</f>
        <v/>
      </c>
      <c r="X9" s="24">
        <f>IF(H9="","",IFERROR(VALUE(MID(SUBSTITUTE(H9," ",""),FIND("-",SUBSTITUTE(H9," ",""),FIND("-",SUBSTITUTE(H9," ",""))+1)+1,9)),""))</f>
        <v/>
      </c>
    </row>
    <row r="10" ht="24" customHeight="1">
      <c r="A10" s="11" t="inlineStr">
        <is>
          <t>집수정</t>
        </is>
      </c>
      <c r="B10" s="12" t="n">
        <v>46134</v>
      </c>
      <c r="C10" s="13" t="inlineStr">
        <is>
          <t>1~4호 바닥</t>
        </is>
      </c>
      <c r="D10" s="14" t="n">
        <v>12</v>
      </c>
      <c r="E10" s="14" t="n">
        <v>12</v>
      </c>
      <c r="F10" s="15">
        <f>IF(OR(D10="",E10=""),"",ROUND(E10-D10,3))</f>
        <v/>
      </c>
      <c r="G10" s="16">
        <f>IF(OR(A10="",E10=""),"",SUMIF(A8:A10,A10,E8:E10))</f>
        <v/>
      </c>
      <c r="H10" s="11" t="inlineStr">
        <is>
          <t>25-24-150</t>
        </is>
      </c>
      <c r="I10" s="17" t="inlineStr">
        <is>
          <t>예시레미콘(주)</t>
        </is>
      </c>
      <c r="J10" s="11" t="inlineStr">
        <is>
          <t>백호</t>
        </is>
      </c>
      <c r="K10" s="17" t="inlineStr">
        <is>
          <t>09:00~10:00</t>
        </is>
      </c>
      <c r="L10" s="18" t="n">
        <v>17</v>
      </c>
      <c r="M10" s="19" t="n">
        <v>160</v>
      </c>
      <c r="N10" s="20" t="n">
        <v>4.8</v>
      </c>
      <c r="O10" s="21" t="n">
        <v>0.042</v>
      </c>
      <c r="P10" s="20" t="n">
        <v>26.1</v>
      </c>
      <c r="Q10" s="22">
        <f>IF(COUNT(M10,N10,O10,P10)=0,"",IF(OR(AND(ISNUMBER(M10),ISNUMBER(X10),ABS(M10-N(X10))&gt;IF(N(X10)&gt;=80,25,IF(N(X10)&gt;=50,15,10))),AND(ISNUMBER(N10),ABS(N10-L36)&gt;L37),AND(ISNUMBER(O10),O10&gt;L38),AND(ISNUMBER(P10),ISNUMBER(W10),P10&lt;N(W10)*IF(N(W10)&gt;35,L40,L39))),"부적합:"&amp;IF(AND(ISNUMBER(M10),ISNUMBER(X10),ABS(M10-N(X10))&gt;IF(N(X10)&gt;=80,25,IF(N(X10)&gt;=50,15,10)))," 슬럼프","")&amp;IF(AND(ISNUMBER(N10),ABS(N10-L36)&gt;L37)," 공기량","")&amp;IF(AND(ISNUMBER(O10),O10&gt;L38)," 염분","")&amp;IF(AND(ISNUMBER(P10),ISNUMBER(W10),P10&lt;N(W10)*IF(N(W10)&gt;35,L40,L39))," 강도",""),IF(AND(ISNUMBER(P10),ISNUMBER(W10),P10&lt;N(W10)),"적합(강도 3회 평균 확인)",IF(ISNUMBER(P10),"적합","적합(28일 강도 대기)"))))</f>
        <v/>
      </c>
      <c r="R10" s="11" t="inlineStr">
        <is>
          <t>김품질</t>
        </is>
      </c>
      <c r="S10" s="23" t="inlineStr"/>
      <c r="T10" s="11" t="inlineStr">
        <is>
          <t>박감리</t>
        </is>
      </c>
      <c r="U10" s="23" t="inlineStr"/>
      <c r="W10" s="24">
        <f>IF(H10="","",IFERROR(VALUE(MID(SUBSTITUTE(H10," ",""),FIND("-",SUBSTITUTE(H10," ",""))+1,FIND("-",SUBSTITUTE(H10," ",""),FIND("-",SUBSTITUTE(H10," ",""))+1)-FIND("-",SUBSTITUTE(H10," ",""))-1)),""))</f>
        <v/>
      </c>
      <c r="X10" s="24">
        <f>IF(H10="","",IFERROR(VALUE(MID(SUBSTITUTE(H10," ",""),FIND("-",SUBSTITUTE(H10," ",""),FIND("-",SUBSTITUTE(H10," ",""))+1)+1,9)),""))</f>
        <v/>
      </c>
    </row>
    <row r="11" ht="24" customHeight="1">
      <c r="A11" s="11" t="inlineStr">
        <is>
          <t>집수정</t>
        </is>
      </c>
      <c r="B11" s="12" t="n">
        <v>46141</v>
      </c>
      <c r="C11" s="13" t="inlineStr">
        <is>
          <t>1~4호 벽체</t>
        </is>
      </c>
      <c r="D11" s="14" t="n">
        <v>18</v>
      </c>
      <c r="E11" s="14" t="n">
        <v>19</v>
      </c>
      <c r="F11" s="15">
        <f>IF(OR(D11="",E11=""),"",ROUND(E11-D11,3))</f>
        <v/>
      </c>
      <c r="G11" s="16">
        <f>IF(OR(A11="",E11=""),"",SUMIF(A8:A11,A11,E8:E11))</f>
        <v/>
      </c>
      <c r="H11" s="11" t="inlineStr">
        <is>
          <t>25-24-150</t>
        </is>
      </c>
      <c r="I11" s="17" t="inlineStr">
        <is>
          <t>예시레미콘(주)</t>
        </is>
      </c>
      <c r="J11" s="11" t="inlineStr">
        <is>
          <t>펌프카</t>
        </is>
      </c>
      <c r="K11" s="17" t="inlineStr">
        <is>
          <t>08:40~10:20</t>
        </is>
      </c>
      <c r="L11" s="18" t="n">
        <v>18</v>
      </c>
      <c r="M11" s="19" t="n">
        <v>190</v>
      </c>
      <c r="N11" s="20" t="n">
        <v>5.1</v>
      </c>
      <c r="O11" s="21" t="n">
        <v>0.036</v>
      </c>
      <c r="P11" s="20" t="n">
        <v>25.4</v>
      </c>
      <c r="Q11" s="22">
        <f>IF(COUNT(M11,N11,O11,P11)=0,"",IF(OR(AND(ISNUMBER(M11),ISNUMBER(X11),ABS(M11-N(X11))&gt;IF(N(X11)&gt;=80,25,IF(N(X11)&gt;=50,15,10))),AND(ISNUMBER(N11),ABS(N11-L36)&gt;L37),AND(ISNUMBER(O11),O11&gt;L38),AND(ISNUMBER(P11),ISNUMBER(W11),P11&lt;N(W11)*IF(N(W11)&gt;35,L40,L39))),"부적합:"&amp;IF(AND(ISNUMBER(M11),ISNUMBER(X11),ABS(M11-N(X11))&gt;IF(N(X11)&gt;=80,25,IF(N(X11)&gt;=50,15,10)))," 슬럼프","")&amp;IF(AND(ISNUMBER(N11),ABS(N11-L36)&gt;L37)," 공기량","")&amp;IF(AND(ISNUMBER(O11),O11&gt;L38)," 염분","")&amp;IF(AND(ISNUMBER(P11),ISNUMBER(W11),P11&lt;N(W11)*IF(N(W11)&gt;35,L40,L39))," 강도",""),IF(AND(ISNUMBER(P11),ISNUMBER(W11),P11&lt;N(W11)),"적합(강도 3회 평균 확인)",IF(ISNUMBER(P11),"적합","적합(28일 강도 대기)"))))</f>
        <v/>
      </c>
      <c r="R11" s="11" t="inlineStr">
        <is>
          <t>김품질</t>
        </is>
      </c>
      <c r="S11" s="23" t="inlineStr"/>
      <c r="T11" s="11" t="inlineStr">
        <is>
          <t>박감리</t>
        </is>
      </c>
      <c r="U11" s="23" t="inlineStr"/>
      <c r="W11" s="24">
        <f>IF(H11="","",IFERROR(VALUE(MID(SUBSTITUTE(H11," ",""),FIND("-",SUBSTITUTE(H11," ",""))+1,FIND("-",SUBSTITUTE(H11," ",""),FIND("-",SUBSTITUTE(H11," ",""))+1)-FIND("-",SUBSTITUTE(H11," ",""))-1)),""))</f>
        <v/>
      </c>
      <c r="X11" s="24">
        <f>IF(H11="","",IFERROR(VALUE(MID(SUBSTITUTE(H11," ",""),FIND("-",SUBSTITUTE(H11," ",""),FIND("-",SUBSTITUTE(H11," ",""))+1)+1,9)),""))</f>
        <v/>
      </c>
    </row>
    <row r="12" ht="24" customHeight="1">
      <c r="A12" s="11" t="inlineStr">
        <is>
          <t>옹벽</t>
        </is>
      </c>
      <c r="B12" s="12" t="n">
        <v>46148</v>
      </c>
      <c r="C12" s="13" t="inlineStr">
        <is>
          <t>기초 L=40m</t>
        </is>
      </c>
      <c r="D12" s="14" t="n">
        <v>36</v>
      </c>
      <c r="E12" s="14" t="n">
        <v>38</v>
      </c>
      <c r="F12" s="15">
        <f>IF(OR(D12="",E12=""),"",ROUND(E12-D12,3))</f>
        <v/>
      </c>
      <c r="G12" s="16">
        <f>IF(OR(A12="",E12=""),"",SUMIF(A8:A12,A12,E8:E12))</f>
        <v/>
      </c>
      <c r="H12" s="11" t="inlineStr">
        <is>
          <t>25-24-150</t>
        </is>
      </c>
      <c r="I12" s="17" t="inlineStr">
        <is>
          <t>예시레미콘(주)</t>
        </is>
      </c>
      <c r="J12" s="11" t="inlineStr">
        <is>
          <t>펌프카</t>
        </is>
      </c>
      <c r="K12" s="17" t="inlineStr">
        <is>
          <t>08:30~10:30</t>
        </is>
      </c>
      <c r="L12" s="18" t="n">
        <v>19</v>
      </c>
      <c r="M12" s="19" t="n">
        <v>145</v>
      </c>
      <c r="N12" s="20" t="n">
        <v>4.4</v>
      </c>
      <c r="O12" s="21" t="n">
        <v>0.025</v>
      </c>
      <c r="P12" s="20" t="n">
        <v>22.8</v>
      </c>
      <c r="Q12" s="22">
        <f>IF(COUNT(M12,N12,O12,P12)=0,"",IF(OR(AND(ISNUMBER(M12),ISNUMBER(X12),ABS(M12-N(X12))&gt;IF(N(X12)&gt;=80,25,IF(N(X12)&gt;=50,15,10))),AND(ISNUMBER(N12),ABS(N12-L36)&gt;L37),AND(ISNUMBER(O12),O12&gt;L38),AND(ISNUMBER(P12),ISNUMBER(W12),P12&lt;N(W12)*IF(N(W12)&gt;35,L40,L39))),"부적합:"&amp;IF(AND(ISNUMBER(M12),ISNUMBER(X12),ABS(M12-N(X12))&gt;IF(N(X12)&gt;=80,25,IF(N(X12)&gt;=50,15,10)))," 슬럼프","")&amp;IF(AND(ISNUMBER(N12),ABS(N12-L36)&gt;L37)," 공기량","")&amp;IF(AND(ISNUMBER(O12),O12&gt;L38)," 염분","")&amp;IF(AND(ISNUMBER(P12),ISNUMBER(W12),P12&lt;N(W12)*IF(N(W12)&gt;35,L40,L39))," 강도",""),IF(AND(ISNUMBER(P12),ISNUMBER(W12),P12&lt;N(W12)),"적합(강도 3회 평균 확인)",IF(ISNUMBER(P12),"적합","적합(28일 강도 대기)"))))</f>
        <v/>
      </c>
      <c r="R12" s="11" t="inlineStr">
        <is>
          <t>김품질</t>
        </is>
      </c>
      <c r="S12" s="23" t="inlineStr"/>
      <c r="T12" s="11" t="inlineStr">
        <is>
          <t>박감리</t>
        </is>
      </c>
      <c r="U12" s="23" t="inlineStr"/>
      <c r="W12" s="24">
        <f>IF(H12="","",IFERROR(VALUE(MID(SUBSTITUTE(H12," ",""),FIND("-",SUBSTITUTE(H12," ",""))+1,FIND("-",SUBSTITUTE(H12," ",""),FIND("-",SUBSTITUTE(H12," ",""))+1)-FIND("-",SUBSTITUTE(H12," ",""))-1)),""))</f>
        <v/>
      </c>
      <c r="X12" s="24">
        <f>IF(H12="","",IFERROR(VALUE(MID(SUBSTITUTE(H12," ",""),FIND("-",SUBSTITUTE(H12," ",""),FIND("-",SUBSTITUTE(H12," ",""))+1)+1,9)),""))</f>
        <v/>
      </c>
    </row>
    <row r="13" ht="24" customHeight="1">
      <c r="A13" s="11" t="inlineStr">
        <is>
          <t>옹벽</t>
        </is>
      </c>
      <c r="B13" s="12" t="n">
        <v>46155</v>
      </c>
      <c r="C13" s="13" t="inlineStr">
        <is>
          <t>벽체 L=40m</t>
        </is>
      </c>
      <c r="D13" s="14" t="n">
        <v>30</v>
      </c>
      <c r="E13" s="14" t="n">
        <v>31</v>
      </c>
      <c r="F13" s="15">
        <f>IF(OR(D13="",E13=""),"",ROUND(E13-D13,3))</f>
        <v/>
      </c>
      <c r="G13" s="16">
        <f>IF(OR(A13="",E13=""),"",SUMIF(A8:A13,A13,E8:E13))</f>
        <v/>
      </c>
      <c r="H13" s="11" t="inlineStr">
        <is>
          <t>25-24-150</t>
        </is>
      </c>
      <c r="I13" s="17" t="inlineStr">
        <is>
          <t>예시레미콘(주)</t>
        </is>
      </c>
      <c r="J13" s="11" t="inlineStr">
        <is>
          <t>펌프카</t>
        </is>
      </c>
      <c r="K13" s="17" t="inlineStr">
        <is>
          <t>08:10~10:00</t>
        </is>
      </c>
      <c r="L13" s="18" t="n">
        <v>20</v>
      </c>
      <c r="M13" s="19" t="n">
        <v>155</v>
      </c>
      <c r="N13" s="20" t="n">
        <v>4</v>
      </c>
      <c r="O13" s="21" t="n">
        <v>0.033</v>
      </c>
      <c r="P13" s="20" t="n">
        <v>25.9</v>
      </c>
      <c r="Q13" s="22">
        <f>IF(COUNT(M13,N13,O13,P13)=0,"",IF(OR(AND(ISNUMBER(M13),ISNUMBER(X13),ABS(M13-N(X13))&gt;IF(N(X13)&gt;=80,25,IF(N(X13)&gt;=50,15,10))),AND(ISNUMBER(N13),ABS(N13-L36)&gt;L37),AND(ISNUMBER(O13),O13&gt;L38),AND(ISNUMBER(P13),ISNUMBER(W13),P13&lt;N(W13)*IF(N(W13)&gt;35,L40,L39))),"부적합:"&amp;IF(AND(ISNUMBER(M13),ISNUMBER(X13),ABS(M13-N(X13))&gt;IF(N(X13)&gt;=80,25,IF(N(X13)&gt;=50,15,10)))," 슬럼프","")&amp;IF(AND(ISNUMBER(N13),ABS(N13-L36)&gt;L37)," 공기량","")&amp;IF(AND(ISNUMBER(O13),O13&gt;L38)," 염분","")&amp;IF(AND(ISNUMBER(P13),ISNUMBER(W13),P13&lt;N(W13)*IF(N(W13)&gt;35,L40,L39))," 강도",""),IF(AND(ISNUMBER(P13),ISNUMBER(W13),P13&lt;N(W13)),"적합(강도 3회 평균 확인)",IF(ISNUMBER(P13),"적합","적합(28일 강도 대기)"))))</f>
        <v/>
      </c>
      <c r="R13" s="11" t="inlineStr">
        <is>
          <t>김품질</t>
        </is>
      </c>
      <c r="S13" s="23" t="inlineStr"/>
      <c r="T13" s="11" t="inlineStr">
        <is>
          <t>박감리</t>
        </is>
      </c>
      <c r="U13" s="23" t="inlineStr"/>
      <c r="W13" s="24">
        <f>IF(H13="","",IFERROR(VALUE(MID(SUBSTITUTE(H13," ",""),FIND("-",SUBSTITUTE(H13," ",""))+1,FIND("-",SUBSTITUTE(H13," ",""),FIND("-",SUBSTITUTE(H13," ",""))+1)-FIND("-",SUBSTITUTE(H13," ",""))-1)),""))</f>
        <v/>
      </c>
      <c r="X13" s="24">
        <f>IF(H13="","",IFERROR(VALUE(MID(SUBSTITUTE(H13," ",""),FIND("-",SUBSTITUTE(H13," ",""),FIND("-",SUBSTITUTE(H13," ",""))+1)+1,9)),""))</f>
        <v/>
      </c>
    </row>
    <row r="14" ht="24" customHeight="1">
      <c r="A14" s="11" t="inlineStr">
        <is>
          <t>암거 기초</t>
        </is>
      </c>
      <c r="B14" s="12" t="n">
        <v>46162</v>
      </c>
      <c r="C14" s="13" t="inlineStr">
        <is>
          <t>STA.0+200 ~ 0+240</t>
        </is>
      </c>
      <c r="D14" s="14" t="n">
        <v>42</v>
      </c>
      <c r="E14" s="14" t="n">
        <v>45</v>
      </c>
      <c r="F14" s="15">
        <f>IF(OR(D14="",E14=""),"",ROUND(E14-D14,3))</f>
        <v/>
      </c>
      <c r="G14" s="16">
        <f>IF(OR(A14="",E14=""),"",SUMIF(A8:A14,A14,E8:E14))</f>
        <v/>
      </c>
      <c r="H14" s="11" t="inlineStr">
        <is>
          <t>25-18-80</t>
        </is>
      </c>
      <c r="I14" s="17" t="inlineStr">
        <is>
          <t>예시레미콘(주)</t>
        </is>
      </c>
      <c r="J14" s="11" t="inlineStr">
        <is>
          <t>펌프카</t>
        </is>
      </c>
      <c r="K14" s="17" t="inlineStr">
        <is>
          <t>08:30~10:20</t>
        </is>
      </c>
      <c r="L14" s="18" t="n">
        <v>21</v>
      </c>
      <c r="M14" s="19" t="n">
        <v>95</v>
      </c>
      <c r="N14" s="20" t="n">
        <v>4.3</v>
      </c>
      <c r="O14" s="21" t="n">
        <v>0.029</v>
      </c>
      <c r="P14" s="20" t="n"/>
      <c r="Q14" s="22">
        <f>IF(COUNT(M14,N14,O14,P14)=0,"",IF(OR(AND(ISNUMBER(M14),ISNUMBER(X14),ABS(M14-N(X14))&gt;IF(N(X14)&gt;=80,25,IF(N(X14)&gt;=50,15,10))),AND(ISNUMBER(N14),ABS(N14-L36)&gt;L37),AND(ISNUMBER(O14),O14&gt;L38),AND(ISNUMBER(P14),ISNUMBER(W14),P14&lt;N(W14)*IF(N(W14)&gt;35,L40,L39))),"부적합:"&amp;IF(AND(ISNUMBER(M14),ISNUMBER(X14),ABS(M14-N(X14))&gt;IF(N(X14)&gt;=80,25,IF(N(X14)&gt;=50,15,10)))," 슬럼프","")&amp;IF(AND(ISNUMBER(N14),ABS(N14-L36)&gt;L37)," 공기량","")&amp;IF(AND(ISNUMBER(O14),O14&gt;L38)," 염분","")&amp;IF(AND(ISNUMBER(P14),ISNUMBER(W14),P14&lt;N(W14)*IF(N(W14)&gt;35,L40,L39))," 강도",""),IF(AND(ISNUMBER(P14),ISNUMBER(W14),P14&lt;N(W14)),"적합(강도 3회 평균 확인)",IF(ISNUMBER(P14),"적합","적합(28일 강도 대기)"))))</f>
        <v/>
      </c>
      <c r="R14" s="11" t="inlineStr">
        <is>
          <t>김품질</t>
        </is>
      </c>
      <c r="S14" s="23" t="inlineStr"/>
      <c r="T14" s="11" t="inlineStr">
        <is>
          <t>박감리</t>
        </is>
      </c>
      <c r="U14" s="23" t="inlineStr"/>
      <c r="W14" s="24">
        <f>IF(H14="","",IFERROR(VALUE(MID(SUBSTITUTE(H14," ",""),FIND("-",SUBSTITUTE(H14," ",""))+1,FIND("-",SUBSTITUTE(H14," ",""),FIND("-",SUBSTITUTE(H14," ",""))+1)-FIND("-",SUBSTITUTE(H14," ",""))-1)),""))</f>
        <v/>
      </c>
      <c r="X14" s="24">
        <f>IF(H14="","",IFERROR(VALUE(MID(SUBSTITUTE(H14," ",""),FIND("-",SUBSTITUTE(H14," ",""),FIND("-",SUBSTITUTE(H14," ",""))+1)+1,9)),""))</f>
        <v/>
      </c>
    </row>
    <row r="15" ht="24" customHeight="1">
      <c r="A15" s="11" t="inlineStr">
        <is>
          <t>보도 경계석 기초</t>
        </is>
      </c>
      <c r="B15" s="12" t="n">
        <v>46169</v>
      </c>
      <c r="C15" s="13" t="inlineStr">
        <is>
          <t>좌측 L=120m</t>
        </is>
      </c>
      <c r="D15" s="14" t="n">
        <v>14</v>
      </c>
      <c r="E15" s="14" t="n">
        <v>13</v>
      </c>
      <c r="F15" s="15">
        <f>IF(OR(D15="",E15=""),"",ROUND(E15-D15,3))</f>
        <v/>
      </c>
      <c r="G15" s="16">
        <f>IF(OR(A15="",E15=""),"",SUMIF(A8:A15,A15,E8:E15))</f>
        <v/>
      </c>
      <c r="H15" s="11" t="inlineStr">
        <is>
          <t>25-18-80</t>
        </is>
      </c>
      <c r="I15" s="17" t="inlineStr">
        <is>
          <t>예시레미콘(주)</t>
        </is>
      </c>
      <c r="J15" s="11" t="inlineStr">
        <is>
          <t>백호</t>
        </is>
      </c>
      <c r="K15" s="17" t="inlineStr">
        <is>
          <t>13:00~14:30</t>
        </is>
      </c>
      <c r="L15" s="18" t="n">
        <v>23</v>
      </c>
      <c r="M15" s="19" t="n">
        <v>80</v>
      </c>
      <c r="N15" s="20" t="n">
        <v>3.9</v>
      </c>
      <c r="O15" s="21" t="n">
        <v>0.038</v>
      </c>
      <c r="P15" s="20" t="n"/>
      <c r="Q15" s="22">
        <f>IF(COUNT(M15,N15,O15,P15)=0,"",IF(OR(AND(ISNUMBER(M15),ISNUMBER(X15),ABS(M15-N(X15))&gt;IF(N(X15)&gt;=80,25,IF(N(X15)&gt;=50,15,10))),AND(ISNUMBER(N15),ABS(N15-L36)&gt;L37),AND(ISNUMBER(O15),O15&gt;L38),AND(ISNUMBER(P15),ISNUMBER(W15),P15&lt;N(W15)*IF(N(W15)&gt;35,L40,L39))),"부적합:"&amp;IF(AND(ISNUMBER(M15),ISNUMBER(X15),ABS(M15-N(X15))&gt;IF(N(X15)&gt;=80,25,IF(N(X15)&gt;=50,15,10)))," 슬럼프","")&amp;IF(AND(ISNUMBER(N15),ABS(N15-L36)&gt;L37)," 공기량","")&amp;IF(AND(ISNUMBER(O15),O15&gt;L38)," 염분","")&amp;IF(AND(ISNUMBER(P15),ISNUMBER(W15),P15&lt;N(W15)*IF(N(W15)&gt;35,L40,L39))," 강도",""),IF(AND(ISNUMBER(P15),ISNUMBER(W15),P15&lt;N(W15)),"적합(강도 3회 평균 확인)",IF(ISNUMBER(P15),"적합","적합(28일 강도 대기)"))))</f>
        <v/>
      </c>
      <c r="R15" s="11" t="inlineStr">
        <is>
          <t>김품질</t>
        </is>
      </c>
      <c r="S15" s="23" t="inlineStr"/>
      <c r="T15" s="11" t="inlineStr">
        <is>
          <t>박감리</t>
        </is>
      </c>
      <c r="U15" s="23" t="inlineStr"/>
      <c r="W15" s="24">
        <f>IF(H15="","",IFERROR(VALUE(MID(SUBSTITUTE(H15," ",""),FIND("-",SUBSTITUTE(H15," ",""))+1,FIND("-",SUBSTITUTE(H15," ",""),FIND("-",SUBSTITUTE(H15," ",""))+1)-FIND("-",SUBSTITUTE(H15," ",""))-1)),""))</f>
        <v/>
      </c>
      <c r="X15" s="24">
        <f>IF(H15="","",IFERROR(VALUE(MID(SUBSTITUTE(H15," ",""),FIND("-",SUBSTITUTE(H15," ",""),FIND("-",SUBSTITUTE(H15," ",""))+1)+1,9)),""))</f>
        <v/>
      </c>
    </row>
    <row r="16" ht="24" customHeight="1">
      <c r="A16" s="11" t="n"/>
      <c r="B16" s="12" t="n"/>
      <c r="C16" s="13" t="n"/>
      <c r="D16" s="14" t="n"/>
      <c r="E16" s="14" t="n"/>
      <c r="F16" s="15">
        <f>IF(OR(D16="",E16=""),"",ROUND(E16-D16,3))</f>
        <v/>
      </c>
      <c r="G16" s="16">
        <f>IF(OR(A16="",E16=""),"",SUMIF(A8:A16,A16,E8:E16))</f>
        <v/>
      </c>
      <c r="H16" s="11" t="n"/>
      <c r="I16" s="17" t="n"/>
      <c r="J16" s="11" t="n"/>
      <c r="K16" s="17" t="n"/>
      <c r="L16" s="18" t="n"/>
      <c r="M16" s="19" t="n"/>
      <c r="N16" s="20" t="n"/>
      <c r="O16" s="21" t="n"/>
      <c r="P16" s="20" t="n"/>
      <c r="Q16" s="22">
        <f>IF(COUNT(M16,N16,O16,P16)=0,"",IF(OR(AND(ISNUMBER(M16),ISNUMBER(X16),ABS(M16-N(X16))&gt;IF(N(X16)&gt;=80,25,IF(N(X16)&gt;=50,15,10))),AND(ISNUMBER(N16),ABS(N16-L36)&gt;L37),AND(ISNUMBER(O16),O16&gt;L38),AND(ISNUMBER(P16),ISNUMBER(W16),P16&lt;N(W16)*IF(N(W16)&gt;35,L40,L39))),"부적합:"&amp;IF(AND(ISNUMBER(M16),ISNUMBER(X16),ABS(M16-N(X16))&gt;IF(N(X16)&gt;=80,25,IF(N(X16)&gt;=50,15,10)))," 슬럼프","")&amp;IF(AND(ISNUMBER(N16),ABS(N16-L36)&gt;L37)," 공기량","")&amp;IF(AND(ISNUMBER(O16),O16&gt;L38)," 염분","")&amp;IF(AND(ISNUMBER(P16),ISNUMBER(W16),P16&lt;N(W16)*IF(N(W16)&gt;35,L40,L39))," 강도",""),IF(AND(ISNUMBER(P16),ISNUMBER(W16),P16&lt;N(W16)),"적합(강도 3회 평균 확인)",IF(ISNUMBER(P16),"적합","적합(28일 강도 대기)"))))</f>
        <v/>
      </c>
      <c r="R16" s="11" t="n"/>
      <c r="S16" s="23" t="inlineStr"/>
      <c r="T16" s="11" t="n"/>
      <c r="U16" s="23" t="inlineStr"/>
      <c r="W16" s="24">
        <f>IF(H16="","",IFERROR(VALUE(MID(SUBSTITUTE(H16," ",""),FIND("-",SUBSTITUTE(H16," ",""))+1,FIND("-",SUBSTITUTE(H16," ",""),FIND("-",SUBSTITUTE(H16," ",""))+1)-FIND("-",SUBSTITUTE(H16," ",""))-1)),""))</f>
        <v/>
      </c>
      <c r="X16" s="24">
        <f>IF(H16="","",IFERROR(VALUE(MID(SUBSTITUTE(H16," ",""),FIND("-",SUBSTITUTE(H16," ",""),FIND("-",SUBSTITUTE(H16," ",""))+1)+1,9)),""))</f>
        <v/>
      </c>
    </row>
    <row r="17" ht="24" customHeight="1">
      <c r="A17" s="11" t="n"/>
      <c r="B17" s="12" t="n"/>
      <c r="C17" s="13" t="n"/>
      <c r="D17" s="14" t="n"/>
      <c r="E17" s="14" t="n"/>
      <c r="F17" s="15">
        <f>IF(OR(D17="",E17=""),"",ROUND(E17-D17,3))</f>
        <v/>
      </c>
      <c r="G17" s="16">
        <f>IF(OR(A17="",E17=""),"",SUMIF(A8:A17,A17,E8:E17))</f>
        <v/>
      </c>
      <c r="H17" s="11" t="n"/>
      <c r="I17" s="17" t="n"/>
      <c r="J17" s="11" t="n"/>
      <c r="K17" s="17" t="n"/>
      <c r="L17" s="18" t="n"/>
      <c r="M17" s="19" t="n"/>
      <c r="N17" s="20" t="n"/>
      <c r="O17" s="21" t="n"/>
      <c r="P17" s="20" t="n"/>
      <c r="Q17" s="22">
        <f>IF(COUNT(M17,N17,O17,P17)=0,"",IF(OR(AND(ISNUMBER(M17),ISNUMBER(X17),ABS(M17-N(X17))&gt;IF(N(X17)&gt;=80,25,IF(N(X17)&gt;=50,15,10))),AND(ISNUMBER(N17),ABS(N17-L36)&gt;L37),AND(ISNUMBER(O17),O17&gt;L38),AND(ISNUMBER(P17),ISNUMBER(W17),P17&lt;N(W17)*IF(N(W17)&gt;35,L40,L39))),"부적합:"&amp;IF(AND(ISNUMBER(M17),ISNUMBER(X17),ABS(M17-N(X17))&gt;IF(N(X17)&gt;=80,25,IF(N(X17)&gt;=50,15,10)))," 슬럼프","")&amp;IF(AND(ISNUMBER(N17),ABS(N17-L36)&gt;L37)," 공기량","")&amp;IF(AND(ISNUMBER(O17),O17&gt;L38)," 염분","")&amp;IF(AND(ISNUMBER(P17),ISNUMBER(W17),P17&lt;N(W17)*IF(N(W17)&gt;35,L40,L39))," 강도",""),IF(AND(ISNUMBER(P17),ISNUMBER(W17),P17&lt;N(W17)),"적합(강도 3회 평균 확인)",IF(ISNUMBER(P17),"적합","적합(28일 강도 대기)"))))</f>
        <v/>
      </c>
      <c r="R17" s="11" t="n"/>
      <c r="S17" s="23" t="inlineStr"/>
      <c r="T17" s="11" t="n"/>
      <c r="U17" s="23" t="inlineStr"/>
      <c r="W17" s="24">
        <f>IF(H17="","",IFERROR(VALUE(MID(SUBSTITUTE(H17," ",""),FIND("-",SUBSTITUTE(H17," ",""))+1,FIND("-",SUBSTITUTE(H17," ",""),FIND("-",SUBSTITUTE(H17," ",""))+1)-FIND("-",SUBSTITUTE(H17," ",""))-1)),""))</f>
        <v/>
      </c>
      <c r="X17" s="24">
        <f>IF(H17="","",IFERROR(VALUE(MID(SUBSTITUTE(H17," ",""),FIND("-",SUBSTITUTE(H17," ",""),FIND("-",SUBSTITUTE(H17," ",""))+1)+1,9)),""))</f>
        <v/>
      </c>
    </row>
    <row r="18" ht="24" customHeight="1">
      <c r="A18" s="11" t="n"/>
      <c r="B18" s="12" t="n"/>
      <c r="C18" s="13" t="n"/>
      <c r="D18" s="14" t="n"/>
      <c r="E18" s="14" t="n"/>
      <c r="F18" s="15">
        <f>IF(OR(D18="",E18=""),"",ROUND(E18-D18,3))</f>
        <v/>
      </c>
      <c r="G18" s="16">
        <f>IF(OR(A18="",E18=""),"",SUMIF(A8:A18,A18,E8:E18))</f>
        <v/>
      </c>
      <c r="H18" s="11" t="n"/>
      <c r="I18" s="17" t="n"/>
      <c r="J18" s="11" t="n"/>
      <c r="K18" s="17" t="n"/>
      <c r="L18" s="18" t="n"/>
      <c r="M18" s="19" t="n"/>
      <c r="N18" s="20" t="n"/>
      <c r="O18" s="21" t="n"/>
      <c r="P18" s="20" t="n"/>
      <c r="Q18" s="22">
        <f>IF(COUNT(M18,N18,O18,P18)=0,"",IF(OR(AND(ISNUMBER(M18),ISNUMBER(X18),ABS(M18-N(X18))&gt;IF(N(X18)&gt;=80,25,IF(N(X18)&gt;=50,15,10))),AND(ISNUMBER(N18),ABS(N18-L36)&gt;L37),AND(ISNUMBER(O18),O18&gt;L38),AND(ISNUMBER(P18),ISNUMBER(W18),P18&lt;N(W18)*IF(N(W18)&gt;35,L40,L39))),"부적합:"&amp;IF(AND(ISNUMBER(M18),ISNUMBER(X18),ABS(M18-N(X18))&gt;IF(N(X18)&gt;=80,25,IF(N(X18)&gt;=50,15,10)))," 슬럼프","")&amp;IF(AND(ISNUMBER(N18),ABS(N18-L36)&gt;L37)," 공기량","")&amp;IF(AND(ISNUMBER(O18),O18&gt;L38)," 염분","")&amp;IF(AND(ISNUMBER(P18),ISNUMBER(W18),P18&lt;N(W18)*IF(N(W18)&gt;35,L40,L39))," 강도",""),IF(AND(ISNUMBER(P18),ISNUMBER(W18),P18&lt;N(W18)),"적합(강도 3회 평균 확인)",IF(ISNUMBER(P18),"적합","적합(28일 강도 대기)"))))</f>
        <v/>
      </c>
      <c r="R18" s="11" t="n"/>
      <c r="S18" s="23" t="inlineStr"/>
      <c r="T18" s="11" t="n"/>
      <c r="U18" s="23" t="inlineStr"/>
      <c r="W18" s="24">
        <f>IF(H18="","",IFERROR(VALUE(MID(SUBSTITUTE(H18," ",""),FIND("-",SUBSTITUTE(H18," ",""))+1,FIND("-",SUBSTITUTE(H18," ",""),FIND("-",SUBSTITUTE(H18," ",""))+1)-FIND("-",SUBSTITUTE(H18," ",""))-1)),""))</f>
        <v/>
      </c>
      <c r="X18" s="24">
        <f>IF(H18="","",IFERROR(VALUE(MID(SUBSTITUTE(H18," ",""),FIND("-",SUBSTITUTE(H18," ",""),FIND("-",SUBSTITUTE(H18," ",""))+1)+1,9)),""))</f>
        <v/>
      </c>
    </row>
    <row r="19" ht="24" customHeight="1">
      <c r="A19" s="11" t="n"/>
      <c r="B19" s="12" t="n"/>
      <c r="C19" s="13" t="n"/>
      <c r="D19" s="14" t="n"/>
      <c r="E19" s="14" t="n"/>
      <c r="F19" s="15">
        <f>IF(OR(D19="",E19=""),"",ROUND(E19-D19,3))</f>
        <v/>
      </c>
      <c r="G19" s="16">
        <f>IF(OR(A19="",E19=""),"",SUMIF(A8:A19,A19,E8:E19))</f>
        <v/>
      </c>
      <c r="H19" s="11" t="n"/>
      <c r="I19" s="17" t="n"/>
      <c r="J19" s="11" t="n"/>
      <c r="K19" s="17" t="n"/>
      <c r="L19" s="18" t="n"/>
      <c r="M19" s="19" t="n"/>
      <c r="N19" s="20" t="n"/>
      <c r="O19" s="21" t="n"/>
      <c r="P19" s="20" t="n"/>
      <c r="Q19" s="22">
        <f>IF(COUNT(M19,N19,O19,P19)=0,"",IF(OR(AND(ISNUMBER(M19),ISNUMBER(X19),ABS(M19-N(X19))&gt;IF(N(X19)&gt;=80,25,IF(N(X19)&gt;=50,15,10))),AND(ISNUMBER(N19),ABS(N19-L36)&gt;L37),AND(ISNUMBER(O19),O19&gt;L38),AND(ISNUMBER(P19),ISNUMBER(W19),P19&lt;N(W19)*IF(N(W19)&gt;35,L40,L39))),"부적합:"&amp;IF(AND(ISNUMBER(M19),ISNUMBER(X19),ABS(M19-N(X19))&gt;IF(N(X19)&gt;=80,25,IF(N(X19)&gt;=50,15,10)))," 슬럼프","")&amp;IF(AND(ISNUMBER(N19),ABS(N19-L36)&gt;L37)," 공기량","")&amp;IF(AND(ISNUMBER(O19),O19&gt;L38)," 염분","")&amp;IF(AND(ISNUMBER(P19),ISNUMBER(W19),P19&lt;N(W19)*IF(N(W19)&gt;35,L40,L39))," 강도",""),IF(AND(ISNUMBER(P19),ISNUMBER(W19),P19&lt;N(W19)),"적합(강도 3회 평균 확인)",IF(ISNUMBER(P19),"적합","적합(28일 강도 대기)"))))</f>
        <v/>
      </c>
      <c r="R19" s="11" t="n"/>
      <c r="S19" s="23" t="inlineStr"/>
      <c r="T19" s="11" t="n"/>
      <c r="U19" s="23" t="inlineStr"/>
      <c r="W19" s="24">
        <f>IF(H19="","",IFERROR(VALUE(MID(SUBSTITUTE(H19," ",""),FIND("-",SUBSTITUTE(H19," ",""))+1,FIND("-",SUBSTITUTE(H19," ",""),FIND("-",SUBSTITUTE(H19," ",""))+1)-FIND("-",SUBSTITUTE(H19," ",""))-1)),""))</f>
        <v/>
      </c>
      <c r="X19" s="24">
        <f>IF(H19="","",IFERROR(VALUE(MID(SUBSTITUTE(H19," ",""),FIND("-",SUBSTITUTE(H19," ",""),FIND("-",SUBSTITUTE(H19," ",""))+1)+1,9)),""))</f>
        <v/>
      </c>
    </row>
    <row r="20" ht="24" customHeight="1">
      <c r="A20" s="11" t="n"/>
      <c r="B20" s="12" t="n"/>
      <c r="C20" s="13" t="n"/>
      <c r="D20" s="14" t="n"/>
      <c r="E20" s="14" t="n"/>
      <c r="F20" s="15">
        <f>IF(OR(D20="",E20=""),"",ROUND(E20-D20,3))</f>
        <v/>
      </c>
      <c r="G20" s="16">
        <f>IF(OR(A20="",E20=""),"",SUMIF(A8:A20,A20,E8:E20))</f>
        <v/>
      </c>
      <c r="H20" s="11" t="n"/>
      <c r="I20" s="17" t="n"/>
      <c r="J20" s="11" t="n"/>
      <c r="K20" s="17" t="n"/>
      <c r="L20" s="18" t="n"/>
      <c r="M20" s="19" t="n"/>
      <c r="N20" s="20" t="n"/>
      <c r="O20" s="21" t="n"/>
      <c r="P20" s="20" t="n"/>
      <c r="Q20" s="22">
        <f>IF(COUNT(M20,N20,O20,P20)=0,"",IF(OR(AND(ISNUMBER(M20),ISNUMBER(X20),ABS(M20-N(X20))&gt;IF(N(X20)&gt;=80,25,IF(N(X20)&gt;=50,15,10))),AND(ISNUMBER(N20),ABS(N20-L36)&gt;L37),AND(ISNUMBER(O20),O20&gt;L38),AND(ISNUMBER(P20),ISNUMBER(W20),P20&lt;N(W20)*IF(N(W20)&gt;35,L40,L39))),"부적합:"&amp;IF(AND(ISNUMBER(M20),ISNUMBER(X20),ABS(M20-N(X20))&gt;IF(N(X20)&gt;=80,25,IF(N(X20)&gt;=50,15,10)))," 슬럼프","")&amp;IF(AND(ISNUMBER(N20),ABS(N20-L36)&gt;L37)," 공기량","")&amp;IF(AND(ISNUMBER(O20),O20&gt;L38)," 염분","")&amp;IF(AND(ISNUMBER(P20),ISNUMBER(W20),P20&lt;N(W20)*IF(N(W20)&gt;35,L40,L39))," 강도",""),IF(AND(ISNUMBER(P20),ISNUMBER(W20),P20&lt;N(W20)),"적합(강도 3회 평균 확인)",IF(ISNUMBER(P20),"적합","적합(28일 강도 대기)"))))</f>
        <v/>
      </c>
      <c r="R20" s="11" t="n"/>
      <c r="S20" s="23" t="inlineStr"/>
      <c r="T20" s="11" t="n"/>
      <c r="U20" s="23" t="inlineStr"/>
      <c r="W20" s="24">
        <f>IF(H20="","",IFERROR(VALUE(MID(SUBSTITUTE(H20," ",""),FIND("-",SUBSTITUTE(H20," ",""))+1,FIND("-",SUBSTITUTE(H20," ",""),FIND("-",SUBSTITUTE(H20," ",""))+1)-FIND("-",SUBSTITUTE(H20," ",""))-1)),""))</f>
        <v/>
      </c>
      <c r="X20" s="24">
        <f>IF(H20="","",IFERROR(VALUE(MID(SUBSTITUTE(H20," ",""),FIND("-",SUBSTITUTE(H20," ",""),FIND("-",SUBSTITUTE(H20," ",""))+1)+1,9)),""))</f>
        <v/>
      </c>
    </row>
    <row r="21" ht="24" customHeight="1">
      <c r="A21" s="11" t="n"/>
      <c r="B21" s="12" t="n"/>
      <c r="C21" s="13" t="n"/>
      <c r="D21" s="14" t="n"/>
      <c r="E21" s="14" t="n"/>
      <c r="F21" s="15">
        <f>IF(OR(D21="",E21=""),"",ROUND(E21-D21,3))</f>
        <v/>
      </c>
      <c r="G21" s="16">
        <f>IF(OR(A21="",E21=""),"",SUMIF(A8:A21,A21,E8:E21))</f>
        <v/>
      </c>
      <c r="H21" s="11" t="n"/>
      <c r="I21" s="17" t="n"/>
      <c r="J21" s="11" t="n"/>
      <c r="K21" s="17" t="n"/>
      <c r="L21" s="18" t="n"/>
      <c r="M21" s="19" t="n"/>
      <c r="N21" s="20" t="n"/>
      <c r="O21" s="21" t="n"/>
      <c r="P21" s="20" t="n"/>
      <c r="Q21" s="22">
        <f>IF(COUNT(M21,N21,O21,P21)=0,"",IF(OR(AND(ISNUMBER(M21),ISNUMBER(X21),ABS(M21-N(X21))&gt;IF(N(X21)&gt;=80,25,IF(N(X21)&gt;=50,15,10))),AND(ISNUMBER(N21),ABS(N21-L36)&gt;L37),AND(ISNUMBER(O21),O21&gt;L38),AND(ISNUMBER(P21),ISNUMBER(W21),P21&lt;N(W21)*IF(N(W21)&gt;35,L40,L39))),"부적합:"&amp;IF(AND(ISNUMBER(M21),ISNUMBER(X21),ABS(M21-N(X21))&gt;IF(N(X21)&gt;=80,25,IF(N(X21)&gt;=50,15,10)))," 슬럼프","")&amp;IF(AND(ISNUMBER(N21),ABS(N21-L36)&gt;L37)," 공기량","")&amp;IF(AND(ISNUMBER(O21),O21&gt;L38)," 염분","")&amp;IF(AND(ISNUMBER(P21),ISNUMBER(W21),P21&lt;N(W21)*IF(N(W21)&gt;35,L40,L39))," 강도",""),IF(AND(ISNUMBER(P21),ISNUMBER(W21),P21&lt;N(W21)),"적합(강도 3회 평균 확인)",IF(ISNUMBER(P21),"적합","적합(28일 강도 대기)"))))</f>
        <v/>
      </c>
      <c r="R21" s="11" t="n"/>
      <c r="S21" s="23" t="inlineStr"/>
      <c r="T21" s="11" t="n"/>
      <c r="U21" s="23" t="inlineStr"/>
      <c r="W21" s="24">
        <f>IF(H21="","",IFERROR(VALUE(MID(SUBSTITUTE(H21," ",""),FIND("-",SUBSTITUTE(H21," ",""))+1,FIND("-",SUBSTITUTE(H21," ",""),FIND("-",SUBSTITUTE(H21," ",""))+1)-FIND("-",SUBSTITUTE(H21," ",""))-1)),""))</f>
        <v/>
      </c>
      <c r="X21" s="24">
        <f>IF(H21="","",IFERROR(VALUE(MID(SUBSTITUTE(H21," ",""),FIND("-",SUBSTITUTE(H21," ",""),FIND("-",SUBSTITUTE(H21," ",""))+1)+1,9)),""))</f>
        <v/>
      </c>
    </row>
    <row r="22" ht="24" customHeight="1">
      <c r="A22" s="11" t="n"/>
      <c r="B22" s="12" t="n"/>
      <c r="C22" s="13" t="n"/>
      <c r="D22" s="14" t="n"/>
      <c r="E22" s="14" t="n"/>
      <c r="F22" s="15">
        <f>IF(OR(D22="",E22=""),"",ROUND(E22-D22,3))</f>
        <v/>
      </c>
      <c r="G22" s="16">
        <f>IF(OR(A22="",E22=""),"",SUMIF(A8:A22,A22,E8:E22))</f>
        <v/>
      </c>
      <c r="H22" s="11" t="n"/>
      <c r="I22" s="17" t="n"/>
      <c r="J22" s="11" t="n"/>
      <c r="K22" s="17" t="n"/>
      <c r="L22" s="18" t="n"/>
      <c r="M22" s="19" t="n"/>
      <c r="N22" s="20" t="n"/>
      <c r="O22" s="21" t="n"/>
      <c r="P22" s="20" t="n"/>
      <c r="Q22" s="22">
        <f>IF(COUNT(M22,N22,O22,P22)=0,"",IF(OR(AND(ISNUMBER(M22),ISNUMBER(X22),ABS(M22-N(X22))&gt;IF(N(X22)&gt;=80,25,IF(N(X22)&gt;=50,15,10))),AND(ISNUMBER(N22),ABS(N22-L36)&gt;L37),AND(ISNUMBER(O22),O22&gt;L38),AND(ISNUMBER(P22),ISNUMBER(W22),P22&lt;N(W22)*IF(N(W22)&gt;35,L40,L39))),"부적합:"&amp;IF(AND(ISNUMBER(M22),ISNUMBER(X22),ABS(M22-N(X22))&gt;IF(N(X22)&gt;=80,25,IF(N(X22)&gt;=50,15,10)))," 슬럼프","")&amp;IF(AND(ISNUMBER(N22),ABS(N22-L36)&gt;L37)," 공기량","")&amp;IF(AND(ISNUMBER(O22),O22&gt;L38)," 염분","")&amp;IF(AND(ISNUMBER(P22),ISNUMBER(W22),P22&lt;N(W22)*IF(N(W22)&gt;35,L40,L39))," 강도",""),IF(AND(ISNUMBER(P22),ISNUMBER(W22),P22&lt;N(W22)),"적합(강도 3회 평균 확인)",IF(ISNUMBER(P22),"적합","적합(28일 강도 대기)"))))</f>
        <v/>
      </c>
      <c r="R22" s="11" t="n"/>
      <c r="S22" s="23" t="inlineStr"/>
      <c r="T22" s="11" t="n"/>
      <c r="U22" s="23" t="inlineStr"/>
      <c r="W22" s="24">
        <f>IF(H22="","",IFERROR(VALUE(MID(SUBSTITUTE(H22," ",""),FIND("-",SUBSTITUTE(H22," ",""))+1,FIND("-",SUBSTITUTE(H22," ",""),FIND("-",SUBSTITUTE(H22," ",""))+1)-FIND("-",SUBSTITUTE(H22," ",""))-1)),""))</f>
        <v/>
      </c>
      <c r="X22" s="24">
        <f>IF(H22="","",IFERROR(VALUE(MID(SUBSTITUTE(H22," ",""),FIND("-",SUBSTITUTE(H22," ",""),FIND("-",SUBSTITUTE(H22," ",""))+1)+1,9)),""))</f>
        <v/>
      </c>
    </row>
    <row r="23" ht="24" customHeight="1">
      <c r="A23" s="11" t="n"/>
      <c r="B23" s="12" t="n"/>
      <c r="C23" s="13" t="n"/>
      <c r="D23" s="14" t="n"/>
      <c r="E23" s="14" t="n"/>
      <c r="F23" s="15">
        <f>IF(OR(D23="",E23=""),"",ROUND(E23-D23,3))</f>
        <v/>
      </c>
      <c r="G23" s="16">
        <f>IF(OR(A23="",E23=""),"",SUMIF(A8:A23,A23,E8:E23))</f>
        <v/>
      </c>
      <c r="H23" s="11" t="n"/>
      <c r="I23" s="17" t="n"/>
      <c r="J23" s="11" t="n"/>
      <c r="K23" s="17" t="n"/>
      <c r="L23" s="18" t="n"/>
      <c r="M23" s="19" t="n"/>
      <c r="N23" s="20" t="n"/>
      <c r="O23" s="21" t="n"/>
      <c r="P23" s="20" t="n"/>
      <c r="Q23" s="22">
        <f>IF(COUNT(M23,N23,O23,P23)=0,"",IF(OR(AND(ISNUMBER(M23),ISNUMBER(X23),ABS(M23-N(X23))&gt;IF(N(X23)&gt;=80,25,IF(N(X23)&gt;=50,15,10))),AND(ISNUMBER(N23),ABS(N23-L36)&gt;L37),AND(ISNUMBER(O23),O23&gt;L38),AND(ISNUMBER(P23),ISNUMBER(W23),P23&lt;N(W23)*IF(N(W23)&gt;35,L40,L39))),"부적합:"&amp;IF(AND(ISNUMBER(M23),ISNUMBER(X23),ABS(M23-N(X23))&gt;IF(N(X23)&gt;=80,25,IF(N(X23)&gt;=50,15,10)))," 슬럼프","")&amp;IF(AND(ISNUMBER(N23),ABS(N23-L36)&gt;L37)," 공기량","")&amp;IF(AND(ISNUMBER(O23),O23&gt;L38)," 염분","")&amp;IF(AND(ISNUMBER(P23),ISNUMBER(W23),P23&lt;N(W23)*IF(N(W23)&gt;35,L40,L39))," 강도",""),IF(AND(ISNUMBER(P23),ISNUMBER(W23),P23&lt;N(W23)),"적합(강도 3회 평균 확인)",IF(ISNUMBER(P23),"적합","적합(28일 강도 대기)"))))</f>
        <v/>
      </c>
      <c r="R23" s="11" t="n"/>
      <c r="S23" s="23" t="inlineStr"/>
      <c r="T23" s="11" t="n"/>
      <c r="U23" s="23" t="inlineStr"/>
      <c r="W23" s="24">
        <f>IF(H23="","",IFERROR(VALUE(MID(SUBSTITUTE(H23," ",""),FIND("-",SUBSTITUTE(H23," ",""))+1,FIND("-",SUBSTITUTE(H23," ",""),FIND("-",SUBSTITUTE(H23," ",""))+1)-FIND("-",SUBSTITUTE(H23," ",""))-1)),""))</f>
        <v/>
      </c>
      <c r="X23" s="24">
        <f>IF(H23="","",IFERROR(VALUE(MID(SUBSTITUTE(H23," ",""),FIND("-",SUBSTITUTE(H23," ",""),FIND("-",SUBSTITUTE(H23," ",""))+1)+1,9)),""))</f>
        <v/>
      </c>
    </row>
    <row r="24" ht="24" customHeight="1">
      <c r="A24" s="11" t="n"/>
      <c r="B24" s="12" t="n"/>
      <c r="C24" s="13" t="n"/>
      <c r="D24" s="14" t="n"/>
      <c r="E24" s="14" t="n"/>
      <c r="F24" s="15">
        <f>IF(OR(D24="",E24=""),"",ROUND(E24-D24,3))</f>
        <v/>
      </c>
      <c r="G24" s="16">
        <f>IF(OR(A24="",E24=""),"",SUMIF(A8:A24,A24,E8:E24))</f>
        <v/>
      </c>
      <c r="H24" s="11" t="n"/>
      <c r="I24" s="17" t="n"/>
      <c r="J24" s="11" t="n"/>
      <c r="K24" s="17" t="n"/>
      <c r="L24" s="18" t="n"/>
      <c r="M24" s="19" t="n"/>
      <c r="N24" s="20" t="n"/>
      <c r="O24" s="21" t="n"/>
      <c r="P24" s="20" t="n"/>
      <c r="Q24" s="22">
        <f>IF(COUNT(M24,N24,O24,P24)=0,"",IF(OR(AND(ISNUMBER(M24),ISNUMBER(X24),ABS(M24-N(X24))&gt;IF(N(X24)&gt;=80,25,IF(N(X24)&gt;=50,15,10))),AND(ISNUMBER(N24),ABS(N24-L36)&gt;L37),AND(ISNUMBER(O24),O24&gt;L38),AND(ISNUMBER(P24),ISNUMBER(W24),P24&lt;N(W24)*IF(N(W24)&gt;35,L40,L39))),"부적합:"&amp;IF(AND(ISNUMBER(M24),ISNUMBER(X24),ABS(M24-N(X24))&gt;IF(N(X24)&gt;=80,25,IF(N(X24)&gt;=50,15,10)))," 슬럼프","")&amp;IF(AND(ISNUMBER(N24),ABS(N24-L36)&gt;L37)," 공기량","")&amp;IF(AND(ISNUMBER(O24),O24&gt;L38)," 염분","")&amp;IF(AND(ISNUMBER(P24),ISNUMBER(W24),P24&lt;N(W24)*IF(N(W24)&gt;35,L40,L39))," 강도",""),IF(AND(ISNUMBER(P24),ISNUMBER(W24),P24&lt;N(W24)),"적합(강도 3회 평균 확인)",IF(ISNUMBER(P24),"적합","적합(28일 강도 대기)"))))</f>
        <v/>
      </c>
      <c r="R24" s="11" t="n"/>
      <c r="S24" s="23" t="inlineStr"/>
      <c r="T24" s="11" t="n"/>
      <c r="U24" s="23" t="inlineStr"/>
      <c r="W24" s="24">
        <f>IF(H24="","",IFERROR(VALUE(MID(SUBSTITUTE(H24," ",""),FIND("-",SUBSTITUTE(H24," ",""))+1,FIND("-",SUBSTITUTE(H24," ",""),FIND("-",SUBSTITUTE(H24," ",""))+1)-FIND("-",SUBSTITUTE(H24," ",""))-1)),""))</f>
        <v/>
      </c>
      <c r="X24" s="24">
        <f>IF(H24="","",IFERROR(VALUE(MID(SUBSTITUTE(H24," ",""),FIND("-",SUBSTITUTE(H24," ",""),FIND("-",SUBSTITUTE(H24," ",""))+1)+1,9)),""))</f>
        <v/>
      </c>
    </row>
    <row r="25" ht="24" customHeight="1">
      <c r="A25" s="11" t="n"/>
      <c r="B25" s="12" t="n"/>
      <c r="C25" s="13" t="n"/>
      <c r="D25" s="14" t="n"/>
      <c r="E25" s="14" t="n"/>
      <c r="F25" s="15">
        <f>IF(OR(D25="",E25=""),"",ROUND(E25-D25,3))</f>
        <v/>
      </c>
      <c r="G25" s="16">
        <f>IF(OR(A25="",E25=""),"",SUMIF(A8:A25,A25,E8:E25))</f>
        <v/>
      </c>
      <c r="H25" s="11" t="n"/>
      <c r="I25" s="17" t="n"/>
      <c r="J25" s="11" t="n"/>
      <c r="K25" s="17" t="n"/>
      <c r="L25" s="18" t="n"/>
      <c r="M25" s="19" t="n"/>
      <c r="N25" s="20" t="n"/>
      <c r="O25" s="21" t="n"/>
      <c r="P25" s="20" t="n"/>
      <c r="Q25" s="22">
        <f>IF(COUNT(M25,N25,O25,P25)=0,"",IF(OR(AND(ISNUMBER(M25),ISNUMBER(X25),ABS(M25-N(X25))&gt;IF(N(X25)&gt;=80,25,IF(N(X25)&gt;=50,15,10))),AND(ISNUMBER(N25),ABS(N25-L36)&gt;L37),AND(ISNUMBER(O25),O25&gt;L38),AND(ISNUMBER(P25),ISNUMBER(W25),P25&lt;N(W25)*IF(N(W25)&gt;35,L40,L39))),"부적합:"&amp;IF(AND(ISNUMBER(M25),ISNUMBER(X25),ABS(M25-N(X25))&gt;IF(N(X25)&gt;=80,25,IF(N(X25)&gt;=50,15,10)))," 슬럼프","")&amp;IF(AND(ISNUMBER(N25),ABS(N25-L36)&gt;L37)," 공기량","")&amp;IF(AND(ISNUMBER(O25),O25&gt;L38)," 염분","")&amp;IF(AND(ISNUMBER(P25),ISNUMBER(W25),P25&lt;N(W25)*IF(N(W25)&gt;35,L40,L39))," 강도",""),IF(AND(ISNUMBER(P25),ISNUMBER(W25),P25&lt;N(W25)),"적합(강도 3회 평균 확인)",IF(ISNUMBER(P25),"적합","적합(28일 강도 대기)"))))</f>
        <v/>
      </c>
      <c r="R25" s="11" t="n"/>
      <c r="S25" s="23" t="inlineStr"/>
      <c r="T25" s="11" t="n"/>
      <c r="U25" s="23" t="inlineStr"/>
      <c r="W25" s="24">
        <f>IF(H25="","",IFERROR(VALUE(MID(SUBSTITUTE(H25," ",""),FIND("-",SUBSTITUTE(H25," ",""))+1,FIND("-",SUBSTITUTE(H25," ",""),FIND("-",SUBSTITUTE(H25," ",""))+1)-FIND("-",SUBSTITUTE(H25," ",""))-1)),""))</f>
        <v/>
      </c>
      <c r="X25" s="24">
        <f>IF(H25="","",IFERROR(VALUE(MID(SUBSTITUTE(H25," ",""),FIND("-",SUBSTITUTE(H25," ",""),FIND("-",SUBSTITUTE(H25," ",""))+1)+1,9)),""))</f>
        <v/>
      </c>
    </row>
    <row r="26" ht="24" customHeight="1">
      <c r="A26" s="11" t="n"/>
      <c r="B26" s="12" t="n"/>
      <c r="C26" s="13" t="n"/>
      <c r="D26" s="14" t="n"/>
      <c r="E26" s="14" t="n"/>
      <c r="F26" s="15">
        <f>IF(OR(D26="",E26=""),"",ROUND(E26-D26,3))</f>
        <v/>
      </c>
      <c r="G26" s="16">
        <f>IF(OR(A26="",E26=""),"",SUMIF(A8:A26,A26,E8:E26))</f>
        <v/>
      </c>
      <c r="H26" s="11" t="n"/>
      <c r="I26" s="17" t="n"/>
      <c r="J26" s="11" t="n"/>
      <c r="K26" s="17" t="n"/>
      <c r="L26" s="18" t="n"/>
      <c r="M26" s="19" t="n"/>
      <c r="N26" s="20" t="n"/>
      <c r="O26" s="21" t="n"/>
      <c r="P26" s="20" t="n"/>
      <c r="Q26" s="22">
        <f>IF(COUNT(M26,N26,O26,P26)=0,"",IF(OR(AND(ISNUMBER(M26),ISNUMBER(X26),ABS(M26-N(X26))&gt;IF(N(X26)&gt;=80,25,IF(N(X26)&gt;=50,15,10))),AND(ISNUMBER(N26),ABS(N26-L36)&gt;L37),AND(ISNUMBER(O26),O26&gt;L38),AND(ISNUMBER(P26),ISNUMBER(W26),P26&lt;N(W26)*IF(N(W26)&gt;35,L40,L39))),"부적합:"&amp;IF(AND(ISNUMBER(M26),ISNUMBER(X26),ABS(M26-N(X26))&gt;IF(N(X26)&gt;=80,25,IF(N(X26)&gt;=50,15,10)))," 슬럼프","")&amp;IF(AND(ISNUMBER(N26),ABS(N26-L36)&gt;L37)," 공기량","")&amp;IF(AND(ISNUMBER(O26),O26&gt;L38)," 염분","")&amp;IF(AND(ISNUMBER(P26),ISNUMBER(W26),P26&lt;N(W26)*IF(N(W26)&gt;35,L40,L39))," 강도",""),IF(AND(ISNUMBER(P26),ISNUMBER(W26),P26&lt;N(W26)),"적합(강도 3회 평균 확인)",IF(ISNUMBER(P26),"적합","적합(28일 강도 대기)"))))</f>
        <v/>
      </c>
      <c r="R26" s="11" t="n"/>
      <c r="S26" s="23" t="inlineStr"/>
      <c r="T26" s="11" t="n"/>
      <c r="U26" s="23" t="inlineStr"/>
      <c r="W26" s="24">
        <f>IF(H26="","",IFERROR(VALUE(MID(SUBSTITUTE(H26," ",""),FIND("-",SUBSTITUTE(H26," ",""))+1,FIND("-",SUBSTITUTE(H26," ",""),FIND("-",SUBSTITUTE(H26," ",""))+1)-FIND("-",SUBSTITUTE(H26," ",""))-1)),""))</f>
        <v/>
      </c>
      <c r="X26" s="24">
        <f>IF(H26="","",IFERROR(VALUE(MID(SUBSTITUTE(H26," ",""),FIND("-",SUBSTITUTE(H26," ",""),FIND("-",SUBSTITUTE(H26," ",""))+1)+1,9)),""))</f>
        <v/>
      </c>
    </row>
    <row r="27" ht="24" customHeight="1">
      <c r="A27" s="11" t="n"/>
      <c r="B27" s="12" t="n"/>
      <c r="C27" s="13" t="n"/>
      <c r="D27" s="14" t="n"/>
      <c r="E27" s="14" t="n"/>
      <c r="F27" s="15">
        <f>IF(OR(D27="",E27=""),"",ROUND(E27-D27,3))</f>
        <v/>
      </c>
      <c r="G27" s="16">
        <f>IF(OR(A27="",E27=""),"",SUMIF(A8:A27,A27,E8:E27))</f>
        <v/>
      </c>
      <c r="H27" s="11" t="n"/>
      <c r="I27" s="17" t="n"/>
      <c r="J27" s="11" t="n"/>
      <c r="K27" s="17" t="n"/>
      <c r="L27" s="18" t="n"/>
      <c r="M27" s="19" t="n"/>
      <c r="N27" s="20" t="n"/>
      <c r="O27" s="21" t="n"/>
      <c r="P27" s="20" t="n"/>
      <c r="Q27" s="22">
        <f>IF(COUNT(M27,N27,O27,P27)=0,"",IF(OR(AND(ISNUMBER(M27),ISNUMBER(X27),ABS(M27-N(X27))&gt;IF(N(X27)&gt;=80,25,IF(N(X27)&gt;=50,15,10))),AND(ISNUMBER(N27),ABS(N27-L36)&gt;L37),AND(ISNUMBER(O27),O27&gt;L38),AND(ISNUMBER(P27),ISNUMBER(W27),P27&lt;N(W27)*IF(N(W27)&gt;35,L40,L39))),"부적합:"&amp;IF(AND(ISNUMBER(M27),ISNUMBER(X27),ABS(M27-N(X27))&gt;IF(N(X27)&gt;=80,25,IF(N(X27)&gt;=50,15,10)))," 슬럼프","")&amp;IF(AND(ISNUMBER(N27),ABS(N27-L36)&gt;L37)," 공기량","")&amp;IF(AND(ISNUMBER(O27),O27&gt;L38)," 염분","")&amp;IF(AND(ISNUMBER(P27),ISNUMBER(W27),P27&lt;N(W27)*IF(N(W27)&gt;35,L40,L39))," 강도",""),IF(AND(ISNUMBER(P27),ISNUMBER(W27),P27&lt;N(W27)),"적합(강도 3회 평균 확인)",IF(ISNUMBER(P27),"적합","적합(28일 강도 대기)"))))</f>
        <v/>
      </c>
      <c r="R27" s="11" t="n"/>
      <c r="S27" s="23" t="inlineStr"/>
      <c r="T27" s="11" t="n"/>
      <c r="U27" s="23" t="inlineStr"/>
      <c r="W27" s="24">
        <f>IF(H27="","",IFERROR(VALUE(MID(SUBSTITUTE(H27," ",""),FIND("-",SUBSTITUTE(H27," ",""))+1,FIND("-",SUBSTITUTE(H27," ",""),FIND("-",SUBSTITUTE(H27," ",""))+1)-FIND("-",SUBSTITUTE(H27," ",""))-1)),""))</f>
        <v/>
      </c>
      <c r="X27" s="24">
        <f>IF(H27="","",IFERROR(VALUE(MID(SUBSTITUTE(H27," ",""),FIND("-",SUBSTITUTE(H27," ",""),FIND("-",SUBSTITUTE(H27," ",""))+1)+1,9)),""))</f>
        <v/>
      </c>
    </row>
    <row r="28" ht="24" customHeight="1">
      <c r="A28" s="11" t="n"/>
      <c r="B28" s="12" t="n"/>
      <c r="C28" s="13" t="n"/>
      <c r="D28" s="14" t="n"/>
      <c r="E28" s="14" t="n"/>
      <c r="F28" s="15">
        <f>IF(OR(D28="",E28=""),"",ROUND(E28-D28,3))</f>
        <v/>
      </c>
      <c r="G28" s="16">
        <f>IF(OR(A28="",E28=""),"",SUMIF(A8:A28,A28,E8:E28))</f>
        <v/>
      </c>
      <c r="H28" s="11" t="n"/>
      <c r="I28" s="17" t="n"/>
      <c r="J28" s="11" t="n"/>
      <c r="K28" s="17" t="n"/>
      <c r="L28" s="18" t="n"/>
      <c r="M28" s="19" t="n"/>
      <c r="N28" s="20" t="n"/>
      <c r="O28" s="21" t="n"/>
      <c r="P28" s="20" t="n"/>
      <c r="Q28" s="22">
        <f>IF(COUNT(M28,N28,O28,P28)=0,"",IF(OR(AND(ISNUMBER(M28),ISNUMBER(X28),ABS(M28-N(X28))&gt;IF(N(X28)&gt;=80,25,IF(N(X28)&gt;=50,15,10))),AND(ISNUMBER(N28),ABS(N28-L36)&gt;L37),AND(ISNUMBER(O28),O28&gt;L38),AND(ISNUMBER(P28),ISNUMBER(W28),P28&lt;N(W28)*IF(N(W28)&gt;35,L40,L39))),"부적합:"&amp;IF(AND(ISNUMBER(M28),ISNUMBER(X28),ABS(M28-N(X28))&gt;IF(N(X28)&gt;=80,25,IF(N(X28)&gt;=50,15,10)))," 슬럼프","")&amp;IF(AND(ISNUMBER(N28),ABS(N28-L36)&gt;L37)," 공기량","")&amp;IF(AND(ISNUMBER(O28),O28&gt;L38)," 염분","")&amp;IF(AND(ISNUMBER(P28),ISNUMBER(W28),P28&lt;N(W28)*IF(N(W28)&gt;35,L40,L39))," 강도",""),IF(AND(ISNUMBER(P28),ISNUMBER(W28),P28&lt;N(W28)),"적합(강도 3회 평균 확인)",IF(ISNUMBER(P28),"적합","적합(28일 강도 대기)"))))</f>
        <v/>
      </c>
      <c r="R28" s="11" t="n"/>
      <c r="S28" s="23" t="inlineStr"/>
      <c r="T28" s="11" t="n"/>
      <c r="U28" s="23" t="inlineStr"/>
      <c r="W28" s="24">
        <f>IF(H28="","",IFERROR(VALUE(MID(SUBSTITUTE(H28," ",""),FIND("-",SUBSTITUTE(H28," ",""))+1,FIND("-",SUBSTITUTE(H28," ",""),FIND("-",SUBSTITUTE(H28," ",""))+1)-FIND("-",SUBSTITUTE(H28," ",""))-1)),""))</f>
        <v/>
      </c>
      <c r="X28" s="24">
        <f>IF(H28="","",IFERROR(VALUE(MID(SUBSTITUTE(H28," ",""),FIND("-",SUBSTITUTE(H28," ",""),FIND("-",SUBSTITUTE(H28," ",""))+1)+1,9)),""))</f>
        <v/>
      </c>
    </row>
    <row r="29" ht="24" customHeight="1">
      <c r="A29" s="11" t="n"/>
      <c r="B29" s="12" t="n"/>
      <c r="C29" s="13" t="n"/>
      <c r="D29" s="14" t="n"/>
      <c r="E29" s="14" t="n"/>
      <c r="F29" s="15">
        <f>IF(OR(D29="",E29=""),"",ROUND(E29-D29,3))</f>
        <v/>
      </c>
      <c r="G29" s="16">
        <f>IF(OR(A29="",E29=""),"",SUMIF(A8:A29,A29,E8:E29))</f>
        <v/>
      </c>
      <c r="H29" s="11" t="n"/>
      <c r="I29" s="17" t="n"/>
      <c r="J29" s="11" t="n"/>
      <c r="K29" s="17" t="n"/>
      <c r="L29" s="18" t="n"/>
      <c r="M29" s="19" t="n"/>
      <c r="N29" s="20" t="n"/>
      <c r="O29" s="21" t="n"/>
      <c r="P29" s="20" t="n"/>
      <c r="Q29" s="22">
        <f>IF(COUNT(M29,N29,O29,P29)=0,"",IF(OR(AND(ISNUMBER(M29),ISNUMBER(X29),ABS(M29-N(X29))&gt;IF(N(X29)&gt;=80,25,IF(N(X29)&gt;=50,15,10))),AND(ISNUMBER(N29),ABS(N29-L36)&gt;L37),AND(ISNUMBER(O29),O29&gt;L38),AND(ISNUMBER(P29),ISNUMBER(W29),P29&lt;N(W29)*IF(N(W29)&gt;35,L40,L39))),"부적합:"&amp;IF(AND(ISNUMBER(M29),ISNUMBER(X29),ABS(M29-N(X29))&gt;IF(N(X29)&gt;=80,25,IF(N(X29)&gt;=50,15,10)))," 슬럼프","")&amp;IF(AND(ISNUMBER(N29),ABS(N29-L36)&gt;L37)," 공기량","")&amp;IF(AND(ISNUMBER(O29),O29&gt;L38)," 염분","")&amp;IF(AND(ISNUMBER(P29),ISNUMBER(W29),P29&lt;N(W29)*IF(N(W29)&gt;35,L40,L39))," 강도",""),IF(AND(ISNUMBER(P29),ISNUMBER(W29),P29&lt;N(W29)),"적합(강도 3회 평균 확인)",IF(ISNUMBER(P29),"적합","적합(28일 강도 대기)"))))</f>
        <v/>
      </c>
      <c r="R29" s="11" t="n"/>
      <c r="S29" s="23" t="inlineStr"/>
      <c r="T29" s="11" t="n"/>
      <c r="U29" s="23" t="inlineStr"/>
      <c r="W29" s="24">
        <f>IF(H29="","",IFERROR(VALUE(MID(SUBSTITUTE(H29," ",""),FIND("-",SUBSTITUTE(H29," ",""))+1,FIND("-",SUBSTITUTE(H29," ",""),FIND("-",SUBSTITUTE(H29," ",""))+1)-FIND("-",SUBSTITUTE(H29," ",""))-1)),""))</f>
        <v/>
      </c>
      <c r="X29" s="24">
        <f>IF(H29="","",IFERROR(VALUE(MID(SUBSTITUTE(H29," ",""),FIND("-",SUBSTITUTE(H29," ",""),FIND("-",SUBSTITUTE(H29," ",""))+1)+1,9)),""))</f>
        <v/>
      </c>
    </row>
    <row r="30" ht="24" customHeight="1">
      <c r="A30" s="11" t="n"/>
      <c r="B30" s="12" t="n"/>
      <c r="C30" s="13" t="n"/>
      <c r="D30" s="14" t="n"/>
      <c r="E30" s="14" t="n"/>
      <c r="F30" s="15">
        <f>IF(OR(D30="",E30=""),"",ROUND(E30-D30,3))</f>
        <v/>
      </c>
      <c r="G30" s="16">
        <f>IF(OR(A30="",E30=""),"",SUMIF(A8:A30,A30,E8:E30))</f>
        <v/>
      </c>
      <c r="H30" s="11" t="n"/>
      <c r="I30" s="17" t="n"/>
      <c r="J30" s="11" t="n"/>
      <c r="K30" s="17" t="n"/>
      <c r="L30" s="18" t="n"/>
      <c r="M30" s="19" t="n"/>
      <c r="N30" s="20" t="n"/>
      <c r="O30" s="21" t="n"/>
      <c r="P30" s="20" t="n"/>
      <c r="Q30" s="22">
        <f>IF(COUNT(M30,N30,O30,P30)=0,"",IF(OR(AND(ISNUMBER(M30),ISNUMBER(X30),ABS(M30-N(X30))&gt;IF(N(X30)&gt;=80,25,IF(N(X30)&gt;=50,15,10))),AND(ISNUMBER(N30),ABS(N30-L36)&gt;L37),AND(ISNUMBER(O30),O30&gt;L38),AND(ISNUMBER(P30),ISNUMBER(W30),P30&lt;N(W30)*IF(N(W30)&gt;35,L40,L39))),"부적합:"&amp;IF(AND(ISNUMBER(M30),ISNUMBER(X30),ABS(M30-N(X30))&gt;IF(N(X30)&gt;=80,25,IF(N(X30)&gt;=50,15,10)))," 슬럼프","")&amp;IF(AND(ISNUMBER(N30),ABS(N30-L36)&gt;L37)," 공기량","")&amp;IF(AND(ISNUMBER(O30),O30&gt;L38)," 염분","")&amp;IF(AND(ISNUMBER(P30),ISNUMBER(W30),P30&lt;N(W30)*IF(N(W30)&gt;35,L40,L39))," 강도",""),IF(AND(ISNUMBER(P30),ISNUMBER(W30),P30&lt;N(W30)),"적합(강도 3회 평균 확인)",IF(ISNUMBER(P30),"적합","적합(28일 강도 대기)"))))</f>
        <v/>
      </c>
      <c r="R30" s="11" t="n"/>
      <c r="S30" s="23" t="inlineStr"/>
      <c r="T30" s="11" t="n"/>
      <c r="U30" s="23" t="inlineStr"/>
      <c r="W30" s="24">
        <f>IF(H30="","",IFERROR(VALUE(MID(SUBSTITUTE(H30," ",""),FIND("-",SUBSTITUTE(H30," ",""))+1,FIND("-",SUBSTITUTE(H30," ",""),FIND("-",SUBSTITUTE(H30," ",""))+1)-FIND("-",SUBSTITUTE(H30," ",""))-1)),""))</f>
        <v/>
      </c>
      <c r="X30" s="24">
        <f>IF(H30="","",IFERROR(VALUE(MID(SUBSTITUTE(H30," ",""),FIND("-",SUBSTITUTE(H30," ",""),FIND("-",SUBSTITUTE(H30," ",""))+1)+1,9)),""))</f>
        <v/>
      </c>
    </row>
    <row r="31" ht="24" customHeight="1">
      <c r="A31" s="11" t="n"/>
      <c r="B31" s="12" t="n"/>
      <c r="C31" s="13" t="n"/>
      <c r="D31" s="14" t="n"/>
      <c r="E31" s="14" t="n"/>
      <c r="F31" s="15">
        <f>IF(OR(D31="",E31=""),"",ROUND(E31-D31,3))</f>
        <v/>
      </c>
      <c r="G31" s="16">
        <f>IF(OR(A31="",E31=""),"",SUMIF(A8:A31,A31,E8:E31))</f>
        <v/>
      </c>
      <c r="H31" s="11" t="n"/>
      <c r="I31" s="17" t="n"/>
      <c r="J31" s="11" t="n"/>
      <c r="K31" s="17" t="n"/>
      <c r="L31" s="18" t="n"/>
      <c r="M31" s="19" t="n"/>
      <c r="N31" s="20" t="n"/>
      <c r="O31" s="21" t="n"/>
      <c r="P31" s="20" t="n"/>
      <c r="Q31" s="22">
        <f>IF(COUNT(M31,N31,O31,P31)=0,"",IF(OR(AND(ISNUMBER(M31),ISNUMBER(X31),ABS(M31-N(X31))&gt;IF(N(X31)&gt;=80,25,IF(N(X31)&gt;=50,15,10))),AND(ISNUMBER(N31),ABS(N31-L36)&gt;L37),AND(ISNUMBER(O31),O31&gt;L38),AND(ISNUMBER(P31),ISNUMBER(W31),P31&lt;N(W31)*IF(N(W31)&gt;35,L40,L39))),"부적합:"&amp;IF(AND(ISNUMBER(M31),ISNUMBER(X31),ABS(M31-N(X31))&gt;IF(N(X31)&gt;=80,25,IF(N(X31)&gt;=50,15,10)))," 슬럼프","")&amp;IF(AND(ISNUMBER(N31),ABS(N31-L36)&gt;L37)," 공기량","")&amp;IF(AND(ISNUMBER(O31),O31&gt;L38)," 염분","")&amp;IF(AND(ISNUMBER(P31),ISNUMBER(W31),P31&lt;N(W31)*IF(N(W31)&gt;35,L40,L39))," 강도",""),IF(AND(ISNUMBER(P31),ISNUMBER(W31),P31&lt;N(W31)),"적합(강도 3회 평균 확인)",IF(ISNUMBER(P31),"적합","적합(28일 강도 대기)"))))</f>
        <v/>
      </c>
      <c r="R31" s="11" t="n"/>
      <c r="S31" s="23" t="inlineStr"/>
      <c r="T31" s="11" t="n"/>
      <c r="U31" s="23" t="inlineStr"/>
      <c r="W31" s="24">
        <f>IF(H31="","",IFERROR(VALUE(MID(SUBSTITUTE(H31," ",""),FIND("-",SUBSTITUTE(H31," ",""))+1,FIND("-",SUBSTITUTE(H31," ",""),FIND("-",SUBSTITUTE(H31," ",""))+1)-FIND("-",SUBSTITUTE(H31," ",""))-1)),""))</f>
        <v/>
      </c>
      <c r="X31" s="24">
        <f>IF(H31="","",IFERROR(VALUE(MID(SUBSTITUTE(H31," ",""),FIND("-",SUBSTITUTE(H31," ",""),FIND("-",SUBSTITUTE(H31," ",""))+1)+1,9)),""))</f>
        <v/>
      </c>
    </row>
    <row r="32" ht="24" customHeight="1">
      <c r="A32" s="11" t="n"/>
      <c r="B32" s="12" t="n"/>
      <c r="C32" s="13" t="n"/>
      <c r="D32" s="14" t="n"/>
      <c r="E32" s="14" t="n"/>
      <c r="F32" s="15">
        <f>IF(OR(D32="",E32=""),"",ROUND(E32-D32,3))</f>
        <v/>
      </c>
      <c r="G32" s="16">
        <f>IF(OR(A32="",E32=""),"",SUMIF(A8:A32,A32,E8:E32))</f>
        <v/>
      </c>
      <c r="H32" s="11" t="n"/>
      <c r="I32" s="17" t="n"/>
      <c r="J32" s="11" t="n"/>
      <c r="K32" s="17" t="n"/>
      <c r="L32" s="18" t="n"/>
      <c r="M32" s="19" t="n"/>
      <c r="N32" s="20" t="n"/>
      <c r="O32" s="21" t="n"/>
      <c r="P32" s="20" t="n"/>
      <c r="Q32" s="22">
        <f>IF(COUNT(M32,N32,O32,P32)=0,"",IF(OR(AND(ISNUMBER(M32),ISNUMBER(X32),ABS(M32-N(X32))&gt;IF(N(X32)&gt;=80,25,IF(N(X32)&gt;=50,15,10))),AND(ISNUMBER(N32),ABS(N32-L36)&gt;L37),AND(ISNUMBER(O32),O32&gt;L38),AND(ISNUMBER(P32),ISNUMBER(W32),P32&lt;N(W32)*IF(N(W32)&gt;35,L40,L39))),"부적합:"&amp;IF(AND(ISNUMBER(M32),ISNUMBER(X32),ABS(M32-N(X32))&gt;IF(N(X32)&gt;=80,25,IF(N(X32)&gt;=50,15,10)))," 슬럼프","")&amp;IF(AND(ISNUMBER(N32),ABS(N32-L36)&gt;L37)," 공기량","")&amp;IF(AND(ISNUMBER(O32),O32&gt;L38)," 염분","")&amp;IF(AND(ISNUMBER(P32),ISNUMBER(W32),P32&lt;N(W32)*IF(N(W32)&gt;35,L40,L39))," 강도",""),IF(AND(ISNUMBER(P32),ISNUMBER(W32),P32&lt;N(W32)),"적합(강도 3회 평균 확인)",IF(ISNUMBER(P32),"적합","적합(28일 강도 대기)"))))</f>
        <v/>
      </c>
      <c r="R32" s="11" t="n"/>
      <c r="S32" s="23" t="inlineStr"/>
      <c r="T32" s="11" t="n"/>
      <c r="U32" s="23" t="inlineStr"/>
      <c r="W32" s="24">
        <f>IF(H32="","",IFERROR(VALUE(MID(SUBSTITUTE(H32," ",""),FIND("-",SUBSTITUTE(H32," ",""))+1,FIND("-",SUBSTITUTE(H32," ",""),FIND("-",SUBSTITUTE(H32," ",""))+1)-FIND("-",SUBSTITUTE(H32," ",""))-1)),""))</f>
        <v/>
      </c>
      <c r="X32" s="24">
        <f>IF(H32="","",IFERROR(VALUE(MID(SUBSTITUTE(H32," ",""),FIND("-",SUBSTITUTE(H32," ",""),FIND("-",SUBSTITUTE(H32," ",""))+1)+1,9)),""))</f>
        <v/>
      </c>
    </row>
    <row r="33" ht="24" customHeight="1">
      <c r="A33" s="25" t="inlineStr">
        <is>
          <t>합        계</t>
        </is>
      </c>
      <c r="B33" s="9" t="n"/>
      <c r="C33" s="9" t="n"/>
      <c r="D33" s="26">
        <f>IF(COUNT(D8:D32)=0,"",SUM(D8:D32))</f>
        <v/>
      </c>
      <c r="E33" s="26">
        <f>IF(COUNT(E8:E32)=0,"",SUM(E8:E32))</f>
        <v/>
      </c>
      <c r="F33" s="27">
        <f>IF(OR(D33="",E33=""),"",ROUND(E33-D33,3))</f>
        <v/>
      </c>
      <c r="G33" s="25" t="inlineStr"/>
      <c r="H33" s="9" t="n"/>
      <c r="I33" s="9" t="n"/>
      <c r="J33" s="9" t="n"/>
      <c r="K33" s="9" t="n"/>
      <c r="L33" s="9" t="n"/>
      <c r="M33" s="28">
        <f>IF(COUNTIF(Q8:Q32,"적합*")+COUNTIF(Q8:Q32,"부적합*")=0,"","시험 "&amp;(COUNTIF(Q8:Q32,"적합*")+COUNTIF(Q8:Q32,"부적합*"))&amp;"건 · 부적합 "&amp;COUNTIF(Q8:Q32,"부적합*")&amp;"건")</f>
        <v/>
      </c>
      <c r="N33" s="9" t="n"/>
      <c r="O33" s="9" t="n"/>
      <c r="P33" s="9" t="n"/>
      <c r="Q33" s="25" t="inlineStr"/>
      <c r="R33" s="25" t="inlineStr"/>
      <c r="S33" s="9" t="n"/>
      <c r="T33" s="9" t="n"/>
      <c r="U33" s="9" t="n"/>
    </row>
    <row r="34" ht="6" customHeight="1"/>
    <row r="35" ht="20" customHeight="1">
      <c r="A35" s="29" t="inlineStr">
        <is>
          <t>배합별 합계</t>
        </is>
      </c>
      <c r="B35" s="9" t="n"/>
      <c r="C35" s="9" t="n"/>
      <c r="D35" s="8" t="inlineStr">
        <is>
          <t>설계량</t>
        </is>
      </c>
      <c r="E35" s="8" t="inlineStr">
        <is>
          <t>타설량</t>
        </is>
      </c>
      <c r="F35" s="8" t="inlineStr">
        <is>
          <t>증감</t>
        </is>
      </c>
      <c r="G35" s="7" t="inlineStr"/>
      <c r="H35" s="30" t="inlineStr">
        <is>
          <t>판정 기준값 (KS F 4009 — 발주처 기준이 다르면 고치세요)</t>
        </is>
      </c>
      <c r="I35" s="9" t="n"/>
      <c r="J35" s="9" t="n"/>
      <c r="K35" s="9" t="n"/>
      <c r="L35" s="9" t="n"/>
      <c r="M35" s="7" t="inlineStr"/>
      <c r="O35" s="7" t="inlineStr"/>
    </row>
    <row r="36" ht="20" customHeight="1">
      <c r="A36" s="11" t="inlineStr">
        <is>
          <t>25-18-80</t>
        </is>
      </c>
      <c r="B36" s="9" t="n"/>
      <c r="C36" s="9" t="n"/>
      <c r="D36" s="16">
        <f>IF(A36="","",SUMIF(H8:H32,A36,D8:D32))</f>
        <v/>
      </c>
      <c r="E36" s="16">
        <f>IF(A36="","",SUMIF(H8:H32,A36,E8:E32))</f>
        <v/>
      </c>
      <c r="F36" s="15">
        <f>IF(A36="","",ROUND(E36-D36,3))</f>
        <v/>
      </c>
      <c r="G36" s="7" t="inlineStr"/>
      <c r="H36" s="31" t="inlineStr">
        <is>
          <t>공기량 기준(%)</t>
        </is>
      </c>
      <c r="I36" s="9" t="n"/>
      <c r="J36" s="9" t="n"/>
      <c r="K36" s="9" t="n"/>
      <c r="L36" s="32" t="n">
        <v>4.5</v>
      </c>
      <c r="M36" s="7" t="inlineStr"/>
      <c r="O36" s="7" t="inlineStr"/>
    </row>
    <row r="37" ht="20" customHeight="1">
      <c r="A37" s="11" t="inlineStr">
        <is>
          <t>25-24-150</t>
        </is>
      </c>
      <c r="B37" s="9" t="n"/>
      <c r="C37" s="9" t="n"/>
      <c r="D37" s="16">
        <f>IF(A37="","",SUMIF(H8:H32,A37,D8:D32))</f>
        <v/>
      </c>
      <c r="E37" s="16">
        <f>IF(A37="","",SUMIF(H8:H32,A37,E8:E32))</f>
        <v/>
      </c>
      <c r="F37" s="15">
        <f>IF(A37="","",ROUND(E37-D37,3))</f>
        <v/>
      </c>
      <c r="G37" s="7" t="inlineStr"/>
      <c r="H37" s="31" t="inlineStr">
        <is>
          <t>공기량 허용차(±%)</t>
        </is>
      </c>
      <c r="I37" s="9" t="n"/>
      <c r="J37" s="9" t="n"/>
      <c r="K37" s="9" t="n"/>
      <c r="L37" s="32" t="n">
        <v>1.5</v>
      </c>
      <c r="M37" s="7" t="inlineStr"/>
      <c r="O37" s="7" t="inlineStr"/>
    </row>
    <row r="38" ht="20" customHeight="1">
      <c r="A38" s="11" t="n"/>
      <c r="B38" s="9" t="n"/>
      <c r="C38" s="9" t="n"/>
      <c r="D38" s="16">
        <f>IF(A38="","",SUMIF(H8:H32,A38,D8:D32))</f>
        <v/>
      </c>
      <c r="E38" s="16">
        <f>IF(A38="","",SUMIF(H8:H32,A38,E8:E32))</f>
        <v/>
      </c>
      <c r="F38" s="15">
        <f>IF(A38="","",ROUND(E38-D38,3))</f>
        <v/>
      </c>
      <c r="G38" s="7" t="inlineStr"/>
      <c r="H38" s="31" t="inlineStr">
        <is>
          <t>염화물 한도(kg/㎥)</t>
        </is>
      </c>
      <c r="I38" s="9" t="n"/>
      <c r="J38" s="9" t="n"/>
      <c r="K38" s="9" t="n"/>
      <c r="L38" s="33" t="n">
        <v>0.3</v>
      </c>
      <c r="M38" s="7" t="inlineStr"/>
      <c r="O38" s="7" t="inlineStr"/>
    </row>
    <row r="39" ht="20" customHeight="1">
      <c r="A39" s="11" t="n"/>
      <c r="B39" s="9" t="n"/>
      <c r="C39" s="9" t="n"/>
      <c r="D39" s="16">
        <f>IF(A39="","",SUMIF(H8:H32,A39,D8:D32))</f>
        <v/>
      </c>
      <c r="E39" s="16">
        <f>IF(A39="","",SUMIF(H8:H32,A39,E8:E32))</f>
        <v/>
      </c>
      <c r="F39" s="15">
        <f>IF(A39="","",ROUND(E39-D39,3))</f>
        <v/>
      </c>
      <c r="G39" s="7" t="inlineStr"/>
      <c r="H39" s="31" t="inlineStr">
        <is>
          <t>28일 강도 1회 ≥ 호칭강도 ×</t>
        </is>
      </c>
      <c r="I39" s="9" t="n"/>
      <c r="J39" s="9" t="n"/>
      <c r="K39" s="9" t="n"/>
      <c r="L39" s="33" t="n">
        <v>0.85</v>
      </c>
      <c r="M39" s="7" t="inlineStr"/>
      <c r="O39" s="7" t="inlineStr"/>
    </row>
    <row r="40" ht="20" customHeight="1">
      <c r="A40" s="7" t="inlineStr"/>
      <c r="H40" s="31" t="inlineStr">
        <is>
          <t>호칭강도 35MPa 넘으면 ×</t>
        </is>
      </c>
      <c r="I40" s="9" t="n"/>
      <c r="J40" s="9" t="n"/>
      <c r="K40" s="9" t="n"/>
      <c r="L40" s="33" t="n">
        <v>0.9</v>
      </c>
      <c r="M40" s="7" t="inlineStr"/>
    </row>
    <row r="42" ht="19.5" customHeight="1">
      <c r="A42" s="34" t="inlineStr">
        <is>
          <t>이 시트는 작성 예시입니다(가상의 공사 · 회사 · 사람).</t>
        </is>
      </c>
    </row>
  </sheetData>
  <mergeCells count="56">
    <mergeCell ref="I5:I7"/>
    <mergeCell ref="H35:L35"/>
    <mergeCell ref="D5:D7"/>
    <mergeCell ref="A37:C37"/>
    <mergeCell ref="H37:K37"/>
    <mergeCell ref="A5:A7"/>
    <mergeCell ref="G5:G7"/>
    <mergeCell ref="P6:P7"/>
    <mergeCell ref="M40:U40"/>
    <mergeCell ref="M39:N39"/>
    <mergeCell ref="M5:Q5"/>
    <mergeCell ref="R2:U2"/>
    <mergeCell ref="B5:B7"/>
    <mergeCell ref="O38:U38"/>
    <mergeCell ref="R33:U33"/>
    <mergeCell ref="G33:L33"/>
    <mergeCell ref="A33:C33"/>
    <mergeCell ref="R5:U5"/>
    <mergeCell ref="M35:N35"/>
    <mergeCell ref="O37:U37"/>
    <mergeCell ref="A40:G40"/>
    <mergeCell ref="C3:I3"/>
    <mergeCell ref="R6:S6"/>
    <mergeCell ref="K1:U1"/>
    <mergeCell ref="M6:M7"/>
    <mergeCell ref="H38:K38"/>
    <mergeCell ref="A42:U42"/>
    <mergeCell ref="Q6:Q7"/>
    <mergeCell ref="H5:H7"/>
    <mergeCell ref="A35:C35"/>
    <mergeCell ref="J5:J7"/>
    <mergeCell ref="A3:B3"/>
    <mergeCell ref="A38:C38"/>
    <mergeCell ref="J3:U3"/>
    <mergeCell ref="A1:J1"/>
    <mergeCell ref="O36:U36"/>
    <mergeCell ref="H40:K40"/>
    <mergeCell ref="O39:U39"/>
    <mergeCell ref="M37:N37"/>
    <mergeCell ref="H39:K39"/>
    <mergeCell ref="A2:Q2"/>
    <mergeCell ref="M36:N36"/>
    <mergeCell ref="C5:C7"/>
    <mergeCell ref="N6:N7"/>
    <mergeCell ref="E5:E7"/>
    <mergeCell ref="K5:K7"/>
    <mergeCell ref="A39:C39"/>
    <mergeCell ref="F5:F7"/>
    <mergeCell ref="H36:K36"/>
    <mergeCell ref="A36:C36"/>
    <mergeCell ref="O35:U35"/>
    <mergeCell ref="T6:U6"/>
    <mergeCell ref="M38:N38"/>
    <mergeCell ref="O6:O7"/>
    <mergeCell ref="L5:L7"/>
    <mergeCell ref="M33:P33"/>
  </mergeCells>
  <conditionalFormatting sqref="Q8:Q32">
    <cfRule type="expression" priority="1" dxfId="0">
      <formula>LEFT(Q8,3)="부적합"</formula>
    </cfRule>
  </conditionalFormatting>
  <conditionalFormatting sqref="D8:D33">
    <cfRule type="expression" priority="2" dxfId="1">
      <formula>AND(ISNUMBER(D8),MOD(D8,1)=0)</formula>
    </cfRule>
  </conditionalFormatting>
  <conditionalFormatting sqref="D36:D39">
    <cfRule type="expression" priority="3" dxfId="1">
      <formula>AND(ISNUMBER(D36),MOD(D36,1)=0)</formula>
    </cfRule>
  </conditionalFormatting>
  <conditionalFormatting sqref="E8:E33">
    <cfRule type="expression" priority="4" dxfId="1">
      <formula>AND(ISNUMBER(E8),MOD(E8,1)=0)</formula>
    </cfRule>
  </conditionalFormatting>
  <conditionalFormatting sqref="E36:E39">
    <cfRule type="expression" priority="5" dxfId="1">
      <formula>AND(ISNUMBER(E36),MOD(E36,1)=0)</formula>
    </cfRule>
  </conditionalFormatting>
  <conditionalFormatting sqref="G8:G32">
    <cfRule type="expression" priority="6" dxfId="1">
      <formula>AND(ISNUMBER(G8),MOD(G8,1)=0)</formula>
    </cfRule>
  </conditionalFormatting>
  <conditionalFormatting sqref="F8:F33">
    <cfRule type="expression" priority="7" dxfId="2">
      <formula>AND(ISNUMBER(F8),MOD(F8,1)=0)</formula>
    </cfRule>
  </conditionalFormatting>
  <conditionalFormatting sqref="F36:F39">
    <cfRule type="expression" priority="8" dxfId="2">
      <formula>AND(ISNUMBER(F36),MOD(F36,1)=0)</formula>
    </cfRule>
  </conditionalFormatting>
  <conditionalFormatting sqref="L8:L32">
    <cfRule type="expression" priority="9" dxfId="3">
      <formula>AND(ISNUMBER(L8),MOD(L8,1)=0)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구조물별 콘크리트 타설현황</dc:title>
  <dcterms:created xmlns:dcterms="http://purl.org/dc/terms/" xmlns:xsi="http://www.w3.org/2001/XMLSchema-instance" xsi:type="dcterms:W3CDTF">2026-10-17T01:08:52Z</dcterms:created>
  <dcterms:modified xmlns:dcterms="http://purl.org/dc/terms/" xmlns:xsi="http://www.w3.org/2001/XMLSchema-instance" xsi:type="dcterms:W3CDTF">2026-10-17T01:08:52Z</dcterms:modified>
</cp:coreProperties>
</file>